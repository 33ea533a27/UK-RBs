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2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02/Consumption RB/"/>
    </mc:Choice>
  </mc:AlternateContent>
  <xr:revisionPtr revIDLastSave="1" documentId="1_{BB0F3999-E7D3-48B7-B7E9-DCCC3DA89803}" xr6:coauthVersionLast="47" xr6:coauthVersionMax="47" xr10:uidLastSave="{4263F06D-F756-4D9F-B1B8-814E2DB8879F}"/>
  <bookViews>
    <workbookView xWindow="-15345" yWindow="-16320" windowWidth="29040" windowHeight="15360" tabRatio="807" firstSheet="1" activeTab="7" xr2:uid="{92E93B27-FB42-41E2-95BC-649A74ECF5D9}"/>
  </bookViews>
  <sheets>
    <sheet name="&gt;&gt;CHARTS" sheetId="16" r:id="rId1"/>
    <sheet name="Chart - real wages v2" sheetId="28" r:id="rId2"/>
    <sheet name="Net int receipts" sheetId="22" r:id="rId3"/>
    <sheet name="Conts to CS" sheetId="31" r:id="rId4"/>
    <sheet name="Chart - PEDY! decomp" sheetId="11" r:id="rId5"/>
    <sheet name="Chart1" sheetId="32" r:id="rId6"/>
    <sheet name="&gt;&gt; DATA" sheetId="18" r:id="rId7"/>
    <sheet name="Chart Data" sheetId="7" r:id="rId8"/>
    <sheet name="DataQ" sheetId="3" r:id="rId9"/>
    <sheet name="DataA" sheetId="6" r:id="rId10"/>
    <sheet name="GMWQ" sheetId="2" r:id="rId11"/>
    <sheet name="GMWA" sheetId="5" r:id="rId12"/>
    <sheet name="&gt;&gt; NOT USED" sheetId="17" r:id="rId13"/>
    <sheet name="Int payments &amp; int rates" sheetId="20" r:id="rId14"/>
    <sheet name="Pay and inflation" sheetId="26" r:id="rId15"/>
    <sheet name="Chart - Real wages v1" sheetId="9" r:id="rId16"/>
    <sheet name="Chart - PEDY! decomp v1" sheetId="10" r:id="rId17"/>
  </sheets>
  <definedNames>
    <definedName name="Annual_Data" localSheetId="11">GMWA!$A$1:$A$2</definedName>
    <definedName name="Annual_Data" localSheetId="10">GMWQ!$A$1:$A$2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3" i="7" l="1"/>
  <c r="AH72" i="7"/>
  <c r="AH71" i="7"/>
  <c r="AH70" i="7"/>
  <c r="AH62" i="7"/>
  <c r="AH63" i="7"/>
  <c r="AH64" i="7"/>
  <c r="AH65" i="7"/>
  <c r="AH69" i="7"/>
  <c r="AH68" i="7"/>
  <c r="AH67" i="7"/>
  <c r="AH66" i="7"/>
  <c r="AG73" i="7"/>
  <c r="AG72" i="7"/>
  <c r="AG71" i="7"/>
  <c r="AG70" i="7"/>
  <c r="AG69" i="7"/>
  <c r="AG68" i="7"/>
  <c r="AG67" i="7"/>
  <c r="AG66" i="7"/>
  <c r="AG65" i="7"/>
  <c r="AG64" i="7"/>
  <c r="AG63" i="7"/>
  <c r="AG62" i="7"/>
  <c r="AI69" i="7"/>
  <c r="AI73" i="7"/>
  <c r="AI65" i="7"/>
  <c r="AF63" i="7"/>
  <c r="AF64" i="7"/>
  <c r="AF65" i="7"/>
  <c r="AF66" i="7"/>
  <c r="AF67" i="7"/>
  <c r="AF68" i="7"/>
  <c r="AF69" i="7"/>
  <c r="AF70" i="7"/>
  <c r="AF71" i="7"/>
  <c r="AF72" i="7"/>
  <c r="AF73" i="7"/>
  <c r="AE70" i="7"/>
  <c r="AE71" i="7"/>
  <c r="AE72" i="7"/>
  <c r="AE73" i="7"/>
  <c r="AE63" i="7"/>
  <c r="AE64" i="7"/>
  <c r="AE65" i="7"/>
  <c r="AE66" i="7"/>
  <c r="AE67" i="7"/>
  <c r="AE68" i="7"/>
  <c r="AE69" i="7"/>
  <c r="AE62" i="7"/>
  <c r="AF62" i="7"/>
  <c r="AF57" i="7"/>
  <c r="AD45" i="7"/>
  <c r="AC4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22" i="7"/>
  <c r="N23" i="7"/>
  <c r="N24" i="7"/>
  <c r="N25" i="7"/>
  <c r="N18" i="7"/>
  <c r="AC19" i="7"/>
  <c r="O19" i="7"/>
  <c r="O20" i="7"/>
  <c r="O21" i="7"/>
  <c r="O22" i="7"/>
  <c r="O23" i="7"/>
  <c r="O24" i="7"/>
  <c r="O25" i="7"/>
  <c r="O26" i="7"/>
  <c r="AD26" i="7" s="1"/>
  <c r="O27" i="7"/>
  <c r="O28" i="7"/>
  <c r="O29" i="7"/>
  <c r="O30" i="7"/>
  <c r="O31" i="7"/>
  <c r="O32" i="7"/>
  <c r="O33" i="7"/>
  <c r="O34" i="7"/>
  <c r="AD34" i="7" s="1"/>
  <c r="AD58" i="7" s="1"/>
  <c r="O35" i="7"/>
  <c r="O36" i="7"/>
  <c r="O37" i="7"/>
  <c r="O38" i="7"/>
  <c r="O39" i="7"/>
  <c r="O40" i="7"/>
  <c r="O41" i="7"/>
  <c r="O42" i="7"/>
  <c r="AD42" i="7" s="1"/>
  <c r="O43" i="7"/>
  <c r="O44" i="7"/>
  <c r="O45" i="7"/>
  <c r="O18" i="7"/>
  <c r="AF51" i="7"/>
  <c r="AE57" i="7"/>
  <c r="AG57" i="7"/>
  <c r="AH57" i="7"/>
  <c r="AE58" i="7"/>
  <c r="AG58" i="7"/>
  <c r="AH58" i="7"/>
  <c r="AE59" i="7"/>
  <c r="AG59" i="7"/>
  <c r="AH59" i="7"/>
  <c r="AD51" i="7"/>
  <c r="AE51" i="7"/>
  <c r="AG51" i="7"/>
  <c r="AH51" i="7"/>
  <c r="AI51" i="7"/>
  <c r="AD52" i="7"/>
  <c r="AE52" i="7"/>
  <c r="AF52" i="7"/>
  <c r="AG52" i="7"/>
  <c r="AH52" i="7"/>
  <c r="AI52" i="7"/>
  <c r="AD53" i="7"/>
  <c r="AE53" i="7"/>
  <c r="AF53" i="7"/>
  <c r="AG53" i="7"/>
  <c r="AH53" i="7"/>
  <c r="AI53" i="7"/>
  <c r="AC52" i="7"/>
  <c r="AC53" i="7"/>
  <c r="AC51" i="7"/>
  <c r="P30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19" i="7"/>
  <c r="S19" i="7"/>
  <c r="AH19" i="7" s="1"/>
  <c r="S20" i="7"/>
  <c r="AH20" i="7" s="1"/>
  <c r="S21" i="7"/>
  <c r="AH21" i="7" s="1"/>
  <c r="S22" i="7"/>
  <c r="AH22" i="7" s="1"/>
  <c r="S23" i="7"/>
  <c r="AH23" i="7" s="1"/>
  <c r="S24" i="7"/>
  <c r="AH24" i="7" s="1"/>
  <c r="S25" i="7"/>
  <c r="AH25" i="7" s="1"/>
  <c r="S26" i="7"/>
  <c r="AH26" i="7" s="1"/>
  <c r="S27" i="7"/>
  <c r="AH27" i="7" s="1"/>
  <c r="S28" i="7"/>
  <c r="AH28" i="7" s="1"/>
  <c r="S29" i="7"/>
  <c r="AH29" i="7" s="1"/>
  <c r="S30" i="7"/>
  <c r="AH30" i="7" s="1"/>
  <c r="S31" i="7"/>
  <c r="AH31" i="7" s="1"/>
  <c r="S32" i="7"/>
  <c r="AH32" i="7" s="1"/>
  <c r="S33" i="7"/>
  <c r="AH33" i="7" s="1"/>
  <c r="S34" i="7"/>
  <c r="AH34" i="7" s="1"/>
  <c r="S35" i="7"/>
  <c r="AH35" i="7" s="1"/>
  <c r="S36" i="7"/>
  <c r="AH36" i="7" s="1"/>
  <c r="S37" i="7"/>
  <c r="AH37" i="7" s="1"/>
  <c r="S38" i="7"/>
  <c r="AH38" i="7" s="1"/>
  <c r="S39" i="7"/>
  <c r="AH39" i="7" s="1"/>
  <c r="S40" i="7"/>
  <c r="AH40" i="7" s="1"/>
  <c r="S41" i="7"/>
  <c r="AH41" i="7" s="1"/>
  <c r="S42" i="7"/>
  <c r="AH42" i="7" s="1"/>
  <c r="S43" i="7"/>
  <c r="AH43" i="7" s="1"/>
  <c r="S44" i="7"/>
  <c r="AH44" i="7" s="1"/>
  <c r="S45" i="7"/>
  <c r="AH45" i="7" s="1"/>
  <c r="S18" i="7"/>
  <c r="S5" i="7"/>
  <c r="X19" i="7"/>
  <c r="AE19" i="7" s="1"/>
  <c r="X20" i="7"/>
  <c r="AE20" i="7" s="1"/>
  <c r="X21" i="7"/>
  <c r="AE21" i="7" s="1"/>
  <c r="X22" i="7"/>
  <c r="AE22" i="7" s="1"/>
  <c r="X23" i="7"/>
  <c r="AE23" i="7" s="1"/>
  <c r="X24" i="7"/>
  <c r="AE24" i="7" s="1"/>
  <c r="X25" i="7"/>
  <c r="AE25" i="7" s="1"/>
  <c r="X26" i="7"/>
  <c r="X27" i="7"/>
  <c r="AE27" i="7" s="1"/>
  <c r="X28" i="7"/>
  <c r="AE28" i="7" s="1"/>
  <c r="X29" i="7"/>
  <c r="AE29" i="7" s="1"/>
  <c r="X30" i="7"/>
  <c r="AE30" i="7" s="1"/>
  <c r="X31" i="7"/>
  <c r="X32" i="7"/>
  <c r="AE32" i="7" s="1"/>
  <c r="X33" i="7"/>
  <c r="AE33" i="7" s="1"/>
  <c r="X34" i="7"/>
  <c r="AE34" i="7" s="1"/>
  <c r="X35" i="7"/>
  <c r="AE35" i="7" s="1"/>
  <c r="X36" i="7"/>
  <c r="AE36" i="7" s="1"/>
  <c r="X37" i="7"/>
  <c r="AE37" i="7" s="1"/>
  <c r="X38" i="7"/>
  <c r="AE38" i="7" s="1"/>
  <c r="X39" i="7"/>
  <c r="X40" i="7"/>
  <c r="AE40" i="7" s="1"/>
  <c r="X41" i="7"/>
  <c r="AE41" i="7" s="1"/>
  <c r="X42" i="7"/>
  <c r="AE42" i="7" s="1"/>
  <c r="X43" i="7"/>
  <c r="AE43" i="7" s="1"/>
  <c r="X44" i="7"/>
  <c r="AE44" i="7" s="1"/>
  <c r="X45" i="7"/>
  <c r="AE45" i="7" s="1"/>
  <c r="X46" i="7"/>
  <c r="X47" i="7"/>
  <c r="X48" i="7"/>
  <c r="X49" i="7"/>
  <c r="X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18" i="7"/>
  <c r="AD19" i="7"/>
  <c r="AD20" i="7"/>
  <c r="AD21" i="7"/>
  <c r="AD22" i="7"/>
  <c r="AD23" i="7"/>
  <c r="AD24" i="7"/>
  <c r="AD25" i="7"/>
  <c r="AD27" i="7"/>
  <c r="AD28" i="7"/>
  <c r="AD29" i="7"/>
  <c r="AD30" i="7"/>
  <c r="AD57" i="7" s="1"/>
  <c r="AD31" i="7"/>
  <c r="AD32" i="7"/>
  <c r="AD33" i="7"/>
  <c r="AD35" i="7"/>
  <c r="AD36" i="7"/>
  <c r="AD37" i="7"/>
  <c r="AD38" i="7"/>
  <c r="AD59" i="7" s="1"/>
  <c r="AD39" i="7"/>
  <c r="AD40" i="7"/>
  <c r="AD41" i="7"/>
  <c r="AD43" i="7"/>
  <c r="AD44" i="7"/>
  <c r="AF45" i="7"/>
  <c r="O5" i="7"/>
  <c r="Y19" i="7"/>
  <c r="Z19" i="7" s="1"/>
  <c r="Y20" i="7"/>
  <c r="Z20" i="7" s="1"/>
  <c r="Y21" i="7"/>
  <c r="Z21" i="7" s="1"/>
  <c r="Y22" i="7"/>
  <c r="Z22" i="7" s="1"/>
  <c r="Y23" i="7"/>
  <c r="Z23" i="7" s="1"/>
  <c r="Y24" i="7"/>
  <c r="Z24" i="7" s="1"/>
  <c r="Y25" i="7"/>
  <c r="Z25" i="7" s="1"/>
  <c r="Y26" i="7"/>
  <c r="Z26" i="7" s="1"/>
  <c r="Y27" i="7"/>
  <c r="Z27" i="7" s="1"/>
  <c r="Y28" i="7"/>
  <c r="Z28" i="7" s="1"/>
  <c r="Y29" i="7"/>
  <c r="Z29" i="7" s="1"/>
  <c r="Y30" i="7"/>
  <c r="Z30" i="7" s="1"/>
  <c r="Y31" i="7"/>
  <c r="Z31" i="7" s="1"/>
  <c r="Y32" i="7"/>
  <c r="Z32" i="7" s="1"/>
  <c r="Y33" i="7"/>
  <c r="Z33" i="7" s="1"/>
  <c r="Y34" i="7"/>
  <c r="Z34" i="7" s="1"/>
  <c r="Y35" i="7"/>
  <c r="Z35" i="7" s="1"/>
  <c r="Y36" i="7"/>
  <c r="Z36" i="7" s="1"/>
  <c r="Y37" i="7"/>
  <c r="Z37" i="7" s="1"/>
  <c r="Y38" i="7"/>
  <c r="Z38" i="7" s="1"/>
  <c r="Y39" i="7"/>
  <c r="Z39" i="7" s="1"/>
  <c r="Y40" i="7"/>
  <c r="Z40" i="7" s="1"/>
  <c r="Y41" i="7"/>
  <c r="Z41" i="7" s="1"/>
  <c r="Y42" i="7"/>
  <c r="Z42" i="7" s="1"/>
  <c r="Y43" i="7"/>
  <c r="Z43" i="7" s="1"/>
  <c r="R43" i="7" s="1"/>
  <c r="Y44" i="7"/>
  <c r="Z44" i="7" s="1"/>
  <c r="Y45" i="7"/>
  <c r="Z45" i="7" s="1"/>
  <c r="Y46" i="7"/>
  <c r="Z46" i="7" s="1"/>
  <c r="Y47" i="7"/>
  <c r="Z47" i="7" s="1"/>
  <c r="Y48" i="7"/>
  <c r="Z48" i="7" s="1"/>
  <c r="Y49" i="7"/>
  <c r="Z49" i="7" s="1"/>
  <c r="Y18" i="7"/>
  <c r="Z18" i="7" s="1"/>
  <c r="X4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R44" i="7" l="1"/>
  <c r="R36" i="7"/>
  <c r="R28" i="7"/>
  <c r="R20" i="7"/>
  <c r="R35" i="7"/>
  <c r="Q35" i="7" s="1"/>
  <c r="P35" i="7" s="1"/>
  <c r="T35" i="7" s="1"/>
  <c r="R27" i="7"/>
  <c r="Q27" i="7" s="1"/>
  <c r="P27" i="7" s="1"/>
  <c r="T27" i="7" s="1"/>
  <c r="AC36" i="7"/>
  <c r="AC35" i="7"/>
  <c r="AC27" i="7"/>
  <c r="AF36" i="7"/>
  <c r="AC42" i="7"/>
  <c r="AC34" i="7"/>
  <c r="AC26" i="7"/>
  <c r="R40" i="7"/>
  <c r="Q40" i="7" s="1"/>
  <c r="R32" i="7"/>
  <c r="Q32" i="7" s="1"/>
  <c r="R24" i="7"/>
  <c r="Q24" i="7" s="1"/>
  <c r="P24" i="7" s="1"/>
  <c r="AC39" i="7"/>
  <c r="AC31" i="7"/>
  <c r="R45" i="7"/>
  <c r="Q45" i="7" s="1"/>
  <c r="P45" i="7" s="1"/>
  <c r="T45" i="7" s="1"/>
  <c r="R37" i="7"/>
  <c r="Q37" i="7" s="1"/>
  <c r="P37" i="7" s="1"/>
  <c r="T37" i="7" s="1"/>
  <c r="R29" i="7"/>
  <c r="Q29" i="7" s="1"/>
  <c r="P29" i="7" s="1"/>
  <c r="T29" i="7" s="1"/>
  <c r="R21" i="7"/>
  <c r="Q21" i="7" s="1"/>
  <c r="P21" i="7" s="1"/>
  <c r="R38" i="7"/>
  <c r="Q38" i="7" s="1"/>
  <c r="R30" i="7"/>
  <c r="Q30" i="7" s="1"/>
  <c r="R22" i="7"/>
  <c r="Q22" i="7" s="1"/>
  <c r="P22" i="7" s="1"/>
  <c r="AF41" i="7"/>
  <c r="AC30" i="7"/>
  <c r="Q36" i="7"/>
  <c r="P36" i="7" s="1"/>
  <c r="T36" i="7" s="1"/>
  <c r="AF40" i="7"/>
  <c r="AF44" i="7"/>
  <c r="Q28" i="7"/>
  <c r="P28" i="7" s="1"/>
  <c r="T28" i="7" s="1"/>
  <c r="AC37" i="7"/>
  <c r="AF20" i="7"/>
  <c r="Q44" i="7"/>
  <c r="P44" i="7" s="1"/>
  <c r="Q20" i="7"/>
  <c r="P20" i="7" s="1"/>
  <c r="Q43" i="7"/>
  <c r="P43" i="7" s="1"/>
  <c r="R42" i="7"/>
  <c r="Q42" i="7" s="1"/>
  <c r="P42" i="7" s="1"/>
  <c r="R34" i="7"/>
  <c r="Q34" i="7" s="1"/>
  <c r="P34" i="7" s="1"/>
  <c r="R26" i="7"/>
  <c r="Q26" i="7" s="1"/>
  <c r="P26" i="7" s="1"/>
  <c r="AC43" i="7"/>
  <c r="R33" i="7"/>
  <c r="Q33" i="7" s="1"/>
  <c r="P33" i="7" s="1"/>
  <c r="T33" i="7" s="1"/>
  <c r="AC41" i="7"/>
  <c r="AC33" i="7"/>
  <c r="R39" i="7"/>
  <c r="R31" i="7"/>
  <c r="R23" i="7"/>
  <c r="Q23" i="7" s="1"/>
  <c r="P23" i="7" s="1"/>
  <c r="R25" i="7"/>
  <c r="Q25" i="7" s="1"/>
  <c r="P25" i="7" s="1"/>
  <c r="AC32" i="7"/>
  <c r="P40" i="7"/>
  <c r="T40" i="7" s="1"/>
  <c r="P32" i="7"/>
  <c r="T32" i="7" s="1"/>
  <c r="AC38" i="7"/>
  <c r="AC29" i="7"/>
  <c r="R19" i="7"/>
  <c r="Q19" i="7" s="1"/>
  <c r="P19" i="7" s="1"/>
  <c r="AF23" i="7"/>
  <c r="Q39" i="7"/>
  <c r="P39" i="7" s="1"/>
  <c r="Q31" i="7"/>
  <c r="P31" i="7" s="1"/>
  <c r="AC40" i="7"/>
  <c r="AC28" i="7"/>
  <c r="P38" i="7"/>
  <c r="T38" i="7" s="1"/>
  <c r="AF38" i="7"/>
  <c r="AF30" i="7"/>
  <c r="AC44" i="7"/>
  <c r="R41" i="7"/>
  <c r="Q41" i="7" s="1"/>
  <c r="P41" i="7" s="1"/>
  <c r="T41" i="7" s="1"/>
  <c r="AF37" i="7"/>
  <c r="AF29" i="7"/>
  <c r="AE39" i="7"/>
  <c r="AF39" i="7" s="1"/>
  <c r="AF21" i="7"/>
  <c r="AF28" i="7"/>
  <c r="AE31" i="7"/>
  <c r="AF31" i="7" s="1"/>
  <c r="AF19" i="7"/>
  <c r="AE26" i="7"/>
  <c r="AF26" i="7" s="1"/>
  <c r="AF43" i="7"/>
  <c r="AF35" i="7"/>
  <c r="AF32" i="7"/>
  <c r="AF25" i="7"/>
  <c r="AF33" i="7"/>
  <c r="AF27" i="7"/>
  <c r="AF24" i="7"/>
  <c r="AF42" i="7"/>
  <c r="AF34" i="7"/>
  <c r="AF22" i="7"/>
  <c r="AI27" i="7" l="1"/>
  <c r="AC58" i="7"/>
  <c r="AC57" i="7"/>
  <c r="AC59" i="7"/>
  <c r="AI32" i="7"/>
  <c r="AF58" i="7"/>
  <c r="AF59" i="7"/>
  <c r="T34" i="7"/>
  <c r="T42" i="7"/>
  <c r="T43" i="7"/>
  <c r="T30" i="7"/>
  <c r="AI26" i="7"/>
  <c r="AI36" i="7"/>
  <c r="AI41" i="7"/>
  <c r="AI35" i="7"/>
  <c r="AI40" i="7"/>
  <c r="T26" i="7"/>
  <c r="T44" i="7"/>
  <c r="AI31" i="7"/>
  <c r="AI42" i="7"/>
  <c r="AI30" i="7"/>
  <c r="AI57" i="7" s="1"/>
  <c r="AI28" i="7"/>
  <c r="T31" i="7"/>
  <c r="T39" i="7"/>
  <c r="AI43" i="7"/>
  <c r="AI33" i="7"/>
  <c r="AI44" i="7"/>
  <c r="AI39" i="7"/>
  <c r="AI34" i="7"/>
  <c r="AI29" i="7"/>
  <c r="AI45" i="7"/>
  <c r="AI37" i="7"/>
  <c r="AI38" i="7"/>
  <c r="AI59" i="7" s="1"/>
  <c r="AI58" i="7" l="1"/>
  <c r="BF14" i="7" l="1"/>
  <c r="BF20" i="7"/>
  <c r="W18" i="7"/>
  <c r="W19" i="7"/>
  <c r="W20" i="7"/>
  <c r="W21" i="7"/>
  <c r="W23" i="7"/>
  <c r="W24" i="7"/>
  <c r="W25" i="7"/>
  <c r="W22" i="7"/>
  <c r="W4" i="7"/>
  <c r="AR8" i="3" a="1"/>
  <c r="AR8" i="3" s="1"/>
  <c r="AS8" i="3" a="1"/>
  <c r="AS8" i="3" s="1"/>
  <c r="AT8" i="3" a="1"/>
  <c r="AT8" i="3"/>
  <c r="AU8" i="3" a="1"/>
  <c r="AU8" i="3"/>
  <c r="AR9" i="3" a="1"/>
  <c r="AR9" i="3" s="1"/>
  <c r="AS9" i="3" a="1"/>
  <c r="AS9" i="3" s="1"/>
  <c r="AT9" i="3" a="1"/>
  <c r="AT9" i="3" s="1"/>
  <c r="AU9" i="3" a="1"/>
  <c r="AU9" i="3" s="1"/>
  <c r="AR10" i="3" a="1"/>
  <c r="AR10" i="3" s="1"/>
  <c r="AS10" i="3" a="1"/>
  <c r="AS10" i="3" s="1"/>
  <c r="AT10" i="3" a="1"/>
  <c r="AT10" i="3"/>
  <c r="AU10" i="3" a="1"/>
  <c r="AU10" i="3" s="1"/>
  <c r="AR11" i="3" a="1"/>
  <c r="AR11" i="3" s="1"/>
  <c r="AS11" i="3" a="1"/>
  <c r="AS11" i="3" s="1"/>
  <c r="AT11" i="3" a="1"/>
  <c r="AT11" i="3" s="1"/>
  <c r="AU11" i="3" a="1"/>
  <c r="AU11" i="3" s="1"/>
  <c r="AR12" i="3" a="1"/>
  <c r="AR12" i="3" s="1"/>
  <c r="AS12" i="3" a="1"/>
  <c r="AS12" i="3" s="1"/>
  <c r="AT12" i="3" a="1"/>
  <c r="AT12" i="3" s="1"/>
  <c r="AU12" i="3" a="1"/>
  <c r="AU12" i="3" s="1"/>
  <c r="AR13" i="3" a="1"/>
  <c r="AR13" i="3" s="1"/>
  <c r="AS13" i="3" a="1"/>
  <c r="AS13" i="3" s="1"/>
  <c r="AT13" i="3" a="1"/>
  <c r="AT13" i="3" s="1"/>
  <c r="AU13" i="3" a="1"/>
  <c r="AU13" i="3" s="1"/>
  <c r="AR14" i="3" a="1"/>
  <c r="AR14" i="3" s="1"/>
  <c r="AS14" i="3" a="1"/>
  <c r="AS14" i="3" s="1"/>
  <c r="AT14" i="3" a="1"/>
  <c r="AT14" i="3"/>
  <c r="AU14" i="3" a="1"/>
  <c r="AU14" i="3" s="1"/>
  <c r="AR15" i="3" a="1"/>
  <c r="AR15" i="3" s="1"/>
  <c r="AS15" i="3" a="1"/>
  <c r="AS15" i="3" s="1"/>
  <c r="AT15" i="3" a="1"/>
  <c r="AT15" i="3" s="1"/>
  <c r="AU15" i="3" a="1"/>
  <c r="AU15" i="3"/>
  <c r="AR16" i="3" a="1"/>
  <c r="AR16" i="3" s="1"/>
  <c r="AS16" i="3" a="1"/>
  <c r="AS16" i="3" s="1"/>
  <c r="AT16" i="3" a="1"/>
  <c r="AT16" i="3" s="1"/>
  <c r="AU16" i="3" a="1"/>
  <c r="AU16" i="3" s="1"/>
  <c r="AR17" i="3" a="1"/>
  <c r="AR17" i="3" s="1"/>
  <c r="AS17" i="3" a="1"/>
  <c r="AS17" i="3" s="1"/>
  <c r="AT17" i="3" a="1"/>
  <c r="AT17" i="3" s="1"/>
  <c r="AU17" i="3" a="1"/>
  <c r="AU17" i="3" s="1"/>
  <c r="AR18" i="3" a="1"/>
  <c r="AR18" i="3" s="1"/>
  <c r="AS18" i="3" a="1"/>
  <c r="AS18" i="3" s="1"/>
  <c r="AT18" i="3" a="1"/>
  <c r="AT18" i="3" s="1"/>
  <c r="AU18" i="3" a="1"/>
  <c r="AU18" i="3" s="1"/>
  <c r="AR19" i="3" a="1"/>
  <c r="AR19" i="3" s="1"/>
  <c r="AS19" i="3" a="1"/>
  <c r="AS19" i="3" s="1"/>
  <c r="AT19" i="3" a="1"/>
  <c r="AT19" i="3" s="1"/>
  <c r="AU19" i="3" a="1"/>
  <c r="AU19" i="3"/>
  <c r="AR20" i="3" a="1"/>
  <c r="AR20" i="3" s="1"/>
  <c r="AS20" i="3" a="1"/>
  <c r="AS20" i="3" s="1"/>
  <c r="AT20" i="3" a="1"/>
  <c r="AT20" i="3" s="1"/>
  <c r="AU20" i="3" a="1"/>
  <c r="AU20" i="3" s="1"/>
  <c r="AR21" i="3" a="1"/>
  <c r="AR21" i="3" s="1"/>
  <c r="AS21" i="3" a="1"/>
  <c r="AS21" i="3" s="1"/>
  <c r="AT21" i="3" a="1"/>
  <c r="AT21" i="3" s="1"/>
  <c r="AU21" i="3" a="1"/>
  <c r="AU21" i="3" s="1"/>
  <c r="AR22" i="3" a="1"/>
  <c r="AR22" i="3" s="1"/>
  <c r="AS22" i="3" a="1"/>
  <c r="AS22" i="3" s="1"/>
  <c r="AT22" i="3" a="1"/>
  <c r="AT22" i="3" s="1"/>
  <c r="AU22" i="3" a="1"/>
  <c r="AU22" i="3" s="1"/>
  <c r="AR23" i="3" a="1"/>
  <c r="AR23" i="3" s="1"/>
  <c r="AS23" i="3" a="1"/>
  <c r="AS23" i="3" s="1"/>
  <c r="AT23" i="3" a="1"/>
  <c r="AT23" i="3" s="1"/>
  <c r="AU23" i="3" a="1"/>
  <c r="AU23" i="3" s="1"/>
  <c r="AR24" i="3" a="1"/>
  <c r="AR24" i="3" s="1"/>
  <c r="AS24" i="3" a="1"/>
  <c r="AS24" i="3" s="1"/>
  <c r="AT24" i="3" a="1"/>
  <c r="AT24" i="3" s="1"/>
  <c r="AU24" i="3" a="1"/>
  <c r="AU24" i="3" s="1"/>
  <c r="AR25" i="3" a="1"/>
  <c r="AR25" i="3" s="1"/>
  <c r="AS25" i="3" a="1"/>
  <c r="AS25" i="3" s="1"/>
  <c r="AT25" i="3" a="1"/>
  <c r="AT25" i="3" s="1"/>
  <c r="AU25" i="3" a="1"/>
  <c r="AU25" i="3" s="1"/>
  <c r="AR26" i="3" a="1"/>
  <c r="AR26" i="3" s="1"/>
  <c r="AS26" i="3" a="1"/>
  <c r="AS26" i="3" s="1"/>
  <c r="AT26" i="3" a="1"/>
  <c r="AT26" i="3"/>
  <c r="AU26" i="3" a="1"/>
  <c r="AU26" i="3" s="1"/>
  <c r="AR27" i="3" a="1"/>
  <c r="AR27" i="3" s="1"/>
  <c r="AS27" i="3" a="1"/>
  <c r="AS27" i="3" s="1"/>
  <c r="AT27" i="3" a="1"/>
  <c r="AT27" i="3" s="1"/>
  <c r="AU27" i="3" a="1"/>
  <c r="AU27" i="3" s="1"/>
  <c r="AR28" i="3" a="1"/>
  <c r="AR28" i="3" s="1"/>
  <c r="AS28" i="3" a="1"/>
  <c r="AS28" i="3" s="1"/>
  <c r="AT28" i="3" a="1"/>
  <c r="AT28" i="3" s="1"/>
  <c r="AU28" i="3" a="1"/>
  <c r="AU28" i="3" s="1"/>
  <c r="AR29" i="3" a="1"/>
  <c r="AR29" i="3" s="1"/>
  <c r="AS29" i="3" a="1"/>
  <c r="AS29" i="3" s="1"/>
  <c r="AT29" i="3" a="1"/>
  <c r="AT29" i="3" s="1"/>
  <c r="AU29" i="3" a="1"/>
  <c r="AU29" i="3" s="1"/>
  <c r="AR30" i="3" a="1"/>
  <c r="AR30" i="3" s="1"/>
  <c r="AS30" i="3" a="1"/>
  <c r="AS30" i="3" s="1"/>
  <c r="AT30" i="3" a="1"/>
  <c r="AT30" i="3"/>
  <c r="AU30" i="3" a="1"/>
  <c r="AU30" i="3" s="1"/>
  <c r="AR31" i="3" a="1"/>
  <c r="AR31" i="3" s="1"/>
  <c r="AS31" i="3" a="1"/>
  <c r="AS31" i="3" s="1"/>
  <c r="AT31" i="3" a="1"/>
  <c r="AT31" i="3" s="1"/>
  <c r="AU31" i="3" a="1"/>
  <c r="AU31" i="3"/>
  <c r="AR32" i="3" a="1"/>
  <c r="AR32" i="3" s="1"/>
  <c r="AS32" i="3" a="1"/>
  <c r="AS32" i="3" s="1"/>
  <c r="AT32" i="3" a="1"/>
  <c r="AT32" i="3" s="1"/>
  <c r="AU32" i="3" a="1"/>
  <c r="AU32" i="3" s="1"/>
  <c r="AR33" i="3" a="1"/>
  <c r="AR33" i="3" s="1"/>
  <c r="AS33" i="3" a="1"/>
  <c r="AS33" i="3" s="1"/>
  <c r="AT33" i="3" a="1"/>
  <c r="AT33" i="3" s="1"/>
  <c r="AU33" i="3" a="1"/>
  <c r="AU33" i="3" s="1"/>
  <c r="AR34" i="3" a="1"/>
  <c r="AR34" i="3" s="1"/>
  <c r="AS34" i="3" a="1"/>
  <c r="AS34" i="3" s="1"/>
  <c r="AT34" i="3" a="1"/>
  <c r="AT34" i="3" s="1"/>
  <c r="AU34" i="3" a="1"/>
  <c r="AU34" i="3" s="1"/>
  <c r="AR35" i="3" a="1"/>
  <c r="AR35" i="3" s="1"/>
  <c r="AS35" i="3" a="1"/>
  <c r="AS35" i="3" s="1"/>
  <c r="AT35" i="3" a="1"/>
  <c r="AT35" i="3" s="1"/>
  <c r="AU35" i="3" a="1"/>
  <c r="AU35" i="3"/>
  <c r="AR36" i="3" a="1"/>
  <c r="AR36" i="3" s="1"/>
  <c r="AS36" i="3" a="1"/>
  <c r="AS36" i="3" s="1"/>
  <c r="AT36" i="3" a="1"/>
  <c r="AT36" i="3" s="1"/>
  <c r="AU36" i="3" a="1"/>
  <c r="AU36" i="3" s="1"/>
  <c r="AR37" i="3" a="1"/>
  <c r="AR37" i="3" s="1"/>
  <c r="AS37" i="3" a="1"/>
  <c r="AS37" i="3" s="1"/>
  <c r="AT37" i="3" a="1"/>
  <c r="AT37" i="3" s="1"/>
  <c r="AU37" i="3" a="1"/>
  <c r="AU37" i="3" s="1"/>
  <c r="AR38" i="3" a="1"/>
  <c r="AR38" i="3" s="1"/>
  <c r="AS38" i="3" a="1"/>
  <c r="AS38" i="3" s="1"/>
  <c r="AT38" i="3" a="1"/>
  <c r="AT38" i="3" s="1"/>
  <c r="AU38" i="3" a="1"/>
  <c r="AU38" i="3" s="1"/>
  <c r="AR39" i="3" a="1"/>
  <c r="AR39" i="3" s="1"/>
  <c r="AS39" i="3" a="1"/>
  <c r="AS39" i="3" s="1"/>
  <c r="AT39" i="3" a="1"/>
  <c r="AT39" i="3" s="1"/>
  <c r="AU39" i="3" a="1"/>
  <c r="AU39" i="3" s="1"/>
  <c r="AR40" i="3" a="1"/>
  <c r="AR40" i="3" s="1"/>
  <c r="AS40" i="3" a="1"/>
  <c r="AS40" i="3" s="1"/>
  <c r="AT40" i="3" a="1"/>
  <c r="AT40" i="3" s="1"/>
  <c r="AU40" i="3" a="1"/>
  <c r="AU40" i="3" s="1"/>
  <c r="AR41" i="3" a="1"/>
  <c r="AR41" i="3" s="1"/>
  <c r="AS41" i="3" a="1"/>
  <c r="AS41" i="3" s="1"/>
  <c r="AT41" i="3" a="1"/>
  <c r="AT41" i="3" s="1"/>
  <c r="AU41" i="3" a="1"/>
  <c r="AU41" i="3" s="1"/>
  <c r="AR42" i="3" a="1"/>
  <c r="AR42" i="3" s="1"/>
  <c r="AS42" i="3" a="1"/>
  <c r="AS42" i="3" s="1"/>
  <c r="AT42" i="3" a="1"/>
  <c r="AT42" i="3"/>
  <c r="AU42" i="3" a="1"/>
  <c r="AU42" i="3" s="1"/>
  <c r="AR43" i="3" a="1"/>
  <c r="AR43" i="3" s="1"/>
  <c r="AS43" i="3" a="1"/>
  <c r="AS43" i="3" s="1"/>
  <c r="AT43" i="3" a="1"/>
  <c r="AT43" i="3" s="1"/>
  <c r="AU43" i="3" a="1"/>
  <c r="AU43" i="3" s="1"/>
  <c r="AR44" i="3" a="1"/>
  <c r="AR44" i="3" s="1"/>
  <c r="AS44" i="3" a="1"/>
  <c r="AS44" i="3" s="1"/>
  <c r="AT44" i="3" a="1"/>
  <c r="AT44" i="3" s="1"/>
  <c r="AU44" i="3" a="1"/>
  <c r="AU44" i="3" s="1"/>
  <c r="AR45" i="3" a="1"/>
  <c r="AR45" i="3" s="1"/>
  <c r="AS45" i="3" a="1"/>
  <c r="AS45" i="3" s="1"/>
  <c r="AT45" i="3" a="1"/>
  <c r="AT45" i="3" s="1"/>
  <c r="AU45" i="3" a="1"/>
  <c r="AU45" i="3" s="1"/>
  <c r="AR46" i="3" a="1"/>
  <c r="AR46" i="3" s="1"/>
  <c r="AS46" i="3" a="1"/>
  <c r="AS46" i="3" s="1"/>
  <c r="AT46" i="3" a="1"/>
  <c r="AT46" i="3"/>
  <c r="AU46" i="3" a="1"/>
  <c r="AU46" i="3" s="1"/>
  <c r="AR47" i="3" a="1"/>
  <c r="AR47" i="3" s="1"/>
  <c r="AS47" i="3" a="1"/>
  <c r="AS47" i="3" s="1"/>
  <c r="AT47" i="3" a="1"/>
  <c r="AT47" i="3" s="1"/>
  <c r="AU47" i="3" a="1"/>
  <c r="AU47" i="3"/>
  <c r="AR48" i="3" a="1"/>
  <c r="AR48" i="3" s="1"/>
  <c r="AS48" i="3" a="1"/>
  <c r="AS48" i="3" s="1"/>
  <c r="AT48" i="3" a="1"/>
  <c r="AT48" i="3" s="1"/>
  <c r="AU48" i="3" a="1"/>
  <c r="AU48" i="3" s="1"/>
  <c r="AR49" i="3" a="1"/>
  <c r="AR49" i="3" s="1"/>
  <c r="AS49" i="3" a="1"/>
  <c r="AS49" i="3" s="1"/>
  <c r="AT49" i="3" a="1"/>
  <c r="AT49" i="3" s="1"/>
  <c r="AU49" i="3" a="1"/>
  <c r="AU49" i="3" s="1"/>
  <c r="AR50" i="3" a="1"/>
  <c r="AR50" i="3" s="1"/>
  <c r="AS50" i="3" a="1"/>
  <c r="AS50" i="3" s="1"/>
  <c r="AT50" i="3" a="1"/>
  <c r="AT50" i="3" s="1"/>
  <c r="AU50" i="3" a="1"/>
  <c r="AU50" i="3" s="1"/>
  <c r="AR51" i="3" a="1"/>
  <c r="AR51" i="3" s="1"/>
  <c r="AS51" i="3" a="1"/>
  <c r="AS51" i="3" s="1"/>
  <c r="AT51" i="3" a="1"/>
  <c r="AT51" i="3" s="1"/>
  <c r="AU51" i="3" a="1"/>
  <c r="AU51" i="3"/>
  <c r="AR52" i="3" a="1"/>
  <c r="AR52" i="3" s="1"/>
  <c r="AS52" i="3" a="1"/>
  <c r="AS52" i="3" s="1"/>
  <c r="AT52" i="3" a="1"/>
  <c r="AT52" i="3" s="1"/>
  <c r="AU52" i="3" a="1"/>
  <c r="AU52" i="3" s="1"/>
  <c r="AR53" i="3" a="1"/>
  <c r="AR53" i="3" s="1"/>
  <c r="AS53" i="3" a="1"/>
  <c r="AS53" i="3" s="1"/>
  <c r="AT53" i="3" a="1"/>
  <c r="AT53" i="3" s="1"/>
  <c r="AU53" i="3" a="1"/>
  <c r="AU53" i="3" s="1"/>
  <c r="AR54" i="3" a="1"/>
  <c r="AR54" i="3" s="1"/>
  <c r="AS54" i="3" a="1"/>
  <c r="AS54" i="3" s="1"/>
  <c r="AT54" i="3" a="1"/>
  <c r="AT54" i="3" s="1"/>
  <c r="AU54" i="3" a="1"/>
  <c r="AU54" i="3" s="1"/>
  <c r="AR55" i="3" a="1"/>
  <c r="AR55" i="3" s="1"/>
  <c r="AS55" i="3" a="1"/>
  <c r="AS55" i="3" s="1"/>
  <c r="AT55" i="3" a="1"/>
  <c r="AT55" i="3" s="1"/>
  <c r="AU55" i="3" a="1"/>
  <c r="AU55" i="3" s="1"/>
  <c r="AR56" i="3" a="1"/>
  <c r="AR56" i="3" s="1"/>
  <c r="AS56" i="3" a="1"/>
  <c r="AS56" i="3" s="1"/>
  <c r="AT56" i="3" a="1"/>
  <c r="AT56" i="3" s="1"/>
  <c r="AU56" i="3" a="1"/>
  <c r="AU56" i="3" s="1"/>
  <c r="AR57" i="3" a="1"/>
  <c r="AR57" i="3" s="1"/>
  <c r="AS57" i="3" a="1"/>
  <c r="AS57" i="3" s="1"/>
  <c r="AT57" i="3" a="1"/>
  <c r="AT57" i="3" s="1"/>
  <c r="AU57" i="3" a="1"/>
  <c r="AU57" i="3" s="1"/>
  <c r="AR58" i="3" a="1"/>
  <c r="AR58" i="3" s="1"/>
  <c r="AS58" i="3" a="1"/>
  <c r="AS58" i="3" s="1"/>
  <c r="AT58" i="3" a="1"/>
  <c r="AT58" i="3"/>
  <c r="AU58" i="3" a="1"/>
  <c r="AU58" i="3" s="1"/>
  <c r="AR59" i="3" a="1"/>
  <c r="AR59" i="3" s="1"/>
  <c r="AS59" i="3" a="1"/>
  <c r="AS59" i="3" s="1"/>
  <c r="AT59" i="3" a="1"/>
  <c r="AT59" i="3" s="1"/>
  <c r="AU59" i="3" a="1"/>
  <c r="AU59" i="3" s="1"/>
  <c r="AR60" i="3" a="1"/>
  <c r="AR60" i="3" s="1"/>
  <c r="AS60" i="3" a="1"/>
  <c r="AS60" i="3" s="1"/>
  <c r="AT60" i="3" a="1"/>
  <c r="AT60" i="3" s="1"/>
  <c r="AU60" i="3" a="1"/>
  <c r="AU60" i="3" s="1"/>
  <c r="AR61" i="3" a="1"/>
  <c r="AR61" i="3" s="1"/>
  <c r="AS61" i="3" a="1"/>
  <c r="AS61" i="3" s="1"/>
  <c r="AT61" i="3" a="1"/>
  <c r="AT61" i="3" s="1"/>
  <c r="AU61" i="3" a="1"/>
  <c r="AU61" i="3" s="1"/>
  <c r="AR62" i="3" a="1"/>
  <c r="AR62" i="3" s="1"/>
  <c r="AS62" i="3" a="1"/>
  <c r="AS62" i="3" s="1"/>
  <c r="AT62" i="3" a="1"/>
  <c r="AT62" i="3"/>
  <c r="AU62" i="3" a="1"/>
  <c r="AU62" i="3" s="1"/>
  <c r="AR63" i="3" a="1"/>
  <c r="AR63" i="3" s="1"/>
  <c r="AS63" i="3" a="1"/>
  <c r="AS63" i="3" s="1"/>
  <c r="AT63" i="3" a="1"/>
  <c r="AT63" i="3" s="1"/>
  <c r="AU63" i="3" a="1"/>
  <c r="AU63" i="3"/>
  <c r="AR64" i="3" a="1"/>
  <c r="AR64" i="3" s="1"/>
  <c r="AS64" i="3" a="1"/>
  <c r="AS64" i="3" s="1"/>
  <c r="AT64" i="3" a="1"/>
  <c r="AT64" i="3" s="1"/>
  <c r="AU64" i="3" a="1"/>
  <c r="AU64" i="3" s="1"/>
  <c r="AR65" i="3" a="1"/>
  <c r="AR65" i="3" s="1"/>
  <c r="AS65" i="3" a="1"/>
  <c r="AS65" i="3" s="1"/>
  <c r="AT65" i="3" a="1"/>
  <c r="AT65" i="3" s="1"/>
  <c r="AU65" i="3" a="1"/>
  <c r="AU65" i="3" s="1"/>
  <c r="AR66" i="3" a="1"/>
  <c r="AR66" i="3" s="1"/>
  <c r="AS66" i="3" a="1"/>
  <c r="AS66" i="3" s="1"/>
  <c r="AT66" i="3" a="1"/>
  <c r="AT66" i="3" s="1"/>
  <c r="AU66" i="3" a="1"/>
  <c r="AU66" i="3" s="1"/>
  <c r="AR67" i="3" a="1"/>
  <c r="AR67" i="3" s="1"/>
  <c r="AS67" i="3" a="1"/>
  <c r="AS67" i="3" s="1"/>
  <c r="AT67" i="3" a="1"/>
  <c r="AT67" i="3" s="1"/>
  <c r="AU67" i="3" a="1"/>
  <c r="AU67" i="3"/>
  <c r="AR68" i="3" a="1"/>
  <c r="AR68" i="3" s="1"/>
  <c r="AS68" i="3" a="1"/>
  <c r="AS68" i="3" s="1"/>
  <c r="AT68" i="3" a="1"/>
  <c r="AT68" i="3" s="1"/>
  <c r="AU68" i="3" a="1"/>
  <c r="AU68" i="3" s="1"/>
  <c r="AR69" i="3" a="1"/>
  <c r="AR69" i="3" s="1"/>
  <c r="AS69" i="3" a="1"/>
  <c r="AS69" i="3" s="1"/>
  <c r="AT69" i="3" a="1"/>
  <c r="AT69" i="3" s="1"/>
  <c r="AU69" i="3" a="1"/>
  <c r="AU69" i="3" s="1"/>
  <c r="AR70" i="3" a="1"/>
  <c r="AR70" i="3" s="1"/>
  <c r="AS70" i="3" a="1"/>
  <c r="AS70" i="3" s="1"/>
  <c r="AT70" i="3" a="1"/>
  <c r="AT70" i="3" s="1"/>
  <c r="AU70" i="3" a="1"/>
  <c r="AU70" i="3" s="1"/>
  <c r="AR71" i="3" a="1"/>
  <c r="AR71" i="3" s="1"/>
  <c r="AS71" i="3" a="1"/>
  <c r="AS71" i="3" s="1"/>
  <c r="AT71" i="3" a="1"/>
  <c r="AT71" i="3" s="1"/>
  <c r="AU71" i="3" a="1"/>
  <c r="AU71" i="3" s="1"/>
  <c r="AR72" i="3" a="1"/>
  <c r="AR72" i="3" s="1"/>
  <c r="AS72" i="3" a="1"/>
  <c r="AS72" i="3" s="1"/>
  <c r="AT72" i="3" a="1"/>
  <c r="AT72" i="3" s="1"/>
  <c r="AU72" i="3" a="1"/>
  <c r="AU72" i="3" s="1"/>
  <c r="AR73" i="3" a="1"/>
  <c r="AR73" i="3" s="1"/>
  <c r="AS73" i="3" a="1"/>
  <c r="AS73" i="3" s="1"/>
  <c r="AT73" i="3" a="1"/>
  <c r="AT73" i="3" s="1"/>
  <c r="AU73" i="3" a="1"/>
  <c r="AU73" i="3" s="1"/>
  <c r="AR74" i="3" a="1"/>
  <c r="AR74" i="3" s="1"/>
  <c r="AS74" i="3" a="1"/>
  <c r="AS74" i="3" s="1"/>
  <c r="AT74" i="3" a="1"/>
  <c r="AT74" i="3"/>
  <c r="AU74" i="3" a="1"/>
  <c r="AU74" i="3" s="1"/>
  <c r="AR75" i="3" a="1"/>
  <c r="AR75" i="3" s="1"/>
  <c r="AS75" i="3" a="1"/>
  <c r="AS75" i="3" s="1"/>
  <c r="AT75" i="3" a="1"/>
  <c r="AT75" i="3" s="1"/>
  <c r="AU75" i="3" a="1"/>
  <c r="AU75" i="3" s="1"/>
  <c r="AR76" i="3" a="1"/>
  <c r="AR76" i="3" s="1"/>
  <c r="AS76" i="3" a="1"/>
  <c r="AS76" i="3" s="1"/>
  <c r="AT76" i="3" a="1"/>
  <c r="AT76" i="3" s="1"/>
  <c r="AU76" i="3" a="1"/>
  <c r="AU76" i="3" s="1"/>
  <c r="AR77" i="3" a="1"/>
  <c r="AR77" i="3" s="1"/>
  <c r="AS77" i="3" a="1"/>
  <c r="AS77" i="3" s="1"/>
  <c r="AT77" i="3" a="1"/>
  <c r="AT77" i="3" s="1"/>
  <c r="AU77" i="3" a="1"/>
  <c r="AU77" i="3" s="1"/>
  <c r="AR78" i="3" a="1"/>
  <c r="AR78" i="3" s="1"/>
  <c r="AS78" i="3" a="1"/>
  <c r="AS78" i="3" s="1"/>
  <c r="AT78" i="3" a="1"/>
  <c r="AT78" i="3"/>
  <c r="AU78" i="3" a="1"/>
  <c r="AU78" i="3" s="1"/>
  <c r="AR79" i="3" a="1"/>
  <c r="AR79" i="3" s="1"/>
  <c r="AS79" i="3" a="1"/>
  <c r="AS79" i="3" s="1"/>
  <c r="AT79" i="3" a="1"/>
  <c r="AT79" i="3" s="1"/>
  <c r="AU79" i="3" a="1"/>
  <c r="AU79" i="3"/>
  <c r="AR80" i="3" a="1"/>
  <c r="AR80" i="3" s="1"/>
  <c r="AS80" i="3" a="1"/>
  <c r="AS80" i="3" s="1"/>
  <c r="AT80" i="3" a="1"/>
  <c r="AT80" i="3" s="1"/>
  <c r="AU80" i="3" a="1"/>
  <c r="AU80" i="3" s="1"/>
  <c r="AR81" i="3" a="1"/>
  <c r="AR81" i="3" s="1"/>
  <c r="AS81" i="3" a="1"/>
  <c r="AS81" i="3" s="1"/>
  <c r="AT81" i="3" a="1"/>
  <c r="AT81" i="3" s="1"/>
  <c r="AU81" i="3" a="1"/>
  <c r="AU81" i="3" s="1"/>
  <c r="AR82" i="3" a="1"/>
  <c r="AR82" i="3" s="1"/>
  <c r="AS82" i="3" a="1"/>
  <c r="AS82" i="3" s="1"/>
  <c r="AT82" i="3" a="1"/>
  <c r="AT82" i="3" s="1"/>
  <c r="AU82" i="3" a="1"/>
  <c r="AU82" i="3" s="1"/>
  <c r="AR83" i="3" a="1"/>
  <c r="AR83" i="3" s="1"/>
  <c r="AS83" i="3" a="1"/>
  <c r="AS83" i="3" s="1"/>
  <c r="AT83" i="3" a="1"/>
  <c r="AT83" i="3" s="1"/>
  <c r="AU83" i="3" a="1"/>
  <c r="AU83" i="3"/>
  <c r="AR84" i="3" a="1"/>
  <c r="AR84" i="3" s="1"/>
  <c r="AS84" i="3" a="1"/>
  <c r="AS84" i="3" s="1"/>
  <c r="AT84" i="3" a="1"/>
  <c r="AT84" i="3" s="1"/>
  <c r="AU84" i="3" a="1"/>
  <c r="AU84" i="3" s="1"/>
  <c r="AR85" i="3" a="1"/>
  <c r="AR85" i="3" s="1"/>
  <c r="AS85" i="3" a="1"/>
  <c r="AS85" i="3" s="1"/>
  <c r="AT85" i="3" a="1"/>
  <c r="AT85" i="3"/>
  <c r="AU85" i="3" a="1"/>
  <c r="AU85" i="3" s="1"/>
  <c r="AR86" i="3" a="1"/>
  <c r="AR86" i="3" s="1"/>
  <c r="AS86" i="3" a="1"/>
  <c r="AS86" i="3" s="1"/>
  <c r="AT86" i="3" a="1"/>
  <c r="AT86" i="3"/>
  <c r="AU86" i="3" a="1"/>
  <c r="AU86" i="3" s="1"/>
  <c r="AR87" i="3" a="1"/>
  <c r="AR87" i="3" s="1"/>
  <c r="AS87" i="3" a="1"/>
  <c r="AS87" i="3" s="1"/>
  <c r="AT87" i="3" a="1"/>
  <c r="AT87" i="3" s="1"/>
  <c r="AU87" i="3" a="1"/>
  <c r="AU87" i="3" s="1"/>
  <c r="AR88" i="3" a="1"/>
  <c r="AR88" i="3" s="1"/>
  <c r="AS88" i="3" a="1"/>
  <c r="AS88" i="3" s="1"/>
  <c r="AT88" i="3" a="1"/>
  <c r="AT88" i="3" s="1"/>
  <c r="AU88" i="3" a="1"/>
  <c r="AU88" i="3" s="1"/>
  <c r="AR89" i="3" a="1"/>
  <c r="AR89" i="3" s="1"/>
  <c r="AS89" i="3" a="1"/>
  <c r="AS89" i="3" s="1"/>
  <c r="AT89" i="3" a="1"/>
  <c r="AT89" i="3" s="1"/>
  <c r="AU89" i="3" a="1"/>
  <c r="AU89" i="3" s="1"/>
  <c r="AR90" i="3" a="1"/>
  <c r="AR90" i="3" s="1"/>
  <c r="AS90" i="3" a="1"/>
  <c r="AS90" i="3" s="1"/>
  <c r="AT90" i="3" a="1"/>
  <c r="AT90" i="3" s="1"/>
  <c r="AU90" i="3" a="1"/>
  <c r="AU90" i="3"/>
  <c r="AR91" i="3" a="1"/>
  <c r="AR91" i="3" s="1"/>
  <c r="AS91" i="3" a="1"/>
  <c r="AS91" i="3" s="1"/>
  <c r="AT91" i="3" a="1"/>
  <c r="AT91" i="3" s="1"/>
  <c r="AU91" i="3" a="1"/>
  <c r="AU91" i="3"/>
  <c r="AR92" i="3" a="1"/>
  <c r="AR92" i="3" s="1"/>
  <c r="AS92" i="3" a="1"/>
  <c r="AS92" i="3" s="1"/>
  <c r="AT92" i="3" a="1"/>
  <c r="AT92" i="3" s="1"/>
  <c r="AU92" i="3" a="1"/>
  <c r="AU92" i="3" s="1"/>
  <c r="AR93" i="3" a="1"/>
  <c r="AR93" i="3"/>
  <c r="AS93" i="3" a="1"/>
  <c r="AS93" i="3"/>
  <c r="AT93" i="3" a="1"/>
  <c r="AT93" i="3" s="1"/>
  <c r="AU93" i="3" a="1"/>
  <c r="AU93" i="3" s="1"/>
  <c r="AR94" i="3" a="1"/>
  <c r="AR94" i="3" s="1"/>
  <c r="AS94" i="3" a="1"/>
  <c r="AS94" i="3"/>
  <c r="AT94" i="3" a="1"/>
  <c r="AT94" i="3" s="1"/>
  <c r="AU94" i="3" a="1"/>
  <c r="AU94" i="3" s="1"/>
  <c r="AR95" i="3" a="1"/>
  <c r="AR95" i="3" s="1"/>
  <c r="AS95" i="3" a="1"/>
  <c r="AS95" i="3" s="1"/>
  <c r="AT95" i="3" a="1"/>
  <c r="AT95" i="3" s="1"/>
  <c r="AU95" i="3" a="1"/>
  <c r="AU95" i="3" s="1"/>
  <c r="AR96" i="3" a="1"/>
  <c r="AR96" i="3"/>
  <c r="AS96" i="3" a="1"/>
  <c r="AS96" i="3" s="1"/>
  <c r="AT96" i="3" a="1"/>
  <c r="AT96" i="3" s="1"/>
  <c r="AU96" i="3" a="1"/>
  <c r="AU96" i="3" s="1"/>
  <c r="AR97" i="3" a="1"/>
  <c r="AR97" i="3"/>
  <c r="AS97" i="3" a="1"/>
  <c r="AS97" i="3"/>
  <c r="AT97" i="3" a="1"/>
  <c r="AT97" i="3" s="1"/>
  <c r="AU97" i="3" a="1"/>
  <c r="AU97" i="3" s="1"/>
  <c r="AR98" i="3" a="1"/>
  <c r="AR98" i="3" s="1"/>
  <c r="AS98" i="3" a="1"/>
  <c r="AS98" i="3"/>
  <c r="AT98" i="3" a="1"/>
  <c r="AT98" i="3" s="1"/>
  <c r="AU98" i="3" a="1"/>
  <c r="AU98" i="3" s="1"/>
  <c r="AR99" i="3" a="1"/>
  <c r="AR99" i="3" s="1"/>
  <c r="AS99" i="3" a="1"/>
  <c r="AS99" i="3" s="1"/>
  <c r="AT99" i="3" a="1"/>
  <c r="AT99" i="3" s="1"/>
  <c r="AU99" i="3" a="1"/>
  <c r="AU99" i="3" s="1"/>
  <c r="AR100" i="3" a="1"/>
  <c r="AR100" i="3"/>
  <c r="AS100" i="3" a="1"/>
  <c r="AS100" i="3" s="1"/>
  <c r="AT100" i="3" a="1"/>
  <c r="AT100" i="3" s="1"/>
  <c r="AU100" i="3" a="1"/>
  <c r="AU100" i="3" s="1"/>
  <c r="AR101" i="3" a="1"/>
  <c r="AR101" i="3"/>
  <c r="AS101" i="3" a="1"/>
  <c r="AS101" i="3"/>
  <c r="AT101" i="3" a="1"/>
  <c r="AT101" i="3" s="1"/>
  <c r="AU101" i="3" a="1"/>
  <c r="AU101" i="3" s="1"/>
  <c r="AR102" i="3" a="1"/>
  <c r="AR102" i="3" s="1"/>
  <c r="AS102" i="3" a="1"/>
  <c r="AS102" i="3"/>
  <c r="AT102" i="3" a="1"/>
  <c r="AT102" i="3" s="1"/>
  <c r="AU102" i="3" a="1"/>
  <c r="AU102" i="3" s="1"/>
  <c r="AR103" i="3" a="1"/>
  <c r="AR103" i="3" s="1"/>
  <c r="AS103" i="3" a="1"/>
  <c r="AS103" i="3" s="1"/>
  <c r="AT103" i="3" a="1"/>
  <c r="AT103" i="3" s="1"/>
  <c r="AU103" i="3" a="1"/>
  <c r="AU103" i="3" s="1"/>
  <c r="AR104" i="3" a="1"/>
  <c r="AR104" i="3"/>
  <c r="AS104" i="3" a="1"/>
  <c r="AS104" i="3" s="1"/>
  <c r="AT104" i="3" a="1"/>
  <c r="AT104" i="3" s="1"/>
  <c r="AU104" i="3" a="1"/>
  <c r="AU104" i="3" s="1"/>
  <c r="AR105" i="3" a="1"/>
  <c r="AR105" i="3"/>
  <c r="AS105" i="3" a="1"/>
  <c r="AS105" i="3"/>
  <c r="AT105" i="3" a="1"/>
  <c r="AT105" i="3" s="1"/>
  <c r="AU105" i="3" a="1"/>
  <c r="AU105" i="3" s="1"/>
  <c r="AR106" i="3" a="1"/>
  <c r="AR106" i="3" s="1"/>
  <c r="AS106" i="3" a="1"/>
  <c r="AS106" i="3"/>
  <c r="AT106" i="3" a="1"/>
  <c r="AT106" i="3" s="1"/>
  <c r="AU106" i="3" a="1"/>
  <c r="AU106" i="3" s="1"/>
  <c r="AR107" i="3" a="1"/>
  <c r="AR107" i="3" s="1"/>
  <c r="AS107" i="3" a="1"/>
  <c r="AS107" i="3" s="1"/>
  <c r="AT107" i="3" a="1"/>
  <c r="AT107" i="3" s="1"/>
  <c r="AU107" i="3" a="1"/>
  <c r="AU107" i="3" s="1"/>
  <c r="AR108" i="3" a="1"/>
  <c r="AR108" i="3"/>
  <c r="AS108" i="3" a="1"/>
  <c r="AS108" i="3" s="1"/>
  <c r="AT108" i="3" a="1"/>
  <c r="AT108" i="3" s="1"/>
  <c r="AU108" i="3" a="1"/>
  <c r="AU108" i="3" s="1"/>
  <c r="AR109" i="3" a="1"/>
  <c r="AR109" i="3"/>
  <c r="AS109" i="3" a="1"/>
  <c r="AS109" i="3"/>
  <c r="AT109" i="3" a="1"/>
  <c r="AT109" i="3" s="1"/>
  <c r="AU109" i="3" a="1"/>
  <c r="AU109" i="3" s="1"/>
  <c r="AR110" i="3" a="1"/>
  <c r="AR110" i="3" s="1"/>
  <c r="AS110" i="3" a="1"/>
  <c r="AS110" i="3"/>
  <c r="AT110" i="3" a="1"/>
  <c r="AT110" i="3" s="1"/>
  <c r="AU110" i="3" a="1"/>
  <c r="AU110" i="3" s="1"/>
  <c r="AR111" i="3" a="1"/>
  <c r="AR111" i="3" s="1"/>
  <c r="AS111" i="3" a="1"/>
  <c r="AS111" i="3" s="1"/>
  <c r="AT111" i="3" a="1"/>
  <c r="AT111" i="3" s="1"/>
  <c r="AU111" i="3" a="1"/>
  <c r="AU111" i="3" s="1"/>
  <c r="AR112" i="3" a="1"/>
  <c r="AR112" i="3"/>
  <c r="AS112" i="3" a="1"/>
  <c r="AS112" i="3" s="1"/>
  <c r="AT112" i="3" a="1"/>
  <c r="AT112" i="3" s="1"/>
  <c r="AU112" i="3" a="1"/>
  <c r="AU112" i="3" s="1"/>
  <c r="AR113" i="3" a="1"/>
  <c r="AR113" i="3"/>
  <c r="AS113" i="3" a="1"/>
  <c r="AS113" i="3"/>
  <c r="AT113" i="3" a="1"/>
  <c r="AT113" i="3" s="1"/>
  <c r="AU113" i="3" a="1"/>
  <c r="AU113" i="3" s="1"/>
  <c r="AR114" i="3" a="1"/>
  <c r="AR114" i="3" s="1"/>
  <c r="AS114" i="3" a="1"/>
  <c r="AS114" i="3"/>
  <c r="AT114" i="3" a="1"/>
  <c r="AT114" i="3" s="1"/>
  <c r="AU114" i="3" a="1"/>
  <c r="AU114" i="3" s="1"/>
  <c r="AR115" i="3" a="1"/>
  <c r="AR115" i="3" s="1"/>
  <c r="AS115" i="3" a="1"/>
  <c r="AS115" i="3" s="1"/>
  <c r="AT115" i="3" a="1"/>
  <c r="AT115" i="3" s="1"/>
  <c r="AU115" i="3" a="1"/>
  <c r="AU115" i="3" s="1"/>
  <c r="AR116" i="3" a="1"/>
  <c r="AR116" i="3"/>
  <c r="AS116" i="3" a="1"/>
  <c r="AS116" i="3" s="1"/>
  <c r="AT116" i="3" a="1"/>
  <c r="AT116" i="3" s="1"/>
  <c r="AU116" i="3" a="1"/>
  <c r="AU116" i="3" s="1"/>
  <c r="AR117" i="3" a="1"/>
  <c r="AR117" i="3"/>
  <c r="AS117" i="3" a="1"/>
  <c r="AS117" i="3"/>
  <c r="AT117" i="3" a="1"/>
  <c r="AT117" i="3" s="1"/>
  <c r="AU117" i="3" a="1"/>
  <c r="AU117" i="3" s="1"/>
  <c r="AR118" i="3" a="1"/>
  <c r="AR118" i="3" s="1"/>
  <c r="AS118" i="3" a="1"/>
  <c r="AS118" i="3"/>
  <c r="AT118" i="3" a="1"/>
  <c r="AT118" i="3" s="1"/>
  <c r="AU118" i="3" a="1"/>
  <c r="AU118" i="3" s="1"/>
  <c r="AR119" i="3" a="1"/>
  <c r="AR119" i="3" s="1"/>
  <c r="AS119" i="3" a="1"/>
  <c r="AS119" i="3" s="1"/>
  <c r="AT119" i="3" a="1"/>
  <c r="AT119" i="3" s="1"/>
  <c r="AU119" i="3" a="1"/>
  <c r="AU119" i="3" s="1"/>
  <c r="AR120" i="3" a="1"/>
  <c r="AR120" i="3"/>
  <c r="AS120" i="3" a="1"/>
  <c r="AS120" i="3" s="1"/>
  <c r="AT120" i="3" a="1"/>
  <c r="AT120" i="3" s="1"/>
  <c r="AU120" i="3" a="1"/>
  <c r="AU120" i="3" s="1"/>
  <c r="AR121" i="3" a="1"/>
  <c r="AR121" i="3"/>
  <c r="AS121" i="3" a="1"/>
  <c r="AS121" i="3"/>
  <c r="AT121" i="3" a="1"/>
  <c r="AT121" i="3" s="1"/>
  <c r="AU121" i="3" a="1"/>
  <c r="AU121" i="3" s="1"/>
  <c r="AR122" i="3" a="1"/>
  <c r="AR122" i="3" s="1"/>
  <c r="AS122" i="3" a="1"/>
  <c r="AS122" i="3"/>
  <c r="AT122" i="3" a="1"/>
  <c r="AT122" i="3" s="1"/>
  <c r="AU122" i="3" a="1"/>
  <c r="AU122" i="3" s="1"/>
  <c r="AR123" i="3" a="1"/>
  <c r="AR123" i="3" s="1"/>
  <c r="AS123" i="3" a="1"/>
  <c r="AS123" i="3" s="1"/>
  <c r="AT123" i="3" a="1"/>
  <c r="AT123" i="3" s="1"/>
  <c r="AU123" i="3" a="1"/>
  <c r="AU123" i="3" s="1"/>
  <c r="AR124" i="3" a="1"/>
  <c r="AR124" i="3"/>
  <c r="AS124" i="3" a="1"/>
  <c r="AS124" i="3" s="1"/>
  <c r="AT124" i="3" a="1"/>
  <c r="AT124" i="3" s="1"/>
  <c r="AU124" i="3" a="1"/>
  <c r="AU124" i="3" s="1"/>
  <c r="AR125" i="3" a="1"/>
  <c r="AR125" i="3"/>
  <c r="AS125" i="3" a="1"/>
  <c r="AS125" i="3"/>
  <c r="AT125" i="3" a="1"/>
  <c r="AT125" i="3" s="1"/>
  <c r="AU125" i="3" a="1"/>
  <c r="AU125" i="3" s="1"/>
  <c r="AR126" i="3" a="1"/>
  <c r="AR126" i="3" s="1"/>
  <c r="AS126" i="3" a="1"/>
  <c r="AS126" i="3"/>
  <c r="AT126" i="3" a="1"/>
  <c r="AT126" i="3" s="1"/>
  <c r="AU126" i="3" a="1"/>
  <c r="AU126" i="3" s="1"/>
  <c r="AR127" i="3" a="1"/>
  <c r="AR127" i="3" s="1"/>
  <c r="AS127" i="3" a="1"/>
  <c r="AS127" i="3" s="1"/>
  <c r="AT127" i="3" a="1"/>
  <c r="AT127" i="3" s="1"/>
  <c r="AU127" i="3" a="1"/>
  <c r="AU127" i="3" s="1"/>
  <c r="AR128" i="3" a="1"/>
  <c r="AR128" i="3"/>
  <c r="AS128" i="3" a="1"/>
  <c r="AS128" i="3" s="1"/>
  <c r="AT128" i="3" a="1"/>
  <c r="AT128" i="3" s="1"/>
  <c r="AU128" i="3" a="1"/>
  <c r="AU128" i="3" s="1"/>
  <c r="AR129" i="3" a="1"/>
  <c r="AR129" i="3"/>
  <c r="AS129" i="3" a="1"/>
  <c r="AS129" i="3"/>
  <c r="AT129" i="3" a="1"/>
  <c r="AT129" i="3" s="1"/>
  <c r="AU129" i="3" a="1"/>
  <c r="AU129" i="3" s="1"/>
  <c r="AR130" i="3" a="1"/>
  <c r="AR130" i="3" s="1"/>
  <c r="AS130" i="3" a="1"/>
  <c r="AS130" i="3"/>
  <c r="AT130" i="3" a="1"/>
  <c r="AT130" i="3" s="1"/>
  <c r="AU130" i="3" a="1"/>
  <c r="AU130" i="3" s="1"/>
  <c r="AR131" i="3" a="1"/>
  <c r="AR131" i="3" s="1"/>
  <c r="AS131" i="3" a="1"/>
  <c r="AS131" i="3" s="1"/>
  <c r="AT131" i="3" a="1"/>
  <c r="AT131" i="3" s="1"/>
  <c r="AU131" i="3" a="1"/>
  <c r="AU131" i="3" s="1"/>
  <c r="AR132" i="3" a="1"/>
  <c r="AR132" i="3"/>
  <c r="AS132" i="3" a="1"/>
  <c r="AS132" i="3" s="1"/>
  <c r="AT132" i="3" a="1"/>
  <c r="AT132" i="3" s="1"/>
  <c r="AU132" i="3" a="1"/>
  <c r="AU132" i="3" s="1"/>
  <c r="AR133" i="3" a="1"/>
  <c r="AR133" i="3"/>
  <c r="AS133" i="3" a="1"/>
  <c r="AS133" i="3"/>
  <c r="AT133" i="3" a="1"/>
  <c r="AT133" i="3" s="1"/>
  <c r="AU133" i="3" a="1"/>
  <c r="AU133" i="3" s="1"/>
  <c r="AR134" i="3" a="1"/>
  <c r="AR134" i="3" s="1"/>
  <c r="AS134" i="3" a="1"/>
  <c r="AS134" i="3"/>
  <c r="AT134" i="3" a="1"/>
  <c r="AT134" i="3" s="1"/>
  <c r="AU134" i="3" a="1"/>
  <c r="AU134" i="3" s="1"/>
  <c r="AR135" i="3" a="1"/>
  <c r="AR135" i="3" s="1"/>
  <c r="AS135" i="3" a="1"/>
  <c r="AS135" i="3" s="1"/>
  <c r="AT135" i="3" a="1"/>
  <c r="AT135" i="3" s="1"/>
  <c r="AU135" i="3" a="1"/>
  <c r="AU135" i="3" s="1"/>
  <c r="AR136" i="3" a="1"/>
  <c r="AR136" i="3" s="1"/>
  <c r="AS136" i="3" a="1"/>
  <c r="AS136" i="3" s="1"/>
  <c r="AT136" i="3" a="1"/>
  <c r="AT136" i="3" s="1"/>
  <c r="AU136" i="3" a="1"/>
  <c r="AU136" i="3"/>
  <c r="AR137" i="3" a="1"/>
  <c r="AR137" i="3"/>
  <c r="AS137" i="3" a="1"/>
  <c r="AS137" i="3" s="1"/>
  <c r="AT137" i="3" a="1"/>
  <c r="AT137" i="3"/>
  <c r="AU137" i="3" a="1"/>
  <c r="AU137" i="3"/>
  <c r="AR138" i="3" a="1"/>
  <c r="AR138" i="3"/>
  <c r="AS138" i="3" a="1"/>
  <c r="AS138" i="3" s="1"/>
  <c r="AT138" i="3" a="1"/>
  <c r="AT138" i="3"/>
  <c r="AU138" i="3" a="1"/>
  <c r="AU138" i="3"/>
  <c r="AR139" i="3" a="1"/>
  <c r="AR139" i="3" s="1"/>
  <c r="AS139" i="3" a="1"/>
  <c r="AS139" i="3" s="1"/>
  <c r="AT139" i="3" a="1"/>
  <c r="AT139" i="3"/>
  <c r="AU139" i="3" a="1"/>
  <c r="AU139" i="3"/>
  <c r="AR140" i="3" a="1"/>
  <c r="AR140" i="3" s="1"/>
  <c r="AS140" i="3" a="1"/>
  <c r="AS140" i="3" s="1"/>
  <c r="AT140" i="3" a="1"/>
  <c r="AT140" i="3"/>
  <c r="AU140" i="3" a="1"/>
  <c r="AU140" i="3"/>
  <c r="AR141" i="3" a="1"/>
  <c r="AR141" i="3" s="1"/>
  <c r="AS141" i="3" a="1"/>
  <c r="AS141" i="3" s="1"/>
  <c r="AT141" i="3" a="1"/>
  <c r="AT141" i="3"/>
  <c r="AU141" i="3" a="1"/>
  <c r="AU141" i="3"/>
  <c r="AR142" i="3" a="1"/>
  <c r="AR142" i="3"/>
  <c r="AS142" i="3" a="1"/>
  <c r="AS142" i="3" s="1"/>
  <c r="AT142" i="3" a="1"/>
  <c r="AT142" i="3"/>
  <c r="AU142" i="3" a="1"/>
  <c r="AU142" i="3"/>
  <c r="AR143" i="3" a="1"/>
  <c r="AR143" i="3" s="1"/>
  <c r="AS143" i="3" a="1"/>
  <c r="AS143" i="3" s="1"/>
  <c r="AT143" i="3" a="1"/>
  <c r="AT143" i="3"/>
  <c r="AU143" i="3" a="1"/>
  <c r="AU143" i="3"/>
  <c r="AR144" i="3" a="1"/>
  <c r="AR144" i="3"/>
  <c r="AS144" i="3" a="1"/>
  <c r="AS144" i="3" s="1"/>
  <c r="AT144" i="3" a="1"/>
  <c r="AT144" i="3"/>
  <c r="AU144" i="3" a="1"/>
  <c r="AU144" i="3"/>
  <c r="AR145" i="3" a="1"/>
  <c r="AR145" i="3"/>
  <c r="AS145" i="3" a="1"/>
  <c r="AS145" i="3" s="1"/>
  <c r="AT145" i="3" a="1"/>
  <c r="AT145" i="3"/>
  <c r="AU145" i="3" a="1"/>
  <c r="AU145" i="3"/>
  <c r="AR146" i="3" a="1"/>
  <c r="AR146" i="3"/>
  <c r="AS146" i="3" a="1"/>
  <c r="AS146" i="3" s="1"/>
  <c r="AT146" i="3" a="1"/>
  <c r="AT146" i="3"/>
  <c r="AU146" i="3" a="1"/>
  <c r="AU146" i="3"/>
  <c r="AR147" i="3" a="1"/>
  <c r="AR147" i="3" s="1"/>
  <c r="AS147" i="3" a="1"/>
  <c r="AS147" i="3" s="1"/>
  <c r="AT147" i="3" a="1"/>
  <c r="AT147" i="3"/>
  <c r="AU147" i="3" a="1"/>
  <c r="AU147" i="3"/>
  <c r="AR148" i="3" a="1"/>
  <c r="AR148" i="3" s="1"/>
  <c r="AS148" i="3" a="1"/>
  <c r="AS148" i="3" s="1"/>
  <c r="AT148" i="3" a="1"/>
  <c r="AT148" i="3"/>
  <c r="AU148" i="3" a="1"/>
  <c r="AU148" i="3"/>
  <c r="AR149" i="3" a="1"/>
  <c r="AR149" i="3" s="1"/>
  <c r="AS149" i="3" a="1"/>
  <c r="AS149" i="3" s="1"/>
  <c r="AT149" i="3" a="1"/>
  <c r="AT149" i="3"/>
  <c r="AU149" i="3" a="1"/>
  <c r="AU149" i="3"/>
  <c r="AR150" i="3" a="1"/>
  <c r="AR150" i="3"/>
  <c r="AS150" i="3" a="1"/>
  <c r="AS150" i="3" s="1"/>
  <c r="AT150" i="3" a="1"/>
  <c r="AT150" i="3"/>
  <c r="AU150" i="3" a="1"/>
  <c r="AU150" i="3"/>
  <c r="AR151" i="3" a="1"/>
  <c r="AR151" i="3" s="1"/>
  <c r="AS151" i="3" a="1"/>
  <c r="AS151" i="3" s="1"/>
  <c r="AT151" i="3" a="1"/>
  <c r="AT151" i="3"/>
  <c r="AU151" i="3" a="1"/>
  <c r="AU151" i="3"/>
  <c r="AR152" i="3" a="1"/>
  <c r="AR152" i="3"/>
  <c r="AS152" i="3" a="1"/>
  <c r="AS152" i="3" s="1"/>
  <c r="AT152" i="3" a="1"/>
  <c r="AT152" i="3"/>
  <c r="AU152" i="3" a="1"/>
  <c r="AU152" i="3"/>
  <c r="AR153" i="3" a="1"/>
  <c r="AR153" i="3"/>
  <c r="AS153" i="3" a="1"/>
  <c r="AS153" i="3" s="1"/>
  <c r="AT153" i="3" a="1"/>
  <c r="AT153" i="3"/>
  <c r="AU153" i="3" a="1"/>
  <c r="AU153" i="3"/>
  <c r="AR154" i="3" a="1"/>
  <c r="AR154" i="3"/>
  <c r="AS154" i="3" a="1"/>
  <c r="AS154" i="3" s="1"/>
  <c r="AT154" i="3" a="1"/>
  <c r="AT154" i="3"/>
  <c r="AU154" i="3" a="1"/>
  <c r="AU154" i="3"/>
  <c r="AR155" i="3" a="1"/>
  <c r="AR155" i="3" s="1"/>
  <c r="AS155" i="3" a="1"/>
  <c r="AS155" i="3" s="1"/>
  <c r="AT155" i="3" a="1"/>
  <c r="AT155" i="3"/>
  <c r="AU155" i="3" a="1"/>
  <c r="AU155" i="3"/>
  <c r="AR156" i="3" a="1"/>
  <c r="AR156" i="3" s="1"/>
  <c r="AS156" i="3" a="1"/>
  <c r="AS156" i="3" s="1"/>
  <c r="AT156" i="3" a="1"/>
  <c r="AT156" i="3"/>
  <c r="AU156" i="3" a="1"/>
  <c r="AU156" i="3"/>
  <c r="AR157" i="3" a="1"/>
  <c r="AR157" i="3" s="1"/>
  <c r="AS157" i="3" a="1"/>
  <c r="AS157" i="3" s="1"/>
  <c r="AT157" i="3" a="1"/>
  <c r="AT157" i="3"/>
  <c r="AU157" i="3" a="1"/>
  <c r="AU157" i="3"/>
  <c r="AR158" i="3" a="1"/>
  <c r="AR158" i="3"/>
  <c r="AS158" i="3" a="1"/>
  <c r="AS158" i="3" s="1"/>
  <c r="AT158" i="3" a="1"/>
  <c r="AT158" i="3"/>
  <c r="AU158" i="3" a="1"/>
  <c r="AU158" i="3"/>
  <c r="AR159" i="3" a="1"/>
  <c r="AR159" i="3" s="1"/>
  <c r="AS159" i="3" a="1"/>
  <c r="AS159" i="3" s="1"/>
  <c r="AT159" i="3" a="1"/>
  <c r="AT159" i="3"/>
  <c r="AU159" i="3" a="1"/>
  <c r="AU159" i="3"/>
  <c r="AR160" i="3" a="1"/>
  <c r="AR160" i="3"/>
  <c r="AS160" i="3" a="1"/>
  <c r="AS160" i="3" s="1"/>
  <c r="AT160" i="3" a="1"/>
  <c r="AT160" i="3"/>
  <c r="AU160" i="3" a="1"/>
  <c r="AU160" i="3"/>
  <c r="AR161" i="3" a="1"/>
  <c r="AR161" i="3"/>
  <c r="AS161" i="3" a="1"/>
  <c r="AS161" i="3" s="1"/>
  <c r="AT161" i="3" a="1"/>
  <c r="AT161" i="3"/>
  <c r="AU161" i="3" a="1"/>
  <c r="AU161" i="3"/>
  <c r="AR162" i="3" a="1"/>
  <c r="AR162" i="3"/>
  <c r="AS162" i="3" a="1"/>
  <c r="AS162" i="3" s="1"/>
  <c r="AT162" i="3" a="1"/>
  <c r="AT162" i="3"/>
  <c r="AU162" i="3" a="1"/>
  <c r="AU162" i="3"/>
  <c r="AR163" i="3" a="1"/>
  <c r="AR163" i="3" s="1"/>
  <c r="AS163" i="3" a="1"/>
  <c r="AS163" i="3" s="1"/>
  <c r="AT163" i="3" a="1"/>
  <c r="AT163" i="3"/>
  <c r="AU163" i="3" a="1"/>
  <c r="AU163" i="3"/>
  <c r="AR164" i="3" a="1"/>
  <c r="AR164" i="3" s="1"/>
  <c r="AS164" i="3" a="1"/>
  <c r="AS164" i="3" s="1"/>
  <c r="AT164" i="3" a="1"/>
  <c r="AT164" i="3"/>
  <c r="AU164" i="3" a="1"/>
  <c r="AU164" i="3"/>
  <c r="AR165" i="3" a="1"/>
  <c r="AR165" i="3" s="1"/>
  <c r="AS165" i="3" a="1"/>
  <c r="AS165" i="3" s="1"/>
  <c r="AT165" i="3" a="1"/>
  <c r="AT165" i="3"/>
  <c r="AU165" i="3" a="1"/>
  <c r="AU165" i="3"/>
  <c r="AR166" i="3" a="1"/>
  <c r="AR166" i="3"/>
  <c r="AS166" i="3" a="1"/>
  <c r="AS166" i="3" s="1"/>
  <c r="AT166" i="3" a="1"/>
  <c r="AT166" i="3"/>
  <c r="AU166" i="3" a="1"/>
  <c r="AU166" i="3"/>
  <c r="AR167" i="3" a="1"/>
  <c r="AR167" i="3" s="1"/>
  <c r="AS167" i="3" a="1"/>
  <c r="AS167" i="3" s="1"/>
  <c r="AT167" i="3" a="1"/>
  <c r="AT167" i="3"/>
  <c r="AU167" i="3" a="1"/>
  <c r="AU167" i="3"/>
  <c r="AR168" i="3" a="1"/>
  <c r="AR168" i="3"/>
  <c r="AS168" i="3" a="1"/>
  <c r="AS168" i="3" s="1"/>
  <c r="AT168" i="3" a="1"/>
  <c r="AT168" i="3"/>
  <c r="AU168" i="3" a="1"/>
  <c r="AU168" i="3"/>
  <c r="AR169" i="3" a="1"/>
  <c r="AR169" i="3"/>
  <c r="AS169" i="3" a="1"/>
  <c r="AS169" i="3" s="1"/>
  <c r="AT169" i="3" a="1"/>
  <c r="AT169" i="3"/>
  <c r="AU169" i="3" a="1"/>
  <c r="AU169" i="3"/>
  <c r="AR170" i="3" a="1"/>
  <c r="AR170" i="3"/>
  <c r="AS170" i="3" a="1"/>
  <c r="AS170" i="3" s="1"/>
  <c r="AT170" i="3" a="1"/>
  <c r="AT170" i="3" s="1"/>
  <c r="AU170" i="3" a="1"/>
  <c r="AU170" i="3"/>
  <c r="AR171" i="3" a="1"/>
  <c r="AR171" i="3" s="1"/>
  <c r="AS171" i="3" a="1"/>
  <c r="AS171" i="3" s="1"/>
  <c r="AT171" i="3" a="1"/>
  <c r="AT171" i="3"/>
  <c r="AU171" i="3" a="1"/>
  <c r="AU171" i="3"/>
  <c r="AR172" i="3" a="1"/>
  <c r="AR172" i="3" s="1"/>
  <c r="AS172" i="3" a="1"/>
  <c r="AS172" i="3" s="1"/>
  <c r="AT172" i="3" a="1"/>
  <c r="AT172" i="3"/>
  <c r="AU172" i="3" a="1"/>
  <c r="AU172" i="3"/>
  <c r="AR173" i="3" a="1"/>
  <c r="AR173" i="3" s="1"/>
  <c r="AS173" i="3" a="1"/>
  <c r="AS173" i="3" s="1"/>
  <c r="AT173" i="3" a="1"/>
  <c r="AT173" i="3"/>
  <c r="AU173" i="3" a="1"/>
  <c r="AU173" i="3"/>
  <c r="AR174" i="3" a="1"/>
  <c r="AR174" i="3"/>
  <c r="AS174" i="3" a="1"/>
  <c r="AS174" i="3" s="1"/>
  <c r="AT174" i="3" a="1"/>
  <c r="AT174" i="3" s="1"/>
  <c r="AU174" i="3" a="1"/>
  <c r="AU174" i="3" s="1"/>
  <c r="AR175" i="3" a="1"/>
  <c r="AR175" i="3"/>
  <c r="AS175" i="3" a="1"/>
  <c r="AS175" i="3" s="1"/>
  <c r="AT175" i="3" a="1"/>
  <c r="AT175" i="3" s="1"/>
  <c r="AU175" i="3" a="1"/>
  <c r="AU175" i="3" s="1"/>
  <c r="AR176" i="3" a="1"/>
  <c r="AR176" i="3"/>
  <c r="AS176" i="3" a="1"/>
  <c r="AS176" i="3" s="1"/>
  <c r="AT176" i="3" a="1"/>
  <c r="AT176" i="3" s="1"/>
  <c r="AU176" i="3" a="1"/>
  <c r="AU176" i="3" s="1"/>
  <c r="AR177" i="3" a="1"/>
  <c r="AR177" i="3" s="1"/>
  <c r="AS177" i="3" a="1"/>
  <c r="AS177" i="3" s="1"/>
  <c r="AT177" i="3" a="1"/>
  <c r="AT177" i="3"/>
  <c r="AU177" i="3" a="1"/>
  <c r="AU177" i="3" s="1"/>
  <c r="AR178" i="3" a="1"/>
  <c r="AR178" i="3"/>
  <c r="AS178" i="3" a="1"/>
  <c r="AS178" i="3" s="1"/>
  <c r="AT178" i="3" a="1"/>
  <c r="AT178" i="3"/>
  <c r="AU178" i="3" a="1"/>
  <c r="AU178" i="3" s="1"/>
  <c r="AR179" i="3" a="1"/>
  <c r="AR179" i="3"/>
  <c r="AS179" i="3" a="1"/>
  <c r="AS179" i="3" s="1"/>
  <c r="AT179" i="3" a="1"/>
  <c r="AT179" i="3" s="1"/>
  <c r="AU179" i="3" a="1"/>
  <c r="AU179" i="3" s="1"/>
  <c r="AR180" i="3" a="1"/>
  <c r="AR180" i="3"/>
  <c r="AS180" i="3" a="1"/>
  <c r="AS180" i="3" s="1"/>
  <c r="AT180" i="3" a="1"/>
  <c r="AT180" i="3" s="1"/>
  <c r="AU180" i="3" a="1"/>
  <c r="AU180" i="3" s="1"/>
  <c r="AR181" i="3" a="1"/>
  <c r="AR181" i="3" s="1"/>
  <c r="AS181" i="3" a="1"/>
  <c r="AS181" i="3" s="1"/>
  <c r="AT181" i="3" a="1"/>
  <c r="AT181" i="3"/>
  <c r="AU181" i="3" a="1"/>
  <c r="AU181" i="3" s="1"/>
  <c r="AR182" i="3" a="1"/>
  <c r="AR182" i="3"/>
  <c r="AS182" i="3" a="1"/>
  <c r="AS182" i="3" s="1"/>
  <c r="AT182" i="3" a="1"/>
  <c r="AT182" i="3"/>
  <c r="AU182" i="3" a="1"/>
  <c r="AU182" i="3" s="1"/>
  <c r="AR183" i="3" a="1"/>
  <c r="AR183" i="3"/>
  <c r="AS183" i="3" a="1"/>
  <c r="AS183" i="3" s="1"/>
  <c r="AT183" i="3" a="1"/>
  <c r="AT183" i="3" s="1"/>
  <c r="AU183" i="3" a="1"/>
  <c r="AU183" i="3" s="1"/>
  <c r="AR184" i="3" a="1"/>
  <c r="AR184" i="3"/>
  <c r="AS184" i="3" a="1"/>
  <c r="AS184" i="3" s="1"/>
  <c r="AT184" i="3" a="1"/>
  <c r="AT184" i="3" s="1"/>
  <c r="AU184" i="3" a="1"/>
  <c r="AU184" i="3" s="1"/>
  <c r="AR185" i="3" a="1"/>
  <c r="AR185" i="3" s="1"/>
  <c r="AS185" i="3" a="1"/>
  <c r="AS185" i="3" s="1"/>
  <c r="AT185" i="3" a="1"/>
  <c r="AT185" i="3"/>
  <c r="AU185" i="3" a="1"/>
  <c r="AU185" i="3" s="1"/>
  <c r="AR186" i="3" a="1"/>
  <c r="AR186" i="3"/>
  <c r="AS186" i="3" a="1"/>
  <c r="AS186" i="3" s="1"/>
  <c r="AT186" i="3" a="1"/>
  <c r="AT186" i="3"/>
  <c r="AU186" i="3" a="1"/>
  <c r="AU186" i="3" s="1"/>
  <c r="AR187" i="3" a="1"/>
  <c r="AR187" i="3"/>
  <c r="AS187" i="3" a="1"/>
  <c r="AS187" i="3" s="1"/>
  <c r="AT187" i="3" a="1"/>
  <c r="AT187" i="3" s="1"/>
  <c r="AU187" i="3" a="1"/>
  <c r="AU187" i="3" s="1"/>
  <c r="AR188" i="3" a="1"/>
  <c r="AR188" i="3"/>
  <c r="AS188" i="3" a="1"/>
  <c r="AS188" i="3" s="1"/>
  <c r="AT188" i="3" a="1"/>
  <c r="AT188" i="3" s="1"/>
  <c r="AU188" i="3" a="1"/>
  <c r="AU188" i="3" s="1"/>
  <c r="AR189" i="3" a="1"/>
  <c r="AR189" i="3" s="1"/>
  <c r="AS189" i="3" a="1"/>
  <c r="AS189" i="3" s="1"/>
  <c r="AT189" i="3" a="1"/>
  <c r="AT189" i="3"/>
  <c r="AU189" i="3" a="1"/>
  <c r="AU189" i="3" s="1"/>
  <c r="AR190" i="3" a="1"/>
  <c r="AR190" i="3"/>
  <c r="AS190" i="3" a="1"/>
  <c r="AS190" i="3" s="1"/>
  <c r="AT190" i="3" a="1"/>
  <c r="AT190" i="3"/>
  <c r="AU190" i="3" a="1"/>
  <c r="AU190" i="3" s="1"/>
  <c r="AR191" i="3" a="1"/>
  <c r="AR191" i="3"/>
  <c r="AS191" i="3" a="1"/>
  <c r="AS191" i="3" s="1"/>
  <c r="AT191" i="3" a="1"/>
  <c r="AT191" i="3" s="1"/>
  <c r="AU191" i="3" a="1"/>
  <c r="AU191" i="3" s="1"/>
  <c r="AR192" i="3" a="1"/>
  <c r="AR192" i="3"/>
  <c r="AS192" i="3" a="1"/>
  <c r="AS192" i="3" s="1"/>
  <c r="AT192" i="3" a="1"/>
  <c r="AT192" i="3" s="1"/>
  <c r="AU192" i="3" a="1"/>
  <c r="AU192" i="3" s="1"/>
  <c r="AR193" i="3" a="1"/>
  <c r="AR193" i="3" s="1"/>
  <c r="AS193" i="3" a="1"/>
  <c r="AS193" i="3" s="1"/>
  <c r="AT193" i="3" a="1"/>
  <c r="AT193" i="3"/>
  <c r="AU193" i="3" a="1"/>
  <c r="AU193" i="3" s="1"/>
  <c r="AR194" i="3" a="1"/>
  <c r="AR194" i="3"/>
  <c r="AS194" i="3" a="1"/>
  <c r="AS194" i="3" s="1"/>
  <c r="AT194" i="3" a="1"/>
  <c r="AT194" i="3"/>
  <c r="AU194" i="3" a="1"/>
  <c r="AU194" i="3" s="1"/>
  <c r="AR195" i="3" a="1"/>
  <c r="AR195" i="3"/>
  <c r="AS195" i="3" a="1"/>
  <c r="AS195" i="3" s="1"/>
  <c r="AT195" i="3" a="1"/>
  <c r="AT195" i="3" s="1"/>
  <c r="AU195" i="3" a="1"/>
  <c r="AU195" i="3" s="1"/>
  <c r="AR196" i="3" a="1"/>
  <c r="AR196" i="3"/>
  <c r="AS196" i="3" a="1"/>
  <c r="AS196" i="3" s="1"/>
  <c r="AT196" i="3" a="1"/>
  <c r="AT196" i="3" s="1"/>
  <c r="AU196" i="3" a="1"/>
  <c r="AU196" i="3" s="1"/>
  <c r="AR197" i="3" a="1"/>
  <c r="AR197" i="3" s="1"/>
  <c r="AS197" i="3" a="1"/>
  <c r="AS197" i="3" s="1"/>
  <c r="AT197" i="3" a="1"/>
  <c r="AT197" i="3"/>
  <c r="AU197" i="3" a="1"/>
  <c r="AU197" i="3" s="1"/>
  <c r="AR198" i="3" a="1"/>
  <c r="AR198" i="3"/>
  <c r="AS198" i="3" a="1"/>
  <c r="AS198" i="3" s="1"/>
  <c r="AT198" i="3" a="1"/>
  <c r="AT198" i="3"/>
  <c r="AU198" i="3" a="1"/>
  <c r="AU198" i="3" s="1"/>
  <c r="AR199" i="3" a="1"/>
  <c r="AR199" i="3"/>
  <c r="AS199" i="3" a="1"/>
  <c r="AS199" i="3" s="1"/>
  <c r="AT199" i="3" a="1"/>
  <c r="AT199" i="3" s="1"/>
  <c r="AU199" i="3" a="1"/>
  <c r="AU199" i="3" s="1"/>
  <c r="AR200" i="3" a="1"/>
  <c r="AR200" i="3"/>
  <c r="AS200" i="3" a="1"/>
  <c r="AS200" i="3" s="1"/>
  <c r="AT200" i="3" a="1"/>
  <c r="AT200" i="3" s="1"/>
  <c r="AU200" i="3" a="1"/>
  <c r="AU200" i="3" s="1"/>
  <c r="AR201" i="3" a="1"/>
  <c r="AR201" i="3" s="1"/>
  <c r="AS201" i="3" a="1"/>
  <c r="AS201" i="3" s="1"/>
  <c r="AT201" i="3" a="1"/>
  <c r="AT201" i="3"/>
  <c r="AU201" i="3" a="1"/>
  <c r="AU201" i="3" s="1"/>
  <c r="AR202" i="3" a="1"/>
  <c r="AR202" i="3"/>
  <c r="AS202" i="3" a="1"/>
  <c r="AS202" i="3" s="1"/>
  <c r="AT202" i="3" a="1"/>
  <c r="AT202" i="3"/>
  <c r="AU202" i="3" a="1"/>
  <c r="AU202" i="3" s="1"/>
  <c r="AR203" i="3" a="1"/>
  <c r="AR203" i="3"/>
  <c r="AS203" i="3" a="1"/>
  <c r="AS203" i="3" s="1"/>
  <c r="AT203" i="3" a="1"/>
  <c r="AT203" i="3" s="1"/>
  <c r="AU203" i="3" a="1"/>
  <c r="AU203" i="3" s="1"/>
  <c r="AR204" i="3" a="1"/>
  <c r="AR204" i="3"/>
  <c r="AS204" i="3" a="1"/>
  <c r="AS204" i="3" s="1"/>
  <c r="AT204" i="3" a="1"/>
  <c r="AT204" i="3" s="1"/>
  <c r="AU204" i="3" a="1"/>
  <c r="AU204" i="3" s="1"/>
  <c r="AR205" i="3" a="1"/>
  <c r="AR205" i="3" s="1"/>
  <c r="AS205" i="3" a="1"/>
  <c r="AS205" i="3" s="1"/>
  <c r="AT205" i="3" a="1"/>
  <c r="AT205" i="3"/>
  <c r="AU205" i="3" a="1"/>
  <c r="AU205" i="3" s="1"/>
  <c r="AR206" i="3" a="1"/>
  <c r="AR206" i="3"/>
  <c r="AS206" i="3" a="1"/>
  <c r="AS206" i="3" s="1"/>
  <c r="AT206" i="3" a="1"/>
  <c r="AT206" i="3"/>
  <c r="AU206" i="3" a="1"/>
  <c r="AU206" i="3" s="1"/>
  <c r="AR207" i="3" a="1"/>
  <c r="AR207" i="3"/>
  <c r="AS207" i="3" a="1"/>
  <c r="AS207" i="3" s="1"/>
  <c r="AT207" i="3" a="1"/>
  <c r="AT207" i="3" s="1"/>
  <c r="AU207" i="3" a="1"/>
  <c r="AU207" i="3" s="1"/>
  <c r="AR208" i="3" a="1"/>
  <c r="AR208" i="3"/>
  <c r="AS208" i="3" a="1"/>
  <c r="AS208" i="3" s="1"/>
  <c r="AT208" i="3" a="1"/>
  <c r="AT208" i="3" s="1"/>
  <c r="AU208" i="3" a="1"/>
  <c r="AU208" i="3" s="1"/>
  <c r="AR209" i="3" a="1"/>
  <c r="AR209" i="3" s="1"/>
  <c r="AS209" i="3" a="1"/>
  <c r="AS209" i="3" s="1"/>
  <c r="AT209" i="3" a="1"/>
  <c r="AT209" i="3"/>
  <c r="AU209" i="3" a="1"/>
  <c r="AU209" i="3" s="1"/>
  <c r="AR210" i="3" a="1"/>
  <c r="AR210" i="3"/>
  <c r="AS210" i="3" a="1"/>
  <c r="AS210" i="3" s="1"/>
  <c r="AT210" i="3" a="1"/>
  <c r="AT210" i="3" s="1"/>
  <c r="AU210" i="3" a="1"/>
  <c r="AU210" i="3" s="1"/>
  <c r="AR211" i="3" a="1"/>
  <c r="AR211" i="3"/>
  <c r="AS211" i="3" a="1"/>
  <c r="AS211" i="3" s="1"/>
  <c r="AT211" i="3" a="1"/>
  <c r="AT211" i="3" s="1"/>
  <c r="AU211" i="3" a="1"/>
  <c r="AU211" i="3" s="1"/>
  <c r="AR212" i="3" a="1"/>
  <c r="AR212" i="3"/>
  <c r="AS212" i="3" a="1"/>
  <c r="AS212" i="3" s="1"/>
  <c r="AT212" i="3" a="1"/>
  <c r="AT212" i="3" s="1"/>
  <c r="AU212" i="3" a="1"/>
  <c r="AU212" i="3" s="1"/>
  <c r="AR213" i="3" a="1"/>
  <c r="AR213" i="3" s="1"/>
  <c r="AS213" i="3" a="1"/>
  <c r="AS213" i="3" s="1"/>
  <c r="AT213" i="3" a="1"/>
  <c r="AT213" i="3"/>
  <c r="AU213" i="3" a="1"/>
  <c r="AU213" i="3" s="1"/>
  <c r="AR214" i="3" a="1"/>
  <c r="AR214" i="3"/>
  <c r="AS214" i="3" a="1"/>
  <c r="AS214" i="3" s="1"/>
  <c r="AT214" i="3" a="1"/>
  <c r="AT214" i="3" s="1"/>
  <c r="AU214" i="3" a="1"/>
  <c r="AU214" i="3" s="1"/>
  <c r="AR215" i="3" a="1"/>
  <c r="AR215" i="3"/>
  <c r="AS215" i="3" a="1"/>
  <c r="AS215" i="3" s="1"/>
  <c r="AT215" i="3" a="1"/>
  <c r="AT215" i="3" s="1"/>
  <c r="AU215" i="3" a="1"/>
  <c r="AU215" i="3" s="1"/>
  <c r="AR216" i="3" a="1"/>
  <c r="AR216" i="3"/>
  <c r="AS216" i="3" a="1"/>
  <c r="AS216" i="3" s="1"/>
  <c r="AT216" i="3" a="1"/>
  <c r="AT216" i="3" s="1"/>
  <c r="AU216" i="3" a="1"/>
  <c r="AU216" i="3" s="1"/>
  <c r="AR217" i="3" a="1"/>
  <c r="AR217" i="3" s="1"/>
  <c r="AS217" i="3" a="1"/>
  <c r="AS217" i="3" s="1"/>
  <c r="AT217" i="3" a="1"/>
  <c r="AT217" i="3"/>
  <c r="AU217" i="3" a="1"/>
  <c r="AU217" i="3" s="1"/>
  <c r="AR218" i="3" a="1"/>
  <c r="AR218" i="3"/>
  <c r="AS218" i="3" a="1"/>
  <c r="AS218" i="3" s="1"/>
  <c r="AT218" i="3" a="1"/>
  <c r="AT218" i="3" s="1"/>
  <c r="AU218" i="3" a="1"/>
  <c r="AU218" i="3" s="1"/>
  <c r="AR219" i="3" a="1"/>
  <c r="AR219" i="3"/>
  <c r="AS219" i="3" a="1"/>
  <c r="AS219" i="3" s="1"/>
  <c r="AT219" i="3" a="1"/>
  <c r="AT219" i="3" s="1"/>
  <c r="AU219" i="3" a="1"/>
  <c r="AU219" i="3" s="1"/>
  <c r="AR220" i="3" a="1"/>
  <c r="AR220" i="3"/>
  <c r="AS220" i="3" a="1"/>
  <c r="AS220" i="3" s="1"/>
  <c r="AT220" i="3" a="1"/>
  <c r="AT220" i="3" s="1"/>
  <c r="AU220" i="3" a="1"/>
  <c r="AU220" i="3" s="1"/>
  <c r="AR221" i="3" a="1"/>
  <c r="AR221" i="3" s="1"/>
  <c r="AS221" i="3" a="1"/>
  <c r="AS221" i="3"/>
  <c r="AT221" i="3" a="1"/>
  <c r="AT221" i="3"/>
  <c r="AU221" i="3" a="1"/>
  <c r="AU221" i="3"/>
  <c r="AR222" i="3" a="1"/>
  <c r="AR222" i="3" s="1"/>
  <c r="AS222" i="3" a="1"/>
  <c r="AS222" i="3"/>
  <c r="AT222" i="3" a="1"/>
  <c r="AT222" i="3"/>
  <c r="AU222" i="3" a="1"/>
  <c r="AU222" i="3"/>
  <c r="AR223" i="3" a="1"/>
  <c r="AR223" i="3" s="1"/>
  <c r="AS223" i="3" a="1"/>
  <c r="AS223" i="3"/>
  <c r="AT223" i="3" a="1"/>
  <c r="AT223" i="3"/>
  <c r="AU223" i="3" a="1"/>
  <c r="AU223" i="3"/>
  <c r="AR224" i="3" a="1"/>
  <c r="AR224" i="3" s="1"/>
  <c r="AS224" i="3" a="1"/>
  <c r="AS224" i="3"/>
  <c r="AT224" i="3" a="1"/>
  <c r="AT224" i="3"/>
  <c r="AU224" i="3" a="1"/>
  <c r="AU224" i="3"/>
  <c r="AR225" i="3" a="1"/>
  <c r="AR225" i="3" s="1"/>
  <c r="AS225" i="3" a="1"/>
  <c r="AS225" i="3"/>
  <c r="AT225" i="3" a="1"/>
  <c r="AT225" i="3"/>
  <c r="AU225" i="3" a="1"/>
  <c r="AU225" i="3"/>
  <c r="AR226" i="3" a="1"/>
  <c r="AR226" i="3" s="1"/>
  <c r="AS226" i="3" a="1"/>
  <c r="AS226" i="3" s="1"/>
  <c r="AT226" i="3" a="1"/>
  <c r="AT226" i="3"/>
  <c r="AU226" i="3" a="1"/>
  <c r="AU226" i="3"/>
  <c r="AR227" i="3" a="1"/>
  <c r="AR227" i="3" s="1"/>
  <c r="AS227" i="3" a="1"/>
  <c r="AS227" i="3" s="1"/>
  <c r="AT227" i="3" a="1"/>
  <c r="AT227" i="3"/>
  <c r="AU227" i="3" a="1"/>
  <c r="AU227" i="3"/>
  <c r="AR228" i="3" a="1"/>
  <c r="AR228" i="3" s="1"/>
  <c r="AS228" i="3" a="1"/>
  <c r="AS228" i="3" s="1"/>
  <c r="AT228" i="3" a="1"/>
  <c r="AT228" i="3"/>
  <c r="AU228" i="3" a="1"/>
  <c r="AU228" i="3"/>
  <c r="AR229" i="3" a="1"/>
  <c r="AR229" i="3" s="1"/>
  <c r="AS229" i="3" a="1"/>
  <c r="AS229" i="3" s="1"/>
  <c r="AT229" i="3" a="1"/>
  <c r="AT229" i="3"/>
  <c r="AU229" i="3" a="1"/>
  <c r="AU229" i="3"/>
  <c r="AR230" i="3" a="1"/>
  <c r="AR230" i="3" s="1"/>
  <c r="AS230" i="3" a="1"/>
  <c r="AS230" i="3" s="1"/>
  <c r="AT230" i="3" a="1"/>
  <c r="AT230" i="3"/>
  <c r="AU230" i="3" a="1"/>
  <c r="AU230" i="3"/>
  <c r="AR231" i="3" a="1"/>
  <c r="AR231" i="3" s="1"/>
  <c r="AS231" i="3" a="1"/>
  <c r="AS231" i="3" s="1"/>
  <c r="AT231" i="3" a="1"/>
  <c r="AT231" i="3"/>
  <c r="AU231" i="3" a="1"/>
  <c r="AU231" i="3"/>
  <c r="AR232" i="3" a="1"/>
  <c r="AR232" i="3" s="1"/>
  <c r="AS232" i="3" a="1"/>
  <c r="AS232" i="3" s="1"/>
  <c r="AT232" i="3" a="1"/>
  <c r="AT232" i="3"/>
  <c r="AU232" i="3" a="1"/>
  <c r="AU232" i="3"/>
  <c r="AR233" i="3" a="1"/>
  <c r="AR233" i="3" s="1"/>
  <c r="AS233" i="3" a="1"/>
  <c r="AS233" i="3" s="1"/>
  <c r="AT233" i="3" a="1"/>
  <c r="AT233" i="3"/>
  <c r="AU233" i="3" a="1"/>
  <c r="AU233" i="3"/>
  <c r="AR234" i="3" a="1"/>
  <c r="AR234" i="3" s="1"/>
  <c r="AS234" i="3" a="1"/>
  <c r="AS234" i="3" s="1"/>
  <c r="AT234" i="3" a="1"/>
  <c r="AT234" i="3"/>
  <c r="AU234" i="3" a="1"/>
  <c r="AU234" i="3"/>
  <c r="AR235" i="3" a="1"/>
  <c r="AR235" i="3" s="1"/>
  <c r="AS235" i="3" a="1"/>
  <c r="AS235" i="3" s="1"/>
  <c r="AT235" i="3" a="1"/>
  <c r="AT235" i="3"/>
  <c r="AU235" i="3" a="1"/>
  <c r="AU235" i="3"/>
  <c r="AR236" i="3" a="1"/>
  <c r="AR236" i="3" s="1"/>
  <c r="AS236" i="3" a="1"/>
  <c r="AS236" i="3" s="1"/>
  <c r="AT236" i="3" a="1"/>
  <c r="AT236" i="3"/>
  <c r="AU236" i="3" a="1"/>
  <c r="AU236" i="3"/>
  <c r="AR237" i="3" a="1"/>
  <c r="AR237" i="3" s="1"/>
  <c r="AS237" i="3" a="1"/>
  <c r="AS237" i="3" s="1"/>
  <c r="AT237" i="3" a="1"/>
  <c r="AT237" i="3"/>
  <c r="AU237" i="3" a="1"/>
  <c r="AU237" i="3"/>
  <c r="AR238" i="3" a="1"/>
  <c r="AR238" i="3" s="1"/>
  <c r="AS238" i="3" a="1"/>
  <c r="AS238" i="3" s="1"/>
  <c r="AT238" i="3" a="1"/>
  <c r="AT238" i="3"/>
  <c r="AU238" i="3" a="1"/>
  <c r="AU238" i="3"/>
  <c r="AR239" i="3" a="1"/>
  <c r="AR239" i="3" s="1"/>
  <c r="AS239" i="3" a="1"/>
  <c r="AS239" i="3" s="1"/>
  <c r="AT239" i="3" a="1"/>
  <c r="AT239" i="3"/>
  <c r="AU239" i="3" a="1"/>
  <c r="AU239" i="3"/>
  <c r="AR240" i="3" a="1"/>
  <c r="AR240" i="3" s="1"/>
  <c r="AS240" i="3" a="1"/>
  <c r="AS240" i="3" s="1"/>
  <c r="AT240" i="3" a="1"/>
  <c r="AT240" i="3"/>
  <c r="AU240" i="3" a="1"/>
  <c r="AU240" i="3"/>
  <c r="AR241" i="3" a="1"/>
  <c r="AR241" i="3" s="1"/>
  <c r="AS241" i="3" a="1"/>
  <c r="AS241" i="3" s="1"/>
  <c r="AT241" i="3" a="1"/>
  <c r="AT241" i="3"/>
  <c r="AU241" i="3" a="1"/>
  <c r="AU241" i="3"/>
  <c r="AR242" i="3" a="1"/>
  <c r="AR242" i="3" s="1"/>
  <c r="AS242" i="3" a="1"/>
  <c r="AS242" i="3" s="1"/>
  <c r="AT242" i="3" a="1"/>
  <c r="AT242" i="3"/>
  <c r="AU242" i="3" a="1"/>
  <c r="AU242" i="3"/>
  <c r="AR243" i="3" a="1"/>
  <c r="AR243" i="3" s="1"/>
  <c r="AS243" i="3" a="1"/>
  <c r="AS243" i="3" s="1"/>
  <c r="AT243" i="3" a="1"/>
  <c r="AT243" i="3"/>
  <c r="AU243" i="3" a="1"/>
  <c r="AU243" i="3"/>
  <c r="AR244" i="3" a="1"/>
  <c r="AR244" i="3" s="1"/>
  <c r="AS244" i="3" a="1"/>
  <c r="AS244" i="3" s="1"/>
  <c r="AT244" i="3" a="1"/>
  <c r="AT244" i="3"/>
  <c r="AU244" i="3" a="1"/>
  <c r="AU244" i="3"/>
  <c r="AR245" i="3" a="1"/>
  <c r="AR245" i="3" s="1"/>
  <c r="AS245" i="3" a="1"/>
  <c r="AS245" i="3" s="1"/>
  <c r="AT245" i="3" a="1"/>
  <c r="AT245" i="3"/>
  <c r="AU245" i="3" a="1"/>
  <c r="AU245" i="3"/>
  <c r="AR246" i="3" a="1"/>
  <c r="AR246" i="3" s="1"/>
  <c r="AS246" i="3" a="1"/>
  <c r="AS246" i="3" s="1"/>
  <c r="AT246" i="3" a="1"/>
  <c r="AT246" i="3"/>
  <c r="AU246" i="3" a="1"/>
  <c r="AU246" i="3"/>
  <c r="AR247" i="3" a="1"/>
  <c r="AR247" i="3" s="1"/>
  <c r="AS247" i="3" a="1"/>
  <c r="AS247" i="3" s="1"/>
  <c r="AT247" i="3" a="1"/>
  <c r="AT247" i="3"/>
  <c r="AU247" i="3" a="1"/>
  <c r="AU247" i="3"/>
  <c r="AR248" i="3" a="1"/>
  <c r="AR248" i="3" s="1"/>
  <c r="AS248" i="3" a="1"/>
  <c r="AS248" i="3" s="1"/>
  <c r="AT248" i="3" a="1"/>
  <c r="AT248" i="3"/>
  <c r="AU248" i="3" a="1"/>
  <c r="AU248" i="3"/>
  <c r="AR249" i="3" a="1"/>
  <c r="AR249" i="3" s="1"/>
  <c r="AS249" i="3" a="1"/>
  <c r="AS249" i="3" s="1"/>
  <c r="AT249" i="3" a="1"/>
  <c r="AT249" i="3"/>
  <c r="AU249" i="3" a="1"/>
  <c r="AU249" i="3"/>
  <c r="AR250" i="3" a="1"/>
  <c r="AR250" i="3" s="1"/>
  <c r="AS250" i="3" a="1"/>
  <c r="AS250" i="3" s="1"/>
  <c r="AT250" i="3" a="1"/>
  <c r="AT250" i="3"/>
  <c r="AU250" i="3" a="1"/>
  <c r="AU250" i="3"/>
  <c r="AR251" i="3" a="1"/>
  <c r="AR251" i="3" s="1"/>
  <c r="AS251" i="3" a="1"/>
  <c r="AS251" i="3" s="1"/>
  <c r="AT251" i="3" a="1"/>
  <c r="AT251" i="3"/>
  <c r="AU251" i="3" a="1"/>
  <c r="AU251" i="3"/>
  <c r="AR252" i="3" a="1"/>
  <c r="AR252" i="3" s="1"/>
  <c r="AS252" i="3" a="1"/>
  <c r="AS252" i="3" s="1"/>
  <c r="AT252" i="3" a="1"/>
  <c r="AT252" i="3"/>
  <c r="AU252" i="3" a="1"/>
  <c r="AU252" i="3"/>
  <c r="AR253" i="3" a="1"/>
  <c r="AR253" i="3" s="1"/>
  <c r="AS253" i="3" a="1"/>
  <c r="AS253" i="3" s="1"/>
  <c r="AT253" i="3" a="1"/>
  <c r="AT253" i="3"/>
  <c r="AU253" i="3" a="1"/>
  <c r="AU253" i="3"/>
  <c r="AR254" i="3" a="1"/>
  <c r="AR254" i="3" s="1"/>
  <c r="AS254" i="3" a="1"/>
  <c r="AS254" i="3" s="1"/>
  <c r="AT254" i="3" a="1"/>
  <c r="AT254" i="3"/>
  <c r="AU254" i="3" a="1"/>
  <c r="AU254" i="3"/>
  <c r="AR255" i="3" a="1"/>
  <c r="AR255" i="3" s="1"/>
  <c r="AS255" i="3" a="1"/>
  <c r="AS255" i="3" s="1"/>
  <c r="AT255" i="3" a="1"/>
  <c r="AT255" i="3"/>
  <c r="AU255" i="3" a="1"/>
  <c r="AU255" i="3"/>
  <c r="AR256" i="3" a="1"/>
  <c r="AR256" i="3" s="1"/>
  <c r="AS256" i="3" a="1"/>
  <c r="AS256" i="3" s="1"/>
  <c r="AT256" i="3" a="1"/>
  <c r="AT256" i="3"/>
  <c r="AU256" i="3" a="1"/>
  <c r="AU256" i="3"/>
  <c r="AR257" i="3" a="1"/>
  <c r="AR257" i="3" s="1"/>
  <c r="AS257" i="3" a="1"/>
  <c r="AS257" i="3" s="1"/>
  <c r="AT257" i="3" a="1"/>
  <c r="AT257" i="3"/>
  <c r="AU257" i="3" a="1"/>
  <c r="AU257" i="3"/>
  <c r="AR258" i="3" a="1"/>
  <c r="AR258" i="3" s="1"/>
  <c r="AS258" i="3" a="1"/>
  <c r="AS258" i="3" s="1"/>
  <c r="AT258" i="3" a="1"/>
  <c r="AT258" i="3"/>
  <c r="AU258" i="3" a="1"/>
  <c r="AU258" i="3"/>
  <c r="AR259" i="3" a="1"/>
  <c r="AR259" i="3" s="1"/>
  <c r="AS259" i="3" a="1"/>
  <c r="AS259" i="3" s="1"/>
  <c r="AT259" i="3" a="1"/>
  <c r="AT259" i="3"/>
  <c r="AU259" i="3" a="1"/>
  <c r="AU259" i="3"/>
  <c r="AR260" i="3" a="1"/>
  <c r="AR260" i="3" s="1"/>
  <c r="AS260" i="3" a="1"/>
  <c r="AS260" i="3" s="1"/>
  <c r="AT260" i="3" a="1"/>
  <c r="AT260" i="3"/>
  <c r="AU260" i="3" a="1"/>
  <c r="AU260" i="3"/>
  <c r="AR261" i="3" a="1"/>
  <c r="AR261" i="3" s="1"/>
  <c r="AS261" i="3" a="1"/>
  <c r="AS261" i="3" s="1"/>
  <c r="AT261" i="3" a="1"/>
  <c r="AT261" i="3"/>
  <c r="AU261" i="3" a="1"/>
  <c r="AU261" i="3"/>
  <c r="AR262" i="3" a="1"/>
  <c r="AR262" i="3" s="1"/>
  <c r="AS262" i="3" a="1"/>
  <c r="AS262" i="3" s="1"/>
  <c r="AT262" i="3" a="1"/>
  <c r="AT262" i="3"/>
  <c r="AU262" i="3" a="1"/>
  <c r="AU262" i="3"/>
  <c r="AR263" i="3" a="1"/>
  <c r="AR263" i="3" s="1"/>
  <c r="AS263" i="3" a="1"/>
  <c r="AS263" i="3" s="1"/>
  <c r="AT263" i="3" a="1"/>
  <c r="AT263" i="3"/>
  <c r="AU263" i="3" a="1"/>
  <c r="AU263" i="3"/>
  <c r="AR264" i="3" a="1"/>
  <c r="AR264" i="3" s="1"/>
  <c r="AS264" i="3" a="1"/>
  <c r="AS264" i="3" s="1"/>
  <c r="AT264" i="3" a="1"/>
  <c r="AT264" i="3"/>
  <c r="AU264" i="3" a="1"/>
  <c r="AU264" i="3"/>
  <c r="AR265" i="3" a="1"/>
  <c r="AR265" i="3" s="1"/>
  <c r="AS265" i="3" a="1"/>
  <c r="AS265" i="3" s="1"/>
  <c r="AT265" i="3" a="1"/>
  <c r="AT265" i="3"/>
  <c r="AU265" i="3" a="1"/>
  <c r="AU265" i="3"/>
  <c r="AR266" i="3" a="1"/>
  <c r="AR266" i="3" s="1"/>
  <c r="AS266" i="3" a="1"/>
  <c r="AS266" i="3" s="1"/>
  <c r="AT266" i="3" a="1"/>
  <c r="AT266" i="3"/>
  <c r="AU266" i="3" a="1"/>
  <c r="AU266" i="3"/>
  <c r="AR267" i="3" a="1"/>
  <c r="AR267" i="3" s="1"/>
  <c r="AS267" i="3" a="1"/>
  <c r="AS267" i="3" s="1"/>
  <c r="AT267" i="3" a="1"/>
  <c r="AT267" i="3"/>
  <c r="AU267" i="3" a="1"/>
  <c r="AU267" i="3"/>
  <c r="AR268" i="3" a="1"/>
  <c r="AR268" i="3" s="1"/>
  <c r="AS268" i="3" a="1"/>
  <c r="AS268" i="3" s="1"/>
  <c r="AT268" i="3" a="1"/>
  <c r="AT268" i="3"/>
  <c r="AU268" i="3" a="1"/>
  <c r="AU268" i="3"/>
  <c r="AR269" i="3" a="1"/>
  <c r="AR269" i="3" s="1"/>
  <c r="AS269" i="3" a="1"/>
  <c r="AS269" i="3" s="1"/>
  <c r="AT269" i="3" a="1"/>
  <c r="AT269" i="3"/>
  <c r="AU269" i="3" a="1"/>
  <c r="AU269" i="3"/>
  <c r="AR270" i="3" a="1"/>
  <c r="AR270" i="3" s="1"/>
  <c r="AS270" i="3" a="1"/>
  <c r="AS270" i="3" s="1"/>
  <c r="AT270" i="3" a="1"/>
  <c r="AT270" i="3"/>
  <c r="AU270" i="3" a="1"/>
  <c r="AU270" i="3"/>
  <c r="AR271" i="3" a="1"/>
  <c r="AR271" i="3" s="1"/>
  <c r="AS271" i="3" a="1"/>
  <c r="AS271" i="3" s="1"/>
  <c r="AT271" i="3" a="1"/>
  <c r="AT271" i="3"/>
  <c r="AU271" i="3" a="1"/>
  <c r="AU271" i="3"/>
  <c r="AR272" i="3" a="1"/>
  <c r="AR272" i="3" s="1"/>
  <c r="AS272" i="3" a="1"/>
  <c r="AS272" i="3" s="1"/>
  <c r="AT272" i="3" a="1"/>
  <c r="AT272" i="3"/>
  <c r="AU272" i="3" a="1"/>
  <c r="AU272" i="3"/>
  <c r="AR273" i="3" a="1"/>
  <c r="AR273" i="3" s="1"/>
  <c r="AS273" i="3" a="1"/>
  <c r="AS273" i="3" s="1"/>
  <c r="AT273" i="3" a="1"/>
  <c r="AT273" i="3"/>
  <c r="AU273" i="3" a="1"/>
  <c r="AU273" i="3"/>
  <c r="AR274" i="3" a="1"/>
  <c r="AR274" i="3" s="1"/>
  <c r="AS274" i="3" a="1"/>
  <c r="AS274" i="3" s="1"/>
  <c r="AT274" i="3" a="1"/>
  <c r="AT274" i="3"/>
  <c r="AU274" i="3" a="1"/>
  <c r="AU274" i="3"/>
  <c r="AR275" i="3" a="1"/>
  <c r="AR275" i="3" s="1"/>
  <c r="AS275" i="3" a="1"/>
  <c r="AS275" i="3" s="1"/>
  <c r="AT275" i="3" a="1"/>
  <c r="AT275" i="3"/>
  <c r="AU275" i="3" a="1"/>
  <c r="AU275" i="3"/>
  <c r="AR276" i="3" a="1"/>
  <c r="AR276" i="3" s="1"/>
  <c r="AS276" i="3" a="1"/>
  <c r="AS276" i="3" s="1"/>
  <c r="AT276" i="3" a="1"/>
  <c r="AT276" i="3"/>
  <c r="AU276" i="3" a="1"/>
  <c r="AU276" i="3"/>
  <c r="AR277" i="3" a="1"/>
  <c r="AR277" i="3" s="1"/>
  <c r="AS277" i="3" a="1"/>
  <c r="AS277" i="3" s="1"/>
  <c r="AT277" i="3" a="1"/>
  <c r="AT277" i="3"/>
  <c r="AU277" i="3" a="1"/>
  <c r="AU277" i="3"/>
  <c r="AR278" i="3" a="1"/>
  <c r="AR278" i="3" s="1"/>
  <c r="AS278" i="3" a="1"/>
  <c r="AS278" i="3" s="1"/>
  <c r="AT278" i="3" a="1"/>
  <c r="AT278" i="3"/>
  <c r="AU278" i="3" a="1"/>
  <c r="AU278" i="3"/>
  <c r="AR279" i="3" a="1"/>
  <c r="AR279" i="3" s="1"/>
  <c r="AS279" i="3" a="1"/>
  <c r="AS279" i="3" s="1"/>
  <c r="AT279" i="3" a="1"/>
  <c r="AT279" i="3"/>
  <c r="AU279" i="3" a="1"/>
  <c r="AU279" i="3"/>
  <c r="AR280" i="3" a="1"/>
  <c r="AR280" i="3" s="1"/>
  <c r="AS280" i="3" a="1"/>
  <c r="AS280" i="3" s="1"/>
  <c r="AT280" i="3" a="1"/>
  <c r="AT280" i="3"/>
  <c r="AU280" i="3" a="1"/>
  <c r="AU280" i="3"/>
  <c r="AR281" i="3" a="1"/>
  <c r="AR281" i="3" s="1"/>
  <c r="AS281" i="3" a="1"/>
  <c r="AS281" i="3" s="1"/>
  <c r="AT281" i="3" a="1"/>
  <c r="AT281" i="3"/>
  <c r="AU281" i="3" a="1"/>
  <c r="AU281" i="3"/>
  <c r="AR282" i="3" a="1"/>
  <c r="AR282" i="3" s="1"/>
  <c r="AS282" i="3" a="1"/>
  <c r="AS282" i="3" s="1"/>
  <c r="AT282" i="3" a="1"/>
  <c r="AT282" i="3"/>
  <c r="AU282" i="3" a="1"/>
  <c r="AU282" i="3"/>
  <c r="AR283" i="3" a="1"/>
  <c r="AR283" i="3" s="1"/>
  <c r="AS283" i="3" a="1"/>
  <c r="AS283" i="3" s="1"/>
  <c r="AT283" i="3" a="1"/>
  <c r="AT283" i="3"/>
  <c r="AU283" i="3" a="1"/>
  <c r="AU283" i="3"/>
  <c r="AR284" i="3" a="1"/>
  <c r="AR284" i="3" s="1"/>
  <c r="AS284" i="3" a="1"/>
  <c r="AS284" i="3" s="1"/>
  <c r="AT284" i="3" a="1"/>
  <c r="AT284" i="3"/>
  <c r="AU284" i="3" a="1"/>
  <c r="AU284" i="3"/>
  <c r="AR285" i="3" a="1"/>
  <c r="AR285" i="3" s="1"/>
  <c r="AS285" i="3" a="1"/>
  <c r="AS285" i="3" s="1"/>
  <c r="AT285" i="3" a="1"/>
  <c r="AT285" i="3"/>
  <c r="AU285" i="3" a="1"/>
  <c r="AU285" i="3"/>
  <c r="AR286" i="3" a="1"/>
  <c r="AR286" i="3" s="1"/>
  <c r="AS286" i="3" a="1"/>
  <c r="AS286" i="3" s="1"/>
  <c r="AT286" i="3" a="1"/>
  <c r="AT286" i="3"/>
  <c r="AU286" i="3" a="1"/>
  <c r="AU286" i="3"/>
  <c r="AR287" i="3" a="1"/>
  <c r="AR287" i="3" s="1"/>
  <c r="AS287" i="3" a="1"/>
  <c r="AS287" i="3" s="1"/>
  <c r="AT287" i="3" a="1"/>
  <c r="AT287" i="3"/>
  <c r="AU287" i="3" a="1"/>
  <c r="AU287" i="3"/>
  <c r="AR288" i="3" a="1"/>
  <c r="AR288" i="3" s="1"/>
  <c r="AS288" i="3" a="1"/>
  <c r="AS288" i="3" s="1"/>
  <c r="AT288" i="3" a="1"/>
  <c r="AT288" i="3"/>
  <c r="AU288" i="3" a="1"/>
  <c r="AU288" i="3"/>
  <c r="AR289" i="3" a="1"/>
  <c r="AR289" i="3" s="1"/>
  <c r="AS289" i="3" a="1"/>
  <c r="AS289" i="3" s="1"/>
  <c r="AT289" i="3" a="1"/>
  <c r="AT289" i="3"/>
  <c r="AU289" i="3" a="1"/>
  <c r="AU289" i="3"/>
  <c r="AR290" i="3" a="1"/>
  <c r="AR290" i="3" s="1"/>
  <c r="AS290" i="3" a="1"/>
  <c r="AS290" i="3" s="1"/>
  <c r="AT290" i="3" a="1"/>
  <c r="AT290" i="3"/>
  <c r="AU290" i="3" a="1"/>
  <c r="AU290" i="3"/>
  <c r="AR291" i="3" a="1"/>
  <c r="AR291" i="3" s="1"/>
  <c r="AS291" i="3" a="1"/>
  <c r="AS291" i="3" s="1"/>
  <c r="AT291" i="3" a="1"/>
  <c r="AT291" i="3"/>
  <c r="AU291" i="3" a="1"/>
  <c r="AU291" i="3"/>
  <c r="AR292" i="3" a="1"/>
  <c r="AR292" i="3" s="1"/>
  <c r="AS292" i="3" a="1"/>
  <c r="AS292" i="3" s="1"/>
  <c r="AT292" i="3" a="1"/>
  <c r="AT292" i="3"/>
  <c r="AU292" i="3" a="1"/>
  <c r="AU292" i="3"/>
  <c r="AR293" i="3" a="1"/>
  <c r="AR293" i="3" s="1"/>
  <c r="AS293" i="3" a="1"/>
  <c r="AS293" i="3" s="1"/>
  <c r="AT293" i="3" a="1"/>
  <c r="AT293" i="3"/>
  <c r="AU293" i="3" a="1"/>
  <c r="AU293" i="3"/>
  <c r="AR294" i="3" a="1"/>
  <c r="AR294" i="3" s="1"/>
  <c r="AS294" i="3" a="1"/>
  <c r="AS294" i="3" s="1"/>
  <c r="AT294" i="3" a="1"/>
  <c r="AT294" i="3"/>
  <c r="AU294" i="3" a="1"/>
  <c r="AU294" i="3"/>
  <c r="AR295" i="3" a="1"/>
  <c r="AR295" i="3" s="1"/>
  <c r="AS295" i="3" a="1"/>
  <c r="AS295" i="3" s="1"/>
  <c r="AT295" i="3" a="1"/>
  <c r="AT295" i="3"/>
  <c r="AU295" i="3" a="1"/>
  <c r="AU295" i="3"/>
  <c r="AR296" i="3" a="1"/>
  <c r="AR296" i="3" s="1"/>
  <c r="AS296" i="3" a="1"/>
  <c r="AS296" i="3" s="1"/>
  <c r="AT296" i="3" a="1"/>
  <c r="AT296" i="3"/>
  <c r="AU296" i="3" a="1"/>
  <c r="AU296" i="3"/>
  <c r="AR297" i="3" a="1"/>
  <c r="AR297" i="3" s="1"/>
  <c r="AS297" i="3" a="1"/>
  <c r="AS297" i="3" s="1"/>
  <c r="AT297" i="3" a="1"/>
  <c r="AT297" i="3"/>
  <c r="AU297" i="3" a="1"/>
  <c r="AU297" i="3"/>
  <c r="AR298" i="3" a="1"/>
  <c r="AR298" i="3" s="1"/>
  <c r="AS298" i="3" a="1"/>
  <c r="AS298" i="3" s="1"/>
  <c r="AT298" i="3" a="1"/>
  <c r="AT298" i="3"/>
  <c r="AU298" i="3" a="1"/>
  <c r="AU298" i="3"/>
  <c r="AR299" i="3" a="1"/>
  <c r="AR299" i="3" s="1"/>
  <c r="AS299" i="3" a="1"/>
  <c r="AS299" i="3" s="1"/>
  <c r="AT299" i="3" a="1"/>
  <c r="AT299" i="3"/>
  <c r="AU299" i="3" a="1"/>
  <c r="AU299" i="3"/>
  <c r="AR300" i="3" a="1"/>
  <c r="AR300" i="3" s="1"/>
  <c r="AS300" i="3" a="1"/>
  <c r="AS300" i="3" s="1"/>
  <c r="AT300" i="3" a="1"/>
  <c r="AT300" i="3"/>
  <c r="AU300" i="3" a="1"/>
  <c r="AU300" i="3"/>
  <c r="AR301" i="3" a="1"/>
  <c r="AR301" i="3" s="1"/>
  <c r="AS301" i="3" a="1"/>
  <c r="AS301" i="3" s="1"/>
  <c r="AT301" i="3" a="1"/>
  <c r="AT301" i="3"/>
  <c r="AU301" i="3" a="1"/>
  <c r="AU301" i="3"/>
  <c r="AR302" i="3" a="1"/>
  <c r="AR302" i="3" s="1"/>
  <c r="AS302" i="3" a="1"/>
  <c r="AS302" i="3" s="1"/>
  <c r="AT302" i="3" a="1"/>
  <c r="AT302" i="3"/>
  <c r="AU302" i="3" a="1"/>
  <c r="AU302" i="3"/>
  <c r="AR303" i="3" a="1"/>
  <c r="AR303" i="3" s="1"/>
  <c r="AS303" i="3" a="1"/>
  <c r="AS303" i="3" s="1"/>
  <c r="AT303" i="3" a="1"/>
  <c r="AT303" i="3"/>
  <c r="AU303" i="3" a="1"/>
  <c r="AU303" i="3"/>
  <c r="AR304" i="3" a="1"/>
  <c r="AR304" i="3" s="1"/>
  <c r="AS304" i="3" a="1"/>
  <c r="AS304" i="3" s="1"/>
  <c r="AT304" i="3" a="1"/>
  <c r="AT304" i="3"/>
  <c r="AU304" i="3" a="1"/>
  <c r="AU304" i="3"/>
  <c r="AR305" i="3" a="1"/>
  <c r="AR305" i="3" s="1"/>
  <c r="AS305" i="3" a="1"/>
  <c r="AS305" i="3" s="1"/>
  <c r="AT305" i="3" a="1"/>
  <c r="AT305" i="3"/>
  <c r="AU305" i="3" a="1"/>
  <c r="AU305" i="3"/>
  <c r="AR306" i="3" a="1"/>
  <c r="AR306" i="3" s="1"/>
  <c r="AS306" i="3" a="1"/>
  <c r="AS306" i="3" s="1"/>
  <c r="AT306" i="3" a="1"/>
  <c r="AT306" i="3"/>
  <c r="AU306" i="3" a="1"/>
  <c r="AU306" i="3"/>
  <c r="AR307" i="3" a="1"/>
  <c r="AR307" i="3" s="1"/>
  <c r="AS307" i="3" a="1"/>
  <c r="AS307" i="3" s="1"/>
  <c r="AT307" i="3" a="1"/>
  <c r="AT307" i="3"/>
  <c r="AU307" i="3" a="1"/>
  <c r="AU307" i="3"/>
  <c r="AR308" i="3" a="1"/>
  <c r="AR308" i="3" s="1"/>
  <c r="AS308" i="3" a="1"/>
  <c r="AS308" i="3" s="1"/>
  <c r="AT308" i="3" a="1"/>
  <c r="AT308" i="3"/>
  <c r="AU308" i="3" a="1"/>
  <c r="AU308" i="3"/>
  <c r="AR309" i="3" a="1"/>
  <c r="AR309" i="3" s="1"/>
  <c r="AS309" i="3" a="1"/>
  <c r="AS309" i="3" s="1"/>
  <c r="AT309" i="3" a="1"/>
  <c r="AT309" i="3"/>
  <c r="AU309" i="3" a="1"/>
  <c r="AU309" i="3"/>
  <c r="AR310" i="3" a="1"/>
  <c r="AR310" i="3" s="1"/>
  <c r="AS310" i="3" a="1"/>
  <c r="AS310" i="3" s="1"/>
  <c r="AT310" i="3" a="1"/>
  <c r="AT310" i="3"/>
  <c r="AU310" i="3" a="1"/>
  <c r="AU310" i="3"/>
  <c r="AR311" i="3" a="1"/>
  <c r="AR311" i="3" s="1"/>
  <c r="AS311" i="3" a="1"/>
  <c r="AS311" i="3" s="1"/>
  <c r="AT311" i="3" a="1"/>
  <c r="AT311" i="3"/>
  <c r="AU311" i="3" a="1"/>
  <c r="AU311" i="3"/>
  <c r="AR312" i="3" a="1"/>
  <c r="AR312" i="3" s="1"/>
  <c r="AS312" i="3" a="1"/>
  <c r="AS312" i="3" s="1"/>
  <c r="AT312" i="3" a="1"/>
  <c r="AT312" i="3"/>
  <c r="AU312" i="3" a="1"/>
  <c r="AU312" i="3"/>
  <c r="AR313" i="3" a="1"/>
  <c r="AR313" i="3" s="1"/>
  <c r="AS313" i="3" a="1"/>
  <c r="AS313" i="3" s="1"/>
  <c r="AT313" i="3" a="1"/>
  <c r="AT313" i="3"/>
  <c r="AU313" i="3" a="1"/>
  <c r="AU313" i="3"/>
  <c r="AR314" i="3" a="1"/>
  <c r="AR314" i="3" s="1"/>
  <c r="AS314" i="3" a="1"/>
  <c r="AS314" i="3" s="1"/>
  <c r="AT314" i="3" a="1"/>
  <c r="AT314" i="3"/>
  <c r="AU314" i="3" a="1"/>
  <c r="AU314" i="3"/>
  <c r="AR315" i="3" a="1"/>
  <c r="AR315" i="3" s="1"/>
  <c r="AS315" i="3" a="1"/>
  <c r="AS315" i="3" s="1"/>
  <c r="AT315" i="3" a="1"/>
  <c r="AT315" i="3"/>
  <c r="AU315" i="3" a="1"/>
  <c r="AU315" i="3"/>
  <c r="AR316" i="3" a="1"/>
  <c r="AR316" i="3" s="1"/>
  <c r="AS316" i="3" a="1"/>
  <c r="AS316" i="3" s="1"/>
  <c r="AT316" i="3" a="1"/>
  <c r="AT316" i="3"/>
  <c r="AU316" i="3" a="1"/>
  <c r="AU316" i="3"/>
  <c r="AR317" i="3" a="1"/>
  <c r="AR317" i="3" s="1"/>
  <c r="AS317" i="3" a="1"/>
  <c r="AS317" i="3" s="1"/>
  <c r="AT317" i="3" a="1"/>
  <c r="AT317" i="3"/>
  <c r="AU317" i="3" a="1"/>
  <c r="AU317" i="3"/>
  <c r="AR318" i="3" a="1"/>
  <c r="AR318" i="3" s="1"/>
  <c r="AS318" i="3" a="1"/>
  <c r="AS318" i="3" s="1"/>
  <c r="AT318" i="3" a="1"/>
  <c r="AT318" i="3"/>
  <c r="AU318" i="3" a="1"/>
  <c r="AU318" i="3"/>
  <c r="AR7" i="3" a="1"/>
  <c r="AR7" i="3" s="1"/>
  <c r="AS7" i="3" a="1"/>
  <c r="AS7" i="3" s="1"/>
  <c r="AT7" i="3" a="1"/>
  <c r="AT7" i="3" s="1"/>
  <c r="AU7" i="3" a="1"/>
  <c r="AU7" i="3" s="1"/>
  <c r="AR6" i="3" a="1"/>
  <c r="AR6" i="3" s="1"/>
  <c r="AS6" i="3" a="1"/>
  <c r="AS6" i="3" s="1"/>
  <c r="AT6" i="3" a="1"/>
  <c r="AT6" i="3" s="1"/>
  <c r="AU6" i="3" a="1"/>
  <c r="AU6" i="3" s="1"/>
  <c r="AR1" i="3"/>
  <c r="AS1" i="3"/>
  <c r="AT1" i="3"/>
  <c r="AU1" i="3"/>
  <c r="W11" i="7"/>
  <c r="AH5" i="7"/>
  <c r="X5" i="7"/>
  <c r="AD5" i="7"/>
  <c r="AG5" i="7"/>
  <c r="B1" i="6"/>
  <c r="C1" i="3"/>
  <c r="AP1" i="3" s="1"/>
  <c r="N21" i="7" l="1"/>
  <c r="AE5" i="7"/>
  <c r="N20" i="7"/>
  <c r="N19" i="7"/>
  <c r="AQ1" i="3"/>
  <c r="AQ263" i="3" s="1" a="1"/>
  <c r="AQ263" i="3" s="1"/>
  <c r="AO1" i="3"/>
  <c r="AI1" i="3"/>
  <c r="AM1" i="3"/>
  <c r="AK1" i="3"/>
  <c r="AP15" i="3" a="1"/>
  <c r="AP15" i="3" s="1"/>
  <c r="AP24" i="3" a="1"/>
  <c r="AP24" i="3" s="1"/>
  <c r="AP28" i="3" a="1"/>
  <c r="AP28" i="3" s="1"/>
  <c r="AP52" i="3" a="1"/>
  <c r="AP52" i="3" s="1"/>
  <c r="AP62" i="3" a="1"/>
  <c r="AP62" i="3" s="1"/>
  <c r="AP10" i="3" a="1"/>
  <c r="AP10" i="3" s="1"/>
  <c r="AP16" i="3" a="1"/>
  <c r="AP16" i="3" s="1"/>
  <c r="AP20" i="3" a="1"/>
  <c r="AP20" i="3" s="1"/>
  <c r="AP33" i="3" a="1"/>
  <c r="AP33" i="3" s="1"/>
  <c r="AP45" i="3" a="1"/>
  <c r="AP45" i="3" s="1"/>
  <c r="AP50" i="3" a="1"/>
  <c r="AP50" i="3" s="1"/>
  <c r="AP29" i="3" a="1"/>
  <c r="AP29" i="3" s="1"/>
  <c r="AP36" i="3" a="1"/>
  <c r="AP36" i="3" s="1"/>
  <c r="AP38" i="3" a="1"/>
  <c r="AP38" i="3" s="1"/>
  <c r="AP40" i="3" a="1"/>
  <c r="AP40" i="3" s="1"/>
  <c r="AP11" i="3" a="1"/>
  <c r="AP11" i="3" s="1"/>
  <c r="AP21" i="3" a="1"/>
  <c r="AP21" i="3" s="1"/>
  <c r="AP25" i="3" a="1"/>
  <c r="AP25" i="3" s="1"/>
  <c r="AP30" i="3" a="1"/>
  <c r="AP30" i="3" s="1"/>
  <c r="AP42" i="3" a="1"/>
  <c r="AP42" i="3" s="1"/>
  <c r="AP44" i="3" a="1"/>
  <c r="AP44" i="3" s="1"/>
  <c r="AP53" i="3" a="1"/>
  <c r="AP53" i="3" s="1"/>
  <c r="AP12" i="3" a="1"/>
  <c r="AP12" i="3" s="1"/>
  <c r="AP17" i="3" a="1"/>
  <c r="AP17" i="3" s="1"/>
  <c r="AP26" i="3" a="1"/>
  <c r="AP26" i="3" s="1"/>
  <c r="AP34" i="3" a="1"/>
  <c r="AP34" i="3" s="1"/>
  <c r="AP46" i="3" a="1"/>
  <c r="AP46" i="3" s="1"/>
  <c r="AP58" i="3" a="1"/>
  <c r="AP58" i="3" s="1"/>
  <c r="AP13" i="3" a="1"/>
  <c r="AP13" i="3" s="1"/>
  <c r="AP22" i="3" a="1"/>
  <c r="AP22" i="3" s="1"/>
  <c r="AP31" i="3" a="1"/>
  <c r="AP31" i="3" s="1"/>
  <c r="AP51" i="3" a="1"/>
  <c r="AP51" i="3" s="1"/>
  <c r="AP56" i="3" a="1"/>
  <c r="AP56" i="3" s="1"/>
  <c r="AP61" i="3" a="1"/>
  <c r="AP61" i="3" s="1"/>
  <c r="AP8" i="3" a="1"/>
  <c r="AP8" i="3" s="1"/>
  <c r="AP14" i="3" a="1"/>
  <c r="AP14" i="3" s="1"/>
  <c r="AP18" i="3" a="1"/>
  <c r="AP18" i="3" s="1"/>
  <c r="AP19" i="3" a="1"/>
  <c r="AP19" i="3" s="1"/>
  <c r="AP27" i="3" a="1"/>
  <c r="AP27" i="3" s="1"/>
  <c r="AP39" i="3" a="1"/>
  <c r="AP39" i="3" s="1"/>
  <c r="AP60" i="3" a="1"/>
  <c r="AP60" i="3" s="1"/>
  <c r="AP74" i="3" a="1"/>
  <c r="AP74" i="3" s="1"/>
  <c r="AP79" i="3" a="1"/>
  <c r="AP79" i="3" s="1"/>
  <c r="AP81" i="3" a="1"/>
  <c r="AP81" i="3" s="1"/>
  <c r="AP97" i="3" a="1"/>
  <c r="AP97" i="3" s="1"/>
  <c r="AP59" i="3" a="1"/>
  <c r="AP59" i="3" s="1"/>
  <c r="AP72" i="3" a="1"/>
  <c r="AP72" i="3" s="1"/>
  <c r="AP77" i="3" a="1"/>
  <c r="AP77" i="3" s="1"/>
  <c r="AP86" i="3" a="1"/>
  <c r="AP86" i="3" s="1"/>
  <c r="AP88" i="3" a="1"/>
  <c r="AP88" i="3" s="1"/>
  <c r="AP93" i="3" a="1"/>
  <c r="AP93" i="3" s="1"/>
  <c r="AP37" i="3" a="1"/>
  <c r="AP37" i="3" s="1"/>
  <c r="AP48" i="3" a="1"/>
  <c r="AP48" i="3" s="1"/>
  <c r="AP67" i="3" a="1"/>
  <c r="AP67" i="3" s="1"/>
  <c r="AP70" i="3" a="1"/>
  <c r="AP70" i="3" s="1"/>
  <c r="AP75" i="3" a="1"/>
  <c r="AP75" i="3" s="1"/>
  <c r="AP84" i="3" a="1"/>
  <c r="AP84" i="3" s="1"/>
  <c r="AP91" i="3" a="1"/>
  <c r="AP91" i="3" s="1"/>
  <c r="AP100" i="3" a="1"/>
  <c r="AP100" i="3" s="1"/>
  <c r="AP102" i="3" a="1"/>
  <c r="AP102" i="3" s="1"/>
  <c r="AP106" i="3" a="1"/>
  <c r="AP106" i="3" s="1"/>
  <c r="AP55" i="3" a="1"/>
  <c r="AP55" i="3" s="1"/>
  <c r="AP73" i="3" a="1"/>
  <c r="AP73" i="3" s="1"/>
  <c r="AP82" i="3" a="1"/>
  <c r="AP82" i="3" s="1"/>
  <c r="AP9" i="3" a="1"/>
  <c r="AP9" i="3" s="1"/>
  <c r="AP43" i="3" a="1"/>
  <c r="AP43" i="3" s="1"/>
  <c r="AP68" i="3" a="1"/>
  <c r="AP68" i="3" s="1"/>
  <c r="AP78" i="3" a="1"/>
  <c r="AP78" i="3" s="1"/>
  <c r="AP80" i="3" a="1"/>
  <c r="AP80" i="3" s="1"/>
  <c r="AP96" i="3" a="1"/>
  <c r="AP96" i="3" s="1"/>
  <c r="AP32" i="3" a="1"/>
  <c r="AP32" i="3" s="1"/>
  <c r="AP35" i="3" a="1"/>
  <c r="AP35" i="3" s="1"/>
  <c r="AP54" i="3" a="1"/>
  <c r="AP54" i="3" s="1"/>
  <c r="AP71" i="3" a="1"/>
  <c r="AP71" i="3" s="1"/>
  <c r="AP85" i="3" a="1"/>
  <c r="AP85" i="3" s="1"/>
  <c r="AP87" i="3" a="1"/>
  <c r="AP87" i="3" s="1"/>
  <c r="AP94" i="3" a="1"/>
  <c r="AP94" i="3" s="1"/>
  <c r="AP23" i="3" a="1"/>
  <c r="AP23" i="3" s="1"/>
  <c r="AP47" i="3" a="1"/>
  <c r="AP47" i="3" s="1"/>
  <c r="AP49" i="3" a="1"/>
  <c r="AP49" i="3" s="1"/>
  <c r="AP57" i="3" a="1"/>
  <c r="AP57" i="3" s="1"/>
  <c r="AP63" i="3" a="1"/>
  <c r="AP63" i="3" s="1"/>
  <c r="AP64" i="3" a="1"/>
  <c r="AP64" i="3" s="1"/>
  <c r="AP76" i="3" a="1"/>
  <c r="AP76" i="3" s="1"/>
  <c r="AP92" i="3" a="1"/>
  <c r="AP92" i="3" s="1"/>
  <c r="AP101" i="3" a="1"/>
  <c r="AP101" i="3" s="1"/>
  <c r="AP105" i="3" a="1"/>
  <c r="AP105" i="3" s="1"/>
  <c r="AP89" i="3" a="1"/>
  <c r="AP89" i="3" s="1"/>
  <c r="AP109" i="3" a="1"/>
  <c r="AP109" i="3" s="1"/>
  <c r="AP113" i="3" a="1"/>
  <c r="AP113" i="3" s="1"/>
  <c r="AP118" i="3" a="1"/>
  <c r="AP118" i="3" s="1"/>
  <c r="AP126" i="3" a="1"/>
  <c r="AP126" i="3" s="1"/>
  <c r="AP127" i="3" a="1"/>
  <c r="AP127" i="3" s="1"/>
  <c r="AP133" i="3" a="1"/>
  <c r="AP133" i="3" s="1"/>
  <c r="AP137" i="3" a="1"/>
  <c r="AP137" i="3" s="1"/>
  <c r="AP141" i="3" a="1"/>
  <c r="AP141" i="3" s="1"/>
  <c r="AP95" i="3" a="1"/>
  <c r="AP95" i="3" s="1"/>
  <c r="AP110" i="3" a="1"/>
  <c r="AP110" i="3" s="1"/>
  <c r="AP116" i="3" a="1"/>
  <c r="AP116" i="3" s="1"/>
  <c r="AP121" i="3" a="1"/>
  <c r="AP121" i="3" s="1"/>
  <c r="AP130" i="3" a="1"/>
  <c r="AP130" i="3" s="1"/>
  <c r="AP138" i="3" a="1"/>
  <c r="AP138" i="3" s="1"/>
  <c r="AP69" i="3" a="1"/>
  <c r="AP69" i="3" s="1"/>
  <c r="AP90" i="3" a="1"/>
  <c r="AP90" i="3" s="1"/>
  <c r="AP99" i="3" a="1"/>
  <c r="AP99" i="3" s="1"/>
  <c r="AP111" i="3" a="1"/>
  <c r="AP111" i="3" s="1"/>
  <c r="AP124" i="3" a="1"/>
  <c r="AP124" i="3" s="1"/>
  <c r="AP134" i="3" a="1"/>
  <c r="AP134" i="3" s="1"/>
  <c r="AP142" i="3" a="1"/>
  <c r="AP142" i="3" s="1"/>
  <c r="AP146" i="3" a="1"/>
  <c r="AP146" i="3" s="1"/>
  <c r="AP150" i="3" a="1"/>
  <c r="AP150" i="3" s="1"/>
  <c r="AP107" i="3" a="1"/>
  <c r="AP107" i="3" s="1"/>
  <c r="AP114" i="3" a="1"/>
  <c r="AP114" i="3" s="1"/>
  <c r="AP119" i="3" a="1"/>
  <c r="AP119" i="3" s="1"/>
  <c r="AP125" i="3" a="1"/>
  <c r="AP125" i="3" s="1"/>
  <c r="AP131" i="3" a="1"/>
  <c r="AP131" i="3" s="1"/>
  <c r="AP147" i="3" a="1"/>
  <c r="AP147" i="3" s="1"/>
  <c r="AP112" i="3" a="1"/>
  <c r="AP112" i="3" s="1"/>
  <c r="AP122" i="3" a="1"/>
  <c r="AP122" i="3" s="1"/>
  <c r="AP128" i="3" a="1"/>
  <c r="AP128" i="3" s="1"/>
  <c r="AP135" i="3" a="1"/>
  <c r="AP135" i="3" s="1"/>
  <c r="AP139" i="3" a="1"/>
  <c r="AP139" i="3" s="1"/>
  <c r="AP143" i="3" a="1"/>
  <c r="AP143" i="3" s="1"/>
  <c r="AP151" i="3" a="1"/>
  <c r="AP151" i="3" s="1"/>
  <c r="AP155" i="3" a="1"/>
  <c r="AP155" i="3" s="1"/>
  <c r="AP41" i="3" a="1"/>
  <c r="AP41" i="3" s="1"/>
  <c r="AP136" i="3" a="1"/>
  <c r="AP136" i="3" s="1"/>
  <c r="AP158" i="3" a="1"/>
  <c r="AP158" i="3" s="1"/>
  <c r="AP159" i="3" a="1"/>
  <c r="AP159" i="3" s="1"/>
  <c r="AP163" i="3" a="1"/>
  <c r="AP163" i="3" s="1"/>
  <c r="AP167" i="3" a="1"/>
  <c r="AP167" i="3" s="1"/>
  <c r="AP175" i="3" a="1"/>
  <c r="AP175" i="3" s="1"/>
  <c r="AP179" i="3" a="1"/>
  <c r="AP179" i="3" s="1"/>
  <c r="AP183" i="3" a="1"/>
  <c r="AP183" i="3" s="1"/>
  <c r="AP187" i="3" a="1"/>
  <c r="AP187" i="3" s="1"/>
  <c r="AP191" i="3" a="1"/>
  <c r="AP191" i="3" s="1"/>
  <c r="AP199" i="3" a="1"/>
  <c r="AP199" i="3" s="1"/>
  <c r="AP115" i="3" a="1"/>
  <c r="AP115" i="3" s="1"/>
  <c r="AP132" i="3" a="1"/>
  <c r="AP132" i="3" s="1"/>
  <c r="AP171" i="3" a="1"/>
  <c r="AP171" i="3" s="1"/>
  <c r="AP145" i="3" a="1"/>
  <c r="AP145" i="3" s="1"/>
  <c r="AP168" i="3" a="1"/>
  <c r="AP168" i="3" s="1"/>
  <c r="AP180" i="3" a="1"/>
  <c r="AP180" i="3" s="1"/>
  <c r="AP184" i="3" a="1"/>
  <c r="AP184" i="3" s="1"/>
  <c r="AP188" i="3" a="1"/>
  <c r="AP188" i="3" s="1"/>
  <c r="AP196" i="3" a="1"/>
  <c r="AP196" i="3" s="1"/>
  <c r="AP200" i="3" a="1"/>
  <c r="AP200" i="3" s="1"/>
  <c r="AP83" i="3" a="1"/>
  <c r="AP83" i="3" s="1"/>
  <c r="AP160" i="3" a="1"/>
  <c r="AP160" i="3" s="1"/>
  <c r="AP164" i="3" a="1"/>
  <c r="AP164" i="3" s="1"/>
  <c r="AP172" i="3" a="1"/>
  <c r="AP172" i="3" s="1"/>
  <c r="AP176" i="3" a="1"/>
  <c r="AP176" i="3" s="1"/>
  <c r="AP192" i="3" a="1"/>
  <c r="AP192" i="3" s="1"/>
  <c r="AP65" i="3" a="1"/>
  <c r="AP65" i="3" s="1"/>
  <c r="AP103" i="3" a="1"/>
  <c r="AP103" i="3" s="1"/>
  <c r="AP144" i="3" a="1"/>
  <c r="AP144" i="3" s="1"/>
  <c r="AP149" i="3" a="1"/>
  <c r="AP149" i="3" s="1"/>
  <c r="AP161" i="3" a="1"/>
  <c r="AP161" i="3" s="1"/>
  <c r="AP173" i="3" a="1"/>
  <c r="AP173" i="3" s="1"/>
  <c r="AP177" i="3" a="1"/>
  <c r="AP177" i="3" s="1"/>
  <c r="AP181" i="3" a="1"/>
  <c r="AP181" i="3" s="1"/>
  <c r="AP189" i="3" a="1"/>
  <c r="AP189" i="3" s="1"/>
  <c r="AP193" i="3" a="1"/>
  <c r="AP193" i="3" s="1"/>
  <c r="AP197" i="3" a="1"/>
  <c r="AP197" i="3" s="1"/>
  <c r="AP66" i="3" a="1"/>
  <c r="AP66" i="3" s="1"/>
  <c r="AP98" i="3" a="1"/>
  <c r="AP98" i="3" s="1"/>
  <c r="AP148" i="3" a="1"/>
  <c r="AP148" i="3" s="1"/>
  <c r="AP152" i="3" a="1"/>
  <c r="AP152" i="3" s="1"/>
  <c r="AP154" i="3" a="1"/>
  <c r="AP154" i="3" s="1"/>
  <c r="AP165" i="3" a="1"/>
  <c r="AP165" i="3" s="1"/>
  <c r="AP169" i="3" a="1"/>
  <c r="AP169" i="3" s="1"/>
  <c r="AP185" i="3" a="1"/>
  <c r="AP185" i="3" s="1"/>
  <c r="AP104" i="3" a="1"/>
  <c r="AP104" i="3" s="1"/>
  <c r="AP117" i="3" a="1"/>
  <c r="AP117" i="3" s="1"/>
  <c r="AP153" i="3" a="1"/>
  <c r="AP153" i="3" s="1"/>
  <c r="AP156" i="3" a="1"/>
  <c r="AP156" i="3" s="1"/>
  <c r="AP166" i="3" a="1"/>
  <c r="AP166" i="3" s="1"/>
  <c r="AP170" i="3" a="1"/>
  <c r="AP170" i="3" s="1"/>
  <c r="AP174" i="3" a="1"/>
  <c r="AP174" i="3" s="1"/>
  <c r="AP182" i="3" a="1"/>
  <c r="AP182" i="3" s="1"/>
  <c r="AP186" i="3" a="1"/>
  <c r="AP186" i="3" s="1"/>
  <c r="AP190" i="3" a="1"/>
  <c r="AP190" i="3" s="1"/>
  <c r="AP194" i="3" a="1"/>
  <c r="AP194" i="3" s="1"/>
  <c r="AP198" i="3" a="1"/>
  <c r="AP198" i="3" s="1"/>
  <c r="AP108" i="3" a="1"/>
  <c r="AP108" i="3" s="1"/>
  <c r="AP120" i="3" a="1"/>
  <c r="AP120" i="3" s="1"/>
  <c r="AP123" i="3" a="1"/>
  <c r="AP123" i="3" s="1"/>
  <c r="AP129" i="3" a="1"/>
  <c r="AP129" i="3" s="1"/>
  <c r="AP140" i="3" a="1"/>
  <c r="AP140" i="3" s="1"/>
  <c r="AP157" i="3" a="1"/>
  <c r="AP157" i="3" s="1"/>
  <c r="AP162" i="3" a="1"/>
  <c r="AP162" i="3" s="1"/>
  <c r="AP178" i="3" a="1"/>
  <c r="AP178" i="3" s="1"/>
  <c r="AP212" i="3" a="1"/>
  <c r="AP212" i="3" s="1"/>
  <c r="AP215" i="3" a="1"/>
  <c r="AP215" i="3" s="1"/>
  <c r="AP221" i="3" a="1"/>
  <c r="AP221" i="3" s="1"/>
  <c r="AP224" i="3" a="1"/>
  <c r="AP224" i="3" s="1"/>
  <c r="AP233" i="3" a="1"/>
  <c r="AP233" i="3" s="1"/>
  <c r="AP205" i="3" a="1"/>
  <c r="AP205" i="3" s="1"/>
  <c r="AP209" i="3" a="1"/>
  <c r="AP209" i="3" s="1"/>
  <c r="AP218" i="3" a="1"/>
  <c r="AP218" i="3" s="1"/>
  <c r="AP227" i="3" a="1"/>
  <c r="AP227" i="3" s="1"/>
  <c r="AP230" i="3" a="1"/>
  <c r="AP230" i="3" s="1"/>
  <c r="AP236" i="3" a="1"/>
  <c r="AP236" i="3" s="1"/>
  <c r="AP239" i="3" a="1"/>
  <c r="AP239" i="3" s="1"/>
  <c r="AP242" i="3" a="1"/>
  <c r="AP242" i="3" s="1"/>
  <c r="AP245" i="3" a="1"/>
  <c r="AP245" i="3" s="1"/>
  <c r="AP251" i="3" a="1"/>
  <c r="AP251" i="3" s="1"/>
  <c r="AP254" i="3" a="1"/>
  <c r="AP254" i="3" s="1"/>
  <c r="AP260" i="3" a="1"/>
  <c r="AP260" i="3" s="1"/>
  <c r="AP202" i="3" a="1"/>
  <c r="AP202" i="3" s="1"/>
  <c r="AP248" i="3" a="1"/>
  <c r="AP248" i="3" s="1"/>
  <c r="AP257" i="3" a="1"/>
  <c r="AP257" i="3" s="1"/>
  <c r="AP207" i="3" a="1"/>
  <c r="AP207" i="3" s="1"/>
  <c r="AP210" i="3" a="1"/>
  <c r="AP210" i="3" s="1"/>
  <c r="AP213" i="3" a="1"/>
  <c r="AP213" i="3" s="1"/>
  <c r="AP219" i="3" a="1"/>
  <c r="AP219" i="3" s="1"/>
  <c r="AP222" i="3" a="1"/>
  <c r="AP222" i="3" s="1"/>
  <c r="AP228" i="3" a="1"/>
  <c r="AP228" i="3" s="1"/>
  <c r="AP231" i="3" a="1"/>
  <c r="AP231" i="3" s="1"/>
  <c r="AP237" i="3" a="1"/>
  <c r="AP237" i="3" s="1"/>
  <c r="AP240" i="3" a="1"/>
  <c r="AP240" i="3" s="1"/>
  <c r="AP249" i="3" a="1"/>
  <c r="AP249" i="3" s="1"/>
  <c r="AP195" i="3" a="1"/>
  <c r="AP195" i="3" s="1"/>
  <c r="AP204" i="3" a="1"/>
  <c r="AP204" i="3" s="1"/>
  <c r="AP216" i="3" a="1"/>
  <c r="AP216" i="3" s="1"/>
  <c r="AP225" i="3" a="1"/>
  <c r="AP225" i="3" s="1"/>
  <c r="AP234" i="3" a="1"/>
  <c r="AP234" i="3" s="1"/>
  <c r="AP243" i="3" a="1"/>
  <c r="AP243" i="3" s="1"/>
  <c r="AP246" i="3" a="1"/>
  <c r="AP246" i="3" s="1"/>
  <c r="AP252" i="3" a="1"/>
  <c r="AP252" i="3" s="1"/>
  <c r="AP255" i="3" a="1"/>
  <c r="AP255" i="3" s="1"/>
  <c r="AP258" i="3" a="1"/>
  <c r="AP258" i="3" s="1"/>
  <c r="AP261" i="3" a="1"/>
  <c r="AP261" i="3" s="1"/>
  <c r="AP208" i="3" a="1"/>
  <c r="AP208" i="3" s="1"/>
  <c r="AP217" i="3" a="1"/>
  <c r="AP217" i="3" s="1"/>
  <c r="AP201" i="3" a="1"/>
  <c r="AP201" i="3" s="1"/>
  <c r="AP203" i="3" a="1"/>
  <c r="AP203" i="3" s="1"/>
  <c r="AP211" i="3" a="1"/>
  <c r="AP211" i="3" s="1"/>
  <c r="AP214" i="3" a="1"/>
  <c r="AP214" i="3" s="1"/>
  <c r="AP220" i="3" a="1"/>
  <c r="AP220" i="3" s="1"/>
  <c r="AP223" i="3" a="1"/>
  <c r="AP223" i="3" s="1"/>
  <c r="AP226" i="3" a="1"/>
  <c r="AP226" i="3" s="1"/>
  <c r="AP229" i="3" a="1"/>
  <c r="AP229" i="3" s="1"/>
  <c r="AP235" i="3" a="1"/>
  <c r="AP235" i="3" s="1"/>
  <c r="AP238" i="3" a="1"/>
  <c r="AP238" i="3" s="1"/>
  <c r="AP244" i="3" a="1"/>
  <c r="AP244" i="3" s="1"/>
  <c r="AP247" i="3" a="1"/>
  <c r="AP247" i="3" s="1"/>
  <c r="AP253" i="3" a="1"/>
  <c r="AP253" i="3" s="1"/>
  <c r="AP256" i="3" a="1"/>
  <c r="AP256" i="3" s="1"/>
  <c r="AP206" i="3" a="1"/>
  <c r="AP206" i="3" s="1"/>
  <c r="AP232" i="3" a="1"/>
  <c r="AP232" i="3" s="1"/>
  <c r="AP241" i="3" a="1"/>
  <c r="AP241" i="3" s="1"/>
  <c r="AP250" i="3" a="1"/>
  <c r="AP250" i="3" s="1"/>
  <c r="AP259" i="3" a="1"/>
  <c r="AP259" i="3" s="1"/>
  <c r="AP265" i="3" a="1"/>
  <c r="AP265" i="3" s="1"/>
  <c r="AP270" i="3" a="1"/>
  <c r="AP270" i="3" s="1"/>
  <c r="AP285" i="3" a="1"/>
  <c r="AP285" i="3" s="1"/>
  <c r="AP290" i="3" a="1"/>
  <c r="AP290" i="3" s="1"/>
  <c r="AP295" i="3" a="1"/>
  <c r="AP295" i="3" s="1"/>
  <c r="AP300" i="3" a="1"/>
  <c r="AP300" i="3" s="1"/>
  <c r="AP317" i="3" a="1"/>
  <c r="AP317" i="3" s="1"/>
  <c r="AP310" i="3" a="1"/>
  <c r="AP310" i="3" s="1"/>
  <c r="AP262" i="3" a="1"/>
  <c r="AP262" i="3" s="1"/>
  <c r="AP273" i="3" a="1"/>
  <c r="AP273" i="3" s="1"/>
  <c r="AP276" i="3" a="1"/>
  <c r="AP276" i="3" s="1"/>
  <c r="AP278" i="3" a="1"/>
  <c r="AP278" i="3" s="1"/>
  <c r="AP283" i="3" a="1"/>
  <c r="AP283" i="3" s="1"/>
  <c r="AP288" i="3" a="1"/>
  <c r="AP288" i="3" s="1"/>
  <c r="AP305" i="3" a="1"/>
  <c r="AP305" i="3" s="1"/>
  <c r="AP315" i="3" a="1"/>
  <c r="AP315" i="3" s="1"/>
  <c r="AP293" i="3" a="1"/>
  <c r="AP293" i="3" s="1"/>
  <c r="AP298" i="3" a="1"/>
  <c r="AP298" i="3" s="1"/>
  <c r="AP303" i="3" a="1"/>
  <c r="AP303" i="3" s="1"/>
  <c r="AP308" i="3" a="1"/>
  <c r="AP308" i="3" s="1"/>
  <c r="AP318" i="3" a="1"/>
  <c r="AP318" i="3" s="1"/>
  <c r="AP263" i="3" a="1"/>
  <c r="AP263" i="3" s="1"/>
  <c r="AP269" i="3" a="1"/>
  <c r="AP269" i="3" s="1"/>
  <c r="AP272" i="3" a="1"/>
  <c r="AP272" i="3" s="1"/>
  <c r="AP275" i="3" a="1"/>
  <c r="AP275" i="3" s="1"/>
  <c r="AP281" i="3" a="1"/>
  <c r="AP281" i="3" s="1"/>
  <c r="AP286" i="3" a="1"/>
  <c r="AP286" i="3" s="1"/>
  <c r="AP291" i="3" a="1"/>
  <c r="AP291" i="3" s="1"/>
  <c r="AP296" i="3" a="1"/>
  <c r="AP296" i="3" s="1"/>
  <c r="AP313" i="3" a="1"/>
  <c r="AP313" i="3" s="1"/>
  <c r="AP266" i="3" a="1"/>
  <c r="AP266" i="3" s="1"/>
  <c r="AP279" i="3" a="1"/>
  <c r="AP279" i="3" s="1"/>
  <c r="AP284" i="3" a="1"/>
  <c r="AP284" i="3" s="1"/>
  <c r="AP301" i="3" a="1"/>
  <c r="AP301" i="3" s="1"/>
  <c r="AP306" i="3" a="1"/>
  <c r="AP306" i="3" s="1"/>
  <c r="AP311" i="3" a="1"/>
  <c r="AP311" i="3" s="1"/>
  <c r="AP316" i="3" a="1"/>
  <c r="AP316" i="3" s="1"/>
  <c r="AP7" i="3" a="1"/>
  <c r="AP7" i="3" s="1"/>
  <c r="AP6" i="3" a="1"/>
  <c r="AP6" i="3" s="1"/>
  <c r="AP268" i="3" a="1"/>
  <c r="AP268" i="3" s="1"/>
  <c r="AP271" i="3" a="1"/>
  <c r="AP271" i="3" s="1"/>
  <c r="AP289" i="3" a="1"/>
  <c r="AP289" i="3" s="1"/>
  <c r="AP294" i="3" a="1"/>
  <c r="AP294" i="3" s="1"/>
  <c r="AP299" i="3" a="1"/>
  <c r="AP299" i="3" s="1"/>
  <c r="AP304" i="3" a="1"/>
  <c r="AP304" i="3" s="1"/>
  <c r="AP274" i="3" a="1"/>
  <c r="AP274" i="3" s="1"/>
  <c r="AP277" i="3" a="1"/>
  <c r="AP277" i="3" s="1"/>
  <c r="AP282" i="3" a="1"/>
  <c r="AP282" i="3" s="1"/>
  <c r="AP287" i="3" a="1"/>
  <c r="AP287" i="3" s="1"/>
  <c r="AP292" i="3" a="1"/>
  <c r="AP292" i="3" s="1"/>
  <c r="AP309" i="3" a="1"/>
  <c r="AP309" i="3" s="1"/>
  <c r="AP314" i="3" a="1"/>
  <c r="AP314" i="3" s="1"/>
  <c r="AP312" i="3" a="1"/>
  <c r="AP312" i="3" s="1"/>
  <c r="AP264" i="3" a="1"/>
  <c r="AP264" i="3" s="1"/>
  <c r="AP267" i="3" a="1"/>
  <c r="AP267" i="3" s="1"/>
  <c r="AP280" i="3" a="1"/>
  <c r="AP280" i="3" s="1"/>
  <c r="AP297" i="3" a="1"/>
  <c r="AP297" i="3" s="1"/>
  <c r="AP302" i="3" a="1"/>
  <c r="AP302" i="3" s="1"/>
  <c r="AP307" i="3" a="1"/>
  <c r="AP307" i="3" s="1"/>
  <c r="AO10" i="3" a="1"/>
  <c r="AO10" i="3" s="1"/>
  <c r="AO16" i="3" a="1"/>
  <c r="AO16" i="3" s="1"/>
  <c r="AO20" i="3" a="1"/>
  <c r="AO20" i="3" s="1"/>
  <c r="AO33" i="3" a="1"/>
  <c r="AO33" i="3" s="1"/>
  <c r="AO40" i="3" a="1"/>
  <c r="AO40" i="3" s="1"/>
  <c r="AO45" i="3" a="1"/>
  <c r="AO45" i="3" s="1"/>
  <c r="AO55" i="3" a="1"/>
  <c r="AO55" i="3" s="1"/>
  <c r="AO25" i="3" a="1"/>
  <c r="AO25" i="3" s="1"/>
  <c r="AO29" i="3" a="1"/>
  <c r="AO29" i="3" s="1"/>
  <c r="AO36" i="3" a="1"/>
  <c r="AO36" i="3" s="1"/>
  <c r="AO38" i="3" a="1"/>
  <c r="AO38" i="3" s="1"/>
  <c r="AO48" i="3" a="1"/>
  <c r="AO48" i="3" s="1"/>
  <c r="AO11" i="3" a="1"/>
  <c r="AO11" i="3" s="1"/>
  <c r="AO17" i="3" a="1"/>
  <c r="AO17" i="3" s="1"/>
  <c r="AO21" i="3" a="1"/>
  <c r="AO21" i="3" s="1"/>
  <c r="AO30" i="3" a="1"/>
  <c r="AO30" i="3" s="1"/>
  <c r="AO42" i="3" a="1"/>
  <c r="AO42" i="3" s="1"/>
  <c r="AO12" i="3" a="1"/>
  <c r="AO12" i="3" s="1"/>
  <c r="AO26" i="3" a="1"/>
  <c r="AO26" i="3" s="1"/>
  <c r="AO34" i="3" a="1"/>
  <c r="AO34" i="3" s="1"/>
  <c r="AO46" i="3" a="1"/>
  <c r="AO46" i="3" s="1"/>
  <c r="AO56" i="3" a="1"/>
  <c r="AO56" i="3" s="1"/>
  <c r="AO13" i="3" a="1"/>
  <c r="AO13" i="3" s="1"/>
  <c r="AO22" i="3" a="1"/>
  <c r="AO22" i="3" s="1"/>
  <c r="AO31" i="3" a="1"/>
  <c r="AO31" i="3" s="1"/>
  <c r="AO39" i="3" a="1"/>
  <c r="AO39" i="3" s="1"/>
  <c r="AO51" i="3" a="1"/>
  <c r="AO51" i="3" s="1"/>
  <c r="AO61" i="3" a="1"/>
  <c r="AO61" i="3" s="1"/>
  <c r="AO8" i="3" a="1"/>
  <c r="AO8" i="3" s="1"/>
  <c r="AO14" i="3" a="1"/>
  <c r="AO14" i="3" s="1"/>
  <c r="AO18" i="3" a="1"/>
  <c r="AO18" i="3" s="1"/>
  <c r="AO23" i="3" a="1"/>
  <c r="AO23" i="3" s="1"/>
  <c r="AO27" i="3" a="1"/>
  <c r="AO27" i="3" s="1"/>
  <c r="AO37" i="3" a="1"/>
  <c r="AO37" i="3" s="1"/>
  <c r="AO41" i="3" a="1"/>
  <c r="AO41" i="3" s="1"/>
  <c r="AO43" i="3" a="1"/>
  <c r="AO43" i="3" s="1"/>
  <c r="AO49" i="3" a="1"/>
  <c r="AO49" i="3" s="1"/>
  <c r="AO54" i="3" a="1"/>
  <c r="AO54" i="3" s="1"/>
  <c r="AO59" i="3" a="1"/>
  <c r="AO59" i="3" s="1"/>
  <c r="AO9" i="3" a="1"/>
  <c r="AO9" i="3" s="1"/>
  <c r="AO19" i="3" a="1"/>
  <c r="AO19" i="3" s="1"/>
  <c r="AO44" i="3" a="1"/>
  <c r="AO44" i="3" s="1"/>
  <c r="AO53" i="3" a="1"/>
  <c r="AO53" i="3" s="1"/>
  <c r="AO77" i="3" a="1"/>
  <c r="AO77" i="3" s="1"/>
  <c r="AO84" i="3" a="1"/>
  <c r="AO84" i="3" s="1"/>
  <c r="AO93" i="3" a="1"/>
  <c r="AO93" i="3" s="1"/>
  <c r="AO95" i="3" a="1"/>
  <c r="AO95" i="3" s="1"/>
  <c r="AO24" i="3" a="1"/>
  <c r="AO24" i="3" s="1"/>
  <c r="AO67" i="3" a="1"/>
  <c r="AO67" i="3" s="1"/>
  <c r="AO70" i="3" a="1"/>
  <c r="AO70" i="3" s="1"/>
  <c r="AO75" i="3" a="1"/>
  <c r="AO75" i="3" s="1"/>
  <c r="AO82" i="3" a="1"/>
  <c r="AO82" i="3" s="1"/>
  <c r="AO91" i="3" a="1"/>
  <c r="AO91" i="3" s="1"/>
  <c r="AO50" i="3" a="1"/>
  <c r="AO50" i="3" s="1"/>
  <c r="AO52" i="3" a="1"/>
  <c r="AO52" i="3" s="1"/>
  <c r="AO68" i="3" a="1"/>
  <c r="AO68" i="3" s="1"/>
  <c r="AO73" i="3" a="1"/>
  <c r="AO73" i="3" s="1"/>
  <c r="AO89" i="3" a="1"/>
  <c r="AO89" i="3" s="1"/>
  <c r="AO98" i="3" a="1"/>
  <c r="AO98" i="3" s="1"/>
  <c r="AO15" i="3" a="1"/>
  <c r="AO15" i="3" s="1"/>
  <c r="AO28" i="3" a="1"/>
  <c r="AO28" i="3" s="1"/>
  <c r="AO78" i="3" a="1"/>
  <c r="AO78" i="3" s="1"/>
  <c r="AO80" i="3" a="1"/>
  <c r="AO80" i="3" s="1"/>
  <c r="AO87" i="3" a="1"/>
  <c r="AO87" i="3" s="1"/>
  <c r="AO32" i="3" a="1"/>
  <c r="AO32" i="3" s="1"/>
  <c r="AO35" i="3" a="1"/>
  <c r="AO35" i="3" s="1"/>
  <c r="AO58" i="3" a="1"/>
  <c r="AO58" i="3" s="1"/>
  <c r="AO71" i="3" a="1"/>
  <c r="AO71" i="3" s="1"/>
  <c r="AO85" i="3" a="1"/>
  <c r="AO85" i="3" s="1"/>
  <c r="AO94" i="3" a="1"/>
  <c r="AO94" i="3" s="1"/>
  <c r="AO107" i="3" a="1"/>
  <c r="AO107" i="3" s="1"/>
  <c r="AO112" i="3" a="1"/>
  <c r="AO112" i="3" s="1"/>
  <c r="AO47" i="3" a="1"/>
  <c r="AO47" i="3" s="1"/>
  <c r="AO57" i="3" a="1"/>
  <c r="AO57" i="3" s="1"/>
  <c r="AO62" i="3" a="1"/>
  <c r="AO62" i="3" s="1"/>
  <c r="AO63" i="3" a="1"/>
  <c r="AO63" i="3" s="1"/>
  <c r="AO64" i="3" a="1"/>
  <c r="AO64" i="3" s="1"/>
  <c r="AO76" i="3" a="1"/>
  <c r="AO76" i="3" s="1"/>
  <c r="AO83" i="3" a="1"/>
  <c r="AO83" i="3" s="1"/>
  <c r="AO92" i="3" a="1"/>
  <c r="AO92" i="3" s="1"/>
  <c r="AO65" i="3" a="1"/>
  <c r="AO65" i="3" s="1"/>
  <c r="AO66" i="3" a="1"/>
  <c r="AO66" i="3" s="1"/>
  <c r="AO69" i="3" a="1"/>
  <c r="AO69" i="3" s="1"/>
  <c r="AO74" i="3" a="1"/>
  <c r="AO74" i="3" s="1"/>
  <c r="AO90" i="3" a="1"/>
  <c r="AO90" i="3" s="1"/>
  <c r="AO99" i="3" a="1"/>
  <c r="AO99" i="3" s="1"/>
  <c r="AO100" i="3" a="1"/>
  <c r="AO100" i="3" s="1"/>
  <c r="AO127" i="3" a="1"/>
  <c r="AO127" i="3" s="1"/>
  <c r="AO60" i="3" a="1"/>
  <c r="AO60" i="3" s="1"/>
  <c r="AO79" i="3" a="1"/>
  <c r="AO79" i="3" s="1"/>
  <c r="AO110" i="3" a="1"/>
  <c r="AO110" i="3" s="1"/>
  <c r="AO116" i="3" a="1"/>
  <c r="AO116" i="3" s="1"/>
  <c r="AO121" i="3" a="1"/>
  <c r="AO121" i="3" s="1"/>
  <c r="AO124" i="3" a="1"/>
  <c r="AO124" i="3" s="1"/>
  <c r="AO130" i="3" a="1"/>
  <c r="AO130" i="3" s="1"/>
  <c r="AO138" i="3" a="1"/>
  <c r="AO138" i="3" s="1"/>
  <c r="AO97" i="3" a="1"/>
  <c r="AO97" i="3" s="1"/>
  <c r="AO111" i="3" a="1"/>
  <c r="AO111" i="3" s="1"/>
  <c r="AO114" i="3" a="1"/>
  <c r="AO114" i="3" s="1"/>
  <c r="AO134" i="3" a="1"/>
  <c r="AO134" i="3" s="1"/>
  <c r="AO86" i="3" a="1"/>
  <c r="AO86" i="3" s="1"/>
  <c r="AO119" i="3" a="1"/>
  <c r="AO119" i="3" s="1"/>
  <c r="AO122" i="3" a="1"/>
  <c r="AO122" i="3" s="1"/>
  <c r="AO125" i="3" a="1"/>
  <c r="AO125" i="3" s="1"/>
  <c r="AO131" i="3" a="1"/>
  <c r="AO131" i="3" s="1"/>
  <c r="AO147" i="3" a="1"/>
  <c r="AO147" i="3" s="1"/>
  <c r="AO81" i="3" a="1"/>
  <c r="AO81" i="3" s="1"/>
  <c r="AO104" i="3" a="1"/>
  <c r="AO104" i="3" s="1"/>
  <c r="AO128" i="3" a="1"/>
  <c r="AO128" i="3" s="1"/>
  <c r="AO135" i="3" a="1"/>
  <c r="AO135" i="3" s="1"/>
  <c r="AO139" i="3" a="1"/>
  <c r="AO139" i="3" s="1"/>
  <c r="AO143" i="3" a="1"/>
  <c r="AO143" i="3" s="1"/>
  <c r="AO151" i="3" a="1"/>
  <c r="AO151" i="3" s="1"/>
  <c r="AO103" i="3" a="1"/>
  <c r="AO103" i="3" s="1"/>
  <c r="AO105" i="3" a="1"/>
  <c r="AO105" i="3" s="1"/>
  <c r="AO106" i="3" a="1"/>
  <c r="AO106" i="3" s="1"/>
  <c r="AO108" i="3" a="1"/>
  <c r="AO108" i="3" s="1"/>
  <c r="AO117" i="3" a="1"/>
  <c r="AO117" i="3" s="1"/>
  <c r="AO120" i="3" a="1"/>
  <c r="AO120" i="3" s="1"/>
  <c r="AO140" i="3" a="1"/>
  <c r="AO140" i="3" s="1"/>
  <c r="AO152" i="3" a="1"/>
  <c r="AO152" i="3" s="1"/>
  <c r="AO156" i="3" a="1"/>
  <c r="AO156" i="3" s="1"/>
  <c r="AO115" i="3" a="1"/>
  <c r="AO115" i="3" s="1"/>
  <c r="AO132" i="3" a="1"/>
  <c r="AO132" i="3" s="1"/>
  <c r="AO142" i="3" a="1"/>
  <c r="AO142" i="3" s="1"/>
  <c r="AO171" i="3" a="1"/>
  <c r="AO171" i="3" s="1"/>
  <c r="AO188" i="3" a="1"/>
  <c r="AO188" i="3" s="1"/>
  <c r="AO101" i="3" a="1"/>
  <c r="AO101" i="3" s="1"/>
  <c r="AO109" i="3" a="1"/>
  <c r="AO109" i="3" s="1"/>
  <c r="AO118" i="3" a="1"/>
  <c r="AO118" i="3" s="1"/>
  <c r="AO145" i="3" a="1"/>
  <c r="AO145" i="3" s="1"/>
  <c r="AO146" i="3" a="1"/>
  <c r="AO146" i="3" s="1"/>
  <c r="AO160" i="3" a="1"/>
  <c r="AO160" i="3" s="1"/>
  <c r="AO168" i="3" a="1"/>
  <c r="AO168" i="3" s="1"/>
  <c r="AO172" i="3" a="1"/>
  <c r="AO172" i="3" s="1"/>
  <c r="AO176" i="3" a="1"/>
  <c r="AO176" i="3" s="1"/>
  <c r="AO180" i="3" a="1"/>
  <c r="AO180" i="3" s="1"/>
  <c r="AO184" i="3" a="1"/>
  <c r="AO184" i="3" s="1"/>
  <c r="AO192" i="3" a="1"/>
  <c r="AO192" i="3" s="1"/>
  <c r="AO96" i="3" a="1"/>
  <c r="AO96" i="3" s="1"/>
  <c r="AO102" i="3" a="1"/>
  <c r="AO102" i="3" s="1"/>
  <c r="AO150" i="3" a="1"/>
  <c r="AO150" i="3" s="1"/>
  <c r="AO164" i="3" a="1"/>
  <c r="AO164" i="3" s="1"/>
  <c r="AO113" i="3" a="1"/>
  <c r="AO113" i="3" s="1"/>
  <c r="AO141" i="3" a="1"/>
  <c r="AO141" i="3" s="1"/>
  <c r="AO144" i="3" a="1"/>
  <c r="AO144" i="3" s="1"/>
  <c r="AO149" i="3" a="1"/>
  <c r="AO149" i="3" s="1"/>
  <c r="AO161" i="3" a="1"/>
  <c r="AO161" i="3" s="1"/>
  <c r="AO173" i="3" a="1"/>
  <c r="AO173" i="3" s="1"/>
  <c r="AO177" i="3" a="1"/>
  <c r="AO177" i="3" s="1"/>
  <c r="AO181" i="3" a="1"/>
  <c r="AO181" i="3" s="1"/>
  <c r="AO189" i="3" a="1"/>
  <c r="AO189" i="3" s="1"/>
  <c r="AO193" i="3" a="1"/>
  <c r="AO193" i="3" s="1"/>
  <c r="AO197" i="3" a="1"/>
  <c r="AO197" i="3" s="1"/>
  <c r="AO88" i="3" a="1"/>
  <c r="AO88" i="3" s="1"/>
  <c r="AO137" i="3" a="1"/>
  <c r="AO137" i="3" s="1"/>
  <c r="AO148" i="3" a="1"/>
  <c r="AO148" i="3" s="1"/>
  <c r="AO154" i="3" a="1"/>
  <c r="AO154" i="3" s="1"/>
  <c r="AO165" i="3" a="1"/>
  <c r="AO165" i="3" s="1"/>
  <c r="AO169" i="3" a="1"/>
  <c r="AO169" i="3" s="1"/>
  <c r="AO185" i="3" a="1"/>
  <c r="AO185" i="3" s="1"/>
  <c r="AO201" i="3" a="1"/>
  <c r="AO201" i="3" s="1"/>
  <c r="AO133" i="3" a="1"/>
  <c r="AO133" i="3" s="1"/>
  <c r="AO153" i="3" a="1"/>
  <c r="AO153" i="3" s="1"/>
  <c r="AO155" i="3" a="1"/>
  <c r="AO155" i="3" s="1"/>
  <c r="AO166" i="3" a="1"/>
  <c r="AO166" i="3" s="1"/>
  <c r="AO170" i="3" a="1"/>
  <c r="AO170" i="3" s="1"/>
  <c r="AO174" i="3" a="1"/>
  <c r="AO174" i="3" s="1"/>
  <c r="AO182" i="3" a="1"/>
  <c r="AO182" i="3" s="1"/>
  <c r="AO186" i="3" a="1"/>
  <c r="AO186" i="3" s="1"/>
  <c r="AO190" i="3" a="1"/>
  <c r="AO190" i="3" s="1"/>
  <c r="AO123" i="3" a="1"/>
  <c r="AO123" i="3" s="1"/>
  <c r="AO129" i="3" a="1"/>
  <c r="AO129" i="3" s="1"/>
  <c r="AO157" i="3" a="1"/>
  <c r="AO157" i="3" s="1"/>
  <c r="AO162" i="3" a="1"/>
  <c r="AO162" i="3" s="1"/>
  <c r="AO178" i="3" a="1"/>
  <c r="AO178" i="3" s="1"/>
  <c r="AO195" i="3" a="1"/>
  <c r="AO195" i="3" s="1"/>
  <c r="AO72" i="3" a="1"/>
  <c r="AO72" i="3" s="1"/>
  <c r="AO126" i="3" a="1"/>
  <c r="AO126" i="3" s="1"/>
  <c r="AO136" i="3" a="1"/>
  <c r="AO136" i="3" s="1"/>
  <c r="AO158" i="3" a="1"/>
  <c r="AO158" i="3" s="1"/>
  <c r="AO159" i="3" a="1"/>
  <c r="AO159" i="3" s="1"/>
  <c r="AO163" i="3" a="1"/>
  <c r="AO163" i="3" s="1"/>
  <c r="AO167" i="3" a="1"/>
  <c r="AO167" i="3" s="1"/>
  <c r="AO175" i="3" a="1"/>
  <c r="AO175" i="3" s="1"/>
  <c r="AO179" i="3" a="1"/>
  <c r="AO179" i="3" s="1"/>
  <c r="AO183" i="3" a="1"/>
  <c r="AO183" i="3" s="1"/>
  <c r="AO187" i="3" a="1"/>
  <c r="AO187" i="3" s="1"/>
  <c r="AO191" i="3" a="1"/>
  <c r="AO191" i="3" s="1"/>
  <c r="AO194" i="3" a="1"/>
  <c r="AO194" i="3" s="1"/>
  <c r="AO196" i="3" a="1"/>
  <c r="AO196" i="3" s="1"/>
  <c r="AO205" i="3" a="1"/>
  <c r="AO205" i="3" s="1"/>
  <c r="AO209" i="3" a="1"/>
  <c r="AO209" i="3" s="1"/>
  <c r="AO218" i="3" a="1"/>
  <c r="AO218" i="3" s="1"/>
  <c r="AO227" i="3" a="1"/>
  <c r="AO227" i="3" s="1"/>
  <c r="AO236" i="3" a="1"/>
  <c r="AO236" i="3" s="1"/>
  <c r="AO239" i="3" a="1"/>
  <c r="AO239" i="3" s="1"/>
  <c r="AO245" i="3" a="1"/>
  <c r="AO245" i="3" s="1"/>
  <c r="AO248" i="3" a="1"/>
  <c r="AO248" i="3" s="1"/>
  <c r="AO251" i="3" a="1"/>
  <c r="AO251" i="3" s="1"/>
  <c r="AO254" i="3" a="1"/>
  <c r="AO254" i="3" s="1"/>
  <c r="AO260" i="3" a="1"/>
  <c r="AO260" i="3" s="1"/>
  <c r="AO202" i="3" a="1"/>
  <c r="AO202" i="3" s="1"/>
  <c r="AO210" i="3" a="1"/>
  <c r="AO210" i="3" s="1"/>
  <c r="AO257" i="3" a="1"/>
  <c r="AO257" i="3" s="1"/>
  <c r="AO204" i="3" a="1"/>
  <c r="AO204" i="3" s="1"/>
  <c r="AO207" i="3" a="1"/>
  <c r="AO207" i="3" s="1"/>
  <c r="AO213" i="3" a="1"/>
  <c r="AO213" i="3" s="1"/>
  <c r="AO216" i="3" a="1"/>
  <c r="AO216" i="3" s="1"/>
  <c r="AO219" i="3" a="1"/>
  <c r="AO219" i="3" s="1"/>
  <c r="AO222" i="3" a="1"/>
  <c r="AO222" i="3" s="1"/>
  <c r="AO228" i="3" a="1"/>
  <c r="AO228" i="3" s="1"/>
  <c r="AO231" i="3" a="1"/>
  <c r="AO231" i="3" s="1"/>
  <c r="AO237" i="3" a="1"/>
  <c r="AO237" i="3" s="1"/>
  <c r="AO240" i="3" a="1"/>
  <c r="AO240" i="3" s="1"/>
  <c r="AO246" i="3" a="1"/>
  <c r="AO246" i="3" s="1"/>
  <c r="AO249" i="3" a="1"/>
  <c r="AO249" i="3" s="1"/>
  <c r="AO258" i="3" a="1"/>
  <c r="AO258" i="3" s="1"/>
  <c r="AO199" i="3" a="1"/>
  <c r="AO199" i="3" s="1"/>
  <c r="AO225" i="3" a="1"/>
  <c r="AO225" i="3" s="1"/>
  <c r="AO234" i="3" a="1"/>
  <c r="AO234" i="3" s="1"/>
  <c r="AO243" i="3" a="1"/>
  <c r="AO243" i="3" s="1"/>
  <c r="AO252" i="3" a="1"/>
  <c r="AO252" i="3" s="1"/>
  <c r="AO255" i="3" a="1"/>
  <c r="AO255" i="3" s="1"/>
  <c r="AO261" i="3" a="1"/>
  <c r="AO261" i="3" s="1"/>
  <c r="AO208" i="3" a="1"/>
  <c r="AO208" i="3" s="1"/>
  <c r="AO214" i="3" a="1"/>
  <c r="AO214" i="3" s="1"/>
  <c r="AO217" i="3" a="1"/>
  <c r="AO217" i="3" s="1"/>
  <c r="AO226" i="3" a="1"/>
  <c r="AO226" i="3" s="1"/>
  <c r="AO203" i="3" a="1"/>
  <c r="AO203" i="3" s="1"/>
  <c r="AO206" i="3" a="1"/>
  <c r="AO206" i="3" s="1"/>
  <c r="AO211" i="3" a="1"/>
  <c r="AO211" i="3" s="1"/>
  <c r="AO220" i="3" a="1"/>
  <c r="AO220" i="3" s="1"/>
  <c r="AO223" i="3" a="1"/>
  <c r="AO223" i="3" s="1"/>
  <c r="AO229" i="3" a="1"/>
  <c r="AO229" i="3" s="1"/>
  <c r="AO232" i="3" a="1"/>
  <c r="AO232" i="3" s="1"/>
  <c r="AO235" i="3" a="1"/>
  <c r="AO235" i="3" s="1"/>
  <c r="AO238" i="3" a="1"/>
  <c r="AO238" i="3" s="1"/>
  <c r="AO244" i="3" a="1"/>
  <c r="AO244" i="3" s="1"/>
  <c r="AO247" i="3" a="1"/>
  <c r="AO247" i="3" s="1"/>
  <c r="AO253" i="3" a="1"/>
  <c r="AO253" i="3" s="1"/>
  <c r="AO256" i="3" a="1"/>
  <c r="AO256" i="3" s="1"/>
  <c r="AO241" i="3" a="1"/>
  <c r="AO241" i="3" s="1"/>
  <c r="AO250" i="3" a="1"/>
  <c r="AO250" i="3" s="1"/>
  <c r="AO259" i="3" a="1"/>
  <c r="AO259" i="3" s="1"/>
  <c r="AO198" i="3" a="1"/>
  <c r="AO198" i="3" s="1"/>
  <c r="AO200" i="3" a="1"/>
  <c r="AO200" i="3" s="1"/>
  <c r="AO212" i="3" a="1"/>
  <c r="AO212" i="3" s="1"/>
  <c r="AO215" i="3" a="1"/>
  <c r="AO215" i="3" s="1"/>
  <c r="AO221" i="3" a="1"/>
  <c r="AO221" i="3" s="1"/>
  <c r="AO224" i="3" a="1"/>
  <c r="AO224" i="3" s="1"/>
  <c r="AO230" i="3" a="1"/>
  <c r="AO230" i="3" s="1"/>
  <c r="AO233" i="3" a="1"/>
  <c r="AO233" i="3" s="1"/>
  <c r="AO242" i="3" a="1"/>
  <c r="AO242" i="3" s="1"/>
  <c r="AI317" i="3" a="1"/>
  <c r="AI317" i="3" s="1"/>
  <c r="AM313" i="3" a="1"/>
  <c r="AM313" i="3" s="1"/>
  <c r="AI312" i="3" a="1"/>
  <c r="AI312" i="3" s="1"/>
  <c r="AQ309" i="3" a="1"/>
  <c r="AQ309" i="3" s="1"/>
  <c r="AK309" i="3" a="1"/>
  <c r="AK309" i="3" s="1"/>
  <c r="AM308" i="3" a="1"/>
  <c r="AM308" i="3" s="1"/>
  <c r="AO305" i="3" a="1"/>
  <c r="AO305" i="3" s="1"/>
  <c r="AQ304" i="3" a="1"/>
  <c r="AQ304" i="3" s="1"/>
  <c r="AK304" i="3" a="1"/>
  <c r="AK304" i="3" s="1"/>
  <c r="AO300" i="3" a="1"/>
  <c r="AO300" i="3" s="1"/>
  <c r="AK299" i="3" a="1"/>
  <c r="AK299" i="3" s="1"/>
  <c r="AO295" i="3" a="1"/>
  <c r="AO295" i="3" s="1"/>
  <c r="AI295" i="3" a="1"/>
  <c r="AI295" i="3" s="1"/>
  <c r="AK294" i="3" a="1"/>
  <c r="AK294" i="3" s="1"/>
  <c r="AM291" i="3" a="1"/>
  <c r="AM291" i="3" s="1"/>
  <c r="AO290" i="3" a="1"/>
  <c r="AO290" i="3" s="1"/>
  <c r="AI290" i="3" a="1"/>
  <c r="AI290" i="3" s="1"/>
  <c r="AQ287" i="3" a="1"/>
  <c r="AQ287" i="3" s="1"/>
  <c r="AM286" i="3" a="1"/>
  <c r="AM286" i="3" s="1"/>
  <c r="AI285" i="3" a="1"/>
  <c r="AI285" i="3" s="1"/>
  <c r="AQ282" i="3" a="1"/>
  <c r="AQ282" i="3" s="1"/>
  <c r="AM281" i="3" a="1"/>
  <c r="AM281" i="3" s="1"/>
  <c r="AI280" i="3" a="1"/>
  <c r="AI280" i="3" s="1"/>
  <c r="AQ277" i="3" a="1"/>
  <c r="AQ277" i="3" s="1"/>
  <c r="AK277" i="3" a="1"/>
  <c r="AK277" i="3" s="1"/>
  <c r="AO276" i="3" a="1"/>
  <c r="AO276" i="3" s="1"/>
  <c r="AI276" i="3" a="1"/>
  <c r="AI276" i="3" s="1"/>
  <c r="AM275" i="3" a="1"/>
  <c r="AM275" i="3" s="1"/>
  <c r="AQ274" i="3" a="1"/>
  <c r="AQ274" i="3" s="1"/>
  <c r="AK274" i="3" a="1"/>
  <c r="AK274" i="3" s="1"/>
  <c r="AO273" i="3" a="1"/>
  <c r="AO273" i="3" s="1"/>
  <c r="AM272" i="3" a="1"/>
  <c r="AM272" i="3" s="1"/>
  <c r="AQ271" i="3" a="1"/>
  <c r="AQ271" i="3" s="1"/>
  <c r="AO270" i="3" a="1"/>
  <c r="AO270" i="3" s="1"/>
  <c r="AQ268" i="3" a="1"/>
  <c r="AQ268" i="3" s="1"/>
  <c r="AO265" i="3" a="1"/>
  <c r="AO265" i="3" s="1"/>
  <c r="AO262" i="3" a="1"/>
  <c r="AO262" i="3" s="1"/>
  <c r="AM318" i="3" a="1"/>
  <c r="AM318" i="3" s="1"/>
  <c r="AQ314" i="3" a="1"/>
  <c r="AQ314" i="3" s="1"/>
  <c r="AN1" i="3"/>
  <c r="AO6" i="3" a="1"/>
  <c r="AO6" i="3" s="1"/>
  <c r="AQ7" i="3" a="1"/>
  <c r="AQ7" i="3" s="1"/>
  <c r="AK7" i="3" a="1"/>
  <c r="AK7" i="3" s="1"/>
  <c r="AO317" i="3" a="1"/>
  <c r="AO317" i="3" s="1"/>
  <c r="AQ316" i="3" a="1"/>
  <c r="AQ316" i="3" s="1"/>
  <c r="AK316" i="3" a="1"/>
  <c r="AK316" i="3" s="1"/>
  <c r="AO312" i="3" a="1"/>
  <c r="AO312" i="3" s="1"/>
  <c r="AK311" i="3" a="1"/>
  <c r="AK311" i="3" s="1"/>
  <c r="AO307" i="3" a="1"/>
  <c r="AO307" i="3" s="1"/>
  <c r="AI307" i="3" a="1"/>
  <c r="AI307" i="3" s="1"/>
  <c r="AK306" i="3" a="1"/>
  <c r="AK306" i="3" s="1"/>
  <c r="AM303" i="3" a="1"/>
  <c r="AM303" i="3" s="1"/>
  <c r="AO302" i="3" a="1"/>
  <c r="AO302" i="3" s="1"/>
  <c r="AI302" i="3" a="1"/>
  <c r="AI302" i="3" s="1"/>
  <c r="AQ299" i="3" a="1"/>
  <c r="AQ299" i="3" s="1"/>
  <c r="AM298" i="3" a="1"/>
  <c r="AM298" i="3" s="1"/>
  <c r="AI297" i="3" a="1"/>
  <c r="AI297" i="3" s="1"/>
  <c r="AQ294" i="3" a="1"/>
  <c r="AQ294" i="3" s="1"/>
  <c r="AM293" i="3" a="1"/>
  <c r="AM293" i="3" s="1"/>
  <c r="AI292" i="3" a="1"/>
  <c r="AI292" i="3" s="1"/>
  <c r="AQ289" i="3" a="1"/>
  <c r="AQ289" i="3" s="1"/>
  <c r="AK289" i="3" a="1"/>
  <c r="AK289" i="3" s="1"/>
  <c r="AM288" i="3" a="1"/>
  <c r="AM288" i="3" s="1"/>
  <c r="AO285" i="3" a="1"/>
  <c r="AO285" i="3" s="1"/>
  <c r="AQ284" i="3" a="1"/>
  <c r="AQ284" i="3" s="1"/>
  <c r="AK284" i="3" a="1"/>
  <c r="AK284" i="3" s="1"/>
  <c r="AO280" i="3" a="1"/>
  <c r="AO280" i="3" s="1"/>
  <c r="AK279" i="3" a="1"/>
  <c r="AK279" i="3" s="1"/>
  <c r="AI273" i="3" a="1"/>
  <c r="AI273" i="3" s="1"/>
  <c r="AK271" i="3" a="1"/>
  <c r="AK271" i="3" s="1"/>
  <c r="AM269" i="3" a="1"/>
  <c r="AM269" i="3" s="1"/>
  <c r="AO267" i="3" a="1"/>
  <c r="AO267" i="3" s="1"/>
  <c r="AI267" i="3" a="1"/>
  <c r="AI267" i="3" s="1"/>
  <c r="AK263" i="3" a="1"/>
  <c r="AK263" i="3" s="1"/>
  <c r="AK318" i="3" a="1"/>
  <c r="AK318" i="3" s="1"/>
  <c r="AO314" i="3" a="1"/>
  <c r="AO314" i="3" s="1"/>
  <c r="AM310" i="3" a="1"/>
  <c r="AM310" i="3" s="1"/>
  <c r="AI309" i="3" a="1"/>
  <c r="AI309" i="3" s="1"/>
  <c r="AQ306" i="3" a="1"/>
  <c r="AQ306" i="3" s="1"/>
  <c r="AM305" i="3" a="1"/>
  <c r="AM305" i="3" s="1"/>
  <c r="AI304" i="3" a="1"/>
  <c r="AI304" i="3" s="1"/>
  <c r="AQ301" i="3" a="1"/>
  <c r="AQ301" i="3" s="1"/>
  <c r="AK301" i="3" a="1"/>
  <c r="AK301" i="3" s="1"/>
  <c r="AM300" i="3" a="1"/>
  <c r="AM300" i="3" s="1"/>
  <c r="AO297" i="3" a="1"/>
  <c r="AO297" i="3" s="1"/>
  <c r="AQ296" i="3" a="1"/>
  <c r="AQ296" i="3" s="1"/>
  <c r="AK296" i="3" a="1"/>
  <c r="AK296" i="3" s="1"/>
  <c r="AO292" i="3" a="1"/>
  <c r="AO292" i="3" s="1"/>
  <c r="AK291" i="3" a="1"/>
  <c r="AK291" i="3" s="1"/>
  <c r="AO287" i="3" a="1"/>
  <c r="AO287" i="3" s="1"/>
  <c r="AI287" i="3" a="1"/>
  <c r="AI287" i="3" s="1"/>
  <c r="AK286" i="3" a="1"/>
  <c r="AK286" i="3" s="1"/>
  <c r="AM283" i="3" a="1"/>
  <c r="AM283" i="3" s="1"/>
  <c r="AO282" i="3" a="1"/>
  <c r="AO282" i="3" s="1"/>
  <c r="AI282" i="3" a="1"/>
  <c r="AI282" i="3" s="1"/>
  <c r="AQ279" i="3" a="1"/>
  <c r="AQ279" i="3" s="1"/>
  <c r="AM278" i="3" a="1"/>
  <c r="AM278" i="3" s="1"/>
  <c r="AM276" i="3" a="1"/>
  <c r="AM276" i="3" s="1"/>
  <c r="AQ275" i="3" a="1"/>
  <c r="AQ275" i="3" s="1"/>
  <c r="AO274" i="3" a="1"/>
  <c r="AO274" i="3" s="1"/>
  <c r="AQ272" i="3" a="1"/>
  <c r="AQ272" i="3" s="1"/>
  <c r="AI270" i="3" a="1"/>
  <c r="AI270" i="3" s="1"/>
  <c r="AK268" i="3" a="1"/>
  <c r="AK268" i="3" s="1"/>
  <c r="AQ266" i="3" a="1"/>
  <c r="AQ266" i="3" s="1"/>
  <c r="AK266" i="3" a="1"/>
  <c r="AK266" i="3" s="1"/>
  <c r="AO264" i="3" a="1"/>
  <c r="AO264" i="3" s="1"/>
  <c r="AI264" i="3" a="1"/>
  <c r="AI264" i="3" s="1"/>
  <c r="AM17" i="3" a="1"/>
  <c r="AM17" i="3" s="1"/>
  <c r="AM21" i="3" a="1"/>
  <c r="AM21" i="3" s="1"/>
  <c r="AM30" i="3" a="1"/>
  <c r="AM30" i="3" s="1"/>
  <c r="AM44" i="3" a="1"/>
  <c r="AM44" i="3" s="1"/>
  <c r="AM53" i="3" a="1"/>
  <c r="AM53" i="3" s="1"/>
  <c r="AM63" i="3" a="1"/>
  <c r="AM63" i="3" s="1"/>
  <c r="AM12" i="3" a="1"/>
  <c r="AM12" i="3" s="1"/>
  <c r="AM26" i="3" a="1"/>
  <c r="AM26" i="3" s="1"/>
  <c r="AM34" i="3" a="1"/>
  <c r="AM34" i="3" s="1"/>
  <c r="AM39" i="3" a="1"/>
  <c r="AM39" i="3" s="1"/>
  <c r="AM46" i="3" a="1"/>
  <c r="AM46" i="3" s="1"/>
  <c r="AM51" i="3" a="1"/>
  <c r="AM51" i="3" s="1"/>
  <c r="AM13" i="3" a="1"/>
  <c r="AM13" i="3" s="1"/>
  <c r="AM18" i="3" a="1"/>
  <c r="AM18" i="3" s="1"/>
  <c r="AM22" i="3" a="1"/>
  <c r="AM22" i="3" s="1"/>
  <c r="AM27" i="3" a="1"/>
  <c r="AM27" i="3" s="1"/>
  <c r="AM31" i="3" a="1"/>
  <c r="AM31" i="3" s="1"/>
  <c r="AM37" i="3" a="1"/>
  <c r="AM37" i="3" s="1"/>
  <c r="AM41" i="3" a="1"/>
  <c r="AM41" i="3" s="1"/>
  <c r="AM8" i="3" a="1"/>
  <c r="AM8" i="3" s="1"/>
  <c r="AM14" i="3" a="1"/>
  <c r="AM14" i="3" s="1"/>
  <c r="AM23" i="3" a="1"/>
  <c r="AM23" i="3" s="1"/>
  <c r="AM32" i="3" a="1"/>
  <c r="AM32" i="3" s="1"/>
  <c r="AM43" i="3" a="1"/>
  <c r="AM43" i="3" s="1"/>
  <c r="AM52" i="3" a="1"/>
  <c r="AM52" i="3" s="1"/>
  <c r="AM9" i="3" a="1"/>
  <c r="AM9" i="3" s="1"/>
  <c r="AM19" i="3" a="1"/>
  <c r="AM19" i="3" s="1"/>
  <c r="AM35" i="3" a="1"/>
  <c r="AM35" i="3" s="1"/>
  <c r="AM47" i="3" a="1"/>
  <c r="AM47" i="3" s="1"/>
  <c r="AM57" i="3" a="1"/>
  <c r="AM57" i="3" s="1"/>
  <c r="AM10" i="3" a="1"/>
  <c r="AM10" i="3" s="1"/>
  <c r="AM15" i="3" a="1"/>
  <c r="AM15" i="3" s="1"/>
  <c r="AM24" i="3" a="1"/>
  <c r="AM24" i="3" s="1"/>
  <c r="AM28" i="3" a="1"/>
  <c r="AM28" i="3" s="1"/>
  <c r="AM40" i="3" a="1"/>
  <c r="AM40" i="3" s="1"/>
  <c r="AM45" i="3" a="1"/>
  <c r="AM45" i="3" s="1"/>
  <c r="AM50" i="3" a="1"/>
  <c r="AM50" i="3" s="1"/>
  <c r="AM16" i="3" a="1"/>
  <c r="AM16" i="3" s="1"/>
  <c r="AM20" i="3" a="1"/>
  <c r="AM20" i="3" s="1"/>
  <c r="AM59" i="3" a="1"/>
  <c r="AM59" i="3" s="1"/>
  <c r="AM73" i="3" a="1"/>
  <c r="AM73" i="3" s="1"/>
  <c r="AM80" i="3" a="1"/>
  <c r="AM80" i="3" s="1"/>
  <c r="AM96" i="3" a="1"/>
  <c r="AM96" i="3" s="1"/>
  <c r="AM98" i="3" a="1"/>
  <c r="AM98" i="3" s="1"/>
  <c r="AM42" i="3" a="1"/>
  <c r="AM42" i="3" s="1"/>
  <c r="AM48" i="3" a="1"/>
  <c r="AM48" i="3" s="1"/>
  <c r="AM55" i="3" a="1"/>
  <c r="AM55" i="3" s="1"/>
  <c r="AM78" i="3" a="1"/>
  <c r="AM78" i="3" s="1"/>
  <c r="AM87" i="3" a="1"/>
  <c r="AM87" i="3" s="1"/>
  <c r="AM58" i="3" a="1"/>
  <c r="AM58" i="3" s="1"/>
  <c r="AM71" i="3" a="1"/>
  <c r="AM71" i="3" s="1"/>
  <c r="AM76" i="3" a="1"/>
  <c r="AM76" i="3" s="1"/>
  <c r="AM85" i="3" a="1"/>
  <c r="AM85" i="3" s="1"/>
  <c r="AM94" i="3" a="1"/>
  <c r="AM94" i="3" s="1"/>
  <c r="AM101" i="3" a="1"/>
  <c r="AM101" i="3" s="1"/>
  <c r="AM105" i="3" a="1"/>
  <c r="AM105" i="3" s="1"/>
  <c r="AM107" i="3" a="1"/>
  <c r="AM107" i="3" s="1"/>
  <c r="AM25" i="3" a="1"/>
  <c r="AM25" i="3" s="1"/>
  <c r="AM61" i="3" a="1"/>
  <c r="AM61" i="3" s="1"/>
  <c r="AM62" i="3" a="1"/>
  <c r="AM62" i="3" s="1"/>
  <c r="AM83" i="3" a="1"/>
  <c r="AM83" i="3" s="1"/>
  <c r="AM38" i="3" a="1"/>
  <c r="AM38" i="3" s="1"/>
  <c r="AM54" i="3" a="1"/>
  <c r="AM54" i="3" s="1"/>
  <c r="AM64" i="3" a="1"/>
  <c r="AM64" i="3" s="1"/>
  <c r="AM65" i="3" a="1"/>
  <c r="AM65" i="3" s="1"/>
  <c r="AM66" i="3" a="1"/>
  <c r="AM66" i="3" s="1"/>
  <c r="AM69" i="3" a="1"/>
  <c r="AM69" i="3" s="1"/>
  <c r="AM74" i="3" a="1"/>
  <c r="AM74" i="3" s="1"/>
  <c r="AM79" i="3" a="1"/>
  <c r="AM79" i="3" s="1"/>
  <c r="AM81" i="3" a="1"/>
  <c r="AM81" i="3" s="1"/>
  <c r="AM88" i="3" a="1"/>
  <c r="AM88" i="3" s="1"/>
  <c r="AM97" i="3" a="1"/>
  <c r="AM97" i="3" s="1"/>
  <c r="AM99" i="3" a="1"/>
  <c r="AM99" i="3" s="1"/>
  <c r="AM104" i="3" a="1"/>
  <c r="AM104" i="3" s="1"/>
  <c r="AM108" i="3" a="1"/>
  <c r="AM108" i="3" s="1"/>
  <c r="AM29" i="3" a="1"/>
  <c r="AM29" i="3" s="1"/>
  <c r="AM49" i="3" a="1"/>
  <c r="AM49" i="3" s="1"/>
  <c r="AM60" i="3" a="1"/>
  <c r="AM60" i="3" s="1"/>
  <c r="AM72" i="3" a="1"/>
  <c r="AM72" i="3" s="1"/>
  <c r="AM77" i="3" a="1"/>
  <c r="AM77" i="3" s="1"/>
  <c r="AM86" i="3" a="1"/>
  <c r="AM86" i="3" s="1"/>
  <c r="AM95" i="3" a="1"/>
  <c r="AM95" i="3" s="1"/>
  <c r="AM11" i="3" a="1"/>
  <c r="AM11" i="3" s="1"/>
  <c r="AM33" i="3" a="1"/>
  <c r="AM33" i="3" s="1"/>
  <c r="AM67" i="3" a="1"/>
  <c r="AM67" i="3" s="1"/>
  <c r="AM70" i="3" a="1"/>
  <c r="AM70" i="3" s="1"/>
  <c r="AM75" i="3" a="1"/>
  <c r="AM75" i="3" s="1"/>
  <c r="AM84" i="3" a="1"/>
  <c r="AM84" i="3" s="1"/>
  <c r="AM93" i="3" a="1"/>
  <c r="AM93" i="3" s="1"/>
  <c r="AM100" i="3" a="1"/>
  <c r="AM100" i="3" s="1"/>
  <c r="AM106" i="3" a="1"/>
  <c r="AM106" i="3" s="1"/>
  <c r="AM92" i="3" a="1"/>
  <c r="AM92" i="3" s="1"/>
  <c r="AM111" i="3" a="1"/>
  <c r="AM111" i="3" s="1"/>
  <c r="AM114" i="3" a="1"/>
  <c r="AM114" i="3" s="1"/>
  <c r="AM122" i="3" a="1"/>
  <c r="AM122" i="3" s="1"/>
  <c r="AM68" i="3" a="1"/>
  <c r="AM68" i="3" s="1"/>
  <c r="AM119" i="3" a="1"/>
  <c r="AM119" i="3" s="1"/>
  <c r="AM125" i="3" a="1"/>
  <c r="AM125" i="3" s="1"/>
  <c r="AM90" i="3" a="1"/>
  <c r="AM90" i="3" s="1"/>
  <c r="AM117" i="3" a="1"/>
  <c r="AM117" i="3" s="1"/>
  <c r="AM128" i="3" a="1"/>
  <c r="AM128" i="3" s="1"/>
  <c r="AM135" i="3" a="1"/>
  <c r="AM135" i="3" s="1"/>
  <c r="AM139" i="3" a="1"/>
  <c r="AM139" i="3" s="1"/>
  <c r="AM112" i="3" a="1"/>
  <c r="AM112" i="3" s="1"/>
  <c r="AM115" i="3" a="1"/>
  <c r="AM115" i="3" s="1"/>
  <c r="AM120" i="3" a="1"/>
  <c r="AM120" i="3" s="1"/>
  <c r="AM129" i="3" a="1"/>
  <c r="AM129" i="3" s="1"/>
  <c r="AM140" i="3" a="1"/>
  <c r="AM140" i="3" s="1"/>
  <c r="AM152" i="3" a="1"/>
  <c r="AM152" i="3" s="1"/>
  <c r="AM36" i="3" a="1"/>
  <c r="AM36" i="3" s="1"/>
  <c r="AM102" i="3" a="1"/>
  <c r="AM102" i="3" s="1"/>
  <c r="AM103" i="3" a="1"/>
  <c r="AM103" i="3" s="1"/>
  <c r="AM113" i="3" a="1"/>
  <c r="AM113" i="3" s="1"/>
  <c r="AM123" i="3" a="1"/>
  <c r="AM123" i="3" s="1"/>
  <c r="AM126" i="3" a="1"/>
  <c r="AM126" i="3" s="1"/>
  <c r="AM132" i="3" a="1"/>
  <c r="AM132" i="3" s="1"/>
  <c r="AM136" i="3" a="1"/>
  <c r="AM136" i="3" s="1"/>
  <c r="AM144" i="3" a="1"/>
  <c r="AM144" i="3" s="1"/>
  <c r="AM148" i="3" a="1"/>
  <c r="AM148" i="3" s="1"/>
  <c r="AM82" i="3" a="1"/>
  <c r="AM82" i="3" s="1"/>
  <c r="AM91" i="3" a="1"/>
  <c r="AM91" i="3" s="1"/>
  <c r="AM109" i="3" a="1"/>
  <c r="AM109" i="3" s="1"/>
  <c r="AM118" i="3" a="1"/>
  <c r="AM118" i="3" s="1"/>
  <c r="AM133" i="3" a="1"/>
  <c r="AM133" i="3" s="1"/>
  <c r="AM145" i="3" a="1"/>
  <c r="AM145" i="3" s="1"/>
  <c r="AM149" i="3" a="1"/>
  <c r="AM149" i="3" s="1"/>
  <c r="AM153" i="3" a="1"/>
  <c r="AM153" i="3" s="1"/>
  <c r="AM124" i="3" a="1"/>
  <c r="AM124" i="3" s="1"/>
  <c r="AM127" i="3" a="1"/>
  <c r="AM127" i="3" s="1"/>
  <c r="AM134" i="3" a="1"/>
  <c r="AM134" i="3" s="1"/>
  <c r="AM150" i="3" a="1"/>
  <c r="AM150" i="3" s="1"/>
  <c r="AM164" i="3" a="1"/>
  <c r="AM164" i="3" s="1"/>
  <c r="AM181" i="3" a="1"/>
  <c r="AM181" i="3" s="1"/>
  <c r="AM197" i="3" a="1"/>
  <c r="AM197" i="3" s="1"/>
  <c r="AM121" i="3" a="1"/>
  <c r="AM121" i="3" s="1"/>
  <c r="AM130" i="3" a="1"/>
  <c r="AM130" i="3" s="1"/>
  <c r="AM141" i="3" a="1"/>
  <c r="AM141" i="3" s="1"/>
  <c r="AM161" i="3" a="1"/>
  <c r="AM161" i="3" s="1"/>
  <c r="AM165" i="3" a="1"/>
  <c r="AM165" i="3" s="1"/>
  <c r="AM169" i="3" a="1"/>
  <c r="AM169" i="3" s="1"/>
  <c r="AM173" i="3" a="1"/>
  <c r="AM173" i="3" s="1"/>
  <c r="AM177" i="3" a="1"/>
  <c r="AM177" i="3" s="1"/>
  <c r="AM185" i="3" a="1"/>
  <c r="AM185" i="3" s="1"/>
  <c r="AM189" i="3" a="1"/>
  <c r="AM189" i="3" s="1"/>
  <c r="AM193" i="3" a="1"/>
  <c r="AM193" i="3" s="1"/>
  <c r="AM56" i="3" a="1"/>
  <c r="AM56" i="3" s="1"/>
  <c r="AM116" i="3" a="1"/>
  <c r="AM116" i="3" s="1"/>
  <c r="AM137" i="3" a="1"/>
  <c r="AM137" i="3" s="1"/>
  <c r="AM154" i="3" a="1"/>
  <c r="AM154" i="3" s="1"/>
  <c r="AM174" i="3" a="1"/>
  <c r="AM174" i="3" s="1"/>
  <c r="AM190" i="3" a="1"/>
  <c r="AM190" i="3" s="1"/>
  <c r="AM110" i="3" a="1"/>
  <c r="AM110" i="3" s="1"/>
  <c r="AM155" i="3" a="1"/>
  <c r="AM155" i="3" s="1"/>
  <c r="AM156" i="3" a="1"/>
  <c r="AM156" i="3" s="1"/>
  <c r="AM162" i="3" a="1"/>
  <c r="AM162" i="3" s="1"/>
  <c r="AM166" i="3" a="1"/>
  <c r="AM166" i="3" s="1"/>
  <c r="AM170" i="3" a="1"/>
  <c r="AM170" i="3" s="1"/>
  <c r="AM178" i="3" a="1"/>
  <c r="AM178" i="3" s="1"/>
  <c r="AM182" i="3" a="1"/>
  <c r="AM182" i="3" s="1"/>
  <c r="AM186" i="3" a="1"/>
  <c r="AM186" i="3" s="1"/>
  <c r="AM194" i="3" a="1"/>
  <c r="AM194" i="3" s="1"/>
  <c r="AM198" i="3" a="1"/>
  <c r="AM198" i="3" s="1"/>
  <c r="AM131" i="3" a="1"/>
  <c r="AM131" i="3" s="1"/>
  <c r="AM157" i="3" a="1"/>
  <c r="AM157" i="3" s="1"/>
  <c r="AM158" i="3" a="1"/>
  <c r="AM158" i="3" s="1"/>
  <c r="AM195" i="3" a="1"/>
  <c r="AM195" i="3" s="1"/>
  <c r="AM89" i="3" a="1"/>
  <c r="AM89" i="3" s="1"/>
  <c r="AM143" i="3" a="1"/>
  <c r="AM143" i="3" s="1"/>
  <c r="AM147" i="3" a="1"/>
  <c r="AM147" i="3" s="1"/>
  <c r="AM159" i="3" a="1"/>
  <c r="AM159" i="3" s="1"/>
  <c r="AM163" i="3" a="1"/>
  <c r="AM163" i="3" s="1"/>
  <c r="AM167" i="3" a="1"/>
  <c r="AM167" i="3" s="1"/>
  <c r="AM175" i="3" a="1"/>
  <c r="AM175" i="3" s="1"/>
  <c r="AM179" i="3" a="1"/>
  <c r="AM179" i="3" s="1"/>
  <c r="AM183" i="3" a="1"/>
  <c r="AM183" i="3" s="1"/>
  <c r="AM187" i="3" a="1"/>
  <c r="AM187" i="3" s="1"/>
  <c r="AM191" i="3" a="1"/>
  <c r="AM191" i="3" s="1"/>
  <c r="AM138" i="3" a="1"/>
  <c r="AM138" i="3" s="1"/>
  <c r="AM142" i="3" a="1"/>
  <c r="AM142" i="3" s="1"/>
  <c r="AM146" i="3" a="1"/>
  <c r="AM146" i="3" s="1"/>
  <c r="AM171" i="3" a="1"/>
  <c r="AM171" i="3" s="1"/>
  <c r="AM188" i="3" a="1"/>
  <c r="AM188" i="3" s="1"/>
  <c r="AM151" i="3" a="1"/>
  <c r="AM151" i="3" s="1"/>
  <c r="AM160" i="3" a="1"/>
  <c r="AM160" i="3" s="1"/>
  <c r="AM168" i="3" a="1"/>
  <c r="AM168" i="3" s="1"/>
  <c r="AM172" i="3" a="1"/>
  <c r="AM172" i="3" s="1"/>
  <c r="AM176" i="3" a="1"/>
  <c r="AM176" i="3" s="1"/>
  <c r="AM180" i="3" a="1"/>
  <c r="AM180" i="3" s="1"/>
  <c r="AM184" i="3" a="1"/>
  <c r="AM184" i="3" s="1"/>
  <c r="AM192" i="3" a="1"/>
  <c r="AM192" i="3" s="1"/>
  <c r="AM213" i="3" a="1"/>
  <c r="AM213" i="3" s="1"/>
  <c r="AM222" i="3" a="1"/>
  <c r="AM222" i="3" s="1"/>
  <c r="AM225" i="3" a="1"/>
  <c r="AM225" i="3" s="1"/>
  <c r="AM231" i="3" a="1"/>
  <c r="AM231" i="3" s="1"/>
  <c r="AM234" i="3" a="1"/>
  <c r="AM234" i="3" s="1"/>
  <c r="AM237" i="3" a="1"/>
  <c r="AM237" i="3" s="1"/>
  <c r="AM240" i="3" a="1"/>
  <c r="AM240" i="3" s="1"/>
  <c r="AM246" i="3" a="1"/>
  <c r="AM246" i="3" s="1"/>
  <c r="AM249" i="3" a="1"/>
  <c r="AM249" i="3" s="1"/>
  <c r="AM255" i="3" a="1"/>
  <c r="AM255" i="3" s="1"/>
  <c r="AM258" i="3" a="1"/>
  <c r="AM258" i="3" s="1"/>
  <c r="AM243" i="3" a="1"/>
  <c r="AM243" i="3" s="1"/>
  <c r="AM252" i="3" a="1"/>
  <c r="AM252" i="3" s="1"/>
  <c r="AM199" i="3" a="1"/>
  <c r="AM199" i="3" s="1"/>
  <c r="AM203" i="3" a="1"/>
  <c r="AM203" i="3" s="1"/>
  <c r="AM206" i="3" a="1"/>
  <c r="AM206" i="3" s="1"/>
  <c r="AM208" i="3" a="1"/>
  <c r="AM208" i="3" s="1"/>
  <c r="AM214" i="3" a="1"/>
  <c r="AM214" i="3" s="1"/>
  <c r="AM217" i="3" a="1"/>
  <c r="AM217" i="3" s="1"/>
  <c r="AM223" i="3" a="1"/>
  <c r="AM223" i="3" s="1"/>
  <c r="AM226" i="3" a="1"/>
  <c r="AM226" i="3" s="1"/>
  <c r="AM232" i="3" a="1"/>
  <c r="AM232" i="3" s="1"/>
  <c r="AM235" i="3" a="1"/>
  <c r="AM235" i="3" s="1"/>
  <c r="AM244" i="3" a="1"/>
  <c r="AM244" i="3" s="1"/>
  <c r="AM211" i="3" a="1"/>
  <c r="AM211" i="3" s="1"/>
  <c r="AM220" i="3" a="1"/>
  <c r="AM220" i="3" s="1"/>
  <c r="AM229" i="3" a="1"/>
  <c r="AM229" i="3" s="1"/>
  <c r="AM238" i="3" a="1"/>
  <c r="AM238" i="3" s="1"/>
  <c r="AM241" i="3" a="1"/>
  <c r="AM241" i="3" s="1"/>
  <c r="AM247" i="3" a="1"/>
  <c r="AM247" i="3" s="1"/>
  <c r="AM250" i="3" a="1"/>
  <c r="AM250" i="3" s="1"/>
  <c r="AM253" i="3" a="1"/>
  <c r="AM253" i="3" s="1"/>
  <c r="AM256" i="3" a="1"/>
  <c r="AM256" i="3" s="1"/>
  <c r="AM262" i="3" a="1"/>
  <c r="AM262" i="3" s="1"/>
  <c r="AM201" i="3" a="1"/>
  <c r="AM201" i="3" s="1"/>
  <c r="AM212" i="3" a="1"/>
  <c r="AM212" i="3" s="1"/>
  <c r="AM259" i="3" a="1"/>
  <c r="AM259" i="3" s="1"/>
  <c r="AM205" i="3" a="1"/>
  <c r="AM205" i="3" s="1"/>
  <c r="AM209" i="3" a="1"/>
  <c r="AM209" i="3" s="1"/>
  <c r="AM215" i="3" a="1"/>
  <c r="AM215" i="3" s="1"/>
  <c r="AM218" i="3" a="1"/>
  <c r="AM218" i="3" s="1"/>
  <c r="AM221" i="3" a="1"/>
  <c r="AM221" i="3" s="1"/>
  <c r="AM224" i="3" a="1"/>
  <c r="AM224" i="3" s="1"/>
  <c r="AM230" i="3" a="1"/>
  <c r="AM230" i="3" s="1"/>
  <c r="AM233" i="3" a="1"/>
  <c r="AM233" i="3" s="1"/>
  <c r="AM239" i="3" a="1"/>
  <c r="AM239" i="3" s="1"/>
  <c r="AM242" i="3" a="1"/>
  <c r="AM242" i="3" s="1"/>
  <c r="AM248" i="3" a="1"/>
  <c r="AM248" i="3" s="1"/>
  <c r="AM251" i="3" a="1"/>
  <c r="AM251" i="3" s="1"/>
  <c r="AM260" i="3" a="1"/>
  <c r="AM260" i="3" s="1"/>
  <c r="AM200" i="3" a="1"/>
  <c r="AM200" i="3" s="1"/>
  <c r="AM202" i="3" a="1"/>
  <c r="AM202" i="3" s="1"/>
  <c r="AM227" i="3" a="1"/>
  <c r="AM227" i="3" s="1"/>
  <c r="AM236" i="3" a="1"/>
  <c r="AM236" i="3" s="1"/>
  <c r="AM245" i="3" a="1"/>
  <c r="AM245" i="3" s="1"/>
  <c r="AM254" i="3" a="1"/>
  <c r="AM254" i="3" s="1"/>
  <c r="AM257" i="3" a="1"/>
  <c r="AM257" i="3" s="1"/>
  <c r="AM196" i="3" a="1"/>
  <c r="AM196" i="3" s="1"/>
  <c r="AM204" i="3" a="1"/>
  <c r="AM204" i="3" s="1"/>
  <c r="AM207" i="3" a="1"/>
  <c r="AM207" i="3" s="1"/>
  <c r="AM210" i="3" a="1"/>
  <c r="AM210" i="3" s="1"/>
  <c r="AM216" i="3" a="1"/>
  <c r="AM216" i="3" s="1"/>
  <c r="AM219" i="3" a="1"/>
  <c r="AM219" i="3" s="1"/>
  <c r="AM228" i="3" a="1"/>
  <c r="AM228" i="3" s="1"/>
  <c r="AM315" i="3" a="1"/>
  <c r="AM315" i="3" s="1"/>
  <c r="AI314" i="3" a="1"/>
  <c r="AI314" i="3" s="1"/>
  <c r="AQ311" i="3" a="1"/>
  <c r="AQ311" i="3" s="1"/>
  <c r="AL1" i="3"/>
  <c r="AQ318" i="3" a="1"/>
  <c r="AQ318" i="3" s="1"/>
  <c r="AM317" i="3" a="1"/>
  <c r="AM317" i="3" s="1"/>
  <c r="AI316" i="3" a="1"/>
  <c r="AI316" i="3" s="1"/>
  <c r="AQ313" i="3" a="1"/>
  <c r="AQ313" i="3" s="1"/>
  <c r="AK313" i="3" a="1"/>
  <c r="AK313" i="3" s="1"/>
  <c r="AM312" i="3" a="1"/>
  <c r="AM312" i="3" s="1"/>
  <c r="AO309" i="3" a="1"/>
  <c r="AO309" i="3" s="1"/>
  <c r="AQ308" i="3" a="1"/>
  <c r="AQ308" i="3" s="1"/>
  <c r="AK308" i="3" a="1"/>
  <c r="AK308" i="3" s="1"/>
  <c r="AO304" i="3" a="1"/>
  <c r="AO304" i="3" s="1"/>
  <c r="AK303" i="3" a="1"/>
  <c r="AK303" i="3" s="1"/>
  <c r="AO299" i="3" a="1"/>
  <c r="AO299" i="3" s="1"/>
  <c r="AI299" i="3" a="1"/>
  <c r="AI299" i="3" s="1"/>
  <c r="AK298" i="3" a="1"/>
  <c r="AK298" i="3" s="1"/>
  <c r="AM295" i="3" a="1"/>
  <c r="AM295" i="3" s="1"/>
  <c r="AO294" i="3" a="1"/>
  <c r="AO294" i="3" s="1"/>
  <c r="AI294" i="3" a="1"/>
  <c r="AI294" i="3" s="1"/>
  <c r="AQ291" i="3" a="1"/>
  <c r="AQ291" i="3" s="1"/>
  <c r="AM290" i="3" a="1"/>
  <c r="AM290" i="3" s="1"/>
  <c r="AI289" i="3" a="1"/>
  <c r="AI289" i="3" s="1"/>
  <c r="AQ286" i="3" a="1"/>
  <c r="AQ286" i="3" s="1"/>
  <c r="AM285" i="3" a="1"/>
  <c r="AM285" i="3" s="1"/>
  <c r="AI284" i="3" a="1"/>
  <c r="AI284" i="3" s="1"/>
  <c r="AQ281" i="3" a="1"/>
  <c r="AQ281" i="3" s="1"/>
  <c r="AK281" i="3" a="1"/>
  <c r="AK281" i="3" s="1"/>
  <c r="AM280" i="3" a="1"/>
  <c r="AM280" i="3" s="1"/>
  <c r="AO277" i="3" a="1"/>
  <c r="AO277" i="3" s="1"/>
  <c r="AI277" i="3" a="1"/>
  <c r="AI277" i="3" s="1"/>
  <c r="AM273" i="3" a="1"/>
  <c r="AM273" i="3" s="1"/>
  <c r="AO271" i="3" a="1"/>
  <c r="AO271" i="3" s="1"/>
  <c r="AQ269" i="3" a="1"/>
  <c r="AQ269" i="3" s="1"/>
  <c r="AQ9" i="3" a="1"/>
  <c r="AQ9" i="3" s="1"/>
  <c r="AQ19" i="3" a="1"/>
  <c r="AQ19" i="3" s="1"/>
  <c r="AQ32" i="3" a="1"/>
  <c r="AQ32" i="3" s="1"/>
  <c r="AQ35" i="3" a="1"/>
  <c r="AQ35" i="3" s="1"/>
  <c r="AQ41" i="3" a="1"/>
  <c r="AQ41" i="3" s="1"/>
  <c r="AQ43" i="3" a="1"/>
  <c r="AQ43" i="3" s="1"/>
  <c r="AQ49" i="3" a="1"/>
  <c r="AQ49" i="3" s="1"/>
  <c r="AQ59" i="3" a="1"/>
  <c r="AQ59" i="3" s="1"/>
  <c r="AQ15" i="3" a="1"/>
  <c r="AQ15" i="3" s="1"/>
  <c r="AQ28" i="3" a="1"/>
  <c r="AQ28" i="3" s="1"/>
  <c r="AQ47" i="3" a="1"/>
  <c r="AQ47" i="3" s="1"/>
  <c r="AQ52" i="3" a="1"/>
  <c r="AQ52" i="3" s="1"/>
  <c r="AQ10" i="3" a="1"/>
  <c r="AQ10" i="3" s="1"/>
  <c r="AQ20" i="3" a="1"/>
  <c r="AQ20" i="3" s="1"/>
  <c r="AQ24" i="3" a="1"/>
  <c r="AQ24" i="3" s="1"/>
  <c r="AQ33" i="3" a="1"/>
  <c r="AQ33" i="3" s="1"/>
  <c r="AQ16" i="3" a="1"/>
  <c r="AQ16" i="3" s="1"/>
  <c r="AQ29" i="3" a="1"/>
  <c r="AQ29" i="3" s="1"/>
  <c r="AQ36" i="3" a="1"/>
  <c r="AQ36" i="3" s="1"/>
  <c r="AQ38" i="3" a="1"/>
  <c r="AQ38" i="3" s="1"/>
  <c r="AQ48" i="3" a="1"/>
  <c r="AQ48" i="3" s="1"/>
  <c r="AQ60" i="3" a="1"/>
  <c r="AQ60" i="3" s="1"/>
  <c r="AQ11" i="3" a="1"/>
  <c r="AQ11" i="3" s="1"/>
  <c r="AQ21" i="3" a="1"/>
  <c r="AQ21" i="3" s="1"/>
  <c r="AQ25" i="3" a="1"/>
  <c r="AQ25" i="3" s="1"/>
  <c r="AQ30" i="3" a="1"/>
  <c r="AQ30" i="3" s="1"/>
  <c r="AQ40" i="3" a="1"/>
  <c r="AQ40" i="3" s="1"/>
  <c r="AQ42" i="3" a="1"/>
  <c r="AQ42" i="3" s="1"/>
  <c r="AQ53" i="3" a="1"/>
  <c r="AQ53" i="3" s="1"/>
  <c r="AQ65" i="3" a="1"/>
  <c r="AQ65" i="3" s="1"/>
  <c r="AQ12" i="3" a="1"/>
  <c r="AQ12" i="3" s="1"/>
  <c r="AQ17" i="3" a="1"/>
  <c r="AQ17" i="3" s="1"/>
  <c r="AQ26" i="3" a="1"/>
  <c r="AQ26" i="3" s="1"/>
  <c r="AQ44" i="3" a="1"/>
  <c r="AQ44" i="3" s="1"/>
  <c r="AQ46" i="3" a="1"/>
  <c r="AQ46" i="3" s="1"/>
  <c r="AQ58" i="3" a="1"/>
  <c r="AQ58" i="3" s="1"/>
  <c r="AQ13" i="3" a="1"/>
  <c r="AQ13" i="3" s="1"/>
  <c r="AQ66" i="3" a="1"/>
  <c r="AQ66" i="3" s="1"/>
  <c r="AQ69" i="3" a="1"/>
  <c r="AQ69" i="3" s="1"/>
  <c r="AQ83" i="3" a="1"/>
  <c r="AQ83" i="3" s="1"/>
  <c r="AQ99" i="3" a="1"/>
  <c r="AQ99" i="3" s="1"/>
  <c r="AQ27" i="3" a="1"/>
  <c r="AQ27" i="3" s="1"/>
  <c r="AQ39" i="3" a="1"/>
  <c r="AQ39" i="3" s="1"/>
  <c r="AQ56" i="3" a="1"/>
  <c r="AQ56" i="3" s="1"/>
  <c r="AQ74" i="3" a="1"/>
  <c r="AQ74" i="3" s="1"/>
  <c r="AQ81" i="3" a="1"/>
  <c r="AQ81" i="3" s="1"/>
  <c r="AQ90" i="3" a="1"/>
  <c r="AQ90" i="3" s="1"/>
  <c r="AQ14" i="3" a="1"/>
  <c r="AQ14" i="3" s="1"/>
  <c r="AQ31" i="3" a="1"/>
  <c r="AQ31" i="3" s="1"/>
  <c r="AQ34" i="3" a="1"/>
  <c r="AQ34" i="3" s="1"/>
  <c r="AQ72" i="3" a="1"/>
  <c r="AQ72" i="3" s="1"/>
  <c r="AQ79" i="3" a="1"/>
  <c r="AQ79" i="3" s="1"/>
  <c r="AQ86" i="3" a="1"/>
  <c r="AQ86" i="3" s="1"/>
  <c r="AQ88" i="3" a="1"/>
  <c r="AQ88" i="3" s="1"/>
  <c r="AQ104" i="3" a="1"/>
  <c r="AQ104" i="3" s="1"/>
  <c r="AQ8" i="3" a="1"/>
  <c r="AQ8" i="3" s="1"/>
  <c r="AQ37" i="3" a="1"/>
  <c r="AQ37" i="3" s="1"/>
  <c r="AQ50" i="3" a="1"/>
  <c r="AQ50" i="3" s="1"/>
  <c r="AQ67" i="3" a="1"/>
  <c r="AQ67" i="3" s="1"/>
  <c r="AQ70" i="3" a="1"/>
  <c r="AQ70" i="3" s="1"/>
  <c r="AQ75" i="3" a="1"/>
  <c r="AQ75" i="3" s="1"/>
  <c r="AQ77" i="3" a="1"/>
  <c r="AQ77" i="3" s="1"/>
  <c r="AQ84" i="3" a="1"/>
  <c r="AQ84" i="3" s="1"/>
  <c r="AQ22" i="3" a="1"/>
  <c r="AQ22" i="3" s="1"/>
  <c r="AQ55" i="3" a="1"/>
  <c r="AQ55" i="3" s="1"/>
  <c r="AQ82" i="3" a="1"/>
  <c r="AQ82" i="3" s="1"/>
  <c r="AQ91" i="3" a="1"/>
  <c r="AQ91" i="3" s="1"/>
  <c r="AQ98" i="3" a="1"/>
  <c r="AQ98" i="3" s="1"/>
  <c r="AQ109" i="3" a="1"/>
  <c r="AQ109" i="3" s="1"/>
  <c r="AQ68" i="3" a="1"/>
  <c r="AQ68" i="3" s="1"/>
  <c r="AQ73" i="3" a="1"/>
  <c r="AQ73" i="3" s="1"/>
  <c r="AQ80" i="3" a="1"/>
  <c r="AQ80" i="3" s="1"/>
  <c r="AQ89" i="3" a="1"/>
  <c r="AQ89" i="3" s="1"/>
  <c r="AQ96" i="3" a="1"/>
  <c r="AQ96" i="3" s="1"/>
  <c r="AQ45" i="3" a="1"/>
  <c r="AQ45" i="3" s="1"/>
  <c r="AQ54" i="3" a="1"/>
  <c r="AQ54" i="3" s="1"/>
  <c r="AQ61" i="3" a="1"/>
  <c r="AQ61" i="3" s="1"/>
  <c r="AQ62" i="3" a="1"/>
  <c r="AQ62" i="3" s="1"/>
  <c r="AQ71" i="3" a="1"/>
  <c r="AQ71" i="3" s="1"/>
  <c r="AQ78" i="3" a="1"/>
  <c r="AQ78" i="3" s="1"/>
  <c r="AQ85" i="3" a="1"/>
  <c r="AQ85" i="3" s="1"/>
  <c r="AQ87" i="3" a="1"/>
  <c r="AQ87" i="3" s="1"/>
  <c r="AQ103" i="3" a="1"/>
  <c r="AQ103" i="3" s="1"/>
  <c r="AQ23" i="3" a="1"/>
  <c r="AQ23" i="3" s="1"/>
  <c r="AQ101" i="3" a="1"/>
  <c r="AQ101" i="3" s="1"/>
  <c r="AQ102" i="3" a="1"/>
  <c r="AQ102" i="3" s="1"/>
  <c r="AQ108" i="3" a="1"/>
  <c r="AQ108" i="3" s="1"/>
  <c r="AQ120" i="3" a="1"/>
  <c r="AQ120" i="3" s="1"/>
  <c r="AQ123" i="3" a="1"/>
  <c r="AQ123" i="3" s="1"/>
  <c r="AQ92" i="3" a="1"/>
  <c r="AQ92" i="3" s="1"/>
  <c r="AQ100" i="3" a="1"/>
  <c r="AQ100" i="3" s="1"/>
  <c r="AQ115" i="3" a="1"/>
  <c r="AQ115" i="3" s="1"/>
  <c r="AQ118" i="3" a="1"/>
  <c r="AQ118" i="3" s="1"/>
  <c r="AQ126" i="3" a="1"/>
  <c r="AQ126" i="3" s="1"/>
  <c r="AQ129" i="3" a="1"/>
  <c r="AQ129" i="3" s="1"/>
  <c r="AQ113" i="3" a="1"/>
  <c r="AQ113" i="3" s="1"/>
  <c r="AQ133" i="3" a="1"/>
  <c r="AQ133" i="3" s="1"/>
  <c r="AQ137" i="3" a="1"/>
  <c r="AQ137" i="3" s="1"/>
  <c r="AQ51" i="3" a="1"/>
  <c r="AQ51" i="3" s="1"/>
  <c r="AQ95" i="3" a="1"/>
  <c r="AQ95" i="3" s="1"/>
  <c r="AQ97" i="3" a="1"/>
  <c r="AQ97" i="3" s="1"/>
  <c r="AQ110" i="3" a="1"/>
  <c r="AQ110" i="3" s="1"/>
  <c r="AQ116" i="3" a="1"/>
  <c r="AQ116" i="3" s="1"/>
  <c r="AQ121" i="3" a="1"/>
  <c r="AQ121" i="3" s="1"/>
  <c r="AQ127" i="3" a="1"/>
  <c r="AQ127" i="3" s="1"/>
  <c r="AQ130" i="3" a="1"/>
  <c r="AQ130" i="3" s="1"/>
  <c r="AQ138" i="3" a="1"/>
  <c r="AQ138" i="3" s="1"/>
  <c r="AQ154" i="3" a="1"/>
  <c r="AQ154" i="3" s="1"/>
  <c r="AQ63" i="3" a="1"/>
  <c r="AQ63" i="3" s="1"/>
  <c r="AQ93" i="3" a="1"/>
  <c r="AQ93" i="3" s="1"/>
  <c r="AQ124" i="3" a="1"/>
  <c r="AQ124" i="3" s="1"/>
  <c r="AQ134" i="3" a="1"/>
  <c r="AQ134" i="3" s="1"/>
  <c r="AQ142" i="3" a="1"/>
  <c r="AQ142" i="3" s="1"/>
  <c r="AQ146" i="3" a="1"/>
  <c r="AQ146" i="3" s="1"/>
  <c r="AQ150" i="3" a="1"/>
  <c r="AQ150" i="3" s="1"/>
  <c r="AQ64" i="3" a="1"/>
  <c r="AQ64" i="3" s="1"/>
  <c r="AQ76" i="3" a="1"/>
  <c r="AQ76" i="3" s="1"/>
  <c r="AQ107" i="3" a="1"/>
  <c r="AQ107" i="3" s="1"/>
  <c r="AQ111" i="3" a="1"/>
  <c r="AQ111" i="3" s="1"/>
  <c r="AQ114" i="3" a="1"/>
  <c r="AQ114" i="3" s="1"/>
  <c r="AQ119" i="3" a="1"/>
  <c r="AQ119" i="3" s="1"/>
  <c r="AQ125" i="3" a="1"/>
  <c r="AQ125" i="3" s="1"/>
  <c r="AQ112" i="3" a="1"/>
  <c r="AQ112" i="3" s="1"/>
  <c r="AQ140" i="3" a="1"/>
  <c r="AQ140" i="3" s="1"/>
  <c r="AQ151" i="3" a="1"/>
  <c r="AQ151" i="3" s="1"/>
  <c r="AQ157" i="3" a="1"/>
  <c r="AQ157" i="3" s="1"/>
  <c r="AQ162" i="3" a="1"/>
  <c r="AQ162" i="3" s="1"/>
  <c r="AQ178" i="3" a="1"/>
  <c r="AQ178" i="3" s="1"/>
  <c r="AQ94" i="3" a="1"/>
  <c r="AQ94" i="3" s="1"/>
  <c r="AQ105" i="3" a="1"/>
  <c r="AQ105" i="3" s="1"/>
  <c r="AQ136" i="3" a="1"/>
  <c r="AQ136" i="3" s="1"/>
  <c r="AQ158" i="3" a="1"/>
  <c r="AQ158" i="3" s="1"/>
  <c r="AQ159" i="3" a="1"/>
  <c r="AQ159" i="3" s="1"/>
  <c r="AQ175" i="3" a="1"/>
  <c r="AQ175" i="3" s="1"/>
  <c r="AQ187" i="3" a="1"/>
  <c r="AQ187" i="3" s="1"/>
  <c r="AQ191" i="3" a="1"/>
  <c r="AQ191" i="3" s="1"/>
  <c r="AQ106" i="3" a="1"/>
  <c r="AQ106" i="3" s="1"/>
  <c r="AQ132" i="3" a="1"/>
  <c r="AQ132" i="3" s="1"/>
  <c r="AQ163" i="3" a="1"/>
  <c r="AQ163" i="3" s="1"/>
  <c r="AQ167" i="3" a="1"/>
  <c r="AQ167" i="3" s="1"/>
  <c r="AQ171" i="3" a="1"/>
  <c r="AQ171" i="3" s="1"/>
  <c r="AQ179" i="3" a="1"/>
  <c r="AQ179" i="3" s="1"/>
  <c r="AQ183" i="3" a="1"/>
  <c r="AQ183" i="3" s="1"/>
  <c r="AQ199" i="3" a="1"/>
  <c r="AQ199" i="3" s="1"/>
  <c r="AQ57" i="3" a="1"/>
  <c r="AQ57" i="3" s="1"/>
  <c r="AQ139" i="3" a="1"/>
  <c r="AQ139" i="3" s="1"/>
  <c r="AQ145" i="3" a="1"/>
  <c r="AQ145" i="3" s="1"/>
  <c r="AQ168" i="3" a="1"/>
  <c r="AQ168" i="3" s="1"/>
  <c r="AQ180" i="3" a="1"/>
  <c r="AQ180" i="3" s="1"/>
  <c r="AQ184" i="3" a="1"/>
  <c r="AQ184" i="3" s="1"/>
  <c r="AQ188" i="3" a="1"/>
  <c r="AQ188" i="3" s="1"/>
  <c r="AQ196" i="3" a="1"/>
  <c r="AQ196" i="3" s="1"/>
  <c r="AQ200" i="3" a="1"/>
  <c r="AQ200" i="3" s="1"/>
  <c r="AQ122" i="3" a="1"/>
  <c r="AQ122" i="3" s="1"/>
  <c r="AQ128" i="3" a="1"/>
  <c r="AQ128" i="3" s="1"/>
  <c r="AQ141" i="3" a="1"/>
  <c r="AQ141" i="3" s="1"/>
  <c r="AQ160" i="3" a="1"/>
  <c r="AQ160" i="3" s="1"/>
  <c r="AQ164" i="3" a="1"/>
  <c r="AQ164" i="3" s="1"/>
  <c r="AQ172" i="3" a="1"/>
  <c r="AQ172" i="3" s="1"/>
  <c r="AQ176" i="3" a="1"/>
  <c r="AQ176" i="3" s="1"/>
  <c r="AQ192" i="3" a="1"/>
  <c r="AQ192" i="3" s="1"/>
  <c r="AQ131" i="3" a="1"/>
  <c r="AQ131" i="3" s="1"/>
  <c r="AQ135" i="3" a="1"/>
  <c r="AQ135" i="3" s="1"/>
  <c r="AQ144" i="3" a="1"/>
  <c r="AQ144" i="3" s="1"/>
  <c r="AQ149" i="3" a="1"/>
  <c r="AQ149" i="3" s="1"/>
  <c r="AQ161" i="3" a="1"/>
  <c r="AQ161" i="3" s="1"/>
  <c r="AQ173" i="3" a="1"/>
  <c r="AQ173" i="3" s="1"/>
  <c r="AQ177" i="3" a="1"/>
  <c r="AQ177" i="3" s="1"/>
  <c r="AQ181" i="3" a="1"/>
  <c r="AQ181" i="3" s="1"/>
  <c r="AQ189" i="3" a="1"/>
  <c r="AQ189" i="3" s="1"/>
  <c r="AQ193" i="3" a="1"/>
  <c r="AQ193" i="3" s="1"/>
  <c r="AQ143" i="3" a="1"/>
  <c r="AQ143" i="3" s="1"/>
  <c r="AQ148" i="3" a="1"/>
  <c r="AQ148" i="3" s="1"/>
  <c r="AQ152" i="3" a="1"/>
  <c r="AQ152" i="3" s="1"/>
  <c r="AQ155" i="3" a="1"/>
  <c r="AQ155" i="3" s="1"/>
  <c r="AQ165" i="3" a="1"/>
  <c r="AQ165" i="3" s="1"/>
  <c r="AQ169" i="3" a="1"/>
  <c r="AQ169" i="3" s="1"/>
  <c r="AQ185" i="3" a="1"/>
  <c r="AQ185" i="3" s="1"/>
  <c r="AQ18" i="3" a="1"/>
  <c r="AQ18" i="3" s="1"/>
  <c r="AQ117" i="3" a="1"/>
  <c r="AQ117" i="3" s="1"/>
  <c r="AQ147" i="3" a="1"/>
  <c r="AQ147" i="3" s="1"/>
  <c r="AQ153" i="3" a="1"/>
  <c r="AQ153" i="3" s="1"/>
  <c r="AQ156" i="3" a="1"/>
  <c r="AQ156" i="3" s="1"/>
  <c r="AQ166" i="3" a="1"/>
  <c r="AQ166" i="3" s="1"/>
  <c r="AQ170" i="3" a="1"/>
  <c r="AQ170" i="3" s="1"/>
  <c r="AQ174" i="3" a="1"/>
  <c r="AQ174" i="3" s="1"/>
  <c r="AQ182" i="3" a="1"/>
  <c r="AQ182" i="3" s="1"/>
  <c r="AQ186" i="3" a="1"/>
  <c r="AQ186" i="3" s="1"/>
  <c r="AQ190" i="3" a="1"/>
  <c r="AQ190" i="3" s="1"/>
  <c r="AQ198" i="3" a="1"/>
  <c r="AQ198" i="3" s="1"/>
  <c r="AQ201" i="3" a="1"/>
  <c r="AQ201" i="3" s="1"/>
  <c r="AQ203" i="3" a="1"/>
  <c r="AQ203" i="3" s="1"/>
  <c r="AQ206" i="3" a="1"/>
  <c r="AQ206" i="3" s="1"/>
  <c r="AQ223" i="3" a="1"/>
  <c r="AQ223" i="3" s="1"/>
  <c r="AQ232" i="3" a="1"/>
  <c r="AQ232" i="3" s="1"/>
  <c r="AQ241" i="3" a="1"/>
  <c r="AQ241" i="3" s="1"/>
  <c r="AQ250" i="3" a="1"/>
  <c r="AQ250" i="3" s="1"/>
  <c r="AQ253" i="3" a="1"/>
  <c r="AQ253" i="3" s="1"/>
  <c r="AQ259" i="3" a="1"/>
  <c r="AQ259" i="3" s="1"/>
  <c r="AQ194" i="3" a="1"/>
  <c r="AQ194" i="3" s="1"/>
  <c r="AQ212" i="3" a="1"/>
  <c r="AQ212" i="3" s="1"/>
  <c r="AQ215" i="3" a="1"/>
  <c r="AQ215" i="3" s="1"/>
  <c r="AQ224" i="3" a="1"/>
  <c r="AQ224" i="3" s="1"/>
  <c r="AQ209" i="3" a="1"/>
  <c r="AQ209" i="3" s="1"/>
  <c r="AQ218" i="3" a="1"/>
  <c r="AQ218" i="3" s="1"/>
  <c r="AQ221" i="3" a="1"/>
  <c r="AQ221" i="3" s="1"/>
  <c r="AQ227" i="3" a="1"/>
  <c r="AQ227" i="3" s="1"/>
  <c r="AQ230" i="3" a="1"/>
  <c r="AQ230" i="3" s="1"/>
  <c r="AQ233" i="3" a="1"/>
  <c r="AQ233" i="3" s="1"/>
  <c r="AQ236" i="3" a="1"/>
  <c r="AQ236" i="3" s="1"/>
  <c r="AQ242" i="3" a="1"/>
  <c r="AQ242" i="3" s="1"/>
  <c r="AQ245" i="3" a="1"/>
  <c r="AQ245" i="3" s="1"/>
  <c r="AQ251" i="3" a="1"/>
  <c r="AQ251" i="3" s="1"/>
  <c r="AQ254" i="3" a="1"/>
  <c r="AQ254" i="3" s="1"/>
  <c r="AQ260" i="3" a="1"/>
  <c r="AQ260" i="3" s="1"/>
  <c r="AQ202" i="3" a="1"/>
  <c r="AQ202" i="3" s="1"/>
  <c r="AQ205" i="3" a="1"/>
  <c r="AQ205" i="3" s="1"/>
  <c r="AQ239" i="3" a="1"/>
  <c r="AQ239" i="3" s="1"/>
  <c r="AQ248" i="3" a="1"/>
  <c r="AQ248" i="3" s="1"/>
  <c r="AQ257" i="3" a="1"/>
  <c r="AQ257" i="3" s="1"/>
  <c r="AQ197" i="3" a="1"/>
  <c r="AQ197" i="3" s="1"/>
  <c r="AQ210" i="3" a="1"/>
  <c r="AQ210" i="3" s="1"/>
  <c r="AQ213" i="3" a="1"/>
  <c r="AQ213" i="3" s="1"/>
  <c r="AQ219" i="3" a="1"/>
  <c r="AQ219" i="3" s="1"/>
  <c r="AQ222" i="3" a="1"/>
  <c r="AQ222" i="3" s="1"/>
  <c r="AQ228" i="3" a="1"/>
  <c r="AQ228" i="3" s="1"/>
  <c r="AQ231" i="3" a="1"/>
  <c r="AQ231" i="3" s="1"/>
  <c r="AQ240" i="3" a="1"/>
  <c r="AQ240" i="3" s="1"/>
  <c r="AQ195" i="3" a="1"/>
  <c r="AQ195" i="3" s="1"/>
  <c r="AQ204" i="3" a="1"/>
  <c r="AQ204" i="3" s="1"/>
  <c r="AQ207" i="3" a="1"/>
  <c r="AQ207" i="3" s="1"/>
  <c r="AQ216" i="3" a="1"/>
  <c r="AQ216" i="3" s="1"/>
  <c r="AQ225" i="3" a="1"/>
  <c r="AQ225" i="3" s="1"/>
  <c r="AQ234" i="3" a="1"/>
  <c r="AQ234" i="3" s="1"/>
  <c r="AQ237" i="3" a="1"/>
  <c r="AQ237" i="3" s="1"/>
  <c r="AQ243" i="3" a="1"/>
  <c r="AQ243" i="3" s="1"/>
  <c r="AQ246" i="3" a="1"/>
  <c r="AQ246" i="3" s="1"/>
  <c r="AQ249" i="3" a="1"/>
  <c r="AQ249" i="3" s="1"/>
  <c r="AQ252" i="3" a="1"/>
  <c r="AQ252" i="3" s="1"/>
  <c r="AQ258" i="3" a="1"/>
  <c r="AQ258" i="3" s="1"/>
  <c r="AQ261" i="3" a="1"/>
  <c r="AQ261" i="3" s="1"/>
  <c r="AQ208" i="3" a="1"/>
  <c r="AQ208" i="3" s="1"/>
  <c r="AQ255" i="3" a="1"/>
  <c r="AQ255" i="3" s="1"/>
  <c r="AQ211" i="3" a="1"/>
  <c r="AQ211" i="3" s="1"/>
  <c r="AQ214" i="3" a="1"/>
  <c r="AQ214" i="3" s="1"/>
  <c r="AQ217" i="3" a="1"/>
  <c r="AQ217" i="3" s="1"/>
  <c r="AQ220" i="3" a="1"/>
  <c r="AQ220" i="3" s="1"/>
  <c r="AQ226" i="3" a="1"/>
  <c r="AQ226" i="3" s="1"/>
  <c r="AQ229" i="3" a="1"/>
  <c r="AQ229" i="3" s="1"/>
  <c r="AQ235" i="3" a="1"/>
  <c r="AQ235" i="3" s="1"/>
  <c r="AQ238" i="3" a="1"/>
  <c r="AQ238" i="3" s="1"/>
  <c r="AQ244" i="3" a="1"/>
  <c r="AQ244" i="3" s="1"/>
  <c r="AQ247" i="3" a="1"/>
  <c r="AQ247" i="3" s="1"/>
  <c r="AQ256" i="3" a="1"/>
  <c r="AQ256" i="3" s="1"/>
  <c r="AI9" i="3" a="1"/>
  <c r="AI9" i="3" s="1"/>
  <c r="AI15" i="3" a="1"/>
  <c r="AI15" i="3" s="1"/>
  <c r="AI19" i="3" a="1"/>
  <c r="AI19" i="3" s="1"/>
  <c r="AI28" i="3" a="1"/>
  <c r="AI28" i="3" s="1"/>
  <c r="AI38" i="3" a="1"/>
  <c r="AI38" i="3" s="1"/>
  <c r="AI40" i="3" a="1"/>
  <c r="AI40" i="3" s="1"/>
  <c r="AI57" i="3" a="1"/>
  <c r="AI57" i="3" s="1"/>
  <c r="AI10" i="3" a="1"/>
  <c r="AI10" i="3" s="1"/>
  <c r="AI20" i="3" a="1"/>
  <c r="AI20" i="3" s="1"/>
  <c r="AI24" i="3" a="1"/>
  <c r="AI24" i="3" s="1"/>
  <c r="AI33" i="3" a="1"/>
  <c r="AI33" i="3" s="1"/>
  <c r="AI42" i="3" a="1"/>
  <c r="AI42" i="3" s="1"/>
  <c r="AI44" i="3" a="1"/>
  <c r="AI44" i="3" s="1"/>
  <c r="AI50" i="3" a="1"/>
  <c r="AI50" i="3" s="1"/>
  <c r="AI16" i="3" a="1"/>
  <c r="AI16" i="3" s="1"/>
  <c r="AI29" i="3" a="1"/>
  <c r="AI29" i="3" s="1"/>
  <c r="AI36" i="3" a="1"/>
  <c r="AI36" i="3" s="1"/>
  <c r="AI11" i="3" a="1"/>
  <c r="AI11" i="3" s="1"/>
  <c r="AI21" i="3" a="1"/>
  <c r="AI21" i="3" s="1"/>
  <c r="AI25" i="3" a="1"/>
  <c r="AI25" i="3" s="1"/>
  <c r="AI34" i="3" a="1"/>
  <c r="AI34" i="3" s="1"/>
  <c r="AI46" i="3" a="1"/>
  <c r="AI46" i="3" s="1"/>
  <c r="AI56" i="3" a="1"/>
  <c r="AI56" i="3" s="1"/>
  <c r="AI17" i="3" a="1"/>
  <c r="AI17" i="3" s="1"/>
  <c r="AI30" i="3" a="1"/>
  <c r="AI30" i="3" s="1"/>
  <c r="AI37" i="3" a="1"/>
  <c r="AI37" i="3" s="1"/>
  <c r="AI39" i="3" a="1"/>
  <c r="AI39" i="3" s="1"/>
  <c r="AI51" i="3" a="1"/>
  <c r="AI51" i="3" s="1"/>
  <c r="AI61" i="3" a="1"/>
  <c r="AI61" i="3" s="1"/>
  <c r="AI12" i="3" a="1"/>
  <c r="AI12" i="3" s="1"/>
  <c r="AI22" i="3" a="1"/>
  <c r="AI22" i="3" s="1"/>
  <c r="AI26" i="3" a="1"/>
  <c r="AI26" i="3" s="1"/>
  <c r="AI31" i="3" a="1"/>
  <c r="AI31" i="3" s="1"/>
  <c r="AI41" i="3" a="1"/>
  <c r="AI41" i="3" s="1"/>
  <c r="AI43" i="3" a="1"/>
  <c r="AI43" i="3" s="1"/>
  <c r="AI49" i="3" a="1"/>
  <c r="AI49" i="3" s="1"/>
  <c r="AI54" i="3" a="1"/>
  <c r="AI54" i="3" s="1"/>
  <c r="AI8" i="3" a="1"/>
  <c r="AI8" i="3" s="1"/>
  <c r="AI13" i="3" a="1"/>
  <c r="AI13" i="3" s="1"/>
  <c r="AI18" i="3" a="1"/>
  <c r="AI18" i="3" s="1"/>
  <c r="AI52" i="3" a="1"/>
  <c r="AI52" i="3" s="1"/>
  <c r="AI58" i="3" a="1"/>
  <c r="AI58" i="3" s="1"/>
  <c r="AI64" i="3" a="1"/>
  <c r="AI64" i="3" s="1"/>
  <c r="AI65" i="3" a="1"/>
  <c r="AI65" i="3" s="1"/>
  <c r="AI77" i="3" a="1"/>
  <c r="AI77" i="3" s="1"/>
  <c r="AI86" i="3" a="1"/>
  <c r="AI86" i="3" s="1"/>
  <c r="AI93" i="3" a="1"/>
  <c r="AI93" i="3" s="1"/>
  <c r="AI95" i="3" a="1"/>
  <c r="AI95" i="3" s="1"/>
  <c r="AI14" i="3" a="1"/>
  <c r="AI14" i="3" s="1"/>
  <c r="AI45" i="3" a="1"/>
  <c r="AI45" i="3" s="1"/>
  <c r="AI66" i="3" a="1"/>
  <c r="AI66" i="3" s="1"/>
  <c r="AI70" i="3" a="1"/>
  <c r="AI70" i="3" s="1"/>
  <c r="AI84" i="3" a="1"/>
  <c r="AI84" i="3" s="1"/>
  <c r="AI47" i="3" a="1"/>
  <c r="AI47" i="3" s="1"/>
  <c r="AI67" i="3" a="1"/>
  <c r="AI67" i="3" s="1"/>
  <c r="AI75" i="3" a="1"/>
  <c r="AI75" i="3" s="1"/>
  <c r="AI82" i="3" a="1"/>
  <c r="AI82" i="3" s="1"/>
  <c r="AI91" i="3" a="1"/>
  <c r="AI91" i="3" s="1"/>
  <c r="AI32" i="3" a="1"/>
  <c r="AI32" i="3" s="1"/>
  <c r="AI35" i="3" a="1"/>
  <c r="AI35" i="3" s="1"/>
  <c r="AI60" i="3" a="1"/>
  <c r="AI60" i="3" s="1"/>
  <c r="AI80" i="3" a="1"/>
  <c r="AI80" i="3" s="1"/>
  <c r="AI89" i="3" a="1"/>
  <c r="AI89" i="3" s="1"/>
  <c r="AI53" i="3" a="1"/>
  <c r="AI53" i="3" s="1"/>
  <c r="AI68" i="3" a="1"/>
  <c r="AI68" i="3" s="1"/>
  <c r="AI73" i="3" a="1"/>
  <c r="AI73" i="3" s="1"/>
  <c r="AI76" i="3" a="1"/>
  <c r="AI76" i="3" s="1"/>
  <c r="AI78" i="3" a="1"/>
  <c r="AI78" i="3" s="1"/>
  <c r="AI87" i="3" a="1"/>
  <c r="AI87" i="3" s="1"/>
  <c r="AI94" i="3" a="1"/>
  <c r="AI94" i="3" s="1"/>
  <c r="AI96" i="3" a="1"/>
  <c r="AI96" i="3" s="1"/>
  <c r="AI105" i="3" a="1"/>
  <c r="AI105" i="3" s="1"/>
  <c r="AI112" i="3" a="1"/>
  <c r="AI112" i="3" s="1"/>
  <c r="AI23" i="3" a="1"/>
  <c r="AI23" i="3" s="1"/>
  <c r="AI59" i="3" a="1"/>
  <c r="AI59" i="3" s="1"/>
  <c r="AI71" i="3" a="1"/>
  <c r="AI71" i="3" s="1"/>
  <c r="AI83" i="3" a="1"/>
  <c r="AI83" i="3" s="1"/>
  <c r="AI85" i="3" a="1"/>
  <c r="AI85" i="3" s="1"/>
  <c r="AI92" i="3" a="1"/>
  <c r="AI92" i="3" s="1"/>
  <c r="AI27" i="3" a="1"/>
  <c r="AI27" i="3" s="1"/>
  <c r="AI69" i="3" a="1"/>
  <c r="AI69" i="3" s="1"/>
  <c r="AI74" i="3" a="1"/>
  <c r="AI74" i="3" s="1"/>
  <c r="AI81" i="3" a="1"/>
  <c r="AI81" i="3" s="1"/>
  <c r="AI90" i="3" a="1"/>
  <c r="AI90" i="3" s="1"/>
  <c r="AI99" i="3" a="1"/>
  <c r="AI99" i="3" s="1"/>
  <c r="AI79" i="3" a="1"/>
  <c r="AI79" i="3" s="1"/>
  <c r="AI106" i="3" a="1"/>
  <c r="AI106" i="3" s="1"/>
  <c r="AI113" i="3" a="1"/>
  <c r="AI113" i="3" s="1"/>
  <c r="AI118" i="3" a="1"/>
  <c r="AI118" i="3" s="1"/>
  <c r="AI123" i="3" a="1"/>
  <c r="AI123" i="3" s="1"/>
  <c r="AI48" i="3" a="1"/>
  <c r="AI48" i="3" s="1"/>
  <c r="AI103" i="3" a="1"/>
  <c r="AI103" i="3" s="1"/>
  <c r="AI109" i="3" a="1"/>
  <c r="AI109" i="3" s="1"/>
  <c r="AI110" i="3" a="1"/>
  <c r="AI110" i="3" s="1"/>
  <c r="AI124" i="3" a="1"/>
  <c r="AI124" i="3" s="1"/>
  <c r="AI133" i="3" a="1"/>
  <c r="AI133" i="3" s="1"/>
  <c r="AI137" i="3" a="1"/>
  <c r="AI137" i="3" s="1"/>
  <c r="AI141" i="3" a="1"/>
  <c r="AI141" i="3" s="1"/>
  <c r="AI62" i="3" a="1"/>
  <c r="AI62" i="3" s="1"/>
  <c r="AI101" i="3" a="1"/>
  <c r="AI101" i="3" s="1"/>
  <c r="AI102" i="3" a="1"/>
  <c r="AI102" i="3" s="1"/>
  <c r="AI116" i="3" a="1"/>
  <c r="AI116" i="3" s="1"/>
  <c r="AI121" i="3" a="1"/>
  <c r="AI121" i="3" s="1"/>
  <c r="AI127" i="3" a="1"/>
  <c r="AI127" i="3" s="1"/>
  <c r="AI130" i="3" a="1"/>
  <c r="AI130" i="3" s="1"/>
  <c r="AI63" i="3" a="1"/>
  <c r="AI63" i="3" s="1"/>
  <c r="AI114" i="3" a="1"/>
  <c r="AI114" i="3" s="1"/>
  <c r="AI119" i="3" a="1"/>
  <c r="AI119" i="3" s="1"/>
  <c r="AI134" i="3" a="1"/>
  <c r="AI134" i="3" s="1"/>
  <c r="AI138" i="3" a="1"/>
  <c r="AI138" i="3" s="1"/>
  <c r="AI142" i="3" a="1"/>
  <c r="AI142" i="3" s="1"/>
  <c r="AI150" i="3" a="1"/>
  <c r="AI150" i="3" s="1"/>
  <c r="AI154" i="3" a="1"/>
  <c r="AI154" i="3" s="1"/>
  <c r="AI98" i="3" a="1"/>
  <c r="AI98" i="3" s="1"/>
  <c r="AI100" i="3" a="1"/>
  <c r="AI100" i="3" s="1"/>
  <c r="AI111" i="3" a="1"/>
  <c r="AI111" i="3" s="1"/>
  <c r="AI117" i="3" a="1"/>
  <c r="AI117" i="3" s="1"/>
  <c r="AI122" i="3" a="1"/>
  <c r="AI122" i="3" s="1"/>
  <c r="AI128" i="3" a="1"/>
  <c r="AI128" i="3" s="1"/>
  <c r="AI131" i="3" a="1"/>
  <c r="AI131" i="3" s="1"/>
  <c r="AI55" i="3" a="1"/>
  <c r="AI55" i="3" s="1"/>
  <c r="AI88" i="3" a="1"/>
  <c r="AI88" i="3" s="1"/>
  <c r="AI125" i="3" a="1"/>
  <c r="AI125" i="3" s="1"/>
  <c r="AI135" i="3" a="1"/>
  <c r="AI135" i="3" s="1"/>
  <c r="AI139" i="3" a="1"/>
  <c r="AI139" i="3" s="1"/>
  <c r="AI147" i="3" a="1"/>
  <c r="AI147" i="3" s="1"/>
  <c r="AI151" i="3" a="1"/>
  <c r="AI151" i="3" s="1"/>
  <c r="AI155" i="3" a="1"/>
  <c r="AI155" i="3" s="1"/>
  <c r="AI159" i="3" a="1"/>
  <c r="AI159" i="3" s="1"/>
  <c r="AI148" i="3" a="1"/>
  <c r="AI148" i="3" s="1"/>
  <c r="AI157" i="3" a="1"/>
  <c r="AI157" i="3" s="1"/>
  <c r="AI167" i="3" a="1"/>
  <c r="AI167" i="3" s="1"/>
  <c r="AI183" i="3" a="1"/>
  <c r="AI183" i="3" s="1"/>
  <c r="AI195" i="3" a="1"/>
  <c r="AI195" i="3" s="1"/>
  <c r="AI199" i="3" a="1"/>
  <c r="AI199" i="3" s="1"/>
  <c r="AI143" i="3" a="1"/>
  <c r="AI143" i="3" s="1"/>
  <c r="AI152" i="3" a="1"/>
  <c r="AI152" i="3" s="1"/>
  <c r="AI158" i="3" a="1"/>
  <c r="AI158" i="3" s="1"/>
  <c r="AI163" i="3" a="1"/>
  <c r="AI163" i="3" s="1"/>
  <c r="AI171" i="3" a="1"/>
  <c r="AI171" i="3" s="1"/>
  <c r="AI175" i="3" a="1"/>
  <c r="AI175" i="3" s="1"/>
  <c r="AI179" i="3" a="1"/>
  <c r="AI179" i="3" s="1"/>
  <c r="AI187" i="3" a="1"/>
  <c r="AI187" i="3" s="1"/>
  <c r="AI191" i="3" a="1"/>
  <c r="AI191" i="3" s="1"/>
  <c r="AI160" i="3" a="1"/>
  <c r="AI160" i="3" s="1"/>
  <c r="AI176" i="3" a="1"/>
  <c r="AI176" i="3" s="1"/>
  <c r="AI188" i="3" a="1"/>
  <c r="AI188" i="3" s="1"/>
  <c r="AI192" i="3" a="1"/>
  <c r="AI192" i="3" s="1"/>
  <c r="AI196" i="3" a="1"/>
  <c r="AI196" i="3" s="1"/>
  <c r="AI97" i="3" a="1"/>
  <c r="AI97" i="3" s="1"/>
  <c r="AI107" i="3" a="1"/>
  <c r="AI107" i="3" s="1"/>
  <c r="AI164" i="3" a="1"/>
  <c r="AI164" i="3" s="1"/>
  <c r="AI168" i="3" a="1"/>
  <c r="AI168" i="3" s="1"/>
  <c r="AI172" i="3" a="1"/>
  <c r="AI172" i="3" s="1"/>
  <c r="AI180" i="3" a="1"/>
  <c r="AI180" i="3" s="1"/>
  <c r="AI184" i="3" a="1"/>
  <c r="AI184" i="3" s="1"/>
  <c r="AI200" i="3" a="1"/>
  <c r="AI200" i="3" s="1"/>
  <c r="AI108" i="3" a="1"/>
  <c r="AI108" i="3" s="1"/>
  <c r="AI120" i="3" a="1"/>
  <c r="AI120" i="3" s="1"/>
  <c r="AI126" i="3" a="1"/>
  <c r="AI126" i="3" s="1"/>
  <c r="AI140" i="3" a="1"/>
  <c r="AI140" i="3" s="1"/>
  <c r="AI146" i="3" a="1"/>
  <c r="AI146" i="3" s="1"/>
  <c r="AI169" i="3" a="1"/>
  <c r="AI169" i="3" s="1"/>
  <c r="AI181" i="3" a="1"/>
  <c r="AI181" i="3" s="1"/>
  <c r="AI185" i="3" a="1"/>
  <c r="AI185" i="3" s="1"/>
  <c r="AI189" i="3" a="1"/>
  <c r="AI189" i="3" s="1"/>
  <c r="AI197" i="3" a="1"/>
  <c r="AI197" i="3" s="1"/>
  <c r="AI201" i="3" a="1"/>
  <c r="AI201" i="3" s="1"/>
  <c r="AI104" i="3" a="1"/>
  <c r="AI104" i="3" s="1"/>
  <c r="AI129" i="3" a="1"/>
  <c r="AI129" i="3" s="1"/>
  <c r="AI161" i="3" a="1"/>
  <c r="AI161" i="3" s="1"/>
  <c r="AI165" i="3" a="1"/>
  <c r="AI165" i="3" s="1"/>
  <c r="AI173" i="3" a="1"/>
  <c r="AI173" i="3" s="1"/>
  <c r="AI177" i="3" a="1"/>
  <c r="AI177" i="3" s="1"/>
  <c r="AI193" i="3" a="1"/>
  <c r="AI193" i="3" s="1"/>
  <c r="AI72" i="3" a="1"/>
  <c r="AI72" i="3" s="1"/>
  <c r="AI115" i="3" a="1"/>
  <c r="AI115" i="3" s="1"/>
  <c r="AI132" i="3" a="1"/>
  <c r="AI132" i="3" s="1"/>
  <c r="AI136" i="3" a="1"/>
  <c r="AI136" i="3" s="1"/>
  <c r="AI145" i="3" a="1"/>
  <c r="AI145" i="3" s="1"/>
  <c r="AI162" i="3" a="1"/>
  <c r="AI162" i="3" s="1"/>
  <c r="AI174" i="3" a="1"/>
  <c r="AI174" i="3" s="1"/>
  <c r="AI178" i="3" a="1"/>
  <c r="AI178" i="3" s="1"/>
  <c r="AI182" i="3" a="1"/>
  <c r="AI182" i="3" s="1"/>
  <c r="AI190" i="3" a="1"/>
  <c r="AI190" i="3" s="1"/>
  <c r="AI194" i="3" a="1"/>
  <c r="AI194" i="3" s="1"/>
  <c r="AI198" i="3" a="1"/>
  <c r="AI198" i="3" s="1"/>
  <c r="AI144" i="3" a="1"/>
  <c r="AI144" i="3" s="1"/>
  <c r="AI149" i="3" a="1"/>
  <c r="AI149" i="3" s="1"/>
  <c r="AI153" i="3" a="1"/>
  <c r="AI153" i="3" s="1"/>
  <c r="AI156" i="3" a="1"/>
  <c r="AI156" i="3" s="1"/>
  <c r="AI166" i="3" a="1"/>
  <c r="AI166" i="3" s="1"/>
  <c r="AI170" i="3" a="1"/>
  <c r="AI170" i="3" s="1"/>
  <c r="AI186" i="3" a="1"/>
  <c r="AI186" i="3" s="1"/>
  <c r="AI209" i="3" a="1"/>
  <c r="AI209" i="3" s="1"/>
  <c r="AI212" i="3" a="1"/>
  <c r="AI212" i="3" s="1"/>
  <c r="AI218" i="3" a="1"/>
  <c r="AI218" i="3" s="1"/>
  <c r="AI221" i="3" a="1"/>
  <c r="AI221" i="3" s="1"/>
  <c r="AI227" i="3" a="1"/>
  <c r="AI227" i="3" s="1"/>
  <c r="AI230" i="3" a="1"/>
  <c r="AI230" i="3" s="1"/>
  <c r="AI236" i="3" a="1"/>
  <c r="AI236" i="3" s="1"/>
  <c r="AI239" i="3" a="1"/>
  <c r="AI239" i="3" s="1"/>
  <c r="AI248" i="3" a="1"/>
  <c r="AI248" i="3" s="1"/>
  <c r="AI202" i="3" a="1"/>
  <c r="AI202" i="3" s="1"/>
  <c r="AI204" i="3" a="1"/>
  <c r="AI204" i="3" s="1"/>
  <c r="AI215" i="3" a="1"/>
  <c r="AI215" i="3" s="1"/>
  <c r="AI224" i="3" a="1"/>
  <c r="AI224" i="3" s="1"/>
  <c r="AI233" i="3" a="1"/>
  <c r="AI233" i="3" s="1"/>
  <c r="AI242" i="3" a="1"/>
  <c r="AI242" i="3" s="1"/>
  <c r="AI245" i="3" a="1"/>
  <c r="AI245" i="3" s="1"/>
  <c r="AI251" i="3" a="1"/>
  <c r="AI251" i="3" s="1"/>
  <c r="AI254" i="3" a="1"/>
  <c r="AI254" i="3" s="1"/>
  <c r="AI257" i="3" a="1"/>
  <c r="AI257" i="3" s="1"/>
  <c r="AI260" i="3" a="1"/>
  <c r="AI260" i="3" s="1"/>
  <c r="AI207" i="3" a="1"/>
  <c r="AI207" i="3" s="1"/>
  <c r="AI216" i="3" a="1"/>
  <c r="AI216" i="3" s="1"/>
  <c r="AI210" i="3" a="1"/>
  <c r="AI210" i="3" s="1"/>
  <c r="AI213" i="3" a="1"/>
  <c r="AI213" i="3" s="1"/>
  <c r="AI219" i="3" a="1"/>
  <c r="AI219" i="3" s="1"/>
  <c r="AI222" i="3" a="1"/>
  <c r="AI222" i="3" s="1"/>
  <c r="AI225" i="3" a="1"/>
  <c r="AI225" i="3" s="1"/>
  <c r="AI228" i="3" a="1"/>
  <c r="AI228" i="3" s="1"/>
  <c r="AI234" i="3" a="1"/>
  <c r="AI234" i="3" s="1"/>
  <c r="AI237" i="3" a="1"/>
  <c r="AI237" i="3" s="1"/>
  <c r="AI243" i="3" a="1"/>
  <c r="AI243" i="3" s="1"/>
  <c r="AI246" i="3" a="1"/>
  <c r="AI246" i="3" s="1"/>
  <c r="AI252" i="3" a="1"/>
  <c r="AI252" i="3" s="1"/>
  <c r="AI255" i="3" a="1"/>
  <c r="AI255" i="3" s="1"/>
  <c r="AI206" i="3" a="1"/>
  <c r="AI206" i="3" s="1"/>
  <c r="AI231" i="3" a="1"/>
  <c r="AI231" i="3" s="1"/>
  <c r="AI240" i="3" a="1"/>
  <c r="AI240" i="3" s="1"/>
  <c r="AI249" i="3" a="1"/>
  <c r="AI249" i="3" s="1"/>
  <c r="AI258" i="3" a="1"/>
  <c r="AI258" i="3" s="1"/>
  <c r="AI261" i="3" a="1"/>
  <c r="AI261" i="3" s="1"/>
  <c r="AI203" i="3" a="1"/>
  <c r="AI203" i="3" s="1"/>
  <c r="AI211" i="3" a="1"/>
  <c r="AI211" i="3" s="1"/>
  <c r="AI214" i="3" a="1"/>
  <c r="AI214" i="3" s="1"/>
  <c r="AI220" i="3" a="1"/>
  <c r="AI220" i="3" s="1"/>
  <c r="AI223" i="3" a="1"/>
  <c r="AI223" i="3" s="1"/>
  <c r="AI232" i="3" a="1"/>
  <c r="AI232" i="3" s="1"/>
  <c r="AI208" i="3" a="1"/>
  <c r="AI208" i="3" s="1"/>
  <c r="AI217" i="3" a="1"/>
  <c r="AI217" i="3" s="1"/>
  <c r="AI226" i="3" a="1"/>
  <c r="AI226" i="3" s="1"/>
  <c r="AI229" i="3" a="1"/>
  <c r="AI229" i="3" s="1"/>
  <c r="AI235" i="3" a="1"/>
  <c r="AI235" i="3" s="1"/>
  <c r="AI238" i="3" a="1"/>
  <c r="AI238" i="3" s="1"/>
  <c r="AI241" i="3" a="1"/>
  <c r="AI241" i="3" s="1"/>
  <c r="AI244" i="3" a="1"/>
  <c r="AI244" i="3" s="1"/>
  <c r="AI250" i="3" a="1"/>
  <c r="AI250" i="3" s="1"/>
  <c r="AI253" i="3" a="1"/>
  <c r="AI253" i="3" s="1"/>
  <c r="AI259" i="3" a="1"/>
  <c r="AI259" i="3" s="1"/>
  <c r="AI262" i="3" a="1"/>
  <c r="AI262" i="3" s="1"/>
  <c r="AI205" i="3" a="1"/>
  <c r="AI205" i="3" s="1"/>
  <c r="AI247" i="3" a="1"/>
  <c r="AI247" i="3" s="1"/>
  <c r="AI256" i="3" a="1"/>
  <c r="AI256" i="3" s="1"/>
  <c r="AK8" i="3" a="1"/>
  <c r="AK8" i="3" s="1"/>
  <c r="AK13" i="3" a="1"/>
  <c r="AK13" i="3" s="1"/>
  <c r="AK18" i="3" a="1"/>
  <c r="AK18" i="3" s="1"/>
  <c r="AK22" i="3" a="1"/>
  <c r="AK22" i="3" s="1"/>
  <c r="AK27" i="3" a="1"/>
  <c r="AK27" i="3" s="1"/>
  <c r="AK31" i="3" a="1"/>
  <c r="AK31" i="3" s="1"/>
  <c r="AK37" i="3" a="1"/>
  <c r="AK37" i="3" s="1"/>
  <c r="AK41" i="3" a="1"/>
  <c r="AK41" i="3" s="1"/>
  <c r="AK43" i="3" a="1"/>
  <c r="AK43" i="3" s="1"/>
  <c r="AK49" i="3" a="1"/>
  <c r="AK49" i="3" s="1"/>
  <c r="AK59" i="3" a="1"/>
  <c r="AK59" i="3" s="1"/>
  <c r="AK14" i="3" a="1"/>
  <c r="AK14" i="3" s="1"/>
  <c r="AK23" i="3" a="1"/>
  <c r="AK23" i="3" s="1"/>
  <c r="AK32" i="3" a="1"/>
  <c r="AK32" i="3" s="1"/>
  <c r="AK35" i="3" a="1"/>
  <c r="AK35" i="3" s="1"/>
  <c r="AK47" i="3" a="1"/>
  <c r="AK47" i="3" s="1"/>
  <c r="AK52" i="3" a="1"/>
  <c r="AK52" i="3" s="1"/>
  <c r="AK9" i="3" a="1"/>
  <c r="AK9" i="3" s="1"/>
  <c r="AK19" i="3" a="1"/>
  <c r="AK19" i="3" s="1"/>
  <c r="AK28" i="3" a="1"/>
  <c r="AK28" i="3" s="1"/>
  <c r="AK40" i="3" a="1"/>
  <c r="AK40" i="3" s="1"/>
  <c r="AK10" i="3" a="1"/>
  <c r="AK10" i="3" s="1"/>
  <c r="AK15" i="3" a="1"/>
  <c r="AK15" i="3" s="1"/>
  <c r="AK20" i="3" a="1"/>
  <c r="AK20" i="3" s="1"/>
  <c r="AK24" i="3" a="1"/>
  <c r="AK24" i="3" s="1"/>
  <c r="AK50" i="3" a="1"/>
  <c r="AK50" i="3" s="1"/>
  <c r="AK60" i="3" a="1"/>
  <c r="AK60" i="3" s="1"/>
  <c r="AK16" i="3" a="1"/>
  <c r="AK16" i="3" s="1"/>
  <c r="AK29" i="3" a="1"/>
  <c r="AK29" i="3" s="1"/>
  <c r="AK33" i="3" a="1"/>
  <c r="AK33" i="3" s="1"/>
  <c r="AK38" i="3" a="1"/>
  <c r="AK38" i="3" s="1"/>
  <c r="AK42" i="3" a="1"/>
  <c r="AK42" i="3" s="1"/>
  <c r="AK44" i="3" a="1"/>
  <c r="AK44" i="3" s="1"/>
  <c r="AK55" i="3" a="1"/>
  <c r="AK55" i="3" s="1"/>
  <c r="AK65" i="3" a="1"/>
  <c r="AK65" i="3" s="1"/>
  <c r="AK11" i="3" a="1"/>
  <c r="AK11" i="3" s="1"/>
  <c r="AK21" i="3" a="1"/>
  <c r="AK21" i="3" s="1"/>
  <c r="AK25" i="3" a="1"/>
  <c r="AK25" i="3" s="1"/>
  <c r="AK36" i="3" a="1"/>
  <c r="AK36" i="3" s="1"/>
  <c r="AK48" i="3" a="1"/>
  <c r="AK48" i="3" s="1"/>
  <c r="AK53" i="3" a="1"/>
  <c r="AK53" i="3" s="1"/>
  <c r="AK58" i="3" a="1"/>
  <c r="AK58" i="3" s="1"/>
  <c r="AK17" i="3" a="1"/>
  <c r="AK17" i="3" s="1"/>
  <c r="AK34" i="3" a="1"/>
  <c r="AK34" i="3" s="1"/>
  <c r="AK71" i="3" a="1"/>
  <c r="AK71" i="3" s="1"/>
  <c r="AK83" i="3" a="1"/>
  <c r="AK83" i="3" s="1"/>
  <c r="AK85" i="3" a="1"/>
  <c r="AK85" i="3" s="1"/>
  <c r="AK90" i="3" a="1"/>
  <c r="AK90" i="3" s="1"/>
  <c r="AK92" i="3" a="1"/>
  <c r="AK92" i="3" s="1"/>
  <c r="AK61" i="3" a="1"/>
  <c r="AK61" i="3" s="1"/>
  <c r="AK62" i="3" a="1"/>
  <c r="AK62" i="3" s="1"/>
  <c r="AK63" i="3" a="1"/>
  <c r="AK63" i="3" s="1"/>
  <c r="AK69" i="3" a="1"/>
  <c r="AK69" i="3" s="1"/>
  <c r="AK74" i="3" a="1"/>
  <c r="AK74" i="3" s="1"/>
  <c r="AK81" i="3" a="1"/>
  <c r="AK81" i="3" s="1"/>
  <c r="AK88" i="3" a="1"/>
  <c r="AK88" i="3" s="1"/>
  <c r="AK54" i="3" a="1"/>
  <c r="AK54" i="3" s="1"/>
  <c r="AK64" i="3" a="1"/>
  <c r="AK64" i="3" s="1"/>
  <c r="AK72" i="3" a="1"/>
  <c r="AK72" i="3" s="1"/>
  <c r="AK79" i="3" a="1"/>
  <c r="AK79" i="3" s="1"/>
  <c r="AK86" i="3" a="1"/>
  <c r="AK86" i="3" s="1"/>
  <c r="AK95" i="3" a="1"/>
  <c r="AK95" i="3" s="1"/>
  <c r="AK104" i="3" a="1"/>
  <c r="AK104" i="3" s="1"/>
  <c r="AK45" i="3" a="1"/>
  <c r="AK45" i="3" s="1"/>
  <c r="AK66" i="3" a="1"/>
  <c r="AK66" i="3" s="1"/>
  <c r="AK70" i="3" a="1"/>
  <c r="AK70" i="3" s="1"/>
  <c r="AK77" i="3" a="1"/>
  <c r="AK77" i="3" s="1"/>
  <c r="AK51" i="3" a="1"/>
  <c r="AK51" i="3" s="1"/>
  <c r="AK57" i="3" a="1"/>
  <c r="AK57" i="3" s="1"/>
  <c r="AK67" i="3" a="1"/>
  <c r="AK67" i="3" s="1"/>
  <c r="AK75" i="3" a="1"/>
  <c r="AK75" i="3" s="1"/>
  <c r="AK82" i="3" a="1"/>
  <c r="AK82" i="3" s="1"/>
  <c r="AK84" i="3" a="1"/>
  <c r="AK84" i="3" s="1"/>
  <c r="AK91" i="3" a="1"/>
  <c r="AK91" i="3" s="1"/>
  <c r="AK100" i="3" a="1"/>
  <c r="AK100" i="3" s="1"/>
  <c r="AK106" i="3" a="1"/>
  <c r="AK106" i="3" s="1"/>
  <c r="AK111" i="3" a="1"/>
  <c r="AK111" i="3" s="1"/>
  <c r="AK26" i="3" a="1"/>
  <c r="AK26" i="3" s="1"/>
  <c r="AK56" i="3" a="1"/>
  <c r="AK56" i="3" s="1"/>
  <c r="AK68" i="3" a="1"/>
  <c r="AK68" i="3" s="1"/>
  <c r="AK89" i="3" a="1"/>
  <c r="AK89" i="3" s="1"/>
  <c r="AK98" i="3" a="1"/>
  <c r="AK98" i="3" s="1"/>
  <c r="AK30" i="3" a="1"/>
  <c r="AK30" i="3" s="1"/>
  <c r="AK73" i="3" a="1"/>
  <c r="AK73" i="3" s="1"/>
  <c r="AK80" i="3" a="1"/>
  <c r="AK80" i="3" s="1"/>
  <c r="AK87" i="3" a="1"/>
  <c r="AK87" i="3" s="1"/>
  <c r="AK96" i="3" a="1"/>
  <c r="AK96" i="3" s="1"/>
  <c r="AK46" i="3" a="1"/>
  <c r="AK46" i="3" s="1"/>
  <c r="AK97" i="3" a="1"/>
  <c r="AK97" i="3" s="1"/>
  <c r="AK107" i="3" a="1"/>
  <c r="AK107" i="3" s="1"/>
  <c r="AK108" i="3" a="1"/>
  <c r="AK108" i="3" s="1"/>
  <c r="AK112" i="3" a="1"/>
  <c r="AK112" i="3" s="1"/>
  <c r="AK115" i="3" a="1"/>
  <c r="AK115" i="3" s="1"/>
  <c r="AK99" i="3" a="1"/>
  <c r="AK99" i="3" s="1"/>
  <c r="AK105" i="3" a="1"/>
  <c r="AK105" i="3" s="1"/>
  <c r="AK120" i="3" a="1"/>
  <c r="AK120" i="3" s="1"/>
  <c r="AK126" i="3" a="1"/>
  <c r="AK126" i="3" s="1"/>
  <c r="AK129" i="3" a="1"/>
  <c r="AK129" i="3" s="1"/>
  <c r="AK132" i="3" a="1"/>
  <c r="AK132" i="3" s="1"/>
  <c r="AK140" i="3" a="1"/>
  <c r="AK140" i="3" s="1"/>
  <c r="AK93" i="3" a="1"/>
  <c r="AK93" i="3" s="1"/>
  <c r="AK103" i="3" a="1"/>
  <c r="AK103" i="3" s="1"/>
  <c r="AK109" i="3" a="1"/>
  <c r="AK109" i="3" s="1"/>
  <c r="AK113" i="3" a="1"/>
  <c r="AK113" i="3" s="1"/>
  <c r="AK118" i="3" a="1"/>
  <c r="AK118" i="3" s="1"/>
  <c r="AK123" i="3" a="1"/>
  <c r="AK123" i="3" s="1"/>
  <c r="AK136" i="3" a="1"/>
  <c r="AK136" i="3" s="1"/>
  <c r="AK102" i="3" a="1"/>
  <c r="AK102" i="3" s="1"/>
  <c r="AK124" i="3" a="1"/>
  <c r="AK124" i="3" s="1"/>
  <c r="AK133" i="3" a="1"/>
  <c r="AK133" i="3" s="1"/>
  <c r="AK145" i="3" a="1"/>
  <c r="AK145" i="3" s="1"/>
  <c r="AK149" i="3" a="1"/>
  <c r="AK149" i="3" s="1"/>
  <c r="AK153" i="3" a="1"/>
  <c r="AK153" i="3" s="1"/>
  <c r="AK76" i="3" a="1"/>
  <c r="AK76" i="3" s="1"/>
  <c r="AK101" i="3" a="1"/>
  <c r="AK101" i="3" s="1"/>
  <c r="AK110" i="3" a="1"/>
  <c r="AK110" i="3" s="1"/>
  <c r="AK116" i="3" a="1"/>
  <c r="AK116" i="3" s="1"/>
  <c r="AK127" i="3" a="1"/>
  <c r="AK127" i="3" s="1"/>
  <c r="AK137" i="3" a="1"/>
  <c r="AK137" i="3" s="1"/>
  <c r="AK141" i="3" a="1"/>
  <c r="AK141" i="3" s="1"/>
  <c r="AK39" i="3" a="1"/>
  <c r="AK39" i="3" s="1"/>
  <c r="AK94" i="3" a="1"/>
  <c r="AK94" i="3" s="1"/>
  <c r="AK121" i="3" a="1"/>
  <c r="AK121" i="3" s="1"/>
  <c r="AK130" i="3" a="1"/>
  <c r="AK130" i="3" s="1"/>
  <c r="AK138" i="3" a="1"/>
  <c r="AK138" i="3" s="1"/>
  <c r="AK142" i="3" a="1"/>
  <c r="AK142" i="3" s="1"/>
  <c r="AK146" i="3" a="1"/>
  <c r="AK146" i="3" s="1"/>
  <c r="AK154" i="3" a="1"/>
  <c r="AK154" i="3" s="1"/>
  <c r="AK158" i="3" a="1"/>
  <c r="AK158" i="3" s="1"/>
  <c r="AK155" i="3" a="1"/>
  <c r="AK155" i="3" s="1"/>
  <c r="AK174" i="3" a="1"/>
  <c r="AK174" i="3" s="1"/>
  <c r="AK190" i="3" a="1"/>
  <c r="AK190" i="3" s="1"/>
  <c r="AK78" i="3" a="1"/>
  <c r="AK78" i="3" s="1"/>
  <c r="AK139" i="3" a="1"/>
  <c r="AK139" i="3" s="1"/>
  <c r="AK144" i="3" a="1"/>
  <c r="AK144" i="3" s="1"/>
  <c r="AK156" i="3" a="1"/>
  <c r="AK156" i="3" s="1"/>
  <c r="AK162" i="3" a="1"/>
  <c r="AK162" i="3" s="1"/>
  <c r="AK166" i="3" a="1"/>
  <c r="AK166" i="3" s="1"/>
  <c r="AK170" i="3" a="1"/>
  <c r="AK170" i="3" s="1"/>
  <c r="AK178" i="3" a="1"/>
  <c r="AK178" i="3" s="1"/>
  <c r="AK182" i="3" a="1"/>
  <c r="AK182" i="3" s="1"/>
  <c r="AK186" i="3" a="1"/>
  <c r="AK186" i="3" s="1"/>
  <c r="AK119" i="3" a="1"/>
  <c r="AK119" i="3" s="1"/>
  <c r="AK122" i="3" a="1"/>
  <c r="AK122" i="3" s="1"/>
  <c r="AK131" i="3" a="1"/>
  <c r="AK131" i="3" s="1"/>
  <c r="AK135" i="3" a="1"/>
  <c r="AK135" i="3" s="1"/>
  <c r="AK148" i="3" a="1"/>
  <c r="AK148" i="3" s="1"/>
  <c r="AK167" i="3" a="1"/>
  <c r="AK167" i="3" s="1"/>
  <c r="AK183" i="3" a="1"/>
  <c r="AK183" i="3" s="1"/>
  <c r="AK195" i="3" a="1"/>
  <c r="AK195" i="3" s="1"/>
  <c r="AK199" i="3" a="1"/>
  <c r="AK199" i="3" s="1"/>
  <c r="AK125" i="3" a="1"/>
  <c r="AK125" i="3" s="1"/>
  <c r="AK128" i="3" a="1"/>
  <c r="AK128" i="3" s="1"/>
  <c r="AK143" i="3" a="1"/>
  <c r="AK143" i="3" s="1"/>
  <c r="AK147" i="3" a="1"/>
  <c r="AK147" i="3" s="1"/>
  <c r="AK152" i="3" a="1"/>
  <c r="AK152" i="3" s="1"/>
  <c r="AK157" i="3" a="1"/>
  <c r="AK157" i="3" s="1"/>
  <c r="AK159" i="3" a="1"/>
  <c r="AK159" i="3" s="1"/>
  <c r="AK163" i="3" a="1"/>
  <c r="AK163" i="3" s="1"/>
  <c r="AK171" i="3" a="1"/>
  <c r="AK171" i="3" s="1"/>
  <c r="AK175" i="3" a="1"/>
  <c r="AK175" i="3" s="1"/>
  <c r="AK179" i="3" a="1"/>
  <c r="AK179" i="3" s="1"/>
  <c r="AK187" i="3" a="1"/>
  <c r="AK187" i="3" s="1"/>
  <c r="AK191" i="3" a="1"/>
  <c r="AK191" i="3" s="1"/>
  <c r="AK114" i="3" a="1"/>
  <c r="AK114" i="3" s="1"/>
  <c r="AK151" i="3" a="1"/>
  <c r="AK151" i="3" s="1"/>
  <c r="AK160" i="3" a="1"/>
  <c r="AK160" i="3" s="1"/>
  <c r="AK176" i="3" a="1"/>
  <c r="AK176" i="3" s="1"/>
  <c r="AK188" i="3" a="1"/>
  <c r="AK188" i="3" s="1"/>
  <c r="AK192" i="3" a="1"/>
  <c r="AK192" i="3" s="1"/>
  <c r="AK196" i="3" a="1"/>
  <c r="AK196" i="3" s="1"/>
  <c r="AK117" i="3" a="1"/>
  <c r="AK117" i="3" s="1"/>
  <c r="AK164" i="3" a="1"/>
  <c r="AK164" i="3" s="1"/>
  <c r="AK168" i="3" a="1"/>
  <c r="AK168" i="3" s="1"/>
  <c r="AK172" i="3" a="1"/>
  <c r="AK172" i="3" s="1"/>
  <c r="AK180" i="3" a="1"/>
  <c r="AK180" i="3" s="1"/>
  <c r="AK184" i="3" a="1"/>
  <c r="AK184" i="3" s="1"/>
  <c r="AK12" i="3" a="1"/>
  <c r="AK12" i="3" s="1"/>
  <c r="AK134" i="3" a="1"/>
  <c r="AK134" i="3" s="1"/>
  <c r="AK150" i="3" a="1"/>
  <c r="AK150" i="3" s="1"/>
  <c r="AK181" i="3" a="1"/>
  <c r="AK181" i="3" s="1"/>
  <c r="AK197" i="3" a="1"/>
  <c r="AK197" i="3" s="1"/>
  <c r="AK161" i="3" a="1"/>
  <c r="AK161" i="3" s="1"/>
  <c r="AK165" i="3" a="1"/>
  <c r="AK165" i="3" s="1"/>
  <c r="AK169" i="3" a="1"/>
  <c r="AK169" i="3" s="1"/>
  <c r="AK173" i="3" a="1"/>
  <c r="AK173" i="3" s="1"/>
  <c r="AK177" i="3" a="1"/>
  <c r="AK177" i="3" s="1"/>
  <c r="AK185" i="3" a="1"/>
  <c r="AK185" i="3" s="1"/>
  <c r="AK189" i="3" a="1"/>
  <c r="AK189" i="3" s="1"/>
  <c r="AK193" i="3" a="1"/>
  <c r="AK193" i="3" s="1"/>
  <c r="AK203" i="3" a="1"/>
  <c r="AK203" i="3" s="1"/>
  <c r="AK208" i="3" a="1"/>
  <c r="AK208" i="3" s="1"/>
  <c r="AK211" i="3" a="1"/>
  <c r="AK211" i="3" s="1"/>
  <c r="AK217" i="3" a="1"/>
  <c r="AK217" i="3" s="1"/>
  <c r="AK220" i="3" a="1"/>
  <c r="AK220" i="3" s="1"/>
  <c r="AK223" i="3" a="1"/>
  <c r="AK223" i="3" s="1"/>
  <c r="AK226" i="3" a="1"/>
  <c r="AK226" i="3" s="1"/>
  <c r="AK232" i="3" a="1"/>
  <c r="AK232" i="3" s="1"/>
  <c r="AK235" i="3" a="1"/>
  <c r="AK235" i="3" s="1"/>
  <c r="AK241" i="3" a="1"/>
  <c r="AK241" i="3" s="1"/>
  <c r="AK244" i="3" a="1"/>
  <c r="AK244" i="3" s="1"/>
  <c r="AK250" i="3" a="1"/>
  <c r="AK250" i="3" s="1"/>
  <c r="AK253" i="3" a="1"/>
  <c r="AK253" i="3" s="1"/>
  <c r="AK262" i="3" a="1"/>
  <c r="AK262" i="3" s="1"/>
  <c r="AK201" i="3" a="1"/>
  <c r="AK201" i="3" s="1"/>
  <c r="AK229" i="3" a="1"/>
  <c r="AK229" i="3" s="1"/>
  <c r="AK238" i="3" a="1"/>
  <c r="AK238" i="3" s="1"/>
  <c r="AK247" i="3" a="1"/>
  <c r="AK247" i="3" s="1"/>
  <c r="AK256" i="3" a="1"/>
  <c r="AK256" i="3" s="1"/>
  <c r="AK259" i="3" a="1"/>
  <c r="AK259" i="3" s="1"/>
  <c r="AK205" i="3" a="1"/>
  <c r="AK205" i="3" s="1"/>
  <c r="AK209" i="3" a="1"/>
  <c r="AK209" i="3" s="1"/>
  <c r="AK212" i="3" a="1"/>
  <c r="AK212" i="3" s="1"/>
  <c r="AK218" i="3" a="1"/>
  <c r="AK218" i="3" s="1"/>
  <c r="AK221" i="3" a="1"/>
  <c r="AK221" i="3" s="1"/>
  <c r="AK230" i="3" a="1"/>
  <c r="AK230" i="3" s="1"/>
  <c r="AK202" i="3" a="1"/>
  <c r="AK202" i="3" s="1"/>
  <c r="AK215" i="3" a="1"/>
  <c r="AK215" i="3" s="1"/>
  <c r="AK224" i="3" a="1"/>
  <c r="AK224" i="3" s="1"/>
  <c r="AK227" i="3" a="1"/>
  <c r="AK227" i="3" s="1"/>
  <c r="AK233" i="3" a="1"/>
  <c r="AK233" i="3" s="1"/>
  <c r="AK236" i="3" a="1"/>
  <c r="AK236" i="3" s="1"/>
  <c r="AK239" i="3" a="1"/>
  <c r="AK239" i="3" s="1"/>
  <c r="AK242" i="3" a="1"/>
  <c r="AK242" i="3" s="1"/>
  <c r="AK248" i="3" a="1"/>
  <c r="AK248" i="3" s="1"/>
  <c r="AK251" i="3" a="1"/>
  <c r="AK251" i="3" s="1"/>
  <c r="AK257" i="3" a="1"/>
  <c r="AK257" i="3" s="1"/>
  <c r="AK260" i="3" a="1"/>
  <c r="AK260" i="3" s="1"/>
  <c r="AK204" i="3" a="1"/>
  <c r="AK204" i="3" s="1"/>
  <c r="AK245" i="3" a="1"/>
  <c r="AK245" i="3" s="1"/>
  <c r="AK254" i="3" a="1"/>
  <c r="AK254" i="3" s="1"/>
  <c r="AK200" i="3" a="1"/>
  <c r="AK200" i="3" s="1"/>
  <c r="AK207" i="3" a="1"/>
  <c r="AK207" i="3" s="1"/>
  <c r="AK210" i="3" a="1"/>
  <c r="AK210" i="3" s="1"/>
  <c r="AK216" i="3" a="1"/>
  <c r="AK216" i="3" s="1"/>
  <c r="AK219" i="3" a="1"/>
  <c r="AK219" i="3" s="1"/>
  <c r="AK225" i="3" a="1"/>
  <c r="AK225" i="3" s="1"/>
  <c r="AK228" i="3" a="1"/>
  <c r="AK228" i="3" s="1"/>
  <c r="AK234" i="3" a="1"/>
  <c r="AK234" i="3" s="1"/>
  <c r="AK237" i="3" a="1"/>
  <c r="AK237" i="3" s="1"/>
  <c r="AK246" i="3" a="1"/>
  <c r="AK246" i="3" s="1"/>
  <c r="AK198" i="3" a="1"/>
  <c r="AK198" i="3" s="1"/>
  <c r="AK213" i="3" a="1"/>
  <c r="AK213" i="3" s="1"/>
  <c r="AK222" i="3" a="1"/>
  <c r="AK222" i="3" s="1"/>
  <c r="AK231" i="3" a="1"/>
  <c r="AK231" i="3" s="1"/>
  <c r="AK240" i="3" a="1"/>
  <c r="AK240" i="3" s="1"/>
  <c r="AK243" i="3" a="1"/>
  <c r="AK243" i="3" s="1"/>
  <c r="AK249" i="3" a="1"/>
  <c r="AK249" i="3" s="1"/>
  <c r="AK252" i="3" a="1"/>
  <c r="AK252" i="3" s="1"/>
  <c r="AK255" i="3" a="1"/>
  <c r="AK255" i="3" s="1"/>
  <c r="AK258" i="3" a="1"/>
  <c r="AK258" i="3" s="1"/>
  <c r="AK194" i="3" a="1"/>
  <c r="AK194" i="3" s="1"/>
  <c r="AK206" i="3" a="1"/>
  <c r="AK206" i="3" s="1"/>
  <c r="AK214" i="3" a="1"/>
  <c r="AK214" i="3" s="1"/>
  <c r="AO7" i="3" a="1"/>
  <c r="AO7" i="3" s="1"/>
  <c r="AO316" i="3" a="1"/>
  <c r="AO316" i="3" s="1"/>
  <c r="AO311" i="3" a="1"/>
  <c r="AO311" i="3" s="1"/>
  <c r="AI311" i="3" a="1"/>
  <c r="AI311" i="3" s="1"/>
  <c r="AK310" i="3" a="1"/>
  <c r="AK310" i="3" s="1"/>
  <c r="AM307" i="3" a="1"/>
  <c r="AM307" i="3" s="1"/>
  <c r="AO306" i="3" a="1"/>
  <c r="AO306" i="3" s="1"/>
  <c r="AI306" i="3" a="1"/>
  <c r="AI306" i="3" s="1"/>
  <c r="AQ303" i="3" a="1"/>
  <c r="AQ303" i="3" s="1"/>
  <c r="AM302" i="3" a="1"/>
  <c r="AM302" i="3" s="1"/>
  <c r="AI301" i="3" a="1"/>
  <c r="AI301" i="3" s="1"/>
  <c r="AQ298" i="3" a="1"/>
  <c r="AQ298" i="3" s="1"/>
  <c r="AM297" i="3" a="1"/>
  <c r="AM297" i="3" s="1"/>
  <c r="AI296" i="3" a="1"/>
  <c r="AI296" i="3" s="1"/>
  <c r="AQ293" i="3" a="1"/>
  <c r="AQ293" i="3" s="1"/>
  <c r="AK293" i="3" a="1"/>
  <c r="AK293" i="3" s="1"/>
  <c r="AM292" i="3" a="1"/>
  <c r="AM292" i="3" s="1"/>
  <c r="AO289" i="3" a="1"/>
  <c r="AO289" i="3" s="1"/>
  <c r="AQ288" i="3" a="1"/>
  <c r="AQ288" i="3" s="1"/>
  <c r="AK288" i="3" a="1"/>
  <c r="AK288" i="3" s="1"/>
  <c r="AO284" i="3" a="1"/>
  <c r="AO284" i="3" s="1"/>
  <c r="AK283" i="3" a="1"/>
  <c r="AK283" i="3" s="1"/>
  <c r="AO279" i="3" a="1"/>
  <c r="AO279" i="3" s="1"/>
  <c r="AI279" i="3" a="1"/>
  <c r="AI279" i="3" s="1"/>
  <c r="AK278" i="3" a="1"/>
  <c r="AK278" i="3" s="1"/>
  <c r="AQ276" i="3" a="1"/>
  <c r="AQ276" i="3" s="1"/>
  <c r="AI274" i="3" a="1"/>
  <c r="AI274" i="3" s="1"/>
  <c r="AK272" i="3" a="1"/>
  <c r="AK272" i="3" s="1"/>
  <c r="AI271" i="3" a="1"/>
  <c r="AI271" i="3" s="1"/>
  <c r="AM270" i="3" a="1"/>
  <c r="AM270" i="3" s="1"/>
  <c r="AK269" i="3" a="1"/>
  <c r="AK269" i="3" s="1"/>
  <c r="AO268" i="3" a="1"/>
  <c r="AO268" i="3" s="1"/>
  <c r="AI268" i="3" a="1"/>
  <c r="AI268" i="3" s="1"/>
  <c r="AM267" i="3" a="1"/>
  <c r="AM267" i="3" s="1"/>
  <c r="AO266" i="3" a="1"/>
  <c r="AO266" i="3" s="1"/>
  <c r="AI266" i="3" a="1"/>
  <c r="AI266" i="3" s="1"/>
  <c r="AK265" i="3" a="1"/>
  <c r="AK265" i="3" s="1"/>
  <c r="AM261" i="3" a="1"/>
  <c r="AM261" i="3" s="1"/>
  <c r="AK315" i="3" a="1"/>
  <c r="AK315" i="3" s="1"/>
  <c r="AI6" i="3" a="1"/>
  <c r="AI6" i="3" s="1"/>
  <c r="AJ1" i="3"/>
  <c r="AO318" i="3" a="1"/>
  <c r="AO318" i="3" s="1"/>
  <c r="AI318" i="3" a="1"/>
  <c r="AI318" i="3" s="1"/>
  <c r="AQ315" i="3" a="1"/>
  <c r="AQ315" i="3" s="1"/>
  <c r="AM314" i="3" a="1"/>
  <c r="AM314" i="3" s="1"/>
  <c r="AI313" i="3" a="1"/>
  <c r="AI313" i="3" s="1"/>
  <c r="AQ310" i="3" a="1"/>
  <c r="AQ310" i="3" s="1"/>
  <c r="AM309" i="3" a="1"/>
  <c r="AM309" i="3" s="1"/>
  <c r="AI308" i="3" a="1"/>
  <c r="AI308" i="3" s="1"/>
  <c r="AQ305" i="3" a="1"/>
  <c r="AQ305" i="3" s="1"/>
  <c r="AK305" i="3" a="1"/>
  <c r="AK305" i="3" s="1"/>
  <c r="AM304" i="3" a="1"/>
  <c r="AM304" i="3" s="1"/>
  <c r="AO301" i="3" a="1"/>
  <c r="AO301" i="3" s="1"/>
  <c r="AQ300" i="3" a="1"/>
  <c r="AQ300" i="3" s="1"/>
  <c r="AK300" i="3" a="1"/>
  <c r="AK300" i="3" s="1"/>
  <c r="AO296" i="3" a="1"/>
  <c r="AO296" i="3" s="1"/>
  <c r="AK295" i="3" a="1"/>
  <c r="AK295" i="3" s="1"/>
  <c r="AO291" i="3" a="1"/>
  <c r="AO291" i="3" s="1"/>
  <c r="AI291" i="3" a="1"/>
  <c r="AI291" i="3" s="1"/>
  <c r="AK290" i="3" a="1"/>
  <c r="AK290" i="3" s="1"/>
  <c r="AM287" i="3" a="1"/>
  <c r="AM287" i="3" s="1"/>
  <c r="AO286" i="3" a="1"/>
  <c r="AO286" i="3" s="1"/>
  <c r="AI286" i="3" a="1"/>
  <c r="AI286" i="3" s="1"/>
  <c r="AQ283" i="3" a="1"/>
  <c r="AQ283" i="3" s="1"/>
  <c r="AM282" i="3" a="1"/>
  <c r="AM282" i="3" s="1"/>
  <c r="AI281" i="3" a="1"/>
  <c r="AI281" i="3" s="1"/>
  <c r="AQ278" i="3" a="1"/>
  <c r="AQ278" i="3" s="1"/>
  <c r="AM277" i="3" a="1"/>
  <c r="AM277" i="3" s="1"/>
  <c r="AO275" i="3" a="1"/>
  <c r="AO275" i="3" s="1"/>
  <c r="AQ273" i="3" a="1"/>
  <c r="AQ273" i="3" s="1"/>
  <c r="AQ265" i="3" a="1"/>
  <c r="AQ265" i="3" s="1"/>
  <c r="AM264" i="3" a="1"/>
  <c r="AM264" i="3" s="1"/>
  <c r="AO263" i="3" a="1"/>
  <c r="AO263" i="3" s="1"/>
  <c r="AQ262" i="3" a="1"/>
  <c r="AQ262" i="3" s="1"/>
  <c r="AK261" i="3" a="1"/>
  <c r="AK261" i="3" s="1"/>
  <c r="AK317" i="3" a="1"/>
  <c r="AK317" i="3" s="1"/>
  <c r="AO313" i="3" a="1"/>
  <c r="AO313" i="3" s="1"/>
  <c r="AK312" i="3" a="1"/>
  <c r="AK312" i="3" s="1"/>
  <c r="AO308" i="3" a="1"/>
  <c r="AO308" i="3" s="1"/>
  <c r="AK307" i="3" a="1"/>
  <c r="AK307" i="3" s="1"/>
  <c r="AO303" i="3" a="1"/>
  <c r="AO303" i="3" s="1"/>
  <c r="AI303" i="3" a="1"/>
  <c r="AI303" i="3" s="1"/>
  <c r="AK302" i="3" a="1"/>
  <c r="AK302" i="3" s="1"/>
  <c r="AM299" i="3" a="1"/>
  <c r="AM299" i="3" s="1"/>
  <c r="AO298" i="3" a="1"/>
  <c r="AO298" i="3" s="1"/>
  <c r="AI298" i="3" a="1"/>
  <c r="AI298" i="3" s="1"/>
  <c r="AQ295" i="3" a="1"/>
  <c r="AQ295" i="3" s="1"/>
  <c r="AM294" i="3" a="1"/>
  <c r="AM294" i="3" s="1"/>
  <c r="AI293" i="3" a="1"/>
  <c r="AI293" i="3" s="1"/>
  <c r="AQ290" i="3" a="1"/>
  <c r="AQ290" i="3" s="1"/>
  <c r="AM289" i="3" a="1"/>
  <c r="AM289" i="3" s="1"/>
  <c r="AI288" i="3" a="1"/>
  <c r="AI288" i="3" s="1"/>
  <c r="AQ285" i="3" a="1"/>
  <c r="AQ285" i="3" s="1"/>
  <c r="AK285" i="3" a="1"/>
  <c r="AK285" i="3" s="1"/>
  <c r="AM284" i="3" a="1"/>
  <c r="AM284" i="3" s="1"/>
  <c r="AO281" i="3" a="1"/>
  <c r="AO281" i="3" s="1"/>
  <c r="AQ280" i="3" a="1"/>
  <c r="AQ280" i="3" s="1"/>
  <c r="AK280" i="3" a="1"/>
  <c r="AK280" i="3" s="1"/>
  <c r="AK276" i="3" a="1"/>
  <c r="AK276" i="3" s="1"/>
  <c r="AI275" i="3" a="1"/>
  <c r="AI275" i="3" s="1"/>
  <c r="AM274" i="3" a="1"/>
  <c r="AM274" i="3" s="1"/>
  <c r="AK273" i="3" a="1"/>
  <c r="AK273" i="3" s="1"/>
  <c r="AO272" i="3" a="1"/>
  <c r="AO272" i="3" s="1"/>
  <c r="AI272" i="3" a="1"/>
  <c r="AI272" i="3" s="1"/>
  <c r="AM271" i="3" a="1"/>
  <c r="AM271" i="3" s="1"/>
  <c r="AQ270" i="3" a="1"/>
  <c r="AQ270" i="3" s="1"/>
  <c r="AK270" i="3" a="1"/>
  <c r="AK270" i="3" s="1"/>
  <c r="AO269" i="3" a="1"/>
  <c r="AO269" i="3" s="1"/>
  <c r="AM268" i="3" a="1"/>
  <c r="AM268" i="3" s="1"/>
  <c r="AQ267" i="3" a="1"/>
  <c r="AQ267" i="3" s="1"/>
  <c r="AI265" i="3" a="1"/>
  <c r="AI265" i="3" s="1"/>
  <c r="AQ317" i="3" a="1"/>
  <c r="AQ317" i="3" s="1"/>
  <c r="AM316" i="3" a="1"/>
  <c r="AM316" i="3" s="1"/>
  <c r="AQ312" i="3" a="1"/>
  <c r="AQ312" i="3" s="1"/>
  <c r="AQ6" i="3" a="1"/>
  <c r="AQ6" i="3" s="1"/>
  <c r="AO315" i="3" a="1"/>
  <c r="AO315" i="3" s="1"/>
  <c r="AI315" i="3" a="1"/>
  <c r="AI315" i="3" s="1"/>
  <c r="AK314" i="3" a="1"/>
  <c r="AK314" i="3" s="1"/>
  <c r="AM311" i="3" a="1"/>
  <c r="AM311" i="3" s="1"/>
  <c r="AO310" i="3" a="1"/>
  <c r="AO310" i="3" s="1"/>
  <c r="AI310" i="3" a="1"/>
  <c r="AI310" i="3" s="1"/>
  <c r="AQ307" i="3" a="1"/>
  <c r="AQ307" i="3" s="1"/>
  <c r="AM306" i="3" a="1"/>
  <c r="AM306" i="3" s="1"/>
  <c r="AI305" i="3" a="1"/>
  <c r="AI305" i="3" s="1"/>
  <c r="AQ302" i="3" a="1"/>
  <c r="AQ302" i="3" s="1"/>
  <c r="AM301" i="3" a="1"/>
  <c r="AM301" i="3" s="1"/>
  <c r="AI300" i="3" a="1"/>
  <c r="AI300" i="3" s="1"/>
  <c r="AQ297" i="3" a="1"/>
  <c r="AQ297" i="3" s="1"/>
  <c r="AK297" i="3" a="1"/>
  <c r="AK297" i="3" s="1"/>
  <c r="AM296" i="3" a="1"/>
  <c r="AM296" i="3" s="1"/>
  <c r="AO293" i="3" a="1"/>
  <c r="AO293" i="3" s="1"/>
  <c r="AQ292" i="3" a="1"/>
  <c r="AQ292" i="3" s="1"/>
  <c r="AK292" i="3" a="1"/>
  <c r="AK292" i="3" s="1"/>
  <c r="AO288" i="3" a="1"/>
  <c r="AO288" i="3" s="1"/>
  <c r="AK287" i="3" a="1"/>
  <c r="AK287" i="3" s="1"/>
  <c r="AO283" i="3" a="1"/>
  <c r="AO283" i="3" s="1"/>
  <c r="AI283" i="3" a="1"/>
  <c r="AI283" i="3" s="1"/>
  <c r="AK282" i="3" a="1"/>
  <c r="AK282" i="3" s="1"/>
  <c r="AM279" i="3" a="1"/>
  <c r="AM279" i="3" s="1"/>
  <c r="AO278" i="3" a="1"/>
  <c r="AO278" i="3" s="1"/>
  <c r="AI278" i="3" a="1"/>
  <c r="AI278" i="3" s="1"/>
  <c r="AI269" i="3" a="1"/>
  <c r="AI269" i="3" s="1"/>
  <c r="AK267" i="3" a="1"/>
  <c r="AK267" i="3" s="1"/>
  <c r="AM266" i="3" a="1"/>
  <c r="AM266" i="3" s="1"/>
  <c r="AQ264" i="3" a="1"/>
  <c r="AQ264" i="3" s="1"/>
  <c r="AK264" i="3" a="1"/>
  <c r="AK264" i="3" s="1"/>
  <c r="AM263" i="3" a="1"/>
  <c r="AM263" i="3" s="1"/>
  <c r="Y1" i="3"/>
  <c r="Y7" i="3" s="1" a="1"/>
  <c r="Y7" i="3" s="1"/>
  <c r="AG1" i="3"/>
  <c r="AF1" i="3"/>
  <c r="AE1" i="3"/>
  <c r="AB1" i="3"/>
  <c r="AB7" i="3" s="1" a="1"/>
  <c r="AB7" i="3" s="1"/>
  <c r="Z1" i="3"/>
  <c r="AA1" i="3"/>
  <c r="AA7" i="3" s="1" a="1"/>
  <c r="AA7" i="3" s="1"/>
  <c r="AC1" i="3"/>
  <c r="AD1" i="3"/>
  <c r="AD7" i="3" s="1" a="1"/>
  <c r="AD7" i="3" s="1"/>
  <c r="Z7" i="3" a="1"/>
  <c r="Z7" i="3" s="1"/>
  <c r="AC20" i="7" l="1"/>
  <c r="AI20" i="7" s="1"/>
  <c r="T20" i="7"/>
  <c r="AC25" i="7"/>
  <c r="AI25" i="7" s="1"/>
  <c r="T25" i="7"/>
  <c r="AC21" i="7"/>
  <c r="AI21" i="7" s="1"/>
  <c r="T21" i="7"/>
  <c r="T23" i="7"/>
  <c r="AC23" i="7"/>
  <c r="AI23" i="7" s="1"/>
  <c r="T22" i="7"/>
  <c r="AC22" i="7"/>
  <c r="AI22" i="7" s="1"/>
  <c r="T24" i="7"/>
  <c r="AC24" i="7"/>
  <c r="AI24" i="7" s="1"/>
  <c r="T19" i="7"/>
  <c r="AI19" i="7"/>
  <c r="AK275" i="3" a="1"/>
  <c r="AK275" i="3" s="1"/>
  <c r="AK6" i="3" a="1"/>
  <c r="AK6" i="3" s="1"/>
  <c r="AM265" i="3" a="1"/>
  <c r="AM265" i="3" s="1"/>
  <c r="AM6" i="3" a="1"/>
  <c r="AM6" i="3" s="1"/>
  <c r="AM7" i="3" a="1"/>
  <c r="AM7" i="3" s="1"/>
  <c r="AI263" i="3" a="1"/>
  <c r="AI263" i="3" s="1"/>
  <c r="AI7" i="3" a="1"/>
  <c r="AI7" i="3" s="1"/>
  <c r="AJ14" i="3" a="1"/>
  <c r="AJ14" i="3" s="1"/>
  <c r="AJ23" i="3" a="1"/>
  <c r="AJ23" i="3" s="1"/>
  <c r="AJ32" i="3" a="1"/>
  <c r="AJ32" i="3" s="1"/>
  <c r="AJ35" i="3" a="1"/>
  <c r="AJ35" i="3" s="1"/>
  <c r="AJ45" i="3" a="1"/>
  <c r="AJ45" i="3" s="1"/>
  <c r="AJ52" i="3" a="1"/>
  <c r="AJ52" i="3" s="1"/>
  <c r="AJ64" i="3" a="1"/>
  <c r="AJ64" i="3" s="1"/>
  <c r="AJ9" i="3" a="1"/>
  <c r="AJ9" i="3" s="1"/>
  <c r="AJ19" i="3" a="1"/>
  <c r="AJ19" i="3" s="1"/>
  <c r="AJ28" i="3" a="1"/>
  <c r="AJ28" i="3" s="1"/>
  <c r="AJ40" i="3" a="1"/>
  <c r="AJ40" i="3" s="1"/>
  <c r="AJ10" i="3" a="1"/>
  <c r="AJ10" i="3" s="1"/>
  <c r="AJ15" i="3" a="1"/>
  <c r="AJ15" i="3" s="1"/>
  <c r="AJ20" i="3" a="1"/>
  <c r="AJ20" i="3" s="1"/>
  <c r="AJ24" i="3" a="1"/>
  <c r="AJ24" i="3" s="1"/>
  <c r="AJ38" i="3" a="1"/>
  <c r="AJ38" i="3" s="1"/>
  <c r="AJ44" i="3" a="1"/>
  <c r="AJ44" i="3" s="1"/>
  <c r="AJ16" i="3" a="1"/>
  <c r="AJ16" i="3" s="1"/>
  <c r="AJ29" i="3" a="1"/>
  <c r="AJ29" i="3" s="1"/>
  <c r="AJ33" i="3" a="1"/>
  <c r="AJ33" i="3" s="1"/>
  <c r="AJ36" i="3" a="1"/>
  <c r="AJ36" i="3" s="1"/>
  <c r="AJ42" i="3" a="1"/>
  <c r="AJ42" i="3" s="1"/>
  <c r="AJ53" i="3" a="1"/>
  <c r="AJ53" i="3" s="1"/>
  <c r="AJ11" i="3" a="1"/>
  <c r="AJ11" i="3" s="1"/>
  <c r="AJ21" i="3" a="1"/>
  <c r="AJ21" i="3" s="1"/>
  <c r="AJ25" i="3" a="1"/>
  <c r="AJ25" i="3" s="1"/>
  <c r="AJ34" i="3" a="1"/>
  <c r="AJ34" i="3" s="1"/>
  <c r="AJ48" i="3" a="1"/>
  <c r="AJ48" i="3" s="1"/>
  <c r="AJ58" i="3" a="1"/>
  <c r="AJ58" i="3" s="1"/>
  <c r="AJ68" i="3" a="1"/>
  <c r="AJ68" i="3" s="1"/>
  <c r="AJ17" i="3" a="1"/>
  <c r="AJ17" i="3" s="1"/>
  <c r="AJ30" i="3" a="1"/>
  <c r="AJ30" i="3" s="1"/>
  <c r="AJ46" i="3" a="1"/>
  <c r="AJ46" i="3" s="1"/>
  <c r="AJ51" i="3" a="1"/>
  <c r="AJ51" i="3" s="1"/>
  <c r="AJ56" i="3" a="1"/>
  <c r="AJ56" i="3" s="1"/>
  <c r="AJ61" i="3" a="1"/>
  <c r="AJ61" i="3" s="1"/>
  <c r="AJ12" i="3" a="1"/>
  <c r="AJ12" i="3" s="1"/>
  <c r="AJ22" i="3" a="1"/>
  <c r="AJ22" i="3" s="1"/>
  <c r="AJ13" i="3" a="1"/>
  <c r="AJ13" i="3" s="1"/>
  <c r="AJ37" i="3" a="1"/>
  <c r="AJ37" i="3" s="1"/>
  <c r="AJ50" i="3" a="1"/>
  <c r="AJ50" i="3" s="1"/>
  <c r="AJ55" i="3" a="1"/>
  <c r="AJ55" i="3" s="1"/>
  <c r="AJ62" i="3" a="1"/>
  <c r="AJ62" i="3" s="1"/>
  <c r="AJ63" i="3" a="1"/>
  <c r="AJ63" i="3" s="1"/>
  <c r="AJ74" i="3" a="1"/>
  <c r="AJ74" i="3" s="1"/>
  <c r="AJ79" i="3" a="1"/>
  <c r="AJ79" i="3" s="1"/>
  <c r="AJ88" i="3" a="1"/>
  <c r="AJ88" i="3" s="1"/>
  <c r="AJ97" i="3" a="1"/>
  <c r="AJ97" i="3" s="1"/>
  <c r="AJ31" i="3" a="1"/>
  <c r="AJ31" i="3" s="1"/>
  <c r="AJ54" i="3" a="1"/>
  <c r="AJ54" i="3" s="1"/>
  <c r="AJ65" i="3" a="1"/>
  <c r="AJ65" i="3" s="1"/>
  <c r="AJ72" i="3" a="1"/>
  <c r="AJ72" i="3" s="1"/>
  <c r="AJ86" i="3" a="1"/>
  <c r="AJ86" i="3" s="1"/>
  <c r="AJ95" i="3" a="1"/>
  <c r="AJ95" i="3" s="1"/>
  <c r="AJ8" i="3" a="1"/>
  <c r="AJ8" i="3" s="1"/>
  <c r="AJ66" i="3" a="1"/>
  <c r="AJ66" i="3" s="1"/>
  <c r="AJ70" i="3" a="1"/>
  <c r="AJ70" i="3" s="1"/>
  <c r="AJ77" i="3" a="1"/>
  <c r="AJ77" i="3" s="1"/>
  <c r="AJ84" i="3" a="1"/>
  <c r="AJ84" i="3" s="1"/>
  <c r="AJ93" i="3" a="1"/>
  <c r="AJ93" i="3" s="1"/>
  <c r="AJ100" i="3" a="1"/>
  <c r="AJ100" i="3" s="1"/>
  <c r="AJ102" i="3" a="1"/>
  <c r="AJ102" i="3" s="1"/>
  <c r="AJ43" i="3" a="1"/>
  <c r="AJ43" i="3" s="1"/>
  <c r="AJ47" i="3" a="1"/>
  <c r="AJ47" i="3" s="1"/>
  <c r="AJ49" i="3" a="1"/>
  <c r="AJ49" i="3" s="1"/>
  <c r="AJ57" i="3" a="1"/>
  <c r="AJ57" i="3" s="1"/>
  <c r="AJ67" i="3" a="1"/>
  <c r="AJ67" i="3" s="1"/>
  <c r="AJ75" i="3" a="1"/>
  <c r="AJ75" i="3" s="1"/>
  <c r="AJ82" i="3" a="1"/>
  <c r="AJ82" i="3" s="1"/>
  <c r="AJ26" i="3" a="1"/>
  <c r="AJ26" i="3" s="1"/>
  <c r="AJ60" i="3" a="1"/>
  <c r="AJ60" i="3" s="1"/>
  <c r="AJ80" i="3" a="1"/>
  <c r="AJ80" i="3" s="1"/>
  <c r="AJ89" i="3" a="1"/>
  <c r="AJ89" i="3" s="1"/>
  <c r="AJ98" i="3" a="1"/>
  <c r="AJ98" i="3" s="1"/>
  <c r="AJ109" i="3" a="1"/>
  <c r="AJ109" i="3" s="1"/>
  <c r="AJ41" i="3" a="1"/>
  <c r="AJ41" i="3" s="1"/>
  <c r="AJ73" i="3" a="1"/>
  <c r="AJ73" i="3" s="1"/>
  <c r="AJ87" i="3" a="1"/>
  <c r="AJ87" i="3" s="1"/>
  <c r="AJ96" i="3" a="1"/>
  <c r="AJ96" i="3" s="1"/>
  <c r="AJ18" i="3" a="1"/>
  <c r="AJ18" i="3" s="1"/>
  <c r="AJ39" i="3" a="1"/>
  <c r="AJ39" i="3" s="1"/>
  <c r="AJ59" i="3" a="1"/>
  <c r="AJ59" i="3" s="1"/>
  <c r="AJ71" i="3" a="1"/>
  <c r="AJ71" i="3" s="1"/>
  <c r="AJ76" i="3" a="1"/>
  <c r="AJ76" i="3" s="1"/>
  <c r="AJ78" i="3" a="1"/>
  <c r="AJ78" i="3" s="1"/>
  <c r="AJ83" i="3" a="1"/>
  <c r="AJ83" i="3" s="1"/>
  <c r="AJ85" i="3" a="1"/>
  <c r="AJ85" i="3" s="1"/>
  <c r="AJ94" i="3" a="1"/>
  <c r="AJ94" i="3" s="1"/>
  <c r="AJ101" i="3" a="1"/>
  <c r="AJ101" i="3" s="1"/>
  <c r="AJ103" i="3" a="1"/>
  <c r="AJ103" i="3" s="1"/>
  <c r="AJ107" i="3" a="1"/>
  <c r="AJ107" i="3" s="1"/>
  <c r="AJ99" i="3" a="1"/>
  <c r="AJ99" i="3" s="1"/>
  <c r="AJ105" i="3" a="1"/>
  <c r="AJ105" i="3" s="1"/>
  <c r="AJ120" i="3" a="1"/>
  <c r="AJ120" i="3" s="1"/>
  <c r="AJ126" i="3" a="1"/>
  <c r="AJ126" i="3" s="1"/>
  <c r="AJ129" i="3" a="1"/>
  <c r="AJ129" i="3" s="1"/>
  <c r="AJ27" i="3" a="1"/>
  <c r="AJ27" i="3" s="1"/>
  <c r="AJ90" i="3" a="1"/>
  <c r="AJ90" i="3" s="1"/>
  <c r="AJ104" i="3" a="1"/>
  <c r="AJ104" i="3" s="1"/>
  <c r="AJ106" i="3" a="1"/>
  <c r="AJ106" i="3" s="1"/>
  <c r="AJ113" i="3" a="1"/>
  <c r="AJ113" i="3" s="1"/>
  <c r="AJ118" i="3" a="1"/>
  <c r="AJ118" i="3" s="1"/>
  <c r="AJ123" i="3" a="1"/>
  <c r="AJ123" i="3" s="1"/>
  <c r="AJ136" i="3" a="1"/>
  <c r="AJ136" i="3" s="1"/>
  <c r="AJ69" i="3" a="1"/>
  <c r="AJ69" i="3" s="1"/>
  <c r="AJ124" i="3" a="1"/>
  <c r="AJ124" i="3" s="1"/>
  <c r="AJ133" i="3" a="1"/>
  <c r="AJ133" i="3" s="1"/>
  <c r="AJ137" i="3" a="1"/>
  <c r="AJ137" i="3" s="1"/>
  <c r="AJ141" i="3" a="1"/>
  <c r="AJ141" i="3" s="1"/>
  <c r="AJ81" i="3" a="1"/>
  <c r="AJ81" i="3" s="1"/>
  <c r="AJ110" i="3" a="1"/>
  <c r="AJ110" i="3" s="1"/>
  <c r="AJ116" i="3" a="1"/>
  <c r="AJ116" i="3" s="1"/>
  <c r="AJ121" i="3" a="1"/>
  <c r="AJ121" i="3" s="1"/>
  <c r="AJ127" i="3" a="1"/>
  <c r="AJ127" i="3" s="1"/>
  <c r="AJ91" i="3" a="1"/>
  <c r="AJ91" i="3" s="1"/>
  <c r="AJ119" i="3" a="1"/>
  <c r="AJ119" i="3" s="1"/>
  <c r="AJ130" i="3" a="1"/>
  <c r="AJ130" i="3" s="1"/>
  <c r="AJ138" i="3" a="1"/>
  <c r="AJ138" i="3" s="1"/>
  <c r="AJ142" i="3" a="1"/>
  <c r="AJ142" i="3" s="1"/>
  <c r="AJ146" i="3" a="1"/>
  <c r="AJ146" i="3" s="1"/>
  <c r="AJ111" i="3" a="1"/>
  <c r="AJ111" i="3" s="1"/>
  <c r="AJ114" i="3" a="1"/>
  <c r="AJ114" i="3" s="1"/>
  <c r="AJ117" i="3" a="1"/>
  <c r="AJ117" i="3" s="1"/>
  <c r="AJ122" i="3" a="1"/>
  <c r="AJ122" i="3" s="1"/>
  <c r="AJ131" i="3" a="1"/>
  <c r="AJ131" i="3" s="1"/>
  <c r="AJ134" i="3" a="1"/>
  <c r="AJ134" i="3" s="1"/>
  <c r="AJ150" i="3" a="1"/>
  <c r="AJ150" i="3" s="1"/>
  <c r="AJ139" i="3" a="1"/>
  <c r="AJ139" i="3" s="1"/>
  <c r="AJ144" i="3" a="1"/>
  <c r="AJ144" i="3" s="1"/>
  <c r="AJ149" i="3" a="1"/>
  <c r="AJ149" i="3" s="1"/>
  <c r="AJ153" i="3" a="1"/>
  <c r="AJ153" i="3" s="1"/>
  <c r="AJ154" i="3" a="1"/>
  <c r="AJ154" i="3" s="1"/>
  <c r="AJ156" i="3" a="1"/>
  <c r="AJ156" i="3" s="1"/>
  <c r="AJ162" i="3" a="1"/>
  <c r="AJ162" i="3" s="1"/>
  <c r="AJ166" i="3" a="1"/>
  <c r="AJ166" i="3" s="1"/>
  <c r="AJ170" i="3" a="1"/>
  <c r="AJ170" i="3" s="1"/>
  <c r="AJ178" i="3" a="1"/>
  <c r="AJ178" i="3" s="1"/>
  <c r="AJ182" i="3" a="1"/>
  <c r="AJ182" i="3" s="1"/>
  <c r="AJ186" i="3" a="1"/>
  <c r="AJ186" i="3" s="1"/>
  <c r="AJ194" i="3" a="1"/>
  <c r="AJ194" i="3" s="1"/>
  <c r="AJ198" i="3" a="1"/>
  <c r="AJ198" i="3" s="1"/>
  <c r="AJ135" i="3" a="1"/>
  <c r="AJ135" i="3" s="1"/>
  <c r="AJ148" i="3" a="1"/>
  <c r="AJ148" i="3" s="1"/>
  <c r="AJ157" i="3" a="1"/>
  <c r="AJ157" i="3" s="1"/>
  <c r="AJ167" i="3" a="1"/>
  <c r="AJ167" i="3" s="1"/>
  <c r="AJ183" i="3" a="1"/>
  <c r="AJ183" i="3" s="1"/>
  <c r="AJ125" i="3" a="1"/>
  <c r="AJ125" i="3" s="1"/>
  <c r="AJ128" i="3" a="1"/>
  <c r="AJ128" i="3" s="1"/>
  <c r="AJ143" i="3" a="1"/>
  <c r="AJ143" i="3" s="1"/>
  <c r="AJ147" i="3" a="1"/>
  <c r="AJ147" i="3" s="1"/>
  <c r="AJ152" i="3" a="1"/>
  <c r="AJ152" i="3" s="1"/>
  <c r="AJ158" i="3" a="1"/>
  <c r="AJ158" i="3" s="1"/>
  <c r="AJ159" i="3" a="1"/>
  <c r="AJ159" i="3" s="1"/>
  <c r="AJ163" i="3" a="1"/>
  <c r="AJ163" i="3" s="1"/>
  <c r="AJ171" i="3" a="1"/>
  <c r="AJ171" i="3" s="1"/>
  <c r="AJ175" i="3" a="1"/>
  <c r="AJ175" i="3" s="1"/>
  <c r="AJ179" i="3" a="1"/>
  <c r="AJ179" i="3" s="1"/>
  <c r="AJ187" i="3" a="1"/>
  <c r="AJ187" i="3" s="1"/>
  <c r="AJ191" i="3" a="1"/>
  <c r="AJ191" i="3" s="1"/>
  <c r="AJ202" i="3" a="1"/>
  <c r="AJ202" i="3" s="1"/>
  <c r="AJ151" i="3" a="1"/>
  <c r="AJ151" i="3" s="1"/>
  <c r="AJ160" i="3" a="1"/>
  <c r="AJ160" i="3" s="1"/>
  <c r="AJ176" i="3" a="1"/>
  <c r="AJ176" i="3" s="1"/>
  <c r="AJ188" i="3" a="1"/>
  <c r="AJ188" i="3" s="1"/>
  <c r="AJ192" i="3" a="1"/>
  <c r="AJ192" i="3" s="1"/>
  <c r="AJ196" i="3" a="1"/>
  <c r="AJ196" i="3" s="1"/>
  <c r="AJ164" i="3" a="1"/>
  <c r="AJ164" i="3" s="1"/>
  <c r="AJ168" i="3" a="1"/>
  <c r="AJ168" i="3" s="1"/>
  <c r="AJ172" i="3" a="1"/>
  <c r="AJ172" i="3" s="1"/>
  <c r="AJ180" i="3" a="1"/>
  <c r="AJ180" i="3" s="1"/>
  <c r="AJ184" i="3" a="1"/>
  <c r="AJ184" i="3" s="1"/>
  <c r="AJ200" i="3" a="1"/>
  <c r="AJ200" i="3" s="1"/>
  <c r="AJ108" i="3" a="1"/>
  <c r="AJ108" i="3" s="1"/>
  <c r="AJ140" i="3" a="1"/>
  <c r="AJ140" i="3" s="1"/>
  <c r="AJ169" i="3" a="1"/>
  <c r="AJ169" i="3" s="1"/>
  <c r="AJ181" i="3" a="1"/>
  <c r="AJ181" i="3" s="1"/>
  <c r="AJ185" i="3" a="1"/>
  <c r="AJ185" i="3" s="1"/>
  <c r="AJ189" i="3" a="1"/>
  <c r="AJ189" i="3" s="1"/>
  <c r="AJ161" i="3" a="1"/>
  <c r="AJ161" i="3" s="1"/>
  <c r="AJ165" i="3" a="1"/>
  <c r="AJ165" i="3" s="1"/>
  <c r="AJ173" i="3" a="1"/>
  <c r="AJ173" i="3" s="1"/>
  <c r="AJ177" i="3" a="1"/>
  <c r="AJ177" i="3" s="1"/>
  <c r="AJ193" i="3" a="1"/>
  <c r="AJ193" i="3" s="1"/>
  <c r="AJ92" i="3" a="1"/>
  <c r="AJ92" i="3" s="1"/>
  <c r="AJ112" i="3" a="1"/>
  <c r="AJ112" i="3" s="1"/>
  <c r="AJ115" i="3" a="1"/>
  <c r="AJ115" i="3" s="1"/>
  <c r="AJ132" i="3" a="1"/>
  <c r="AJ132" i="3" s="1"/>
  <c r="AJ145" i="3" a="1"/>
  <c r="AJ145" i="3" s="1"/>
  <c r="AJ155" i="3" a="1"/>
  <c r="AJ155" i="3" s="1"/>
  <c r="AJ174" i="3" a="1"/>
  <c r="AJ174" i="3" s="1"/>
  <c r="AJ190" i="3" a="1"/>
  <c r="AJ190" i="3" s="1"/>
  <c r="AJ201" i="3" a="1"/>
  <c r="AJ201" i="3" s="1"/>
  <c r="AJ205" i="3" a="1"/>
  <c r="AJ205" i="3" s="1"/>
  <c r="AJ238" i="3" a="1"/>
  <c r="AJ238" i="3" s="1"/>
  <c r="AJ247" i="3" a="1"/>
  <c r="AJ247" i="3" s="1"/>
  <c r="AJ256" i="3" a="1"/>
  <c r="AJ256" i="3" s="1"/>
  <c r="AJ197" i="3" a="1"/>
  <c r="AJ197" i="3" s="1"/>
  <c r="AJ199" i="3" a="1"/>
  <c r="AJ199" i="3" s="1"/>
  <c r="AJ209" i="3" a="1"/>
  <c r="AJ209" i="3" s="1"/>
  <c r="AJ212" i="3" a="1"/>
  <c r="AJ212" i="3" s="1"/>
  <c r="AJ218" i="3" a="1"/>
  <c r="AJ218" i="3" s="1"/>
  <c r="AJ221" i="3" a="1"/>
  <c r="AJ221" i="3" s="1"/>
  <c r="AJ227" i="3" a="1"/>
  <c r="AJ227" i="3" s="1"/>
  <c r="AJ230" i="3" a="1"/>
  <c r="AJ230" i="3" s="1"/>
  <c r="AJ239" i="3" a="1"/>
  <c r="AJ239" i="3" s="1"/>
  <c r="AJ195" i="3" a="1"/>
  <c r="AJ195" i="3" s="1"/>
  <c r="AJ215" i="3" a="1"/>
  <c r="AJ215" i="3" s="1"/>
  <c r="AJ224" i="3" a="1"/>
  <c r="AJ224" i="3" s="1"/>
  <c r="AJ233" i="3" a="1"/>
  <c r="AJ233" i="3" s="1"/>
  <c r="AJ236" i="3" a="1"/>
  <c r="AJ236" i="3" s="1"/>
  <c r="AJ242" i="3" a="1"/>
  <c r="AJ242" i="3" s="1"/>
  <c r="AJ245" i="3" a="1"/>
  <c r="AJ245" i="3" s="1"/>
  <c r="AJ248" i="3" a="1"/>
  <c r="AJ248" i="3" s="1"/>
  <c r="AJ251" i="3" a="1"/>
  <c r="AJ251" i="3" s="1"/>
  <c r="AJ257" i="3" a="1"/>
  <c r="AJ257" i="3" s="1"/>
  <c r="AJ260" i="3" a="1"/>
  <c r="AJ260" i="3" s="1"/>
  <c r="AJ204" i="3" a="1"/>
  <c r="AJ204" i="3" s="1"/>
  <c r="AJ207" i="3" a="1"/>
  <c r="AJ207" i="3" s="1"/>
  <c r="AJ254" i="3" a="1"/>
  <c r="AJ254" i="3" s="1"/>
  <c r="AJ210" i="3" a="1"/>
  <c r="AJ210" i="3" s="1"/>
  <c r="AJ213" i="3" a="1"/>
  <c r="AJ213" i="3" s="1"/>
  <c r="AJ216" i="3" a="1"/>
  <c r="AJ216" i="3" s="1"/>
  <c r="AJ219" i="3" a="1"/>
  <c r="AJ219" i="3" s="1"/>
  <c r="AJ225" i="3" a="1"/>
  <c r="AJ225" i="3" s="1"/>
  <c r="AJ228" i="3" a="1"/>
  <c r="AJ228" i="3" s="1"/>
  <c r="AJ234" i="3" a="1"/>
  <c r="AJ234" i="3" s="1"/>
  <c r="AJ237" i="3" a="1"/>
  <c r="AJ237" i="3" s="1"/>
  <c r="AJ243" i="3" a="1"/>
  <c r="AJ243" i="3" s="1"/>
  <c r="AJ246" i="3" a="1"/>
  <c r="AJ246" i="3" s="1"/>
  <c r="AJ255" i="3" a="1"/>
  <c r="AJ255" i="3" s="1"/>
  <c r="AJ222" i="3" a="1"/>
  <c r="AJ222" i="3" s="1"/>
  <c r="AJ231" i="3" a="1"/>
  <c r="AJ231" i="3" s="1"/>
  <c r="AJ240" i="3" a="1"/>
  <c r="AJ240" i="3" s="1"/>
  <c r="AJ249" i="3" a="1"/>
  <c r="AJ249" i="3" s="1"/>
  <c r="AJ252" i="3" a="1"/>
  <c r="AJ252" i="3" s="1"/>
  <c r="AJ258" i="3" a="1"/>
  <c r="AJ258" i="3" s="1"/>
  <c r="AJ261" i="3" a="1"/>
  <c r="AJ261" i="3" s="1"/>
  <c r="AJ203" i="3" a="1"/>
  <c r="AJ203" i="3" s="1"/>
  <c r="AJ206" i="3" a="1"/>
  <c r="AJ206" i="3" s="1"/>
  <c r="AJ211" i="3" a="1"/>
  <c r="AJ211" i="3" s="1"/>
  <c r="AJ214" i="3" a="1"/>
  <c r="AJ214" i="3" s="1"/>
  <c r="AJ223" i="3" a="1"/>
  <c r="AJ223" i="3" s="1"/>
  <c r="AJ208" i="3" a="1"/>
  <c r="AJ208" i="3" s="1"/>
  <c r="AJ217" i="3" a="1"/>
  <c r="AJ217" i="3" s="1"/>
  <c r="AJ220" i="3" a="1"/>
  <c r="AJ220" i="3" s="1"/>
  <c r="AJ226" i="3" a="1"/>
  <c r="AJ226" i="3" s="1"/>
  <c r="AJ229" i="3" a="1"/>
  <c r="AJ229" i="3" s="1"/>
  <c r="AJ232" i="3" a="1"/>
  <c r="AJ232" i="3" s="1"/>
  <c r="AJ235" i="3" a="1"/>
  <c r="AJ235" i="3" s="1"/>
  <c r="AJ241" i="3" a="1"/>
  <c r="AJ241" i="3" s="1"/>
  <c r="AJ244" i="3" a="1"/>
  <c r="AJ244" i="3" s="1"/>
  <c r="AJ250" i="3" a="1"/>
  <c r="AJ250" i="3" s="1"/>
  <c r="AJ253" i="3" a="1"/>
  <c r="AJ253" i="3" s="1"/>
  <c r="AJ276" i="3" a="1"/>
  <c r="AJ276" i="3" s="1"/>
  <c r="AJ280" i="3" a="1"/>
  <c r="AJ280" i="3" s="1"/>
  <c r="AJ285" i="3" a="1"/>
  <c r="AJ285" i="3" s="1"/>
  <c r="AJ290" i="3" a="1"/>
  <c r="AJ290" i="3" s="1"/>
  <c r="AJ307" i="3" a="1"/>
  <c r="AJ307" i="3" s="1"/>
  <c r="AJ312" i="3" a="1"/>
  <c r="AJ312" i="3" s="1"/>
  <c r="AJ317" i="3" a="1"/>
  <c r="AJ317" i="3" s="1"/>
  <c r="AJ6" i="3" a="1"/>
  <c r="AJ6" i="3" s="1"/>
  <c r="AJ269" i="3" a="1"/>
  <c r="AJ269" i="3" s="1"/>
  <c r="AJ278" i="3" a="1"/>
  <c r="AJ278" i="3" s="1"/>
  <c r="AJ295" i="3" a="1"/>
  <c r="AJ295" i="3" s="1"/>
  <c r="AJ300" i="3" a="1"/>
  <c r="AJ300" i="3" s="1"/>
  <c r="AJ305" i="3" a="1"/>
  <c r="AJ305" i="3" s="1"/>
  <c r="AJ310" i="3" a="1"/>
  <c r="AJ310" i="3" s="1"/>
  <c r="AJ265" i="3" a="1"/>
  <c r="AJ265" i="3" s="1"/>
  <c r="AJ272" i="3" a="1"/>
  <c r="AJ272" i="3" s="1"/>
  <c r="AJ283" i="3" a="1"/>
  <c r="AJ283" i="3" s="1"/>
  <c r="AJ288" i="3" a="1"/>
  <c r="AJ288" i="3" s="1"/>
  <c r="AJ293" i="3" a="1"/>
  <c r="AJ293" i="3" s="1"/>
  <c r="AJ298" i="3" a="1"/>
  <c r="AJ298" i="3" s="1"/>
  <c r="AJ315" i="3" a="1"/>
  <c r="AJ315" i="3" s="1"/>
  <c r="AJ275" i="3" a="1"/>
  <c r="AJ275" i="3" s="1"/>
  <c r="AJ281" i="3" a="1"/>
  <c r="AJ281" i="3" s="1"/>
  <c r="AJ286" i="3" a="1"/>
  <c r="AJ286" i="3" s="1"/>
  <c r="AJ303" i="3" a="1"/>
  <c r="AJ303" i="3" s="1"/>
  <c r="AJ308" i="3" a="1"/>
  <c r="AJ308" i="3" s="1"/>
  <c r="AJ313" i="3" a="1"/>
  <c r="AJ313" i="3" s="1"/>
  <c r="AJ318" i="3" a="1"/>
  <c r="AJ318" i="3" s="1"/>
  <c r="AJ262" i="3" a="1"/>
  <c r="AJ262" i="3" s="1"/>
  <c r="AJ266" i="3" a="1"/>
  <c r="AJ266" i="3" s="1"/>
  <c r="AJ268" i="3" a="1"/>
  <c r="AJ268" i="3" s="1"/>
  <c r="AJ291" i="3" a="1"/>
  <c r="AJ291" i="3" s="1"/>
  <c r="AJ296" i="3" a="1"/>
  <c r="AJ296" i="3" s="1"/>
  <c r="AJ301" i="3" a="1"/>
  <c r="AJ301" i="3" s="1"/>
  <c r="AJ306" i="3" a="1"/>
  <c r="AJ306" i="3" s="1"/>
  <c r="AJ7" i="3" a="1"/>
  <c r="AJ7" i="3" s="1"/>
  <c r="AJ263" i="3" a="1"/>
  <c r="AJ263" i="3" s="1"/>
  <c r="AJ271" i="3" a="1"/>
  <c r="AJ271" i="3" s="1"/>
  <c r="AJ274" i="3" a="1"/>
  <c r="AJ274" i="3" s="1"/>
  <c r="AJ277" i="3" a="1"/>
  <c r="AJ277" i="3" s="1"/>
  <c r="AJ279" i="3" a="1"/>
  <c r="AJ279" i="3" s="1"/>
  <c r="AJ284" i="3" a="1"/>
  <c r="AJ284" i="3" s="1"/>
  <c r="AJ289" i="3" a="1"/>
  <c r="AJ289" i="3" s="1"/>
  <c r="AJ294" i="3" a="1"/>
  <c r="AJ294" i="3" s="1"/>
  <c r="AJ311" i="3" a="1"/>
  <c r="AJ311" i="3" s="1"/>
  <c r="AJ316" i="3" a="1"/>
  <c r="AJ316" i="3" s="1"/>
  <c r="AJ282" i="3" a="1"/>
  <c r="AJ282" i="3" s="1"/>
  <c r="AJ299" i="3" a="1"/>
  <c r="AJ299" i="3" s="1"/>
  <c r="AJ304" i="3" a="1"/>
  <c r="AJ304" i="3" s="1"/>
  <c r="AJ309" i="3" a="1"/>
  <c r="AJ309" i="3" s="1"/>
  <c r="AJ314" i="3" a="1"/>
  <c r="AJ314" i="3" s="1"/>
  <c r="AJ259" i="3" a="1"/>
  <c r="AJ259" i="3" s="1"/>
  <c r="AJ264" i="3" a="1"/>
  <c r="AJ264" i="3" s="1"/>
  <c r="AJ267" i="3" a="1"/>
  <c r="AJ267" i="3" s="1"/>
  <c r="AJ270" i="3" a="1"/>
  <c r="AJ270" i="3" s="1"/>
  <c r="AJ273" i="3" a="1"/>
  <c r="AJ273" i="3" s="1"/>
  <c r="AJ287" i="3" a="1"/>
  <c r="AJ287" i="3" s="1"/>
  <c r="AJ292" i="3" a="1"/>
  <c r="AJ292" i="3" s="1"/>
  <c r="AJ297" i="3" a="1"/>
  <c r="AJ297" i="3" s="1"/>
  <c r="AJ302" i="3" a="1"/>
  <c r="AJ302" i="3" s="1"/>
  <c r="AN25" i="3" a="1"/>
  <c r="AN25" i="3" s="1"/>
  <c r="AN29" i="3" a="1"/>
  <c r="AN29" i="3" s="1"/>
  <c r="AN36" i="3" a="1"/>
  <c r="AN36" i="3" s="1"/>
  <c r="AN38" i="3" a="1"/>
  <c r="AN38" i="3" s="1"/>
  <c r="AN42" i="3" a="1"/>
  <c r="AN42" i="3" s="1"/>
  <c r="AN48" i="3" a="1"/>
  <c r="AN48" i="3" s="1"/>
  <c r="AN60" i="3" a="1"/>
  <c r="AN60" i="3" s="1"/>
  <c r="AN11" i="3" a="1"/>
  <c r="AN11" i="3" s="1"/>
  <c r="AN17" i="3" a="1"/>
  <c r="AN17" i="3" s="1"/>
  <c r="AN21" i="3" a="1"/>
  <c r="AN21" i="3" s="1"/>
  <c r="AN30" i="3" a="1"/>
  <c r="AN30" i="3" s="1"/>
  <c r="AN44" i="3" a="1"/>
  <c r="AN44" i="3" s="1"/>
  <c r="AN12" i="3" a="1"/>
  <c r="AN12" i="3" s="1"/>
  <c r="AN26" i="3" a="1"/>
  <c r="AN26" i="3" s="1"/>
  <c r="AN34" i="3" a="1"/>
  <c r="AN34" i="3" s="1"/>
  <c r="AN13" i="3" a="1"/>
  <c r="AN13" i="3" s="1"/>
  <c r="AN18" i="3" a="1"/>
  <c r="AN18" i="3" s="1"/>
  <c r="AN22" i="3" a="1"/>
  <c r="AN22" i="3" s="1"/>
  <c r="AN31" i="3" a="1"/>
  <c r="AN31" i="3" s="1"/>
  <c r="AN39" i="3" a="1"/>
  <c r="AN39" i="3" s="1"/>
  <c r="AN41" i="3" a="1"/>
  <c r="AN41" i="3" s="1"/>
  <c r="AN49" i="3" a="1"/>
  <c r="AN49" i="3" s="1"/>
  <c r="AN59" i="3" a="1"/>
  <c r="AN59" i="3" s="1"/>
  <c r="AN8" i="3" a="1"/>
  <c r="AN8" i="3" s="1"/>
  <c r="AN14" i="3" a="1"/>
  <c r="AN14" i="3" s="1"/>
  <c r="AN23" i="3" a="1"/>
  <c r="AN23" i="3" s="1"/>
  <c r="AN27" i="3" a="1"/>
  <c r="AN27" i="3" s="1"/>
  <c r="AN32" i="3" a="1"/>
  <c r="AN32" i="3" s="1"/>
  <c r="AN37" i="3" a="1"/>
  <c r="AN37" i="3" s="1"/>
  <c r="AN43" i="3" a="1"/>
  <c r="AN43" i="3" s="1"/>
  <c r="AN54" i="3" a="1"/>
  <c r="AN54" i="3" s="1"/>
  <c r="AN64" i="3" a="1"/>
  <c r="AN64" i="3" s="1"/>
  <c r="AN9" i="3" a="1"/>
  <c r="AN9" i="3" s="1"/>
  <c r="AN19" i="3" a="1"/>
  <c r="AN19" i="3" s="1"/>
  <c r="AN35" i="3" a="1"/>
  <c r="AN35" i="3" s="1"/>
  <c r="AN47" i="3" a="1"/>
  <c r="AN47" i="3" s="1"/>
  <c r="AN52" i="3" a="1"/>
  <c r="AN52" i="3" s="1"/>
  <c r="AN57" i="3" a="1"/>
  <c r="AN57" i="3" s="1"/>
  <c r="AN10" i="3" a="1"/>
  <c r="AN10" i="3" s="1"/>
  <c r="AN15" i="3" a="1"/>
  <c r="AN15" i="3" s="1"/>
  <c r="AN24" i="3" a="1"/>
  <c r="AN24" i="3" s="1"/>
  <c r="AN56" i="3" a="1"/>
  <c r="AN56" i="3" s="1"/>
  <c r="AN70" i="3" a="1"/>
  <c r="AN70" i="3" s="1"/>
  <c r="AN82" i="3" a="1"/>
  <c r="AN82" i="3" s="1"/>
  <c r="AN91" i="3" a="1"/>
  <c r="AN91" i="3" s="1"/>
  <c r="AN20" i="3" a="1"/>
  <c r="AN20" i="3" s="1"/>
  <c r="AN46" i="3" a="1"/>
  <c r="AN46" i="3" s="1"/>
  <c r="AN50" i="3" a="1"/>
  <c r="AN50" i="3" s="1"/>
  <c r="AN68" i="3" a="1"/>
  <c r="AN68" i="3" s="1"/>
  <c r="AN73" i="3" a="1"/>
  <c r="AN73" i="3" s="1"/>
  <c r="AN80" i="3" a="1"/>
  <c r="AN80" i="3" s="1"/>
  <c r="AN89" i="3" a="1"/>
  <c r="AN89" i="3" s="1"/>
  <c r="AN28" i="3" a="1"/>
  <c r="AN28" i="3" s="1"/>
  <c r="AN40" i="3" a="1"/>
  <c r="AN40" i="3" s="1"/>
  <c r="AN55" i="3" a="1"/>
  <c r="AN55" i="3" s="1"/>
  <c r="AN78" i="3" a="1"/>
  <c r="AN78" i="3" s="1"/>
  <c r="AN87" i="3" a="1"/>
  <c r="AN87" i="3" s="1"/>
  <c r="AN103" i="3" a="1"/>
  <c r="AN103" i="3" s="1"/>
  <c r="AN58" i="3" a="1"/>
  <c r="AN58" i="3" s="1"/>
  <c r="AN71" i="3" a="1"/>
  <c r="AN71" i="3" s="1"/>
  <c r="AN76" i="3" a="1"/>
  <c r="AN76" i="3" s="1"/>
  <c r="AN85" i="3" a="1"/>
  <c r="AN85" i="3" s="1"/>
  <c r="AN16" i="3" a="1"/>
  <c r="AN16" i="3" s="1"/>
  <c r="AN45" i="3" a="1"/>
  <c r="AN45" i="3" s="1"/>
  <c r="AN61" i="3" a="1"/>
  <c r="AN61" i="3" s="1"/>
  <c r="AN62" i="3" a="1"/>
  <c r="AN62" i="3" s="1"/>
  <c r="AN63" i="3" a="1"/>
  <c r="AN63" i="3" s="1"/>
  <c r="AN83" i="3" a="1"/>
  <c r="AN83" i="3" s="1"/>
  <c r="AN92" i="3" a="1"/>
  <c r="AN92" i="3" s="1"/>
  <c r="AN101" i="3" a="1"/>
  <c r="AN101" i="3" s="1"/>
  <c r="AN65" i="3" a="1"/>
  <c r="AN65" i="3" s="1"/>
  <c r="AN66" i="3" a="1"/>
  <c r="AN66" i="3" s="1"/>
  <c r="AN69" i="3" a="1"/>
  <c r="AN69" i="3" s="1"/>
  <c r="AN74" i="3" a="1"/>
  <c r="AN74" i="3" s="1"/>
  <c r="AN79" i="3" a="1"/>
  <c r="AN79" i="3" s="1"/>
  <c r="AN81" i="3" a="1"/>
  <c r="AN81" i="3" s="1"/>
  <c r="AN90" i="3" a="1"/>
  <c r="AN90" i="3" s="1"/>
  <c r="AN97" i="3" a="1"/>
  <c r="AN97" i="3" s="1"/>
  <c r="AN99" i="3" a="1"/>
  <c r="AN99" i="3" s="1"/>
  <c r="AN51" i="3" a="1"/>
  <c r="AN51" i="3" s="1"/>
  <c r="AN72" i="3" a="1"/>
  <c r="AN72" i="3" s="1"/>
  <c r="AN77" i="3" a="1"/>
  <c r="AN77" i="3" s="1"/>
  <c r="AN86" i="3" a="1"/>
  <c r="AN86" i="3" s="1"/>
  <c r="AN88" i="3" a="1"/>
  <c r="AN88" i="3" s="1"/>
  <c r="AN95" i="3" a="1"/>
  <c r="AN95" i="3" s="1"/>
  <c r="AN104" i="3" a="1"/>
  <c r="AN104" i="3" s="1"/>
  <c r="AN67" i="3" a="1"/>
  <c r="AN67" i="3" s="1"/>
  <c r="AN84" i="3" a="1"/>
  <c r="AN84" i="3" s="1"/>
  <c r="AN110" i="3" a="1"/>
  <c r="AN110" i="3" s="1"/>
  <c r="AN116" i="3" a="1"/>
  <c r="AN116" i="3" s="1"/>
  <c r="AN121" i="3" a="1"/>
  <c r="AN121" i="3" s="1"/>
  <c r="AN124" i="3" a="1"/>
  <c r="AN124" i="3" s="1"/>
  <c r="AN130" i="3" a="1"/>
  <c r="AN130" i="3" s="1"/>
  <c r="AN111" i="3" a="1"/>
  <c r="AN111" i="3" s="1"/>
  <c r="AN114" i="3" a="1"/>
  <c r="AN114" i="3" s="1"/>
  <c r="AN134" i="3" a="1"/>
  <c r="AN134" i="3" s="1"/>
  <c r="AN142" i="3" a="1"/>
  <c r="AN142" i="3" s="1"/>
  <c r="AN119" i="3" a="1"/>
  <c r="AN119" i="3" s="1"/>
  <c r="AN122" i="3" a="1"/>
  <c r="AN122" i="3" s="1"/>
  <c r="AN125" i="3" a="1"/>
  <c r="AN125" i="3" s="1"/>
  <c r="AN131" i="3" a="1"/>
  <c r="AN131" i="3" s="1"/>
  <c r="AN33" i="3" a="1"/>
  <c r="AN33" i="3" s="1"/>
  <c r="AN75" i="3" a="1"/>
  <c r="AN75" i="3" s="1"/>
  <c r="AN93" i="3" a="1"/>
  <c r="AN93" i="3" s="1"/>
  <c r="AN107" i="3" a="1"/>
  <c r="AN107" i="3" s="1"/>
  <c r="AN117" i="3" a="1"/>
  <c r="AN117" i="3" s="1"/>
  <c r="AN128" i="3" a="1"/>
  <c r="AN128" i="3" s="1"/>
  <c r="AN135" i="3" a="1"/>
  <c r="AN135" i="3" s="1"/>
  <c r="AN139" i="3" a="1"/>
  <c r="AN139" i="3" s="1"/>
  <c r="AN143" i="3" a="1"/>
  <c r="AN143" i="3" s="1"/>
  <c r="AN151" i="3" a="1"/>
  <c r="AN151" i="3" s="1"/>
  <c r="AN53" i="3" a="1"/>
  <c r="AN53" i="3" s="1"/>
  <c r="AN105" i="3" a="1"/>
  <c r="AN105" i="3" s="1"/>
  <c r="AN106" i="3" a="1"/>
  <c r="AN106" i="3" s="1"/>
  <c r="AN108" i="3" a="1"/>
  <c r="AN108" i="3" s="1"/>
  <c r="AN112" i="3" a="1"/>
  <c r="AN112" i="3" s="1"/>
  <c r="AN115" i="3" a="1"/>
  <c r="AN115" i="3" s="1"/>
  <c r="AN120" i="3" a="1"/>
  <c r="AN120" i="3" s="1"/>
  <c r="AN129" i="3" a="1"/>
  <c r="AN129" i="3" s="1"/>
  <c r="AN140" i="3" a="1"/>
  <c r="AN140" i="3" s="1"/>
  <c r="AN152" i="3" a="1"/>
  <c r="AN152" i="3" s="1"/>
  <c r="AN96" i="3" a="1"/>
  <c r="AN96" i="3" s="1"/>
  <c r="AN102" i="3" a="1"/>
  <c r="AN102" i="3" s="1"/>
  <c r="AN113" i="3" a="1"/>
  <c r="AN113" i="3" s="1"/>
  <c r="AN123" i="3" a="1"/>
  <c r="AN123" i="3" s="1"/>
  <c r="AN132" i="3" a="1"/>
  <c r="AN132" i="3" s="1"/>
  <c r="AN136" i="3" a="1"/>
  <c r="AN136" i="3" s="1"/>
  <c r="AN144" i="3" a="1"/>
  <c r="AN144" i="3" s="1"/>
  <c r="AN148" i="3" a="1"/>
  <c r="AN148" i="3" s="1"/>
  <c r="AN94" i="3" a="1"/>
  <c r="AN94" i="3" s="1"/>
  <c r="AN109" i="3" a="1"/>
  <c r="AN109" i="3" s="1"/>
  <c r="AN118" i="3" a="1"/>
  <c r="AN118" i="3" s="1"/>
  <c r="AN145" i="3" a="1"/>
  <c r="AN145" i="3" s="1"/>
  <c r="AN146" i="3" a="1"/>
  <c r="AN146" i="3" s="1"/>
  <c r="AN160" i="3" a="1"/>
  <c r="AN160" i="3" s="1"/>
  <c r="AN168" i="3" a="1"/>
  <c r="AN168" i="3" s="1"/>
  <c r="AN172" i="3" a="1"/>
  <c r="AN172" i="3" s="1"/>
  <c r="AN176" i="3" a="1"/>
  <c r="AN176" i="3" s="1"/>
  <c r="AN180" i="3" a="1"/>
  <c r="AN180" i="3" s="1"/>
  <c r="AN184" i="3" a="1"/>
  <c r="AN184" i="3" s="1"/>
  <c r="AN192" i="3" a="1"/>
  <c r="AN192" i="3" s="1"/>
  <c r="AN196" i="3" a="1"/>
  <c r="AN196" i="3" s="1"/>
  <c r="AN200" i="3" a="1"/>
  <c r="AN200" i="3" s="1"/>
  <c r="AN127" i="3" a="1"/>
  <c r="AN127" i="3" s="1"/>
  <c r="AN149" i="3" a="1"/>
  <c r="AN149" i="3" s="1"/>
  <c r="AN150" i="3" a="1"/>
  <c r="AN150" i="3" s="1"/>
  <c r="AN164" i="3" a="1"/>
  <c r="AN164" i="3" s="1"/>
  <c r="AN181" i="3" a="1"/>
  <c r="AN181" i="3" s="1"/>
  <c r="AN141" i="3" a="1"/>
  <c r="AN141" i="3" s="1"/>
  <c r="AN161" i="3" a="1"/>
  <c r="AN161" i="3" s="1"/>
  <c r="AN165" i="3" a="1"/>
  <c r="AN165" i="3" s="1"/>
  <c r="AN169" i="3" a="1"/>
  <c r="AN169" i="3" s="1"/>
  <c r="AN173" i="3" a="1"/>
  <c r="AN173" i="3" s="1"/>
  <c r="AN177" i="3" a="1"/>
  <c r="AN177" i="3" s="1"/>
  <c r="AN185" i="3" a="1"/>
  <c r="AN185" i="3" s="1"/>
  <c r="AN189" i="3" a="1"/>
  <c r="AN189" i="3" s="1"/>
  <c r="AN193" i="3" a="1"/>
  <c r="AN193" i="3" s="1"/>
  <c r="AN201" i="3" a="1"/>
  <c r="AN201" i="3" s="1"/>
  <c r="AN133" i="3" a="1"/>
  <c r="AN133" i="3" s="1"/>
  <c r="AN137" i="3" a="1"/>
  <c r="AN137" i="3" s="1"/>
  <c r="AN153" i="3" a="1"/>
  <c r="AN153" i="3" s="1"/>
  <c r="AN154" i="3" a="1"/>
  <c r="AN154" i="3" s="1"/>
  <c r="AN98" i="3" a="1"/>
  <c r="AN98" i="3" s="1"/>
  <c r="AN155" i="3" a="1"/>
  <c r="AN155" i="3" s="1"/>
  <c r="AN156" i="3" a="1"/>
  <c r="AN156" i="3" s="1"/>
  <c r="AN166" i="3" a="1"/>
  <c r="AN166" i="3" s="1"/>
  <c r="AN170" i="3" a="1"/>
  <c r="AN170" i="3" s="1"/>
  <c r="AN174" i="3" a="1"/>
  <c r="AN174" i="3" s="1"/>
  <c r="AN182" i="3" a="1"/>
  <c r="AN182" i="3" s="1"/>
  <c r="AN186" i="3" a="1"/>
  <c r="AN186" i="3" s="1"/>
  <c r="AN190" i="3" a="1"/>
  <c r="AN190" i="3" s="1"/>
  <c r="AN194" i="3" a="1"/>
  <c r="AN194" i="3" s="1"/>
  <c r="AN198" i="3" a="1"/>
  <c r="AN198" i="3" s="1"/>
  <c r="AN157" i="3" a="1"/>
  <c r="AN157" i="3" s="1"/>
  <c r="AN162" i="3" a="1"/>
  <c r="AN162" i="3" s="1"/>
  <c r="AN178" i="3" a="1"/>
  <c r="AN178" i="3" s="1"/>
  <c r="AN126" i="3" a="1"/>
  <c r="AN126" i="3" s="1"/>
  <c r="AN147" i="3" a="1"/>
  <c r="AN147" i="3" s="1"/>
  <c r="AN158" i="3" a="1"/>
  <c r="AN158" i="3" s="1"/>
  <c r="AN159" i="3" a="1"/>
  <c r="AN159" i="3" s="1"/>
  <c r="AN163" i="3" a="1"/>
  <c r="AN163" i="3" s="1"/>
  <c r="AN167" i="3" a="1"/>
  <c r="AN167" i="3" s="1"/>
  <c r="AN175" i="3" a="1"/>
  <c r="AN175" i="3" s="1"/>
  <c r="AN179" i="3" a="1"/>
  <c r="AN179" i="3" s="1"/>
  <c r="AN183" i="3" a="1"/>
  <c r="AN183" i="3" s="1"/>
  <c r="AN187" i="3" a="1"/>
  <c r="AN187" i="3" s="1"/>
  <c r="AN191" i="3" a="1"/>
  <c r="AN191" i="3" s="1"/>
  <c r="AN199" i="3" a="1"/>
  <c r="AN199" i="3" s="1"/>
  <c r="AN100" i="3" a="1"/>
  <c r="AN100" i="3" s="1"/>
  <c r="AN138" i="3" a="1"/>
  <c r="AN138" i="3" s="1"/>
  <c r="AN171" i="3" a="1"/>
  <c r="AN171" i="3" s="1"/>
  <c r="AN188" i="3" a="1"/>
  <c r="AN188" i="3" s="1"/>
  <c r="AN202" i="3" a="1"/>
  <c r="AN202" i="3" s="1"/>
  <c r="AN207" i="3" a="1"/>
  <c r="AN207" i="3" s="1"/>
  <c r="AN210" i="3" a="1"/>
  <c r="AN210" i="3" s="1"/>
  <c r="AN219" i="3" a="1"/>
  <c r="AN219" i="3" s="1"/>
  <c r="AN204" i="3" a="1"/>
  <c r="AN204" i="3" s="1"/>
  <c r="AN213" i="3" a="1"/>
  <c r="AN213" i="3" s="1"/>
  <c r="AN216" i="3" a="1"/>
  <c r="AN216" i="3" s="1"/>
  <c r="AN222" i="3" a="1"/>
  <c r="AN222" i="3" s="1"/>
  <c r="AN225" i="3" a="1"/>
  <c r="AN225" i="3" s="1"/>
  <c r="AN228" i="3" a="1"/>
  <c r="AN228" i="3" s="1"/>
  <c r="AN231" i="3" a="1"/>
  <c r="AN231" i="3" s="1"/>
  <c r="AN237" i="3" a="1"/>
  <c r="AN237" i="3" s="1"/>
  <c r="AN240" i="3" a="1"/>
  <c r="AN240" i="3" s="1"/>
  <c r="AN246" i="3" a="1"/>
  <c r="AN246" i="3" s="1"/>
  <c r="AN249" i="3" a="1"/>
  <c r="AN249" i="3" s="1"/>
  <c r="AN255" i="3" a="1"/>
  <c r="AN255" i="3" s="1"/>
  <c r="AN258" i="3" a="1"/>
  <c r="AN258" i="3" s="1"/>
  <c r="AN234" i="3" a="1"/>
  <c r="AN234" i="3" s="1"/>
  <c r="AN243" i="3" a="1"/>
  <c r="AN243" i="3" s="1"/>
  <c r="AN252" i="3" a="1"/>
  <c r="AN252" i="3" s="1"/>
  <c r="AN261" i="3" a="1"/>
  <c r="AN261" i="3" s="1"/>
  <c r="AN195" i="3" a="1"/>
  <c r="AN195" i="3" s="1"/>
  <c r="AN197" i="3" a="1"/>
  <c r="AN197" i="3" s="1"/>
  <c r="AN203" i="3" a="1"/>
  <c r="AN203" i="3" s="1"/>
  <c r="AN208" i="3" a="1"/>
  <c r="AN208" i="3" s="1"/>
  <c r="AN214" i="3" a="1"/>
  <c r="AN214" i="3" s="1"/>
  <c r="AN217" i="3" a="1"/>
  <c r="AN217" i="3" s="1"/>
  <c r="AN223" i="3" a="1"/>
  <c r="AN223" i="3" s="1"/>
  <c r="AN226" i="3" a="1"/>
  <c r="AN226" i="3" s="1"/>
  <c r="AN235" i="3" a="1"/>
  <c r="AN235" i="3" s="1"/>
  <c r="AN206" i="3" a="1"/>
  <c r="AN206" i="3" s="1"/>
  <c r="AN211" i="3" a="1"/>
  <c r="AN211" i="3" s="1"/>
  <c r="AN220" i="3" a="1"/>
  <c r="AN220" i="3" s="1"/>
  <c r="AN229" i="3" a="1"/>
  <c r="AN229" i="3" s="1"/>
  <c r="AN232" i="3" a="1"/>
  <c r="AN232" i="3" s="1"/>
  <c r="AN238" i="3" a="1"/>
  <c r="AN238" i="3" s="1"/>
  <c r="AN241" i="3" a="1"/>
  <c r="AN241" i="3" s="1"/>
  <c r="AN244" i="3" a="1"/>
  <c r="AN244" i="3" s="1"/>
  <c r="AN247" i="3" a="1"/>
  <c r="AN247" i="3" s="1"/>
  <c r="AN253" i="3" a="1"/>
  <c r="AN253" i="3" s="1"/>
  <c r="AN256" i="3" a="1"/>
  <c r="AN256" i="3" s="1"/>
  <c r="AN250" i="3" a="1"/>
  <c r="AN250" i="3" s="1"/>
  <c r="AN259" i="3" a="1"/>
  <c r="AN259" i="3" s="1"/>
  <c r="AN205" i="3" a="1"/>
  <c r="AN205" i="3" s="1"/>
  <c r="AN209" i="3" a="1"/>
  <c r="AN209" i="3" s="1"/>
  <c r="AN212" i="3" a="1"/>
  <c r="AN212" i="3" s="1"/>
  <c r="AN215" i="3" a="1"/>
  <c r="AN215" i="3" s="1"/>
  <c r="AN221" i="3" a="1"/>
  <c r="AN221" i="3" s="1"/>
  <c r="AN224" i="3" a="1"/>
  <c r="AN224" i="3" s="1"/>
  <c r="AN230" i="3" a="1"/>
  <c r="AN230" i="3" s="1"/>
  <c r="AN233" i="3" a="1"/>
  <c r="AN233" i="3" s="1"/>
  <c r="AN239" i="3" a="1"/>
  <c r="AN239" i="3" s="1"/>
  <c r="AN242" i="3" a="1"/>
  <c r="AN242" i="3" s="1"/>
  <c r="AN251" i="3" a="1"/>
  <c r="AN251" i="3" s="1"/>
  <c r="AN218" i="3" a="1"/>
  <c r="AN218" i="3" s="1"/>
  <c r="AN227" i="3" a="1"/>
  <c r="AN227" i="3" s="1"/>
  <c r="AN236" i="3" a="1"/>
  <c r="AN236" i="3" s="1"/>
  <c r="AN245" i="3" a="1"/>
  <c r="AN245" i="3" s="1"/>
  <c r="AN248" i="3" a="1"/>
  <c r="AN248" i="3" s="1"/>
  <c r="AN254" i="3" a="1"/>
  <c r="AN254" i="3" s="1"/>
  <c r="AN257" i="3" a="1"/>
  <c r="AN257" i="3" s="1"/>
  <c r="AN272" i="3" a="1"/>
  <c r="AN272" i="3" s="1"/>
  <c r="AN281" i="3" a="1"/>
  <c r="AN281" i="3" s="1"/>
  <c r="AN286" i="3" a="1"/>
  <c r="AN286" i="3" s="1"/>
  <c r="AN303" i="3" a="1"/>
  <c r="AN303" i="3" s="1"/>
  <c r="AN308" i="3" a="1"/>
  <c r="AN308" i="3" s="1"/>
  <c r="AN313" i="3" a="1"/>
  <c r="AN313" i="3" s="1"/>
  <c r="AN318" i="3" a="1"/>
  <c r="AN318" i="3" s="1"/>
  <c r="AN260" i="3" a="1"/>
  <c r="AN260" i="3" s="1"/>
  <c r="AN263" i="3" a="1"/>
  <c r="AN263" i="3" s="1"/>
  <c r="AN275" i="3" a="1"/>
  <c r="AN275" i="3" s="1"/>
  <c r="AN291" i="3" a="1"/>
  <c r="AN291" i="3" s="1"/>
  <c r="AN296" i="3" a="1"/>
  <c r="AN296" i="3" s="1"/>
  <c r="AN301" i="3" a="1"/>
  <c r="AN301" i="3" s="1"/>
  <c r="AN306" i="3" a="1"/>
  <c r="AN306" i="3" s="1"/>
  <c r="AN266" i="3" a="1"/>
  <c r="AN266" i="3" s="1"/>
  <c r="AN268" i="3" a="1"/>
  <c r="AN268" i="3" s="1"/>
  <c r="AN279" i="3" a="1"/>
  <c r="AN279" i="3" s="1"/>
  <c r="AN284" i="3" a="1"/>
  <c r="AN284" i="3" s="1"/>
  <c r="AN289" i="3" a="1"/>
  <c r="AN289" i="3" s="1"/>
  <c r="AN294" i="3" a="1"/>
  <c r="AN294" i="3" s="1"/>
  <c r="AN311" i="3" a="1"/>
  <c r="AN311" i="3" s="1"/>
  <c r="AN316" i="3" a="1"/>
  <c r="AN316" i="3" s="1"/>
  <c r="AN7" i="3" a="1"/>
  <c r="AN7" i="3" s="1"/>
  <c r="AN271" i="3" a="1"/>
  <c r="AN271" i="3" s="1"/>
  <c r="AN274" i="3" a="1"/>
  <c r="AN274" i="3" s="1"/>
  <c r="AN277" i="3" a="1"/>
  <c r="AN277" i="3" s="1"/>
  <c r="AN282" i="3" a="1"/>
  <c r="AN282" i="3" s="1"/>
  <c r="AN299" i="3" a="1"/>
  <c r="AN299" i="3" s="1"/>
  <c r="AN304" i="3" a="1"/>
  <c r="AN304" i="3" s="1"/>
  <c r="AN309" i="3" a="1"/>
  <c r="AN309" i="3" s="1"/>
  <c r="AN314" i="3" a="1"/>
  <c r="AN314" i="3" s="1"/>
  <c r="AN264" i="3" a="1"/>
  <c r="AN264" i="3" s="1"/>
  <c r="AN287" i="3" a="1"/>
  <c r="AN287" i="3" s="1"/>
  <c r="AN292" i="3" a="1"/>
  <c r="AN292" i="3" s="1"/>
  <c r="AN297" i="3" a="1"/>
  <c r="AN297" i="3" s="1"/>
  <c r="AN302" i="3" a="1"/>
  <c r="AN302" i="3" s="1"/>
  <c r="AN317" i="3" a="1"/>
  <c r="AN317" i="3" s="1"/>
  <c r="AN267" i="3" a="1"/>
  <c r="AN267" i="3" s="1"/>
  <c r="AN270" i="3" a="1"/>
  <c r="AN270" i="3" s="1"/>
  <c r="AN273" i="3" a="1"/>
  <c r="AN273" i="3" s="1"/>
  <c r="AN280" i="3" a="1"/>
  <c r="AN280" i="3" s="1"/>
  <c r="AN285" i="3" a="1"/>
  <c r="AN285" i="3" s="1"/>
  <c r="AN290" i="3" a="1"/>
  <c r="AN290" i="3" s="1"/>
  <c r="AN307" i="3" a="1"/>
  <c r="AN307" i="3" s="1"/>
  <c r="AN312" i="3" a="1"/>
  <c r="AN312" i="3" s="1"/>
  <c r="AN6" i="3" a="1"/>
  <c r="AN6" i="3" s="1"/>
  <c r="AN262" i="3" a="1"/>
  <c r="AN262" i="3" s="1"/>
  <c r="AN265" i="3" a="1"/>
  <c r="AN265" i="3" s="1"/>
  <c r="AN276" i="3" a="1"/>
  <c r="AN276" i="3" s="1"/>
  <c r="AN278" i="3" a="1"/>
  <c r="AN278" i="3" s="1"/>
  <c r="AN295" i="3" a="1"/>
  <c r="AN295" i="3" s="1"/>
  <c r="AN300" i="3" a="1"/>
  <c r="AN300" i="3" s="1"/>
  <c r="AN305" i="3" a="1"/>
  <c r="AN305" i="3" s="1"/>
  <c r="AN310" i="3" a="1"/>
  <c r="AN310" i="3" s="1"/>
  <c r="AN269" i="3" a="1"/>
  <c r="AN269" i="3" s="1"/>
  <c r="AN283" i="3" a="1"/>
  <c r="AN283" i="3" s="1"/>
  <c r="AN288" i="3" a="1"/>
  <c r="AN288" i="3" s="1"/>
  <c r="AN293" i="3" a="1"/>
  <c r="AN293" i="3" s="1"/>
  <c r="AN298" i="3" a="1"/>
  <c r="AN298" i="3" s="1"/>
  <c r="AN315" i="3" a="1"/>
  <c r="AN315" i="3" s="1"/>
  <c r="AL12" i="3" a="1"/>
  <c r="AL12" i="3" s="1"/>
  <c r="AL26" i="3" a="1"/>
  <c r="AL26" i="3" s="1"/>
  <c r="AL39" i="3" a="1"/>
  <c r="AL39" i="3" s="1"/>
  <c r="AL46" i="3" a="1"/>
  <c r="AL46" i="3" s="1"/>
  <c r="AL56" i="3" a="1"/>
  <c r="AL56" i="3" s="1"/>
  <c r="AL66" i="3" a="1"/>
  <c r="AL66" i="3" s="1"/>
  <c r="AL8" i="3" a="1"/>
  <c r="AL8" i="3" s="1"/>
  <c r="AL13" i="3" a="1"/>
  <c r="AL13" i="3" s="1"/>
  <c r="AL18" i="3" a="1"/>
  <c r="AL18" i="3" s="1"/>
  <c r="AL22" i="3" a="1"/>
  <c r="AL22" i="3" s="1"/>
  <c r="AL27" i="3" a="1"/>
  <c r="AL27" i="3" s="1"/>
  <c r="AL31" i="3" a="1"/>
  <c r="AL31" i="3" s="1"/>
  <c r="AL37" i="3" a="1"/>
  <c r="AL37" i="3" s="1"/>
  <c r="AL41" i="3" a="1"/>
  <c r="AL41" i="3" s="1"/>
  <c r="AL49" i="3" a="1"/>
  <c r="AL49" i="3" s="1"/>
  <c r="AL14" i="3" a="1"/>
  <c r="AL14" i="3" s="1"/>
  <c r="AL23" i="3" a="1"/>
  <c r="AL23" i="3" s="1"/>
  <c r="AL32" i="3" a="1"/>
  <c r="AL32" i="3" s="1"/>
  <c r="AL43" i="3" a="1"/>
  <c r="AL43" i="3" s="1"/>
  <c r="AL9" i="3" a="1"/>
  <c r="AL9" i="3" s="1"/>
  <c r="AL19" i="3" a="1"/>
  <c r="AL19" i="3" s="1"/>
  <c r="AL28" i="3" a="1"/>
  <c r="AL28" i="3" s="1"/>
  <c r="AL35" i="3" a="1"/>
  <c r="AL35" i="3" s="1"/>
  <c r="AL57" i="3" a="1"/>
  <c r="AL57" i="3" s="1"/>
  <c r="AL10" i="3" a="1"/>
  <c r="AL10" i="3" s="1"/>
  <c r="AL15" i="3" a="1"/>
  <c r="AL15" i="3" s="1"/>
  <c r="AL20" i="3" a="1"/>
  <c r="AL20" i="3" s="1"/>
  <c r="AL24" i="3" a="1"/>
  <c r="AL24" i="3" s="1"/>
  <c r="AL40" i="3" a="1"/>
  <c r="AL40" i="3" s="1"/>
  <c r="AL45" i="3" a="1"/>
  <c r="AL45" i="3" s="1"/>
  <c r="AL50" i="3" a="1"/>
  <c r="AL50" i="3" s="1"/>
  <c r="AL62" i="3" a="1"/>
  <c r="AL62" i="3" s="1"/>
  <c r="AL16" i="3" a="1"/>
  <c r="AL16" i="3" s="1"/>
  <c r="AL33" i="3" a="1"/>
  <c r="AL33" i="3" s="1"/>
  <c r="AL38" i="3" a="1"/>
  <c r="AL38" i="3" s="1"/>
  <c r="AL42" i="3" a="1"/>
  <c r="AL42" i="3" s="1"/>
  <c r="AL55" i="3" a="1"/>
  <c r="AL55" i="3" s="1"/>
  <c r="AL60" i="3" a="1"/>
  <c r="AL60" i="3" s="1"/>
  <c r="AL11" i="3" a="1"/>
  <c r="AL11" i="3" s="1"/>
  <c r="AL48" i="3" a="1"/>
  <c r="AL48" i="3" s="1"/>
  <c r="AL78" i="3" a="1"/>
  <c r="AL78" i="3" s="1"/>
  <c r="AL87" i="3" a="1"/>
  <c r="AL87" i="3" s="1"/>
  <c r="AL94" i="3" a="1"/>
  <c r="AL94" i="3" s="1"/>
  <c r="AL34" i="3" a="1"/>
  <c r="AL34" i="3" s="1"/>
  <c r="AL52" i="3" a="1"/>
  <c r="AL52" i="3" s="1"/>
  <c r="AL58" i="3" a="1"/>
  <c r="AL58" i="3" s="1"/>
  <c r="AL71" i="3" a="1"/>
  <c r="AL71" i="3" s="1"/>
  <c r="AL76" i="3" a="1"/>
  <c r="AL76" i="3" s="1"/>
  <c r="AL83" i="3" a="1"/>
  <c r="AL83" i="3" s="1"/>
  <c r="AL85" i="3" a="1"/>
  <c r="AL85" i="3" s="1"/>
  <c r="AL21" i="3" a="1"/>
  <c r="AL21" i="3" s="1"/>
  <c r="AL25" i="3" a="1"/>
  <c r="AL25" i="3" s="1"/>
  <c r="AL61" i="3" a="1"/>
  <c r="AL61" i="3" s="1"/>
  <c r="AL63" i="3" a="1"/>
  <c r="AL63" i="3" s="1"/>
  <c r="AL69" i="3" a="1"/>
  <c r="AL69" i="3" s="1"/>
  <c r="AL81" i="3" a="1"/>
  <c r="AL81" i="3" s="1"/>
  <c r="AL90" i="3" a="1"/>
  <c r="AL90" i="3" s="1"/>
  <c r="AL92" i="3" a="1"/>
  <c r="AL92" i="3" s="1"/>
  <c r="AL97" i="3" a="1"/>
  <c r="AL97" i="3" s="1"/>
  <c r="AL99" i="3" a="1"/>
  <c r="AL99" i="3" s="1"/>
  <c r="AL54" i="3" a="1"/>
  <c r="AL54" i="3" s="1"/>
  <c r="AL64" i="3" a="1"/>
  <c r="AL64" i="3" s="1"/>
  <c r="AL65" i="3" a="1"/>
  <c r="AL65" i="3" s="1"/>
  <c r="AL74" i="3" a="1"/>
  <c r="AL74" i="3" s="1"/>
  <c r="AL79" i="3" a="1"/>
  <c r="AL79" i="3" s="1"/>
  <c r="AL88" i="3" a="1"/>
  <c r="AL88" i="3" s="1"/>
  <c r="AL29" i="3" a="1"/>
  <c r="AL29" i="3" s="1"/>
  <c r="AL47" i="3" a="1"/>
  <c r="AL47" i="3" s="1"/>
  <c r="AL72" i="3" a="1"/>
  <c r="AL72" i="3" s="1"/>
  <c r="AL77" i="3" a="1"/>
  <c r="AL77" i="3" s="1"/>
  <c r="AL86" i="3" a="1"/>
  <c r="AL86" i="3" s="1"/>
  <c r="AL93" i="3" a="1"/>
  <c r="AL93" i="3" s="1"/>
  <c r="AL102" i="3" a="1"/>
  <c r="AL102" i="3" s="1"/>
  <c r="AL17" i="3" a="1"/>
  <c r="AL17" i="3" s="1"/>
  <c r="AL51" i="3" a="1"/>
  <c r="AL51" i="3" s="1"/>
  <c r="AL53" i="3" a="1"/>
  <c r="AL53" i="3" s="1"/>
  <c r="AL67" i="3" a="1"/>
  <c r="AL67" i="3" s="1"/>
  <c r="AL70" i="3" a="1"/>
  <c r="AL70" i="3" s="1"/>
  <c r="AL75" i="3" a="1"/>
  <c r="AL75" i="3" s="1"/>
  <c r="AL82" i="3" a="1"/>
  <c r="AL82" i="3" s="1"/>
  <c r="AL84" i="3" a="1"/>
  <c r="AL84" i="3" s="1"/>
  <c r="AL100" i="3" a="1"/>
  <c r="AL100" i="3" s="1"/>
  <c r="AL36" i="3" a="1"/>
  <c r="AL36" i="3" s="1"/>
  <c r="AL44" i="3" a="1"/>
  <c r="AL44" i="3" s="1"/>
  <c r="AL68" i="3" a="1"/>
  <c r="AL68" i="3" s="1"/>
  <c r="AL89" i="3" a="1"/>
  <c r="AL89" i="3" s="1"/>
  <c r="AL91" i="3" a="1"/>
  <c r="AL91" i="3" s="1"/>
  <c r="AL98" i="3" a="1"/>
  <c r="AL98" i="3" s="1"/>
  <c r="AL59" i="3" a="1"/>
  <c r="AL59" i="3" s="1"/>
  <c r="AL73" i="3" a="1"/>
  <c r="AL73" i="3" s="1"/>
  <c r="AL95" i="3" a="1"/>
  <c r="AL95" i="3" s="1"/>
  <c r="AL117" i="3" a="1"/>
  <c r="AL117" i="3" s="1"/>
  <c r="AL125" i="3" a="1"/>
  <c r="AL125" i="3" s="1"/>
  <c r="AL107" i="3" a="1"/>
  <c r="AL107" i="3" s="1"/>
  <c r="AL115" i="3" a="1"/>
  <c r="AL115" i="3" s="1"/>
  <c r="AL128" i="3" a="1"/>
  <c r="AL128" i="3" s="1"/>
  <c r="AL30" i="3" a="1"/>
  <c r="AL30" i="3" s="1"/>
  <c r="AL80" i="3" a="1"/>
  <c r="AL80" i="3" s="1"/>
  <c r="AL104" i="3" a="1"/>
  <c r="AL104" i="3" s="1"/>
  <c r="AL105" i="3" a="1"/>
  <c r="AL105" i="3" s="1"/>
  <c r="AL106" i="3" a="1"/>
  <c r="AL106" i="3" s="1"/>
  <c r="AL108" i="3" a="1"/>
  <c r="AL108" i="3" s="1"/>
  <c r="AL112" i="3" a="1"/>
  <c r="AL112" i="3" s="1"/>
  <c r="AL120" i="3" a="1"/>
  <c r="AL120" i="3" s="1"/>
  <c r="AL129" i="3" a="1"/>
  <c r="AL129" i="3" s="1"/>
  <c r="AL140" i="3" a="1"/>
  <c r="AL140" i="3" s="1"/>
  <c r="AL103" i="3" a="1"/>
  <c r="AL103" i="3" s="1"/>
  <c r="AL109" i="3" a="1"/>
  <c r="AL109" i="3" s="1"/>
  <c r="AL113" i="3" a="1"/>
  <c r="AL113" i="3" s="1"/>
  <c r="AL123" i="3" a="1"/>
  <c r="AL123" i="3" s="1"/>
  <c r="AL126" i="3" a="1"/>
  <c r="AL126" i="3" s="1"/>
  <c r="AL132" i="3" a="1"/>
  <c r="AL132" i="3" s="1"/>
  <c r="AL136" i="3" a="1"/>
  <c r="AL136" i="3" s="1"/>
  <c r="AL144" i="3" a="1"/>
  <c r="AL144" i="3" s="1"/>
  <c r="AL148" i="3" a="1"/>
  <c r="AL148" i="3" s="1"/>
  <c r="AL96" i="3" a="1"/>
  <c r="AL96" i="3" s="1"/>
  <c r="AL118" i="3" a="1"/>
  <c r="AL118" i="3" s="1"/>
  <c r="AL133" i="3" a="1"/>
  <c r="AL133" i="3" s="1"/>
  <c r="AL145" i="3" a="1"/>
  <c r="AL145" i="3" s="1"/>
  <c r="AL149" i="3" a="1"/>
  <c r="AL149" i="3" s="1"/>
  <c r="AL101" i="3" a="1"/>
  <c r="AL101" i="3" s="1"/>
  <c r="AL116" i="3" a="1"/>
  <c r="AL116" i="3" s="1"/>
  <c r="AL124" i="3" a="1"/>
  <c r="AL124" i="3" s="1"/>
  <c r="AL127" i="3" a="1"/>
  <c r="AL127" i="3" s="1"/>
  <c r="AL137" i="3" a="1"/>
  <c r="AL137" i="3" s="1"/>
  <c r="AL141" i="3" a="1"/>
  <c r="AL141" i="3" s="1"/>
  <c r="AL157" i="3" a="1"/>
  <c r="AL157" i="3" s="1"/>
  <c r="AL121" i="3" a="1"/>
  <c r="AL121" i="3" s="1"/>
  <c r="AL130" i="3" a="1"/>
  <c r="AL130" i="3" s="1"/>
  <c r="AL161" i="3" a="1"/>
  <c r="AL161" i="3" s="1"/>
  <c r="AL165" i="3" a="1"/>
  <c r="AL165" i="3" s="1"/>
  <c r="AL169" i="3" a="1"/>
  <c r="AL169" i="3" s="1"/>
  <c r="AL173" i="3" a="1"/>
  <c r="AL173" i="3" s="1"/>
  <c r="AL177" i="3" a="1"/>
  <c r="AL177" i="3" s="1"/>
  <c r="AL185" i="3" a="1"/>
  <c r="AL185" i="3" s="1"/>
  <c r="AL189" i="3" a="1"/>
  <c r="AL189" i="3" s="1"/>
  <c r="AL193" i="3" a="1"/>
  <c r="AL193" i="3" s="1"/>
  <c r="AL154" i="3" a="1"/>
  <c r="AL154" i="3" s="1"/>
  <c r="AL155" i="3" a="1"/>
  <c r="AL155" i="3" s="1"/>
  <c r="AL174" i="3" a="1"/>
  <c r="AL174" i="3" s="1"/>
  <c r="AL190" i="3" a="1"/>
  <c r="AL190" i="3" s="1"/>
  <c r="AL110" i="3" a="1"/>
  <c r="AL110" i="3" s="1"/>
  <c r="AL139" i="3" a="1"/>
  <c r="AL139" i="3" s="1"/>
  <c r="AL153" i="3" a="1"/>
  <c r="AL153" i="3" s="1"/>
  <c r="AL156" i="3" a="1"/>
  <c r="AL156" i="3" s="1"/>
  <c r="AL162" i="3" a="1"/>
  <c r="AL162" i="3" s="1"/>
  <c r="AL166" i="3" a="1"/>
  <c r="AL166" i="3" s="1"/>
  <c r="AL170" i="3" a="1"/>
  <c r="AL170" i="3" s="1"/>
  <c r="AL178" i="3" a="1"/>
  <c r="AL178" i="3" s="1"/>
  <c r="AL182" i="3" a="1"/>
  <c r="AL182" i="3" s="1"/>
  <c r="AL186" i="3" a="1"/>
  <c r="AL186" i="3" s="1"/>
  <c r="AL194" i="3" a="1"/>
  <c r="AL194" i="3" s="1"/>
  <c r="AL198" i="3" a="1"/>
  <c r="AL198" i="3" s="1"/>
  <c r="AL203" i="3" a="1"/>
  <c r="AL203" i="3" s="1"/>
  <c r="AL119" i="3" a="1"/>
  <c r="AL119" i="3" s="1"/>
  <c r="AL122" i="3" a="1"/>
  <c r="AL122" i="3" s="1"/>
  <c r="AL131" i="3" a="1"/>
  <c r="AL131" i="3" s="1"/>
  <c r="AL135" i="3" a="1"/>
  <c r="AL135" i="3" s="1"/>
  <c r="AL158" i="3" a="1"/>
  <c r="AL158" i="3" s="1"/>
  <c r="AL167" i="3" a="1"/>
  <c r="AL167" i="3" s="1"/>
  <c r="AL183" i="3" a="1"/>
  <c r="AL183" i="3" s="1"/>
  <c r="AL195" i="3" a="1"/>
  <c r="AL195" i="3" s="1"/>
  <c r="AL199" i="3" a="1"/>
  <c r="AL199" i="3" s="1"/>
  <c r="AL143" i="3" a="1"/>
  <c r="AL143" i="3" s="1"/>
  <c r="AL147" i="3" a="1"/>
  <c r="AL147" i="3" s="1"/>
  <c r="AL152" i="3" a="1"/>
  <c r="AL152" i="3" s="1"/>
  <c r="AL159" i="3" a="1"/>
  <c r="AL159" i="3" s="1"/>
  <c r="AL163" i="3" a="1"/>
  <c r="AL163" i="3" s="1"/>
  <c r="AL171" i="3" a="1"/>
  <c r="AL171" i="3" s="1"/>
  <c r="AL175" i="3" a="1"/>
  <c r="AL175" i="3" s="1"/>
  <c r="AL179" i="3" a="1"/>
  <c r="AL179" i="3" s="1"/>
  <c r="AL187" i="3" a="1"/>
  <c r="AL187" i="3" s="1"/>
  <c r="AL191" i="3" a="1"/>
  <c r="AL191" i="3" s="1"/>
  <c r="AL111" i="3" a="1"/>
  <c r="AL111" i="3" s="1"/>
  <c r="AL114" i="3" a="1"/>
  <c r="AL114" i="3" s="1"/>
  <c r="AL138" i="3" a="1"/>
  <c r="AL138" i="3" s="1"/>
  <c r="AL142" i="3" a="1"/>
  <c r="AL142" i="3" s="1"/>
  <c r="AL146" i="3" a="1"/>
  <c r="AL146" i="3" s="1"/>
  <c r="AL151" i="3" a="1"/>
  <c r="AL151" i="3" s="1"/>
  <c r="AL188" i="3" a="1"/>
  <c r="AL188" i="3" s="1"/>
  <c r="AL160" i="3" a="1"/>
  <c r="AL160" i="3" s="1"/>
  <c r="AL168" i="3" a="1"/>
  <c r="AL168" i="3" s="1"/>
  <c r="AL172" i="3" a="1"/>
  <c r="AL172" i="3" s="1"/>
  <c r="AL176" i="3" a="1"/>
  <c r="AL176" i="3" s="1"/>
  <c r="AL180" i="3" a="1"/>
  <c r="AL180" i="3" s="1"/>
  <c r="AL184" i="3" a="1"/>
  <c r="AL184" i="3" s="1"/>
  <c r="AL192" i="3" a="1"/>
  <c r="AL192" i="3" s="1"/>
  <c r="AL196" i="3" a="1"/>
  <c r="AL196" i="3" s="1"/>
  <c r="AL200" i="3" a="1"/>
  <c r="AL200" i="3" s="1"/>
  <c r="AL134" i="3" a="1"/>
  <c r="AL134" i="3" s="1"/>
  <c r="AL150" i="3" a="1"/>
  <c r="AL150" i="3" s="1"/>
  <c r="AL164" i="3" a="1"/>
  <c r="AL164" i="3" s="1"/>
  <c r="AL181" i="3" a="1"/>
  <c r="AL181" i="3" s="1"/>
  <c r="AL252" i="3" a="1"/>
  <c r="AL252" i="3" s="1"/>
  <c r="AL261" i="3" a="1"/>
  <c r="AL261" i="3" s="1"/>
  <c r="AL206" i="3" a="1"/>
  <c r="AL206" i="3" s="1"/>
  <c r="AL208" i="3" a="1"/>
  <c r="AL208" i="3" s="1"/>
  <c r="AL211" i="3" a="1"/>
  <c r="AL211" i="3" s="1"/>
  <c r="AL214" i="3" a="1"/>
  <c r="AL214" i="3" s="1"/>
  <c r="AL217" i="3" a="1"/>
  <c r="AL217" i="3" s="1"/>
  <c r="AL223" i="3" a="1"/>
  <c r="AL223" i="3" s="1"/>
  <c r="AL226" i="3" a="1"/>
  <c r="AL226" i="3" s="1"/>
  <c r="AL232" i="3" a="1"/>
  <c r="AL232" i="3" s="1"/>
  <c r="AL235" i="3" a="1"/>
  <c r="AL235" i="3" s="1"/>
  <c r="AL241" i="3" a="1"/>
  <c r="AL241" i="3" s="1"/>
  <c r="AL244" i="3" a="1"/>
  <c r="AL244" i="3" s="1"/>
  <c r="AL253" i="3" a="1"/>
  <c r="AL253" i="3" s="1"/>
  <c r="AL197" i="3" a="1"/>
  <c r="AL197" i="3" s="1"/>
  <c r="AL201" i="3" a="1"/>
  <c r="AL201" i="3" s="1"/>
  <c r="AL220" i="3" a="1"/>
  <c r="AL220" i="3" s="1"/>
  <c r="AL229" i="3" a="1"/>
  <c r="AL229" i="3" s="1"/>
  <c r="AL238" i="3" a="1"/>
  <c r="AL238" i="3" s="1"/>
  <c r="AL247" i="3" a="1"/>
  <c r="AL247" i="3" s="1"/>
  <c r="AL250" i="3" a="1"/>
  <c r="AL250" i="3" s="1"/>
  <c r="AL256" i="3" a="1"/>
  <c r="AL256" i="3" s="1"/>
  <c r="AL259" i="3" a="1"/>
  <c r="AL259" i="3" s="1"/>
  <c r="AL262" i="3" a="1"/>
  <c r="AL262" i="3" s="1"/>
  <c r="AL205" i="3" a="1"/>
  <c r="AL205" i="3" s="1"/>
  <c r="AL209" i="3" a="1"/>
  <c r="AL209" i="3" s="1"/>
  <c r="AL212" i="3" a="1"/>
  <c r="AL212" i="3" s="1"/>
  <c r="AL221" i="3" a="1"/>
  <c r="AL221" i="3" s="1"/>
  <c r="AL215" i="3" a="1"/>
  <c r="AL215" i="3" s="1"/>
  <c r="AL218" i="3" a="1"/>
  <c r="AL218" i="3" s="1"/>
  <c r="AL224" i="3" a="1"/>
  <c r="AL224" i="3" s="1"/>
  <c r="AL227" i="3" a="1"/>
  <c r="AL227" i="3" s="1"/>
  <c r="AL230" i="3" a="1"/>
  <c r="AL230" i="3" s="1"/>
  <c r="AL233" i="3" a="1"/>
  <c r="AL233" i="3" s="1"/>
  <c r="AL239" i="3" a="1"/>
  <c r="AL239" i="3" s="1"/>
  <c r="AL242" i="3" a="1"/>
  <c r="AL242" i="3" s="1"/>
  <c r="AL248" i="3" a="1"/>
  <c r="AL248" i="3" s="1"/>
  <c r="AL251" i="3" a="1"/>
  <c r="AL251" i="3" s="1"/>
  <c r="AL257" i="3" a="1"/>
  <c r="AL257" i="3" s="1"/>
  <c r="AL260" i="3" a="1"/>
  <c r="AL260" i="3" s="1"/>
  <c r="AL202" i="3" a="1"/>
  <c r="AL202" i="3" s="1"/>
  <c r="AL236" i="3" a="1"/>
  <c r="AL236" i="3" s="1"/>
  <c r="AL245" i="3" a="1"/>
  <c r="AL245" i="3" s="1"/>
  <c r="AL254" i="3" a="1"/>
  <c r="AL254" i="3" s="1"/>
  <c r="AL204" i="3" a="1"/>
  <c r="AL204" i="3" s="1"/>
  <c r="AL207" i="3" a="1"/>
  <c r="AL207" i="3" s="1"/>
  <c r="AL210" i="3" a="1"/>
  <c r="AL210" i="3" s="1"/>
  <c r="AL216" i="3" a="1"/>
  <c r="AL216" i="3" s="1"/>
  <c r="AL219" i="3" a="1"/>
  <c r="AL219" i="3" s="1"/>
  <c r="AL225" i="3" a="1"/>
  <c r="AL225" i="3" s="1"/>
  <c r="AL228" i="3" a="1"/>
  <c r="AL228" i="3" s="1"/>
  <c r="AL237" i="3" a="1"/>
  <c r="AL237" i="3" s="1"/>
  <c r="AL213" i="3" a="1"/>
  <c r="AL213" i="3" s="1"/>
  <c r="AL222" i="3" a="1"/>
  <c r="AL222" i="3" s="1"/>
  <c r="AL231" i="3" a="1"/>
  <c r="AL231" i="3" s="1"/>
  <c r="AL234" i="3" a="1"/>
  <c r="AL234" i="3" s="1"/>
  <c r="AL240" i="3" a="1"/>
  <c r="AL240" i="3" s="1"/>
  <c r="AL243" i="3" a="1"/>
  <c r="AL243" i="3" s="1"/>
  <c r="AL246" i="3" a="1"/>
  <c r="AL246" i="3" s="1"/>
  <c r="AL249" i="3" a="1"/>
  <c r="AL249" i="3" s="1"/>
  <c r="AL255" i="3" a="1"/>
  <c r="AL255" i="3" s="1"/>
  <c r="AL274" i="3" a="1"/>
  <c r="AL274" i="3" s="1"/>
  <c r="AL289" i="3" a="1"/>
  <c r="AL289" i="3" s="1"/>
  <c r="AL294" i="3" a="1"/>
  <c r="AL294" i="3" s="1"/>
  <c r="AL299" i="3" a="1"/>
  <c r="AL299" i="3" s="1"/>
  <c r="AL304" i="3" a="1"/>
  <c r="AL304" i="3" s="1"/>
  <c r="AL314" i="3" a="1"/>
  <c r="AL314" i="3" s="1"/>
  <c r="AL264" i="3" a="1"/>
  <c r="AL264" i="3" s="1"/>
  <c r="AL267" i="3" a="1"/>
  <c r="AL267" i="3" s="1"/>
  <c r="AL277" i="3" a="1"/>
  <c r="AL277" i="3" s="1"/>
  <c r="AL282" i="3" a="1"/>
  <c r="AL282" i="3" s="1"/>
  <c r="AL287" i="3" a="1"/>
  <c r="AL287" i="3" s="1"/>
  <c r="AL292" i="3" a="1"/>
  <c r="AL292" i="3" s="1"/>
  <c r="AL309" i="3" a="1"/>
  <c r="AL309" i="3" s="1"/>
  <c r="AL270" i="3" a="1"/>
  <c r="AL270" i="3" s="1"/>
  <c r="AL280" i="3" a="1"/>
  <c r="AL280" i="3" s="1"/>
  <c r="AL297" i="3" a="1"/>
  <c r="AL297" i="3" s="1"/>
  <c r="AL302" i="3" a="1"/>
  <c r="AL302" i="3" s="1"/>
  <c r="AL307" i="3" a="1"/>
  <c r="AL307" i="3" s="1"/>
  <c r="AL312" i="3" a="1"/>
  <c r="AL312" i="3" s="1"/>
  <c r="AL6" i="3" a="1"/>
  <c r="AL6" i="3" s="1"/>
  <c r="AL317" i="3" a="1"/>
  <c r="AL317" i="3" s="1"/>
  <c r="AL273" i="3" a="1"/>
  <c r="AL273" i="3" s="1"/>
  <c r="AL276" i="3" a="1"/>
  <c r="AL276" i="3" s="1"/>
  <c r="AL285" i="3" a="1"/>
  <c r="AL285" i="3" s="1"/>
  <c r="AL290" i="3" a="1"/>
  <c r="AL290" i="3" s="1"/>
  <c r="AL295" i="3" a="1"/>
  <c r="AL295" i="3" s="1"/>
  <c r="AL300" i="3" a="1"/>
  <c r="AL300" i="3" s="1"/>
  <c r="AL265" i="3" a="1"/>
  <c r="AL265" i="3" s="1"/>
  <c r="AL278" i="3" a="1"/>
  <c r="AL278" i="3" s="1"/>
  <c r="AL283" i="3" a="1"/>
  <c r="AL283" i="3" s="1"/>
  <c r="AL288" i="3" a="1"/>
  <c r="AL288" i="3" s="1"/>
  <c r="AL305" i="3" a="1"/>
  <c r="AL305" i="3" s="1"/>
  <c r="AL310" i="3" a="1"/>
  <c r="AL310" i="3" s="1"/>
  <c r="AL315" i="3" a="1"/>
  <c r="AL315" i="3" s="1"/>
  <c r="AL269" i="3" a="1"/>
  <c r="AL269" i="3" s="1"/>
  <c r="AL272" i="3" a="1"/>
  <c r="AL272" i="3" s="1"/>
  <c r="AL275" i="3" a="1"/>
  <c r="AL275" i="3" s="1"/>
  <c r="AL293" i="3" a="1"/>
  <c r="AL293" i="3" s="1"/>
  <c r="AL298" i="3" a="1"/>
  <c r="AL298" i="3" s="1"/>
  <c r="AL303" i="3" a="1"/>
  <c r="AL303" i="3" s="1"/>
  <c r="AL308" i="3" a="1"/>
  <c r="AL308" i="3" s="1"/>
  <c r="AL258" i="3" a="1"/>
  <c r="AL258" i="3" s="1"/>
  <c r="AL281" i="3" a="1"/>
  <c r="AL281" i="3" s="1"/>
  <c r="AL286" i="3" a="1"/>
  <c r="AL286" i="3" s="1"/>
  <c r="AL291" i="3" a="1"/>
  <c r="AL291" i="3" s="1"/>
  <c r="AL296" i="3" a="1"/>
  <c r="AL296" i="3" s="1"/>
  <c r="AL313" i="3" a="1"/>
  <c r="AL313" i="3" s="1"/>
  <c r="AL318" i="3" a="1"/>
  <c r="AL318" i="3" s="1"/>
  <c r="AL316" i="3" a="1"/>
  <c r="AL316" i="3" s="1"/>
  <c r="AL263" i="3" a="1"/>
  <c r="AL263" i="3" s="1"/>
  <c r="AL266" i="3" a="1"/>
  <c r="AL266" i="3" s="1"/>
  <c r="AL268" i="3" a="1"/>
  <c r="AL268" i="3" s="1"/>
  <c r="AL271" i="3" a="1"/>
  <c r="AL271" i="3" s="1"/>
  <c r="AL279" i="3" a="1"/>
  <c r="AL279" i="3" s="1"/>
  <c r="AL284" i="3" a="1"/>
  <c r="AL284" i="3" s="1"/>
  <c r="AL301" i="3" a="1"/>
  <c r="AL301" i="3" s="1"/>
  <c r="AL306" i="3" a="1"/>
  <c r="AL306" i="3" s="1"/>
  <c r="AL311" i="3" a="1"/>
  <c r="AL311" i="3" s="1"/>
  <c r="AL7" i="3" a="1"/>
  <c r="AL7" i="3" s="1"/>
  <c r="AF9" i="3" a="1"/>
  <c r="AF9" i="3" s="1"/>
  <c r="AF25" i="3" a="1"/>
  <c r="AF25" i="3" s="1"/>
  <c r="AF41" i="3" a="1"/>
  <c r="AF41" i="3" s="1"/>
  <c r="AF57" i="3" a="1"/>
  <c r="AF57" i="3" s="1"/>
  <c r="AF73" i="3" a="1"/>
  <c r="AF73" i="3" s="1"/>
  <c r="AF89" i="3" a="1"/>
  <c r="AF89" i="3" s="1"/>
  <c r="AF105" i="3" a="1"/>
  <c r="AF105" i="3" s="1"/>
  <c r="AF121" i="3" a="1"/>
  <c r="AF121" i="3" s="1"/>
  <c r="AS10" i="7" s="1"/>
  <c r="AF137" i="3" a="1"/>
  <c r="AF137" i="3" s="1"/>
  <c r="AS26" i="7" s="1"/>
  <c r="AF143" i="3" a="1"/>
  <c r="AF143" i="3" s="1"/>
  <c r="AS32" i="7" s="1"/>
  <c r="AF149" i="3" a="1"/>
  <c r="AF149" i="3" s="1"/>
  <c r="AS38" i="7" s="1"/>
  <c r="AF162" i="3" a="1"/>
  <c r="AF162" i="3" s="1"/>
  <c r="AS51" i="7" s="1"/>
  <c r="AF168" i="3" a="1"/>
  <c r="AF168" i="3" s="1"/>
  <c r="AS57" i="7" s="1"/>
  <c r="AF175" i="3" a="1"/>
  <c r="AF175" i="3" s="1"/>
  <c r="AS64" i="7" s="1"/>
  <c r="AF181" i="3" a="1"/>
  <c r="AF181" i="3" s="1"/>
  <c r="AS70" i="7" s="1"/>
  <c r="AF10" i="3" a="1"/>
  <c r="AF10" i="3" s="1"/>
  <c r="AF15" i="3" a="1"/>
  <c r="AF15" i="3" s="1"/>
  <c r="AF20" i="3" a="1"/>
  <c r="AF20" i="3" s="1"/>
  <c r="AF26" i="3" a="1"/>
  <c r="AF26" i="3" s="1"/>
  <c r="AF31" i="3" a="1"/>
  <c r="AF31" i="3" s="1"/>
  <c r="AF36" i="3" a="1"/>
  <c r="AF36" i="3" s="1"/>
  <c r="AF42" i="3" a="1"/>
  <c r="AF42" i="3" s="1"/>
  <c r="AF47" i="3" a="1"/>
  <c r="AF47" i="3" s="1"/>
  <c r="AF52" i="3" a="1"/>
  <c r="AF52" i="3" s="1"/>
  <c r="AF58" i="3" a="1"/>
  <c r="AF58" i="3" s="1"/>
  <c r="AF63" i="3" a="1"/>
  <c r="AF63" i="3" s="1"/>
  <c r="AF68" i="3" a="1"/>
  <c r="AF68" i="3" s="1"/>
  <c r="AF74" i="3" a="1"/>
  <c r="AF74" i="3" s="1"/>
  <c r="AF79" i="3" a="1"/>
  <c r="AF79" i="3" s="1"/>
  <c r="AF84" i="3" a="1"/>
  <c r="AF84" i="3" s="1"/>
  <c r="AF90" i="3" a="1"/>
  <c r="AF90" i="3" s="1"/>
  <c r="AF95" i="3" a="1"/>
  <c r="AF95" i="3" s="1"/>
  <c r="AF100" i="3" a="1"/>
  <c r="AF100" i="3" s="1"/>
  <c r="AF106" i="3" a="1"/>
  <c r="AF106" i="3" s="1"/>
  <c r="AF111" i="3" a="1"/>
  <c r="AF111" i="3" s="1"/>
  <c r="AF116" i="3" a="1"/>
  <c r="AF116" i="3" s="1"/>
  <c r="AS5" i="7" s="1"/>
  <c r="AF21" i="3" a="1"/>
  <c r="AF21" i="3" s="1"/>
  <c r="AF37" i="3" a="1"/>
  <c r="AF37" i="3" s="1"/>
  <c r="AF53" i="3" a="1"/>
  <c r="AF53" i="3" s="1"/>
  <c r="AF69" i="3" a="1"/>
  <c r="AF69" i="3" s="1"/>
  <c r="AF85" i="3" a="1"/>
  <c r="AF85" i="3" s="1"/>
  <c r="AF101" i="3" a="1"/>
  <c r="AF101" i="3" s="1"/>
  <c r="AF117" i="3" a="1"/>
  <c r="AF117" i="3" s="1"/>
  <c r="AS6" i="7" s="1"/>
  <c r="AF133" i="3" a="1"/>
  <c r="AF133" i="3" s="1"/>
  <c r="AS22" i="7" s="1"/>
  <c r="AF144" i="3" a="1"/>
  <c r="AF144" i="3" s="1"/>
  <c r="AS33" i="7" s="1"/>
  <c r="AF151" i="3" a="1"/>
  <c r="AF151" i="3" s="1"/>
  <c r="AS40" i="7" s="1"/>
  <c r="AF157" i="3" a="1"/>
  <c r="AF157" i="3" s="1"/>
  <c r="AS46" i="7" s="1"/>
  <c r="AF170" i="3" a="1"/>
  <c r="AF170" i="3" s="1"/>
  <c r="AS59" i="7" s="1"/>
  <c r="AF176" i="3" a="1"/>
  <c r="AF176" i="3" s="1"/>
  <c r="AS65" i="7" s="1"/>
  <c r="AF183" i="3" a="1"/>
  <c r="AF183" i="3" s="1"/>
  <c r="AS72" i="7" s="1"/>
  <c r="AF189" i="3" a="1"/>
  <c r="AF189" i="3" s="1"/>
  <c r="AS78" i="7" s="1"/>
  <c r="AF202" i="3" a="1"/>
  <c r="AF202" i="3" s="1"/>
  <c r="AS91" i="7" s="1"/>
  <c r="AF208" i="3" a="1"/>
  <c r="AF208" i="3" s="1"/>
  <c r="AS97" i="7" s="1"/>
  <c r="AF215" i="3" a="1"/>
  <c r="AF215" i="3" s="1"/>
  <c r="AS104" i="7" s="1"/>
  <c r="AF221" i="3" a="1"/>
  <c r="AF221" i="3" s="1"/>
  <c r="AS110" i="7" s="1"/>
  <c r="AF11" i="3" a="1"/>
  <c r="AF11" i="3" s="1"/>
  <c r="AF16" i="3" a="1"/>
  <c r="AF16" i="3" s="1"/>
  <c r="AF22" i="3" a="1"/>
  <c r="AF22" i="3" s="1"/>
  <c r="AF27" i="3" a="1"/>
  <c r="AF27" i="3" s="1"/>
  <c r="AF32" i="3" a="1"/>
  <c r="AF32" i="3" s="1"/>
  <c r="AF38" i="3" a="1"/>
  <c r="AF38" i="3" s="1"/>
  <c r="AF43" i="3" a="1"/>
  <c r="AF43" i="3" s="1"/>
  <c r="AF48" i="3" a="1"/>
  <c r="AF48" i="3" s="1"/>
  <c r="AF54" i="3" a="1"/>
  <c r="AF54" i="3" s="1"/>
  <c r="AF59" i="3" a="1"/>
  <c r="AF59" i="3" s="1"/>
  <c r="AF64" i="3" a="1"/>
  <c r="AF64" i="3" s="1"/>
  <c r="AF70" i="3" a="1"/>
  <c r="AF70" i="3" s="1"/>
  <c r="AF75" i="3" a="1"/>
  <c r="AF75" i="3" s="1"/>
  <c r="AF80" i="3" a="1"/>
  <c r="AF80" i="3" s="1"/>
  <c r="AF86" i="3" a="1"/>
  <c r="AF86" i="3" s="1"/>
  <c r="AF91" i="3" a="1"/>
  <c r="AF91" i="3" s="1"/>
  <c r="AF96" i="3" a="1"/>
  <c r="AF96" i="3" s="1"/>
  <c r="AF102" i="3" a="1"/>
  <c r="AF102" i="3" s="1"/>
  <c r="AF107" i="3" a="1"/>
  <c r="AF107" i="3" s="1"/>
  <c r="AF112" i="3" a="1"/>
  <c r="AF112" i="3" s="1"/>
  <c r="AF118" i="3" a="1"/>
  <c r="AF118" i="3" s="1"/>
  <c r="AS7" i="7" s="1"/>
  <c r="AF17" i="3" a="1"/>
  <c r="AF17" i="3" s="1"/>
  <c r="AF33" i="3" a="1"/>
  <c r="AF33" i="3" s="1"/>
  <c r="AF49" i="3" a="1"/>
  <c r="AF49" i="3" s="1"/>
  <c r="AF65" i="3" a="1"/>
  <c r="AF65" i="3" s="1"/>
  <c r="AF81" i="3" a="1"/>
  <c r="AF81" i="3" s="1"/>
  <c r="AF97" i="3" a="1"/>
  <c r="AF97" i="3" s="1"/>
  <c r="AF113" i="3" a="1"/>
  <c r="AF113" i="3" s="1"/>
  <c r="AF129" i="3" a="1"/>
  <c r="AF129" i="3" s="1"/>
  <c r="AS18" i="7" s="1"/>
  <c r="AF146" i="3" a="1"/>
  <c r="AF146" i="3" s="1"/>
  <c r="AS35" i="7" s="1"/>
  <c r="AF152" i="3" a="1"/>
  <c r="AF152" i="3" s="1"/>
  <c r="AS41" i="7" s="1"/>
  <c r="AF159" i="3" a="1"/>
  <c r="AF159" i="3" s="1"/>
  <c r="AS48" i="7" s="1"/>
  <c r="AF165" i="3" a="1"/>
  <c r="AF165" i="3" s="1"/>
  <c r="AS54" i="7" s="1"/>
  <c r="AF178" i="3" a="1"/>
  <c r="AF178" i="3" s="1"/>
  <c r="AS67" i="7" s="1"/>
  <c r="AF184" i="3" a="1"/>
  <c r="AF184" i="3" s="1"/>
  <c r="AS73" i="7" s="1"/>
  <c r="AF191" i="3" a="1"/>
  <c r="AF191" i="3" s="1"/>
  <c r="AS80" i="7" s="1"/>
  <c r="AF197" i="3" a="1"/>
  <c r="AF197" i="3" s="1"/>
  <c r="AS86" i="7" s="1"/>
  <c r="AF210" i="3" a="1"/>
  <c r="AF210" i="3" s="1"/>
  <c r="AS99" i="7" s="1"/>
  <c r="AF216" i="3" a="1"/>
  <c r="AF216" i="3" s="1"/>
  <c r="AS105" i="7" s="1"/>
  <c r="AF223" i="3" a="1"/>
  <c r="AF223" i="3" s="1"/>
  <c r="AF229" i="3" a="1"/>
  <c r="AF229" i="3" s="1"/>
  <c r="AF12" i="3" a="1"/>
  <c r="AF12" i="3" s="1"/>
  <c r="AF18" i="3" a="1"/>
  <c r="AF18" i="3" s="1"/>
  <c r="AF23" i="3" a="1"/>
  <c r="AF23" i="3" s="1"/>
  <c r="AF28" i="3" a="1"/>
  <c r="AF28" i="3" s="1"/>
  <c r="AF34" i="3" a="1"/>
  <c r="AF34" i="3" s="1"/>
  <c r="AF39" i="3" a="1"/>
  <c r="AF39" i="3" s="1"/>
  <c r="AF44" i="3" a="1"/>
  <c r="AF44" i="3" s="1"/>
  <c r="AF50" i="3" a="1"/>
  <c r="AF50" i="3" s="1"/>
  <c r="AF55" i="3" a="1"/>
  <c r="AF55" i="3" s="1"/>
  <c r="AF60" i="3" a="1"/>
  <c r="AF60" i="3" s="1"/>
  <c r="AF66" i="3" a="1"/>
  <c r="AF66" i="3" s="1"/>
  <c r="AF71" i="3" a="1"/>
  <c r="AF71" i="3" s="1"/>
  <c r="AF76" i="3" a="1"/>
  <c r="AF76" i="3" s="1"/>
  <c r="AF82" i="3" a="1"/>
  <c r="AF82" i="3" s="1"/>
  <c r="AF13" i="3" a="1"/>
  <c r="AF13" i="3" s="1"/>
  <c r="AF29" i="3" a="1"/>
  <c r="AF29" i="3" s="1"/>
  <c r="AF45" i="3" a="1"/>
  <c r="AF45" i="3" s="1"/>
  <c r="AF61" i="3" a="1"/>
  <c r="AF61" i="3" s="1"/>
  <c r="AF77" i="3" a="1"/>
  <c r="AF77" i="3" s="1"/>
  <c r="AF93" i="3" a="1"/>
  <c r="AF93" i="3" s="1"/>
  <c r="AF109" i="3" a="1"/>
  <c r="AF109" i="3" s="1"/>
  <c r="AF125" i="3" a="1"/>
  <c r="AF125" i="3" s="1"/>
  <c r="AS14" i="7" s="1"/>
  <c r="AF141" i="3" a="1"/>
  <c r="AF141" i="3" s="1"/>
  <c r="AS30" i="7" s="1"/>
  <c r="AF154" i="3" a="1"/>
  <c r="AF154" i="3" s="1"/>
  <c r="AS43" i="7" s="1"/>
  <c r="AF160" i="3" a="1"/>
  <c r="AF160" i="3" s="1"/>
  <c r="AS49" i="7" s="1"/>
  <c r="AF167" i="3" a="1"/>
  <c r="AF167" i="3" s="1"/>
  <c r="AS56" i="7" s="1"/>
  <c r="AF173" i="3" a="1"/>
  <c r="AF173" i="3" s="1"/>
  <c r="AS62" i="7" s="1"/>
  <c r="AF186" i="3" a="1"/>
  <c r="AF186" i="3" s="1"/>
  <c r="AS75" i="7" s="1"/>
  <c r="AF192" i="3" a="1"/>
  <c r="AF192" i="3" s="1"/>
  <c r="AS81" i="7" s="1"/>
  <c r="AF199" i="3" a="1"/>
  <c r="AF199" i="3" s="1"/>
  <c r="AS88" i="7" s="1"/>
  <c r="AF205" i="3" a="1"/>
  <c r="AF205" i="3" s="1"/>
  <c r="AS94" i="7" s="1"/>
  <c r="AF218" i="3" a="1"/>
  <c r="AF218" i="3" s="1"/>
  <c r="AS107" i="7" s="1"/>
  <c r="AF224" i="3" a="1"/>
  <c r="AF224" i="3" s="1"/>
  <c r="AF8" i="3" a="1"/>
  <c r="AF8" i="3" s="1"/>
  <c r="AF14" i="3" a="1"/>
  <c r="AF14" i="3" s="1"/>
  <c r="AF19" i="3" a="1"/>
  <c r="AF19" i="3" s="1"/>
  <c r="AF24" i="3" a="1"/>
  <c r="AF24" i="3" s="1"/>
  <c r="AF30" i="3" a="1"/>
  <c r="AF30" i="3" s="1"/>
  <c r="AF35" i="3" a="1"/>
  <c r="AF35" i="3" s="1"/>
  <c r="AF40" i="3" a="1"/>
  <c r="AF40" i="3" s="1"/>
  <c r="AF46" i="3" a="1"/>
  <c r="AF46" i="3" s="1"/>
  <c r="AF51" i="3" a="1"/>
  <c r="AF51" i="3" s="1"/>
  <c r="AF56" i="3" a="1"/>
  <c r="AF56" i="3" s="1"/>
  <c r="AF92" i="3" a="1"/>
  <c r="AF92" i="3" s="1"/>
  <c r="AF114" i="3" a="1"/>
  <c r="AF114" i="3" s="1"/>
  <c r="AF127" i="3" a="1"/>
  <c r="AF127" i="3" s="1"/>
  <c r="AS16" i="7" s="1"/>
  <c r="AF138" i="3" a="1"/>
  <c r="AF138" i="3" s="1"/>
  <c r="AS27" i="7" s="1"/>
  <c r="AF150" i="3" a="1"/>
  <c r="AF150" i="3" s="1"/>
  <c r="AS39" i="7" s="1"/>
  <c r="AF163" i="3" a="1"/>
  <c r="AF163" i="3" s="1"/>
  <c r="AS52" i="7" s="1"/>
  <c r="AF198" i="3" a="1"/>
  <c r="AF198" i="3" s="1"/>
  <c r="AS87" i="7" s="1"/>
  <c r="AF219" i="3" a="1"/>
  <c r="AF219" i="3" s="1"/>
  <c r="AS108" i="7" s="1"/>
  <c r="AF228" i="3" a="1"/>
  <c r="AF228" i="3" s="1"/>
  <c r="AF242" i="3" a="1"/>
  <c r="AF242" i="3" s="1"/>
  <c r="AF248" i="3" a="1"/>
  <c r="AF248" i="3" s="1"/>
  <c r="AF255" i="3" a="1"/>
  <c r="AF255" i="3" s="1"/>
  <c r="AF261" i="3" a="1"/>
  <c r="AF261" i="3" s="1"/>
  <c r="AF274" i="3" a="1"/>
  <c r="AF274" i="3" s="1"/>
  <c r="AF280" i="3" a="1"/>
  <c r="AF280" i="3" s="1"/>
  <c r="AF287" i="3" a="1"/>
  <c r="AF287" i="3" s="1"/>
  <c r="AF293" i="3" a="1"/>
  <c r="AF293" i="3" s="1"/>
  <c r="AF306" i="3" a="1"/>
  <c r="AF306" i="3" s="1"/>
  <c r="AF314" i="3" a="1"/>
  <c r="AF314" i="3" s="1"/>
  <c r="AF301" i="3" a="1"/>
  <c r="AF301" i="3" s="1"/>
  <c r="AF83" i="3" a="1"/>
  <c r="AF83" i="3" s="1"/>
  <c r="AF171" i="3" a="1"/>
  <c r="AF171" i="3" s="1"/>
  <c r="AS60" i="7" s="1"/>
  <c r="AF252" i="3" a="1"/>
  <c r="AF252" i="3" s="1"/>
  <c r="AF311" i="3" a="1"/>
  <c r="AF311" i="3" s="1"/>
  <c r="AF62" i="3" a="1"/>
  <c r="AF62" i="3" s="1"/>
  <c r="AF94" i="3" a="1"/>
  <c r="AF94" i="3" s="1"/>
  <c r="AF115" i="3" a="1"/>
  <c r="AF115" i="3" s="1"/>
  <c r="AS4" i="7" s="1"/>
  <c r="AF128" i="3" a="1"/>
  <c r="AF128" i="3" s="1"/>
  <c r="AS17" i="7" s="1"/>
  <c r="AF139" i="3" a="1"/>
  <c r="AF139" i="3" s="1"/>
  <c r="AS28" i="7" s="1"/>
  <c r="AF164" i="3" a="1"/>
  <c r="AF164" i="3" s="1"/>
  <c r="AS53" i="7" s="1"/>
  <c r="AF177" i="3" a="1"/>
  <c r="AF177" i="3" s="1"/>
  <c r="AS66" i="7" s="1"/>
  <c r="AF188" i="3" a="1"/>
  <c r="AF188" i="3" s="1"/>
  <c r="AS77" i="7" s="1"/>
  <c r="AF209" i="3" a="1"/>
  <c r="AF209" i="3" s="1"/>
  <c r="AS98" i="7" s="1"/>
  <c r="AF230" i="3" a="1"/>
  <c r="AF230" i="3" s="1"/>
  <c r="AF236" i="3" a="1"/>
  <c r="AF236" i="3" s="1"/>
  <c r="AF243" i="3" a="1"/>
  <c r="AF243" i="3" s="1"/>
  <c r="AF249" i="3" a="1"/>
  <c r="AF249" i="3" s="1"/>
  <c r="AF262" i="3" a="1"/>
  <c r="AF262" i="3" s="1"/>
  <c r="AF268" i="3" a="1"/>
  <c r="AF268" i="3" s="1"/>
  <c r="AF275" i="3" a="1"/>
  <c r="AF275" i="3" s="1"/>
  <c r="AF281" i="3" a="1"/>
  <c r="AF281" i="3" s="1"/>
  <c r="AF294" i="3" a="1"/>
  <c r="AF294" i="3" s="1"/>
  <c r="AF300" i="3" a="1"/>
  <c r="AF300" i="3" s="1"/>
  <c r="AF307" i="3" a="1"/>
  <c r="AF307" i="3" s="1"/>
  <c r="AF315" i="3" a="1"/>
  <c r="AF315" i="3" s="1"/>
  <c r="AF316" i="3" a="1"/>
  <c r="AF316" i="3" s="1"/>
  <c r="AF134" i="3" a="1"/>
  <c r="AF134" i="3" s="1"/>
  <c r="AS23" i="7" s="1"/>
  <c r="AF214" i="3" a="1"/>
  <c r="AF214" i="3" s="1"/>
  <c r="AS103" i="7" s="1"/>
  <c r="AF284" i="3" a="1"/>
  <c r="AF284" i="3" s="1"/>
  <c r="AF67" i="3" a="1"/>
  <c r="AF67" i="3" s="1"/>
  <c r="AF98" i="3" a="1"/>
  <c r="AF98" i="3" s="1"/>
  <c r="AF119" i="3" a="1"/>
  <c r="AF119" i="3" s="1"/>
  <c r="AS8" i="7" s="1"/>
  <c r="AF130" i="3" a="1"/>
  <c r="AF130" i="3" s="1"/>
  <c r="AS19" i="7" s="1"/>
  <c r="AF140" i="3" a="1"/>
  <c r="AF140" i="3" s="1"/>
  <c r="AS29" i="7" s="1"/>
  <c r="AF153" i="3" a="1"/>
  <c r="AF153" i="3" s="1"/>
  <c r="AS42" i="7" s="1"/>
  <c r="AF166" i="3" a="1"/>
  <c r="AF166" i="3" s="1"/>
  <c r="AS55" i="7" s="1"/>
  <c r="AF179" i="3" a="1"/>
  <c r="AF179" i="3" s="1"/>
  <c r="AS68" i="7" s="1"/>
  <c r="AF190" i="3" a="1"/>
  <c r="AF190" i="3" s="1"/>
  <c r="AS79" i="7" s="1"/>
  <c r="AF200" i="3" a="1"/>
  <c r="AF200" i="3" s="1"/>
  <c r="AS89" i="7" s="1"/>
  <c r="AF211" i="3" a="1"/>
  <c r="AF211" i="3" s="1"/>
  <c r="AS100" i="7" s="1"/>
  <c r="AF220" i="3" a="1"/>
  <c r="AF220" i="3" s="1"/>
  <c r="AS109" i="7" s="1"/>
  <c r="AF231" i="3" a="1"/>
  <c r="AF231" i="3" s="1"/>
  <c r="AF237" i="3" a="1"/>
  <c r="AF237" i="3" s="1"/>
  <c r="AF250" i="3" a="1"/>
  <c r="AF250" i="3" s="1"/>
  <c r="AF256" i="3" a="1"/>
  <c r="AF256" i="3" s="1"/>
  <c r="AF263" i="3" a="1"/>
  <c r="AF263" i="3" s="1"/>
  <c r="AF269" i="3" a="1"/>
  <c r="AF269" i="3" s="1"/>
  <c r="AF282" i="3" a="1"/>
  <c r="AF282" i="3" s="1"/>
  <c r="AF288" i="3" a="1"/>
  <c r="AF288" i="3" s="1"/>
  <c r="AF295" i="3" a="1"/>
  <c r="AF295" i="3" s="1"/>
  <c r="AF308" i="3" a="1"/>
  <c r="AF308" i="3" s="1"/>
  <c r="AF104" i="3" a="1"/>
  <c r="AF104" i="3" s="1"/>
  <c r="AF204" i="3" a="1"/>
  <c r="AF204" i="3" s="1"/>
  <c r="AS93" i="7" s="1"/>
  <c r="AF265" i="3" a="1"/>
  <c r="AF265" i="3" s="1"/>
  <c r="AF72" i="3" a="1"/>
  <c r="AF72" i="3" s="1"/>
  <c r="AF99" i="3" a="1"/>
  <c r="AF99" i="3" s="1"/>
  <c r="AF120" i="3" a="1"/>
  <c r="AF120" i="3" s="1"/>
  <c r="AS9" i="7" s="1"/>
  <c r="AF131" i="3" a="1"/>
  <c r="AF131" i="3" s="1"/>
  <c r="AS20" i="7" s="1"/>
  <c r="AF142" i="3" a="1"/>
  <c r="AF142" i="3" s="1"/>
  <c r="AS31" i="7" s="1"/>
  <c r="AF155" i="3" a="1"/>
  <c r="AF155" i="3" s="1"/>
  <c r="AS44" i="7" s="1"/>
  <c r="AF180" i="3" a="1"/>
  <c r="AF180" i="3" s="1"/>
  <c r="AS69" i="7" s="1"/>
  <c r="AF201" i="3" a="1"/>
  <c r="AF201" i="3" s="1"/>
  <c r="AS90" i="7" s="1"/>
  <c r="AF212" i="3" a="1"/>
  <c r="AF212" i="3" s="1"/>
  <c r="AS101" i="7" s="1"/>
  <c r="AF222" i="3" a="1"/>
  <c r="AF222" i="3" s="1"/>
  <c r="AS111" i="7" s="1"/>
  <c r="AF238" i="3" a="1"/>
  <c r="AF238" i="3" s="1"/>
  <c r="AF244" i="3" a="1"/>
  <c r="AF244" i="3" s="1"/>
  <c r="AF251" i="3" a="1"/>
  <c r="AF251" i="3" s="1"/>
  <c r="AF257" i="3" a="1"/>
  <c r="AF257" i="3" s="1"/>
  <c r="AF270" i="3" a="1"/>
  <c r="AF270" i="3" s="1"/>
  <c r="AF276" i="3" a="1"/>
  <c r="AF276" i="3" s="1"/>
  <c r="AF283" i="3" a="1"/>
  <c r="AF283" i="3" s="1"/>
  <c r="AF289" i="3" a="1"/>
  <c r="AF289" i="3" s="1"/>
  <c r="AF302" i="3" a="1"/>
  <c r="AF302" i="3" s="1"/>
  <c r="AF309" i="3" a="1"/>
  <c r="AF309" i="3" s="1"/>
  <c r="AF317" i="3" a="1"/>
  <c r="AF317" i="3" s="1"/>
  <c r="AF310" i="3" a="1"/>
  <c r="AF310" i="3" s="1"/>
  <c r="AF145" i="3" a="1"/>
  <c r="AF145" i="3" s="1"/>
  <c r="AS34" i="7" s="1"/>
  <c r="AF225" i="3" a="1"/>
  <c r="AF225" i="3" s="1"/>
  <c r="AF278" i="3" a="1"/>
  <c r="AF278" i="3" s="1"/>
  <c r="AF78" i="3" a="1"/>
  <c r="AF78" i="3" s="1"/>
  <c r="AF103" i="3" a="1"/>
  <c r="AF103" i="3" s="1"/>
  <c r="AF122" i="3" a="1"/>
  <c r="AF122" i="3" s="1"/>
  <c r="AS11" i="7" s="1"/>
  <c r="AF132" i="3" a="1"/>
  <c r="AF132" i="3" s="1"/>
  <c r="AS21" i="7" s="1"/>
  <c r="AF156" i="3" a="1"/>
  <c r="AF156" i="3" s="1"/>
  <c r="AS45" i="7" s="1"/>
  <c r="AF169" i="3" a="1"/>
  <c r="AF169" i="3" s="1"/>
  <c r="AS58" i="7" s="1"/>
  <c r="AF182" i="3" a="1"/>
  <c r="AF182" i="3" s="1"/>
  <c r="AS71" i="7" s="1"/>
  <c r="AF193" i="3" a="1"/>
  <c r="AF193" i="3" s="1"/>
  <c r="AS82" i="7" s="1"/>
  <c r="AF203" i="3" a="1"/>
  <c r="AF203" i="3" s="1"/>
  <c r="AS92" i="7" s="1"/>
  <c r="AF213" i="3" a="1"/>
  <c r="AF213" i="3" s="1"/>
  <c r="AS102" i="7" s="1"/>
  <c r="AF232" i="3" a="1"/>
  <c r="AF232" i="3" s="1"/>
  <c r="AF239" i="3" a="1"/>
  <c r="AF239" i="3" s="1"/>
  <c r="AF245" i="3" a="1"/>
  <c r="AF245" i="3" s="1"/>
  <c r="AF258" i="3" a="1"/>
  <c r="AF258" i="3" s="1"/>
  <c r="AF264" i="3" a="1"/>
  <c r="AF264" i="3" s="1"/>
  <c r="AF271" i="3" a="1"/>
  <c r="AF271" i="3" s="1"/>
  <c r="AF277" i="3" a="1"/>
  <c r="AF277" i="3" s="1"/>
  <c r="AF290" i="3" a="1"/>
  <c r="AF290" i="3" s="1"/>
  <c r="AF296" i="3" a="1"/>
  <c r="AF296" i="3" s="1"/>
  <c r="AF303" i="3" a="1"/>
  <c r="AF303" i="3" s="1"/>
  <c r="AF318" i="3" a="1"/>
  <c r="AF318" i="3" s="1"/>
  <c r="AF123" i="3" a="1"/>
  <c r="AF123" i="3" s="1"/>
  <c r="AS12" i="7" s="1"/>
  <c r="AF233" i="3" a="1"/>
  <c r="AF233" i="3" s="1"/>
  <c r="AF297" i="3" a="1"/>
  <c r="AF297" i="3" s="1"/>
  <c r="AF87" i="3" a="1"/>
  <c r="AF87" i="3" s="1"/>
  <c r="AF108" i="3" a="1"/>
  <c r="AF108" i="3" s="1"/>
  <c r="AF124" i="3" a="1"/>
  <c r="AF124" i="3" s="1"/>
  <c r="AS13" i="7" s="1"/>
  <c r="AF135" i="3" a="1"/>
  <c r="AF135" i="3" s="1"/>
  <c r="AS24" i="7" s="1"/>
  <c r="AF147" i="3" a="1"/>
  <c r="AF147" i="3" s="1"/>
  <c r="AS36" i="7" s="1"/>
  <c r="AF172" i="3" a="1"/>
  <c r="AF172" i="3" s="1"/>
  <c r="AS61" i="7" s="1"/>
  <c r="AF185" i="3" a="1"/>
  <c r="AF185" i="3" s="1"/>
  <c r="AS74" i="7" s="1"/>
  <c r="AF195" i="3" a="1"/>
  <c r="AF195" i="3" s="1"/>
  <c r="AS84" i="7" s="1"/>
  <c r="AF206" i="3" a="1"/>
  <c r="AF206" i="3" s="1"/>
  <c r="AS95" i="7" s="1"/>
  <c r="AF226" i="3" a="1"/>
  <c r="AF226" i="3" s="1"/>
  <c r="AF234" i="3" a="1"/>
  <c r="AF234" i="3" s="1"/>
  <c r="AF240" i="3" a="1"/>
  <c r="AF240" i="3" s="1"/>
  <c r="AF247" i="3" a="1"/>
  <c r="AF247" i="3" s="1"/>
  <c r="AF253" i="3" a="1"/>
  <c r="AF253" i="3" s="1"/>
  <c r="AF266" i="3" a="1"/>
  <c r="AF266" i="3" s="1"/>
  <c r="AF272" i="3" a="1"/>
  <c r="AF272" i="3" s="1"/>
  <c r="AF279" i="3" a="1"/>
  <c r="AF279" i="3" s="1"/>
  <c r="AF285" i="3" a="1"/>
  <c r="AF285" i="3" s="1"/>
  <c r="AF298" i="3" a="1"/>
  <c r="AF298" i="3" s="1"/>
  <c r="AF304" i="3" a="1"/>
  <c r="AF304" i="3" s="1"/>
  <c r="AF312" i="3" a="1"/>
  <c r="AF312" i="3" s="1"/>
  <c r="AF6" i="3" a="1"/>
  <c r="AF6" i="3" s="1"/>
  <c r="AF194" i="3" a="1"/>
  <c r="AF194" i="3" s="1"/>
  <c r="AS83" i="7" s="1"/>
  <c r="AF259" i="3" a="1"/>
  <c r="AF259" i="3" s="1"/>
  <c r="AF7" i="3" a="1"/>
  <c r="AF7" i="3" s="1"/>
  <c r="AF88" i="3" a="1"/>
  <c r="AF88" i="3" s="1"/>
  <c r="AF110" i="3" a="1"/>
  <c r="AF110" i="3" s="1"/>
  <c r="AF126" i="3" a="1"/>
  <c r="AF126" i="3" s="1"/>
  <c r="AS15" i="7" s="1"/>
  <c r="AF136" i="3" a="1"/>
  <c r="AF136" i="3" s="1"/>
  <c r="AS25" i="7" s="1"/>
  <c r="AF148" i="3" a="1"/>
  <c r="AF148" i="3" s="1"/>
  <c r="AS37" i="7" s="1"/>
  <c r="AF161" i="3" a="1"/>
  <c r="AF161" i="3" s="1"/>
  <c r="AS50" i="7" s="1"/>
  <c r="AF174" i="3" a="1"/>
  <c r="AF174" i="3" s="1"/>
  <c r="AS63" i="7" s="1"/>
  <c r="AF187" i="3" a="1"/>
  <c r="AF187" i="3" s="1"/>
  <c r="AS76" i="7" s="1"/>
  <c r="AF196" i="3" a="1"/>
  <c r="AF196" i="3" s="1"/>
  <c r="AS85" i="7" s="1"/>
  <c r="AF207" i="3" a="1"/>
  <c r="AF207" i="3" s="1"/>
  <c r="AS96" i="7" s="1"/>
  <c r="AF217" i="3" a="1"/>
  <c r="AF217" i="3" s="1"/>
  <c r="AS106" i="7" s="1"/>
  <c r="AF227" i="3" a="1"/>
  <c r="AF227" i="3" s="1"/>
  <c r="AF235" i="3" a="1"/>
  <c r="AF235" i="3" s="1"/>
  <c r="AF241" i="3" a="1"/>
  <c r="AF241" i="3" s="1"/>
  <c r="AF254" i="3" a="1"/>
  <c r="AF254" i="3" s="1"/>
  <c r="AF260" i="3" a="1"/>
  <c r="AF260" i="3" s="1"/>
  <c r="AF267" i="3" a="1"/>
  <c r="AF267" i="3" s="1"/>
  <c r="AF273" i="3" a="1"/>
  <c r="AF273" i="3" s="1"/>
  <c r="AF286" i="3" a="1"/>
  <c r="AF286" i="3" s="1"/>
  <c r="AF292" i="3" a="1"/>
  <c r="AF292" i="3" s="1"/>
  <c r="AF299" i="3" a="1"/>
  <c r="AF299" i="3" s="1"/>
  <c r="AF305" i="3" a="1"/>
  <c r="AF305" i="3" s="1"/>
  <c r="AF313" i="3" a="1"/>
  <c r="AF313" i="3" s="1"/>
  <c r="AF158" i="3" a="1"/>
  <c r="AF158" i="3" s="1"/>
  <c r="AS47" i="7" s="1"/>
  <c r="AF246" i="3" a="1"/>
  <c r="AF246" i="3" s="1"/>
  <c r="AF291" i="3" a="1"/>
  <c r="AF291" i="3" s="1"/>
  <c r="AG10" i="3" a="1"/>
  <c r="AG10" i="3" s="1"/>
  <c r="AG17" i="3" a="1"/>
  <c r="AG17" i="3" s="1"/>
  <c r="AG23" i="3" a="1"/>
  <c r="AG23" i="3" s="1"/>
  <c r="AG36" i="3" a="1"/>
  <c r="AG36" i="3" s="1"/>
  <c r="AG42" i="3" a="1"/>
  <c r="AG42" i="3" s="1"/>
  <c r="AG49" i="3" a="1"/>
  <c r="AG49" i="3" s="1"/>
  <c r="AG55" i="3" a="1"/>
  <c r="AG55" i="3" s="1"/>
  <c r="AG68" i="3" a="1"/>
  <c r="AG68" i="3" s="1"/>
  <c r="AG74" i="3" a="1"/>
  <c r="AG74" i="3" s="1"/>
  <c r="AG81" i="3" a="1"/>
  <c r="AG81" i="3" s="1"/>
  <c r="AG87" i="3" a="1"/>
  <c r="AG87" i="3" s="1"/>
  <c r="AG100" i="3" a="1"/>
  <c r="AG100" i="3" s="1"/>
  <c r="AG106" i="3" a="1"/>
  <c r="AG106" i="3" s="1"/>
  <c r="AG113" i="3" a="1"/>
  <c r="AG113" i="3" s="1"/>
  <c r="AG124" i="3" a="1"/>
  <c r="AG124" i="3" s="1"/>
  <c r="AG135" i="3" a="1"/>
  <c r="AG135" i="3" s="1"/>
  <c r="AG140" i="3" a="1"/>
  <c r="AG140" i="3" s="1"/>
  <c r="AG151" i="3" a="1"/>
  <c r="AG151" i="3" s="1"/>
  <c r="AG157" i="3" a="1"/>
  <c r="AG157" i="3" s="1"/>
  <c r="AG170" i="3" a="1"/>
  <c r="AG170" i="3" s="1"/>
  <c r="AG176" i="3" a="1"/>
  <c r="AG176" i="3" s="1"/>
  <c r="AG183" i="3" a="1"/>
  <c r="AG183" i="3" s="1"/>
  <c r="AG189" i="3" a="1"/>
  <c r="AG189" i="3" s="1"/>
  <c r="AG202" i="3" a="1"/>
  <c r="AG202" i="3" s="1"/>
  <c r="AG208" i="3" a="1"/>
  <c r="AG208" i="3" s="1"/>
  <c r="AG215" i="3" a="1"/>
  <c r="AG215" i="3" s="1"/>
  <c r="AG221" i="3" a="1"/>
  <c r="AG221" i="3" s="1"/>
  <c r="AG234" i="3" a="1"/>
  <c r="AG234" i="3" s="1"/>
  <c r="AG240" i="3" a="1"/>
  <c r="AG240" i="3" s="1"/>
  <c r="AG247" i="3" a="1"/>
  <c r="AG247" i="3" s="1"/>
  <c r="AG253" i="3" a="1"/>
  <c r="AG253" i="3" s="1"/>
  <c r="AG266" i="3" a="1"/>
  <c r="AG266" i="3" s="1"/>
  <c r="AG272" i="3" a="1"/>
  <c r="AG272" i="3" s="1"/>
  <c r="AG279" i="3" a="1"/>
  <c r="AG279" i="3" s="1"/>
  <c r="AG285" i="3" a="1"/>
  <c r="AG285" i="3" s="1"/>
  <c r="AG298" i="3" a="1"/>
  <c r="AG298" i="3" s="1"/>
  <c r="AG304" i="3" a="1"/>
  <c r="AG304" i="3" s="1"/>
  <c r="AG311" i="3" a="1"/>
  <c r="AG311" i="3" s="1"/>
  <c r="AG317" i="3" a="1"/>
  <c r="AG317" i="3" s="1"/>
  <c r="AG11" i="3" a="1"/>
  <c r="AG11" i="3" s="1"/>
  <c r="AG24" i="3" a="1"/>
  <c r="AG24" i="3" s="1"/>
  <c r="AG30" i="3" a="1"/>
  <c r="AG30" i="3" s="1"/>
  <c r="AG37" i="3" a="1"/>
  <c r="AG37" i="3" s="1"/>
  <c r="AG43" i="3" a="1"/>
  <c r="AG43" i="3" s="1"/>
  <c r="AG56" i="3" a="1"/>
  <c r="AG56" i="3" s="1"/>
  <c r="AG62" i="3" a="1"/>
  <c r="AG62" i="3" s="1"/>
  <c r="AG69" i="3" a="1"/>
  <c r="AG69" i="3" s="1"/>
  <c r="AG75" i="3" a="1"/>
  <c r="AG75" i="3" s="1"/>
  <c r="AG88" i="3" a="1"/>
  <c r="AG88" i="3" s="1"/>
  <c r="AG94" i="3" a="1"/>
  <c r="AG94" i="3" s="1"/>
  <c r="AG101" i="3" a="1"/>
  <c r="AG101" i="3" s="1"/>
  <c r="AG107" i="3" a="1"/>
  <c r="AG107" i="3" s="1"/>
  <c r="AG120" i="3" a="1"/>
  <c r="AG120" i="3" s="1"/>
  <c r="AG125" i="3" a="1"/>
  <c r="AG125" i="3" s="1"/>
  <c r="AG130" i="3" a="1"/>
  <c r="AG130" i="3" s="1"/>
  <c r="AG141" i="3" a="1"/>
  <c r="AG141" i="3" s="1"/>
  <c r="AG146" i="3" a="1"/>
  <c r="AG146" i="3" s="1"/>
  <c r="AG158" i="3" a="1"/>
  <c r="AG158" i="3" s="1"/>
  <c r="AG164" i="3" a="1"/>
  <c r="AG164" i="3" s="1"/>
  <c r="AG171" i="3" a="1"/>
  <c r="AG171" i="3" s="1"/>
  <c r="AG177" i="3" a="1"/>
  <c r="AG177" i="3" s="1"/>
  <c r="AG190" i="3" a="1"/>
  <c r="AG190" i="3" s="1"/>
  <c r="AG196" i="3" a="1"/>
  <c r="AG196" i="3" s="1"/>
  <c r="AG203" i="3" a="1"/>
  <c r="AG203" i="3" s="1"/>
  <c r="AG209" i="3" a="1"/>
  <c r="AG209" i="3" s="1"/>
  <c r="AG222" i="3" a="1"/>
  <c r="AG222" i="3" s="1"/>
  <c r="AG228" i="3" a="1"/>
  <c r="AG228" i="3" s="1"/>
  <c r="AG235" i="3" a="1"/>
  <c r="AG235" i="3" s="1"/>
  <c r="AG241" i="3" a="1"/>
  <c r="AG241" i="3" s="1"/>
  <c r="AG254" i="3" a="1"/>
  <c r="AG254" i="3" s="1"/>
  <c r="AG260" i="3" a="1"/>
  <c r="AG260" i="3" s="1"/>
  <c r="AG267" i="3" a="1"/>
  <c r="AG267" i="3" s="1"/>
  <c r="AG273" i="3" a="1"/>
  <c r="AG273" i="3" s="1"/>
  <c r="AG286" i="3" a="1"/>
  <c r="AG286" i="3" s="1"/>
  <c r="AG292" i="3" a="1"/>
  <c r="AG292" i="3" s="1"/>
  <c r="AG299" i="3" a="1"/>
  <c r="AG299" i="3" s="1"/>
  <c r="AG305" i="3" a="1"/>
  <c r="AG305" i="3" s="1"/>
  <c r="AG318" i="3" a="1"/>
  <c r="AG318" i="3" s="1"/>
  <c r="AG12" i="3" a="1"/>
  <c r="AG12" i="3" s="1"/>
  <c r="AG18" i="3" a="1"/>
  <c r="AG18" i="3" s="1"/>
  <c r="AG25" i="3" a="1"/>
  <c r="AG25" i="3" s="1"/>
  <c r="AG31" i="3" a="1"/>
  <c r="AG31" i="3" s="1"/>
  <c r="AG44" i="3" a="1"/>
  <c r="AG44" i="3" s="1"/>
  <c r="AG50" i="3" a="1"/>
  <c r="AG50" i="3" s="1"/>
  <c r="AG57" i="3" a="1"/>
  <c r="AG57" i="3" s="1"/>
  <c r="AG63" i="3" a="1"/>
  <c r="AG63" i="3" s="1"/>
  <c r="AG76" i="3" a="1"/>
  <c r="AG76" i="3" s="1"/>
  <c r="AG82" i="3" a="1"/>
  <c r="AG82" i="3" s="1"/>
  <c r="AG89" i="3" a="1"/>
  <c r="AG89" i="3" s="1"/>
  <c r="AG95" i="3" a="1"/>
  <c r="AG95" i="3" s="1"/>
  <c r="AG108" i="3" a="1"/>
  <c r="AG108" i="3" s="1"/>
  <c r="AG114" i="3" a="1"/>
  <c r="AG114" i="3" s="1"/>
  <c r="AG121" i="3" a="1"/>
  <c r="AG121" i="3" s="1"/>
  <c r="AG131" i="3" a="1"/>
  <c r="AG131" i="3" s="1"/>
  <c r="AG136" i="3" a="1"/>
  <c r="AG136" i="3" s="1"/>
  <c r="AG147" i="3" a="1"/>
  <c r="AG147" i="3" s="1"/>
  <c r="AG152" i="3" a="1"/>
  <c r="AG152" i="3" s="1"/>
  <c r="AG159" i="3" a="1"/>
  <c r="AG159" i="3" s="1"/>
  <c r="AG165" i="3" a="1"/>
  <c r="AG165" i="3" s="1"/>
  <c r="AG178" i="3" a="1"/>
  <c r="AG178" i="3" s="1"/>
  <c r="AG184" i="3" a="1"/>
  <c r="AG184" i="3" s="1"/>
  <c r="AG191" i="3" a="1"/>
  <c r="AG191" i="3" s="1"/>
  <c r="AG197" i="3" a="1"/>
  <c r="AG197" i="3" s="1"/>
  <c r="AG210" i="3" a="1"/>
  <c r="AG210" i="3" s="1"/>
  <c r="AG216" i="3" a="1"/>
  <c r="AG216" i="3" s="1"/>
  <c r="AG223" i="3" a="1"/>
  <c r="AG223" i="3" s="1"/>
  <c r="AG229" i="3" a="1"/>
  <c r="AG229" i="3" s="1"/>
  <c r="AG242" i="3" a="1"/>
  <c r="AG242" i="3" s="1"/>
  <c r="AG248" i="3" a="1"/>
  <c r="AG248" i="3" s="1"/>
  <c r="AG255" i="3" a="1"/>
  <c r="AG255" i="3" s="1"/>
  <c r="AG261" i="3" a="1"/>
  <c r="AG261" i="3" s="1"/>
  <c r="AG274" i="3" a="1"/>
  <c r="AG274" i="3" s="1"/>
  <c r="AG280" i="3" a="1"/>
  <c r="AG280" i="3" s="1"/>
  <c r="AG287" i="3" a="1"/>
  <c r="AG287" i="3" s="1"/>
  <c r="AG293" i="3" a="1"/>
  <c r="AG293" i="3" s="1"/>
  <c r="AG306" i="3" a="1"/>
  <c r="AG306" i="3" s="1"/>
  <c r="AG312" i="3" a="1"/>
  <c r="AG312" i="3" s="1"/>
  <c r="AG115" i="3" a="1"/>
  <c r="AG115" i="3" s="1"/>
  <c r="AG13" i="3" a="1"/>
  <c r="AG13" i="3" s="1"/>
  <c r="AG19" i="3" a="1"/>
  <c r="AG19" i="3" s="1"/>
  <c r="AG32" i="3" a="1"/>
  <c r="AG32" i="3" s="1"/>
  <c r="AG38" i="3" a="1"/>
  <c r="AG38" i="3" s="1"/>
  <c r="AG45" i="3" a="1"/>
  <c r="AG45" i="3" s="1"/>
  <c r="AG51" i="3" a="1"/>
  <c r="AG51" i="3" s="1"/>
  <c r="AG64" i="3" a="1"/>
  <c r="AG64" i="3" s="1"/>
  <c r="AG70" i="3" a="1"/>
  <c r="AG70" i="3" s="1"/>
  <c r="AG77" i="3" a="1"/>
  <c r="AG77" i="3" s="1"/>
  <c r="AG83" i="3" a="1"/>
  <c r="AG83" i="3" s="1"/>
  <c r="AG96" i="3" a="1"/>
  <c r="AG96" i="3" s="1"/>
  <c r="AG102" i="3" a="1"/>
  <c r="AG102" i="3" s="1"/>
  <c r="AG109" i="3" a="1"/>
  <c r="AG109" i="3" s="1"/>
  <c r="AG116" i="3" a="1"/>
  <c r="AG116" i="3" s="1"/>
  <c r="AG126" i="3" a="1"/>
  <c r="AG126" i="3" s="1"/>
  <c r="AG137" i="3" a="1"/>
  <c r="AG137" i="3" s="1"/>
  <c r="AG142" i="3" a="1"/>
  <c r="AG142" i="3" s="1"/>
  <c r="AG153" i="3" a="1"/>
  <c r="AG153" i="3" s="1"/>
  <c r="AG166" i="3" a="1"/>
  <c r="AG166" i="3" s="1"/>
  <c r="AG172" i="3" a="1"/>
  <c r="AG172" i="3" s="1"/>
  <c r="AG179" i="3" a="1"/>
  <c r="AG179" i="3" s="1"/>
  <c r="AG185" i="3" a="1"/>
  <c r="AG185" i="3" s="1"/>
  <c r="AG198" i="3" a="1"/>
  <c r="AG198" i="3" s="1"/>
  <c r="AG204" i="3" a="1"/>
  <c r="AG204" i="3" s="1"/>
  <c r="AG211" i="3" a="1"/>
  <c r="AG211" i="3" s="1"/>
  <c r="AG217" i="3" a="1"/>
  <c r="AG217" i="3" s="1"/>
  <c r="AG230" i="3" a="1"/>
  <c r="AG230" i="3" s="1"/>
  <c r="AG236" i="3" a="1"/>
  <c r="AG236" i="3" s="1"/>
  <c r="AG243" i="3" a="1"/>
  <c r="AG243" i="3" s="1"/>
  <c r="AG249" i="3" a="1"/>
  <c r="AG249" i="3" s="1"/>
  <c r="AG262" i="3" a="1"/>
  <c r="AG262" i="3" s="1"/>
  <c r="AG268" i="3" a="1"/>
  <c r="AG268" i="3" s="1"/>
  <c r="AG275" i="3" a="1"/>
  <c r="AG275" i="3" s="1"/>
  <c r="AG281" i="3" a="1"/>
  <c r="AG281" i="3" s="1"/>
  <c r="AG294" i="3" a="1"/>
  <c r="AG294" i="3" s="1"/>
  <c r="AG300" i="3" a="1"/>
  <c r="AG300" i="3" s="1"/>
  <c r="AG307" i="3" a="1"/>
  <c r="AG307" i="3" s="1"/>
  <c r="AG313" i="3" a="1"/>
  <c r="AG313" i="3" s="1"/>
  <c r="AG6" i="3" a="1"/>
  <c r="AG6" i="3" s="1"/>
  <c r="AG7" i="3" a="1"/>
  <c r="AG7" i="3" s="1"/>
  <c r="AG20" i="3" a="1"/>
  <c r="AG20" i="3" s="1"/>
  <c r="AG26" i="3" a="1"/>
  <c r="AG26" i="3" s="1"/>
  <c r="AG33" i="3" a="1"/>
  <c r="AG33" i="3" s="1"/>
  <c r="AG39" i="3" a="1"/>
  <c r="AG39" i="3" s="1"/>
  <c r="AG52" i="3" a="1"/>
  <c r="AG52" i="3" s="1"/>
  <c r="AG58" i="3" a="1"/>
  <c r="AG58" i="3" s="1"/>
  <c r="AG65" i="3" a="1"/>
  <c r="AG65" i="3" s="1"/>
  <c r="AG71" i="3" a="1"/>
  <c r="AG71" i="3" s="1"/>
  <c r="AG84" i="3" a="1"/>
  <c r="AG84" i="3" s="1"/>
  <c r="AG90" i="3" a="1"/>
  <c r="AG90" i="3" s="1"/>
  <c r="AG97" i="3" a="1"/>
  <c r="AG97" i="3" s="1"/>
  <c r="AG103" i="3" a="1"/>
  <c r="AG103" i="3" s="1"/>
  <c r="AG117" i="3" a="1"/>
  <c r="AG117" i="3" s="1"/>
  <c r="AG122" i="3" a="1"/>
  <c r="AG122" i="3" s="1"/>
  <c r="AG127" i="3" a="1"/>
  <c r="AG127" i="3" s="1"/>
  <c r="AG132" i="3" a="1"/>
  <c r="AG132" i="3" s="1"/>
  <c r="AG143" i="3" a="1"/>
  <c r="AG143" i="3" s="1"/>
  <c r="AG148" i="3" a="1"/>
  <c r="AG148" i="3" s="1"/>
  <c r="AG154" i="3" a="1"/>
  <c r="AG154" i="3" s="1"/>
  <c r="AG160" i="3" a="1"/>
  <c r="AG160" i="3" s="1"/>
  <c r="AG167" i="3" a="1"/>
  <c r="AG167" i="3" s="1"/>
  <c r="AG173" i="3" a="1"/>
  <c r="AG173" i="3" s="1"/>
  <c r="AG186" i="3" a="1"/>
  <c r="AG186" i="3" s="1"/>
  <c r="AG192" i="3" a="1"/>
  <c r="AG192" i="3" s="1"/>
  <c r="AG199" i="3" a="1"/>
  <c r="AG199" i="3" s="1"/>
  <c r="AG205" i="3" a="1"/>
  <c r="AG205" i="3" s="1"/>
  <c r="AG218" i="3" a="1"/>
  <c r="AG218" i="3" s="1"/>
  <c r="AG224" i="3" a="1"/>
  <c r="AG224" i="3" s="1"/>
  <c r="AG231" i="3" a="1"/>
  <c r="AG231" i="3" s="1"/>
  <c r="AG237" i="3" a="1"/>
  <c r="AG237" i="3" s="1"/>
  <c r="AG250" i="3" a="1"/>
  <c r="AG250" i="3" s="1"/>
  <c r="AG256" i="3" a="1"/>
  <c r="AG256" i="3" s="1"/>
  <c r="AG263" i="3" a="1"/>
  <c r="AG263" i="3" s="1"/>
  <c r="AG269" i="3" a="1"/>
  <c r="AG269" i="3" s="1"/>
  <c r="AG282" i="3" a="1"/>
  <c r="AG282" i="3" s="1"/>
  <c r="AG288" i="3" a="1"/>
  <c r="AG288" i="3" s="1"/>
  <c r="AG295" i="3" a="1"/>
  <c r="AG295" i="3" s="1"/>
  <c r="AG301" i="3" a="1"/>
  <c r="AG301" i="3" s="1"/>
  <c r="AG8" i="3" a="1"/>
  <c r="AG8" i="3" s="1"/>
  <c r="AG14" i="3" a="1"/>
  <c r="AG14" i="3" s="1"/>
  <c r="AG21" i="3" a="1"/>
  <c r="AG21" i="3" s="1"/>
  <c r="AG27" i="3" a="1"/>
  <c r="AG27" i="3" s="1"/>
  <c r="AG40" i="3" a="1"/>
  <c r="AG40" i="3" s="1"/>
  <c r="AG46" i="3" a="1"/>
  <c r="AG46" i="3" s="1"/>
  <c r="AG53" i="3" a="1"/>
  <c r="AG53" i="3" s="1"/>
  <c r="AG59" i="3" a="1"/>
  <c r="AG59" i="3" s="1"/>
  <c r="AG72" i="3" a="1"/>
  <c r="AG72" i="3" s="1"/>
  <c r="AG78" i="3" a="1"/>
  <c r="AG78" i="3" s="1"/>
  <c r="AG85" i="3" a="1"/>
  <c r="AG85" i="3" s="1"/>
  <c r="AG91" i="3" a="1"/>
  <c r="AG91" i="3" s="1"/>
  <c r="AG104" i="3" a="1"/>
  <c r="AG104" i="3" s="1"/>
  <c r="AG110" i="3" a="1"/>
  <c r="AG110" i="3" s="1"/>
  <c r="AG133" i="3" a="1"/>
  <c r="AG133" i="3" s="1"/>
  <c r="AG138" i="3" a="1"/>
  <c r="AG138" i="3" s="1"/>
  <c r="AG149" i="3" a="1"/>
  <c r="AG149" i="3" s="1"/>
  <c r="AG155" i="3" a="1"/>
  <c r="AG155" i="3" s="1"/>
  <c r="AG161" i="3" a="1"/>
  <c r="AG161" i="3" s="1"/>
  <c r="AG174" i="3" a="1"/>
  <c r="AG174" i="3" s="1"/>
  <c r="AG180" i="3" a="1"/>
  <c r="AG180" i="3" s="1"/>
  <c r="AG187" i="3" a="1"/>
  <c r="AG187" i="3" s="1"/>
  <c r="AG193" i="3" a="1"/>
  <c r="AG193" i="3" s="1"/>
  <c r="AG206" i="3" a="1"/>
  <c r="AG206" i="3" s="1"/>
  <c r="AG212" i="3" a="1"/>
  <c r="AG212" i="3" s="1"/>
  <c r="AG219" i="3" a="1"/>
  <c r="AG219" i="3" s="1"/>
  <c r="AG225" i="3" a="1"/>
  <c r="AG225" i="3" s="1"/>
  <c r="AG238" i="3" a="1"/>
  <c r="AG238" i="3" s="1"/>
  <c r="AG244" i="3" a="1"/>
  <c r="AG244" i="3" s="1"/>
  <c r="AG251" i="3" a="1"/>
  <c r="AG251" i="3" s="1"/>
  <c r="AG257" i="3" a="1"/>
  <c r="AG257" i="3" s="1"/>
  <c r="AG270" i="3" a="1"/>
  <c r="AG270" i="3" s="1"/>
  <c r="AG276" i="3" a="1"/>
  <c r="AG276" i="3" s="1"/>
  <c r="AG283" i="3" a="1"/>
  <c r="AG283" i="3" s="1"/>
  <c r="AG289" i="3" a="1"/>
  <c r="AG289" i="3" s="1"/>
  <c r="AG302" i="3" a="1"/>
  <c r="AG302" i="3" s="1"/>
  <c r="AG308" i="3" a="1"/>
  <c r="AG308" i="3" s="1"/>
  <c r="AG315" i="3" a="1"/>
  <c r="AG315" i="3" s="1"/>
  <c r="AG9" i="3" a="1"/>
  <c r="AG9" i="3" s="1"/>
  <c r="AG15" i="3" a="1"/>
  <c r="AG15" i="3" s="1"/>
  <c r="AG28" i="3" a="1"/>
  <c r="AG28" i="3" s="1"/>
  <c r="AG34" i="3" a="1"/>
  <c r="AG34" i="3" s="1"/>
  <c r="AG41" i="3" a="1"/>
  <c r="AG41" i="3" s="1"/>
  <c r="AG47" i="3" a="1"/>
  <c r="AG47" i="3" s="1"/>
  <c r="AG60" i="3" a="1"/>
  <c r="AG60" i="3" s="1"/>
  <c r="AG66" i="3" a="1"/>
  <c r="AG66" i="3" s="1"/>
  <c r="AG73" i="3" a="1"/>
  <c r="AG73" i="3" s="1"/>
  <c r="AG79" i="3" a="1"/>
  <c r="AG79" i="3" s="1"/>
  <c r="AG92" i="3" a="1"/>
  <c r="AG92" i="3" s="1"/>
  <c r="AG98" i="3" a="1"/>
  <c r="AG98" i="3" s="1"/>
  <c r="AG105" i="3" a="1"/>
  <c r="AG105" i="3" s="1"/>
  <c r="AG111" i="3" a="1"/>
  <c r="AG111" i="3" s="1"/>
  <c r="AG118" i="3" a="1"/>
  <c r="AG118" i="3" s="1"/>
  <c r="AG123" i="3" a="1"/>
  <c r="AG123" i="3" s="1"/>
  <c r="AG128" i="3" a="1"/>
  <c r="AG128" i="3" s="1"/>
  <c r="AG139" i="3" a="1"/>
  <c r="AG139" i="3" s="1"/>
  <c r="AG144" i="3" a="1"/>
  <c r="AG144" i="3" s="1"/>
  <c r="AG162" i="3" a="1"/>
  <c r="AG162" i="3" s="1"/>
  <c r="AG168" i="3" a="1"/>
  <c r="AG168" i="3" s="1"/>
  <c r="AG175" i="3" a="1"/>
  <c r="AG175" i="3" s="1"/>
  <c r="AG181" i="3" a="1"/>
  <c r="AG181" i="3" s="1"/>
  <c r="AG194" i="3" a="1"/>
  <c r="AG194" i="3" s="1"/>
  <c r="AG200" i="3" a="1"/>
  <c r="AG200" i="3" s="1"/>
  <c r="AG207" i="3" a="1"/>
  <c r="AG207" i="3" s="1"/>
  <c r="AG213" i="3" a="1"/>
  <c r="AG213" i="3" s="1"/>
  <c r="AG226" i="3" a="1"/>
  <c r="AG226" i="3" s="1"/>
  <c r="AG232" i="3" a="1"/>
  <c r="AG232" i="3" s="1"/>
  <c r="AG239" i="3" a="1"/>
  <c r="AG239" i="3" s="1"/>
  <c r="AG245" i="3" a="1"/>
  <c r="AG245" i="3" s="1"/>
  <c r="AG258" i="3" a="1"/>
  <c r="AG258" i="3" s="1"/>
  <c r="AG264" i="3" a="1"/>
  <c r="AG264" i="3" s="1"/>
  <c r="AG271" i="3" a="1"/>
  <c r="AG271" i="3" s="1"/>
  <c r="AG277" i="3" a="1"/>
  <c r="AG277" i="3" s="1"/>
  <c r="AG290" i="3" a="1"/>
  <c r="AG290" i="3" s="1"/>
  <c r="AG296" i="3" a="1"/>
  <c r="AG296" i="3" s="1"/>
  <c r="AG303" i="3" a="1"/>
  <c r="AG303" i="3" s="1"/>
  <c r="AG309" i="3" a="1"/>
  <c r="AG309" i="3" s="1"/>
  <c r="AG16" i="3" a="1"/>
  <c r="AG16" i="3" s="1"/>
  <c r="AG22" i="3" a="1"/>
  <c r="AG22" i="3" s="1"/>
  <c r="AG29" i="3" a="1"/>
  <c r="AG29" i="3" s="1"/>
  <c r="AG35" i="3" a="1"/>
  <c r="AG35" i="3" s="1"/>
  <c r="AG48" i="3" a="1"/>
  <c r="AG48" i="3" s="1"/>
  <c r="AG54" i="3" a="1"/>
  <c r="AG54" i="3" s="1"/>
  <c r="AG61" i="3" a="1"/>
  <c r="AG61" i="3" s="1"/>
  <c r="AG67" i="3" a="1"/>
  <c r="AG67" i="3" s="1"/>
  <c r="AG80" i="3" a="1"/>
  <c r="AG80" i="3" s="1"/>
  <c r="AG86" i="3" a="1"/>
  <c r="AG86" i="3" s="1"/>
  <c r="AG93" i="3" a="1"/>
  <c r="AG93" i="3" s="1"/>
  <c r="AG99" i="3" a="1"/>
  <c r="AG99" i="3" s="1"/>
  <c r="AG112" i="3" a="1"/>
  <c r="AG112" i="3" s="1"/>
  <c r="AG119" i="3" a="1"/>
  <c r="AG119" i="3" s="1"/>
  <c r="AG129" i="3" a="1"/>
  <c r="AG129" i="3" s="1"/>
  <c r="AG134" i="3" a="1"/>
  <c r="AG134" i="3" s="1"/>
  <c r="AG145" i="3" a="1"/>
  <c r="AG145" i="3" s="1"/>
  <c r="AG150" i="3" a="1"/>
  <c r="AG150" i="3" s="1"/>
  <c r="AG156" i="3" a="1"/>
  <c r="AG156" i="3" s="1"/>
  <c r="AG163" i="3" a="1"/>
  <c r="AG163" i="3" s="1"/>
  <c r="AG169" i="3" a="1"/>
  <c r="AG169" i="3" s="1"/>
  <c r="AG182" i="3" a="1"/>
  <c r="AG182" i="3" s="1"/>
  <c r="AG188" i="3" a="1"/>
  <c r="AG188" i="3" s="1"/>
  <c r="AG195" i="3" a="1"/>
  <c r="AG195" i="3" s="1"/>
  <c r="AG201" i="3" a="1"/>
  <c r="AG201" i="3" s="1"/>
  <c r="AG214" i="3" a="1"/>
  <c r="AG214" i="3" s="1"/>
  <c r="AG220" i="3" a="1"/>
  <c r="AG220" i="3" s="1"/>
  <c r="AG227" i="3" a="1"/>
  <c r="AG227" i="3" s="1"/>
  <c r="AG233" i="3" a="1"/>
  <c r="AG233" i="3" s="1"/>
  <c r="AG246" i="3" a="1"/>
  <c r="AG246" i="3" s="1"/>
  <c r="AG252" i="3" a="1"/>
  <c r="AG252" i="3" s="1"/>
  <c r="AG259" i="3" a="1"/>
  <c r="AG259" i="3" s="1"/>
  <c r="AG265" i="3" a="1"/>
  <c r="AG265" i="3" s="1"/>
  <c r="AG278" i="3" a="1"/>
  <c r="AG278" i="3" s="1"/>
  <c r="AG284" i="3" a="1"/>
  <c r="AG284" i="3" s="1"/>
  <c r="AG291" i="3" a="1"/>
  <c r="AG291" i="3" s="1"/>
  <c r="AG297" i="3" a="1"/>
  <c r="AG297" i="3" s="1"/>
  <c r="AG310" i="3" a="1"/>
  <c r="AG310" i="3" s="1"/>
  <c r="AG316" i="3" a="1"/>
  <c r="AG316" i="3" s="1"/>
  <c r="AG314" i="3" a="1"/>
  <c r="AG314" i="3" s="1"/>
  <c r="AE318" i="3" a="1"/>
  <c r="AE318" i="3" s="1"/>
  <c r="AE310" i="3" a="1"/>
  <c r="AE310" i="3" s="1"/>
  <c r="AE302" i="3" a="1"/>
  <c r="AE302" i="3" s="1"/>
  <c r="AE294" i="3" a="1"/>
  <c r="AE294" i="3" s="1"/>
  <c r="AE286" i="3" a="1"/>
  <c r="AE286" i="3" s="1"/>
  <c r="AE278" i="3" a="1"/>
  <c r="AE278" i="3" s="1"/>
  <c r="AE270" i="3" a="1"/>
  <c r="AE270" i="3" s="1"/>
  <c r="AE262" i="3" a="1"/>
  <c r="AE262" i="3" s="1"/>
  <c r="AE254" i="3" a="1"/>
  <c r="AE254" i="3" s="1"/>
  <c r="AE246" i="3" a="1"/>
  <c r="AE246" i="3" s="1"/>
  <c r="AE238" i="3" a="1"/>
  <c r="AE238" i="3" s="1"/>
  <c r="AE230" i="3" a="1"/>
  <c r="AE230" i="3" s="1"/>
  <c r="AE222" i="3" a="1"/>
  <c r="AE222" i="3" s="1"/>
  <c r="AE214" i="3" a="1"/>
  <c r="AE214" i="3" s="1"/>
  <c r="AE206" i="3" a="1"/>
  <c r="AE206" i="3" s="1"/>
  <c r="AE198" i="3" a="1"/>
  <c r="AE198" i="3" s="1"/>
  <c r="AE190" i="3" a="1"/>
  <c r="AE190" i="3" s="1"/>
  <c r="AE182" i="3" a="1"/>
  <c r="AE182" i="3" s="1"/>
  <c r="AE174" i="3" a="1"/>
  <c r="AE174" i="3" s="1"/>
  <c r="AE166" i="3" a="1"/>
  <c r="AE166" i="3" s="1"/>
  <c r="AE158" i="3" a="1"/>
  <c r="AE158" i="3" s="1"/>
  <c r="AE150" i="3" a="1"/>
  <c r="AE150" i="3" s="1"/>
  <c r="AE142" i="3" a="1"/>
  <c r="AE142" i="3" s="1"/>
  <c r="AE134" i="3" a="1"/>
  <c r="AE134" i="3" s="1"/>
  <c r="AE126" i="3" a="1"/>
  <c r="AE126" i="3" s="1"/>
  <c r="AE118" i="3" a="1"/>
  <c r="AE118" i="3" s="1"/>
  <c r="AE110" i="3" a="1"/>
  <c r="AE110" i="3" s="1"/>
  <c r="AE102" i="3" a="1"/>
  <c r="AE102" i="3" s="1"/>
  <c r="AE94" i="3" a="1"/>
  <c r="AE94" i="3" s="1"/>
  <c r="AE86" i="3" a="1"/>
  <c r="AE86" i="3" s="1"/>
  <c r="AE78" i="3" a="1"/>
  <c r="AE78" i="3" s="1"/>
  <c r="AE70" i="3" a="1"/>
  <c r="AE70" i="3" s="1"/>
  <c r="AE62" i="3" a="1"/>
  <c r="AE62" i="3" s="1"/>
  <c r="AE54" i="3" a="1"/>
  <c r="AE54" i="3" s="1"/>
  <c r="AE46" i="3" a="1"/>
  <c r="AE46" i="3" s="1"/>
  <c r="AE38" i="3" a="1"/>
  <c r="AE38" i="3" s="1"/>
  <c r="AE30" i="3" a="1"/>
  <c r="AE30" i="3" s="1"/>
  <c r="AE22" i="3" a="1"/>
  <c r="AE22" i="3" s="1"/>
  <c r="AE14" i="3" a="1"/>
  <c r="AE14" i="3" s="1"/>
  <c r="AE6" i="3" a="1"/>
  <c r="AE6" i="3" s="1"/>
  <c r="AE287" i="3" a="1"/>
  <c r="AE287" i="3" s="1"/>
  <c r="AE223" i="3" a="1"/>
  <c r="AE223" i="3" s="1"/>
  <c r="AE175" i="3" a="1"/>
  <c r="AE175" i="3" s="1"/>
  <c r="AE111" i="3" a="1"/>
  <c r="AE111" i="3" s="1"/>
  <c r="AE55" i="3" a="1"/>
  <c r="AE55" i="3" s="1"/>
  <c r="AE317" i="3" a="1"/>
  <c r="AE317" i="3" s="1"/>
  <c r="AE309" i="3" a="1"/>
  <c r="AE309" i="3" s="1"/>
  <c r="AE301" i="3" a="1"/>
  <c r="AE301" i="3" s="1"/>
  <c r="AE293" i="3" a="1"/>
  <c r="AE293" i="3" s="1"/>
  <c r="AE285" i="3" a="1"/>
  <c r="AE285" i="3" s="1"/>
  <c r="AE277" i="3" a="1"/>
  <c r="AE277" i="3" s="1"/>
  <c r="AE269" i="3" a="1"/>
  <c r="AE269" i="3" s="1"/>
  <c r="AE261" i="3" a="1"/>
  <c r="AE261" i="3" s="1"/>
  <c r="AE253" i="3" a="1"/>
  <c r="AE253" i="3" s="1"/>
  <c r="AE245" i="3" a="1"/>
  <c r="AE245" i="3" s="1"/>
  <c r="AE237" i="3" a="1"/>
  <c r="AE237" i="3" s="1"/>
  <c r="AE229" i="3" a="1"/>
  <c r="AE229" i="3" s="1"/>
  <c r="AE221" i="3" a="1"/>
  <c r="AE221" i="3" s="1"/>
  <c r="AE213" i="3" a="1"/>
  <c r="AE213" i="3" s="1"/>
  <c r="AE205" i="3" a="1"/>
  <c r="AE205" i="3" s="1"/>
  <c r="AE197" i="3" a="1"/>
  <c r="AE197" i="3" s="1"/>
  <c r="AE189" i="3" a="1"/>
  <c r="AE189" i="3" s="1"/>
  <c r="AE181" i="3" a="1"/>
  <c r="AE181" i="3" s="1"/>
  <c r="AE173" i="3" a="1"/>
  <c r="AE173" i="3" s="1"/>
  <c r="AE165" i="3" a="1"/>
  <c r="AE165" i="3" s="1"/>
  <c r="AE157" i="3" a="1"/>
  <c r="AE157" i="3" s="1"/>
  <c r="AE149" i="3" a="1"/>
  <c r="AE149" i="3" s="1"/>
  <c r="AE141" i="3" a="1"/>
  <c r="AE141" i="3" s="1"/>
  <c r="AE133" i="3" a="1"/>
  <c r="AE133" i="3" s="1"/>
  <c r="AE125" i="3" a="1"/>
  <c r="AE125" i="3" s="1"/>
  <c r="AE117" i="3" a="1"/>
  <c r="AE117" i="3" s="1"/>
  <c r="AE109" i="3" a="1"/>
  <c r="AE109" i="3" s="1"/>
  <c r="AE101" i="3" a="1"/>
  <c r="AE101" i="3" s="1"/>
  <c r="AE93" i="3" a="1"/>
  <c r="AE93" i="3" s="1"/>
  <c r="AE85" i="3" a="1"/>
  <c r="AE85" i="3" s="1"/>
  <c r="AE77" i="3" a="1"/>
  <c r="AE77" i="3" s="1"/>
  <c r="AE69" i="3" a="1"/>
  <c r="AE69" i="3" s="1"/>
  <c r="AE61" i="3" a="1"/>
  <c r="AE61" i="3" s="1"/>
  <c r="AE53" i="3" a="1"/>
  <c r="AE53" i="3" s="1"/>
  <c r="AE45" i="3" a="1"/>
  <c r="AE45" i="3" s="1"/>
  <c r="AE37" i="3" a="1"/>
  <c r="AE37" i="3" s="1"/>
  <c r="AE29" i="3" a="1"/>
  <c r="AE29" i="3" s="1"/>
  <c r="AE21" i="3" a="1"/>
  <c r="AE21" i="3" s="1"/>
  <c r="AE13" i="3" a="1"/>
  <c r="AE13" i="3" s="1"/>
  <c r="AE271" i="3" a="1"/>
  <c r="AE271" i="3" s="1"/>
  <c r="AE239" i="3" a="1"/>
  <c r="AE239" i="3" s="1"/>
  <c r="AE183" i="3" a="1"/>
  <c r="AE183" i="3" s="1"/>
  <c r="AE127" i="3" a="1"/>
  <c r="AE127" i="3" s="1"/>
  <c r="AE79" i="3" a="1"/>
  <c r="AE79" i="3" s="1"/>
  <c r="AE7" i="3" a="1"/>
  <c r="AE7" i="3" s="1"/>
  <c r="AE316" i="3" a="1"/>
  <c r="AE316" i="3" s="1"/>
  <c r="AE308" i="3" a="1"/>
  <c r="AE308" i="3" s="1"/>
  <c r="AE300" i="3" a="1"/>
  <c r="AE300" i="3" s="1"/>
  <c r="AE292" i="3" a="1"/>
  <c r="AE292" i="3" s="1"/>
  <c r="AE284" i="3" a="1"/>
  <c r="AE284" i="3" s="1"/>
  <c r="AE276" i="3" a="1"/>
  <c r="AE276" i="3" s="1"/>
  <c r="AE268" i="3" a="1"/>
  <c r="AE268" i="3" s="1"/>
  <c r="AE260" i="3" a="1"/>
  <c r="AE260" i="3" s="1"/>
  <c r="AE252" i="3" a="1"/>
  <c r="AE252" i="3" s="1"/>
  <c r="AE244" i="3" a="1"/>
  <c r="AE244" i="3" s="1"/>
  <c r="AE236" i="3" a="1"/>
  <c r="AE236" i="3" s="1"/>
  <c r="AE228" i="3" a="1"/>
  <c r="AE228" i="3" s="1"/>
  <c r="AE220" i="3" a="1"/>
  <c r="AE220" i="3" s="1"/>
  <c r="AE212" i="3" a="1"/>
  <c r="AE212" i="3" s="1"/>
  <c r="AE204" i="3" a="1"/>
  <c r="AE204" i="3" s="1"/>
  <c r="AE196" i="3" a="1"/>
  <c r="AE196" i="3" s="1"/>
  <c r="AE188" i="3" a="1"/>
  <c r="AE188" i="3" s="1"/>
  <c r="AE180" i="3" a="1"/>
  <c r="AE180" i="3" s="1"/>
  <c r="AE172" i="3" a="1"/>
  <c r="AE172" i="3" s="1"/>
  <c r="AE164" i="3" a="1"/>
  <c r="AE164" i="3" s="1"/>
  <c r="AE156" i="3" a="1"/>
  <c r="AE156" i="3" s="1"/>
  <c r="AE148" i="3" a="1"/>
  <c r="AE148" i="3" s="1"/>
  <c r="AE140" i="3" a="1"/>
  <c r="AE140" i="3" s="1"/>
  <c r="AE132" i="3" a="1"/>
  <c r="AE132" i="3" s="1"/>
  <c r="AE124" i="3" a="1"/>
  <c r="AE124" i="3" s="1"/>
  <c r="AE116" i="3" a="1"/>
  <c r="AE116" i="3" s="1"/>
  <c r="AE108" i="3" a="1"/>
  <c r="AE108" i="3" s="1"/>
  <c r="AE100" i="3" a="1"/>
  <c r="AE100" i="3" s="1"/>
  <c r="AE92" i="3" a="1"/>
  <c r="AE92" i="3" s="1"/>
  <c r="AE84" i="3" a="1"/>
  <c r="AE84" i="3" s="1"/>
  <c r="AE76" i="3" a="1"/>
  <c r="AE76" i="3" s="1"/>
  <c r="AE68" i="3" a="1"/>
  <c r="AE68" i="3" s="1"/>
  <c r="AE60" i="3" a="1"/>
  <c r="AE60" i="3" s="1"/>
  <c r="AE52" i="3" a="1"/>
  <c r="AE52" i="3" s="1"/>
  <c r="AE44" i="3" a="1"/>
  <c r="AE44" i="3" s="1"/>
  <c r="AE36" i="3" a="1"/>
  <c r="AE36" i="3" s="1"/>
  <c r="AE28" i="3" a="1"/>
  <c r="AE28" i="3" s="1"/>
  <c r="AE20" i="3" a="1"/>
  <c r="AE20" i="3" s="1"/>
  <c r="AE12" i="3" a="1"/>
  <c r="AE12" i="3" s="1"/>
  <c r="AE263" i="3" a="1"/>
  <c r="AE263" i="3" s="1"/>
  <c r="AE247" i="3" a="1"/>
  <c r="AE247" i="3" s="1"/>
  <c r="AE199" i="3" a="1"/>
  <c r="AE199" i="3" s="1"/>
  <c r="AE143" i="3" a="1"/>
  <c r="AE143" i="3" s="1"/>
  <c r="AE87" i="3" a="1"/>
  <c r="AE87" i="3" s="1"/>
  <c r="AE31" i="3" a="1"/>
  <c r="AE31" i="3" s="1"/>
  <c r="AE315" i="3" a="1"/>
  <c r="AE315" i="3" s="1"/>
  <c r="AE307" i="3" a="1"/>
  <c r="AE307" i="3" s="1"/>
  <c r="AE299" i="3" a="1"/>
  <c r="AE299" i="3" s="1"/>
  <c r="AE291" i="3" a="1"/>
  <c r="AE291" i="3" s="1"/>
  <c r="AE283" i="3" a="1"/>
  <c r="AE283" i="3" s="1"/>
  <c r="AE275" i="3" a="1"/>
  <c r="AE275" i="3" s="1"/>
  <c r="AE267" i="3" a="1"/>
  <c r="AE267" i="3" s="1"/>
  <c r="AE259" i="3" a="1"/>
  <c r="AE259" i="3" s="1"/>
  <c r="AE251" i="3" a="1"/>
  <c r="AE251" i="3" s="1"/>
  <c r="AE243" i="3" a="1"/>
  <c r="AE243" i="3" s="1"/>
  <c r="AE235" i="3" a="1"/>
  <c r="AE235" i="3" s="1"/>
  <c r="AE227" i="3" a="1"/>
  <c r="AE227" i="3" s="1"/>
  <c r="AE219" i="3" a="1"/>
  <c r="AE219" i="3" s="1"/>
  <c r="AE211" i="3" a="1"/>
  <c r="AE211" i="3" s="1"/>
  <c r="AE203" i="3" a="1"/>
  <c r="AE203" i="3" s="1"/>
  <c r="AE195" i="3" a="1"/>
  <c r="AE195" i="3" s="1"/>
  <c r="AE187" i="3" a="1"/>
  <c r="AE187" i="3" s="1"/>
  <c r="AE179" i="3" a="1"/>
  <c r="AE179" i="3" s="1"/>
  <c r="AE171" i="3" a="1"/>
  <c r="AE171" i="3" s="1"/>
  <c r="AE163" i="3" a="1"/>
  <c r="AE163" i="3" s="1"/>
  <c r="AE155" i="3" a="1"/>
  <c r="AE155" i="3" s="1"/>
  <c r="AE147" i="3" a="1"/>
  <c r="AE147" i="3" s="1"/>
  <c r="AE139" i="3" a="1"/>
  <c r="AE139" i="3" s="1"/>
  <c r="AE131" i="3" a="1"/>
  <c r="AE131" i="3" s="1"/>
  <c r="AE123" i="3" a="1"/>
  <c r="AE123" i="3" s="1"/>
  <c r="AE115" i="3" a="1"/>
  <c r="AE115" i="3" s="1"/>
  <c r="AE107" i="3" a="1"/>
  <c r="AE107" i="3" s="1"/>
  <c r="AE99" i="3" a="1"/>
  <c r="AE99" i="3" s="1"/>
  <c r="AE91" i="3" a="1"/>
  <c r="AE91" i="3" s="1"/>
  <c r="AE83" i="3" a="1"/>
  <c r="AE83" i="3" s="1"/>
  <c r="AE75" i="3" a="1"/>
  <c r="AE75" i="3" s="1"/>
  <c r="AE67" i="3" a="1"/>
  <c r="AE67" i="3" s="1"/>
  <c r="AE59" i="3" a="1"/>
  <c r="AE59" i="3" s="1"/>
  <c r="AE51" i="3" a="1"/>
  <c r="AE51" i="3" s="1"/>
  <c r="AE43" i="3" a="1"/>
  <c r="AE43" i="3" s="1"/>
  <c r="AE35" i="3" a="1"/>
  <c r="AE35" i="3" s="1"/>
  <c r="AE27" i="3" a="1"/>
  <c r="AE27" i="3" s="1"/>
  <c r="AE19" i="3" a="1"/>
  <c r="AE19" i="3" s="1"/>
  <c r="AE11" i="3" a="1"/>
  <c r="AE11" i="3" s="1"/>
  <c r="AE279" i="3" a="1"/>
  <c r="AE279" i="3" s="1"/>
  <c r="AE231" i="3" a="1"/>
  <c r="AE231" i="3" s="1"/>
  <c r="AE191" i="3" a="1"/>
  <c r="AE191" i="3" s="1"/>
  <c r="AE135" i="3" a="1"/>
  <c r="AE135" i="3" s="1"/>
  <c r="AE71" i="3" a="1"/>
  <c r="AE71" i="3" s="1"/>
  <c r="AE23" i="3" a="1"/>
  <c r="AE23" i="3" s="1"/>
  <c r="AE314" i="3" a="1"/>
  <c r="AE314" i="3" s="1"/>
  <c r="AE306" i="3" a="1"/>
  <c r="AE306" i="3" s="1"/>
  <c r="AE298" i="3" a="1"/>
  <c r="AE298" i="3" s="1"/>
  <c r="AE290" i="3" a="1"/>
  <c r="AE290" i="3" s="1"/>
  <c r="AE282" i="3" a="1"/>
  <c r="AE282" i="3" s="1"/>
  <c r="AE274" i="3" a="1"/>
  <c r="AE274" i="3" s="1"/>
  <c r="AE266" i="3" a="1"/>
  <c r="AE266" i="3" s="1"/>
  <c r="AE258" i="3" a="1"/>
  <c r="AE258" i="3" s="1"/>
  <c r="AE250" i="3" a="1"/>
  <c r="AE250" i="3" s="1"/>
  <c r="AE242" i="3" a="1"/>
  <c r="AE242" i="3" s="1"/>
  <c r="AE234" i="3" a="1"/>
  <c r="AE234" i="3" s="1"/>
  <c r="AE226" i="3" a="1"/>
  <c r="AE226" i="3" s="1"/>
  <c r="AE218" i="3" a="1"/>
  <c r="AE218" i="3" s="1"/>
  <c r="AE210" i="3" a="1"/>
  <c r="AE210" i="3" s="1"/>
  <c r="AE202" i="3" a="1"/>
  <c r="AE202" i="3" s="1"/>
  <c r="AE194" i="3" a="1"/>
  <c r="AE194" i="3" s="1"/>
  <c r="AE186" i="3" a="1"/>
  <c r="AE186" i="3" s="1"/>
  <c r="AE178" i="3" a="1"/>
  <c r="AE178" i="3" s="1"/>
  <c r="AE170" i="3" a="1"/>
  <c r="AE170" i="3" s="1"/>
  <c r="AE162" i="3" a="1"/>
  <c r="AE162" i="3" s="1"/>
  <c r="AE154" i="3" a="1"/>
  <c r="AE154" i="3" s="1"/>
  <c r="AE146" i="3" a="1"/>
  <c r="AE146" i="3" s="1"/>
  <c r="AE138" i="3" a="1"/>
  <c r="AE138" i="3" s="1"/>
  <c r="AE130" i="3" a="1"/>
  <c r="AE130" i="3" s="1"/>
  <c r="AE122" i="3" a="1"/>
  <c r="AE122" i="3" s="1"/>
  <c r="AE114" i="3" a="1"/>
  <c r="AE114" i="3" s="1"/>
  <c r="AE106" i="3" a="1"/>
  <c r="AE106" i="3" s="1"/>
  <c r="AE98" i="3" a="1"/>
  <c r="AE98" i="3" s="1"/>
  <c r="AE90" i="3" a="1"/>
  <c r="AE90" i="3" s="1"/>
  <c r="AE82" i="3" a="1"/>
  <c r="AE82" i="3" s="1"/>
  <c r="AE74" i="3" a="1"/>
  <c r="AE74" i="3" s="1"/>
  <c r="AE66" i="3" a="1"/>
  <c r="AE66" i="3" s="1"/>
  <c r="AE58" i="3" a="1"/>
  <c r="AE58" i="3" s="1"/>
  <c r="AE50" i="3" a="1"/>
  <c r="AE50" i="3" s="1"/>
  <c r="AE42" i="3" a="1"/>
  <c r="AE42" i="3" s="1"/>
  <c r="AE34" i="3" a="1"/>
  <c r="AE34" i="3" s="1"/>
  <c r="AE26" i="3" a="1"/>
  <c r="AE26" i="3" s="1"/>
  <c r="AE18" i="3" a="1"/>
  <c r="AE18" i="3" s="1"/>
  <c r="AE10" i="3" a="1"/>
  <c r="AE10" i="3" s="1"/>
  <c r="AE295" i="3" a="1"/>
  <c r="AE295" i="3" s="1"/>
  <c r="AE215" i="3" a="1"/>
  <c r="AE215" i="3" s="1"/>
  <c r="AE167" i="3" a="1"/>
  <c r="AE167" i="3" s="1"/>
  <c r="AE119" i="3" a="1"/>
  <c r="AE119" i="3" s="1"/>
  <c r="AE63" i="3" a="1"/>
  <c r="AE63" i="3" s="1"/>
  <c r="AE313" i="3" a="1"/>
  <c r="AE313" i="3" s="1"/>
  <c r="AE305" i="3" a="1"/>
  <c r="AE305" i="3" s="1"/>
  <c r="AE297" i="3" a="1"/>
  <c r="AE297" i="3" s="1"/>
  <c r="AE289" i="3" a="1"/>
  <c r="AE289" i="3" s="1"/>
  <c r="AE281" i="3" a="1"/>
  <c r="AE281" i="3" s="1"/>
  <c r="AE273" i="3" a="1"/>
  <c r="AE273" i="3" s="1"/>
  <c r="AE265" i="3" a="1"/>
  <c r="AE265" i="3" s="1"/>
  <c r="AE257" i="3" a="1"/>
  <c r="AE257" i="3" s="1"/>
  <c r="AE249" i="3" a="1"/>
  <c r="AE249" i="3" s="1"/>
  <c r="AE241" i="3" a="1"/>
  <c r="AE241" i="3" s="1"/>
  <c r="AE233" i="3" a="1"/>
  <c r="AE233" i="3" s="1"/>
  <c r="AE225" i="3" a="1"/>
  <c r="AE225" i="3" s="1"/>
  <c r="AE217" i="3" a="1"/>
  <c r="AE217" i="3" s="1"/>
  <c r="AE209" i="3" a="1"/>
  <c r="AE209" i="3" s="1"/>
  <c r="AE201" i="3" a="1"/>
  <c r="AE201" i="3" s="1"/>
  <c r="AE193" i="3" a="1"/>
  <c r="AE193" i="3" s="1"/>
  <c r="AE185" i="3" a="1"/>
  <c r="AE185" i="3" s="1"/>
  <c r="AE177" i="3" a="1"/>
  <c r="AE177" i="3" s="1"/>
  <c r="AE169" i="3" a="1"/>
  <c r="AE169" i="3" s="1"/>
  <c r="AE161" i="3" a="1"/>
  <c r="AE161" i="3" s="1"/>
  <c r="AE153" i="3" a="1"/>
  <c r="AE153" i="3" s="1"/>
  <c r="AE145" i="3" a="1"/>
  <c r="AE145" i="3" s="1"/>
  <c r="AE137" i="3" a="1"/>
  <c r="AE137" i="3" s="1"/>
  <c r="AE129" i="3" a="1"/>
  <c r="AE129" i="3" s="1"/>
  <c r="AE121" i="3" a="1"/>
  <c r="AE121" i="3" s="1"/>
  <c r="AE113" i="3" a="1"/>
  <c r="AE113" i="3" s="1"/>
  <c r="AE105" i="3" a="1"/>
  <c r="AE105" i="3" s="1"/>
  <c r="AE97" i="3" a="1"/>
  <c r="AE97" i="3" s="1"/>
  <c r="AE89" i="3" a="1"/>
  <c r="AE89" i="3" s="1"/>
  <c r="AE81" i="3" a="1"/>
  <c r="AE81" i="3" s="1"/>
  <c r="AE73" i="3" a="1"/>
  <c r="AE73" i="3" s="1"/>
  <c r="AE65" i="3" a="1"/>
  <c r="AE65" i="3" s="1"/>
  <c r="AE57" i="3" a="1"/>
  <c r="AE57" i="3" s="1"/>
  <c r="AE49" i="3" a="1"/>
  <c r="AE49" i="3" s="1"/>
  <c r="AE41" i="3" a="1"/>
  <c r="AE41" i="3" s="1"/>
  <c r="AE33" i="3" a="1"/>
  <c r="AE33" i="3" s="1"/>
  <c r="AE25" i="3" a="1"/>
  <c r="AE25" i="3" s="1"/>
  <c r="AE17" i="3" a="1"/>
  <c r="AE17" i="3" s="1"/>
  <c r="AE9" i="3" a="1"/>
  <c r="AE9" i="3" s="1"/>
  <c r="AE303" i="3" a="1"/>
  <c r="AE303" i="3" s="1"/>
  <c r="AE207" i="3" a="1"/>
  <c r="AE207" i="3" s="1"/>
  <c r="AE159" i="3" a="1"/>
  <c r="AE159" i="3" s="1"/>
  <c r="AE103" i="3" a="1"/>
  <c r="AE103" i="3" s="1"/>
  <c r="AE47" i="3" a="1"/>
  <c r="AE47" i="3" s="1"/>
  <c r="AE15" i="3" a="1"/>
  <c r="AE15" i="3" s="1"/>
  <c r="AE312" i="3" a="1"/>
  <c r="AE312" i="3" s="1"/>
  <c r="AE304" i="3" a="1"/>
  <c r="AE304" i="3" s="1"/>
  <c r="AE296" i="3" a="1"/>
  <c r="AE296" i="3" s="1"/>
  <c r="AE288" i="3" a="1"/>
  <c r="AE288" i="3" s="1"/>
  <c r="AE280" i="3" a="1"/>
  <c r="AE280" i="3" s="1"/>
  <c r="AE272" i="3" a="1"/>
  <c r="AE272" i="3" s="1"/>
  <c r="AE264" i="3" a="1"/>
  <c r="AE264" i="3" s="1"/>
  <c r="AE256" i="3" a="1"/>
  <c r="AE256" i="3" s="1"/>
  <c r="AE248" i="3" a="1"/>
  <c r="AE248" i="3" s="1"/>
  <c r="AE240" i="3" a="1"/>
  <c r="AE240" i="3" s="1"/>
  <c r="AE232" i="3" a="1"/>
  <c r="AE232" i="3" s="1"/>
  <c r="AE224" i="3" a="1"/>
  <c r="AE224" i="3" s="1"/>
  <c r="AE216" i="3" a="1"/>
  <c r="AE216" i="3" s="1"/>
  <c r="AE208" i="3" a="1"/>
  <c r="AE208" i="3" s="1"/>
  <c r="AE200" i="3" a="1"/>
  <c r="AE200" i="3" s="1"/>
  <c r="AE192" i="3" a="1"/>
  <c r="AE192" i="3" s="1"/>
  <c r="AE184" i="3" a="1"/>
  <c r="AE184" i="3" s="1"/>
  <c r="AE176" i="3" a="1"/>
  <c r="AE176" i="3" s="1"/>
  <c r="AE168" i="3" a="1"/>
  <c r="AE168" i="3" s="1"/>
  <c r="AE160" i="3" a="1"/>
  <c r="AE160" i="3" s="1"/>
  <c r="AE152" i="3" a="1"/>
  <c r="AE152" i="3" s="1"/>
  <c r="AE144" i="3" a="1"/>
  <c r="AE144" i="3" s="1"/>
  <c r="AE136" i="3" a="1"/>
  <c r="AE136" i="3" s="1"/>
  <c r="AE128" i="3" a="1"/>
  <c r="AE128" i="3" s="1"/>
  <c r="AE120" i="3" a="1"/>
  <c r="AE120" i="3" s="1"/>
  <c r="AE112" i="3" a="1"/>
  <c r="AE112" i="3" s="1"/>
  <c r="AE104" i="3" a="1"/>
  <c r="AE104" i="3" s="1"/>
  <c r="AE96" i="3" a="1"/>
  <c r="AE96" i="3" s="1"/>
  <c r="AE88" i="3" a="1"/>
  <c r="AE88" i="3" s="1"/>
  <c r="AE80" i="3" a="1"/>
  <c r="AE80" i="3" s="1"/>
  <c r="AE72" i="3" a="1"/>
  <c r="AE72" i="3" s="1"/>
  <c r="AE64" i="3" a="1"/>
  <c r="AE64" i="3" s="1"/>
  <c r="AE56" i="3" a="1"/>
  <c r="AE56" i="3" s="1"/>
  <c r="AE48" i="3" a="1"/>
  <c r="AE48" i="3" s="1"/>
  <c r="AE40" i="3" a="1"/>
  <c r="AE40" i="3" s="1"/>
  <c r="AE32" i="3" a="1"/>
  <c r="AE32" i="3" s="1"/>
  <c r="AE24" i="3" a="1"/>
  <c r="AE24" i="3" s="1"/>
  <c r="AE16" i="3" a="1"/>
  <c r="AE16" i="3" s="1"/>
  <c r="AE8" i="3" a="1"/>
  <c r="AE8" i="3" s="1"/>
  <c r="AE311" i="3" a="1"/>
  <c r="AE311" i="3" s="1"/>
  <c r="AE255" i="3" a="1"/>
  <c r="AE255" i="3" s="1"/>
  <c r="AE151" i="3" a="1"/>
  <c r="AE151" i="3" s="1"/>
  <c r="AE95" i="3" a="1"/>
  <c r="AE95" i="3" s="1"/>
  <c r="AE39" i="3" a="1"/>
  <c r="AE39" i="3" s="1"/>
  <c r="AC7" i="3" a="1"/>
  <c r="AC7" i="3" s="1"/>
  <c r="X1" i="3" l="1"/>
  <c r="W7" i="3" a="1"/>
  <c r="W7" i="3" s="1"/>
  <c r="W1" i="3"/>
  <c r="V1" i="3"/>
  <c r="X7" i="3" l="1" a="1"/>
  <c r="X7" i="3" s="1"/>
  <c r="V7" i="3" a="1"/>
  <c r="V7" i="3" s="1"/>
  <c r="I7" i="6" a="1"/>
  <c r="I7" i="6" s="1"/>
  <c r="I1" i="6"/>
  <c r="J1" i="3"/>
  <c r="J7" i="3" s="1" a="1"/>
  <c r="J7" i="3" s="1"/>
  <c r="I1" i="3"/>
  <c r="I7" i="3" s="1" a="1"/>
  <c r="I7" i="3" s="1"/>
  <c r="H1" i="3"/>
  <c r="G1" i="3"/>
  <c r="G7" i="3" s="1" a="1"/>
  <c r="G7" i="3" s="1"/>
  <c r="F1" i="3"/>
  <c r="F7" i="3" l="1" a="1"/>
  <c r="F7" i="3" s="1"/>
  <c r="H7" i="3" a="1"/>
  <c r="H7" i="3" s="1"/>
  <c r="B7" i="6" l="1" a="1"/>
  <c r="B7" i="6" s="1"/>
  <c r="A8" i="6"/>
  <c r="I8" i="6" s="1" a="1"/>
  <c r="I8" i="6" s="1"/>
  <c r="M1" i="6"/>
  <c r="L1" i="6"/>
  <c r="K1" i="6"/>
  <c r="J1" i="6"/>
  <c r="H1" i="6"/>
  <c r="G1" i="6"/>
  <c r="F1" i="6"/>
  <c r="E1" i="6"/>
  <c r="D1" i="6"/>
  <c r="C1" i="6"/>
  <c r="D8" i="3" a="1"/>
  <c r="D8" i="3" s="1"/>
  <c r="D7" i="3" a="1"/>
  <c r="D7" i="3" s="1"/>
  <c r="D1" i="3"/>
  <c r="C7" i="3" a="1"/>
  <c r="C7" i="3" s="1"/>
  <c r="B8" i="3"/>
  <c r="U1" i="3"/>
  <c r="T1" i="3"/>
  <c r="S1" i="3"/>
  <c r="R1" i="3"/>
  <c r="Q1" i="3"/>
  <c r="P1" i="3"/>
  <c r="O1" i="3"/>
  <c r="N1" i="3"/>
  <c r="M1" i="3"/>
  <c r="L1" i="3"/>
  <c r="E1" i="3"/>
  <c r="K1" i="3"/>
  <c r="AB8" i="3" l="1" a="1"/>
  <c r="AB8" i="3" s="1"/>
  <c r="Y8" i="3" a="1"/>
  <c r="Y8" i="3" s="1"/>
  <c r="Z8" i="3" a="1"/>
  <c r="Z8" i="3" s="1"/>
  <c r="AD8" i="3" a="1"/>
  <c r="AD8" i="3" s="1"/>
  <c r="AA8" i="3" a="1"/>
  <c r="AA8" i="3" s="1"/>
  <c r="AC8" i="3" a="1"/>
  <c r="AC8" i="3" s="1"/>
  <c r="X8" i="3" a="1"/>
  <c r="X8" i="3" s="1"/>
  <c r="W8" i="3" a="1"/>
  <c r="W8" i="3" s="1"/>
  <c r="V8" i="3" a="1"/>
  <c r="V8" i="3" s="1"/>
  <c r="D7" i="6" a="1"/>
  <c r="D7" i="6" s="1"/>
  <c r="D8" i="6" a="1"/>
  <c r="D8" i="6" s="1"/>
  <c r="F8" i="6" a="1"/>
  <c r="F8" i="6" s="1"/>
  <c r="F7" i="6" a="1"/>
  <c r="F7" i="6" s="1"/>
  <c r="G8" i="6" a="1"/>
  <c r="G8" i="6" s="1"/>
  <c r="G7" i="6" a="1"/>
  <c r="G7" i="6" s="1"/>
  <c r="H8" i="6" a="1"/>
  <c r="H8" i="6" s="1"/>
  <c r="H7" i="6" a="1"/>
  <c r="H7" i="6" s="1"/>
  <c r="J8" i="6" a="1"/>
  <c r="J8" i="6" s="1"/>
  <c r="J7" i="6" a="1"/>
  <c r="J7" i="6" s="1"/>
  <c r="K8" i="6" a="1"/>
  <c r="K8" i="6" s="1"/>
  <c r="K7" i="6" a="1"/>
  <c r="K7" i="6" s="1"/>
  <c r="C7" i="6" a="1"/>
  <c r="C7" i="6" s="1"/>
  <c r="C8" i="6" a="1"/>
  <c r="C8" i="6" s="1"/>
  <c r="L7" i="6" a="1"/>
  <c r="L7" i="6" s="1"/>
  <c r="L8" i="6" a="1"/>
  <c r="L8" i="6" s="1"/>
  <c r="M7" i="6" a="1"/>
  <c r="M7" i="6" s="1"/>
  <c r="M8" i="6" a="1"/>
  <c r="M8" i="6" s="1"/>
  <c r="E8" i="6" a="1"/>
  <c r="E8" i="6" s="1"/>
  <c r="E7" i="6" a="1"/>
  <c r="E7" i="6" s="1"/>
  <c r="I8" i="3" a="1"/>
  <c r="I8" i="3" s="1"/>
  <c r="J8" i="3" a="1"/>
  <c r="J8" i="3" s="1"/>
  <c r="B9" i="3"/>
  <c r="M9" i="3" s="1" a="1"/>
  <c r="M9" i="3" s="1"/>
  <c r="G8" i="3" a="1"/>
  <c r="G8" i="3" s="1"/>
  <c r="H8" i="3" a="1"/>
  <c r="H8" i="3" s="1"/>
  <c r="F8" i="3" a="1"/>
  <c r="F8" i="3" s="1"/>
  <c r="A9" i="6"/>
  <c r="M9" i="6" s="1" a="1"/>
  <c r="M9" i="6" s="1"/>
  <c r="B8" i="6" a="1"/>
  <c r="B8" i="6" s="1"/>
  <c r="C8" i="3" a="1"/>
  <c r="C8" i="3" s="1"/>
  <c r="Q7" i="3" a="1"/>
  <c r="Q7" i="3" s="1"/>
  <c r="Q9" i="3" a="1"/>
  <c r="Q9" i="3" s="1"/>
  <c r="Q8" i="3" a="1"/>
  <c r="Q8" i="3" s="1"/>
  <c r="K7" i="3" a="1"/>
  <c r="K7" i="3" s="1"/>
  <c r="K8" i="3" a="1"/>
  <c r="K8" i="3" s="1"/>
  <c r="E8" i="3" a="1"/>
  <c r="E8" i="3" s="1"/>
  <c r="E7" i="3" a="1"/>
  <c r="E7" i="3" s="1"/>
  <c r="R9" i="3" a="1"/>
  <c r="R9" i="3" s="1"/>
  <c r="R8" i="3" a="1"/>
  <c r="R8" i="3" s="1"/>
  <c r="R7" i="3" a="1"/>
  <c r="R7" i="3" s="1"/>
  <c r="L8" i="3" a="1"/>
  <c r="L8" i="3" s="1"/>
  <c r="L7" i="3" a="1"/>
  <c r="L7" i="3" s="1"/>
  <c r="S8" i="3" a="1"/>
  <c r="S8" i="3" s="1"/>
  <c r="S7" i="3" a="1"/>
  <c r="S7" i="3" s="1"/>
  <c r="M8" i="3" a="1"/>
  <c r="M8" i="3" s="1"/>
  <c r="M7" i="3" a="1"/>
  <c r="M7" i="3" s="1"/>
  <c r="T8" i="3" a="1"/>
  <c r="T8" i="3" s="1"/>
  <c r="T7" i="3" a="1"/>
  <c r="T7" i="3" s="1"/>
  <c r="O8" i="3" a="1"/>
  <c r="O8" i="3" s="1"/>
  <c r="O7" i="3" a="1"/>
  <c r="O7" i="3" s="1"/>
  <c r="U9" i="3" a="1"/>
  <c r="U9" i="3" s="1"/>
  <c r="U8" i="3" a="1"/>
  <c r="U8" i="3" s="1"/>
  <c r="U7" i="3" a="1"/>
  <c r="U7" i="3" s="1"/>
  <c r="P7" i="3" a="1"/>
  <c r="P7" i="3" s="1"/>
  <c r="P8" i="3" a="1"/>
  <c r="P8" i="3" s="1"/>
  <c r="N9" i="3" a="1"/>
  <c r="N9" i="3" s="1"/>
  <c r="N8" i="3" a="1"/>
  <c r="N8" i="3" s="1"/>
  <c r="N7" i="3" a="1"/>
  <c r="N7" i="3" s="1"/>
  <c r="O9" i="3" l="1" a="1"/>
  <c r="O9" i="3" s="1"/>
  <c r="E9" i="3" a="1"/>
  <c r="E9" i="3" s="1"/>
  <c r="S9" i="3" a="1"/>
  <c r="S9" i="3" s="1"/>
  <c r="P9" i="3" a="1"/>
  <c r="P9" i="3" s="1"/>
  <c r="L9" i="3" a="1"/>
  <c r="L9" i="3" s="1"/>
  <c r="K9" i="3" a="1"/>
  <c r="K9" i="3" s="1"/>
  <c r="B10" i="3"/>
  <c r="T9" i="3" a="1"/>
  <c r="T9" i="3" s="1"/>
  <c r="AB9" i="3" a="1"/>
  <c r="AB9" i="3" s="1"/>
  <c r="Y9" i="3" a="1"/>
  <c r="Y9" i="3" s="1"/>
  <c r="AD9" i="3" a="1"/>
  <c r="AD9" i="3" s="1"/>
  <c r="AA9" i="3" a="1"/>
  <c r="AA9" i="3" s="1"/>
  <c r="Z9" i="3" a="1"/>
  <c r="Z9" i="3" s="1"/>
  <c r="AC9" i="3" a="1"/>
  <c r="AC9" i="3" s="1"/>
  <c r="W9" i="3" a="1"/>
  <c r="W9" i="3" s="1"/>
  <c r="X9" i="3" a="1"/>
  <c r="X9" i="3" s="1"/>
  <c r="V9" i="3" a="1"/>
  <c r="V9" i="3" s="1"/>
  <c r="AB10" i="3" a="1"/>
  <c r="AB10" i="3" s="1"/>
  <c r="Y10" i="3" a="1"/>
  <c r="Y10" i="3" s="1"/>
  <c r="AD10" i="3" a="1"/>
  <c r="AD10" i="3" s="1"/>
  <c r="Z10" i="3" a="1"/>
  <c r="Z10" i="3" s="1"/>
  <c r="AA10" i="3" a="1"/>
  <c r="AA10" i="3" s="1"/>
  <c r="AC10" i="3" a="1"/>
  <c r="AC10" i="3" s="1"/>
  <c r="V10" i="3" a="1"/>
  <c r="V10" i="3" s="1"/>
  <c r="X10" i="3" a="1"/>
  <c r="X10" i="3" s="1"/>
  <c r="W10" i="3" a="1"/>
  <c r="W10" i="3" s="1"/>
  <c r="I9" i="6" a="1"/>
  <c r="I9" i="6" s="1"/>
  <c r="F9" i="6" a="1"/>
  <c r="F9" i="6" s="1"/>
  <c r="G9" i="6" a="1"/>
  <c r="G9" i="6" s="1"/>
  <c r="J9" i="6" a="1"/>
  <c r="J9" i="6" s="1"/>
  <c r="H9" i="6" a="1"/>
  <c r="H9" i="6" s="1"/>
  <c r="K9" i="6" a="1"/>
  <c r="K9" i="6" s="1"/>
  <c r="D9" i="6" a="1"/>
  <c r="D9" i="6" s="1"/>
  <c r="C9" i="6" a="1"/>
  <c r="C9" i="6" s="1"/>
  <c r="E9" i="6" a="1"/>
  <c r="E9" i="6" s="1"/>
  <c r="L9" i="6" a="1"/>
  <c r="L9" i="6" s="1"/>
  <c r="I9" i="3" a="1"/>
  <c r="I9" i="3" s="1"/>
  <c r="J9" i="3" a="1"/>
  <c r="J9" i="3" s="1"/>
  <c r="I10" i="3" a="1"/>
  <c r="I10" i="3" s="1"/>
  <c r="J10" i="3" a="1"/>
  <c r="J10" i="3" s="1"/>
  <c r="D10" i="3" a="1"/>
  <c r="D10" i="3" s="1"/>
  <c r="F10" i="3" a="1"/>
  <c r="F10" i="3" s="1"/>
  <c r="H10" i="3" a="1"/>
  <c r="H10" i="3" s="1"/>
  <c r="G10" i="3" a="1"/>
  <c r="G10" i="3" s="1"/>
  <c r="C9" i="3" a="1"/>
  <c r="C9" i="3" s="1"/>
  <c r="F9" i="3" a="1"/>
  <c r="F9" i="3" s="1"/>
  <c r="G9" i="3" a="1"/>
  <c r="G9" i="3" s="1"/>
  <c r="H9" i="3" a="1"/>
  <c r="H9" i="3" s="1"/>
  <c r="D9" i="3" a="1"/>
  <c r="D9" i="3" s="1"/>
  <c r="A10" i="6"/>
  <c r="B9" i="6" a="1"/>
  <c r="B9" i="6" s="1"/>
  <c r="C10" i="3" a="1"/>
  <c r="C10" i="3" s="1"/>
  <c r="E10" i="3" a="1"/>
  <c r="E10" i="3" s="1"/>
  <c r="K10" i="3" a="1"/>
  <c r="K10" i="3" s="1"/>
  <c r="Q10" i="3" a="1"/>
  <c r="Q10" i="3" s="1"/>
  <c r="R10" i="3" a="1"/>
  <c r="R10" i="3" s="1"/>
  <c r="L10" i="3" a="1"/>
  <c r="L10" i="3" s="1"/>
  <c r="M10" i="3" a="1"/>
  <c r="M10" i="3" s="1"/>
  <c r="O10" i="3" a="1"/>
  <c r="O10" i="3" s="1"/>
  <c r="U10" i="3" a="1"/>
  <c r="U10" i="3" s="1"/>
  <c r="P10" i="3" a="1"/>
  <c r="P10" i="3" s="1"/>
  <c r="S10" i="3" a="1"/>
  <c r="S10" i="3" s="1"/>
  <c r="N10" i="3" a="1"/>
  <c r="N10" i="3" s="1"/>
  <c r="T10" i="3" a="1"/>
  <c r="T10" i="3" s="1"/>
  <c r="B11" i="3"/>
  <c r="AB11" i="3" l="1" a="1"/>
  <c r="AB11" i="3" s="1"/>
  <c r="AD11" i="3" a="1"/>
  <c r="AD11" i="3" s="1"/>
  <c r="AA11" i="3" a="1"/>
  <c r="AA11" i="3" s="1"/>
  <c r="Y11" i="3" a="1"/>
  <c r="Y11" i="3" s="1"/>
  <c r="Z11" i="3" a="1"/>
  <c r="Z11" i="3" s="1"/>
  <c r="AC11" i="3" a="1"/>
  <c r="AC11" i="3" s="1"/>
  <c r="V11" i="3" a="1"/>
  <c r="V11" i="3" s="1"/>
  <c r="X11" i="3" a="1"/>
  <c r="X11" i="3" s="1"/>
  <c r="W11" i="3" a="1"/>
  <c r="W11" i="3" s="1"/>
  <c r="I10" i="6" a="1"/>
  <c r="I10" i="6" s="1"/>
  <c r="J10" i="6" a="1"/>
  <c r="J10" i="6" s="1"/>
  <c r="K10" i="6" a="1"/>
  <c r="K10" i="6" s="1"/>
  <c r="D10" i="6" a="1"/>
  <c r="D10" i="6" s="1"/>
  <c r="F10" i="6" a="1"/>
  <c r="F10" i="6" s="1"/>
  <c r="G10" i="6" a="1"/>
  <c r="G10" i="6" s="1"/>
  <c r="H10" i="6" a="1"/>
  <c r="H10" i="6" s="1"/>
  <c r="C10" i="6" a="1"/>
  <c r="C10" i="6" s="1"/>
  <c r="M10" i="6" a="1"/>
  <c r="M10" i="6" s="1"/>
  <c r="L10" i="6" a="1"/>
  <c r="L10" i="6" s="1"/>
  <c r="E10" i="6" a="1"/>
  <c r="E10" i="6" s="1"/>
  <c r="I11" i="3" a="1"/>
  <c r="I11" i="3" s="1"/>
  <c r="J11" i="3" a="1"/>
  <c r="J11" i="3" s="1"/>
  <c r="D11" i="3" a="1"/>
  <c r="D11" i="3" s="1"/>
  <c r="H11" i="3" a="1"/>
  <c r="H11" i="3" s="1"/>
  <c r="G11" i="3" a="1"/>
  <c r="G11" i="3" s="1"/>
  <c r="F11" i="3" a="1"/>
  <c r="F11" i="3" s="1"/>
  <c r="B10" i="6" a="1"/>
  <c r="B10" i="6" s="1"/>
  <c r="A11" i="6"/>
  <c r="C11" i="3" a="1"/>
  <c r="C11" i="3" s="1"/>
  <c r="E11" i="3" a="1"/>
  <c r="E11" i="3" s="1"/>
  <c r="R11" i="3" a="1"/>
  <c r="R11" i="3" s="1"/>
  <c r="K11" i="3" a="1"/>
  <c r="K11" i="3" s="1"/>
  <c r="Q11" i="3" a="1"/>
  <c r="Q11" i="3" s="1"/>
  <c r="T11" i="3" a="1"/>
  <c r="T11" i="3" s="1"/>
  <c r="M11" i="3" a="1"/>
  <c r="M11" i="3" s="1"/>
  <c r="L11" i="3" a="1"/>
  <c r="L11" i="3" s="1"/>
  <c r="S11" i="3" a="1"/>
  <c r="S11" i="3" s="1"/>
  <c r="O11" i="3" a="1"/>
  <c r="O11" i="3" s="1"/>
  <c r="U11" i="3" a="1"/>
  <c r="U11" i="3" s="1"/>
  <c r="N11" i="3" a="1"/>
  <c r="N11" i="3" s="1"/>
  <c r="P11" i="3" a="1"/>
  <c r="P11" i="3" s="1"/>
  <c r="B12" i="3"/>
  <c r="Y12" i="3" l="1" a="1"/>
  <c r="Y12" i="3" s="1"/>
  <c r="AB12" i="3" a="1"/>
  <c r="AB12" i="3" s="1"/>
  <c r="AD12" i="3" a="1"/>
  <c r="AD12" i="3" s="1"/>
  <c r="Z12" i="3" a="1"/>
  <c r="Z12" i="3" s="1"/>
  <c r="AA12" i="3" a="1"/>
  <c r="AA12" i="3" s="1"/>
  <c r="AC12" i="3" a="1"/>
  <c r="AC12" i="3" s="1"/>
  <c r="X12" i="3" a="1"/>
  <c r="X12" i="3" s="1"/>
  <c r="W12" i="3" a="1"/>
  <c r="W12" i="3" s="1"/>
  <c r="V12" i="3" a="1"/>
  <c r="V12" i="3" s="1"/>
  <c r="I11" i="6" a="1"/>
  <c r="I11" i="6" s="1"/>
  <c r="D11" i="6" a="1"/>
  <c r="D11" i="6" s="1"/>
  <c r="F11" i="6" a="1"/>
  <c r="F11" i="6" s="1"/>
  <c r="J11" i="6" a="1"/>
  <c r="J11" i="6" s="1"/>
  <c r="G11" i="6" a="1"/>
  <c r="G11" i="6" s="1"/>
  <c r="H11" i="6" a="1"/>
  <c r="H11" i="6" s="1"/>
  <c r="K11" i="6" a="1"/>
  <c r="K11" i="6" s="1"/>
  <c r="M11" i="6" a="1"/>
  <c r="M11" i="6" s="1"/>
  <c r="L11" i="6" a="1"/>
  <c r="L11" i="6" s="1"/>
  <c r="E11" i="6" a="1"/>
  <c r="E11" i="6" s="1"/>
  <c r="C11" i="6" a="1"/>
  <c r="C11" i="6" s="1"/>
  <c r="I12" i="3" a="1"/>
  <c r="I12" i="3" s="1"/>
  <c r="J12" i="3" a="1"/>
  <c r="J12" i="3" s="1"/>
  <c r="D12" i="3" a="1"/>
  <c r="D12" i="3" s="1"/>
  <c r="H12" i="3" a="1"/>
  <c r="H12" i="3" s="1"/>
  <c r="G12" i="3" a="1"/>
  <c r="G12" i="3" s="1"/>
  <c r="F12" i="3" a="1"/>
  <c r="F12" i="3" s="1"/>
  <c r="B11" i="6" a="1"/>
  <c r="B11" i="6" s="1"/>
  <c r="A12" i="6"/>
  <c r="C12" i="3" a="1"/>
  <c r="C12" i="3" s="1"/>
  <c r="Q12" i="3" a="1"/>
  <c r="Q12" i="3" s="1"/>
  <c r="E12" i="3" a="1"/>
  <c r="E12" i="3" s="1"/>
  <c r="K12" i="3" a="1"/>
  <c r="K12" i="3" s="1"/>
  <c r="R12" i="3" a="1"/>
  <c r="R12" i="3" s="1"/>
  <c r="S12" i="3" a="1"/>
  <c r="S12" i="3" s="1"/>
  <c r="M12" i="3" a="1"/>
  <c r="M12" i="3" s="1"/>
  <c r="L12" i="3" a="1"/>
  <c r="L12" i="3" s="1"/>
  <c r="T12" i="3" a="1"/>
  <c r="T12" i="3" s="1"/>
  <c r="O12" i="3" a="1"/>
  <c r="O12" i="3" s="1"/>
  <c r="N12" i="3" a="1"/>
  <c r="N12" i="3" s="1"/>
  <c r="P12" i="3" a="1"/>
  <c r="P12" i="3" s="1"/>
  <c r="U12" i="3" a="1"/>
  <c r="U12" i="3" s="1"/>
  <c r="B13" i="3"/>
  <c r="AD13" i="3" l="1" a="1"/>
  <c r="AD13" i="3" s="1"/>
  <c r="AB13" i="3" a="1"/>
  <c r="AB13" i="3" s="1"/>
  <c r="Y13" i="3" a="1"/>
  <c r="Y13" i="3" s="1"/>
  <c r="AA13" i="3" a="1"/>
  <c r="AA13" i="3" s="1"/>
  <c r="Z13" i="3" a="1"/>
  <c r="Z13" i="3" s="1"/>
  <c r="AC13" i="3" a="1"/>
  <c r="AC13" i="3" s="1"/>
  <c r="X13" i="3" a="1"/>
  <c r="X13" i="3" s="1"/>
  <c r="W13" i="3" a="1"/>
  <c r="W13" i="3" s="1"/>
  <c r="V13" i="3" a="1"/>
  <c r="V13" i="3" s="1"/>
  <c r="I12" i="6" a="1"/>
  <c r="I12" i="6" s="1"/>
  <c r="D12" i="6" a="1"/>
  <c r="D12" i="6" s="1"/>
  <c r="F12" i="6" a="1"/>
  <c r="F12" i="6" s="1"/>
  <c r="G12" i="6" a="1"/>
  <c r="G12" i="6" s="1"/>
  <c r="J12" i="6" a="1"/>
  <c r="J12" i="6" s="1"/>
  <c r="H12" i="6" a="1"/>
  <c r="H12" i="6" s="1"/>
  <c r="K12" i="6" a="1"/>
  <c r="K12" i="6" s="1"/>
  <c r="M12" i="6" a="1"/>
  <c r="M12" i="6" s="1"/>
  <c r="L12" i="6" a="1"/>
  <c r="L12" i="6" s="1"/>
  <c r="C12" i="6" a="1"/>
  <c r="C12" i="6" s="1"/>
  <c r="E12" i="6" a="1"/>
  <c r="E12" i="6" s="1"/>
  <c r="I13" i="3" a="1"/>
  <c r="I13" i="3" s="1"/>
  <c r="J13" i="3" a="1"/>
  <c r="J13" i="3" s="1"/>
  <c r="D13" i="3" a="1"/>
  <c r="D13" i="3" s="1"/>
  <c r="F13" i="3" a="1"/>
  <c r="F13" i="3" s="1"/>
  <c r="H13" i="3" a="1"/>
  <c r="H13" i="3" s="1"/>
  <c r="G13" i="3" a="1"/>
  <c r="G13" i="3" s="1"/>
  <c r="B12" i="6" a="1"/>
  <c r="B12" i="6" s="1"/>
  <c r="A13" i="6"/>
  <c r="C13" i="3" a="1"/>
  <c r="C13" i="3" s="1"/>
  <c r="Q13" i="3" a="1"/>
  <c r="Q13" i="3" s="1"/>
  <c r="E13" i="3" a="1"/>
  <c r="E13" i="3" s="1"/>
  <c r="R13" i="3" a="1"/>
  <c r="R13" i="3" s="1"/>
  <c r="K13" i="3" a="1"/>
  <c r="K13" i="3" s="1"/>
  <c r="M13" i="3" a="1"/>
  <c r="M13" i="3" s="1"/>
  <c r="T13" i="3" a="1"/>
  <c r="T13" i="3" s="1"/>
  <c r="L13" i="3" a="1"/>
  <c r="L13" i="3" s="1"/>
  <c r="S13" i="3" a="1"/>
  <c r="S13" i="3" s="1"/>
  <c r="O13" i="3" a="1"/>
  <c r="O13" i="3" s="1"/>
  <c r="P13" i="3" a="1"/>
  <c r="P13" i="3" s="1"/>
  <c r="U13" i="3" a="1"/>
  <c r="U13" i="3" s="1"/>
  <c r="N13" i="3" a="1"/>
  <c r="N13" i="3" s="1"/>
  <c r="B14" i="3"/>
  <c r="AD14" i="3" l="1" a="1"/>
  <c r="AD14" i="3" s="1"/>
  <c r="Y14" i="3" a="1"/>
  <c r="Y14" i="3" s="1"/>
  <c r="AB14" i="3" a="1"/>
  <c r="AB14" i="3" s="1"/>
  <c r="Z14" i="3" a="1"/>
  <c r="Z14" i="3" s="1"/>
  <c r="AA14" i="3" a="1"/>
  <c r="AA14" i="3" s="1"/>
  <c r="AC14" i="3" a="1"/>
  <c r="AC14" i="3" s="1"/>
  <c r="V14" i="3" a="1"/>
  <c r="V14" i="3" s="1"/>
  <c r="W14" i="3" a="1"/>
  <c r="W14" i="3" s="1"/>
  <c r="X14" i="3" a="1"/>
  <c r="X14" i="3" s="1"/>
  <c r="I13" i="6" a="1"/>
  <c r="I13" i="6" s="1"/>
  <c r="J13" i="6" a="1"/>
  <c r="J13" i="6" s="1"/>
  <c r="F13" i="6" a="1"/>
  <c r="F13" i="6" s="1"/>
  <c r="G13" i="6" a="1"/>
  <c r="G13" i="6" s="1"/>
  <c r="H13" i="6" a="1"/>
  <c r="H13" i="6" s="1"/>
  <c r="K13" i="6" a="1"/>
  <c r="K13" i="6" s="1"/>
  <c r="D13" i="6" a="1"/>
  <c r="D13" i="6" s="1"/>
  <c r="L13" i="6" a="1"/>
  <c r="L13" i="6" s="1"/>
  <c r="E13" i="6" a="1"/>
  <c r="E13" i="6" s="1"/>
  <c r="C13" i="6" a="1"/>
  <c r="C13" i="6" s="1"/>
  <c r="M13" i="6" a="1"/>
  <c r="M13" i="6" s="1"/>
  <c r="I14" i="3" a="1"/>
  <c r="I14" i="3" s="1"/>
  <c r="J14" i="3" a="1"/>
  <c r="J14" i="3" s="1"/>
  <c r="D14" i="3" a="1"/>
  <c r="D14" i="3" s="1"/>
  <c r="H14" i="3" a="1"/>
  <c r="H14" i="3" s="1"/>
  <c r="G14" i="3" a="1"/>
  <c r="G14" i="3" s="1"/>
  <c r="F14" i="3" a="1"/>
  <c r="F14" i="3" s="1"/>
  <c r="B13" i="6" a="1"/>
  <c r="B13" i="6" s="1"/>
  <c r="A14" i="6"/>
  <c r="C14" i="3" a="1"/>
  <c r="C14" i="3" s="1"/>
  <c r="K14" i="3" a="1"/>
  <c r="K14" i="3" s="1"/>
  <c r="Q14" i="3" a="1"/>
  <c r="Q14" i="3" s="1"/>
  <c r="E14" i="3" a="1"/>
  <c r="E14" i="3" s="1"/>
  <c r="R14" i="3" a="1"/>
  <c r="R14" i="3" s="1"/>
  <c r="S14" i="3" a="1"/>
  <c r="S14" i="3" s="1"/>
  <c r="M14" i="3" a="1"/>
  <c r="M14" i="3" s="1"/>
  <c r="T14" i="3" a="1"/>
  <c r="T14" i="3" s="1"/>
  <c r="L14" i="3" a="1"/>
  <c r="L14" i="3" s="1"/>
  <c r="U14" i="3" a="1"/>
  <c r="U14" i="3" s="1"/>
  <c r="O14" i="3" a="1"/>
  <c r="O14" i="3" s="1"/>
  <c r="P14" i="3" a="1"/>
  <c r="P14" i="3" s="1"/>
  <c r="N14" i="3" a="1"/>
  <c r="N14" i="3" s="1"/>
  <c r="B15" i="3"/>
  <c r="AD15" i="3" l="1" a="1"/>
  <c r="AD15" i="3" s="1"/>
  <c r="AB15" i="3" a="1"/>
  <c r="AB15" i="3" s="1"/>
  <c r="Y15" i="3" a="1"/>
  <c r="Y15" i="3" s="1"/>
  <c r="AA15" i="3" a="1"/>
  <c r="AA15" i="3" s="1"/>
  <c r="Z15" i="3" a="1"/>
  <c r="Z15" i="3" s="1"/>
  <c r="AC15" i="3" a="1"/>
  <c r="AC15" i="3" s="1"/>
  <c r="W15" i="3" a="1"/>
  <c r="W15" i="3" s="1"/>
  <c r="X15" i="3" a="1"/>
  <c r="X15" i="3" s="1"/>
  <c r="V15" i="3" a="1"/>
  <c r="V15" i="3" s="1"/>
  <c r="I14" i="6" a="1"/>
  <c r="I14" i="6" s="1"/>
  <c r="K14" i="6" a="1"/>
  <c r="K14" i="6" s="1"/>
  <c r="D14" i="6" a="1"/>
  <c r="D14" i="6" s="1"/>
  <c r="F14" i="6" a="1"/>
  <c r="F14" i="6" s="1"/>
  <c r="G14" i="6" a="1"/>
  <c r="G14" i="6" s="1"/>
  <c r="J14" i="6" a="1"/>
  <c r="J14" i="6" s="1"/>
  <c r="H14" i="6" a="1"/>
  <c r="H14" i="6" s="1"/>
  <c r="M14" i="6" a="1"/>
  <c r="M14" i="6" s="1"/>
  <c r="L14" i="6" a="1"/>
  <c r="L14" i="6" s="1"/>
  <c r="E14" i="6" a="1"/>
  <c r="E14" i="6" s="1"/>
  <c r="C14" i="6" a="1"/>
  <c r="C14" i="6" s="1"/>
  <c r="I15" i="3" a="1"/>
  <c r="I15" i="3" s="1"/>
  <c r="J15" i="3" a="1"/>
  <c r="J15" i="3" s="1"/>
  <c r="D15" i="3" a="1"/>
  <c r="D15" i="3" s="1"/>
  <c r="G15" i="3" a="1"/>
  <c r="G15" i="3" s="1"/>
  <c r="F15" i="3" a="1"/>
  <c r="F15" i="3" s="1"/>
  <c r="H15" i="3" a="1"/>
  <c r="H15" i="3" s="1"/>
  <c r="B14" i="6" a="1"/>
  <c r="B14" i="6" s="1"/>
  <c r="A15" i="6"/>
  <c r="C15" i="3" a="1"/>
  <c r="C15" i="3" s="1"/>
  <c r="K15" i="3" a="1"/>
  <c r="K15" i="3" s="1"/>
  <c r="R15" i="3" a="1"/>
  <c r="R15" i="3" s="1"/>
  <c r="E15" i="3" a="1"/>
  <c r="E15" i="3" s="1"/>
  <c r="Q15" i="3" a="1"/>
  <c r="Q15" i="3" s="1"/>
  <c r="L15" i="3" a="1"/>
  <c r="L15" i="3" s="1"/>
  <c r="T15" i="3" a="1"/>
  <c r="T15" i="3" s="1"/>
  <c r="S15" i="3" a="1"/>
  <c r="S15" i="3" s="1"/>
  <c r="M15" i="3" a="1"/>
  <c r="M15" i="3" s="1"/>
  <c r="N15" i="3" a="1"/>
  <c r="N15" i="3" s="1"/>
  <c r="O15" i="3" a="1"/>
  <c r="O15" i="3" s="1"/>
  <c r="U15" i="3" a="1"/>
  <c r="U15" i="3" s="1"/>
  <c r="P15" i="3" a="1"/>
  <c r="P15" i="3" s="1"/>
  <c r="B16" i="3"/>
  <c r="Y16" i="3" l="1" a="1"/>
  <c r="Y16" i="3" s="1"/>
  <c r="AB16" i="3" a="1"/>
  <c r="AB16" i="3" s="1"/>
  <c r="AD16" i="3" a="1"/>
  <c r="AD16" i="3" s="1"/>
  <c r="Z16" i="3" a="1"/>
  <c r="Z16" i="3" s="1"/>
  <c r="AA16" i="3" a="1"/>
  <c r="AA16" i="3" s="1"/>
  <c r="AC16" i="3" a="1"/>
  <c r="AC16" i="3" s="1"/>
  <c r="V16" i="3" a="1"/>
  <c r="V16" i="3" s="1"/>
  <c r="X16" i="3" a="1"/>
  <c r="X16" i="3" s="1"/>
  <c r="W16" i="3" a="1"/>
  <c r="W16" i="3" s="1"/>
  <c r="I15" i="6" a="1"/>
  <c r="I15" i="6" s="1"/>
  <c r="J15" i="6" a="1"/>
  <c r="J15" i="6" s="1"/>
  <c r="D15" i="6" a="1"/>
  <c r="D15" i="6" s="1"/>
  <c r="F15" i="6" a="1"/>
  <c r="F15" i="6" s="1"/>
  <c r="G15" i="6" a="1"/>
  <c r="G15" i="6" s="1"/>
  <c r="H15" i="6" a="1"/>
  <c r="H15" i="6" s="1"/>
  <c r="K15" i="6" a="1"/>
  <c r="K15" i="6" s="1"/>
  <c r="L15" i="6" a="1"/>
  <c r="L15" i="6" s="1"/>
  <c r="E15" i="6" a="1"/>
  <c r="E15" i="6" s="1"/>
  <c r="C15" i="6" a="1"/>
  <c r="C15" i="6" s="1"/>
  <c r="M15" i="6" a="1"/>
  <c r="M15" i="6" s="1"/>
  <c r="I16" i="3" a="1"/>
  <c r="I16" i="3" s="1"/>
  <c r="J16" i="3" a="1"/>
  <c r="J16" i="3" s="1"/>
  <c r="D16" i="3" a="1"/>
  <c r="D16" i="3" s="1"/>
  <c r="F16" i="3" a="1"/>
  <c r="F16" i="3" s="1"/>
  <c r="H16" i="3" a="1"/>
  <c r="H16" i="3" s="1"/>
  <c r="G16" i="3" a="1"/>
  <c r="G16" i="3" s="1"/>
  <c r="B15" i="6" a="1"/>
  <c r="B15" i="6" s="1"/>
  <c r="A16" i="6"/>
  <c r="C16" i="3" a="1"/>
  <c r="C16" i="3" s="1"/>
  <c r="Q16" i="3" a="1"/>
  <c r="Q16" i="3" s="1"/>
  <c r="E16" i="3" a="1"/>
  <c r="E16" i="3" s="1"/>
  <c r="R16" i="3" a="1"/>
  <c r="R16" i="3" s="1"/>
  <c r="K16" i="3" a="1"/>
  <c r="K16" i="3" s="1"/>
  <c r="M16" i="3" a="1"/>
  <c r="M16" i="3" s="1"/>
  <c r="T16" i="3" a="1"/>
  <c r="T16" i="3" s="1"/>
  <c r="L16" i="3" a="1"/>
  <c r="L16" i="3" s="1"/>
  <c r="S16" i="3" a="1"/>
  <c r="S16" i="3" s="1"/>
  <c r="U16" i="3" a="1"/>
  <c r="U16" i="3" s="1"/>
  <c r="O16" i="3" a="1"/>
  <c r="O16" i="3" s="1"/>
  <c r="N16" i="3" a="1"/>
  <c r="N16" i="3" s="1"/>
  <c r="P16" i="3" a="1"/>
  <c r="P16" i="3" s="1"/>
  <c r="B17" i="3"/>
  <c r="AB17" i="3" l="1" a="1"/>
  <c r="AB17" i="3" s="1"/>
  <c r="AD17" i="3" a="1"/>
  <c r="AD17" i="3" s="1"/>
  <c r="AA17" i="3" a="1"/>
  <c r="AA17" i="3" s="1"/>
  <c r="Y17" i="3" a="1"/>
  <c r="Y17" i="3" s="1"/>
  <c r="Z17" i="3" a="1"/>
  <c r="Z17" i="3" s="1"/>
  <c r="AC17" i="3" a="1"/>
  <c r="AC17" i="3" s="1"/>
  <c r="X17" i="3" a="1"/>
  <c r="X17" i="3" s="1"/>
  <c r="W17" i="3" a="1"/>
  <c r="W17" i="3" s="1"/>
  <c r="V17" i="3" a="1"/>
  <c r="V17" i="3" s="1"/>
  <c r="I16" i="6" a="1"/>
  <c r="I16" i="6" s="1"/>
  <c r="D16" i="6" a="1"/>
  <c r="D16" i="6" s="1"/>
  <c r="F16" i="6" a="1"/>
  <c r="F16" i="6" s="1"/>
  <c r="J16" i="6" a="1"/>
  <c r="J16" i="6" s="1"/>
  <c r="G16" i="6" a="1"/>
  <c r="G16" i="6" s="1"/>
  <c r="H16" i="6" a="1"/>
  <c r="H16" i="6" s="1"/>
  <c r="K16" i="6" a="1"/>
  <c r="K16" i="6" s="1"/>
  <c r="M16" i="6" a="1"/>
  <c r="M16" i="6" s="1"/>
  <c r="C16" i="6" a="1"/>
  <c r="C16" i="6" s="1"/>
  <c r="L16" i="6" a="1"/>
  <c r="L16" i="6" s="1"/>
  <c r="E16" i="6" a="1"/>
  <c r="E16" i="6" s="1"/>
  <c r="I17" i="3" a="1"/>
  <c r="I17" i="3" s="1"/>
  <c r="J17" i="3" a="1"/>
  <c r="J17" i="3" s="1"/>
  <c r="D17" i="3" a="1"/>
  <c r="D17" i="3" s="1"/>
  <c r="H17" i="3" a="1"/>
  <c r="H17" i="3" s="1"/>
  <c r="G17" i="3" a="1"/>
  <c r="G17" i="3" s="1"/>
  <c r="F17" i="3" a="1"/>
  <c r="F17" i="3" s="1"/>
  <c r="B16" i="6" a="1"/>
  <c r="B16" i="6" s="1"/>
  <c r="A17" i="6"/>
  <c r="C17" i="3" a="1"/>
  <c r="C17" i="3" s="1"/>
  <c r="R17" i="3" a="1"/>
  <c r="R17" i="3" s="1"/>
  <c r="E17" i="3" a="1"/>
  <c r="E17" i="3" s="1"/>
  <c r="Q17" i="3" a="1"/>
  <c r="Q17" i="3" s="1"/>
  <c r="K17" i="3" a="1"/>
  <c r="K17" i="3" s="1"/>
  <c r="S17" i="3" a="1"/>
  <c r="S17" i="3" s="1"/>
  <c r="M17" i="3" a="1"/>
  <c r="M17" i="3" s="1"/>
  <c r="L17" i="3" a="1"/>
  <c r="L17" i="3" s="1"/>
  <c r="N17" i="3" a="1"/>
  <c r="N17" i="3" s="1"/>
  <c r="U17" i="3" a="1"/>
  <c r="U17" i="3" s="1"/>
  <c r="T17" i="3" a="1"/>
  <c r="T17" i="3" s="1"/>
  <c r="P17" i="3" a="1"/>
  <c r="P17" i="3" s="1"/>
  <c r="O17" i="3" a="1"/>
  <c r="O17" i="3" s="1"/>
  <c r="B18" i="3"/>
  <c r="AB18" i="3" l="1" a="1"/>
  <c r="AB18" i="3" s="1"/>
  <c r="AD18" i="3" a="1"/>
  <c r="AD18" i="3" s="1"/>
  <c r="Y18" i="3" a="1"/>
  <c r="Y18" i="3" s="1"/>
  <c r="Z18" i="3" a="1"/>
  <c r="Z18" i="3" s="1"/>
  <c r="AA18" i="3" a="1"/>
  <c r="AA18" i="3" s="1"/>
  <c r="AC18" i="3" a="1"/>
  <c r="AC18" i="3" s="1"/>
  <c r="V18" i="3" a="1"/>
  <c r="V18" i="3" s="1"/>
  <c r="X18" i="3" a="1"/>
  <c r="X18" i="3" s="1"/>
  <c r="W18" i="3" a="1"/>
  <c r="W18" i="3" s="1"/>
  <c r="I17" i="6" a="1"/>
  <c r="I17" i="6" s="1"/>
  <c r="F17" i="6" a="1"/>
  <c r="F17" i="6" s="1"/>
  <c r="G17" i="6" a="1"/>
  <c r="G17" i="6" s="1"/>
  <c r="J17" i="6" a="1"/>
  <c r="J17" i="6" s="1"/>
  <c r="H17" i="6" a="1"/>
  <c r="H17" i="6" s="1"/>
  <c r="K17" i="6" a="1"/>
  <c r="K17" i="6" s="1"/>
  <c r="D17" i="6" a="1"/>
  <c r="D17" i="6" s="1"/>
  <c r="C17" i="6" a="1"/>
  <c r="C17" i="6" s="1"/>
  <c r="E17" i="6" a="1"/>
  <c r="E17" i="6" s="1"/>
  <c r="M17" i="6" a="1"/>
  <c r="M17" i="6" s="1"/>
  <c r="L17" i="6" a="1"/>
  <c r="L17" i="6" s="1"/>
  <c r="I18" i="3" a="1"/>
  <c r="I18" i="3" s="1"/>
  <c r="J18" i="3" a="1"/>
  <c r="J18" i="3" s="1"/>
  <c r="D18" i="3" a="1"/>
  <c r="D18" i="3" s="1"/>
  <c r="F18" i="3" a="1"/>
  <c r="F18" i="3" s="1"/>
  <c r="H18" i="3" a="1"/>
  <c r="H18" i="3" s="1"/>
  <c r="G18" i="3" a="1"/>
  <c r="G18" i="3" s="1"/>
  <c r="B17" i="6" a="1"/>
  <c r="B17" i="6" s="1"/>
  <c r="A18" i="6"/>
  <c r="C18" i="3" a="1"/>
  <c r="C18" i="3" s="1"/>
  <c r="K18" i="3" a="1"/>
  <c r="K18" i="3" s="1"/>
  <c r="Q18" i="3" a="1"/>
  <c r="Q18" i="3" s="1"/>
  <c r="E18" i="3" a="1"/>
  <c r="E18" i="3" s="1"/>
  <c r="R18" i="3" a="1"/>
  <c r="R18" i="3" s="1"/>
  <c r="T18" i="3" a="1"/>
  <c r="T18" i="3" s="1"/>
  <c r="L18" i="3" a="1"/>
  <c r="L18" i="3" s="1"/>
  <c r="M18" i="3" a="1"/>
  <c r="M18" i="3" s="1"/>
  <c r="N18" i="3" a="1"/>
  <c r="N18" i="3" s="1"/>
  <c r="S18" i="3" a="1"/>
  <c r="S18" i="3" s="1"/>
  <c r="O18" i="3" a="1"/>
  <c r="O18" i="3" s="1"/>
  <c r="U18" i="3" a="1"/>
  <c r="U18" i="3" s="1"/>
  <c r="P18" i="3" a="1"/>
  <c r="P18" i="3" s="1"/>
  <c r="B19" i="3"/>
  <c r="AB19" i="3" l="1" a="1"/>
  <c r="AB19" i="3" s="1"/>
  <c r="AD19" i="3" a="1"/>
  <c r="AD19" i="3" s="1"/>
  <c r="Y19" i="3" a="1"/>
  <c r="Y19" i="3" s="1"/>
  <c r="AA19" i="3" a="1"/>
  <c r="AA19" i="3" s="1"/>
  <c r="Z19" i="3" a="1"/>
  <c r="Z19" i="3" s="1"/>
  <c r="AC19" i="3" a="1"/>
  <c r="AC19" i="3" s="1"/>
  <c r="V19" i="3" a="1"/>
  <c r="V19" i="3" s="1"/>
  <c r="X19" i="3" a="1"/>
  <c r="X19" i="3" s="1"/>
  <c r="W19" i="3" a="1"/>
  <c r="W19" i="3" s="1"/>
  <c r="I18" i="6" a="1"/>
  <c r="I18" i="6" s="1"/>
  <c r="D18" i="6" a="1"/>
  <c r="D18" i="6" s="1"/>
  <c r="F18" i="6" a="1"/>
  <c r="F18" i="6" s="1"/>
  <c r="G18" i="6" a="1"/>
  <c r="G18" i="6" s="1"/>
  <c r="J18" i="6" a="1"/>
  <c r="J18" i="6" s="1"/>
  <c r="H18" i="6" a="1"/>
  <c r="H18" i="6" s="1"/>
  <c r="K18" i="6" a="1"/>
  <c r="K18" i="6" s="1"/>
  <c r="L18" i="6" a="1"/>
  <c r="L18" i="6" s="1"/>
  <c r="E18" i="6" a="1"/>
  <c r="E18" i="6" s="1"/>
  <c r="C18" i="6" a="1"/>
  <c r="C18" i="6" s="1"/>
  <c r="M18" i="6" a="1"/>
  <c r="M18" i="6" s="1"/>
  <c r="I19" i="3" a="1"/>
  <c r="I19" i="3" s="1"/>
  <c r="J19" i="3" a="1"/>
  <c r="J19" i="3" s="1"/>
  <c r="D19" i="3" a="1"/>
  <c r="D19" i="3" s="1"/>
  <c r="F19" i="3" a="1"/>
  <c r="F19" i="3" s="1"/>
  <c r="H19" i="3" a="1"/>
  <c r="H19" i="3" s="1"/>
  <c r="G19" i="3" a="1"/>
  <c r="G19" i="3" s="1"/>
  <c r="B18" i="6" a="1"/>
  <c r="B18" i="6" s="1"/>
  <c r="A19" i="6"/>
  <c r="C19" i="3" a="1"/>
  <c r="C19" i="3" s="1"/>
  <c r="R19" i="3" a="1"/>
  <c r="R19" i="3" s="1"/>
  <c r="K19" i="3" a="1"/>
  <c r="K19" i="3" s="1"/>
  <c r="Q19" i="3" a="1"/>
  <c r="Q19" i="3" s="1"/>
  <c r="E19" i="3" a="1"/>
  <c r="E19" i="3" s="1"/>
  <c r="S19" i="3" a="1"/>
  <c r="S19" i="3" s="1"/>
  <c r="M19" i="3" a="1"/>
  <c r="M19" i="3" s="1"/>
  <c r="T19" i="3" a="1"/>
  <c r="T19" i="3" s="1"/>
  <c r="L19" i="3" a="1"/>
  <c r="L19" i="3" s="1"/>
  <c r="N19" i="3" a="1"/>
  <c r="N19" i="3" s="1"/>
  <c r="U19" i="3" a="1"/>
  <c r="U19" i="3" s="1"/>
  <c r="O19" i="3" a="1"/>
  <c r="O19" i="3" s="1"/>
  <c r="P19" i="3" a="1"/>
  <c r="P19" i="3" s="1"/>
  <c r="B20" i="3"/>
  <c r="Y20" i="3" l="1" a="1"/>
  <c r="Y20" i="3" s="1"/>
  <c r="AD20" i="3" a="1"/>
  <c r="AD20" i="3" s="1"/>
  <c r="AB20" i="3" a="1"/>
  <c r="AB20" i="3" s="1"/>
  <c r="Z20" i="3" a="1"/>
  <c r="Z20" i="3" s="1"/>
  <c r="AA20" i="3" a="1"/>
  <c r="AA20" i="3" s="1"/>
  <c r="AC20" i="3" a="1"/>
  <c r="AC20" i="3" s="1"/>
  <c r="V20" i="3" a="1"/>
  <c r="V20" i="3" s="1"/>
  <c r="W20" i="3" a="1"/>
  <c r="W20" i="3" s="1"/>
  <c r="X20" i="3" a="1"/>
  <c r="X20" i="3" s="1"/>
  <c r="I19" i="6" a="1"/>
  <c r="I19" i="6" s="1"/>
  <c r="H19" i="6" a="1"/>
  <c r="H19" i="6" s="1"/>
  <c r="J19" i="6" a="1"/>
  <c r="J19" i="6" s="1"/>
  <c r="K19" i="6" a="1"/>
  <c r="K19" i="6" s="1"/>
  <c r="D19" i="6" a="1"/>
  <c r="D19" i="6" s="1"/>
  <c r="F19" i="6" a="1"/>
  <c r="F19" i="6" s="1"/>
  <c r="G19" i="6" a="1"/>
  <c r="G19" i="6" s="1"/>
  <c r="L19" i="6" a="1"/>
  <c r="L19" i="6" s="1"/>
  <c r="E19" i="6" a="1"/>
  <c r="E19" i="6" s="1"/>
  <c r="C19" i="6" a="1"/>
  <c r="C19" i="6" s="1"/>
  <c r="M19" i="6" a="1"/>
  <c r="M19" i="6" s="1"/>
  <c r="I20" i="3" a="1"/>
  <c r="I20" i="3" s="1"/>
  <c r="J20" i="3" a="1"/>
  <c r="J20" i="3" s="1"/>
  <c r="D20" i="3" a="1"/>
  <c r="D20" i="3" s="1"/>
  <c r="H20" i="3" a="1"/>
  <c r="H20" i="3" s="1"/>
  <c r="G20" i="3" a="1"/>
  <c r="G20" i="3" s="1"/>
  <c r="F20" i="3" a="1"/>
  <c r="F20" i="3" s="1"/>
  <c r="B19" i="6" a="1"/>
  <c r="B19" i="6" s="1"/>
  <c r="A20" i="6"/>
  <c r="C20" i="3" a="1"/>
  <c r="C20" i="3" s="1"/>
  <c r="Q20" i="3" a="1"/>
  <c r="Q20" i="3" s="1"/>
  <c r="K20" i="3" a="1"/>
  <c r="K20" i="3" s="1"/>
  <c r="R20" i="3" a="1"/>
  <c r="R20" i="3" s="1"/>
  <c r="E20" i="3" a="1"/>
  <c r="E20" i="3" s="1"/>
  <c r="S20" i="3" a="1"/>
  <c r="S20" i="3" s="1"/>
  <c r="T20" i="3" a="1"/>
  <c r="T20" i="3" s="1"/>
  <c r="L20" i="3" a="1"/>
  <c r="L20" i="3" s="1"/>
  <c r="M20" i="3" a="1"/>
  <c r="M20" i="3" s="1"/>
  <c r="O20" i="3" a="1"/>
  <c r="O20" i="3" s="1"/>
  <c r="U20" i="3" a="1"/>
  <c r="U20" i="3" s="1"/>
  <c r="P20" i="3" a="1"/>
  <c r="P20" i="3" s="1"/>
  <c r="N20" i="3" a="1"/>
  <c r="N20" i="3" s="1"/>
  <c r="B21" i="3"/>
  <c r="AB21" i="3" l="1" a="1"/>
  <c r="AB21" i="3" s="1"/>
  <c r="AD21" i="3" a="1"/>
  <c r="AD21" i="3" s="1"/>
  <c r="Y21" i="3" a="1"/>
  <c r="Y21" i="3" s="1"/>
  <c r="AA21" i="3" a="1"/>
  <c r="AA21" i="3" s="1"/>
  <c r="Z21" i="3" a="1"/>
  <c r="Z21" i="3" s="1"/>
  <c r="AC21" i="3" a="1"/>
  <c r="AC21" i="3" s="1"/>
  <c r="X21" i="3" a="1"/>
  <c r="X21" i="3" s="1"/>
  <c r="W21" i="3" a="1"/>
  <c r="W21" i="3" s="1"/>
  <c r="V21" i="3" a="1"/>
  <c r="V21" i="3" s="1"/>
  <c r="I20" i="6" a="1"/>
  <c r="I20" i="6" s="1"/>
  <c r="J20" i="6" a="1"/>
  <c r="J20" i="6" s="1"/>
  <c r="D20" i="6" a="1"/>
  <c r="D20" i="6" s="1"/>
  <c r="F20" i="6" a="1"/>
  <c r="F20" i="6" s="1"/>
  <c r="G20" i="6" a="1"/>
  <c r="G20" i="6" s="1"/>
  <c r="K20" i="6" a="1"/>
  <c r="K20" i="6" s="1"/>
  <c r="H20" i="6" a="1"/>
  <c r="H20" i="6" s="1"/>
  <c r="C20" i="6" a="1"/>
  <c r="C20" i="6" s="1"/>
  <c r="L20" i="6" a="1"/>
  <c r="L20" i="6" s="1"/>
  <c r="M20" i="6" a="1"/>
  <c r="M20" i="6" s="1"/>
  <c r="E20" i="6" a="1"/>
  <c r="E20" i="6" s="1"/>
  <c r="I21" i="3" a="1"/>
  <c r="I21" i="3" s="1"/>
  <c r="J21" i="3" a="1"/>
  <c r="J21" i="3" s="1"/>
  <c r="D21" i="3" a="1"/>
  <c r="D21" i="3" s="1"/>
  <c r="F21" i="3" a="1"/>
  <c r="F21" i="3" s="1"/>
  <c r="H21" i="3" a="1"/>
  <c r="H21" i="3" s="1"/>
  <c r="G21" i="3" a="1"/>
  <c r="G21" i="3" s="1"/>
  <c r="B20" i="6" a="1"/>
  <c r="B20" i="6" s="1"/>
  <c r="A21" i="6"/>
  <c r="C21" i="3" a="1"/>
  <c r="C21" i="3" s="1"/>
  <c r="Q21" i="3" a="1"/>
  <c r="Q21" i="3" s="1"/>
  <c r="E21" i="3" a="1"/>
  <c r="E21" i="3" s="1"/>
  <c r="K21" i="3" a="1"/>
  <c r="K21" i="3" s="1"/>
  <c r="R21" i="3" a="1"/>
  <c r="R21" i="3" s="1"/>
  <c r="S21" i="3" a="1"/>
  <c r="S21" i="3" s="1"/>
  <c r="M21" i="3" a="1"/>
  <c r="M21" i="3" s="1"/>
  <c r="T21" i="3" a="1"/>
  <c r="T21" i="3" s="1"/>
  <c r="L21" i="3" a="1"/>
  <c r="L21" i="3" s="1"/>
  <c r="N21" i="3" a="1"/>
  <c r="N21" i="3" s="1"/>
  <c r="O21" i="3" a="1"/>
  <c r="O21" i="3" s="1"/>
  <c r="U21" i="3" a="1"/>
  <c r="U21" i="3" s="1"/>
  <c r="P21" i="3" a="1"/>
  <c r="P21" i="3" s="1"/>
  <c r="B22" i="3"/>
  <c r="AD22" i="3" l="1" a="1"/>
  <c r="AD22" i="3" s="1"/>
  <c r="Y22" i="3" a="1"/>
  <c r="Y22" i="3" s="1"/>
  <c r="AB22" i="3" a="1"/>
  <c r="AB22" i="3" s="1"/>
  <c r="Z22" i="3" a="1"/>
  <c r="Z22" i="3" s="1"/>
  <c r="AA22" i="3" a="1"/>
  <c r="AA22" i="3" s="1"/>
  <c r="AC22" i="3" a="1"/>
  <c r="AC22" i="3" s="1"/>
  <c r="X22" i="3" a="1"/>
  <c r="X22" i="3" s="1"/>
  <c r="V22" i="3" a="1"/>
  <c r="V22" i="3" s="1"/>
  <c r="W22" i="3" a="1"/>
  <c r="W22" i="3" s="1"/>
  <c r="I21" i="6" a="1"/>
  <c r="I21" i="6" s="1"/>
  <c r="D21" i="6" a="1"/>
  <c r="D21" i="6" s="1"/>
  <c r="F21" i="6" a="1"/>
  <c r="F21" i="6" s="1"/>
  <c r="G21" i="6" a="1"/>
  <c r="G21" i="6" s="1"/>
  <c r="J21" i="6" a="1"/>
  <c r="J21" i="6" s="1"/>
  <c r="H21" i="6" a="1"/>
  <c r="H21" i="6" s="1"/>
  <c r="K21" i="6" a="1"/>
  <c r="K21" i="6" s="1"/>
  <c r="M21" i="6" a="1"/>
  <c r="M21" i="6" s="1"/>
  <c r="L21" i="6" a="1"/>
  <c r="L21" i="6" s="1"/>
  <c r="E21" i="6" a="1"/>
  <c r="E21" i="6" s="1"/>
  <c r="C21" i="6" a="1"/>
  <c r="C21" i="6" s="1"/>
  <c r="I22" i="3" a="1"/>
  <c r="I22" i="3" s="1"/>
  <c r="J22" i="3" a="1"/>
  <c r="J22" i="3" s="1"/>
  <c r="D22" i="3" a="1"/>
  <c r="D22" i="3" s="1"/>
  <c r="G22" i="3" a="1"/>
  <c r="G22" i="3" s="1"/>
  <c r="F22" i="3" a="1"/>
  <c r="F22" i="3" s="1"/>
  <c r="H22" i="3" a="1"/>
  <c r="H22" i="3" s="1"/>
  <c r="B21" i="6" a="1"/>
  <c r="B21" i="6" s="1"/>
  <c r="A22" i="6"/>
  <c r="C22" i="3" a="1"/>
  <c r="C22" i="3" s="1"/>
  <c r="K22" i="3" a="1"/>
  <c r="K22" i="3" s="1"/>
  <c r="R22" i="3" a="1"/>
  <c r="R22" i="3" s="1"/>
  <c r="Q22" i="3" a="1"/>
  <c r="Q22" i="3" s="1"/>
  <c r="E22" i="3" a="1"/>
  <c r="E22" i="3" s="1"/>
  <c r="S22" i="3" a="1"/>
  <c r="S22" i="3" s="1"/>
  <c r="M22" i="3" a="1"/>
  <c r="M22" i="3" s="1"/>
  <c r="T22" i="3" a="1"/>
  <c r="T22" i="3" s="1"/>
  <c r="L22" i="3" a="1"/>
  <c r="L22" i="3" s="1"/>
  <c r="U22" i="3" a="1"/>
  <c r="U22" i="3" s="1"/>
  <c r="O22" i="3" a="1"/>
  <c r="O22" i="3" s="1"/>
  <c r="P22" i="3" a="1"/>
  <c r="P22" i="3" s="1"/>
  <c r="N22" i="3" a="1"/>
  <c r="N22" i="3" s="1"/>
  <c r="B23" i="3"/>
  <c r="AB23" i="3" l="1" a="1"/>
  <c r="AB23" i="3" s="1"/>
  <c r="AD23" i="3" a="1"/>
  <c r="AD23" i="3" s="1"/>
  <c r="Y23" i="3" a="1"/>
  <c r="Y23" i="3" s="1"/>
  <c r="AA23" i="3" a="1"/>
  <c r="AA23" i="3" s="1"/>
  <c r="Z23" i="3" a="1"/>
  <c r="Z23" i="3" s="1"/>
  <c r="AC23" i="3" a="1"/>
  <c r="AC23" i="3" s="1"/>
  <c r="X23" i="3" a="1"/>
  <c r="X23" i="3" s="1"/>
  <c r="W23" i="3" a="1"/>
  <c r="W23" i="3" s="1"/>
  <c r="V23" i="3" a="1"/>
  <c r="V23" i="3" s="1"/>
  <c r="I22" i="6" a="1"/>
  <c r="I22" i="6" s="1"/>
  <c r="J22" i="6" a="1"/>
  <c r="J22" i="6" s="1"/>
  <c r="F22" i="6" a="1"/>
  <c r="F22" i="6" s="1"/>
  <c r="G22" i="6" a="1"/>
  <c r="G22" i="6" s="1"/>
  <c r="H22" i="6" a="1"/>
  <c r="H22" i="6" s="1"/>
  <c r="D22" i="6" a="1"/>
  <c r="D22" i="6" s="1"/>
  <c r="L22" i="6" a="1"/>
  <c r="L22" i="6" s="1"/>
  <c r="E22" i="6" a="1"/>
  <c r="E22" i="6" s="1"/>
  <c r="C22" i="6" a="1"/>
  <c r="C22" i="6" s="1"/>
  <c r="K22" i="6" a="1"/>
  <c r="K22" i="6" s="1"/>
  <c r="M22" i="6" a="1"/>
  <c r="M22" i="6" s="1"/>
  <c r="I23" i="3" a="1"/>
  <c r="I23" i="3" s="1"/>
  <c r="J23" i="3" a="1"/>
  <c r="J23" i="3" s="1"/>
  <c r="D23" i="3" a="1"/>
  <c r="D23" i="3" s="1"/>
  <c r="H23" i="3" a="1"/>
  <c r="H23" i="3" s="1"/>
  <c r="G23" i="3" a="1"/>
  <c r="G23" i="3" s="1"/>
  <c r="F23" i="3" a="1"/>
  <c r="F23" i="3" s="1"/>
  <c r="B22" i="6" a="1"/>
  <c r="B22" i="6" s="1"/>
  <c r="A23" i="6"/>
  <c r="C23" i="3" a="1"/>
  <c r="C23" i="3" s="1"/>
  <c r="E23" i="3" a="1"/>
  <c r="E23" i="3" s="1"/>
  <c r="R23" i="3" a="1"/>
  <c r="R23" i="3" s="1"/>
  <c r="Q23" i="3" a="1"/>
  <c r="Q23" i="3" s="1"/>
  <c r="K23" i="3" a="1"/>
  <c r="K23" i="3" s="1"/>
  <c r="L23" i="3" a="1"/>
  <c r="L23" i="3" s="1"/>
  <c r="S23" i="3" a="1"/>
  <c r="S23" i="3" s="1"/>
  <c r="T23" i="3" a="1"/>
  <c r="T23" i="3" s="1"/>
  <c r="O23" i="3" a="1"/>
  <c r="O23" i="3" s="1"/>
  <c r="U23" i="3" a="1"/>
  <c r="U23" i="3" s="1"/>
  <c r="P23" i="3" a="1"/>
  <c r="P23" i="3" s="1"/>
  <c r="M23" i="3" a="1"/>
  <c r="M23" i="3" s="1"/>
  <c r="N23" i="3" a="1"/>
  <c r="N23" i="3" s="1"/>
  <c r="B24" i="3"/>
  <c r="AD24" i="3" l="1" a="1"/>
  <c r="AD24" i="3" s="1"/>
  <c r="Y24" i="3" a="1"/>
  <c r="Y24" i="3" s="1"/>
  <c r="AB24" i="3" a="1"/>
  <c r="AB24" i="3" s="1"/>
  <c r="Z24" i="3" a="1"/>
  <c r="Z24" i="3" s="1"/>
  <c r="AA24" i="3" a="1"/>
  <c r="AA24" i="3" s="1"/>
  <c r="AC24" i="3" a="1"/>
  <c r="AC24" i="3" s="1"/>
  <c r="W24" i="3" a="1"/>
  <c r="W24" i="3" s="1"/>
  <c r="V24" i="3" a="1"/>
  <c r="V24" i="3" s="1"/>
  <c r="X24" i="3" a="1"/>
  <c r="X24" i="3" s="1"/>
  <c r="I23" i="6" a="1"/>
  <c r="I23" i="6" s="1"/>
  <c r="D23" i="6" a="1"/>
  <c r="D23" i="6" s="1"/>
  <c r="F23" i="6" a="1"/>
  <c r="F23" i="6" s="1"/>
  <c r="G23" i="6" a="1"/>
  <c r="G23" i="6" s="1"/>
  <c r="J23" i="6" a="1"/>
  <c r="J23" i="6" s="1"/>
  <c r="H23" i="6" a="1"/>
  <c r="H23" i="6" s="1"/>
  <c r="K23" i="6" a="1"/>
  <c r="K23" i="6" s="1"/>
  <c r="M23" i="6" a="1"/>
  <c r="M23" i="6" s="1"/>
  <c r="L23" i="6" a="1"/>
  <c r="L23" i="6" s="1"/>
  <c r="E23" i="6" a="1"/>
  <c r="E23" i="6" s="1"/>
  <c r="C23" i="6" a="1"/>
  <c r="C23" i="6" s="1"/>
  <c r="I24" i="3" a="1"/>
  <c r="I24" i="3" s="1"/>
  <c r="J24" i="3" a="1"/>
  <c r="J24" i="3" s="1"/>
  <c r="D24" i="3" a="1"/>
  <c r="D24" i="3" s="1"/>
  <c r="F24" i="3" a="1"/>
  <c r="F24" i="3" s="1"/>
  <c r="H24" i="3" a="1"/>
  <c r="H24" i="3" s="1"/>
  <c r="G24" i="3" a="1"/>
  <c r="G24" i="3" s="1"/>
  <c r="B23" i="6" a="1"/>
  <c r="B23" i="6" s="1"/>
  <c r="A24" i="6"/>
  <c r="C24" i="3" a="1"/>
  <c r="C24" i="3" s="1"/>
  <c r="K24" i="3" a="1"/>
  <c r="K24" i="3" s="1"/>
  <c r="Q24" i="3" a="1"/>
  <c r="Q24" i="3" s="1"/>
  <c r="E24" i="3" a="1"/>
  <c r="E24" i="3" s="1"/>
  <c r="R24" i="3" a="1"/>
  <c r="R24" i="3" s="1"/>
  <c r="S24" i="3" a="1"/>
  <c r="S24" i="3" s="1"/>
  <c r="M24" i="3" a="1"/>
  <c r="M24" i="3" s="1"/>
  <c r="L24" i="3" a="1"/>
  <c r="L24" i="3" s="1"/>
  <c r="T24" i="3" a="1"/>
  <c r="T24" i="3" s="1"/>
  <c r="O24" i="3" a="1"/>
  <c r="O24" i="3" s="1"/>
  <c r="P24" i="3" a="1"/>
  <c r="P24" i="3" s="1"/>
  <c r="N24" i="3" a="1"/>
  <c r="N24" i="3" s="1"/>
  <c r="U24" i="3" a="1"/>
  <c r="U24" i="3" s="1"/>
  <c r="B25" i="3"/>
  <c r="AA25" i="3" l="1" a="1"/>
  <c r="AA25" i="3" s="1"/>
  <c r="AD25" i="3" a="1"/>
  <c r="AD25" i="3" s="1"/>
  <c r="Y25" i="3" a="1"/>
  <c r="Y25" i="3" s="1"/>
  <c r="AB25" i="3" a="1"/>
  <c r="AB25" i="3" s="1"/>
  <c r="Z25" i="3" a="1"/>
  <c r="Z25" i="3" s="1"/>
  <c r="AC25" i="3" a="1"/>
  <c r="AC25" i="3" s="1"/>
  <c r="X25" i="3" a="1"/>
  <c r="X25" i="3" s="1"/>
  <c r="W25" i="3" a="1"/>
  <c r="W25" i="3" s="1"/>
  <c r="V25" i="3" a="1"/>
  <c r="V25" i="3" s="1"/>
  <c r="I24" i="6" a="1"/>
  <c r="I24" i="6" s="1"/>
  <c r="G24" i="6" a="1"/>
  <c r="G24" i="6" s="1"/>
  <c r="H24" i="6" a="1"/>
  <c r="H24" i="6" s="1"/>
  <c r="J24" i="6" a="1"/>
  <c r="J24" i="6" s="1"/>
  <c r="K24" i="6" a="1"/>
  <c r="K24" i="6" s="1"/>
  <c r="D24" i="6" a="1"/>
  <c r="D24" i="6" s="1"/>
  <c r="F24" i="6" a="1"/>
  <c r="F24" i="6" s="1"/>
  <c r="L24" i="6" a="1"/>
  <c r="L24" i="6" s="1"/>
  <c r="E24" i="6" a="1"/>
  <c r="E24" i="6" s="1"/>
  <c r="C24" i="6" a="1"/>
  <c r="C24" i="6" s="1"/>
  <c r="M24" i="6" a="1"/>
  <c r="M24" i="6" s="1"/>
  <c r="I25" i="3" a="1"/>
  <c r="I25" i="3" s="1"/>
  <c r="J25" i="3" a="1"/>
  <c r="J25" i="3" s="1"/>
  <c r="D25" i="3" a="1"/>
  <c r="D25" i="3" s="1"/>
  <c r="G25" i="3" a="1"/>
  <c r="G25" i="3" s="1"/>
  <c r="H25" i="3" a="1"/>
  <c r="H25" i="3" s="1"/>
  <c r="F25" i="3" a="1"/>
  <c r="F25" i="3" s="1"/>
  <c r="B24" i="6" a="1"/>
  <c r="B24" i="6" s="1"/>
  <c r="A25" i="6"/>
  <c r="C25" i="3" a="1"/>
  <c r="C25" i="3" s="1"/>
  <c r="R25" i="3" a="1"/>
  <c r="R25" i="3" s="1"/>
  <c r="E25" i="3" a="1"/>
  <c r="E25" i="3" s="1"/>
  <c r="K25" i="3" a="1"/>
  <c r="K25" i="3" s="1"/>
  <c r="Q25" i="3" a="1"/>
  <c r="Q25" i="3" s="1"/>
  <c r="L25" i="3" a="1"/>
  <c r="L25" i="3" s="1"/>
  <c r="S25" i="3" a="1"/>
  <c r="S25" i="3" s="1"/>
  <c r="M25" i="3" a="1"/>
  <c r="M25" i="3" s="1"/>
  <c r="T25" i="3" a="1"/>
  <c r="T25" i="3" s="1"/>
  <c r="O25" i="3" a="1"/>
  <c r="O25" i="3" s="1"/>
  <c r="U25" i="3" a="1"/>
  <c r="U25" i="3" s="1"/>
  <c r="P25" i="3" a="1"/>
  <c r="P25" i="3" s="1"/>
  <c r="N25" i="3" a="1"/>
  <c r="N25" i="3" s="1"/>
  <c r="B26" i="3"/>
  <c r="AD26" i="3" l="1" a="1"/>
  <c r="AD26" i="3" s="1"/>
  <c r="Y26" i="3" a="1"/>
  <c r="Y26" i="3" s="1"/>
  <c r="AB26" i="3" a="1"/>
  <c r="AB26" i="3" s="1"/>
  <c r="Z26" i="3" a="1"/>
  <c r="Z26" i="3" s="1"/>
  <c r="AA26" i="3" a="1"/>
  <c r="AA26" i="3" s="1"/>
  <c r="AC26" i="3" a="1"/>
  <c r="AC26" i="3" s="1"/>
  <c r="V26" i="3" a="1"/>
  <c r="V26" i="3" s="1"/>
  <c r="W26" i="3" a="1"/>
  <c r="W26" i="3" s="1"/>
  <c r="X26" i="3" a="1"/>
  <c r="X26" i="3" s="1"/>
  <c r="I25" i="6" a="1"/>
  <c r="I25" i="6" s="1"/>
  <c r="H25" i="6" a="1"/>
  <c r="H25" i="6" s="1"/>
  <c r="K25" i="6" a="1"/>
  <c r="K25" i="6" s="1"/>
  <c r="D25" i="6" a="1"/>
  <c r="D25" i="6" s="1"/>
  <c r="J25" i="6" a="1"/>
  <c r="J25" i="6" s="1"/>
  <c r="F25" i="6" a="1"/>
  <c r="F25" i="6" s="1"/>
  <c r="G25" i="6" a="1"/>
  <c r="G25" i="6" s="1"/>
  <c r="E25" i="6" a="1"/>
  <c r="E25" i="6" s="1"/>
  <c r="C25" i="6" a="1"/>
  <c r="C25" i="6" s="1"/>
  <c r="M25" i="6" a="1"/>
  <c r="M25" i="6" s="1"/>
  <c r="L25" i="6" a="1"/>
  <c r="L25" i="6" s="1"/>
  <c r="I26" i="3" a="1"/>
  <c r="I26" i="3" s="1"/>
  <c r="J26" i="3" a="1"/>
  <c r="J26" i="3" s="1"/>
  <c r="D26" i="3" a="1"/>
  <c r="D26" i="3" s="1"/>
  <c r="F26" i="3" a="1"/>
  <c r="F26" i="3" s="1"/>
  <c r="H26" i="3" a="1"/>
  <c r="H26" i="3" s="1"/>
  <c r="G26" i="3" a="1"/>
  <c r="G26" i="3" s="1"/>
  <c r="B25" i="6" a="1"/>
  <c r="B25" i="6" s="1"/>
  <c r="A26" i="6"/>
  <c r="C26" i="3" a="1"/>
  <c r="C26" i="3" s="1"/>
  <c r="Q26" i="3" a="1"/>
  <c r="Q26" i="3" s="1"/>
  <c r="E26" i="3" a="1"/>
  <c r="E26" i="3" s="1"/>
  <c r="R26" i="3" a="1"/>
  <c r="R26" i="3" s="1"/>
  <c r="K26" i="3" a="1"/>
  <c r="K26" i="3" s="1"/>
  <c r="T26" i="3" a="1"/>
  <c r="T26" i="3" s="1"/>
  <c r="S26" i="3" a="1"/>
  <c r="S26" i="3" s="1"/>
  <c r="L26" i="3" a="1"/>
  <c r="L26" i="3" s="1"/>
  <c r="N26" i="3" a="1"/>
  <c r="N26" i="3" s="1"/>
  <c r="O26" i="3" a="1"/>
  <c r="O26" i="3" s="1"/>
  <c r="U26" i="3" a="1"/>
  <c r="U26" i="3" s="1"/>
  <c r="P26" i="3" a="1"/>
  <c r="P26" i="3" s="1"/>
  <c r="M26" i="3" a="1"/>
  <c r="M26" i="3" s="1"/>
  <c r="B27" i="3"/>
  <c r="AB27" i="3" l="1" a="1"/>
  <c r="AB27" i="3" s="1"/>
  <c r="AD27" i="3" a="1"/>
  <c r="AD27" i="3" s="1"/>
  <c r="Y27" i="3" a="1"/>
  <c r="Y27" i="3" s="1"/>
  <c r="AA27" i="3" a="1"/>
  <c r="AA27" i="3" s="1"/>
  <c r="Z27" i="3" a="1"/>
  <c r="Z27" i="3" s="1"/>
  <c r="AC27" i="3" a="1"/>
  <c r="AC27" i="3" s="1"/>
  <c r="W27" i="3" a="1"/>
  <c r="W27" i="3" s="1"/>
  <c r="X27" i="3" a="1"/>
  <c r="X27" i="3" s="1"/>
  <c r="V27" i="3" a="1"/>
  <c r="V27" i="3" s="1"/>
  <c r="I26" i="6" a="1"/>
  <c r="I26" i="6" s="1"/>
  <c r="F26" i="6" a="1"/>
  <c r="F26" i="6" s="1"/>
  <c r="G26" i="6" a="1"/>
  <c r="G26" i="6" s="1"/>
  <c r="J26" i="6" a="1"/>
  <c r="J26" i="6" s="1"/>
  <c r="H26" i="6" a="1"/>
  <c r="H26" i="6" s="1"/>
  <c r="K26" i="6" a="1"/>
  <c r="K26" i="6" s="1"/>
  <c r="D26" i="6" a="1"/>
  <c r="D26" i="6" s="1"/>
  <c r="L26" i="6" a="1"/>
  <c r="L26" i="6" s="1"/>
  <c r="C26" i="6" a="1"/>
  <c r="C26" i="6" s="1"/>
  <c r="E26" i="6" a="1"/>
  <c r="E26" i="6" s="1"/>
  <c r="M26" i="6" a="1"/>
  <c r="M26" i="6" s="1"/>
  <c r="I27" i="3" a="1"/>
  <c r="I27" i="3" s="1"/>
  <c r="J27" i="3" a="1"/>
  <c r="J27" i="3" s="1"/>
  <c r="D27" i="3" a="1"/>
  <c r="D27" i="3" s="1"/>
  <c r="F27" i="3" a="1"/>
  <c r="F27" i="3" s="1"/>
  <c r="H27" i="3" a="1"/>
  <c r="H27" i="3" s="1"/>
  <c r="G27" i="3" a="1"/>
  <c r="G27" i="3" s="1"/>
  <c r="B26" i="6" a="1"/>
  <c r="B26" i="6" s="1"/>
  <c r="A27" i="6"/>
  <c r="C27" i="3" a="1"/>
  <c r="C27" i="3" s="1"/>
  <c r="Q27" i="3" a="1"/>
  <c r="Q27" i="3" s="1"/>
  <c r="E27" i="3" a="1"/>
  <c r="E27" i="3" s="1"/>
  <c r="K27" i="3" a="1"/>
  <c r="K27" i="3" s="1"/>
  <c r="R27" i="3" a="1"/>
  <c r="R27" i="3" s="1"/>
  <c r="T27" i="3" a="1"/>
  <c r="T27" i="3" s="1"/>
  <c r="M27" i="3" a="1"/>
  <c r="M27" i="3" s="1"/>
  <c r="L27" i="3" a="1"/>
  <c r="L27" i="3" s="1"/>
  <c r="P27" i="3" a="1"/>
  <c r="P27" i="3" s="1"/>
  <c r="O27" i="3" a="1"/>
  <c r="O27" i="3" s="1"/>
  <c r="U27" i="3" a="1"/>
  <c r="U27" i="3" s="1"/>
  <c r="S27" i="3" a="1"/>
  <c r="S27" i="3" s="1"/>
  <c r="N27" i="3" a="1"/>
  <c r="N27" i="3" s="1"/>
  <c r="B28" i="3"/>
  <c r="AB28" i="3" l="1" a="1"/>
  <c r="AB28" i="3" s="1"/>
  <c r="Y28" i="3" a="1"/>
  <c r="Y28" i="3" s="1"/>
  <c r="AD28" i="3" a="1"/>
  <c r="AD28" i="3" s="1"/>
  <c r="Z28" i="3" a="1"/>
  <c r="Z28" i="3" s="1"/>
  <c r="AA28" i="3" a="1"/>
  <c r="AA28" i="3" s="1"/>
  <c r="AC28" i="3" a="1"/>
  <c r="AC28" i="3" s="1"/>
  <c r="W28" i="3" a="1"/>
  <c r="W28" i="3" s="1"/>
  <c r="X28" i="3" a="1"/>
  <c r="X28" i="3" s="1"/>
  <c r="V28" i="3" a="1"/>
  <c r="V28" i="3" s="1"/>
  <c r="I27" i="6" a="1"/>
  <c r="I27" i="6" s="1"/>
  <c r="K27" i="6" a="1"/>
  <c r="K27" i="6" s="1"/>
  <c r="D27" i="6" a="1"/>
  <c r="D27" i="6" s="1"/>
  <c r="F27" i="6" a="1"/>
  <c r="F27" i="6" s="1"/>
  <c r="G27" i="6" a="1"/>
  <c r="G27" i="6" s="1"/>
  <c r="J27" i="6" a="1"/>
  <c r="J27" i="6" s="1"/>
  <c r="H27" i="6" a="1"/>
  <c r="H27" i="6" s="1"/>
  <c r="M27" i="6" a="1"/>
  <c r="M27" i="6" s="1"/>
  <c r="L27" i="6" a="1"/>
  <c r="L27" i="6" s="1"/>
  <c r="E27" i="6" a="1"/>
  <c r="E27" i="6" s="1"/>
  <c r="C27" i="6" a="1"/>
  <c r="C27" i="6" s="1"/>
  <c r="I28" i="3" a="1"/>
  <c r="I28" i="3" s="1"/>
  <c r="J28" i="3" a="1"/>
  <c r="J28" i="3" s="1"/>
  <c r="D28" i="3" a="1"/>
  <c r="D28" i="3" s="1"/>
  <c r="G28" i="3" a="1"/>
  <c r="G28" i="3" s="1"/>
  <c r="F28" i="3" a="1"/>
  <c r="F28" i="3" s="1"/>
  <c r="H28" i="3" a="1"/>
  <c r="H28" i="3" s="1"/>
  <c r="B27" i="6" a="1"/>
  <c r="B27" i="6" s="1"/>
  <c r="A28" i="6"/>
  <c r="C28" i="3" a="1"/>
  <c r="C28" i="3" s="1"/>
  <c r="E28" i="3" a="1"/>
  <c r="E28" i="3" s="1"/>
  <c r="R28" i="3" a="1"/>
  <c r="R28" i="3" s="1"/>
  <c r="Q28" i="3" a="1"/>
  <c r="Q28" i="3" s="1"/>
  <c r="K28" i="3" a="1"/>
  <c r="K28" i="3" s="1"/>
  <c r="S28" i="3" a="1"/>
  <c r="S28" i="3" s="1"/>
  <c r="T28" i="3" a="1"/>
  <c r="T28" i="3" s="1"/>
  <c r="M28" i="3" a="1"/>
  <c r="M28" i="3" s="1"/>
  <c r="L28" i="3" a="1"/>
  <c r="L28" i="3" s="1"/>
  <c r="N28" i="3" a="1"/>
  <c r="N28" i="3" s="1"/>
  <c r="U28" i="3" a="1"/>
  <c r="U28" i="3" s="1"/>
  <c r="O28" i="3" a="1"/>
  <c r="O28" i="3" s="1"/>
  <c r="P28" i="3" a="1"/>
  <c r="P28" i="3" s="1"/>
  <c r="B29" i="3"/>
  <c r="AB29" i="3" l="1" a="1"/>
  <c r="AB29" i="3" s="1"/>
  <c r="AD29" i="3" a="1"/>
  <c r="AD29" i="3" s="1"/>
  <c r="AA29" i="3" a="1"/>
  <c r="AA29" i="3" s="1"/>
  <c r="Y29" i="3" a="1"/>
  <c r="Y29" i="3" s="1"/>
  <c r="Z29" i="3" a="1"/>
  <c r="Z29" i="3" s="1"/>
  <c r="AC29" i="3" a="1"/>
  <c r="AC29" i="3" s="1"/>
  <c r="W29" i="3" a="1"/>
  <c r="W29" i="3" s="1"/>
  <c r="X29" i="3" a="1"/>
  <c r="X29" i="3" s="1"/>
  <c r="V29" i="3" a="1"/>
  <c r="V29" i="3" s="1"/>
  <c r="I28" i="6" a="1"/>
  <c r="I28" i="6" s="1"/>
  <c r="F28" i="6" a="1"/>
  <c r="F28" i="6" s="1"/>
  <c r="G28" i="6" a="1"/>
  <c r="G28" i="6" s="1"/>
  <c r="H28" i="6" a="1"/>
  <c r="H28" i="6" s="1"/>
  <c r="J28" i="6" a="1"/>
  <c r="J28" i="6" s="1"/>
  <c r="K28" i="6" a="1"/>
  <c r="K28" i="6" s="1"/>
  <c r="D28" i="6" a="1"/>
  <c r="D28" i="6" s="1"/>
  <c r="L28" i="6" a="1"/>
  <c r="L28" i="6" s="1"/>
  <c r="E28" i="6" a="1"/>
  <c r="E28" i="6" s="1"/>
  <c r="C28" i="6" a="1"/>
  <c r="C28" i="6" s="1"/>
  <c r="M28" i="6" a="1"/>
  <c r="M28" i="6" s="1"/>
  <c r="I29" i="3" a="1"/>
  <c r="I29" i="3" s="1"/>
  <c r="J29" i="3" a="1"/>
  <c r="J29" i="3" s="1"/>
  <c r="D29" i="3" a="1"/>
  <c r="D29" i="3" s="1"/>
  <c r="H29" i="3" a="1"/>
  <c r="H29" i="3" s="1"/>
  <c r="F29" i="3" a="1"/>
  <c r="F29" i="3" s="1"/>
  <c r="G29" i="3" a="1"/>
  <c r="G29" i="3" s="1"/>
  <c r="B28" i="6" a="1"/>
  <c r="B28" i="6" s="1"/>
  <c r="A29" i="6"/>
  <c r="C29" i="3" a="1"/>
  <c r="C29" i="3" s="1"/>
  <c r="K29" i="3" a="1"/>
  <c r="K29" i="3" s="1"/>
  <c r="R29" i="3" a="1"/>
  <c r="R29" i="3" s="1"/>
  <c r="Q29" i="3" a="1"/>
  <c r="Q29" i="3" s="1"/>
  <c r="E29" i="3" a="1"/>
  <c r="E29" i="3" s="1"/>
  <c r="L29" i="3" a="1"/>
  <c r="L29" i="3" s="1"/>
  <c r="T29" i="3" a="1"/>
  <c r="T29" i="3" s="1"/>
  <c r="S29" i="3" a="1"/>
  <c r="S29" i="3" s="1"/>
  <c r="M29" i="3" a="1"/>
  <c r="M29" i="3" s="1"/>
  <c r="O29" i="3" a="1"/>
  <c r="O29" i="3" s="1"/>
  <c r="N29" i="3" a="1"/>
  <c r="N29" i="3" s="1"/>
  <c r="U29" i="3" a="1"/>
  <c r="U29" i="3" s="1"/>
  <c r="P29" i="3" a="1"/>
  <c r="P29" i="3" s="1"/>
  <c r="B30" i="3"/>
  <c r="AD30" i="3" l="1" a="1"/>
  <c r="AD30" i="3" s="1"/>
  <c r="AB30" i="3" a="1"/>
  <c r="AB30" i="3" s="1"/>
  <c r="Y30" i="3" a="1"/>
  <c r="Y30" i="3" s="1"/>
  <c r="Z30" i="3" a="1"/>
  <c r="Z30" i="3" s="1"/>
  <c r="AA30" i="3" a="1"/>
  <c r="AA30" i="3" s="1"/>
  <c r="AC30" i="3" a="1"/>
  <c r="AC30" i="3" s="1"/>
  <c r="X30" i="3" a="1"/>
  <c r="X30" i="3" s="1"/>
  <c r="W30" i="3" a="1"/>
  <c r="W30" i="3" s="1"/>
  <c r="V30" i="3" a="1"/>
  <c r="V30" i="3" s="1"/>
  <c r="I29" i="6" a="1"/>
  <c r="I29" i="6" s="1"/>
  <c r="G29" i="6" a="1"/>
  <c r="G29" i="6" s="1"/>
  <c r="H29" i="6" a="1"/>
  <c r="H29" i="6" s="1"/>
  <c r="D29" i="6" a="1"/>
  <c r="D29" i="6" s="1"/>
  <c r="J29" i="6" a="1"/>
  <c r="J29" i="6" s="1"/>
  <c r="F29" i="6" a="1"/>
  <c r="F29" i="6" s="1"/>
  <c r="L29" i="6" a="1"/>
  <c r="L29" i="6" s="1"/>
  <c r="E29" i="6" a="1"/>
  <c r="E29" i="6" s="1"/>
  <c r="K29" i="6" a="1"/>
  <c r="K29" i="6" s="1"/>
  <c r="C29" i="6" a="1"/>
  <c r="C29" i="6" s="1"/>
  <c r="M29" i="6" a="1"/>
  <c r="M29" i="6" s="1"/>
  <c r="I30" i="3" a="1"/>
  <c r="I30" i="3" s="1"/>
  <c r="J30" i="3" a="1"/>
  <c r="J30" i="3" s="1"/>
  <c r="D30" i="3" a="1"/>
  <c r="D30" i="3" s="1"/>
  <c r="G30" i="3" a="1"/>
  <c r="G30" i="3" s="1"/>
  <c r="F30" i="3" a="1"/>
  <c r="F30" i="3" s="1"/>
  <c r="H30" i="3" a="1"/>
  <c r="H30" i="3" s="1"/>
  <c r="B29" i="6" a="1"/>
  <c r="B29" i="6" s="1"/>
  <c r="A30" i="6"/>
  <c r="C30" i="3" a="1"/>
  <c r="C30" i="3" s="1"/>
  <c r="R30" i="3" a="1"/>
  <c r="R30" i="3" s="1"/>
  <c r="Q30" i="3" a="1"/>
  <c r="Q30" i="3" s="1"/>
  <c r="K30" i="3" a="1"/>
  <c r="K30" i="3" s="1"/>
  <c r="E30" i="3" a="1"/>
  <c r="E30" i="3" s="1"/>
  <c r="S30" i="3" a="1"/>
  <c r="S30" i="3" s="1"/>
  <c r="L30" i="3" a="1"/>
  <c r="L30" i="3" s="1"/>
  <c r="M30" i="3" a="1"/>
  <c r="M30" i="3" s="1"/>
  <c r="T30" i="3" a="1"/>
  <c r="T30" i="3" s="1"/>
  <c r="U30" i="3" a="1"/>
  <c r="U30" i="3" s="1"/>
  <c r="P30" i="3" a="1"/>
  <c r="P30" i="3" s="1"/>
  <c r="N30" i="3" a="1"/>
  <c r="N30" i="3" s="1"/>
  <c r="O30" i="3" a="1"/>
  <c r="O30" i="3" s="1"/>
  <c r="B31" i="3"/>
  <c r="AB31" i="3" l="1" a="1"/>
  <c r="AB31" i="3" s="1"/>
  <c r="AD31" i="3" a="1"/>
  <c r="AD31" i="3" s="1"/>
  <c r="Y31" i="3" a="1"/>
  <c r="Y31" i="3" s="1"/>
  <c r="AA31" i="3" a="1"/>
  <c r="AA31" i="3" s="1"/>
  <c r="Z31" i="3" a="1"/>
  <c r="Z31" i="3" s="1"/>
  <c r="AC31" i="3" a="1"/>
  <c r="AC31" i="3" s="1"/>
  <c r="V31" i="3" a="1"/>
  <c r="V31" i="3" s="1"/>
  <c r="X31" i="3" a="1"/>
  <c r="X31" i="3" s="1"/>
  <c r="W31" i="3" a="1"/>
  <c r="W31" i="3" s="1"/>
  <c r="I30" i="6" a="1"/>
  <c r="I30" i="6" s="1"/>
  <c r="K30" i="6" a="1"/>
  <c r="K30" i="6" s="1"/>
  <c r="D30" i="6" a="1"/>
  <c r="D30" i="6" s="1"/>
  <c r="F30" i="6" a="1"/>
  <c r="F30" i="6" s="1"/>
  <c r="G30" i="6" a="1"/>
  <c r="G30" i="6" s="1"/>
  <c r="J30" i="6" a="1"/>
  <c r="J30" i="6" s="1"/>
  <c r="H30" i="6" a="1"/>
  <c r="H30" i="6" s="1"/>
  <c r="C30" i="6" a="1"/>
  <c r="C30" i="6" s="1"/>
  <c r="M30" i="6" a="1"/>
  <c r="M30" i="6" s="1"/>
  <c r="L30" i="6" a="1"/>
  <c r="L30" i="6" s="1"/>
  <c r="E30" i="6" a="1"/>
  <c r="E30" i="6" s="1"/>
  <c r="I31" i="3" a="1"/>
  <c r="I31" i="3" s="1"/>
  <c r="J31" i="3" a="1"/>
  <c r="J31" i="3" s="1"/>
  <c r="D31" i="3" a="1"/>
  <c r="D31" i="3" s="1"/>
  <c r="G31" i="3" a="1"/>
  <c r="G31" i="3" s="1"/>
  <c r="F31" i="3" a="1"/>
  <c r="F31" i="3" s="1"/>
  <c r="H31" i="3" a="1"/>
  <c r="H31" i="3" s="1"/>
  <c r="B30" i="6" a="1"/>
  <c r="B30" i="6" s="1"/>
  <c r="A31" i="6"/>
  <c r="C31" i="3" a="1"/>
  <c r="C31" i="3" s="1"/>
  <c r="Q31" i="3" a="1"/>
  <c r="Q31" i="3" s="1"/>
  <c r="E31" i="3" a="1"/>
  <c r="E31" i="3" s="1"/>
  <c r="K31" i="3" a="1"/>
  <c r="K31" i="3" s="1"/>
  <c r="R31" i="3" a="1"/>
  <c r="R31" i="3" s="1"/>
  <c r="S31" i="3" a="1"/>
  <c r="S31" i="3" s="1"/>
  <c r="M31" i="3" a="1"/>
  <c r="M31" i="3" s="1"/>
  <c r="O31" i="3" a="1"/>
  <c r="O31" i="3" s="1"/>
  <c r="T31" i="3" a="1"/>
  <c r="T31" i="3" s="1"/>
  <c r="P31" i="3" a="1"/>
  <c r="P31" i="3" s="1"/>
  <c r="U31" i="3" a="1"/>
  <c r="U31" i="3" s="1"/>
  <c r="N31" i="3" a="1"/>
  <c r="N31" i="3" s="1"/>
  <c r="L31" i="3" a="1"/>
  <c r="L31" i="3" s="1"/>
  <c r="B32" i="3"/>
  <c r="Y32" i="3" l="1" a="1"/>
  <c r="Y32" i="3" s="1"/>
  <c r="AB32" i="3" a="1"/>
  <c r="AB32" i="3" s="1"/>
  <c r="AD32" i="3" a="1"/>
  <c r="AD32" i="3" s="1"/>
  <c r="Z32" i="3" a="1"/>
  <c r="Z32" i="3" s="1"/>
  <c r="AA32" i="3" a="1"/>
  <c r="AA32" i="3" s="1"/>
  <c r="AC32" i="3" a="1"/>
  <c r="AC32" i="3" s="1"/>
  <c r="X32" i="3" a="1"/>
  <c r="X32" i="3" s="1"/>
  <c r="W32" i="3" a="1"/>
  <c r="W32" i="3" s="1"/>
  <c r="V32" i="3" a="1"/>
  <c r="V32" i="3" s="1"/>
  <c r="I31" i="6" a="1"/>
  <c r="I31" i="6" s="1"/>
  <c r="D31" i="6" a="1"/>
  <c r="D31" i="6" s="1"/>
  <c r="J31" i="6" a="1"/>
  <c r="J31" i="6" s="1"/>
  <c r="F31" i="6" a="1"/>
  <c r="F31" i="6" s="1"/>
  <c r="G31" i="6" a="1"/>
  <c r="G31" i="6" s="1"/>
  <c r="H31" i="6" a="1"/>
  <c r="H31" i="6" s="1"/>
  <c r="K31" i="6" a="1"/>
  <c r="K31" i="6" s="1"/>
  <c r="L31" i="6" a="1"/>
  <c r="L31" i="6" s="1"/>
  <c r="E31" i="6" a="1"/>
  <c r="E31" i="6" s="1"/>
  <c r="C31" i="6" a="1"/>
  <c r="C31" i="6" s="1"/>
  <c r="M31" i="6" a="1"/>
  <c r="M31" i="6" s="1"/>
  <c r="I32" i="3" a="1"/>
  <c r="I32" i="3" s="1"/>
  <c r="J32" i="3" a="1"/>
  <c r="J32" i="3" s="1"/>
  <c r="D32" i="3" a="1"/>
  <c r="D32" i="3" s="1"/>
  <c r="F32" i="3" a="1"/>
  <c r="F32" i="3" s="1"/>
  <c r="H32" i="3" a="1"/>
  <c r="H32" i="3" s="1"/>
  <c r="G32" i="3" a="1"/>
  <c r="G32" i="3" s="1"/>
  <c r="B31" i="6" a="1"/>
  <c r="B31" i="6" s="1"/>
  <c r="A32" i="6"/>
  <c r="C32" i="3" a="1"/>
  <c r="C32" i="3" s="1"/>
  <c r="E32" i="3" a="1"/>
  <c r="E32" i="3" s="1"/>
  <c r="Q32" i="3" a="1"/>
  <c r="Q32" i="3" s="1"/>
  <c r="R32" i="3" a="1"/>
  <c r="R32" i="3" s="1"/>
  <c r="K32" i="3" a="1"/>
  <c r="K32" i="3" s="1"/>
  <c r="L32" i="3" a="1"/>
  <c r="L32" i="3" s="1"/>
  <c r="M32" i="3" a="1"/>
  <c r="M32" i="3" s="1"/>
  <c r="T32" i="3" a="1"/>
  <c r="T32" i="3" s="1"/>
  <c r="S32" i="3" a="1"/>
  <c r="S32" i="3" s="1"/>
  <c r="O32" i="3" a="1"/>
  <c r="O32" i="3" s="1"/>
  <c r="P32" i="3" a="1"/>
  <c r="P32" i="3" s="1"/>
  <c r="U32" i="3" a="1"/>
  <c r="U32" i="3" s="1"/>
  <c r="N32" i="3" a="1"/>
  <c r="N32" i="3" s="1"/>
  <c r="B33" i="3"/>
  <c r="AB33" i="3" l="1" a="1"/>
  <c r="AB33" i="3" s="1"/>
  <c r="AD33" i="3" a="1"/>
  <c r="AD33" i="3" s="1"/>
  <c r="Y33" i="3" a="1"/>
  <c r="Y33" i="3" s="1"/>
  <c r="AA33" i="3" a="1"/>
  <c r="AA33" i="3" s="1"/>
  <c r="Z33" i="3" a="1"/>
  <c r="Z33" i="3" s="1"/>
  <c r="AC33" i="3" a="1"/>
  <c r="AC33" i="3" s="1"/>
  <c r="X33" i="3" a="1"/>
  <c r="X33" i="3" s="1"/>
  <c r="W33" i="3" a="1"/>
  <c r="W33" i="3" s="1"/>
  <c r="V33" i="3" a="1"/>
  <c r="V33" i="3" s="1"/>
  <c r="I32" i="6" a="1"/>
  <c r="I32" i="6" s="1"/>
  <c r="D32" i="6" a="1"/>
  <c r="D32" i="6" s="1"/>
  <c r="J32" i="6" a="1"/>
  <c r="J32" i="6" s="1"/>
  <c r="F32" i="6" a="1"/>
  <c r="F32" i="6" s="1"/>
  <c r="G32" i="6" a="1"/>
  <c r="G32" i="6" s="1"/>
  <c r="H32" i="6" a="1"/>
  <c r="H32" i="6" s="1"/>
  <c r="K32" i="6" a="1"/>
  <c r="K32" i="6" s="1"/>
  <c r="L32" i="6" a="1"/>
  <c r="L32" i="6" s="1"/>
  <c r="E32" i="6" a="1"/>
  <c r="E32" i="6" s="1"/>
  <c r="C32" i="6" a="1"/>
  <c r="C32" i="6" s="1"/>
  <c r="M32" i="6" a="1"/>
  <c r="M32" i="6" s="1"/>
  <c r="I33" i="3" a="1"/>
  <c r="I33" i="3" s="1"/>
  <c r="J33" i="3" a="1"/>
  <c r="J33" i="3" s="1"/>
  <c r="D33" i="3" a="1"/>
  <c r="D33" i="3" s="1"/>
  <c r="G33" i="3" a="1"/>
  <c r="G33" i="3" s="1"/>
  <c r="F33" i="3" a="1"/>
  <c r="F33" i="3" s="1"/>
  <c r="H33" i="3" a="1"/>
  <c r="H33" i="3" s="1"/>
  <c r="B32" i="6" a="1"/>
  <c r="B32" i="6" s="1"/>
  <c r="A33" i="6"/>
  <c r="C33" i="3" a="1"/>
  <c r="C33" i="3" s="1"/>
  <c r="K33" i="3" a="1"/>
  <c r="K33" i="3" s="1"/>
  <c r="R33" i="3" a="1"/>
  <c r="R33" i="3" s="1"/>
  <c r="Q33" i="3" a="1"/>
  <c r="Q33" i="3" s="1"/>
  <c r="E33" i="3" a="1"/>
  <c r="E33" i="3" s="1"/>
  <c r="T33" i="3" a="1"/>
  <c r="T33" i="3" s="1"/>
  <c r="S33" i="3" a="1"/>
  <c r="S33" i="3" s="1"/>
  <c r="M33" i="3" a="1"/>
  <c r="M33" i="3" s="1"/>
  <c r="L33" i="3" a="1"/>
  <c r="L33" i="3" s="1"/>
  <c r="O33" i="3" a="1"/>
  <c r="O33" i="3" s="1"/>
  <c r="P33" i="3" a="1"/>
  <c r="P33" i="3" s="1"/>
  <c r="U33" i="3" a="1"/>
  <c r="U33" i="3" s="1"/>
  <c r="N33" i="3" a="1"/>
  <c r="N33" i="3" s="1"/>
  <c r="B34" i="3"/>
  <c r="AB34" i="3" l="1" a="1"/>
  <c r="AB34" i="3" s="1"/>
  <c r="Y34" i="3" a="1"/>
  <c r="Y34" i="3" s="1"/>
  <c r="AD34" i="3" a="1"/>
  <c r="AD34" i="3" s="1"/>
  <c r="Z34" i="3" a="1"/>
  <c r="Z34" i="3" s="1"/>
  <c r="AA34" i="3" a="1"/>
  <c r="AA34" i="3" s="1"/>
  <c r="AC34" i="3" a="1"/>
  <c r="AC34" i="3" s="1"/>
  <c r="V34" i="3" a="1"/>
  <c r="V34" i="3" s="1"/>
  <c r="W34" i="3" a="1"/>
  <c r="W34" i="3" s="1"/>
  <c r="X34" i="3" a="1"/>
  <c r="X34" i="3" s="1"/>
  <c r="I33" i="6" a="1"/>
  <c r="I33" i="6" s="1"/>
  <c r="H33" i="6" a="1"/>
  <c r="H33" i="6" s="1"/>
  <c r="D33" i="6" a="1"/>
  <c r="D33" i="6" s="1"/>
  <c r="F33" i="6" a="1"/>
  <c r="F33" i="6" s="1"/>
  <c r="G33" i="6" a="1"/>
  <c r="G33" i="6" s="1"/>
  <c r="J33" i="6" a="1"/>
  <c r="J33" i="6" s="1"/>
  <c r="M33" i="6" a="1"/>
  <c r="M33" i="6" s="1"/>
  <c r="K33" i="6" a="1"/>
  <c r="K33" i="6" s="1"/>
  <c r="L33" i="6" a="1"/>
  <c r="L33" i="6" s="1"/>
  <c r="E33" i="6" a="1"/>
  <c r="E33" i="6" s="1"/>
  <c r="C33" i="6" a="1"/>
  <c r="C33" i="6" s="1"/>
  <c r="I34" i="3" a="1"/>
  <c r="I34" i="3" s="1"/>
  <c r="J34" i="3" a="1"/>
  <c r="J34" i="3" s="1"/>
  <c r="D34" i="3" a="1"/>
  <c r="D34" i="3" s="1"/>
  <c r="G34" i="3" a="1"/>
  <c r="G34" i="3" s="1"/>
  <c r="H34" i="3" a="1"/>
  <c r="H34" i="3" s="1"/>
  <c r="F34" i="3" a="1"/>
  <c r="F34" i="3" s="1"/>
  <c r="B33" i="6" a="1"/>
  <c r="B33" i="6" s="1"/>
  <c r="A34" i="6"/>
  <c r="C34" i="3" a="1"/>
  <c r="C34" i="3" s="1"/>
  <c r="Q34" i="3" a="1"/>
  <c r="Q34" i="3" s="1"/>
  <c r="E34" i="3" a="1"/>
  <c r="E34" i="3" s="1"/>
  <c r="R34" i="3" a="1"/>
  <c r="R34" i="3" s="1"/>
  <c r="K34" i="3" a="1"/>
  <c r="K34" i="3" s="1"/>
  <c r="M34" i="3" a="1"/>
  <c r="M34" i="3" s="1"/>
  <c r="T34" i="3" a="1"/>
  <c r="T34" i="3" s="1"/>
  <c r="N34" i="3" a="1"/>
  <c r="N34" i="3" s="1"/>
  <c r="P34" i="3" a="1"/>
  <c r="P34" i="3" s="1"/>
  <c r="L34" i="3" a="1"/>
  <c r="L34" i="3" s="1"/>
  <c r="U34" i="3" a="1"/>
  <c r="U34" i="3" s="1"/>
  <c r="S34" i="3" a="1"/>
  <c r="S34" i="3" s="1"/>
  <c r="O34" i="3" a="1"/>
  <c r="O34" i="3" s="1"/>
  <c r="B35" i="3"/>
  <c r="AB35" i="3" l="1" a="1"/>
  <c r="AB35" i="3" s="1"/>
  <c r="AD35" i="3" a="1"/>
  <c r="AD35" i="3" s="1"/>
  <c r="AA35" i="3" a="1"/>
  <c r="AA35" i="3" s="1"/>
  <c r="Y35" i="3" a="1"/>
  <c r="Y35" i="3" s="1"/>
  <c r="Z35" i="3" a="1"/>
  <c r="Z35" i="3" s="1"/>
  <c r="AC35" i="3" a="1"/>
  <c r="AC35" i="3" s="1"/>
  <c r="X35" i="3" a="1"/>
  <c r="X35" i="3" s="1"/>
  <c r="V35" i="3" a="1"/>
  <c r="V35" i="3" s="1"/>
  <c r="W35" i="3" a="1"/>
  <c r="W35" i="3" s="1"/>
  <c r="I34" i="6" a="1"/>
  <c r="I34" i="6" s="1"/>
  <c r="H34" i="6" a="1"/>
  <c r="H34" i="6" s="1"/>
  <c r="D34" i="6" a="1"/>
  <c r="D34" i="6" s="1"/>
  <c r="F34" i="6" a="1"/>
  <c r="F34" i="6" s="1"/>
  <c r="G34" i="6" a="1"/>
  <c r="G34" i="6" s="1"/>
  <c r="J34" i="6" a="1"/>
  <c r="J34" i="6" s="1"/>
  <c r="C34" i="6" a="1"/>
  <c r="C34" i="6" s="1"/>
  <c r="K34" i="6" a="1"/>
  <c r="K34" i="6" s="1"/>
  <c r="M34" i="6" a="1"/>
  <c r="M34" i="6" s="1"/>
  <c r="L34" i="6" a="1"/>
  <c r="L34" i="6" s="1"/>
  <c r="E34" i="6" a="1"/>
  <c r="E34" i="6" s="1"/>
  <c r="I35" i="3" a="1"/>
  <c r="I35" i="3" s="1"/>
  <c r="J35" i="3" a="1"/>
  <c r="J35" i="3" s="1"/>
  <c r="D35" i="3" a="1"/>
  <c r="D35" i="3" s="1"/>
  <c r="F35" i="3" a="1"/>
  <c r="F35" i="3" s="1"/>
  <c r="H35" i="3" a="1"/>
  <c r="H35" i="3" s="1"/>
  <c r="G35" i="3" a="1"/>
  <c r="G35" i="3" s="1"/>
  <c r="B34" i="6" a="1"/>
  <c r="B34" i="6" s="1"/>
  <c r="A35" i="6"/>
  <c r="C35" i="3" a="1"/>
  <c r="C35" i="3" s="1"/>
  <c r="Q35" i="3" a="1"/>
  <c r="Q35" i="3" s="1"/>
  <c r="K35" i="3" a="1"/>
  <c r="K35" i="3" s="1"/>
  <c r="R35" i="3" a="1"/>
  <c r="R35" i="3" s="1"/>
  <c r="E35" i="3" a="1"/>
  <c r="E35" i="3" s="1"/>
  <c r="L35" i="3" a="1"/>
  <c r="L35" i="3" s="1"/>
  <c r="T35" i="3" a="1"/>
  <c r="T35" i="3" s="1"/>
  <c r="O35" i="3" a="1"/>
  <c r="O35" i="3" s="1"/>
  <c r="S35" i="3" a="1"/>
  <c r="S35" i="3" s="1"/>
  <c r="M35" i="3" a="1"/>
  <c r="M35" i="3" s="1"/>
  <c r="N35" i="3" a="1"/>
  <c r="N35" i="3" s="1"/>
  <c r="P35" i="3" a="1"/>
  <c r="P35" i="3" s="1"/>
  <c r="U35" i="3" a="1"/>
  <c r="U35" i="3" s="1"/>
  <c r="B36" i="3"/>
  <c r="AD36" i="3" l="1" a="1"/>
  <c r="AD36" i="3" s="1"/>
  <c r="Y36" i="3" a="1"/>
  <c r="Y36" i="3" s="1"/>
  <c r="AB36" i="3" a="1"/>
  <c r="AB36" i="3" s="1"/>
  <c r="Z36" i="3" a="1"/>
  <c r="Z36" i="3" s="1"/>
  <c r="AA36" i="3" a="1"/>
  <c r="AA36" i="3" s="1"/>
  <c r="AC36" i="3" a="1"/>
  <c r="AC36" i="3" s="1"/>
  <c r="X36" i="3" a="1"/>
  <c r="X36" i="3" s="1"/>
  <c r="V36" i="3" a="1"/>
  <c r="V36" i="3" s="1"/>
  <c r="W36" i="3" a="1"/>
  <c r="W36" i="3" s="1"/>
  <c r="I35" i="6" a="1"/>
  <c r="I35" i="6" s="1"/>
  <c r="D35" i="6" a="1"/>
  <c r="D35" i="6" s="1"/>
  <c r="J35" i="6" a="1"/>
  <c r="J35" i="6" s="1"/>
  <c r="F35" i="6" a="1"/>
  <c r="F35" i="6" s="1"/>
  <c r="G35" i="6" a="1"/>
  <c r="G35" i="6" s="1"/>
  <c r="H35" i="6" a="1"/>
  <c r="H35" i="6" s="1"/>
  <c r="K35" i="6" a="1"/>
  <c r="K35" i="6" s="1"/>
  <c r="M35" i="6" a="1"/>
  <c r="M35" i="6" s="1"/>
  <c r="L35" i="6" a="1"/>
  <c r="L35" i="6" s="1"/>
  <c r="E35" i="6" a="1"/>
  <c r="E35" i="6" s="1"/>
  <c r="C35" i="6" a="1"/>
  <c r="C35" i="6" s="1"/>
  <c r="I36" i="3" a="1"/>
  <c r="I36" i="3" s="1"/>
  <c r="J36" i="3" a="1"/>
  <c r="J36" i="3" s="1"/>
  <c r="D36" i="3" a="1"/>
  <c r="D36" i="3" s="1"/>
  <c r="G36" i="3" a="1"/>
  <c r="G36" i="3" s="1"/>
  <c r="F36" i="3" a="1"/>
  <c r="F36" i="3" s="1"/>
  <c r="H36" i="3" a="1"/>
  <c r="H36" i="3" s="1"/>
  <c r="B35" i="6" a="1"/>
  <c r="B35" i="6" s="1"/>
  <c r="A36" i="6"/>
  <c r="C36" i="3" a="1"/>
  <c r="C36" i="3" s="1"/>
  <c r="K36" i="3" a="1"/>
  <c r="K36" i="3" s="1"/>
  <c r="Q36" i="3" a="1"/>
  <c r="Q36" i="3" s="1"/>
  <c r="E36" i="3" a="1"/>
  <c r="E36" i="3" s="1"/>
  <c r="R36" i="3" a="1"/>
  <c r="R36" i="3" s="1"/>
  <c r="S36" i="3" a="1"/>
  <c r="S36" i="3" s="1"/>
  <c r="M36" i="3" a="1"/>
  <c r="M36" i="3" s="1"/>
  <c r="L36" i="3" a="1"/>
  <c r="L36" i="3" s="1"/>
  <c r="T36" i="3" a="1"/>
  <c r="T36" i="3" s="1"/>
  <c r="U36" i="3" a="1"/>
  <c r="U36" i="3" s="1"/>
  <c r="O36" i="3" a="1"/>
  <c r="O36" i="3" s="1"/>
  <c r="P36" i="3" a="1"/>
  <c r="P36" i="3" s="1"/>
  <c r="N36" i="3" a="1"/>
  <c r="N36" i="3" s="1"/>
  <c r="B37" i="3"/>
  <c r="AB37" i="3" l="1" a="1"/>
  <c r="AB37" i="3" s="1"/>
  <c r="AD37" i="3" a="1"/>
  <c r="AD37" i="3" s="1"/>
  <c r="AA37" i="3" a="1"/>
  <c r="AA37" i="3" s="1"/>
  <c r="Y37" i="3" a="1"/>
  <c r="Y37" i="3" s="1"/>
  <c r="Z37" i="3" a="1"/>
  <c r="Z37" i="3" s="1"/>
  <c r="AC37" i="3" a="1"/>
  <c r="AC37" i="3" s="1"/>
  <c r="W37" i="3" a="1"/>
  <c r="W37" i="3" s="1"/>
  <c r="X37" i="3" a="1"/>
  <c r="X37" i="3" s="1"/>
  <c r="V37" i="3" a="1"/>
  <c r="V37" i="3" s="1"/>
  <c r="I36" i="6" a="1"/>
  <c r="I36" i="6" s="1"/>
  <c r="H36" i="6" a="1"/>
  <c r="H36" i="6" s="1"/>
  <c r="D36" i="6" a="1"/>
  <c r="D36" i="6" s="1"/>
  <c r="F36" i="6" a="1"/>
  <c r="F36" i="6" s="1"/>
  <c r="G36" i="6" a="1"/>
  <c r="G36" i="6" s="1"/>
  <c r="J36" i="6" a="1"/>
  <c r="J36" i="6" s="1"/>
  <c r="E36" i="6" a="1"/>
  <c r="E36" i="6" s="1"/>
  <c r="C36" i="6" a="1"/>
  <c r="C36" i="6" s="1"/>
  <c r="M36" i="6" a="1"/>
  <c r="M36" i="6" s="1"/>
  <c r="L36" i="6" a="1"/>
  <c r="L36" i="6" s="1"/>
  <c r="K36" i="6" a="1"/>
  <c r="K36" i="6" s="1"/>
  <c r="I37" i="3" a="1"/>
  <c r="I37" i="3" s="1"/>
  <c r="J37" i="3" a="1"/>
  <c r="J37" i="3" s="1"/>
  <c r="D37" i="3" a="1"/>
  <c r="D37" i="3" s="1"/>
  <c r="G37" i="3" a="1"/>
  <c r="G37" i="3" s="1"/>
  <c r="H37" i="3" a="1"/>
  <c r="H37" i="3" s="1"/>
  <c r="F37" i="3" a="1"/>
  <c r="F37" i="3" s="1"/>
  <c r="B36" i="6" a="1"/>
  <c r="B36" i="6" s="1"/>
  <c r="A37" i="6"/>
  <c r="C37" i="3" a="1"/>
  <c r="C37" i="3" s="1"/>
  <c r="K37" i="3" a="1"/>
  <c r="K37" i="3" s="1"/>
  <c r="E37" i="3" a="1"/>
  <c r="E37" i="3" s="1"/>
  <c r="Q37" i="3" a="1"/>
  <c r="Q37" i="3" s="1"/>
  <c r="R37" i="3" a="1"/>
  <c r="R37" i="3" s="1"/>
  <c r="M37" i="3" a="1"/>
  <c r="M37" i="3" s="1"/>
  <c r="L37" i="3" a="1"/>
  <c r="L37" i="3" s="1"/>
  <c r="T37" i="3" a="1"/>
  <c r="T37" i="3" s="1"/>
  <c r="S37" i="3" a="1"/>
  <c r="S37" i="3" s="1"/>
  <c r="O37" i="3" a="1"/>
  <c r="O37" i="3" s="1"/>
  <c r="P37" i="3" a="1"/>
  <c r="P37" i="3" s="1"/>
  <c r="N37" i="3" a="1"/>
  <c r="N37" i="3" s="1"/>
  <c r="U37" i="3" a="1"/>
  <c r="U37" i="3" s="1"/>
  <c r="B38" i="3"/>
  <c r="AB38" i="3" l="1" a="1"/>
  <c r="AB38" i="3" s="1"/>
  <c r="Y38" i="3" a="1"/>
  <c r="Y38" i="3" s="1"/>
  <c r="AD38" i="3" a="1"/>
  <c r="AD38" i="3" s="1"/>
  <c r="Z38" i="3" a="1"/>
  <c r="Z38" i="3" s="1"/>
  <c r="AA38" i="3" a="1"/>
  <c r="AA38" i="3" s="1"/>
  <c r="AC38" i="3" a="1"/>
  <c r="AC38" i="3" s="1"/>
  <c r="W38" i="3" a="1"/>
  <c r="W38" i="3" s="1"/>
  <c r="X38" i="3" a="1"/>
  <c r="X38" i="3" s="1"/>
  <c r="V38" i="3" a="1"/>
  <c r="V38" i="3" s="1"/>
  <c r="I37" i="6" a="1"/>
  <c r="I37" i="6" s="1"/>
  <c r="D37" i="6" a="1"/>
  <c r="D37" i="6" s="1"/>
  <c r="J37" i="6" a="1"/>
  <c r="J37" i="6" s="1"/>
  <c r="F37" i="6" a="1"/>
  <c r="F37" i="6" s="1"/>
  <c r="G37" i="6" a="1"/>
  <c r="G37" i="6" s="1"/>
  <c r="H37" i="6" a="1"/>
  <c r="H37" i="6" s="1"/>
  <c r="K37" i="6" a="1"/>
  <c r="K37" i="6" s="1"/>
  <c r="L37" i="6" a="1"/>
  <c r="L37" i="6" s="1"/>
  <c r="E37" i="6" a="1"/>
  <c r="E37" i="6" s="1"/>
  <c r="C37" i="6" a="1"/>
  <c r="C37" i="6" s="1"/>
  <c r="M37" i="6" a="1"/>
  <c r="M37" i="6" s="1"/>
  <c r="I38" i="3" a="1"/>
  <c r="I38" i="3" s="1"/>
  <c r="J38" i="3" a="1"/>
  <c r="J38" i="3" s="1"/>
  <c r="D38" i="3" a="1"/>
  <c r="D38" i="3" s="1"/>
  <c r="G38" i="3" a="1"/>
  <c r="G38" i="3" s="1"/>
  <c r="F38" i="3" a="1"/>
  <c r="F38" i="3" s="1"/>
  <c r="H38" i="3" a="1"/>
  <c r="H38" i="3" s="1"/>
  <c r="B37" i="6" a="1"/>
  <c r="B37" i="6" s="1"/>
  <c r="A38" i="6"/>
  <c r="C38" i="3" a="1"/>
  <c r="C38" i="3" s="1"/>
  <c r="R38" i="3" a="1"/>
  <c r="R38" i="3" s="1"/>
  <c r="Q38" i="3" a="1"/>
  <c r="Q38" i="3" s="1"/>
  <c r="E38" i="3" a="1"/>
  <c r="E38" i="3" s="1"/>
  <c r="K38" i="3" a="1"/>
  <c r="K38" i="3" s="1"/>
  <c r="L38" i="3" a="1"/>
  <c r="L38" i="3" s="1"/>
  <c r="S38" i="3" a="1"/>
  <c r="S38" i="3" s="1"/>
  <c r="M38" i="3" a="1"/>
  <c r="M38" i="3" s="1"/>
  <c r="U38" i="3" a="1"/>
  <c r="U38" i="3" s="1"/>
  <c r="O38" i="3" a="1"/>
  <c r="O38" i="3" s="1"/>
  <c r="P38" i="3" a="1"/>
  <c r="P38" i="3" s="1"/>
  <c r="T38" i="3" a="1"/>
  <c r="T38" i="3" s="1"/>
  <c r="N38" i="3" a="1"/>
  <c r="N38" i="3" s="1"/>
  <c r="B39" i="3"/>
  <c r="AB39" i="3" l="1" a="1"/>
  <c r="AB39" i="3" s="1"/>
  <c r="AA39" i="3" a="1"/>
  <c r="AA39" i="3" s="1"/>
  <c r="Y39" i="3" a="1"/>
  <c r="Y39" i="3" s="1"/>
  <c r="AD39" i="3" a="1"/>
  <c r="AD39" i="3" s="1"/>
  <c r="Z39" i="3" a="1"/>
  <c r="Z39" i="3" s="1"/>
  <c r="AC39" i="3" a="1"/>
  <c r="AC39" i="3" s="1"/>
  <c r="V39" i="3" a="1"/>
  <c r="V39" i="3" s="1"/>
  <c r="W39" i="3" a="1"/>
  <c r="W39" i="3" s="1"/>
  <c r="X39" i="3" a="1"/>
  <c r="X39" i="3" s="1"/>
  <c r="I38" i="6" a="1"/>
  <c r="I38" i="6" s="1"/>
  <c r="J38" i="6" a="1"/>
  <c r="J38" i="6" s="1"/>
  <c r="H38" i="6" a="1"/>
  <c r="H38" i="6" s="1"/>
  <c r="K38" i="6" a="1"/>
  <c r="K38" i="6" s="1"/>
  <c r="D38" i="6" a="1"/>
  <c r="D38" i="6" s="1"/>
  <c r="F38" i="6" a="1"/>
  <c r="F38" i="6" s="1"/>
  <c r="G38" i="6" a="1"/>
  <c r="G38" i="6" s="1"/>
  <c r="C38" i="6" a="1"/>
  <c r="C38" i="6" s="1"/>
  <c r="M38" i="6" a="1"/>
  <c r="M38" i="6" s="1"/>
  <c r="L38" i="6" a="1"/>
  <c r="L38" i="6" s="1"/>
  <c r="E38" i="6" a="1"/>
  <c r="E38" i="6" s="1"/>
  <c r="I39" i="3" a="1"/>
  <c r="I39" i="3" s="1"/>
  <c r="J39" i="3" a="1"/>
  <c r="J39" i="3" s="1"/>
  <c r="D39" i="3" a="1"/>
  <c r="D39" i="3" s="1"/>
  <c r="G39" i="3" a="1"/>
  <c r="G39" i="3" s="1"/>
  <c r="F39" i="3" a="1"/>
  <c r="F39" i="3" s="1"/>
  <c r="H39" i="3" a="1"/>
  <c r="H39" i="3" s="1"/>
  <c r="B38" i="6" a="1"/>
  <c r="B38" i="6" s="1"/>
  <c r="A39" i="6"/>
  <c r="C39" i="3" a="1"/>
  <c r="C39" i="3" s="1"/>
  <c r="K39" i="3" a="1"/>
  <c r="K39" i="3" s="1"/>
  <c r="Q39" i="3" a="1"/>
  <c r="Q39" i="3" s="1"/>
  <c r="E39" i="3" a="1"/>
  <c r="E39" i="3" s="1"/>
  <c r="R39" i="3" a="1"/>
  <c r="R39" i="3" s="1"/>
  <c r="S39" i="3" a="1"/>
  <c r="S39" i="3" s="1"/>
  <c r="T39" i="3" a="1"/>
  <c r="T39" i="3" s="1"/>
  <c r="M39" i="3" a="1"/>
  <c r="M39" i="3" s="1"/>
  <c r="O39" i="3" a="1"/>
  <c r="O39" i="3" s="1"/>
  <c r="L39" i="3" a="1"/>
  <c r="L39" i="3" s="1"/>
  <c r="U39" i="3" a="1"/>
  <c r="U39" i="3" s="1"/>
  <c r="N39" i="3" a="1"/>
  <c r="N39" i="3" s="1"/>
  <c r="P39" i="3" a="1"/>
  <c r="P39" i="3" s="1"/>
  <c r="B40" i="3"/>
  <c r="AB40" i="3" l="1" a="1"/>
  <c r="AB40" i="3" s="1"/>
  <c r="AD40" i="3" a="1"/>
  <c r="AD40" i="3" s="1"/>
  <c r="Y40" i="3" a="1"/>
  <c r="Y40" i="3" s="1"/>
  <c r="Z40" i="3" a="1"/>
  <c r="Z40" i="3" s="1"/>
  <c r="AA40" i="3" a="1"/>
  <c r="AA40" i="3" s="1"/>
  <c r="AC40" i="3" a="1"/>
  <c r="AC40" i="3" s="1"/>
  <c r="W40" i="3" a="1"/>
  <c r="W40" i="3" s="1"/>
  <c r="X40" i="3" a="1"/>
  <c r="X40" i="3" s="1"/>
  <c r="V40" i="3" a="1"/>
  <c r="V40" i="3" s="1"/>
  <c r="I39" i="6" a="1"/>
  <c r="I39" i="6" s="1"/>
  <c r="D39" i="6" a="1"/>
  <c r="D39" i="6" s="1"/>
  <c r="F39" i="6" a="1"/>
  <c r="F39" i="6" s="1"/>
  <c r="G39" i="6" a="1"/>
  <c r="G39" i="6" s="1"/>
  <c r="H39" i="6" a="1"/>
  <c r="H39" i="6" s="1"/>
  <c r="J39" i="6" a="1"/>
  <c r="J39" i="6" s="1"/>
  <c r="K39" i="6" a="1"/>
  <c r="K39" i="6" s="1"/>
  <c r="L39" i="6" a="1"/>
  <c r="L39" i="6" s="1"/>
  <c r="E39" i="6" a="1"/>
  <c r="E39" i="6" s="1"/>
  <c r="C39" i="6" a="1"/>
  <c r="C39" i="6" s="1"/>
  <c r="M39" i="6" a="1"/>
  <c r="M39" i="6" s="1"/>
  <c r="I40" i="3" a="1"/>
  <c r="I40" i="3" s="1"/>
  <c r="J40" i="3" a="1"/>
  <c r="J40" i="3" s="1"/>
  <c r="D40" i="3" a="1"/>
  <c r="D40" i="3" s="1"/>
  <c r="G40" i="3" a="1"/>
  <c r="G40" i="3" s="1"/>
  <c r="H40" i="3" a="1"/>
  <c r="H40" i="3" s="1"/>
  <c r="F40" i="3" a="1"/>
  <c r="F40" i="3" s="1"/>
  <c r="B39" i="6" a="1"/>
  <c r="B39" i="6" s="1"/>
  <c r="A40" i="6"/>
  <c r="C40" i="3" a="1"/>
  <c r="C40" i="3" s="1"/>
  <c r="R40" i="3" a="1"/>
  <c r="R40" i="3" s="1"/>
  <c r="E40" i="3" a="1"/>
  <c r="E40" i="3" s="1"/>
  <c r="K40" i="3" a="1"/>
  <c r="K40" i="3" s="1"/>
  <c r="Q40" i="3" a="1"/>
  <c r="Q40" i="3" s="1"/>
  <c r="S40" i="3" a="1"/>
  <c r="S40" i="3" s="1"/>
  <c r="T40" i="3" a="1"/>
  <c r="T40" i="3" s="1"/>
  <c r="M40" i="3" a="1"/>
  <c r="M40" i="3" s="1"/>
  <c r="L40" i="3" a="1"/>
  <c r="L40" i="3" s="1"/>
  <c r="O40" i="3" a="1"/>
  <c r="O40" i="3" s="1"/>
  <c r="U40" i="3" a="1"/>
  <c r="U40" i="3" s="1"/>
  <c r="P40" i="3" a="1"/>
  <c r="P40" i="3" s="1"/>
  <c r="N40" i="3" a="1"/>
  <c r="N40" i="3" s="1"/>
  <c r="B41" i="3"/>
  <c r="AD41" i="3" l="1" a="1"/>
  <c r="AD41" i="3" s="1"/>
  <c r="AB41" i="3" a="1"/>
  <c r="AB41" i="3" s="1"/>
  <c r="AA41" i="3" a="1"/>
  <c r="AA41" i="3" s="1"/>
  <c r="Y41" i="3" a="1"/>
  <c r="Y41" i="3" s="1"/>
  <c r="Z41" i="3" a="1"/>
  <c r="Z41" i="3" s="1"/>
  <c r="AC41" i="3" a="1"/>
  <c r="AC41" i="3" s="1"/>
  <c r="X41" i="3" a="1"/>
  <c r="X41" i="3" s="1"/>
  <c r="W41" i="3" a="1"/>
  <c r="W41" i="3" s="1"/>
  <c r="V41" i="3" a="1"/>
  <c r="V41" i="3" s="1"/>
  <c r="I40" i="6" a="1"/>
  <c r="I40" i="6" s="1"/>
  <c r="F40" i="6" a="1"/>
  <c r="F40" i="6" s="1"/>
  <c r="G40" i="6" a="1"/>
  <c r="G40" i="6" s="1"/>
  <c r="H40" i="6" a="1"/>
  <c r="H40" i="6" s="1"/>
  <c r="K40" i="6" a="1"/>
  <c r="K40" i="6" s="1"/>
  <c r="D40" i="6" a="1"/>
  <c r="D40" i="6" s="1"/>
  <c r="J40" i="6" a="1"/>
  <c r="J40" i="6" s="1"/>
  <c r="L40" i="6" a="1"/>
  <c r="L40" i="6" s="1"/>
  <c r="E40" i="6" a="1"/>
  <c r="E40" i="6" s="1"/>
  <c r="C40" i="6" a="1"/>
  <c r="C40" i="6" s="1"/>
  <c r="M40" i="6" a="1"/>
  <c r="M40" i="6" s="1"/>
  <c r="I41" i="3" a="1"/>
  <c r="I41" i="3" s="1"/>
  <c r="J41" i="3" a="1"/>
  <c r="J41" i="3" s="1"/>
  <c r="D41" i="3" a="1"/>
  <c r="D41" i="3" s="1"/>
  <c r="G41" i="3" a="1"/>
  <c r="G41" i="3" s="1"/>
  <c r="H41" i="3" a="1"/>
  <c r="H41" i="3" s="1"/>
  <c r="F41" i="3" a="1"/>
  <c r="F41" i="3" s="1"/>
  <c r="B40" i="6" a="1"/>
  <c r="B40" i="6" s="1"/>
  <c r="A41" i="6"/>
  <c r="C41" i="3" a="1"/>
  <c r="C41" i="3" s="1"/>
  <c r="E41" i="3" a="1"/>
  <c r="E41" i="3" s="1"/>
  <c r="R41" i="3" a="1"/>
  <c r="R41" i="3" s="1"/>
  <c r="K41" i="3" a="1"/>
  <c r="K41" i="3" s="1"/>
  <c r="Q41" i="3" a="1"/>
  <c r="Q41" i="3" s="1"/>
  <c r="T41" i="3" a="1"/>
  <c r="T41" i="3" s="1"/>
  <c r="S41" i="3" a="1"/>
  <c r="S41" i="3" s="1"/>
  <c r="M41" i="3" a="1"/>
  <c r="M41" i="3" s="1"/>
  <c r="L41" i="3" a="1"/>
  <c r="L41" i="3" s="1"/>
  <c r="N41" i="3" a="1"/>
  <c r="N41" i="3" s="1"/>
  <c r="U41" i="3" a="1"/>
  <c r="U41" i="3" s="1"/>
  <c r="O41" i="3" a="1"/>
  <c r="O41" i="3" s="1"/>
  <c r="P41" i="3" a="1"/>
  <c r="P41" i="3" s="1"/>
  <c r="B42" i="3"/>
  <c r="AB42" i="3" l="1" a="1"/>
  <c r="AB42" i="3" s="1"/>
  <c r="AD42" i="3" a="1"/>
  <c r="AD42" i="3" s="1"/>
  <c r="Y42" i="3" a="1"/>
  <c r="Y42" i="3" s="1"/>
  <c r="Z42" i="3" a="1"/>
  <c r="Z42" i="3" s="1"/>
  <c r="AA42" i="3" a="1"/>
  <c r="AA42" i="3" s="1"/>
  <c r="AC42" i="3" a="1"/>
  <c r="AC42" i="3" s="1"/>
  <c r="W42" i="3" a="1"/>
  <c r="W42" i="3" s="1"/>
  <c r="X42" i="3" a="1"/>
  <c r="X42" i="3" s="1"/>
  <c r="V42" i="3" a="1"/>
  <c r="V42" i="3" s="1"/>
  <c r="I41" i="6" a="1"/>
  <c r="I41" i="6" s="1"/>
  <c r="F41" i="6" a="1"/>
  <c r="F41" i="6" s="1"/>
  <c r="G41" i="6" a="1"/>
  <c r="G41" i="6" s="1"/>
  <c r="J41" i="6" a="1"/>
  <c r="J41" i="6" s="1"/>
  <c r="H41" i="6" a="1"/>
  <c r="H41" i="6" s="1"/>
  <c r="K41" i="6" a="1"/>
  <c r="K41" i="6" s="1"/>
  <c r="D41" i="6" a="1"/>
  <c r="D41" i="6" s="1"/>
  <c r="E41" i="6" a="1"/>
  <c r="E41" i="6" s="1"/>
  <c r="C41" i="6" a="1"/>
  <c r="C41" i="6" s="1"/>
  <c r="M41" i="6" a="1"/>
  <c r="M41" i="6" s="1"/>
  <c r="L41" i="6" a="1"/>
  <c r="L41" i="6" s="1"/>
  <c r="I42" i="3" a="1"/>
  <c r="I42" i="3" s="1"/>
  <c r="J42" i="3" a="1"/>
  <c r="J42" i="3" s="1"/>
  <c r="D42" i="3" a="1"/>
  <c r="D42" i="3" s="1"/>
  <c r="H42" i="3" a="1"/>
  <c r="H42" i="3" s="1"/>
  <c r="F42" i="3" a="1"/>
  <c r="F42" i="3" s="1"/>
  <c r="G42" i="3" a="1"/>
  <c r="G42" i="3" s="1"/>
  <c r="B41" i="6" a="1"/>
  <c r="B41" i="6" s="1"/>
  <c r="A42" i="6"/>
  <c r="C42" i="3" a="1"/>
  <c r="C42" i="3" s="1"/>
  <c r="Q42" i="3" a="1"/>
  <c r="Q42" i="3" s="1"/>
  <c r="K42" i="3" a="1"/>
  <c r="K42" i="3" s="1"/>
  <c r="R42" i="3" a="1"/>
  <c r="R42" i="3" s="1"/>
  <c r="E42" i="3" a="1"/>
  <c r="E42" i="3" s="1"/>
  <c r="L42" i="3" a="1"/>
  <c r="L42" i="3" s="1"/>
  <c r="M42" i="3" a="1"/>
  <c r="M42" i="3" s="1"/>
  <c r="S42" i="3" a="1"/>
  <c r="S42" i="3" s="1"/>
  <c r="T42" i="3" a="1"/>
  <c r="T42" i="3" s="1"/>
  <c r="U42" i="3" a="1"/>
  <c r="U42" i="3" s="1"/>
  <c r="N42" i="3" a="1"/>
  <c r="N42" i="3" s="1"/>
  <c r="O42" i="3" a="1"/>
  <c r="O42" i="3" s="1"/>
  <c r="P42" i="3" a="1"/>
  <c r="P42" i="3" s="1"/>
  <c r="B43" i="3"/>
  <c r="AB43" i="3" l="1" a="1"/>
  <c r="AB43" i="3" s="1"/>
  <c r="AD43" i="3" a="1"/>
  <c r="AD43" i="3" s="1"/>
  <c r="Y43" i="3" a="1"/>
  <c r="Y43" i="3" s="1"/>
  <c r="AA43" i="3" a="1"/>
  <c r="AA43" i="3" s="1"/>
  <c r="Z43" i="3" a="1"/>
  <c r="Z43" i="3" s="1"/>
  <c r="AC43" i="3" a="1"/>
  <c r="AC43" i="3" s="1"/>
  <c r="X43" i="3" a="1"/>
  <c r="X43" i="3" s="1"/>
  <c r="V43" i="3" a="1"/>
  <c r="V43" i="3" s="1"/>
  <c r="W43" i="3" a="1"/>
  <c r="W43" i="3" s="1"/>
  <c r="I42" i="6" a="1"/>
  <c r="I42" i="6" s="1"/>
  <c r="F42" i="6" a="1"/>
  <c r="F42" i="6" s="1"/>
  <c r="G42" i="6" a="1"/>
  <c r="G42" i="6" s="1"/>
  <c r="J42" i="6" a="1"/>
  <c r="J42" i="6" s="1"/>
  <c r="H42" i="6" a="1"/>
  <c r="H42" i="6" s="1"/>
  <c r="D42" i="6" a="1"/>
  <c r="D42" i="6" s="1"/>
  <c r="L42" i="6" a="1"/>
  <c r="L42" i="6" s="1"/>
  <c r="C42" i="6" a="1"/>
  <c r="C42" i="6" s="1"/>
  <c r="E42" i="6" a="1"/>
  <c r="E42" i="6" s="1"/>
  <c r="M42" i="6" a="1"/>
  <c r="M42" i="6" s="1"/>
  <c r="K42" i="6" a="1"/>
  <c r="K42" i="6" s="1"/>
  <c r="I43" i="3" a="1"/>
  <c r="I43" i="3" s="1"/>
  <c r="J43" i="3" a="1"/>
  <c r="J43" i="3" s="1"/>
  <c r="D43" i="3" a="1"/>
  <c r="D43" i="3" s="1"/>
  <c r="G43" i="3" a="1"/>
  <c r="G43" i="3" s="1"/>
  <c r="F43" i="3" a="1"/>
  <c r="F43" i="3" s="1"/>
  <c r="H43" i="3" a="1"/>
  <c r="H43" i="3" s="1"/>
  <c r="B42" i="6" a="1"/>
  <c r="B42" i="6" s="1"/>
  <c r="A43" i="6"/>
  <c r="C43" i="3" a="1"/>
  <c r="C43" i="3" s="1"/>
  <c r="K43" i="3" a="1"/>
  <c r="K43" i="3" s="1"/>
  <c r="Q43" i="3" a="1"/>
  <c r="Q43" i="3" s="1"/>
  <c r="R43" i="3" a="1"/>
  <c r="R43" i="3" s="1"/>
  <c r="E43" i="3" a="1"/>
  <c r="E43" i="3" s="1"/>
  <c r="L43" i="3" a="1"/>
  <c r="L43" i="3" s="1"/>
  <c r="T43" i="3" a="1"/>
  <c r="T43" i="3" s="1"/>
  <c r="S43" i="3" a="1"/>
  <c r="S43" i="3" s="1"/>
  <c r="M43" i="3" a="1"/>
  <c r="M43" i="3" s="1"/>
  <c r="O43" i="3" a="1"/>
  <c r="O43" i="3" s="1"/>
  <c r="U43" i="3" a="1"/>
  <c r="U43" i="3" s="1"/>
  <c r="N43" i="3" a="1"/>
  <c r="N43" i="3" s="1"/>
  <c r="P43" i="3" a="1"/>
  <c r="P43" i="3" s="1"/>
  <c r="B44" i="3"/>
  <c r="AB44" i="3" l="1" a="1"/>
  <c r="AB44" i="3" s="1"/>
  <c r="AD44" i="3" a="1"/>
  <c r="AD44" i="3" s="1"/>
  <c r="Z44" i="3" a="1"/>
  <c r="Z44" i="3" s="1"/>
  <c r="Y44" i="3" a="1"/>
  <c r="Y44" i="3" s="1"/>
  <c r="AA44" i="3" a="1"/>
  <c r="AA44" i="3" s="1"/>
  <c r="AC44" i="3" a="1"/>
  <c r="AC44" i="3" s="1"/>
  <c r="W44" i="3" a="1"/>
  <c r="W44" i="3" s="1"/>
  <c r="X44" i="3" a="1"/>
  <c r="X44" i="3" s="1"/>
  <c r="V44" i="3" a="1"/>
  <c r="V44" i="3" s="1"/>
  <c r="I43" i="6" a="1"/>
  <c r="I43" i="6" s="1"/>
  <c r="G43" i="6" a="1"/>
  <c r="G43" i="6" s="1"/>
  <c r="K43" i="6" a="1"/>
  <c r="K43" i="6" s="1"/>
  <c r="H43" i="6" a="1"/>
  <c r="H43" i="6" s="1"/>
  <c r="D43" i="6" a="1"/>
  <c r="D43" i="6" s="1"/>
  <c r="F43" i="6" a="1"/>
  <c r="F43" i="6" s="1"/>
  <c r="J43" i="6" a="1"/>
  <c r="J43" i="6" s="1"/>
  <c r="C43" i="6" a="1"/>
  <c r="C43" i="6" s="1"/>
  <c r="M43" i="6" a="1"/>
  <c r="M43" i="6" s="1"/>
  <c r="L43" i="6" a="1"/>
  <c r="L43" i="6" s="1"/>
  <c r="E43" i="6" a="1"/>
  <c r="E43" i="6" s="1"/>
  <c r="I44" i="3" a="1"/>
  <c r="I44" i="3" s="1"/>
  <c r="J44" i="3" a="1"/>
  <c r="J44" i="3" s="1"/>
  <c r="D44" i="3" a="1"/>
  <c r="D44" i="3" s="1"/>
  <c r="G44" i="3" a="1"/>
  <c r="G44" i="3" s="1"/>
  <c r="F44" i="3" a="1"/>
  <c r="F44" i="3" s="1"/>
  <c r="H44" i="3" a="1"/>
  <c r="H44" i="3" s="1"/>
  <c r="B43" i="6" a="1"/>
  <c r="B43" i="6" s="1"/>
  <c r="A44" i="6"/>
  <c r="C44" i="3" a="1"/>
  <c r="C44" i="3" s="1"/>
  <c r="K44" i="3" a="1"/>
  <c r="K44" i="3" s="1"/>
  <c r="R44" i="3" a="1"/>
  <c r="R44" i="3" s="1"/>
  <c r="Q44" i="3" a="1"/>
  <c r="Q44" i="3" s="1"/>
  <c r="E44" i="3" a="1"/>
  <c r="E44" i="3" s="1"/>
  <c r="L44" i="3" a="1"/>
  <c r="L44" i="3" s="1"/>
  <c r="S44" i="3" a="1"/>
  <c r="S44" i="3" s="1"/>
  <c r="M44" i="3" a="1"/>
  <c r="M44" i="3" s="1"/>
  <c r="U44" i="3" a="1"/>
  <c r="U44" i="3" s="1"/>
  <c r="P44" i="3" a="1"/>
  <c r="P44" i="3" s="1"/>
  <c r="N44" i="3" a="1"/>
  <c r="N44" i="3" s="1"/>
  <c r="T44" i="3" a="1"/>
  <c r="T44" i="3" s="1"/>
  <c r="O44" i="3" a="1"/>
  <c r="O44" i="3" s="1"/>
  <c r="B45" i="3"/>
  <c r="AB45" i="3" l="1" a="1"/>
  <c r="AB45" i="3" s="1"/>
  <c r="AD45" i="3" a="1"/>
  <c r="AD45" i="3" s="1"/>
  <c r="AA45" i="3" a="1"/>
  <c r="AA45" i="3" s="1"/>
  <c r="Y45" i="3" a="1"/>
  <c r="Y45" i="3" s="1"/>
  <c r="Z45" i="3" a="1"/>
  <c r="Z45" i="3" s="1"/>
  <c r="AC45" i="3" a="1"/>
  <c r="AC45" i="3" s="1"/>
  <c r="X45" i="3" a="1"/>
  <c r="X45" i="3" s="1"/>
  <c r="W45" i="3" a="1"/>
  <c r="W45" i="3" s="1"/>
  <c r="V45" i="3" a="1"/>
  <c r="V45" i="3" s="1"/>
  <c r="I44" i="6" a="1"/>
  <c r="I44" i="6" s="1"/>
  <c r="J44" i="6" a="1"/>
  <c r="J44" i="6" s="1"/>
  <c r="H44" i="6" a="1"/>
  <c r="H44" i="6" s="1"/>
  <c r="K44" i="6" a="1"/>
  <c r="K44" i="6" s="1"/>
  <c r="D44" i="6" a="1"/>
  <c r="D44" i="6" s="1"/>
  <c r="F44" i="6" a="1"/>
  <c r="F44" i="6" s="1"/>
  <c r="G44" i="6" a="1"/>
  <c r="G44" i="6" s="1"/>
  <c r="L44" i="6" a="1"/>
  <c r="L44" i="6" s="1"/>
  <c r="BI4" i="7" s="1"/>
  <c r="E44" i="6" a="1"/>
  <c r="E44" i="6" s="1"/>
  <c r="BG4" i="7" s="1"/>
  <c r="C44" i="6" a="1"/>
  <c r="C44" i="6" s="1"/>
  <c r="M44" i="6" a="1"/>
  <c r="M44" i="6" s="1"/>
  <c r="I45" i="3" a="1"/>
  <c r="I45" i="3" s="1"/>
  <c r="J45" i="3" a="1"/>
  <c r="J45" i="3" s="1"/>
  <c r="D45" i="3" a="1"/>
  <c r="D45" i="3" s="1"/>
  <c r="H45" i="3" a="1"/>
  <c r="H45" i="3" s="1"/>
  <c r="F45" i="3" a="1"/>
  <c r="F45" i="3" s="1"/>
  <c r="G45" i="3" a="1"/>
  <c r="G45" i="3" s="1"/>
  <c r="B44" i="6" a="1"/>
  <c r="B44" i="6" s="1"/>
  <c r="BF4" i="7" s="1"/>
  <c r="A45" i="6"/>
  <c r="C45" i="3" a="1"/>
  <c r="C45" i="3" s="1"/>
  <c r="E45" i="3" a="1"/>
  <c r="E45" i="3" s="1"/>
  <c r="K45" i="3" a="1"/>
  <c r="K45" i="3" s="1"/>
  <c r="Q45" i="3" a="1"/>
  <c r="Q45" i="3" s="1"/>
  <c r="R45" i="3" a="1"/>
  <c r="R45" i="3" s="1"/>
  <c r="S45" i="3" a="1"/>
  <c r="S45" i="3" s="1"/>
  <c r="L45" i="3" a="1"/>
  <c r="L45" i="3" s="1"/>
  <c r="M45" i="3" a="1"/>
  <c r="M45" i="3" s="1"/>
  <c r="T45" i="3" a="1"/>
  <c r="T45" i="3" s="1"/>
  <c r="U45" i="3" a="1"/>
  <c r="U45" i="3" s="1"/>
  <c r="P45" i="3" a="1"/>
  <c r="P45" i="3" s="1"/>
  <c r="O45" i="3" a="1"/>
  <c r="O45" i="3" s="1"/>
  <c r="N45" i="3" a="1"/>
  <c r="N45" i="3" s="1"/>
  <c r="B46" i="3"/>
  <c r="BH4" i="7" l="1"/>
  <c r="AD46" i="3" a="1"/>
  <c r="AD46" i="3" s="1"/>
  <c r="AB46" i="3" a="1"/>
  <c r="AB46" i="3" s="1"/>
  <c r="Y46" i="3" a="1"/>
  <c r="Y46" i="3" s="1"/>
  <c r="Z46" i="3" a="1"/>
  <c r="Z46" i="3" s="1"/>
  <c r="AA46" i="3" a="1"/>
  <c r="AA46" i="3" s="1"/>
  <c r="AC46" i="3" a="1"/>
  <c r="AC46" i="3" s="1"/>
  <c r="W46" i="3" a="1"/>
  <c r="W46" i="3" s="1"/>
  <c r="X46" i="3" a="1"/>
  <c r="X46" i="3" s="1"/>
  <c r="V46" i="3" a="1"/>
  <c r="V46" i="3" s="1"/>
  <c r="I45" i="6" a="1"/>
  <c r="I45" i="6" s="1"/>
  <c r="K45" i="6" a="1"/>
  <c r="K45" i="6" s="1"/>
  <c r="D45" i="6" a="1"/>
  <c r="D45" i="6" s="1"/>
  <c r="J45" i="6" a="1"/>
  <c r="J45" i="6" s="1"/>
  <c r="F45" i="6" a="1"/>
  <c r="F45" i="6" s="1"/>
  <c r="G45" i="6" a="1"/>
  <c r="G45" i="6" s="1"/>
  <c r="H45" i="6" a="1"/>
  <c r="H45" i="6" s="1"/>
  <c r="M45" i="6" a="1"/>
  <c r="M45" i="6" s="1"/>
  <c r="L45" i="6" a="1"/>
  <c r="L45" i="6" s="1"/>
  <c r="BI5" i="7" s="1"/>
  <c r="E45" i="6" a="1"/>
  <c r="E45" i="6" s="1"/>
  <c r="BG5" i="7" s="1"/>
  <c r="C45" i="6" a="1"/>
  <c r="C45" i="6" s="1"/>
  <c r="I46" i="3" a="1"/>
  <c r="I46" i="3" s="1"/>
  <c r="J46" i="3" a="1"/>
  <c r="J46" i="3" s="1"/>
  <c r="D46" i="3" a="1"/>
  <c r="D46" i="3" s="1"/>
  <c r="G46" i="3" a="1"/>
  <c r="G46" i="3" s="1"/>
  <c r="F46" i="3" a="1"/>
  <c r="F46" i="3" s="1"/>
  <c r="H46" i="3" a="1"/>
  <c r="H46" i="3" s="1"/>
  <c r="B45" i="6" a="1"/>
  <c r="B45" i="6" s="1"/>
  <c r="BF5" i="7" s="1"/>
  <c r="A46" i="6"/>
  <c r="C46" i="3" a="1"/>
  <c r="C46" i="3" s="1"/>
  <c r="K46" i="3" a="1"/>
  <c r="K46" i="3" s="1"/>
  <c r="Q46" i="3" a="1"/>
  <c r="Q46" i="3" s="1"/>
  <c r="E46" i="3" a="1"/>
  <c r="E46" i="3" s="1"/>
  <c r="R46" i="3" a="1"/>
  <c r="R46" i="3" s="1"/>
  <c r="L46" i="3" a="1"/>
  <c r="L46" i="3" s="1"/>
  <c r="S46" i="3" a="1"/>
  <c r="S46" i="3" s="1"/>
  <c r="T46" i="3" a="1"/>
  <c r="T46" i="3" s="1"/>
  <c r="N46" i="3" a="1"/>
  <c r="N46" i="3" s="1"/>
  <c r="P46" i="3" a="1"/>
  <c r="P46" i="3" s="1"/>
  <c r="M46" i="3" a="1"/>
  <c r="M46" i="3" s="1"/>
  <c r="O46" i="3" a="1"/>
  <c r="O46" i="3" s="1"/>
  <c r="U46" i="3" a="1"/>
  <c r="U46" i="3" s="1"/>
  <c r="B47" i="3"/>
  <c r="BH5" i="7" l="1"/>
  <c r="AD47" i="3" a="1"/>
  <c r="AD47" i="3" s="1"/>
  <c r="AB47" i="3" a="1"/>
  <c r="AB47" i="3" s="1"/>
  <c r="Y47" i="3" a="1"/>
  <c r="Y47" i="3" s="1"/>
  <c r="AA47" i="3" a="1"/>
  <c r="AA47" i="3" s="1"/>
  <c r="Z47" i="3" a="1"/>
  <c r="Z47" i="3" s="1"/>
  <c r="AC47" i="3" a="1"/>
  <c r="AC47" i="3" s="1"/>
  <c r="V47" i="3" a="1"/>
  <c r="V47" i="3" s="1"/>
  <c r="W47" i="3" a="1"/>
  <c r="W47" i="3" s="1"/>
  <c r="X47" i="3" a="1"/>
  <c r="X47" i="3" s="1"/>
  <c r="I46" i="6" a="1"/>
  <c r="I46" i="6" s="1"/>
  <c r="D46" i="6" a="1"/>
  <c r="D46" i="6" s="1"/>
  <c r="F46" i="6" a="1"/>
  <c r="F46" i="6" s="1"/>
  <c r="G46" i="6" a="1"/>
  <c r="G46" i="6" s="1"/>
  <c r="J46" i="6" a="1"/>
  <c r="J46" i="6" s="1"/>
  <c r="H46" i="6" a="1"/>
  <c r="H46" i="6" s="1"/>
  <c r="K46" i="6" a="1"/>
  <c r="K46" i="6" s="1"/>
  <c r="L46" i="6" a="1"/>
  <c r="L46" i="6" s="1"/>
  <c r="BI6" i="7" s="1"/>
  <c r="C46" i="6" a="1"/>
  <c r="C46" i="6" s="1"/>
  <c r="E46" i="6" a="1"/>
  <c r="E46" i="6" s="1"/>
  <c r="BG6" i="7" s="1"/>
  <c r="M46" i="6" a="1"/>
  <c r="M46" i="6" s="1"/>
  <c r="I47" i="3" a="1"/>
  <c r="I47" i="3" s="1"/>
  <c r="J47" i="3" a="1"/>
  <c r="J47" i="3" s="1"/>
  <c r="D47" i="3" a="1"/>
  <c r="D47" i="3" s="1"/>
  <c r="G47" i="3" a="1"/>
  <c r="G47" i="3" s="1"/>
  <c r="H47" i="3" a="1"/>
  <c r="H47" i="3" s="1"/>
  <c r="F47" i="3" a="1"/>
  <c r="F47" i="3" s="1"/>
  <c r="B46" i="6" a="1"/>
  <c r="B46" i="6" s="1"/>
  <c r="BF6" i="7" s="1"/>
  <c r="A47" i="6"/>
  <c r="C47" i="3" a="1"/>
  <c r="C47" i="3" s="1"/>
  <c r="K47" i="3" a="1"/>
  <c r="K47" i="3" s="1"/>
  <c r="R47" i="3" a="1"/>
  <c r="R47" i="3" s="1"/>
  <c r="Q47" i="3" a="1"/>
  <c r="Q47" i="3" s="1"/>
  <c r="E47" i="3" a="1"/>
  <c r="E47" i="3" s="1"/>
  <c r="M47" i="3" a="1"/>
  <c r="M47" i="3" s="1"/>
  <c r="T47" i="3" a="1"/>
  <c r="T47" i="3" s="1"/>
  <c r="L47" i="3" a="1"/>
  <c r="L47" i="3" s="1"/>
  <c r="S47" i="3" a="1"/>
  <c r="S47" i="3" s="1"/>
  <c r="P47" i="3" a="1"/>
  <c r="P47" i="3" s="1"/>
  <c r="O47" i="3" a="1"/>
  <c r="O47" i="3" s="1"/>
  <c r="N47" i="3" a="1"/>
  <c r="N47" i="3" s="1"/>
  <c r="U47" i="3" a="1"/>
  <c r="U47" i="3" s="1"/>
  <c r="B48" i="3"/>
  <c r="BH6" i="7" l="1"/>
  <c r="AD48" i="3" a="1"/>
  <c r="AD48" i="3" s="1"/>
  <c r="AB48" i="3" a="1"/>
  <c r="AB48" i="3" s="1"/>
  <c r="Y48" i="3" a="1"/>
  <c r="Y48" i="3" s="1"/>
  <c r="Z48" i="3" a="1"/>
  <c r="Z48" i="3" s="1"/>
  <c r="AA48" i="3" a="1"/>
  <c r="AA48" i="3" s="1"/>
  <c r="AC48" i="3" a="1"/>
  <c r="AC48" i="3" s="1"/>
  <c r="V48" i="3" a="1"/>
  <c r="V48" i="3" s="1"/>
  <c r="X48" i="3" a="1"/>
  <c r="X48" i="3" s="1"/>
  <c r="W48" i="3" a="1"/>
  <c r="W48" i="3" s="1"/>
  <c r="I47" i="6" a="1"/>
  <c r="I47" i="6" s="1"/>
  <c r="D47" i="6" a="1"/>
  <c r="D47" i="6" s="1"/>
  <c r="F47" i="6" a="1"/>
  <c r="F47" i="6" s="1"/>
  <c r="G47" i="6" a="1"/>
  <c r="G47" i="6" s="1"/>
  <c r="J47" i="6" a="1"/>
  <c r="J47" i="6" s="1"/>
  <c r="H47" i="6" a="1"/>
  <c r="H47" i="6" s="1"/>
  <c r="K47" i="6" a="1"/>
  <c r="K47" i="6" s="1"/>
  <c r="L47" i="6" a="1"/>
  <c r="L47" i="6" s="1"/>
  <c r="BI7" i="7" s="1"/>
  <c r="C47" i="6" a="1"/>
  <c r="C47" i="6" s="1"/>
  <c r="E47" i="6" a="1"/>
  <c r="E47" i="6" s="1"/>
  <c r="BG7" i="7" s="1"/>
  <c r="M47" i="6" a="1"/>
  <c r="M47" i="6" s="1"/>
  <c r="I48" i="3" a="1"/>
  <c r="I48" i="3" s="1"/>
  <c r="J48" i="3" a="1"/>
  <c r="J48" i="3" s="1"/>
  <c r="D48" i="3" a="1"/>
  <c r="D48" i="3" s="1"/>
  <c r="F48" i="3" a="1"/>
  <c r="F48" i="3" s="1"/>
  <c r="H48" i="3" a="1"/>
  <c r="H48" i="3" s="1"/>
  <c r="G48" i="3" a="1"/>
  <c r="G48" i="3" s="1"/>
  <c r="B47" i="6" a="1"/>
  <c r="B47" i="6" s="1"/>
  <c r="BF7" i="7" s="1"/>
  <c r="A48" i="6"/>
  <c r="C48" i="3" a="1"/>
  <c r="C48" i="3" s="1"/>
  <c r="E48" i="3" a="1"/>
  <c r="E48" i="3" s="1"/>
  <c r="R48" i="3" a="1"/>
  <c r="R48" i="3" s="1"/>
  <c r="K48" i="3" a="1"/>
  <c r="K48" i="3" s="1"/>
  <c r="Q48" i="3" a="1"/>
  <c r="Q48" i="3" s="1"/>
  <c r="M48" i="3" a="1"/>
  <c r="M48" i="3" s="1"/>
  <c r="L48" i="3" a="1"/>
  <c r="L48" i="3" s="1"/>
  <c r="S48" i="3" a="1"/>
  <c r="S48" i="3" s="1"/>
  <c r="T48" i="3" a="1"/>
  <c r="T48" i="3" s="1"/>
  <c r="U48" i="3" a="1"/>
  <c r="U48" i="3" s="1"/>
  <c r="O48" i="3" a="1"/>
  <c r="O48" i="3" s="1"/>
  <c r="N48" i="3" a="1"/>
  <c r="N48" i="3" s="1"/>
  <c r="P48" i="3" a="1"/>
  <c r="P48" i="3" s="1"/>
  <c r="B49" i="3"/>
  <c r="BH7" i="7" l="1"/>
  <c r="AD49" i="3" a="1"/>
  <c r="AD49" i="3" s="1"/>
  <c r="AB49" i="3" a="1"/>
  <c r="AB49" i="3" s="1"/>
  <c r="Y49" i="3" a="1"/>
  <c r="Y49" i="3" s="1"/>
  <c r="AA49" i="3" a="1"/>
  <c r="AA49" i="3" s="1"/>
  <c r="Z49" i="3" a="1"/>
  <c r="Z49" i="3" s="1"/>
  <c r="AC49" i="3" a="1"/>
  <c r="AC49" i="3" s="1"/>
  <c r="W49" i="3" a="1"/>
  <c r="W49" i="3" s="1"/>
  <c r="X49" i="3" a="1"/>
  <c r="X49" i="3" s="1"/>
  <c r="V49" i="3" a="1"/>
  <c r="V49" i="3" s="1"/>
  <c r="I48" i="6" a="1"/>
  <c r="I48" i="6" s="1"/>
  <c r="J48" i="6" a="1"/>
  <c r="J48" i="6" s="1"/>
  <c r="G48" i="6" a="1"/>
  <c r="G48" i="6" s="1"/>
  <c r="H48" i="6" a="1"/>
  <c r="H48" i="6" s="1"/>
  <c r="K48" i="6" a="1"/>
  <c r="K48" i="6" s="1"/>
  <c r="D48" i="6" a="1"/>
  <c r="D48" i="6" s="1"/>
  <c r="F48" i="6" a="1"/>
  <c r="F48" i="6" s="1"/>
  <c r="E48" i="6" a="1"/>
  <c r="E48" i="6" s="1"/>
  <c r="BG8" i="7" s="1"/>
  <c r="C48" i="6" a="1"/>
  <c r="C48" i="6" s="1"/>
  <c r="M48" i="6" a="1"/>
  <c r="M48" i="6" s="1"/>
  <c r="L48" i="6" a="1"/>
  <c r="L48" i="6" s="1"/>
  <c r="BI8" i="7" s="1"/>
  <c r="I49" i="3" a="1"/>
  <c r="I49" i="3" s="1"/>
  <c r="J49" i="3" a="1"/>
  <c r="J49" i="3" s="1"/>
  <c r="D49" i="3" a="1"/>
  <c r="D49" i="3" s="1"/>
  <c r="G49" i="3" a="1"/>
  <c r="G49" i="3" s="1"/>
  <c r="F49" i="3" a="1"/>
  <c r="F49" i="3" s="1"/>
  <c r="H49" i="3" a="1"/>
  <c r="H49" i="3" s="1"/>
  <c r="B48" i="6" a="1"/>
  <c r="B48" i="6" s="1"/>
  <c r="BF8" i="7" s="1"/>
  <c r="A49" i="6"/>
  <c r="C49" i="3" a="1"/>
  <c r="C49" i="3" s="1"/>
  <c r="E49" i="3" a="1"/>
  <c r="E49" i="3" s="1"/>
  <c r="K49" i="3" a="1"/>
  <c r="K49" i="3" s="1"/>
  <c r="Q49" i="3" a="1"/>
  <c r="Q49" i="3" s="1"/>
  <c r="R49" i="3" a="1"/>
  <c r="R49" i="3" s="1"/>
  <c r="L49" i="3" a="1"/>
  <c r="L49" i="3" s="1"/>
  <c r="S49" i="3" a="1"/>
  <c r="S49" i="3" s="1"/>
  <c r="M49" i="3" a="1"/>
  <c r="M49" i="3" s="1"/>
  <c r="P49" i="3" a="1"/>
  <c r="P49" i="3" s="1"/>
  <c r="N49" i="3" a="1"/>
  <c r="N49" i="3" s="1"/>
  <c r="U49" i="3" a="1"/>
  <c r="U49" i="3" s="1"/>
  <c r="T49" i="3" a="1"/>
  <c r="T49" i="3" s="1"/>
  <c r="O49" i="3" a="1"/>
  <c r="O49" i="3" s="1"/>
  <c r="B50" i="3"/>
  <c r="BH8" i="7" l="1"/>
  <c r="Y50" i="3" a="1"/>
  <c r="Y50" i="3" s="1"/>
  <c r="AB50" i="3" a="1"/>
  <c r="AB50" i="3" s="1"/>
  <c r="AD50" i="3" a="1"/>
  <c r="AD50" i="3" s="1"/>
  <c r="Z50" i="3" a="1"/>
  <c r="Z50" i="3" s="1"/>
  <c r="AA50" i="3" a="1"/>
  <c r="AA50" i="3" s="1"/>
  <c r="AC50" i="3" a="1"/>
  <c r="AC50" i="3" s="1"/>
  <c r="W50" i="3" a="1"/>
  <c r="W50" i="3" s="1"/>
  <c r="V50" i="3" a="1"/>
  <c r="V50" i="3" s="1"/>
  <c r="X50" i="3" a="1"/>
  <c r="X50" i="3" s="1"/>
  <c r="I49" i="6" a="1"/>
  <c r="I49" i="6" s="1"/>
  <c r="G49" i="6" a="1"/>
  <c r="G49" i="6" s="1"/>
  <c r="D49" i="6" a="1"/>
  <c r="D49" i="6" s="1"/>
  <c r="J49" i="6" a="1"/>
  <c r="J49" i="6" s="1"/>
  <c r="H49" i="6" a="1"/>
  <c r="H49" i="6" s="1"/>
  <c r="F49" i="6" a="1"/>
  <c r="F49" i="6" s="1"/>
  <c r="L49" i="6" a="1"/>
  <c r="L49" i="6" s="1"/>
  <c r="BI9" i="7" s="1"/>
  <c r="E49" i="6" a="1"/>
  <c r="E49" i="6" s="1"/>
  <c r="BG9" i="7" s="1"/>
  <c r="K49" i="6" a="1"/>
  <c r="K49" i="6" s="1"/>
  <c r="C49" i="6" a="1"/>
  <c r="C49" i="6" s="1"/>
  <c r="M49" i="6" a="1"/>
  <c r="M49" i="6" s="1"/>
  <c r="I50" i="3" a="1"/>
  <c r="I50" i="3" s="1"/>
  <c r="J50" i="3" a="1"/>
  <c r="J50" i="3" s="1"/>
  <c r="D50" i="3" a="1"/>
  <c r="D50" i="3" s="1"/>
  <c r="F50" i="3" a="1"/>
  <c r="F50" i="3" s="1"/>
  <c r="H50" i="3" a="1"/>
  <c r="H50" i="3" s="1"/>
  <c r="G50" i="3" a="1"/>
  <c r="G50" i="3" s="1"/>
  <c r="B49" i="6" a="1"/>
  <c r="B49" i="6" s="1"/>
  <c r="BF9" i="7" s="1"/>
  <c r="A50" i="6"/>
  <c r="C50" i="3" a="1"/>
  <c r="C50" i="3" s="1"/>
  <c r="K50" i="3" a="1"/>
  <c r="K50" i="3" s="1"/>
  <c r="E50" i="3" a="1"/>
  <c r="E50" i="3" s="1"/>
  <c r="Q50" i="3" a="1"/>
  <c r="Q50" i="3" s="1"/>
  <c r="R50" i="3" a="1"/>
  <c r="R50" i="3" s="1"/>
  <c r="T50" i="3" a="1"/>
  <c r="T50" i="3" s="1"/>
  <c r="S50" i="3" a="1"/>
  <c r="S50" i="3" s="1"/>
  <c r="M50" i="3" a="1"/>
  <c r="M50" i="3" s="1"/>
  <c r="L50" i="3" a="1"/>
  <c r="L50" i="3" s="1"/>
  <c r="P50" i="3" a="1"/>
  <c r="P50" i="3" s="1"/>
  <c r="N50" i="3" a="1"/>
  <c r="N50" i="3" s="1"/>
  <c r="U50" i="3" a="1"/>
  <c r="U50" i="3" s="1"/>
  <c r="O50" i="3" a="1"/>
  <c r="O50" i="3" s="1"/>
  <c r="B51" i="3"/>
  <c r="BH9" i="7" l="1"/>
  <c r="AD51" i="3" a="1"/>
  <c r="AD51" i="3" s="1"/>
  <c r="AB51" i="3" a="1"/>
  <c r="AB51" i="3" s="1"/>
  <c r="Y51" i="3" a="1"/>
  <c r="Y51" i="3" s="1"/>
  <c r="AA51" i="3" a="1"/>
  <c r="AA51" i="3" s="1"/>
  <c r="Z51" i="3" a="1"/>
  <c r="Z51" i="3" s="1"/>
  <c r="AC51" i="3" a="1"/>
  <c r="AC51" i="3" s="1"/>
  <c r="X51" i="3" a="1"/>
  <c r="X51" i="3" s="1"/>
  <c r="W51" i="3" a="1"/>
  <c r="W51" i="3" s="1"/>
  <c r="V51" i="3" a="1"/>
  <c r="V51" i="3" s="1"/>
  <c r="I50" i="6" a="1"/>
  <c r="I50" i="6" s="1"/>
  <c r="D50" i="6" a="1"/>
  <c r="D50" i="6" s="1"/>
  <c r="F50" i="6" a="1"/>
  <c r="F50" i="6" s="1"/>
  <c r="G50" i="6" a="1"/>
  <c r="G50" i="6" s="1"/>
  <c r="H50" i="6" a="1"/>
  <c r="H50" i="6" s="1"/>
  <c r="J50" i="6" a="1"/>
  <c r="J50" i="6" s="1"/>
  <c r="K50" i="6" a="1"/>
  <c r="K50" i="6" s="1"/>
  <c r="M50" i="6" a="1"/>
  <c r="M50" i="6" s="1"/>
  <c r="L50" i="6" a="1"/>
  <c r="L50" i="6" s="1"/>
  <c r="BI10" i="7" s="1"/>
  <c r="E50" i="6" a="1"/>
  <c r="E50" i="6" s="1"/>
  <c r="BG10" i="7" s="1"/>
  <c r="C50" i="6" a="1"/>
  <c r="C50" i="6" s="1"/>
  <c r="I51" i="3" a="1"/>
  <c r="I51" i="3" s="1"/>
  <c r="J51" i="3" a="1"/>
  <c r="J51" i="3" s="1"/>
  <c r="D51" i="3" a="1"/>
  <c r="D51" i="3" s="1"/>
  <c r="F51" i="3" a="1"/>
  <c r="F51" i="3" s="1"/>
  <c r="G51" i="3" a="1"/>
  <c r="G51" i="3" s="1"/>
  <c r="H51" i="3" a="1"/>
  <c r="H51" i="3" s="1"/>
  <c r="B50" i="6" a="1"/>
  <c r="B50" i="6" s="1"/>
  <c r="BF10" i="7" s="1"/>
  <c r="A51" i="6"/>
  <c r="C51" i="3" a="1"/>
  <c r="C51" i="3" s="1"/>
  <c r="E51" i="3" a="1"/>
  <c r="E51" i="3" s="1"/>
  <c r="K51" i="3" a="1"/>
  <c r="K51" i="3" s="1"/>
  <c r="R51" i="3" a="1"/>
  <c r="R51" i="3" s="1"/>
  <c r="Q51" i="3" a="1"/>
  <c r="Q51" i="3" s="1"/>
  <c r="L51" i="3" a="1"/>
  <c r="L51" i="3" s="1"/>
  <c r="S51" i="3" a="1"/>
  <c r="S51" i="3" s="1"/>
  <c r="M51" i="3" a="1"/>
  <c r="M51" i="3" s="1"/>
  <c r="U51" i="3" a="1"/>
  <c r="U51" i="3" s="1"/>
  <c r="T51" i="3" a="1"/>
  <c r="T51" i="3" s="1"/>
  <c r="O51" i="3" a="1"/>
  <c r="O51" i="3" s="1"/>
  <c r="P51" i="3" a="1"/>
  <c r="P51" i="3" s="1"/>
  <c r="N51" i="3" a="1"/>
  <c r="N51" i="3" s="1"/>
  <c r="B52" i="3"/>
  <c r="BH10" i="7" l="1"/>
  <c r="AD52" i="3" a="1"/>
  <c r="AD52" i="3" s="1"/>
  <c r="AB52" i="3" a="1"/>
  <c r="AB52" i="3" s="1"/>
  <c r="Z52" i="3" a="1"/>
  <c r="Z52" i="3" s="1"/>
  <c r="Y52" i="3" a="1"/>
  <c r="Y52" i="3" s="1"/>
  <c r="AA52" i="3" a="1"/>
  <c r="AA52" i="3" s="1"/>
  <c r="AC52" i="3" a="1"/>
  <c r="AC52" i="3" s="1"/>
  <c r="V52" i="3" a="1"/>
  <c r="V52" i="3" s="1"/>
  <c r="X52" i="3" a="1"/>
  <c r="X52" i="3" s="1"/>
  <c r="W52" i="3" a="1"/>
  <c r="W52" i="3" s="1"/>
  <c r="I51" i="6" a="1"/>
  <c r="I51" i="6" s="1"/>
  <c r="D51" i="6" a="1"/>
  <c r="D51" i="6" s="1"/>
  <c r="F51" i="6" a="1"/>
  <c r="F51" i="6" s="1"/>
  <c r="G51" i="6" a="1"/>
  <c r="G51" i="6" s="1"/>
  <c r="H51" i="6" a="1"/>
  <c r="H51" i="6" s="1"/>
  <c r="J51" i="6" a="1"/>
  <c r="J51" i="6" s="1"/>
  <c r="K51" i="6" a="1"/>
  <c r="K51" i="6" s="1"/>
  <c r="M51" i="6" a="1"/>
  <c r="M51" i="6" s="1"/>
  <c r="E51" i="6" a="1"/>
  <c r="E51" i="6" s="1"/>
  <c r="BG11" i="7" s="1"/>
  <c r="C51" i="6" a="1"/>
  <c r="C51" i="6" s="1"/>
  <c r="L51" i="6" a="1"/>
  <c r="L51" i="6" s="1"/>
  <c r="BI11" i="7" s="1"/>
  <c r="I52" i="3" a="1"/>
  <c r="I52" i="3" s="1"/>
  <c r="J52" i="3" a="1"/>
  <c r="J52" i="3" s="1"/>
  <c r="D52" i="3" a="1"/>
  <c r="D52" i="3" s="1"/>
  <c r="G52" i="3" a="1"/>
  <c r="G52" i="3" s="1"/>
  <c r="F52" i="3" a="1"/>
  <c r="F52" i="3" s="1"/>
  <c r="H52" i="3" a="1"/>
  <c r="H52" i="3" s="1"/>
  <c r="B51" i="6" a="1"/>
  <c r="B51" i="6" s="1"/>
  <c r="BF11" i="7" s="1"/>
  <c r="A52" i="6"/>
  <c r="C52" i="3" a="1"/>
  <c r="C52" i="3" s="1"/>
  <c r="E52" i="3" a="1"/>
  <c r="E52" i="3" s="1"/>
  <c r="K52" i="3" a="1"/>
  <c r="K52" i="3" s="1"/>
  <c r="Q52" i="3" a="1"/>
  <c r="Q52" i="3" s="1"/>
  <c r="R52" i="3" a="1"/>
  <c r="R52" i="3" s="1"/>
  <c r="T52" i="3" a="1"/>
  <c r="T52" i="3" s="1"/>
  <c r="M52" i="3" a="1"/>
  <c r="M52" i="3" s="1"/>
  <c r="S52" i="3" a="1"/>
  <c r="S52" i="3" s="1"/>
  <c r="L52" i="3" a="1"/>
  <c r="L52" i="3" s="1"/>
  <c r="O52" i="3" a="1"/>
  <c r="O52" i="3" s="1"/>
  <c r="U52" i="3" a="1"/>
  <c r="U52" i="3" s="1"/>
  <c r="P52" i="3" a="1"/>
  <c r="P52" i="3" s="1"/>
  <c r="N52" i="3" a="1"/>
  <c r="N52" i="3" s="1"/>
  <c r="B53" i="3"/>
  <c r="BH11" i="7" l="1"/>
  <c r="AB53" i="3" a="1"/>
  <c r="AB53" i="3" s="1"/>
  <c r="AD53" i="3" a="1"/>
  <c r="AD53" i="3" s="1"/>
  <c r="Y53" i="3" a="1"/>
  <c r="Y53" i="3" s="1"/>
  <c r="AA53" i="3" a="1"/>
  <c r="AA53" i="3" s="1"/>
  <c r="Z53" i="3" a="1"/>
  <c r="Z53" i="3" s="1"/>
  <c r="AC53" i="3" a="1"/>
  <c r="AC53" i="3" s="1"/>
  <c r="X53" i="3" a="1"/>
  <c r="X53" i="3" s="1"/>
  <c r="W53" i="3" a="1"/>
  <c r="W53" i="3" s="1"/>
  <c r="V53" i="3" a="1"/>
  <c r="V53" i="3" s="1"/>
  <c r="I52" i="6" a="1"/>
  <c r="I52" i="6" s="1"/>
  <c r="L52" i="6" a="1"/>
  <c r="L52" i="6" s="1"/>
  <c r="BI12" i="7" s="1"/>
  <c r="D52" i="6" a="1"/>
  <c r="D52" i="6" s="1"/>
  <c r="G52" i="6" a="1"/>
  <c r="G52" i="6" s="1"/>
  <c r="H52" i="6" a="1"/>
  <c r="H52" i="6" s="1"/>
  <c r="K52" i="6" a="1"/>
  <c r="K52" i="6" s="1"/>
  <c r="J52" i="6" a="1"/>
  <c r="J52" i="6" s="1"/>
  <c r="C52" i="6" a="1"/>
  <c r="C52" i="6" s="1"/>
  <c r="E52" i="6" a="1"/>
  <c r="E52" i="6" s="1"/>
  <c r="BG12" i="7" s="1"/>
  <c r="M52" i="6" a="1"/>
  <c r="M52" i="6" s="1"/>
  <c r="F52" i="6" a="1"/>
  <c r="F52" i="6" s="1"/>
  <c r="I53" i="3" a="1"/>
  <c r="I53" i="3" s="1"/>
  <c r="J53" i="3" a="1"/>
  <c r="J53" i="3" s="1"/>
  <c r="D53" i="3" a="1"/>
  <c r="D53" i="3" s="1"/>
  <c r="F53" i="3" a="1"/>
  <c r="F53" i="3" s="1"/>
  <c r="H53" i="3" a="1"/>
  <c r="H53" i="3" s="1"/>
  <c r="G53" i="3" a="1"/>
  <c r="G53" i="3" s="1"/>
  <c r="B52" i="6" a="1"/>
  <c r="B52" i="6" s="1"/>
  <c r="BF12" i="7" s="1"/>
  <c r="A53" i="6"/>
  <c r="C53" i="3" a="1"/>
  <c r="C53" i="3" s="1"/>
  <c r="Q53" i="3" a="1"/>
  <c r="Q53" i="3" s="1"/>
  <c r="R53" i="3" a="1"/>
  <c r="R53" i="3" s="1"/>
  <c r="E53" i="3" a="1"/>
  <c r="E53" i="3" s="1"/>
  <c r="K53" i="3" a="1"/>
  <c r="K53" i="3" s="1"/>
  <c r="T53" i="3" a="1"/>
  <c r="T53" i="3" s="1"/>
  <c r="M53" i="3" a="1"/>
  <c r="M53" i="3" s="1"/>
  <c r="L53" i="3" a="1"/>
  <c r="L53" i="3" s="1"/>
  <c r="S53" i="3" a="1"/>
  <c r="S53" i="3" s="1"/>
  <c r="U53" i="3" a="1"/>
  <c r="U53" i="3" s="1"/>
  <c r="O53" i="3" a="1"/>
  <c r="O53" i="3" s="1"/>
  <c r="P53" i="3" a="1"/>
  <c r="P53" i="3" s="1"/>
  <c r="N53" i="3" a="1"/>
  <c r="N53" i="3" s="1"/>
  <c r="B54" i="3"/>
  <c r="BH12" i="7" l="1"/>
  <c r="AD54" i="3" a="1"/>
  <c r="AD54" i="3" s="1"/>
  <c r="AB54" i="3" a="1"/>
  <c r="AB54" i="3" s="1"/>
  <c r="Z54" i="3" a="1"/>
  <c r="Z54" i="3" s="1"/>
  <c r="Y54" i="3" a="1"/>
  <c r="Y54" i="3" s="1"/>
  <c r="AA54" i="3" a="1"/>
  <c r="AA54" i="3" s="1"/>
  <c r="AC54" i="3" a="1"/>
  <c r="AC54" i="3" s="1"/>
  <c r="W54" i="3" a="1"/>
  <c r="W54" i="3" s="1"/>
  <c r="X54" i="3" a="1"/>
  <c r="X54" i="3" s="1"/>
  <c r="V54" i="3" a="1"/>
  <c r="V54" i="3" s="1"/>
  <c r="I53" i="6" a="1"/>
  <c r="I53" i="6" s="1"/>
  <c r="L53" i="6" a="1"/>
  <c r="L53" i="6" s="1"/>
  <c r="BI13" i="7" s="1"/>
  <c r="E53" i="6" a="1"/>
  <c r="E53" i="6" s="1"/>
  <c r="BG13" i="7" s="1"/>
  <c r="D53" i="6" a="1"/>
  <c r="D53" i="6" s="1"/>
  <c r="H53" i="6" a="1"/>
  <c r="H53" i="6" s="1"/>
  <c r="J53" i="6" a="1"/>
  <c r="J53" i="6" s="1"/>
  <c r="K53" i="6" a="1"/>
  <c r="K53" i="6" s="1"/>
  <c r="C53" i="6" a="1"/>
  <c r="C53" i="6" s="1"/>
  <c r="G53" i="6" a="1"/>
  <c r="G53" i="6" s="1"/>
  <c r="F53" i="6" a="1"/>
  <c r="F53" i="6" s="1"/>
  <c r="M53" i="6" a="1"/>
  <c r="M53" i="6" s="1"/>
  <c r="I54" i="3" a="1"/>
  <c r="I54" i="3" s="1"/>
  <c r="J54" i="3" a="1"/>
  <c r="J54" i="3" s="1"/>
  <c r="D54" i="3" a="1"/>
  <c r="D54" i="3" s="1"/>
  <c r="H54" i="3" a="1"/>
  <c r="H54" i="3" s="1"/>
  <c r="F54" i="3" a="1"/>
  <c r="F54" i="3" s="1"/>
  <c r="G54" i="3" a="1"/>
  <c r="G54" i="3" s="1"/>
  <c r="B53" i="6" a="1"/>
  <c r="B53" i="6" s="1"/>
  <c r="BF13" i="7" s="1"/>
  <c r="A54" i="6"/>
  <c r="C54" i="3" a="1"/>
  <c r="C54" i="3" s="1"/>
  <c r="R54" i="3" a="1"/>
  <c r="R54" i="3" s="1"/>
  <c r="E54" i="3" a="1"/>
  <c r="E54" i="3" s="1"/>
  <c r="Q54" i="3" a="1"/>
  <c r="Q54" i="3" s="1"/>
  <c r="K54" i="3" a="1"/>
  <c r="K54" i="3" s="1"/>
  <c r="T54" i="3" a="1"/>
  <c r="T54" i="3" s="1"/>
  <c r="M54" i="3" a="1"/>
  <c r="M54" i="3" s="1"/>
  <c r="L54" i="3" a="1"/>
  <c r="L54" i="3" s="1"/>
  <c r="S54" i="3" a="1"/>
  <c r="S54" i="3" s="1"/>
  <c r="U54" i="3" a="1"/>
  <c r="U54" i="3" s="1"/>
  <c r="N54" i="3" a="1"/>
  <c r="N54" i="3" s="1"/>
  <c r="P54" i="3" a="1"/>
  <c r="P54" i="3" s="1"/>
  <c r="O54" i="3" a="1"/>
  <c r="O54" i="3" s="1"/>
  <c r="B55" i="3"/>
  <c r="BH13" i="7" l="1"/>
  <c r="Y4" i="7"/>
  <c r="Z4" i="7" s="1"/>
  <c r="AB55" i="3" a="1"/>
  <c r="AB55" i="3" s="1"/>
  <c r="AD55" i="3" a="1"/>
  <c r="AD55" i="3" s="1"/>
  <c r="Y55" i="3" a="1"/>
  <c r="Y55" i="3" s="1"/>
  <c r="AA55" i="3" a="1"/>
  <c r="AA55" i="3" s="1"/>
  <c r="Z55" i="3" a="1"/>
  <c r="Z55" i="3" s="1"/>
  <c r="AC55" i="3" a="1"/>
  <c r="AC55" i="3" s="1"/>
  <c r="X55" i="3" a="1"/>
  <c r="X55" i="3" s="1"/>
  <c r="W55" i="3" a="1"/>
  <c r="W55" i="3" s="1"/>
  <c r="V55" i="3" a="1"/>
  <c r="V55" i="3" s="1"/>
  <c r="I54" i="6" a="1"/>
  <c r="I54" i="6" s="1"/>
  <c r="F54" i="6" a="1"/>
  <c r="F54" i="6" s="1"/>
  <c r="L54" i="6" a="1"/>
  <c r="L54" i="6" s="1"/>
  <c r="BI14" i="7" s="1"/>
  <c r="M54" i="6" a="1"/>
  <c r="M54" i="6" s="1"/>
  <c r="C54" i="6" a="1"/>
  <c r="C54" i="6" s="1"/>
  <c r="D54" i="6" a="1"/>
  <c r="D54" i="6" s="1"/>
  <c r="E54" i="6" a="1"/>
  <c r="E54" i="6" s="1"/>
  <c r="BG14" i="7" s="1"/>
  <c r="G54" i="6" a="1"/>
  <c r="G54" i="6" s="1"/>
  <c r="K54" i="6" a="1"/>
  <c r="K54" i="6" s="1"/>
  <c r="J54" i="6" a="1"/>
  <c r="J54" i="6" s="1"/>
  <c r="H54" i="6" a="1"/>
  <c r="H54" i="6" s="1"/>
  <c r="V4" i="7"/>
  <c r="I55" i="3" a="1"/>
  <c r="I55" i="3" s="1"/>
  <c r="J55" i="3" a="1"/>
  <c r="J55" i="3" s="1"/>
  <c r="D55" i="3" a="1"/>
  <c r="D55" i="3" s="1"/>
  <c r="G55" i="3" a="1"/>
  <c r="G55" i="3" s="1"/>
  <c r="F55" i="3" a="1"/>
  <c r="F55" i="3" s="1"/>
  <c r="H55" i="3" a="1"/>
  <c r="H55" i="3" s="1"/>
  <c r="B54" i="6" a="1"/>
  <c r="B54" i="6" s="1"/>
  <c r="A55" i="6"/>
  <c r="C55" i="3" a="1"/>
  <c r="C55" i="3" s="1"/>
  <c r="K55" i="3" a="1"/>
  <c r="K55" i="3" s="1"/>
  <c r="Q55" i="3" a="1"/>
  <c r="Q55" i="3" s="1"/>
  <c r="R55" i="3" a="1"/>
  <c r="R55" i="3" s="1"/>
  <c r="E55" i="3" a="1"/>
  <c r="E55" i="3" s="1"/>
  <c r="T55" i="3" a="1"/>
  <c r="T55" i="3" s="1"/>
  <c r="M55" i="3" a="1"/>
  <c r="M55" i="3" s="1"/>
  <c r="S55" i="3" a="1"/>
  <c r="S55" i="3" s="1"/>
  <c r="N55" i="3" a="1"/>
  <c r="N55" i="3" s="1"/>
  <c r="U55" i="3" a="1"/>
  <c r="U55" i="3" s="1"/>
  <c r="P55" i="3" a="1"/>
  <c r="P55" i="3" s="1"/>
  <c r="L55" i="3" a="1"/>
  <c r="L55" i="3" s="1"/>
  <c r="O55" i="3" a="1"/>
  <c r="O55" i="3" s="1"/>
  <c r="B56" i="3"/>
  <c r="BH14" i="7" l="1"/>
  <c r="AB56" i="3" a="1"/>
  <c r="AB56" i="3" s="1"/>
  <c r="AD56" i="3" a="1"/>
  <c r="AD56" i="3" s="1"/>
  <c r="Y56" i="3" a="1"/>
  <c r="Y56" i="3" s="1"/>
  <c r="Z56" i="3" a="1"/>
  <c r="Z56" i="3" s="1"/>
  <c r="AA56" i="3" a="1"/>
  <c r="AA56" i="3" s="1"/>
  <c r="AC56" i="3" a="1"/>
  <c r="AC56" i="3" s="1"/>
  <c r="V56" i="3" a="1"/>
  <c r="V56" i="3" s="1"/>
  <c r="X56" i="3" a="1"/>
  <c r="X56" i="3" s="1"/>
  <c r="W56" i="3" a="1"/>
  <c r="W56" i="3" s="1"/>
  <c r="W5" i="7"/>
  <c r="N5" i="7" s="1"/>
  <c r="AC5" i="7" s="1"/>
  <c r="Y5" i="7"/>
  <c r="Z5" i="7" s="1"/>
  <c r="R5" i="7" s="1"/>
  <c r="Q5" i="7" s="1"/>
  <c r="I55" i="6" a="1"/>
  <c r="I55" i="6" s="1"/>
  <c r="AG6" i="7" s="1"/>
  <c r="E55" i="6" a="1"/>
  <c r="E55" i="6" s="1"/>
  <c r="BG15" i="7" s="1"/>
  <c r="F55" i="6" a="1"/>
  <c r="F55" i="6" s="1"/>
  <c r="O6" i="7" s="1"/>
  <c r="AD6" i="7" s="1"/>
  <c r="C55" i="6" a="1"/>
  <c r="C55" i="6" s="1"/>
  <c r="M55" i="6" a="1"/>
  <c r="M55" i="6" s="1"/>
  <c r="G55" i="6" a="1"/>
  <c r="G55" i="6" s="1"/>
  <c r="D55" i="6" a="1"/>
  <c r="D55" i="6" s="1"/>
  <c r="L55" i="6" a="1"/>
  <c r="L55" i="6" s="1"/>
  <c r="BI15" i="7" s="1"/>
  <c r="H55" i="6" a="1"/>
  <c r="H55" i="6" s="1"/>
  <c r="S6" i="7" s="1"/>
  <c r="AH6" i="7" s="1"/>
  <c r="K55" i="6" a="1"/>
  <c r="K55" i="6" s="1"/>
  <c r="J55" i="6" a="1"/>
  <c r="J55" i="6" s="1"/>
  <c r="V5" i="7"/>
  <c r="I56" i="3" a="1"/>
  <c r="I56" i="3" s="1"/>
  <c r="J56" i="3" a="1"/>
  <c r="J56" i="3" s="1"/>
  <c r="D56" i="3" a="1"/>
  <c r="D56" i="3" s="1"/>
  <c r="F56" i="3" a="1"/>
  <c r="F56" i="3" s="1"/>
  <c r="H56" i="3" a="1"/>
  <c r="H56" i="3" s="1"/>
  <c r="G56" i="3" a="1"/>
  <c r="G56" i="3" s="1"/>
  <c r="B55" i="6" a="1"/>
  <c r="B55" i="6" s="1"/>
  <c r="BF15" i="7" s="1"/>
  <c r="A56" i="6"/>
  <c r="C56" i="3" a="1"/>
  <c r="C56" i="3" s="1"/>
  <c r="R56" i="3" a="1"/>
  <c r="R56" i="3" s="1"/>
  <c r="K56" i="3" a="1"/>
  <c r="K56" i="3" s="1"/>
  <c r="Q56" i="3" a="1"/>
  <c r="Q56" i="3" s="1"/>
  <c r="E56" i="3" a="1"/>
  <c r="E56" i="3" s="1"/>
  <c r="L56" i="3" a="1"/>
  <c r="L56" i="3" s="1"/>
  <c r="S56" i="3" a="1"/>
  <c r="S56" i="3" s="1"/>
  <c r="T56" i="3" a="1"/>
  <c r="T56" i="3" s="1"/>
  <c r="M56" i="3" a="1"/>
  <c r="M56" i="3" s="1"/>
  <c r="O56" i="3" a="1"/>
  <c r="O56" i="3" s="1"/>
  <c r="N56" i="3" a="1"/>
  <c r="N56" i="3" s="1"/>
  <c r="U56" i="3" a="1"/>
  <c r="U56" i="3" s="1"/>
  <c r="P56" i="3" a="1"/>
  <c r="P56" i="3" s="1"/>
  <c r="B57" i="3"/>
  <c r="P5" i="7" l="1"/>
  <c r="T5" i="7" s="1"/>
  <c r="AF5" i="7"/>
  <c r="AI5" i="7" s="1"/>
  <c r="BH15" i="7"/>
  <c r="AB57" i="3" a="1"/>
  <c r="AB57" i="3" s="1"/>
  <c r="AD57" i="3" a="1"/>
  <c r="AD57" i="3" s="1"/>
  <c r="AA57" i="3" a="1"/>
  <c r="AA57" i="3" s="1"/>
  <c r="Y57" i="3" a="1"/>
  <c r="Y57" i="3" s="1"/>
  <c r="Z57" i="3" a="1"/>
  <c r="Z57" i="3" s="1"/>
  <c r="AC57" i="3" a="1"/>
  <c r="AC57" i="3" s="1"/>
  <c r="W57" i="3" a="1"/>
  <c r="W57" i="3" s="1"/>
  <c r="X57" i="3" a="1"/>
  <c r="X57" i="3" s="1"/>
  <c r="V57" i="3" a="1"/>
  <c r="V57" i="3" s="1"/>
  <c r="Y6" i="7"/>
  <c r="X6" i="7"/>
  <c r="AE6" i="7" s="1"/>
  <c r="I56" i="6" a="1"/>
  <c r="I56" i="6" s="1"/>
  <c r="AG7" i="7" s="1"/>
  <c r="G56" i="6" a="1"/>
  <c r="G56" i="6" s="1"/>
  <c r="M56" i="6" a="1"/>
  <c r="M56" i="6" s="1"/>
  <c r="H56" i="6" a="1"/>
  <c r="H56" i="6" s="1"/>
  <c r="S7" i="7" s="1"/>
  <c r="AH7" i="7" s="1"/>
  <c r="F56" i="6" a="1"/>
  <c r="F56" i="6" s="1"/>
  <c r="E56" i="6" a="1"/>
  <c r="E56" i="6" s="1"/>
  <c r="BG16" i="7" s="1"/>
  <c r="D56" i="6" a="1"/>
  <c r="D56" i="6" s="1"/>
  <c r="K56" i="6" a="1"/>
  <c r="K56" i="6" s="1"/>
  <c r="C56" i="6" a="1"/>
  <c r="C56" i="6" s="1"/>
  <c r="L56" i="6" a="1"/>
  <c r="L56" i="6" s="1"/>
  <c r="BI16" i="7" s="1"/>
  <c r="J56" i="6" a="1"/>
  <c r="J56" i="6" s="1"/>
  <c r="W6" i="7"/>
  <c r="N6" i="7" s="1"/>
  <c r="AC6" i="7" s="1"/>
  <c r="V6" i="7"/>
  <c r="I57" i="3" a="1"/>
  <c r="I57" i="3" s="1"/>
  <c r="J57" i="3" a="1"/>
  <c r="J57" i="3" s="1"/>
  <c r="D57" i="3" a="1"/>
  <c r="D57" i="3" s="1"/>
  <c r="G57" i="3" a="1"/>
  <c r="G57" i="3" s="1"/>
  <c r="F57" i="3" a="1"/>
  <c r="F57" i="3" s="1"/>
  <c r="H57" i="3" a="1"/>
  <c r="H57" i="3" s="1"/>
  <c r="B56" i="6" a="1"/>
  <c r="B56" i="6" s="1"/>
  <c r="BF16" i="7" s="1"/>
  <c r="A57" i="6"/>
  <c r="C57" i="3" a="1"/>
  <c r="C57" i="3" s="1"/>
  <c r="E57" i="3" a="1"/>
  <c r="E57" i="3" s="1"/>
  <c r="R57" i="3" a="1"/>
  <c r="R57" i="3" s="1"/>
  <c r="Q57" i="3" a="1"/>
  <c r="Q57" i="3" s="1"/>
  <c r="K57" i="3" a="1"/>
  <c r="K57" i="3" s="1"/>
  <c r="L57" i="3" a="1"/>
  <c r="L57" i="3" s="1"/>
  <c r="S57" i="3" a="1"/>
  <c r="S57" i="3" s="1"/>
  <c r="T57" i="3" a="1"/>
  <c r="T57" i="3" s="1"/>
  <c r="M57" i="3" a="1"/>
  <c r="M57" i="3" s="1"/>
  <c r="O57" i="3" a="1"/>
  <c r="O57" i="3" s="1"/>
  <c r="N57" i="3" a="1"/>
  <c r="N57" i="3" s="1"/>
  <c r="P57" i="3" a="1"/>
  <c r="P57" i="3" s="1"/>
  <c r="U57" i="3" a="1"/>
  <c r="U57" i="3" s="1"/>
  <c r="B58" i="3"/>
  <c r="Z6" i="7" l="1"/>
  <c r="R6" i="7" s="1"/>
  <c r="Q6" i="7" s="1"/>
  <c r="BH16" i="7"/>
  <c r="Y7" i="7"/>
  <c r="Z7" i="7" s="1"/>
  <c r="R7" i="7" s="1"/>
  <c r="AD58" i="3" a="1"/>
  <c r="AD58" i="3" s="1"/>
  <c r="AB58" i="3" a="1"/>
  <c r="AB58" i="3" s="1"/>
  <c r="Y58" i="3" a="1"/>
  <c r="Y58" i="3" s="1"/>
  <c r="Z58" i="3" a="1"/>
  <c r="Z58" i="3" s="1"/>
  <c r="AA58" i="3" a="1"/>
  <c r="AA58" i="3" s="1"/>
  <c r="AC58" i="3" a="1"/>
  <c r="AC58" i="3" s="1"/>
  <c r="W58" i="3" a="1"/>
  <c r="W58" i="3" s="1"/>
  <c r="V58" i="3" a="1"/>
  <c r="V58" i="3" s="1"/>
  <c r="X58" i="3" a="1"/>
  <c r="X58" i="3" s="1"/>
  <c r="AF6" i="7"/>
  <c r="AI6" i="7" s="1"/>
  <c r="O7" i="7"/>
  <c r="AD7" i="7" s="1"/>
  <c r="W7" i="7"/>
  <c r="N7" i="7" s="1"/>
  <c r="AC7" i="7" s="1"/>
  <c r="I57" i="6" a="1"/>
  <c r="I57" i="6" s="1"/>
  <c r="AG8" i="7" s="1"/>
  <c r="E57" i="6" a="1"/>
  <c r="E57" i="6" s="1"/>
  <c r="BG17" i="7" s="1"/>
  <c r="H57" i="6" a="1"/>
  <c r="H57" i="6" s="1"/>
  <c r="S8" i="7" s="1"/>
  <c r="AH8" i="7" s="1"/>
  <c r="F57" i="6" a="1"/>
  <c r="F57" i="6" s="1"/>
  <c r="G57" i="6" a="1"/>
  <c r="G57" i="6" s="1"/>
  <c r="L57" i="6" a="1"/>
  <c r="L57" i="6" s="1"/>
  <c r="BI17" i="7" s="1"/>
  <c r="K57" i="6" a="1"/>
  <c r="K57" i="6" s="1"/>
  <c r="C57" i="6" a="1"/>
  <c r="C57" i="6" s="1"/>
  <c r="M57" i="6" a="1"/>
  <c r="M57" i="6" s="1"/>
  <c r="J57" i="6" a="1"/>
  <c r="J57" i="6" s="1"/>
  <c r="D57" i="6" a="1"/>
  <c r="D57" i="6" s="1"/>
  <c r="X7" i="7"/>
  <c r="AE7" i="7" s="1"/>
  <c r="V7" i="7"/>
  <c r="I58" i="3" a="1"/>
  <c r="I58" i="3" s="1"/>
  <c r="J58" i="3" a="1"/>
  <c r="J58" i="3" s="1"/>
  <c r="D58" i="3" a="1"/>
  <c r="D58" i="3" s="1"/>
  <c r="H58" i="3" a="1"/>
  <c r="H58" i="3" s="1"/>
  <c r="F58" i="3" a="1"/>
  <c r="F58" i="3" s="1"/>
  <c r="G58" i="3" a="1"/>
  <c r="G58" i="3" s="1"/>
  <c r="B57" i="6" a="1"/>
  <c r="B57" i="6" s="1"/>
  <c r="BF17" i="7" s="1"/>
  <c r="A58" i="6"/>
  <c r="C58" i="3" a="1"/>
  <c r="C58" i="3" s="1"/>
  <c r="E58" i="3" a="1"/>
  <c r="E58" i="3" s="1"/>
  <c r="R58" i="3" a="1"/>
  <c r="R58" i="3" s="1"/>
  <c r="Q58" i="3" a="1"/>
  <c r="Q58" i="3" s="1"/>
  <c r="K58" i="3" a="1"/>
  <c r="K58" i="3" s="1"/>
  <c r="M58" i="3" a="1"/>
  <c r="M58" i="3" s="1"/>
  <c r="T58" i="3" a="1"/>
  <c r="T58" i="3" s="1"/>
  <c r="L58" i="3" a="1"/>
  <c r="L58" i="3" s="1"/>
  <c r="S58" i="3" a="1"/>
  <c r="S58" i="3" s="1"/>
  <c r="N58" i="3" a="1"/>
  <c r="N58" i="3" s="1"/>
  <c r="O58" i="3" a="1"/>
  <c r="O58" i="3" s="1"/>
  <c r="U58" i="3" a="1"/>
  <c r="U58" i="3" s="1"/>
  <c r="P58" i="3" a="1"/>
  <c r="P58" i="3" s="1"/>
  <c r="B59" i="3"/>
  <c r="P6" i="7" l="1"/>
  <c r="T6" i="7" s="1"/>
  <c r="BH17" i="7"/>
  <c r="AB59" i="3" a="1"/>
  <c r="AB59" i="3" s="1"/>
  <c r="AD59" i="3" a="1"/>
  <c r="AD59" i="3" s="1"/>
  <c r="Y59" i="3" a="1"/>
  <c r="Y59" i="3" s="1"/>
  <c r="AA59" i="3" a="1"/>
  <c r="AA59" i="3" s="1"/>
  <c r="Z59" i="3" a="1"/>
  <c r="Z59" i="3" s="1"/>
  <c r="AC59" i="3" a="1"/>
  <c r="AC59" i="3" s="1"/>
  <c r="X59" i="3" a="1"/>
  <c r="X59" i="3" s="1"/>
  <c r="W59" i="3" a="1"/>
  <c r="W59" i="3" s="1"/>
  <c r="V59" i="3" a="1"/>
  <c r="V59" i="3" s="1"/>
  <c r="Q7" i="7"/>
  <c r="P7" i="7" s="1"/>
  <c r="T7" i="7" s="1"/>
  <c r="AF7" i="7"/>
  <c r="AI7" i="7" s="1"/>
  <c r="O8" i="7"/>
  <c r="AD8" i="7" s="1"/>
  <c r="Y8" i="7"/>
  <c r="Z8" i="7" s="1"/>
  <c r="R8" i="7" s="1"/>
  <c r="I58" i="6" a="1"/>
  <c r="I58" i="6" s="1"/>
  <c r="AG9" i="7" s="1"/>
  <c r="M58" i="6" a="1"/>
  <c r="M58" i="6" s="1"/>
  <c r="H58" i="6" a="1"/>
  <c r="H58" i="6" s="1"/>
  <c r="S9" i="7" s="1"/>
  <c r="AH9" i="7" s="1"/>
  <c r="F58" i="6" a="1"/>
  <c r="F58" i="6" s="1"/>
  <c r="J58" i="6" a="1"/>
  <c r="J58" i="6" s="1"/>
  <c r="G58" i="6" a="1"/>
  <c r="G58" i="6" s="1"/>
  <c r="E58" i="6" a="1"/>
  <c r="E58" i="6" s="1"/>
  <c r="BG18" i="7" s="1"/>
  <c r="K58" i="6" a="1"/>
  <c r="K58" i="6" s="1"/>
  <c r="L58" i="6" a="1"/>
  <c r="L58" i="6" s="1"/>
  <c r="BI18" i="7" s="1"/>
  <c r="D58" i="6" a="1"/>
  <c r="D58" i="6" s="1"/>
  <c r="C58" i="6" a="1"/>
  <c r="C58" i="6" s="1"/>
  <c r="W8" i="7"/>
  <c r="N8" i="7" s="1"/>
  <c r="X8" i="7"/>
  <c r="V8" i="7"/>
  <c r="I59" i="3" a="1"/>
  <c r="I59" i="3" s="1"/>
  <c r="J59" i="3" a="1"/>
  <c r="J59" i="3" s="1"/>
  <c r="D59" i="3" a="1"/>
  <c r="D59" i="3" s="1"/>
  <c r="H59" i="3" a="1"/>
  <c r="H59" i="3" s="1"/>
  <c r="F59" i="3" a="1"/>
  <c r="F59" i="3" s="1"/>
  <c r="G59" i="3" a="1"/>
  <c r="G59" i="3" s="1"/>
  <c r="B58" i="6" a="1"/>
  <c r="B58" i="6" s="1"/>
  <c r="BF18" i="7" s="1"/>
  <c r="A59" i="6"/>
  <c r="C59" i="3" a="1"/>
  <c r="C59" i="3" s="1"/>
  <c r="E59" i="3" a="1"/>
  <c r="E59" i="3" s="1"/>
  <c r="R59" i="3" a="1"/>
  <c r="R59" i="3" s="1"/>
  <c r="K59" i="3" a="1"/>
  <c r="K59" i="3" s="1"/>
  <c r="Q59" i="3" a="1"/>
  <c r="Q59" i="3" s="1"/>
  <c r="L59" i="3" a="1"/>
  <c r="L59" i="3" s="1"/>
  <c r="T59" i="3" a="1"/>
  <c r="T59" i="3" s="1"/>
  <c r="M59" i="3" a="1"/>
  <c r="M59" i="3" s="1"/>
  <c r="S59" i="3" a="1"/>
  <c r="S59" i="3" s="1"/>
  <c r="O59" i="3" a="1"/>
  <c r="O59" i="3" s="1"/>
  <c r="P59" i="3" a="1"/>
  <c r="P59" i="3" s="1"/>
  <c r="U59" i="3" a="1"/>
  <c r="U59" i="3" s="1"/>
  <c r="N59" i="3" a="1"/>
  <c r="N59" i="3" s="1"/>
  <c r="B60" i="3"/>
  <c r="BH18" i="7" l="1"/>
  <c r="AB60" i="3" a="1"/>
  <c r="AB60" i="3" s="1"/>
  <c r="Y60" i="3" a="1"/>
  <c r="Y60" i="3" s="1"/>
  <c r="AD60" i="3" a="1"/>
  <c r="AD60" i="3" s="1"/>
  <c r="Z60" i="3" a="1"/>
  <c r="Z60" i="3" s="1"/>
  <c r="AA60" i="3" a="1"/>
  <c r="AA60" i="3" s="1"/>
  <c r="AC60" i="3" a="1"/>
  <c r="AC60" i="3" s="1"/>
  <c r="V60" i="3" a="1"/>
  <c r="V60" i="3" s="1"/>
  <c r="W60" i="3" a="1"/>
  <c r="W60" i="3" s="1"/>
  <c r="X60" i="3" a="1"/>
  <c r="X60" i="3" s="1"/>
  <c r="O9" i="7"/>
  <c r="AD9" i="7" s="1"/>
  <c r="Y9" i="7"/>
  <c r="Z9" i="7" s="1"/>
  <c r="R9" i="7" s="1"/>
  <c r="Q8" i="7"/>
  <c r="P8" i="7" s="1"/>
  <c r="T8" i="7" s="1"/>
  <c r="AE8" i="7"/>
  <c r="AF8" i="7" s="1"/>
  <c r="AC8" i="7"/>
  <c r="W9" i="7"/>
  <c r="N9" i="7" s="1"/>
  <c r="AC9" i="7" s="1"/>
  <c r="I59" i="6" a="1"/>
  <c r="I59" i="6" s="1"/>
  <c r="AG10" i="7" s="1"/>
  <c r="K59" i="6" a="1"/>
  <c r="K59" i="6" s="1"/>
  <c r="H59" i="6" a="1"/>
  <c r="H59" i="6" s="1"/>
  <c r="S10" i="7" s="1"/>
  <c r="AH10" i="7" s="1"/>
  <c r="J59" i="6" a="1"/>
  <c r="J59" i="6" s="1"/>
  <c r="G59" i="6" a="1"/>
  <c r="G59" i="6" s="1"/>
  <c r="F59" i="6" a="1"/>
  <c r="F59" i="6" s="1"/>
  <c r="L59" i="6" a="1"/>
  <c r="L59" i="6" s="1"/>
  <c r="BI19" i="7" s="1"/>
  <c r="C59" i="6" a="1"/>
  <c r="C59" i="6" s="1"/>
  <c r="M59" i="6" a="1"/>
  <c r="M59" i="6" s="1"/>
  <c r="D59" i="6" a="1"/>
  <c r="D59" i="6" s="1"/>
  <c r="E59" i="6" a="1"/>
  <c r="E59" i="6" s="1"/>
  <c r="BG19" i="7" s="1"/>
  <c r="X9" i="7"/>
  <c r="AE9" i="7" s="1"/>
  <c r="V9" i="7"/>
  <c r="I60" i="3" a="1"/>
  <c r="I60" i="3" s="1"/>
  <c r="J60" i="3" a="1"/>
  <c r="J60" i="3" s="1"/>
  <c r="D60" i="3" a="1"/>
  <c r="D60" i="3" s="1"/>
  <c r="G60" i="3" a="1"/>
  <c r="G60" i="3" s="1"/>
  <c r="F60" i="3" a="1"/>
  <c r="F60" i="3" s="1"/>
  <c r="H60" i="3" a="1"/>
  <c r="H60" i="3" s="1"/>
  <c r="B59" i="6" a="1"/>
  <c r="B59" i="6" s="1"/>
  <c r="BF19" i="7" s="1"/>
  <c r="A60" i="6"/>
  <c r="C60" i="3" a="1"/>
  <c r="C60" i="3" s="1"/>
  <c r="Q60" i="3" a="1"/>
  <c r="Q60" i="3" s="1"/>
  <c r="K60" i="3" a="1"/>
  <c r="K60" i="3" s="1"/>
  <c r="E60" i="3" a="1"/>
  <c r="E60" i="3" s="1"/>
  <c r="R60" i="3" a="1"/>
  <c r="R60" i="3" s="1"/>
  <c r="S60" i="3" a="1"/>
  <c r="S60" i="3" s="1"/>
  <c r="T60" i="3" a="1"/>
  <c r="T60" i="3" s="1"/>
  <c r="M60" i="3" a="1"/>
  <c r="M60" i="3" s="1"/>
  <c r="U60" i="3" a="1"/>
  <c r="U60" i="3" s="1"/>
  <c r="L60" i="3" a="1"/>
  <c r="L60" i="3" s="1"/>
  <c r="P60" i="3" a="1"/>
  <c r="P60" i="3" s="1"/>
  <c r="N60" i="3" a="1"/>
  <c r="N60" i="3" s="1"/>
  <c r="O60" i="3" a="1"/>
  <c r="O60" i="3" s="1"/>
  <c r="B61" i="3"/>
  <c r="BH19" i="7" l="1"/>
  <c r="O10" i="7"/>
  <c r="AD10" i="7" s="1"/>
  <c r="AD61" i="3" a="1"/>
  <c r="AD61" i="3" s="1"/>
  <c r="AB61" i="3" a="1"/>
  <c r="AB61" i="3" s="1"/>
  <c r="Y61" i="3" a="1"/>
  <c r="Y61" i="3" s="1"/>
  <c r="AA61" i="3" a="1"/>
  <c r="AA61" i="3" s="1"/>
  <c r="Z61" i="3" a="1"/>
  <c r="Z61" i="3" s="1"/>
  <c r="AC61" i="3" a="1"/>
  <c r="AC61" i="3" s="1"/>
  <c r="W61" i="3" a="1"/>
  <c r="W61" i="3" s="1"/>
  <c r="X61" i="3" a="1"/>
  <c r="X61" i="3" s="1"/>
  <c r="V61" i="3" a="1"/>
  <c r="V61" i="3" s="1"/>
  <c r="AF9" i="7"/>
  <c r="AI9" i="7" s="1"/>
  <c r="AI8" i="7"/>
  <c r="Q9" i="7"/>
  <c r="P9" i="7" s="1"/>
  <c r="T9" i="7" s="1"/>
  <c r="W10" i="7"/>
  <c r="N10" i="7" s="1"/>
  <c r="AC10" i="7" s="1"/>
  <c r="Y10" i="7"/>
  <c r="Z10" i="7" s="1"/>
  <c r="R10" i="7" s="1"/>
  <c r="I60" i="6" a="1"/>
  <c r="I60" i="6" s="1"/>
  <c r="AG11" i="7" s="1"/>
  <c r="G60" i="6" a="1"/>
  <c r="G60" i="6" s="1"/>
  <c r="H60" i="6" a="1"/>
  <c r="H60" i="6" s="1"/>
  <c r="S11" i="7" s="1"/>
  <c r="AH11" i="7" s="1"/>
  <c r="J60" i="6" a="1"/>
  <c r="J60" i="6" s="1"/>
  <c r="F60" i="6" a="1"/>
  <c r="F60" i="6" s="1"/>
  <c r="K60" i="6" a="1"/>
  <c r="K60" i="6" s="1"/>
  <c r="C60" i="6" a="1"/>
  <c r="C60" i="6" s="1"/>
  <c r="L60" i="6" a="1"/>
  <c r="L60" i="6" s="1"/>
  <c r="BI20" i="7" s="1"/>
  <c r="D60" i="6" a="1"/>
  <c r="D60" i="6" s="1"/>
  <c r="M60" i="6" a="1"/>
  <c r="M60" i="6" s="1"/>
  <c r="E60" i="6" a="1"/>
  <c r="E60" i="6" s="1"/>
  <c r="BG20" i="7" s="1"/>
  <c r="X10" i="7"/>
  <c r="AE10" i="7" s="1"/>
  <c r="V10" i="7"/>
  <c r="I61" i="3" a="1"/>
  <c r="I61" i="3" s="1"/>
  <c r="J61" i="3" a="1"/>
  <c r="J61" i="3" s="1"/>
  <c r="D61" i="3" a="1"/>
  <c r="D61" i="3" s="1"/>
  <c r="H61" i="3" a="1"/>
  <c r="H61" i="3" s="1"/>
  <c r="F61" i="3" a="1"/>
  <c r="F61" i="3" s="1"/>
  <c r="G61" i="3" a="1"/>
  <c r="G61" i="3" s="1"/>
  <c r="B60" i="6" a="1"/>
  <c r="B60" i="6" s="1"/>
  <c r="A61" i="6"/>
  <c r="C61" i="3" a="1"/>
  <c r="C61" i="3" s="1"/>
  <c r="K61" i="3" a="1"/>
  <c r="K61" i="3" s="1"/>
  <c r="E61" i="3" a="1"/>
  <c r="E61" i="3" s="1"/>
  <c r="Q61" i="3" a="1"/>
  <c r="Q61" i="3" s="1"/>
  <c r="L61" i="3" a="1"/>
  <c r="L61" i="3" s="1"/>
  <c r="S61" i="3" a="1"/>
  <c r="S61" i="3" s="1"/>
  <c r="M61" i="3" a="1"/>
  <c r="M61" i="3" s="1"/>
  <c r="R61" i="3" a="1"/>
  <c r="R61" i="3" s="1"/>
  <c r="T61" i="3" a="1"/>
  <c r="T61" i="3" s="1"/>
  <c r="O61" i="3" a="1"/>
  <c r="O61" i="3" s="1"/>
  <c r="P61" i="3" a="1"/>
  <c r="P61" i="3" s="1"/>
  <c r="U61" i="3" a="1"/>
  <c r="U61" i="3" s="1"/>
  <c r="N61" i="3" a="1"/>
  <c r="N61" i="3" s="1"/>
  <c r="B62" i="3"/>
  <c r="V11" i="7" l="1"/>
  <c r="BH20" i="7"/>
  <c r="AB62" i="3" a="1"/>
  <c r="AB62" i="3" s="1"/>
  <c r="AD62" i="3" a="1"/>
  <c r="AD62" i="3" s="1"/>
  <c r="Y62" i="3" a="1"/>
  <c r="Y62" i="3" s="1"/>
  <c r="Z62" i="3" a="1"/>
  <c r="Z62" i="3" s="1"/>
  <c r="AA62" i="3" a="1"/>
  <c r="AA62" i="3" s="1"/>
  <c r="AC62" i="3" a="1"/>
  <c r="AC62" i="3" s="1"/>
  <c r="V62" i="3" a="1"/>
  <c r="V62" i="3" s="1"/>
  <c r="X62" i="3" a="1"/>
  <c r="X62" i="3" s="1"/>
  <c r="W62" i="3" a="1"/>
  <c r="W62" i="3" s="1"/>
  <c r="AF10" i="7"/>
  <c r="AI10" i="7" s="1"/>
  <c r="O11" i="7"/>
  <c r="AD11" i="7" s="1"/>
  <c r="Y11" i="7"/>
  <c r="I61" i="6" a="1"/>
  <c r="I61" i="6" s="1"/>
  <c r="G61" i="6" a="1"/>
  <c r="G61" i="6" s="1"/>
  <c r="J61" i="6" a="1"/>
  <c r="J61" i="6" s="1"/>
  <c r="H61" i="6" a="1"/>
  <c r="H61" i="6" s="1"/>
  <c r="L61" i="6" a="1"/>
  <c r="L61" i="6" s="1"/>
  <c r="D61" i="6" a="1"/>
  <c r="D61" i="6" s="1"/>
  <c r="M61" i="6" a="1"/>
  <c r="M61" i="6" s="1"/>
  <c r="E61" i="6" a="1"/>
  <c r="E61" i="6" s="1"/>
  <c r="F61" i="6" a="1"/>
  <c r="F61" i="6" s="1"/>
  <c r="K61" i="6" a="1"/>
  <c r="K61" i="6" s="1"/>
  <c r="C61" i="6" a="1"/>
  <c r="C61" i="6" s="1"/>
  <c r="X11" i="7"/>
  <c r="Q10" i="7"/>
  <c r="P10" i="7" s="1"/>
  <c r="T10" i="7" s="1"/>
  <c r="N11" i="7"/>
  <c r="I62" i="3" a="1"/>
  <c r="I62" i="3" s="1"/>
  <c r="J62" i="3" a="1"/>
  <c r="J62" i="3" s="1"/>
  <c r="D62" i="3" a="1"/>
  <c r="D62" i="3" s="1"/>
  <c r="G62" i="3" a="1"/>
  <c r="G62" i="3" s="1"/>
  <c r="H62" i="3" a="1"/>
  <c r="H62" i="3" s="1"/>
  <c r="F62" i="3" a="1"/>
  <c r="F62" i="3" s="1"/>
  <c r="B61" i="6" a="1"/>
  <c r="B61" i="6" s="1"/>
  <c r="A62" i="6"/>
  <c r="C62" i="3" a="1"/>
  <c r="C62" i="3" s="1"/>
  <c r="R62" i="3" a="1"/>
  <c r="R62" i="3" s="1"/>
  <c r="E62" i="3" a="1"/>
  <c r="E62" i="3" s="1"/>
  <c r="Q62" i="3" a="1"/>
  <c r="Q62" i="3" s="1"/>
  <c r="K62" i="3" a="1"/>
  <c r="K62" i="3" s="1"/>
  <c r="L62" i="3" a="1"/>
  <c r="L62" i="3" s="1"/>
  <c r="S62" i="3" a="1"/>
  <c r="S62" i="3" s="1"/>
  <c r="M62" i="3" a="1"/>
  <c r="M62" i="3" s="1"/>
  <c r="T62" i="3" a="1"/>
  <c r="T62" i="3" s="1"/>
  <c r="N62" i="3" a="1"/>
  <c r="N62" i="3" s="1"/>
  <c r="U62" i="3" a="1"/>
  <c r="U62" i="3" s="1"/>
  <c r="O62" i="3" a="1"/>
  <c r="O62" i="3" s="1"/>
  <c r="P62" i="3" a="1"/>
  <c r="P62" i="3" s="1"/>
  <c r="B63" i="3"/>
  <c r="Z11" i="7" l="1"/>
  <c r="R11" i="7" s="1"/>
  <c r="Q11" i="7" s="1"/>
  <c r="P11" i="7" s="1"/>
  <c r="T11" i="7" s="1"/>
  <c r="AC11" i="7"/>
  <c r="AB63" i="3" a="1"/>
  <c r="AB63" i="3" s="1"/>
  <c r="AD63" i="3" a="1"/>
  <c r="AD63" i="3" s="1"/>
  <c r="Y63" i="3" a="1"/>
  <c r="Y63" i="3" s="1"/>
  <c r="AA63" i="3" a="1"/>
  <c r="AA63" i="3" s="1"/>
  <c r="Z63" i="3" a="1"/>
  <c r="Z63" i="3" s="1"/>
  <c r="AC63" i="3" a="1"/>
  <c r="AC63" i="3" s="1"/>
  <c r="V63" i="3" a="1"/>
  <c r="V63" i="3" s="1"/>
  <c r="X63" i="3" a="1"/>
  <c r="X63" i="3" s="1"/>
  <c r="W63" i="3" a="1"/>
  <c r="W63" i="3" s="1"/>
  <c r="AE11" i="7"/>
  <c r="AF11" i="7" s="1"/>
  <c r="I62" i="6" a="1"/>
  <c r="I62" i="6" s="1"/>
  <c r="H62" i="6" a="1"/>
  <c r="H62" i="6" s="1"/>
  <c r="L62" i="6" a="1"/>
  <c r="L62" i="6" s="1"/>
  <c r="C62" i="6" a="1"/>
  <c r="C62" i="6" s="1"/>
  <c r="J62" i="6" a="1"/>
  <c r="J62" i="6" s="1"/>
  <c r="K62" i="6" a="1"/>
  <c r="K62" i="6" s="1"/>
  <c r="F62" i="6" a="1"/>
  <c r="F62" i="6" s="1"/>
  <c r="G62" i="6" a="1"/>
  <c r="G62" i="6" s="1"/>
  <c r="M62" i="6" a="1"/>
  <c r="M62" i="6" s="1"/>
  <c r="D62" i="6" a="1"/>
  <c r="D62" i="6" s="1"/>
  <c r="E62" i="6" a="1"/>
  <c r="E62" i="6" s="1"/>
  <c r="I63" i="3" a="1"/>
  <c r="I63" i="3" s="1"/>
  <c r="J63" i="3" a="1"/>
  <c r="J63" i="3" s="1"/>
  <c r="D63" i="3" a="1"/>
  <c r="D63" i="3" s="1"/>
  <c r="G63" i="3" a="1"/>
  <c r="G63" i="3" s="1"/>
  <c r="H63" i="3" a="1"/>
  <c r="H63" i="3" s="1"/>
  <c r="F63" i="3" a="1"/>
  <c r="F63" i="3" s="1"/>
  <c r="B62" i="6" a="1"/>
  <c r="B62" i="6" s="1"/>
  <c r="A63" i="6"/>
  <c r="C63" i="3" a="1"/>
  <c r="C63" i="3" s="1"/>
  <c r="E63" i="3" a="1"/>
  <c r="E63" i="3" s="1"/>
  <c r="Q63" i="3" a="1"/>
  <c r="Q63" i="3" s="1"/>
  <c r="K63" i="3" a="1"/>
  <c r="K63" i="3" s="1"/>
  <c r="R63" i="3" a="1"/>
  <c r="R63" i="3" s="1"/>
  <c r="S63" i="3" a="1"/>
  <c r="S63" i="3" s="1"/>
  <c r="M63" i="3" a="1"/>
  <c r="M63" i="3" s="1"/>
  <c r="L63" i="3" a="1"/>
  <c r="L63" i="3" s="1"/>
  <c r="T63" i="3" a="1"/>
  <c r="T63" i="3" s="1"/>
  <c r="N63" i="3" a="1"/>
  <c r="N63" i="3" s="1"/>
  <c r="O63" i="3" a="1"/>
  <c r="O63" i="3" s="1"/>
  <c r="U63" i="3" a="1"/>
  <c r="U63" i="3" s="1"/>
  <c r="P63" i="3" a="1"/>
  <c r="P63" i="3" s="1"/>
  <c r="B64" i="3"/>
  <c r="AI11" i="7" l="1"/>
  <c r="AB64" i="3" a="1"/>
  <c r="AB64" i="3" s="1"/>
  <c r="AD64" i="3" a="1"/>
  <c r="AD64" i="3" s="1"/>
  <c r="Y64" i="3" a="1"/>
  <c r="Y64" i="3" s="1"/>
  <c r="Z64" i="3" a="1"/>
  <c r="Z64" i="3" s="1"/>
  <c r="AA64" i="3" a="1"/>
  <c r="AA64" i="3" s="1"/>
  <c r="AC64" i="3" a="1"/>
  <c r="AC64" i="3" s="1"/>
  <c r="X64" i="3" a="1"/>
  <c r="X64" i="3" s="1"/>
  <c r="V64" i="3" a="1"/>
  <c r="V64" i="3" s="1"/>
  <c r="W64" i="3" a="1"/>
  <c r="W64" i="3" s="1"/>
  <c r="I63" i="6" a="1"/>
  <c r="I63" i="6" s="1"/>
  <c r="L63" i="6" a="1"/>
  <c r="L63" i="6" s="1"/>
  <c r="H63" i="6" a="1"/>
  <c r="H63" i="6" s="1"/>
  <c r="D63" i="6" a="1"/>
  <c r="D63" i="6" s="1"/>
  <c r="J63" i="6" a="1"/>
  <c r="J63" i="6" s="1"/>
  <c r="K63" i="6" a="1"/>
  <c r="K63" i="6" s="1"/>
  <c r="C63" i="6" a="1"/>
  <c r="C63" i="6" s="1"/>
  <c r="G63" i="6" a="1"/>
  <c r="G63" i="6" s="1"/>
  <c r="M63" i="6" a="1"/>
  <c r="M63" i="6" s="1"/>
  <c r="E63" i="6" a="1"/>
  <c r="E63" i="6" s="1"/>
  <c r="F63" i="6" a="1"/>
  <c r="F63" i="6" s="1"/>
  <c r="I64" i="3" a="1"/>
  <c r="I64" i="3" s="1"/>
  <c r="J64" i="3" a="1"/>
  <c r="J64" i="3" s="1"/>
  <c r="D64" i="3" a="1"/>
  <c r="D64" i="3" s="1"/>
  <c r="H64" i="3" a="1"/>
  <c r="H64" i="3" s="1"/>
  <c r="F64" i="3" a="1"/>
  <c r="F64" i="3" s="1"/>
  <c r="G64" i="3" a="1"/>
  <c r="G64" i="3" s="1"/>
  <c r="B63" i="6" a="1"/>
  <c r="B63" i="6" s="1"/>
  <c r="A64" i="6"/>
  <c r="C64" i="3" a="1"/>
  <c r="C64" i="3" s="1"/>
  <c r="R64" i="3" a="1"/>
  <c r="R64" i="3" s="1"/>
  <c r="K64" i="3" a="1"/>
  <c r="K64" i="3" s="1"/>
  <c r="Q64" i="3" a="1"/>
  <c r="Q64" i="3" s="1"/>
  <c r="E64" i="3" a="1"/>
  <c r="E64" i="3" s="1"/>
  <c r="T64" i="3" a="1"/>
  <c r="T64" i="3" s="1"/>
  <c r="M64" i="3" a="1"/>
  <c r="M64" i="3" s="1"/>
  <c r="S64" i="3" a="1"/>
  <c r="S64" i="3" s="1"/>
  <c r="L64" i="3" a="1"/>
  <c r="L64" i="3" s="1"/>
  <c r="N64" i="3" a="1"/>
  <c r="N64" i="3" s="1"/>
  <c r="O64" i="3" a="1"/>
  <c r="O64" i="3" s="1"/>
  <c r="U64" i="3" a="1"/>
  <c r="U64" i="3" s="1"/>
  <c r="P64" i="3" a="1"/>
  <c r="P64" i="3" s="1"/>
  <c r="B65" i="3"/>
  <c r="AB65" i="3" l="1" a="1"/>
  <c r="AB65" i="3" s="1"/>
  <c r="Y65" i="3" a="1"/>
  <c r="Y65" i="3" s="1"/>
  <c r="AA65" i="3" a="1"/>
  <c r="AA65" i="3" s="1"/>
  <c r="AD65" i="3" a="1"/>
  <c r="AD65" i="3" s="1"/>
  <c r="Z65" i="3" a="1"/>
  <c r="Z65" i="3" s="1"/>
  <c r="AC65" i="3" a="1"/>
  <c r="AC65" i="3" s="1"/>
  <c r="W65" i="3" a="1"/>
  <c r="W65" i="3" s="1"/>
  <c r="X65" i="3" a="1"/>
  <c r="X65" i="3" s="1"/>
  <c r="V65" i="3" a="1"/>
  <c r="V65" i="3" s="1"/>
  <c r="I64" i="6" a="1"/>
  <c r="I64" i="6" s="1"/>
  <c r="C64" i="6" a="1"/>
  <c r="C64" i="6" s="1"/>
  <c r="J64" i="6" a="1"/>
  <c r="J64" i="6" s="1"/>
  <c r="K64" i="6" a="1"/>
  <c r="K64" i="6" s="1"/>
  <c r="G64" i="6" a="1"/>
  <c r="G64" i="6" s="1"/>
  <c r="L64" i="6" a="1"/>
  <c r="L64" i="6" s="1"/>
  <c r="H64" i="6" a="1"/>
  <c r="H64" i="6" s="1"/>
  <c r="M64" i="6" a="1"/>
  <c r="M64" i="6" s="1"/>
  <c r="D64" i="6" a="1"/>
  <c r="D64" i="6" s="1"/>
  <c r="E64" i="6" a="1"/>
  <c r="E64" i="6" s="1"/>
  <c r="F64" i="6" a="1"/>
  <c r="F64" i="6" s="1"/>
  <c r="I65" i="3" a="1"/>
  <c r="I65" i="3" s="1"/>
  <c r="J65" i="3" a="1"/>
  <c r="J65" i="3" s="1"/>
  <c r="D65" i="3" a="1"/>
  <c r="D65" i="3" s="1"/>
  <c r="H65" i="3" a="1"/>
  <c r="H65" i="3" s="1"/>
  <c r="F65" i="3" a="1"/>
  <c r="F65" i="3" s="1"/>
  <c r="G65" i="3" a="1"/>
  <c r="G65" i="3" s="1"/>
  <c r="B64" i="6" a="1"/>
  <c r="B64" i="6" s="1"/>
  <c r="A65" i="6"/>
  <c r="C65" i="3" a="1"/>
  <c r="C65" i="3" s="1"/>
  <c r="R65" i="3" a="1"/>
  <c r="R65" i="3" s="1"/>
  <c r="Q65" i="3" a="1"/>
  <c r="Q65" i="3" s="1"/>
  <c r="K65" i="3" a="1"/>
  <c r="K65" i="3" s="1"/>
  <c r="E65" i="3" a="1"/>
  <c r="E65" i="3" s="1"/>
  <c r="S65" i="3" a="1"/>
  <c r="S65" i="3" s="1"/>
  <c r="T65" i="3" a="1"/>
  <c r="T65" i="3" s="1"/>
  <c r="M65" i="3" a="1"/>
  <c r="M65" i="3" s="1"/>
  <c r="L65" i="3" a="1"/>
  <c r="L65" i="3" s="1"/>
  <c r="U65" i="3" a="1"/>
  <c r="U65" i="3" s="1"/>
  <c r="P65" i="3" a="1"/>
  <c r="P65" i="3" s="1"/>
  <c r="N65" i="3" a="1"/>
  <c r="N65" i="3" s="1"/>
  <c r="O65" i="3" a="1"/>
  <c r="O65" i="3" s="1"/>
  <c r="B66" i="3"/>
  <c r="AD66" i="3" l="1" a="1"/>
  <c r="AD66" i="3" s="1"/>
  <c r="AB66" i="3" a="1"/>
  <c r="AB66" i="3" s="1"/>
  <c r="Y66" i="3" a="1"/>
  <c r="Y66" i="3" s="1"/>
  <c r="Z66" i="3" a="1"/>
  <c r="Z66" i="3" s="1"/>
  <c r="AA66" i="3" a="1"/>
  <c r="AA66" i="3" s="1"/>
  <c r="AC66" i="3" a="1"/>
  <c r="AC66" i="3" s="1"/>
  <c r="W66" i="3" a="1"/>
  <c r="W66" i="3" s="1"/>
  <c r="X66" i="3" a="1"/>
  <c r="X66" i="3" s="1"/>
  <c r="V66" i="3" a="1"/>
  <c r="V66" i="3" s="1"/>
  <c r="I65" i="6" a="1"/>
  <c r="I65" i="6" s="1"/>
  <c r="J65" i="6" a="1"/>
  <c r="J65" i="6" s="1"/>
  <c r="C65" i="6" a="1"/>
  <c r="C65" i="6" s="1"/>
  <c r="L65" i="6" a="1"/>
  <c r="L65" i="6" s="1"/>
  <c r="D65" i="6" a="1"/>
  <c r="D65" i="6" s="1"/>
  <c r="M65" i="6" a="1"/>
  <c r="M65" i="6" s="1"/>
  <c r="K65" i="6" a="1"/>
  <c r="K65" i="6" s="1"/>
  <c r="H65" i="6" a="1"/>
  <c r="H65" i="6" s="1"/>
  <c r="E65" i="6" a="1"/>
  <c r="E65" i="6" s="1"/>
  <c r="F65" i="6" a="1"/>
  <c r="F65" i="6" s="1"/>
  <c r="G65" i="6" a="1"/>
  <c r="G65" i="6" s="1"/>
  <c r="I66" i="3" a="1"/>
  <c r="I66" i="3" s="1"/>
  <c r="J66" i="3" a="1"/>
  <c r="J66" i="3" s="1"/>
  <c r="D66" i="3" a="1"/>
  <c r="D66" i="3" s="1"/>
  <c r="G66" i="3" a="1"/>
  <c r="G66" i="3" s="1"/>
  <c r="H66" i="3" a="1"/>
  <c r="H66" i="3" s="1"/>
  <c r="F66" i="3" a="1"/>
  <c r="F66" i="3" s="1"/>
  <c r="B65" i="6" a="1"/>
  <c r="B65" i="6" s="1"/>
  <c r="A66" i="6"/>
  <c r="C66" i="3" a="1"/>
  <c r="C66" i="3" s="1"/>
  <c r="K66" i="3" a="1"/>
  <c r="K66" i="3" s="1"/>
  <c r="E66" i="3" a="1"/>
  <c r="E66" i="3" s="1"/>
  <c r="Q66" i="3" a="1"/>
  <c r="Q66" i="3" s="1"/>
  <c r="R66" i="3" a="1"/>
  <c r="R66" i="3" s="1"/>
  <c r="T66" i="3" a="1"/>
  <c r="T66" i="3" s="1"/>
  <c r="M66" i="3" a="1"/>
  <c r="M66" i="3" s="1"/>
  <c r="L66" i="3" a="1"/>
  <c r="L66" i="3" s="1"/>
  <c r="S66" i="3" a="1"/>
  <c r="S66" i="3" s="1"/>
  <c r="P66" i="3" a="1"/>
  <c r="P66" i="3" s="1"/>
  <c r="U66" i="3" a="1"/>
  <c r="U66" i="3" s="1"/>
  <c r="N66" i="3" a="1"/>
  <c r="N66" i="3" s="1"/>
  <c r="O66" i="3" a="1"/>
  <c r="O66" i="3" s="1"/>
  <c r="B67" i="3"/>
  <c r="AB67" i="3" l="1" a="1"/>
  <c r="AB67" i="3" s="1"/>
  <c r="AD67" i="3" a="1"/>
  <c r="AD67" i="3" s="1"/>
  <c r="AA67" i="3" a="1"/>
  <c r="AA67" i="3" s="1"/>
  <c r="Y67" i="3" a="1"/>
  <c r="Y67" i="3" s="1"/>
  <c r="Z67" i="3" a="1"/>
  <c r="Z67" i="3" s="1"/>
  <c r="AC67" i="3" a="1"/>
  <c r="AC67" i="3" s="1"/>
  <c r="V67" i="3" a="1"/>
  <c r="V67" i="3" s="1"/>
  <c r="W67" i="3" a="1"/>
  <c r="W67" i="3" s="1"/>
  <c r="X67" i="3" a="1"/>
  <c r="X67" i="3" s="1"/>
  <c r="I66" i="6" a="1"/>
  <c r="I66" i="6" s="1"/>
  <c r="L66" i="6" a="1"/>
  <c r="L66" i="6" s="1"/>
  <c r="C66" i="6" a="1"/>
  <c r="C66" i="6" s="1"/>
  <c r="M66" i="6" a="1"/>
  <c r="M66" i="6" s="1"/>
  <c r="J66" i="6" a="1"/>
  <c r="J66" i="6" s="1"/>
  <c r="D66" i="6" a="1"/>
  <c r="D66" i="6" s="1"/>
  <c r="K66" i="6" a="1"/>
  <c r="K66" i="6" s="1"/>
  <c r="F66" i="6" a="1"/>
  <c r="F66" i="6" s="1"/>
  <c r="G66" i="6" a="1"/>
  <c r="G66" i="6" s="1"/>
  <c r="H66" i="6" a="1"/>
  <c r="H66" i="6" s="1"/>
  <c r="E66" i="6" a="1"/>
  <c r="E66" i="6" s="1"/>
  <c r="I67" i="3" a="1"/>
  <c r="I67" i="3" s="1"/>
  <c r="J67" i="3" a="1"/>
  <c r="J67" i="3" s="1"/>
  <c r="D67" i="3" a="1"/>
  <c r="D67" i="3" s="1"/>
  <c r="F67" i="3" a="1"/>
  <c r="F67" i="3" s="1"/>
  <c r="H67" i="3" a="1"/>
  <c r="H67" i="3" s="1"/>
  <c r="G67" i="3" a="1"/>
  <c r="G67" i="3" s="1"/>
  <c r="B66" i="6" a="1"/>
  <c r="B66" i="6" s="1"/>
  <c r="A67" i="6"/>
  <c r="C67" i="3" a="1"/>
  <c r="C67" i="3" s="1"/>
  <c r="Q67" i="3" a="1"/>
  <c r="Q67" i="3" s="1"/>
  <c r="R67" i="3" a="1"/>
  <c r="R67" i="3" s="1"/>
  <c r="K67" i="3" a="1"/>
  <c r="K67" i="3" s="1"/>
  <c r="E67" i="3" a="1"/>
  <c r="E67" i="3" s="1"/>
  <c r="S67" i="3" a="1"/>
  <c r="S67" i="3" s="1"/>
  <c r="M67" i="3" a="1"/>
  <c r="M67" i="3" s="1"/>
  <c r="L67" i="3" a="1"/>
  <c r="L67" i="3" s="1"/>
  <c r="T67" i="3" a="1"/>
  <c r="T67" i="3" s="1"/>
  <c r="N67" i="3" a="1"/>
  <c r="N67" i="3" s="1"/>
  <c r="U67" i="3" a="1"/>
  <c r="U67" i="3" s="1"/>
  <c r="P67" i="3" a="1"/>
  <c r="P67" i="3" s="1"/>
  <c r="O67" i="3" a="1"/>
  <c r="O67" i="3" s="1"/>
  <c r="B68" i="3"/>
  <c r="AD68" i="3" l="1" a="1"/>
  <c r="AD68" i="3" s="1"/>
  <c r="Y68" i="3" a="1"/>
  <c r="Y68" i="3" s="1"/>
  <c r="Z68" i="3" a="1"/>
  <c r="Z68" i="3" s="1"/>
  <c r="AB68" i="3" a="1"/>
  <c r="AB68" i="3" s="1"/>
  <c r="AA68" i="3" a="1"/>
  <c r="AA68" i="3" s="1"/>
  <c r="AC68" i="3" a="1"/>
  <c r="AC68" i="3" s="1"/>
  <c r="X68" i="3" a="1"/>
  <c r="X68" i="3" s="1"/>
  <c r="W68" i="3" a="1"/>
  <c r="W68" i="3" s="1"/>
  <c r="V68" i="3" a="1"/>
  <c r="V68" i="3" s="1"/>
  <c r="I67" i="6" a="1"/>
  <c r="I67" i="6" s="1"/>
  <c r="J67" i="6" a="1"/>
  <c r="J67" i="6" s="1"/>
  <c r="M67" i="6" a="1"/>
  <c r="M67" i="6" s="1"/>
  <c r="K67" i="6" a="1"/>
  <c r="K67" i="6" s="1"/>
  <c r="C67" i="6" a="1"/>
  <c r="C67" i="6" s="1"/>
  <c r="L67" i="6" a="1"/>
  <c r="L67" i="6" s="1"/>
  <c r="D67" i="6" a="1"/>
  <c r="D67" i="6" s="1"/>
  <c r="G67" i="6" a="1"/>
  <c r="G67" i="6" s="1"/>
  <c r="H67" i="6" a="1"/>
  <c r="H67" i="6" s="1"/>
  <c r="E67" i="6" a="1"/>
  <c r="E67" i="6" s="1"/>
  <c r="F67" i="6" a="1"/>
  <c r="F67" i="6" s="1"/>
  <c r="I68" i="3" a="1"/>
  <c r="I68" i="3" s="1"/>
  <c r="J68" i="3" a="1"/>
  <c r="J68" i="3" s="1"/>
  <c r="D68" i="3" a="1"/>
  <c r="D68" i="3" s="1"/>
  <c r="F68" i="3" a="1"/>
  <c r="F68" i="3" s="1"/>
  <c r="H68" i="3" a="1"/>
  <c r="H68" i="3" s="1"/>
  <c r="G68" i="3" a="1"/>
  <c r="G68" i="3" s="1"/>
  <c r="B67" i="6" a="1"/>
  <c r="B67" i="6" s="1"/>
  <c r="A68" i="6"/>
  <c r="C68" i="3" a="1"/>
  <c r="C68" i="3" s="1"/>
  <c r="Q68" i="3" a="1"/>
  <c r="Q68" i="3" s="1"/>
  <c r="E68" i="3" a="1"/>
  <c r="E68" i="3" s="1"/>
  <c r="R68" i="3" a="1"/>
  <c r="R68" i="3" s="1"/>
  <c r="K68" i="3" a="1"/>
  <c r="K68" i="3" s="1"/>
  <c r="T68" i="3" a="1"/>
  <c r="T68" i="3" s="1"/>
  <c r="M68" i="3" a="1"/>
  <c r="M68" i="3" s="1"/>
  <c r="S68" i="3" a="1"/>
  <c r="S68" i="3" s="1"/>
  <c r="L68" i="3" a="1"/>
  <c r="L68" i="3" s="1"/>
  <c r="U68" i="3" a="1"/>
  <c r="U68" i="3" s="1"/>
  <c r="P68" i="3" a="1"/>
  <c r="P68" i="3" s="1"/>
  <c r="N68" i="3" a="1"/>
  <c r="N68" i="3" s="1"/>
  <c r="O68" i="3" a="1"/>
  <c r="O68" i="3" s="1"/>
  <c r="B69" i="3"/>
  <c r="AB69" i="3" l="1" a="1"/>
  <c r="AB69" i="3" s="1"/>
  <c r="AD69" i="3" a="1"/>
  <c r="AD69" i="3" s="1"/>
  <c r="Y69" i="3" a="1"/>
  <c r="Y69" i="3" s="1"/>
  <c r="AA69" i="3" a="1"/>
  <c r="AA69" i="3" s="1"/>
  <c r="Z69" i="3" a="1"/>
  <c r="Z69" i="3" s="1"/>
  <c r="AC69" i="3" a="1"/>
  <c r="AC69" i="3" s="1"/>
  <c r="W69" i="3" a="1"/>
  <c r="W69" i="3" s="1"/>
  <c r="X69" i="3" a="1"/>
  <c r="X69" i="3" s="1"/>
  <c r="V69" i="3" a="1"/>
  <c r="V69" i="3" s="1"/>
  <c r="I68" i="6" a="1"/>
  <c r="I68" i="6" s="1"/>
  <c r="C68" i="6" a="1"/>
  <c r="C68" i="6" s="1"/>
  <c r="F68" i="6" a="1"/>
  <c r="F68" i="6" s="1"/>
  <c r="L68" i="6" a="1"/>
  <c r="L68" i="6" s="1"/>
  <c r="D68" i="6" a="1"/>
  <c r="D68" i="6" s="1"/>
  <c r="M68" i="6" a="1"/>
  <c r="M68" i="6" s="1"/>
  <c r="E68" i="6" a="1"/>
  <c r="E68" i="6" s="1"/>
  <c r="K68" i="6" a="1"/>
  <c r="K68" i="6" s="1"/>
  <c r="G68" i="6" a="1"/>
  <c r="G68" i="6" s="1"/>
  <c r="H68" i="6" a="1"/>
  <c r="H68" i="6" s="1"/>
  <c r="J68" i="6" a="1"/>
  <c r="J68" i="6" s="1"/>
  <c r="I69" i="3" a="1"/>
  <c r="I69" i="3" s="1"/>
  <c r="J69" i="3" a="1"/>
  <c r="J69" i="3" s="1"/>
  <c r="D69" i="3" a="1"/>
  <c r="D69" i="3" s="1"/>
  <c r="G69" i="3" a="1"/>
  <c r="G69" i="3" s="1"/>
  <c r="H69" i="3" a="1"/>
  <c r="H69" i="3" s="1"/>
  <c r="F69" i="3" a="1"/>
  <c r="F69" i="3" s="1"/>
  <c r="B68" i="6" a="1"/>
  <c r="B68" i="6" s="1"/>
  <c r="A69" i="6"/>
  <c r="C69" i="3" a="1"/>
  <c r="C69" i="3" s="1"/>
  <c r="E69" i="3" a="1"/>
  <c r="E69" i="3" s="1"/>
  <c r="Q69" i="3" a="1"/>
  <c r="Q69" i="3" s="1"/>
  <c r="K69" i="3" a="1"/>
  <c r="K69" i="3" s="1"/>
  <c r="R69" i="3" a="1"/>
  <c r="R69" i="3" s="1"/>
  <c r="S69" i="3" a="1"/>
  <c r="S69" i="3" s="1"/>
  <c r="M69" i="3" a="1"/>
  <c r="M69" i="3" s="1"/>
  <c r="L69" i="3" a="1"/>
  <c r="L69" i="3" s="1"/>
  <c r="T69" i="3" a="1"/>
  <c r="T69" i="3" s="1"/>
  <c r="O69" i="3" a="1"/>
  <c r="O69" i="3" s="1"/>
  <c r="U69" i="3" a="1"/>
  <c r="U69" i="3" s="1"/>
  <c r="P69" i="3" a="1"/>
  <c r="P69" i="3" s="1"/>
  <c r="N69" i="3" a="1"/>
  <c r="N69" i="3" s="1"/>
  <c r="B70" i="3"/>
  <c r="AB70" i="3" l="1" a="1"/>
  <c r="AB70" i="3" s="1"/>
  <c r="AD70" i="3" a="1"/>
  <c r="AD70" i="3" s="1"/>
  <c r="Z70" i="3" a="1"/>
  <c r="Z70" i="3" s="1"/>
  <c r="Y70" i="3" a="1"/>
  <c r="Y70" i="3" s="1"/>
  <c r="AA70" i="3" a="1"/>
  <c r="AA70" i="3" s="1"/>
  <c r="AC70" i="3" a="1"/>
  <c r="AC70" i="3" s="1"/>
  <c r="V70" i="3" a="1"/>
  <c r="V70" i="3" s="1"/>
  <c r="X70" i="3" a="1"/>
  <c r="X70" i="3" s="1"/>
  <c r="W70" i="3" a="1"/>
  <c r="W70" i="3" s="1"/>
  <c r="I69" i="6" a="1"/>
  <c r="I69" i="6" s="1"/>
  <c r="F69" i="6" a="1"/>
  <c r="F69" i="6" s="1"/>
  <c r="M69" i="6" a="1"/>
  <c r="M69" i="6" s="1"/>
  <c r="C69" i="6" a="1"/>
  <c r="C69" i="6" s="1"/>
  <c r="D69" i="6" a="1"/>
  <c r="D69" i="6" s="1"/>
  <c r="E69" i="6" a="1"/>
  <c r="E69" i="6" s="1"/>
  <c r="L69" i="6" a="1"/>
  <c r="L69" i="6" s="1"/>
  <c r="G69" i="6" a="1"/>
  <c r="G69" i="6" s="1"/>
  <c r="K69" i="6" a="1"/>
  <c r="K69" i="6" s="1"/>
  <c r="H69" i="6" a="1"/>
  <c r="H69" i="6" s="1"/>
  <c r="J69" i="6" a="1"/>
  <c r="J69" i="6" s="1"/>
  <c r="I70" i="3" a="1"/>
  <c r="I70" i="3" s="1"/>
  <c r="J70" i="3" a="1"/>
  <c r="J70" i="3" s="1"/>
  <c r="D70" i="3" a="1"/>
  <c r="D70" i="3" s="1"/>
  <c r="F70" i="3" a="1"/>
  <c r="F70" i="3" s="1"/>
  <c r="H70" i="3" a="1"/>
  <c r="H70" i="3" s="1"/>
  <c r="G70" i="3" a="1"/>
  <c r="G70" i="3" s="1"/>
  <c r="B69" i="6" a="1"/>
  <c r="B69" i="6" s="1"/>
  <c r="A70" i="6"/>
  <c r="C70" i="3" a="1"/>
  <c r="C70" i="3" s="1"/>
  <c r="K70" i="3" a="1"/>
  <c r="K70" i="3" s="1"/>
  <c r="E70" i="3" a="1"/>
  <c r="E70" i="3" s="1"/>
  <c r="R70" i="3" a="1"/>
  <c r="R70" i="3" s="1"/>
  <c r="Q70" i="3" a="1"/>
  <c r="Q70" i="3" s="1"/>
  <c r="L70" i="3" a="1"/>
  <c r="L70" i="3" s="1"/>
  <c r="S70" i="3" a="1"/>
  <c r="S70" i="3" s="1"/>
  <c r="M70" i="3" a="1"/>
  <c r="M70" i="3" s="1"/>
  <c r="T70" i="3" a="1"/>
  <c r="T70" i="3" s="1"/>
  <c r="O70" i="3" a="1"/>
  <c r="O70" i="3" s="1"/>
  <c r="N70" i="3" a="1"/>
  <c r="N70" i="3" s="1"/>
  <c r="P70" i="3" a="1"/>
  <c r="P70" i="3" s="1"/>
  <c r="U70" i="3" a="1"/>
  <c r="U70" i="3" s="1"/>
  <c r="B71" i="3"/>
  <c r="AD71" i="3" l="1" a="1"/>
  <c r="AD71" i="3" s="1"/>
  <c r="AA71" i="3" a="1"/>
  <c r="AA71" i="3" s="1"/>
  <c r="Y71" i="3" a="1"/>
  <c r="Y71" i="3" s="1"/>
  <c r="AC71" i="3" a="1"/>
  <c r="AC71" i="3" s="1"/>
  <c r="Z71" i="3" a="1"/>
  <c r="Z71" i="3" s="1"/>
  <c r="AB71" i="3" a="1"/>
  <c r="AB71" i="3" s="1"/>
  <c r="W71" i="3" a="1"/>
  <c r="W71" i="3" s="1"/>
  <c r="X71" i="3" a="1"/>
  <c r="X71" i="3" s="1"/>
  <c r="V71" i="3" a="1"/>
  <c r="V71" i="3" s="1"/>
  <c r="I70" i="6" a="1"/>
  <c r="I70" i="6" s="1"/>
  <c r="M70" i="6" a="1"/>
  <c r="M70" i="6" s="1"/>
  <c r="E70" i="6" a="1"/>
  <c r="E70" i="6" s="1"/>
  <c r="F70" i="6" a="1"/>
  <c r="F70" i="6" s="1"/>
  <c r="L70" i="6" a="1"/>
  <c r="L70" i="6" s="1"/>
  <c r="C70" i="6" a="1"/>
  <c r="C70" i="6" s="1"/>
  <c r="D70" i="6" a="1"/>
  <c r="D70" i="6" s="1"/>
  <c r="H70" i="6" a="1"/>
  <c r="H70" i="6" s="1"/>
  <c r="K70" i="6" a="1"/>
  <c r="K70" i="6" s="1"/>
  <c r="J70" i="6" a="1"/>
  <c r="J70" i="6" s="1"/>
  <c r="G70" i="6" a="1"/>
  <c r="G70" i="6" s="1"/>
  <c r="I71" i="3" a="1"/>
  <c r="I71" i="3" s="1"/>
  <c r="J71" i="3" a="1"/>
  <c r="J71" i="3" s="1"/>
  <c r="D71" i="3" a="1"/>
  <c r="D71" i="3" s="1"/>
  <c r="F71" i="3" a="1"/>
  <c r="F71" i="3" s="1"/>
  <c r="H71" i="3" a="1"/>
  <c r="H71" i="3" s="1"/>
  <c r="G71" i="3" a="1"/>
  <c r="G71" i="3" s="1"/>
  <c r="B70" i="6" a="1"/>
  <c r="B70" i="6" s="1"/>
  <c r="A71" i="6"/>
  <c r="C71" i="3" a="1"/>
  <c r="C71" i="3" s="1"/>
  <c r="E71" i="3" a="1"/>
  <c r="E71" i="3" s="1"/>
  <c r="R71" i="3" a="1"/>
  <c r="R71" i="3" s="1"/>
  <c r="K71" i="3" a="1"/>
  <c r="K71" i="3" s="1"/>
  <c r="Q71" i="3" a="1"/>
  <c r="Q71" i="3" s="1"/>
  <c r="L71" i="3" a="1"/>
  <c r="L71" i="3" s="1"/>
  <c r="S71" i="3" a="1"/>
  <c r="S71" i="3" s="1"/>
  <c r="M71" i="3" a="1"/>
  <c r="M71" i="3" s="1"/>
  <c r="T71" i="3" a="1"/>
  <c r="T71" i="3" s="1"/>
  <c r="U71" i="3" a="1"/>
  <c r="U71" i="3" s="1"/>
  <c r="N71" i="3" a="1"/>
  <c r="N71" i="3" s="1"/>
  <c r="O71" i="3" a="1"/>
  <c r="O71" i="3" s="1"/>
  <c r="P71" i="3" a="1"/>
  <c r="P71" i="3" s="1"/>
  <c r="B72" i="3"/>
  <c r="AD72" i="3" l="1" a="1"/>
  <c r="AD72" i="3" s="1"/>
  <c r="Z72" i="3" a="1"/>
  <c r="Z72" i="3" s="1"/>
  <c r="Y72" i="3" a="1"/>
  <c r="Y72" i="3" s="1"/>
  <c r="AB72" i="3" a="1"/>
  <c r="AB72" i="3" s="1"/>
  <c r="AA72" i="3" a="1"/>
  <c r="AA72" i="3" s="1"/>
  <c r="AC72" i="3" a="1"/>
  <c r="AC72" i="3" s="1"/>
  <c r="X72" i="3" a="1"/>
  <c r="X72" i="3" s="1"/>
  <c r="W72" i="3" a="1"/>
  <c r="W72" i="3" s="1"/>
  <c r="V72" i="3" a="1"/>
  <c r="V72" i="3" s="1"/>
  <c r="I71" i="6" a="1"/>
  <c r="I71" i="6" s="1"/>
  <c r="F71" i="6" a="1"/>
  <c r="F71" i="6" s="1"/>
  <c r="G71" i="6" a="1"/>
  <c r="G71" i="6" s="1"/>
  <c r="M71" i="6" a="1"/>
  <c r="M71" i="6" s="1"/>
  <c r="E71" i="6" a="1"/>
  <c r="E71" i="6" s="1"/>
  <c r="D71" i="6" a="1"/>
  <c r="D71" i="6" s="1"/>
  <c r="L71" i="6" a="1"/>
  <c r="L71" i="6" s="1"/>
  <c r="K71" i="6" a="1"/>
  <c r="K71" i="6" s="1"/>
  <c r="C71" i="6" a="1"/>
  <c r="C71" i="6" s="1"/>
  <c r="H71" i="6" a="1"/>
  <c r="H71" i="6" s="1"/>
  <c r="J71" i="6" a="1"/>
  <c r="J71" i="6" s="1"/>
  <c r="I72" i="3" a="1"/>
  <c r="I72" i="3" s="1"/>
  <c r="J72" i="3" a="1"/>
  <c r="J72" i="3" s="1"/>
  <c r="D72" i="3" a="1"/>
  <c r="D72" i="3" s="1"/>
  <c r="G72" i="3" a="1"/>
  <c r="G72" i="3" s="1"/>
  <c r="H72" i="3" a="1"/>
  <c r="H72" i="3" s="1"/>
  <c r="F72" i="3" a="1"/>
  <c r="F72" i="3" s="1"/>
  <c r="B71" i="6" a="1"/>
  <c r="B71" i="6" s="1"/>
  <c r="A72" i="6"/>
  <c r="C72" i="3" a="1"/>
  <c r="C72" i="3" s="1"/>
  <c r="R72" i="3" a="1"/>
  <c r="R72" i="3" s="1"/>
  <c r="E72" i="3" a="1"/>
  <c r="E72" i="3" s="1"/>
  <c r="K72" i="3" a="1"/>
  <c r="K72" i="3" s="1"/>
  <c r="Q72" i="3" a="1"/>
  <c r="Q72" i="3" s="1"/>
  <c r="M72" i="3" a="1"/>
  <c r="M72" i="3" s="1"/>
  <c r="T72" i="3" a="1"/>
  <c r="T72" i="3" s="1"/>
  <c r="L72" i="3" a="1"/>
  <c r="L72" i="3" s="1"/>
  <c r="S72" i="3" a="1"/>
  <c r="S72" i="3" s="1"/>
  <c r="O72" i="3" a="1"/>
  <c r="O72" i="3" s="1"/>
  <c r="U72" i="3" a="1"/>
  <c r="U72" i="3" s="1"/>
  <c r="P72" i="3" a="1"/>
  <c r="P72" i="3" s="1"/>
  <c r="N72" i="3" a="1"/>
  <c r="N72" i="3" s="1"/>
  <c r="B73" i="3"/>
  <c r="AD73" i="3" l="1" a="1"/>
  <c r="AD73" i="3" s="1"/>
  <c r="Y73" i="3" a="1"/>
  <c r="Y73" i="3" s="1"/>
  <c r="Z73" i="3" a="1"/>
  <c r="Z73" i="3" s="1"/>
  <c r="AA73" i="3" a="1"/>
  <c r="AA73" i="3" s="1"/>
  <c r="AC73" i="3" a="1"/>
  <c r="AC73" i="3" s="1"/>
  <c r="AB73" i="3" a="1"/>
  <c r="AB73" i="3" s="1"/>
  <c r="W73" i="3" a="1"/>
  <c r="W73" i="3" s="1"/>
  <c r="X73" i="3" a="1"/>
  <c r="X73" i="3" s="1"/>
  <c r="V73" i="3" a="1"/>
  <c r="V73" i="3" s="1"/>
  <c r="I72" i="6" a="1"/>
  <c r="I72" i="6" s="1"/>
  <c r="D72" i="6" a="1"/>
  <c r="D72" i="6" s="1"/>
  <c r="H72" i="6" a="1"/>
  <c r="H72" i="6" s="1"/>
  <c r="M72" i="6" a="1"/>
  <c r="M72" i="6" s="1"/>
  <c r="F72" i="6" a="1"/>
  <c r="F72" i="6" s="1"/>
  <c r="E72" i="6" a="1"/>
  <c r="E72" i="6" s="1"/>
  <c r="G72" i="6" a="1"/>
  <c r="G72" i="6" s="1"/>
  <c r="L72" i="6" a="1"/>
  <c r="L72" i="6" s="1"/>
  <c r="J72" i="6" a="1"/>
  <c r="J72" i="6" s="1"/>
  <c r="K72" i="6" a="1"/>
  <c r="K72" i="6" s="1"/>
  <c r="C72" i="6" a="1"/>
  <c r="C72" i="6" s="1"/>
  <c r="I73" i="3" a="1"/>
  <c r="I73" i="3" s="1"/>
  <c r="J73" i="3" a="1"/>
  <c r="J73" i="3" s="1"/>
  <c r="D73" i="3" a="1"/>
  <c r="D73" i="3" s="1"/>
  <c r="H73" i="3" a="1"/>
  <c r="H73" i="3" s="1"/>
  <c r="F73" i="3" a="1"/>
  <c r="F73" i="3" s="1"/>
  <c r="G73" i="3" a="1"/>
  <c r="G73" i="3" s="1"/>
  <c r="B72" i="6" a="1"/>
  <c r="B72" i="6" s="1"/>
  <c r="A73" i="6"/>
  <c r="C73" i="3" a="1"/>
  <c r="C73" i="3" s="1"/>
  <c r="Q73" i="3" a="1"/>
  <c r="Q73" i="3" s="1"/>
  <c r="E73" i="3" a="1"/>
  <c r="E73" i="3" s="1"/>
  <c r="K73" i="3" a="1"/>
  <c r="K73" i="3" s="1"/>
  <c r="R73" i="3" a="1"/>
  <c r="R73" i="3" s="1"/>
  <c r="T73" i="3" a="1"/>
  <c r="T73" i="3" s="1"/>
  <c r="S73" i="3" a="1"/>
  <c r="S73" i="3" s="1"/>
  <c r="L73" i="3" a="1"/>
  <c r="L73" i="3" s="1"/>
  <c r="O73" i="3" a="1"/>
  <c r="O73" i="3" s="1"/>
  <c r="U73" i="3" a="1"/>
  <c r="U73" i="3" s="1"/>
  <c r="M73" i="3" a="1"/>
  <c r="M73" i="3" s="1"/>
  <c r="N73" i="3" a="1"/>
  <c r="N73" i="3" s="1"/>
  <c r="P73" i="3" a="1"/>
  <c r="P73" i="3" s="1"/>
  <c r="B74" i="3"/>
  <c r="AD74" i="3" l="1" a="1"/>
  <c r="AD74" i="3" s="1"/>
  <c r="Y74" i="3" a="1"/>
  <c r="Y74" i="3" s="1"/>
  <c r="Z74" i="3" a="1"/>
  <c r="Z74" i="3" s="1"/>
  <c r="AA74" i="3" a="1"/>
  <c r="AA74" i="3" s="1"/>
  <c r="AB74" i="3" a="1"/>
  <c r="AB74" i="3" s="1"/>
  <c r="AC74" i="3" a="1"/>
  <c r="AC74" i="3" s="1"/>
  <c r="X74" i="3" a="1"/>
  <c r="X74" i="3" s="1"/>
  <c r="V74" i="3" a="1"/>
  <c r="V74" i="3" s="1"/>
  <c r="W74" i="3" a="1"/>
  <c r="W74" i="3" s="1"/>
  <c r="I73" i="6" a="1"/>
  <c r="I73" i="6" s="1"/>
  <c r="H73" i="6" a="1"/>
  <c r="H73" i="6" s="1"/>
  <c r="F73" i="6" a="1"/>
  <c r="F73" i="6" s="1"/>
  <c r="E73" i="6" a="1"/>
  <c r="E73" i="6" s="1"/>
  <c r="G73" i="6" a="1"/>
  <c r="G73" i="6" s="1"/>
  <c r="M73" i="6" a="1"/>
  <c r="M73" i="6" s="1"/>
  <c r="D73" i="6" a="1"/>
  <c r="D73" i="6" s="1"/>
  <c r="J73" i="6" a="1"/>
  <c r="J73" i="6" s="1"/>
  <c r="K73" i="6" a="1"/>
  <c r="K73" i="6" s="1"/>
  <c r="L73" i="6" a="1"/>
  <c r="L73" i="6" s="1"/>
  <c r="C73" i="6" a="1"/>
  <c r="C73" i="6" s="1"/>
  <c r="I74" i="3" a="1"/>
  <c r="I74" i="3" s="1"/>
  <c r="J74" i="3" a="1"/>
  <c r="J74" i="3" s="1"/>
  <c r="D74" i="3" a="1"/>
  <c r="D74" i="3" s="1"/>
  <c r="F74" i="3" a="1"/>
  <c r="F74" i="3" s="1"/>
  <c r="H74" i="3" a="1"/>
  <c r="H74" i="3" s="1"/>
  <c r="G74" i="3" a="1"/>
  <c r="G74" i="3" s="1"/>
  <c r="B73" i="6" a="1"/>
  <c r="B73" i="6" s="1"/>
  <c r="A74" i="6"/>
  <c r="C74" i="3" a="1"/>
  <c r="C74" i="3" s="1"/>
  <c r="Q74" i="3" a="1"/>
  <c r="Q74" i="3" s="1"/>
  <c r="E74" i="3" a="1"/>
  <c r="E74" i="3" s="1"/>
  <c r="K74" i="3" a="1"/>
  <c r="K74" i="3" s="1"/>
  <c r="R74" i="3" a="1"/>
  <c r="R74" i="3" s="1"/>
  <c r="M74" i="3" a="1"/>
  <c r="M74" i="3" s="1"/>
  <c r="L74" i="3" a="1"/>
  <c r="L74" i="3" s="1"/>
  <c r="S74" i="3" a="1"/>
  <c r="S74" i="3" s="1"/>
  <c r="T74" i="3" a="1"/>
  <c r="T74" i="3" s="1"/>
  <c r="O74" i="3" a="1"/>
  <c r="O74" i="3" s="1"/>
  <c r="P74" i="3" a="1"/>
  <c r="P74" i="3" s="1"/>
  <c r="U74" i="3" a="1"/>
  <c r="U74" i="3" s="1"/>
  <c r="N74" i="3" a="1"/>
  <c r="N74" i="3" s="1"/>
  <c r="B75" i="3"/>
  <c r="AD75" i="3" l="1" a="1"/>
  <c r="AD75" i="3" s="1"/>
  <c r="AC75" i="3" a="1"/>
  <c r="AC75" i="3" s="1"/>
  <c r="Y75" i="3" a="1"/>
  <c r="Y75" i="3" s="1"/>
  <c r="Z75" i="3" a="1"/>
  <c r="Z75" i="3" s="1"/>
  <c r="AA75" i="3" a="1"/>
  <c r="AA75" i="3" s="1"/>
  <c r="AB75" i="3" a="1"/>
  <c r="AB75" i="3" s="1"/>
  <c r="W75" i="3" a="1"/>
  <c r="W75" i="3" s="1"/>
  <c r="V75" i="3" a="1"/>
  <c r="V75" i="3" s="1"/>
  <c r="X75" i="3" a="1"/>
  <c r="X75" i="3" s="1"/>
  <c r="I74" i="6" a="1"/>
  <c r="I74" i="6" s="1"/>
  <c r="J74" i="6" a="1"/>
  <c r="J74" i="6" s="1"/>
  <c r="K74" i="6" a="1"/>
  <c r="K74" i="6" s="1"/>
  <c r="H74" i="6" a="1"/>
  <c r="H74" i="6" s="1"/>
  <c r="G74" i="6" a="1"/>
  <c r="G74" i="6" s="1"/>
  <c r="C74" i="6" a="1"/>
  <c r="C74" i="6" s="1"/>
  <c r="M74" i="6" a="1"/>
  <c r="M74" i="6" s="1"/>
  <c r="D74" i="6" a="1"/>
  <c r="D74" i="6" s="1"/>
  <c r="E74" i="6" a="1"/>
  <c r="E74" i="6" s="1"/>
  <c r="F74" i="6" a="1"/>
  <c r="F74" i="6" s="1"/>
  <c r="L74" i="6" a="1"/>
  <c r="L74" i="6" s="1"/>
  <c r="I75" i="3" a="1"/>
  <c r="I75" i="3" s="1"/>
  <c r="J75" i="3" a="1"/>
  <c r="J75" i="3" s="1"/>
  <c r="D75" i="3" a="1"/>
  <c r="D75" i="3" s="1"/>
  <c r="G75" i="3" a="1"/>
  <c r="G75" i="3" s="1"/>
  <c r="H75" i="3" a="1"/>
  <c r="H75" i="3" s="1"/>
  <c r="F75" i="3" a="1"/>
  <c r="F75" i="3" s="1"/>
  <c r="B74" i="6" a="1"/>
  <c r="B74" i="6" s="1"/>
  <c r="A75" i="6"/>
  <c r="C75" i="3" a="1"/>
  <c r="C75" i="3" s="1"/>
  <c r="K75" i="3" a="1"/>
  <c r="K75" i="3" s="1"/>
  <c r="R75" i="3" a="1"/>
  <c r="R75" i="3" s="1"/>
  <c r="E75" i="3" a="1"/>
  <c r="E75" i="3" s="1"/>
  <c r="Q75" i="3" a="1"/>
  <c r="Q75" i="3" s="1"/>
  <c r="S75" i="3" a="1"/>
  <c r="S75" i="3" s="1"/>
  <c r="T75" i="3" a="1"/>
  <c r="T75" i="3" s="1"/>
  <c r="M75" i="3" a="1"/>
  <c r="M75" i="3" s="1"/>
  <c r="L75" i="3" a="1"/>
  <c r="L75" i="3" s="1"/>
  <c r="O75" i="3" a="1"/>
  <c r="O75" i="3" s="1"/>
  <c r="U75" i="3" a="1"/>
  <c r="U75" i="3" s="1"/>
  <c r="P75" i="3" a="1"/>
  <c r="P75" i="3" s="1"/>
  <c r="N75" i="3" a="1"/>
  <c r="N75" i="3" s="1"/>
  <c r="B76" i="3"/>
  <c r="AD76" i="3" l="1" a="1"/>
  <c r="AD76" i="3" s="1"/>
  <c r="Y76" i="3" a="1"/>
  <c r="Y76" i="3" s="1"/>
  <c r="AA76" i="3" a="1"/>
  <c r="AA76" i="3" s="1"/>
  <c r="AC76" i="3" a="1"/>
  <c r="AC76" i="3" s="1"/>
  <c r="Z76" i="3" a="1"/>
  <c r="Z76" i="3" s="1"/>
  <c r="AB76" i="3" a="1"/>
  <c r="AB76" i="3" s="1"/>
  <c r="X76" i="3" a="1"/>
  <c r="X76" i="3" s="1"/>
  <c r="W76" i="3" a="1"/>
  <c r="W76" i="3" s="1"/>
  <c r="V76" i="3" a="1"/>
  <c r="V76" i="3" s="1"/>
  <c r="I75" i="6" a="1"/>
  <c r="I75" i="6" s="1"/>
  <c r="K75" i="6" a="1"/>
  <c r="K75" i="6" s="1"/>
  <c r="G75" i="6" a="1"/>
  <c r="G75" i="6" s="1"/>
  <c r="L75" i="6" a="1"/>
  <c r="L75" i="6" s="1"/>
  <c r="J75" i="6" a="1"/>
  <c r="J75" i="6" s="1"/>
  <c r="C75" i="6" a="1"/>
  <c r="C75" i="6" s="1"/>
  <c r="H75" i="6" a="1"/>
  <c r="H75" i="6" s="1"/>
  <c r="E75" i="6" a="1"/>
  <c r="E75" i="6" s="1"/>
  <c r="F75" i="6" a="1"/>
  <c r="F75" i="6" s="1"/>
  <c r="M75" i="6" a="1"/>
  <c r="M75" i="6" s="1"/>
  <c r="D75" i="6" a="1"/>
  <c r="D75" i="6" s="1"/>
  <c r="I76" i="3" a="1"/>
  <c r="I76" i="3" s="1"/>
  <c r="J76" i="3" a="1"/>
  <c r="J76" i="3" s="1"/>
  <c r="D76" i="3" a="1"/>
  <c r="D76" i="3" s="1"/>
  <c r="F76" i="3" a="1"/>
  <c r="F76" i="3" s="1"/>
  <c r="H76" i="3" a="1"/>
  <c r="H76" i="3" s="1"/>
  <c r="G76" i="3" a="1"/>
  <c r="G76" i="3" s="1"/>
  <c r="B75" i="6" a="1"/>
  <c r="B75" i="6" s="1"/>
  <c r="A76" i="6"/>
  <c r="C76" i="3" a="1"/>
  <c r="C76" i="3" s="1"/>
  <c r="R76" i="3" a="1"/>
  <c r="R76" i="3" s="1"/>
  <c r="K76" i="3" a="1"/>
  <c r="K76" i="3" s="1"/>
  <c r="E76" i="3" a="1"/>
  <c r="E76" i="3" s="1"/>
  <c r="Q76" i="3" a="1"/>
  <c r="Q76" i="3" s="1"/>
  <c r="T76" i="3" a="1"/>
  <c r="T76" i="3" s="1"/>
  <c r="L76" i="3" a="1"/>
  <c r="L76" i="3" s="1"/>
  <c r="S76" i="3" a="1"/>
  <c r="S76" i="3" s="1"/>
  <c r="M76" i="3" a="1"/>
  <c r="M76" i="3" s="1"/>
  <c r="O76" i="3" a="1"/>
  <c r="O76" i="3" s="1"/>
  <c r="U76" i="3" a="1"/>
  <c r="U76" i="3" s="1"/>
  <c r="P76" i="3" a="1"/>
  <c r="P76" i="3" s="1"/>
  <c r="N76" i="3" a="1"/>
  <c r="N76" i="3" s="1"/>
  <c r="B77" i="3"/>
  <c r="AD77" i="3" l="1" a="1"/>
  <c r="AD77" i="3" s="1"/>
  <c r="AB77" i="3" a="1"/>
  <c r="AB77" i="3" s="1"/>
  <c r="Y77" i="3" a="1"/>
  <c r="Y77" i="3" s="1"/>
  <c r="AA77" i="3" a="1"/>
  <c r="AA77" i="3" s="1"/>
  <c r="Z77" i="3" a="1"/>
  <c r="Z77" i="3" s="1"/>
  <c r="AC77" i="3" a="1"/>
  <c r="AC77" i="3" s="1"/>
  <c r="W77" i="3" a="1"/>
  <c r="W77" i="3" s="1"/>
  <c r="X77" i="3" a="1"/>
  <c r="X77" i="3" s="1"/>
  <c r="V77" i="3" a="1"/>
  <c r="V77" i="3" s="1"/>
  <c r="I76" i="6" a="1"/>
  <c r="I76" i="6" s="1"/>
  <c r="H76" i="6" a="1"/>
  <c r="H76" i="6" s="1"/>
  <c r="L76" i="6" a="1"/>
  <c r="L76" i="6" s="1"/>
  <c r="K76" i="6" a="1"/>
  <c r="K76" i="6" s="1"/>
  <c r="D76" i="6" a="1"/>
  <c r="D76" i="6" s="1"/>
  <c r="J76" i="6" a="1"/>
  <c r="J76" i="6" s="1"/>
  <c r="C76" i="6" a="1"/>
  <c r="C76" i="6" s="1"/>
  <c r="G76" i="6" a="1"/>
  <c r="G76" i="6" s="1"/>
  <c r="F76" i="6" a="1"/>
  <c r="F76" i="6" s="1"/>
  <c r="M76" i="6" a="1"/>
  <c r="M76" i="6" s="1"/>
  <c r="E76" i="6" a="1"/>
  <c r="E76" i="6" s="1"/>
  <c r="I77" i="3" a="1"/>
  <c r="I77" i="3" s="1"/>
  <c r="J77" i="3" a="1"/>
  <c r="J77" i="3" s="1"/>
  <c r="D77" i="3" a="1"/>
  <c r="D77" i="3" s="1"/>
  <c r="F77" i="3" a="1"/>
  <c r="F77" i="3" s="1"/>
  <c r="H77" i="3" a="1"/>
  <c r="H77" i="3" s="1"/>
  <c r="G77" i="3" a="1"/>
  <c r="G77" i="3" s="1"/>
  <c r="B76" i="6" a="1"/>
  <c r="B76" i="6" s="1"/>
  <c r="A77" i="6"/>
  <c r="C77" i="3" a="1"/>
  <c r="C77" i="3" s="1"/>
  <c r="R77" i="3" a="1"/>
  <c r="R77" i="3" s="1"/>
  <c r="Q77" i="3" a="1"/>
  <c r="Q77" i="3" s="1"/>
  <c r="K77" i="3" a="1"/>
  <c r="K77" i="3" s="1"/>
  <c r="E77" i="3" a="1"/>
  <c r="E77" i="3" s="1"/>
  <c r="T77" i="3" a="1"/>
  <c r="T77" i="3" s="1"/>
  <c r="L77" i="3" a="1"/>
  <c r="L77" i="3" s="1"/>
  <c r="S77" i="3" a="1"/>
  <c r="S77" i="3" s="1"/>
  <c r="M77" i="3" a="1"/>
  <c r="M77" i="3" s="1"/>
  <c r="U77" i="3" a="1"/>
  <c r="U77" i="3" s="1"/>
  <c r="P77" i="3" a="1"/>
  <c r="P77" i="3" s="1"/>
  <c r="O77" i="3" a="1"/>
  <c r="O77" i="3" s="1"/>
  <c r="N77" i="3" a="1"/>
  <c r="N77" i="3" s="1"/>
  <c r="B78" i="3"/>
  <c r="AD78" i="3" l="1" a="1"/>
  <c r="AD78" i="3" s="1"/>
  <c r="AB78" i="3" a="1"/>
  <c r="AB78" i="3" s="1"/>
  <c r="Y78" i="3" a="1"/>
  <c r="Y78" i="3" s="1"/>
  <c r="AC78" i="3" a="1"/>
  <c r="AC78" i="3" s="1"/>
  <c r="Z78" i="3" a="1"/>
  <c r="Z78" i="3" s="1"/>
  <c r="AA78" i="3" a="1"/>
  <c r="AA78" i="3" s="1"/>
  <c r="V78" i="3" a="1"/>
  <c r="V78" i="3" s="1"/>
  <c r="W78" i="3" a="1"/>
  <c r="W78" i="3" s="1"/>
  <c r="X78" i="3" a="1"/>
  <c r="X78" i="3" s="1"/>
  <c r="I77" i="6" a="1"/>
  <c r="I77" i="6" s="1"/>
  <c r="M77" i="6" a="1"/>
  <c r="M77" i="6" s="1"/>
  <c r="K77" i="6" a="1"/>
  <c r="K77" i="6" s="1"/>
  <c r="D77" i="6" a="1"/>
  <c r="D77" i="6" s="1"/>
  <c r="J77" i="6" a="1"/>
  <c r="J77" i="6" s="1"/>
  <c r="L77" i="6" a="1"/>
  <c r="L77" i="6" s="1"/>
  <c r="C77" i="6" a="1"/>
  <c r="C77" i="6" s="1"/>
  <c r="H77" i="6" a="1"/>
  <c r="H77" i="6" s="1"/>
  <c r="E77" i="6" a="1"/>
  <c r="E77" i="6" s="1"/>
  <c r="G77" i="6" a="1"/>
  <c r="G77" i="6" s="1"/>
  <c r="F77" i="6" a="1"/>
  <c r="F77" i="6" s="1"/>
  <c r="I78" i="3" a="1"/>
  <c r="I78" i="3" s="1"/>
  <c r="J78" i="3" a="1"/>
  <c r="J78" i="3" s="1"/>
  <c r="D78" i="3" a="1"/>
  <c r="D78" i="3" s="1"/>
  <c r="G78" i="3" a="1"/>
  <c r="G78" i="3" s="1"/>
  <c r="H78" i="3" a="1"/>
  <c r="H78" i="3" s="1"/>
  <c r="F78" i="3" a="1"/>
  <c r="F78" i="3" s="1"/>
  <c r="B77" i="6" a="1"/>
  <c r="B77" i="6" s="1"/>
  <c r="A78" i="6"/>
  <c r="C78" i="3" a="1"/>
  <c r="C78" i="3" s="1"/>
  <c r="Q78" i="3" a="1"/>
  <c r="Q78" i="3" s="1"/>
  <c r="E78" i="3" a="1"/>
  <c r="E78" i="3" s="1"/>
  <c r="R78" i="3" a="1"/>
  <c r="R78" i="3" s="1"/>
  <c r="K78" i="3" a="1"/>
  <c r="K78" i="3" s="1"/>
  <c r="L78" i="3" a="1"/>
  <c r="L78" i="3" s="1"/>
  <c r="S78" i="3" a="1"/>
  <c r="S78" i="3" s="1"/>
  <c r="T78" i="3" a="1"/>
  <c r="T78" i="3" s="1"/>
  <c r="O78" i="3" a="1"/>
  <c r="O78" i="3" s="1"/>
  <c r="U78" i="3" a="1"/>
  <c r="U78" i="3" s="1"/>
  <c r="M78" i="3" a="1"/>
  <c r="M78" i="3" s="1"/>
  <c r="P78" i="3" a="1"/>
  <c r="P78" i="3" s="1"/>
  <c r="N78" i="3" a="1"/>
  <c r="N78" i="3" s="1"/>
  <c r="B79" i="3"/>
  <c r="Z79" i="3" l="1" a="1"/>
  <c r="Z79" i="3" s="1"/>
  <c r="AD79" i="3" a="1"/>
  <c r="AD79" i="3" s="1"/>
  <c r="Y79" i="3" a="1"/>
  <c r="Y79" i="3" s="1"/>
  <c r="AB79" i="3" a="1"/>
  <c r="AB79" i="3" s="1"/>
  <c r="AA79" i="3" a="1"/>
  <c r="AA79" i="3" s="1"/>
  <c r="AC79" i="3" a="1"/>
  <c r="AC79" i="3" s="1"/>
  <c r="X79" i="3" a="1"/>
  <c r="X79" i="3" s="1"/>
  <c r="V79" i="3" a="1"/>
  <c r="V79" i="3" s="1"/>
  <c r="W79" i="3" a="1"/>
  <c r="W79" i="3" s="1"/>
  <c r="I78" i="6" a="1"/>
  <c r="I78" i="6" s="1"/>
  <c r="E78" i="6" a="1"/>
  <c r="E78" i="6" s="1"/>
  <c r="C78" i="6" a="1"/>
  <c r="C78" i="6" s="1"/>
  <c r="K78" i="6" a="1"/>
  <c r="K78" i="6" s="1"/>
  <c r="L78" i="6" a="1"/>
  <c r="L78" i="6" s="1"/>
  <c r="D78" i="6" a="1"/>
  <c r="D78" i="6" s="1"/>
  <c r="J78" i="6" a="1"/>
  <c r="J78" i="6" s="1"/>
  <c r="M78" i="6" a="1"/>
  <c r="M78" i="6" s="1"/>
  <c r="F78" i="6" a="1"/>
  <c r="F78" i="6" s="1"/>
  <c r="H78" i="6" a="1"/>
  <c r="H78" i="6" s="1"/>
  <c r="G78" i="6" a="1"/>
  <c r="G78" i="6" s="1"/>
  <c r="I79" i="3" a="1"/>
  <c r="I79" i="3" s="1"/>
  <c r="J79" i="3" a="1"/>
  <c r="J79" i="3" s="1"/>
  <c r="D79" i="3" a="1"/>
  <c r="D79" i="3" s="1"/>
  <c r="F79" i="3" a="1"/>
  <c r="F79" i="3" s="1"/>
  <c r="H79" i="3" a="1"/>
  <c r="H79" i="3" s="1"/>
  <c r="G79" i="3" a="1"/>
  <c r="G79" i="3" s="1"/>
  <c r="B78" i="6" a="1"/>
  <c r="B78" i="6" s="1"/>
  <c r="A79" i="6"/>
  <c r="C79" i="3" a="1"/>
  <c r="C79" i="3" s="1"/>
  <c r="K79" i="3" a="1"/>
  <c r="K79" i="3" s="1"/>
  <c r="E79" i="3" a="1"/>
  <c r="E79" i="3" s="1"/>
  <c r="Q79" i="3" a="1"/>
  <c r="Q79" i="3" s="1"/>
  <c r="R79" i="3" a="1"/>
  <c r="R79" i="3" s="1"/>
  <c r="M79" i="3" a="1"/>
  <c r="M79" i="3" s="1"/>
  <c r="S79" i="3" a="1"/>
  <c r="S79" i="3" s="1"/>
  <c r="T79" i="3" a="1"/>
  <c r="T79" i="3" s="1"/>
  <c r="O79" i="3" a="1"/>
  <c r="O79" i="3" s="1"/>
  <c r="P79" i="3" a="1"/>
  <c r="P79" i="3" s="1"/>
  <c r="L79" i="3" a="1"/>
  <c r="L79" i="3" s="1"/>
  <c r="N79" i="3" a="1"/>
  <c r="N79" i="3" s="1"/>
  <c r="U79" i="3" a="1"/>
  <c r="U79" i="3" s="1"/>
  <c r="B80" i="3"/>
  <c r="Z80" i="3" l="1" a="1"/>
  <c r="Z80" i="3" s="1"/>
  <c r="AD80" i="3" a="1"/>
  <c r="AD80" i="3" s="1"/>
  <c r="Y80" i="3" a="1"/>
  <c r="Y80" i="3" s="1"/>
  <c r="AA80" i="3" a="1"/>
  <c r="AA80" i="3" s="1"/>
  <c r="AB80" i="3" a="1"/>
  <c r="AB80" i="3" s="1"/>
  <c r="AC80" i="3" a="1"/>
  <c r="AC80" i="3" s="1"/>
  <c r="V80" i="3" a="1"/>
  <c r="V80" i="3" s="1"/>
  <c r="W80" i="3" a="1"/>
  <c r="W80" i="3" s="1"/>
  <c r="X80" i="3" a="1"/>
  <c r="X80" i="3" s="1"/>
  <c r="I79" i="6" a="1"/>
  <c r="I79" i="6" s="1"/>
  <c r="K79" i="6" a="1"/>
  <c r="K79" i="6" s="1"/>
  <c r="M79" i="6" a="1"/>
  <c r="M79" i="6" s="1"/>
  <c r="D79" i="6" a="1"/>
  <c r="D79" i="6" s="1"/>
  <c r="J79" i="6" a="1"/>
  <c r="J79" i="6" s="1"/>
  <c r="E79" i="6" a="1"/>
  <c r="E79" i="6" s="1"/>
  <c r="L79" i="6" a="1"/>
  <c r="L79" i="6" s="1"/>
  <c r="C79" i="6" a="1"/>
  <c r="C79" i="6" s="1"/>
  <c r="G79" i="6" a="1"/>
  <c r="G79" i="6" s="1"/>
  <c r="H79" i="6" a="1"/>
  <c r="H79" i="6" s="1"/>
  <c r="F79" i="6" a="1"/>
  <c r="F79" i="6" s="1"/>
  <c r="I80" i="3" a="1"/>
  <c r="I80" i="3" s="1"/>
  <c r="J80" i="3" a="1"/>
  <c r="J80" i="3" s="1"/>
  <c r="D80" i="3" a="1"/>
  <c r="D80" i="3" s="1"/>
  <c r="F80" i="3" a="1"/>
  <c r="F80" i="3" s="1"/>
  <c r="H80" i="3" a="1"/>
  <c r="H80" i="3" s="1"/>
  <c r="G80" i="3" a="1"/>
  <c r="G80" i="3" s="1"/>
  <c r="B79" i="6" a="1"/>
  <c r="B79" i="6" s="1"/>
  <c r="A80" i="6"/>
  <c r="C80" i="3" a="1"/>
  <c r="C80" i="3" s="1"/>
  <c r="K80" i="3" a="1"/>
  <c r="K80" i="3" s="1"/>
  <c r="E80" i="3" a="1"/>
  <c r="E80" i="3" s="1"/>
  <c r="R80" i="3" a="1"/>
  <c r="R80" i="3" s="1"/>
  <c r="Q80" i="3" a="1"/>
  <c r="Q80" i="3" s="1"/>
  <c r="L80" i="3" a="1"/>
  <c r="L80" i="3" s="1"/>
  <c r="T80" i="3" a="1"/>
  <c r="T80" i="3" s="1"/>
  <c r="M80" i="3" a="1"/>
  <c r="M80" i="3" s="1"/>
  <c r="S80" i="3" a="1"/>
  <c r="S80" i="3" s="1"/>
  <c r="P80" i="3" a="1"/>
  <c r="P80" i="3" s="1"/>
  <c r="O80" i="3" a="1"/>
  <c r="O80" i="3" s="1"/>
  <c r="N80" i="3" a="1"/>
  <c r="N80" i="3" s="1"/>
  <c r="U80" i="3" a="1"/>
  <c r="U80" i="3" s="1"/>
  <c r="B81" i="3"/>
  <c r="AD81" i="3" l="1" a="1"/>
  <c r="AD81" i="3" s="1"/>
  <c r="Y81" i="3" a="1"/>
  <c r="Y81" i="3" s="1"/>
  <c r="Z81" i="3" a="1"/>
  <c r="Z81" i="3" s="1"/>
  <c r="AB81" i="3" a="1"/>
  <c r="AB81" i="3" s="1"/>
  <c r="AA81" i="3" a="1"/>
  <c r="AA81" i="3" s="1"/>
  <c r="AC81" i="3" a="1"/>
  <c r="AC81" i="3" s="1"/>
  <c r="W81" i="3" a="1"/>
  <c r="W81" i="3" s="1"/>
  <c r="X81" i="3" a="1"/>
  <c r="X81" i="3" s="1"/>
  <c r="V81" i="3" a="1"/>
  <c r="V81" i="3" s="1"/>
  <c r="I80" i="6" a="1"/>
  <c r="I80" i="6" s="1"/>
  <c r="D80" i="6" a="1"/>
  <c r="D80" i="6" s="1"/>
  <c r="M80" i="6" a="1"/>
  <c r="M80" i="6" s="1"/>
  <c r="K80" i="6" a="1"/>
  <c r="K80" i="6" s="1"/>
  <c r="E80" i="6" a="1"/>
  <c r="E80" i="6" s="1"/>
  <c r="C80" i="6" a="1"/>
  <c r="C80" i="6" s="1"/>
  <c r="L80" i="6" a="1"/>
  <c r="L80" i="6" s="1"/>
  <c r="J80" i="6" a="1"/>
  <c r="J80" i="6" s="1"/>
  <c r="G80" i="6" a="1"/>
  <c r="G80" i="6" s="1"/>
  <c r="H80" i="6" a="1"/>
  <c r="H80" i="6" s="1"/>
  <c r="F80" i="6" a="1"/>
  <c r="F80" i="6" s="1"/>
  <c r="I81" i="3" a="1"/>
  <c r="I81" i="3" s="1"/>
  <c r="J81" i="3" a="1"/>
  <c r="J81" i="3" s="1"/>
  <c r="D81" i="3" a="1"/>
  <c r="D81" i="3" s="1"/>
  <c r="G81" i="3" a="1"/>
  <c r="G81" i="3" s="1"/>
  <c r="H81" i="3" a="1"/>
  <c r="H81" i="3" s="1"/>
  <c r="F81" i="3" a="1"/>
  <c r="F81" i="3" s="1"/>
  <c r="B80" i="6" a="1"/>
  <c r="B80" i="6" s="1"/>
  <c r="A81" i="6"/>
  <c r="C81" i="3" a="1"/>
  <c r="C81" i="3" s="1"/>
  <c r="R81" i="3" a="1"/>
  <c r="R81" i="3" s="1"/>
  <c r="E81" i="3" a="1"/>
  <c r="E81" i="3" s="1"/>
  <c r="K81" i="3" a="1"/>
  <c r="K81" i="3" s="1"/>
  <c r="Q81" i="3" a="1"/>
  <c r="Q81" i="3" s="1"/>
  <c r="S81" i="3" a="1"/>
  <c r="S81" i="3" s="1"/>
  <c r="L81" i="3" a="1"/>
  <c r="L81" i="3" s="1"/>
  <c r="M81" i="3" a="1"/>
  <c r="M81" i="3" s="1"/>
  <c r="T81" i="3" a="1"/>
  <c r="T81" i="3" s="1"/>
  <c r="P81" i="3" a="1"/>
  <c r="P81" i="3" s="1"/>
  <c r="U81" i="3" a="1"/>
  <c r="U81" i="3" s="1"/>
  <c r="N81" i="3" a="1"/>
  <c r="N81" i="3" s="1"/>
  <c r="O81" i="3" a="1"/>
  <c r="O81" i="3" s="1"/>
  <c r="B82" i="3"/>
  <c r="Y82" i="3" l="1" a="1"/>
  <c r="Y82" i="3" s="1"/>
  <c r="Z82" i="3" a="1"/>
  <c r="Z82" i="3" s="1"/>
  <c r="AD82" i="3" a="1"/>
  <c r="AD82" i="3" s="1"/>
  <c r="AB82" i="3" a="1"/>
  <c r="AB82" i="3" s="1"/>
  <c r="AA82" i="3" a="1"/>
  <c r="AA82" i="3" s="1"/>
  <c r="AC82" i="3" a="1"/>
  <c r="AC82" i="3" s="1"/>
  <c r="X82" i="3" a="1"/>
  <c r="X82" i="3" s="1"/>
  <c r="W82" i="3" a="1"/>
  <c r="W82" i="3" s="1"/>
  <c r="V82" i="3" a="1"/>
  <c r="V82" i="3" s="1"/>
  <c r="I81" i="6" a="1"/>
  <c r="I81" i="6" s="1"/>
  <c r="K81" i="6" a="1"/>
  <c r="K81" i="6" s="1"/>
  <c r="M81" i="6" a="1"/>
  <c r="M81" i="6" s="1"/>
  <c r="C81" i="6" a="1"/>
  <c r="C81" i="6" s="1"/>
  <c r="L81" i="6" a="1"/>
  <c r="L81" i="6" s="1"/>
  <c r="J81" i="6" a="1"/>
  <c r="J81" i="6" s="1"/>
  <c r="D81" i="6" a="1"/>
  <c r="D81" i="6" s="1"/>
  <c r="H81" i="6" a="1"/>
  <c r="H81" i="6" s="1"/>
  <c r="G81" i="6" a="1"/>
  <c r="G81" i="6" s="1"/>
  <c r="E81" i="6" a="1"/>
  <c r="E81" i="6" s="1"/>
  <c r="F81" i="6" a="1"/>
  <c r="F81" i="6" s="1"/>
  <c r="I82" i="3" a="1"/>
  <c r="I82" i="3" s="1"/>
  <c r="J82" i="3" a="1"/>
  <c r="J82" i="3" s="1"/>
  <c r="D82" i="3" a="1"/>
  <c r="D82" i="3" s="1"/>
  <c r="F82" i="3" a="1"/>
  <c r="F82" i="3" s="1"/>
  <c r="H82" i="3" a="1"/>
  <c r="H82" i="3" s="1"/>
  <c r="G82" i="3" a="1"/>
  <c r="G82" i="3" s="1"/>
  <c r="B81" i="6" a="1"/>
  <c r="B81" i="6" s="1"/>
  <c r="A82" i="6"/>
  <c r="C82" i="3" a="1"/>
  <c r="C82" i="3" s="1"/>
  <c r="Q82" i="3" a="1"/>
  <c r="Q82" i="3" s="1"/>
  <c r="K82" i="3" a="1"/>
  <c r="K82" i="3" s="1"/>
  <c r="E82" i="3" a="1"/>
  <c r="E82" i="3" s="1"/>
  <c r="R82" i="3" a="1"/>
  <c r="R82" i="3" s="1"/>
  <c r="S82" i="3" a="1"/>
  <c r="S82" i="3" s="1"/>
  <c r="M82" i="3" a="1"/>
  <c r="M82" i="3" s="1"/>
  <c r="T82" i="3" a="1"/>
  <c r="T82" i="3" s="1"/>
  <c r="P82" i="3" a="1"/>
  <c r="P82" i="3" s="1"/>
  <c r="L82" i="3" a="1"/>
  <c r="L82" i="3" s="1"/>
  <c r="U82" i="3" a="1"/>
  <c r="U82" i="3" s="1"/>
  <c r="N82" i="3" a="1"/>
  <c r="N82" i="3" s="1"/>
  <c r="O82" i="3" a="1"/>
  <c r="O82" i="3" s="1"/>
  <c r="B83" i="3"/>
  <c r="AD83" i="3" l="1" a="1"/>
  <c r="AD83" i="3" s="1"/>
  <c r="Y83" i="3" a="1"/>
  <c r="Y83" i="3" s="1"/>
  <c r="Z83" i="3" a="1"/>
  <c r="Z83" i="3" s="1"/>
  <c r="AA83" i="3" a="1"/>
  <c r="AA83" i="3" s="1"/>
  <c r="AC83" i="3" a="1"/>
  <c r="AC83" i="3" s="1"/>
  <c r="AB83" i="3" a="1"/>
  <c r="AB83" i="3" s="1"/>
  <c r="V83" i="3" a="1"/>
  <c r="V83" i="3" s="1"/>
  <c r="W83" i="3" a="1"/>
  <c r="W83" i="3" s="1"/>
  <c r="X83" i="3" a="1"/>
  <c r="X83" i="3" s="1"/>
  <c r="I82" i="6" a="1"/>
  <c r="I82" i="6" s="1"/>
  <c r="M82" i="6" a="1"/>
  <c r="M82" i="6" s="1"/>
  <c r="D82" i="6" a="1"/>
  <c r="D82" i="6" s="1"/>
  <c r="F82" i="6" a="1"/>
  <c r="F82" i="6" s="1"/>
  <c r="L82" i="6" a="1"/>
  <c r="L82" i="6" s="1"/>
  <c r="K82" i="6" a="1"/>
  <c r="K82" i="6" s="1"/>
  <c r="E82" i="6" a="1"/>
  <c r="E82" i="6" s="1"/>
  <c r="C82" i="6" a="1"/>
  <c r="C82" i="6" s="1"/>
  <c r="J82" i="6" a="1"/>
  <c r="J82" i="6" s="1"/>
  <c r="G82" i="6" a="1"/>
  <c r="G82" i="6" s="1"/>
  <c r="H82" i="6" a="1"/>
  <c r="H82" i="6" s="1"/>
  <c r="I83" i="3" a="1"/>
  <c r="I83" i="3" s="1"/>
  <c r="J83" i="3" a="1"/>
  <c r="J83" i="3" s="1"/>
  <c r="D83" i="3" a="1"/>
  <c r="D83" i="3" s="1"/>
  <c r="F83" i="3" a="1"/>
  <c r="F83" i="3" s="1"/>
  <c r="H83" i="3" a="1"/>
  <c r="H83" i="3" s="1"/>
  <c r="G83" i="3" a="1"/>
  <c r="G83" i="3" s="1"/>
  <c r="B82" i="6" a="1"/>
  <c r="B82" i="6" s="1"/>
  <c r="A83" i="6"/>
  <c r="C83" i="3" a="1"/>
  <c r="C83" i="3" s="1"/>
  <c r="R83" i="3" a="1"/>
  <c r="R83" i="3" s="1"/>
  <c r="E83" i="3" a="1"/>
  <c r="E83" i="3" s="1"/>
  <c r="K83" i="3" a="1"/>
  <c r="K83" i="3" s="1"/>
  <c r="Q83" i="3" a="1"/>
  <c r="Q83" i="3" s="1"/>
  <c r="T83" i="3" a="1"/>
  <c r="T83" i="3" s="1"/>
  <c r="M83" i="3" a="1"/>
  <c r="M83" i="3" s="1"/>
  <c r="L83" i="3" a="1"/>
  <c r="L83" i="3" s="1"/>
  <c r="S83" i="3" a="1"/>
  <c r="S83" i="3" s="1"/>
  <c r="O83" i="3" a="1"/>
  <c r="O83" i="3" s="1"/>
  <c r="N83" i="3" a="1"/>
  <c r="N83" i="3" s="1"/>
  <c r="P83" i="3" a="1"/>
  <c r="P83" i="3" s="1"/>
  <c r="U83" i="3" a="1"/>
  <c r="U83" i="3" s="1"/>
  <c r="B84" i="3"/>
  <c r="AD84" i="3" l="1" a="1"/>
  <c r="AD84" i="3" s="1"/>
  <c r="Y84" i="3" a="1"/>
  <c r="Y84" i="3" s="1"/>
  <c r="AB84" i="3" a="1"/>
  <c r="AB84" i="3" s="1"/>
  <c r="AA84" i="3" a="1"/>
  <c r="AA84" i="3" s="1"/>
  <c r="AC84" i="3" a="1"/>
  <c r="AC84" i="3" s="1"/>
  <c r="Z84" i="3" a="1"/>
  <c r="Z84" i="3" s="1"/>
  <c r="X84" i="3" a="1"/>
  <c r="X84" i="3" s="1"/>
  <c r="W84" i="3" a="1"/>
  <c r="W84" i="3" s="1"/>
  <c r="V84" i="3" a="1"/>
  <c r="V84" i="3" s="1"/>
  <c r="I83" i="6" a="1"/>
  <c r="I83" i="6" s="1"/>
  <c r="E83" i="6" a="1"/>
  <c r="E83" i="6" s="1"/>
  <c r="C83" i="6" a="1"/>
  <c r="C83" i="6" s="1"/>
  <c r="M83" i="6" a="1"/>
  <c r="M83" i="6" s="1"/>
  <c r="K83" i="6" a="1"/>
  <c r="K83" i="6" s="1"/>
  <c r="D83" i="6" a="1"/>
  <c r="D83" i="6" s="1"/>
  <c r="J83" i="6" a="1"/>
  <c r="J83" i="6" s="1"/>
  <c r="L83" i="6" a="1"/>
  <c r="L83" i="6" s="1"/>
  <c r="G83" i="6" a="1"/>
  <c r="G83" i="6" s="1"/>
  <c r="H83" i="6" a="1"/>
  <c r="H83" i="6" s="1"/>
  <c r="F83" i="6" a="1"/>
  <c r="F83" i="6" s="1"/>
  <c r="I84" i="3" a="1"/>
  <c r="I84" i="3" s="1"/>
  <c r="J84" i="3" a="1"/>
  <c r="J84" i="3" s="1"/>
  <c r="D84" i="3" a="1"/>
  <c r="D84" i="3" s="1"/>
  <c r="G84" i="3" a="1"/>
  <c r="G84" i="3" s="1"/>
  <c r="F84" i="3" a="1"/>
  <c r="F84" i="3" s="1"/>
  <c r="H84" i="3" a="1"/>
  <c r="H84" i="3" s="1"/>
  <c r="B83" i="6" a="1"/>
  <c r="B83" i="6" s="1"/>
  <c r="A84" i="6"/>
  <c r="C84" i="3" a="1"/>
  <c r="C84" i="3" s="1"/>
  <c r="Q84" i="3" a="1"/>
  <c r="Q84" i="3" s="1"/>
  <c r="R84" i="3" a="1"/>
  <c r="R84" i="3" s="1"/>
  <c r="E84" i="3" a="1"/>
  <c r="E84" i="3" s="1"/>
  <c r="K84" i="3" a="1"/>
  <c r="K84" i="3" s="1"/>
  <c r="M84" i="3" a="1"/>
  <c r="M84" i="3" s="1"/>
  <c r="S84" i="3" a="1"/>
  <c r="S84" i="3" s="1"/>
  <c r="L84" i="3" a="1"/>
  <c r="L84" i="3" s="1"/>
  <c r="T84" i="3" a="1"/>
  <c r="T84" i="3" s="1"/>
  <c r="P84" i="3" a="1"/>
  <c r="P84" i="3" s="1"/>
  <c r="U84" i="3" a="1"/>
  <c r="U84" i="3" s="1"/>
  <c r="N84" i="3" a="1"/>
  <c r="N84" i="3" s="1"/>
  <c r="O84" i="3" a="1"/>
  <c r="O84" i="3" s="1"/>
  <c r="B85" i="3"/>
  <c r="Y85" i="3" l="1" a="1"/>
  <c r="Y85" i="3" s="1"/>
  <c r="AD85" i="3" a="1"/>
  <c r="AD85" i="3" s="1"/>
  <c r="Z85" i="3" a="1"/>
  <c r="Z85" i="3" s="1"/>
  <c r="AA85" i="3" a="1"/>
  <c r="AA85" i="3" s="1"/>
  <c r="AC85" i="3" a="1"/>
  <c r="AC85" i="3" s="1"/>
  <c r="AB85" i="3" a="1"/>
  <c r="AB85" i="3" s="1"/>
  <c r="W85" i="3" a="1"/>
  <c r="W85" i="3" s="1"/>
  <c r="V85" i="3" a="1"/>
  <c r="V85" i="3" s="1"/>
  <c r="X85" i="3" a="1"/>
  <c r="X85" i="3" s="1"/>
  <c r="I84" i="6" a="1"/>
  <c r="I84" i="6" s="1"/>
  <c r="A6" i="6"/>
  <c r="C84" i="6" a="1"/>
  <c r="C84" i="6" s="1"/>
  <c r="F84" i="6" a="1"/>
  <c r="F84" i="6" s="1"/>
  <c r="D84" i="6" a="1"/>
  <c r="D84" i="6" s="1"/>
  <c r="M84" i="6" a="1"/>
  <c r="M84" i="6" s="1"/>
  <c r="E84" i="6" a="1"/>
  <c r="E84" i="6" s="1"/>
  <c r="L84" i="6" a="1"/>
  <c r="L84" i="6" s="1"/>
  <c r="H84" i="6" a="1"/>
  <c r="H84" i="6" s="1"/>
  <c r="J84" i="6" a="1"/>
  <c r="J84" i="6" s="1"/>
  <c r="K84" i="6" a="1"/>
  <c r="K84" i="6" s="1"/>
  <c r="G84" i="6" a="1"/>
  <c r="G84" i="6" s="1"/>
  <c r="I85" i="3" a="1"/>
  <c r="I85" i="3" s="1"/>
  <c r="J85" i="3" a="1"/>
  <c r="J85" i="3" s="1"/>
  <c r="D85" i="3" a="1"/>
  <c r="D85" i="3" s="1"/>
  <c r="F85" i="3" a="1"/>
  <c r="F85" i="3" s="1"/>
  <c r="H85" i="3" a="1"/>
  <c r="H85" i="3" s="1"/>
  <c r="G85" i="3" a="1"/>
  <c r="G85" i="3" s="1"/>
  <c r="B84" i="6" a="1"/>
  <c r="B84" i="6" s="1"/>
  <c r="C85" i="3" a="1"/>
  <c r="C85" i="3" s="1"/>
  <c r="Q85" i="3" a="1"/>
  <c r="Q85" i="3" s="1"/>
  <c r="K85" i="3" a="1"/>
  <c r="K85" i="3" s="1"/>
  <c r="R85" i="3" a="1"/>
  <c r="R85" i="3" s="1"/>
  <c r="E85" i="3" a="1"/>
  <c r="E85" i="3" s="1"/>
  <c r="L85" i="3" a="1"/>
  <c r="L85" i="3" s="1"/>
  <c r="T85" i="3" a="1"/>
  <c r="T85" i="3" s="1"/>
  <c r="M85" i="3" a="1"/>
  <c r="M85" i="3" s="1"/>
  <c r="P85" i="3" a="1"/>
  <c r="P85" i="3" s="1"/>
  <c r="O85" i="3" a="1"/>
  <c r="O85" i="3" s="1"/>
  <c r="S85" i="3" a="1"/>
  <c r="S85" i="3" s="1"/>
  <c r="N85" i="3" a="1"/>
  <c r="N85" i="3" s="1"/>
  <c r="U85" i="3" a="1"/>
  <c r="U85" i="3" s="1"/>
  <c r="B86" i="3"/>
  <c r="AD86" i="3" l="1" a="1"/>
  <c r="AD86" i="3" s="1"/>
  <c r="Y86" i="3" a="1"/>
  <c r="Y86" i="3" s="1"/>
  <c r="Z86" i="3" a="1"/>
  <c r="Z86" i="3" s="1"/>
  <c r="AB86" i="3" a="1"/>
  <c r="AB86" i="3" s="1"/>
  <c r="AA86" i="3" a="1"/>
  <c r="AA86" i="3" s="1"/>
  <c r="AC86" i="3" a="1"/>
  <c r="AC86" i="3" s="1"/>
  <c r="X86" i="3" a="1"/>
  <c r="X86" i="3" s="1"/>
  <c r="W86" i="3" a="1"/>
  <c r="W86" i="3" s="1"/>
  <c r="V86" i="3" a="1"/>
  <c r="V86" i="3" s="1"/>
  <c r="I6" i="6" a="1"/>
  <c r="I6" i="6" s="1"/>
  <c r="B6" i="6" a="1"/>
  <c r="B6" i="6" s="1"/>
  <c r="L6" i="6" a="1"/>
  <c r="L6" i="6" s="1"/>
  <c r="F6" i="6" a="1"/>
  <c r="F6" i="6" s="1"/>
  <c r="C6" i="6" a="1"/>
  <c r="C6" i="6" s="1"/>
  <c r="E6" i="6" a="1"/>
  <c r="E6" i="6" s="1"/>
  <c r="G6" i="6" a="1"/>
  <c r="G6" i="6" s="1"/>
  <c r="M6" i="6" a="1"/>
  <c r="M6" i="6" s="1"/>
  <c r="D6" i="6" a="1"/>
  <c r="D6" i="6" s="1"/>
  <c r="K6" i="6" a="1"/>
  <c r="K6" i="6" s="1"/>
  <c r="H6" i="6" a="1"/>
  <c r="H6" i="6" s="1"/>
  <c r="J6" i="6" a="1"/>
  <c r="J6" i="6" s="1"/>
  <c r="I86" i="3" a="1"/>
  <c r="I86" i="3" s="1"/>
  <c r="J86" i="3" a="1"/>
  <c r="J86" i="3" s="1"/>
  <c r="D86" i="3" a="1"/>
  <c r="D86" i="3" s="1"/>
  <c r="F86" i="3" a="1"/>
  <c r="F86" i="3" s="1"/>
  <c r="H86" i="3" a="1"/>
  <c r="H86" i="3" s="1"/>
  <c r="G86" i="3" a="1"/>
  <c r="G86" i="3" s="1"/>
  <c r="C86" i="3" a="1"/>
  <c r="C86" i="3" s="1"/>
  <c r="Q86" i="3" a="1"/>
  <c r="Q86" i="3" s="1"/>
  <c r="K86" i="3" a="1"/>
  <c r="K86" i="3" s="1"/>
  <c r="R86" i="3" a="1"/>
  <c r="R86" i="3" s="1"/>
  <c r="E86" i="3" a="1"/>
  <c r="E86" i="3" s="1"/>
  <c r="L86" i="3" a="1"/>
  <c r="L86" i="3" s="1"/>
  <c r="S86" i="3" a="1"/>
  <c r="S86" i="3" s="1"/>
  <c r="M86" i="3" a="1"/>
  <c r="M86" i="3" s="1"/>
  <c r="O86" i="3" a="1"/>
  <c r="O86" i="3" s="1"/>
  <c r="U86" i="3" a="1"/>
  <c r="U86" i="3" s="1"/>
  <c r="P86" i="3" a="1"/>
  <c r="P86" i="3" s="1"/>
  <c r="N86" i="3" a="1"/>
  <c r="N86" i="3" s="1"/>
  <c r="T86" i="3" a="1"/>
  <c r="T86" i="3" s="1"/>
  <c r="B87" i="3"/>
  <c r="Y87" i="3" l="1" a="1"/>
  <c r="Y87" i="3" s="1"/>
  <c r="Z87" i="3" a="1"/>
  <c r="Z87" i="3" s="1"/>
  <c r="AD87" i="3" a="1"/>
  <c r="AD87" i="3" s="1"/>
  <c r="AA87" i="3" a="1"/>
  <c r="AA87" i="3" s="1"/>
  <c r="AC87" i="3" a="1"/>
  <c r="AC87" i="3" s="1"/>
  <c r="AB87" i="3" a="1"/>
  <c r="AB87" i="3" s="1"/>
  <c r="W87" i="3" a="1"/>
  <c r="W87" i="3" s="1"/>
  <c r="X87" i="3" a="1"/>
  <c r="X87" i="3" s="1"/>
  <c r="V87" i="3" a="1"/>
  <c r="V87" i="3" s="1"/>
  <c r="I87" i="3" a="1"/>
  <c r="I87" i="3" s="1"/>
  <c r="J87" i="3" a="1"/>
  <c r="J87" i="3" s="1"/>
  <c r="D87" i="3" a="1"/>
  <c r="D87" i="3" s="1"/>
  <c r="G87" i="3" a="1"/>
  <c r="G87" i="3" s="1"/>
  <c r="H87" i="3" a="1"/>
  <c r="H87" i="3" s="1"/>
  <c r="F87" i="3" a="1"/>
  <c r="F87" i="3" s="1"/>
  <c r="C87" i="3" a="1"/>
  <c r="C87" i="3" s="1"/>
  <c r="E87" i="3" a="1"/>
  <c r="E87" i="3" s="1"/>
  <c r="K87" i="3" a="1"/>
  <c r="K87" i="3" s="1"/>
  <c r="Q87" i="3" a="1"/>
  <c r="Q87" i="3" s="1"/>
  <c r="R87" i="3" a="1"/>
  <c r="R87" i="3" s="1"/>
  <c r="T87" i="3" a="1"/>
  <c r="T87" i="3" s="1"/>
  <c r="L87" i="3" a="1"/>
  <c r="L87" i="3" s="1"/>
  <c r="S87" i="3" a="1"/>
  <c r="S87" i="3" s="1"/>
  <c r="M87" i="3" a="1"/>
  <c r="M87" i="3" s="1"/>
  <c r="O87" i="3" a="1"/>
  <c r="O87" i="3" s="1"/>
  <c r="U87" i="3" a="1"/>
  <c r="U87" i="3" s="1"/>
  <c r="P87" i="3" a="1"/>
  <c r="P87" i="3" s="1"/>
  <c r="N87" i="3" a="1"/>
  <c r="N87" i="3" s="1"/>
  <c r="B88" i="3"/>
  <c r="AD88" i="3" l="1" a="1"/>
  <c r="AD88" i="3" s="1"/>
  <c r="Y88" i="3" a="1"/>
  <c r="Y88" i="3" s="1"/>
  <c r="Z88" i="3" a="1"/>
  <c r="Z88" i="3" s="1"/>
  <c r="AB88" i="3" a="1"/>
  <c r="AB88" i="3" s="1"/>
  <c r="AA88" i="3" a="1"/>
  <c r="AA88" i="3" s="1"/>
  <c r="AC88" i="3" a="1"/>
  <c r="AC88" i="3" s="1"/>
  <c r="W88" i="3" a="1"/>
  <c r="W88" i="3" s="1"/>
  <c r="X88" i="3" a="1"/>
  <c r="X88" i="3" s="1"/>
  <c r="V88" i="3" a="1"/>
  <c r="V88" i="3" s="1"/>
  <c r="I88" i="3" a="1"/>
  <c r="I88" i="3" s="1"/>
  <c r="J88" i="3" a="1"/>
  <c r="J88" i="3" s="1"/>
  <c r="D88" i="3" a="1"/>
  <c r="D88" i="3" s="1"/>
  <c r="F88" i="3" a="1"/>
  <c r="F88" i="3" s="1"/>
  <c r="H88" i="3" a="1"/>
  <c r="H88" i="3" s="1"/>
  <c r="G88" i="3" a="1"/>
  <c r="G88" i="3" s="1"/>
  <c r="C88" i="3" a="1"/>
  <c r="C88" i="3" s="1"/>
  <c r="K88" i="3" a="1"/>
  <c r="K88" i="3" s="1"/>
  <c r="E88" i="3" a="1"/>
  <c r="E88" i="3" s="1"/>
  <c r="Q88" i="3" a="1"/>
  <c r="Q88" i="3" s="1"/>
  <c r="R88" i="3" a="1"/>
  <c r="R88" i="3" s="1"/>
  <c r="L88" i="3" a="1"/>
  <c r="L88" i="3" s="1"/>
  <c r="T88" i="3" a="1"/>
  <c r="T88" i="3" s="1"/>
  <c r="S88" i="3" a="1"/>
  <c r="S88" i="3" s="1"/>
  <c r="M88" i="3" a="1"/>
  <c r="M88" i="3" s="1"/>
  <c r="P88" i="3" a="1"/>
  <c r="P88" i="3" s="1"/>
  <c r="N88" i="3" a="1"/>
  <c r="N88" i="3" s="1"/>
  <c r="O88" i="3" a="1"/>
  <c r="O88" i="3" s="1"/>
  <c r="U88" i="3" a="1"/>
  <c r="U88" i="3" s="1"/>
  <c r="B89" i="3"/>
  <c r="AD89" i="3" l="1" a="1"/>
  <c r="AD89" i="3" s="1"/>
  <c r="Z89" i="3" a="1"/>
  <c r="Z89" i="3" s="1"/>
  <c r="Y89" i="3" a="1"/>
  <c r="Y89" i="3" s="1"/>
  <c r="AA89" i="3" a="1"/>
  <c r="AA89" i="3" s="1"/>
  <c r="AC89" i="3" a="1"/>
  <c r="AC89" i="3" s="1"/>
  <c r="AB89" i="3" a="1"/>
  <c r="AB89" i="3" s="1"/>
  <c r="X89" i="3" a="1"/>
  <c r="X89" i="3" s="1"/>
  <c r="W89" i="3" a="1"/>
  <c r="W89" i="3" s="1"/>
  <c r="V89" i="3" a="1"/>
  <c r="V89" i="3" s="1"/>
  <c r="I89" i="3" a="1"/>
  <c r="I89" i="3" s="1"/>
  <c r="J89" i="3" a="1"/>
  <c r="J89" i="3" s="1"/>
  <c r="D89" i="3" a="1"/>
  <c r="D89" i="3" s="1"/>
  <c r="G89" i="3" a="1"/>
  <c r="G89" i="3" s="1"/>
  <c r="H89" i="3" a="1"/>
  <c r="H89" i="3" s="1"/>
  <c r="F89" i="3" a="1"/>
  <c r="F89" i="3" s="1"/>
  <c r="C89" i="3" a="1"/>
  <c r="C89" i="3" s="1"/>
  <c r="K89" i="3" a="1"/>
  <c r="K89" i="3" s="1"/>
  <c r="E89" i="3" a="1"/>
  <c r="E89" i="3" s="1"/>
  <c r="Q89" i="3" a="1"/>
  <c r="Q89" i="3" s="1"/>
  <c r="R89" i="3" a="1"/>
  <c r="R89" i="3" s="1"/>
  <c r="L89" i="3" a="1"/>
  <c r="L89" i="3" s="1"/>
  <c r="M89" i="3" a="1"/>
  <c r="M89" i="3" s="1"/>
  <c r="T89" i="3" a="1"/>
  <c r="T89" i="3" s="1"/>
  <c r="O89" i="3" a="1"/>
  <c r="O89" i="3" s="1"/>
  <c r="U89" i="3" a="1"/>
  <c r="U89" i="3" s="1"/>
  <c r="P89" i="3" a="1"/>
  <c r="P89" i="3" s="1"/>
  <c r="S89" i="3" a="1"/>
  <c r="S89" i="3" s="1"/>
  <c r="N89" i="3" a="1"/>
  <c r="N89" i="3" s="1"/>
  <c r="B90" i="3"/>
  <c r="Y90" i="3" l="1" a="1"/>
  <c r="Y90" i="3" s="1"/>
  <c r="AD90" i="3" a="1"/>
  <c r="AD90" i="3" s="1"/>
  <c r="Z90" i="3" a="1"/>
  <c r="Z90" i="3" s="1"/>
  <c r="AA90" i="3" a="1"/>
  <c r="AA90" i="3" s="1"/>
  <c r="AC90" i="3" a="1"/>
  <c r="AC90" i="3" s="1"/>
  <c r="AB90" i="3" a="1"/>
  <c r="AB90" i="3" s="1"/>
  <c r="X90" i="3" a="1"/>
  <c r="X90" i="3" s="1"/>
  <c r="W90" i="3" a="1"/>
  <c r="W90" i="3" s="1"/>
  <c r="V90" i="3" a="1"/>
  <c r="V90" i="3" s="1"/>
  <c r="I90" i="3" a="1"/>
  <c r="I90" i="3" s="1"/>
  <c r="J90" i="3" a="1"/>
  <c r="J90" i="3" s="1"/>
  <c r="D90" i="3" a="1"/>
  <c r="D90" i="3" s="1"/>
  <c r="F90" i="3" a="1"/>
  <c r="F90" i="3" s="1"/>
  <c r="G90" i="3" a="1"/>
  <c r="G90" i="3" s="1"/>
  <c r="H90" i="3" a="1"/>
  <c r="H90" i="3" s="1"/>
  <c r="C90" i="3" a="1"/>
  <c r="C90" i="3" s="1"/>
  <c r="K90" i="3" a="1"/>
  <c r="K90" i="3" s="1"/>
  <c r="Q90" i="3" a="1"/>
  <c r="Q90" i="3" s="1"/>
  <c r="R90" i="3" a="1"/>
  <c r="R90" i="3" s="1"/>
  <c r="E90" i="3" a="1"/>
  <c r="E90" i="3" s="1"/>
  <c r="L90" i="3" a="1"/>
  <c r="L90" i="3" s="1"/>
  <c r="M90" i="3" a="1"/>
  <c r="M90" i="3" s="1"/>
  <c r="T90" i="3" a="1"/>
  <c r="T90" i="3" s="1"/>
  <c r="S90" i="3" a="1"/>
  <c r="S90" i="3" s="1"/>
  <c r="N90" i="3" a="1"/>
  <c r="N90" i="3" s="1"/>
  <c r="O90" i="3" a="1"/>
  <c r="O90" i="3" s="1"/>
  <c r="U90" i="3" a="1"/>
  <c r="U90" i="3" s="1"/>
  <c r="P90" i="3" a="1"/>
  <c r="P90" i="3" s="1"/>
  <c r="B91" i="3"/>
  <c r="AD91" i="3" l="1" a="1"/>
  <c r="AD91" i="3" s="1"/>
  <c r="Y91" i="3" a="1"/>
  <c r="Y91" i="3" s="1"/>
  <c r="Z91" i="3" a="1"/>
  <c r="Z91" i="3" s="1"/>
  <c r="AB91" i="3" a="1"/>
  <c r="AB91" i="3" s="1"/>
  <c r="AA91" i="3" a="1"/>
  <c r="AA91" i="3" s="1"/>
  <c r="AC91" i="3" a="1"/>
  <c r="AC91" i="3" s="1"/>
  <c r="V91" i="3" a="1"/>
  <c r="V91" i="3" s="1"/>
  <c r="W91" i="3" a="1"/>
  <c r="W91" i="3" s="1"/>
  <c r="X91" i="3" a="1"/>
  <c r="X91" i="3" s="1"/>
  <c r="I91" i="3" a="1"/>
  <c r="I91" i="3" s="1"/>
  <c r="J91" i="3" a="1"/>
  <c r="J91" i="3" s="1"/>
  <c r="D91" i="3" a="1"/>
  <c r="D91" i="3" s="1"/>
  <c r="F91" i="3" a="1"/>
  <c r="F91" i="3" s="1"/>
  <c r="H91" i="3" a="1"/>
  <c r="H91" i="3" s="1"/>
  <c r="G91" i="3" a="1"/>
  <c r="G91" i="3" s="1"/>
  <c r="C91" i="3" a="1"/>
  <c r="C91" i="3" s="1"/>
  <c r="K91" i="3" a="1"/>
  <c r="K91" i="3" s="1"/>
  <c r="Q91" i="3" a="1"/>
  <c r="Q91" i="3" s="1"/>
  <c r="R91" i="3" a="1"/>
  <c r="R91" i="3" s="1"/>
  <c r="E91" i="3" a="1"/>
  <c r="E91" i="3" s="1"/>
  <c r="T91" i="3" a="1"/>
  <c r="T91" i="3" s="1"/>
  <c r="L91" i="3" a="1"/>
  <c r="L91" i="3" s="1"/>
  <c r="M91" i="3" a="1"/>
  <c r="M91" i="3" s="1"/>
  <c r="O91" i="3" a="1"/>
  <c r="O91" i="3" s="1"/>
  <c r="P91" i="3" a="1"/>
  <c r="P91" i="3" s="1"/>
  <c r="S91" i="3" a="1"/>
  <c r="S91" i="3" s="1"/>
  <c r="N91" i="3" a="1"/>
  <c r="N91" i="3" s="1"/>
  <c r="U91" i="3" a="1"/>
  <c r="U91" i="3" s="1"/>
  <c r="B92" i="3"/>
  <c r="AD92" i="3" l="1" a="1"/>
  <c r="AD92" i="3" s="1"/>
  <c r="Y92" i="3" a="1"/>
  <c r="Y92" i="3" s="1"/>
  <c r="Z92" i="3" a="1"/>
  <c r="Z92" i="3" s="1"/>
  <c r="AB92" i="3" a="1"/>
  <c r="AB92" i="3" s="1"/>
  <c r="AA92" i="3" a="1"/>
  <c r="AA92" i="3" s="1"/>
  <c r="AC92" i="3" a="1"/>
  <c r="AC92" i="3" s="1"/>
  <c r="X92" i="3" a="1"/>
  <c r="X92" i="3" s="1"/>
  <c r="W92" i="3" a="1"/>
  <c r="W92" i="3" s="1"/>
  <c r="V92" i="3" a="1"/>
  <c r="V92" i="3" s="1"/>
  <c r="I92" i="3" a="1"/>
  <c r="I92" i="3" s="1"/>
  <c r="J92" i="3" a="1"/>
  <c r="J92" i="3" s="1"/>
  <c r="D92" i="3" a="1"/>
  <c r="D92" i="3" s="1"/>
  <c r="F92" i="3" a="1"/>
  <c r="F92" i="3" s="1"/>
  <c r="G92" i="3" a="1"/>
  <c r="G92" i="3" s="1"/>
  <c r="H92" i="3" a="1"/>
  <c r="H92" i="3" s="1"/>
  <c r="C92" i="3" a="1"/>
  <c r="C92" i="3" s="1"/>
  <c r="Q92" i="3" a="1"/>
  <c r="Q92" i="3" s="1"/>
  <c r="K92" i="3" a="1"/>
  <c r="K92" i="3" s="1"/>
  <c r="E92" i="3" a="1"/>
  <c r="E92" i="3" s="1"/>
  <c r="S92" i="3" a="1"/>
  <c r="S92" i="3" s="1"/>
  <c r="T92" i="3" a="1"/>
  <c r="T92" i="3" s="1"/>
  <c r="R92" i="3" a="1"/>
  <c r="R92" i="3" s="1"/>
  <c r="L92" i="3" a="1"/>
  <c r="L92" i="3" s="1"/>
  <c r="M92" i="3" a="1"/>
  <c r="M92" i="3" s="1"/>
  <c r="P92" i="3" a="1"/>
  <c r="P92" i="3" s="1"/>
  <c r="O92" i="3" a="1"/>
  <c r="O92" i="3" s="1"/>
  <c r="U92" i="3" a="1"/>
  <c r="U92" i="3" s="1"/>
  <c r="N92" i="3" a="1"/>
  <c r="N92" i="3" s="1"/>
  <c r="B93" i="3"/>
  <c r="AD93" i="3" l="1" a="1"/>
  <c r="AD93" i="3" s="1"/>
  <c r="Z93" i="3" a="1"/>
  <c r="Z93" i="3" s="1"/>
  <c r="Y93" i="3" a="1"/>
  <c r="Y93" i="3" s="1"/>
  <c r="AA93" i="3" a="1"/>
  <c r="AA93" i="3" s="1"/>
  <c r="AB93" i="3" a="1"/>
  <c r="AB93" i="3" s="1"/>
  <c r="AC93" i="3" a="1"/>
  <c r="AC93" i="3" s="1"/>
  <c r="W93" i="3" a="1"/>
  <c r="W93" i="3" s="1"/>
  <c r="X93" i="3" a="1"/>
  <c r="X93" i="3" s="1"/>
  <c r="V93" i="3" a="1"/>
  <c r="V93" i="3" s="1"/>
  <c r="I93" i="3" a="1"/>
  <c r="I93" i="3" s="1"/>
  <c r="J93" i="3" a="1"/>
  <c r="J93" i="3" s="1"/>
  <c r="D93" i="3" a="1"/>
  <c r="D93" i="3" s="1"/>
  <c r="F93" i="3" a="1"/>
  <c r="F93" i="3" s="1"/>
  <c r="H93" i="3" a="1"/>
  <c r="H93" i="3" s="1"/>
  <c r="G93" i="3" a="1"/>
  <c r="G93" i="3" s="1"/>
  <c r="C93" i="3" a="1"/>
  <c r="C93" i="3" s="1"/>
  <c r="Q93" i="3" a="1"/>
  <c r="Q93" i="3" s="1"/>
  <c r="K93" i="3" a="1"/>
  <c r="K93" i="3" s="1"/>
  <c r="E93" i="3" a="1"/>
  <c r="E93" i="3" s="1"/>
  <c r="R93" i="3" a="1"/>
  <c r="R93" i="3" s="1"/>
  <c r="M93" i="3" a="1"/>
  <c r="M93" i="3" s="1"/>
  <c r="L93" i="3" a="1"/>
  <c r="L93" i="3" s="1"/>
  <c r="T93" i="3" a="1"/>
  <c r="T93" i="3" s="1"/>
  <c r="S93" i="3" a="1"/>
  <c r="S93" i="3" s="1"/>
  <c r="P93" i="3" a="1"/>
  <c r="P93" i="3" s="1"/>
  <c r="U93" i="3" a="1"/>
  <c r="U93" i="3" s="1"/>
  <c r="N93" i="3" a="1"/>
  <c r="N93" i="3" s="1"/>
  <c r="O93" i="3" a="1"/>
  <c r="O93" i="3" s="1"/>
  <c r="B94" i="3"/>
  <c r="AD94" i="3" l="1" a="1"/>
  <c r="AD94" i="3" s="1"/>
  <c r="Z94" i="3" a="1"/>
  <c r="Z94" i="3" s="1"/>
  <c r="Y94" i="3" a="1"/>
  <c r="Y94" i="3" s="1"/>
  <c r="AC94" i="3" a="1"/>
  <c r="AC94" i="3" s="1"/>
  <c r="AA94" i="3" a="1"/>
  <c r="AA94" i="3" s="1"/>
  <c r="AB94" i="3" a="1"/>
  <c r="AB94" i="3" s="1"/>
  <c r="X94" i="3" a="1"/>
  <c r="X94" i="3" s="1"/>
  <c r="W94" i="3" a="1"/>
  <c r="W94" i="3" s="1"/>
  <c r="V94" i="3" a="1"/>
  <c r="V94" i="3" s="1"/>
  <c r="I94" i="3" a="1"/>
  <c r="I94" i="3" s="1"/>
  <c r="J94" i="3" a="1"/>
  <c r="J94" i="3" s="1"/>
  <c r="D94" i="3" a="1"/>
  <c r="D94" i="3" s="1"/>
  <c r="H94" i="3" a="1"/>
  <c r="H94" i="3" s="1"/>
  <c r="G94" i="3" a="1"/>
  <c r="G94" i="3" s="1"/>
  <c r="F94" i="3" a="1"/>
  <c r="F94" i="3" s="1"/>
  <c r="C94" i="3" a="1"/>
  <c r="C94" i="3" s="1"/>
  <c r="K94" i="3" a="1"/>
  <c r="K94" i="3" s="1"/>
  <c r="Q94" i="3" a="1"/>
  <c r="Q94" i="3" s="1"/>
  <c r="R94" i="3" a="1"/>
  <c r="R94" i="3" s="1"/>
  <c r="E94" i="3" a="1"/>
  <c r="E94" i="3" s="1"/>
  <c r="S94" i="3" a="1"/>
  <c r="S94" i="3" s="1"/>
  <c r="T94" i="3" a="1"/>
  <c r="T94" i="3" s="1"/>
  <c r="L94" i="3" a="1"/>
  <c r="L94" i="3" s="1"/>
  <c r="U94" i="3" a="1"/>
  <c r="U94" i="3" s="1"/>
  <c r="N94" i="3" a="1"/>
  <c r="N94" i="3" s="1"/>
  <c r="P94" i="3" a="1"/>
  <c r="P94" i="3" s="1"/>
  <c r="M94" i="3" a="1"/>
  <c r="M94" i="3" s="1"/>
  <c r="O94" i="3" a="1"/>
  <c r="O94" i="3" s="1"/>
  <c r="B95" i="3"/>
  <c r="Y95" i="3" l="1" a="1"/>
  <c r="Y95" i="3" s="1"/>
  <c r="AD95" i="3" a="1"/>
  <c r="AD95" i="3" s="1"/>
  <c r="Z95" i="3" a="1"/>
  <c r="Z95" i="3" s="1"/>
  <c r="AA95" i="3" a="1"/>
  <c r="AA95" i="3" s="1"/>
  <c r="AB95" i="3" a="1"/>
  <c r="AB95" i="3" s="1"/>
  <c r="AC95" i="3" a="1"/>
  <c r="AC95" i="3" s="1"/>
  <c r="W95" i="3" a="1"/>
  <c r="W95" i="3" s="1"/>
  <c r="X95" i="3" a="1"/>
  <c r="X95" i="3" s="1"/>
  <c r="V95" i="3" a="1"/>
  <c r="V95" i="3" s="1"/>
  <c r="I95" i="3" a="1"/>
  <c r="I95" i="3" s="1"/>
  <c r="J95" i="3" a="1"/>
  <c r="J95" i="3" s="1"/>
  <c r="D95" i="3" a="1"/>
  <c r="D95" i="3" s="1"/>
  <c r="G95" i="3" a="1"/>
  <c r="G95" i="3" s="1"/>
  <c r="F95" i="3" a="1"/>
  <c r="F95" i="3" s="1"/>
  <c r="H95" i="3" a="1"/>
  <c r="H95" i="3" s="1"/>
  <c r="C95" i="3" a="1"/>
  <c r="C95" i="3" s="1"/>
  <c r="E95" i="3" a="1"/>
  <c r="E95" i="3" s="1"/>
  <c r="K95" i="3" a="1"/>
  <c r="K95" i="3" s="1"/>
  <c r="Q95" i="3" a="1"/>
  <c r="Q95" i="3" s="1"/>
  <c r="R95" i="3" a="1"/>
  <c r="R95" i="3" s="1"/>
  <c r="M95" i="3" a="1"/>
  <c r="M95" i="3" s="1"/>
  <c r="L95" i="3" a="1"/>
  <c r="L95" i="3" s="1"/>
  <c r="S95" i="3" a="1"/>
  <c r="S95" i="3" s="1"/>
  <c r="U95" i="3" a="1"/>
  <c r="U95" i="3" s="1"/>
  <c r="N95" i="3" a="1"/>
  <c r="N95" i="3" s="1"/>
  <c r="O95" i="3" a="1"/>
  <c r="O95" i="3" s="1"/>
  <c r="T95" i="3" a="1"/>
  <c r="T95" i="3" s="1"/>
  <c r="P95" i="3" a="1"/>
  <c r="P95" i="3" s="1"/>
  <c r="B96" i="3"/>
  <c r="AD96" i="3" l="1" a="1"/>
  <c r="AD96" i="3" s="1"/>
  <c r="Z96" i="3" a="1"/>
  <c r="Z96" i="3" s="1"/>
  <c r="Y96" i="3" a="1"/>
  <c r="Y96" i="3" s="1"/>
  <c r="AC96" i="3" a="1"/>
  <c r="AC96" i="3" s="1"/>
  <c r="AA96" i="3" a="1"/>
  <c r="AA96" i="3" s="1"/>
  <c r="AB96" i="3" a="1"/>
  <c r="AB96" i="3" s="1"/>
  <c r="X96" i="3" a="1"/>
  <c r="X96" i="3" s="1"/>
  <c r="W96" i="3" a="1"/>
  <c r="W96" i="3" s="1"/>
  <c r="V96" i="3" a="1"/>
  <c r="V96" i="3" s="1"/>
  <c r="I96" i="3" a="1"/>
  <c r="I96" i="3" s="1"/>
  <c r="J96" i="3" a="1"/>
  <c r="J96" i="3" s="1"/>
  <c r="D96" i="3" a="1"/>
  <c r="D96" i="3" s="1"/>
  <c r="F96" i="3" a="1"/>
  <c r="F96" i="3" s="1"/>
  <c r="H96" i="3" a="1"/>
  <c r="H96" i="3" s="1"/>
  <c r="G96" i="3" a="1"/>
  <c r="G96" i="3" s="1"/>
  <c r="C96" i="3" a="1"/>
  <c r="C96" i="3" s="1"/>
  <c r="E96" i="3" a="1"/>
  <c r="E96" i="3" s="1"/>
  <c r="Q96" i="3" a="1"/>
  <c r="Q96" i="3" s="1"/>
  <c r="R96" i="3" a="1"/>
  <c r="R96" i="3" s="1"/>
  <c r="K96" i="3" a="1"/>
  <c r="K96" i="3" s="1"/>
  <c r="T96" i="3" a="1"/>
  <c r="T96" i="3" s="1"/>
  <c r="M96" i="3" a="1"/>
  <c r="M96" i="3" s="1"/>
  <c r="L96" i="3" a="1"/>
  <c r="L96" i="3" s="1"/>
  <c r="S96" i="3" a="1"/>
  <c r="S96" i="3" s="1"/>
  <c r="P96" i="3" a="1"/>
  <c r="P96" i="3" s="1"/>
  <c r="U96" i="3" a="1"/>
  <c r="U96" i="3" s="1"/>
  <c r="O96" i="3" a="1"/>
  <c r="O96" i="3" s="1"/>
  <c r="N96" i="3" a="1"/>
  <c r="N96" i="3" s="1"/>
  <c r="B97" i="3"/>
  <c r="AD97" i="3" l="1" a="1"/>
  <c r="AD97" i="3" s="1"/>
  <c r="Y97" i="3" a="1"/>
  <c r="Y97" i="3" s="1"/>
  <c r="Z97" i="3" a="1"/>
  <c r="Z97" i="3" s="1"/>
  <c r="AA97" i="3" a="1"/>
  <c r="AA97" i="3" s="1"/>
  <c r="AC97" i="3" a="1"/>
  <c r="AC97" i="3" s="1"/>
  <c r="AB97" i="3" a="1"/>
  <c r="AB97" i="3" s="1"/>
  <c r="X97" i="3" a="1"/>
  <c r="X97" i="3" s="1"/>
  <c r="W97" i="3" a="1"/>
  <c r="W97" i="3" s="1"/>
  <c r="V97" i="3" a="1"/>
  <c r="V97" i="3" s="1"/>
  <c r="I97" i="3" a="1"/>
  <c r="I97" i="3" s="1"/>
  <c r="J97" i="3" a="1"/>
  <c r="J97" i="3" s="1"/>
  <c r="D97" i="3" a="1"/>
  <c r="D97" i="3" s="1"/>
  <c r="F97" i="3" a="1"/>
  <c r="F97" i="3" s="1"/>
  <c r="H97" i="3" a="1"/>
  <c r="H97" i="3" s="1"/>
  <c r="G97" i="3" a="1"/>
  <c r="G97" i="3" s="1"/>
  <c r="C97" i="3" a="1"/>
  <c r="C97" i="3" s="1"/>
  <c r="E97" i="3" a="1"/>
  <c r="E97" i="3" s="1"/>
  <c r="Q97" i="3" a="1"/>
  <c r="Q97" i="3" s="1"/>
  <c r="R97" i="3" a="1"/>
  <c r="R97" i="3" s="1"/>
  <c r="K97" i="3" a="1"/>
  <c r="K97" i="3" s="1"/>
  <c r="T97" i="3" a="1"/>
  <c r="T97" i="3" s="1"/>
  <c r="L97" i="3" a="1"/>
  <c r="L97" i="3" s="1"/>
  <c r="S97" i="3" a="1"/>
  <c r="S97" i="3" s="1"/>
  <c r="M97" i="3" a="1"/>
  <c r="M97" i="3" s="1"/>
  <c r="O97" i="3" a="1"/>
  <c r="O97" i="3" s="1"/>
  <c r="P97" i="3" a="1"/>
  <c r="P97" i="3" s="1"/>
  <c r="N97" i="3" a="1"/>
  <c r="N97" i="3" s="1"/>
  <c r="U97" i="3" a="1"/>
  <c r="U97" i="3" s="1"/>
  <c r="B98" i="3"/>
  <c r="AD98" i="3" l="1" a="1"/>
  <c r="AD98" i="3" s="1"/>
  <c r="Z98" i="3" a="1"/>
  <c r="Z98" i="3" s="1"/>
  <c r="Y98" i="3" a="1"/>
  <c r="Y98" i="3" s="1"/>
  <c r="AB98" i="3" a="1"/>
  <c r="AB98" i="3" s="1"/>
  <c r="AA98" i="3" a="1"/>
  <c r="AA98" i="3" s="1"/>
  <c r="AC98" i="3" a="1"/>
  <c r="AC98" i="3" s="1"/>
  <c r="X98" i="3" a="1"/>
  <c r="X98" i="3" s="1"/>
  <c r="V98" i="3" a="1"/>
  <c r="V98" i="3" s="1"/>
  <c r="W98" i="3" a="1"/>
  <c r="W98" i="3" s="1"/>
  <c r="I98" i="3" a="1"/>
  <c r="I98" i="3" s="1"/>
  <c r="J98" i="3" a="1"/>
  <c r="J98" i="3" s="1"/>
  <c r="D98" i="3" a="1"/>
  <c r="D98" i="3" s="1"/>
  <c r="H98" i="3" a="1"/>
  <c r="H98" i="3" s="1"/>
  <c r="G98" i="3" a="1"/>
  <c r="G98" i="3" s="1"/>
  <c r="F98" i="3" a="1"/>
  <c r="F98" i="3" s="1"/>
  <c r="C98" i="3" a="1"/>
  <c r="C98" i="3" s="1"/>
  <c r="Q98" i="3" a="1"/>
  <c r="Q98" i="3" s="1"/>
  <c r="E98" i="3" a="1"/>
  <c r="E98" i="3" s="1"/>
  <c r="K98" i="3" a="1"/>
  <c r="K98" i="3" s="1"/>
  <c r="R98" i="3" a="1"/>
  <c r="R98" i="3" s="1"/>
  <c r="S98" i="3" a="1"/>
  <c r="S98" i="3" s="1"/>
  <c r="L98" i="3" a="1"/>
  <c r="L98" i="3" s="1"/>
  <c r="T98" i="3" a="1"/>
  <c r="T98" i="3" s="1"/>
  <c r="N98" i="3" a="1"/>
  <c r="N98" i="3" s="1"/>
  <c r="O98" i="3" a="1"/>
  <c r="O98" i="3" s="1"/>
  <c r="M98" i="3" a="1"/>
  <c r="M98" i="3" s="1"/>
  <c r="U98" i="3" a="1"/>
  <c r="U98" i="3" s="1"/>
  <c r="P98" i="3" a="1"/>
  <c r="P98" i="3" s="1"/>
  <c r="B99" i="3"/>
  <c r="Y99" i="3" l="1" a="1"/>
  <c r="Y99" i="3" s="1"/>
  <c r="AD99" i="3" a="1"/>
  <c r="AD99" i="3" s="1"/>
  <c r="Z99" i="3" a="1"/>
  <c r="Z99" i="3" s="1"/>
  <c r="AA99" i="3" a="1"/>
  <c r="AA99" i="3" s="1"/>
  <c r="AB99" i="3" a="1"/>
  <c r="AB99" i="3" s="1"/>
  <c r="AC99" i="3" a="1"/>
  <c r="AC99" i="3" s="1"/>
  <c r="W99" i="3" a="1"/>
  <c r="W99" i="3" s="1"/>
  <c r="X99" i="3" a="1"/>
  <c r="X99" i="3" s="1"/>
  <c r="V99" i="3" a="1"/>
  <c r="V99" i="3" s="1"/>
  <c r="I99" i="3" a="1"/>
  <c r="I99" i="3" s="1"/>
  <c r="J99" i="3" a="1"/>
  <c r="J99" i="3" s="1"/>
  <c r="D99" i="3" a="1"/>
  <c r="D99" i="3" s="1"/>
  <c r="H99" i="3" a="1"/>
  <c r="H99" i="3" s="1"/>
  <c r="F99" i="3" a="1"/>
  <c r="F99" i="3" s="1"/>
  <c r="G99" i="3" a="1"/>
  <c r="G99" i="3" s="1"/>
  <c r="C99" i="3" a="1"/>
  <c r="C99" i="3" s="1"/>
  <c r="Q99" i="3" a="1"/>
  <c r="Q99" i="3" s="1"/>
  <c r="K99" i="3" a="1"/>
  <c r="K99" i="3" s="1"/>
  <c r="E99" i="3" a="1"/>
  <c r="E99" i="3" s="1"/>
  <c r="R99" i="3" a="1"/>
  <c r="R99" i="3" s="1"/>
  <c r="M99" i="3" a="1"/>
  <c r="M99" i="3" s="1"/>
  <c r="L99" i="3" a="1"/>
  <c r="L99" i="3" s="1"/>
  <c r="U99" i="3" a="1"/>
  <c r="U99" i="3" s="1"/>
  <c r="N99" i="3" a="1"/>
  <c r="N99" i="3" s="1"/>
  <c r="O99" i="3" a="1"/>
  <c r="O99" i="3" s="1"/>
  <c r="S99" i="3" a="1"/>
  <c r="S99" i="3" s="1"/>
  <c r="P99" i="3" a="1"/>
  <c r="P99" i="3" s="1"/>
  <c r="T99" i="3" a="1"/>
  <c r="T99" i="3" s="1"/>
  <c r="B100" i="3"/>
  <c r="AD100" i="3" l="1" a="1"/>
  <c r="AD100" i="3" s="1"/>
  <c r="Y100" i="3" a="1"/>
  <c r="Y100" i="3" s="1"/>
  <c r="Z100" i="3" a="1"/>
  <c r="Z100" i="3" s="1"/>
  <c r="AB100" i="3" a="1"/>
  <c r="AB100" i="3" s="1"/>
  <c r="AC100" i="3" a="1"/>
  <c r="AC100" i="3" s="1"/>
  <c r="AA100" i="3" a="1"/>
  <c r="AA100" i="3" s="1"/>
  <c r="X100" i="3" a="1"/>
  <c r="X100" i="3" s="1"/>
  <c r="W100" i="3" a="1"/>
  <c r="W100" i="3" s="1"/>
  <c r="V100" i="3" a="1"/>
  <c r="V100" i="3" s="1"/>
  <c r="I100" i="3" a="1"/>
  <c r="I100" i="3" s="1"/>
  <c r="J100" i="3" a="1"/>
  <c r="J100" i="3" s="1"/>
  <c r="D100" i="3" a="1"/>
  <c r="D100" i="3" s="1"/>
  <c r="F100" i="3" a="1"/>
  <c r="F100" i="3" s="1"/>
  <c r="H100" i="3" a="1"/>
  <c r="H100" i="3" s="1"/>
  <c r="G100" i="3" a="1"/>
  <c r="G100" i="3" s="1"/>
  <c r="C100" i="3" a="1"/>
  <c r="C100" i="3" s="1"/>
  <c r="K100" i="3" a="1"/>
  <c r="K100" i="3" s="1"/>
  <c r="E100" i="3" a="1"/>
  <c r="E100" i="3" s="1"/>
  <c r="Q100" i="3" a="1"/>
  <c r="Q100" i="3" s="1"/>
  <c r="R100" i="3" a="1"/>
  <c r="R100" i="3" s="1"/>
  <c r="S100" i="3" a="1"/>
  <c r="S100" i="3" s="1"/>
  <c r="T100" i="3" a="1"/>
  <c r="T100" i="3" s="1"/>
  <c r="M100" i="3" a="1"/>
  <c r="M100" i="3" s="1"/>
  <c r="L100" i="3" a="1"/>
  <c r="L100" i="3" s="1"/>
  <c r="P100" i="3" a="1"/>
  <c r="P100" i="3" s="1"/>
  <c r="N100" i="3" a="1"/>
  <c r="N100" i="3" s="1"/>
  <c r="O100" i="3" a="1"/>
  <c r="O100" i="3" s="1"/>
  <c r="U100" i="3" a="1"/>
  <c r="U100" i="3" s="1"/>
  <c r="B101" i="3"/>
  <c r="AD101" i="3" l="1" a="1"/>
  <c r="AD101" i="3" s="1"/>
  <c r="Y101" i="3" a="1"/>
  <c r="Y101" i="3" s="1"/>
  <c r="AB101" i="3" a="1"/>
  <c r="AB101" i="3" s="1"/>
  <c r="AC101" i="3" a="1"/>
  <c r="AC101" i="3" s="1"/>
  <c r="Z101" i="3" a="1"/>
  <c r="Z101" i="3" s="1"/>
  <c r="AA101" i="3" a="1"/>
  <c r="AA101" i="3" s="1"/>
  <c r="W101" i="3" a="1"/>
  <c r="W101" i="3" s="1"/>
  <c r="X101" i="3" a="1"/>
  <c r="X101" i="3" s="1"/>
  <c r="V101" i="3" a="1"/>
  <c r="V101" i="3" s="1"/>
  <c r="I101" i="3" a="1"/>
  <c r="I101" i="3" s="1"/>
  <c r="J101" i="3" a="1"/>
  <c r="J101" i="3" s="1"/>
  <c r="D101" i="3" a="1"/>
  <c r="D101" i="3" s="1"/>
  <c r="H101" i="3" a="1"/>
  <c r="H101" i="3" s="1"/>
  <c r="F101" i="3" a="1"/>
  <c r="F101" i="3" s="1"/>
  <c r="G101" i="3" a="1"/>
  <c r="G101" i="3" s="1"/>
  <c r="C101" i="3" a="1"/>
  <c r="C101" i="3" s="1"/>
  <c r="Q101" i="3" a="1"/>
  <c r="Q101" i="3" s="1"/>
  <c r="K101" i="3" a="1"/>
  <c r="K101" i="3" s="1"/>
  <c r="R101" i="3" a="1"/>
  <c r="R101" i="3" s="1"/>
  <c r="E101" i="3" a="1"/>
  <c r="E101" i="3" s="1"/>
  <c r="S101" i="3" a="1"/>
  <c r="S101" i="3" s="1"/>
  <c r="T101" i="3" a="1"/>
  <c r="T101" i="3" s="1"/>
  <c r="L101" i="3" a="1"/>
  <c r="L101" i="3" s="1"/>
  <c r="P101" i="3" a="1"/>
  <c r="P101" i="3" s="1"/>
  <c r="N101" i="3" a="1"/>
  <c r="N101" i="3" s="1"/>
  <c r="M101" i="3" a="1"/>
  <c r="M101" i="3" s="1"/>
  <c r="O101" i="3" a="1"/>
  <c r="O101" i="3" s="1"/>
  <c r="U101" i="3" a="1"/>
  <c r="U101" i="3" s="1"/>
  <c r="B102" i="3"/>
  <c r="AD102" i="3" l="1" a="1"/>
  <c r="AD102" i="3" s="1"/>
  <c r="Y102" i="3" a="1"/>
  <c r="Y102" i="3" s="1"/>
  <c r="Z102" i="3" a="1"/>
  <c r="Z102" i="3" s="1"/>
  <c r="AA102" i="3" a="1"/>
  <c r="AA102" i="3" s="1"/>
  <c r="AC102" i="3" a="1"/>
  <c r="AC102" i="3" s="1"/>
  <c r="AB102" i="3" a="1"/>
  <c r="AB102" i="3" s="1"/>
  <c r="X102" i="3" a="1"/>
  <c r="X102" i="3" s="1"/>
  <c r="V102" i="3" a="1"/>
  <c r="V102" i="3" s="1"/>
  <c r="W102" i="3" a="1"/>
  <c r="W102" i="3" s="1"/>
  <c r="I102" i="3" a="1"/>
  <c r="I102" i="3" s="1"/>
  <c r="J102" i="3" a="1"/>
  <c r="J102" i="3" s="1"/>
  <c r="D102" i="3" a="1"/>
  <c r="D102" i="3" s="1"/>
  <c r="F102" i="3" a="1"/>
  <c r="F102" i="3" s="1"/>
  <c r="H102" i="3" a="1"/>
  <c r="H102" i="3" s="1"/>
  <c r="G102" i="3" a="1"/>
  <c r="G102" i="3" s="1"/>
  <c r="C102" i="3" a="1"/>
  <c r="C102" i="3" s="1"/>
  <c r="E102" i="3" a="1"/>
  <c r="E102" i="3" s="1"/>
  <c r="R102" i="3" a="1"/>
  <c r="R102" i="3" s="1"/>
  <c r="Q102" i="3" a="1"/>
  <c r="Q102" i="3" s="1"/>
  <c r="K102" i="3" a="1"/>
  <c r="K102" i="3" s="1"/>
  <c r="L102" i="3" a="1"/>
  <c r="L102" i="3" s="1"/>
  <c r="S102" i="3" a="1"/>
  <c r="S102" i="3" s="1"/>
  <c r="T102" i="3" a="1"/>
  <c r="T102" i="3" s="1"/>
  <c r="M102" i="3" a="1"/>
  <c r="M102" i="3" s="1"/>
  <c r="O102" i="3" a="1"/>
  <c r="O102" i="3" s="1"/>
  <c r="P102" i="3" a="1"/>
  <c r="P102" i="3" s="1"/>
  <c r="U102" i="3" a="1"/>
  <c r="U102" i="3" s="1"/>
  <c r="N102" i="3" a="1"/>
  <c r="N102" i="3" s="1"/>
  <c r="B103" i="3"/>
  <c r="Y103" i="3" l="1" a="1"/>
  <c r="Y103" i="3" s="1"/>
  <c r="AD103" i="3" a="1"/>
  <c r="AD103" i="3" s="1"/>
  <c r="Z103" i="3" a="1"/>
  <c r="Z103" i="3" s="1"/>
  <c r="AA103" i="3" a="1"/>
  <c r="AA103" i="3" s="1"/>
  <c r="AB103" i="3" a="1"/>
  <c r="AB103" i="3" s="1"/>
  <c r="AC103" i="3" a="1"/>
  <c r="AC103" i="3" s="1"/>
  <c r="W103" i="3" a="1"/>
  <c r="W103" i="3" s="1"/>
  <c r="X103" i="3" a="1"/>
  <c r="X103" i="3" s="1"/>
  <c r="V103" i="3" a="1"/>
  <c r="V103" i="3" s="1"/>
  <c r="I103" i="3" a="1"/>
  <c r="I103" i="3" s="1"/>
  <c r="J103" i="3" a="1"/>
  <c r="J103" i="3" s="1"/>
  <c r="D103" i="3" a="1"/>
  <c r="D103" i="3" s="1"/>
  <c r="F103" i="3" a="1"/>
  <c r="F103" i="3" s="1"/>
  <c r="H103" i="3" a="1"/>
  <c r="H103" i="3" s="1"/>
  <c r="G103" i="3" a="1"/>
  <c r="G103" i="3" s="1"/>
  <c r="C103" i="3" a="1"/>
  <c r="C103" i="3" s="1"/>
  <c r="R103" i="3" a="1"/>
  <c r="R103" i="3" s="1"/>
  <c r="K103" i="3" a="1"/>
  <c r="K103" i="3" s="1"/>
  <c r="E103" i="3" a="1"/>
  <c r="E103" i="3" s="1"/>
  <c r="Q103" i="3" a="1"/>
  <c r="Q103" i="3" s="1"/>
  <c r="M103" i="3" a="1"/>
  <c r="M103" i="3" s="1"/>
  <c r="T103" i="3" a="1"/>
  <c r="T103" i="3" s="1"/>
  <c r="L103" i="3" a="1"/>
  <c r="L103" i="3" s="1"/>
  <c r="U103" i="3" a="1"/>
  <c r="U103" i="3" s="1"/>
  <c r="O103" i="3" a="1"/>
  <c r="O103" i="3" s="1"/>
  <c r="P103" i="3" a="1"/>
  <c r="P103" i="3" s="1"/>
  <c r="S103" i="3" a="1"/>
  <c r="S103" i="3" s="1"/>
  <c r="N103" i="3" a="1"/>
  <c r="N103" i="3" s="1"/>
  <c r="B104" i="3"/>
  <c r="AD104" i="3" l="1" a="1"/>
  <c r="AD104" i="3" s="1"/>
  <c r="Y104" i="3" a="1"/>
  <c r="Y104" i="3" s="1"/>
  <c r="Z104" i="3" a="1"/>
  <c r="Z104" i="3" s="1"/>
  <c r="AA104" i="3" a="1"/>
  <c r="AA104" i="3" s="1"/>
  <c r="AC104" i="3" a="1"/>
  <c r="AC104" i="3" s="1"/>
  <c r="AB104" i="3" a="1"/>
  <c r="AB104" i="3" s="1"/>
  <c r="X104" i="3" a="1"/>
  <c r="X104" i="3" s="1"/>
  <c r="V104" i="3" a="1"/>
  <c r="V104" i="3" s="1"/>
  <c r="W104" i="3" a="1"/>
  <c r="W104" i="3" s="1"/>
  <c r="I104" i="3" a="1"/>
  <c r="I104" i="3" s="1"/>
  <c r="J104" i="3" a="1"/>
  <c r="J104" i="3" s="1"/>
  <c r="D104" i="3" a="1"/>
  <c r="D104" i="3" s="1"/>
  <c r="H104" i="3" a="1"/>
  <c r="H104" i="3" s="1"/>
  <c r="F104" i="3" a="1"/>
  <c r="F104" i="3" s="1"/>
  <c r="G104" i="3" a="1"/>
  <c r="G104" i="3" s="1"/>
  <c r="C104" i="3" a="1"/>
  <c r="C104" i="3" s="1"/>
  <c r="Q104" i="3" a="1"/>
  <c r="Q104" i="3" s="1"/>
  <c r="R104" i="3" a="1"/>
  <c r="R104" i="3" s="1"/>
  <c r="E104" i="3" a="1"/>
  <c r="E104" i="3" s="1"/>
  <c r="K104" i="3" a="1"/>
  <c r="K104" i="3" s="1"/>
  <c r="M104" i="3" a="1"/>
  <c r="M104" i="3" s="1"/>
  <c r="S104" i="3" a="1"/>
  <c r="S104" i="3" s="1"/>
  <c r="T104" i="3" a="1"/>
  <c r="T104" i="3" s="1"/>
  <c r="U104" i="3" a="1"/>
  <c r="U104" i="3" s="1"/>
  <c r="N104" i="3" a="1"/>
  <c r="N104" i="3" s="1"/>
  <c r="L104" i="3" a="1"/>
  <c r="L104" i="3" s="1"/>
  <c r="O104" i="3" a="1"/>
  <c r="O104" i="3" s="1"/>
  <c r="P104" i="3" a="1"/>
  <c r="P104" i="3" s="1"/>
  <c r="B105" i="3"/>
  <c r="AD105" i="3" l="1" a="1"/>
  <c r="AD105" i="3" s="1"/>
  <c r="Y105" i="3" a="1"/>
  <c r="Y105" i="3" s="1"/>
  <c r="AA105" i="3" a="1"/>
  <c r="AA105" i="3" s="1"/>
  <c r="AC105" i="3" a="1"/>
  <c r="AC105" i="3" s="1"/>
  <c r="AB105" i="3" a="1"/>
  <c r="AB105" i="3" s="1"/>
  <c r="Z105" i="3" a="1"/>
  <c r="Z105" i="3" s="1"/>
  <c r="X105" i="3" a="1"/>
  <c r="X105" i="3" s="1"/>
  <c r="W105" i="3" a="1"/>
  <c r="W105" i="3" s="1"/>
  <c r="V105" i="3" a="1"/>
  <c r="V105" i="3" s="1"/>
  <c r="I105" i="3" a="1"/>
  <c r="I105" i="3" s="1"/>
  <c r="J105" i="3" a="1"/>
  <c r="J105" i="3" s="1"/>
  <c r="D105" i="3" a="1"/>
  <c r="D105" i="3" s="1"/>
  <c r="H105" i="3" a="1"/>
  <c r="H105" i="3" s="1"/>
  <c r="F105" i="3" a="1"/>
  <c r="F105" i="3" s="1"/>
  <c r="G105" i="3" a="1"/>
  <c r="G105" i="3" s="1"/>
  <c r="C105" i="3" a="1"/>
  <c r="C105" i="3" s="1"/>
  <c r="Q105" i="3" a="1"/>
  <c r="Q105" i="3" s="1"/>
  <c r="K105" i="3" a="1"/>
  <c r="K105" i="3" s="1"/>
  <c r="E105" i="3" a="1"/>
  <c r="E105" i="3" s="1"/>
  <c r="R105" i="3" a="1"/>
  <c r="R105" i="3" s="1"/>
  <c r="M105" i="3" a="1"/>
  <c r="M105" i="3" s="1"/>
  <c r="T105" i="3" a="1"/>
  <c r="T105" i="3" s="1"/>
  <c r="N105" i="3" a="1"/>
  <c r="N105" i="3" s="1"/>
  <c r="L105" i="3" a="1"/>
  <c r="L105" i="3" s="1"/>
  <c r="S105" i="3" a="1"/>
  <c r="S105" i="3" s="1"/>
  <c r="O105" i="3" a="1"/>
  <c r="O105" i="3" s="1"/>
  <c r="U105" i="3" a="1"/>
  <c r="U105" i="3" s="1"/>
  <c r="P105" i="3" a="1"/>
  <c r="P105" i="3" s="1"/>
  <c r="B106" i="3"/>
  <c r="AD106" i="3" l="1" a="1"/>
  <c r="AD106" i="3" s="1"/>
  <c r="Y106" i="3" a="1"/>
  <c r="Y106" i="3" s="1"/>
  <c r="Z106" i="3" a="1"/>
  <c r="Z106" i="3" s="1"/>
  <c r="AA106" i="3" a="1"/>
  <c r="AA106" i="3" s="1"/>
  <c r="AC106" i="3" a="1"/>
  <c r="AC106" i="3" s="1"/>
  <c r="AB106" i="3" a="1"/>
  <c r="AB106" i="3" s="1"/>
  <c r="X106" i="3" a="1"/>
  <c r="X106" i="3" s="1"/>
  <c r="V106" i="3" a="1"/>
  <c r="V106" i="3" s="1"/>
  <c r="W106" i="3" a="1"/>
  <c r="W106" i="3" s="1"/>
  <c r="I106" i="3" a="1"/>
  <c r="I106" i="3" s="1"/>
  <c r="J106" i="3" a="1"/>
  <c r="J106" i="3" s="1"/>
  <c r="D106" i="3" a="1"/>
  <c r="D106" i="3" s="1"/>
  <c r="F106" i="3" a="1"/>
  <c r="F106" i="3" s="1"/>
  <c r="H106" i="3" a="1"/>
  <c r="H106" i="3" s="1"/>
  <c r="G106" i="3" a="1"/>
  <c r="G106" i="3" s="1"/>
  <c r="C106" i="3" a="1"/>
  <c r="C106" i="3" s="1"/>
  <c r="Q106" i="3" a="1"/>
  <c r="Q106" i="3" s="1"/>
  <c r="K106" i="3" a="1"/>
  <c r="K106" i="3" s="1"/>
  <c r="E106" i="3" a="1"/>
  <c r="E106" i="3" s="1"/>
  <c r="R106" i="3" a="1"/>
  <c r="R106" i="3" s="1"/>
  <c r="T106" i="3" a="1"/>
  <c r="T106" i="3" s="1"/>
  <c r="L106" i="3" a="1"/>
  <c r="L106" i="3" s="1"/>
  <c r="S106" i="3" a="1"/>
  <c r="S106" i="3" s="1"/>
  <c r="O106" i="3" a="1"/>
  <c r="O106" i="3" s="1"/>
  <c r="U106" i="3" a="1"/>
  <c r="U106" i="3" s="1"/>
  <c r="P106" i="3" a="1"/>
  <c r="P106" i="3" s="1"/>
  <c r="N106" i="3" a="1"/>
  <c r="N106" i="3" s="1"/>
  <c r="M106" i="3" a="1"/>
  <c r="M106" i="3" s="1"/>
  <c r="B107" i="3"/>
  <c r="Y107" i="3" l="1" a="1"/>
  <c r="Y107" i="3" s="1"/>
  <c r="AD107" i="3" a="1"/>
  <c r="AD107" i="3" s="1"/>
  <c r="Z107" i="3" a="1"/>
  <c r="Z107" i="3" s="1"/>
  <c r="AA107" i="3" a="1"/>
  <c r="AA107" i="3" s="1"/>
  <c r="AB107" i="3" a="1"/>
  <c r="AB107" i="3" s="1"/>
  <c r="AC107" i="3" a="1"/>
  <c r="AC107" i="3" s="1"/>
  <c r="X107" i="3" a="1"/>
  <c r="X107" i="3" s="1"/>
  <c r="V107" i="3" a="1"/>
  <c r="V107" i="3" s="1"/>
  <c r="W107" i="3" a="1"/>
  <c r="W107" i="3" s="1"/>
  <c r="I107" i="3" a="1"/>
  <c r="I107" i="3" s="1"/>
  <c r="J107" i="3" a="1"/>
  <c r="J107" i="3" s="1"/>
  <c r="D107" i="3" a="1"/>
  <c r="D107" i="3" s="1"/>
  <c r="F107" i="3" a="1"/>
  <c r="F107" i="3" s="1"/>
  <c r="G107" i="3" a="1"/>
  <c r="G107" i="3" s="1"/>
  <c r="H107" i="3" a="1"/>
  <c r="H107" i="3" s="1"/>
  <c r="C107" i="3" a="1"/>
  <c r="C107" i="3" s="1"/>
  <c r="E107" i="3" a="1"/>
  <c r="E107" i="3" s="1"/>
  <c r="Q107" i="3" a="1"/>
  <c r="Q107" i="3" s="1"/>
  <c r="K107" i="3" a="1"/>
  <c r="K107" i="3" s="1"/>
  <c r="R107" i="3" a="1"/>
  <c r="R107" i="3" s="1"/>
  <c r="S107" i="3" a="1"/>
  <c r="S107" i="3" s="1"/>
  <c r="T107" i="3" a="1"/>
  <c r="T107" i="3" s="1"/>
  <c r="M107" i="3" a="1"/>
  <c r="M107" i="3" s="1"/>
  <c r="L107" i="3" a="1"/>
  <c r="L107" i="3" s="1"/>
  <c r="N107" i="3" a="1"/>
  <c r="N107" i="3" s="1"/>
  <c r="O107" i="3" a="1"/>
  <c r="O107" i="3" s="1"/>
  <c r="U107" i="3" a="1"/>
  <c r="U107" i="3" s="1"/>
  <c r="P107" i="3" a="1"/>
  <c r="P107" i="3" s="1"/>
  <c r="B108" i="3"/>
  <c r="Y108" i="3" l="1" a="1"/>
  <c r="Y108" i="3" s="1"/>
  <c r="AD108" i="3" a="1"/>
  <c r="AD108" i="3" s="1"/>
  <c r="Z108" i="3" a="1"/>
  <c r="Z108" i="3" s="1"/>
  <c r="AA108" i="3" a="1"/>
  <c r="AA108" i="3" s="1"/>
  <c r="AB108" i="3" a="1"/>
  <c r="AB108" i="3" s="1"/>
  <c r="AC108" i="3" a="1"/>
  <c r="AC108" i="3" s="1"/>
  <c r="X108" i="3" a="1"/>
  <c r="X108" i="3" s="1"/>
  <c r="V108" i="3" a="1"/>
  <c r="V108" i="3" s="1"/>
  <c r="W108" i="3" a="1"/>
  <c r="W108" i="3" s="1"/>
  <c r="I108" i="3" a="1"/>
  <c r="I108" i="3" s="1"/>
  <c r="J108" i="3" a="1"/>
  <c r="J108" i="3" s="1"/>
  <c r="D108" i="3" a="1"/>
  <c r="D108" i="3" s="1"/>
  <c r="H108" i="3" a="1"/>
  <c r="H108" i="3" s="1"/>
  <c r="F108" i="3" a="1"/>
  <c r="F108" i="3" s="1"/>
  <c r="G108" i="3" a="1"/>
  <c r="G108" i="3" s="1"/>
  <c r="C108" i="3" a="1"/>
  <c r="C108" i="3" s="1"/>
  <c r="Q108" i="3" a="1"/>
  <c r="Q108" i="3" s="1"/>
  <c r="K108" i="3" a="1"/>
  <c r="K108" i="3" s="1"/>
  <c r="E108" i="3" a="1"/>
  <c r="E108" i="3" s="1"/>
  <c r="S108" i="3" a="1"/>
  <c r="S108" i="3" s="1"/>
  <c r="M108" i="3" a="1"/>
  <c r="M108" i="3" s="1"/>
  <c r="R108" i="3" a="1"/>
  <c r="R108" i="3" s="1"/>
  <c r="T108" i="3" a="1"/>
  <c r="T108" i="3" s="1"/>
  <c r="U108" i="3" a="1"/>
  <c r="U108" i="3" s="1"/>
  <c r="N108" i="3" a="1"/>
  <c r="N108" i="3" s="1"/>
  <c r="P108" i="3" a="1"/>
  <c r="P108" i="3" s="1"/>
  <c r="L108" i="3" a="1"/>
  <c r="L108" i="3" s="1"/>
  <c r="O108" i="3" a="1"/>
  <c r="O108" i="3" s="1"/>
  <c r="B109" i="3"/>
  <c r="Y109" i="3" l="1" a="1"/>
  <c r="Y109" i="3" s="1"/>
  <c r="AD109" i="3" a="1"/>
  <c r="AD109" i="3" s="1"/>
  <c r="Z109" i="3" a="1"/>
  <c r="Z109" i="3" s="1"/>
  <c r="AA109" i="3" a="1"/>
  <c r="AA109" i="3" s="1"/>
  <c r="AB109" i="3" a="1"/>
  <c r="AB109" i="3" s="1"/>
  <c r="AC109" i="3" a="1"/>
  <c r="AC109" i="3" s="1"/>
  <c r="X109" i="3" a="1"/>
  <c r="X109" i="3" s="1"/>
  <c r="W109" i="3" a="1"/>
  <c r="W109" i="3" s="1"/>
  <c r="V109" i="3" a="1"/>
  <c r="V109" i="3" s="1"/>
  <c r="I109" i="3" a="1"/>
  <c r="I109" i="3" s="1"/>
  <c r="J109" i="3" a="1"/>
  <c r="J109" i="3" s="1"/>
  <c r="D109" i="3" a="1"/>
  <c r="D109" i="3" s="1"/>
  <c r="H109" i="3" a="1"/>
  <c r="H109" i="3" s="1"/>
  <c r="G109" i="3" a="1"/>
  <c r="G109" i="3" s="1"/>
  <c r="F109" i="3" a="1"/>
  <c r="F109" i="3" s="1"/>
  <c r="C109" i="3" a="1"/>
  <c r="C109" i="3" s="1"/>
  <c r="Q109" i="3" a="1"/>
  <c r="Q109" i="3" s="1"/>
  <c r="E109" i="3" a="1"/>
  <c r="E109" i="3" s="1"/>
  <c r="R109" i="3" a="1"/>
  <c r="R109" i="3" s="1"/>
  <c r="K109" i="3" a="1"/>
  <c r="K109" i="3" s="1"/>
  <c r="S109" i="3" a="1"/>
  <c r="S109" i="3" s="1"/>
  <c r="M109" i="3" a="1"/>
  <c r="M109" i="3" s="1"/>
  <c r="T109" i="3" a="1"/>
  <c r="T109" i="3" s="1"/>
  <c r="L109" i="3" a="1"/>
  <c r="L109" i="3" s="1"/>
  <c r="O109" i="3" a="1"/>
  <c r="O109" i="3" s="1"/>
  <c r="N109" i="3" a="1"/>
  <c r="N109" i="3" s="1"/>
  <c r="P109" i="3" a="1"/>
  <c r="P109" i="3" s="1"/>
  <c r="U109" i="3" a="1"/>
  <c r="U109" i="3" s="1"/>
  <c r="B110" i="3"/>
  <c r="Y110" i="3" l="1" a="1"/>
  <c r="Y110" i="3" s="1"/>
  <c r="Z110" i="3" a="1"/>
  <c r="Z110" i="3" s="1"/>
  <c r="AD110" i="3" a="1"/>
  <c r="AD110" i="3" s="1"/>
  <c r="AC110" i="3" a="1"/>
  <c r="AC110" i="3" s="1"/>
  <c r="AB110" i="3" a="1"/>
  <c r="AB110" i="3" s="1"/>
  <c r="AA110" i="3" a="1"/>
  <c r="AA110" i="3" s="1"/>
  <c r="X110" i="3" a="1"/>
  <c r="X110" i="3" s="1"/>
  <c r="V110" i="3" a="1"/>
  <c r="V110" i="3" s="1"/>
  <c r="W110" i="3" a="1"/>
  <c r="W110" i="3" s="1"/>
  <c r="I110" i="3" a="1"/>
  <c r="I110" i="3" s="1"/>
  <c r="J110" i="3" a="1"/>
  <c r="J110" i="3" s="1"/>
  <c r="D110" i="3" a="1"/>
  <c r="D110" i="3" s="1"/>
  <c r="F110" i="3" a="1"/>
  <c r="F110" i="3" s="1"/>
  <c r="H110" i="3" a="1"/>
  <c r="H110" i="3" s="1"/>
  <c r="G110" i="3" a="1"/>
  <c r="G110" i="3" s="1"/>
  <c r="C110" i="3" a="1"/>
  <c r="C110" i="3" s="1"/>
  <c r="E110" i="3" a="1"/>
  <c r="E110" i="3" s="1"/>
  <c r="K110" i="3" a="1"/>
  <c r="K110" i="3" s="1"/>
  <c r="R110" i="3" a="1"/>
  <c r="R110" i="3" s="1"/>
  <c r="Q110" i="3" a="1"/>
  <c r="Q110" i="3" s="1"/>
  <c r="M110" i="3" a="1"/>
  <c r="M110" i="3" s="1"/>
  <c r="S110" i="3" a="1"/>
  <c r="S110" i="3" s="1"/>
  <c r="T110" i="3" a="1"/>
  <c r="T110" i="3" s="1"/>
  <c r="L110" i="3" a="1"/>
  <c r="L110" i="3" s="1"/>
  <c r="P110" i="3" a="1"/>
  <c r="P110" i="3" s="1"/>
  <c r="O110" i="3" a="1"/>
  <c r="O110" i="3" s="1"/>
  <c r="N110" i="3" a="1"/>
  <c r="N110" i="3" s="1"/>
  <c r="U110" i="3" a="1"/>
  <c r="U110" i="3" s="1"/>
  <c r="B111" i="3"/>
  <c r="AD111" i="3" l="1" a="1"/>
  <c r="AD111" i="3" s="1"/>
  <c r="Y111" i="3" a="1"/>
  <c r="Y111" i="3" s="1"/>
  <c r="Z111" i="3" a="1"/>
  <c r="Z111" i="3" s="1"/>
  <c r="AA111" i="3" a="1"/>
  <c r="AA111" i="3" s="1"/>
  <c r="AB111" i="3" a="1"/>
  <c r="AB111" i="3" s="1"/>
  <c r="AC111" i="3" a="1"/>
  <c r="AC111" i="3" s="1"/>
  <c r="V111" i="3" a="1"/>
  <c r="V111" i="3" s="1"/>
  <c r="W111" i="3" a="1"/>
  <c r="W111" i="3" s="1"/>
  <c r="X111" i="3" a="1"/>
  <c r="X111" i="3" s="1"/>
  <c r="I111" i="3" a="1"/>
  <c r="I111" i="3" s="1"/>
  <c r="J111" i="3" a="1"/>
  <c r="J111" i="3" s="1"/>
  <c r="D111" i="3" a="1"/>
  <c r="D111" i="3" s="1"/>
  <c r="H111" i="3" a="1"/>
  <c r="H111" i="3" s="1"/>
  <c r="F111" i="3" a="1"/>
  <c r="F111" i="3" s="1"/>
  <c r="G111" i="3" a="1"/>
  <c r="G111" i="3" s="1"/>
  <c r="C111" i="3" a="1"/>
  <c r="C111" i="3" s="1"/>
  <c r="K111" i="3" a="1"/>
  <c r="K111" i="3" s="1"/>
  <c r="Q111" i="3" a="1"/>
  <c r="Q111" i="3" s="1"/>
  <c r="E111" i="3" a="1"/>
  <c r="E111" i="3" s="1"/>
  <c r="R111" i="3" a="1"/>
  <c r="R111" i="3" s="1"/>
  <c r="L111" i="3" a="1"/>
  <c r="L111" i="3" s="1"/>
  <c r="M111" i="3" a="1"/>
  <c r="M111" i="3" s="1"/>
  <c r="S111" i="3" a="1"/>
  <c r="S111" i="3" s="1"/>
  <c r="T111" i="3" a="1"/>
  <c r="T111" i="3" s="1"/>
  <c r="U111" i="3" a="1"/>
  <c r="U111" i="3" s="1"/>
  <c r="O111" i="3" a="1"/>
  <c r="O111" i="3" s="1"/>
  <c r="P111" i="3" a="1"/>
  <c r="P111" i="3" s="1"/>
  <c r="N111" i="3" a="1"/>
  <c r="N111" i="3" s="1"/>
  <c r="B112" i="3"/>
  <c r="AD112" i="3" l="1" a="1"/>
  <c r="AD112" i="3" s="1"/>
  <c r="Y112" i="3" a="1"/>
  <c r="Y112" i="3" s="1"/>
  <c r="Z112" i="3" a="1"/>
  <c r="Z112" i="3" s="1"/>
  <c r="AB112" i="3" a="1"/>
  <c r="AB112" i="3" s="1"/>
  <c r="AA112" i="3" a="1"/>
  <c r="AA112" i="3" s="1"/>
  <c r="AC112" i="3" a="1"/>
  <c r="AC112" i="3" s="1"/>
  <c r="X112" i="3" a="1"/>
  <c r="X112" i="3" s="1"/>
  <c r="W112" i="3" a="1"/>
  <c r="W112" i="3" s="1"/>
  <c r="V112" i="3" a="1"/>
  <c r="V112" i="3" s="1"/>
  <c r="I112" i="3" a="1"/>
  <c r="I112" i="3" s="1"/>
  <c r="J112" i="3" a="1"/>
  <c r="J112" i="3" s="1"/>
  <c r="D112" i="3" a="1"/>
  <c r="D112" i="3" s="1"/>
  <c r="G112" i="3" a="1"/>
  <c r="G112" i="3" s="1"/>
  <c r="F112" i="3" a="1"/>
  <c r="F112" i="3" s="1"/>
  <c r="H112" i="3" a="1"/>
  <c r="H112" i="3" s="1"/>
  <c r="C112" i="3" a="1"/>
  <c r="C112" i="3" s="1"/>
  <c r="Q112" i="3" a="1"/>
  <c r="Q112" i="3" s="1"/>
  <c r="K112" i="3" a="1"/>
  <c r="K112" i="3" s="1"/>
  <c r="R112" i="3" a="1"/>
  <c r="R112" i="3" s="1"/>
  <c r="E112" i="3" a="1"/>
  <c r="E112" i="3" s="1"/>
  <c r="L112" i="3" a="1"/>
  <c r="L112" i="3" s="1"/>
  <c r="S112" i="3" a="1"/>
  <c r="S112" i="3" s="1"/>
  <c r="M112" i="3" a="1"/>
  <c r="M112" i="3" s="1"/>
  <c r="T112" i="3" a="1"/>
  <c r="T112" i="3" s="1"/>
  <c r="N112" i="3" a="1"/>
  <c r="N112" i="3" s="1"/>
  <c r="O112" i="3" a="1"/>
  <c r="O112" i="3" s="1"/>
  <c r="U112" i="3" a="1"/>
  <c r="U112" i="3" s="1"/>
  <c r="P112" i="3" a="1"/>
  <c r="P112" i="3" s="1"/>
  <c r="B113" i="3"/>
  <c r="AD113" i="3" l="1" a="1"/>
  <c r="AD113" i="3" s="1"/>
  <c r="Y113" i="3" a="1"/>
  <c r="Y113" i="3" s="1"/>
  <c r="Z113" i="3" a="1"/>
  <c r="Z113" i="3" s="1"/>
  <c r="AB113" i="3" a="1"/>
  <c r="AB113" i="3" s="1"/>
  <c r="AC113" i="3" a="1"/>
  <c r="AC113" i="3" s="1"/>
  <c r="AA113" i="3" a="1"/>
  <c r="AA113" i="3" s="1"/>
  <c r="X113" i="3" a="1"/>
  <c r="X113" i="3" s="1"/>
  <c r="V113" i="3" a="1"/>
  <c r="V113" i="3" s="1"/>
  <c r="W113" i="3" a="1"/>
  <c r="W113" i="3" s="1"/>
  <c r="I113" i="3" a="1"/>
  <c r="I113" i="3" s="1"/>
  <c r="J113" i="3" a="1"/>
  <c r="J113" i="3" s="1"/>
  <c r="D113" i="3" a="1"/>
  <c r="D113" i="3" s="1"/>
  <c r="H113" i="3" a="1"/>
  <c r="H113" i="3" s="1"/>
  <c r="F113" i="3" a="1"/>
  <c r="F113" i="3" s="1"/>
  <c r="G113" i="3" a="1"/>
  <c r="G113" i="3" s="1"/>
  <c r="C113" i="3" a="1"/>
  <c r="C113" i="3" s="1"/>
  <c r="K113" i="3" a="1"/>
  <c r="K113" i="3" s="1"/>
  <c r="E113" i="3" a="1"/>
  <c r="E113" i="3" s="1"/>
  <c r="Q113" i="3" a="1"/>
  <c r="Q113" i="3" s="1"/>
  <c r="L113" i="3" a="1"/>
  <c r="L113" i="3" s="1"/>
  <c r="M113" i="3" a="1"/>
  <c r="M113" i="3" s="1"/>
  <c r="S113" i="3" a="1"/>
  <c r="S113" i="3" s="1"/>
  <c r="T113" i="3" a="1"/>
  <c r="T113" i="3" s="1"/>
  <c r="R113" i="3" a="1"/>
  <c r="R113" i="3" s="1"/>
  <c r="U113" i="3" a="1"/>
  <c r="U113" i="3" s="1"/>
  <c r="P113" i="3" a="1"/>
  <c r="P113" i="3" s="1"/>
  <c r="O113" i="3" a="1"/>
  <c r="O113" i="3" s="1"/>
  <c r="N113" i="3" a="1"/>
  <c r="N113" i="3" s="1"/>
  <c r="B114" i="3"/>
  <c r="AD114" i="3" l="1" a="1"/>
  <c r="AD114" i="3" s="1"/>
  <c r="Y114" i="3" a="1"/>
  <c r="Y114" i="3" s="1"/>
  <c r="Z114" i="3" a="1"/>
  <c r="Z114" i="3" s="1"/>
  <c r="AA114" i="3" a="1"/>
  <c r="AA114" i="3" s="1"/>
  <c r="AC114" i="3" a="1"/>
  <c r="AC114" i="3" s="1"/>
  <c r="AB114" i="3" a="1"/>
  <c r="AB114" i="3" s="1"/>
  <c r="V114" i="3" a="1"/>
  <c r="V114" i="3" s="1"/>
  <c r="X114" i="3" a="1"/>
  <c r="X114" i="3" s="1"/>
  <c r="W114" i="3" a="1"/>
  <c r="W114" i="3" s="1"/>
  <c r="I114" i="3" a="1"/>
  <c r="I114" i="3" s="1"/>
  <c r="J114" i="3" a="1"/>
  <c r="J114" i="3" s="1"/>
  <c r="D114" i="3" a="1"/>
  <c r="D114" i="3" s="1"/>
  <c r="F114" i="3" a="1"/>
  <c r="F114" i="3" s="1"/>
  <c r="H114" i="3" a="1"/>
  <c r="H114" i="3" s="1"/>
  <c r="G114" i="3" a="1"/>
  <c r="G114" i="3" s="1"/>
  <c r="C114" i="3" a="1"/>
  <c r="C114" i="3" s="1"/>
  <c r="Q114" i="3" a="1"/>
  <c r="Q114" i="3" s="1"/>
  <c r="E114" i="3" a="1"/>
  <c r="E114" i="3" s="1"/>
  <c r="K114" i="3" a="1"/>
  <c r="K114" i="3" s="1"/>
  <c r="L114" i="3" a="1"/>
  <c r="L114" i="3" s="1"/>
  <c r="R114" i="3" a="1"/>
  <c r="R114" i="3" s="1"/>
  <c r="S114" i="3" a="1"/>
  <c r="S114" i="3" s="1"/>
  <c r="T114" i="3" a="1"/>
  <c r="T114" i="3" s="1"/>
  <c r="M114" i="3" a="1"/>
  <c r="M114" i="3" s="1"/>
  <c r="U114" i="3" a="1"/>
  <c r="U114" i="3" s="1"/>
  <c r="N114" i="3" a="1"/>
  <c r="N114" i="3" s="1"/>
  <c r="O114" i="3" a="1"/>
  <c r="O114" i="3" s="1"/>
  <c r="P114" i="3" a="1"/>
  <c r="P114" i="3" s="1"/>
  <c r="B115" i="3"/>
  <c r="AD115" i="3" l="1" a="1"/>
  <c r="AD115" i="3" s="1"/>
  <c r="Y115" i="3" a="1"/>
  <c r="Y115" i="3" s="1"/>
  <c r="Z115" i="3" a="1"/>
  <c r="Z115" i="3" s="1"/>
  <c r="AC115" i="3" a="1"/>
  <c r="AC115" i="3" s="1"/>
  <c r="AB115" i="3" a="1"/>
  <c r="AB115" i="3" s="1"/>
  <c r="AA115" i="3" a="1"/>
  <c r="AA115" i="3" s="1"/>
  <c r="X115" i="3" a="1"/>
  <c r="X115" i="3" s="1"/>
  <c r="W115" i="3" a="1"/>
  <c r="W115" i="3" s="1"/>
  <c r="V115" i="3" a="1"/>
  <c r="V115" i="3" s="1"/>
  <c r="I115" i="3" a="1"/>
  <c r="I115" i="3" s="1"/>
  <c r="J115" i="3" a="1"/>
  <c r="J115" i="3" s="1"/>
  <c r="D115" i="3" a="1"/>
  <c r="D115" i="3" s="1"/>
  <c r="F115" i="3" a="1"/>
  <c r="F115" i="3" s="1"/>
  <c r="H115" i="3" a="1"/>
  <c r="H115" i="3" s="1"/>
  <c r="G115" i="3" a="1"/>
  <c r="G115" i="3" s="1"/>
  <c r="C115" i="3" a="1"/>
  <c r="C115" i="3" s="1"/>
  <c r="K115" i="3" a="1"/>
  <c r="K115" i="3" s="1"/>
  <c r="E115" i="3" a="1"/>
  <c r="E115" i="3" s="1"/>
  <c r="Q115" i="3" a="1"/>
  <c r="Q115" i="3" s="1"/>
  <c r="AR4" i="7" s="1"/>
  <c r="M115" i="3" a="1"/>
  <c r="M115" i="3" s="1"/>
  <c r="R115" i="3" a="1"/>
  <c r="R115" i="3" s="1"/>
  <c r="T115" i="3" a="1"/>
  <c r="T115" i="3" s="1"/>
  <c r="L115" i="3" a="1"/>
  <c r="L115" i="3" s="1"/>
  <c r="U115" i="3" a="1"/>
  <c r="U115" i="3" s="1"/>
  <c r="N115" i="3" a="1"/>
  <c r="N115" i="3" s="1"/>
  <c r="S115" i="3" a="1"/>
  <c r="S115" i="3" s="1"/>
  <c r="O115" i="3" a="1"/>
  <c r="O115" i="3" s="1"/>
  <c r="P115" i="3" a="1"/>
  <c r="P115" i="3" s="1"/>
  <c r="AX4" i="7" s="1"/>
  <c r="B116" i="3"/>
  <c r="AV4" i="7" l="1"/>
  <c r="AW4" i="7"/>
  <c r="AQ4" i="7"/>
  <c r="AD116" i="3" a="1"/>
  <c r="AD116" i="3" s="1"/>
  <c r="Y116" i="3" a="1"/>
  <c r="Y116" i="3" s="1"/>
  <c r="Z116" i="3" a="1"/>
  <c r="Z116" i="3" s="1"/>
  <c r="AC116" i="3" a="1"/>
  <c r="AC116" i="3" s="1"/>
  <c r="AA116" i="3" a="1"/>
  <c r="AA116" i="3" s="1"/>
  <c r="AB116" i="3" a="1"/>
  <c r="AB116" i="3" s="1"/>
  <c r="X116" i="3" a="1"/>
  <c r="X116" i="3" s="1"/>
  <c r="V116" i="3" a="1"/>
  <c r="V116" i="3" s="1"/>
  <c r="W116" i="3" a="1"/>
  <c r="W116" i="3" s="1"/>
  <c r="I116" i="3" a="1"/>
  <c r="I116" i="3" s="1"/>
  <c r="J116" i="3" a="1"/>
  <c r="J116" i="3" s="1"/>
  <c r="D116" i="3" a="1"/>
  <c r="D116" i="3" s="1"/>
  <c r="H116" i="3" a="1"/>
  <c r="H116" i="3" s="1"/>
  <c r="G116" i="3" a="1"/>
  <c r="G116" i="3" s="1"/>
  <c r="F116" i="3" a="1"/>
  <c r="F116" i="3" s="1"/>
  <c r="C116" i="3" a="1"/>
  <c r="C116" i="3" s="1"/>
  <c r="K116" i="3" a="1"/>
  <c r="K116" i="3" s="1"/>
  <c r="R116" i="3" a="1"/>
  <c r="R116" i="3" s="1"/>
  <c r="E116" i="3" a="1"/>
  <c r="E116" i="3" s="1"/>
  <c r="Q116" i="3" a="1"/>
  <c r="Q116" i="3" s="1"/>
  <c r="AR5" i="7" s="1"/>
  <c r="T116" i="3" a="1"/>
  <c r="T116" i="3" s="1"/>
  <c r="S116" i="3" a="1"/>
  <c r="S116" i="3" s="1"/>
  <c r="L116" i="3" a="1"/>
  <c r="L116" i="3" s="1"/>
  <c r="M116" i="3" a="1"/>
  <c r="M116" i="3" s="1"/>
  <c r="O116" i="3" a="1"/>
  <c r="O116" i="3" s="1"/>
  <c r="N116" i="3" a="1"/>
  <c r="N116" i="3" s="1"/>
  <c r="U116" i="3" a="1"/>
  <c r="U116" i="3" s="1"/>
  <c r="P116" i="3" a="1"/>
  <c r="P116" i="3" s="1"/>
  <c r="AX5" i="7" s="1"/>
  <c r="B117" i="3"/>
  <c r="AW5" i="7" l="1"/>
  <c r="AQ5" i="7"/>
  <c r="AV5" i="7"/>
  <c r="AD117" i="3" a="1"/>
  <c r="AD117" i="3" s="1"/>
  <c r="Y117" i="3" a="1"/>
  <c r="Y117" i="3" s="1"/>
  <c r="Z117" i="3" a="1"/>
  <c r="Z117" i="3" s="1"/>
  <c r="AC117" i="3" a="1"/>
  <c r="AC117" i="3" s="1"/>
  <c r="AB117" i="3" a="1"/>
  <c r="AB117" i="3" s="1"/>
  <c r="AA117" i="3" a="1"/>
  <c r="AA117" i="3" s="1"/>
  <c r="X117" i="3" a="1"/>
  <c r="X117" i="3" s="1"/>
  <c r="W117" i="3" a="1"/>
  <c r="W117" i="3" s="1"/>
  <c r="V117" i="3" a="1"/>
  <c r="V117" i="3" s="1"/>
  <c r="I117" i="3" a="1"/>
  <c r="I117" i="3" s="1"/>
  <c r="J117" i="3" a="1"/>
  <c r="J117" i="3" s="1"/>
  <c r="D117" i="3" a="1"/>
  <c r="D117" i="3" s="1"/>
  <c r="H117" i="3" a="1"/>
  <c r="H117" i="3" s="1"/>
  <c r="G117" i="3" a="1"/>
  <c r="G117" i="3" s="1"/>
  <c r="F117" i="3" a="1"/>
  <c r="F117" i="3" s="1"/>
  <c r="C117" i="3" a="1"/>
  <c r="C117" i="3" s="1"/>
  <c r="E117" i="3" a="1"/>
  <c r="E117" i="3" s="1"/>
  <c r="Q117" i="3" a="1"/>
  <c r="Q117" i="3" s="1"/>
  <c r="AR6" i="7" s="1"/>
  <c r="K117" i="3" a="1"/>
  <c r="K117" i="3" s="1"/>
  <c r="L117" i="3" a="1"/>
  <c r="L117" i="3" s="1"/>
  <c r="M117" i="3" a="1"/>
  <c r="M117" i="3" s="1"/>
  <c r="T117" i="3" a="1"/>
  <c r="T117" i="3" s="1"/>
  <c r="S117" i="3" a="1"/>
  <c r="S117" i="3" s="1"/>
  <c r="R117" i="3" a="1"/>
  <c r="R117" i="3" s="1"/>
  <c r="P117" i="3" a="1"/>
  <c r="P117" i="3" s="1"/>
  <c r="AX6" i="7" s="1"/>
  <c r="O117" i="3" a="1"/>
  <c r="O117" i="3" s="1"/>
  <c r="U117" i="3" a="1"/>
  <c r="U117" i="3" s="1"/>
  <c r="N117" i="3" a="1"/>
  <c r="N117" i="3" s="1"/>
  <c r="B118" i="3"/>
  <c r="AV6" i="7" l="1"/>
  <c r="AW6" i="7"/>
  <c r="AQ6" i="7"/>
  <c r="Y118" i="3" a="1"/>
  <c r="Y118" i="3" s="1"/>
  <c r="AD118" i="3" a="1"/>
  <c r="AD118" i="3" s="1"/>
  <c r="Z118" i="3" a="1"/>
  <c r="Z118" i="3" s="1"/>
  <c r="AC118" i="3" a="1"/>
  <c r="AC118" i="3" s="1"/>
  <c r="AB118" i="3" a="1"/>
  <c r="AB118" i="3" s="1"/>
  <c r="AA118" i="3" a="1"/>
  <c r="AA118" i="3" s="1"/>
  <c r="X118" i="3" a="1"/>
  <c r="X118" i="3" s="1"/>
  <c r="V118" i="3" a="1"/>
  <c r="V118" i="3" s="1"/>
  <c r="W118" i="3" a="1"/>
  <c r="W118" i="3" s="1"/>
  <c r="I118" i="3" a="1"/>
  <c r="I118" i="3" s="1"/>
  <c r="J118" i="3" a="1"/>
  <c r="J118" i="3" s="1"/>
  <c r="D118" i="3" a="1"/>
  <c r="D118" i="3" s="1"/>
  <c r="F118" i="3" a="1"/>
  <c r="F118" i="3" s="1"/>
  <c r="G118" i="3" a="1"/>
  <c r="G118" i="3" s="1"/>
  <c r="H118" i="3" a="1"/>
  <c r="H118" i="3" s="1"/>
  <c r="C118" i="3" a="1"/>
  <c r="C118" i="3" s="1"/>
  <c r="E118" i="3" a="1"/>
  <c r="E118" i="3" s="1"/>
  <c r="Q118" i="3" a="1"/>
  <c r="Q118" i="3" s="1"/>
  <c r="AR7" i="7" s="1"/>
  <c r="K118" i="3" a="1"/>
  <c r="K118" i="3" s="1"/>
  <c r="R118" i="3" a="1"/>
  <c r="R118" i="3" s="1"/>
  <c r="S118" i="3" a="1"/>
  <c r="S118" i="3" s="1"/>
  <c r="M118" i="3" a="1"/>
  <c r="M118" i="3" s="1"/>
  <c r="T118" i="3" a="1"/>
  <c r="T118" i="3" s="1"/>
  <c r="L118" i="3" a="1"/>
  <c r="L118" i="3" s="1"/>
  <c r="P118" i="3" a="1"/>
  <c r="P118" i="3" s="1"/>
  <c r="AX7" i="7" s="1"/>
  <c r="O118" i="3" a="1"/>
  <c r="O118" i="3" s="1"/>
  <c r="U118" i="3" a="1"/>
  <c r="U118" i="3" s="1"/>
  <c r="N118" i="3" a="1"/>
  <c r="N118" i="3" s="1"/>
  <c r="B119" i="3"/>
  <c r="AV7" i="7" l="1"/>
  <c r="AW7" i="7"/>
  <c r="AQ7" i="7"/>
  <c r="AD119" i="3" a="1"/>
  <c r="AD119" i="3" s="1"/>
  <c r="Y119" i="3" a="1"/>
  <c r="Y119" i="3" s="1"/>
  <c r="Z119" i="3" a="1"/>
  <c r="Z119" i="3" s="1"/>
  <c r="AA119" i="3" a="1"/>
  <c r="AA119" i="3" s="1"/>
  <c r="AB119" i="3" a="1"/>
  <c r="AB119" i="3" s="1"/>
  <c r="AC119" i="3" a="1"/>
  <c r="AC119" i="3" s="1"/>
  <c r="X119" i="3" a="1"/>
  <c r="X119" i="3" s="1"/>
  <c r="V119" i="3" a="1"/>
  <c r="V119" i="3" s="1"/>
  <c r="W119" i="3" a="1"/>
  <c r="W119" i="3" s="1"/>
  <c r="I119" i="3" a="1"/>
  <c r="I119" i="3" s="1"/>
  <c r="J119" i="3" a="1"/>
  <c r="J119" i="3" s="1"/>
  <c r="D119" i="3" a="1"/>
  <c r="D119" i="3" s="1"/>
  <c r="G119" i="3" a="1"/>
  <c r="G119" i="3" s="1"/>
  <c r="F119" i="3" a="1"/>
  <c r="F119" i="3" s="1"/>
  <c r="H119" i="3" a="1"/>
  <c r="H119" i="3" s="1"/>
  <c r="C119" i="3" a="1"/>
  <c r="C119" i="3" s="1"/>
  <c r="R119" i="3" a="1"/>
  <c r="R119" i="3" s="1"/>
  <c r="Q119" i="3" a="1"/>
  <c r="Q119" i="3" s="1"/>
  <c r="AR8" i="7" s="1"/>
  <c r="K119" i="3" a="1"/>
  <c r="K119" i="3" s="1"/>
  <c r="E119" i="3" a="1"/>
  <c r="E119" i="3" s="1"/>
  <c r="L119" i="3" a="1"/>
  <c r="L119" i="3" s="1"/>
  <c r="M119" i="3" a="1"/>
  <c r="M119" i="3" s="1"/>
  <c r="S119" i="3" a="1"/>
  <c r="S119" i="3" s="1"/>
  <c r="T119" i="3" a="1"/>
  <c r="T119" i="3" s="1"/>
  <c r="O119" i="3" a="1"/>
  <c r="O119" i="3" s="1"/>
  <c r="U119" i="3" a="1"/>
  <c r="U119" i="3" s="1"/>
  <c r="P119" i="3" a="1"/>
  <c r="P119" i="3" s="1"/>
  <c r="AX8" i="7" s="1"/>
  <c r="N119" i="3" a="1"/>
  <c r="N119" i="3" s="1"/>
  <c r="B120" i="3"/>
  <c r="AV8" i="7" l="1"/>
  <c r="AW8" i="7"/>
  <c r="AQ8" i="7"/>
  <c r="AD120" i="3" a="1"/>
  <c r="AD120" i="3" s="1"/>
  <c r="Z120" i="3" a="1"/>
  <c r="Z120" i="3" s="1"/>
  <c r="Y120" i="3" a="1"/>
  <c r="Y120" i="3" s="1"/>
  <c r="AA120" i="3" a="1"/>
  <c r="AA120" i="3" s="1"/>
  <c r="AB120" i="3" a="1"/>
  <c r="AB120" i="3" s="1"/>
  <c r="AC120" i="3" a="1"/>
  <c r="AC120" i="3" s="1"/>
  <c r="X120" i="3" a="1"/>
  <c r="X120" i="3" s="1"/>
  <c r="V120" i="3" a="1"/>
  <c r="V120" i="3" s="1"/>
  <c r="W120" i="3" a="1"/>
  <c r="W120" i="3" s="1"/>
  <c r="I120" i="3" a="1"/>
  <c r="I120" i="3" s="1"/>
  <c r="J120" i="3" a="1"/>
  <c r="J120" i="3" s="1"/>
  <c r="D120" i="3" a="1"/>
  <c r="D120" i="3" s="1"/>
  <c r="H120" i="3" a="1"/>
  <c r="H120" i="3" s="1"/>
  <c r="F120" i="3" a="1"/>
  <c r="F120" i="3" s="1"/>
  <c r="G120" i="3" a="1"/>
  <c r="G120" i="3" s="1"/>
  <c r="C120" i="3" a="1"/>
  <c r="C120" i="3" s="1"/>
  <c r="E120" i="3" a="1"/>
  <c r="E120" i="3" s="1"/>
  <c r="Q120" i="3" a="1"/>
  <c r="Q120" i="3" s="1"/>
  <c r="AR9" i="7" s="1"/>
  <c r="K120" i="3" a="1"/>
  <c r="K120" i="3" s="1"/>
  <c r="R120" i="3" a="1"/>
  <c r="R120" i="3" s="1"/>
  <c r="L120" i="3" a="1"/>
  <c r="L120" i="3" s="1"/>
  <c r="M120" i="3" a="1"/>
  <c r="M120" i="3" s="1"/>
  <c r="T120" i="3" a="1"/>
  <c r="T120" i="3" s="1"/>
  <c r="S120" i="3" a="1"/>
  <c r="S120" i="3" s="1"/>
  <c r="P120" i="3" a="1"/>
  <c r="P120" i="3" s="1"/>
  <c r="AX9" i="7" s="1"/>
  <c r="O120" i="3" a="1"/>
  <c r="O120" i="3" s="1"/>
  <c r="N120" i="3" a="1"/>
  <c r="N120" i="3" s="1"/>
  <c r="U120" i="3" a="1"/>
  <c r="U120" i="3" s="1"/>
  <c r="B121" i="3"/>
  <c r="AV9" i="7" l="1"/>
  <c r="AW9" i="7"/>
  <c r="AQ9" i="7"/>
  <c r="AD121" i="3" a="1"/>
  <c r="AD121" i="3" s="1"/>
  <c r="Z121" i="3" a="1"/>
  <c r="Z121" i="3" s="1"/>
  <c r="Y121" i="3" a="1"/>
  <c r="Y121" i="3" s="1"/>
  <c r="AB121" i="3" a="1"/>
  <c r="AB121" i="3" s="1"/>
  <c r="AA121" i="3" a="1"/>
  <c r="AA121" i="3" s="1"/>
  <c r="AC121" i="3" a="1"/>
  <c r="AC121" i="3" s="1"/>
  <c r="V121" i="3" a="1"/>
  <c r="V121" i="3" s="1"/>
  <c r="X121" i="3" a="1"/>
  <c r="X121" i="3" s="1"/>
  <c r="W121" i="3" a="1"/>
  <c r="W121" i="3" s="1"/>
  <c r="I121" i="3" a="1"/>
  <c r="I121" i="3" s="1"/>
  <c r="J121" i="3" a="1"/>
  <c r="J121" i="3" s="1"/>
  <c r="D121" i="3" a="1"/>
  <c r="D121" i="3" s="1"/>
  <c r="G121" i="3" a="1"/>
  <c r="G121" i="3" s="1"/>
  <c r="F121" i="3" a="1"/>
  <c r="F121" i="3" s="1"/>
  <c r="H121" i="3" a="1"/>
  <c r="H121" i="3" s="1"/>
  <c r="C121" i="3" a="1"/>
  <c r="C121" i="3" s="1"/>
  <c r="Q121" i="3" a="1"/>
  <c r="Q121" i="3" s="1"/>
  <c r="AR10" i="7" s="1"/>
  <c r="E121" i="3" a="1"/>
  <c r="E121" i="3" s="1"/>
  <c r="K121" i="3" a="1"/>
  <c r="K121" i="3" s="1"/>
  <c r="R121" i="3" a="1"/>
  <c r="R121" i="3" s="1"/>
  <c r="L121" i="3" a="1"/>
  <c r="L121" i="3" s="1"/>
  <c r="S121" i="3" a="1"/>
  <c r="S121" i="3" s="1"/>
  <c r="M121" i="3" a="1"/>
  <c r="M121" i="3" s="1"/>
  <c r="T121" i="3" a="1"/>
  <c r="T121" i="3" s="1"/>
  <c r="U121" i="3" a="1"/>
  <c r="U121" i="3" s="1"/>
  <c r="N121" i="3" a="1"/>
  <c r="N121" i="3" s="1"/>
  <c r="P121" i="3" a="1"/>
  <c r="P121" i="3" s="1"/>
  <c r="AX10" i="7" s="1"/>
  <c r="O121" i="3" a="1"/>
  <c r="O121" i="3" s="1"/>
  <c r="B122" i="3"/>
  <c r="AV10" i="7" l="1"/>
  <c r="AW10" i="7"/>
  <c r="AQ10" i="7"/>
  <c r="Y122" i="3" a="1"/>
  <c r="Y122" i="3" s="1"/>
  <c r="AD122" i="3" a="1"/>
  <c r="AD122" i="3" s="1"/>
  <c r="Z122" i="3" a="1"/>
  <c r="Z122" i="3" s="1"/>
  <c r="AA122" i="3" a="1"/>
  <c r="AA122" i="3" s="1"/>
  <c r="AC122" i="3" a="1"/>
  <c r="AC122" i="3" s="1"/>
  <c r="AB122" i="3" a="1"/>
  <c r="AB122" i="3" s="1"/>
  <c r="V122" i="3" a="1"/>
  <c r="V122" i="3" s="1"/>
  <c r="X122" i="3" a="1"/>
  <c r="X122" i="3" s="1"/>
  <c r="W122" i="3" a="1"/>
  <c r="W122" i="3" s="1"/>
  <c r="I122" i="3" a="1"/>
  <c r="I122" i="3" s="1"/>
  <c r="J122" i="3" a="1"/>
  <c r="J122" i="3" s="1"/>
  <c r="D122" i="3" a="1"/>
  <c r="D122" i="3" s="1"/>
  <c r="F122" i="3" a="1"/>
  <c r="F122" i="3" s="1"/>
  <c r="H122" i="3" a="1"/>
  <c r="H122" i="3" s="1"/>
  <c r="G122" i="3" a="1"/>
  <c r="G122" i="3" s="1"/>
  <c r="C122" i="3" a="1"/>
  <c r="C122" i="3" s="1"/>
  <c r="E122" i="3" a="1"/>
  <c r="E122" i="3" s="1"/>
  <c r="K122" i="3" a="1"/>
  <c r="K122" i="3" s="1"/>
  <c r="Q122" i="3" a="1"/>
  <c r="Q122" i="3" s="1"/>
  <c r="AR11" i="7" s="1"/>
  <c r="R122" i="3" a="1"/>
  <c r="R122" i="3" s="1"/>
  <c r="L122" i="3" a="1"/>
  <c r="L122" i="3" s="1"/>
  <c r="S122" i="3" a="1"/>
  <c r="S122" i="3" s="1"/>
  <c r="M122" i="3" a="1"/>
  <c r="M122" i="3" s="1"/>
  <c r="T122" i="3" a="1"/>
  <c r="T122" i="3" s="1"/>
  <c r="U122" i="3" a="1"/>
  <c r="U122" i="3" s="1"/>
  <c r="P122" i="3" a="1"/>
  <c r="P122" i="3" s="1"/>
  <c r="AX11" i="7" s="1"/>
  <c r="N122" i="3" a="1"/>
  <c r="N122" i="3" s="1"/>
  <c r="O122" i="3" a="1"/>
  <c r="O122" i="3" s="1"/>
  <c r="B123" i="3"/>
  <c r="AV11" i="7" l="1"/>
  <c r="AW11" i="7"/>
  <c r="AQ11" i="7"/>
  <c r="AD123" i="3" a="1"/>
  <c r="AD123" i="3" s="1"/>
  <c r="Y123" i="3" a="1"/>
  <c r="Y123" i="3" s="1"/>
  <c r="Z123" i="3" a="1"/>
  <c r="Z123" i="3" s="1"/>
  <c r="AB123" i="3" a="1"/>
  <c r="AB123" i="3" s="1"/>
  <c r="AA123" i="3" a="1"/>
  <c r="AA123" i="3" s="1"/>
  <c r="AC123" i="3" a="1"/>
  <c r="AC123" i="3" s="1"/>
  <c r="V123" i="3" a="1"/>
  <c r="V123" i="3" s="1"/>
  <c r="X123" i="3" a="1"/>
  <c r="X123" i="3" s="1"/>
  <c r="W123" i="3" a="1"/>
  <c r="W123" i="3" s="1"/>
  <c r="I123" i="3" a="1"/>
  <c r="I123" i="3" s="1"/>
  <c r="J123" i="3" a="1"/>
  <c r="J123" i="3" s="1"/>
  <c r="D123" i="3" a="1"/>
  <c r="D123" i="3" s="1"/>
  <c r="F123" i="3" a="1"/>
  <c r="F123" i="3" s="1"/>
  <c r="G123" i="3" a="1"/>
  <c r="G123" i="3" s="1"/>
  <c r="H123" i="3" a="1"/>
  <c r="H123" i="3" s="1"/>
  <c r="C123" i="3" a="1"/>
  <c r="C123" i="3" s="1"/>
  <c r="Q123" i="3" a="1"/>
  <c r="Q123" i="3" s="1"/>
  <c r="AR12" i="7" s="1"/>
  <c r="E123" i="3" a="1"/>
  <c r="E123" i="3" s="1"/>
  <c r="K123" i="3" a="1"/>
  <c r="K123" i="3" s="1"/>
  <c r="R123" i="3" a="1"/>
  <c r="R123" i="3" s="1"/>
  <c r="T123" i="3" a="1"/>
  <c r="T123" i="3" s="1"/>
  <c r="S123" i="3" a="1"/>
  <c r="S123" i="3" s="1"/>
  <c r="M123" i="3" a="1"/>
  <c r="M123" i="3" s="1"/>
  <c r="L123" i="3" a="1"/>
  <c r="L123" i="3" s="1"/>
  <c r="U123" i="3" a="1"/>
  <c r="U123" i="3" s="1"/>
  <c r="P123" i="3" a="1"/>
  <c r="P123" i="3" s="1"/>
  <c r="AX12" i="7" s="1"/>
  <c r="N123" i="3" a="1"/>
  <c r="N123" i="3" s="1"/>
  <c r="O123" i="3" a="1"/>
  <c r="O123" i="3" s="1"/>
  <c r="B124" i="3"/>
  <c r="AV12" i="7" l="1"/>
  <c r="AW12" i="7"/>
  <c r="AQ12" i="7"/>
  <c r="AD124" i="3" a="1"/>
  <c r="AD124" i="3" s="1"/>
  <c r="Y124" i="3" a="1"/>
  <c r="Y124" i="3" s="1"/>
  <c r="Z124" i="3" a="1"/>
  <c r="Z124" i="3" s="1"/>
  <c r="AA124" i="3" a="1"/>
  <c r="AA124" i="3" s="1"/>
  <c r="AB124" i="3" a="1"/>
  <c r="AB124" i="3" s="1"/>
  <c r="AC124" i="3" a="1"/>
  <c r="AC124" i="3" s="1"/>
  <c r="V124" i="3" a="1"/>
  <c r="V124" i="3" s="1"/>
  <c r="X124" i="3" a="1"/>
  <c r="X124" i="3" s="1"/>
  <c r="W124" i="3" a="1"/>
  <c r="W124" i="3" s="1"/>
  <c r="I124" i="3" a="1"/>
  <c r="I124" i="3" s="1"/>
  <c r="J124" i="3" a="1"/>
  <c r="J124" i="3" s="1"/>
  <c r="D124" i="3" a="1"/>
  <c r="D124" i="3" s="1"/>
  <c r="F124" i="3" a="1"/>
  <c r="F124" i="3" s="1"/>
  <c r="H124" i="3" a="1"/>
  <c r="H124" i="3" s="1"/>
  <c r="G124" i="3" a="1"/>
  <c r="G124" i="3" s="1"/>
  <c r="C124" i="3" a="1"/>
  <c r="C124" i="3" s="1"/>
  <c r="Q124" i="3" a="1"/>
  <c r="Q124" i="3" s="1"/>
  <c r="AR13" i="7" s="1"/>
  <c r="K124" i="3" a="1"/>
  <c r="K124" i="3" s="1"/>
  <c r="E124" i="3" a="1"/>
  <c r="E124" i="3" s="1"/>
  <c r="R124" i="3" a="1"/>
  <c r="R124" i="3" s="1"/>
  <c r="S124" i="3" a="1"/>
  <c r="S124" i="3" s="1"/>
  <c r="L124" i="3" a="1"/>
  <c r="L124" i="3" s="1"/>
  <c r="M124" i="3" a="1"/>
  <c r="M124" i="3" s="1"/>
  <c r="T124" i="3" a="1"/>
  <c r="T124" i="3" s="1"/>
  <c r="P124" i="3" a="1"/>
  <c r="P124" i="3" s="1"/>
  <c r="AX13" i="7" s="1"/>
  <c r="O124" i="3" a="1"/>
  <c r="O124" i="3" s="1"/>
  <c r="U124" i="3" a="1"/>
  <c r="U124" i="3" s="1"/>
  <c r="N124" i="3" a="1"/>
  <c r="N124" i="3" s="1"/>
  <c r="B125" i="3"/>
  <c r="AV13" i="7" l="1"/>
  <c r="AW13" i="7"/>
  <c r="AQ13" i="7"/>
  <c r="AD125" i="3" a="1"/>
  <c r="AD125" i="3" s="1"/>
  <c r="Y125" i="3" a="1"/>
  <c r="Y125" i="3" s="1"/>
  <c r="Z125" i="3" a="1"/>
  <c r="Z125" i="3" s="1"/>
  <c r="AA125" i="3" a="1"/>
  <c r="AA125" i="3" s="1"/>
  <c r="AC125" i="3" a="1"/>
  <c r="AC125" i="3" s="1"/>
  <c r="AB125" i="3" a="1"/>
  <c r="AB125" i="3" s="1"/>
  <c r="X125" i="3" a="1"/>
  <c r="X125" i="3" s="1"/>
  <c r="V125" i="3" a="1"/>
  <c r="V125" i="3" s="1"/>
  <c r="W125" i="3" a="1"/>
  <c r="W125" i="3" s="1"/>
  <c r="I125" i="3" a="1"/>
  <c r="I125" i="3" s="1"/>
  <c r="J125" i="3" a="1"/>
  <c r="J125" i="3" s="1"/>
  <c r="D125" i="3" a="1"/>
  <c r="D125" i="3" s="1"/>
  <c r="F125" i="3" a="1"/>
  <c r="F125" i="3" s="1"/>
  <c r="H125" i="3" a="1"/>
  <c r="H125" i="3" s="1"/>
  <c r="G125" i="3" a="1"/>
  <c r="G125" i="3" s="1"/>
  <c r="C125" i="3" a="1"/>
  <c r="C125" i="3" s="1"/>
  <c r="K125" i="3" a="1"/>
  <c r="K125" i="3" s="1"/>
  <c r="Q125" i="3" a="1"/>
  <c r="Q125" i="3" s="1"/>
  <c r="AR14" i="7" s="1"/>
  <c r="E125" i="3" a="1"/>
  <c r="E125" i="3" s="1"/>
  <c r="S125" i="3" a="1"/>
  <c r="S125" i="3" s="1"/>
  <c r="M125" i="3" a="1"/>
  <c r="M125" i="3" s="1"/>
  <c r="L125" i="3" a="1"/>
  <c r="L125" i="3" s="1"/>
  <c r="R125" i="3" a="1"/>
  <c r="R125" i="3" s="1"/>
  <c r="T125" i="3" a="1"/>
  <c r="T125" i="3" s="1"/>
  <c r="O125" i="3" a="1"/>
  <c r="O125" i="3" s="1"/>
  <c r="U125" i="3" a="1"/>
  <c r="U125" i="3" s="1"/>
  <c r="N125" i="3" a="1"/>
  <c r="N125" i="3" s="1"/>
  <c r="P125" i="3" a="1"/>
  <c r="P125" i="3" s="1"/>
  <c r="AX14" i="7" s="1"/>
  <c r="B126" i="3"/>
  <c r="AW14" i="7" l="1"/>
  <c r="AQ14" i="7"/>
  <c r="AV14" i="7"/>
  <c r="AD126" i="3" a="1"/>
  <c r="AD126" i="3" s="1"/>
  <c r="Y126" i="3" a="1"/>
  <c r="Y126" i="3" s="1"/>
  <c r="Z126" i="3" a="1"/>
  <c r="Z126" i="3" s="1"/>
  <c r="AC126" i="3" a="1"/>
  <c r="AC126" i="3" s="1"/>
  <c r="AA126" i="3" a="1"/>
  <c r="AA126" i="3" s="1"/>
  <c r="AB126" i="3" a="1"/>
  <c r="AB126" i="3" s="1"/>
  <c r="V126" i="3" a="1"/>
  <c r="V126" i="3" s="1"/>
  <c r="X126" i="3" a="1"/>
  <c r="X126" i="3" s="1"/>
  <c r="W126" i="3" a="1"/>
  <c r="W126" i="3" s="1"/>
  <c r="I126" i="3" a="1"/>
  <c r="I126" i="3" s="1"/>
  <c r="J126" i="3" a="1"/>
  <c r="J126" i="3" s="1"/>
  <c r="D126" i="3" a="1"/>
  <c r="D126" i="3" s="1"/>
  <c r="H126" i="3" a="1"/>
  <c r="H126" i="3" s="1"/>
  <c r="F126" i="3" a="1"/>
  <c r="F126" i="3" s="1"/>
  <c r="G126" i="3" a="1"/>
  <c r="G126" i="3" s="1"/>
  <c r="C126" i="3" a="1"/>
  <c r="C126" i="3" s="1"/>
  <c r="E126" i="3" a="1"/>
  <c r="E126" i="3" s="1"/>
  <c r="K126" i="3" a="1"/>
  <c r="K126" i="3" s="1"/>
  <c r="Q126" i="3" a="1"/>
  <c r="Q126" i="3" s="1"/>
  <c r="AR15" i="7" s="1"/>
  <c r="T126" i="3" a="1"/>
  <c r="T126" i="3" s="1"/>
  <c r="R126" i="3" a="1"/>
  <c r="R126" i="3" s="1"/>
  <c r="L126" i="3" a="1"/>
  <c r="L126" i="3" s="1"/>
  <c r="M126" i="3" a="1"/>
  <c r="M126" i="3" s="1"/>
  <c r="S126" i="3" a="1"/>
  <c r="S126" i="3" s="1"/>
  <c r="P126" i="3" a="1"/>
  <c r="P126" i="3" s="1"/>
  <c r="AX15" i="7" s="1"/>
  <c r="U126" i="3" a="1"/>
  <c r="U126" i="3" s="1"/>
  <c r="O126" i="3" a="1"/>
  <c r="O126" i="3" s="1"/>
  <c r="N126" i="3" a="1"/>
  <c r="N126" i="3" s="1"/>
  <c r="B127" i="3"/>
  <c r="AV15" i="7" l="1"/>
  <c r="AW15" i="7"/>
  <c r="AQ15" i="7"/>
  <c r="AD127" i="3" a="1"/>
  <c r="AD127" i="3" s="1"/>
  <c r="Y127" i="3" a="1"/>
  <c r="Y127" i="3" s="1"/>
  <c r="Z127" i="3" a="1"/>
  <c r="Z127" i="3" s="1"/>
  <c r="AC127" i="3" a="1"/>
  <c r="AC127" i="3" s="1"/>
  <c r="AB127" i="3" a="1"/>
  <c r="AB127" i="3" s="1"/>
  <c r="AA127" i="3" a="1"/>
  <c r="AA127" i="3" s="1"/>
  <c r="X127" i="3" a="1"/>
  <c r="X127" i="3" s="1"/>
  <c r="V127" i="3" a="1"/>
  <c r="V127" i="3" s="1"/>
  <c r="W127" i="3" a="1"/>
  <c r="W127" i="3" s="1"/>
  <c r="I127" i="3" a="1"/>
  <c r="I127" i="3" s="1"/>
  <c r="J127" i="3" a="1"/>
  <c r="J127" i="3" s="1"/>
  <c r="D127" i="3" a="1"/>
  <c r="D127" i="3" s="1"/>
  <c r="F127" i="3" a="1"/>
  <c r="F127" i="3" s="1"/>
  <c r="G127" i="3" a="1"/>
  <c r="G127" i="3" s="1"/>
  <c r="H127" i="3" a="1"/>
  <c r="H127" i="3" s="1"/>
  <c r="C127" i="3" a="1"/>
  <c r="C127" i="3" s="1"/>
  <c r="Q127" i="3" a="1"/>
  <c r="Q127" i="3" s="1"/>
  <c r="AR16" i="7" s="1"/>
  <c r="E127" i="3" a="1"/>
  <c r="E127" i="3" s="1"/>
  <c r="K127" i="3" a="1"/>
  <c r="K127" i="3" s="1"/>
  <c r="R127" i="3" a="1"/>
  <c r="R127" i="3" s="1"/>
  <c r="M127" i="3" a="1"/>
  <c r="M127" i="3" s="1"/>
  <c r="T127" i="3" a="1"/>
  <c r="T127" i="3" s="1"/>
  <c r="L127" i="3" a="1"/>
  <c r="L127" i="3" s="1"/>
  <c r="O127" i="3" a="1"/>
  <c r="O127" i="3" s="1"/>
  <c r="U127" i="3" a="1"/>
  <c r="U127" i="3" s="1"/>
  <c r="S127" i="3" a="1"/>
  <c r="S127" i="3" s="1"/>
  <c r="P127" i="3" a="1"/>
  <c r="P127" i="3" s="1"/>
  <c r="AX16" i="7" s="1"/>
  <c r="N127" i="3" a="1"/>
  <c r="N127" i="3" s="1"/>
  <c r="B128" i="3"/>
  <c r="AW16" i="7" l="1"/>
  <c r="AQ16" i="7"/>
  <c r="AV16" i="7"/>
  <c r="AD128" i="3" a="1"/>
  <c r="AD128" i="3" s="1"/>
  <c r="Y128" i="3" a="1"/>
  <c r="Y128" i="3" s="1"/>
  <c r="Z128" i="3" a="1"/>
  <c r="Z128" i="3" s="1"/>
  <c r="AB128" i="3" a="1"/>
  <c r="AB128" i="3" s="1"/>
  <c r="AA128" i="3" a="1"/>
  <c r="AA128" i="3" s="1"/>
  <c r="AC128" i="3" a="1"/>
  <c r="AC128" i="3" s="1"/>
  <c r="V128" i="3" a="1"/>
  <c r="V128" i="3" s="1"/>
  <c r="X128" i="3" a="1"/>
  <c r="X128" i="3" s="1"/>
  <c r="W128" i="3" a="1"/>
  <c r="W128" i="3" s="1"/>
  <c r="I128" i="3" a="1"/>
  <c r="I128" i="3" s="1"/>
  <c r="J128" i="3" a="1"/>
  <c r="J128" i="3" s="1"/>
  <c r="D128" i="3" a="1"/>
  <c r="D128" i="3" s="1"/>
  <c r="G128" i="3" a="1"/>
  <c r="G128" i="3" s="1"/>
  <c r="H128" i="3" a="1"/>
  <c r="H128" i="3" s="1"/>
  <c r="F128" i="3" a="1"/>
  <c r="F128" i="3" s="1"/>
  <c r="C128" i="3" a="1"/>
  <c r="C128" i="3" s="1"/>
  <c r="K128" i="3" a="1"/>
  <c r="K128" i="3" s="1"/>
  <c r="R128" i="3" a="1"/>
  <c r="R128" i="3" s="1"/>
  <c r="Q128" i="3" a="1"/>
  <c r="Q128" i="3" s="1"/>
  <c r="AR17" i="7" s="1"/>
  <c r="E128" i="3" a="1"/>
  <c r="E128" i="3" s="1"/>
  <c r="L128" i="3" a="1"/>
  <c r="L128" i="3" s="1"/>
  <c r="M128" i="3" a="1"/>
  <c r="M128" i="3" s="1"/>
  <c r="S128" i="3" a="1"/>
  <c r="S128" i="3" s="1"/>
  <c r="U128" i="3" a="1"/>
  <c r="U128" i="3" s="1"/>
  <c r="T128" i="3" a="1"/>
  <c r="T128" i="3" s="1"/>
  <c r="O128" i="3" a="1"/>
  <c r="O128" i="3" s="1"/>
  <c r="P128" i="3" a="1"/>
  <c r="P128" i="3" s="1"/>
  <c r="AX17" i="7" s="1"/>
  <c r="N128" i="3" a="1"/>
  <c r="N128" i="3" s="1"/>
  <c r="B129" i="3"/>
  <c r="AW17" i="7" l="1"/>
  <c r="AQ17" i="7"/>
  <c r="AV17" i="7"/>
  <c r="Y129" i="3" a="1"/>
  <c r="Y129" i="3" s="1"/>
  <c r="AD129" i="3" a="1"/>
  <c r="AD129" i="3" s="1"/>
  <c r="Z129" i="3" a="1"/>
  <c r="Z129" i="3" s="1"/>
  <c r="AA129" i="3" a="1"/>
  <c r="AA129" i="3" s="1"/>
  <c r="AC129" i="3" a="1"/>
  <c r="AC129" i="3" s="1"/>
  <c r="AB129" i="3" a="1"/>
  <c r="AB129" i="3" s="1"/>
  <c r="X129" i="3" a="1"/>
  <c r="X129" i="3" s="1"/>
  <c r="V129" i="3" a="1"/>
  <c r="V129" i="3" s="1"/>
  <c r="W129" i="3" a="1"/>
  <c r="W129" i="3" s="1"/>
  <c r="I129" i="3" a="1"/>
  <c r="I129" i="3" s="1"/>
  <c r="J129" i="3" a="1"/>
  <c r="J129" i="3" s="1"/>
  <c r="D129" i="3" a="1"/>
  <c r="D129" i="3" s="1"/>
  <c r="F129" i="3" a="1"/>
  <c r="F129" i="3" s="1"/>
  <c r="H129" i="3" a="1"/>
  <c r="H129" i="3" s="1"/>
  <c r="G129" i="3" a="1"/>
  <c r="G129" i="3" s="1"/>
  <c r="C129" i="3" a="1"/>
  <c r="C129" i="3" s="1"/>
  <c r="K129" i="3" a="1"/>
  <c r="K129" i="3" s="1"/>
  <c r="Q129" i="3" a="1"/>
  <c r="Q129" i="3" s="1"/>
  <c r="AR18" i="7" s="1"/>
  <c r="E129" i="3" a="1"/>
  <c r="E129" i="3" s="1"/>
  <c r="T129" i="3" a="1"/>
  <c r="T129" i="3" s="1"/>
  <c r="R129" i="3" a="1"/>
  <c r="R129" i="3" s="1"/>
  <c r="L129" i="3" a="1"/>
  <c r="L129" i="3" s="1"/>
  <c r="S129" i="3" a="1"/>
  <c r="S129" i="3" s="1"/>
  <c r="O129" i="3" a="1"/>
  <c r="O129" i="3" s="1"/>
  <c r="M129" i="3" a="1"/>
  <c r="M129" i="3" s="1"/>
  <c r="U129" i="3" a="1"/>
  <c r="U129" i="3" s="1"/>
  <c r="P129" i="3" a="1"/>
  <c r="P129" i="3" s="1"/>
  <c r="AX18" i="7" s="1"/>
  <c r="N129" i="3" a="1"/>
  <c r="N129" i="3" s="1"/>
  <c r="B130" i="3"/>
  <c r="AW18" i="7" l="1"/>
  <c r="AQ18" i="7"/>
  <c r="AV18" i="7"/>
  <c r="AD130" i="3" a="1"/>
  <c r="AD130" i="3" s="1"/>
  <c r="Y130" i="3" a="1"/>
  <c r="Y130" i="3" s="1"/>
  <c r="Z130" i="3" a="1"/>
  <c r="Z130" i="3" s="1"/>
  <c r="AC130" i="3" a="1"/>
  <c r="AC130" i="3" s="1"/>
  <c r="AB130" i="3" a="1"/>
  <c r="AB130" i="3" s="1"/>
  <c r="AA130" i="3" a="1"/>
  <c r="AA130" i="3" s="1"/>
  <c r="X130" i="3" a="1"/>
  <c r="X130" i="3" s="1"/>
  <c r="V130" i="3" a="1"/>
  <c r="V130" i="3" s="1"/>
  <c r="W130" i="3" a="1"/>
  <c r="W130" i="3" s="1"/>
  <c r="I130" i="3" a="1"/>
  <c r="I130" i="3" s="1"/>
  <c r="J130" i="3" a="1"/>
  <c r="J130" i="3" s="1"/>
  <c r="D130" i="3" a="1"/>
  <c r="D130" i="3" s="1"/>
  <c r="H130" i="3" a="1"/>
  <c r="H130" i="3" s="1"/>
  <c r="G130" i="3" a="1"/>
  <c r="G130" i="3" s="1"/>
  <c r="F130" i="3" a="1"/>
  <c r="F130" i="3" s="1"/>
  <c r="C130" i="3" a="1"/>
  <c r="C130" i="3" s="1"/>
  <c r="E130" i="3" a="1"/>
  <c r="E130" i="3" s="1"/>
  <c r="Q130" i="3" a="1"/>
  <c r="Q130" i="3" s="1"/>
  <c r="AR19" i="7" s="1"/>
  <c r="K130" i="3" a="1"/>
  <c r="K130" i="3" s="1"/>
  <c r="R130" i="3" a="1"/>
  <c r="R130" i="3" s="1"/>
  <c r="L130" i="3" a="1"/>
  <c r="L130" i="3" s="1"/>
  <c r="S130" i="3" a="1"/>
  <c r="S130" i="3" s="1"/>
  <c r="M130" i="3" a="1"/>
  <c r="M130" i="3" s="1"/>
  <c r="T130" i="3" a="1"/>
  <c r="T130" i="3" s="1"/>
  <c r="P130" i="3" a="1"/>
  <c r="P130" i="3" s="1"/>
  <c r="AX19" i="7" s="1"/>
  <c r="N130" i="3" a="1"/>
  <c r="N130" i="3" s="1"/>
  <c r="O130" i="3" a="1"/>
  <c r="O130" i="3" s="1"/>
  <c r="U130" i="3" a="1"/>
  <c r="U130" i="3" s="1"/>
  <c r="B131" i="3"/>
  <c r="AV19" i="7" l="1"/>
  <c r="AW19" i="7"/>
  <c r="AQ19" i="7"/>
  <c r="AD131" i="3" a="1"/>
  <c r="AD131" i="3" s="1"/>
  <c r="Z131" i="3" a="1"/>
  <c r="Z131" i="3" s="1"/>
  <c r="Y131" i="3" a="1"/>
  <c r="Y131" i="3" s="1"/>
  <c r="AB131" i="3" a="1"/>
  <c r="AB131" i="3" s="1"/>
  <c r="AC131" i="3" a="1"/>
  <c r="AC131" i="3" s="1"/>
  <c r="AA131" i="3" a="1"/>
  <c r="AA131" i="3" s="1"/>
  <c r="X131" i="3" a="1"/>
  <c r="X131" i="3" s="1"/>
  <c r="V131" i="3" a="1"/>
  <c r="V131" i="3" s="1"/>
  <c r="W131" i="3" a="1"/>
  <c r="W131" i="3" s="1"/>
  <c r="I131" i="3" a="1"/>
  <c r="I131" i="3" s="1"/>
  <c r="J131" i="3" a="1"/>
  <c r="J131" i="3" s="1"/>
  <c r="D131" i="3" a="1"/>
  <c r="D131" i="3" s="1"/>
  <c r="H131" i="3" a="1"/>
  <c r="H131" i="3" s="1"/>
  <c r="F131" i="3" a="1"/>
  <c r="F131" i="3" s="1"/>
  <c r="G131" i="3" a="1"/>
  <c r="G131" i="3" s="1"/>
  <c r="C131" i="3" a="1"/>
  <c r="C131" i="3" s="1"/>
  <c r="K131" i="3" a="1"/>
  <c r="K131" i="3" s="1"/>
  <c r="Q131" i="3" a="1"/>
  <c r="Q131" i="3" s="1"/>
  <c r="AR20" i="7" s="1"/>
  <c r="R131" i="3" a="1"/>
  <c r="R131" i="3" s="1"/>
  <c r="E131" i="3" a="1"/>
  <c r="E131" i="3" s="1"/>
  <c r="T131" i="3" a="1"/>
  <c r="T131" i="3" s="1"/>
  <c r="S131" i="3" a="1"/>
  <c r="S131" i="3" s="1"/>
  <c r="M131" i="3" a="1"/>
  <c r="M131" i="3" s="1"/>
  <c r="L131" i="3" a="1"/>
  <c r="L131" i="3" s="1"/>
  <c r="O131" i="3" a="1"/>
  <c r="O131" i="3" s="1"/>
  <c r="N131" i="3" a="1"/>
  <c r="N131" i="3" s="1"/>
  <c r="U131" i="3" a="1"/>
  <c r="U131" i="3" s="1"/>
  <c r="P131" i="3" a="1"/>
  <c r="P131" i="3" s="1"/>
  <c r="AX20" i="7" s="1"/>
  <c r="B132" i="3"/>
  <c r="AW20" i="7" l="1"/>
  <c r="AQ20" i="7"/>
  <c r="AV20" i="7"/>
  <c r="Y132" i="3" a="1"/>
  <c r="Y132" i="3" s="1"/>
  <c r="AD132" i="3" a="1"/>
  <c r="AD132" i="3" s="1"/>
  <c r="Z132" i="3" a="1"/>
  <c r="Z132" i="3" s="1"/>
  <c r="AA132" i="3" a="1"/>
  <c r="AA132" i="3" s="1"/>
  <c r="AB132" i="3" a="1"/>
  <c r="AB132" i="3" s="1"/>
  <c r="AC132" i="3" a="1"/>
  <c r="AC132" i="3" s="1"/>
  <c r="X132" i="3" a="1"/>
  <c r="X132" i="3" s="1"/>
  <c r="V132" i="3" a="1"/>
  <c r="V132" i="3" s="1"/>
  <c r="W132" i="3" a="1"/>
  <c r="W132" i="3" s="1"/>
  <c r="I132" i="3" a="1"/>
  <c r="I132" i="3" s="1"/>
  <c r="J132" i="3" a="1"/>
  <c r="J132" i="3" s="1"/>
  <c r="D132" i="3" a="1"/>
  <c r="D132" i="3" s="1"/>
  <c r="F132" i="3" a="1"/>
  <c r="F132" i="3" s="1"/>
  <c r="H132" i="3" a="1"/>
  <c r="H132" i="3" s="1"/>
  <c r="G132" i="3" a="1"/>
  <c r="G132" i="3" s="1"/>
  <c r="C132" i="3" a="1"/>
  <c r="C132" i="3" s="1"/>
  <c r="Q132" i="3" a="1"/>
  <c r="Q132" i="3" s="1"/>
  <c r="AR21" i="7" s="1"/>
  <c r="K132" i="3" a="1"/>
  <c r="K132" i="3" s="1"/>
  <c r="E132" i="3" a="1"/>
  <c r="E132" i="3" s="1"/>
  <c r="R132" i="3" a="1"/>
  <c r="R132" i="3" s="1"/>
  <c r="L132" i="3" a="1"/>
  <c r="L132" i="3" s="1"/>
  <c r="M132" i="3" a="1"/>
  <c r="M132" i="3" s="1"/>
  <c r="S132" i="3" a="1"/>
  <c r="S132" i="3" s="1"/>
  <c r="T132" i="3" a="1"/>
  <c r="T132" i="3" s="1"/>
  <c r="N132" i="3" a="1"/>
  <c r="N132" i="3" s="1"/>
  <c r="P132" i="3" a="1"/>
  <c r="P132" i="3" s="1"/>
  <c r="AX21" i="7" s="1"/>
  <c r="U132" i="3" a="1"/>
  <c r="U132" i="3" s="1"/>
  <c r="O132" i="3" a="1"/>
  <c r="O132" i="3" s="1"/>
  <c r="B133" i="3"/>
  <c r="AV21" i="7" l="1"/>
  <c r="AW21" i="7"/>
  <c r="AQ21" i="7"/>
  <c r="AD133" i="3" a="1"/>
  <c r="AD133" i="3" s="1"/>
  <c r="Z133" i="3" a="1"/>
  <c r="Z133" i="3" s="1"/>
  <c r="Y133" i="3" a="1"/>
  <c r="Y133" i="3" s="1"/>
  <c r="AA133" i="3" a="1"/>
  <c r="AA133" i="3" s="1"/>
  <c r="AB133" i="3" a="1"/>
  <c r="AB133" i="3" s="1"/>
  <c r="AC133" i="3" a="1"/>
  <c r="AC133" i="3" s="1"/>
  <c r="X133" i="3" a="1"/>
  <c r="X133" i="3" s="1"/>
  <c r="V133" i="3" a="1"/>
  <c r="V133" i="3" s="1"/>
  <c r="W133" i="3" a="1"/>
  <c r="W133" i="3" s="1"/>
  <c r="I133" i="3" a="1"/>
  <c r="I133" i="3" s="1"/>
  <c r="J133" i="3" a="1"/>
  <c r="J133" i="3" s="1"/>
  <c r="D133" i="3" a="1"/>
  <c r="D133" i="3" s="1"/>
  <c r="H133" i="3" a="1"/>
  <c r="H133" i="3" s="1"/>
  <c r="F133" i="3" a="1"/>
  <c r="F133" i="3" s="1"/>
  <c r="G133" i="3" a="1"/>
  <c r="G133" i="3" s="1"/>
  <c r="C133" i="3" a="1"/>
  <c r="C133" i="3" s="1"/>
  <c r="Q133" i="3" a="1"/>
  <c r="Q133" i="3" s="1"/>
  <c r="AR22" i="7" s="1"/>
  <c r="E133" i="3" a="1"/>
  <c r="E133" i="3" s="1"/>
  <c r="K133" i="3" a="1"/>
  <c r="K133" i="3" s="1"/>
  <c r="R133" i="3" a="1"/>
  <c r="R133" i="3" s="1"/>
  <c r="L133" i="3" a="1"/>
  <c r="L133" i="3" s="1"/>
  <c r="S133" i="3" a="1"/>
  <c r="S133" i="3" s="1"/>
  <c r="T133" i="3" a="1"/>
  <c r="T133" i="3" s="1"/>
  <c r="M133" i="3" a="1"/>
  <c r="M133" i="3" s="1"/>
  <c r="O133" i="3" a="1"/>
  <c r="O133" i="3" s="1"/>
  <c r="U133" i="3" a="1"/>
  <c r="U133" i="3" s="1"/>
  <c r="P133" i="3" a="1"/>
  <c r="P133" i="3" s="1"/>
  <c r="AX22" i="7" s="1"/>
  <c r="N133" i="3" a="1"/>
  <c r="N133" i="3" s="1"/>
  <c r="B134" i="3"/>
  <c r="AW22" i="7" l="1"/>
  <c r="AQ22" i="7"/>
  <c r="AV22" i="7"/>
  <c r="AD134" i="3" a="1"/>
  <c r="AD134" i="3" s="1"/>
  <c r="Y134" i="3" a="1"/>
  <c r="Y134" i="3" s="1"/>
  <c r="AB134" i="3" a="1"/>
  <c r="AB134" i="3" s="1"/>
  <c r="AA134" i="3" a="1"/>
  <c r="AA134" i="3" s="1"/>
  <c r="Z134" i="3" a="1"/>
  <c r="Z134" i="3" s="1"/>
  <c r="AC134" i="3" a="1"/>
  <c r="AC134" i="3" s="1"/>
  <c r="V134" i="3" a="1"/>
  <c r="V134" i="3" s="1"/>
  <c r="X134" i="3" a="1"/>
  <c r="X134" i="3" s="1"/>
  <c r="W134" i="3" a="1"/>
  <c r="W134" i="3" s="1"/>
  <c r="I134" i="3" a="1"/>
  <c r="I134" i="3" s="1"/>
  <c r="J134" i="3" a="1"/>
  <c r="J134" i="3" s="1"/>
  <c r="D134" i="3" a="1"/>
  <c r="D134" i="3" s="1"/>
  <c r="F134" i="3" a="1"/>
  <c r="F134" i="3" s="1"/>
  <c r="H134" i="3" a="1"/>
  <c r="H134" i="3" s="1"/>
  <c r="G134" i="3" a="1"/>
  <c r="G134" i="3" s="1"/>
  <c r="C134" i="3" a="1"/>
  <c r="C134" i="3" s="1"/>
  <c r="E134" i="3" a="1"/>
  <c r="E134" i="3" s="1"/>
  <c r="K134" i="3" a="1"/>
  <c r="K134" i="3" s="1"/>
  <c r="Q134" i="3" a="1"/>
  <c r="Q134" i="3" s="1"/>
  <c r="AR23" i="7" s="1"/>
  <c r="T134" i="3" a="1"/>
  <c r="T134" i="3" s="1"/>
  <c r="L134" i="3" a="1"/>
  <c r="L134" i="3" s="1"/>
  <c r="M134" i="3" a="1"/>
  <c r="M134" i="3" s="1"/>
  <c r="R134" i="3" a="1"/>
  <c r="R134" i="3" s="1"/>
  <c r="S134" i="3" a="1"/>
  <c r="S134" i="3" s="1"/>
  <c r="N134" i="3" a="1"/>
  <c r="N134" i="3" s="1"/>
  <c r="U134" i="3" a="1"/>
  <c r="U134" i="3" s="1"/>
  <c r="O134" i="3" a="1"/>
  <c r="O134" i="3" s="1"/>
  <c r="P134" i="3" a="1"/>
  <c r="P134" i="3" s="1"/>
  <c r="AX23" i="7" s="1"/>
  <c r="B135" i="3"/>
  <c r="AV23" i="7" l="1"/>
  <c r="AW23" i="7"/>
  <c r="AQ23" i="7"/>
  <c r="AD135" i="3" a="1"/>
  <c r="AD135" i="3" s="1"/>
  <c r="Y135" i="3" a="1"/>
  <c r="Y135" i="3" s="1"/>
  <c r="Z135" i="3" a="1"/>
  <c r="Z135" i="3" s="1"/>
  <c r="AC135" i="3" a="1"/>
  <c r="AC135" i="3" s="1"/>
  <c r="AB135" i="3" a="1"/>
  <c r="AB135" i="3" s="1"/>
  <c r="AA135" i="3" a="1"/>
  <c r="AA135" i="3" s="1"/>
  <c r="X135" i="3" a="1"/>
  <c r="X135" i="3" s="1"/>
  <c r="V135" i="3" a="1"/>
  <c r="V135" i="3" s="1"/>
  <c r="W135" i="3" a="1"/>
  <c r="W135" i="3" s="1"/>
  <c r="I135" i="3" a="1"/>
  <c r="I135" i="3" s="1"/>
  <c r="J135" i="3" a="1"/>
  <c r="J135" i="3" s="1"/>
  <c r="D135" i="3" a="1"/>
  <c r="D135" i="3" s="1"/>
  <c r="G135" i="3" a="1"/>
  <c r="G135" i="3" s="1"/>
  <c r="H135" i="3" a="1"/>
  <c r="H135" i="3" s="1"/>
  <c r="F135" i="3" a="1"/>
  <c r="F135" i="3" s="1"/>
  <c r="C135" i="3" a="1"/>
  <c r="C135" i="3" s="1"/>
  <c r="K135" i="3" a="1"/>
  <c r="K135" i="3" s="1"/>
  <c r="R135" i="3" a="1"/>
  <c r="R135" i="3" s="1"/>
  <c r="Q135" i="3" a="1"/>
  <c r="Q135" i="3" s="1"/>
  <c r="AR24" i="7" s="1"/>
  <c r="E135" i="3" a="1"/>
  <c r="E135" i="3" s="1"/>
  <c r="M135" i="3" a="1"/>
  <c r="M135" i="3" s="1"/>
  <c r="T135" i="3" a="1"/>
  <c r="T135" i="3" s="1"/>
  <c r="L135" i="3" a="1"/>
  <c r="L135" i="3" s="1"/>
  <c r="S135" i="3" a="1"/>
  <c r="S135" i="3" s="1"/>
  <c r="N135" i="3" a="1"/>
  <c r="N135" i="3" s="1"/>
  <c r="O135" i="3" a="1"/>
  <c r="O135" i="3" s="1"/>
  <c r="U135" i="3" a="1"/>
  <c r="U135" i="3" s="1"/>
  <c r="P135" i="3" a="1"/>
  <c r="P135" i="3" s="1"/>
  <c r="AX24" i="7" s="1"/>
  <c r="B136" i="3"/>
  <c r="AV24" i="7" l="1"/>
  <c r="AW24" i="7"/>
  <c r="AQ24" i="7"/>
  <c r="AD136" i="3" a="1"/>
  <c r="AD136" i="3" s="1"/>
  <c r="Y136" i="3" a="1"/>
  <c r="Y136" i="3" s="1"/>
  <c r="Z136" i="3" a="1"/>
  <c r="Z136" i="3" s="1"/>
  <c r="AA136" i="3" a="1"/>
  <c r="AA136" i="3" s="1"/>
  <c r="AB136" i="3" a="1"/>
  <c r="AB136" i="3" s="1"/>
  <c r="AC136" i="3" a="1"/>
  <c r="AC136" i="3" s="1"/>
  <c r="V136" i="3" a="1"/>
  <c r="V136" i="3" s="1"/>
  <c r="X136" i="3" a="1"/>
  <c r="X136" i="3" s="1"/>
  <c r="W136" i="3" a="1"/>
  <c r="W136" i="3" s="1"/>
  <c r="I136" i="3" a="1"/>
  <c r="I136" i="3" s="1"/>
  <c r="J136" i="3" a="1"/>
  <c r="J136" i="3" s="1"/>
  <c r="D136" i="3" a="1"/>
  <c r="D136" i="3" s="1"/>
  <c r="F136" i="3" a="1"/>
  <c r="F136" i="3" s="1"/>
  <c r="H136" i="3" a="1"/>
  <c r="H136" i="3" s="1"/>
  <c r="G136" i="3" a="1"/>
  <c r="G136" i="3" s="1"/>
  <c r="C136" i="3" a="1"/>
  <c r="C136" i="3" s="1"/>
  <c r="E136" i="3" a="1"/>
  <c r="E136" i="3" s="1"/>
  <c r="Q136" i="3" a="1"/>
  <c r="Q136" i="3" s="1"/>
  <c r="AR25" i="7" s="1"/>
  <c r="K136" i="3" a="1"/>
  <c r="K136" i="3" s="1"/>
  <c r="L136" i="3" a="1"/>
  <c r="L136" i="3" s="1"/>
  <c r="S136" i="3" a="1"/>
  <c r="S136" i="3" s="1"/>
  <c r="T136" i="3" a="1"/>
  <c r="T136" i="3" s="1"/>
  <c r="R136" i="3" a="1"/>
  <c r="R136" i="3" s="1"/>
  <c r="M136" i="3" a="1"/>
  <c r="M136" i="3" s="1"/>
  <c r="P136" i="3" a="1"/>
  <c r="P136" i="3" s="1"/>
  <c r="AX25" i="7" s="1"/>
  <c r="N136" i="3" a="1"/>
  <c r="N136" i="3" s="1"/>
  <c r="U136" i="3" a="1"/>
  <c r="U136" i="3" s="1"/>
  <c r="O136" i="3" a="1"/>
  <c r="O136" i="3" s="1"/>
  <c r="B137" i="3"/>
  <c r="AV25" i="7" l="1"/>
  <c r="AW25" i="7"/>
  <c r="AQ25" i="7"/>
  <c r="AD137" i="3" a="1"/>
  <c r="AD137" i="3" s="1"/>
  <c r="Y137" i="3" a="1"/>
  <c r="Y137" i="3" s="1"/>
  <c r="Z137" i="3" a="1"/>
  <c r="Z137" i="3" s="1"/>
  <c r="AC137" i="3" a="1"/>
  <c r="AC137" i="3" s="1"/>
  <c r="AA137" i="3" a="1"/>
  <c r="AA137" i="3" s="1"/>
  <c r="AB137" i="3" a="1"/>
  <c r="AB137" i="3" s="1"/>
  <c r="V137" i="3" a="1"/>
  <c r="V137" i="3" s="1"/>
  <c r="X137" i="3" a="1"/>
  <c r="X137" i="3" s="1"/>
  <c r="W137" i="3" a="1"/>
  <c r="W137" i="3" s="1"/>
  <c r="I137" i="3" a="1"/>
  <c r="I137" i="3" s="1"/>
  <c r="J137" i="3" a="1"/>
  <c r="J137" i="3" s="1"/>
  <c r="D137" i="3" a="1"/>
  <c r="D137" i="3" s="1"/>
  <c r="G137" i="3" a="1"/>
  <c r="G137" i="3" s="1"/>
  <c r="H137" i="3" a="1"/>
  <c r="H137" i="3" s="1"/>
  <c r="F137" i="3" a="1"/>
  <c r="F137" i="3" s="1"/>
  <c r="C137" i="3" a="1"/>
  <c r="C137" i="3" s="1"/>
  <c r="E137" i="3" a="1"/>
  <c r="E137" i="3" s="1"/>
  <c r="R137" i="3" a="1"/>
  <c r="R137" i="3" s="1"/>
  <c r="K137" i="3" a="1"/>
  <c r="K137" i="3" s="1"/>
  <c r="Q137" i="3" a="1"/>
  <c r="Q137" i="3" s="1"/>
  <c r="AR26" i="7" s="1"/>
  <c r="T137" i="3" a="1"/>
  <c r="T137" i="3" s="1"/>
  <c r="M137" i="3" a="1"/>
  <c r="M137" i="3" s="1"/>
  <c r="S137" i="3" a="1"/>
  <c r="S137" i="3" s="1"/>
  <c r="P137" i="3" a="1"/>
  <c r="P137" i="3" s="1"/>
  <c r="AX26" i="7" s="1"/>
  <c r="O137" i="3" a="1"/>
  <c r="O137" i="3" s="1"/>
  <c r="L137" i="3" a="1"/>
  <c r="L137" i="3" s="1"/>
  <c r="N137" i="3" a="1"/>
  <c r="N137" i="3" s="1"/>
  <c r="U137" i="3" a="1"/>
  <c r="U137" i="3" s="1"/>
  <c r="B138" i="3"/>
  <c r="AV26" i="7" l="1"/>
  <c r="AW26" i="7"/>
  <c r="AQ26" i="7"/>
  <c r="Y138" i="3" a="1"/>
  <c r="Y138" i="3" s="1"/>
  <c r="AD138" i="3" a="1"/>
  <c r="AD138" i="3" s="1"/>
  <c r="Z138" i="3" a="1"/>
  <c r="Z138" i="3" s="1"/>
  <c r="AB138" i="3" a="1"/>
  <c r="AB138" i="3" s="1"/>
  <c r="AA138" i="3" a="1"/>
  <c r="AA138" i="3" s="1"/>
  <c r="AC138" i="3" a="1"/>
  <c r="AC138" i="3" s="1"/>
  <c r="X138" i="3" a="1"/>
  <c r="X138" i="3" s="1"/>
  <c r="V138" i="3" a="1"/>
  <c r="V138" i="3" s="1"/>
  <c r="W138" i="3" a="1"/>
  <c r="W138" i="3" s="1"/>
  <c r="I138" i="3" a="1"/>
  <c r="I138" i="3" s="1"/>
  <c r="J138" i="3" a="1"/>
  <c r="J138" i="3" s="1"/>
  <c r="D138" i="3" a="1"/>
  <c r="D138" i="3" s="1"/>
  <c r="H138" i="3" a="1"/>
  <c r="H138" i="3" s="1"/>
  <c r="F138" i="3" a="1"/>
  <c r="F138" i="3" s="1"/>
  <c r="G138" i="3" a="1"/>
  <c r="G138" i="3" s="1"/>
  <c r="C138" i="3" a="1"/>
  <c r="C138" i="3" s="1"/>
  <c r="E138" i="3" a="1"/>
  <c r="E138" i="3" s="1"/>
  <c r="Q138" i="3" a="1"/>
  <c r="Q138" i="3" s="1"/>
  <c r="AR27" i="7" s="1"/>
  <c r="K138" i="3" a="1"/>
  <c r="K138" i="3" s="1"/>
  <c r="R138" i="3" a="1"/>
  <c r="R138" i="3" s="1"/>
  <c r="M138" i="3" a="1"/>
  <c r="M138" i="3" s="1"/>
  <c r="L138" i="3" a="1"/>
  <c r="L138" i="3" s="1"/>
  <c r="S138" i="3" a="1"/>
  <c r="S138" i="3" s="1"/>
  <c r="T138" i="3" a="1"/>
  <c r="T138" i="3" s="1"/>
  <c r="N138" i="3" a="1"/>
  <c r="N138" i="3" s="1"/>
  <c r="P138" i="3" a="1"/>
  <c r="P138" i="3" s="1"/>
  <c r="AX27" i="7" s="1"/>
  <c r="U138" i="3" a="1"/>
  <c r="U138" i="3" s="1"/>
  <c r="O138" i="3" a="1"/>
  <c r="O138" i="3" s="1"/>
  <c r="B139" i="3"/>
  <c r="AV27" i="7" l="1"/>
  <c r="AW27" i="7"/>
  <c r="AQ27" i="7"/>
  <c r="AD139" i="3" a="1"/>
  <c r="AD139" i="3" s="1"/>
  <c r="Z139" i="3" a="1"/>
  <c r="Z139" i="3" s="1"/>
  <c r="Y139" i="3" a="1"/>
  <c r="Y139" i="3" s="1"/>
  <c r="AB139" i="3" a="1"/>
  <c r="AB139" i="3" s="1"/>
  <c r="AA139" i="3" a="1"/>
  <c r="AA139" i="3" s="1"/>
  <c r="AC139" i="3" a="1"/>
  <c r="AC139" i="3" s="1"/>
  <c r="V139" i="3" a="1"/>
  <c r="V139" i="3" s="1"/>
  <c r="X139" i="3" a="1"/>
  <c r="X139" i="3" s="1"/>
  <c r="W139" i="3" a="1"/>
  <c r="W139" i="3" s="1"/>
  <c r="I139" i="3" a="1"/>
  <c r="I139" i="3" s="1"/>
  <c r="J139" i="3" a="1"/>
  <c r="J139" i="3" s="1"/>
  <c r="D139" i="3" a="1"/>
  <c r="D139" i="3" s="1"/>
  <c r="F139" i="3" a="1"/>
  <c r="F139" i="3" s="1"/>
  <c r="G139" i="3" a="1"/>
  <c r="G139" i="3" s="1"/>
  <c r="H139" i="3" a="1"/>
  <c r="H139" i="3" s="1"/>
  <c r="C139" i="3" a="1"/>
  <c r="C139" i="3" s="1"/>
  <c r="K139" i="3" a="1"/>
  <c r="K139" i="3" s="1"/>
  <c r="R139" i="3" a="1"/>
  <c r="R139" i="3" s="1"/>
  <c r="Q139" i="3" a="1"/>
  <c r="Q139" i="3" s="1"/>
  <c r="AR28" i="7" s="1"/>
  <c r="E139" i="3" a="1"/>
  <c r="E139" i="3" s="1"/>
  <c r="L139" i="3" a="1"/>
  <c r="L139" i="3" s="1"/>
  <c r="S139" i="3" a="1"/>
  <c r="S139" i="3" s="1"/>
  <c r="T139" i="3" a="1"/>
  <c r="T139" i="3" s="1"/>
  <c r="M139" i="3" a="1"/>
  <c r="M139" i="3" s="1"/>
  <c r="U139" i="3" a="1"/>
  <c r="U139" i="3" s="1"/>
  <c r="O139" i="3" a="1"/>
  <c r="O139" i="3" s="1"/>
  <c r="P139" i="3" a="1"/>
  <c r="P139" i="3" s="1"/>
  <c r="AX28" i="7" s="1"/>
  <c r="N139" i="3" a="1"/>
  <c r="N139" i="3" s="1"/>
  <c r="B140" i="3"/>
  <c r="AV28" i="7" l="1"/>
  <c r="AW28" i="7"/>
  <c r="AQ28" i="7"/>
  <c r="AD140" i="3" a="1"/>
  <c r="AD140" i="3" s="1"/>
  <c r="Y140" i="3" a="1"/>
  <c r="Y140" i="3" s="1"/>
  <c r="Z140" i="3" a="1"/>
  <c r="Z140" i="3" s="1"/>
  <c r="AA140" i="3" a="1"/>
  <c r="AA140" i="3" s="1"/>
  <c r="AB140" i="3" a="1"/>
  <c r="AB140" i="3" s="1"/>
  <c r="AC140" i="3" a="1"/>
  <c r="AC140" i="3" s="1"/>
  <c r="X140" i="3" a="1"/>
  <c r="X140" i="3" s="1"/>
  <c r="V140" i="3" a="1"/>
  <c r="V140" i="3" s="1"/>
  <c r="W140" i="3" a="1"/>
  <c r="W140" i="3" s="1"/>
  <c r="I140" i="3" a="1"/>
  <c r="I140" i="3" s="1"/>
  <c r="J140" i="3" a="1"/>
  <c r="J140" i="3" s="1"/>
  <c r="D140" i="3" a="1"/>
  <c r="D140" i="3" s="1"/>
  <c r="H140" i="3" a="1"/>
  <c r="H140" i="3" s="1"/>
  <c r="F140" i="3" a="1"/>
  <c r="F140" i="3" s="1"/>
  <c r="G140" i="3" a="1"/>
  <c r="G140" i="3" s="1"/>
  <c r="C140" i="3" a="1"/>
  <c r="C140" i="3" s="1"/>
  <c r="Q140" i="3" a="1"/>
  <c r="Q140" i="3" s="1"/>
  <c r="AR29" i="7" s="1"/>
  <c r="E140" i="3" a="1"/>
  <c r="E140" i="3" s="1"/>
  <c r="K140" i="3" a="1"/>
  <c r="K140" i="3" s="1"/>
  <c r="L140" i="3" a="1"/>
  <c r="L140" i="3" s="1"/>
  <c r="M140" i="3" a="1"/>
  <c r="M140" i="3" s="1"/>
  <c r="T140" i="3" a="1"/>
  <c r="T140" i="3" s="1"/>
  <c r="R140" i="3" a="1"/>
  <c r="R140" i="3" s="1"/>
  <c r="S140" i="3" a="1"/>
  <c r="S140" i="3" s="1"/>
  <c r="N140" i="3" a="1"/>
  <c r="N140" i="3" s="1"/>
  <c r="U140" i="3" a="1"/>
  <c r="U140" i="3" s="1"/>
  <c r="O140" i="3" a="1"/>
  <c r="O140" i="3" s="1"/>
  <c r="P140" i="3" a="1"/>
  <c r="P140" i="3" s="1"/>
  <c r="AX29" i="7" s="1"/>
  <c r="B141" i="3"/>
  <c r="AV29" i="7" l="1"/>
  <c r="AW29" i="7"/>
  <c r="AQ29" i="7"/>
  <c r="AD141" i="3" a="1"/>
  <c r="AD141" i="3" s="1"/>
  <c r="Y141" i="3" a="1"/>
  <c r="Y141" i="3" s="1"/>
  <c r="Z141" i="3" a="1"/>
  <c r="Z141" i="3" s="1"/>
  <c r="AC141" i="3" a="1"/>
  <c r="AC141" i="3" s="1"/>
  <c r="AB141" i="3" a="1"/>
  <c r="AB141" i="3" s="1"/>
  <c r="AA141" i="3" a="1"/>
  <c r="AA141" i="3" s="1"/>
  <c r="X141" i="3" a="1"/>
  <c r="X141" i="3" s="1"/>
  <c r="V141" i="3" a="1"/>
  <c r="V141" i="3" s="1"/>
  <c r="W141" i="3" a="1"/>
  <c r="W141" i="3" s="1"/>
  <c r="I141" i="3" a="1"/>
  <c r="I141" i="3" s="1"/>
  <c r="J141" i="3" a="1"/>
  <c r="J141" i="3" s="1"/>
  <c r="D141" i="3" a="1"/>
  <c r="D141" i="3" s="1"/>
  <c r="G141" i="3" a="1"/>
  <c r="G141" i="3" s="1"/>
  <c r="H141" i="3" a="1"/>
  <c r="H141" i="3" s="1"/>
  <c r="F141" i="3" a="1"/>
  <c r="F141" i="3" s="1"/>
  <c r="C141" i="3" a="1"/>
  <c r="C141" i="3" s="1"/>
  <c r="E141" i="3" a="1"/>
  <c r="E141" i="3" s="1"/>
  <c r="Q141" i="3" a="1"/>
  <c r="Q141" i="3" s="1"/>
  <c r="AR30" i="7" s="1"/>
  <c r="K141" i="3" a="1"/>
  <c r="K141" i="3" s="1"/>
  <c r="M141" i="3" a="1"/>
  <c r="M141" i="3" s="1"/>
  <c r="S141" i="3" a="1"/>
  <c r="S141" i="3" s="1"/>
  <c r="P141" i="3" a="1"/>
  <c r="P141" i="3" s="1"/>
  <c r="AX30" i="7" s="1"/>
  <c r="N141" i="3" a="1"/>
  <c r="N141" i="3" s="1"/>
  <c r="L141" i="3" a="1"/>
  <c r="L141" i="3" s="1"/>
  <c r="T141" i="3" a="1"/>
  <c r="T141" i="3" s="1"/>
  <c r="R141" i="3" a="1"/>
  <c r="R141" i="3" s="1"/>
  <c r="O141" i="3" a="1"/>
  <c r="O141" i="3" s="1"/>
  <c r="U141" i="3" a="1"/>
  <c r="U141" i="3" s="1"/>
  <c r="B142" i="3"/>
  <c r="AV30" i="7" l="1"/>
  <c r="AW30" i="7"/>
  <c r="AQ30" i="7"/>
  <c r="AD142" i="3" a="1"/>
  <c r="AD142" i="3" s="1"/>
  <c r="Y142" i="3" a="1"/>
  <c r="Y142" i="3" s="1"/>
  <c r="Z142" i="3" a="1"/>
  <c r="Z142" i="3" s="1"/>
  <c r="AB142" i="3" a="1"/>
  <c r="AB142" i="3" s="1"/>
  <c r="AA142" i="3" a="1"/>
  <c r="AA142" i="3" s="1"/>
  <c r="AC142" i="3" a="1"/>
  <c r="AC142" i="3" s="1"/>
  <c r="V142" i="3" a="1"/>
  <c r="V142" i="3" s="1"/>
  <c r="X142" i="3" a="1"/>
  <c r="X142" i="3" s="1"/>
  <c r="W142" i="3" a="1"/>
  <c r="W142" i="3" s="1"/>
  <c r="I142" i="3" a="1"/>
  <c r="I142" i="3" s="1"/>
  <c r="J142" i="3" a="1"/>
  <c r="J142" i="3" s="1"/>
  <c r="D142" i="3" a="1"/>
  <c r="D142" i="3" s="1"/>
  <c r="H142" i="3" a="1"/>
  <c r="H142" i="3" s="1"/>
  <c r="F142" i="3" a="1"/>
  <c r="F142" i="3" s="1"/>
  <c r="G142" i="3" a="1"/>
  <c r="G142" i="3" s="1"/>
  <c r="C142" i="3" a="1"/>
  <c r="C142" i="3" s="1"/>
  <c r="Q142" i="3" a="1"/>
  <c r="Q142" i="3" s="1"/>
  <c r="AR31" i="7" s="1"/>
  <c r="K142" i="3" a="1"/>
  <c r="K142" i="3" s="1"/>
  <c r="E142" i="3" a="1"/>
  <c r="E142" i="3" s="1"/>
  <c r="L142" i="3" a="1"/>
  <c r="L142" i="3" s="1"/>
  <c r="M142" i="3" a="1"/>
  <c r="M142" i="3" s="1"/>
  <c r="T142" i="3" a="1"/>
  <c r="T142" i="3" s="1"/>
  <c r="R142" i="3" a="1"/>
  <c r="R142" i="3" s="1"/>
  <c r="U142" i="3" a="1"/>
  <c r="U142" i="3" s="1"/>
  <c r="O142" i="3" a="1"/>
  <c r="O142" i="3" s="1"/>
  <c r="S142" i="3" a="1"/>
  <c r="S142" i="3" s="1"/>
  <c r="P142" i="3" a="1"/>
  <c r="P142" i="3" s="1"/>
  <c r="AX31" i="7" s="1"/>
  <c r="N142" i="3" a="1"/>
  <c r="N142" i="3" s="1"/>
  <c r="B143" i="3"/>
  <c r="AW31" i="7" l="1"/>
  <c r="AQ31" i="7"/>
  <c r="AV31" i="7"/>
  <c r="AD143" i="3" a="1"/>
  <c r="AD143" i="3" s="1"/>
  <c r="Y143" i="3" a="1"/>
  <c r="Y143" i="3" s="1"/>
  <c r="Z143" i="3" a="1"/>
  <c r="Z143" i="3" s="1"/>
  <c r="AB143" i="3" a="1"/>
  <c r="AB143" i="3" s="1"/>
  <c r="AA143" i="3" a="1"/>
  <c r="AA143" i="3" s="1"/>
  <c r="AC143" i="3" a="1"/>
  <c r="AC143" i="3" s="1"/>
  <c r="X143" i="3" a="1"/>
  <c r="X143" i="3" s="1"/>
  <c r="V143" i="3" a="1"/>
  <c r="V143" i="3" s="1"/>
  <c r="W143" i="3" a="1"/>
  <c r="W143" i="3" s="1"/>
  <c r="I143" i="3" a="1"/>
  <c r="I143" i="3" s="1"/>
  <c r="J143" i="3" a="1"/>
  <c r="J143" i="3" s="1"/>
  <c r="D143" i="3" a="1"/>
  <c r="D143" i="3" s="1"/>
  <c r="F143" i="3" a="1"/>
  <c r="F143" i="3" s="1"/>
  <c r="H143" i="3" a="1"/>
  <c r="H143" i="3" s="1"/>
  <c r="G143" i="3" a="1"/>
  <c r="G143" i="3" s="1"/>
  <c r="C143" i="3" a="1"/>
  <c r="C143" i="3" s="1"/>
  <c r="E143" i="3" a="1"/>
  <c r="E143" i="3" s="1"/>
  <c r="Q143" i="3" a="1"/>
  <c r="Q143" i="3" s="1"/>
  <c r="AR32" i="7" s="1"/>
  <c r="K143" i="3" a="1"/>
  <c r="K143" i="3" s="1"/>
  <c r="R143" i="3" a="1"/>
  <c r="R143" i="3" s="1"/>
  <c r="T143" i="3" a="1"/>
  <c r="T143" i="3" s="1"/>
  <c r="L143" i="3" a="1"/>
  <c r="L143" i="3" s="1"/>
  <c r="M143" i="3" a="1"/>
  <c r="M143" i="3" s="1"/>
  <c r="S143" i="3" a="1"/>
  <c r="S143" i="3" s="1"/>
  <c r="O143" i="3" a="1"/>
  <c r="O143" i="3" s="1"/>
  <c r="P143" i="3" a="1"/>
  <c r="P143" i="3" s="1"/>
  <c r="AX32" i="7" s="1"/>
  <c r="U143" i="3" a="1"/>
  <c r="U143" i="3" s="1"/>
  <c r="N143" i="3" a="1"/>
  <c r="N143" i="3" s="1"/>
  <c r="B144" i="3"/>
  <c r="AW32" i="7" l="1"/>
  <c r="AQ32" i="7"/>
  <c r="AV32" i="7"/>
  <c r="AD144" i="3" a="1"/>
  <c r="AD144" i="3" s="1"/>
  <c r="Z144" i="3" a="1"/>
  <c r="Z144" i="3" s="1"/>
  <c r="Y144" i="3" a="1"/>
  <c r="Y144" i="3" s="1"/>
  <c r="AA144" i="3" a="1"/>
  <c r="AA144" i="3" s="1"/>
  <c r="AB144" i="3" a="1"/>
  <c r="AB144" i="3" s="1"/>
  <c r="AC144" i="3" a="1"/>
  <c r="AC144" i="3" s="1"/>
  <c r="V144" i="3" a="1"/>
  <c r="V144" i="3" s="1"/>
  <c r="X144" i="3" a="1"/>
  <c r="X144" i="3" s="1"/>
  <c r="W144" i="3" a="1"/>
  <c r="W144" i="3" s="1"/>
  <c r="I144" i="3" a="1"/>
  <c r="I144" i="3" s="1"/>
  <c r="J144" i="3" a="1"/>
  <c r="J144" i="3" s="1"/>
  <c r="D144" i="3" a="1"/>
  <c r="D144" i="3" s="1"/>
  <c r="G144" i="3" a="1"/>
  <c r="G144" i="3" s="1"/>
  <c r="F144" i="3" a="1"/>
  <c r="F144" i="3" s="1"/>
  <c r="H144" i="3" a="1"/>
  <c r="H144" i="3" s="1"/>
  <c r="C144" i="3" a="1"/>
  <c r="C144" i="3" s="1"/>
  <c r="K144" i="3" a="1"/>
  <c r="K144" i="3" s="1"/>
  <c r="E144" i="3" a="1"/>
  <c r="E144" i="3" s="1"/>
  <c r="Q144" i="3" a="1"/>
  <c r="Q144" i="3" s="1"/>
  <c r="AR33" i="7" s="1"/>
  <c r="R144" i="3" a="1"/>
  <c r="R144" i="3" s="1"/>
  <c r="L144" i="3" a="1"/>
  <c r="L144" i="3" s="1"/>
  <c r="M144" i="3" a="1"/>
  <c r="M144" i="3" s="1"/>
  <c r="T144" i="3" a="1"/>
  <c r="T144" i="3" s="1"/>
  <c r="O144" i="3" a="1"/>
  <c r="O144" i="3" s="1"/>
  <c r="P144" i="3" a="1"/>
  <c r="P144" i="3" s="1"/>
  <c r="AX33" i="7" s="1"/>
  <c r="S144" i="3" a="1"/>
  <c r="S144" i="3" s="1"/>
  <c r="U144" i="3" a="1"/>
  <c r="U144" i="3" s="1"/>
  <c r="N144" i="3" a="1"/>
  <c r="N144" i="3" s="1"/>
  <c r="B145" i="3"/>
  <c r="AW33" i="7" l="1"/>
  <c r="AQ33" i="7"/>
  <c r="AV33" i="7"/>
  <c r="AD145" i="3" a="1"/>
  <c r="AD145" i="3" s="1"/>
  <c r="Y145" i="3" a="1"/>
  <c r="Y145" i="3" s="1"/>
  <c r="Z145" i="3" a="1"/>
  <c r="Z145" i="3" s="1"/>
  <c r="AB145" i="3" a="1"/>
  <c r="AB145" i="3" s="1"/>
  <c r="AA145" i="3" a="1"/>
  <c r="AA145" i="3" s="1"/>
  <c r="AC145" i="3" a="1"/>
  <c r="AC145" i="3" s="1"/>
  <c r="V145" i="3" a="1"/>
  <c r="V145" i="3" s="1"/>
  <c r="X145" i="3" a="1"/>
  <c r="X145" i="3" s="1"/>
  <c r="W145" i="3" a="1"/>
  <c r="W145" i="3" s="1"/>
  <c r="I145" i="3" a="1"/>
  <c r="I145" i="3" s="1"/>
  <c r="J145" i="3" a="1"/>
  <c r="J145" i="3" s="1"/>
  <c r="D145" i="3" a="1"/>
  <c r="D145" i="3" s="1"/>
  <c r="H145" i="3" a="1"/>
  <c r="H145" i="3" s="1"/>
  <c r="F145" i="3" a="1"/>
  <c r="F145" i="3" s="1"/>
  <c r="G145" i="3" a="1"/>
  <c r="G145" i="3" s="1"/>
  <c r="C145" i="3" a="1"/>
  <c r="C145" i="3" s="1"/>
  <c r="E145" i="3" a="1"/>
  <c r="E145" i="3" s="1"/>
  <c r="K145" i="3" a="1"/>
  <c r="K145" i="3" s="1"/>
  <c r="Q145" i="3" a="1"/>
  <c r="Q145" i="3" s="1"/>
  <c r="AR34" i="7" s="1"/>
  <c r="L145" i="3" a="1"/>
  <c r="L145" i="3" s="1"/>
  <c r="S145" i="3" a="1"/>
  <c r="S145" i="3" s="1"/>
  <c r="R145" i="3" a="1"/>
  <c r="R145" i="3" s="1"/>
  <c r="T145" i="3" a="1"/>
  <c r="T145" i="3" s="1"/>
  <c r="M145" i="3" a="1"/>
  <c r="M145" i="3" s="1"/>
  <c r="U145" i="3" a="1"/>
  <c r="U145" i="3" s="1"/>
  <c r="N145" i="3" a="1"/>
  <c r="N145" i="3" s="1"/>
  <c r="O145" i="3" a="1"/>
  <c r="O145" i="3" s="1"/>
  <c r="P145" i="3" a="1"/>
  <c r="P145" i="3" s="1"/>
  <c r="AX34" i="7" s="1"/>
  <c r="B146" i="3"/>
  <c r="AV34" i="7" l="1"/>
  <c r="AW34" i="7"/>
  <c r="AQ34" i="7"/>
  <c r="AD146" i="3" a="1"/>
  <c r="AD146" i="3" s="1"/>
  <c r="Z146" i="3" a="1"/>
  <c r="Z146" i="3" s="1"/>
  <c r="Y146" i="3" a="1"/>
  <c r="Y146" i="3" s="1"/>
  <c r="AB146" i="3" a="1"/>
  <c r="AB146" i="3" s="1"/>
  <c r="AC146" i="3" a="1"/>
  <c r="AC146" i="3" s="1"/>
  <c r="AA146" i="3" a="1"/>
  <c r="AA146" i="3" s="1"/>
  <c r="X146" i="3" a="1"/>
  <c r="X146" i="3" s="1"/>
  <c r="V146" i="3" a="1"/>
  <c r="V146" i="3" s="1"/>
  <c r="W146" i="3" a="1"/>
  <c r="W146" i="3" s="1"/>
  <c r="I146" i="3" a="1"/>
  <c r="I146" i="3" s="1"/>
  <c r="J146" i="3" a="1"/>
  <c r="J146" i="3" s="1"/>
  <c r="D146" i="3" a="1"/>
  <c r="D146" i="3" s="1"/>
  <c r="F146" i="3" a="1"/>
  <c r="F146" i="3" s="1"/>
  <c r="G146" i="3" a="1"/>
  <c r="G146" i="3" s="1"/>
  <c r="H146" i="3" a="1"/>
  <c r="H146" i="3" s="1"/>
  <c r="C146" i="3" a="1"/>
  <c r="C146" i="3" s="1"/>
  <c r="K146" i="3" a="1"/>
  <c r="K146" i="3" s="1"/>
  <c r="Q146" i="3" a="1"/>
  <c r="Q146" i="3" s="1"/>
  <c r="AR35" i="7" s="1"/>
  <c r="E146" i="3" a="1"/>
  <c r="E146" i="3" s="1"/>
  <c r="R146" i="3" a="1"/>
  <c r="R146" i="3" s="1"/>
  <c r="S146" i="3" a="1"/>
  <c r="S146" i="3" s="1"/>
  <c r="M146" i="3" a="1"/>
  <c r="M146" i="3" s="1"/>
  <c r="L146" i="3" a="1"/>
  <c r="L146" i="3" s="1"/>
  <c r="T146" i="3" a="1"/>
  <c r="T146" i="3" s="1"/>
  <c r="N146" i="3" a="1"/>
  <c r="N146" i="3" s="1"/>
  <c r="P146" i="3" a="1"/>
  <c r="P146" i="3" s="1"/>
  <c r="AX35" i="7" s="1"/>
  <c r="O146" i="3" a="1"/>
  <c r="O146" i="3" s="1"/>
  <c r="U146" i="3" a="1"/>
  <c r="U146" i="3" s="1"/>
  <c r="B147" i="3"/>
  <c r="AV35" i="7" l="1"/>
  <c r="AW35" i="7"/>
  <c r="AQ35" i="7"/>
  <c r="AD147" i="3" a="1"/>
  <c r="AD147" i="3" s="1"/>
  <c r="Y147" i="3" a="1"/>
  <c r="Y147" i="3" s="1"/>
  <c r="Z147" i="3" a="1"/>
  <c r="Z147" i="3" s="1"/>
  <c r="AA147" i="3" a="1"/>
  <c r="AA147" i="3" s="1"/>
  <c r="AB147" i="3" a="1"/>
  <c r="AB147" i="3" s="1"/>
  <c r="AC147" i="3" a="1"/>
  <c r="AC147" i="3" s="1"/>
  <c r="V147" i="3" a="1"/>
  <c r="V147" i="3" s="1"/>
  <c r="X147" i="3" a="1"/>
  <c r="X147" i="3" s="1"/>
  <c r="W147" i="3" a="1"/>
  <c r="W147" i="3" s="1"/>
  <c r="I147" i="3" a="1"/>
  <c r="I147" i="3" s="1"/>
  <c r="J147" i="3" a="1"/>
  <c r="J147" i="3" s="1"/>
  <c r="D147" i="3" a="1"/>
  <c r="D147" i="3" s="1"/>
  <c r="F147" i="3" a="1"/>
  <c r="F147" i="3" s="1"/>
  <c r="H147" i="3" a="1"/>
  <c r="H147" i="3" s="1"/>
  <c r="G147" i="3" a="1"/>
  <c r="G147" i="3" s="1"/>
  <c r="C147" i="3" a="1"/>
  <c r="C147" i="3" s="1"/>
  <c r="E147" i="3" a="1"/>
  <c r="E147" i="3" s="1"/>
  <c r="R147" i="3" a="1"/>
  <c r="R147" i="3" s="1"/>
  <c r="Q147" i="3" a="1"/>
  <c r="Q147" i="3" s="1"/>
  <c r="AR36" i="7" s="1"/>
  <c r="K147" i="3" a="1"/>
  <c r="K147" i="3" s="1"/>
  <c r="L147" i="3" a="1"/>
  <c r="L147" i="3" s="1"/>
  <c r="S147" i="3" a="1"/>
  <c r="S147" i="3" s="1"/>
  <c r="M147" i="3" a="1"/>
  <c r="M147" i="3" s="1"/>
  <c r="T147" i="3" a="1"/>
  <c r="T147" i="3" s="1"/>
  <c r="N147" i="3" a="1"/>
  <c r="N147" i="3" s="1"/>
  <c r="O147" i="3" a="1"/>
  <c r="O147" i="3" s="1"/>
  <c r="U147" i="3" a="1"/>
  <c r="U147" i="3" s="1"/>
  <c r="P147" i="3" a="1"/>
  <c r="P147" i="3" s="1"/>
  <c r="AX36" i="7" s="1"/>
  <c r="B148" i="3"/>
  <c r="AV36" i="7" l="1"/>
  <c r="AW36" i="7"/>
  <c r="AQ36" i="7"/>
  <c r="AD148" i="3" a="1"/>
  <c r="AD148" i="3" s="1"/>
  <c r="Y148" i="3" a="1"/>
  <c r="Y148" i="3" s="1"/>
  <c r="Z148" i="3" a="1"/>
  <c r="Z148" i="3" s="1"/>
  <c r="AB148" i="3" a="1"/>
  <c r="AB148" i="3" s="1"/>
  <c r="AC148" i="3" a="1"/>
  <c r="AC148" i="3" s="1"/>
  <c r="AA148" i="3" a="1"/>
  <c r="AA148" i="3" s="1"/>
  <c r="X148" i="3" a="1"/>
  <c r="X148" i="3" s="1"/>
  <c r="V148" i="3" a="1"/>
  <c r="V148" i="3" s="1"/>
  <c r="W148" i="3" a="1"/>
  <c r="W148" i="3" s="1"/>
  <c r="I148" i="3" a="1"/>
  <c r="I148" i="3" s="1"/>
  <c r="J148" i="3" a="1"/>
  <c r="J148" i="3" s="1"/>
  <c r="D148" i="3" a="1"/>
  <c r="D148" i="3" s="1"/>
  <c r="F148" i="3" a="1"/>
  <c r="F148" i="3" s="1"/>
  <c r="H148" i="3" a="1"/>
  <c r="H148" i="3" s="1"/>
  <c r="G148" i="3" a="1"/>
  <c r="G148" i="3" s="1"/>
  <c r="C148" i="3" a="1"/>
  <c r="C148" i="3" s="1"/>
  <c r="Q148" i="3" a="1"/>
  <c r="Q148" i="3" s="1"/>
  <c r="AR37" i="7" s="1"/>
  <c r="E148" i="3" a="1"/>
  <c r="E148" i="3" s="1"/>
  <c r="K148" i="3" a="1"/>
  <c r="K148" i="3" s="1"/>
  <c r="S148" i="3" a="1"/>
  <c r="S148" i="3" s="1"/>
  <c r="L148" i="3" a="1"/>
  <c r="L148" i="3" s="1"/>
  <c r="T148" i="3" a="1"/>
  <c r="T148" i="3" s="1"/>
  <c r="M148" i="3" a="1"/>
  <c r="M148" i="3" s="1"/>
  <c r="R148" i="3" a="1"/>
  <c r="R148" i="3" s="1"/>
  <c r="O148" i="3" a="1"/>
  <c r="O148" i="3" s="1"/>
  <c r="U148" i="3" a="1"/>
  <c r="U148" i="3" s="1"/>
  <c r="P148" i="3" a="1"/>
  <c r="P148" i="3" s="1"/>
  <c r="AX37" i="7" s="1"/>
  <c r="N148" i="3" a="1"/>
  <c r="N148" i="3" s="1"/>
  <c r="B149" i="3"/>
  <c r="AV37" i="7" l="1"/>
  <c r="AW37" i="7"/>
  <c r="AQ37" i="7"/>
  <c r="AD149" i="3" a="1"/>
  <c r="AD149" i="3" s="1"/>
  <c r="Y149" i="3" a="1"/>
  <c r="Y149" i="3" s="1"/>
  <c r="AB149" i="3" a="1"/>
  <c r="AB149" i="3" s="1"/>
  <c r="AC149" i="3" a="1"/>
  <c r="AC149" i="3" s="1"/>
  <c r="Z149" i="3" a="1"/>
  <c r="Z149" i="3" s="1"/>
  <c r="AA149" i="3" a="1"/>
  <c r="AA149" i="3" s="1"/>
  <c r="V149" i="3" a="1"/>
  <c r="V149" i="3" s="1"/>
  <c r="X149" i="3" a="1"/>
  <c r="X149" i="3" s="1"/>
  <c r="W149" i="3" a="1"/>
  <c r="W149" i="3" s="1"/>
  <c r="I149" i="3" a="1"/>
  <c r="I149" i="3" s="1"/>
  <c r="J149" i="3" a="1"/>
  <c r="J149" i="3" s="1"/>
  <c r="D149" i="3" a="1"/>
  <c r="D149" i="3" s="1"/>
  <c r="H149" i="3" a="1"/>
  <c r="H149" i="3" s="1"/>
  <c r="F149" i="3" a="1"/>
  <c r="F149" i="3" s="1"/>
  <c r="G149" i="3" a="1"/>
  <c r="G149" i="3" s="1"/>
  <c r="C149" i="3" a="1"/>
  <c r="C149" i="3" s="1"/>
  <c r="K149" i="3" a="1"/>
  <c r="K149" i="3" s="1"/>
  <c r="E149" i="3" a="1"/>
  <c r="E149" i="3" s="1"/>
  <c r="Q149" i="3" a="1"/>
  <c r="Q149" i="3" s="1"/>
  <c r="AR38" i="7" s="1"/>
  <c r="L149" i="3" a="1"/>
  <c r="L149" i="3" s="1"/>
  <c r="S149" i="3" a="1"/>
  <c r="S149" i="3" s="1"/>
  <c r="M149" i="3" a="1"/>
  <c r="M149" i="3" s="1"/>
  <c r="T149" i="3" a="1"/>
  <c r="T149" i="3" s="1"/>
  <c r="R149" i="3" a="1"/>
  <c r="R149" i="3" s="1"/>
  <c r="P149" i="3" a="1"/>
  <c r="P149" i="3" s="1"/>
  <c r="AX38" i="7" s="1"/>
  <c r="O149" i="3" a="1"/>
  <c r="O149" i="3" s="1"/>
  <c r="U149" i="3" a="1"/>
  <c r="U149" i="3" s="1"/>
  <c r="N149" i="3" a="1"/>
  <c r="N149" i="3" s="1"/>
  <c r="B150" i="3"/>
  <c r="AV38" i="7" l="1"/>
  <c r="AW38" i="7"/>
  <c r="AQ38" i="7"/>
  <c r="Y150" i="3" a="1"/>
  <c r="Y150" i="3" s="1"/>
  <c r="AD150" i="3" a="1"/>
  <c r="AD150" i="3" s="1"/>
  <c r="Z150" i="3" a="1"/>
  <c r="Z150" i="3" s="1"/>
  <c r="AA150" i="3" a="1"/>
  <c r="AA150" i="3" s="1"/>
  <c r="AB150" i="3" a="1"/>
  <c r="AB150" i="3" s="1"/>
  <c r="AC150" i="3" a="1"/>
  <c r="AC150" i="3" s="1"/>
  <c r="X150" i="3" a="1"/>
  <c r="X150" i="3" s="1"/>
  <c r="V150" i="3" a="1"/>
  <c r="V150" i="3" s="1"/>
  <c r="W150" i="3" a="1"/>
  <c r="W150" i="3" s="1"/>
  <c r="I150" i="3" a="1"/>
  <c r="I150" i="3" s="1"/>
  <c r="J150" i="3" a="1"/>
  <c r="J150" i="3" s="1"/>
  <c r="D150" i="3" a="1"/>
  <c r="D150" i="3" s="1"/>
  <c r="F150" i="3" a="1"/>
  <c r="F150" i="3" s="1"/>
  <c r="H150" i="3" a="1"/>
  <c r="H150" i="3" s="1"/>
  <c r="G150" i="3" a="1"/>
  <c r="G150" i="3" s="1"/>
  <c r="C150" i="3" a="1"/>
  <c r="C150" i="3" s="1"/>
  <c r="Q150" i="3" a="1"/>
  <c r="Q150" i="3" s="1"/>
  <c r="AR39" i="7" s="1"/>
  <c r="E150" i="3" a="1"/>
  <c r="E150" i="3" s="1"/>
  <c r="K150" i="3" a="1"/>
  <c r="K150" i="3" s="1"/>
  <c r="R150" i="3" a="1"/>
  <c r="R150" i="3" s="1"/>
  <c r="L150" i="3" a="1"/>
  <c r="L150" i="3" s="1"/>
  <c r="M150" i="3" a="1"/>
  <c r="M150" i="3" s="1"/>
  <c r="T150" i="3" a="1"/>
  <c r="T150" i="3" s="1"/>
  <c r="S150" i="3" a="1"/>
  <c r="S150" i="3" s="1"/>
  <c r="P150" i="3" a="1"/>
  <c r="P150" i="3" s="1"/>
  <c r="AX39" i="7" s="1"/>
  <c r="O150" i="3" a="1"/>
  <c r="O150" i="3" s="1"/>
  <c r="U150" i="3" a="1"/>
  <c r="U150" i="3" s="1"/>
  <c r="N150" i="3" a="1"/>
  <c r="N150" i="3" s="1"/>
  <c r="B151" i="3"/>
  <c r="AW39" i="7" l="1"/>
  <c r="AQ39" i="7"/>
  <c r="AV39" i="7"/>
  <c r="AD151" i="3" a="1"/>
  <c r="AD151" i="3" s="1"/>
  <c r="Y151" i="3" a="1"/>
  <c r="Y151" i="3" s="1"/>
  <c r="Z151" i="3" a="1"/>
  <c r="Z151" i="3" s="1"/>
  <c r="AB151" i="3" a="1"/>
  <c r="AB151" i="3" s="1"/>
  <c r="AA151" i="3" a="1"/>
  <c r="AA151" i="3" s="1"/>
  <c r="AC151" i="3" a="1"/>
  <c r="AC151" i="3" s="1"/>
  <c r="X151" i="3" a="1"/>
  <c r="X151" i="3" s="1"/>
  <c r="V151" i="3" a="1"/>
  <c r="V151" i="3" s="1"/>
  <c r="W151" i="3" a="1"/>
  <c r="W151" i="3" s="1"/>
  <c r="I151" i="3" a="1"/>
  <c r="I151" i="3" s="1"/>
  <c r="J151" i="3" a="1"/>
  <c r="J151" i="3" s="1"/>
  <c r="D151" i="3" a="1"/>
  <c r="D151" i="3" s="1"/>
  <c r="G151" i="3" a="1"/>
  <c r="G151" i="3" s="1"/>
  <c r="F151" i="3" a="1"/>
  <c r="F151" i="3" s="1"/>
  <c r="H151" i="3" a="1"/>
  <c r="H151" i="3" s="1"/>
  <c r="C151" i="3" a="1"/>
  <c r="C151" i="3" s="1"/>
  <c r="Q151" i="3" a="1"/>
  <c r="Q151" i="3" s="1"/>
  <c r="AR40" i="7" s="1"/>
  <c r="K151" i="3" a="1"/>
  <c r="K151" i="3" s="1"/>
  <c r="E151" i="3" a="1"/>
  <c r="E151" i="3" s="1"/>
  <c r="S151" i="3" a="1"/>
  <c r="S151" i="3" s="1"/>
  <c r="T151" i="3" a="1"/>
  <c r="T151" i="3" s="1"/>
  <c r="L151" i="3" a="1"/>
  <c r="L151" i="3" s="1"/>
  <c r="R151" i="3" a="1"/>
  <c r="R151" i="3" s="1"/>
  <c r="M151" i="3" a="1"/>
  <c r="M151" i="3" s="1"/>
  <c r="U151" i="3" a="1"/>
  <c r="U151" i="3" s="1"/>
  <c r="P151" i="3" a="1"/>
  <c r="P151" i="3" s="1"/>
  <c r="AX40" i="7" s="1"/>
  <c r="O151" i="3" a="1"/>
  <c r="O151" i="3" s="1"/>
  <c r="N151" i="3" a="1"/>
  <c r="N151" i="3" s="1"/>
  <c r="B152" i="3"/>
  <c r="AV40" i="7" l="1"/>
  <c r="AW40" i="7"/>
  <c r="AQ40" i="7"/>
  <c r="AD152" i="3" a="1"/>
  <c r="AD152" i="3" s="1"/>
  <c r="Y152" i="3" a="1"/>
  <c r="Y152" i="3" s="1"/>
  <c r="Z152" i="3" a="1"/>
  <c r="Z152" i="3" s="1"/>
  <c r="AB152" i="3" a="1"/>
  <c r="AB152" i="3" s="1"/>
  <c r="AC152" i="3" a="1"/>
  <c r="AC152" i="3" s="1"/>
  <c r="AA152" i="3" a="1"/>
  <c r="AA152" i="3" s="1"/>
  <c r="X152" i="3" a="1"/>
  <c r="X152" i="3" s="1"/>
  <c r="W152" i="3" a="1"/>
  <c r="W152" i="3" s="1"/>
  <c r="V152" i="3" a="1"/>
  <c r="V152" i="3" s="1"/>
  <c r="I152" i="3" a="1"/>
  <c r="I152" i="3" s="1"/>
  <c r="J152" i="3" a="1"/>
  <c r="J152" i="3" s="1"/>
  <c r="D152" i="3" a="1"/>
  <c r="D152" i="3" s="1"/>
  <c r="H152" i="3" a="1"/>
  <c r="H152" i="3" s="1"/>
  <c r="F152" i="3" a="1"/>
  <c r="F152" i="3" s="1"/>
  <c r="G152" i="3" a="1"/>
  <c r="G152" i="3" s="1"/>
  <c r="C152" i="3" a="1"/>
  <c r="C152" i="3" s="1"/>
  <c r="K152" i="3" a="1"/>
  <c r="K152" i="3" s="1"/>
  <c r="Q152" i="3" a="1"/>
  <c r="Q152" i="3" s="1"/>
  <c r="AR41" i="7" s="1"/>
  <c r="E152" i="3" a="1"/>
  <c r="E152" i="3" s="1"/>
  <c r="L152" i="3" a="1"/>
  <c r="L152" i="3" s="1"/>
  <c r="T152" i="3" a="1"/>
  <c r="T152" i="3" s="1"/>
  <c r="R152" i="3" a="1"/>
  <c r="R152" i="3" s="1"/>
  <c r="S152" i="3" a="1"/>
  <c r="S152" i="3" s="1"/>
  <c r="M152" i="3" a="1"/>
  <c r="M152" i="3" s="1"/>
  <c r="U152" i="3" a="1"/>
  <c r="U152" i="3" s="1"/>
  <c r="N152" i="3" a="1"/>
  <c r="N152" i="3" s="1"/>
  <c r="P152" i="3" a="1"/>
  <c r="P152" i="3" s="1"/>
  <c r="AX41" i="7" s="1"/>
  <c r="O152" i="3" a="1"/>
  <c r="O152" i="3" s="1"/>
  <c r="B153" i="3"/>
  <c r="AV41" i="7" l="1"/>
  <c r="AW41" i="7"/>
  <c r="AQ41" i="7"/>
  <c r="AD153" i="3" a="1"/>
  <c r="AD153" i="3" s="1"/>
  <c r="Z153" i="3" a="1"/>
  <c r="Z153" i="3" s="1"/>
  <c r="Y153" i="3" a="1"/>
  <c r="Y153" i="3" s="1"/>
  <c r="AC153" i="3" a="1"/>
  <c r="AC153" i="3" s="1"/>
  <c r="AB153" i="3" a="1"/>
  <c r="AB153" i="3" s="1"/>
  <c r="AA153" i="3" a="1"/>
  <c r="AA153" i="3" s="1"/>
  <c r="X153" i="3" a="1"/>
  <c r="X153" i="3" s="1"/>
  <c r="V153" i="3" a="1"/>
  <c r="V153" i="3" s="1"/>
  <c r="W153" i="3" a="1"/>
  <c r="W153" i="3" s="1"/>
  <c r="I153" i="3" a="1"/>
  <c r="I153" i="3" s="1"/>
  <c r="J153" i="3" a="1"/>
  <c r="J153" i="3" s="1"/>
  <c r="D153" i="3" a="1"/>
  <c r="D153" i="3" s="1"/>
  <c r="G153" i="3" a="1"/>
  <c r="G153" i="3" s="1"/>
  <c r="H153" i="3" a="1"/>
  <c r="H153" i="3" s="1"/>
  <c r="F153" i="3" a="1"/>
  <c r="F153" i="3" s="1"/>
  <c r="C153" i="3" a="1"/>
  <c r="C153" i="3" s="1"/>
  <c r="E153" i="3" a="1"/>
  <c r="E153" i="3" s="1"/>
  <c r="Q153" i="3" a="1"/>
  <c r="Q153" i="3" s="1"/>
  <c r="AR42" i="7" s="1"/>
  <c r="K153" i="3" a="1"/>
  <c r="K153" i="3" s="1"/>
  <c r="S153" i="3" a="1"/>
  <c r="S153" i="3" s="1"/>
  <c r="T153" i="3" a="1"/>
  <c r="T153" i="3" s="1"/>
  <c r="R153" i="3" a="1"/>
  <c r="R153" i="3" s="1"/>
  <c r="L153" i="3" a="1"/>
  <c r="L153" i="3" s="1"/>
  <c r="M153" i="3" a="1"/>
  <c r="M153" i="3" s="1"/>
  <c r="O153" i="3" a="1"/>
  <c r="O153" i="3" s="1"/>
  <c r="N153" i="3" a="1"/>
  <c r="N153" i="3" s="1"/>
  <c r="U153" i="3" a="1"/>
  <c r="U153" i="3" s="1"/>
  <c r="P153" i="3" a="1"/>
  <c r="P153" i="3" s="1"/>
  <c r="AX42" i="7" s="1"/>
  <c r="B154" i="3"/>
  <c r="AV42" i="7" l="1"/>
  <c r="AW42" i="7"/>
  <c r="AQ42" i="7"/>
  <c r="AD154" i="3" a="1"/>
  <c r="AD154" i="3" s="1"/>
  <c r="Y154" i="3" a="1"/>
  <c r="Y154" i="3" s="1"/>
  <c r="Z154" i="3" a="1"/>
  <c r="Z154" i="3" s="1"/>
  <c r="AB154" i="3" a="1"/>
  <c r="AB154" i="3" s="1"/>
  <c r="AA154" i="3" a="1"/>
  <c r="AA154" i="3" s="1"/>
  <c r="AC154" i="3" a="1"/>
  <c r="AC154" i="3" s="1"/>
  <c r="X154" i="3" a="1"/>
  <c r="X154" i="3" s="1"/>
  <c r="V154" i="3" a="1"/>
  <c r="V154" i="3" s="1"/>
  <c r="W154" i="3" a="1"/>
  <c r="W154" i="3" s="1"/>
  <c r="I154" i="3" a="1"/>
  <c r="I154" i="3" s="1"/>
  <c r="J154" i="3" a="1"/>
  <c r="J154" i="3" s="1"/>
  <c r="D154" i="3" a="1"/>
  <c r="D154" i="3" s="1"/>
  <c r="H154" i="3" a="1"/>
  <c r="H154" i="3" s="1"/>
  <c r="F154" i="3" a="1"/>
  <c r="F154" i="3" s="1"/>
  <c r="G154" i="3" a="1"/>
  <c r="G154" i="3" s="1"/>
  <c r="C154" i="3" a="1"/>
  <c r="C154" i="3" s="1"/>
  <c r="Q154" i="3" a="1"/>
  <c r="Q154" i="3" s="1"/>
  <c r="AR43" i="7" s="1"/>
  <c r="K154" i="3" a="1"/>
  <c r="K154" i="3" s="1"/>
  <c r="E154" i="3" a="1"/>
  <c r="E154" i="3" s="1"/>
  <c r="L154" i="3" a="1"/>
  <c r="L154" i="3" s="1"/>
  <c r="S154" i="3" a="1"/>
  <c r="S154" i="3" s="1"/>
  <c r="R154" i="3" a="1"/>
  <c r="R154" i="3" s="1"/>
  <c r="T154" i="3" a="1"/>
  <c r="T154" i="3" s="1"/>
  <c r="M154" i="3" a="1"/>
  <c r="M154" i="3" s="1"/>
  <c r="P154" i="3" a="1"/>
  <c r="P154" i="3" s="1"/>
  <c r="AX43" i="7" s="1"/>
  <c r="O154" i="3" a="1"/>
  <c r="O154" i="3" s="1"/>
  <c r="U154" i="3" a="1"/>
  <c r="U154" i="3" s="1"/>
  <c r="N154" i="3" a="1"/>
  <c r="N154" i="3" s="1"/>
  <c r="B155" i="3"/>
  <c r="AV43" i="7" l="1"/>
  <c r="AW43" i="7"/>
  <c r="AQ43" i="7"/>
  <c r="Y155" i="3" a="1"/>
  <c r="Y155" i="3" s="1"/>
  <c r="AD155" i="3" a="1"/>
  <c r="AD155" i="3" s="1"/>
  <c r="AB155" i="3" a="1"/>
  <c r="AB155" i="3" s="1"/>
  <c r="Z155" i="3" a="1"/>
  <c r="Z155" i="3" s="1"/>
  <c r="AA155" i="3" a="1"/>
  <c r="AA155" i="3" s="1"/>
  <c r="AC155" i="3" a="1"/>
  <c r="AC155" i="3" s="1"/>
  <c r="W155" i="3" a="1"/>
  <c r="W155" i="3" s="1"/>
  <c r="X155" i="3" a="1"/>
  <c r="X155" i="3" s="1"/>
  <c r="V155" i="3" a="1"/>
  <c r="V155" i="3" s="1"/>
  <c r="I155" i="3" a="1"/>
  <c r="I155" i="3" s="1"/>
  <c r="J155" i="3" a="1"/>
  <c r="J155" i="3" s="1"/>
  <c r="D155" i="3" a="1"/>
  <c r="D155" i="3" s="1"/>
  <c r="F155" i="3" a="1"/>
  <c r="F155" i="3" s="1"/>
  <c r="G155" i="3" a="1"/>
  <c r="G155" i="3" s="1"/>
  <c r="H155" i="3" a="1"/>
  <c r="H155" i="3" s="1"/>
  <c r="C155" i="3" a="1"/>
  <c r="C155" i="3" s="1"/>
  <c r="K155" i="3" a="1"/>
  <c r="K155" i="3" s="1"/>
  <c r="Q155" i="3" a="1"/>
  <c r="Q155" i="3" s="1"/>
  <c r="AR44" i="7" s="1"/>
  <c r="E155" i="3" a="1"/>
  <c r="E155" i="3" s="1"/>
  <c r="S155" i="3" a="1"/>
  <c r="S155" i="3" s="1"/>
  <c r="M155" i="3" a="1"/>
  <c r="M155" i="3" s="1"/>
  <c r="R155" i="3" a="1"/>
  <c r="R155" i="3" s="1"/>
  <c r="T155" i="3" a="1"/>
  <c r="T155" i="3" s="1"/>
  <c r="L155" i="3" a="1"/>
  <c r="L155" i="3" s="1"/>
  <c r="U155" i="3" a="1"/>
  <c r="U155" i="3" s="1"/>
  <c r="O155" i="3" a="1"/>
  <c r="O155" i="3" s="1"/>
  <c r="P155" i="3" a="1"/>
  <c r="P155" i="3" s="1"/>
  <c r="AX44" i="7" s="1"/>
  <c r="N155" i="3" a="1"/>
  <c r="N155" i="3" s="1"/>
  <c r="B156" i="3"/>
  <c r="AV44" i="7" l="1"/>
  <c r="AW44" i="7"/>
  <c r="AQ44" i="7"/>
  <c r="AD156" i="3" a="1"/>
  <c r="AD156" i="3" s="1"/>
  <c r="Y156" i="3" a="1"/>
  <c r="Y156" i="3" s="1"/>
  <c r="Z156" i="3" a="1"/>
  <c r="Z156" i="3" s="1"/>
  <c r="AB156" i="3" a="1"/>
  <c r="AB156" i="3" s="1"/>
  <c r="AC156" i="3" a="1"/>
  <c r="AC156" i="3" s="1"/>
  <c r="AA156" i="3" a="1"/>
  <c r="AA156" i="3" s="1"/>
  <c r="X156" i="3" a="1"/>
  <c r="X156" i="3" s="1"/>
  <c r="W156" i="3" a="1"/>
  <c r="W156" i="3" s="1"/>
  <c r="V156" i="3" a="1"/>
  <c r="V156" i="3" s="1"/>
  <c r="I156" i="3" a="1"/>
  <c r="I156" i="3" s="1"/>
  <c r="J156" i="3" a="1"/>
  <c r="J156" i="3" s="1"/>
  <c r="D156" i="3" a="1"/>
  <c r="D156" i="3" s="1"/>
  <c r="F156" i="3" a="1"/>
  <c r="F156" i="3" s="1"/>
  <c r="H156" i="3" a="1"/>
  <c r="H156" i="3" s="1"/>
  <c r="G156" i="3" a="1"/>
  <c r="G156" i="3" s="1"/>
  <c r="C156" i="3" a="1"/>
  <c r="C156" i="3" s="1"/>
  <c r="E156" i="3" a="1"/>
  <c r="E156" i="3" s="1"/>
  <c r="Q156" i="3" a="1"/>
  <c r="Q156" i="3" s="1"/>
  <c r="AR45" i="7" s="1"/>
  <c r="K156" i="3" a="1"/>
  <c r="K156" i="3" s="1"/>
  <c r="S156" i="3" a="1"/>
  <c r="S156" i="3" s="1"/>
  <c r="L156" i="3" a="1"/>
  <c r="L156" i="3" s="1"/>
  <c r="R156" i="3" a="1"/>
  <c r="R156" i="3" s="1"/>
  <c r="T156" i="3" a="1"/>
  <c r="T156" i="3" s="1"/>
  <c r="O156" i="3" a="1"/>
  <c r="O156" i="3" s="1"/>
  <c r="P156" i="3" a="1"/>
  <c r="P156" i="3" s="1"/>
  <c r="AX45" i="7" s="1"/>
  <c r="M156" i="3" a="1"/>
  <c r="M156" i="3" s="1"/>
  <c r="U156" i="3" a="1"/>
  <c r="U156" i="3" s="1"/>
  <c r="N156" i="3" a="1"/>
  <c r="N156" i="3" s="1"/>
  <c r="B157" i="3"/>
  <c r="AW45" i="7" l="1"/>
  <c r="AQ45" i="7"/>
  <c r="AV45" i="7"/>
  <c r="AD157" i="3" a="1"/>
  <c r="AD157" i="3" s="1"/>
  <c r="Y157" i="3" a="1"/>
  <c r="Y157" i="3" s="1"/>
  <c r="Z157" i="3" a="1"/>
  <c r="Z157" i="3" s="1"/>
  <c r="AC157" i="3" a="1"/>
  <c r="AC157" i="3" s="1"/>
  <c r="AB157" i="3" a="1"/>
  <c r="AB157" i="3" s="1"/>
  <c r="AA157" i="3" a="1"/>
  <c r="AA157" i="3" s="1"/>
  <c r="V157" i="3" a="1"/>
  <c r="V157" i="3" s="1"/>
  <c r="X157" i="3" a="1"/>
  <c r="X157" i="3" s="1"/>
  <c r="W157" i="3" a="1"/>
  <c r="W157" i="3" s="1"/>
  <c r="I157" i="3" a="1"/>
  <c r="I157" i="3" s="1"/>
  <c r="J157" i="3" a="1"/>
  <c r="J157" i="3" s="1"/>
  <c r="D157" i="3" a="1"/>
  <c r="D157" i="3" s="1"/>
  <c r="H157" i="3" a="1"/>
  <c r="H157" i="3" s="1"/>
  <c r="F157" i="3" a="1"/>
  <c r="F157" i="3" s="1"/>
  <c r="G157" i="3" a="1"/>
  <c r="G157" i="3" s="1"/>
  <c r="C157" i="3" a="1"/>
  <c r="C157" i="3" s="1"/>
  <c r="Q157" i="3" a="1"/>
  <c r="Q157" i="3" s="1"/>
  <c r="AR46" i="7" s="1"/>
  <c r="E157" i="3" a="1"/>
  <c r="E157" i="3" s="1"/>
  <c r="K157" i="3" a="1"/>
  <c r="K157" i="3" s="1"/>
  <c r="S157" i="3" a="1"/>
  <c r="S157" i="3" s="1"/>
  <c r="M157" i="3" a="1"/>
  <c r="M157" i="3" s="1"/>
  <c r="R157" i="3" a="1"/>
  <c r="R157" i="3" s="1"/>
  <c r="L157" i="3" a="1"/>
  <c r="L157" i="3" s="1"/>
  <c r="T157" i="3" a="1"/>
  <c r="T157" i="3" s="1"/>
  <c r="U157" i="3" a="1"/>
  <c r="U157" i="3" s="1"/>
  <c r="N157" i="3" a="1"/>
  <c r="N157" i="3" s="1"/>
  <c r="P157" i="3" a="1"/>
  <c r="P157" i="3" s="1"/>
  <c r="AX46" i="7" s="1"/>
  <c r="O157" i="3" a="1"/>
  <c r="O157" i="3" s="1"/>
  <c r="B158" i="3"/>
  <c r="AV46" i="7" l="1"/>
  <c r="AW46" i="7"/>
  <c r="AQ46" i="7"/>
  <c r="AD158" i="3" a="1"/>
  <c r="AD158" i="3" s="1"/>
  <c r="Y158" i="3" a="1"/>
  <c r="Y158" i="3" s="1"/>
  <c r="Z158" i="3" a="1"/>
  <c r="Z158" i="3" s="1"/>
  <c r="AC158" i="3" a="1"/>
  <c r="AC158" i="3" s="1"/>
  <c r="AA158" i="3" a="1"/>
  <c r="AA158" i="3" s="1"/>
  <c r="AB158" i="3" a="1"/>
  <c r="AB158" i="3" s="1"/>
  <c r="X158" i="3" a="1"/>
  <c r="X158" i="3" s="1"/>
  <c r="V158" i="3" a="1"/>
  <c r="V158" i="3" s="1"/>
  <c r="W158" i="3" a="1"/>
  <c r="W158" i="3" s="1"/>
  <c r="I158" i="3" a="1"/>
  <c r="I158" i="3" s="1"/>
  <c r="J158" i="3" a="1"/>
  <c r="J158" i="3" s="1"/>
  <c r="D158" i="3" a="1"/>
  <c r="D158" i="3" s="1"/>
  <c r="H158" i="3" a="1"/>
  <c r="H158" i="3" s="1"/>
  <c r="F158" i="3" a="1"/>
  <c r="F158" i="3" s="1"/>
  <c r="G158" i="3" a="1"/>
  <c r="G158" i="3" s="1"/>
  <c r="C158" i="3" a="1"/>
  <c r="C158" i="3" s="1"/>
  <c r="E158" i="3" a="1"/>
  <c r="E158" i="3" s="1"/>
  <c r="Q158" i="3" a="1"/>
  <c r="Q158" i="3" s="1"/>
  <c r="AR47" i="7" s="1"/>
  <c r="K158" i="3" a="1"/>
  <c r="K158" i="3" s="1"/>
  <c r="L158" i="3" a="1"/>
  <c r="L158" i="3" s="1"/>
  <c r="S158" i="3" a="1"/>
  <c r="S158" i="3" s="1"/>
  <c r="R158" i="3" a="1"/>
  <c r="R158" i="3" s="1"/>
  <c r="T158" i="3" a="1"/>
  <c r="T158" i="3" s="1"/>
  <c r="M158" i="3" a="1"/>
  <c r="M158" i="3" s="1"/>
  <c r="P158" i="3" a="1"/>
  <c r="P158" i="3" s="1"/>
  <c r="AX47" i="7" s="1"/>
  <c r="O158" i="3" a="1"/>
  <c r="O158" i="3" s="1"/>
  <c r="U158" i="3" a="1"/>
  <c r="U158" i="3" s="1"/>
  <c r="N158" i="3" a="1"/>
  <c r="N158" i="3" s="1"/>
  <c r="B159" i="3"/>
  <c r="AV47" i="7" l="1"/>
  <c r="AW47" i="7"/>
  <c r="AQ47" i="7"/>
  <c r="AD159" i="3" a="1"/>
  <c r="AD159" i="3" s="1"/>
  <c r="Y159" i="3" a="1"/>
  <c r="Y159" i="3" s="1"/>
  <c r="AB159" i="3" a="1"/>
  <c r="AB159" i="3" s="1"/>
  <c r="Z159" i="3" a="1"/>
  <c r="Z159" i="3" s="1"/>
  <c r="AC159" i="3" a="1"/>
  <c r="AC159" i="3" s="1"/>
  <c r="AA159" i="3" a="1"/>
  <c r="AA159" i="3" s="1"/>
  <c r="X159" i="3" a="1"/>
  <c r="X159" i="3" s="1"/>
  <c r="W159" i="3" a="1"/>
  <c r="W159" i="3" s="1"/>
  <c r="V159" i="3" a="1"/>
  <c r="V159" i="3" s="1"/>
  <c r="I159" i="3" a="1"/>
  <c r="I159" i="3" s="1"/>
  <c r="J159" i="3" a="1"/>
  <c r="J159" i="3" s="1"/>
  <c r="D159" i="3" a="1"/>
  <c r="D159" i="3" s="1"/>
  <c r="H159" i="3" a="1"/>
  <c r="H159" i="3" s="1"/>
  <c r="F159" i="3" a="1"/>
  <c r="F159" i="3" s="1"/>
  <c r="G159" i="3" a="1"/>
  <c r="G159" i="3" s="1"/>
  <c r="C159" i="3" a="1"/>
  <c r="C159" i="3" s="1"/>
  <c r="E159" i="3" a="1"/>
  <c r="E159" i="3" s="1"/>
  <c r="Q159" i="3" a="1"/>
  <c r="Q159" i="3" s="1"/>
  <c r="AR48" i="7" s="1"/>
  <c r="K159" i="3" a="1"/>
  <c r="K159" i="3" s="1"/>
  <c r="S159" i="3" a="1"/>
  <c r="S159" i="3" s="1"/>
  <c r="L159" i="3" a="1"/>
  <c r="L159" i="3" s="1"/>
  <c r="R159" i="3" a="1"/>
  <c r="R159" i="3" s="1"/>
  <c r="T159" i="3" a="1"/>
  <c r="T159" i="3" s="1"/>
  <c r="O159" i="3" a="1"/>
  <c r="O159" i="3" s="1"/>
  <c r="U159" i="3" a="1"/>
  <c r="U159" i="3" s="1"/>
  <c r="M159" i="3" a="1"/>
  <c r="M159" i="3" s="1"/>
  <c r="P159" i="3" a="1"/>
  <c r="P159" i="3" s="1"/>
  <c r="AX48" i="7" s="1"/>
  <c r="N159" i="3" a="1"/>
  <c r="N159" i="3" s="1"/>
  <c r="B160" i="3"/>
  <c r="AW48" i="7" l="1"/>
  <c r="AQ48" i="7"/>
  <c r="AV48" i="7"/>
  <c r="AD160" i="3" a="1"/>
  <c r="AD160" i="3" s="1"/>
  <c r="Y160" i="3" a="1"/>
  <c r="Y160" i="3" s="1"/>
  <c r="Z160" i="3" a="1"/>
  <c r="Z160" i="3" s="1"/>
  <c r="AC160" i="3" a="1"/>
  <c r="AC160" i="3" s="1"/>
  <c r="AB160" i="3" a="1"/>
  <c r="AB160" i="3" s="1"/>
  <c r="AA160" i="3" a="1"/>
  <c r="AA160" i="3" s="1"/>
  <c r="X160" i="3" a="1"/>
  <c r="X160" i="3" s="1"/>
  <c r="V160" i="3" a="1"/>
  <c r="V160" i="3" s="1"/>
  <c r="W160" i="3" a="1"/>
  <c r="W160" i="3" s="1"/>
  <c r="I160" i="3" a="1"/>
  <c r="I160" i="3" s="1"/>
  <c r="J160" i="3" a="1"/>
  <c r="J160" i="3" s="1"/>
  <c r="D160" i="3" a="1"/>
  <c r="D160" i="3" s="1"/>
  <c r="F160" i="3" a="1"/>
  <c r="F160" i="3" s="1"/>
  <c r="H160" i="3" a="1"/>
  <c r="H160" i="3" s="1"/>
  <c r="G160" i="3" a="1"/>
  <c r="G160" i="3" s="1"/>
  <c r="C160" i="3" a="1"/>
  <c r="C160" i="3" s="1"/>
  <c r="K160" i="3" a="1"/>
  <c r="K160" i="3" s="1"/>
  <c r="Q160" i="3" a="1"/>
  <c r="Q160" i="3" s="1"/>
  <c r="AR49" i="7" s="1"/>
  <c r="E160" i="3" a="1"/>
  <c r="E160" i="3" s="1"/>
  <c r="L160" i="3" a="1"/>
  <c r="L160" i="3" s="1"/>
  <c r="S160" i="3" a="1"/>
  <c r="S160" i="3" s="1"/>
  <c r="M160" i="3" a="1"/>
  <c r="M160" i="3" s="1"/>
  <c r="R160" i="3" a="1"/>
  <c r="R160" i="3" s="1"/>
  <c r="T160" i="3" a="1"/>
  <c r="T160" i="3" s="1"/>
  <c r="U160" i="3" a="1"/>
  <c r="U160" i="3" s="1"/>
  <c r="N160" i="3" a="1"/>
  <c r="N160" i="3" s="1"/>
  <c r="O160" i="3" a="1"/>
  <c r="O160" i="3" s="1"/>
  <c r="P160" i="3" a="1"/>
  <c r="P160" i="3" s="1"/>
  <c r="AX49" i="7" s="1"/>
  <c r="B161" i="3"/>
  <c r="AV49" i="7" l="1"/>
  <c r="AW49" i="7"/>
  <c r="AQ49" i="7"/>
  <c r="AD161" i="3" a="1"/>
  <c r="AD161" i="3" s="1"/>
  <c r="Y161" i="3" a="1"/>
  <c r="Y161" i="3" s="1"/>
  <c r="Z161" i="3" a="1"/>
  <c r="Z161" i="3" s="1"/>
  <c r="AB161" i="3" a="1"/>
  <c r="AB161" i="3" s="1"/>
  <c r="AA161" i="3" a="1"/>
  <c r="AA161" i="3" s="1"/>
  <c r="AC161" i="3" a="1"/>
  <c r="AC161" i="3" s="1"/>
  <c r="X161" i="3" a="1"/>
  <c r="X161" i="3" s="1"/>
  <c r="V161" i="3" a="1"/>
  <c r="V161" i="3" s="1"/>
  <c r="W161" i="3" a="1"/>
  <c r="W161" i="3" s="1"/>
  <c r="I161" i="3" a="1"/>
  <c r="I161" i="3" s="1"/>
  <c r="J161" i="3" a="1"/>
  <c r="J161" i="3" s="1"/>
  <c r="D161" i="3" a="1"/>
  <c r="D161" i="3" s="1"/>
  <c r="G161" i="3" a="1"/>
  <c r="G161" i="3" s="1"/>
  <c r="H161" i="3" a="1"/>
  <c r="H161" i="3" s="1"/>
  <c r="F161" i="3" a="1"/>
  <c r="F161" i="3" s="1"/>
  <c r="C161" i="3" a="1"/>
  <c r="C161" i="3" s="1"/>
  <c r="Q161" i="3" a="1"/>
  <c r="Q161" i="3" s="1"/>
  <c r="AR50" i="7" s="1"/>
  <c r="E161" i="3" a="1"/>
  <c r="E161" i="3" s="1"/>
  <c r="K161" i="3" a="1"/>
  <c r="K161" i="3" s="1"/>
  <c r="R161" i="3" a="1"/>
  <c r="R161" i="3" s="1"/>
  <c r="S161" i="3" a="1"/>
  <c r="S161" i="3" s="1"/>
  <c r="M161" i="3" a="1"/>
  <c r="M161" i="3" s="1"/>
  <c r="L161" i="3" a="1"/>
  <c r="L161" i="3" s="1"/>
  <c r="T161" i="3" a="1"/>
  <c r="T161" i="3" s="1"/>
  <c r="O161" i="3" a="1"/>
  <c r="O161" i="3" s="1"/>
  <c r="U161" i="3" a="1"/>
  <c r="U161" i="3" s="1"/>
  <c r="N161" i="3" a="1"/>
  <c r="N161" i="3" s="1"/>
  <c r="P161" i="3" a="1"/>
  <c r="P161" i="3" s="1"/>
  <c r="AX50" i="7" s="1"/>
  <c r="B162" i="3"/>
  <c r="AV50" i="7" l="1"/>
  <c r="AW50" i="7"/>
  <c r="AQ50" i="7"/>
  <c r="AD162" i="3" a="1"/>
  <c r="AD162" i="3" s="1"/>
  <c r="Y162" i="3" a="1"/>
  <c r="Y162" i="3" s="1"/>
  <c r="AB162" i="3" a="1"/>
  <c r="AB162" i="3" s="1"/>
  <c r="Z162" i="3" a="1"/>
  <c r="Z162" i="3" s="1"/>
  <c r="AA162" i="3" a="1"/>
  <c r="AA162" i="3" s="1"/>
  <c r="AC162" i="3" a="1"/>
  <c r="AC162" i="3" s="1"/>
  <c r="X162" i="3" a="1"/>
  <c r="X162" i="3" s="1"/>
  <c r="V162" i="3" a="1"/>
  <c r="V162" i="3" s="1"/>
  <c r="W162" i="3" a="1"/>
  <c r="W162" i="3" s="1"/>
  <c r="I162" i="3" a="1"/>
  <c r="I162" i="3" s="1"/>
  <c r="J162" i="3" a="1"/>
  <c r="J162" i="3" s="1"/>
  <c r="D162" i="3" a="1"/>
  <c r="D162" i="3" s="1"/>
  <c r="F162" i="3" a="1"/>
  <c r="F162" i="3" s="1"/>
  <c r="H162" i="3" a="1"/>
  <c r="H162" i="3" s="1"/>
  <c r="G162" i="3" a="1"/>
  <c r="G162" i="3" s="1"/>
  <c r="C162" i="3" a="1"/>
  <c r="C162" i="3" s="1"/>
  <c r="E162" i="3" a="1"/>
  <c r="E162" i="3" s="1"/>
  <c r="K162" i="3" a="1"/>
  <c r="K162" i="3" s="1"/>
  <c r="Q162" i="3" a="1"/>
  <c r="Q162" i="3" s="1"/>
  <c r="AR51" i="7" s="1"/>
  <c r="R162" i="3" a="1"/>
  <c r="R162" i="3" s="1"/>
  <c r="L162" i="3" a="1"/>
  <c r="L162" i="3" s="1"/>
  <c r="T162" i="3" a="1"/>
  <c r="T162" i="3" s="1"/>
  <c r="M162" i="3" a="1"/>
  <c r="M162" i="3" s="1"/>
  <c r="S162" i="3" a="1"/>
  <c r="S162" i="3" s="1"/>
  <c r="P162" i="3" a="1"/>
  <c r="P162" i="3" s="1"/>
  <c r="AX51" i="7" s="1"/>
  <c r="O162" i="3" a="1"/>
  <c r="O162" i="3" s="1"/>
  <c r="N162" i="3" a="1"/>
  <c r="N162" i="3" s="1"/>
  <c r="U162" i="3" a="1"/>
  <c r="U162" i="3" s="1"/>
  <c r="B163" i="3"/>
  <c r="AV51" i="7" l="1"/>
  <c r="AW51" i="7"/>
  <c r="AQ51" i="7"/>
  <c r="Y163" i="3" a="1"/>
  <c r="Y163" i="3" s="1"/>
  <c r="AD163" i="3" a="1"/>
  <c r="AD163" i="3" s="1"/>
  <c r="Z163" i="3" a="1"/>
  <c r="Z163" i="3" s="1"/>
  <c r="AA163" i="3" a="1"/>
  <c r="AA163" i="3" s="1"/>
  <c r="AC163" i="3" a="1"/>
  <c r="AC163" i="3" s="1"/>
  <c r="AB163" i="3" a="1"/>
  <c r="AB163" i="3" s="1"/>
  <c r="X163" i="3" a="1"/>
  <c r="X163" i="3" s="1"/>
  <c r="V163" i="3" a="1"/>
  <c r="V163" i="3" s="1"/>
  <c r="W163" i="3" a="1"/>
  <c r="W163" i="3" s="1"/>
  <c r="I163" i="3" a="1"/>
  <c r="I163" i="3" s="1"/>
  <c r="J163" i="3" a="1"/>
  <c r="J163" i="3" s="1"/>
  <c r="D163" i="3" a="1"/>
  <c r="D163" i="3" s="1"/>
  <c r="F163" i="3" a="1"/>
  <c r="F163" i="3" s="1"/>
  <c r="H163" i="3" a="1"/>
  <c r="H163" i="3" s="1"/>
  <c r="G163" i="3" a="1"/>
  <c r="G163" i="3" s="1"/>
  <c r="C163" i="3" a="1"/>
  <c r="C163" i="3" s="1"/>
  <c r="E163" i="3" a="1"/>
  <c r="E163" i="3" s="1"/>
  <c r="Q163" i="3" a="1"/>
  <c r="Q163" i="3" s="1"/>
  <c r="AR52" i="7" s="1"/>
  <c r="K163" i="3" a="1"/>
  <c r="K163" i="3" s="1"/>
  <c r="M163" i="3" a="1"/>
  <c r="M163" i="3" s="1"/>
  <c r="T163" i="3" a="1"/>
  <c r="T163" i="3" s="1"/>
  <c r="S163" i="3" a="1"/>
  <c r="S163" i="3" s="1"/>
  <c r="L163" i="3" a="1"/>
  <c r="L163" i="3" s="1"/>
  <c r="U163" i="3" a="1"/>
  <c r="U163" i="3" s="1"/>
  <c r="P163" i="3" a="1"/>
  <c r="P163" i="3" s="1"/>
  <c r="AX52" i="7" s="1"/>
  <c r="O163" i="3" a="1"/>
  <c r="O163" i="3" s="1"/>
  <c r="R163" i="3" a="1"/>
  <c r="R163" i="3" s="1"/>
  <c r="N163" i="3" a="1"/>
  <c r="N163" i="3" s="1"/>
  <c r="B164" i="3"/>
  <c r="AV52" i="7" l="1"/>
  <c r="AW52" i="7"/>
  <c r="AQ52" i="7"/>
  <c r="Y164" i="3" a="1"/>
  <c r="Y164" i="3" s="1"/>
  <c r="AD164" i="3" a="1"/>
  <c r="AD164" i="3" s="1"/>
  <c r="Z164" i="3" a="1"/>
  <c r="Z164" i="3" s="1"/>
  <c r="AB164" i="3" a="1"/>
  <c r="AB164" i="3" s="1"/>
  <c r="AC164" i="3" a="1"/>
  <c r="AC164" i="3" s="1"/>
  <c r="AA164" i="3" a="1"/>
  <c r="AA164" i="3" s="1"/>
  <c r="X164" i="3" a="1"/>
  <c r="X164" i="3" s="1"/>
  <c r="V164" i="3" a="1"/>
  <c r="V164" i="3" s="1"/>
  <c r="W164" i="3" a="1"/>
  <c r="W164" i="3" s="1"/>
  <c r="I164" i="3" a="1"/>
  <c r="I164" i="3" s="1"/>
  <c r="J164" i="3" a="1"/>
  <c r="J164" i="3" s="1"/>
  <c r="D164" i="3" a="1"/>
  <c r="D164" i="3" s="1"/>
  <c r="G164" i="3" a="1"/>
  <c r="G164" i="3" s="1"/>
  <c r="H164" i="3" a="1"/>
  <c r="H164" i="3" s="1"/>
  <c r="F164" i="3" a="1"/>
  <c r="F164" i="3" s="1"/>
  <c r="C164" i="3" a="1"/>
  <c r="C164" i="3" s="1"/>
  <c r="K164" i="3" a="1"/>
  <c r="K164" i="3" s="1"/>
  <c r="Q164" i="3" a="1"/>
  <c r="Q164" i="3" s="1"/>
  <c r="AR53" i="7" s="1"/>
  <c r="E164" i="3" a="1"/>
  <c r="E164" i="3" s="1"/>
  <c r="R164" i="3" a="1"/>
  <c r="R164" i="3" s="1"/>
  <c r="M164" i="3" a="1"/>
  <c r="M164" i="3" s="1"/>
  <c r="T164" i="3" a="1"/>
  <c r="T164" i="3" s="1"/>
  <c r="L164" i="3" a="1"/>
  <c r="L164" i="3" s="1"/>
  <c r="S164" i="3" a="1"/>
  <c r="S164" i="3" s="1"/>
  <c r="O164" i="3" a="1"/>
  <c r="O164" i="3" s="1"/>
  <c r="P164" i="3" a="1"/>
  <c r="P164" i="3" s="1"/>
  <c r="AX53" i="7" s="1"/>
  <c r="U164" i="3" a="1"/>
  <c r="U164" i="3" s="1"/>
  <c r="N164" i="3" a="1"/>
  <c r="N164" i="3" s="1"/>
  <c r="B165" i="3"/>
  <c r="AV53" i="7" l="1"/>
  <c r="AW53" i="7"/>
  <c r="AQ53" i="7"/>
  <c r="AD165" i="3" a="1"/>
  <c r="AD165" i="3" s="1"/>
  <c r="Z165" i="3" a="1"/>
  <c r="Z165" i="3" s="1"/>
  <c r="Y165" i="3" a="1"/>
  <c r="Y165" i="3" s="1"/>
  <c r="AA165" i="3" a="1"/>
  <c r="AA165" i="3" s="1"/>
  <c r="AB165" i="3" a="1"/>
  <c r="AB165" i="3" s="1"/>
  <c r="AC165" i="3" a="1"/>
  <c r="AC165" i="3" s="1"/>
  <c r="V165" i="3" a="1"/>
  <c r="V165" i="3" s="1"/>
  <c r="X165" i="3" a="1"/>
  <c r="X165" i="3" s="1"/>
  <c r="W165" i="3" a="1"/>
  <c r="W165" i="3" s="1"/>
  <c r="I165" i="3" a="1"/>
  <c r="I165" i="3" s="1"/>
  <c r="J165" i="3" a="1"/>
  <c r="J165" i="3" s="1"/>
  <c r="D165" i="3" a="1"/>
  <c r="D165" i="3" s="1"/>
  <c r="F165" i="3" a="1"/>
  <c r="F165" i="3" s="1"/>
  <c r="H165" i="3" a="1"/>
  <c r="H165" i="3" s="1"/>
  <c r="G165" i="3" a="1"/>
  <c r="G165" i="3" s="1"/>
  <c r="C165" i="3" a="1"/>
  <c r="C165" i="3" s="1"/>
  <c r="Q165" i="3" a="1"/>
  <c r="Q165" i="3" s="1"/>
  <c r="AR54" i="7" s="1"/>
  <c r="E165" i="3" a="1"/>
  <c r="E165" i="3" s="1"/>
  <c r="K165" i="3" a="1"/>
  <c r="K165" i="3" s="1"/>
  <c r="M165" i="3" a="1"/>
  <c r="M165" i="3" s="1"/>
  <c r="R165" i="3" a="1"/>
  <c r="R165" i="3" s="1"/>
  <c r="S165" i="3" a="1"/>
  <c r="S165" i="3" s="1"/>
  <c r="L165" i="3" a="1"/>
  <c r="L165" i="3" s="1"/>
  <c r="U165" i="3" a="1"/>
  <c r="U165" i="3" s="1"/>
  <c r="O165" i="3" a="1"/>
  <c r="O165" i="3" s="1"/>
  <c r="P165" i="3" a="1"/>
  <c r="P165" i="3" s="1"/>
  <c r="AX54" i="7" s="1"/>
  <c r="T165" i="3" a="1"/>
  <c r="T165" i="3" s="1"/>
  <c r="N165" i="3" a="1"/>
  <c r="N165" i="3" s="1"/>
  <c r="B166" i="3"/>
  <c r="AV54" i="7" l="1"/>
  <c r="AW54" i="7"/>
  <c r="AQ54" i="7"/>
  <c r="AD166" i="3" a="1"/>
  <c r="AD166" i="3" s="1"/>
  <c r="Z166" i="3" a="1"/>
  <c r="Z166" i="3" s="1"/>
  <c r="AB166" i="3" a="1"/>
  <c r="AB166" i="3" s="1"/>
  <c r="Y166" i="3" a="1"/>
  <c r="Y166" i="3" s="1"/>
  <c r="AC166" i="3" a="1"/>
  <c r="AC166" i="3" s="1"/>
  <c r="AA166" i="3" a="1"/>
  <c r="AA166" i="3" s="1"/>
  <c r="X166" i="3" a="1"/>
  <c r="X166" i="3" s="1"/>
  <c r="V166" i="3" a="1"/>
  <c r="V166" i="3" s="1"/>
  <c r="W166" i="3" a="1"/>
  <c r="W166" i="3" s="1"/>
  <c r="I166" i="3" a="1"/>
  <c r="I166" i="3" s="1"/>
  <c r="J166" i="3" a="1"/>
  <c r="J166" i="3" s="1"/>
  <c r="D166" i="3" a="1"/>
  <c r="D166" i="3" s="1"/>
  <c r="F166" i="3" a="1"/>
  <c r="F166" i="3" s="1"/>
  <c r="H166" i="3" a="1"/>
  <c r="H166" i="3" s="1"/>
  <c r="G166" i="3" a="1"/>
  <c r="G166" i="3" s="1"/>
  <c r="C166" i="3" a="1"/>
  <c r="C166" i="3" s="1"/>
  <c r="E166" i="3" a="1"/>
  <c r="E166" i="3" s="1"/>
  <c r="Q166" i="3" a="1"/>
  <c r="Q166" i="3" s="1"/>
  <c r="AR55" i="7" s="1"/>
  <c r="K166" i="3" a="1"/>
  <c r="K166" i="3" s="1"/>
  <c r="R166" i="3" a="1"/>
  <c r="R166" i="3" s="1"/>
  <c r="L166" i="3" a="1"/>
  <c r="L166" i="3" s="1"/>
  <c r="T166" i="3" a="1"/>
  <c r="T166" i="3" s="1"/>
  <c r="S166" i="3" a="1"/>
  <c r="S166" i="3" s="1"/>
  <c r="O166" i="3" a="1"/>
  <c r="O166" i="3" s="1"/>
  <c r="M166" i="3" a="1"/>
  <c r="M166" i="3" s="1"/>
  <c r="N166" i="3" a="1"/>
  <c r="N166" i="3" s="1"/>
  <c r="U166" i="3" a="1"/>
  <c r="U166" i="3" s="1"/>
  <c r="P166" i="3" a="1"/>
  <c r="P166" i="3" s="1"/>
  <c r="AX55" i="7" s="1"/>
  <c r="B167" i="3"/>
  <c r="AV55" i="7" l="1"/>
  <c r="AW55" i="7"/>
  <c r="AQ55" i="7"/>
  <c r="Y167" i="3" a="1"/>
  <c r="Y167" i="3" s="1"/>
  <c r="AD167" i="3" a="1"/>
  <c r="AD167" i="3" s="1"/>
  <c r="Z167" i="3" a="1"/>
  <c r="Z167" i="3" s="1"/>
  <c r="AA167" i="3" a="1"/>
  <c r="AA167" i="3" s="1"/>
  <c r="AB167" i="3" a="1"/>
  <c r="AB167" i="3" s="1"/>
  <c r="AC167" i="3" a="1"/>
  <c r="AC167" i="3" s="1"/>
  <c r="X167" i="3" a="1"/>
  <c r="X167" i="3" s="1"/>
  <c r="W167" i="3" a="1"/>
  <c r="W167" i="3" s="1"/>
  <c r="V167" i="3" a="1"/>
  <c r="V167" i="3" s="1"/>
  <c r="I167" i="3" a="1"/>
  <c r="I167" i="3" s="1"/>
  <c r="J167" i="3" a="1"/>
  <c r="J167" i="3" s="1"/>
  <c r="D167" i="3" a="1"/>
  <c r="D167" i="3" s="1"/>
  <c r="BB4" i="7" s="1"/>
  <c r="F167" i="3" a="1"/>
  <c r="F167" i="3" s="1"/>
  <c r="H167" i="3" a="1"/>
  <c r="H167" i="3" s="1"/>
  <c r="G167" i="3" a="1"/>
  <c r="G167" i="3" s="1"/>
  <c r="C167" i="3" a="1"/>
  <c r="C167" i="3" s="1"/>
  <c r="K167" i="3" a="1"/>
  <c r="K167" i="3" s="1"/>
  <c r="Q167" i="3" a="1"/>
  <c r="Q167" i="3" s="1"/>
  <c r="AR56" i="7" s="1"/>
  <c r="E167" i="3" a="1"/>
  <c r="E167" i="3" s="1"/>
  <c r="BA4" i="7" s="1"/>
  <c r="M167" i="3" a="1"/>
  <c r="M167" i="3" s="1"/>
  <c r="S167" i="3" a="1"/>
  <c r="S167" i="3" s="1"/>
  <c r="R167" i="3" a="1"/>
  <c r="R167" i="3" s="1"/>
  <c r="L167" i="3" a="1"/>
  <c r="L167" i="3" s="1"/>
  <c r="T167" i="3" a="1"/>
  <c r="T167" i="3" s="1"/>
  <c r="U167" i="3" a="1"/>
  <c r="U167" i="3" s="1"/>
  <c r="N167" i="3" a="1"/>
  <c r="N167" i="3" s="1"/>
  <c r="P167" i="3" a="1"/>
  <c r="P167" i="3" s="1"/>
  <c r="AX56" i="7" s="1"/>
  <c r="O167" i="3" a="1"/>
  <c r="O167" i="3" s="1"/>
  <c r="B168" i="3"/>
  <c r="AV56" i="7" l="1"/>
  <c r="BC4" i="7"/>
  <c r="AW56" i="7"/>
  <c r="AQ56" i="7"/>
  <c r="AD168" i="3" a="1"/>
  <c r="AD168" i="3" s="1"/>
  <c r="Y168" i="3" a="1"/>
  <c r="Y168" i="3" s="1"/>
  <c r="Z168" i="3" a="1"/>
  <c r="Z168" i="3" s="1"/>
  <c r="AC168" i="3" a="1"/>
  <c r="AC168" i="3" s="1"/>
  <c r="AB168" i="3" a="1"/>
  <c r="AB168" i="3" s="1"/>
  <c r="AA168" i="3" a="1"/>
  <c r="AA168" i="3" s="1"/>
  <c r="X168" i="3" a="1"/>
  <c r="X168" i="3" s="1"/>
  <c r="W168" i="3" a="1"/>
  <c r="W168" i="3" s="1"/>
  <c r="V168" i="3" a="1"/>
  <c r="V168" i="3" s="1"/>
  <c r="I168" i="3" a="1"/>
  <c r="I168" i="3" s="1"/>
  <c r="J168" i="3" a="1"/>
  <c r="J168" i="3" s="1"/>
  <c r="D168" i="3" a="1"/>
  <c r="D168" i="3" s="1"/>
  <c r="BB5" i="7" s="1"/>
  <c r="F168" i="3" a="1"/>
  <c r="F168" i="3" s="1"/>
  <c r="H168" i="3" a="1"/>
  <c r="H168" i="3" s="1"/>
  <c r="G168" i="3" a="1"/>
  <c r="G168" i="3" s="1"/>
  <c r="C168" i="3" a="1"/>
  <c r="C168" i="3" s="1"/>
  <c r="E168" i="3" a="1"/>
  <c r="E168" i="3" s="1"/>
  <c r="BA5" i="7" s="1"/>
  <c r="K168" i="3" a="1"/>
  <c r="K168" i="3" s="1"/>
  <c r="Q168" i="3" a="1"/>
  <c r="Q168" i="3" s="1"/>
  <c r="AR57" i="7" s="1"/>
  <c r="T168" i="3" a="1"/>
  <c r="T168" i="3" s="1"/>
  <c r="R168" i="3" a="1"/>
  <c r="R168" i="3" s="1"/>
  <c r="M168" i="3" a="1"/>
  <c r="M168" i="3" s="1"/>
  <c r="O168" i="3" a="1"/>
  <c r="O168" i="3" s="1"/>
  <c r="U168" i="3" a="1"/>
  <c r="U168" i="3" s="1"/>
  <c r="P168" i="3" a="1"/>
  <c r="P168" i="3" s="1"/>
  <c r="AX57" i="7" s="1"/>
  <c r="L168" i="3" a="1"/>
  <c r="L168" i="3" s="1"/>
  <c r="S168" i="3" a="1"/>
  <c r="S168" i="3" s="1"/>
  <c r="N168" i="3" a="1"/>
  <c r="N168" i="3" s="1"/>
  <c r="B169" i="3"/>
  <c r="AW57" i="7" l="1"/>
  <c r="AQ57" i="7"/>
  <c r="BC5" i="7"/>
  <c r="AV57" i="7"/>
  <c r="AD169" i="3" a="1"/>
  <c r="AD169" i="3" s="1"/>
  <c r="Y169" i="3" a="1"/>
  <c r="Y169" i="3" s="1"/>
  <c r="Z169" i="3" a="1"/>
  <c r="Z169" i="3" s="1"/>
  <c r="AB169" i="3" a="1"/>
  <c r="AB169" i="3" s="1"/>
  <c r="AA169" i="3" a="1"/>
  <c r="AA169" i="3" s="1"/>
  <c r="AC169" i="3" a="1"/>
  <c r="AC169" i="3" s="1"/>
  <c r="X169" i="3" a="1"/>
  <c r="X169" i="3" s="1"/>
  <c r="V169" i="3" a="1"/>
  <c r="V169" i="3" s="1"/>
  <c r="W169" i="3" a="1"/>
  <c r="W169" i="3" s="1"/>
  <c r="I169" i="3" a="1"/>
  <c r="I169" i="3" s="1"/>
  <c r="J169" i="3" a="1"/>
  <c r="J169" i="3" s="1"/>
  <c r="D169" i="3" a="1"/>
  <c r="D169" i="3" s="1"/>
  <c r="BB6" i="7" s="1"/>
  <c r="F169" i="3" a="1"/>
  <c r="F169" i="3" s="1"/>
  <c r="H169" i="3" a="1"/>
  <c r="H169" i="3" s="1"/>
  <c r="G169" i="3" a="1"/>
  <c r="G169" i="3" s="1"/>
  <c r="C169" i="3" a="1"/>
  <c r="C169" i="3" s="1"/>
  <c r="K169" i="3" a="1"/>
  <c r="K169" i="3" s="1"/>
  <c r="Q169" i="3" a="1"/>
  <c r="Q169" i="3" s="1"/>
  <c r="AR58" i="7" s="1"/>
  <c r="E169" i="3" a="1"/>
  <c r="E169" i="3" s="1"/>
  <c r="BA6" i="7" s="1"/>
  <c r="L169" i="3" a="1"/>
  <c r="L169" i="3" s="1"/>
  <c r="S169" i="3" a="1"/>
  <c r="S169" i="3" s="1"/>
  <c r="M169" i="3" a="1"/>
  <c r="M169" i="3" s="1"/>
  <c r="R169" i="3" a="1"/>
  <c r="R169" i="3" s="1"/>
  <c r="U169" i="3" a="1"/>
  <c r="U169" i="3" s="1"/>
  <c r="N169" i="3" a="1"/>
  <c r="N169" i="3" s="1"/>
  <c r="O169" i="3" a="1"/>
  <c r="O169" i="3" s="1"/>
  <c r="P169" i="3" a="1"/>
  <c r="P169" i="3" s="1"/>
  <c r="AX58" i="7" s="1"/>
  <c r="T169" i="3" a="1"/>
  <c r="T169" i="3" s="1"/>
  <c r="B170" i="3"/>
  <c r="BC6" i="7" l="1"/>
  <c r="AW58" i="7"/>
  <c r="AQ58" i="7"/>
  <c r="AV58" i="7"/>
  <c r="AD170" i="3" a="1"/>
  <c r="AD170" i="3" s="1"/>
  <c r="Z170" i="3" a="1"/>
  <c r="Z170" i="3" s="1"/>
  <c r="Y170" i="3" a="1"/>
  <c r="Y170" i="3" s="1"/>
  <c r="AC170" i="3" a="1"/>
  <c r="AC170" i="3" s="1"/>
  <c r="AA170" i="3" a="1"/>
  <c r="AA170" i="3" s="1"/>
  <c r="AB170" i="3" a="1"/>
  <c r="AB170" i="3" s="1"/>
  <c r="V170" i="3" a="1"/>
  <c r="V170" i="3" s="1"/>
  <c r="X170" i="3" a="1"/>
  <c r="X170" i="3" s="1"/>
  <c r="W170" i="3" a="1"/>
  <c r="W170" i="3" s="1"/>
  <c r="I170" i="3" a="1"/>
  <c r="I170" i="3" s="1"/>
  <c r="J170" i="3" a="1"/>
  <c r="J170" i="3" s="1"/>
  <c r="D170" i="3" a="1"/>
  <c r="D170" i="3" s="1"/>
  <c r="BB7" i="7" s="1"/>
  <c r="F170" i="3" a="1"/>
  <c r="F170" i="3" s="1"/>
  <c r="H170" i="3" a="1"/>
  <c r="H170" i="3" s="1"/>
  <c r="G170" i="3" a="1"/>
  <c r="G170" i="3" s="1"/>
  <c r="C170" i="3" a="1"/>
  <c r="C170" i="3" s="1"/>
  <c r="K170" i="3" a="1"/>
  <c r="K170" i="3" s="1"/>
  <c r="Q170" i="3" a="1"/>
  <c r="Q170" i="3" s="1"/>
  <c r="AR59" i="7" s="1"/>
  <c r="E170" i="3" a="1"/>
  <c r="E170" i="3" s="1"/>
  <c r="BA7" i="7" s="1"/>
  <c r="R170" i="3" a="1"/>
  <c r="R170" i="3" s="1"/>
  <c r="M170" i="3" a="1"/>
  <c r="M170" i="3" s="1"/>
  <c r="T170" i="3" a="1"/>
  <c r="T170" i="3" s="1"/>
  <c r="S170" i="3" a="1"/>
  <c r="S170" i="3" s="1"/>
  <c r="O170" i="3" a="1"/>
  <c r="O170" i="3" s="1"/>
  <c r="L170" i="3" a="1"/>
  <c r="L170" i="3" s="1"/>
  <c r="N170" i="3" a="1"/>
  <c r="N170" i="3" s="1"/>
  <c r="U170" i="3" a="1"/>
  <c r="U170" i="3" s="1"/>
  <c r="P170" i="3" a="1"/>
  <c r="P170" i="3" s="1"/>
  <c r="AX59" i="7" s="1"/>
  <c r="B171" i="3"/>
  <c r="BC7" i="7" l="1"/>
  <c r="AV59" i="7"/>
  <c r="AW59" i="7"/>
  <c r="AQ59" i="7"/>
  <c r="Y171" i="3" a="1"/>
  <c r="Y171" i="3" s="1"/>
  <c r="AD171" i="3" a="1"/>
  <c r="AD171" i="3" s="1"/>
  <c r="Z171" i="3" a="1"/>
  <c r="Z171" i="3" s="1"/>
  <c r="AA171" i="3" a="1"/>
  <c r="AA171" i="3" s="1"/>
  <c r="AC171" i="3" a="1"/>
  <c r="AC171" i="3" s="1"/>
  <c r="AB171" i="3" a="1"/>
  <c r="AB171" i="3" s="1"/>
  <c r="V171" i="3" a="1"/>
  <c r="V171" i="3" s="1"/>
  <c r="X171" i="3" a="1"/>
  <c r="X171" i="3" s="1"/>
  <c r="W171" i="3" a="1"/>
  <c r="W171" i="3" s="1"/>
  <c r="I171" i="3" a="1"/>
  <c r="I171" i="3" s="1"/>
  <c r="J171" i="3" a="1"/>
  <c r="J171" i="3" s="1"/>
  <c r="D171" i="3" a="1"/>
  <c r="D171" i="3" s="1"/>
  <c r="BB8" i="7" s="1"/>
  <c r="F171" i="3" a="1"/>
  <c r="F171" i="3" s="1"/>
  <c r="H171" i="3" a="1"/>
  <c r="H171" i="3" s="1"/>
  <c r="G171" i="3" a="1"/>
  <c r="G171" i="3" s="1"/>
  <c r="C171" i="3" a="1"/>
  <c r="C171" i="3" s="1"/>
  <c r="K171" i="3" a="1"/>
  <c r="K171" i="3" s="1"/>
  <c r="Q171" i="3" a="1"/>
  <c r="Q171" i="3" s="1"/>
  <c r="AR60" i="7" s="1"/>
  <c r="E171" i="3" a="1"/>
  <c r="E171" i="3" s="1"/>
  <c r="BA8" i="7" s="1"/>
  <c r="S171" i="3" a="1"/>
  <c r="S171" i="3" s="1"/>
  <c r="M171" i="3" a="1"/>
  <c r="M171" i="3" s="1"/>
  <c r="R171" i="3" a="1"/>
  <c r="R171" i="3" s="1"/>
  <c r="U171" i="3" a="1"/>
  <c r="U171" i="3" s="1"/>
  <c r="P171" i="3" a="1"/>
  <c r="P171" i="3" s="1"/>
  <c r="AX60" i="7" s="1"/>
  <c r="O171" i="3" a="1"/>
  <c r="O171" i="3" s="1"/>
  <c r="AV60" i="7" s="1"/>
  <c r="T171" i="3" a="1"/>
  <c r="T171" i="3" s="1"/>
  <c r="N171" i="3" a="1"/>
  <c r="N171" i="3" s="1"/>
  <c r="L171" i="3" a="1"/>
  <c r="L171" i="3" s="1"/>
  <c r="B172" i="3"/>
  <c r="BC8" i="7" l="1"/>
  <c r="AW60" i="7"/>
  <c r="AQ60" i="7"/>
  <c r="Y172" i="3" a="1"/>
  <c r="Y172" i="3" s="1"/>
  <c r="Z172" i="3" a="1"/>
  <c r="Z172" i="3" s="1"/>
  <c r="AD172" i="3" a="1"/>
  <c r="AD172" i="3" s="1"/>
  <c r="AB172" i="3" a="1"/>
  <c r="AB172" i="3" s="1"/>
  <c r="AC172" i="3" a="1"/>
  <c r="AC172" i="3" s="1"/>
  <c r="AA172" i="3" a="1"/>
  <c r="AA172" i="3" s="1"/>
  <c r="X172" i="3" a="1"/>
  <c r="X172" i="3" s="1"/>
  <c r="V172" i="3" a="1"/>
  <c r="V172" i="3" s="1"/>
  <c r="W172" i="3" a="1"/>
  <c r="W172" i="3" s="1"/>
  <c r="I172" i="3" a="1"/>
  <c r="I172" i="3" s="1"/>
  <c r="J172" i="3" a="1"/>
  <c r="J172" i="3" s="1"/>
  <c r="D172" i="3" a="1"/>
  <c r="D172" i="3" s="1"/>
  <c r="BB9" i="7" s="1"/>
  <c r="G172" i="3" a="1"/>
  <c r="G172" i="3" s="1"/>
  <c r="F172" i="3" a="1"/>
  <c r="F172" i="3" s="1"/>
  <c r="H172" i="3" a="1"/>
  <c r="H172" i="3" s="1"/>
  <c r="C172" i="3" a="1"/>
  <c r="C172" i="3" s="1"/>
  <c r="E172" i="3" a="1"/>
  <c r="E172" i="3" s="1"/>
  <c r="BA9" i="7" s="1"/>
  <c r="K172" i="3" a="1"/>
  <c r="K172" i="3" s="1"/>
  <c r="Q172" i="3" a="1"/>
  <c r="Q172" i="3" s="1"/>
  <c r="AR61" i="7" s="1"/>
  <c r="R172" i="3" a="1"/>
  <c r="R172" i="3" s="1"/>
  <c r="M172" i="3" a="1"/>
  <c r="M172" i="3" s="1"/>
  <c r="T172" i="3" a="1"/>
  <c r="T172" i="3" s="1"/>
  <c r="L172" i="3" a="1"/>
  <c r="L172" i="3" s="1"/>
  <c r="S172" i="3" a="1"/>
  <c r="S172" i="3" s="1"/>
  <c r="P172" i="3" a="1"/>
  <c r="P172" i="3" s="1"/>
  <c r="AX61" i="7" s="1"/>
  <c r="O172" i="3" a="1"/>
  <c r="O172" i="3" s="1"/>
  <c r="U172" i="3" a="1"/>
  <c r="U172" i="3" s="1"/>
  <c r="N172" i="3" a="1"/>
  <c r="N172" i="3" s="1"/>
  <c r="B173" i="3"/>
  <c r="AV61" i="7" l="1"/>
  <c r="AW61" i="7"/>
  <c r="AQ61" i="7"/>
  <c r="BC9" i="7"/>
  <c r="AD173" i="3" a="1"/>
  <c r="AD173" i="3" s="1"/>
  <c r="Y173" i="3" a="1"/>
  <c r="Y173" i="3" s="1"/>
  <c r="Z173" i="3" a="1"/>
  <c r="Z173" i="3" s="1"/>
  <c r="AB173" i="3" a="1"/>
  <c r="AB173" i="3" s="1"/>
  <c r="AA173" i="3" a="1"/>
  <c r="AA173" i="3" s="1"/>
  <c r="AC173" i="3" a="1"/>
  <c r="AC173" i="3" s="1"/>
  <c r="X173" i="3" a="1"/>
  <c r="X173" i="3" s="1"/>
  <c r="V173" i="3" a="1"/>
  <c r="V173" i="3" s="1"/>
  <c r="W173" i="3" a="1"/>
  <c r="W173" i="3" s="1"/>
  <c r="I173" i="3" a="1"/>
  <c r="I173" i="3" s="1"/>
  <c r="J173" i="3" a="1"/>
  <c r="J173" i="3" s="1"/>
  <c r="D173" i="3" a="1"/>
  <c r="D173" i="3" s="1"/>
  <c r="BB10" i="7" s="1"/>
  <c r="H173" i="3" a="1"/>
  <c r="H173" i="3" s="1"/>
  <c r="F173" i="3" a="1"/>
  <c r="F173" i="3" s="1"/>
  <c r="G173" i="3" a="1"/>
  <c r="G173" i="3" s="1"/>
  <c r="C173" i="3" a="1"/>
  <c r="C173" i="3" s="1"/>
  <c r="E173" i="3" a="1"/>
  <c r="E173" i="3" s="1"/>
  <c r="BA10" i="7" s="1"/>
  <c r="K173" i="3" a="1"/>
  <c r="K173" i="3" s="1"/>
  <c r="Q173" i="3" a="1"/>
  <c r="Q173" i="3" s="1"/>
  <c r="AR62" i="7" s="1"/>
  <c r="S173" i="3" a="1"/>
  <c r="S173" i="3" s="1"/>
  <c r="L173" i="3" a="1"/>
  <c r="L173" i="3" s="1"/>
  <c r="M173" i="3" a="1"/>
  <c r="M173" i="3" s="1"/>
  <c r="T173" i="3" a="1"/>
  <c r="T173" i="3" s="1"/>
  <c r="R173" i="3" a="1"/>
  <c r="R173" i="3" s="1"/>
  <c r="N173" i="3" a="1"/>
  <c r="N173" i="3" s="1"/>
  <c r="U173" i="3" a="1"/>
  <c r="U173" i="3" s="1"/>
  <c r="O173" i="3" a="1"/>
  <c r="O173" i="3" s="1"/>
  <c r="P173" i="3" a="1"/>
  <c r="P173" i="3" s="1"/>
  <c r="AX62" i="7" s="1"/>
  <c r="B174" i="3"/>
  <c r="BC10" i="7" l="1"/>
  <c r="AV62" i="7"/>
  <c r="AW62" i="7"/>
  <c r="AQ62" i="7"/>
  <c r="AD174" i="3" a="1"/>
  <c r="AD174" i="3" s="1"/>
  <c r="Z174" i="3" a="1"/>
  <c r="Z174" i="3" s="1"/>
  <c r="Y174" i="3" a="1"/>
  <c r="Y174" i="3" s="1"/>
  <c r="AA174" i="3" a="1"/>
  <c r="AA174" i="3" s="1"/>
  <c r="AC174" i="3" a="1"/>
  <c r="AC174" i="3" s="1"/>
  <c r="AB174" i="3" a="1"/>
  <c r="AB174" i="3" s="1"/>
  <c r="V174" i="3" a="1"/>
  <c r="V174" i="3" s="1"/>
  <c r="X174" i="3" a="1"/>
  <c r="X174" i="3" s="1"/>
  <c r="W174" i="3" a="1"/>
  <c r="W174" i="3" s="1"/>
  <c r="I174" i="3" a="1"/>
  <c r="I174" i="3" s="1"/>
  <c r="J174" i="3" a="1"/>
  <c r="J174" i="3" s="1"/>
  <c r="D174" i="3" a="1"/>
  <c r="D174" i="3" s="1"/>
  <c r="BB11" i="7" s="1"/>
  <c r="H174" i="3" a="1"/>
  <c r="H174" i="3" s="1"/>
  <c r="F174" i="3" a="1"/>
  <c r="F174" i="3" s="1"/>
  <c r="G174" i="3" a="1"/>
  <c r="G174" i="3" s="1"/>
  <c r="C174" i="3" a="1"/>
  <c r="C174" i="3" s="1"/>
  <c r="E174" i="3" a="1"/>
  <c r="E174" i="3" s="1"/>
  <c r="BA11" i="7" s="1"/>
  <c r="Q174" i="3" a="1"/>
  <c r="Q174" i="3" s="1"/>
  <c r="AR63" i="7" s="1"/>
  <c r="K174" i="3" a="1"/>
  <c r="K174" i="3" s="1"/>
  <c r="T174" i="3" a="1"/>
  <c r="T174" i="3" s="1"/>
  <c r="L174" i="3" a="1"/>
  <c r="L174" i="3" s="1"/>
  <c r="S174" i="3" a="1"/>
  <c r="S174" i="3" s="1"/>
  <c r="M174" i="3" a="1"/>
  <c r="M174" i="3" s="1"/>
  <c r="U174" i="3" a="1"/>
  <c r="U174" i="3" s="1"/>
  <c r="R174" i="3" a="1"/>
  <c r="R174" i="3" s="1"/>
  <c r="O174" i="3" a="1"/>
  <c r="O174" i="3" s="1"/>
  <c r="P174" i="3" a="1"/>
  <c r="P174" i="3" s="1"/>
  <c r="AX63" i="7" s="1"/>
  <c r="N174" i="3" a="1"/>
  <c r="N174" i="3" s="1"/>
  <c r="B175" i="3"/>
  <c r="AV63" i="7" l="1"/>
  <c r="AW63" i="7"/>
  <c r="AQ63" i="7"/>
  <c r="BC11" i="7"/>
  <c r="Y175" i="3" a="1"/>
  <c r="Y175" i="3" s="1"/>
  <c r="Z175" i="3" a="1"/>
  <c r="Z175" i="3" s="1"/>
  <c r="AD175" i="3" a="1"/>
  <c r="AD175" i="3" s="1"/>
  <c r="AA175" i="3" a="1"/>
  <c r="AA175" i="3" s="1"/>
  <c r="AB175" i="3" a="1"/>
  <c r="AB175" i="3" s="1"/>
  <c r="AC175" i="3" a="1"/>
  <c r="AC175" i="3" s="1"/>
  <c r="V175" i="3" a="1"/>
  <c r="V175" i="3" s="1"/>
  <c r="X175" i="3" a="1"/>
  <c r="X175" i="3" s="1"/>
  <c r="W175" i="3" a="1"/>
  <c r="W175" i="3" s="1"/>
  <c r="I175" i="3" a="1"/>
  <c r="I175" i="3" s="1"/>
  <c r="J175" i="3" a="1"/>
  <c r="J175" i="3" s="1"/>
  <c r="D175" i="3" a="1"/>
  <c r="D175" i="3" s="1"/>
  <c r="BB12" i="7" s="1"/>
  <c r="F175" i="3" a="1"/>
  <c r="F175" i="3" s="1"/>
  <c r="H175" i="3" a="1"/>
  <c r="H175" i="3" s="1"/>
  <c r="G175" i="3" a="1"/>
  <c r="G175" i="3" s="1"/>
  <c r="C175" i="3" a="1"/>
  <c r="C175" i="3" s="1"/>
  <c r="E175" i="3" a="1"/>
  <c r="E175" i="3" s="1"/>
  <c r="BA12" i="7" s="1"/>
  <c r="K175" i="3" a="1"/>
  <c r="K175" i="3" s="1"/>
  <c r="Q175" i="3" a="1"/>
  <c r="Q175" i="3" s="1"/>
  <c r="AR64" i="7" s="1"/>
  <c r="M175" i="3" a="1"/>
  <c r="M175" i="3" s="1"/>
  <c r="T175" i="3" a="1"/>
  <c r="T175" i="3" s="1"/>
  <c r="S175" i="3" a="1"/>
  <c r="S175" i="3" s="1"/>
  <c r="L175" i="3" a="1"/>
  <c r="L175" i="3" s="1"/>
  <c r="R175" i="3" a="1"/>
  <c r="R175" i="3" s="1"/>
  <c r="U175" i="3" a="1"/>
  <c r="U175" i="3" s="1"/>
  <c r="P175" i="3" a="1"/>
  <c r="P175" i="3" s="1"/>
  <c r="AX64" i="7" s="1"/>
  <c r="O175" i="3" a="1"/>
  <c r="O175" i="3" s="1"/>
  <c r="N175" i="3" a="1"/>
  <c r="N175" i="3" s="1"/>
  <c r="B176" i="3"/>
  <c r="AV64" i="7" l="1"/>
  <c r="J4" i="7"/>
  <c r="K4" i="7"/>
  <c r="AW64" i="7"/>
  <c r="AQ64" i="7"/>
  <c r="BC12" i="7"/>
  <c r="AD176" i="3" a="1"/>
  <c r="AD176" i="3" s="1"/>
  <c r="Y176" i="3" a="1"/>
  <c r="Y176" i="3" s="1"/>
  <c r="Z176" i="3" a="1"/>
  <c r="Z176" i="3" s="1"/>
  <c r="AB176" i="3" a="1"/>
  <c r="AB176" i="3" s="1"/>
  <c r="AA176" i="3" a="1"/>
  <c r="AA176" i="3" s="1"/>
  <c r="AC176" i="3" a="1"/>
  <c r="AC176" i="3" s="1"/>
  <c r="X176" i="3" a="1"/>
  <c r="X176" i="3" s="1"/>
  <c r="V176" i="3" a="1"/>
  <c r="V176" i="3" s="1"/>
  <c r="W176" i="3" a="1"/>
  <c r="W176" i="3" s="1"/>
  <c r="I176" i="3" a="1"/>
  <c r="I176" i="3" s="1"/>
  <c r="J176" i="3" a="1"/>
  <c r="J176" i="3" s="1"/>
  <c r="D176" i="3" a="1"/>
  <c r="D176" i="3" s="1"/>
  <c r="BB13" i="7" s="1"/>
  <c r="F176" i="3" a="1"/>
  <c r="F176" i="3" s="1"/>
  <c r="H176" i="3" a="1"/>
  <c r="H176" i="3" s="1"/>
  <c r="G176" i="3" a="1"/>
  <c r="G176" i="3" s="1"/>
  <c r="C176" i="3" a="1"/>
  <c r="C176" i="3" s="1"/>
  <c r="Q176" i="3" a="1"/>
  <c r="Q176" i="3" s="1"/>
  <c r="AR65" i="7" s="1"/>
  <c r="E176" i="3" a="1"/>
  <c r="E176" i="3" s="1"/>
  <c r="BA13" i="7" s="1"/>
  <c r="K176" i="3" a="1"/>
  <c r="K176" i="3" s="1"/>
  <c r="S176" i="3" a="1"/>
  <c r="S176" i="3" s="1"/>
  <c r="R176" i="3" a="1"/>
  <c r="R176" i="3" s="1"/>
  <c r="T176" i="3" a="1"/>
  <c r="T176" i="3" s="1"/>
  <c r="L176" i="3" a="1"/>
  <c r="L176" i="3" s="1"/>
  <c r="M176" i="3" a="1"/>
  <c r="M176" i="3" s="1"/>
  <c r="O176" i="3" a="1"/>
  <c r="O176" i="3" s="1"/>
  <c r="N176" i="3" a="1"/>
  <c r="N176" i="3" s="1"/>
  <c r="U176" i="3" a="1"/>
  <c r="U176" i="3" s="1"/>
  <c r="P176" i="3" a="1"/>
  <c r="P176" i="3" s="1"/>
  <c r="AX65" i="7" s="1"/>
  <c r="B177" i="3"/>
  <c r="J5" i="7" l="1"/>
  <c r="AW65" i="7"/>
  <c r="AQ65" i="7"/>
  <c r="AV65" i="7"/>
  <c r="BC13" i="7"/>
  <c r="AD177" i="3" a="1"/>
  <c r="AD177" i="3" s="1"/>
  <c r="AB177" i="3" a="1"/>
  <c r="AB177" i="3" s="1"/>
  <c r="Y177" i="3" a="1"/>
  <c r="Y177" i="3" s="1"/>
  <c r="Z177" i="3" a="1"/>
  <c r="Z177" i="3" s="1"/>
  <c r="AC177" i="3" a="1"/>
  <c r="AC177" i="3" s="1"/>
  <c r="AA177" i="3" a="1"/>
  <c r="AA177" i="3" s="1"/>
  <c r="X177" i="3" a="1"/>
  <c r="X177" i="3" s="1"/>
  <c r="V177" i="3" a="1"/>
  <c r="V177" i="3" s="1"/>
  <c r="W177" i="3" a="1"/>
  <c r="W177" i="3" s="1"/>
  <c r="K5" i="7"/>
  <c r="I177" i="3" a="1"/>
  <c r="I177" i="3" s="1"/>
  <c r="J177" i="3" a="1"/>
  <c r="J177" i="3" s="1"/>
  <c r="D177" i="3" a="1"/>
  <c r="D177" i="3" s="1"/>
  <c r="BB14" i="7" s="1"/>
  <c r="H177" i="3" a="1"/>
  <c r="H177" i="3" s="1"/>
  <c r="F177" i="3" a="1"/>
  <c r="F177" i="3" s="1"/>
  <c r="G177" i="3" a="1"/>
  <c r="G177" i="3" s="1"/>
  <c r="C177" i="3" a="1"/>
  <c r="C177" i="3" s="1"/>
  <c r="Q177" i="3" a="1"/>
  <c r="Q177" i="3" s="1"/>
  <c r="AR66" i="7" s="1"/>
  <c r="E177" i="3" a="1"/>
  <c r="E177" i="3" s="1"/>
  <c r="BA14" i="7" s="1"/>
  <c r="K177" i="3" a="1"/>
  <c r="K177" i="3" s="1"/>
  <c r="R177" i="3" a="1"/>
  <c r="R177" i="3" s="1"/>
  <c r="M177" i="3" a="1"/>
  <c r="M177" i="3" s="1"/>
  <c r="T177" i="3" a="1"/>
  <c r="T177" i="3" s="1"/>
  <c r="L177" i="3" a="1"/>
  <c r="L177" i="3" s="1"/>
  <c r="S177" i="3" a="1"/>
  <c r="S177" i="3" s="1"/>
  <c r="O177" i="3" a="1"/>
  <c r="O177" i="3" s="1"/>
  <c r="P177" i="3" a="1"/>
  <c r="P177" i="3" s="1"/>
  <c r="AX66" i="7" s="1"/>
  <c r="U177" i="3" a="1"/>
  <c r="U177" i="3" s="1"/>
  <c r="N177" i="3" a="1"/>
  <c r="N177" i="3" s="1"/>
  <c r="B178" i="3"/>
  <c r="AV66" i="7" l="1"/>
  <c r="J6" i="7"/>
  <c r="AW66" i="7"/>
  <c r="AQ66" i="7"/>
  <c r="BC14" i="7"/>
  <c r="AD178" i="3" a="1"/>
  <c r="AD178" i="3" s="1"/>
  <c r="Y178" i="3" a="1"/>
  <c r="Y178" i="3" s="1"/>
  <c r="AB178" i="3" a="1"/>
  <c r="AB178" i="3" s="1"/>
  <c r="Z178" i="3" a="1"/>
  <c r="Z178" i="3" s="1"/>
  <c r="AC178" i="3" a="1"/>
  <c r="AC178" i="3" s="1"/>
  <c r="AA178" i="3" a="1"/>
  <c r="AA178" i="3" s="1"/>
  <c r="V178" i="3" a="1"/>
  <c r="V178" i="3" s="1"/>
  <c r="X178" i="3" a="1"/>
  <c r="X178" i="3" s="1"/>
  <c r="W178" i="3" a="1"/>
  <c r="W178" i="3" s="1"/>
  <c r="K6" i="7"/>
  <c r="I178" i="3" a="1"/>
  <c r="I178" i="3" s="1"/>
  <c r="J178" i="3" a="1"/>
  <c r="J178" i="3" s="1"/>
  <c r="D178" i="3" a="1"/>
  <c r="D178" i="3" s="1"/>
  <c r="BB15" i="7" s="1"/>
  <c r="F178" i="3" a="1"/>
  <c r="F178" i="3" s="1"/>
  <c r="H178" i="3" a="1"/>
  <c r="H178" i="3" s="1"/>
  <c r="G178" i="3" a="1"/>
  <c r="G178" i="3" s="1"/>
  <c r="C178" i="3" a="1"/>
  <c r="C178" i="3" s="1"/>
  <c r="Q178" i="3" a="1"/>
  <c r="Q178" i="3" s="1"/>
  <c r="AR67" i="7" s="1"/>
  <c r="E178" i="3" a="1"/>
  <c r="E178" i="3" s="1"/>
  <c r="BA15" i="7" s="1"/>
  <c r="K178" i="3" a="1"/>
  <c r="K178" i="3" s="1"/>
  <c r="T178" i="3" a="1"/>
  <c r="T178" i="3" s="1"/>
  <c r="L178" i="3" a="1"/>
  <c r="L178" i="3" s="1"/>
  <c r="S178" i="3" a="1"/>
  <c r="S178" i="3" s="1"/>
  <c r="O178" i="3" a="1"/>
  <c r="O178" i="3" s="1"/>
  <c r="P178" i="3" a="1"/>
  <c r="P178" i="3" s="1"/>
  <c r="AX67" i="7" s="1"/>
  <c r="U178" i="3" a="1"/>
  <c r="U178" i="3" s="1"/>
  <c r="R178" i="3" a="1"/>
  <c r="R178" i="3" s="1"/>
  <c r="N178" i="3" a="1"/>
  <c r="N178" i="3" s="1"/>
  <c r="M178" i="3" a="1"/>
  <c r="M178" i="3" s="1"/>
  <c r="B179" i="3"/>
  <c r="AW67" i="7" l="1"/>
  <c r="AQ67" i="7"/>
  <c r="AV67" i="7"/>
  <c r="J7" i="7"/>
  <c r="BC15" i="7"/>
  <c r="Y179" i="3" a="1"/>
  <c r="Y179" i="3" s="1"/>
  <c r="AD179" i="3" a="1"/>
  <c r="AD179" i="3" s="1"/>
  <c r="Z179" i="3" a="1"/>
  <c r="Z179" i="3" s="1"/>
  <c r="AA179" i="3" a="1"/>
  <c r="AA179" i="3" s="1"/>
  <c r="AC179" i="3" a="1"/>
  <c r="AC179" i="3" s="1"/>
  <c r="AB179" i="3" a="1"/>
  <c r="AB179" i="3" s="1"/>
  <c r="X179" i="3" a="1"/>
  <c r="X179" i="3" s="1"/>
  <c r="V179" i="3" a="1"/>
  <c r="V179" i="3" s="1"/>
  <c r="W179" i="3" a="1"/>
  <c r="W179" i="3" s="1"/>
  <c r="K7" i="7"/>
  <c r="I179" i="3" a="1"/>
  <c r="I179" i="3" s="1"/>
  <c r="J179" i="3" a="1"/>
  <c r="J179" i="3" s="1"/>
  <c r="D179" i="3" a="1"/>
  <c r="D179" i="3" s="1"/>
  <c r="BB16" i="7" s="1"/>
  <c r="F179" i="3" a="1"/>
  <c r="F179" i="3" s="1"/>
  <c r="H179" i="3" a="1"/>
  <c r="H179" i="3" s="1"/>
  <c r="G179" i="3" a="1"/>
  <c r="G179" i="3" s="1"/>
  <c r="C179" i="3" a="1"/>
  <c r="C179" i="3" s="1"/>
  <c r="E179" i="3" a="1"/>
  <c r="E179" i="3" s="1"/>
  <c r="BA16" i="7" s="1"/>
  <c r="Q179" i="3" a="1"/>
  <c r="Q179" i="3" s="1"/>
  <c r="AR68" i="7" s="1"/>
  <c r="K179" i="3" a="1"/>
  <c r="K179" i="3" s="1"/>
  <c r="R179" i="3" a="1"/>
  <c r="R179" i="3" s="1"/>
  <c r="S179" i="3" a="1"/>
  <c r="S179" i="3" s="1"/>
  <c r="M179" i="3" a="1"/>
  <c r="M179" i="3" s="1"/>
  <c r="T179" i="3" a="1"/>
  <c r="T179" i="3" s="1"/>
  <c r="L179" i="3" a="1"/>
  <c r="L179" i="3" s="1"/>
  <c r="O179" i="3" a="1"/>
  <c r="O179" i="3" s="1"/>
  <c r="P179" i="3" a="1"/>
  <c r="P179" i="3" s="1"/>
  <c r="AX68" i="7" s="1"/>
  <c r="N179" i="3" a="1"/>
  <c r="N179" i="3" s="1"/>
  <c r="U179" i="3" a="1"/>
  <c r="U179" i="3" s="1"/>
  <c r="B180" i="3"/>
  <c r="J8" i="7" l="1"/>
  <c r="AV68" i="7"/>
  <c r="BC16" i="7"/>
  <c r="AW68" i="7"/>
  <c r="AQ68" i="7"/>
  <c r="AD180" i="3" a="1"/>
  <c r="AD180" i="3" s="1"/>
  <c r="Y180" i="3" a="1"/>
  <c r="Y180" i="3" s="1"/>
  <c r="AB180" i="3" a="1"/>
  <c r="AB180" i="3" s="1"/>
  <c r="Z180" i="3" a="1"/>
  <c r="Z180" i="3" s="1"/>
  <c r="AA180" i="3" a="1"/>
  <c r="AA180" i="3" s="1"/>
  <c r="AC180" i="3" a="1"/>
  <c r="AC180" i="3" s="1"/>
  <c r="W180" i="3" a="1"/>
  <c r="W180" i="3" s="1"/>
  <c r="X180" i="3" a="1"/>
  <c r="X180" i="3" s="1"/>
  <c r="V180" i="3" a="1"/>
  <c r="V180" i="3" s="1"/>
  <c r="K8" i="7"/>
  <c r="I180" i="3" a="1"/>
  <c r="I180" i="3" s="1"/>
  <c r="J180" i="3" a="1"/>
  <c r="J180" i="3" s="1"/>
  <c r="D180" i="3" a="1"/>
  <c r="D180" i="3" s="1"/>
  <c r="BB17" i="7" s="1"/>
  <c r="H180" i="3" a="1"/>
  <c r="H180" i="3" s="1"/>
  <c r="F180" i="3" a="1"/>
  <c r="F180" i="3" s="1"/>
  <c r="G180" i="3" a="1"/>
  <c r="G180" i="3" s="1"/>
  <c r="C180" i="3" a="1"/>
  <c r="C180" i="3" s="1"/>
  <c r="Q180" i="3" a="1"/>
  <c r="Q180" i="3" s="1"/>
  <c r="AR69" i="7" s="1"/>
  <c r="E180" i="3" a="1"/>
  <c r="E180" i="3" s="1"/>
  <c r="BA17" i="7" s="1"/>
  <c r="K180" i="3" a="1"/>
  <c r="K180" i="3" s="1"/>
  <c r="T180" i="3" a="1"/>
  <c r="T180" i="3" s="1"/>
  <c r="R180" i="3" a="1"/>
  <c r="R180" i="3" s="1"/>
  <c r="L180" i="3" a="1"/>
  <c r="L180" i="3" s="1"/>
  <c r="M180" i="3" a="1"/>
  <c r="M180" i="3" s="1"/>
  <c r="O180" i="3" a="1"/>
  <c r="O180" i="3" s="1"/>
  <c r="N180" i="3" a="1"/>
  <c r="N180" i="3" s="1"/>
  <c r="P180" i="3" a="1"/>
  <c r="P180" i="3" s="1"/>
  <c r="AX69" i="7" s="1"/>
  <c r="S180" i="3" a="1"/>
  <c r="S180" i="3" s="1"/>
  <c r="U180" i="3" a="1"/>
  <c r="U180" i="3" s="1"/>
  <c r="B181" i="3"/>
  <c r="AV69" i="7" l="1"/>
  <c r="J9" i="7"/>
  <c r="AW69" i="7"/>
  <c r="AQ69" i="7"/>
  <c r="BC17" i="7"/>
  <c r="AD181" i="3" a="1"/>
  <c r="AD181" i="3" s="1"/>
  <c r="Y181" i="3" a="1"/>
  <c r="Y181" i="3" s="1"/>
  <c r="AB181" i="3" a="1"/>
  <c r="AB181" i="3" s="1"/>
  <c r="Z181" i="3" a="1"/>
  <c r="Z181" i="3" s="1"/>
  <c r="AC181" i="3" a="1"/>
  <c r="AC181" i="3" s="1"/>
  <c r="AA181" i="3" a="1"/>
  <c r="AA181" i="3" s="1"/>
  <c r="X181" i="3" a="1"/>
  <c r="X181" i="3" s="1"/>
  <c r="V181" i="3" a="1"/>
  <c r="V181" i="3" s="1"/>
  <c r="W181" i="3" a="1"/>
  <c r="W181" i="3" s="1"/>
  <c r="K9" i="7"/>
  <c r="I181" i="3" a="1"/>
  <c r="I181" i="3" s="1"/>
  <c r="J181" i="3" a="1"/>
  <c r="J181" i="3" s="1"/>
  <c r="D181" i="3" a="1"/>
  <c r="D181" i="3" s="1"/>
  <c r="BB18" i="7" s="1"/>
  <c r="F181" i="3" a="1"/>
  <c r="F181" i="3" s="1"/>
  <c r="H181" i="3" a="1"/>
  <c r="H181" i="3" s="1"/>
  <c r="G181" i="3" a="1"/>
  <c r="G181" i="3" s="1"/>
  <c r="C181" i="3" a="1"/>
  <c r="C181" i="3" s="1"/>
  <c r="Q181" i="3" a="1"/>
  <c r="Q181" i="3" s="1"/>
  <c r="AR70" i="7" s="1"/>
  <c r="E181" i="3" a="1"/>
  <c r="E181" i="3" s="1"/>
  <c r="BA18" i="7" s="1"/>
  <c r="K181" i="3" a="1"/>
  <c r="K181" i="3" s="1"/>
  <c r="T181" i="3" a="1"/>
  <c r="T181" i="3" s="1"/>
  <c r="R181" i="3" a="1"/>
  <c r="R181" i="3" s="1"/>
  <c r="S181" i="3" a="1"/>
  <c r="S181" i="3" s="1"/>
  <c r="M181" i="3" a="1"/>
  <c r="M181" i="3" s="1"/>
  <c r="P181" i="3" a="1"/>
  <c r="P181" i="3" s="1"/>
  <c r="AX70" i="7" s="1"/>
  <c r="U181" i="3" a="1"/>
  <c r="U181" i="3" s="1"/>
  <c r="O181" i="3" a="1"/>
  <c r="O181" i="3" s="1"/>
  <c r="AV70" i="7" s="1"/>
  <c r="L181" i="3" a="1"/>
  <c r="L181" i="3" s="1"/>
  <c r="N181" i="3" a="1"/>
  <c r="N181" i="3" s="1"/>
  <c r="B182" i="3"/>
  <c r="J10" i="7" l="1"/>
  <c r="K10" i="7"/>
  <c r="AW70" i="7"/>
  <c r="AQ70" i="7"/>
  <c r="BC18" i="7"/>
  <c r="AD182" i="3" a="1"/>
  <c r="AD182" i="3" s="1"/>
  <c r="Y182" i="3" a="1"/>
  <c r="Y182" i="3" s="1"/>
  <c r="Z182" i="3" a="1"/>
  <c r="Z182" i="3" s="1"/>
  <c r="AC182" i="3" a="1"/>
  <c r="AC182" i="3" s="1"/>
  <c r="AB182" i="3" a="1"/>
  <c r="AB182" i="3" s="1"/>
  <c r="AA182" i="3" a="1"/>
  <c r="AA182" i="3" s="1"/>
  <c r="V182" i="3" a="1"/>
  <c r="V182" i="3" s="1"/>
  <c r="X182" i="3" a="1"/>
  <c r="X182" i="3" s="1"/>
  <c r="W182" i="3" a="1"/>
  <c r="W182" i="3" s="1"/>
  <c r="I182" i="3" a="1"/>
  <c r="I182" i="3" s="1"/>
  <c r="J182" i="3" a="1"/>
  <c r="J182" i="3" s="1"/>
  <c r="D182" i="3" a="1"/>
  <c r="D182" i="3" s="1"/>
  <c r="BB19" i="7" s="1"/>
  <c r="H182" i="3" a="1"/>
  <c r="H182" i="3" s="1"/>
  <c r="F182" i="3" a="1"/>
  <c r="F182" i="3" s="1"/>
  <c r="G182" i="3" a="1"/>
  <c r="G182" i="3" s="1"/>
  <c r="C182" i="3" a="1"/>
  <c r="C182" i="3" s="1"/>
  <c r="E182" i="3" a="1"/>
  <c r="E182" i="3" s="1"/>
  <c r="BA19" i="7" s="1"/>
  <c r="Q182" i="3" a="1"/>
  <c r="Q182" i="3" s="1"/>
  <c r="AR71" i="7" s="1"/>
  <c r="K182" i="3" a="1"/>
  <c r="K182" i="3" s="1"/>
  <c r="L182" i="3" a="1"/>
  <c r="L182" i="3" s="1"/>
  <c r="M182" i="3" a="1"/>
  <c r="M182" i="3" s="1"/>
  <c r="T182" i="3" a="1"/>
  <c r="T182" i="3" s="1"/>
  <c r="R182" i="3" a="1"/>
  <c r="R182" i="3" s="1"/>
  <c r="P182" i="3" a="1"/>
  <c r="P182" i="3" s="1"/>
  <c r="AX71" i="7" s="1"/>
  <c r="U182" i="3" a="1"/>
  <c r="U182" i="3" s="1"/>
  <c r="S182" i="3" a="1"/>
  <c r="S182" i="3" s="1"/>
  <c r="O182" i="3" a="1"/>
  <c r="O182" i="3" s="1"/>
  <c r="AV71" i="7" s="1"/>
  <c r="N182" i="3" a="1"/>
  <c r="N182" i="3" s="1"/>
  <c r="B183" i="3"/>
  <c r="J11" i="7" l="1"/>
  <c r="AW71" i="7"/>
  <c r="AQ71" i="7"/>
  <c r="BC19" i="7"/>
  <c r="Y183" i="3" a="1"/>
  <c r="Y183" i="3" s="1"/>
  <c r="AD183" i="3" a="1"/>
  <c r="AD183" i="3" s="1"/>
  <c r="Z183" i="3" a="1"/>
  <c r="Z183" i="3" s="1"/>
  <c r="AA183" i="3" a="1"/>
  <c r="AA183" i="3" s="1"/>
  <c r="AC183" i="3" a="1"/>
  <c r="AC183" i="3" s="1"/>
  <c r="AB183" i="3" a="1"/>
  <c r="AB183" i="3" s="1"/>
  <c r="X183" i="3" a="1"/>
  <c r="X183" i="3" s="1"/>
  <c r="V183" i="3" a="1"/>
  <c r="V183" i="3" s="1"/>
  <c r="W183" i="3" a="1"/>
  <c r="W183" i="3" s="1"/>
  <c r="K11" i="7"/>
  <c r="I183" i="3" a="1"/>
  <c r="I183" i="3" s="1"/>
  <c r="J183" i="3" a="1"/>
  <c r="J183" i="3" s="1"/>
  <c r="D183" i="3" a="1"/>
  <c r="D183" i="3" s="1"/>
  <c r="BB20" i="7" s="1"/>
  <c r="H183" i="3" a="1"/>
  <c r="H183" i="3" s="1"/>
  <c r="F183" i="3" a="1"/>
  <c r="F183" i="3" s="1"/>
  <c r="G183" i="3" a="1"/>
  <c r="G183" i="3" s="1"/>
  <c r="C183" i="3" a="1"/>
  <c r="C183" i="3" s="1"/>
  <c r="Q183" i="3" a="1"/>
  <c r="Q183" i="3" s="1"/>
  <c r="AR72" i="7" s="1"/>
  <c r="K183" i="3" a="1"/>
  <c r="K183" i="3" s="1"/>
  <c r="E183" i="3" a="1"/>
  <c r="E183" i="3" s="1"/>
  <c r="BA20" i="7" s="1"/>
  <c r="L183" i="3" a="1"/>
  <c r="L183" i="3" s="1"/>
  <c r="M183" i="3" a="1"/>
  <c r="M183" i="3" s="1"/>
  <c r="T183" i="3" a="1"/>
  <c r="T183" i="3" s="1"/>
  <c r="S183" i="3" a="1"/>
  <c r="S183" i="3" s="1"/>
  <c r="N183" i="3" a="1"/>
  <c r="N183" i="3" s="1"/>
  <c r="O183" i="3" a="1"/>
  <c r="O183" i="3" s="1"/>
  <c r="U183" i="3" a="1"/>
  <c r="U183" i="3" s="1"/>
  <c r="P183" i="3" a="1"/>
  <c r="P183" i="3" s="1"/>
  <c r="AX72" i="7" s="1"/>
  <c r="R183" i="3" a="1"/>
  <c r="R183" i="3" s="1"/>
  <c r="B184" i="3"/>
  <c r="AV72" i="7" l="1"/>
  <c r="AW72" i="7"/>
  <c r="AQ72" i="7"/>
  <c r="J12" i="7"/>
  <c r="BC20" i="7"/>
  <c r="AD184" i="3" a="1"/>
  <c r="AD184" i="3" s="1"/>
  <c r="Z184" i="3" a="1"/>
  <c r="Z184" i="3" s="1"/>
  <c r="AB184" i="3" a="1"/>
  <c r="AB184" i="3" s="1"/>
  <c r="Y184" i="3" a="1"/>
  <c r="Y184" i="3" s="1"/>
  <c r="AA184" i="3" a="1"/>
  <c r="AA184" i="3" s="1"/>
  <c r="AC184" i="3" a="1"/>
  <c r="AC184" i="3" s="1"/>
  <c r="X184" i="3" a="1"/>
  <c r="X184" i="3" s="1"/>
  <c r="V184" i="3" a="1"/>
  <c r="V184" i="3" s="1"/>
  <c r="W184" i="3" a="1"/>
  <c r="W184" i="3" s="1"/>
  <c r="K12" i="7"/>
  <c r="I184" i="3" a="1"/>
  <c r="I184" i="3" s="1"/>
  <c r="J184" i="3" a="1"/>
  <c r="J184" i="3" s="1"/>
  <c r="D184" i="3" a="1"/>
  <c r="D184" i="3" s="1"/>
  <c r="BB21" i="7" s="1"/>
  <c r="F184" i="3" a="1"/>
  <c r="F184" i="3" s="1"/>
  <c r="H184" i="3" a="1"/>
  <c r="H184" i="3" s="1"/>
  <c r="G184" i="3" a="1"/>
  <c r="G184" i="3" s="1"/>
  <c r="C184" i="3" a="1"/>
  <c r="C184" i="3" s="1"/>
  <c r="Q184" i="3" a="1"/>
  <c r="Q184" i="3" s="1"/>
  <c r="AR73" i="7" s="1"/>
  <c r="K184" i="3" a="1"/>
  <c r="K184" i="3" s="1"/>
  <c r="E184" i="3" a="1"/>
  <c r="E184" i="3" s="1"/>
  <c r="BA21" i="7" s="1"/>
  <c r="R184" i="3" a="1"/>
  <c r="R184" i="3" s="1"/>
  <c r="T184" i="3" a="1"/>
  <c r="T184" i="3" s="1"/>
  <c r="M184" i="3" a="1"/>
  <c r="M184" i="3" s="1"/>
  <c r="L184" i="3" a="1"/>
  <c r="L184" i="3" s="1"/>
  <c r="S184" i="3" a="1"/>
  <c r="S184" i="3" s="1"/>
  <c r="U184" i="3" a="1"/>
  <c r="U184" i="3" s="1"/>
  <c r="P184" i="3" a="1"/>
  <c r="P184" i="3" s="1"/>
  <c r="AX73" i="7" s="1"/>
  <c r="O184" i="3" a="1"/>
  <c r="O184" i="3" s="1"/>
  <c r="N184" i="3" a="1"/>
  <c r="N184" i="3" s="1"/>
  <c r="B185" i="3"/>
  <c r="AV73" i="7" l="1"/>
  <c r="J13" i="7"/>
  <c r="AW73" i="7"/>
  <c r="AQ73" i="7"/>
  <c r="BC21" i="7"/>
  <c r="AD185" i="3" a="1"/>
  <c r="AD185" i="3" s="1"/>
  <c r="Z185" i="3" a="1"/>
  <c r="Z185" i="3" s="1"/>
  <c r="Y185" i="3" a="1"/>
  <c r="Y185" i="3" s="1"/>
  <c r="AC185" i="3" a="1"/>
  <c r="AC185" i="3" s="1"/>
  <c r="AA185" i="3" a="1"/>
  <c r="AA185" i="3" s="1"/>
  <c r="AB185" i="3" a="1"/>
  <c r="AB185" i="3" s="1"/>
  <c r="V185" i="3" a="1"/>
  <c r="V185" i="3" s="1"/>
  <c r="X185" i="3" a="1"/>
  <c r="X185" i="3" s="1"/>
  <c r="W185" i="3" a="1"/>
  <c r="W185" i="3" s="1"/>
  <c r="K13" i="7"/>
  <c r="I185" i="3" a="1"/>
  <c r="I185" i="3" s="1"/>
  <c r="J185" i="3" a="1"/>
  <c r="J185" i="3" s="1"/>
  <c r="D185" i="3" a="1"/>
  <c r="D185" i="3" s="1"/>
  <c r="BB22" i="7" s="1"/>
  <c r="H185" i="3" a="1"/>
  <c r="H185" i="3" s="1"/>
  <c r="F185" i="3" a="1"/>
  <c r="F185" i="3" s="1"/>
  <c r="G185" i="3" a="1"/>
  <c r="G185" i="3" s="1"/>
  <c r="C185" i="3" a="1"/>
  <c r="C185" i="3" s="1"/>
  <c r="Q185" i="3" a="1"/>
  <c r="Q185" i="3" s="1"/>
  <c r="AR74" i="7" s="1"/>
  <c r="K185" i="3" a="1"/>
  <c r="K185" i="3" s="1"/>
  <c r="E185" i="3" a="1"/>
  <c r="E185" i="3" s="1"/>
  <c r="BA22" i="7" s="1"/>
  <c r="R185" i="3" a="1"/>
  <c r="R185" i="3" s="1"/>
  <c r="L185" i="3" a="1"/>
  <c r="L185" i="3" s="1"/>
  <c r="S185" i="3" a="1"/>
  <c r="S185" i="3" s="1"/>
  <c r="M185" i="3" a="1"/>
  <c r="M185" i="3" s="1"/>
  <c r="O185" i="3" a="1"/>
  <c r="O185" i="3" s="1"/>
  <c r="U185" i="3" a="1"/>
  <c r="U185" i="3" s="1"/>
  <c r="T185" i="3" a="1"/>
  <c r="T185" i="3" s="1"/>
  <c r="P185" i="3" a="1"/>
  <c r="P185" i="3" s="1"/>
  <c r="AX74" i="7" s="1"/>
  <c r="N185" i="3" a="1"/>
  <c r="N185" i="3" s="1"/>
  <c r="B186" i="3"/>
  <c r="AV74" i="7" l="1"/>
  <c r="J14" i="7"/>
  <c r="AW74" i="7"/>
  <c r="AQ74" i="7"/>
  <c r="BC22" i="7"/>
  <c r="AD186" i="3" a="1"/>
  <c r="AD186" i="3" s="1"/>
  <c r="Y186" i="3" a="1"/>
  <c r="Y186" i="3" s="1"/>
  <c r="AB186" i="3" a="1"/>
  <c r="AB186" i="3" s="1"/>
  <c r="Z186" i="3" a="1"/>
  <c r="Z186" i="3" s="1"/>
  <c r="AA186" i="3" a="1"/>
  <c r="AA186" i="3" s="1"/>
  <c r="AC186" i="3" a="1"/>
  <c r="AC186" i="3" s="1"/>
  <c r="V186" i="3" a="1"/>
  <c r="V186" i="3" s="1"/>
  <c r="X186" i="3" a="1"/>
  <c r="X186" i="3" s="1"/>
  <c r="W186" i="3" a="1"/>
  <c r="W186" i="3" s="1"/>
  <c r="K14" i="7"/>
  <c r="I186" i="3" a="1"/>
  <c r="I186" i="3" s="1"/>
  <c r="J186" i="3" a="1"/>
  <c r="J186" i="3" s="1"/>
  <c r="D186" i="3" a="1"/>
  <c r="D186" i="3" s="1"/>
  <c r="BB23" i="7" s="1"/>
  <c r="H186" i="3" a="1"/>
  <c r="H186" i="3" s="1"/>
  <c r="F186" i="3" a="1"/>
  <c r="F186" i="3" s="1"/>
  <c r="G186" i="3" a="1"/>
  <c r="G186" i="3" s="1"/>
  <c r="C186" i="3" a="1"/>
  <c r="C186" i="3" s="1"/>
  <c r="E186" i="3" a="1"/>
  <c r="E186" i="3" s="1"/>
  <c r="BA23" i="7" s="1"/>
  <c r="Q186" i="3" a="1"/>
  <c r="Q186" i="3" s="1"/>
  <c r="AR75" i="7" s="1"/>
  <c r="K186" i="3" a="1"/>
  <c r="K186" i="3" s="1"/>
  <c r="L186" i="3" a="1"/>
  <c r="L186" i="3" s="1"/>
  <c r="M186" i="3" a="1"/>
  <c r="M186" i="3" s="1"/>
  <c r="R186" i="3" a="1"/>
  <c r="R186" i="3" s="1"/>
  <c r="S186" i="3" a="1"/>
  <c r="S186" i="3" s="1"/>
  <c r="T186" i="3" a="1"/>
  <c r="T186" i="3" s="1"/>
  <c r="O186" i="3" a="1"/>
  <c r="O186" i="3" s="1"/>
  <c r="U186" i="3" a="1"/>
  <c r="U186" i="3" s="1"/>
  <c r="P186" i="3" a="1"/>
  <c r="P186" i="3" s="1"/>
  <c r="AX75" i="7" s="1"/>
  <c r="N186" i="3" a="1"/>
  <c r="N186" i="3" s="1"/>
  <c r="B187" i="3"/>
  <c r="AV75" i="7" l="1"/>
  <c r="J15" i="7"/>
  <c r="AW75" i="7"/>
  <c r="AQ75" i="7"/>
  <c r="BC23" i="7"/>
  <c r="AD187" i="3" a="1"/>
  <c r="AD187" i="3" s="1"/>
  <c r="Z187" i="3" a="1"/>
  <c r="Z187" i="3" s="1"/>
  <c r="Y187" i="3" a="1"/>
  <c r="Y187" i="3" s="1"/>
  <c r="AA187" i="3" a="1"/>
  <c r="AA187" i="3" s="1"/>
  <c r="AC187" i="3" a="1"/>
  <c r="AC187" i="3" s="1"/>
  <c r="AB187" i="3" a="1"/>
  <c r="AB187" i="3" s="1"/>
  <c r="X187" i="3" a="1"/>
  <c r="X187" i="3" s="1"/>
  <c r="V187" i="3" a="1"/>
  <c r="V187" i="3" s="1"/>
  <c r="W187" i="3" a="1"/>
  <c r="W187" i="3" s="1"/>
  <c r="K15" i="7"/>
  <c r="I187" i="3" a="1"/>
  <c r="I187" i="3" s="1"/>
  <c r="J187" i="3" a="1"/>
  <c r="J187" i="3" s="1"/>
  <c r="D187" i="3" a="1"/>
  <c r="D187" i="3" s="1"/>
  <c r="BB24" i="7" s="1"/>
  <c r="F187" i="3" a="1"/>
  <c r="F187" i="3" s="1"/>
  <c r="H187" i="3" a="1"/>
  <c r="H187" i="3" s="1"/>
  <c r="G187" i="3" a="1"/>
  <c r="G187" i="3" s="1"/>
  <c r="C187" i="3" a="1"/>
  <c r="C187" i="3" s="1"/>
  <c r="E187" i="3" a="1"/>
  <c r="E187" i="3" s="1"/>
  <c r="BA24" i="7" s="1"/>
  <c r="Q187" i="3" a="1"/>
  <c r="Q187" i="3" s="1"/>
  <c r="AR76" i="7" s="1"/>
  <c r="K187" i="3" a="1"/>
  <c r="K187" i="3" s="1"/>
  <c r="S187" i="3" a="1"/>
  <c r="S187" i="3" s="1"/>
  <c r="M187" i="3" a="1"/>
  <c r="M187" i="3" s="1"/>
  <c r="T187" i="3" a="1"/>
  <c r="T187" i="3" s="1"/>
  <c r="R187" i="3" a="1"/>
  <c r="R187" i="3" s="1"/>
  <c r="L187" i="3" a="1"/>
  <c r="L187" i="3" s="1"/>
  <c r="U187" i="3" a="1"/>
  <c r="U187" i="3" s="1"/>
  <c r="P187" i="3" a="1"/>
  <c r="P187" i="3" s="1"/>
  <c r="AX76" i="7" s="1"/>
  <c r="O187" i="3" a="1"/>
  <c r="O187" i="3" s="1"/>
  <c r="N187" i="3" a="1"/>
  <c r="N187" i="3" s="1"/>
  <c r="B188" i="3"/>
  <c r="J16" i="7" l="1"/>
  <c r="BC24" i="7"/>
  <c r="AV76" i="7"/>
  <c r="AW76" i="7"/>
  <c r="AQ76" i="7"/>
  <c r="AD188" i="3" a="1"/>
  <c r="AD188" i="3" s="1"/>
  <c r="Y188" i="3" a="1"/>
  <c r="Y188" i="3" s="1"/>
  <c r="Z188" i="3" a="1"/>
  <c r="Z188" i="3" s="1"/>
  <c r="AA188" i="3" a="1"/>
  <c r="AA188" i="3" s="1"/>
  <c r="AB188" i="3" a="1"/>
  <c r="AB188" i="3" s="1"/>
  <c r="AC188" i="3" a="1"/>
  <c r="AC188" i="3" s="1"/>
  <c r="V188" i="3" a="1"/>
  <c r="V188" i="3" s="1"/>
  <c r="X188" i="3" a="1"/>
  <c r="X188" i="3" s="1"/>
  <c r="W188" i="3" a="1"/>
  <c r="W188" i="3" s="1"/>
  <c r="K16" i="7"/>
  <c r="I188" i="3" a="1"/>
  <c r="I188" i="3" s="1"/>
  <c r="J188" i="3" a="1"/>
  <c r="J188" i="3" s="1"/>
  <c r="D188" i="3" a="1"/>
  <c r="D188" i="3" s="1"/>
  <c r="BB25" i="7" s="1"/>
  <c r="H188" i="3" a="1"/>
  <c r="H188" i="3" s="1"/>
  <c r="F188" i="3" a="1"/>
  <c r="F188" i="3" s="1"/>
  <c r="G188" i="3" a="1"/>
  <c r="G188" i="3" s="1"/>
  <c r="C188" i="3" a="1"/>
  <c r="C188" i="3" s="1"/>
  <c r="K188" i="3" a="1"/>
  <c r="K188" i="3" s="1"/>
  <c r="E188" i="3" a="1"/>
  <c r="E188" i="3" s="1"/>
  <c r="BA25" i="7" s="1"/>
  <c r="Q188" i="3" a="1"/>
  <c r="Q188" i="3" s="1"/>
  <c r="AR77" i="7" s="1"/>
  <c r="L188" i="3" a="1"/>
  <c r="L188" i="3" s="1"/>
  <c r="M188" i="3" a="1"/>
  <c r="M188" i="3" s="1"/>
  <c r="R188" i="3" a="1"/>
  <c r="R188" i="3" s="1"/>
  <c r="S188" i="3" a="1"/>
  <c r="S188" i="3" s="1"/>
  <c r="P188" i="3" a="1"/>
  <c r="P188" i="3" s="1"/>
  <c r="AX77" i="7" s="1"/>
  <c r="O188" i="3" a="1"/>
  <c r="O188" i="3" s="1"/>
  <c r="T188" i="3" a="1"/>
  <c r="T188" i="3" s="1"/>
  <c r="U188" i="3" a="1"/>
  <c r="U188" i="3" s="1"/>
  <c r="N188" i="3" a="1"/>
  <c r="N188" i="3" s="1"/>
  <c r="B189" i="3"/>
  <c r="AV77" i="7" l="1"/>
  <c r="J17" i="7"/>
  <c r="AW77" i="7"/>
  <c r="AQ77" i="7"/>
  <c r="BC25" i="7"/>
  <c r="AD189" i="3" a="1"/>
  <c r="AD189" i="3" s="1"/>
  <c r="Y189" i="3" a="1"/>
  <c r="Y189" i="3" s="1"/>
  <c r="Z189" i="3" a="1"/>
  <c r="Z189" i="3" s="1"/>
  <c r="AC189" i="3" a="1"/>
  <c r="AC189" i="3" s="1"/>
  <c r="AA189" i="3" a="1"/>
  <c r="AA189" i="3" s="1"/>
  <c r="AB189" i="3" a="1"/>
  <c r="AB189" i="3" s="1"/>
  <c r="V189" i="3" a="1"/>
  <c r="V189" i="3" s="1"/>
  <c r="X189" i="3" a="1"/>
  <c r="X189" i="3" s="1"/>
  <c r="W189" i="3" a="1"/>
  <c r="W189" i="3" s="1"/>
  <c r="K17" i="7"/>
  <c r="I189" i="3" a="1"/>
  <c r="I189" i="3" s="1"/>
  <c r="J189" i="3" a="1"/>
  <c r="J189" i="3" s="1"/>
  <c r="D189" i="3" a="1"/>
  <c r="D189" i="3" s="1"/>
  <c r="BB26" i="7" s="1"/>
  <c r="F189" i="3" a="1"/>
  <c r="F189" i="3" s="1"/>
  <c r="H189" i="3" a="1"/>
  <c r="H189" i="3" s="1"/>
  <c r="G189" i="3" a="1"/>
  <c r="G189" i="3" s="1"/>
  <c r="C189" i="3" a="1"/>
  <c r="C189" i="3" s="1"/>
  <c r="E189" i="3" a="1"/>
  <c r="E189" i="3" s="1"/>
  <c r="BA26" i="7" s="1"/>
  <c r="Q189" i="3" a="1"/>
  <c r="Q189" i="3" s="1"/>
  <c r="AR78" i="7" s="1"/>
  <c r="K189" i="3" a="1"/>
  <c r="K189" i="3" s="1"/>
  <c r="M189" i="3" a="1"/>
  <c r="M189" i="3" s="1"/>
  <c r="T189" i="3" a="1"/>
  <c r="T189" i="3" s="1"/>
  <c r="L189" i="3" a="1"/>
  <c r="L189" i="3" s="1"/>
  <c r="S189" i="3" a="1"/>
  <c r="S189" i="3" s="1"/>
  <c r="R189" i="3" a="1"/>
  <c r="R189" i="3" s="1"/>
  <c r="O189" i="3" a="1"/>
  <c r="O189" i="3" s="1"/>
  <c r="P189" i="3" a="1"/>
  <c r="P189" i="3" s="1"/>
  <c r="AX78" i="7" s="1"/>
  <c r="U189" i="3" a="1"/>
  <c r="U189" i="3" s="1"/>
  <c r="N189" i="3" a="1"/>
  <c r="N189" i="3" s="1"/>
  <c r="B190" i="3"/>
  <c r="AV78" i="7" l="1"/>
  <c r="J18" i="7"/>
  <c r="AW78" i="7"/>
  <c r="AQ78" i="7"/>
  <c r="BC26" i="7"/>
  <c r="AD190" i="3" a="1"/>
  <c r="AD190" i="3" s="1"/>
  <c r="Z190" i="3" a="1"/>
  <c r="Z190" i="3" s="1"/>
  <c r="Y190" i="3" a="1"/>
  <c r="Y190" i="3" s="1"/>
  <c r="AA190" i="3" a="1"/>
  <c r="AA190" i="3" s="1"/>
  <c r="AC190" i="3" a="1"/>
  <c r="AC190" i="3" s="1"/>
  <c r="AB190" i="3" a="1"/>
  <c r="AB190" i="3" s="1"/>
  <c r="X190" i="3" a="1"/>
  <c r="X190" i="3" s="1"/>
  <c r="V190" i="3" a="1"/>
  <c r="V190" i="3" s="1"/>
  <c r="W190" i="3" a="1"/>
  <c r="W190" i="3" s="1"/>
  <c r="K18" i="7"/>
  <c r="I190" i="3" a="1"/>
  <c r="I190" i="3" s="1"/>
  <c r="J190" i="3" a="1"/>
  <c r="J190" i="3" s="1"/>
  <c r="D190" i="3" a="1"/>
  <c r="D190" i="3" s="1"/>
  <c r="BB27" i="7" s="1"/>
  <c r="F190" i="3" a="1"/>
  <c r="F190" i="3" s="1"/>
  <c r="H190" i="3" a="1"/>
  <c r="H190" i="3" s="1"/>
  <c r="G190" i="3" a="1"/>
  <c r="G190" i="3" s="1"/>
  <c r="C190" i="3" a="1"/>
  <c r="C190" i="3" s="1"/>
  <c r="K190" i="3" a="1"/>
  <c r="K190" i="3" s="1"/>
  <c r="E190" i="3" a="1"/>
  <c r="E190" i="3" s="1"/>
  <c r="BA27" i="7" s="1"/>
  <c r="Q190" i="3" a="1"/>
  <c r="Q190" i="3" s="1"/>
  <c r="AR79" i="7" s="1"/>
  <c r="R190" i="3" a="1"/>
  <c r="R190" i="3" s="1"/>
  <c r="L190" i="3" a="1"/>
  <c r="L190" i="3" s="1"/>
  <c r="S190" i="3" a="1"/>
  <c r="S190" i="3" s="1"/>
  <c r="T190" i="3" a="1"/>
  <c r="T190" i="3" s="1"/>
  <c r="M190" i="3" a="1"/>
  <c r="M190" i="3" s="1"/>
  <c r="P190" i="3" a="1"/>
  <c r="P190" i="3" s="1"/>
  <c r="AX79" i="7" s="1"/>
  <c r="U190" i="3" a="1"/>
  <c r="U190" i="3" s="1"/>
  <c r="O190" i="3" a="1"/>
  <c r="O190" i="3" s="1"/>
  <c r="AV79" i="7" s="1"/>
  <c r="N190" i="3" a="1"/>
  <c r="N190" i="3" s="1"/>
  <c r="B191" i="3"/>
  <c r="J19" i="7" l="1"/>
  <c r="AW79" i="7"/>
  <c r="AQ79" i="7"/>
  <c r="BC27" i="7"/>
  <c r="Y191" i="3" a="1"/>
  <c r="Y191" i="3" s="1"/>
  <c r="AD191" i="3" a="1"/>
  <c r="AD191" i="3" s="1"/>
  <c r="Z191" i="3" a="1"/>
  <c r="Z191" i="3" s="1"/>
  <c r="AB191" i="3" a="1"/>
  <c r="AB191" i="3" s="1"/>
  <c r="AA191" i="3" a="1"/>
  <c r="AA191" i="3" s="1"/>
  <c r="AC191" i="3" a="1"/>
  <c r="AC191" i="3" s="1"/>
  <c r="X191" i="3" a="1"/>
  <c r="X191" i="3" s="1"/>
  <c r="V191" i="3" a="1"/>
  <c r="V191" i="3" s="1"/>
  <c r="W191" i="3" a="1"/>
  <c r="W191" i="3" s="1"/>
  <c r="K19" i="7"/>
  <c r="I191" i="3" a="1"/>
  <c r="I191" i="3" s="1"/>
  <c r="J191" i="3" a="1"/>
  <c r="J191" i="3" s="1"/>
  <c r="D191" i="3" a="1"/>
  <c r="D191" i="3" s="1"/>
  <c r="BB28" i="7" s="1"/>
  <c r="H191" i="3" a="1"/>
  <c r="H191" i="3" s="1"/>
  <c r="F191" i="3" a="1"/>
  <c r="F191" i="3" s="1"/>
  <c r="G191" i="3" a="1"/>
  <c r="G191" i="3" s="1"/>
  <c r="C191" i="3" a="1"/>
  <c r="C191" i="3" s="1"/>
  <c r="K191" i="3" a="1"/>
  <c r="K191" i="3" s="1"/>
  <c r="E191" i="3" a="1"/>
  <c r="E191" i="3" s="1"/>
  <c r="BA28" i="7" s="1"/>
  <c r="Q191" i="3" a="1"/>
  <c r="Q191" i="3" s="1"/>
  <c r="AR80" i="7" s="1"/>
  <c r="T191" i="3" a="1"/>
  <c r="T191" i="3" s="1"/>
  <c r="L191" i="3" a="1"/>
  <c r="L191" i="3" s="1"/>
  <c r="M191" i="3" a="1"/>
  <c r="M191" i="3" s="1"/>
  <c r="S191" i="3" a="1"/>
  <c r="S191" i="3" s="1"/>
  <c r="R191" i="3" a="1"/>
  <c r="R191" i="3" s="1"/>
  <c r="O191" i="3" a="1"/>
  <c r="O191" i="3" s="1"/>
  <c r="P191" i="3" a="1"/>
  <c r="P191" i="3" s="1"/>
  <c r="AX80" i="7" s="1"/>
  <c r="U191" i="3" a="1"/>
  <c r="U191" i="3" s="1"/>
  <c r="N191" i="3" a="1"/>
  <c r="N191" i="3" s="1"/>
  <c r="B192" i="3"/>
  <c r="AV80" i="7" l="1"/>
  <c r="J20" i="7"/>
  <c r="AW80" i="7"/>
  <c r="AQ80" i="7"/>
  <c r="BC28" i="7"/>
  <c r="AD192" i="3" a="1"/>
  <c r="AD192" i="3" s="1"/>
  <c r="Y192" i="3" a="1"/>
  <c r="Y192" i="3" s="1"/>
  <c r="Z192" i="3" a="1"/>
  <c r="Z192" i="3" s="1"/>
  <c r="AA192" i="3" a="1"/>
  <c r="AA192" i="3" s="1"/>
  <c r="AC192" i="3" a="1"/>
  <c r="AC192" i="3" s="1"/>
  <c r="AB192" i="3" a="1"/>
  <c r="AB192" i="3" s="1"/>
  <c r="X192" i="3" a="1"/>
  <c r="X192" i="3" s="1"/>
  <c r="V192" i="3" a="1"/>
  <c r="V192" i="3" s="1"/>
  <c r="W192" i="3" a="1"/>
  <c r="W192" i="3" s="1"/>
  <c r="K20" i="7"/>
  <c r="I192" i="3" a="1"/>
  <c r="I192" i="3" s="1"/>
  <c r="J192" i="3" a="1"/>
  <c r="J192" i="3" s="1"/>
  <c r="D192" i="3" a="1"/>
  <c r="D192" i="3" s="1"/>
  <c r="BB29" i="7" s="1"/>
  <c r="F192" i="3" a="1"/>
  <c r="F192" i="3" s="1"/>
  <c r="H192" i="3" a="1"/>
  <c r="H192" i="3" s="1"/>
  <c r="G192" i="3" a="1"/>
  <c r="G192" i="3" s="1"/>
  <c r="C192" i="3" a="1"/>
  <c r="C192" i="3" s="1"/>
  <c r="K192" i="3" a="1"/>
  <c r="K192" i="3" s="1"/>
  <c r="E192" i="3" a="1"/>
  <c r="E192" i="3" s="1"/>
  <c r="BA29" i="7" s="1"/>
  <c r="Q192" i="3" a="1"/>
  <c r="Q192" i="3" s="1"/>
  <c r="AR81" i="7" s="1"/>
  <c r="T192" i="3" a="1"/>
  <c r="T192" i="3" s="1"/>
  <c r="L192" i="3" a="1"/>
  <c r="L192" i="3" s="1"/>
  <c r="R192" i="3" a="1"/>
  <c r="R192" i="3" s="1"/>
  <c r="S192" i="3" a="1"/>
  <c r="S192" i="3" s="1"/>
  <c r="M192" i="3" a="1"/>
  <c r="M192" i="3" s="1"/>
  <c r="O192" i="3" a="1"/>
  <c r="O192" i="3" s="1"/>
  <c r="U192" i="3" a="1"/>
  <c r="U192" i="3" s="1"/>
  <c r="P192" i="3" a="1"/>
  <c r="P192" i="3" s="1"/>
  <c r="AX81" i="7" s="1"/>
  <c r="N192" i="3" a="1"/>
  <c r="N192" i="3" s="1"/>
  <c r="B193" i="3"/>
  <c r="J21" i="7" l="1"/>
  <c r="AV81" i="7"/>
  <c r="AW81" i="7"/>
  <c r="AQ81" i="7"/>
  <c r="BC29" i="7"/>
  <c r="AD193" i="3" a="1"/>
  <c r="AD193" i="3" s="1"/>
  <c r="Z193" i="3" a="1"/>
  <c r="Z193" i="3" s="1"/>
  <c r="Y193" i="3" a="1"/>
  <c r="Y193" i="3" s="1"/>
  <c r="AA193" i="3" a="1"/>
  <c r="AA193" i="3" s="1"/>
  <c r="AB193" i="3" a="1"/>
  <c r="AB193" i="3" s="1"/>
  <c r="AC193" i="3" a="1"/>
  <c r="AC193" i="3" s="1"/>
  <c r="V193" i="3" a="1"/>
  <c r="V193" i="3" s="1"/>
  <c r="X193" i="3" a="1"/>
  <c r="X193" i="3" s="1"/>
  <c r="W193" i="3" a="1"/>
  <c r="W193" i="3" s="1"/>
  <c r="K21" i="7"/>
  <c r="I193" i="3" a="1"/>
  <c r="I193" i="3" s="1"/>
  <c r="J193" i="3" a="1"/>
  <c r="J193" i="3" s="1"/>
  <c r="D193" i="3" a="1"/>
  <c r="D193" i="3" s="1"/>
  <c r="BB30" i="7" s="1"/>
  <c r="G193" i="3" a="1"/>
  <c r="G193" i="3" s="1"/>
  <c r="F193" i="3" a="1"/>
  <c r="F193" i="3" s="1"/>
  <c r="H193" i="3" a="1"/>
  <c r="H193" i="3" s="1"/>
  <c r="C193" i="3" a="1"/>
  <c r="C193" i="3" s="1"/>
  <c r="K193" i="3" a="1"/>
  <c r="K193" i="3" s="1"/>
  <c r="Q193" i="3" a="1"/>
  <c r="Q193" i="3" s="1"/>
  <c r="AR82" i="7" s="1"/>
  <c r="E193" i="3" a="1"/>
  <c r="E193" i="3" s="1"/>
  <c r="BA30" i="7" s="1"/>
  <c r="L193" i="3" a="1"/>
  <c r="L193" i="3" s="1"/>
  <c r="S193" i="3" a="1"/>
  <c r="S193" i="3" s="1"/>
  <c r="M193" i="3" a="1"/>
  <c r="M193" i="3" s="1"/>
  <c r="T193" i="3" a="1"/>
  <c r="T193" i="3" s="1"/>
  <c r="R193" i="3" a="1"/>
  <c r="R193" i="3" s="1"/>
  <c r="P193" i="3" a="1"/>
  <c r="P193" i="3" s="1"/>
  <c r="AX82" i="7" s="1"/>
  <c r="U193" i="3" a="1"/>
  <c r="U193" i="3" s="1"/>
  <c r="O193" i="3" a="1"/>
  <c r="O193" i="3" s="1"/>
  <c r="N193" i="3" a="1"/>
  <c r="N193" i="3" s="1"/>
  <c r="B194" i="3"/>
  <c r="J22" i="7" l="1"/>
  <c r="AV82" i="7"/>
  <c r="AW82" i="7"/>
  <c r="AQ82" i="7"/>
  <c r="BC30" i="7"/>
  <c r="AD194" i="3" a="1"/>
  <c r="AD194" i="3" s="1"/>
  <c r="Y194" i="3" a="1"/>
  <c r="Y194" i="3" s="1"/>
  <c r="Z194" i="3" a="1"/>
  <c r="Z194" i="3" s="1"/>
  <c r="AB194" i="3" a="1"/>
  <c r="AB194" i="3" s="1"/>
  <c r="AC194" i="3" a="1"/>
  <c r="AC194" i="3" s="1"/>
  <c r="AA194" i="3" a="1"/>
  <c r="AA194" i="3" s="1"/>
  <c r="X194" i="3" a="1"/>
  <c r="X194" i="3" s="1"/>
  <c r="V194" i="3" a="1"/>
  <c r="V194" i="3" s="1"/>
  <c r="W194" i="3" a="1"/>
  <c r="W194" i="3" s="1"/>
  <c r="K22" i="7"/>
  <c r="I194" i="3" a="1"/>
  <c r="I194" i="3" s="1"/>
  <c r="J194" i="3" a="1"/>
  <c r="J194" i="3" s="1"/>
  <c r="D194" i="3" a="1"/>
  <c r="D194" i="3" s="1"/>
  <c r="BB31" i="7" s="1"/>
  <c r="F194" i="3" a="1"/>
  <c r="F194" i="3" s="1"/>
  <c r="H194" i="3" a="1"/>
  <c r="H194" i="3" s="1"/>
  <c r="G194" i="3" a="1"/>
  <c r="G194" i="3" s="1"/>
  <c r="C194" i="3" a="1"/>
  <c r="C194" i="3" s="1"/>
  <c r="Q194" i="3" a="1"/>
  <c r="Q194" i="3" s="1"/>
  <c r="AR83" i="7" s="1"/>
  <c r="K194" i="3" a="1"/>
  <c r="K194" i="3" s="1"/>
  <c r="E194" i="3" a="1"/>
  <c r="E194" i="3" s="1"/>
  <c r="BA31" i="7" s="1"/>
  <c r="M194" i="3" a="1"/>
  <c r="M194" i="3" s="1"/>
  <c r="L194" i="3" a="1"/>
  <c r="L194" i="3" s="1"/>
  <c r="S194" i="3" a="1"/>
  <c r="S194" i="3" s="1"/>
  <c r="R194" i="3" a="1"/>
  <c r="R194" i="3" s="1"/>
  <c r="O194" i="3" a="1"/>
  <c r="O194" i="3" s="1"/>
  <c r="T194" i="3" a="1"/>
  <c r="T194" i="3" s="1"/>
  <c r="U194" i="3" a="1"/>
  <c r="U194" i="3" s="1"/>
  <c r="P194" i="3" a="1"/>
  <c r="P194" i="3" s="1"/>
  <c r="AX83" i="7" s="1"/>
  <c r="N194" i="3" a="1"/>
  <c r="N194" i="3" s="1"/>
  <c r="B195" i="3"/>
  <c r="AV83" i="7" l="1"/>
  <c r="J23" i="7"/>
  <c r="AW83" i="7"/>
  <c r="AQ83" i="7"/>
  <c r="BC31" i="7"/>
  <c r="Y195" i="3" a="1"/>
  <c r="Y195" i="3" s="1"/>
  <c r="AD195" i="3" a="1"/>
  <c r="AD195" i="3" s="1"/>
  <c r="AB195" i="3" a="1"/>
  <c r="AB195" i="3" s="1"/>
  <c r="Z195" i="3" a="1"/>
  <c r="Z195" i="3" s="1"/>
  <c r="AC195" i="3" a="1"/>
  <c r="AC195" i="3" s="1"/>
  <c r="AA195" i="3" a="1"/>
  <c r="AA195" i="3" s="1"/>
  <c r="X195" i="3" a="1"/>
  <c r="X195" i="3" s="1"/>
  <c r="V195" i="3" a="1"/>
  <c r="V195" i="3" s="1"/>
  <c r="W195" i="3" a="1"/>
  <c r="W195" i="3" s="1"/>
  <c r="K23" i="7"/>
  <c r="I195" i="3" a="1"/>
  <c r="I195" i="3" s="1"/>
  <c r="J195" i="3" a="1"/>
  <c r="J195" i="3" s="1"/>
  <c r="D195" i="3" a="1"/>
  <c r="D195" i="3" s="1"/>
  <c r="BB32" i="7" s="1"/>
  <c r="F195" i="3" a="1"/>
  <c r="F195" i="3" s="1"/>
  <c r="H195" i="3" a="1"/>
  <c r="H195" i="3" s="1"/>
  <c r="G195" i="3" a="1"/>
  <c r="G195" i="3" s="1"/>
  <c r="C195" i="3" a="1"/>
  <c r="C195" i="3" s="1"/>
  <c r="E195" i="3" a="1"/>
  <c r="E195" i="3" s="1"/>
  <c r="BA32" i="7" s="1"/>
  <c r="Q195" i="3" a="1"/>
  <c r="Q195" i="3" s="1"/>
  <c r="AR84" i="7" s="1"/>
  <c r="K195" i="3" a="1"/>
  <c r="K195" i="3" s="1"/>
  <c r="R195" i="3" a="1"/>
  <c r="R195" i="3" s="1"/>
  <c r="M195" i="3" a="1"/>
  <c r="M195" i="3" s="1"/>
  <c r="L195" i="3" a="1"/>
  <c r="L195" i="3" s="1"/>
  <c r="T195" i="3" a="1"/>
  <c r="T195" i="3" s="1"/>
  <c r="S195" i="3" a="1"/>
  <c r="S195" i="3" s="1"/>
  <c r="O195" i="3" a="1"/>
  <c r="O195" i="3" s="1"/>
  <c r="U195" i="3" a="1"/>
  <c r="U195" i="3" s="1"/>
  <c r="P195" i="3" a="1"/>
  <c r="P195" i="3" s="1"/>
  <c r="AX84" i="7" s="1"/>
  <c r="N195" i="3" a="1"/>
  <c r="N195" i="3" s="1"/>
  <c r="B196" i="3"/>
  <c r="BC32" i="7" l="1"/>
  <c r="AV84" i="7"/>
  <c r="AW84" i="7"/>
  <c r="AQ84" i="7"/>
  <c r="J24" i="7"/>
  <c r="AD196" i="3" a="1"/>
  <c r="AD196" i="3" s="1"/>
  <c r="Z196" i="3" a="1"/>
  <c r="Z196" i="3" s="1"/>
  <c r="Y196" i="3" a="1"/>
  <c r="Y196" i="3" s="1"/>
  <c r="AA196" i="3" a="1"/>
  <c r="AA196" i="3" s="1"/>
  <c r="AC196" i="3" a="1"/>
  <c r="AC196" i="3" s="1"/>
  <c r="AB196" i="3" a="1"/>
  <c r="AB196" i="3" s="1"/>
  <c r="X196" i="3" a="1"/>
  <c r="X196" i="3" s="1"/>
  <c r="V196" i="3" a="1"/>
  <c r="V196" i="3" s="1"/>
  <c r="W196" i="3" a="1"/>
  <c r="W196" i="3" s="1"/>
  <c r="K24" i="7"/>
  <c r="I196" i="3" a="1"/>
  <c r="I196" i="3" s="1"/>
  <c r="J196" i="3" a="1"/>
  <c r="J196" i="3" s="1"/>
  <c r="D196" i="3" a="1"/>
  <c r="D196" i="3" s="1"/>
  <c r="BB33" i="7" s="1"/>
  <c r="H196" i="3" a="1"/>
  <c r="H196" i="3" s="1"/>
  <c r="G196" i="3" a="1"/>
  <c r="G196" i="3" s="1"/>
  <c r="F196" i="3" a="1"/>
  <c r="F196" i="3" s="1"/>
  <c r="C196" i="3" a="1"/>
  <c r="C196" i="3" s="1"/>
  <c r="Q196" i="3" a="1"/>
  <c r="Q196" i="3" s="1"/>
  <c r="AR85" i="7" s="1"/>
  <c r="E196" i="3" a="1"/>
  <c r="E196" i="3" s="1"/>
  <c r="BA33" i="7" s="1"/>
  <c r="K196" i="3" a="1"/>
  <c r="K196" i="3" s="1"/>
  <c r="S196" i="3" a="1"/>
  <c r="S196" i="3" s="1"/>
  <c r="R196" i="3" a="1"/>
  <c r="R196" i="3" s="1"/>
  <c r="L196" i="3" a="1"/>
  <c r="L196" i="3" s="1"/>
  <c r="M196" i="3" a="1"/>
  <c r="M196" i="3" s="1"/>
  <c r="T196" i="3" a="1"/>
  <c r="T196" i="3" s="1"/>
  <c r="P196" i="3" a="1"/>
  <c r="P196" i="3" s="1"/>
  <c r="AX85" i="7" s="1"/>
  <c r="U196" i="3" a="1"/>
  <c r="U196" i="3" s="1"/>
  <c r="O196" i="3" a="1"/>
  <c r="O196" i="3" s="1"/>
  <c r="N196" i="3" a="1"/>
  <c r="N196" i="3" s="1"/>
  <c r="B197" i="3"/>
  <c r="AV85" i="7" l="1"/>
  <c r="J25" i="7"/>
  <c r="AW85" i="7"/>
  <c r="AQ85" i="7"/>
  <c r="BC33" i="7"/>
  <c r="Y197" i="3" a="1"/>
  <c r="Y197" i="3" s="1"/>
  <c r="Z197" i="3" a="1"/>
  <c r="Z197" i="3" s="1"/>
  <c r="AD197" i="3" a="1"/>
  <c r="AD197" i="3" s="1"/>
  <c r="AB197" i="3" a="1"/>
  <c r="AB197" i="3" s="1"/>
  <c r="AC197" i="3" a="1"/>
  <c r="AC197" i="3" s="1"/>
  <c r="AA197" i="3" a="1"/>
  <c r="AA197" i="3" s="1"/>
  <c r="X197" i="3" a="1"/>
  <c r="X197" i="3" s="1"/>
  <c r="V197" i="3" a="1"/>
  <c r="V197" i="3" s="1"/>
  <c r="W197" i="3" a="1"/>
  <c r="W197" i="3" s="1"/>
  <c r="K25" i="7"/>
  <c r="I197" i="3" a="1"/>
  <c r="I197" i="3" s="1"/>
  <c r="J197" i="3" a="1"/>
  <c r="J197" i="3" s="1"/>
  <c r="D197" i="3" a="1"/>
  <c r="D197" i="3" s="1"/>
  <c r="BB34" i="7" s="1"/>
  <c r="F197" i="3" a="1"/>
  <c r="F197" i="3" s="1"/>
  <c r="H197" i="3" a="1"/>
  <c r="H197" i="3" s="1"/>
  <c r="G197" i="3" a="1"/>
  <c r="G197" i="3" s="1"/>
  <c r="C197" i="3" a="1"/>
  <c r="C197" i="3" s="1"/>
  <c r="K197" i="3" a="1"/>
  <c r="K197" i="3" s="1"/>
  <c r="Q197" i="3" a="1"/>
  <c r="Q197" i="3" s="1"/>
  <c r="AR86" i="7" s="1"/>
  <c r="E197" i="3" a="1"/>
  <c r="E197" i="3" s="1"/>
  <c r="BA34" i="7" s="1"/>
  <c r="M197" i="3" a="1"/>
  <c r="M197" i="3" s="1"/>
  <c r="T197" i="3" a="1"/>
  <c r="T197" i="3" s="1"/>
  <c r="R197" i="3" a="1"/>
  <c r="R197" i="3" s="1"/>
  <c r="L197" i="3" a="1"/>
  <c r="L197" i="3" s="1"/>
  <c r="S197" i="3" a="1"/>
  <c r="S197" i="3" s="1"/>
  <c r="P197" i="3" a="1"/>
  <c r="P197" i="3" s="1"/>
  <c r="AX86" i="7" s="1"/>
  <c r="U197" i="3" a="1"/>
  <c r="U197" i="3" s="1"/>
  <c r="O197" i="3" a="1"/>
  <c r="O197" i="3" s="1"/>
  <c r="N197" i="3" a="1"/>
  <c r="N197" i="3" s="1"/>
  <c r="B198" i="3"/>
  <c r="AV86" i="7" l="1"/>
  <c r="J26" i="7"/>
  <c r="AW86" i="7"/>
  <c r="AQ86" i="7"/>
  <c r="BC34" i="7"/>
  <c r="AD198" i="3" a="1"/>
  <c r="AD198" i="3" s="1"/>
  <c r="Y198" i="3" a="1"/>
  <c r="Y198" i="3" s="1"/>
  <c r="Z198" i="3" a="1"/>
  <c r="Z198" i="3" s="1"/>
  <c r="AB198" i="3" a="1"/>
  <c r="AB198" i="3" s="1"/>
  <c r="AA198" i="3" a="1"/>
  <c r="AA198" i="3" s="1"/>
  <c r="AC198" i="3" a="1"/>
  <c r="AC198" i="3" s="1"/>
  <c r="X198" i="3" a="1"/>
  <c r="X198" i="3" s="1"/>
  <c r="V198" i="3" a="1"/>
  <c r="V198" i="3" s="1"/>
  <c r="W198" i="3" a="1"/>
  <c r="W198" i="3" s="1"/>
  <c r="K26" i="7"/>
  <c r="I198" i="3" a="1"/>
  <c r="I198" i="3" s="1"/>
  <c r="J198" i="3" a="1"/>
  <c r="J198" i="3" s="1"/>
  <c r="D198" i="3" a="1"/>
  <c r="D198" i="3" s="1"/>
  <c r="BB35" i="7" s="1"/>
  <c r="H198" i="3" a="1"/>
  <c r="H198" i="3" s="1"/>
  <c r="F198" i="3" a="1"/>
  <c r="F198" i="3" s="1"/>
  <c r="G198" i="3" a="1"/>
  <c r="G198" i="3" s="1"/>
  <c r="C198" i="3" a="1"/>
  <c r="C198" i="3" s="1"/>
  <c r="Q198" i="3" a="1"/>
  <c r="Q198" i="3" s="1"/>
  <c r="AR87" i="7" s="1"/>
  <c r="K198" i="3" a="1"/>
  <c r="K198" i="3" s="1"/>
  <c r="E198" i="3" a="1"/>
  <c r="E198" i="3" s="1"/>
  <c r="BA35" i="7" s="1"/>
  <c r="S198" i="3" a="1"/>
  <c r="S198" i="3" s="1"/>
  <c r="L198" i="3" a="1"/>
  <c r="L198" i="3" s="1"/>
  <c r="T198" i="3" a="1"/>
  <c r="T198" i="3" s="1"/>
  <c r="R198" i="3" a="1"/>
  <c r="R198" i="3" s="1"/>
  <c r="M198" i="3" a="1"/>
  <c r="M198" i="3" s="1"/>
  <c r="P198" i="3" a="1"/>
  <c r="P198" i="3" s="1"/>
  <c r="AX87" i="7" s="1"/>
  <c r="U198" i="3" a="1"/>
  <c r="U198" i="3" s="1"/>
  <c r="O198" i="3" a="1"/>
  <c r="O198" i="3" s="1"/>
  <c r="N198" i="3" a="1"/>
  <c r="N198" i="3" s="1"/>
  <c r="B199" i="3"/>
  <c r="AV87" i="7" l="1"/>
  <c r="J27" i="7"/>
  <c r="AW87" i="7"/>
  <c r="AQ87" i="7"/>
  <c r="BC35" i="7"/>
  <c r="AD199" i="3" a="1"/>
  <c r="AD199" i="3" s="1"/>
  <c r="Y199" i="3" a="1"/>
  <c r="Y199" i="3" s="1"/>
  <c r="AB199" i="3" a="1"/>
  <c r="AB199" i="3" s="1"/>
  <c r="AC199" i="3" a="1"/>
  <c r="AC199" i="3" s="1"/>
  <c r="Z199" i="3" a="1"/>
  <c r="Z199" i="3" s="1"/>
  <c r="AA199" i="3" a="1"/>
  <c r="AA199" i="3" s="1"/>
  <c r="X199" i="3" a="1"/>
  <c r="X199" i="3" s="1"/>
  <c r="W199" i="3" a="1"/>
  <c r="W199" i="3" s="1"/>
  <c r="V199" i="3" a="1"/>
  <c r="V199" i="3" s="1"/>
  <c r="K27" i="7"/>
  <c r="I199" i="3" a="1"/>
  <c r="I199" i="3" s="1"/>
  <c r="J199" i="3" a="1"/>
  <c r="J199" i="3" s="1"/>
  <c r="D199" i="3" a="1"/>
  <c r="D199" i="3" s="1"/>
  <c r="BB36" i="7" s="1"/>
  <c r="H199" i="3" a="1"/>
  <c r="H199" i="3" s="1"/>
  <c r="F199" i="3" a="1"/>
  <c r="F199" i="3" s="1"/>
  <c r="G199" i="3" a="1"/>
  <c r="G199" i="3" s="1"/>
  <c r="C199" i="3" a="1"/>
  <c r="C199" i="3" s="1"/>
  <c r="K199" i="3" a="1"/>
  <c r="K199" i="3" s="1"/>
  <c r="E199" i="3" a="1"/>
  <c r="E199" i="3" s="1"/>
  <c r="BA36" i="7" s="1"/>
  <c r="Q199" i="3" a="1"/>
  <c r="Q199" i="3" s="1"/>
  <c r="AR88" i="7" s="1"/>
  <c r="R199" i="3" a="1"/>
  <c r="R199" i="3" s="1"/>
  <c r="S199" i="3" a="1"/>
  <c r="S199" i="3" s="1"/>
  <c r="L199" i="3" a="1"/>
  <c r="L199" i="3" s="1"/>
  <c r="T199" i="3" a="1"/>
  <c r="T199" i="3" s="1"/>
  <c r="O199" i="3" a="1"/>
  <c r="O199" i="3" s="1"/>
  <c r="M199" i="3" a="1"/>
  <c r="M199" i="3" s="1"/>
  <c r="U199" i="3" a="1"/>
  <c r="U199" i="3" s="1"/>
  <c r="P199" i="3" a="1"/>
  <c r="P199" i="3" s="1"/>
  <c r="AX88" i="7" s="1"/>
  <c r="N199" i="3" a="1"/>
  <c r="N199" i="3" s="1"/>
  <c r="B200" i="3"/>
  <c r="AW88" i="7" l="1"/>
  <c r="AQ88" i="7"/>
  <c r="AV88" i="7"/>
  <c r="J28" i="7"/>
  <c r="BC36" i="7"/>
  <c r="AD200" i="3" a="1"/>
  <c r="AD200" i="3" s="1"/>
  <c r="Y200" i="3" a="1"/>
  <c r="Y200" i="3" s="1"/>
  <c r="Z200" i="3" a="1"/>
  <c r="Z200" i="3" s="1"/>
  <c r="AC200" i="3" a="1"/>
  <c r="AC200" i="3" s="1"/>
  <c r="AB200" i="3" a="1"/>
  <c r="AB200" i="3" s="1"/>
  <c r="AA200" i="3" a="1"/>
  <c r="AA200" i="3" s="1"/>
  <c r="X200" i="3" a="1"/>
  <c r="X200" i="3" s="1"/>
  <c r="V200" i="3" a="1"/>
  <c r="V200" i="3" s="1"/>
  <c r="W200" i="3" a="1"/>
  <c r="W200" i="3" s="1"/>
  <c r="K28" i="7"/>
  <c r="I200" i="3" a="1"/>
  <c r="I200" i="3" s="1"/>
  <c r="J200" i="3" a="1"/>
  <c r="J200" i="3" s="1"/>
  <c r="D200" i="3" a="1"/>
  <c r="D200" i="3" s="1"/>
  <c r="BB37" i="7" s="1"/>
  <c r="F200" i="3" a="1"/>
  <c r="F200" i="3" s="1"/>
  <c r="G200" i="3" a="1"/>
  <c r="G200" i="3" s="1"/>
  <c r="H200" i="3" a="1"/>
  <c r="H200" i="3" s="1"/>
  <c r="C200" i="3" a="1"/>
  <c r="C200" i="3" s="1"/>
  <c r="E200" i="3" a="1"/>
  <c r="E200" i="3" s="1"/>
  <c r="BA37" i="7" s="1"/>
  <c r="K200" i="3" a="1"/>
  <c r="K200" i="3" s="1"/>
  <c r="Q200" i="3" a="1"/>
  <c r="Q200" i="3" s="1"/>
  <c r="AR89" i="7" s="1"/>
  <c r="R200" i="3" a="1"/>
  <c r="R200" i="3" s="1"/>
  <c r="L200" i="3" a="1"/>
  <c r="L200" i="3" s="1"/>
  <c r="T200" i="3" a="1"/>
  <c r="T200" i="3" s="1"/>
  <c r="M200" i="3" a="1"/>
  <c r="M200" i="3" s="1"/>
  <c r="P200" i="3" a="1"/>
  <c r="P200" i="3" s="1"/>
  <c r="AX89" i="7" s="1"/>
  <c r="S200" i="3" a="1"/>
  <c r="S200" i="3" s="1"/>
  <c r="O200" i="3" a="1"/>
  <c r="O200" i="3" s="1"/>
  <c r="U200" i="3" a="1"/>
  <c r="U200" i="3" s="1"/>
  <c r="N200" i="3" a="1"/>
  <c r="N200" i="3" s="1"/>
  <c r="B201" i="3"/>
  <c r="AV89" i="7" l="1"/>
  <c r="J29" i="7"/>
  <c r="AW89" i="7"/>
  <c r="AQ89" i="7"/>
  <c r="BC37" i="7"/>
  <c r="AD201" i="3" a="1"/>
  <c r="AD201" i="3" s="1"/>
  <c r="Y201" i="3" a="1"/>
  <c r="Y201" i="3" s="1"/>
  <c r="AB201" i="3" a="1"/>
  <c r="AB201" i="3" s="1"/>
  <c r="Z201" i="3" a="1"/>
  <c r="Z201" i="3" s="1"/>
  <c r="AA201" i="3" a="1"/>
  <c r="AA201" i="3" s="1"/>
  <c r="AC201" i="3" a="1"/>
  <c r="AC201" i="3" s="1"/>
  <c r="V201" i="3" a="1"/>
  <c r="V201" i="3" s="1"/>
  <c r="X201" i="3" a="1"/>
  <c r="X201" i="3" s="1"/>
  <c r="W201" i="3" a="1"/>
  <c r="W201" i="3" s="1"/>
  <c r="K29" i="7"/>
  <c r="I201" i="3" a="1"/>
  <c r="I201" i="3" s="1"/>
  <c r="J201" i="3" a="1"/>
  <c r="J201" i="3" s="1"/>
  <c r="D201" i="3" a="1"/>
  <c r="D201" i="3" s="1"/>
  <c r="BB38" i="7" s="1"/>
  <c r="F201" i="3" a="1"/>
  <c r="F201" i="3" s="1"/>
  <c r="G201" i="3" a="1"/>
  <c r="G201" i="3" s="1"/>
  <c r="H201" i="3" a="1"/>
  <c r="H201" i="3" s="1"/>
  <c r="C201" i="3" a="1"/>
  <c r="C201" i="3" s="1"/>
  <c r="E201" i="3" a="1"/>
  <c r="E201" i="3" s="1"/>
  <c r="BA38" i="7" s="1"/>
  <c r="Q201" i="3" a="1"/>
  <c r="Q201" i="3" s="1"/>
  <c r="AR90" i="7" s="1"/>
  <c r="K201" i="3" a="1"/>
  <c r="K201" i="3" s="1"/>
  <c r="R201" i="3" a="1"/>
  <c r="R201" i="3" s="1"/>
  <c r="T201" i="3" a="1"/>
  <c r="T201" i="3" s="1"/>
  <c r="S201" i="3" a="1"/>
  <c r="S201" i="3" s="1"/>
  <c r="L201" i="3" a="1"/>
  <c r="L201" i="3" s="1"/>
  <c r="O201" i="3" a="1"/>
  <c r="O201" i="3" s="1"/>
  <c r="M201" i="3" a="1"/>
  <c r="M201" i="3" s="1"/>
  <c r="U201" i="3" a="1"/>
  <c r="U201" i="3" s="1"/>
  <c r="P201" i="3" a="1"/>
  <c r="P201" i="3" s="1"/>
  <c r="AX90" i="7" s="1"/>
  <c r="N201" i="3" a="1"/>
  <c r="N201" i="3" s="1"/>
  <c r="B202" i="3"/>
  <c r="AV90" i="7" l="1"/>
  <c r="J30" i="7"/>
  <c r="AW90" i="7"/>
  <c r="AQ90" i="7"/>
  <c r="BC38" i="7"/>
  <c r="AD202" i="3" a="1"/>
  <c r="AD202" i="3" s="1"/>
  <c r="Y202" i="3" a="1"/>
  <c r="Y202" i="3" s="1"/>
  <c r="Z202" i="3" a="1"/>
  <c r="Z202" i="3" s="1"/>
  <c r="AB202" i="3" a="1"/>
  <c r="AB202" i="3" s="1"/>
  <c r="AA202" i="3" a="1"/>
  <c r="AA202" i="3" s="1"/>
  <c r="AC202" i="3" a="1"/>
  <c r="AC202" i="3" s="1"/>
  <c r="X202" i="3" a="1"/>
  <c r="X202" i="3" s="1"/>
  <c r="V202" i="3" a="1"/>
  <c r="V202" i="3" s="1"/>
  <c r="W202" i="3" a="1"/>
  <c r="W202" i="3" s="1"/>
  <c r="K30" i="7"/>
  <c r="I202" i="3" a="1"/>
  <c r="I202" i="3" s="1"/>
  <c r="J202" i="3" a="1"/>
  <c r="J202" i="3" s="1"/>
  <c r="D202" i="3" a="1"/>
  <c r="D202" i="3" s="1"/>
  <c r="BB39" i="7" s="1"/>
  <c r="F202" i="3" a="1"/>
  <c r="F202" i="3" s="1"/>
  <c r="H202" i="3" a="1"/>
  <c r="H202" i="3" s="1"/>
  <c r="G202" i="3" a="1"/>
  <c r="G202" i="3" s="1"/>
  <c r="C202" i="3" a="1"/>
  <c r="C202" i="3" s="1"/>
  <c r="K202" i="3" a="1"/>
  <c r="K202" i="3" s="1"/>
  <c r="Q202" i="3" a="1"/>
  <c r="Q202" i="3" s="1"/>
  <c r="AR91" i="7" s="1"/>
  <c r="E202" i="3" a="1"/>
  <c r="E202" i="3" s="1"/>
  <c r="BA39" i="7" s="1"/>
  <c r="R202" i="3" a="1"/>
  <c r="R202" i="3" s="1"/>
  <c r="S202" i="3" a="1"/>
  <c r="S202" i="3" s="1"/>
  <c r="M202" i="3" a="1"/>
  <c r="M202" i="3" s="1"/>
  <c r="L202" i="3" a="1"/>
  <c r="L202" i="3" s="1"/>
  <c r="T202" i="3" a="1"/>
  <c r="T202" i="3" s="1"/>
  <c r="U202" i="3" a="1"/>
  <c r="U202" i="3" s="1"/>
  <c r="P202" i="3" a="1"/>
  <c r="P202" i="3" s="1"/>
  <c r="AX91" i="7" s="1"/>
  <c r="O202" i="3" a="1"/>
  <c r="O202" i="3" s="1"/>
  <c r="N202" i="3" a="1"/>
  <c r="N202" i="3" s="1"/>
  <c r="B203" i="3"/>
  <c r="AV91" i="7" l="1"/>
  <c r="H11" i="7"/>
  <c r="H4" i="7"/>
  <c r="J31" i="7"/>
  <c r="F31" i="7" s="1"/>
  <c r="AW91" i="7"/>
  <c r="AQ91" i="7"/>
  <c r="BC39" i="7"/>
  <c r="F24" i="7"/>
  <c r="AD203" i="3" a="1"/>
  <c r="AD203" i="3" s="1"/>
  <c r="Y203" i="3" a="1"/>
  <c r="Y203" i="3" s="1"/>
  <c r="Z203" i="3" a="1"/>
  <c r="Z203" i="3" s="1"/>
  <c r="AA203" i="3" a="1"/>
  <c r="AA203" i="3" s="1"/>
  <c r="AB203" i="3" a="1"/>
  <c r="AB203" i="3" s="1"/>
  <c r="AC203" i="3" a="1"/>
  <c r="AC203" i="3" s="1"/>
  <c r="X203" i="3" a="1"/>
  <c r="X203" i="3" s="1"/>
  <c r="V203" i="3" a="1"/>
  <c r="V203" i="3" s="1"/>
  <c r="W203" i="3" a="1"/>
  <c r="W203" i="3" s="1"/>
  <c r="H5" i="7"/>
  <c r="H22" i="7"/>
  <c r="H6" i="7"/>
  <c r="H26" i="7"/>
  <c r="K31" i="7"/>
  <c r="G5" i="7" s="1"/>
  <c r="I203" i="3" a="1"/>
  <c r="I203" i="3" s="1"/>
  <c r="H32" i="7" s="1"/>
  <c r="J203" i="3" a="1"/>
  <c r="J203" i="3" s="1"/>
  <c r="H28" i="7"/>
  <c r="H10" i="7"/>
  <c r="H20" i="7"/>
  <c r="H14" i="7"/>
  <c r="H25" i="7"/>
  <c r="H12" i="7"/>
  <c r="H24" i="7"/>
  <c r="H17" i="7"/>
  <c r="H19" i="7"/>
  <c r="H9" i="7"/>
  <c r="H21" i="7"/>
  <c r="H23" i="7"/>
  <c r="H30" i="7"/>
  <c r="H31" i="7"/>
  <c r="H16" i="7"/>
  <c r="H8" i="7"/>
  <c r="H27" i="7"/>
  <c r="H13" i="7"/>
  <c r="H29" i="7"/>
  <c r="H18" i="7"/>
  <c r="H7" i="7"/>
  <c r="H15" i="7"/>
  <c r="D203" i="3" a="1"/>
  <c r="D203" i="3" s="1"/>
  <c r="BB40" i="7" s="1"/>
  <c r="F203" i="3" a="1"/>
  <c r="F203" i="3" s="1"/>
  <c r="J32" i="7" s="1"/>
  <c r="H203" i="3" a="1"/>
  <c r="H203" i="3" s="1"/>
  <c r="G203" i="3" a="1"/>
  <c r="G203" i="3" s="1"/>
  <c r="C203" i="3" a="1"/>
  <c r="C203" i="3" s="1"/>
  <c r="E203" i="3" a="1"/>
  <c r="E203" i="3" s="1"/>
  <c r="BA40" i="7" s="1"/>
  <c r="Q203" i="3" a="1"/>
  <c r="Q203" i="3" s="1"/>
  <c r="AR92" i="7" s="1"/>
  <c r="K203" i="3" a="1"/>
  <c r="K203" i="3" s="1"/>
  <c r="M203" i="3" a="1"/>
  <c r="M203" i="3" s="1"/>
  <c r="S203" i="3" a="1"/>
  <c r="S203" i="3" s="1"/>
  <c r="L203" i="3" a="1"/>
  <c r="L203" i="3" s="1"/>
  <c r="T203" i="3" a="1"/>
  <c r="T203" i="3" s="1"/>
  <c r="R203" i="3" a="1"/>
  <c r="R203" i="3" s="1"/>
  <c r="O203" i="3" a="1"/>
  <c r="O203" i="3" s="1"/>
  <c r="U203" i="3" a="1"/>
  <c r="U203" i="3" s="1"/>
  <c r="P203" i="3" a="1"/>
  <c r="P203" i="3" s="1"/>
  <c r="AX92" i="7" s="1"/>
  <c r="N203" i="3" a="1"/>
  <c r="N203" i="3" s="1"/>
  <c r="B204" i="3"/>
  <c r="F30" i="7" l="1"/>
  <c r="B30" i="7" s="1"/>
  <c r="F8" i="7"/>
  <c r="BC40" i="7"/>
  <c r="F15" i="7"/>
  <c r="F22" i="7"/>
  <c r="B22" i="7" s="1"/>
  <c r="F12" i="7"/>
  <c r="B12" i="7" s="1"/>
  <c r="F21" i="7"/>
  <c r="F27" i="7"/>
  <c r="B27" i="7" s="1"/>
  <c r="F17" i="7"/>
  <c r="B17" i="7" s="1"/>
  <c r="F13" i="7"/>
  <c r="B13" i="7" s="1"/>
  <c r="F32" i="7"/>
  <c r="B32" i="7" s="1"/>
  <c r="F25" i="7"/>
  <c r="B25" i="7" s="1"/>
  <c r="F9" i="7"/>
  <c r="F5" i="7"/>
  <c r="B5" i="7" s="1"/>
  <c r="F7" i="7"/>
  <c r="B7" i="7" s="1"/>
  <c r="F14" i="7"/>
  <c r="B14" i="7" s="1"/>
  <c r="F18" i="7"/>
  <c r="B18" i="7" s="1"/>
  <c r="F23" i="7"/>
  <c r="B23" i="7" s="1"/>
  <c r="F6" i="7"/>
  <c r="B6" i="7" s="1"/>
  <c r="F11" i="7"/>
  <c r="B11" i="7" s="1"/>
  <c r="F16" i="7"/>
  <c r="B16" i="7" s="1"/>
  <c r="F20" i="7"/>
  <c r="B20" i="7" s="1"/>
  <c r="F28" i="7"/>
  <c r="B28" i="7" s="1"/>
  <c r="F10" i="7"/>
  <c r="B10" i="7" s="1"/>
  <c r="F4" i="7"/>
  <c r="B4" i="7" s="1"/>
  <c r="B15" i="7"/>
  <c r="AW92" i="7"/>
  <c r="AQ92" i="7"/>
  <c r="AV92" i="7"/>
  <c r="B8" i="7"/>
  <c r="B24" i="7"/>
  <c r="B31" i="7"/>
  <c r="F29" i="7"/>
  <c r="B29" i="7" s="1"/>
  <c r="F26" i="7"/>
  <c r="B26" i="7" s="1"/>
  <c r="B9" i="7"/>
  <c r="B21" i="7"/>
  <c r="F19" i="7"/>
  <c r="B19" i="7" s="1"/>
  <c r="G4" i="7"/>
  <c r="C4" i="7" s="1"/>
  <c r="G10" i="7"/>
  <c r="C10" i="7" s="1"/>
  <c r="C5" i="7"/>
  <c r="AD204" i="3" a="1"/>
  <c r="AD204" i="3" s="1"/>
  <c r="Y204" i="3" a="1"/>
  <c r="Y204" i="3" s="1"/>
  <c r="Z204" i="3" a="1"/>
  <c r="Z204" i="3" s="1"/>
  <c r="AB204" i="3" a="1"/>
  <c r="AB204" i="3" s="1"/>
  <c r="AC204" i="3" a="1"/>
  <c r="AC204" i="3" s="1"/>
  <c r="AA204" i="3" a="1"/>
  <c r="AA204" i="3" s="1"/>
  <c r="V204" i="3" a="1"/>
  <c r="V204" i="3" s="1"/>
  <c r="X204" i="3" a="1"/>
  <c r="X204" i="3" s="1"/>
  <c r="W204" i="3" a="1"/>
  <c r="W204" i="3" s="1"/>
  <c r="G20" i="7"/>
  <c r="C20" i="7" s="1"/>
  <c r="G15" i="7"/>
  <c r="C15" i="7" s="1"/>
  <c r="G17" i="7"/>
  <c r="C17" i="7" s="1"/>
  <c r="G9" i="7"/>
  <c r="C9" i="7" s="1"/>
  <c r="G24" i="7"/>
  <c r="C24" i="7" s="1"/>
  <c r="G18" i="7"/>
  <c r="C18" i="7" s="1"/>
  <c r="G27" i="7"/>
  <c r="C27" i="7" s="1"/>
  <c r="G14" i="7"/>
  <c r="C14" i="7" s="1"/>
  <c r="G26" i="7"/>
  <c r="C26" i="7" s="1"/>
  <c r="G16" i="7"/>
  <c r="C16" i="7" s="1"/>
  <c r="G21" i="7"/>
  <c r="C21" i="7" s="1"/>
  <c r="G25" i="7"/>
  <c r="C25" i="7" s="1"/>
  <c r="G22" i="7"/>
  <c r="C22" i="7" s="1"/>
  <c r="G29" i="7"/>
  <c r="C29" i="7" s="1"/>
  <c r="G12" i="7"/>
  <c r="C12" i="7" s="1"/>
  <c r="G11" i="7"/>
  <c r="C11" i="7" s="1"/>
  <c r="G19" i="7"/>
  <c r="C19" i="7" s="1"/>
  <c r="G30" i="7"/>
  <c r="C30" i="7" s="1"/>
  <c r="K32" i="7"/>
  <c r="G32" i="7" s="1"/>
  <c r="C32" i="7" s="1"/>
  <c r="I204" i="3" a="1"/>
  <c r="I204" i="3" s="1"/>
  <c r="H33" i="7" s="1"/>
  <c r="J204" i="3" a="1"/>
  <c r="J204" i="3" s="1"/>
  <c r="G31" i="7"/>
  <c r="C31" i="7" s="1"/>
  <c r="G6" i="7"/>
  <c r="C6" i="7" s="1"/>
  <c r="G7" i="7"/>
  <c r="C7" i="7" s="1"/>
  <c r="G23" i="7"/>
  <c r="C23" i="7" s="1"/>
  <c r="G13" i="7"/>
  <c r="C13" i="7" s="1"/>
  <c r="G8" i="7"/>
  <c r="C8" i="7" s="1"/>
  <c r="G28" i="7"/>
  <c r="C28" i="7" s="1"/>
  <c r="D204" i="3" a="1"/>
  <c r="D204" i="3" s="1"/>
  <c r="BB41" i="7" s="1"/>
  <c r="H204" i="3" a="1"/>
  <c r="H204" i="3" s="1"/>
  <c r="F204" i="3" a="1"/>
  <c r="F204" i="3" s="1"/>
  <c r="G204" i="3" a="1"/>
  <c r="G204" i="3" s="1"/>
  <c r="C204" i="3" a="1"/>
  <c r="C204" i="3" s="1"/>
  <c r="Q204" i="3" a="1"/>
  <c r="Q204" i="3" s="1"/>
  <c r="AR93" i="7" s="1"/>
  <c r="K204" i="3" a="1"/>
  <c r="K204" i="3" s="1"/>
  <c r="E204" i="3" a="1"/>
  <c r="E204" i="3" s="1"/>
  <c r="BA41" i="7" s="1"/>
  <c r="R204" i="3" a="1"/>
  <c r="R204" i="3" s="1"/>
  <c r="M204" i="3" a="1"/>
  <c r="M204" i="3" s="1"/>
  <c r="S204" i="3" a="1"/>
  <c r="S204" i="3" s="1"/>
  <c r="T204" i="3" a="1"/>
  <c r="T204" i="3" s="1"/>
  <c r="L204" i="3" a="1"/>
  <c r="L204" i="3" s="1"/>
  <c r="O204" i="3" a="1"/>
  <c r="O204" i="3" s="1"/>
  <c r="U204" i="3" a="1"/>
  <c r="U204" i="3" s="1"/>
  <c r="P204" i="3" a="1"/>
  <c r="P204" i="3" s="1"/>
  <c r="AX93" i="7" s="1"/>
  <c r="N204" i="3" a="1"/>
  <c r="N204" i="3" s="1"/>
  <c r="B205" i="3"/>
  <c r="J33" i="7" l="1"/>
  <c r="F33" i="7" s="1"/>
  <c r="B33" i="7" s="1"/>
  <c r="AV93" i="7"/>
  <c r="AW93" i="7"/>
  <c r="AQ93" i="7"/>
  <c r="BC41" i="7"/>
  <c r="AD205" i="3" a="1"/>
  <c r="AD205" i="3" s="1"/>
  <c r="Y205" i="3" a="1"/>
  <c r="Y205" i="3" s="1"/>
  <c r="Z205" i="3" a="1"/>
  <c r="Z205" i="3" s="1"/>
  <c r="AB205" i="3" a="1"/>
  <c r="AB205" i="3" s="1"/>
  <c r="AA205" i="3" a="1"/>
  <c r="AA205" i="3" s="1"/>
  <c r="AC205" i="3" a="1"/>
  <c r="AC205" i="3" s="1"/>
  <c r="V205" i="3" a="1"/>
  <c r="V205" i="3" s="1"/>
  <c r="X205" i="3" a="1"/>
  <c r="X205" i="3" s="1"/>
  <c r="W205" i="3" a="1"/>
  <c r="W205" i="3" s="1"/>
  <c r="K33" i="7"/>
  <c r="G33" i="7" s="1"/>
  <c r="C33" i="7" s="1"/>
  <c r="I205" i="3" a="1"/>
  <c r="I205" i="3" s="1"/>
  <c r="H34" i="7" s="1"/>
  <c r="J205" i="3" a="1"/>
  <c r="J205" i="3" s="1"/>
  <c r="D205" i="3" a="1"/>
  <c r="D205" i="3" s="1"/>
  <c r="BB42" i="7" s="1"/>
  <c r="F205" i="3" a="1"/>
  <c r="F205" i="3" s="1"/>
  <c r="H205" i="3" a="1"/>
  <c r="H205" i="3" s="1"/>
  <c r="G205" i="3" a="1"/>
  <c r="G205" i="3" s="1"/>
  <c r="C205" i="3" a="1"/>
  <c r="C205" i="3" s="1"/>
  <c r="Q205" i="3" a="1"/>
  <c r="Q205" i="3" s="1"/>
  <c r="AR94" i="7" s="1"/>
  <c r="K205" i="3" a="1"/>
  <c r="K205" i="3" s="1"/>
  <c r="E205" i="3" a="1"/>
  <c r="E205" i="3" s="1"/>
  <c r="BA42" i="7" s="1"/>
  <c r="L205" i="3" a="1"/>
  <c r="L205" i="3" s="1"/>
  <c r="M205" i="3" a="1"/>
  <c r="M205" i="3" s="1"/>
  <c r="R205" i="3" a="1"/>
  <c r="R205" i="3" s="1"/>
  <c r="S205" i="3" a="1"/>
  <c r="S205" i="3" s="1"/>
  <c r="T205" i="3" a="1"/>
  <c r="T205" i="3" s="1"/>
  <c r="U205" i="3" a="1"/>
  <c r="U205" i="3" s="1"/>
  <c r="O205" i="3" a="1"/>
  <c r="O205" i="3" s="1"/>
  <c r="P205" i="3" a="1"/>
  <c r="P205" i="3" s="1"/>
  <c r="AX94" i="7" s="1"/>
  <c r="N205" i="3" a="1"/>
  <c r="N205" i="3" s="1"/>
  <c r="B206" i="3"/>
  <c r="AV94" i="7" l="1"/>
  <c r="J34" i="7"/>
  <c r="F34" i="7" s="1"/>
  <c r="B34" i="7" s="1"/>
  <c r="AW94" i="7"/>
  <c r="AQ94" i="7"/>
  <c r="BC42" i="7"/>
  <c r="AD206" i="3" a="1"/>
  <c r="AD206" i="3" s="1"/>
  <c r="Y206" i="3" a="1"/>
  <c r="Y206" i="3" s="1"/>
  <c r="Z206" i="3" a="1"/>
  <c r="Z206" i="3" s="1"/>
  <c r="AC206" i="3" a="1"/>
  <c r="AC206" i="3" s="1"/>
  <c r="AB206" i="3" a="1"/>
  <c r="AB206" i="3" s="1"/>
  <c r="AA206" i="3" a="1"/>
  <c r="AA206" i="3" s="1"/>
  <c r="V206" i="3" a="1"/>
  <c r="V206" i="3" s="1"/>
  <c r="X206" i="3" a="1"/>
  <c r="X206" i="3" s="1"/>
  <c r="W206" i="3" a="1"/>
  <c r="W206" i="3" s="1"/>
  <c r="K34" i="7"/>
  <c r="G34" i="7" s="1"/>
  <c r="C34" i="7" s="1"/>
  <c r="I206" i="3" a="1"/>
  <c r="I206" i="3" s="1"/>
  <c r="H35" i="7" s="1"/>
  <c r="J206" i="3" a="1"/>
  <c r="J206" i="3" s="1"/>
  <c r="D206" i="3" a="1"/>
  <c r="D206" i="3" s="1"/>
  <c r="BB43" i="7" s="1"/>
  <c r="H206" i="3" a="1"/>
  <c r="H206" i="3" s="1"/>
  <c r="F206" i="3" a="1"/>
  <c r="F206" i="3" s="1"/>
  <c r="G206" i="3" a="1"/>
  <c r="G206" i="3" s="1"/>
  <c r="C206" i="3" a="1"/>
  <c r="C206" i="3" s="1"/>
  <c r="E206" i="3" a="1"/>
  <c r="E206" i="3" s="1"/>
  <c r="BA43" i="7" s="1"/>
  <c r="K206" i="3" a="1"/>
  <c r="K206" i="3" s="1"/>
  <c r="Q206" i="3" a="1"/>
  <c r="Q206" i="3" s="1"/>
  <c r="AR95" i="7" s="1"/>
  <c r="R206" i="3" a="1"/>
  <c r="R206" i="3" s="1"/>
  <c r="L206" i="3" a="1"/>
  <c r="L206" i="3" s="1"/>
  <c r="T206" i="3" a="1"/>
  <c r="T206" i="3" s="1"/>
  <c r="M206" i="3" a="1"/>
  <c r="M206" i="3" s="1"/>
  <c r="S206" i="3" a="1"/>
  <c r="S206" i="3" s="1"/>
  <c r="U206" i="3" a="1"/>
  <c r="U206" i="3" s="1"/>
  <c r="P206" i="3" a="1"/>
  <c r="P206" i="3" s="1"/>
  <c r="AX95" i="7" s="1"/>
  <c r="O206" i="3" a="1"/>
  <c r="O206" i="3" s="1"/>
  <c r="N206" i="3" a="1"/>
  <c r="N206" i="3" s="1"/>
  <c r="B207" i="3"/>
  <c r="BC43" i="7" l="1"/>
  <c r="AV95" i="7"/>
  <c r="J35" i="7"/>
  <c r="F35" i="7" s="1"/>
  <c r="B35" i="7" s="1"/>
  <c r="AW95" i="7"/>
  <c r="AQ95" i="7"/>
  <c r="AD207" i="3" a="1"/>
  <c r="AD207" i="3" s="1"/>
  <c r="Y207" i="3" a="1"/>
  <c r="Y207" i="3" s="1"/>
  <c r="Z207" i="3" a="1"/>
  <c r="Z207" i="3" s="1"/>
  <c r="AC207" i="3" a="1"/>
  <c r="AC207" i="3" s="1"/>
  <c r="AB207" i="3" a="1"/>
  <c r="AB207" i="3" s="1"/>
  <c r="AA207" i="3" a="1"/>
  <c r="AA207" i="3" s="1"/>
  <c r="X207" i="3" a="1"/>
  <c r="X207" i="3" s="1"/>
  <c r="V207" i="3" a="1"/>
  <c r="V207" i="3" s="1"/>
  <c r="W207" i="3" a="1"/>
  <c r="W207" i="3" s="1"/>
  <c r="K35" i="7"/>
  <c r="G35" i="7" s="1"/>
  <c r="C35" i="7" s="1"/>
  <c r="I207" i="3" a="1"/>
  <c r="I207" i="3" s="1"/>
  <c r="H36" i="7" s="1"/>
  <c r="J207" i="3" a="1"/>
  <c r="J207" i="3" s="1"/>
  <c r="D207" i="3" a="1"/>
  <c r="D207" i="3" s="1"/>
  <c r="BB44" i="7" s="1"/>
  <c r="H207" i="3" a="1"/>
  <c r="H207" i="3" s="1"/>
  <c r="F207" i="3" a="1"/>
  <c r="F207" i="3" s="1"/>
  <c r="G207" i="3" a="1"/>
  <c r="G207" i="3" s="1"/>
  <c r="C207" i="3" a="1"/>
  <c r="C207" i="3" s="1"/>
  <c r="E207" i="3" a="1"/>
  <c r="E207" i="3" s="1"/>
  <c r="BA44" i="7" s="1"/>
  <c r="K207" i="3" a="1"/>
  <c r="K207" i="3" s="1"/>
  <c r="Q207" i="3" a="1"/>
  <c r="Q207" i="3" s="1"/>
  <c r="AR96" i="7" s="1"/>
  <c r="R207" i="3" a="1"/>
  <c r="R207" i="3" s="1"/>
  <c r="S207" i="3" a="1"/>
  <c r="S207" i="3" s="1"/>
  <c r="T207" i="3" a="1"/>
  <c r="T207" i="3" s="1"/>
  <c r="M207" i="3" a="1"/>
  <c r="M207" i="3" s="1"/>
  <c r="L207" i="3" a="1"/>
  <c r="L207" i="3" s="1"/>
  <c r="U207" i="3" a="1"/>
  <c r="U207" i="3" s="1"/>
  <c r="P207" i="3" a="1"/>
  <c r="P207" i="3" s="1"/>
  <c r="AX96" i="7" s="1"/>
  <c r="O207" i="3" a="1"/>
  <c r="O207" i="3" s="1"/>
  <c r="N207" i="3" a="1"/>
  <c r="N207" i="3" s="1"/>
  <c r="B208" i="3"/>
  <c r="J36" i="7" l="1"/>
  <c r="F36" i="7" s="1"/>
  <c r="B36" i="7" s="1"/>
  <c r="BC44" i="7"/>
  <c r="AV96" i="7"/>
  <c r="AW96" i="7"/>
  <c r="AQ96" i="7"/>
  <c r="Y208" i="3" a="1"/>
  <c r="Y208" i="3" s="1"/>
  <c r="AB208" i="3" a="1"/>
  <c r="AB208" i="3" s="1"/>
  <c r="AD208" i="3" a="1"/>
  <c r="AD208" i="3" s="1"/>
  <c r="Z208" i="3" a="1"/>
  <c r="Z208" i="3" s="1"/>
  <c r="AC208" i="3" a="1"/>
  <c r="AC208" i="3" s="1"/>
  <c r="AA208" i="3" a="1"/>
  <c r="AA208" i="3" s="1"/>
  <c r="V208" i="3" a="1"/>
  <c r="V208" i="3" s="1"/>
  <c r="X208" i="3" a="1"/>
  <c r="X208" i="3" s="1"/>
  <c r="W208" i="3" a="1"/>
  <c r="W208" i="3" s="1"/>
  <c r="K36" i="7"/>
  <c r="G36" i="7" s="1"/>
  <c r="C36" i="7" s="1"/>
  <c r="I208" i="3" a="1"/>
  <c r="I208" i="3" s="1"/>
  <c r="H37" i="7" s="1"/>
  <c r="J208" i="3" a="1"/>
  <c r="J208" i="3" s="1"/>
  <c r="D208" i="3" a="1"/>
  <c r="D208" i="3" s="1"/>
  <c r="BB45" i="7" s="1"/>
  <c r="F208" i="3" a="1"/>
  <c r="F208" i="3" s="1"/>
  <c r="H208" i="3" a="1"/>
  <c r="H208" i="3" s="1"/>
  <c r="G208" i="3" a="1"/>
  <c r="G208" i="3" s="1"/>
  <c r="C208" i="3" a="1"/>
  <c r="C208" i="3" s="1"/>
  <c r="Q208" i="3" a="1"/>
  <c r="Q208" i="3" s="1"/>
  <c r="AR97" i="7" s="1"/>
  <c r="K208" i="3" a="1"/>
  <c r="K208" i="3" s="1"/>
  <c r="E208" i="3" a="1"/>
  <c r="E208" i="3" s="1"/>
  <c r="BA45" i="7" s="1"/>
  <c r="S208" i="3" a="1"/>
  <c r="S208" i="3" s="1"/>
  <c r="R208" i="3" a="1"/>
  <c r="R208" i="3" s="1"/>
  <c r="L208" i="3" a="1"/>
  <c r="L208" i="3" s="1"/>
  <c r="T208" i="3" a="1"/>
  <c r="T208" i="3" s="1"/>
  <c r="M208" i="3" a="1"/>
  <c r="M208" i="3" s="1"/>
  <c r="P208" i="3" a="1"/>
  <c r="P208" i="3" s="1"/>
  <c r="AX97" i="7" s="1"/>
  <c r="O208" i="3" a="1"/>
  <c r="O208" i="3" s="1"/>
  <c r="U208" i="3" a="1"/>
  <c r="U208" i="3" s="1"/>
  <c r="N208" i="3" a="1"/>
  <c r="N208" i="3" s="1"/>
  <c r="B209" i="3"/>
  <c r="AV97" i="7" l="1"/>
  <c r="BC45" i="7"/>
  <c r="AW97" i="7"/>
  <c r="AQ97" i="7"/>
  <c r="J37" i="7"/>
  <c r="F37" i="7" s="1"/>
  <c r="B37" i="7" s="1"/>
  <c r="AD209" i="3" a="1"/>
  <c r="AD209" i="3" s="1"/>
  <c r="Y209" i="3" a="1"/>
  <c r="Y209" i="3" s="1"/>
  <c r="AB209" i="3" a="1"/>
  <c r="AB209" i="3" s="1"/>
  <c r="Z209" i="3" a="1"/>
  <c r="Z209" i="3" s="1"/>
  <c r="AC209" i="3" a="1"/>
  <c r="AC209" i="3" s="1"/>
  <c r="AA209" i="3" a="1"/>
  <c r="AA209" i="3" s="1"/>
  <c r="X209" i="3" a="1"/>
  <c r="X209" i="3" s="1"/>
  <c r="V209" i="3" a="1"/>
  <c r="V209" i="3" s="1"/>
  <c r="W209" i="3" a="1"/>
  <c r="W209" i="3" s="1"/>
  <c r="K37" i="7"/>
  <c r="G37" i="7" s="1"/>
  <c r="C37" i="7" s="1"/>
  <c r="I209" i="3" a="1"/>
  <c r="I209" i="3" s="1"/>
  <c r="H38" i="7" s="1"/>
  <c r="J209" i="3" a="1"/>
  <c r="J209" i="3" s="1"/>
  <c r="D209" i="3" a="1"/>
  <c r="D209" i="3" s="1"/>
  <c r="BB46" i="7" s="1"/>
  <c r="G209" i="3" a="1"/>
  <c r="G209" i="3" s="1"/>
  <c r="F209" i="3" a="1"/>
  <c r="F209" i="3" s="1"/>
  <c r="H209" i="3" a="1"/>
  <c r="H209" i="3" s="1"/>
  <c r="C209" i="3" a="1"/>
  <c r="C209" i="3" s="1"/>
  <c r="K209" i="3" a="1"/>
  <c r="K209" i="3" s="1"/>
  <c r="E209" i="3" a="1"/>
  <c r="E209" i="3" s="1"/>
  <c r="BA46" i="7" s="1"/>
  <c r="Q209" i="3" a="1"/>
  <c r="Q209" i="3" s="1"/>
  <c r="AR98" i="7" s="1"/>
  <c r="T209" i="3" a="1"/>
  <c r="T209" i="3" s="1"/>
  <c r="S209" i="3" a="1"/>
  <c r="S209" i="3" s="1"/>
  <c r="R209" i="3" a="1"/>
  <c r="R209" i="3" s="1"/>
  <c r="L209" i="3" a="1"/>
  <c r="L209" i="3" s="1"/>
  <c r="M209" i="3" a="1"/>
  <c r="M209" i="3" s="1"/>
  <c r="P209" i="3" a="1"/>
  <c r="P209" i="3" s="1"/>
  <c r="AX98" i="7" s="1"/>
  <c r="O209" i="3" a="1"/>
  <c r="O209" i="3" s="1"/>
  <c r="U209" i="3" a="1"/>
  <c r="U209" i="3" s="1"/>
  <c r="N209" i="3" a="1"/>
  <c r="N209" i="3" s="1"/>
  <c r="B210" i="3"/>
  <c r="AV98" i="7" l="1"/>
  <c r="J38" i="7"/>
  <c r="F38" i="7" s="1"/>
  <c r="B38" i="7" s="1"/>
  <c r="AW98" i="7"/>
  <c r="AQ98" i="7"/>
  <c r="BC46" i="7"/>
  <c r="AD210" i="3" a="1"/>
  <c r="AD210" i="3" s="1"/>
  <c r="Y210" i="3" a="1"/>
  <c r="Y210" i="3" s="1"/>
  <c r="AB210" i="3" a="1"/>
  <c r="AB210" i="3" s="1"/>
  <c r="AA210" i="3" a="1"/>
  <c r="AA210" i="3" s="1"/>
  <c r="AC210" i="3" a="1"/>
  <c r="AC210" i="3" s="1"/>
  <c r="Z210" i="3" a="1"/>
  <c r="Z210" i="3" s="1"/>
  <c r="X210" i="3" a="1"/>
  <c r="X210" i="3" s="1"/>
  <c r="V210" i="3" a="1"/>
  <c r="V210" i="3" s="1"/>
  <c r="W210" i="3" a="1"/>
  <c r="W210" i="3" s="1"/>
  <c r="K38" i="7"/>
  <c r="G38" i="7" s="1"/>
  <c r="C38" i="7" s="1"/>
  <c r="I210" i="3" a="1"/>
  <c r="I210" i="3" s="1"/>
  <c r="H39" i="7" s="1"/>
  <c r="J210" i="3" a="1"/>
  <c r="J210" i="3" s="1"/>
  <c r="D210" i="3" a="1"/>
  <c r="D210" i="3" s="1"/>
  <c r="BB47" i="7" s="1"/>
  <c r="H210" i="3" a="1"/>
  <c r="H210" i="3" s="1"/>
  <c r="F210" i="3" a="1"/>
  <c r="F210" i="3" s="1"/>
  <c r="G210" i="3" a="1"/>
  <c r="G210" i="3" s="1"/>
  <c r="C210" i="3" a="1"/>
  <c r="C210" i="3" s="1"/>
  <c r="E210" i="3" a="1"/>
  <c r="E210" i="3" s="1"/>
  <c r="BA47" i="7" s="1"/>
  <c r="Q210" i="3" a="1"/>
  <c r="Q210" i="3" s="1"/>
  <c r="AR99" i="7" s="1"/>
  <c r="K210" i="3" a="1"/>
  <c r="K210" i="3" s="1"/>
  <c r="R210" i="3" a="1"/>
  <c r="R210" i="3" s="1"/>
  <c r="S210" i="3" a="1"/>
  <c r="S210" i="3" s="1"/>
  <c r="M210" i="3" a="1"/>
  <c r="M210" i="3" s="1"/>
  <c r="U210" i="3" a="1"/>
  <c r="U210" i="3" s="1"/>
  <c r="L210" i="3" a="1"/>
  <c r="L210" i="3" s="1"/>
  <c r="O210" i="3" a="1"/>
  <c r="O210" i="3" s="1"/>
  <c r="T210" i="3" a="1"/>
  <c r="T210" i="3" s="1"/>
  <c r="P210" i="3" a="1"/>
  <c r="P210" i="3" s="1"/>
  <c r="AX99" i="7" s="1"/>
  <c r="N210" i="3" a="1"/>
  <c r="N210" i="3" s="1"/>
  <c r="B211" i="3"/>
  <c r="AV99" i="7" l="1"/>
  <c r="J39" i="7"/>
  <c r="F39" i="7" s="1"/>
  <c r="B39" i="7" s="1"/>
  <c r="AW99" i="7"/>
  <c r="AW115" i="7" s="1"/>
  <c r="AQ99" i="7"/>
  <c r="BC47" i="7"/>
  <c r="AD211" i="3" a="1"/>
  <c r="AD211" i="3" s="1"/>
  <c r="Y211" i="3" a="1"/>
  <c r="Y211" i="3" s="1"/>
  <c r="Z211" i="3" a="1"/>
  <c r="Z211" i="3" s="1"/>
  <c r="AC211" i="3" a="1"/>
  <c r="AC211" i="3" s="1"/>
  <c r="AA211" i="3" a="1"/>
  <c r="AA211" i="3" s="1"/>
  <c r="AB211" i="3" a="1"/>
  <c r="AB211" i="3" s="1"/>
  <c r="V211" i="3" a="1"/>
  <c r="V211" i="3" s="1"/>
  <c r="X211" i="3" a="1"/>
  <c r="X211" i="3" s="1"/>
  <c r="W211" i="3" a="1"/>
  <c r="W211" i="3" s="1"/>
  <c r="K39" i="7"/>
  <c r="G39" i="7" s="1"/>
  <c r="C39" i="7" s="1"/>
  <c r="I211" i="3" a="1"/>
  <c r="I211" i="3" s="1"/>
  <c r="H40" i="7" s="1"/>
  <c r="J211" i="3" a="1"/>
  <c r="J211" i="3" s="1"/>
  <c r="D211" i="3" a="1"/>
  <c r="D211" i="3" s="1"/>
  <c r="BB48" i="7" s="1"/>
  <c r="F211" i="3" a="1"/>
  <c r="F211" i="3" s="1"/>
  <c r="H211" i="3" a="1"/>
  <c r="H211" i="3" s="1"/>
  <c r="G211" i="3" a="1"/>
  <c r="G211" i="3" s="1"/>
  <c r="C211" i="3" a="1"/>
  <c r="C211" i="3" s="1"/>
  <c r="K211" i="3" a="1"/>
  <c r="K211" i="3" s="1"/>
  <c r="E211" i="3" a="1"/>
  <c r="E211" i="3" s="1"/>
  <c r="BA48" i="7" s="1"/>
  <c r="Q211" i="3" a="1"/>
  <c r="Q211" i="3" s="1"/>
  <c r="AR100" i="7" s="1"/>
  <c r="L211" i="3" a="1"/>
  <c r="L211" i="3" s="1"/>
  <c r="S211" i="3" a="1"/>
  <c r="S211" i="3" s="1"/>
  <c r="M211" i="3" a="1"/>
  <c r="M211" i="3" s="1"/>
  <c r="T211" i="3" a="1"/>
  <c r="T211" i="3" s="1"/>
  <c r="O211" i="3" a="1"/>
  <c r="O211" i="3" s="1"/>
  <c r="U211" i="3" a="1"/>
  <c r="U211" i="3" s="1"/>
  <c r="R211" i="3" a="1"/>
  <c r="R211" i="3" s="1"/>
  <c r="P211" i="3" a="1"/>
  <c r="P211" i="3" s="1"/>
  <c r="AX100" i="7" s="1"/>
  <c r="N211" i="3" a="1"/>
  <c r="N211" i="3" s="1"/>
  <c r="B212" i="3"/>
  <c r="AV100" i="7" l="1"/>
  <c r="J40" i="7"/>
  <c r="F40" i="7" s="1"/>
  <c r="B40" i="7" s="1"/>
  <c r="AW100" i="7"/>
  <c r="AQ100" i="7"/>
  <c r="BC48" i="7"/>
  <c r="AD212" i="3" a="1"/>
  <c r="AD212" i="3" s="1"/>
  <c r="Y212" i="3" a="1"/>
  <c r="Y212" i="3" s="1"/>
  <c r="Z212" i="3" a="1"/>
  <c r="Z212" i="3" s="1"/>
  <c r="AB212" i="3" a="1"/>
  <c r="AB212" i="3" s="1"/>
  <c r="AC212" i="3" a="1"/>
  <c r="AC212" i="3" s="1"/>
  <c r="AA212" i="3" a="1"/>
  <c r="AA212" i="3" s="1"/>
  <c r="X212" i="3" a="1"/>
  <c r="X212" i="3" s="1"/>
  <c r="V212" i="3" a="1"/>
  <c r="V212" i="3" s="1"/>
  <c r="W212" i="3" a="1"/>
  <c r="W212" i="3" s="1"/>
  <c r="K40" i="7"/>
  <c r="G40" i="7" s="1"/>
  <c r="C40" i="7" s="1"/>
  <c r="I212" i="3" a="1"/>
  <c r="I212" i="3" s="1"/>
  <c r="H41" i="7" s="1"/>
  <c r="J212" i="3" a="1"/>
  <c r="J212" i="3" s="1"/>
  <c r="D212" i="3" a="1"/>
  <c r="D212" i="3" s="1"/>
  <c r="BB49" i="7" s="1"/>
  <c r="F212" i="3" a="1"/>
  <c r="F212" i="3" s="1"/>
  <c r="H212" i="3" a="1"/>
  <c r="H212" i="3" s="1"/>
  <c r="G212" i="3" a="1"/>
  <c r="G212" i="3" s="1"/>
  <c r="C212" i="3" a="1"/>
  <c r="C212" i="3" s="1"/>
  <c r="Q212" i="3" a="1"/>
  <c r="Q212" i="3" s="1"/>
  <c r="AR101" i="7" s="1"/>
  <c r="E212" i="3" a="1"/>
  <c r="E212" i="3" s="1"/>
  <c r="BA49" i="7" s="1"/>
  <c r="K212" i="3" a="1"/>
  <c r="K212" i="3" s="1"/>
  <c r="R212" i="3" a="1"/>
  <c r="R212" i="3" s="1"/>
  <c r="M212" i="3" a="1"/>
  <c r="M212" i="3" s="1"/>
  <c r="S212" i="3" a="1"/>
  <c r="S212" i="3" s="1"/>
  <c r="P212" i="3" a="1"/>
  <c r="P212" i="3" s="1"/>
  <c r="AX101" i="7" s="1"/>
  <c r="T212" i="3" a="1"/>
  <c r="T212" i="3" s="1"/>
  <c r="L212" i="3" a="1"/>
  <c r="L212" i="3" s="1"/>
  <c r="O212" i="3" a="1"/>
  <c r="O212" i="3" s="1"/>
  <c r="AV101" i="7" s="1"/>
  <c r="U212" i="3" a="1"/>
  <c r="U212" i="3" s="1"/>
  <c r="N212" i="3" a="1"/>
  <c r="N212" i="3" s="1"/>
  <c r="B213" i="3"/>
  <c r="J41" i="7" l="1"/>
  <c r="F41" i="7" s="1"/>
  <c r="B41" i="7" s="1"/>
  <c r="AW101" i="7"/>
  <c r="AQ101" i="7"/>
  <c r="BC49" i="7"/>
  <c r="Y213" i="3" a="1"/>
  <c r="Y213" i="3" s="1"/>
  <c r="AD213" i="3" a="1"/>
  <c r="AD213" i="3" s="1"/>
  <c r="Z213" i="3" a="1"/>
  <c r="Z213" i="3" s="1"/>
  <c r="AB213" i="3" a="1"/>
  <c r="AB213" i="3" s="1"/>
  <c r="AC213" i="3" a="1"/>
  <c r="AC213" i="3" s="1"/>
  <c r="AA213" i="3" a="1"/>
  <c r="AA213" i="3" s="1"/>
  <c r="X213" i="3" a="1"/>
  <c r="X213" i="3" s="1"/>
  <c r="V213" i="3" a="1"/>
  <c r="V213" i="3" s="1"/>
  <c r="W213" i="3" a="1"/>
  <c r="W213" i="3" s="1"/>
  <c r="K41" i="7"/>
  <c r="G41" i="7" s="1"/>
  <c r="C41" i="7" s="1"/>
  <c r="I213" i="3" a="1"/>
  <c r="I213" i="3" s="1"/>
  <c r="H42" i="7" s="1"/>
  <c r="J213" i="3" a="1"/>
  <c r="J213" i="3" s="1"/>
  <c r="D213" i="3" a="1"/>
  <c r="D213" i="3" s="1"/>
  <c r="BB50" i="7" s="1"/>
  <c r="F213" i="3" a="1"/>
  <c r="F213" i="3" s="1"/>
  <c r="H213" i="3" a="1"/>
  <c r="H213" i="3" s="1"/>
  <c r="G213" i="3" a="1"/>
  <c r="G213" i="3" s="1"/>
  <c r="C213" i="3" a="1"/>
  <c r="C213" i="3" s="1"/>
  <c r="Q213" i="3" a="1"/>
  <c r="Q213" i="3" s="1"/>
  <c r="AR102" i="7" s="1"/>
  <c r="K213" i="3" a="1"/>
  <c r="K213" i="3" s="1"/>
  <c r="E213" i="3" a="1"/>
  <c r="E213" i="3" s="1"/>
  <c r="BA50" i="7" s="1"/>
  <c r="R213" i="3" a="1"/>
  <c r="R213" i="3" s="1"/>
  <c r="S213" i="3" a="1"/>
  <c r="S213" i="3" s="1"/>
  <c r="L213" i="3" a="1"/>
  <c r="L213" i="3" s="1"/>
  <c r="T213" i="3" a="1"/>
  <c r="T213" i="3" s="1"/>
  <c r="M213" i="3" a="1"/>
  <c r="M213" i="3" s="1"/>
  <c r="U213" i="3" a="1"/>
  <c r="U213" i="3" s="1"/>
  <c r="O213" i="3" a="1"/>
  <c r="O213" i="3" s="1"/>
  <c r="P213" i="3" a="1"/>
  <c r="P213" i="3" s="1"/>
  <c r="AX102" i="7" s="1"/>
  <c r="N213" i="3" a="1"/>
  <c r="N213" i="3" s="1"/>
  <c r="B214" i="3"/>
  <c r="AV102" i="7" l="1"/>
  <c r="J42" i="7"/>
  <c r="F42" i="7" s="1"/>
  <c r="B42" i="7" s="1"/>
  <c r="AW102" i="7"/>
  <c r="AQ102" i="7"/>
  <c r="BC50" i="7"/>
  <c r="Y214" i="3" a="1"/>
  <c r="Y214" i="3" s="1"/>
  <c r="AD214" i="3" a="1"/>
  <c r="AD214" i="3" s="1"/>
  <c r="Z214" i="3" a="1"/>
  <c r="Z214" i="3" s="1"/>
  <c r="AC214" i="3" a="1"/>
  <c r="AC214" i="3" s="1"/>
  <c r="AA214" i="3" a="1"/>
  <c r="AA214" i="3" s="1"/>
  <c r="AB214" i="3" a="1"/>
  <c r="AB214" i="3" s="1"/>
  <c r="X214" i="3" a="1"/>
  <c r="X214" i="3" s="1"/>
  <c r="V214" i="3" a="1"/>
  <c r="V214" i="3" s="1"/>
  <c r="W214" i="3" a="1"/>
  <c r="W214" i="3" s="1"/>
  <c r="K42" i="7"/>
  <c r="G42" i="7" s="1"/>
  <c r="C42" i="7" s="1"/>
  <c r="I214" i="3" a="1"/>
  <c r="I214" i="3" s="1"/>
  <c r="H43" i="7" s="1"/>
  <c r="J214" i="3" a="1"/>
  <c r="J214" i="3" s="1"/>
  <c r="D214" i="3" a="1"/>
  <c r="D214" i="3" s="1"/>
  <c r="BB51" i="7" s="1"/>
  <c r="F214" i="3" a="1"/>
  <c r="F214" i="3" s="1"/>
  <c r="H214" i="3" a="1"/>
  <c r="H214" i="3" s="1"/>
  <c r="G214" i="3" a="1"/>
  <c r="G214" i="3" s="1"/>
  <c r="C214" i="3" a="1"/>
  <c r="C214" i="3" s="1"/>
  <c r="Q214" i="3" a="1"/>
  <c r="Q214" i="3" s="1"/>
  <c r="AR103" i="7" s="1"/>
  <c r="K214" i="3" a="1"/>
  <c r="K214" i="3" s="1"/>
  <c r="E214" i="3" a="1"/>
  <c r="E214" i="3" s="1"/>
  <c r="BA51" i="7" s="1"/>
  <c r="L214" i="3" a="1"/>
  <c r="L214" i="3" s="1"/>
  <c r="T214" i="3" a="1"/>
  <c r="T214" i="3" s="1"/>
  <c r="R214" i="3" a="1"/>
  <c r="R214" i="3" s="1"/>
  <c r="S214" i="3" a="1"/>
  <c r="S214" i="3" s="1"/>
  <c r="M214" i="3" a="1"/>
  <c r="M214" i="3" s="1"/>
  <c r="P214" i="3" a="1"/>
  <c r="P214" i="3" s="1"/>
  <c r="AX103" i="7" s="1"/>
  <c r="O214" i="3" a="1"/>
  <c r="O214" i="3" s="1"/>
  <c r="U214" i="3" a="1"/>
  <c r="U214" i="3" s="1"/>
  <c r="N214" i="3" a="1"/>
  <c r="N214" i="3" s="1"/>
  <c r="B215" i="3"/>
  <c r="AV103" i="7" l="1"/>
  <c r="J43" i="7"/>
  <c r="F43" i="7" s="1"/>
  <c r="B43" i="7" s="1"/>
  <c r="AW103" i="7"/>
  <c r="AW116" i="7" s="1"/>
  <c r="AQ103" i="7"/>
  <c r="BC51" i="7"/>
  <c r="AD215" i="3" a="1"/>
  <c r="AD215" i="3" s="1"/>
  <c r="Z215" i="3" a="1"/>
  <c r="Z215" i="3" s="1"/>
  <c r="Y215" i="3" a="1"/>
  <c r="Y215" i="3" s="1"/>
  <c r="AA215" i="3" a="1"/>
  <c r="AA215" i="3" s="1"/>
  <c r="AC215" i="3" a="1"/>
  <c r="AC215" i="3" s="1"/>
  <c r="AB215" i="3" a="1"/>
  <c r="AB215" i="3" s="1"/>
  <c r="V215" i="3" a="1"/>
  <c r="V215" i="3" s="1"/>
  <c r="X215" i="3" a="1"/>
  <c r="X215" i="3" s="1"/>
  <c r="W215" i="3" a="1"/>
  <c r="W215" i="3" s="1"/>
  <c r="K43" i="7"/>
  <c r="G43" i="7" s="1"/>
  <c r="C43" i="7" s="1"/>
  <c r="I215" i="3" a="1"/>
  <c r="I215" i="3" s="1"/>
  <c r="H44" i="7" s="1"/>
  <c r="J215" i="3" a="1"/>
  <c r="J215" i="3" s="1"/>
  <c r="D215" i="3" a="1"/>
  <c r="D215" i="3" s="1"/>
  <c r="BB52" i="7" s="1"/>
  <c r="F215" i="3" a="1"/>
  <c r="F215" i="3" s="1"/>
  <c r="G215" i="3" a="1"/>
  <c r="G215" i="3" s="1"/>
  <c r="H215" i="3" a="1"/>
  <c r="H215" i="3" s="1"/>
  <c r="C215" i="3" a="1"/>
  <c r="C215" i="3" s="1"/>
  <c r="K215" i="3" a="1"/>
  <c r="K215" i="3" s="1"/>
  <c r="E215" i="3" a="1"/>
  <c r="E215" i="3" s="1"/>
  <c r="BA52" i="7" s="1"/>
  <c r="Q215" i="3" a="1"/>
  <c r="Q215" i="3" s="1"/>
  <c r="AR104" i="7" s="1"/>
  <c r="L215" i="3" a="1"/>
  <c r="L215" i="3" s="1"/>
  <c r="R215" i="3" a="1"/>
  <c r="R215" i="3" s="1"/>
  <c r="S215" i="3" a="1"/>
  <c r="S215" i="3" s="1"/>
  <c r="T215" i="3" a="1"/>
  <c r="T215" i="3" s="1"/>
  <c r="M215" i="3" a="1"/>
  <c r="M215" i="3" s="1"/>
  <c r="P215" i="3" a="1"/>
  <c r="P215" i="3" s="1"/>
  <c r="AX104" i="7" s="1"/>
  <c r="O215" i="3" a="1"/>
  <c r="O215" i="3" s="1"/>
  <c r="U215" i="3" a="1"/>
  <c r="U215" i="3" s="1"/>
  <c r="N215" i="3" a="1"/>
  <c r="N215" i="3" s="1"/>
  <c r="B216" i="3"/>
  <c r="AV104" i="7" l="1"/>
  <c r="J44" i="7"/>
  <c r="F44" i="7" s="1"/>
  <c r="B44" i="7" s="1"/>
  <c r="AW104" i="7"/>
  <c r="AQ104" i="7"/>
  <c r="BC52" i="7"/>
  <c r="AD216" i="3" a="1"/>
  <c r="AD216" i="3" s="1"/>
  <c r="Y216" i="3" a="1"/>
  <c r="Y216" i="3" s="1"/>
  <c r="AB216" i="3" a="1"/>
  <c r="AB216" i="3" s="1"/>
  <c r="Z216" i="3" a="1"/>
  <c r="Z216" i="3" s="1"/>
  <c r="AA216" i="3" a="1"/>
  <c r="AA216" i="3" s="1"/>
  <c r="AC216" i="3" a="1"/>
  <c r="AC216" i="3" s="1"/>
  <c r="X216" i="3" a="1"/>
  <c r="X216" i="3" s="1"/>
  <c r="V216" i="3" a="1"/>
  <c r="V216" i="3" s="1"/>
  <c r="W216" i="3" a="1"/>
  <c r="W216" i="3" s="1"/>
  <c r="K44" i="7"/>
  <c r="G44" i="7" s="1"/>
  <c r="C44" i="7" s="1"/>
  <c r="I216" i="3" a="1"/>
  <c r="I216" i="3" s="1"/>
  <c r="H45" i="7" s="1"/>
  <c r="J216" i="3" a="1"/>
  <c r="J216" i="3" s="1"/>
  <c r="D216" i="3" a="1"/>
  <c r="D216" i="3" s="1"/>
  <c r="BB53" i="7" s="1"/>
  <c r="H216" i="3" a="1"/>
  <c r="H216" i="3" s="1"/>
  <c r="G216" i="3" a="1"/>
  <c r="G216" i="3" s="1"/>
  <c r="F216" i="3" a="1"/>
  <c r="F216" i="3" s="1"/>
  <c r="C216" i="3" a="1"/>
  <c r="C216" i="3" s="1"/>
  <c r="E216" i="3" a="1"/>
  <c r="E216" i="3" s="1"/>
  <c r="BA53" i="7" s="1"/>
  <c r="K216" i="3" a="1"/>
  <c r="K216" i="3" s="1"/>
  <c r="Q216" i="3" a="1"/>
  <c r="Q216" i="3" s="1"/>
  <c r="AR105" i="7" s="1"/>
  <c r="M216" i="3" a="1"/>
  <c r="M216" i="3" s="1"/>
  <c r="R216" i="3" a="1"/>
  <c r="R216" i="3" s="1"/>
  <c r="S216" i="3" a="1"/>
  <c r="S216" i="3" s="1"/>
  <c r="L216" i="3" a="1"/>
  <c r="L216" i="3" s="1"/>
  <c r="T216" i="3" a="1"/>
  <c r="T216" i="3" s="1"/>
  <c r="U216" i="3" a="1"/>
  <c r="U216" i="3" s="1"/>
  <c r="P216" i="3" a="1"/>
  <c r="P216" i="3" s="1"/>
  <c r="AX105" i="7" s="1"/>
  <c r="O216" i="3" a="1"/>
  <c r="O216" i="3" s="1"/>
  <c r="N216" i="3" a="1"/>
  <c r="N216" i="3" s="1"/>
  <c r="B217" i="3"/>
  <c r="AV105" i="7" l="1"/>
  <c r="J45" i="7"/>
  <c r="F45" i="7" s="1"/>
  <c r="B45" i="7" s="1"/>
  <c r="AW105" i="7"/>
  <c r="AQ105" i="7"/>
  <c r="BC53" i="7"/>
  <c r="AD217" i="3" a="1"/>
  <c r="AD217" i="3" s="1"/>
  <c r="Z217" i="3" a="1"/>
  <c r="Z217" i="3" s="1"/>
  <c r="Y217" i="3" a="1"/>
  <c r="Y217" i="3" s="1"/>
  <c r="AA217" i="3" a="1"/>
  <c r="AA217" i="3" s="1"/>
  <c r="AB217" i="3" a="1"/>
  <c r="AB217" i="3" s="1"/>
  <c r="AC217" i="3" a="1"/>
  <c r="AC217" i="3" s="1"/>
  <c r="X217" i="3" a="1"/>
  <c r="X217" i="3" s="1"/>
  <c r="V217" i="3" a="1"/>
  <c r="V217" i="3" s="1"/>
  <c r="W217" i="3" a="1"/>
  <c r="W217" i="3" s="1"/>
  <c r="K45" i="7"/>
  <c r="G45" i="7" s="1"/>
  <c r="C45" i="7" s="1"/>
  <c r="I217" i="3" a="1"/>
  <c r="I217" i="3" s="1"/>
  <c r="H46" i="7" s="1"/>
  <c r="J217" i="3" a="1"/>
  <c r="J217" i="3" s="1"/>
  <c r="D217" i="3" a="1"/>
  <c r="D217" i="3" s="1"/>
  <c r="BB54" i="7" s="1"/>
  <c r="F217" i="3" a="1"/>
  <c r="F217" i="3" s="1"/>
  <c r="H217" i="3" a="1"/>
  <c r="H217" i="3" s="1"/>
  <c r="G217" i="3" a="1"/>
  <c r="G217" i="3" s="1"/>
  <c r="C217" i="3" a="1"/>
  <c r="C217" i="3" s="1"/>
  <c r="Q217" i="3" a="1"/>
  <c r="Q217" i="3" s="1"/>
  <c r="AR106" i="7" s="1"/>
  <c r="E217" i="3" a="1"/>
  <c r="E217" i="3" s="1"/>
  <c r="BA54" i="7" s="1"/>
  <c r="K217" i="3" a="1"/>
  <c r="K217" i="3" s="1"/>
  <c r="M217" i="3" a="1"/>
  <c r="M217" i="3" s="1"/>
  <c r="R217" i="3" a="1"/>
  <c r="R217" i="3" s="1"/>
  <c r="T217" i="3" a="1"/>
  <c r="T217" i="3" s="1"/>
  <c r="S217" i="3" a="1"/>
  <c r="S217" i="3" s="1"/>
  <c r="O217" i="3" a="1"/>
  <c r="O217" i="3" s="1"/>
  <c r="L217" i="3" a="1"/>
  <c r="L217" i="3" s="1"/>
  <c r="P217" i="3" a="1"/>
  <c r="P217" i="3" s="1"/>
  <c r="AX106" i="7" s="1"/>
  <c r="U217" i="3" a="1"/>
  <c r="U217" i="3" s="1"/>
  <c r="N217" i="3" a="1"/>
  <c r="N217" i="3" s="1"/>
  <c r="B218" i="3"/>
  <c r="AV106" i="7" l="1"/>
  <c r="J46" i="7"/>
  <c r="F46" i="7" s="1"/>
  <c r="B46" i="7" s="1"/>
  <c r="AW106" i="7"/>
  <c r="AQ106" i="7"/>
  <c r="BC54" i="7"/>
  <c r="AD218" i="3" a="1"/>
  <c r="AD218" i="3" s="1"/>
  <c r="Y218" i="3" a="1"/>
  <c r="Y218" i="3" s="1"/>
  <c r="Z218" i="3" a="1"/>
  <c r="Z218" i="3" s="1"/>
  <c r="AB218" i="3" a="1"/>
  <c r="AB218" i="3" s="1"/>
  <c r="AC218" i="3" a="1"/>
  <c r="AC218" i="3" s="1"/>
  <c r="AA218" i="3" a="1"/>
  <c r="AA218" i="3" s="1"/>
  <c r="X218" i="3" a="1"/>
  <c r="X218" i="3" s="1"/>
  <c r="V218" i="3" a="1"/>
  <c r="V218" i="3" s="1"/>
  <c r="W218" i="3" a="1"/>
  <c r="W218" i="3" s="1"/>
  <c r="K46" i="7"/>
  <c r="G46" i="7" s="1"/>
  <c r="C46" i="7" s="1"/>
  <c r="I218" i="3" a="1"/>
  <c r="I218" i="3" s="1"/>
  <c r="H47" i="7" s="1"/>
  <c r="J218" i="3" a="1"/>
  <c r="J218" i="3" s="1"/>
  <c r="D218" i="3" a="1"/>
  <c r="D218" i="3" s="1"/>
  <c r="BB55" i="7" s="1"/>
  <c r="F218" i="3" a="1"/>
  <c r="F218" i="3" s="1"/>
  <c r="H218" i="3" a="1"/>
  <c r="H218" i="3" s="1"/>
  <c r="G218" i="3" a="1"/>
  <c r="G218" i="3" s="1"/>
  <c r="C218" i="3" a="1"/>
  <c r="C218" i="3" s="1"/>
  <c r="Q218" i="3" a="1"/>
  <c r="Q218" i="3" s="1"/>
  <c r="AR107" i="7" s="1"/>
  <c r="K218" i="3" a="1"/>
  <c r="K218" i="3" s="1"/>
  <c r="E218" i="3" a="1"/>
  <c r="E218" i="3" s="1"/>
  <c r="BA55" i="7" s="1"/>
  <c r="L218" i="3" a="1"/>
  <c r="L218" i="3" s="1"/>
  <c r="S218" i="3" a="1"/>
  <c r="S218" i="3" s="1"/>
  <c r="R218" i="3" a="1"/>
  <c r="R218" i="3" s="1"/>
  <c r="T218" i="3" a="1"/>
  <c r="T218" i="3" s="1"/>
  <c r="O218" i="3" a="1"/>
  <c r="O218" i="3" s="1"/>
  <c r="M218" i="3" a="1"/>
  <c r="M218" i="3" s="1"/>
  <c r="U218" i="3" a="1"/>
  <c r="U218" i="3" s="1"/>
  <c r="P218" i="3" a="1"/>
  <c r="P218" i="3" s="1"/>
  <c r="AX107" i="7" s="1"/>
  <c r="N218" i="3" a="1"/>
  <c r="N218" i="3" s="1"/>
  <c r="B219" i="3"/>
  <c r="AV107" i="7" l="1"/>
  <c r="J47" i="7"/>
  <c r="F47" i="7" s="1"/>
  <c r="B47" i="7" s="1"/>
  <c r="AW107" i="7"/>
  <c r="AQ107" i="7"/>
  <c r="BC55" i="7"/>
  <c r="AD219" i="3" a="1"/>
  <c r="AD219" i="3" s="1"/>
  <c r="Y219" i="3" a="1"/>
  <c r="Y219" i="3" s="1"/>
  <c r="Z219" i="3" a="1"/>
  <c r="Z219" i="3" s="1"/>
  <c r="AB219" i="3" a="1"/>
  <c r="AB219" i="3" s="1"/>
  <c r="AC219" i="3" a="1"/>
  <c r="AC219" i="3" s="1"/>
  <c r="AA219" i="3" a="1"/>
  <c r="AA219" i="3" s="1"/>
  <c r="V219" i="3" a="1"/>
  <c r="V219" i="3" s="1"/>
  <c r="X219" i="3" a="1"/>
  <c r="X219" i="3" s="1"/>
  <c r="W219" i="3" a="1"/>
  <c r="W219" i="3" s="1"/>
  <c r="K47" i="7"/>
  <c r="G47" i="7" s="1"/>
  <c r="C47" i="7" s="1"/>
  <c r="I219" i="3" a="1"/>
  <c r="I219" i="3" s="1"/>
  <c r="H48" i="7" s="1"/>
  <c r="J219" i="3" a="1"/>
  <c r="J219" i="3" s="1"/>
  <c r="D219" i="3" a="1"/>
  <c r="D219" i="3" s="1"/>
  <c r="BB56" i="7" s="1"/>
  <c r="H219" i="3" a="1"/>
  <c r="H219" i="3" s="1"/>
  <c r="G219" i="3" a="1"/>
  <c r="G219" i="3" s="1"/>
  <c r="F219" i="3" a="1"/>
  <c r="F219" i="3" s="1"/>
  <c r="C219" i="3" a="1"/>
  <c r="C219" i="3" s="1"/>
  <c r="Q219" i="3" a="1"/>
  <c r="Q219" i="3" s="1"/>
  <c r="AR108" i="7" s="1"/>
  <c r="E219" i="3" a="1"/>
  <c r="E219" i="3" s="1"/>
  <c r="BA56" i="7" s="1"/>
  <c r="K219" i="3" a="1"/>
  <c r="K219" i="3" s="1"/>
  <c r="S219" i="3" a="1"/>
  <c r="S219" i="3" s="1"/>
  <c r="M219" i="3" a="1"/>
  <c r="M219" i="3" s="1"/>
  <c r="L219" i="3" a="1"/>
  <c r="L219" i="3" s="1"/>
  <c r="T219" i="3" a="1"/>
  <c r="T219" i="3" s="1"/>
  <c r="R219" i="3" a="1"/>
  <c r="R219" i="3" s="1"/>
  <c r="U219" i="3" a="1"/>
  <c r="U219" i="3" s="1"/>
  <c r="P219" i="3" a="1"/>
  <c r="P219" i="3" s="1"/>
  <c r="AX108" i="7" s="1"/>
  <c r="O219" i="3" a="1"/>
  <c r="O219" i="3" s="1"/>
  <c r="N219" i="3" a="1"/>
  <c r="N219" i="3" s="1"/>
  <c r="B220" i="3"/>
  <c r="AV108" i="7" l="1"/>
  <c r="J48" i="7"/>
  <c r="F48" i="7" s="1"/>
  <c r="B48" i="7" s="1"/>
  <c r="AW108" i="7"/>
  <c r="AQ108" i="7"/>
  <c r="BC56" i="7"/>
  <c r="Y220" i="3" a="1"/>
  <c r="Y220" i="3" s="1"/>
  <c r="AD220" i="3" a="1"/>
  <c r="AD220" i="3" s="1"/>
  <c r="AB220" i="3" a="1"/>
  <c r="AB220" i="3" s="1"/>
  <c r="Z220" i="3" a="1"/>
  <c r="Z220" i="3" s="1"/>
  <c r="AC220" i="3" a="1"/>
  <c r="AC220" i="3" s="1"/>
  <c r="AA220" i="3" a="1"/>
  <c r="AA220" i="3" s="1"/>
  <c r="X220" i="3" a="1"/>
  <c r="X220" i="3" s="1"/>
  <c r="V220" i="3" a="1"/>
  <c r="V220" i="3" s="1"/>
  <c r="W220" i="3" a="1"/>
  <c r="W220" i="3" s="1"/>
  <c r="K48" i="7"/>
  <c r="G48" i="7" s="1"/>
  <c r="C48" i="7" s="1"/>
  <c r="I220" i="3" a="1"/>
  <c r="I220" i="3" s="1"/>
  <c r="H49" i="7" s="1"/>
  <c r="J220" i="3" a="1"/>
  <c r="J220" i="3" s="1"/>
  <c r="D220" i="3" a="1"/>
  <c r="D220" i="3" s="1"/>
  <c r="BB57" i="7" s="1"/>
  <c r="H220" i="3" a="1"/>
  <c r="H220" i="3" s="1"/>
  <c r="F220" i="3" a="1"/>
  <c r="F220" i="3" s="1"/>
  <c r="G220" i="3" a="1"/>
  <c r="G220" i="3" s="1"/>
  <c r="C220" i="3" a="1"/>
  <c r="C220" i="3" s="1"/>
  <c r="K220" i="3" a="1"/>
  <c r="K220" i="3" s="1"/>
  <c r="Q220" i="3" a="1"/>
  <c r="Q220" i="3" s="1"/>
  <c r="AR109" i="7" s="1"/>
  <c r="E220" i="3" a="1"/>
  <c r="E220" i="3" s="1"/>
  <c r="BA57" i="7" s="1"/>
  <c r="S220" i="3" a="1"/>
  <c r="S220" i="3" s="1"/>
  <c r="R220" i="3" a="1"/>
  <c r="R220" i="3" s="1"/>
  <c r="L220" i="3" a="1"/>
  <c r="L220" i="3" s="1"/>
  <c r="M220" i="3" a="1"/>
  <c r="M220" i="3" s="1"/>
  <c r="T220" i="3" a="1"/>
  <c r="T220" i="3" s="1"/>
  <c r="P220" i="3" a="1"/>
  <c r="P220" i="3" s="1"/>
  <c r="AX109" i="7" s="1"/>
  <c r="O220" i="3" a="1"/>
  <c r="O220" i="3" s="1"/>
  <c r="U220" i="3" a="1"/>
  <c r="U220" i="3" s="1"/>
  <c r="N220" i="3" a="1"/>
  <c r="N220" i="3" s="1"/>
  <c r="B221" i="3"/>
  <c r="AV109" i="7" l="1"/>
  <c r="J49" i="7"/>
  <c r="F49" i="7" s="1"/>
  <c r="B49" i="7" s="1"/>
  <c r="AW109" i="7"/>
  <c r="AQ109" i="7"/>
  <c r="BC57" i="7"/>
  <c r="AD221" i="3" a="1"/>
  <c r="AD221" i="3" s="1"/>
  <c r="Y221" i="3" a="1"/>
  <c r="Y221" i="3" s="1"/>
  <c r="Z221" i="3" a="1"/>
  <c r="Z221" i="3" s="1"/>
  <c r="AB221" i="3" a="1"/>
  <c r="AB221" i="3" s="1"/>
  <c r="AA221" i="3" a="1"/>
  <c r="AA221" i="3" s="1"/>
  <c r="AC221" i="3" a="1"/>
  <c r="AC221" i="3" s="1"/>
  <c r="X221" i="3" a="1"/>
  <c r="X221" i="3" s="1"/>
  <c r="V221" i="3" a="1"/>
  <c r="V221" i="3" s="1"/>
  <c r="W221" i="3" a="1"/>
  <c r="W221" i="3" s="1"/>
  <c r="K49" i="7"/>
  <c r="G49" i="7" s="1"/>
  <c r="C49" i="7" s="1"/>
  <c r="I221" i="3" a="1"/>
  <c r="I221" i="3" s="1"/>
  <c r="H50" i="7" s="1"/>
  <c r="J221" i="3" a="1"/>
  <c r="J221" i="3" s="1"/>
  <c r="D221" i="3" a="1"/>
  <c r="D221" i="3" s="1"/>
  <c r="BB58" i="7" s="1"/>
  <c r="H221" i="3" a="1"/>
  <c r="H221" i="3" s="1"/>
  <c r="F221" i="3" a="1"/>
  <c r="F221" i="3" s="1"/>
  <c r="G221" i="3" a="1"/>
  <c r="G221" i="3" s="1"/>
  <c r="C221" i="3" a="1"/>
  <c r="C221" i="3" s="1"/>
  <c r="E221" i="3" a="1"/>
  <c r="E221" i="3" s="1"/>
  <c r="BA58" i="7" s="1"/>
  <c r="Q221" i="3" a="1"/>
  <c r="Q221" i="3" s="1"/>
  <c r="AR110" i="7" s="1"/>
  <c r="K221" i="3" a="1"/>
  <c r="K221" i="3" s="1"/>
  <c r="L221" i="3" a="1"/>
  <c r="L221" i="3" s="1"/>
  <c r="R221" i="3" a="1"/>
  <c r="R221" i="3" s="1"/>
  <c r="M221" i="3" a="1"/>
  <c r="M221" i="3" s="1"/>
  <c r="S221" i="3" a="1"/>
  <c r="S221" i="3" s="1"/>
  <c r="T221" i="3" a="1"/>
  <c r="T221" i="3" s="1"/>
  <c r="P221" i="3" a="1"/>
  <c r="P221" i="3" s="1"/>
  <c r="AX110" i="7" s="1"/>
  <c r="O221" i="3" a="1"/>
  <c r="O221" i="3" s="1"/>
  <c r="U221" i="3" a="1"/>
  <c r="U221" i="3" s="1"/>
  <c r="N221" i="3" a="1"/>
  <c r="N221" i="3" s="1"/>
  <c r="B222" i="3"/>
  <c r="AV110" i="7" l="1"/>
  <c r="J50" i="7"/>
  <c r="F50" i="7" s="1"/>
  <c r="B50" i="7" s="1"/>
  <c r="AQ110" i="7"/>
  <c r="AW110" i="7"/>
  <c r="BC58" i="7"/>
  <c r="AD222" i="3" a="1"/>
  <c r="AD222" i="3" s="1"/>
  <c r="Y222" i="3" a="1"/>
  <c r="Y222" i="3" s="1"/>
  <c r="Z222" i="3" a="1"/>
  <c r="Z222" i="3" s="1"/>
  <c r="AB222" i="3" a="1"/>
  <c r="AB222" i="3" s="1"/>
  <c r="AA222" i="3" a="1"/>
  <c r="AA222" i="3" s="1"/>
  <c r="AC222" i="3" a="1"/>
  <c r="AC222" i="3" s="1"/>
  <c r="X222" i="3" a="1"/>
  <c r="X222" i="3" s="1"/>
  <c r="V222" i="3" a="1"/>
  <c r="V222" i="3" s="1"/>
  <c r="W222" i="3" a="1"/>
  <c r="W222" i="3" s="1"/>
  <c r="K50" i="7"/>
  <c r="G50" i="7" s="1"/>
  <c r="C50" i="7" s="1"/>
  <c r="I222" i="3" a="1"/>
  <c r="I222" i="3" s="1"/>
  <c r="H51" i="7" s="1"/>
  <c r="J222" i="3" a="1"/>
  <c r="J222" i="3" s="1"/>
  <c r="D222" i="3" a="1"/>
  <c r="D222" i="3" s="1"/>
  <c r="BB59" i="7" s="1"/>
  <c r="F222" i="3" a="1"/>
  <c r="F222" i="3" s="1"/>
  <c r="H222" i="3" a="1"/>
  <c r="H222" i="3" s="1"/>
  <c r="G222" i="3" a="1"/>
  <c r="G222" i="3" s="1"/>
  <c r="C222" i="3" a="1"/>
  <c r="C222" i="3" s="1"/>
  <c r="Q222" i="3" a="1"/>
  <c r="Q222" i="3" s="1"/>
  <c r="AR111" i="7" s="1"/>
  <c r="K222" i="3" a="1"/>
  <c r="K222" i="3" s="1"/>
  <c r="E222" i="3" a="1"/>
  <c r="E222" i="3" s="1"/>
  <c r="BA59" i="7" s="1"/>
  <c r="L222" i="3" a="1"/>
  <c r="L222" i="3" s="1"/>
  <c r="R222" i="3" a="1"/>
  <c r="R222" i="3" s="1"/>
  <c r="S222" i="3" a="1"/>
  <c r="S222" i="3" s="1"/>
  <c r="M222" i="3" a="1"/>
  <c r="M222" i="3" s="1"/>
  <c r="T222" i="3" a="1"/>
  <c r="T222" i="3" s="1"/>
  <c r="O222" i="3" a="1"/>
  <c r="O222" i="3" s="1"/>
  <c r="P222" i="3" a="1"/>
  <c r="P222" i="3" s="1"/>
  <c r="AX111" i="7" s="1"/>
  <c r="U222" i="3" a="1"/>
  <c r="U222" i="3" s="1"/>
  <c r="N222" i="3" a="1"/>
  <c r="N222" i="3" s="1"/>
  <c r="B223" i="3"/>
  <c r="AV111" i="7" l="1"/>
  <c r="J51" i="7"/>
  <c r="F51" i="7" s="1"/>
  <c r="B51" i="7" s="1"/>
  <c r="AQ111" i="7"/>
  <c r="AW111" i="7"/>
  <c r="BC59" i="7"/>
  <c r="Y223" i="3" a="1"/>
  <c r="Y223" i="3" s="1"/>
  <c r="AD223" i="3" a="1"/>
  <c r="AD223" i="3" s="1"/>
  <c r="Z223" i="3" a="1"/>
  <c r="Z223" i="3" s="1"/>
  <c r="AC223" i="3" a="1"/>
  <c r="AC223" i="3" s="1"/>
  <c r="AB223" i="3" a="1"/>
  <c r="AB223" i="3" s="1"/>
  <c r="AA223" i="3" a="1"/>
  <c r="AA223" i="3" s="1"/>
  <c r="V223" i="3" a="1"/>
  <c r="V223" i="3" s="1"/>
  <c r="X223" i="3" a="1"/>
  <c r="X223" i="3" s="1"/>
  <c r="W223" i="3" a="1"/>
  <c r="W223" i="3" s="1"/>
  <c r="K51" i="7"/>
  <c r="G51" i="7" s="1"/>
  <c r="C51" i="7" s="1"/>
  <c r="I223" i="3" a="1"/>
  <c r="I223" i="3" s="1"/>
  <c r="J223" i="3" a="1"/>
  <c r="J223" i="3" s="1"/>
  <c r="D223" i="3" a="1"/>
  <c r="D223" i="3" s="1"/>
  <c r="G223" i="3" a="1"/>
  <c r="G223" i="3" s="1"/>
  <c r="F223" i="3" a="1"/>
  <c r="F223" i="3" s="1"/>
  <c r="H223" i="3" a="1"/>
  <c r="H223" i="3" s="1"/>
  <c r="C223" i="3" a="1"/>
  <c r="C223" i="3" s="1"/>
  <c r="Q223" i="3" a="1"/>
  <c r="Q223" i="3" s="1"/>
  <c r="K223" i="3" a="1"/>
  <c r="K223" i="3" s="1"/>
  <c r="E223" i="3" a="1"/>
  <c r="E223" i="3" s="1"/>
  <c r="T223" i="3" a="1"/>
  <c r="T223" i="3" s="1"/>
  <c r="S223" i="3" a="1"/>
  <c r="S223" i="3" s="1"/>
  <c r="M223" i="3" a="1"/>
  <c r="M223" i="3" s="1"/>
  <c r="L223" i="3" a="1"/>
  <c r="L223" i="3" s="1"/>
  <c r="O223" i="3" a="1"/>
  <c r="O223" i="3" s="1"/>
  <c r="P223" i="3" a="1"/>
  <c r="P223" i="3" s="1"/>
  <c r="R223" i="3" a="1"/>
  <c r="R223" i="3" s="1"/>
  <c r="U223" i="3" a="1"/>
  <c r="U223" i="3" s="1"/>
  <c r="N223" i="3" a="1"/>
  <c r="N223" i="3" s="1"/>
  <c r="B224" i="3"/>
  <c r="AD224" i="3" l="1" a="1"/>
  <c r="AD224" i="3" s="1"/>
  <c r="Y224" i="3" a="1"/>
  <c r="Y224" i="3" s="1"/>
  <c r="AB224" i="3" a="1"/>
  <c r="AB224" i="3" s="1"/>
  <c r="Z224" i="3" a="1"/>
  <c r="Z224" i="3" s="1"/>
  <c r="AA224" i="3" a="1"/>
  <c r="AA224" i="3" s="1"/>
  <c r="AC224" i="3" a="1"/>
  <c r="AC224" i="3" s="1"/>
  <c r="X224" i="3" a="1"/>
  <c r="X224" i="3" s="1"/>
  <c r="V224" i="3" a="1"/>
  <c r="V224" i="3" s="1"/>
  <c r="W224" i="3" a="1"/>
  <c r="W224" i="3" s="1"/>
  <c r="I224" i="3" a="1"/>
  <c r="I224" i="3" s="1"/>
  <c r="J224" i="3" a="1"/>
  <c r="J224" i="3" s="1"/>
  <c r="D224" i="3" a="1"/>
  <c r="D224" i="3" s="1"/>
  <c r="F224" i="3" a="1"/>
  <c r="F224" i="3" s="1"/>
  <c r="H224" i="3" a="1"/>
  <c r="H224" i="3" s="1"/>
  <c r="G224" i="3" a="1"/>
  <c r="G224" i="3" s="1"/>
  <c r="C224" i="3" a="1"/>
  <c r="C224" i="3" s="1"/>
  <c r="Q224" i="3" a="1"/>
  <c r="Q224" i="3" s="1"/>
  <c r="K224" i="3" a="1"/>
  <c r="K224" i="3" s="1"/>
  <c r="E224" i="3" a="1"/>
  <c r="E224" i="3" s="1"/>
  <c r="R224" i="3" a="1"/>
  <c r="R224" i="3" s="1"/>
  <c r="S224" i="3" a="1"/>
  <c r="S224" i="3" s="1"/>
  <c r="L224" i="3" a="1"/>
  <c r="L224" i="3" s="1"/>
  <c r="M224" i="3" a="1"/>
  <c r="M224" i="3" s="1"/>
  <c r="T224" i="3" a="1"/>
  <c r="T224" i="3" s="1"/>
  <c r="P224" i="3" a="1"/>
  <c r="P224" i="3" s="1"/>
  <c r="O224" i="3" a="1"/>
  <c r="O224" i="3" s="1"/>
  <c r="U224" i="3" a="1"/>
  <c r="U224" i="3" s="1"/>
  <c r="N224" i="3" a="1"/>
  <c r="N224" i="3" s="1"/>
  <c r="B225" i="3"/>
  <c r="AD225" i="3" l="1" a="1"/>
  <c r="AD225" i="3" s="1"/>
  <c r="Y225" i="3" a="1"/>
  <c r="Y225" i="3" s="1"/>
  <c r="Z225" i="3" a="1"/>
  <c r="Z225" i="3" s="1"/>
  <c r="AA225" i="3" a="1"/>
  <c r="AA225" i="3" s="1"/>
  <c r="AC225" i="3" a="1"/>
  <c r="AC225" i="3" s="1"/>
  <c r="AB225" i="3" a="1"/>
  <c r="AB225" i="3" s="1"/>
  <c r="X225" i="3" a="1"/>
  <c r="X225" i="3" s="1"/>
  <c r="V225" i="3" a="1"/>
  <c r="V225" i="3" s="1"/>
  <c r="W225" i="3" a="1"/>
  <c r="W225" i="3" s="1"/>
  <c r="I225" i="3" a="1"/>
  <c r="I225" i="3" s="1"/>
  <c r="J225" i="3" a="1"/>
  <c r="J225" i="3" s="1"/>
  <c r="D225" i="3" a="1"/>
  <c r="D225" i="3" s="1"/>
  <c r="F225" i="3" a="1"/>
  <c r="F225" i="3" s="1"/>
  <c r="H225" i="3" a="1"/>
  <c r="H225" i="3" s="1"/>
  <c r="G225" i="3" a="1"/>
  <c r="G225" i="3" s="1"/>
  <c r="C225" i="3" a="1"/>
  <c r="C225" i="3" s="1"/>
  <c r="E225" i="3" a="1"/>
  <c r="E225" i="3" s="1"/>
  <c r="Q225" i="3" a="1"/>
  <c r="Q225" i="3" s="1"/>
  <c r="K225" i="3" a="1"/>
  <c r="K225" i="3" s="1"/>
  <c r="L225" i="3" a="1"/>
  <c r="L225" i="3" s="1"/>
  <c r="S225" i="3" a="1"/>
  <c r="S225" i="3" s="1"/>
  <c r="M225" i="3" a="1"/>
  <c r="M225" i="3" s="1"/>
  <c r="R225" i="3" a="1"/>
  <c r="R225" i="3" s="1"/>
  <c r="T225" i="3" a="1"/>
  <c r="T225" i="3" s="1"/>
  <c r="P225" i="3" a="1"/>
  <c r="P225" i="3" s="1"/>
  <c r="O225" i="3" a="1"/>
  <c r="O225" i="3" s="1"/>
  <c r="U225" i="3" a="1"/>
  <c r="U225" i="3" s="1"/>
  <c r="N225" i="3" a="1"/>
  <c r="N225" i="3" s="1"/>
  <c r="B226" i="3"/>
  <c r="Y226" i="3" l="1" a="1"/>
  <c r="Y226" i="3" s="1"/>
  <c r="AD226" i="3" a="1"/>
  <c r="AD226" i="3" s="1"/>
  <c r="Z226" i="3" a="1"/>
  <c r="Z226" i="3" s="1"/>
  <c r="AB226" i="3" a="1"/>
  <c r="AB226" i="3" s="1"/>
  <c r="AA226" i="3" a="1"/>
  <c r="AA226" i="3" s="1"/>
  <c r="AC226" i="3" a="1"/>
  <c r="AC226" i="3" s="1"/>
  <c r="V226" i="3" a="1"/>
  <c r="V226" i="3" s="1"/>
  <c r="X226" i="3" a="1"/>
  <c r="X226" i="3" s="1"/>
  <c r="W226" i="3" a="1"/>
  <c r="W226" i="3" s="1"/>
  <c r="I226" i="3" a="1"/>
  <c r="I226" i="3" s="1"/>
  <c r="J226" i="3" a="1"/>
  <c r="J226" i="3" s="1"/>
  <c r="D226" i="3" a="1"/>
  <c r="D226" i="3" s="1"/>
  <c r="F226" i="3" a="1"/>
  <c r="F226" i="3" s="1"/>
  <c r="G226" i="3" a="1"/>
  <c r="G226" i="3" s="1"/>
  <c r="H226" i="3" a="1"/>
  <c r="H226" i="3" s="1"/>
  <c r="C226" i="3" a="1"/>
  <c r="C226" i="3" s="1"/>
  <c r="K226" i="3" a="1"/>
  <c r="K226" i="3" s="1"/>
  <c r="E226" i="3" a="1"/>
  <c r="E226" i="3" s="1"/>
  <c r="Q226" i="3" a="1"/>
  <c r="Q226" i="3" s="1"/>
  <c r="R226" i="3" a="1"/>
  <c r="R226" i="3" s="1"/>
  <c r="L226" i="3" a="1"/>
  <c r="L226" i="3" s="1"/>
  <c r="M226" i="3" a="1"/>
  <c r="M226" i="3" s="1"/>
  <c r="S226" i="3" a="1"/>
  <c r="S226" i="3" s="1"/>
  <c r="T226" i="3" a="1"/>
  <c r="T226" i="3" s="1"/>
  <c r="P226" i="3" a="1"/>
  <c r="P226" i="3" s="1"/>
  <c r="O226" i="3" a="1"/>
  <c r="O226" i="3" s="1"/>
  <c r="U226" i="3" a="1"/>
  <c r="U226" i="3" s="1"/>
  <c r="N226" i="3" a="1"/>
  <c r="N226" i="3" s="1"/>
  <c r="B227" i="3"/>
  <c r="AD227" i="3" l="1" a="1"/>
  <c r="AD227" i="3" s="1"/>
  <c r="Y227" i="3" a="1"/>
  <c r="Y227" i="3" s="1"/>
  <c r="Z227" i="3" a="1"/>
  <c r="Z227" i="3" s="1"/>
  <c r="AC227" i="3" a="1"/>
  <c r="AC227" i="3" s="1"/>
  <c r="AA227" i="3" a="1"/>
  <c r="AA227" i="3" s="1"/>
  <c r="AB227" i="3" a="1"/>
  <c r="AB227" i="3" s="1"/>
  <c r="X227" i="3" a="1"/>
  <c r="X227" i="3" s="1"/>
  <c r="V227" i="3" a="1"/>
  <c r="V227" i="3" s="1"/>
  <c r="W227" i="3" a="1"/>
  <c r="W227" i="3" s="1"/>
  <c r="I227" i="3" a="1"/>
  <c r="I227" i="3" s="1"/>
  <c r="J227" i="3" a="1"/>
  <c r="J227" i="3" s="1"/>
  <c r="D227" i="3" a="1"/>
  <c r="D227" i="3" s="1"/>
  <c r="F227" i="3" a="1"/>
  <c r="F227" i="3" s="1"/>
  <c r="H227" i="3" a="1"/>
  <c r="H227" i="3" s="1"/>
  <c r="G227" i="3" a="1"/>
  <c r="G227" i="3" s="1"/>
  <c r="C227" i="3" a="1"/>
  <c r="C227" i="3" s="1"/>
  <c r="K227" i="3" a="1"/>
  <c r="K227" i="3" s="1"/>
  <c r="Q227" i="3" a="1"/>
  <c r="Q227" i="3" s="1"/>
  <c r="E227" i="3" a="1"/>
  <c r="E227" i="3" s="1"/>
  <c r="L227" i="3" a="1"/>
  <c r="L227" i="3" s="1"/>
  <c r="S227" i="3" a="1"/>
  <c r="S227" i="3" s="1"/>
  <c r="R227" i="3" a="1"/>
  <c r="R227" i="3" s="1"/>
  <c r="M227" i="3" a="1"/>
  <c r="M227" i="3" s="1"/>
  <c r="T227" i="3" a="1"/>
  <c r="T227" i="3" s="1"/>
  <c r="U227" i="3" a="1"/>
  <c r="U227" i="3" s="1"/>
  <c r="O227" i="3" a="1"/>
  <c r="O227" i="3" s="1"/>
  <c r="P227" i="3" a="1"/>
  <c r="P227" i="3" s="1"/>
  <c r="N227" i="3" a="1"/>
  <c r="N227" i="3" s="1"/>
  <c r="B228" i="3"/>
  <c r="AD228" i="3" l="1" a="1"/>
  <c r="AD228" i="3" s="1"/>
  <c r="Z228" i="3" a="1"/>
  <c r="Z228" i="3" s="1"/>
  <c r="AB228" i="3" a="1"/>
  <c r="AB228" i="3" s="1"/>
  <c r="Y228" i="3" a="1"/>
  <c r="Y228" i="3" s="1"/>
  <c r="AA228" i="3" a="1"/>
  <c r="AA228" i="3" s="1"/>
  <c r="AC228" i="3" a="1"/>
  <c r="AC228" i="3" s="1"/>
  <c r="X228" i="3" a="1"/>
  <c r="X228" i="3" s="1"/>
  <c r="V228" i="3" a="1"/>
  <c r="V228" i="3" s="1"/>
  <c r="W228" i="3" a="1"/>
  <c r="W228" i="3" s="1"/>
  <c r="I228" i="3" a="1"/>
  <c r="I228" i="3" s="1"/>
  <c r="J228" i="3" a="1"/>
  <c r="J228" i="3" s="1"/>
  <c r="D228" i="3" a="1"/>
  <c r="D228" i="3" s="1"/>
  <c r="H228" i="3" a="1"/>
  <c r="H228" i="3" s="1"/>
  <c r="F228" i="3" a="1"/>
  <c r="F228" i="3" s="1"/>
  <c r="G228" i="3" a="1"/>
  <c r="G228" i="3" s="1"/>
  <c r="C228" i="3" a="1"/>
  <c r="C228" i="3" s="1"/>
  <c r="E228" i="3" a="1"/>
  <c r="E228" i="3" s="1"/>
  <c r="Q228" i="3" a="1"/>
  <c r="Q228" i="3" s="1"/>
  <c r="K228" i="3" a="1"/>
  <c r="K228" i="3" s="1"/>
  <c r="R228" i="3" a="1"/>
  <c r="R228" i="3" s="1"/>
  <c r="M228" i="3" a="1"/>
  <c r="M228" i="3" s="1"/>
  <c r="T228" i="3" a="1"/>
  <c r="T228" i="3" s="1"/>
  <c r="S228" i="3" a="1"/>
  <c r="S228" i="3" s="1"/>
  <c r="L228" i="3" a="1"/>
  <c r="L228" i="3" s="1"/>
  <c r="U228" i="3" a="1"/>
  <c r="U228" i="3" s="1"/>
  <c r="O228" i="3" a="1"/>
  <c r="O228" i="3" s="1"/>
  <c r="P228" i="3" a="1"/>
  <c r="P228" i="3" s="1"/>
  <c r="N228" i="3" a="1"/>
  <c r="N228" i="3" s="1"/>
  <c r="B229" i="3"/>
  <c r="Y229" i="3" l="1" a="1"/>
  <c r="Y229" i="3" s="1"/>
  <c r="AD229" i="3" a="1"/>
  <c r="AD229" i="3" s="1"/>
  <c r="Z229" i="3" a="1"/>
  <c r="Z229" i="3" s="1"/>
  <c r="AB229" i="3" a="1"/>
  <c r="AB229" i="3" s="1"/>
  <c r="AC229" i="3" a="1"/>
  <c r="AC229" i="3" s="1"/>
  <c r="AA229" i="3" a="1"/>
  <c r="AA229" i="3" s="1"/>
  <c r="V229" i="3" a="1"/>
  <c r="V229" i="3" s="1"/>
  <c r="X229" i="3" a="1"/>
  <c r="X229" i="3" s="1"/>
  <c r="W229" i="3" a="1"/>
  <c r="W229" i="3" s="1"/>
  <c r="I229" i="3" a="1"/>
  <c r="I229" i="3" s="1"/>
  <c r="J229" i="3" a="1"/>
  <c r="J229" i="3" s="1"/>
  <c r="D229" i="3" a="1"/>
  <c r="D229" i="3" s="1"/>
  <c r="H229" i="3" a="1"/>
  <c r="H229" i="3" s="1"/>
  <c r="F229" i="3" a="1"/>
  <c r="F229" i="3" s="1"/>
  <c r="G229" i="3" a="1"/>
  <c r="G229" i="3" s="1"/>
  <c r="C229" i="3" a="1"/>
  <c r="C229" i="3" s="1"/>
  <c r="K229" i="3" a="1"/>
  <c r="K229" i="3" s="1"/>
  <c r="E229" i="3" a="1"/>
  <c r="E229" i="3" s="1"/>
  <c r="Q229" i="3" a="1"/>
  <c r="Q229" i="3" s="1"/>
  <c r="S229" i="3" a="1"/>
  <c r="S229" i="3" s="1"/>
  <c r="T229" i="3" a="1"/>
  <c r="T229" i="3" s="1"/>
  <c r="R229" i="3" a="1"/>
  <c r="R229" i="3" s="1"/>
  <c r="L229" i="3" a="1"/>
  <c r="L229" i="3" s="1"/>
  <c r="M229" i="3" a="1"/>
  <c r="M229" i="3" s="1"/>
  <c r="U229" i="3" a="1"/>
  <c r="U229" i="3" s="1"/>
  <c r="O229" i="3" a="1"/>
  <c r="O229" i="3" s="1"/>
  <c r="P229" i="3" a="1"/>
  <c r="P229" i="3" s="1"/>
  <c r="N229" i="3" a="1"/>
  <c r="N229" i="3" s="1"/>
  <c r="B230" i="3"/>
  <c r="AD230" i="3" l="1" a="1"/>
  <c r="AD230" i="3" s="1"/>
  <c r="Z230" i="3" a="1"/>
  <c r="Z230" i="3" s="1"/>
  <c r="Y230" i="3" a="1"/>
  <c r="Y230" i="3" s="1"/>
  <c r="AB230" i="3" a="1"/>
  <c r="AB230" i="3" s="1"/>
  <c r="AA230" i="3" a="1"/>
  <c r="AA230" i="3" s="1"/>
  <c r="AC230" i="3" a="1"/>
  <c r="AC230" i="3" s="1"/>
  <c r="V230" i="3" a="1"/>
  <c r="V230" i="3" s="1"/>
  <c r="X230" i="3" a="1"/>
  <c r="X230" i="3" s="1"/>
  <c r="W230" i="3" a="1"/>
  <c r="W230" i="3" s="1"/>
  <c r="I230" i="3" a="1"/>
  <c r="I230" i="3" s="1"/>
  <c r="J230" i="3" a="1"/>
  <c r="J230" i="3" s="1"/>
  <c r="D230" i="3" a="1"/>
  <c r="D230" i="3" s="1"/>
  <c r="H230" i="3" a="1"/>
  <c r="H230" i="3" s="1"/>
  <c r="G230" i="3" a="1"/>
  <c r="G230" i="3" s="1"/>
  <c r="F230" i="3" a="1"/>
  <c r="F230" i="3" s="1"/>
  <c r="C230" i="3" a="1"/>
  <c r="C230" i="3" s="1"/>
  <c r="E230" i="3" a="1"/>
  <c r="E230" i="3" s="1"/>
  <c r="K230" i="3" a="1"/>
  <c r="K230" i="3" s="1"/>
  <c r="Q230" i="3" a="1"/>
  <c r="Q230" i="3" s="1"/>
  <c r="L230" i="3" a="1"/>
  <c r="L230" i="3" s="1"/>
  <c r="R230" i="3" a="1"/>
  <c r="R230" i="3" s="1"/>
  <c r="S230" i="3" a="1"/>
  <c r="S230" i="3" s="1"/>
  <c r="M230" i="3" a="1"/>
  <c r="M230" i="3" s="1"/>
  <c r="P230" i="3" a="1"/>
  <c r="P230" i="3" s="1"/>
  <c r="T230" i="3" a="1"/>
  <c r="T230" i="3" s="1"/>
  <c r="O230" i="3" a="1"/>
  <c r="O230" i="3" s="1"/>
  <c r="U230" i="3" a="1"/>
  <c r="U230" i="3" s="1"/>
  <c r="N230" i="3" a="1"/>
  <c r="N230" i="3" s="1"/>
  <c r="B231" i="3"/>
  <c r="AD231" i="3" l="1" a="1"/>
  <c r="AD231" i="3" s="1"/>
  <c r="Y231" i="3" a="1"/>
  <c r="Y231" i="3" s="1"/>
  <c r="AB231" i="3" a="1"/>
  <c r="AB231" i="3" s="1"/>
  <c r="Z231" i="3" a="1"/>
  <c r="Z231" i="3" s="1"/>
  <c r="AC231" i="3" a="1"/>
  <c r="AC231" i="3" s="1"/>
  <c r="AA231" i="3" a="1"/>
  <c r="AA231" i="3" s="1"/>
  <c r="V231" i="3" a="1"/>
  <c r="V231" i="3" s="1"/>
  <c r="X231" i="3" a="1"/>
  <c r="X231" i="3" s="1"/>
  <c r="W231" i="3" a="1"/>
  <c r="W231" i="3" s="1"/>
  <c r="I231" i="3" a="1"/>
  <c r="I231" i="3" s="1"/>
  <c r="J231" i="3" a="1"/>
  <c r="J231" i="3" s="1"/>
  <c r="D231" i="3" a="1"/>
  <c r="D231" i="3" s="1"/>
  <c r="F231" i="3" a="1"/>
  <c r="F231" i="3" s="1"/>
  <c r="H231" i="3" a="1"/>
  <c r="H231" i="3" s="1"/>
  <c r="G231" i="3" a="1"/>
  <c r="G231" i="3" s="1"/>
  <c r="C231" i="3" a="1"/>
  <c r="C231" i="3" s="1"/>
  <c r="E231" i="3" a="1"/>
  <c r="E231" i="3" s="1"/>
  <c r="Q231" i="3" a="1"/>
  <c r="Q231" i="3" s="1"/>
  <c r="K231" i="3" a="1"/>
  <c r="K231" i="3" s="1"/>
  <c r="S231" i="3" a="1"/>
  <c r="S231" i="3" s="1"/>
  <c r="L231" i="3" a="1"/>
  <c r="L231" i="3" s="1"/>
  <c r="R231" i="3" a="1"/>
  <c r="R231" i="3" s="1"/>
  <c r="M231" i="3" a="1"/>
  <c r="M231" i="3" s="1"/>
  <c r="U231" i="3" a="1"/>
  <c r="U231" i="3" s="1"/>
  <c r="T231" i="3" a="1"/>
  <c r="T231" i="3" s="1"/>
  <c r="P231" i="3" a="1"/>
  <c r="P231" i="3" s="1"/>
  <c r="O231" i="3" a="1"/>
  <c r="O231" i="3" s="1"/>
  <c r="N231" i="3" a="1"/>
  <c r="N231" i="3" s="1"/>
  <c r="B232" i="3"/>
  <c r="Y232" i="3" l="1" a="1"/>
  <c r="Y232" i="3" s="1"/>
  <c r="Z232" i="3" a="1"/>
  <c r="Z232" i="3" s="1"/>
  <c r="AB232" i="3" a="1"/>
  <c r="AB232" i="3" s="1"/>
  <c r="AD232" i="3" a="1"/>
  <c r="AD232" i="3" s="1"/>
  <c r="AA232" i="3" a="1"/>
  <c r="AA232" i="3" s="1"/>
  <c r="AC232" i="3" a="1"/>
  <c r="AC232" i="3" s="1"/>
  <c r="X232" i="3" a="1"/>
  <c r="X232" i="3" s="1"/>
  <c r="V232" i="3" a="1"/>
  <c r="V232" i="3" s="1"/>
  <c r="W232" i="3" a="1"/>
  <c r="W232" i="3" s="1"/>
  <c r="I232" i="3" a="1"/>
  <c r="I232" i="3" s="1"/>
  <c r="J232" i="3" a="1"/>
  <c r="J232" i="3" s="1"/>
  <c r="D232" i="3" a="1"/>
  <c r="D232" i="3" s="1"/>
  <c r="H232" i="3" a="1"/>
  <c r="H232" i="3" s="1"/>
  <c r="G232" i="3" a="1"/>
  <c r="G232" i="3" s="1"/>
  <c r="F232" i="3" a="1"/>
  <c r="F232" i="3" s="1"/>
  <c r="C232" i="3" a="1"/>
  <c r="C232" i="3" s="1"/>
  <c r="K232" i="3" a="1"/>
  <c r="K232" i="3" s="1"/>
  <c r="E232" i="3" a="1"/>
  <c r="E232" i="3" s="1"/>
  <c r="Q232" i="3" a="1"/>
  <c r="Q232" i="3" s="1"/>
  <c r="R232" i="3" a="1"/>
  <c r="R232" i="3" s="1"/>
  <c r="S232" i="3" a="1"/>
  <c r="S232" i="3" s="1"/>
  <c r="L232" i="3" a="1"/>
  <c r="L232" i="3" s="1"/>
  <c r="T232" i="3" a="1"/>
  <c r="T232" i="3" s="1"/>
  <c r="U232" i="3" a="1"/>
  <c r="U232" i="3" s="1"/>
  <c r="M232" i="3" a="1"/>
  <c r="M232" i="3" s="1"/>
  <c r="O232" i="3" a="1"/>
  <c r="O232" i="3" s="1"/>
  <c r="P232" i="3" a="1"/>
  <c r="P232" i="3" s="1"/>
  <c r="N232" i="3" a="1"/>
  <c r="N232" i="3" s="1"/>
  <c r="B233" i="3"/>
  <c r="Y233" i="3" l="1" a="1"/>
  <c r="Y233" i="3" s="1"/>
  <c r="Z233" i="3" a="1"/>
  <c r="Z233" i="3" s="1"/>
  <c r="AD233" i="3" a="1"/>
  <c r="AD233" i="3" s="1"/>
  <c r="AB233" i="3" a="1"/>
  <c r="AB233" i="3" s="1"/>
  <c r="AA233" i="3" a="1"/>
  <c r="AA233" i="3" s="1"/>
  <c r="AC233" i="3" a="1"/>
  <c r="AC233" i="3" s="1"/>
  <c r="X233" i="3" a="1"/>
  <c r="X233" i="3" s="1"/>
  <c r="V233" i="3" a="1"/>
  <c r="V233" i="3" s="1"/>
  <c r="W233" i="3" a="1"/>
  <c r="W233" i="3" s="1"/>
  <c r="I233" i="3" a="1"/>
  <c r="I233" i="3" s="1"/>
  <c r="J233" i="3" a="1"/>
  <c r="J233" i="3" s="1"/>
  <c r="D233" i="3" a="1"/>
  <c r="D233" i="3" s="1"/>
  <c r="F233" i="3" a="1"/>
  <c r="F233" i="3" s="1"/>
  <c r="H233" i="3" a="1"/>
  <c r="H233" i="3" s="1"/>
  <c r="G233" i="3" a="1"/>
  <c r="G233" i="3" s="1"/>
  <c r="C233" i="3" a="1"/>
  <c r="C233" i="3" s="1"/>
  <c r="E233" i="3" a="1"/>
  <c r="E233" i="3" s="1"/>
  <c r="Q233" i="3" a="1"/>
  <c r="Q233" i="3" s="1"/>
  <c r="K233" i="3" a="1"/>
  <c r="K233" i="3" s="1"/>
  <c r="T233" i="3" a="1"/>
  <c r="T233" i="3" s="1"/>
  <c r="M233" i="3" a="1"/>
  <c r="M233" i="3" s="1"/>
  <c r="R233" i="3" a="1"/>
  <c r="R233" i="3" s="1"/>
  <c r="L233" i="3" a="1"/>
  <c r="L233" i="3" s="1"/>
  <c r="U233" i="3" a="1"/>
  <c r="U233" i="3" s="1"/>
  <c r="P233" i="3" a="1"/>
  <c r="P233" i="3" s="1"/>
  <c r="O233" i="3" a="1"/>
  <c r="O233" i="3" s="1"/>
  <c r="S233" i="3" a="1"/>
  <c r="S233" i="3" s="1"/>
  <c r="N233" i="3" a="1"/>
  <c r="N233" i="3" s="1"/>
  <c r="B234" i="3"/>
  <c r="AD234" i="3" l="1" a="1"/>
  <c r="AD234" i="3" s="1"/>
  <c r="AB234" i="3" a="1"/>
  <c r="AB234" i="3" s="1"/>
  <c r="Y234" i="3" a="1"/>
  <c r="Y234" i="3" s="1"/>
  <c r="Z234" i="3" a="1"/>
  <c r="Z234" i="3" s="1"/>
  <c r="AC234" i="3" a="1"/>
  <c r="AC234" i="3" s="1"/>
  <c r="AA234" i="3" a="1"/>
  <c r="AA234" i="3" s="1"/>
  <c r="V234" i="3" a="1"/>
  <c r="V234" i="3" s="1"/>
  <c r="X234" i="3" a="1"/>
  <c r="X234" i="3" s="1"/>
  <c r="W234" i="3" a="1"/>
  <c r="W234" i="3" s="1"/>
  <c r="I234" i="3" a="1"/>
  <c r="I234" i="3" s="1"/>
  <c r="J234" i="3" a="1"/>
  <c r="J234" i="3" s="1"/>
  <c r="D234" i="3" a="1"/>
  <c r="D234" i="3" s="1"/>
  <c r="H234" i="3" a="1"/>
  <c r="H234" i="3" s="1"/>
  <c r="F234" i="3" a="1"/>
  <c r="F234" i="3" s="1"/>
  <c r="G234" i="3" a="1"/>
  <c r="G234" i="3" s="1"/>
  <c r="C234" i="3" a="1"/>
  <c r="C234" i="3" s="1"/>
  <c r="K234" i="3" a="1"/>
  <c r="K234" i="3" s="1"/>
  <c r="Q234" i="3" a="1"/>
  <c r="Q234" i="3" s="1"/>
  <c r="E234" i="3" a="1"/>
  <c r="E234" i="3" s="1"/>
  <c r="R234" i="3" a="1"/>
  <c r="R234" i="3" s="1"/>
  <c r="S234" i="3" a="1"/>
  <c r="S234" i="3" s="1"/>
  <c r="M234" i="3" a="1"/>
  <c r="M234" i="3" s="1"/>
  <c r="T234" i="3" a="1"/>
  <c r="T234" i="3" s="1"/>
  <c r="U234" i="3" a="1"/>
  <c r="U234" i="3" s="1"/>
  <c r="P234" i="3" a="1"/>
  <c r="P234" i="3" s="1"/>
  <c r="L234" i="3" a="1"/>
  <c r="L234" i="3" s="1"/>
  <c r="O234" i="3" a="1"/>
  <c r="O234" i="3" s="1"/>
  <c r="N234" i="3" a="1"/>
  <c r="N234" i="3" s="1"/>
  <c r="B235" i="3"/>
  <c r="AD235" i="3" l="1" a="1"/>
  <c r="AD235" i="3" s="1"/>
  <c r="Y235" i="3" a="1"/>
  <c r="Y235" i="3" s="1"/>
  <c r="Z235" i="3" a="1"/>
  <c r="Z235" i="3" s="1"/>
  <c r="AB235" i="3" a="1"/>
  <c r="AB235" i="3" s="1"/>
  <c r="AC235" i="3" a="1"/>
  <c r="AC235" i="3" s="1"/>
  <c r="AA235" i="3" a="1"/>
  <c r="AA235" i="3" s="1"/>
  <c r="X235" i="3" a="1"/>
  <c r="X235" i="3" s="1"/>
  <c r="V235" i="3" a="1"/>
  <c r="V235" i="3" s="1"/>
  <c r="W235" i="3" a="1"/>
  <c r="W235" i="3" s="1"/>
  <c r="I235" i="3" a="1"/>
  <c r="I235" i="3" s="1"/>
  <c r="J235" i="3" a="1"/>
  <c r="J235" i="3" s="1"/>
  <c r="D235" i="3" a="1"/>
  <c r="D235" i="3" s="1"/>
  <c r="H235" i="3" a="1"/>
  <c r="H235" i="3" s="1"/>
  <c r="G235" i="3" a="1"/>
  <c r="G235" i="3" s="1"/>
  <c r="F235" i="3" a="1"/>
  <c r="F235" i="3" s="1"/>
  <c r="C235" i="3" a="1"/>
  <c r="C235" i="3" s="1"/>
  <c r="Q235" i="3" a="1"/>
  <c r="Q235" i="3" s="1"/>
  <c r="E235" i="3" a="1"/>
  <c r="E235" i="3" s="1"/>
  <c r="K235" i="3" a="1"/>
  <c r="K235" i="3" s="1"/>
  <c r="L235" i="3" a="1"/>
  <c r="L235" i="3" s="1"/>
  <c r="R235" i="3" a="1"/>
  <c r="R235" i="3" s="1"/>
  <c r="U235" i="3" a="1"/>
  <c r="U235" i="3" s="1"/>
  <c r="O235" i="3" a="1"/>
  <c r="O235" i="3" s="1"/>
  <c r="P235" i="3" a="1"/>
  <c r="P235" i="3" s="1"/>
  <c r="T235" i="3" a="1"/>
  <c r="T235" i="3" s="1"/>
  <c r="S235" i="3" a="1"/>
  <c r="S235" i="3" s="1"/>
  <c r="M235" i="3" a="1"/>
  <c r="M235" i="3" s="1"/>
  <c r="N235" i="3" a="1"/>
  <c r="N235" i="3" s="1"/>
  <c r="B236" i="3"/>
  <c r="Y236" i="3" l="1" a="1"/>
  <c r="Y236" i="3" s="1"/>
  <c r="AD236" i="3" a="1"/>
  <c r="AD236" i="3" s="1"/>
  <c r="AB236" i="3" a="1"/>
  <c r="AB236" i="3" s="1"/>
  <c r="Z236" i="3" a="1"/>
  <c r="Z236" i="3" s="1"/>
  <c r="AC236" i="3" a="1"/>
  <c r="AC236" i="3" s="1"/>
  <c r="AA236" i="3" a="1"/>
  <c r="AA236" i="3" s="1"/>
  <c r="V236" i="3" a="1"/>
  <c r="V236" i="3" s="1"/>
  <c r="X236" i="3" a="1"/>
  <c r="X236" i="3" s="1"/>
  <c r="W236" i="3" a="1"/>
  <c r="W236" i="3" s="1"/>
  <c r="I236" i="3" a="1"/>
  <c r="I236" i="3" s="1"/>
  <c r="J236" i="3" a="1"/>
  <c r="J236" i="3" s="1"/>
  <c r="D236" i="3" a="1"/>
  <c r="D236" i="3" s="1"/>
  <c r="H236" i="3" a="1"/>
  <c r="H236" i="3" s="1"/>
  <c r="F236" i="3" a="1"/>
  <c r="F236" i="3" s="1"/>
  <c r="G236" i="3" a="1"/>
  <c r="G236" i="3" s="1"/>
  <c r="C236" i="3" a="1"/>
  <c r="C236" i="3" s="1"/>
  <c r="Q236" i="3" a="1"/>
  <c r="Q236" i="3" s="1"/>
  <c r="K236" i="3" a="1"/>
  <c r="K236" i="3" s="1"/>
  <c r="E236" i="3" a="1"/>
  <c r="E236" i="3" s="1"/>
  <c r="S236" i="3" a="1"/>
  <c r="S236" i="3" s="1"/>
  <c r="R236" i="3" a="1"/>
  <c r="R236" i="3" s="1"/>
  <c r="M236" i="3" a="1"/>
  <c r="M236" i="3" s="1"/>
  <c r="O236" i="3" a="1"/>
  <c r="O236" i="3" s="1"/>
  <c r="U236" i="3" a="1"/>
  <c r="U236" i="3" s="1"/>
  <c r="P236" i="3" a="1"/>
  <c r="P236" i="3" s="1"/>
  <c r="L236" i="3" a="1"/>
  <c r="L236" i="3" s="1"/>
  <c r="T236" i="3" a="1"/>
  <c r="T236" i="3" s="1"/>
  <c r="N236" i="3" a="1"/>
  <c r="N236" i="3" s="1"/>
  <c r="B237" i="3"/>
  <c r="Y237" i="3" l="1" a="1"/>
  <c r="Y237" i="3" s="1"/>
  <c r="AD237" i="3" a="1"/>
  <c r="AD237" i="3" s="1"/>
  <c r="AB237" i="3" a="1"/>
  <c r="AB237" i="3" s="1"/>
  <c r="Z237" i="3" a="1"/>
  <c r="Z237" i="3" s="1"/>
  <c r="AA237" i="3" a="1"/>
  <c r="AA237" i="3" s="1"/>
  <c r="AC237" i="3" a="1"/>
  <c r="AC237" i="3" s="1"/>
  <c r="X237" i="3" a="1"/>
  <c r="X237" i="3" s="1"/>
  <c r="V237" i="3" a="1"/>
  <c r="V237" i="3" s="1"/>
  <c r="W237" i="3" a="1"/>
  <c r="W237" i="3" s="1"/>
  <c r="I237" i="3" a="1"/>
  <c r="I237" i="3" s="1"/>
  <c r="J237" i="3" a="1"/>
  <c r="J237" i="3" s="1"/>
  <c r="D237" i="3" a="1"/>
  <c r="D237" i="3" s="1"/>
  <c r="H237" i="3" a="1"/>
  <c r="H237" i="3" s="1"/>
  <c r="F237" i="3" a="1"/>
  <c r="F237" i="3" s="1"/>
  <c r="G237" i="3" a="1"/>
  <c r="G237" i="3" s="1"/>
  <c r="C237" i="3" a="1"/>
  <c r="C237" i="3" s="1"/>
  <c r="K237" i="3" a="1"/>
  <c r="K237" i="3" s="1"/>
  <c r="Q237" i="3" a="1"/>
  <c r="Q237" i="3" s="1"/>
  <c r="E237" i="3" a="1"/>
  <c r="E237" i="3" s="1"/>
  <c r="T237" i="3" a="1"/>
  <c r="T237" i="3" s="1"/>
  <c r="S237" i="3" a="1"/>
  <c r="S237" i="3" s="1"/>
  <c r="L237" i="3" a="1"/>
  <c r="L237" i="3" s="1"/>
  <c r="R237" i="3" a="1"/>
  <c r="R237" i="3" s="1"/>
  <c r="O237" i="3" a="1"/>
  <c r="O237" i="3" s="1"/>
  <c r="M237" i="3" a="1"/>
  <c r="M237" i="3" s="1"/>
  <c r="P237" i="3" a="1"/>
  <c r="P237" i="3" s="1"/>
  <c r="U237" i="3" a="1"/>
  <c r="U237" i="3" s="1"/>
  <c r="N237" i="3" a="1"/>
  <c r="N237" i="3" s="1"/>
  <c r="B238" i="3"/>
  <c r="Y238" i="3" l="1" a="1"/>
  <c r="Y238" i="3" s="1"/>
  <c r="AD238" i="3" a="1"/>
  <c r="AD238" i="3" s="1"/>
  <c r="AB238" i="3" a="1"/>
  <c r="AB238" i="3" s="1"/>
  <c r="Z238" i="3" a="1"/>
  <c r="Z238" i="3" s="1"/>
  <c r="AA238" i="3" a="1"/>
  <c r="AA238" i="3" s="1"/>
  <c r="AC238" i="3" a="1"/>
  <c r="AC238" i="3" s="1"/>
  <c r="V238" i="3" a="1"/>
  <c r="V238" i="3" s="1"/>
  <c r="X238" i="3" a="1"/>
  <c r="X238" i="3" s="1"/>
  <c r="W238" i="3" a="1"/>
  <c r="W238" i="3" s="1"/>
  <c r="I238" i="3" a="1"/>
  <c r="I238" i="3" s="1"/>
  <c r="J238" i="3" a="1"/>
  <c r="J238" i="3" s="1"/>
  <c r="D238" i="3" a="1"/>
  <c r="D238" i="3" s="1"/>
  <c r="G238" i="3" a="1"/>
  <c r="G238" i="3" s="1"/>
  <c r="F238" i="3" a="1"/>
  <c r="F238" i="3" s="1"/>
  <c r="H238" i="3" a="1"/>
  <c r="H238" i="3" s="1"/>
  <c r="C238" i="3" a="1"/>
  <c r="C238" i="3" s="1"/>
  <c r="Q238" i="3" a="1"/>
  <c r="Q238" i="3" s="1"/>
  <c r="K238" i="3" a="1"/>
  <c r="K238" i="3" s="1"/>
  <c r="E238" i="3" a="1"/>
  <c r="E238" i="3" s="1"/>
  <c r="R238" i="3" a="1"/>
  <c r="R238" i="3" s="1"/>
  <c r="L238" i="3" a="1"/>
  <c r="L238" i="3" s="1"/>
  <c r="M238" i="3" a="1"/>
  <c r="M238" i="3" s="1"/>
  <c r="T238" i="3" a="1"/>
  <c r="T238" i="3" s="1"/>
  <c r="S238" i="3" a="1"/>
  <c r="S238" i="3" s="1"/>
  <c r="P238" i="3" a="1"/>
  <c r="P238" i="3" s="1"/>
  <c r="U238" i="3" a="1"/>
  <c r="U238" i="3" s="1"/>
  <c r="O238" i="3" a="1"/>
  <c r="O238" i="3" s="1"/>
  <c r="N238" i="3" a="1"/>
  <c r="N238" i="3" s="1"/>
  <c r="B239" i="3"/>
  <c r="Y239" i="3" l="1" a="1"/>
  <c r="Y239" i="3" s="1"/>
  <c r="AD239" i="3" a="1"/>
  <c r="AD239" i="3" s="1"/>
  <c r="Z239" i="3" a="1"/>
  <c r="Z239" i="3" s="1"/>
  <c r="AB239" i="3" a="1"/>
  <c r="AB239" i="3" s="1"/>
  <c r="AC239" i="3" a="1"/>
  <c r="AC239" i="3" s="1"/>
  <c r="AA239" i="3" a="1"/>
  <c r="AA239" i="3" s="1"/>
  <c r="V239" i="3" a="1"/>
  <c r="V239" i="3" s="1"/>
  <c r="X239" i="3" a="1"/>
  <c r="X239" i="3" s="1"/>
  <c r="W239" i="3" a="1"/>
  <c r="W239" i="3" s="1"/>
  <c r="I239" i="3" a="1"/>
  <c r="I239" i="3" s="1"/>
  <c r="J239" i="3" a="1"/>
  <c r="J239" i="3" s="1"/>
  <c r="D239" i="3" a="1"/>
  <c r="D239" i="3" s="1"/>
  <c r="H239" i="3" a="1"/>
  <c r="H239" i="3" s="1"/>
  <c r="F239" i="3" a="1"/>
  <c r="F239" i="3" s="1"/>
  <c r="G239" i="3" a="1"/>
  <c r="G239" i="3" s="1"/>
  <c r="C239" i="3" a="1"/>
  <c r="C239" i="3" s="1"/>
  <c r="Q239" i="3" a="1"/>
  <c r="Q239" i="3" s="1"/>
  <c r="E239" i="3" a="1"/>
  <c r="E239" i="3" s="1"/>
  <c r="K239" i="3" a="1"/>
  <c r="K239" i="3" s="1"/>
  <c r="S239" i="3" a="1"/>
  <c r="S239" i="3" s="1"/>
  <c r="M239" i="3" a="1"/>
  <c r="M239" i="3" s="1"/>
  <c r="R239" i="3" a="1"/>
  <c r="R239" i="3" s="1"/>
  <c r="P239" i="3" a="1"/>
  <c r="P239" i="3" s="1"/>
  <c r="O239" i="3" a="1"/>
  <c r="O239" i="3" s="1"/>
  <c r="L239" i="3" a="1"/>
  <c r="L239" i="3" s="1"/>
  <c r="U239" i="3" a="1"/>
  <c r="U239" i="3" s="1"/>
  <c r="T239" i="3" a="1"/>
  <c r="T239" i="3" s="1"/>
  <c r="N239" i="3" a="1"/>
  <c r="N239" i="3" s="1"/>
  <c r="B240" i="3"/>
  <c r="Y240" i="3" l="1" a="1"/>
  <c r="Y240" i="3" s="1"/>
  <c r="AD240" i="3" a="1"/>
  <c r="AD240" i="3" s="1"/>
  <c r="Z240" i="3" a="1"/>
  <c r="Z240" i="3" s="1"/>
  <c r="AC240" i="3" a="1"/>
  <c r="AC240" i="3" s="1"/>
  <c r="AA240" i="3" a="1"/>
  <c r="AA240" i="3" s="1"/>
  <c r="AB240" i="3" a="1"/>
  <c r="AB240" i="3" s="1"/>
  <c r="V240" i="3" a="1"/>
  <c r="V240" i="3" s="1"/>
  <c r="X240" i="3" a="1"/>
  <c r="X240" i="3" s="1"/>
  <c r="W240" i="3" a="1"/>
  <c r="W240" i="3" s="1"/>
  <c r="I240" i="3" a="1"/>
  <c r="I240" i="3" s="1"/>
  <c r="J240" i="3" a="1"/>
  <c r="J240" i="3" s="1"/>
  <c r="D240" i="3" a="1"/>
  <c r="D240" i="3" s="1"/>
  <c r="F240" i="3" a="1"/>
  <c r="F240" i="3" s="1"/>
  <c r="H240" i="3" a="1"/>
  <c r="H240" i="3" s="1"/>
  <c r="G240" i="3" a="1"/>
  <c r="G240" i="3" s="1"/>
  <c r="C240" i="3" a="1"/>
  <c r="C240" i="3" s="1"/>
  <c r="E240" i="3" a="1"/>
  <c r="E240" i="3" s="1"/>
  <c r="Q240" i="3" a="1"/>
  <c r="Q240" i="3" s="1"/>
  <c r="K240" i="3" a="1"/>
  <c r="K240" i="3" s="1"/>
  <c r="L240" i="3" a="1"/>
  <c r="L240" i="3" s="1"/>
  <c r="S240" i="3" a="1"/>
  <c r="S240" i="3" s="1"/>
  <c r="T240" i="3" a="1"/>
  <c r="T240" i="3" s="1"/>
  <c r="R240" i="3" a="1"/>
  <c r="R240" i="3" s="1"/>
  <c r="M240" i="3" a="1"/>
  <c r="M240" i="3" s="1"/>
  <c r="O240" i="3" a="1"/>
  <c r="O240" i="3" s="1"/>
  <c r="U240" i="3" a="1"/>
  <c r="U240" i="3" s="1"/>
  <c r="P240" i="3" a="1"/>
  <c r="P240" i="3" s="1"/>
  <c r="N240" i="3" a="1"/>
  <c r="N240" i="3" s="1"/>
  <c r="B241" i="3"/>
  <c r="Y241" i="3" l="1" a="1"/>
  <c r="Y241" i="3" s="1"/>
  <c r="AD241" i="3" a="1"/>
  <c r="AD241" i="3" s="1"/>
  <c r="Z241" i="3" a="1"/>
  <c r="Z241" i="3" s="1"/>
  <c r="AB241" i="3" a="1"/>
  <c r="AB241" i="3" s="1"/>
  <c r="AA241" i="3" a="1"/>
  <c r="AA241" i="3" s="1"/>
  <c r="AC241" i="3" a="1"/>
  <c r="AC241" i="3" s="1"/>
  <c r="X241" i="3" a="1"/>
  <c r="X241" i="3" s="1"/>
  <c r="V241" i="3" a="1"/>
  <c r="V241" i="3" s="1"/>
  <c r="W241" i="3" a="1"/>
  <c r="W241" i="3" s="1"/>
  <c r="I241" i="3" a="1"/>
  <c r="I241" i="3" s="1"/>
  <c r="J241" i="3" a="1"/>
  <c r="J241" i="3" s="1"/>
  <c r="D241" i="3" a="1"/>
  <c r="D241" i="3" s="1"/>
  <c r="H241" i="3" a="1"/>
  <c r="H241" i="3" s="1"/>
  <c r="F241" i="3" a="1"/>
  <c r="F241" i="3" s="1"/>
  <c r="G241" i="3" a="1"/>
  <c r="G241" i="3" s="1"/>
  <c r="C241" i="3" a="1"/>
  <c r="C241" i="3" s="1"/>
  <c r="Q241" i="3" a="1"/>
  <c r="Q241" i="3" s="1"/>
  <c r="E241" i="3" a="1"/>
  <c r="E241" i="3" s="1"/>
  <c r="K241" i="3" a="1"/>
  <c r="K241" i="3" s="1"/>
  <c r="L241" i="3" a="1"/>
  <c r="L241" i="3" s="1"/>
  <c r="S241" i="3" a="1"/>
  <c r="S241" i="3" s="1"/>
  <c r="T241" i="3" a="1"/>
  <c r="T241" i="3" s="1"/>
  <c r="M241" i="3" a="1"/>
  <c r="M241" i="3" s="1"/>
  <c r="O241" i="3" a="1"/>
  <c r="O241" i="3" s="1"/>
  <c r="P241" i="3" a="1"/>
  <c r="P241" i="3" s="1"/>
  <c r="R241" i="3" a="1"/>
  <c r="R241" i="3" s="1"/>
  <c r="U241" i="3" a="1"/>
  <c r="U241" i="3" s="1"/>
  <c r="N241" i="3" a="1"/>
  <c r="N241" i="3" s="1"/>
  <c r="B242" i="3"/>
  <c r="Y242" i="3" l="1" a="1"/>
  <c r="Y242" i="3" s="1"/>
  <c r="Z242" i="3" a="1"/>
  <c r="Z242" i="3" s="1"/>
  <c r="AB242" i="3" a="1"/>
  <c r="AB242" i="3" s="1"/>
  <c r="AD242" i="3" a="1"/>
  <c r="AD242" i="3" s="1"/>
  <c r="AA242" i="3" a="1"/>
  <c r="AA242" i="3" s="1"/>
  <c r="AC242" i="3" a="1"/>
  <c r="AC242" i="3" s="1"/>
  <c r="V242" i="3" a="1"/>
  <c r="V242" i="3" s="1"/>
  <c r="X242" i="3" a="1"/>
  <c r="X242" i="3" s="1"/>
  <c r="W242" i="3" a="1"/>
  <c r="W242" i="3" s="1"/>
  <c r="I242" i="3" a="1"/>
  <c r="I242" i="3" s="1"/>
  <c r="J242" i="3" a="1"/>
  <c r="J242" i="3" s="1"/>
  <c r="D242" i="3" a="1"/>
  <c r="D242" i="3" s="1"/>
  <c r="H242" i="3" a="1"/>
  <c r="H242" i="3" s="1"/>
  <c r="G242" i="3" a="1"/>
  <c r="G242" i="3" s="1"/>
  <c r="F242" i="3" a="1"/>
  <c r="F242" i="3" s="1"/>
  <c r="C242" i="3" a="1"/>
  <c r="C242" i="3" s="1"/>
  <c r="E242" i="3" a="1"/>
  <c r="E242" i="3" s="1"/>
  <c r="Q242" i="3" a="1"/>
  <c r="Q242" i="3" s="1"/>
  <c r="K242" i="3" a="1"/>
  <c r="K242" i="3" s="1"/>
  <c r="L242" i="3" a="1"/>
  <c r="L242" i="3" s="1"/>
  <c r="T242" i="3" a="1"/>
  <c r="T242" i="3" s="1"/>
  <c r="R242" i="3" a="1"/>
  <c r="R242" i="3" s="1"/>
  <c r="M242" i="3" a="1"/>
  <c r="M242" i="3" s="1"/>
  <c r="S242" i="3" a="1"/>
  <c r="S242" i="3" s="1"/>
  <c r="U242" i="3" a="1"/>
  <c r="U242" i="3" s="1"/>
  <c r="P242" i="3" a="1"/>
  <c r="P242" i="3" s="1"/>
  <c r="O242" i="3" a="1"/>
  <c r="O242" i="3" s="1"/>
  <c r="N242" i="3" a="1"/>
  <c r="N242" i="3" s="1"/>
  <c r="B243" i="3"/>
  <c r="Y243" i="3" l="1" a="1"/>
  <c r="Y243" i="3" s="1"/>
  <c r="AD243" i="3" a="1"/>
  <c r="AD243" i="3" s="1"/>
  <c r="Z243" i="3" a="1"/>
  <c r="Z243" i="3" s="1"/>
  <c r="AB243" i="3" a="1"/>
  <c r="AB243" i="3" s="1"/>
  <c r="AA243" i="3" a="1"/>
  <c r="AA243" i="3" s="1"/>
  <c r="AC243" i="3" a="1"/>
  <c r="AC243" i="3" s="1"/>
  <c r="V243" i="3" a="1"/>
  <c r="V243" i="3" s="1"/>
  <c r="X243" i="3" a="1"/>
  <c r="X243" i="3" s="1"/>
  <c r="W243" i="3" a="1"/>
  <c r="W243" i="3" s="1"/>
  <c r="I243" i="3" a="1"/>
  <c r="I243" i="3" s="1"/>
  <c r="J243" i="3" a="1"/>
  <c r="J243" i="3" s="1"/>
  <c r="D243" i="3" a="1"/>
  <c r="D243" i="3" s="1"/>
  <c r="G243" i="3" a="1"/>
  <c r="G243" i="3" s="1"/>
  <c r="H243" i="3" a="1"/>
  <c r="H243" i="3" s="1"/>
  <c r="F243" i="3" a="1"/>
  <c r="F243" i="3" s="1"/>
  <c r="C243" i="3" a="1"/>
  <c r="C243" i="3" s="1"/>
  <c r="Q243" i="3" a="1"/>
  <c r="Q243" i="3" s="1"/>
  <c r="K243" i="3" a="1"/>
  <c r="K243" i="3" s="1"/>
  <c r="E243" i="3" a="1"/>
  <c r="E243" i="3" s="1"/>
  <c r="M243" i="3" a="1"/>
  <c r="M243" i="3" s="1"/>
  <c r="R243" i="3" a="1"/>
  <c r="R243" i="3" s="1"/>
  <c r="S243" i="3" a="1"/>
  <c r="S243" i="3" s="1"/>
  <c r="P243" i="3" a="1"/>
  <c r="P243" i="3" s="1"/>
  <c r="T243" i="3" a="1"/>
  <c r="T243" i="3" s="1"/>
  <c r="U243" i="3" a="1"/>
  <c r="U243" i="3" s="1"/>
  <c r="L243" i="3" a="1"/>
  <c r="L243" i="3" s="1"/>
  <c r="O243" i="3" a="1"/>
  <c r="O243" i="3" s="1"/>
  <c r="N243" i="3" a="1"/>
  <c r="N243" i="3" s="1"/>
  <c r="B244" i="3"/>
  <c r="Y244" i="3" l="1" a="1"/>
  <c r="Y244" i="3" s="1"/>
  <c r="AD244" i="3" a="1"/>
  <c r="AD244" i="3" s="1"/>
  <c r="AB244" i="3" a="1"/>
  <c r="AB244" i="3" s="1"/>
  <c r="Z244" i="3" a="1"/>
  <c r="Z244" i="3" s="1"/>
  <c r="AA244" i="3" a="1"/>
  <c r="AA244" i="3" s="1"/>
  <c r="AC244" i="3" a="1"/>
  <c r="AC244" i="3" s="1"/>
  <c r="V244" i="3" a="1"/>
  <c r="V244" i="3" s="1"/>
  <c r="X244" i="3" a="1"/>
  <c r="X244" i="3" s="1"/>
  <c r="W244" i="3" a="1"/>
  <c r="W244" i="3" s="1"/>
  <c r="I244" i="3" a="1"/>
  <c r="I244" i="3" s="1"/>
  <c r="J244" i="3" a="1"/>
  <c r="J244" i="3" s="1"/>
  <c r="D244" i="3" a="1"/>
  <c r="D244" i="3" s="1"/>
  <c r="F244" i="3" a="1"/>
  <c r="F244" i="3" s="1"/>
  <c r="H244" i="3" a="1"/>
  <c r="H244" i="3" s="1"/>
  <c r="G244" i="3" a="1"/>
  <c r="G244" i="3" s="1"/>
  <c r="C244" i="3" a="1"/>
  <c r="C244" i="3" s="1"/>
  <c r="K244" i="3" a="1"/>
  <c r="K244" i="3" s="1"/>
  <c r="Q244" i="3" a="1"/>
  <c r="Q244" i="3" s="1"/>
  <c r="E244" i="3" a="1"/>
  <c r="E244" i="3" s="1"/>
  <c r="L244" i="3" a="1"/>
  <c r="L244" i="3" s="1"/>
  <c r="M244" i="3" a="1"/>
  <c r="M244" i="3" s="1"/>
  <c r="R244" i="3" a="1"/>
  <c r="R244" i="3" s="1"/>
  <c r="S244" i="3" a="1"/>
  <c r="S244" i="3" s="1"/>
  <c r="O244" i="3" a="1"/>
  <c r="O244" i="3" s="1"/>
  <c r="T244" i="3" a="1"/>
  <c r="T244" i="3" s="1"/>
  <c r="U244" i="3" a="1"/>
  <c r="U244" i="3" s="1"/>
  <c r="P244" i="3" a="1"/>
  <c r="P244" i="3" s="1"/>
  <c r="N244" i="3" a="1"/>
  <c r="N244" i="3" s="1"/>
  <c r="B245" i="3"/>
  <c r="AD245" i="3" l="1" a="1"/>
  <c r="AD245" i="3" s="1"/>
  <c r="Y245" i="3" a="1"/>
  <c r="Y245" i="3" s="1"/>
  <c r="Z245" i="3" a="1"/>
  <c r="Z245" i="3" s="1"/>
  <c r="AB245" i="3" a="1"/>
  <c r="AB245" i="3" s="1"/>
  <c r="AC245" i="3" a="1"/>
  <c r="AC245" i="3" s="1"/>
  <c r="AA245" i="3" a="1"/>
  <c r="AA245" i="3" s="1"/>
  <c r="X245" i="3" a="1"/>
  <c r="X245" i="3" s="1"/>
  <c r="V245" i="3" a="1"/>
  <c r="V245" i="3" s="1"/>
  <c r="W245" i="3" a="1"/>
  <c r="W245" i="3" s="1"/>
  <c r="I245" i="3" a="1"/>
  <c r="I245" i="3" s="1"/>
  <c r="J245" i="3" a="1"/>
  <c r="J245" i="3" s="1"/>
  <c r="D245" i="3" a="1"/>
  <c r="D245" i="3" s="1"/>
  <c r="G245" i="3" a="1"/>
  <c r="G245" i="3" s="1"/>
  <c r="F245" i="3" a="1"/>
  <c r="F245" i="3" s="1"/>
  <c r="H245" i="3" a="1"/>
  <c r="H245" i="3" s="1"/>
  <c r="C245" i="3" a="1"/>
  <c r="C245" i="3" s="1"/>
  <c r="E245" i="3" a="1"/>
  <c r="E245" i="3" s="1"/>
  <c r="Q245" i="3" a="1"/>
  <c r="Q245" i="3" s="1"/>
  <c r="K245" i="3" a="1"/>
  <c r="K245" i="3" s="1"/>
  <c r="L245" i="3" a="1"/>
  <c r="L245" i="3" s="1"/>
  <c r="R245" i="3" a="1"/>
  <c r="R245" i="3" s="1"/>
  <c r="M245" i="3" a="1"/>
  <c r="M245" i="3" s="1"/>
  <c r="S245" i="3" a="1"/>
  <c r="S245" i="3" s="1"/>
  <c r="T245" i="3" a="1"/>
  <c r="T245" i="3" s="1"/>
  <c r="U245" i="3" a="1"/>
  <c r="U245" i="3" s="1"/>
  <c r="P245" i="3" a="1"/>
  <c r="P245" i="3" s="1"/>
  <c r="O245" i="3" a="1"/>
  <c r="O245" i="3" s="1"/>
  <c r="N245" i="3" a="1"/>
  <c r="N245" i="3" s="1"/>
  <c r="B246" i="3"/>
  <c r="Y246" i="3" l="1" a="1"/>
  <c r="Y246" i="3" s="1"/>
  <c r="AD246" i="3" a="1"/>
  <c r="AD246" i="3" s="1"/>
  <c r="Z246" i="3" a="1"/>
  <c r="Z246" i="3" s="1"/>
  <c r="AB246" i="3" a="1"/>
  <c r="AB246" i="3" s="1"/>
  <c r="AC246" i="3" a="1"/>
  <c r="AC246" i="3" s="1"/>
  <c r="AA246" i="3" a="1"/>
  <c r="AA246" i="3" s="1"/>
  <c r="X246" i="3" a="1"/>
  <c r="X246" i="3" s="1"/>
  <c r="V246" i="3" a="1"/>
  <c r="V246" i="3" s="1"/>
  <c r="W246" i="3" a="1"/>
  <c r="W246" i="3" s="1"/>
  <c r="I246" i="3" a="1"/>
  <c r="I246" i="3" s="1"/>
  <c r="J246" i="3" a="1"/>
  <c r="J246" i="3" s="1"/>
  <c r="D246" i="3" a="1"/>
  <c r="D246" i="3" s="1"/>
  <c r="H246" i="3" a="1"/>
  <c r="H246" i="3" s="1"/>
  <c r="F246" i="3" a="1"/>
  <c r="F246" i="3" s="1"/>
  <c r="G246" i="3" a="1"/>
  <c r="G246" i="3" s="1"/>
  <c r="C246" i="3" a="1"/>
  <c r="C246" i="3" s="1"/>
  <c r="K246" i="3" a="1"/>
  <c r="K246" i="3" s="1"/>
  <c r="Q246" i="3" a="1"/>
  <c r="Q246" i="3" s="1"/>
  <c r="E246" i="3" a="1"/>
  <c r="E246" i="3" s="1"/>
  <c r="M246" i="3" a="1"/>
  <c r="M246" i="3" s="1"/>
  <c r="R246" i="3" a="1"/>
  <c r="R246" i="3" s="1"/>
  <c r="L246" i="3" a="1"/>
  <c r="L246" i="3" s="1"/>
  <c r="S246" i="3" a="1"/>
  <c r="S246" i="3" s="1"/>
  <c r="T246" i="3" a="1"/>
  <c r="T246" i="3" s="1"/>
  <c r="O246" i="3" a="1"/>
  <c r="O246" i="3" s="1"/>
  <c r="P246" i="3" a="1"/>
  <c r="P246" i="3" s="1"/>
  <c r="U246" i="3" a="1"/>
  <c r="U246" i="3" s="1"/>
  <c r="N246" i="3" a="1"/>
  <c r="N246" i="3" s="1"/>
  <c r="B247" i="3"/>
  <c r="Y247" i="3" l="1" a="1"/>
  <c r="Y247" i="3" s="1"/>
  <c r="AD247" i="3" a="1"/>
  <c r="AD247" i="3" s="1"/>
  <c r="AB247" i="3" a="1"/>
  <c r="AB247" i="3" s="1"/>
  <c r="Z247" i="3" a="1"/>
  <c r="Z247" i="3" s="1"/>
  <c r="AA247" i="3" a="1"/>
  <c r="AA247" i="3" s="1"/>
  <c r="AC247" i="3" a="1"/>
  <c r="AC247" i="3" s="1"/>
  <c r="X247" i="3" a="1"/>
  <c r="X247" i="3" s="1"/>
  <c r="V247" i="3" a="1"/>
  <c r="V247" i="3" s="1"/>
  <c r="W247" i="3" a="1"/>
  <c r="W247" i="3" s="1"/>
  <c r="I247" i="3" a="1"/>
  <c r="I247" i="3" s="1"/>
  <c r="J247" i="3" a="1"/>
  <c r="J247" i="3" s="1"/>
  <c r="D247" i="3" a="1"/>
  <c r="D247" i="3" s="1"/>
  <c r="G247" i="3" a="1"/>
  <c r="G247" i="3" s="1"/>
  <c r="H247" i="3" a="1"/>
  <c r="H247" i="3" s="1"/>
  <c r="F247" i="3" a="1"/>
  <c r="F247" i="3" s="1"/>
  <c r="C247" i="3" a="1"/>
  <c r="C247" i="3" s="1"/>
  <c r="Q247" i="3" a="1"/>
  <c r="Q247" i="3" s="1"/>
  <c r="E247" i="3" a="1"/>
  <c r="E247" i="3" s="1"/>
  <c r="K247" i="3" a="1"/>
  <c r="K247" i="3" s="1"/>
  <c r="S247" i="3" a="1"/>
  <c r="S247" i="3" s="1"/>
  <c r="M247" i="3" a="1"/>
  <c r="M247" i="3" s="1"/>
  <c r="L247" i="3" a="1"/>
  <c r="L247" i="3" s="1"/>
  <c r="R247" i="3" a="1"/>
  <c r="R247" i="3" s="1"/>
  <c r="U247" i="3" a="1"/>
  <c r="U247" i="3" s="1"/>
  <c r="O247" i="3" a="1"/>
  <c r="O247" i="3" s="1"/>
  <c r="P247" i="3" a="1"/>
  <c r="P247" i="3" s="1"/>
  <c r="T247" i="3" a="1"/>
  <c r="T247" i="3" s="1"/>
  <c r="N247" i="3" a="1"/>
  <c r="N247" i="3" s="1"/>
  <c r="B248" i="3"/>
  <c r="Y248" i="3" l="1" a="1"/>
  <c r="Y248" i="3" s="1"/>
  <c r="AD248" i="3" a="1"/>
  <c r="AD248" i="3" s="1"/>
  <c r="Z248" i="3" a="1"/>
  <c r="Z248" i="3" s="1"/>
  <c r="AB248" i="3" a="1"/>
  <c r="AB248" i="3" s="1"/>
  <c r="AA248" i="3" a="1"/>
  <c r="AA248" i="3" s="1"/>
  <c r="AC248" i="3" a="1"/>
  <c r="AC248" i="3" s="1"/>
  <c r="X248" i="3" a="1"/>
  <c r="X248" i="3" s="1"/>
  <c r="V248" i="3" a="1"/>
  <c r="V248" i="3" s="1"/>
  <c r="W248" i="3" a="1"/>
  <c r="W248" i="3" s="1"/>
  <c r="I248" i="3" a="1"/>
  <c r="I248" i="3" s="1"/>
  <c r="J248" i="3" a="1"/>
  <c r="J248" i="3" s="1"/>
  <c r="D248" i="3" a="1"/>
  <c r="D248" i="3" s="1"/>
  <c r="H248" i="3" a="1"/>
  <c r="H248" i="3" s="1"/>
  <c r="F248" i="3" a="1"/>
  <c r="F248" i="3" s="1"/>
  <c r="G248" i="3" a="1"/>
  <c r="G248" i="3" s="1"/>
  <c r="C248" i="3" a="1"/>
  <c r="C248" i="3" s="1"/>
  <c r="K248" i="3" a="1"/>
  <c r="K248" i="3" s="1"/>
  <c r="Q248" i="3" a="1"/>
  <c r="Q248" i="3" s="1"/>
  <c r="E248" i="3" a="1"/>
  <c r="E248" i="3" s="1"/>
  <c r="R248" i="3" a="1"/>
  <c r="R248" i="3" s="1"/>
  <c r="M248" i="3" a="1"/>
  <c r="M248" i="3" s="1"/>
  <c r="S248" i="3" a="1"/>
  <c r="S248" i="3" s="1"/>
  <c r="O248" i="3" a="1"/>
  <c r="O248" i="3" s="1"/>
  <c r="L248" i="3" a="1"/>
  <c r="L248" i="3" s="1"/>
  <c r="U248" i="3" a="1"/>
  <c r="U248" i="3" s="1"/>
  <c r="T248" i="3" a="1"/>
  <c r="T248" i="3" s="1"/>
  <c r="P248" i="3" a="1"/>
  <c r="P248" i="3" s="1"/>
  <c r="N248" i="3" a="1"/>
  <c r="N248" i="3" s="1"/>
  <c r="B249" i="3"/>
  <c r="Y249" i="3" l="1" a="1"/>
  <c r="Y249" i="3" s="1"/>
  <c r="AD249" i="3" a="1"/>
  <c r="AD249" i="3" s="1"/>
  <c r="AB249" i="3" a="1"/>
  <c r="AB249" i="3" s="1"/>
  <c r="Z249" i="3" a="1"/>
  <c r="Z249" i="3" s="1"/>
  <c r="AA249" i="3" a="1"/>
  <c r="AA249" i="3" s="1"/>
  <c r="AC249" i="3" a="1"/>
  <c r="AC249" i="3" s="1"/>
  <c r="V249" i="3" a="1"/>
  <c r="V249" i="3" s="1"/>
  <c r="X249" i="3" a="1"/>
  <c r="X249" i="3" s="1"/>
  <c r="W249" i="3" a="1"/>
  <c r="W249" i="3" s="1"/>
  <c r="I249" i="3" a="1"/>
  <c r="I249" i="3" s="1"/>
  <c r="J249" i="3" a="1"/>
  <c r="J249" i="3" s="1"/>
  <c r="D249" i="3" a="1"/>
  <c r="D249" i="3" s="1"/>
  <c r="H249" i="3" a="1"/>
  <c r="H249" i="3" s="1"/>
  <c r="F249" i="3" a="1"/>
  <c r="F249" i="3" s="1"/>
  <c r="G249" i="3" a="1"/>
  <c r="G249" i="3" s="1"/>
  <c r="C249" i="3" a="1"/>
  <c r="C249" i="3" s="1"/>
  <c r="E249" i="3" a="1"/>
  <c r="E249" i="3" s="1"/>
  <c r="Q249" i="3" a="1"/>
  <c r="Q249" i="3" s="1"/>
  <c r="K249" i="3" a="1"/>
  <c r="K249" i="3" s="1"/>
  <c r="L249" i="3" a="1"/>
  <c r="L249" i="3" s="1"/>
  <c r="R249" i="3" a="1"/>
  <c r="R249" i="3" s="1"/>
  <c r="M249" i="3" a="1"/>
  <c r="M249" i="3" s="1"/>
  <c r="S249" i="3" a="1"/>
  <c r="S249" i="3" s="1"/>
  <c r="T249" i="3" a="1"/>
  <c r="T249" i="3" s="1"/>
  <c r="P249" i="3" a="1"/>
  <c r="P249" i="3" s="1"/>
  <c r="O249" i="3" a="1"/>
  <c r="O249" i="3" s="1"/>
  <c r="U249" i="3" a="1"/>
  <c r="U249" i="3" s="1"/>
  <c r="N249" i="3" a="1"/>
  <c r="N249" i="3" s="1"/>
  <c r="B250" i="3"/>
  <c r="Y250" i="3" l="1" a="1"/>
  <c r="Y250" i="3" s="1"/>
  <c r="AD250" i="3" a="1"/>
  <c r="AD250" i="3" s="1"/>
  <c r="Z250" i="3" a="1"/>
  <c r="Z250" i="3" s="1"/>
  <c r="AA250" i="3" a="1"/>
  <c r="AA250" i="3" s="1"/>
  <c r="AB250" i="3" a="1"/>
  <c r="AB250" i="3" s="1"/>
  <c r="AC250" i="3" a="1"/>
  <c r="AC250" i="3" s="1"/>
  <c r="V250" i="3" a="1"/>
  <c r="V250" i="3" s="1"/>
  <c r="X250" i="3" a="1"/>
  <c r="X250" i="3" s="1"/>
  <c r="W250" i="3" a="1"/>
  <c r="W250" i="3" s="1"/>
  <c r="I250" i="3" a="1"/>
  <c r="I250" i="3" s="1"/>
  <c r="J250" i="3" a="1"/>
  <c r="J250" i="3" s="1"/>
  <c r="D250" i="3" a="1"/>
  <c r="D250" i="3" s="1"/>
  <c r="H250" i="3" a="1"/>
  <c r="H250" i="3" s="1"/>
  <c r="F250" i="3" a="1"/>
  <c r="F250" i="3" s="1"/>
  <c r="G250" i="3" a="1"/>
  <c r="G250" i="3" s="1"/>
  <c r="C250" i="3" a="1"/>
  <c r="C250" i="3" s="1"/>
  <c r="Q250" i="3" a="1"/>
  <c r="Q250" i="3" s="1"/>
  <c r="K250" i="3" a="1"/>
  <c r="K250" i="3" s="1"/>
  <c r="E250" i="3" a="1"/>
  <c r="E250" i="3" s="1"/>
  <c r="S250" i="3" a="1"/>
  <c r="S250" i="3" s="1"/>
  <c r="T250" i="3" a="1"/>
  <c r="T250" i="3" s="1"/>
  <c r="L250" i="3" a="1"/>
  <c r="L250" i="3" s="1"/>
  <c r="M250" i="3" a="1"/>
  <c r="M250" i="3" s="1"/>
  <c r="R250" i="3" a="1"/>
  <c r="R250" i="3" s="1"/>
  <c r="P250" i="3" a="1"/>
  <c r="P250" i="3" s="1"/>
  <c r="O250" i="3" a="1"/>
  <c r="O250" i="3" s="1"/>
  <c r="U250" i="3" a="1"/>
  <c r="U250" i="3" s="1"/>
  <c r="N250" i="3" a="1"/>
  <c r="N250" i="3" s="1"/>
  <c r="B251" i="3"/>
  <c r="AD251" i="3" l="1" a="1"/>
  <c r="AD251" i="3" s="1"/>
  <c r="Y251" i="3" a="1"/>
  <c r="Y251" i="3" s="1"/>
  <c r="Z251" i="3" a="1"/>
  <c r="Z251" i="3" s="1"/>
  <c r="AB251" i="3" a="1"/>
  <c r="AB251" i="3" s="1"/>
  <c r="AC251" i="3" a="1"/>
  <c r="AC251" i="3" s="1"/>
  <c r="AA251" i="3" a="1"/>
  <c r="AA251" i="3" s="1"/>
  <c r="V251" i="3" a="1"/>
  <c r="V251" i="3" s="1"/>
  <c r="X251" i="3" a="1"/>
  <c r="X251" i="3" s="1"/>
  <c r="W251" i="3" a="1"/>
  <c r="W251" i="3" s="1"/>
  <c r="I251" i="3" a="1"/>
  <c r="I251" i="3" s="1"/>
  <c r="J251" i="3" a="1"/>
  <c r="J251" i="3" s="1"/>
  <c r="D251" i="3" a="1"/>
  <c r="D251" i="3" s="1"/>
  <c r="H251" i="3" a="1"/>
  <c r="H251" i="3" s="1"/>
  <c r="G251" i="3" a="1"/>
  <c r="G251" i="3" s="1"/>
  <c r="F251" i="3" a="1"/>
  <c r="F251" i="3" s="1"/>
  <c r="C251" i="3" a="1"/>
  <c r="C251" i="3" s="1"/>
  <c r="E251" i="3" a="1"/>
  <c r="E251" i="3" s="1"/>
  <c r="Q251" i="3" a="1"/>
  <c r="Q251" i="3" s="1"/>
  <c r="K251" i="3" a="1"/>
  <c r="K251" i="3" s="1"/>
  <c r="L251" i="3" a="1"/>
  <c r="L251" i="3" s="1"/>
  <c r="S251" i="3" a="1"/>
  <c r="S251" i="3" s="1"/>
  <c r="T251" i="3" a="1"/>
  <c r="T251" i="3" s="1"/>
  <c r="M251" i="3" a="1"/>
  <c r="M251" i="3" s="1"/>
  <c r="R251" i="3" a="1"/>
  <c r="R251" i="3" s="1"/>
  <c r="O251" i="3" a="1"/>
  <c r="O251" i="3" s="1"/>
  <c r="U251" i="3" a="1"/>
  <c r="U251" i="3" s="1"/>
  <c r="P251" i="3" a="1"/>
  <c r="P251" i="3" s="1"/>
  <c r="N251" i="3" a="1"/>
  <c r="N251" i="3" s="1"/>
  <c r="B252" i="3"/>
  <c r="AD252" i="3" l="1" a="1"/>
  <c r="AD252" i="3" s="1"/>
  <c r="Y252" i="3" a="1"/>
  <c r="Y252" i="3" s="1"/>
  <c r="Z252" i="3" a="1"/>
  <c r="Z252" i="3" s="1"/>
  <c r="AC252" i="3" a="1"/>
  <c r="AC252" i="3" s="1"/>
  <c r="AA252" i="3" a="1"/>
  <c r="AA252" i="3" s="1"/>
  <c r="AB252" i="3" a="1"/>
  <c r="AB252" i="3" s="1"/>
  <c r="V252" i="3" a="1"/>
  <c r="V252" i="3" s="1"/>
  <c r="X252" i="3" a="1"/>
  <c r="X252" i="3" s="1"/>
  <c r="W252" i="3" a="1"/>
  <c r="W252" i="3" s="1"/>
  <c r="I252" i="3" a="1"/>
  <c r="I252" i="3" s="1"/>
  <c r="J252" i="3" a="1"/>
  <c r="J252" i="3" s="1"/>
  <c r="D252" i="3" a="1"/>
  <c r="D252" i="3" s="1"/>
  <c r="F252" i="3" a="1"/>
  <c r="F252" i="3" s="1"/>
  <c r="G252" i="3" a="1"/>
  <c r="G252" i="3" s="1"/>
  <c r="H252" i="3" a="1"/>
  <c r="H252" i="3" s="1"/>
  <c r="C252" i="3" a="1"/>
  <c r="C252" i="3" s="1"/>
  <c r="K252" i="3" a="1"/>
  <c r="K252" i="3" s="1"/>
  <c r="Q252" i="3" a="1"/>
  <c r="Q252" i="3" s="1"/>
  <c r="E252" i="3" a="1"/>
  <c r="E252" i="3" s="1"/>
  <c r="R252" i="3" a="1"/>
  <c r="R252" i="3" s="1"/>
  <c r="L252" i="3" a="1"/>
  <c r="L252" i="3" s="1"/>
  <c r="S252" i="3" a="1"/>
  <c r="S252" i="3" s="1"/>
  <c r="M252" i="3" a="1"/>
  <c r="M252" i="3" s="1"/>
  <c r="O252" i="3" a="1"/>
  <c r="O252" i="3" s="1"/>
  <c r="U252" i="3" a="1"/>
  <c r="U252" i="3" s="1"/>
  <c r="P252" i="3" a="1"/>
  <c r="P252" i="3" s="1"/>
  <c r="T252" i="3" a="1"/>
  <c r="T252" i="3" s="1"/>
  <c r="N252" i="3" a="1"/>
  <c r="N252" i="3" s="1"/>
  <c r="B253" i="3"/>
  <c r="Y253" i="3" l="1" a="1"/>
  <c r="Y253" i="3" s="1"/>
  <c r="AD253" i="3" a="1"/>
  <c r="AD253" i="3" s="1"/>
  <c r="Z253" i="3" a="1"/>
  <c r="Z253" i="3" s="1"/>
  <c r="AA253" i="3" a="1"/>
  <c r="AA253" i="3" s="1"/>
  <c r="AC253" i="3" a="1"/>
  <c r="AC253" i="3" s="1"/>
  <c r="AB253" i="3" a="1"/>
  <c r="AB253" i="3" s="1"/>
  <c r="X253" i="3" a="1"/>
  <c r="X253" i="3" s="1"/>
  <c r="V253" i="3" a="1"/>
  <c r="V253" i="3" s="1"/>
  <c r="W253" i="3" a="1"/>
  <c r="W253" i="3" s="1"/>
  <c r="I253" i="3" a="1"/>
  <c r="I253" i="3" s="1"/>
  <c r="J253" i="3" a="1"/>
  <c r="J253" i="3" s="1"/>
  <c r="D253" i="3" a="1"/>
  <c r="D253" i="3" s="1"/>
  <c r="F253" i="3" a="1"/>
  <c r="F253" i="3" s="1"/>
  <c r="H253" i="3" a="1"/>
  <c r="H253" i="3" s="1"/>
  <c r="G253" i="3" a="1"/>
  <c r="G253" i="3" s="1"/>
  <c r="C253" i="3" a="1"/>
  <c r="C253" i="3" s="1"/>
  <c r="E253" i="3" a="1"/>
  <c r="E253" i="3" s="1"/>
  <c r="Q253" i="3" a="1"/>
  <c r="Q253" i="3" s="1"/>
  <c r="K253" i="3" a="1"/>
  <c r="K253" i="3" s="1"/>
  <c r="L253" i="3" a="1"/>
  <c r="L253" i="3" s="1"/>
  <c r="S253" i="3" a="1"/>
  <c r="S253" i="3" s="1"/>
  <c r="M253" i="3" a="1"/>
  <c r="M253" i="3" s="1"/>
  <c r="R253" i="3" a="1"/>
  <c r="R253" i="3" s="1"/>
  <c r="U253" i="3" a="1"/>
  <c r="U253" i="3" s="1"/>
  <c r="P253" i="3" a="1"/>
  <c r="P253" i="3" s="1"/>
  <c r="O253" i="3" a="1"/>
  <c r="O253" i="3" s="1"/>
  <c r="T253" i="3" a="1"/>
  <c r="T253" i="3" s="1"/>
  <c r="N253" i="3" a="1"/>
  <c r="N253" i="3" s="1"/>
  <c r="B254" i="3"/>
  <c r="Y254" i="3" l="1" a="1"/>
  <c r="Y254" i="3" s="1"/>
  <c r="AD254" i="3" a="1"/>
  <c r="AD254" i="3" s="1"/>
  <c r="AB254" i="3" a="1"/>
  <c r="AB254" i="3" s="1"/>
  <c r="Z254" i="3" a="1"/>
  <c r="Z254" i="3" s="1"/>
  <c r="AA254" i="3" a="1"/>
  <c r="AA254" i="3" s="1"/>
  <c r="AC254" i="3" a="1"/>
  <c r="AC254" i="3" s="1"/>
  <c r="X254" i="3" a="1"/>
  <c r="X254" i="3" s="1"/>
  <c r="V254" i="3" a="1"/>
  <c r="V254" i="3" s="1"/>
  <c r="W254" i="3" a="1"/>
  <c r="W254" i="3" s="1"/>
  <c r="I254" i="3" a="1"/>
  <c r="I254" i="3" s="1"/>
  <c r="J254" i="3" a="1"/>
  <c r="J254" i="3" s="1"/>
  <c r="D254" i="3" a="1"/>
  <c r="D254" i="3" s="1"/>
  <c r="F254" i="3" a="1"/>
  <c r="F254" i="3" s="1"/>
  <c r="H254" i="3" a="1"/>
  <c r="H254" i="3" s="1"/>
  <c r="G254" i="3" a="1"/>
  <c r="G254" i="3" s="1"/>
  <c r="C254" i="3" a="1"/>
  <c r="C254" i="3" s="1"/>
  <c r="K254" i="3" a="1"/>
  <c r="K254" i="3" s="1"/>
  <c r="E254" i="3" a="1"/>
  <c r="E254" i="3" s="1"/>
  <c r="Q254" i="3" a="1"/>
  <c r="Q254" i="3" s="1"/>
  <c r="L254" i="3" a="1"/>
  <c r="L254" i="3" s="1"/>
  <c r="R254" i="3" a="1"/>
  <c r="R254" i="3" s="1"/>
  <c r="M254" i="3" a="1"/>
  <c r="M254" i="3" s="1"/>
  <c r="O254" i="3" a="1"/>
  <c r="O254" i="3" s="1"/>
  <c r="U254" i="3" a="1"/>
  <c r="U254" i="3" s="1"/>
  <c r="S254" i="3" a="1"/>
  <c r="S254" i="3" s="1"/>
  <c r="T254" i="3" a="1"/>
  <c r="T254" i="3" s="1"/>
  <c r="P254" i="3" a="1"/>
  <c r="P254" i="3" s="1"/>
  <c r="N254" i="3" a="1"/>
  <c r="N254" i="3" s="1"/>
  <c r="B255" i="3"/>
  <c r="AD255" i="3" l="1" a="1"/>
  <c r="AD255" i="3" s="1"/>
  <c r="Y255" i="3" a="1"/>
  <c r="Y255" i="3" s="1"/>
  <c r="Z255" i="3" a="1"/>
  <c r="Z255" i="3" s="1"/>
  <c r="AB255" i="3" a="1"/>
  <c r="AB255" i="3" s="1"/>
  <c r="AA255" i="3" a="1"/>
  <c r="AA255" i="3" s="1"/>
  <c r="AC255" i="3" a="1"/>
  <c r="AC255" i="3" s="1"/>
  <c r="X255" i="3" a="1"/>
  <c r="X255" i="3" s="1"/>
  <c r="V255" i="3" a="1"/>
  <c r="V255" i="3" s="1"/>
  <c r="W255" i="3" a="1"/>
  <c r="W255" i="3" s="1"/>
  <c r="I255" i="3" a="1"/>
  <c r="I255" i="3" s="1"/>
  <c r="J255" i="3" a="1"/>
  <c r="J255" i="3" s="1"/>
  <c r="D255" i="3" a="1"/>
  <c r="D255" i="3" s="1"/>
  <c r="F255" i="3" a="1"/>
  <c r="F255" i="3" s="1"/>
  <c r="H255" i="3" a="1"/>
  <c r="H255" i="3" s="1"/>
  <c r="G255" i="3" a="1"/>
  <c r="G255" i="3" s="1"/>
  <c r="C255" i="3" a="1"/>
  <c r="C255" i="3" s="1"/>
  <c r="K255" i="3" a="1"/>
  <c r="K255" i="3" s="1"/>
  <c r="E255" i="3" a="1"/>
  <c r="E255" i="3" s="1"/>
  <c r="Q255" i="3" a="1"/>
  <c r="Q255" i="3" s="1"/>
  <c r="T255" i="3" a="1"/>
  <c r="T255" i="3" s="1"/>
  <c r="L255" i="3" a="1"/>
  <c r="L255" i="3" s="1"/>
  <c r="M255" i="3" a="1"/>
  <c r="M255" i="3" s="1"/>
  <c r="R255" i="3" a="1"/>
  <c r="R255" i="3" s="1"/>
  <c r="S255" i="3" a="1"/>
  <c r="S255" i="3" s="1"/>
  <c r="O255" i="3" a="1"/>
  <c r="O255" i="3" s="1"/>
  <c r="U255" i="3" a="1"/>
  <c r="U255" i="3" s="1"/>
  <c r="P255" i="3" a="1"/>
  <c r="P255" i="3" s="1"/>
  <c r="N255" i="3" a="1"/>
  <c r="N255" i="3" s="1"/>
  <c r="B256" i="3"/>
  <c r="Y256" i="3" l="1" a="1"/>
  <c r="Y256" i="3" s="1"/>
  <c r="Z256" i="3" a="1"/>
  <c r="Z256" i="3" s="1"/>
  <c r="AD256" i="3" a="1"/>
  <c r="AD256" i="3" s="1"/>
  <c r="AB256" i="3" a="1"/>
  <c r="AB256" i="3" s="1"/>
  <c r="AA256" i="3" a="1"/>
  <c r="AA256" i="3" s="1"/>
  <c r="AC256" i="3" a="1"/>
  <c r="AC256" i="3" s="1"/>
  <c r="X256" i="3" a="1"/>
  <c r="X256" i="3" s="1"/>
  <c r="V256" i="3" a="1"/>
  <c r="V256" i="3" s="1"/>
  <c r="W256" i="3" a="1"/>
  <c r="W256" i="3" s="1"/>
  <c r="I256" i="3" a="1"/>
  <c r="I256" i="3" s="1"/>
  <c r="J256" i="3" a="1"/>
  <c r="J256" i="3" s="1"/>
  <c r="D256" i="3" a="1"/>
  <c r="D256" i="3" s="1"/>
  <c r="H256" i="3" a="1"/>
  <c r="H256" i="3" s="1"/>
  <c r="F256" i="3" a="1"/>
  <c r="F256" i="3" s="1"/>
  <c r="G256" i="3" a="1"/>
  <c r="G256" i="3" s="1"/>
  <c r="C256" i="3" a="1"/>
  <c r="C256" i="3" s="1"/>
  <c r="Q256" i="3" a="1"/>
  <c r="Q256" i="3" s="1"/>
  <c r="K256" i="3" a="1"/>
  <c r="K256" i="3" s="1"/>
  <c r="E256" i="3" a="1"/>
  <c r="E256" i="3" s="1"/>
  <c r="R256" i="3" a="1"/>
  <c r="R256" i="3" s="1"/>
  <c r="L256" i="3" a="1"/>
  <c r="L256" i="3" s="1"/>
  <c r="M256" i="3" a="1"/>
  <c r="M256" i="3" s="1"/>
  <c r="T256" i="3" a="1"/>
  <c r="T256" i="3" s="1"/>
  <c r="S256" i="3" a="1"/>
  <c r="S256" i="3" s="1"/>
  <c r="O256" i="3" a="1"/>
  <c r="O256" i="3" s="1"/>
  <c r="U256" i="3" a="1"/>
  <c r="U256" i="3" s="1"/>
  <c r="P256" i="3" a="1"/>
  <c r="P256" i="3" s="1"/>
  <c r="N256" i="3" a="1"/>
  <c r="N256" i="3" s="1"/>
  <c r="B257" i="3"/>
  <c r="Y257" i="3" l="1" a="1"/>
  <c r="Y257" i="3" s="1"/>
  <c r="AD257" i="3" a="1"/>
  <c r="AD257" i="3" s="1"/>
  <c r="Z257" i="3" a="1"/>
  <c r="Z257" i="3" s="1"/>
  <c r="AB257" i="3" a="1"/>
  <c r="AB257" i="3" s="1"/>
  <c r="AC257" i="3" a="1"/>
  <c r="AC257" i="3" s="1"/>
  <c r="AA257" i="3" a="1"/>
  <c r="AA257" i="3" s="1"/>
  <c r="V257" i="3" a="1"/>
  <c r="V257" i="3" s="1"/>
  <c r="X257" i="3" a="1"/>
  <c r="X257" i="3" s="1"/>
  <c r="W257" i="3" a="1"/>
  <c r="W257" i="3" s="1"/>
  <c r="I257" i="3" a="1"/>
  <c r="I257" i="3" s="1"/>
  <c r="J257" i="3" a="1"/>
  <c r="J257" i="3" s="1"/>
  <c r="D257" i="3" a="1"/>
  <c r="D257" i="3" s="1"/>
  <c r="H257" i="3" a="1"/>
  <c r="H257" i="3" s="1"/>
  <c r="F257" i="3" a="1"/>
  <c r="F257" i="3" s="1"/>
  <c r="G257" i="3" a="1"/>
  <c r="G257" i="3" s="1"/>
  <c r="C257" i="3" a="1"/>
  <c r="C257" i="3" s="1"/>
  <c r="Q257" i="3" a="1"/>
  <c r="Q257" i="3" s="1"/>
  <c r="K257" i="3" a="1"/>
  <c r="K257" i="3" s="1"/>
  <c r="E257" i="3" a="1"/>
  <c r="E257" i="3" s="1"/>
  <c r="T257" i="3" a="1"/>
  <c r="T257" i="3" s="1"/>
  <c r="L257" i="3" a="1"/>
  <c r="L257" i="3" s="1"/>
  <c r="R257" i="3" a="1"/>
  <c r="R257" i="3" s="1"/>
  <c r="M257" i="3" a="1"/>
  <c r="M257" i="3" s="1"/>
  <c r="O257" i="3" a="1"/>
  <c r="O257" i="3" s="1"/>
  <c r="S257" i="3" a="1"/>
  <c r="S257" i="3" s="1"/>
  <c r="U257" i="3" a="1"/>
  <c r="U257" i="3" s="1"/>
  <c r="P257" i="3" a="1"/>
  <c r="P257" i="3" s="1"/>
  <c r="N257" i="3" a="1"/>
  <c r="N257" i="3" s="1"/>
  <c r="B258" i="3"/>
  <c r="AD258" i="3" l="1" a="1"/>
  <c r="AD258" i="3" s="1"/>
  <c r="Y258" i="3" a="1"/>
  <c r="Y258" i="3" s="1"/>
  <c r="AB258" i="3" a="1"/>
  <c r="AB258" i="3" s="1"/>
  <c r="Z258" i="3" a="1"/>
  <c r="Z258" i="3" s="1"/>
  <c r="AA258" i="3" a="1"/>
  <c r="AA258" i="3" s="1"/>
  <c r="AC258" i="3" a="1"/>
  <c r="AC258" i="3" s="1"/>
  <c r="X258" i="3" a="1"/>
  <c r="X258" i="3" s="1"/>
  <c r="V258" i="3" a="1"/>
  <c r="V258" i="3" s="1"/>
  <c r="W258" i="3" a="1"/>
  <c r="W258" i="3" s="1"/>
  <c r="I258" i="3" a="1"/>
  <c r="I258" i="3" s="1"/>
  <c r="J258" i="3" a="1"/>
  <c r="J258" i="3" s="1"/>
  <c r="D258" i="3" a="1"/>
  <c r="D258" i="3" s="1"/>
  <c r="H258" i="3" a="1"/>
  <c r="H258" i="3" s="1"/>
  <c r="G258" i="3" a="1"/>
  <c r="G258" i="3" s="1"/>
  <c r="F258" i="3" a="1"/>
  <c r="F258" i="3" s="1"/>
  <c r="C258" i="3" a="1"/>
  <c r="C258" i="3" s="1"/>
  <c r="K258" i="3" a="1"/>
  <c r="K258" i="3" s="1"/>
  <c r="Q258" i="3" a="1"/>
  <c r="Q258" i="3" s="1"/>
  <c r="E258" i="3" a="1"/>
  <c r="E258" i="3" s="1"/>
  <c r="R258" i="3" a="1"/>
  <c r="R258" i="3" s="1"/>
  <c r="L258" i="3" a="1"/>
  <c r="L258" i="3" s="1"/>
  <c r="S258" i="3" a="1"/>
  <c r="S258" i="3" s="1"/>
  <c r="T258" i="3" a="1"/>
  <c r="T258" i="3" s="1"/>
  <c r="U258" i="3" a="1"/>
  <c r="U258" i="3" s="1"/>
  <c r="O258" i="3" a="1"/>
  <c r="O258" i="3" s="1"/>
  <c r="P258" i="3" a="1"/>
  <c r="P258" i="3" s="1"/>
  <c r="M258" i="3" a="1"/>
  <c r="M258" i="3" s="1"/>
  <c r="N258" i="3" a="1"/>
  <c r="N258" i="3" s="1"/>
  <c r="B259" i="3"/>
  <c r="Y259" i="3" l="1" a="1"/>
  <c r="Y259" i="3" s="1"/>
  <c r="AD259" i="3" a="1"/>
  <c r="AD259" i="3" s="1"/>
  <c r="AB259" i="3" a="1"/>
  <c r="AB259" i="3" s="1"/>
  <c r="Z259" i="3" a="1"/>
  <c r="Z259" i="3" s="1"/>
  <c r="AC259" i="3" a="1"/>
  <c r="AC259" i="3" s="1"/>
  <c r="AA259" i="3" a="1"/>
  <c r="AA259" i="3" s="1"/>
  <c r="X259" i="3" a="1"/>
  <c r="X259" i="3" s="1"/>
  <c r="V259" i="3" a="1"/>
  <c r="V259" i="3" s="1"/>
  <c r="W259" i="3" a="1"/>
  <c r="W259" i="3" s="1"/>
  <c r="I259" i="3" a="1"/>
  <c r="I259" i="3" s="1"/>
  <c r="J259" i="3" a="1"/>
  <c r="J259" i="3" s="1"/>
  <c r="D259" i="3" a="1"/>
  <c r="D259" i="3" s="1"/>
  <c r="H259" i="3" a="1"/>
  <c r="H259" i="3" s="1"/>
  <c r="F259" i="3" a="1"/>
  <c r="F259" i="3" s="1"/>
  <c r="G259" i="3" a="1"/>
  <c r="G259" i="3" s="1"/>
  <c r="C259" i="3" a="1"/>
  <c r="C259" i="3" s="1"/>
  <c r="K259" i="3" a="1"/>
  <c r="K259" i="3" s="1"/>
  <c r="Q259" i="3" a="1"/>
  <c r="Q259" i="3" s="1"/>
  <c r="E259" i="3" a="1"/>
  <c r="E259" i="3" s="1"/>
  <c r="R259" i="3" a="1"/>
  <c r="R259" i="3" s="1"/>
  <c r="M259" i="3" a="1"/>
  <c r="M259" i="3" s="1"/>
  <c r="S259" i="3" a="1"/>
  <c r="S259" i="3" s="1"/>
  <c r="L259" i="3" a="1"/>
  <c r="L259" i="3" s="1"/>
  <c r="U259" i="3" a="1"/>
  <c r="U259" i="3" s="1"/>
  <c r="P259" i="3" a="1"/>
  <c r="P259" i="3" s="1"/>
  <c r="O259" i="3" a="1"/>
  <c r="O259" i="3" s="1"/>
  <c r="T259" i="3" a="1"/>
  <c r="T259" i="3" s="1"/>
  <c r="N259" i="3" a="1"/>
  <c r="N259" i="3" s="1"/>
  <c r="B260" i="3"/>
  <c r="Y260" i="3" l="1" a="1"/>
  <c r="Y260" i="3" s="1"/>
  <c r="Z260" i="3" a="1"/>
  <c r="Z260" i="3" s="1"/>
  <c r="AD260" i="3" a="1"/>
  <c r="AD260" i="3" s="1"/>
  <c r="AA260" i="3" a="1"/>
  <c r="AA260" i="3" s="1"/>
  <c r="AC260" i="3" a="1"/>
  <c r="AC260" i="3" s="1"/>
  <c r="AB260" i="3" a="1"/>
  <c r="AB260" i="3" s="1"/>
  <c r="X260" i="3" a="1"/>
  <c r="X260" i="3" s="1"/>
  <c r="V260" i="3" a="1"/>
  <c r="V260" i="3" s="1"/>
  <c r="W260" i="3" a="1"/>
  <c r="W260" i="3" s="1"/>
  <c r="I260" i="3" a="1"/>
  <c r="I260" i="3" s="1"/>
  <c r="J260" i="3" a="1"/>
  <c r="J260" i="3" s="1"/>
  <c r="D260" i="3" a="1"/>
  <c r="D260" i="3" s="1"/>
  <c r="G260" i="3" a="1"/>
  <c r="G260" i="3" s="1"/>
  <c r="F260" i="3" a="1"/>
  <c r="F260" i="3" s="1"/>
  <c r="H260" i="3" a="1"/>
  <c r="H260" i="3" s="1"/>
  <c r="C260" i="3" a="1"/>
  <c r="C260" i="3" s="1"/>
  <c r="E260" i="3" a="1"/>
  <c r="E260" i="3" s="1"/>
  <c r="Q260" i="3" a="1"/>
  <c r="Q260" i="3" s="1"/>
  <c r="K260" i="3" a="1"/>
  <c r="K260" i="3" s="1"/>
  <c r="L260" i="3" a="1"/>
  <c r="L260" i="3" s="1"/>
  <c r="M260" i="3" a="1"/>
  <c r="M260" i="3" s="1"/>
  <c r="R260" i="3" a="1"/>
  <c r="R260" i="3" s="1"/>
  <c r="S260" i="3" a="1"/>
  <c r="S260" i="3" s="1"/>
  <c r="P260" i="3" a="1"/>
  <c r="P260" i="3" s="1"/>
  <c r="O260" i="3" a="1"/>
  <c r="O260" i="3" s="1"/>
  <c r="T260" i="3" a="1"/>
  <c r="T260" i="3" s="1"/>
  <c r="U260" i="3" a="1"/>
  <c r="U260" i="3" s="1"/>
  <c r="N260" i="3" a="1"/>
  <c r="N260" i="3" s="1"/>
  <c r="B261" i="3"/>
  <c r="Y261" i="3" l="1" a="1"/>
  <c r="Y261" i="3" s="1"/>
  <c r="Z261" i="3" a="1"/>
  <c r="Z261" i="3" s="1"/>
  <c r="AD261" i="3" a="1"/>
  <c r="AD261" i="3" s="1"/>
  <c r="AC261" i="3" a="1"/>
  <c r="AC261" i="3" s="1"/>
  <c r="AB261" i="3" a="1"/>
  <c r="AB261" i="3" s="1"/>
  <c r="AA261" i="3" a="1"/>
  <c r="AA261" i="3" s="1"/>
  <c r="V261" i="3" a="1"/>
  <c r="V261" i="3" s="1"/>
  <c r="X261" i="3" a="1"/>
  <c r="X261" i="3" s="1"/>
  <c r="W261" i="3" a="1"/>
  <c r="W261" i="3" s="1"/>
  <c r="I261" i="3" a="1"/>
  <c r="I261" i="3" s="1"/>
  <c r="J261" i="3" a="1"/>
  <c r="J261" i="3" s="1"/>
  <c r="D261" i="3" a="1"/>
  <c r="D261" i="3" s="1"/>
  <c r="H261" i="3" a="1"/>
  <c r="H261" i="3" s="1"/>
  <c r="F261" i="3" a="1"/>
  <c r="F261" i="3" s="1"/>
  <c r="G261" i="3" a="1"/>
  <c r="G261" i="3" s="1"/>
  <c r="C261" i="3" a="1"/>
  <c r="C261" i="3" s="1"/>
  <c r="Q261" i="3" a="1"/>
  <c r="Q261" i="3" s="1"/>
  <c r="K261" i="3" a="1"/>
  <c r="K261" i="3" s="1"/>
  <c r="E261" i="3" a="1"/>
  <c r="E261" i="3" s="1"/>
  <c r="T261" i="3" a="1"/>
  <c r="T261" i="3" s="1"/>
  <c r="L261" i="3" a="1"/>
  <c r="L261" i="3" s="1"/>
  <c r="M261" i="3" a="1"/>
  <c r="M261" i="3" s="1"/>
  <c r="R261" i="3" a="1"/>
  <c r="R261" i="3" s="1"/>
  <c r="S261" i="3" a="1"/>
  <c r="S261" i="3" s="1"/>
  <c r="P261" i="3" a="1"/>
  <c r="P261" i="3" s="1"/>
  <c r="O261" i="3" a="1"/>
  <c r="O261" i="3" s="1"/>
  <c r="U261" i="3" a="1"/>
  <c r="U261" i="3" s="1"/>
  <c r="N261" i="3" a="1"/>
  <c r="N261" i="3" s="1"/>
  <c r="B262" i="3"/>
  <c r="AD262" i="3" l="1" a="1"/>
  <c r="AD262" i="3" s="1"/>
  <c r="Y262" i="3" a="1"/>
  <c r="Y262" i="3" s="1"/>
  <c r="Z262" i="3" a="1"/>
  <c r="Z262" i="3" s="1"/>
  <c r="AB262" i="3" a="1"/>
  <c r="AB262" i="3" s="1"/>
  <c r="AA262" i="3" a="1"/>
  <c r="AA262" i="3" s="1"/>
  <c r="AC262" i="3" a="1"/>
  <c r="AC262" i="3" s="1"/>
  <c r="V262" i="3" a="1"/>
  <c r="V262" i="3" s="1"/>
  <c r="X262" i="3" a="1"/>
  <c r="X262" i="3" s="1"/>
  <c r="W262" i="3" a="1"/>
  <c r="W262" i="3" s="1"/>
  <c r="I262" i="3" a="1"/>
  <c r="I262" i="3" s="1"/>
  <c r="J262" i="3" a="1"/>
  <c r="J262" i="3" s="1"/>
  <c r="D262" i="3" a="1"/>
  <c r="D262" i="3" s="1"/>
  <c r="H262" i="3" a="1"/>
  <c r="H262" i="3" s="1"/>
  <c r="G262" i="3" a="1"/>
  <c r="G262" i="3" s="1"/>
  <c r="F262" i="3" a="1"/>
  <c r="F262" i="3" s="1"/>
  <c r="C262" i="3" a="1"/>
  <c r="C262" i="3" s="1"/>
  <c r="E262" i="3" a="1"/>
  <c r="E262" i="3" s="1"/>
  <c r="Q262" i="3" a="1"/>
  <c r="Q262" i="3" s="1"/>
  <c r="K262" i="3" a="1"/>
  <c r="K262" i="3" s="1"/>
  <c r="S262" i="3" a="1"/>
  <c r="S262" i="3" s="1"/>
  <c r="T262" i="3" a="1"/>
  <c r="T262" i="3" s="1"/>
  <c r="L262" i="3" a="1"/>
  <c r="L262" i="3" s="1"/>
  <c r="M262" i="3" a="1"/>
  <c r="M262" i="3" s="1"/>
  <c r="P262" i="3" a="1"/>
  <c r="P262" i="3" s="1"/>
  <c r="R262" i="3" a="1"/>
  <c r="R262" i="3" s="1"/>
  <c r="U262" i="3" a="1"/>
  <c r="U262" i="3" s="1"/>
  <c r="O262" i="3" a="1"/>
  <c r="O262" i="3" s="1"/>
  <c r="N262" i="3" a="1"/>
  <c r="N262" i="3" s="1"/>
  <c r="B263" i="3"/>
  <c r="AD263" i="3" l="1" a="1"/>
  <c r="AD263" i="3" s="1"/>
  <c r="Y263" i="3" a="1"/>
  <c r="Y263" i="3" s="1"/>
  <c r="Z263" i="3" a="1"/>
  <c r="Z263" i="3" s="1"/>
  <c r="AA263" i="3" a="1"/>
  <c r="AA263" i="3" s="1"/>
  <c r="AB263" i="3" a="1"/>
  <c r="AB263" i="3" s="1"/>
  <c r="AC263" i="3" a="1"/>
  <c r="AC263" i="3" s="1"/>
  <c r="X263" i="3" a="1"/>
  <c r="X263" i="3" s="1"/>
  <c r="V263" i="3" a="1"/>
  <c r="V263" i="3" s="1"/>
  <c r="W263" i="3" a="1"/>
  <c r="W263" i="3" s="1"/>
  <c r="I263" i="3" a="1"/>
  <c r="I263" i="3" s="1"/>
  <c r="J263" i="3" a="1"/>
  <c r="J263" i="3" s="1"/>
  <c r="D263" i="3" a="1"/>
  <c r="D263" i="3" s="1"/>
  <c r="H263" i="3" a="1"/>
  <c r="H263" i="3" s="1"/>
  <c r="F263" i="3" a="1"/>
  <c r="F263" i="3" s="1"/>
  <c r="G263" i="3" a="1"/>
  <c r="G263" i="3" s="1"/>
  <c r="C263" i="3" a="1"/>
  <c r="C263" i="3" s="1"/>
  <c r="K263" i="3" a="1"/>
  <c r="K263" i="3" s="1"/>
  <c r="Q263" i="3" a="1"/>
  <c r="Q263" i="3" s="1"/>
  <c r="E263" i="3" a="1"/>
  <c r="E263" i="3" s="1"/>
  <c r="S263" i="3" a="1"/>
  <c r="S263" i="3" s="1"/>
  <c r="M263" i="3" a="1"/>
  <c r="M263" i="3" s="1"/>
  <c r="R263" i="3" a="1"/>
  <c r="R263" i="3" s="1"/>
  <c r="L263" i="3" a="1"/>
  <c r="L263" i="3" s="1"/>
  <c r="T263" i="3" a="1"/>
  <c r="T263" i="3" s="1"/>
  <c r="U263" i="3" a="1"/>
  <c r="U263" i="3" s="1"/>
  <c r="O263" i="3" a="1"/>
  <c r="O263" i="3" s="1"/>
  <c r="P263" i="3" a="1"/>
  <c r="P263" i="3" s="1"/>
  <c r="N263" i="3" a="1"/>
  <c r="N263" i="3" s="1"/>
  <c r="B264" i="3"/>
  <c r="AD264" i="3" l="1" a="1"/>
  <c r="AD264" i="3" s="1"/>
  <c r="Y264" i="3" a="1"/>
  <c r="Y264" i="3" s="1"/>
  <c r="Z264" i="3" a="1"/>
  <c r="Z264" i="3" s="1"/>
  <c r="AB264" i="3" a="1"/>
  <c r="AB264" i="3" s="1"/>
  <c r="AA264" i="3" a="1"/>
  <c r="AA264" i="3" s="1"/>
  <c r="AC264" i="3" a="1"/>
  <c r="AC264" i="3" s="1"/>
  <c r="X264" i="3" a="1"/>
  <c r="X264" i="3" s="1"/>
  <c r="V264" i="3" a="1"/>
  <c r="V264" i="3" s="1"/>
  <c r="W264" i="3" a="1"/>
  <c r="W264" i="3" s="1"/>
  <c r="I264" i="3" a="1"/>
  <c r="I264" i="3" s="1"/>
  <c r="J264" i="3" a="1"/>
  <c r="J264" i="3" s="1"/>
  <c r="D264" i="3" a="1"/>
  <c r="D264" i="3" s="1"/>
  <c r="F264" i="3" a="1"/>
  <c r="F264" i="3" s="1"/>
  <c r="G264" i="3" a="1"/>
  <c r="G264" i="3" s="1"/>
  <c r="H264" i="3" a="1"/>
  <c r="H264" i="3" s="1"/>
  <c r="C264" i="3" a="1"/>
  <c r="C264" i="3" s="1"/>
  <c r="E264" i="3" a="1"/>
  <c r="E264" i="3" s="1"/>
  <c r="K264" i="3" a="1"/>
  <c r="K264" i="3" s="1"/>
  <c r="Q264" i="3" a="1"/>
  <c r="Q264" i="3" s="1"/>
  <c r="R264" i="3" a="1"/>
  <c r="R264" i="3" s="1"/>
  <c r="M264" i="3" a="1"/>
  <c r="M264" i="3" s="1"/>
  <c r="L264" i="3" a="1"/>
  <c r="L264" i="3" s="1"/>
  <c r="S264" i="3" a="1"/>
  <c r="S264" i="3" s="1"/>
  <c r="T264" i="3" a="1"/>
  <c r="T264" i="3" s="1"/>
  <c r="O264" i="3" a="1"/>
  <c r="O264" i="3" s="1"/>
  <c r="U264" i="3" a="1"/>
  <c r="U264" i="3" s="1"/>
  <c r="P264" i="3" a="1"/>
  <c r="P264" i="3" s="1"/>
  <c r="N264" i="3" a="1"/>
  <c r="N264" i="3" s="1"/>
  <c r="B265" i="3"/>
  <c r="Y265" i="3" l="1" a="1"/>
  <c r="Y265" i="3" s="1"/>
  <c r="Z265" i="3" a="1"/>
  <c r="Z265" i="3" s="1"/>
  <c r="AD265" i="3" a="1"/>
  <c r="AD265" i="3" s="1"/>
  <c r="AB265" i="3" a="1"/>
  <c r="AB265" i="3" s="1"/>
  <c r="AC265" i="3" a="1"/>
  <c r="AC265" i="3" s="1"/>
  <c r="AA265" i="3" a="1"/>
  <c r="AA265" i="3" s="1"/>
  <c r="V265" i="3" a="1"/>
  <c r="V265" i="3" s="1"/>
  <c r="X265" i="3" a="1"/>
  <c r="X265" i="3" s="1"/>
  <c r="W265" i="3" a="1"/>
  <c r="W265" i="3" s="1"/>
  <c r="I265" i="3" a="1"/>
  <c r="I265" i="3" s="1"/>
  <c r="J265" i="3" a="1"/>
  <c r="J265" i="3" s="1"/>
  <c r="D265" i="3" a="1"/>
  <c r="D265" i="3" s="1"/>
  <c r="G265" i="3" a="1"/>
  <c r="G265" i="3" s="1"/>
  <c r="H265" i="3" a="1"/>
  <c r="H265" i="3" s="1"/>
  <c r="F265" i="3" a="1"/>
  <c r="F265" i="3" s="1"/>
  <c r="C265" i="3" a="1"/>
  <c r="C265" i="3" s="1"/>
  <c r="Q265" i="3" a="1"/>
  <c r="Q265" i="3" s="1"/>
  <c r="K265" i="3" a="1"/>
  <c r="K265" i="3" s="1"/>
  <c r="E265" i="3" a="1"/>
  <c r="E265" i="3" s="1"/>
  <c r="S265" i="3" a="1"/>
  <c r="S265" i="3" s="1"/>
  <c r="L265" i="3" a="1"/>
  <c r="L265" i="3" s="1"/>
  <c r="R265" i="3" a="1"/>
  <c r="R265" i="3" s="1"/>
  <c r="O265" i="3" a="1"/>
  <c r="O265" i="3" s="1"/>
  <c r="U265" i="3" a="1"/>
  <c r="U265" i="3" s="1"/>
  <c r="M265" i="3" a="1"/>
  <c r="M265" i="3" s="1"/>
  <c r="T265" i="3" a="1"/>
  <c r="T265" i="3" s="1"/>
  <c r="P265" i="3" a="1"/>
  <c r="P265" i="3" s="1"/>
  <c r="N265" i="3" a="1"/>
  <c r="N265" i="3" s="1"/>
  <c r="B266" i="3"/>
  <c r="AD266" i="3" l="1" a="1"/>
  <c r="AD266" i="3" s="1"/>
  <c r="Y266" i="3" a="1"/>
  <c r="Y266" i="3" s="1"/>
  <c r="Z266" i="3" a="1"/>
  <c r="Z266" i="3" s="1"/>
  <c r="AC266" i="3" a="1"/>
  <c r="AC266" i="3" s="1"/>
  <c r="AB266" i="3" a="1"/>
  <c r="AB266" i="3" s="1"/>
  <c r="AA266" i="3" a="1"/>
  <c r="AA266" i="3" s="1"/>
  <c r="X266" i="3" a="1"/>
  <c r="X266" i="3" s="1"/>
  <c r="V266" i="3" a="1"/>
  <c r="V266" i="3" s="1"/>
  <c r="W266" i="3" a="1"/>
  <c r="W266" i="3" s="1"/>
  <c r="I266" i="3" a="1"/>
  <c r="I266" i="3" s="1"/>
  <c r="J266" i="3" a="1"/>
  <c r="J266" i="3" s="1"/>
  <c r="D266" i="3" a="1"/>
  <c r="D266" i="3" s="1"/>
  <c r="F266" i="3" a="1"/>
  <c r="F266" i="3" s="1"/>
  <c r="H266" i="3" a="1"/>
  <c r="H266" i="3" s="1"/>
  <c r="G266" i="3" a="1"/>
  <c r="G266" i="3" s="1"/>
  <c r="C266" i="3" a="1"/>
  <c r="C266" i="3" s="1"/>
  <c r="Q266" i="3" a="1"/>
  <c r="Q266" i="3" s="1"/>
  <c r="E266" i="3" a="1"/>
  <c r="E266" i="3" s="1"/>
  <c r="K266" i="3" a="1"/>
  <c r="K266" i="3" s="1"/>
  <c r="R266" i="3" a="1"/>
  <c r="R266" i="3" s="1"/>
  <c r="L266" i="3" a="1"/>
  <c r="L266" i="3" s="1"/>
  <c r="M266" i="3" a="1"/>
  <c r="M266" i="3" s="1"/>
  <c r="S266" i="3" a="1"/>
  <c r="S266" i="3" s="1"/>
  <c r="T266" i="3" a="1"/>
  <c r="T266" i="3" s="1"/>
  <c r="O266" i="3" a="1"/>
  <c r="O266" i="3" s="1"/>
  <c r="U266" i="3" a="1"/>
  <c r="U266" i="3" s="1"/>
  <c r="P266" i="3" a="1"/>
  <c r="P266" i="3" s="1"/>
  <c r="N266" i="3" a="1"/>
  <c r="N266" i="3" s="1"/>
  <c r="B267" i="3"/>
  <c r="Y267" i="3" l="1" a="1"/>
  <c r="Y267" i="3" s="1"/>
  <c r="AD267" i="3" a="1"/>
  <c r="AD267" i="3" s="1"/>
  <c r="Z267" i="3" a="1"/>
  <c r="Z267" i="3" s="1"/>
  <c r="AB267" i="3" a="1"/>
  <c r="AB267" i="3" s="1"/>
  <c r="AC267" i="3" a="1"/>
  <c r="AC267" i="3" s="1"/>
  <c r="AA267" i="3" a="1"/>
  <c r="AA267" i="3" s="1"/>
  <c r="X267" i="3" a="1"/>
  <c r="X267" i="3" s="1"/>
  <c r="V267" i="3" a="1"/>
  <c r="V267" i="3" s="1"/>
  <c r="W267" i="3" a="1"/>
  <c r="W267" i="3" s="1"/>
  <c r="I267" i="3" a="1"/>
  <c r="I267" i="3" s="1"/>
  <c r="J267" i="3" a="1"/>
  <c r="J267" i="3" s="1"/>
  <c r="D267" i="3" a="1"/>
  <c r="D267" i="3" s="1"/>
  <c r="F267" i="3" a="1"/>
  <c r="F267" i="3" s="1"/>
  <c r="H267" i="3" a="1"/>
  <c r="H267" i="3" s="1"/>
  <c r="G267" i="3" a="1"/>
  <c r="G267" i="3" s="1"/>
  <c r="C267" i="3" a="1"/>
  <c r="C267" i="3" s="1"/>
  <c r="Q267" i="3" a="1"/>
  <c r="Q267" i="3" s="1"/>
  <c r="K267" i="3" a="1"/>
  <c r="K267" i="3" s="1"/>
  <c r="E267" i="3" a="1"/>
  <c r="E267" i="3" s="1"/>
  <c r="L267" i="3" a="1"/>
  <c r="L267" i="3" s="1"/>
  <c r="M267" i="3" a="1"/>
  <c r="M267" i="3" s="1"/>
  <c r="R267" i="3" a="1"/>
  <c r="R267" i="3" s="1"/>
  <c r="T267" i="3" a="1"/>
  <c r="T267" i="3" s="1"/>
  <c r="S267" i="3" a="1"/>
  <c r="S267" i="3" s="1"/>
  <c r="O267" i="3" a="1"/>
  <c r="O267" i="3" s="1"/>
  <c r="U267" i="3" a="1"/>
  <c r="U267" i="3" s="1"/>
  <c r="P267" i="3" a="1"/>
  <c r="P267" i="3" s="1"/>
  <c r="N267" i="3" a="1"/>
  <c r="N267" i="3" s="1"/>
  <c r="B268" i="3"/>
  <c r="AD268" i="3" l="1" a="1"/>
  <c r="AD268" i="3" s="1"/>
  <c r="Y268" i="3" a="1"/>
  <c r="Y268" i="3" s="1"/>
  <c r="Z268" i="3" a="1"/>
  <c r="Z268" i="3" s="1"/>
  <c r="AB268" i="3" a="1"/>
  <c r="AB268" i="3" s="1"/>
  <c r="AA268" i="3" a="1"/>
  <c r="AA268" i="3" s="1"/>
  <c r="AC268" i="3" a="1"/>
  <c r="AC268" i="3" s="1"/>
  <c r="V268" i="3" a="1"/>
  <c r="V268" i="3" s="1"/>
  <c r="X268" i="3" a="1"/>
  <c r="X268" i="3" s="1"/>
  <c r="W268" i="3" a="1"/>
  <c r="W268" i="3" s="1"/>
  <c r="I268" i="3" a="1"/>
  <c r="I268" i="3" s="1"/>
  <c r="J268" i="3" a="1"/>
  <c r="J268" i="3" s="1"/>
  <c r="D268" i="3" a="1"/>
  <c r="D268" i="3" s="1"/>
  <c r="H268" i="3" a="1"/>
  <c r="H268" i="3" s="1"/>
  <c r="G268" i="3" a="1"/>
  <c r="G268" i="3" s="1"/>
  <c r="F268" i="3" a="1"/>
  <c r="F268" i="3" s="1"/>
  <c r="C268" i="3" a="1"/>
  <c r="C268" i="3" s="1"/>
  <c r="E268" i="3" a="1"/>
  <c r="E268" i="3" s="1"/>
  <c r="Q268" i="3" a="1"/>
  <c r="Q268" i="3" s="1"/>
  <c r="K268" i="3" a="1"/>
  <c r="K268" i="3" s="1"/>
  <c r="R268" i="3" a="1"/>
  <c r="R268" i="3" s="1"/>
  <c r="S268" i="3" a="1"/>
  <c r="S268" i="3" s="1"/>
  <c r="L268" i="3" a="1"/>
  <c r="L268" i="3" s="1"/>
  <c r="M268" i="3" a="1"/>
  <c r="M268" i="3" s="1"/>
  <c r="U268" i="3" a="1"/>
  <c r="U268" i="3" s="1"/>
  <c r="O268" i="3" a="1"/>
  <c r="O268" i="3" s="1"/>
  <c r="P268" i="3" a="1"/>
  <c r="P268" i="3" s="1"/>
  <c r="T268" i="3" a="1"/>
  <c r="T268" i="3" s="1"/>
  <c r="N268" i="3" a="1"/>
  <c r="N268" i="3" s="1"/>
  <c r="B269" i="3"/>
  <c r="AD269" i="3" l="1" a="1"/>
  <c r="AD269" i="3" s="1"/>
  <c r="AB269" i="3" a="1"/>
  <c r="AB269" i="3" s="1"/>
  <c r="Y269" i="3" a="1"/>
  <c r="Y269" i="3" s="1"/>
  <c r="Z269" i="3" a="1"/>
  <c r="Z269" i="3" s="1"/>
  <c r="AC269" i="3" a="1"/>
  <c r="AC269" i="3" s="1"/>
  <c r="AA269" i="3" a="1"/>
  <c r="AA269" i="3" s="1"/>
  <c r="V269" i="3" a="1"/>
  <c r="V269" i="3" s="1"/>
  <c r="X269" i="3" a="1"/>
  <c r="X269" i="3" s="1"/>
  <c r="W269" i="3" a="1"/>
  <c r="W269" i="3" s="1"/>
  <c r="I269" i="3" a="1"/>
  <c r="I269" i="3" s="1"/>
  <c r="J269" i="3" a="1"/>
  <c r="J269" i="3" s="1"/>
  <c r="D269" i="3" a="1"/>
  <c r="D269" i="3" s="1"/>
  <c r="H269" i="3" a="1"/>
  <c r="H269" i="3" s="1"/>
  <c r="F269" i="3" a="1"/>
  <c r="F269" i="3" s="1"/>
  <c r="G269" i="3" a="1"/>
  <c r="G269" i="3" s="1"/>
  <c r="C269" i="3" a="1"/>
  <c r="C269" i="3" s="1"/>
  <c r="Q269" i="3" a="1"/>
  <c r="Q269" i="3" s="1"/>
  <c r="K269" i="3" a="1"/>
  <c r="K269" i="3" s="1"/>
  <c r="E269" i="3" a="1"/>
  <c r="E269" i="3" s="1"/>
  <c r="S269" i="3" a="1"/>
  <c r="S269" i="3" s="1"/>
  <c r="M269" i="3" a="1"/>
  <c r="M269" i="3" s="1"/>
  <c r="T269" i="3" a="1"/>
  <c r="T269" i="3" s="1"/>
  <c r="L269" i="3" a="1"/>
  <c r="L269" i="3" s="1"/>
  <c r="R269" i="3" a="1"/>
  <c r="R269" i="3" s="1"/>
  <c r="P269" i="3" a="1"/>
  <c r="P269" i="3" s="1"/>
  <c r="U269" i="3" a="1"/>
  <c r="U269" i="3" s="1"/>
  <c r="O269" i="3" a="1"/>
  <c r="O269" i="3" s="1"/>
  <c r="N269" i="3" a="1"/>
  <c r="N269" i="3" s="1"/>
  <c r="B270" i="3"/>
  <c r="AD270" i="3" l="1" a="1"/>
  <c r="AD270" i="3" s="1"/>
  <c r="Y270" i="3" a="1"/>
  <c r="Y270" i="3" s="1"/>
  <c r="Z270" i="3" a="1"/>
  <c r="Z270" i="3" s="1"/>
  <c r="AB270" i="3" a="1"/>
  <c r="AB270" i="3" s="1"/>
  <c r="AA270" i="3" a="1"/>
  <c r="AA270" i="3" s="1"/>
  <c r="AC270" i="3" a="1"/>
  <c r="AC270" i="3" s="1"/>
  <c r="V270" i="3" a="1"/>
  <c r="V270" i="3" s="1"/>
  <c r="X270" i="3" a="1"/>
  <c r="X270" i="3" s="1"/>
  <c r="W270" i="3" a="1"/>
  <c r="W270" i="3" s="1"/>
  <c r="I270" i="3" a="1"/>
  <c r="I270" i="3" s="1"/>
  <c r="J270" i="3" a="1"/>
  <c r="J270" i="3" s="1"/>
  <c r="D270" i="3" a="1"/>
  <c r="D270" i="3" s="1"/>
  <c r="H270" i="3" a="1"/>
  <c r="H270" i="3" s="1"/>
  <c r="G270" i="3" a="1"/>
  <c r="G270" i="3" s="1"/>
  <c r="F270" i="3" a="1"/>
  <c r="F270" i="3" s="1"/>
  <c r="C270" i="3" a="1"/>
  <c r="C270" i="3" s="1"/>
  <c r="K270" i="3" a="1"/>
  <c r="K270" i="3" s="1"/>
  <c r="Q270" i="3" a="1"/>
  <c r="Q270" i="3" s="1"/>
  <c r="E270" i="3" a="1"/>
  <c r="E270" i="3" s="1"/>
  <c r="R270" i="3" a="1"/>
  <c r="R270" i="3" s="1"/>
  <c r="M270" i="3" a="1"/>
  <c r="M270" i="3" s="1"/>
  <c r="S270" i="3" a="1"/>
  <c r="S270" i="3" s="1"/>
  <c r="L270" i="3" a="1"/>
  <c r="L270" i="3" s="1"/>
  <c r="T270" i="3" a="1"/>
  <c r="T270" i="3" s="1"/>
  <c r="P270" i="3" a="1"/>
  <c r="P270" i="3" s="1"/>
  <c r="O270" i="3" a="1"/>
  <c r="O270" i="3" s="1"/>
  <c r="U270" i="3" a="1"/>
  <c r="U270" i="3" s="1"/>
  <c r="N270" i="3" a="1"/>
  <c r="N270" i="3" s="1"/>
  <c r="B271" i="3"/>
  <c r="AD271" i="3" l="1" a="1"/>
  <c r="AD271" i="3" s="1"/>
  <c r="Y271" i="3" a="1"/>
  <c r="Y271" i="3" s="1"/>
  <c r="Z271" i="3" a="1"/>
  <c r="Z271" i="3" s="1"/>
  <c r="AA271" i="3" a="1"/>
  <c r="AA271" i="3" s="1"/>
  <c r="AC271" i="3" a="1"/>
  <c r="AC271" i="3" s="1"/>
  <c r="AB271" i="3" a="1"/>
  <c r="AB271" i="3" s="1"/>
  <c r="X271" i="3" a="1"/>
  <c r="X271" i="3" s="1"/>
  <c r="V271" i="3" a="1"/>
  <c r="V271" i="3" s="1"/>
  <c r="W271" i="3" a="1"/>
  <c r="W271" i="3" s="1"/>
  <c r="I271" i="3" a="1"/>
  <c r="I271" i="3" s="1"/>
  <c r="J271" i="3" a="1"/>
  <c r="J271" i="3" s="1"/>
  <c r="D271" i="3" a="1"/>
  <c r="D271" i="3" s="1"/>
  <c r="H271" i="3" a="1"/>
  <c r="H271" i="3" s="1"/>
  <c r="F271" i="3" a="1"/>
  <c r="F271" i="3" s="1"/>
  <c r="G271" i="3" a="1"/>
  <c r="G271" i="3" s="1"/>
  <c r="C271" i="3" a="1"/>
  <c r="C271" i="3" s="1"/>
  <c r="K271" i="3" a="1"/>
  <c r="K271" i="3" s="1"/>
  <c r="Q271" i="3" a="1"/>
  <c r="Q271" i="3" s="1"/>
  <c r="E271" i="3" a="1"/>
  <c r="E271" i="3" s="1"/>
  <c r="S271" i="3" a="1"/>
  <c r="S271" i="3" s="1"/>
  <c r="M271" i="3" a="1"/>
  <c r="M271" i="3" s="1"/>
  <c r="L271" i="3" a="1"/>
  <c r="L271" i="3" s="1"/>
  <c r="T271" i="3" a="1"/>
  <c r="T271" i="3" s="1"/>
  <c r="R271" i="3" a="1"/>
  <c r="R271" i="3" s="1"/>
  <c r="U271" i="3" a="1"/>
  <c r="U271" i="3" s="1"/>
  <c r="P271" i="3" a="1"/>
  <c r="P271" i="3" s="1"/>
  <c r="O271" i="3" a="1"/>
  <c r="O271" i="3" s="1"/>
  <c r="N271" i="3" a="1"/>
  <c r="N271" i="3" s="1"/>
  <c r="B272" i="3"/>
  <c r="AD272" i="3" l="1" a="1"/>
  <c r="AD272" i="3" s="1"/>
  <c r="AB272" i="3" a="1"/>
  <c r="AB272" i="3" s="1"/>
  <c r="Y272" i="3" a="1"/>
  <c r="Y272" i="3" s="1"/>
  <c r="Z272" i="3" a="1"/>
  <c r="Z272" i="3" s="1"/>
  <c r="AC272" i="3" a="1"/>
  <c r="AC272" i="3" s="1"/>
  <c r="AA272" i="3" a="1"/>
  <c r="AA272" i="3" s="1"/>
  <c r="V272" i="3" a="1"/>
  <c r="V272" i="3" s="1"/>
  <c r="X272" i="3" a="1"/>
  <c r="X272" i="3" s="1"/>
  <c r="W272" i="3" a="1"/>
  <c r="W272" i="3" s="1"/>
  <c r="I272" i="3" a="1"/>
  <c r="I272" i="3" s="1"/>
  <c r="J272" i="3" a="1"/>
  <c r="J272" i="3" s="1"/>
  <c r="D272" i="3" a="1"/>
  <c r="D272" i="3" s="1"/>
  <c r="H272" i="3" a="1"/>
  <c r="H272" i="3" s="1"/>
  <c r="F272" i="3" a="1"/>
  <c r="F272" i="3" s="1"/>
  <c r="G272" i="3" a="1"/>
  <c r="G272" i="3" s="1"/>
  <c r="C272" i="3" a="1"/>
  <c r="C272" i="3" s="1"/>
  <c r="K272" i="3" a="1"/>
  <c r="K272" i="3" s="1"/>
  <c r="E272" i="3" a="1"/>
  <c r="E272" i="3" s="1"/>
  <c r="Q272" i="3" a="1"/>
  <c r="Q272" i="3" s="1"/>
  <c r="S272" i="3" a="1"/>
  <c r="S272" i="3" s="1"/>
  <c r="T272" i="3" a="1"/>
  <c r="T272" i="3" s="1"/>
  <c r="L272" i="3" a="1"/>
  <c r="L272" i="3" s="1"/>
  <c r="M272" i="3" a="1"/>
  <c r="M272" i="3" s="1"/>
  <c r="R272" i="3" a="1"/>
  <c r="R272" i="3" s="1"/>
  <c r="P272" i="3" a="1"/>
  <c r="P272" i="3" s="1"/>
  <c r="O272" i="3" a="1"/>
  <c r="O272" i="3" s="1"/>
  <c r="U272" i="3" a="1"/>
  <c r="U272" i="3" s="1"/>
  <c r="N272" i="3" a="1"/>
  <c r="N272" i="3" s="1"/>
  <c r="B273" i="3"/>
  <c r="AD273" i="3" l="1" a="1"/>
  <c r="AD273" i="3" s="1"/>
  <c r="Y273" i="3" a="1"/>
  <c r="Y273" i="3" s="1"/>
  <c r="Z273" i="3" a="1"/>
  <c r="Z273" i="3" s="1"/>
  <c r="AB273" i="3" a="1"/>
  <c r="AB273" i="3" s="1"/>
  <c r="AC273" i="3" a="1"/>
  <c r="AC273" i="3" s="1"/>
  <c r="AA273" i="3" a="1"/>
  <c r="AA273" i="3" s="1"/>
  <c r="X273" i="3" a="1"/>
  <c r="X273" i="3" s="1"/>
  <c r="V273" i="3" a="1"/>
  <c r="V273" i="3" s="1"/>
  <c r="W273" i="3" a="1"/>
  <c r="W273" i="3" s="1"/>
  <c r="I273" i="3" a="1"/>
  <c r="I273" i="3" s="1"/>
  <c r="J273" i="3" a="1"/>
  <c r="J273" i="3" s="1"/>
  <c r="D273" i="3" a="1"/>
  <c r="D273" i="3" s="1"/>
  <c r="G273" i="3" a="1"/>
  <c r="G273" i="3" s="1"/>
  <c r="H273" i="3" a="1"/>
  <c r="H273" i="3" s="1"/>
  <c r="F273" i="3" a="1"/>
  <c r="F273" i="3" s="1"/>
  <c r="C273" i="3" a="1"/>
  <c r="C273" i="3" s="1"/>
  <c r="K273" i="3" a="1"/>
  <c r="K273" i="3" s="1"/>
  <c r="E273" i="3" a="1"/>
  <c r="E273" i="3" s="1"/>
  <c r="Q273" i="3" a="1"/>
  <c r="Q273" i="3" s="1"/>
  <c r="S273" i="3" a="1"/>
  <c r="S273" i="3" s="1"/>
  <c r="T273" i="3" a="1"/>
  <c r="T273" i="3" s="1"/>
  <c r="L273" i="3" a="1"/>
  <c r="L273" i="3" s="1"/>
  <c r="M273" i="3" a="1"/>
  <c r="M273" i="3" s="1"/>
  <c r="P273" i="3" a="1"/>
  <c r="P273" i="3" s="1"/>
  <c r="O273" i="3" a="1"/>
  <c r="O273" i="3" s="1"/>
  <c r="U273" i="3" a="1"/>
  <c r="U273" i="3" s="1"/>
  <c r="R273" i="3" a="1"/>
  <c r="R273" i="3" s="1"/>
  <c r="N273" i="3" a="1"/>
  <c r="N273" i="3" s="1"/>
  <c r="B274" i="3"/>
  <c r="AD274" i="3" l="1" a="1"/>
  <c r="AD274" i="3" s="1"/>
  <c r="Y274" i="3" a="1"/>
  <c r="Y274" i="3" s="1"/>
  <c r="Z274" i="3" a="1"/>
  <c r="Z274" i="3" s="1"/>
  <c r="AB274" i="3" a="1"/>
  <c r="AB274" i="3" s="1"/>
  <c r="AA274" i="3" a="1"/>
  <c r="AA274" i="3" s="1"/>
  <c r="AC274" i="3" a="1"/>
  <c r="AC274" i="3" s="1"/>
  <c r="X274" i="3" a="1"/>
  <c r="X274" i="3" s="1"/>
  <c r="V274" i="3" a="1"/>
  <c r="V274" i="3" s="1"/>
  <c r="W274" i="3" a="1"/>
  <c r="W274" i="3" s="1"/>
  <c r="I274" i="3" a="1"/>
  <c r="I274" i="3" s="1"/>
  <c r="J274" i="3" a="1"/>
  <c r="J274" i="3" s="1"/>
  <c r="D274" i="3" a="1"/>
  <c r="D274" i="3" s="1"/>
  <c r="H274" i="3" a="1"/>
  <c r="H274" i="3" s="1"/>
  <c r="F274" i="3" a="1"/>
  <c r="F274" i="3" s="1"/>
  <c r="G274" i="3" a="1"/>
  <c r="G274" i="3" s="1"/>
  <c r="C274" i="3" a="1"/>
  <c r="C274" i="3" s="1"/>
  <c r="K274" i="3" a="1"/>
  <c r="K274" i="3" s="1"/>
  <c r="Q274" i="3" a="1"/>
  <c r="Q274" i="3" s="1"/>
  <c r="E274" i="3" a="1"/>
  <c r="E274" i="3" s="1"/>
  <c r="R274" i="3" a="1"/>
  <c r="R274" i="3" s="1"/>
  <c r="L274" i="3" a="1"/>
  <c r="L274" i="3" s="1"/>
  <c r="S274" i="3" a="1"/>
  <c r="S274" i="3" s="1"/>
  <c r="T274" i="3" a="1"/>
  <c r="T274" i="3" s="1"/>
  <c r="M274" i="3" a="1"/>
  <c r="M274" i="3" s="1"/>
  <c r="P274" i="3" a="1"/>
  <c r="P274" i="3" s="1"/>
  <c r="U274" i="3" a="1"/>
  <c r="U274" i="3" s="1"/>
  <c r="O274" i="3" a="1"/>
  <c r="O274" i="3" s="1"/>
  <c r="N274" i="3" a="1"/>
  <c r="N274" i="3" s="1"/>
  <c r="B275" i="3"/>
  <c r="AD275" i="3" l="1" a="1"/>
  <c r="AD275" i="3" s="1"/>
  <c r="Y275" i="3" a="1"/>
  <c r="Y275" i="3" s="1"/>
  <c r="Z275" i="3" a="1"/>
  <c r="Z275" i="3" s="1"/>
  <c r="AB275" i="3" a="1"/>
  <c r="AB275" i="3" s="1"/>
  <c r="AA275" i="3" a="1"/>
  <c r="AA275" i="3" s="1"/>
  <c r="AC275" i="3" a="1"/>
  <c r="AC275" i="3" s="1"/>
  <c r="V275" i="3" a="1"/>
  <c r="V275" i="3" s="1"/>
  <c r="X275" i="3" a="1"/>
  <c r="X275" i="3" s="1"/>
  <c r="W275" i="3" a="1"/>
  <c r="W275" i="3" s="1"/>
  <c r="I275" i="3" a="1"/>
  <c r="I275" i="3" s="1"/>
  <c r="J275" i="3" a="1"/>
  <c r="J275" i="3" s="1"/>
  <c r="D275" i="3" a="1"/>
  <c r="D275" i="3" s="1"/>
  <c r="H275" i="3" a="1"/>
  <c r="H275" i="3" s="1"/>
  <c r="F275" i="3" a="1"/>
  <c r="F275" i="3" s="1"/>
  <c r="G275" i="3" a="1"/>
  <c r="G275" i="3" s="1"/>
  <c r="C275" i="3" a="1"/>
  <c r="C275" i="3" s="1"/>
  <c r="E275" i="3" a="1"/>
  <c r="E275" i="3" s="1"/>
  <c r="K275" i="3" a="1"/>
  <c r="K275" i="3" s="1"/>
  <c r="Q275" i="3" a="1"/>
  <c r="Q275" i="3" s="1"/>
  <c r="T275" i="3" a="1"/>
  <c r="T275" i="3" s="1"/>
  <c r="R275" i="3" a="1"/>
  <c r="R275" i="3" s="1"/>
  <c r="M275" i="3" a="1"/>
  <c r="M275" i="3" s="1"/>
  <c r="U275" i="3" a="1"/>
  <c r="U275" i="3" s="1"/>
  <c r="L275" i="3" a="1"/>
  <c r="L275" i="3" s="1"/>
  <c r="P275" i="3" a="1"/>
  <c r="P275" i="3" s="1"/>
  <c r="O275" i="3" a="1"/>
  <c r="O275" i="3" s="1"/>
  <c r="S275" i="3" a="1"/>
  <c r="S275" i="3" s="1"/>
  <c r="N275" i="3" a="1"/>
  <c r="N275" i="3" s="1"/>
  <c r="B276" i="3"/>
  <c r="AB276" i="3" l="1" a="1"/>
  <c r="AB276" i="3" s="1"/>
  <c r="AD276" i="3" a="1"/>
  <c r="AD276" i="3" s="1"/>
  <c r="Y276" i="3" a="1"/>
  <c r="Y276" i="3" s="1"/>
  <c r="Z276" i="3" a="1"/>
  <c r="Z276" i="3" s="1"/>
  <c r="AC276" i="3" a="1"/>
  <c r="AC276" i="3" s="1"/>
  <c r="AA276" i="3" a="1"/>
  <c r="AA276" i="3" s="1"/>
  <c r="X276" i="3" a="1"/>
  <c r="X276" i="3" s="1"/>
  <c r="V276" i="3" a="1"/>
  <c r="V276" i="3" s="1"/>
  <c r="W276" i="3" a="1"/>
  <c r="W276" i="3" s="1"/>
  <c r="I276" i="3" a="1"/>
  <c r="I276" i="3" s="1"/>
  <c r="J276" i="3" a="1"/>
  <c r="J276" i="3" s="1"/>
  <c r="D276" i="3" a="1"/>
  <c r="D276" i="3" s="1"/>
  <c r="F276" i="3" a="1"/>
  <c r="F276" i="3" s="1"/>
  <c r="H276" i="3" a="1"/>
  <c r="H276" i="3" s="1"/>
  <c r="G276" i="3" a="1"/>
  <c r="G276" i="3" s="1"/>
  <c r="C276" i="3" a="1"/>
  <c r="C276" i="3" s="1"/>
  <c r="K276" i="3" a="1"/>
  <c r="K276" i="3" s="1"/>
  <c r="Q276" i="3" a="1"/>
  <c r="Q276" i="3" s="1"/>
  <c r="E276" i="3" a="1"/>
  <c r="E276" i="3" s="1"/>
  <c r="L276" i="3" a="1"/>
  <c r="L276" i="3" s="1"/>
  <c r="S276" i="3" a="1"/>
  <c r="S276" i="3" s="1"/>
  <c r="R276" i="3" a="1"/>
  <c r="R276" i="3" s="1"/>
  <c r="M276" i="3" a="1"/>
  <c r="M276" i="3" s="1"/>
  <c r="U276" i="3" a="1"/>
  <c r="U276" i="3" s="1"/>
  <c r="P276" i="3" a="1"/>
  <c r="P276" i="3" s="1"/>
  <c r="T276" i="3" a="1"/>
  <c r="T276" i="3" s="1"/>
  <c r="O276" i="3" a="1"/>
  <c r="O276" i="3" s="1"/>
  <c r="N276" i="3" a="1"/>
  <c r="N276" i="3" s="1"/>
  <c r="B277" i="3"/>
  <c r="Y277" i="3" l="1" a="1"/>
  <c r="Y277" i="3" s="1"/>
  <c r="AD277" i="3" a="1"/>
  <c r="AD277" i="3" s="1"/>
  <c r="Z277" i="3" a="1"/>
  <c r="Z277" i="3" s="1"/>
  <c r="AB277" i="3" a="1"/>
  <c r="AB277" i="3" s="1"/>
  <c r="AC277" i="3" a="1"/>
  <c r="AC277" i="3" s="1"/>
  <c r="AA277" i="3" a="1"/>
  <c r="AA277" i="3" s="1"/>
  <c r="X277" i="3" a="1"/>
  <c r="X277" i="3" s="1"/>
  <c r="V277" i="3" a="1"/>
  <c r="V277" i="3" s="1"/>
  <c r="W277" i="3" a="1"/>
  <c r="W277" i="3" s="1"/>
  <c r="I277" i="3" a="1"/>
  <c r="I277" i="3" s="1"/>
  <c r="J277" i="3" a="1"/>
  <c r="J277" i="3" s="1"/>
  <c r="D277" i="3" a="1"/>
  <c r="D277" i="3" s="1"/>
  <c r="F277" i="3" a="1"/>
  <c r="F277" i="3" s="1"/>
  <c r="H277" i="3" a="1"/>
  <c r="H277" i="3" s="1"/>
  <c r="G277" i="3" a="1"/>
  <c r="G277" i="3" s="1"/>
  <c r="C277" i="3" a="1"/>
  <c r="C277" i="3" s="1"/>
  <c r="Q277" i="3" a="1"/>
  <c r="Q277" i="3" s="1"/>
  <c r="K277" i="3" a="1"/>
  <c r="K277" i="3" s="1"/>
  <c r="E277" i="3" a="1"/>
  <c r="E277" i="3" s="1"/>
  <c r="M277" i="3" a="1"/>
  <c r="M277" i="3" s="1"/>
  <c r="R277" i="3" a="1"/>
  <c r="R277" i="3" s="1"/>
  <c r="L277" i="3" a="1"/>
  <c r="L277" i="3" s="1"/>
  <c r="S277" i="3" a="1"/>
  <c r="S277" i="3" s="1"/>
  <c r="T277" i="3" a="1"/>
  <c r="T277" i="3" s="1"/>
  <c r="U277" i="3" a="1"/>
  <c r="U277" i="3" s="1"/>
  <c r="P277" i="3" a="1"/>
  <c r="P277" i="3" s="1"/>
  <c r="O277" i="3" a="1"/>
  <c r="O277" i="3" s="1"/>
  <c r="N277" i="3" a="1"/>
  <c r="N277" i="3" s="1"/>
  <c r="B278" i="3"/>
  <c r="Y278" i="3" l="1" a="1"/>
  <c r="Y278" i="3" s="1"/>
  <c r="AD278" i="3" a="1"/>
  <c r="AD278" i="3" s="1"/>
  <c r="Z278" i="3" a="1"/>
  <c r="Z278" i="3" s="1"/>
  <c r="AB278" i="3" a="1"/>
  <c r="AB278" i="3" s="1"/>
  <c r="AA278" i="3" a="1"/>
  <c r="AA278" i="3" s="1"/>
  <c r="AC278" i="3" a="1"/>
  <c r="AC278" i="3" s="1"/>
  <c r="X278" i="3" a="1"/>
  <c r="X278" i="3" s="1"/>
  <c r="V278" i="3" a="1"/>
  <c r="V278" i="3" s="1"/>
  <c r="W278" i="3" a="1"/>
  <c r="W278" i="3" s="1"/>
  <c r="I278" i="3" a="1"/>
  <c r="I278" i="3" s="1"/>
  <c r="J278" i="3" a="1"/>
  <c r="J278" i="3" s="1"/>
  <c r="D278" i="3" a="1"/>
  <c r="D278" i="3" s="1"/>
  <c r="F278" i="3" a="1"/>
  <c r="F278" i="3" s="1"/>
  <c r="H278" i="3" a="1"/>
  <c r="H278" i="3" s="1"/>
  <c r="G278" i="3" a="1"/>
  <c r="G278" i="3" s="1"/>
  <c r="C278" i="3" a="1"/>
  <c r="C278" i="3" s="1"/>
  <c r="E278" i="3" a="1"/>
  <c r="E278" i="3" s="1"/>
  <c r="Q278" i="3" a="1"/>
  <c r="Q278" i="3" s="1"/>
  <c r="K278" i="3" a="1"/>
  <c r="K278" i="3" s="1"/>
  <c r="R278" i="3" a="1"/>
  <c r="R278" i="3" s="1"/>
  <c r="L278" i="3" a="1"/>
  <c r="L278" i="3" s="1"/>
  <c r="M278" i="3" a="1"/>
  <c r="M278" i="3" s="1"/>
  <c r="U278" i="3" a="1"/>
  <c r="U278" i="3" s="1"/>
  <c r="S278" i="3" a="1"/>
  <c r="S278" i="3" s="1"/>
  <c r="P278" i="3" a="1"/>
  <c r="P278" i="3" s="1"/>
  <c r="O278" i="3" a="1"/>
  <c r="O278" i="3" s="1"/>
  <c r="T278" i="3" a="1"/>
  <c r="T278" i="3" s="1"/>
  <c r="N278" i="3" a="1"/>
  <c r="N278" i="3" s="1"/>
  <c r="B279" i="3"/>
  <c r="AD279" i="3" l="1" a="1"/>
  <c r="AD279" i="3" s="1"/>
  <c r="Y279" i="3" a="1"/>
  <c r="Y279" i="3" s="1"/>
  <c r="Z279" i="3" a="1"/>
  <c r="Z279" i="3" s="1"/>
  <c r="AB279" i="3" a="1"/>
  <c r="AB279" i="3" s="1"/>
  <c r="AC279" i="3" a="1"/>
  <c r="AC279" i="3" s="1"/>
  <c r="AA279" i="3" a="1"/>
  <c r="AA279" i="3" s="1"/>
  <c r="V279" i="3" a="1"/>
  <c r="V279" i="3" s="1"/>
  <c r="X279" i="3" a="1"/>
  <c r="X279" i="3" s="1"/>
  <c r="W279" i="3" a="1"/>
  <c r="W279" i="3" s="1"/>
  <c r="I279" i="3" a="1"/>
  <c r="I279" i="3" s="1"/>
  <c r="J279" i="3" a="1"/>
  <c r="J279" i="3" s="1"/>
  <c r="D279" i="3" a="1"/>
  <c r="D279" i="3" s="1"/>
  <c r="G279" i="3" a="1"/>
  <c r="G279" i="3" s="1"/>
  <c r="H279" i="3" a="1"/>
  <c r="H279" i="3" s="1"/>
  <c r="F279" i="3" a="1"/>
  <c r="F279" i="3" s="1"/>
  <c r="C279" i="3" a="1"/>
  <c r="C279" i="3" s="1"/>
  <c r="E279" i="3" a="1"/>
  <c r="E279" i="3" s="1"/>
  <c r="Q279" i="3" a="1"/>
  <c r="Q279" i="3" s="1"/>
  <c r="K279" i="3" a="1"/>
  <c r="K279" i="3" s="1"/>
  <c r="T279" i="3" a="1"/>
  <c r="T279" i="3" s="1"/>
  <c r="S279" i="3" a="1"/>
  <c r="S279" i="3" s="1"/>
  <c r="R279" i="3" a="1"/>
  <c r="R279" i="3" s="1"/>
  <c r="M279" i="3" a="1"/>
  <c r="M279" i="3" s="1"/>
  <c r="U279" i="3" a="1"/>
  <c r="U279" i="3" s="1"/>
  <c r="P279" i="3" a="1"/>
  <c r="P279" i="3" s="1"/>
  <c r="O279" i="3" a="1"/>
  <c r="O279" i="3" s="1"/>
  <c r="L279" i="3" a="1"/>
  <c r="L279" i="3" s="1"/>
  <c r="N279" i="3" a="1"/>
  <c r="N279" i="3" s="1"/>
  <c r="B280" i="3"/>
  <c r="AD280" i="3" l="1" a="1"/>
  <c r="AD280" i="3" s="1"/>
  <c r="Y280" i="3" a="1"/>
  <c r="Y280" i="3" s="1"/>
  <c r="Z280" i="3" a="1"/>
  <c r="Z280" i="3" s="1"/>
  <c r="AC280" i="3" a="1"/>
  <c r="AC280" i="3" s="1"/>
  <c r="AB280" i="3" a="1"/>
  <c r="AB280" i="3" s="1"/>
  <c r="AA280" i="3" a="1"/>
  <c r="AA280" i="3" s="1"/>
  <c r="X280" i="3" a="1"/>
  <c r="X280" i="3" s="1"/>
  <c r="V280" i="3" a="1"/>
  <c r="V280" i="3" s="1"/>
  <c r="W280" i="3" a="1"/>
  <c r="W280" i="3" s="1"/>
  <c r="I280" i="3" a="1"/>
  <c r="I280" i="3" s="1"/>
  <c r="J280" i="3" a="1"/>
  <c r="J280" i="3" s="1"/>
  <c r="D280" i="3" a="1"/>
  <c r="D280" i="3" s="1"/>
  <c r="F280" i="3" a="1"/>
  <c r="F280" i="3" s="1"/>
  <c r="H280" i="3" a="1"/>
  <c r="H280" i="3" s="1"/>
  <c r="G280" i="3" a="1"/>
  <c r="G280" i="3" s="1"/>
  <c r="C280" i="3" a="1"/>
  <c r="C280" i="3" s="1"/>
  <c r="Q280" i="3" a="1"/>
  <c r="Q280" i="3" s="1"/>
  <c r="K280" i="3" a="1"/>
  <c r="K280" i="3" s="1"/>
  <c r="E280" i="3" a="1"/>
  <c r="E280" i="3" s="1"/>
  <c r="M280" i="3" a="1"/>
  <c r="M280" i="3" s="1"/>
  <c r="L280" i="3" a="1"/>
  <c r="L280" i="3" s="1"/>
  <c r="S280" i="3" a="1"/>
  <c r="S280" i="3" s="1"/>
  <c r="T280" i="3" a="1"/>
  <c r="T280" i="3" s="1"/>
  <c r="P280" i="3" a="1"/>
  <c r="P280" i="3" s="1"/>
  <c r="R280" i="3" a="1"/>
  <c r="R280" i="3" s="1"/>
  <c r="O280" i="3" a="1"/>
  <c r="O280" i="3" s="1"/>
  <c r="U280" i="3" a="1"/>
  <c r="U280" i="3" s="1"/>
  <c r="N280" i="3" a="1"/>
  <c r="N280" i="3" s="1"/>
  <c r="B281" i="3"/>
  <c r="AD281" i="3" l="1" a="1"/>
  <c r="AD281" i="3" s="1"/>
  <c r="Y281" i="3" a="1"/>
  <c r="Y281" i="3" s="1"/>
  <c r="Z281" i="3" a="1"/>
  <c r="Z281" i="3" s="1"/>
  <c r="AB281" i="3" a="1"/>
  <c r="AB281" i="3" s="1"/>
  <c r="AA281" i="3" a="1"/>
  <c r="AA281" i="3" s="1"/>
  <c r="AC281" i="3" a="1"/>
  <c r="AC281" i="3" s="1"/>
  <c r="X281" i="3" a="1"/>
  <c r="X281" i="3" s="1"/>
  <c r="V281" i="3" a="1"/>
  <c r="V281" i="3" s="1"/>
  <c r="W281" i="3" a="1"/>
  <c r="W281" i="3" s="1"/>
  <c r="I281" i="3" a="1"/>
  <c r="I281" i="3" s="1"/>
  <c r="J281" i="3" a="1"/>
  <c r="J281" i="3" s="1"/>
  <c r="D281" i="3" a="1"/>
  <c r="D281" i="3" s="1"/>
  <c r="F281" i="3" a="1"/>
  <c r="F281" i="3" s="1"/>
  <c r="H281" i="3" a="1"/>
  <c r="H281" i="3" s="1"/>
  <c r="G281" i="3" a="1"/>
  <c r="G281" i="3" s="1"/>
  <c r="C281" i="3" a="1"/>
  <c r="C281" i="3" s="1"/>
  <c r="Q281" i="3" a="1"/>
  <c r="Q281" i="3" s="1"/>
  <c r="K281" i="3" a="1"/>
  <c r="K281" i="3" s="1"/>
  <c r="E281" i="3" a="1"/>
  <c r="E281" i="3" s="1"/>
  <c r="R281" i="3" a="1"/>
  <c r="R281" i="3" s="1"/>
  <c r="S281" i="3" a="1"/>
  <c r="S281" i="3" s="1"/>
  <c r="M281" i="3" a="1"/>
  <c r="M281" i="3" s="1"/>
  <c r="T281" i="3" a="1"/>
  <c r="T281" i="3" s="1"/>
  <c r="L281" i="3" a="1"/>
  <c r="L281" i="3" s="1"/>
  <c r="O281" i="3" a="1"/>
  <c r="O281" i="3" s="1"/>
  <c r="P281" i="3" a="1"/>
  <c r="P281" i="3" s="1"/>
  <c r="U281" i="3" a="1"/>
  <c r="U281" i="3" s="1"/>
  <c r="N281" i="3" a="1"/>
  <c r="N281" i="3" s="1"/>
  <c r="B282" i="3"/>
  <c r="AD282" i="3" l="1" a="1"/>
  <c r="AD282" i="3" s="1"/>
  <c r="Y282" i="3" a="1"/>
  <c r="Y282" i="3" s="1"/>
  <c r="Z282" i="3" a="1"/>
  <c r="Z282" i="3" s="1"/>
  <c r="AB282" i="3" a="1"/>
  <c r="AB282" i="3" s="1"/>
  <c r="AA282" i="3" a="1"/>
  <c r="AA282" i="3" s="1"/>
  <c r="AC282" i="3" a="1"/>
  <c r="AC282" i="3" s="1"/>
  <c r="X282" i="3" a="1"/>
  <c r="X282" i="3" s="1"/>
  <c r="V282" i="3" a="1"/>
  <c r="V282" i="3" s="1"/>
  <c r="W282" i="3" a="1"/>
  <c r="W282" i="3" s="1"/>
  <c r="I282" i="3" a="1"/>
  <c r="I282" i="3" s="1"/>
  <c r="J282" i="3" a="1"/>
  <c r="J282" i="3" s="1"/>
  <c r="D282" i="3" a="1"/>
  <c r="D282" i="3" s="1"/>
  <c r="H282" i="3" a="1"/>
  <c r="H282" i="3" s="1"/>
  <c r="F282" i="3" a="1"/>
  <c r="F282" i="3" s="1"/>
  <c r="G282" i="3" a="1"/>
  <c r="G282" i="3" s="1"/>
  <c r="C282" i="3" a="1"/>
  <c r="C282" i="3" s="1"/>
  <c r="E282" i="3" a="1"/>
  <c r="E282" i="3" s="1"/>
  <c r="K282" i="3" a="1"/>
  <c r="K282" i="3" s="1"/>
  <c r="Q282" i="3" a="1"/>
  <c r="Q282" i="3" s="1"/>
  <c r="T282" i="3" a="1"/>
  <c r="T282" i="3" s="1"/>
  <c r="S282" i="3" a="1"/>
  <c r="S282" i="3" s="1"/>
  <c r="M282" i="3" a="1"/>
  <c r="M282" i="3" s="1"/>
  <c r="R282" i="3" a="1"/>
  <c r="R282" i="3" s="1"/>
  <c r="O282" i="3" a="1"/>
  <c r="O282" i="3" s="1"/>
  <c r="L282" i="3" a="1"/>
  <c r="L282" i="3" s="1"/>
  <c r="U282" i="3" a="1"/>
  <c r="U282" i="3" s="1"/>
  <c r="P282" i="3" a="1"/>
  <c r="P282" i="3" s="1"/>
  <c r="N282" i="3" a="1"/>
  <c r="N282" i="3" s="1"/>
  <c r="B283" i="3"/>
  <c r="AD283" i="3" l="1" a="1"/>
  <c r="AD283" i="3" s="1"/>
  <c r="AB283" i="3" a="1"/>
  <c r="AB283" i="3" s="1"/>
  <c r="Y283" i="3" a="1"/>
  <c r="Y283" i="3" s="1"/>
  <c r="Z283" i="3" a="1"/>
  <c r="Z283" i="3" s="1"/>
  <c r="AA283" i="3" a="1"/>
  <c r="AA283" i="3" s="1"/>
  <c r="AC283" i="3" a="1"/>
  <c r="AC283" i="3" s="1"/>
  <c r="V283" i="3" a="1"/>
  <c r="V283" i="3" s="1"/>
  <c r="X283" i="3" a="1"/>
  <c r="X283" i="3" s="1"/>
  <c r="W283" i="3" a="1"/>
  <c r="W283" i="3" s="1"/>
  <c r="I283" i="3" a="1"/>
  <c r="I283" i="3" s="1"/>
  <c r="J283" i="3" a="1"/>
  <c r="J283" i="3" s="1"/>
  <c r="D283" i="3" a="1"/>
  <c r="D283" i="3" s="1"/>
  <c r="G283" i="3" a="1"/>
  <c r="G283" i="3" s="1"/>
  <c r="H283" i="3" a="1"/>
  <c r="H283" i="3" s="1"/>
  <c r="F283" i="3" a="1"/>
  <c r="F283" i="3" s="1"/>
  <c r="C283" i="3" a="1"/>
  <c r="C283" i="3" s="1"/>
  <c r="Q283" i="3" a="1"/>
  <c r="Q283" i="3" s="1"/>
  <c r="E283" i="3" a="1"/>
  <c r="E283" i="3" s="1"/>
  <c r="K283" i="3" a="1"/>
  <c r="K283" i="3" s="1"/>
  <c r="L283" i="3" a="1"/>
  <c r="L283" i="3" s="1"/>
  <c r="T283" i="3" a="1"/>
  <c r="T283" i="3" s="1"/>
  <c r="R283" i="3" a="1"/>
  <c r="R283" i="3" s="1"/>
  <c r="M283" i="3" a="1"/>
  <c r="M283" i="3" s="1"/>
  <c r="S283" i="3" a="1"/>
  <c r="S283" i="3" s="1"/>
  <c r="U283" i="3" a="1"/>
  <c r="U283" i="3" s="1"/>
  <c r="P283" i="3" a="1"/>
  <c r="P283" i="3" s="1"/>
  <c r="O283" i="3" a="1"/>
  <c r="O283" i="3" s="1"/>
  <c r="N283" i="3" a="1"/>
  <c r="N283" i="3" s="1"/>
  <c r="B284" i="3"/>
  <c r="AD284" i="3" l="1" a="1"/>
  <c r="AD284" i="3" s="1"/>
  <c r="Y284" i="3" a="1"/>
  <c r="Y284" i="3" s="1"/>
  <c r="Z284" i="3" a="1"/>
  <c r="Z284" i="3" s="1"/>
  <c r="AC284" i="3" a="1"/>
  <c r="AC284" i="3" s="1"/>
  <c r="AB284" i="3" a="1"/>
  <c r="AB284" i="3" s="1"/>
  <c r="AA284" i="3" a="1"/>
  <c r="AA284" i="3" s="1"/>
  <c r="X284" i="3" a="1"/>
  <c r="X284" i="3" s="1"/>
  <c r="V284" i="3" a="1"/>
  <c r="V284" i="3" s="1"/>
  <c r="W284" i="3" a="1"/>
  <c r="W284" i="3" s="1"/>
  <c r="I284" i="3" a="1"/>
  <c r="I284" i="3" s="1"/>
  <c r="J284" i="3" a="1"/>
  <c r="J284" i="3" s="1"/>
  <c r="D284" i="3" a="1"/>
  <c r="D284" i="3" s="1"/>
  <c r="H284" i="3" a="1"/>
  <c r="H284" i="3" s="1"/>
  <c r="F284" i="3" a="1"/>
  <c r="F284" i="3" s="1"/>
  <c r="G284" i="3" a="1"/>
  <c r="G284" i="3" s="1"/>
  <c r="C284" i="3" a="1"/>
  <c r="C284" i="3" s="1"/>
  <c r="K284" i="3" a="1"/>
  <c r="K284" i="3" s="1"/>
  <c r="Q284" i="3" a="1"/>
  <c r="Q284" i="3" s="1"/>
  <c r="E284" i="3" a="1"/>
  <c r="E284" i="3" s="1"/>
  <c r="R284" i="3" a="1"/>
  <c r="R284" i="3" s="1"/>
  <c r="M284" i="3" a="1"/>
  <c r="M284" i="3" s="1"/>
  <c r="T284" i="3" a="1"/>
  <c r="T284" i="3" s="1"/>
  <c r="S284" i="3" a="1"/>
  <c r="S284" i="3" s="1"/>
  <c r="L284" i="3" a="1"/>
  <c r="L284" i="3" s="1"/>
  <c r="O284" i="3" a="1"/>
  <c r="O284" i="3" s="1"/>
  <c r="U284" i="3" a="1"/>
  <c r="U284" i="3" s="1"/>
  <c r="P284" i="3" a="1"/>
  <c r="P284" i="3" s="1"/>
  <c r="N284" i="3" a="1"/>
  <c r="N284" i="3" s="1"/>
  <c r="B285" i="3"/>
  <c r="AD285" i="3" l="1" a="1"/>
  <c r="AD285" i="3" s="1"/>
  <c r="Z285" i="3" a="1"/>
  <c r="Z285" i="3" s="1"/>
  <c r="Y285" i="3" a="1"/>
  <c r="Y285" i="3" s="1"/>
  <c r="AA285" i="3" a="1"/>
  <c r="AA285" i="3" s="1"/>
  <c r="AC285" i="3" a="1"/>
  <c r="AC285" i="3" s="1"/>
  <c r="AB285" i="3" a="1"/>
  <c r="AB285" i="3" s="1"/>
  <c r="X285" i="3" a="1"/>
  <c r="X285" i="3" s="1"/>
  <c r="V285" i="3" a="1"/>
  <c r="V285" i="3" s="1"/>
  <c r="W285" i="3" a="1"/>
  <c r="W285" i="3" s="1"/>
  <c r="I285" i="3" a="1"/>
  <c r="I285" i="3" s="1"/>
  <c r="J285" i="3" a="1"/>
  <c r="J285" i="3" s="1"/>
  <c r="D285" i="3" a="1"/>
  <c r="D285" i="3" s="1"/>
  <c r="H285" i="3" a="1"/>
  <c r="H285" i="3" s="1"/>
  <c r="G285" i="3" a="1"/>
  <c r="G285" i="3" s="1"/>
  <c r="F285" i="3" a="1"/>
  <c r="F285" i="3" s="1"/>
  <c r="C285" i="3" a="1"/>
  <c r="C285" i="3" s="1"/>
  <c r="E285" i="3" a="1"/>
  <c r="E285" i="3" s="1"/>
  <c r="Q285" i="3" a="1"/>
  <c r="Q285" i="3" s="1"/>
  <c r="K285" i="3" a="1"/>
  <c r="K285" i="3" s="1"/>
  <c r="S285" i="3" a="1"/>
  <c r="S285" i="3" s="1"/>
  <c r="R285" i="3" a="1"/>
  <c r="R285" i="3" s="1"/>
  <c r="L285" i="3" a="1"/>
  <c r="L285" i="3" s="1"/>
  <c r="M285" i="3" a="1"/>
  <c r="M285" i="3" s="1"/>
  <c r="P285" i="3" a="1"/>
  <c r="P285" i="3" s="1"/>
  <c r="O285" i="3" a="1"/>
  <c r="O285" i="3" s="1"/>
  <c r="U285" i="3" a="1"/>
  <c r="U285" i="3" s="1"/>
  <c r="T285" i="3" a="1"/>
  <c r="T285" i="3" s="1"/>
  <c r="N285" i="3" a="1"/>
  <c r="N285" i="3" s="1"/>
  <c r="B286" i="3"/>
  <c r="AD286" i="3" l="1" a="1"/>
  <c r="AD286" i="3" s="1"/>
  <c r="Y286" i="3" a="1"/>
  <c r="Y286" i="3" s="1"/>
  <c r="Z286" i="3" a="1"/>
  <c r="Z286" i="3" s="1"/>
  <c r="AB286" i="3" a="1"/>
  <c r="AB286" i="3" s="1"/>
  <c r="AA286" i="3" a="1"/>
  <c r="AA286" i="3" s="1"/>
  <c r="AC286" i="3" a="1"/>
  <c r="AC286" i="3" s="1"/>
  <c r="X286" i="3" a="1"/>
  <c r="X286" i="3" s="1"/>
  <c r="V286" i="3" a="1"/>
  <c r="V286" i="3" s="1"/>
  <c r="W286" i="3" a="1"/>
  <c r="W286" i="3" s="1"/>
  <c r="I286" i="3" a="1"/>
  <c r="I286" i="3" s="1"/>
  <c r="J286" i="3" a="1"/>
  <c r="J286" i="3" s="1"/>
  <c r="D286" i="3" a="1"/>
  <c r="D286" i="3" s="1"/>
  <c r="H286" i="3" a="1"/>
  <c r="H286" i="3" s="1"/>
  <c r="G286" i="3" a="1"/>
  <c r="G286" i="3" s="1"/>
  <c r="F286" i="3" a="1"/>
  <c r="F286" i="3" s="1"/>
  <c r="C286" i="3" a="1"/>
  <c r="C286" i="3" s="1"/>
  <c r="E286" i="3" a="1"/>
  <c r="E286" i="3" s="1"/>
  <c r="Q286" i="3" a="1"/>
  <c r="Q286" i="3" s="1"/>
  <c r="K286" i="3" a="1"/>
  <c r="K286" i="3" s="1"/>
  <c r="M286" i="3" a="1"/>
  <c r="M286" i="3" s="1"/>
  <c r="R286" i="3" a="1"/>
  <c r="R286" i="3" s="1"/>
  <c r="S286" i="3" a="1"/>
  <c r="S286" i="3" s="1"/>
  <c r="L286" i="3" a="1"/>
  <c r="L286" i="3" s="1"/>
  <c r="T286" i="3" a="1"/>
  <c r="T286" i="3" s="1"/>
  <c r="P286" i="3" a="1"/>
  <c r="P286" i="3" s="1"/>
  <c r="O286" i="3" a="1"/>
  <c r="O286" i="3" s="1"/>
  <c r="U286" i="3" a="1"/>
  <c r="U286" i="3" s="1"/>
  <c r="N286" i="3" a="1"/>
  <c r="N286" i="3" s="1"/>
  <c r="B287" i="3"/>
  <c r="AD287" i="3" l="1" a="1"/>
  <c r="AD287" i="3" s="1"/>
  <c r="Y287" i="3" a="1"/>
  <c r="Y287" i="3" s="1"/>
  <c r="AB287" i="3" a="1"/>
  <c r="AB287" i="3" s="1"/>
  <c r="Z287" i="3" a="1"/>
  <c r="Z287" i="3" s="1"/>
  <c r="AA287" i="3" a="1"/>
  <c r="AA287" i="3" s="1"/>
  <c r="AC287" i="3" a="1"/>
  <c r="AC287" i="3" s="1"/>
  <c r="V287" i="3" a="1"/>
  <c r="V287" i="3" s="1"/>
  <c r="X287" i="3" a="1"/>
  <c r="X287" i="3" s="1"/>
  <c r="W287" i="3" a="1"/>
  <c r="W287" i="3" s="1"/>
  <c r="I287" i="3" a="1"/>
  <c r="I287" i="3" s="1"/>
  <c r="J287" i="3" a="1"/>
  <c r="J287" i="3" s="1"/>
  <c r="D287" i="3" a="1"/>
  <c r="D287" i="3" s="1"/>
  <c r="H287" i="3" a="1"/>
  <c r="H287" i="3" s="1"/>
  <c r="G287" i="3" a="1"/>
  <c r="G287" i="3" s="1"/>
  <c r="F287" i="3" a="1"/>
  <c r="F287" i="3" s="1"/>
  <c r="C287" i="3" a="1"/>
  <c r="C287" i="3" s="1"/>
  <c r="K287" i="3" a="1"/>
  <c r="K287" i="3" s="1"/>
  <c r="E287" i="3" a="1"/>
  <c r="E287" i="3" s="1"/>
  <c r="Q287" i="3" a="1"/>
  <c r="Q287" i="3" s="1"/>
  <c r="L287" i="3" a="1"/>
  <c r="L287" i="3" s="1"/>
  <c r="M287" i="3" a="1"/>
  <c r="M287" i="3" s="1"/>
  <c r="T287" i="3" a="1"/>
  <c r="T287" i="3" s="1"/>
  <c r="R287" i="3" a="1"/>
  <c r="R287" i="3" s="1"/>
  <c r="O287" i="3" a="1"/>
  <c r="O287" i="3" s="1"/>
  <c r="U287" i="3" a="1"/>
  <c r="U287" i="3" s="1"/>
  <c r="P287" i="3" a="1"/>
  <c r="P287" i="3" s="1"/>
  <c r="S287" i="3" a="1"/>
  <c r="S287" i="3" s="1"/>
  <c r="N287" i="3" a="1"/>
  <c r="N287" i="3" s="1"/>
  <c r="B288" i="3"/>
  <c r="AD288" i="3" l="1" a="1"/>
  <c r="AD288" i="3" s="1"/>
  <c r="Y288" i="3" a="1"/>
  <c r="Y288" i="3" s="1"/>
  <c r="Z288" i="3" a="1"/>
  <c r="Z288" i="3" s="1"/>
  <c r="AB288" i="3" a="1"/>
  <c r="AB288" i="3" s="1"/>
  <c r="AA288" i="3" a="1"/>
  <c r="AA288" i="3" s="1"/>
  <c r="AC288" i="3" a="1"/>
  <c r="AC288" i="3" s="1"/>
  <c r="X288" i="3" a="1"/>
  <c r="X288" i="3" s="1"/>
  <c r="V288" i="3" a="1"/>
  <c r="V288" i="3" s="1"/>
  <c r="W288" i="3" a="1"/>
  <c r="W288" i="3" s="1"/>
  <c r="I288" i="3" a="1"/>
  <c r="I288" i="3" s="1"/>
  <c r="J288" i="3" a="1"/>
  <c r="J288" i="3" s="1"/>
  <c r="D288" i="3" a="1"/>
  <c r="D288" i="3" s="1"/>
  <c r="H288" i="3" a="1"/>
  <c r="H288" i="3" s="1"/>
  <c r="G288" i="3" a="1"/>
  <c r="G288" i="3" s="1"/>
  <c r="F288" i="3" a="1"/>
  <c r="F288" i="3" s="1"/>
  <c r="C288" i="3" a="1"/>
  <c r="C288" i="3" s="1"/>
  <c r="Q288" i="3" a="1"/>
  <c r="Q288" i="3" s="1"/>
  <c r="K288" i="3" a="1"/>
  <c r="K288" i="3" s="1"/>
  <c r="E288" i="3" a="1"/>
  <c r="E288" i="3" s="1"/>
  <c r="T288" i="3" a="1"/>
  <c r="T288" i="3" s="1"/>
  <c r="S288" i="3" a="1"/>
  <c r="S288" i="3" s="1"/>
  <c r="R288" i="3" a="1"/>
  <c r="R288" i="3" s="1"/>
  <c r="M288" i="3" a="1"/>
  <c r="M288" i="3" s="1"/>
  <c r="L288" i="3" a="1"/>
  <c r="L288" i="3" s="1"/>
  <c r="O288" i="3" a="1"/>
  <c r="O288" i="3" s="1"/>
  <c r="U288" i="3" a="1"/>
  <c r="U288" i="3" s="1"/>
  <c r="P288" i="3" a="1"/>
  <c r="P288" i="3" s="1"/>
  <c r="N288" i="3" a="1"/>
  <c r="N288" i="3" s="1"/>
  <c r="B289" i="3"/>
  <c r="AD289" i="3" l="1" a="1"/>
  <c r="AD289" i="3" s="1"/>
  <c r="Y289" i="3" a="1"/>
  <c r="Y289" i="3" s="1"/>
  <c r="Z289" i="3" a="1"/>
  <c r="Z289" i="3" s="1"/>
  <c r="AB289" i="3" a="1"/>
  <c r="AB289" i="3" s="1"/>
  <c r="AA289" i="3" a="1"/>
  <c r="AA289" i="3" s="1"/>
  <c r="AC289" i="3" a="1"/>
  <c r="AC289" i="3" s="1"/>
  <c r="X289" i="3" a="1"/>
  <c r="X289" i="3" s="1"/>
  <c r="V289" i="3" a="1"/>
  <c r="V289" i="3" s="1"/>
  <c r="W289" i="3" a="1"/>
  <c r="W289" i="3" s="1"/>
  <c r="I289" i="3" a="1"/>
  <c r="I289" i="3" s="1"/>
  <c r="J289" i="3" a="1"/>
  <c r="J289" i="3" s="1"/>
  <c r="D289" i="3" a="1"/>
  <c r="D289" i="3" s="1"/>
  <c r="F289" i="3" a="1"/>
  <c r="F289" i="3" s="1"/>
  <c r="G289" i="3" a="1"/>
  <c r="G289" i="3" s="1"/>
  <c r="H289" i="3" a="1"/>
  <c r="H289" i="3" s="1"/>
  <c r="C289" i="3" a="1"/>
  <c r="C289" i="3" s="1"/>
  <c r="Q289" i="3" a="1"/>
  <c r="Q289" i="3" s="1"/>
  <c r="K289" i="3" a="1"/>
  <c r="K289" i="3" s="1"/>
  <c r="E289" i="3" a="1"/>
  <c r="E289" i="3" s="1"/>
  <c r="S289" i="3" a="1"/>
  <c r="S289" i="3" s="1"/>
  <c r="M289" i="3" a="1"/>
  <c r="M289" i="3" s="1"/>
  <c r="T289" i="3" a="1"/>
  <c r="T289" i="3" s="1"/>
  <c r="R289" i="3" a="1"/>
  <c r="R289" i="3" s="1"/>
  <c r="L289" i="3" a="1"/>
  <c r="L289" i="3" s="1"/>
  <c r="P289" i="3" a="1"/>
  <c r="P289" i="3" s="1"/>
  <c r="U289" i="3" a="1"/>
  <c r="U289" i="3" s="1"/>
  <c r="O289" i="3" a="1"/>
  <c r="O289" i="3" s="1"/>
  <c r="N289" i="3" a="1"/>
  <c r="N289" i="3" s="1"/>
  <c r="B290" i="3"/>
  <c r="Z290" i="3" l="1" a="1"/>
  <c r="Z290" i="3" s="1"/>
  <c r="Y290" i="3" a="1"/>
  <c r="Y290" i="3" s="1"/>
  <c r="AD290" i="3" a="1"/>
  <c r="AD290" i="3" s="1"/>
  <c r="AB290" i="3" a="1"/>
  <c r="AB290" i="3" s="1"/>
  <c r="AC290" i="3" a="1"/>
  <c r="AC290" i="3" s="1"/>
  <c r="AA290" i="3" a="1"/>
  <c r="AA290" i="3" s="1"/>
  <c r="V290" i="3" a="1"/>
  <c r="V290" i="3" s="1"/>
  <c r="X290" i="3" a="1"/>
  <c r="X290" i="3" s="1"/>
  <c r="W290" i="3" a="1"/>
  <c r="W290" i="3" s="1"/>
  <c r="I290" i="3" a="1"/>
  <c r="I290" i="3" s="1"/>
  <c r="J290" i="3" a="1"/>
  <c r="J290" i="3" s="1"/>
  <c r="D290" i="3" a="1"/>
  <c r="D290" i="3" s="1"/>
  <c r="F290" i="3" a="1"/>
  <c r="F290" i="3" s="1"/>
  <c r="G290" i="3" a="1"/>
  <c r="G290" i="3" s="1"/>
  <c r="H290" i="3" a="1"/>
  <c r="H290" i="3" s="1"/>
  <c r="C290" i="3" a="1"/>
  <c r="C290" i="3" s="1"/>
  <c r="Q290" i="3" a="1"/>
  <c r="Q290" i="3" s="1"/>
  <c r="K290" i="3" a="1"/>
  <c r="K290" i="3" s="1"/>
  <c r="E290" i="3" a="1"/>
  <c r="E290" i="3" s="1"/>
  <c r="S290" i="3" a="1"/>
  <c r="S290" i="3" s="1"/>
  <c r="L290" i="3" a="1"/>
  <c r="L290" i="3" s="1"/>
  <c r="M290" i="3" a="1"/>
  <c r="M290" i="3" s="1"/>
  <c r="R290" i="3" a="1"/>
  <c r="R290" i="3" s="1"/>
  <c r="U290" i="3" a="1"/>
  <c r="U290" i="3" s="1"/>
  <c r="O290" i="3" a="1"/>
  <c r="O290" i="3" s="1"/>
  <c r="T290" i="3" a="1"/>
  <c r="T290" i="3" s="1"/>
  <c r="P290" i="3" a="1"/>
  <c r="P290" i="3" s="1"/>
  <c r="N290" i="3" a="1"/>
  <c r="N290" i="3" s="1"/>
  <c r="B291" i="3"/>
  <c r="AD291" i="3" l="1" a="1"/>
  <c r="AD291" i="3" s="1"/>
  <c r="Y291" i="3" a="1"/>
  <c r="Y291" i="3" s="1"/>
  <c r="Z291" i="3" a="1"/>
  <c r="Z291" i="3" s="1"/>
  <c r="AA291" i="3" a="1"/>
  <c r="AA291" i="3" s="1"/>
  <c r="AC291" i="3" a="1"/>
  <c r="AC291" i="3" s="1"/>
  <c r="AB291" i="3" a="1"/>
  <c r="AB291" i="3" s="1"/>
  <c r="X291" i="3" a="1"/>
  <c r="X291" i="3" s="1"/>
  <c r="V291" i="3" a="1"/>
  <c r="V291" i="3" s="1"/>
  <c r="W291" i="3" a="1"/>
  <c r="W291" i="3" s="1"/>
  <c r="I291" i="3" a="1"/>
  <c r="I291" i="3" s="1"/>
  <c r="J291" i="3" a="1"/>
  <c r="J291" i="3" s="1"/>
  <c r="D291" i="3" a="1"/>
  <c r="D291" i="3" s="1"/>
  <c r="F291" i="3" a="1"/>
  <c r="F291" i="3" s="1"/>
  <c r="H291" i="3" a="1"/>
  <c r="H291" i="3" s="1"/>
  <c r="G291" i="3" a="1"/>
  <c r="G291" i="3" s="1"/>
  <c r="C291" i="3" a="1"/>
  <c r="C291" i="3" s="1"/>
  <c r="E291" i="3" a="1"/>
  <c r="E291" i="3" s="1"/>
  <c r="Q291" i="3" a="1"/>
  <c r="Q291" i="3" s="1"/>
  <c r="K291" i="3" a="1"/>
  <c r="K291" i="3" s="1"/>
  <c r="L291" i="3" a="1"/>
  <c r="L291" i="3" s="1"/>
  <c r="R291" i="3" a="1"/>
  <c r="R291" i="3" s="1"/>
  <c r="S291" i="3" a="1"/>
  <c r="S291" i="3" s="1"/>
  <c r="M291" i="3" a="1"/>
  <c r="M291" i="3" s="1"/>
  <c r="P291" i="3" a="1"/>
  <c r="P291" i="3" s="1"/>
  <c r="O291" i="3" a="1"/>
  <c r="O291" i="3" s="1"/>
  <c r="T291" i="3" a="1"/>
  <c r="T291" i="3" s="1"/>
  <c r="U291" i="3" a="1"/>
  <c r="U291" i="3" s="1"/>
  <c r="N291" i="3" a="1"/>
  <c r="N291" i="3" s="1"/>
  <c r="B292" i="3"/>
  <c r="AD292" i="3" l="1" a="1"/>
  <c r="AD292" i="3" s="1"/>
  <c r="Y292" i="3" a="1"/>
  <c r="Y292" i="3" s="1"/>
  <c r="Z292" i="3" a="1"/>
  <c r="Z292" i="3" s="1"/>
  <c r="AB292" i="3" a="1"/>
  <c r="AB292" i="3" s="1"/>
  <c r="AA292" i="3" a="1"/>
  <c r="AA292" i="3" s="1"/>
  <c r="AC292" i="3" a="1"/>
  <c r="AC292" i="3" s="1"/>
  <c r="X292" i="3" a="1"/>
  <c r="X292" i="3" s="1"/>
  <c r="V292" i="3" a="1"/>
  <c r="V292" i="3" s="1"/>
  <c r="W292" i="3" a="1"/>
  <c r="W292" i="3" s="1"/>
  <c r="I292" i="3" a="1"/>
  <c r="I292" i="3" s="1"/>
  <c r="J292" i="3" a="1"/>
  <c r="J292" i="3" s="1"/>
  <c r="D292" i="3" a="1"/>
  <c r="D292" i="3" s="1"/>
  <c r="G292" i="3" a="1"/>
  <c r="G292" i="3" s="1"/>
  <c r="F292" i="3" a="1"/>
  <c r="F292" i="3" s="1"/>
  <c r="H292" i="3" a="1"/>
  <c r="H292" i="3" s="1"/>
  <c r="C292" i="3" a="1"/>
  <c r="C292" i="3" s="1"/>
  <c r="Q292" i="3" a="1"/>
  <c r="Q292" i="3" s="1"/>
  <c r="K292" i="3" a="1"/>
  <c r="K292" i="3" s="1"/>
  <c r="E292" i="3" a="1"/>
  <c r="E292" i="3" s="1"/>
  <c r="R292" i="3" a="1"/>
  <c r="R292" i="3" s="1"/>
  <c r="L292" i="3" a="1"/>
  <c r="L292" i="3" s="1"/>
  <c r="S292" i="3" a="1"/>
  <c r="S292" i="3" s="1"/>
  <c r="M292" i="3" a="1"/>
  <c r="M292" i="3" s="1"/>
  <c r="T292" i="3" a="1"/>
  <c r="T292" i="3" s="1"/>
  <c r="U292" i="3" a="1"/>
  <c r="U292" i="3" s="1"/>
  <c r="P292" i="3" a="1"/>
  <c r="P292" i="3" s="1"/>
  <c r="O292" i="3" a="1"/>
  <c r="O292" i="3" s="1"/>
  <c r="N292" i="3" a="1"/>
  <c r="N292" i="3" s="1"/>
  <c r="B293" i="3"/>
  <c r="Y293" i="3" l="1" a="1"/>
  <c r="Y293" i="3" s="1"/>
  <c r="AD293" i="3" a="1"/>
  <c r="AD293" i="3" s="1"/>
  <c r="Z293" i="3" a="1"/>
  <c r="Z293" i="3" s="1"/>
  <c r="AB293" i="3" a="1"/>
  <c r="AB293" i="3" s="1"/>
  <c r="AA293" i="3" a="1"/>
  <c r="AA293" i="3" s="1"/>
  <c r="AC293" i="3" a="1"/>
  <c r="AC293" i="3" s="1"/>
  <c r="V293" i="3" a="1"/>
  <c r="V293" i="3" s="1"/>
  <c r="X293" i="3" a="1"/>
  <c r="X293" i="3" s="1"/>
  <c r="W293" i="3" a="1"/>
  <c r="W293" i="3" s="1"/>
  <c r="I293" i="3" a="1"/>
  <c r="I293" i="3" s="1"/>
  <c r="J293" i="3" a="1"/>
  <c r="J293" i="3" s="1"/>
  <c r="D293" i="3" a="1"/>
  <c r="D293" i="3" s="1"/>
  <c r="F293" i="3" a="1"/>
  <c r="F293" i="3" s="1"/>
  <c r="H293" i="3" a="1"/>
  <c r="H293" i="3" s="1"/>
  <c r="G293" i="3" a="1"/>
  <c r="G293" i="3" s="1"/>
  <c r="C293" i="3" a="1"/>
  <c r="C293" i="3" s="1"/>
  <c r="E293" i="3" a="1"/>
  <c r="E293" i="3" s="1"/>
  <c r="Q293" i="3" a="1"/>
  <c r="Q293" i="3" s="1"/>
  <c r="K293" i="3" a="1"/>
  <c r="K293" i="3" s="1"/>
  <c r="R293" i="3" a="1"/>
  <c r="R293" i="3" s="1"/>
  <c r="S293" i="3" a="1"/>
  <c r="S293" i="3" s="1"/>
  <c r="L293" i="3" a="1"/>
  <c r="L293" i="3" s="1"/>
  <c r="T293" i="3" a="1"/>
  <c r="T293" i="3" s="1"/>
  <c r="P293" i="3" a="1"/>
  <c r="P293" i="3" s="1"/>
  <c r="O293" i="3" a="1"/>
  <c r="O293" i="3" s="1"/>
  <c r="U293" i="3" a="1"/>
  <c r="U293" i="3" s="1"/>
  <c r="M293" i="3" a="1"/>
  <c r="M293" i="3" s="1"/>
  <c r="N293" i="3" a="1"/>
  <c r="N293" i="3" s="1"/>
  <c r="B294" i="3"/>
  <c r="AD294" i="3" l="1" a="1"/>
  <c r="AD294" i="3" s="1"/>
  <c r="Y294" i="3" a="1"/>
  <c r="Y294" i="3" s="1"/>
  <c r="Z294" i="3" a="1"/>
  <c r="Z294" i="3" s="1"/>
  <c r="AB294" i="3" a="1"/>
  <c r="AB294" i="3" s="1"/>
  <c r="AC294" i="3" a="1"/>
  <c r="AC294" i="3" s="1"/>
  <c r="AA294" i="3" a="1"/>
  <c r="AA294" i="3" s="1"/>
  <c r="V294" i="3" a="1"/>
  <c r="V294" i="3" s="1"/>
  <c r="X294" i="3" a="1"/>
  <c r="X294" i="3" s="1"/>
  <c r="W294" i="3" a="1"/>
  <c r="W294" i="3" s="1"/>
  <c r="I294" i="3" a="1"/>
  <c r="I294" i="3" s="1"/>
  <c r="J294" i="3" a="1"/>
  <c r="J294" i="3" s="1"/>
  <c r="D294" i="3" a="1"/>
  <c r="D294" i="3" s="1"/>
  <c r="H294" i="3" a="1"/>
  <c r="H294" i="3" s="1"/>
  <c r="F294" i="3" a="1"/>
  <c r="F294" i="3" s="1"/>
  <c r="G294" i="3" a="1"/>
  <c r="G294" i="3" s="1"/>
  <c r="C294" i="3" a="1"/>
  <c r="C294" i="3" s="1"/>
  <c r="E294" i="3" a="1"/>
  <c r="E294" i="3" s="1"/>
  <c r="Q294" i="3" a="1"/>
  <c r="Q294" i="3" s="1"/>
  <c r="K294" i="3" a="1"/>
  <c r="K294" i="3" s="1"/>
  <c r="R294" i="3" a="1"/>
  <c r="R294" i="3" s="1"/>
  <c r="L294" i="3" a="1"/>
  <c r="L294" i="3" s="1"/>
  <c r="S294" i="3" a="1"/>
  <c r="S294" i="3" s="1"/>
  <c r="M294" i="3" a="1"/>
  <c r="M294" i="3" s="1"/>
  <c r="T294" i="3" a="1"/>
  <c r="T294" i="3" s="1"/>
  <c r="O294" i="3" a="1"/>
  <c r="O294" i="3" s="1"/>
  <c r="U294" i="3" a="1"/>
  <c r="U294" i="3" s="1"/>
  <c r="P294" i="3" a="1"/>
  <c r="P294" i="3" s="1"/>
  <c r="N294" i="3" a="1"/>
  <c r="N294" i="3" s="1"/>
  <c r="B295" i="3"/>
  <c r="AD295" i="3" l="1" a="1"/>
  <c r="AD295" i="3" s="1"/>
  <c r="Y295" i="3" a="1"/>
  <c r="Y295" i="3" s="1"/>
  <c r="Z295" i="3" a="1"/>
  <c r="Z295" i="3" s="1"/>
  <c r="AB295" i="3" a="1"/>
  <c r="AB295" i="3" s="1"/>
  <c r="AC295" i="3" a="1"/>
  <c r="AC295" i="3" s="1"/>
  <c r="AA295" i="3" a="1"/>
  <c r="AA295" i="3" s="1"/>
  <c r="V295" i="3" a="1"/>
  <c r="V295" i="3" s="1"/>
  <c r="X295" i="3" a="1"/>
  <c r="X295" i="3" s="1"/>
  <c r="W295" i="3" a="1"/>
  <c r="W295" i="3" s="1"/>
  <c r="I295" i="3" a="1"/>
  <c r="I295" i="3" s="1"/>
  <c r="J295" i="3" a="1"/>
  <c r="J295" i="3" s="1"/>
  <c r="D295" i="3" a="1"/>
  <c r="D295" i="3" s="1"/>
  <c r="H295" i="3" a="1"/>
  <c r="H295" i="3" s="1"/>
  <c r="F295" i="3" a="1"/>
  <c r="F295" i="3" s="1"/>
  <c r="G295" i="3" a="1"/>
  <c r="G295" i="3" s="1"/>
  <c r="C295" i="3" a="1"/>
  <c r="C295" i="3" s="1"/>
  <c r="E295" i="3" a="1"/>
  <c r="E295" i="3" s="1"/>
  <c r="Q295" i="3" a="1"/>
  <c r="Q295" i="3" s="1"/>
  <c r="K295" i="3" a="1"/>
  <c r="K295" i="3" s="1"/>
  <c r="M295" i="3" a="1"/>
  <c r="M295" i="3" s="1"/>
  <c r="S295" i="3" a="1"/>
  <c r="S295" i="3" s="1"/>
  <c r="T295" i="3" a="1"/>
  <c r="T295" i="3" s="1"/>
  <c r="L295" i="3" a="1"/>
  <c r="L295" i="3" s="1"/>
  <c r="U295" i="3" a="1"/>
  <c r="U295" i="3" s="1"/>
  <c r="P295" i="3" a="1"/>
  <c r="P295" i="3" s="1"/>
  <c r="R295" i="3" a="1"/>
  <c r="R295" i="3" s="1"/>
  <c r="O295" i="3" a="1"/>
  <c r="O295" i="3" s="1"/>
  <c r="N295" i="3" a="1"/>
  <c r="N295" i="3" s="1"/>
  <c r="B296" i="3"/>
  <c r="AD296" i="3" l="1" a="1"/>
  <c r="AD296" i="3" s="1"/>
  <c r="Y296" i="3" a="1"/>
  <c r="Y296" i="3" s="1"/>
  <c r="Z296" i="3" a="1"/>
  <c r="Z296" i="3" s="1"/>
  <c r="AB296" i="3" a="1"/>
  <c r="AB296" i="3" s="1"/>
  <c r="AA296" i="3" a="1"/>
  <c r="AA296" i="3" s="1"/>
  <c r="AC296" i="3" a="1"/>
  <c r="AC296" i="3" s="1"/>
  <c r="X296" i="3" a="1"/>
  <c r="X296" i="3" s="1"/>
  <c r="V296" i="3" a="1"/>
  <c r="V296" i="3" s="1"/>
  <c r="W296" i="3" a="1"/>
  <c r="W296" i="3" s="1"/>
  <c r="I296" i="3" a="1"/>
  <c r="I296" i="3" s="1"/>
  <c r="J296" i="3" a="1"/>
  <c r="J296" i="3" s="1"/>
  <c r="D296" i="3" a="1"/>
  <c r="D296" i="3" s="1"/>
  <c r="H296" i="3" a="1"/>
  <c r="H296" i="3" s="1"/>
  <c r="G296" i="3" a="1"/>
  <c r="G296" i="3" s="1"/>
  <c r="F296" i="3" a="1"/>
  <c r="F296" i="3" s="1"/>
  <c r="C296" i="3" a="1"/>
  <c r="C296" i="3" s="1"/>
  <c r="E296" i="3" a="1"/>
  <c r="E296" i="3" s="1"/>
  <c r="Q296" i="3" a="1"/>
  <c r="Q296" i="3" s="1"/>
  <c r="K296" i="3" a="1"/>
  <c r="K296" i="3" s="1"/>
  <c r="T296" i="3" a="1"/>
  <c r="T296" i="3" s="1"/>
  <c r="S296" i="3" a="1"/>
  <c r="S296" i="3" s="1"/>
  <c r="R296" i="3" a="1"/>
  <c r="R296" i="3" s="1"/>
  <c r="M296" i="3" a="1"/>
  <c r="M296" i="3" s="1"/>
  <c r="O296" i="3" a="1"/>
  <c r="O296" i="3" s="1"/>
  <c r="U296" i="3" a="1"/>
  <c r="U296" i="3" s="1"/>
  <c r="P296" i="3" a="1"/>
  <c r="P296" i="3" s="1"/>
  <c r="L296" i="3" a="1"/>
  <c r="L296" i="3" s="1"/>
  <c r="N296" i="3" a="1"/>
  <c r="N296" i="3" s="1"/>
  <c r="B297" i="3"/>
  <c r="AD297" i="3" l="1" a="1"/>
  <c r="AD297" i="3" s="1"/>
  <c r="Y297" i="3" a="1"/>
  <c r="Y297" i="3" s="1"/>
  <c r="Z297" i="3" a="1"/>
  <c r="Z297" i="3" s="1"/>
  <c r="AB297" i="3" a="1"/>
  <c r="AB297" i="3" s="1"/>
  <c r="AC297" i="3" a="1"/>
  <c r="AC297" i="3" s="1"/>
  <c r="AA297" i="3" a="1"/>
  <c r="AA297" i="3" s="1"/>
  <c r="X297" i="3" a="1"/>
  <c r="X297" i="3" s="1"/>
  <c r="V297" i="3" a="1"/>
  <c r="V297" i="3" s="1"/>
  <c r="W297" i="3" a="1"/>
  <c r="W297" i="3" s="1"/>
  <c r="I297" i="3" a="1"/>
  <c r="I297" i="3" s="1"/>
  <c r="J297" i="3" a="1"/>
  <c r="J297" i="3" s="1"/>
  <c r="D297" i="3" a="1"/>
  <c r="D297" i="3" s="1"/>
  <c r="H297" i="3" a="1"/>
  <c r="H297" i="3" s="1"/>
  <c r="F297" i="3" a="1"/>
  <c r="F297" i="3" s="1"/>
  <c r="G297" i="3" a="1"/>
  <c r="G297" i="3" s="1"/>
  <c r="C297" i="3" a="1"/>
  <c r="C297" i="3" s="1"/>
  <c r="Q297" i="3" a="1"/>
  <c r="Q297" i="3" s="1"/>
  <c r="K297" i="3" a="1"/>
  <c r="K297" i="3" s="1"/>
  <c r="E297" i="3" a="1"/>
  <c r="E297" i="3" s="1"/>
  <c r="S297" i="3" a="1"/>
  <c r="S297" i="3" s="1"/>
  <c r="M297" i="3" a="1"/>
  <c r="M297" i="3" s="1"/>
  <c r="R297" i="3" a="1"/>
  <c r="R297" i="3" s="1"/>
  <c r="P297" i="3" a="1"/>
  <c r="P297" i="3" s="1"/>
  <c r="L297" i="3" a="1"/>
  <c r="L297" i="3" s="1"/>
  <c r="U297" i="3" a="1"/>
  <c r="U297" i="3" s="1"/>
  <c r="T297" i="3" a="1"/>
  <c r="T297" i="3" s="1"/>
  <c r="O297" i="3" a="1"/>
  <c r="O297" i="3" s="1"/>
  <c r="N297" i="3" a="1"/>
  <c r="N297" i="3" s="1"/>
  <c r="B298" i="3"/>
  <c r="AD298" i="3" l="1" a="1"/>
  <c r="AD298" i="3" s="1"/>
  <c r="Y298" i="3" a="1"/>
  <c r="Y298" i="3" s="1"/>
  <c r="Z298" i="3" a="1"/>
  <c r="Z298" i="3" s="1"/>
  <c r="AB298" i="3" a="1"/>
  <c r="AB298" i="3" s="1"/>
  <c r="AC298" i="3" a="1"/>
  <c r="AC298" i="3" s="1"/>
  <c r="AA298" i="3" a="1"/>
  <c r="AA298" i="3" s="1"/>
  <c r="V298" i="3" a="1"/>
  <c r="V298" i="3" s="1"/>
  <c r="X298" i="3" a="1"/>
  <c r="X298" i="3" s="1"/>
  <c r="W298" i="3" a="1"/>
  <c r="W298" i="3" s="1"/>
  <c r="I298" i="3" a="1"/>
  <c r="I298" i="3" s="1"/>
  <c r="J298" i="3" a="1"/>
  <c r="J298" i="3" s="1"/>
  <c r="D298" i="3" a="1"/>
  <c r="D298" i="3" s="1"/>
  <c r="H298" i="3" a="1"/>
  <c r="H298" i="3" s="1"/>
  <c r="G298" i="3" a="1"/>
  <c r="G298" i="3" s="1"/>
  <c r="F298" i="3" a="1"/>
  <c r="F298" i="3" s="1"/>
  <c r="C298" i="3" a="1"/>
  <c r="C298" i="3" s="1"/>
  <c r="Q298" i="3" a="1"/>
  <c r="Q298" i="3" s="1"/>
  <c r="K298" i="3" a="1"/>
  <c r="K298" i="3" s="1"/>
  <c r="E298" i="3" a="1"/>
  <c r="E298" i="3" s="1"/>
  <c r="T298" i="3" a="1"/>
  <c r="T298" i="3" s="1"/>
  <c r="S298" i="3" a="1"/>
  <c r="S298" i="3" s="1"/>
  <c r="L298" i="3" a="1"/>
  <c r="L298" i="3" s="1"/>
  <c r="M298" i="3" a="1"/>
  <c r="M298" i="3" s="1"/>
  <c r="R298" i="3" a="1"/>
  <c r="R298" i="3" s="1"/>
  <c r="P298" i="3" a="1"/>
  <c r="P298" i="3" s="1"/>
  <c r="U298" i="3" a="1"/>
  <c r="U298" i="3" s="1"/>
  <c r="O298" i="3" a="1"/>
  <c r="O298" i="3" s="1"/>
  <c r="N298" i="3" a="1"/>
  <c r="N298" i="3" s="1"/>
  <c r="B299" i="3"/>
  <c r="Y299" i="3" l="1" a="1"/>
  <c r="Y299" i="3" s="1"/>
  <c r="AD299" i="3" a="1"/>
  <c r="AD299" i="3" s="1"/>
  <c r="Z299" i="3" a="1"/>
  <c r="Z299" i="3" s="1"/>
  <c r="AB299" i="3" a="1"/>
  <c r="AB299" i="3" s="1"/>
  <c r="AC299" i="3" a="1"/>
  <c r="AC299" i="3" s="1"/>
  <c r="AA299" i="3" a="1"/>
  <c r="AA299" i="3" s="1"/>
  <c r="X299" i="3" a="1"/>
  <c r="X299" i="3" s="1"/>
  <c r="V299" i="3" a="1"/>
  <c r="V299" i="3" s="1"/>
  <c r="W299" i="3" a="1"/>
  <c r="W299" i="3" s="1"/>
  <c r="I299" i="3" a="1"/>
  <c r="I299" i="3" s="1"/>
  <c r="J299" i="3" a="1"/>
  <c r="J299" i="3" s="1"/>
  <c r="D299" i="3" a="1"/>
  <c r="D299" i="3" s="1"/>
  <c r="H299" i="3" a="1"/>
  <c r="H299" i="3" s="1"/>
  <c r="F299" i="3" a="1"/>
  <c r="F299" i="3" s="1"/>
  <c r="G299" i="3" a="1"/>
  <c r="G299" i="3" s="1"/>
  <c r="C299" i="3" a="1"/>
  <c r="C299" i="3" s="1"/>
  <c r="Q299" i="3" a="1"/>
  <c r="Q299" i="3" s="1"/>
  <c r="K299" i="3" a="1"/>
  <c r="K299" i="3" s="1"/>
  <c r="E299" i="3" a="1"/>
  <c r="E299" i="3" s="1"/>
  <c r="L299" i="3" a="1"/>
  <c r="L299" i="3" s="1"/>
  <c r="R299" i="3" a="1"/>
  <c r="R299" i="3" s="1"/>
  <c r="S299" i="3" a="1"/>
  <c r="S299" i="3" s="1"/>
  <c r="M299" i="3" a="1"/>
  <c r="M299" i="3" s="1"/>
  <c r="P299" i="3" a="1"/>
  <c r="P299" i="3" s="1"/>
  <c r="O299" i="3" a="1"/>
  <c r="O299" i="3" s="1"/>
  <c r="T299" i="3" a="1"/>
  <c r="T299" i="3" s="1"/>
  <c r="U299" i="3" a="1"/>
  <c r="U299" i="3" s="1"/>
  <c r="N299" i="3" a="1"/>
  <c r="N299" i="3" s="1"/>
  <c r="B300" i="3"/>
  <c r="AD300" i="3" l="1" a="1"/>
  <c r="AD300" i="3" s="1"/>
  <c r="Y300" i="3" a="1"/>
  <c r="Y300" i="3" s="1"/>
  <c r="Z300" i="3" a="1"/>
  <c r="Z300" i="3" s="1"/>
  <c r="AB300" i="3" a="1"/>
  <c r="AB300" i="3" s="1"/>
  <c r="AA300" i="3" a="1"/>
  <c r="AA300" i="3" s="1"/>
  <c r="AC300" i="3" a="1"/>
  <c r="AC300" i="3" s="1"/>
  <c r="X300" i="3" a="1"/>
  <c r="X300" i="3" s="1"/>
  <c r="V300" i="3" a="1"/>
  <c r="V300" i="3" s="1"/>
  <c r="W300" i="3" a="1"/>
  <c r="W300" i="3" s="1"/>
  <c r="I300" i="3" a="1"/>
  <c r="I300" i="3" s="1"/>
  <c r="J300" i="3" a="1"/>
  <c r="J300" i="3" s="1"/>
  <c r="D300" i="3" a="1"/>
  <c r="D300" i="3" s="1"/>
  <c r="H300" i="3" a="1"/>
  <c r="H300" i="3" s="1"/>
  <c r="G300" i="3" a="1"/>
  <c r="G300" i="3" s="1"/>
  <c r="F300" i="3" a="1"/>
  <c r="F300" i="3" s="1"/>
  <c r="C300" i="3" a="1"/>
  <c r="C300" i="3" s="1"/>
  <c r="Q300" i="3" a="1"/>
  <c r="Q300" i="3" s="1"/>
  <c r="K300" i="3" a="1"/>
  <c r="K300" i="3" s="1"/>
  <c r="E300" i="3" a="1"/>
  <c r="E300" i="3" s="1"/>
  <c r="R300" i="3" a="1"/>
  <c r="R300" i="3" s="1"/>
  <c r="L300" i="3" a="1"/>
  <c r="L300" i="3" s="1"/>
  <c r="S300" i="3" a="1"/>
  <c r="S300" i="3" s="1"/>
  <c r="M300" i="3" a="1"/>
  <c r="M300" i="3" s="1"/>
  <c r="T300" i="3" a="1"/>
  <c r="T300" i="3" s="1"/>
  <c r="O300" i="3" a="1"/>
  <c r="O300" i="3" s="1"/>
  <c r="U300" i="3" a="1"/>
  <c r="U300" i="3" s="1"/>
  <c r="P300" i="3" a="1"/>
  <c r="P300" i="3" s="1"/>
  <c r="N300" i="3" a="1"/>
  <c r="N300" i="3" s="1"/>
  <c r="B301" i="3"/>
  <c r="Y301" i="3" l="1" a="1"/>
  <c r="Y301" i="3" s="1"/>
  <c r="AD301" i="3" a="1"/>
  <c r="AD301" i="3" s="1"/>
  <c r="AB301" i="3" a="1"/>
  <c r="AB301" i="3" s="1"/>
  <c r="Z301" i="3" a="1"/>
  <c r="Z301" i="3" s="1"/>
  <c r="AC301" i="3" a="1"/>
  <c r="AC301" i="3" s="1"/>
  <c r="AA301" i="3" a="1"/>
  <c r="AA301" i="3" s="1"/>
  <c r="V301" i="3" a="1"/>
  <c r="V301" i="3" s="1"/>
  <c r="X301" i="3" a="1"/>
  <c r="X301" i="3" s="1"/>
  <c r="W301" i="3" a="1"/>
  <c r="W301" i="3" s="1"/>
  <c r="I301" i="3" a="1"/>
  <c r="I301" i="3" s="1"/>
  <c r="J301" i="3" a="1"/>
  <c r="J301" i="3" s="1"/>
  <c r="D301" i="3" a="1"/>
  <c r="D301" i="3" s="1"/>
  <c r="H301" i="3" a="1"/>
  <c r="H301" i="3" s="1"/>
  <c r="F301" i="3" a="1"/>
  <c r="F301" i="3" s="1"/>
  <c r="G301" i="3" a="1"/>
  <c r="G301" i="3" s="1"/>
  <c r="C301" i="3" a="1"/>
  <c r="C301" i="3" s="1"/>
  <c r="E301" i="3" a="1"/>
  <c r="E301" i="3" s="1"/>
  <c r="Q301" i="3" a="1"/>
  <c r="Q301" i="3" s="1"/>
  <c r="K301" i="3" a="1"/>
  <c r="K301" i="3" s="1"/>
  <c r="M301" i="3" a="1"/>
  <c r="M301" i="3" s="1"/>
  <c r="R301" i="3" a="1"/>
  <c r="R301" i="3" s="1"/>
  <c r="S301" i="3" a="1"/>
  <c r="S301" i="3" s="1"/>
  <c r="T301" i="3" a="1"/>
  <c r="T301" i="3" s="1"/>
  <c r="L301" i="3" a="1"/>
  <c r="L301" i="3" s="1"/>
  <c r="P301" i="3" a="1"/>
  <c r="P301" i="3" s="1"/>
  <c r="O301" i="3" a="1"/>
  <c r="O301" i="3" s="1"/>
  <c r="U301" i="3" a="1"/>
  <c r="U301" i="3" s="1"/>
  <c r="N301" i="3" a="1"/>
  <c r="N301" i="3" s="1"/>
  <c r="B302" i="3"/>
  <c r="AD302" i="3" l="1" a="1"/>
  <c r="AD302" i="3" s="1"/>
  <c r="Y302" i="3" a="1"/>
  <c r="Y302" i="3" s="1"/>
  <c r="Z302" i="3" a="1"/>
  <c r="Z302" i="3" s="1"/>
  <c r="AA302" i="3" a="1"/>
  <c r="AA302" i="3" s="1"/>
  <c r="AB302" i="3" a="1"/>
  <c r="AB302" i="3" s="1"/>
  <c r="AC302" i="3" a="1"/>
  <c r="AC302" i="3" s="1"/>
  <c r="X302" i="3" a="1"/>
  <c r="X302" i="3" s="1"/>
  <c r="V302" i="3" a="1"/>
  <c r="V302" i="3" s="1"/>
  <c r="W302" i="3" a="1"/>
  <c r="W302" i="3" s="1"/>
  <c r="I302" i="3" a="1"/>
  <c r="I302" i="3" s="1"/>
  <c r="J302" i="3" a="1"/>
  <c r="J302" i="3" s="1"/>
  <c r="D302" i="3" a="1"/>
  <c r="D302" i="3" s="1"/>
  <c r="G302" i="3" a="1"/>
  <c r="G302" i="3" s="1"/>
  <c r="F302" i="3" a="1"/>
  <c r="F302" i="3" s="1"/>
  <c r="H302" i="3" a="1"/>
  <c r="H302" i="3" s="1"/>
  <c r="C302" i="3" a="1"/>
  <c r="C302" i="3" s="1"/>
  <c r="K302" i="3" a="1"/>
  <c r="K302" i="3" s="1"/>
  <c r="E302" i="3" a="1"/>
  <c r="E302" i="3" s="1"/>
  <c r="Q302" i="3" a="1"/>
  <c r="Q302" i="3" s="1"/>
  <c r="R302" i="3" a="1"/>
  <c r="R302" i="3" s="1"/>
  <c r="M302" i="3" a="1"/>
  <c r="M302" i="3" s="1"/>
  <c r="S302" i="3" a="1"/>
  <c r="S302" i="3" s="1"/>
  <c r="U302" i="3" a="1"/>
  <c r="U302" i="3" s="1"/>
  <c r="T302" i="3" a="1"/>
  <c r="T302" i="3" s="1"/>
  <c r="L302" i="3" a="1"/>
  <c r="L302" i="3" s="1"/>
  <c r="P302" i="3" a="1"/>
  <c r="P302" i="3" s="1"/>
  <c r="O302" i="3" a="1"/>
  <c r="O302" i="3" s="1"/>
  <c r="N302" i="3" a="1"/>
  <c r="N302" i="3" s="1"/>
  <c r="B303" i="3"/>
  <c r="AD303" i="3" l="1" a="1"/>
  <c r="AD303" i="3" s="1"/>
  <c r="Y303" i="3" a="1"/>
  <c r="Y303" i="3" s="1"/>
  <c r="Z303" i="3" a="1"/>
  <c r="Z303" i="3" s="1"/>
  <c r="AA303" i="3" a="1"/>
  <c r="AA303" i="3" s="1"/>
  <c r="AC303" i="3" a="1"/>
  <c r="AC303" i="3" s="1"/>
  <c r="AB303" i="3" a="1"/>
  <c r="AB303" i="3" s="1"/>
  <c r="V303" i="3" a="1"/>
  <c r="V303" i="3" s="1"/>
  <c r="X303" i="3" a="1"/>
  <c r="X303" i="3" s="1"/>
  <c r="W303" i="3" a="1"/>
  <c r="W303" i="3" s="1"/>
  <c r="I303" i="3" a="1"/>
  <c r="I303" i="3" s="1"/>
  <c r="J303" i="3" a="1"/>
  <c r="J303" i="3" s="1"/>
  <c r="D303" i="3" a="1"/>
  <c r="D303" i="3" s="1"/>
  <c r="F303" i="3" a="1"/>
  <c r="F303" i="3" s="1"/>
  <c r="H303" i="3" a="1"/>
  <c r="H303" i="3" s="1"/>
  <c r="G303" i="3" a="1"/>
  <c r="G303" i="3" s="1"/>
  <c r="C303" i="3" a="1"/>
  <c r="C303" i="3" s="1"/>
  <c r="Q303" i="3" a="1"/>
  <c r="Q303" i="3" s="1"/>
  <c r="E303" i="3" a="1"/>
  <c r="E303" i="3" s="1"/>
  <c r="K303" i="3" a="1"/>
  <c r="K303" i="3" s="1"/>
  <c r="L303" i="3" a="1"/>
  <c r="L303" i="3" s="1"/>
  <c r="T303" i="3" a="1"/>
  <c r="T303" i="3" s="1"/>
  <c r="R303" i="3" a="1"/>
  <c r="R303" i="3" s="1"/>
  <c r="M303" i="3" a="1"/>
  <c r="M303" i="3" s="1"/>
  <c r="U303" i="3" a="1"/>
  <c r="U303" i="3" s="1"/>
  <c r="P303" i="3" a="1"/>
  <c r="P303" i="3" s="1"/>
  <c r="O303" i="3" a="1"/>
  <c r="O303" i="3" s="1"/>
  <c r="S303" i="3" a="1"/>
  <c r="S303" i="3" s="1"/>
  <c r="N303" i="3" a="1"/>
  <c r="N303" i="3" s="1"/>
  <c r="B304" i="3"/>
  <c r="AD304" i="3" l="1" a="1"/>
  <c r="AD304" i="3" s="1"/>
  <c r="Y304" i="3" a="1"/>
  <c r="Y304" i="3" s="1"/>
  <c r="AB304" i="3" a="1"/>
  <c r="AB304" i="3" s="1"/>
  <c r="Z304" i="3" a="1"/>
  <c r="Z304" i="3" s="1"/>
  <c r="AC304" i="3" a="1"/>
  <c r="AC304" i="3" s="1"/>
  <c r="AA304" i="3" a="1"/>
  <c r="AA304" i="3" s="1"/>
  <c r="V304" i="3" a="1"/>
  <c r="V304" i="3" s="1"/>
  <c r="X304" i="3" a="1"/>
  <c r="X304" i="3" s="1"/>
  <c r="W304" i="3" a="1"/>
  <c r="W304" i="3" s="1"/>
  <c r="I304" i="3" a="1"/>
  <c r="I304" i="3" s="1"/>
  <c r="J304" i="3" a="1"/>
  <c r="J304" i="3" s="1"/>
  <c r="D304" i="3" a="1"/>
  <c r="D304" i="3" s="1"/>
  <c r="F304" i="3" a="1"/>
  <c r="F304" i="3" s="1"/>
  <c r="G304" i="3" a="1"/>
  <c r="G304" i="3" s="1"/>
  <c r="H304" i="3" a="1"/>
  <c r="H304" i="3" s="1"/>
  <c r="C304" i="3" a="1"/>
  <c r="C304" i="3" s="1"/>
  <c r="K304" i="3" a="1"/>
  <c r="K304" i="3" s="1"/>
  <c r="Q304" i="3" a="1"/>
  <c r="Q304" i="3" s="1"/>
  <c r="E304" i="3" a="1"/>
  <c r="E304" i="3" s="1"/>
  <c r="R304" i="3" a="1"/>
  <c r="R304" i="3" s="1"/>
  <c r="L304" i="3" a="1"/>
  <c r="L304" i="3" s="1"/>
  <c r="U304" i="3" a="1"/>
  <c r="U304" i="3" s="1"/>
  <c r="O304" i="3" a="1"/>
  <c r="O304" i="3" s="1"/>
  <c r="P304" i="3" a="1"/>
  <c r="P304" i="3" s="1"/>
  <c r="M304" i="3" a="1"/>
  <c r="M304" i="3" s="1"/>
  <c r="S304" i="3" a="1"/>
  <c r="S304" i="3" s="1"/>
  <c r="N304" i="3" a="1"/>
  <c r="N304" i="3" s="1"/>
  <c r="T304" i="3" a="1"/>
  <c r="T304" i="3" s="1"/>
  <c r="B305" i="3"/>
  <c r="AD305" i="3" l="1" a="1"/>
  <c r="AD305" i="3" s="1"/>
  <c r="Y305" i="3" a="1"/>
  <c r="Y305" i="3" s="1"/>
  <c r="Z305" i="3" a="1"/>
  <c r="Z305" i="3" s="1"/>
  <c r="AC305" i="3" a="1"/>
  <c r="AC305" i="3" s="1"/>
  <c r="AA305" i="3" a="1"/>
  <c r="AA305" i="3" s="1"/>
  <c r="AB305" i="3" a="1"/>
  <c r="AB305" i="3" s="1"/>
  <c r="X305" i="3" a="1"/>
  <c r="X305" i="3" s="1"/>
  <c r="V305" i="3" a="1"/>
  <c r="V305" i="3" s="1"/>
  <c r="W305" i="3" a="1"/>
  <c r="W305" i="3" s="1"/>
  <c r="I305" i="3" a="1"/>
  <c r="I305" i="3" s="1"/>
  <c r="J305" i="3" a="1"/>
  <c r="J305" i="3" s="1"/>
  <c r="D305" i="3" a="1"/>
  <c r="D305" i="3" s="1"/>
  <c r="F305" i="3" a="1"/>
  <c r="F305" i="3" s="1"/>
  <c r="H305" i="3" a="1"/>
  <c r="H305" i="3" s="1"/>
  <c r="G305" i="3" a="1"/>
  <c r="G305" i="3" s="1"/>
  <c r="C305" i="3" a="1"/>
  <c r="C305" i="3" s="1"/>
  <c r="E305" i="3" a="1"/>
  <c r="E305" i="3" s="1"/>
  <c r="Q305" i="3" a="1"/>
  <c r="Q305" i="3" s="1"/>
  <c r="K305" i="3" a="1"/>
  <c r="K305" i="3" s="1"/>
  <c r="L305" i="3" a="1"/>
  <c r="L305" i="3" s="1"/>
  <c r="T305" i="3" a="1"/>
  <c r="T305" i="3" s="1"/>
  <c r="S305" i="3" a="1"/>
  <c r="S305" i="3" s="1"/>
  <c r="U305" i="3" a="1"/>
  <c r="U305" i="3" s="1"/>
  <c r="P305" i="3" a="1"/>
  <c r="P305" i="3" s="1"/>
  <c r="O305" i="3" a="1"/>
  <c r="O305" i="3" s="1"/>
  <c r="R305" i="3" a="1"/>
  <c r="R305" i="3" s="1"/>
  <c r="M305" i="3" a="1"/>
  <c r="M305" i="3" s="1"/>
  <c r="N305" i="3" a="1"/>
  <c r="N305" i="3" s="1"/>
  <c r="B306" i="3"/>
  <c r="AD306" i="3" l="1" a="1"/>
  <c r="AD306" i="3" s="1"/>
  <c r="Y306" i="3" a="1"/>
  <c r="Y306" i="3" s="1"/>
  <c r="Z306" i="3" a="1"/>
  <c r="Z306" i="3" s="1"/>
  <c r="AB306" i="3" a="1"/>
  <c r="AB306" i="3" s="1"/>
  <c r="AA306" i="3" a="1"/>
  <c r="AA306" i="3" s="1"/>
  <c r="AC306" i="3" a="1"/>
  <c r="AC306" i="3" s="1"/>
  <c r="V306" i="3" a="1"/>
  <c r="V306" i="3" s="1"/>
  <c r="X306" i="3" a="1"/>
  <c r="X306" i="3" s="1"/>
  <c r="W306" i="3" a="1"/>
  <c r="W306" i="3" s="1"/>
  <c r="I306" i="3" a="1"/>
  <c r="I306" i="3" s="1"/>
  <c r="J306" i="3" a="1"/>
  <c r="J306" i="3" s="1"/>
  <c r="D306" i="3" a="1"/>
  <c r="D306" i="3" s="1"/>
  <c r="H306" i="3" a="1"/>
  <c r="H306" i="3" s="1"/>
  <c r="G306" i="3" a="1"/>
  <c r="G306" i="3" s="1"/>
  <c r="F306" i="3" a="1"/>
  <c r="F306" i="3" s="1"/>
  <c r="C306" i="3" a="1"/>
  <c r="C306" i="3" s="1"/>
  <c r="Q306" i="3" a="1"/>
  <c r="Q306" i="3" s="1"/>
  <c r="K306" i="3" a="1"/>
  <c r="K306" i="3" s="1"/>
  <c r="P306" i="3" a="1"/>
  <c r="P306" i="3" s="1"/>
  <c r="E306" i="3" a="1"/>
  <c r="E306" i="3" s="1"/>
  <c r="L306" i="3" a="1"/>
  <c r="L306" i="3" s="1"/>
  <c r="R306" i="3" a="1"/>
  <c r="R306" i="3" s="1"/>
  <c r="T306" i="3" a="1"/>
  <c r="T306" i="3" s="1"/>
  <c r="S306" i="3" a="1"/>
  <c r="S306" i="3" s="1"/>
  <c r="O306" i="3" a="1"/>
  <c r="O306" i="3" s="1"/>
  <c r="U306" i="3" a="1"/>
  <c r="U306" i="3" s="1"/>
  <c r="N306" i="3" a="1"/>
  <c r="N306" i="3" s="1"/>
  <c r="M306" i="3" a="1"/>
  <c r="M306" i="3" s="1"/>
  <c r="B307" i="3"/>
  <c r="AD307" i="3" l="1" a="1"/>
  <c r="AD307" i="3" s="1"/>
  <c r="Y307" i="3" a="1"/>
  <c r="Y307" i="3" s="1"/>
  <c r="Z307" i="3" a="1"/>
  <c r="Z307" i="3" s="1"/>
  <c r="AB307" i="3" a="1"/>
  <c r="AB307" i="3" s="1"/>
  <c r="AA307" i="3" a="1"/>
  <c r="AA307" i="3" s="1"/>
  <c r="AC307" i="3" a="1"/>
  <c r="AC307" i="3" s="1"/>
  <c r="V307" i="3" a="1"/>
  <c r="V307" i="3" s="1"/>
  <c r="X307" i="3" a="1"/>
  <c r="X307" i="3" s="1"/>
  <c r="W307" i="3" a="1"/>
  <c r="W307" i="3" s="1"/>
  <c r="I307" i="3" a="1"/>
  <c r="I307" i="3" s="1"/>
  <c r="J307" i="3" a="1"/>
  <c r="J307" i="3" s="1"/>
  <c r="D307" i="3" a="1"/>
  <c r="D307" i="3" s="1"/>
  <c r="G307" i="3" a="1"/>
  <c r="G307" i="3" s="1"/>
  <c r="H307" i="3" a="1"/>
  <c r="H307" i="3" s="1"/>
  <c r="F307" i="3" a="1"/>
  <c r="F307" i="3" s="1"/>
  <c r="C307" i="3" a="1"/>
  <c r="C307" i="3" s="1"/>
  <c r="O307" i="3" a="1"/>
  <c r="O307" i="3" s="1"/>
  <c r="S307" i="3" a="1"/>
  <c r="S307" i="3" s="1"/>
  <c r="L307" i="3" a="1"/>
  <c r="L307" i="3" s="1"/>
  <c r="M307" i="3" a="1"/>
  <c r="M307" i="3" s="1"/>
  <c r="E307" i="3" a="1"/>
  <c r="E307" i="3" s="1"/>
  <c r="Q307" i="3" a="1"/>
  <c r="Q307" i="3" s="1"/>
  <c r="R307" i="3" a="1"/>
  <c r="R307" i="3" s="1"/>
  <c r="N307" i="3" a="1"/>
  <c r="N307" i="3" s="1"/>
  <c r="K307" i="3" a="1"/>
  <c r="K307" i="3" s="1"/>
  <c r="U307" i="3" a="1"/>
  <c r="U307" i="3" s="1"/>
  <c r="T307" i="3" a="1"/>
  <c r="T307" i="3" s="1"/>
  <c r="P307" i="3" a="1"/>
  <c r="P307" i="3" s="1"/>
  <c r="B308" i="3"/>
  <c r="AD308" i="3" l="1" a="1"/>
  <c r="AD308" i="3" s="1"/>
  <c r="Y308" i="3" a="1"/>
  <c r="Y308" i="3" s="1"/>
  <c r="AB308" i="3" a="1"/>
  <c r="AB308" i="3" s="1"/>
  <c r="Z308" i="3" a="1"/>
  <c r="Z308" i="3" s="1"/>
  <c r="AC308" i="3" a="1"/>
  <c r="AC308" i="3" s="1"/>
  <c r="AA308" i="3" a="1"/>
  <c r="AA308" i="3" s="1"/>
  <c r="V308" i="3" a="1"/>
  <c r="V308" i="3" s="1"/>
  <c r="X308" i="3" a="1"/>
  <c r="X308" i="3" s="1"/>
  <c r="W308" i="3" a="1"/>
  <c r="W308" i="3" s="1"/>
  <c r="I308" i="3" a="1"/>
  <c r="I308" i="3" s="1"/>
  <c r="J308" i="3" a="1"/>
  <c r="J308" i="3" s="1"/>
  <c r="D308" i="3" a="1"/>
  <c r="D308" i="3" s="1"/>
  <c r="H308" i="3" a="1"/>
  <c r="H308" i="3" s="1"/>
  <c r="F308" i="3" a="1"/>
  <c r="F308" i="3" s="1"/>
  <c r="G308" i="3" a="1"/>
  <c r="G308" i="3" s="1"/>
  <c r="C308" i="3" a="1"/>
  <c r="C308" i="3" s="1"/>
  <c r="U308" i="3" a="1"/>
  <c r="U308" i="3" s="1"/>
  <c r="M308" i="3" a="1"/>
  <c r="M308" i="3" s="1"/>
  <c r="Q308" i="3" a="1"/>
  <c r="Q308" i="3" s="1"/>
  <c r="T308" i="3" a="1"/>
  <c r="T308" i="3" s="1"/>
  <c r="P308" i="3" a="1"/>
  <c r="P308" i="3" s="1"/>
  <c r="O308" i="3" a="1"/>
  <c r="O308" i="3" s="1"/>
  <c r="L308" i="3" a="1"/>
  <c r="L308" i="3" s="1"/>
  <c r="E308" i="3" a="1"/>
  <c r="E308" i="3" s="1"/>
  <c r="K308" i="3" a="1"/>
  <c r="K308" i="3" s="1"/>
  <c r="R308" i="3" a="1"/>
  <c r="R308" i="3" s="1"/>
  <c r="S308" i="3" a="1"/>
  <c r="S308" i="3" s="1"/>
  <c r="N308" i="3" a="1"/>
  <c r="N308" i="3" s="1"/>
  <c r="B309" i="3"/>
  <c r="Y309" i="3" l="1" a="1"/>
  <c r="Y309" i="3" s="1"/>
  <c r="AD309" i="3" a="1"/>
  <c r="AD309" i="3" s="1"/>
  <c r="Z309" i="3" a="1"/>
  <c r="Z309" i="3" s="1"/>
  <c r="AC309" i="3" a="1"/>
  <c r="AC309" i="3" s="1"/>
  <c r="AA309" i="3" a="1"/>
  <c r="AA309" i="3" s="1"/>
  <c r="AB309" i="3" a="1"/>
  <c r="AB309" i="3" s="1"/>
  <c r="V309" i="3" a="1"/>
  <c r="V309" i="3" s="1"/>
  <c r="X309" i="3" a="1"/>
  <c r="X309" i="3" s="1"/>
  <c r="W309" i="3" a="1"/>
  <c r="W309" i="3" s="1"/>
  <c r="I309" i="3" a="1"/>
  <c r="I309" i="3" s="1"/>
  <c r="J309" i="3" a="1"/>
  <c r="J309" i="3" s="1"/>
  <c r="D309" i="3" a="1"/>
  <c r="D309" i="3" s="1"/>
  <c r="G309" i="3" a="1"/>
  <c r="G309" i="3" s="1"/>
  <c r="F309" i="3" a="1"/>
  <c r="F309" i="3" s="1"/>
  <c r="H309" i="3" a="1"/>
  <c r="H309" i="3" s="1"/>
  <c r="C309" i="3" a="1"/>
  <c r="C309" i="3" s="1"/>
  <c r="Q309" i="3" a="1"/>
  <c r="Q309" i="3" s="1"/>
  <c r="L309" i="3" a="1"/>
  <c r="L309" i="3" s="1"/>
  <c r="K309" i="3" a="1"/>
  <c r="K309" i="3" s="1"/>
  <c r="O309" i="3" a="1"/>
  <c r="O309" i="3" s="1"/>
  <c r="E309" i="3" a="1"/>
  <c r="E309" i="3" s="1"/>
  <c r="P309" i="3" a="1"/>
  <c r="P309" i="3" s="1"/>
  <c r="U309" i="3" a="1"/>
  <c r="U309" i="3" s="1"/>
  <c r="T309" i="3" a="1"/>
  <c r="T309" i="3" s="1"/>
  <c r="S309" i="3" a="1"/>
  <c r="S309" i="3" s="1"/>
  <c r="M309" i="3" a="1"/>
  <c r="M309" i="3" s="1"/>
  <c r="R309" i="3" a="1"/>
  <c r="R309" i="3" s="1"/>
  <c r="N309" i="3" a="1"/>
  <c r="N309" i="3" s="1"/>
  <c r="B310" i="3"/>
  <c r="Y310" i="3" l="1" a="1"/>
  <c r="Y310" i="3" s="1"/>
  <c r="AD310" i="3" a="1"/>
  <c r="AD310" i="3" s="1"/>
  <c r="AB310" i="3" a="1"/>
  <c r="AB310" i="3" s="1"/>
  <c r="Z310" i="3" a="1"/>
  <c r="Z310" i="3" s="1"/>
  <c r="AA310" i="3" a="1"/>
  <c r="AA310" i="3" s="1"/>
  <c r="AC310" i="3" a="1"/>
  <c r="AC310" i="3" s="1"/>
  <c r="X310" i="3" a="1"/>
  <c r="X310" i="3" s="1"/>
  <c r="V310" i="3" a="1"/>
  <c r="V310" i="3" s="1"/>
  <c r="W310" i="3" a="1"/>
  <c r="W310" i="3" s="1"/>
  <c r="I310" i="3" a="1"/>
  <c r="I310" i="3" s="1"/>
  <c r="J310" i="3" a="1"/>
  <c r="J310" i="3" s="1"/>
  <c r="D310" i="3" a="1"/>
  <c r="D310" i="3" s="1"/>
  <c r="H310" i="3" a="1"/>
  <c r="H310" i="3" s="1"/>
  <c r="G310" i="3" a="1"/>
  <c r="G310" i="3" s="1"/>
  <c r="F310" i="3" a="1"/>
  <c r="F310" i="3" s="1"/>
  <c r="C310" i="3" a="1"/>
  <c r="C310" i="3" s="1"/>
  <c r="O310" i="3" a="1"/>
  <c r="O310" i="3" s="1"/>
  <c r="U310" i="3" a="1"/>
  <c r="U310" i="3" s="1"/>
  <c r="Q310" i="3" a="1"/>
  <c r="Q310" i="3" s="1"/>
  <c r="T310" i="3" a="1"/>
  <c r="T310" i="3" s="1"/>
  <c r="P310" i="3" a="1"/>
  <c r="P310" i="3" s="1"/>
  <c r="K310" i="3" a="1"/>
  <c r="K310" i="3" s="1"/>
  <c r="R310" i="3" a="1"/>
  <c r="R310" i="3" s="1"/>
  <c r="S310" i="3" a="1"/>
  <c r="S310" i="3" s="1"/>
  <c r="N310" i="3" a="1"/>
  <c r="N310" i="3" s="1"/>
  <c r="M310" i="3" a="1"/>
  <c r="M310" i="3" s="1"/>
  <c r="L310" i="3" a="1"/>
  <c r="L310" i="3" s="1"/>
  <c r="E310" i="3" a="1"/>
  <c r="E310" i="3" s="1"/>
  <c r="B311" i="3"/>
  <c r="Z311" i="3" l="1" a="1"/>
  <c r="Z311" i="3" s="1"/>
  <c r="AB311" i="3" a="1"/>
  <c r="AB311" i="3" s="1"/>
  <c r="Y311" i="3" a="1"/>
  <c r="Y311" i="3" s="1"/>
  <c r="AD311" i="3" a="1"/>
  <c r="AD311" i="3" s="1"/>
  <c r="AA311" i="3" a="1"/>
  <c r="AA311" i="3" s="1"/>
  <c r="AC311" i="3" a="1"/>
  <c r="AC311" i="3" s="1"/>
  <c r="X311" i="3" a="1"/>
  <c r="X311" i="3" s="1"/>
  <c r="V311" i="3" a="1"/>
  <c r="V311" i="3" s="1"/>
  <c r="W311" i="3" a="1"/>
  <c r="W311" i="3" s="1"/>
  <c r="I311" i="3" a="1"/>
  <c r="I311" i="3" s="1"/>
  <c r="J311" i="3" a="1"/>
  <c r="J311" i="3" s="1"/>
  <c r="D311" i="3" a="1"/>
  <c r="D311" i="3" s="1"/>
  <c r="G311" i="3" a="1"/>
  <c r="G311" i="3" s="1"/>
  <c r="H311" i="3" a="1"/>
  <c r="H311" i="3" s="1"/>
  <c r="F311" i="3" a="1"/>
  <c r="F311" i="3" s="1"/>
  <c r="C311" i="3" a="1"/>
  <c r="C311" i="3" s="1"/>
  <c r="T311" i="3" a="1"/>
  <c r="T311" i="3" s="1"/>
  <c r="N311" i="3" a="1"/>
  <c r="N311" i="3" s="1"/>
  <c r="R311" i="3" a="1"/>
  <c r="R311" i="3" s="1"/>
  <c r="Q311" i="3" a="1"/>
  <c r="Q311" i="3" s="1"/>
  <c r="S311" i="3" a="1"/>
  <c r="S311" i="3" s="1"/>
  <c r="M311" i="3" a="1"/>
  <c r="M311" i="3" s="1"/>
  <c r="L311" i="3" a="1"/>
  <c r="L311" i="3" s="1"/>
  <c r="U311" i="3" a="1"/>
  <c r="U311" i="3" s="1"/>
  <c r="P311" i="3" a="1"/>
  <c r="P311" i="3" s="1"/>
  <c r="K311" i="3" a="1"/>
  <c r="K311" i="3" s="1"/>
  <c r="E311" i="3" a="1"/>
  <c r="E311" i="3" s="1"/>
  <c r="O311" i="3" a="1"/>
  <c r="O311" i="3" s="1"/>
  <c r="B312" i="3"/>
  <c r="AD312" i="3" l="1" a="1"/>
  <c r="AD312" i="3" s="1"/>
  <c r="Y312" i="3" a="1"/>
  <c r="Y312" i="3" s="1"/>
  <c r="Z312" i="3" a="1"/>
  <c r="Z312" i="3" s="1"/>
  <c r="AB312" i="3" a="1"/>
  <c r="AB312" i="3" s="1"/>
  <c r="AC312" i="3" a="1"/>
  <c r="AC312" i="3" s="1"/>
  <c r="AA312" i="3" a="1"/>
  <c r="AA312" i="3" s="1"/>
  <c r="X312" i="3" a="1"/>
  <c r="X312" i="3" s="1"/>
  <c r="V312" i="3" a="1"/>
  <c r="V312" i="3" s="1"/>
  <c r="W312" i="3" a="1"/>
  <c r="W312" i="3" s="1"/>
  <c r="I312" i="3" a="1"/>
  <c r="I312" i="3" s="1"/>
  <c r="J312" i="3" a="1"/>
  <c r="J312" i="3" s="1"/>
  <c r="D312" i="3" a="1"/>
  <c r="D312" i="3" s="1"/>
  <c r="H312" i="3" a="1"/>
  <c r="H312" i="3" s="1"/>
  <c r="F312" i="3" a="1"/>
  <c r="F312" i="3" s="1"/>
  <c r="G312" i="3" a="1"/>
  <c r="G312" i="3" s="1"/>
  <c r="C312" i="3" a="1"/>
  <c r="C312" i="3" s="1"/>
  <c r="R312" i="3" a="1"/>
  <c r="R312" i="3" s="1"/>
  <c r="N312" i="3" a="1"/>
  <c r="N312" i="3" s="1"/>
  <c r="Q312" i="3" a="1"/>
  <c r="Q312" i="3" s="1"/>
  <c r="U312" i="3" a="1"/>
  <c r="U312" i="3" s="1"/>
  <c r="E312" i="3" a="1"/>
  <c r="E312" i="3" s="1"/>
  <c r="K312" i="3" a="1"/>
  <c r="K312" i="3" s="1"/>
  <c r="P312" i="3" a="1"/>
  <c r="P312" i="3" s="1"/>
  <c r="L312" i="3" a="1"/>
  <c r="L312" i="3" s="1"/>
  <c r="M312" i="3" a="1"/>
  <c r="M312" i="3" s="1"/>
  <c r="S312" i="3" a="1"/>
  <c r="S312" i="3" s="1"/>
  <c r="O312" i="3" a="1"/>
  <c r="O312" i="3" s="1"/>
  <c r="T312" i="3" a="1"/>
  <c r="T312" i="3" s="1"/>
  <c r="B313" i="3"/>
  <c r="AD313" i="3" l="1" a="1"/>
  <c r="AD313" i="3" s="1"/>
  <c r="Y313" i="3" a="1"/>
  <c r="Y313" i="3" s="1"/>
  <c r="Z313" i="3" a="1"/>
  <c r="Z313" i="3" s="1"/>
  <c r="AB313" i="3" a="1"/>
  <c r="AB313" i="3" s="1"/>
  <c r="AA313" i="3" a="1"/>
  <c r="AA313" i="3" s="1"/>
  <c r="AC313" i="3" a="1"/>
  <c r="AC313" i="3" s="1"/>
  <c r="V313" i="3" a="1"/>
  <c r="V313" i="3" s="1"/>
  <c r="X313" i="3" a="1"/>
  <c r="X313" i="3" s="1"/>
  <c r="W313" i="3" a="1"/>
  <c r="W313" i="3" s="1"/>
  <c r="I313" i="3" a="1"/>
  <c r="I313" i="3" s="1"/>
  <c r="J313" i="3" a="1"/>
  <c r="J313" i="3" s="1"/>
  <c r="D313" i="3" a="1"/>
  <c r="D313" i="3" s="1"/>
  <c r="G313" i="3" a="1"/>
  <c r="G313" i="3" s="1"/>
  <c r="H313" i="3" a="1"/>
  <c r="H313" i="3" s="1"/>
  <c r="F313" i="3" a="1"/>
  <c r="F313" i="3" s="1"/>
  <c r="C313" i="3" a="1"/>
  <c r="C313" i="3" s="1"/>
  <c r="N313" i="3" a="1"/>
  <c r="N313" i="3" s="1"/>
  <c r="L313" i="3" a="1"/>
  <c r="L313" i="3" s="1"/>
  <c r="T313" i="3" a="1"/>
  <c r="T313" i="3" s="1"/>
  <c r="U313" i="3" a="1"/>
  <c r="U313" i="3" s="1"/>
  <c r="P313" i="3" a="1"/>
  <c r="P313" i="3" s="1"/>
  <c r="O313" i="3" a="1"/>
  <c r="O313" i="3" s="1"/>
  <c r="S313" i="3" a="1"/>
  <c r="S313" i="3" s="1"/>
  <c r="Q313" i="3" a="1"/>
  <c r="Q313" i="3" s="1"/>
  <c r="K313" i="3" a="1"/>
  <c r="K313" i="3" s="1"/>
  <c r="E313" i="3" a="1"/>
  <c r="E313" i="3" s="1"/>
  <c r="R313" i="3" a="1"/>
  <c r="R313" i="3" s="1"/>
  <c r="M313" i="3" a="1"/>
  <c r="M313" i="3" s="1"/>
  <c r="B314" i="3"/>
  <c r="AD314" i="3" l="1" a="1"/>
  <c r="AD314" i="3" s="1"/>
  <c r="Y314" i="3" a="1"/>
  <c r="Y314" i="3" s="1"/>
  <c r="Z314" i="3" a="1"/>
  <c r="Z314" i="3" s="1"/>
  <c r="AB314" i="3" a="1"/>
  <c r="AB314" i="3" s="1"/>
  <c r="AA314" i="3" a="1"/>
  <c r="AA314" i="3" s="1"/>
  <c r="AC314" i="3" a="1"/>
  <c r="AC314" i="3" s="1"/>
  <c r="X314" i="3" a="1"/>
  <c r="X314" i="3" s="1"/>
  <c r="V314" i="3" a="1"/>
  <c r="V314" i="3" s="1"/>
  <c r="W314" i="3" a="1"/>
  <c r="W314" i="3" s="1"/>
  <c r="I314" i="3" a="1"/>
  <c r="I314" i="3" s="1"/>
  <c r="J314" i="3" a="1"/>
  <c r="J314" i="3" s="1"/>
  <c r="D314" i="3" a="1"/>
  <c r="D314" i="3" s="1"/>
  <c r="H314" i="3" a="1"/>
  <c r="H314" i="3" s="1"/>
  <c r="F314" i="3" a="1"/>
  <c r="F314" i="3" s="1"/>
  <c r="G314" i="3" a="1"/>
  <c r="G314" i="3" s="1"/>
  <c r="C314" i="3" a="1"/>
  <c r="C314" i="3" s="1"/>
  <c r="P314" i="3" a="1"/>
  <c r="P314" i="3" s="1"/>
  <c r="E314" i="3" a="1"/>
  <c r="E314" i="3" s="1"/>
  <c r="O314" i="3" a="1"/>
  <c r="O314" i="3" s="1"/>
  <c r="N314" i="3" a="1"/>
  <c r="N314" i="3" s="1"/>
  <c r="R314" i="3" a="1"/>
  <c r="R314" i="3" s="1"/>
  <c r="U314" i="3" a="1"/>
  <c r="U314" i="3" s="1"/>
  <c r="K314" i="3" a="1"/>
  <c r="K314" i="3" s="1"/>
  <c r="T314" i="3" a="1"/>
  <c r="T314" i="3" s="1"/>
  <c r="S314" i="3" a="1"/>
  <c r="S314" i="3" s="1"/>
  <c r="Q314" i="3" a="1"/>
  <c r="Q314" i="3" s="1"/>
  <c r="L314" i="3" a="1"/>
  <c r="L314" i="3" s="1"/>
  <c r="M314" i="3" a="1"/>
  <c r="M314" i="3" s="1"/>
  <c r="B315" i="3"/>
  <c r="AD315" i="3" l="1" a="1"/>
  <c r="AD315" i="3" s="1"/>
  <c r="AB315" i="3" a="1"/>
  <c r="AB315" i="3" s="1"/>
  <c r="Y315" i="3" a="1"/>
  <c r="Y315" i="3" s="1"/>
  <c r="Z315" i="3" a="1"/>
  <c r="Z315" i="3" s="1"/>
  <c r="AC315" i="3" a="1"/>
  <c r="AC315" i="3" s="1"/>
  <c r="AA315" i="3" a="1"/>
  <c r="AA315" i="3" s="1"/>
  <c r="V315" i="3" a="1"/>
  <c r="V315" i="3" s="1"/>
  <c r="X315" i="3" a="1"/>
  <c r="X315" i="3" s="1"/>
  <c r="W315" i="3" a="1"/>
  <c r="W315" i="3" s="1"/>
  <c r="I315" i="3" a="1"/>
  <c r="I315" i="3" s="1"/>
  <c r="J315" i="3" a="1"/>
  <c r="J315" i="3" s="1"/>
  <c r="D315" i="3" a="1"/>
  <c r="D315" i="3" s="1"/>
  <c r="H315" i="3" a="1"/>
  <c r="H315" i="3" s="1"/>
  <c r="F315" i="3" a="1"/>
  <c r="F315" i="3" s="1"/>
  <c r="G315" i="3" a="1"/>
  <c r="G315" i="3" s="1"/>
  <c r="C315" i="3" a="1"/>
  <c r="C315" i="3" s="1"/>
  <c r="T315" i="3" a="1"/>
  <c r="T315" i="3" s="1"/>
  <c r="P315" i="3" a="1"/>
  <c r="P315" i="3" s="1"/>
  <c r="S315" i="3" a="1"/>
  <c r="S315" i="3" s="1"/>
  <c r="O315" i="3" a="1"/>
  <c r="O315" i="3" s="1"/>
  <c r="R315" i="3" a="1"/>
  <c r="R315" i="3" s="1"/>
  <c r="M315" i="3" a="1"/>
  <c r="M315" i="3" s="1"/>
  <c r="L315" i="3" a="1"/>
  <c r="L315" i="3" s="1"/>
  <c r="N315" i="3" a="1"/>
  <c r="N315" i="3" s="1"/>
  <c r="E315" i="3" a="1"/>
  <c r="E315" i="3" s="1"/>
  <c r="K315" i="3" a="1"/>
  <c r="K315" i="3" s="1"/>
  <c r="U315" i="3" a="1"/>
  <c r="U315" i="3" s="1"/>
  <c r="Q315" i="3" a="1"/>
  <c r="Q315" i="3" s="1"/>
  <c r="B316" i="3"/>
  <c r="AD316" i="3" l="1" a="1"/>
  <c r="AD316" i="3" s="1"/>
  <c r="Y316" i="3" a="1"/>
  <c r="Y316" i="3" s="1"/>
  <c r="Z316" i="3" a="1"/>
  <c r="Z316" i="3" s="1"/>
  <c r="AC316" i="3" a="1"/>
  <c r="AC316" i="3" s="1"/>
  <c r="AA316" i="3" a="1"/>
  <c r="AA316" i="3" s="1"/>
  <c r="AB316" i="3" a="1"/>
  <c r="AB316" i="3" s="1"/>
  <c r="X316" i="3" a="1"/>
  <c r="X316" i="3" s="1"/>
  <c r="V316" i="3" a="1"/>
  <c r="V316" i="3" s="1"/>
  <c r="W316" i="3" a="1"/>
  <c r="W316" i="3" s="1"/>
  <c r="I316" i="3" a="1"/>
  <c r="I316" i="3" s="1"/>
  <c r="J316" i="3" a="1"/>
  <c r="J316" i="3" s="1"/>
  <c r="D316" i="3" a="1"/>
  <c r="D316" i="3" s="1"/>
  <c r="F316" i="3" a="1"/>
  <c r="F316" i="3" s="1"/>
  <c r="H316" i="3" a="1"/>
  <c r="H316" i="3" s="1"/>
  <c r="G316" i="3" a="1"/>
  <c r="G316" i="3" s="1"/>
  <c r="C316" i="3" a="1"/>
  <c r="C316" i="3" s="1"/>
  <c r="S316" i="3" a="1"/>
  <c r="S316" i="3" s="1"/>
  <c r="M316" i="3" a="1"/>
  <c r="M316" i="3" s="1"/>
  <c r="U316" i="3" a="1"/>
  <c r="U316" i="3" s="1"/>
  <c r="Q316" i="3" a="1"/>
  <c r="Q316" i="3" s="1"/>
  <c r="R316" i="3" a="1"/>
  <c r="R316" i="3" s="1"/>
  <c r="L316" i="3" a="1"/>
  <c r="L316" i="3" s="1"/>
  <c r="P316" i="3" a="1"/>
  <c r="P316" i="3" s="1"/>
  <c r="E316" i="3" a="1"/>
  <c r="E316" i="3" s="1"/>
  <c r="T316" i="3" a="1"/>
  <c r="T316" i="3" s="1"/>
  <c r="O316" i="3" a="1"/>
  <c r="O316" i="3" s="1"/>
  <c r="K316" i="3" a="1"/>
  <c r="K316" i="3" s="1"/>
  <c r="N316" i="3" a="1"/>
  <c r="N316" i="3" s="1"/>
  <c r="B317" i="3"/>
  <c r="AD317" i="3" l="1" a="1"/>
  <c r="AD317" i="3" s="1"/>
  <c r="Y317" i="3" a="1"/>
  <c r="Y317" i="3" s="1"/>
  <c r="Z317" i="3" a="1"/>
  <c r="Z317" i="3" s="1"/>
  <c r="AA317" i="3" a="1"/>
  <c r="AA317" i="3" s="1"/>
  <c r="AB317" i="3" a="1"/>
  <c r="AB317" i="3" s="1"/>
  <c r="AC317" i="3" a="1"/>
  <c r="AC317" i="3" s="1"/>
  <c r="V317" i="3" a="1"/>
  <c r="V317" i="3" s="1"/>
  <c r="X317" i="3" a="1"/>
  <c r="X317" i="3" s="1"/>
  <c r="W317" i="3" a="1"/>
  <c r="W317" i="3" s="1"/>
  <c r="I317" i="3" a="1"/>
  <c r="I317" i="3" s="1"/>
  <c r="J317" i="3" a="1"/>
  <c r="J317" i="3" s="1"/>
  <c r="D317" i="3" a="1"/>
  <c r="D317" i="3" s="1"/>
  <c r="F317" i="3" a="1"/>
  <c r="F317" i="3" s="1"/>
  <c r="H317" i="3" a="1"/>
  <c r="H317" i="3" s="1"/>
  <c r="G317" i="3" a="1"/>
  <c r="G317" i="3" s="1"/>
  <c r="C317" i="3" a="1"/>
  <c r="C317" i="3" s="1"/>
  <c r="M317" i="3" a="1"/>
  <c r="M317" i="3" s="1"/>
  <c r="P317" i="3" a="1"/>
  <c r="P317" i="3" s="1"/>
  <c r="U317" i="3" a="1"/>
  <c r="U317" i="3" s="1"/>
  <c r="K317" i="3" a="1"/>
  <c r="K317" i="3" s="1"/>
  <c r="T317" i="3" a="1"/>
  <c r="T317" i="3" s="1"/>
  <c r="E317" i="3" a="1"/>
  <c r="E317" i="3" s="1"/>
  <c r="O317" i="3" a="1"/>
  <c r="O317" i="3" s="1"/>
  <c r="Q317" i="3" a="1"/>
  <c r="Q317" i="3" s="1"/>
  <c r="L317" i="3" a="1"/>
  <c r="L317" i="3" s="1"/>
  <c r="R317" i="3" a="1"/>
  <c r="R317" i="3" s="1"/>
  <c r="N317" i="3" a="1"/>
  <c r="N317" i="3" s="1"/>
  <c r="S317" i="3" a="1"/>
  <c r="S317" i="3" s="1"/>
  <c r="B318" i="3"/>
  <c r="AD318" i="3" l="1" a="1"/>
  <c r="AD318" i="3" s="1"/>
  <c r="Y318" i="3" a="1"/>
  <c r="Y318" i="3" s="1"/>
  <c r="AB318" i="3" a="1"/>
  <c r="AB318" i="3" s="1"/>
  <c r="Z318" i="3" a="1"/>
  <c r="Z318" i="3" s="1"/>
  <c r="AA318" i="3" a="1"/>
  <c r="AA318" i="3" s="1"/>
  <c r="AC318" i="3" a="1"/>
  <c r="AC318" i="3" s="1"/>
  <c r="X318" i="3" a="1"/>
  <c r="X318" i="3" s="1"/>
  <c r="V318" i="3" a="1"/>
  <c r="V318" i="3" s="1"/>
  <c r="W318" i="3" a="1"/>
  <c r="W318" i="3" s="1"/>
  <c r="I318" i="3" a="1"/>
  <c r="I318" i="3" s="1"/>
  <c r="J318" i="3" a="1"/>
  <c r="J318" i="3" s="1"/>
  <c r="D318" i="3" a="1"/>
  <c r="D318" i="3" s="1"/>
  <c r="F318" i="3" a="1"/>
  <c r="F318" i="3" s="1"/>
  <c r="G318" i="3" a="1"/>
  <c r="G318" i="3" s="1"/>
  <c r="H318" i="3" a="1"/>
  <c r="H318" i="3" s="1"/>
  <c r="C318" i="3" a="1"/>
  <c r="C318" i="3" s="1"/>
  <c r="E318" i="3" a="1"/>
  <c r="E318" i="3" s="1"/>
  <c r="S318" i="3" a="1"/>
  <c r="S318" i="3" s="1"/>
  <c r="T318" i="3" a="1"/>
  <c r="T318" i="3" s="1"/>
  <c r="O318" i="3" a="1"/>
  <c r="O318" i="3" s="1"/>
  <c r="N318" i="3" a="1"/>
  <c r="N318" i="3" s="1"/>
  <c r="R318" i="3" a="1"/>
  <c r="R318" i="3" s="1"/>
  <c r="P318" i="3" a="1"/>
  <c r="P318" i="3" s="1"/>
  <c r="M318" i="3" a="1"/>
  <c r="M318" i="3" s="1"/>
  <c r="K318" i="3" a="1"/>
  <c r="K318" i="3" s="1"/>
  <c r="U318" i="3" a="1"/>
  <c r="U318" i="3" s="1"/>
  <c r="Q318" i="3" a="1"/>
  <c r="Q318" i="3" s="1"/>
  <c r="L318" i="3" a="1"/>
  <c r="L318" i="3" s="1"/>
  <c r="B6" i="3"/>
  <c r="Y6" i="3" l="1" a="1"/>
  <c r="Y6" i="3" s="1"/>
  <c r="AB6" i="3" a="1"/>
  <c r="AB6" i="3" s="1"/>
  <c r="Z6" i="3" a="1"/>
  <c r="Z6" i="3" s="1"/>
  <c r="AD6" i="3" a="1"/>
  <c r="AD6" i="3" s="1"/>
  <c r="AA6" i="3" a="1"/>
  <c r="AA6" i="3" s="1"/>
  <c r="AC6" i="3" a="1"/>
  <c r="AC6" i="3" s="1"/>
  <c r="V6" i="3" a="1"/>
  <c r="V6" i="3" s="1"/>
  <c r="X6" i="3" a="1"/>
  <c r="X6" i="3" s="1"/>
  <c r="W6" i="3" a="1"/>
  <c r="W6" i="3" s="1"/>
  <c r="I6" i="3" a="1"/>
  <c r="I6" i="3" s="1"/>
  <c r="J6" i="3" a="1"/>
  <c r="J6" i="3" s="1"/>
  <c r="D6" i="3" a="1"/>
  <c r="D6" i="3" s="1"/>
  <c r="G6" i="3" a="1"/>
  <c r="G6" i="3" s="1"/>
  <c r="H6" i="3" a="1"/>
  <c r="H6" i="3" s="1"/>
  <c r="F6" i="3" a="1"/>
  <c r="F6" i="3" s="1"/>
  <c r="C6" i="3" a="1"/>
  <c r="C6" i="3" s="1"/>
  <c r="Q6" i="3" a="1"/>
  <c r="Q6" i="3" s="1"/>
  <c r="R6" i="3" a="1"/>
  <c r="R6" i="3" s="1"/>
  <c r="E6" i="3" a="1"/>
  <c r="E6" i="3" s="1"/>
  <c r="K6" i="3" a="1"/>
  <c r="K6" i="3" s="1"/>
  <c r="T6" i="3" a="1"/>
  <c r="T6" i="3" s="1"/>
  <c r="M6" i="3" a="1"/>
  <c r="M6" i="3" s="1"/>
  <c r="L6" i="3" a="1"/>
  <c r="L6" i="3" s="1"/>
  <c r="S6" i="3" a="1"/>
  <c r="S6" i="3" s="1"/>
  <c r="P6" i="3" a="1"/>
  <c r="P6" i="3" s="1"/>
  <c r="U6" i="3" a="1"/>
  <c r="U6" i="3" s="1"/>
  <c r="O6" i="3" a="1"/>
  <c r="O6" i="3" s="1"/>
  <c r="N6" i="3" a="1"/>
  <c r="N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<sst xmlns="http://schemas.openxmlformats.org/spreadsheetml/2006/main" count="1819" uniqueCount="692">
  <si>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</si>
  <si>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</si>
  <si>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</si>
  <si>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</si>
  <si>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</si>
  <si>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</si>
  <si>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</si>
  <si>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</si>
  <si>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</si>
  <si>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</si>
  <si>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</si>
  <si>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</si>
  <si>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</si>
  <si>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</si>
  <si>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</si>
  <si>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</si>
  <si>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</si>
  <si>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</si>
  <si>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</si>
  <si>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</si>
  <si>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</si>
  <si>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</si>
  <si>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</si>
  <si>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</si>
  <si>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</si>
  <si>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</si>
  <si>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</si>
  <si>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</si>
  <si>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</si>
  <si>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</si>
  <si>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</si>
  <si>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</si>
  <si>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</si>
  <si>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</si>
  <si>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</si>
  <si>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</si>
  <si>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</si>
  <si>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</si>
  <si>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</si>
  <si>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</si>
  <si>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</si>
  <si>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</si>
  <si>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</si>
  <si>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</si>
  <si>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</si>
  <si>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</si>
  <si>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</si>
  <si>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</si>
  <si>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</si>
  <si>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</si>
  <si>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</si>
  <si>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</si>
  <si>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</si>
  <si>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</si>
  <si>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</si>
  <si>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</si>
  <si>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</si>
  <si>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</si>
  <si>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</si>
  <si>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</si>
  <si>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</si>
  <si>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</si>
  <si>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</si>
  <si>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</si>
  <si>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</si>
  <si>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</si>
  <si>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</si>
  <si>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</si>
  <si>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</si>
  <si>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</si>
  <si>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</si>
  <si>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</si>
  <si>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</si>
  <si>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</si>
  <si>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</si>
  <si>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</si>
  <si>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</si>
  <si>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</si>
  <si>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</si>
  <si>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</si>
  <si>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</si>
  <si>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</si>
  <si>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</si>
  <si>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</si>
  <si>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</si>
  <si>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</si>
  <si>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</si>
  <si>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</si>
  <si>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</si>
  <si>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</si>
  <si>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</si>
  <si>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</si>
  <si>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</si>
  <si>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</si>
  <si>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</si>
  <si>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</si>
  <si>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</si>
  <si>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</si>
  <si>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</si>
  <si>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</si>
  <si>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</si>
  <si>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</si>
  <si>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</si>
  <si>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</si>
  <si>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</si>
  <si>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</si>
  <si>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</si>
  <si>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</si>
  <si>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</si>
  <si>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</si>
  <si>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</si>
  <si>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</si>
  <si>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</si>
  <si>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</si>
  <si>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</si>
  <si>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</si>
  <si>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</si>
  <si>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</si>
  <si>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</si>
  <si>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</si>
  <si>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</si>
  <si>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</si>
  <si>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</si>
  <si>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</si>
  <si>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</si>
  <si>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</si>
  <si>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</si>
  <si>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</si>
  <si>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</si>
  <si>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</si>
  <si>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</si>
  <si>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</si>
  <si>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</si>
  <si>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</si>
  <si>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</si>
  <si>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</si>
  <si>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</si>
  <si>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</si>
  <si>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</si>
  <si>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</si>
  <si>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</si>
  <si>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</si>
  <si>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</si>
  <si>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</si>
  <si>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</si>
  <si>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</si>
  <si>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</si>
  <si>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</si>
  <si>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</si>
  <si>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</si>
  <si>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</si>
  <si>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</si>
  <si>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</si>
  <si>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</si>
  <si>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</si>
  <si>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</si>
  <si>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</si>
  <si>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</si>
  <si>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</si>
  <si>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</si>
  <si>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</si>
  <si>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</si>
  <si>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</si>
  <si>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</si>
  <si>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</si>
  <si>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</si>
  <si>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</si>
  <si>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</si>
  <si>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</si>
  <si>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</si>
  <si>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</si>
  <si>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</si>
  <si>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</si>
  <si>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</si>
  <si>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</si>
  <si>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</si>
  <si>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</si>
  <si>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</si>
  <si>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</si>
  <si>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</si>
  <si>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</si>
  <si>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</si>
  <si>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</si>
  <si>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</si>
  <si>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</si>
  <si>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</si>
  <si>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</si>
  <si>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</si>
  <si>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</si>
  <si>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</si>
  <si>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</si>
  <si>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</si>
  <si>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</si>
  <si>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</si>
  <si>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</si>
  <si>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</si>
  <si>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</si>
  <si>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</si>
  <si>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</si>
  <si>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</si>
  <si>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</si>
  <si>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</si>
  <si>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</si>
  <si>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</si>
  <si>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</si>
  <si>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</si>
  <si>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</si>
  <si>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</si>
  <si>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</si>
  <si>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</si>
  <si>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</si>
  <si>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</si>
  <si>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</si>
  <si>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</si>
  <si>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</si>
  <si>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</si>
  <si>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</si>
  <si>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</si>
  <si>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</si>
  <si>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</si>
  <si>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</si>
  <si>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</si>
  <si>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</si>
  <si>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</si>
  <si>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</si>
  <si>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</si>
  <si>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</si>
  <si>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</si>
  <si>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</si>
  <si>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</si>
  <si>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</si>
  <si>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</si>
  <si>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</si>
  <si>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</si>
  <si>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</si>
  <si>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</si>
  <si>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</si>
  <si>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</si>
  <si>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</si>
  <si>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</si>
  <si>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</si>
  <si>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</si>
  <si>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</si>
  <si>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</si>
  <si>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</si>
  <si>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</si>
  <si>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</si>
  <si>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</si>
  <si>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</si>
  <si>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</si>
  <si>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</si>
  <si>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</si>
  <si>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</si>
  <si>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</si>
  <si>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</si>
  <si>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</si>
  <si>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</si>
  <si>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</si>
  <si>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</si>
  <si>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</si>
  <si>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</si>
  <si>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</si>
  <si>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</si>
  <si>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</si>
  <si>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</si>
  <si>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</si>
  <si>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</si>
  <si>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</si>
  <si>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</si>
  <si>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</si>
  <si>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</si>
  <si>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</si>
  <si>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</si>
  <si>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</si>
  <si>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</si>
  <si>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</si>
  <si>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</si>
  <si>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</si>
  <si>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</si>
  <si>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</si>
  <si>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</si>
  <si>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</si>
  <si>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</si>
  <si>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</si>
  <si>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</si>
  <si>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</si>
  <si>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</si>
  <si>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</si>
  <si>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</si>
  <si>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</si>
  <si>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</si>
  <si>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</si>
  <si>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</si>
  <si>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</si>
  <si>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</si>
  <si>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</si>
  <si>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</si>
  <si>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</si>
  <si>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</si>
  <si>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</si>
  <si>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</si>
  <si>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</si>
  <si>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</si>
  <si>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</si>
  <si>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</si>
  <si>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</si>
  <si>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</si>
  <si>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</si>
  <si>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</si>
  <si>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</si>
  <si>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</si>
  <si>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</si>
  <si>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</si>
  <si>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</si>
  <si>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</si>
  <si>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</si>
  <si>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</si>
  <si>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</si>
  <si>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</si>
  <si>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</si>
  <si>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</si>
  <si>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</si>
  <si>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</si>
  <si>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</si>
  <si>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</si>
  <si>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</si>
  <si>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</si>
  <si>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</si>
  <si>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</si>
  <si>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</si>
  <si>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</si>
  <si>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real, LCU</t>
  </si>
  <si>
    <t>Pound</t>
  </si>
  <si>
    <t>Millions</t>
  </si>
  <si>
    <t>Level</t>
  </si>
  <si>
    <t>Office for National Statistics\Haver Analytics</t>
  </si>
  <si>
    <t>True</t>
  </si>
  <si>
    <t>chained 2019</t>
  </si>
  <si>
    <t>NA</t>
  </si>
  <si>
    <t>2023</t>
  </si>
  <si>
    <t>2</t>
  </si>
  <si>
    <t>ABMIQ@UK</t>
  </si>
  <si>
    <t>U.K.: Real Gross Domestic Product (SA, Mil.Chn.2019.GBP)</t>
  </si>
  <si>
    <t>GBR</t>
  </si>
  <si>
    <t>GDP</t>
  </si>
  <si>
    <t>Interest rate, central bank policy, end of period</t>
  </si>
  <si>
    <t>%</t>
  </si>
  <si>
    <t>Bank of England \Haver Analytics</t>
  </si>
  <si>
    <t>False</t>
  </si>
  <si>
    <t>3</t>
  </si>
  <si>
    <t>agg(R112RD@INTDAILY,EOP)</t>
  </si>
  <si>
    <t>United Kingdom: Official Bank Rate (%) ,EOP</t>
  </si>
  <si>
    <t>RCBEOP</t>
  </si>
  <si>
    <t>Interest rate, long-term, end of period</t>
  </si>
  <si>
    <t>Refinitiv\Bank of England\Haver Analytics</t>
  </si>
  <si>
    <t>agg(T112GA@INTDAILY,EOP), spliced with agg(R112GA@INTDAILY,EOP)</t>
  </si>
  <si>
    <t>UK: 10-Yr Government Bond Yield (%), spliced with United Kingdom: Government Securities: 10-Years [Nominal Par Yields] (% p.a.) , (EOP, %)</t>
  </si>
  <si>
    <t>RLGEOP</t>
  </si>
  <si>
    <t>House price index</t>
  </si>
  <si>
    <t>HM Land Registry/Haver Analytics</t>
  </si>
  <si>
    <t>Jan-2015</t>
  </si>
  <si>
    <t>UKSHJ@UK</t>
  </si>
  <si>
    <t xml:space="preserve">UK: House Price Index (SA, Jan-2015=100)  </t>
  </si>
  <si>
    <t>PH</t>
  </si>
  <si>
    <t>Unemployment rate, ILO definition</t>
  </si>
  <si>
    <t>MGSXQ@UK</t>
  </si>
  <si>
    <t xml:space="preserve">UK: LFS: Unemployment Rate: Aged 16 and Over (SA, %) </t>
  </si>
  <si>
    <t>UPILO</t>
  </si>
  <si>
    <t>Consumer price index</t>
  </si>
  <si>
    <t>2015</t>
  </si>
  <si>
    <t>D7BT@UK</t>
  </si>
  <si>
    <t xml:space="preserve">UK: Consumer Price Index: All Items (NSA, 2015=100) </t>
  </si>
  <si>
    <t>CPI</t>
  </si>
  <si>
    <t>Interest rate on housing loans</t>
  </si>
  <si>
    <t>Bank of England\Haver Analytics</t>
  </si>
  <si>
    <t>UNHSDE@UK,EOP</t>
  </si>
  <si>
    <t>UK: Banks Weighted Avg Interest Rate, HH Loans Secured on Dwellings (%)</t>
  </si>
  <si>
    <t>RBM</t>
  </si>
  <si>
    <t>Personal sector debt interest payments</t>
  </si>
  <si>
    <t>ROYUQ@UK</t>
  </si>
  <si>
    <t>UK: HH &amp; NPISH: Interest, Paid (SA, Mil.GBP)</t>
  </si>
  <si>
    <t>PEDIP</t>
  </si>
  <si>
    <t>Personal sector debt interest receipts</t>
  </si>
  <si>
    <t>Office for National Statistics/Haver Analytics</t>
  </si>
  <si>
    <t>ROYMQ@UK</t>
  </si>
  <si>
    <t>UK: HH &amp; NPISH: Interest, Received (SA, Mil.GBP)</t>
  </si>
  <si>
    <t>PEDIR</t>
  </si>
  <si>
    <t>Net interest receipts, LCU</t>
  </si>
  <si>
    <t>Office of National Statistics\Haver Analytics</t>
  </si>
  <si>
    <t>ROYMQ@UK-ROYUQ@UK</t>
  </si>
  <si>
    <t>PENIR</t>
  </si>
  <si>
    <t>Income, personal disposable, nominal, LCU</t>
  </si>
  <si>
    <t>RPHQQ@UK</t>
  </si>
  <si>
    <t xml:space="preserve">UK: HH &amp; NPISH: Gross Disposable Income (SA, Mil.GBP) </t>
  </si>
  <si>
    <t>PEDY!</t>
  </si>
  <si>
    <t>Interest Rate Swap, risk-free reference rate, 2yr</t>
  </si>
  <si>
    <t>Tullett Prebon Information/Datastream/Haver Analytics</t>
  </si>
  <si>
    <t>M112IHH@INTDAILY, spliced with OIGBP2Y</t>
  </si>
  <si>
    <t>UK: 24 Month Overnight Index Swap[Ann,Act/365]v SONIA:Mid Rate[2PM ET](%p.a)</t>
  </si>
  <si>
    <t>RSWAP2YR_RFR</t>
  </si>
  <si>
    <t>Interest Rate Swap, risk-free reference rate, 5yr</t>
  </si>
  <si>
    <t>Tullett Prebon Information/Haver Analytics</t>
  </si>
  <si>
    <t>M112I5Y@INTDAILY</t>
  </si>
  <si>
    <t>UK: 5 Year Overnight Index Swap[Ann,Act/365]v SONIA:Mid Rate[2PM ET](%p.a)</t>
  </si>
  <si>
    <t>RSWAP5YR_RFR</t>
  </si>
  <si>
    <t>Mortgage Loans Approved</t>
  </si>
  <si>
    <t>Number</t>
  </si>
  <si>
    <t>USVTVX@UK</t>
  </si>
  <si>
    <t>UK: Mortgage Loans Approved: All Lenders: House Purchase (SA, Number)</t>
  </si>
  <si>
    <t>MAPP</t>
  </si>
  <si>
    <t>Residential property transactions</t>
  </si>
  <si>
    <t>Thousands</t>
  </si>
  <si>
    <t>Office for National Statistics &amp; HM Revenue &amp; Customs\Haver Analytics</t>
  </si>
  <si>
    <t>FTAQ@UK until 2007Q4, then UKSPT@UK</t>
  </si>
  <si>
    <t>UK: Number of Property Transactions in England and Wales (SA, Thousands) until 2008Q1, then UK: Residential Property Transactions over 40000 GBP(SA, Thous)</t>
  </si>
  <si>
    <t>RPT</t>
  </si>
  <si>
    <t>Gross lending, mortgages</t>
  </si>
  <si>
    <t>USVTVC@UK</t>
  </si>
  <si>
    <t>UK: Mortgage Lending: Total [incl Housing Assns]: Gross New Loans (SA, Mil.GBP)</t>
  </si>
  <si>
    <t>GLMRT</t>
  </si>
  <si>
    <t>Mortgage lending, net advances, LCU</t>
  </si>
  <si>
    <t>USVTVJ@UK</t>
  </si>
  <si>
    <t xml:space="preserve">UK: Mortgage Lending: Total: Net New Loans (SA, Mil.GBP) </t>
  </si>
  <si>
    <t>NADV</t>
  </si>
  <si>
    <t>Average Weekly Earnings</t>
  </si>
  <si>
    <t>Pound per Employee</t>
  </si>
  <si>
    <t>KAB9@UK</t>
  </si>
  <si>
    <t>GB: AWE, Total Pay: Whole Economy (SA, GBP)</t>
  </si>
  <si>
    <t>WAGEWKLY</t>
  </si>
  <si>
    <t>UK</t>
  </si>
  <si>
    <t>L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</si>
  <si>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</si>
  <si>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</si>
  <si>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</si>
  <si>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</si>
  <si>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</si>
  <si>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</si>
  <si>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</si>
  <si>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</si>
  <si>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</si>
  <si>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</si>
  <si>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</si>
  <si>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</si>
  <si>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</si>
  <si>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</si>
  <si>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</si>
  <si>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</si>
  <si>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</si>
  <si>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</si>
  <si>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</si>
  <si>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</si>
  <si>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</si>
  <si>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</si>
  <si>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</si>
  <si>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</si>
  <si>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</si>
  <si>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</si>
  <si>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</si>
  <si>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</si>
  <si>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</si>
  <si>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</si>
  <si>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</si>
  <si>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</si>
  <si>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</si>
  <si>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</si>
  <si>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</si>
  <si>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</si>
  <si>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</si>
  <si>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</si>
  <si>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</si>
  <si>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</si>
  <si>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</si>
  <si>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</si>
  <si>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</si>
  <si>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</si>
  <si>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</si>
  <si>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</si>
  <si>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2020</t>
  </si>
  <si>
    <t>2021</t>
  </si>
  <si>
    <t>2022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</si>
  <si>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</si>
  <si>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</si>
  <si>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</si>
  <si>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</si>
  <si>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</si>
  <si>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</si>
  <si>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</si>
  <si>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</si>
  <si>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</si>
  <si>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</si>
  <si>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</si>
  <si>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</si>
  <si>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</si>
  <si>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</si>
  <si>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</si>
  <si>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</si>
  <si>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</si>
  <si>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</si>
  <si>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</si>
  <si>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</si>
  <si>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</si>
  <si>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</si>
  <si>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</si>
  <si>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</si>
  <si>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</si>
  <si>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</si>
  <si>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</si>
  <si>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Earnings, quarterly total, LCU</t>
  </si>
  <si>
    <t>Oxford Economics calculation using Office for National Statistics data</t>
  </si>
  <si>
    <t>ER</t>
  </si>
  <si>
    <t>Employees in employment</t>
  </si>
  <si>
    <t>MGRNQ@UK</t>
  </si>
  <si>
    <t>UK: LFS: Employees (SA, Thous)</t>
  </si>
  <si>
    <t>EE</t>
  </si>
  <si>
    <t>Wages and salaries, LCU</t>
  </si>
  <si>
    <t>ROYJQ@UK</t>
  </si>
  <si>
    <t xml:space="preserve">UK: HH &amp; NPISH: Income: Wages and Salaries (SA, Mil.GBP) </t>
  </si>
  <si>
    <t>PEWFP</t>
  </si>
  <si>
    <t>Personal sector transfers from central gov't, LCU</t>
  </si>
  <si>
    <t>RPDOQ@UK</t>
  </si>
  <si>
    <t xml:space="preserve">UK: IA: CG: Uses: Social Benefits o/t Social Transfers in Kind (SA, Mil.GBP) </t>
  </si>
  <si>
    <t>GCGPE</t>
  </si>
  <si>
    <t>Tax revenue, income, LCU</t>
  </si>
  <si>
    <t>RPHSQ@UK</t>
  </si>
  <si>
    <t xml:space="preserve">UK: HH &amp; NPISH: Taxes on Income (SA, Mil.GBP) </t>
  </si>
  <si>
    <t>TY</t>
  </si>
  <si>
    <t>Tax revenue, employee social security, LCU</t>
  </si>
  <si>
    <t>L8PIQ@UK</t>
  </si>
  <si>
    <t>UK: Cen Govt Inc Acct: Res: Households Actual Social Contribution (SA, Mil.GBP)</t>
  </si>
  <si>
    <t>TSS</t>
  </si>
  <si>
    <t>Consumption, private deflator</t>
  </si>
  <si>
    <t>Consumption, private, nominal/Consumption, private, real * 100</t>
  </si>
  <si>
    <t>PC</t>
  </si>
  <si>
    <t>Income, personal disposable, real, LCU</t>
  </si>
  <si>
    <t>NRJRQ@UK</t>
  </si>
  <si>
    <t>UK: HH &amp; NPISH: Real Household Disposable Income (SA, Mil.Chn.2019.Pounds)</t>
  </si>
  <si>
    <t>PEDY</t>
  </si>
  <si>
    <t>Prices</t>
  </si>
  <si>
    <t>100 LINE</t>
  </si>
  <si>
    <t>Real post-tax wages &amp; salaries (2021=100)</t>
  </si>
  <si>
    <t>Post-tax salaries</t>
  </si>
  <si>
    <t>Post-tax salaries per head</t>
  </si>
  <si>
    <t>Price inflation</t>
  </si>
  <si>
    <t>Income tax &amp; NICs</t>
  </si>
  <si>
    <t>Other income</t>
  </si>
  <si>
    <t>Employment growth</t>
  </si>
  <si>
    <t>Wage inflation</t>
  </si>
  <si>
    <t>Social benefits</t>
  </si>
  <si>
    <t>Real income</t>
  </si>
  <si>
    <t>PEWFP cont</t>
  </si>
  <si>
    <t>PEWFP if EE flat</t>
  </si>
  <si>
    <t>Consumption, private, nominal, LCU</t>
  </si>
  <si>
    <t>ABJQQ@UK</t>
  </si>
  <si>
    <t xml:space="preserve">U.K.: Household Final Consumption Expenditure (SA, Mil.Pounds) </t>
  </si>
  <si>
    <t>C!</t>
  </si>
  <si>
    <t>Consumption, non-profit institutions, nominal, LCU</t>
  </si>
  <si>
    <t>HAYEQ@UK</t>
  </si>
  <si>
    <t xml:space="preserve">U.K.: Nonprofit Institutions Final Consumptn Expenditure (SA,Mil.Pounds) </t>
  </si>
  <si>
    <t>CNPI!</t>
  </si>
  <si>
    <t>Consumption, private, real, LCU</t>
  </si>
  <si>
    <t>ABJRQ@UK</t>
  </si>
  <si>
    <t>U.K.: Household Final Consumption Expenditure (SA, Mil.Chn.2019.GBP)</t>
  </si>
  <si>
    <t>C</t>
  </si>
  <si>
    <t>Consumption on non-profit institutions, real, LCU</t>
  </si>
  <si>
    <t>HAYOQ@UK</t>
  </si>
  <si>
    <t>U.K.: Nonprofit Inst Final Consumption Expenditure (SA, Mil.Chn.2019.GBP)</t>
  </si>
  <si>
    <t>CNPI</t>
  </si>
  <si>
    <t>Contributions to real income v1</t>
  </si>
  <si>
    <t>Contributions to real income v2</t>
  </si>
  <si>
    <t>Wages &amp; salaries</t>
  </si>
  <si>
    <t>Net interest</t>
  </si>
  <si>
    <t>Personal Insolvencies</t>
  </si>
  <si>
    <t>The Insolvency Service\Haver Analytics</t>
  </si>
  <si>
    <t>(UK: England &amp; Wales: Individual Insolvencies (SA, Number) + UK: Scotland: Insolvencies: Total Individual Insolvencies(NSA, Number) + UK: Northern Ireland: Individual Insolvencies (NSA, Number) ) /1000</t>
  </si>
  <si>
    <t>PINSOLV</t>
  </si>
  <si>
    <t>Number of mortgage repossessions</t>
  </si>
  <si>
    <t>CML\Haver Analytics</t>
  </si>
  <si>
    <t>REPO</t>
  </si>
  <si>
    <t>Write-off rate, mortgages</t>
  </si>
  <si>
    <t>100*(UNTFHDQ@UK) / Mortgages, total stock(-1)</t>
  </si>
  <si>
    <t>100*(UK: Banks: Write-offs/Reval of Loans: Indiv: Secon Dwell, Sterling(NSA, Mil.GBP) ) / Mortgages, total stock(-1)</t>
  </si>
  <si>
    <t>WORMRT</t>
  </si>
  <si>
    <t>Insolvencies as % of active companies, UK</t>
  </si>
  <si>
    <t>(UK: England &amp; Wales: Insolvencies: Company Liquidations (SA, Number) + UK: Scotland: Insolvencies: Company Liquidations (NSA, Number)  + UK: Northern Ireland: Company Insolvencies (NSA, Number))/Active Companies</t>
  </si>
  <si>
    <t>LQRTUK</t>
  </si>
  <si>
    <t>Corporate gearing rate</t>
  </si>
  <si>
    <t>100*ROCGQ@UK/CAERQ@UK</t>
  </si>
  <si>
    <t>100 * UK: IA: Pvt NFC: Uses: Interest (SA, Mil.GBP) / UK: Gross Operating Surplus: Private Nonfinancial Corporations (SA, Mil.Pounds)</t>
  </si>
  <si>
    <t>CGEAR</t>
  </si>
  <si>
    <t>Total Number of Companies</t>
  </si>
  <si>
    <t>Active Companies</t>
  </si>
  <si>
    <t>COMP</t>
  </si>
  <si>
    <t>Depreciation (ex FI)</t>
  </si>
  <si>
    <t>JW2SQ@UK</t>
  </si>
  <si>
    <t>UK: Public Sector ex Finl Intervention: GFCF Less Depreciation (NSA, Mil.GBP)  )</t>
  </si>
  <si>
    <t>DEPX</t>
  </si>
  <si>
    <t>GDP deflator</t>
  </si>
  <si>
    <t>100*GDP, nominal / GDP, real</t>
  </si>
  <si>
    <t>PGDP</t>
  </si>
  <si>
    <t>Potential output, LCU</t>
  </si>
  <si>
    <t>Oxford Economics estimate</t>
  </si>
  <si>
    <t>Potential output</t>
  </si>
  <si>
    <t>YHAT</t>
  </si>
  <si>
    <t>Public sector current expenditure (ex FI)</t>
  </si>
  <si>
    <t>JW2QQ@UK</t>
  </si>
  <si>
    <t>UK: Public Sector ex Finl Intervention: Total Current Expenditure (NSA, Mil.GBP)</t>
  </si>
  <si>
    <t>PSCEX</t>
  </si>
  <si>
    <t>Public sector current receipts (ex FI)</t>
  </si>
  <si>
    <t>JW2OQ@UK</t>
  </si>
  <si>
    <t>UK: Public Sector ex Finl Intervention: Total Current Receipts (NSA, Mil.GBP)</t>
  </si>
  <si>
    <t>GREVX</t>
  </si>
  <si>
    <t>Public sector net investment (ex FI)</t>
  </si>
  <si>
    <t>-1*JW2ZQ@UK</t>
  </si>
  <si>
    <t>-1*UK: Public Sector: Net Investment excl Financial Investments (NSA, Mil. GBP)</t>
  </si>
  <si>
    <t>PSNIX</t>
  </si>
  <si>
    <t>GDP!</t>
  </si>
  <si>
    <t>GDP, nominal, LCU</t>
  </si>
  <si>
    <t>YBHAQ@UK</t>
  </si>
  <si>
    <t xml:space="preserve">U.K.: Gross Domestic Product (SA, Mil.Pounds) </t>
  </si>
  <si>
    <t>Debt interest payments &amp; interest rates</t>
  </si>
  <si>
    <t>Personal sector debt interest payments (LHS)</t>
  </si>
  <si>
    <t>Average mortgage interest rates (RHS)</t>
  </si>
  <si>
    <t>Bank Rate (RHS)</t>
  </si>
  <si>
    <t>4</t>
  </si>
  <si>
    <t>Interest rate, central bank policy</t>
  </si>
  <si>
    <t>agg(R112RD@INTDAILY,avg)</t>
  </si>
  <si>
    <t>United Kingdom: Official Bank Rate (%)</t>
  </si>
  <si>
    <t>RCB</t>
  </si>
  <si>
    <t>Index</t>
  </si>
  <si>
    <t>Person</t>
  </si>
  <si>
    <t>UNMARP42@UK, interpolated/1000</t>
  </si>
  <si>
    <t>Share (of 1)</t>
  </si>
  <si>
    <t>Debt interest receipts &amp; payments</t>
  </si>
  <si>
    <t>Interest receipts</t>
  </si>
  <si>
    <t>Debt interest payments</t>
  </si>
  <si>
    <t>Net interest receipts</t>
  </si>
  <si>
    <t>* Large part of it is that real income last year looks articifically strong given energy support payments, so looking at calendar year averages is a bit meaningless.</t>
  </si>
  <si>
    <t>* Therefore, real pay growth now looks stronger</t>
  </si>
  <si>
    <t>* However, when fiscal drag is taken into account, real pay is set to rise but are still much lower than in 2021 - make a chart with pre vs post tax/NICs real wages to demonstrate this.</t>
  </si>
  <si>
    <t>* While smaller than previously expected given the fall back in swap/mortgage rates, net interest reciepts will be negative this year (rent inflation has also been high), which adds to households' cost burdens, so eats into disposable incomes</t>
  </si>
  <si>
    <t>* As a result, disposable income growth will fall on calendar year average terms this year, but this masks a pickup throughout the year and because there's no energy payments.</t>
  </si>
  <si>
    <t>* Pay growth has remained strong, can link to various RBs and Penta stuff. January pay settlements still fairly high and NLW uplift in Jan is pretty big</t>
  </si>
  <si>
    <t>* Start with how inflation is set to be much lower than previously expected - only want a few sentences, and then link to inflation RB. Could possibly include an inflation chart as the opener but that wouldn’t be ideal</t>
  </si>
  <si>
    <t>* Finish with a comment or two on this meaning that we expect consumption to gather pace throughout this year - maybe our consumer spending breakdown forecast chart</t>
  </si>
  <si>
    <t>- there's lots in previous RB's about this dymanic as well as the RF's 2024 Q1 macroeconomic policy outlook</t>
  </si>
  <si>
    <t>Pay and inflation</t>
  </si>
  <si>
    <t>CPI inflation</t>
  </si>
  <si>
    <t>Real earnings growth</t>
  </si>
  <si>
    <t>Nominal pay growth (incl bonus)</t>
  </si>
  <si>
    <t>Gross salaries</t>
  </si>
  <si>
    <t>Gross salaries per head</t>
  </si>
  <si>
    <t>Gross</t>
  </si>
  <si>
    <t>Post-tax</t>
  </si>
  <si>
    <t>Contributions to consumption growth (annual)</t>
  </si>
  <si>
    <t>Nominal income</t>
  </si>
  <si>
    <t>Inflation</t>
  </si>
  <si>
    <t>Savings</t>
  </si>
  <si>
    <t>Consumer spending growth</t>
  </si>
  <si>
    <t>FEB016J</t>
  </si>
  <si>
    <t>FEB016J.db</t>
  </si>
  <si>
    <t>2019 01</t>
  </si>
  <si>
    <t>2019 02</t>
  </si>
  <si>
    <t>2019 03</t>
  </si>
  <si>
    <t>2019 04</t>
  </si>
  <si>
    <t>2020 01</t>
  </si>
  <si>
    <t>2020 02</t>
  </si>
  <si>
    <t>2020 03</t>
  </si>
  <si>
    <t>2020 04</t>
  </si>
  <si>
    <t>2021 01</t>
  </si>
  <si>
    <t>2021 02</t>
  </si>
  <si>
    <t>2021 03</t>
  </si>
  <si>
    <t>2021 04</t>
  </si>
  <si>
    <t>2022 01</t>
  </si>
  <si>
    <t>2022 02</t>
  </si>
  <si>
    <t>2022 03</t>
  </si>
  <si>
    <t>2022 04</t>
  </si>
  <si>
    <t>2023 01</t>
  </si>
  <si>
    <t>2023 02</t>
  </si>
  <si>
    <t>2023 03</t>
  </si>
  <si>
    <t>2023 04</t>
  </si>
  <si>
    <t>2024 01</t>
  </si>
  <si>
    <t>2024 02</t>
  </si>
  <si>
    <t>2024 03</t>
  </si>
  <si>
    <t>2024 04</t>
  </si>
  <si>
    <t>2025 01</t>
  </si>
  <si>
    <t>2025 02</t>
  </si>
  <si>
    <t>2025 03</t>
  </si>
  <si>
    <t>2025 04</t>
  </si>
  <si>
    <t>Quarterly contributions to real income v1</t>
  </si>
  <si>
    <t>Quarterly contributions to real income v2</t>
  </si>
  <si>
    <t>Annual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</si>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</sst>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;\-###0.0;0.0;@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6" fillId="0" borderId="0"/>
  </cellStyleXfs>
  <cellXfs count="29">
    <xf numFmtId="0" fontId="0" fillId="0" borderId="0" xfId="0"/>
    <xf numFmtId="0" fontId="3" fillId="0" borderId="0" xfId="1"/>
    <xf numFmtId="0" fontId="3" fillId="2" borderId="1" xfId="1" applyFill="1" applyBorder="1"/>
    <xf numFmtId="0" fontId="4" fillId="3" borderId="1" xfId="1" applyFont="1" applyFill="1" applyBorder="1" applyAlignment="1">
      <alignment horizontal="left" wrapText="1"/>
    </xf>
    <xf numFmtId="0" fontId="3" fillId="2" borderId="1" xfId="1" quotePrefix="1" applyFill="1" applyBorder="1"/>
    <xf numFmtId="164" fontId="3" fillId="2" borderId="1" xfId="1" applyNumberFormat="1" applyFill="1" applyBorder="1"/>
    <xf numFmtId="164" fontId="5" fillId="2" borderId="1" xfId="1" applyNumberFormat="1" applyFont="1" applyFill="1" applyBorder="1"/>
    <xf numFmtId="0" fontId="1" fillId="0" borderId="0" xfId="2"/>
    <xf numFmtId="0" fontId="0" fillId="0" borderId="0" xfId="2" applyFont="1"/>
    <xf numFmtId="0" fontId="1" fillId="0" borderId="0" xfId="2" applyAlignment="1">
      <alignment horizontal="right"/>
    </xf>
    <xf numFmtId="0" fontId="6" fillId="0" borderId="0" xfId="3"/>
    <xf numFmtId="0" fontId="6" fillId="2" borderId="1" xfId="3" applyFill="1" applyBorder="1"/>
    <xf numFmtId="0" fontId="7" fillId="3" borderId="1" xfId="3" applyFont="1" applyFill="1" applyBorder="1" applyAlignment="1">
      <alignment horizontal="left" wrapText="1"/>
    </xf>
    <xf numFmtId="0" fontId="6" fillId="2" borderId="1" xfId="3" quotePrefix="1" applyFill="1" applyBorder="1"/>
    <xf numFmtId="164" fontId="6" fillId="2" borderId="1" xfId="3" applyNumberFormat="1" applyFill="1" applyBorder="1"/>
    <xf numFmtId="164" fontId="5" fillId="2" borderId="1" xfId="3" applyNumberFormat="1" applyFont="1" applyFill="1" applyBorder="1"/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5" fontId="1" fillId="0" borderId="0" xfId="2" applyNumberFormat="1"/>
    <xf numFmtId="2" fontId="0" fillId="0" borderId="0" xfId="0" applyNumberFormat="1"/>
    <xf numFmtId="0" fontId="0" fillId="0" borderId="0" xfId="0" quotePrefix="1"/>
    <xf numFmtId="1" fontId="1" fillId="0" borderId="0" xfId="2" applyNumberFormat="1"/>
    <xf numFmtId="9" fontId="0" fillId="0" borderId="0" xfId="0" applyNumberFormat="1"/>
    <xf numFmtId="2" fontId="1" fillId="0" borderId="0" xfId="2" applyNumberFormat="1"/>
    <xf numFmtId="165" fontId="0" fillId="0" borderId="0" xfId="0" applyNumberFormat="1" applyFill="1"/>
    <xf numFmtId="0" fontId="0" fillId="0" borderId="0" xfId="0" applyFill="1"/>
    <xf numFmtId="0" fontId="0" fillId="0" borderId="0" xfId="0" applyNumberFormat="1"/>
  </cellXfs>
  <cellStyles count="4">
    <cellStyle name="Normal" xfId="0" builtinId="0"/>
    <cellStyle name="Normal 2" xfId="1" xr:uid="{D92B1FA1-0147-4C53-9529-8DDFA05E0FAD}"/>
    <cellStyle name="Normal 2 5" xfId="2" xr:uid="{C79EC839-1DAB-4B87-9C95-FA64C9CD1ED3}"/>
    <cellStyle name="Normal 3" xfId="3" xr:uid="{6AF0A043-68C6-4C92-9F94-5A185431FBFE}"/>
  </cellStyles>
  <dxfs count="0"/>
  <tableStyles count="0" defaultTableStyle="TableStyleMedium2" defaultPivotStyle="PivotStyleLight16"/>
  <colors>
    <mruColors>
      <color rgb="FF000000"/>
      <color rgb="FF965793"/>
      <color rgb="FF00ADDC"/>
      <color rgb="FF495057"/>
      <color rgb="FFD1A21E"/>
      <color rgb="FFE5BD4D"/>
      <color rgb="FF002060"/>
      <color rgb="FFBD1B21"/>
      <color rgb="FF7B7C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chartsheet" Target="chartsheets/sheet2.xml"/><Relationship Id="rId21" Type="http://schemas.openxmlformats.org/officeDocument/2006/relationships/sheetMetadata" Target="metadata.xml"/><Relationship Id="rId7" Type="http://schemas.openxmlformats.org/officeDocument/2006/relationships/worksheet" Target="worksheets/sheet2.xml"/><Relationship Id="rId12" Type="http://schemas.openxmlformats.org/officeDocument/2006/relationships/worksheet" Target="worksheets/sheet7.xml"/><Relationship Id="rId17" Type="http://schemas.openxmlformats.org/officeDocument/2006/relationships/chartsheet" Target="chartsheets/sheet9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6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7.xml"/><Relationship Id="rId10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4.xml"/><Relationship Id="rId14" Type="http://schemas.openxmlformats.org/officeDocument/2006/relationships/chartsheet" Target="chartsheets/sheet6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8.xml"/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0.xml"/><Relationship Id="rId1" Type="http://schemas.openxmlformats.org/officeDocument/2006/relationships/themeOverride" Target="../theme/themeOverrid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999373417064571E-2"/>
          <c:y val="0.18150244618963562"/>
          <c:w val="0.88767550794665351"/>
          <c:h val="0.7254005720391929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Gross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Data'!$A$4:$A$51</c:f>
              <c:numCache>
                <c:formatCode>General</c:formatCode>
                <c:ptCount val="48"/>
                <c:pt idx="0">
                  <c:v>2015</c:v>
                </c:pt>
                <c:pt idx="4">
                  <c:v>2016</c:v>
                </c:pt>
                <c:pt idx="8">
                  <c:v>2017</c:v>
                </c:pt>
                <c:pt idx="12">
                  <c:v>2018</c:v>
                </c:pt>
                <c:pt idx="16">
                  <c:v>2019</c:v>
                </c:pt>
                <c:pt idx="20">
                  <c:v>2020</c:v>
                </c:pt>
                <c:pt idx="24">
                  <c:v>2021</c:v>
                </c:pt>
                <c:pt idx="28">
                  <c:v>2022</c:v>
                </c:pt>
                <c:pt idx="32">
                  <c:v>2023</c:v>
                </c:pt>
                <c:pt idx="36">
                  <c:v>2024</c:v>
                </c:pt>
                <c:pt idx="40">
                  <c:v>2025</c:v>
                </c:pt>
                <c:pt idx="44">
                  <c:v>2026</c:v>
                </c:pt>
              </c:numCache>
            </c:numRef>
          </c:cat>
          <c:val>
            <c:numRef>
              <c:f>'Chart Data'!$B$4:$B$51</c:f>
              <c:numCache>
                <c:formatCode>0.0</c:formatCode>
                <c:ptCount val="48"/>
                <c:pt idx="0">
                  <c:v>93.409402577078723</c:v>
                </c:pt>
                <c:pt idx="1">
                  <c:v>93.708519142913289</c:v>
                </c:pt>
                <c:pt idx="2">
                  <c:v>94.123382452652066</c:v>
                </c:pt>
                <c:pt idx="3">
                  <c:v>94.093175281030256</c:v>
                </c:pt>
                <c:pt idx="4">
                  <c:v>95.072928004111034</c:v>
                </c:pt>
                <c:pt idx="5">
                  <c:v>95.152911768351046</c:v>
                </c:pt>
                <c:pt idx="6">
                  <c:v>94.882418968664751</c:v>
                </c:pt>
                <c:pt idx="7">
                  <c:v>94.397398062397627</c:v>
                </c:pt>
                <c:pt idx="8">
                  <c:v>95.632551294824012</c:v>
                </c:pt>
                <c:pt idx="9">
                  <c:v>95.780085421229643</c:v>
                </c:pt>
                <c:pt idx="10">
                  <c:v>96.107743187272035</c:v>
                </c:pt>
                <c:pt idx="11">
                  <c:v>95.865558464251563</c:v>
                </c:pt>
                <c:pt idx="12">
                  <c:v>96.253212879914116</c:v>
                </c:pt>
                <c:pt idx="13">
                  <c:v>95.583106205470415</c:v>
                </c:pt>
                <c:pt idx="14">
                  <c:v>96.548700518765585</c:v>
                </c:pt>
                <c:pt idx="15">
                  <c:v>96.966791047945904</c:v>
                </c:pt>
                <c:pt idx="16">
                  <c:v>97.389030752958675</c:v>
                </c:pt>
                <c:pt idx="17">
                  <c:v>98.207555290683118</c:v>
                </c:pt>
                <c:pt idx="18">
                  <c:v>97.728172139636158</c:v>
                </c:pt>
                <c:pt idx="19">
                  <c:v>97.363931897647291</c:v>
                </c:pt>
                <c:pt idx="20">
                  <c:v>98.083585550209534</c:v>
                </c:pt>
                <c:pt idx="21">
                  <c:v>95.07473731369663</c:v>
                </c:pt>
                <c:pt idx="22">
                  <c:v>96.79962410154782</c:v>
                </c:pt>
                <c:pt idx="23">
                  <c:v>99.581323882164213</c:v>
                </c:pt>
                <c:pt idx="24">
                  <c:v>98.762031146853957</c:v>
                </c:pt>
                <c:pt idx="25">
                  <c:v>100.97484156048451</c:v>
                </c:pt>
                <c:pt idx="26">
                  <c:v>100.14797861707298</c:v>
                </c:pt>
                <c:pt idx="27">
                  <c:v>100.10730564848377</c:v>
                </c:pt>
                <c:pt idx="28">
                  <c:v>100.20081796772334</c:v>
                </c:pt>
                <c:pt idx="29">
                  <c:v>97.676191674174277</c:v>
                </c:pt>
                <c:pt idx="30">
                  <c:v>96.628009592531455</c:v>
                </c:pt>
                <c:pt idx="31">
                  <c:v>96.191591218740939</c:v>
                </c:pt>
                <c:pt idx="32">
                  <c:v>96.255397131225664</c:v>
                </c:pt>
                <c:pt idx="33">
                  <c:v>96.896548562293177</c:v>
                </c:pt>
                <c:pt idx="34">
                  <c:v>98.122921760363752</c:v>
                </c:pt>
                <c:pt idx="35">
                  <c:v>97.877091015667418</c:v>
                </c:pt>
                <c:pt idx="36">
                  <c:v>98.218130636440549</c:v>
                </c:pt>
                <c:pt idx="37">
                  <c:v>99.244791256056303</c:v>
                </c:pt>
                <c:pt idx="38">
                  <c:v>99.491759629668891</c:v>
                </c:pt>
                <c:pt idx="39">
                  <c:v>99.640230051835545</c:v>
                </c:pt>
                <c:pt idx="40">
                  <c:v>99.719553357898093</c:v>
                </c:pt>
                <c:pt idx="41">
                  <c:v>99.772953881411141</c:v>
                </c:pt>
                <c:pt idx="42">
                  <c:v>99.862496857228209</c:v>
                </c:pt>
                <c:pt idx="43">
                  <c:v>99.975384466106107</c:v>
                </c:pt>
                <c:pt idx="44">
                  <c:v>100.10969888717629</c:v>
                </c:pt>
                <c:pt idx="45">
                  <c:v>100.24201244967136</c:v>
                </c:pt>
                <c:pt idx="46">
                  <c:v>100.40649020804067</c:v>
                </c:pt>
                <c:pt idx="47">
                  <c:v>100.56863008165344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Post-tax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Data'!$A$4:$A$51</c:f>
              <c:numCache>
                <c:formatCode>General</c:formatCode>
                <c:ptCount val="48"/>
                <c:pt idx="0">
                  <c:v>2015</c:v>
                </c:pt>
                <c:pt idx="4">
                  <c:v>2016</c:v>
                </c:pt>
                <c:pt idx="8">
                  <c:v>2017</c:v>
                </c:pt>
                <c:pt idx="12">
                  <c:v>2018</c:v>
                </c:pt>
                <c:pt idx="16">
                  <c:v>2019</c:v>
                </c:pt>
                <c:pt idx="20">
                  <c:v>2020</c:v>
                </c:pt>
                <c:pt idx="24">
                  <c:v>2021</c:v>
                </c:pt>
                <c:pt idx="28">
                  <c:v>2022</c:v>
                </c:pt>
                <c:pt idx="32">
                  <c:v>2023</c:v>
                </c:pt>
                <c:pt idx="36">
                  <c:v>2024</c:v>
                </c:pt>
                <c:pt idx="40">
                  <c:v>2025</c:v>
                </c:pt>
                <c:pt idx="44">
                  <c:v>2026</c:v>
                </c:pt>
              </c:numCache>
            </c:numRef>
          </c:cat>
          <c:val>
            <c:numRef>
              <c:f>'Chart Data'!$C$4:$C$51</c:f>
              <c:numCache>
                <c:formatCode>0.0</c:formatCode>
                <c:ptCount val="48"/>
                <c:pt idx="0">
                  <c:v>96.798299040176758</c:v>
                </c:pt>
                <c:pt idx="1">
                  <c:v>96.66499813488123</c:v>
                </c:pt>
                <c:pt idx="2">
                  <c:v>97.664793938230019</c:v>
                </c:pt>
                <c:pt idx="3">
                  <c:v>97.35952847544273</c:v>
                </c:pt>
                <c:pt idx="4">
                  <c:v>98.647092814251479</c:v>
                </c:pt>
                <c:pt idx="5">
                  <c:v>98.218701077631863</c:v>
                </c:pt>
                <c:pt idx="6">
                  <c:v>97.505548543449677</c:v>
                </c:pt>
                <c:pt idx="7">
                  <c:v>96.787261722266962</c:v>
                </c:pt>
                <c:pt idx="8">
                  <c:v>96.902610460923498</c:v>
                </c:pt>
                <c:pt idx="9">
                  <c:v>98.678978576551032</c:v>
                </c:pt>
                <c:pt idx="10">
                  <c:v>99.286748213623483</c:v>
                </c:pt>
                <c:pt idx="11">
                  <c:v>97.828059313531597</c:v>
                </c:pt>
                <c:pt idx="12">
                  <c:v>99.998492851307603</c:v>
                </c:pt>
                <c:pt idx="13">
                  <c:v>98.256226682605913</c:v>
                </c:pt>
                <c:pt idx="14">
                  <c:v>98.813666261789393</c:v>
                </c:pt>
                <c:pt idx="15">
                  <c:v>98.824912414586933</c:v>
                </c:pt>
                <c:pt idx="16">
                  <c:v>99.251344229817747</c:v>
                </c:pt>
                <c:pt idx="17">
                  <c:v>100.7925740779386</c:v>
                </c:pt>
                <c:pt idx="18">
                  <c:v>99.983057088985476</c:v>
                </c:pt>
                <c:pt idx="19">
                  <c:v>100.11056701573816</c:v>
                </c:pt>
                <c:pt idx="20">
                  <c:v>100.24812244012583</c:v>
                </c:pt>
                <c:pt idx="21">
                  <c:v>98.559417242379794</c:v>
                </c:pt>
                <c:pt idx="22">
                  <c:v>100.86789233047182</c:v>
                </c:pt>
                <c:pt idx="23">
                  <c:v>100.08215850034463</c:v>
                </c:pt>
                <c:pt idx="24">
                  <c:v>99.311079759878652</c:v>
                </c:pt>
                <c:pt idx="25">
                  <c:v>101.01901044246134</c:v>
                </c:pt>
                <c:pt idx="26">
                  <c:v>100.33016961830734</c:v>
                </c:pt>
                <c:pt idx="27">
                  <c:v>99.350928047264048</c:v>
                </c:pt>
                <c:pt idx="28">
                  <c:v>99.076225124366033</c:v>
                </c:pt>
                <c:pt idx="29">
                  <c:v>96.708642073087987</c:v>
                </c:pt>
                <c:pt idx="30">
                  <c:v>94.797060923789559</c:v>
                </c:pt>
                <c:pt idx="31">
                  <c:v>94.560288490026153</c:v>
                </c:pt>
                <c:pt idx="32">
                  <c:v>92.904161570841765</c:v>
                </c:pt>
                <c:pt idx="33">
                  <c:v>96.375967162457201</c:v>
                </c:pt>
                <c:pt idx="34">
                  <c:v>96.815647134127161</c:v>
                </c:pt>
                <c:pt idx="35">
                  <c:v>96.138259590504617</c:v>
                </c:pt>
                <c:pt idx="36">
                  <c:v>96.471264910544221</c:v>
                </c:pt>
                <c:pt idx="37">
                  <c:v>97.191754246797061</c:v>
                </c:pt>
                <c:pt idx="38">
                  <c:v>97.323513410721134</c:v>
                </c:pt>
                <c:pt idx="39">
                  <c:v>97.216817569281972</c:v>
                </c:pt>
                <c:pt idx="40">
                  <c:v>96.922211476870203</c:v>
                </c:pt>
                <c:pt idx="41">
                  <c:v>96.847996095152041</c:v>
                </c:pt>
                <c:pt idx="42">
                  <c:v>96.739623912150577</c:v>
                </c:pt>
                <c:pt idx="43">
                  <c:v>96.621635602597678</c:v>
                </c:pt>
                <c:pt idx="44">
                  <c:v>96.479464360655868</c:v>
                </c:pt>
                <c:pt idx="45">
                  <c:v>96.465522911005777</c:v>
                </c:pt>
                <c:pt idx="46">
                  <c:v>96.412526293789753</c:v>
                </c:pt>
                <c:pt idx="47">
                  <c:v>96.334140869075995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Data'!$D$3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'Chart Data'!$A$4:$A$51</c:f>
              <c:numCache>
                <c:formatCode>General</c:formatCode>
                <c:ptCount val="48"/>
                <c:pt idx="0">
                  <c:v>2015</c:v>
                </c:pt>
                <c:pt idx="4">
                  <c:v>2016</c:v>
                </c:pt>
                <c:pt idx="8">
                  <c:v>2017</c:v>
                </c:pt>
                <c:pt idx="12">
                  <c:v>2018</c:v>
                </c:pt>
                <c:pt idx="16">
                  <c:v>2019</c:v>
                </c:pt>
                <c:pt idx="20">
                  <c:v>2020</c:v>
                </c:pt>
                <c:pt idx="24">
                  <c:v>2021</c:v>
                </c:pt>
                <c:pt idx="28">
                  <c:v>2022</c:v>
                </c:pt>
                <c:pt idx="32">
                  <c:v>2023</c:v>
                </c:pt>
                <c:pt idx="36">
                  <c:v>2024</c:v>
                </c:pt>
                <c:pt idx="40">
                  <c:v>2025</c:v>
                </c:pt>
                <c:pt idx="44">
                  <c:v>2026</c:v>
                </c:pt>
              </c:numCache>
            </c:numRef>
          </c:cat>
          <c:val>
            <c:numRef>
              <c:f>'Chart Data'!$D$4:$D$51</c:f>
              <c:numCache>
                <c:formatCode>General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MarkSkip val="4"/>
        <c:noMultiLvlLbl val="0"/>
      </c:catAx>
      <c:valAx>
        <c:axId val="263608576"/>
        <c:scaling>
          <c:orientation val="minMax"/>
          <c:max val="102"/>
          <c:min val="92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27899222756884162"/>
          <c:y val="0.14895235417645147"/>
          <c:w val="0.2850983234037277"/>
          <c:h val="5.6178821570070446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3559221099509195E-2"/>
          <c:y val="0.14733637257579002"/>
          <c:w val="0.91973106359172752"/>
          <c:h val="0.72573287349931637"/>
        </c:manualLayout>
      </c:layout>
      <c:areaChart>
        <c:grouping val="standard"/>
        <c:varyColors val="0"/>
        <c:ser>
          <c:idx val="2"/>
          <c:order val="2"/>
          <c:tx>
            <c:strRef>
              <c:f>'Chart Data'!$AX$3</c:f>
              <c:strCache>
                <c:ptCount val="1"/>
                <c:pt idx="0">
                  <c:v>Net interest receipts</c:v>
                </c:pt>
              </c:strCache>
            </c:strRef>
          </c:tx>
          <c:spPr>
            <a:solidFill>
              <a:srgbClr val="7B7C77">
                <a:alpha val="50000"/>
              </a:srgbClr>
            </a:solidFill>
            <a:ln w="12700">
              <a:noFill/>
              <a:prstDash val="solid"/>
            </a:ln>
            <a:effectLst/>
          </c:spPr>
          <c:cat>
            <c:numRef>
              <c:f>'Chart Data'!$AU$4:$AU$111</c:f>
              <c:numCache>
                <c:formatCode>General</c:formatCode>
                <c:ptCount val="108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  <c:pt idx="104">
                  <c:v>2026</c:v>
                </c:pt>
              </c:numCache>
            </c:numRef>
          </c:cat>
          <c:val>
            <c:numRef>
              <c:f>'Chart Data'!$AX$4:$AX$111</c:f>
              <c:numCache>
                <c:formatCode>0.0</c:formatCode>
                <c:ptCount val="108"/>
                <c:pt idx="0">
                  <c:v>-0.41080207421375176</c:v>
                </c:pt>
                <c:pt idx="1">
                  <c:v>-0.49962166733431257</c:v>
                </c:pt>
                <c:pt idx="2">
                  <c:v>-0.46286704975411891</c:v>
                </c:pt>
                <c:pt idx="3">
                  <c:v>-1.1977623158527679</c:v>
                </c:pt>
                <c:pt idx="4">
                  <c:v>-0.55605920053972002</c:v>
                </c:pt>
                <c:pt idx="5">
                  <c:v>-1.0219202150742492</c:v>
                </c:pt>
                <c:pt idx="6">
                  <c:v>-1.0124131108550261</c:v>
                </c:pt>
                <c:pt idx="7">
                  <c:v>-1.5455595207615982</c:v>
                </c:pt>
                <c:pt idx="8">
                  <c:v>-1.2808180775383602</c:v>
                </c:pt>
                <c:pt idx="9">
                  <c:v>-1.2424225458210119</c:v>
                </c:pt>
                <c:pt idx="10">
                  <c:v>-1.2460805057740842</c:v>
                </c:pt>
                <c:pt idx="11">
                  <c:v>-1.3193131099175428</c:v>
                </c:pt>
                <c:pt idx="12">
                  <c:v>-1.299998003075264</c:v>
                </c:pt>
                <c:pt idx="13">
                  <c:v>-1.2107053933676557</c:v>
                </c:pt>
                <c:pt idx="14">
                  <c:v>-1.2507596698621812</c:v>
                </c:pt>
                <c:pt idx="15">
                  <c:v>-1.1028119296319305</c:v>
                </c:pt>
                <c:pt idx="16">
                  <c:v>-1.3935532018714658</c:v>
                </c:pt>
                <c:pt idx="17">
                  <c:v>-1.3522873445694119</c:v>
                </c:pt>
                <c:pt idx="18">
                  <c:v>-1.3326441951751016</c:v>
                </c:pt>
                <c:pt idx="19">
                  <c:v>-1.3807133762663075</c:v>
                </c:pt>
                <c:pt idx="20">
                  <c:v>-1.6479222743703756</c:v>
                </c:pt>
                <c:pt idx="21">
                  <c:v>-1.7908668499979679</c:v>
                </c:pt>
                <c:pt idx="22">
                  <c:v>-1.5560004101777585</c:v>
                </c:pt>
                <c:pt idx="23">
                  <c:v>-1.8096470349255693</c:v>
                </c:pt>
                <c:pt idx="24">
                  <c:v>-1.8432116712075972</c:v>
                </c:pt>
                <c:pt idx="25">
                  <c:v>-1.9452819364828784</c:v>
                </c:pt>
                <c:pt idx="26">
                  <c:v>-1.5985662475002542</c:v>
                </c:pt>
                <c:pt idx="27">
                  <c:v>-1.7686187007956891</c:v>
                </c:pt>
                <c:pt idx="28">
                  <c:v>-2.1507012709250195</c:v>
                </c:pt>
                <c:pt idx="29">
                  <c:v>-2.2376369637503628</c:v>
                </c:pt>
                <c:pt idx="30">
                  <c:v>-1.917671811509243</c:v>
                </c:pt>
                <c:pt idx="31">
                  <c:v>-2.7751295648064338</c:v>
                </c:pt>
                <c:pt idx="32">
                  <c:v>-2.5524714692011377</c:v>
                </c:pt>
                <c:pt idx="33">
                  <c:v>-2.4244268614323392</c:v>
                </c:pt>
                <c:pt idx="34">
                  <c:v>-2.2497117507963496</c:v>
                </c:pt>
                <c:pt idx="35">
                  <c:v>-2.4228938747759439</c:v>
                </c:pt>
                <c:pt idx="36">
                  <c:v>-1.6999598219684116</c:v>
                </c:pt>
                <c:pt idx="37">
                  <c:v>-1.2192396701727539</c:v>
                </c:pt>
                <c:pt idx="38">
                  <c:v>-1.1356070837534002</c:v>
                </c:pt>
                <c:pt idx="39">
                  <c:v>-0.98730446181298803</c:v>
                </c:pt>
                <c:pt idx="40">
                  <c:v>-0.38150892836867084</c:v>
                </c:pt>
                <c:pt idx="41">
                  <c:v>-0.33709210358941361</c:v>
                </c:pt>
                <c:pt idx="42">
                  <c:v>-0.27734332714941079</c:v>
                </c:pt>
                <c:pt idx="43">
                  <c:v>-0.34224232098452451</c:v>
                </c:pt>
                <c:pt idx="44">
                  <c:v>-0.22500235161320667</c:v>
                </c:pt>
                <c:pt idx="45">
                  <c:v>-0.24770449443586406</c:v>
                </c:pt>
                <c:pt idx="46">
                  <c:v>-0.2649501022839138</c:v>
                </c:pt>
                <c:pt idx="47">
                  <c:v>-0.25462327827470776</c:v>
                </c:pt>
                <c:pt idx="48">
                  <c:v>-0.37907668517305443</c:v>
                </c:pt>
                <c:pt idx="49">
                  <c:v>-0.29965134684467132</c:v>
                </c:pt>
                <c:pt idx="50">
                  <c:v>-0.29529792121607445</c:v>
                </c:pt>
                <c:pt idx="51">
                  <c:v>-0.19660209567968653</c:v>
                </c:pt>
                <c:pt idx="52">
                  <c:v>-0.31776302547031043</c:v>
                </c:pt>
                <c:pt idx="53">
                  <c:v>-0.27707463911883423</c:v>
                </c:pt>
                <c:pt idx="54">
                  <c:v>-0.28416992557294751</c:v>
                </c:pt>
                <c:pt idx="55">
                  <c:v>-0.26056986363288898</c:v>
                </c:pt>
                <c:pt idx="56">
                  <c:v>-0.32899864354389907</c:v>
                </c:pt>
                <c:pt idx="57">
                  <c:v>-0.34141244200260251</c:v>
                </c:pt>
                <c:pt idx="58">
                  <c:v>-0.28667154875062534</c:v>
                </c:pt>
                <c:pt idx="59">
                  <c:v>-0.27532251135786717</c:v>
                </c:pt>
                <c:pt idx="60">
                  <c:v>-0.2892536806087796</c:v>
                </c:pt>
                <c:pt idx="61">
                  <c:v>-0.22269346494767331</c:v>
                </c:pt>
                <c:pt idx="62">
                  <c:v>-0.15585415718044551</c:v>
                </c:pt>
                <c:pt idx="63">
                  <c:v>-0.21226429500766594</c:v>
                </c:pt>
                <c:pt idx="64">
                  <c:v>-0.28398122108874801</c:v>
                </c:pt>
                <c:pt idx="65">
                  <c:v>-0.27589651140128629</c:v>
                </c:pt>
                <c:pt idx="66">
                  <c:v>-0.26136353263697243</c:v>
                </c:pt>
                <c:pt idx="67">
                  <c:v>-0.32632696131653105</c:v>
                </c:pt>
                <c:pt idx="68">
                  <c:v>-0.2740853658536585</c:v>
                </c:pt>
                <c:pt idx="69">
                  <c:v>-0.31442440478660039</c:v>
                </c:pt>
                <c:pt idx="70">
                  <c:v>-0.23076538166062771</c:v>
                </c:pt>
                <c:pt idx="71">
                  <c:v>-0.30974693762942684</c:v>
                </c:pt>
                <c:pt idx="72">
                  <c:v>-0.26859070400096624</c:v>
                </c:pt>
                <c:pt idx="73">
                  <c:v>-0.33965240318467305</c:v>
                </c:pt>
                <c:pt idx="74">
                  <c:v>-0.26633968290179078</c:v>
                </c:pt>
                <c:pt idx="75">
                  <c:v>-0.28434902581014232</c:v>
                </c:pt>
                <c:pt idx="76">
                  <c:v>-0.36273895990499161</c:v>
                </c:pt>
                <c:pt idx="77">
                  <c:v>-0.27998877844581471</c:v>
                </c:pt>
                <c:pt idx="78">
                  <c:v>-0.26448797209460234</c:v>
                </c:pt>
                <c:pt idx="79">
                  <c:v>-0.20273777526544789</c:v>
                </c:pt>
                <c:pt idx="80">
                  <c:v>-0.25047429945900862</c:v>
                </c:pt>
                <c:pt idx="81">
                  <c:v>-0.19848176887401603</c:v>
                </c:pt>
                <c:pt idx="82">
                  <c:v>-0.12251698902247779</c:v>
                </c:pt>
                <c:pt idx="83">
                  <c:v>-0.21778505538311976</c:v>
                </c:pt>
                <c:pt idx="84">
                  <c:v>-0.20068554181082576</c:v>
                </c:pt>
                <c:pt idx="85">
                  <c:v>-9.6651285888113489E-2</c:v>
                </c:pt>
                <c:pt idx="86">
                  <c:v>-3.1729914963827897E-2</c:v>
                </c:pt>
                <c:pt idx="87">
                  <c:v>-9.1928421904179068E-3</c:v>
                </c:pt>
                <c:pt idx="88">
                  <c:v>2.1627411198879495E-2</c:v>
                </c:pt>
                <c:pt idx="89">
                  <c:v>2.0006027132224644E-2</c:v>
                </c:pt>
                <c:pt idx="90">
                  <c:v>3.6037379461179041E-2</c:v>
                </c:pt>
                <c:pt idx="91">
                  <c:v>0.29036420992256956</c:v>
                </c:pt>
                <c:pt idx="92">
                  <c:v>0.31657812544231295</c:v>
                </c:pt>
                <c:pt idx="93">
                  <c:v>0.27372762276683882</c:v>
                </c:pt>
                <c:pt idx="94">
                  <c:v>0.38571957351918895</c:v>
                </c:pt>
                <c:pt idx="95">
                  <c:v>0.33331434230474061</c:v>
                </c:pt>
                <c:pt idx="96">
                  <c:v>2.2405397161101397E-3</c:v>
                </c:pt>
                <c:pt idx="97">
                  <c:v>-0.1467124241696558</c:v>
                </c:pt>
                <c:pt idx="98">
                  <c:v>-0.23508394499189766</c:v>
                </c:pt>
                <c:pt idx="99">
                  <c:v>-0.29490495790650761</c:v>
                </c:pt>
                <c:pt idx="100">
                  <c:v>-0.39183483253832935</c:v>
                </c:pt>
                <c:pt idx="101">
                  <c:v>-0.50942536236839908</c:v>
                </c:pt>
                <c:pt idx="102">
                  <c:v>-0.56915887870280291</c:v>
                </c:pt>
                <c:pt idx="103">
                  <c:v>-0.65225502142821346</c:v>
                </c:pt>
                <c:pt idx="104">
                  <c:v>-0.74034343262189017</c:v>
                </c:pt>
                <c:pt idx="105">
                  <c:v>-0.83326358959342517</c:v>
                </c:pt>
                <c:pt idx="106">
                  <c:v>-0.93275527388950397</c:v>
                </c:pt>
                <c:pt idx="107">
                  <c:v>-1.0287325415859097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B9C-474D-B836-BD9C9C069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926592"/>
        <c:axId val="274950400"/>
      </c:areaChart>
      <c:lineChart>
        <c:grouping val="standard"/>
        <c:varyColors val="0"/>
        <c:ser>
          <c:idx val="0"/>
          <c:order val="0"/>
          <c:tx>
            <c:strRef>
              <c:f>'Chart Data'!$AV$3</c:f>
              <c:strCache>
                <c:ptCount val="1"/>
                <c:pt idx="0">
                  <c:v>Interest receipts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  <a:effectLst/>
          </c:spPr>
          <c:marker>
            <c:symbol val="none"/>
          </c:marker>
          <c:cat>
            <c:numRef>
              <c:f>'Chart Data'!$AU$4:$AU$111</c:f>
              <c:numCache>
                <c:formatCode>General</c:formatCode>
                <c:ptCount val="108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  <c:pt idx="104">
                  <c:v>2026</c:v>
                </c:pt>
              </c:numCache>
            </c:numRef>
          </c:cat>
          <c:val>
            <c:numRef>
              <c:f>'Chart Data'!$AV$4:$AV$111</c:f>
              <c:numCache>
                <c:formatCode>0.0</c:formatCode>
                <c:ptCount val="108"/>
                <c:pt idx="0">
                  <c:v>5.3684872157496581</c:v>
                </c:pt>
                <c:pt idx="1">
                  <c:v>5.4474340143321314</c:v>
                </c:pt>
                <c:pt idx="2">
                  <c:v>5.3145206136668444</c:v>
                </c:pt>
                <c:pt idx="3">
                  <c:v>4.5521410471159216</c:v>
                </c:pt>
                <c:pt idx="4">
                  <c:v>5.205346601450497</c:v>
                </c:pt>
                <c:pt idx="5">
                  <c:v>4.4893574233427529</c:v>
                </c:pt>
                <c:pt idx="6">
                  <c:v>4.1985676775011704</c:v>
                </c:pt>
                <c:pt idx="7">
                  <c:v>3.0958215552780493</c:v>
                </c:pt>
                <c:pt idx="8">
                  <c:v>3.2817748332107386</c:v>
                </c:pt>
                <c:pt idx="9">
                  <c:v>3.4325676562953307</c:v>
                </c:pt>
                <c:pt idx="10">
                  <c:v>3.5414382950518775</c:v>
                </c:pt>
                <c:pt idx="11">
                  <c:v>3.5554883122777818</c:v>
                </c:pt>
                <c:pt idx="12">
                  <c:v>3.584479900952533</c:v>
                </c:pt>
                <c:pt idx="13">
                  <c:v>3.5924371831880091</c:v>
                </c:pt>
                <c:pt idx="14">
                  <c:v>3.3464682703052402</c:v>
                </c:pt>
                <c:pt idx="15">
                  <c:v>3.604605804932314</c:v>
                </c:pt>
                <c:pt idx="16">
                  <c:v>3.818039170661232</c:v>
                </c:pt>
                <c:pt idx="17">
                  <c:v>4.2882115410892743</c:v>
                </c:pt>
                <c:pt idx="18">
                  <c:v>4.966916712065971</c:v>
                </c:pt>
                <c:pt idx="19">
                  <c:v>5.0730721679921764</c:v>
                </c:pt>
                <c:pt idx="20">
                  <c:v>4.6846509247284311</c:v>
                </c:pt>
                <c:pt idx="21">
                  <c:v>4.8799541220191731</c:v>
                </c:pt>
                <c:pt idx="22">
                  <c:v>5.0670328543467695</c:v>
                </c:pt>
                <c:pt idx="23">
                  <c:v>4.7881900438501583</c:v>
                </c:pt>
                <c:pt idx="24">
                  <c:v>4.7810342876541814</c:v>
                </c:pt>
                <c:pt idx="25">
                  <c:v>4.7506286581867903</c:v>
                </c:pt>
                <c:pt idx="26">
                  <c:v>5.2905636714910349</c:v>
                </c:pt>
                <c:pt idx="27">
                  <c:v>5.5256178166968377</c:v>
                </c:pt>
                <c:pt idx="28">
                  <c:v>5.4106856414263973</c:v>
                </c:pt>
                <c:pt idx="29">
                  <c:v>5.7448087722240171</c:v>
                </c:pt>
                <c:pt idx="30">
                  <c:v>6.2496988580698005</c:v>
                </c:pt>
                <c:pt idx="31">
                  <c:v>6.108970610616705</c:v>
                </c:pt>
                <c:pt idx="32">
                  <c:v>6.7445888484877576</c:v>
                </c:pt>
                <c:pt idx="33">
                  <c:v>6.4644880378294873</c:v>
                </c:pt>
                <c:pt idx="34">
                  <c:v>6.6541595825760691</c:v>
                </c:pt>
                <c:pt idx="35">
                  <c:v>6.081185487360159</c:v>
                </c:pt>
                <c:pt idx="36">
                  <c:v>2.9443085672825999</c:v>
                </c:pt>
                <c:pt idx="37">
                  <c:v>2.2093274296730891</c:v>
                </c:pt>
                <c:pt idx="38">
                  <c:v>1.876700081794145</c:v>
                </c:pt>
                <c:pt idx="39">
                  <c:v>1.7707832135509998</c:v>
                </c:pt>
                <c:pt idx="40">
                  <c:v>1.5430673620625703</c:v>
                </c:pt>
                <c:pt idx="41">
                  <c:v>1.6921948773972448</c:v>
                </c:pt>
                <c:pt idx="42">
                  <c:v>1.7170650133072538</c:v>
                </c:pt>
                <c:pt idx="43">
                  <c:v>1.9050743575500222</c:v>
                </c:pt>
                <c:pt idx="44">
                  <c:v>1.9670774151067634</c:v>
                </c:pt>
                <c:pt idx="45">
                  <c:v>1.8765827100788453</c:v>
                </c:pt>
                <c:pt idx="46">
                  <c:v>1.8799014854039575</c:v>
                </c:pt>
                <c:pt idx="47">
                  <c:v>2.1145438914192685</c:v>
                </c:pt>
                <c:pt idx="48">
                  <c:v>2.1957095248833953</c:v>
                </c:pt>
                <c:pt idx="49">
                  <c:v>2.0989695518978504</c:v>
                </c:pt>
                <c:pt idx="50">
                  <c:v>1.8150364425285725</c:v>
                </c:pt>
                <c:pt idx="51">
                  <c:v>1.8092325471598396</c:v>
                </c:pt>
                <c:pt idx="52">
                  <c:v>1.8562570819286774</c:v>
                </c:pt>
                <c:pt idx="53">
                  <c:v>1.7267565163850311</c:v>
                </c:pt>
                <c:pt idx="54">
                  <c:v>1.5766739384678281</c:v>
                </c:pt>
                <c:pt idx="55">
                  <c:v>1.4085396455053361</c:v>
                </c:pt>
                <c:pt idx="56">
                  <c:v>1.7123185449769669</c:v>
                </c:pt>
                <c:pt idx="57">
                  <c:v>2.0540608036171975</c:v>
                </c:pt>
                <c:pt idx="58">
                  <c:v>2.1462518760367573</c:v>
                </c:pt>
                <c:pt idx="59">
                  <c:v>2.1098295994480534</c:v>
                </c:pt>
                <c:pt idx="60">
                  <c:v>1.9115755987903937</c:v>
                </c:pt>
                <c:pt idx="61">
                  <c:v>1.9998623804430098</c:v>
                </c:pt>
                <c:pt idx="62">
                  <c:v>1.9787366034184011</c:v>
                </c:pt>
                <c:pt idx="63">
                  <c:v>1.9797081442297706</c:v>
                </c:pt>
                <c:pt idx="64">
                  <c:v>1.8166222467297735</c:v>
                </c:pt>
                <c:pt idx="65">
                  <c:v>1.9696452933151432</c:v>
                </c:pt>
                <c:pt idx="66">
                  <c:v>1.9655511301918998</c:v>
                </c:pt>
                <c:pt idx="67">
                  <c:v>1.8490844546375025</c:v>
                </c:pt>
                <c:pt idx="68">
                  <c:v>1.589329268292683</c:v>
                </c:pt>
                <c:pt idx="69">
                  <c:v>1.4915155789735717</c:v>
                </c:pt>
                <c:pt idx="70">
                  <c:v>1.3863583515581079</c:v>
                </c:pt>
                <c:pt idx="71">
                  <c:v>1.4680074409462638</c:v>
                </c:pt>
                <c:pt idx="72">
                  <c:v>1.6825740996891363</c:v>
                </c:pt>
                <c:pt idx="73">
                  <c:v>1.800445577898415</c:v>
                </c:pt>
                <c:pt idx="74">
                  <c:v>1.9370936466294058</c:v>
                </c:pt>
                <c:pt idx="75">
                  <c:v>2.0400780697917016</c:v>
                </c:pt>
                <c:pt idx="76">
                  <c:v>1.8499125439736763</c:v>
                </c:pt>
                <c:pt idx="77">
                  <c:v>1.6062224618109608</c:v>
                </c:pt>
                <c:pt idx="78">
                  <c:v>1.5475010541187293</c:v>
                </c:pt>
                <c:pt idx="79">
                  <c:v>1.5227074461290946</c:v>
                </c:pt>
                <c:pt idx="80">
                  <c:v>1.3501310364444248</c:v>
                </c:pt>
                <c:pt idx="81">
                  <c:v>1.0098146006221154</c:v>
                </c:pt>
                <c:pt idx="82">
                  <c:v>1.0966631817389789</c:v>
                </c:pt>
                <c:pt idx="83">
                  <c:v>1.0848519903435954</c:v>
                </c:pt>
                <c:pt idx="84">
                  <c:v>1.2562914917357695</c:v>
                </c:pt>
                <c:pt idx="85">
                  <c:v>1.3179720802924566</c:v>
                </c:pt>
                <c:pt idx="86">
                  <c:v>1.302777425223167</c:v>
                </c:pt>
                <c:pt idx="87">
                  <c:v>1.4810982031933306</c:v>
                </c:pt>
                <c:pt idx="88">
                  <c:v>1.9129960143770792</c:v>
                </c:pt>
                <c:pt idx="89">
                  <c:v>2.3642565734993579</c:v>
                </c:pt>
                <c:pt idx="90">
                  <c:v>2.8573913907943136</c:v>
                </c:pt>
                <c:pt idx="91">
                  <c:v>3.9224261542873529</c:v>
                </c:pt>
                <c:pt idx="92">
                  <c:v>5.0975683403002536</c:v>
                </c:pt>
                <c:pt idx="93">
                  <c:v>5.1273745871275018</c:v>
                </c:pt>
                <c:pt idx="94">
                  <c:v>5.7153755179791812</c:v>
                </c:pt>
                <c:pt idx="95">
                  <c:v>5.9551265449409829</c:v>
                </c:pt>
                <c:pt idx="96">
                  <c:v>5.7832345909988572</c:v>
                </c:pt>
                <c:pt idx="97">
                  <c:v>5.6196216328264441</c:v>
                </c:pt>
                <c:pt idx="98">
                  <c:v>5.4455385660005167</c:v>
                </c:pt>
                <c:pt idx="99">
                  <c:v>5.3032702724049194</c:v>
                </c:pt>
                <c:pt idx="100">
                  <c:v>5.1486322302269771</c:v>
                </c:pt>
                <c:pt idx="101">
                  <c:v>4.956730611529971</c:v>
                </c:pt>
                <c:pt idx="102">
                  <c:v>4.7933909702372341</c:v>
                </c:pt>
                <c:pt idx="103">
                  <c:v>4.6114790300863149</c:v>
                </c:pt>
                <c:pt idx="104">
                  <c:v>4.4320987731113304</c:v>
                </c:pt>
                <c:pt idx="105">
                  <c:v>4.2689008791001353</c:v>
                </c:pt>
                <c:pt idx="106">
                  <c:v>4.0964453906330984</c:v>
                </c:pt>
                <c:pt idx="107">
                  <c:v>3.9231814645948457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B9C-474D-B836-BD9C9C06998E}"/>
            </c:ext>
          </c:extLst>
        </c:ser>
        <c:ser>
          <c:idx val="1"/>
          <c:order val="1"/>
          <c:tx>
            <c:strRef>
              <c:f>'Chart Data'!$AW$3</c:f>
              <c:strCache>
                <c:ptCount val="1"/>
                <c:pt idx="0">
                  <c:v>Debt interest payments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  <a:effectLst/>
          </c:spPr>
          <c:marker>
            <c:symbol val="none"/>
          </c:marker>
          <c:cat>
            <c:numRef>
              <c:f>'Chart Data'!$AU$4:$AU$111</c:f>
              <c:numCache>
                <c:formatCode>General</c:formatCode>
                <c:ptCount val="108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  <c:pt idx="104">
                  <c:v>2026</c:v>
                </c:pt>
              </c:numCache>
            </c:numRef>
          </c:cat>
          <c:val>
            <c:numRef>
              <c:f>'Chart Data'!$AW$4:$AW$111</c:f>
              <c:numCache>
                <c:formatCode>0.0</c:formatCode>
                <c:ptCount val="108"/>
                <c:pt idx="0">
                  <c:v>5.7792892899634092</c:v>
                </c:pt>
                <c:pt idx="1">
                  <c:v>5.9470556816664439</c:v>
                </c:pt>
                <c:pt idx="2">
                  <c:v>5.7773876634209635</c:v>
                </c:pt>
                <c:pt idx="3">
                  <c:v>5.7499033629686895</c:v>
                </c:pt>
                <c:pt idx="4">
                  <c:v>5.7614058019902172</c:v>
                </c:pt>
                <c:pt idx="5">
                  <c:v>5.5112776384170026</c:v>
                </c:pt>
                <c:pt idx="6">
                  <c:v>5.2109807883561965</c:v>
                </c:pt>
                <c:pt idx="7">
                  <c:v>4.6413810760396474</c:v>
                </c:pt>
                <c:pt idx="8">
                  <c:v>4.5625929107490988</c:v>
                </c:pt>
                <c:pt idx="9">
                  <c:v>4.6749902021163425</c:v>
                </c:pt>
                <c:pt idx="10">
                  <c:v>4.7875188008259615</c:v>
                </c:pt>
                <c:pt idx="11">
                  <c:v>4.8748014221953246</c:v>
                </c:pt>
                <c:pt idx="12">
                  <c:v>4.884477904027797</c:v>
                </c:pt>
                <c:pt idx="13">
                  <c:v>4.8031425765556648</c:v>
                </c:pt>
                <c:pt idx="14">
                  <c:v>4.5972279401674214</c:v>
                </c:pt>
                <c:pt idx="15">
                  <c:v>4.7074177345642445</c:v>
                </c:pt>
                <c:pt idx="16">
                  <c:v>5.2115923725326985</c:v>
                </c:pt>
                <c:pt idx="17">
                  <c:v>5.6404988856586868</c:v>
                </c:pt>
                <c:pt idx="18">
                  <c:v>6.2995609072410721</c:v>
                </c:pt>
                <c:pt idx="19">
                  <c:v>6.4537855442584835</c:v>
                </c:pt>
                <c:pt idx="20">
                  <c:v>6.3325731990988068</c:v>
                </c:pt>
                <c:pt idx="21">
                  <c:v>6.6708209720171414</c:v>
                </c:pt>
                <c:pt idx="22">
                  <c:v>6.623033264524528</c:v>
                </c:pt>
                <c:pt idx="23">
                  <c:v>6.5978370787757283</c:v>
                </c:pt>
                <c:pt idx="24">
                  <c:v>6.6242459588617786</c:v>
                </c:pt>
                <c:pt idx="25">
                  <c:v>6.6959105946696686</c:v>
                </c:pt>
                <c:pt idx="26">
                  <c:v>6.8891299189912898</c:v>
                </c:pt>
                <c:pt idx="27">
                  <c:v>7.2942365174925277</c:v>
                </c:pt>
                <c:pt idx="28">
                  <c:v>7.5613869123514172</c:v>
                </c:pt>
                <c:pt idx="29">
                  <c:v>7.9824457359743803</c:v>
                </c:pt>
                <c:pt idx="30">
                  <c:v>8.1673706695790429</c:v>
                </c:pt>
                <c:pt idx="31">
                  <c:v>8.8841005759325871</c:v>
                </c:pt>
                <c:pt idx="32">
                  <c:v>9.297060317688894</c:v>
                </c:pt>
                <c:pt idx="33">
                  <c:v>8.8889148992618257</c:v>
                </c:pt>
                <c:pt idx="34">
                  <c:v>8.9038713333724182</c:v>
                </c:pt>
                <c:pt idx="35">
                  <c:v>8.5040793621361015</c:v>
                </c:pt>
                <c:pt idx="36">
                  <c:v>4.6442683892510113</c:v>
                </c:pt>
                <c:pt idx="37">
                  <c:v>3.4285670998458433</c:v>
                </c:pt>
                <c:pt idx="38">
                  <c:v>3.0123071655475453</c:v>
                </c:pt>
                <c:pt idx="39">
                  <c:v>2.758087675363988</c:v>
                </c:pt>
                <c:pt idx="40">
                  <c:v>1.9245762904312413</c:v>
                </c:pt>
                <c:pt idx="41">
                  <c:v>2.0292869809866585</c:v>
                </c:pt>
                <c:pt idx="42">
                  <c:v>1.9944083404566646</c:v>
                </c:pt>
                <c:pt idx="43">
                  <c:v>2.2473166785345469</c:v>
                </c:pt>
                <c:pt idx="44">
                  <c:v>2.1920797667199698</c:v>
                </c:pt>
                <c:pt idx="45">
                  <c:v>2.1242872045147094</c:v>
                </c:pt>
                <c:pt idx="46">
                  <c:v>2.1448515876878713</c:v>
                </c:pt>
                <c:pt idx="47">
                  <c:v>2.3691671696939762</c:v>
                </c:pt>
                <c:pt idx="48">
                  <c:v>2.5747862100564496</c:v>
                </c:pt>
                <c:pt idx="49">
                  <c:v>2.3986208987425219</c:v>
                </c:pt>
                <c:pt idx="50">
                  <c:v>2.1103343637446472</c:v>
                </c:pt>
                <c:pt idx="51">
                  <c:v>2.0058346428395262</c:v>
                </c:pt>
                <c:pt idx="52">
                  <c:v>2.174020142588696</c:v>
                </c:pt>
                <c:pt idx="53">
                  <c:v>2.0038311555038653</c:v>
                </c:pt>
                <c:pt idx="54">
                  <c:v>1.8608438640407756</c:v>
                </c:pt>
                <c:pt idx="55">
                  <c:v>1.6691095091382249</c:v>
                </c:pt>
                <c:pt idx="56">
                  <c:v>2.0413171885208659</c:v>
                </c:pt>
                <c:pt idx="57">
                  <c:v>2.3954732456198</c:v>
                </c:pt>
                <c:pt idx="58">
                  <c:v>2.432923457700308</c:v>
                </c:pt>
                <c:pt idx="59">
                  <c:v>2.3851521108059206</c:v>
                </c:pt>
                <c:pt idx="60">
                  <c:v>2.2008292793991733</c:v>
                </c:pt>
                <c:pt idx="61">
                  <c:v>2.2225558453906831</c:v>
                </c:pt>
                <c:pt idx="62">
                  <c:v>2.1345907605988468</c:v>
                </c:pt>
                <c:pt idx="63">
                  <c:v>2.1919724392374369</c:v>
                </c:pt>
                <c:pt idx="64">
                  <c:v>2.1006034984529607</c:v>
                </c:pt>
                <c:pt idx="65">
                  <c:v>2.2455418047164293</c:v>
                </c:pt>
                <c:pt idx="66">
                  <c:v>2.2269146628288725</c:v>
                </c:pt>
                <c:pt idx="67">
                  <c:v>2.1754114159540339</c:v>
                </c:pt>
                <c:pt idx="68">
                  <c:v>1.8634146341463413</c:v>
                </c:pt>
                <c:pt idx="69">
                  <c:v>1.8059399837601722</c:v>
                </c:pt>
                <c:pt idx="70">
                  <c:v>1.6171237332187356</c:v>
                </c:pt>
                <c:pt idx="71">
                  <c:v>1.7777543785756906</c:v>
                </c:pt>
                <c:pt idx="72">
                  <c:v>1.9511648036901026</c:v>
                </c:pt>
                <c:pt idx="73">
                  <c:v>2.140097981083088</c:v>
                </c:pt>
                <c:pt idx="74">
                  <c:v>2.2034333295311965</c:v>
                </c:pt>
                <c:pt idx="75">
                  <c:v>2.3244270956018438</c:v>
                </c:pt>
                <c:pt idx="76">
                  <c:v>2.2126515038786678</c:v>
                </c:pt>
                <c:pt idx="77">
                  <c:v>1.8862112402567757</c:v>
                </c:pt>
                <c:pt idx="78">
                  <c:v>1.8119890262133318</c:v>
                </c:pt>
                <c:pt idx="79">
                  <c:v>1.7254452213945424</c:v>
                </c:pt>
                <c:pt idx="80">
                  <c:v>1.6006053359034336</c:v>
                </c:pt>
                <c:pt idx="81">
                  <c:v>1.2082963694961315</c:v>
                </c:pt>
                <c:pt idx="82">
                  <c:v>1.2191801707614567</c:v>
                </c:pt>
                <c:pt idx="83">
                  <c:v>1.3026370457267151</c:v>
                </c:pt>
                <c:pt idx="84">
                  <c:v>1.456977033546595</c:v>
                </c:pt>
                <c:pt idx="85">
                  <c:v>1.4146233661805701</c:v>
                </c:pt>
                <c:pt idx="86">
                  <c:v>1.3345073401869949</c:v>
                </c:pt>
                <c:pt idx="87">
                  <c:v>1.4902910453837488</c:v>
                </c:pt>
                <c:pt idx="88">
                  <c:v>1.8913686031781995</c:v>
                </c:pt>
                <c:pt idx="89">
                  <c:v>2.3442505463671335</c:v>
                </c:pt>
                <c:pt idx="90">
                  <c:v>2.8213540113331348</c:v>
                </c:pt>
                <c:pt idx="91">
                  <c:v>3.632061944364783</c:v>
                </c:pt>
                <c:pt idx="92">
                  <c:v>4.7809902148579404</c:v>
                </c:pt>
                <c:pt idx="93">
                  <c:v>4.8536469643606628</c:v>
                </c:pt>
                <c:pt idx="94">
                  <c:v>5.3296559444599927</c:v>
                </c:pt>
                <c:pt idx="95">
                  <c:v>5.6218112946986203</c:v>
                </c:pt>
                <c:pt idx="96">
                  <c:v>5.7809931174107358</c:v>
                </c:pt>
                <c:pt idx="97">
                  <c:v>5.7663353442310346</c:v>
                </c:pt>
                <c:pt idx="98">
                  <c:v>5.6806225109924151</c:v>
                </c:pt>
                <c:pt idx="99">
                  <c:v>5.5981752303114272</c:v>
                </c:pt>
                <c:pt idx="100">
                  <c:v>5.5404681450414541</c:v>
                </c:pt>
                <c:pt idx="101">
                  <c:v>5.4661549019452309</c:v>
                </c:pt>
                <c:pt idx="102">
                  <c:v>5.3625492129427155</c:v>
                </c:pt>
                <c:pt idx="103">
                  <c:v>5.2637346806150846</c:v>
                </c:pt>
                <c:pt idx="104">
                  <c:v>5.1724430350903052</c:v>
                </c:pt>
                <c:pt idx="105">
                  <c:v>5.1021654968568022</c:v>
                </c:pt>
                <c:pt idx="106">
                  <c:v>5.0292006645226035</c:v>
                </c:pt>
                <c:pt idx="107">
                  <c:v>4.9519129972425722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B9C-474D-B836-BD9C9C069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2749504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0208526028710889"/>
          <c:y val="0.1562077070910344"/>
          <c:w val="0.42757849647865825"/>
          <c:h val="0.2400489065601632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0221111569528497E-2"/>
          <c:y val="0.14746099305143356"/>
          <c:w val="0.92086552052819182"/>
          <c:h val="0.733087458538969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Data'!$BF$3</c:f>
              <c:strCache>
                <c:ptCount val="1"/>
                <c:pt idx="0">
                  <c:v>Nominal income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cat>
            <c:numRef>
              <c:f>'Chart Data'!$BE$4:$BE$20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'Chart Data'!$BF$4:$BF$20</c:f>
              <c:numCache>
                <c:formatCode>0.0</c:formatCode>
                <c:ptCount val="17"/>
                <c:pt idx="0">
                  <c:v>1.9526691635264992</c:v>
                </c:pt>
                <c:pt idx="1">
                  <c:v>1.5023931511853439</c:v>
                </c:pt>
                <c:pt idx="2">
                  <c:v>4.1771018852602815</c:v>
                </c:pt>
                <c:pt idx="3">
                  <c:v>4.1516968189516446</c:v>
                </c:pt>
                <c:pt idx="4">
                  <c:v>3.4994718516490053</c:v>
                </c:pt>
                <c:pt idx="5">
                  <c:v>5.6910168264509897</c:v>
                </c:pt>
                <c:pt idx="6">
                  <c:v>1.9559014468865987</c:v>
                </c:pt>
                <c:pt idx="7">
                  <c:v>2.7228075740810986</c:v>
                </c:pt>
                <c:pt idx="8">
                  <c:v>4.1100964832640807</c:v>
                </c:pt>
                <c:pt idx="9">
                  <c:v>3.6025096278697433</c:v>
                </c:pt>
                <c:pt idx="10">
                  <c:v>6.2217731778257956E-2</c:v>
                </c:pt>
                <c:pt idx="11">
                  <c:v>3.7385151038678899</c:v>
                </c:pt>
                <c:pt idx="12">
                  <c:v>6.3557082890482119</c:v>
                </c:pt>
                <c:pt idx="13">
                  <c:v>8.8430916969696618</c:v>
                </c:pt>
                <c:pt idx="14">
                  <c:v>3.2819241583410985</c:v>
                </c:pt>
                <c:pt idx="15">
                  <c:v>4.0911099933619077</c:v>
                </c:pt>
                <c:pt idx="16">
                  <c:v>4.1649462786075064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Data'!$BG$3</c:f>
              <c:strCache>
                <c:ptCount val="1"/>
                <c:pt idx="0">
                  <c:v>Inflation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cat>
            <c:numRef>
              <c:f>'Chart Data'!$BE$4:$BE$20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'Chart Data'!$BG$4:$BG$20</c:f>
              <c:numCache>
                <c:formatCode>0.0</c:formatCode>
                <c:ptCount val="17"/>
                <c:pt idx="0">
                  <c:v>-0.92666223614374932</c:v>
                </c:pt>
                <c:pt idx="1">
                  <c:v>-3.9932641465377561</c:v>
                </c:pt>
                <c:pt idx="2">
                  <c:v>-1.6745381882124821</c:v>
                </c:pt>
                <c:pt idx="3">
                  <c:v>-2.2226270983992213</c:v>
                </c:pt>
                <c:pt idx="4">
                  <c:v>-1.1496394366033336</c:v>
                </c:pt>
                <c:pt idx="5">
                  <c:v>0.36924699846407893</c:v>
                </c:pt>
                <c:pt idx="6">
                  <c:v>-1.2654208945232837</c:v>
                </c:pt>
                <c:pt idx="7">
                  <c:v>-1.8555013876502491</c:v>
                </c:pt>
                <c:pt idx="8">
                  <c:v>-2.1055292625715927</c:v>
                </c:pt>
                <c:pt idx="9">
                  <c:v>-1.4697096257548337</c:v>
                </c:pt>
                <c:pt idx="10">
                  <c:v>-0.15584021817629523</c:v>
                </c:pt>
                <c:pt idx="11">
                  <c:v>-2.4044562616006848</c:v>
                </c:pt>
                <c:pt idx="12">
                  <c:v>-8.329441450646847</c:v>
                </c:pt>
                <c:pt idx="13">
                  <c:v>-7.1222399328934705</c:v>
                </c:pt>
                <c:pt idx="14">
                  <c:v>-2.1686234773592883</c:v>
                </c:pt>
                <c:pt idx="15">
                  <c:v>-2.1044182915807674</c:v>
                </c:pt>
                <c:pt idx="16">
                  <c:v>-2.1990120835726046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Data'!$BH$3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numRef>
              <c:f>'Chart Data'!$BE$4:$BE$20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'Chart Data'!$BH$4:$BH$20</c:f>
              <c:numCache>
                <c:formatCode>0.0</c:formatCode>
                <c:ptCount val="17"/>
                <c:pt idx="0">
                  <c:v>1.1502939925355227</c:v>
                </c:pt>
                <c:pt idx="1">
                  <c:v>2.125013515251295</c:v>
                </c:pt>
                <c:pt idx="2">
                  <c:v>-0.73697644205590329</c:v>
                </c:pt>
                <c:pt idx="3">
                  <c:v>0.89945054105158295</c:v>
                </c:pt>
                <c:pt idx="4">
                  <c:v>0.6715549902881035</c:v>
                </c:pt>
                <c:pt idx="5">
                  <c:v>-3.1744904953636244</c:v>
                </c:pt>
                <c:pt idx="6">
                  <c:v>3.153295120921662</c:v>
                </c:pt>
                <c:pt idx="7">
                  <c:v>0.86674480730530856</c:v>
                </c:pt>
                <c:pt idx="8">
                  <c:v>-0.34808904673282459</c:v>
                </c:pt>
                <c:pt idx="9">
                  <c:v>-1.0170160562604558</c:v>
                </c:pt>
                <c:pt idx="10">
                  <c:v>-12.872186795007167</c:v>
                </c:pt>
                <c:pt idx="11">
                  <c:v>6.1160868370250032</c:v>
                </c:pt>
                <c:pt idx="12">
                  <c:v>6.7243323285820065</c:v>
                </c:pt>
                <c:pt idx="13">
                  <c:v>-1.4000168974044316</c:v>
                </c:pt>
                <c:pt idx="14">
                  <c:v>-0.51427730460382737</c:v>
                </c:pt>
                <c:pt idx="15">
                  <c:v>0.1880890006168201</c:v>
                </c:pt>
                <c:pt idx="16">
                  <c:v>0.26466546172962957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Data'!$BI$3</c:f>
              <c:strCache>
                <c:ptCount val="1"/>
                <c:pt idx="0">
                  <c:v>Consumer spending growth</c:v>
                </c:pt>
              </c:strCache>
            </c:strRef>
          </c:tx>
          <c:spPr>
            <a:ln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Data'!$BE$4:$BE$20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'Chart Data'!$BI$4:$BI$20</c:f>
              <c:numCache>
                <c:formatCode>0.0</c:formatCode>
                <c:ptCount val="17"/>
                <c:pt idx="0">
                  <c:v>2.1763009199182726</c:v>
                </c:pt>
                <c:pt idx="1">
                  <c:v>-0.36585748010111718</c:v>
                </c:pt>
                <c:pt idx="2">
                  <c:v>1.7655872549918961</c:v>
                </c:pt>
                <c:pt idx="3">
                  <c:v>2.8285202616040062</c:v>
                </c:pt>
                <c:pt idx="4">
                  <c:v>3.0213874053337753</c:v>
                </c:pt>
                <c:pt idx="5">
                  <c:v>2.8857733295514443</c:v>
                </c:pt>
                <c:pt idx="6">
                  <c:v>3.843775673284977</c:v>
                </c:pt>
                <c:pt idx="7">
                  <c:v>1.7340509937361581</c:v>
                </c:pt>
                <c:pt idx="8">
                  <c:v>1.6564781739596635</c:v>
                </c:pt>
                <c:pt idx="9">
                  <c:v>1.1157839458544538</c:v>
                </c:pt>
                <c:pt idx="10">
                  <c:v>-12.965809281405205</c:v>
                </c:pt>
                <c:pt idx="11">
                  <c:v>7.4501456792922083</c:v>
                </c:pt>
                <c:pt idx="12">
                  <c:v>4.7505991669833714</c:v>
                </c:pt>
                <c:pt idx="13">
                  <c:v>0.32083486667175976</c:v>
                </c:pt>
                <c:pt idx="14">
                  <c:v>0.59902337637798286</c:v>
                </c:pt>
                <c:pt idx="15">
                  <c:v>2.1747807023979604</c:v>
                </c:pt>
                <c:pt idx="16">
                  <c:v>2.2305996567645314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tickLblSkip val="2"/>
        <c:noMultiLvlLbl val="0"/>
      </c:catAx>
      <c:valAx>
        <c:axId val="275936000"/>
        <c:scaling>
          <c:orientation val="minMax"/>
          <c:max val="14"/>
          <c:min val="-14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  <c:majorUnit val="2"/>
      </c:valAx>
      <c:spPr>
        <a:noFill/>
      </c:spPr>
    </c:plotArea>
    <c:legend>
      <c:legendPos val="t"/>
      <c:layout>
        <c:manualLayout>
          <c:xMode val="edge"/>
          <c:yMode val="edge"/>
          <c:x val="0.1329544620519475"/>
          <c:y val="0.10356374999218208"/>
          <c:w val="0.53198340101521635"/>
          <c:h val="0.2301684709431031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0143215148953844E-2"/>
          <c:y val="0.14725688325786473"/>
          <c:w val="0.65725881158453092"/>
          <c:h val="0.713187006015182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Data'!$AC$3</c:f>
              <c:strCache>
                <c:ptCount val="1"/>
                <c:pt idx="0">
                  <c:v>Price inflation</c:v>
                </c:pt>
              </c:strCache>
            </c:strRef>
          </c:tx>
          <c:spPr>
            <a:solidFill>
              <a:srgbClr val="BD1B21"/>
            </a:solidFill>
            <a:ln w="0">
              <a:solidFill>
                <a:srgbClr val="495057"/>
              </a:solidFill>
            </a:ln>
          </c:spPr>
          <c:invertIfNegative val="0"/>
          <c:cat>
            <c:numRef>
              <c:f>'Chart Data'!$AB$7:$AB$11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'Chart Data'!$AC$7:$AC$11</c:f>
              <c:numCache>
                <c:formatCode>0.0</c:formatCode>
                <c:ptCount val="5"/>
                <c:pt idx="0">
                  <c:v>-7.8364037475924908</c:v>
                </c:pt>
                <c:pt idx="1">
                  <c:v>-7.0184088508854492</c:v>
                </c:pt>
                <c:pt idx="2">
                  <c:v>-2.1814375618578019</c:v>
                </c:pt>
                <c:pt idx="3">
                  <c:v>-2.1173979447942193</c:v>
                </c:pt>
                <c:pt idx="4">
                  <c:v>-2.2077421698397215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3-4313-B5DF-9008AB66907A}"/>
            </c:ext>
          </c:extLst>
        </c:ser>
        <c:ser>
          <c:idx val="1"/>
          <c:order val="1"/>
          <c:tx>
            <c:strRef>
              <c:f>'Chart Data'!$AD$3</c:f>
              <c:strCache>
                <c:ptCount val="1"/>
                <c:pt idx="0">
                  <c:v>Income tax &amp; NICs</c:v>
                </c:pt>
              </c:strCache>
            </c:strRef>
          </c:tx>
          <c:spPr>
            <a:solidFill>
              <a:srgbClr val="002060"/>
            </a:solidFill>
            <a:ln w="3175">
              <a:solidFill>
                <a:srgbClr val="495057"/>
              </a:solidFill>
            </a:ln>
          </c:spPr>
          <c:invertIfNegative val="0"/>
          <c:cat>
            <c:numRef>
              <c:f>'Chart Data'!$AB$7:$AB$11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'Chart Data'!$AD$7:$AD$11</c:f>
              <c:numCache>
                <c:formatCode>0.0</c:formatCode>
                <c:ptCount val="5"/>
                <c:pt idx="0">
                  <c:v>-2.1384825413285471</c:v>
                </c:pt>
                <c:pt idx="1">
                  <c:v>-1.7420285933904658</c:v>
                </c:pt>
                <c:pt idx="2">
                  <c:v>-1.0384225686411848</c:v>
                </c:pt>
                <c:pt idx="3">
                  <c:v>-1.2373822042371845</c:v>
                </c:pt>
                <c:pt idx="4">
                  <c:v>-1.1740970559920374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B3-4313-B5DF-9008AB66907A}"/>
            </c:ext>
          </c:extLst>
        </c:ser>
        <c:ser>
          <c:idx val="3"/>
          <c:order val="2"/>
          <c:tx>
            <c:strRef>
              <c:f>'Chart Data'!$AE$3</c:f>
              <c:strCache>
                <c:ptCount val="1"/>
                <c:pt idx="0">
                  <c:v>Wages &amp; salaries</c:v>
                </c:pt>
              </c:strCache>
            </c:strRef>
          </c:tx>
          <c:spPr>
            <a:solidFill>
              <a:srgbClr val="D1A21E"/>
            </a:solidFill>
            <a:ln w="3175">
              <a:solidFill>
                <a:srgbClr val="495057"/>
              </a:solidFill>
            </a:ln>
          </c:spPr>
          <c:invertIfNegative val="0"/>
          <c:cat>
            <c:numRef>
              <c:f>'Chart Data'!$AB$7:$AB$11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'Chart Data'!$AE$7:$AE$11</c:f>
              <c:numCache>
                <c:formatCode>0.0</c:formatCode>
                <c:ptCount val="5"/>
                <c:pt idx="0">
                  <c:v>4.6351358788080512</c:v>
                </c:pt>
                <c:pt idx="1">
                  <c:v>4.810180558663955</c:v>
                </c:pt>
                <c:pt idx="2">
                  <c:v>2.6662054026313813</c:v>
                </c:pt>
                <c:pt idx="3">
                  <c:v>2.4453382741052567</c:v>
                </c:pt>
                <c:pt idx="4">
                  <c:v>2.3465649155913244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B3-4313-B5DF-9008AB66907A}"/>
            </c:ext>
          </c:extLst>
        </c:ser>
        <c:ser>
          <c:idx val="2"/>
          <c:order val="3"/>
          <c:tx>
            <c:strRef>
              <c:f>'Chart Data'!$AF$3</c:f>
              <c:strCache>
                <c:ptCount val="1"/>
                <c:pt idx="0">
                  <c:v>Other income</c:v>
                </c:pt>
              </c:strCache>
            </c:strRef>
          </c:tx>
          <c:spPr>
            <a:solidFill>
              <a:srgbClr val="7B7C77"/>
            </a:solidFill>
            <a:ln w="3175">
              <a:solidFill>
                <a:srgbClr val="495057"/>
              </a:solidFill>
            </a:ln>
          </c:spPr>
          <c:invertIfNegative val="0"/>
          <c:cat>
            <c:numRef>
              <c:f>'Chart Data'!$AB$7:$AB$11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'Chart Data'!$AF$7:$AF$11</c:f>
              <c:numCache>
                <c:formatCode>0.0</c:formatCode>
                <c:ptCount val="5"/>
                <c:pt idx="0">
                  <c:v>2.5175388985286649</c:v>
                </c:pt>
                <c:pt idx="1">
                  <c:v>3.7295051297412765</c:v>
                </c:pt>
                <c:pt idx="2">
                  <c:v>0.53764934043634072</c:v>
                </c:pt>
                <c:pt idx="3">
                  <c:v>2.1122255267917023</c:v>
                </c:pt>
                <c:pt idx="4">
                  <c:v>2.3162431093463596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B3-4313-B5DF-9008AB66907A}"/>
            </c:ext>
          </c:extLst>
        </c:ser>
        <c:ser>
          <c:idx val="4"/>
          <c:order val="4"/>
          <c:tx>
            <c:strRef>
              <c:f>'Chart Data'!$AG$3</c:f>
              <c:strCache>
                <c:ptCount val="1"/>
                <c:pt idx="0">
                  <c:v>Net interest</c:v>
                </c:pt>
              </c:strCache>
            </c:strRef>
          </c:tx>
          <c:spPr>
            <a:ln w="3175">
              <a:solidFill>
                <a:srgbClr val="495057"/>
              </a:solidFill>
            </a:ln>
          </c:spPr>
          <c:invertIfNegative val="0"/>
          <c:cat>
            <c:numRef>
              <c:f>'Chart Data'!$AB$7:$AB$11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'Chart Data'!$AG$7:$AG$11</c:f>
              <c:numCache>
                <c:formatCode>0.0</c:formatCode>
                <c:ptCount val="5"/>
                <c:pt idx="0">
                  <c:v>0.18505270123238071</c:v>
                </c:pt>
                <c:pt idx="1">
                  <c:v>0.26161125681622516</c:v>
                </c:pt>
                <c:pt idx="2">
                  <c:v>-0.50308317587161433</c:v>
                </c:pt>
                <c:pt idx="3">
                  <c:v>-0.38361842408082847</c:v>
                </c:pt>
                <c:pt idx="4">
                  <c:v>-0.38994533294903183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B3-4313-B5DF-9008AB66907A}"/>
            </c:ext>
          </c:extLst>
        </c:ser>
        <c:ser>
          <c:idx val="5"/>
          <c:order val="5"/>
          <c:tx>
            <c:strRef>
              <c:f>'Chart Data'!$AH$3</c:f>
              <c:strCache>
                <c:ptCount val="1"/>
                <c:pt idx="0">
                  <c:v>Social benefits</c:v>
                </c:pt>
              </c:strCache>
            </c:strRef>
          </c:tx>
          <c:spPr>
            <a:ln w="3175">
              <a:solidFill>
                <a:srgbClr val="495057"/>
              </a:solidFill>
            </a:ln>
          </c:spPr>
          <c:invertIfNegative val="0"/>
          <c:cat>
            <c:numRef>
              <c:f>'Chart Data'!$AB$7:$AB$11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'Chart Data'!$AH$7:$AH$11</c:f>
              <c:numCache>
                <c:formatCode>0.0</c:formatCode>
                <c:ptCount val="5"/>
                <c:pt idx="0">
                  <c:v>1.1564633518076619</c:v>
                </c:pt>
                <c:pt idx="1">
                  <c:v>1.78382334513867</c:v>
                </c:pt>
                <c:pt idx="2">
                  <c:v>1.6195751597861754</c:v>
                </c:pt>
                <c:pt idx="3">
                  <c:v>1.1545468207829619</c:v>
                </c:pt>
                <c:pt idx="4">
                  <c:v>1.0661806426108917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B3-4313-B5DF-9008AB669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6"/>
          <c:order val="6"/>
          <c:tx>
            <c:strRef>
              <c:f>'Chart Data'!$AI$3</c:f>
              <c:strCache>
                <c:ptCount val="1"/>
                <c:pt idx="0">
                  <c:v>Real income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3"/>
            <c:spPr>
              <a:solidFill>
                <a:sysClr val="window" lastClr="FFFFFF"/>
              </a:solidFill>
              <a:ln w="12700">
                <a:solidFill>
                  <a:srgbClr val="495057"/>
                </a:solidFill>
              </a:ln>
            </c:spPr>
          </c:marker>
          <c:cat>
            <c:numRef>
              <c:f>'Chart Data'!$AB$7:$AB$11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'Chart Data'!$AI$7:$AI$11</c:f>
              <c:numCache>
                <c:formatCode>0.0</c:formatCode>
                <c:ptCount val="5"/>
                <c:pt idx="0">
                  <c:v>-1.4806954585442791</c:v>
                </c:pt>
                <c:pt idx="1">
                  <c:v>1.8246828460842115</c:v>
                </c:pt>
                <c:pt idx="2">
                  <c:v>1.1004865964832966</c:v>
                </c:pt>
                <c:pt idx="3">
                  <c:v>1.9737120485676884</c:v>
                </c:pt>
                <c:pt idx="4">
                  <c:v>1.9572041087677849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B3-4313-B5DF-9008AB669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  <c:max val="12"/>
          <c:min val="-1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  <c:majorUnit val="2"/>
      </c:valAx>
      <c:spPr>
        <a:noFill/>
      </c:spPr>
    </c:plotArea>
    <c:legend>
      <c:legendPos val="r"/>
      <c:layout>
        <c:manualLayout>
          <c:xMode val="edge"/>
          <c:yMode val="edge"/>
          <c:x val="0.73934852888747982"/>
          <c:y val="0.31875492883069717"/>
          <c:w val="0.26065147111252013"/>
          <c:h val="0.3927074271523425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792709302056989E-2"/>
          <c:y val="9.8147231899002568E-2"/>
          <c:w val="0.9407979651305366"/>
          <c:h val="0.75702883132113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Data'!$AC$17</c:f>
              <c:strCache>
                <c:ptCount val="1"/>
                <c:pt idx="0">
                  <c:v>Price inflation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Data'!$AB$22:$AB$45</c:f>
              <c:strCache>
                <c:ptCount val="24"/>
                <c:pt idx="0">
                  <c:v>2020</c:v>
                </c:pt>
                <c:pt idx="1">
                  <c:v>2020 02</c:v>
                </c:pt>
                <c:pt idx="2">
                  <c:v>2020 03</c:v>
                </c:pt>
                <c:pt idx="3">
                  <c:v>2020 04</c:v>
                </c:pt>
                <c:pt idx="4">
                  <c:v>2021</c:v>
                </c:pt>
                <c:pt idx="5">
                  <c:v>2021 02</c:v>
                </c:pt>
                <c:pt idx="6">
                  <c:v>2021 03</c:v>
                </c:pt>
                <c:pt idx="7">
                  <c:v>2021 04</c:v>
                </c:pt>
                <c:pt idx="8">
                  <c:v>2022</c:v>
                </c:pt>
                <c:pt idx="9">
                  <c:v>2022 02</c:v>
                </c:pt>
                <c:pt idx="10">
                  <c:v>2022 03</c:v>
                </c:pt>
                <c:pt idx="11">
                  <c:v>2022 04</c:v>
                </c:pt>
                <c:pt idx="12">
                  <c:v>2023</c:v>
                </c:pt>
                <c:pt idx="13">
                  <c:v>2023 02</c:v>
                </c:pt>
                <c:pt idx="14">
                  <c:v>2023 03</c:v>
                </c:pt>
                <c:pt idx="15">
                  <c:v>2023 04</c:v>
                </c:pt>
                <c:pt idx="16">
                  <c:v>2024</c:v>
                </c:pt>
                <c:pt idx="17">
                  <c:v>2024 02</c:v>
                </c:pt>
                <c:pt idx="18">
                  <c:v>2024 03</c:v>
                </c:pt>
                <c:pt idx="19">
                  <c:v>2024 04</c:v>
                </c:pt>
                <c:pt idx="20">
                  <c:v>2025</c:v>
                </c:pt>
                <c:pt idx="21">
                  <c:v>2025 02</c:v>
                </c:pt>
                <c:pt idx="22">
                  <c:v>2025 03</c:v>
                </c:pt>
                <c:pt idx="23">
                  <c:v>2025 04</c:v>
                </c:pt>
              </c:strCache>
            </c:strRef>
          </c:cat>
          <c:val>
            <c:numRef>
              <c:f>'Chart Data'!$AC$22:$AC$45</c:f>
              <c:numCache>
                <c:formatCode>0.0</c:formatCode>
                <c:ptCount val="24"/>
                <c:pt idx="0">
                  <c:v>-1.7195100320019918</c:v>
                </c:pt>
                <c:pt idx="1">
                  <c:v>-1.0241449160098615</c:v>
                </c:pt>
                <c:pt idx="2">
                  <c:v>-2.3665684331624526</c:v>
                </c:pt>
                <c:pt idx="3">
                  <c:v>-3.7649328169639507</c:v>
                </c:pt>
                <c:pt idx="4">
                  <c:v>-4.7942557967110888</c:v>
                </c:pt>
                <c:pt idx="5">
                  <c:v>-7.770286953280503</c:v>
                </c:pt>
                <c:pt idx="6">
                  <c:v>-8.9569192549065804</c:v>
                </c:pt>
                <c:pt idx="7">
                  <c:v>-9.9682813969634196</c:v>
                </c:pt>
                <c:pt idx="8">
                  <c:v>-9.6638335578900669</c:v>
                </c:pt>
                <c:pt idx="9">
                  <c:v>-8.0213928130558934</c:v>
                </c:pt>
                <c:pt idx="10">
                  <c:v>-6.2151367081698661</c:v>
                </c:pt>
                <c:pt idx="11">
                  <c:v>-4.3632095389233294</c:v>
                </c:pt>
                <c:pt idx="12">
                  <c:v>-2.9376675850065981</c:v>
                </c:pt>
                <c:pt idx="13">
                  <c:v>-2.0465872692929432</c:v>
                </c:pt>
                <c:pt idx="14">
                  <c:v>-1.877480255744568</c:v>
                </c:pt>
                <c:pt idx="15">
                  <c:v>-1.8625327636896172</c:v>
                </c:pt>
                <c:pt idx="16">
                  <c:v>-1.9749800688778407</c:v>
                </c:pt>
                <c:pt idx="17">
                  <c:v>-2.0775587981784138</c:v>
                </c:pt>
                <c:pt idx="18">
                  <c:v>-2.1780261430927483</c:v>
                </c:pt>
                <c:pt idx="19">
                  <c:v>-2.2281677565036961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Data'!$AD$17</c:f>
              <c:strCache>
                <c:ptCount val="1"/>
                <c:pt idx="0">
                  <c:v>Income tax &amp; NICs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Data'!$AB$22:$AB$45</c:f>
              <c:strCache>
                <c:ptCount val="24"/>
                <c:pt idx="0">
                  <c:v>2020</c:v>
                </c:pt>
                <c:pt idx="1">
                  <c:v>2020 02</c:v>
                </c:pt>
                <c:pt idx="2">
                  <c:v>2020 03</c:v>
                </c:pt>
                <c:pt idx="3">
                  <c:v>2020 04</c:v>
                </c:pt>
                <c:pt idx="4">
                  <c:v>2021</c:v>
                </c:pt>
                <c:pt idx="5">
                  <c:v>2021 02</c:v>
                </c:pt>
                <c:pt idx="6">
                  <c:v>2021 03</c:v>
                </c:pt>
                <c:pt idx="7">
                  <c:v>2021 04</c:v>
                </c:pt>
                <c:pt idx="8">
                  <c:v>2022</c:v>
                </c:pt>
                <c:pt idx="9">
                  <c:v>2022 02</c:v>
                </c:pt>
                <c:pt idx="10">
                  <c:v>2022 03</c:v>
                </c:pt>
                <c:pt idx="11">
                  <c:v>2022 04</c:v>
                </c:pt>
                <c:pt idx="12">
                  <c:v>2023</c:v>
                </c:pt>
                <c:pt idx="13">
                  <c:v>2023 02</c:v>
                </c:pt>
                <c:pt idx="14">
                  <c:v>2023 03</c:v>
                </c:pt>
                <c:pt idx="15">
                  <c:v>2023 04</c:v>
                </c:pt>
                <c:pt idx="16">
                  <c:v>2024</c:v>
                </c:pt>
                <c:pt idx="17">
                  <c:v>2024 02</c:v>
                </c:pt>
                <c:pt idx="18">
                  <c:v>2024 03</c:v>
                </c:pt>
                <c:pt idx="19">
                  <c:v>2024 04</c:v>
                </c:pt>
                <c:pt idx="20">
                  <c:v>2025</c:v>
                </c:pt>
                <c:pt idx="21">
                  <c:v>2025 02</c:v>
                </c:pt>
                <c:pt idx="22">
                  <c:v>2025 03</c:v>
                </c:pt>
                <c:pt idx="23">
                  <c:v>2025 04</c:v>
                </c:pt>
              </c:strCache>
            </c:strRef>
          </c:cat>
          <c:val>
            <c:numRef>
              <c:f>'Chart Data'!$AD$22:$AD$45</c:f>
              <c:numCache>
                <c:formatCode>0.0</c:formatCode>
                <c:ptCount val="24"/>
                <c:pt idx="0">
                  <c:v>-0.2653160349150287</c:v>
                </c:pt>
                <c:pt idx="1">
                  <c:v>0.96785904847821425</c:v>
                </c:pt>
                <c:pt idx="2">
                  <c:v>0.86656773465778103</c:v>
                </c:pt>
                <c:pt idx="3">
                  <c:v>-1.3900854161967371</c:v>
                </c:pt>
                <c:pt idx="4">
                  <c:v>-1.0858488924727916</c:v>
                </c:pt>
                <c:pt idx="5">
                  <c:v>-3.2051857924110903</c:v>
                </c:pt>
                <c:pt idx="6">
                  <c:v>-3.1527705175117617</c:v>
                </c:pt>
                <c:pt idx="7">
                  <c:v>-1.8283625659532985</c:v>
                </c:pt>
                <c:pt idx="8">
                  <c:v>-2.4406037691420561</c:v>
                </c:pt>
                <c:pt idx="9">
                  <c:v>-1.7594261629439503</c:v>
                </c:pt>
                <c:pt idx="10">
                  <c:v>-2.343783051994754</c:v>
                </c:pt>
                <c:pt idx="11">
                  <c:v>-2.0119191765314617</c:v>
                </c:pt>
                <c:pt idx="12">
                  <c:v>-2.6104800255409426</c:v>
                </c:pt>
                <c:pt idx="13">
                  <c:v>-1.5457821470265725</c:v>
                </c:pt>
                <c:pt idx="14">
                  <c:v>-1.497166716373397</c:v>
                </c:pt>
                <c:pt idx="15">
                  <c:v>-1.3565839785871343</c:v>
                </c:pt>
                <c:pt idx="16">
                  <c:v>-0.27815469394302428</c:v>
                </c:pt>
                <c:pt idx="17">
                  <c:v>-1.5668693771784155</c:v>
                </c:pt>
                <c:pt idx="18">
                  <c:v>-1.1148130760966692</c:v>
                </c:pt>
                <c:pt idx="19">
                  <c:v>-1.1672831941427111</c:v>
                </c:pt>
                <c:pt idx="20">
                  <c:v>-1.4036573076106198</c:v>
                </c:pt>
                <c:pt idx="21">
                  <c:v>-1.1544899420344803</c:v>
                </c:pt>
                <c:pt idx="22">
                  <c:v>-1.2050499661270919</c:v>
                </c:pt>
                <c:pt idx="23">
                  <c:v>-1.1901369146112173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Data'!$AE$17</c:f>
              <c:strCache>
                <c:ptCount val="1"/>
                <c:pt idx="0">
                  <c:v>Wages &amp; salaries</c:v>
                </c:pt>
              </c:strCache>
            </c:strRef>
          </c:tx>
          <c:spPr>
            <a:solidFill>
              <a:srgbClr val="D1A21E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Data'!$AB$22:$AB$45</c:f>
              <c:strCache>
                <c:ptCount val="24"/>
                <c:pt idx="0">
                  <c:v>2020</c:v>
                </c:pt>
                <c:pt idx="1">
                  <c:v>2020 02</c:v>
                </c:pt>
                <c:pt idx="2">
                  <c:v>2020 03</c:v>
                </c:pt>
                <c:pt idx="3">
                  <c:v>2020 04</c:v>
                </c:pt>
                <c:pt idx="4">
                  <c:v>2021</c:v>
                </c:pt>
                <c:pt idx="5">
                  <c:v>2021 02</c:v>
                </c:pt>
                <c:pt idx="6">
                  <c:v>2021 03</c:v>
                </c:pt>
                <c:pt idx="7">
                  <c:v>2021 04</c:v>
                </c:pt>
                <c:pt idx="8">
                  <c:v>2022</c:v>
                </c:pt>
                <c:pt idx="9">
                  <c:v>2022 02</c:v>
                </c:pt>
                <c:pt idx="10">
                  <c:v>2022 03</c:v>
                </c:pt>
                <c:pt idx="11">
                  <c:v>2022 04</c:v>
                </c:pt>
                <c:pt idx="12">
                  <c:v>2023</c:v>
                </c:pt>
                <c:pt idx="13">
                  <c:v>2023 02</c:v>
                </c:pt>
                <c:pt idx="14">
                  <c:v>2023 03</c:v>
                </c:pt>
                <c:pt idx="15">
                  <c:v>2023 04</c:v>
                </c:pt>
                <c:pt idx="16">
                  <c:v>2024</c:v>
                </c:pt>
                <c:pt idx="17">
                  <c:v>2024 02</c:v>
                </c:pt>
                <c:pt idx="18">
                  <c:v>2024 03</c:v>
                </c:pt>
                <c:pt idx="19">
                  <c:v>2024 04</c:v>
                </c:pt>
                <c:pt idx="20">
                  <c:v>2025</c:v>
                </c:pt>
                <c:pt idx="21">
                  <c:v>2025 02</c:v>
                </c:pt>
                <c:pt idx="22">
                  <c:v>2025 03</c:v>
                </c:pt>
                <c:pt idx="23">
                  <c:v>2025 04</c:v>
                </c:pt>
              </c:strCache>
            </c:strRef>
          </c:cat>
          <c:val>
            <c:numRef>
              <c:f>'Chart Data'!$AE$22:$AE$45</c:f>
              <c:numCache>
                <c:formatCode>0.0</c:formatCode>
                <c:ptCount val="24"/>
                <c:pt idx="0">
                  <c:v>1.2791321217702334</c:v>
                </c:pt>
                <c:pt idx="1">
                  <c:v>-1.8141512599495029</c:v>
                </c:pt>
                <c:pt idx="2">
                  <c:v>-0.26503556623972579</c:v>
                </c:pt>
                <c:pt idx="3">
                  <c:v>1.3607346390805597</c:v>
                </c:pt>
                <c:pt idx="4">
                  <c:v>1.2258604358308043</c:v>
                </c:pt>
                <c:pt idx="5">
                  <c:v>5.3247577231024916</c:v>
                </c:pt>
                <c:pt idx="6">
                  <c:v>4.695940059243771</c:v>
                </c:pt>
                <c:pt idx="7">
                  <c:v>3.9915492881252832</c:v>
                </c:pt>
                <c:pt idx="8">
                  <c:v>5.3144207278730811</c:v>
                </c:pt>
                <c:pt idx="9">
                  <c:v>4.0337933366526704</c:v>
                </c:pt>
                <c:pt idx="10">
                  <c:v>4.3546664128273465</c:v>
                </c:pt>
                <c:pt idx="11">
                  <c:v>4.8401627395720341</c:v>
                </c:pt>
                <c:pt idx="12">
                  <c:v>4.6004593250187948</c:v>
                </c:pt>
                <c:pt idx="13">
                  <c:v>5.3912444508598796</c:v>
                </c:pt>
                <c:pt idx="14">
                  <c:v>5.2982403817476893</c:v>
                </c:pt>
                <c:pt idx="15">
                  <c:v>3.9870710257145587</c:v>
                </c:pt>
                <c:pt idx="16">
                  <c:v>3.043089538296051</c:v>
                </c:pt>
                <c:pt idx="17">
                  <c:v>2.7515556853227197</c:v>
                </c:pt>
                <c:pt idx="18">
                  <c:v>2.2540106710482335</c:v>
                </c:pt>
                <c:pt idx="19">
                  <c:v>2.6332914849751101</c:v>
                </c:pt>
                <c:pt idx="20">
                  <c:v>2.8384692904561075</c:v>
                </c:pt>
                <c:pt idx="21">
                  <c:v>2.3064142916812247</c:v>
                </c:pt>
                <c:pt idx="22">
                  <c:v>2.3343279246315145</c:v>
                </c:pt>
                <c:pt idx="23">
                  <c:v>2.3116141457938508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Data'!$AF$17</c:f>
              <c:strCache>
                <c:ptCount val="1"/>
                <c:pt idx="0">
                  <c:v>Other income</c:v>
                </c:pt>
              </c:strCache>
            </c:strRef>
          </c:tx>
          <c:spPr>
            <a:solidFill>
              <a:srgbClr val="7B7C77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Data'!$AB$22:$AB$45</c:f>
              <c:strCache>
                <c:ptCount val="24"/>
                <c:pt idx="0">
                  <c:v>2020</c:v>
                </c:pt>
                <c:pt idx="1">
                  <c:v>2020 02</c:v>
                </c:pt>
                <c:pt idx="2">
                  <c:v>2020 03</c:v>
                </c:pt>
                <c:pt idx="3">
                  <c:v>2020 04</c:v>
                </c:pt>
                <c:pt idx="4">
                  <c:v>2021</c:v>
                </c:pt>
                <c:pt idx="5">
                  <c:v>2021 02</c:v>
                </c:pt>
                <c:pt idx="6">
                  <c:v>2021 03</c:v>
                </c:pt>
                <c:pt idx="7">
                  <c:v>2021 04</c:v>
                </c:pt>
                <c:pt idx="8">
                  <c:v>2022</c:v>
                </c:pt>
                <c:pt idx="9">
                  <c:v>2022 02</c:v>
                </c:pt>
                <c:pt idx="10">
                  <c:v>2022 03</c:v>
                </c:pt>
                <c:pt idx="11">
                  <c:v>2022 04</c:v>
                </c:pt>
                <c:pt idx="12">
                  <c:v>2023</c:v>
                </c:pt>
                <c:pt idx="13">
                  <c:v>2023 02</c:v>
                </c:pt>
                <c:pt idx="14">
                  <c:v>2023 03</c:v>
                </c:pt>
                <c:pt idx="15">
                  <c:v>2023 04</c:v>
                </c:pt>
                <c:pt idx="16">
                  <c:v>2024</c:v>
                </c:pt>
                <c:pt idx="17">
                  <c:v>2024 02</c:v>
                </c:pt>
                <c:pt idx="18">
                  <c:v>2024 03</c:v>
                </c:pt>
                <c:pt idx="19">
                  <c:v>2024 04</c:v>
                </c:pt>
                <c:pt idx="20">
                  <c:v>2025</c:v>
                </c:pt>
                <c:pt idx="21">
                  <c:v>2025 02</c:v>
                </c:pt>
                <c:pt idx="22">
                  <c:v>2025 03</c:v>
                </c:pt>
                <c:pt idx="23">
                  <c:v>2025 04</c:v>
                </c:pt>
              </c:strCache>
            </c:strRef>
          </c:cat>
          <c:val>
            <c:numRef>
              <c:f>'Chart Data'!$AF$22:$AF$45</c:f>
              <c:numCache>
                <c:formatCode>0.0</c:formatCode>
                <c:ptCount val="24"/>
                <c:pt idx="0">
                  <c:v>-0.44940632302885763</c:v>
                </c:pt>
                <c:pt idx="1">
                  <c:v>-2.765630466715459</c:v>
                </c:pt>
                <c:pt idx="2">
                  <c:v>-1.8465157065443905</c:v>
                </c:pt>
                <c:pt idx="3">
                  <c:v>-1.577072722017137</c:v>
                </c:pt>
                <c:pt idx="4">
                  <c:v>1.5036399413241262</c:v>
                </c:pt>
                <c:pt idx="5">
                  <c:v>2.8193799609951942</c:v>
                </c:pt>
                <c:pt idx="6">
                  <c:v>1.0973458877090279</c:v>
                </c:pt>
                <c:pt idx="7">
                  <c:v>1.0897772730379522</c:v>
                </c:pt>
                <c:pt idx="8">
                  <c:v>0.90349054206677093</c:v>
                </c:pt>
                <c:pt idx="9">
                  <c:v>2.0628546053749748</c:v>
                </c:pt>
                <c:pt idx="10">
                  <c:v>2.2390524885281171</c:v>
                </c:pt>
                <c:pt idx="11">
                  <c:v>4.8747403211017408</c:v>
                </c:pt>
                <c:pt idx="12">
                  <c:v>5.895371296512101</c:v>
                </c:pt>
                <c:pt idx="13">
                  <c:v>3.895923270276588</c:v>
                </c:pt>
                <c:pt idx="14">
                  <c:v>4.5975485833578151</c:v>
                </c:pt>
                <c:pt idx="15">
                  <c:v>0.81667828717518676</c:v>
                </c:pt>
                <c:pt idx="16">
                  <c:v>-0.5714859782296422</c:v>
                </c:pt>
                <c:pt idx="17">
                  <c:v>0.79118248008317305</c:v>
                </c:pt>
                <c:pt idx="18">
                  <c:v>0.39837217888021415</c:v>
                </c:pt>
                <c:pt idx="19">
                  <c:v>1.4314641929624938</c:v>
                </c:pt>
                <c:pt idx="20">
                  <c:v>1.6898037177885559</c:v>
                </c:pt>
                <c:pt idx="21">
                  <c:v>1.8932635818756662</c:v>
                </c:pt>
                <c:pt idx="22">
                  <c:v>2.2466860444751391</c:v>
                </c:pt>
                <c:pt idx="23">
                  <c:v>2.5443216457139419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ser>
          <c:idx val="4"/>
          <c:order val="4"/>
          <c:tx>
            <c:strRef>
              <c:f>'Chart Data'!$AG$17</c:f>
              <c:strCache>
                <c:ptCount val="1"/>
                <c:pt idx="0">
                  <c:v>Net interest</c:v>
                </c:pt>
              </c:strCache>
            </c:strRef>
          </c:tx>
          <c:spPr>
            <a:solidFill>
              <a:srgbClr val="965793"/>
            </a:solidFill>
          </c:spPr>
          <c:invertIfNegative val="0"/>
          <c:cat>
            <c:strRef>
              <c:f>'Chart Data'!$AB$22:$AB$45</c:f>
              <c:strCache>
                <c:ptCount val="24"/>
                <c:pt idx="0">
                  <c:v>2020</c:v>
                </c:pt>
                <c:pt idx="1">
                  <c:v>2020 02</c:v>
                </c:pt>
                <c:pt idx="2">
                  <c:v>2020 03</c:v>
                </c:pt>
                <c:pt idx="3">
                  <c:v>2020 04</c:v>
                </c:pt>
                <c:pt idx="4">
                  <c:v>2021</c:v>
                </c:pt>
                <c:pt idx="5">
                  <c:v>2021 02</c:v>
                </c:pt>
                <c:pt idx="6">
                  <c:v>2021 03</c:v>
                </c:pt>
                <c:pt idx="7">
                  <c:v>2021 04</c:v>
                </c:pt>
                <c:pt idx="8">
                  <c:v>2022</c:v>
                </c:pt>
                <c:pt idx="9">
                  <c:v>2022 02</c:v>
                </c:pt>
                <c:pt idx="10">
                  <c:v>2022 03</c:v>
                </c:pt>
                <c:pt idx="11">
                  <c:v>2022 04</c:v>
                </c:pt>
                <c:pt idx="12">
                  <c:v>2023</c:v>
                </c:pt>
                <c:pt idx="13">
                  <c:v>2023 02</c:v>
                </c:pt>
                <c:pt idx="14">
                  <c:v>2023 03</c:v>
                </c:pt>
                <c:pt idx="15">
                  <c:v>2023 04</c:v>
                </c:pt>
                <c:pt idx="16">
                  <c:v>2024</c:v>
                </c:pt>
                <c:pt idx="17">
                  <c:v>2024 02</c:v>
                </c:pt>
                <c:pt idx="18">
                  <c:v>2024 03</c:v>
                </c:pt>
                <c:pt idx="19">
                  <c:v>2024 04</c:v>
                </c:pt>
                <c:pt idx="20">
                  <c:v>2025</c:v>
                </c:pt>
                <c:pt idx="21">
                  <c:v>2025 02</c:v>
                </c:pt>
                <c:pt idx="22">
                  <c:v>2025 03</c:v>
                </c:pt>
                <c:pt idx="23">
                  <c:v>2025 04</c:v>
                </c:pt>
              </c:strCache>
            </c:strRef>
          </c:cat>
          <c:val>
            <c:numRef>
              <c:f>'Chart Data'!$AG$22:$AG$45</c:f>
              <c:numCache>
                <c:formatCode>0.0</c:formatCode>
                <c:ptCount val="24"/>
                <c:pt idx="0">
                  <c:v>0.10632040274720875</c:v>
                </c:pt>
                <c:pt idx="1">
                  <c:v>8.7309519264241839E-2</c:v>
                </c:pt>
                <c:pt idx="2">
                  <c:v>0.1404861474124412</c:v>
                </c:pt>
                <c:pt idx="3">
                  <c:v>-1.5206936535479682E-2</c:v>
                </c:pt>
                <c:pt idx="4">
                  <c:v>4.2010173419066196E-2</c:v>
                </c:pt>
                <c:pt idx="5">
                  <c:v>9.1592403155677793E-2</c:v>
                </c:pt>
                <c:pt idx="6">
                  <c:v>8.7257266150526716E-2</c:v>
                </c:pt>
                <c:pt idx="7">
                  <c:v>0.20145457028715813</c:v>
                </c:pt>
                <c:pt idx="8">
                  <c:v>0.2147292969031607</c:v>
                </c:pt>
                <c:pt idx="9">
                  <c:v>0.111932455600548</c:v>
                </c:pt>
                <c:pt idx="10">
                  <c:v>6.5861417635947911E-2</c:v>
                </c:pt>
                <c:pt idx="11">
                  <c:v>0.29872861103145015</c:v>
                </c:pt>
                <c:pt idx="12">
                  <c:v>0.2967625050718552</c:v>
                </c:pt>
                <c:pt idx="13">
                  <c:v>0.25570722093468856</c:v>
                </c:pt>
                <c:pt idx="14">
                  <c:v>0.35299322000234723</c:v>
                </c:pt>
                <c:pt idx="15">
                  <c:v>5.7528289633917255E-2</c:v>
                </c:pt>
                <c:pt idx="16">
                  <c:v>-0.30099106867676234</c:v>
                </c:pt>
                <c:pt idx="17">
                  <c:v>-0.41303689348486011</c:v>
                </c:pt>
                <c:pt idx="18">
                  <c:v>-0.61233256419352133</c:v>
                </c:pt>
                <c:pt idx="19">
                  <c:v>-0.61618160532212085</c:v>
                </c:pt>
                <c:pt idx="20">
                  <c:v>-0.39398117380640635</c:v>
                </c:pt>
                <c:pt idx="21">
                  <c:v>-0.36770153737375344</c:v>
                </c:pt>
                <c:pt idx="22">
                  <c:v>-0.34338618965736917</c:v>
                </c:pt>
                <c:pt idx="23">
                  <c:v>-0.36959804458771156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ser>
          <c:idx val="5"/>
          <c:order val="5"/>
          <c:tx>
            <c:strRef>
              <c:f>'Chart Data'!$AH$17</c:f>
              <c:strCache>
                <c:ptCount val="1"/>
                <c:pt idx="0">
                  <c:v>Social benefits</c:v>
                </c:pt>
              </c:strCache>
            </c:strRef>
          </c:tx>
          <c:spPr>
            <a:solidFill>
              <a:srgbClr val="00ADDC"/>
            </a:solidFill>
          </c:spPr>
          <c:invertIfNegative val="0"/>
          <c:cat>
            <c:strRef>
              <c:f>'Chart Data'!$AB$22:$AB$45</c:f>
              <c:strCache>
                <c:ptCount val="24"/>
                <c:pt idx="0">
                  <c:v>2020</c:v>
                </c:pt>
                <c:pt idx="1">
                  <c:v>2020 02</c:v>
                </c:pt>
                <c:pt idx="2">
                  <c:v>2020 03</c:v>
                </c:pt>
                <c:pt idx="3">
                  <c:v>2020 04</c:v>
                </c:pt>
                <c:pt idx="4">
                  <c:v>2021</c:v>
                </c:pt>
                <c:pt idx="5">
                  <c:v>2021 02</c:v>
                </c:pt>
                <c:pt idx="6">
                  <c:v>2021 03</c:v>
                </c:pt>
                <c:pt idx="7">
                  <c:v>2021 04</c:v>
                </c:pt>
                <c:pt idx="8">
                  <c:v>2022</c:v>
                </c:pt>
                <c:pt idx="9">
                  <c:v>2022 02</c:v>
                </c:pt>
                <c:pt idx="10">
                  <c:v>2022 03</c:v>
                </c:pt>
                <c:pt idx="11">
                  <c:v>2022 04</c:v>
                </c:pt>
                <c:pt idx="12">
                  <c:v>2023</c:v>
                </c:pt>
                <c:pt idx="13">
                  <c:v>2023 02</c:v>
                </c:pt>
                <c:pt idx="14">
                  <c:v>2023 03</c:v>
                </c:pt>
                <c:pt idx="15">
                  <c:v>2023 04</c:v>
                </c:pt>
                <c:pt idx="16">
                  <c:v>2024</c:v>
                </c:pt>
                <c:pt idx="17">
                  <c:v>2024 02</c:v>
                </c:pt>
                <c:pt idx="18">
                  <c:v>2024 03</c:v>
                </c:pt>
                <c:pt idx="19">
                  <c:v>2024 04</c:v>
                </c:pt>
                <c:pt idx="20">
                  <c:v>2025</c:v>
                </c:pt>
                <c:pt idx="21">
                  <c:v>2025 02</c:v>
                </c:pt>
                <c:pt idx="22">
                  <c:v>2025 03</c:v>
                </c:pt>
                <c:pt idx="23">
                  <c:v>2025 04</c:v>
                </c:pt>
              </c:strCache>
            </c:strRef>
          </c:cat>
          <c:val>
            <c:numRef>
              <c:f>'Chart Data'!$AH$22:$AH$45</c:f>
              <c:numCache>
                <c:formatCode>0.0</c:formatCode>
                <c:ptCount val="24"/>
                <c:pt idx="0">
                  <c:v>0.99528607806748848</c:v>
                </c:pt>
                <c:pt idx="1">
                  <c:v>1.4942819580511901</c:v>
                </c:pt>
                <c:pt idx="2">
                  <c:v>1.6690669543361243</c:v>
                </c:pt>
                <c:pt idx="3">
                  <c:v>1.7004427075548358</c:v>
                </c:pt>
                <c:pt idx="4">
                  <c:v>1.5194152101692013</c:v>
                </c:pt>
                <c:pt idx="5">
                  <c:v>0.40819305791063548</c:v>
                </c:pt>
                <c:pt idx="6">
                  <c:v>0.23877199860602893</c:v>
                </c:pt>
                <c:pt idx="7">
                  <c:v>-6.5987242466456486E-2</c:v>
                </c:pt>
                <c:pt idx="8">
                  <c:v>-6.4754534824293108E-2</c:v>
                </c:pt>
                <c:pt idx="9">
                  <c:v>0.69067062147043079</c:v>
                </c:pt>
                <c:pt idx="10">
                  <c:v>2.0746076067182808</c:v>
                </c:pt>
                <c:pt idx="11">
                  <c:v>1.9026556807824946</c:v>
                </c:pt>
                <c:pt idx="12">
                  <c:v>0.96113245244544232</c:v>
                </c:pt>
                <c:pt idx="13">
                  <c:v>3.0216698195152465</c:v>
                </c:pt>
                <c:pt idx="14">
                  <c:v>1.3656924147529577</c:v>
                </c:pt>
                <c:pt idx="15">
                  <c:v>1.7813449956983081</c:v>
                </c:pt>
                <c:pt idx="16">
                  <c:v>2.5089689272200575</c:v>
                </c:pt>
                <c:pt idx="17">
                  <c:v>1.2169177357251033</c:v>
                </c:pt>
                <c:pt idx="18">
                  <c:v>1.3202194696976539</c:v>
                </c:pt>
                <c:pt idx="19">
                  <c:v>1.4655407029570828</c:v>
                </c:pt>
                <c:pt idx="20">
                  <c:v>1.6581572014117676</c:v>
                </c:pt>
                <c:pt idx="21">
                  <c:v>0.84245753567305459</c:v>
                </c:pt>
                <c:pt idx="22">
                  <c:v>1.0915950376244243</c:v>
                </c:pt>
                <c:pt idx="23">
                  <c:v>1.0369598782145006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6"/>
          <c:order val="6"/>
          <c:tx>
            <c:strRef>
              <c:f>'Chart Data'!$AI$17</c:f>
              <c:strCache>
                <c:ptCount val="1"/>
                <c:pt idx="0">
                  <c:v>Real income</c:v>
                </c:pt>
              </c:strCache>
            </c:strRef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cat>
            <c:strRef>
              <c:f>'Chart Data'!$AB$22:$AB$45</c:f>
              <c:strCache>
                <c:ptCount val="24"/>
                <c:pt idx="0">
                  <c:v>2020</c:v>
                </c:pt>
                <c:pt idx="1">
                  <c:v>2020 02</c:v>
                </c:pt>
                <c:pt idx="2">
                  <c:v>2020 03</c:v>
                </c:pt>
                <c:pt idx="3">
                  <c:v>2020 04</c:v>
                </c:pt>
                <c:pt idx="4">
                  <c:v>2021</c:v>
                </c:pt>
                <c:pt idx="5">
                  <c:v>2021 02</c:v>
                </c:pt>
                <c:pt idx="6">
                  <c:v>2021 03</c:v>
                </c:pt>
                <c:pt idx="7">
                  <c:v>2021 04</c:v>
                </c:pt>
                <c:pt idx="8">
                  <c:v>2022</c:v>
                </c:pt>
                <c:pt idx="9">
                  <c:v>2022 02</c:v>
                </c:pt>
                <c:pt idx="10">
                  <c:v>2022 03</c:v>
                </c:pt>
                <c:pt idx="11">
                  <c:v>2022 04</c:v>
                </c:pt>
                <c:pt idx="12">
                  <c:v>2023</c:v>
                </c:pt>
                <c:pt idx="13">
                  <c:v>2023 02</c:v>
                </c:pt>
                <c:pt idx="14">
                  <c:v>2023 03</c:v>
                </c:pt>
                <c:pt idx="15">
                  <c:v>2023 04</c:v>
                </c:pt>
                <c:pt idx="16">
                  <c:v>2024</c:v>
                </c:pt>
                <c:pt idx="17">
                  <c:v>2024 02</c:v>
                </c:pt>
                <c:pt idx="18">
                  <c:v>2024 03</c:v>
                </c:pt>
                <c:pt idx="19">
                  <c:v>2024 04</c:v>
                </c:pt>
                <c:pt idx="20">
                  <c:v>2025</c:v>
                </c:pt>
                <c:pt idx="21">
                  <c:v>2025 02</c:v>
                </c:pt>
                <c:pt idx="22">
                  <c:v>2025 03</c:v>
                </c:pt>
                <c:pt idx="23">
                  <c:v>2025 04</c:v>
                </c:pt>
              </c:strCache>
            </c:strRef>
          </c:cat>
          <c:val>
            <c:numRef>
              <c:f>'Chart Data'!$AI$22:$AI$45</c:f>
              <c:numCache>
                <c:formatCode>0.0</c:formatCode>
                <c:ptCount val="24"/>
                <c:pt idx="0">
                  <c:v>-5.3493787360947676E-2</c:v>
                </c:pt>
                <c:pt idx="1">
                  <c:v>-3.0544761168811769</c:v>
                </c:pt>
                <c:pt idx="2">
                  <c:v>-1.8019988695402223</c:v>
                </c:pt>
                <c:pt idx="3">
                  <c:v>-3.686120545077908</c:v>
                </c:pt>
                <c:pt idx="4">
                  <c:v>-1.5891789284406832</c:v>
                </c:pt>
                <c:pt idx="5">
                  <c:v>-2.3315496005275946</c:v>
                </c:pt>
                <c:pt idx="6">
                  <c:v>-5.9903745607089878</c:v>
                </c:pt>
                <c:pt idx="7">
                  <c:v>-6.5798500739327821</c:v>
                </c:pt>
                <c:pt idx="8">
                  <c:v>-5.7365512950134034</c:v>
                </c:pt>
                <c:pt idx="9">
                  <c:v>-2.8815679569012191</c:v>
                </c:pt>
                <c:pt idx="10">
                  <c:v>0.17526816554507185</c:v>
                </c:pt>
                <c:pt idx="11">
                  <c:v>5.5411586370329289</c:v>
                </c:pt>
                <c:pt idx="12">
                  <c:v>6.205577968500652</c:v>
                </c:pt>
                <c:pt idx="13">
                  <c:v>8.9721753452668871</c:v>
                </c:pt>
                <c:pt idx="14">
                  <c:v>8.2398276277428444</c:v>
                </c:pt>
                <c:pt idx="15">
                  <c:v>3.4235058559452192</c:v>
                </c:pt>
                <c:pt idx="16">
                  <c:v>2.4264466557888391</c:v>
                </c:pt>
                <c:pt idx="17">
                  <c:v>0.7021908322893069</c:v>
                </c:pt>
                <c:pt idx="18">
                  <c:v>6.7430536243162642E-2</c:v>
                </c:pt>
                <c:pt idx="19">
                  <c:v>1.5186638249261586</c:v>
                </c:pt>
                <c:pt idx="20">
                  <c:v>4.3887917282394051</c:v>
                </c:pt>
                <c:pt idx="21">
                  <c:v>3.5199439298217117</c:v>
                </c:pt>
                <c:pt idx="22">
                  <c:v>4.1241728509466169</c:v>
                </c:pt>
                <c:pt idx="23">
                  <c:v>4.333160710523364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tickLblSkip val="4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70123414625909164"/>
          <c:y val="1.7468964532341216E-2"/>
          <c:w val="0.29000918912675233"/>
          <c:h val="0.2407886716098837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r>
              <a:rPr lang="en-US">
                <a:solidFill>
                  <a:srgbClr val="495057"/>
                </a:solidFill>
              </a:rPr>
              <a:t> </a:t>
            </a:r>
            <a:r>
              <a:rPr lang="en-US" b="1">
                <a:solidFill>
                  <a:srgbClr val="495057"/>
                </a:solidFill>
              </a:rPr>
              <a:t>UK: Quarterly % of year's PEOY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354347101476986E-2"/>
          <c:y val="0.15954201195649115"/>
          <c:w val="0.83448523826957444"/>
          <c:h val="0.60062841965969982"/>
        </c:manualLayout>
      </c:layout>
      <c:lineChart>
        <c:grouping val="standard"/>
        <c:varyColors val="0"/>
        <c:ser>
          <c:idx val="2"/>
          <c:order val="2"/>
          <c:spPr>
            <a:ln w="38100" cap="rnd">
              <a:solidFill>
                <a:srgbClr val="BD1B2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'Chart Data'!$AE$62:$AE$69</c:f>
              <c:strCache>
                <c:ptCount val="8"/>
                <c:pt idx="0">
                  <c:v>2022</c:v>
                </c:pt>
                <c:pt idx="1">
                  <c:v>2022 02</c:v>
                </c:pt>
                <c:pt idx="2">
                  <c:v>2022 03</c:v>
                </c:pt>
                <c:pt idx="3">
                  <c:v>2022 04</c:v>
                </c:pt>
                <c:pt idx="4">
                  <c:v>2023</c:v>
                </c:pt>
                <c:pt idx="5">
                  <c:v>2023 02</c:v>
                </c:pt>
                <c:pt idx="6">
                  <c:v>2023 03</c:v>
                </c:pt>
                <c:pt idx="7">
                  <c:v>2023 04</c:v>
                </c:pt>
              </c:strCache>
            </c:strRef>
          </c:cat>
          <c:val>
            <c:numRef>
              <c:f>'Chart Data'!$AH$62:$AH$69</c:f>
              <c:numCache>
                <c:formatCode>0%</c:formatCode>
                <c:ptCount val="8"/>
                <c:pt idx="0">
                  <c:v>8.9630771514683252E-2</c:v>
                </c:pt>
                <c:pt idx="1">
                  <c:v>0.20464547352031062</c:v>
                </c:pt>
                <c:pt idx="2">
                  <c:v>0.22212518301471618</c:v>
                </c:pt>
                <c:pt idx="3">
                  <c:v>0.48359857195028999</c:v>
                </c:pt>
                <c:pt idx="4">
                  <c:v>0.3877125372394013</c:v>
                </c:pt>
                <c:pt idx="5">
                  <c:v>0.25621766976791149</c:v>
                </c:pt>
                <c:pt idx="6">
                  <c:v>0.30236046835416058</c:v>
                </c:pt>
                <c:pt idx="7">
                  <c:v>5.370932463852663E-2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17-4F57-8D34-667F9C475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128719"/>
        <c:axId val="17840846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'Chart Data'!$AE$62:$AE$69</c15:sqref>
                        </c15:formulaRef>
                      </c:ext>
                    </c:extLst>
                    <c:strCache>
                      <c:ptCount val="8"/>
                      <c:pt idx="0">
                        <c:v>2022</c:v>
                      </c:pt>
                      <c:pt idx="1">
                        <c:v>2022 02</c:v>
                      </c:pt>
                      <c:pt idx="2">
                        <c:v>2022 03</c:v>
                      </c:pt>
                      <c:pt idx="3">
                        <c:v>2022 04</c:v>
                      </c:pt>
                      <c:pt idx="4">
                        <c:v>2023</c:v>
                      </c:pt>
                      <c:pt idx="5">
                        <c:v>2023 02</c:v>
                      </c:pt>
                      <c:pt idx="6">
                        <c:v>2023 03</c:v>
                      </c:pt>
                      <c:pt idx="7">
                        <c:v>2023 04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Data'!$AF$62:$AF$69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>
                        <c:v>0.90349054206677093</c:v>
                      </c:pt>
                      <c:pt idx="1">
                        <c:v>2.0628546053749748</c:v>
                      </c:pt>
                      <c:pt idx="2">
                        <c:v>2.2390524885281171</c:v>
                      </c:pt>
                      <c:pt idx="3">
                        <c:v>4.8747403211017408</c:v>
                      </c:pt>
                      <c:pt idx="4">
                        <c:v>5.895371296512101</c:v>
                      </c:pt>
                      <c:pt idx="5">
                        <c:v>3.895923270276588</c:v>
                      </c:pt>
                      <c:pt idx="6">
                        <c:v>4.5975485833578151</c:v>
                      </c:pt>
                      <c:pt idx="7">
                        <c:v>0.81667828717518676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C17-4F57-8D34-667F9C4759C8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Data'!$AE$62:$AE$69</c15:sqref>
                        </c15:formulaRef>
                      </c:ext>
                    </c:extLst>
                    <c:strCache>
                      <c:ptCount val="8"/>
                      <c:pt idx="0">
                        <c:v>2022</c:v>
                      </c:pt>
                      <c:pt idx="1">
                        <c:v>2022 02</c:v>
                      </c:pt>
                      <c:pt idx="2">
                        <c:v>2022 03</c:v>
                      </c:pt>
                      <c:pt idx="3">
                        <c:v>2022 04</c:v>
                      </c:pt>
                      <c:pt idx="4">
                        <c:v>2023</c:v>
                      </c:pt>
                      <c:pt idx="5">
                        <c:v>2023 02</c:v>
                      </c:pt>
                      <c:pt idx="6">
                        <c:v>2023 03</c:v>
                      </c:pt>
                      <c:pt idx="7">
                        <c:v>2023 04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Data'!$AG$62:$AG$69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>
                        <c:v>0.22587263551669273</c:v>
                      </c:pt>
                      <c:pt idx="1">
                        <c:v>0.5157136513437437</c:v>
                      </c:pt>
                      <c:pt idx="2">
                        <c:v>0.55976312213202928</c:v>
                      </c:pt>
                      <c:pt idx="3">
                        <c:v>1.2186850802754352</c:v>
                      </c:pt>
                      <c:pt idx="4">
                        <c:v>1.4738428241280253</c:v>
                      </c:pt>
                      <c:pt idx="5">
                        <c:v>0.97398081756914701</c:v>
                      </c:pt>
                      <c:pt idx="6">
                        <c:v>1.1493871458394538</c:v>
                      </c:pt>
                      <c:pt idx="7">
                        <c:v>0.20416957179379669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17-4F57-8D34-667F9C4759C8}"/>
                  </c:ext>
                </c:extLst>
              </c15:ser>
            </c15:filteredLineSeries>
          </c:ext>
        </c:extLst>
      </c:lineChart>
      <c:catAx>
        <c:axId val="584128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84084608"/>
        <c:crosses val="autoZero"/>
        <c:auto val="1"/>
        <c:lblAlgn val="ctr"/>
        <c:lblOffset val="100"/>
        <c:tickLblSkip val="1"/>
        <c:noMultiLvlLbl val="0"/>
      </c:catAx>
      <c:valAx>
        <c:axId val="178408460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solidFill>
              <a:srgbClr val="495057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8412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39370078740157499" l="1.1811023622047201" r="1.1811023622047201" t="0.39370078740157499" header="0.78740157480314998" footer="0.78740157480314998"/>
    <c:pageSetup paperSize="9" orientation="landscape"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379831582677714E-2"/>
          <c:y val="0.16637291146154581"/>
          <c:w val="0.89389632688912501"/>
          <c:h val="0.6952636217187449"/>
        </c:manualLayout>
      </c:layout>
      <c:areaChart>
        <c:grouping val="standard"/>
        <c:varyColors val="0"/>
        <c:ser>
          <c:idx val="0"/>
          <c:order val="0"/>
          <c:tx>
            <c:strRef>
              <c:f>'Chart Data'!$AQ$3</c:f>
              <c:strCache>
                <c:ptCount val="1"/>
                <c:pt idx="0">
                  <c:v>Personal sector debt interest payments (LHS)</c:v>
                </c:pt>
              </c:strCache>
            </c:strRef>
          </c:tx>
          <c:spPr>
            <a:solidFill>
              <a:srgbClr val="7B7C77"/>
            </a:solidFill>
            <a:ln w="38100">
              <a:noFill/>
            </a:ln>
          </c:spPr>
          <c:cat>
            <c:numRef>
              <c:f>'Chart Data'!$AP$4:$AP$111</c:f>
              <c:numCache>
                <c:formatCode>General</c:formatCode>
                <c:ptCount val="108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  <c:pt idx="104">
                  <c:v>2026</c:v>
                </c:pt>
              </c:numCache>
            </c:numRef>
          </c:cat>
          <c:val>
            <c:numRef>
              <c:f>'Chart Data'!$AQ$4:$AQ$111</c:f>
              <c:numCache>
                <c:formatCode>0.00</c:formatCode>
                <c:ptCount val="108"/>
                <c:pt idx="0">
                  <c:v>5.7792892899634092</c:v>
                </c:pt>
                <c:pt idx="1">
                  <c:v>5.9470556816664439</c:v>
                </c:pt>
                <c:pt idx="2">
                  <c:v>5.7773876634209635</c:v>
                </c:pt>
                <c:pt idx="3">
                  <c:v>5.7499033629686895</c:v>
                </c:pt>
                <c:pt idx="4">
                  <c:v>5.7614058019902172</c:v>
                </c:pt>
                <c:pt idx="5">
                  <c:v>5.5112776384170026</c:v>
                </c:pt>
                <c:pt idx="6">
                  <c:v>5.2109807883561965</c:v>
                </c:pt>
                <c:pt idx="7">
                  <c:v>4.6413810760396474</c:v>
                </c:pt>
                <c:pt idx="8">
                  <c:v>4.5625929107490988</c:v>
                </c:pt>
                <c:pt idx="9">
                  <c:v>4.6749902021163425</c:v>
                </c:pt>
                <c:pt idx="10">
                  <c:v>4.7875188008259615</c:v>
                </c:pt>
                <c:pt idx="11">
                  <c:v>4.8748014221953246</c:v>
                </c:pt>
                <c:pt idx="12">
                  <c:v>4.884477904027797</c:v>
                </c:pt>
                <c:pt idx="13">
                  <c:v>4.8031425765556648</c:v>
                </c:pt>
                <c:pt idx="14">
                  <c:v>4.5972279401674214</c:v>
                </c:pt>
                <c:pt idx="15">
                  <c:v>4.7074177345642445</c:v>
                </c:pt>
                <c:pt idx="16">
                  <c:v>5.2115923725326985</c:v>
                </c:pt>
                <c:pt idx="17">
                  <c:v>5.6404988856586868</c:v>
                </c:pt>
                <c:pt idx="18">
                  <c:v>6.2995609072410721</c:v>
                </c:pt>
                <c:pt idx="19">
                  <c:v>6.4537855442584835</c:v>
                </c:pt>
                <c:pt idx="20">
                  <c:v>6.3325731990988068</c:v>
                </c:pt>
                <c:pt idx="21">
                  <c:v>6.6708209720171414</c:v>
                </c:pt>
                <c:pt idx="22">
                  <c:v>6.623033264524528</c:v>
                </c:pt>
                <c:pt idx="23">
                  <c:v>6.5978370787757283</c:v>
                </c:pt>
                <c:pt idx="24">
                  <c:v>6.6242459588617786</c:v>
                </c:pt>
                <c:pt idx="25">
                  <c:v>6.6959105946696686</c:v>
                </c:pt>
                <c:pt idx="26">
                  <c:v>6.8891299189912898</c:v>
                </c:pt>
                <c:pt idx="27">
                  <c:v>7.2942365174925277</c:v>
                </c:pt>
                <c:pt idx="28">
                  <c:v>7.5613869123514172</c:v>
                </c:pt>
                <c:pt idx="29">
                  <c:v>7.9824457359743803</c:v>
                </c:pt>
                <c:pt idx="30">
                  <c:v>8.1673706695790429</c:v>
                </c:pt>
                <c:pt idx="31">
                  <c:v>8.8841005759325871</c:v>
                </c:pt>
                <c:pt idx="32">
                  <c:v>9.297060317688894</c:v>
                </c:pt>
                <c:pt idx="33">
                  <c:v>8.8889148992618257</c:v>
                </c:pt>
                <c:pt idx="34">
                  <c:v>8.9038713333724182</c:v>
                </c:pt>
                <c:pt idx="35">
                  <c:v>8.5040793621361015</c:v>
                </c:pt>
                <c:pt idx="36">
                  <c:v>4.6442683892510113</c:v>
                </c:pt>
                <c:pt idx="37">
                  <c:v>3.4285670998458433</c:v>
                </c:pt>
                <c:pt idx="38">
                  <c:v>3.0123071655475453</c:v>
                </c:pt>
                <c:pt idx="39">
                  <c:v>2.758087675363988</c:v>
                </c:pt>
                <c:pt idx="40">
                  <c:v>1.9245762904312413</c:v>
                </c:pt>
                <c:pt idx="41">
                  <c:v>2.0292869809866585</c:v>
                </c:pt>
                <c:pt idx="42">
                  <c:v>1.9944083404566646</c:v>
                </c:pt>
                <c:pt idx="43">
                  <c:v>2.2473166785345469</c:v>
                </c:pt>
                <c:pt idx="44">
                  <c:v>2.1920797667199698</c:v>
                </c:pt>
                <c:pt idx="45">
                  <c:v>2.1242872045147094</c:v>
                </c:pt>
                <c:pt idx="46">
                  <c:v>2.1448515876878713</c:v>
                </c:pt>
                <c:pt idx="47">
                  <c:v>2.3691671696939762</c:v>
                </c:pt>
                <c:pt idx="48">
                  <c:v>2.5747862100564496</c:v>
                </c:pt>
                <c:pt idx="49">
                  <c:v>2.3986208987425219</c:v>
                </c:pt>
                <c:pt idx="50">
                  <c:v>2.1103343637446472</c:v>
                </c:pt>
                <c:pt idx="51">
                  <c:v>2.0058346428395262</c:v>
                </c:pt>
                <c:pt idx="52">
                  <c:v>2.174020142588696</c:v>
                </c:pt>
                <c:pt idx="53">
                  <c:v>2.0038311555038653</c:v>
                </c:pt>
                <c:pt idx="54">
                  <c:v>1.8608438640407756</c:v>
                </c:pt>
                <c:pt idx="55">
                  <c:v>1.6691095091382249</c:v>
                </c:pt>
                <c:pt idx="56">
                  <c:v>2.0413171885208659</c:v>
                </c:pt>
                <c:pt idx="57">
                  <c:v>2.3954732456198</c:v>
                </c:pt>
                <c:pt idx="58">
                  <c:v>2.432923457700308</c:v>
                </c:pt>
                <c:pt idx="59">
                  <c:v>2.3851521108059206</c:v>
                </c:pt>
                <c:pt idx="60">
                  <c:v>2.2008292793991733</c:v>
                </c:pt>
                <c:pt idx="61">
                  <c:v>2.2225558453906831</c:v>
                </c:pt>
                <c:pt idx="62">
                  <c:v>2.1345907605988468</c:v>
                </c:pt>
                <c:pt idx="63">
                  <c:v>2.1919724392374369</c:v>
                </c:pt>
                <c:pt idx="64">
                  <c:v>2.1006034984529607</c:v>
                </c:pt>
                <c:pt idx="65">
                  <c:v>2.2455418047164293</c:v>
                </c:pt>
                <c:pt idx="66">
                  <c:v>2.2269146628288725</c:v>
                </c:pt>
                <c:pt idx="67">
                  <c:v>2.1754114159540339</c:v>
                </c:pt>
                <c:pt idx="68">
                  <c:v>1.8634146341463413</c:v>
                </c:pt>
                <c:pt idx="69">
                  <c:v>1.8059399837601722</c:v>
                </c:pt>
                <c:pt idx="70">
                  <c:v>1.6171237332187356</c:v>
                </c:pt>
                <c:pt idx="71">
                  <c:v>1.7777543785756906</c:v>
                </c:pt>
                <c:pt idx="72">
                  <c:v>1.9511648036901026</c:v>
                </c:pt>
                <c:pt idx="73">
                  <c:v>2.140097981083088</c:v>
                </c:pt>
                <c:pt idx="74">
                  <c:v>2.2034333295311965</c:v>
                </c:pt>
                <c:pt idx="75">
                  <c:v>2.3244270956018438</c:v>
                </c:pt>
                <c:pt idx="76">
                  <c:v>2.2126515038786678</c:v>
                </c:pt>
                <c:pt idx="77">
                  <c:v>1.8862112402567757</c:v>
                </c:pt>
                <c:pt idx="78">
                  <c:v>1.8119890262133318</c:v>
                </c:pt>
                <c:pt idx="79">
                  <c:v>1.7254452213945424</c:v>
                </c:pt>
                <c:pt idx="80">
                  <c:v>1.6006053359034336</c:v>
                </c:pt>
                <c:pt idx="81">
                  <c:v>1.2082963694961315</c:v>
                </c:pt>
                <c:pt idx="82">
                  <c:v>1.2191801707614567</c:v>
                </c:pt>
                <c:pt idx="83">
                  <c:v>1.3026370457267151</c:v>
                </c:pt>
                <c:pt idx="84">
                  <c:v>1.456977033546595</c:v>
                </c:pt>
                <c:pt idx="85">
                  <c:v>1.4146233661805701</c:v>
                </c:pt>
                <c:pt idx="86">
                  <c:v>1.3345073401869949</c:v>
                </c:pt>
                <c:pt idx="87">
                  <c:v>1.4902910453837488</c:v>
                </c:pt>
                <c:pt idx="88">
                  <c:v>1.8913686031781995</c:v>
                </c:pt>
                <c:pt idx="89">
                  <c:v>2.3442505463671335</c:v>
                </c:pt>
                <c:pt idx="90">
                  <c:v>2.8213540113331348</c:v>
                </c:pt>
                <c:pt idx="91">
                  <c:v>3.632061944364783</c:v>
                </c:pt>
                <c:pt idx="92">
                  <c:v>4.7809902148579404</c:v>
                </c:pt>
                <c:pt idx="93">
                  <c:v>4.8536469643606628</c:v>
                </c:pt>
                <c:pt idx="94">
                  <c:v>5.3296559444599927</c:v>
                </c:pt>
                <c:pt idx="95">
                  <c:v>5.6218112946986203</c:v>
                </c:pt>
                <c:pt idx="96">
                  <c:v>5.7809931174107358</c:v>
                </c:pt>
                <c:pt idx="97">
                  <c:v>5.7663353442310346</c:v>
                </c:pt>
                <c:pt idx="98">
                  <c:v>5.6806225109924151</c:v>
                </c:pt>
                <c:pt idx="99">
                  <c:v>5.5981752303114272</c:v>
                </c:pt>
                <c:pt idx="100">
                  <c:v>5.5404681450414541</c:v>
                </c:pt>
                <c:pt idx="101">
                  <c:v>5.4661549019452309</c:v>
                </c:pt>
                <c:pt idx="102">
                  <c:v>5.3625492129427155</c:v>
                </c:pt>
                <c:pt idx="103">
                  <c:v>5.2637346806150846</c:v>
                </c:pt>
                <c:pt idx="104">
                  <c:v>5.1724430350903052</c:v>
                </c:pt>
                <c:pt idx="105">
                  <c:v>5.1021654968568022</c:v>
                </c:pt>
                <c:pt idx="106">
                  <c:v>5.0292006645226035</c:v>
                </c:pt>
                <c:pt idx="107">
                  <c:v>4.9519129972425722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1"/>
          <c:order val="1"/>
          <c:tx>
            <c:strRef>
              <c:f>'Chart Data'!$AR$3</c:f>
              <c:strCache>
                <c:ptCount val="1"/>
                <c:pt idx="0">
                  <c:v>Average mortgage interest rates (RHS)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Data'!$AP$4:$AP$111</c:f>
              <c:numCache>
                <c:formatCode>General</c:formatCode>
                <c:ptCount val="108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  <c:pt idx="104">
                  <c:v>2026</c:v>
                </c:pt>
              </c:numCache>
            </c:numRef>
          </c:cat>
          <c:val>
            <c:numRef>
              <c:f>'Chart Data'!$AR$4:$AR$111</c:f>
              <c:numCache>
                <c:formatCode>0.00</c:formatCode>
                <c:ptCount val="108"/>
                <c:pt idx="0">
                  <c:v>7.056667</c:v>
                </c:pt>
                <c:pt idx="1">
                  <c:v>7.1433330000000002</c:v>
                </c:pt>
                <c:pt idx="2">
                  <c:v>7.1133329999999999</c:v>
                </c:pt>
                <c:pt idx="3">
                  <c:v>7.056667</c:v>
                </c:pt>
                <c:pt idx="4">
                  <c:v>6.9366659999999998</c:v>
                </c:pt>
                <c:pt idx="5">
                  <c:v>6.6133329999999999</c:v>
                </c:pt>
                <c:pt idx="6">
                  <c:v>6.35</c:v>
                </c:pt>
                <c:pt idx="7">
                  <c:v>5.8466670000000001</c:v>
                </c:pt>
                <c:pt idx="8">
                  <c:v>5.5133330000000003</c:v>
                </c:pt>
                <c:pt idx="9">
                  <c:v>5.4366659999999998</c:v>
                </c:pt>
                <c:pt idx="10">
                  <c:v>5.3133340000000002</c:v>
                </c:pt>
                <c:pt idx="11">
                  <c:v>5.2966670000000002</c:v>
                </c:pt>
                <c:pt idx="12">
                  <c:v>5.1733330000000004</c:v>
                </c:pt>
                <c:pt idx="13">
                  <c:v>5.01</c:v>
                </c:pt>
                <c:pt idx="14">
                  <c:v>4.8499999999999996</c:v>
                </c:pt>
                <c:pt idx="15">
                  <c:v>4.806667</c:v>
                </c:pt>
                <c:pt idx="16">
                  <c:v>4.983333</c:v>
                </c:pt>
                <c:pt idx="17">
                  <c:v>5.1033330000000001</c:v>
                </c:pt>
                <c:pt idx="18">
                  <c:v>5.4633330000000004</c:v>
                </c:pt>
                <c:pt idx="19">
                  <c:v>5.5733329999999999</c:v>
                </c:pt>
                <c:pt idx="20">
                  <c:v>5.53</c:v>
                </c:pt>
                <c:pt idx="21">
                  <c:v>5.5033339999999997</c:v>
                </c:pt>
                <c:pt idx="22">
                  <c:v>5.4766659999999998</c:v>
                </c:pt>
                <c:pt idx="23">
                  <c:v>5.35</c:v>
                </c:pt>
                <c:pt idx="24">
                  <c:v>5.3266669999999996</c:v>
                </c:pt>
                <c:pt idx="25">
                  <c:v>5.31</c:v>
                </c:pt>
                <c:pt idx="26">
                  <c:v>5.33</c:v>
                </c:pt>
                <c:pt idx="27">
                  <c:v>5.45</c:v>
                </c:pt>
                <c:pt idx="28">
                  <c:v>5.6233329999999997</c:v>
                </c:pt>
                <c:pt idx="29">
                  <c:v>5.7033329999999998</c:v>
                </c:pt>
                <c:pt idx="30">
                  <c:v>5.8833330000000004</c:v>
                </c:pt>
                <c:pt idx="31">
                  <c:v>5.95</c:v>
                </c:pt>
                <c:pt idx="32">
                  <c:v>5.8566669999999998</c:v>
                </c:pt>
                <c:pt idx="33">
                  <c:v>5.7633330000000003</c:v>
                </c:pt>
                <c:pt idx="34">
                  <c:v>5.7966670000000002</c:v>
                </c:pt>
                <c:pt idx="35">
                  <c:v>5.3866670000000001</c:v>
                </c:pt>
                <c:pt idx="36">
                  <c:v>4.0833329999999997</c:v>
                </c:pt>
                <c:pt idx="37">
                  <c:v>3.6</c:v>
                </c:pt>
                <c:pt idx="38">
                  <c:v>3.576667</c:v>
                </c:pt>
                <c:pt idx="39">
                  <c:v>3.5733329999999999</c:v>
                </c:pt>
                <c:pt idx="40">
                  <c:v>3.6666669999999999</c:v>
                </c:pt>
                <c:pt idx="41">
                  <c:v>3.66</c:v>
                </c:pt>
                <c:pt idx="42">
                  <c:v>3.57</c:v>
                </c:pt>
                <c:pt idx="43">
                  <c:v>3.5066670000000002</c:v>
                </c:pt>
                <c:pt idx="44">
                  <c:v>3.496667</c:v>
                </c:pt>
                <c:pt idx="45">
                  <c:v>3.47</c:v>
                </c:pt>
                <c:pt idx="46">
                  <c:v>3.4</c:v>
                </c:pt>
                <c:pt idx="47">
                  <c:v>3.3666670000000001</c:v>
                </c:pt>
                <c:pt idx="48">
                  <c:v>3.3666670000000001</c:v>
                </c:pt>
                <c:pt idx="49">
                  <c:v>3.38</c:v>
                </c:pt>
                <c:pt idx="50">
                  <c:v>3.3733330000000001</c:v>
                </c:pt>
                <c:pt idx="51">
                  <c:v>3.38</c:v>
                </c:pt>
                <c:pt idx="52">
                  <c:v>3.3666670000000001</c:v>
                </c:pt>
                <c:pt idx="53">
                  <c:v>3.3433329999999999</c:v>
                </c:pt>
                <c:pt idx="54">
                  <c:v>3.3166669999999998</c:v>
                </c:pt>
                <c:pt idx="55">
                  <c:v>3.28</c:v>
                </c:pt>
                <c:pt idx="56">
                  <c:v>3.25</c:v>
                </c:pt>
                <c:pt idx="57">
                  <c:v>3.233333</c:v>
                </c:pt>
                <c:pt idx="58">
                  <c:v>3.213333</c:v>
                </c:pt>
                <c:pt idx="59">
                  <c:v>3.1866669999999999</c:v>
                </c:pt>
                <c:pt idx="60">
                  <c:v>3.1533329999999999</c:v>
                </c:pt>
                <c:pt idx="61">
                  <c:v>3.1066669999999998</c:v>
                </c:pt>
                <c:pt idx="62">
                  <c:v>3.056667</c:v>
                </c:pt>
                <c:pt idx="63">
                  <c:v>3.01</c:v>
                </c:pt>
                <c:pt idx="64">
                  <c:v>2.95</c:v>
                </c:pt>
                <c:pt idx="65">
                  <c:v>2.9033329999999999</c:v>
                </c:pt>
                <c:pt idx="66">
                  <c:v>2.82</c:v>
                </c:pt>
                <c:pt idx="67">
                  <c:v>2.6866669999999999</c:v>
                </c:pt>
                <c:pt idx="68">
                  <c:v>2.6266669999999999</c:v>
                </c:pt>
                <c:pt idx="69">
                  <c:v>2.5866669999999998</c:v>
                </c:pt>
                <c:pt idx="70">
                  <c:v>2.5333329999999998</c:v>
                </c:pt>
                <c:pt idx="71">
                  <c:v>2.516667</c:v>
                </c:pt>
                <c:pt idx="72">
                  <c:v>2.52</c:v>
                </c:pt>
                <c:pt idx="73">
                  <c:v>2.483333</c:v>
                </c:pt>
                <c:pt idx="74">
                  <c:v>2.48</c:v>
                </c:pt>
                <c:pt idx="75">
                  <c:v>2.4933329999999998</c:v>
                </c:pt>
                <c:pt idx="76">
                  <c:v>2.463333</c:v>
                </c:pt>
                <c:pt idx="77">
                  <c:v>2.4366669999999999</c:v>
                </c:pt>
                <c:pt idx="78">
                  <c:v>2.4133330000000002</c:v>
                </c:pt>
                <c:pt idx="79">
                  <c:v>2.3866670000000001</c:v>
                </c:pt>
                <c:pt idx="80">
                  <c:v>2.3566669999999998</c:v>
                </c:pt>
                <c:pt idx="81">
                  <c:v>2.1833330000000002</c:v>
                </c:pt>
                <c:pt idx="82">
                  <c:v>2.1433330000000002</c:v>
                </c:pt>
                <c:pt idx="83">
                  <c:v>2.12</c:v>
                </c:pt>
                <c:pt idx="84">
                  <c:v>2.09</c:v>
                </c:pt>
                <c:pt idx="85">
                  <c:v>2.0733329999999999</c:v>
                </c:pt>
                <c:pt idx="86">
                  <c:v>2.0533329999999999</c:v>
                </c:pt>
                <c:pt idx="87">
                  <c:v>2.02</c:v>
                </c:pt>
                <c:pt idx="88">
                  <c:v>2.0266670000000002</c:v>
                </c:pt>
                <c:pt idx="89">
                  <c:v>2.0833330000000001</c:v>
                </c:pt>
                <c:pt idx="90">
                  <c:v>2.1866669999999999</c:v>
                </c:pt>
                <c:pt idx="91">
                  <c:v>2.3966669999999999</c:v>
                </c:pt>
                <c:pt idx="92">
                  <c:v>2.65</c:v>
                </c:pt>
                <c:pt idx="93">
                  <c:v>2.84</c:v>
                </c:pt>
                <c:pt idx="94">
                  <c:v>3.07</c:v>
                </c:pt>
                <c:pt idx="95">
                  <c:v>3.29</c:v>
                </c:pt>
                <c:pt idx="96">
                  <c:v>3.46</c:v>
                </c:pt>
                <c:pt idx="97">
                  <c:v>3.6101890000000001</c:v>
                </c:pt>
                <c:pt idx="98">
                  <c:v>3.681047</c:v>
                </c:pt>
                <c:pt idx="99">
                  <c:v>3.7117300000000002</c:v>
                </c:pt>
                <c:pt idx="100">
                  <c:v>3.7662070000000001</c:v>
                </c:pt>
                <c:pt idx="101">
                  <c:v>3.8124989999999999</c:v>
                </c:pt>
                <c:pt idx="102">
                  <c:v>3.820055</c:v>
                </c:pt>
                <c:pt idx="103">
                  <c:v>3.8346840000000002</c:v>
                </c:pt>
                <c:pt idx="104">
                  <c:v>3.8621639999999999</c:v>
                </c:pt>
                <c:pt idx="105">
                  <c:v>3.8892669999999998</c:v>
                </c:pt>
                <c:pt idx="106">
                  <c:v>3.9174799999999999</c:v>
                </c:pt>
                <c:pt idx="107">
                  <c:v>3.93405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Data'!$AS$3</c:f>
              <c:strCache>
                <c:ptCount val="1"/>
                <c:pt idx="0">
                  <c:v>Bank Rate (RHS)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Data'!$AP$4:$AP$111</c:f>
              <c:numCache>
                <c:formatCode>General</c:formatCode>
                <c:ptCount val="108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  <c:pt idx="104">
                  <c:v>2026</c:v>
                </c:pt>
              </c:numCache>
            </c:numRef>
          </c:cat>
          <c:val>
            <c:numRef>
              <c:f>'Chart Data'!$AS$4:$AS$111</c:f>
              <c:numCache>
                <c:formatCode>0.00</c:formatCode>
                <c:ptCount val="108"/>
                <c:pt idx="0">
                  <c:v>5.8615380000000004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5.8576920000000001</c:v>
                </c:pt>
                <c:pt idx="5">
                  <c:v>5.3692310000000001</c:v>
                </c:pt>
                <c:pt idx="6">
                  <c:v>5.0538460000000001</c:v>
                </c:pt>
                <c:pt idx="7">
                  <c:v>4.2234850000000002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3.8515630000000001</c:v>
                </c:pt>
                <c:pt idx="13">
                  <c:v>3.75</c:v>
                </c:pt>
                <c:pt idx="14">
                  <c:v>3.5265149999999998</c:v>
                </c:pt>
                <c:pt idx="15">
                  <c:v>3.6515149999999998</c:v>
                </c:pt>
                <c:pt idx="16">
                  <c:v>3.9038460000000001</c:v>
                </c:pt>
                <c:pt idx="17">
                  <c:v>4.211538</c:v>
                </c:pt>
                <c:pt idx="18">
                  <c:v>4.655303</c:v>
                </c:pt>
                <c:pt idx="19">
                  <c:v>4.75</c:v>
                </c:pt>
                <c:pt idx="20">
                  <c:v>4.75</c:v>
                </c:pt>
                <c:pt idx="21">
                  <c:v>4.75</c:v>
                </c:pt>
                <c:pt idx="22">
                  <c:v>4.5909089999999999</c:v>
                </c:pt>
                <c:pt idx="23">
                  <c:v>4.5</c:v>
                </c:pt>
                <c:pt idx="24">
                  <c:v>4.5</c:v>
                </c:pt>
                <c:pt idx="25">
                  <c:v>4.5</c:v>
                </c:pt>
                <c:pt idx="26">
                  <c:v>4.6615390000000003</c:v>
                </c:pt>
                <c:pt idx="27">
                  <c:v>4.8923079999999999</c:v>
                </c:pt>
                <c:pt idx="28">
                  <c:v>5.2192309999999997</c:v>
                </c:pt>
                <c:pt idx="29">
                  <c:v>5.3923079999999999</c:v>
                </c:pt>
                <c:pt idx="30">
                  <c:v>5.738461</c:v>
                </c:pt>
                <c:pt idx="31">
                  <c:v>5.6818179999999998</c:v>
                </c:pt>
                <c:pt idx="32">
                  <c:v>5.3538459999999999</c:v>
                </c:pt>
                <c:pt idx="33">
                  <c:v>5.026923</c:v>
                </c:pt>
                <c:pt idx="34">
                  <c:v>5</c:v>
                </c:pt>
                <c:pt idx="35">
                  <c:v>3.325758</c:v>
                </c:pt>
                <c:pt idx="36">
                  <c:v>1.0859380000000001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0.34090910000000002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0.41153849999999997</c:v>
                </c:pt>
                <c:pt idx="72">
                  <c:v>0.5</c:v>
                </c:pt>
                <c:pt idx="73">
                  <c:v>0.5</c:v>
                </c:pt>
                <c:pt idx="74">
                  <c:v>0.66153850000000003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0.61384620000000001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0.12727269999999999</c:v>
                </c:pt>
                <c:pt idx="88">
                  <c:v>0.453125</c:v>
                </c:pt>
                <c:pt idx="89">
                  <c:v>0.95</c:v>
                </c:pt>
                <c:pt idx="90">
                  <c:v>1.6212120000000001</c:v>
                </c:pt>
                <c:pt idx="91">
                  <c:v>2.8269229999999999</c:v>
                </c:pt>
                <c:pt idx="92">
                  <c:v>3.85</c:v>
                </c:pt>
                <c:pt idx="93">
                  <c:v>4.4461539999999999</c:v>
                </c:pt>
                <c:pt idx="94">
                  <c:v>5.1615390000000003</c:v>
                </c:pt>
                <c:pt idx="95">
                  <c:v>5.25</c:v>
                </c:pt>
                <c:pt idx="96">
                  <c:v>5.25</c:v>
                </c:pt>
                <c:pt idx="97">
                  <c:v>5.223077</c:v>
                </c:pt>
                <c:pt idx="98">
                  <c:v>4.8371209999999998</c:v>
                </c:pt>
                <c:pt idx="99">
                  <c:v>4.6022730000000003</c:v>
                </c:pt>
                <c:pt idx="100">
                  <c:v>4.3515629999999996</c:v>
                </c:pt>
                <c:pt idx="101">
                  <c:v>4.0846150000000003</c:v>
                </c:pt>
                <c:pt idx="102">
                  <c:v>3.8522729999999998</c:v>
                </c:pt>
                <c:pt idx="103">
                  <c:v>3.5984850000000002</c:v>
                </c:pt>
                <c:pt idx="104">
                  <c:v>3.3476560000000002</c:v>
                </c:pt>
                <c:pt idx="105">
                  <c:v>3.1</c:v>
                </c:pt>
                <c:pt idx="106">
                  <c:v>2.8484850000000002</c:v>
                </c:pt>
                <c:pt idx="107">
                  <c:v>2.594697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279120"/>
        <c:axId val="2108280608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8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valAx>
        <c:axId val="2108280608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 algn="ctr">
              <a:defRPr lang="en-US"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963279120"/>
        <c:crosses val="max"/>
        <c:crossBetween val="between"/>
      </c:valAx>
      <c:catAx>
        <c:axId val="1963279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828060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5996132667416764"/>
          <c:y val="8.2760639741058614E-2"/>
          <c:w val="0.57874458717139132"/>
          <c:h val="0.165699676948694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404415105731712E-2"/>
          <c:y val="0.14746099305143356"/>
          <c:w val="0.90998048282039279"/>
          <c:h val="0.7141755401288572"/>
        </c:manualLayout>
      </c:layout>
      <c:areaChart>
        <c:grouping val="standard"/>
        <c:varyColors val="0"/>
        <c:ser>
          <c:idx val="2"/>
          <c:order val="2"/>
          <c:tx>
            <c:strRef>
              <c:f>'Chart Data'!$BC$3</c:f>
              <c:strCache>
                <c:ptCount val="1"/>
                <c:pt idx="0">
                  <c:v>Real earnings growth</c:v>
                </c:pt>
              </c:strCache>
            </c:strRef>
          </c:tx>
          <c:spPr>
            <a:solidFill>
              <a:srgbClr val="E5BD4D"/>
            </a:solidFill>
            <a:ln w="12700">
              <a:solidFill>
                <a:srgbClr val="D1A21E"/>
              </a:solidFill>
              <a:prstDash val="solid"/>
            </a:ln>
            <a:effectLst/>
          </c:spPr>
          <c:cat>
            <c:numRef>
              <c:f>'Chart Data'!$AZ$4:$AZ$59</c:f>
              <c:numCache>
                <c:formatCode>General</c:formatCode>
                <c:ptCount val="56"/>
                <c:pt idx="0">
                  <c:v>2013</c:v>
                </c:pt>
                <c:pt idx="4">
                  <c:v>2014</c:v>
                </c:pt>
                <c:pt idx="8">
                  <c:v>2015</c:v>
                </c:pt>
                <c:pt idx="12">
                  <c:v>2016</c:v>
                </c:pt>
                <c:pt idx="16">
                  <c:v>2017</c:v>
                </c:pt>
                <c:pt idx="20">
                  <c:v>2018</c:v>
                </c:pt>
                <c:pt idx="24">
                  <c:v>2019</c:v>
                </c:pt>
                <c:pt idx="28">
                  <c:v>2020</c:v>
                </c:pt>
                <c:pt idx="32">
                  <c:v>2021</c:v>
                </c:pt>
                <c:pt idx="36">
                  <c:v>2022</c:v>
                </c:pt>
                <c:pt idx="40">
                  <c:v>2023</c:v>
                </c:pt>
                <c:pt idx="44">
                  <c:v>2024</c:v>
                </c:pt>
                <c:pt idx="48">
                  <c:v>2025</c:v>
                </c:pt>
                <c:pt idx="52">
                  <c:v>2026</c:v>
                </c:pt>
              </c:numCache>
            </c:numRef>
          </c:cat>
          <c:val>
            <c:numRef>
              <c:f>'Chart Data'!$BC$4:$BC$59</c:f>
              <c:numCache>
                <c:formatCode>0.00</c:formatCode>
                <c:ptCount val="56"/>
                <c:pt idx="0">
                  <c:v>-2.2603852206125152</c:v>
                </c:pt>
                <c:pt idx="1">
                  <c:v>-0.58080276159184763</c:v>
                </c:pt>
                <c:pt idx="2">
                  <c:v>-2.0932002487209944</c:v>
                </c:pt>
                <c:pt idx="3">
                  <c:v>-1.0803612029085752</c:v>
                </c:pt>
                <c:pt idx="4">
                  <c:v>-3.3096276152466686E-2</c:v>
                </c:pt>
                <c:pt idx="5">
                  <c:v>-1.974726270667726</c:v>
                </c:pt>
                <c:pt idx="6">
                  <c:v>-0.59380921942333575</c:v>
                </c:pt>
                <c:pt idx="7">
                  <c:v>1.0936483034100997</c:v>
                </c:pt>
                <c:pt idx="8">
                  <c:v>2.1818573113980833</c:v>
                </c:pt>
                <c:pt idx="9">
                  <c:v>2.5900850966771305</c:v>
                </c:pt>
                <c:pt idx="10">
                  <c:v>2.8744529735692081</c:v>
                </c:pt>
                <c:pt idx="11">
                  <c:v>1.7909559033194133</c:v>
                </c:pt>
                <c:pt idx="12">
                  <c:v>1.8267631673009266</c:v>
                </c:pt>
                <c:pt idx="13">
                  <c:v>2.2292630605863506</c:v>
                </c:pt>
                <c:pt idx="14">
                  <c:v>1.644369482949215</c:v>
                </c:pt>
                <c:pt idx="15">
                  <c:v>1.2778160364267821</c:v>
                </c:pt>
                <c:pt idx="16">
                  <c:v>1.4030332714076721E-2</c:v>
                </c:pt>
                <c:pt idx="17">
                  <c:v>-0.59498871289529465</c:v>
                </c:pt>
                <c:pt idx="18">
                  <c:v>-0.4520456979359988</c:v>
                </c:pt>
                <c:pt idx="19">
                  <c:v>-0.33862277110940919</c:v>
                </c:pt>
                <c:pt idx="20">
                  <c:v>-0.10724055955049216</c:v>
                </c:pt>
                <c:pt idx="21">
                  <c:v>2.2223406465271545E-2</c:v>
                </c:pt>
                <c:pt idx="22">
                  <c:v>0.58485950067888037</c:v>
                </c:pt>
                <c:pt idx="23">
                  <c:v>1.1985520205400668</c:v>
                </c:pt>
                <c:pt idx="24">
                  <c:v>1.4098765826422222</c:v>
                </c:pt>
                <c:pt idx="25">
                  <c:v>1.9165819032749498</c:v>
                </c:pt>
                <c:pt idx="26">
                  <c:v>1.9788316933146755</c:v>
                </c:pt>
                <c:pt idx="27">
                  <c:v>1.3118965721063081</c:v>
                </c:pt>
                <c:pt idx="28">
                  <c:v>0.55103301057093379</c:v>
                </c:pt>
                <c:pt idx="29">
                  <c:v>-1.7975596231382229</c:v>
                </c:pt>
                <c:pt idx="30">
                  <c:v>0.85940586971051669</c:v>
                </c:pt>
                <c:pt idx="31">
                  <c:v>3.9641168370050606</c:v>
                </c:pt>
                <c:pt idx="32">
                  <c:v>3.549588462880493</c:v>
                </c:pt>
                <c:pt idx="33">
                  <c:v>6.8241964558828814</c:v>
                </c:pt>
                <c:pt idx="34">
                  <c:v>3.3029688606421859</c:v>
                </c:pt>
                <c:pt idx="35">
                  <c:v>-0.36318864320539213</c:v>
                </c:pt>
                <c:pt idx="36">
                  <c:v>0.78796623307797464</c:v>
                </c:pt>
                <c:pt idx="37">
                  <c:v>-4.0185296874668763</c:v>
                </c:pt>
                <c:pt idx="38">
                  <c:v>-4.1236120116720851</c:v>
                </c:pt>
                <c:pt idx="39">
                  <c:v>-4.3400500746784143</c:v>
                </c:pt>
                <c:pt idx="40">
                  <c:v>-3.980136456814277</c:v>
                </c:pt>
                <c:pt idx="41">
                  <c:v>-4.6290241053004166E-2</c:v>
                </c:pt>
                <c:pt idx="42">
                  <c:v>1.2691161347027302</c:v>
                </c:pt>
                <c:pt idx="43">
                  <c:v>1.5514177906748694</c:v>
                </c:pt>
                <c:pt idx="44">
                  <c:v>1.9099932269965869</c:v>
                </c:pt>
                <c:pt idx="45">
                  <c:v>2.2430813639373826</c:v>
                </c:pt>
                <c:pt idx="46">
                  <c:v>1.4295637771074787</c:v>
                </c:pt>
                <c:pt idx="47">
                  <c:v>2.1404846763074747</c:v>
                </c:pt>
                <c:pt idx="48">
                  <c:v>1.6613423931096882</c:v>
                </c:pt>
                <c:pt idx="49">
                  <c:v>0.51725444962358313</c:v>
                </c:pt>
                <c:pt idx="50">
                  <c:v>0.33174719616706483</c:v>
                </c:pt>
                <c:pt idx="51">
                  <c:v>0.28272453175908208</c:v>
                </c:pt>
                <c:pt idx="52">
                  <c:v>0.30811583540644172</c:v>
                </c:pt>
                <c:pt idx="53">
                  <c:v>0.46321505263435814</c:v>
                </c:pt>
                <c:pt idx="54">
                  <c:v>0.54034830839211345</c:v>
                </c:pt>
                <c:pt idx="55">
                  <c:v>0.62492925397885646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B9C-474D-B836-BD9C9C069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926592"/>
        <c:axId val="274950400"/>
      </c:areaChart>
      <c:lineChart>
        <c:grouping val="standard"/>
        <c:varyColors val="0"/>
        <c:ser>
          <c:idx val="0"/>
          <c:order val="0"/>
          <c:tx>
            <c:strRef>
              <c:f>'Chart Data'!$BA$3</c:f>
              <c:strCache>
                <c:ptCount val="1"/>
                <c:pt idx="0">
                  <c:v>CPI inflation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  <a:effectLst/>
          </c:spPr>
          <c:marker>
            <c:symbol val="none"/>
          </c:marker>
          <c:cat>
            <c:numRef>
              <c:f>'Chart Data'!$AZ$4:$AZ$59</c:f>
              <c:numCache>
                <c:formatCode>General</c:formatCode>
                <c:ptCount val="56"/>
                <c:pt idx="0">
                  <c:v>2013</c:v>
                </c:pt>
                <c:pt idx="4">
                  <c:v>2014</c:v>
                </c:pt>
                <c:pt idx="8">
                  <c:v>2015</c:v>
                </c:pt>
                <c:pt idx="12">
                  <c:v>2016</c:v>
                </c:pt>
                <c:pt idx="16">
                  <c:v>2017</c:v>
                </c:pt>
                <c:pt idx="20">
                  <c:v>2018</c:v>
                </c:pt>
                <c:pt idx="24">
                  <c:v>2019</c:v>
                </c:pt>
                <c:pt idx="28">
                  <c:v>2020</c:v>
                </c:pt>
                <c:pt idx="32">
                  <c:v>2021</c:v>
                </c:pt>
                <c:pt idx="36">
                  <c:v>2022</c:v>
                </c:pt>
                <c:pt idx="40">
                  <c:v>2023</c:v>
                </c:pt>
                <c:pt idx="44">
                  <c:v>2024</c:v>
                </c:pt>
                <c:pt idx="48">
                  <c:v>2025</c:v>
                </c:pt>
                <c:pt idx="52">
                  <c:v>2026</c:v>
                </c:pt>
              </c:numCache>
            </c:numRef>
          </c:cat>
          <c:val>
            <c:numRef>
              <c:f>'Chart Data'!$BA$4:$BA$59</c:f>
              <c:numCache>
                <c:formatCode>0.00</c:formatCode>
                <c:ptCount val="56"/>
                <c:pt idx="0">
                  <c:v>2.7709541484024491</c:v>
                </c:pt>
                <c:pt idx="1">
                  <c:v>2.679196242171189</c:v>
                </c:pt>
                <c:pt idx="2">
                  <c:v>2.7411484128678554</c:v>
                </c:pt>
                <c:pt idx="3">
                  <c:v>2.0904694280168057</c:v>
                </c:pt>
                <c:pt idx="4">
                  <c:v>1.7747509743857526</c:v>
                </c:pt>
                <c:pt idx="5">
                  <c:v>1.7621110890507774</c:v>
                </c:pt>
                <c:pt idx="6">
                  <c:v>1.4521783181357772</c:v>
                </c:pt>
                <c:pt idx="7">
                  <c:v>0.90634441087613649</c:v>
                </c:pt>
                <c:pt idx="8">
                  <c:v>0.1006036217303663</c:v>
                </c:pt>
                <c:pt idx="9">
                  <c:v>-3.3266733266734683E-2</c:v>
                </c:pt>
                <c:pt idx="10">
                  <c:v>3.3355537069090779E-2</c:v>
                </c:pt>
                <c:pt idx="11">
                  <c:v>9.9800399201588341E-2</c:v>
                </c:pt>
                <c:pt idx="12">
                  <c:v>0.33501507537689879</c:v>
                </c:pt>
                <c:pt idx="13">
                  <c:v>0.33307783708267369</c:v>
                </c:pt>
                <c:pt idx="14">
                  <c:v>0.69883504198500201</c:v>
                </c:pt>
                <c:pt idx="15">
                  <c:v>1.1964107676969205</c:v>
                </c:pt>
                <c:pt idx="16">
                  <c:v>2.1702769836208891</c:v>
                </c:pt>
                <c:pt idx="17">
                  <c:v>2.7556772908366556</c:v>
                </c:pt>
                <c:pt idx="18">
                  <c:v>2.8089547888450861</c:v>
                </c:pt>
                <c:pt idx="19">
                  <c:v>3.0213793103448294</c:v>
                </c:pt>
                <c:pt idx="20">
                  <c:v>2.712450980392167</c:v>
                </c:pt>
                <c:pt idx="21">
                  <c:v>2.4232625449878586</c:v>
                </c:pt>
                <c:pt idx="22">
                  <c:v>2.5072324011571778</c:v>
                </c:pt>
                <c:pt idx="23">
                  <c:v>2.263244417199739</c:v>
                </c:pt>
                <c:pt idx="24">
                  <c:v>1.8453382611077762</c:v>
                </c:pt>
                <c:pt idx="25">
                  <c:v>2.0188952621781331</c:v>
                </c:pt>
                <c:pt idx="26">
                  <c:v>1.8501411100658505</c:v>
                </c:pt>
                <c:pt idx="27">
                  <c:v>1.4027435794088383</c:v>
                </c:pt>
                <c:pt idx="28">
                  <c:v>1.6557638238050565</c:v>
                </c:pt>
                <c:pt idx="29">
                  <c:v>0.68024118738403416</c:v>
                </c:pt>
                <c:pt idx="30">
                  <c:v>0.61570178087999583</c:v>
                </c:pt>
                <c:pt idx="31">
                  <c:v>0.58413789859756982</c:v>
                </c:pt>
                <c:pt idx="32">
                  <c:v>0.64535935913971887</c:v>
                </c:pt>
                <c:pt idx="33">
                  <c:v>2.0270276495785167</c:v>
                </c:pt>
                <c:pt idx="34">
                  <c:v>2.7539788108870367</c:v>
                </c:pt>
                <c:pt idx="35">
                  <c:v>4.8899434932935693</c:v>
                </c:pt>
                <c:pt idx="36">
                  <c:v>6.1984103210960928</c:v>
                </c:pt>
                <c:pt idx="37">
                  <c:v>9.1511767462904015</c:v>
                </c:pt>
                <c:pt idx="38">
                  <c:v>10.005958905884139</c:v>
                </c:pt>
                <c:pt idx="39">
                  <c:v>10.75174825174825</c:v>
                </c:pt>
                <c:pt idx="40">
                  <c:v>10.178266296223782</c:v>
                </c:pt>
                <c:pt idx="41">
                  <c:v>8.4390489688226822</c:v>
                </c:pt>
                <c:pt idx="42">
                  <c:v>6.7136184931289922</c:v>
                </c:pt>
                <c:pt idx="43">
                  <c:v>4.1568271507498089</c:v>
                </c:pt>
                <c:pt idx="44">
                  <c:v>3.4202514144706209</c:v>
                </c:pt>
                <c:pt idx="45">
                  <c:v>1.5831633816980162</c:v>
                </c:pt>
                <c:pt idx="46">
                  <c:v>1.7656012176560099</c:v>
                </c:pt>
                <c:pt idx="47">
                  <c:v>1.8293251252020415</c:v>
                </c:pt>
                <c:pt idx="48">
                  <c:v>1.8615903910687015</c:v>
                </c:pt>
                <c:pt idx="49">
                  <c:v>2.0916812689037556</c:v>
                </c:pt>
                <c:pt idx="50">
                  <c:v>2.2163475919832365</c:v>
                </c:pt>
                <c:pt idx="51">
                  <c:v>2.2792690622470024</c:v>
                </c:pt>
                <c:pt idx="52">
                  <c:v>2.3100252449998804</c:v>
                </c:pt>
                <c:pt idx="53">
                  <c:v>2.2356183410752406</c:v>
                </c:pt>
                <c:pt idx="54">
                  <c:v>2.2091149127511311</c:v>
                </c:pt>
                <c:pt idx="55">
                  <c:v>2.1487343545029569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B9C-474D-B836-BD9C9C06998E}"/>
            </c:ext>
          </c:extLst>
        </c:ser>
        <c:ser>
          <c:idx val="1"/>
          <c:order val="1"/>
          <c:tx>
            <c:strRef>
              <c:f>'Chart Data'!$BB$3</c:f>
              <c:strCache>
                <c:ptCount val="1"/>
                <c:pt idx="0">
                  <c:v>Nominal pay growth (incl bonus)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  <a:effectLst/>
          </c:spPr>
          <c:marker>
            <c:symbol val="none"/>
          </c:marker>
          <c:cat>
            <c:numRef>
              <c:f>'Chart Data'!$AZ$4:$AZ$59</c:f>
              <c:numCache>
                <c:formatCode>General</c:formatCode>
                <c:ptCount val="56"/>
                <c:pt idx="0">
                  <c:v>2013</c:v>
                </c:pt>
                <c:pt idx="4">
                  <c:v>2014</c:v>
                </c:pt>
                <c:pt idx="8">
                  <c:v>2015</c:v>
                </c:pt>
                <c:pt idx="12">
                  <c:v>2016</c:v>
                </c:pt>
                <c:pt idx="16">
                  <c:v>2017</c:v>
                </c:pt>
                <c:pt idx="20">
                  <c:v>2018</c:v>
                </c:pt>
                <c:pt idx="24">
                  <c:v>2019</c:v>
                </c:pt>
                <c:pt idx="28">
                  <c:v>2020</c:v>
                </c:pt>
                <c:pt idx="32">
                  <c:v>2021</c:v>
                </c:pt>
                <c:pt idx="36">
                  <c:v>2022</c:v>
                </c:pt>
                <c:pt idx="40">
                  <c:v>2023</c:v>
                </c:pt>
                <c:pt idx="44">
                  <c:v>2024</c:v>
                </c:pt>
                <c:pt idx="48">
                  <c:v>2025</c:v>
                </c:pt>
                <c:pt idx="52">
                  <c:v>2026</c:v>
                </c:pt>
              </c:numCache>
            </c:numRef>
          </c:cat>
          <c:val>
            <c:numRef>
              <c:f>'Chart Data'!$BB$4:$BB$59</c:f>
              <c:numCache>
                <c:formatCode>0.00</c:formatCode>
                <c:ptCount val="56"/>
                <c:pt idx="0">
                  <c:v>0.5105689277899339</c:v>
                </c:pt>
                <c:pt idx="1">
                  <c:v>2.0983934805793414</c:v>
                </c:pt>
                <c:pt idx="2">
                  <c:v>0.64794816414686096</c:v>
                </c:pt>
                <c:pt idx="3">
                  <c:v>1.0101082251082305</c:v>
                </c:pt>
                <c:pt idx="4">
                  <c:v>1.7416546982332859</c:v>
                </c:pt>
                <c:pt idx="5">
                  <c:v>-0.21261518161694859</c:v>
                </c:pt>
                <c:pt idx="6">
                  <c:v>0.85836909871244149</c:v>
                </c:pt>
                <c:pt idx="7">
                  <c:v>1.9999927142862362</c:v>
                </c:pt>
                <c:pt idx="8">
                  <c:v>2.2824609331284496</c:v>
                </c:pt>
                <c:pt idx="9">
                  <c:v>2.5568183634103958</c:v>
                </c:pt>
                <c:pt idx="10">
                  <c:v>2.9078085106382989</c:v>
                </c:pt>
                <c:pt idx="11">
                  <c:v>1.8907563025210017</c:v>
                </c:pt>
                <c:pt idx="12">
                  <c:v>2.1617782426778254</c:v>
                </c:pt>
                <c:pt idx="13">
                  <c:v>2.5623408976690243</c:v>
                </c:pt>
                <c:pt idx="14">
                  <c:v>2.343204524934217</c:v>
                </c:pt>
                <c:pt idx="15">
                  <c:v>2.4742268041237025</c:v>
                </c:pt>
                <c:pt idx="16">
                  <c:v>2.1843073163349658</c:v>
                </c:pt>
                <c:pt idx="17">
                  <c:v>2.1606885779413609</c:v>
                </c:pt>
                <c:pt idx="18">
                  <c:v>2.3569090909090873</c:v>
                </c:pt>
                <c:pt idx="19">
                  <c:v>2.6827565392354202</c:v>
                </c:pt>
                <c:pt idx="20">
                  <c:v>2.6052104208416749</c:v>
                </c:pt>
                <c:pt idx="21">
                  <c:v>2.4454859514531302</c:v>
                </c:pt>
                <c:pt idx="22">
                  <c:v>3.0920919018360582</c:v>
                </c:pt>
                <c:pt idx="23">
                  <c:v>3.4617964377398058</c:v>
                </c:pt>
                <c:pt idx="24">
                  <c:v>3.2552148437499984</c:v>
                </c:pt>
                <c:pt idx="25">
                  <c:v>3.9354771654530829</c:v>
                </c:pt>
                <c:pt idx="26">
                  <c:v>3.8289728033805259</c:v>
                </c:pt>
                <c:pt idx="27">
                  <c:v>2.7146401515151464</c:v>
                </c:pt>
                <c:pt idx="28">
                  <c:v>2.2067968343759903</c:v>
                </c:pt>
                <c:pt idx="29">
                  <c:v>-1.1173184357541888</c:v>
                </c:pt>
                <c:pt idx="30">
                  <c:v>1.4751076505905125</c:v>
                </c:pt>
                <c:pt idx="31">
                  <c:v>4.5482547356026304</c:v>
                </c:pt>
                <c:pt idx="32">
                  <c:v>4.1949478220202119</c:v>
                </c:pt>
                <c:pt idx="33">
                  <c:v>8.851224105461398</c:v>
                </c:pt>
                <c:pt idx="34">
                  <c:v>6.0569476715292225</c:v>
                </c:pt>
                <c:pt idx="35">
                  <c:v>4.5267548500881771</c:v>
                </c:pt>
                <c:pt idx="36">
                  <c:v>6.9863765541740674</c:v>
                </c:pt>
                <c:pt idx="37">
                  <c:v>5.1326470588235251</c:v>
                </c:pt>
                <c:pt idx="38">
                  <c:v>5.8823468942120538</c:v>
                </c:pt>
                <c:pt idx="39">
                  <c:v>6.4116981770698356</c:v>
                </c:pt>
                <c:pt idx="40">
                  <c:v>6.1981298394095052</c:v>
                </c:pt>
                <c:pt idx="41">
                  <c:v>8.392758727769678</c:v>
                </c:pt>
                <c:pt idx="42">
                  <c:v>7.9827346278317224</c:v>
                </c:pt>
                <c:pt idx="43">
                  <c:v>5.7082449414246783</c:v>
                </c:pt>
                <c:pt idx="44">
                  <c:v>5.3302446414672078</c:v>
                </c:pt>
                <c:pt idx="45">
                  <c:v>3.8262447456353987</c:v>
                </c:pt>
                <c:pt idx="46">
                  <c:v>3.1951649947634886</c:v>
                </c:pt>
                <c:pt idx="47">
                  <c:v>3.9698098015095162</c:v>
                </c:pt>
                <c:pt idx="48">
                  <c:v>3.5229327841783897</c:v>
                </c:pt>
                <c:pt idx="49">
                  <c:v>2.6089357185273387</c:v>
                </c:pt>
                <c:pt idx="50">
                  <c:v>2.5480947881503013</c:v>
                </c:pt>
                <c:pt idx="51">
                  <c:v>2.5619935940060845</c:v>
                </c:pt>
                <c:pt idx="52">
                  <c:v>2.6181410804063221</c:v>
                </c:pt>
                <c:pt idx="53">
                  <c:v>2.6988333937095987</c:v>
                </c:pt>
                <c:pt idx="54">
                  <c:v>2.7494632211432446</c:v>
                </c:pt>
                <c:pt idx="55">
                  <c:v>2.7736636084818134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B9C-474D-B836-BD9C9C069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tickMarkSkip val="4"/>
        <c:noMultiLvlLbl val="0"/>
      </c:catAx>
      <c:valAx>
        <c:axId val="2749504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0700936810369828E-2"/>
          <c:y val="0.15273473785847394"/>
          <c:w val="0.46109497149380174"/>
          <c:h val="0.2377332383071480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476607796906747E-2"/>
          <c:y val="0.14725688325786473"/>
          <c:w val="0.87424078769814806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Data'!$C$3</c:f>
              <c:strCache>
                <c:ptCount val="1"/>
                <c:pt idx="0">
                  <c:v>Post-tax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Data'!$A$16:$A$51</c:f>
              <c:numCache>
                <c:formatCode>General</c:formatCode>
                <c:ptCount val="3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  <c:pt idx="28">
                  <c:v>2025</c:v>
                </c:pt>
                <c:pt idx="32">
                  <c:v>2026</c:v>
                </c:pt>
              </c:numCache>
            </c:numRef>
          </c:cat>
          <c:val>
            <c:numRef>
              <c:f>'Chart Data'!$C$16:$C$51</c:f>
              <c:numCache>
                <c:formatCode>0.0</c:formatCode>
                <c:ptCount val="36"/>
                <c:pt idx="0">
                  <c:v>99.998492851307603</c:v>
                </c:pt>
                <c:pt idx="1">
                  <c:v>98.256226682605913</c:v>
                </c:pt>
                <c:pt idx="2">
                  <c:v>98.813666261789393</c:v>
                </c:pt>
                <c:pt idx="3">
                  <c:v>98.824912414586933</c:v>
                </c:pt>
                <c:pt idx="4">
                  <c:v>99.251344229817747</c:v>
                </c:pt>
                <c:pt idx="5">
                  <c:v>100.7925740779386</c:v>
                </c:pt>
                <c:pt idx="6">
                  <c:v>99.983057088985476</c:v>
                </c:pt>
                <c:pt idx="7">
                  <c:v>100.11056701573816</c:v>
                </c:pt>
                <c:pt idx="8">
                  <c:v>100.24812244012583</c:v>
                </c:pt>
                <c:pt idx="9">
                  <c:v>98.559417242379794</c:v>
                </c:pt>
                <c:pt idx="10">
                  <c:v>100.86789233047182</c:v>
                </c:pt>
                <c:pt idx="11">
                  <c:v>100.08215850034463</c:v>
                </c:pt>
                <c:pt idx="12">
                  <c:v>99.311079759878652</c:v>
                </c:pt>
                <c:pt idx="13">
                  <c:v>101.01901044246134</c:v>
                </c:pt>
                <c:pt idx="14">
                  <c:v>100.33016961830734</c:v>
                </c:pt>
                <c:pt idx="15">
                  <c:v>99.350928047264048</c:v>
                </c:pt>
                <c:pt idx="16">
                  <c:v>99.076225124366033</c:v>
                </c:pt>
                <c:pt idx="17">
                  <c:v>96.708642073087987</c:v>
                </c:pt>
                <c:pt idx="18">
                  <c:v>94.797060923789559</c:v>
                </c:pt>
                <c:pt idx="19">
                  <c:v>94.560288490026153</c:v>
                </c:pt>
                <c:pt idx="20">
                  <c:v>92.904161570841765</c:v>
                </c:pt>
                <c:pt idx="21">
                  <c:v>96.375967162457201</c:v>
                </c:pt>
                <c:pt idx="22">
                  <c:v>96.815647134127161</c:v>
                </c:pt>
                <c:pt idx="23">
                  <c:v>96.138259590504617</c:v>
                </c:pt>
                <c:pt idx="24">
                  <c:v>96.471264910544221</c:v>
                </c:pt>
                <c:pt idx="25">
                  <c:v>97.191754246797061</c:v>
                </c:pt>
                <c:pt idx="26">
                  <c:v>97.323513410721134</c:v>
                </c:pt>
                <c:pt idx="27">
                  <c:v>97.216817569281972</c:v>
                </c:pt>
                <c:pt idx="28">
                  <c:v>96.922211476870203</c:v>
                </c:pt>
                <c:pt idx="29">
                  <c:v>96.847996095152041</c:v>
                </c:pt>
                <c:pt idx="30">
                  <c:v>96.739623912150577</c:v>
                </c:pt>
                <c:pt idx="31">
                  <c:v>96.621635602597678</c:v>
                </c:pt>
                <c:pt idx="32">
                  <c:v>96.479464360655868</c:v>
                </c:pt>
                <c:pt idx="33">
                  <c:v>96.465522911005777</c:v>
                </c:pt>
                <c:pt idx="34">
                  <c:v>96.412526293789753</c:v>
                </c:pt>
                <c:pt idx="35">
                  <c:v>96.334140869075995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30-4969-937E-1523F5252CEA}"/>
            </c:ext>
          </c:extLst>
        </c:ser>
        <c:ser>
          <c:idx val="1"/>
          <c:order val="1"/>
          <c:tx>
            <c:strRef>
              <c:f>'Chart Data'!$D$3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Data'!$A$16:$A$51</c:f>
              <c:numCache>
                <c:formatCode>General</c:formatCode>
                <c:ptCount val="3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  <c:pt idx="28">
                  <c:v>2025</c:v>
                </c:pt>
                <c:pt idx="32">
                  <c:v>2026</c:v>
                </c:pt>
              </c:numCache>
            </c:numRef>
          </c:cat>
          <c:val>
            <c:numRef>
              <c:f>'Chart Data'!$D$16:$D$51</c:f>
              <c:numCache>
                <c:formatCode>General</c:formatCode>
                <c:ptCount val="3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30-4969-937E-1523F5252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in val="93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0143215148953844E-2"/>
          <c:y val="0.14725688325786473"/>
          <c:w val="0.61799237807138518"/>
          <c:h val="0.713187006015182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Data'!$N$3</c:f>
              <c:strCache>
                <c:ptCount val="1"/>
                <c:pt idx="0">
                  <c:v>Price inflation</c:v>
                </c:pt>
              </c:strCache>
            </c:strRef>
          </c:tx>
          <c:spPr>
            <a:solidFill>
              <a:srgbClr val="BD1B21"/>
            </a:solidFill>
            <a:ln w="3175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Data'!$M$7:$M$9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'Chart Data'!$N$7:$N$9</c:f>
              <c:numCache>
                <c:formatCode>0.0</c:formatCode>
                <c:ptCount val="3"/>
                <c:pt idx="0">
                  <c:v>-7.8364037475924908</c:v>
                </c:pt>
                <c:pt idx="1">
                  <c:v>-7.0184088508854492</c:v>
                </c:pt>
                <c:pt idx="2">
                  <c:v>-2.1814375618578019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Data'!$O$3</c:f>
              <c:strCache>
                <c:ptCount val="1"/>
                <c:pt idx="0">
                  <c:v>Income tax &amp; NICs</c:v>
                </c:pt>
              </c:strCache>
            </c:strRef>
          </c:tx>
          <c:spPr>
            <a:solidFill>
              <a:srgbClr val="003469"/>
            </a:solidFill>
            <a:ln w="3175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Data'!$M$7:$M$9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'Chart Data'!$O$7:$O$9</c:f>
              <c:numCache>
                <c:formatCode>0.0</c:formatCode>
                <c:ptCount val="3"/>
                <c:pt idx="0">
                  <c:v>-2.1384825413285471</c:v>
                </c:pt>
                <c:pt idx="1">
                  <c:v>-1.7420285933904658</c:v>
                </c:pt>
                <c:pt idx="2">
                  <c:v>-1.0384225686411848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Data'!$P$3</c:f>
              <c:strCache>
                <c:ptCount val="1"/>
                <c:pt idx="0">
                  <c:v>Other income</c:v>
                </c:pt>
              </c:strCache>
            </c:strRef>
          </c:tx>
          <c:spPr>
            <a:solidFill>
              <a:srgbClr val="D1A21E"/>
            </a:solidFill>
            <a:ln w="3175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Data'!$M$7:$M$9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'Chart Data'!$P$7:$P$9</c:f>
              <c:numCache>
                <c:formatCode>0.0</c:formatCode>
                <c:ptCount val="3"/>
                <c:pt idx="0">
                  <c:v>2.7025915997610461</c:v>
                </c:pt>
                <c:pt idx="1">
                  <c:v>3.991116386557501</c:v>
                </c:pt>
                <c:pt idx="2">
                  <c:v>3.4566164564726387E-2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Data'!$Q$3</c:f>
              <c:strCache>
                <c:ptCount val="1"/>
                <c:pt idx="0">
                  <c:v>Employment growth</c:v>
                </c:pt>
              </c:strCache>
            </c:strRef>
          </c:tx>
          <c:spPr>
            <a:solidFill>
              <a:srgbClr val="7B7C77"/>
            </a:solidFill>
            <a:ln w="3175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Data'!$M$7:$M$9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'Chart Data'!$Q$7:$Q$9</c:f>
              <c:numCache>
                <c:formatCode>0.0</c:formatCode>
                <c:ptCount val="3"/>
                <c:pt idx="0">
                  <c:v>1.0550845388301076</c:v>
                </c:pt>
                <c:pt idx="1">
                  <c:v>0.64331080727190137</c:v>
                </c:pt>
                <c:pt idx="2">
                  <c:v>0.1686395579944362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ser>
          <c:idx val="4"/>
          <c:order val="4"/>
          <c:tx>
            <c:strRef>
              <c:f>'Chart Data'!$R$3</c:f>
              <c:strCache>
                <c:ptCount val="1"/>
                <c:pt idx="0">
                  <c:v>Wage inflation</c:v>
                </c:pt>
              </c:strCache>
            </c:strRef>
          </c:tx>
          <c:spPr>
            <a:solidFill>
              <a:srgbClr val="965793"/>
            </a:solidFill>
            <a:ln w="3175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Data'!$M$7:$M$9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'Chart Data'!$R$7:$R$9</c:f>
              <c:numCache>
                <c:formatCode>0.0</c:formatCode>
                <c:ptCount val="3"/>
                <c:pt idx="0">
                  <c:v>3.5800513399779437</c:v>
                </c:pt>
                <c:pt idx="1">
                  <c:v>4.1668697513920536</c:v>
                </c:pt>
                <c:pt idx="2">
                  <c:v>2.4975658446369451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ser>
          <c:idx val="5"/>
          <c:order val="5"/>
          <c:tx>
            <c:strRef>
              <c:f>'Chart Data'!$S$3</c:f>
              <c:strCache>
                <c:ptCount val="1"/>
                <c:pt idx="0">
                  <c:v>Social benefits</c:v>
                </c:pt>
              </c:strCache>
            </c:strRef>
          </c:tx>
          <c:spPr>
            <a:solidFill>
              <a:srgbClr val="00ADDC"/>
            </a:solidFill>
            <a:ln w="3175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Data'!$M$7:$M$9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'Chart Data'!$S$7:$S$9</c:f>
              <c:numCache>
                <c:formatCode>0.0</c:formatCode>
                <c:ptCount val="3"/>
                <c:pt idx="0">
                  <c:v>1.1564633518076619</c:v>
                </c:pt>
                <c:pt idx="1">
                  <c:v>1.78382334513867</c:v>
                </c:pt>
                <c:pt idx="2">
                  <c:v>1.6195751597861754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6"/>
          <c:order val="6"/>
          <c:tx>
            <c:strRef>
              <c:f>'Chart Data'!$T$3</c:f>
              <c:strCache>
                <c:ptCount val="1"/>
                <c:pt idx="0">
                  <c:v>Real income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495057"/>
              </a:solidFill>
              <a:ln w="12700">
                <a:solidFill>
                  <a:srgbClr val="495057"/>
                </a:solidFill>
              </a:ln>
            </c:spPr>
          </c:marker>
          <c:cat>
            <c:numRef>
              <c:f>'Chart Data'!$M$7:$M$9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'Chart Data'!$T$7:$T$9</c:f>
              <c:numCache>
                <c:formatCode>0.0</c:formatCode>
                <c:ptCount val="3"/>
                <c:pt idx="0">
                  <c:v>-1.4806954585442786</c:v>
                </c:pt>
                <c:pt idx="1">
                  <c:v>1.8246828460842104</c:v>
                </c:pt>
                <c:pt idx="2">
                  <c:v>1.1004865964832964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  <c:max val="12"/>
          <c:min val="-1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  <c:majorUnit val="2"/>
      </c:valAx>
      <c:spPr>
        <a:noFill/>
      </c:spPr>
    </c:plotArea>
    <c:legend>
      <c:legendPos val="r"/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3A0338-DF77-4F45-8EDA-7348F179BFAE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D15809-67D9-4DF2-899C-A44250A04B6A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205B59-9BCD-413C-B0CA-B0C0935D899F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95E89C-DCF5-4A64-8FD5-C52CD0065F07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8017BE-A724-4448-AA74-399BA86CDA5A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C43530-3B00-4187-BAED-D0BFB69DDBAA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23E19C-C104-431B-B6B5-AA57F3112372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80B88A-BDC3-4A3A-A216-D196D7206D8C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53FE92-993B-4C75-B0B0-D96D8AE1928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AF3F4-4C06-A1B5-A78A-E7D0030DD5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0.96109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A1DEF5-F447-7771-A606-C0010713E50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Real wages per employee*</a:t>
          </a:r>
        </a:p>
      </cdr:txBody>
    </cdr:sp>
  </cdr:relSizeAnchor>
  <cdr:relSizeAnchor xmlns:cdr="http://schemas.openxmlformats.org/drawingml/2006/chartDrawing">
    <cdr:from>
      <cdr:x>0.00546</cdr:x>
      <cdr:y>0.94903</cdr:y>
    </cdr:from>
    <cdr:to>
      <cdr:x>0.96109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DFE6B7C-7B7A-F316-D4E9-DDFB3160D70C}"/>
            </a:ext>
          </a:extLst>
        </cdr:cNvPr>
        <cdr:cNvSpPr/>
      </cdr:nvSpPr>
      <cdr:spPr>
        <a:xfrm xmlns:a="http://schemas.openxmlformats.org/drawingml/2006/main">
          <a:off x="45981" y="6373091"/>
          <a:ext cx="8046678" cy="3422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0.73425</cdr:x>
      <cdr:y>0.16267</cdr:y>
    </cdr:from>
    <cdr:to>
      <cdr:x>0.73425</cdr:x>
      <cdr:y>0.90411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2666AF30-6CD8-9DA2-107A-278CAE71F155}"/>
            </a:ext>
          </a:extLst>
        </cdr:cNvPr>
        <cdr:cNvCxnSpPr/>
      </cdr:nvCxnSpPr>
      <cdr:spPr>
        <a:xfrm xmlns:a="http://schemas.openxmlformats.org/drawingml/2006/main">
          <a:off x="6188364" y="1096818"/>
          <a:ext cx="0" cy="4999182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0.78962</cdr:x>
      <cdr:y>0.18659</cdr:y>
    </cdr:from>
    <cdr:to>
      <cdr:x>0.94045</cdr:x>
      <cdr:y>0.26602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5A129CA-544A-78E2-B716-7B368E4775AE}"/>
            </a:ext>
          </a:extLst>
        </cdr:cNvPr>
        <cdr:cNvSpPr txBox="1"/>
      </cdr:nvSpPr>
      <cdr:spPr>
        <a:xfrm xmlns:a="http://schemas.openxmlformats.org/drawingml/2006/main">
          <a:off x="6655040" y="1258104"/>
          <a:ext cx="1271223" cy="5355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0.0894</cdr:y>
    </cdr:from>
    <cdr:to>
      <cdr:x>1</cdr:x>
      <cdr:y>0.15559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25D96B2-C3F1-96F6-1BDB-090C1B98B35C}"/>
            </a:ext>
          </a:extLst>
        </cdr:cNvPr>
        <cdr:cNvSpPr txBox="1"/>
      </cdr:nvSpPr>
      <cdr:spPr>
        <a:xfrm xmlns:a="http://schemas.openxmlformats.org/drawingml/2006/main">
          <a:off x="0" y="600363"/>
          <a:ext cx="8420274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2021 = 100</a:t>
          </a:r>
        </a:p>
      </cdr:txBody>
    </cdr:sp>
  </cdr:relSizeAnchor>
  <cdr:relSizeAnchor xmlns:cdr="http://schemas.openxmlformats.org/drawingml/2006/chartDrawing">
    <cdr:from>
      <cdr:x>0.56301</cdr:x>
      <cdr:y>0</cdr:y>
    </cdr:from>
    <cdr:to>
      <cdr:x>1</cdr:x>
      <cdr:y>0.14897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C014ABB-E7B7-32DB-50F4-894E9C55BC28}"/>
            </a:ext>
          </a:extLst>
        </cdr:cNvPr>
        <cdr:cNvSpPr txBox="1"/>
      </cdr:nvSpPr>
      <cdr:spPr>
        <a:xfrm xmlns:a="http://schemas.openxmlformats.org/drawingml/2006/main">
          <a:off x="4745183" y="0"/>
          <a:ext cx="3682999" cy="10044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 Gross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</a:rPr>
            <a:t> salaries per employee, less household consumption deflator</a:t>
          </a:r>
          <a:endParaRPr lang="en-GB" sz="18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4F888-DB61-E4AB-530F-B00DFA2471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0.00364</cdr:x>
      <cdr:y>0.00558</cdr:y>
    </cdr:from>
    <cdr:to>
      <cdr:x>0.96009</cdr:x>
      <cdr:y>0.08766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6E8AF72-B428-8ADE-29D3-FF257272ACC3}"/>
            </a:ext>
          </a:extLst>
        </cdr:cNvPr>
        <cdr:cNvSpPr txBox="1"/>
      </cdr:nvSpPr>
      <cdr:spPr>
        <a:xfrm xmlns:a="http://schemas.openxmlformats.org/drawingml/2006/main">
          <a:off x="30649" y="37489"/>
          <a:ext cx="8042922" cy="5509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Personal sector debt interest receipts &amp; payments</a:t>
          </a:r>
        </a:p>
      </cdr:txBody>
    </cdr:sp>
  </cdr:relSizeAnchor>
  <cdr:relSizeAnchor xmlns:cdr="http://schemas.openxmlformats.org/drawingml/2006/chartDrawing">
    <cdr:from>
      <cdr:x>0</cdr:x>
      <cdr:y>0.94709</cdr:y>
    </cdr:from>
    <cdr:to>
      <cdr:x>0.63781</cdr:x>
      <cdr:y>0.98912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CBC76ED-A2E1-55CD-BC49-F11EB800EBC7}"/>
            </a:ext>
          </a:extLst>
        </cdr:cNvPr>
        <cdr:cNvSpPr/>
      </cdr:nvSpPr>
      <cdr:spPr>
        <a:xfrm xmlns:a="http://schemas.openxmlformats.org/drawingml/2006/main">
          <a:off x="0" y="9555654"/>
          <a:ext cx="8062727" cy="4240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0.06792</cdr:y>
    </cdr:from>
    <cdr:to>
      <cdr:x>0.70326</cdr:x>
      <cdr:y>0.14164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B7C3006-B306-ED0C-F62B-F7CD73BCA62D}"/>
            </a:ext>
          </a:extLst>
        </cdr:cNvPr>
        <cdr:cNvSpPr txBox="1"/>
      </cdr:nvSpPr>
      <cdr:spPr>
        <a:xfrm xmlns:a="http://schemas.openxmlformats.org/drawingml/2006/main">
          <a:off x="0" y="455917"/>
          <a:ext cx="5913829" cy="4949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disposable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income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0.85483</cdr:x>
      <cdr:y>0.12213</cdr:y>
    </cdr:from>
    <cdr:to>
      <cdr:x>0.85483</cdr:x>
      <cdr:y>0.8555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1421D47D-5581-46EE-C67B-16EE93965EC7}"/>
            </a:ext>
          </a:extLst>
        </cdr:cNvPr>
        <cdr:cNvCxnSpPr/>
      </cdr:nvCxnSpPr>
      <cdr:spPr>
        <a:xfrm xmlns:a="http://schemas.openxmlformats.org/drawingml/2006/main">
          <a:off x="7188482" y="819819"/>
          <a:ext cx="0" cy="4923025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EF610-25A9-1402-8FF0-A79CF3F4DA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0.96109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565AAD-2FCB-69ED-A143-35F50F22DA9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consumption growth</a:t>
          </a:r>
        </a:p>
      </cdr:txBody>
    </cdr:sp>
  </cdr:relSizeAnchor>
  <cdr:relSizeAnchor xmlns:cdr="http://schemas.openxmlformats.org/drawingml/2006/chartDrawing">
    <cdr:from>
      <cdr:x>0.00546</cdr:x>
      <cdr:y>0.9483</cdr:y>
    </cdr:from>
    <cdr:to>
      <cdr:x>0.96109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9E124A5-CFBA-37C8-7803-22116DAC0813}"/>
            </a:ext>
          </a:extLst>
        </cdr:cNvPr>
        <cdr:cNvSpPr/>
      </cdr:nvSpPr>
      <cdr:spPr>
        <a:xfrm xmlns:a="http://schemas.openxmlformats.org/drawingml/2006/main">
          <a:off x="45981" y="6368143"/>
          <a:ext cx="8046678" cy="3471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0.82879</cdr:x>
      <cdr:y>0.13373</cdr:y>
    </cdr:from>
    <cdr:to>
      <cdr:x>0.82955</cdr:x>
      <cdr:y>0.82888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981E4F8-5158-FFB1-E3B6-96B97CEA92E7}"/>
            </a:ext>
          </a:extLst>
        </cdr:cNvPr>
        <cdr:cNvCxnSpPr/>
      </cdr:nvCxnSpPr>
      <cdr:spPr>
        <a:xfrm xmlns:a="http://schemas.openxmlformats.org/drawingml/2006/main" flipH="1">
          <a:off x="6978651" y="898072"/>
          <a:ext cx="6349" cy="466815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0.8481</cdr:x>
      <cdr:y>0.17345</cdr:y>
    </cdr:from>
    <cdr:to>
      <cdr:x>0.99892</cdr:x>
      <cdr:y>0.25288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A912A1D-8B2B-F687-EE0A-3449540850B5}"/>
            </a:ext>
          </a:extLst>
        </cdr:cNvPr>
        <cdr:cNvSpPr txBox="1"/>
      </cdr:nvSpPr>
      <cdr:spPr>
        <a:xfrm xmlns:a="http://schemas.openxmlformats.org/drawingml/2006/main">
          <a:off x="7141203" y="1164771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0.06754</cdr:y>
    </cdr:from>
    <cdr:to>
      <cdr:x>1</cdr:x>
      <cdr:y>0.1186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616CFA5-90C2-8618-B979-0EF73A461FF0}"/>
            </a:ext>
          </a:extLst>
        </cdr:cNvPr>
        <cdr:cNvSpPr txBox="1"/>
      </cdr:nvSpPr>
      <cdr:spPr>
        <a:xfrm xmlns:a="http://schemas.openxmlformats.org/drawingml/2006/main">
          <a:off x="0" y="453572"/>
          <a:ext cx="8420274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34D57C-B0DB-97C1-B314-67BBB248BD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253D917-8FE8-BBA6-4655-EED9E630B8F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real household income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B5CBD80-531A-42AF-0899-9814D2EE4A14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0.33302</cdr:x>
      <cdr:y>0.15672</cdr:y>
    </cdr:from>
    <cdr:to>
      <cdr:x>0.33302</cdr:x>
      <cdr:y>0.87409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9030F94-8F5D-2225-5558-DA4FAB3B48B2}"/>
            </a:ext>
          </a:extLst>
        </cdr:cNvPr>
        <cdr:cNvCxnSpPr/>
      </cdr:nvCxnSpPr>
      <cdr:spPr>
        <a:xfrm xmlns:a="http://schemas.openxmlformats.org/drawingml/2006/main">
          <a:off x="2806725" y="1056713"/>
          <a:ext cx="0" cy="48369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0.37518</cdr:x>
      <cdr:y>0.73094</cdr:y>
    </cdr:from>
    <cdr:to>
      <cdr:x>0.52591</cdr:x>
      <cdr:y>0.81019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5540EB3-3A2C-F4E8-0E4D-2C8CD7EBB8A4}"/>
            </a:ext>
          </a:extLst>
        </cdr:cNvPr>
        <cdr:cNvSpPr txBox="1"/>
      </cdr:nvSpPr>
      <cdr:spPr>
        <a:xfrm xmlns:a="http://schemas.openxmlformats.org/drawingml/2006/main">
          <a:off x="3162119" y="4928420"/>
          <a:ext cx="1270380" cy="5343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0.00452</cdr:x>
      <cdr:y>0.0698</cdr:y>
    </cdr:from>
    <cdr:to>
      <cdr:x>0.17062</cdr:x>
      <cdr:y>0.12074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0D5DE50-53C5-A330-4E38-D4DDF6571EB1}"/>
            </a:ext>
          </a:extLst>
        </cdr:cNvPr>
        <cdr:cNvSpPr txBox="1"/>
      </cdr:nvSpPr>
      <cdr:spPr>
        <a:xfrm xmlns:a="http://schemas.openxmlformats.org/drawingml/2006/main">
          <a:off x="38100" y="469375"/>
          <a:ext cx="140017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0.33176</cdr:x>
      <cdr:y>0.15769</cdr:y>
    </cdr:from>
    <cdr:to>
      <cdr:x>0.61387</cdr:x>
      <cdr:y>0.27707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715187C6-8023-F66E-3520-D0329EF9B5E3}"/>
            </a:ext>
          </a:extLst>
        </cdr:cNvPr>
        <cdr:cNvSpPr txBox="1"/>
      </cdr:nvSpPr>
      <cdr:spPr>
        <a:xfrm xmlns:a="http://schemas.openxmlformats.org/drawingml/2006/main">
          <a:off x="2796159" y="1063230"/>
          <a:ext cx="2377675" cy="804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Energy support payments</a:t>
          </a:r>
        </a:p>
      </cdr:txBody>
    </cdr:sp>
  </cdr:relSizeAnchor>
  <cdr:relSizeAnchor xmlns:cdr="http://schemas.openxmlformats.org/drawingml/2006/chartDrawing">
    <cdr:from>
      <cdr:x>0.31507</cdr:x>
      <cdr:y>0.22466</cdr:y>
    </cdr:from>
    <cdr:to>
      <cdr:x>0.39843</cdr:x>
      <cdr:y>0.28253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90D483FC-4229-EDB0-DE1C-9140638B94E6}"/>
            </a:ext>
          </a:extLst>
        </cdr:cNvPr>
        <cdr:cNvCxnSpPr/>
      </cdr:nvCxnSpPr>
      <cdr:spPr>
        <a:xfrm xmlns:a="http://schemas.openxmlformats.org/drawingml/2006/main" flipH="1">
          <a:off x="2655455" y="1514799"/>
          <a:ext cx="702603" cy="390201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0.18356</cdr:x>
      <cdr:y>0.22089</cdr:y>
    </cdr:from>
    <cdr:to>
      <cdr:x>0.4</cdr:x>
      <cdr:y>0.32363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69A8CF51-1529-C457-5016-CCE3984C1EAA}"/>
            </a:ext>
          </a:extLst>
        </cdr:cNvPr>
        <cdr:cNvCxnSpPr/>
      </cdr:nvCxnSpPr>
      <cdr:spPr>
        <a:xfrm xmlns:a="http://schemas.openxmlformats.org/drawingml/2006/main" flipH="1">
          <a:off x="1547091" y="1489364"/>
          <a:ext cx="1824182" cy="692727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692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E5F2A9-1D99-D80E-087E-B4BFDD579E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0.00364</cdr:x>
      <cdr:y>0.00558</cdr:y>
    </cdr:from>
    <cdr:to>
      <cdr:x>0.75189</cdr:x>
      <cdr:y>0.06143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041024-747A-A9F4-80B1-A5DF76AC22B3}"/>
            </a:ext>
          </a:extLst>
        </cdr:cNvPr>
        <cdr:cNvSpPr txBox="1"/>
      </cdr:nvSpPr>
      <cdr:spPr>
        <a:xfrm xmlns:a="http://schemas.openxmlformats.org/drawingml/2006/main">
          <a:off x="45973" y="56233"/>
          <a:ext cx="9438206" cy="562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Real income growth decomposition</a:t>
          </a:r>
        </a:p>
      </cdr:txBody>
    </cdr:sp>
  </cdr:relSizeAnchor>
  <cdr:relSizeAnchor xmlns:cdr="http://schemas.openxmlformats.org/drawingml/2006/chartDrawing">
    <cdr:from>
      <cdr:x>0</cdr:x>
      <cdr:y>0.95798</cdr:y>
    </cdr:from>
    <cdr:to>
      <cdr:x>0.63781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EF889-8878-0BAC-1659-33825FCF3C29}"/>
            </a:ext>
          </a:extLst>
        </cdr:cNvPr>
        <cdr:cNvSpPr/>
      </cdr:nvSpPr>
      <cdr:spPr>
        <a:xfrm xmlns:a="http://schemas.openxmlformats.org/drawingml/2006/main">
          <a:off x="0" y="9665441"/>
          <a:ext cx="8062727" cy="4240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0.63862</cdr:x>
      <cdr:y>0.12173</cdr:y>
    </cdr:from>
    <cdr:to>
      <cdr:x>0.63946</cdr:x>
      <cdr:y>0.84189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C7F1A933-6D15-2D05-8422-E8AB8788ECCC}"/>
            </a:ext>
          </a:extLst>
        </cdr:cNvPr>
        <cdr:cNvCxnSpPr/>
      </cdr:nvCxnSpPr>
      <cdr:spPr>
        <a:xfrm xmlns:a="http://schemas.openxmlformats.org/drawingml/2006/main" flipH="1">
          <a:off x="8055428" y="1225735"/>
          <a:ext cx="10612" cy="725151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0.65653</cdr:x>
      <cdr:y>0.63057</cdr:y>
    </cdr:from>
    <cdr:to>
      <cdr:x>0.75699</cdr:x>
      <cdr:y>0.68344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7F5BD78-98DC-EFAF-4D8C-13D588792920}"/>
            </a:ext>
          </a:extLst>
        </cdr:cNvPr>
        <cdr:cNvSpPr txBox="1"/>
      </cdr:nvSpPr>
      <cdr:spPr>
        <a:xfrm xmlns:a="http://schemas.openxmlformats.org/drawingml/2006/main">
          <a:off x="8281350" y="6349417"/>
          <a:ext cx="1267249" cy="5323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0.00402</cdr:x>
      <cdr:y>0.05035</cdr:y>
    </cdr:from>
    <cdr:to>
      <cdr:x>0.70727</cdr:x>
      <cdr:y>0.08434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40C03AC-9E7D-3EB4-9B83-5FDD70685D87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57151</xdr:colOff>
      <xdr:row>48</xdr:row>
      <xdr:rowOff>57151</xdr:rowOff>
    </xdr:from>
    <xdr:to>
      <xdr:col>24</xdr:col>
      <xdr:colOff>330201</xdr:colOff>
      <xdr:row>63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28E31-EBD0-18F1-68B5-D3597517D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4.16334E-17</cdr:x>
      <cdr:y>0.90267</cdr:y>
    </cdr:from>
    <cdr:to>
      <cdr:x>1</cdr:x>
      <cdr:y>0.96756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9AEB8C6-EBD9-60B1-24FD-B81D8945D5E5}"/>
            </a:ext>
          </a:extLst>
        </cdr:cNvPr>
        <cdr:cNvSpPr/>
      </cdr:nvSpPr>
      <cdr:spPr>
        <a:xfrm xmlns:a="http://schemas.openxmlformats.org/drawingml/2006/main">
          <a:off x="50800" y="2473325"/>
          <a:ext cx="4575175" cy="177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Economics/Haver Analytics</a:t>
          </a:r>
        </a:p>
      </cdr:txBody>
    </cdr:sp>
  </cdr:relSizeAnchor>
  <cdr:relSizeAnchor xmlns:cdr="http://schemas.openxmlformats.org/drawingml/2006/chartDrawing">
    <cdr:from>
      <cdr:x>0.17103</cdr:x>
      <cdr:y>0.46246</cdr:y>
    </cdr:from>
    <cdr:to>
      <cdr:x>0.32589</cdr:x>
      <cdr:y>0.55781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9D0DBDD-DA6F-965E-2213-ED7E970462BE}"/>
            </a:ext>
          </a:extLst>
        </cdr:cNvPr>
        <cdr:cNvSpPr/>
      </cdr:nvSpPr>
      <cdr:spPr>
        <a:xfrm xmlns:a="http://schemas.openxmlformats.org/drawingml/2006/main">
          <a:off x="704850" y="1231900"/>
          <a:ext cx="638174" cy="2539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Q2 2022</a:t>
          </a:r>
        </a:p>
      </cdr:txBody>
    </cdr:sp>
  </cdr:relSizeAnchor>
  <cdr:relSizeAnchor xmlns:cdr="http://schemas.openxmlformats.org/drawingml/2006/chartDrawing">
    <cdr:from>
      <cdr:x>0.29892</cdr:x>
      <cdr:y>0.54112</cdr:y>
    </cdr:from>
    <cdr:to>
      <cdr:x>0.45377</cdr:x>
      <cdr:y>0.63647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A58A7B1-8E32-0E90-6209-56B826904980}"/>
            </a:ext>
          </a:extLst>
        </cdr:cNvPr>
        <cdr:cNvSpPr/>
      </cdr:nvSpPr>
      <cdr:spPr>
        <a:xfrm xmlns:a="http://schemas.openxmlformats.org/drawingml/2006/main">
          <a:off x="1231900" y="1441450"/>
          <a:ext cx="638174" cy="2539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Q3 2022</a:t>
          </a:r>
        </a:p>
      </cdr:txBody>
    </cdr:sp>
  </cdr:relSizeAnchor>
  <cdr:relSizeAnchor xmlns:cdr="http://schemas.openxmlformats.org/drawingml/2006/chartDrawing">
    <cdr:from>
      <cdr:x>0.36826</cdr:x>
      <cdr:y>0.17282</cdr:y>
    </cdr:from>
    <cdr:to>
      <cdr:x>0.52311</cdr:x>
      <cdr:y>0.26818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BDE27F2B-F785-2551-669B-E5BD9A3AECE4}"/>
            </a:ext>
          </a:extLst>
        </cdr:cNvPr>
        <cdr:cNvSpPr/>
      </cdr:nvSpPr>
      <cdr:spPr>
        <a:xfrm xmlns:a="http://schemas.openxmlformats.org/drawingml/2006/main">
          <a:off x="1517650" y="460375"/>
          <a:ext cx="638174" cy="2539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Q4 2022</a:t>
          </a:r>
        </a:p>
      </cdr:txBody>
    </cdr:sp>
  </cdr:relSizeAnchor>
  <cdr:relSizeAnchor xmlns:cdr="http://schemas.openxmlformats.org/drawingml/2006/chartDrawing">
    <cdr:from>
      <cdr:x>0.52272</cdr:x>
      <cdr:y>0.27294</cdr:y>
    </cdr:from>
    <cdr:to>
      <cdr:x>0.67757</cdr:x>
      <cdr:y>0.3683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A538C50B-8DA2-0472-F1F8-AAD23806E6F5}"/>
            </a:ext>
          </a:extLst>
        </cdr:cNvPr>
        <cdr:cNvSpPr/>
      </cdr:nvSpPr>
      <cdr:spPr>
        <a:xfrm xmlns:a="http://schemas.openxmlformats.org/drawingml/2006/main">
          <a:off x="2155864" y="727075"/>
          <a:ext cx="638666" cy="2539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Q1 2023</a:t>
          </a:r>
        </a:p>
      </cdr:txBody>
    </cdr:sp>
  </cdr:relSizeAnchor>
  <cdr:relSizeAnchor xmlns:cdr="http://schemas.openxmlformats.org/drawingml/2006/chartDrawing">
    <cdr:from>
      <cdr:x>0.59199</cdr:x>
      <cdr:y>0.49821</cdr:y>
    </cdr:from>
    <cdr:to>
      <cdr:x>0.74685</cdr:x>
      <cdr:y>0.59356</cdr:y>
    </cdr:to>
    <cdr:sp macro="" textlink="">
      <cdr:nvSpPr>
        <cdr:cNvPr id="7" name="Rectangle 6">
          <a:extLst xmlns:a="http://schemas.openxmlformats.org/drawingml/2006/main">
            <a:ext uri="{FF2B5EF4-FFF2-40B4-BE49-F238E27FC236}">
              <a16:creationId xmlns:a16="http://schemas.microsoft.com/office/drawing/2014/main" id="{272514A7-EA1C-3658-FC2B-0D4AEB5C8E6D}"/>
            </a:ext>
          </a:extLst>
        </cdr:cNvPr>
        <cdr:cNvSpPr/>
      </cdr:nvSpPr>
      <cdr:spPr>
        <a:xfrm xmlns:a="http://schemas.openxmlformats.org/drawingml/2006/main">
          <a:off x="2441575" y="1327150"/>
          <a:ext cx="638666" cy="2539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Q2 2023</a:t>
          </a:r>
        </a:p>
      </cdr:txBody>
    </cdr:sp>
  </cdr:relSizeAnchor>
  <cdr:relSizeAnchor xmlns:cdr="http://schemas.openxmlformats.org/drawingml/2006/chartDrawing">
    <cdr:from>
      <cdr:x>0.71209</cdr:x>
      <cdr:y>0.35876</cdr:y>
    </cdr:from>
    <cdr:to>
      <cdr:x>0.86694</cdr:x>
      <cdr:y>0.45411</cdr:y>
    </cdr:to>
    <cdr:sp macro="" textlink="">
      <cdr:nvSpPr>
        <cdr:cNvPr id="8" name="Rectangle 7">
          <a:extLst xmlns:a="http://schemas.openxmlformats.org/drawingml/2006/main">
            <a:ext uri="{FF2B5EF4-FFF2-40B4-BE49-F238E27FC236}">
              <a16:creationId xmlns:a16="http://schemas.microsoft.com/office/drawing/2014/main" id="{FE80F43E-6823-DB6D-CBF7-352E32C195B3}"/>
            </a:ext>
          </a:extLst>
        </cdr:cNvPr>
        <cdr:cNvSpPr/>
      </cdr:nvSpPr>
      <cdr:spPr>
        <a:xfrm xmlns:a="http://schemas.openxmlformats.org/drawingml/2006/main">
          <a:off x="2936875" y="955675"/>
          <a:ext cx="638666" cy="2539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Q3 2023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099F45-AD1B-45D7-FD6B-5476723BBB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0.99408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F5FE36-902F-3E6F-E1E0-A736ABF45713}"/>
            </a:ext>
          </a:extLst>
        </cdr:cNvPr>
        <cdr:cNvSpPr txBox="1"/>
      </cdr:nvSpPr>
      <cdr:spPr>
        <a:xfrm xmlns:a="http://schemas.openxmlformats.org/drawingml/2006/main">
          <a:off x="45981" y="56107"/>
          <a:ext cx="8324474" cy="561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Personal sector debt interest payments &amp;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interest rates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0.93713</cdr:y>
    </cdr:from>
    <cdr:to>
      <cdr:x>0.96109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4DBD9A0-9258-4DC0-ACBE-A3045BAB34DE}"/>
            </a:ext>
          </a:extLst>
        </cdr:cNvPr>
        <cdr:cNvSpPr/>
      </cdr:nvSpPr>
      <cdr:spPr>
        <a:xfrm xmlns:a="http://schemas.openxmlformats.org/drawingml/2006/main">
          <a:off x="50800" y="5697855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0.84929</cdr:x>
      <cdr:y>0.21078</cdr:y>
    </cdr:from>
    <cdr:to>
      <cdr:x>0.84929</cdr:x>
      <cdr:y>0.85946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B904D85-D731-8FC9-1743-DEB65C0D59BA}"/>
            </a:ext>
          </a:extLst>
        </cdr:cNvPr>
        <cdr:cNvCxnSpPr/>
      </cdr:nvCxnSpPr>
      <cdr:spPr>
        <a:xfrm xmlns:a="http://schemas.openxmlformats.org/drawingml/2006/main">
          <a:off x="7151254" y="1415473"/>
          <a:ext cx="0" cy="43561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0.69092</cdr:x>
      <cdr:y>0.26752</cdr:y>
    </cdr:from>
    <cdr:to>
      <cdr:x>0.84175</cdr:x>
      <cdr:y>0.34695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FF9C3FA-01F9-FC26-DC91-0725D4863134}"/>
            </a:ext>
          </a:extLst>
        </cdr:cNvPr>
        <cdr:cNvSpPr txBox="1"/>
      </cdr:nvSpPr>
      <cdr:spPr>
        <a:xfrm xmlns:a="http://schemas.openxmlformats.org/drawingml/2006/main">
          <a:off x="5817755" y="1796472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0.07565</cdr:y>
    </cdr:from>
    <cdr:to>
      <cdr:x>1</cdr:x>
      <cdr:y>0.12671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6B30001-EF4F-14EC-63C3-EC501A19B5FD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disposable income</a:t>
          </a:r>
        </a:p>
      </cdr:txBody>
    </cdr:sp>
  </cdr:relSizeAnchor>
  <cdr:relSizeAnchor xmlns:cdr="http://schemas.openxmlformats.org/drawingml/2006/chartDrawing">
    <cdr:from>
      <cdr:x>0.94472</cdr:x>
      <cdr:y>0.08665</cdr:y>
    </cdr:from>
    <cdr:to>
      <cdr:x>1</cdr:x>
      <cdr:y>0.15645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5A6319B-709F-4D9E-5F72-53CAC2A52D82}"/>
            </a:ext>
          </a:extLst>
        </cdr:cNvPr>
        <cdr:cNvSpPr txBox="1"/>
      </cdr:nvSpPr>
      <cdr:spPr>
        <a:xfrm xmlns:a="http://schemas.openxmlformats.org/drawingml/2006/main">
          <a:off x="7954818" y="581891"/>
          <a:ext cx="465456" cy="4687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0.81396</cdr:x>
      <cdr:y>0.2995</cdr:y>
    </cdr:from>
    <cdr:to>
      <cdr:x>0.88345</cdr:x>
      <cdr:y>0.2995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68BFFFD7-D219-76B7-F866-886707812808}"/>
            </a:ext>
          </a:extLst>
        </cdr:cNvPr>
        <cdr:cNvCxnSpPr/>
      </cdr:nvCxnSpPr>
      <cdr:spPr>
        <a:xfrm xmlns:a="http://schemas.openxmlformats.org/drawingml/2006/main">
          <a:off x="6853757" y="2011254"/>
          <a:ext cx="585154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A0CAA-D377-D66D-2304-1387B13CD8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0.96109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C42E93-B522-CBBF-CA8A-FA12455DAEC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and pay growth</a:t>
          </a:r>
        </a:p>
      </cdr:txBody>
    </cdr:sp>
  </cdr:relSizeAnchor>
  <cdr:relSizeAnchor xmlns:cdr="http://schemas.openxmlformats.org/drawingml/2006/chartDrawing">
    <cdr:from>
      <cdr:x>0.00546</cdr:x>
      <cdr:y>0.93713</cdr:y>
    </cdr:from>
    <cdr:to>
      <cdr:x>0.96109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1498A02-ECC4-48C3-D167-915A57015C2C}"/>
            </a:ext>
          </a:extLst>
        </cdr:cNvPr>
        <cdr:cNvSpPr/>
      </cdr:nvSpPr>
      <cdr:spPr>
        <a:xfrm xmlns:a="http://schemas.openxmlformats.org/drawingml/2006/main">
          <a:off x="50800" y="5697855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0.07565</cdr:y>
    </cdr:from>
    <cdr:to>
      <cdr:x>1</cdr:x>
      <cdr:y>0.12671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0C52182-4284-D9D6-C6C2-590008701A3A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0.76692</cdr:x>
      <cdr:y>0.11591</cdr:y>
    </cdr:from>
    <cdr:to>
      <cdr:x>0.76692</cdr:x>
      <cdr:y>0.84281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4D08BDC-2D35-E4D3-49DA-8DC3571FAB15}"/>
            </a:ext>
          </a:extLst>
        </cdr:cNvPr>
        <cdr:cNvCxnSpPr/>
      </cdr:nvCxnSpPr>
      <cdr:spPr>
        <a:xfrm xmlns:a="http://schemas.openxmlformats.org/drawingml/2006/main">
          <a:off x="6457638" y="778367"/>
          <a:ext cx="0" cy="4881388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0.8011</cdr:x>
      <cdr:y>0.1413</cdr:y>
    </cdr:from>
    <cdr:to>
      <cdr:x>0.9318</cdr:x>
      <cdr:y>0.20398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53702E0-B019-A222-C68D-905726B65284}"/>
            </a:ext>
          </a:extLst>
        </cdr:cNvPr>
        <cdr:cNvSpPr txBox="1"/>
      </cdr:nvSpPr>
      <cdr:spPr>
        <a:xfrm xmlns:a="http://schemas.openxmlformats.org/drawingml/2006/main">
          <a:off x="6745514" y="948871"/>
          <a:ext cx="1100508" cy="4209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Forecast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FD41E-FF3C-6636-1106-F7EEB85B11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65D317F-0A19-25E7-59AB-59D93D592A6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Real post-tax wages*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2ADB49A-FF4E-B77E-9363-A33D69F505B3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0.66218</cdr:x>
      <cdr:y>0.14235</cdr:y>
    </cdr:from>
    <cdr:to>
      <cdr:x>0.66218</cdr:x>
      <cdr:y>0.85971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339E623-F0F9-7773-91F5-3FEE24D0E06D}"/>
            </a:ext>
          </a:extLst>
        </cdr:cNvPr>
        <cdr:cNvCxnSpPr/>
      </cdr:nvCxnSpPr>
      <cdr:spPr>
        <a:xfrm xmlns:a="http://schemas.openxmlformats.org/drawingml/2006/main">
          <a:off x="5575653" y="958158"/>
          <a:ext cx="0" cy="48285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0.74651</cdr:x>
      <cdr:y>0.17929</cdr:y>
    </cdr:from>
    <cdr:to>
      <cdr:x>0.89723</cdr:x>
      <cdr:y>0.25853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C9BF3B6-6324-79CE-5405-F1BB49A77DF2}"/>
            </a:ext>
          </a:extLst>
        </cdr:cNvPr>
        <cdr:cNvSpPr txBox="1"/>
      </cdr:nvSpPr>
      <cdr:spPr>
        <a:xfrm xmlns:a="http://schemas.openxmlformats.org/drawingml/2006/main">
          <a:off x="6292798" y="1207402"/>
          <a:ext cx="1270513" cy="5336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0.00452</cdr:x>
      <cdr:y>0.0698</cdr:y>
    </cdr:from>
    <cdr:to>
      <cdr:x>0.16271</cdr:x>
      <cdr:y>0.12074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3308F69-FBBB-2DE3-3EB6-A298A4616DFA}"/>
            </a:ext>
          </a:extLst>
        </cdr:cNvPr>
        <cdr:cNvSpPr txBox="1"/>
      </cdr:nvSpPr>
      <cdr:spPr>
        <a:xfrm xmlns:a="http://schemas.openxmlformats.org/drawingml/2006/main">
          <a:off x="38101" y="469375"/>
          <a:ext cx="1333500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2021=100</a:t>
          </a:r>
        </a:p>
      </cdr:txBody>
    </cdr:sp>
  </cdr:relSizeAnchor>
  <cdr:relSizeAnchor xmlns:cdr="http://schemas.openxmlformats.org/drawingml/2006/chartDrawing">
    <cdr:from>
      <cdr:x>0.15819</cdr:x>
      <cdr:y>0.06516</cdr:y>
    </cdr:from>
    <cdr:to>
      <cdr:x>1</cdr:x>
      <cdr:y>0.13212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225098F5-C407-992C-34EE-3CE64AB3138F}"/>
            </a:ext>
          </a:extLst>
        </cdr:cNvPr>
        <cdr:cNvSpPr txBox="1"/>
      </cdr:nvSpPr>
      <cdr:spPr>
        <a:xfrm xmlns:a="http://schemas.openxmlformats.org/drawingml/2006/main">
          <a:off x="1333500" y="438159"/>
          <a:ext cx="7096125" cy="4502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* Gross salaries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less income tax &amp; NICs,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less household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consumption deflator</a:t>
          </a:r>
          <a:endParaRPr lang="en-GB" sz="16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A7CB0-09C9-246F-D7C6-750FAD0687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253D917-8FE8-BBA6-4655-EED9E630B8F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to real household income growth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B5CBD80-531A-42AF-0899-9814D2EE4A14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0.27569</cdr:x>
      <cdr:y>0.15369</cdr:y>
    </cdr:from>
    <cdr:to>
      <cdr:x>0.27569</cdr:x>
      <cdr:y>0.86035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9030F94-8F5D-2225-5558-DA4FAB3B48B2}"/>
            </a:ext>
          </a:extLst>
        </cdr:cNvPr>
        <cdr:cNvCxnSpPr/>
      </cdr:nvCxnSpPr>
      <cdr:spPr>
        <a:xfrm xmlns:a="http://schemas.openxmlformats.org/drawingml/2006/main">
          <a:off x="2323984" y="1033526"/>
          <a:ext cx="0" cy="4752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0.3917</cdr:x>
      <cdr:y>0.11771</cdr:y>
    </cdr:from>
    <cdr:to>
      <cdr:x>0.54243</cdr:x>
      <cdr:y>0.19695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5540EB3-3A2C-F4E8-0E4D-2C8CD7EBB8A4}"/>
            </a:ext>
          </a:extLst>
        </cdr:cNvPr>
        <cdr:cNvSpPr txBox="1"/>
      </cdr:nvSpPr>
      <cdr:spPr>
        <a:xfrm xmlns:a="http://schemas.openxmlformats.org/drawingml/2006/main">
          <a:off x="3301911" y="791570"/>
          <a:ext cx="1270552" cy="5328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0.00452</cdr:x>
      <cdr:y>0.0698</cdr:y>
    </cdr:from>
    <cdr:to>
      <cdr:x>0.17062</cdr:x>
      <cdr:y>0.12074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0D5DE50-53C5-A330-4E38-D4DDF6571EB1}"/>
            </a:ext>
          </a:extLst>
        </cdr:cNvPr>
        <cdr:cNvSpPr txBox="1"/>
      </cdr:nvSpPr>
      <cdr:spPr>
        <a:xfrm xmlns:a="http://schemas.openxmlformats.org/drawingml/2006/main">
          <a:off x="38100" y="469375"/>
          <a:ext cx="140017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8.bin"/><Relationship Id="rId4" Type="http://schemas.openxmlformats.org/officeDocument/2006/relationships/customProperty" Target="../customProperty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9.bin"/><Relationship Id="rId4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3691-F783-455D-A68A-D241CF853C20}">
  <sheetPr>
    <tabColor rgb="FFC00000"/>
  </sheetPr>
  <dimension ref="A2:B18"/>
  <sheetViews>
    <sheetView zoomScale="85" zoomScaleNormal="85" workbookViewId="0">
      <selection activeCell="D20" sqref="D20"/>
    </sheetView>
  </sheetViews>
  <sheetFormatPr defaultRowHeight="14.5" x14ac:dyDescent="0.35"/>
  <sheetData>
    <row r="2" spans="1:2" x14ac:dyDescent="0.35">
      <c r="A2" t="s">
        <v>642</v>
      </c>
    </row>
    <row r="4" spans="1:2" x14ac:dyDescent="0.35">
      <c r="A4" t="s">
        <v>641</v>
      </c>
    </row>
    <row r="6" spans="1:2" x14ac:dyDescent="0.35">
      <c r="A6" t="s">
        <v>637</v>
      </c>
    </row>
    <row r="8" spans="1:2" x14ac:dyDescent="0.35">
      <c r="A8" t="s">
        <v>638</v>
      </c>
    </row>
    <row r="10" spans="1:2" x14ac:dyDescent="0.35">
      <c r="A10" t="s">
        <v>639</v>
      </c>
    </row>
    <row r="12" spans="1:2" x14ac:dyDescent="0.35">
      <c r="B12" s="22" t="s">
        <v>644</v>
      </c>
    </row>
    <row r="14" spans="1:2" x14ac:dyDescent="0.35">
      <c r="A14" t="s">
        <v>636</v>
      </c>
    </row>
    <row r="16" spans="1:2" x14ac:dyDescent="0.35">
      <c r="A16" t="s">
        <v>640</v>
      </c>
    </row>
    <row r="18" spans="1:1" x14ac:dyDescent="0.35">
      <c r="A18" t="s">
        <v>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EBB9-D77D-4BE3-855F-1B148E55EA4B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B764-088E-4F0E-B7FD-657A1A145A6F}">
  <dimension ref="A1:BI116"/>
  <sheetViews>
    <sheetView tabSelected="1" topLeftCell="P1" workbookViewId="0">
      <pane ySplit="3" topLeftCell="A84" activePane="bottomLeft" state="frozen"/>
      <selection pane="bottomLeft" activeCell="AU3" sqref="AU3:AX111"/>
    </sheetView>
  </sheetViews>
  <sheetFormatPr defaultRowHeight="14.5" x14ac:dyDescent="0.35"/>
  <cols>
    <col min="3" max="3" width="10" bestFit="1" customWidth="1"/>
    <col min="5" max="5" width="2.7265625" customWidth="1"/>
    <col min="6" max="6" width="12.26953125" bestFit="1" customWidth="1"/>
    <col min="7" max="7" width="14.36328125" bestFit="1" customWidth="1"/>
    <col min="9" max="9" width="2.7265625" customWidth="1"/>
    <col min="10" max="10" width="20.36328125" bestFit="1" customWidth="1"/>
    <col min="11" max="11" width="22.453125" bestFit="1" customWidth="1"/>
    <col min="12" max="12" width="2.7265625" customWidth="1"/>
    <col min="21" max="21" width="2.7265625" customWidth="1"/>
    <col min="26" max="26" width="11.36328125" bestFit="1" customWidth="1"/>
    <col min="27" max="27" width="2.7265625" customWidth="1"/>
    <col min="36" max="41" width="2.7265625" customWidth="1"/>
    <col min="46" max="46" width="2.6328125" customWidth="1"/>
    <col min="51" max="51" width="2.36328125" customWidth="1"/>
    <col min="56" max="56" width="2.54296875" customWidth="1"/>
    <col min="57" max="57" width="9.90625" customWidth="1"/>
    <col min="58" max="58" width="14.54296875" bestFit="1" customWidth="1"/>
    <col min="59" max="59" width="11" bestFit="1" customWidth="1"/>
    <col min="60" max="60" width="12" bestFit="1" customWidth="1"/>
    <col min="61" max="61" width="24.08984375" bestFit="1" customWidth="1"/>
  </cols>
  <sheetData>
    <row r="1" spans="1:61" x14ac:dyDescent="0.35">
      <c r="A1" s="16" t="s">
        <v>539</v>
      </c>
      <c r="B1" s="16"/>
      <c r="M1" s="16" t="s">
        <v>567</v>
      </c>
      <c r="AB1" s="16" t="s">
        <v>568</v>
      </c>
      <c r="AP1" s="16" t="s">
        <v>619</v>
      </c>
      <c r="AU1" s="16" t="s">
        <v>632</v>
      </c>
      <c r="AZ1" s="16" t="s">
        <v>645</v>
      </c>
      <c r="BE1" s="16" t="s">
        <v>653</v>
      </c>
    </row>
    <row r="2" spans="1:61" x14ac:dyDescent="0.35">
      <c r="A2" s="16"/>
      <c r="B2" s="16"/>
      <c r="M2" s="16"/>
      <c r="AB2" s="16"/>
    </row>
    <row r="3" spans="1:61" x14ac:dyDescent="0.35">
      <c r="B3" t="s">
        <v>651</v>
      </c>
      <c r="C3" t="s">
        <v>652</v>
      </c>
      <c r="D3" t="s">
        <v>538</v>
      </c>
      <c r="F3" t="s">
        <v>649</v>
      </c>
      <c r="G3" t="s">
        <v>540</v>
      </c>
      <c r="H3" t="s">
        <v>537</v>
      </c>
      <c r="J3" t="s">
        <v>650</v>
      </c>
      <c r="K3" t="s">
        <v>541</v>
      </c>
      <c r="N3" t="s">
        <v>542</v>
      </c>
      <c r="O3" t="s">
        <v>543</v>
      </c>
      <c r="P3" t="s">
        <v>544</v>
      </c>
      <c r="Q3" t="s">
        <v>545</v>
      </c>
      <c r="R3" t="s">
        <v>546</v>
      </c>
      <c r="S3" t="s">
        <v>547</v>
      </c>
      <c r="T3" t="s">
        <v>548</v>
      </c>
      <c r="V3" t="s">
        <v>394</v>
      </c>
      <c r="W3" t="s">
        <v>532</v>
      </c>
      <c r="X3" t="s">
        <v>549</v>
      </c>
      <c r="Y3" t="s">
        <v>509</v>
      </c>
      <c r="Z3" t="s">
        <v>550</v>
      </c>
      <c r="AC3" t="s">
        <v>542</v>
      </c>
      <c r="AD3" t="s">
        <v>543</v>
      </c>
      <c r="AE3" t="s">
        <v>569</v>
      </c>
      <c r="AF3" t="s">
        <v>544</v>
      </c>
      <c r="AG3" t="s">
        <v>570</v>
      </c>
      <c r="AH3" t="s">
        <v>547</v>
      </c>
      <c r="AI3" t="s">
        <v>548</v>
      </c>
      <c r="AQ3" t="s">
        <v>620</v>
      </c>
      <c r="AR3" t="s">
        <v>621</v>
      </c>
      <c r="AS3" t="s">
        <v>622</v>
      </c>
      <c r="AV3" t="s">
        <v>633</v>
      </c>
      <c r="AW3" t="s">
        <v>634</v>
      </c>
      <c r="AX3" t="s">
        <v>635</v>
      </c>
      <c r="BA3" t="s">
        <v>646</v>
      </c>
      <c r="BB3" t="s">
        <v>648</v>
      </c>
      <c r="BC3" t="s">
        <v>647</v>
      </c>
      <c r="BF3" t="s">
        <v>654</v>
      </c>
      <c r="BG3" t="s">
        <v>655</v>
      </c>
      <c r="BH3" t="s">
        <v>656</v>
      </c>
      <c r="BI3" t="s">
        <v>657</v>
      </c>
    </row>
    <row r="4" spans="1:61" x14ac:dyDescent="0.35">
      <c r="A4">
        <v>2015</v>
      </c>
      <c r="B4" s="17">
        <f>100*(F4/$H4)</f>
        <v>93.409402577078723</v>
      </c>
      <c r="C4" s="17">
        <f>100*(G4/$H4)</f>
        <v>96.798299040176758</v>
      </c>
      <c r="D4">
        <v>100</v>
      </c>
      <c r="F4" s="17">
        <f>100*(J4/AVERAGE($J$28:$J$31))</f>
        <v>84.940760821702881</v>
      </c>
      <c r="G4" s="17">
        <f t="shared" ref="G4:G51" si="0">100*(K4/AVERAGE($K$28:$K$31))</f>
        <v>88.022414659323715</v>
      </c>
      <c r="H4" s="17">
        <f>100*(DataQ!I175/AVERAGE(DataQ!I$199:I$202))</f>
        <v>90.933844429218169</v>
      </c>
      <c r="J4" s="19">
        <f>DataQ!F175/DataQ!J175</f>
        <v>7.1960316558748909</v>
      </c>
      <c r="K4" s="19">
        <f>(DataQ!F175-DataQ!G175-DataQ!H175)/DataQ!J175</f>
        <v>5.0742928547086219</v>
      </c>
      <c r="M4">
        <v>2019</v>
      </c>
      <c r="N4" s="17"/>
      <c r="O4" s="17"/>
      <c r="P4" s="17"/>
      <c r="Q4" s="17"/>
      <c r="R4" s="17"/>
      <c r="S4" s="17"/>
      <c r="T4" s="17"/>
      <c r="V4" s="17">
        <f>100*((DataA!B53/DataA!B52)-1)</f>
        <v>3.6025096278697433</v>
      </c>
      <c r="W4" s="17">
        <f>100*((DataA!J53+DataA!K53)/(DataA!L53+DataA!M53))</f>
        <v>100</v>
      </c>
      <c r="X4" s="17">
        <f>100*((DataA!C53-DataA!C52)/DataA!B52)</f>
        <v>2.1285774283230854</v>
      </c>
      <c r="Y4" s="18">
        <f>1000*(DataA!C53/DataA!D53)</f>
        <v>32271.155793432663</v>
      </c>
      <c r="Z4" s="18">
        <f>(Y4*DataA!$D$53)/1000</f>
        <v>892362</v>
      </c>
      <c r="AB4">
        <v>2019</v>
      </c>
      <c r="AC4" s="17"/>
      <c r="AD4" s="17"/>
      <c r="AE4" s="17"/>
      <c r="AF4" s="17"/>
      <c r="AG4" s="17"/>
      <c r="AH4" s="17"/>
      <c r="AI4" s="17"/>
      <c r="AP4">
        <v>2000</v>
      </c>
      <c r="AQ4" s="21">
        <f>(DataQ!N115/DataQ!P115)*100</f>
        <v>5.7792892899634092</v>
      </c>
      <c r="AR4" s="21">
        <f>DataQ!Q115</f>
        <v>7.056667</v>
      </c>
      <c r="AS4" s="21">
        <f>DataQ!AF115</f>
        <v>5.8615380000000004</v>
      </c>
      <c r="AU4">
        <v>2000</v>
      </c>
      <c r="AV4" s="17">
        <f>(DataQ!O115/DataQ!P115)*100</f>
        <v>5.3684872157496581</v>
      </c>
      <c r="AW4" s="17">
        <f>(DataQ!N115/DataQ!P115)*100</f>
        <v>5.7792892899634092</v>
      </c>
      <c r="AX4" s="17">
        <f>(DataQ!AG115/DataQ!P115)*100</f>
        <v>-0.41080207421375176</v>
      </c>
      <c r="AZ4">
        <v>2013</v>
      </c>
      <c r="BA4" s="21">
        <f>((DataQ!E167/DataQ!E163)-1)*100</f>
        <v>2.7709541484024491</v>
      </c>
      <c r="BB4" s="21">
        <f>((DataQ!D167/DataQ!D163)-1)*100</f>
        <v>0.5105689277899339</v>
      </c>
      <c r="BC4" s="21">
        <f>BB4-BA4</f>
        <v>-2.2603852206125152</v>
      </c>
      <c r="BE4">
        <v>2010</v>
      </c>
      <c r="BF4" s="17">
        <f>((DataA!B44/DataA!B43)-1)*100</f>
        <v>1.9526691635264992</v>
      </c>
      <c r="BG4" s="17">
        <f>-((DataA!E44/DataA!E43)-1)*100</f>
        <v>-0.92666223614374932</v>
      </c>
      <c r="BH4" s="17">
        <f>BI4-BF4-BG4</f>
        <v>1.1502939925355227</v>
      </c>
      <c r="BI4" s="17">
        <f>((DataA!L44/DataA!L43)-1)*100</f>
        <v>2.1763009199182726</v>
      </c>
    </row>
    <row r="5" spans="1:61" x14ac:dyDescent="0.35">
      <c r="B5" s="17">
        <f t="shared" ref="B5:B51" si="1">100*(F5/$H5)</f>
        <v>93.708519142913289</v>
      </c>
      <c r="C5" s="17">
        <f t="shared" ref="C5:C51" si="2">100*(G5/H5)</f>
        <v>96.66499813488123</v>
      </c>
      <c r="D5">
        <v>100</v>
      </c>
      <c r="F5" s="17">
        <f t="shared" ref="F5:F51" si="3">100*(J5/AVERAGE($J$28:$J$31))</f>
        <v>85.411708401694881</v>
      </c>
      <c r="G5" s="17">
        <f t="shared" si="0"/>
        <v>88.10642520938012</v>
      </c>
      <c r="H5" s="17">
        <f>100*(DataQ!I176/AVERAGE(DataQ!I$199:I$202))</f>
        <v>91.146151046774008</v>
      </c>
      <c r="J5" s="19">
        <f>DataQ!F176/DataQ!J176</f>
        <v>7.2359295054007955</v>
      </c>
      <c r="K5" s="19">
        <f>(DataQ!F176-DataQ!G176-DataQ!H176)/DataQ!J176</f>
        <v>5.0791358726549172</v>
      </c>
      <c r="M5">
        <v>2020</v>
      </c>
      <c r="N5" s="17">
        <f>-100*((W5/W4)-1)</f>
        <v>-0.57573409527498232</v>
      </c>
      <c r="O5" s="17">
        <f>-100*((DataA!F54+DataA!G54)-(DataA!F53+DataA!G53))/DataA!$B53</f>
        <v>4.2946752908885437E-2</v>
      </c>
      <c r="P5" s="17">
        <f>V5-O5-Q5-R5-S5</f>
        <v>-1.5864145104964886</v>
      </c>
      <c r="Q5" s="17">
        <f>X5-R5</f>
        <v>0.22180141370235487</v>
      </c>
      <c r="R5" s="17">
        <f>100*((Z5-Z4)/DataA!$B53)</f>
        <v>-8.4220389559947845E-2</v>
      </c>
      <c r="S5" s="17">
        <f>100*((DataA!H54-DataA!H53)/DataA!$B53)</f>
        <v>1.4681044652234541</v>
      </c>
      <c r="T5" s="17">
        <f t="shared" ref="T5:T9" si="4">SUM(N5:S5)</f>
        <v>-0.51351636349672414</v>
      </c>
      <c r="V5" s="17">
        <f>100*((DataA!B54/DataA!B53)-1)</f>
        <v>6.2217731778257956E-2</v>
      </c>
      <c r="W5" s="17">
        <f>100*((DataA!J54+DataA!K54)/(DataA!L54+DataA!M54))</f>
        <v>100.57573409527498</v>
      </c>
      <c r="X5" s="17">
        <f>100*((DataA!C54-DataA!C53)/DataA!B53)</f>
        <v>0.13758102414240703</v>
      </c>
      <c r="Y5" s="18">
        <f>1000*(DataA!C54/DataA!D54)</f>
        <v>32226.902565580858</v>
      </c>
      <c r="Z5" s="18">
        <f>(Y5*DataA!$D$53)/1000</f>
        <v>891138.30974344199</v>
      </c>
      <c r="AB5">
        <v>2020</v>
      </c>
      <c r="AC5" s="17">
        <f t="shared" ref="AC5:AD11" si="5">N5</f>
        <v>-0.57573409527498232</v>
      </c>
      <c r="AD5" s="17">
        <f t="shared" si="5"/>
        <v>4.2946752908885437E-2</v>
      </c>
      <c r="AE5" s="17">
        <f t="shared" ref="AE5:AE11" si="6">X5</f>
        <v>0.13758102414240703</v>
      </c>
      <c r="AF5" s="17">
        <f t="shared" ref="AF5:AF11" si="7">V5-AD5-AE5-AG5-AH5</f>
        <v>-1.6659761232571801</v>
      </c>
      <c r="AG5" s="17">
        <f>100*((DataA!I54-DataA!I53)/DataA!$B53)</f>
        <v>7.9561612760691611E-2</v>
      </c>
      <c r="AH5" s="17">
        <f t="shared" ref="AH5:AH11" si="8">S5</f>
        <v>1.4681044652234541</v>
      </c>
      <c r="AI5" s="17">
        <f>SUM(AC5:AH5)</f>
        <v>-0.51351636349672458</v>
      </c>
      <c r="AQ5" s="21">
        <f>(DataQ!N116/DataQ!P116)*100</f>
        <v>5.9470556816664439</v>
      </c>
      <c r="AR5" s="21">
        <f>DataQ!Q116</f>
        <v>7.1433330000000002</v>
      </c>
      <c r="AS5" s="21">
        <f>DataQ!AF116</f>
        <v>6</v>
      </c>
      <c r="AV5" s="17">
        <f>(DataQ!O116/DataQ!P116)*100</f>
        <v>5.4474340143321314</v>
      </c>
      <c r="AW5" s="17">
        <f>(DataQ!N116/DataQ!P116)*100</f>
        <v>5.9470556816664439</v>
      </c>
      <c r="AX5" s="17">
        <f>(DataQ!AG116/DataQ!P116)*100</f>
        <v>-0.49962166733431257</v>
      </c>
      <c r="BA5" s="21">
        <f>((DataQ!E168/DataQ!E164)-1)*100</f>
        <v>2.679196242171189</v>
      </c>
      <c r="BB5" s="21">
        <f>((DataQ!D168/DataQ!D164)-1)*100</f>
        <v>2.0983934805793414</v>
      </c>
      <c r="BC5" s="21">
        <f t="shared" ref="BC5:BC59" si="9">BB5-BA5</f>
        <v>-0.58080276159184763</v>
      </c>
      <c r="BE5">
        <v>2011</v>
      </c>
      <c r="BF5" s="17">
        <f>((DataA!B45/DataA!B44)-1)*100</f>
        <v>1.5023931511853439</v>
      </c>
      <c r="BG5" s="17">
        <f>-((DataA!E45/DataA!E44)-1)*100</f>
        <v>-3.9932641465377561</v>
      </c>
      <c r="BH5" s="17">
        <f t="shared" ref="BH5:BH20" si="10">BI5-BF5-BG5</f>
        <v>2.125013515251295</v>
      </c>
      <c r="BI5" s="17">
        <f>((DataA!L45/DataA!L44)-1)*100</f>
        <v>-0.36585748010111718</v>
      </c>
    </row>
    <row r="6" spans="1:61" x14ac:dyDescent="0.35">
      <c r="B6" s="17">
        <f t="shared" si="1"/>
        <v>94.123382452652066</v>
      </c>
      <c r="C6" s="17">
        <f t="shared" si="2"/>
        <v>97.664793938230019</v>
      </c>
      <c r="D6">
        <v>100</v>
      </c>
      <c r="F6" s="17">
        <f t="shared" si="3"/>
        <v>86.011869783733786</v>
      </c>
      <c r="G6" s="17">
        <f t="shared" si="0"/>
        <v>89.24808394870368</v>
      </c>
      <c r="H6" s="17">
        <f>100*(DataQ!I177/AVERAGE(DataQ!I$199:I$202))</f>
        <v>91.382042955161864</v>
      </c>
      <c r="J6" s="19">
        <f>DataQ!F177/DataQ!J177</f>
        <v>7.2867741206597874</v>
      </c>
      <c r="K6" s="19">
        <f>(DataQ!F177-DataQ!G177-DataQ!H177)/DataQ!J177</f>
        <v>5.1449499133840479</v>
      </c>
      <c r="M6">
        <v>2021</v>
      </c>
      <c r="N6" s="17">
        <f t="shared" ref="N6:N10" si="11">-100*((W6/W5)-1)</f>
        <v>-2.2832455207545843</v>
      </c>
      <c r="O6" s="17">
        <f>-100*((DataA!F55+DataA!G55)-(DataA!F54+DataA!G54))/DataA!$B54</f>
        <v>-2.3153440550917348</v>
      </c>
      <c r="P6" s="17">
        <f>V6-O6-Q6-R6-S6</f>
        <v>1.7245055596595518</v>
      </c>
      <c r="Q6" s="17">
        <f t="shared" ref="Q6:Q9" si="12">X6-R6</f>
        <v>0.64316051877740765</v>
      </c>
      <c r="R6" s="17">
        <f>100*((Z6-Z5)/DataA!$B54)</f>
        <v>3.1641367149428943</v>
      </c>
      <c r="S6" s="17">
        <f>100*((DataA!H55-DataA!H54)/DataA!$B54)</f>
        <v>0.52205636557977153</v>
      </c>
      <c r="T6" s="17">
        <f t="shared" si="4"/>
        <v>1.4552695831133065</v>
      </c>
      <c r="V6" s="17">
        <f>100*((DataA!B55/DataA!B54)-1)</f>
        <v>3.7385151038678899</v>
      </c>
      <c r="W6" s="17">
        <f>100*((DataA!J55+DataA!K55)/(DataA!L55+DataA!M55))</f>
        <v>102.87212503897139</v>
      </c>
      <c r="X6" s="17">
        <f>100*((DataA!C55-DataA!C54)/DataA!B54)</f>
        <v>3.8072972337203019</v>
      </c>
      <c r="Y6" s="18">
        <f>1000*(DataA!C55/DataA!D55)</f>
        <v>33890.518502658531</v>
      </c>
      <c r="Z6" s="18">
        <f>(Y6*DataA!$D$53)/1000</f>
        <v>937140.61763551366</v>
      </c>
      <c r="AB6">
        <v>2021</v>
      </c>
      <c r="AC6" s="17">
        <f t="shared" si="5"/>
        <v>-2.2832455207545843</v>
      </c>
      <c r="AD6" s="17">
        <f t="shared" si="5"/>
        <v>-2.3153440550917348</v>
      </c>
      <c r="AE6" s="17">
        <f t="shared" si="6"/>
        <v>3.8072972337203019</v>
      </c>
      <c r="AF6" s="17">
        <f t="shared" si="7"/>
        <v>1.6145917161554051</v>
      </c>
      <c r="AG6" s="17">
        <f>100*((DataA!I55-DataA!I54)/DataA!$B54)</f>
        <v>0.10991384350414687</v>
      </c>
      <c r="AH6" s="17">
        <f t="shared" si="8"/>
        <v>0.52205636557977153</v>
      </c>
      <c r="AI6" s="17">
        <f t="shared" ref="AI6:AI10" si="13">SUM(AC6:AH6)</f>
        <v>1.4552695831133069</v>
      </c>
      <c r="AQ6" s="21">
        <f>(DataQ!N117/DataQ!P117)*100</f>
        <v>5.7773876634209635</v>
      </c>
      <c r="AR6" s="21">
        <f>DataQ!Q117</f>
        <v>7.1133329999999999</v>
      </c>
      <c r="AS6" s="21">
        <f>DataQ!AF117</f>
        <v>6</v>
      </c>
      <c r="AV6" s="17">
        <f>(DataQ!O117/DataQ!P117)*100</f>
        <v>5.3145206136668444</v>
      </c>
      <c r="AW6" s="17">
        <f>(DataQ!N117/DataQ!P117)*100</f>
        <v>5.7773876634209635</v>
      </c>
      <c r="AX6" s="17">
        <f>(DataQ!AG117/DataQ!P117)*100</f>
        <v>-0.46286704975411891</v>
      </c>
      <c r="BA6" s="21">
        <f>((DataQ!E169/DataQ!E165)-1)*100</f>
        <v>2.7411484128678554</v>
      </c>
      <c r="BB6" s="21">
        <f>((DataQ!D169/DataQ!D165)-1)*100</f>
        <v>0.64794816414686096</v>
      </c>
      <c r="BC6" s="21">
        <f t="shared" si="9"/>
        <v>-2.0932002487209944</v>
      </c>
      <c r="BE6">
        <v>2012</v>
      </c>
      <c r="BF6" s="17">
        <f>((DataA!B46/DataA!B45)-1)*100</f>
        <v>4.1771018852602815</v>
      </c>
      <c r="BG6" s="17">
        <f>-((DataA!E46/DataA!E45)-1)*100</f>
        <v>-1.6745381882124821</v>
      </c>
      <c r="BH6" s="17">
        <f t="shared" si="10"/>
        <v>-0.73697644205590329</v>
      </c>
      <c r="BI6" s="17">
        <f>((DataA!L46/DataA!L45)-1)*100</f>
        <v>1.7655872549918961</v>
      </c>
    </row>
    <row r="7" spans="1:61" x14ac:dyDescent="0.35">
      <c r="B7" s="17">
        <f t="shared" si="1"/>
        <v>94.093175281030256</v>
      </c>
      <c r="C7" s="17">
        <f t="shared" si="2"/>
        <v>97.35952847544273</v>
      </c>
      <c r="D7">
        <v>100</v>
      </c>
      <c r="F7" s="17">
        <f t="shared" si="3"/>
        <v>86.083969977122621</v>
      </c>
      <c r="G7" s="17">
        <f t="shared" si="0"/>
        <v>89.072291388135412</v>
      </c>
      <c r="H7" s="17">
        <f>100*(DataQ!I178/AVERAGE(DataQ!I$199:I$202))</f>
        <v>91.488006138610629</v>
      </c>
      <c r="J7" s="19">
        <f>DataQ!F178/DataQ!J178</f>
        <v>7.2928823220580519</v>
      </c>
      <c r="K7" s="19">
        <f>(DataQ!F178-DataQ!G178-DataQ!H178)/DataQ!J178</f>
        <v>5.1348158703967597</v>
      </c>
      <c r="M7">
        <v>2022</v>
      </c>
      <c r="N7" s="17">
        <f>-100*((W7/W6)-1)</f>
        <v>-7.8364037475924908</v>
      </c>
      <c r="O7" s="17">
        <f>-100*((DataA!F56+DataA!G56)-(DataA!F55+DataA!G55))/DataA!$B55</f>
        <v>-2.1384825413285471</v>
      </c>
      <c r="P7" s="17">
        <f t="shared" ref="P7:P9" si="14">V7-O7-Q7-R7-S7</f>
        <v>2.7025915997610461</v>
      </c>
      <c r="Q7" s="17">
        <f t="shared" si="12"/>
        <v>1.0550845388301076</v>
      </c>
      <c r="R7" s="17">
        <f>100*((Z7-Z6)/DataA!$B55)</f>
        <v>3.5800513399779437</v>
      </c>
      <c r="S7" s="17">
        <f>100*((DataA!H56-DataA!H55)/DataA!$B55)</f>
        <v>1.1564633518076619</v>
      </c>
      <c r="T7" s="17">
        <f t="shared" si="4"/>
        <v>-1.4806954585442786</v>
      </c>
      <c r="V7" s="17">
        <f>100*((DataA!B56/DataA!B55)-1)</f>
        <v>6.3557082890482119</v>
      </c>
      <c r="W7" s="17">
        <f>100*((DataA!J56+DataA!K56)/(DataA!L56+DataA!M56))</f>
        <v>110.93360010075337</v>
      </c>
      <c r="X7" s="17">
        <f>100*((DataA!C56-DataA!C55)/DataA!B55)</f>
        <v>4.6351358788080512</v>
      </c>
      <c r="Y7" s="18">
        <f>1000*(DataA!C56/DataA!D56)</f>
        <v>35843.180679691002</v>
      </c>
      <c r="Z7" s="18">
        <f>(Y7*DataA!$D$53)/1000</f>
        <v>991135.6321548156</v>
      </c>
      <c r="AB7">
        <v>2022</v>
      </c>
      <c r="AC7" s="17">
        <f t="shared" si="5"/>
        <v>-7.8364037475924908</v>
      </c>
      <c r="AD7" s="17">
        <f t="shared" si="5"/>
        <v>-2.1384825413285471</v>
      </c>
      <c r="AE7" s="17">
        <f t="shared" si="6"/>
        <v>4.6351358788080512</v>
      </c>
      <c r="AF7" s="17">
        <f t="shared" si="7"/>
        <v>2.5175388985286649</v>
      </c>
      <c r="AG7" s="17">
        <f>100*((DataA!I56-DataA!I55)/DataA!$B55)</f>
        <v>0.18505270123238071</v>
      </c>
      <c r="AH7" s="17">
        <f t="shared" si="8"/>
        <v>1.1564633518076619</v>
      </c>
      <c r="AI7" s="17">
        <f t="shared" si="13"/>
        <v>-1.4806954585442791</v>
      </c>
      <c r="AQ7" s="21">
        <f>(DataQ!N118/DataQ!P118)*100</f>
        <v>5.7499033629686895</v>
      </c>
      <c r="AR7" s="21">
        <f>DataQ!Q118</f>
        <v>7.056667</v>
      </c>
      <c r="AS7" s="21">
        <f>DataQ!AF118</f>
        <v>6</v>
      </c>
      <c r="AV7" s="17">
        <f>(DataQ!O118/DataQ!P118)*100</f>
        <v>4.5521410471159216</v>
      </c>
      <c r="AW7" s="17">
        <f>(DataQ!N118/DataQ!P118)*100</f>
        <v>5.7499033629686895</v>
      </c>
      <c r="AX7" s="17">
        <f>(DataQ!AG118/DataQ!P118)*100</f>
        <v>-1.1977623158527679</v>
      </c>
      <c r="BA7" s="21">
        <f>((DataQ!E170/DataQ!E166)-1)*100</f>
        <v>2.0904694280168057</v>
      </c>
      <c r="BB7" s="21">
        <f>((DataQ!D170/DataQ!D166)-1)*100</f>
        <v>1.0101082251082305</v>
      </c>
      <c r="BC7" s="21">
        <f t="shared" si="9"/>
        <v>-1.0803612029085752</v>
      </c>
      <c r="BE7">
        <v>2013</v>
      </c>
      <c r="BF7" s="17">
        <f>((DataA!B47/DataA!B46)-1)*100</f>
        <v>4.1516968189516446</v>
      </c>
      <c r="BG7" s="17">
        <f>-((DataA!E47/DataA!E46)-1)*100</f>
        <v>-2.2226270983992213</v>
      </c>
      <c r="BH7" s="17">
        <f t="shared" si="10"/>
        <v>0.89945054105158295</v>
      </c>
      <c r="BI7" s="17">
        <f>((DataA!L47/DataA!L46)-1)*100</f>
        <v>2.8285202616040062</v>
      </c>
    </row>
    <row r="8" spans="1:61" x14ac:dyDescent="0.35">
      <c r="A8">
        <v>2016</v>
      </c>
      <c r="B8" s="17">
        <f t="shared" si="1"/>
        <v>95.072928004111034</v>
      </c>
      <c r="C8" s="17">
        <f t="shared" si="2"/>
        <v>98.647092814251479</v>
      </c>
      <c r="D8">
        <v>100</v>
      </c>
      <c r="F8" s="17">
        <f t="shared" si="3"/>
        <v>87.090291788064874</v>
      </c>
      <c r="G8" s="17">
        <f t="shared" si="0"/>
        <v>90.364357947048688</v>
      </c>
      <c r="H8" s="17">
        <f>100*(DataQ!I179/AVERAGE(DataQ!I$199:I$202))</f>
        <v>91.603670588854712</v>
      </c>
      <c r="J8" s="19">
        <f>DataQ!F179/DataQ!J179</f>
        <v>7.3781361335083444</v>
      </c>
      <c r="K8" s="19">
        <f>(DataQ!F179-DataQ!G179-DataQ!H179)/DataQ!J179</f>
        <v>5.20930058128633</v>
      </c>
      <c r="M8">
        <v>2023</v>
      </c>
      <c r="N8" s="17">
        <f t="shared" si="11"/>
        <v>-7.0184088508854492</v>
      </c>
      <c r="O8" s="17">
        <f>-100*((DataA!F57+DataA!G57)-(DataA!F56+DataA!G56))/DataA!$B56</f>
        <v>-1.7420285933904658</v>
      </c>
      <c r="P8" s="17">
        <f t="shared" si="14"/>
        <v>3.991116386557501</v>
      </c>
      <c r="Q8" s="17">
        <f t="shared" si="12"/>
        <v>0.64331080727190137</v>
      </c>
      <c r="R8" s="17">
        <f>100*((Z8-Z7)/DataA!$B56)</f>
        <v>4.1668697513920536</v>
      </c>
      <c r="S8" s="17">
        <f>100*((DataA!H57-DataA!H56)/DataA!$B56)</f>
        <v>1.78382334513867</v>
      </c>
      <c r="T8" s="17">
        <f t="shared" si="4"/>
        <v>1.8246828460842104</v>
      </c>
      <c r="V8" s="17">
        <f>100*((DataA!B57/DataA!B56)-1)</f>
        <v>8.8430916969696618</v>
      </c>
      <c r="W8" s="17">
        <f>100*((DataA!J57+DataA!K57)/(DataA!L57+DataA!M57))</f>
        <v>118.7193737088305</v>
      </c>
      <c r="X8" s="17">
        <f>100*((DataA!C57-DataA!C56)/DataA!B56)</f>
        <v>4.810180558663955</v>
      </c>
      <c r="Y8" s="18">
        <f>1000*(DataA!C57/DataA!D57)</f>
        <v>38260.35843544238</v>
      </c>
      <c r="Z8" s="18">
        <f>(Y8*DataA!$D$53)/1000</f>
        <v>1057975.4314568527</v>
      </c>
      <c r="AB8">
        <v>2023</v>
      </c>
      <c r="AC8" s="17">
        <f t="shared" si="5"/>
        <v>-7.0184088508854492</v>
      </c>
      <c r="AD8" s="17">
        <f t="shared" si="5"/>
        <v>-1.7420285933904658</v>
      </c>
      <c r="AE8" s="17">
        <f t="shared" si="6"/>
        <v>4.810180558663955</v>
      </c>
      <c r="AF8" s="17">
        <f t="shared" si="7"/>
        <v>3.7295051297412765</v>
      </c>
      <c r="AG8" s="17">
        <f>100*((DataA!I57-DataA!I56)/DataA!$B56)</f>
        <v>0.26161125681622516</v>
      </c>
      <c r="AH8" s="17">
        <f t="shared" si="8"/>
        <v>1.78382334513867</v>
      </c>
      <c r="AI8" s="17">
        <f t="shared" si="13"/>
        <v>1.8246828460842115</v>
      </c>
      <c r="AP8">
        <v>2001</v>
      </c>
      <c r="AQ8" s="21">
        <f>(DataQ!N119/DataQ!P119)*100</f>
        <v>5.7614058019902172</v>
      </c>
      <c r="AR8" s="21">
        <f>DataQ!Q119</f>
        <v>6.9366659999999998</v>
      </c>
      <c r="AS8" s="21">
        <f>DataQ!AF119</f>
        <v>5.8576920000000001</v>
      </c>
      <c r="AU8">
        <v>2001</v>
      </c>
      <c r="AV8" s="17">
        <f>(DataQ!O119/DataQ!P119)*100</f>
        <v>5.205346601450497</v>
      </c>
      <c r="AW8" s="17">
        <f>(DataQ!N119/DataQ!P119)*100</f>
        <v>5.7614058019902172</v>
      </c>
      <c r="AX8" s="17">
        <f>(DataQ!AG119/DataQ!P119)*100</f>
        <v>-0.55605920053972002</v>
      </c>
      <c r="AZ8">
        <v>2014</v>
      </c>
      <c r="BA8" s="21">
        <f>((DataQ!E171/DataQ!E167)-1)*100</f>
        <v>1.7747509743857526</v>
      </c>
      <c r="BB8" s="21">
        <f>((DataQ!D171/DataQ!D167)-1)*100</f>
        <v>1.7416546982332859</v>
      </c>
      <c r="BC8" s="21">
        <f t="shared" si="9"/>
        <v>-3.3096276152466686E-2</v>
      </c>
      <c r="BE8">
        <v>2014</v>
      </c>
      <c r="BF8" s="17">
        <f>((DataA!B48/DataA!B47)-1)*100</f>
        <v>3.4994718516490053</v>
      </c>
      <c r="BG8" s="17">
        <f>-((DataA!E48/DataA!E47)-1)*100</f>
        <v>-1.1496394366033336</v>
      </c>
      <c r="BH8" s="17">
        <f t="shared" si="10"/>
        <v>0.6715549902881035</v>
      </c>
      <c r="BI8" s="17">
        <f>((DataA!L48/DataA!L47)-1)*100</f>
        <v>3.0213874053337753</v>
      </c>
    </row>
    <row r="9" spans="1:61" x14ac:dyDescent="0.35">
      <c r="B9" s="17">
        <f t="shared" si="1"/>
        <v>95.152911768351046</v>
      </c>
      <c r="C9" s="17">
        <f t="shared" si="2"/>
        <v>98.218701077631863</v>
      </c>
      <c r="D9">
        <v>100</v>
      </c>
      <c r="F9" s="17">
        <f t="shared" si="3"/>
        <v>87.562414905819296</v>
      </c>
      <c r="G9" s="17">
        <f t="shared" si="0"/>
        <v>90.383641398252934</v>
      </c>
      <c r="H9" s="17">
        <f>100*(DataQ!I180/AVERAGE(DataQ!I$199:I$202))</f>
        <v>92.022843314547487</v>
      </c>
      <c r="J9" s="19">
        <f>DataQ!F180/DataQ!J180</f>
        <v>7.4181335725230779</v>
      </c>
      <c r="K9" s="19">
        <f>(DataQ!F180-DataQ!G180-DataQ!H180)/DataQ!J180</f>
        <v>5.2104122285756995</v>
      </c>
      <c r="M9">
        <v>2024</v>
      </c>
      <c r="N9" s="17">
        <f t="shared" si="11"/>
        <v>-2.1814375618578019</v>
      </c>
      <c r="O9" s="17">
        <f>-100*((DataA!F58+DataA!G58)-(DataA!F57+DataA!G57))/DataA!$B57</f>
        <v>-1.0384225686411848</v>
      </c>
      <c r="P9" s="17">
        <f t="shared" si="14"/>
        <v>3.4566164564726387E-2</v>
      </c>
      <c r="Q9" s="17">
        <f t="shared" si="12"/>
        <v>0.1686395579944362</v>
      </c>
      <c r="R9" s="17">
        <f>100*((Z9-Z8)/DataA!$B57)</f>
        <v>2.4975658446369451</v>
      </c>
      <c r="S9" s="17">
        <f>100*((DataA!H58-DataA!H57)/DataA!$B57)</f>
        <v>1.6195751597861754</v>
      </c>
      <c r="T9" s="17">
        <f t="shared" si="4"/>
        <v>1.1004865964832964</v>
      </c>
      <c r="V9" s="17">
        <f>100*((DataA!B58/DataA!B57)-1)</f>
        <v>3.2819241583410985</v>
      </c>
      <c r="W9" s="17">
        <f>100*((DataA!J58+DataA!K58)/(DataA!L58+DataA!M58))</f>
        <v>121.30916272011727</v>
      </c>
      <c r="X9" s="17">
        <f>100*((DataA!C58-DataA!C57)/DataA!B57)</f>
        <v>2.6662054026313813</v>
      </c>
      <c r="Y9" s="18">
        <f>1000*(DataA!C58/DataA!D58)</f>
        <v>39837.303192577288</v>
      </c>
      <c r="Z9" s="18">
        <f>(Y9*DataA!$D$53)/1000</f>
        <v>1101581.1078811472</v>
      </c>
      <c r="AB9">
        <v>2024</v>
      </c>
      <c r="AC9" s="17">
        <f t="shared" si="5"/>
        <v>-2.1814375618578019</v>
      </c>
      <c r="AD9" s="17">
        <f t="shared" si="5"/>
        <v>-1.0384225686411848</v>
      </c>
      <c r="AE9" s="17">
        <f t="shared" si="6"/>
        <v>2.6662054026313813</v>
      </c>
      <c r="AF9" s="17">
        <f t="shared" si="7"/>
        <v>0.53764934043634072</v>
      </c>
      <c r="AG9" s="17">
        <f>100*((DataA!I58-DataA!I57)/DataA!$B57)</f>
        <v>-0.50308317587161433</v>
      </c>
      <c r="AH9" s="17">
        <f t="shared" si="8"/>
        <v>1.6195751597861754</v>
      </c>
      <c r="AI9" s="17">
        <f t="shared" si="13"/>
        <v>1.1004865964832966</v>
      </c>
      <c r="AQ9" s="21">
        <f>(DataQ!N120/DataQ!P120)*100</f>
        <v>5.5112776384170026</v>
      </c>
      <c r="AR9" s="21">
        <f>DataQ!Q120</f>
        <v>6.6133329999999999</v>
      </c>
      <c r="AS9" s="21">
        <f>DataQ!AF120</f>
        <v>5.3692310000000001</v>
      </c>
      <c r="AV9" s="17">
        <f>(DataQ!O120/DataQ!P120)*100</f>
        <v>4.4893574233427529</v>
      </c>
      <c r="AW9" s="17">
        <f>(DataQ!N120/DataQ!P120)*100</f>
        <v>5.5112776384170026</v>
      </c>
      <c r="AX9" s="17">
        <f>(DataQ!AG120/DataQ!P120)*100</f>
        <v>-1.0219202150742492</v>
      </c>
      <c r="BA9" s="21">
        <f>((DataQ!E172/DataQ!E168)-1)*100</f>
        <v>1.7621110890507774</v>
      </c>
      <c r="BB9" s="21">
        <f>((DataQ!D172/DataQ!D168)-1)*100</f>
        <v>-0.21261518161694859</v>
      </c>
      <c r="BC9" s="21">
        <f t="shared" si="9"/>
        <v>-1.974726270667726</v>
      </c>
      <c r="BE9">
        <v>2015</v>
      </c>
      <c r="BF9" s="17">
        <f>((DataA!B49/DataA!B48)-1)*100</f>
        <v>5.6910168264509897</v>
      </c>
      <c r="BG9" s="17">
        <f>-((DataA!E49/DataA!E48)-1)*100</f>
        <v>0.36924699846407893</v>
      </c>
      <c r="BH9" s="17">
        <f t="shared" si="10"/>
        <v>-3.1744904953636244</v>
      </c>
      <c r="BI9" s="17">
        <f>((DataA!L49/DataA!L48)-1)*100</f>
        <v>2.8857733295514443</v>
      </c>
    </row>
    <row r="10" spans="1:61" x14ac:dyDescent="0.35">
      <c r="B10" s="17">
        <f t="shared" si="1"/>
        <v>94.882418968664751</v>
      </c>
      <c r="C10" s="17">
        <f t="shared" si="2"/>
        <v>97.505548543449677</v>
      </c>
      <c r="D10">
        <v>100</v>
      </c>
      <c r="F10" s="17">
        <f t="shared" si="3"/>
        <v>87.998974930652082</v>
      </c>
      <c r="G10" s="17">
        <f t="shared" si="0"/>
        <v>90.431804070132429</v>
      </c>
      <c r="H10" s="17">
        <f>100*(DataQ!I181/AVERAGE(DataQ!I$199:I$202))</f>
        <v>92.745290315283853</v>
      </c>
      <c r="J10" s="19">
        <f>DataQ!F181/DataQ!J181</f>
        <v>7.4551181689405803</v>
      </c>
      <c r="K10" s="19">
        <f>(DataQ!F181-DataQ!G181-DataQ!H181)/DataQ!J181</f>
        <v>5.213188697532245</v>
      </c>
      <c r="M10">
        <v>2025</v>
      </c>
      <c r="N10" s="17">
        <f t="shared" si="11"/>
        <v>-2.1173979447942193</v>
      </c>
      <c r="O10" s="17">
        <f>-100*((DataA!F59+DataA!G59)-(DataA!F58+DataA!G58))/DataA!$B58</f>
        <v>-1.2373822042371845</v>
      </c>
      <c r="P10" s="17">
        <f t="shared" ref="P10:P11" si="15">V10-O10-Q10-R10-S10</f>
        <v>1.7286071027108734</v>
      </c>
      <c r="Q10" s="17">
        <f t="shared" ref="Q10:Q11" si="16">X10-R10</f>
        <v>0.73105149369610323</v>
      </c>
      <c r="R10" s="17">
        <f>100*((Z10-Z9)/DataA!$B58)</f>
        <v>1.7142867804091535</v>
      </c>
      <c r="S10" s="17">
        <f>100*((DataA!H59-DataA!H58)/DataA!$B58)</f>
        <v>1.1545468207829619</v>
      </c>
      <c r="T10" s="17">
        <f t="shared" ref="T10" si="17">SUM(N10:S10)</f>
        <v>1.973712048567688</v>
      </c>
      <c r="V10" s="17">
        <f>100*((DataA!B59/DataA!B58)-1)</f>
        <v>4.0911099933619077</v>
      </c>
      <c r="W10" s="17">
        <f>100*((DataA!J59+DataA!K59)/(DataA!L59+DataA!M59))</f>
        <v>123.8777604384001</v>
      </c>
      <c r="X10" s="17">
        <f>100*((DataA!C59-DataA!C58)/DataA!B58)</f>
        <v>2.4453382741052567</v>
      </c>
      <c r="Y10" s="18">
        <f>1000*(DataA!C59/DataA!D59)</f>
        <v>40955.214449693172</v>
      </c>
      <c r="Z10" s="18">
        <f>(Y10*DataA!$D$53)/1000</f>
        <v>1132493.5899629158</v>
      </c>
      <c r="AB10">
        <v>2025</v>
      </c>
      <c r="AC10" s="17">
        <f t="shared" si="5"/>
        <v>-2.1173979447942193</v>
      </c>
      <c r="AD10" s="17">
        <f t="shared" si="5"/>
        <v>-1.2373822042371845</v>
      </c>
      <c r="AE10" s="17">
        <f t="shared" si="6"/>
        <v>2.4453382741052567</v>
      </c>
      <c r="AF10" s="17">
        <f t="shared" si="7"/>
        <v>2.1122255267917023</v>
      </c>
      <c r="AG10" s="17">
        <f>100*((DataA!I59-DataA!I58)/DataA!$B58)</f>
        <v>-0.38361842408082847</v>
      </c>
      <c r="AH10" s="17">
        <f t="shared" si="8"/>
        <v>1.1545468207829619</v>
      </c>
      <c r="AI10" s="17">
        <f t="shared" si="13"/>
        <v>1.9737120485676884</v>
      </c>
      <c r="AQ10" s="21">
        <f>(DataQ!N121/DataQ!P121)*100</f>
        <v>5.2109807883561965</v>
      </c>
      <c r="AR10" s="21">
        <f>DataQ!Q121</f>
        <v>6.35</v>
      </c>
      <c r="AS10" s="21">
        <f>DataQ!AF121</f>
        <v>5.0538460000000001</v>
      </c>
      <c r="AV10" s="17">
        <f>(DataQ!O121/DataQ!P121)*100</f>
        <v>4.1985676775011704</v>
      </c>
      <c r="AW10" s="17">
        <f>(DataQ!N121/DataQ!P121)*100</f>
        <v>5.2109807883561965</v>
      </c>
      <c r="AX10" s="17">
        <f>(DataQ!AG121/DataQ!P121)*100</f>
        <v>-1.0124131108550261</v>
      </c>
      <c r="BA10" s="21">
        <f>((DataQ!E173/DataQ!E169)-1)*100</f>
        <v>1.4521783181357772</v>
      </c>
      <c r="BB10" s="21">
        <f>((DataQ!D173/DataQ!D169)-1)*100</f>
        <v>0.85836909871244149</v>
      </c>
      <c r="BC10" s="21">
        <f t="shared" si="9"/>
        <v>-0.59380921942333575</v>
      </c>
      <c r="BE10">
        <v>2016</v>
      </c>
      <c r="BF10" s="17">
        <f>((DataA!B50/DataA!B49)-1)*100</f>
        <v>1.9559014468865987</v>
      </c>
      <c r="BG10" s="17">
        <f>-((DataA!E50/DataA!E49)-1)*100</f>
        <v>-1.2654208945232837</v>
      </c>
      <c r="BH10" s="17">
        <f>BI10-BF10-BG10</f>
        <v>3.153295120921662</v>
      </c>
      <c r="BI10" s="17">
        <f>((DataA!L50/DataA!L49)-1)*100</f>
        <v>3.843775673284977</v>
      </c>
    </row>
    <row r="11" spans="1:61" x14ac:dyDescent="0.35">
      <c r="B11" s="17">
        <f t="shared" si="1"/>
        <v>94.397398062397627</v>
      </c>
      <c r="C11" s="17">
        <f t="shared" si="2"/>
        <v>96.787261722266962</v>
      </c>
      <c r="D11">
        <v>100</v>
      </c>
      <c r="F11" s="17">
        <f t="shared" si="3"/>
        <v>87.97498055460099</v>
      </c>
      <c r="G11" s="17">
        <f t="shared" si="0"/>
        <v>90.202247548402823</v>
      </c>
      <c r="H11" s="17">
        <f>100*(DataQ!I182/AVERAGE(DataQ!I$199:I$202))</f>
        <v>93.196404096274605</v>
      </c>
      <c r="J11" s="19">
        <f>DataQ!F182/DataQ!J182</f>
        <v>7.4530854076613506</v>
      </c>
      <c r="K11" s="19">
        <f>(DataQ!F182-DataQ!G182-DataQ!H182)/DataQ!J182</f>
        <v>5.1999552839469372</v>
      </c>
      <c r="M11">
        <v>2026</v>
      </c>
      <c r="N11" s="17">
        <f>-100*((W11/W10)-1)</f>
        <v>-2.2077421698397215</v>
      </c>
      <c r="O11" s="17">
        <f>-100*((DataA!F60+DataA!G60)-(DataA!F59+DataA!G59))/DataA!$B59</f>
        <v>-1.1740970559920374</v>
      </c>
      <c r="P11" s="17">
        <f t="shared" si="15"/>
        <v>1.9262977763973277</v>
      </c>
      <c r="Q11" s="17">
        <f t="shared" si="16"/>
        <v>0.71122178399574953</v>
      </c>
      <c r="R11" s="17">
        <f>100*((Z11-Z10)/DataA!$B59)</f>
        <v>1.6353431315955749</v>
      </c>
      <c r="S11" s="17">
        <f>100*((DataA!H60-DataA!H59)/DataA!$B59)</f>
        <v>1.0661806426108917</v>
      </c>
      <c r="T11" s="17">
        <f>SUM(N11:S11)</f>
        <v>1.9572041087677849</v>
      </c>
      <c r="V11" s="17">
        <f>100*((DataA!B60/DataA!B59)-1)</f>
        <v>4.1649462786075064</v>
      </c>
      <c r="W11" s="17">
        <f>100*((DataA!J60+DataA!K60)/(DataA!L60+DataA!M60))</f>
        <v>126.61266199465169</v>
      </c>
      <c r="X11" s="17">
        <f>100*((DataA!C60-DataA!C59)/DataA!B59)</f>
        <v>2.3465649155913244</v>
      </c>
      <c r="Y11" s="18">
        <f>1000*(DataA!C60/DataA!D60)</f>
        <v>42065.27427273013</v>
      </c>
      <c r="Z11" s="18">
        <f>(Y11*DataA!$D$53)/1000</f>
        <v>1163188.9641895334</v>
      </c>
      <c r="AB11">
        <v>2026</v>
      </c>
      <c r="AC11" s="17">
        <f t="shared" si="5"/>
        <v>-2.2077421698397215</v>
      </c>
      <c r="AD11" s="17">
        <f t="shared" si="5"/>
        <v>-1.1740970559920374</v>
      </c>
      <c r="AE11" s="17">
        <f t="shared" si="6"/>
        <v>2.3465649155913244</v>
      </c>
      <c r="AF11" s="17">
        <f t="shared" si="7"/>
        <v>2.3162431093463596</v>
      </c>
      <c r="AG11" s="17">
        <f>100*((DataA!I60-DataA!I59)/DataA!$B59)</f>
        <v>-0.38994533294903183</v>
      </c>
      <c r="AH11" s="17">
        <f t="shared" si="8"/>
        <v>1.0661806426108917</v>
      </c>
      <c r="AI11" s="17">
        <f>SUM(AC11:AH11)</f>
        <v>1.9572041087677849</v>
      </c>
      <c r="AQ11" s="21">
        <f>(DataQ!N122/DataQ!P122)*100</f>
        <v>4.6413810760396474</v>
      </c>
      <c r="AR11" s="21">
        <f>DataQ!Q122</f>
        <v>5.8466670000000001</v>
      </c>
      <c r="AS11" s="21">
        <f>DataQ!AF122</f>
        <v>4.2234850000000002</v>
      </c>
      <c r="AV11" s="17">
        <f>(DataQ!O122/DataQ!P122)*100</f>
        <v>3.0958215552780493</v>
      </c>
      <c r="AW11" s="17">
        <f>(DataQ!N122/DataQ!P122)*100</f>
        <v>4.6413810760396474</v>
      </c>
      <c r="AX11" s="17">
        <f>(DataQ!AG122/DataQ!P122)*100</f>
        <v>-1.5455595207615982</v>
      </c>
      <c r="BA11" s="21">
        <f>((DataQ!E174/DataQ!E170)-1)*100</f>
        <v>0.90634441087613649</v>
      </c>
      <c r="BB11" s="21">
        <f>((DataQ!D174/DataQ!D170)-1)*100</f>
        <v>1.9999927142862362</v>
      </c>
      <c r="BC11" s="21">
        <f t="shared" si="9"/>
        <v>1.0936483034100997</v>
      </c>
      <c r="BE11">
        <v>2017</v>
      </c>
      <c r="BF11" s="17">
        <f>((DataA!B51/DataA!B50)-1)*100</f>
        <v>2.7228075740810986</v>
      </c>
      <c r="BG11" s="17">
        <f>-((DataA!E51/DataA!E50)-1)*100</f>
        <v>-1.8555013876502491</v>
      </c>
      <c r="BH11" s="17">
        <f t="shared" si="10"/>
        <v>0.86674480730530856</v>
      </c>
      <c r="BI11" s="17">
        <f>((DataA!L51/DataA!L50)-1)*100</f>
        <v>1.7340509937361581</v>
      </c>
    </row>
    <row r="12" spans="1:61" x14ac:dyDescent="0.35">
      <c r="A12">
        <v>2017</v>
      </c>
      <c r="B12" s="17">
        <f t="shared" si="1"/>
        <v>95.632551294824012</v>
      </c>
      <c r="C12" s="17">
        <f t="shared" si="2"/>
        <v>96.902610460923498</v>
      </c>
      <c r="D12">
        <v>100</v>
      </c>
      <c r="F12" s="17">
        <f t="shared" si="3"/>
        <v>89.145083002924935</v>
      </c>
      <c r="G12" s="17">
        <f t="shared" si="0"/>
        <v>90.328984595506341</v>
      </c>
      <c r="H12" s="17">
        <f>100*(DataQ!I183/AVERAGE(DataQ!I$199:I$202))</f>
        <v>93.216255130641699</v>
      </c>
      <c r="J12" s="19">
        <f>DataQ!F183/DataQ!J183</f>
        <v>7.552214426253852</v>
      </c>
      <c r="K12" s="19">
        <f>(DataQ!F183-DataQ!G183-DataQ!H183)/DataQ!J183</f>
        <v>5.2072613876823697</v>
      </c>
      <c r="N12" s="17"/>
      <c r="O12" s="17"/>
      <c r="P12" s="17"/>
      <c r="Q12" s="17"/>
      <c r="R12" s="17"/>
      <c r="S12" s="17"/>
      <c r="T12" s="17"/>
      <c r="V12" s="17"/>
      <c r="W12" s="17"/>
      <c r="X12" s="17"/>
      <c r="Y12" s="18"/>
      <c r="Z12" s="18"/>
      <c r="AC12" s="17"/>
      <c r="AD12" s="17"/>
      <c r="AE12" s="17"/>
      <c r="AF12" s="17"/>
      <c r="AG12" s="17"/>
      <c r="AH12" s="17"/>
      <c r="AI12" s="17"/>
      <c r="AP12">
        <v>2002</v>
      </c>
      <c r="AQ12" s="21">
        <f>(DataQ!N123/DataQ!P123)*100</f>
        <v>4.5625929107490988</v>
      </c>
      <c r="AR12" s="21">
        <f>DataQ!Q123</f>
        <v>5.5133330000000003</v>
      </c>
      <c r="AS12" s="21">
        <f>DataQ!AF123</f>
        <v>4</v>
      </c>
      <c r="AU12">
        <v>2002</v>
      </c>
      <c r="AV12" s="17">
        <f>(DataQ!O123/DataQ!P123)*100</f>
        <v>3.2817748332107386</v>
      </c>
      <c r="AW12" s="17">
        <f>(DataQ!N123/DataQ!P123)*100</f>
        <v>4.5625929107490988</v>
      </c>
      <c r="AX12" s="17">
        <f>(DataQ!AG123/DataQ!P123)*100</f>
        <v>-1.2808180775383602</v>
      </c>
      <c r="AZ12">
        <v>2015</v>
      </c>
      <c r="BA12" s="21">
        <f>((DataQ!E175/DataQ!E171)-1)*100</f>
        <v>0.1006036217303663</v>
      </c>
      <c r="BB12" s="21">
        <f>((DataQ!D175/DataQ!D171)-1)*100</f>
        <v>2.2824609331284496</v>
      </c>
      <c r="BC12" s="21">
        <f t="shared" si="9"/>
        <v>2.1818573113980833</v>
      </c>
      <c r="BE12">
        <v>2018</v>
      </c>
      <c r="BF12" s="17">
        <f>((DataA!B52/DataA!B51)-1)*100</f>
        <v>4.1100964832640807</v>
      </c>
      <c r="BG12" s="17">
        <f>-((DataA!E52/DataA!E51)-1)*100</f>
        <v>-2.1055292625715927</v>
      </c>
      <c r="BH12" s="17">
        <f t="shared" si="10"/>
        <v>-0.34808904673282459</v>
      </c>
      <c r="BI12" s="17">
        <f>((DataA!L52/DataA!L51)-1)*100</f>
        <v>1.6564781739596635</v>
      </c>
    </row>
    <row r="13" spans="1:61" x14ac:dyDescent="0.35">
      <c r="B13" s="17">
        <f t="shared" si="1"/>
        <v>95.780085421229643</v>
      </c>
      <c r="C13" s="17">
        <f t="shared" si="2"/>
        <v>98.678978576551032</v>
      </c>
      <c r="D13">
        <v>100</v>
      </c>
      <c r="F13" s="17">
        <f t="shared" si="3"/>
        <v>89.967229025474538</v>
      </c>
      <c r="G13" s="17">
        <f t="shared" si="0"/>
        <v>92.690189474697249</v>
      </c>
      <c r="H13" s="17">
        <f>100*(DataQ!I184/AVERAGE(DataQ!I$199:I$202))</f>
        <v>93.931038618110605</v>
      </c>
      <c r="J13" s="19">
        <f>DataQ!F184/DataQ!J184</f>
        <v>7.6218651892890117</v>
      </c>
      <c r="K13" s="19">
        <f>(DataQ!F184-DataQ!G184-DataQ!H184)/DataQ!J184</f>
        <v>5.3433795013850416</v>
      </c>
      <c r="N13" s="17"/>
      <c r="O13" s="17"/>
      <c r="P13" s="17"/>
      <c r="Q13" s="17"/>
      <c r="R13" s="17"/>
      <c r="S13" s="17"/>
      <c r="T13" s="17"/>
      <c r="V13" s="17"/>
      <c r="W13" s="17"/>
      <c r="X13" s="17"/>
      <c r="Y13" s="18"/>
      <c r="Z13" s="18"/>
      <c r="AC13" s="17"/>
      <c r="AD13" s="17"/>
      <c r="AE13" s="17"/>
      <c r="AF13" s="17"/>
      <c r="AG13" s="17"/>
      <c r="AH13" s="17"/>
      <c r="AI13" s="17"/>
      <c r="AQ13" s="21">
        <f>(DataQ!N124/DataQ!P124)*100</f>
        <v>4.6749902021163425</v>
      </c>
      <c r="AR13" s="21">
        <f>DataQ!Q124</f>
        <v>5.4366659999999998</v>
      </c>
      <c r="AS13" s="21">
        <f>DataQ!AF124</f>
        <v>4</v>
      </c>
      <c r="AV13" s="17">
        <f>(DataQ!O124/DataQ!P124)*100</f>
        <v>3.4325676562953307</v>
      </c>
      <c r="AW13" s="17">
        <f>(DataQ!N124/DataQ!P124)*100</f>
        <v>4.6749902021163425</v>
      </c>
      <c r="AX13" s="17">
        <f>(DataQ!AG124/DataQ!P124)*100</f>
        <v>-1.2424225458210119</v>
      </c>
      <c r="BA13" s="21">
        <f>((DataQ!E176/DataQ!E172)-1)*100</f>
        <v>-3.3266733266734683E-2</v>
      </c>
      <c r="BB13" s="21">
        <f>((DataQ!D176/DataQ!D172)-1)*100</f>
        <v>2.5568183634103958</v>
      </c>
      <c r="BC13" s="21">
        <f t="shared" si="9"/>
        <v>2.5900850966771305</v>
      </c>
      <c r="BE13">
        <v>2019</v>
      </c>
      <c r="BF13" s="17">
        <f>((DataA!B53/DataA!B52)-1)*100</f>
        <v>3.6025096278697433</v>
      </c>
      <c r="BG13" s="17">
        <f>-((DataA!E53/DataA!E52)-1)*100</f>
        <v>-1.4697096257548337</v>
      </c>
      <c r="BH13" s="17">
        <f t="shared" si="10"/>
        <v>-1.0170160562604558</v>
      </c>
      <c r="BI13" s="17">
        <f>((DataA!L53/DataA!L52)-1)*100</f>
        <v>1.1157839458544538</v>
      </c>
    </row>
    <row r="14" spans="1:61" x14ac:dyDescent="0.35">
      <c r="B14" s="17">
        <f t="shared" si="1"/>
        <v>96.107743187272035</v>
      </c>
      <c r="C14" s="17">
        <f t="shared" si="2"/>
        <v>99.286748213623483</v>
      </c>
      <c r="D14">
        <v>100</v>
      </c>
      <c r="F14" s="17">
        <f t="shared" si="3"/>
        <v>90.677718257133222</v>
      </c>
      <c r="G14" s="17">
        <f t="shared" si="0"/>
        <v>93.677111568823037</v>
      </c>
      <c r="H14" s="17">
        <f>100*(DataQ!I185/AVERAGE(DataQ!I$199:I$202))</f>
        <v>94.350065093550199</v>
      </c>
      <c r="J14" s="19">
        <f>DataQ!F185/DataQ!J185</f>
        <v>7.6820565856541334</v>
      </c>
      <c r="K14" s="19">
        <f>(DataQ!F185-DataQ!G185-DataQ!H185)/DataQ!J185</f>
        <v>5.4002733249612174</v>
      </c>
      <c r="N14" s="17"/>
      <c r="O14" s="17"/>
      <c r="P14" s="17"/>
      <c r="Q14" s="17"/>
      <c r="R14" s="17"/>
      <c r="S14" s="17"/>
      <c r="T14" s="17"/>
      <c r="V14" s="17"/>
      <c r="W14" s="17"/>
      <c r="X14" s="17"/>
      <c r="Y14" s="18"/>
      <c r="Z14" s="18"/>
      <c r="AC14" s="17"/>
      <c r="AD14" s="17"/>
      <c r="AE14" s="17"/>
      <c r="AF14" s="17"/>
      <c r="AG14" s="17"/>
      <c r="AH14" s="17"/>
      <c r="AI14" s="17"/>
      <c r="AQ14" s="21">
        <f>(DataQ!N125/DataQ!P125)*100</f>
        <v>4.7875188008259615</v>
      </c>
      <c r="AR14" s="21">
        <f>DataQ!Q125</f>
        <v>5.3133340000000002</v>
      </c>
      <c r="AS14" s="21">
        <f>DataQ!AF125</f>
        <v>4</v>
      </c>
      <c r="AV14" s="17">
        <f>(DataQ!O125/DataQ!P125)*100</f>
        <v>3.5414382950518775</v>
      </c>
      <c r="AW14" s="17">
        <f>(DataQ!N125/DataQ!P125)*100</f>
        <v>4.7875188008259615</v>
      </c>
      <c r="AX14" s="17">
        <f>(DataQ!AG125/DataQ!P125)*100</f>
        <v>-1.2460805057740842</v>
      </c>
      <c r="BA14" s="21">
        <f>((DataQ!E177/DataQ!E173)-1)*100</f>
        <v>3.3355537069090779E-2</v>
      </c>
      <c r="BB14" s="21">
        <f>((DataQ!D177/DataQ!D173)-1)*100</f>
        <v>2.9078085106382989</v>
      </c>
      <c r="BC14" s="21">
        <f t="shared" si="9"/>
        <v>2.8744529735692081</v>
      </c>
      <c r="BE14">
        <v>2020</v>
      </c>
      <c r="BF14" s="17">
        <f>((DataA!B54/DataA!B53)-1)*100</f>
        <v>6.2217731778257956E-2</v>
      </c>
      <c r="BG14" s="17">
        <f>-((DataA!E54/DataA!E53)-1)*100</f>
        <v>-0.15584021817629523</v>
      </c>
      <c r="BH14" s="17">
        <f t="shared" si="10"/>
        <v>-12.872186795007167</v>
      </c>
      <c r="BI14" s="17">
        <f>((DataA!L54/DataA!L53)-1)*100</f>
        <v>-12.965809281405205</v>
      </c>
    </row>
    <row r="15" spans="1:61" x14ac:dyDescent="0.35">
      <c r="B15" s="17">
        <f t="shared" si="1"/>
        <v>95.865558464251563</v>
      </c>
      <c r="C15" s="17">
        <f t="shared" si="2"/>
        <v>97.828059313531597</v>
      </c>
      <c r="D15">
        <v>100</v>
      </c>
      <c r="F15" s="17">
        <f t="shared" si="3"/>
        <v>91.0034136902852</v>
      </c>
      <c r="G15" s="17">
        <f t="shared" si="0"/>
        <v>92.866379697218377</v>
      </c>
      <c r="H15" s="17">
        <f>100*(DataQ!I186/AVERAGE(DataQ!I$199:I$202))</f>
        <v>94.928163094382356</v>
      </c>
      <c r="J15" s="19">
        <f>DataQ!F186/DataQ!J186</f>
        <v>7.7096489291234267</v>
      </c>
      <c r="K15" s="19">
        <f>(DataQ!F186-DataQ!G186-DataQ!H186)/DataQ!J186</f>
        <v>5.3535364686833002</v>
      </c>
      <c r="N15" s="17"/>
      <c r="O15" s="17"/>
      <c r="P15" s="17"/>
      <c r="Q15" s="17"/>
      <c r="R15" s="17"/>
      <c r="S15" s="17"/>
      <c r="T15" s="17"/>
      <c r="V15" s="17"/>
      <c r="W15" s="17"/>
      <c r="X15" s="17"/>
      <c r="Y15" s="18"/>
      <c r="Z15" s="18"/>
      <c r="AC15" s="17"/>
      <c r="AD15" s="17"/>
      <c r="AE15" s="17"/>
      <c r="AF15" s="17"/>
      <c r="AG15" s="17"/>
      <c r="AH15" s="17"/>
      <c r="AI15" s="17"/>
      <c r="AQ15" s="21">
        <f>(DataQ!N126/DataQ!P126)*100</f>
        <v>4.8748014221953246</v>
      </c>
      <c r="AR15" s="21">
        <f>DataQ!Q126</f>
        <v>5.2966670000000002</v>
      </c>
      <c r="AS15" s="21">
        <f>DataQ!AF126</f>
        <v>4</v>
      </c>
      <c r="AV15" s="17">
        <f>(DataQ!O126/DataQ!P126)*100</f>
        <v>3.5554883122777818</v>
      </c>
      <c r="AW15" s="17">
        <f>(DataQ!N126/DataQ!P126)*100</f>
        <v>4.8748014221953246</v>
      </c>
      <c r="AX15" s="17">
        <f>(DataQ!AG126/DataQ!P126)*100</f>
        <v>-1.3193131099175428</v>
      </c>
      <c r="BA15" s="21">
        <f>((DataQ!E178/DataQ!E174)-1)*100</f>
        <v>9.9800399201588341E-2</v>
      </c>
      <c r="BB15" s="21">
        <f>((DataQ!D178/DataQ!D174)-1)*100</f>
        <v>1.8907563025210017</v>
      </c>
      <c r="BC15" s="21">
        <f t="shared" si="9"/>
        <v>1.7909559033194133</v>
      </c>
      <c r="BE15">
        <v>2021</v>
      </c>
      <c r="BF15" s="17">
        <f>((DataA!B55/DataA!B54)-1)*100</f>
        <v>3.7385151038678899</v>
      </c>
      <c r="BG15" s="17">
        <f>-((DataA!E55/DataA!E54)-1)*100</f>
        <v>-2.4044562616006848</v>
      </c>
      <c r="BH15" s="17">
        <f t="shared" si="10"/>
        <v>6.1160868370250032</v>
      </c>
      <c r="BI15" s="17">
        <f>((DataA!L55/DataA!L54)-1)*100</f>
        <v>7.4501456792922083</v>
      </c>
    </row>
    <row r="16" spans="1:61" x14ac:dyDescent="0.35">
      <c r="A16">
        <v>2018</v>
      </c>
      <c r="B16" s="17">
        <f t="shared" si="1"/>
        <v>96.253212879914116</v>
      </c>
      <c r="C16" s="17">
        <f t="shared" si="2"/>
        <v>99.998492851307603</v>
      </c>
      <c r="D16">
        <v>100</v>
      </c>
      <c r="F16" s="17">
        <f t="shared" si="3"/>
        <v>91.876651242559234</v>
      </c>
      <c r="G16" s="17">
        <f t="shared" si="0"/>
        <v>95.451636133367671</v>
      </c>
      <c r="H16" s="17">
        <f>100*(DataQ!I187/AVERAGE(DataQ!I$199:I$202))</f>
        <v>95.453074753135667</v>
      </c>
      <c r="J16" s="19">
        <f>DataQ!F187/DataQ!J187</f>
        <v>7.7836280765724704</v>
      </c>
      <c r="K16" s="19">
        <f>(DataQ!F187-DataQ!G187-DataQ!H187)/DataQ!J187</f>
        <v>5.5025706472196898</v>
      </c>
      <c r="M16" s="16" t="s">
        <v>688</v>
      </c>
      <c r="N16" s="17"/>
      <c r="O16" s="17"/>
      <c r="P16" s="17"/>
      <c r="Q16" s="17"/>
      <c r="R16" s="17"/>
      <c r="S16" s="17"/>
      <c r="T16" s="17"/>
      <c r="V16" s="17"/>
      <c r="W16" s="17"/>
      <c r="X16" s="17"/>
      <c r="Y16" s="18"/>
      <c r="Z16" s="18"/>
      <c r="AB16" s="16" t="s">
        <v>689</v>
      </c>
      <c r="AC16" s="17"/>
      <c r="AD16" s="17"/>
      <c r="AE16" s="17"/>
      <c r="AF16" s="17"/>
      <c r="AG16" s="17"/>
      <c r="AH16" s="17"/>
      <c r="AI16" s="17"/>
      <c r="AP16">
        <v>2003</v>
      </c>
      <c r="AQ16" s="21">
        <f>(DataQ!N127/DataQ!P127)*100</f>
        <v>4.884477904027797</v>
      </c>
      <c r="AR16" s="21">
        <f>DataQ!Q127</f>
        <v>5.1733330000000004</v>
      </c>
      <c r="AS16" s="21">
        <f>DataQ!AF127</f>
        <v>3.8515630000000001</v>
      </c>
      <c r="AU16">
        <v>2003</v>
      </c>
      <c r="AV16" s="17">
        <f>(DataQ!O127/DataQ!P127)*100</f>
        <v>3.584479900952533</v>
      </c>
      <c r="AW16" s="17">
        <f>(DataQ!N127/DataQ!P127)*100</f>
        <v>4.884477904027797</v>
      </c>
      <c r="AX16" s="17">
        <f>(DataQ!AG127/DataQ!P127)*100</f>
        <v>-1.299998003075264</v>
      </c>
      <c r="AZ16">
        <v>2016</v>
      </c>
      <c r="BA16" s="21">
        <f>((DataQ!E179/DataQ!E175)-1)*100</f>
        <v>0.33501507537689879</v>
      </c>
      <c r="BB16" s="21">
        <f>((DataQ!D179/DataQ!D175)-1)*100</f>
        <v>2.1617782426778254</v>
      </c>
      <c r="BC16" s="21">
        <f t="shared" si="9"/>
        <v>1.8267631673009266</v>
      </c>
      <c r="BE16">
        <v>2022</v>
      </c>
      <c r="BF16" s="17">
        <f>((DataA!B56/DataA!B55)-1)*100</f>
        <v>6.3557082890482119</v>
      </c>
      <c r="BG16" s="17">
        <f>-((DataA!E56/DataA!E55)-1)*100</f>
        <v>-8.329441450646847</v>
      </c>
      <c r="BH16" s="17">
        <f t="shared" si="10"/>
        <v>6.7243323285820065</v>
      </c>
      <c r="BI16" s="17">
        <f>((DataA!L56/DataA!L55)-1)*100</f>
        <v>4.7505991669833714</v>
      </c>
    </row>
    <row r="17" spans="1:61" x14ac:dyDescent="0.35">
      <c r="B17" s="17">
        <f t="shared" si="1"/>
        <v>95.583106205470415</v>
      </c>
      <c r="C17" s="17">
        <f t="shared" si="2"/>
        <v>98.256226682605913</v>
      </c>
      <c r="D17">
        <v>100</v>
      </c>
      <c r="F17" s="17">
        <f t="shared" si="3"/>
        <v>91.516259390068839</v>
      </c>
      <c r="G17" s="17">
        <f t="shared" si="0"/>
        <v>94.075644585613333</v>
      </c>
      <c r="H17" s="17">
        <f>100*(DataQ!I188/AVERAGE(DataQ!I$199:I$202))</f>
        <v>95.745224258919492</v>
      </c>
      <c r="J17" s="19">
        <f>DataQ!F188/DataQ!J188</f>
        <v>7.7530963135654964</v>
      </c>
      <c r="K17" s="19">
        <f>(DataQ!F188-DataQ!G188-DataQ!H188)/DataQ!J188</f>
        <v>5.4232478507941133</v>
      </c>
      <c r="N17" t="s">
        <v>542</v>
      </c>
      <c r="O17" t="s">
        <v>543</v>
      </c>
      <c r="P17" t="s">
        <v>544</v>
      </c>
      <c r="Q17" t="s">
        <v>545</v>
      </c>
      <c r="R17" t="s">
        <v>546</v>
      </c>
      <c r="S17" t="s">
        <v>547</v>
      </c>
      <c r="T17" t="s">
        <v>548</v>
      </c>
      <c r="V17" t="s">
        <v>394</v>
      </c>
      <c r="W17" t="s">
        <v>532</v>
      </c>
      <c r="X17" t="s">
        <v>549</v>
      </c>
      <c r="Y17" t="s">
        <v>509</v>
      </c>
      <c r="Z17" t="s">
        <v>550</v>
      </c>
      <c r="AC17" t="s">
        <v>542</v>
      </c>
      <c r="AD17" t="s">
        <v>543</v>
      </c>
      <c r="AE17" t="s">
        <v>569</v>
      </c>
      <c r="AF17" s="27" t="s">
        <v>544</v>
      </c>
      <c r="AG17" t="s">
        <v>570</v>
      </c>
      <c r="AH17" t="s">
        <v>547</v>
      </c>
      <c r="AI17" t="s">
        <v>548</v>
      </c>
      <c r="AQ17" s="21">
        <f>(DataQ!N128/DataQ!P128)*100</f>
        <v>4.8031425765556648</v>
      </c>
      <c r="AR17" s="21">
        <f>DataQ!Q128</f>
        <v>5.01</v>
      </c>
      <c r="AS17" s="21">
        <f>DataQ!AF128</f>
        <v>3.75</v>
      </c>
      <c r="AV17" s="17">
        <f>(DataQ!O128/DataQ!P128)*100</f>
        <v>3.5924371831880091</v>
      </c>
      <c r="AW17" s="17">
        <f>(DataQ!N128/DataQ!P128)*100</f>
        <v>4.8031425765556648</v>
      </c>
      <c r="AX17" s="17">
        <f>(DataQ!AG128/DataQ!P128)*100</f>
        <v>-1.2107053933676557</v>
      </c>
      <c r="BA17" s="21">
        <f>((DataQ!E180/DataQ!E176)-1)*100</f>
        <v>0.33307783708267369</v>
      </c>
      <c r="BB17" s="21">
        <f>((DataQ!D180/DataQ!D176)-1)*100</f>
        <v>2.5623408976690243</v>
      </c>
      <c r="BC17" s="21">
        <f t="shared" si="9"/>
        <v>2.2292630605863506</v>
      </c>
      <c r="BE17">
        <v>2023</v>
      </c>
      <c r="BF17" s="17">
        <f>((DataA!B57/DataA!B56)-1)*100</f>
        <v>8.8430916969696618</v>
      </c>
      <c r="BG17" s="17">
        <f>-((DataA!E57/DataA!E56)-1)*100</f>
        <v>-7.1222399328934705</v>
      </c>
      <c r="BH17" s="17">
        <f t="shared" si="10"/>
        <v>-1.4000168974044316</v>
      </c>
      <c r="BI17" s="17">
        <f>((DataA!L57/DataA!L56)-1)*100</f>
        <v>0.32083486667175976</v>
      </c>
    </row>
    <row r="18" spans="1:61" x14ac:dyDescent="0.35">
      <c r="B18" s="17">
        <f t="shared" si="1"/>
        <v>96.548700518765585</v>
      </c>
      <c r="C18" s="17">
        <f t="shared" si="2"/>
        <v>98.813666261789393</v>
      </c>
      <c r="D18">
        <v>100</v>
      </c>
      <c r="F18" s="17">
        <f t="shared" si="3"/>
        <v>92.973104081266129</v>
      </c>
      <c r="G18" s="17">
        <f t="shared" si="0"/>
        <v>95.154188804677034</v>
      </c>
      <c r="H18" s="17">
        <f>100*(DataQ!I189/AVERAGE(DataQ!I$199:I$202))</f>
        <v>96.296587713467474</v>
      </c>
      <c r="J18" s="19">
        <f>DataQ!F189/DataQ!J189</f>
        <v>7.8765176299527448</v>
      </c>
      <c r="K18" s="19">
        <f>(DataQ!F189-DataQ!G189-DataQ!H189)/DataQ!J189</f>
        <v>5.485423482370047</v>
      </c>
      <c r="M18" t="s">
        <v>660</v>
      </c>
      <c r="N18" s="17">
        <f t="shared" ref="N18:N25" si="18">((W22/W18)-1)*-100</f>
        <v>-1.5146390421261646</v>
      </c>
      <c r="O18" s="17">
        <f>-100*((DataQ!AN191+DataQ!AO191)-(DataQ!AN187+DataQ!AO187))/DataQ!AI187</f>
        <v>-1.463445495354301</v>
      </c>
      <c r="P18" s="17"/>
      <c r="Q18" s="17"/>
      <c r="R18" s="17"/>
      <c r="S18" s="17">
        <f>100*((DataQ!AQ191-DataQ!AQ187)/DataQ!AI187)</f>
        <v>0.53976954112399744</v>
      </c>
      <c r="T18" s="17"/>
      <c r="V18" s="17">
        <f>((DataQ!AI191/DataQ!AI187)-1)*100</f>
        <v>2.4265185871093609</v>
      </c>
      <c r="W18" s="17">
        <f>100*((DataQ!AR187+DataQ!AS187)/(DataQ!AT187+DataQ!AU187))</f>
        <v>97.869958988380048</v>
      </c>
      <c r="X18" s="25">
        <f>100*((DataQ!AK191-DataQ!AK187)/DataQ!AI187)</f>
        <v>2.077695756324391</v>
      </c>
      <c r="Y18" s="23">
        <f>1000*(DataQ!AK191/DataQ!AM191)</f>
        <v>7998.0792229913377</v>
      </c>
      <c r="Z18" s="18">
        <f>(Y18*DataQ!AM191)/1000</f>
        <v>220690.99999999997</v>
      </c>
      <c r="AA18" s="7"/>
      <c r="AC18" s="17"/>
      <c r="AD18" s="17"/>
      <c r="AE18" s="17"/>
      <c r="AF18" s="17"/>
      <c r="AG18" s="17"/>
      <c r="AH18" s="17"/>
      <c r="AI18" s="17"/>
      <c r="AQ18" s="21">
        <f>(DataQ!N129/DataQ!P129)*100</f>
        <v>4.5972279401674214</v>
      </c>
      <c r="AR18" s="21">
        <f>DataQ!Q129</f>
        <v>4.8499999999999996</v>
      </c>
      <c r="AS18" s="21">
        <f>DataQ!AF129</f>
        <v>3.5265149999999998</v>
      </c>
      <c r="AV18" s="17">
        <f>(DataQ!O129/DataQ!P129)*100</f>
        <v>3.3464682703052402</v>
      </c>
      <c r="AW18" s="17">
        <f>(DataQ!N129/DataQ!P129)*100</f>
        <v>4.5972279401674214</v>
      </c>
      <c r="AX18" s="17">
        <f>(DataQ!AG129/DataQ!P129)*100</f>
        <v>-1.2507596698621812</v>
      </c>
      <c r="BA18" s="21">
        <f>((DataQ!E181/DataQ!E177)-1)*100</f>
        <v>0.69883504198500201</v>
      </c>
      <c r="BB18" s="21">
        <f>((DataQ!D181/DataQ!D177)-1)*100</f>
        <v>2.343204524934217</v>
      </c>
      <c r="BC18" s="21">
        <f t="shared" si="9"/>
        <v>1.644369482949215</v>
      </c>
      <c r="BE18">
        <v>2024</v>
      </c>
      <c r="BF18" s="17">
        <f>((DataA!B58/DataA!B57)-1)*100</f>
        <v>3.2819241583410985</v>
      </c>
      <c r="BG18" s="17">
        <f>-((DataA!E58/DataA!E57)-1)*100</f>
        <v>-2.1686234773592883</v>
      </c>
      <c r="BH18" s="17">
        <f t="shared" si="10"/>
        <v>-0.51427730460382737</v>
      </c>
      <c r="BI18" s="17">
        <f>((DataA!L58/DataA!L57)-1)*100</f>
        <v>0.59902337637798286</v>
      </c>
    </row>
    <row r="19" spans="1:61" x14ac:dyDescent="0.35">
      <c r="B19" s="17">
        <f t="shared" si="1"/>
        <v>96.966791047945904</v>
      </c>
      <c r="C19" s="17">
        <f t="shared" si="2"/>
        <v>98.824912414586933</v>
      </c>
      <c r="D19">
        <v>100</v>
      </c>
      <c r="F19" s="17">
        <f t="shared" si="3"/>
        <v>93.918556757039823</v>
      </c>
      <c r="G19" s="17">
        <f t="shared" si="0"/>
        <v>95.718266483930279</v>
      </c>
      <c r="H19" s="17">
        <f>100*(DataQ!I190/AVERAGE(DataQ!I$199:I$202))</f>
        <v>96.856414182667066</v>
      </c>
      <c r="J19" s="19">
        <f>DataQ!F190/DataQ!J190</f>
        <v>7.956614715476622</v>
      </c>
      <c r="K19" s="19">
        <f>(DataQ!F190-DataQ!G190-DataQ!H190)/DataQ!J190</f>
        <v>5.5179412830735775</v>
      </c>
      <c r="M19" t="s">
        <v>661</v>
      </c>
      <c r="N19" s="17">
        <f t="shared" si="18"/>
        <v>-1.749453748356844</v>
      </c>
      <c r="O19" s="17">
        <f>-100*((DataQ!AN192+DataQ!AO192)-(DataQ!AN188+DataQ!AO188))/DataQ!AI188</f>
        <v>-1.0537859729314305</v>
      </c>
      <c r="P19" s="17">
        <f>V19-O19-Q19-R19-S19</f>
        <v>1.8844951556356413</v>
      </c>
      <c r="Q19" s="17">
        <f>X19-R19</f>
        <v>2.286341148158658</v>
      </c>
      <c r="R19" s="17">
        <f>100*((Z19-Z18)/DataQ!AI190)</f>
        <v>0.98007874280716367</v>
      </c>
      <c r="S19" s="17">
        <f>100*((DataQ!AQ192-DataQ!AQ188)/DataQ!AI188)</f>
        <v>0.5578358960778782</v>
      </c>
      <c r="T19" s="17">
        <f>SUM(N19:S19)</f>
        <v>2.905511221391067</v>
      </c>
      <c r="V19" s="17">
        <f>((DataQ!AI192/DataQ!AI188)-1)*100</f>
        <v>4.6549649697479101</v>
      </c>
      <c r="W19" s="17">
        <f>100*((DataQ!AR188+DataQ!AS188)/(DataQ!AT188+DataQ!AU188))</f>
        <v>98.162563514738849</v>
      </c>
      <c r="X19" s="25">
        <f>100*((DataQ!AK192-DataQ!AK188)/DataQ!AI188)</f>
        <v>3.2664198909658215</v>
      </c>
      <c r="Y19" s="23">
        <f>1000*(DataQ!AK192/DataQ!AM192)</f>
        <v>8102.4250966785939</v>
      </c>
      <c r="Z19" s="18">
        <f>(Y19*DataQ!AM192)/1000</f>
        <v>224186.00000000003</v>
      </c>
      <c r="AC19" s="17">
        <f>N19</f>
        <v>-1.749453748356844</v>
      </c>
      <c r="AD19" s="17">
        <f>O19</f>
        <v>-1.0537859729314305</v>
      </c>
      <c r="AE19" s="17">
        <f t="shared" ref="AE19:AE45" si="19">X19</f>
        <v>3.2664198909658215</v>
      </c>
      <c r="AF19" s="17">
        <f t="shared" ref="AF19:AF45" si="20">V19-AD19-AE19-AG19-AH19</f>
        <v>1.8399389846059535</v>
      </c>
      <c r="AG19" s="17">
        <f>100*((DataQ!AP192-DataQ!AP188)/DataQ!AI192)</f>
        <v>4.4556171029687612E-2</v>
      </c>
      <c r="AH19" s="17">
        <f t="shared" ref="AH19:AH45" si="21">S19</f>
        <v>0.5578358960778782</v>
      </c>
      <c r="AI19" s="17">
        <f>SUM(AC19:AH19)</f>
        <v>2.9055112213910661</v>
      </c>
      <c r="AQ19" s="21">
        <f>(DataQ!N130/DataQ!P130)*100</f>
        <v>4.7074177345642445</v>
      </c>
      <c r="AR19" s="21">
        <f>DataQ!Q130</f>
        <v>4.806667</v>
      </c>
      <c r="AS19" s="21">
        <f>DataQ!AF130</f>
        <v>3.6515149999999998</v>
      </c>
      <c r="AV19" s="17">
        <f>(DataQ!O130/DataQ!P130)*100</f>
        <v>3.604605804932314</v>
      </c>
      <c r="AW19" s="17">
        <f>(DataQ!N130/DataQ!P130)*100</f>
        <v>4.7074177345642445</v>
      </c>
      <c r="AX19" s="17">
        <f>(DataQ!AG130/DataQ!P130)*100</f>
        <v>-1.1028119296319305</v>
      </c>
      <c r="BA19" s="21">
        <f>((DataQ!E182/DataQ!E178)-1)*100</f>
        <v>1.1964107676969205</v>
      </c>
      <c r="BB19" s="21">
        <f>((DataQ!D182/DataQ!D178)-1)*100</f>
        <v>2.4742268041237025</v>
      </c>
      <c r="BC19" s="21">
        <f t="shared" si="9"/>
        <v>1.2778160364267821</v>
      </c>
      <c r="BE19">
        <v>2025</v>
      </c>
      <c r="BF19" s="17">
        <f>((DataA!B59/DataA!B58)-1)*100</f>
        <v>4.0911099933619077</v>
      </c>
      <c r="BG19" s="17">
        <f>-((DataA!E59/DataA!E58)-1)*100</f>
        <v>-2.1044182915807674</v>
      </c>
      <c r="BH19" s="17">
        <f t="shared" si="10"/>
        <v>0.1880890006168201</v>
      </c>
      <c r="BI19" s="17">
        <f>((DataA!L59/DataA!L58)-1)*100</f>
        <v>2.1747807023979604</v>
      </c>
    </row>
    <row r="20" spans="1:61" x14ac:dyDescent="0.35">
      <c r="A20">
        <v>2019</v>
      </c>
      <c r="B20" s="17">
        <f t="shared" si="1"/>
        <v>97.389030752958675</v>
      </c>
      <c r="C20" s="17">
        <f t="shared" si="2"/>
        <v>99.251344229817747</v>
      </c>
      <c r="D20">
        <v>100</v>
      </c>
      <c r="F20" s="17">
        <f t="shared" si="3"/>
        <v>94.40799690736516</v>
      </c>
      <c r="G20" s="17">
        <f t="shared" si="0"/>
        <v>96.213305817460409</v>
      </c>
      <c r="H20" s="17">
        <f>100*(DataQ!I191/AVERAGE(DataQ!I$199:I$202))</f>
        <v>96.939045575722659</v>
      </c>
      <c r="J20" s="19">
        <f>DataQ!F191/DataQ!J191</f>
        <v>7.998079222991338</v>
      </c>
      <c r="K20" s="19">
        <f>(DataQ!F191-DataQ!G191-DataQ!H191)/DataQ!J191</f>
        <v>5.5464791795020476</v>
      </c>
      <c r="M20" t="s">
        <v>662</v>
      </c>
      <c r="N20" s="17">
        <f t="shared" si="18"/>
        <v>-1.5658764932695135</v>
      </c>
      <c r="O20" s="17">
        <f>-100*((DataQ!AN193+DataQ!AO193)-(DataQ!AN189+DataQ!AO189))/DataQ!AI189</f>
        <v>-0.61138359758184102</v>
      </c>
      <c r="P20" s="17">
        <f t="shared" ref="P20:P45" si="22">V20-O20-Q20-R20-S20</f>
        <v>2.2436409262005208</v>
      </c>
      <c r="Q20" s="17">
        <f t="shared" ref="Q20:Q45" si="23">X20-R20</f>
        <v>2.13676621384008</v>
      </c>
      <c r="R20" s="17">
        <f>100*((Z20-Z19)/DataQ!AI191)</f>
        <v>-0.17800038744564645</v>
      </c>
      <c r="S20" s="17">
        <f>100*((DataQ!AQ193-DataQ!AQ189)/DataQ!AI189)</f>
        <v>0.55919926998973424</v>
      </c>
      <c r="T20" s="17">
        <f>SUM(N20:S20)</f>
        <v>2.5843459317333339</v>
      </c>
      <c r="V20" s="17">
        <f>((DataQ!AI193/DataQ!AI189)-1)*100</f>
        <v>4.1502224250028474</v>
      </c>
      <c r="W20" s="17">
        <f>100*((DataQ!AR189+DataQ!AS189)/(DataQ!AT189+DataQ!AU189))</f>
        <v>98.740480043455136</v>
      </c>
      <c r="X20" s="25">
        <f>100*((DataQ!AK193-DataQ!AK189)/DataQ!AI189)</f>
        <v>1.9587658263944336</v>
      </c>
      <c r="Y20" s="23">
        <f>1000*(DataQ!AK193/DataQ!AM193)</f>
        <v>8093.845039826213</v>
      </c>
      <c r="Z20" s="18">
        <f>(Y20*DataQ!AM193)/1000</f>
        <v>223552</v>
      </c>
      <c r="AC20" s="17">
        <f>N20</f>
        <v>-1.5658764932695135</v>
      </c>
      <c r="AD20" s="17">
        <f t="shared" ref="AD20:AD44" si="24">O20</f>
        <v>-0.61138359758184102</v>
      </c>
      <c r="AE20" s="17">
        <f t="shared" si="19"/>
        <v>1.9587658263944336</v>
      </c>
      <c r="AF20" s="17">
        <f t="shared" si="20"/>
        <v>2.2524024325224952</v>
      </c>
      <c r="AG20" s="17">
        <f>100*((DataQ!AP193-DataQ!AP189)/DataQ!AI193)</f>
        <v>-8.7615063219744042E-3</v>
      </c>
      <c r="AH20" s="17">
        <f t="shared" si="21"/>
        <v>0.55919926998973424</v>
      </c>
      <c r="AI20" s="17">
        <f t="shared" ref="AI20:AI45" si="25">SUM(AC20:AH20)</f>
        <v>2.5843459317333339</v>
      </c>
      <c r="AP20">
        <v>2004</v>
      </c>
      <c r="AQ20" s="21">
        <f>(DataQ!N131/DataQ!P131)*100</f>
        <v>5.2115923725326985</v>
      </c>
      <c r="AR20" s="21">
        <f>DataQ!Q131</f>
        <v>4.983333</v>
      </c>
      <c r="AS20" s="21">
        <f>DataQ!AF131</f>
        <v>3.9038460000000001</v>
      </c>
      <c r="AU20">
        <v>2004</v>
      </c>
      <c r="AV20" s="17">
        <f>(DataQ!O131/DataQ!P131)*100</f>
        <v>3.818039170661232</v>
      </c>
      <c r="AW20" s="17">
        <f>(DataQ!N131/DataQ!P131)*100</f>
        <v>5.2115923725326985</v>
      </c>
      <c r="AX20" s="17">
        <f>(DataQ!AG131/DataQ!P131)*100</f>
        <v>-1.3935532018714658</v>
      </c>
      <c r="AZ20">
        <v>2017</v>
      </c>
      <c r="BA20" s="21">
        <f>((DataQ!E183/DataQ!E179)-1)*100</f>
        <v>2.1702769836208891</v>
      </c>
      <c r="BB20" s="21">
        <f>((DataQ!D183/DataQ!D179)-1)*100</f>
        <v>2.1843073163349658</v>
      </c>
      <c r="BC20" s="21">
        <f t="shared" si="9"/>
        <v>1.4030332714076721E-2</v>
      </c>
      <c r="BE20">
        <v>2026</v>
      </c>
      <c r="BF20" s="17">
        <f>((DataA!B60/DataA!B59)-1)*100</f>
        <v>4.1649462786075064</v>
      </c>
      <c r="BG20" s="17">
        <f>-((DataA!E60/DataA!E59)-1)*100</f>
        <v>-2.1990120835726046</v>
      </c>
      <c r="BH20" s="17">
        <f t="shared" si="10"/>
        <v>0.26466546172962957</v>
      </c>
      <c r="BI20" s="17">
        <f>((DataA!L60/DataA!L59)-1)*100</f>
        <v>2.2305996567645314</v>
      </c>
    </row>
    <row r="21" spans="1:61" x14ac:dyDescent="0.35">
      <c r="B21" s="17">
        <f t="shared" si="1"/>
        <v>98.207555290683118</v>
      </c>
      <c r="C21" s="17">
        <f t="shared" si="2"/>
        <v>100.7925740779386</v>
      </c>
      <c r="D21">
        <v>100</v>
      </c>
      <c r="F21" s="17">
        <f t="shared" si="3"/>
        <v>95.639678245560049</v>
      </c>
      <c r="G21" s="17">
        <f t="shared" si="0"/>
        <v>98.157105385865805</v>
      </c>
      <c r="H21" s="17">
        <f>100*(DataQ!I192/AVERAGE(DataQ!I$199:I$202))</f>
        <v>97.385255098222899</v>
      </c>
      <c r="J21" s="19">
        <f>DataQ!F192/DataQ!J192</f>
        <v>8.1024250966785942</v>
      </c>
      <c r="K21" s="19">
        <f>(DataQ!F192-DataQ!G192-DataQ!H192)/DataQ!J192</f>
        <v>5.6585348223643788</v>
      </c>
      <c r="M21" t="s">
        <v>663</v>
      </c>
      <c r="N21" s="17">
        <f t="shared" si="18"/>
        <v>-1.2057513758251037</v>
      </c>
      <c r="O21" s="17">
        <f>-100*((DataQ!AN194+DataQ!AO194)-(DataQ!AN190+DataQ!AO190))/DataQ!AI190</f>
        <v>7.5714237641753878E-3</v>
      </c>
      <c r="P21" s="17">
        <f t="shared" si="22"/>
        <v>1.5468138327107974</v>
      </c>
      <c r="Q21" s="17">
        <f t="shared" si="23"/>
        <v>1.1318763681343813</v>
      </c>
      <c r="R21" s="17">
        <f>100*((Z21-Z20)/DataQ!AI192)</f>
        <v>0.10478951334759865</v>
      </c>
      <c r="S21" s="17">
        <f>100*((DataQ!AQ194-DataQ!AQ190)/DataQ!AI190)</f>
        <v>0.39427488194187388</v>
      </c>
      <c r="T21" s="17">
        <f>SUM(N21:S21)</f>
        <v>1.9795746440737227</v>
      </c>
      <c r="V21" s="17">
        <f>((DataQ!AI194/DataQ!AI190)-1)*100</f>
        <v>3.1853260198988265</v>
      </c>
      <c r="W21" s="17">
        <f>100*((DataQ!AR190+DataQ!AS190)/(DataQ!AT190+DataQ!AU190))</f>
        <v>99.285766261971531</v>
      </c>
      <c r="X21" s="25">
        <f>100*((DataQ!AK194-DataQ!AK190)/DataQ!AI190)</f>
        <v>1.23666588148198</v>
      </c>
      <c r="Y21" s="23">
        <f>1000*(DataQ!AK194/DataQ!AM194)</f>
        <v>8076.642862295319</v>
      </c>
      <c r="Z21" s="18">
        <f>(Y21*DataQ!AM194)/1000</f>
        <v>223933</v>
      </c>
      <c r="AB21" s="7"/>
      <c r="AC21" s="17">
        <f>N21</f>
        <v>-1.2057513758251037</v>
      </c>
      <c r="AD21" s="17">
        <f t="shared" si="24"/>
        <v>7.5714237641753878E-3</v>
      </c>
      <c r="AE21" s="17">
        <f t="shared" si="19"/>
        <v>1.23666588148198</v>
      </c>
      <c r="AF21" s="17">
        <f t="shared" si="20"/>
        <v>1.4739804228299125</v>
      </c>
      <c r="AG21" s="17">
        <f>100*((DataQ!AP194-DataQ!AP190)/DataQ!AI194)</f>
        <v>7.2833409880884756E-2</v>
      </c>
      <c r="AH21" s="17">
        <f t="shared" si="21"/>
        <v>0.39427488194187388</v>
      </c>
      <c r="AI21" s="17">
        <f t="shared" si="25"/>
        <v>1.9795746440737227</v>
      </c>
      <c r="AQ21" s="21">
        <f>(DataQ!N132/DataQ!P132)*100</f>
        <v>5.6404988856586868</v>
      </c>
      <c r="AR21" s="21">
        <f>DataQ!Q132</f>
        <v>5.1033330000000001</v>
      </c>
      <c r="AS21" s="21">
        <f>DataQ!AF132</f>
        <v>4.211538</v>
      </c>
      <c r="AV21" s="17">
        <f>(DataQ!O132/DataQ!P132)*100</f>
        <v>4.2882115410892743</v>
      </c>
      <c r="AW21" s="17">
        <f>(DataQ!N132/DataQ!P132)*100</f>
        <v>5.6404988856586868</v>
      </c>
      <c r="AX21" s="17">
        <f>(DataQ!AG132/DataQ!P132)*100</f>
        <v>-1.3522873445694119</v>
      </c>
      <c r="BA21" s="21">
        <f>((DataQ!E184/DataQ!E180)-1)*100</f>
        <v>2.7556772908366556</v>
      </c>
      <c r="BB21" s="21">
        <f>((DataQ!D184/DataQ!D180)-1)*100</f>
        <v>2.1606885779413609</v>
      </c>
      <c r="BC21" s="21">
        <f t="shared" si="9"/>
        <v>-0.59498871289529465</v>
      </c>
    </row>
    <row r="22" spans="1:61" x14ac:dyDescent="0.35">
      <c r="B22" s="17">
        <f t="shared" si="1"/>
        <v>97.728172139636158</v>
      </c>
      <c r="C22" s="17">
        <f t="shared" si="2"/>
        <v>99.983057088985476</v>
      </c>
      <c r="D22">
        <v>100</v>
      </c>
      <c r="F22" s="17">
        <f t="shared" si="3"/>
        <v>95.538400681509913</v>
      </c>
      <c r="G22" s="17">
        <f t="shared" si="0"/>
        <v>97.742760970514723</v>
      </c>
      <c r="H22" s="17">
        <f>100*(DataQ!I193/AVERAGE(DataQ!I$199:I$202))</f>
        <v>97.759324245830101</v>
      </c>
      <c r="J22" s="19">
        <f>DataQ!F193/DataQ!J193</f>
        <v>8.0938450398262134</v>
      </c>
      <c r="K22" s="19">
        <f>(DataQ!F193-DataQ!G193-DataQ!H193)/DataQ!J193</f>
        <v>5.6346488052136134</v>
      </c>
      <c r="M22" t="s">
        <v>664</v>
      </c>
      <c r="N22" s="17">
        <f t="shared" si="18"/>
        <v>-0.7674848837665893</v>
      </c>
      <c r="O22" s="17">
        <f>-100*((DataQ!AN195+DataQ!AO195)-(DataQ!AN191+DataQ!AO191))/DataQ!AI191</f>
        <v>-0.2653160349150287</v>
      </c>
      <c r="P22" s="17">
        <f t="shared" si="22"/>
        <v>-0.34308592028164886</v>
      </c>
      <c r="Q22" s="17">
        <f t="shared" si="23"/>
        <v>0.91936276842415943</v>
      </c>
      <c r="R22" s="17">
        <f>100*((Z22-Z21)/DataQ!AI193)</f>
        <v>0.35976935334607402</v>
      </c>
      <c r="S22" s="17">
        <f>100*((DataQ!AQ195-DataQ!AQ191)/DataQ!AI191)</f>
        <v>0.99528607806748848</v>
      </c>
      <c r="T22" s="17">
        <f t="shared" ref="T22:T45" si="26">SUM(N22:S22)</f>
        <v>0.89853136087445518</v>
      </c>
      <c r="V22" s="17">
        <f>((DataQ!AI195/DataQ!AI191)-1)*100</f>
        <v>1.6660162446410443</v>
      </c>
      <c r="W22" s="17">
        <f>100*((DataQ!AR191+DataQ!AS191)/(DataQ!AT191+DataQ!AU191))</f>
        <v>99.352335597730928</v>
      </c>
      <c r="X22" s="25">
        <f>100*((DataQ!AK195-DataQ!AK191)/DataQ!AI191)</f>
        <v>1.2791321217702334</v>
      </c>
      <c r="Y22" s="23">
        <f>1000*(DataQ!AK195/DataQ!AM195)</f>
        <v>8091.640622193484</v>
      </c>
      <c r="Z22" s="18">
        <f>(Y22*DataQ!AM195)/1000</f>
        <v>225247</v>
      </c>
      <c r="AB22">
        <v>2020</v>
      </c>
      <c r="AC22" s="17">
        <f t="shared" ref="AC22:AC45" si="27">N26</f>
        <v>-1.7195100320019918</v>
      </c>
      <c r="AD22" s="17">
        <f t="shared" si="24"/>
        <v>-0.2653160349150287</v>
      </c>
      <c r="AE22" s="17">
        <f t="shared" si="19"/>
        <v>1.2791321217702334</v>
      </c>
      <c r="AF22" s="17">
        <f t="shared" si="20"/>
        <v>-0.44940632302885763</v>
      </c>
      <c r="AG22" s="17">
        <f>100*((DataQ!AP195-DataQ!AP191)/DataQ!AI195)</f>
        <v>0.10632040274720875</v>
      </c>
      <c r="AH22" s="17">
        <f t="shared" si="21"/>
        <v>0.99528607806748848</v>
      </c>
      <c r="AI22" s="17">
        <f t="shared" si="25"/>
        <v>-5.3493787360947676E-2</v>
      </c>
      <c r="AQ22" s="21">
        <f>(DataQ!N133/DataQ!P133)*100</f>
        <v>6.2995609072410721</v>
      </c>
      <c r="AR22" s="21">
        <f>DataQ!Q133</f>
        <v>5.4633330000000004</v>
      </c>
      <c r="AS22" s="21">
        <f>DataQ!AF133</f>
        <v>4.655303</v>
      </c>
      <c r="AV22" s="17">
        <f>(DataQ!O133/DataQ!P133)*100</f>
        <v>4.966916712065971</v>
      </c>
      <c r="AW22" s="17">
        <f>(DataQ!N133/DataQ!P133)*100</f>
        <v>6.2995609072410721</v>
      </c>
      <c r="AX22" s="17">
        <f>(DataQ!AG133/DataQ!P133)*100</f>
        <v>-1.3326441951751016</v>
      </c>
      <c r="BA22" s="21">
        <f>((DataQ!E185/DataQ!E181)-1)*100</f>
        <v>2.8089547888450861</v>
      </c>
      <c r="BB22" s="21">
        <f>((DataQ!D185/DataQ!D181)-1)*100</f>
        <v>2.3569090909090873</v>
      </c>
      <c r="BC22" s="21">
        <f t="shared" si="9"/>
        <v>-0.4520456979359988</v>
      </c>
    </row>
    <row r="23" spans="1:61" x14ac:dyDescent="0.35">
      <c r="B23" s="17">
        <f t="shared" si="1"/>
        <v>97.363931897647291</v>
      </c>
      <c r="C23" s="17">
        <f t="shared" si="2"/>
        <v>100.11056701573816</v>
      </c>
      <c r="D23">
        <v>100</v>
      </c>
      <c r="F23" s="17">
        <f t="shared" si="3"/>
        <v>95.335349039002026</v>
      </c>
      <c r="G23" s="17">
        <f t="shared" si="0"/>
        <v>98.024757863835021</v>
      </c>
      <c r="H23" s="17">
        <f>100*(DataQ!I194/AVERAGE(DataQ!I$199:I$202))</f>
        <v>97.916494517931142</v>
      </c>
      <c r="J23" s="19">
        <f>DataQ!F194/DataQ!J194</f>
        <v>8.0766428622953192</v>
      </c>
      <c r="K23" s="19">
        <f>(DataQ!F194-DataQ!G194-DataQ!H194)/DataQ!J194</f>
        <v>5.6509052874558172</v>
      </c>
      <c r="M23" t="s">
        <v>665</v>
      </c>
      <c r="N23" s="17">
        <f t="shared" si="18"/>
        <v>-0.95483806397611559</v>
      </c>
      <c r="O23" s="17">
        <f>-100*((DataQ!AN196+DataQ!AO196)-(DataQ!AN192+DataQ!AO192))/DataQ!AI192</f>
        <v>0.96785904847821425</v>
      </c>
      <c r="P23" s="17">
        <f t="shared" si="22"/>
        <v>-2.6783209474512173</v>
      </c>
      <c r="Q23" s="17">
        <f t="shared" si="23"/>
        <v>0.266764484296522</v>
      </c>
      <c r="R23" s="17">
        <f>100*((Z23-Z22)/DataQ!AI194)</f>
        <v>-2.0809157442460249</v>
      </c>
      <c r="S23" s="17">
        <f>100*((DataQ!AQ196-DataQ!AQ192)/DataQ!AI192)</f>
        <v>1.4942819580511901</v>
      </c>
      <c r="T23" s="17">
        <f t="shared" si="26"/>
        <v>-2.9851692648474311</v>
      </c>
      <c r="V23" s="17">
        <f>((DataQ!AI196/DataQ!AI192)-1)*100</f>
        <v>-2.0303312008713159</v>
      </c>
      <c r="W23" s="17">
        <f>100*((DataQ!AR192+DataQ!AS192)/(DataQ!AT192+DataQ!AU192))</f>
        <v>99.879872161630615</v>
      </c>
      <c r="X23" s="25">
        <f>100*((DataQ!AK196-DataQ!AK192)/DataQ!AI192)</f>
        <v>-1.8141512599495029</v>
      </c>
      <c r="Y23" s="23">
        <f>1000*(DataQ!AK196/DataQ!AM196)</f>
        <v>7847.5853860857651</v>
      </c>
      <c r="Z23" s="18">
        <f>(Y23*DataQ!AM196)/1000</f>
        <v>217590</v>
      </c>
      <c r="AB23" t="s">
        <v>665</v>
      </c>
      <c r="AC23" s="17">
        <f t="shared" si="27"/>
        <v>-1.0241449160098615</v>
      </c>
      <c r="AD23" s="17">
        <f t="shared" si="24"/>
        <v>0.96785904847821425</v>
      </c>
      <c r="AE23" s="17">
        <f t="shared" si="19"/>
        <v>-1.8141512599495029</v>
      </c>
      <c r="AF23" s="17">
        <f t="shared" si="20"/>
        <v>-2.765630466715459</v>
      </c>
      <c r="AG23" s="17">
        <f>100*((DataQ!AP196-DataQ!AP192)/DataQ!AI196)</f>
        <v>8.7309519264241839E-2</v>
      </c>
      <c r="AH23" s="17">
        <f t="shared" si="21"/>
        <v>1.4942819580511901</v>
      </c>
      <c r="AI23" s="17">
        <f t="shared" si="25"/>
        <v>-3.0544761168811769</v>
      </c>
      <c r="AQ23" s="21">
        <f>(DataQ!N134/DataQ!P134)*100</f>
        <v>6.4537855442584835</v>
      </c>
      <c r="AR23" s="21">
        <f>DataQ!Q134</f>
        <v>5.5733329999999999</v>
      </c>
      <c r="AS23" s="21">
        <f>DataQ!AF134</f>
        <v>4.75</v>
      </c>
      <c r="AV23" s="17">
        <f>(DataQ!O134/DataQ!P134)*100</f>
        <v>5.0730721679921764</v>
      </c>
      <c r="AW23" s="17">
        <f>(DataQ!N134/DataQ!P134)*100</f>
        <v>6.4537855442584835</v>
      </c>
      <c r="AX23" s="17">
        <f>(DataQ!AG134/DataQ!P134)*100</f>
        <v>-1.3807133762663075</v>
      </c>
      <c r="BA23" s="21">
        <f>((DataQ!E186/DataQ!E182)-1)*100</f>
        <v>3.0213793103448294</v>
      </c>
      <c r="BB23" s="21">
        <f>((DataQ!D186/DataQ!D182)-1)*100</f>
        <v>2.6827565392354202</v>
      </c>
      <c r="BC23" s="21">
        <f t="shared" si="9"/>
        <v>-0.33862277110940919</v>
      </c>
    </row>
    <row r="24" spans="1:61" x14ac:dyDescent="0.35">
      <c r="A24">
        <v>2020</v>
      </c>
      <c r="B24" s="17">
        <f t="shared" si="1"/>
        <v>98.083585550209534</v>
      </c>
      <c r="C24" s="17">
        <f t="shared" si="2"/>
        <v>100.24812244012583</v>
      </c>
      <c r="D24">
        <v>100</v>
      </c>
      <c r="F24" s="17">
        <f t="shared" si="3"/>
        <v>95.512380102411996</v>
      </c>
      <c r="G24" s="17">
        <f t="shared" si="0"/>
        <v>97.620174888008876</v>
      </c>
      <c r="H24" s="17">
        <f>100*(DataQ!I195/AVERAGE(DataQ!I$199:I$202))</f>
        <v>97.37855683662653</v>
      </c>
      <c r="J24" s="19">
        <f>DataQ!F195/DataQ!J195</f>
        <v>8.0916406221934842</v>
      </c>
      <c r="K24" s="19">
        <f>(DataQ!F195-DataQ!G195-DataQ!H195)/DataQ!J195</f>
        <v>5.6275819951862625</v>
      </c>
      <c r="M24" t="s">
        <v>666</v>
      </c>
      <c r="N24" s="17">
        <f t="shared" si="18"/>
        <v>-0.43518508535460576</v>
      </c>
      <c r="O24" s="17">
        <f>-100*((DataQ!AN197+DataQ!AO197)-(DataQ!AN193+DataQ!AO193))/DataQ!AI193</f>
        <v>0.86656773465778103</v>
      </c>
      <c r="P24" s="17">
        <f t="shared" si="22"/>
        <v>-1.7060295591319494</v>
      </c>
      <c r="Q24" s="17">
        <f t="shared" si="23"/>
        <v>-1.644163076160662</v>
      </c>
      <c r="R24" s="17">
        <f>100*((Z24-Z23)/DataQ!AI195)</f>
        <v>1.3791275099209364</v>
      </c>
      <c r="S24" s="17">
        <f>100*((DataQ!AQ197-DataQ!AQ193)/DataQ!AI193)</f>
        <v>1.6690669543361243</v>
      </c>
      <c r="T24" s="17">
        <f t="shared" si="26"/>
        <v>0.12938447826762434</v>
      </c>
      <c r="V24" s="17">
        <f>((DataQ!AI197/DataQ!AI193)-1)*100</f>
        <v>0.56456956362223032</v>
      </c>
      <c r="W24" s="17">
        <f>100*((DataQ!AR193+DataQ!AS193)/(DataQ!AT193+DataQ!AU193))</f>
        <v>100.28663400979707</v>
      </c>
      <c r="X24" s="25">
        <f>100*((DataQ!AK197-DataQ!AK193)/DataQ!AI193)</f>
        <v>-0.26503556623972579</v>
      </c>
      <c r="Y24" s="23">
        <f>1000*(DataQ!AK197/DataQ!AM197)</f>
        <v>8025.9618505030112</v>
      </c>
      <c r="Z24" s="18">
        <f>(Y24*DataQ!AM197)/1000</f>
        <v>222584</v>
      </c>
      <c r="AB24" t="s">
        <v>666</v>
      </c>
      <c r="AC24" s="17">
        <f t="shared" si="27"/>
        <v>-2.3665684331624526</v>
      </c>
      <c r="AD24" s="17">
        <f t="shared" si="24"/>
        <v>0.86656773465778103</v>
      </c>
      <c r="AE24" s="17">
        <f t="shared" si="19"/>
        <v>-0.26503556623972579</v>
      </c>
      <c r="AF24" s="17">
        <f t="shared" si="20"/>
        <v>-1.8465157065443905</v>
      </c>
      <c r="AG24" s="17">
        <f>100*((DataQ!AP197-DataQ!AP193)/DataQ!AI197)</f>
        <v>0.1404861474124412</v>
      </c>
      <c r="AH24" s="17">
        <f t="shared" si="21"/>
        <v>1.6690669543361243</v>
      </c>
      <c r="AI24" s="17">
        <f t="shared" si="25"/>
        <v>-1.8019988695402223</v>
      </c>
      <c r="AP24">
        <v>2005</v>
      </c>
      <c r="AQ24" s="21">
        <f>(DataQ!N135/DataQ!P135)*100</f>
        <v>6.3325731990988068</v>
      </c>
      <c r="AR24" s="21">
        <f>DataQ!Q135</f>
        <v>5.53</v>
      </c>
      <c r="AS24" s="21">
        <f>DataQ!AF135</f>
        <v>4.75</v>
      </c>
      <c r="AU24">
        <v>2005</v>
      </c>
      <c r="AV24" s="17">
        <f>(DataQ!O135/DataQ!P135)*100</f>
        <v>4.6846509247284311</v>
      </c>
      <c r="AW24" s="17">
        <f>(DataQ!N135/DataQ!P135)*100</f>
        <v>6.3325731990988068</v>
      </c>
      <c r="AX24" s="17">
        <f>(DataQ!AG135/DataQ!P135)*100</f>
        <v>-1.6479222743703756</v>
      </c>
      <c r="AZ24">
        <v>2018</v>
      </c>
      <c r="BA24" s="21">
        <f>((DataQ!E187/DataQ!E183)-1)*100</f>
        <v>2.712450980392167</v>
      </c>
      <c r="BB24" s="21">
        <f>((DataQ!D187/DataQ!D183)-1)*100</f>
        <v>2.6052104208416749</v>
      </c>
      <c r="BC24" s="21">
        <f t="shared" si="9"/>
        <v>-0.10724055955049216</v>
      </c>
    </row>
    <row r="25" spans="1:61" x14ac:dyDescent="0.35">
      <c r="B25" s="17">
        <f t="shared" si="1"/>
        <v>95.07473731369663</v>
      </c>
      <c r="C25" s="17">
        <f t="shared" si="2"/>
        <v>98.559417242379794</v>
      </c>
      <c r="D25">
        <v>100</v>
      </c>
      <c r="F25" s="17">
        <f t="shared" si="3"/>
        <v>92.63159268667215</v>
      </c>
      <c r="G25" s="17">
        <f t="shared" si="0"/>
        <v>96.026726461611318</v>
      </c>
      <c r="H25" s="17">
        <f>100*(DataQ!I196/AVERAGE(DataQ!I$199:I$202))</f>
        <v>97.430290426190297</v>
      </c>
      <c r="J25" s="19">
        <f>DataQ!F196/DataQ!J196</f>
        <v>7.8475853860857647</v>
      </c>
      <c r="K25" s="19">
        <f>(DataQ!F196-DataQ!G196-DataQ!H196)/DataQ!J196</f>
        <v>5.5357233021964154</v>
      </c>
      <c r="M25" t="s">
        <v>667</v>
      </c>
      <c r="N25" s="17">
        <f t="shared" si="18"/>
        <v>-0.23410064526059315</v>
      </c>
      <c r="O25" s="17">
        <f>-100*((DataQ!AN198+DataQ!AO198)-(DataQ!AN194+DataQ!AO194))/DataQ!AI194</f>
        <v>-1.3900854161967371</v>
      </c>
      <c r="P25" s="17">
        <f t="shared" si="22"/>
        <v>-1.5922796585526167</v>
      </c>
      <c r="Q25" s="17">
        <f t="shared" si="23"/>
        <v>-0.42363611475712881</v>
      </c>
      <c r="R25" s="17">
        <f>100*((Z25-Z24)/DataQ!AI196)</f>
        <v>1.7843707538376885</v>
      </c>
      <c r="S25" s="17">
        <f>100*((DataQ!AQ198-DataQ!AQ194)/DataQ!AI194)</f>
        <v>1.7004427075548358</v>
      </c>
      <c r="T25" s="17">
        <f t="shared" si="26"/>
        <v>-0.15528837337455159</v>
      </c>
      <c r="V25" s="17">
        <f>((DataQ!AI198/DataQ!AI194)-1)*100</f>
        <v>7.8812271886041785E-2</v>
      </c>
      <c r="W25" s="17">
        <f>100*((DataQ!AR194+DataQ!AS194)/(DataQ!AT194+DataQ!AU194))</f>
        <v>100.48290575467375</v>
      </c>
      <c r="X25" s="25">
        <f>100*((DataQ!AK198-DataQ!AK194)/DataQ!AI194)</f>
        <v>1.3607346390805597</v>
      </c>
      <c r="Y25" s="23">
        <f>1000*(DataQ!AK198/DataQ!AM198)</f>
        <v>8261.7011295153552</v>
      </c>
      <c r="Z25" s="18">
        <f>(Y25*DataQ!AM198)/1000</f>
        <v>228940</v>
      </c>
      <c r="AB25" t="s">
        <v>667</v>
      </c>
      <c r="AC25" s="17">
        <f t="shared" si="27"/>
        <v>-3.7649328169639507</v>
      </c>
      <c r="AD25" s="17">
        <f t="shared" si="24"/>
        <v>-1.3900854161967371</v>
      </c>
      <c r="AE25" s="17">
        <f t="shared" si="19"/>
        <v>1.3607346390805597</v>
      </c>
      <c r="AF25" s="17">
        <f t="shared" si="20"/>
        <v>-1.577072722017137</v>
      </c>
      <c r="AG25" s="17">
        <f>100*((DataQ!AP198-DataQ!AP194)/DataQ!AI198)</f>
        <v>-1.5206936535479682E-2</v>
      </c>
      <c r="AH25" s="17">
        <f t="shared" si="21"/>
        <v>1.7004427075548358</v>
      </c>
      <c r="AI25" s="17">
        <f t="shared" si="25"/>
        <v>-3.686120545077908</v>
      </c>
      <c r="AQ25" s="21">
        <f>(DataQ!N136/DataQ!P136)*100</f>
        <v>6.6708209720171414</v>
      </c>
      <c r="AR25" s="21">
        <f>DataQ!Q136</f>
        <v>5.5033339999999997</v>
      </c>
      <c r="AS25" s="21">
        <f>DataQ!AF136</f>
        <v>4.75</v>
      </c>
      <c r="AV25" s="17">
        <f>(DataQ!O136/DataQ!P136)*100</f>
        <v>4.8799541220191731</v>
      </c>
      <c r="AW25" s="17">
        <f>(DataQ!N136/DataQ!P136)*100</f>
        <v>6.6708209720171414</v>
      </c>
      <c r="AX25" s="17">
        <f>(DataQ!AG136/DataQ!P136)*100</f>
        <v>-1.7908668499979679</v>
      </c>
      <c r="BA25" s="21">
        <f>((DataQ!E188/DataQ!E184)-1)*100</f>
        <v>2.4232625449878586</v>
      </c>
      <c r="BB25" s="21">
        <f>((DataQ!D188/DataQ!D184)-1)*100</f>
        <v>2.4454859514531302</v>
      </c>
      <c r="BC25" s="21">
        <f t="shared" si="9"/>
        <v>2.2223406465271545E-2</v>
      </c>
    </row>
    <row r="26" spans="1:61" x14ac:dyDescent="0.35">
      <c r="B26" s="17">
        <f t="shared" si="1"/>
        <v>96.79962410154782</v>
      </c>
      <c r="C26" s="17">
        <f t="shared" si="2"/>
        <v>100.86789233047182</v>
      </c>
      <c r="D26">
        <v>100</v>
      </c>
      <c r="F26" s="17">
        <f t="shared" si="3"/>
        <v>94.737118805073322</v>
      </c>
      <c r="G26" s="17">
        <f t="shared" si="0"/>
        <v>98.7187046233215</v>
      </c>
      <c r="H26" s="17">
        <f>100*(DataQ!I197/AVERAGE(DataQ!I$199:I$202))</f>
        <v>97.869304436233321</v>
      </c>
      <c r="J26" s="19">
        <f>DataQ!F197/DataQ!J197</f>
        <v>8.0259618505030108</v>
      </c>
      <c r="K26" s="19">
        <f>(DataQ!F197-DataQ!G197-DataQ!H197)/DataQ!J197</f>
        <v>5.6909097465113767</v>
      </c>
      <c r="M26" t="s">
        <v>668</v>
      </c>
      <c r="N26" s="17">
        <f t="shared" ref="N26:N45" si="28">((W30/W26)-1)*-100</f>
        <v>-1.7195100320019918</v>
      </c>
      <c r="O26" s="17">
        <f>-100*((DataQ!AN199+DataQ!AO199)-(DataQ!AN195+DataQ!AO195))/DataQ!AI195</f>
        <v>-1.0858488924727916</v>
      </c>
      <c r="P26" s="17">
        <f t="shared" si="22"/>
        <v>1.5456501147431922</v>
      </c>
      <c r="Q26" s="17">
        <f t="shared" si="23"/>
        <v>1.0227544940290887</v>
      </c>
      <c r="R26" s="17">
        <f>100*((Z26-Z25)/DataQ!AI197)</f>
        <v>0.20310594180171551</v>
      </c>
      <c r="S26" s="17">
        <f>100*((DataQ!AQ199-DataQ!AQ195)/DataQ!AI195)</f>
        <v>1.5194152101692013</v>
      </c>
      <c r="T26" s="17">
        <f t="shared" si="26"/>
        <v>1.4855668362684145</v>
      </c>
      <c r="V26" s="17">
        <f>((DataQ!AI199/DataQ!AI195)-1)*100</f>
        <v>3.2050768682704067</v>
      </c>
      <c r="W26" s="17">
        <f>100*((DataQ!AR195+DataQ!AS195)/(DataQ!AT195+DataQ!AU195))</f>
        <v>100.11484975511256</v>
      </c>
      <c r="X26" s="25">
        <f>100*((DataQ!AK199-DataQ!AK195)/DataQ!AI195)</f>
        <v>1.2258604358308043</v>
      </c>
      <c r="Y26" s="23">
        <f>1000*(DataQ!AK199/DataQ!AM199)</f>
        <v>8270.7140542292327</v>
      </c>
      <c r="Z26" s="18">
        <f>(Y26*DataQ!AM199)/1000</f>
        <v>229686.00000000003</v>
      </c>
      <c r="AB26">
        <v>2021</v>
      </c>
      <c r="AC26" s="17">
        <f t="shared" si="27"/>
        <v>-4.7942557967110888</v>
      </c>
      <c r="AD26" s="17">
        <f t="shared" si="24"/>
        <v>-1.0858488924727916</v>
      </c>
      <c r="AE26" s="17">
        <f t="shared" si="19"/>
        <v>1.2258604358308043</v>
      </c>
      <c r="AF26" s="17">
        <f t="shared" si="20"/>
        <v>1.5036399413241262</v>
      </c>
      <c r="AG26" s="17">
        <f>100*((DataQ!AP199-DataQ!AP195)/DataQ!AI199)</f>
        <v>4.2010173419066196E-2</v>
      </c>
      <c r="AH26" s="17">
        <f t="shared" si="21"/>
        <v>1.5194152101692013</v>
      </c>
      <c r="AI26" s="17">
        <f t="shared" si="25"/>
        <v>-1.5891789284406832</v>
      </c>
      <c r="AQ26" s="21">
        <f>(DataQ!N137/DataQ!P137)*100</f>
        <v>6.623033264524528</v>
      </c>
      <c r="AR26" s="21">
        <f>DataQ!Q137</f>
        <v>5.4766659999999998</v>
      </c>
      <c r="AS26" s="21">
        <f>DataQ!AF137</f>
        <v>4.5909089999999999</v>
      </c>
      <c r="AV26" s="17">
        <f>(DataQ!O137/DataQ!P137)*100</f>
        <v>5.0670328543467695</v>
      </c>
      <c r="AW26" s="17">
        <f>(DataQ!N137/DataQ!P137)*100</f>
        <v>6.623033264524528</v>
      </c>
      <c r="AX26" s="17">
        <f>(DataQ!AG137/DataQ!P137)*100</f>
        <v>-1.5560004101777585</v>
      </c>
      <c r="BA26" s="21">
        <f>((DataQ!E189/DataQ!E185)-1)*100</f>
        <v>2.5072324011571778</v>
      </c>
      <c r="BB26" s="21">
        <f>((DataQ!D189/DataQ!D185)-1)*100</f>
        <v>3.0920919018360582</v>
      </c>
      <c r="BC26" s="21">
        <f t="shared" si="9"/>
        <v>0.58485950067888037</v>
      </c>
    </row>
    <row r="27" spans="1:61" x14ac:dyDescent="0.35">
      <c r="B27" s="17">
        <f t="shared" si="1"/>
        <v>99.581323882164213</v>
      </c>
      <c r="C27" s="17">
        <f t="shared" si="2"/>
        <v>100.08215850034463</v>
      </c>
      <c r="D27">
        <v>100</v>
      </c>
      <c r="F27" s="17">
        <f t="shared" si="3"/>
        <v>97.519746046369661</v>
      </c>
      <c r="G27" s="17">
        <f t="shared" si="0"/>
        <v>98.010212158609519</v>
      </c>
      <c r="H27" s="17">
        <f>100*(DataQ!I198/AVERAGE(DataQ!I$199:I$202))</f>
        <v>97.929754540887558</v>
      </c>
      <c r="J27" s="19">
        <f>DataQ!F198/DataQ!J198</f>
        <v>8.2617011295153553</v>
      </c>
      <c r="K27" s="19">
        <f>(DataQ!F198-DataQ!G198-DataQ!H198)/DataQ!J198</f>
        <v>5.6500667604922237</v>
      </c>
      <c r="M27" t="s">
        <v>669</v>
      </c>
      <c r="N27" s="17">
        <f t="shared" si="28"/>
        <v>-1.0241449160098615</v>
      </c>
      <c r="O27" s="17">
        <f>-100*((DataQ!AN200+DataQ!AO200)-(DataQ!AN196+DataQ!AO196))/DataQ!AI196</f>
        <v>-3.2051857924110903</v>
      </c>
      <c r="P27" s="17">
        <f t="shared" si="22"/>
        <v>2.9109723641508722</v>
      </c>
      <c r="Q27" s="17">
        <f t="shared" si="23"/>
        <v>3.458920920686769</v>
      </c>
      <c r="R27" s="17">
        <f>100*((Z27-Z26)/DataQ!AI198)</f>
        <v>1.8658368024157226</v>
      </c>
      <c r="S27" s="17">
        <f>100*((DataQ!AQ200-DataQ!AQ196)/DataQ!AI196)</f>
        <v>0.40819305791063548</v>
      </c>
      <c r="T27" s="17">
        <f t="shared" si="26"/>
        <v>4.4145924367430478</v>
      </c>
      <c r="V27" s="17">
        <f>((DataQ!AI200/DataQ!AI196)-1)*100</f>
        <v>5.4387373527529093</v>
      </c>
      <c r="W27" s="17">
        <f>100*((DataQ!AR196+DataQ!AS196)/(DataQ!AT196+DataQ!AU196))</f>
        <v>100.83356319928055</v>
      </c>
      <c r="X27" s="25">
        <f>100*((DataQ!AK200-DataQ!AK196)/DataQ!AI196)</f>
        <v>5.3247577231024916</v>
      </c>
      <c r="Y27" s="23">
        <f>1000*(DataQ!AK200/DataQ!AM200)</f>
        <v>8477.8339246675987</v>
      </c>
      <c r="Z27" s="18">
        <f>(Y27*DataQ!AM200)/1000</f>
        <v>236557</v>
      </c>
      <c r="AB27" t="s">
        <v>669</v>
      </c>
      <c r="AC27" s="17">
        <f t="shared" si="27"/>
        <v>-7.770286953280503</v>
      </c>
      <c r="AD27" s="17">
        <f t="shared" si="24"/>
        <v>-3.2051857924110903</v>
      </c>
      <c r="AE27" s="17">
        <f t="shared" si="19"/>
        <v>5.3247577231024916</v>
      </c>
      <c r="AF27" s="17">
        <f t="shared" si="20"/>
        <v>2.8193799609951942</v>
      </c>
      <c r="AG27" s="17">
        <f>100*((DataQ!AP200-DataQ!AP196)/DataQ!AI200)</f>
        <v>9.1592403155677793E-2</v>
      </c>
      <c r="AH27" s="17">
        <f t="shared" si="21"/>
        <v>0.40819305791063548</v>
      </c>
      <c r="AI27" s="17">
        <f t="shared" si="25"/>
        <v>-2.3315496005275946</v>
      </c>
      <c r="AQ27" s="21">
        <f>(DataQ!N138/DataQ!P138)*100</f>
        <v>6.5978370787757283</v>
      </c>
      <c r="AR27" s="21">
        <f>DataQ!Q138</f>
        <v>5.35</v>
      </c>
      <c r="AS27" s="21">
        <f>DataQ!AF138</f>
        <v>4.5</v>
      </c>
      <c r="AV27" s="17">
        <f>(DataQ!O138/DataQ!P138)*100</f>
        <v>4.7881900438501583</v>
      </c>
      <c r="AW27" s="17">
        <f>(DataQ!N138/DataQ!P138)*100</f>
        <v>6.5978370787757283</v>
      </c>
      <c r="AX27" s="17">
        <f>(DataQ!AG138/DataQ!P138)*100</f>
        <v>-1.8096470349255693</v>
      </c>
      <c r="BA27" s="21">
        <f>((DataQ!E190/DataQ!E186)-1)*100</f>
        <v>2.263244417199739</v>
      </c>
      <c r="BB27" s="21">
        <f>((DataQ!D190/DataQ!D186)-1)*100</f>
        <v>3.4617964377398058</v>
      </c>
      <c r="BC27" s="21">
        <f t="shared" si="9"/>
        <v>1.1985520205400668</v>
      </c>
    </row>
    <row r="28" spans="1:61" x14ac:dyDescent="0.35">
      <c r="A28">
        <v>2021</v>
      </c>
      <c r="B28" s="17">
        <f t="shared" si="1"/>
        <v>98.762031146853957</v>
      </c>
      <c r="C28" s="17">
        <f t="shared" si="2"/>
        <v>99.311079759878652</v>
      </c>
      <c r="D28">
        <v>100</v>
      </c>
      <c r="F28" s="17">
        <f t="shared" si="3"/>
        <v>97.626133110662309</v>
      </c>
      <c r="G28" s="17">
        <f t="shared" si="0"/>
        <v>98.168866915920631</v>
      </c>
      <c r="H28" s="17">
        <f>100*(DataQ!I199/AVERAGE(DataQ!I$199:I$202))</f>
        <v>98.849863633826416</v>
      </c>
      <c r="J28" s="19">
        <f>DataQ!F199/DataQ!J199</f>
        <v>8.2707140542292326</v>
      </c>
      <c r="K28" s="19">
        <f>(DataQ!F199-DataQ!G199-DataQ!H199)/DataQ!J199</f>
        <v>5.6592128479348958</v>
      </c>
      <c r="M28" t="s">
        <v>670</v>
      </c>
      <c r="N28" s="17">
        <f t="shared" si="28"/>
        <v>-2.3665684331624526</v>
      </c>
      <c r="O28" s="17">
        <f>-100*((DataQ!AN201+DataQ!AO201)-(DataQ!AN197+DataQ!AO197))/DataQ!AI197</f>
        <v>-3.1527705175117617</v>
      </c>
      <c r="P28" s="17">
        <f t="shared" si="22"/>
        <v>1.1846031538595545</v>
      </c>
      <c r="Q28" s="17">
        <f t="shared" si="23"/>
        <v>3.8196131933364983</v>
      </c>
      <c r="R28" s="17">
        <f>100*((Z28-Z27)/DataQ!AI199)</f>
        <v>0.8763268659072726</v>
      </c>
      <c r="S28" s="17">
        <f>100*((DataQ!AQ201-DataQ!AQ197)/DataQ!AI197)</f>
        <v>0.23877199860602893</v>
      </c>
      <c r="T28" s="17">
        <f t="shared" si="26"/>
        <v>0.59997626103514001</v>
      </c>
      <c r="V28" s="17">
        <f>((DataQ!AI201/DataQ!AI197)-1)*100</f>
        <v>2.9665446941975926</v>
      </c>
      <c r="W28" s="17">
        <f>100*((DataQ!AR197+DataQ!AS197)/(DataQ!AT197+DataQ!AU197))</f>
        <v>100.72306648361187</v>
      </c>
      <c r="X28" s="25">
        <f>100*((DataQ!AK201-DataQ!AK197)/DataQ!AI197)</f>
        <v>4.695940059243771</v>
      </c>
      <c r="Y28" s="23">
        <f>1000*(DataQ!AK201/DataQ!AM201)</f>
        <v>8512.8314343520397</v>
      </c>
      <c r="Z28" s="18">
        <f>(Y28*DataQ!AM201)/1000</f>
        <v>239832</v>
      </c>
      <c r="AB28" t="s">
        <v>670</v>
      </c>
      <c r="AC28" s="17">
        <f t="shared" si="27"/>
        <v>-8.9569192549065804</v>
      </c>
      <c r="AD28" s="17">
        <f t="shared" si="24"/>
        <v>-3.1527705175117617</v>
      </c>
      <c r="AE28" s="17">
        <f t="shared" si="19"/>
        <v>4.695940059243771</v>
      </c>
      <c r="AF28" s="17">
        <f t="shared" si="20"/>
        <v>1.0973458877090279</v>
      </c>
      <c r="AG28" s="17">
        <f>100*((DataQ!AP201-DataQ!AP197)/DataQ!AI201)</f>
        <v>8.7257266150526716E-2</v>
      </c>
      <c r="AH28" s="17">
        <f t="shared" si="21"/>
        <v>0.23877199860602893</v>
      </c>
      <c r="AI28" s="17">
        <f t="shared" si="25"/>
        <v>-5.9903745607089878</v>
      </c>
      <c r="AP28">
        <v>2006</v>
      </c>
      <c r="AQ28" s="21">
        <f>(DataQ!N139/DataQ!P139)*100</f>
        <v>6.6242459588617786</v>
      </c>
      <c r="AR28" s="21">
        <f>DataQ!Q139</f>
        <v>5.3266669999999996</v>
      </c>
      <c r="AS28" s="21">
        <f>DataQ!AF139</f>
        <v>4.5</v>
      </c>
      <c r="AU28">
        <v>2006</v>
      </c>
      <c r="AV28" s="17">
        <f>(DataQ!O139/DataQ!P139)*100</f>
        <v>4.7810342876541814</v>
      </c>
      <c r="AW28" s="17">
        <f>(DataQ!N139/DataQ!P139)*100</f>
        <v>6.6242459588617786</v>
      </c>
      <c r="AX28" s="17">
        <f>(DataQ!AG139/DataQ!P139)*100</f>
        <v>-1.8432116712075972</v>
      </c>
      <c r="AZ28">
        <v>2019</v>
      </c>
      <c r="BA28" s="21">
        <f>((DataQ!E191/DataQ!E187)-1)*100</f>
        <v>1.8453382611077762</v>
      </c>
      <c r="BB28" s="21">
        <f>((DataQ!D191/DataQ!D187)-1)*100</f>
        <v>3.2552148437499984</v>
      </c>
      <c r="BC28" s="21">
        <f t="shared" si="9"/>
        <v>1.4098765826422222</v>
      </c>
    </row>
    <row r="29" spans="1:61" x14ac:dyDescent="0.35">
      <c r="B29" s="17">
        <f t="shared" si="1"/>
        <v>100.97484156048451</v>
      </c>
      <c r="C29" s="17">
        <f t="shared" si="2"/>
        <v>101.01901044246134</v>
      </c>
      <c r="D29">
        <v>100</v>
      </c>
      <c r="F29" s="17">
        <f t="shared" si="3"/>
        <v>100.07094161313246</v>
      </c>
      <c r="G29" s="17">
        <f t="shared" si="0"/>
        <v>100.11471510701581</v>
      </c>
      <c r="H29" s="17">
        <f>100*(DataQ!I200/AVERAGE(DataQ!I$199:I$202))</f>
        <v>99.104826575231016</v>
      </c>
      <c r="J29" s="19">
        <f>DataQ!F200/DataQ!J200</f>
        <v>8.477833924667598</v>
      </c>
      <c r="K29" s="19">
        <f>(DataQ!F200-DataQ!G200-DataQ!H200)/DataQ!J200</f>
        <v>5.771386589255636</v>
      </c>
      <c r="M29" t="s">
        <v>671</v>
      </c>
      <c r="N29" s="17">
        <f t="shared" si="28"/>
        <v>-3.7649328169639507</v>
      </c>
      <c r="O29" s="17">
        <f>-100*((DataQ!AN202+DataQ!AO202)-(DataQ!AN198+DataQ!AO198))/DataQ!AI198</f>
        <v>-1.8283625659532985</v>
      </c>
      <c r="P29" s="17">
        <f t="shared" si="22"/>
        <v>1.2912318433251107</v>
      </c>
      <c r="Q29" s="17">
        <f t="shared" si="23"/>
        <v>2.9779089427367209</v>
      </c>
      <c r="R29" s="17">
        <f>100*((Z29-Z28)/DataQ!AI200)</f>
        <v>1.0136403453885621</v>
      </c>
      <c r="S29" s="17">
        <f>100*((DataQ!AQ202-DataQ!AQ198)/DataQ!AI198)</f>
        <v>-6.5987242466456486E-2</v>
      </c>
      <c r="T29" s="17">
        <f t="shared" si="26"/>
        <v>-0.376501493933312</v>
      </c>
      <c r="V29" s="17">
        <f>((DataQ!AI202/DataQ!AI198)-1)*100</f>
        <v>3.3884313230306384</v>
      </c>
      <c r="W29" s="17">
        <f>100*((DataQ!AR198+DataQ!AS198)/(DataQ!AT198+DataQ!AU198))</f>
        <v>100.71813688542204</v>
      </c>
      <c r="X29" s="25">
        <f>100*((DataQ!AK202-DataQ!AK198)/DataQ!AI198)</f>
        <v>3.9915492881252832</v>
      </c>
      <c r="Y29" s="23">
        <f>1000*(DataQ!AK202/DataQ!AM202)</f>
        <v>8625.9160913436008</v>
      </c>
      <c r="Z29" s="18">
        <f>(Y29*DataQ!AM202)/1000</f>
        <v>243639</v>
      </c>
      <c r="AB29" t="s">
        <v>671</v>
      </c>
      <c r="AC29" s="17">
        <f t="shared" si="27"/>
        <v>-9.9682813969634196</v>
      </c>
      <c r="AD29" s="17">
        <f t="shared" si="24"/>
        <v>-1.8283625659532985</v>
      </c>
      <c r="AE29" s="17">
        <f t="shared" si="19"/>
        <v>3.9915492881252832</v>
      </c>
      <c r="AF29" s="17">
        <f t="shared" si="20"/>
        <v>1.0897772730379522</v>
      </c>
      <c r="AG29" s="17">
        <f>100*((DataQ!AP202-DataQ!AP198)/DataQ!AI202)</f>
        <v>0.20145457028715813</v>
      </c>
      <c r="AH29" s="17">
        <f t="shared" si="21"/>
        <v>-6.5987242466456486E-2</v>
      </c>
      <c r="AI29" s="17">
        <f t="shared" si="25"/>
        <v>-6.5798500739327821</v>
      </c>
      <c r="AQ29" s="21">
        <f>(DataQ!N140/DataQ!P140)*100</f>
        <v>6.6959105946696686</v>
      </c>
      <c r="AR29" s="21">
        <f>DataQ!Q140</f>
        <v>5.31</v>
      </c>
      <c r="AS29" s="21">
        <f>DataQ!AF140</f>
        <v>4.5</v>
      </c>
      <c r="AV29" s="17">
        <f>(DataQ!O140/DataQ!P140)*100</f>
        <v>4.7506286581867903</v>
      </c>
      <c r="AW29" s="17">
        <f>(DataQ!N140/DataQ!P140)*100</f>
        <v>6.6959105946696686</v>
      </c>
      <c r="AX29" s="17">
        <f>(DataQ!AG140/DataQ!P140)*100</f>
        <v>-1.9452819364828784</v>
      </c>
      <c r="BA29" s="21">
        <f>((DataQ!E192/DataQ!E188)-1)*100</f>
        <v>2.0188952621781331</v>
      </c>
      <c r="BB29" s="21">
        <f>((DataQ!D192/DataQ!D188)-1)*100</f>
        <v>3.9354771654530829</v>
      </c>
      <c r="BC29" s="21">
        <f t="shared" si="9"/>
        <v>1.9165819032749498</v>
      </c>
    </row>
    <row r="30" spans="1:61" x14ac:dyDescent="0.35">
      <c r="B30" s="17">
        <f t="shared" si="1"/>
        <v>100.14797861707298</v>
      </c>
      <c r="C30" s="17">
        <f t="shared" si="2"/>
        <v>100.33016961830734</v>
      </c>
      <c r="D30">
        <v>100</v>
      </c>
      <c r="F30" s="17">
        <f t="shared" si="3"/>
        <v>100.48404639666053</v>
      </c>
      <c r="G30" s="17">
        <f t="shared" si="0"/>
        <v>100.66684877843485</v>
      </c>
      <c r="H30" s="17">
        <f>100*(DataQ!I201/AVERAGE(DataQ!I$199:I$202))</f>
        <v>100.33557120595766</v>
      </c>
      <c r="J30" s="19">
        <f>DataQ!F201/DataQ!J201</f>
        <v>8.512831434352039</v>
      </c>
      <c r="K30" s="19">
        <f>(DataQ!F201-DataQ!G201-DataQ!H201)/DataQ!J201</f>
        <v>5.8032158449579381</v>
      </c>
      <c r="M30" t="s">
        <v>672</v>
      </c>
      <c r="N30" s="17">
        <f t="shared" si="28"/>
        <v>-4.7942557967110888</v>
      </c>
      <c r="O30" s="17">
        <f>-100*((DataQ!AN203+DataQ!AO203)-(DataQ!AN199+DataQ!AO199))/DataQ!AI199</f>
        <v>-2.4406037691420561</v>
      </c>
      <c r="P30" s="17">
        <f>V30-O30-Q30-R30-S30</f>
        <v>1.1182198389699314</v>
      </c>
      <c r="Q30" s="17">
        <f t="shared" si="23"/>
        <v>3.7522512478206211</v>
      </c>
      <c r="R30" s="17">
        <f>100*((Z30-Z29)/DataQ!AI201)</f>
        <v>1.5621694800524601</v>
      </c>
      <c r="S30" s="17">
        <f>100*((DataQ!AQ203-DataQ!AQ199)/DataQ!AI199)</f>
        <v>-6.4754534824293108E-2</v>
      </c>
      <c r="T30" s="17">
        <f t="shared" si="26"/>
        <v>-0.8669735338344251</v>
      </c>
      <c r="V30" s="17">
        <f>((DataQ!AI203/DataQ!AI199)-1)*100</f>
        <v>3.9272822628766635</v>
      </c>
      <c r="W30" s="17">
        <f>100*((DataQ!AR199+DataQ!AS199)/(DataQ!AT199+DataQ!AU199))</f>
        <v>101.83633464017544</v>
      </c>
      <c r="X30" s="25">
        <f>100*((DataQ!AK203-DataQ!AK199)/DataQ!AI199)</f>
        <v>5.3144207278730811</v>
      </c>
      <c r="Y30" s="23">
        <f>1000*(DataQ!AK203/DataQ!AM203)</f>
        <v>8834.7730652127739</v>
      </c>
      <c r="Z30" s="18">
        <f>(Y30*DataQ!AM203)/1000</f>
        <v>249547</v>
      </c>
      <c r="AB30">
        <v>2022</v>
      </c>
      <c r="AC30" s="17">
        <f t="shared" si="27"/>
        <v>-9.6638335578900669</v>
      </c>
      <c r="AD30" s="17">
        <f t="shared" si="24"/>
        <v>-2.4406037691420561</v>
      </c>
      <c r="AE30" s="17">
        <f t="shared" si="19"/>
        <v>5.3144207278730811</v>
      </c>
      <c r="AF30" s="17">
        <f t="shared" si="20"/>
        <v>0.90349054206677093</v>
      </c>
      <c r="AG30" s="17">
        <f>100*((DataQ!AP203-DataQ!AP199)/DataQ!AI203)</f>
        <v>0.2147292969031607</v>
      </c>
      <c r="AH30" s="17">
        <f t="shared" si="21"/>
        <v>-6.4754534824293108E-2</v>
      </c>
      <c r="AI30" s="17">
        <f t="shared" si="25"/>
        <v>-5.7365512950134034</v>
      </c>
      <c r="AQ30" s="21">
        <f>(DataQ!N141/DataQ!P141)*100</f>
        <v>6.8891299189912898</v>
      </c>
      <c r="AR30" s="21">
        <f>DataQ!Q141</f>
        <v>5.33</v>
      </c>
      <c r="AS30" s="21">
        <f>DataQ!AF141</f>
        <v>4.6615390000000003</v>
      </c>
      <c r="AV30" s="17">
        <f>(DataQ!O141/DataQ!P141)*100</f>
        <v>5.2905636714910349</v>
      </c>
      <c r="AW30" s="17">
        <f>(DataQ!N141/DataQ!P141)*100</f>
        <v>6.8891299189912898</v>
      </c>
      <c r="AX30" s="17">
        <f>(DataQ!AG141/DataQ!P141)*100</f>
        <v>-1.5985662475002542</v>
      </c>
      <c r="BA30" s="21">
        <f>((DataQ!E193/DataQ!E189)-1)*100</f>
        <v>1.8501411100658505</v>
      </c>
      <c r="BB30" s="21">
        <f>((DataQ!D193/DataQ!D189)-1)*100</f>
        <v>3.8289728033805259</v>
      </c>
      <c r="BC30" s="21">
        <f t="shared" si="9"/>
        <v>1.9788316933146755</v>
      </c>
    </row>
    <row r="31" spans="1:61" x14ac:dyDescent="0.35">
      <c r="B31" s="17">
        <f t="shared" si="1"/>
        <v>100.10730564848377</v>
      </c>
      <c r="C31" s="17">
        <f t="shared" si="2"/>
        <v>99.350928047264048</v>
      </c>
      <c r="D31">
        <v>100</v>
      </c>
      <c r="F31" s="17">
        <f t="shared" si="3"/>
        <v>101.81887887954471</v>
      </c>
      <c r="G31" s="17">
        <f t="shared" si="0"/>
        <v>101.04956919862873</v>
      </c>
      <c r="H31" s="17">
        <f>100*(DataQ!I202/AVERAGE(DataQ!I$199:I$202))</f>
        <v>101.70973858498493</v>
      </c>
      <c r="J31" s="19">
        <f>DataQ!F202/DataQ!J202</f>
        <v>8.6259160913436013</v>
      </c>
      <c r="K31" s="19">
        <f>(DataQ!F202-DataQ!G202-DataQ!H202)/DataQ!J202</f>
        <v>5.8252788104089221</v>
      </c>
      <c r="M31" t="s">
        <v>673</v>
      </c>
      <c r="N31" s="17">
        <f t="shared" si="28"/>
        <v>-7.770286953280503</v>
      </c>
      <c r="O31" s="17">
        <f>-100*((DataQ!AN204+DataQ!AO204)-(DataQ!AN200+DataQ!AO200))/DataQ!AI200</f>
        <v>-1.7594261629439503</v>
      </c>
      <c r="P31" s="17">
        <f t="shared" si="22"/>
        <v>2.1747870609755227</v>
      </c>
      <c r="Q31" s="17">
        <f t="shared" si="23"/>
        <v>3.4664636471868722</v>
      </c>
      <c r="R31" s="17">
        <f>100*((Z31-Z30)/DataQ!AI202)</f>
        <v>0.56732968946579843</v>
      </c>
      <c r="S31" s="17">
        <f>100*((DataQ!AQ204-DataQ!AQ200)/DataQ!AI200)</f>
        <v>0.69067062147043079</v>
      </c>
      <c r="T31" s="17">
        <f t="shared" si="26"/>
        <v>-2.6304620971258297</v>
      </c>
      <c r="V31" s="17">
        <f>((DataQ!AI204/DataQ!AI200)-1)*100</f>
        <v>5.1398248561546733</v>
      </c>
      <c r="W31" s="17">
        <f>100*((DataQ!AR200+DataQ!AS200)/(DataQ!AT200+DataQ!AU200))</f>
        <v>101.86624501041757</v>
      </c>
      <c r="X31" s="25">
        <f>100*((DataQ!AK204-DataQ!AK200)/DataQ!AI200)</f>
        <v>4.0337933366526704</v>
      </c>
      <c r="Y31" s="23">
        <f>1000*(DataQ!AK204/DataQ!AM204)</f>
        <v>8870.4186636594313</v>
      </c>
      <c r="Z31" s="18">
        <f>(Y31*DataQ!AM204)/1000</f>
        <v>251707.00000000003</v>
      </c>
      <c r="AB31" t="s">
        <v>673</v>
      </c>
      <c r="AC31" s="17">
        <f t="shared" si="27"/>
        <v>-8.0213928130558934</v>
      </c>
      <c r="AD31" s="17">
        <f t="shared" si="24"/>
        <v>-1.7594261629439503</v>
      </c>
      <c r="AE31" s="17">
        <f t="shared" si="19"/>
        <v>4.0337933366526704</v>
      </c>
      <c r="AF31" s="17">
        <f t="shared" si="20"/>
        <v>2.0628546053749748</v>
      </c>
      <c r="AG31" s="17">
        <f>100*((DataQ!AP204-DataQ!AP200)/DataQ!AI204)</f>
        <v>0.111932455600548</v>
      </c>
      <c r="AH31" s="17">
        <f t="shared" si="21"/>
        <v>0.69067062147043079</v>
      </c>
      <c r="AI31" s="17">
        <f t="shared" si="25"/>
        <v>-2.8815679569012191</v>
      </c>
      <c r="AQ31" s="21">
        <f>(DataQ!N142/DataQ!P142)*100</f>
        <v>7.2942365174925277</v>
      </c>
      <c r="AR31" s="21">
        <f>DataQ!Q142</f>
        <v>5.45</v>
      </c>
      <c r="AS31" s="21">
        <f>DataQ!AF142</f>
        <v>4.8923079999999999</v>
      </c>
      <c r="AV31" s="17">
        <f>(DataQ!O142/DataQ!P142)*100</f>
        <v>5.5256178166968377</v>
      </c>
      <c r="AW31" s="17">
        <f>(DataQ!N142/DataQ!P142)*100</f>
        <v>7.2942365174925277</v>
      </c>
      <c r="AX31" s="17">
        <f>(DataQ!AG142/DataQ!P142)*100</f>
        <v>-1.7686187007956891</v>
      </c>
      <c r="BA31" s="21">
        <f>((DataQ!E194/DataQ!E190)-1)*100</f>
        <v>1.4027435794088383</v>
      </c>
      <c r="BB31" s="21">
        <f>((DataQ!D194/DataQ!D190)-1)*100</f>
        <v>2.7146401515151464</v>
      </c>
      <c r="BC31" s="21">
        <f t="shared" si="9"/>
        <v>1.3118965721063081</v>
      </c>
    </row>
    <row r="32" spans="1:61" x14ac:dyDescent="0.35">
      <c r="A32">
        <v>2022</v>
      </c>
      <c r="B32" s="17">
        <f t="shared" si="1"/>
        <v>100.20081796772334</v>
      </c>
      <c r="C32" s="17">
        <f t="shared" si="2"/>
        <v>99.076225124366033</v>
      </c>
      <c r="D32">
        <v>100</v>
      </c>
      <c r="F32" s="17">
        <f t="shared" si="3"/>
        <v>104.284191861997</v>
      </c>
      <c r="G32" s="17">
        <f t="shared" si="0"/>
        <v>103.11376972152028</v>
      </c>
      <c r="H32" s="17">
        <f>100*(DataQ!I203/AVERAGE(DataQ!I$199:I$202))</f>
        <v>104.075190180173</v>
      </c>
      <c r="J32" s="19">
        <f>DataQ!F203/DataQ!J203</f>
        <v>8.8347730652127741</v>
      </c>
      <c r="K32" s="19">
        <f>(DataQ!F203-DataQ!G203-DataQ!H203)/DataQ!J203</f>
        <v>5.9442752956170786</v>
      </c>
      <c r="M32" t="s">
        <v>674</v>
      </c>
      <c r="N32" s="17">
        <f t="shared" si="28"/>
        <v>-8.9569192549065804</v>
      </c>
      <c r="O32" s="17">
        <f>-100*((DataQ!AN205+DataQ!AO205)-(DataQ!AN201+DataQ!AO201))/DataQ!AI201</f>
        <v>-2.343783051994754</v>
      </c>
      <c r="P32" s="17">
        <f t="shared" si="22"/>
        <v>2.3049139061640642</v>
      </c>
      <c r="Q32" s="17">
        <f t="shared" si="23"/>
        <v>3.171852995593397</v>
      </c>
      <c r="R32" s="17">
        <f>100*((Z32-Z31)/DataQ!AI203)</f>
        <v>1.1828134172339495</v>
      </c>
      <c r="S32" s="17">
        <f>100*((DataQ!AQ205-DataQ!AQ201)/DataQ!AI201)</f>
        <v>2.0746076067182808</v>
      </c>
      <c r="T32" s="17">
        <f t="shared" si="26"/>
        <v>-2.566514381191642</v>
      </c>
      <c r="V32" s="17">
        <f>((DataQ!AI205/DataQ!AI201)-1)*100</f>
        <v>6.3904048737149388</v>
      </c>
      <c r="W32" s="17">
        <f>100*((DataQ!AR201+DataQ!AS201)/(DataQ!AT201+DataQ!AU201))</f>
        <v>103.10674677992625</v>
      </c>
      <c r="X32" s="25">
        <f>100*((DataQ!AK205-DataQ!AK201)/DataQ!AI201)</f>
        <v>4.3546664128273465</v>
      </c>
      <c r="Y32" s="23">
        <f>1000*(DataQ!AK205/DataQ!AM205)</f>
        <v>8982.9314453946445</v>
      </c>
      <c r="Z32" s="18">
        <f>(Y32*DataQ!AM205)/1000</f>
        <v>256301</v>
      </c>
      <c r="AB32" t="s">
        <v>674</v>
      </c>
      <c r="AC32" s="17">
        <f t="shared" si="27"/>
        <v>-6.2151367081698661</v>
      </c>
      <c r="AD32" s="17">
        <f t="shared" si="24"/>
        <v>-2.343783051994754</v>
      </c>
      <c r="AE32" s="17">
        <f t="shared" si="19"/>
        <v>4.3546664128273465</v>
      </c>
      <c r="AF32" s="17">
        <f t="shared" si="20"/>
        <v>2.2390524885281171</v>
      </c>
      <c r="AG32" s="17">
        <f>100*((DataQ!AP205-DataQ!AP201)/DataQ!AI205)</f>
        <v>6.5861417635947911E-2</v>
      </c>
      <c r="AH32" s="17">
        <f t="shared" si="21"/>
        <v>2.0746076067182808</v>
      </c>
      <c r="AI32" s="17">
        <f t="shared" si="25"/>
        <v>0.17526816554507185</v>
      </c>
      <c r="AP32">
        <v>2007</v>
      </c>
      <c r="AQ32" s="21">
        <f>(DataQ!N143/DataQ!P143)*100</f>
        <v>7.5613869123514172</v>
      </c>
      <c r="AR32" s="21">
        <f>DataQ!Q143</f>
        <v>5.6233329999999997</v>
      </c>
      <c r="AS32" s="21">
        <f>DataQ!AF143</f>
        <v>5.2192309999999997</v>
      </c>
      <c r="AU32">
        <v>2007</v>
      </c>
      <c r="AV32" s="17">
        <f>(DataQ!O143/DataQ!P143)*100</f>
        <v>5.4106856414263973</v>
      </c>
      <c r="AW32" s="17">
        <f>(DataQ!N143/DataQ!P143)*100</f>
        <v>7.5613869123514172</v>
      </c>
      <c r="AX32" s="17">
        <f>(DataQ!AG143/DataQ!P143)*100</f>
        <v>-2.1507012709250195</v>
      </c>
      <c r="AZ32">
        <v>2020</v>
      </c>
      <c r="BA32" s="21">
        <f>((DataQ!E195/DataQ!E191)-1)*100</f>
        <v>1.6557638238050565</v>
      </c>
      <c r="BB32" s="21">
        <f>((DataQ!D195/DataQ!D191)-1)*100</f>
        <v>2.2067968343759903</v>
      </c>
      <c r="BC32" s="21">
        <f t="shared" si="9"/>
        <v>0.55103301057093379</v>
      </c>
    </row>
    <row r="33" spans="1:55" x14ac:dyDescent="0.35">
      <c r="B33" s="17">
        <f t="shared" si="1"/>
        <v>97.676191674174277</v>
      </c>
      <c r="C33" s="17">
        <f t="shared" si="2"/>
        <v>96.708642073087987</v>
      </c>
      <c r="D33">
        <v>100</v>
      </c>
      <c r="F33" s="17">
        <f t="shared" si="3"/>
        <v>104.70494657748411</v>
      </c>
      <c r="G33" s="17">
        <f t="shared" si="0"/>
        <v>103.66777234334992</v>
      </c>
      <c r="H33" s="17">
        <f>100*(DataQ!I204/AVERAGE(DataQ!I$199:I$202))</f>
        <v>107.19597558303273</v>
      </c>
      <c r="J33" s="19">
        <f>DataQ!F204/DataQ!J204</f>
        <v>8.8704186636594304</v>
      </c>
      <c r="K33" s="19">
        <f>(DataQ!F204-DataQ!G204-DataQ!H204)/DataQ!J204</f>
        <v>5.976212292077812</v>
      </c>
      <c r="M33" t="s">
        <v>675</v>
      </c>
      <c r="N33" s="17">
        <f t="shared" si="28"/>
        <v>-9.9682813969634196</v>
      </c>
      <c r="O33" s="17">
        <f>-100*((DataQ!AN206+DataQ!AO206)-(DataQ!AN202+DataQ!AO202))/DataQ!AI202</f>
        <v>-2.0119191765314617</v>
      </c>
      <c r="P33" s="17">
        <f t="shared" si="22"/>
        <v>5.1734689321331899</v>
      </c>
      <c r="Q33" s="17">
        <f t="shared" si="23"/>
        <v>3.3799759997694099</v>
      </c>
      <c r="R33" s="17">
        <f>100*((Z33-Z32)/DataQ!AI204)</f>
        <v>1.4601867398026243</v>
      </c>
      <c r="S33" s="17">
        <f>100*((DataQ!AQ206-DataQ!AQ202)/DataQ!AI202)</f>
        <v>1.9026556807824946</v>
      </c>
      <c r="T33" s="17">
        <f t="shared" si="26"/>
        <v>-6.3913221007163123E-2</v>
      </c>
      <c r="V33" s="17">
        <f>((DataQ!AI206/DataQ!AI202)-1)*100</f>
        <v>9.9043681759562574</v>
      </c>
      <c r="W33" s="17">
        <f>100*((DataQ!AR202+DataQ!AS202)/(DataQ!AT202+DataQ!AU202))</f>
        <v>104.51010707365596</v>
      </c>
      <c r="X33" s="25">
        <f>100*((DataQ!AK206-DataQ!AK202)/DataQ!AI202)</f>
        <v>4.8401627395720341</v>
      </c>
      <c r="Y33" s="23">
        <f>1000*(DataQ!AK206/DataQ!AM206)</f>
        <v>9152.6211015262106</v>
      </c>
      <c r="Z33" s="18">
        <f>(Y33*DataQ!AM206)/1000</f>
        <v>262067</v>
      </c>
      <c r="AB33" t="s">
        <v>675</v>
      </c>
      <c r="AC33" s="17">
        <f t="shared" si="27"/>
        <v>-4.3632095389233294</v>
      </c>
      <c r="AD33" s="17">
        <f t="shared" si="24"/>
        <v>-2.0119191765314617</v>
      </c>
      <c r="AE33" s="17">
        <f t="shared" si="19"/>
        <v>4.8401627395720341</v>
      </c>
      <c r="AF33" s="17">
        <f t="shared" si="20"/>
        <v>4.8747403211017408</v>
      </c>
      <c r="AG33" s="17">
        <f>100*((DataQ!AP206-DataQ!AP202)/DataQ!AI206)</f>
        <v>0.29872861103145015</v>
      </c>
      <c r="AH33" s="17">
        <f t="shared" si="21"/>
        <v>1.9026556807824946</v>
      </c>
      <c r="AI33" s="17">
        <f t="shared" si="25"/>
        <v>5.5411586370329289</v>
      </c>
      <c r="AQ33" s="21">
        <f>(DataQ!N144/DataQ!P144)*100</f>
        <v>7.9824457359743803</v>
      </c>
      <c r="AR33" s="21">
        <f>DataQ!Q144</f>
        <v>5.7033329999999998</v>
      </c>
      <c r="AS33" s="21">
        <f>DataQ!AF144</f>
        <v>5.3923079999999999</v>
      </c>
      <c r="AV33" s="17">
        <f>(DataQ!O144/DataQ!P144)*100</f>
        <v>5.7448087722240171</v>
      </c>
      <c r="AW33" s="17">
        <f>(DataQ!N144/DataQ!P144)*100</f>
        <v>7.9824457359743803</v>
      </c>
      <c r="AX33" s="17">
        <f>(DataQ!AG144/DataQ!P144)*100</f>
        <v>-2.2376369637503628</v>
      </c>
      <c r="BA33" s="21">
        <f>((DataQ!E196/DataQ!E192)-1)*100</f>
        <v>0.68024118738403416</v>
      </c>
      <c r="BB33" s="21">
        <f>((DataQ!D196/DataQ!D192)-1)*100</f>
        <v>-1.1173184357541888</v>
      </c>
      <c r="BC33" s="21">
        <f t="shared" si="9"/>
        <v>-1.7975596231382229</v>
      </c>
    </row>
    <row r="34" spans="1:55" x14ac:dyDescent="0.35">
      <c r="B34" s="17">
        <f t="shared" si="1"/>
        <v>96.628009592531455</v>
      </c>
      <c r="C34" s="17">
        <f t="shared" si="2"/>
        <v>94.797060923789559</v>
      </c>
      <c r="D34">
        <v>100</v>
      </c>
      <c r="F34" s="17">
        <f t="shared" si="3"/>
        <v>106.03302873995666</v>
      </c>
      <c r="G34" s="17">
        <f t="shared" si="0"/>
        <v>104.02386976387132</v>
      </c>
      <c r="H34" s="17">
        <f>100*(DataQ!I205/AVERAGE(DataQ!I$199:I$202))</f>
        <v>109.73322247564141</v>
      </c>
      <c r="J34" s="19">
        <f>DataQ!F205/DataQ!J205</f>
        <v>8.9829314453946445</v>
      </c>
      <c r="K34" s="19">
        <f>(DataQ!F205-DataQ!G205-DataQ!H205)/DataQ!J205</f>
        <v>5.9967405018926119</v>
      </c>
      <c r="M34" t="s">
        <v>676</v>
      </c>
      <c r="N34" s="17">
        <f t="shared" si="28"/>
        <v>-9.6638335578900669</v>
      </c>
      <c r="O34" s="17">
        <f>-100*((DataQ!AN207+DataQ!AO207)-(DataQ!AN203+DataQ!AO203))/DataQ!AI203</f>
        <v>-2.6104800255409426</v>
      </c>
      <c r="P34" s="17">
        <f t="shared" si="22"/>
        <v>6.1921338015839558</v>
      </c>
      <c r="Q34" s="17">
        <f t="shared" si="23"/>
        <v>3.2713013570299294</v>
      </c>
      <c r="R34" s="17">
        <f>100*((Z34-Z33)/DataQ!AI205)</f>
        <v>1.3291579679888657</v>
      </c>
      <c r="S34" s="17">
        <f>100*((DataQ!AQ207-DataQ!AQ203)/DataQ!AI203)</f>
        <v>0.96113245244544232</v>
      </c>
      <c r="T34" s="17">
        <f t="shared" si="26"/>
        <v>-0.52058800438281638</v>
      </c>
      <c r="V34" s="17">
        <f>((DataQ!AI207/DataQ!AI203)-1)*100</f>
        <v>9.143245553507251</v>
      </c>
      <c r="W34" s="17">
        <f>100*((DataQ!AR203+DataQ!AS203)/(DataQ!AT203+DataQ!AU203))</f>
        <v>106.71862901682015</v>
      </c>
      <c r="X34" s="25">
        <f>100*((DataQ!AK207-DataQ!AK203)/DataQ!AI203)</f>
        <v>4.6004593250187948</v>
      </c>
      <c r="Y34" s="23">
        <f>1000*(DataQ!AK207/DataQ!AM207)</f>
        <v>9328.6471778413452</v>
      </c>
      <c r="Z34" s="18">
        <f>(Y34*DataQ!AM207)/1000</f>
        <v>267415</v>
      </c>
      <c r="AB34">
        <v>2023</v>
      </c>
      <c r="AC34" s="17">
        <f t="shared" si="27"/>
        <v>-2.9376675850065981</v>
      </c>
      <c r="AD34" s="17">
        <f t="shared" si="24"/>
        <v>-2.6104800255409426</v>
      </c>
      <c r="AE34" s="17">
        <f t="shared" si="19"/>
        <v>4.6004593250187948</v>
      </c>
      <c r="AF34" s="17">
        <f t="shared" si="20"/>
        <v>5.895371296512101</v>
      </c>
      <c r="AG34" s="17">
        <f>100*((DataQ!AP207-DataQ!AP203)/DataQ!AI207)</f>
        <v>0.2967625050718552</v>
      </c>
      <c r="AH34" s="17">
        <f t="shared" si="21"/>
        <v>0.96113245244544232</v>
      </c>
      <c r="AI34" s="17">
        <f t="shared" si="25"/>
        <v>6.205577968500652</v>
      </c>
      <c r="AQ34" s="21">
        <f>(DataQ!N145/DataQ!P145)*100</f>
        <v>8.1673706695790429</v>
      </c>
      <c r="AR34" s="21">
        <f>DataQ!Q145</f>
        <v>5.8833330000000004</v>
      </c>
      <c r="AS34" s="21">
        <f>DataQ!AF145</f>
        <v>5.738461</v>
      </c>
      <c r="AV34" s="17">
        <f>(DataQ!O145/DataQ!P145)*100</f>
        <v>6.2496988580698005</v>
      </c>
      <c r="AW34" s="17">
        <f>(DataQ!N145/DataQ!P145)*100</f>
        <v>8.1673706695790429</v>
      </c>
      <c r="AX34" s="17">
        <f>(DataQ!AG145/DataQ!P145)*100</f>
        <v>-1.917671811509243</v>
      </c>
      <c r="BA34" s="21">
        <f>((DataQ!E197/DataQ!E193)-1)*100</f>
        <v>0.61570178087999583</v>
      </c>
      <c r="BB34" s="21">
        <f>((DataQ!D197/DataQ!D193)-1)*100</f>
        <v>1.4751076505905125</v>
      </c>
      <c r="BC34" s="21">
        <f t="shared" si="9"/>
        <v>0.85940586971051669</v>
      </c>
    </row>
    <row r="35" spans="1:55" x14ac:dyDescent="0.35">
      <c r="B35" s="17">
        <f t="shared" si="1"/>
        <v>96.191591218740939</v>
      </c>
      <c r="C35" s="17">
        <f t="shared" si="2"/>
        <v>94.560288490026153</v>
      </c>
      <c r="D35">
        <v>100</v>
      </c>
      <c r="F35" s="17">
        <f t="shared" si="3"/>
        <v>108.03601721814395</v>
      </c>
      <c r="G35" s="17">
        <f t="shared" si="0"/>
        <v>106.20384615771658</v>
      </c>
      <c r="H35" s="17">
        <f>100*(DataQ!I206/AVERAGE(DataQ!I$199:I$202))</f>
        <v>112.31336944252084</v>
      </c>
      <c r="J35" s="19">
        <f>DataQ!F206/DataQ!J206</f>
        <v>9.1526211015262113</v>
      </c>
      <c r="K35" s="19">
        <f>(DataQ!F206-DataQ!G206-DataQ!H206)/DataQ!J206</f>
        <v>6.122411203855691</v>
      </c>
      <c r="M35" t="s">
        <v>677</v>
      </c>
      <c r="N35" s="17">
        <f t="shared" si="28"/>
        <v>-8.0213928130558934</v>
      </c>
      <c r="O35" s="17">
        <f>-100*((DataQ!AN208+DataQ!AO208)-(DataQ!AN204+DataQ!AO204))/DataQ!AI204</f>
        <v>-1.5457821470265725</v>
      </c>
      <c r="P35" s="17">
        <f t="shared" si="22"/>
        <v>4.1516304912112769</v>
      </c>
      <c r="Q35" s="17">
        <f t="shared" si="23"/>
        <v>4.0574809483266474</v>
      </c>
      <c r="R35" s="17">
        <f>100*((Z35-Z34)/DataQ!AI206)</f>
        <v>1.3337635025332326</v>
      </c>
      <c r="S35" s="17">
        <f>100*((DataQ!AQ208-DataQ!AQ204)/DataQ!AI204)</f>
        <v>3.0216698195152465</v>
      </c>
      <c r="T35" s="17">
        <f t="shared" si="26"/>
        <v>2.9973698015039369</v>
      </c>
      <c r="V35" s="17">
        <f>((DataQ!AI208/DataQ!AI204)-1)*100</f>
        <v>11.018762614559829</v>
      </c>
      <c r="W35" s="17">
        <f>100*((DataQ!AR204+DataQ!AS204)/(DataQ!AT204+DataQ!AU204))</f>
        <v>109.78154455625881</v>
      </c>
      <c r="X35" s="25">
        <f>100*((DataQ!AK208-DataQ!AK204)/DataQ!AI204)</f>
        <v>5.3912444508598796</v>
      </c>
      <c r="Y35" s="23">
        <f>1000*(DataQ!AK208/DataQ!AM208)</f>
        <v>9516.0345789180155</v>
      </c>
      <c r="Z35" s="18">
        <f>(Y35*DataQ!AM208)/1000</f>
        <v>272996.00000000006</v>
      </c>
      <c r="AB35" t="s">
        <v>677</v>
      </c>
      <c r="AC35" s="17">
        <f t="shared" si="27"/>
        <v>-2.0465872692929432</v>
      </c>
      <c r="AD35" s="17">
        <f t="shared" si="24"/>
        <v>-1.5457821470265725</v>
      </c>
      <c r="AE35" s="17">
        <f t="shared" si="19"/>
        <v>5.3912444508598796</v>
      </c>
      <c r="AF35" s="17">
        <f t="shared" si="20"/>
        <v>3.895923270276588</v>
      </c>
      <c r="AG35" s="17">
        <f>100*((DataQ!AP208-DataQ!AP204)/DataQ!AI208)</f>
        <v>0.25570722093468856</v>
      </c>
      <c r="AH35" s="17">
        <f t="shared" si="21"/>
        <v>3.0216698195152465</v>
      </c>
      <c r="AI35" s="17">
        <f t="shared" si="25"/>
        <v>8.9721753452668871</v>
      </c>
      <c r="AQ35" s="21">
        <f>(DataQ!N146/DataQ!P146)*100</f>
        <v>8.8841005759325871</v>
      </c>
      <c r="AR35" s="21">
        <f>DataQ!Q146</f>
        <v>5.95</v>
      </c>
      <c r="AS35" s="21">
        <f>DataQ!AF146</f>
        <v>5.6818179999999998</v>
      </c>
      <c r="AV35" s="17">
        <f>(DataQ!O146/DataQ!P146)*100</f>
        <v>6.108970610616705</v>
      </c>
      <c r="AW35" s="17">
        <f>(DataQ!N146/DataQ!P146)*100</f>
        <v>8.8841005759325871</v>
      </c>
      <c r="AX35" s="17">
        <f>(DataQ!AG146/DataQ!P146)*100</f>
        <v>-2.7751295648064338</v>
      </c>
      <c r="BA35" s="21">
        <f>((DataQ!E198/DataQ!E194)-1)*100</f>
        <v>0.58413789859756982</v>
      </c>
      <c r="BB35" s="21">
        <f>((DataQ!D198/DataQ!D194)-1)*100</f>
        <v>4.5482547356026304</v>
      </c>
      <c r="BC35" s="21">
        <f t="shared" si="9"/>
        <v>3.9641168370050606</v>
      </c>
    </row>
    <row r="36" spans="1:55" x14ac:dyDescent="0.35">
      <c r="A36">
        <v>2023</v>
      </c>
      <c r="B36" s="17">
        <f t="shared" si="1"/>
        <v>96.255397131225664</v>
      </c>
      <c r="C36" s="17">
        <f t="shared" si="2"/>
        <v>92.904161570841765</v>
      </c>
      <c r="D36">
        <v>100</v>
      </c>
      <c r="F36" s="17">
        <f t="shared" si="3"/>
        <v>110.11379974630444</v>
      </c>
      <c r="G36" s="17">
        <f t="shared" si="0"/>
        <v>106.28006893850647</v>
      </c>
      <c r="H36" s="17">
        <f>100*(DataQ!I207/AVERAGE(DataQ!I$199:I$202))</f>
        <v>114.39753305072911</v>
      </c>
      <c r="J36" s="19">
        <f>DataQ!F207/DataQ!J207</f>
        <v>9.3286471778413453</v>
      </c>
      <c r="K36" s="19">
        <f>(DataQ!F207-DataQ!G207-DataQ!H207)/DataQ!J207</f>
        <v>6.126805274541268</v>
      </c>
      <c r="M36" t="s">
        <v>678</v>
      </c>
      <c r="N36" s="17">
        <f t="shared" si="28"/>
        <v>-6.2151367081698661</v>
      </c>
      <c r="O36" s="17">
        <f>-100*((DataQ!AN209+DataQ!AO209)-(DataQ!AN205+DataQ!AO205))/DataQ!AI205</f>
        <v>-1.497166716373397</v>
      </c>
      <c r="P36" s="17">
        <f t="shared" si="22"/>
        <v>4.9505418033601627</v>
      </c>
      <c r="Q36" s="17">
        <f t="shared" si="23"/>
        <v>4.2076735606450111</v>
      </c>
      <c r="R36" s="17">
        <f>100*((Z36-Z35)/DataQ!AI207)</f>
        <v>1.0905668211026782</v>
      </c>
      <c r="S36" s="17">
        <f>100*((DataQ!AQ209-DataQ!AQ205)/DataQ!AI205)</f>
        <v>1.3656924147529577</v>
      </c>
      <c r="T36" s="17">
        <f t="shared" si="26"/>
        <v>3.9021711753175463</v>
      </c>
      <c r="V36" s="17">
        <f>((DataQ!AI209/DataQ!AI205)-1)*100</f>
        <v>10.117307883487413</v>
      </c>
      <c r="W36" s="17">
        <f>100*((DataQ!AR205+DataQ!AS205)/(DataQ!AT205+DataQ!AU205))</f>
        <v>112.34193483536524</v>
      </c>
      <c r="X36" s="25">
        <f>100*((DataQ!AK209-DataQ!AK205)/DataQ!AI205)</f>
        <v>5.2982403817476893</v>
      </c>
      <c r="Y36" s="23">
        <f>1000*(DataQ!AK209/DataQ!AM209)</f>
        <v>9695.7706143261275</v>
      </c>
      <c r="Z36" s="18">
        <f>(Y36*DataQ!AM209)/1000</f>
        <v>277619</v>
      </c>
      <c r="AB36" t="s">
        <v>678</v>
      </c>
      <c r="AC36" s="17">
        <f t="shared" si="27"/>
        <v>-1.877480255744568</v>
      </c>
      <c r="AD36" s="17">
        <f t="shared" si="24"/>
        <v>-1.497166716373397</v>
      </c>
      <c r="AE36" s="17">
        <f t="shared" si="19"/>
        <v>5.2982403817476893</v>
      </c>
      <c r="AF36" s="17">
        <f t="shared" si="20"/>
        <v>4.5975485833578151</v>
      </c>
      <c r="AG36" s="17">
        <f>100*((DataQ!AP209-DataQ!AP205)/DataQ!AI209)</f>
        <v>0.35299322000234723</v>
      </c>
      <c r="AH36" s="17">
        <f t="shared" si="21"/>
        <v>1.3656924147529577</v>
      </c>
      <c r="AI36" s="17">
        <f t="shared" si="25"/>
        <v>8.2398276277428444</v>
      </c>
      <c r="AP36">
        <v>2008</v>
      </c>
      <c r="AQ36" s="21">
        <f>(DataQ!N147/DataQ!P147)*100</f>
        <v>9.297060317688894</v>
      </c>
      <c r="AR36" s="21">
        <f>DataQ!Q147</f>
        <v>5.8566669999999998</v>
      </c>
      <c r="AS36" s="21">
        <f>DataQ!AF147</f>
        <v>5.3538459999999999</v>
      </c>
      <c r="AU36">
        <v>2008</v>
      </c>
      <c r="AV36" s="17">
        <f>(DataQ!O147/DataQ!P147)*100</f>
        <v>6.7445888484877576</v>
      </c>
      <c r="AW36" s="17">
        <f>(DataQ!N147/DataQ!P147)*100</f>
        <v>9.297060317688894</v>
      </c>
      <c r="AX36" s="17">
        <f>(DataQ!AG147/DataQ!P147)*100</f>
        <v>-2.5524714692011377</v>
      </c>
      <c r="AZ36">
        <v>2021</v>
      </c>
      <c r="BA36" s="21">
        <f>((DataQ!E199/DataQ!E195)-1)*100</f>
        <v>0.64535935913971887</v>
      </c>
      <c r="BB36" s="21">
        <f>((DataQ!D199/DataQ!D195)-1)*100</f>
        <v>4.1949478220202119</v>
      </c>
      <c r="BC36" s="21">
        <f t="shared" si="9"/>
        <v>3.549588462880493</v>
      </c>
    </row>
    <row r="37" spans="1:55" x14ac:dyDescent="0.35">
      <c r="B37" s="17">
        <f t="shared" si="1"/>
        <v>96.896548562293177</v>
      </c>
      <c r="C37" s="17">
        <f t="shared" si="2"/>
        <v>96.375967162457201</v>
      </c>
      <c r="D37">
        <v>100</v>
      </c>
      <c r="F37" s="17">
        <f t="shared" si="3"/>
        <v>112.32568946233414</v>
      </c>
      <c r="G37" s="17">
        <f t="shared" si="0"/>
        <v>111.72221425578175</v>
      </c>
      <c r="H37" s="17">
        <f>100*(DataQ!I208/AVERAGE(DataQ!I$199:I$202))</f>
        <v>115.92331319223597</v>
      </c>
      <c r="J37" s="19">
        <f>DataQ!F208/DataQ!J208</f>
        <v>9.5160345789180152</v>
      </c>
      <c r="K37" s="19">
        <f>(DataQ!F208-DataQ!G208-DataQ!H208)/DataQ!J208</f>
        <v>6.4405326268823204</v>
      </c>
      <c r="M37" t="s">
        <v>679</v>
      </c>
      <c r="N37" s="17">
        <f t="shared" si="28"/>
        <v>-4.3632095389233294</v>
      </c>
      <c r="O37" s="17">
        <f>-100*((DataQ!AN210+DataQ!AO210)-(DataQ!AN206+DataQ!AO206))/DataQ!AI206</f>
        <v>-1.3565839785871343</v>
      </c>
      <c r="P37" s="17">
        <f t="shared" si="22"/>
        <v>0.87420657680910407</v>
      </c>
      <c r="Q37" s="17">
        <f t="shared" si="23"/>
        <v>3.7289686880806601</v>
      </c>
      <c r="R37" s="17">
        <f>100*((Z37-Z36)/DataQ!AI208)</f>
        <v>0.25810233763389845</v>
      </c>
      <c r="S37" s="17">
        <f>100*((DataQ!AQ210-DataQ!AQ206)/DataQ!AI206)</f>
        <v>1.7813449956983081</v>
      </c>
      <c r="T37" s="17">
        <f t="shared" si="26"/>
        <v>0.92282908071150715</v>
      </c>
      <c r="V37" s="17">
        <f>((DataQ!AI210/DataQ!AI206)-1)*100</f>
        <v>5.2860386196348363</v>
      </c>
      <c r="W37" s="17">
        <f>100*((DataQ!AR206+DataQ!AS206)/(DataQ!AT206+DataQ!AU206))</f>
        <v>114.92796863502575</v>
      </c>
      <c r="X37" s="25">
        <f>100*((DataQ!AK210-DataQ!AK206)/DataQ!AI206)</f>
        <v>3.9870710257145587</v>
      </c>
      <c r="Y37" s="23">
        <f>1000*(DataQ!AK210/DataQ!AM210)</f>
        <v>9720.0118557779479</v>
      </c>
      <c r="Z37" s="18">
        <f>(Y37*DataQ!AM210)/1000</f>
        <v>278750.5</v>
      </c>
      <c r="AB37" t="s">
        <v>679</v>
      </c>
      <c r="AC37" s="17">
        <f t="shared" si="27"/>
        <v>-1.8625327636896172</v>
      </c>
      <c r="AD37" s="17">
        <f t="shared" si="24"/>
        <v>-1.3565839785871343</v>
      </c>
      <c r="AE37" s="17">
        <f t="shared" si="19"/>
        <v>3.9870710257145587</v>
      </c>
      <c r="AF37" s="17">
        <f t="shared" si="20"/>
        <v>0.81667828717518676</v>
      </c>
      <c r="AG37" s="17">
        <f>100*((DataQ!AP210-DataQ!AP206)/DataQ!AI210)</f>
        <v>5.7528289633917255E-2</v>
      </c>
      <c r="AH37" s="17">
        <f t="shared" si="21"/>
        <v>1.7813449956983081</v>
      </c>
      <c r="AI37" s="17">
        <f t="shared" si="25"/>
        <v>3.4235058559452192</v>
      </c>
      <c r="AQ37" s="21">
        <f>(DataQ!N148/DataQ!P148)*100</f>
        <v>8.8889148992618257</v>
      </c>
      <c r="AR37" s="21">
        <f>DataQ!Q148</f>
        <v>5.7633330000000003</v>
      </c>
      <c r="AS37" s="21">
        <f>DataQ!AF148</f>
        <v>5.026923</v>
      </c>
      <c r="AV37" s="17">
        <f>(DataQ!O148/DataQ!P148)*100</f>
        <v>6.4644880378294873</v>
      </c>
      <c r="AW37" s="17">
        <f>(DataQ!N148/DataQ!P148)*100</f>
        <v>8.8889148992618257</v>
      </c>
      <c r="AX37" s="17">
        <f>(DataQ!AG148/DataQ!P148)*100</f>
        <v>-2.4244268614323392</v>
      </c>
      <c r="BA37" s="21">
        <f>((DataQ!E200/DataQ!E196)-1)*100</f>
        <v>2.0270276495785167</v>
      </c>
      <c r="BB37" s="21">
        <f>((DataQ!D200/DataQ!D196)-1)*100</f>
        <v>8.851224105461398</v>
      </c>
      <c r="BC37" s="21">
        <f t="shared" si="9"/>
        <v>6.8241964558828814</v>
      </c>
    </row>
    <row r="38" spans="1:55" x14ac:dyDescent="0.35">
      <c r="B38" s="17">
        <f t="shared" si="1"/>
        <v>98.122921760363752</v>
      </c>
      <c r="C38" s="17">
        <f t="shared" si="2"/>
        <v>96.815647134127161</v>
      </c>
      <c r="D38">
        <v>100</v>
      </c>
      <c r="F38" s="17">
        <f t="shared" si="3"/>
        <v>114.44726373058762</v>
      </c>
      <c r="G38" s="17">
        <f t="shared" si="0"/>
        <v>112.92250273455255</v>
      </c>
      <c r="H38" s="17">
        <f>100*(DataQ!I209/AVERAGE(DataQ!I$199:I$202))</f>
        <v>116.63662442715604</v>
      </c>
      <c r="J38" s="19">
        <f>DataQ!F209/DataQ!J209</f>
        <v>9.6957706143261273</v>
      </c>
      <c r="K38" s="19">
        <f>(DataQ!F209-DataQ!G209-DataQ!H209)/DataQ!J209</f>
        <v>6.5097265393077919</v>
      </c>
      <c r="M38" t="s">
        <v>680</v>
      </c>
      <c r="N38" s="17">
        <f t="shared" si="28"/>
        <v>-2.9376675850065981</v>
      </c>
      <c r="O38" s="17">
        <f>-100*((DataQ!AN211+DataQ!AO211)-(DataQ!AN207+DataQ!AO207))/DataQ!AI207</f>
        <v>-0.27815469394302428</v>
      </c>
      <c r="P38" s="17">
        <f t="shared" si="22"/>
        <v>-0.87247704690640426</v>
      </c>
      <c r="Q38" s="17">
        <f t="shared" si="23"/>
        <v>2.6900060386977898</v>
      </c>
      <c r="R38" s="17">
        <f>100*((Z38-Z37)/DataQ!AI209)</f>
        <v>0.35308349959826107</v>
      </c>
      <c r="S38" s="17">
        <f>100*((DataQ!AQ211-DataQ!AQ207)/DataQ!AI207)</f>
        <v>2.5089689272200575</v>
      </c>
      <c r="T38" s="17">
        <f t="shared" si="26"/>
        <v>1.4637591396600815</v>
      </c>
      <c r="V38" s="17">
        <f>((DataQ!AI211/DataQ!AI207)-1)*100</f>
        <v>4.4014267246666794</v>
      </c>
      <c r="W38" s="17">
        <f>100*((DataQ!AR207+DataQ!AS207)/(DataQ!AT207+DataQ!AU207))</f>
        <v>117.03173970026781</v>
      </c>
      <c r="X38" s="25">
        <f>100*((DataQ!AK211-DataQ!AK207)/DataQ!AI207)</f>
        <v>3.043089538296051</v>
      </c>
      <c r="Y38" s="23">
        <f>1000*(DataQ!AK211/DataQ!AM211)</f>
        <v>9797.7705052801339</v>
      </c>
      <c r="Z38" s="18">
        <f>(Y38*DataQ!AM211)/1000</f>
        <v>280314.90000000002</v>
      </c>
      <c r="AB38">
        <v>2024</v>
      </c>
      <c r="AC38" s="17">
        <f t="shared" si="27"/>
        <v>-1.9749800688778407</v>
      </c>
      <c r="AD38" s="17">
        <f t="shared" si="24"/>
        <v>-0.27815469394302428</v>
      </c>
      <c r="AE38" s="17">
        <f t="shared" si="19"/>
        <v>3.043089538296051</v>
      </c>
      <c r="AF38" s="17">
        <f t="shared" si="20"/>
        <v>-0.5714859782296422</v>
      </c>
      <c r="AG38" s="17">
        <f>100*((DataQ!AP211-DataQ!AP207)/DataQ!AI211)</f>
        <v>-0.30099106867676234</v>
      </c>
      <c r="AH38" s="17">
        <f t="shared" si="21"/>
        <v>2.5089689272200575</v>
      </c>
      <c r="AI38" s="17">
        <f t="shared" si="25"/>
        <v>2.4264466557888391</v>
      </c>
      <c r="AQ38" s="21">
        <f>(DataQ!N149/DataQ!P149)*100</f>
        <v>8.9038713333724182</v>
      </c>
      <c r="AR38" s="21">
        <f>DataQ!Q149</f>
        <v>5.7966670000000002</v>
      </c>
      <c r="AS38" s="21">
        <f>DataQ!AF149</f>
        <v>5</v>
      </c>
      <c r="AV38" s="17">
        <f>(DataQ!O149/DataQ!P149)*100</f>
        <v>6.6541595825760691</v>
      </c>
      <c r="AW38" s="17">
        <f>(DataQ!N149/DataQ!P149)*100</f>
        <v>8.9038713333724182</v>
      </c>
      <c r="AX38" s="17">
        <f>(DataQ!AG149/DataQ!P149)*100</f>
        <v>-2.2497117507963496</v>
      </c>
      <c r="BA38" s="21">
        <f>((DataQ!E201/DataQ!E197)-1)*100</f>
        <v>2.7539788108870367</v>
      </c>
      <c r="BB38" s="21">
        <f>((DataQ!D201/DataQ!D197)-1)*100</f>
        <v>6.0569476715292225</v>
      </c>
      <c r="BC38" s="21">
        <f t="shared" si="9"/>
        <v>3.3029688606421859</v>
      </c>
    </row>
    <row r="39" spans="1:55" x14ac:dyDescent="0.35">
      <c r="B39" s="17">
        <f t="shared" si="1"/>
        <v>97.877091015667418</v>
      </c>
      <c r="C39" s="17">
        <f t="shared" si="2"/>
        <v>96.138259590504617</v>
      </c>
      <c r="D39">
        <v>100</v>
      </c>
      <c r="F39" s="17">
        <f t="shared" si="3"/>
        <v>114.73340331288075</v>
      </c>
      <c r="G39" s="17">
        <f t="shared" si="0"/>
        <v>112.69511176655374</v>
      </c>
      <c r="H39" s="17">
        <f>100*(DataQ!I210/AVERAGE(DataQ!I$199:I$202))</f>
        <v>117.22191794044544</v>
      </c>
      <c r="J39" s="19">
        <f>DataQ!F210/DataQ!J210</f>
        <v>9.7200118557779476</v>
      </c>
      <c r="K39" s="19">
        <f>(DataQ!F210-DataQ!G210-DataQ!H210)/DataQ!J210</f>
        <v>6.4966179649905849</v>
      </c>
      <c r="M39" t="s">
        <v>681</v>
      </c>
      <c r="N39" s="17">
        <f t="shared" si="28"/>
        <v>-2.0465872692929432</v>
      </c>
      <c r="O39" s="17">
        <f>-100*((DataQ!AN212+DataQ!AO212)-(DataQ!AN208+DataQ!AO208))/DataQ!AI208</f>
        <v>-1.5668693771784155</v>
      </c>
      <c r="P39" s="17">
        <f t="shared" si="22"/>
        <v>0.37814558659831254</v>
      </c>
      <c r="Q39" s="17">
        <f t="shared" si="23"/>
        <v>1.6748097609979691</v>
      </c>
      <c r="R39" s="17">
        <f>100*((Z39-Z38)/DataQ!AI210)</f>
        <v>1.0767459243247506</v>
      </c>
      <c r="S39" s="17">
        <f>100*((DataQ!AQ212-DataQ!AQ208)/DataQ!AI208)</f>
        <v>1.2169177357251033</v>
      </c>
      <c r="T39" s="17">
        <f t="shared" si="26"/>
        <v>0.73316236117477707</v>
      </c>
      <c r="V39" s="17">
        <f>((DataQ!AI212/DataQ!AI208)-1)*100</f>
        <v>2.7797496304677205</v>
      </c>
      <c r="W39" s="17">
        <f>100*((DataQ!AR208+DataQ!AS208)/(DataQ!AT208+DataQ!AU208))</f>
        <v>118.5875534813563</v>
      </c>
      <c r="X39" s="25">
        <f>100*((DataQ!AK212-DataQ!AK208)/DataQ!AI208)</f>
        <v>2.7515556853227197</v>
      </c>
      <c r="Y39" s="23">
        <f>1000*(DataQ!AK212/DataQ!AM212)</f>
        <v>9944.7395467386923</v>
      </c>
      <c r="Z39" s="18">
        <f>(Y39*DataQ!AM212)/1000</f>
        <v>285058.59999999998</v>
      </c>
      <c r="AB39" t="s">
        <v>681</v>
      </c>
      <c r="AC39" s="17">
        <f t="shared" si="27"/>
        <v>-2.0775587981784138</v>
      </c>
      <c r="AD39" s="17">
        <f t="shared" si="24"/>
        <v>-1.5668693771784155</v>
      </c>
      <c r="AE39" s="17">
        <f t="shared" si="19"/>
        <v>2.7515556853227197</v>
      </c>
      <c r="AF39" s="17">
        <f t="shared" si="20"/>
        <v>0.79118248008317305</v>
      </c>
      <c r="AG39" s="17">
        <f>100*((DataQ!AP212-DataQ!AP208)/DataQ!AI212)</f>
        <v>-0.41303689348486011</v>
      </c>
      <c r="AH39" s="17">
        <f t="shared" si="21"/>
        <v>1.2169177357251033</v>
      </c>
      <c r="AI39" s="17">
        <f t="shared" si="25"/>
        <v>0.7021908322893069</v>
      </c>
      <c r="AQ39" s="21">
        <f>(DataQ!N150/DataQ!P150)*100</f>
        <v>8.5040793621361015</v>
      </c>
      <c r="AR39" s="21">
        <f>DataQ!Q150</f>
        <v>5.3866670000000001</v>
      </c>
      <c r="AS39" s="21">
        <f>DataQ!AF150</f>
        <v>3.325758</v>
      </c>
      <c r="AV39" s="17">
        <f>(DataQ!O150/DataQ!P150)*100</f>
        <v>6.081185487360159</v>
      </c>
      <c r="AW39" s="17">
        <f>(DataQ!N150/DataQ!P150)*100</f>
        <v>8.5040793621361015</v>
      </c>
      <c r="AX39" s="17">
        <f>(DataQ!AG150/DataQ!P150)*100</f>
        <v>-2.4228938747759439</v>
      </c>
      <c r="BA39" s="21">
        <f>((DataQ!E202/DataQ!E198)-1)*100</f>
        <v>4.8899434932935693</v>
      </c>
      <c r="BB39" s="21">
        <f>((DataQ!D202/DataQ!D198)-1)*100</f>
        <v>4.5267548500881771</v>
      </c>
      <c r="BC39" s="21">
        <f t="shared" si="9"/>
        <v>-0.36318864320539213</v>
      </c>
    </row>
    <row r="40" spans="1:55" x14ac:dyDescent="0.35">
      <c r="A40">
        <v>2024</v>
      </c>
      <c r="B40" s="17">
        <f t="shared" si="1"/>
        <v>98.218130636440549</v>
      </c>
      <c r="C40" s="17">
        <f t="shared" si="2"/>
        <v>96.471264910544221</v>
      </c>
      <c r="D40">
        <v>100</v>
      </c>
      <c r="F40" s="17">
        <f t="shared" si="3"/>
        <v>115.65125347878318</v>
      </c>
      <c r="G40" s="17">
        <f t="shared" si="0"/>
        <v>113.5943296751033</v>
      </c>
      <c r="H40" s="17">
        <f>100*(DataQ!I211/AVERAGE(DataQ!I$199:I$202))</f>
        <v>117.74939385363811</v>
      </c>
      <c r="J40" s="19">
        <f>DataQ!F211/DataQ!J211</f>
        <v>9.797770505280134</v>
      </c>
      <c r="K40" s="19">
        <f>(DataQ!F211-DataQ!G211-DataQ!H211)/DataQ!J211</f>
        <v>6.5484558408979785</v>
      </c>
      <c r="M40" t="s">
        <v>682</v>
      </c>
      <c r="N40" s="17">
        <f t="shared" si="28"/>
        <v>-1.877480255744568</v>
      </c>
      <c r="O40" s="17">
        <f>-100*((DataQ!AN213+DataQ!AO213)-(DataQ!AN209+DataQ!AO209))/DataQ!AI209</f>
        <v>-1.1148130760966692</v>
      </c>
      <c r="P40" s="17">
        <f t="shared" si="22"/>
        <v>-0.21396038531330719</v>
      </c>
      <c r="Q40" s="17">
        <f t="shared" si="23"/>
        <v>1.6784580980986594</v>
      </c>
      <c r="R40" s="17">
        <f>100*((Z40-Z39)/DataQ!AI211)</f>
        <v>0.57555257294957396</v>
      </c>
      <c r="S40" s="17">
        <f>100*((DataQ!AQ213-DataQ!AQ209)/DataQ!AI209)</f>
        <v>1.3202194696976539</v>
      </c>
      <c r="T40" s="17">
        <f t="shared" si="26"/>
        <v>0.36797642359134286</v>
      </c>
      <c r="V40" s="17">
        <f>((DataQ!AI213/DataQ!AI209)-1)*100</f>
        <v>2.245456679335911</v>
      </c>
      <c r="W40" s="17">
        <f>100*((DataQ!AR209+DataQ!AS209)/(DataQ!AT209+DataQ!AU209))</f>
        <v>119.32413966598629</v>
      </c>
      <c r="X40" s="25">
        <f>100*((DataQ!AK213-DataQ!AK209)/DataQ!AI209)</f>
        <v>2.2540106710482335</v>
      </c>
      <c r="Y40" s="23">
        <f>1000*(DataQ!AK213/DataQ!AM213)</f>
        <v>10014.349200556977</v>
      </c>
      <c r="Z40" s="18">
        <f>(Y40*DataQ!AM213)/1000</f>
        <v>287605.8</v>
      </c>
      <c r="AB40" t="s">
        <v>682</v>
      </c>
      <c r="AC40" s="17">
        <f t="shared" si="27"/>
        <v>-2.1780261430927483</v>
      </c>
      <c r="AD40" s="17">
        <f t="shared" si="24"/>
        <v>-1.1148130760966692</v>
      </c>
      <c r="AE40" s="17">
        <f t="shared" si="19"/>
        <v>2.2540106710482335</v>
      </c>
      <c r="AF40" s="17">
        <f t="shared" si="20"/>
        <v>0.39837217888021415</v>
      </c>
      <c r="AG40" s="17">
        <f>100*((DataQ!AP213-DataQ!AP209)/DataQ!AI213)</f>
        <v>-0.61233256419352133</v>
      </c>
      <c r="AH40" s="17">
        <f t="shared" si="21"/>
        <v>1.3202194696976539</v>
      </c>
      <c r="AI40" s="17">
        <f t="shared" si="25"/>
        <v>6.7430536243162642E-2</v>
      </c>
      <c r="AP40">
        <v>2009</v>
      </c>
      <c r="AQ40" s="21">
        <f>(DataQ!N151/DataQ!P151)*100</f>
        <v>4.6442683892510113</v>
      </c>
      <c r="AR40" s="21">
        <f>DataQ!Q151</f>
        <v>4.0833329999999997</v>
      </c>
      <c r="AS40" s="21">
        <f>DataQ!AF151</f>
        <v>1.0859380000000001</v>
      </c>
      <c r="AU40">
        <v>2009</v>
      </c>
      <c r="AV40" s="17">
        <f>(DataQ!O151/DataQ!P151)*100</f>
        <v>2.9443085672825999</v>
      </c>
      <c r="AW40" s="17">
        <f>(DataQ!N151/DataQ!P151)*100</f>
        <v>4.6442683892510113</v>
      </c>
      <c r="AX40" s="17">
        <f>(DataQ!AG151/DataQ!P151)*100</f>
        <v>-1.6999598219684116</v>
      </c>
      <c r="AZ40">
        <v>2022</v>
      </c>
      <c r="BA40" s="21">
        <f>((DataQ!E203/DataQ!E199)-1)*100</f>
        <v>6.1984103210960928</v>
      </c>
      <c r="BB40" s="21">
        <f>((DataQ!D203/DataQ!D199)-1)*100</f>
        <v>6.9863765541740674</v>
      </c>
      <c r="BC40" s="21">
        <f t="shared" si="9"/>
        <v>0.78796623307797464</v>
      </c>
    </row>
    <row r="41" spans="1:55" x14ac:dyDescent="0.35">
      <c r="B41" s="17">
        <f t="shared" si="1"/>
        <v>99.244791256056303</v>
      </c>
      <c r="C41" s="17">
        <f t="shared" si="2"/>
        <v>97.191754246797061</v>
      </c>
      <c r="D41">
        <v>100</v>
      </c>
      <c r="F41" s="17">
        <f t="shared" si="3"/>
        <v>117.38605160026371</v>
      </c>
      <c r="G41" s="17">
        <f t="shared" si="0"/>
        <v>114.95773364769357</v>
      </c>
      <c r="H41" s="17">
        <f>100*(DataQ!I212/AVERAGE(DataQ!I$199:I$202))</f>
        <v>118.27930727105071</v>
      </c>
      <c r="J41" s="19">
        <f>DataQ!F212/DataQ!J212</f>
        <v>9.9447395467386919</v>
      </c>
      <c r="K41" s="19">
        <f>(DataQ!F212-DataQ!G212-DataQ!H212)/DataQ!J212</f>
        <v>6.6270529921232919</v>
      </c>
      <c r="M41" t="s">
        <v>683</v>
      </c>
      <c r="N41" s="17">
        <f t="shared" si="28"/>
        <v>-1.8625327636896172</v>
      </c>
      <c r="O41" s="17">
        <f>-100*((DataQ!AN214+DataQ!AO214)-(DataQ!AN210+DataQ!AO210))/DataQ!AI210</f>
        <v>-1.1672831941427111</v>
      </c>
      <c r="P41" s="17">
        <f t="shared" si="22"/>
        <v>0.81528258764037287</v>
      </c>
      <c r="Q41" s="17">
        <f t="shared" si="23"/>
        <v>2.0238745180645887</v>
      </c>
      <c r="R41" s="17">
        <f>100*((Z41-Z40)/DataQ!AI212)</f>
        <v>0.6094169669105215</v>
      </c>
      <c r="S41" s="17">
        <f>100*((DataQ!AQ214-DataQ!AQ210)/DataQ!AI210)</f>
        <v>1.4655407029570828</v>
      </c>
      <c r="T41" s="17">
        <f t="shared" si="26"/>
        <v>1.8842988177402376</v>
      </c>
      <c r="V41" s="17">
        <f>((DataQ!AI214/DataQ!AI210)-1)*100</f>
        <v>3.7468315814298547</v>
      </c>
      <c r="W41" s="17">
        <f>100*((DataQ!AR210+DataQ!AS210)/(DataQ!AT210+DataQ!AU210))</f>
        <v>119.9425167254</v>
      </c>
      <c r="X41" s="25">
        <f>100*((DataQ!AK214-DataQ!AK210)/DataQ!AI210)</f>
        <v>2.6332914849751101</v>
      </c>
      <c r="Y41" s="23">
        <f>1000*(DataQ!AK214/DataQ!AM214)</f>
        <v>10079.440872891479</v>
      </c>
      <c r="Z41" s="18">
        <f>(Y41*DataQ!AM214)/1000</f>
        <v>290351.7</v>
      </c>
      <c r="AB41" t="s">
        <v>683</v>
      </c>
      <c r="AC41" s="17">
        <f t="shared" si="27"/>
        <v>-2.2281677565036961</v>
      </c>
      <c r="AD41" s="17">
        <f t="shared" si="24"/>
        <v>-1.1672831941427111</v>
      </c>
      <c r="AE41" s="17">
        <f t="shared" si="19"/>
        <v>2.6332914849751101</v>
      </c>
      <c r="AF41" s="17">
        <f t="shared" si="20"/>
        <v>1.4314641929624938</v>
      </c>
      <c r="AG41" s="17">
        <f>100*((DataQ!AP214-DataQ!AP210)/DataQ!AI214)</f>
        <v>-0.61618160532212085</v>
      </c>
      <c r="AH41" s="17">
        <f t="shared" si="21"/>
        <v>1.4655407029570828</v>
      </c>
      <c r="AI41" s="17">
        <f t="shared" si="25"/>
        <v>1.5186638249261586</v>
      </c>
      <c r="AQ41" s="21">
        <f>(DataQ!N152/DataQ!P152)*100</f>
        <v>3.4285670998458433</v>
      </c>
      <c r="AR41" s="21">
        <f>DataQ!Q152</f>
        <v>3.6</v>
      </c>
      <c r="AS41" s="21">
        <f>DataQ!AF152</f>
        <v>0.5</v>
      </c>
      <c r="AV41" s="17">
        <f>(DataQ!O152/DataQ!P152)*100</f>
        <v>2.2093274296730891</v>
      </c>
      <c r="AW41" s="17">
        <f>(DataQ!N152/DataQ!P152)*100</f>
        <v>3.4285670998458433</v>
      </c>
      <c r="AX41" s="17">
        <f>(DataQ!AG152/DataQ!P152)*100</f>
        <v>-1.2192396701727539</v>
      </c>
      <c r="BA41" s="21">
        <f>((DataQ!E204/DataQ!E200)-1)*100</f>
        <v>9.1511767462904015</v>
      </c>
      <c r="BB41" s="21">
        <f>((DataQ!D204/DataQ!D200)-1)*100</f>
        <v>5.1326470588235251</v>
      </c>
      <c r="BC41" s="21">
        <f t="shared" si="9"/>
        <v>-4.0185296874668763</v>
      </c>
    </row>
    <row r="42" spans="1:55" x14ac:dyDescent="0.35">
      <c r="B42" s="17">
        <f t="shared" si="1"/>
        <v>99.491759629668891</v>
      </c>
      <c r="C42" s="17">
        <f t="shared" si="2"/>
        <v>97.323513410721134</v>
      </c>
      <c r="D42">
        <v>100</v>
      </c>
      <c r="F42" s="17">
        <f t="shared" si="3"/>
        <v>118.20771237645462</v>
      </c>
      <c r="G42" s="17">
        <f t="shared" si="0"/>
        <v>115.63158520406635</v>
      </c>
      <c r="H42" s="17">
        <f>100*(DataQ!I213/AVERAGE(DataQ!I$199:I$202))</f>
        <v>118.81156069251443</v>
      </c>
      <c r="J42" s="19">
        <f>DataQ!F213/DataQ!J213</f>
        <v>10.014349200556977</v>
      </c>
      <c r="K42" s="19">
        <f>(DataQ!F213-DataQ!G213-DataQ!H213)/DataQ!J213</f>
        <v>6.6658990082303333</v>
      </c>
      <c r="M42" t="s">
        <v>684</v>
      </c>
      <c r="N42" s="17">
        <f t="shared" si="28"/>
        <v>-1.9749800688778407</v>
      </c>
      <c r="O42" s="17">
        <f>-100*((DataQ!AN215+DataQ!AO215)-(DataQ!AN211+DataQ!AO211))/DataQ!AI211</f>
        <v>-1.4036573076106198</v>
      </c>
      <c r="P42" s="17">
        <f t="shared" si="22"/>
        <v>1.2958225439821491</v>
      </c>
      <c r="Q42" s="17">
        <f t="shared" si="23"/>
        <v>2.2810287181507505</v>
      </c>
      <c r="R42" s="17">
        <f>100*((Z42-Z41)/DataQ!AI213)</f>
        <v>0.55744057230535726</v>
      </c>
      <c r="S42" s="17">
        <f>100*((DataQ!AQ215-DataQ!AQ211)/DataQ!AI211)</f>
        <v>1.6581572014117676</v>
      </c>
      <c r="T42" s="17">
        <f t="shared" si="26"/>
        <v>2.4138116593615644</v>
      </c>
      <c r="V42" s="17">
        <f>((DataQ!AI215/DataQ!AI211)-1)*100</f>
        <v>4.3887917282394051</v>
      </c>
      <c r="W42" s="17">
        <f>100*((DataQ!AR211+DataQ!AS211)/(DataQ!AT211+DataQ!AU211))</f>
        <v>120.46974318161186</v>
      </c>
      <c r="X42" s="25">
        <f>100*((DataQ!AK215-DataQ!AK211)/DataQ!AI211)</f>
        <v>2.8384692904561075</v>
      </c>
      <c r="Y42" s="23">
        <f>1000*(DataQ!AK215/DataQ!AM215)</f>
        <v>10142.940457753015</v>
      </c>
      <c r="Z42" s="18">
        <f>(Y42*DataQ!AM215)/1000</f>
        <v>292877</v>
      </c>
      <c r="AB42">
        <v>2025</v>
      </c>
      <c r="AC42" s="17">
        <f t="shared" si="27"/>
        <v>0</v>
      </c>
      <c r="AD42" s="17">
        <f t="shared" si="24"/>
        <v>-1.4036573076106198</v>
      </c>
      <c r="AE42" s="17">
        <f t="shared" si="19"/>
        <v>2.8384692904561075</v>
      </c>
      <c r="AF42" s="17">
        <f t="shared" si="20"/>
        <v>1.6898037177885559</v>
      </c>
      <c r="AG42" s="17">
        <f>100*((DataQ!AP215-DataQ!AP211)/DataQ!AI215)</f>
        <v>-0.39398117380640635</v>
      </c>
      <c r="AH42" s="17">
        <f t="shared" si="21"/>
        <v>1.6581572014117676</v>
      </c>
      <c r="AI42" s="17">
        <f t="shared" si="25"/>
        <v>4.3887917282394051</v>
      </c>
      <c r="AQ42" s="21">
        <f>(DataQ!N153/DataQ!P153)*100</f>
        <v>3.0123071655475453</v>
      </c>
      <c r="AR42" s="21">
        <f>DataQ!Q153</f>
        <v>3.576667</v>
      </c>
      <c r="AS42" s="21">
        <f>DataQ!AF153</f>
        <v>0.5</v>
      </c>
      <c r="AV42" s="17">
        <f>(DataQ!O153/DataQ!P153)*100</f>
        <v>1.876700081794145</v>
      </c>
      <c r="AW42" s="17">
        <f>(DataQ!N153/DataQ!P153)*100</f>
        <v>3.0123071655475453</v>
      </c>
      <c r="AX42" s="17">
        <f>(DataQ!AG153/DataQ!P153)*100</f>
        <v>-1.1356070837534002</v>
      </c>
      <c r="BA42" s="21">
        <f>((DataQ!E205/DataQ!E201)-1)*100</f>
        <v>10.005958905884139</v>
      </c>
      <c r="BB42" s="21">
        <f>((DataQ!D205/DataQ!D201)-1)*100</f>
        <v>5.8823468942120538</v>
      </c>
      <c r="BC42" s="21">
        <f t="shared" si="9"/>
        <v>-4.1236120116720851</v>
      </c>
    </row>
    <row r="43" spans="1:55" x14ac:dyDescent="0.35">
      <c r="B43" s="17">
        <f t="shared" si="1"/>
        <v>99.640230051835545</v>
      </c>
      <c r="C43" s="17">
        <f t="shared" si="2"/>
        <v>97.216817569281972</v>
      </c>
      <c r="D43">
        <v>100</v>
      </c>
      <c r="F43" s="17">
        <f t="shared" si="3"/>
        <v>118.97604365064178</v>
      </c>
      <c r="G43" s="17">
        <f t="shared" si="0"/>
        <v>116.08235272722854</v>
      </c>
      <c r="H43" s="17">
        <f>100*(DataQ!I214/AVERAGE(DataQ!I$199:I$202))</f>
        <v>119.40562922099561</v>
      </c>
      <c r="J43" s="19">
        <f>DataQ!F214/DataQ!J214</f>
        <v>10.079440872891478</v>
      </c>
      <c r="K43" s="19">
        <f>(DataQ!F214-DataQ!G214-DataQ!H214)/DataQ!J214</f>
        <v>6.6918847350564965</v>
      </c>
      <c r="M43" t="s">
        <v>685</v>
      </c>
      <c r="N43" s="17">
        <f t="shared" si="28"/>
        <v>-2.0775587981784138</v>
      </c>
      <c r="O43" s="17">
        <f>-100*((DataQ!AN216+DataQ!AO216)-(DataQ!AN212+DataQ!AO212))/DataQ!AI212</f>
        <v>-1.1544899420344803</v>
      </c>
      <c r="P43" s="17">
        <f t="shared" si="22"/>
        <v>1.5255620445019129</v>
      </c>
      <c r="Q43" s="17">
        <f t="shared" si="23"/>
        <v>1.7433007450351092</v>
      </c>
      <c r="R43" s="17">
        <f>100*((Z43-Z42)/DataQ!AI214)</f>
        <v>0.56311354664611557</v>
      </c>
      <c r="S43" s="17">
        <f>100*((DataQ!AQ216-DataQ!AQ212)/DataQ!AI212)</f>
        <v>0.84245753567305459</v>
      </c>
      <c r="T43" s="17">
        <f t="shared" si="26"/>
        <v>1.4423851316432978</v>
      </c>
      <c r="V43" s="17">
        <f>((DataQ!AI216/DataQ!AI212)-1)*100</f>
        <v>3.5199439298217117</v>
      </c>
      <c r="W43" s="17">
        <f>100*((DataQ!AR212+DataQ!AS212)/(DataQ!AT212+DataQ!AU212))</f>
        <v>121.0145512538717</v>
      </c>
      <c r="X43" s="25">
        <f>100*((DataQ!AK216-DataQ!AK212)/DataQ!AI212)</f>
        <v>2.3064142916812247</v>
      </c>
      <c r="Y43" s="23">
        <f>1000*(DataQ!AK216/DataQ!AM216)</f>
        <v>10204.19032067216</v>
      </c>
      <c r="Z43" s="18">
        <f>(Y43*DataQ!AM216)/1000</f>
        <v>295450.8</v>
      </c>
      <c r="AB43" t="s">
        <v>685</v>
      </c>
      <c r="AC43" s="17">
        <f t="shared" si="27"/>
        <v>0</v>
      </c>
      <c r="AD43" s="17">
        <f t="shared" si="24"/>
        <v>-1.1544899420344803</v>
      </c>
      <c r="AE43" s="17">
        <f t="shared" si="19"/>
        <v>2.3064142916812247</v>
      </c>
      <c r="AF43" s="17">
        <f t="shared" si="20"/>
        <v>1.8932635818756662</v>
      </c>
      <c r="AG43" s="17">
        <f>100*((DataQ!AP216-DataQ!AP212)/DataQ!AI216)</f>
        <v>-0.36770153737375344</v>
      </c>
      <c r="AH43" s="17">
        <f t="shared" si="21"/>
        <v>0.84245753567305459</v>
      </c>
      <c r="AI43" s="17">
        <f t="shared" si="25"/>
        <v>3.5199439298217117</v>
      </c>
      <c r="AQ43" s="21">
        <f>(DataQ!N154/DataQ!P154)*100</f>
        <v>2.758087675363988</v>
      </c>
      <c r="AR43" s="21">
        <f>DataQ!Q154</f>
        <v>3.5733329999999999</v>
      </c>
      <c r="AS43" s="21">
        <f>DataQ!AF154</f>
        <v>0.5</v>
      </c>
      <c r="AV43" s="17">
        <f>(DataQ!O154/DataQ!P154)*100</f>
        <v>1.7707832135509998</v>
      </c>
      <c r="AW43" s="17">
        <f>(DataQ!N154/DataQ!P154)*100</f>
        <v>2.758087675363988</v>
      </c>
      <c r="AX43" s="17">
        <f>(DataQ!AG154/DataQ!P154)*100</f>
        <v>-0.98730446181298803</v>
      </c>
      <c r="BA43" s="21">
        <f>((DataQ!E206/DataQ!E202)-1)*100</f>
        <v>10.75174825174825</v>
      </c>
      <c r="BB43" s="21">
        <f>((DataQ!D206/DataQ!D202)-1)*100</f>
        <v>6.4116981770698356</v>
      </c>
      <c r="BC43" s="21">
        <f t="shared" si="9"/>
        <v>-4.3400500746784143</v>
      </c>
    </row>
    <row r="44" spans="1:55" x14ac:dyDescent="0.35">
      <c r="A44">
        <v>2025</v>
      </c>
      <c r="B44" s="17">
        <f t="shared" si="1"/>
        <v>99.719553357898093</v>
      </c>
      <c r="C44" s="17">
        <f t="shared" si="2"/>
        <v>96.922211476870203</v>
      </c>
      <c r="D44">
        <v>100</v>
      </c>
      <c r="F44" s="17">
        <f t="shared" si="3"/>
        <v>119.72558218909413</v>
      </c>
      <c r="G44" s="17">
        <f t="shared" si="0"/>
        <v>116.36702938765929</v>
      </c>
      <c r="H44" s="17">
        <f>100*(DataQ!I215/AVERAGE(DataQ!I$199:I$202))</f>
        <v>120.06229285784451</v>
      </c>
      <c r="J44" s="19">
        <f>DataQ!F215/DataQ!J215</f>
        <v>10.142940457753015</v>
      </c>
      <c r="K44" s="19">
        <f>(DataQ!F215-DataQ!G215-DataQ!H215)/DataQ!J215</f>
        <v>6.7082956998035668</v>
      </c>
      <c r="M44" t="s">
        <v>686</v>
      </c>
      <c r="N44" s="17">
        <f t="shared" si="28"/>
        <v>-2.1780261430927483</v>
      </c>
      <c r="O44" s="17">
        <f>-100*((DataQ!AN217+DataQ!AO217)-(DataQ!AN213+DataQ!AO213))/DataQ!AI213</f>
        <v>-1.2050499661270919</v>
      </c>
      <c r="P44" s="17">
        <f t="shared" si="22"/>
        <v>1.90329985481777</v>
      </c>
      <c r="Q44" s="17">
        <f t="shared" si="23"/>
        <v>1.7434267933715304</v>
      </c>
      <c r="R44" s="17">
        <f>100*((Z44-Z43)/DataQ!AI215)</f>
        <v>0.59090113125998411</v>
      </c>
      <c r="S44" s="17">
        <f>100*((DataQ!AQ217-DataQ!AQ213)/DataQ!AI213)</f>
        <v>1.0915950376244243</v>
      </c>
      <c r="T44" s="17">
        <f t="shared" si="26"/>
        <v>1.9461467078538686</v>
      </c>
      <c r="V44" s="17">
        <f>((DataQ!AI217/DataQ!AI213)-1)*100</f>
        <v>4.1241728509466169</v>
      </c>
      <c r="W44" s="17">
        <f>100*((DataQ!AR213+DataQ!AS213)/(DataQ!AT213+DataQ!AU213))</f>
        <v>121.56442682855226</v>
      </c>
      <c r="X44" s="25">
        <f>100*((DataQ!AK217-DataQ!AK213)/DataQ!AI213)</f>
        <v>2.3343279246315145</v>
      </c>
      <c r="Y44" s="23">
        <f>1000*(DataQ!AK217/DataQ!AM217)</f>
        <v>10269.521792288751</v>
      </c>
      <c r="Z44" s="18">
        <f>(Y44*DataQ!AM217)/1000</f>
        <v>298180.70000000007</v>
      </c>
      <c r="AB44" t="s">
        <v>686</v>
      </c>
      <c r="AC44" s="17">
        <f t="shared" si="27"/>
        <v>0</v>
      </c>
      <c r="AD44" s="17">
        <f t="shared" si="24"/>
        <v>-1.2050499661270919</v>
      </c>
      <c r="AE44" s="17">
        <f t="shared" si="19"/>
        <v>2.3343279246315145</v>
      </c>
      <c r="AF44" s="17">
        <f t="shared" si="20"/>
        <v>2.2466860444751391</v>
      </c>
      <c r="AG44" s="17">
        <f>100*((DataQ!AP217-DataQ!AP213)/DataQ!AI217)</f>
        <v>-0.34338618965736917</v>
      </c>
      <c r="AH44" s="17">
        <f t="shared" si="21"/>
        <v>1.0915950376244243</v>
      </c>
      <c r="AI44" s="17">
        <f t="shared" si="25"/>
        <v>4.1241728509466169</v>
      </c>
      <c r="AP44">
        <v>2010</v>
      </c>
      <c r="AQ44" s="21">
        <f>(DataQ!N155/DataQ!P155)*100</f>
        <v>1.9245762904312413</v>
      </c>
      <c r="AR44" s="21">
        <f>DataQ!Q155</f>
        <v>3.6666669999999999</v>
      </c>
      <c r="AS44" s="21">
        <f>DataQ!AF155</f>
        <v>0.5</v>
      </c>
      <c r="AU44">
        <v>2010</v>
      </c>
      <c r="AV44" s="17">
        <f>(DataQ!O155/DataQ!P155)*100</f>
        <v>1.5430673620625703</v>
      </c>
      <c r="AW44" s="17">
        <f>(DataQ!N155/DataQ!P155)*100</f>
        <v>1.9245762904312413</v>
      </c>
      <c r="AX44" s="17">
        <f>(DataQ!AG155/DataQ!P155)*100</f>
        <v>-0.38150892836867084</v>
      </c>
      <c r="AZ44">
        <v>2023</v>
      </c>
      <c r="BA44" s="21">
        <f>((DataQ!E207/DataQ!E203)-1)*100</f>
        <v>10.178266296223782</v>
      </c>
      <c r="BB44" s="21">
        <f>((DataQ!D207/DataQ!D203)-1)*100</f>
        <v>6.1981298394095052</v>
      </c>
      <c r="BC44" s="21">
        <f t="shared" si="9"/>
        <v>-3.980136456814277</v>
      </c>
    </row>
    <row r="45" spans="1:55" x14ac:dyDescent="0.35">
      <c r="B45" s="17">
        <f t="shared" si="1"/>
        <v>99.772953881411141</v>
      </c>
      <c r="C45" s="17">
        <f t="shared" si="2"/>
        <v>96.847996095152041</v>
      </c>
      <c r="D45">
        <v>100</v>
      </c>
      <c r="F45" s="17">
        <f t="shared" si="3"/>
        <v>120.44856538391231</v>
      </c>
      <c r="G45" s="17">
        <f t="shared" si="0"/>
        <v>116.91747849655644</v>
      </c>
      <c r="H45" s="17">
        <f>100*(DataQ!I216/AVERAGE(DataQ!I$199:I$202))</f>
        <v>120.72266150110774</v>
      </c>
      <c r="J45" s="19">
        <f>DataQ!F216/DataQ!J216</f>
        <v>10.20419032067216</v>
      </c>
      <c r="K45" s="19">
        <f>(DataQ!F216-DataQ!G216-DataQ!H216)/DataQ!J216</f>
        <v>6.7400278442916264</v>
      </c>
      <c r="M45" t="s">
        <v>687</v>
      </c>
      <c r="N45" s="17">
        <f t="shared" si="28"/>
        <v>-2.2281677565036961</v>
      </c>
      <c r="O45" s="17">
        <f>-100*((DataQ!AN218+DataQ!AO218)-(DataQ!AN214+DataQ!AO214))/DataQ!AI214</f>
        <v>-1.1901369146112173</v>
      </c>
      <c r="P45" s="17">
        <f t="shared" si="22"/>
        <v>2.1747236011262303</v>
      </c>
      <c r="Q45" s="17">
        <f t="shared" si="23"/>
        <v>1.7249127535625823</v>
      </c>
      <c r="R45" s="17">
        <f>100*((Z45-Z44)/DataQ!AI216)</f>
        <v>0.58670139223126838</v>
      </c>
      <c r="S45" s="17">
        <f>100*((DataQ!AQ218-DataQ!AQ214)/DataQ!AI214)</f>
        <v>1.0369598782145006</v>
      </c>
      <c r="T45" s="17">
        <f t="shared" si="26"/>
        <v>2.1049929540196683</v>
      </c>
      <c r="V45" s="17">
        <f>((DataQ!AI218/DataQ!AI214)-1)*100</f>
        <v>4.3331607105233649</v>
      </c>
      <c r="W45" s="17">
        <f>100*((DataQ!AR214+DataQ!AS214)/(DataQ!AT214+DataQ!AU214))</f>
        <v>122.17648539700447</v>
      </c>
      <c r="X45" s="25">
        <f>100*((DataQ!AK218-DataQ!AK214)/DataQ!AI214)</f>
        <v>2.3116141457938508</v>
      </c>
      <c r="Y45" s="23">
        <f>1000*(DataQ!AK218/DataQ!AM218)</f>
        <v>10337.681620459531</v>
      </c>
      <c r="Z45" s="18">
        <f>(Y45*DataQ!AM218)/1000</f>
        <v>300917.29999999993</v>
      </c>
      <c r="AB45" t="s">
        <v>687</v>
      </c>
      <c r="AC45" s="17">
        <f t="shared" si="27"/>
        <v>0</v>
      </c>
      <c r="AD45" s="17">
        <f>O45</f>
        <v>-1.1901369146112173</v>
      </c>
      <c r="AE45" s="17">
        <f t="shared" si="19"/>
        <v>2.3116141457938508</v>
      </c>
      <c r="AF45" s="17">
        <f t="shared" si="20"/>
        <v>2.5443216457139419</v>
      </c>
      <c r="AG45" s="17">
        <f>100*((DataQ!AP218-DataQ!AP214)/DataQ!AI218)</f>
        <v>-0.36959804458771156</v>
      </c>
      <c r="AH45" s="17">
        <f t="shared" si="21"/>
        <v>1.0369598782145006</v>
      </c>
      <c r="AI45" s="17">
        <f t="shared" si="25"/>
        <v>4.333160710523364</v>
      </c>
      <c r="AQ45" s="21">
        <f>(DataQ!N156/DataQ!P156)*100</f>
        <v>2.0292869809866585</v>
      </c>
      <c r="AR45" s="21">
        <f>DataQ!Q156</f>
        <v>3.66</v>
      </c>
      <c r="AS45" s="21">
        <f>DataQ!AF156</f>
        <v>0.5</v>
      </c>
      <c r="AV45" s="17">
        <f>(DataQ!O156/DataQ!P156)*100</f>
        <v>1.6921948773972448</v>
      </c>
      <c r="AW45" s="17">
        <f>(DataQ!N156/DataQ!P156)*100</f>
        <v>2.0292869809866585</v>
      </c>
      <c r="AX45" s="17">
        <f>(DataQ!AG156/DataQ!P156)*100</f>
        <v>-0.33709210358941361</v>
      </c>
      <c r="BA45" s="21">
        <f>((DataQ!E208/DataQ!E204)-1)*100</f>
        <v>8.4390489688226822</v>
      </c>
      <c r="BB45" s="21">
        <f>((DataQ!D208/DataQ!D204)-1)*100</f>
        <v>8.392758727769678</v>
      </c>
      <c r="BC45" s="21">
        <f t="shared" si="9"/>
        <v>-4.6290241053004166E-2</v>
      </c>
    </row>
    <row r="46" spans="1:55" x14ac:dyDescent="0.35">
      <c r="B46" s="17">
        <f t="shared" si="1"/>
        <v>99.862496857228209</v>
      </c>
      <c r="C46" s="17">
        <f t="shared" si="2"/>
        <v>96.739623912150577</v>
      </c>
      <c r="D46">
        <v>100</v>
      </c>
      <c r="F46" s="17">
        <f t="shared" si="3"/>
        <v>121.21972720894183</v>
      </c>
      <c r="G46" s="17">
        <f t="shared" si="0"/>
        <v>117.42897674281132</v>
      </c>
      <c r="H46" s="17">
        <f>100*(DataQ!I217/AVERAGE(DataQ!I$199:I$202))</f>
        <v>121.38663765061644</v>
      </c>
      <c r="J46" s="19">
        <f>DataQ!F217/DataQ!J217</f>
        <v>10.269521792288751</v>
      </c>
      <c r="K46" s="19">
        <f>(DataQ!F217-DataQ!G217-DataQ!H217)/DataQ!J217</f>
        <v>6.7695145597630493</v>
      </c>
      <c r="N46" s="17"/>
      <c r="O46" s="17"/>
      <c r="P46" s="17"/>
      <c r="Q46" s="17"/>
      <c r="R46" s="17"/>
      <c r="S46" s="17"/>
      <c r="T46" s="17"/>
      <c r="V46" s="17">
        <f>((DataQ!AI219/DataQ!AI215)-1)*100</f>
        <v>4.3966386234486343</v>
      </c>
      <c r="W46" s="17">
        <f>100*((DataQ!AR215+DataQ!AS215)/(DataQ!AT215+DataQ!AU215))</f>
        <v>122.84899659847702</v>
      </c>
      <c r="X46" s="25">
        <f>100*((DataQ!AK219-DataQ!AK215)/DataQ!AI215)</f>
        <v>2.3205082888283344</v>
      </c>
      <c r="Y46" s="23">
        <f>1000*(DataQ!AK219/DataQ!AM219)</f>
        <v>10408.502815735757</v>
      </c>
      <c r="Z46" s="18">
        <f>(Y46*DataQ!AM219)/1000</f>
        <v>303597.50000000006</v>
      </c>
      <c r="AC46" s="17"/>
      <c r="AD46" s="17"/>
      <c r="AE46" s="17"/>
      <c r="AF46" s="17"/>
      <c r="AG46" s="17"/>
      <c r="AH46" s="17"/>
      <c r="AI46" s="17"/>
      <c r="AQ46" s="21">
        <f>(DataQ!N157/DataQ!P157)*100</f>
        <v>1.9944083404566646</v>
      </c>
      <c r="AR46" s="21">
        <f>DataQ!Q157</f>
        <v>3.57</v>
      </c>
      <c r="AS46" s="21">
        <f>DataQ!AF157</f>
        <v>0.5</v>
      </c>
      <c r="AV46" s="17">
        <f>(DataQ!O157/DataQ!P157)*100</f>
        <v>1.7170650133072538</v>
      </c>
      <c r="AW46" s="17">
        <f>(DataQ!N157/DataQ!P157)*100</f>
        <v>1.9944083404566646</v>
      </c>
      <c r="AX46" s="17">
        <f>(DataQ!AG157/DataQ!P157)*100</f>
        <v>-0.27734332714941079</v>
      </c>
      <c r="BA46" s="21">
        <f>((DataQ!E209/DataQ!E205)-1)*100</f>
        <v>6.7136184931289922</v>
      </c>
      <c r="BB46" s="21">
        <f>((DataQ!D209/DataQ!D205)-1)*100</f>
        <v>7.9827346278317224</v>
      </c>
      <c r="BC46" s="21">
        <f t="shared" si="9"/>
        <v>1.2691161347027302</v>
      </c>
    </row>
    <row r="47" spans="1:55" x14ac:dyDescent="0.35">
      <c r="B47" s="17">
        <f t="shared" si="1"/>
        <v>99.975384466106107</v>
      </c>
      <c r="C47" s="17">
        <f t="shared" si="2"/>
        <v>96.621635602597678</v>
      </c>
      <c r="D47">
        <v>100</v>
      </c>
      <c r="F47" s="17">
        <f t="shared" si="3"/>
        <v>122.02427448432465</v>
      </c>
      <c r="G47" s="17">
        <f t="shared" si="0"/>
        <v>117.93087915448737</v>
      </c>
      <c r="H47" s="17">
        <f>100*(DataQ!I218/AVERAGE(DataQ!I$199:I$202))</f>
        <v>122.05431880653943</v>
      </c>
      <c r="J47" s="19">
        <f>DataQ!F218/DataQ!J218</f>
        <v>10.337681620459531</v>
      </c>
      <c r="K47" s="19">
        <f>(DataQ!F218-DataQ!G218-DataQ!H218)/DataQ!J218</f>
        <v>6.7984480971033481</v>
      </c>
      <c r="N47" s="17"/>
      <c r="O47" s="17"/>
      <c r="P47" s="17"/>
      <c r="Q47" s="17"/>
      <c r="R47" s="17"/>
      <c r="S47" s="17"/>
      <c r="T47" s="17"/>
      <c r="V47" s="17">
        <f>((DataQ!AI220/DataQ!AI216)-1)*100</f>
        <v>4.2590413351562217</v>
      </c>
      <c r="W47" s="17">
        <f>100*((DataQ!AR216+DataQ!AS216)/(DataQ!AT216+DataQ!AU216))</f>
        <v>123.52869971052264</v>
      </c>
      <c r="X47" s="25">
        <f>100*((DataQ!AK220-DataQ!AK216)/DataQ!AI216)</f>
        <v>2.349592647087519</v>
      </c>
      <c r="Y47" s="23">
        <f>1000*(DataQ!AK220/DataQ!AM220)</f>
        <v>10479.582253431916</v>
      </c>
      <c r="Z47" s="18">
        <f>(Y47*DataQ!AM220)/1000</f>
        <v>306410.2</v>
      </c>
      <c r="AC47" s="17"/>
      <c r="AD47" s="17"/>
      <c r="AE47" s="17"/>
      <c r="AF47" s="17"/>
      <c r="AG47" s="17"/>
      <c r="AH47" s="17"/>
      <c r="AI47" s="17"/>
      <c r="AQ47" s="21">
        <f>(DataQ!N158/DataQ!P158)*100</f>
        <v>2.2473166785345469</v>
      </c>
      <c r="AR47" s="21">
        <f>DataQ!Q158</f>
        <v>3.5066670000000002</v>
      </c>
      <c r="AS47" s="21">
        <f>DataQ!AF158</f>
        <v>0.5</v>
      </c>
      <c r="AV47" s="17">
        <f>(DataQ!O158/DataQ!P158)*100</f>
        <v>1.9050743575500222</v>
      </c>
      <c r="AW47" s="17">
        <f>(DataQ!N158/DataQ!P158)*100</f>
        <v>2.2473166785345469</v>
      </c>
      <c r="AX47" s="17">
        <f>(DataQ!AG158/DataQ!P158)*100</f>
        <v>-0.34224232098452451</v>
      </c>
      <c r="BA47" s="21">
        <f>((DataQ!E210/DataQ!E206)-1)*100</f>
        <v>4.1568271507498089</v>
      </c>
      <c r="BB47" s="21">
        <f>((DataQ!D210/DataQ!D206)-1)*100</f>
        <v>5.7082449414246783</v>
      </c>
      <c r="BC47" s="21">
        <f t="shared" si="9"/>
        <v>1.5514177906748694</v>
      </c>
    </row>
    <row r="48" spans="1:55" x14ac:dyDescent="0.35">
      <c r="A48">
        <v>2026</v>
      </c>
      <c r="B48" s="17">
        <f t="shared" si="1"/>
        <v>100.10969888717629</v>
      </c>
      <c r="C48" s="17">
        <f t="shared" si="2"/>
        <v>96.479464360655868</v>
      </c>
      <c r="D48">
        <v>100</v>
      </c>
      <c r="F48" s="17">
        <f t="shared" si="3"/>
        <v>122.86023609438146</v>
      </c>
      <c r="G48" s="17">
        <f t="shared" si="0"/>
        <v>118.40500871917048</v>
      </c>
      <c r="H48" s="17">
        <f>100*(DataQ!I219/AVERAGE(DataQ!I$199:I$202))</f>
        <v>122.72560746870793</v>
      </c>
      <c r="J48" s="19">
        <f>DataQ!F219/DataQ!J219</f>
        <v>10.408502815735757</v>
      </c>
      <c r="K48" s="19">
        <f>(DataQ!F219-DataQ!G219-DataQ!H219)/DataQ!J219</f>
        <v>6.825780592713576</v>
      </c>
      <c r="N48" s="17"/>
      <c r="O48" s="17"/>
      <c r="P48" s="17"/>
      <c r="Q48" s="17"/>
      <c r="R48" s="17"/>
      <c r="S48" s="17"/>
      <c r="T48" s="17"/>
      <c r="V48" s="17">
        <f>((DataQ!AI221/DataQ!AI217)-1)*100</f>
        <v>4.0913707671463184</v>
      </c>
      <c r="W48" s="17">
        <f>100*((DataQ!AR217+DataQ!AS217)/(DataQ!AT217+DataQ!AU217))</f>
        <v>124.21213182557899</v>
      </c>
      <c r="X48" s="25">
        <f>100*((DataQ!AK221-DataQ!AK217)/DataQ!AI217)</f>
        <v>2.3508792980963915</v>
      </c>
      <c r="Y48" s="23">
        <f>1000*(DataQ!AK221/DataQ!AM221)</f>
        <v>10551.880025043116</v>
      </c>
      <c r="Z48" s="18">
        <f>(Y48*DataQ!AM221)/1000</f>
        <v>309269.79999999993</v>
      </c>
      <c r="AC48" s="17"/>
      <c r="AD48" s="17"/>
      <c r="AE48" s="17"/>
      <c r="AF48" s="17"/>
      <c r="AG48" s="17"/>
      <c r="AH48" s="17"/>
      <c r="AI48" s="17"/>
      <c r="AP48">
        <v>2011</v>
      </c>
      <c r="AQ48" s="21">
        <f>(DataQ!N159/DataQ!P159)*100</f>
        <v>2.1920797667199698</v>
      </c>
      <c r="AR48" s="21">
        <f>DataQ!Q159</f>
        <v>3.496667</v>
      </c>
      <c r="AS48" s="21">
        <f>DataQ!AF159</f>
        <v>0.5</v>
      </c>
      <c r="AU48">
        <v>2011</v>
      </c>
      <c r="AV48" s="17">
        <f>(DataQ!O159/DataQ!P159)*100</f>
        <v>1.9670774151067634</v>
      </c>
      <c r="AW48" s="17">
        <f>(DataQ!N159/DataQ!P159)*100</f>
        <v>2.1920797667199698</v>
      </c>
      <c r="AX48" s="17">
        <f>(DataQ!AG159/DataQ!P159)*100</f>
        <v>-0.22500235161320667</v>
      </c>
      <c r="AZ48">
        <v>2024</v>
      </c>
      <c r="BA48" s="21">
        <f>((DataQ!E211/DataQ!E207)-1)*100</f>
        <v>3.4202514144706209</v>
      </c>
      <c r="BB48" s="21">
        <f>((DataQ!D211/DataQ!D207)-1)*100</f>
        <v>5.3302446414672078</v>
      </c>
      <c r="BC48" s="21">
        <f t="shared" si="9"/>
        <v>1.9099932269965869</v>
      </c>
    </row>
    <row r="49" spans="2:55" x14ac:dyDescent="0.35">
      <c r="B49" s="17">
        <f t="shared" si="1"/>
        <v>100.24201244967136</v>
      </c>
      <c r="C49" s="17">
        <f t="shared" si="2"/>
        <v>96.465522911005777</v>
      </c>
      <c r="D49">
        <v>100</v>
      </c>
      <c r="F49" s="17">
        <f t="shared" si="3"/>
        <v>123.69924595501229</v>
      </c>
      <c r="G49" s="17">
        <f t="shared" si="0"/>
        <v>119.03903516241203</v>
      </c>
      <c r="H49" s="17">
        <f>100*(DataQ!I220/AVERAGE(DataQ!I$199:I$202))</f>
        <v>123.40060113729072</v>
      </c>
      <c r="J49" s="19">
        <f>DataQ!F220/DataQ!J220</f>
        <v>10.479582253431916</v>
      </c>
      <c r="K49" s="19">
        <f>(DataQ!F220-DataQ!G220-DataQ!H220)/DataQ!J220</f>
        <v>6.8623307812432675</v>
      </c>
      <c r="N49" s="17"/>
      <c r="O49" s="17"/>
      <c r="P49" s="17"/>
      <c r="Q49" s="17"/>
      <c r="R49" s="17"/>
      <c r="S49" s="17"/>
      <c r="T49" s="17"/>
      <c r="V49" s="17">
        <f>((DataQ!AI222/DataQ!AI218)-1)*100</f>
        <v>3.9212257059713984</v>
      </c>
      <c r="W49" s="17">
        <f>100*((DataQ!AR218+DataQ!AS218)/(DataQ!AT218+DataQ!AU218))</f>
        <v>124.89878245064996</v>
      </c>
      <c r="X49" s="25">
        <f>100*((DataQ!AK222-DataQ!AK218)/DataQ!AI218)</f>
        <v>2.3645583200331042</v>
      </c>
      <c r="Y49" s="23">
        <f>1000*(DataQ!AK222/DataQ!AM222)</f>
        <v>10624.410403845292</v>
      </c>
      <c r="Z49" s="18">
        <f>(Y49*DataQ!AM222)/1000</f>
        <v>312193.20000000007</v>
      </c>
      <c r="AC49" s="17"/>
      <c r="AD49" s="17"/>
      <c r="AE49" s="17"/>
      <c r="AF49" s="17"/>
      <c r="AG49" s="17"/>
      <c r="AH49" s="17"/>
      <c r="AI49" s="17"/>
      <c r="AQ49" s="21">
        <f>(DataQ!N160/DataQ!P160)*100</f>
        <v>2.1242872045147094</v>
      </c>
      <c r="AR49" s="21">
        <f>DataQ!Q160</f>
        <v>3.47</v>
      </c>
      <c r="AS49" s="21">
        <f>DataQ!AF160</f>
        <v>0.5</v>
      </c>
      <c r="AV49" s="17">
        <f>(DataQ!O160/DataQ!P160)*100</f>
        <v>1.8765827100788453</v>
      </c>
      <c r="AW49" s="17">
        <f>(DataQ!N160/DataQ!P160)*100</f>
        <v>2.1242872045147094</v>
      </c>
      <c r="AX49" s="17">
        <f>(DataQ!AG160/DataQ!P160)*100</f>
        <v>-0.24770449443586406</v>
      </c>
      <c r="BA49" s="21">
        <f>((DataQ!E212/DataQ!E208)-1)*100</f>
        <v>1.5831633816980162</v>
      </c>
      <c r="BB49" s="21">
        <f>((DataQ!D212/DataQ!D208)-1)*100</f>
        <v>3.8262447456353987</v>
      </c>
      <c r="BC49" s="21">
        <f t="shared" si="9"/>
        <v>2.2430813639373826</v>
      </c>
    </row>
    <row r="50" spans="2:55" x14ac:dyDescent="0.35">
      <c r="B50" s="17">
        <f t="shared" si="1"/>
        <v>100.40649020804067</v>
      </c>
      <c r="C50" s="17">
        <f t="shared" si="2"/>
        <v>96.412526293789753</v>
      </c>
      <c r="D50">
        <v>100</v>
      </c>
      <c r="F50" s="17">
        <f t="shared" si="3"/>
        <v>124.55263682654292</v>
      </c>
      <c r="G50" s="17">
        <f t="shared" si="0"/>
        <v>119.59818880351885</v>
      </c>
      <c r="H50" s="17">
        <f>100*(DataQ!I221/AVERAGE(DataQ!I$199:I$202))</f>
        <v>124.0483922587791</v>
      </c>
      <c r="J50" s="19">
        <f>DataQ!F221/DataQ!J221</f>
        <v>10.551880025043117</v>
      </c>
      <c r="K50" s="19">
        <f>(DataQ!F221-DataQ!G221-DataQ!H221)/DataQ!J221</f>
        <v>6.8945647222994628</v>
      </c>
      <c r="N50" s="17"/>
      <c r="O50" s="17"/>
      <c r="P50" s="17"/>
      <c r="Q50" s="17"/>
      <c r="R50" s="17"/>
      <c r="S50" s="17"/>
      <c r="T50" s="17"/>
      <c r="V50" s="17"/>
      <c r="W50" s="17"/>
      <c r="X50" s="17"/>
      <c r="Y50" s="18"/>
      <c r="Z50" s="18"/>
      <c r="AB50" s="17" t="s">
        <v>690</v>
      </c>
      <c r="AE50" s="17"/>
      <c r="AF50" s="17"/>
      <c r="AG50" s="17"/>
      <c r="AH50" s="17"/>
      <c r="AI50" s="17"/>
      <c r="AQ50" s="21">
        <f>(DataQ!N161/DataQ!P161)*100</f>
        <v>2.1448515876878713</v>
      </c>
      <c r="AR50" s="21">
        <f>DataQ!Q161</f>
        <v>3.4</v>
      </c>
      <c r="AS50" s="21">
        <f>DataQ!AF161</f>
        <v>0.5</v>
      </c>
      <c r="AV50" s="17">
        <f>(DataQ!O161/DataQ!P161)*100</f>
        <v>1.8799014854039575</v>
      </c>
      <c r="AW50" s="17">
        <f>(DataQ!N161/DataQ!P161)*100</f>
        <v>2.1448515876878713</v>
      </c>
      <c r="AX50" s="17">
        <f>(DataQ!AG161/DataQ!P161)*100</f>
        <v>-0.2649501022839138</v>
      </c>
      <c r="BA50" s="21">
        <f>((DataQ!E213/DataQ!E209)-1)*100</f>
        <v>1.7656012176560099</v>
      </c>
      <c r="BB50" s="21">
        <f>((DataQ!D213/DataQ!D209)-1)*100</f>
        <v>3.1951649947634886</v>
      </c>
      <c r="BC50" s="21">
        <f t="shared" si="9"/>
        <v>1.4295637771074787</v>
      </c>
    </row>
    <row r="51" spans="2:55" x14ac:dyDescent="0.35">
      <c r="B51" s="17">
        <f t="shared" si="1"/>
        <v>100.56863008165344</v>
      </c>
      <c r="C51" s="17">
        <f t="shared" si="2"/>
        <v>96.334140869075995</v>
      </c>
      <c r="D51">
        <v>100</v>
      </c>
      <c r="F51" s="17">
        <f t="shared" si="3"/>
        <v>125.40877335466855</v>
      </c>
      <c r="G51" s="17">
        <f t="shared" si="0"/>
        <v>120.12837829010667</v>
      </c>
      <c r="H51" s="17">
        <f>100*(DataQ!I222/AVERAGE(DataQ!I$199:I$202))</f>
        <v>124.69969338634419</v>
      </c>
      <c r="J51" s="19">
        <f>DataQ!F222/DataQ!J222</f>
        <v>10.624410403845291</v>
      </c>
      <c r="K51" s="19">
        <f>(DataQ!F222-DataQ!G222-DataQ!H222)/DataQ!J222</f>
        <v>6.9251289454447456</v>
      </c>
      <c r="N51" s="17"/>
      <c r="O51" s="17"/>
      <c r="P51" s="17"/>
      <c r="Q51" s="17"/>
      <c r="R51" s="17"/>
      <c r="S51" s="17"/>
      <c r="T51" s="17"/>
      <c r="V51" s="17"/>
      <c r="W51" s="17"/>
      <c r="X51" s="17"/>
      <c r="Y51" s="18"/>
      <c r="Z51" s="18"/>
      <c r="AB51">
        <v>2022</v>
      </c>
      <c r="AC51" s="17">
        <f>AC7</f>
        <v>-7.8364037475924908</v>
      </c>
      <c r="AD51" s="26">
        <f t="shared" ref="AD51:AI51" si="29">AD7</f>
        <v>-2.1384825413285471</v>
      </c>
      <c r="AE51" s="17">
        <f t="shared" si="29"/>
        <v>4.6351358788080512</v>
      </c>
      <c r="AF51" s="26">
        <f>AF7</f>
        <v>2.5175388985286649</v>
      </c>
      <c r="AG51" s="17">
        <f t="shared" si="29"/>
        <v>0.18505270123238071</v>
      </c>
      <c r="AH51" s="17">
        <f t="shared" si="29"/>
        <v>1.1564633518076619</v>
      </c>
      <c r="AI51" s="17">
        <f t="shared" si="29"/>
        <v>-1.4806954585442791</v>
      </c>
      <c r="AQ51" s="21">
        <f>(DataQ!N162/DataQ!P162)*100</f>
        <v>2.3691671696939762</v>
      </c>
      <c r="AR51" s="21">
        <f>DataQ!Q162</f>
        <v>3.3666670000000001</v>
      </c>
      <c r="AS51" s="21">
        <f>DataQ!AF162</f>
        <v>0.5</v>
      </c>
      <c r="AV51" s="17">
        <f>(DataQ!O162/DataQ!P162)*100</f>
        <v>2.1145438914192685</v>
      </c>
      <c r="AW51" s="17">
        <f>(DataQ!N162/DataQ!P162)*100</f>
        <v>2.3691671696939762</v>
      </c>
      <c r="AX51" s="17">
        <f>(DataQ!AG162/DataQ!P162)*100</f>
        <v>-0.25462327827470776</v>
      </c>
      <c r="BA51" s="21">
        <f>((DataQ!E214/DataQ!E210)-1)*100</f>
        <v>1.8293251252020415</v>
      </c>
      <c r="BB51" s="21">
        <f>((DataQ!D214/DataQ!D210)-1)*100</f>
        <v>3.9698098015095162</v>
      </c>
      <c r="BC51" s="21">
        <f t="shared" si="9"/>
        <v>2.1404846763074747</v>
      </c>
    </row>
    <row r="52" spans="2:55" x14ac:dyDescent="0.35">
      <c r="C52" s="17"/>
      <c r="N52" s="17"/>
      <c r="O52" s="17"/>
      <c r="P52" s="17"/>
      <c r="Q52" s="17"/>
      <c r="R52" s="17"/>
      <c r="S52" s="17"/>
      <c r="T52" s="17"/>
      <c r="V52" s="17"/>
      <c r="W52" s="17"/>
      <c r="X52" s="17"/>
      <c r="Y52" s="18"/>
      <c r="Z52" s="18"/>
      <c r="AB52">
        <v>2023</v>
      </c>
      <c r="AC52" s="17">
        <f t="shared" ref="AC52:AI53" si="30">AC8</f>
        <v>-7.0184088508854492</v>
      </c>
      <c r="AD52" s="26">
        <f t="shared" si="30"/>
        <v>-1.7420285933904658</v>
      </c>
      <c r="AE52" s="17">
        <f t="shared" si="30"/>
        <v>4.810180558663955</v>
      </c>
      <c r="AF52" s="26">
        <f t="shared" si="30"/>
        <v>3.7295051297412765</v>
      </c>
      <c r="AG52" s="17">
        <f t="shared" si="30"/>
        <v>0.26161125681622516</v>
      </c>
      <c r="AH52" s="17">
        <f t="shared" si="30"/>
        <v>1.78382334513867</v>
      </c>
      <c r="AI52" s="17">
        <f t="shared" si="30"/>
        <v>1.8246828460842115</v>
      </c>
      <c r="AP52">
        <v>2012</v>
      </c>
      <c r="AQ52" s="21">
        <f>(DataQ!N163/DataQ!P163)*100</f>
        <v>2.5747862100564496</v>
      </c>
      <c r="AR52" s="21">
        <f>DataQ!Q163</f>
        <v>3.3666670000000001</v>
      </c>
      <c r="AS52" s="21">
        <f>DataQ!AF163</f>
        <v>0.5</v>
      </c>
      <c r="AU52">
        <v>2012</v>
      </c>
      <c r="AV52" s="17">
        <f>(DataQ!O163/DataQ!P163)*100</f>
        <v>2.1957095248833953</v>
      </c>
      <c r="AW52" s="17">
        <f>(DataQ!N163/DataQ!P163)*100</f>
        <v>2.5747862100564496</v>
      </c>
      <c r="AX52" s="17">
        <f>(DataQ!AG163/DataQ!P163)*100</f>
        <v>-0.37907668517305443</v>
      </c>
      <c r="AZ52">
        <v>2025</v>
      </c>
      <c r="BA52" s="21">
        <f>((DataQ!E215/DataQ!E211)-1)*100</f>
        <v>1.8615903910687015</v>
      </c>
      <c r="BB52" s="21">
        <f>((DataQ!D215/DataQ!D211)-1)*100</f>
        <v>3.5229327841783897</v>
      </c>
      <c r="BC52" s="21">
        <f t="shared" si="9"/>
        <v>1.6613423931096882</v>
      </c>
    </row>
    <row r="53" spans="2:55" x14ac:dyDescent="0.35">
      <c r="N53" s="17"/>
      <c r="O53" s="17"/>
      <c r="P53" s="17"/>
      <c r="Q53" s="17"/>
      <c r="R53" s="17"/>
      <c r="S53" s="17"/>
      <c r="T53" s="17"/>
      <c r="V53" s="17"/>
      <c r="W53" s="17"/>
      <c r="X53" s="17"/>
      <c r="Y53" s="18"/>
      <c r="Z53" s="18"/>
      <c r="AB53">
        <v>2024</v>
      </c>
      <c r="AC53" s="17">
        <f t="shared" si="30"/>
        <v>-2.1814375618578019</v>
      </c>
      <c r="AD53" s="26">
        <f t="shared" si="30"/>
        <v>-1.0384225686411848</v>
      </c>
      <c r="AE53" s="17">
        <f t="shared" si="30"/>
        <v>2.6662054026313813</v>
      </c>
      <c r="AF53" s="26">
        <f t="shared" si="30"/>
        <v>0.53764934043634072</v>
      </c>
      <c r="AG53" s="17">
        <f t="shared" si="30"/>
        <v>-0.50308317587161433</v>
      </c>
      <c r="AH53" s="17">
        <f t="shared" si="30"/>
        <v>1.6195751597861754</v>
      </c>
      <c r="AI53" s="17">
        <f t="shared" si="30"/>
        <v>1.1004865964832966</v>
      </c>
      <c r="AQ53" s="21">
        <f>(DataQ!N164/DataQ!P164)*100</f>
        <v>2.3986208987425219</v>
      </c>
      <c r="AR53" s="21">
        <f>DataQ!Q164</f>
        <v>3.38</v>
      </c>
      <c r="AS53" s="21">
        <f>DataQ!AF164</f>
        <v>0.5</v>
      </c>
      <c r="AV53" s="17">
        <f>(DataQ!O164/DataQ!P164)*100</f>
        <v>2.0989695518978504</v>
      </c>
      <c r="AW53" s="17">
        <f>(DataQ!N164/DataQ!P164)*100</f>
        <v>2.3986208987425219</v>
      </c>
      <c r="AX53" s="17">
        <f>(DataQ!AG164/DataQ!P164)*100</f>
        <v>-0.29965134684467132</v>
      </c>
      <c r="BA53" s="21">
        <f>((DataQ!E216/DataQ!E212)-1)*100</f>
        <v>2.0916812689037556</v>
      </c>
      <c r="BB53" s="21">
        <f>((DataQ!D216/DataQ!D212)-1)*100</f>
        <v>2.6089357185273387</v>
      </c>
      <c r="BC53" s="21">
        <f t="shared" si="9"/>
        <v>0.51725444962358313</v>
      </c>
    </row>
    <row r="54" spans="2:55" x14ac:dyDescent="0.35">
      <c r="N54" s="17"/>
      <c r="O54" s="17"/>
      <c r="P54" s="17"/>
      <c r="Q54" s="17"/>
      <c r="R54" s="17"/>
      <c r="S54" s="17"/>
      <c r="T54" s="17"/>
      <c r="V54" s="17"/>
      <c r="W54" s="17"/>
      <c r="X54" s="17"/>
      <c r="Y54" s="18"/>
      <c r="Z54" s="18"/>
      <c r="AC54" s="17"/>
      <c r="AD54" s="26"/>
      <c r="AE54" s="17"/>
      <c r="AF54" s="26"/>
      <c r="AG54" s="17"/>
      <c r="AH54" s="17"/>
      <c r="AI54" s="17"/>
      <c r="AQ54" s="21">
        <f>(DataQ!N165/DataQ!P165)*100</f>
        <v>2.1103343637446472</v>
      </c>
      <c r="AR54" s="21">
        <f>DataQ!Q165</f>
        <v>3.3733330000000001</v>
      </c>
      <c r="AS54" s="21">
        <f>DataQ!AF165</f>
        <v>0.5</v>
      </c>
      <c r="AV54" s="17">
        <f>(DataQ!O165/DataQ!P165)*100</f>
        <v>1.8150364425285725</v>
      </c>
      <c r="AW54" s="17">
        <f>(DataQ!N165/DataQ!P165)*100</f>
        <v>2.1103343637446472</v>
      </c>
      <c r="AX54" s="17">
        <f>(DataQ!AG165/DataQ!P165)*100</f>
        <v>-0.29529792121607445</v>
      </c>
      <c r="BA54" s="21">
        <f>((DataQ!E217/DataQ!E213)-1)*100</f>
        <v>2.2163475919832365</v>
      </c>
      <c r="BB54" s="21">
        <f>((DataQ!D217/DataQ!D213)-1)*100</f>
        <v>2.5480947881503013</v>
      </c>
      <c r="BC54" s="21">
        <f t="shared" si="9"/>
        <v>0.33174719616706483</v>
      </c>
    </row>
    <row r="55" spans="2:55" x14ac:dyDescent="0.35">
      <c r="N55" s="17"/>
      <c r="O55" s="17"/>
      <c r="P55" s="17"/>
      <c r="Q55" s="17"/>
      <c r="R55" s="17"/>
      <c r="S55" s="17"/>
      <c r="T55" s="17"/>
      <c r="V55" s="17"/>
      <c r="W55" s="17"/>
      <c r="X55" s="17"/>
      <c r="Y55" s="18"/>
      <c r="Z55" s="18"/>
      <c r="AC55" s="17"/>
      <c r="AD55" s="26"/>
      <c r="AE55" s="17"/>
      <c r="AF55" s="26"/>
      <c r="AG55" s="17"/>
      <c r="AH55" s="17"/>
      <c r="AI55" s="17"/>
      <c r="AQ55" s="21">
        <f>(DataQ!N166/DataQ!P166)*100</f>
        <v>2.0058346428395262</v>
      </c>
      <c r="AR55" s="21">
        <f>DataQ!Q166</f>
        <v>3.38</v>
      </c>
      <c r="AS55" s="21">
        <f>DataQ!AF166</f>
        <v>0.5</v>
      </c>
      <c r="AV55" s="17">
        <f>(DataQ!O166/DataQ!P166)*100</f>
        <v>1.8092325471598396</v>
      </c>
      <c r="AW55" s="17">
        <f>(DataQ!N166/DataQ!P166)*100</f>
        <v>2.0058346428395262</v>
      </c>
      <c r="AX55" s="17">
        <f>(DataQ!AG166/DataQ!P166)*100</f>
        <v>-0.19660209567968653</v>
      </c>
      <c r="BA55" s="21">
        <f>((DataQ!E218/DataQ!E214)-1)*100</f>
        <v>2.2792690622470024</v>
      </c>
      <c r="BB55" s="21">
        <f>((DataQ!D218/DataQ!D214)-1)*100</f>
        <v>2.5619935940060845</v>
      </c>
      <c r="BC55" s="21">
        <f t="shared" si="9"/>
        <v>0.28272453175908208</v>
      </c>
    </row>
    <row r="56" spans="2:55" x14ac:dyDescent="0.35">
      <c r="N56" s="17"/>
      <c r="O56" s="17"/>
      <c r="P56" s="17"/>
      <c r="Q56" s="17"/>
      <c r="R56" s="17"/>
      <c r="S56" s="17"/>
      <c r="T56" s="17"/>
      <c r="V56" s="17"/>
      <c r="W56" s="17"/>
      <c r="X56" s="17"/>
      <c r="Y56" s="18"/>
      <c r="Z56" s="18"/>
      <c r="AB56" s="17" t="s">
        <v>691</v>
      </c>
      <c r="AD56" s="26"/>
      <c r="AE56" s="17"/>
      <c r="AF56" s="26"/>
      <c r="AG56" s="17"/>
      <c r="AH56" s="17"/>
      <c r="AI56" s="17"/>
      <c r="AP56">
        <v>2013</v>
      </c>
      <c r="AQ56" s="21">
        <f>(DataQ!N167/DataQ!P167)*100</f>
        <v>2.174020142588696</v>
      </c>
      <c r="AR56" s="21">
        <f>DataQ!Q167</f>
        <v>3.3666670000000001</v>
      </c>
      <c r="AS56" s="21">
        <f>DataQ!AF167</f>
        <v>0.5</v>
      </c>
      <c r="AU56">
        <v>2013</v>
      </c>
      <c r="AV56" s="17">
        <f>(DataQ!O167/DataQ!P167)*100</f>
        <v>1.8562570819286774</v>
      </c>
      <c r="AW56" s="17">
        <f>(DataQ!N167/DataQ!P167)*100</f>
        <v>2.174020142588696</v>
      </c>
      <c r="AX56" s="17">
        <f>(DataQ!AG167/DataQ!P167)*100</f>
        <v>-0.31776302547031043</v>
      </c>
      <c r="AZ56">
        <v>2026</v>
      </c>
      <c r="BA56" s="21">
        <f>((DataQ!E219/DataQ!E215)-1)*100</f>
        <v>2.3100252449998804</v>
      </c>
      <c r="BB56" s="21">
        <f>((DataQ!D219/DataQ!D215)-1)*100</f>
        <v>2.6181410804063221</v>
      </c>
      <c r="BC56" s="21">
        <f t="shared" si="9"/>
        <v>0.30811583540644172</v>
      </c>
    </row>
    <row r="57" spans="2:55" x14ac:dyDescent="0.35">
      <c r="N57" s="17"/>
      <c r="O57" s="17"/>
      <c r="P57" s="17"/>
      <c r="Q57" s="17"/>
      <c r="R57" s="17"/>
      <c r="S57" s="17"/>
      <c r="T57" s="17"/>
      <c r="V57" s="17"/>
      <c r="W57" s="17"/>
      <c r="X57" s="17"/>
      <c r="Y57" s="18"/>
      <c r="Z57" s="18"/>
      <c r="AB57">
        <v>2022</v>
      </c>
      <c r="AC57" s="17">
        <f>AVERAGE(AC30:AC33)</f>
        <v>-7.0658931545097889</v>
      </c>
      <c r="AD57" s="26">
        <f t="shared" ref="AD57:AI57" si="31">AVERAGE(AD30:AD33)</f>
        <v>-2.1389330401530557</v>
      </c>
      <c r="AE57" s="17">
        <f t="shared" si="31"/>
        <v>4.6357608042312828</v>
      </c>
      <c r="AF57" s="26">
        <f>AVERAGE(AF30:AF33)</f>
        <v>2.5200344892679007</v>
      </c>
      <c r="AG57" s="17">
        <f t="shared" si="31"/>
        <v>0.17281294529277669</v>
      </c>
      <c r="AH57" s="17">
        <f t="shared" si="31"/>
        <v>1.1507948435367283</v>
      </c>
      <c r="AI57" s="17">
        <f t="shared" si="31"/>
        <v>-0.72542311233415546</v>
      </c>
      <c r="AQ57" s="21">
        <f>(DataQ!N168/DataQ!P168)*100</f>
        <v>2.0038311555038653</v>
      </c>
      <c r="AR57" s="21">
        <f>DataQ!Q168</f>
        <v>3.3433329999999999</v>
      </c>
      <c r="AS57" s="21">
        <f>DataQ!AF168</f>
        <v>0.5</v>
      </c>
      <c r="AV57" s="17">
        <f>(DataQ!O168/DataQ!P168)*100</f>
        <v>1.7267565163850311</v>
      </c>
      <c r="AW57" s="17">
        <f>(DataQ!N168/DataQ!P168)*100</f>
        <v>2.0038311555038653</v>
      </c>
      <c r="AX57" s="17">
        <f>(DataQ!AG168/DataQ!P168)*100</f>
        <v>-0.27707463911883423</v>
      </c>
      <c r="BA57" s="21">
        <f>((DataQ!E220/DataQ!E216)-1)*100</f>
        <v>2.2356183410752406</v>
      </c>
      <c r="BB57" s="21">
        <f>((DataQ!D220/DataQ!D216)-1)*100</f>
        <v>2.6988333937095987</v>
      </c>
      <c r="BC57" s="21">
        <f t="shared" si="9"/>
        <v>0.46321505263435814</v>
      </c>
    </row>
    <row r="58" spans="2:55" x14ac:dyDescent="0.35">
      <c r="N58" s="17"/>
      <c r="O58" s="17"/>
      <c r="P58" s="17"/>
      <c r="Q58" s="17"/>
      <c r="R58" s="17"/>
      <c r="S58" s="17"/>
      <c r="T58" s="17"/>
      <c r="V58" s="17"/>
      <c r="W58" s="17"/>
      <c r="X58" s="17"/>
      <c r="Y58" s="18"/>
      <c r="Z58" s="18"/>
      <c r="AB58">
        <v>2023</v>
      </c>
      <c r="AC58" s="17">
        <f>AVERAGE(AC34:AC37)</f>
        <v>-2.1810669684334316</v>
      </c>
      <c r="AD58" s="26">
        <f t="shared" ref="AD58:AI58" si="32">AVERAGE(AD34:AD37)</f>
        <v>-1.7525032168820116</v>
      </c>
      <c r="AE58" s="17">
        <f t="shared" si="32"/>
        <v>4.8192537958352304</v>
      </c>
      <c r="AF58" s="26">
        <f t="shared" si="32"/>
        <v>3.8013803593304227</v>
      </c>
      <c r="AG58" s="17">
        <f t="shared" si="32"/>
        <v>0.24074780891070205</v>
      </c>
      <c r="AH58" s="17">
        <f t="shared" si="32"/>
        <v>1.7824599206029887</v>
      </c>
      <c r="AI58" s="17">
        <f t="shared" si="32"/>
        <v>6.7102716993639007</v>
      </c>
      <c r="AQ58" s="21">
        <f>(DataQ!N169/DataQ!P169)*100</f>
        <v>1.8608438640407756</v>
      </c>
      <c r="AR58" s="21">
        <f>DataQ!Q169</f>
        <v>3.3166669999999998</v>
      </c>
      <c r="AS58" s="21">
        <f>DataQ!AF169</f>
        <v>0.5</v>
      </c>
      <c r="AV58" s="17">
        <f>(DataQ!O169/DataQ!P169)*100</f>
        <v>1.5766739384678281</v>
      </c>
      <c r="AW58" s="17">
        <f>(DataQ!N169/DataQ!P169)*100</f>
        <v>1.8608438640407756</v>
      </c>
      <c r="AX58" s="17">
        <f>(DataQ!AG169/DataQ!P169)*100</f>
        <v>-0.28416992557294751</v>
      </c>
      <c r="BA58" s="21">
        <f>((DataQ!E221/DataQ!E217)-1)*100</f>
        <v>2.2091149127511311</v>
      </c>
      <c r="BB58" s="21">
        <f>((DataQ!D221/DataQ!D217)-1)*100</f>
        <v>2.7494632211432446</v>
      </c>
      <c r="BC58" s="21">
        <f t="shared" si="9"/>
        <v>0.54034830839211345</v>
      </c>
    </row>
    <row r="59" spans="2:55" x14ac:dyDescent="0.35">
      <c r="N59" s="17"/>
      <c r="O59" s="17"/>
      <c r="P59" s="17"/>
      <c r="Q59" s="17"/>
      <c r="R59" s="17"/>
      <c r="S59" s="17"/>
      <c r="T59" s="17"/>
      <c r="V59" s="17"/>
      <c r="W59" s="17"/>
      <c r="X59" s="17"/>
      <c r="Y59" s="18"/>
      <c r="Z59" s="18"/>
      <c r="AB59">
        <v>2024</v>
      </c>
      <c r="AC59" s="17">
        <f>AVERAGE(AC38:AC41)</f>
        <v>-2.1146831916631745</v>
      </c>
      <c r="AD59" s="26">
        <f t="shared" ref="AD59:AI59" si="33">AVERAGE(AD38:AD41)</f>
        <v>-1.031780085340205</v>
      </c>
      <c r="AE59" s="17">
        <f t="shared" si="33"/>
        <v>2.6704868449105286</v>
      </c>
      <c r="AF59" s="26">
        <f t="shared" si="33"/>
        <v>0.51238321842405976</v>
      </c>
      <c r="AG59" s="17">
        <f t="shared" si="33"/>
        <v>-0.48563553291931616</v>
      </c>
      <c r="AH59" s="17">
        <f t="shared" si="33"/>
        <v>1.6279117088999744</v>
      </c>
      <c r="AI59" s="17">
        <f t="shared" si="33"/>
        <v>1.1786829623118669</v>
      </c>
      <c r="AQ59" s="21">
        <f>(DataQ!N170/DataQ!P170)*100</f>
        <v>1.6691095091382249</v>
      </c>
      <c r="AR59" s="21">
        <f>DataQ!Q170</f>
        <v>3.28</v>
      </c>
      <c r="AS59" s="21">
        <f>DataQ!AF170</f>
        <v>0.5</v>
      </c>
      <c r="AV59" s="17">
        <f>(DataQ!O170/DataQ!P170)*100</f>
        <v>1.4085396455053361</v>
      </c>
      <c r="AW59" s="17">
        <f>(DataQ!N170/DataQ!P170)*100</f>
        <v>1.6691095091382249</v>
      </c>
      <c r="AX59" s="17">
        <f>(DataQ!AG170/DataQ!P170)*100</f>
        <v>-0.26056986363288898</v>
      </c>
      <c r="BA59" s="21">
        <f>((DataQ!E222/DataQ!E218)-1)*100</f>
        <v>2.1487343545029569</v>
      </c>
      <c r="BB59" s="21">
        <f>((DataQ!D222/DataQ!D218)-1)*100</f>
        <v>2.7736636084818134</v>
      </c>
      <c r="BC59" s="21">
        <f t="shared" si="9"/>
        <v>0.62492925397885646</v>
      </c>
    </row>
    <row r="60" spans="2:55" x14ac:dyDescent="0.35">
      <c r="N60" s="17"/>
      <c r="O60" s="17"/>
      <c r="P60" s="17"/>
      <c r="Q60" s="17"/>
      <c r="R60" s="17"/>
      <c r="S60" s="17"/>
      <c r="T60" s="17"/>
      <c r="V60" s="17"/>
      <c r="W60" s="17"/>
      <c r="X60" s="17"/>
      <c r="Y60" s="18"/>
      <c r="Z60" s="18"/>
      <c r="AC60" s="17"/>
      <c r="AD60" s="17"/>
      <c r="AE60" s="17"/>
      <c r="AF60" s="26"/>
      <c r="AG60" s="17"/>
      <c r="AH60" s="17"/>
      <c r="AI60" s="17"/>
      <c r="AP60">
        <v>2014</v>
      </c>
      <c r="AQ60" s="21">
        <f>(DataQ!N171/DataQ!P171)*100</f>
        <v>2.0413171885208659</v>
      </c>
      <c r="AR60" s="21">
        <f>DataQ!Q171</f>
        <v>3.25</v>
      </c>
      <c r="AS60" s="21">
        <f>DataQ!AF171</f>
        <v>0.5</v>
      </c>
      <c r="AU60">
        <v>2014</v>
      </c>
      <c r="AV60" s="17">
        <f>(DataQ!O171/DataQ!P171)*100</f>
        <v>1.7123185449769669</v>
      </c>
      <c r="AW60" s="17">
        <f>(DataQ!N171/DataQ!P171)*100</f>
        <v>2.0413171885208659</v>
      </c>
      <c r="AX60" s="17">
        <f>(DataQ!AG171/DataQ!P171)*100</f>
        <v>-0.32899864354389907</v>
      </c>
    </row>
    <row r="61" spans="2:55" x14ac:dyDescent="0.35">
      <c r="N61" s="17"/>
      <c r="O61" s="17"/>
      <c r="P61" s="17"/>
      <c r="Q61" s="17"/>
      <c r="R61" s="17"/>
      <c r="S61" s="17"/>
      <c r="T61" s="17"/>
      <c r="V61" s="17"/>
      <c r="W61" s="17"/>
      <c r="X61" s="17"/>
      <c r="Y61" s="18"/>
      <c r="Z61" s="18"/>
      <c r="AC61" s="17"/>
      <c r="AD61" s="17"/>
      <c r="AE61" s="17"/>
      <c r="AF61" s="17"/>
      <c r="AG61" s="17"/>
      <c r="AH61" s="17"/>
      <c r="AI61" s="17"/>
      <c r="AQ61" s="21">
        <f>(DataQ!N172/DataQ!P172)*100</f>
        <v>2.3954732456198</v>
      </c>
      <c r="AR61" s="21">
        <f>DataQ!Q172</f>
        <v>3.233333</v>
      </c>
      <c r="AS61" s="21">
        <f>DataQ!AF172</f>
        <v>0.5</v>
      </c>
      <c r="AV61" s="17">
        <f>(DataQ!O172/DataQ!P172)*100</f>
        <v>2.0540608036171975</v>
      </c>
      <c r="AW61" s="17">
        <f>(DataQ!N172/DataQ!P172)*100</f>
        <v>2.3954732456198</v>
      </c>
      <c r="AX61" s="17">
        <f>(DataQ!AG172/DataQ!P172)*100</f>
        <v>-0.34141244200260251</v>
      </c>
    </row>
    <row r="62" spans="2:55" x14ac:dyDescent="0.35">
      <c r="N62" s="17"/>
      <c r="O62" s="17"/>
      <c r="P62" s="17"/>
      <c r="Q62" s="17"/>
      <c r="R62" s="17"/>
      <c r="S62" s="17"/>
      <c r="T62" s="17"/>
      <c r="V62" s="17"/>
      <c r="W62" s="17"/>
      <c r="X62" s="17"/>
      <c r="Y62" s="18"/>
      <c r="Z62" s="18"/>
      <c r="AC62" s="17"/>
      <c r="AD62" s="17"/>
      <c r="AE62" s="28">
        <f>AB30</f>
        <v>2022</v>
      </c>
      <c r="AF62" s="17">
        <f>AF30</f>
        <v>0.90349054206677093</v>
      </c>
      <c r="AG62" s="17">
        <f>AF62/4</f>
        <v>0.22587263551669273</v>
      </c>
      <c r="AH62" s="24">
        <f>AG62/AI65</f>
        <v>8.9630771514683252E-2</v>
      </c>
      <c r="AI62" s="17"/>
      <c r="AQ62" s="21">
        <f>(DataQ!N173/DataQ!P173)*100</f>
        <v>2.432923457700308</v>
      </c>
      <c r="AR62" s="21">
        <f>DataQ!Q173</f>
        <v>3.213333</v>
      </c>
      <c r="AS62" s="21">
        <f>DataQ!AF173</f>
        <v>0.5</v>
      </c>
      <c r="AV62" s="17">
        <f>(DataQ!O173/DataQ!P173)*100</f>
        <v>2.1462518760367573</v>
      </c>
      <c r="AW62" s="17">
        <f>(DataQ!N173/DataQ!P173)*100</f>
        <v>2.432923457700308</v>
      </c>
      <c r="AX62" s="17">
        <f>(DataQ!AG173/DataQ!P173)*100</f>
        <v>-0.28667154875062534</v>
      </c>
    </row>
    <row r="63" spans="2:55" x14ac:dyDescent="0.35">
      <c r="N63" s="17"/>
      <c r="O63" s="17"/>
      <c r="P63" s="17"/>
      <c r="Q63" s="17"/>
      <c r="R63" s="17"/>
      <c r="S63" s="17"/>
      <c r="T63" s="17"/>
      <c r="V63" s="17"/>
      <c r="W63" s="17"/>
      <c r="X63" s="17"/>
      <c r="Y63" s="18"/>
      <c r="Z63" s="18"/>
      <c r="AC63" s="17"/>
      <c r="AD63" s="17"/>
      <c r="AE63" s="28" t="str">
        <f t="shared" ref="AE63:AE73" si="34">AB31</f>
        <v>2022 02</v>
      </c>
      <c r="AF63" s="17">
        <f t="shared" ref="AF63:AF73" si="35">AF31</f>
        <v>2.0628546053749748</v>
      </c>
      <c r="AG63" s="17">
        <f t="shared" ref="AG63:AG73" si="36">AF63/4</f>
        <v>0.5157136513437437</v>
      </c>
      <c r="AH63" s="24">
        <f>AG63/AI65</f>
        <v>0.20464547352031062</v>
      </c>
      <c r="AI63" s="17"/>
      <c r="AQ63" s="21">
        <f>(DataQ!N174/DataQ!P174)*100</f>
        <v>2.3851521108059206</v>
      </c>
      <c r="AR63" s="21">
        <f>DataQ!Q174</f>
        <v>3.1866669999999999</v>
      </c>
      <c r="AS63" s="21">
        <f>DataQ!AF174</f>
        <v>0.5</v>
      </c>
      <c r="AV63" s="17">
        <f>(DataQ!O174/DataQ!P174)*100</f>
        <v>2.1098295994480534</v>
      </c>
      <c r="AW63" s="17">
        <f>(DataQ!N174/DataQ!P174)*100</f>
        <v>2.3851521108059206</v>
      </c>
      <c r="AX63" s="17">
        <f>(DataQ!AG174/DataQ!P174)*100</f>
        <v>-0.27532251135786717</v>
      </c>
    </row>
    <row r="64" spans="2:55" x14ac:dyDescent="0.35">
      <c r="N64" s="17"/>
      <c r="O64" s="17"/>
      <c r="P64" s="17"/>
      <c r="Q64" s="17"/>
      <c r="R64" s="17"/>
      <c r="S64" s="17"/>
      <c r="T64" s="17"/>
      <c r="V64" s="17"/>
      <c r="W64" s="17"/>
      <c r="X64" s="17"/>
      <c r="Y64" s="18"/>
      <c r="Z64" s="18"/>
      <c r="AC64" s="17"/>
      <c r="AD64" s="17"/>
      <c r="AE64" s="28" t="str">
        <f t="shared" si="34"/>
        <v>2022 03</v>
      </c>
      <c r="AF64" s="17">
        <f t="shared" si="35"/>
        <v>2.2390524885281171</v>
      </c>
      <c r="AG64" s="17">
        <f t="shared" si="36"/>
        <v>0.55976312213202928</v>
      </c>
      <c r="AH64" s="24">
        <f>AG64/AI65</f>
        <v>0.22212518301471618</v>
      </c>
      <c r="AI64" s="17"/>
      <c r="AP64">
        <v>2015</v>
      </c>
      <c r="AQ64" s="21">
        <f>(DataQ!N175/DataQ!P175)*100</f>
        <v>2.2008292793991733</v>
      </c>
      <c r="AR64" s="21">
        <f>DataQ!Q175</f>
        <v>3.1533329999999999</v>
      </c>
      <c r="AS64" s="21">
        <f>DataQ!AF175</f>
        <v>0.5</v>
      </c>
      <c r="AU64">
        <v>2015</v>
      </c>
      <c r="AV64" s="17">
        <f>(DataQ!O175/DataQ!P175)*100</f>
        <v>1.9115755987903937</v>
      </c>
      <c r="AW64" s="17">
        <f>(DataQ!N175/DataQ!P175)*100</f>
        <v>2.2008292793991733</v>
      </c>
      <c r="AX64" s="17">
        <f>(DataQ!AG175/DataQ!P175)*100</f>
        <v>-0.2892536806087796</v>
      </c>
    </row>
    <row r="65" spans="14:50" x14ac:dyDescent="0.35">
      <c r="N65" s="17"/>
      <c r="O65" s="17"/>
      <c r="P65" s="17"/>
      <c r="Q65" s="17"/>
      <c r="R65" s="17"/>
      <c r="S65" s="17"/>
      <c r="T65" s="17"/>
      <c r="V65" s="17"/>
      <c r="W65" s="17"/>
      <c r="X65" s="17"/>
      <c r="Y65" s="18"/>
      <c r="Z65" s="18"/>
      <c r="AC65" s="17"/>
      <c r="AD65" s="17"/>
      <c r="AE65" s="28" t="str">
        <f t="shared" si="34"/>
        <v>2022 04</v>
      </c>
      <c r="AF65" s="17">
        <f t="shared" si="35"/>
        <v>4.8747403211017408</v>
      </c>
      <c r="AG65" s="17">
        <f t="shared" si="36"/>
        <v>1.2186850802754352</v>
      </c>
      <c r="AH65" s="24">
        <f>AG65/AI65</f>
        <v>0.48359857195028999</v>
      </c>
      <c r="AI65" s="17">
        <f>AVERAGE(AF62:AF65)</f>
        <v>2.5200344892679007</v>
      </c>
      <c r="AQ65" s="21">
        <f>(DataQ!N176/DataQ!P176)*100</f>
        <v>2.2225558453906831</v>
      </c>
      <c r="AR65" s="21">
        <f>DataQ!Q176</f>
        <v>3.1066669999999998</v>
      </c>
      <c r="AS65" s="21">
        <f>DataQ!AF176</f>
        <v>0.5</v>
      </c>
      <c r="AV65" s="17">
        <f>(DataQ!O176/DataQ!P176)*100</f>
        <v>1.9998623804430098</v>
      </c>
      <c r="AW65" s="17">
        <f>(DataQ!N176/DataQ!P176)*100</f>
        <v>2.2225558453906831</v>
      </c>
      <c r="AX65" s="17">
        <f>(DataQ!AG176/DataQ!P176)*100</f>
        <v>-0.22269346494767331</v>
      </c>
    </row>
    <row r="66" spans="14:50" x14ac:dyDescent="0.35">
      <c r="N66" s="17"/>
      <c r="O66" s="17"/>
      <c r="P66" s="17"/>
      <c r="Q66" s="17"/>
      <c r="R66" s="17"/>
      <c r="S66" s="17"/>
      <c r="T66" s="17"/>
      <c r="V66" s="17"/>
      <c r="W66" s="17"/>
      <c r="X66" s="17"/>
      <c r="Y66" s="18"/>
      <c r="Z66" s="18"/>
      <c r="AC66" s="17"/>
      <c r="AD66" s="17"/>
      <c r="AE66" s="28">
        <f t="shared" si="34"/>
        <v>2023</v>
      </c>
      <c r="AF66" s="17">
        <f t="shared" si="35"/>
        <v>5.895371296512101</v>
      </c>
      <c r="AG66" s="17">
        <f t="shared" si="36"/>
        <v>1.4738428241280253</v>
      </c>
      <c r="AH66" s="24">
        <f>AG66/AI69</f>
        <v>0.3877125372394013</v>
      </c>
      <c r="AI66" s="17"/>
      <c r="AQ66" s="21">
        <f>(DataQ!N177/DataQ!P177)*100</f>
        <v>2.1345907605988468</v>
      </c>
      <c r="AR66" s="21">
        <f>DataQ!Q177</f>
        <v>3.056667</v>
      </c>
      <c r="AS66" s="21">
        <f>DataQ!AF177</f>
        <v>0.5</v>
      </c>
      <c r="AV66" s="17">
        <f>(DataQ!O177/DataQ!P177)*100</f>
        <v>1.9787366034184011</v>
      </c>
      <c r="AW66" s="17">
        <f>(DataQ!N177/DataQ!P177)*100</f>
        <v>2.1345907605988468</v>
      </c>
      <c r="AX66" s="17">
        <f>(DataQ!AG177/DataQ!P177)*100</f>
        <v>-0.15585415718044551</v>
      </c>
    </row>
    <row r="67" spans="14:50" x14ac:dyDescent="0.35">
      <c r="N67" s="17"/>
      <c r="O67" s="17"/>
      <c r="P67" s="17"/>
      <c r="Q67" s="17"/>
      <c r="R67" s="17"/>
      <c r="S67" s="17"/>
      <c r="T67" s="17"/>
      <c r="V67" s="17"/>
      <c r="W67" s="17"/>
      <c r="X67" s="17"/>
      <c r="Y67" s="18"/>
      <c r="Z67" s="18"/>
      <c r="AC67" s="17"/>
      <c r="AD67" s="17"/>
      <c r="AE67" s="28" t="str">
        <f t="shared" si="34"/>
        <v>2023 02</v>
      </c>
      <c r="AF67" s="17">
        <f t="shared" si="35"/>
        <v>3.895923270276588</v>
      </c>
      <c r="AG67" s="17">
        <f t="shared" si="36"/>
        <v>0.97398081756914701</v>
      </c>
      <c r="AH67" s="24">
        <f>AG67/AI69</f>
        <v>0.25621766976791149</v>
      </c>
      <c r="AI67" s="17"/>
      <c r="AQ67" s="21">
        <f>(DataQ!N178/DataQ!P178)*100</f>
        <v>2.1919724392374369</v>
      </c>
      <c r="AR67" s="21">
        <f>DataQ!Q178</f>
        <v>3.01</v>
      </c>
      <c r="AS67" s="21">
        <f>DataQ!AF178</f>
        <v>0.5</v>
      </c>
      <c r="AV67" s="17">
        <f>(DataQ!O178/DataQ!P178)*100</f>
        <v>1.9797081442297706</v>
      </c>
      <c r="AW67" s="17">
        <f>(DataQ!N178/DataQ!P178)*100</f>
        <v>2.1919724392374369</v>
      </c>
      <c r="AX67" s="17">
        <f>(DataQ!AG178/DataQ!P178)*100</f>
        <v>-0.21226429500766594</v>
      </c>
    </row>
    <row r="68" spans="14:50" x14ac:dyDescent="0.35">
      <c r="N68" s="17"/>
      <c r="O68" s="17"/>
      <c r="P68" s="17"/>
      <c r="Q68" s="17"/>
      <c r="R68" s="17"/>
      <c r="S68" s="17"/>
      <c r="T68" s="17"/>
      <c r="V68" s="17"/>
      <c r="W68" s="17"/>
      <c r="X68" s="17"/>
      <c r="Y68" s="18"/>
      <c r="Z68" s="18"/>
      <c r="AC68" s="17"/>
      <c r="AD68" s="17"/>
      <c r="AE68" s="28" t="str">
        <f t="shared" si="34"/>
        <v>2023 03</v>
      </c>
      <c r="AF68" s="17">
        <f t="shared" si="35"/>
        <v>4.5975485833578151</v>
      </c>
      <c r="AG68" s="17">
        <f t="shared" si="36"/>
        <v>1.1493871458394538</v>
      </c>
      <c r="AH68" s="24">
        <f>AG68/AI69</f>
        <v>0.30236046835416058</v>
      </c>
      <c r="AI68" s="17"/>
      <c r="AP68">
        <v>2016</v>
      </c>
      <c r="AQ68" s="21">
        <f>(DataQ!N179/DataQ!P179)*100</f>
        <v>2.1006034984529607</v>
      </c>
      <c r="AR68" s="21">
        <f>DataQ!Q179</f>
        <v>2.95</v>
      </c>
      <c r="AS68" s="21">
        <f>DataQ!AF179</f>
        <v>0.5</v>
      </c>
      <c r="AU68">
        <v>2016</v>
      </c>
      <c r="AV68" s="17">
        <f>(DataQ!O179/DataQ!P179)*100</f>
        <v>1.8166222467297735</v>
      </c>
      <c r="AW68" s="17">
        <f>(DataQ!N179/DataQ!P179)*100</f>
        <v>2.1006034984529607</v>
      </c>
      <c r="AX68" s="17">
        <f>(DataQ!AG179/DataQ!P179)*100</f>
        <v>-0.28398122108874801</v>
      </c>
    </row>
    <row r="69" spans="14:50" x14ac:dyDescent="0.35">
      <c r="N69" s="17"/>
      <c r="O69" s="17"/>
      <c r="P69" s="17"/>
      <c r="Q69" s="17"/>
      <c r="R69" s="17"/>
      <c r="S69" s="17"/>
      <c r="T69" s="17"/>
      <c r="V69" s="17"/>
      <c r="W69" s="17"/>
      <c r="X69" s="17"/>
      <c r="Y69" s="18"/>
      <c r="Z69" s="18"/>
      <c r="AC69" s="17"/>
      <c r="AD69" s="17"/>
      <c r="AE69" s="28" t="str">
        <f t="shared" si="34"/>
        <v>2023 04</v>
      </c>
      <c r="AF69" s="17">
        <f t="shared" si="35"/>
        <v>0.81667828717518676</v>
      </c>
      <c r="AG69" s="17">
        <f t="shared" si="36"/>
        <v>0.20416957179379669</v>
      </c>
      <c r="AH69" s="24">
        <f>AG69/AI69</f>
        <v>5.370932463852663E-2</v>
      </c>
      <c r="AI69" s="17">
        <f>AVERAGE(AF66:AF69)</f>
        <v>3.8013803593304227</v>
      </c>
      <c r="AQ69" s="21">
        <f>(DataQ!N180/DataQ!P180)*100</f>
        <v>2.2455418047164293</v>
      </c>
      <c r="AR69" s="21">
        <f>DataQ!Q180</f>
        <v>2.9033329999999999</v>
      </c>
      <c r="AS69" s="21">
        <f>DataQ!AF180</f>
        <v>0.5</v>
      </c>
      <c r="AV69" s="17">
        <f>(DataQ!O180/DataQ!P180)*100</f>
        <v>1.9696452933151432</v>
      </c>
      <c r="AW69" s="17">
        <f>(DataQ!N180/DataQ!P180)*100</f>
        <v>2.2455418047164293</v>
      </c>
      <c r="AX69" s="17">
        <f>(DataQ!AG180/DataQ!P180)*100</f>
        <v>-0.27589651140128629</v>
      </c>
    </row>
    <row r="70" spans="14:50" x14ac:dyDescent="0.35">
      <c r="N70" s="17"/>
      <c r="O70" s="17"/>
      <c r="P70" s="17"/>
      <c r="Q70" s="17"/>
      <c r="R70" s="17"/>
      <c r="S70" s="17"/>
      <c r="T70" s="17"/>
      <c r="V70" s="17"/>
      <c r="W70" s="17"/>
      <c r="X70" s="17"/>
      <c r="Y70" s="18"/>
      <c r="Z70" s="18"/>
      <c r="AC70" s="17"/>
      <c r="AD70" s="17"/>
      <c r="AE70" s="28">
        <f>AB38</f>
        <v>2024</v>
      </c>
      <c r="AF70" s="17">
        <f t="shared" si="35"/>
        <v>-0.5714859782296422</v>
      </c>
      <c r="AG70" s="17">
        <f t="shared" si="36"/>
        <v>-0.14287149455741055</v>
      </c>
      <c r="AH70" s="24">
        <f>AG70/AI73</f>
        <v>-0.27883718556755488</v>
      </c>
      <c r="AI70" s="17"/>
      <c r="AQ70" s="21">
        <f>(DataQ!N181/DataQ!P181)*100</f>
        <v>2.2269146628288725</v>
      </c>
      <c r="AR70" s="21">
        <f>DataQ!Q181</f>
        <v>2.82</v>
      </c>
      <c r="AS70" s="21">
        <f>DataQ!AF181</f>
        <v>0.34090910000000002</v>
      </c>
      <c r="AV70" s="17">
        <f>(DataQ!O181/DataQ!P181)*100</f>
        <v>1.9655511301918998</v>
      </c>
      <c r="AW70" s="17">
        <f>(DataQ!N181/DataQ!P181)*100</f>
        <v>2.2269146628288725</v>
      </c>
      <c r="AX70" s="17">
        <f>(DataQ!AG181/DataQ!P181)*100</f>
        <v>-0.26136353263697243</v>
      </c>
    </row>
    <row r="71" spans="14:50" x14ac:dyDescent="0.35">
      <c r="N71" s="17"/>
      <c r="O71" s="17"/>
      <c r="P71" s="17"/>
      <c r="Q71" s="17"/>
      <c r="R71" s="17"/>
      <c r="S71" s="17"/>
      <c r="T71" s="17"/>
      <c r="V71" s="17"/>
      <c r="W71" s="17"/>
      <c r="X71" s="17"/>
      <c r="Y71" s="18"/>
      <c r="Z71" s="18"/>
      <c r="AC71" s="17"/>
      <c r="AD71" s="17"/>
      <c r="AE71" s="28" t="str">
        <f t="shared" si="34"/>
        <v>2024 02</v>
      </c>
      <c r="AF71" s="17">
        <f t="shared" si="35"/>
        <v>0.79118248008317305</v>
      </c>
      <c r="AG71" s="17">
        <f t="shared" si="36"/>
        <v>0.19779562002079326</v>
      </c>
      <c r="AH71" s="24">
        <f>AG71/AI73</f>
        <v>0.38603063665737236</v>
      </c>
      <c r="AI71" s="17"/>
      <c r="AQ71" s="21">
        <f>(DataQ!N182/DataQ!P182)*100</f>
        <v>2.1754114159540339</v>
      </c>
      <c r="AR71" s="21">
        <f>DataQ!Q182</f>
        <v>2.6866669999999999</v>
      </c>
      <c r="AS71" s="21">
        <f>DataQ!AF182</f>
        <v>0.25</v>
      </c>
      <c r="AV71" s="17">
        <f>(DataQ!O182/DataQ!P182)*100</f>
        <v>1.8490844546375025</v>
      </c>
      <c r="AW71" s="17">
        <f>(DataQ!N182/DataQ!P182)*100</f>
        <v>2.1754114159540339</v>
      </c>
      <c r="AX71" s="17">
        <f>(DataQ!AG182/DataQ!P182)*100</f>
        <v>-0.32632696131653105</v>
      </c>
    </row>
    <row r="72" spans="14:50" x14ac:dyDescent="0.35">
      <c r="N72" s="17"/>
      <c r="O72" s="17"/>
      <c r="P72" s="17"/>
      <c r="Q72" s="17"/>
      <c r="R72" s="17"/>
      <c r="S72" s="17"/>
      <c r="T72" s="17"/>
      <c r="V72" s="17"/>
      <c r="W72" s="17"/>
      <c r="X72" s="17"/>
      <c r="Y72" s="18"/>
      <c r="Z72" s="18"/>
      <c r="AC72" s="17"/>
      <c r="AD72" s="17"/>
      <c r="AE72" s="28" t="str">
        <f t="shared" si="34"/>
        <v>2024 03</v>
      </c>
      <c r="AF72" s="17">
        <f t="shared" si="35"/>
        <v>0.39837217888021415</v>
      </c>
      <c r="AG72" s="17">
        <f t="shared" si="36"/>
        <v>9.9593044720053536E-2</v>
      </c>
      <c r="AH72" s="24">
        <f>AG72/AI73</f>
        <v>0.19437218304372356</v>
      </c>
      <c r="AI72" s="17"/>
      <c r="AP72">
        <v>2017</v>
      </c>
      <c r="AQ72" s="21">
        <f>(DataQ!N183/DataQ!P183)*100</f>
        <v>1.8634146341463413</v>
      </c>
      <c r="AR72" s="21">
        <f>DataQ!Q183</f>
        <v>2.6266669999999999</v>
      </c>
      <c r="AS72" s="21">
        <f>DataQ!AF183</f>
        <v>0.25</v>
      </c>
      <c r="AU72">
        <v>2017</v>
      </c>
      <c r="AV72" s="17">
        <f>(DataQ!O183/DataQ!P183)*100</f>
        <v>1.589329268292683</v>
      </c>
      <c r="AW72" s="17">
        <f>(DataQ!N183/DataQ!P183)*100</f>
        <v>1.8634146341463413</v>
      </c>
      <c r="AX72" s="17">
        <f>(DataQ!AG183/DataQ!P183)*100</f>
        <v>-0.2740853658536585</v>
      </c>
    </row>
    <row r="73" spans="14:50" x14ac:dyDescent="0.35">
      <c r="N73" s="17"/>
      <c r="O73" s="17"/>
      <c r="P73" s="17"/>
      <c r="Q73" s="17"/>
      <c r="R73" s="17"/>
      <c r="S73" s="17"/>
      <c r="T73" s="17"/>
      <c r="V73" s="17"/>
      <c r="W73" s="17"/>
      <c r="X73" s="17"/>
      <c r="Y73" s="18"/>
      <c r="Z73" s="18"/>
      <c r="AC73" s="17"/>
      <c r="AD73" s="17"/>
      <c r="AE73" s="28" t="str">
        <f t="shared" si="34"/>
        <v>2024 04</v>
      </c>
      <c r="AF73" s="17">
        <f t="shared" si="35"/>
        <v>1.4314641929624938</v>
      </c>
      <c r="AG73" s="17">
        <f t="shared" si="36"/>
        <v>0.35786604824062346</v>
      </c>
      <c r="AH73" s="24">
        <f>AG73/AI73</f>
        <v>0.69843436586645891</v>
      </c>
      <c r="AI73" s="17">
        <f>AVERAGE(AF70:AF73)</f>
        <v>0.51238321842405976</v>
      </c>
      <c r="AQ73" s="21">
        <f>(DataQ!N184/DataQ!P184)*100</f>
        <v>1.8059399837601722</v>
      </c>
      <c r="AR73" s="21">
        <f>DataQ!Q184</f>
        <v>2.5866669999999998</v>
      </c>
      <c r="AS73" s="21">
        <f>DataQ!AF184</f>
        <v>0.25</v>
      </c>
      <c r="AV73" s="17">
        <f>(DataQ!O184/DataQ!P184)*100</f>
        <v>1.4915155789735717</v>
      </c>
      <c r="AW73" s="17">
        <f>(DataQ!N184/DataQ!P184)*100</f>
        <v>1.8059399837601722</v>
      </c>
      <c r="AX73" s="17">
        <f>(DataQ!AG184/DataQ!P184)*100</f>
        <v>-0.31442440478660039</v>
      </c>
    </row>
    <row r="74" spans="14:50" x14ac:dyDescent="0.35">
      <c r="N74" s="17"/>
      <c r="O74" s="17"/>
      <c r="P74" s="17"/>
      <c r="Q74" s="17"/>
      <c r="R74" s="17"/>
      <c r="S74" s="17"/>
      <c r="T74" s="17"/>
      <c r="V74" s="17"/>
      <c r="W74" s="17"/>
      <c r="X74" s="17"/>
      <c r="Y74" s="18"/>
      <c r="Z74" s="18"/>
      <c r="AC74" s="17"/>
      <c r="AD74" s="17"/>
      <c r="AE74" s="17"/>
      <c r="AF74" s="17"/>
      <c r="AG74" s="17"/>
      <c r="AH74" s="17"/>
      <c r="AI74" s="17"/>
      <c r="AQ74" s="21">
        <f>(DataQ!N185/DataQ!P185)*100</f>
        <v>1.6171237332187356</v>
      </c>
      <c r="AR74" s="21">
        <f>DataQ!Q185</f>
        <v>2.5333329999999998</v>
      </c>
      <c r="AS74" s="21">
        <f>DataQ!AF185</f>
        <v>0.25</v>
      </c>
      <c r="AV74" s="17">
        <f>(DataQ!O185/DataQ!P185)*100</f>
        <v>1.3863583515581079</v>
      </c>
      <c r="AW74" s="17">
        <f>(DataQ!N185/DataQ!P185)*100</f>
        <v>1.6171237332187356</v>
      </c>
      <c r="AX74" s="17">
        <f>(DataQ!AG185/DataQ!P185)*100</f>
        <v>-0.23076538166062771</v>
      </c>
    </row>
    <row r="75" spans="14:50" x14ac:dyDescent="0.35">
      <c r="N75" s="17"/>
      <c r="O75" s="17"/>
      <c r="P75" s="17"/>
      <c r="Q75" s="17"/>
      <c r="R75" s="17"/>
      <c r="S75" s="17"/>
      <c r="T75" s="17"/>
      <c r="V75" s="17"/>
      <c r="W75" s="17"/>
      <c r="X75" s="17"/>
      <c r="Y75" s="18"/>
      <c r="Z75" s="18"/>
      <c r="AC75" s="17"/>
      <c r="AD75" s="17"/>
      <c r="AE75" s="17"/>
      <c r="AF75" s="17"/>
      <c r="AG75" s="17"/>
      <c r="AH75" s="17"/>
      <c r="AI75" s="17"/>
      <c r="AQ75" s="21">
        <f>(DataQ!N186/DataQ!P186)*100</f>
        <v>1.7777543785756906</v>
      </c>
      <c r="AR75" s="21">
        <f>DataQ!Q186</f>
        <v>2.516667</v>
      </c>
      <c r="AS75" s="21">
        <f>DataQ!AF186</f>
        <v>0.41153849999999997</v>
      </c>
      <c r="AV75" s="17">
        <f>(DataQ!O186/DataQ!P186)*100</f>
        <v>1.4680074409462638</v>
      </c>
      <c r="AW75" s="17">
        <f>(DataQ!N186/DataQ!P186)*100</f>
        <v>1.7777543785756906</v>
      </c>
      <c r="AX75" s="17">
        <f>(DataQ!AG186/DataQ!P186)*100</f>
        <v>-0.30974693762942684</v>
      </c>
    </row>
    <row r="76" spans="14:50" x14ac:dyDescent="0.35">
      <c r="N76" s="17"/>
      <c r="O76" s="17"/>
      <c r="P76" s="17"/>
      <c r="Q76" s="17"/>
      <c r="R76" s="17"/>
      <c r="S76" s="17"/>
      <c r="T76" s="17"/>
      <c r="V76" s="17"/>
      <c r="W76" s="17"/>
      <c r="X76" s="17"/>
      <c r="Y76" s="18"/>
      <c r="Z76" s="18"/>
      <c r="AC76" s="17"/>
      <c r="AD76" s="17"/>
      <c r="AE76" s="17"/>
      <c r="AF76" s="17"/>
      <c r="AG76" s="17"/>
      <c r="AH76" s="17"/>
      <c r="AI76" s="17"/>
      <c r="AP76">
        <v>2018</v>
      </c>
      <c r="AQ76" s="21">
        <f>(DataQ!N187/DataQ!P187)*100</f>
        <v>1.9511648036901026</v>
      </c>
      <c r="AR76" s="21">
        <f>DataQ!Q187</f>
        <v>2.52</v>
      </c>
      <c r="AS76" s="21">
        <f>DataQ!AF187</f>
        <v>0.5</v>
      </c>
      <c r="AU76">
        <v>2018</v>
      </c>
      <c r="AV76" s="17">
        <f>(DataQ!O187/DataQ!P187)*100</f>
        <v>1.6825740996891363</v>
      </c>
      <c r="AW76" s="17">
        <f>(DataQ!N187/DataQ!P187)*100</f>
        <v>1.9511648036901026</v>
      </c>
      <c r="AX76" s="17">
        <f>(DataQ!AG187/DataQ!P187)*100</f>
        <v>-0.26859070400096624</v>
      </c>
    </row>
    <row r="77" spans="14:50" x14ac:dyDescent="0.35">
      <c r="N77" s="17"/>
      <c r="O77" s="17"/>
      <c r="P77" s="17"/>
      <c r="Q77" s="17"/>
      <c r="R77" s="17"/>
      <c r="S77" s="17"/>
      <c r="T77" s="17"/>
      <c r="V77" s="17"/>
      <c r="W77" s="17"/>
      <c r="X77" s="17"/>
      <c r="Y77" s="18"/>
      <c r="Z77" s="18"/>
      <c r="AC77" s="17"/>
      <c r="AD77" s="17"/>
      <c r="AE77" s="17"/>
      <c r="AF77" s="17"/>
      <c r="AG77" s="17"/>
      <c r="AH77" s="17"/>
      <c r="AI77" s="17"/>
      <c r="AQ77" s="21">
        <f>(DataQ!N188/DataQ!P188)*100</f>
        <v>2.140097981083088</v>
      </c>
      <c r="AR77" s="21">
        <f>DataQ!Q188</f>
        <v>2.483333</v>
      </c>
      <c r="AS77" s="21">
        <f>DataQ!AF188</f>
        <v>0.5</v>
      </c>
      <c r="AV77" s="17">
        <f>(DataQ!O188/DataQ!P188)*100</f>
        <v>1.800445577898415</v>
      </c>
      <c r="AW77" s="17">
        <f>(DataQ!N188/DataQ!P188)*100</f>
        <v>2.140097981083088</v>
      </c>
      <c r="AX77" s="17">
        <f>(DataQ!AG188/DataQ!P188)*100</f>
        <v>-0.33965240318467305</v>
      </c>
    </row>
    <row r="78" spans="14:50" x14ac:dyDescent="0.35">
      <c r="N78" s="17"/>
      <c r="O78" s="17"/>
      <c r="P78" s="17"/>
      <c r="Q78" s="17"/>
      <c r="R78" s="17"/>
      <c r="S78" s="17"/>
      <c r="T78" s="17"/>
      <c r="V78" s="17"/>
      <c r="W78" s="17"/>
      <c r="X78" s="17"/>
      <c r="Y78" s="18"/>
      <c r="Z78" s="18"/>
      <c r="AC78" s="17"/>
      <c r="AD78" s="17"/>
      <c r="AE78" s="17"/>
      <c r="AF78" s="17"/>
      <c r="AG78" s="17"/>
      <c r="AH78" s="17"/>
      <c r="AI78" s="17"/>
      <c r="AQ78" s="21">
        <f>(DataQ!N189/DataQ!P189)*100</f>
        <v>2.2034333295311965</v>
      </c>
      <c r="AR78" s="21">
        <f>DataQ!Q189</f>
        <v>2.48</v>
      </c>
      <c r="AS78" s="21">
        <f>DataQ!AF189</f>
        <v>0.66153850000000003</v>
      </c>
      <c r="AV78" s="17">
        <f>(DataQ!O189/DataQ!P189)*100</f>
        <v>1.9370936466294058</v>
      </c>
      <c r="AW78" s="17">
        <f>(DataQ!N189/DataQ!P189)*100</f>
        <v>2.2034333295311965</v>
      </c>
      <c r="AX78" s="17">
        <f>(DataQ!AG189/DataQ!P189)*100</f>
        <v>-0.26633968290179078</v>
      </c>
    </row>
    <row r="79" spans="14:50" x14ac:dyDescent="0.35">
      <c r="N79" s="17"/>
      <c r="O79" s="17"/>
      <c r="P79" s="17"/>
      <c r="Q79" s="17"/>
      <c r="R79" s="17"/>
      <c r="S79" s="17"/>
      <c r="T79" s="17"/>
      <c r="V79" s="17"/>
      <c r="W79" s="17"/>
      <c r="X79" s="17"/>
      <c r="Y79" s="18"/>
      <c r="Z79" s="18"/>
      <c r="AC79" s="17"/>
      <c r="AD79" s="17"/>
      <c r="AE79" s="17"/>
      <c r="AF79" s="17"/>
      <c r="AG79" s="17"/>
      <c r="AH79" s="17"/>
      <c r="AI79" s="17"/>
      <c r="AQ79" s="21">
        <f>(DataQ!N190/DataQ!P190)*100</f>
        <v>2.3244270956018438</v>
      </c>
      <c r="AR79" s="21">
        <f>DataQ!Q190</f>
        <v>2.4933329999999998</v>
      </c>
      <c r="AS79" s="21">
        <f>DataQ!AF190</f>
        <v>0.75</v>
      </c>
      <c r="AV79" s="17">
        <f>(DataQ!O190/DataQ!P190)*100</f>
        <v>2.0400780697917016</v>
      </c>
      <c r="AW79" s="17">
        <f>(DataQ!N190/DataQ!P190)*100</f>
        <v>2.3244270956018438</v>
      </c>
      <c r="AX79" s="17">
        <f>(DataQ!AG190/DataQ!P190)*100</f>
        <v>-0.28434902581014232</v>
      </c>
    </row>
    <row r="80" spans="14:50" x14ac:dyDescent="0.35">
      <c r="N80" s="17"/>
      <c r="O80" s="17"/>
      <c r="P80" s="17"/>
      <c r="Q80" s="17"/>
      <c r="R80" s="17"/>
      <c r="S80" s="17"/>
      <c r="T80" s="17"/>
      <c r="V80" s="17"/>
      <c r="W80" s="17"/>
      <c r="X80" s="17"/>
      <c r="Y80" s="18"/>
      <c r="Z80" s="18"/>
      <c r="AC80" s="17"/>
      <c r="AD80" s="17"/>
      <c r="AE80" s="17"/>
      <c r="AF80" s="17"/>
      <c r="AG80" s="17"/>
      <c r="AH80" s="17"/>
      <c r="AI80" s="17"/>
      <c r="AP80">
        <v>2019</v>
      </c>
      <c r="AQ80" s="21">
        <f>(DataQ!N191/DataQ!P191)*100</f>
        <v>2.2126515038786678</v>
      </c>
      <c r="AR80" s="21">
        <f>DataQ!Q191</f>
        <v>2.463333</v>
      </c>
      <c r="AS80" s="21">
        <f>DataQ!AF191</f>
        <v>0.75</v>
      </c>
      <c r="AU80">
        <v>2019</v>
      </c>
      <c r="AV80" s="17">
        <f>(DataQ!O191/DataQ!P191)*100</f>
        <v>1.8499125439736763</v>
      </c>
      <c r="AW80" s="17">
        <f>(DataQ!N191/DataQ!P191)*100</f>
        <v>2.2126515038786678</v>
      </c>
      <c r="AX80" s="17">
        <f>(DataQ!AG191/DataQ!P191)*100</f>
        <v>-0.36273895990499161</v>
      </c>
    </row>
    <row r="81" spans="14:50" x14ac:dyDescent="0.35">
      <c r="N81" s="17"/>
      <c r="O81" s="17"/>
      <c r="P81" s="17"/>
      <c r="Q81" s="17"/>
      <c r="R81" s="17"/>
      <c r="S81" s="17"/>
      <c r="T81" s="17"/>
      <c r="V81" s="17"/>
      <c r="W81" s="17"/>
      <c r="X81" s="17"/>
      <c r="Y81" s="18"/>
      <c r="Z81" s="18"/>
      <c r="AC81" s="17"/>
      <c r="AD81" s="17"/>
      <c r="AE81" s="17"/>
      <c r="AF81" s="17"/>
      <c r="AG81" s="17"/>
      <c r="AH81" s="17"/>
      <c r="AI81" s="17"/>
      <c r="AQ81" s="21">
        <f>(DataQ!N192/DataQ!P192)*100</f>
        <v>1.8862112402567757</v>
      </c>
      <c r="AR81" s="21">
        <f>DataQ!Q192</f>
        <v>2.4366669999999999</v>
      </c>
      <c r="AS81" s="21">
        <f>DataQ!AF192</f>
        <v>0.75</v>
      </c>
      <c r="AV81" s="17">
        <f>(DataQ!O192/DataQ!P192)*100</f>
        <v>1.6062224618109608</v>
      </c>
      <c r="AW81" s="17">
        <f>(DataQ!N192/DataQ!P192)*100</f>
        <v>1.8862112402567757</v>
      </c>
      <c r="AX81" s="17">
        <f>(DataQ!AG192/DataQ!P192)*100</f>
        <v>-0.27998877844581471</v>
      </c>
    </row>
    <row r="82" spans="14:50" x14ac:dyDescent="0.35">
      <c r="N82" s="17"/>
      <c r="O82" s="17"/>
      <c r="P82" s="17"/>
      <c r="Q82" s="17"/>
      <c r="R82" s="17"/>
      <c r="S82" s="17"/>
      <c r="T82" s="17"/>
      <c r="V82" s="17"/>
      <c r="W82" s="17"/>
      <c r="X82" s="17"/>
      <c r="Y82" s="18"/>
      <c r="Z82" s="18"/>
      <c r="AC82" s="17"/>
      <c r="AD82" s="17"/>
      <c r="AE82" s="17"/>
      <c r="AF82" s="17"/>
      <c r="AG82" s="17"/>
      <c r="AH82" s="17"/>
      <c r="AI82" s="17"/>
      <c r="AQ82" s="21">
        <f>(DataQ!N193/DataQ!P193)*100</f>
        <v>1.8119890262133318</v>
      </c>
      <c r="AR82" s="21">
        <f>DataQ!Q193</f>
        <v>2.4133330000000002</v>
      </c>
      <c r="AS82" s="21">
        <f>DataQ!AF193</f>
        <v>0.75</v>
      </c>
      <c r="AV82" s="17">
        <f>(DataQ!O193/DataQ!P193)*100</f>
        <v>1.5475010541187293</v>
      </c>
      <c r="AW82" s="17">
        <f>(DataQ!N193/DataQ!P193)*100</f>
        <v>1.8119890262133318</v>
      </c>
      <c r="AX82" s="17">
        <f>(DataQ!AG193/DataQ!P193)*100</f>
        <v>-0.26448797209460234</v>
      </c>
    </row>
    <row r="83" spans="14:50" x14ac:dyDescent="0.35">
      <c r="N83" s="17"/>
      <c r="O83" s="17"/>
      <c r="P83" s="17"/>
      <c r="Q83" s="17"/>
      <c r="R83" s="17"/>
      <c r="S83" s="17"/>
      <c r="T83" s="17"/>
      <c r="V83" s="17"/>
      <c r="W83" s="17"/>
      <c r="X83" s="17"/>
      <c r="Y83" s="18"/>
      <c r="Z83" s="18"/>
      <c r="AC83" s="17"/>
      <c r="AD83" s="17"/>
      <c r="AE83" s="17"/>
      <c r="AF83" s="17"/>
      <c r="AG83" s="17"/>
      <c r="AH83" s="17"/>
      <c r="AI83" s="17"/>
      <c r="AQ83" s="21">
        <f>(DataQ!N194/DataQ!P194)*100</f>
        <v>1.7254452213945424</v>
      </c>
      <c r="AR83" s="21">
        <f>DataQ!Q194</f>
        <v>2.3866670000000001</v>
      </c>
      <c r="AS83" s="21">
        <f>DataQ!AF194</f>
        <v>0.75</v>
      </c>
      <c r="AV83" s="17">
        <f>(DataQ!O194/DataQ!P194)*100</f>
        <v>1.5227074461290946</v>
      </c>
      <c r="AW83" s="17">
        <f>(DataQ!N194/DataQ!P194)*100</f>
        <v>1.7254452213945424</v>
      </c>
      <c r="AX83" s="17">
        <f>(DataQ!AG194/DataQ!P194)*100</f>
        <v>-0.20273777526544789</v>
      </c>
    </row>
    <row r="84" spans="14:50" x14ac:dyDescent="0.35">
      <c r="N84" s="17"/>
      <c r="O84" s="17"/>
      <c r="P84" s="17"/>
      <c r="Q84" s="17"/>
      <c r="R84" s="17"/>
      <c r="S84" s="17"/>
      <c r="T84" s="17"/>
      <c r="V84" s="17"/>
      <c r="W84" s="17"/>
      <c r="X84" s="17"/>
      <c r="Y84" s="18"/>
      <c r="Z84" s="18"/>
      <c r="AC84" s="17"/>
      <c r="AD84" s="17"/>
      <c r="AE84" s="17"/>
      <c r="AF84" s="17"/>
      <c r="AG84" s="17"/>
      <c r="AH84" s="17"/>
      <c r="AI84" s="17"/>
      <c r="AP84">
        <v>2020</v>
      </c>
      <c r="AQ84" s="21">
        <f>(DataQ!N195/DataQ!P195)*100</f>
        <v>1.6006053359034336</v>
      </c>
      <c r="AR84" s="21">
        <f>DataQ!Q195</f>
        <v>2.3566669999999998</v>
      </c>
      <c r="AS84" s="21">
        <f>DataQ!AF195</f>
        <v>0.61384620000000001</v>
      </c>
      <c r="AU84">
        <v>2020</v>
      </c>
      <c r="AV84" s="17">
        <f>(DataQ!O195/DataQ!P195)*100</f>
        <v>1.3501310364444248</v>
      </c>
      <c r="AW84" s="17">
        <f>(DataQ!N195/DataQ!P195)*100</f>
        <v>1.6006053359034336</v>
      </c>
      <c r="AX84" s="17">
        <f>(DataQ!AG195/DataQ!P195)*100</f>
        <v>-0.25047429945900862</v>
      </c>
    </row>
    <row r="85" spans="14:50" x14ac:dyDescent="0.35">
      <c r="N85" s="17"/>
      <c r="O85" s="17"/>
      <c r="P85" s="17"/>
      <c r="Q85" s="17"/>
      <c r="R85" s="17"/>
      <c r="S85" s="17"/>
      <c r="T85" s="17"/>
      <c r="V85" s="17"/>
      <c r="W85" s="17"/>
      <c r="X85" s="17"/>
      <c r="Y85" s="18"/>
      <c r="Z85" s="18"/>
      <c r="AC85" s="17"/>
      <c r="AD85" s="17"/>
      <c r="AE85" s="17"/>
      <c r="AF85" s="17"/>
      <c r="AG85" s="17"/>
      <c r="AH85" s="17"/>
      <c r="AI85" s="17"/>
      <c r="AQ85" s="21">
        <f>(DataQ!N196/DataQ!P196)*100</f>
        <v>1.2082963694961315</v>
      </c>
      <c r="AR85" s="21">
        <f>DataQ!Q196</f>
        <v>2.1833330000000002</v>
      </c>
      <c r="AS85" s="21">
        <f>DataQ!AF196</f>
        <v>0.1</v>
      </c>
      <c r="AV85" s="17">
        <f>(DataQ!O196/DataQ!P196)*100</f>
        <v>1.0098146006221154</v>
      </c>
      <c r="AW85" s="17">
        <f>(DataQ!N196/DataQ!P196)*100</f>
        <v>1.2082963694961315</v>
      </c>
      <c r="AX85" s="17">
        <f>(DataQ!AG196/DataQ!P196)*100</f>
        <v>-0.19848176887401603</v>
      </c>
    </row>
    <row r="86" spans="14:50" x14ac:dyDescent="0.35">
      <c r="N86" s="17"/>
      <c r="O86" s="17"/>
      <c r="P86" s="17"/>
      <c r="Q86" s="17"/>
      <c r="R86" s="17"/>
      <c r="S86" s="17"/>
      <c r="T86" s="17"/>
      <c r="V86" s="17"/>
      <c r="W86" s="17"/>
      <c r="X86" s="17"/>
      <c r="Y86" s="18"/>
      <c r="Z86" s="18"/>
      <c r="AC86" s="17"/>
      <c r="AD86" s="17"/>
      <c r="AE86" s="17"/>
      <c r="AF86" s="17"/>
      <c r="AG86" s="17"/>
      <c r="AH86" s="17"/>
      <c r="AI86" s="17"/>
      <c r="AQ86" s="21">
        <f>(DataQ!N197/DataQ!P197)*100</f>
        <v>1.2191801707614567</v>
      </c>
      <c r="AR86" s="21">
        <f>DataQ!Q197</f>
        <v>2.1433330000000002</v>
      </c>
      <c r="AS86" s="21">
        <f>DataQ!AF197</f>
        <v>0.1</v>
      </c>
      <c r="AV86" s="17">
        <f>(DataQ!O197/DataQ!P197)*100</f>
        <v>1.0966631817389789</v>
      </c>
      <c r="AW86" s="17">
        <f>(DataQ!N197/DataQ!P197)*100</f>
        <v>1.2191801707614567</v>
      </c>
      <c r="AX86" s="17">
        <f>(DataQ!AG197/DataQ!P197)*100</f>
        <v>-0.12251698902247779</v>
      </c>
    </row>
    <row r="87" spans="14:50" x14ac:dyDescent="0.35">
      <c r="AQ87" s="21">
        <f>(DataQ!N198/DataQ!P198)*100</f>
        <v>1.3026370457267151</v>
      </c>
      <c r="AR87" s="21">
        <f>DataQ!Q198</f>
        <v>2.12</v>
      </c>
      <c r="AS87" s="21">
        <f>DataQ!AF198</f>
        <v>0.1</v>
      </c>
      <c r="AV87" s="17">
        <f>(DataQ!O198/DataQ!P198)*100</f>
        <v>1.0848519903435954</v>
      </c>
      <c r="AW87" s="17">
        <f>(DataQ!N198/DataQ!P198)*100</f>
        <v>1.3026370457267151</v>
      </c>
      <c r="AX87" s="17">
        <f>(DataQ!AG198/DataQ!P198)*100</f>
        <v>-0.21778505538311976</v>
      </c>
    </row>
    <row r="88" spans="14:50" x14ac:dyDescent="0.35">
      <c r="AP88">
        <v>2021</v>
      </c>
      <c r="AQ88" s="21">
        <f>(DataQ!N199/DataQ!P199)*100</f>
        <v>1.456977033546595</v>
      </c>
      <c r="AR88" s="21">
        <f>DataQ!Q199</f>
        <v>2.09</v>
      </c>
      <c r="AS88" s="21">
        <f>DataQ!AF199</f>
        <v>0.1</v>
      </c>
      <c r="AU88">
        <v>2021</v>
      </c>
      <c r="AV88" s="17">
        <f>(DataQ!O199/DataQ!P199)*100</f>
        <v>1.2562914917357695</v>
      </c>
      <c r="AW88" s="17">
        <f>(DataQ!N199/DataQ!P199)*100</f>
        <v>1.456977033546595</v>
      </c>
      <c r="AX88" s="17">
        <f>(DataQ!AG199/DataQ!P199)*100</f>
        <v>-0.20068554181082576</v>
      </c>
    </row>
    <row r="89" spans="14:50" x14ac:dyDescent="0.35">
      <c r="AQ89" s="21">
        <f>(DataQ!N200/DataQ!P200)*100</f>
        <v>1.4146233661805701</v>
      </c>
      <c r="AR89" s="21">
        <f>DataQ!Q200</f>
        <v>2.0733329999999999</v>
      </c>
      <c r="AS89" s="21">
        <f>DataQ!AF200</f>
        <v>0.1</v>
      </c>
      <c r="AV89" s="17">
        <f>(DataQ!O200/DataQ!P200)*100</f>
        <v>1.3179720802924566</v>
      </c>
      <c r="AW89" s="17">
        <f>(DataQ!N200/DataQ!P200)*100</f>
        <v>1.4146233661805701</v>
      </c>
      <c r="AX89" s="17">
        <f>(DataQ!AG200/DataQ!P200)*100</f>
        <v>-9.6651285888113489E-2</v>
      </c>
    </row>
    <row r="90" spans="14:50" x14ac:dyDescent="0.35">
      <c r="AQ90" s="21">
        <f>(DataQ!N201/DataQ!P201)*100</f>
        <v>1.3345073401869949</v>
      </c>
      <c r="AR90" s="21">
        <f>DataQ!Q201</f>
        <v>2.0533329999999999</v>
      </c>
      <c r="AS90" s="21">
        <f>DataQ!AF201</f>
        <v>0.1</v>
      </c>
      <c r="AV90" s="17">
        <f>(DataQ!O201/DataQ!P201)*100</f>
        <v>1.302777425223167</v>
      </c>
      <c r="AW90" s="17">
        <f>(DataQ!N201/DataQ!P201)*100</f>
        <v>1.3345073401869949</v>
      </c>
      <c r="AX90" s="17">
        <f>(DataQ!AG201/DataQ!P201)*100</f>
        <v>-3.1729914963827897E-2</v>
      </c>
    </row>
    <row r="91" spans="14:50" x14ac:dyDescent="0.35">
      <c r="AQ91" s="21">
        <f>(DataQ!N202/DataQ!P202)*100</f>
        <v>1.4902910453837488</v>
      </c>
      <c r="AR91" s="21">
        <f>DataQ!Q202</f>
        <v>2.02</v>
      </c>
      <c r="AS91" s="21">
        <f>DataQ!AF202</f>
        <v>0.12727269999999999</v>
      </c>
      <c r="AV91" s="17">
        <f>(DataQ!O202/DataQ!P202)*100</f>
        <v>1.4810982031933306</v>
      </c>
      <c r="AW91" s="17">
        <f>(DataQ!N202/DataQ!P202)*100</f>
        <v>1.4902910453837488</v>
      </c>
      <c r="AX91" s="17">
        <f>(DataQ!AG202/DataQ!P202)*100</f>
        <v>-9.1928421904179068E-3</v>
      </c>
    </row>
    <row r="92" spans="14:50" x14ac:dyDescent="0.35">
      <c r="AP92">
        <v>2022</v>
      </c>
      <c r="AQ92" s="21">
        <f>(DataQ!N203/DataQ!P203)*100</f>
        <v>1.8913686031781995</v>
      </c>
      <c r="AR92" s="21">
        <f>DataQ!Q203</f>
        <v>2.0266670000000002</v>
      </c>
      <c r="AS92" s="21">
        <f>DataQ!AF203</f>
        <v>0.453125</v>
      </c>
      <c r="AU92">
        <v>2022</v>
      </c>
      <c r="AV92" s="17">
        <f>(DataQ!O203/DataQ!P203)*100</f>
        <v>1.9129960143770792</v>
      </c>
      <c r="AW92" s="17">
        <f>(DataQ!N203/DataQ!P203)*100</f>
        <v>1.8913686031781995</v>
      </c>
      <c r="AX92" s="17">
        <f>(DataQ!AG203/DataQ!P203)*100</f>
        <v>2.1627411198879495E-2</v>
      </c>
    </row>
    <row r="93" spans="14:50" x14ac:dyDescent="0.35">
      <c r="AQ93" s="21">
        <f>(DataQ!N204/DataQ!P204)*100</f>
        <v>2.3442505463671335</v>
      </c>
      <c r="AR93" s="21">
        <f>DataQ!Q204</f>
        <v>2.0833330000000001</v>
      </c>
      <c r="AS93" s="21">
        <f>DataQ!AF204</f>
        <v>0.95</v>
      </c>
      <c r="AV93" s="17">
        <f>(DataQ!O204/DataQ!P204)*100</f>
        <v>2.3642565734993579</v>
      </c>
      <c r="AW93" s="17">
        <f>(DataQ!N204/DataQ!P204)*100</f>
        <v>2.3442505463671335</v>
      </c>
      <c r="AX93" s="17">
        <f>(DataQ!AG204/DataQ!P204)*100</f>
        <v>2.0006027132224644E-2</v>
      </c>
    </row>
    <row r="94" spans="14:50" x14ac:dyDescent="0.35">
      <c r="AQ94" s="21">
        <f>(DataQ!N205/DataQ!P205)*100</f>
        <v>2.8213540113331348</v>
      </c>
      <c r="AR94" s="21">
        <f>DataQ!Q205</f>
        <v>2.1866669999999999</v>
      </c>
      <c r="AS94" s="21">
        <f>DataQ!AF205</f>
        <v>1.6212120000000001</v>
      </c>
      <c r="AV94" s="17">
        <f>(DataQ!O205/DataQ!P205)*100</f>
        <v>2.8573913907943136</v>
      </c>
      <c r="AW94" s="17">
        <f>(DataQ!N205/DataQ!P205)*100</f>
        <v>2.8213540113331348</v>
      </c>
      <c r="AX94" s="17">
        <f>(DataQ!AG205/DataQ!P205)*100</f>
        <v>3.6037379461179041E-2</v>
      </c>
    </row>
    <row r="95" spans="14:50" x14ac:dyDescent="0.35">
      <c r="AQ95" s="21">
        <f>(DataQ!N206/DataQ!P206)*100</f>
        <v>3.632061944364783</v>
      </c>
      <c r="AR95" s="21">
        <f>DataQ!Q206</f>
        <v>2.3966669999999999</v>
      </c>
      <c r="AS95" s="21">
        <f>DataQ!AF206</f>
        <v>2.8269229999999999</v>
      </c>
      <c r="AV95" s="17">
        <f>(DataQ!O206/DataQ!P206)*100</f>
        <v>3.9224261542873529</v>
      </c>
      <c r="AW95" s="17">
        <f>(DataQ!N206/DataQ!P206)*100</f>
        <v>3.632061944364783</v>
      </c>
      <c r="AX95" s="17">
        <f>(DataQ!AG206/DataQ!P206)*100</f>
        <v>0.29036420992256956</v>
      </c>
    </row>
    <row r="96" spans="14:50" x14ac:dyDescent="0.35">
      <c r="AP96">
        <v>2023</v>
      </c>
      <c r="AQ96" s="21">
        <f>(DataQ!N207/DataQ!P207)*100</f>
        <v>4.7809902148579404</v>
      </c>
      <c r="AR96" s="21">
        <f>DataQ!Q207</f>
        <v>2.65</v>
      </c>
      <c r="AS96" s="21">
        <f>DataQ!AF207</f>
        <v>3.85</v>
      </c>
      <c r="AU96">
        <v>2023</v>
      </c>
      <c r="AV96" s="17">
        <f>(DataQ!O207/DataQ!P207)*100</f>
        <v>5.0975683403002536</v>
      </c>
      <c r="AW96" s="17">
        <f>(DataQ!N207/DataQ!P207)*100</f>
        <v>4.7809902148579404</v>
      </c>
      <c r="AX96" s="17">
        <f>(DataQ!AG207/DataQ!P207)*100</f>
        <v>0.31657812544231295</v>
      </c>
    </row>
    <row r="97" spans="42:50" x14ac:dyDescent="0.35">
      <c r="AQ97" s="21">
        <f>(DataQ!N208/DataQ!P208)*100</f>
        <v>4.8536469643606628</v>
      </c>
      <c r="AR97" s="21">
        <f>DataQ!Q208</f>
        <v>2.84</v>
      </c>
      <c r="AS97" s="21">
        <f>DataQ!AF208</f>
        <v>4.4461539999999999</v>
      </c>
      <c r="AV97" s="17">
        <f>(DataQ!O208/DataQ!P208)*100</f>
        <v>5.1273745871275018</v>
      </c>
      <c r="AW97" s="17">
        <f>(DataQ!N208/DataQ!P208)*100</f>
        <v>4.8536469643606628</v>
      </c>
      <c r="AX97" s="17">
        <f>(DataQ!AG208/DataQ!P208)*100</f>
        <v>0.27372762276683882</v>
      </c>
    </row>
    <row r="98" spans="42:50" x14ac:dyDescent="0.35">
      <c r="AQ98" s="21">
        <f>(DataQ!N209/DataQ!P209)*100</f>
        <v>5.3296559444599927</v>
      </c>
      <c r="AR98" s="21">
        <f>DataQ!Q209</f>
        <v>3.07</v>
      </c>
      <c r="AS98" s="21">
        <f>DataQ!AF209</f>
        <v>5.1615390000000003</v>
      </c>
      <c r="AV98" s="17">
        <f>(DataQ!O209/DataQ!P209)*100</f>
        <v>5.7153755179791812</v>
      </c>
      <c r="AW98" s="17">
        <f>(DataQ!N209/DataQ!P209)*100</f>
        <v>5.3296559444599927</v>
      </c>
      <c r="AX98" s="17">
        <f>(DataQ!AG209/DataQ!P209)*100</f>
        <v>0.38571957351918895</v>
      </c>
    </row>
    <row r="99" spans="42:50" x14ac:dyDescent="0.35">
      <c r="AQ99" s="21">
        <f>(DataQ!N210/DataQ!P210)*100</f>
        <v>5.6218112946986203</v>
      </c>
      <c r="AR99" s="21">
        <f>DataQ!Q210</f>
        <v>3.29</v>
      </c>
      <c r="AS99" s="21">
        <f>DataQ!AF210</f>
        <v>5.25</v>
      </c>
      <c r="AV99" s="17">
        <f>(DataQ!O210/DataQ!P210)*100</f>
        <v>5.9551265449409829</v>
      </c>
      <c r="AW99" s="17">
        <f>(DataQ!N210/DataQ!P210)*100</f>
        <v>5.6218112946986203</v>
      </c>
      <c r="AX99" s="17">
        <f>(DataQ!AG210/DataQ!P210)*100</f>
        <v>0.33331434230474061</v>
      </c>
    </row>
    <row r="100" spans="42:50" x14ac:dyDescent="0.35">
      <c r="AP100">
        <v>2024</v>
      </c>
      <c r="AQ100" s="21">
        <f>(DataQ!N211/DataQ!P211)*100</f>
        <v>5.7809931174107358</v>
      </c>
      <c r="AR100" s="21">
        <f>DataQ!Q211</f>
        <v>3.46</v>
      </c>
      <c r="AS100" s="21">
        <f>DataQ!AF211</f>
        <v>5.25</v>
      </c>
      <c r="AU100">
        <v>2024</v>
      </c>
      <c r="AV100" s="17">
        <f>(DataQ!O211/DataQ!P211)*100</f>
        <v>5.7832345909988572</v>
      </c>
      <c r="AW100" s="17">
        <f>(DataQ!N211/DataQ!P211)*100</f>
        <v>5.7809931174107358</v>
      </c>
      <c r="AX100" s="17">
        <f>(DataQ!AG211/DataQ!P211)*100</f>
        <v>2.2405397161101397E-3</v>
      </c>
    </row>
    <row r="101" spans="42:50" x14ac:dyDescent="0.35">
      <c r="AQ101" s="21">
        <f>(DataQ!N212/DataQ!P212)*100</f>
        <v>5.7663353442310346</v>
      </c>
      <c r="AR101" s="21">
        <f>DataQ!Q212</f>
        <v>3.6101890000000001</v>
      </c>
      <c r="AS101" s="21">
        <f>DataQ!AF212</f>
        <v>5.223077</v>
      </c>
      <c r="AV101" s="17">
        <f>(DataQ!O212/DataQ!P212)*100</f>
        <v>5.6196216328264441</v>
      </c>
      <c r="AW101" s="17">
        <f>(DataQ!N212/DataQ!P212)*100</f>
        <v>5.7663353442310346</v>
      </c>
      <c r="AX101" s="17">
        <f>(DataQ!AG212/DataQ!P212)*100</f>
        <v>-0.1467124241696558</v>
      </c>
    </row>
    <row r="102" spans="42:50" x14ac:dyDescent="0.35">
      <c r="AQ102" s="21">
        <f>(DataQ!N213/DataQ!P213)*100</f>
        <v>5.6806225109924151</v>
      </c>
      <c r="AR102" s="21">
        <f>DataQ!Q213</f>
        <v>3.681047</v>
      </c>
      <c r="AS102" s="21">
        <f>DataQ!AF213</f>
        <v>4.8371209999999998</v>
      </c>
      <c r="AV102" s="17">
        <f>(DataQ!O213/DataQ!P213)*100</f>
        <v>5.4455385660005167</v>
      </c>
      <c r="AW102" s="17">
        <f>(DataQ!N213/DataQ!P213)*100</f>
        <v>5.6806225109924151</v>
      </c>
      <c r="AX102" s="17">
        <f>(DataQ!AG213/DataQ!P213)*100</f>
        <v>-0.23508394499189766</v>
      </c>
    </row>
    <row r="103" spans="42:50" x14ac:dyDescent="0.35">
      <c r="AQ103" s="21">
        <f>(DataQ!N214/DataQ!P214)*100</f>
        <v>5.5981752303114272</v>
      </c>
      <c r="AR103" s="21">
        <f>DataQ!Q214</f>
        <v>3.7117300000000002</v>
      </c>
      <c r="AS103" s="21">
        <f>DataQ!AF214</f>
        <v>4.6022730000000003</v>
      </c>
      <c r="AV103" s="17">
        <f>(DataQ!O214/DataQ!P214)*100</f>
        <v>5.3032702724049194</v>
      </c>
      <c r="AW103" s="17">
        <f>(DataQ!N214/DataQ!P214)*100</f>
        <v>5.5981752303114272</v>
      </c>
      <c r="AX103" s="17">
        <f>(DataQ!AG214/DataQ!P214)*100</f>
        <v>-0.29490495790650761</v>
      </c>
    </row>
    <row r="104" spans="42:50" x14ac:dyDescent="0.35">
      <c r="AP104">
        <v>2025</v>
      </c>
      <c r="AQ104" s="21">
        <f>(DataQ!N215/DataQ!P215)*100</f>
        <v>5.5404681450414541</v>
      </c>
      <c r="AR104" s="21">
        <f>DataQ!Q215</f>
        <v>3.7662070000000001</v>
      </c>
      <c r="AS104" s="21">
        <f>DataQ!AF215</f>
        <v>4.3515629999999996</v>
      </c>
      <c r="AU104">
        <v>2025</v>
      </c>
      <c r="AV104" s="17">
        <f>(DataQ!O215/DataQ!P215)*100</f>
        <v>5.1486322302269771</v>
      </c>
      <c r="AW104" s="17">
        <f>(DataQ!N215/DataQ!P215)*100</f>
        <v>5.5404681450414541</v>
      </c>
      <c r="AX104" s="17">
        <f>(DataQ!AG215/DataQ!P215)*100</f>
        <v>-0.39183483253832935</v>
      </c>
    </row>
    <row r="105" spans="42:50" x14ac:dyDescent="0.35">
      <c r="AQ105" s="21">
        <f>(DataQ!N216/DataQ!P216)*100</f>
        <v>5.4661549019452309</v>
      </c>
      <c r="AR105" s="21">
        <f>DataQ!Q216</f>
        <v>3.8124989999999999</v>
      </c>
      <c r="AS105" s="21">
        <f>DataQ!AF216</f>
        <v>4.0846150000000003</v>
      </c>
      <c r="AV105" s="17">
        <f>(DataQ!O216/DataQ!P216)*100</f>
        <v>4.956730611529971</v>
      </c>
      <c r="AW105" s="17">
        <f>(DataQ!N216/DataQ!P216)*100</f>
        <v>5.4661549019452309</v>
      </c>
      <c r="AX105" s="17">
        <f>(DataQ!AG216/DataQ!P216)*100</f>
        <v>-0.50942536236839908</v>
      </c>
    </row>
    <row r="106" spans="42:50" x14ac:dyDescent="0.35">
      <c r="AQ106" s="21">
        <f>(DataQ!N217/DataQ!P217)*100</f>
        <v>5.3625492129427155</v>
      </c>
      <c r="AR106" s="21">
        <f>DataQ!Q217</f>
        <v>3.820055</v>
      </c>
      <c r="AS106" s="21">
        <f>DataQ!AF217</f>
        <v>3.8522729999999998</v>
      </c>
      <c r="AV106" s="17">
        <f>(DataQ!O217/DataQ!P217)*100</f>
        <v>4.7933909702372341</v>
      </c>
      <c r="AW106" s="17">
        <f>(DataQ!N217/DataQ!P217)*100</f>
        <v>5.3625492129427155</v>
      </c>
      <c r="AX106" s="17">
        <f>(DataQ!AG217/DataQ!P217)*100</f>
        <v>-0.56915887870280291</v>
      </c>
    </row>
    <row r="107" spans="42:50" x14ac:dyDescent="0.35">
      <c r="AQ107" s="21">
        <f>(DataQ!N218/DataQ!P218)*100</f>
        <v>5.2637346806150846</v>
      </c>
      <c r="AR107" s="21">
        <f>DataQ!Q218</f>
        <v>3.8346840000000002</v>
      </c>
      <c r="AS107" s="21">
        <f>DataQ!AF218</f>
        <v>3.5984850000000002</v>
      </c>
      <c r="AV107" s="17">
        <f>(DataQ!O218/DataQ!P218)*100</f>
        <v>4.6114790300863149</v>
      </c>
      <c r="AW107" s="17">
        <f>(DataQ!N218/DataQ!P218)*100</f>
        <v>5.2637346806150846</v>
      </c>
      <c r="AX107" s="17">
        <f>(DataQ!AG218/DataQ!P218)*100</f>
        <v>-0.65225502142821346</v>
      </c>
    </row>
    <row r="108" spans="42:50" x14ac:dyDescent="0.35">
      <c r="AP108">
        <v>2026</v>
      </c>
      <c r="AQ108" s="21">
        <f>(DataQ!N219/DataQ!P219)*100</f>
        <v>5.1724430350903052</v>
      </c>
      <c r="AR108" s="21">
        <f>DataQ!Q219</f>
        <v>3.8621639999999999</v>
      </c>
      <c r="AS108" s="21">
        <f>DataQ!AF219</f>
        <v>3.3476560000000002</v>
      </c>
      <c r="AU108">
        <v>2026</v>
      </c>
      <c r="AV108" s="17">
        <f>(DataQ!O219/DataQ!P219)*100</f>
        <v>4.4320987731113304</v>
      </c>
      <c r="AW108" s="17">
        <f>(DataQ!N219/DataQ!P219)*100</f>
        <v>5.1724430350903052</v>
      </c>
      <c r="AX108" s="17">
        <f>(DataQ!AG219/DataQ!P219)*100</f>
        <v>-0.74034343262189017</v>
      </c>
    </row>
    <row r="109" spans="42:50" x14ac:dyDescent="0.35">
      <c r="AQ109" s="21">
        <f>(DataQ!N220/DataQ!P220)*100</f>
        <v>5.1021654968568022</v>
      </c>
      <c r="AR109" s="21">
        <f>DataQ!Q220</f>
        <v>3.8892669999999998</v>
      </c>
      <c r="AS109" s="21">
        <f>DataQ!AF220</f>
        <v>3.1</v>
      </c>
      <c r="AV109" s="17">
        <f>(DataQ!O220/DataQ!P220)*100</f>
        <v>4.2689008791001353</v>
      </c>
      <c r="AW109" s="17">
        <f>(DataQ!N220/DataQ!P220)*100</f>
        <v>5.1021654968568022</v>
      </c>
      <c r="AX109" s="17">
        <f>(DataQ!AG220/DataQ!P220)*100</f>
        <v>-0.83326358959342517</v>
      </c>
    </row>
    <row r="110" spans="42:50" x14ac:dyDescent="0.35">
      <c r="AQ110" s="21">
        <f>(DataQ!N221/DataQ!P221)*100</f>
        <v>5.0292006645226035</v>
      </c>
      <c r="AR110" s="21">
        <f>DataQ!Q221</f>
        <v>3.9174799999999999</v>
      </c>
      <c r="AS110" s="21">
        <f>DataQ!AF221</f>
        <v>2.8484850000000002</v>
      </c>
      <c r="AV110" s="17">
        <f>(DataQ!O221/DataQ!P221)*100</f>
        <v>4.0964453906330984</v>
      </c>
      <c r="AW110" s="17">
        <f>(DataQ!N221/DataQ!P221)*100</f>
        <v>5.0292006645226035</v>
      </c>
      <c r="AX110" s="17">
        <f>(DataQ!AG221/DataQ!P221)*100</f>
        <v>-0.93275527388950397</v>
      </c>
    </row>
    <row r="111" spans="42:50" x14ac:dyDescent="0.35">
      <c r="AQ111" s="21">
        <f>(DataQ!N222/DataQ!P222)*100</f>
        <v>4.9519129972425722</v>
      </c>
      <c r="AR111" s="21">
        <f>DataQ!Q222</f>
        <v>3.93405</v>
      </c>
      <c r="AS111" s="21">
        <f>DataQ!AF222</f>
        <v>2.594697</v>
      </c>
      <c r="AV111" s="17">
        <f>(DataQ!O222/DataQ!P222)*100</f>
        <v>3.9231814645948457</v>
      </c>
      <c r="AW111" s="17">
        <f>(DataQ!N222/DataQ!P222)*100</f>
        <v>4.9519129972425722</v>
      </c>
      <c r="AX111" s="17">
        <f>(DataQ!AG222/DataQ!P222)*100</f>
        <v>-1.0287325415859097</v>
      </c>
    </row>
    <row r="115" spans="48:49" x14ac:dyDescent="0.35">
      <c r="AV115">
        <v>2023</v>
      </c>
      <c r="AW115" s="17">
        <f>AVERAGE(AW96:AW99)</f>
        <v>5.1465261045943045</v>
      </c>
    </row>
    <row r="116" spans="48:49" x14ac:dyDescent="0.35">
      <c r="AV116">
        <v>2024</v>
      </c>
      <c r="AW116" s="17">
        <f>AVERAGE(AW100:AW103)</f>
        <v>5.7065315507364032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A689-F5FB-4F91-91A5-1B85918003DC}">
  <dimension ref="A1:AU318"/>
  <sheetViews>
    <sheetView workbookViewId="0">
      <pane xSplit="2" ySplit="6" topLeftCell="AB172" activePane="bottomRight" state="frozen"/>
      <selection pane="topRight" activeCell="C1" sqref="C1"/>
      <selection pane="bottomLeft" activeCell="A7" sqref="A7"/>
      <selection pane="bottomRight" activeCell="A191" sqref="A191"/>
    </sheetView>
  </sheetViews>
  <sheetFormatPr defaultColWidth="9.1796875" defaultRowHeight="14.5" x14ac:dyDescent="0.35"/>
  <cols>
    <col min="1" max="1" width="5" style="7" bestFit="1" customWidth="1"/>
    <col min="2" max="2" width="9.1796875" style="7"/>
    <col min="3" max="31" width="17.54296875" style="7" bestFit="1" customWidth="1"/>
    <col min="32" max="16384" width="9.1796875" style="7"/>
  </cols>
  <sheetData>
    <row r="1" spans="1:47" x14ac:dyDescent="0.35">
      <c r="C1" s="8" t="str">
        <f>GMWQ!$LR$14</f>
        <v>FEB016J.db</v>
      </c>
      <c r="D1" s="8" t="str">
        <f t="shared" ref="D1:AU1" si="0">$C$1</f>
        <v>FEB016J.db</v>
      </c>
      <c r="E1" s="8" t="str">
        <f t="shared" si="0"/>
        <v>FEB016J.db</v>
      </c>
      <c r="F1" s="8" t="str">
        <f t="shared" si="0"/>
        <v>FEB016J.db</v>
      </c>
      <c r="G1" s="8" t="str">
        <f t="shared" si="0"/>
        <v>FEB016J.db</v>
      </c>
      <c r="H1" s="8" t="str">
        <f t="shared" si="0"/>
        <v>FEB016J.db</v>
      </c>
      <c r="I1" s="8" t="str">
        <f>$C$1</f>
        <v>FEB016J.db</v>
      </c>
      <c r="J1" s="8" t="str">
        <f>$C$1</f>
        <v>FEB016J.db</v>
      </c>
      <c r="K1" s="8" t="str">
        <f>$C$1</f>
        <v>FEB016J.db</v>
      </c>
      <c r="L1" s="8" t="str">
        <f t="shared" si="0"/>
        <v>FEB016J.db</v>
      </c>
      <c r="M1" s="8" t="str">
        <f t="shared" si="0"/>
        <v>FEB016J.db</v>
      </c>
      <c r="N1" s="8" t="str">
        <f t="shared" si="0"/>
        <v>FEB016J.db</v>
      </c>
      <c r="O1" s="8" t="str">
        <f t="shared" si="0"/>
        <v>FEB016J.db</v>
      </c>
      <c r="P1" s="8" t="str">
        <f t="shared" si="0"/>
        <v>FEB016J.db</v>
      </c>
      <c r="Q1" s="8" t="str">
        <f t="shared" si="0"/>
        <v>FEB016J.db</v>
      </c>
      <c r="R1" s="8" t="str">
        <f t="shared" si="0"/>
        <v>FEB016J.db</v>
      </c>
      <c r="S1" s="8" t="str">
        <f t="shared" si="0"/>
        <v>FEB016J.db</v>
      </c>
      <c r="T1" s="8" t="str">
        <f t="shared" si="0"/>
        <v>FEB016J.db</v>
      </c>
      <c r="U1" s="8" t="str">
        <f t="shared" si="0"/>
        <v>FEB016J.db</v>
      </c>
      <c r="V1" s="8" t="str">
        <f t="shared" si="0"/>
        <v>FEB016J.db</v>
      </c>
      <c r="W1" s="8" t="str">
        <f t="shared" si="0"/>
        <v>FEB016J.db</v>
      </c>
      <c r="X1" s="8" t="str">
        <f t="shared" si="0"/>
        <v>FEB016J.db</v>
      </c>
      <c r="Y1" s="8" t="str">
        <f t="shared" si="0"/>
        <v>FEB016J.db</v>
      </c>
      <c r="Z1" s="8" t="str">
        <f t="shared" si="0"/>
        <v>FEB016J.db</v>
      </c>
      <c r="AA1" s="8" t="str">
        <f t="shared" si="0"/>
        <v>FEB016J.db</v>
      </c>
      <c r="AB1" s="8" t="str">
        <f t="shared" si="0"/>
        <v>FEB016J.db</v>
      </c>
      <c r="AC1" s="8" t="str">
        <f t="shared" si="0"/>
        <v>FEB016J.db</v>
      </c>
      <c r="AD1" s="8" t="str">
        <f t="shared" si="0"/>
        <v>FEB016J.db</v>
      </c>
      <c r="AE1" s="8" t="str">
        <f t="shared" si="0"/>
        <v>FEB016J.db</v>
      </c>
      <c r="AF1" s="8" t="str">
        <f t="shared" si="0"/>
        <v>FEB016J.db</v>
      </c>
      <c r="AG1" s="8" t="str">
        <f t="shared" si="0"/>
        <v>FEB016J.db</v>
      </c>
      <c r="AI1" s="8" t="str">
        <f t="shared" si="0"/>
        <v>FEB016J.db</v>
      </c>
      <c r="AJ1" s="8" t="str">
        <f t="shared" si="0"/>
        <v>FEB016J.db</v>
      </c>
      <c r="AK1" s="8" t="str">
        <f t="shared" si="0"/>
        <v>FEB016J.db</v>
      </c>
      <c r="AL1" s="8" t="str">
        <f t="shared" si="0"/>
        <v>FEB016J.db</v>
      </c>
      <c r="AM1" s="8" t="str">
        <f t="shared" si="0"/>
        <v>FEB016J.db</v>
      </c>
      <c r="AN1" s="8" t="str">
        <f t="shared" si="0"/>
        <v>FEB016J.db</v>
      </c>
      <c r="AO1" s="8" t="str">
        <f t="shared" si="0"/>
        <v>FEB016J.db</v>
      </c>
      <c r="AP1" s="8" t="str">
        <f t="shared" si="0"/>
        <v>FEB016J.db</v>
      </c>
      <c r="AQ1" s="8" t="str">
        <f t="shared" si="0"/>
        <v>FEB016J.db</v>
      </c>
      <c r="AR1" s="8" t="str">
        <f t="shared" si="0"/>
        <v>FEB016J.db</v>
      </c>
      <c r="AS1" s="8" t="str">
        <f t="shared" si="0"/>
        <v>FEB016J.db</v>
      </c>
      <c r="AT1" s="8" t="str">
        <f t="shared" si="0"/>
        <v>FEB016J.db</v>
      </c>
      <c r="AU1" s="8" t="str">
        <f t="shared" si="0"/>
        <v>FEB016J.db</v>
      </c>
    </row>
    <row r="2" spans="1:47" x14ac:dyDescent="0.35">
      <c r="C2" s="7" t="s">
        <v>429</v>
      </c>
      <c r="D2" s="7" t="s">
        <v>429</v>
      </c>
      <c r="E2" s="7" t="s">
        <v>429</v>
      </c>
      <c r="F2" s="7" t="s">
        <v>429</v>
      </c>
      <c r="G2" s="7" t="s">
        <v>429</v>
      </c>
      <c r="H2" s="7" t="s">
        <v>429</v>
      </c>
      <c r="I2" s="7" t="s">
        <v>429</v>
      </c>
      <c r="J2" s="7" t="s">
        <v>429</v>
      </c>
      <c r="K2" s="7" t="s">
        <v>429</v>
      </c>
      <c r="L2" s="7" t="s">
        <v>429</v>
      </c>
      <c r="M2" s="7" t="s">
        <v>429</v>
      </c>
      <c r="N2" s="7" t="s">
        <v>429</v>
      </c>
      <c r="O2" s="7" t="s">
        <v>429</v>
      </c>
      <c r="P2" s="7" t="s">
        <v>429</v>
      </c>
      <c r="Q2" s="7" t="s">
        <v>429</v>
      </c>
      <c r="R2" s="7" t="s">
        <v>429</v>
      </c>
      <c r="S2" s="7" t="s">
        <v>429</v>
      </c>
      <c r="T2" s="7" t="s">
        <v>429</v>
      </c>
      <c r="U2" s="7" t="s">
        <v>429</v>
      </c>
      <c r="V2" s="7" t="s">
        <v>429</v>
      </c>
      <c r="W2" s="7" t="s">
        <v>429</v>
      </c>
      <c r="X2" s="7" t="s">
        <v>429</v>
      </c>
      <c r="Y2" s="7" t="s">
        <v>429</v>
      </c>
      <c r="Z2" s="7" t="s">
        <v>429</v>
      </c>
      <c r="AA2" s="7" t="s">
        <v>429</v>
      </c>
      <c r="AB2" s="7" t="s">
        <v>429</v>
      </c>
      <c r="AC2" s="7" t="s">
        <v>429</v>
      </c>
      <c r="AD2" s="7" t="s">
        <v>429</v>
      </c>
      <c r="AE2" s="7" t="s">
        <v>429</v>
      </c>
      <c r="AF2" s="7" t="s">
        <v>429</v>
      </c>
      <c r="AG2" s="7" t="s">
        <v>429</v>
      </c>
      <c r="AI2" s="7" t="s">
        <v>429</v>
      </c>
      <c r="AJ2" s="7" t="s">
        <v>429</v>
      </c>
      <c r="AK2" s="7" t="s">
        <v>429</v>
      </c>
      <c r="AL2" s="7" t="s">
        <v>429</v>
      </c>
      <c r="AM2" s="7" t="s">
        <v>429</v>
      </c>
      <c r="AN2" s="7" t="s">
        <v>429</v>
      </c>
      <c r="AO2" s="7" t="s">
        <v>429</v>
      </c>
      <c r="AP2" s="7" t="s">
        <v>429</v>
      </c>
      <c r="AQ2" s="7" t="s">
        <v>429</v>
      </c>
      <c r="AR2" s="7" t="s">
        <v>429</v>
      </c>
      <c r="AS2" s="7" t="s">
        <v>429</v>
      </c>
      <c r="AT2" s="7" t="s">
        <v>429</v>
      </c>
      <c r="AU2" s="7" t="s">
        <v>429</v>
      </c>
    </row>
    <row r="3" spans="1:47" x14ac:dyDescent="0.35">
      <c r="C3" s="7" t="s">
        <v>344</v>
      </c>
      <c r="D3" s="7" t="s">
        <v>428</v>
      </c>
      <c r="E3" s="7" t="s">
        <v>372</v>
      </c>
      <c r="F3" s="7" t="s">
        <v>517</v>
      </c>
      <c r="G3" s="7" t="s">
        <v>525</v>
      </c>
      <c r="H3" s="7" t="s">
        <v>529</v>
      </c>
      <c r="I3" s="7" t="s">
        <v>532</v>
      </c>
      <c r="J3" s="7" t="s">
        <v>513</v>
      </c>
      <c r="K3" s="7" t="s">
        <v>352</v>
      </c>
      <c r="L3" s="7" t="s">
        <v>367</v>
      </c>
      <c r="M3" s="7" t="s">
        <v>363</v>
      </c>
      <c r="N3" s="7" t="s">
        <v>381</v>
      </c>
      <c r="O3" s="7" t="s">
        <v>386</v>
      </c>
      <c r="P3" s="7" t="s">
        <v>394</v>
      </c>
      <c r="Q3" s="7" t="s">
        <v>377</v>
      </c>
      <c r="R3" s="7" t="s">
        <v>409</v>
      </c>
      <c r="S3" s="7" t="s">
        <v>415</v>
      </c>
      <c r="T3" s="7" t="s">
        <v>419</v>
      </c>
      <c r="U3" s="7" t="s">
        <v>423</v>
      </c>
      <c r="V3" s="7" t="s">
        <v>584</v>
      </c>
      <c r="W3" s="7" t="s">
        <v>588</v>
      </c>
      <c r="X3" s="7" t="s">
        <v>591</v>
      </c>
      <c r="Y3" s="7" t="s">
        <v>598</v>
      </c>
      <c r="Z3" s="7" t="s">
        <v>602</v>
      </c>
      <c r="AA3" s="7" t="s">
        <v>610</v>
      </c>
      <c r="AB3" s="7" t="s">
        <v>606</v>
      </c>
      <c r="AC3" s="7" t="s">
        <v>614</v>
      </c>
      <c r="AD3" s="7" t="s">
        <v>595</v>
      </c>
      <c r="AE3" s="7" t="s">
        <v>615</v>
      </c>
      <c r="AF3" s="7" t="s">
        <v>627</v>
      </c>
      <c r="AG3" s="2" t="s">
        <v>390</v>
      </c>
      <c r="AI3" s="7" t="s">
        <v>394</v>
      </c>
      <c r="AJ3" s="7" t="s">
        <v>532</v>
      </c>
      <c r="AK3" s="7" t="s">
        <v>517</v>
      </c>
      <c r="AL3" s="7" t="s">
        <v>509</v>
      </c>
      <c r="AM3" s="7" t="s">
        <v>513</v>
      </c>
      <c r="AN3" s="7" t="s">
        <v>525</v>
      </c>
      <c r="AO3" s="7" t="s">
        <v>529</v>
      </c>
      <c r="AP3" s="7" t="s">
        <v>390</v>
      </c>
      <c r="AQ3" s="7" t="s">
        <v>521</v>
      </c>
      <c r="AR3" s="7" t="s">
        <v>554</v>
      </c>
      <c r="AS3" s="7" t="s">
        <v>558</v>
      </c>
      <c r="AT3" s="7" t="s">
        <v>562</v>
      </c>
      <c r="AU3" s="7" t="s">
        <v>566</v>
      </c>
    </row>
    <row r="4" spans="1:47" x14ac:dyDescent="0.35">
      <c r="C4" s="7" t="s">
        <v>343</v>
      </c>
      <c r="D4" s="7" t="s">
        <v>343</v>
      </c>
      <c r="E4" s="7" t="s">
        <v>343</v>
      </c>
      <c r="F4" s="7" t="s">
        <v>343</v>
      </c>
      <c r="G4" s="7" t="s">
        <v>343</v>
      </c>
      <c r="H4" s="7" t="s">
        <v>343</v>
      </c>
      <c r="I4" s="7" t="s">
        <v>343</v>
      </c>
      <c r="J4" s="7" t="s">
        <v>343</v>
      </c>
      <c r="K4" s="7" t="s">
        <v>343</v>
      </c>
      <c r="L4" s="7" t="s">
        <v>343</v>
      </c>
      <c r="M4" s="7" t="s">
        <v>343</v>
      </c>
      <c r="N4" s="7" t="s">
        <v>343</v>
      </c>
      <c r="O4" s="7" t="s">
        <v>343</v>
      </c>
      <c r="P4" s="7" t="s">
        <v>343</v>
      </c>
      <c r="Q4" s="7" t="s">
        <v>343</v>
      </c>
      <c r="R4" s="7" t="s">
        <v>343</v>
      </c>
      <c r="S4" s="7" t="s">
        <v>343</v>
      </c>
      <c r="T4" s="7" t="s">
        <v>343</v>
      </c>
      <c r="U4" s="7" t="s">
        <v>343</v>
      </c>
      <c r="V4" s="7" t="s">
        <v>343</v>
      </c>
      <c r="W4" s="7" t="s">
        <v>343</v>
      </c>
      <c r="X4" s="7" t="s">
        <v>343</v>
      </c>
      <c r="Y4" s="7" t="s">
        <v>343</v>
      </c>
      <c r="Z4" s="7" t="s">
        <v>343</v>
      </c>
      <c r="AA4" s="7" t="s">
        <v>343</v>
      </c>
      <c r="AB4" s="7" t="s">
        <v>343</v>
      </c>
      <c r="AC4" s="7" t="s">
        <v>343</v>
      </c>
      <c r="AD4" s="7" t="s">
        <v>343</v>
      </c>
      <c r="AE4" s="7" t="s">
        <v>343</v>
      </c>
      <c r="AF4" s="7" t="s">
        <v>343</v>
      </c>
      <c r="AG4" s="7" t="s">
        <v>343</v>
      </c>
      <c r="AI4" s="7" t="s">
        <v>343</v>
      </c>
      <c r="AJ4" s="7" t="s">
        <v>343</v>
      </c>
      <c r="AK4" s="7" t="s">
        <v>343</v>
      </c>
      <c r="AL4" s="7" t="s">
        <v>343</v>
      </c>
      <c r="AM4" s="7" t="s">
        <v>343</v>
      </c>
      <c r="AN4" s="7" t="s">
        <v>343</v>
      </c>
      <c r="AO4" s="7" t="s">
        <v>343</v>
      </c>
      <c r="AP4" s="7" t="s">
        <v>343</v>
      </c>
      <c r="AQ4" s="7" t="s">
        <v>343</v>
      </c>
      <c r="AR4" s="7" t="s">
        <v>343</v>
      </c>
      <c r="AS4" s="7" t="s">
        <v>343</v>
      </c>
      <c r="AT4" s="7" t="s">
        <v>343</v>
      </c>
      <c r="AU4" s="7" t="s">
        <v>343</v>
      </c>
    </row>
    <row r="5" spans="1:47" x14ac:dyDescent="0.35">
      <c r="C5" s="7" t="s">
        <v>430</v>
      </c>
      <c r="D5" s="7" t="s">
        <v>430</v>
      </c>
      <c r="E5" s="7" t="s">
        <v>430</v>
      </c>
      <c r="F5" s="7" t="s">
        <v>430</v>
      </c>
      <c r="G5" s="7" t="s">
        <v>430</v>
      </c>
      <c r="H5" s="7" t="s">
        <v>430</v>
      </c>
      <c r="I5" s="7" t="s">
        <v>430</v>
      </c>
      <c r="J5" s="7" t="s">
        <v>430</v>
      </c>
      <c r="K5" s="7" t="s">
        <v>430</v>
      </c>
      <c r="L5" s="7" t="s">
        <v>430</v>
      </c>
      <c r="M5" s="7" t="s">
        <v>430</v>
      </c>
      <c r="N5" s="7" t="s">
        <v>430</v>
      </c>
      <c r="O5" s="7" t="s">
        <v>430</v>
      </c>
      <c r="P5" s="7" t="s">
        <v>430</v>
      </c>
      <c r="Q5" s="7" t="s">
        <v>430</v>
      </c>
      <c r="R5" s="7" t="s">
        <v>430</v>
      </c>
      <c r="S5" s="7" t="s">
        <v>430</v>
      </c>
      <c r="T5" s="7" t="s">
        <v>430</v>
      </c>
      <c r="U5" s="7" t="s">
        <v>430</v>
      </c>
      <c r="V5" s="7" t="s">
        <v>430</v>
      </c>
      <c r="W5" s="7" t="s">
        <v>430</v>
      </c>
      <c r="X5" s="7" t="s">
        <v>430</v>
      </c>
      <c r="Y5" s="7" t="s">
        <v>430</v>
      </c>
      <c r="Z5" s="7" t="s">
        <v>430</v>
      </c>
      <c r="AA5" s="7" t="s">
        <v>430</v>
      </c>
      <c r="AB5" s="7" t="s">
        <v>430</v>
      </c>
      <c r="AC5" s="7" t="s">
        <v>430</v>
      </c>
      <c r="AD5" s="7" t="s">
        <v>430</v>
      </c>
      <c r="AE5" s="7" t="s">
        <v>430</v>
      </c>
      <c r="AF5" s="7" t="s">
        <v>430</v>
      </c>
      <c r="AG5" s="7" t="s">
        <v>430</v>
      </c>
      <c r="AI5" s="7" t="s">
        <v>430</v>
      </c>
      <c r="AJ5" s="7" t="s">
        <v>430</v>
      </c>
      <c r="AK5" s="7" t="s">
        <v>430</v>
      </c>
      <c r="AL5" s="7" t="s">
        <v>430</v>
      </c>
      <c r="AM5" s="7" t="s">
        <v>430</v>
      </c>
      <c r="AN5" s="7" t="s">
        <v>430</v>
      </c>
      <c r="AO5" s="7" t="s">
        <v>430</v>
      </c>
      <c r="AP5" s="7" t="s">
        <v>430</v>
      </c>
      <c r="AQ5" s="7" t="s">
        <v>430</v>
      </c>
      <c r="AR5" s="7" t="s">
        <v>430</v>
      </c>
      <c r="AS5" s="7" t="s">
        <v>430</v>
      </c>
      <c r="AT5" s="7" t="s">
        <v>430</v>
      </c>
      <c r="AU5" s="7" t="s">
        <v>430</v>
      </c>
    </row>
    <row r="6" spans="1:47" x14ac:dyDescent="0.35">
      <c r="B6" s="7">
        <f>B318+5</f>
        <v>2289</v>
      </c>
      <c r="C6" s="9" t="str" cm="1">
        <f t="array" ref="C6">_xlfn.CONCAT(INDEX(GMWQ!$A$2:$LR$60,MATCH(1,(GMWQ!$LQ$2:$LQ$60=C$3)*(GMWQ!$LP$2:$LP$60=C$4)*(GMWQ!$LR$2:$LR$60=C$1),0),$B6-1966),"0",(INDEX(GMWQ!$A$2:$LR$60,MATCH(1,(GMWQ!$LQ$2:$LQ$60=C$3)*(GMWQ!$LP$2:$LP$60=C$4)*(GMWQ!$LR$2:$LR$60=C$1),0),$B6-1965)))</f>
        <v>202304</v>
      </c>
      <c r="D6" s="9" t="str" cm="1">
        <f t="array" ref="D6">_xlfn.CONCAT(INDEX(GMWQ!$A$2:$LR$60,MATCH(1,(GMWQ!$LQ$2:$LQ$60=D$3)*(GMWQ!$LP$2:$LP$60=D$4)*(GMWQ!$LR$2:$LR$60=D$1),0),$B6-1966),"0",(INDEX(GMWQ!$A$2:$LR$60,MATCH(1,(GMWQ!$LQ$2:$LQ$60=D$3)*(GMWQ!$LP$2:$LP$60=D$4)*(GMWQ!$LR$2:$LR$60=D$1),0),$B6-1965)))</f>
        <v>202304</v>
      </c>
      <c r="E6" s="9" t="str" cm="1">
        <f t="array" ref="E6">_xlfn.CONCAT(INDEX(GMWQ!$A$2:$LR$60,MATCH(1,(GMWQ!$LQ$2:$LQ$60=E$3)*(GMWQ!$LP$2:$LP$60=E$4)*(GMWQ!$LR$2:$LR$60=E$1),0),$B6-1966),"0",(INDEX(GMWQ!$A$2:$LR$60,MATCH(1,(GMWQ!$LQ$2:$LQ$60=E$3)*(GMWQ!$LP$2:$LP$60=E$4)*(GMWQ!$LR$2:$LR$60=E$1),0),$B6-1965)))</f>
        <v>202304</v>
      </c>
      <c r="F6" s="9" t="str" cm="1">
        <f t="array" ref="F6">_xlfn.CONCAT(INDEX(GMWQ!$A$2:$LR$60,MATCH(1,(GMWQ!$LQ$2:$LQ$60=F$3)*(GMWQ!$LP$2:$LP$60=F$4)*(GMWQ!$LR$2:$LR$60=F$1),0),$B6-1966),"0",(INDEX(GMWQ!$A$2:$LR$60,MATCH(1,(GMWQ!$LQ$2:$LQ$60=F$3)*(GMWQ!$LP$2:$LP$60=F$4)*(GMWQ!$LR$2:$LR$60=F$1),0),$B6-1965)))</f>
        <v>202303</v>
      </c>
      <c r="G6" s="9" t="str" cm="1">
        <f t="array" ref="G6">_xlfn.CONCAT(INDEX(GMWQ!$A$2:$LR$60,MATCH(1,(GMWQ!$LQ$2:$LQ$60=G$3)*(GMWQ!$LP$2:$LP$60=G$4)*(GMWQ!$LR$2:$LR$60=G$1),0),$B6-1966),"0",(INDEX(GMWQ!$A$2:$LR$60,MATCH(1,(GMWQ!$LQ$2:$LQ$60=G$3)*(GMWQ!$LP$2:$LP$60=G$4)*(GMWQ!$LR$2:$LR$60=G$1),0),$B6-1965)))</f>
        <v>202303</v>
      </c>
      <c r="H6" s="9" t="str" cm="1">
        <f t="array" ref="H6">_xlfn.CONCAT(INDEX(GMWQ!$A$2:$LR$60,MATCH(1,(GMWQ!$LQ$2:$LQ$60=H$3)*(GMWQ!$LP$2:$LP$60=H$4)*(GMWQ!$LR$2:$LR$60=H$1),0),$B6-1966),"0",(INDEX(GMWQ!$A$2:$LR$60,MATCH(1,(GMWQ!$LQ$2:$LQ$60=H$3)*(GMWQ!$LP$2:$LP$60=H$4)*(GMWQ!$LR$2:$LR$60=H$1),0),$B6-1965)))</f>
        <v>202303</v>
      </c>
      <c r="I6" s="9" t="str" cm="1">
        <f t="array" ref="I6">_xlfn.CONCAT(INDEX(GMWQ!$A$2:$LR$60,MATCH(1,(GMWQ!$LQ$2:$LQ$60=I$3)*(GMWQ!$LP$2:$LP$60=I$4)*(GMWQ!$LR$2:$LR$60=I$1),0),$B6-1966),"0",(INDEX(GMWQ!$A$2:$LR$60,MATCH(1,(GMWQ!$LQ$2:$LQ$60=I$3)*(GMWQ!$LP$2:$LP$60=I$4)*(GMWQ!$LR$2:$LR$60=I$1),0),$B6-1965)))</f>
        <v>202304</v>
      </c>
      <c r="J6" s="9" t="str" cm="1">
        <f t="array" ref="J6">_xlfn.CONCAT(INDEX(GMWQ!$A$2:$LR$60,MATCH(1,(GMWQ!$LQ$2:$LQ$60=J$3)*(GMWQ!$LP$2:$LP$60=J$4)*(GMWQ!$LR$2:$LR$60=J$1),0),$B6-1966),"0",(INDEX(GMWQ!$A$2:$LR$60,MATCH(1,(GMWQ!$LQ$2:$LQ$60=J$3)*(GMWQ!$LP$2:$LP$60=J$4)*(GMWQ!$LR$2:$LR$60=J$1),0),$B6-1965)))</f>
        <v>202304</v>
      </c>
      <c r="K6" s="9" t="str" cm="1">
        <f t="array" ref="K6">_xlfn.CONCAT(INDEX(GMWQ!$A$2:$LR$60,MATCH(1,(GMWQ!$LQ$2:$LQ$60=K$3)*(GMWQ!$LP$2:$LP$60=K$4)*(GMWQ!$LR$2:$LR$60=K$1),0),$B6-1966),"0",(INDEX(GMWQ!$A$2:$LR$60,MATCH(1,(GMWQ!$LQ$2:$LQ$60=K$3)*(GMWQ!$LP$2:$LP$60=K$4)*(GMWQ!$LR$2:$LR$60=K$1),0),$B6-1965)))</f>
        <v>202304</v>
      </c>
      <c r="L6" s="9" t="str" cm="1">
        <f t="array" ref="L6">_xlfn.CONCAT(INDEX(GMWQ!$A$2:$LR$60,MATCH(1,(GMWQ!$LQ$2:$LQ$60=L$3)*(GMWQ!$LP$2:$LP$60=L$4)*(GMWQ!$LR$2:$LR$60=L$1),0),$B6-1966),"0",(INDEX(GMWQ!$A$2:$LR$60,MATCH(1,(GMWQ!$LQ$2:$LQ$60=L$3)*(GMWQ!$LP$2:$LP$60=L$4)*(GMWQ!$LR$2:$LR$60=L$1),0),$B6-1965)))</f>
        <v>202304</v>
      </c>
      <c r="M6" s="9" t="str" cm="1">
        <f t="array" ref="M6">_xlfn.CONCAT(INDEX(GMWQ!$A$2:$LR$60,MATCH(1,(GMWQ!$LQ$2:$LQ$60=M$3)*(GMWQ!$LP$2:$LP$60=M$4)*(GMWQ!$LR$2:$LR$60=M$1),0),$B6-1966),"0",(INDEX(GMWQ!$A$2:$LR$60,MATCH(1,(GMWQ!$LQ$2:$LQ$60=M$3)*(GMWQ!$LP$2:$LP$60=M$4)*(GMWQ!$LR$2:$LR$60=M$1),0),$B6-1965)))</f>
        <v>202304</v>
      </c>
      <c r="N6" s="9" t="str" cm="1">
        <f t="array" ref="N6">_xlfn.CONCAT(INDEX(GMWQ!$A$2:$LR$60,MATCH(1,(GMWQ!$LQ$2:$LQ$60=N$3)*(GMWQ!$LP$2:$LP$60=N$4)*(GMWQ!$LR$2:$LR$60=N$1),0),$B6-1966),"0",(INDEX(GMWQ!$A$2:$LR$60,MATCH(1,(GMWQ!$LQ$2:$LQ$60=N$3)*(GMWQ!$LP$2:$LP$60=N$4)*(GMWQ!$LR$2:$LR$60=N$1),0),$B6-1965)))</f>
        <v>202303</v>
      </c>
      <c r="O6" s="9" t="str" cm="1">
        <f t="array" ref="O6">_xlfn.CONCAT(INDEX(GMWQ!$A$2:$LR$60,MATCH(1,(GMWQ!$LQ$2:$LQ$60=O$3)*(GMWQ!$LP$2:$LP$60=O$4)*(GMWQ!$LR$2:$LR$60=O$1),0),$B6-1966),"0",(INDEX(GMWQ!$A$2:$LR$60,MATCH(1,(GMWQ!$LQ$2:$LQ$60=O$3)*(GMWQ!$LP$2:$LP$60=O$4)*(GMWQ!$LR$2:$LR$60=O$1),0),$B6-1965)))</f>
        <v>202303</v>
      </c>
      <c r="P6" s="9" t="str" cm="1">
        <f t="array" ref="P6">_xlfn.CONCAT(INDEX(GMWQ!$A$2:$LR$60,MATCH(1,(GMWQ!$LQ$2:$LQ$60=P$3)*(GMWQ!$LP$2:$LP$60=P$4)*(GMWQ!$LR$2:$LR$60=P$1),0),$B6-1966),"0",(INDEX(GMWQ!$A$2:$LR$60,MATCH(1,(GMWQ!$LQ$2:$LQ$60=P$3)*(GMWQ!$LP$2:$LP$60=P$4)*(GMWQ!$LR$2:$LR$60=P$1),0),$B6-1965)))</f>
        <v>202303</v>
      </c>
      <c r="Q6" s="9" t="str" cm="1">
        <f t="array" ref="Q6">_xlfn.CONCAT(INDEX(GMWQ!$A$2:$LR$60,MATCH(1,(GMWQ!$LQ$2:$LQ$60=Q$3)*(GMWQ!$LP$2:$LP$60=Q$4)*(GMWQ!$LR$2:$LR$60=Q$1),0),$B6-1966),"0",(INDEX(GMWQ!$A$2:$LR$60,MATCH(1,(GMWQ!$LQ$2:$LQ$60=Q$3)*(GMWQ!$LP$2:$LP$60=Q$4)*(GMWQ!$LR$2:$LR$60=Q$1),0),$B6-1965)))</f>
        <v>202304</v>
      </c>
      <c r="R6" s="9" t="str" cm="1">
        <f t="array" ref="R6">_xlfn.CONCAT(INDEX(GMWQ!$A$2:$LR$60,MATCH(1,(GMWQ!$LQ$2:$LQ$60=R$3)*(GMWQ!$LP$2:$LP$60=R$4)*(GMWQ!$LR$2:$LR$60=R$1),0),$B6-1966),"0",(INDEX(GMWQ!$A$2:$LR$60,MATCH(1,(GMWQ!$LQ$2:$LQ$60=R$3)*(GMWQ!$LP$2:$LP$60=R$4)*(GMWQ!$LR$2:$LR$60=R$1),0),$B6-1965)))</f>
        <v>202304</v>
      </c>
      <c r="S6" s="9" t="str" cm="1">
        <f t="array" ref="S6">_xlfn.CONCAT(INDEX(GMWQ!$A$2:$LR$60,MATCH(1,(GMWQ!$LQ$2:$LQ$60=S$3)*(GMWQ!$LP$2:$LP$60=S$4)*(GMWQ!$LR$2:$LR$60=S$1),0),$B6-1966),"0",(INDEX(GMWQ!$A$2:$LR$60,MATCH(1,(GMWQ!$LQ$2:$LQ$60=S$3)*(GMWQ!$LP$2:$LP$60=S$4)*(GMWQ!$LR$2:$LR$60=S$1),0),$B6-1965)))</f>
        <v>202304</v>
      </c>
      <c r="T6" s="9" t="str" cm="1">
        <f t="array" ref="T6">_xlfn.CONCAT(INDEX(GMWQ!$A$2:$LR$60,MATCH(1,(GMWQ!$LQ$2:$LQ$60=T$3)*(GMWQ!$LP$2:$LP$60=T$4)*(GMWQ!$LR$2:$LR$60=T$1),0),$B6-1966),"0",(INDEX(GMWQ!$A$2:$LR$60,MATCH(1,(GMWQ!$LQ$2:$LQ$60=T$3)*(GMWQ!$LP$2:$LP$60=T$4)*(GMWQ!$LR$2:$LR$60=T$1),0),$B6-1965)))</f>
        <v>202304</v>
      </c>
      <c r="U6" s="9" t="str" cm="1">
        <f t="array" ref="U6">_xlfn.CONCAT(INDEX(GMWQ!$A$2:$LR$60,MATCH(1,(GMWQ!$LQ$2:$LQ$60=U$3)*(GMWQ!$LP$2:$LP$60=U$4)*(GMWQ!$LR$2:$LR$60=U$1),0),$B6-1966),"0",(INDEX(GMWQ!$A$2:$LR$60,MATCH(1,(GMWQ!$LQ$2:$LQ$60=U$3)*(GMWQ!$LP$2:$LP$60=U$4)*(GMWQ!$LR$2:$LR$60=U$1),0),$B6-1965)))</f>
        <v>202304</v>
      </c>
      <c r="V6" s="9" t="str" cm="1">
        <f t="array" ref="V6">_xlfn.CONCAT(INDEX(GMWQ!$A$2:$LR$60,MATCH(1,(GMWQ!$LQ$2:$LQ$60=V$3)*(GMWQ!$LP$2:$LP$60=V$4)*(GMWQ!$LR$2:$LR$60=V$1),0),$B6-1966),"0",(INDEX(GMWQ!$A$2:$LR$60,MATCH(1,(GMWQ!$LQ$2:$LQ$60=V$3)*(GMWQ!$LP$2:$LP$60=V$4)*(GMWQ!$LR$2:$LR$60=V$1),0),$B6-1965)))</f>
        <v>202304</v>
      </c>
      <c r="W6" s="9" t="str" cm="1">
        <f t="array" ref="W6">_xlfn.CONCAT(INDEX(GMWQ!$A$2:$LR$60,MATCH(1,(GMWQ!$LQ$2:$LQ$60=W$3)*(GMWQ!$LP$2:$LP$60=W$4)*(GMWQ!$LR$2:$LR$60=W$1),0),$B6-1966),"0",(INDEX(GMWQ!$A$2:$LR$60,MATCH(1,(GMWQ!$LQ$2:$LQ$60=W$3)*(GMWQ!$LP$2:$LP$60=W$4)*(GMWQ!$LR$2:$LR$60=W$1),0),$B6-1965)))</f>
        <v>202303</v>
      </c>
      <c r="X6" s="9" t="str" cm="1">
        <f t="array" ref="X6">_xlfn.CONCAT(INDEX(GMWQ!$A$2:$LR$60,MATCH(1,(GMWQ!$LQ$2:$LQ$60=X$3)*(GMWQ!$LP$2:$LP$60=X$4)*(GMWQ!$LR$2:$LR$60=X$1),0),$B6-1966),"0",(INDEX(GMWQ!$A$2:$LR$60,MATCH(1,(GMWQ!$LQ$2:$LQ$60=X$3)*(GMWQ!$LP$2:$LP$60=X$4)*(GMWQ!$LR$2:$LR$60=X$1),0),$B6-1965)))</f>
        <v>202304</v>
      </c>
      <c r="Y6" s="9" t="str" cm="1">
        <f t="array" ref="Y6">_xlfn.CONCAT(INDEX(GMWQ!$A$2:$LR$60,MATCH(1,(GMWQ!$LQ$2:$LQ$60=Y$3)*(GMWQ!$LP$2:$LP$60=Y$4)*(GMWQ!$LR$2:$LR$60=Y$1),0),$B6-1966),"0",(INDEX(GMWQ!$A$2:$LR$60,MATCH(1,(GMWQ!$LQ$2:$LQ$60=Y$3)*(GMWQ!$LP$2:$LP$60=Y$4)*(GMWQ!$LR$2:$LR$60=Y$1),0),$B6-1965)))</f>
        <v>202304</v>
      </c>
      <c r="Z6" s="9" t="str" cm="1">
        <f t="array" ref="Z6">_xlfn.CONCAT(INDEX(GMWQ!$A$2:$LR$60,MATCH(1,(GMWQ!$LQ$2:$LQ$60=Z$3)*(GMWQ!$LP$2:$LP$60=Z$4)*(GMWQ!$LR$2:$LR$60=Z$1),0),$B6-1966),"0",(INDEX(GMWQ!$A$2:$LR$60,MATCH(1,(GMWQ!$LQ$2:$LQ$60=Z$3)*(GMWQ!$LP$2:$LP$60=Z$4)*(GMWQ!$LR$2:$LR$60=Z$1),0),$B6-1965)))</f>
        <v>202102</v>
      </c>
      <c r="AA6" s="9" t="str" cm="1">
        <f t="array" ref="AA6">_xlfn.CONCAT(INDEX(GMWQ!$A$2:$LR$60,MATCH(1,(GMWQ!$LQ$2:$LQ$60=AA$3)*(GMWQ!$LP$2:$LP$60=AA$4)*(GMWQ!$LR$2:$LR$60=AA$1),0),$B6-1966),"0",(INDEX(GMWQ!$A$2:$LR$60,MATCH(1,(GMWQ!$LQ$2:$LQ$60=AA$3)*(GMWQ!$LP$2:$LP$60=AA$4)*(GMWQ!$LR$2:$LR$60=AA$1),0),$B6-1965)))</f>
        <v>202304</v>
      </c>
      <c r="AB6" s="9" t="str" cm="1">
        <f t="array" ref="AB6">_xlfn.CONCAT(INDEX(GMWQ!$A$2:$LR$60,MATCH(1,(GMWQ!$LQ$2:$LQ$60=AB$3)*(GMWQ!$LP$2:$LP$60=AB$4)*(GMWQ!$LR$2:$LR$60=AB$1),0),$B6-1966),"0",(INDEX(GMWQ!$A$2:$LR$60,MATCH(1,(GMWQ!$LQ$2:$LQ$60=AB$3)*(GMWQ!$LP$2:$LP$60=AB$4)*(GMWQ!$LR$2:$LR$60=AB$1),0),$B6-1965)))</f>
        <v>202304</v>
      </c>
      <c r="AC6" s="9" t="str" cm="1">
        <f t="array" ref="AC6">_xlfn.CONCAT(INDEX(GMWQ!$A$2:$LR$60,MATCH(1,(GMWQ!$LQ$2:$LQ$60=AC$3)*(GMWQ!$LP$2:$LP$60=AC$4)*(GMWQ!$LR$2:$LR$60=AC$1),0),$B6-1966),"0",(INDEX(GMWQ!$A$2:$LR$60,MATCH(1,(GMWQ!$LQ$2:$LQ$60=AC$3)*(GMWQ!$LP$2:$LP$60=AC$4)*(GMWQ!$LR$2:$LR$60=AC$1),0),$B6-1965)))</f>
        <v>202304</v>
      </c>
      <c r="AD6" s="9" t="str" cm="1">
        <f t="array" ref="AD6">_xlfn.CONCAT(INDEX(GMWQ!$A$2:$LR$60,MATCH(1,(GMWQ!$LQ$2:$LQ$60=AD$3)*(GMWQ!$LP$2:$LP$60=AD$4)*(GMWQ!$LR$2:$LR$60=AD$1),0),$B6-1966),"0",(INDEX(GMWQ!$A$2:$LR$60,MATCH(1,(GMWQ!$LQ$2:$LQ$60=AD$3)*(GMWQ!$LP$2:$LP$60=AD$4)*(GMWQ!$LR$2:$LR$60=AD$1),0),$B6-1965)))</f>
        <v>202304</v>
      </c>
      <c r="AE6" s="9" t="str" cm="1">
        <f t="array" ref="AE6">_xlfn.CONCAT(INDEX(GMWQ!$A$2:$LR$60,MATCH(1,(GMWQ!$LQ$2:$LQ$60=AE$3)*(GMWQ!$LP$2:$LP$60=AE$4)*(GMWQ!$LR$2:$LR$60=AE$1),0),$B6-1966),"0",(INDEX(GMWQ!$A$2:$LR$60,MATCH(1,(GMWQ!$LQ$2:$LQ$60=AE$3)*(GMWQ!$LP$2:$LP$60=AE$4)*(GMWQ!$LR$2:$LR$60=AE$1),0),$B6-1965)))</f>
        <v>202304</v>
      </c>
      <c r="AF6" s="9" t="str" cm="1">
        <f t="array" ref="AF6">_xlfn.CONCAT(INDEX(GMWQ!$A$2:$LR$60,MATCH(1,(GMWQ!$LQ$2:$LQ$60=AF$3)*(GMWQ!$LP$2:$LP$60=AF$4)*(GMWQ!$LR$2:$LR$60=AF$1),0),$B6-1966),"0",(INDEX(GMWQ!$A$2:$LR$60,MATCH(1,(GMWQ!$LQ$2:$LQ$60=AF$3)*(GMWQ!$LP$2:$LP$60=AF$4)*(GMWQ!$LR$2:$LR$60=AF$1),0),$B6-1965)))</f>
        <v>202304</v>
      </c>
      <c r="AG6" s="9" t="str" cm="1">
        <f t="array" ref="AG6">_xlfn.CONCAT(INDEX(GMWQ!$A$2:$LR$60,MATCH(1,(GMWQ!$LQ$2:$LQ$60=AG$3)*(GMWQ!$LP$2:$LP$60=AG$4)*(GMWQ!$LR$2:$LR$60=AG$1),0),$B6-1966),"0",(INDEX(GMWQ!$A$2:$LR$60,MATCH(1,(GMWQ!$LQ$2:$LQ$60=AG$3)*(GMWQ!$LP$2:$LP$60=AG$4)*(GMWQ!$LR$2:$LR$60=AG$1),0),$B6-1965)))</f>
        <v>202303</v>
      </c>
      <c r="AI6" s="9" t="str" cm="1">
        <f t="array" ref="AI6">_xlfn.CONCAT(INDEX(GMWQ!$A$2:$LR$60,MATCH(1,(GMWQ!$LQ$2:$LQ$60=AI$3)*(GMWQ!$LP$2:$LP$60=AI$4)*(GMWQ!$LR$2:$LR$60=AI$1),0),$B6-1966),"0",(INDEX(GMWQ!$A$2:$LR$60,MATCH(1,(GMWQ!$LQ$2:$LQ$60=AI$3)*(GMWQ!$LP$2:$LP$60=AI$4)*(GMWQ!$LR$2:$LR$60=AI$1),0),$B6-1965)))</f>
        <v>202303</v>
      </c>
      <c r="AJ6" s="9" t="str" cm="1">
        <f t="array" ref="AJ6">_xlfn.CONCAT(INDEX(GMWQ!$A$2:$LR$60,MATCH(1,(GMWQ!$LQ$2:$LQ$60=AJ$3)*(GMWQ!$LP$2:$LP$60=AJ$4)*(GMWQ!$LR$2:$LR$60=AJ$1),0),$B6-1966),"0",(INDEX(GMWQ!$A$2:$LR$60,MATCH(1,(GMWQ!$LQ$2:$LQ$60=AJ$3)*(GMWQ!$LP$2:$LP$60=AJ$4)*(GMWQ!$LR$2:$LR$60=AJ$1),0),$B6-1965)))</f>
        <v>202304</v>
      </c>
      <c r="AK6" s="9" t="str" cm="1">
        <f t="array" ref="AK6">_xlfn.CONCAT(INDEX(GMWQ!$A$2:$LR$60,MATCH(1,(GMWQ!$LQ$2:$LQ$60=AK$3)*(GMWQ!$LP$2:$LP$60=AK$4)*(GMWQ!$LR$2:$LR$60=AK$1),0),$B6-1966),"0",(INDEX(GMWQ!$A$2:$LR$60,MATCH(1,(GMWQ!$LQ$2:$LQ$60=AK$3)*(GMWQ!$LP$2:$LP$60=AK$4)*(GMWQ!$LR$2:$LR$60=AK$1),0),$B6-1965)))</f>
        <v>202303</v>
      </c>
      <c r="AL6" s="9" t="str" cm="1">
        <f t="array" ref="AL6">_xlfn.CONCAT(INDEX(GMWQ!$A$2:$LR$60,MATCH(1,(GMWQ!$LQ$2:$LQ$60=AL$3)*(GMWQ!$LP$2:$LP$60=AL$4)*(GMWQ!$LR$2:$LR$60=AL$1),0),$B6-1966),"0",(INDEX(GMWQ!$A$2:$LR$60,MATCH(1,(GMWQ!$LQ$2:$LQ$60=AL$3)*(GMWQ!$LP$2:$LP$60=AL$4)*(GMWQ!$LR$2:$LR$60=AL$1),0),$B6-1965)))</f>
        <v>202303</v>
      </c>
      <c r="AM6" s="9" t="str" cm="1">
        <f t="array" ref="AM6">_xlfn.CONCAT(INDEX(GMWQ!$A$2:$LR$60,MATCH(1,(GMWQ!$LQ$2:$LQ$60=AM$3)*(GMWQ!$LP$2:$LP$60=AM$4)*(GMWQ!$LR$2:$LR$60=AM$1),0),$B6-1966),"0",(INDEX(GMWQ!$A$2:$LR$60,MATCH(1,(GMWQ!$LQ$2:$LQ$60=AM$3)*(GMWQ!$LP$2:$LP$60=AM$4)*(GMWQ!$LR$2:$LR$60=AM$1),0),$B6-1965)))</f>
        <v>202304</v>
      </c>
      <c r="AN6" s="9" t="str" cm="1">
        <f t="array" ref="AN6">_xlfn.CONCAT(INDEX(GMWQ!$A$2:$LR$60,MATCH(1,(GMWQ!$LQ$2:$LQ$60=AN$3)*(GMWQ!$LP$2:$LP$60=AN$4)*(GMWQ!$LR$2:$LR$60=AN$1),0),$B6-1966),"0",(INDEX(GMWQ!$A$2:$LR$60,MATCH(1,(GMWQ!$LQ$2:$LQ$60=AN$3)*(GMWQ!$LP$2:$LP$60=AN$4)*(GMWQ!$LR$2:$LR$60=AN$1),0),$B6-1965)))</f>
        <v>202303</v>
      </c>
      <c r="AO6" s="9" t="str" cm="1">
        <f t="array" ref="AO6">_xlfn.CONCAT(INDEX(GMWQ!$A$2:$LR$60,MATCH(1,(GMWQ!$LQ$2:$LQ$60=AO$3)*(GMWQ!$LP$2:$LP$60=AO$4)*(GMWQ!$LR$2:$LR$60=AO$1),0),$B6-1966),"0",(INDEX(GMWQ!$A$2:$LR$60,MATCH(1,(GMWQ!$LQ$2:$LQ$60=AO$3)*(GMWQ!$LP$2:$LP$60=AO$4)*(GMWQ!$LR$2:$LR$60=AO$1),0),$B6-1965)))</f>
        <v>202303</v>
      </c>
      <c r="AP6" s="9" t="str" cm="1">
        <f t="array" ref="AP6">_xlfn.CONCAT(INDEX(GMWQ!$A$2:$LR$60,MATCH(1,(GMWQ!$LQ$2:$LQ$60=AP$3)*(GMWQ!$LP$2:$LP$60=AP$4)*(GMWQ!$LR$2:$LR$60=AP$1),0),$B6-1966),"0",(INDEX(GMWQ!$A$2:$LR$60,MATCH(1,(GMWQ!$LQ$2:$LQ$60=AP$3)*(GMWQ!$LP$2:$LP$60=AP$4)*(GMWQ!$LR$2:$LR$60=AP$1),0),$B6-1965)))</f>
        <v>202303</v>
      </c>
      <c r="AQ6" s="9" t="str" cm="1">
        <f t="array" ref="AQ6">_xlfn.CONCAT(INDEX(GMWQ!$A$2:$LR$60,MATCH(1,(GMWQ!$LQ$2:$LQ$60=AQ$3)*(GMWQ!$LP$2:$LP$60=AQ$4)*(GMWQ!$LR$2:$LR$60=AQ$1),0),$B6-1966),"0",(INDEX(GMWQ!$A$2:$LR$60,MATCH(1,(GMWQ!$LQ$2:$LQ$60=AQ$3)*(GMWQ!$LP$2:$LP$60=AQ$4)*(GMWQ!$LR$2:$LR$60=AQ$1),0),$B6-1965)))</f>
        <v>202303</v>
      </c>
      <c r="AR6" s="9" t="str" cm="1">
        <f t="array" ref="AR6">_xlfn.CONCAT(INDEX(GMWQ!$A$2:$LR$60,MATCH(1,(GMWQ!$LQ$2:$LQ$60=AR$3)*(GMWQ!$LP$2:$LP$60=AR$4)*(GMWQ!$LR$2:$LR$60=AR$1),0),$B6-1966),"0",(INDEX(GMWQ!$A$2:$LR$60,MATCH(1,(GMWQ!$LQ$2:$LQ$60=AR$3)*(GMWQ!$LP$2:$LP$60=AR$4)*(GMWQ!$LR$2:$LR$60=AR$1),0),$B6-1965)))</f>
        <v>202304</v>
      </c>
      <c r="AS6" s="9" t="str" cm="1">
        <f t="array" ref="AS6">_xlfn.CONCAT(INDEX(GMWQ!$A$2:$LR$60,MATCH(1,(GMWQ!$LQ$2:$LQ$60=AS$3)*(GMWQ!$LP$2:$LP$60=AS$4)*(GMWQ!$LR$2:$LR$60=AS$1),0),$B6-1966),"0",(INDEX(GMWQ!$A$2:$LR$60,MATCH(1,(GMWQ!$LQ$2:$LQ$60=AS$3)*(GMWQ!$LP$2:$LP$60=AS$4)*(GMWQ!$LR$2:$LR$60=AS$1),0),$B6-1965)))</f>
        <v>202304</v>
      </c>
      <c r="AT6" s="9" t="str" cm="1">
        <f t="array" ref="AT6">_xlfn.CONCAT(INDEX(GMWQ!$A$2:$LR$60,MATCH(1,(GMWQ!$LQ$2:$LQ$60=AT$3)*(GMWQ!$LP$2:$LP$60=AT$4)*(GMWQ!$LR$2:$LR$60=AT$1),0),$B6-1966),"0",(INDEX(GMWQ!$A$2:$LR$60,MATCH(1,(GMWQ!$LQ$2:$LQ$60=AT$3)*(GMWQ!$LP$2:$LP$60=AT$4)*(GMWQ!$LR$2:$LR$60=AT$1),0),$B6-1965)))</f>
        <v>202304</v>
      </c>
      <c r="AU6" s="9" t="str" cm="1">
        <f t="array" ref="AU6">_xlfn.CONCAT(INDEX(GMWQ!$A$2:$LR$60,MATCH(1,(GMWQ!$LQ$2:$LQ$60=AU$3)*(GMWQ!$LP$2:$LP$60=AU$4)*(GMWQ!$LR$2:$LR$60=AU$1),0),$B6-1966),"0",(INDEX(GMWQ!$A$2:$LR$60,MATCH(1,(GMWQ!$LQ$2:$LQ$60=AU$3)*(GMWQ!$LP$2:$LP$60=AU$4)*(GMWQ!$LR$2:$LR$60=AU$1),0),$B6-1965)))</f>
        <v>202304</v>
      </c>
    </row>
    <row r="7" spans="1:47" x14ac:dyDescent="0.35">
      <c r="A7" s="7">
        <v>1973</v>
      </c>
      <c r="B7" s="7">
        <v>1973</v>
      </c>
      <c r="C7" s="7" cm="1">
        <f t="array" ref="C7">INDEX(GMWQ!$A$2:$LR$60,MATCH(1,(GMWQ!$LQ$2:$LQ$60=C$3)*(GMWQ!$LP$2:$LP$60=C$4)*(GMWQ!$LR$2:$LR$60=C$1),0),$B7-1966)</f>
        <v>223780</v>
      </c>
      <c r="D7" s="7" cm="1">
        <f t="array" ref="D7">INDEX(GMWQ!$A$2:$LR$60,MATCH(1,(GMWQ!$LQ$2:$LQ$60=D$3)*(GMWQ!$LP$2:$LP$60=D$4)*(GMWQ!$LR$2:$LR$60=D$1),0),$B7-1966)</f>
        <v>14.851150000000001</v>
      </c>
      <c r="E7" s="7" cm="1">
        <f t="array" ref="E7">INDEX(GMWQ!$A$2:$LR$60,MATCH(1,(GMWQ!$LQ$2:$LQ$60=E$3)*(GMWQ!$LP$2:$LP$60=E$4)*(GMWQ!$LR$2:$LR$60=E$1),0),$B7-1966)</f>
        <v>11.88749</v>
      </c>
      <c r="F7" s="7" cm="1">
        <f t="array" ref="F7">INDEX(GMWQ!$A$2:$LR$60,MATCH(1,(GMWQ!$LQ$2:$LQ$60=F$3)*(GMWQ!$LP$2:$LP$60=F$4)*(GMWQ!$LR$2:$LR$60=F$1),0),$B7-1966)</f>
        <v>9375</v>
      </c>
      <c r="G7" s="7" cm="1">
        <f t="array" ref="G7">INDEX(GMWQ!$A$2:$LR$60,MATCH(1,(GMWQ!$LQ$2:$LQ$60=G$3)*(GMWQ!$LP$2:$LP$60=G$4)*(GMWQ!$LR$2:$LR$60=G$1),0),$B7-1966)</f>
        <v>1814.9380000000001</v>
      </c>
      <c r="H7" s="7" cm="1">
        <f t="array" ref="H7">INDEX(GMWQ!$A$2:$LR$60,MATCH(1,(GMWQ!$LQ$2:$LQ$60=H$3)*(GMWQ!$LP$2:$LP$60=H$4)*(GMWQ!$LR$2:$LR$60=H$1),0),$B7-1966)</f>
        <v>481.46879999999999</v>
      </c>
      <c r="I7" s="7" cm="1">
        <f t="array" ref="I7">INDEX(GMWQ!$A$2:$LR$60,MATCH(1,(GMWQ!$LQ$2:$LQ$60=I$3)*(GMWQ!$LP$2:$LP$60=I$4)*(GMWQ!$LR$2:$LR$60=I$1),0),$B7-1966)</f>
        <v>10.263450000000001</v>
      </c>
      <c r="J7" s="7" cm="1">
        <f t="array" ref="J7">INDEX(GMWQ!$A$2:$LR$60,MATCH(1,(GMWQ!$LQ$2:$LQ$60=J$3)*(GMWQ!$LP$2:$LP$60=J$4)*(GMWQ!$LR$2:$LR$60=J$1),0),$B7-1966)</f>
        <v>22166.19</v>
      </c>
      <c r="K7" s="7" cm="1">
        <f t="array" ref="K7">INDEX(GMWQ!$A$2:$LR$60,MATCH(1,(GMWQ!$LQ$2:$LQ$60=K$3)*(GMWQ!$LP$2:$LP$60=K$4)*(GMWQ!$LR$2:$LR$60=K$1),0),$B7-1966)</f>
        <v>8.5</v>
      </c>
      <c r="L7" s="7" cm="1">
        <f t="array" ref="L7">INDEX(GMWQ!$A$2:$LR$60,MATCH(1,(GMWQ!$LQ$2:$LQ$60=L$3)*(GMWQ!$LP$2:$LP$60=L$4)*(GMWQ!$LR$2:$LR$60=L$1),0),$B7-1966)</f>
        <v>3.9</v>
      </c>
      <c r="M7" s="7" cm="1">
        <f t="array" ref="M7">INDEX(GMWQ!$A$2:$LR$60,MATCH(1,(GMWQ!$LQ$2:$LQ$60=M$3)*(GMWQ!$LP$2:$LP$60=M$4)*(GMWQ!$LR$2:$LR$60=M$1),0),$B7-1966)</f>
        <v>4.0956760000000001</v>
      </c>
      <c r="N7" s="7" cm="1">
        <f t="array" ref="N7">INDEX(GMWQ!$A$2:$LR$60,MATCH(1,(GMWQ!$LQ$2:$LQ$60=N$3)*(GMWQ!$LP$2:$LP$60=N$4)*(GMWQ!$LR$2:$LR$60=N$1),0),$B7-1966)</f>
        <v>1E-3</v>
      </c>
      <c r="O7" s="7" cm="1">
        <f t="array" ref="O7">INDEX(GMWQ!$A$2:$LR$60,MATCH(1,(GMWQ!$LQ$2:$LQ$60=O$3)*(GMWQ!$LP$2:$LP$60=O$4)*(GMWQ!$LR$2:$LR$60=O$1),0),$B7-1966)</f>
        <v>1E-3</v>
      </c>
      <c r="P7" s="7" cm="1">
        <f t="array" ref="P7">INDEX(GMWQ!$A$2:$LR$60,MATCH(1,(GMWQ!$LQ$2:$LQ$60=P$3)*(GMWQ!$LP$2:$LP$60=P$4)*(GMWQ!$LR$2:$LR$60=P$1),0),$B7-1966)</f>
        <v>12419</v>
      </c>
      <c r="Q7" s="7" cm="1">
        <f t="array" ref="Q7">INDEX(GMWQ!$A$2:$LR$60,MATCH(1,(GMWQ!$LQ$2:$LQ$60=Q$3)*(GMWQ!$LP$2:$LP$60=Q$4)*(GMWQ!$LR$2:$LR$60=Q$1),0),$B7-1966)</f>
        <v>8.5</v>
      </c>
      <c r="R7" s="7" cm="1">
        <f t="array" ref="R7">INDEX(GMWQ!$A$2:$LR$60,MATCH(1,(GMWQ!$LQ$2:$LQ$60=R$3)*(GMWQ!$LP$2:$LP$60=R$4)*(GMWQ!$LR$2:$LR$60=R$1),0),$B7-1966)</f>
        <v>1E-3</v>
      </c>
      <c r="S7" s="7" cm="1">
        <f t="array" ref="S7">INDEX(GMWQ!$A$2:$LR$60,MATCH(1,(GMWQ!$LQ$2:$LQ$60=S$3)*(GMWQ!$LP$2:$LP$60=S$4)*(GMWQ!$LR$2:$LR$60=S$1),0),$B7-1966)</f>
        <v>1</v>
      </c>
      <c r="T7" s="7" cm="1">
        <f t="array" ref="T7">INDEX(GMWQ!$A$2:$LR$60,MATCH(1,(GMWQ!$LQ$2:$LQ$60=T$3)*(GMWQ!$LP$2:$LP$60=T$4)*(GMWQ!$LR$2:$LR$60=T$1),0),$B7-1966)</f>
        <v>1E-3</v>
      </c>
      <c r="U7" s="7" cm="1">
        <f t="array" ref="U7">INDEX(GMWQ!$A$2:$LR$60,MATCH(1,(GMWQ!$LQ$2:$LQ$60=U$3)*(GMWQ!$LP$2:$LP$60=U$4)*(GMWQ!$LR$2:$LR$60=U$1),0),$B7-1966)</f>
        <v>0</v>
      </c>
      <c r="V7" s="7" cm="1">
        <f t="array" ref="V7">INDEX(GMWQ!$A$2:$LR$60,MATCH(1,(GMWQ!$LQ$2:$LQ$60=V$3)*(GMWQ!$LP$2:$LP$60=V$4)*(GMWQ!$LR$2:$LR$60=V$1),0),$B7-1966)</f>
        <v>1E-3</v>
      </c>
      <c r="W7" s="7" cm="1">
        <f t="array" ref="W7">INDEX(GMWQ!$A$2:$LR$60,MATCH(1,(GMWQ!$LQ$2:$LQ$60=W$3)*(GMWQ!$LP$2:$LP$60=W$4)*(GMWQ!$LR$2:$LR$60=W$1),0),$B7-1966)</f>
        <v>6.1169979999999997</v>
      </c>
      <c r="X7" s="7" cm="1">
        <f t="array" ref="X7">INDEX(GMWQ!$A$2:$LR$60,MATCH(1,(GMWQ!$LQ$2:$LQ$60=X$3)*(GMWQ!$LP$2:$LP$60=X$4)*(GMWQ!$LR$2:$LR$60=X$1),0),$B7-1966)</f>
        <v>633012.6</v>
      </c>
      <c r="Y7" s="7" cm="1">
        <f t="array" ref="Y7">INDEX(GMWQ!$A$2:$LR$60,MATCH(1,(GMWQ!$LQ$2:$LQ$60=Y$3)*(GMWQ!$LP$2:$LP$60=Y$4)*(GMWQ!$LR$2:$LR$60=Y$1),0),$B7-1966)</f>
        <v>8.9579050000000002</v>
      </c>
      <c r="Z7" s="7" cm="1">
        <f t="array" ref="Z7">INDEX(GMWQ!$A$2:$LR$60,MATCH(1,(GMWQ!$LQ$2:$LQ$60=Z$3)*(GMWQ!$LP$2:$LP$60=Z$4)*(GMWQ!$LR$2:$LR$60=Z$1),0),$B7-1966)</f>
        <v>223780</v>
      </c>
      <c r="AA7" s="7" cm="1">
        <f t="array" ref="AA7">INDEX(GMWQ!$A$2:$LR$60,MATCH(1,(GMWQ!$LQ$2:$LQ$60=AA$3)*(GMWQ!$LP$2:$LP$60=AA$4)*(GMWQ!$LR$2:$LR$60=AA$1),0),$B7-1966)</f>
        <v>7751</v>
      </c>
      <c r="AB7" s="7" cm="1">
        <f t="array" ref="AB7">INDEX(GMWQ!$A$2:$LR$60,MATCH(1,(GMWQ!$LQ$2:$LQ$60=AB$3)*(GMWQ!$LP$2:$LP$60=AB$4)*(GMWQ!$LR$2:$LR$60=AB$1),0),$B7-1966)</f>
        <v>5903</v>
      </c>
      <c r="AC7" s="7" cm="1">
        <f t="array" ref="AC7">INDEX(GMWQ!$A$2:$LR$60,MATCH(1,(GMWQ!$LQ$2:$LQ$60=AC$3)*(GMWQ!$LP$2:$LP$60=AC$4)*(GMWQ!$LR$2:$LR$60=AC$1),0),$B7-1966)</f>
        <v>1266</v>
      </c>
      <c r="AD7" s="7" cm="1">
        <f t="array" ref="AD7">INDEX(GMWQ!$A$2:$LR$60,MATCH(1,(GMWQ!$LQ$2:$LQ$60=AD$3)*(GMWQ!$LP$2:$LP$60=AD$4)*(GMWQ!$LR$2:$LR$60=AD$1),0),$B7-1966)</f>
        <v>727</v>
      </c>
      <c r="AE7" s="7" cm="1">
        <f t="array" ref="AE7">INDEX(GMWQ!$A$2:$LR$60,MATCH(1,(GMWQ!$LQ$2:$LQ$60=AE$3)*(GMWQ!$LP$2:$LP$60=AE$4)*(GMWQ!$LR$2:$LR$60=AE$1),0),$B7-1966)</f>
        <v>20046</v>
      </c>
      <c r="AF7" s="20" cm="1">
        <f t="array" ref="AF7">INDEX(GMWQ!$A$2:$LR$60,MATCH(1,(GMWQ!$LQ$2:$LQ$60=AF$3)*(GMWQ!$LP$2:$LP$60=AF$4)*(GMWQ!$LR$2:$LR$60=AF$1),0),$B7-1966)</f>
        <v>8.7884620000000009</v>
      </c>
      <c r="AG7" s="20" cm="1">
        <f t="array" ref="AG7">INDEX(GMWQ!$A$2:$LR$60,MATCH(1,(GMWQ!$LQ$2:$LQ$60=AG$3)*(GMWQ!$LP$2:$LP$60=AG$4)*(GMWQ!$LR$2:$LR$60=AG$1),0),$B7-1966)</f>
        <v>-77.030709999999999</v>
      </c>
      <c r="AI7" s="23" cm="1">
        <f t="array" ref="AI7">INDEX(GMWQ!$A$2:$LR$60,MATCH(1,(GMWQ!$LQ$2:$LQ$60=AI$3)*(GMWQ!$LP$2:$LP$60=AI$4)*(GMWQ!$LR$2:$LR$60=AI$1),0),$B7-1966)</f>
        <v>12419</v>
      </c>
      <c r="AJ7" s="23" cm="1">
        <f t="array" ref="AJ7">INDEX(GMWQ!$A$2:$LR$60,MATCH(1,(GMWQ!$LQ$2:$LQ$60=AJ$3)*(GMWQ!$LP$2:$LP$60=AJ$4)*(GMWQ!$LR$2:$LR$60=AJ$1),0),$B7-1966)</f>
        <v>10.263450000000001</v>
      </c>
      <c r="AK7" s="23" cm="1">
        <f t="array" ref="AK7">INDEX(GMWQ!$A$2:$LR$60,MATCH(1,(GMWQ!$LQ$2:$LQ$60=AK$3)*(GMWQ!$LP$2:$LP$60=AK$4)*(GMWQ!$LR$2:$LR$60=AK$1),0),$B7-1966)</f>
        <v>9375</v>
      </c>
      <c r="AL7" s="23" cm="1">
        <f t="array" ref="AL7">INDEX(GMWQ!$A$2:$LR$60,MATCH(1,(GMWQ!$LQ$2:$LQ$60=AL$3)*(GMWQ!$LP$2:$LP$60=AL$4)*(GMWQ!$LR$2:$LR$60=AL$1),0),$B7-1966)</f>
        <v>422.94130000000001</v>
      </c>
      <c r="AM7" s="23" cm="1">
        <f t="array" ref="AM7">INDEX(GMWQ!$A$2:$LR$60,MATCH(1,(GMWQ!$LQ$2:$LQ$60=AM$3)*(GMWQ!$LP$2:$LP$60=AM$4)*(GMWQ!$LR$2:$LR$60=AM$1),0),$B7-1966)</f>
        <v>22166.19</v>
      </c>
      <c r="AN7" s="23" cm="1">
        <f t="array" ref="AN7">INDEX(GMWQ!$A$2:$LR$60,MATCH(1,(GMWQ!$LQ$2:$LQ$60=AN$3)*(GMWQ!$LP$2:$LP$60=AN$4)*(GMWQ!$LR$2:$LR$60=AN$1),0),$B7-1966)</f>
        <v>1814.9380000000001</v>
      </c>
      <c r="AO7" s="23" cm="1">
        <f t="array" ref="AO7">INDEX(GMWQ!$A$2:$LR$60,MATCH(1,(GMWQ!$LQ$2:$LQ$60=AO$3)*(GMWQ!$LP$2:$LP$60=AO$4)*(GMWQ!$LR$2:$LR$60=AO$1),0),$B7-1966)</f>
        <v>481.46879999999999</v>
      </c>
      <c r="AP7" s="23" cm="1">
        <f t="array" ref="AP7">INDEX(GMWQ!$A$2:$LR$60,MATCH(1,(GMWQ!$LQ$2:$LQ$60=AP$3)*(GMWQ!$LP$2:$LP$60=AP$4)*(GMWQ!$LR$2:$LR$60=AP$1),0),$B7-1966)</f>
        <v>-77.030709999999999</v>
      </c>
      <c r="AQ7" s="23" cm="1">
        <f t="array" ref="AQ7">INDEX(GMWQ!$A$2:$LR$60,MATCH(1,(GMWQ!$LQ$2:$LQ$60=AQ$3)*(GMWQ!$LP$2:$LP$60=AQ$4)*(GMWQ!$LR$2:$LR$60=AQ$1),0),$B7-1966)</f>
        <v>1548.268</v>
      </c>
      <c r="AR7" s="23" cm="1">
        <f t="array" ref="AR7">INDEX(GMWQ!$A$2:$LR$60,MATCH(1,(GMWQ!$LQ$2:$LQ$60=AR$3)*(GMWQ!$LP$2:$LP$60=AR$4)*(GMWQ!$LR$2:$LR$60=AR$1),0),$B7-1966)</f>
        <v>11890</v>
      </c>
      <c r="AS7" s="23" cm="1">
        <f t="array" ref="AS7">INDEX(GMWQ!$A$2:$LR$60,MATCH(1,(GMWQ!$LQ$2:$LQ$60=AS$3)*(GMWQ!$LP$2:$LP$60=AS$4)*(GMWQ!$LR$2:$LR$60=AS$1),0),$B7-1966)</f>
        <v>171</v>
      </c>
      <c r="AT7" s="23" cm="1">
        <f t="array" ref="AT7">INDEX(GMWQ!$A$2:$LR$60,MATCH(1,(GMWQ!$LQ$2:$LQ$60=AT$3)*(GMWQ!$LP$2:$LP$60=AT$4)*(GMWQ!$LR$2:$LR$60=AT$1),0),$B7-1966)</f>
        <v>115848</v>
      </c>
      <c r="AU7" s="23" cm="1">
        <f t="array" ref="AU7">INDEX(GMWQ!$A$2:$LR$60,MATCH(1,(GMWQ!$LQ$2:$LQ$60=AU$3)*(GMWQ!$LP$2:$LP$60=AU$4)*(GMWQ!$LR$2:$LR$60=AU$1),0),$B7-1966)</f>
        <v>3611</v>
      </c>
    </row>
    <row r="8" spans="1:47" x14ac:dyDescent="0.35">
      <c r="B8" s="7">
        <f>+B7+1</f>
        <v>1974</v>
      </c>
      <c r="C8" s="7" cm="1">
        <f t="array" ref="C8">INDEX(GMWQ!$A$2:$LR$60,MATCH(1,(GMWQ!$LQ$2:$LQ$60=C$3)*(GMWQ!$LP$2:$LP$60=C$4)*(GMWQ!$LR$2:$LR$60=C$1),0),$B8-1966)</f>
        <v>224213</v>
      </c>
      <c r="D8" s="7" cm="1">
        <f t="array" ref="D8">INDEX(GMWQ!$A$2:$LR$60,MATCH(1,(GMWQ!$LQ$2:$LQ$60=D$3)*(GMWQ!$LP$2:$LP$60=D$4)*(GMWQ!$LR$2:$LR$60=D$1),0),$B8-1966)</f>
        <v>15.597429999999999</v>
      </c>
      <c r="E8" s="7" cm="1">
        <f t="array" ref="E8">INDEX(GMWQ!$A$2:$LR$60,MATCH(1,(GMWQ!$LQ$2:$LQ$60=E$3)*(GMWQ!$LP$2:$LP$60=E$4)*(GMWQ!$LR$2:$LR$60=E$1),0),$B8-1966)</f>
        <v>12.304600000000001</v>
      </c>
      <c r="F8" s="7" cm="1">
        <f t="array" ref="F8">INDEX(GMWQ!$A$2:$LR$60,MATCH(1,(GMWQ!$LQ$2:$LQ$60=F$3)*(GMWQ!$LP$2:$LP$60=F$4)*(GMWQ!$LR$2:$LR$60=F$1),0),$B8-1966)</f>
        <v>9711</v>
      </c>
      <c r="G8" s="7" cm="1">
        <f t="array" ref="G8">INDEX(GMWQ!$A$2:$LR$60,MATCH(1,(GMWQ!$LQ$2:$LQ$60=G$3)*(GMWQ!$LP$2:$LP$60=G$4)*(GMWQ!$LR$2:$LR$60=G$1),0),$B8-1966)</f>
        <v>1958.3520000000001</v>
      </c>
      <c r="H8" s="7" cm="1">
        <f t="array" ref="H8">INDEX(GMWQ!$A$2:$LR$60,MATCH(1,(GMWQ!$LQ$2:$LQ$60=H$3)*(GMWQ!$LP$2:$LP$60=H$4)*(GMWQ!$LR$2:$LR$60=H$1),0),$B8-1966)</f>
        <v>483.58049999999997</v>
      </c>
      <c r="I8" s="7" cm="1">
        <f t="array" ref="I8">INDEX(GMWQ!$A$2:$LR$60,MATCH(1,(GMWQ!$LQ$2:$LQ$60=I$3)*(GMWQ!$LP$2:$LP$60=I$4)*(GMWQ!$LR$2:$LR$60=I$1),0),$B8-1966)</f>
        <v>10.39237</v>
      </c>
      <c r="J8" s="7" cm="1">
        <f t="array" ref="J8">INDEX(GMWQ!$A$2:$LR$60,MATCH(1,(GMWQ!$LQ$2:$LQ$60=J$3)*(GMWQ!$LP$2:$LP$60=J$4)*(GMWQ!$LR$2:$LR$60=J$1),0),$B8-1966)</f>
        <v>22172.06</v>
      </c>
      <c r="K8" s="7" cm="1">
        <f t="array" ref="K8">INDEX(GMWQ!$A$2:$LR$60,MATCH(1,(GMWQ!$LQ$2:$LQ$60=K$3)*(GMWQ!$LP$2:$LP$60=K$4)*(GMWQ!$LR$2:$LR$60=K$1),0),$B8-1966)</f>
        <v>7.5</v>
      </c>
      <c r="L8" s="7" cm="1">
        <f t="array" ref="L8">INDEX(GMWQ!$A$2:$LR$60,MATCH(1,(GMWQ!$LQ$2:$LQ$60=L$3)*(GMWQ!$LP$2:$LP$60=L$4)*(GMWQ!$LR$2:$LR$60=L$1),0),$B8-1966)</f>
        <v>3.7</v>
      </c>
      <c r="M8" s="7" cm="1">
        <f t="array" ref="M8">INDEX(GMWQ!$A$2:$LR$60,MATCH(1,(GMWQ!$LQ$2:$LQ$60=M$3)*(GMWQ!$LP$2:$LP$60=M$4)*(GMWQ!$LR$2:$LR$60=M$1),0),$B8-1966)</f>
        <v>4.3417680000000001</v>
      </c>
      <c r="N8" s="7" cm="1">
        <f t="array" ref="N8">INDEX(GMWQ!$A$2:$LR$60,MATCH(1,(GMWQ!$LQ$2:$LQ$60=N$3)*(GMWQ!$LP$2:$LP$60=N$4)*(GMWQ!$LR$2:$LR$60=N$1),0),$B8-1966)</f>
        <v>1E-3</v>
      </c>
      <c r="O8" s="7" cm="1">
        <f t="array" ref="O8">INDEX(GMWQ!$A$2:$LR$60,MATCH(1,(GMWQ!$LQ$2:$LQ$60=O$3)*(GMWQ!$LP$2:$LP$60=O$4)*(GMWQ!$LR$2:$LR$60=O$1),0),$B8-1966)</f>
        <v>1E-3</v>
      </c>
      <c r="P8" s="7" cm="1">
        <f t="array" ref="P8">INDEX(GMWQ!$A$2:$LR$60,MATCH(1,(GMWQ!$LQ$2:$LQ$60=P$3)*(GMWQ!$LP$2:$LP$60=P$4)*(GMWQ!$LR$2:$LR$60=P$1),0),$B8-1966)</f>
        <v>12849</v>
      </c>
      <c r="Q8" s="7" cm="1">
        <f t="array" ref="Q8">INDEX(GMWQ!$A$2:$LR$60,MATCH(1,(GMWQ!$LQ$2:$LQ$60=Q$3)*(GMWQ!$LP$2:$LP$60=Q$4)*(GMWQ!$LR$2:$LR$60=Q$1),0),$B8-1966)</f>
        <v>9.5</v>
      </c>
      <c r="R8" s="7" cm="1">
        <f t="array" ref="R8">INDEX(GMWQ!$A$2:$LR$60,MATCH(1,(GMWQ!$LQ$2:$LQ$60=R$3)*(GMWQ!$LP$2:$LP$60=R$4)*(GMWQ!$LR$2:$LR$60=R$1),0),$B8-1966)</f>
        <v>1E-3</v>
      </c>
      <c r="S8" s="7" cm="1">
        <f t="array" ref="S8">INDEX(GMWQ!$A$2:$LR$60,MATCH(1,(GMWQ!$LQ$2:$LQ$60=S$3)*(GMWQ!$LP$2:$LP$60=S$4)*(GMWQ!$LR$2:$LR$60=S$1),0),$B8-1966)</f>
        <v>1</v>
      </c>
      <c r="T8" s="7" cm="1">
        <f t="array" ref="T8">INDEX(GMWQ!$A$2:$LR$60,MATCH(1,(GMWQ!$LQ$2:$LQ$60=T$3)*(GMWQ!$LP$2:$LP$60=T$4)*(GMWQ!$LR$2:$LR$60=T$1),0),$B8-1966)</f>
        <v>1E-3</v>
      </c>
      <c r="U8" s="7" cm="1">
        <f t="array" ref="U8">INDEX(GMWQ!$A$2:$LR$60,MATCH(1,(GMWQ!$LQ$2:$LQ$60=U$3)*(GMWQ!$LP$2:$LP$60=U$4)*(GMWQ!$LR$2:$LR$60=U$1),0),$B8-1966)</f>
        <v>0</v>
      </c>
      <c r="V8" s="7" cm="1">
        <f t="array" ref="V8">INDEX(GMWQ!$A$2:$LR$60,MATCH(1,(GMWQ!$LQ$2:$LQ$60=V$3)*(GMWQ!$LP$2:$LP$60=V$4)*(GMWQ!$LR$2:$LR$60=V$1),0),$B8-1966)</f>
        <v>1E-3</v>
      </c>
      <c r="W8" s="7" cm="1">
        <f t="array" ref="W8">INDEX(GMWQ!$A$2:$LR$60,MATCH(1,(GMWQ!$LQ$2:$LQ$60=W$3)*(GMWQ!$LP$2:$LP$60=W$4)*(GMWQ!$LR$2:$LR$60=W$1),0),$B8-1966)</f>
        <v>6.1190639999999998</v>
      </c>
      <c r="X8" s="7" cm="1">
        <f t="array" ref="X8">INDEX(GMWQ!$A$2:$LR$60,MATCH(1,(GMWQ!$LQ$2:$LQ$60=X$3)*(GMWQ!$LP$2:$LP$60=X$4)*(GMWQ!$LR$2:$LR$60=X$1),0),$B8-1966)</f>
        <v>649616.80000000005</v>
      </c>
      <c r="Y8" s="7" cm="1">
        <f t="array" ref="Y8">INDEX(GMWQ!$A$2:$LR$60,MATCH(1,(GMWQ!$LQ$2:$LQ$60=Y$3)*(GMWQ!$LP$2:$LP$60=Y$4)*(GMWQ!$LR$2:$LR$60=Y$1),0),$B8-1966)</f>
        <v>8.8638929999999991</v>
      </c>
      <c r="Z8" s="7" cm="1">
        <f t="array" ref="Z8">INDEX(GMWQ!$A$2:$LR$60,MATCH(1,(GMWQ!$LQ$2:$LQ$60=Z$3)*(GMWQ!$LP$2:$LP$60=Z$4)*(GMWQ!$LR$2:$LR$60=Z$1),0),$B8-1966)</f>
        <v>224569.9</v>
      </c>
      <c r="AA8" s="7" cm="1">
        <f t="array" ref="AA8">INDEX(GMWQ!$A$2:$LR$60,MATCH(1,(GMWQ!$LQ$2:$LQ$60=AA$3)*(GMWQ!$LP$2:$LP$60=AA$4)*(GMWQ!$LR$2:$LR$60=AA$1),0),$B8-1966)</f>
        <v>6155</v>
      </c>
      <c r="AB8" s="7" cm="1">
        <f t="array" ref="AB8">INDEX(GMWQ!$A$2:$LR$60,MATCH(1,(GMWQ!$LQ$2:$LQ$60=AB$3)*(GMWQ!$LP$2:$LP$60=AB$4)*(GMWQ!$LR$2:$LR$60=AB$1),0),$B8-1966)</f>
        <v>5685</v>
      </c>
      <c r="AC8" s="7" cm="1">
        <f t="array" ref="AC8">INDEX(GMWQ!$A$2:$LR$60,MATCH(1,(GMWQ!$LQ$2:$LQ$60=AC$3)*(GMWQ!$LP$2:$LP$60=AC$4)*(GMWQ!$LR$2:$LR$60=AC$1),0),$B8-1966)</f>
        <v>904</v>
      </c>
      <c r="AD8" s="7" cm="1">
        <f t="array" ref="AD8">INDEX(GMWQ!$A$2:$LR$60,MATCH(1,(GMWQ!$LQ$2:$LQ$60=AD$3)*(GMWQ!$LP$2:$LP$60=AD$4)*(GMWQ!$LR$2:$LR$60=AD$1),0),$B8-1966)</f>
        <v>761</v>
      </c>
      <c r="AE8" s="7" cm="1">
        <f t="array" ref="AE8">INDEX(GMWQ!$A$2:$LR$60,MATCH(1,(GMWQ!$LQ$2:$LQ$60=AE$3)*(GMWQ!$LP$2:$LP$60=AE$4)*(GMWQ!$LR$2:$LR$60=AE$1),0),$B8-1966)</f>
        <v>19874</v>
      </c>
      <c r="AF8" s="20" cm="1">
        <f t="array" ref="AF8">INDEX(GMWQ!$A$2:$LR$60,MATCH(1,(GMWQ!$LQ$2:$LQ$60=AF$3)*(GMWQ!$LP$2:$LP$60=AF$4)*(GMWQ!$LR$2:$LR$60=AF$1),0),$B8-1966)</f>
        <v>7.9961539999999998</v>
      </c>
      <c r="AG8" s="20" cm="1">
        <f t="array" ref="AG8">INDEX(GMWQ!$A$2:$LR$60,MATCH(1,(GMWQ!$LQ$2:$LQ$60=AG$3)*(GMWQ!$LP$2:$LP$60=AG$4)*(GMWQ!$LR$2:$LR$60=AG$1),0),$B8-1966)</f>
        <v>-108.96</v>
      </c>
      <c r="AI8" s="23" cm="1">
        <f t="array" ref="AI8">INDEX(GMWQ!$A$2:$LR$60,MATCH(1,(GMWQ!$LQ$2:$LQ$60=AI$3)*(GMWQ!$LP$2:$LP$60=AI$4)*(GMWQ!$LR$2:$LR$60=AI$1),0),$B8-1966)</f>
        <v>12849</v>
      </c>
      <c r="AJ8" s="23" cm="1">
        <f t="array" ref="AJ8">INDEX(GMWQ!$A$2:$LR$60,MATCH(1,(GMWQ!$LQ$2:$LQ$60=AJ$3)*(GMWQ!$LP$2:$LP$60=AJ$4)*(GMWQ!$LR$2:$LR$60=AJ$1),0),$B8-1966)</f>
        <v>10.39237</v>
      </c>
      <c r="AK8" s="23" cm="1">
        <f t="array" ref="AK8">INDEX(GMWQ!$A$2:$LR$60,MATCH(1,(GMWQ!$LQ$2:$LQ$60=AK$3)*(GMWQ!$LP$2:$LP$60=AK$4)*(GMWQ!$LR$2:$LR$60=AK$1),0),$B8-1966)</f>
        <v>9711</v>
      </c>
      <c r="AL8" s="23" cm="1">
        <f t="array" ref="AL8">INDEX(GMWQ!$A$2:$LR$60,MATCH(1,(GMWQ!$LQ$2:$LQ$60=AL$3)*(GMWQ!$LP$2:$LP$60=AL$4)*(GMWQ!$LR$2:$LR$60=AL$1),0),$B8-1966)</f>
        <v>437.9837</v>
      </c>
      <c r="AM8" s="23" cm="1">
        <f t="array" ref="AM8">INDEX(GMWQ!$A$2:$LR$60,MATCH(1,(GMWQ!$LQ$2:$LQ$60=AM$3)*(GMWQ!$LP$2:$LP$60=AM$4)*(GMWQ!$LR$2:$LR$60=AM$1),0),$B8-1966)</f>
        <v>22172.06</v>
      </c>
      <c r="AN8" s="23" cm="1">
        <f t="array" ref="AN8">INDEX(GMWQ!$A$2:$LR$60,MATCH(1,(GMWQ!$LQ$2:$LQ$60=AN$3)*(GMWQ!$LP$2:$LP$60=AN$4)*(GMWQ!$LR$2:$LR$60=AN$1),0),$B8-1966)</f>
        <v>1958.3520000000001</v>
      </c>
      <c r="AO8" s="23" cm="1">
        <f t="array" ref="AO8">INDEX(GMWQ!$A$2:$LR$60,MATCH(1,(GMWQ!$LQ$2:$LQ$60=AO$3)*(GMWQ!$LP$2:$LP$60=AO$4)*(GMWQ!$LR$2:$LR$60=AO$1),0),$B8-1966)</f>
        <v>483.58049999999997</v>
      </c>
      <c r="AP8" s="23" cm="1">
        <f t="array" ref="AP8">INDEX(GMWQ!$A$2:$LR$60,MATCH(1,(GMWQ!$LQ$2:$LQ$60=AP$3)*(GMWQ!$LP$2:$LP$60=AP$4)*(GMWQ!$LR$2:$LR$60=AP$1),0),$B8-1966)</f>
        <v>-108.96</v>
      </c>
      <c r="AQ8" s="23" cm="1">
        <f t="array" ref="AQ8">INDEX(GMWQ!$A$2:$LR$60,MATCH(1,(GMWQ!$LQ$2:$LQ$60=AQ$3)*(GMWQ!$LP$2:$LP$60=AQ$4)*(GMWQ!$LR$2:$LR$60=AQ$1),0),$B8-1966)</f>
        <v>1550.279</v>
      </c>
      <c r="AR8" s="23" cm="1">
        <f t="array" ref="AR8">INDEX(GMWQ!$A$2:$LR$60,MATCH(1,(GMWQ!$LQ$2:$LQ$60=AR$3)*(GMWQ!$LP$2:$LP$60=AR$4)*(GMWQ!$LR$2:$LR$60=AR$1),0),$B8-1966)</f>
        <v>11961</v>
      </c>
      <c r="AS8" s="23" cm="1">
        <f t="array" ref="AS8">INDEX(GMWQ!$A$2:$LR$60,MATCH(1,(GMWQ!$LQ$2:$LQ$60=AS$3)*(GMWQ!$LP$2:$LP$60=AS$4)*(GMWQ!$LR$2:$LR$60=AS$1),0),$B8-1966)</f>
        <v>188</v>
      </c>
      <c r="AT8" s="23" cm="1">
        <f t="array" ref="AT8">INDEX(GMWQ!$A$2:$LR$60,MATCH(1,(GMWQ!$LQ$2:$LQ$60=AT$3)*(GMWQ!$LP$2:$LP$60=AT$4)*(GMWQ!$LR$2:$LR$60=AT$1),0),$B8-1966)</f>
        <v>115094</v>
      </c>
      <c r="AU8" s="23" cm="1">
        <f t="array" ref="AU8">INDEX(GMWQ!$A$2:$LR$60,MATCH(1,(GMWQ!$LQ$2:$LQ$60=AU$3)*(GMWQ!$LP$2:$LP$60=AU$4)*(GMWQ!$LR$2:$LR$60=AU$1),0),$B8-1966)</f>
        <v>3553</v>
      </c>
    </row>
    <row r="9" spans="1:47" x14ac:dyDescent="0.35">
      <c r="B9" s="7">
        <f t="shared" ref="B9:B47" si="1">+B8+1</f>
        <v>1975</v>
      </c>
      <c r="C9" s="7" cm="1">
        <f t="array" ref="C9">INDEX(GMWQ!$A$2:$LR$60,MATCH(1,(GMWQ!$LQ$2:$LQ$60=C$3)*(GMWQ!$LP$2:$LP$60=C$4)*(GMWQ!$LR$2:$LR$60=C$1),0),$B9-1966)</f>
        <v>222122</v>
      </c>
      <c r="D9" s="7" cm="1">
        <f t="array" ref="D9">INDEX(GMWQ!$A$2:$LR$60,MATCH(1,(GMWQ!$LQ$2:$LQ$60=D$3)*(GMWQ!$LP$2:$LP$60=D$4)*(GMWQ!$LR$2:$LR$60=D$1),0),$B9-1966)</f>
        <v>16.407070000000001</v>
      </c>
      <c r="E9" s="7" cm="1">
        <f t="array" ref="E9">INDEX(GMWQ!$A$2:$LR$60,MATCH(1,(GMWQ!$LQ$2:$LQ$60=E$3)*(GMWQ!$LP$2:$LP$60=E$4)*(GMWQ!$LR$2:$LR$60=E$1),0),$B9-1966)</f>
        <v>12.51315</v>
      </c>
      <c r="F9" s="7" cm="1">
        <f t="array" ref="F9">INDEX(GMWQ!$A$2:$LR$60,MATCH(1,(GMWQ!$LQ$2:$LQ$60=F$3)*(GMWQ!$LP$2:$LP$60=F$4)*(GMWQ!$LR$2:$LR$60=F$1),0),$B9-1966)</f>
        <v>10012</v>
      </c>
      <c r="G9" s="7" cm="1">
        <f t="array" ref="G9">INDEX(GMWQ!$A$2:$LR$60,MATCH(1,(GMWQ!$LQ$2:$LQ$60=G$3)*(GMWQ!$LP$2:$LP$60=G$4)*(GMWQ!$LR$2:$LR$60=G$1),0),$B9-1966)</f>
        <v>1917.8009999999999</v>
      </c>
      <c r="H9" s="7" cm="1">
        <f t="array" ref="H9">INDEX(GMWQ!$A$2:$LR$60,MATCH(1,(GMWQ!$LQ$2:$LQ$60=H$3)*(GMWQ!$LP$2:$LP$60=H$4)*(GMWQ!$LR$2:$LR$60=H$1),0),$B9-1966)</f>
        <v>509.97680000000003</v>
      </c>
      <c r="I9" s="7" cm="1">
        <f t="array" ref="I9">INDEX(GMWQ!$A$2:$LR$60,MATCH(1,(GMWQ!$LQ$2:$LQ$60=I$3)*(GMWQ!$LP$2:$LP$60=I$4)*(GMWQ!$LR$2:$LR$60=I$1),0),$B9-1966)</f>
        <v>10.631640000000001</v>
      </c>
      <c r="J9" s="7" cm="1">
        <f t="array" ref="J9">INDEX(GMWQ!$A$2:$LR$60,MATCH(1,(GMWQ!$LQ$2:$LQ$60=J$3)*(GMWQ!$LP$2:$LP$60=J$4)*(GMWQ!$LR$2:$LR$60=J$1),0),$B9-1966)</f>
        <v>22214.1</v>
      </c>
      <c r="K9" s="7" cm="1">
        <f t="array" ref="K9">INDEX(GMWQ!$A$2:$LR$60,MATCH(1,(GMWQ!$LQ$2:$LQ$60=K$3)*(GMWQ!$LP$2:$LP$60=K$4)*(GMWQ!$LR$2:$LR$60=K$1),0),$B9-1966)</f>
        <v>11.5</v>
      </c>
      <c r="L9" s="7" cm="1">
        <f t="array" ref="L9">INDEX(GMWQ!$A$2:$LR$60,MATCH(1,(GMWQ!$LQ$2:$LQ$60=L$3)*(GMWQ!$LP$2:$LP$60=L$4)*(GMWQ!$LR$2:$LR$60=L$1),0),$B9-1966)</f>
        <v>3.6</v>
      </c>
      <c r="M9" s="7" cm="1">
        <f t="array" ref="M9">INDEX(GMWQ!$A$2:$LR$60,MATCH(1,(GMWQ!$LQ$2:$LQ$60=M$3)*(GMWQ!$LP$2:$LP$60=M$4)*(GMWQ!$LR$2:$LR$60=M$1),0),$B9-1966)</f>
        <v>4.5713980000000003</v>
      </c>
      <c r="N9" s="7" cm="1">
        <f t="array" ref="N9">INDEX(GMWQ!$A$2:$LR$60,MATCH(1,(GMWQ!$LQ$2:$LQ$60=N$3)*(GMWQ!$LP$2:$LP$60=N$4)*(GMWQ!$LR$2:$LR$60=N$1),0),$B9-1966)</f>
        <v>1E-3</v>
      </c>
      <c r="O9" s="7" cm="1">
        <f t="array" ref="O9">INDEX(GMWQ!$A$2:$LR$60,MATCH(1,(GMWQ!$LQ$2:$LQ$60=O$3)*(GMWQ!$LP$2:$LP$60=O$4)*(GMWQ!$LR$2:$LR$60=O$1),0),$B9-1966)</f>
        <v>1E-3</v>
      </c>
      <c r="P9" s="7" cm="1">
        <f t="array" ref="P9">INDEX(GMWQ!$A$2:$LR$60,MATCH(1,(GMWQ!$LQ$2:$LQ$60=P$3)*(GMWQ!$LP$2:$LP$60=P$4)*(GMWQ!$LR$2:$LR$60=P$1),0),$B9-1966)</f>
        <v>13247</v>
      </c>
      <c r="Q9" s="7" cm="1">
        <f t="array" ref="Q9">INDEX(GMWQ!$A$2:$LR$60,MATCH(1,(GMWQ!$LQ$2:$LQ$60=Q$3)*(GMWQ!$LP$2:$LP$60=Q$4)*(GMWQ!$LR$2:$LR$60=Q$1),0),$B9-1966)</f>
        <v>10</v>
      </c>
      <c r="R9" s="7" cm="1">
        <f t="array" ref="R9">INDEX(GMWQ!$A$2:$LR$60,MATCH(1,(GMWQ!$LQ$2:$LQ$60=R$3)*(GMWQ!$LP$2:$LP$60=R$4)*(GMWQ!$LR$2:$LR$60=R$1),0),$B9-1966)</f>
        <v>1E-3</v>
      </c>
      <c r="S9" s="7" cm="1">
        <f t="array" ref="S9">INDEX(GMWQ!$A$2:$LR$60,MATCH(1,(GMWQ!$LQ$2:$LQ$60=S$3)*(GMWQ!$LP$2:$LP$60=S$4)*(GMWQ!$LR$2:$LR$60=S$1),0),$B9-1966)</f>
        <v>1</v>
      </c>
      <c r="T9" s="7" cm="1">
        <f t="array" ref="T9">INDEX(GMWQ!$A$2:$LR$60,MATCH(1,(GMWQ!$LQ$2:$LQ$60=T$3)*(GMWQ!$LP$2:$LP$60=T$4)*(GMWQ!$LR$2:$LR$60=T$1),0),$B9-1966)</f>
        <v>1E-3</v>
      </c>
      <c r="U9" s="7" cm="1">
        <f t="array" ref="U9">INDEX(GMWQ!$A$2:$LR$60,MATCH(1,(GMWQ!$LQ$2:$LQ$60=U$3)*(GMWQ!$LP$2:$LP$60=U$4)*(GMWQ!$LR$2:$LR$60=U$1),0),$B9-1966)</f>
        <v>0</v>
      </c>
      <c r="V9" s="7" cm="1">
        <f t="array" ref="V9">INDEX(GMWQ!$A$2:$LR$60,MATCH(1,(GMWQ!$LQ$2:$LQ$60=V$3)*(GMWQ!$LP$2:$LP$60=V$4)*(GMWQ!$LR$2:$LR$60=V$1),0),$B9-1966)</f>
        <v>1E-3</v>
      </c>
      <c r="W9" s="7" cm="1">
        <f t="array" ref="W9">INDEX(GMWQ!$A$2:$LR$60,MATCH(1,(GMWQ!$LQ$2:$LQ$60=W$3)*(GMWQ!$LP$2:$LP$60=W$4)*(GMWQ!$LR$2:$LR$60=W$1),0),$B9-1966)</f>
        <v>9.2245159999999995</v>
      </c>
      <c r="X9" s="7" cm="1">
        <f t="array" ref="X9">INDEX(GMWQ!$A$2:$LR$60,MATCH(1,(GMWQ!$LQ$2:$LQ$60=X$3)*(GMWQ!$LP$2:$LP$60=X$4)*(GMWQ!$LR$2:$LR$60=X$1),0),$B9-1966)</f>
        <v>666220.9</v>
      </c>
      <c r="Y9" s="7" cm="1">
        <f t="array" ref="Y9">INDEX(GMWQ!$A$2:$LR$60,MATCH(1,(GMWQ!$LQ$2:$LQ$60=Y$3)*(GMWQ!$LP$2:$LP$60=Y$4)*(GMWQ!$LR$2:$LR$60=Y$1),0),$B9-1966)</f>
        <v>9.255274</v>
      </c>
      <c r="Z9" s="7" cm="1">
        <f t="array" ref="Z9">INDEX(GMWQ!$A$2:$LR$60,MATCH(1,(GMWQ!$LQ$2:$LQ$60=Z$3)*(GMWQ!$LP$2:$LP$60=Z$4)*(GMWQ!$LR$2:$LR$60=Z$1),0),$B9-1966)</f>
        <v>224928.5</v>
      </c>
      <c r="AA9" s="7" cm="1">
        <f t="array" ref="AA9">INDEX(GMWQ!$A$2:$LR$60,MATCH(1,(GMWQ!$LQ$2:$LQ$60=AA$3)*(GMWQ!$LP$2:$LP$60=AA$4)*(GMWQ!$LR$2:$LR$60=AA$1),0),$B9-1966)</f>
        <v>7311</v>
      </c>
      <c r="AB9" s="7" cm="1">
        <f t="array" ref="AB9">INDEX(GMWQ!$A$2:$LR$60,MATCH(1,(GMWQ!$LQ$2:$LQ$60=AB$3)*(GMWQ!$LP$2:$LP$60=AB$4)*(GMWQ!$LR$2:$LR$60=AB$1),0),$B9-1966)</f>
        <v>6117</v>
      </c>
      <c r="AC9" s="7" cm="1">
        <f t="array" ref="AC9">INDEX(GMWQ!$A$2:$LR$60,MATCH(1,(GMWQ!$LQ$2:$LQ$60=AC$3)*(GMWQ!$LP$2:$LP$60=AC$4)*(GMWQ!$LR$2:$LR$60=AC$1),0),$B9-1966)</f>
        <v>1066</v>
      </c>
      <c r="AD9" s="7" cm="1">
        <f t="array" ref="AD9">INDEX(GMWQ!$A$2:$LR$60,MATCH(1,(GMWQ!$LQ$2:$LQ$60=AD$3)*(GMWQ!$LP$2:$LP$60=AD$4)*(GMWQ!$LR$2:$LR$60=AD$1),0),$B9-1966)</f>
        <v>804</v>
      </c>
      <c r="AE9" s="7" cm="1">
        <f t="array" ref="AE9">INDEX(GMWQ!$A$2:$LR$60,MATCH(1,(GMWQ!$LQ$2:$LQ$60=AE$3)*(GMWQ!$LP$2:$LP$60=AE$4)*(GMWQ!$LR$2:$LR$60=AE$1),0),$B9-1966)</f>
        <v>20558</v>
      </c>
      <c r="AF9" s="20" cm="1">
        <f t="array" ref="AF9">INDEX(GMWQ!$A$2:$LR$60,MATCH(1,(GMWQ!$LQ$2:$LQ$60=AF$3)*(GMWQ!$LP$2:$LP$60=AF$4)*(GMWQ!$LR$2:$LR$60=AF$1),0),$B9-1966)</f>
        <v>10.38461</v>
      </c>
      <c r="AG9" s="20" cm="1">
        <f t="array" ref="AG9">INDEX(GMWQ!$A$2:$LR$60,MATCH(1,(GMWQ!$LQ$2:$LQ$60=AG$3)*(GMWQ!$LP$2:$LP$60=AG$4)*(GMWQ!$LR$2:$LR$60=AG$1),0),$B9-1966)</f>
        <v>-122.34050000000001</v>
      </c>
      <c r="AI9" s="23" cm="1">
        <f t="array" ref="AI9">INDEX(GMWQ!$A$2:$LR$60,MATCH(1,(GMWQ!$LQ$2:$LQ$60=AI$3)*(GMWQ!$LP$2:$LP$60=AI$4)*(GMWQ!$LR$2:$LR$60=AI$1),0),$B9-1966)</f>
        <v>13247</v>
      </c>
      <c r="AJ9" s="23" cm="1">
        <f t="array" ref="AJ9">INDEX(GMWQ!$A$2:$LR$60,MATCH(1,(GMWQ!$LQ$2:$LQ$60=AJ$3)*(GMWQ!$LP$2:$LP$60=AJ$4)*(GMWQ!$LR$2:$LR$60=AJ$1),0),$B9-1966)</f>
        <v>10.631640000000001</v>
      </c>
      <c r="AK9" s="23" cm="1">
        <f t="array" ref="AK9">INDEX(GMWQ!$A$2:$LR$60,MATCH(1,(GMWQ!$LQ$2:$LQ$60=AK$3)*(GMWQ!$LP$2:$LP$60=AK$4)*(GMWQ!$LR$2:$LR$60=AK$1),0),$B9-1966)</f>
        <v>10012</v>
      </c>
      <c r="AL9" s="23" cm="1">
        <f t="array" ref="AL9">INDEX(GMWQ!$A$2:$LR$60,MATCH(1,(GMWQ!$LQ$2:$LQ$60=AL$3)*(GMWQ!$LP$2:$LP$60=AL$4)*(GMWQ!$LR$2:$LR$60=AL$1),0),$B9-1966)</f>
        <v>450.7047</v>
      </c>
      <c r="AM9" s="23" cm="1">
        <f t="array" ref="AM9">INDEX(GMWQ!$A$2:$LR$60,MATCH(1,(GMWQ!$LQ$2:$LQ$60=AM$3)*(GMWQ!$LP$2:$LP$60=AM$4)*(GMWQ!$LR$2:$LR$60=AM$1),0),$B9-1966)</f>
        <v>22214.1</v>
      </c>
      <c r="AN9" s="23" cm="1">
        <f t="array" ref="AN9">INDEX(GMWQ!$A$2:$LR$60,MATCH(1,(GMWQ!$LQ$2:$LQ$60=AN$3)*(GMWQ!$LP$2:$LP$60=AN$4)*(GMWQ!$LR$2:$LR$60=AN$1),0),$B9-1966)</f>
        <v>1917.8009999999999</v>
      </c>
      <c r="AO9" s="23" cm="1">
        <f t="array" ref="AO9">INDEX(GMWQ!$A$2:$LR$60,MATCH(1,(GMWQ!$LQ$2:$LQ$60=AO$3)*(GMWQ!$LP$2:$LP$60=AO$4)*(GMWQ!$LR$2:$LR$60=AO$1),0),$B9-1966)</f>
        <v>509.97680000000003</v>
      </c>
      <c r="AP9" s="23" cm="1">
        <f t="array" ref="AP9">INDEX(GMWQ!$A$2:$LR$60,MATCH(1,(GMWQ!$LQ$2:$LQ$60=AP$3)*(GMWQ!$LP$2:$LP$60=AP$4)*(GMWQ!$LR$2:$LR$60=AP$1),0),$B9-1966)</f>
        <v>-122.34050000000001</v>
      </c>
      <c r="AQ9" s="23" cm="1">
        <f t="array" ref="AQ9">INDEX(GMWQ!$A$2:$LR$60,MATCH(1,(GMWQ!$LQ$2:$LQ$60=AQ$3)*(GMWQ!$LP$2:$LP$60=AQ$4)*(GMWQ!$LR$2:$LR$60=AQ$1),0),$B9-1966)</f>
        <v>1559.327</v>
      </c>
      <c r="AR9" s="23" cm="1">
        <f t="array" ref="AR9">INDEX(GMWQ!$A$2:$LR$60,MATCH(1,(GMWQ!$LQ$2:$LQ$60=AR$3)*(GMWQ!$LP$2:$LP$60=AR$4)*(GMWQ!$LR$2:$LR$60=AR$1),0),$B9-1966)</f>
        <v>12326</v>
      </c>
      <c r="AS9" s="23" cm="1">
        <f t="array" ref="AS9">INDEX(GMWQ!$A$2:$LR$60,MATCH(1,(GMWQ!$LQ$2:$LQ$60=AS$3)*(GMWQ!$LP$2:$LP$60=AS$4)*(GMWQ!$LR$2:$LR$60=AS$1),0),$B9-1966)</f>
        <v>195</v>
      </c>
      <c r="AT9" s="23" cm="1">
        <f t="array" ref="AT9">INDEX(GMWQ!$A$2:$LR$60,MATCH(1,(GMWQ!$LQ$2:$LQ$60=AT$3)*(GMWQ!$LP$2:$LP$60=AT$4)*(GMWQ!$LR$2:$LR$60=AT$1),0),$B9-1966)</f>
        <v>115937</v>
      </c>
      <c r="AU9" s="23" cm="1">
        <f t="array" ref="AU9">INDEX(GMWQ!$A$2:$LR$60,MATCH(1,(GMWQ!$LQ$2:$LQ$60=AU$3)*(GMWQ!$LP$2:$LP$60=AU$4)*(GMWQ!$LR$2:$LR$60=AU$1),0),$B9-1966)</f>
        <v>3684</v>
      </c>
    </row>
    <row r="10" spans="1:47" x14ac:dyDescent="0.35">
      <c r="B10" s="7">
        <f t="shared" si="1"/>
        <v>1976</v>
      </c>
      <c r="C10" s="7" cm="1">
        <f t="array" ref="C10">INDEX(GMWQ!$A$2:$LR$60,MATCH(1,(GMWQ!$LQ$2:$LQ$60=C$3)*(GMWQ!$LP$2:$LP$60=C$4)*(GMWQ!$LR$2:$LR$60=C$1),0),$B10-1966)</f>
        <v>221266</v>
      </c>
      <c r="D10" s="7" cm="1">
        <f t="array" ref="D10">INDEX(GMWQ!$A$2:$LR$60,MATCH(1,(GMWQ!$LQ$2:$LQ$60=D$3)*(GMWQ!$LP$2:$LP$60=D$4)*(GMWQ!$LR$2:$LR$60=D$1),0),$B10-1966)</f>
        <v>16.907609999999998</v>
      </c>
      <c r="E10" s="7" cm="1">
        <f t="array" ref="E10">INDEX(GMWQ!$A$2:$LR$60,MATCH(1,(GMWQ!$LQ$2:$LQ$60=E$3)*(GMWQ!$LP$2:$LP$60=E$4)*(GMWQ!$LR$2:$LR$60=E$1),0),$B10-1966)</f>
        <v>13.008459999999999</v>
      </c>
      <c r="F10" s="7" cm="1">
        <f t="array" ref="F10">INDEX(GMWQ!$A$2:$LR$60,MATCH(1,(GMWQ!$LQ$2:$LQ$60=F$3)*(GMWQ!$LP$2:$LP$60=F$4)*(GMWQ!$LR$2:$LR$60=F$1),0),$B10-1966)</f>
        <v>10380</v>
      </c>
      <c r="G10" s="7" cm="1">
        <f t="array" ref="G10">INDEX(GMWQ!$A$2:$LR$60,MATCH(1,(GMWQ!$LQ$2:$LQ$60=G$3)*(GMWQ!$LP$2:$LP$60=G$4)*(GMWQ!$LR$2:$LR$60=G$1),0),$B10-1966)</f>
        <v>1950.44</v>
      </c>
      <c r="H10" s="7" cm="1">
        <f t="array" ref="H10">INDEX(GMWQ!$A$2:$LR$60,MATCH(1,(GMWQ!$LQ$2:$LQ$60=H$3)*(GMWQ!$LP$2:$LP$60=H$4)*(GMWQ!$LR$2:$LR$60=H$1),0),$B10-1966)</f>
        <v>513.14440000000002</v>
      </c>
      <c r="I10" s="7" cm="1">
        <f t="array" ref="I10">INDEX(GMWQ!$A$2:$LR$60,MATCH(1,(GMWQ!$LQ$2:$LQ$60=I$3)*(GMWQ!$LP$2:$LP$60=I$4)*(GMWQ!$LR$2:$LR$60=I$1),0),$B10-1966)</f>
        <v>11.13748</v>
      </c>
      <c r="J10" s="7" cm="1">
        <f t="array" ref="J10">INDEX(GMWQ!$A$2:$LR$60,MATCH(1,(GMWQ!$LQ$2:$LQ$60=J$3)*(GMWQ!$LP$2:$LP$60=J$4)*(GMWQ!$LR$2:$LR$60=J$1),0),$B10-1966)</f>
        <v>22247.34</v>
      </c>
      <c r="K10" s="7" cm="1">
        <f t="array" ref="K10">INDEX(GMWQ!$A$2:$LR$60,MATCH(1,(GMWQ!$LQ$2:$LQ$60=K$3)*(GMWQ!$LP$2:$LP$60=K$4)*(GMWQ!$LR$2:$LR$60=K$1),0),$B10-1966)</f>
        <v>13</v>
      </c>
      <c r="L10" s="7" cm="1">
        <f t="array" ref="L10">INDEX(GMWQ!$A$2:$LR$60,MATCH(1,(GMWQ!$LQ$2:$LQ$60=L$3)*(GMWQ!$LP$2:$LP$60=L$4)*(GMWQ!$LR$2:$LR$60=L$1),0),$B10-1966)</f>
        <v>3.4</v>
      </c>
      <c r="M10" s="7" cm="1">
        <f t="array" ref="M10">INDEX(GMWQ!$A$2:$LR$60,MATCH(1,(GMWQ!$LQ$2:$LQ$60=M$3)*(GMWQ!$LP$2:$LP$60=M$4)*(GMWQ!$LR$2:$LR$60=M$1),0),$B10-1966)</f>
        <v>4.6966960000000002</v>
      </c>
      <c r="N10" s="7" cm="1">
        <f t="array" ref="N10">INDEX(GMWQ!$A$2:$LR$60,MATCH(1,(GMWQ!$LQ$2:$LQ$60=N$3)*(GMWQ!$LP$2:$LP$60=N$4)*(GMWQ!$LR$2:$LR$60=N$1),0),$B10-1966)</f>
        <v>1E-3</v>
      </c>
      <c r="O10" s="7" cm="1">
        <f t="array" ref="O10">INDEX(GMWQ!$A$2:$LR$60,MATCH(1,(GMWQ!$LQ$2:$LQ$60=O$3)*(GMWQ!$LP$2:$LP$60=O$4)*(GMWQ!$LR$2:$LR$60=O$1),0),$B10-1966)</f>
        <v>1E-3</v>
      </c>
      <c r="P10" s="7" cm="1">
        <f t="array" ref="P10">INDEX(GMWQ!$A$2:$LR$60,MATCH(1,(GMWQ!$LQ$2:$LQ$60=P$3)*(GMWQ!$LP$2:$LP$60=P$4)*(GMWQ!$LR$2:$LR$60=P$1),0),$B10-1966)</f>
        <v>13917</v>
      </c>
      <c r="Q10" s="7" cm="1">
        <f t="array" ref="Q10">INDEX(GMWQ!$A$2:$LR$60,MATCH(1,(GMWQ!$LQ$2:$LQ$60=Q$3)*(GMWQ!$LP$2:$LP$60=Q$4)*(GMWQ!$LR$2:$LR$60=Q$1),0),$B10-1966)</f>
        <v>11</v>
      </c>
      <c r="R10" s="7" cm="1">
        <f t="array" ref="R10">INDEX(GMWQ!$A$2:$LR$60,MATCH(1,(GMWQ!$LQ$2:$LQ$60=R$3)*(GMWQ!$LP$2:$LP$60=R$4)*(GMWQ!$LR$2:$LR$60=R$1),0),$B10-1966)</f>
        <v>1E-3</v>
      </c>
      <c r="S10" s="7" cm="1">
        <f t="array" ref="S10">INDEX(GMWQ!$A$2:$LR$60,MATCH(1,(GMWQ!$LQ$2:$LQ$60=S$3)*(GMWQ!$LP$2:$LP$60=S$4)*(GMWQ!$LR$2:$LR$60=S$1),0),$B10-1966)</f>
        <v>1</v>
      </c>
      <c r="T10" s="7" cm="1">
        <f t="array" ref="T10">INDEX(GMWQ!$A$2:$LR$60,MATCH(1,(GMWQ!$LQ$2:$LQ$60=T$3)*(GMWQ!$LP$2:$LP$60=T$4)*(GMWQ!$LR$2:$LR$60=T$1),0),$B10-1966)</f>
        <v>1E-3</v>
      </c>
      <c r="U10" s="7" cm="1">
        <f t="array" ref="U10">INDEX(GMWQ!$A$2:$LR$60,MATCH(1,(GMWQ!$LQ$2:$LQ$60=U$3)*(GMWQ!$LP$2:$LP$60=U$4)*(GMWQ!$LR$2:$LR$60=U$1),0),$B10-1966)</f>
        <v>0</v>
      </c>
      <c r="V10" s="7" cm="1">
        <f t="array" ref="V10">INDEX(GMWQ!$A$2:$LR$60,MATCH(1,(GMWQ!$LQ$2:$LQ$60=V$3)*(GMWQ!$LP$2:$LP$60=V$4)*(GMWQ!$LR$2:$LR$60=V$1),0),$B10-1966)</f>
        <v>1E-3</v>
      </c>
      <c r="W10" s="7" cm="1">
        <f t="array" ref="W10">INDEX(GMWQ!$A$2:$LR$60,MATCH(1,(GMWQ!$LQ$2:$LQ$60=W$3)*(GMWQ!$LP$2:$LP$60=W$4)*(GMWQ!$LR$2:$LR$60=W$1),0),$B10-1966)</f>
        <v>11.81353</v>
      </c>
      <c r="X10" s="7" cm="1">
        <f t="array" ref="X10">INDEX(GMWQ!$A$2:$LR$60,MATCH(1,(GMWQ!$LQ$2:$LQ$60=X$3)*(GMWQ!$LP$2:$LP$60=X$4)*(GMWQ!$LR$2:$LR$60=X$1),0),$B10-1966)</f>
        <v>682823.9</v>
      </c>
      <c r="Y10" s="7" cm="1">
        <f t="array" ref="Y10">INDEX(GMWQ!$A$2:$LR$60,MATCH(1,(GMWQ!$LQ$2:$LQ$60=Y$3)*(GMWQ!$LP$2:$LP$60=Y$4)*(GMWQ!$LR$2:$LR$60=Y$1),0),$B10-1966)</f>
        <v>9.6332020000000007</v>
      </c>
      <c r="Z10" s="7" cm="1">
        <f t="array" ref="Z10">INDEX(GMWQ!$A$2:$LR$60,MATCH(1,(GMWQ!$LQ$2:$LQ$60=Z$3)*(GMWQ!$LP$2:$LP$60=Z$4)*(GMWQ!$LR$2:$LR$60=Z$1),0),$B10-1966)</f>
        <v>225524.8</v>
      </c>
      <c r="AA10" s="7" cm="1">
        <f t="array" ref="AA10">INDEX(GMWQ!$A$2:$LR$60,MATCH(1,(GMWQ!$LQ$2:$LQ$60=AA$3)*(GMWQ!$LP$2:$LP$60=AA$4)*(GMWQ!$LR$2:$LR$60=AA$1),0),$B10-1966)</f>
        <v>7697</v>
      </c>
      <c r="AB10" s="7" cm="1">
        <f t="array" ref="AB10">INDEX(GMWQ!$A$2:$LR$60,MATCH(1,(GMWQ!$LQ$2:$LQ$60=AB$3)*(GMWQ!$LP$2:$LP$60=AB$4)*(GMWQ!$LR$2:$LR$60=AB$1),0),$B10-1966)</f>
        <v>6558</v>
      </c>
      <c r="AC10" s="7" cm="1">
        <f t="array" ref="AC10">INDEX(GMWQ!$A$2:$LR$60,MATCH(1,(GMWQ!$LQ$2:$LQ$60=AC$3)*(GMWQ!$LP$2:$LP$60=AC$4)*(GMWQ!$LR$2:$LR$60=AC$1),0),$B10-1966)</f>
        <v>998</v>
      </c>
      <c r="AD10" s="7" cm="1">
        <f t="array" ref="AD10">INDEX(GMWQ!$A$2:$LR$60,MATCH(1,(GMWQ!$LQ$2:$LQ$60=AD$3)*(GMWQ!$LP$2:$LP$60=AD$4)*(GMWQ!$LR$2:$LR$60=AD$1),0),$B10-1966)</f>
        <v>865</v>
      </c>
      <c r="AE10" s="7" cm="1">
        <f t="array" ref="AE10">INDEX(GMWQ!$A$2:$LR$60,MATCH(1,(GMWQ!$LQ$2:$LQ$60=AE$3)*(GMWQ!$LP$2:$LP$60=AE$4)*(GMWQ!$LR$2:$LR$60=AE$1),0),$B10-1966)</f>
        <v>21315</v>
      </c>
      <c r="AF10" s="20" cm="1">
        <f t="array" ref="AF10">INDEX(GMWQ!$A$2:$LR$60,MATCH(1,(GMWQ!$LQ$2:$LQ$60=AF$3)*(GMWQ!$LP$2:$LP$60=AF$4)*(GMWQ!$LR$2:$LR$60=AF$1),0),$B10-1966)</f>
        <v>12.23485</v>
      </c>
      <c r="AG10" s="20" cm="1">
        <f t="array" ref="AG10">INDEX(GMWQ!$A$2:$LR$60,MATCH(1,(GMWQ!$LQ$2:$LQ$60=AG$3)*(GMWQ!$LP$2:$LP$60=AG$4)*(GMWQ!$LR$2:$LR$60=AG$1),0),$B10-1966)</f>
        <v>-178.7535</v>
      </c>
      <c r="AI10" s="23" cm="1">
        <f t="array" ref="AI10">INDEX(GMWQ!$A$2:$LR$60,MATCH(1,(GMWQ!$LQ$2:$LQ$60=AI$3)*(GMWQ!$LP$2:$LP$60=AI$4)*(GMWQ!$LR$2:$LR$60=AI$1),0),$B10-1966)</f>
        <v>13917</v>
      </c>
      <c r="AJ10" s="23" cm="1">
        <f t="array" ref="AJ10">INDEX(GMWQ!$A$2:$LR$60,MATCH(1,(GMWQ!$LQ$2:$LQ$60=AJ$3)*(GMWQ!$LP$2:$LP$60=AJ$4)*(GMWQ!$LR$2:$LR$60=AJ$1),0),$B10-1966)</f>
        <v>11.13748</v>
      </c>
      <c r="AK10" s="23" cm="1">
        <f t="array" ref="AK10">INDEX(GMWQ!$A$2:$LR$60,MATCH(1,(GMWQ!$LQ$2:$LQ$60=AK$3)*(GMWQ!$LP$2:$LP$60=AK$4)*(GMWQ!$LR$2:$LR$60=AK$1),0),$B10-1966)</f>
        <v>10380</v>
      </c>
      <c r="AL10" s="23" cm="1">
        <f t="array" ref="AL10">INDEX(GMWQ!$A$2:$LR$60,MATCH(1,(GMWQ!$LQ$2:$LQ$60=AL$3)*(GMWQ!$LP$2:$LP$60=AL$4)*(GMWQ!$LR$2:$LR$60=AL$1),0),$B10-1966)</f>
        <v>466.57260000000002</v>
      </c>
      <c r="AM10" s="23" cm="1">
        <f t="array" ref="AM10">INDEX(GMWQ!$A$2:$LR$60,MATCH(1,(GMWQ!$LQ$2:$LQ$60=AM$3)*(GMWQ!$LP$2:$LP$60=AM$4)*(GMWQ!$LR$2:$LR$60=AM$1),0),$B10-1966)</f>
        <v>22247.34</v>
      </c>
      <c r="AN10" s="23" cm="1">
        <f t="array" ref="AN10">INDEX(GMWQ!$A$2:$LR$60,MATCH(1,(GMWQ!$LQ$2:$LQ$60=AN$3)*(GMWQ!$LP$2:$LP$60=AN$4)*(GMWQ!$LR$2:$LR$60=AN$1),0),$B10-1966)</f>
        <v>1950.44</v>
      </c>
      <c r="AO10" s="23" cm="1">
        <f t="array" ref="AO10">INDEX(GMWQ!$A$2:$LR$60,MATCH(1,(GMWQ!$LQ$2:$LQ$60=AO$3)*(GMWQ!$LP$2:$LP$60=AO$4)*(GMWQ!$LR$2:$LR$60=AO$1),0),$B10-1966)</f>
        <v>513.14440000000002</v>
      </c>
      <c r="AP10" s="23" cm="1">
        <f t="array" ref="AP10">INDEX(GMWQ!$A$2:$LR$60,MATCH(1,(GMWQ!$LQ$2:$LQ$60=AP$3)*(GMWQ!$LP$2:$LP$60=AP$4)*(GMWQ!$LR$2:$LR$60=AP$1),0),$B10-1966)</f>
        <v>-178.7535</v>
      </c>
      <c r="AQ10" s="23" cm="1">
        <f t="array" ref="AQ10">INDEX(GMWQ!$A$2:$LR$60,MATCH(1,(GMWQ!$LQ$2:$LQ$60=AQ$3)*(GMWQ!$LP$2:$LP$60=AQ$4)*(GMWQ!$LR$2:$LR$60=AQ$1),0),$B10-1966)</f>
        <v>1703.095</v>
      </c>
      <c r="AR10" s="23" cm="1">
        <f t="array" ref="AR10">INDEX(GMWQ!$A$2:$LR$60,MATCH(1,(GMWQ!$LQ$2:$LQ$60=AR$3)*(GMWQ!$LP$2:$LP$60=AR$4)*(GMWQ!$LR$2:$LR$60=AR$1),0),$B10-1966)</f>
        <v>12811</v>
      </c>
      <c r="AS10" s="23" cm="1">
        <f t="array" ref="AS10">INDEX(GMWQ!$A$2:$LR$60,MATCH(1,(GMWQ!$LQ$2:$LQ$60=AS$3)*(GMWQ!$LP$2:$LP$60=AS$4)*(GMWQ!$LR$2:$LR$60=AS$1),0),$B10-1966)</f>
        <v>204</v>
      </c>
      <c r="AT10" s="23" cm="1">
        <f t="array" ref="AT10">INDEX(GMWQ!$A$2:$LR$60,MATCH(1,(GMWQ!$LQ$2:$LQ$60=AT$3)*(GMWQ!$LP$2:$LP$60=AT$4)*(GMWQ!$LR$2:$LR$60=AT$1),0),$B10-1966)</f>
        <v>115026</v>
      </c>
      <c r="AU10" s="23" cm="1">
        <f t="array" ref="AU10">INDEX(GMWQ!$A$2:$LR$60,MATCH(1,(GMWQ!$LQ$2:$LQ$60=AU$3)*(GMWQ!$LP$2:$LP$60=AU$4)*(GMWQ!$LR$2:$LR$60=AU$1),0),$B10-1966)</f>
        <v>3556</v>
      </c>
    </row>
    <row r="11" spans="1:47" x14ac:dyDescent="0.35">
      <c r="A11" s="7">
        <v>1974</v>
      </c>
      <c r="B11" s="7">
        <f t="shared" si="1"/>
        <v>1977</v>
      </c>
      <c r="C11" s="7" cm="1">
        <f t="array" ref="C11">INDEX(GMWQ!$A$2:$LR$60,MATCH(1,(GMWQ!$LQ$2:$LQ$60=C$3)*(GMWQ!$LP$2:$LP$60=C$4)*(GMWQ!$LR$2:$LR$60=C$1),0),$B11-1966)</f>
        <v>215122</v>
      </c>
      <c r="D11" s="7" cm="1">
        <f t="array" ref="D11">INDEX(GMWQ!$A$2:$LR$60,MATCH(1,(GMWQ!$LQ$2:$LQ$60=D$3)*(GMWQ!$LP$2:$LP$60=D$4)*(GMWQ!$LR$2:$LR$60=D$1),0),$B11-1966)</f>
        <v>16.780860000000001</v>
      </c>
      <c r="E11" s="7" cm="1">
        <f t="array" ref="E11">INDEX(GMWQ!$A$2:$LR$60,MATCH(1,(GMWQ!$LQ$2:$LQ$60=E$3)*(GMWQ!$LP$2:$LP$60=E$4)*(GMWQ!$LR$2:$LR$60=E$1),0),$B11-1966)</f>
        <v>13.47771</v>
      </c>
      <c r="F11" s="7" cm="1">
        <f t="array" ref="F11">INDEX(GMWQ!$A$2:$LR$60,MATCH(1,(GMWQ!$LQ$2:$LQ$60=F$3)*(GMWQ!$LP$2:$LP$60=F$4)*(GMWQ!$LR$2:$LR$60=F$1),0),$B11-1966)</f>
        <v>10596</v>
      </c>
      <c r="G11" s="7" cm="1">
        <f t="array" ref="G11">INDEX(GMWQ!$A$2:$LR$60,MATCH(1,(GMWQ!$LQ$2:$LQ$60=G$3)*(GMWQ!$LP$2:$LP$60=G$4)*(GMWQ!$LR$2:$LR$60=G$1),0),$B11-1966)</f>
        <v>2131.4389999999999</v>
      </c>
      <c r="H11" s="7" cm="1">
        <f t="array" ref="H11">INDEX(GMWQ!$A$2:$LR$60,MATCH(1,(GMWQ!$LQ$2:$LQ$60=H$3)*(GMWQ!$LP$2:$LP$60=H$4)*(GMWQ!$LR$2:$LR$60=H$1),0),$B11-1966)</f>
        <v>541.65239999999994</v>
      </c>
      <c r="I11" s="7" cm="1">
        <f t="array" ref="I11">INDEX(GMWQ!$A$2:$LR$60,MATCH(1,(GMWQ!$LQ$2:$LQ$60=I$3)*(GMWQ!$LP$2:$LP$60=I$4)*(GMWQ!$LR$2:$LR$60=I$1),0),$B11-1966)</f>
        <v>11.73601</v>
      </c>
      <c r="J11" s="7" cm="1">
        <f t="array" ref="J11">INDEX(GMWQ!$A$2:$LR$60,MATCH(1,(GMWQ!$LQ$2:$LQ$60=J$3)*(GMWQ!$LP$2:$LP$60=J$4)*(GMWQ!$LR$2:$LR$60=J$1),0),$B11-1966)</f>
        <v>22211.17</v>
      </c>
      <c r="K11" s="7" cm="1">
        <f t="array" ref="K11">INDEX(GMWQ!$A$2:$LR$60,MATCH(1,(GMWQ!$LQ$2:$LQ$60=K$3)*(GMWQ!$LP$2:$LP$60=K$4)*(GMWQ!$LR$2:$LR$60=K$1),0),$B11-1966)</f>
        <v>12.5</v>
      </c>
      <c r="L11" s="7" cm="1">
        <f t="array" ref="L11">INDEX(GMWQ!$A$2:$LR$60,MATCH(1,(GMWQ!$LQ$2:$LQ$60=L$3)*(GMWQ!$LP$2:$LP$60=L$4)*(GMWQ!$LR$2:$LR$60=L$1),0),$B11-1966)</f>
        <v>3.6</v>
      </c>
      <c r="M11" s="7" cm="1">
        <f t="array" ref="M11">INDEX(GMWQ!$A$2:$LR$60,MATCH(1,(GMWQ!$LQ$2:$LQ$60=M$3)*(GMWQ!$LP$2:$LP$60=M$4)*(GMWQ!$LR$2:$LR$60=M$1),0),$B11-1966)</f>
        <v>4.6806450000000002</v>
      </c>
      <c r="N11" s="7" cm="1">
        <f t="array" ref="N11">INDEX(GMWQ!$A$2:$LR$60,MATCH(1,(GMWQ!$LQ$2:$LQ$60=N$3)*(GMWQ!$LP$2:$LP$60=N$4)*(GMWQ!$LR$2:$LR$60=N$1),0),$B11-1966)</f>
        <v>1E-3</v>
      </c>
      <c r="O11" s="7" cm="1">
        <f t="array" ref="O11">INDEX(GMWQ!$A$2:$LR$60,MATCH(1,(GMWQ!$LQ$2:$LQ$60=O$3)*(GMWQ!$LP$2:$LP$60=O$4)*(GMWQ!$LR$2:$LR$60=O$1),0),$B11-1966)</f>
        <v>1E-3</v>
      </c>
      <c r="P11" s="7" cm="1">
        <f t="array" ref="P11">INDEX(GMWQ!$A$2:$LR$60,MATCH(1,(GMWQ!$LQ$2:$LQ$60=P$3)*(GMWQ!$LP$2:$LP$60=P$4)*(GMWQ!$LR$2:$LR$60=P$1),0),$B11-1966)</f>
        <v>14267</v>
      </c>
      <c r="Q11" s="7" cm="1">
        <f t="array" ref="Q11">INDEX(GMWQ!$A$2:$LR$60,MATCH(1,(GMWQ!$LQ$2:$LQ$60=Q$3)*(GMWQ!$LP$2:$LP$60=Q$4)*(GMWQ!$LR$2:$LR$60=Q$1),0),$B11-1966)</f>
        <v>11</v>
      </c>
      <c r="R11" s="7" cm="1">
        <f t="array" ref="R11">INDEX(GMWQ!$A$2:$LR$60,MATCH(1,(GMWQ!$LQ$2:$LQ$60=R$3)*(GMWQ!$LP$2:$LP$60=R$4)*(GMWQ!$LR$2:$LR$60=R$1),0),$B11-1966)</f>
        <v>1E-3</v>
      </c>
      <c r="S11" s="7" cm="1">
        <f t="array" ref="S11">INDEX(GMWQ!$A$2:$LR$60,MATCH(1,(GMWQ!$LQ$2:$LQ$60=S$3)*(GMWQ!$LP$2:$LP$60=S$4)*(GMWQ!$LR$2:$LR$60=S$1),0),$B11-1966)</f>
        <v>1</v>
      </c>
      <c r="T11" s="7" cm="1">
        <f t="array" ref="T11">INDEX(GMWQ!$A$2:$LR$60,MATCH(1,(GMWQ!$LQ$2:$LQ$60=T$3)*(GMWQ!$LP$2:$LP$60=T$4)*(GMWQ!$LR$2:$LR$60=T$1),0),$B11-1966)</f>
        <v>1E-3</v>
      </c>
      <c r="U11" s="7" cm="1">
        <f t="array" ref="U11">INDEX(GMWQ!$A$2:$LR$60,MATCH(1,(GMWQ!$LQ$2:$LQ$60=U$3)*(GMWQ!$LP$2:$LP$60=U$4)*(GMWQ!$LR$2:$LR$60=U$1),0),$B11-1966)</f>
        <v>0</v>
      </c>
      <c r="V11" s="7" cm="1">
        <f t="array" ref="V11">INDEX(GMWQ!$A$2:$LR$60,MATCH(1,(GMWQ!$LQ$2:$LQ$60=V$3)*(GMWQ!$LP$2:$LP$60=V$4)*(GMWQ!$LR$2:$LR$60=V$1),0),$B11-1966)</f>
        <v>1E-3</v>
      </c>
      <c r="W11" s="7" cm="1">
        <f t="array" ref="W11">INDEX(GMWQ!$A$2:$LR$60,MATCH(1,(GMWQ!$LQ$2:$LQ$60=W$3)*(GMWQ!$LP$2:$LP$60=W$4)*(GMWQ!$LR$2:$LR$60=W$1),0),$B11-1966)</f>
        <v>16.048850000000002</v>
      </c>
      <c r="X11" s="7" cm="1">
        <f t="array" ref="X11">INDEX(GMWQ!$A$2:$LR$60,MATCH(1,(GMWQ!$LQ$2:$LQ$60=X$3)*(GMWQ!$LP$2:$LP$60=X$4)*(GMWQ!$LR$2:$LR$60=X$1),0),$B11-1966)</f>
        <v>699428</v>
      </c>
      <c r="Y11" s="7" cm="1">
        <f t="array" ref="Y11">INDEX(GMWQ!$A$2:$LR$60,MATCH(1,(GMWQ!$LQ$2:$LQ$60=Y$3)*(GMWQ!$LP$2:$LP$60=Y$4)*(GMWQ!$LR$2:$LR$60=Y$1),0),$B11-1966)</f>
        <v>9.8232630000000007</v>
      </c>
      <c r="Z11" s="7" cm="1">
        <f t="array" ref="Z11">INDEX(GMWQ!$A$2:$LR$60,MATCH(1,(GMWQ!$LQ$2:$LQ$60=Z$3)*(GMWQ!$LP$2:$LP$60=Z$4)*(GMWQ!$LR$2:$LR$60=Z$1),0),$B11-1966)</f>
        <v>226301</v>
      </c>
      <c r="AA11" s="7" cm="1">
        <f t="array" ref="AA11">INDEX(GMWQ!$A$2:$LR$60,MATCH(1,(GMWQ!$LQ$2:$LQ$60=AA$3)*(GMWQ!$LP$2:$LP$60=AA$4)*(GMWQ!$LR$2:$LR$60=AA$1),0),$B11-1966)</f>
        <v>8811</v>
      </c>
      <c r="AB11" s="7" cm="1">
        <f t="array" ref="AB11">INDEX(GMWQ!$A$2:$LR$60,MATCH(1,(GMWQ!$LQ$2:$LQ$60=AB$3)*(GMWQ!$LP$2:$LP$60=AB$4)*(GMWQ!$LR$2:$LR$60=AB$1),0),$B11-1966)</f>
        <v>7324</v>
      </c>
      <c r="AC11" s="7" cm="1">
        <f t="array" ref="AC11">INDEX(GMWQ!$A$2:$LR$60,MATCH(1,(GMWQ!$LQ$2:$LQ$60=AC$3)*(GMWQ!$LP$2:$LP$60=AC$4)*(GMWQ!$LR$2:$LR$60=AC$1),0),$B11-1966)</f>
        <v>1377</v>
      </c>
      <c r="AD11" s="7" cm="1">
        <f t="array" ref="AD11">INDEX(GMWQ!$A$2:$LR$60,MATCH(1,(GMWQ!$LQ$2:$LQ$60=AD$3)*(GMWQ!$LP$2:$LP$60=AD$4)*(GMWQ!$LR$2:$LR$60=AD$1),0),$B11-1966)</f>
        <v>898</v>
      </c>
      <c r="AE11" s="7" cm="1">
        <f t="array" ref="AE11">INDEX(GMWQ!$A$2:$LR$60,MATCH(1,(GMWQ!$LQ$2:$LQ$60=AE$3)*(GMWQ!$LP$2:$LP$60=AE$4)*(GMWQ!$LR$2:$LR$60=AE$1),0),$B11-1966)</f>
        <v>21132</v>
      </c>
      <c r="AF11" s="20" cm="1">
        <f t="array" ref="AF11">INDEX(GMWQ!$A$2:$LR$60,MATCH(1,(GMWQ!$LQ$2:$LQ$60=AF$3)*(GMWQ!$LP$2:$LP$60=AF$4)*(GMWQ!$LR$2:$LR$60=AF$1),0),$B11-1966)</f>
        <v>12.60938</v>
      </c>
      <c r="AG11" s="20" cm="1">
        <f t="array" ref="AG11">INDEX(GMWQ!$A$2:$LR$60,MATCH(1,(GMWQ!$LQ$2:$LQ$60=AG$3)*(GMWQ!$LP$2:$LP$60=AG$4)*(GMWQ!$LR$2:$LR$60=AG$1),0),$B11-1966)</f>
        <v>-154.5488</v>
      </c>
      <c r="AI11" s="23" cm="1">
        <f t="array" ref="AI11">INDEX(GMWQ!$A$2:$LR$60,MATCH(1,(GMWQ!$LQ$2:$LQ$60=AI$3)*(GMWQ!$LP$2:$LP$60=AI$4)*(GMWQ!$LR$2:$LR$60=AI$1),0),$B11-1966)</f>
        <v>14267</v>
      </c>
      <c r="AJ11" s="23" cm="1">
        <f t="array" ref="AJ11">INDEX(GMWQ!$A$2:$LR$60,MATCH(1,(GMWQ!$LQ$2:$LQ$60=AJ$3)*(GMWQ!$LP$2:$LP$60=AJ$4)*(GMWQ!$LR$2:$LR$60=AJ$1),0),$B11-1966)</f>
        <v>11.73601</v>
      </c>
      <c r="AK11" s="23" cm="1">
        <f t="array" ref="AK11">INDEX(GMWQ!$A$2:$LR$60,MATCH(1,(GMWQ!$LQ$2:$LQ$60=AK$3)*(GMWQ!$LP$2:$LP$60=AK$4)*(GMWQ!$LR$2:$LR$60=AK$1),0),$B11-1966)</f>
        <v>10596</v>
      </c>
      <c r="AL11" s="23" cm="1">
        <f t="array" ref="AL11">INDEX(GMWQ!$A$2:$LR$60,MATCH(1,(GMWQ!$LQ$2:$LQ$60=AL$3)*(GMWQ!$LP$2:$LP$60=AL$4)*(GMWQ!$LR$2:$LR$60=AL$1),0),$B11-1966)</f>
        <v>477.0573</v>
      </c>
      <c r="AM11" s="23" cm="1">
        <f t="array" ref="AM11">INDEX(GMWQ!$A$2:$LR$60,MATCH(1,(GMWQ!$LQ$2:$LQ$60=AM$3)*(GMWQ!$LP$2:$LP$60=AM$4)*(GMWQ!$LR$2:$LR$60=AM$1),0),$B11-1966)</f>
        <v>22211.17</v>
      </c>
      <c r="AN11" s="23" cm="1">
        <f t="array" ref="AN11">INDEX(GMWQ!$A$2:$LR$60,MATCH(1,(GMWQ!$LQ$2:$LQ$60=AN$3)*(GMWQ!$LP$2:$LP$60=AN$4)*(GMWQ!$LR$2:$LR$60=AN$1),0),$B11-1966)</f>
        <v>2131.4389999999999</v>
      </c>
      <c r="AO11" s="23" cm="1">
        <f t="array" ref="AO11">INDEX(GMWQ!$A$2:$LR$60,MATCH(1,(GMWQ!$LQ$2:$LQ$60=AO$3)*(GMWQ!$LP$2:$LP$60=AO$4)*(GMWQ!$LR$2:$LR$60=AO$1),0),$B11-1966)</f>
        <v>541.65239999999994</v>
      </c>
      <c r="AP11" s="23" cm="1">
        <f t="array" ref="AP11">INDEX(GMWQ!$A$2:$LR$60,MATCH(1,(GMWQ!$LQ$2:$LQ$60=AP$3)*(GMWQ!$LP$2:$LP$60=AP$4)*(GMWQ!$LR$2:$LR$60=AP$1),0),$B11-1966)</f>
        <v>-154.5488</v>
      </c>
      <c r="AQ11" s="23" cm="1">
        <f t="array" ref="AQ11">INDEX(GMWQ!$A$2:$LR$60,MATCH(1,(GMWQ!$LQ$2:$LQ$60=AQ$3)*(GMWQ!$LP$2:$LP$60=AQ$4)*(GMWQ!$LR$2:$LR$60=AQ$1),0),$B11-1966)</f>
        <v>1738.2829999999999</v>
      </c>
      <c r="AR11" s="23" cm="1">
        <f t="array" ref="AR11">INDEX(GMWQ!$A$2:$LR$60,MATCH(1,(GMWQ!$LQ$2:$LQ$60=AR$3)*(GMWQ!$LP$2:$LP$60=AR$4)*(GMWQ!$LR$2:$LR$60=AR$1),0),$B11-1966)</f>
        <v>13255</v>
      </c>
      <c r="AS11" s="23" cm="1">
        <f t="array" ref="AS11">INDEX(GMWQ!$A$2:$LR$60,MATCH(1,(GMWQ!$LQ$2:$LQ$60=AS$3)*(GMWQ!$LP$2:$LP$60=AS$4)*(GMWQ!$LR$2:$LR$60=AS$1),0),$B11-1966)</f>
        <v>221</v>
      </c>
      <c r="AT11" s="23" cm="1">
        <f t="array" ref="AT11">INDEX(GMWQ!$A$2:$LR$60,MATCH(1,(GMWQ!$LQ$2:$LQ$60=AT$3)*(GMWQ!$LP$2:$LP$60=AT$4)*(GMWQ!$LR$2:$LR$60=AT$1),0),$B11-1966)</f>
        <v>112943</v>
      </c>
      <c r="AU11" s="23" cm="1">
        <f t="array" ref="AU11">INDEX(GMWQ!$A$2:$LR$60,MATCH(1,(GMWQ!$LQ$2:$LQ$60=AU$3)*(GMWQ!$LP$2:$LP$60=AU$4)*(GMWQ!$LR$2:$LR$60=AU$1),0),$B11-1966)</f>
        <v>3577</v>
      </c>
    </row>
    <row r="12" spans="1:47" x14ac:dyDescent="0.35">
      <c r="B12" s="7">
        <f t="shared" si="1"/>
        <v>1978</v>
      </c>
      <c r="C12" s="7" cm="1">
        <f t="array" ref="C12">INDEX(GMWQ!$A$2:$LR$60,MATCH(1,(GMWQ!$LQ$2:$LQ$60=C$3)*(GMWQ!$LP$2:$LP$60=C$4)*(GMWQ!$LR$2:$LR$60=C$1),0),$B12-1966)</f>
        <v>218215</v>
      </c>
      <c r="D12" s="7" cm="1">
        <f t="array" ref="D12">INDEX(GMWQ!$A$2:$LR$60,MATCH(1,(GMWQ!$LQ$2:$LQ$60=D$3)*(GMWQ!$LP$2:$LP$60=D$4)*(GMWQ!$LR$2:$LR$60=D$1),0),$B12-1966)</f>
        <v>18.253409999999999</v>
      </c>
      <c r="E12" s="7" cm="1">
        <f t="array" ref="E12">INDEX(GMWQ!$A$2:$LR$60,MATCH(1,(GMWQ!$LQ$2:$LQ$60=E$3)*(GMWQ!$LP$2:$LP$60=E$4)*(GMWQ!$LR$2:$LR$60=E$1),0),$B12-1966)</f>
        <v>14.23371</v>
      </c>
      <c r="F12" s="7" cm="1">
        <f t="array" ref="F12">INDEX(GMWQ!$A$2:$LR$60,MATCH(1,(GMWQ!$LQ$2:$LQ$60=F$3)*(GMWQ!$LP$2:$LP$60=F$4)*(GMWQ!$LR$2:$LR$60=F$1),0),$B12-1966)</f>
        <v>11121</v>
      </c>
      <c r="G12" s="7" cm="1">
        <f t="array" ref="G12">INDEX(GMWQ!$A$2:$LR$60,MATCH(1,(GMWQ!$LQ$2:$LQ$60=G$3)*(GMWQ!$LP$2:$LP$60=G$4)*(GMWQ!$LR$2:$LR$60=G$1),0),$B12-1966)</f>
        <v>2461.7869999999998</v>
      </c>
      <c r="H12" s="7" cm="1">
        <f t="array" ref="H12">INDEX(GMWQ!$A$2:$LR$60,MATCH(1,(GMWQ!$LQ$2:$LQ$60=H$3)*(GMWQ!$LP$2:$LP$60=H$4)*(GMWQ!$LR$2:$LR$60=H$1),0),$B12-1966)</f>
        <v>544.81989999999996</v>
      </c>
      <c r="I12" s="7" cm="1">
        <f t="array" ref="I12">INDEX(GMWQ!$A$2:$LR$60,MATCH(1,(GMWQ!$LQ$2:$LQ$60=I$3)*(GMWQ!$LP$2:$LP$60=I$4)*(GMWQ!$LR$2:$LR$60=I$1),0),$B12-1966)</f>
        <v>12.213190000000001</v>
      </c>
      <c r="J12" s="7" cm="1">
        <f t="array" ref="J12">INDEX(GMWQ!$A$2:$LR$60,MATCH(1,(GMWQ!$LQ$2:$LQ$60=J$3)*(GMWQ!$LP$2:$LP$60=J$4)*(GMWQ!$LR$2:$LR$60=J$1),0),$B12-1966)</f>
        <v>22296.23</v>
      </c>
      <c r="K12" s="7" cm="1">
        <f t="array" ref="K12">INDEX(GMWQ!$A$2:$LR$60,MATCH(1,(GMWQ!$LQ$2:$LQ$60=K$3)*(GMWQ!$LP$2:$LP$60=K$4)*(GMWQ!$LR$2:$LR$60=K$1),0),$B12-1966)</f>
        <v>11.75</v>
      </c>
      <c r="L12" s="7" cm="1">
        <f t="array" ref="L12">INDEX(GMWQ!$A$2:$LR$60,MATCH(1,(GMWQ!$LQ$2:$LQ$60=L$3)*(GMWQ!$LP$2:$LP$60=L$4)*(GMWQ!$LR$2:$LR$60=L$1),0),$B12-1966)</f>
        <v>3.6</v>
      </c>
      <c r="M12" s="7" cm="1">
        <f t="array" ref="M12">INDEX(GMWQ!$A$2:$LR$60,MATCH(1,(GMWQ!$LQ$2:$LQ$60=M$3)*(GMWQ!$LP$2:$LP$60=M$4)*(GMWQ!$LR$2:$LR$60=M$1),0),$B12-1966)</f>
        <v>4.7066619999999997</v>
      </c>
      <c r="N12" s="7" cm="1">
        <f t="array" ref="N12">INDEX(GMWQ!$A$2:$LR$60,MATCH(1,(GMWQ!$LQ$2:$LQ$60=N$3)*(GMWQ!$LP$2:$LP$60=N$4)*(GMWQ!$LR$2:$LR$60=N$1),0),$B12-1966)</f>
        <v>1E-3</v>
      </c>
      <c r="O12" s="7" cm="1">
        <f t="array" ref="O12">INDEX(GMWQ!$A$2:$LR$60,MATCH(1,(GMWQ!$LQ$2:$LQ$60=O$3)*(GMWQ!$LP$2:$LP$60=O$4)*(GMWQ!$LR$2:$LR$60=O$1),0),$B12-1966)</f>
        <v>1E-3</v>
      </c>
      <c r="P12" s="7" cm="1">
        <f t="array" ref="P12">INDEX(GMWQ!$A$2:$LR$60,MATCH(1,(GMWQ!$LQ$2:$LQ$60=P$3)*(GMWQ!$LP$2:$LP$60=P$4)*(GMWQ!$LR$2:$LR$60=P$1),0),$B12-1966)</f>
        <v>14694</v>
      </c>
      <c r="Q12" s="7" cm="1">
        <f t="array" ref="Q12">INDEX(GMWQ!$A$2:$LR$60,MATCH(1,(GMWQ!$LQ$2:$LQ$60=Q$3)*(GMWQ!$LP$2:$LP$60=Q$4)*(GMWQ!$LR$2:$LR$60=Q$1),0),$B12-1966)</f>
        <v>11</v>
      </c>
      <c r="R12" s="7" cm="1">
        <f t="array" ref="R12">INDEX(GMWQ!$A$2:$LR$60,MATCH(1,(GMWQ!$LQ$2:$LQ$60=R$3)*(GMWQ!$LP$2:$LP$60=R$4)*(GMWQ!$LR$2:$LR$60=R$1),0),$B12-1966)</f>
        <v>1E-3</v>
      </c>
      <c r="S12" s="7" cm="1">
        <f t="array" ref="S12">INDEX(GMWQ!$A$2:$LR$60,MATCH(1,(GMWQ!$LQ$2:$LQ$60=S$3)*(GMWQ!$LP$2:$LP$60=S$4)*(GMWQ!$LR$2:$LR$60=S$1),0),$B12-1966)</f>
        <v>1</v>
      </c>
      <c r="T12" s="7" cm="1">
        <f t="array" ref="T12">INDEX(GMWQ!$A$2:$LR$60,MATCH(1,(GMWQ!$LQ$2:$LQ$60=T$3)*(GMWQ!$LP$2:$LP$60=T$4)*(GMWQ!$LR$2:$LR$60=T$1),0),$B12-1966)</f>
        <v>1E-3</v>
      </c>
      <c r="U12" s="7" cm="1">
        <f t="array" ref="U12">INDEX(GMWQ!$A$2:$LR$60,MATCH(1,(GMWQ!$LQ$2:$LQ$60=U$3)*(GMWQ!$LP$2:$LP$60=U$4)*(GMWQ!$LR$2:$LR$60=U$1),0),$B12-1966)</f>
        <v>0</v>
      </c>
      <c r="V12" s="7" cm="1">
        <f t="array" ref="V12">INDEX(GMWQ!$A$2:$LR$60,MATCH(1,(GMWQ!$LQ$2:$LQ$60=V$3)*(GMWQ!$LP$2:$LP$60=V$4)*(GMWQ!$LR$2:$LR$60=V$1),0),$B12-1966)</f>
        <v>1E-3</v>
      </c>
      <c r="W12" s="7" cm="1">
        <f t="array" ref="W12">INDEX(GMWQ!$A$2:$LR$60,MATCH(1,(GMWQ!$LQ$2:$LQ$60=W$3)*(GMWQ!$LP$2:$LP$60=W$4)*(GMWQ!$LR$2:$LR$60=W$1),0),$B12-1966)</f>
        <v>12.85718</v>
      </c>
      <c r="X12" s="7" cm="1">
        <f t="array" ref="X12">INDEX(GMWQ!$A$2:$LR$60,MATCH(1,(GMWQ!$LQ$2:$LQ$60=X$3)*(GMWQ!$LP$2:$LP$60=X$4)*(GMWQ!$LR$2:$LR$60=X$1),0),$B12-1966)</f>
        <v>699100.2</v>
      </c>
      <c r="Y12" s="7" cm="1">
        <f t="array" ref="Y12">INDEX(GMWQ!$A$2:$LR$60,MATCH(1,(GMWQ!$LQ$2:$LQ$60=Y$3)*(GMWQ!$LP$2:$LP$60=Y$4)*(GMWQ!$LR$2:$LR$60=Y$1),0),$B12-1966)</f>
        <v>10.380129999999999</v>
      </c>
      <c r="Z12" s="7" cm="1">
        <f t="array" ref="Z12">INDEX(GMWQ!$A$2:$LR$60,MATCH(1,(GMWQ!$LQ$2:$LQ$60=Z$3)*(GMWQ!$LP$2:$LP$60=Z$4)*(GMWQ!$LR$2:$LR$60=Z$1),0),$B12-1966)</f>
        <v>226971</v>
      </c>
      <c r="AA12" s="7" cm="1">
        <f t="array" ref="AA12">INDEX(GMWQ!$A$2:$LR$60,MATCH(1,(GMWQ!$LQ$2:$LQ$60=AA$3)*(GMWQ!$LP$2:$LP$60=AA$4)*(GMWQ!$LR$2:$LR$60=AA$1),0),$B12-1966)</f>
        <v>8234</v>
      </c>
      <c r="AB12" s="7" cm="1">
        <f t="array" ref="AB12">INDEX(GMWQ!$A$2:$LR$60,MATCH(1,(GMWQ!$LQ$2:$LQ$60=AB$3)*(GMWQ!$LP$2:$LP$60=AB$4)*(GMWQ!$LR$2:$LR$60=AB$1),0),$B12-1966)</f>
        <v>6969</v>
      </c>
      <c r="AC12" s="7" cm="1">
        <f t="array" ref="AC12">INDEX(GMWQ!$A$2:$LR$60,MATCH(1,(GMWQ!$LQ$2:$LQ$60=AC$3)*(GMWQ!$LP$2:$LP$60=AC$4)*(GMWQ!$LR$2:$LR$60=AC$1),0),$B12-1966)</f>
        <v>927</v>
      </c>
      <c r="AD12" s="7" cm="1">
        <f t="array" ref="AD12">INDEX(GMWQ!$A$2:$LR$60,MATCH(1,(GMWQ!$LQ$2:$LQ$60=AD$3)*(GMWQ!$LP$2:$LP$60=AD$4)*(GMWQ!$LR$2:$LR$60=AD$1),0),$B12-1966)</f>
        <v>969</v>
      </c>
      <c r="AE12" s="7" cm="1">
        <f t="array" ref="AE12">INDEX(GMWQ!$A$2:$LR$60,MATCH(1,(GMWQ!$LQ$2:$LQ$60=AE$3)*(GMWQ!$LP$2:$LP$60=AE$4)*(GMWQ!$LR$2:$LR$60=AE$1),0),$B12-1966)</f>
        <v>22651</v>
      </c>
      <c r="AF12" s="20" cm="1">
        <f t="array" ref="AF12">INDEX(GMWQ!$A$2:$LR$60,MATCH(1,(GMWQ!$LQ$2:$LQ$60=AF$3)*(GMWQ!$LP$2:$LP$60=AF$4)*(GMWQ!$LR$2:$LR$60=AF$1),0),$B12-1966)</f>
        <v>11.96923</v>
      </c>
      <c r="AG12" s="20" cm="1">
        <f t="array" ref="AG12">INDEX(GMWQ!$A$2:$LR$60,MATCH(1,(GMWQ!$LQ$2:$LQ$60=AG$3)*(GMWQ!$LP$2:$LP$60=AG$4)*(GMWQ!$LR$2:$LR$60=AG$1),0),$B12-1966)</f>
        <v>-159.6465</v>
      </c>
      <c r="AI12" s="23" cm="1">
        <f t="array" ref="AI12">INDEX(GMWQ!$A$2:$LR$60,MATCH(1,(GMWQ!$LQ$2:$LQ$60=AI$3)*(GMWQ!$LP$2:$LP$60=AI$4)*(GMWQ!$LR$2:$LR$60=AI$1),0),$B12-1966)</f>
        <v>14694</v>
      </c>
      <c r="AJ12" s="23" cm="1">
        <f t="array" ref="AJ12">INDEX(GMWQ!$A$2:$LR$60,MATCH(1,(GMWQ!$LQ$2:$LQ$60=AJ$3)*(GMWQ!$LP$2:$LP$60=AJ$4)*(GMWQ!$LR$2:$LR$60=AJ$1),0),$B12-1966)</f>
        <v>12.213190000000001</v>
      </c>
      <c r="AK12" s="23" cm="1">
        <f t="array" ref="AK12">INDEX(GMWQ!$A$2:$LR$60,MATCH(1,(GMWQ!$LQ$2:$LQ$60=AK$3)*(GMWQ!$LP$2:$LP$60=AK$4)*(GMWQ!$LR$2:$LR$60=AK$1),0),$B12-1966)</f>
        <v>11121</v>
      </c>
      <c r="AL12" s="23" cm="1">
        <f t="array" ref="AL12">INDEX(GMWQ!$A$2:$LR$60,MATCH(1,(GMWQ!$LQ$2:$LQ$60=AL$3)*(GMWQ!$LP$2:$LP$60=AL$4)*(GMWQ!$LR$2:$LR$60=AL$1),0),$B12-1966)</f>
        <v>498.78399999999999</v>
      </c>
      <c r="AM12" s="23" cm="1">
        <f t="array" ref="AM12">INDEX(GMWQ!$A$2:$LR$60,MATCH(1,(GMWQ!$LQ$2:$LQ$60=AM$3)*(GMWQ!$LP$2:$LP$60=AM$4)*(GMWQ!$LR$2:$LR$60=AM$1),0),$B12-1966)</f>
        <v>22296.23</v>
      </c>
      <c r="AN12" s="23" cm="1">
        <f t="array" ref="AN12">INDEX(GMWQ!$A$2:$LR$60,MATCH(1,(GMWQ!$LQ$2:$LQ$60=AN$3)*(GMWQ!$LP$2:$LP$60=AN$4)*(GMWQ!$LR$2:$LR$60=AN$1),0),$B12-1966)</f>
        <v>2461.7869999999998</v>
      </c>
      <c r="AO12" s="23" cm="1">
        <f t="array" ref="AO12">INDEX(GMWQ!$A$2:$LR$60,MATCH(1,(GMWQ!$LQ$2:$LQ$60=AO$3)*(GMWQ!$LP$2:$LP$60=AO$4)*(GMWQ!$LR$2:$LR$60=AO$1),0),$B12-1966)</f>
        <v>544.81989999999996</v>
      </c>
      <c r="AP12" s="23" cm="1">
        <f t="array" ref="AP12">INDEX(GMWQ!$A$2:$LR$60,MATCH(1,(GMWQ!$LQ$2:$LQ$60=AP$3)*(GMWQ!$LP$2:$LP$60=AP$4)*(GMWQ!$LR$2:$LR$60=AP$1),0),$B12-1966)</f>
        <v>-159.6465</v>
      </c>
      <c r="AQ12" s="23" cm="1">
        <f t="array" ref="AQ12">INDEX(GMWQ!$A$2:$LR$60,MATCH(1,(GMWQ!$LQ$2:$LQ$60=AQ$3)*(GMWQ!$LP$2:$LP$60=AQ$4)*(GMWQ!$LR$2:$LR$60=AQ$1),0),$B12-1966)</f>
        <v>1823.739</v>
      </c>
      <c r="AR12" s="23" cm="1">
        <f t="array" ref="AR12">INDEX(GMWQ!$A$2:$LR$60,MATCH(1,(GMWQ!$LQ$2:$LQ$60=AR$3)*(GMWQ!$LP$2:$LP$60=AR$4)*(GMWQ!$LR$2:$LR$60=AR$1),0),$B12-1966)</f>
        <v>13866</v>
      </c>
      <c r="AS12" s="23" cm="1">
        <f t="array" ref="AS12">INDEX(GMWQ!$A$2:$LR$60,MATCH(1,(GMWQ!$LQ$2:$LQ$60=AS$3)*(GMWQ!$LP$2:$LP$60=AS$4)*(GMWQ!$LR$2:$LR$60=AS$1),0),$B12-1966)</f>
        <v>242</v>
      </c>
      <c r="AT12" s="23" cm="1">
        <f t="array" ref="AT12">INDEX(GMWQ!$A$2:$LR$60,MATCH(1,(GMWQ!$LQ$2:$LQ$60=AT$3)*(GMWQ!$LP$2:$LP$60=AT$4)*(GMWQ!$LR$2:$LR$60=AT$1),0),$B12-1966)</f>
        <v>113533</v>
      </c>
      <c r="AU12" s="23" cm="1">
        <f t="array" ref="AU12">INDEX(GMWQ!$A$2:$LR$60,MATCH(1,(GMWQ!$LQ$2:$LQ$60=AU$3)*(GMWQ!$LP$2:$LP$60=AU$4)*(GMWQ!$LR$2:$LR$60=AU$1),0),$B12-1966)</f>
        <v>3483</v>
      </c>
    </row>
    <row r="13" spans="1:47" x14ac:dyDescent="0.35">
      <c r="B13" s="7">
        <f t="shared" si="1"/>
        <v>1979</v>
      </c>
      <c r="C13" s="7" cm="1">
        <f t="array" ref="C13">INDEX(GMWQ!$A$2:$LR$60,MATCH(1,(GMWQ!$LQ$2:$LQ$60=C$3)*(GMWQ!$LP$2:$LP$60=C$4)*(GMWQ!$LR$2:$LR$60=C$1),0),$B13-1966)</f>
        <v>219517</v>
      </c>
      <c r="D13" s="7" cm="1">
        <f t="array" ref="D13">INDEX(GMWQ!$A$2:$LR$60,MATCH(1,(GMWQ!$LQ$2:$LQ$60=D$3)*(GMWQ!$LP$2:$LP$60=D$4)*(GMWQ!$LR$2:$LR$60=D$1),0),$B13-1966)</f>
        <v>20.242899999999999</v>
      </c>
      <c r="E13" s="7" cm="1">
        <f t="array" ref="E13">INDEX(GMWQ!$A$2:$LR$60,MATCH(1,(GMWQ!$LQ$2:$LQ$60=E$3)*(GMWQ!$LP$2:$LP$60=E$4)*(GMWQ!$LR$2:$LR$60=E$1),0),$B13-1966)</f>
        <v>14.572609999999999</v>
      </c>
      <c r="F13" s="7" cm="1">
        <f t="array" ref="F13">INDEX(GMWQ!$A$2:$LR$60,MATCH(1,(GMWQ!$LQ$2:$LQ$60=F$3)*(GMWQ!$LP$2:$LP$60=F$4)*(GMWQ!$LR$2:$LR$60=F$1),0),$B13-1966)</f>
        <v>12083</v>
      </c>
      <c r="G13" s="7" cm="1">
        <f t="array" ref="G13">INDEX(GMWQ!$A$2:$LR$60,MATCH(1,(GMWQ!$LQ$2:$LQ$60=G$3)*(GMWQ!$LP$2:$LP$60=G$4)*(GMWQ!$LR$2:$LR$60=G$1),0),$B13-1966)</f>
        <v>2713.01</v>
      </c>
      <c r="H13" s="7" cm="1">
        <f t="array" ref="H13">INDEX(GMWQ!$A$2:$LR$60,MATCH(1,(GMWQ!$LQ$2:$LQ$60=H$3)*(GMWQ!$LP$2:$LP$60=H$4)*(GMWQ!$LR$2:$LR$60=H$1),0),$B13-1966)</f>
        <v>594.44510000000002</v>
      </c>
      <c r="I13" s="7" cm="1">
        <f t="array" ref="I13">INDEX(GMWQ!$A$2:$LR$60,MATCH(1,(GMWQ!$LQ$2:$LQ$60=I$3)*(GMWQ!$LP$2:$LP$60=I$4)*(GMWQ!$LR$2:$LR$60=I$1),0),$B13-1966)</f>
        <v>12.76206</v>
      </c>
      <c r="J13" s="7" cm="1">
        <f t="array" ref="J13">INDEX(GMWQ!$A$2:$LR$60,MATCH(1,(GMWQ!$LQ$2:$LQ$60=J$3)*(GMWQ!$LP$2:$LP$60=J$4)*(GMWQ!$LR$2:$LR$60=J$1),0),$B13-1966)</f>
        <v>22384.22</v>
      </c>
      <c r="K13" s="7" cm="1">
        <f t="array" ref="K13">INDEX(GMWQ!$A$2:$LR$60,MATCH(1,(GMWQ!$LQ$2:$LQ$60=K$3)*(GMWQ!$LP$2:$LP$60=K$4)*(GMWQ!$LR$2:$LR$60=K$1),0),$B13-1966)</f>
        <v>11.5</v>
      </c>
      <c r="L13" s="7" cm="1">
        <f t="array" ref="L13">INDEX(GMWQ!$A$2:$LR$60,MATCH(1,(GMWQ!$LQ$2:$LQ$60=L$3)*(GMWQ!$LP$2:$LP$60=L$4)*(GMWQ!$LR$2:$LR$60=L$1),0),$B13-1966)</f>
        <v>3.7</v>
      </c>
      <c r="M13" s="7" cm="1">
        <f t="array" ref="M13">INDEX(GMWQ!$A$2:$LR$60,MATCH(1,(GMWQ!$LQ$2:$LQ$60=M$3)*(GMWQ!$LP$2:$LP$60=M$4)*(GMWQ!$LR$2:$LR$60=M$1),0),$B13-1966)</f>
        <v>4.7429509999999997</v>
      </c>
      <c r="N13" s="7" cm="1">
        <f t="array" ref="N13">INDEX(GMWQ!$A$2:$LR$60,MATCH(1,(GMWQ!$LQ$2:$LQ$60=N$3)*(GMWQ!$LP$2:$LP$60=N$4)*(GMWQ!$LR$2:$LR$60=N$1),0),$B13-1966)</f>
        <v>1E-3</v>
      </c>
      <c r="O13" s="7" cm="1">
        <f t="array" ref="O13">INDEX(GMWQ!$A$2:$LR$60,MATCH(1,(GMWQ!$LQ$2:$LQ$60=O$3)*(GMWQ!$LP$2:$LP$60=O$4)*(GMWQ!$LR$2:$LR$60=O$1),0),$B13-1966)</f>
        <v>1E-3</v>
      </c>
      <c r="P13" s="7" cm="1">
        <f t="array" ref="P13">INDEX(GMWQ!$A$2:$LR$60,MATCH(1,(GMWQ!$LQ$2:$LQ$60=P$3)*(GMWQ!$LP$2:$LP$60=P$4)*(GMWQ!$LR$2:$LR$60=P$1),0),$B13-1966)</f>
        <v>15881</v>
      </c>
      <c r="Q13" s="7" cm="1">
        <f t="array" ref="Q13">INDEX(GMWQ!$A$2:$LR$60,MATCH(1,(GMWQ!$LQ$2:$LQ$60=Q$3)*(GMWQ!$LP$2:$LP$60=Q$4)*(GMWQ!$LR$2:$LR$60=Q$1),0),$B13-1966)</f>
        <v>11</v>
      </c>
      <c r="R13" s="7" cm="1">
        <f t="array" ref="R13">INDEX(GMWQ!$A$2:$LR$60,MATCH(1,(GMWQ!$LQ$2:$LQ$60=R$3)*(GMWQ!$LP$2:$LP$60=R$4)*(GMWQ!$LR$2:$LR$60=R$1),0),$B13-1966)</f>
        <v>1E-3</v>
      </c>
      <c r="S13" s="7" cm="1">
        <f t="array" ref="S13">INDEX(GMWQ!$A$2:$LR$60,MATCH(1,(GMWQ!$LQ$2:$LQ$60=S$3)*(GMWQ!$LP$2:$LP$60=S$4)*(GMWQ!$LR$2:$LR$60=S$1),0),$B13-1966)</f>
        <v>1</v>
      </c>
      <c r="T13" s="7" cm="1">
        <f t="array" ref="T13">INDEX(GMWQ!$A$2:$LR$60,MATCH(1,(GMWQ!$LQ$2:$LQ$60=T$3)*(GMWQ!$LP$2:$LP$60=T$4)*(GMWQ!$LR$2:$LR$60=T$1),0),$B13-1966)</f>
        <v>1E-3</v>
      </c>
      <c r="U13" s="7" cm="1">
        <f t="array" ref="U13">INDEX(GMWQ!$A$2:$LR$60,MATCH(1,(GMWQ!$LQ$2:$LQ$60=U$3)*(GMWQ!$LP$2:$LP$60=U$4)*(GMWQ!$LR$2:$LR$60=U$1),0),$B13-1966)</f>
        <v>0</v>
      </c>
      <c r="V13" s="7" cm="1">
        <f t="array" ref="V13">INDEX(GMWQ!$A$2:$LR$60,MATCH(1,(GMWQ!$LQ$2:$LQ$60=V$3)*(GMWQ!$LP$2:$LP$60=V$4)*(GMWQ!$LR$2:$LR$60=V$1),0),$B13-1966)</f>
        <v>1E-3</v>
      </c>
      <c r="W13" s="7" cm="1">
        <f t="array" ref="W13">INDEX(GMWQ!$A$2:$LR$60,MATCH(1,(GMWQ!$LQ$2:$LQ$60=W$3)*(GMWQ!$LP$2:$LP$60=W$4)*(GMWQ!$LR$2:$LR$60=W$1),0),$B13-1966)</f>
        <v>13.06794</v>
      </c>
      <c r="X13" s="7" cm="1">
        <f t="array" ref="X13">INDEX(GMWQ!$A$2:$LR$60,MATCH(1,(GMWQ!$LQ$2:$LQ$60=X$3)*(GMWQ!$LP$2:$LP$60=X$4)*(GMWQ!$LR$2:$LR$60=X$1),0),$B13-1966)</f>
        <v>698771.2</v>
      </c>
      <c r="Y13" s="7" cm="1">
        <f t="array" ref="Y13">INDEX(GMWQ!$A$2:$LR$60,MATCH(1,(GMWQ!$LQ$2:$LQ$60=Y$3)*(GMWQ!$LP$2:$LP$60=Y$4)*(GMWQ!$LR$2:$LR$60=Y$1),0),$B13-1966)</f>
        <v>10.885719999999999</v>
      </c>
      <c r="Z13" s="7" cm="1">
        <f t="array" ref="Z13">INDEX(GMWQ!$A$2:$LR$60,MATCH(1,(GMWQ!$LQ$2:$LQ$60=Z$3)*(GMWQ!$LP$2:$LP$60=Z$4)*(GMWQ!$LR$2:$LR$60=Z$1),0),$B13-1966)</f>
        <v>227938.4</v>
      </c>
      <c r="AA13" s="7" cm="1">
        <f t="array" ref="AA13">INDEX(GMWQ!$A$2:$LR$60,MATCH(1,(GMWQ!$LQ$2:$LQ$60=AA$3)*(GMWQ!$LP$2:$LP$60=AA$4)*(GMWQ!$LR$2:$LR$60=AA$1),0),$B13-1966)</f>
        <v>9232</v>
      </c>
      <c r="AB13" s="7" cm="1">
        <f t="array" ref="AB13">INDEX(GMWQ!$A$2:$LR$60,MATCH(1,(GMWQ!$LQ$2:$LQ$60=AB$3)*(GMWQ!$LP$2:$LP$60=AB$4)*(GMWQ!$LR$2:$LR$60=AB$1),0),$B13-1966)</f>
        <v>8197</v>
      </c>
      <c r="AC13" s="7" cm="1">
        <f t="array" ref="AC13">INDEX(GMWQ!$A$2:$LR$60,MATCH(1,(GMWQ!$LQ$2:$LQ$60=AC$3)*(GMWQ!$LP$2:$LP$60=AC$4)*(GMWQ!$LR$2:$LR$60=AC$1),0),$B13-1966)</f>
        <v>1338</v>
      </c>
      <c r="AD13" s="7" cm="1">
        <f t="array" ref="AD13">INDEX(GMWQ!$A$2:$LR$60,MATCH(1,(GMWQ!$LQ$2:$LQ$60=AD$3)*(GMWQ!$LP$2:$LP$60=AD$4)*(GMWQ!$LR$2:$LR$60=AD$1),0),$B13-1966)</f>
        <v>1042</v>
      </c>
      <c r="AE13" s="7" cm="1">
        <f t="array" ref="AE13">INDEX(GMWQ!$A$2:$LR$60,MATCH(1,(GMWQ!$LQ$2:$LQ$60=AE$3)*(GMWQ!$LP$2:$LP$60=AE$4)*(GMWQ!$LR$2:$LR$60=AE$1),0),$B13-1966)</f>
        <v>23896</v>
      </c>
      <c r="AF13" s="20" cm="1">
        <f t="array" ref="AF13">INDEX(GMWQ!$A$2:$LR$60,MATCH(1,(GMWQ!$LQ$2:$LQ$60=AF$3)*(GMWQ!$LP$2:$LP$60=AF$4)*(GMWQ!$LR$2:$LR$60=AF$1),0),$B13-1966)</f>
        <v>11.727270000000001</v>
      </c>
      <c r="AG13" s="20" cm="1">
        <f t="array" ref="AG13">INDEX(GMWQ!$A$2:$LR$60,MATCH(1,(GMWQ!$LQ$2:$LQ$60=AG$3)*(GMWQ!$LP$2:$LP$60=AG$4)*(GMWQ!$LR$2:$LR$60=AG$1),0),$B13-1966)</f>
        <v>-184.50229999999999</v>
      </c>
      <c r="AI13" s="23" cm="1">
        <f t="array" ref="AI13">INDEX(GMWQ!$A$2:$LR$60,MATCH(1,(GMWQ!$LQ$2:$LQ$60=AI$3)*(GMWQ!$LP$2:$LP$60=AI$4)*(GMWQ!$LR$2:$LR$60=AI$1),0),$B13-1966)</f>
        <v>15881</v>
      </c>
      <c r="AJ13" s="23" cm="1">
        <f t="array" ref="AJ13">INDEX(GMWQ!$A$2:$LR$60,MATCH(1,(GMWQ!$LQ$2:$LQ$60=AJ$3)*(GMWQ!$LP$2:$LP$60=AJ$4)*(GMWQ!$LR$2:$LR$60=AJ$1),0),$B13-1966)</f>
        <v>12.76206</v>
      </c>
      <c r="AK13" s="23" cm="1">
        <f t="array" ref="AK13">INDEX(GMWQ!$A$2:$LR$60,MATCH(1,(GMWQ!$LQ$2:$LQ$60=AK$3)*(GMWQ!$LP$2:$LP$60=AK$4)*(GMWQ!$LR$2:$LR$60=AK$1),0),$B13-1966)</f>
        <v>12083</v>
      </c>
      <c r="AL13" s="23" cm="1">
        <f t="array" ref="AL13">INDEX(GMWQ!$A$2:$LR$60,MATCH(1,(GMWQ!$LQ$2:$LQ$60=AL$3)*(GMWQ!$LP$2:$LP$60=AL$4)*(GMWQ!$LR$2:$LR$60=AL$1),0),$B13-1966)</f>
        <v>539.79989999999998</v>
      </c>
      <c r="AM13" s="23" cm="1">
        <f t="array" ref="AM13">INDEX(GMWQ!$A$2:$LR$60,MATCH(1,(GMWQ!$LQ$2:$LQ$60=AM$3)*(GMWQ!$LP$2:$LP$60=AM$4)*(GMWQ!$LR$2:$LR$60=AM$1),0),$B13-1966)</f>
        <v>22384.22</v>
      </c>
      <c r="AN13" s="23" cm="1">
        <f t="array" ref="AN13">INDEX(GMWQ!$A$2:$LR$60,MATCH(1,(GMWQ!$LQ$2:$LQ$60=AN$3)*(GMWQ!$LP$2:$LP$60=AN$4)*(GMWQ!$LR$2:$LR$60=AN$1),0),$B13-1966)</f>
        <v>2713.01</v>
      </c>
      <c r="AO13" s="23" cm="1">
        <f t="array" ref="AO13">INDEX(GMWQ!$A$2:$LR$60,MATCH(1,(GMWQ!$LQ$2:$LQ$60=AO$3)*(GMWQ!$LP$2:$LP$60=AO$4)*(GMWQ!$LR$2:$LR$60=AO$1),0),$B13-1966)</f>
        <v>594.44510000000002</v>
      </c>
      <c r="AP13" s="23" cm="1">
        <f t="array" ref="AP13">INDEX(GMWQ!$A$2:$LR$60,MATCH(1,(GMWQ!$LQ$2:$LQ$60=AP$3)*(GMWQ!$LP$2:$LP$60=AP$4)*(GMWQ!$LR$2:$LR$60=AP$1),0),$B13-1966)</f>
        <v>-184.50229999999999</v>
      </c>
      <c r="AQ13" s="23" cm="1">
        <f t="array" ref="AQ13">INDEX(GMWQ!$A$2:$LR$60,MATCH(1,(GMWQ!$LQ$2:$LQ$60=AQ$3)*(GMWQ!$LP$2:$LP$60=AQ$4)*(GMWQ!$LR$2:$LR$60=AQ$1),0),$B13-1966)</f>
        <v>2035.8720000000001</v>
      </c>
      <c r="AR13" s="23" cm="1">
        <f t="array" ref="AR13">INDEX(GMWQ!$A$2:$LR$60,MATCH(1,(GMWQ!$LQ$2:$LQ$60=AR$3)*(GMWQ!$LP$2:$LP$60=AR$4)*(GMWQ!$LR$2:$LR$60=AR$1),0),$B13-1966)</f>
        <v>14628</v>
      </c>
      <c r="AS13" s="23" cm="1">
        <f t="array" ref="AS13">INDEX(GMWQ!$A$2:$LR$60,MATCH(1,(GMWQ!$LQ$2:$LQ$60=AS$3)*(GMWQ!$LP$2:$LP$60=AS$4)*(GMWQ!$LR$2:$LR$60=AS$1),0),$B13-1966)</f>
        <v>229</v>
      </c>
      <c r="AT13" s="23" cm="1">
        <f t="array" ref="AT13">INDEX(GMWQ!$A$2:$LR$60,MATCH(1,(GMWQ!$LQ$2:$LQ$60=AT$3)*(GMWQ!$LP$2:$LP$60=AT$4)*(GMWQ!$LR$2:$LR$60=AT$1),0),$B13-1966)</f>
        <v>114621</v>
      </c>
      <c r="AU13" s="23" cm="1">
        <f t="array" ref="AU13">INDEX(GMWQ!$A$2:$LR$60,MATCH(1,(GMWQ!$LQ$2:$LQ$60=AU$3)*(GMWQ!$LP$2:$LP$60=AU$4)*(GMWQ!$LR$2:$LR$60=AU$1),0),$B13-1966)</f>
        <v>3607</v>
      </c>
    </row>
    <row r="14" spans="1:47" x14ac:dyDescent="0.35">
      <c r="B14" s="7">
        <f t="shared" si="1"/>
        <v>1980</v>
      </c>
      <c r="C14" s="7" cm="1">
        <f t="array" ref="C14">INDEX(GMWQ!$A$2:$LR$60,MATCH(1,(GMWQ!$LQ$2:$LQ$60=C$3)*(GMWQ!$LP$2:$LP$60=C$4)*(GMWQ!$LR$2:$LR$60=C$1),0),$B14-1966)</f>
        <v>216301</v>
      </c>
      <c r="D14" s="7" cm="1">
        <f t="array" ref="D14">INDEX(GMWQ!$A$2:$LR$60,MATCH(1,(GMWQ!$LQ$2:$LQ$60=D$3)*(GMWQ!$LP$2:$LP$60=D$4)*(GMWQ!$LR$2:$LR$60=D$1),0),$B14-1966)</f>
        <v>21.924240000000001</v>
      </c>
      <c r="E14" s="7" cm="1">
        <f t="array" ref="E14">INDEX(GMWQ!$A$2:$LR$60,MATCH(1,(GMWQ!$LQ$2:$LQ$60=E$3)*(GMWQ!$LP$2:$LP$60=E$4)*(GMWQ!$LR$2:$LR$60=E$1),0),$B14-1966)</f>
        <v>15.250400000000001</v>
      </c>
      <c r="F14" s="7" cm="1">
        <f t="array" ref="F14">INDEX(GMWQ!$A$2:$LR$60,MATCH(1,(GMWQ!$LQ$2:$LQ$60=F$3)*(GMWQ!$LP$2:$LP$60=F$4)*(GMWQ!$LR$2:$LR$60=F$1),0),$B14-1966)</f>
        <v>12912</v>
      </c>
      <c r="G14" s="7" cm="1">
        <f t="array" ref="G14">INDEX(GMWQ!$A$2:$LR$60,MATCH(1,(GMWQ!$LQ$2:$LQ$60=G$3)*(GMWQ!$LP$2:$LP$60=G$4)*(GMWQ!$LR$2:$LR$60=G$1),0),$B14-1966)</f>
        <v>2997.8620000000001</v>
      </c>
      <c r="H14" s="7" cm="1">
        <f t="array" ref="H14">INDEX(GMWQ!$A$2:$LR$60,MATCH(1,(GMWQ!$LQ$2:$LQ$60=H$3)*(GMWQ!$LP$2:$LP$60=H$4)*(GMWQ!$LR$2:$LR$60=H$1),0),$B14-1966)</f>
        <v>651.46109999999999</v>
      </c>
      <c r="I14" s="7" cm="1">
        <f t="array" ref="I14">INDEX(GMWQ!$A$2:$LR$60,MATCH(1,(GMWQ!$LQ$2:$LQ$60=I$3)*(GMWQ!$LP$2:$LP$60=I$4)*(GMWQ!$LR$2:$LR$60=I$1),0),$B14-1966)</f>
        <v>13.47489</v>
      </c>
      <c r="J14" s="7" cm="1">
        <f t="array" ref="J14">INDEX(GMWQ!$A$2:$LR$60,MATCH(1,(GMWQ!$LQ$2:$LQ$60=J$3)*(GMWQ!$LP$2:$LP$60=J$4)*(GMWQ!$LR$2:$LR$60=J$1),0),$B14-1966)</f>
        <v>22334.36</v>
      </c>
      <c r="K14" s="7" cm="1">
        <f t="array" ref="K14">INDEX(GMWQ!$A$2:$LR$60,MATCH(1,(GMWQ!$LQ$2:$LQ$60=K$3)*(GMWQ!$LP$2:$LP$60=K$4)*(GMWQ!$LR$2:$LR$60=K$1),0),$B14-1966)</f>
        <v>11.5</v>
      </c>
      <c r="L14" s="7" cm="1">
        <f t="array" ref="L14">INDEX(GMWQ!$A$2:$LR$60,MATCH(1,(GMWQ!$LQ$2:$LQ$60=L$3)*(GMWQ!$LP$2:$LP$60=L$4)*(GMWQ!$LR$2:$LR$60=L$1),0),$B14-1966)</f>
        <v>3.7</v>
      </c>
      <c r="M14" s="7" cm="1">
        <f t="array" ref="M14">INDEX(GMWQ!$A$2:$LR$60,MATCH(1,(GMWQ!$LQ$2:$LQ$60=M$3)*(GMWQ!$LP$2:$LP$60=M$4)*(GMWQ!$LR$2:$LR$60=M$1),0),$B14-1966)</f>
        <v>4.8544809999999998</v>
      </c>
      <c r="N14" s="7" cm="1">
        <f t="array" ref="N14">INDEX(GMWQ!$A$2:$LR$60,MATCH(1,(GMWQ!$LQ$2:$LQ$60=N$3)*(GMWQ!$LP$2:$LP$60=N$4)*(GMWQ!$LR$2:$LR$60=N$1),0),$B14-1966)</f>
        <v>1E-3</v>
      </c>
      <c r="O14" s="7" cm="1">
        <f t="array" ref="O14">INDEX(GMWQ!$A$2:$LR$60,MATCH(1,(GMWQ!$LQ$2:$LQ$60=O$3)*(GMWQ!$LP$2:$LP$60=O$4)*(GMWQ!$LR$2:$LR$60=O$1),0),$B14-1966)</f>
        <v>1E-3</v>
      </c>
      <c r="P14" s="7" cm="1">
        <f t="array" ref="P14">INDEX(GMWQ!$A$2:$LR$60,MATCH(1,(GMWQ!$LQ$2:$LQ$60=P$3)*(GMWQ!$LP$2:$LP$60=P$4)*(GMWQ!$LR$2:$LR$60=P$1),0),$B14-1966)</f>
        <v>16728</v>
      </c>
      <c r="Q14" s="7" cm="1">
        <f t="array" ref="Q14">INDEX(GMWQ!$A$2:$LR$60,MATCH(1,(GMWQ!$LQ$2:$LQ$60=Q$3)*(GMWQ!$LP$2:$LP$60=Q$4)*(GMWQ!$LR$2:$LR$60=Q$1),0),$B14-1966)</f>
        <v>11</v>
      </c>
      <c r="R14" s="7" cm="1">
        <f t="array" ref="R14">INDEX(GMWQ!$A$2:$LR$60,MATCH(1,(GMWQ!$LQ$2:$LQ$60=R$3)*(GMWQ!$LP$2:$LP$60=R$4)*(GMWQ!$LR$2:$LR$60=R$1),0),$B14-1966)</f>
        <v>1E-3</v>
      </c>
      <c r="S14" s="7" cm="1">
        <f t="array" ref="S14">INDEX(GMWQ!$A$2:$LR$60,MATCH(1,(GMWQ!$LQ$2:$LQ$60=S$3)*(GMWQ!$LP$2:$LP$60=S$4)*(GMWQ!$LR$2:$LR$60=S$1),0),$B14-1966)</f>
        <v>1</v>
      </c>
      <c r="T14" s="7" cm="1">
        <f t="array" ref="T14">INDEX(GMWQ!$A$2:$LR$60,MATCH(1,(GMWQ!$LQ$2:$LQ$60=T$3)*(GMWQ!$LP$2:$LP$60=T$4)*(GMWQ!$LR$2:$LR$60=T$1),0),$B14-1966)</f>
        <v>1E-3</v>
      </c>
      <c r="U14" s="7" cm="1">
        <f t="array" ref="U14">INDEX(GMWQ!$A$2:$LR$60,MATCH(1,(GMWQ!$LQ$2:$LQ$60=U$3)*(GMWQ!$LP$2:$LP$60=U$4)*(GMWQ!$LR$2:$LR$60=U$1),0),$B14-1966)</f>
        <v>0</v>
      </c>
      <c r="V14" s="7" cm="1">
        <f t="array" ref="V14">INDEX(GMWQ!$A$2:$LR$60,MATCH(1,(GMWQ!$LQ$2:$LQ$60=V$3)*(GMWQ!$LP$2:$LP$60=V$4)*(GMWQ!$LR$2:$LR$60=V$1),0),$B14-1966)</f>
        <v>1E-3</v>
      </c>
      <c r="W14" s="7" cm="1">
        <f t="array" ref="W14">INDEX(GMWQ!$A$2:$LR$60,MATCH(1,(GMWQ!$LQ$2:$LQ$60=W$3)*(GMWQ!$LP$2:$LP$60=W$4)*(GMWQ!$LR$2:$LR$60=W$1),0),$B14-1966)</f>
        <v>13.025090000000001</v>
      </c>
      <c r="X14" s="7" cm="1">
        <f t="array" ref="X14">INDEX(GMWQ!$A$2:$LR$60,MATCH(1,(GMWQ!$LQ$2:$LQ$60=X$3)*(GMWQ!$LP$2:$LP$60=X$4)*(GMWQ!$LR$2:$LR$60=X$1),0),$B14-1966)</f>
        <v>698443.3</v>
      </c>
      <c r="Y14" s="7" cm="1">
        <f t="array" ref="Y14">INDEX(GMWQ!$A$2:$LR$60,MATCH(1,(GMWQ!$LQ$2:$LQ$60=Y$3)*(GMWQ!$LP$2:$LP$60=Y$4)*(GMWQ!$LR$2:$LR$60=Y$1),0),$B14-1966)</f>
        <v>11.55519</v>
      </c>
      <c r="Z14" s="7" cm="1">
        <f t="array" ref="Z14">INDEX(GMWQ!$A$2:$LR$60,MATCH(1,(GMWQ!$LQ$2:$LQ$60=Z$3)*(GMWQ!$LP$2:$LP$60=Z$4)*(GMWQ!$LR$2:$LR$60=Z$1),0),$B14-1966)</f>
        <v>228507.5</v>
      </c>
      <c r="AA14" s="7" cm="1">
        <f t="array" ref="AA14">INDEX(GMWQ!$A$2:$LR$60,MATCH(1,(GMWQ!$LQ$2:$LQ$60=AA$3)*(GMWQ!$LP$2:$LP$60=AA$4)*(GMWQ!$LR$2:$LR$60=AA$1),0),$B14-1966)</f>
        <v>9972</v>
      </c>
      <c r="AB14" s="7" cm="1">
        <f t="array" ref="AB14">INDEX(GMWQ!$A$2:$LR$60,MATCH(1,(GMWQ!$LQ$2:$LQ$60=AB$3)*(GMWQ!$LP$2:$LP$60=AB$4)*(GMWQ!$LR$2:$LR$60=AB$1),0),$B14-1966)</f>
        <v>9003</v>
      </c>
      <c r="AC14" s="7" cm="1">
        <f t="array" ref="AC14">INDEX(GMWQ!$A$2:$LR$60,MATCH(1,(GMWQ!$LQ$2:$LQ$60=AC$3)*(GMWQ!$LP$2:$LP$60=AC$4)*(GMWQ!$LR$2:$LR$60=AC$1),0),$B14-1966)</f>
        <v>1386</v>
      </c>
      <c r="AD14" s="7" cm="1">
        <f t="array" ref="AD14">INDEX(GMWQ!$A$2:$LR$60,MATCH(1,(GMWQ!$LQ$2:$LQ$60=AD$3)*(GMWQ!$LP$2:$LP$60=AD$4)*(GMWQ!$LR$2:$LR$60=AD$1),0),$B14-1966)</f>
        <v>1129</v>
      </c>
      <c r="AE14" s="7" cm="1">
        <f t="array" ref="AE14">INDEX(GMWQ!$A$2:$LR$60,MATCH(1,(GMWQ!$LQ$2:$LQ$60=AE$3)*(GMWQ!$LP$2:$LP$60=AE$4)*(GMWQ!$LR$2:$LR$60=AE$1),0),$B14-1966)</f>
        <v>24994</v>
      </c>
      <c r="AF14" s="20" cm="1">
        <f t="array" ref="AF14">INDEX(GMWQ!$A$2:$LR$60,MATCH(1,(GMWQ!$LQ$2:$LQ$60=AF$3)*(GMWQ!$LP$2:$LP$60=AF$4)*(GMWQ!$LR$2:$LR$60=AF$1),0),$B14-1966)</f>
        <v>11.5</v>
      </c>
      <c r="AG14" s="20" cm="1">
        <f t="array" ref="AG14">INDEX(GMWQ!$A$2:$LR$60,MATCH(1,(GMWQ!$LQ$2:$LQ$60=AG$3)*(GMWQ!$LP$2:$LP$60=AG$4)*(GMWQ!$LR$2:$LR$60=AG$1),0),$B14-1966)</f>
        <v>-221.5256</v>
      </c>
      <c r="AI14" s="23" cm="1">
        <f t="array" ref="AI14">INDEX(GMWQ!$A$2:$LR$60,MATCH(1,(GMWQ!$LQ$2:$LQ$60=AI$3)*(GMWQ!$LP$2:$LP$60=AI$4)*(GMWQ!$LR$2:$LR$60=AI$1),0),$B14-1966)</f>
        <v>16728</v>
      </c>
      <c r="AJ14" s="23" cm="1">
        <f t="array" ref="AJ14">INDEX(GMWQ!$A$2:$LR$60,MATCH(1,(GMWQ!$LQ$2:$LQ$60=AJ$3)*(GMWQ!$LP$2:$LP$60=AJ$4)*(GMWQ!$LR$2:$LR$60=AJ$1),0),$B14-1966)</f>
        <v>13.47489</v>
      </c>
      <c r="AK14" s="23" cm="1">
        <f t="array" ref="AK14">INDEX(GMWQ!$A$2:$LR$60,MATCH(1,(GMWQ!$LQ$2:$LQ$60=AK$3)*(GMWQ!$LP$2:$LP$60=AK$4)*(GMWQ!$LR$2:$LR$60=AK$1),0),$B14-1966)</f>
        <v>12912</v>
      </c>
      <c r="AL14" s="23" cm="1">
        <f t="array" ref="AL14">INDEX(GMWQ!$A$2:$LR$60,MATCH(1,(GMWQ!$LQ$2:$LQ$60=AL$3)*(GMWQ!$LP$2:$LP$60=AL$4)*(GMWQ!$LR$2:$LR$60=AL$1),0),$B14-1966)</f>
        <v>578.12270000000001</v>
      </c>
      <c r="AM14" s="23" cm="1">
        <f t="array" ref="AM14">INDEX(GMWQ!$A$2:$LR$60,MATCH(1,(GMWQ!$LQ$2:$LQ$60=AM$3)*(GMWQ!$LP$2:$LP$60=AM$4)*(GMWQ!$LR$2:$LR$60=AM$1),0),$B14-1966)</f>
        <v>22334.36</v>
      </c>
      <c r="AN14" s="23" cm="1">
        <f t="array" ref="AN14">INDEX(GMWQ!$A$2:$LR$60,MATCH(1,(GMWQ!$LQ$2:$LQ$60=AN$3)*(GMWQ!$LP$2:$LP$60=AN$4)*(GMWQ!$LR$2:$LR$60=AN$1),0),$B14-1966)</f>
        <v>2997.8620000000001</v>
      </c>
      <c r="AO14" s="23" cm="1">
        <f t="array" ref="AO14">INDEX(GMWQ!$A$2:$LR$60,MATCH(1,(GMWQ!$LQ$2:$LQ$60=AO$3)*(GMWQ!$LP$2:$LP$60=AO$4)*(GMWQ!$LR$2:$LR$60=AO$1),0),$B14-1966)</f>
        <v>651.46109999999999</v>
      </c>
      <c r="AP14" s="23" cm="1">
        <f t="array" ref="AP14">INDEX(GMWQ!$A$2:$LR$60,MATCH(1,(GMWQ!$LQ$2:$LQ$60=AP$3)*(GMWQ!$LP$2:$LP$60=AP$4)*(GMWQ!$LR$2:$LR$60=AP$1),0),$B14-1966)</f>
        <v>-221.5256</v>
      </c>
      <c r="AQ14" s="23" cm="1">
        <f t="array" ref="AQ14">INDEX(GMWQ!$A$2:$LR$60,MATCH(1,(GMWQ!$LQ$2:$LQ$60=AQ$3)*(GMWQ!$LP$2:$LP$60=AQ$4)*(GMWQ!$LR$2:$LR$60=AQ$1),0),$B14-1966)</f>
        <v>2205.779</v>
      </c>
      <c r="AR14" s="23" cm="1">
        <f t="array" ref="AR14">INDEX(GMWQ!$A$2:$LR$60,MATCH(1,(GMWQ!$LQ$2:$LQ$60=AR$3)*(GMWQ!$LP$2:$LP$60=AR$4)*(GMWQ!$LR$2:$LR$60=AR$1),0),$B14-1966)</f>
        <v>15484</v>
      </c>
      <c r="AS14" s="23" cm="1">
        <f t="array" ref="AS14">INDEX(GMWQ!$A$2:$LR$60,MATCH(1,(GMWQ!$LQ$2:$LQ$60=AS$3)*(GMWQ!$LP$2:$LP$60=AS$4)*(GMWQ!$LR$2:$LR$60=AS$1),0),$B14-1966)</f>
        <v>237</v>
      </c>
      <c r="AT14" s="23" cm="1">
        <f t="array" ref="AT14">INDEX(GMWQ!$A$2:$LR$60,MATCH(1,(GMWQ!$LQ$2:$LQ$60=AT$3)*(GMWQ!$LP$2:$LP$60=AT$4)*(GMWQ!$LR$2:$LR$60=AT$1),0),$B14-1966)</f>
        <v>114910</v>
      </c>
      <c r="AU14" s="23" cm="1">
        <f t="array" ref="AU14">INDEX(GMWQ!$A$2:$LR$60,MATCH(1,(GMWQ!$LQ$2:$LQ$60=AU$3)*(GMWQ!$LP$2:$LP$60=AU$4)*(GMWQ!$LR$2:$LR$60=AU$1),0),$B14-1966)</f>
        <v>3553</v>
      </c>
    </row>
    <row r="15" spans="1:47" x14ac:dyDescent="0.35">
      <c r="A15" s="7">
        <v>1975</v>
      </c>
      <c r="B15" s="7">
        <f t="shared" si="1"/>
        <v>1981</v>
      </c>
      <c r="C15" s="7" cm="1">
        <f t="array" ref="C15">INDEX(GMWQ!$A$2:$LR$60,MATCH(1,(GMWQ!$LQ$2:$LQ$60=C$3)*(GMWQ!$LP$2:$LP$60=C$4)*(GMWQ!$LR$2:$LR$60=C$1),0),$B15-1966)</f>
        <v>216390</v>
      </c>
      <c r="D15" s="7" cm="1">
        <f t="array" ref="D15">INDEX(GMWQ!$A$2:$LR$60,MATCH(1,(GMWQ!$LQ$2:$LQ$60=D$3)*(GMWQ!$LP$2:$LP$60=D$4)*(GMWQ!$LR$2:$LR$60=D$1),0),$B15-1966)</f>
        <v>23.39659</v>
      </c>
      <c r="E15" s="7" cm="1">
        <f t="array" ref="E15">INDEX(GMWQ!$A$2:$LR$60,MATCH(1,(GMWQ!$LQ$2:$LQ$60=E$3)*(GMWQ!$LP$2:$LP$60=E$4)*(GMWQ!$LR$2:$LR$60=E$1),0),$B15-1966)</f>
        <v>16.058540000000001</v>
      </c>
      <c r="F15" s="7" cm="1">
        <f t="array" ref="F15">INDEX(GMWQ!$A$2:$LR$60,MATCH(1,(GMWQ!$LQ$2:$LQ$60=F$3)*(GMWQ!$LP$2:$LP$60=F$4)*(GMWQ!$LR$2:$LR$60=F$1),0),$B15-1966)</f>
        <v>14391</v>
      </c>
      <c r="G15" s="7" cm="1">
        <f t="array" ref="G15">INDEX(GMWQ!$A$2:$LR$60,MATCH(1,(GMWQ!$LQ$2:$LQ$60=G$3)*(GMWQ!$LP$2:$LP$60=G$4)*(GMWQ!$LR$2:$LR$60=G$1),0),$B15-1966)</f>
        <v>3275.7890000000002</v>
      </c>
      <c r="H15" s="7" cm="1">
        <f t="array" ref="H15">INDEX(GMWQ!$A$2:$LR$60,MATCH(1,(GMWQ!$LQ$2:$LQ$60=H$3)*(GMWQ!$LP$2:$LP$60=H$4)*(GMWQ!$LR$2:$LR$60=H$1),0),$B15-1966)</f>
        <v>693.6952</v>
      </c>
      <c r="I15" s="7" cm="1">
        <f t="array" ref="I15">INDEX(GMWQ!$A$2:$LR$60,MATCH(1,(GMWQ!$LQ$2:$LQ$60=I$3)*(GMWQ!$LP$2:$LP$60=I$4)*(GMWQ!$LR$2:$LR$60=I$1),0),$B15-1966)</f>
        <v>14.38688</v>
      </c>
      <c r="J15" s="7" cm="1">
        <f t="array" ref="J15">INDEX(GMWQ!$A$2:$LR$60,MATCH(1,(GMWQ!$LQ$2:$LQ$60=J$3)*(GMWQ!$LP$2:$LP$60=J$4)*(GMWQ!$LR$2:$LR$60=J$1),0),$B15-1966)</f>
        <v>22239.52</v>
      </c>
      <c r="K15" s="7" cm="1">
        <f t="array" ref="K15">INDEX(GMWQ!$A$2:$LR$60,MATCH(1,(GMWQ!$LQ$2:$LQ$60=K$3)*(GMWQ!$LP$2:$LP$60=K$4)*(GMWQ!$LR$2:$LR$60=K$1),0),$B15-1966)</f>
        <v>10</v>
      </c>
      <c r="L15" s="7" cm="1">
        <f t="array" ref="L15">INDEX(GMWQ!$A$2:$LR$60,MATCH(1,(GMWQ!$LQ$2:$LQ$60=L$3)*(GMWQ!$LP$2:$LP$60=L$4)*(GMWQ!$LR$2:$LR$60=L$1),0),$B15-1966)</f>
        <v>4</v>
      </c>
      <c r="M15" s="7" cm="1">
        <f t="array" ref="M15">INDEX(GMWQ!$A$2:$LR$60,MATCH(1,(GMWQ!$LQ$2:$LQ$60=M$3)*(GMWQ!$LP$2:$LP$60=M$4)*(GMWQ!$LR$2:$LR$60=M$1),0),$B15-1966)</f>
        <v>4.8416680000000003</v>
      </c>
      <c r="N15" s="7" cm="1">
        <f t="array" ref="N15">INDEX(GMWQ!$A$2:$LR$60,MATCH(1,(GMWQ!$LQ$2:$LQ$60=N$3)*(GMWQ!$LP$2:$LP$60=N$4)*(GMWQ!$LR$2:$LR$60=N$1),0),$B15-1966)</f>
        <v>1E-3</v>
      </c>
      <c r="O15" s="7" cm="1">
        <f t="array" ref="O15">INDEX(GMWQ!$A$2:$LR$60,MATCH(1,(GMWQ!$LQ$2:$LQ$60=O$3)*(GMWQ!$LP$2:$LP$60=O$4)*(GMWQ!$LR$2:$LR$60=O$1),0),$B15-1966)</f>
        <v>1E-3</v>
      </c>
      <c r="P15" s="7" cm="1">
        <f t="array" ref="P15">INDEX(GMWQ!$A$2:$LR$60,MATCH(1,(GMWQ!$LQ$2:$LQ$60=P$3)*(GMWQ!$LP$2:$LP$60=P$4)*(GMWQ!$LR$2:$LR$60=P$1),0),$B15-1966)</f>
        <v>18231</v>
      </c>
      <c r="Q15" s="7" cm="1">
        <f t="array" ref="Q15">INDEX(GMWQ!$A$2:$LR$60,MATCH(1,(GMWQ!$LQ$2:$LQ$60=Q$3)*(GMWQ!$LP$2:$LP$60=Q$4)*(GMWQ!$LR$2:$LR$60=Q$1),0),$B15-1966)</f>
        <v>11</v>
      </c>
      <c r="R15" s="7" cm="1">
        <f t="array" ref="R15">INDEX(GMWQ!$A$2:$LR$60,MATCH(1,(GMWQ!$LQ$2:$LQ$60=R$3)*(GMWQ!$LP$2:$LP$60=R$4)*(GMWQ!$LR$2:$LR$60=R$1),0),$B15-1966)</f>
        <v>1E-3</v>
      </c>
      <c r="S15" s="7" cm="1">
        <f t="array" ref="S15">INDEX(GMWQ!$A$2:$LR$60,MATCH(1,(GMWQ!$LQ$2:$LQ$60=S$3)*(GMWQ!$LP$2:$LP$60=S$4)*(GMWQ!$LR$2:$LR$60=S$1),0),$B15-1966)</f>
        <v>1</v>
      </c>
      <c r="T15" s="7" cm="1">
        <f t="array" ref="T15">INDEX(GMWQ!$A$2:$LR$60,MATCH(1,(GMWQ!$LQ$2:$LQ$60=T$3)*(GMWQ!$LP$2:$LP$60=T$4)*(GMWQ!$LR$2:$LR$60=T$1),0),$B15-1966)</f>
        <v>1E-3</v>
      </c>
      <c r="U15" s="7" cm="1">
        <f t="array" ref="U15">INDEX(GMWQ!$A$2:$LR$60,MATCH(1,(GMWQ!$LQ$2:$LQ$60=U$3)*(GMWQ!$LP$2:$LP$60=U$4)*(GMWQ!$LR$2:$LR$60=U$1),0),$B15-1966)</f>
        <v>0</v>
      </c>
      <c r="V15" s="7" cm="1">
        <f t="array" ref="V15">INDEX(GMWQ!$A$2:$LR$60,MATCH(1,(GMWQ!$LQ$2:$LQ$60=V$3)*(GMWQ!$LP$2:$LP$60=V$4)*(GMWQ!$LR$2:$LR$60=V$1),0),$B15-1966)</f>
        <v>1E-3</v>
      </c>
      <c r="W15" s="7" cm="1">
        <f t="array" ref="W15">INDEX(GMWQ!$A$2:$LR$60,MATCH(1,(GMWQ!$LQ$2:$LQ$60=W$3)*(GMWQ!$LP$2:$LP$60=W$4)*(GMWQ!$LR$2:$LR$60=W$1),0),$B15-1966)</f>
        <v>12.40734</v>
      </c>
      <c r="X15" s="7" cm="1">
        <f t="array" ref="X15">INDEX(GMWQ!$A$2:$LR$60,MATCH(1,(GMWQ!$LQ$2:$LQ$60=X$3)*(GMWQ!$LP$2:$LP$60=X$4)*(GMWQ!$LR$2:$LR$60=X$1),0),$B15-1966)</f>
        <v>698114.3</v>
      </c>
      <c r="Y15" s="7" cm="1">
        <f t="array" ref="Y15">INDEX(GMWQ!$A$2:$LR$60,MATCH(1,(GMWQ!$LQ$2:$LQ$60=Y$3)*(GMWQ!$LP$2:$LP$60=Y$4)*(GMWQ!$LR$2:$LR$60=Y$1),0),$B15-1966)</f>
        <v>12.39152</v>
      </c>
      <c r="Z15" s="7" cm="1">
        <f t="array" ref="Z15">INDEX(GMWQ!$A$2:$LR$60,MATCH(1,(GMWQ!$LQ$2:$LQ$60=Z$3)*(GMWQ!$LP$2:$LP$60=Z$4)*(GMWQ!$LR$2:$LR$60=Z$1),0),$B15-1966)</f>
        <v>228582</v>
      </c>
      <c r="AA15" s="7" cm="1">
        <f t="array" ref="AA15">INDEX(GMWQ!$A$2:$LR$60,MATCH(1,(GMWQ!$LQ$2:$LQ$60=AA$3)*(GMWQ!$LP$2:$LP$60=AA$4)*(GMWQ!$LR$2:$LR$60=AA$1),0),$B15-1966)</f>
        <v>10865</v>
      </c>
      <c r="AB15" s="7" cm="1">
        <f t="array" ref="AB15">INDEX(GMWQ!$A$2:$LR$60,MATCH(1,(GMWQ!$LQ$2:$LQ$60=AB$3)*(GMWQ!$LP$2:$LP$60=AB$4)*(GMWQ!$LR$2:$LR$60=AB$1),0),$B15-1966)</f>
        <v>9970</v>
      </c>
      <c r="AC15" s="7" cm="1">
        <f t="array" ref="AC15">INDEX(GMWQ!$A$2:$LR$60,MATCH(1,(GMWQ!$LQ$2:$LQ$60=AC$3)*(GMWQ!$LP$2:$LP$60=AC$4)*(GMWQ!$LR$2:$LR$60=AC$1),0),$B15-1966)</f>
        <v>1775</v>
      </c>
      <c r="AD15" s="7" cm="1">
        <f t="array" ref="AD15">INDEX(GMWQ!$A$2:$LR$60,MATCH(1,(GMWQ!$LQ$2:$LQ$60=AD$3)*(GMWQ!$LP$2:$LP$60=AD$4)*(GMWQ!$LR$2:$LR$60=AD$1),0),$B15-1966)</f>
        <v>1190</v>
      </c>
      <c r="AE15" s="7" cm="1">
        <f t="array" ref="AE15">INDEX(GMWQ!$A$2:$LR$60,MATCH(1,(GMWQ!$LQ$2:$LQ$60=AE$3)*(GMWQ!$LP$2:$LP$60=AE$4)*(GMWQ!$LR$2:$LR$60=AE$1),0),$B15-1966)</f>
        <v>26814</v>
      </c>
      <c r="AF15" s="20" cm="1">
        <f t="array" ref="AF15">INDEX(GMWQ!$A$2:$LR$60,MATCH(1,(GMWQ!$LQ$2:$LQ$60=AF$3)*(GMWQ!$LP$2:$LP$60=AF$4)*(GMWQ!$LR$2:$LR$60=AF$1),0),$B15-1966)</f>
        <v>10.773440000000001</v>
      </c>
      <c r="AG15" s="20" cm="1">
        <f t="array" ref="AG15">INDEX(GMWQ!$A$2:$LR$60,MATCH(1,(GMWQ!$LQ$2:$LQ$60=AG$3)*(GMWQ!$LP$2:$LP$60=AG$4)*(GMWQ!$LR$2:$LR$60=AG$1),0),$B15-1966)</f>
        <v>-126.2512</v>
      </c>
      <c r="AI15" s="23" cm="1">
        <f t="array" ref="AI15">INDEX(GMWQ!$A$2:$LR$60,MATCH(1,(GMWQ!$LQ$2:$LQ$60=AI$3)*(GMWQ!$LP$2:$LP$60=AI$4)*(GMWQ!$LR$2:$LR$60=AI$1),0),$B15-1966)</f>
        <v>18231</v>
      </c>
      <c r="AJ15" s="23" cm="1">
        <f t="array" ref="AJ15">INDEX(GMWQ!$A$2:$LR$60,MATCH(1,(GMWQ!$LQ$2:$LQ$60=AJ$3)*(GMWQ!$LP$2:$LP$60=AJ$4)*(GMWQ!$LR$2:$LR$60=AJ$1),0),$B15-1966)</f>
        <v>14.38688</v>
      </c>
      <c r="AK15" s="23" cm="1">
        <f t="array" ref="AK15">INDEX(GMWQ!$A$2:$LR$60,MATCH(1,(GMWQ!$LQ$2:$LQ$60=AK$3)*(GMWQ!$LP$2:$LP$60=AK$4)*(GMWQ!$LR$2:$LR$60=AK$1),0),$B15-1966)</f>
        <v>14391</v>
      </c>
      <c r="AL15" s="23" cm="1">
        <f t="array" ref="AL15">INDEX(GMWQ!$A$2:$LR$60,MATCH(1,(GMWQ!$LQ$2:$LQ$60=AL$3)*(GMWQ!$LP$2:$LP$60=AL$4)*(GMWQ!$LR$2:$LR$60=AL$1),0),$B15-1966)</f>
        <v>647.09130000000005</v>
      </c>
      <c r="AM15" s="23" cm="1">
        <f t="array" ref="AM15">INDEX(GMWQ!$A$2:$LR$60,MATCH(1,(GMWQ!$LQ$2:$LQ$60=AM$3)*(GMWQ!$LP$2:$LP$60=AM$4)*(GMWQ!$LR$2:$LR$60=AM$1),0),$B15-1966)</f>
        <v>22239.52</v>
      </c>
      <c r="AN15" s="23" cm="1">
        <f t="array" ref="AN15">INDEX(GMWQ!$A$2:$LR$60,MATCH(1,(GMWQ!$LQ$2:$LQ$60=AN$3)*(GMWQ!$LP$2:$LP$60=AN$4)*(GMWQ!$LR$2:$LR$60=AN$1),0),$B15-1966)</f>
        <v>3275.7890000000002</v>
      </c>
      <c r="AO15" s="23" cm="1">
        <f t="array" ref="AO15">INDEX(GMWQ!$A$2:$LR$60,MATCH(1,(GMWQ!$LQ$2:$LQ$60=AO$3)*(GMWQ!$LP$2:$LP$60=AO$4)*(GMWQ!$LR$2:$LR$60=AO$1),0),$B15-1966)</f>
        <v>693.6952</v>
      </c>
      <c r="AP15" s="23" cm="1">
        <f t="array" ref="AP15">INDEX(GMWQ!$A$2:$LR$60,MATCH(1,(GMWQ!$LQ$2:$LQ$60=AP$3)*(GMWQ!$LP$2:$LP$60=AP$4)*(GMWQ!$LR$2:$LR$60=AP$1),0),$B15-1966)</f>
        <v>-126.2512</v>
      </c>
      <c r="AQ15" s="23" cm="1">
        <f t="array" ref="AQ15">INDEX(GMWQ!$A$2:$LR$60,MATCH(1,(GMWQ!$LQ$2:$LQ$60=AQ$3)*(GMWQ!$LP$2:$LP$60=AQ$4)*(GMWQ!$LR$2:$LR$60=AQ$1),0),$B15-1966)</f>
        <v>2135.404</v>
      </c>
      <c r="AR15" s="23" cm="1">
        <f t="array" ref="AR15">INDEX(GMWQ!$A$2:$LR$60,MATCH(1,(GMWQ!$LQ$2:$LQ$60=AR$3)*(GMWQ!$LP$2:$LP$60=AR$4)*(GMWQ!$LR$2:$LR$60=AR$1),0),$B15-1966)</f>
        <v>16476</v>
      </c>
      <c r="AS15" s="23" cm="1">
        <f t="array" ref="AS15">INDEX(GMWQ!$A$2:$LR$60,MATCH(1,(GMWQ!$LQ$2:$LQ$60=AS$3)*(GMWQ!$LP$2:$LP$60=AS$4)*(GMWQ!$LR$2:$LR$60=AS$1),0),$B15-1966)</f>
        <v>274</v>
      </c>
      <c r="AT15" s="23" cm="1">
        <f t="array" ref="AT15">INDEX(GMWQ!$A$2:$LR$60,MATCH(1,(GMWQ!$LQ$2:$LQ$60=AT$3)*(GMWQ!$LP$2:$LP$60=AT$4)*(GMWQ!$LR$2:$LR$60=AT$1),0),$B15-1966)</f>
        <v>114521</v>
      </c>
      <c r="AU15" s="23" cm="1">
        <f t="array" ref="AU15">INDEX(GMWQ!$A$2:$LR$60,MATCH(1,(GMWQ!$LQ$2:$LQ$60=AU$3)*(GMWQ!$LP$2:$LP$60=AU$4)*(GMWQ!$LR$2:$LR$60=AU$1),0),$B15-1966)</f>
        <v>3486</v>
      </c>
    </row>
    <row r="16" spans="1:47" x14ac:dyDescent="0.35">
      <c r="B16" s="7">
        <f t="shared" si="1"/>
        <v>1982</v>
      </c>
      <c r="C16" s="7" cm="1">
        <f t="array" ref="C16">INDEX(GMWQ!$A$2:$LR$60,MATCH(1,(GMWQ!$LQ$2:$LQ$60=C$3)*(GMWQ!$LP$2:$LP$60=C$4)*(GMWQ!$LR$2:$LR$60=C$1),0),$B16-1966)</f>
        <v>212882</v>
      </c>
      <c r="D16" s="7" cm="1">
        <f t="array" ref="D16">INDEX(GMWQ!$A$2:$LR$60,MATCH(1,(GMWQ!$LQ$2:$LQ$60=D$3)*(GMWQ!$LP$2:$LP$60=D$4)*(GMWQ!$LR$2:$LR$60=D$1),0),$B16-1966)</f>
        <v>24.964189999999999</v>
      </c>
      <c r="E16" s="7" cm="1">
        <f t="array" ref="E16">INDEX(GMWQ!$A$2:$LR$60,MATCH(1,(GMWQ!$LQ$2:$LQ$60=E$3)*(GMWQ!$LP$2:$LP$60=E$4)*(GMWQ!$LR$2:$LR$60=E$1),0),$B16-1966)</f>
        <v>17.466270000000002</v>
      </c>
      <c r="F16" s="7" cm="1">
        <f t="array" ref="F16">INDEX(GMWQ!$A$2:$LR$60,MATCH(1,(GMWQ!$LQ$2:$LQ$60=F$3)*(GMWQ!$LP$2:$LP$60=F$4)*(GMWQ!$LR$2:$LR$60=F$1),0),$B16-1966)</f>
        <v>14659</v>
      </c>
      <c r="G16" s="7" cm="1">
        <f t="array" ref="G16">INDEX(GMWQ!$A$2:$LR$60,MATCH(1,(GMWQ!$LQ$2:$LQ$60=G$3)*(GMWQ!$LP$2:$LP$60=G$4)*(GMWQ!$LR$2:$LR$60=G$1),0),$B16-1966)</f>
        <v>3594.2689999999998</v>
      </c>
      <c r="H16" s="7" cm="1">
        <f t="array" ref="H16">INDEX(GMWQ!$A$2:$LR$60,MATCH(1,(GMWQ!$LQ$2:$LQ$60=H$3)*(GMWQ!$LP$2:$LP$60=H$4)*(GMWQ!$LR$2:$LR$60=H$1),0),$B16-1966)</f>
        <v>713.75639999999999</v>
      </c>
      <c r="I16" s="7" cm="1">
        <f t="array" ref="I16">INDEX(GMWQ!$A$2:$LR$60,MATCH(1,(GMWQ!$LQ$2:$LQ$60=I$3)*(GMWQ!$LP$2:$LP$60=I$4)*(GMWQ!$LR$2:$LR$60=I$1),0),$B16-1966)</f>
        <v>15.16818</v>
      </c>
      <c r="J16" s="7" cm="1">
        <f t="array" ref="J16">INDEX(GMWQ!$A$2:$LR$60,MATCH(1,(GMWQ!$LQ$2:$LQ$60=J$3)*(GMWQ!$LP$2:$LP$60=J$4)*(GMWQ!$LR$2:$LR$60=J$1),0),$B16-1966)</f>
        <v>22216.06</v>
      </c>
      <c r="K16" s="7" cm="1">
        <f t="array" ref="K16">INDEX(GMWQ!$A$2:$LR$60,MATCH(1,(GMWQ!$LQ$2:$LQ$60=K$3)*(GMWQ!$LP$2:$LP$60=K$4)*(GMWQ!$LR$2:$LR$60=K$1),0),$B16-1966)</f>
        <v>10</v>
      </c>
      <c r="L16" s="7" cm="1">
        <f t="array" ref="L16">INDEX(GMWQ!$A$2:$LR$60,MATCH(1,(GMWQ!$LQ$2:$LQ$60=L$3)*(GMWQ!$LP$2:$LP$60=L$4)*(GMWQ!$LR$2:$LR$60=L$1),0),$B16-1966)</f>
        <v>4.3</v>
      </c>
      <c r="M16" s="7" cm="1">
        <f t="array" ref="M16">INDEX(GMWQ!$A$2:$LR$60,MATCH(1,(GMWQ!$LQ$2:$LQ$60=M$3)*(GMWQ!$LP$2:$LP$60=M$4)*(GMWQ!$LR$2:$LR$60=M$1),0),$B16-1966)</f>
        <v>4.9661150000000003</v>
      </c>
      <c r="N16" s="7" cm="1">
        <f t="array" ref="N16">INDEX(GMWQ!$A$2:$LR$60,MATCH(1,(GMWQ!$LQ$2:$LQ$60=N$3)*(GMWQ!$LP$2:$LP$60=N$4)*(GMWQ!$LR$2:$LR$60=N$1),0),$B16-1966)</f>
        <v>1E-3</v>
      </c>
      <c r="O16" s="7" cm="1">
        <f t="array" ref="O16">INDEX(GMWQ!$A$2:$LR$60,MATCH(1,(GMWQ!$LQ$2:$LQ$60=O$3)*(GMWQ!$LP$2:$LP$60=O$4)*(GMWQ!$LR$2:$LR$60=O$1),0),$B16-1966)</f>
        <v>1E-3</v>
      </c>
      <c r="P16" s="7" cm="1">
        <f t="array" ref="P16">INDEX(GMWQ!$A$2:$LR$60,MATCH(1,(GMWQ!$LQ$2:$LQ$60=P$3)*(GMWQ!$LP$2:$LP$60=P$4)*(GMWQ!$LR$2:$LR$60=P$1),0),$B16-1966)</f>
        <v>18613</v>
      </c>
      <c r="Q16" s="7" cm="1">
        <f t="array" ref="Q16">INDEX(GMWQ!$A$2:$LR$60,MATCH(1,(GMWQ!$LQ$2:$LQ$60=Q$3)*(GMWQ!$LP$2:$LP$60=Q$4)*(GMWQ!$LR$2:$LR$60=Q$1),0),$B16-1966)</f>
        <v>11</v>
      </c>
      <c r="R16" s="7" cm="1">
        <f t="array" ref="R16">INDEX(GMWQ!$A$2:$LR$60,MATCH(1,(GMWQ!$LQ$2:$LQ$60=R$3)*(GMWQ!$LP$2:$LP$60=R$4)*(GMWQ!$LR$2:$LR$60=R$1),0),$B16-1966)</f>
        <v>1E-3</v>
      </c>
      <c r="S16" s="7" cm="1">
        <f t="array" ref="S16">INDEX(GMWQ!$A$2:$LR$60,MATCH(1,(GMWQ!$LQ$2:$LQ$60=S$3)*(GMWQ!$LP$2:$LP$60=S$4)*(GMWQ!$LR$2:$LR$60=S$1),0),$B16-1966)</f>
        <v>1</v>
      </c>
      <c r="T16" s="7" cm="1">
        <f t="array" ref="T16">INDEX(GMWQ!$A$2:$LR$60,MATCH(1,(GMWQ!$LQ$2:$LQ$60=T$3)*(GMWQ!$LP$2:$LP$60=T$4)*(GMWQ!$LR$2:$LR$60=T$1),0),$B16-1966)</f>
        <v>1E-3</v>
      </c>
      <c r="U16" s="7" cm="1">
        <f t="array" ref="U16">INDEX(GMWQ!$A$2:$LR$60,MATCH(1,(GMWQ!$LQ$2:$LQ$60=U$3)*(GMWQ!$LP$2:$LP$60=U$4)*(GMWQ!$LR$2:$LR$60=U$1),0),$B16-1966)</f>
        <v>0</v>
      </c>
      <c r="V16" s="7" cm="1">
        <f t="array" ref="V16">INDEX(GMWQ!$A$2:$LR$60,MATCH(1,(GMWQ!$LQ$2:$LQ$60=V$3)*(GMWQ!$LP$2:$LP$60=V$4)*(GMWQ!$LR$2:$LR$60=V$1),0),$B16-1966)</f>
        <v>1E-3</v>
      </c>
      <c r="W16" s="7" cm="1">
        <f t="array" ref="W16">INDEX(GMWQ!$A$2:$LR$60,MATCH(1,(GMWQ!$LQ$2:$LQ$60=W$3)*(GMWQ!$LP$2:$LP$60=W$4)*(GMWQ!$LR$2:$LR$60=W$1),0),$B16-1966)</f>
        <v>9.3632639999999991</v>
      </c>
      <c r="X16" s="7" cm="1">
        <f t="array" ref="X16">INDEX(GMWQ!$A$2:$LR$60,MATCH(1,(GMWQ!$LQ$2:$LQ$60=X$3)*(GMWQ!$LP$2:$LP$60=X$4)*(GMWQ!$LR$2:$LR$60=X$1),0),$B16-1966)</f>
        <v>696324.6</v>
      </c>
      <c r="Y16" s="7" cm="1">
        <f t="array" ref="Y16">INDEX(GMWQ!$A$2:$LR$60,MATCH(1,(GMWQ!$LQ$2:$LQ$60=Y$3)*(GMWQ!$LP$2:$LP$60=Y$4)*(GMWQ!$LR$2:$LR$60=Y$1),0),$B16-1966)</f>
        <v>13.213419999999999</v>
      </c>
      <c r="Z16" s="7" cm="1">
        <f t="array" ref="Z16">INDEX(GMWQ!$A$2:$LR$60,MATCH(1,(GMWQ!$LQ$2:$LQ$60=Z$3)*(GMWQ!$LP$2:$LP$60=Z$4)*(GMWQ!$LR$2:$LR$60=Z$1),0),$B16-1966)</f>
        <v>229052.6</v>
      </c>
      <c r="AA16" s="7" cm="1">
        <f t="array" ref="AA16">INDEX(GMWQ!$A$2:$LR$60,MATCH(1,(GMWQ!$LQ$2:$LQ$60=AA$3)*(GMWQ!$LP$2:$LP$60=AA$4)*(GMWQ!$LR$2:$LR$60=AA$1),0),$B16-1966)</f>
        <v>10738</v>
      </c>
      <c r="AB16" s="7" cm="1">
        <f t="array" ref="AB16">INDEX(GMWQ!$A$2:$LR$60,MATCH(1,(GMWQ!$LQ$2:$LQ$60=AB$3)*(GMWQ!$LP$2:$LP$60=AB$4)*(GMWQ!$LR$2:$LR$60=AB$1),0),$B16-1966)</f>
        <v>9857</v>
      </c>
      <c r="AC16" s="7" cm="1">
        <f t="array" ref="AC16">INDEX(GMWQ!$A$2:$LR$60,MATCH(1,(GMWQ!$LQ$2:$LQ$60=AC$3)*(GMWQ!$LP$2:$LP$60=AC$4)*(GMWQ!$LR$2:$LR$60=AC$1),0),$B16-1966)</f>
        <v>1277</v>
      </c>
      <c r="AD16" s="7" cm="1">
        <f t="array" ref="AD16">INDEX(GMWQ!$A$2:$LR$60,MATCH(1,(GMWQ!$LQ$2:$LQ$60=AD$3)*(GMWQ!$LP$2:$LP$60=AD$4)*(GMWQ!$LR$2:$LR$60=AD$1),0),$B16-1966)</f>
        <v>1262</v>
      </c>
      <c r="AE16" s="7" cm="1">
        <f t="array" ref="AE16">INDEX(GMWQ!$A$2:$LR$60,MATCH(1,(GMWQ!$LQ$2:$LQ$60=AE$3)*(GMWQ!$LP$2:$LP$60=AE$4)*(GMWQ!$LR$2:$LR$60=AE$1),0),$B16-1966)</f>
        <v>28129</v>
      </c>
      <c r="AF16" s="20" cm="1">
        <f t="array" ref="AF16">INDEX(GMWQ!$A$2:$LR$60,MATCH(1,(GMWQ!$LQ$2:$LQ$60=AF$3)*(GMWQ!$LP$2:$LP$60=AF$4)*(GMWQ!$LR$2:$LR$60=AF$1),0),$B16-1966)</f>
        <v>9.9615379999999991</v>
      </c>
      <c r="AG16" s="20" cm="1">
        <f t="array" ref="AG16">INDEX(GMWQ!$A$2:$LR$60,MATCH(1,(GMWQ!$LQ$2:$LQ$60=AG$3)*(GMWQ!$LP$2:$LP$60=AG$4)*(GMWQ!$LR$2:$LR$60=AG$1),0),$B16-1966)</f>
        <v>-125.76739999999999</v>
      </c>
      <c r="AI16" s="23" cm="1">
        <f t="array" ref="AI16">INDEX(GMWQ!$A$2:$LR$60,MATCH(1,(GMWQ!$LQ$2:$LQ$60=AI$3)*(GMWQ!$LP$2:$LP$60=AI$4)*(GMWQ!$LR$2:$LR$60=AI$1),0),$B16-1966)</f>
        <v>18613</v>
      </c>
      <c r="AJ16" s="23" cm="1">
        <f t="array" ref="AJ16">INDEX(GMWQ!$A$2:$LR$60,MATCH(1,(GMWQ!$LQ$2:$LQ$60=AJ$3)*(GMWQ!$LP$2:$LP$60=AJ$4)*(GMWQ!$LR$2:$LR$60=AJ$1),0),$B16-1966)</f>
        <v>15.16818</v>
      </c>
      <c r="AK16" s="23" cm="1">
        <f t="array" ref="AK16">INDEX(GMWQ!$A$2:$LR$60,MATCH(1,(GMWQ!$LQ$2:$LQ$60=AK$3)*(GMWQ!$LP$2:$LP$60=AK$4)*(GMWQ!$LR$2:$LR$60=AK$1),0),$B16-1966)</f>
        <v>14659</v>
      </c>
      <c r="AL16" s="23" cm="1">
        <f t="array" ref="AL16">INDEX(GMWQ!$A$2:$LR$60,MATCH(1,(GMWQ!$LQ$2:$LQ$60=AL$3)*(GMWQ!$LP$2:$LP$60=AL$4)*(GMWQ!$LR$2:$LR$60=AL$1),0),$B16-1966)</f>
        <v>659.83810000000005</v>
      </c>
      <c r="AM16" s="23" cm="1">
        <f t="array" ref="AM16">INDEX(GMWQ!$A$2:$LR$60,MATCH(1,(GMWQ!$LQ$2:$LQ$60=AM$3)*(GMWQ!$LP$2:$LP$60=AM$4)*(GMWQ!$LR$2:$LR$60=AM$1),0),$B16-1966)</f>
        <v>22216.06</v>
      </c>
      <c r="AN16" s="23" cm="1">
        <f t="array" ref="AN16">INDEX(GMWQ!$A$2:$LR$60,MATCH(1,(GMWQ!$LQ$2:$LQ$60=AN$3)*(GMWQ!$LP$2:$LP$60=AN$4)*(GMWQ!$LR$2:$LR$60=AN$1),0),$B16-1966)</f>
        <v>3594.2689999999998</v>
      </c>
      <c r="AO16" s="23" cm="1">
        <f t="array" ref="AO16">INDEX(GMWQ!$A$2:$LR$60,MATCH(1,(GMWQ!$LQ$2:$LQ$60=AO$3)*(GMWQ!$LP$2:$LP$60=AO$4)*(GMWQ!$LR$2:$LR$60=AO$1),0),$B16-1966)</f>
        <v>713.75639999999999</v>
      </c>
      <c r="AP16" s="23" cm="1">
        <f t="array" ref="AP16">INDEX(GMWQ!$A$2:$LR$60,MATCH(1,(GMWQ!$LQ$2:$LQ$60=AP$3)*(GMWQ!$LP$2:$LP$60=AP$4)*(GMWQ!$LR$2:$LR$60=AP$1),0),$B16-1966)</f>
        <v>-125.76739999999999</v>
      </c>
      <c r="AQ16" s="23" cm="1">
        <f t="array" ref="AQ16">INDEX(GMWQ!$A$2:$LR$60,MATCH(1,(GMWQ!$LQ$2:$LQ$60=AQ$3)*(GMWQ!$LP$2:$LP$60=AQ$4)*(GMWQ!$LR$2:$LR$60=AQ$1),0),$B16-1966)</f>
        <v>2592.846</v>
      </c>
      <c r="AR16" s="23" cm="1">
        <f t="array" ref="AR16">INDEX(GMWQ!$A$2:$LR$60,MATCH(1,(GMWQ!$LQ$2:$LQ$60=AR$3)*(GMWQ!$LP$2:$LP$60=AR$4)*(GMWQ!$LR$2:$LR$60=AR$1),0),$B16-1966)</f>
        <v>17407</v>
      </c>
      <c r="AS16" s="23" cm="1">
        <f t="array" ref="AS16">INDEX(GMWQ!$A$2:$LR$60,MATCH(1,(GMWQ!$LQ$2:$LQ$60=AS$3)*(GMWQ!$LP$2:$LP$60=AS$4)*(GMWQ!$LR$2:$LR$60=AS$1),0),$B16-1966)</f>
        <v>286</v>
      </c>
      <c r="AT16" s="23" cm="1">
        <f t="array" ref="AT16">INDEX(GMWQ!$A$2:$LR$60,MATCH(1,(GMWQ!$LQ$2:$LQ$60=AT$3)*(GMWQ!$LP$2:$LP$60=AT$4)*(GMWQ!$LR$2:$LR$60=AT$1),0),$B16-1966)</f>
        <v>114760</v>
      </c>
      <c r="AU16" s="23" cm="1">
        <f t="array" ref="AU16">INDEX(GMWQ!$A$2:$LR$60,MATCH(1,(GMWQ!$LQ$2:$LQ$60=AU$3)*(GMWQ!$LP$2:$LP$60=AU$4)*(GMWQ!$LR$2:$LR$60=AU$1),0),$B16-1966)</f>
        <v>3451</v>
      </c>
    </row>
    <row r="17" spans="1:47" x14ac:dyDescent="0.35">
      <c r="B17" s="7">
        <f t="shared" si="1"/>
        <v>1983</v>
      </c>
      <c r="C17" s="7" cm="1">
        <f t="array" ref="C17">INDEX(GMWQ!$A$2:$LR$60,MATCH(1,(GMWQ!$LQ$2:$LQ$60=C$3)*(GMWQ!$LP$2:$LP$60=C$4)*(GMWQ!$LR$2:$LR$60=C$1),0),$B17-1966)</f>
        <v>212192</v>
      </c>
      <c r="D17" s="7" cm="1">
        <f t="array" ref="D17">INDEX(GMWQ!$A$2:$LR$60,MATCH(1,(GMWQ!$LQ$2:$LQ$60=D$3)*(GMWQ!$LP$2:$LP$60=D$4)*(GMWQ!$LR$2:$LR$60=D$1),0),$B17-1966)</f>
        <v>27.02938</v>
      </c>
      <c r="E17" s="7" cm="1">
        <f t="array" ref="E17">INDEX(GMWQ!$A$2:$LR$60,MATCH(1,(GMWQ!$LQ$2:$LQ$60=E$3)*(GMWQ!$LP$2:$LP$60=E$4)*(GMWQ!$LR$2:$LR$60=E$1),0),$B17-1966)</f>
        <v>18.222280000000001</v>
      </c>
      <c r="F17" s="7" cm="1">
        <f t="array" ref="F17">INDEX(GMWQ!$A$2:$LR$60,MATCH(1,(GMWQ!$LQ$2:$LQ$60=F$3)*(GMWQ!$LP$2:$LP$60=F$4)*(GMWQ!$LR$2:$LR$60=F$1),0),$B17-1966)</f>
        <v>15563</v>
      </c>
      <c r="G17" s="7" cm="1">
        <f t="array" ref="G17">INDEX(GMWQ!$A$2:$LR$60,MATCH(1,(GMWQ!$LQ$2:$LQ$60=G$3)*(GMWQ!$LP$2:$LP$60=G$4)*(GMWQ!$LR$2:$LR$60=G$1),0),$B17-1966)</f>
        <v>3998.797</v>
      </c>
      <c r="H17" s="7" cm="1">
        <f t="array" ref="H17">INDEX(GMWQ!$A$2:$LR$60,MATCH(1,(GMWQ!$LQ$2:$LQ$60=H$3)*(GMWQ!$LP$2:$LP$60=H$4)*(GMWQ!$LR$2:$LR$60=H$1),0),$B17-1966)</f>
        <v>752.8229</v>
      </c>
      <c r="I17" s="7" cm="1">
        <f t="array" ref="I17">INDEX(GMWQ!$A$2:$LR$60,MATCH(1,(GMWQ!$LQ$2:$LQ$60=I$3)*(GMWQ!$LP$2:$LP$60=I$4)*(GMWQ!$LR$2:$LR$60=I$1),0),$B17-1966)</f>
        <v>15.7707</v>
      </c>
      <c r="J17" s="7" cm="1">
        <f t="array" ref="J17">INDEX(GMWQ!$A$2:$LR$60,MATCH(1,(GMWQ!$LQ$2:$LQ$60=J$3)*(GMWQ!$LP$2:$LP$60=J$4)*(GMWQ!$LR$2:$LR$60=J$1),0),$B17-1966)</f>
        <v>22168.15</v>
      </c>
      <c r="K17" s="7" cm="1">
        <f t="array" ref="K17">INDEX(GMWQ!$A$2:$LR$60,MATCH(1,(GMWQ!$LQ$2:$LQ$60=K$3)*(GMWQ!$LP$2:$LP$60=K$4)*(GMWQ!$LR$2:$LR$60=K$1),0),$B17-1966)</f>
        <v>11</v>
      </c>
      <c r="L17" s="7" cm="1">
        <f t="array" ref="L17">INDEX(GMWQ!$A$2:$LR$60,MATCH(1,(GMWQ!$LQ$2:$LQ$60=L$3)*(GMWQ!$LP$2:$LP$60=L$4)*(GMWQ!$LR$2:$LR$60=L$1),0),$B17-1966)</f>
        <v>4.7</v>
      </c>
      <c r="M17" s="7" cm="1">
        <f t="array" ref="M17">INDEX(GMWQ!$A$2:$LR$60,MATCH(1,(GMWQ!$LQ$2:$LQ$60=M$3)*(GMWQ!$LP$2:$LP$60=M$4)*(GMWQ!$LR$2:$LR$60=M$1),0),$B17-1966)</f>
        <v>5.1278969999999999</v>
      </c>
      <c r="N17" s="7" cm="1">
        <f t="array" ref="N17">INDEX(GMWQ!$A$2:$LR$60,MATCH(1,(GMWQ!$LQ$2:$LQ$60=N$3)*(GMWQ!$LP$2:$LP$60=N$4)*(GMWQ!$LR$2:$LR$60=N$1),0),$B17-1966)</f>
        <v>1E-3</v>
      </c>
      <c r="O17" s="7" cm="1">
        <f t="array" ref="O17">INDEX(GMWQ!$A$2:$LR$60,MATCH(1,(GMWQ!$LQ$2:$LQ$60=O$3)*(GMWQ!$LP$2:$LP$60=O$4)*(GMWQ!$LR$2:$LR$60=O$1),0),$B17-1966)</f>
        <v>1E-3</v>
      </c>
      <c r="P17" s="7" cm="1">
        <f t="array" ref="P17">INDEX(GMWQ!$A$2:$LR$60,MATCH(1,(GMWQ!$LQ$2:$LQ$60=P$3)*(GMWQ!$LP$2:$LP$60=P$4)*(GMWQ!$LR$2:$LR$60=P$1),0),$B17-1966)</f>
        <v>19564</v>
      </c>
      <c r="Q17" s="7" cm="1">
        <f t="array" ref="Q17">INDEX(GMWQ!$A$2:$LR$60,MATCH(1,(GMWQ!$LQ$2:$LQ$60=Q$3)*(GMWQ!$LP$2:$LP$60=Q$4)*(GMWQ!$LR$2:$LR$60=Q$1),0),$B17-1966)</f>
        <v>11</v>
      </c>
      <c r="R17" s="7" cm="1">
        <f t="array" ref="R17">INDEX(GMWQ!$A$2:$LR$60,MATCH(1,(GMWQ!$LQ$2:$LQ$60=R$3)*(GMWQ!$LP$2:$LP$60=R$4)*(GMWQ!$LR$2:$LR$60=R$1),0),$B17-1966)</f>
        <v>1E-3</v>
      </c>
      <c r="S17" s="7" cm="1">
        <f t="array" ref="S17">INDEX(GMWQ!$A$2:$LR$60,MATCH(1,(GMWQ!$LQ$2:$LQ$60=S$3)*(GMWQ!$LP$2:$LP$60=S$4)*(GMWQ!$LR$2:$LR$60=S$1),0),$B17-1966)</f>
        <v>1</v>
      </c>
      <c r="T17" s="7" cm="1">
        <f t="array" ref="T17">INDEX(GMWQ!$A$2:$LR$60,MATCH(1,(GMWQ!$LQ$2:$LQ$60=T$3)*(GMWQ!$LP$2:$LP$60=T$4)*(GMWQ!$LR$2:$LR$60=T$1),0),$B17-1966)</f>
        <v>1E-3</v>
      </c>
      <c r="U17" s="7" cm="1">
        <f t="array" ref="U17">INDEX(GMWQ!$A$2:$LR$60,MATCH(1,(GMWQ!$LQ$2:$LQ$60=U$3)*(GMWQ!$LP$2:$LP$60=U$4)*(GMWQ!$LR$2:$LR$60=U$1),0),$B17-1966)</f>
        <v>0</v>
      </c>
      <c r="V17" s="7" cm="1">
        <f t="array" ref="V17">INDEX(GMWQ!$A$2:$LR$60,MATCH(1,(GMWQ!$LQ$2:$LQ$60=V$3)*(GMWQ!$LP$2:$LP$60=V$4)*(GMWQ!$LR$2:$LR$60=V$1),0),$B17-1966)</f>
        <v>1E-3</v>
      </c>
      <c r="W17" s="7" cm="1">
        <f t="array" ref="W17">INDEX(GMWQ!$A$2:$LR$60,MATCH(1,(GMWQ!$LQ$2:$LQ$60=W$3)*(GMWQ!$LP$2:$LP$60=W$4)*(GMWQ!$LR$2:$LR$60=W$1),0),$B17-1966)</f>
        <v>9.7154430000000005</v>
      </c>
      <c r="X17" s="7" cm="1">
        <f t="array" ref="X17">INDEX(GMWQ!$A$2:$LR$60,MATCH(1,(GMWQ!$LQ$2:$LQ$60=X$3)*(GMWQ!$LP$2:$LP$60=X$4)*(GMWQ!$LR$2:$LR$60=X$1),0),$B17-1966)</f>
        <v>694534.9</v>
      </c>
      <c r="Y17" s="7" cm="1">
        <f t="array" ref="Y17">INDEX(GMWQ!$A$2:$LR$60,MATCH(1,(GMWQ!$LQ$2:$LQ$60=Y$3)*(GMWQ!$LP$2:$LP$60=Y$4)*(GMWQ!$LR$2:$LR$60=Y$1),0),$B17-1966)</f>
        <v>13.789400000000001</v>
      </c>
      <c r="Z17" s="7" cm="1">
        <f t="array" ref="Z17">INDEX(GMWQ!$A$2:$LR$60,MATCH(1,(GMWQ!$LQ$2:$LQ$60=Z$3)*(GMWQ!$LP$2:$LP$60=Z$4)*(GMWQ!$LR$2:$LR$60=Z$1),0),$B17-1966)</f>
        <v>229513.2</v>
      </c>
      <c r="AA17" s="7" cm="1">
        <f t="array" ref="AA17">INDEX(GMWQ!$A$2:$LR$60,MATCH(1,(GMWQ!$LQ$2:$LQ$60=AA$3)*(GMWQ!$LP$2:$LP$60=AA$4)*(GMWQ!$LR$2:$LR$60=AA$1),0),$B17-1966)</f>
        <v>11743</v>
      </c>
      <c r="AB17" s="7" cm="1">
        <f t="array" ref="AB17">INDEX(GMWQ!$A$2:$LR$60,MATCH(1,(GMWQ!$LQ$2:$LQ$60=AB$3)*(GMWQ!$LP$2:$LP$60=AB$4)*(GMWQ!$LR$2:$LR$60=AB$1),0),$B17-1966)</f>
        <v>10748</v>
      </c>
      <c r="AC17" s="7" cm="1">
        <f t="array" ref="AC17">INDEX(GMWQ!$A$2:$LR$60,MATCH(1,(GMWQ!$LQ$2:$LQ$60=AC$3)*(GMWQ!$LP$2:$LP$60=AC$4)*(GMWQ!$LR$2:$LR$60=AC$1),0),$B17-1966)</f>
        <v>1527</v>
      </c>
      <c r="AD17" s="7" cm="1">
        <f t="array" ref="AD17">INDEX(GMWQ!$A$2:$LR$60,MATCH(1,(GMWQ!$LQ$2:$LQ$60=AD$3)*(GMWQ!$LP$2:$LP$60=AD$4)*(GMWQ!$LR$2:$LR$60=AD$1),0),$B17-1966)</f>
        <v>1342</v>
      </c>
      <c r="AE17" s="7" cm="1">
        <f t="array" ref="AE17">INDEX(GMWQ!$A$2:$LR$60,MATCH(1,(GMWQ!$LQ$2:$LQ$60=AE$3)*(GMWQ!$LP$2:$LP$60=AE$4)*(GMWQ!$LR$2:$LR$60=AE$1),0),$B17-1966)</f>
        <v>29260</v>
      </c>
      <c r="AF17" s="20" cm="1">
        <f t="array" ref="AF17">INDEX(GMWQ!$A$2:$LR$60,MATCH(1,(GMWQ!$LQ$2:$LQ$60=AF$3)*(GMWQ!$LP$2:$LP$60=AF$4)*(GMWQ!$LR$2:$LR$60=AF$1),0),$B17-1966)</f>
        <v>10.712120000000001</v>
      </c>
      <c r="AG17" s="20" cm="1">
        <f t="array" ref="AG17">INDEX(GMWQ!$A$2:$LR$60,MATCH(1,(GMWQ!$LQ$2:$LQ$60=AG$3)*(GMWQ!$LP$2:$LP$60=AG$4)*(GMWQ!$LR$2:$LR$60=AG$1),0),$B17-1966)</f>
        <v>-168.8186</v>
      </c>
      <c r="AI17" s="23" cm="1">
        <f t="array" ref="AI17">INDEX(GMWQ!$A$2:$LR$60,MATCH(1,(GMWQ!$LQ$2:$LQ$60=AI$3)*(GMWQ!$LP$2:$LP$60=AI$4)*(GMWQ!$LR$2:$LR$60=AI$1),0),$B17-1966)</f>
        <v>19564</v>
      </c>
      <c r="AJ17" s="23" cm="1">
        <f t="array" ref="AJ17">INDEX(GMWQ!$A$2:$LR$60,MATCH(1,(GMWQ!$LQ$2:$LQ$60=AJ$3)*(GMWQ!$LP$2:$LP$60=AJ$4)*(GMWQ!$LR$2:$LR$60=AJ$1),0),$B17-1966)</f>
        <v>15.7707</v>
      </c>
      <c r="AK17" s="23" cm="1">
        <f t="array" ref="AK17">INDEX(GMWQ!$A$2:$LR$60,MATCH(1,(GMWQ!$LQ$2:$LQ$60=AK$3)*(GMWQ!$LP$2:$LP$60=AK$4)*(GMWQ!$LR$2:$LR$60=AK$1),0),$B17-1966)</f>
        <v>15563</v>
      </c>
      <c r="AL17" s="23" cm="1">
        <f t="array" ref="AL17">INDEX(GMWQ!$A$2:$LR$60,MATCH(1,(GMWQ!$LQ$2:$LQ$60=AL$3)*(GMWQ!$LP$2:$LP$60=AL$4)*(GMWQ!$LR$2:$LR$60=AL$1),0),$B17-1966)</f>
        <v>702.04330000000004</v>
      </c>
      <c r="AM17" s="23" cm="1">
        <f t="array" ref="AM17">INDEX(GMWQ!$A$2:$LR$60,MATCH(1,(GMWQ!$LQ$2:$LQ$60=AM$3)*(GMWQ!$LP$2:$LP$60=AM$4)*(GMWQ!$LR$2:$LR$60=AM$1),0),$B17-1966)</f>
        <v>22168.15</v>
      </c>
      <c r="AN17" s="23" cm="1">
        <f t="array" ref="AN17">INDEX(GMWQ!$A$2:$LR$60,MATCH(1,(GMWQ!$LQ$2:$LQ$60=AN$3)*(GMWQ!$LP$2:$LP$60=AN$4)*(GMWQ!$LR$2:$LR$60=AN$1),0),$B17-1966)</f>
        <v>3998.797</v>
      </c>
      <c r="AO17" s="23" cm="1">
        <f t="array" ref="AO17">INDEX(GMWQ!$A$2:$LR$60,MATCH(1,(GMWQ!$LQ$2:$LQ$60=AO$3)*(GMWQ!$LP$2:$LP$60=AO$4)*(GMWQ!$LR$2:$LR$60=AO$1),0),$B17-1966)</f>
        <v>752.8229</v>
      </c>
      <c r="AP17" s="23" cm="1">
        <f t="array" ref="AP17">INDEX(GMWQ!$A$2:$LR$60,MATCH(1,(GMWQ!$LQ$2:$LQ$60=AP$3)*(GMWQ!$LP$2:$LP$60=AP$4)*(GMWQ!$LR$2:$LR$60=AP$1),0),$B17-1966)</f>
        <v>-168.8186</v>
      </c>
      <c r="AQ17" s="23" cm="1">
        <f t="array" ref="AQ17">INDEX(GMWQ!$A$2:$LR$60,MATCH(1,(GMWQ!$LQ$2:$LQ$60=AQ$3)*(GMWQ!$LP$2:$LP$60=AQ$4)*(GMWQ!$LR$2:$LR$60=AQ$1),0),$B17-1966)</f>
        <v>2733.598</v>
      </c>
      <c r="AR17" s="23" cm="1">
        <f t="array" ref="AR17">INDEX(GMWQ!$A$2:$LR$60,MATCH(1,(GMWQ!$LQ$2:$LQ$60=AR$3)*(GMWQ!$LP$2:$LP$60=AR$4)*(GMWQ!$LR$2:$LR$60=AR$1),0),$B17-1966)</f>
        <v>17907</v>
      </c>
      <c r="AS17" s="23" cm="1">
        <f t="array" ref="AS17">INDEX(GMWQ!$A$2:$LR$60,MATCH(1,(GMWQ!$LQ$2:$LQ$60=AS$3)*(GMWQ!$LP$2:$LP$60=AS$4)*(GMWQ!$LR$2:$LR$60=AS$1),0),$B17-1966)</f>
        <v>307</v>
      </c>
      <c r="AT17" s="23" cm="1">
        <f t="array" ref="AT17">INDEX(GMWQ!$A$2:$LR$60,MATCH(1,(GMWQ!$LQ$2:$LQ$60=AT$3)*(GMWQ!$LP$2:$LP$60=AT$4)*(GMWQ!$LR$2:$LR$60=AT$1),0),$B17-1966)</f>
        <v>113546</v>
      </c>
      <c r="AU17" s="23" cm="1">
        <f t="array" ref="AU17">INDEX(GMWQ!$A$2:$LR$60,MATCH(1,(GMWQ!$LQ$2:$LQ$60=AU$3)*(GMWQ!$LP$2:$LP$60=AU$4)*(GMWQ!$LR$2:$LR$60=AU$1),0),$B17-1966)</f>
        <v>3501</v>
      </c>
    </row>
    <row r="18" spans="1:47" x14ac:dyDescent="0.35">
      <c r="B18" s="7">
        <f t="shared" si="1"/>
        <v>1984</v>
      </c>
      <c r="C18" s="7" cm="1">
        <f t="array" ref="C18">INDEX(GMWQ!$A$2:$LR$60,MATCH(1,(GMWQ!$LQ$2:$LQ$60=C$3)*(GMWQ!$LP$2:$LP$60=C$4)*(GMWQ!$LR$2:$LR$60=C$1),0),$B18-1966)</f>
        <v>214585</v>
      </c>
      <c r="D18" s="7" cm="1">
        <f t="array" ref="D18">INDEX(GMWQ!$A$2:$LR$60,MATCH(1,(GMWQ!$LQ$2:$LQ$60=D$3)*(GMWQ!$LP$2:$LP$60=D$4)*(GMWQ!$LR$2:$LR$60=D$1),0),$B18-1966)</f>
        <v>28.37567</v>
      </c>
      <c r="E18" s="7" cm="1">
        <f t="array" ref="E18">INDEX(GMWQ!$A$2:$LR$60,MATCH(1,(GMWQ!$LQ$2:$LQ$60=E$3)*(GMWQ!$LP$2:$LP$60=E$4)*(GMWQ!$LR$2:$LR$60=E$1),0),$B18-1966)</f>
        <v>18.847930000000002</v>
      </c>
      <c r="F18" s="7" cm="1">
        <f t="array" ref="F18">INDEX(GMWQ!$A$2:$LR$60,MATCH(1,(GMWQ!$LQ$2:$LQ$60=F$3)*(GMWQ!$LP$2:$LP$60=F$4)*(GMWQ!$LR$2:$LR$60=F$1),0),$B18-1966)</f>
        <v>15848</v>
      </c>
      <c r="G18" s="7" cm="1">
        <f t="array" ref="G18">INDEX(GMWQ!$A$2:$LR$60,MATCH(1,(GMWQ!$LQ$2:$LQ$60=G$3)*(GMWQ!$LP$2:$LP$60=G$4)*(GMWQ!$LR$2:$LR$60=G$1),0),$B18-1966)</f>
        <v>4008.6880000000001</v>
      </c>
      <c r="H18" s="7" cm="1">
        <f t="array" ref="H18">INDEX(GMWQ!$A$2:$LR$60,MATCH(1,(GMWQ!$LQ$2:$LQ$60=H$3)*(GMWQ!$LP$2:$LP$60=H$4)*(GMWQ!$LR$2:$LR$60=H$1),0),$B18-1966)</f>
        <v>774.99580000000003</v>
      </c>
      <c r="I18" s="7" cm="1">
        <f t="array" ref="I18">INDEX(GMWQ!$A$2:$LR$60,MATCH(1,(GMWQ!$LQ$2:$LQ$60=I$3)*(GMWQ!$LP$2:$LP$60=I$4)*(GMWQ!$LR$2:$LR$60=I$1),0),$B18-1966)</f>
        <v>16.597670000000001</v>
      </c>
      <c r="J18" s="7" cm="1">
        <f t="array" ref="J18">INDEX(GMWQ!$A$2:$LR$60,MATCH(1,(GMWQ!$LQ$2:$LQ$60=J$3)*(GMWQ!$LP$2:$LP$60=J$4)*(GMWQ!$LR$2:$LR$60=J$1),0),$B18-1966)</f>
        <v>22108.51</v>
      </c>
      <c r="K18" s="7" cm="1">
        <f t="array" ref="K18">INDEX(GMWQ!$A$2:$LR$60,MATCH(1,(GMWQ!$LQ$2:$LQ$60=K$3)*(GMWQ!$LP$2:$LP$60=K$4)*(GMWQ!$LR$2:$LR$60=K$1),0),$B18-1966)</f>
        <v>11.25</v>
      </c>
      <c r="L18" s="7" cm="1">
        <f t="array" ref="L18">INDEX(GMWQ!$A$2:$LR$60,MATCH(1,(GMWQ!$LQ$2:$LQ$60=L$3)*(GMWQ!$LP$2:$LP$60=L$4)*(GMWQ!$LR$2:$LR$60=L$1),0),$B18-1966)</f>
        <v>5</v>
      </c>
      <c r="M18" s="7" cm="1">
        <f t="array" ref="M18">INDEX(GMWQ!$A$2:$LR$60,MATCH(1,(GMWQ!$LQ$2:$LQ$60=M$3)*(GMWQ!$LP$2:$LP$60=M$4)*(GMWQ!$LR$2:$LR$60=M$1),0),$B18-1966)</f>
        <v>5.2242139999999999</v>
      </c>
      <c r="N18" s="7" cm="1">
        <f t="array" ref="N18">INDEX(GMWQ!$A$2:$LR$60,MATCH(1,(GMWQ!$LQ$2:$LQ$60=N$3)*(GMWQ!$LP$2:$LP$60=N$4)*(GMWQ!$LR$2:$LR$60=N$1),0),$B18-1966)</f>
        <v>1E-3</v>
      </c>
      <c r="O18" s="7" cm="1">
        <f t="array" ref="O18">INDEX(GMWQ!$A$2:$LR$60,MATCH(1,(GMWQ!$LQ$2:$LQ$60=O$3)*(GMWQ!$LP$2:$LP$60=O$4)*(GMWQ!$LR$2:$LR$60=O$1),0),$B18-1966)</f>
        <v>1E-3</v>
      </c>
      <c r="P18" s="7" cm="1">
        <f t="array" ref="P18">INDEX(GMWQ!$A$2:$LR$60,MATCH(1,(GMWQ!$LQ$2:$LQ$60=P$3)*(GMWQ!$LP$2:$LP$60=P$4)*(GMWQ!$LR$2:$LR$60=P$1),0),$B18-1966)</f>
        <v>20194</v>
      </c>
      <c r="Q18" s="7" cm="1">
        <f t="array" ref="Q18">INDEX(GMWQ!$A$2:$LR$60,MATCH(1,(GMWQ!$LQ$2:$LQ$60=Q$3)*(GMWQ!$LP$2:$LP$60=Q$4)*(GMWQ!$LR$2:$LR$60=Q$1),0),$B18-1966)</f>
        <v>11</v>
      </c>
      <c r="R18" s="7" cm="1">
        <f t="array" ref="R18">INDEX(GMWQ!$A$2:$LR$60,MATCH(1,(GMWQ!$LQ$2:$LQ$60=R$3)*(GMWQ!$LP$2:$LP$60=R$4)*(GMWQ!$LR$2:$LR$60=R$1),0),$B18-1966)</f>
        <v>1E-3</v>
      </c>
      <c r="S18" s="7" cm="1">
        <f t="array" ref="S18">INDEX(GMWQ!$A$2:$LR$60,MATCH(1,(GMWQ!$LQ$2:$LQ$60=S$3)*(GMWQ!$LP$2:$LP$60=S$4)*(GMWQ!$LR$2:$LR$60=S$1),0),$B18-1966)</f>
        <v>1</v>
      </c>
      <c r="T18" s="7" cm="1">
        <f t="array" ref="T18">INDEX(GMWQ!$A$2:$LR$60,MATCH(1,(GMWQ!$LQ$2:$LQ$60=T$3)*(GMWQ!$LP$2:$LP$60=T$4)*(GMWQ!$LR$2:$LR$60=T$1),0),$B18-1966)</f>
        <v>1E-3</v>
      </c>
      <c r="U18" s="7" cm="1">
        <f t="array" ref="U18">INDEX(GMWQ!$A$2:$LR$60,MATCH(1,(GMWQ!$LQ$2:$LQ$60=U$3)*(GMWQ!$LP$2:$LP$60=U$4)*(GMWQ!$LR$2:$LR$60=U$1),0),$B18-1966)</f>
        <v>0</v>
      </c>
      <c r="V18" s="7" cm="1">
        <f t="array" ref="V18">INDEX(GMWQ!$A$2:$LR$60,MATCH(1,(GMWQ!$LQ$2:$LQ$60=V$3)*(GMWQ!$LP$2:$LP$60=V$4)*(GMWQ!$LR$2:$LR$60=V$1),0),$B18-1966)</f>
        <v>1E-3</v>
      </c>
      <c r="W18" s="7" cm="1">
        <f t="array" ref="W18">INDEX(GMWQ!$A$2:$LR$60,MATCH(1,(GMWQ!$LQ$2:$LQ$60=W$3)*(GMWQ!$LP$2:$LP$60=W$4)*(GMWQ!$LR$2:$LR$60=W$1),0),$B18-1966)</f>
        <v>9.1201939999999997</v>
      </c>
      <c r="X18" s="7" cm="1">
        <f t="array" ref="X18">INDEX(GMWQ!$A$2:$LR$60,MATCH(1,(GMWQ!$LQ$2:$LQ$60=X$3)*(GMWQ!$LP$2:$LP$60=X$4)*(GMWQ!$LR$2:$LR$60=X$1),0),$B18-1966)</f>
        <v>692745.3</v>
      </c>
      <c r="Y18" s="7" cm="1">
        <f t="array" ref="Y18">INDEX(GMWQ!$A$2:$LR$60,MATCH(1,(GMWQ!$LQ$2:$LQ$60=Y$3)*(GMWQ!$LP$2:$LP$60=Y$4)*(GMWQ!$LR$2:$LR$60=Y$1),0),$B18-1966)</f>
        <v>14.39523</v>
      </c>
      <c r="Z18" s="7" cm="1">
        <f t="array" ref="Z18">INDEX(GMWQ!$A$2:$LR$60,MATCH(1,(GMWQ!$LQ$2:$LQ$60=Z$3)*(GMWQ!$LP$2:$LP$60=Z$4)*(GMWQ!$LR$2:$LR$60=Z$1),0),$B18-1966)</f>
        <v>229872.4</v>
      </c>
      <c r="AA18" s="7" cm="1">
        <f t="array" ref="AA18">INDEX(GMWQ!$A$2:$LR$60,MATCH(1,(GMWQ!$LQ$2:$LQ$60=AA$3)*(GMWQ!$LP$2:$LP$60=AA$4)*(GMWQ!$LR$2:$LR$60=AA$1),0),$B18-1966)</f>
        <v>12800</v>
      </c>
      <c r="AB18" s="7" cm="1">
        <f t="array" ref="AB18">INDEX(GMWQ!$A$2:$LR$60,MATCH(1,(GMWQ!$LQ$2:$LQ$60=AB$3)*(GMWQ!$LP$2:$LP$60=AB$4)*(GMWQ!$LR$2:$LR$60=AB$1),0),$B18-1966)</f>
        <v>11248</v>
      </c>
      <c r="AC18" s="7" cm="1">
        <f t="array" ref="AC18">INDEX(GMWQ!$A$2:$LR$60,MATCH(1,(GMWQ!$LQ$2:$LQ$60=AC$3)*(GMWQ!$LP$2:$LP$60=AC$4)*(GMWQ!$LR$2:$LR$60=AC$1),0),$B18-1966)</f>
        <v>1739</v>
      </c>
      <c r="AD18" s="7" cm="1">
        <f t="array" ref="AD18">INDEX(GMWQ!$A$2:$LR$60,MATCH(1,(GMWQ!$LQ$2:$LQ$60=AD$3)*(GMWQ!$LP$2:$LP$60=AD$4)*(GMWQ!$LR$2:$LR$60=AD$1),0),$B18-1966)</f>
        <v>1422</v>
      </c>
      <c r="AE18" s="7" cm="1">
        <f t="array" ref="AE18">INDEX(GMWQ!$A$2:$LR$60,MATCH(1,(GMWQ!$LQ$2:$LQ$60=AE$3)*(GMWQ!$LP$2:$LP$60=AE$4)*(GMWQ!$LR$2:$LR$60=AE$1),0),$B18-1966)</f>
        <v>30890</v>
      </c>
      <c r="AF18" s="20" cm="1">
        <f t="array" ref="AF18">INDEX(GMWQ!$A$2:$LR$60,MATCH(1,(GMWQ!$LQ$2:$LQ$60=AF$3)*(GMWQ!$LP$2:$LP$60=AF$4)*(GMWQ!$LR$2:$LR$60=AF$1),0),$B18-1966)</f>
        <v>11.731059999999999</v>
      </c>
      <c r="AG18" s="20" cm="1">
        <f t="array" ref="AG18">INDEX(GMWQ!$A$2:$LR$60,MATCH(1,(GMWQ!$LQ$2:$LQ$60=AG$3)*(GMWQ!$LP$2:$LP$60=AG$4)*(GMWQ!$LR$2:$LR$60=AG$1),0),$B18-1966)</f>
        <v>-178.38140000000001</v>
      </c>
      <c r="AI18" s="23" cm="1">
        <f t="array" ref="AI18">INDEX(GMWQ!$A$2:$LR$60,MATCH(1,(GMWQ!$LQ$2:$LQ$60=AI$3)*(GMWQ!$LP$2:$LP$60=AI$4)*(GMWQ!$LR$2:$LR$60=AI$1),0),$B18-1966)</f>
        <v>20194</v>
      </c>
      <c r="AJ18" s="23" cm="1">
        <f t="array" ref="AJ18">INDEX(GMWQ!$A$2:$LR$60,MATCH(1,(GMWQ!$LQ$2:$LQ$60=AJ$3)*(GMWQ!$LP$2:$LP$60=AJ$4)*(GMWQ!$LR$2:$LR$60=AJ$1),0),$B18-1966)</f>
        <v>16.597670000000001</v>
      </c>
      <c r="AK18" s="23" cm="1">
        <f t="array" ref="AK18">INDEX(GMWQ!$A$2:$LR$60,MATCH(1,(GMWQ!$LQ$2:$LQ$60=AK$3)*(GMWQ!$LP$2:$LP$60=AK$4)*(GMWQ!$LR$2:$LR$60=AK$1),0),$B18-1966)</f>
        <v>15848</v>
      </c>
      <c r="AL18" s="23" cm="1">
        <f t="array" ref="AL18">INDEX(GMWQ!$A$2:$LR$60,MATCH(1,(GMWQ!$LQ$2:$LQ$60=AL$3)*(GMWQ!$LP$2:$LP$60=AL$4)*(GMWQ!$LR$2:$LR$60=AL$1),0),$B18-1966)</f>
        <v>716.82809999999995</v>
      </c>
      <c r="AM18" s="23" cm="1">
        <f t="array" ref="AM18">INDEX(GMWQ!$A$2:$LR$60,MATCH(1,(GMWQ!$LQ$2:$LQ$60=AM$3)*(GMWQ!$LP$2:$LP$60=AM$4)*(GMWQ!$LR$2:$LR$60=AM$1),0),$B18-1966)</f>
        <v>22108.51</v>
      </c>
      <c r="AN18" s="23" cm="1">
        <f t="array" ref="AN18">INDEX(GMWQ!$A$2:$LR$60,MATCH(1,(GMWQ!$LQ$2:$LQ$60=AN$3)*(GMWQ!$LP$2:$LP$60=AN$4)*(GMWQ!$LR$2:$LR$60=AN$1),0),$B18-1966)</f>
        <v>4008.6880000000001</v>
      </c>
      <c r="AO18" s="23" cm="1">
        <f t="array" ref="AO18">INDEX(GMWQ!$A$2:$LR$60,MATCH(1,(GMWQ!$LQ$2:$LQ$60=AO$3)*(GMWQ!$LP$2:$LP$60=AO$4)*(GMWQ!$LR$2:$LR$60=AO$1),0),$B18-1966)</f>
        <v>774.99580000000003</v>
      </c>
      <c r="AP18" s="23" cm="1">
        <f t="array" ref="AP18">INDEX(GMWQ!$A$2:$LR$60,MATCH(1,(GMWQ!$LQ$2:$LQ$60=AP$3)*(GMWQ!$LP$2:$LP$60=AP$4)*(GMWQ!$LR$2:$LR$60=AP$1),0),$B18-1966)</f>
        <v>-178.38140000000001</v>
      </c>
      <c r="AQ18" s="23" cm="1">
        <f t="array" ref="AQ18">INDEX(GMWQ!$A$2:$LR$60,MATCH(1,(GMWQ!$LQ$2:$LQ$60=AQ$3)*(GMWQ!$LP$2:$LP$60=AQ$4)*(GMWQ!$LR$2:$LR$60=AQ$1),0),$B18-1966)</f>
        <v>2822.0709999999999</v>
      </c>
      <c r="AR18" s="23" cm="1">
        <f t="array" ref="AR18">INDEX(GMWQ!$A$2:$LR$60,MATCH(1,(GMWQ!$LQ$2:$LQ$60=AR$3)*(GMWQ!$LP$2:$LP$60=AR$4)*(GMWQ!$LR$2:$LR$60=AR$1),0),$B18-1966)</f>
        <v>18684</v>
      </c>
      <c r="AS18" s="23" cm="1">
        <f t="array" ref="AS18">INDEX(GMWQ!$A$2:$LR$60,MATCH(1,(GMWQ!$LQ$2:$LQ$60=AS$3)*(GMWQ!$LP$2:$LP$60=AS$4)*(GMWQ!$LR$2:$LR$60=AS$1),0),$B18-1966)</f>
        <v>299</v>
      </c>
      <c r="AT18" s="23" cm="1">
        <f t="array" ref="AT18">INDEX(GMWQ!$A$2:$LR$60,MATCH(1,(GMWQ!$LQ$2:$LQ$60=AT$3)*(GMWQ!$LP$2:$LP$60=AT$4)*(GMWQ!$LR$2:$LR$60=AT$1),0),$B18-1966)</f>
        <v>112570</v>
      </c>
      <c r="AU18" s="23" cm="1">
        <f t="array" ref="AU18">INDEX(GMWQ!$A$2:$LR$60,MATCH(1,(GMWQ!$LQ$2:$LQ$60=AU$3)*(GMWQ!$LP$2:$LP$60=AU$4)*(GMWQ!$LR$2:$LR$60=AU$1),0),$B18-1966)</f>
        <v>3533</v>
      </c>
    </row>
    <row r="19" spans="1:47" x14ac:dyDescent="0.35">
      <c r="A19" s="7">
        <v>1976</v>
      </c>
      <c r="B19" s="7">
        <f t="shared" si="1"/>
        <v>1985</v>
      </c>
      <c r="C19" s="7" cm="1">
        <f t="array" ref="C19">INDEX(GMWQ!$A$2:$LR$60,MATCH(1,(GMWQ!$LQ$2:$LQ$60=C$3)*(GMWQ!$LP$2:$LP$60=C$4)*(GMWQ!$LR$2:$LR$60=C$1),0),$B19-1966)</f>
        <v>218180</v>
      </c>
      <c r="D19" s="7" cm="1">
        <f t="array" ref="D19">INDEX(GMWQ!$A$2:$LR$60,MATCH(1,(GMWQ!$LQ$2:$LQ$60=D$3)*(GMWQ!$LP$2:$LP$60=D$4)*(GMWQ!$LR$2:$LR$60=D$1),0),$B19-1966)</f>
        <v>29.357140000000001</v>
      </c>
      <c r="E19" s="7" cm="1">
        <f t="array" ref="E19">INDEX(GMWQ!$A$2:$LR$60,MATCH(1,(GMWQ!$LQ$2:$LQ$60=E$3)*(GMWQ!$LP$2:$LP$60=E$4)*(GMWQ!$LR$2:$LR$60=E$1),0),$B19-1966)</f>
        <v>19.42145</v>
      </c>
      <c r="F19" s="7" cm="1">
        <f t="array" ref="F19">INDEX(GMWQ!$A$2:$LR$60,MATCH(1,(GMWQ!$LQ$2:$LQ$60=F$3)*(GMWQ!$LP$2:$LP$60=F$4)*(GMWQ!$LR$2:$LR$60=F$1),0),$B19-1966)</f>
        <v>16278</v>
      </c>
      <c r="G19" s="7" cm="1">
        <f t="array" ref="G19">INDEX(GMWQ!$A$2:$LR$60,MATCH(1,(GMWQ!$LQ$2:$LQ$60=G$3)*(GMWQ!$LP$2:$LP$60=G$4)*(GMWQ!$LR$2:$LR$60=G$1),0),$B19-1966)</f>
        <v>4188.6980000000003</v>
      </c>
      <c r="H19" s="7" cm="1">
        <f t="array" ref="H19">INDEX(GMWQ!$A$2:$LR$60,MATCH(1,(GMWQ!$LQ$2:$LQ$60=H$3)*(GMWQ!$LP$2:$LP$60=H$4)*(GMWQ!$LR$2:$LR$60=H$1),0),$B19-1966)</f>
        <v>767.60490000000004</v>
      </c>
      <c r="I19" s="7" cm="1">
        <f t="array" ref="I19">INDEX(GMWQ!$A$2:$LR$60,MATCH(1,(GMWQ!$LQ$2:$LQ$60=I$3)*(GMWQ!$LP$2:$LP$60=I$4)*(GMWQ!$LR$2:$LR$60=I$1),0),$B19-1966)</f>
        <v>17.22878</v>
      </c>
      <c r="J19" s="7" cm="1">
        <f t="array" ref="J19">INDEX(GMWQ!$A$2:$LR$60,MATCH(1,(GMWQ!$LQ$2:$LQ$60=J$3)*(GMWQ!$LP$2:$LP$60=J$4)*(GMWQ!$LR$2:$LR$60=J$1),0),$B19-1966)</f>
        <v>22054.74</v>
      </c>
      <c r="K19" s="7" cm="1">
        <f t="array" ref="K19">INDEX(GMWQ!$A$2:$LR$60,MATCH(1,(GMWQ!$LQ$2:$LQ$60=K$3)*(GMWQ!$LP$2:$LP$60=K$4)*(GMWQ!$LR$2:$LR$60=K$1),0),$B19-1966)</f>
        <v>9</v>
      </c>
      <c r="L19" s="7" cm="1">
        <f t="array" ref="L19">INDEX(GMWQ!$A$2:$LR$60,MATCH(1,(GMWQ!$LQ$2:$LQ$60=L$3)*(GMWQ!$LP$2:$LP$60=L$4)*(GMWQ!$LR$2:$LR$60=L$1),0),$B19-1966)</f>
        <v>5.3</v>
      </c>
      <c r="M19" s="7" cm="1">
        <f t="array" ref="M19">INDEX(GMWQ!$A$2:$LR$60,MATCH(1,(GMWQ!$LQ$2:$LQ$60=M$3)*(GMWQ!$LP$2:$LP$60=M$4)*(GMWQ!$LR$2:$LR$60=M$1),0),$B19-1966)</f>
        <v>5.2710780000000002</v>
      </c>
      <c r="N19" s="7" cm="1">
        <f t="array" ref="N19">INDEX(GMWQ!$A$2:$LR$60,MATCH(1,(GMWQ!$LQ$2:$LQ$60=N$3)*(GMWQ!$LP$2:$LP$60=N$4)*(GMWQ!$LR$2:$LR$60=N$1),0),$B19-1966)</f>
        <v>1E-3</v>
      </c>
      <c r="O19" s="7" cm="1">
        <f t="array" ref="O19">INDEX(GMWQ!$A$2:$LR$60,MATCH(1,(GMWQ!$LQ$2:$LQ$60=O$3)*(GMWQ!$LP$2:$LP$60=O$4)*(GMWQ!$LR$2:$LR$60=O$1),0),$B19-1966)</f>
        <v>1E-3</v>
      </c>
      <c r="P19" s="7" cm="1">
        <f t="array" ref="P19">INDEX(GMWQ!$A$2:$LR$60,MATCH(1,(GMWQ!$LQ$2:$LQ$60=P$3)*(GMWQ!$LP$2:$LP$60=P$4)*(GMWQ!$LR$2:$LR$60=P$1),0),$B19-1966)</f>
        <v>21295</v>
      </c>
      <c r="Q19" s="7" cm="1">
        <f t="array" ref="Q19">INDEX(GMWQ!$A$2:$LR$60,MATCH(1,(GMWQ!$LQ$2:$LQ$60=Q$3)*(GMWQ!$LP$2:$LP$60=Q$4)*(GMWQ!$LR$2:$LR$60=Q$1),0),$B19-1966)</f>
        <v>11</v>
      </c>
      <c r="R19" s="7" cm="1">
        <f t="array" ref="R19">INDEX(GMWQ!$A$2:$LR$60,MATCH(1,(GMWQ!$LQ$2:$LQ$60=R$3)*(GMWQ!$LP$2:$LP$60=R$4)*(GMWQ!$LR$2:$LR$60=R$1),0),$B19-1966)</f>
        <v>1E-3</v>
      </c>
      <c r="S19" s="7" cm="1">
        <f t="array" ref="S19">INDEX(GMWQ!$A$2:$LR$60,MATCH(1,(GMWQ!$LQ$2:$LQ$60=S$3)*(GMWQ!$LP$2:$LP$60=S$4)*(GMWQ!$LR$2:$LR$60=S$1),0),$B19-1966)</f>
        <v>1</v>
      </c>
      <c r="T19" s="7" cm="1">
        <f t="array" ref="T19">INDEX(GMWQ!$A$2:$LR$60,MATCH(1,(GMWQ!$LQ$2:$LQ$60=T$3)*(GMWQ!$LP$2:$LP$60=T$4)*(GMWQ!$LR$2:$LR$60=T$1),0),$B19-1966)</f>
        <v>1E-3</v>
      </c>
      <c r="U19" s="7" cm="1">
        <f t="array" ref="U19">INDEX(GMWQ!$A$2:$LR$60,MATCH(1,(GMWQ!$LQ$2:$LQ$60=U$3)*(GMWQ!$LP$2:$LP$60=U$4)*(GMWQ!$LR$2:$LR$60=U$1),0),$B19-1966)</f>
        <v>0</v>
      </c>
      <c r="V19" s="7" cm="1">
        <f t="array" ref="V19">INDEX(GMWQ!$A$2:$LR$60,MATCH(1,(GMWQ!$LQ$2:$LQ$60=V$3)*(GMWQ!$LP$2:$LP$60=V$4)*(GMWQ!$LR$2:$LR$60=V$1),0),$B19-1966)</f>
        <v>1E-3</v>
      </c>
      <c r="W19" s="7" cm="1">
        <f t="array" ref="W19">INDEX(GMWQ!$A$2:$LR$60,MATCH(1,(GMWQ!$LQ$2:$LQ$60=W$3)*(GMWQ!$LP$2:$LP$60=W$4)*(GMWQ!$LR$2:$LR$60=W$1),0),$B19-1966)</f>
        <v>7.3021149999999997</v>
      </c>
      <c r="X19" s="7" cm="1">
        <f t="array" ref="X19">INDEX(GMWQ!$A$2:$LR$60,MATCH(1,(GMWQ!$LQ$2:$LQ$60=X$3)*(GMWQ!$LP$2:$LP$60=X$4)*(GMWQ!$LR$2:$LR$60=X$1),0),$B19-1966)</f>
        <v>690955.6</v>
      </c>
      <c r="Y19" s="7" cm="1">
        <f t="array" ref="Y19">INDEX(GMWQ!$A$2:$LR$60,MATCH(1,(GMWQ!$LQ$2:$LQ$60=Y$3)*(GMWQ!$LP$2:$LP$60=Y$4)*(GMWQ!$LR$2:$LR$60=Y$1),0),$B19-1966)</f>
        <v>14.872579999999999</v>
      </c>
      <c r="Z19" s="7" cm="1">
        <f t="array" ref="Z19">INDEX(GMWQ!$A$2:$LR$60,MATCH(1,(GMWQ!$LQ$2:$LQ$60=Z$3)*(GMWQ!$LP$2:$LP$60=Z$4)*(GMWQ!$LR$2:$LR$60=Z$1),0),$B19-1966)</f>
        <v>230010.2</v>
      </c>
      <c r="AA19" s="7" cm="1">
        <f t="array" ref="AA19">INDEX(GMWQ!$A$2:$LR$60,MATCH(1,(GMWQ!$LQ$2:$LQ$60=AA$3)*(GMWQ!$LP$2:$LP$60=AA$4)*(GMWQ!$LR$2:$LR$60=AA$1),0),$B19-1966)</f>
        <v>13201</v>
      </c>
      <c r="AB19" s="7" cm="1">
        <f t="array" ref="AB19">INDEX(GMWQ!$A$2:$LR$60,MATCH(1,(GMWQ!$LQ$2:$LQ$60=AB$3)*(GMWQ!$LP$2:$LP$60=AB$4)*(GMWQ!$LR$2:$LR$60=AB$1),0),$B19-1966)</f>
        <v>12067</v>
      </c>
      <c r="AC19" s="7" cm="1">
        <f t="array" ref="AC19">INDEX(GMWQ!$A$2:$LR$60,MATCH(1,(GMWQ!$LQ$2:$LQ$60=AC$3)*(GMWQ!$LP$2:$LP$60=AC$4)*(GMWQ!$LR$2:$LR$60=AC$1),0),$B19-1966)</f>
        <v>2177</v>
      </c>
      <c r="AD19" s="7" cm="1">
        <f t="array" ref="AD19">INDEX(GMWQ!$A$2:$LR$60,MATCH(1,(GMWQ!$LQ$2:$LQ$60=AD$3)*(GMWQ!$LP$2:$LP$60=AD$4)*(GMWQ!$LR$2:$LR$60=AD$1),0),$B19-1966)</f>
        <v>1467</v>
      </c>
      <c r="AE19" s="7" cm="1">
        <f t="array" ref="AE19">INDEX(GMWQ!$A$2:$LR$60,MATCH(1,(GMWQ!$LQ$2:$LQ$60=AE$3)*(GMWQ!$LP$2:$LP$60=AE$4)*(GMWQ!$LR$2:$LR$60=AE$1),0),$B19-1966)</f>
        <v>32449</v>
      </c>
      <c r="AF19" s="20" cm="1">
        <f t="array" ref="AF19">INDEX(GMWQ!$A$2:$LR$60,MATCH(1,(GMWQ!$LQ$2:$LQ$60=AF$3)*(GMWQ!$LP$2:$LP$60=AF$4)*(GMWQ!$LR$2:$LR$60=AF$1),0),$B19-1966)</f>
        <v>9.8384619999999998</v>
      </c>
      <c r="AG19" s="20" cm="1">
        <f t="array" ref="AG19">INDEX(GMWQ!$A$2:$LR$60,MATCH(1,(GMWQ!$LQ$2:$LQ$60=AG$3)*(GMWQ!$LP$2:$LP$60=AG$4)*(GMWQ!$LR$2:$LR$60=AG$1),0),$B19-1966)</f>
        <v>-181.1721</v>
      </c>
      <c r="AI19" s="23" cm="1">
        <f t="array" ref="AI19">INDEX(GMWQ!$A$2:$LR$60,MATCH(1,(GMWQ!$LQ$2:$LQ$60=AI$3)*(GMWQ!$LP$2:$LP$60=AI$4)*(GMWQ!$LR$2:$LR$60=AI$1),0),$B19-1966)</f>
        <v>21295</v>
      </c>
      <c r="AJ19" s="23" cm="1">
        <f t="array" ref="AJ19">INDEX(GMWQ!$A$2:$LR$60,MATCH(1,(GMWQ!$LQ$2:$LQ$60=AJ$3)*(GMWQ!$LP$2:$LP$60=AJ$4)*(GMWQ!$LR$2:$LR$60=AJ$1),0),$B19-1966)</f>
        <v>17.22878</v>
      </c>
      <c r="AK19" s="23" cm="1">
        <f t="array" ref="AK19">INDEX(GMWQ!$A$2:$LR$60,MATCH(1,(GMWQ!$LQ$2:$LQ$60=AK$3)*(GMWQ!$LP$2:$LP$60=AK$4)*(GMWQ!$LR$2:$LR$60=AK$1),0),$B19-1966)</f>
        <v>16278</v>
      </c>
      <c r="AL19" s="23" cm="1">
        <f t="array" ref="AL19">INDEX(GMWQ!$A$2:$LR$60,MATCH(1,(GMWQ!$LQ$2:$LQ$60=AL$3)*(GMWQ!$LP$2:$LP$60=AL$4)*(GMWQ!$LR$2:$LR$60=AL$1),0),$B19-1966)</f>
        <v>738.07280000000003</v>
      </c>
      <c r="AM19" s="23" cm="1">
        <f t="array" ref="AM19">INDEX(GMWQ!$A$2:$LR$60,MATCH(1,(GMWQ!$LQ$2:$LQ$60=AM$3)*(GMWQ!$LP$2:$LP$60=AM$4)*(GMWQ!$LR$2:$LR$60=AM$1),0),$B19-1966)</f>
        <v>22054.74</v>
      </c>
      <c r="AN19" s="23" cm="1">
        <f t="array" ref="AN19">INDEX(GMWQ!$A$2:$LR$60,MATCH(1,(GMWQ!$LQ$2:$LQ$60=AN$3)*(GMWQ!$LP$2:$LP$60=AN$4)*(GMWQ!$LR$2:$LR$60=AN$1),0),$B19-1966)</f>
        <v>4188.6980000000003</v>
      </c>
      <c r="AO19" s="23" cm="1">
        <f t="array" ref="AO19">INDEX(GMWQ!$A$2:$LR$60,MATCH(1,(GMWQ!$LQ$2:$LQ$60=AO$3)*(GMWQ!$LP$2:$LP$60=AO$4)*(GMWQ!$LR$2:$LR$60=AO$1),0),$B19-1966)</f>
        <v>767.60490000000004</v>
      </c>
      <c r="AP19" s="23" cm="1">
        <f t="array" ref="AP19">INDEX(GMWQ!$A$2:$LR$60,MATCH(1,(GMWQ!$LQ$2:$LQ$60=AP$3)*(GMWQ!$LP$2:$LP$60=AP$4)*(GMWQ!$LR$2:$LR$60=AP$1),0),$B19-1966)</f>
        <v>-181.1721</v>
      </c>
      <c r="AQ19" s="23" cm="1">
        <f t="array" ref="AQ19">INDEX(GMWQ!$A$2:$LR$60,MATCH(1,(GMWQ!$LQ$2:$LQ$60=AQ$3)*(GMWQ!$LP$2:$LP$60=AQ$4)*(GMWQ!$LR$2:$LR$60=AQ$1),0),$B19-1966)</f>
        <v>3006.0529999999999</v>
      </c>
      <c r="AR19" s="23" cm="1">
        <f t="array" ref="AR19">INDEX(GMWQ!$A$2:$LR$60,MATCH(1,(GMWQ!$LQ$2:$LQ$60=AR$3)*(GMWQ!$LP$2:$LP$60=AR$4)*(GMWQ!$LR$2:$LR$60=AR$1),0),$B19-1966)</f>
        <v>19524</v>
      </c>
      <c r="AS19" s="23" cm="1">
        <f t="array" ref="AS19">INDEX(GMWQ!$A$2:$LR$60,MATCH(1,(GMWQ!$LQ$2:$LQ$60=AS$3)*(GMWQ!$LP$2:$LP$60=AS$4)*(GMWQ!$LR$2:$LR$60=AS$1),0),$B19-1966)</f>
        <v>346</v>
      </c>
      <c r="AT19" s="23" cm="1">
        <f t="array" ref="AT19">INDEX(GMWQ!$A$2:$LR$60,MATCH(1,(GMWQ!$LQ$2:$LQ$60=AT$3)*(GMWQ!$LP$2:$LP$60=AT$4)*(GMWQ!$LR$2:$LR$60=AT$1),0),$B19-1966)</f>
        <v>113322</v>
      </c>
      <c r="AU19" s="23" cm="1">
        <f t="array" ref="AU19">INDEX(GMWQ!$A$2:$LR$60,MATCH(1,(GMWQ!$LQ$2:$LQ$60=AU$3)*(GMWQ!$LP$2:$LP$60=AU$4)*(GMWQ!$LR$2:$LR$60=AU$1),0),$B19-1966)</f>
        <v>3515</v>
      </c>
    </row>
    <row r="20" spans="1:47" x14ac:dyDescent="0.35">
      <c r="B20" s="7">
        <f t="shared" si="1"/>
        <v>1986</v>
      </c>
      <c r="C20" s="7" cm="1">
        <f t="array" ref="C20">INDEX(GMWQ!$A$2:$LR$60,MATCH(1,(GMWQ!$LQ$2:$LQ$60=C$3)*(GMWQ!$LP$2:$LP$60=C$4)*(GMWQ!$LR$2:$LR$60=C$1),0),$B20-1966)</f>
        <v>217883</v>
      </c>
      <c r="D20" s="7" cm="1">
        <f t="array" ref="D20">INDEX(GMWQ!$A$2:$LR$60,MATCH(1,(GMWQ!$LQ$2:$LQ$60=D$3)*(GMWQ!$LP$2:$LP$60=D$4)*(GMWQ!$LR$2:$LR$60=D$1),0),$B20-1966)</f>
        <v>30.793579999999999</v>
      </c>
      <c r="E20" s="7" cm="1">
        <f t="array" ref="E20">INDEX(GMWQ!$A$2:$LR$60,MATCH(1,(GMWQ!$LQ$2:$LQ$60=E$3)*(GMWQ!$LP$2:$LP$60=E$4)*(GMWQ!$LR$2:$LR$60=E$1),0),$B20-1966)</f>
        <v>20.125319999999999</v>
      </c>
      <c r="F20" s="7" cm="1">
        <f t="array" ref="F20">INDEX(GMWQ!$A$2:$LR$60,MATCH(1,(GMWQ!$LQ$2:$LQ$60=F$3)*(GMWQ!$LP$2:$LP$60=F$4)*(GMWQ!$LR$2:$LR$60=F$1),0),$B20-1966)</f>
        <v>16723</v>
      </c>
      <c r="G20" s="7" cm="1">
        <f t="array" ref="G20">INDEX(GMWQ!$A$2:$LR$60,MATCH(1,(GMWQ!$LQ$2:$LQ$60=G$3)*(GMWQ!$LP$2:$LP$60=G$4)*(GMWQ!$LR$2:$LR$60=G$1),0),$B20-1966)</f>
        <v>4475.527</v>
      </c>
      <c r="H20" s="7" cm="1">
        <f t="array" ref="H20">INDEX(GMWQ!$A$2:$LR$60,MATCH(1,(GMWQ!$LQ$2:$LQ$60=H$3)*(GMWQ!$LP$2:$LP$60=H$4)*(GMWQ!$LR$2:$LR$60=H$1),0),$B20-1966)</f>
        <v>895.36300000000006</v>
      </c>
      <c r="I20" s="7" cm="1">
        <f t="array" ref="I20">INDEX(GMWQ!$A$2:$LR$60,MATCH(1,(GMWQ!$LQ$2:$LQ$60=I$3)*(GMWQ!$LP$2:$LP$60=I$4)*(GMWQ!$LR$2:$LR$60=I$1),0),$B20-1966)</f>
        <v>17.65541</v>
      </c>
      <c r="J20" s="7" cm="1">
        <f t="array" ref="J20">INDEX(GMWQ!$A$2:$LR$60,MATCH(1,(GMWQ!$LQ$2:$LQ$60=J$3)*(GMWQ!$LP$2:$LP$60=J$4)*(GMWQ!$LR$2:$LR$60=J$1),0),$B20-1966)</f>
        <v>22034.21</v>
      </c>
      <c r="K20" s="7" cm="1">
        <f t="array" ref="K20">INDEX(GMWQ!$A$2:$LR$60,MATCH(1,(GMWQ!$LQ$2:$LQ$60=K$3)*(GMWQ!$LP$2:$LP$60=K$4)*(GMWQ!$LR$2:$LR$60=K$1),0),$B20-1966)</f>
        <v>11.5</v>
      </c>
      <c r="L20" s="7" cm="1">
        <f t="array" ref="L20">INDEX(GMWQ!$A$2:$LR$60,MATCH(1,(GMWQ!$LQ$2:$LQ$60=L$3)*(GMWQ!$LP$2:$LP$60=L$4)*(GMWQ!$LR$2:$LR$60=L$1),0),$B20-1966)</f>
        <v>5.4</v>
      </c>
      <c r="M20" s="7" cm="1">
        <f t="array" ref="M20">INDEX(GMWQ!$A$2:$LR$60,MATCH(1,(GMWQ!$LQ$2:$LQ$60=M$3)*(GMWQ!$LP$2:$LP$60=M$4)*(GMWQ!$LR$2:$LR$60=M$1),0),$B20-1966)</f>
        <v>5.4414579999999999</v>
      </c>
      <c r="N20" s="7" cm="1">
        <f t="array" ref="N20">INDEX(GMWQ!$A$2:$LR$60,MATCH(1,(GMWQ!$LQ$2:$LQ$60=N$3)*(GMWQ!$LP$2:$LP$60=N$4)*(GMWQ!$LR$2:$LR$60=N$1),0),$B20-1966)</f>
        <v>1E-3</v>
      </c>
      <c r="O20" s="7" cm="1">
        <f t="array" ref="O20">INDEX(GMWQ!$A$2:$LR$60,MATCH(1,(GMWQ!$LQ$2:$LQ$60=O$3)*(GMWQ!$LP$2:$LP$60=O$4)*(GMWQ!$LR$2:$LR$60=O$1),0),$B20-1966)</f>
        <v>1E-3</v>
      </c>
      <c r="P20" s="7" cm="1">
        <f t="array" ref="P20">INDEX(GMWQ!$A$2:$LR$60,MATCH(1,(GMWQ!$LQ$2:$LQ$60=P$3)*(GMWQ!$LP$2:$LP$60=P$4)*(GMWQ!$LR$2:$LR$60=P$1),0),$B20-1966)</f>
        <v>21568</v>
      </c>
      <c r="Q20" s="7" cm="1">
        <f t="array" ref="Q20">INDEX(GMWQ!$A$2:$LR$60,MATCH(1,(GMWQ!$LQ$2:$LQ$60=Q$3)*(GMWQ!$LP$2:$LP$60=Q$4)*(GMWQ!$LR$2:$LR$60=Q$1),0),$B20-1966)</f>
        <v>10.5</v>
      </c>
      <c r="R20" s="7" cm="1">
        <f t="array" ref="R20">INDEX(GMWQ!$A$2:$LR$60,MATCH(1,(GMWQ!$LQ$2:$LQ$60=R$3)*(GMWQ!$LP$2:$LP$60=R$4)*(GMWQ!$LR$2:$LR$60=R$1),0),$B20-1966)</f>
        <v>1E-3</v>
      </c>
      <c r="S20" s="7" cm="1">
        <f t="array" ref="S20">INDEX(GMWQ!$A$2:$LR$60,MATCH(1,(GMWQ!$LQ$2:$LQ$60=S$3)*(GMWQ!$LP$2:$LP$60=S$4)*(GMWQ!$LR$2:$LR$60=S$1),0),$B20-1966)</f>
        <v>1</v>
      </c>
      <c r="T20" s="7" cm="1">
        <f t="array" ref="T20">INDEX(GMWQ!$A$2:$LR$60,MATCH(1,(GMWQ!$LQ$2:$LQ$60=T$3)*(GMWQ!$LP$2:$LP$60=T$4)*(GMWQ!$LR$2:$LR$60=T$1),0),$B20-1966)</f>
        <v>1E-3</v>
      </c>
      <c r="U20" s="7" cm="1">
        <f t="array" ref="U20">INDEX(GMWQ!$A$2:$LR$60,MATCH(1,(GMWQ!$LQ$2:$LQ$60=U$3)*(GMWQ!$LP$2:$LP$60=U$4)*(GMWQ!$LR$2:$LR$60=U$1),0),$B20-1966)</f>
        <v>0</v>
      </c>
      <c r="V20" s="7" cm="1">
        <f t="array" ref="V20">INDEX(GMWQ!$A$2:$LR$60,MATCH(1,(GMWQ!$LQ$2:$LQ$60=V$3)*(GMWQ!$LP$2:$LP$60=V$4)*(GMWQ!$LR$2:$LR$60=V$1),0),$B20-1966)</f>
        <v>1E-3</v>
      </c>
      <c r="W20" s="7" cm="1">
        <f t="array" ref="W20">INDEX(GMWQ!$A$2:$LR$60,MATCH(1,(GMWQ!$LQ$2:$LQ$60=W$3)*(GMWQ!$LP$2:$LP$60=W$4)*(GMWQ!$LR$2:$LR$60=W$1),0),$B20-1966)</f>
        <v>8.475994</v>
      </c>
      <c r="X20" s="7" cm="1">
        <f t="array" ref="X20">INDEX(GMWQ!$A$2:$LR$60,MATCH(1,(GMWQ!$LQ$2:$LQ$60=X$3)*(GMWQ!$LP$2:$LP$60=X$4)*(GMWQ!$LR$2:$LR$60=X$1),0),$B20-1966)</f>
        <v>699542.3</v>
      </c>
      <c r="Y20" s="7" cm="1">
        <f t="array" ref="Y20">INDEX(GMWQ!$A$2:$LR$60,MATCH(1,(GMWQ!$LQ$2:$LQ$60=Y$3)*(GMWQ!$LP$2:$LP$60=Y$4)*(GMWQ!$LR$2:$LR$60=Y$1),0),$B20-1966)</f>
        <v>15.293530000000001</v>
      </c>
      <c r="Z20" s="7" cm="1">
        <f t="array" ref="Z20">INDEX(GMWQ!$A$2:$LR$60,MATCH(1,(GMWQ!$LQ$2:$LQ$60=Z$3)*(GMWQ!$LP$2:$LP$60=Z$4)*(GMWQ!$LR$2:$LR$60=Z$1),0),$B20-1966)</f>
        <v>230264.6</v>
      </c>
      <c r="AA20" s="7" cm="1">
        <f t="array" ref="AA20">INDEX(GMWQ!$A$2:$LR$60,MATCH(1,(GMWQ!$LQ$2:$LQ$60=AA$3)*(GMWQ!$LP$2:$LP$60=AA$4)*(GMWQ!$LR$2:$LR$60=AA$1),0),$B20-1966)</f>
        <v>13130</v>
      </c>
      <c r="AB20" s="7" cm="1">
        <f t="array" ref="AB20">INDEX(GMWQ!$A$2:$LR$60,MATCH(1,(GMWQ!$LQ$2:$LQ$60=AB$3)*(GMWQ!$LP$2:$LP$60=AB$4)*(GMWQ!$LR$2:$LR$60=AB$1),0),$B20-1966)</f>
        <v>12029</v>
      </c>
      <c r="AC20" s="7" cm="1">
        <f t="array" ref="AC20">INDEX(GMWQ!$A$2:$LR$60,MATCH(1,(GMWQ!$LQ$2:$LQ$60=AC$3)*(GMWQ!$LP$2:$LP$60=AC$4)*(GMWQ!$LR$2:$LR$60=AC$1),0),$B20-1966)</f>
        <v>1502</v>
      </c>
      <c r="AD20" s="7" cm="1">
        <f t="array" ref="AD20">INDEX(GMWQ!$A$2:$LR$60,MATCH(1,(GMWQ!$LQ$2:$LQ$60=AD$3)*(GMWQ!$LP$2:$LP$60=AD$4)*(GMWQ!$LR$2:$LR$60=AD$1),0),$B20-1966)</f>
        <v>1525</v>
      </c>
      <c r="AE20" s="7" cm="1">
        <f t="array" ref="AE20">INDEX(GMWQ!$A$2:$LR$60,MATCH(1,(GMWQ!$LQ$2:$LQ$60=AE$3)*(GMWQ!$LP$2:$LP$60=AE$4)*(GMWQ!$LR$2:$LR$60=AE$1),0),$B20-1966)</f>
        <v>33322</v>
      </c>
      <c r="AF20" s="20" cm="1">
        <f t="array" ref="AF20">INDEX(GMWQ!$A$2:$LR$60,MATCH(1,(GMWQ!$LQ$2:$LQ$60=AF$3)*(GMWQ!$LP$2:$LP$60=AF$4)*(GMWQ!$LR$2:$LR$60=AF$1),0),$B20-1966)</f>
        <v>10.538460000000001</v>
      </c>
      <c r="AG20" s="20" cm="1">
        <f t="array" ref="AG20">INDEX(GMWQ!$A$2:$LR$60,MATCH(1,(GMWQ!$LQ$2:$LQ$60=AG$3)*(GMWQ!$LP$2:$LP$60=AG$4)*(GMWQ!$LR$2:$LR$60=AG$1),0),$B20-1966)</f>
        <v>-112.8186</v>
      </c>
      <c r="AI20" s="23" cm="1">
        <f t="array" ref="AI20">INDEX(GMWQ!$A$2:$LR$60,MATCH(1,(GMWQ!$LQ$2:$LQ$60=AI$3)*(GMWQ!$LP$2:$LP$60=AI$4)*(GMWQ!$LR$2:$LR$60=AI$1),0),$B20-1966)</f>
        <v>21568</v>
      </c>
      <c r="AJ20" s="23" cm="1">
        <f t="array" ref="AJ20">INDEX(GMWQ!$A$2:$LR$60,MATCH(1,(GMWQ!$LQ$2:$LQ$60=AJ$3)*(GMWQ!$LP$2:$LP$60=AJ$4)*(GMWQ!$LR$2:$LR$60=AJ$1),0),$B20-1966)</f>
        <v>17.65541</v>
      </c>
      <c r="AK20" s="23" cm="1">
        <f t="array" ref="AK20">INDEX(GMWQ!$A$2:$LR$60,MATCH(1,(GMWQ!$LQ$2:$LQ$60=AK$3)*(GMWQ!$LP$2:$LP$60=AK$4)*(GMWQ!$LR$2:$LR$60=AK$1),0),$B20-1966)</f>
        <v>16723</v>
      </c>
      <c r="AL20" s="23" cm="1">
        <f t="array" ref="AL20">INDEX(GMWQ!$A$2:$LR$60,MATCH(1,(GMWQ!$LQ$2:$LQ$60=AL$3)*(GMWQ!$LP$2:$LP$60=AL$4)*(GMWQ!$LR$2:$LR$60=AL$1),0),$B20-1966)</f>
        <v>758.95640000000003</v>
      </c>
      <c r="AM20" s="23" cm="1">
        <f t="array" ref="AM20">INDEX(GMWQ!$A$2:$LR$60,MATCH(1,(GMWQ!$LQ$2:$LQ$60=AM$3)*(GMWQ!$LP$2:$LP$60=AM$4)*(GMWQ!$LR$2:$LR$60=AM$1),0),$B20-1966)</f>
        <v>22034.21</v>
      </c>
      <c r="AN20" s="23" cm="1">
        <f t="array" ref="AN20">INDEX(GMWQ!$A$2:$LR$60,MATCH(1,(GMWQ!$LQ$2:$LQ$60=AN$3)*(GMWQ!$LP$2:$LP$60=AN$4)*(GMWQ!$LR$2:$LR$60=AN$1),0),$B20-1966)</f>
        <v>4475.527</v>
      </c>
      <c r="AO20" s="23" cm="1">
        <f t="array" ref="AO20">INDEX(GMWQ!$A$2:$LR$60,MATCH(1,(GMWQ!$LQ$2:$LQ$60=AO$3)*(GMWQ!$LP$2:$LP$60=AO$4)*(GMWQ!$LR$2:$LR$60=AO$1),0),$B20-1966)</f>
        <v>895.36300000000006</v>
      </c>
      <c r="AP20" s="23" cm="1">
        <f t="array" ref="AP20">INDEX(GMWQ!$A$2:$LR$60,MATCH(1,(GMWQ!$LQ$2:$LQ$60=AP$3)*(GMWQ!$LP$2:$LP$60=AP$4)*(GMWQ!$LR$2:$LR$60=AP$1),0),$B20-1966)</f>
        <v>-112.8186</v>
      </c>
      <c r="AQ20" s="23" cm="1">
        <f t="array" ref="AQ20">INDEX(GMWQ!$A$2:$LR$60,MATCH(1,(GMWQ!$LQ$2:$LQ$60=AQ$3)*(GMWQ!$LP$2:$LP$60=AQ$4)*(GMWQ!$LR$2:$LR$60=AQ$1),0),$B20-1966)</f>
        <v>3144.7939999999999</v>
      </c>
      <c r="AR20" s="23" cm="1">
        <f t="array" ref="AR20">INDEX(GMWQ!$A$2:$LR$60,MATCH(1,(GMWQ!$LQ$2:$LQ$60=AR$3)*(GMWQ!$LP$2:$LP$60=AR$4)*(GMWQ!$LR$2:$LR$60=AR$1),0),$B20-1966)</f>
        <v>20139</v>
      </c>
      <c r="AS20" s="23" cm="1">
        <f t="array" ref="AS20">INDEX(GMWQ!$A$2:$LR$60,MATCH(1,(GMWQ!$LQ$2:$LQ$60=AS$3)*(GMWQ!$LP$2:$LP$60=AS$4)*(GMWQ!$LR$2:$LR$60=AS$1),0),$B20-1966)</f>
        <v>350</v>
      </c>
      <c r="AT20" s="23" cm="1">
        <f t="array" ref="AT20">INDEX(GMWQ!$A$2:$LR$60,MATCH(1,(GMWQ!$LQ$2:$LQ$60=AT$3)*(GMWQ!$LP$2:$LP$60=AT$4)*(GMWQ!$LR$2:$LR$60=AT$1),0),$B20-1966)</f>
        <v>114067</v>
      </c>
      <c r="AU20" s="23" cm="1">
        <f t="array" ref="AU20">INDEX(GMWQ!$A$2:$LR$60,MATCH(1,(GMWQ!$LQ$2:$LQ$60=AU$3)*(GMWQ!$LP$2:$LP$60=AU$4)*(GMWQ!$LR$2:$LR$60=AU$1),0),$B20-1966)</f>
        <v>3538</v>
      </c>
    </row>
    <row r="21" spans="1:47" x14ac:dyDescent="0.35">
      <c r="B21" s="7">
        <f t="shared" si="1"/>
        <v>1987</v>
      </c>
      <c r="C21" s="7" cm="1">
        <f t="array" ref="C21">INDEX(GMWQ!$A$2:$LR$60,MATCH(1,(GMWQ!$LQ$2:$LQ$60=C$3)*(GMWQ!$LP$2:$LP$60=C$4)*(GMWQ!$LR$2:$LR$60=C$1),0),$B21-1966)</f>
        <v>220587</v>
      </c>
      <c r="D21" s="7" cm="1">
        <f t="array" ref="D21">INDEX(GMWQ!$A$2:$LR$60,MATCH(1,(GMWQ!$LQ$2:$LQ$60=D$3)*(GMWQ!$LP$2:$LP$60=D$4)*(GMWQ!$LR$2:$LR$60=D$1),0),$B21-1966)</f>
        <v>32.301470000000002</v>
      </c>
      <c r="E21" s="7" cm="1">
        <f t="array" ref="E21">INDEX(GMWQ!$A$2:$LR$60,MATCH(1,(GMWQ!$LQ$2:$LQ$60=E$3)*(GMWQ!$LP$2:$LP$60=E$4)*(GMWQ!$LR$2:$LR$60=E$1),0),$B21-1966)</f>
        <v>20.594560000000001</v>
      </c>
      <c r="F21" s="7" cm="1">
        <f t="array" ref="F21">INDEX(GMWQ!$A$2:$LR$60,MATCH(1,(GMWQ!$LQ$2:$LQ$60=F$3)*(GMWQ!$LP$2:$LP$60=F$4)*(GMWQ!$LR$2:$LR$60=F$1),0),$B21-1966)</f>
        <v>17202</v>
      </c>
      <c r="G21" s="7" cm="1">
        <f t="array" ref="G21">INDEX(GMWQ!$A$2:$LR$60,MATCH(1,(GMWQ!$LQ$2:$LQ$60=G$3)*(GMWQ!$LP$2:$LP$60=G$4)*(GMWQ!$LR$2:$LR$60=G$1),0),$B21-1966)</f>
        <v>4155.07</v>
      </c>
      <c r="H21" s="7" cm="1">
        <f t="array" ref="H21">INDEX(GMWQ!$A$2:$LR$60,MATCH(1,(GMWQ!$LQ$2:$LQ$60=H$3)*(GMWQ!$LP$2:$LP$60=H$4)*(GMWQ!$LR$2:$LR$60=H$1),0),$B21-1966)</f>
        <v>928.09450000000004</v>
      </c>
      <c r="I21" s="7" cm="1">
        <f t="array" ref="I21">INDEX(GMWQ!$A$2:$LR$60,MATCH(1,(GMWQ!$LQ$2:$LQ$60=I$3)*(GMWQ!$LP$2:$LP$60=I$4)*(GMWQ!$LR$2:$LR$60=I$1),0),$B21-1966)</f>
        <v>18.13524</v>
      </c>
      <c r="J21" s="7" cm="1">
        <f t="array" ref="J21">INDEX(GMWQ!$A$2:$LR$60,MATCH(1,(GMWQ!$LQ$2:$LQ$60=J$3)*(GMWQ!$LP$2:$LP$60=J$4)*(GMWQ!$LR$2:$LR$60=J$1),0),$B21-1966)</f>
        <v>22052.78</v>
      </c>
      <c r="K21" s="7" cm="1">
        <f t="array" ref="K21">INDEX(GMWQ!$A$2:$LR$60,MATCH(1,(GMWQ!$LQ$2:$LQ$60=K$3)*(GMWQ!$LP$2:$LP$60=K$4)*(GMWQ!$LR$2:$LR$60=K$1),0),$B21-1966)</f>
        <v>13</v>
      </c>
      <c r="L21" s="7" cm="1">
        <f t="array" ref="L21">INDEX(GMWQ!$A$2:$LR$60,MATCH(1,(GMWQ!$LQ$2:$LQ$60=L$3)*(GMWQ!$LP$2:$LP$60=L$4)*(GMWQ!$LR$2:$LR$60=L$1),0),$B21-1966)</f>
        <v>5.5</v>
      </c>
      <c r="M21" s="7" cm="1">
        <f t="array" ref="M21">INDEX(GMWQ!$A$2:$LR$60,MATCH(1,(GMWQ!$LQ$2:$LQ$60=M$3)*(GMWQ!$LP$2:$LP$60=M$4)*(GMWQ!$LR$2:$LR$60=M$1),0),$B21-1966)</f>
        <v>5.5631519999999997</v>
      </c>
      <c r="N21" s="7" cm="1">
        <f t="array" ref="N21">INDEX(GMWQ!$A$2:$LR$60,MATCH(1,(GMWQ!$LQ$2:$LQ$60=N$3)*(GMWQ!$LP$2:$LP$60=N$4)*(GMWQ!$LR$2:$LR$60=N$1),0),$B21-1966)</f>
        <v>1E-3</v>
      </c>
      <c r="O21" s="7" cm="1">
        <f t="array" ref="O21">INDEX(GMWQ!$A$2:$LR$60,MATCH(1,(GMWQ!$LQ$2:$LQ$60=O$3)*(GMWQ!$LP$2:$LP$60=O$4)*(GMWQ!$LR$2:$LR$60=O$1),0),$B21-1966)</f>
        <v>1E-3</v>
      </c>
      <c r="P21" s="7" cm="1">
        <f t="array" ref="P21">INDEX(GMWQ!$A$2:$LR$60,MATCH(1,(GMWQ!$LQ$2:$LQ$60=P$3)*(GMWQ!$LP$2:$LP$60=P$4)*(GMWQ!$LR$2:$LR$60=P$1),0),$B21-1966)</f>
        <v>22876</v>
      </c>
      <c r="Q21" s="7" cm="1">
        <f t="array" ref="Q21">INDEX(GMWQ!$A$2:$LR$60,MATCH(1,(GMWQ!$LQ$2:$LQ$60=Q$3)*(GMWQ!$LP$2:$LP$60=Q$4)*(GMWQ!$LR$2:$LR$60=Q$1),0),$B21-1966)</f>
        <v>10.5</v>
      </c>
      <c r="R21" s="7" cm="1">
        <f t="array" ref="R21">INDEX(GMWQ!$A$2:$LR$60,MATCH(1,(GMWQ!$LQ$2:$LQ$60=R$3)*(GMWQ!$LP$2:$LP$60=R$4)*(GMWQ!$LR$2:$LR$60=R$1),0),$B21-1966)</f>
        <v>1E-3</v>
      </c>
      <c r="S21" s="7" cm="1">
        <f t="array" ref="S21">INDEX(GMWQ!$A$2:$LR$60,MATCH(1,(GMWQ!$LQ$2:$LQ$60=S$3)*(GMWQ!$LP$2:$LP$60=S$4)*(GMWQ!$LR$2:$LR$60=S$1),0),$B21-1966)</f>
        <v>1</v>
      </c>
      <c r="T21" s="7" cm="1">
        <f t="array" ref="T21">INDEX(GMWQ!$A$2:$LR$60,MATCH(1,(GMWQ!$LQ$2:$LQ$60=T$3)*(GMWQ!$LP$2:$LP$60=T$4)*(GMWQ!$LR$2:$LR$60=T$1),0),$B21-1966)</f>
        <v>1E-3</v>
      </c>
      <c r="U21" s="7" cm="1">
        <f t="array" ref="U21">INDEX(GMWQ!$A$2:$LR$60,MATCH(1,(GMWQ!$LQ$2:$LQ$60=U$3)*(GMWQ!$LP$2:$LP$60=U$4)*(GMWQ!$LR$2:$LR$60=U$1),0),$B21-1966)</f>
        <v>0</v>
      </c>
      <c r="V21" s="7" cm="1">
        <f t="array" ref="V21">INDEX(GMWQ!$A$2:$LR$60,MATCH(1,(GMWQ!$LQ$2:$LQ$60=V$3)*(GMWQ!$LP$2:$LP$60=V$4)*(GMWQ!$LR$2:$LR$60=V$1),0),$B21-1966)</f>
        <v>1E-3</v>
      </c>
      <c r="W21" s="7" cm="1">
        <f t="array" ref="W21">INDEX(GMWQ!$A$2:$LR$60,MATCH(1,(GMWQ!$LQ$2:$LQ$60=W$3)*(GMWQ!$LP$2:$LP$60=W$4)*(GMWQ!$LR$2:$LR$60=W$1),0),$B21-1966)</f>
        <v>9.3130590000000009</v>
      </c>
      <c r="X21" s="7" cm="1">
        <f t="array" ref="X21">INDEX(GMWQ!$A$2:$LR$60,MATCH(1,(GMWQ!$LQ$2:$LQ$60=X$3)*(GMWQ!$LP$2:$LP$60=X$4)*(GMWQ!$LR$2:$LR$60=X$1),0),$B21-1966)</f>
        <v>708129.1</v>
      </c>
      <c r="Y21" s="7" cm="1">
        <f t="array" ref="Y21">INDEX(GMWQ!$A$2:$LR$60,MATCH(1,(GMWQ!$LQ$2:$LQ$60=Y$3)*(GMWQ!$LP$2:$LP$60=Y$4)*(GMWQ!$LR$2:$LR$60=Y$1),0),$B21-1966)</f>
        <v>15.662750000000001</v>
      </c>
      <c r="Z21" s="7" cm="1">
        <f t="array" ref="Z21">INDEX(GMWQ!$A$2:$LR$60,MATCH(1,(GMWQ!$LQ$2:$LQ$60=Z$3)*(GMWQ!$LP$2:$LP$60=Z$4)*(GMWQ!$LR$2:$LR$60=Z$1),0),$B21-1966)</f>
        <v>230433</v>
      </c>
      <c r="AA21" s="7" cm="1">
        <f t="array" ref="AA21">INDEX(GMWQ!$A$2:$LR$60,MATCH(1,(GMWQ!$LQ$2:$LQ$60=AA$3)*(GMWQ!$LP$2:$LP$60=AA$4)*(GMWQ!$LR$2:$LR$60=AA$1),0),$B21-1966)</f>
        <v>13474</v>
      </c>
      <c r="AB21" s="7" cm="1">
        <f t="array" ref="AB21">INDEX(GMWQ!$A$2:$LR$60,MATCH(1,(GMWQ!$LQ$2:$LQ$60=AB$3)*(GMWQ!$LP$2:$LP$60=AB$4)*(GMWQ!$LR$2:$LR$60=AB$1),0),$B21-1966)</f>
        <v>12744</v>
      </c>
      <c r="AC21" s="7" cm="1">
        <f t="array" ref="AC21">INDEX(GMWQ!$A$2:$LR$60,MATCH(1,(GMWQ!$LQ$2:$LQ$60=AC$3)*(GMWQ!$LP$2:$LP$60=AC$4)*(GMWQ!$LR$2:$LR$60=AC$1),0),$B21-1966)</f>
        <v>1589</v>
      </c>
      <c r="AD21" s="7" cm="1">
        <f t="array" ref="AD21">INDEX(GMWQ!$A$2:$LR$60,MATCH(1,(GMWQ!$LQ$2:$LQ$60=AD$3)*(GMWQ!$LP$2:$LP$60=AD$4)*(GMWQ!$LR$2:$LR$60=AD$1),0),$B21-1966)</f>
        <v>1585</v>
      </c>
      <c r="AE21" s="7" cm="1">
        <f t="array" ref="AE21">INDEX(GMWQ!$A$2:$LR$60,MATCH(1,(GMWQ!$LQ$2:$LQ$60=AE$3)*(GMWQ!$LP$2:$LP$60=AE$4)*(GMWQ!$LR$2:$LR$60=AE$1),0),$B21-1966)</f>
        <v>34550</v>
      </c>
      <c r="AF21" s="20" cm="1">
        <f t="array" ref="AF21">INDEX(GMWQ!$A$2:$LR$60,MATCH(1,(GMWQ!$LQ$2:$LQ$60=AF$3)*(GMWQ!$LP$2:$LP$60=AF$4)*(GMWQ!$LR$2:$LR$60=AF$1),0),$B21-1966)</f>
        <v>11.81818</v>
      </c>
      <c r="AG21" s="20" cm="1">
        <f t="array" ref="AG21">INDEX(GMWQ!$A$2:$LR$60,MATCH(1,(GMWQ!$LQ$2:$LQ$60=AG$3)*(GMWQ!$LP$2:$LP$60=AG$4)*(GMWQ!$LR$2:$LR$60=AG$1),0),$B21-1966)</f>
        <v>-186.08369999999999</v>
      </c>
      <c r="AI21" s="23" cm="1">
        <f t="array" ref="AI21">INDEX(GMWQ!$A$2:$LR$60,MATCH(1,(GMWQ!$LQ$2:$LQ$60=AI$3)*(GMWQ!$LP$2:$LP$60=AI$4)*(GMWQ!$LR$2:$LR$60=AI$1),0),$B21-1966)</f>
        <v>22876</v>
      </c>
      <c r="AJ21" s="23" cm="1">
        <f t="array" ref="AJ21">INDEX(GMWQ!$A$2:$LR$60,MATCH(1,(GMWQ!$LQ$2:$LQ$60=AJ$3)*(GMWQ!$LP$2:$LP$60=AJ$4)*(GMWQ!$LR$2:$LR$60=AJ$1),0),$B21-1966)</f>
        <v>18.13524</v>
      </c>
      <c r="AK21" s="23" cm="1">
        <f t="array" ref="AK21">INDEX(GMWQ!$A$2:$LR$60,MATCH(1,(GMWQ!$LQ$2:$LQ$60=AK$3)*(GMWQ!$LP$2:$LP$60=AK$4)*(GMWQ!$LR$2:$LR$60=AK$1),0),$B21-1966)</f>
        <v>17202</v>
      </c>
      <c r="AL21" s="23" cm="1">
        <f t="array" ref="AL21">INDEX(GMWQ!$A$2:$LR$60,MATCH(1,(GMWQ!$LQ$2:$LQ$60=AL$3)*(GMWQ!$LP$2:$LP$60=AL$4)*(GMWQ!$LR$2:$LR$60=AL$1),0),$B21-1966)</f>
        <v>780.03769999999997</v>
      </c>
      <c r="AM21" s="23" cm="1">
        <f t="array" ref="AM21">INDEX(GMWQ!$A$2:$LR$60,MATCH(1,(GMWQ!$LQ$2:$LQ$60=AM$3)*(GMWQ!$LP$2:$LP$60=AM$4)*(GMWQ!$LR$2:$LR$60=AM$1),0),$B21-1966)</f>
        <v>22052.78</v>
      </c>
      <c r="AN21" s="23" cm="1">
        <f t="array" ref="AN21">INDEX(GMWQ!$A$2:$LR$60,MATCH(1,(GMWQ!$LQ$2:$LQ$60=AN$3)*(GMWQ!$LP$2:$LP$60=AN$4)*(GMWQ!$LR$2:$LR$60=AN$1),0),$B21-1966)</f>
        <v>4155.07</v>
      </c>
      <c r="AO21" s="23" cm="1">
        <f t="array" ref="AO21">INDEX(GMWQ!$A$2:$LR$60,MATCH(1,(GMWQ!$LQ$2:$LQ$60=AO$3)*(GMWQ!$LP$2:$LP$60=AO$4)*(GMWQ!$LR$2:$LR$60=AO$1),0),$B21-1966)</f>
        <v>928.09450000000004</v>
      </c>
      <c r="AP21" s="23" cm="1">
        <f t="array" ref="AP21">INDEX(GMWQ!$A$2:$LR$60,MATCH(1,(GMWQ!$LQ$2:$LQ$60=AP$3)*(GMWQ!$LP$2:$LP$60=AP$4)*(GMWQ!$LR$2:$LR$60=AP$1),0),$B21-1966)</f>
        <v>-186.08369999999999</v>
      </c>
      <c r="AQ21" s="23" cm="1">
        <f t="array" ref="AQ21">INDEX(GMWQ!$A$2:$LR$60,MATCH(1,(GMWQ!$LQ$2:$LQ$60=AQ$3)*(GMWQ!$LP$2:$LP$60=AQ$4)*(GMWQ!$LR$2:$LR$60=AQ$1),0),$B21-1966)</f>
        <v>3256.39</v>
      </c>
      <c r="AR21" s="23" cm="1">
        <f t="array" ref="AR21">INDEX(GMWQ!$A$2:$LR$60,MATCH(1,(GMWQ!$LQ$2:$LQ$60=AR$3)*(GMWQ!$LP$2:$LP$60=AR$4)*(GMWQ!$LR$2:$LR$60=AR$1),0),$B21-1966)</f>
        <v>20882</v>
      </c>
      <c r="AS21" s="23" cm="1">
        <f t="array" ref="AS21">INDEX(GMWQ!$A$2:$LR$60,MATCH(1,(GMWQ!$LQ$2:$LQ$60=AS$3)*(GMWQ!$LP$2:$LP$60=AS$4)*(GMWQ!$LR$2:$LR$60=AS$1),0),$B21-1966)</f>
        <v>359</v>
      </c>
      <c r="AT21" s="23" cm="1">
        <f t="array" ref="AT21">INDEX(GMWQ!$A$2:$LR$60,MATCH(1,(GMWQ!$LQ$2:$LQ$60=AT$3)*(GMWQ!$LP$2:$LP$60=AT$4)*(GMWQ!$LR$2:$LR$60=AT$1),0),$B21-1966)</f>
        <v>115146</v>
      </c>
      <c r="AU21" s="23" cm="1">
        <f t="array" ref="AU21">INDEX(GMWQ!$A$2:$LR$60,MATCH(1,(GMWQ!$LQ$2:$LQ$60=AU$3)*(GMWQ!$LP$2:$LP$60=AU$4)*(GMWQ!$LR$2:$LR$60=AU$1),0),$B21-1966)</f>
        <v>3516</v>
      </c>
    </row>
    <row r="22" spans="1:47" x14ac:dyDescent="0.35">
      <c r="B22" s="7">
        <f t="shared" si="1"/>
        <v>1988</v>
      </c>
      <c r="C22" s="7" cm="1">
        <f t="array" ref="C22">INDEX(GMWQ!$A$2:$LR$60,MATCH(1,(GMWQ!$LQ$2:$LQ$60=C$3)*(GMWQ!$LP$2:$LP$60=C$4)*(GMWQ!$LR$2:$LR$60=C$1),0),$B22-1966)</f>
        <v>225228</v>
      </c>
      <c r="D22" s="7" cm="1">
        <f t="array" ref="D22">INDEX(GMWQ!$A$2:$LR$60,MATCH(1,(GMWQ!$LQ$2:$LQ$60=D$3)*(GMWQ!$LP$2:$LP$60=D$4)*(GMWQ!$LR$2:$LR$60=D$1),0),$B22-1966)</f>
        <v>33.18535</v>
      </c>
      <c r="E22" s="7" cm="1">
        <f t="array" ref="E22">INDEX(GMWQ!$A$2:$LR$60,MATCH(1,(GMWQ!$LQ$2:$LQ$60=E$3)*(GMWQ!$LP$2:$LP$60=E$4)*(GMWQ!$LR$2:$LR$60=E$1),0),$B22-1966)</f>
        <v>21.506979999999999</v>
      </c>
      <c r="F22" s="7" cm="1">
        <f t="array" ref="F22">INDEX(GMWQ!$A$2:$LR$60,MATCH(1,(GMWQ!$LQ$2:$LQ$60=F$3)*(GMWQ!$LP$2:$LP$60=F$4)*(GMWQ!$LR$2:$LR$60=F$1),0),$B22-1966)</f>
        <v>17685</v>
      </c>
      <c r="G22" s="7" cm="1">
        <f t="array" ref="G22">INDEX(GMWQ!$A$2:$LR$60,MATCH(1,(GMWQ!$LQ$2:$LQ$60=G$3)*(GMWQ!$LP$2:$LP$60=G$4)*(GMWQ!$LR$2:$LR$60=G$1),0),$B22-1966)</f>
        <v>4412.2269999999999</v>
      </c>
      <c r="H22" s="7" cm="1">
        <f t="array" ref="H22">INDEX(GMWQ!$A$2:$LR$60,MATCH(1,(GMWQ!$LQ$2:$LQ$60=H$3)*(GMWQ!$LP$2:$LP$60=H$4)*(GMWQ!$LR$2:$LR$60=H$1),0),$B22-1966)</f>
        <v>953.43489999999997</v>
      </c>
      <c r="I22" s="7" cm="1">
        <f t="array" ref="I22">INDEX(GMWQ!$A$2:$LR$60,MATCH(1,(GMWQ!$LQ$2:$LQ$60=I$3)*(GMWQ!$LP$2:$LP$60=I$4)*(GMWQ!$LR$2:$LR$60=I$1),0),$B22-1966)</f>
        <v>19.08728</v>
      </c>
      <c r="J22" s="7" cm="1">
        <f t="array" ref="J22">INDEX(GMWQ!$A$2:$LR$60,MATCH(1,(GMWQ!$LQ$2:$LQ$60=J$3)*(GMWQ!$LP$2:$LP$60=J$4)*(GMWQ!$LR$2:$LR$60=J$1),0),$B22-1966)</f>
        <v>22081.13</v>
      </c>
      <c r="K22" s="7" cm="1">
        <f t="array" ref="K22">INDEX(GMWQ!$A$2:$LR$60,MATCH(1,(GMWQ!$LQ$2:$LQ$60=K$3)*(GMWQ!$LP$2:$LP$60=K$4)*(GMWQ!$LR$2:$LR$60=K$1),0),$B22-1966)</f>
        <v>14.25</v>
      </c>
      <c r="L22" s="7" cm="1">
        <f t="array" ref="L22">INDEX(GMWQ!$A$2:$LR$60,MATCH(1,(GMWQ!$LQ$2:$LQ$60=L$3)*(GMWQ!$LP$2:$LP$60=L$4)*(GMWQ!$LR$2:$LR$60=L$1),0),$B22-1966)</f>
        <v>5.5</v>
      </c>
      <c r="M22" s="7" cm="1">
        <f t="array" ref="M22">INDEX(GMWQ!$A$2:$LR$60,MATCH(1,(GMWQ!$LQ$2:$LQ$60=M$3)*(GMWQ!$LP$2:$LP$60=M$4)*(GMWQ!$LR$2:$LR$60=M$1),0),$B22-1966)</f>
        <v>5.7009790000000002</v>
      </c>
      <c r="N22" s="7" cm="1">
        <f t="array" ref="N22">INDEX(GMWQ!$A$2:$LR$60,MATCH(1,(GMWQ!$LQ$2:$LQ$60=N$3)*(GMWQ!$LP$2:$LP$60=N$4)*(GMWQ!$LR$2:$LR$60=N$1),0),$B22-1966)</f>
        <v>1E-3</v>
      </c>
      <c r="O22" s="7" cm="1">
        <f t="array" ref="O22">INDEX(GMWQ!$A$2:$LR$60,MATCH(1,(GMWQ!$LQ$2:$LQ$60=O$3)*(GMWQ!$LP$2:$LP$60=O$4)*(GMWQ!$LR$2:$LR$60=O$1),0),$B22-1966)</f>
        <v>1E-3</v>
      </c>
      <c r="P22" s="7" cm="1">
        <f t="array" ref="P22">INDEX(GMWQ!$A$2:$LR$60,MATCH(1,(GMWQ!$LQ$2:$LQ$60=P$3)*(GMWQ!$LP$2:$LP$60=P$4)*(GMWQ!$LR$2:$LR$60=P$1),0),$B22-1966)</f>
        <v>23450</v>
      </c>
      <c r="Q22" s="7" cm="1">
        <f t="array" ref="Q22">INDEX(GMWQ!$A$2:$LR$60,MATCH(1,(GMWQ!$LQ$2:$LQ$60=Q$3)*(GMWQ!$LP$2:$LP$60=Q$4)*(GMWQ!$LR$2:$LR$60=Q$1),0),$B22-1966)</f>
        <v>12.25</v>
      </c>
      <c r="R22" s="7" cm="1">
        <f t="array" ref="R22">INDEX(GMWQ!$A$2:$LR$60,MATCH(1,(GMWQ!$LQ$2:$LQ$60=R$3)*(GMWQ!$LP$2:$LP$60=R$4)*(GMWQ!$LR$2:$LR$60=R$1),0),$B22-1966)</f>
        <v>1E-3</v>
      </c>
      <c r="S22" s="7" cm="1">
        <f t="array" ref="S22">INDEX(GMWQ!$A$2:$LR$60,MATCH(1,(GMWQ!$LQ$2:$LQ$60=S$3)*(GMWQ!$LP$2:$LP$60=S$4)*(GMWQ!$LR$2:$LR$60=S$1),0),$B22-1966)</f>
        <v>1</v>
      </c>
      <c r="T22" s="7" cm="1">
        <f t="array" ref="T22">INDEX(GMWQ!$A$2:$LR$60,MATCH(1,(GMWQ!$LQ$2:$LQ$60=T$3)*(GMWQ!$LP$2:$LP$60=T$4)*(GMWQ!$LR$2:$LR$60=T$1),0),$B22-1966)</f>
        <v>1E-3</v>
      </c>
      <c r="U22" s="7" cm="1">
        <f t="array" ref="U22">INDEX(GMWQ!$A$2:$LR$60,MATCH(1,(GMWQ!$LQ$2:$LQ$60=U$3)*(GMWQ!$LP$2:$LP$60=U$4)*(GMWQ!$LR$2:$LR$60=U$1),0),$B22-1966)</f>
        <v>0</v>
      </c>
      <c r="V22" s="7" cm="1">
        <f t="array" ref="V22">INDEX(GMWQ!$A$2:$LR$60,MATCH(1,(GMWQ!$LQ$2:$LQ$60=V$3)*(GMWQ!$LP$2:$LP$60=V$4)*(GMWQ!$LR$2:$LR$60=V$1),0),$B22-1966)</f>
        <v>1E-3</v>
      </c>
      <c r="W22" s="7" cm="1">
        <f t="array" ref="W22">INDEX(GMWQ!$A$2:$LR$60,MATCH(1,(GMWQ!$LQ$2:$LQ$60=W$3)*(GMWQ!$LP$2:$LP$60=W$4)*(GMWQ!$LR$2:$LR$60=W$1),0),$B22-1966)</f>
        <v>10.359690000000001</v>
      </c>
      <c r="X22" s="7" cm="1">
        <f t="array" ref="X22">INDEX(GMWQ!$A$2:$LR$60,MATCH(1,(GMWQ!$LQ$2:$LQ$60=X$3)*(GMWQ!$LP$2:$LP$60=X$4)*(GMWQ!$LR$2:$LR$60=X$1),0),$B22-1966)</f>
        <v>716715.8</v>
      </c>
      <c r="Y22" s="7" cm="1">
        <f t="array" ref="Y22">INDEX(GMWQ!$A$2:$LR$60,MATCH(1,(GMWQ!$LQ$2:$LQ$60=Y$3)*(GMWQ!$LP$2:$LP$60=Y$4)*(GMWQ!$LR$2:$LR$60=Y$1),0),$B22-1966)</f>
        <v>16.284829999999999</v>
      </c>
      <c r="Z22" s="7" cm="1">
        <f t="array" ref="Z22">INDEX(GMWQ!$A$2:$LR$60,MATCH(1,(GMWQ!$LQ$2:$LQ$60=Z$3)*(GMWQ!$LP$2:$LP$60=Z$4)*(GMWQ!$LR$2:$LR$60=Z$1),0),$B22-1966)</f>
        <v>230676.3</v>
      </c>
      <c r="AA22" s="7" cm="1">
        <f t="array" ref="AA22">INDEX(GMWQ!$A$2:$LR$60,MATCH(1,(GMWQ!$LQ$2:$LQ$60=AA$3)*(GMWQ!$LP$2:$LP$60=AA$4)*(GMWQ!$LR$2:$LR$60=AA$1),0),$B22-1966)</f>
        <v>15062</v>
      </c>
      <c r="AB22" s="7" cm="1">
        <f t="array" ref="AB22">INDEX(GMWQ!$A$2:$LR$60,MATCH(1,(GMWQ!$LQ$2:$LQ$60=AB$3)*(GMWQ!$LP$2:$LP$60=AB$4)*(GMWQ!$LR$2:$LR$60=AB$1),0),$B22-1966)</f>
        <v>12843</v>
      </c>
      <c r="AC22" s="7" cm="1">
        <f t="array" ref="AC22">INDEX(GMWQ!$A$2:$LR$60,MATCH(1,(GMWQ!$LQ$2:$LQ$60=AC$3)*(GMWQ!$LP$2:$LP$60=AC$4)*(GMWQ!$LR$2:$LR$60=AC$1),0),$B22-1966)</f>
        <v>1648</v>
      </c>
      <c r="AD22" s="7" cm="1">
        <f t="array" ref="AD22">INDEX(GMWQ!$A$2:$LR$60,MATCH(1,(GMWQ!$LQ$2:$LQ$60=AD$3)*(GMWQ!$LP$2:$LP$60=AD$4)*(GMWQ!$LR$2:$LR$60=AD$1),0),$B22-1966)</f>
        <v>1652</v>
      </c>
      <c r="AE22" s="7" cm="1">
        <f t="array" ref="AE22">INDEX(GMWQ!$A$2:$LR$60,MATCH(1,(GMWQ!$LQ$2:$LQ$60=AE$3)*(GMWQ!$LP$2:$LP$60=AE$4)*(GMWQ!$LR$2:$LR$60=AE$1),0),$B22-1966)</f>
        <v>36678</v>
      </c>
      <c r="AF22" s="20" cm="1">
        <f t="array" ref="AF22">INDEX(GMWQ!$A$2:$LR$60,MATCH(1,(GMWQ!$LQ$2:$LQ$60=AF$3)*(GMWQ!$LP$2:$LP$60=AF$4)*(GMWQ!$LR$2:$LR$60=AF$1),0),$B22-1966)</f>
        <v>14.715909999999999</v>
      </c>
      <c r="AG22" s="20" cm="1">
        <f t="array" ref="AG22">INDEX(GMWQ!$A$2:$LR$60,MATCH(1,(GMWQ!$LQ$2:$LQ$60=AG$3)*(GMWQ!$LP$2:$LP$60=AG$4)*(GMWQ!$LR$2:$LR$60=AG$1),0),$B22-1966)</f>
        <v>-245.2465</v>
      </c>
      <c r="AI22" s="23" cm="1">
        <f t="array" ref="AI22">INDEX(GMWQ!$A$2:$LR$60,MATCH(1,(GMWQ!$LQ$2:$LQ$60=AI$3)*(GMWQ!$LP$2:$LP$60=AI$4)*(GMWQ!$LR$2:$LR$60=AI$1),0),$B22-1966)</f>
        <v>23450</v>
      </c>
      <c r="AJ22" s="23" cm="1">
        <f t="array" ref="AJ22">INDEX(GMWQ!$A$2:$LR$60,MATCH(1,(GMWQ!$LQ$2:$LQ$60=AJ$3)*(GMWQ!$LP$2:$LP$60=AJ$4)*(GMWQ!$LR$2:$LR$60=AJ$1),0),$B22-1966)</f>
        <v>19.08728</v>
      </c>
      <c r="AK22" s="23" cm="1">
        <f t="array" ref="AK22">INDEX(GMWQ!$A$2:$LR$60,MATCH(1,(GMWQ!$LQ$2:$LQ$60=AK$3)*(GMWQ!$LP$2:$LP$60=AK$4)*(GMWQ!$LR$2:$LR$60=AK$1),0),$B22-1966)</f>
        <v>17685</v>
      </c>
      <c r="AL22" s="23" cm="1">
        <f t="array" ref="AL22">INDEX(GMWQ!$A$2:$LR$60,MATCH(1,(GMWQ!$LQ$2:$LQ$60=AL$3)*(GMWQ!$LP$2:$LP$60=AL$4)*(GMWQ!$LR$2:$LR$60=AL$1),0),$B22-1966)</f>
        <v>800.90989999999999</v>
      </c>
      <c r="AM22" s="23" cm="1">
        <f t="array" ref="AM22">INDEX(GMWQ!$A$2:$LR$60,MATCH(1,(GMWQ!$LQ$2:$LQ$60=AM$3)*(GMWQ!$LP$2:$LP$60=AM$4)*(GMWQ!$LR$2:$LR$60=AM$1),0),$B22-1966)</f>
        <v>22081.13</v>
      </c>
      <c r="AN22" s="23" cm="1">
        <f t="array" ref="AN22">INDEX(GMWQ!$A$2:$LR$60,MATCH(1,(GMWQ!$LQ$2:$LQ$60=AN$3)*(GMWQ!$LP$2:$LP$60=AN$4)*(GMWQ!$LR$2:$LR$60=AN$1),0),$B22-1966)</f>
        <v>4412.2269999999999</v>
      </c>
      <c r="AO22" s="23" cm="1">
        <f t="array" ref="AO22">INDEX(GMWQ!$A$2:$LR$60,MATCH(1,(GMWQ!$LQ$2:$LQ$60=AO$3)*(GMWQ!$LP$2:$LP$60=AO$4)*(GMWQ!$LR$2:$LR$60=AO$1),0),$B22-1966)</f>
        <v>953.43489999999997</v>
      </c>
      <c r="AP22" s="23" cm="1">
        <f t="array" ref="AP22">INDEX(GMWQ!$A$2:$LR$60,MATCH(1,(GMWQ!$LQ$2:$LQ$60=AP$3)*(GMWQ!$LP$2:$LP$60=AP$4)*(GMWQ!$LR$2:$LR$60=AP$1),0),$B22-1966)</f>
        <v>-245.2465</v>
      </c>
      <c r="AQ22" s="23" cm="1">
        <f t="array" ref="AQ22">INDEX(GMWQ!$A$2:$LR$60,MATCH(1,(GMWQ!$LQ$2:$LQ$60=AQ$3)*(GMWQ!$LP$2:$LP$60=AQ$4)*(GMWQ!$LR$2:$LR$60=AQ$1),0),$B22-1966)</f>
        <v>3338.83</v>
      </c>
      <c r="AR22" s="23" cm="1">
        <f t="array" ref="AR22">INDEX(GMWQ!$A$2:$LR$60,MATCH(1,(GMWQ!$LQ$2:$LQ$60=AR$3)*(GMWQ!$LP$2:$LP$60=AR$4)*(GMWQ!$LR$2:$LR$60=AR$1),0),$B22-1966)</f>
        <v>22025</v>
      </c>
      <c r="AS22" s="23" cm="1">
        <f t="array" ref="AS22">INDEX(GMWQ!$A$2:$LR$60,MATCH(1,(GMWQ!$LQ$2:$LQ$60=AS$3)*(GMWQ!$LP$2:$LP$60=AS$4)*(GMWQ!$LR$2:$LR$60=AS$1),0),$B22-1966)</f>
        <v>367</v>
      </c>
      <c r="AT22" s="23" cm="1">
        <f t="array" ref="AT22">INDEX(GMWQ!$A$2:$LR$60,MATCH(1,(GMWQ!$LQ$2:$LQ$60=AT$3)*(GMWQ!$LP$2:$LP$60=AT$4)*(GMWQ!$LR$2:$LR$60=AT$1),0),$B22-1966)</f>
        <v>115391</v>
      </c>
      <c r="AU22" s="23" cm="1">
        <f t="array" ref="AU22">INDEX(GMWQ!$A$2:$LR$60,MATCH(1,(GMWQ!$LQ$2:$LQ$60=AU$3)*(GMWQ!$LP$2:$LP$60=AU$4)*(GMWQ!$LR$2:$LR$60=AU$1),0),$B22-1966)</f>
        <v>3507</v>
      </c>
    </row>
    <row r="23" spans="1:47" x14ac:dyDescent="0.35">
      <c r="A23" s="7">
        <v>1977</v>
      </c>
      <c r="B23" s="7">
        <f t="shared" si="1"/>
        <v>1989</v>
      </c>
      <c r="C23" s="7" cm="1">
        <f t="array" ref="C23">INDEX(GMWQ!$A$2:$LR$60,MATCH(1,(GMWQ!$LQ$2:$LQ$60=C$3)*(GMWQ!$LP$2:$LP$60=C$4)*(GMWQ!$LR$2:$LR$60=C$1),0),$B23-1966)</f>
        <v>225362</v>
      </c>
      <c r="D23" s="7" cm="1">
        <f t="array" ref="D23">INDEX(GMWQ!$A$2:$LR$60,MATCH(1,(GMWQ!$LQ$2:$LQ$60=D$3)*(GMWQ!$LP$2:$LP$60=D$4)*(GMWQ!$LR$2:$LR$60=D$1),0),$B23-1966)</f>
        <v>33.540489999999998</v>
      </c>
      <c r="E23" s="7" cm="1">
        <f t="array" ref="E23">INDEX(GMWQ!$A$2:$LR$60,MATCH(1,(GMWQ!$LQ$2:$LQ$60=E$3)*(GMWQ!$LP$2:$LP$60=E$4)*(GMWQ!$LR$2:$LR$60=E$1),0),$B23-1966)</f>
        <v>22.471530000000001</v>
      </c>
      <c r="F23" s="7" cm="1">
        <f t="array" ref="F23">INDEX(GMWQ!$A$2:$LR$60,MATCH(1,(GMWQ!$LQ$2:$LQ$60=F$3)*(GMWQ!$LP$2:$LP$60=F$4)*(GMWQ!$LR$2:$LR$60=F$1),0),$B23-1966)</f>
        <v>18192</v>
      </c>
      <c r="G23" s="7" cm="1">
        <f t="array" ref="G23">INDEX(GMWQ!$A$2:$LR$60,MATCH(1,(GMWQ!$LQ$2:$LQ$60=G$3)*(GMWQ!$LP$2:$LP$60=G$4)*(GMWQ!$LR$2:$LR$60=G$1),0),$B23-1966)</f>
        <v>4594.2150000000001</v>
      </c>
      <c r="H23" s="7" cm="1">
        <f t="array" ref="H23">INDEX(GMWQ!$A$2:$LR$60,MATCH(1,(GMWQ!$LQ$2:$LQ$60=H$3)*(GMWQ!$LP$2:$LP$60=H$4)*(GMWQ!$LR$2:$LR$60=H$1),0),$B23-1966)</f>
        <v>958.71420000000001</v>
      </c>
      <c r="I23" s="7" cm="1">
        <f t="array" ref="I23">INDEX(GMWQ!$A$2:$LR$60,MATCH(1,(GMWQ!$LQ$2:$LQ$60=I$3)*(GMWQ!$LP$2:$LP$60=I$4)*(GMWQ!$LR$2:$LR$60=I$1),0),$B23-1966)</f>
        <v>19.988499999999998</v>
      </c>
      <c r="J23" s="7" cm="1">
        <f t="array" ref="J23">INDEX(GMWQ!$A$2:$LR$60,MATCH(1,(GMWQ!$LQ$2:$LQ$60=J$3)*(GMWQ!$LP$2:$LP$60=J$4)*(GMWQ!$LR$2:$LR$60=J$1),0),$B23-1966)</f>
        <v>22102.639999999999</v>
      </c>
      <c r="K23" s="7" cm="1">
        <f t="array" ref="K23">INDEX(GMWQ!$A$2:$LR$60,MATCH(1,(GMWQ!$LQ$2:$LQ$60=K$3)*(GMWQ!$LP$2:$LP$60=K$4)*(GMWQ!$LR$2:$LR$60=K$1),0),$B23-1966)</f>
        <v>9.5</v>
      </c>
      <c r="L23" s="7" cm="1">
        <f t="array" ref="L23">INDEX(GMWQ!$A$2:$LR$60,MATCH(1,(GMWQ!$LQ$2:$LQ$60=L$3)*(GMWQ!$LP$2:$LP$60=L$4)*(GMWQ!$LR$2:$LR$60=L$1),0),$B23-1966)</f>
        <v>5.5</v>
      </c>
      <c r="M23" s="7" cm="1">
        <f t="array" ref="M23">INDEX(GMWQ!$A$2:$LR$60,MATCH(1,(GMWQ!$LQ$2:$LQ$60=M$3)*(GMWQ!$LP$2:$LP$60=M$4)*(GMWQ!$LR$2:$LR$60=M$1),0),$B23-1966)</f>
        <v>5.6489529999999997</v>
      </c>
      <c r="N23" s="7" cm="1">
        <f t="array" ref="N23">INDEX(GMWQ!$A$2:$LR$60,MATCH(1,(GMWQ!$LQ$2:$LQ$60=N$3)*(GMWQ!$LP$2:$LP$60=N$4)*(GMWQ!$LR$2:$LR$60=N$1),0),$B23-1966)</f>
        <v>1E-3</v>
      </c>
      <c r="O23" s="7" cm="1">
        <f t="array" ref="O23">INDEX(GMWQ!$A$2:$LR$60,MATCH(1,(GMWQ!$LQ$2:$LQ$60=O$3)*(GMWQ!$LP$2:$LP$60=O$4)*(GMWQ!$LR$2:$LR$60=O$1),0),$B23-1966)</f>
        <v>1E-3</v>
      </c>
      <c r="P23" s="7" cm="1">
        <f t="array" ref="P23">INDEX(GMWQ!$A$2:$LR$60,MATCH(1,(GMWQ!$LQ$2:$LQ$60=P$3)*(GMWQ!$LP$2:$LP$60=P$4)*(GMWQ!$LR$2:$LR$60=P$1),0),$B23-1966)</f>
        <v>23884</v>
      </c>
      <c r="Q23" s="7" cm="1">
        <f t="array" ref="Q23">INDEX(GMWQ!$A$2:$LR$60,MATCH(1,(GMWQ!$LQ$2:$LQ$60=Q$3)*(GMWQ!$LP$2:$LP$60=Q$4)*(GMWQ!$LR$2:$LR$60=Q$1),0),$B23-1966)</f>
        <v>12.25</v>
      </c>
      <c r="R23" s="7" cm="1">
        <f t="array" ref="R23">INDEX(GMWQ!$A$2:$LR$60,MATCH(1,(GMWQ!$LQ$2:$LQ$60=R$3)*(GMWQ!$LP$2:$LP$60=R$4)*(GMWQ!$LR$2:$LR$60=R$1),0),$B23-1966)</f>
        <v>1E-3</v>
      </c>
      <c r="S23" s="7" cm="1">
        <f t="array" ref="S23">INDEX(GMWQ!$A$2:$LR$60,MATCH(1,(GMWQ!$LQ$2:$LQ$60=S$3)*(GMWQ!$LP$2:$LP$60=S$4)*(GMWQ!$LR$2:$LR$60=S$1),0),$B23-1966)</f>
        <v>1</v>
      </c>
      <c r="T23" s="7" cm="1">
        <f t="array" ref="T23">INDEX(GMWQ!$A$2:$LR$60,MATCH(1,(GMWQ!$LQ$2:$LQ$60=T$3)*(GMWQ!$LP$2:$LP$60=T$4)*(GMWQ!$LR$2:$LR$60=T$1),0),$B23-1966)</f>
        <v>1E-3</v>
      </c>
      <c r="U23" s="7" cm="1">
        <f t="array" ref="U23">INDEX(GMWQ!$A$2:$LR$60,MATCH(1,(GMWQ!$LQ$2:$LQ$60=U$3)*(GMWQ!$LP$2:$LP$60=U$4)*(GMWQ!$LR$2:$LR$60=U$1),0),$B23-1966)</f>
        <v>0</v>
      </c>
      <c r="V23" s="7" cm="1">
        <f t="array" ref="V23">INDEX(GMWQ!$A$2:$LR$60,MATCH(1,(GMWQ!$LQ$2:$LQ$60=V$3)*(GMWQ!$LP$2:$LP$60=V$4)*(GMWQ!$LR$2:$LR$60=V$1),0),$B23-1966)</f>
        <v>1E-3</v>
      </c>
      <c r="W23" s="7" cm="1">
        <f t="array" ref="W23">INDEX(GMWQ!$A$2:$LR$60,MATCH(1,(GMWQ!$LQ$2:$LQ$60=W$3)*(GMWQ!$LP$2:$LP$60=W$4)*(GMWQ!$LR$2:$LR$60=W$1),0),$B23-1966)</f>
        <v>7.6417809999999999</v>
      </c>
      <c r="X23" s="7" cm="1">
        <f t="array" ref="X23">INDEX(GMWQ!$A$2:$LR$60,MATCH(1,(GMWQ!$LQ$2:$LQ$60=X$3)*(GMWQ!$LP$2:$LP$60=X$4)*(GMWQ!$LR$2:$LR$60=X$1),0),$B23-1966)</f>
        <v>725302.6</v>
      </c>
      <c r="Y23" s="7" cm="1">
        <f t="array" ref="Y23">INDEX(GMWQ!$A$2:$LR$60,MATCH(1,(GMWQ!$LQ$2:$LQ$60=Y$3)*(GMWQ!$LP$2:$LP$60=Y$4)*(GMWQ!$LR$2:$LR$60=Y$1),0),$B23-1966)</f>
        <v>16.878620000000002</v>
      </c>
      <c r="Z23" s="7" cm="1">
        <f t="array" ref="Z23">INDEX(GMWQ!$A$2:$LR$60,MATCH(1,(GMWQ!$LQ$2:$LQ$60=Z$3)*(GMWQ!$LP$2:$LP$60=Z$4)*(GMWQ!$LR$2:$LR$60=Z$1),0),$B23-1966)</f>
        <v>230899.9</v>
      </c>
      <c r="AA23" s="7" cm="1">
        <f t="array" ref="AA23">INDEX(GMWQ!$A$2:$LR$60,MATCH(1,(GMWQ!$LQ$2:$LQ$60=AA$3)*(GMWQ!$LP$2:$LP$60=AA$4)*(GMWQ!$LR$2:$LR$60=AA$1),0),$B23-1966)</f>
        <v>15462</v>
      </c>
      <c r="AB23" s="7" cm="1">
        <f t="array" ref="AB23">INDEX(GMWQ!$A$2:$LR$60,MATCH(1,(GMWQ!$LQ$2:$LQ$60=AB$3)*(GMWQ!$LP$2:$LP$60=AB$4)*(GMWQ!$LR$2:$LR$60=AB$1),0),$B23-1966)</f>
        <v>13650</v>
      </c>
      <c r="AC23" s="7" cm="1">
        <f t="array" ref="AC23">INDEX(GMWQ!$A$2:$LR$60,MATCH(1,(GMWQ!$LQ$2:$LQ$60=AC$3)*(GMWQ!$LP$2:$LP$60=AC$4)*(GMWQ!$LR$2:$LR$60=AC$1),0),$B23-1966)</f>
        <v>1660</v>
      </c>
      <c r="AD23" s="7" cm="1">
        <f t="array" ref="AD23">INDEX(GMWQ!$A$2:$LR$60,MATCH(1,(GMWQ!$LQ$2:$LQ$60=AD$3)*(GMWQ!$LP$2:$LP$60=AD$4)*(GMWQ!$LR$2:$LR$60=AD$1),0),$B23-1966)</f>
        <v>1705</v>
      </c>
      <c r="AE23" s="7" cm="1">
        <f t="array" ref="AE23">INDEX(GMWQ!$A$2:$LR$60,MATCH(1,(GMWQ!$LQ$2:$LQ$60=AE$3)*(GMWQ!$LP$2:$LP$60=AE$4)*(GMWQ!$LR$2:$LR$60=AE$1),0),$B23-1966)</f>
        <v>38038</v>
      </c>
      <c r="AF23" s="20" cm="1">
        <f t="array" ref="AF23">INDEX(GMWQ!$A$2:$LR$60,MATCH(1,(GMWQ!$LQ$2:$LQ$60=AF$3)*(GMWQ!$LP$2:$LP$60=AF$4)*(GMWQ!$LR$2:$LR$60=AF$1),0),$B23-1966)</f>
        <v>12.26172</v>
      </c>
      <c r="AG23" s="20" cm="1">
        <f t="array" ref="AG23">INDEX(GMWQ!$A$2:$LR$60,MATCH(1,(GMWQ!$LQ$2:$LQ$60=AG$3)*(GMWQ!$LP$2:$LP$60=AG$4)*(GMWQ!$LR$2:$LR$60=AG$1),0),$B23-1966)</f>
        <v>-136.4837</v>
      </c>
      <c r="AI23" s="23" cm="1">
        <f t="array" ref="AI23">INDEX(GMWQ!$A$2:$LR$60,MATCH(1,(GMWQ!$LQ$2:$LQ$60=AI$3)*(GMWQ!$LP$2:$LP$60=AI$4)*(GMWQ!$LR$2:$LR$60=AI$1),0),$B23-1966)</f>
        <v>23884</v>
      </c>
      <c r="AJ23" s="23" cm="1">
        <f t="array" ref="AJ23">INDEX(GMWQ!$A$2:$LR$60,MATCH(1,(GMWQ!$LQ$2:$LQ$60=AJ$3)*(GMWQ!$LP$2:$LP$60=AJ$4)*(GMWQ!$LR$2:$LR$60=AJ$1),0),$B23-1966)</f>
        <v>19.988499999999998</v>
      </c>
      <c r="AK23" s="23" cm="1">
        <f t="array" ref="AK23">INDEX(GMWQ!$A$2:$LR$60,MATCH(1,(GMWQ!$LQ$2:$LQ$60=AK$3)*(GMWQ!$LP$2:$LP$60=AK$4)*(GMWQ!$LR$2:$LR$60=AK$1),0),$B23-1966)</f>
        <v>18192</v>
      </c>
      <c r="AL23" s="23" cm="1">
        <f t="array" ref="AL23">INDEX(GMWQ!$A$2:$LR$60,MATCH(1,(GMWQ!$LQ$2:$LQ$60=AL$3)*(GMWQ!$LP$2:$LP$60=AL$4)*(GMWQ!$LR$2:$LR$60=AL$1),0),$B23-1966)</f>
        <v>823.06899999999996</v>
      </c>
      <c r="AM23" s="23" cm="1">
        <f t="array" ref="AM23">INDEX(GMWQ!$A$2:$LR$60,MATCH(1,(GMWQ!$LQ$2:$LQ$60=AM$3)*(GMWQ!$LP$2:$LP$60=AM$4)*(GMWQ!$LR$2:$LR$60=AM$1),0),$B23-1966)</f>
        <v>22102.639999999999</v>
      </c>
      <c r="AN23" s="23" cm="1">
        <f t="array" ref="AN23">INDEX(GMWQ!$A$2:$LR$60,MATCH(1,(GMWQ!$LQ$2:$LQ$60=AN$3)*(GMWQ!$LP$2:$LP$60=AN$4)*(GMWQ!$LR$2:$LR$60=AN$1),0),$B23-1966)</f>
        <v>4594.2150000000001</v>
      </c>
      <c r="AO23" s="23" cm="1">
        <f t="array" ref="AO23">INDEX(GMWQ!$A$2:$LR$60,MATCH(1,(GMWQ!$LQ$2:$LQ$60=AO$3)*(GMWQ!$LP$2:$LP$60=AO$4)*(GMWQ!$LR$2:$LR$60=AO$1),0),$B23-1966)</f>
        <v>958.71420000000001</v>
      </c>
      <c r="AP23" s="23" cm="1">
        <f t="array" ref="AP23">INDEX(GMWQ!$A$2:$LR$60,MATCH(1,(GMWQ!$LQ$2:$LQ$60=AP$3)*(GMWQ!$LP$2:$LP$60=AP$4)*(GMWQ!$LR$2:$LR$60=AP$1),0),$B23-1966)</f>
        <v>-136.4837</v>
      </c>
      <c r="AQ23" s="23" cm="1">
        <f t="array" ref="AQ23">INDEX(GMWQ!$A$2:$LR$60,MATCH(1,(GMWQ!$LQ$2:$LQ$60=AQ$3)*(GMWQ!$LP$2:$LP$60=AQ$4)*(GMWQ!$LR$2:$LR$60=AQ$1),0),$B23-1966)</f>
        <v>3507.732</v>
      </c>
      <c r="AR23" s="23" cm="1">
        <f t="array" ref="AR23">INDEX(GMWQ!$A$2:$LR$60,MATCH(1,(GMWQ!$LQ$2:$LQ$60=AR$3)*(GMWQ!$LP$2:$LP$60=AR$4)*(GMWQ!$LR$2:$LR$60=AR$1),0),$B23-1966)</f>
        <v>22597</v>
      </c>
      <c r="AS23" s="23" cm="1">
        <f t="array" ref="AS23">INDEX(GMWQ!$A$2:$LR$60,MATCH(1,(GMWQ!$LQ$2:$LQ$60=AS$3)*(GMWQ!$LP$2:$LP$60=AS$4)*(GMWQ!$LR$2:$LR$60=AS$1),0),$B23-1966)</f>
        <v>386</v>
      </c>
      <c r="AT23" s="23" cm="1">
        <f t="array" ref="AT23">INDEX(GMWQ!$A$2:$LR$60,MATCH(1,(GMWQ!$LQ$2:$LQ$60=AT$3)*(GMWQ!$LP$2:$LP$60=AT$4)*(GMWQ!$LR$2:$LR$60=AT$1),0),$B23-1966)</f>
        <v>113050</v>
      </c>
      <c r="AU23" s="23" cm="1">
        <f t="array" ref="AU23">INDEX(GMWQ!$A$2:$LR$60,MATCH(1,(GMWQ!$LQ$2:$LQ$60=AU$3)*(GMWQ!$LP$2:$LP$60=AU$4)*(GMWQ!$LR$2:$LR$60=AU$1),0),$B23-1966)</f>
        <v>3661</v>
      </c>
    </row>
    <row r="24" spans="1:47" x14ac:dyDescent="0.35">
      <c r="B24" s="7">
        <f t="shared" si="1"/>
        <v>1990</v>
      </c>
      <c r="C24" s="7" cm="1">
        <f t="array" ref="C24">INDEX(GMWQ!$A$2:$LR$60,MATCH(1,(GMWQ!$LQ$2:$LQ$60=C$3)*(GMWQ!$LP$2:$LP$60=C$4)*(GMWQ!$LR$2:$LR$60=C$1),0),$B24-1966)</f>
        <v>223815</v>
      </c>
      <c r="D24" s="7" cm="1">
        <f t="array" ref="D24">INDEX(GMWQ!$A$2:$LR$60,MATCH(1,(GMWQ!$LQ$2:$LQ$60=D$3)*(GMWQ!$LP$2:$LP$60=D$4)*(GMWQ!$LR$2:$LR$60=D$1),0),$B24-1966)</f>
        <v>34.543460000000003</v>
      </c>
      <c r="E24" s="7" cm="1">
        <f t="array" ref="E24">INDEX(GMWQ!$A$2:$LR$60,MATCH(1,(GMWQ!$LQ$2:$LQ$60=E$3)*(GMWQ!$LP$2:$LP$60=E$4)*(GMWQ!$LR$2:$LR$60=E$1),0),$B24-1966)</f>
        <v>23.410019999999999</v>
      </c>
      <c r="F24" s="7" cm="1">
        <f t="array" ref="F24">INDEX(GMWQ!$A$2:$LR$60,MATCH(1,(GMWQ!$LQ$2:$LQ$60=F$3)*(GMWQ!$LP$2:$LP$60=F$4)*(GMWQ!$LR$2:$LR$60=F$1),0),$B24-1966)</f>
        <v>18494</v>
      </c>
      <c r="G24" s="7" cm="1">
        <f t="array" ref="G24">INDEX(GMWQ!$A$2:$LR$60,MATCH(1,(GMWQ!$LQ$2:$LQ$60=G$3)*(GMWQ!$LP$2:$LP$60=G$4)*(GMWQ!$LR$2:$LR$60=G$1),0),$B24-1966)</f>
        <v>4792.0290000000005</v>
      </c>
      <c r="H24" s="7" cm="1">
        <f t="array" ref="H24">INDEX(GMWQ!$A$2:$LR$60,MATCH(1,(GMWQ!$LQ$2:$LQ$60=H$3)*(GMWQ!$LP$2:$LP$60=H$4)*(GMWQ!$LR$2:$LR$60=H$1),0),$B24-1966)</f>
        <v>992.50149999999996</v>
      </c>
      <c r="I24" s="7" cm="1">
        <f t="array" ref="I24">INDEX(GMWQ!$A$2:$LR$60,MATCH(1,(GMWQ!$LQ$2:$LQ$60=I$3)*(GMWQ!$LP$2:$LP$60=I$4)*(GMWQ!$LR$2:$LR$60=I$1),0),$B24-1966)</f>
        <v>20.629760000000001</v>
      </c>
      <c r="J24" s="7" cm="1">
        <f t="array" ref="J24">INDEX(GMWQ!$A$2:$LR$60,MATCH(1,(GMWQ!$LQ$2:$LQ$60=J$3)*(GMWQ!$LP$2:$LP$60=J$4)*(GMWQ!$LR$2:$LR$60=J$1),0),$B24-1966)</f>
        <v>22114.38</v>
      </c>
      <c r="K24" s="7" cm="1">
        <f t="array" ref="K24">INDEX(GMWQ!$A$2:$LR$60,MATCH(1,(GMWQ!$LQ$2:$LQ$60=K$3)*(GMWQ!$LP$2:$LP$60=K$4)*(GMWQ!$LR$2:$LR$60=K$1),0),$B24-1966)</f>
        <v>8</v>
      </c>
      <c r="L24" s="7" cm="1">
        <f t="array" ref="L24">INDEX(GMWQ!$A$2:$LR$60,MATCH(1,(GMWQ!$LQ$2:$LQ$60=L$3)*(GMWQ!$LP$2:$LP$60=L$4)*(GMWQ!$LR$2:$LR$60=L$1),0),$B24-1966)</f>
        <v>5.5</v>
      </c>
      <c r="M24" s="7" cm="1">
        <f t="array" ref="M24">INDEX(GMWQ!$A$2:$LR$60,MATCH(1,(GMWQ!$LQ$2:$LQ$60=M$3)*(GMWQ!$LP$2:$LP$60=M$4)*(GMWQ!$LR$2:$LR$60=M$1),0),$B24-1966)</f>
        <v>5.7596030000000003</v>
      </c>
      <c r="N24" s="7" cm="1">
        <f t="array" ref="N24">INDEX(GMWQ!$A$2:$LR$60,MATCH(1,(GMWQ!$LQ$2:$LQ$60=N$3)*(GMWQ!$LP$2:$LP$60=N$4)*(GMWQ!$LR$2:$LR$60=N$1),0),$B24-1966)</f>
        <v>1E-3</v>
      </c>
      <c r="O24" s="7" cm="1">
        <f t="array" ref="O24">INDEX(GMWQ!$A$2:$LR$60,MATCH(1,(GMWQ!$LQ$2:$LQ$60=O$3)*(GMWQ!$LP$2:$LP$60=O$4)*(GMWQ!$LR$2:$LR$60=O$1),0),$B24-1966)</f>
        <v>1E-3</v>
      </c>
      <c r="P24" s="7" cm="1">
        <f t="array" ref="P24">INDEX(GMWQ!$A$2:$LR$60,MATCH(1,(GMWQ!$LQ$2:$LQ$60=P$3)*(GMWQ!$LP$2:$LP$60=P$4)*(GMWQ!$LR$2:$LR$60=P$1),0),$B24-1966)</f>
        <v>24509</v>
      </c>
      <c r="Q24" s="7" cm="1">
        <f t="array" ref="Q24">INDEX(GMWQ!$A$2:$LR$60,MATCH(1,(GMWQ!$LQ$2:$LQ$60=Q$3)*(GMWQ!$LP$2:$LP$60=Q$4)*(GMWQ!$LR$2:$LR$60=Q$1),0),$B24-1966)</f>
        <v>11.25</v>
      </c>
      <c r="R24" s="7" cm="1">
        <f t="array" ref="R24">INDEX(GMWQ!$A$2:$LR$60,MATCH(1,(GMWQ!$LQ$2:$LQ$60=R$3)*(GMWQ!$LP$2:$LP$60=R$4)*(GMWQ!$LR$2:$LR$60=R$1),0),$B24-1966)</f>
        <v>1E-3</v>
      </c>
      <c r="S24" s="7" cm="1">
        <f t="array" ref="S24">INDEX(GMWQ!$A$2:$LR$60,MATCH(1,(GMWQ!$LQ$2:$LQ$60=S$3)*(GMWQ!$LP$2:$LP$60=S$4)*(GMWQ!$LR$2:$LR$60=S$1),0),$B24-1966)</f>
        <v>306</v>
      </c>
      <c r="T24" s="7" cm="1">
        <f t="array" ref="T24">INDEX(GMWQ!$A$2:$LR$60,MATCH(1,(GMWQ!$LQ$2:$LQ$60=T$3)*(GMWQ!$LP$2:$LP$60=T$4)*(GMWQ!$LR$2:$LR$60=T$1),0),$B24-1966)</f>
        <v>1E-3</v>
      </c>
      <c r="U24" s="7" cm="1">
        <f t="array" ref="U24">INDEX(GMWQ!$A$2:$LR$60,MATCH(1,(GMWQ!$LQ$2:$LQ$60=U$3)*(GMWQ!$LP$2:$LP$60=U$4)*(GMWQ!$LR$2:$LR$60=U$1),0),$B24-1966)</f>
        <v>0</v>
      </c>
      <c r="V24" s="7" cm="1">
        <f t="array" ref="V24">INDEX(GMWQ!$A$2:$LR$60,MATCH(1,(GMWQ!$LQ$2:$LQ$60=V$3)*(GMWQ!$LP$2:$LP$60=V$4)*(GMWQ!$LR$2:$LR$60=V$1),0),$B24-1966)</f>
        <v>1E-3</v>
      </c>
      <c r="W24" s="7" cm="1">
        <f t="array" ref="W24">INDEX(GMWQ!$A$2:$LR$60,MATCH(1,(GMWQ!$LQ$2:$LQ$60=W$3)*(GMWQ!$LP$2:$LP$60=W$4)*(GMWQ!$LR$2:$LR$60=W$1),0),$B24-1966)</f>
        <v>4.9681990000000003</v>
      </c>
      <c r="X24" s="7" cm="1">
        <f t="array" ref="X24">INDEX(GMWQ!$A$2:$LR$60,MATCH(1,(GMWQ!$LQ$2:$LQ$60=X$3)*(GMWQ!$LP$2:$LP$60=X$4)*(GMWQ!$LR$2:$LR$60=X$1),0),$B24-1966)</f>
        <v>726910.3</v>
      </c>
      <c r="Y24" s="7" cm="1">
        <f t="array" ref="Y24">INDEX(GMWQ!$A$2:$LR$60,MATCH(1,(GMWQ!$LQ$2:$LQ$60=Y$3)*(GMWQ!$LP$2:$LP$60=Y$4)*(GMWQ!$LR$2:$LR$60=Y$1),0),$B24-1966)</f>
        <v>17.534120000000001</v>
      </c>
      <c r="Z24" s="7" cm="1">
        <f t="array" ref="Z24">INDEX(GMWQ!$A$2:$LR$60,MATCH(1,(GMWQ!$LQ$2:$LQ$60=Z$3)*(GMWQ!$LP$2:$LP$60=Z$4)*(GMWQ!$LR$2:$LR$60=Z$1),0),$B24-1966)</f>
        <v>231063</v>
      </c>
      <c r="AA24" s="7" cm="1">
        <f t="array" ref="AA24">INDEX(GMWQ!$A$2:$LR$60,MATCH(1,(GMWQ!$LQ$2:$LQ$60=AA$3)*(GMWQ!$LP$2:$LP$60=AA$4)*(GMWQ!$LR$2:$LR$60=AA$1),0),$B24-1966)</f>
        <v>15013</v>
      </c>
      <c r="AB24" s="7" cm="1">
        <f t="array" ref="AB24">INDEX(GMWQ!$A$2:$LR$60,MATCH(1,(GMWQ!$LQ$2:$LQ$60=AB$3)*(GMWQ!$LP$2:$LP$60=AB$4)*(GMWQ!$LR$2:$LR$60=AB$1),0),$B24-1966)</f>
        <v>13432</v>
      </c>
      <c r="AC24" s="7" cm="1">
        <f t="array" ref="AC24">INDEX(GMWQ!$A$2:$LR$60,MATCH(1,(GMWQ!$LQ$2:$LQ$60=AC$3)*(GMWQ!$LP$2:$LP$60=AC$4)*(GMWQ!$LR$2:$LR$60=AC$1),0),$B24-1966)</f>
        <v>1077</v>
      </c>
      <c r="AD24" s="7" cm="1">
        <f t="array" ref="AD24">INDEX(GMWQ!$A$2:$LR$60,MATCH(1,(GMWQ!$LQ$2:$LQ$60=AD$3)*(GMWQ!$LP$2:$LP$60=AD$4)*(GMWQ!$LR$2:$LR$60=AD$1),0),$B24-1966)</f>
        <v>1760</v>
      </c>
      <c r="AE24" s="7" cm="1">
        <f t="array" ref="AE24">INDEX(GMWQ!$A$2:$LR$60,MATCH(1,(GMWQ!$LQ$2:$LQ$60=AE$3)*(GMWQ!$LP$2:$LP$60=AE$4)*(GMWQ!$LR$2:$LR$60=AE$1),0),$B24-1966)</f>
        <v>39244</v>
      </c>
      <c r="AF24" s="20" cm="1">
        <f t="array" ref="AF24">INDEX(GMWQ!$A$2:$LR$60,MATCH(1,(GMWQ!$LQ$2:$LQ$60=AF$3)*(GMWQ!$LP$2:$LP$60=AF$4)*(GMWQ!$LR$2:$LR$60=AF$1),0),$B24-1966)</f>
        <v>8.4115380000000002</v>
      </c>
      <c r="AG24" s="20" cm="1">
        <f t="array" ref="AG24">INDEX(GMWQ!$A$2:$LR$60,MATCH(1,(GMWQ!$LQ$2:$LQ$60=AG$3)*(GMWQ!$LP$2:$LP$60=AG$4)*(GMWQ!$LR$2:$LR$60=AG$1),0),$B24-1966)</f>
        <v>-132.01859999999999</v>
      </c>
      <c r="AI24" s="23" cm="1">
        <f t="array" ref="AI24">INDEX(GMWQ!$A$2:$LR$60,MATCH(1,(GMWQ!$LQ$2:$LQ$60=AI$3)*(GMWQ!$LP$2:$LP$60=AI$4)*(GMWQ!$LR$2:$LR$60=AI$1),0),$B24-1966)</f>
        <v>24509</v>
      </c>
      <c r="AJ24" s="23" cm="1">
        <f t="array" ref="AJ24">INDEX(GMWQ!$A$2:$LR$60,MATCH(1,(GMWQ!$LQ$2:$LQ$60=AJ$3)*(GMWQ!$LP$2:$LP$60=AJ$4)*(GMWQ!$LR$2:$LR$60=AJ$1),0),$B24-1966)</f>
        <v>20.629760000000001</v>
      </c>
      <c r="AK24" s="23" cm="1">
        <f t="array" ref="AK24">INDEX(GMWQ!$A$2:$LR$60,MATCH(1,(GMWQ!$LQ$2:$LQ$60=AK$3)*(GMWQ!$LP$2:$LP$60=AK$4)*(GMWQ!$LR$2:$LR$60=AK$1),0),$B24-1966)</f>
        <v>18494</v>
      </c>
      <c r="AL24" s="23" cm="1">
        <f t="array" ref="AL24">INDEX(GMWQ!$A$2:$LR$60,MATCH(1,(GMWQ!$LQ$2:$LQ$60=AL$3)*(GMWQ!$LP$2:$LP$60=AL$4)*(GMWQ!$LR$2:$LR$60=AL$1),0),$B24-1966)</f>
        <v>836.28859999999997</v>
      </c>
      <c r="AM24" s="23" cm="1">
        <f t="array" ref="AM24">INDEX(GMWQ!$A$2:$LR$60,MATCH(1,(GMWQ!$LQ$2:$LQ$60=AM$3)*(GMWQ!$LP$2:$LP$60=AM$4)*(GMWQ!$LR$2:$LR$60=AM$1),0),$B24-1966)</f>
        <v>22114.38</v>
      </c>
      <c r="AN24" s="23" cm="1">
        <f t="array" ref="AN24">INDEX(GMWQ!$A$2:$LR$60,MATCH(1,(GMWQ!$LQ$2:$LQ$60=AN$3)*(GMWQ!$LP$2:$LP$60=AN$4)*(GMWQ!$LR$2:$LR$60=AN$1),0),$B24-1966)</f>
        <v>4792.0290000000005</v>
      </c>
      <c r="AO24" s="23" cm="1">
        <f t="array" ref="AO24">INDEX(GMWQ!$A$2:$LR$60,MATCH(1,(GMWQ!$LQ$2:$LQ$60=AO$3)*(GMWQ!$LP$2:$LP$60=AO$4)*(GMWQ!$LR$2:$LR$60=AO$1),0),$B24-1966)</f>
        <v>992.50149999999996</v>
      </c>
      <c r="AP24" s="23" cm="1">
        <f t="array" ref="AP24">INDEX(GMWQ!$A$2:$LR$60,MATCH(1,(GMWQ!$LQ$2:$LQ$60=AP$3)*(GMWQ!$LP$2:$LP$60=AP$4)*(GMWQ!$LR$2:$LR$60=AP$1),0),$B24-1966)</f>
        <v>-132.01859999999999</v>
      </c>
      <c r="AQ24" s="23" cm="1">
        <f t="array" ref="AQ24">INDEX(GMWQ!$A$2:$LR$60,MATCH(1,(GMWQ!$LQ$2:$LQ$60=AQ$3)*(GMWQ!$LP$2:$LP$60=AQ$4)*(GMWQ!$LR$2:$LR$60=AQ$1),0),$B24-1966)</f>
        <v>3695.7359999999999</v>
      </c>
      <c r="AR24" s="23" cm="1">
        <f t="array" ref="AR24">INDEX(GMWQ!$A$2:$LR$60,MATCH(1,(GMWQ!$LQ$2:$LQ$60=AR$3)*(GMWQ!$LP$2:$LP$60=AR$4)*(GMWQ!$LR$2:$LR$60=AR$1),0),$B24-1966)</f>
        <v>23291</v>
      </c>
      <c r="AS24" s="23" cm="1">
        <f t="array" ref="AS24">INDEX(GMWQ!$A$2:$LR$60,MATCH(1,(GMWQ!$LQ$2:$LQ$60=AS$3)*(GMWQ!$LP$2:$LP$60=AS$4)*(GMWQ!$LR$2:$LR$60=AS$1),0),$B24-1966)</f>
        <v>388</v>
      </c>
      <c r="AT24" s="23" cm="1">
        <f t="array" ref="AT24">INDEX(GMWQ!$A$2:$LR$60,MATCH(1,(GMWQ!$LQ$2:$LQ$60=AT$3)*(GMWQ!$LP$2:$LP$60=AT$4)*(GMWQ!$LR$2:$LR$60=AT$1),0),$B24-1966)</f>
        <v>112900</v>
      </c>
      <c r="AU24" s="23" cm="1">
        <f t="array" ref="AU24">INDEX(GMWQ!$A$2:$LR$60,MATCH(1,(GMWQ!$LQ$2:$LQ$60=AU$3)*(GMWQ!$LP$2:$LP$60=AU$4)*(GMWQ!$LR$2:$LR$60=AU$1),0),$B24-1966)</f>
        <v>3288</v>
      </c>
    </row>
    <row r="25" spans="1:47" x14ac:dyDescent="0.35">
      <c r="B25" s="7">
        <f t="shared" si="1"/>
        <v>1991</v>
      </c>
      <c r="C25" s="7" cm="1">
        <f t="array" ref="C25">INDEX(GMWQ!$A$2:$LR$60,MATCH(1,(GMWQ!$LQ$2:$LQ$60=C$3)*(GMWQ!$LP$2:$LP$60=C$4)*(GMWQ!$LR$2:$LR$60=C$1),0),$B25-1966)</f>
        <v>225295</v>
      </c>
      <c r="D25" s="7" cm="1">
        <f t="array" ref="D25">INDEX(GMWQ!$A$2:$LR$60,MATCH(1,(GMWQ!$LQ$2:$LQ$60=D$3)*(GMWQ!$LP$2:$LP$60=D$4)*(GMWQ!$LR$2:$LR$60=D$1),0),$B25-1966)</f>
        <v>35.597639999999998</v>
      </c>
      <c r="E25" s="7" cm="1">
        <f t="array" ref="E25">INDEX(GMWQ!$A$2:$LR$60,MATCH(1,(GMWQ!$LQ$2:$LQ$60=E$3)*(GMWQ!$LP$2:$LP$60=E$4)*(GMWQ!$LR$2:$LR$60=E$1),0),$B25-1966)</f>
        <v>23.82713</v>
      </c>
      <c r="F25" s="7" cm="1">
        <f t="array" ref="F25">INDEX(GMWQ!$A$2:$LR$60,MATCH(1,(GMWQ!$LQ$2:$LQ$60=F$3)*(GMWQ!$LP$2:$LP$60=F$4)*(GMWQ!$LR$2:$LR$60=F$1),0),$B25-1966)</f>
        <v>18884</v>
      </c>
      <c r="G25" s="7" cm="1">
        <f t="array" ref="G25">INDEX(GMWQ!$A$2:$LR$60,MATCH(1,(GMWQ!$LQ$2:$LQ$60=G$3)*(GMWQ!$LP$2:$LP$60=G$4)*(GMWQ!$LR$2:$LR$60=G$1),0),$B25-1966)</f>
        <v>4454.7569999999996</v>
      </c>
      <c r="H25" s="7" cm="1">
        <f t="array" ref="H25">INDEX(GMWQ!$A$2:$LR$60,MATCH(1,(GMWQ!$LQ$2:$LQ$60=H$3)*(GMWQ!$LP$2:$LP$60=H$4)*(GMWQ!$LR$2:$LR$60=H$1),0),$B25-1966)</f>
        <v>1017.842</v>
      </c>
      <c r="I25" s="7" cm="1">
        <f t="array" ref="I25">INDEX(GMWQ!$A$2:$LR$60,MATCH(1,(GMWQ!$LQ$2:$LQ$60=I$3)*(GMWQ!$LP$2:$LP$60=I$4)*(GMWQ!$LR$2:$LR$60=I$1),0),$B25-1966)</f>
        <v>21.00216</v>
      </c>
      <c r="J25" s="7" cm="1">
        <f t="array" ref="J25">INDEX(GMWQ!$A$2:$LR$60,MATCH(1,(GMWQ!$LQ$2:$LQ$60=J$3)*(GMWQ!$LP$2:$LP$60=J$4)*(GMWQ!$LR$2:$LR$60=J$1),0),$B25-1966)</f>
        <v>22131</v>
      </c>
      <c r="K25" s="7" cm="1">
        <f t="array" ref="K25">INDEX(GMWQ!$A$2:$LR$60,MATCH(1,(GMWQ!$LQ$2:$LQ$60=K$3)*(GMWQ!$LP$2:$LP$60=K$4)*(GMWQ!$LR$2:$LR$60=K$1),0),$B25-1966)</f>
        <v>6</v>
      </c>
      <c r="L25" s="7" cm="1">
        <f t="array" ref="L25">INDEX(GMWQ!$A$2:$LR$60,MATCH(1,(GMWQ!$LQ$2:$LQ$60=L$3)*(GMWQ!$LP$2:$LP$60=L$4)*(GMWQ!$LR$2:$LR$60=L$1),0),$B25-1966)</f>
        <v>5.7</v>
      </c>
      <c r="M25" s="7" cm="1">
        <f t="array" ref="M25">INDEX(GMWQ!$A$2:$LR$60,MATCH(1,(GMWQ!$LQ$2:$LQ$60=M$3)*(GMWQ!$LP$2:$LP$60=M$4)*(GMWQ!$LR$2:$LR$60=M$1),0),$B25-1966)</f>
        <v>5.9392490000000002</v>
      </c>
      <c r="N25" s="7" cm="1">
        <f t="array" ref="N25">INDEX(GMWQ!$A$2:$LR$60,MATCH(1,(GMWQ!$LQ$2:$LQ$60=N$3)*(GMWQ!$LP$2:$LP$60=N$4)*(GMWQ!$LR$2:$LR$60=N$1),0),$B25-1966)</f>
        <v>1E-3</v>
      </c>
      <c r="O25" s="7" cm="1">
        <f t="array" ref="O25">INDEX(GMWQ!$A$2:$LR$60,MATCH(1,(GMWQ!$LQ$2:$LQ$60=O$3)*(GMWQ!$LP$2:$LP$60=O$4)*(GMWQ!$LR$2:$LR$60=O$1),0),$B25-1966)</f>
        <v>1E-3</v>
      </c>
      <c r="P25" s="7" cm="1">
        <f t="array" ref="P25">INDEX(GMWQ!$A$2:$LR$60,MATCH(1,(GMWQ!$LQ$2:$LQ$60=P$3)*(GMWQ!$LP$2:$LP$60=P$4)*(GMWQ!$LR$2:$LR$60=P$1),0),$B25-1966)</f>
        <v>25439</v>
      </c>
      <c r="Q25" s="7" cm="1">
        <f t="array" ref="Q25">INDEX(GMWQ!$A$2:$LR$60,MATCH(1,(GMWQ!$LQ$2:$LQ$60=Q$3)*(GMWQ!$LP$2:$LP$60=Q$4)*(GMWQ!$LR$2:$LR$60=Q$1),0),$B25-1966)</f>
        <v>10.5</v>
      </c>
      <c r="R25" s="7" cm="1">
        <f t="array" ref="R25">INDEX(GMWQ!$A$2:$LR$60,MATCH(1,(GMWQ!$LQ$2:$LQ$60=R$3)*(GMWQ!$LP$2:$LP$60=R$4)*(GMWQ!$LR$2:$LR$60=R$1),0),$B25-1966)</f>
        <v>1E-3</v>
      </c>
      <c r="S25" s="7" cm="1">
        <f t="array" ref="S25">INDEX(GMWQ!$A$2:$LR$60,MATCH(1,(GMWQ!$LQ$2:$LQ$60=S$3)*(GMWQ!$LP$2:$LP$60=S$4)*(GMWQ!$LR$2:$LR$60=S$1),0),$B25-1966)</f>
        <v>322</v>
      </c>
      <c r="T25" s="7" cm="1">
        <f t="array" ref="T25">INDEX(GMWQ!$A$2:$LR$60,MATCH(1,(GMWQ!$LQ$2:$LQ$60=T$3)*(GMWQ!$LP$2:$LP$60=T$4)*(GMWQ!$LR$2:$LR$60=T$1),0),$B25-1966)</f>
        <v>1E-3</v>
      </c>
      <c r="U25" s="7" cm="1">
        <f t="array" ref="U25">INDEX(GMWQ!$A$2:$LR$60,MATCH(1,(GMWQ!$LQ$2:$LQ$60=U$3)*(GMWQ!$LP$2:$LP$60=U$4)*(GMWQ!$LR$2:$LR$60=U$1),0),$B25-1966)</f>
        <v>0</v>
      </c>
      <c r="V25" s="7" cm="1">
        <f t="array" ref="V25">INDEX(GMWQ!$A$2:$LR$60,MATCH(1,(GMWQ!$LQ$2:$LQ$60=V$3)*(GMWQ!$LP$2:$LP$60=V$4)*(GMWQ!$LR$2:$LR$60=V$1),0),$B25-1966)</f>
        <v>1E-3</v>
      </c>
      <c r="W25" s="7" cm="1">
        <f t="array" ref="W25">INDEX(GMWQ!$A$2:$LR$60,MATCH(1,(GMWQ!$LQ$2:$LQ$60=W$3)*(GMWQ!$LP$2:$LP$60=W$4)*(GMWQ!$LR$2:$LR$60=W$1),0),$B25-1966)</f>
        <v>4.2187539999999997</v>
      </c>
      <c r="X25" s="7" cm="1">
        <f t="array" ref="X25">INDEX(GMWQ!$A$2:$LR$60,MATCH(1,(GMWQ!$LQ$2:$LQ$60=X$3)*(GMWQ!$LP$2:$LP$60=X$4)*(GMWQ!$LR$2:$LR$60=X$1),0),$B25-1966)</f>
        <v>728517.9</v>
      </c>
      <c r="Y25" s="7" cm="1">
        <f t="array" ref="Y25">INDEX(GMWQ!$A$2:$LR$60,MATCH(1,(GMWQ!$LQ$2:$LQ$60=Y$3)*(GMWQ!$LP$2:$LP$60=Y$4)*(GMWQ!$LR$2:$LR$60=Y$1),0),$B25-1966)</f>
        <v>17.904969999999999</v>
      </c>
      <c r="Z25" s="7" cm="1">
        <f t="array" ref="Z25">INDEX(GMWQ!$A$2:$LR$60,MATCH(1,(GMWQ!$LQ$2:$LQ$60=Z$3)*(GMWQ!$LP$2:$LP$60=Z$4)*(GMWQ!$LR$2:$LR$60=Z$1),0),$B25-1966)</f>
        <v>231251.7</v>
      </c>
      <c r="AA25" s="7" cm="1">
        <f t="array" ref="AA25">INDEX(GMWQ!$A$2:$LR$60,MATCH(1,(GMWQ!$LQ$2:$LQ$60=AA$3)*(GMWQ!$LP$2:$LP$60=AA$4)*(GMWQ!$LR$2:$LR$60=AA$1),0),$B25-1966)</f>
        <v>15459</v>
      </c>
      <c r="AB25" s="7" cm="1">
        <f t="array" ref="AB25">INDEX(GMWQ!$A$2:$LR$60,MATCH(1,(GMWQ!$LQ$2:$LQ$60=AB$3)*(GMWQ!$LP$2:$LP$60=AB$4)*(GMWQ!$LR$2:$LR$60=AB$1),0),$B25-1966)</f>
        <v>14052</v>
      </c>
      <c r="AC25" s="7" cm="1">
        <f t="array" ref="AC25">INDEX(GMWQ!$A$2:$LR$60,MATCH(1,(GMWQ!$LQ$2:$LQ$60=AC$3)*(GMWQ!$LP$2:$LP$60=AC$4)*(GMWQ!$LR$2:$LR$60=AC$1),0),$B25-1966)</f>
        <v>1239</v>
      </c>
      <c r="AD25" s="7" cm="1">
        <f t="array" ref="AD25">INDEX(GMWQ!$A$2:$LR$60,MATCH(1,(GMWQ!$LQ$2:$LQ$60=AD$3)*(GMWQ!$LP$2:$LP$60=AD$4)*(GMWQ!$LR$2:$LR$60=AD$1),0),$B25-1966)</f>
        <v>1824</v>
      </c>
      <c r="AE25" s="7" cm="1">
        <f t="array" ref="AE25">INDEX(GMWQ!$A$2:$LR$60,MATCH(1,(GMWQ!$LQ$2:$LQ$60=AE$3)*(GMWQ!$LP$2:$LP$60=AE$4)*(GMWQ!$LR$2:$LR$60=AE$1),0),$B25-1966)</f>
        <v>40339</v>
      </c>
      <c r="AF25" s="20" cm="1">
        <f t="array" ref="AF25">INDEX(GMWQ!$A$2:$LR$60,MATCH(1,(GMWQ!$LQ$2:$LQ$60=AF$3)*(GMWQ!$LP$2:$LP$60=AF$4)*(GMWQ!$LR$2:$LR$60=AF$1),0),$B25-1966)</f>
        <v>7.2424239999999998</v>
      </c>
      <c r="AG25" s="20" cm="1">
        <f t="array" ref="AG25">INDEX(GMWQ!$A$2:$LR$60,MATCH(1,(GMWQ!$LQ$2:$LQ$60=AG$3)*(GMWQ!$LP$2:$LP$60=AG$4)*(GMWQ!$LR$2:$LR$60=AG$1),0),$B25-1966)</f>
        <v>-130.4186</v>
      </c>
      <c r="AI25" s="23" cm="1">
        <f t="array" ref="AI25">INDEX(GMWQ!$A$2:$LR$60,MATCH(1,(GMWQ!$LQ$2:$LQ$60=AI$3)*(GMWQ!$LP$2:$LP$60=AI$4)*(GMWQ!$LR$2:$LR$60=AI$1),0),$B25-1966)</f>
        <v>25439</v>
      </c>
      <c r="AJ25" s="23" cm="1">
        <f t="array" ref="AJ25">INDEX(GMWQ!$A$2:$LR$60,MATCH(1,(GMWQ!$LQ$2:$LQ$60=AJ$3)*(GMWQ!$LP$2:$LP$60=AJ$4)*(GMWQ!$LR$2:$LR$60=AJ$1),0),$B25-1966)</f>
        <v>21.00216</v>
      </c>
      <c r="AK25" s="23" cm="1">
        <f t="array" ref="AK25">INDEX(GMWQ!$A$2:$LR$60,MATCH(1,(GMWQ!$LQ$2:$LQ$60=AK$3)*(GMWQ!$LP$2:$LP$60=AK$4)*(GMWQ!$LR$2:$LR$60=AK$1),0),$B25-1966)</f>
        <v>18884</v>
      </c>
      <c r="AL25" s="23" cm="1">
        <f t="array" ref="AL25">INDEX(GMWQ!$A$2:$LR$60,MATCH(1,(GMWQ!$LQ$2:$LQ$60=AL$3)*(GMWQ!$LP$2:$LP$60=AL$4)*(GMWQ!$LR$2:$LR$60=AL$1),0),$B25-1966)</f>
        <v>853.28279999999995</v>
      </c>
      <c r="AM25" s="23" cm="1">
        <f t="array" ref="AM25">INDEX(GMWQ!$A$2:$LR$60,MATCH(1,(GMWQ!$LQ$2:$LQ$60=AM$3)*(GMWQ!$LP$2:$LP$60=AM$4)*(GMWQ!$LR$2:$LR$60=AM$1),0),$B25-1966)</f>
        <v>22131</v>
      </c>
      <c r="AN25" s="23" cm="1">
        <f t="array" ref="AN25">INDEX(GMWQ!$A$2:$LR$60,MATCH(1,(GMWQ!$LQ$2:$LQ$60=AN$3)*(GMWQ!$LP$2:$LP$60=AN$4)*(GMWQ!$LR$2:$LR$60=AN$1),0),$B25-1966)</f>
        <v>4454.7569999999996</v>
      </c>
      <c r="AO25" s="23" cm="1">
        <f t="array" ref="AO25">INDEX(GMWQ!$A$2:$LR$60,MATCH(1,(GMWQ!$LQ$2:$LQ$60=AO$3)*(GMWQ!$LP$2:$LP$60=AO$4)*(GMWQ!$LR$2:$LR$60=AO$1),0),$B25-1966)</f>
        <v>1017.842</v>
      </c>
      <c r="AP25" s="23" cm="1">
        <f t="array" ref="AP25">INDEX(GMWQ!$A$2:$LR$60,MATCH(1,(GMWQ!$LQ$2:$LQ$60=AP$3)*(GMWQ!$LP$2:$LP$60=AP$4)*(GMWQ!$LR$2:$LR$60=AP$1),0),$B25-1966)</f>
        <v>-130.4186</v>
      </c>
      <c r="AQ25" s="23" cm="1">
        <f t="array" ref="AQ25">INDEX(GMWQ!$A$2:$LR$60,MATCH(1,(GMWQ!$LQ$2:$LQ$60=AQ$3)*(GMWQ!$LP$2:$LP$60=AQ$4)*(GMWQ!$LR$2:$LR$60=AQ$1),0),$B25-1966)</f>
        <v>3854.5839999999998</v>
      </c>
      <c r="AR25" s="23" cm="1">
        <f t="array" ref="AR25">INDEX(GMWQ!$A$2:$LR$60,MATCH(1,(GMWQ!$LQ$2:$LQ$60=AR$3)*(GMWQ!$LP$2:$LP$60=AR$4)*(GMWQ!$LR$2:$LR$60=AR$1),0),$B25-1966)</f>
        <v>24004</v>
      </c>
      <c r="AS25" s="23" cm="1">
        <f t="array" ref="AS25">INDEX(GMWQ!$A$2:$LR$60,MATCH(1,(GMWQ!$LQ$2:$LQ$60=AS$3)*(GMWQ!$LP$2:$LP$60=AS$4)*(GMWQ!$LR$2:$LR$60=AS$1),0),$B25-1966)</f>
        <v>393</v>
      </c>
      <c r="AT25" s="23" cm="1">
        <f t="array" ref="AT25">INDEX(GMWQ!$A$2:$LR$60,MATCH(1,(GMWQ!$LQ$2:$LQ$60=AT$3)*(GMWQ!$LP$2:$LP$60=AT$4)*(GMWQ!$LR$2:$LR$60=AT$1),0),$B25-1966)</f>
        <v>114293</v>
      </c>
      <c r="AU25" s="23" cm="1">
        <f t="array" ref="AU25">INDEX(GMWQ!$A$2:$LR$60,MATCH(1,(GMWQ!$LQ$2:$LQ$60=AU$3)*(GMWQ!$LP$2:$LP$60=AU$4)*(GMWQ!$LR$2:$LR$60=AU$1),0),$B25-1966)</f>
        <v>3260</v>
      </c>
    </row>
    <row r="26" spans="1:47" x14ac:dyDescent="0.35">
      <c r="B26" s="7">
        <f t="shared" si="1"/>
        <v>1992</v>
      </c>
      <c r="C26" s="7" cm="1">
        <f t="array" ref="C26">INDEX(GMWQ!$A$2:$LR$60,MATCH(1,(GMWQ!$LQ$2:$LQ$60=C$3)*(GMWQ!$LP$2:$LP$60=C$4)*(GMWQ!$LR$2:$LR$60=C$1),0),$B26-1966)</f>
        <v>229115</v>
      </c>
      <c r="D26" s="7" cm="1">
        <f t="array" ref="D26">INDEX(GMWQ!$A$2:$LR$60,MATCH(1,(GMWQ!$LQ$2:$LQ$60=D$3)*(GMWQ!$LP$2:$LP$60=D$4)*(GMWQ!$LR$2:$LR$60=D$1),0),$B26-1966)</f>
        <v>36.685519999999997</v>
      </c>
      <c r="E26" s="7" cm="1">
        <f t="array" ref="E26">INDEX(GMWQ!$A$2:$LR$60,MATCH(1,(GMWQ!$LQ$2:$LQ$60=E$3)*(GMWQ!$LP$2:$LP$60=E$4)*(GMWQ!$LR$2:$LR$60=E$1),0),$B26-1966)</f>
        <v>24.139949999999999</v>
      </c>
      <c r="F26" s="7" cm="1">
        <f t="array" ref="F26">INDEX(GMWQ!$A$2:$LR$60,MATCH(1,(GMWQ!$LQ$2:$LQ$60=F$3)*(GMWQ!$LP$2:$LP$60=F$4)*(GMWQ!$LR$2:$LR$60=F$1),0),$B26-1966)</f>
        <v>19532</v>
      </c>
      <c r="G26" s="7" cm="1">
        <f t="array" ref="G26">INDEX(GMWQ!$A$2:$LR$60,MATCH(1,(GMWQ!$LQ$2:$LQ$60=G$3)*(GMWQ!$LP$2:$LP$60=G$4)*(GMWQ!$LR$2:$LR$60=G$1),0),$B26-1966)</f>
        <v>4109.5730000000003</v>
      </c>
      <c r="H26" s="7" cm="1">
        <f t="array" ref="H26">INDEX(GMWQ!$A$2:$LR$60,MATCH(1,(GMWQ!$LQ$2:$LQ$60=H$3)*(GMWQ!$LP$2:$LP$60=H$4)*(GMWQ!$LR$2:$LR$60=H$1),0),$B26-1966)</f>
        <v>1052.6849999999999</v>
      </c>
      <c r="I26" s="7" cm="1">
        <f t="array" ref="I26">INDEX(GMWQ!$A$2:$LR$60,MATCH(1,(GMWQ!$LQ$2:$LQ$60=I$3)*(GMWQ!$LP$2:$LP$60=I$4)*(GMWQ!$LR$2:$LR$60=I$1),0),$B26-1966)</f>
        <v>21.35981</v>
      </c>
      <c r="J26" s="7" cm="1">
        <f t="array" ref="J26">INDEX(GMWQ!$A$2:$LR$60,MATCH(1,(GMWQ!$LQ$2:$LQ$60=J$3)*(GMWQ!$LP$2:$LP$60=J$4)*(GMWQ!$LR$2:$LR$60=J$1),0),$B26-1966)</f>
        <v>22135.88</v>
      </c>
      <c r="K26" s="7" cm="1">
        <f t="array" ref="K26">INDEX(GMWQ!$A$2:$LR$60,MATCH(1,(GMWQ!$LQ$2:$LQ$60=K$3)*(GMWQ!$LP$2:$LP$60=K$4)*(GMWQ!$LR$2:$LR$60=K$1),0),$B26-1966)</f>
        <v>7</v>
      </c>
      <c r="L26" s="7" cm="1">
        <f t="array" ref="L26">INDEX(GMWQ!$A$2:$LR$60,MATCH(1,(GMWQ!$LQ$2:$LQ$60=L$3)*(GMWQ!$LP$2:$LP$60=L$4)*(GMWQ!$LR$2:$LR$60=L$1),0),$B26-1966)</f>
        <v>5.7</v>
      </c>
      <c r="M26" s="7" cm="1">
        <f t="array" ref="M26">INDEX(GMWQ!$A$2:$LR$60,MATCH(1,(GMWQ!$LQ$2:$LQ$60=M$3)*(GMWQ!$LP$2:$LP$60=M$4)*(GMWQ!$LR$2:$LR$60=M$1),0),$B26-1966)</f>
        <v>6.1796239999999996</v>
      </c>
      <c r="N26" s="7" cm="1">
        <f t="array" ref="N26">INDEX(GMWQ!$A$2:$LR$60,MATCH(1,(GMWQ!$LQ$2:$LQ$60=N$3)*(GMWQ!$LP$2:$LP$60=N$4)*(GMWQ!$LR$2:$LR$60=N$1),0),$B26-1966)</f>
        <v>1E-3</v>
      </c>
      <c r="O26" s="7" cm="1">
        <f t="array" ref="O26">INDEX(GMWQ!$A$2:$LR$60,MATCH(1,(GMWQ!$LQ$2:$LQ$60=O$3)*(GMWQ!$LP$2:$LP$60=O$4)*(GMWQ!$LR$2:$LR$60=O$1),0),$B26-1966)</f>
        <v>1E-3</v>
      </c>
      <c r="P26" s="7" cm="1">
        <f t="array" ref="P26">INDEX(GMWQ!$A$2:$LR$60,MATCH(1,(GMWQ!$LQ$2:$LQ$60=P$3)*(GMWQ!$LP$2:$LP$60=P$4)*(GMWQ!$LR$2:$LR$60=P$1),0),$B26-1966)</f>
        <v>26940</v>
      </c>
      <c r="Q26" s="7" cm="1">
        <f t="array" ref="Q26">INDEX(GMWQ!$A$2:$LR$60,MATCH(1,(GMWQ!$LQ$2:$LQ$60=Q$3)*(GMWQ!$LP$2:$LP$60=Q$4)*(GMWQ!$LR$2:$LR$60=Q$1),0),$B26-1966)</f>
        <v>9.5</v>
      </c>
      <c r="R26" s="7" cm="1">
        <f t="array" ref="R26">INDEX(GMWQ!$A$2:$LR$60,MATCH(1,(GMWQ!$LQ$2:$LQ$60=R$3)*(GMWQ!$LP$2:$LP$60=R$4)*(GMWQ!$LR$2:$LR$60=R$1),0),$B26-1966)</f>
        <v>1E-3</v>
      </c>
      <c r="S26" s="7" cm="1">
        <f t="array" ref="S26">INDEX(GMWQ!$A$2:$LR$60,MATCH(1,(GMWQ!$LQ$2:$LQ$60=S$3)*(GMWQ!$LP$2:$LP$60=S$4)*(GMWQ!$LR$2:$LR$60=S$1),0),$B26-1966)</f>
        <v>332</v>
      </c>
      <c r="T26" s="7" cm="1">
        <f t="array" ref="T26">INDEX(GMWQ!$A$2:$LR$60,MATCH(1,(GMWQ!$LQ$2:$LQ$60=T$3)*(GMWQ!$LP$2:$LP$60=T$4)*(GMWQ!$LR$2:$LR$60=T$1),0),$B26-1966)</f>
        <v>1E-3</v>
      </c>
      <c r="U26" s="7" cm="1">
        <f t="array" ref="U26">INDEX(GMWQ!$A$2:$LR$60,MATCH(1,(GMWQ!$LQ$2:$LQ$60=U$3)*(GMWQ!$LP$2:$LP$60=U$4)*(GMWQ!$LR$2:$LR$60=U$1),0),$B26-1966)</f>
        <v>0</v>
      </c>
      <c r="V26" s="7" cm="1">
        <f t="array" ref="V26">INDEX(GMWQ!$A$2:$LR$60,MATCH(1,(GMWQ!$LQ$2:$LQ$60=V$3)*(GMWQ!$LP$2:$LP$60=V$4)*(GMWQ!$LR$2:$LR$60=V$1),0),$B26-1966)</f>
        <v>1E-3</v>
      </c>
      <c r="W26" s="7" cm="1">
        <f t="array" ref="W26">INDEX(GMWQ!$A$2:$LR$60,MATCH(1,(GMWQ!$LQ$2:$LQ$60=W$3)*(GMWQ!$LP$2:$LP$60=W$4)*(GMWQ!$LR$2:$LR$60=W$1),0),$B26-1966)</f>
        <v>3.3463959999999999</v>
      </c>
      <c r="X26" s="7" cm="1">
        <f t="array" ref="X26">INDEX(GMWQ!$A$2:$LR$60,MATCH(1,(GMWQ!$LQ$2:$LQ$60=X$3)*(GMWQ!$LP$2:$LP$60=X$4)*(GMWQ!$LR$2:$LR$60=X$1),0),$B26-1966)</f>
        <v>730125.6</v>
      </c>
      <c r="Y26" s="7" cm="1">
        <f t="array" ref="Y26">INDEX(GMWQ!$A$2:$LR$60,MATCH(1,(GMWQ!$LQ$2:$LQ$60=Y$3)*(GMWQ!$LP$2:$LP$60=Y$4)*(GMWQ!$LR$2:$LR$60=Y$1),0),$B26-1966)</f>
        <v>18.403420000000001</v>
      </c>
      <c r="Z26" s="7" cm="1">
        <f t="array" ref="Z26">INDEX(GMWQ!$A$2:$LR$60,MATCH(1,(GMWQ!$LQ$2:$LQ$60=Z$3)*(GMWQ!$LP$2:$LP$60=Z$4)*(GMWQ!$LR$2:$LR$60=Z$1),0),$B26-1966)</f>
        <v>231270.1</v>
      </c>
      <c r="AA26" s="7" cm="1">
        <f t="array" ref="AA26">INDEX(GMWQ!$A$2:$LR$60,MATCH(1,(GMWQ!$LQ$2:$LQ$60=AA$3)*(GMWQ!$LP$2:$LP$60=AA$4)*(GMWQ!$LR$2:$LR$60=AA$1),0),$B26-1966)</f>
        <v>16198</v>
      </c>
      <c r="AB26" s="7" cm="1">
        <f t="array" ref="AB26">INDEX(GMWQ!$A$2:$LR$60,MATCH(1,(GMWQ!$LQ$2:$LQ$60=AB$3)*(GMWQ!$LP$2:$LP$60=AB$4)*(GMWQ!$LR$2:$LR$60=AB$1),0),$B26-1966)</f>
        <v>14415</v>
      </c>
      <c r="AC26" s="7" cm="1">
        <f t="array" ref="AC26">INDEX(GMWQ!$A$2:$LR$60,MATCH(1,(GMWQ!$LQ$2:$LQ$60=AC$3)*(GMWQ!$LP$2:$LP$60=AC$4)*(GMWQ!$LR$2:$LR$60=AC$1),0),$B26-1966)</f>
        <v>1269</v>
      </c>
      <c r="AD26" s="7" cm="1">
        <f t="array" ref="AD26">INDEX(GMWQ!$A$2:$LR$60,MATCH(1,(GMWQ!$LQ$2:$LQ$60=AD$3)*(GMWQ!$LP$2:$LP$60=AD$4)*(GMWQ!$LR$2:$LR$60=AD$1),0),$B26-1966)</f>
        <v>1885</v>
      </c>
      <c r="AE26" s="7" cm="1">
        <f t="array" ref="AE26">INDEX(GMWQ!$A$2:$LR$60,MATCH(1,(GMWQ!$LQ$2:$LQ$60=AE$3)*(GMWQ!$LP$2:$LP$60=AE$4)*(GMWQ!$LR$2:$LR$60=AE$1),0),$B26-1966)</f>
        <v>42165</v>
      </c>
      <c r="AF26" s="20" cm="1">
        <f t="array" ref="AF26">INDEX(GMWQ!$A$2:$LR$60,MATCH(1,(GMWQ!$LQ$2:$LQ$60=AF$3)*(GMWQ!$LP$2:$LP$60=AF$4)*(GMWQ!$LR$2:$LR$60=AF$1),0),$B26-1966)</f>
        <v>5.8846150000000002</v>
      </c>
      <c r="AG26" s="20" cm="1">
        <f t="array" ref="AG26">INDEX(GMWQ!$A$2:$LR$60,MATCH(1,(GMWQ!$LQ$2:$LQ$60=AG$3)*(GMWQ!$LP$2:$LP$60=AG$4)*(GMWQ!$LR$2:$LR$60=AG$1),0),$B26-1966)</f>
        <v>-205.13489999999999</v>
      </c>
      <c r="AI26" s="23" cm="1">
        <f t="array" ref="AI26">INDEX(GMWQ!$A$2:$LR$60,MATCH(1,(GMWQ!$LQ$2:$LQ$60=AI$3)*(GMWQ!$LP$2:$LP$60=AI$4)*(GMWQ!$LR$2:$LR$60=AI$1),0),$B26-1966)</f>
        <v>26940</v>
      </c>
      <c r="AJ26" s="23" cm="1">
        <f t="array" ref="AJ26">INDEX(GMWQ!$A$2:$LR$60,MATCH(1,(GMWQ!$LQ$2:$LQ$60=AJ$3)*(GMWQ!$LP$2:$LP$60=AJ$4)*(GMWQ!$LR$2:$LR$60=AJ$1),0),$B26-1966)</f>
        <v>21.35981</v>
      </c>
      <c r="AK26" s="23" cm="1">
        <f t="array" ref="AK26">INDEX(GMWQ!$A$2:$LR$60,MATCH(1,(GMWQ!$LQ$2:$LQ$60=AK$3)*(GMWQ!$LP$2:$LP$60=AK$4)*(GMWQ!$LR$2:$LR$60=AK$1),0),$B26-1966)</f>
        <v>19532</v>
      </c>
      <c r="AL26" s="23" cm="1">
        <f t="array" ref="AL26">INDEX(GMWQ!$A$2:$LR$60,MATCH(1,(GMWQ!$LQ$2:$LQ$60=AL$3)*(GMWQ!$LP$2:$LP$60=AL$4)*(GMWQ!$LR$2:$LR$60=AL$1),0),$B26-1966)</f>
        <v>882.3682</v>
      </c>
      <c r="AM26" s="23" cm="1">
        <f t="array" ref="AM26">INDEX(GMWQ!$A$2:$LR$60,MATCH(1,(GMWQ!$LQ$2:$LQ$60=AM$3)*(GMWQ!$LP$2:$LP$60=AM$4)*(GMWQ!$LR$2:$LR$60=AM$1),0),$B26-1966)</f>
        <v>22135.88</v>
      </c>
      <c r="AN26" s="23" cm="1">
        <f t="array" ref="AN26">INDEX(GMWQ!$A$2:$LR$60,MATCH(1,(GMWQ!$LQ$2:$LQ$60=AN$3)*(GMWQ!$LP$2:$LP$60=AN$4)*(GMWQ!$LR$2:$LR$60=AN$1),0),$B26-1966)</f>
        <v>4109.5730000000003</v>
      </c>
      <c r="AO26" s="23" cm="1">
        <f t="array" ref="AO26">INDEX(GMWQ!$A$2:$LR$60,MATCH(1,(GMWQ!$LQ$2:$LQ$60=AO$3)*(GMWQ!$LP$2:$LP$60=AO$4)*(GMWQ!$LR$2:$LR$60=AO$1),0),$B26-1966)</f>
        <v>1052.6849999999999</v>
      </c>
      <c r="AP26" s="23" cm="1">
        <f t="array" ref="AP26">INDEX(GMWQ!$A$2:$LR$60,MATCH(1,(GMWQ!$LQ$2:$LQ$60=AP$3)*(GMWQ!$LP$2:$LP$60=AP$4)*(GMWQ!$LR$2:$LR$60=AP$1),0),$B26-1966)</f>
        <v>-205.13489999999999</v>
      </c>
      <c r="AQ26" s="23" cm="1">
        <f t="array" ref="AQ26">INDEX(GMWQ!$A$2:$LR$60,MATCH(1,(GMWQ!$LQ$2:$LQ$60=AQ$3)*(GMWQ!$LP$2:$LP$60=AQ$4)*(GMWQ!$LR$2:$LR$60=AQ$1),0),$B26-1966)</f>
        <v>4034.5450000000001</v>
      </c>
      <c r="AR26" s="23" cm="1">
        <f t="array" ref="AR26">INDEX(GMWQ!$A$2:$LR$60,MATCH(1,(GMWQ!$LQ$2:$LQ$60=AR$3)*(GMWQ!$LP$2:$LP$60=AR$4)*(GMWQ!$LR$2:$LR$60=AR$1),0),$B26-1966)</f>
        <v>24919</v>
      </c>
      <c r="AS26" s="23" cm="1">
        <f t="array" ref="AS26">INDEX(GMWQ!$A$2:$LR$60,MATCH(1,(GMWQ!$LQ$2:$LQ$60=AS$3)*(GMWQ!$LP$2:$LP$60=AS$4)*(GMWQ!$LR$2:$LR$60=AS$1),0),$B26-1966)</f>
        <v>403</v>
      </c>
      <c r="AT26" s="23" cm="1">
        <f t="array" ref="AT26">INDEX(GMWQ!$A$2:$LR$60,MATCH(1,(GMWQ!$LQ$2:$LQ$60=AT$3)*(GMWQ!$LP$2:$LP$60=AT$4)*(GMWQ!$LR$2:$LR$60=AT$1),0),$B26-1966)</f>
        <v>116663</v>
      </c>
      <c r="AU26" s="23" cm="1">
        <f t="array" ref="AU26">INDEX(GMWQ!$A$2:$LR$60,MATCH(1,(GMWQ!$LQ$2:$LQ$60=AU$3)*(GMWQ!$LP$2:$LP$60=AU$4)*(GMWQ!$LR$2:$LR$60=AU$1),0),$B26-1966)</f>
        <v>3269</v>
      </c>
    </row>
    <row r="27" spans="1:47" x14ac:dyDescent="0.35">
      <c r="A27" s="7">
        <v>1978</v>
      </c>
      <c r="B27" s="7">
        <f t="shared" si="1"/>
        <v>1993</v>
      </c>
      <c r="C27" s="7" cm="1">
        <f t="array" ref="C27">INDEX(GMWQ!$A$2:$LR$60,MATCH(1,(GMWQ!$LQ$2:$LQ$60=C$3)*(GMWQ!$LP$2:$LP$60=C$4)*(GMWQ!$LR$2:$LR$60=C$1),0),$B27-1966)</f>
        <v>231258</v>
      </c>
      <c r="D27" s="7" cm="1">
        <f t="array" ref="D27">INDEX(GMWQ!$A$2:$LR$60,MATCH(1,(GMWQ!$LQ$2:$LQ$60=D$3)*(GMWQ!$LP$2:$LP$60=D$4)*(GMWQ!$LR$2:$LR$60=D$1),0),$B27-1966)</f>
        <v>37.643259999999998</v>
      </c>
      <c r="E27" s="7" cm="1">
        <f t="array" ref="E27">INDEX(GMWQ!$A$2:$LR$60,MATCH(1,(GMWQ!$LQ$2:$LQ$60=E$3)*(GMWQ!$LP$2:$LP$60=E$4)*(GMWQ!$LR$2:$LR$60=E$1),0),$B27-1966)</f>
        <v>24.452780000000001</v>
      </c>
      <c r="F27" s="7" cm="1">
        <f t="array" ref="F27">INDEX(GMWQ!$A$2:$LR$60,MATCH(1,(GMWQ!$LQ$2:$LQ$60=F$3)*(GMWQ!$LP$2:$LP$60=F$4)*(GMWQ!$LR$2:$LR$60=F$1),0),$B27-1966)</f>
        <v>20334</v>
      </c>
      <c r="G27" s="7" cm="1">
        <f t="array" ref="G27">INDEX(GMWQ!$A$2:$LR$60,MATCH(1,(GMWQ!$LQ$2:$LQ$60=G$3)*(GMWQ!$LP$2:$LP$60=G$4)*(GMWQ!$LR$2:$LR$60=G$1),0),$B27-1966)</f>
        <v>4647.625</v>
      </c>
      <c r="H27" s="7" cm="1">
        <f t="array" ref="H27">INDEX(GMWQ!$A$2:$LR$60,MATCH(1,(GMWQ!$LQ$2:$LQ$60=H$3)*(GMWQ!$LP$2:$LP$60=H$4)*(GMWQ!$LR$2:$LR$60=H$1),0),$B27-1966)</f>
        <v>1074.8579999999999</v>
      </c>
      <c r="I27" s="7" cm="1">
        <f t="array" ref="I27">INDEX(GMWQ!$A$2:$LR$60,MATCH(1,(GMWQ!$LQ$2:$LQ$60=I$3)*(GMWQ!$LP$2:$LP$60=I$4)*(GMWQ!$LR$2:$LR$60=I$1),0),$B27-1966)</f>
        <v>22.043700000000001</v>
      </c>
      <c r="J27" s="7" cm="1">
        <f t="array" ref="J27">INDEX(GMWQ!$A$2:$LR$60,MATCH(1,(GMWQ!$LQ$2:$LQ$60=J$3)*(GMWQ!$LP$2:$LP$60=J$4)*(GMWQ!$LR$2:$LR$60=J$1),0),$B27-1966)</f>
        <v>22211.17</v>
      </c>
      <c r="K27" s="7" cm="1">
        <f t="array" ref="K27">INDEX(GMWQ!$A$2:$LR$60,MATCH(1,(GMWQ!$LQ$2:$LQ$60=K$3)*(GMWQ!$LP$2:$LP$60=K$4)*(GMWQ!$LR$2:$LR$60=K$1),0),$B27-1966)</f>
        <v>6.5</v>
      </c>
      <c r="L27" s="7" cm="1">
        <f t="array" ref="L27">INDEX(GMWQ!$A$2:$LR$60,MATCH(1,(GMWQ!$LQ$2:$LQ$60=L$3)*(GMWQ!$LP$2:$LP$60=L$4)*(GMWQ!$LR$2:$LR$60=L$1),0),$B27-1966)</f>
        <v>5.6</v>
      </c>
      <c r="M27" s="7" cm="1">
        <f t="array" ref="M27">INDEX(GMWQ!$A$2:$LR$60,MATCH(1,(GMWQ!$LQ$2:$LQ$60=M$3)*(GMWQ!$LP$2:$LP$60=M$4)*(GMWQ!$LR$2:$LR$60=M$1),0),$B27-1966)</f>
        <v>6.2426409999999999</v>
      </c>
      <c r="N27" s="7" cm="1">
        <f t="array" ref="N27">INDEX(GMWQ!$A$2:$LR$60,MATCH(1,(GMWQ!$LQ$2:$LQ$60=N$3)*(GMWQ!$LP$2:$LP$60=N$4)*(GMWQ!$LR$2:$LR$60=N$1),0),$B27-1966)</f>
        <v>1E-3</v>
      </c>
      <c r="O27" s="7" cm="1">
        <f t="array" ref="O27">INDEX(GMWQ!$A$2:$LR$60,MATCH(1,(GMWQ!$LQ$2:$LQ$60=O$3)*(GMWQ!$LP$2:$LP$60=O$4)*(GMWQ!$LR$2:$LR$60=O$1),0),$B27-1966)</f>
        <v>1E-3</v>
      </c>
      <c r="P27" s="7" cm="1">
        <f t="array" ref="P27">INDEX(GMWQ!$A$2:$LR$60,MATCH(1,(GMWQ!$LQ$2:$LQ$60=P$3)*(GMWQ!$LP$2:$LP$60=P$4)*(GMWQ!$LR$2:$LR$60=P$1),0),$B27-1966)</f>
        <v>27797</v>
      </c>
      <c r="Q27" s="7" cm="1">
        <f t="array" ref="Q27">INDEX(GMWQ!$A$2:$LR$60,MATCH(1,(GMWQ!$LQ$2:$LQ$60=Q$3)*(GMWQ!$LP$2:$LP$60=Q$4)*(GMWQ!$LR$2:$LR$60=Q$1),0),$B27-1966)</f>
        <v>8.5</v>
      </c>
      <c r="R27" s="7" cm="1">
        <f t="array" ref="R27">INDEX(GMWQ!$A$2:$LR$60,MATCH(1,(GMWQ!$LQ$2:$LQ$60=R$3)*(GMWQ!$LP$2:$LP$60=R$4)*(GMWQ!$LR$2:$LR$60=R$1),0),$B27-1966)</f>
        <v>1E-3</v>
      </c>
      <c r="S27" s="7" cm="1">
        <f t="array" ref="S27">INDEX(GMWQ!$A$2:$LR$60,MATCH(1,(GMWQ!$LQ$2:$LQ$60=S$3)*(GMWQ!$LP$2:$LP$60=S$4)*(GMWQ!$LR$2:$LR$60=S$1),0),$B27-1966)</f>
        <v>351</v>
      </c>
      <c r="T27" s="7" cm="1">
        <f t="array" ref="T27">INDEX(GMWQ!$A$2:$LR$60,MATCH(1,(GMWQ!$LQ$2:$LQ$60=T$3)*(GMWQ!$LP$2:$LP$60=T$4)*(GMWQ!$LR$2:$LR$60=T$1),0),$B27-1966)</f>
        <v>1E-3</v>
      </c>
      <c r="U27" s="7" cm="1">
        <f t="array" ref="U27">INDEX(GMWQ!$A$2:$LR$60,MATCH(1,(GMWQ!$LQ$2:$LQ$60=U$3)*(GMWQ!$LP$2:$LP$60=U$4)*(GMWQ!$LR$2:$LR$60=U$1),0),$B27-1966)</f>
        <v>0</v>
      </c>
      <c r="V27" s="7" cm="1">
        <f t="array" ref="V27">INDEX(GMWQ!$A$2:$LR$60,MATCH(1,(GMWQ!$LQ$2:$LQ$60=V$3)*(GMWQ!$LP$2:$LP$60=V$4)*(GMWQ!$LR$2:$LR$60=V$1),0),$B27-1966)</f>
        <v>1E-3</v>
      </c>
      <c r="W27" s="7" cm="1">
        <f t="array" ref="W27">INDEX(GMWQ!$A$2:$LR$60,MATCH(1,(GMWQ!$LQ$2:$LQ$60=W$3)*(GMWQ!$LP$2:$LP$60=W$4)*(GMWQ!$LR$2:$LR$60=W$1),0),$B27-1966)</f>
        <v>3.6544479999999999</v>
      </c>
      <c r="X27" s="7" cm="1">
        <f t="array" ref="X27">INDEX(GMWQ!$A$2:$LR$60,MATCH(1,(GMWQ!$LQ$2:$LQ$60=X$3)*(GMWQ!$LP$2:$LP$60=X$4)*(GMWQ!$LR$2:$LR$60=X$1),0),$B27-1966)</f>
        <v>731733.3</v>
      </c>
      <c r="Y27" s="7" cm="1">
        <f t="array" ref="Y27">INDEX(GMWQ!$A$2:$LR$60,MATCH(1,(GMWQ!$LQ$2:$LQ$60=Y$3)*(GMWQ!$LP$2:$LP$60=Y$4)*(GMWQ!$LR$2:$LR$60=Y$1),0),$B27-1966)</f>
        <v>19.08691</v>
      </c>
      <c r="Z27" s="7" cm="1">
        <f t="array" ref="Z27">INDEX(GMWQ!$A$2:$LR$60,MATCH(1,(GMWQ!$LQ$2:$LQ$60=Z$3)*(GMWQ!$LP$2:$LP$60=Z$4)*(GMWQ!$LR$2:$LR$60=Z$1),0),$B27-1966)</f>
        <v>231258</v>
      </c>
      <c r="AA27" s="7" cm="1">
        <f t="array" ref="AA27">INDEX(GMWQ!$A$2:$LR$60,MATCH(1,(GMWQ!$LQ$2:$LQ$60=AA$3)*(GMWQ!$LP$2:$LP$60=AA$4)*(GMWQ!$LR$2:$LR$60=AA$1),0),$B27-1966)</f>
        <v>17089</v>
      </c>
      <c r="AB27" s="7" cm="1">
        <f t="array" ref="AB27">INDEX(GMWQ!$A$2:$LR$60,MATCH(1,(GMWQ!$LQ$2:$LQ$60=AB$3)*(GMWQ!$LP$2:$LP$60=AB$4)*(GMWQ!$LR$2:$LR$60=AB$1),0),$B27-1966)</f>
        <v>15656</v>
      </c>
      <c r="AC27" s="7" cm="1">
        <f t="array" ref="AC27">INDEX(GMWQ!$A$2:$LR$60,MATCH(1,(GMWQ!$LQ$2:$LQ$60=AC$3)*(GMWQ!$LP$2:$LP$60=AC$4)*(GMWQ!$LR$2:$LR$60=AC$1),0),$B27-1966)</f>
        <v>1648</v>
      </c>
      <c r="AD27" s="7" cm="1">
        <f t="array" ref="AD27">INDEX(GMWQ!$A$2:$LR$60,MATCH(1,(GMWQ!$LQ$2:$LQ$60=AD$3)*(GMWQ!$LP$2:$LP$60=AD$4)*(GMWQ!$LR$2:$LR$60=AD$1),0),$B27-1966)</f>
        <v>1926</v>
      </c>
      <c r="AE27" s="7" cm="1">
        <f t="array" ref="AE27">INDEX(GMWQ!$A$2:$LR$60,MATCH(1,(GMWQ!$LQ$2:$LQ$60=AE$3)*(GMWQ!$LP$2:$LP$60=AE$4)*(GMWQ!$LR$2:$LR$60=AE$1),0),$B27-1966)</f>
        <v>44140</v>
      </c>
      <c r="AF27" s="20" cm="1">
        <f t="array" ref="AF27">INDEX(GMWQ!$A$2:$LR$60,MATCH(1,(GMWQ!$LQ$2:$LQ$60=AF$3)*(GMWQ!$LP$2:$LP$60=AF$4)*(GMWQ!$LR$2:$LR$60=AF$1),0),$B27-1966)</f>
        <v>6.538462</v>
      </c>
      <c r="AG27" s="20" cm="1">
        <f t="array" ref="AG27">INDEX(GMWQ!$A$2:$LR$60,MATCH(1,(GMWQ!$LQ$2:$LQ$60=AG$3)*(GMWQ!$LP$2:$LP$60=AG$4)*(GMWQ!$LR$2:$LR$60=AG$1),0),$B27-1966)</f>
        <v>-166.36279999999999</v>
      </c>
      <c r="AI27" s="23" cm="1">
        <f t="array" ref="AI27">INDEX(GMWQ!$A$2:$LR$60,MATCH(1,(GMWQ!$LQ$2:$LQ$60=AI$3)*(GMWQ!$LP$2:$LP$60=AI$4)*(GMWQ!$LR$2:$LR$60=AI$1),0),$B27-1966)</f>
        <v>27797</v>
      </c>
      <c r="AJ27" s="23" cm="1">
        <f t="array" ref="AJ27">INDEX(GMWQ!$A$2:$LR$60,MATCH(1,(GMWQ!$LQ$2:$LQ$60=AJ$3)*(GMWQ!$LP$2:$LP$60=AJ$4)*(GMWQ!$LR$2:$LR$60=AJ$1),0),$B27-1966)</f>
        <v>22.043700000000001</v>
      </c>
      <c r="AK27" s="23" cm="1">
        <f t="array" ref="AK27">INDEX(GMWQ!$A$2:$LR$60,MATCH(1,(GMWQ!$LQ$2:$LQ$60=AK$3)*(GMWQ!$LP$2:$LP$60=AK$4)*(GMWQ!$LR$2:$LR$60=AK$1),0),$B27-1966)</f>
        <v>20334</v>
      </c>
      <c r="AL27" s="23" cm="1">
        <f t="array" ref="AL27">INDEX(GMWQ!$A$2:$LR$60,MATCH(1,(GMWQ!$LQ$2:$LQ$60=AL$3)*(GMWQ!$LP$2:$LP$60=AL$4)*(GMWQ!$LR$2:$LR$60=AL$1),0),$B27-1966)</f>
        <v>915.48540000000003</v>
      </c>
      <c r="AM27" s="23" cm="1">
        <f t="array" ref="AM27">INDEX(GMWQ!$A$2:$LR$60,MATCH(1,(GMWQ!$LQ$2:$LQ$60=AM$3)*(GMWQ!$LP$2:$LP$60=AM$4)*(GMWQ!$LR$2:$LR$60=AM$1),0),$B27-1966)</f>
        <v>22211.17</v>
      </c>
      <c r="AN27" s="23" cm="1">
        <f t="array" ref="AN27">INDEX(GMWQ!$A$2:$LR$60,MATCH(1,(GMWQ!$LQ$2:$LQ$60=AN$3)*(GMWQ!$LP$2:$LP$60=AN$4)*(GMWQ!$LR$2:$LR$60=AN$1),0),$B27-1966)</f>
        <v>4647.625</v>
      </c>
      <c r="AO27" s="23" cm="1">
        <f t="array" ref="AO27">INDEX(GMWQ!$A$2:$LR$60,MATCH(1,(GMWQ!$LQ$2:$LQ$60=AO$3)*(GMWQ!$LP$2:$LP$60=AO$4)*(GMWQ!$LR$2:$LR$60=AO$1),0),$B27-1966)</f>
        <v>1074.8579999999999</v>
      </c>
      <c r="AP27" s="23" cm="1">
        <f t="array" ref="AP27">INDEX(GMWQ!$A$2:$LR$60,MATCH(1,(GMWQ!$LQ$2:$LQ$60=AP$3)*(GMWQ!$LP$2:$LP$60=AP$4)*(GMWQ!$LR$2:$LR$60=AP$1),0),$B27-1966)</f>
        <v>-166.36279999999999</v>
      </c>
      <c r="AQ27" s="23" cm="1">
        <f t="array" ref="AQ27">INDEX(GMWQ!$A$2:$LR$60,MATCH(1,(GMWQ!$LQ$2:$LQ$60=AQ$3)*(GMWQ!$LP$2:$LP$60=AQ$4)*(GMWQ!$LR$2:$LR$60=AQ$1),0),$B27-1966)</f>
        <v>4242.6570000000002</v>
      </c>
      <c r="AR27" s="23" cm="1">
        <f t="array" ref="AR27">INDEX(GMWQ!$A$2:$LR$60,MATCH(1,(GMWQ!$LQ$2:$LQ$60=AR$3)*(GMWQ!$LP$2:$LP$60=AR$4)*(GMWQ!$LR$2:$LR$60=AR$1),0),$B27-1966)</f>
        <v>26342</v>
      </c>
      <c r="AS27" s="23" cm="1">
        <f t="array" ref="AS27">INDEX(GMWQ!$A$2:$LR$60,MATCH(1,(GMWQ!$LQ$2:$LQ$60=AS$3)*(GMWQ!$LP$2:$LP$60=AS$4)*(GMWQ!$LR$2:$LR$60=AS$1),0),$B27-1966)</f>
        <v>405</v>
      </c>
      <c r="AT27" s="23" cm="1">
        <f t="array" ref="AT27">INDEX(GMWQ!$A$2:$LR$60,MATCH(1,(GMWQ!$LQ$2:$LQ$60=AT$3)*(GMWQ!$LP$2:$LP$60=AT$4)*(GMWQ!$LR$2:$LR$60=AT$1),0),$B27-1966)</f>
        <v>119499</v>
      </c>
      <c r="AU27" s="23" cm="1">
        <f t="array" ref="AU27">INDEX(GMWQ!$A$2:$LR$60,MATCH(1,(GMWQ!$LQ$2:$LQ$60=AU$3)*(GMWQ!$LP$2:$LP$60=AU$4)*(GMWQ!$LR$2:$LR$60=AU$1),0),$B27-1966)</f>
        <v>2976</v>
      </c>
    </row>
    <row r="28" spans="1:47" x14ac:dyDescent="0.35">
      <c r="B28" s="7">
        <f t="shared" si="1"/>
        <v>1994</v>
      </c>
      <c r="C28" s="7" cm="1">
        <f t="array" ref="C28">INDEX(GMWQ!$A$2:$LR$60,MATCH(1,(GMWQ!$LQ$2:$LQ$60=C$3)*(GMWQ!$LP$2:$LP$60=C$4)*(GMWQ!$LR$2:$LR$60=C$1),0),$B28-1966)</f>
        <v>233910</v>
      </c>
      <c r="D28" s="7" cm="1">
        <f t="array" ref="D28">INDEX(GMWQ!$A$2:$LR$60,MATCH(1,(GMWQ!$LQ$2:$LQ$60=D$3)*(GMWQ!$LP$2:$LP$60=D$4)*(GMWQ!$LR$2:$LR$60=D$1),0),$B28-1966)</f>
        <v>39.864730000000002</v>
      </c>
      <c r="E28" s="7" cm="1">
        <f t="array" ref="E28">INDEX(GMWQ!$A$2:$LR$60,MATCH(1,(GMWQ!$LQ$2:$LQ$60=E$3)*(GMWQ!$LP$2:$LP$60=E$4)*(GMWQ!$LR$2:$LR$60=E$1),0),$B28-1966)</f>
        <v>25.078440000000001</v>
      </c>
      <c r="F28" s="7" cm="1">
        <f t="array" ref="F28">INDEX(GMWQ!$A$2:$LR$60,MATCH(1,(GMWQ!$LQ$2:$LQ$60=F$3)*(GMWQ!$LP$2:$LP$60=F$4)*(GMWQ!$LR$2:$LR$60=F$1),0),$B28-1966)</f>
        <v>21257</v>
      </c>
      <c r="G28" s="7" cm="1">
        <f t="array" ref="G28">INDEX(GMWQ!$A$2:$LR$60,MATCH(1,(GMWQ!$LQ$2:$LQ$60=G$3)*(GMWQ!$LP$2:$LP$60=G$4)*(GMWQ!$LR$2:$LR$60=G$1),0),$B28-1966)</f>
        <v>5305.3540000000003</v>
      </c>
      <c r="H28" s="7" cm="1">
        <f t="array" ref="H28">INDEX(GMWQ!$A$2:$LR$60,MATCH(1,(GMWQ!$LQ$2:$LQ$60=H$3)*(GMWQ!$LP$2:$LP$60=H$4)*(GMWQ!$LR$2:$LR$60=H$1),0),$B28-1966)</f>
        <v>1004.116</v>
      </c>
      <c r="I28" s="7" cm="1">
        <f t="array" ref="I28">INDEX(GMWQ!$A$2:$LR$60,MATCH(1,(GMWQ!$LQ$2:$LQ$60=I$3)*(GMWQ!$LP$2:$LP$60=I$4)*(GMWQ!$LR$2:$LR$60=I$1),0),$B28-1966)</f>
        <v>22.540009999999999</v>
      </c>
      <c r="J28" s="7" cm="1">
        <f t="array" ref="J28">INDEX(GMWQ!$A$2:$LR$60,MATCH(1,(GMWQ!$LQ$2:$LQ$60=J$3)*(GMWQ!$LP$2:$LP$60=J$4)*(GMWQ!$LR$2:$LR$60=J$1),0),$B28-1966)</f>
        <v>22172.78</v>
      </c>
      <c r="K28" s="7" cm="1">
        <f t="array" ref="K28">INDEX(GMWQ!$A$2:$LR$60,MATCH(1,(GMWQ!$LQ$2:$LQ$60=K$3)*(GMWQ!$LP$2:$LP$60=K$4)*(GMWQ!$LR$2:$LR$60=K$1),0),$B28-1966)</f>
        <v>10</v>
      </c>
      <c r="L28" s="7" cm="1">
        <f t="array" ref="L28">INDEX(GMWQ!$A$2:$LR$60,MATCH(1,(GMWQ!$LQ$2:$LQ$60=L$3)*(GMWQ!$LP$2:$LP$60=L$4)*(GMWQ!$LR$2:$LR$60=L$1),0),$B28-1966)</f>
        <v>5.6</v>
      </c>
      <c r="M28" s="7" cm="1">
        <f t="array" ref="M28">INDEX(GMWQ!$A$2:$LR$60,MATCH(1,(GMWQ!$LQ$2:$LQ$60=M$3)*(GMWQ!$LP$2:$LP$60=M$4)*(GMWQ!$LR$2:$LR$60=M$1),0),$B28-1966)</f>
        <v>6.5583939999999998</v>
      </c>
      <c r="N28" s="7" cm="1">
        <f t="array" ref="N28">INDEX(GMWQ!$A$2:$LR$60,MATCH(1,(GMWQ!$LQ$2:$LQ$60=N$3)*(GMWQ!$LP$2:$LP$60=N$4)*(GMWQ!$LR$2:$LR$60=N$1),0),$B28-1966)</f>
        <v>1E-3</v>
      </c>
      <c r="O28" s="7" cm="1">
        <f t="array" ref="O28">INDEX(GMWQ!$A$2:$LR$60,MATCH(1,(GMWQ!$LQ$2:$LQ$60=O$3)*(GMWQ!$LP$2:$LP$60=O$4)*(GMWQ!$LR$2:$LR$60=O$1),0),$B28-1966)</f>
        <v>1E-3</v>
      </c>
      <c r="P28" s="7" cm="1">
        <f t="array" ref="P28">INDEX(GMWQ!$A$2:$LR$60,MATCH(1,(GMWQ!$LQ$2:$LQ$60=P$3)*(GMWQ!$LP$2:$LP$60=P$4)*(GMWQ!$LR$2:$LR$60=P$1),0),$B28-1966)</f>
        <v>29144</v>
      </c>
      <c r="Q28" s="7" cm="1">
        <f t="array" ref="Q28">INDEX(GMWQ!$A$2:$LR$60,MATCH(1,(GMWQ!$LQ$2:$LQ$60=Q$3)*(GMWQ!$LP$2:$LP$60=Q$4)*(GMWQ!$LR$2:$LR$60=Q$1),0),$B28-1966)</f>
        <v>8.5</v>
      </c>
      <c r="R28" s="7" cm="1">
        <f t="array" ref="R28">INDEX(GMWQ!$A$2:$LR$60,MATCH(1,(GMWQ!$LQ$2:$LQ$60=R$3)*(GMWQ!$LP$2:$LP$60=R$4)*(GMWQ!$LR$2:$LR$60=R$1),0),$B28-1966)</f>
        <v>1E-3</v>
      </c>
      <c r="S28" s="7" cm="1">
        <f t="array" ref="S28">INDEX(GMWQ!$A$2:$LR$60,MATCH(1,(GMWQ!$LQ$2:$LQ$60=S$3)*(GMWQ!$LP$2:$LP$60=S$4)*(GMWQ!$LR$2:$LR$60=S$1),0),$B28-1966)</f>
        <v>356</v>
      </c>
      <c r="T28" s="7" cm="1">
        <f t="array" ref="T28">INDEX(GMWQ!$A$2:$LR$60,MATCH(1,(GMWQ!$LQ$2:$LQ$60=T$3)*(GMWQ!$LP$2:$LP$60=T$4)*(GMWQ!$LR$2:$LR$60=T$1),0),$B28-1966)</f>
        <v>1E-3</v>
      </c>
      <c r="U28" s="7" cm="1">
        <f t="array" ref="U28">INDEX(GMWQ!$A$2:$LR$60,MATCH(1,(GMWQ!$LQ$2:$LQ$60=U$3)*(GMWQ!$LP$2:$LP$60=U$4)*(GMWQ!$LR$2:$LR$60=U$1),0),$B28-1966)</f>
        <v>0</v>
      </c>
      <c r="V28" s="7" cm="1">
        <f t="array" ref="V28">INDEX(GMWQ!$A$2:$LR$60,MATCH(1,(GMWQ!$LQ$2:$LQ$60=V$3)*(GMWQ!$LP$2:$LP$60=V$4)*(GMWQ!$LR$2:$LR$60=V$1),0),$B28-1966)</f>
        <v>1E-3</v>
      </c>
      <c r="W28" s="7" cm="1">
        <f t="array" ref="W28">INDEX(GMWQ!$A$2:$LR$60,MATCH(1,(GMWQ!$LQ$2:$LQ$60=W$3)*(GMWQ!$LP$2:$LP$60=W$4)*(GMWQ!$LR$2:$LR$60=W$1),0),$B28-1966)</f>
        <v>5.1189629999999999</v>
      </c>
      <c r="X28" s="7" cm="1">
        <f t="array" ref="X28">INDEX(GMWQ!$A$2:$LR$60,MATCH(1,(GMWQ!$LQ$2:$LQ$60=X$3)*(GMWQ!$LP$2:$LP$60=X$4)*(GMWQ!$LR$2:$LR$60=X$1),0),$B28-1966)</f>
        <v>750688.3</v>
      </c>
      <c r="Y28" s="7" cm="1">
        <f t="array" ref="Y28">INDEX(GMWQ!$A$2:$LR$60,MATCH(1,(GMWQ!$LQ$2:$LQ$60=Y$3)*(GMWQ!$LP$2:$LP$60=Y$4)*(GMWQ!$LR$2:$LR$60=Y$1),0),$B28-1966)</f>
        <v>19.625070000000001</v>
      </c>
      <c r="Z28" s="7" cm="1">
        <f t="array" ref="Z28">INDEX(GMWQ!$A$2:$LR$60,MATCH(1,(GMWQ!$LQ$2:$LQ$60=Z$3)*(GMWQ!$LP$2:$LP$60=Z$4)*(GMWQ!$LR$2:$LR$60=Z$1),0),$B28-1966)</f>
        <v>232352.4</v>
      </c>
      <c r="AA28" s="7" cm="1">
        <f t="array" ref="AA28">INDEX(GMWQ!$A$2:$LR$60,MATCH(1,(GMWQ!$LQ$2:$LQ$60=AA$3)*(GMWQ!$LP$2:$LP$60=AA$4)*(GMWQ!$LR$2:$LR$60=AA$1),0),$B28-1966)</f>
        <v>16564</v>
      </c>
      <c r="AB28" s="7" cm="1">
        <f t="array" ref="AB28">INDEX(GMWQ!$A$2:$LR$60,MATCH(1,(GMWQ!$LQ$2:$LQ$60=AB$3)*(GMWQ!$LP$2:$LP$60=AB$4)*(GMWQ!$LR$2:$LR$60=AB$1),0),$B28-1966)</f>
        <v>15424</v>
      </c>
      <c r="AC28" s="7" cm="1">
        <f t="array" ref="AC28">INDEX(GMWQ!$A$2:$LR$60,MATCH(1,(GMWQ!$LQ$2:$LQ$60=AC$3)*(GMWQ!$LP$2:$LP$60=AC$4)*(GMWQ!$LR$2:$LR$60=AC$1),0),$B28-1966)</f>
        <v>1058</v>
      </c>
      <c r="AD28" s="7" cm="1">
        <f t="array" ref="AD28">INDEX(GMWQ!$A$2:$LR$60,MATCH(1,(GMWQ!$LQ$2:$LQ$60=AD$3)*(GMWQ!$LP$2:$LP$60=AD$4)*(GMWQ!$LR$2:$LR$60=AD$1),0),$B28-1966)</f>
        <v>1987</v>
      </c>
      <c r="AE28" s="7" cm="1">
        <f t="array" ref="AE28">INDEX(GMWQ!$A$2:$LR$60,MATCH(1,(GMWQ!$LQ$2:$LQ$60=AE$3)*(GMWQ!$LP$2:$LP$60=AE$4)*(GMWQ!$LR$2:$LR$60=AE$1),0),$B28-1966)</f>
        <v>45905</v>
      </c>
      <c r="AF28" s="20" cm="1">
        <f t="array" ref="AF28">INDEX(GMWQ!$A$2:$LR$60,MATCH(1,(GMWQ!$LQ$2:$LQ$60=AF$3)*(GMWQ!$LP$2:$LP$60=AF$4)*(GMWQ!$LR$2:$LR$60=AF$1),0),$B28-1966)</f>
        <v>8.5576930000000004</v>
      </c>
      <c r="AG28" s="20" cm="1">
        <f t="array" ref="AG28">INDEX(GMWQ!$A$2:$LR$60,MATCH(1,(GMWQ!$LQ$2:$LQ$60=AG$3)*(GMWQ!$LP$2:$LP$60=AG$4)*(GMWQ!$LR$2:$LR$60=AG$1),0),$B28-1966)</f>
        <v>-305.786</v>
      </c>
      <c r="AI28" s="23" cm="1">
        <f t="array" ref="AI28">INDEX(GMWQ!$A$2:$LR$60,MATCH(1,(GMWQ!$LQ$2:$LQ$60=AI$3)*(GMWQ!$LP$2:$LP$60=AI$4)*(GMWQ!$LR$2:$LR$60=AI$1),0),$B28-1966)</f>
        <v>29144</v>
      </c>
      <c r="AJ28" s="23" cm="1">
        <f t="array" ref="AJ28">INDEX(GMWQ!$A$2:$LR$60,MATCH(1,(GMWQ!$LQ$2:$LQ$60=AJ$3)*(GMWQ!$LP$2:$LP$60=AJ$4)*(GMWQ!$LR$2:$LR$60=AJ$1),0),$B28-1966)</f>
        <v>22.540009999999999</v>
      </c>
      <c r="AK28" s="23" cm="1">
        <f t="array" ref="AK28">INDEX(GMWQ!$A$2:$LR$60,MATCH(1,(GMWQ!$LQ$2:$LQ$60=AK$3)*(GMWQ!$LP$2:$LP$60=AK$4)*(GMWQ!$LR$2:$LR$60=AK$1),0),$B28-1966)</f>
        <v>21257</v>
      </c>
      <c r="AL28" s="23" cm="1">
        <f t="array" ref="AL28">INDEX(GMWQ!$A$2:$LR$60,MATCH(1,(GMWQ!$LQ$2:$LQ$60=AL$3)*(GMWQ!$LP$2:$LP$60=AL$4)*(GMWQ!$LR$2:$LR$60=AL$1),0),$B28-1966)</f>
        <v>958.6979</v>
      </c>
      <c r="AM28" s="23" cm="1">
        <f t="array" ref="AM28">INDEX(GMWQ!$A$2:$LR$60,MATCH(1,(GMWQ!$LQ$2:$LQ$60=AM$3)*(GMWQ!$LP$2:$LP$60=AM$4)*(GMWQ!$LR$2:$LR$60=AM$1),0),$B28-1966)</f>
        <v>22172.78</v>
      </c>
      <c r="AN28" s="23" cm="1">
        <f t="array" ref="AN28">INDEX(GMWQ!$A$2:$LR$60,MATCH(1,(GMWQ!$LQ$2:$LQ$60=AN$3)*(GMWQ!$LP$2:$LP$60=AN$4)*(GMWQ!$LR$2:$LR$60=AN$1),0),$B28-1966)</f>
        <v>5305.3540000000003</v>
      </c>
      <c r="AO28" s="23" cm="1">
        <f t="array" ref="AO28">INDEX(GMWQ!$A$2:$LR$60,MATCH(1,(GMWQ!$LQ$2:$LQ$60=AO$3)*(GMWQ!$LP$2:$LP$60=AO$4)*(GMWQ!$LR$2:$LR$60=AO$1),0),$B28-1966)</f>
        <v>1004.116</v>
      </c>
      <c r="AP28" s="23" cm="1">
        <f t="array" ref="AP28">INDEX(GMWQ!$A$2:$LR$60,MATCH(1,(GMWQ!$LQ$2:$LQ$60=AP$3)*(GMWQ!$LP$2:$LP$60=AP$4)*(GMWQ!$LR$2:$LR$60=AP$1),0),$B28-1966)</f>
        <v>-305.786</v>
      </c>
      <c r="AQ28" s="23" cm="1">
        <f t="array" ref="AQ28">INDEX(GMWQ!$A$2:$LR$60,MATCH(1,(GMWQ!$LQ$2:$LQ$60=AQ$3)*(GMWQ!$LP$2:$LP$60=AQ$4)*(GMWQ!$LR$2:$LR$60=AQ$1),0),$B28-1966)</f>
        <v>4409.5479999999998</v>
      </c>
      <c r="AR28" s="23" cm="1">
        <f t="array" ref="AR28">INDEX(GMWQ!$A$2:$LR$60,MATCH(1,(GMWQ!$LQ$2:$LQ$60=AR$3)*(GMWQ!$LP$2:$LP$60=AR$4)*(GMWQ!$LR$2:$LR$60=AR$1),0),$B28-1966)</f>
        <v>26858</v>
      </c>
      <c r="AS28" s="23" cm="1">
        <f t="array" ref="AS28">INDEX(GMWQ!$A$2:$LR$60,MATCH(1,(GMWQ!$LQ$2:$LQ$60=AS$3)*(GMWQ!$LP$2:$LP$60=AS$4)*(GMWQ!$LR$2:$LR$60=AS$1),0),$B28-1966)</f>
        <v>428</v>
      </c>
      <c r="AT28" s="23" cm="1">
        <f t="array" ref="AT28">INDEX(GMWQ!$A$2:$LR$60,MATCH(1,(GMWQ!$LQ$2:$LQ$60=AT$3)*(GMWQ!$LP$2:$LP$60=AT$4)*(GMWQ!$LR$2:$LR$60=AT$1),0),$B28-1966)</f>
        <v>119157</v>
      </c>
      <c r="AU28" s="23" cm="1">
        <f t="array" ref="AU28">INDEX(GMWQ!$A$2:$LR$60,MATCH(1,(GMWQ!$LQ$2:$LQ$60=AU$3)*(GMWQ!$LP$2:$LP$60=AU$4)*(GMWQ!$LR$2:$LR$60=AU$1),0),$B28-1966)</f>
        <v>3668</v>
      </c>
    </row>
    <row r="29" spans="1:47" x14ac:dyDescent="0.35">
      <c r="B29" s="7">
        <f t="shared" si="1"/>
        <v>1995</v>
      </c>
      <c r="C29" s="7" cm="1">
        <f t="array" ref="C29">INDEX(GMWQ!$A$2:$LR$60,MATCH(1,(GMWQ!$LQ$2:$LQ$60=C$3)*(GMWQ!$LP$2:$LP$60=C$4)*(GMWQ!$LR$2:$LR$60=C$1),0),$B29-1966)</f>
        <v>237107</v>
      </c>
      <c r="D29" s="7" cm="1">
        <f t="array" ref="D29">INDEX(GMWQ!$A$2:$LR$60,MATCH(1,(GMWQ!$LQ$2:$LQ$60=D$3)*(GMWQ!$LP$2:$LP$60=D$4)*(GMWQ!$LR$2:$LR$60=D$1),0),$B29-1966)</f>
        <v>42.09901</v>
      </c>
      <c r="E29" s="7" cm="1">
        <f t="array" ref="E29">INDEX(GMWQ!$A$2:$LR$60,MATCH(1,(GMWQ!$LQ$2:$LQ$60=E$3)*(GMWQ!$LP$2:$LP$60=E$4)*(GMWQ!$LR$2:$LR$60=E$1),0),$B29-1966)</f>
        <v>25.469480000000001</v>
      </c>
      <c r="F29" s="7" cm="1">
        <f t="array" ref="F29">INDEX(GMWQ!$A$2:$LR$60,MATCH(1,(GMWQ!$LQ$2:$LQ$60=F$3)*(GMWQ!$LP$2:$LP$60=F$4)*(GMWQ!$LR$2:$LR$60=F$1),0),$B29-1966)</f>
        <v>21798</v>
      </c>
      <c r="G29" s="7" cm="1">
        <f t="array" ref="G29">INDEX(GMWQ!$A$2:$LR$60,MATCH(1,(GMWQ!$LQ$2:$LQ$60=G$3)*(GMWQ!$LP$2:$LP$60=G$4)*(GMWQ!$LR$2:$LR$60=G$1),0),$B29-1966)</f>
        <v>4553.6639999999998</v>
      </c>
      <c r="H29" s="7" cm="1">
        <f t="array" ref="H29">INDEX(GMWQ!$A$2:$LR$60,MATCH(1,(GMWQ!$LQ$2:$LQ$60=H$3)*(GMWQ!$LP$2:$LP$60=H$4)*(GMWQ!$LR$2:$LR$60=H$1),0),$B29-1966)</f>
        <v>1063.2439999999999</v>
      </c>
      <c r="I29" s="7" cm="1">
        <f t="array" ref="I29">INDEX(GMWQ!$A$2:$LR$60,MATCH(1,(GMWQ!$LQ$2:$LQ$60=I$3)*(GMWQ!$LP$2:$LP$60=I$4)*(GMWQ!$LR$2:$LR$60=I$1),0),$B29-1966)</f>
        <v>22.957049999999999</v>
      </c>
      <c r="J29" s="7" cm="1">
        <f t="array" ref="J29">INDEX(GMWQ!$A$2:$LR$60,MATCH(1,(GMWQ!$LQ$2:$LQ$60=J$3)*(GMWQ!$LP$2:$LP$60=J$4)*(GMWQ!$LR$2:$LR$60=J$1),0),$B29-1966)</f>
        <v>22261.89</v>
      </c>
      <c r="K29" s="7" cm="1">
        <f t="array" ref="K29">INDEX(GMWQ!$A$2:$LR$60,MATCH(1,(GMWQ!$LQ$2:$LQ$60=K$3)*(GMWQ!$LP$2:$LP$60=K$4)*(GMWQ!$LR$2:$LR$60=K$1),0),$B29-1966)</f>
        <v>10</v>
      </c>
      <c r="L29" s="7" cm="1">
        <f t="array" ref="L29">INDEX(GMWQ!$A$2:$LR$60,MATCH(1,(GMWQ!$LQ$2:$LQ$60=L$3)*(GMWQ!$LP$2:$LP$60=L$4)*(GMWQ!$LR$2:$LR$60=L$1),0),$B29-1966)</f>
        <v>5.5</v>
      </c>
      <c r="M29" s="7" cm="1">
        <f t="array" ref="M29">INDEX(GMWQ!$A$2:$LR$60,MATCH(1,(GMWQ!$LQ$2:$LQ$60=M$3)*(GMWQ!$LP$2:$LP$60=M$4)*(GMWQ!$LR$2:$LR$60=M$1),0),$B29-1966)</f>
        <v>7.0022460000000004</v>
      </c>
      <c r="N29" s="7" cm="1">
        <f t="array" ref="N29">INDEX(GMWQ!$A$2:$LR$60,MATCH(1,(GMWQ!$LQ$2:$LQ$60=N$3)*(GMWQ!$LP$2:$LP$60=N$4)*(GMWQ!$LR$2:$LR$60=N$1),0),$B29-1966)</f>
        <v>1E-3</v>
      </c>
      <c r="O29" s="7" cm="1">
        <f t="array" ref="O29">INDEX(GMWQ!$A$2:$LR$60,MATCH(1,(GMWQ!$LQ$2:$LQ$60=O$3)*(GMWQ!$LP$2:$LP$60=O$4)*(GMWQ!$LR$2:$LR$60=O$1),0),$B29-1966)</f>
        <v>1E-3</v>
      </c>
      <c r="P29" s="7" cm="1">
        <f t="array" ref="P29">INDEX(GMWQ!$A$2:$LR$60,MATCH(1,(GMWQ!$LQ$2:$LQ$60=P$3)*(GMWQ!$LP$2:$LP$60=P$4)*(GMWQ!$LR$2:$LR$60=P$1),0),$B29-1966)</f>
        <v>30465</v>
      </c>
      <c r="Q29" s="7" cm="1">
        <f t="array" ref="Q29">INDEX(GMWQ!$A$2:$LR$60,MATCH(1,(GMWQ!$LQ$2:$LQ$60=Q$3)*(GMWQ!$LP$2:$LP$60=Q$4)*(GMWQ!$LR$2:$LR$60=Q$1),0),$B29-1966)</f>
        <v>9.75</v>
      </c>
      <c r="R29" s="7" cm="1">
        <f t="array" ref="R29">INDEX(GMWQ!$A$2:$LR$60,MATCH(1,(GMWQ!$LQ$2:$LQ$60=R$3)*(GMWQ!$LP$2:$LP$60=R$4)*(GMWQ!$LR$2:$LR$60=R$1),0),$B29-1966)</f>
        <v>1E-3</v>
      </c>
      <c r="S29" s="7" cm="1">
        <f t="array" ref="S29">INDEX(GMWQ!$A$2:$LR$60,MATCH(1,(GMWQ!$LQ$2:$LQ$60=S$3)*(GMWQ!$LP$2:$LP$60=S$4)*(GMWQ!$LR$2:$LR$60=S$1),0),$B29-1966)</f>
        <v>338</v>
      </c>
      <c r="T29" s="7" cm="1">
        <f t="array" ref="T29">INDEX(GMWQ!$A$2:$LR$60,MATCH(1,(GMWQ!$LQ$2:$LQ$60=T$3)*(GMWQ!$LP$2:$LP$60=T$4)*(GMWQ!$LR$2:$LR$60=T$1),0),$B29-1966)</f>
        <v>1E-3</v>
      </c>
      <c r="U29" s="7" cm="1">
        <f t="array" ref="U29">INDEX(GMWQ!$A$2:$LR$60,MATCH(1,(GMWQ!$LQ$2:$LQ$60=U$3)*(GMWQ!$LP$2:$LP$60=U$4)*(GMWQ!$LR$2:$LR$60=U$1),0),$B29-1966)</f>
        <v>0</v>
      </c>
      <c r="V29" s="7" cm="1">
        <f t="array" ref="V29">INDEX(GMWQ!$A$2:$LR$60,MATCH(1,(GMWQ!$LQ$2:$LQ$60=V$3)*(GMWQ!$LP$2:$LP$60=V$4)*(GMWQ!$LR$2:$LR$60=V$1),0),$B29-1966)</f>
        <v>1E-3</v>
      </c>
      <c r="W29" s="7" cm="1">
        <f t="array" ref="W29">INDEX(GMWQ!$A$2:$LR$60,MATCH(1,(GMWQ!$LQ$2:$LQ$60=W$3)*(GMWQ!$LP$2:$LP$60=W$4)*(GMWQ!$LR$2:$LR$60=W$1),0),$B29-1966)</f>
        <v>5.3099350000000003</v>
      </c>
      <c r="X29" s="7" cm="1">
        <f t="array" ref="X29">INDEX(GMWQ!$A$2:$LR$60,MATCH(1,(GMWQ!$LQ$2:$LQ$60=X$3)*(GMWQ!$LP$2:$LP$60=X$4)*(GMWQ!$LR$2:$LR$60=X$1),0),$B29-1966)</f>
        <v>769643.3</v>
      </c>
      <c r="Y29" s="7" cm="1">
        <f t="array" ref="Y29">INDEX(GMWQ!$A$2:$LR$60,MATCH(1,(GMWQ!$LQ$2:$LQ$60=Y$3)*(GMWQ!$LP$2:$LP$60=Y$4)*(GMWQ!$LR$2:$LR$60=Y$1),0),$B29-1966)</f>
        <v>19.909579999999998</v>
      </c>
      <c r="Z29" s="7" cm="1">
        <f t="array" ref="Z29">INDEX(GMWQ!$A$2:$LR$60,MATCH(1,(GMWQ!$LQ$2:$LQ$60=Z$3)*(GMWQ!$LP$2:$LP$60=Z$4)*(GMWQ!$LR$2:$LR$60=Z$1),0),$B29-1966)</f>
        <v>233500.5</v>
      </c>
      <c r="AA29" s="7" cm="1">
        <f t="array" ref="AA29">INDEX(GMWQ!$A$2:$LR$60,MATCH(1,(GMWQ!$LQ$2:$LQ$60=AA$3)*(GMWQ!$LP$2:$LP$60=AA$4)*(GMWQ!$LR$2:$LR$60=AA$1),0),$B29-1966)</f>
        <v>16684</v>
      </c>
      <c r="AB29" s="7" cm="1">
        <f t="array" ref="AB29">INDEX(GMWQ!$A$2:$LR$60,MATCH(1,(GMWQ!$LQ$2:$LQ$60=AB$3)*(GMWQ!$LP$2:$LP$60=AB$4)*(GMWQ!$LR$2:$LR$60=AB$1),0),$B29-1966)</f>
        <v>16062</v>
      </c>
      <c r="AC29" s="7" cm="1">
        <f t="array" ref="AC29">INDEX(GMWQ!$A$2:$LR$60,MATCH(1,(GMWQ!$LQ$2:$LQ$60=AC$3)*(GMWQ!$LP$2:$LP$60=AC$4)*(GMWQ!$LR$2:$LR$60=AC$1),0),$B29-1966)</f>
        <v>1278</v>
      </c>
      <c r="AD29" s="7" cm="1">
        <f t="array" ref="AD29">INDEX(GMWQ!$A$2:$LR$60,MATCH(1,(GMWQ!$LQ$2:$LQ$60=AD$3)*(GMWQ!$LP$2:$LP$60=AD$4)*(GMWQ!$LR$2:$LR$60=AD$1),0),$B29-1966)</f>
        <v>2054</v>
      </c>
      <c r="AE29" s="7" cm="1">
        <f t="array" ref="AE29">INDEX(GMWQ!$A$2:$LR$60,MATCH(1,(GMWQ!$LQ$2:$LQ$60=AE$3)*(GMWQ!$LP$2:$LP$60=AE$4)*(GMWQ!$LR$2:$LR$60=AE$1),0),$B29-1966)</f>
        <v>47207</v>
      </c>
      <c r="AF29" s="20" cm="1">
        <f t="array" ref="AF29">INDEX(GMWQ!$A$2:$LR$60,MATCH(1,(GMWQ!$LQ$2:$LQ$60=AF$3)*(GMWQ!$LP$2:$LP$60=AF$4)*(GMWQ!$LR$2:$LR$60=AF$1),0),$B29-1966)</f>
        <v>10</v>
      </c>
      <c r="AG29" s="20" cm="1">
        <f t="array" ref="AG29">INDEX(GMWQ!$A$2:$LR$60,MATCH(1,(GMWQ!$LQ$2:$LQ$60=AG$3)*(GMWQ!$LP$2:$LP$60=AG$4)*(GMWQ!$LR$2:$LR$60=AG$1),0),$B29-1966)</f>
        <v>-244.94880000000001</v>
      </c>
      <c r="AI29" s="23" cm="1">
        <f t="array" ref="AI29">INDEX(GMWQ!$A$2:$LR$60,MATCH(1,(GMWQ!$LQ$2:$LQ$60=AI$3)*(GMWQ!$LP$2:$LP$60=AI$4)*(GMWQ!$LR$2:$LR$60=AI$1),0),$B29-1966)</f>
        <v>30465</v>
      </c>
      <c r="AJ29" s="23" cm="1">
        <f t="array" ref="AJ29">INDEX(GMWQ!$A$2:$LR$60,MATCH(1,(GMWQ!$LQ$2:$LQ$60=AJ$3)*(GMWQ!$LP$2:$LP$60=AJ$4)*(GMWQ!$LR$2:$LR$60=AJ$1),0),$B29-1966)</f>
        <v>22.957049999999999</v>
      </c>
      <c r="AK29" s="23" cm="1">
        <f t="array" ref="AK29">INDEX(GMWQ!$A$2:$LR$60,MATCH(1,(GMWQ!$LQ$2:$LQ$60=AK$3)*(GMWQ!$LP$2:$LP$60=AK$4)*(GMWQ!$LR$2:$LR$60=AK$1),0),$B29-1966)</f>
        <v>21798</v>
      </c>
      <c r="AL29" s="23" cm="1">
        <f t="array" ref="AL29">INDEX(GMWQ!$A$2:$LR$60,MATCH(1,(GMWQ!$LQ$2:$LQ$60=AL$3)*(GMWQ!$LP$2:$LP$60=AL$4)*(GMWQ!$LR$2:$LR$60=AL$1),0),$B29-1966)</f>
        <v>979.16189999999995</v>
      </c>
      <c r="AM29" s="23" cm="1">
        <f t="array" ref="AM29">INDEX(GMWQ!$A$2:$LR$60,MATCH(1,(GMWQ!$LQ$2:$LQ$60=AM$3)*(GMWQ!$LP$2:$LP$60=AM$4)*(GMWQ!$LR$2:$LR$60=AM$1),0),$B29-1966)</f>
        <v>22261.89</v>
      </c>
      <c r="AN29" s="23" cm="1">
        <f t="array" ref="AN29">INDEX(GMWQ!$A$2:$LR$60,MATCH(1,(GMWQ!$LQ$2:$LQ$60=AN$3)*(GMWQ!$LP$2:$LP$60=AN$4)*(GMWQ!$LR$2:$LR$60=AN$1),0),$B29-1966)</f>
        <v>4553.6639999999998</v>
      </c>
      <c r="AO29" s="23" cm="1">
        <f t="array" ref="AO29">INDEX(GMWQ!$A$2:$LR$60,MATCH(1,(GMWQ!$LQ$2:$LQ$60=AO$3)*(GMWQ!$LP$2:$LP$60=AO$4)*(GMWQ!$LR$2:$LR$60=AO$1),0),$B29-1966)</f>
        <v>1063.2439999999999</v>
      </c>
      <c r="AP29" s="23" cm="1">
        <f t="array" ref="AP29">INDEX(GMWQ!$A$2:$LR$60,MATCH(1,(GMWQ!$LQ$2:$LQ$60=AP$3)*(GMWQ!$LP$2:$LP$60=AP$4)*(GMWQ!$LR$2:$LR$60=AP$1),0),$B29-1966)</f>
        <v>-244.94880000000001</v>
      </c>
      <c r="AQ29" s="23" cm="1">
        <f t="array" ref="AQ29">INDEX(GMWQ!$A$2:$LR$60,MATCH(1,(GMWQ!$LQ$2:$LQ$60=AQ$3)*(GMWQ!$LP$2:$LP$60=AQ$4)*(GMWQ!$LR$2:$LR$60=AQ$1),0),$B29-1966)</f>
        <v>4566.3860000000004</v>
      </c>
      <c r="AR29" s="23" cm="1">
        <f t="array" ref="AR29">INDEX(GMWQ!$A$2:$LR$60,MATCH(1,(GMWQ!$LQ$2:$LQ$60=AR$3)*(GMWQ!$LP$2:$LP$60=AR$4)*(GMWQ!$LR$2:$LR$60=AR$1),0),$B29-1966)</f>
        <v>27975</v>
      </c>
      <c r="AS29" s="23" cm="1">
        <f t="array" ref="AS29">INDEX(GMWQ!$A$2:$LR$60,MATCH(1,(GMWQ!$LQ$2:$LQ$60=AS$3)*(GMWQ!$LP$2:$LP$60=AS$4)*(GMWQ!$LR$2:$LR$60=AS$1),0),$B29-1966)</f>
        <v>429</v>
      </c>
      <c r="AT29" s="23" cm="1">
        <f t="array" ref="AT29">INDEX(GMWQ!$A$2:$LR$60,MATCH(1,(GMWQ!$LQ$2:$LQ$60=AT$3)*(GMWQ!$LP$2:$LP$60=AT$4)*(GMWQ!$LR$2:$LR$60=AT$1),0),$B29-1966)</f>
        <v>121858</v>
      </c>
      <c r="AU29" s="23" cm="1">
        <f t="array" ref="AU29">INDEX(GMWQ!$A$2:$LR$60,MATCH(1,(GMWQ!$LQ$2:$LQ$60=AU$3)*(GMWQ!$LP$2:$LP$60=AU$4)*(GMWQ!$LR$2:$LR$60=AU$1),0),$B29-1966)</f>
        <v>3504</v>
      </c>
    </row>
    <row r="30" spans="1:47" x14ac:dyDescent="0.35">
      <c r="B30" s="7">
        <f t="shared" si="1"/>
        <v>1996</v>
      </c>
      <c r="C30" s="7" cm="1">
        <f t="array" ref="C30">INDEX(GMWQ!$A$2:$LR$60,MATCH(1,(GMWQ!$LQ$2:$LQ$60=C$3)*(GMWQ!$LP$2:$LP$60=C$4)*(GMWQ!$LR$2:$LR$60=C$1),0),$B30-1966)</f>
        <v>239186</v>
      </c>
      <c r="D30" s="7" cm="1">
        <f t="array" ref="D30">INDEX(GMWQ!$A$2:$LR$60,MATCH(1,(GMWQ!$LQ$2:$LQ$60=D$3)*(GMWQ!$LP$2:$LP$60=D$4)*(GMWQ!$LR$2:$LR$60=D$1),0),$B30-1966)</f>
        <v>43.30621</v>
      </c>
      <c r="E30" s="7" cm="1">
        <f t="array" ref="E30">INDEX(GMWQ!$A$2:$LR$60,MATCH(1,(GMWQ!$LQ$2:$LQ$60=E$3)*(GMWQ!$LP$2:$LP$60=E$4)*(GMWQ!$LR$2:$LR$60=E$1),0),$B30-1966)</f>
        <v>25.860510000000001</v>
      </c>
      <c r="F30" s="7" cm="1">
        <f t="array" ref="F30">INDEX(GMWQ!$A$2:$LR$60,MATCH(1,(GMWQ!$LQ$2:$LQ$60=F$3)*(GMWQ!$LP$2:$LP$60=F$4)*(GMWQ!$LR$2:$LR$60=F$1),0),$B30-1966)</f>
        <v>22479</v>
      </c>
      <c r="G30" s="7" cm="1">
        <f t="array" ref="G30">INDEX(GMWQ!$A$2:$LR$60,MATCH(1,(GMWQ!$LQ$2:$LQ$60=G$3)*(GMWQ!$LP$2:$LP$60=G$4)*(GMWQ!$LR$2:$LR$60=G$1),0),$B30-1966)</f>
        <v>4740.5969999999998</v>
      </c>
      <c r="H30" s="7" cm="1">
        <f t="array" ref="H30">INDEX(GMWQ!$A$2:$LR$60,MATCH(1,(GMWQ!$LQ$2:$LQ$60=H$3)*(GMWQ!$LP$2:$LP$60=H$4)*(GMWQ!$LR$2:$LR$60=H$1),0),$B30-1966)</f>
        <v>1114.98</v>
      </c>
      <c r="I30" s="7" cm="1">
        <f t="array" ref="I30">INDEX(GMWQ!$A$2:$LR$60,MATCH(1,(GMWQ!$LQ$2:$LQ$60=I$3)*(GMWQ!$LP$2:$LP$60=I$4)*(GMWQ!$LR$2:$LR$60=I$1),0),$B30-1966)</f>
        <v>23.745080000000002</v>
      </c>
      <c r="J30" s="7" cm="1">
        <f t="array" ref="J30">INDEX(GMWQ!$A$2:$LR$60,MATCH(1,(GMWQ!$LQ$2:$LQ$60=J$3)*(GMWQ!$LP$2:$LP$60=J$4)*(GMWQ!$LR$2:$LR$60=J$1),0),$B30-1966)</f>
        <v>22426.62</v>
      </c>
      <c r="K30" s="7" cm="1">
        <f t="array" ref="K30">INDEX(GMWQ!$A$2:$LR$60,MATCH(1,(GMWQ!$LQ$2:$LQ$60=K$3)*(GMWQ!$LP$2:$LP$60=K$4)*(GMWQ!$LR$2:$LR$60=K$1),0),$B30-1966)</f>
        <v>12.5</v>
      </c>
      <c r="L30" s="7" cm="1">
        <f t="array" ref="L30">INDEX(GMWQ!$A$2:$LR$60,MATCH(1,(GMWQ!$LQ$2:$LQ$60=L$3)*(GMWQ!$LP$2:$LP$60=L$4)*(GMWQ!$LR$2:$LR$60=L$1),0),$B30-1966)</f>
        <v>5.4</v>
      </c>
      <c r="M30" s="7" cm="1">
        <f t="array" ref="M30">INDEX(GMWQ!$A$2:$LR$60,MATCH(1,(GMWQ!$LQ$2:$LQ$60=M$3)*(GMWQ!$LP$2:$LP$60=M$4)*(GMWQ!$LR$2:$LR$60=M$1),0),$B30-1966)</f>
        <v>7.5792190000000002</v>
      </c>
      <c r="N30" s="7" cm="1">
        <f t="array" ref="N30">INDEX(GMWQ!$A$2:$LR$60,MATCH(1,(GMWQ!$LQ$2:$LQ$60=N$3)*(GMWQ!$LP$2:$LP$60=N$4)*(GMWQ!$LR$2:$LR$60=N$1),0),$B30-1966)</f>
        <v>1E-3</v>
      </c>
      <c r="O30" s="7" cm="1">
        <f t="array" ref="O30">INDEX(GMWQ!$A$2:$LR$60,MATCH(1,(GMWQ!$LQ$2:$LQ$60=O$3)*(GMWQ!$LP$2:$LP$60=O$4)*(GMWQ!$LR$2:$LR$60=O$1),0),$B30-1966)</f>
        <v>1E-3</v>
      </c>
      <c r="P30" s="7" cm="1">
        <f t="array" ref="P30">INDEX(GMWQ!$A$2:$LR$60,MATCH(1,(GMWQ!$LQ$2:$LQ$60=P$3)*(GMWQ!$LP$2:$LP$60=P$4)*(GMWQ!$LR$2:$LR$60=P$1),0),$B30-1966)</f>
        <v>31463</v>
      </c>
      <c r="Q30" s="7" cm="1">
        <f t="array" ref="Q30">INDEX(GMWQ!$A$2:$LR$60,MATCH(1,(GMWQ!$LQ$2:$LQ$60=Q$3)*(GMWQ!$LP$2:$LP$60=Q$4)*(GMWQ!$LR$2:$LR$60=Q$1),0),$B30-1966)</f>
        <v>10.42</v>
      </c>
      <c r="R30" s="7" cm="1">
        <f t="array" ref="R30">INDEX(GMWQ!$A$2:$LR$60,MATCH(1,(GMWQ!$LQ$2:$LQ$60=R$3)*(GMWQ!$LP$2:$LP$60=R$4)*(GMWQ!$LR$2:$LR$60=R$1),0),$B30-1966)</f>
        <v>1E-3</v>
      </c>
      <c r="S30" s="7" cm="1">
        <f t="array" ref="S30">INDEX(GMWQ!$A$2:$LR$60,MATCH(1,(GMWQ!$LQ$2:$LQ$60=S$3)*(GMWQ!$LP$2:$LP$60=S$4)*(GMWQ!$LR$2:$LR$60=S$1),0),$B30-1966)</f>
        <v>320</v>
      </c>
      <c r="T30" s="7" cm="1">
        <f t="array" ref="T30">INDEX(GMWQ!$A$2:$LR$60,MATCH(1,(GMWQ!$LQ$2:$LQ$60=T$3)*(GMWQ!$LP$2:$LP$60=T$4)*(GMWQ!$LR$2:$LR$60=T$1),0),$B30-1966)</f>
        <v>1E-3</v>
      </c>
      <c r="U30" s="7" cm="1">
        <f t="array" ref="U30">INDEX(GMWQ!$A$2:$LR$60,MATCH(1,(GMWQ!$LQ$2:$LQ$60=U$3)*(GMWQ!$LP$2:$LP$60=U$4)*(GMWQ!$LR$2:$LR$60=U$1),0),$B30-1966)</f>
        <v>0</v>
      </c>
      <c r="V30" s="7" cm="1">
        <f t="array" ref="V30">INDEX(GMWQ!$A$2:$LR$60,MATCH(1,(GMWQ!$LQ$2:$LQ$60=V$3)*(GMWQ!$LP$2:$LP$60=V$4)*(GMWQ!$LR$2:$LR$60=V$1),0),$B30-1966)</f>
        <v>1E-3</v>
      </c>
      <c r="W30" s="7" cm="1">
        <f t="array" ref="W30">INDEX(GMWQ!$A$2:$LR$60,MATCH(1,(GMWQ!$LQ$2:$LQ$60=W$3)*(GMWQ!$LP$2:$LP$60=W$4)*(GMWQ!$LR$2:$LR$60=W$1),0),$B30-1966)</f>
        <v>6.4699989999999996</v>
      </c>
      <c r="X30" s="7" cm="1">
        <f t="array" ref="X30">INDEX(GMWQ!$A$2:$LR$60,MATCH(1,(GMWQ!$LQ$2:$LQ$60=X$3)*(GMWQ!$LP$2:$LP$60=X$4)*(GMWQ!$LR$2:$LR$60=X$1),0),$B30-1966)</f>
        <v>788598.2</v>
      </c>
      <c r="Y30" s="7" cm="1">
        <f t="array" ref="Y30">INDEX(GMWQ!$A$2:$LR$60,MATCH(1,(GMWQ!$LQ$2:$LQ$60=Y$3)*(GMWQ!$LP$2:$LP$60=Y$4)*(GMWQ!$LR$2:$LR$60=Y$1),0),$B30-1966)</f>
        <v>20.446850000000001</v>
      </c>
      <c r="Z30" s="7" cm="1">
        <f t="array" ref="Z30">INDEX(GMWQ!$A$2:$LR$60,MATCH(1,(GMWQ!$LQ$2:$LQ$60=Z$3)*(GMWQ!$LP$2:$LP$60=Z$4)*(GMWQ!$LR$2:$LR$60=Z$1),0),$B30-1966)</f>
        <v>234937</v>
      </c>
      <c r="AA30" s="7" cm="1">
        <f t="array" ref="AA30">INDEX(GMWQ!$A$2:$LR$60,MATCH(1,(GMWQ!$LQ$2:$LQ$60=AA$3)*(GMWQ!$LP$2:$LP$60=AA$4)*(GMWQ!$LR$2:$LR$60=AA$1),0),$B30-1966)</f>
        <v>18562</v>
      </c>
      <c r="AB30" s="7" cm="1">
        <f t="array" ref="AB30">INDEX(GMWQ!$A$2:$LR$60,MATCH(1,(GMWQ!$LQ$2:$LQ$60=AB$3)*(GMWQ!$LP$2:$LP$60=AB$4)*(GMWQ!$LR$2:$LR$60=AB$1),0),$B30-1966)</f>
        <v>16711</v>
      </c>
      <c r="AC30" s="7" cm="1">
        <f t="array" ref="AC30">INDEX(GMWQ!$A$2:$LR$60,MATCH(1,(GMWQ!$LQ$2:$LQ$60=AC$3)*(GMWQ!$LP$2:$LP$60=AC$4)*(GMWQ!$LR$2:$LR$60=AC$1),0),$B30-1966)</f>
        <v>1306</v>
      </c>
      <c r="AD30" s="7" cm="1">
        <f t="array" ref="AD30">INDEX(GMWQ!$A$2:$LR$60,MATCH(1,(GMWQ!$LQ$2:$LQ$60=AD$3)*(GMWQ!$LP$2:$LP$60=AD$4)*(GMWQ!$LR$2:$LR$60=AD$1),0),$B30-1966)</f>
        <v>2123</v>
      </c>
      <c r="AE30" s="7" cm="1">
        <f t="array" ref="AE30">INDEX(GMWQ!$A$2:$LR$60,MATCH(1,(GMWQ!$LQ$2:$LQ$60=AE$3)*(GMWQ!$LP$2:$LP$60=AE$4)*(GMWQ!$LR$2:$LR$60=AE$1),0),$B30-1966)</f>
        <v>48906</v>
      </c>
      <c r="AF30" s="20" cm="1">
        <f t="array" ref="AF30">INDEX(GMWQ!$A$2:$LR$60,MATCH(1,(GMWQ!$LQ$2:$LQ$60=AF$3)*(GMWQ!$LP$2:$LP$60=AF$4)*(GMWQ!$LR$2:$LR$60=AF$1),0),$B30-1966)</f>
        <v>11.423080000000001</v>
      </c>
      <c r="AG30" s="20" cm="1">
        <f t="array" ref="AG30">INDEX(GMWQ!$A$2:$LR$60,MATCH(1,(GMWQ!$LQ$2:$LQ$60=AG$3)*(GMWQ!$LP$2:$LP$60=AG$4)*(GMWQ!$LR$2:$LR$60=AG$1),0),$B30-1966)</f>
        <v>-304.26049999999998</v>
      </c>
      <c r="AI30" s="23" cm="1">
        <f t="array" ref="AI30">INDEX(GMWQ!$A$2:$LR$60,MATCH(1,(GMWQ!$LQ$2:$LQ$60=AI$3)*(GMWQ!$LP$2:$LP$60=AI$4)*(GMWQ!$LR$2:$LR$60=AI$1),0),$B30-1966)</f>
        <v>31463</v>
      </c>
      <c r="AJ30" s="23" cm="1">
        <f t="array" ref="AJ30">INDEX(GMWQ!$A$2:$LR$60,MATCH(1,(GMWQ!$LQ$2:$LQ$60=AJ$3)*(GMWQ!$LP$2:$LP$60=AJ$4)*(GMWQ!$LR$2:$LR$60=AJ$1),0),$B30-1966)</f>
        <v>23.745080000000002</v>
      </c>
      <c r="AK30" s="23" cm="1">
        <f t="array" ref="AK30">INDEX(GMWQ!$A$2:$LR$60,MATCH(1,(GMWQ!$LQ$2:$LQ$60=AK$3)*(GMWQ!$LP$2:$LP$60=AK$4)*(GMWQ!$LR$2:$LR$60=AK$1),0),$B30-1966)</f>
        <v>22479</v>
      </c>
      <c r="AL30" s="23" cm="1">
        <f t="array" ref="AL30">INDEX(GMWQ!$A$2:$LR$60,MATCH(1,(GMWQ!$LQ$2:$LQ$60=AL$3)*(GMWQ!$LP$2:$LP$60=AL$4)*(GMWQ!$LR$2:$LR$60=AL$1),0),$B30-1966)</f>
        <v>1002.336</v>
      </c>
      <c r="AM30" s="23" cm="1">
        <f t="array" ref="AM30">INDEX(GMWQ!$A$2:$LR$60,MATCH(1,(GMWQ!$LQ$2:$LQ$60=AM$3)*(GMWQ!$LP$2:$LP$60=AM$4)*(GMWQ!$LR$2:$LR$60=AM$1),0),$B30-1966)</f>
        <v>22426.62</v>
      </c>
      <c r="AN30" s="23" cm="1">
        <f t="array" ref="AN30">INDEX(GMWQ!$A$2:$LR$60,MATCH(1,(GMWQ!$LQ$2:$LQ$60=AN$3)*(GMWQ!$LP$2:$LP$60=AN$4)*(GMWQ!$LR$2:$LR$60=AN$1),0),$B30-1966)</f>
        <v>4740.5969999999998</v>
      </c>
      <c r="AO30" s="23" cm="1">
        <f t="array" ref="AO30">INDEX(GMWQ!$A$2:$LR$60,MATCH(1,(GMWQ!$LQ$2:$LQ$60=AO$3)*(GMWQ!$LP$2:$LP$60=AO$4)*(GMWQ!$LR$2:$LR$60=AO$1),0),$B30-1966)</f>
        <v>1114.98</v>
      </c>
      <c r="AP30" s="23" cm="1">
        <f t="array" ref="AP30">INDEX(GMWQ!$A$2:$LR$60,MATCH(1,(GMWQ!$LQ$2:$LQ$60=AP$3)*(GMWQ!$LP$2:$LP$60=AP$4)*(GMWQ!$LR$2:$LR$60=AP$1),0),$B30-1966)</f>
        <v>-304.26049999999998</v>
      </c>
      <c r="AQ30" s="23" cm="1">
        <f t="array" ref="AQ30">INDEX(GMWQ!$A$2:$LR$60,MATCH(1,(GMWQ!$LQ$2:$LQ$60=AQ$3)*(GMWQ!$LP$2:$LP$60=AQ$4)*(GMWQ!$LR$2:$LR$60=AQ$1),0),$B30-1966)</f>
        <v>4741.32</v>
      </c>
      <c r="AR30" s="23" cm="1">
        <f t="array" ref="AR30">INDEX(GMWQ!$A$2:$LR$60,MATCH(1,(GMWQ!$LQ$2:$LQ$60=AR$3)*(GMWQ!$LP$2:$LP$60=AR$4)*(GMWQ!$LR$2:$LR$60=AR$1),0),$B30-1966)</f>
        <v>28742</v>
      </c>
      <c r="AS30" s="23" cm="1">
        <f t="array" ref="AS30">INDEX(GMWQ!$A$2:$LR$60,MATCH(1,(GMWQ!$LQ$2:$LQ$60=AS$3)*(GMWQ!$LP$2:$LP$60=AS$4)*(GMWQ!$LR$2:$LR$60=AS$1),0),$B30-1966)</f>
        <v>440</v>
      </c>
      <c r="AT30" s="23" cm="1">
        <f t="array" ref="AT30">INDEX(GMWQ!$A$2:$LR$60,MATCH(1,(GMWQ!$LQ$2:$LQ$60=AT$3)*(GMWQ!$LP$2:$LP$60=AT$4)*(GMWQ!$LR$2:$LR$60=AT$1),0),$B30-1966)</f>
        <v>121044</v>
      </c>
      <c r="AU30" s="23" cm="1">
        <f t="array" ref="AU30">INDEX(GMWQ!$A$2:$LR$60,MATCH(1,(GMWQ!$LQ$2:$LQ$60=AU$3)*(GMWQ!$LP$2:$LP$60=AU$4)*(GMWQ!$LR$2:$LR$60=AU$1),0),$B30-1966)</f>
        <v>3663</v>
      </c>
    </row>
    <row r="31" spans="1:47" x14ac:dyDescent="0.35">
      <c r="A31" s="7">
        <v>1979</v>
      </c>
      <c r="B31" s="7">
        <f t="shared" si="1"/>
        <v>1997</v>
      </c>
      <c r="C31" s="7" cm="1">
        <f t="array" ref="C31">INDEX(GMWQ!$A$2:$LR$60,MATCH(1,(GMWQ!$LQ$2:$LQ$60=C$3)*(GMWQ!$LP$2:$LP$60=C$4)*(GMWQ!$LR$2:$LR$60=C$1),0),$B31-1966)</f>
        <v>238472</v>
      </c>
      <c r="D31" s="7" cm="1">
        <f t="array" ref="D31">INDEX(GMWQ!$A$2:$LR$60,MATCH(1,(GMWQ!$LQ$2:$LQ$60=D$3)*(GMWQ!$LP$2:$LP$60=D$4)*(GMWQ!$LR$2:$LR$60=D$1),0),$B31-1966)</f>
        <v>43.965009999999999</v>
      </c>
      <c r="E31" s="7" cm="1">
        <f t="array" ref="E31">INDEX(GMWQ!$A$2:$LR$60,MATCH(1,(GMWQ!$LQ$2:$LQ$60=E$3)*(GMWQ!$LP$2:$LP$60=E$4)*(GMWQ!$LR$2:$LR$60=E$1),0),$B31-1966)</f>
        <v>26.43403</v>
      </c>
      <c r="F31" s="7" cm="1">
        <f t="array" ref="F31">INDEX(GMWQ!$A$2:$LR$60,MATCH(1,(GMWQ!$LQ$2:$LQ$60=F$3)*(GMWQ!$LP$2:$LP$60=F$4)*(GMWQ!$LR$2:$LR$60=F$1),0),$B31-1966)</f>
        <v>23365</v>
      </c>
      <c r="G31" s="7" cm="1">
        <f t="array" ref="G31">INDEX(GMWQ!$A$2:$LR$60,MATCH(1,(GMWQ!$LQ$2:$LQ$60=G$3)*(GMWQ!$LP$2:$LP$60=G$4)*(GMWQ!$LR$2:$LR$60=G$1),0),$B31-1966)</f>
        <v>5114.4650000000001</v>
      </c>
      <c r="H31" s="7" cm="1">
        <f t="array" ref="H31">INDEX(GMWQ!$A$2:$LR$60,MATCH(1,(GMWQ!$LQ$2:$LQ$60=H$3)*(GMWQ!$LP$2:$LP$60=H$4)*(GMWQ!$LR$2:$LR$60=H$1),0),$B31-1966)</f>
        <v>1131.874</v>
      </c>
      <c r="I31" s="7" cm="1">
        <f t="array" ref="I31">INDEX(GMWQ!$A$2:$LR$60,MATCH(1,(GMWQ!$LQ$2:$LQ$60=I$3)*(GMWQ!$LP$2:$LP$60=I$4)*(GMWQ!$LR$2:$LR$60=I$1),0),$B31-1966)</f>
        <v>24.391529999999999</v>
      </c>
      <c r="J31" s="7" cm="1">
        <f t="array" ref="J31">INDEX(GMWQ!$A$2:$LR$60,MATCH(1,(GMWQ!$LQ$2:$LQ$60=J$3)*(GMWQ!$LP$2:$LP$60=J$4)*(GMWQ!$LR$2:$LR$60=J$1),0),$B31-1966)</f>
        <v>22454.52</v>
      </c>
      <c r="K31" s="7" cm="1">
        <f t="array" ref="K31">INDEX(GMWQ!$A$2:$LR$60,MATCH(1,(GMWQ!$LQ$2:$LQ$60=K$3)*(GMWQ!$LP$2:$LP$60=K$4)*(GMWQ!$LR$2:$LR$60=K$1),0),$B31-1966)</f>
        <v>13</v>
      </c>
      <c r="L31" s="7" cm="1">
        <f t="array" ref="L31">INDEX(GMWQ!$A$2:$LR$60,MATCH(1,(GMWQ!$LQ$2:$LQ$60=L$3)*(GMWQ!$LP$2:$LP$60=L$4)*(GMWQ!$LR$2:$LR$60=L$1),0),$B31-1966)</f>
        <v>5.4</v>
      </c>
      <c r="M31" s="7" cm="1">
        <f t="array" ref="M31">INDEX(GMWQ!$A$2:$LR$60,MATCH(1,(GMWQ!$LQ$2:$LQ$60=M$3)*(GMWQ!$LP$2:$LP$60=M$4)*(GMWQ!$LR$2:$LR$60=M$1),0),$B31-1966)</f>
        <v>7.9047140000000002</v>
      </c>
      <c r="N31" s="7" cm="1">
        <f t="array" ref="N31">INDEX(GMWQ!$A$2:$LR$60,MATCH(1,(GMWQ!$LQ$2:$LQ$60=N$3)*(GMWQ!$LP$2:$LP$60=N$4)*(GMWQ!$LR$2:$LR$60=N$1),0),$B31-1966)</f>
        <v>1E-3</v>
      </c>
      <c r="O31" s="7" cm="1">
        <f t="array" ref="O31">INDEX(GMWQ!$A$2:$LR$60,MATCH(1,(GMWQ!$LQ$2:$LQ$60=O$3)*(GMWQ!$LP$2:$LP$60=O$4)*(GMWQ!$LR$2:$LR$60=O$1),0),$B31-1966)</f>
        <v>1E-3</v>
      </c>
      <c r="P31" s="7" cm="1">
        <f t="array" ref="P31">INDEX(GMWQ!$A$2:$LR$60,MATCH(1,(GMWQ!$LQ$2:$LQ$60=P$3)*(GMWQ!$LP$2:$LP$60=P$4)*(GMWQ!$LR$2:$LR$60=P$1),0),$B31-1966)</f>
        <v>32879</v>
      </c>
      <c r="Q31" s="7" cm="1">
        <f t="array" ref="Q31">INDEX(GMWQ!$A$2:$LR$60,MATCH(1,(GMWQ!$LQ$2:$LQ$60=Q$3)*(GMWQ!$LP$2:$LP$60=Q$4)*(GMWQ!$LR$2:$LR$60=Q$1),0),$B31-1966)</f>
        <v>11.75</v>
      </c>
      <c r="R31" s="7" cm="1">
        <f t="array" ref="R31">INDEX(GMWQ!$A$2:$LR$60,MATCH(1,(GMWQ!$LQ$2:$LQ$60=R$3)*(GMWQ!$LP$2:$LP$60=R$4)*(GMWQ!$LR$2:$LR$60=R$1),0),$B31-1966)</f>
        <v>1E-3</v>
      </c>
      <c r="S31" s="7" cm="1">
        <f t="array" ref="S31">INDEX(GMWQ!$A$2:$LR$60,MATCH(1,(GMWQ!$LQ$2:$LQ$60=S$3)*(GMWQ!$LP$2:$LP$60=S$4)*(GMWQ!$LR$2:$LR$60=S$1),0),$B31-1966)</f>
        <v>326</v>
      </c>
      <c r="T31" s="7" cm="1">
        <f t="array" ref="T31">INDEX(GMWQ!$A$2:$LR$60,MATCH(1,(GMWQ!$LQ$2:$LQ$60=T$3)*(GMWQ!$LP$2:$LP$60=T$4)*(GMWQ!$LR$2:$LR$60=T$1),0),$B31-1966)</f>
        <v>1E-3</v>
      </c>
      <c r="U31" s="7" cm="1">
        <f t="array" ref="U31">INDEX(GMWQ!$A$2:$LR$60,MATCH(1,(GMWQ!$LQ$2:$LQ$60=U$3)*(GMWQ!$LP$2:$LP$60=U$4)*(GMWQ!$LR$2:$LR$60=U$1),0),$B31-1966)</f>
        <v>0</v>
      </c>
      <c r="V31" s="7" cm="1">
        <f t="array" ref="V31">INDEX(GMWQ!$A$2:$LR$60,MATCH(1,(GMWQ!$LQ$2:$LQ$60=V$3)*(GMWQ!$LP$2:$LP$60=V$4)*(GMWQ!$LR$2:$LR$60=V$1),0),$B31-1966)</f>
        <v>1E-3</v>
      </c>
      <c r="W31" s="7" cm="1">
        <f t="array" ref="W31">INDEX(GMWQ!$A$2:$LR$60,MATCH(1,(GMWQ!$LQ$2:$LQ$60=W$3)*(GMWQ!$LP$2:$LP$60=W$4)*(GMWQ!$LR$2:$LR$60=W$1),0),$B31-1966)</f>
        <v>7.2590170000000001</v>
      </c>
      <c r="X31" s="7" cm="1">
        <f t="array" ref="X31">INDEX(GMWQ!$A$2:$LR$60,MATCH(1,(GMWQ!$LQ$2:$LQ$60=X$3)*(GMWQ!$LP$2:$LP$60=X$4)*(GMWQ!$LR$2:$LR$60=X$1),0),$B31-1966)</f>
        <v>807553.2</v>
      </c>
      <c r="Y31" s="7" cm="1">
        <f t="array" ref="Y31">INDEX(GMWQ!$A$2:$LR$60,MATCH(1,(GMWQ!$LQ$2:$LQ$60=Y$3)*(GMWQ!$LP$2:$LP$60=Y$4)*(GMWQ!$LR$2:$LR$60=Y$1),0),$B31-1966)</f>
        <v>21.159300000000002</v>
      </c>
      <c r="Z31" s="7" cm="1">
        <f t="array" ref="Z31">INDEX(GMWQ!$A$2:$LR$60,MATCH(1,(GMWQ!$LQ$2:$LQ$60=Z$3)*(GMWQ!$LP$2:$LP$60=Z$4)*(GMWQ!$LR$2:$LR$60=Z$1),0),$B31-1966)</f>
        <v>236186.7</v>
      </c>
      <c r="AA31" s="7" cm="1">
        <f t="array" ref="AA31">INDEX(GMWQ!$A$2:$LR$60,MATCH(1,(GMWQ!$LQ$2:$LQ$60=AA$3)*(GMWQ!$LP$2:$LP$60=AA$4)*(GMWQ!$LR$2:$LR$60=AA$1),0),$B31-1966)</f>
        <v>19174</v>
      </c>
      <c r="AB31" s="7" cm="1">
        <f t="array" ref="AB31">INDEX(GMWQ!$A$2:$LR$60,MATCH(1,(GMWQ!$LQ$2:$LQ$60=AB$3)*(GMWQ!$LP$2:$LP$60=AB$4)*(GMWQ!$LR$2:$LR$60=AB$1),0),$B31-1966)</f>
        <v>17874</v>
      </c>
      <c r="AC31" s="7" cm="1">
        <f t="array" ref="AC31">INDEX(GMWQ!$A$2:$LR$60,MATCH(1,(GMWQ!$LQ$2:$LQ$60=AC$3)*(GMWQ!$LP$2:$LP$60=AC$4)*(GMWQ!$LR$2:$LR$60=AC$1),0),$B31-1966)</f>
        <v>1601</v>
      </c>
      <c r="AD31" s="7" cm="1">
        <f t="array" ref="AD31">INDEX(GMWQ!$A$2:$LR$60,MATCH(1,(GMWQ!$LQ$2:$LQ$60=AD$3)*(GMWQ!$LP$2:$LP$60=AD$4)*(GMWQ!$LR$2:$LR$60=AD$1),0),$B31-1966)</f>
        <v>2191</v>
      </c>
      <c r="AE31" s="7" cm="1">
        <f t="array" ref="AE31">INDEX(GMWQ!$A$2:$LR$60,MATCH(1,(GMWQ!$LQ$2:$LQ$60=AE$3)*(GMWQ!$LP$2:$LP$60=AE$4)*(GMWQ!$LR$2:$LR$60=AE$1),0),$B31-1966)</f>
        <v>50459</v>
      </c>
      <c r="AF31" s="20" cm="1">
        <f t="array" ref="AF31">INDEX(GMWQ!$A$2:$LR$60,MATCH(1,(GMWQ!$LQ$2:$LQ$60=AF$3)*(GMWQ!$LP$2:$LP$60=AF$4)*(GMWQ!$LR$2:$LR$60=AF$1),0),$B31-1966)</f>
        <v>13.01538</v>
      </c>
      <c r="AG31" s="20" cm="1">
        <f t="array" ref="AG31">INDEX(GMWQ!$A$2:$LR$60,MATCH(1,(GMWQ!$LQ$2:$LQ$60=AG$3)*(GMWQ!$LP$2:$LP$60=AG$4)*(GMWQ!$LR$2:$LR$60=AG$1),0),$B31-1966)</f>
        <v>-272</v>
      </c>
      <c r="AI31" s="23" cm="1">
        <f t="array" ref="AI31">INDEX(GMWQ!$A$2:$LR$60,MATCH(1,(GMWQ!$LQ$2:$LQ$60=AI$3)*(GMWQ!$LP$2:$LP$60=AI$4)*(GMWQ!$LR$2:$LR$60=AI$1),0),$B31-1966)</f>
        <v>32879</v>
      </c>
      <c r="AJ31" s="23" cm="1">
        <f t="array" ref="AJ31">INDEX(GMWQ!$A$2:$LR$60,MATCH(1,(GMWQ!$LQ$2:$LQ$60=AJ$3)*(GMWQ!$LP$2:$LP$60=AJ$4)*(GMWQ!$LR$2:$LR$60=AJ$1),0),$B31-1966)</f>
        <v>24.391529999999999</v>
      </c>
      <c r="AK31" s="23" cm="1">
        <f t="array" ref="AK31">INDEX(GMWQ!$A$2:$LR$60,MATCH(1,(GMWQ!$LQ$2:$LQ$60=AK$3)*(GMWQ!$LP$2:$LP$60=AK$4)*(GMWQ!$LR$2:$LR$60=AK$1),0),$B31-1966)</f>
        <v>23365</v>
      </c>
      <c r="AL31" s="23" cm="1">
        <f t="array" ref="AL31">INDEX(GMWQ!$A$2:$LR$60,MATCH(1,(GMWQ!$LQ$2:$LQ$60=AL$3)*(GMWQ!$LP$2:$LP$60=AL$4)*(GMWQ!$LR$2:$LR$60=AL$1),0),$B31-1966)</f>
        <v>1040.548</v>
      </c>
      <c r="AM31" s="23" cm="1">
        <f t="array" ref="AM31">INDEX(GMWQ!$A$2:$LR$60,MATCH(1,(GMWQ!$LQ$2:$LQ$60=AM$3)*(GMWQ!$LP$2:$LP$60=AM$4)*(GMWQ!$LR$2:$LR$60=AM$1),0),$B31-1966)</f>
        <v>22454.52</v>
      </c>
      <c r="AN31" s="23" cm="1">
        <f t="array" ref="AN31">INDEX(GMWQ!$A$2:$LR$60,MATCH(1,(GMWQ!$LQ$2:$LQ$60=AN$3)*(GMWQ!$LP$2:$LP$60=AN$4)*(GMWQ!$LR$2:$LR$60=AN$1),0),$B31-1966)</f>
        <v>5114.4650000000001</v>
      </c>
      <c r="AO31" s="23" cm="1">
        <f t="array" ref="AO31">INDEX(GMWQ!$A$2:$LR$60,MATCH(1,(GMWQ!$LQ$2:$LQ$60=AO$3)*(GMWQ!$LP$2:$LP$60=AO$4)*(GMWQ!$LR$2:$LR$60=AO$1),0),$B31-1966)</f>
        <v>1131.874</v>
      </c>
      <c r="AP31" s="23" cm="1">
        <f t="array" ref="AP31">INDEX(GMWQ!$A$2:$LR$60,MATCH(1,(GMWQ!$LQ$2:$LQ$60=AP$3)*(GMWQ!$LP$2:$LP$60=AP$4)*(GMWQ!$LR$2:$LR$60=AP$1),0),$B31-1966)</f>
        <v>-272</v>
      </c>
      <c r="AQ31" s="23" cm="1">
        <f t="array" ref="AQ31">INDEX(GMWQ!$A$2:$LR$60,MATCH(1,(GMWQ!$LQ$2:$LQ$60=AQ$3)*(GMWQ!$LP$2:$LP$60=AQ$4)*(GMWQ!$LR$2:$LR$60=AQ$1),0),$B31-1966)</f>
        <v>4936.3609999999999</v>
      </c>
      <c r="AR31" s="23" cm="1">
        <f t="array" ref="AR31">INDEX(GMWQ!$A$2:$LR$60,MATCH(1,(GMWQ!$LQ$2:$LQ$60=AR$3)*(GMWQ!$LP$2:$LP$60=AR$4)*(GMWQ!$LR$2:$LR$60=AR$1),0),$B31-1966)</f>
        <v>30045</v>
      </c>
      <c r="AS31" s="23" cm="1">
        <f t="array" ref="AS31">INDEX(GMWQ!$A$2:$LR$60,MATCH(1,(GMWQ!$LQ$2:$LQ$60=AS$3)*(GMWQ!$LP$2:$LP$60=AS$4)*(GMWQ!$LR$2:$LR$60=AS$1),0),$B31-1966)</f>
        <v>475</v>
      </c>
      <c r="AT31" s="23" cm="1">
        <f t="array" ref="AT31">INDEX(GMWQ!$A$2:$LR$60,MATCH(1,(GMWQ!$LQ$2:$LQ$60=AT$3)*(GMWQ!$LP$2:$LP$60=AT$4)*(GMWQ!$LR$2:$LR$60=AT$1),0),$B31-1966)</f>
        <v>123178</v>
      </c>
      <c r="AU31" s="23" cm="1">
        <f t="array" ref="AU31">INDEX(GMWQ!$A$2:$LR$60,MATCH(1,(GMWQ!$LQ$2:$LQ$60=AU$3)*(GMWQ!$LP$2:$LP$60=AU$4)*(GMWQ!$LR$2:$LR$60=AU$1),0),$B31-1966)</f>
        <v>3099</v>
      </c>
    </row>
    <row r="32" spans="1:47" x14ac:dyDescent="0.35">
      <c r="B32" s="7">
        <f t="shared" si="1"/>
        <v>1998</v>
      </c>
      <c r="C32" s="7" cm="1">
        <f t="array" ref="C32">INDEX(GMWQ!$A$2:$LR$60,MATCH(1,(GMWQ!$LQ$2:$LQ$60=C$3)*(GMWQ!$LP$2:$LP$60=C$4)*(GMWQ!$LR$2:$LR$60=C$1),0),$B32-1966)</f>
        <v>248867</v>
      </c>
      <c r="D32" s="7" cm="1">
        <f t="array" ref="D32">INDEX(GMWQ!$A$2:$LR$60,MATCH(1,(GMWQ!$LQ$2:$LQ$60=D$3)*(GMWQ!$LP$2:$LP$60=D$4)*(GMWQ!$LR$2:$LR$60=D$1),0),$B32-1966)</f>
        <v>46.838419999999999</v>
      </c>
      <c r="E32" s="7" cm="1">
        <f t="array" ref="E32">INDEX(GMWQ!$A$2:$LR$60,MATCH(1,(GMWQ!$LQ$2:$LQ$60=E$3)*(GMWQ!$LP$2:$LP$60=E$4)*(GMWQ!$LR$2:$LR$60=E$1),0),$B32-1966)</f>
        <v>27.268239999999999</v>
      </c>
      <c r="F32" s="7" cm="1">
        <f t="array" ref="F32">INDEX(GMWQ!$A$2:$LR$60,MATCH(1,(GMWQ!$LQ$2:$LQ$60=F$3)*(GMWQ!$LP$2:$LP$60=F$4)*(GMWQ!$LR$2:$LR$60=F$1),0),$B32-1966)</f>
        <v>24427</v>
      </c>
      <c r="G32" s="7" cm="1">
        <f t="array" ref="G32">INDEX(GMWQ!$A$2:$LR$60,MATCH(1,(GMWQ!$LQ$2:$LQ$60=G$3)*(GMWQ!$LP$2:$LP$60=G$4)*(GMWQ!$LR$2:$LR$60=G$1),0),$B32-1966)</f>
        <v>5656.473</v>
      </c>
      <c r="H32" s="7" cm="1">
        <f t="array" ref="H32">INDEX(GMWQ!$A$2:$LR$60,MATCH(1,(GMWQ!$LQ$2:$LQ$60=H$3)*(GMWQ!$LP$2:$LP$60=H$4)*(GMWQ!$LR$2:$LR$60=H$1),0),$B32-1966)</f>
        <v>1176.22</v>
      </c>
      <c r="I32" s="7" cm="1">
        <f t="array" ref="I32">INDEX(GMWQ!$A$2:$LR$60,MATCH(1,(GMWQ!$LQ$2:$LQ$60=I$3)*(GMWQ!$LP$2:$LP$60=I$4)*(GMWQ!$LR$2:$LR$60=I$1),0),$B32-1966)</f>
        <v>24.95965</v>
      </c>
      <c r="J32" s="7" cm="1">
        <f t="array" ref="J32">INDEX(GMWQ!$A$2:$LR$60,MATCH(1,(GMWQ!$LQ$2:$LQ$60=J$3)*(GMWQ!$LP$2:$LP$60=J$4)*(GMWQ!$LR$2:$LR$60=J$1),0),$B32-1966)</f>
        <v>22553.54</v>
      </c>
      <c r="K32" s="7" cm="1">
        <f t="array" ref="K32">INDEX(GMWQ!$A$2:$LR$60,MATCH(1,(GMWQ!$LQ$2:$LQ$60=K$3)*(GMWQ!$LP$2:$LP$60=K$4)*(GMWQ!$LR$2:$LR$60=K$1),0),$B32-1966)</f>
        <v>14</v>
      </c>
      <c r="L32" s="7" cm="1">
        <f t="array" ref="L32">INDEX(GMWQ!$A$2:$LR$60,MATCH(1,(GMWQ!$LQ$2:$LQ$60=L$3)*(GMWQ!$LP$2:$LP$60=L$4)*(GMWQ!$LR$2:$LR$60=L$1),0),$B32-1966)</f>
        <v>5.3</v>
      </c>
      <c r="M32" s="7" cm="1">
        <f t="array" ref="M32">INDEX(GMWQ!$A$2:$LR$60,MATCH(1,(GMWQ!$LQ$2:$LQ$60=M$3)*(GMWQ!$LP$2:$LP$60=M$4)*(GMWQ!$LR$2:$LR$60=M$1),0),$B32-1966)</f>
        <v>8.5300609999999999</v>
      </c>
      <c r="N32" s="7" cm="1">
        <f t="array" ref="N32">INDEX(GMWQ!$A$2:$LR$60,MATCH(1,(GMWQ!$LQ$2:$LQ$60=N$3)*(GMWQ!$LP$2:$LP$60=N$4)*(GMWQ!$LR$2:$LR$60=N$1),0),$B32-1966)</f>
        <v>1E-3</v>
      </c>
      <c r="O32" s="7" cm="1">
        <f t="array" ref="O32">INDEX(GMWQ!$A$2:$LR$60,MATCH(1,(GMWQ!$LQ$2:$LQ$60=O$3)*(GMWQ!$LP$2:$LP$60=O$4)*(GMWQ!$LR$2:$LR$60=O$1),0),$B32-1966)</f>
        <v>1E-3</v>
      </c>
      <c r="P32" s="7" cm="1">
        <f t="array" ref="P32">INDEX(GMWQ!$A$2:$LR$60,MATCH(1,(GMWQ!$LQ$2:$LQ$60=P$3)*(GMWQ!$LP$2:$LP$60=P$4)*(GMWQ!$LR$2:$LR$60=P$1),0),$B32-1966)</f>
        <v>34157</v>
      </c>
      <c r="Q32" s="7" cm="1">
        <f t="array" ref="Q32">INDEX(GMWQ!$A$2:$LR$60,MATCH(1,(GMWQ!$LQ$2:$LQ$60=Q$3)*(GMWQ!$LP$2:$LP$60=Q$4)*(GMWQ!$LR$2:$LR$60=Q$1),0),$B32-1966)</f>
        <v>11.246</v>
      </c>
      <c r="R32" s="7" cm="1">
        <f t="array" ref="R32">INDEX(GMWQ!$A$2:$LR$60,MATCH(1,(GMWQ!$LQ$2:$LQ$60=R$3)*(GMWQ!$LP$2:$LP$60=R$4)*(GMWQ!$LR$2:$LR$60=R$1),0),$B32-1966)</f>
        <v>1E-3</v>
      </c>
      <c r="S32" s="7" cm="1">
        <f t="array" ref="S32">INDEX(GMWQ!$A$2:$LR$60,MATCH(1,(GMWQ!$LQ$2:$LQ$60=S$3)*(GMWQ!$LP$2:$LP$60=S$4)*(GMWQ!$LR$2:$LR$60=S$1),0),$B32-1966)</f>
        <v>319</v>
      </c>
      <c r="T32" s="7" cm="1">
        <f t="array" ref="T32">INDEX(GMWQ!$A$2:$LR$60,MATCH(1,(GMWQ!$LQ$2:$LQ$60=T$3)*(GMWQ!$LP$2:$LP$60=T$4)*(GMWQ!$LR$2:$LR$60=T$1),0),$B32-1966)</f>
        <v>1E-3</v>
      </c>
      <c r="U32" s="7" cm="1">
        <f t="array" ref="U32">INDEX(GMWQ!$A$2:$LR$60,MATCH(1,(GMWQ!$LQ$2:$LQ$60=U$3)*(GMWQ!$LP$2:$LP$60=U$4)*(GMWQ!$LR$2:$LR$60=U$1),0),$B32-1966)</f>
        <v>0</v>
      </c>
      <c r="V32" s="7" cm="1">
        <f t="array" ref="V32">INDEX(GMWQ!$A$2:$LR$60,MATCH(1,(GMWQ!$LQ$2:$LQ$60=V$3)*(GMWQ!$LP$2:$LP$60=V$4)*(GMWQ!$LR$2:$LR$60=V$1),0),$B32-1966)</f>
        <v>1E-3</v>
      </c>
      <c r="W32" s="7" cm="1">
        <f t="array" ref="W32">INDEX(GMWQ!$A$2:$LR$60,MATCH(1,(GMWQ!$LQ$2:$LQ$60=W$3)*(GMWQ!$LP$2:$LP$60=W$4)*(GMWQ!$LR$2:$LR$60=W$1),0),$B32-1966)</f>
        <v>6.6247119999999997</v>
      </c>
      <c r="X32" s="7" cm="1">
        <f t="array" ref="X32">INDEX(GMWQ!$A$2:$LR$60,MATCH(1,(GMWQ!$LQ$2:$LQ$60=X$3)*(GMWQ!$LP$2:$LP$60=X$4)*(GMWQ!$LR$2:$LR$60=X$1),0),$B32-1966)</f>
        <v>817614.6</v>
      </c>
      <c r="Y32" s="7" cm="1">
        <f t="array" ref="Y32">INDEX(GMWQ!$A$2:$LR$60,MATCH(1,(GMWQ!$LQ$2:$LQ$60=Y$3)*(GMWQ!$LP$2:$LP$60=Y$4)*(GMWQ!$LR$2:$LR$60=Y$1),0),$B32-1966)</f>
        <v>21.68468</v>
      </c>
      <c r="Z32" s="7" cm="1">
        <f t="array" ref="Z32">INDEX(GMWQ!$A$2:$LR$60,MATCH(1,(GMWQ!$LQ$2:$LQ$60=Z$3)*(GMWQ!$LP$2:$LP$60=Z$4)*(GMWQ!$LR$2:$LR$60=Z$1),0),$B32-1966)</f>
        <v>237190</v>
      </c>
      <c r="AA32" s="7" cm="1">
        <f t="array" ref="AA32">INDEX(GMWQ!$A$2:$LR$60,MATCH(1,(GMWQ!$LQ$2:$LQ$60=AA$3)*(GMWQ!$LP$2:$LP$60=AA$4)*(GMWQ!$LR$2:$LR$60=AA$1),0),$B32-1966)</f>
        <v>19318</v>
      </c>
      <c r="AB32" s="7" cm="1">
        <f t="array" ref="AB32">INDEX(GMWQ!$A$2:$LR$60,MATCH(1,(GMWQ!$LQ$2:$LQ$60=AB$3)*(GMWQ!$LP$2:$LP$60=AB$4)*(GMWQ!$LR$2:$LR$60=AB$1),0),$B32-1966)</f>
        <v>18173</v>
      </c>
      <c r="AC32" s="7" cm="1">
        <f t="array" ref="AC32">INDEX(GMWQ!$A$2:$LR$60,MATCH(1,(GMWQ!$LQ$2:$LQ$60=AC$3)*(GMWQ!$LP$2:$LP$60=AC$4)*(GMWQ!$LR$2:$LR$60=AC$1),0),$B32-1966)</f>
        <v>1003</v>
      </c>
      <c r="AD32" s="7" cm="1">
        <f t="array" ref="AD32">INDEX(GMWQ!$A$2:$LR$60,MATCH(1,(GMWQ!$LQ$2:$LQ$60=AD$3)*(GMWQ!$LP$2:$LP$60=AD$4)*(GMWQ!$LR$2:$LR$60=AD$1),0),$B32-1966)</f>
        <v>2279</v>
      </c>
      <c r="AE32" s="7" cm="1">
        <f t="array" ref="AE32">INDEX(GMWQ!$A$2:$LR$60,MATCH(1,(GMWQ!$LQ$2:$LQ$60=AE$3)*(GMWQ!$LP$2:$LP$60=AE$4)*(GMWQ!$LR$2:$LR$60=AE$1),0),$B32-1966)</f>
        <v>53966</v>
      </c>
      <c r="AF32" s="20" cm="1">
        <f t="array" ref="AF32">INDEX(GMWQ!$A$2:$LR$60,MATCH(1,(GMWQ!$LQ$2:$LQ$60=AF$3)*(GMWQ!$LP$2:$LP$60=AF$4)*(GMWQ!$LR$2:$LR$60=AF$1),0),$B32-1966)</f>
        <v>12.446149999999999</v>
      </c>
      <c r="AG32" s="20" cm="1">
        <f t="array" ref="AG32">INDEX(GMWQ!$A$2:$LR$60,MATCH(1,(GMWQ!$LQ$2:$LQ$60=AG$3)*(GMWQ!$LP$2:$LP$60=AG$4)*(GMWQ!$LR$2:$LR$60=AG$1),0),$B32-1966)</f>
        <v>-314.45580000000001</v>
      </c>
      <c r="AI32" s="23" cm="1">
        <f t="array" ref="AI32">INDEX(GMWQ!$A$2:$LR$60,MATCH(1,(GMWQ!$LQ$2:$LQ$60=AI$3)*(GMWQ!$LP$2:$LP$60=AI$4)*(GMWQ!$LR$2:$LR$60=AI$1),0),$B32-1966)</f>
        <v>34157</v>
      </c>
      <c r="AJ32" s="23" cm="1">
        <f t="array" ref="AJ32">INDEX(GMWQ!$A$2:$LR$60,MATCH(1,(GMWQ!$LQ$2:$LQ$60=AJ$3)*(GMWQ!$LP$2:$LP$60=AJ$4)*(GMWQ!$LR$2:$LR$60=AJ$1),0),$B32-1966)</f>
        <v>24.95965</v>
      </c>
      <c r="AK32" s="23" cm="1">
        <f t="array" ref="AK32">INDEX(GMWQ!$A$2:$LR$60,MATCH(1,(GMWQ!$LQ$2:$LQ$60=AK$3)*(GMWQ!$LP$2:$LP$60=AK$4)*(GMWQ!$LR$2:$LR$60=AK$1),0),$B32-1966)</f>
        <v>24427</v>
      </c>
      <c r="AL32" s="23" cm="1">
        <f t="array" ref="AL32">INDEX(GMWQ!$A$2:$LR$60,MATCH(1,(GMWQ!$LQ$2:$LQ$60=AL$3)*(GMWQ!$LP$2:$LP$60=AL$4)*(GMWQ!$LR$2:$LR$60=AL$1),0),$B32-1966)</f>
        <v>1083.067</v>
      </c>
      <c r="AM32" s="23" cm="1">
        <f t="array" ref="AM32">INDEX(GMWQ!$A$2:$LR$60,MATCH(1,(GMWQ!$LQ$2:$LQ$60=AM$3)*(GMWQ!$LP$2:$LP$60=AM$4)*(GMWQ!$LR$2:$LR$60=AM$1),0),$B32-1966)</f>
        <v>22553.54</v>
      </c>
      <c r="AN32" s="23" cm="1">
        <f t="array" ref="AN32">INDEX(GMWQ!$A$2:$LR$60,MATCH(1,(GMWQ!$LQ$2:$LQ$60=AN$3)*(GMWQ!$LP$2:$LP$60=AN$4)*(GMWQ!$LR$2:$LR$60=AN$1),0),$B32-1966)</f>
        <v>5656.473</v>
      </c>
      <c r="AO32" s="23" cm="1">
        <f t="array" ref="AO32">INDEX(GMWQ!$A$2:$LR$60,MATCH(1,(GMWQ!$LQ$2:$LQ$60=AO$3)*(GMWQ!$LP$2:$LP$60=AO$4)*(GMWQ!$LR$2:$LR$60=AO$1),0),$B32-1966)</f>
        <v>1176.22</v>
      </c>
      <c r="AP32" s="23" cm="1">
        <f t="array" ref="AP32">INDEX(GMWQ!$A$2:$LR$60,MATCH(1,(GMWQ!$LQ$2:$LQ$60=AP$3)*(GMWQ!$LP$2:$LP$60=AP$4)*(GMWQ!$LR$2:$LR$60=AP$1),0),$B32-1966)</f>
        <v>-314.45580000000001</v>
      </c>
      <c r="AQ32" s="23" cm="1">
        <f t="array" ref="AQ32">INDEX(GMWQ!$A$2:$LR$60,MATCH(1,(GMWQ!$LQ$2:$LQ$60=AQ$3)*(GMWQ!$LP$2:$LP$60=AQ$4)*(GMWQ!$LR$2:$LR$60=AQ$1),0),$B32-1966)</f>
        <v>5226.9129999999996</v>
      </c>
      <c r="AR32" s="23" cm="1">
        <f t="array" ref="AR32">INDEX(GMWQ!$A$2:$LR$60,MATCH(1,(GMWQ!$LQ$2:$LQ$60=AR$3)*(GMWQ!$LP$2:$LP$60=AR$4)*(GMWQ!$LR$2:$LR$60=AR$1),0),$B32-1966)</f>
        <v>32478</v>
      </c>
      <c r="AS32" s="23" cm="1">
        <f t="array" ref="AS32">INDEX(GMWQ!$A$2:$LR$60,MATCH(1,(GMWQ!$LQ$2:$LQ$60=AS$3)*(GMWQ!$LP$2:$LP$60=AS$4)*(GMWQ!$LR$2:$LR$60=AS$1),0),$B32-1966)</f>
        <v>473</v>
      </c>
      <c r="AT32" s="23" cm="1">
        <f t="array" ref="AT32">INDEX(GMWQ!$A$2:$LR$60,MATCH(1,(GMWQ!$LQ$2:$LQ$60=AT$3)*(GMWQ!$LP$2:$LP$60=AT$4)*(GMWQ!$LR$2:$LR$60=AT$1),0),$B32-1966)</f>
        <v>130122</v>
      </c>
      <c r="AU32" s="23" cm="1">
        <f t="array" ref="AU32">INDEX(GMWQ!$A$2:$LR$60,MATCH(1,(GMWQ!$LQ$2:$LQ$60=AU$3)*(GMWQ!$LP$2:$LP$60=AU$4)*(GMWQ!$LR$2:$LR$60=AU$1),0),$B32-1966)</f>
        <v>3513</v>
      </c>
    </row>
    <row r="33" spans="1:47" x14ac:dyDescent="0.35">
      <c r="B33" s="7">
        <f t="shared" si="1"/>
        <v>1999</v>
      </c>
      <c r="C33" s="7" cm="1">
        <f t="array" ref="C33">INDEX(GMWQ!$A$2:$LR$60,MATCH(1,(GMWQ!$LQ$2:$LQ$60=C$3)*(GMWQ!$LP$2:$LP$60=C$4)*(GMWQ!$LR$2:$LR$60=C$1),0),$B33-1966)</f>
        <v>243369</v>
      </c>
      <c r="D33" s="7" cm="1">
        <f t="array" ref="D33">INDEX(GMWQ!$A$2:$LR$60,MATCH(1,(GMWQ!$LQ$2:$LQ$60=D$3)*(GMWQ!$LP$2:$LP$60=D$4)*(GMWQ!$LR$2:$LR$60=D$1),0),$B33-1966)</f>
        <v>50.12706</v>
      </c>
      <c r="E33" s="7" cm="1">
        <f t="array" ref="E33">INDEX(GMWQ!$A$2:$LR$60,MATCH(1,(GMWQ!$LQ$2:$LQ$60=E$3)*(GMWQ!$LP$2:$LP$60=E$4)*(GMWQ!$LR$2:$LR$60=E$1),0),$B33-1966)</f>
        <v>28.910589999999999</v>
      </c>
      <c r="F33" s="7" cm="1">
        <f t="array" ref="F33">INDEX(GMWQ!$A$2:$LR$60,MATCH(1,(GMWQ!$LQ$2:$LQ$60=F$3)*(GMWQ!$LP$2:$LP$60=F$4)*(GMWQ!$LR$2:$LR$60=F$1),0),$B33-1966)</f>
        <v>25749</v>
      </c>
      <c r="G33" s="7" cm="1">
        <f t="array" ref="G33">INDEX(GMWQ!$A$2:$LR$60,MATCH(1,(GMWQ!$LQ$2:$LQ$60=G$3)*(GMWQ!$LP$2:$LP$60=G$4)*(GMWQ!$LR$2:$LR$60=G$1),0),$B33-1966)</f>
        <v>5382.5020000000004</v>
      </c>
      <c r="H33" s="7" cm="1">
        <f t="array" ref="H33">INDEX(GMWQ!$A$2:$LR$60,MATCH(1,(GMWQ!$LQ$2:$LQ$60=H$3)*(GMWQ!$LP$2:$LP$60=H$4)*(GMWQ!$LR$2:$LR$60=H$1),0),$B33-1966)</f>
        <v>1258.576</v>
      </c>
      <c r="I33" s="7" cm="1">
        <f t="array" ref="I33">INDEX(GMWQ!$A$2:$LR$60,MATCH(1,(GMWQ!$LQ$2:$LQ$60=I$3)*(GMWQ!$LP$2:$LP$60=I$4)*(GMWQ!$LR$2:$LR$60=I$1),0),$B33-1966)</f>
        <v>26.698799999999999</v>
      </c>
      <c r="J33" s="7" cm="1">
        <f t="array" ref="J33">INDEX(GMWQ!$A$2:$LR$60,MATCH(1,(GMWQ!$LQ$2:$LQ$60=J$3)*(GMWQ!$LP$2:$LP$60=J$4)*(GMWQ!$LR$2:$LR$60=J$1),0),$B33-1966)</f>
        <v>22593.14</v>
      </c>
      <c r="K33" s="7" cm="1">
        <f t="array" ref="K33">INDEX(GMWQ!$A$2:$LR$60,MATCH(1,(GMWQ!$LQ$2:$LQ$60=K$3)*(GMWQ!$LP$2:$LP$60=K$4)*(GMWQ!$LR$2:$LR$60=K$1),0),$B33-1966)</f>
        <v>14</v>
      </c>
      <c r="L33" s="7" cm="1">
        <f t="array" ref="L33">INDEX(GMWQ!$A$2:$LR$60,MATCH(1,(GMWQ!$LQ$2:$LQ$60=L$3)*(GMWQ!$LP$2:$LP$60=L$4)*(GMWQ!$LR$2:$LR$60=L$1),0),$B33-1966)</f>
        <v>5.4</v>
      </c>
      <c r="M33" s="7" cm="1">
        <f t="array" ref="M33">INDEX(GMWQ!$A$2:$LR$60,MATCH(1,(GMWQ!$LQ$2:$LQ$60=M$3)*(GMWQ!$LP$2:$LP$60=M$4)*(GMWQ!$LR$2:$LR$60=M$1),0),$B33-1966)</f>
        <v>9.1774819999999995</v>
      </c>
      <c r="N33" s="7" cm="1">
        <f t="array" ref="N33">INDEX(GMWQ!$A$2:$LR$60,MATCH(1,(GMWQ!$LQ$2:$LQ$60=N$3)*(GMWQ!$LP$2:$LP$60=N$4)*(GMWQ!$LR$2:$LR$60=N$1),0),$B33-1966)</f>
        <v>1E-3</v>
      </c>
      <c r="O33" s="7" cm="1">
        <f t="array" ref="O33">INDEX(GMWQ!$A$2:$LR$60,MATCH(1,(GMWQ!$LQ$2:$LQ$60=O$3)*(GMWQ!$LP$2:$LP$60=O$4)*(GMWQ!$LR$2:$LR$60=O$1),0),$B33-1966)</f>
        <v>1E-3</v>
      </c>
      <c r="P33" s="7" cm="1">
        <f t="array" ref="P33">INDEX(GMWQ!$A$2:$LR$60,MATCH(1,(GMWQ!$LQ$2:$LQ$60=P$3)*(GMWQ!$LP$2:$LP$60=P$4)*(GMWQ!$LR$2:$LR$60=P$1),0),$B33-1966)</f>
        <v>36483</v>
      </c>
      <c r="Q33" s="7" cm="1">
        <f t="array" ref="Q33">INDEX(GMWQ!$A$2:$LR$60,MATCH(1,(GMWQ!$LQ$2:$LQ$60=Q$3)*(GMWQ!$LP$2:$LP$60=Q$4)*(GMWQ!$LR$2:$LR$60=Q$1),0),$B33-1966)</f>
        <v>11.75</v>
      </c>
      <c r="R33" s="7" cm="1">
        <f t="array" ref="R33">INDEX(GMWQ!$A$2:$LR$60,MATCH(1,(GMWQ!$LQ$2:$LQ$60=R$3)*(GMWQ!$LP$2:$LP$60=R$4)*(GMWQ!$LR$2:$LR$60=R$1),0),$B33-1966)</f>
        <v>1E-3</v>
      </c>
      <c r="S33" s="7" cm="1">
        <f t="array" ref="S33">INDEX(GMWQ!$A$2:$LR$60,MATCH(1,(GMWQ!$LQ$2:$LQ$60=S$3)*(GMWQ!$LP$2:$LP$60=S$4)*(GMWQ!$LR$2:$LR$60=S$1),0),$B33-1966)</f>
        <v>333</v>
      </c>
      <c r="T33" s="7" cm="1">
        <f t="array" ref="T33">INDEX(GMWQ!$A$2:$LR$60,MATCH(1,(GMWQ!$LQ$2:$LQ$60=T$3)*(GMWQ!$LP$2:$LP$60=T$4)*(GMWQ!$LR$2:$LR$60=T$1),0),$B33-1966)</f>
        <v>1E-3</v>
      </c>
      <c r="U33" s="7" cm="1">
        <f t="array" ref="U33">INDEX(GMWQ!$A$2:$LR$60,MATCH(1,(GMWQ!$LQ$2:$LQ$60=U$3)*(GMWQ!$LP$2:$LP$60=U$4)*(GMWQ!$LR$2:$LR$60=U$1),0),$B33-1966)</f>
        <v>0</v>
      </c>
      <c r="V33" s="7" cm="1">
        <f t="array" ref="V33">INDEX(GMWQ!$A$2:$LR$60,MATCH(1,(GMWQ!$LQ$2:$LQ$60=V$3)*(GMWQ!$LP$2:$LP$60=V$4)*(GMWQ!$LR$2:$LR$60=V$1),0),$B33-1966)</f>
        <v>1E-3</v>
      </c>
      <c r="W33" s="7" cm="1">
        <f t="array" ref="W33">INDEX(GMWQ!$A$2:$LR$60,MATCH(1,(GMWQ!$LQ$2:$LQ$60=W$3)*(GMWQ!$LP$2:$LP$60=W$4)*(GMWQ!$LR$2:$LR$60=W$1),0),$B33-1966)</f>
        <v>7.6913289999999996</v>
      </c>
      <c r="X33" s="7" cm="1">
        <f t="array" ref="X33">INDEX(GMWQ!$A$2:$LR$60,MATCH(1,(GMWQ!$LQ$2:$LQ$60=X$3)*(GMWQ!$LP$2:$LP$60=X$4)*(GMWQ!$LR$2:$LR$60=X$1),0),$B33-1966)</f>
        <v>827674.9</v>
      </c>
      <c r="Y33" s="7" cm="1">
        <f t="array" ref="Y33">INDEX(GMWQ!$A$2:$LR$60,MATCH(1,(GMWQ!$LQ$2:$LQ$60=Y$3)*(GMWQ!$LP$2:$LP$60=Y$4)*(GMWQ!$LR$2:$LR$60=Y$1),0),$B33-1966)</f>
        <v>23.325489999999999</v>
      </c>
      <c r="Z33" s="7" cm="1">
        <f t="array" ref="Z33">INDEX(GMWQ!$A$2:$LR$60,MATCH(1,(GMWQ!$LQ$2:$LQ$60=Z$3)*(GMWQ!$LP$2:$LP$60=Z$4)*(GMWQ!$LR$2:$LR$60=Z$1),0),$B33-1966)</f>
        <v>238584.2</v>
      </c>
      <c r="AA33" s="7" cm="1">
        <f t="array" ref="AA33">INDEX(GMWQ!$A$2:$LR$60,MATCH(1,(GMWQ!$LQ$2:$LQ$60=AA$3)*(GMWQ!$LP$2:$LP$60=AA$4)*(GMWQ!$LR$2:$LR$60=AA$1),0),$B33-1966)</f>
        <v>20016</v>
      </c>
      <c r="AB33" s="7" cm="1">
        <f t="array" ref="AB33">INDEX(GMWQ!$A$2:$LR$60,MATCH(1,(GMWQ!$LQ$2:$LQ$60=AB$3)*(GMWQ!$LP$2:$LP$60=AB$4)*(GMWQ!$LR$2:$LR$60=AB$1),0),$B33-1966)</f>
        <v>19068</v>
      </c>
      <c r="AC33" s="7" cm="1">
        <f t="array" ref="AC33">INDEX(GMWQ!$A$2:$LR$60,MATCH(1,(GMWQ!$LQ$2:$LQ$60=AC$3)*(GMWQ!$LP$2:$LP$60=AC$4)*(GMWQ!$LR$2:$LR$60=AC$1),0),$B33-1966)</f>
        <v>1492</v>
      </c>
      <c r="AD33" s="7" cm="1">
        <f t="array" ref="AD33">INDEX(GMWQ!$A$2:$LR$60,MATCH(1,(GMWQ!$LQ$2:$LQ$60=AD$3)*(GMWQ!$LP$2:$LP$60=AD$4)*(GMWQ!$LR$2:$LR$60=AD$1),0),$B33-1966)</f>
        <v>2390</v>
      </c>
      <c r="AE33" s="7" cm="1">
        <f t="array" ref="AE33">INDEX(GMWQ!$A$2:$LR$60,MATCH(1,(GMWQ!$LQ$2:$LQ$60=AE$3)*(GMWQ!$LP$2:$LP$60=AE$4)*(GMWQ!$LR$2:$LR$60=AE$1),0),$B33-1966)</f>
        <v>56767</v>
      </c>
      <c r="AF33" s="20" cm="1">
        <f t="array" ref="AF33">INDEX(GMWQ!$A$2:$LR$60,MATCH(1,(GMWQ!$LQ$2:$LQ$60=AF$3)*(GMWQ!$LP$2:$LP$60=AF$4)*(GMWQ!$LR$2:$LR$60=AF$1),0),$B33-1966)</f>
        <v>14</v>
      </c>
      <c r="AG33" s="20" cm="1">
        <f t="array" ref="AG33">INDEX(GMWQ!$A$2:$LR$60,MATCH(1,(GMWQ!$LQ$2:$LQ$60=AG$3)*(GMWQ!$LP$2:$LP$60=AG$4)*(GMWQ!$LR$2:$LR$60=AG$1),0),$B33-1966)</f>
        <v>-339.01389999999998</v>
      </c>
      <c r="AI33" s="23" cm="1">
        <f t="array" ref="AI33">INDEX(GMWQ!$A$2:$LR$60,MATCH(1,(GMWQ!$LQ$2:$LQ$60=AI$3)*(GMWQ!$LP$2:$LP$60=AI$4)*(GMWQ!$LR$2:$LR$60=AI$1),0),$B33-1966)</f>
        <v>36483</v>
      </c>
      <c r="AJ33" s="23" cm="1">
        <f t="array" ref="AJ33">INDEX(GMWQ!$A$2:$LR$60,MATCH(1,(GMWQ!$LQ$2:$LQ$60=AJ$3)*(GMWQ!$LP$2:$LP$60=AJ$4)*(GMWQ!$LR$2:$LR$60=AJ$1),0),$B33-1966)</f>
        <v>26.698799999999999</v>
      </c>
      <c r="AK33" s="23" cm="1">
        <f t="array" ref="AK33">INDEX(GMWQ!$A$2:$LR$60,MATCH(1,(GMWQ!$LQ$2:$LQ$60=AK$3)*(GMWQ!$LP$2:$LP$60=AK$4)*(GMWQ!$LR$2:$LR$60=AK$1),0),$B33-1966)</f>
        <v>25749</v>
      </c>
      <c r="AL33" s="23" cm="1">
        <f t="array" ref="AL33">INDEX(GMWQ!$A$2:$LR$60,MATCH(1,(GMWQ!$LQ$2:$LQ$60=AL$3)*(GMWQ!$LP$2:$LP$60=AL$4)*(GMWQ!$LR$2:$LR$60=AL$1),0),$B33-1966)</f>
        <v>1139.682</v>
      </c>
      <c r="AM33" s="23" cm="1">
        <f t="array" ref="AM33">INDEX(GMWQ!$A$2:$LR$60,MATCH(1,(GMWQ!$LQ$2:$LQ$60=AM$3)*(GMWQ!$LP$2:$LP$60=AM$4)*(GMWQ!$LR$2:$LR$60=AM$1),0),$B33-1966)</f>
        <v>22593.14</v>
      </c>
      <c r="AN33" s="23" cm="1">
        <f t="array" ref="AN33">INDEX(GMWQ!$A$2:$LR$60,MATCH(1,(GMWQ!$LQ$2:$LQ$60=AN$3)*(GMWQ!$LP$2:$LP$60=AN$4)*(GMWQ!$LR$2:$LR$60=AN$1),0),$B33-1966)</f>
        <v>5382.5020000000004</v>
      </c>
      <c r="AO33" s="23" cm="1">
        <f t="array" ref="AO33">INDEX(GMWQ!$A$2:$LR$60,MATCH(1,(GMWQ!$LQ$2:$LQ$60=AO$3)*(GMWQ!$LP$2:$LP$60=AO$4)*(GMWQ!$LR$2:$LR$60=AO$1),0),$B33-1966)</f>
        <v>1258.576</v>
      </c>
      <c r="AP33" s="23" cm="1">
        <f t="array" ref="AP33">INDEX(GMWQ!$A$2:$LR$60,MATCH(1,(GMWQ!$LQ$2:$LQ$60=AP$3)*(GMWQ!$LP$2:$LP$60=AP$4)*(GMWQ!$LR$2:$LR$60=AP$1),0),$B33-1966)</f>
        <v>-339.01389999999998</v>
      </c>
      <c r="AQ33" s="23" cm="1">
        <f t="array" ref="AQ33">INDEX(GMWQ!$A$2:$LR$60,MATCH(1,(GMWQ!$LQ$2:$LQ$60=AQ$3)*(GMWQ!$LP$2:$LP$60=AQ$4)*(GMWQ!$LR$2:$LR$60=AQ$1),0),$B33-1966)</f>
        <v>5364.6480000000001</v>
      </c>
      <c r="AR33" s="23" cm="1">
        <f t="array" ref="AR33">INDEX(GMWQ!$A$2:$LR$60,MATCH(1,(GMWQ!$LQ$2:$LQ$60=AR$3)*(GMWQ!$LP$2:$LP$60=AR$4)*(GMWQ!$LR$2:$LR$60=AR$1),0),$B33-1966)</f>
        <v>33291</v>
      </c>
      <c r="AS33" s="23" cm="1">
        <f t="array" ref="AS33">INDEX(GMWQ!$A$2:$LR$60,MATCH(1,(GMWQ!$LQ$2:$LQ$60=AS$3)*(GMWQ!$LP$2:$LP$60=AS$4)*(GMWQ!$LR$2:$LR$60=AS$1),0),$B33-1966)</f>
        <v>490</v>
      </c>
      <c r="AT33" s="23" cm="1">
        <f t="array" ref="AT33">INDEX(GMWQ!$A$2:$LR$60,MATCH(1,(GMWQ!$LQ$2:$LQ$60=AT$3)*(GMWQ!$LP$2:$LP$60=AT$4)*(GMWQ!$LR$2:$LR$60=AT$1),0),$B33-1966)</f>
        <v>124691</v>
      </c>
      <c r="AU33" s="23" cm="1">
        <f t="array" ref="AU33">INDEX(GMWQ!$A$2:$LR$60,MATCH(1,(GMWQ!$LQ$2:$LQ$60=AU$3)*(GMWQ!$LP$2:$LP$60=AU$4)*(GMWQ!$LR$2:$LR$60=AU$1),0),$B33-1966)</f>
        <v>3857</v>
      </c>
    </row>
    <row r="34" spans="1:47" x14ac:dyDescent="0.35">
      <c r="B34" s="7">
        <f t="shared" si="1"/>
        <v>2000</v>
      </c>
      <c r="C34" s="7" cm="1">
        <f t="array" ref="C34">INDEX(GMWQ!$A$2:$LR$60,MATCH(1,(GMWQ!$LQ$2:$LQ$60=C$3)*(GMWQ!$LP$2:$LP$60=C$4)*(GMWQ!$LR$2:$LR$60=C$1),0),$B34-1966)</f>
        <v>245858</v>
      </c>
      <c r="D34" s="7" cm="1">
        <f t="array" ref="D34">INDEX(GMWQ!$A$2:$LR$60,MATCH(1,(GMWQ!$LQ$2:$LQ$60=D$3)*(GMWQ!$LP$2:$LP$60=D$4)*(GMWQ!$LR$2:$LR$60=D$1),0),$B34-1966)</f>
        <v>52.644150000000003</v>
      </c>
      <c r="E34" s="7" cm="1">
        <f t="array" ref="E34">INDEX(GMWQ!$A$2:$LR$60,MATCH(1,(GMWQ!$LQ$2:$LQ$60=E$3)*(GMWQ!$LP$2:$LP$60=E$4)*(GMWQ!$LR$2:$LR$60=E$1),0),$B34-1966)</f>
        <v>29.718730000000001</v>
      </c>
      <c r="F34" s="7" cm="1">
        <f t="array" ref="F34">INDEX(GMWQ!$A$2:$LR$60,MATCH(1,(GMWQ!$LQ$2:$LQ$60=F$3)*(GMWQ!$LP$2:$LP$60=F$4)*(GMWQ!$LR$2:$LR$60=F$1),0),$B34-1966)</f>
        <v>27095</v>
      </c>
      <c r="G34" s="7" cm="1">
        <f t="array" ref="G34">INDEX(GMWQ!$A$2:$LR$60,MATCH(1,(GMWQ!$LQ$2:$LQ$60=G$3)*(GMWQ!$LP$2:$LP$60=G$4)*(GMWQ!$LR$2:$LR$60=G$1),0),$B34-1966)</f>
        <v>5196.5569999999998</v>
      </c>
      <c r="H34" s="7" cm="1">
        <f t="array" ref="H34">INDEX(GMWQ!$A$2:$LR$60,MATCH(1,(GMWQ!$LQ$2:$LQ$60=H$3)*(GMWQ!$LP$2:$LP$60=H$4)*(GMWQ!$LR$2:$LR$60=H$1),0),$B34-1966)</f>
        <v>1329.318</v>
      </c>
      <c r="I34" s="7" cm="1">
        <f t="array" ref="I34">INDEX(GMWQ!$A$2:$LR$60,MATCH(1,(GMWQ!$LQ$2:$LQ$60=I$3)*(GMWQ!$LP$2:$LP$60=I$4)*(GMWQ!$LR$2:$LR$60=I$1),0),$B34-1966)</f>
        <v>27.827580000000001</v>
      </c>
      <c r="J34" s="7" cm="1">
        <f t="array" ref="J34">INDEX(GMWQ!$A$2:$LR$60,MATCH(1,(GMWQ!$LQ$2:$LQ$60=J$3)*(GMWQ!$LP$2:$LP$60=J$4)*(GMWQ!$LR$2:$LR$60=J$1),0),$B34-1966)</f>
        <v>22610.240000000002</v>
      </c>
      <c r="K34" s="7" cm="1">
        <f t="array" ref="K34">INDEX(GMWQ!$A$2:$LR$60,MATCH(1,(GMWQ!$LQ$2:$LQ$60=K$3)*(GMWQ!$LP$2:$LP$60=K$4)*(GMWQ!$LR$2:$LR$60=K$1),0),$B34-1966)</f>
        <v>17</v>
      </c>
      <c r="L34" s="7" cm="1">
        <f t="array" ref="L34">INDEX(GMWQ!$A$2:$LR$60,MATCH(1,(GMWQ!$LQ$2:$LQ$60=L$3)*(GMWQ!$LP$2:$LP$60=L$4)*(GMWQ!$LR$2:$LR$60=L$1),0),$B34-1966)</f>
        <v>5.5</v>
      </c>
      <c r="M34" s="7" cm="1">
        <f t="array" ref="M34">INDEX(GMWQ!$A$2:$LR$60,MATCH(1,(GMWQ!$LQ$2:$LQ$60=M$3)*(GMWQ!$LP$2:$LP$60=M$4)*(GMWQ!$LR$2:$LR$60=M$1),0),$B34-1966)</f>
        <v>9.8489500000000003</v>
      </c>
      <c r="N34" s="7" cm="1">
        <f t="array" ref="N34">INDEX(GMWQ!$A$2:$LR$60,MATCH(1,(GMWQ!$LQ$2:$LQ$60=N$3)*(GMWQ!$LP$2:$LP$60=N$4)*(GMWQ!$LR$2:$LR$60=N$1),0),$B34-1966)</f>
        <v>1E-3</v>
      </c>
      <c r="O34" s="7" cm="1">
        <f t="array" ref="O34">INDEX(GMWQ!$A$2:$LR$60,MATCH(1,(GMWQ!$LQ$2:$LQ$60=O$3)*(GMWQ!$LP$2:$LP$60=O$4)*(GMWQ!$LR$2:$LR$60=O$1),0),$B34-1966)</f>
        <v>1E-3</v>
      </c>
      <c r="P34" s="7" cm="1">
        <f t="array" ref="P34">INDEX(GMWQ!$A$2:$LR$60,MATCH(1,(GMWQ!$LQ$2:$LQ$60=P$3)*(GMWQ!$LP$2:$LP$60=P$4)*(GMWQ!$LR$2:$LR$60=P$1),0),$B34-1966)</f>
        <v>39802</v>
      </c>
      <c r="Q34" s="7" cm="1">
        <f t="array" ref="Q34">INDEX(GMWQ!$A$2:$LR$60,MATCH(1,(GMWQ!$LQ$2:$LQ$60=Q$3)*(GMWQ!$LP$2:$LP$60=Q$4)*(GMWQ!$LR$2:$LR$60=Q$1),0),$B34-1966)</f>
        <v>13.38</v>
      </c>
      <c r="R34" s="7" cm="1">
        <f t="array" ref="R34">INDEX(GMWQ!$A$2:$LR$60,MATCH(1,(GMWQ!$LQ$2:$LQ$60=R$3)*(GMWQ!$LP$2:$LP$60=R$4)*(GMWQ!$LR$2:$LR$60=R$1),0),$B34-1966)</f>
        <v>1E-3</v>
      </c>
      <c r="S34" s="7" cm="1">
        <f t="array" ref="S34">INDEX(GMWQ!$A$2:$LR$60,MATCH(1,(GMWQ!$LQ$2:$LQ$60=S$3)*(GMWQ!$LP$2:$LP$60=S$4)*(GMWQ!$LR$2:$LR$60=S$1),0),$B34-1966)</f>
        <v>325</v>
      </c>
      <c r="T34" s="7" cm="1">
        <f t="array" ref="T34">INDEX(GMWQ!$A$2:$LR$60,MATCH(1,(GMWQ!$LQ$2:$LQ$60=T$3)*(GMWQ!$LP$2:$LP$60=T$4)*(GMWQ!$LR$2:$LR$60=T$1),0),$B34-1966)</f>
        <v>1E-3</v>
      </c>
      <c r="U34" s="7" cm="1">
        <f t="array" ref="U34">INDEX(GMWQ!$A$2:$LR$60,MATCH(1,(GMWQ!$LQ$2:$LQ$60=U$3)*(GMWQ!$LP$2:$LP$60=U$4)*(GMWQ!$LR$2:$LR$60=U$1),0),$B34-1966)</f>
        <v>0</v>
      </c>
      <c r="V34" s="7" cm="1">
        <f t="array" ref="V34">INDEX(GMWQ!$A$2:$LR$60,MATCH(1,(GMWQ!$LQ$2:$LQ$60=V$3)*(GMWQ!$LP$2:$LP$60=V$4)*(GMWQ!$LR$2:$LR$60=V$1),0),$B34-1966)</f>
        <v>1E-3</v>
      </c>
      <c r="W34" s="7" cm="1">
        <f t="array" ref="W34">INDEX(GMWQ!$A$2:$LR$60,MATCH(1,(GMWQ!$LQ$2:$LQ$60=W$3)*(GMWQ!$LP$2:$LP$60=W$4)*(GMWQ!$LR$2:$LR$60=W$1),0),$B34-1966)</f>
        <v>8.2681730000000009</v>
      </c>
      <c r="X34" s="7" cm="1">
        <f t="array" ref="X34">INDEX(GMWQ!$A$2:$LR$60,MATCH(1,(GMWQ!$LQ$2:$LQ$60=X$3)*(GMWQ!$LP$2:$LP$60=X$4)*(GMWQ!$LR$2:$LR$60=X$1),0),$B34-1966)</f>
        <v>837736.3</v>
      </c>
      <c r="Y34" s="7" cm="1">
        <f t="array" ref="Y34">INDEX(GMWQ!$A$2:$LR$60,MATCH(1,(GMWQ!$LQ$2:$LQ$60=Y$3)*(GMWQ!$LP$2:$LP$60=Y$4)*(GMWQ!$LR$2:$LR$60=Y$1),0),$B34-1966)</f>
        <v>24.31851</v>
      </c>
      <c r="Z34" s="7" cm="1">
        <f t="array" ref="Z34">INDEX(GMWQ!$A$2:$LR$60,MATCH(1,(GMWQ!$LQ$2:$LQ$60=Z$3)*(GMWQ!$LP$2:$LP$60=Z$4)*(GMWQ!$LR$2:$LR$60=Z$1),0),$B34-1966)</f>
        <v>239987</v>
      </c>
      <c r="AA34" s="7" cm="1">
        <f t="array" ref="AA34">INDEX(GMWQ!$A$2:$LR$60,MATCH(1,(GMWQ!$LQ$2:$LQ$60=AA$3)*(GMWQ!$LP$2:$LP$60=AA$4)*(GMWQ!$LR$2:$LR$60=AA$1),0),$B34-1966)</f>
        <v>22156</v>
      </c>
      <c r="AB34" s="7" cm="1">
        <f t="array" ref="AB34">INDEX(GMWQ!$A$2:$LR$60,MATCH(1,(GMWQ!$LQ$2:$LQ$60=AB$3)*(GMWQ!$LP$2:$LP$60=AB$4)*(GMWQ!$LR$2:$LR$60=AB$1),0),$B34-1966)</f>
        <v>20021</v>
      </c>
      <c r="AC34" s="7" cm="1">
        <f t="array" ref="AC34">INDEX(GMWQ!$A$2:$LR$60,MATCH(1,(GMWQ!$LQ$2:$LQ$60=AC$3)*(GMWQ!$LP$2:$LP$60=AC$4)*(GMWQ!$LR$2:$LR$60=AC$1),0),$B34-1966)</f>
        <v>1405</v>
      </c>
      <c r="AD34" s="7" cm="1">
        <f t="array" ref="AD34">INDEX(GMWQ!$A$2:$LR$60,MATCH(1,(GMWQ!$LQ$2:$LQ$60=AD$3)*(GMWQ!$LP$2:$LP$60=AD$4)*(GMWQ!$LR$2:$LR$60=AD$1),0),$B34-1966)</f>
        <v>2531</v>
      </c>
      <c r="AE34" s="7" cm="1">
        <f t="array" ref="AE34">INDEX(GMWQ!$A$2:$LR$60,MATCH(1,(GMWQ!$LQ$2:$LQ$60=AE$3)*(GMWQ!$LP$2:$LP$60=AE$4)*(GMWQ!$LR$2:$LR$60=AE$1),0),$B34-1966)</f>
        <v>59789</v>
      </c>
      <c r="AF34" s="20" cm="1">
        <f t="array" ref="AF34">INDEX(GMWQ!$A$2:$LR$60,MATCH(1,(GMWQ!$LQ$2:$LQ$60=AF$3)*(GMWQ!$LP$2:$LP$60=AF$4)*(GMWQ!$LR$2:$LR$60=AF$1),0),$B34-1966)</f>
        <v>15.5</v>
      </c>
      <c r="AG34" s="20" cm="1">
        <f t="array" ref="AG34">INDEX(GMWQ!$A$2:$LR$60,MATCH(1,(GMWQ!$LQ$2:$LQ$60=AG$3)*(GMWQ!$LP$2:$LP$60=AG$4)*(GMWQ!$LR$2:$LR$60=AG$1),0),$B34-1966)</f>
        <v>-410.79070000000002</v>
      </c>
      <c r="AI34" s="23" cm="1">
        <f t="array" ref="AI34">INDEX(GMWQ!$A$2:$LR$60,MATCH(1,(GMWQ!$LQ$2:$LQ$60=AI$3)*(GMWQ!$LP$2:$LP$60=AI$4)*(GMWQ!$LR$2:$LR$60=AI$1),0),$B34-1966)</f>
        <v>39802</v>
      </c>
      <c r="AJ34" s="23" cm="1">
        <f t="array" ref="AJ34">INDEX(GMWQ!$A$2:$LR$60,MATCH(1,(GMWQ!$LQ$2:$LQ$60=AJ$3)*(GMWQ!$LP$2:$LP$60=AJ$4)*(GMWQ!$LR$2:$LR$60=AJ$1),0),$B34-1966)</f>
        <v>27.827580000000001</v>
      </c>
      <c r="AK34" s="23" cm="1">
        <f t="array" ref="AK34">INDEX(GMWQ!$A$2:$LR$60,MATCH(1,(GMWQ!$LQ$2:$LQ$60=AK$3)*(GMWQ!$LP$2:$LP$60=AK$4)*(GMWQ!$LR$2:$LR$60=AK$1),0),$B34-1966)</f>
        <v>27095</v>
      </c>
      <c r="AL34" s="23" cm="1">
        <f t="array" ref="AL34">INDEX(GMWQ!$A$2:$LR$60,MATCH(1,(GMWQ!$LQ$2:$LQ$60=AL$3)*(GMWQ!$LP$2:$LP$60=AL$4)*(GMWQ!$LR$2:$LR$60=AL$1),0),$B34-1966)</f>
        <v>1198.3510000000001</v>
      </c>
      <c r="AM34" s="23" cm="1">
        <f t="array" ref="AM34">INDEX(GMWQ!$A$2:$LR$60,MATCH(1,(GMWQ!$LQ$2:$LQ$60=AM$3)*(GMWQ!$LP$2:$LP$60=AM$4)*(GMWQ!$LR$2:$LR$60=AM$1),0),$B34-1966)</f>
        <v>22610.240000000002</v>
      </c>
      <c r="AN34" s="23" cm="1">
        <f t="array" ref="AN34">INDEX(GMWQ!$A$2:$LR$60,MATCH(1,(GMWQ!$LQ$2:$LQ$60=AN$3)*(GMWQ!$LP$2:$LP$60=AN$4)*(GMWQ!$LR$2:$LR$60=AN$1),0),$B34-1966)</f>
        <v>5196.5569999999998</v>
      </c>
      <c r="AO34" s="23" cm="1">
        <f t="array" ref="AO34">INDEX(GMWQ!$A$2:$LR$60,MATCH(1,(GMWQ!$LQ$2:$LQ$60=AO$3)*(GMWQ!$LP$2:$LP$60=AO$4)*(GMWQ!$LR$2:$LR$60=AO$1),0),$B34-1966)</f>
        <v>1329.318</v>
      </c>
      <c r="AP34" s="23" cm="1">
        <f t="array" ref="AP34">INDEX(GMWQ!$A$2:$LR$60,MATCH(1,(GMWQ!$LQ$2:$LQ$60=AP$3)*(GMWQ!$LP$2:$LP$60=AP$4)*(GMWQ!$LR$2:$LR$60=AP$1),0),$B34-1966)</f>
        <v>-410.79070000000002</v>
      </c>
      <c r="AQ34" s="23" cm="1">
        <f t="array" ref="AQ34">INDEX(GMWQ!$A$2:$LR$60,MATCH(1,(GMWQ!$LQ$2:$LQ$60=AQ$3)*(GMWQ!$LP$2:$LP$60=AQ$4)*(GMWQ!$LR$2:$LR$60=AQ$1),0),$B34-1966)</f>
        <v>5855.2690000000002</v>
      </c>
      <c r="AR34" s="23" cm="1">
        <f t="array" ref="AR34">INDEX(GMWQ!$A$2:$LR$60,MATCH(1,(GMWQ!$LQ$2:$LQ$60=AR$3)*(GMWQ!$LP$2:$LP$60=AR$4)*(GMWQ!$LR$2:$LR$60=AR$1),0),$B34-1966)</f>
        <v>35171</v>
      </c>
      <c r="AS34" s="23" cm="1">
        <f t="array" ref="AS34">INDEX(GMWQ!$A$2:$LR$60,MATCH(1,(GMWQ!$LQ$2:$LQ$60=AS$3)*(GMWQ!$LP$2:$LP$60=AS$4)*(GMWQ!$LR$2:$LR$60=AS$1),0),$B34-1966)</f>
        <v>514</v>
      </c>
      <c r="AT34" s="23" cm="1">
        <f t="array" ref="AT34">INDEX(GMWQ!$A$2:$LR$60,MATCH(1,(GMWQ!$LQ$2:$LQ$60=AT$3)*(GMWQ!$LP$2:$LP$60=AT$4)*(GMWQ!$LR$2:$LR$60=AT$1),0),$B34-1966)</f>
        <v>126389</v>
      </c>
      <c r="AU34" s="23" cm="1">
        <f t="array" ref="AU34">INDEX(GMWQ!$A$2:$LR$60,MATCH(1,(GMWQ!$LQ$2:$LQ$60=AU$3)*(GMWQ!$LP$2:$LP$60=AU$4)*(GMWQ!$LR$2:$LR$60=AU$1),0),$B34-1966)</f>
        <v>3563</v>
      </c>
    </row>
    <row r="35" spans="1:47" x14ac:dyDescent="0.35">
      <c r="A35" s="7">
        <v>1980</v>
      </c>
      <c r="B35" s="7">
        <f t="shared" si="1"/>
        <v>2001</v>
      </c>
      <c r="C35" s="7" cm="1">
        <f t="array" ref="C35">INDEX(GMWQ!$A$2:$LR$60,MATCH(1,(GMWQ!$LQ$2:$LQ$60=C$3)*(GMWQ!$LP$2:$LP$60=C$4)*(GMWQ!$LR$2:$LR$60=C$1),0),$B35-1966)</f>
        <v>243513</v>
      </c>
      <c r="D35" s="7" cm="1">
        <f t="array" ref="D35">INDEX(GMWQ!$A$2:$LR$60,MATCH(1,(GMWQ!$LQ$2:$LQ$60=D$3)*(GMWQ!$LP$2:$LP$60=D$4)*(GMWQ!$LR$2:$LR$60=D$1),0),$B35-1966)</f>
        <v>54.906700000000001</v>
      </c>
      <c r="E35" s="7" cm="1">
        <f t="array" ref="E35">INDEX(GMWQ!$A$2:$LR$60,MATCH(1,(GMWQ!$LQ$2:$LQ$60=E$3)*(GMWQ!$LP$2:$LP$60=E$4)*(GMWQ!$LR$2:$LR$60=E$1),0),$B35-1966)</f>
        <v>30.605080000000001</v>
      </c>
      <c r="F35" s="7" cm="1">
        <f t="array" ref="F35">INDEX(GMWQ!$A$2:$LR$60,MATCH(1,(GMWQ!$LQ$2:$LQ$60=F$3)*(GMWQ!$LP$2:$LP$60=F$4)*(GMWQ!$LR$2:$LR$60=F$1),0),$B35-1966)</f>
        <v>28290</v>
      </c>
      <c r="G35" s="7" cm="1">
        <f t="array" ref="G35">INDEX(GMWQ!$A$2:$LR$60,MATCH(1,(GMWQ!$LQ$2:$LQ$60=G$3)*(GMWQ!$LP$2:$LP$60=G$4)*(GMWQ!$LR$2:$LR$60=G$1),0),$B35-1966)</f>
        <v>5988.8</v>
      </c>
      <c r="H35" s="7" cm="1">
        <f t="array" ref="H35">INDEX(GMWQ!$A$2:$LR$60,MATCH(1,(GMWQ!$LQ$2:$LQ$60=H$3)*(GMWQ!$LP$2:$LP$60=H$4)*(GMWQ!$LR$2:$LR$60=H$1),0),$B35-1966)</f>
        <v>1354.6590000000001</v>
      </c>
      <c r="I35" s="7" cm="1">
        <f t="array" ref="I35">INDEX(GMWQ!$A$2:$LR$60,MATCH(1,(GMWQ!$LQ$2:$LQ$60=I$3)*(GMWQ!$LP$2:$LP$60=I$4)*(GMWQ!$LR$2:$LR$60=I$1),0),$B35-1966)</f>
        <v>28.8795</v>
      </c>
      <c r="J35" s="7" cm="1">
        <f t="array" ref="J35">INDEX(GMWQ!$A$2:$LR$60,MATCH(1,(GMWQ!$LQ$2:$LQ$60=J$3)*(GMWQ!$LP$2:$LP$60=J$4)*(GMWQ!$LR$2:$LR$60=J$1),0),$B35-1966)</f>
        <v>22512.13</v>
      </c>
      <c r="K35" s="7" cm="1">
        <f t="array" ref="K35">INDEX(GMWQ!$A$2:$LR$60,MATCH(1,(GMWQ!$LQ$2:$LQ$60=K$3)*(GMWQ!$LP$2:$LP$60=K$4)*(GMWQ!$LR$2:$LR$60=K$1),0),$B35-1966)</f>
        <v>17</v>
      </c>
      <c r="L35" s="7" cm="1">
        <f t="array" ref="L35">INDEX(GMWQ!$A$2:$LR$60,MATCH(1,(GMWQ!$LQ$2:$LQ$60=L$3)*(GMWQ!$LP$2:$LP$60=L$4)*(GMWQ!$LR$2:$LR$60=L$1),0),$B35-1966)</f>
        <v>5.8</v>
      </c>
      <c r="M35" s="7" cm="1">
        <f t="array" ref="M35">INDEX(GMWQ!$A$2:$LR$60,MATCH(1,(GMWQ!$LQ$2:$LQ$60=M$3)*(GMWQ!$LP$2:$LP$60=M$4)*(GMWQ!$LR$2:$LR$60=M$1),0),$B35-1966)</f>
        <v>10.20975</v>
      </c>
      <c r="N35" s="7" cm="1">
        <f t="array" ref="N35">INDEX(GMWQ!$A$2:$LR$60,MATCH(1,(GMWQ!$LQ$2:$LQ$60=N$3)*(GMWQ!$LP$2:$LP$60=N$4)*(GMWQ!$LR$2:$LR$60=N$1),0),$B35-1966)</f>
        <v>1E-3</v>
      </c>
      <c r="O35" s="7" cm="1">
        <f t="array" ref="O35">INDEX(GMWQ!$A$2:$LR$60,MATCH(1,(GMWQ!$LQ$2:$LQ$60=O$3)*(GMWQ!$LP$2:$LP$60=O$4)*(GMWQ!$LR$2:$LR$60=O$1),0),$B35-1966)</f>
        <v>1E-3</v>
      </c>
      <c r="P35" s="7" cm="1">
        <f t="array" ref="P35">INDEX(GMWQ!$A$2:$LR$60,MATCH(1,(GMWQ!$LQ$2:$LQ$60=P$3)*(GMWQ!$LP$2:$LP$60=P$4)*(GMWQ!$LR$2:$LR$60=P$1),0),$B35-1966)</f>
        <v>40290</v>
      </c>
      <c r="Q35" s="7" cm="1">
        <f t="array" ref="Q35">INDEX(GMWQ!$A$2:$LR$60,MATCH(1,(GMWQ!$LQ$2:$LQ$60=Q$3)*(GMWQ!$LP$2:$LP$60=Q$4)*(GMWQ!$LR$2:$LR$60=Q$1),0),$B35-1966)</f>
        <v>14.7821</v>
      </c>
      <c r="R35" s="7" cm="1">
        <f t="array" ref="R35">INDEX(GMWQ!$A$2:$LR$60,MATCH(1,(GMWQ!$LQ$2:$LQ$60=R$3)*(GMWQ!$LP$2:$LP$60=R$4)*(GMWQ!$LR$2:$LR$60=R$1),0),$B35-1966)</f>
        <v>1E-3</v>
      </c>
      <c r="S35" s="7" cm="1">
        <f t="array" ref="S35">INDEX(GMWQ!$A$2:$LR$60,MATCH(1,(GMWQ!$LQ$2:$LQ$60=S$3)*(GMWQ!$LP$2:$LP$60=S$4)*(GMWQ!$LR$2:$LR$60=S$1),0),$B35-1966)</f>
        <v>333</v>
      </c>
      <c r="T35" s="7" cm="1">
        <f t="array" ref="T35">INDEX(GMWQ!$A$2:$LR$60,MATCH(1,(GMWQ!$LQ$2:$LQ$60=T$3)*(GMWQ!$LP$2:$LP$60=T$4)*(GMWQ!$LR$2:$LR$60=T$1),0),$B35-1966)</f>
        <v>1E-3</v>
      </c>
      <c r="U35" s="7" cm="1">
        <f t="array" ref="U35">INDEX(GMWQ!$A$2:$LR$60,MATCH(1,(GMWQ!$LQ$2:$LQ$60=U$3)*(GMWQ!$LP$2:$LP$60=U$4)*(GMWQ!$LR$2:$LR$60=U$1),0),$B35-1966)</f>
        <v>1377.6559999999999</v>
      </c>
      <c r="V35" s="7" cm="1">
        <f t="array" ref="V35">INDEX(GMWQ!$A$2:$LR$60,MATCH(1,(GMWQ!$LQ$2:$LQ$60=V$3)*(GMWQ!$LP$2:$LP$60=V$4)*(GMWQ!$LR$2:$LR$60=V$1),0),$B35-1966)</f>
        <v>1E-3</v>
      </c>
      <c r="W35" s="7" cm="1">
        <f t="array" ref="W35">INDEX(GMWQ!$A$2:$LR$60,MATCH(1,(GMWQ!$LQ$2:$LQ$60=W$3)*(GMWQ!$LP$2:$LP$60=W$4)*(GMWQ!$LR$2:$LR$60=W$1),0),$B35-1966)</f>
        <v>9.5942100000000003</v>
      </c>
      <c r="X35" s="7" cm="1">
        <f t="array" ref="X35">INDEX(GMWQ!$A$2:$LR$60,MATCH(1,(GMWQ!$LQ$2:$LQ$60=X$3)*(GMWQ!$LP$2:$LP$60=X$4)*(GMWQ!$LR$2:$LR$60=X$1),0),$B35-1966)</f>
        <v>847796.5</v>
      </c>
      <c r="Y35" s="7" cm="1">
        <f t="array" ref="Y35">INDEX(GMWQ!$A$2:$LR$60,MATCH(1,(GMWQ!$LQ$2:$LQ$60=Y$3)*(GMWQ!$LP$2:$LP$60=Y$4)*(GMWQ!$LR$2:$LR$60=Y$1),0),$B35-1966)</f>
        <v>25.50459</v>
      </c>
      <c r="Z35" s="7" cm="1">
        <f t="array" ref="Z35">INDEX(GMWQ!$A$2:$LR$60,MATCH(1,(GMWQ!$LQ$2:$LQ$60=Z$3)*(GMWQ!$LP$2:$LP$60=Z$4)*(GMWQ!$LR$2:$LR$60=Z$1),0),$B35-1966)</f>
        <v>242116</v>
      </c>
      <c r="AA35" s="7" cm="1">
        <f t="array" ref="AA35">INDEX(GMWQ!$A$2:$LR$60,MATCH(1,(GMWQ!$LQ$2:$LQ$60=AA$3)*(GMWQ!$LP$2:$LP$60=AA$4)*(GMWQ!$LR$2:$LR$60=AA$1),0),$B35-1966)</f>
        <v>25187</v>
      </c>
      <c r="AB35" s="7" cm="1">
        <f t="array" ref="AB35">INDEX(GMWQ!$A$2:$LR$60,MATCH(1,(GMWQ!$LQ$2:$LQ$60=AB$3)*(GMWQ!$LP$2:$LP$60=AB$4)*(GMWQ!$LR$2:$LR$60=AB$1),0),$B35-1966)</f>
        <v>22229</v>
      </c>
      <c r="AC35" s="7" cm="1">
        <f t="array" ref="AC35">INDEX(GMWQ!$A$2:$LR$60,MATCH(1,(GMWQ!$LQ$2:$LQ$60=AC$3)*(GMWQ!$LP$2:$LP$60=AC$4)*(GMWQ!$LR$2:$LR$60=AC$1),0),$B35-1966)</f>
        <v>1976</v>
      </c>
      <c r="AD35" s="7" cm="1">
        <f t="array" ref="AD35">INDEX(GMWQ!$A$2:$LR$60,MATCH(1,(GMWQ!$LQ$2:$LQ$60=AD$3)*(GMWQ!$LP$2:$LP$60=AD$4)*(GMWQ!$LR$2:$LR$60=AD$1),0),$B35-1966)</f>
        <v>2656</v>
      </c>
      <c r="AE35" s="7" cm="1">
        <f t="array" ref="AE35">INDEX(GMWQ!$A$2:$LR$60,MATCH(1,(GMWQ!$LQ$2:$LQ$60=AE$3)*(GMWQ!$LP$2:$LP$60=AE$4)*(GMWQ!$LR$2:$LR$60=AE$1),0),$B35-1966)</f>
        <v>62107</v>
      </c>
      <c r="AF35" s="20" cm="1">
        <f t="array" ref="AF35">INDEX(GMWQ!$A$2:$LR$60,MATCH(1,(GMWQ!$LQ$2:$LQ$60=AF$3)*(GMWQ!$LP$2:$LP$60=AF$4)*(GMWQ!$LR$2:$LR$60=AF$1),0),$B35-1966)</f>
        <v>17</v>
      </c>
      <c r="AG35" s="20" cm="1">
        <f t="array" ref="AG35">INDEX(GMWQ!$A$2:$LR$60,MATCH(1,(GMWQ!$LQ$2:$LQ$60=AG$3)*(GMWQ!$LP$2:$LP$60=AG$4)*(GMWQ!$LR$2:$LR$60=AG$1),0),$B35-1966)</f>
        <v>-373.95350000000002</v>
      </c>
      <c r="AI35" s="23" cm="1">
        <f t="array" ref="AI35">INDEX(GMWQ!$A$2:$LR$60,MATCH(1,(GMWQ!$LQ$2:$LQ$60=AI$3)*(GMWQ!$LP$2:$LP$60=AI$4)*(GMWQ!$LR$2:$LR$60=AI$1),0),$B35-1966)</f>
        <v>40290</v>
      </c>
      <c r="AJ35" s="23" cm="1">
        <f t="array" ref="AJ35">INDEX(GMWQ!$A$2:$LR$60,MATCH(1,(GMWQ!$LQ$2:$LQ$60=AJ$3)*(GMWQ!$LP$2:$LP$60=AJ$4)*(GMWQ!$LR$2:$LR$60=AJ$1),0),$B35-1966)</f>
        <v>28.8795</v>
      </c>
      <c r="AK35" s="23" cm="1">
        <f t="array" ref="AK35">INDEX(GMWQ!$A$2:$LR$60,MATCH(1,(GMWQ!$LQ$2:$LQ$60=AK$3)*(GMWQ!$LP$2:$LP$60=AK$4)*(GMWQ!$LR$2:$LR$60=AK$1),0),$B35-1966)</f>
        <v>28290</v>
      </c>
      <c r="AL35" s="23" cm="1">
        <f t="array" ref="AL35">INDEX(GMWQ!$A$2:$LR$60,MATCH(1,(GMWQ!$LQ$2:$LQ$60=AL$3)*(GMWQ!$LP$2:$LP$60=AL$4)*(GMWQ!$LR$2:$LR$60=AL$1),0),$B35-1966)</f>
        <v>1256.6559999999999</v>
      </c>
      <c r="AM35" s="23" cm="1">
        <f t="array" ref="AM35">INDEX(GMWQ!$A$2:$LR$60,MATCH(1,(GMWQ!$LQ$2:$LQ$60=AM$3)*(GMWQ!$LP$2:$LP$60=AM$4)*(GMWQ!$LR$2:$LR$60=AM$1),0),$B35-1966)</f>
        <v>22512.13</v>
      </c>
      <c r="AN35" s="23" cm="1">
        <f t="array" ref="AN35">INDEX(GMWQ!$A$2:$LR$60,MATCH(1,(GMWQ!$LQ$2:$LQ$60=AN$3)*(GMWQ!$LP$2:$LP$60=AN$4)*(GMWQ!$LR$2:$LR$60=AN$1),0),$B35-1966)</f>
        <v>5988.8</v>
      </c>
      <c r="AO35" s="23" cm="1">
        <f t="array" ref="AO35">INDEX(GMWQ!$A$2:$LR$60,MATCH(1,(GMWQ!$LQ$2:$LQ$60=AO$3)*(GMWQ!$LP$2:$LP$60=AO$4)*(GMWQ!$LR$2:$LR$60=AO$1),0),$B35-1966)</f>
        <v>1354.6590000000001</v>
      </c>
      <c r="AP35" s="23" cm="1">
        <f t="array" ref="AP35">INDEX(GMWQ!$A$2:$LR$60,MATCH(1,(GMWQ!$LQ$2:$LQ$60=AP$3)*(GMWQ!$LP$2:$LP$60=AP$4)*(GMWQ!$LR$2:$LR$60=AP$1),0),$B35-1966)</f>
        <v>-373.95350000000002</v>
      </c>
      <c r="AQ35" s="23" cm="1">
        <f t="array" ref="AQ35">INDEX(GMWQ!$A$2:$LR$60,MATCH(1,(GMWQ!$LQ$2:$LQ$60=AQ$3)*(GMWQ!$LP$2:$LP$60=AQ$4)*(GMWQ!$LR$2:$LR$60=AQ$1),0),$B35-1966)</f>
        <v>6157.8850000000002</v>
      </c>
      <c r="AR35" s="23" cm="1">
        <f t="array" ref="AR35">INDEX(GMWQ!$A$2:$LR$60,MATCH(1,(GMWQ!$LQ$2:$LQ$60=AR$3)*(GMWQ!$LP$2:$LP$60=AR$4)*(GMWQ!$LR$2:$LR$60=AR$1),0),$B35-1966)</f>
        <v>37122</v>
      </c>
      <c r="AS35" s="23" cm="1">
        <f t="array" ref="AS35">INDEX(GMWQ!$A$2:$LR$60,MATCH(1,(GMWQ!$LQ$2:$LQ$60=AS$3)*(GMWQ!$LP$2:$LP$60=AS$4)*(GMWQ!$LR$2:$LR$60=AS$1),0),$B35-1966)</f>
        <v>593</v>
      </c>
      <c r="AT35" s="23" cm="1">
        <f t="array" ref="AT35">INDEX(GMWQ!$A$2:$LR$60,MATCH(1,(GMWQ!$LQ$2:$LQ$60=AT$3)*(GMWQ!$LP$2:$LP$60=AT$4)*(GMWQ!$LR$2:$LR$60=AT$1),0),$B35-1966)</f>
        <v>128541</v>
      </c>
      <c r="AU35" s="23" cm="1">
        <f t="array" ref="AU35">INDEX(GMWQ!$A$2:$LR$60,MATCH(1,(GMWQ!$LQ$2:$LQ$60=AU$3)*(GMWQ!$LP$2:$LP$60=AU$4)*(GMWQ!$LR$2:$LR$60=AU$1),0),$B35-1966)</f>
        <v>3435</v>
      </c>
    </row>
    <row r="36" spans="1:47" x14ac:dyDescent="0.35">
      <c r="B36" s="7">
        <f t="shared" si="1"/>
        <v>2002</v>
      </c>
      <c r="C36" s="7" cm="1">
        <f t="array" ref="C36">INDEX(GMWQ!$A$2:$LR$60,MATCH(1,(GMWQ!$LQ$2:$LQ$60=C$3)*(GMWQ!$LP$2:$LP$60=C$4)*(GMWQ!$LR$2:$LR$60=C$1),0),$B36-1966)</f>
        <v>238722</v>
      </c>
      <c r="D36" s="7" cm="1">
        <f t="array" ref="D36">INDEX(GMWQ!$A$2:$LR$60,MATCH(1,(GMWQ!$LQ$2:$LQ$60=D$3)*(GMWQ!$LP$2:$LP$60=D$4)*(GMWQ!$LR$2:$LR$60=D$1),0),$B36-1966)</f>
        <v>59.170099999999998</v>
      </c>
      <c r="E36" s="7" cm="1">
        <f t="array" ref="E36">INDEX(GMWQ!$A$2:$LR$60,MATCH(1,(GMWQ!$LQ$2:$LQ$60=E$3)*(GMWQ!$LP$2:$LP$60=E$4)*(GMWQ!$LR$2:$LR$60=E$1),0),$B36-1966)</f>
        <v>32.247430000000001</v>
      </c>
      <c r="F36" s="7" cm="1">
        <f t="array" ref="F36">INDEX(GMWQ!$A$2:$LR$60,MATCH(1,(GMWQ!$LQ$2:$LQ$60=F$3)*(GMWQ!$LP$2:$LP$60=F$4)*(GMWQ!$LR$2:$LR$60=F$1),0),$B36-1966)</f>
        <v>29578</v>
      </c>
      <c r="G36" s="7" cm="1">
        <f t="array" ref="G36">INDEX(GMWQ!$A$2:$LR$60,MATCH(1,(GMWQ!$LQ$2:$LQ$60=G$3)*(GMWQ!$LP$2:$LP$60=G$4)*(GMWQ!$LR$2:$LR$60=G$1),0),$B36-1966)</f>
        <v>6311.2349999999997</v>
      </c>
      <c r="H36" s="7" cm="1">
        <f t="array" ref="H36">INDEX(GMWQ!$A$2:$LR$60,MATCH(1,(GMWQ!$LQ$2:$LQ$60=H$3)*(GMWQ!$LP$2:$LP$60=H$4)*(GMWQ!$LR$2:$LR$60=H$1),0),$B36-1966)</f>
        <v>1520.4280000000001</v>
      </c>
      <c r="I36" s="7" cm="1">
        <f t="array" ref="I36">INDEX(GMWQ!$A$2:$LR$60,MATCH(1,(GMWQ!$LQ$2:$LQ$60=I$3)*(GMWQ!$LP$2:$LP$60=I$4)*(GMWQ!$LR$2:$LR$60=I$1),0),$B36-1966)</f>
        <v>29.975079999999998</v>
      </c>
      <c r="J36" s="7" cm="1">
        <f t="array" ref="J36">INDEX(GMWQ!$A$2:$LR$60,MATCH(1,(GMWQ!$LQ$2:$LQ$60=J$3)*(GMWQ!$LP$2:$LP$60=J$4)*(GMWQ!$LR$2:$LR$60=J$1),0),$B36-1966)</f>
        <v>22394.21</v>
      </c>
      <c r="K36" s="7" cm="1">
        <f t="array" ref="K36">INDEX(GMWQ!$A$2:$LR$60,MATCH(1,(GMWQ!$LQ$2:$LQ$60=K$3)*(GMWQ!$LP$2:$LP$60=K$4)*(GMWQ!$LR$2:$LR$60=K$1),0),$B36-1966)</f>
        <v>17</v>
      </c>
      <c r="L36" s="7" cm="1">
        <f t="array" ref="L36">INDEX(GMWQ!$A$2:$LR$60,MATCH(1,(GMWQ!$LQ$2:$LQ$60=L$3)*(GMWQ!$LP$2:$LP$60=L$4)*(GMWQ!$LR$2:$LR$60=L$1),0),$B36-1966)</f>
        <v>6.3</v>
      </c>
      <c r="M36" s="7" cm="1">
        <f t="array" ref="M36">INDEX(GMWQ!$A$2:$LR$60,MATCH(1,(GMWQ!$LQ$2:$LQ$60=M$3)*(GMWQ!$LP$2:$LP$60=M$4)*(GMWQ!$LR$2:$LR$60=M$1),0),$B36-1966)</f>
        <v>10.553699999999999</v>
      </c>
      <c r="N36" s="7" cm="1">
        <f t="array" ref="N36">INDEX(GMWQ!$A$2:$LR$60,MATCH(1,(GMWQ!$LQ$2:$LQ$60=N$3)*(GMWQ!$LP$2:$LP$60=N$4)*(GMWQ!$LR$2:$LR$60=N$1),0),$B36-1966)</f>
        <v>1E-3</v>
      </c>
      <c r="O36" s="7" cm="1">
        <f t="array" ref="O36">INDEX(GMWQ!$A$2:$LR$60,MATCH(1,(GMWQ!$LQ$2:$LQ$60=O$3)*(GMWQ!$LP$2:$LP$60=O$4)*(GMWQ!$LR$2:$LR$60=O$1),0),$B36-1966)</f>
        <v>1E-3</v>
      </c>
      <c r="P36" s="7" cm="1">
        <f t="array" ref="P36">INDEX(GMWQ!$A$2:$LR$60,MATCH(1,(GMWQ!$LQ$2:$LQ$60=P$3)*(GMWQ!$LP$2:$LP$60=P$4)*(GMWQ!$LR$2:$LR$60=P$1),0),$B36-1966)</f>
        <v>41818</v>
      </c>
      <c r="Q36" s="7" cm="1">
        <f t="array" ref="Q36">INDEX(GMWQ!$A$2:$LR$60,MATCH(1,(GMWQ!$LQ$2:$LQ$60=Q$3)*(GMWQ!$LP$2:$LP$60=Q$4)*(GMWQ!$LR$2:$LR$60=Q$1),0),$B36-1966)</f>
        <v>14.875500000000001</v>
      </c>
      <c r="R36" s="7" cm="1">
        <f t="array" ref="R36">INDEX(GMWQ!$A$2:$LR$60,MATCH(1,(GMWQ!$LQ$2:$LQ$60=R$3)*(GMWQ!$LP$2:$LP$60=R$4)*(GMWQ!$LR$2:$LR$60=R$1),0),$B36-1966)</f>
        <v>1E-3</v>
      </c>
      <c r="S36" s="7" cm="1">
        <f t="array" ref="S36">INDEX(GMWQ!$A$2:$LR$60,MATCH(1,(GMWQ!$LQ$2:$LQ$60=S$3)*(GMWQ!$LP$2:$LP$60=S$4)*(GMWQ!$LR$2:$LR$60=S$1),0),$B36-1966)</f>
        <v>334</v>
      </c>
      <c r="T36" s="7" cm="1">
        <f t="array" ref="T36">INDEX(GMWQ!$A$2:$LR$60,MATCH(1,(GMWQ!$LQ$2:$LQ$60=T$3)*(GMWQ!$LP$2:$LP$60=T$4)*(GMWQ!$LR$2:$LR$60=T$1),0),$B36-1966)</f>
        <v>1E-3</v>
      </c>
      <c r="U36" s="7" cm="1">
        <f t="array" ref="U36">INDEX(GMWQ!$A$2:$LR$60,MATCH(1,(GMWQ!$LQ$2:$LQ$60=U$3)*(GMWQ!$LP$2:$LP$60=U$4)*(GMWQ!$LR$2:$LR$60=U$1),0),$B36-1966)</f>
        <v>1533.8489999999999</v>
      </c>
      <c r="V36" s="7" cm="1">
        <f t="array" ref="V36">INDEX(GMWQ!$A$2:$LR$60,MATCH(1,(GMWQ!$LQ$2:$LQ$60=V$3)*(GMWQ!$LP$2:$LP$60=V$4)*(GMWQ!$LR$2:$LR$60=V$1),0),$B36-1966)</f>
        <v>1E-3</v>
      </c>
      <c r="W36" s="7" cm="1">
        <f t="array" ref="W36">INDEX(GMWQ!$A$2:$LR$60,MATCH(1,(GMWQ!$LQ$2:$LQ$60=W$3)*(GMWQ!$LP$2:$LP$60=W$4)*(GMWQ!$LR$2:$LR$60=W$1),0),$B36-1966)</f>
        <v>9.879054</v>
      </c>
      <c r="X36" s="7" cm="1">
        <f t="array" ref="X36">INDEX(GMWQ!$A$2:$LR$60,MATCH(1,(GMWQ!$LQ$2:$LQ$60=X$3)*(GMWQ!$LP$2:$LP$60=X$4)*(GMWQ!$LR$2:$LR$60=X$1),0),$B36-1966)</f>
        <v>857750.6</v>
      </c>
      <c r="Y36" s="7" cm="1">
        <f t="array" ref="Y36">INDEX(GMWQ!$A$2:$LR$60,MATCH(1,(GMWQ!$LQ$2:$LQ$60=Y$3)*(GMWQ!$LP$2:$LP$60=Y$4)*(GMWQ!$LR$2:$LR$60=Y$1),0),$B36-1966)</f>
        <v>26.68543</v>
      </c>
      <c r="Z36" s="7" cm="1">
        <f t="array" ref="Z36">INDEX(GMWQ!$A$2:$LR$60,MATCH(1,(GMWQ!$LQ$2:$LQ$60=Z$3)*(GMWQ!$LP$2:$LP$60=Z$4)*(GMWQ!$LR$2:$LR$60=Z$1),0),$B36-1966)</f>
        <v>243373.2</v>
      </c>
      <c r="AA36" s="7" cm="1">
        <f t="array" ref="AA36">INDEX(GMWQ!$A$2:$LR$60,MATCH(1,(GMWQ!$LQ$2:$LQ$60=AA$3)*(GMWQ!$LP$2:$LP$60=AA$4)*(GMWQ!$LR$2:$LR$60=AA$1),0),$B36-1966)</f>
        <v>22584</v>
      </c>
      <c r="AB36" s="7" cm="1">
        <f t="array" ref="AB36">INDEX(GMWQ!$A$2:$LR$60,MATCH(1,(GMWQ!$LQ$2:$LQ$60=AB$3)*(GMWQ!$LP$2:$LP$60=AB$4)*(GMWQ!$LR$2:$LR$60=AB$1),0),$B36-1966)</f>
        <v>22146</v>
      </c>
      <c r="AC36" s="7" cm="1">
        <f t="array" ref="AC36">INDEX(GMWQ!$A$2:$LR$60,MATCH(1,(GMWQ!$LQ$2:$LQ$60=AC$3)*(GMWQ!$LP$2:$LP$60=AC$4)*(GMWQ!$LR$2:$LR$60=AC$1),0),$B36-1966)</f>
        <v>987</v>
      </c>
      <c r="AD36" s="7" cm="1">
        <f t="array" ref="AD36">INDEX(GMWQ!$A$2:$LR$60,MATCH(1,(GMWQ!$LQ$2:$LQ$60=AD$3)*(GMWQ!$LP$2:$LP$60=AD$4)*(GMWQ!$LR$2:$LR$60=AD$1),0),$B36-1966)</f>
        <v>2802</v>
      </c>
      <c r="AE36" s="7" cm="1">
        <f t="array" ref="AE36">INDEX(GMWQ!$A$2:$LR$60,MATCH(1,(GMWQ!$LQ$2:$LQ$60=AE$3)*(GMWQ!$LP$2:$LP$60=AE$4)*(GMWQ!$LR$2:$LR$60=AE$1),0),$B36-1966)</f>
        <v>63704</v>
      </c>
      <c r="AF36" s="20" cm="1">
        <f t="array" ref="AF36">INDEX(GMWQ!$A$2:$LR$60,MATCH(1,(GMWQ!$LQ$2:$LQ$60=AF$3)*(GMWQ!$LP$2:$LP$60=AF$4)*(GMWQ!$LR$2:$LR$60=AF$1),0),$B36-1966)</f>
        <v>17</v>
      </c>
      <c r="AG36" s="20" cm="1">
        <f t="array" ref="AG36">INDEX(GMWQ!$A$2:$LR$60,MATCH(1,(GMWQ!$LQ$2:$LQ$60=AG$3)*(GMWQ!$LP$2:$LP$60=AG$4)*(GMWQ!$LR$2:$LR$60=AG$1),0),$B36-1966)</f>
        <v>-549.95360000000005</v>
      </c>
      <c r="AI36" s="23" cm="1">
        <f t="array" ref="AI36">INDEX(GMWQ!$A$2:$LR$60,MATCH(1,(GMWQ!$LQ$2:$LQ$60=AI$3)*(GMWQ!$LP$2:$LP$60=AI$4)*(GMWQ!$LR$2:$LR$60=AI$1),0),$B36-1966)</f>
        <v>41818</v>
      </c>
      <c r="AJ36" s="23" cm="1">
        <f t="array" ref="AJ36">INDEX(GMWQ!$A$2:$LR$60,MATCH(1,(GMWQ!$LQ$2:$LQ$60=AJ$3)*(GMWQ!$LP$2:$LP$60=AJ$4)*(GMWQ!$LR$2:$LR$60=AJ$1),0),$B36-1966)</f>
        <v>29.975079999999998</v>
      </c>
      <c r="AK36" s="23" cm="1">
        <f t="array" ref="AK36">INDEX(GMWQ!$A$2:$LR$60,MATCH(1,(GMWQ!$LQ$2:$LQ$60=AK$3)*(GMWQ!$LP$2:$LP$60=AK$4)*(GMWQ!$LR$2:$LR$60=AK$1),0),$B36-1966)</f>
        <v>29578</v>
      </c>
      <c r="AL36" s="23" cm="1">
        <f t="array" ref="AL36">INDEX(GMWQ!$A$2:$LR$60,MATCH(1,(GMWQ!$LQ$2:$LQ$60=AL$3)*(GMWQ!$LP$2:$LP$60=AL$4)*(GMWQ!$LR$2:$LR$60=AL$1),0),$B36-1966)</f>
        <v>1320.788</v>
      </c>
      <c r="AM36" s="23" cm="1">
        <f t="array" ref="AM36">INDEX(GMWQ!$A$2:$LR$60,MATCH(1,(GMWQ!$LQ$2:$LQ$60=AM$3)*(GMWQ!$LP$2:$LP$60=AM$4)*(GMWQ!$LR$2:$LR$60=AM$1),0),$B36-1966)</f>
        <v>22394.21</v>
      </c>
      <c r="AN36" s="23" cm="1">
        <f t="array" ref="AN36">INDEX(GMWQ!$A$2:$LR$60,MATCH(1,(GMWQ!$LQ$2:$LQ$60=AN$3)*(GMWQ!$LP$2:$LP$60=AN$4)*(GMWQ!$LR$2:$LR$60=AN$1),0),$B36-1966)</f>
        <v>6311.2349999999997</v>
      </c>
      <c r="AO36" s="23" cm="1">
        <f t="array" ref="AO36">INDEX(GMWQ!$A$2:$LR$60,MATCH(1,(GMWQ!$LQ$2:$LQ$60=AO$3)*(GMWQ!$LP$2:$LP$60=AO$4)*(GMWQ!$LR$2:$LR$60=AO$1),0),$B36-1966)</f>
        <v>1520.4280000000001</v>
      </c>
      <c r="AP36" s="23" cm="1">
        <f t="array" ref="AP36">INDEX(GMWQ!$A$2:$LR$60,MATCH(1,(GMWQ!$LQ$2:$LQ$60=AP$3)*(GMWQ!$LP$2:$LP$60=AP$4)*(GMWQ!$LR$2:$LR$60=AP$1),0),$B36-1966)</f>
        <v>-549.95360000000005</v>
      </c>
      <c r="AQ36" s="23" cm="1">
        <f t="array" ref="AQ36">INDEX(GMWQ!$A$2:$LR$60,MATCH(1,(GMWQ!$LQ$2:$LQ$60=AQ$3)*(GMWQ!$LP$2:$LP$60=AQ$4)*(GMWQ!$LR$2:$LR$60=AQ$1),0),$B36-1966)</f>
        <v>6449.4409999999998</v>
      </c>
      <c r="AR36" s="23" cm="1">
        <f t="array" ref="AR36">INDEX(GMWQ!$A$2:$LR$60,MATCH(1,(GMWQ!$LQ$2:$LQ$60=AR$3)*(GMWQ!$LP$2:$LP$60=AR$4)*(GMWQ!$LR$2:$LR$60=AR$1),0),$B36-1966)</f>
        <v>37527</v>
      </c>
      <c r="AS36" s="23" cm="1">
        <f t="array" ref="AS36">INDEX(GMWQ!$A$2:$LR$60,MATCH(1,(GMWQ!$LQ$2:$LQ$60=AS$3)*(GMWQ!$LP$2:$LP$60=AS$4)*(GMWQ!$LR$2:$LR$60=AS$1),0),$B36-1966)</f>
        <v>560</v>
      </c>
      <c r="AT36" s="23" cm="1">
        <f t="array" ref="AT36">INDEX(GMWQ!$A$2:$LR$60,MATCH(1,(GMWQ!$LQ$2:$LQ$60=AT$3)*(GMWQ!$LP$2:$LP$60=AT$4)*(GMWQ!$LR$2:$LR$60=AT$1),0),$B36-1966)</f>
        <v>125194</v>
      </c>
      <c r="AU36" s="23" cm="1">
        <f t="array" ref="AU36">INDEX(GMWQ!$A$2:$LR$60,MATCH(1,(GMWQ!$LQ$2:$LQ$60=AU$3)*(GMWQ!$LP$2:$LP$60=AU$4)*(GMWQ!$LR$2:$LR$60=AU$1),0),$B36-1966)</f>
        <v>3591</v>
      </c>
    </row>
    <row r="37" spans="1:47" x14ac:dyDescent="0.35">
      <c r="B37" s="7">
        <f t="shared" si="1"/>
        <v>2003</v>
      </c>
      <c r="C37" s="7" cm="1">
        <f t="array" ref="C37">INDEX(GMWQ!$A$2:$LR$60,MATCH(1,(GMWQ!$LQ$2:$LQ$60=C$3)*(GMWQ!$LP$2:$LP$60=C$4)*(GMWQ!$LR$2:$LR$60=C$1),0),$B37-1966)</f>
        <v>238432</v>
      </c>
      <c r="D37" s="7" cm="1">
        <f t="array" ref="D37">INDEX(GMWQ!$A$2:$LR$60,MATCH(1,(GMWQ!$LQ$2:$LQ$60=D$3)*(GMWQ!$LP$2:$LP$60=D$4)*(GMWQ!$LR$2:$LR$60=D$1),0),$B37-1966)</f>
        <v>63.642139999999998</v>
      </c>
      <c r="E37" s="7" cm="1">
        <f t="array" ref="E37">INDEX(GMWQ!$A$2:$LR$60,MATCH(1,(GMWQ!$LQ$2:$LQ$60=E$3)*(GMWQ!$LP$2:$LP$60=E$4)*(GMWQ!$LR$2:$LR$60=E$1),0),$B37-1966)</f>
        <v>32.951300000000003</v>
      </c>
      <c r="F37" s="7" cm="1">
        <f t="array" ref="F37">INDEX(GMWQ!$A$2:$LR$60,MATCH(1,(GMWQ!$LQ$2:$LQ$60=F$3)*(GMWQ!$LP$2:$LP$60=F$4)*(GMWQ!$LR$2:$LR$60=F$1),0),$B37-1966)</f>
        <v>30485</v>
      </c>
      <c r="G37" s="7" cm="1">
        <f t="array" ref="G37">INDEX(GMWQ!$A$2:$LR$60,MATCH(1,(GMWQ!$LQ$2:$LQ$60=G$3)*(GMWQ!$LP$2:$LP$60=G$4)*(GMWQ!$LR$2:$LR$60=G$1),0),$B37-1966)</f>
        <v>6455.6390000000001</v>
      </c>
      <c r="H37" s="7" cm="1">
        <f t="array" ref="H37">INDEX(GMWQ!$A$2:$LR$60,MATCH(1,(GMWQ!$LQ$2:$LQ$60=H$3)*(GMWQ!$LP$2:$LP$60=H$4)*(GMWQ!$LR$2:$LR$60=H$1),0),$B37-1966)</f>
        <v>1585.8910000000001</v>
      </c>
      <c r="I37" s="7" cm="1">
        <f t="array" ref="I37">INDEX(GMWQ!$A$2:$LR$60,MATCH(1,(GMWQ!$LQ$2:$LQ$60=I$3)*(GMWQ!$LP$2:$LP$60=I$4)*(GMWQ!$LR$2:$LR$60=I$1),0),$B37-1966)</f>
        <v>30.613</v>
      </c>
      <c r="J37" s="7" cm="1">
        <f t="array" ref="J37">INDEX(GMWQ!$A$2:$LR$60,MATCH(1,(GMWQ!$LQ$2:$LQ$60=J$3)*(GMWQ!$LP$2:$LP$60=J$4)*(GMWQ!$LR$2:$LR$60=J$1),0),$B37-1966)</f>
        <v>22125.98</v>
      </c>
      <c r="K37" s="7" cm="1">
        <f t="array" ref="K37">INDEX(GMWQ!$A$2:$LR$60,MATCH(1,(GMWQ!$LQ$2:$LQ$60=K$3)*(GMWQ!$LP$2:$LP$60=K$4)*(GMWQ!$LR$2:$LR$60=K$1),0),$B37-1966)</f>
        <v>16</v>
      </c>
      <c r="L37" s="7" cm="1">
        <f t="array" ref="L37">INDEX(GMWQ!$A$2:$LR$60,MATCH(1,(GMWQ!$LQ$2:$LQ$60=L$3)*(GMWQ!$LP$2:$LP$60=L$4)*(GMWQ!$LR$2:$LR$60=L$1),0),$B37-1966)</f>
        <v>7.1</v>
      </c>
      <c r="M37" s="7" cm="1">
        <f t="array" ref="M37">INDEX(GMWQ!$A$2:$LR$60,MATCH(1,(GMWQ!$LQ$2:$LQ$60=M$3)*(GMWQ!$LP$2:$LP$60=M$4)*(GMWQ!$LR$2:$LR$60=M$1),0),$B37-1966)</f>
        <v>10.967919999999999</v>
      </c>
      <c r="N37" s="7" cm="1">
        <f t="array" ref="N37">INDEX(GMWQ!$A$2:$LR$60,MATCH(1,(GMWQ!$LQ$2:$LQ$60=N$3)*(GMWQ!$LP$2:$LP$60=N$4)*(GMWQ!$LR$2:$LR$60=N$1),0),$B37-1966)</f>
        <v>1E-3</v>
      </c>
      <c r="O37" s="7" cm="1">
        <f t="array" ref="O37">INDEX(GMWQ!$A$2:$LR$60,MATCH(1,(GMWQ!$LQ$2:$LQ$60=O$3)*(GMWQ!$LP$2:$LP$60=O$4)*(GMWQ!$LR$2:$LR$60=O$1),0),$B37-1966)</f>
        <v>1E-3</v>
      </c>
      <c r="P37" s="7" cm="1">
        <f t="array" ref="P37">INDEX(GMWQ!$A$2:$LR$60,MATCH(1,(GMWQ!$LQ$2:$LQ$60=P$3)*(GMWQ!$LP$2:$LP$60=P$4)*(GMWQ!$LR$2:$LR$60=P$1),0),$B37-1966)</f>
        <v>43433</v>
      </c>
      <c r="Q37" s="7" cm="1">
        <f t="array" ref="Q37">INDEX(GMWQ!$A$2:$LR$60,MATCH(1,(GMWQ!$LQ$2:$LQ$60=Q$3)*(GMWQ!$LP$2:$LP$60=Q$4)*(GMWQ!$LR$2:$LR$60=Q$1),0),$B37-1966)</f>
        <v>14.887600000000001</v>
      </c>
      <c r="R37" s="7" cm="1">
        <f t="array" ref="R37">INDEX(GMWQ!$A$2:$LR$60,MATCH(1,(GMWQ!$LQ$2:$LQ$60=R$3)*(GMWQ!$LP$2:$LP$60=R$4)*(GMWQ!$LR$2:$LR$60=R$1),0),$B37-1966)</f>
        <v>1E-3</v>
      </c>
      <c r="S37" s="7" cm="1">
        <f t="array" ref="S37">INDEX(GMWQ!$A$2:$LR$60,MATCH(1,(GMWQ!$LQ$2:$LQ$60=S$3)*(GMWQ!$LP$2:$LP$60=S$4)*(GMWQ!$LR$2:$LR$60=S$1),0),$B37-1966)</f>
        <v>296</v>
      </c>
      <c r="T37" s="7" cm="1">
        <f t="array" ref="T37">INDEX(GMWQ!$A$2:$LR$60,MATCH(1,(GMWQ!$LQ$2:$LQ$60=T$3)*(GMWQ!$LP$2:$LP$60=T$4)*(GMWQ!$LR$2:$LR$60=T$1),0),$B37-1966)</f>
        <v>1E-3</v>
      </c>
      <c r="U37" s="7" cm="1">
        <f t="array" ref="U37">INDEX(GMWQ!$A$2:$LR$60,MATCH(1,(GMWQ!$LQ$2:$LQ$60=U$3)*(GMWQ!$LP$2:$LP$60=U$4)*(GMWQ!$LR$2:$LR$60=U$1),0),$B37-1966)</f>
        <v>1732.162</v>
      </c>
      <c r="V37" s="7" cm="1">
        <f t="array" ref="V37">INDEX(GMWQ!$A$2:$LR$60,MATCH(1,(GMWQ!$LQ$2:$LQ$60=V$3)*(GMWQ!$LP$2:$LP$60=V$4)*(GMWQ!$LR$2:$LR$60=V$1),0),$B37-1966)</f>
        <v>1E-3</v>
      </c>
      <c r="W37" s="7" cm="1">
        <f t="array" ref="W37">INDEX(GMWQ!$A$2:$LR$60,MATCH(1,(GMWQ!$LQ$2:$LQ$60=W$3)*(GMWQ!$LP$2:$LP$60=W$4)*(GMWQ!$LR$2:$LR$60=W$1),0),$B37-1966)</f>
        <v>10.1753</v>
      </c>
      <c r="X37" s="7" cm="1">
        <f t="array" ref="X37">INDEX(GMWQ!$A$2:$LR$60,MATCH(1,(GMWQ!$LQ$2:$LQ$60=X$3)*(GMWQ!$LP$2:$LP$60=X$4)*(GMWQ!$LR$2:$LR$60=X$1),0),$B37-1966)</f>
        <v>867704.7</v>
      </c>
      <c r="Y37" s="7" cm="1">
        <f t="array" ref="Y37">INDEX(GMWQ!$A$2:$LR$60,MATCH(1,(GMWQ!$LQ$2:$LQ$60=Y$3)*(GMWQ!$LP$2:$LP$60=Y$4)*(GMWQ!$LR$2:$LR$60=Y$1),0),$B37-1966)</f>
        <v>27.68966</v>
      </c>
      <c r="Z37" s="7" cm="1">
        <f t="array" ref="Z37">INDEX(GMWQ!$A$2:$LR$60,MATCH(1,(GMWQ!$LQ$2:$LQ$60=Z$3)*(GMWQ!$LP$2:$LP$60=Z$4)*(GMWQ!$LR$2:$LR$60=Z$1),0),$B37-1966)</f>
        <v>244536.3</v>
      </c>
      <c r="AA37" s="7" cm="1">
        <f t="array" ref="AA37">INDEX(GMWQ!$A$2:$LR$60,MATCH(1,(GMWQ!$LQ$2:$LQ$60=AA$3)*(GMWQ!$LP$2:$LP$60=AA$4)*(GMWQ!$LR$2:$LR$60=AA$1),0),$B37-1966)</f>
        <v>25347</v>
      </c>
      <c r="AB37" s="7" cm="1">
        <f t="array" ref="AB37">INDEX(GMWQ!$A$2:$LR$60,MATCH(1,(GMWQ!$LQ$2:$LQ$60=AB$3)*(GMWQ!$LP$2:$LP$60=AB$4)*(GMWQ!$LR$2:$LR$60=AB$1),0),$B37-1966)</f>
        <v>23935</v>
      </c>
      <c r="AC37" s="7" cm="1">
        <f t="array" ref="AC37">INDEX(GMWQ!$A$2:$LR$60,MATCH(1,(GMWQ!$LQ$2:$LQ$60=AC$3)*(GMWQ!$LP$2:$LP$60=AC$4)*(GMWQ!$LR$2:$LR$60=AC$1),0),$B37-1966)</f>
        <v>1686</v>
      </c>
      <c r="AD37" s="7" cm="1">
        <f t="array" ref="AD37">INDEX(GMWQ!$A$2:$LR$60,MATCH(1,(GMWQ!$LQ$2:$LQ$60=AD$3)*(GMWQ!$LP$2:$LP$60=AD$4)*(GMWQ!$LR$2:$LR$60=AD$1),0),$B37-1966)</f>
        <v>2939</v>
      </c>
      <c r="AE37" s="7" cm="1">
        <f t="array" ref="AE37">INDEX(GMWQ!$A$2:$LR$60,MATCH(1,(GMWQ!$LQ$2:$LQ$60=AE$3)*(GMWQ!$LP$2:$LP$60=AE$4)*(GMWQ!$LR$2:$LR$60=AE$1),0),$B37-1966)</f>
        <v>66021</v>
      </c>
      <c r="AF37" s="20" cm="1">
        <f t="array" ref="AF37">INDEX(GMWQ!$A$2:$LR$60,MATCH(1,(GMWQ!$LQ$2:$LQ$60=AF$3)*(GMWQ!$LP$2:$LP$60=AF$4)*(GMWQ!$LR$2:$LR$60=AF$1),0),$B37-1966)</f>
        <v>16.0303</v>
      </c>
      <c r="AG37" s="20" cm="1">
        <f t="array" ref="AG37">INDEX(GMWQ!$A$2:$LR$60,MATCH(1,(GMWQ!$LQ$2:$LQ$60=AG$3)*(GMWQ!$LP$2:$LP$60=AG$4)*(GMWQ!$LR$2:$LR$60=AG$1),0),$B37-1966)</f>
        <v>-447.62790000000001</v>
      </c>
      <c r="AI37" s="23" cm="1">
        <f t="array" ref="AI37">INDEX(GMWQ!$A$2:$LR$60,MATCH(1,(GMWQ!$LQ$2:$LQ$60=AI$3)*(GMWQ!$LP$2:$LP$60=AI$4)*(GMWQ!$LR$2:$LR$60=AI$1),0),$B37-1966)</f>
        <v>43433</v>
      </c>
      <c r="AJ37" s="23" cm="1">
        <f t="array" ref="AJ37">INDEX(GMWQ!$A$2:$LR$60,MATCH(1,(GMWQ!$LQ$2:$LQ$60=AJ$3)*(GMWQ!$LP$2:$LP$60=AJ$4)*(GMWQ!$LR$2:$LR$60=AJ$1),0),$B37-1966)</f>
        <v>30.613</v>
      </c>
      <c r="AK37" s="23" cm="1">
        <f t="array" ref="AK37">INDEX(GMWQ!$A$2:$LR$60,MATCH(1,(GMWQ!$LQ$2:$LQ$60=AK$3)*(GMWQ!$LP$2:$LP$60=AK$4)*(GMWQ!$LR$2:$LR$60=AK$1),0),$B37-1966)</f>
        <v>30485</v>
      </c>
      <c r="AL37" s="23" cm="1">
        <f t="array" ref="AL37">INDEX(GMWQ!$A$2:$LR$60,MATCH(1,(GMWQ!$LQ$2:$LQ$60=AL$3)*(GMWQ!$LP$2:$LP$60=AL$4)*(GMWQ!$LR$2:$LR$60=AL$1),0),$B37-1966)</f>
        <v>1377.7919999999999</v>
      </c>
      <c r="AM37" s="23" cm="1">
        <f t="array" ref="AM37">INDEX(GMWQ!$A$2:$LR$60,MATCH(1,(GMWQ!$LQ$2:$LQ$60=AM$3)*(GMWQ!$LP$2:$LP$60=AM$4)*(GMWQ!$LR$2:$LR$60=AM$1),0),$B37-1966)</f>
        <v>22125.98</v>
      </c>
      <c r="AN37" s="23" cm="1">
        <f t="array" ref="AN37">INDEX(GMWQ!$A$2:$LR$60,MATCH(1,(GMWQ!$LQ$2:$LQ$60=AN$3)*(GMWQ!$LP$2:$LP$60=AN$4)*(GMWQ!$LR$2:$LR$60=AN$1),0),$B37-1966)</f>
        <v>6455.6390000000001</v>
      </c>
      <c r="AO37" s="23" cm="1">
        <f t="array" ref="AO37">INDEX(GMWQ!$A$2:$LR$60,MATCH(1,(GMWQ!$LQ$2:$LQ$60=AO$3)*(GMWQ!$LP$2:$LP$60=AO$4)*(GMWQ!$LR$2:$LR$60=AO$1),0),$B37-1966)</f>
        <v>1585.8910000000001</v>
      </c>
      <c r="AP37" s="23" cm="1">
        <f t="array" ref="AP37">INDEX(GMWQ!$A$2:$LR$60,MATCH(1,(GMWQ!$LQ$2:$LQ$60=AP$3)*(GMWQ!$LP$2:$LP$60=AP$4)*(GMWQ!$LR$2:$LR$60=AP$1),0),$B37-1966)</f>
        <v>-447.62790000000001</v>
      </c>
      <c r="AQ37" s="23" cm="1">
        <f t="array" ref="AQ37">INDEX(GMWQ!$A$2:$LR$60,MATCH(1,(GMWQ!$LQ$2:$LQ$60=AQ$3)*(GMWQ!$LP$2:$LP$60=AQ$4)*(GMWQ!$LR$2:$LR$60=AQ$1),0),$B37-1966)</f>
        <v>6597.2309999999998</v>
      </c>
      <c r="AR37" s="23" cm="1">
        <f t="array" ref="AR37">INDEX(GMWQ!$A$2:$LR$60,MATCH(1,(GMWQ!$LQ$2:$LQ$60=AR$3)*(GMWQ!$LP$2:$LP$60=AR$4)*(GMWQ!$LR$2:$LR$60=AR$1),0),$B37-1966)</f>
        <v>38828</v>
      </c>
      <c r="AS37" s="23" cm="1">
        <f t="array" ref="AS37">INDEX(GMWQ!$A$2:$LR$60,MATCH(1,(GMWQ!$LQ$2:$LQ$60=AS$3)*(GMWQ!$LP$2:$LP$60=AS$4)*(GMWQ!$LR$2:$LR$60=AS$1),0),$B37-1966)</f>
        <v>630</v>
      </c>
      <c r="AT37" s="23" cm="1">
        <f t="array" ref="AT37">INDEX(GMWQ!$A$2:$LR$60,MATCH(1,(GMWQ!$LQ$2:$LQ$60=AT$3)*(GMWQ!$LP$2:$LP$60=AT$4)*(GMWQ!$LR$2:$LR$60=AT$1),0),$B37-1966)</f>
        <v>126835</v>
      </c>
      <c r="AU37" s="23" cm="1">
        <f t="array" ref="AU37">INDEX(GMWQ!$A$2:$LR$60,MATCH(1,(GMWQ!$LQ$2:$LQ$60=AU$3)*(GMWQ!$LP$2:$LP$60=AU$4)*(GMWQ!$LR$2:$LR$60=AU$1),0),$B37-1966)</f>
        <v>3465</v>
      </c>
    </row>
    <row r="38" spans="1:47" x14ac:dyDescent="0.35">
      <c r="B38" s="7">
        <f t="shared" si="1"/>
        <v>2004</v>
      </c>
      <c r="C38" s="7" cm="1">
        <f t="array" ref="C38">INDEX(GMWQ!$A$2:$LR$60,MATCH(1,(GMWQ!$LQ$2:$LQ$60=C$3)*(GMWQ!$LP$2:$LP$60=C$4)*(GMWQ!$LR$2:$LR$60=C$1),0),$B38-1966)</f>
        <v>235866</v>
      </c>
      <c r="D38" s="7" cm="1">
        <f t="array" ref="D38">INDEX(GMWQ!$A$2:$LR$60,MATCH(1,(GMWQ!$LQ$2:$LQ$60=D$3)*(GMWQ!$LP$2:$LP$60=D$4)*(GMWQ!$LR$2:$LR$60=D$1),0),$B38-1966)</f>
        <v>66.771739999999994</v>
      </c>
      <c r="E38" s="7" cm="1">
        <f t="array" ref="E38">INDEX(GMWQ!$A$2:$LR$60,MATCH(1,(GMWQ!$LQ$2:$LQ$60=E$3)*(GMWQ!$LP$2:$LP$60=E$4)*(GMWQ!$LR$2:$LR$60=E$1),0),$B38-1966)</f>
        <v>33.550879999999999</v>
      </c>
      <c r="F38" s="7" cm="1">
        <f t="array" ref="F38">INDEX(GMWQ!$A$2:$LR$60,MATCH(1,(GMWQ!$LQ$2:$LQ$60=F$3)*(GMWQ!$LP$2:$LP$60=F$4)*(GMWQ!$LR$2:$LR$60=F$1),0),$B38-1966)</f>
        <v>30980</v>
      </c>
      <c r="G38" s="7" cm="1">
        <f t="array" ref="G38">INDEX(GMWQ!$A$2:$LR$60,MATCH(1,(GMWQ!$LQ$2:$LQ$60=G$3)*(GMWQ!$LP$2:$LP$60=G$4)*(GMWQ!$LR$2:$LR$60=G$1),0),$B38-1966)</f>
        <v>6646.5290000000005</v>
      </c>
      <c r="H38" s="7" cm="1">
        <f t="array" ref="H38">INDEX(GMWQ!$A$2:$LR$60,MATCH(1,(GMWQ!$LQ$2:$LQ$60=H$3)*(GMWQ!$LP$2:$LP$60=H$4)*(GMWQ!$LR$2:$LR$60=H$1),0),$B38-1966)</f>
        <v>1588.002</v>
      </c>
      <c r="I38" s="7" cm="1">
        <f t="array" ref="I38">INDEX(GMWQ!$A$2:$LR$60,MATCH(1,(GMWQ!$LQ$2:$LQ$60=I$3)*(GMWQ!$LP$2:$LP$60=I$4)*(GMWQ!$LR$2:$LR$60=I$1),0),$B38-1966)</f>
        <v>31.952549999999999</v>
      </c>
      <c r="J38" s="7" cm="1">
        <f t="array" ref="J38">INDEX(GMWQ!$A$2:$LR$60,MATCH(1,(GMWQ!$LQ$2:$LQ$60=J$3)*(GMWQ!$LP$2:$LP$60=J$4)*(GMWQ!$LR$2:$LR$60=J$1),0),$B38-1966)</f>
        <v>21831.63</v>
      </c>
      <c r="K38" s="7" cm="1">
        <f t="array" ref="K38">INDEX(GMWQ!$A$2:$LR$60,MATCH(1,(GMWQ!$LQ$2:$LQ$60=K$3)*(GMWQ!$LP$2:$LP$60=K$4)*(GMWQ!$LR$2:$LR$60=K$1),0),$B38-1966)</f>
        <v>14</v>
      </c>
      <c r="L38" s="7" cm="1">
        <f t="array" ref="L38">INDEX(GMWQ!$A$2:$LR$60,MATCH(1,(GMWQ!$LQ$2:$LQ$60=L$3)*(GMWQ!$LP$2:$LP$60=L$4)*(GMWQ!$LR$2:$LR$60=L$1),0),$B38-1966)</f>
        <v>8</v>
      </c>
      <c r="M38" s="7" cm="1">
        <f t="array" ref="M38">INDEX(GMWQ!$A$2:$LR$60,MATCH(1,(GMWQ!$LQ$2:$LQ$60=M$3)*(GMWQ!$LP$2:$LP$60=M$4)*(GMWQ!$LR$2:$LR$60=M$1),0),$B38-1966)</f>
        <v>11.161519999999999</v>
      </c>
      <c r="N38" s="7" cm="1">
        <f t="array" ref="N38">INDEX(GMWQ!$A$2:$LR$60,MATCH(1,(GMWQ!$LQ$2:$LQ$60=N$3)*(GMWQ!$LP$2:$LP$60=N$4)*(GMWQ!$LR$2:$LR$60=N$1),0),$B38-1966)</f>
        <v>1E-3</v>
      </c>
      <c r="O38" s="7" cm="1">
        <f t="array" ref="O38">INDEX(GMWQ!$A$2:$LR$60,MATCH(1,(GMWQ!$LQ$2:$LQ$60=O$3)*(GMWQ!$LP$2:$LP$60=O$4)*(GMWQ!$LR$2:$LR$60=O$1),0),$B38-1966)</f>
        <v>1E-3</v>
      </c>
      <c r="P38" s="7" cm="1">
        <f t="array" ref="P38">INDEX(GMWQ!$A$2:$LR$60,MATCH(1,(GMWQ!$LQ$2:$LQ$60=P$3)*(GMWQ!$LP$2:$LP$60=P$4)*(GMWQ!$LR$2:$LR$60=P$1),0),$B38-1966)</f>
        <v>44864</v>
      </c>
      <c r="Q38" s="7" cm="1">
        <f t="array" ref="Q38">INDEX(GMWQ!$A$2:$LR$60,MATCH(1,(GMWQ!$LQ$2:$LQ$60=Q$3)*(GMWQ!$LP$2:$LP$60=Q$4)*(GMWQ!$LR$2:$LR$60=Q$1),0),$B38-1966)</f>
        <v>14.9682</v>
      </c>
      <c r="R38" s="7" cm="1">
        <f t="array" ref="R38">INDEX(GMWQ!$A$2:$LR$60,MATCH(1,(GMWQ!$LQ$2:$LQ$60=R$3)*(GMWQ!$LP$2:$LP$60=R$4)*(GMWQ!$LR$2:$LR$60=R$1),0),$B38-1966)</f>
        <v>1E-3</v>
      </c>
      <c r="S38" s="7" cm="1">
        <f t="array" ref="S38">INDEX(GMWQ!$A$2:$LR$60,MATCH(1,(GMWQ!$LQ$2:$LQ$60=S$3)*(GMWQ!$LP$2:$LP$60=S$4)*(GMWQ!$LR$2:$LR$60=S$1),0),$B38-1966)</f>
        <v>307</v>
      </c>
      <c r="T38" s="7" cm="1">
        <f t="array" ref="T38">INDEX(GMWQ!$A$2:$LR$60,MATCH(1,(GMWQ!$LQ$2:$LQ$60=T$3)*(GMWQ!$LP$2:$LP$60=T$4)*(GMWQ!$LR$2:$LR$60=T$1),0),$B38-1966)</f>
        <v>1E-3</v>
      </c>
      <c r="U38" s="7" cm="1">
        <f t="array" ref="U38">INDEX(GMWQ!$A$2:$LR$60,MATCH(1,(GMWQ!$LQ$2:$LQ$60=U$3)*(GMWQ!$LP$2:$LP$60=U$4)*(GMWQ!$LR$2:$LR$60=U$1),0),$B38-1966)</f>
        <v>1821.665</v>
      </c>
      <c r="V38" s="7" cm="1">
        <f t="array" ref="V38">INDEX(GMWQ!$A$2:$LR$60,MATCH(1,(GMWQ!$LQ$2:$LQ$60=V$3)*(GMWQ!$LP$2:$LP$60=V$4)*(GMWQ!$LR$2:$LR$60=V$1),0),$B38-1966)</f>
        <v>1E-3</v>
      </c>
      <c r="W38" s="7" cm="1">
        <f t="array" ref="W38">INDEX(GMWQ!$A$2:$LR$60,MATCH(1,(GMWQ!$LQ$2:$LQ$60=W$3)*(GMWQ!$LP$2:$LP$60=W$4)*(GMWQ!$LR$2:$LR$60=W$1),0),$B38-1966)</f>
        <v>9.294924</v>
      </c>
      <c r="X38" s="7" cm="1">
        <f t="array" ref="X38">INDEX(GMWQ!$A$2:$LR$60,MATCH(1,(GMWQ!$LQ$2:$LQ$60=X$3)*(GMWQ!$LP$2:$LP$60=X$4)*(GMWQ!$LR$2:$LR$60=X$1),0),$B38-1966)</f>
        <v>877658.8</v>
      </c>
      <c r="Y38" s="7" cm="1">
        <f t="array" ref="Y38">INDEX(GMWQ!$A$2:$LR$60,MATCH(1,(GMWQ!$LQ$2:$LQ$60=Y$3)*(GMWQ!$LP$2:$LP$60=Y$4)*(GMWQ!$LR$2:$LR$60=Y$1),0),$B38-1966)</f>
        <v>28.888439999999999</v>
      </c>
      <c r="Z38" s="7" cm="1">
        <f t="array" ref="Z38">INDEX(GMWQ!$A$2:$LR$60,MATCH(1,(GMWQ!$LQ$2:$LQ$60=Z$3)*(GMWQ!$LP$2:$LP$60=Z$4)*(GMWQ!$LR$2:$LR$60=Z$1),0),$B38-1966)</f>
        <v>245736.5</v>
      </c>
      <c r="AA38" s="7" cm="1">
        <f t="array" ref="AA38">INDEX(GMWQ!$A$2:$LR$60,MATCH(1,(GMWQ!$LQ$2:$LQ$60=AA$3)*(GMWQ!$LP$2:$LP$60=AA$4)*(GMWQ!$LR$2:$LR$60=AA$1),0),$B38-1966)</f>
        <v>26916</v>
      </c>
      <c r="AB38" s="7" cm="1">
        <f t="array" ref="AB38">INDEX(GMWQ!$A$2:$LR$60,MATCH(1,(GMWQ!$LQ$2:$LQ$60=AB$3)*(GMWQ!$LP$2:$LP$60=AB$4)*(GMWQ!$LR$2:$LR$60=AB$1),0),$B38-1966)</f>
        <v>24175</v>
      </c>
      <c r="AC38" s="7" cm="1">
        <f t="array" ref="AC38">INDEX(GMWQ!$A$2:$LR$60,MATCH(1,(GMWQ!$LQ$2:$LQ$60=AC$3)*(GMWQ!$LP$2:$LP$60=AC$4)*(GMWQ!$LR$2:$LR$60=AC$1),0),$B38-1966)</f>
        <v>1507</v>
      </c>
      <c r="AD38" s="7" cm="1">
        <f t="array" ref="AD38">INDEX(GMWQ!$A$2:$LR$60,MATCH(1,(GMWQ!$LQ$2:$LQ$60=AD$3)*(GMWQ!$LP$2:$LP$60=AD$4)*(GMWQ!$LR$2:$LR$60=AD$1),0),$B38-1966)</f>
        <v>3037</v>
      </c>
      <c r="AE38" s="7" cm="1">
        <f t="array" ref="AE38">INDEX(GMWQ!$A$2:$LR$60,MATCH(1,(GMWQ!$LQ$2:$LQ$60=AE$3)*(GMWQ!$LP$2:$LP$60=AE$4)*(GMWQ!$LR$2:$LR$60=AE$1),0),$B38-1966)</f>
        <v>68138</v>
      </c>
      <c r="AF38" s="20" cm="1">
        <f t="array" ref="AF38">INDEX(GMWQ!$A$2:$LR$60,MATCH(1,(GMWQ!$LQ$2:$LQ$60=AF$3)*(GMWQ!$LP$2:$LP$60=AF$4)*(GMWQ!$LR$2:$LR$60=AF$1),0),$B38-1966)</f>
        <v>15.18182</v>
      </c>
      <c r="AG38" s="20" cm="1">
        <f t="array" ref="AG38">INDEX(GMWQ!$A$2:$LR$60,MATCH(1,(GMWQ!$LQ$2:$LQ$60=AG$3)*(GMWQ!$LP$2:$LP$60=AG$4)*(GMWQ!$LR$2:$LR$60=AG$1),0),$B38-1966)</f>
        <v>-132.09299999999999</v>
      </c>
      <c r="AI38" s="23" cm="1">
        <f t="array" ref="AI38">INDEX(GMWQ!$A$2:$LR$60,MATCH(1,(GMWQ!$LQ$2:$LQ$60=AI$3)*(GMWQ!$LP$2:$LP$60=AI$4)*(GMWQ!$LR$2:$LR$60=AI$1),0),$B38-1966)</f>
        <v>44864</v>
      </c>
      <c r="AJ38" s="23" cm="1">
        <f t="array" ref="AJ38">INDEX(GMWQ!$A$2:$LR$60,MATCH(1,(GMWQ!$LQ$2:$LQ$60=AJ$3)*(GMWQ!$LP$2:$LP$60=AJ$4)*(GMWQ!$LR$2:$LR$60=AJ$1),0),$B38-1966)</f>
        <v>31.952549999999999</v>
      </c>
      <c r="AK38" s="23" cm="1">
        <f t="array" ref="AK38">INDEX(GMWQ!$A$2:$LR$60,MATCH(1,(GMWQ!$LQ$2:$LQ$60=AK$3)*(GMWQ!$LP$2:$LP$60=AK$4)*(GMWQ!$LR$2:$LR$60=AK$1),0),$B38-1966)</f>
        <v>30980</v>
      </c>
      <c r="AL38" s="23" cm="1">
        <f t="array" ref="AL38">INDEX(GMWQ!$A$2:$LR$60,MATCH(1,(GMWQ!$LQ$2:$LQ$60=AL$3)*(GMWQ!$LP$2:$LP$60=AL$4)*(GMWQ!$LR$2:$LR$60=AL$1),0),$B38-1966)</f>
        <v>1419.0419999999999</v>
      </c>
      <c r="AM38" s="23" cm="1">
        <f t="array" ref="AM38">INDEX(GMWQ!$A$2:$LR$60,MATCH(1,(GMWQ!$LQ$2:$LQ$60=AM$3)*(GMWQ!$LP$2:$LP$60=AM$4)*(GMWQ!$LR$2:$LR$60=AM$1),0),$B38-1966)</f>
        <v>21831.63</v>
      </c>
      <c r="AN38" s="23" cm="1">
        <f t="array" ref="AN38">INDEX(GMWQ!$A$2:$LR$60,MATCH(1,(GMWQ!$LQ$2:$LQ$60=AN$3)*(GMWQ!$LP$2:$LP$60=AN$4)*(GMWQ!$LR$2:$LR$60=AN$1),0),$B38-1966)</f>
        <v>6646.5290000000005</v>
      </c>
      <c r="AO38" s="23" cm="1">
        <f t="array" ref="AO38">INDEX(GMWQ!$A$2:$LR$60,MATCH(1,(GMWQ!$LQ$2:$LQ$60=AO$3)*(GMWQ!$LP$2:$LP$60=AO$4)*(GMWQ!$LR$2:$LR$60=AO$1),0),$B38-1966)</f>
        <v>1588.002</v>
      </c>
      <c r="AP38" s="23" cm="1">
        <f t="array" ref="AP38">INDEX(GMWQ!$A$2:$LR$60,MATCH(1,(GMWQ!$LQ$2:$LQ$60=AP$3)*(GMWQ!$LP$2:$LP$60=AP$4)*(GMWQ!$LR$2:$LR$60=AP$1),0),$B38-1966)</f>
        <v>-132.09299999999999</v>
      </c>
      <c r="AQ38" s="23" cm="1">
        <f t="array" ref="AQ38">INDEX(GMWQ!$A$2:$LR$60,MATCH(1,(GMWQ!$LQ$2:$LQ$60=AQ$3)*(GMWQ!$LP$2:$LP$60=AQ$4)*(GMWQ!$LR$2:$LR$60=AQ$1),0),$B38-1966)</f>
        <v>6954.1369999999997</v>
      </c>
      <c r="AR38" s="23" cm="1">
        <f t="array" ref="AR38">INDEX(GMWQ!$A$2:$LR$60,MATCH(1,(GMWQ!$LQ$2:$LQ$60=AR$3)*(GMWQ!$LP$2:$LP$60=AR$4)*(GMWQ!$LR$2:$LR$60=AR$1),0),$B38-1966)</f>
        <v>39756</v>
      </c>
      <c r="AS38" s="23" cm="1">
        <f t="array" ref="AS38">INDEX(GMWQ!$A$2:$LR$60,MATCH(1,(GMWQ!$LQ$2:$LQ$60=AS$3)*(GMWQ!$LP$2:$LP$60=AS$4)*(GMWQ!$LR$2:$LR$60=AS$1),0),$B38-1966)</f>
        <v>646</v>
      </c>
      <c r="AT38" s="23" cm="1">
        <f t="array" ref="AT38">INDEX(GMWQ!$A$2:$LR$60,MATCH(1,(GMWQ!$LQ$2:$LQ$60=AT$3)*(GMWQ!$LP$2:$LP$60=AT$4)*(GMWQ!$LR$2:$LR$60=AT$1),0),$B38-1966)</f>
        <v>124422</v>
      </c>
      <c r="AU38" s="23" cm="1">
        <f t="array" ref="AU38">INDEX(GMWQ!$A$2:$LR$60,MATCH(1,(GMWQ!$LQ$2:$LQ$60=AU$3)*(GMWQ!$LP$2:$LP$60=AU$4)*(GMWQ!$LR$2:$LR$60=AU$1),0),$B38-1966)</f>
        <v>3626</v>
      </c>
    </row>
    <row r="39" spans="1:47" x14ac:dyDescent="0.35">
      <c r="A39" s="7">
        <v>1981</v>
      </c>
      <c r="B39" s="7">
        <f t="shared" si="1"/>
        <v>2005</v>
      </c>
      <c r="C39" s="7" cm="1">
        <f t="array" ref="C39">INDEX(GMWQ!$A$2:$LR$60,MATCH(1,(GMWQ!$LQ$2:$LQ$60=C$3)*(GMWQ!$LP$2:$LP$60=C$4)*(GMWQ!$LR$2:$LR$60=C$1),0),$B39-1966)</f>
        <v>235712</v>
      </c>
      <c r="D39" s="7" cm="1">
        <f t="array" ref="D39">INDEX(GMWQ!$A$2:$LR$60,MATCH(1,(GMWQ!$LQ$2:$LQ$60=D$3)*(GMWQ!$LP$2:$LP$60=D$4)*(GMWQ!$LR$2:$LR$60=D$1),0),$B39-1966)</f>
        <v>67.327690000000004</v>
      </c>
      <c r="E39" s="7" cm="1">
        <f t="array" ref="E39">INDEX(GMWQ!$A$2:$LR$60,MATCH(1,(GMWQ!$LQ$2:$LQ$60=E$3)*(GMWQ!$LP$2:$LP$60=E$4)*(GMWQ!$LR$2:$LR$60=E$1),0),$B39-1966)</f>
        <v>34.385100000000001</v>
      </c>
      <c r="F39" s="7" cm="1">
        <f t="array" ref="F39">INDEX(GMWQ!$A$2:$LR$60,MATCH(1,(GMWQ!$LQ$2:$LQ$60=F$3)*(GMWQ!$LP$2:$LP$60=F$4)*(GMWQ!$LR$2:$LR$60=F$1),0),$B39-1966)</f>
        <v>31183</v>
      </c>
      <c r="G39" s="7" cm="1">
        <f t="array" ref="G39">INDEX(GMWQ!$A$2:$LR$60,MATCH(1,(GMWQ!$LQ$2:$LQ$60=G$3)*(GMWQ!$LP$2:$LP$60=G$4)*(GMWQ!$LR$2:$LR$60=G$1),0),$B39-1966)</f>
        <v>6531.7969999999996</v>
      </c>
      <c r="H39" s="7" cm="1">
        <f t="array" ref="H39">INDEX(GMWQ!$A$2:$LR$60,MATCH(1,(GMWQ!$LQ$2:$LQ$60=H$3)*(GMWQ!$LP$2:$LP$60=H$4)*(GMWQ!$LR$2:$LR$60=H$1),0),$B39-1966)</f>
        <v>1571.1089999999999</v>
      </c>
      <c r="I39" s="7" cm="1">
        <f t="array" ref="I39">INDEX(GMWQ!$A$2:$LR$60,MATCH(1,(GMWQ!$LQ$2:$LQ$60=I$3)*(GMWQ!$LP$2:$LP$60=I$4)*(GMWQ!$LR$2:$LR$60=I$1),0),$B39-1966)</f>
        <v>32.74662</v>
      </c>
      <c r="J39" s="7" cm="1">
        <f t="array" ref="J39">INDEX(GMWQ!$A$2:$LR$60,MATCH(1,(GMWQ!$LQ$2:$LQ$60=J$3)*(GMWQ!$LP$2:$LP$60=J$4)*(GMWQ!$LR$2:$LR$60=J$1),0),$B39-1966)</f>
        <v>21568.799999999999</v>
      </c>
      <c r="K39" s="7" cm="1">
        <f t="array" ref="K39">INDEX(GMWQ!$A$2:$LR$60,MATCH(1,(GMWQ!$LQ$2:$LQ$60=K$3)*(GMWQ!$LP$2:$LP$60=K$4)*(GMWQ!$LR$2:$LR$60=K$1),0),$B39-1966)</f>
        <v>12</v>
      </c>
      <c r="L39" s="7" cm="1">
        <f t="array" ref="L39">INDEX(GMWQ!$A$2:$LR$60,MATCH(1,(GMWQ!$LQ$2:$LQ$60=L$3)*(GMWQ!$LP$2:$LP$60=L$4)*(GMWQ!$LR$2:$LR$60=L$1),0),$B39-1966)</f>
        <v>8.9</v>
      </c>
      <c r="M39" s="7" cm="1">
        <f t="array" ref="M39">INDEX(GMWQ!$A$2:$LR$60,MATCH(1,(GMWQ!$LQ$2:$LQ$60=M$3)*(GMWQ!$LP$2:$LP$60=M$4)*(GMWQ!$LR$2:$LR$60=M$1),0),$B39-1966)</f>
        <v>11.06818</v>
      </c>
      <c r="N39" s="7" cm="1">
        <f t="array" ref="N39">INDEX(GMWQ!$A$2:$LR$60,MATCH(1,(GMWQ!$LQ$2:$LQ$60=N$3)*(GMWQ!$LP$2:$LP$60=N$4)*(GMWQ!$LR$2:$LR$60=N$1),0),$B39-1966)</f>
        <v>1E-3</v>
      </c>
      <c r="O39" s="7" cm="1">
        <f t="array" ref="O39">INDEX(GMWQ!$A$2:$LR$60,MATCH(1,(GMWQ!$LQ$2:$LQ$60=O$3)*(GMWQ!$LP$2:$LP$60=O$4)*(GMWQ!$LR$2:$LR$60=O$1),0),$B39-1966)</f>
        <v>1E-3</v>
      </c>
      <c r="P39" s="7" cm="1">
        <f t="array" ref="P39">INDEX(GMWQ!$A$2:$LR$60,MATCH(1,(GMWQ!$LQ$2:$LQ$60=P$3)*(GMWQ!$LP$2:$LP$60=P$4)*(GMWQ!$LR$2:$LR$60=P$1),0),$B39-1966)</f>
        <v>46552</v>
      </c>
      <c r="Q39" s="7" cm="1">
        <f t="array" ref="Q39">INDEX(GMWQ!$A$2:$LR$60,MATCH(1,(GMWQ!$LQ$2:$LQ$60=Q$3)*(GMWQ!$LP$2:$LP$60=Q$4)*(GMWQ!$LR$2:$LR$60=Q$1),0),$B39-1966)</f>
        <v>13.8888</v>
      </c>
      <c r="R39" s="7" cm="1">
        <f t="array" ref="R39">INDEX(GMWQ!$A$2:$LR$60,MATCH(1,(GMWQ!$LQ$2:$LQ$60=R$3)*(GMWQ!$LP$2:$LP$60=R$4)*(GMWQ!$LR$2:$LR$60=R$1),0),$B39-1966)</f>
        <v>1E-3</v>
      </c>
      <c r="S39" s="7" cm="1">
        <f t="array" ref="S39">INDEX(GMWQ!$A$2:$LR$60,MATCH(1,(GMWQ!$LQ$2:$LQ$60=S$3)*(GMWQ!$LP$2:$LP$60=S$4)*(GMWQ!$LR$2:$LR$60=S$1),0),$B39-1966)</f>
        <v>308</v>
      </c>
      <c r="T39" s="7" cm="1">
        <f t="array" ref="T39">INDEX(GMWQ!$A$2:$LR$60,MATCH(1,(GMWQ!$LQ$2:$LQ$60=T$3)*(GMWQ!$LP$2:$LP$60=T$4)*(GMWQ!$LR$2:$LR$60=T$1),0),$B39-1966)</f>
        <v>1E-3</v>
      </c>
      <c r="U39" s="7" cm="1">
        <f t="array" ref="U39">INDEX(GMWQ!$A$2:$LR$60,MATCH(1,(GMWQ!$LQ$2:$LQ$60=U$3)*(GMWQ!$LP$2:$LP$60=U$4)*(GMWQ!$LR$2:$LR$60=U$1),0),$B39-1966)</f>
        <v>1756.731</v>
      </c>
      <c r="V39" s="7" cm="1">
        <f t="array" ref="V39">INDEX(GMWQ!$A$2:$LR$60,MATCH(1,(GMWQ!$LQ$2:$LQ$60=V$3)*(GMWQ!$LP$2:$LP$60=V$4)*(GMWQ!$LR$2:$LR$60=V$1),0),$B39-1966)</f>
        <v>1E-3</v>
      </c>
      <c r="W39" s="7" cm="1">
        <f t="array" ref="W39">INDEX(GMWQ!$A$2:$LR$60,MATCH(1,(GMWQ!$LQ$2:$LQ$60=W$3)*(GMWQ!$LP$2:$LP$60=W$4)*(GMWQ!$LR$2:$LR$60=W$1),0),$B39-1966)</f>
        <v>8.2465519999999994</v>
      </c>
      <c r="X39" s="7" cm="1">
        <f t="array" ref="X39">INDEX(GMWQ!$A$2:$LR$60,MATCH(1,(GMWQ!$LQ$2:$LQ$60=X$3)*(GMWQ!$LP$2:$LP$60=X$4)*(GMWQ!$LR$2:$LR$60=X$1),0),$B39-1966)</f>
        <v>887612.8</v>
      </c>
      <c r="Y39" s="7" cm="1">
        <f t="array" ref="Y39">INDEX(GMWQ!$A$2:$LR$60,MATCH(1,(GMWQ!$LQ$2:$LQ$60=Y$3)*(GMWQ!$LP$2:$LP$60=Y$4)*(GMWQ!$LR$2:$LR$60=Y$1),0),$B39-1966)</f>
        <v>29.671379999999999</v>
      </c>
      <c r="Z39" s="7" cm="1">
        <f t="array" ref="Z39">INDEX(GMWQ!$A$2:$LR$60,MATCH(1,(GMWQ!$LQ$2:$LQ$60=Z$3)*(GMWQ!$LP$2:$LP$60=Z$4)*(GMWQ!$LR$2:$LR$60=Z$1),0),$B39-1966)</f>
        <v>246765.5</v>
      </c>
      <c r="AA39" s="7" cm="1">
        <f t="array" ref="AA39">INDEX(GMWQ!$A$2:$LR$60,MATCH(1,(GMWQ!$LQ$2:$LQ$60=AA$3)*(GMWQ!$LP$2:$LP$60=AA$4)*(GMWQ!$LR$2:$LR$60=AA$1),0),$B39-1966)</f>
        <v>28137</v>
      </c>
      <c r="AB39" s="7" cm="1">
        <f t="array" ref="AB39">INDEX(GMWQ!$A$2:$LR$60,MATCH(1,(GMWQ!$LQ$2:$LQ$60=AB$3)*(GMWQ!$LP$2:$LP$60=AB$4)*(GMWQ!$LR$2:$LR$60=AB$1),0),$B39-1966)</f>
        <v>26380</v>
      </c>
      <c r="AC39" s="7" cm="1">
        <f t="array" ref="AC39">INDEX(GMWQ!$A$2:$LR$60,MATCH(1,(GMWQ!$LQ$2:$LQ$60=AC$3)*(GMWQ!$LP$2:$LP$60=AC$4)*(GMWQ!$LR$2:$LR$60=AC$1),0),$B39-1966)</f>
        <v>1838</v>
      </c>
      <c r="AD39" s="7" cm="1">
        <f t="array" ref="AD39">INDEX(GMWQ!$A$2:$LR$60,MATCH(1,(GMWQ!$LQ$2:$LQ$60=AD$3)*(GMWQ!$LP$2:$LP$60=AD$4)*(GMWQ!$LR$2:$LR$60=AD$1),0),$B39-1966)</f>
        <v>3089</v>
      </c>
      <c r="AE39" s="7" cm="1">
        <f t="array" ref="AE39">INDEX(GMWQ!$A$2:$LR$60,MATCH(1,(GMWQ!$LQ$2:$LQ$60=AE$3)*(GMWQ!$LP$2:$LP$60=AE$4)*(GMWQ!$LR$2:$LR$60=AE$1),0),$B39-1966)</f>
        <v>69939</v>
      </c>
      <c r="AF39" s="20" cm="1">
        <f t="array" ref="AF39">INDEX(GMWQ!$A$2:$LR$60,MATCH(1,(GMWQ!$LQ$2:$LQ$60=AF$3)*(GMWQ!$LP$2:$LP$60=AF$4)*(GMWQ!$LR$2:$LR$60=AF$1),0),$B39-1966)</f>
        <v>13.53125</v>
      </c>
      <c r="AG39" s="20" cm="1">
        <f t="array" ref="AG39">INDEX(GMWQ!$A$2:$LR$60,MATCH(1,(GMWQ!$LQ$2:$LQ$60=AG$3)*(GMWQ!$LP$2:$LP$60=AG$4)*(GMWQ!$LR$2:$LR$60=AG$1),0),$B39-1966)</f>
        <v>-440.26049999999998</v>
      </c>
      <c r="AI39" s="23" cm="1">
        <f t="array" ref="AI39">INDEX(GMWQ!$A$2:$LR$60,MATCH(1,(GMWQ!$LQ$2:$LQ$60=AI$3)*(GMWQ!$LP$2:$LP$60=AI$4)*(GMWQ!$LR$2:$LR$60=AI$1),0),$B39-1966)</f>
        <v>46552</v>
      </c>
      <c r="AJ39" s="23" cm="1">
        <f t="array" ref="AJ39">INDEX(GMWQ!$A$2:$LR$60,MATCH(1,(GMWQ!$LQ$2:$LQ$60=AJ$3)*(GMWQ!$LP$2:$LP$60=AJ$4)*(GMWQ!$LR$2:$LR$60=AJ$1),0),$B39-1966)</f>
        <v>32.74662</v>
      </c>
      <c r="AK39" s="23" cm="1">
        <f t="array" ref="AK39">INDEX(GMWQ!$A$2:$LR$60,MATCH(1,(GMWQ!$LQ$2:$LQ$60=AK$3)*(GMWQ!$LP$2:$LP$60=AK$4)*(GMWQ!$LR$2:$LR$60=AK$1),0),$B39-1966)</f>
        <v>31183</v>
      </c>
      <c r="AL39" s="23" cm="1">
        <f t="array" ref="AL39">INDEX(GMWQ!$A$2:$LR$60,MATCH(1,(GMWQ!$LQ$2:$LQ$60=AL$3)*(GMWQ!$LP$2:$LP$60=AL$4)*(GMWQ!$LR$2:$LR$60=AL$1),0),$B39-1966)</f>
        <v>1445.7460000000001</v>
      </c>
      <c r="AM39" s="23" cm="1">
        <f t="array" ref="AM39">INDEX(GMWQ!$A$2:$LR$60,MATCH(1,(GMWQ!$LQ$2:$LQ$60=AM$3)*(GMWQ!$LP$2:$LP$60=AM$4)*(GMWQ!$LR$2:$LR$60=AM$1),0),$B39-1966)</f>
        <v>21568.799999999999</v>
      </c>
      <c r="AN39" s="23" cm="1">
        <f t="array" ref="AN39">INDEX(GMWQ!$A$2:$LR$60,MATCH(1,(GMWQ!$LQ$2:$LQ$60=AN$3)*(GMWQ!$LP$2:$LP$60=AN$4)*(GMWQ!$LR$2:$LR$60=AN$1),0),$B39-1966)</f>
        <v>6531.7969999999996</v>
      </c>
      <c r="AO39" s="23" cm="1">
        <f t="array" ref="AO39">INDEX(GMWQ!$A$2:$LR$60,MATCH(1,(GMWQ!$LQ$2:$LQ$60=AO$3)*(GMWQ!$LP$2:$LP$60=AO$4)*(GMWQ!$LR$2:$LR$60=AO$1),0),$B39-1966)</f>
        <v>1571.1089999999999</v>
      </c>
      <c r="AP39" s="23" cm="1">
        <f t="array" ref="AP39">INDEX(GMWQ!$A$2:$LR$60,MATCH(1,(GMWQ!$LQ$2:$LQ$60=AP$3)*(GMWQ!$LP$2:$LP$60=AP$4)*(GMWQ!$LR$2:$LR$60=AP$1),0),$B39-1966)</f>
        <v>-440.26049999999998</v>
      </c>
      <c r="AQ39" s="23" cm="1">
        <f t="array" ref="AQ39">INDEX(GMWQ!$A$2:$LR$60,MATCH(1,(GMWQ!$LQ$2:$LQ$60=AQ$3)*(GMWQ!$LP$2:$LP$60=AQ$4)*(GMWQ!$LR$2:$LR$60=AQ$1),0),$B39-1966)</f>
        <v>7586.5140000000001</v>
      </c>
      <c r="AR39" s="23" cm="1">
        <f t="array" ref="AR39">INDEX(GMWQ!$A$2:$LR$60,MATCH(1,(GMWQ!$LQ$2:$LQ$60=AR$3)*(GMWQ!$LP$2:$LP$60=AR$4)*(GMWQ!$LR$2:$LR$60=AR$1),0),$B39-1966)</f>
        <v>41488</v>
      </c>
      <c r="AS39" s="23" cm="1">
        <f t="array" ref="AS39">INDEX(GMWQ!$A$2:$LR$60,MATCH(1,(GMWQ!$LQ$2:$LQ$60=AS$3)*(GMWQ!$LP$2:$LP$60=AS$4)*(GMWQ!$LR$2:$LR$60=AS$1),0),$B39-1966)</f>
        <v>681</v>
      </c>
      <c r="AT39" s="23" cm="1">
        <f t="array" ref="AT39">INDEX(GMWQ!$A$2:$LR$60,MATCH(1,(GMWQ!$LQ$2:$LQ$60=AT$3)*(GMWQ!$LP$2:$LP$60=AT$4)*(GMWQ!$LR$2:$LR$60=AT$1),0),$B39-1966)</f>
        <v>126694</v>
      </c>
      <c r="AU39" s="23" cm="1">
        <f t="array" ref="AU39">INDEX(GMWQ!$A$2:$LR$60,MATCH(1,(GMWQ!$LQ$2:$LQ$60=AU$3)*(GMWQ!$LP$2:$LP$60=AU$4)*(GMWQ!$LR$2:$LR$60=AU$1),0),$B39-1966)</f>
        <v>3256</v>
      </c>
    </row>
    <row r="40" spans="1:47" x14ac:dyDescent="0.35">
      <c r="B40" s="7">
        <f t="shared" si="1"/>
        <v>2006</v>
      </c>
      <c r="C40" s="7" cm="1">
        <f t="array" ref="C40">INDEX(GMWQ!$A$2:$LR$60,MATCH(1,(GMWQ!$LQ$2:$LQ$60=C$3)*(GMWQ!$LP$2:$LP$60=C$4)*(GMWQ!$LR$2:$LR$60=C$1),0),$B40-1966)</f>
        <v>236272</v>
      </c>
      <c r="D40" s="7" cm="1">
        <f t="array" ref="D40">INDEX(GMWQ!$A$2:$LR$60,MATCH(1,(GMWQ!$LQ$2:$LQ$60=D$3)*(GMWQ!$LP$2:$LP$60=D$4)*(GMWQ!$LR$2:$LR$60=D$1),0),$B40-1966)</f>
        <v>69.614490000000004</v>
      </c>
      <c r="E40" s="7" cm="1">
        <f t="array" ref="E40">INDEX(GMWQ!$A$2:$LR$60,MATCH(1,(GMWQ!$LQ$2:$LQ$60=E$3)*(GMWQ!$LP$2:$LP$60=E$4)*(GMWQ!$LR$2:$LR$60=E$1),0),$B40-1966)</f>
        <v>36.079590000000003</v>
      </c>
      <c r="F40" s="7" cm="1">
        <f t="array" ref="F40">INDEX(GMWQ!$A$2:$LR$60,MATCH(1,(GMWQ!$LQ$2:$LQ$60=F$3)*(GMWQ!$LP$2:$LP$60=F$4)*(GMWQ!$LR$2:$LR$60=F$1),0),$B40-1966)</f>
        <v>31633</v>
      </c>
      <c r="G40" s="7" cm="1">
        <f t="array" ref="G40">INDEX(GMWQ!$A$2:$LR$60,MATCH(1,(GMWQ!$LQ$2:$LQ$60=G$3)*(GMWQ!$LP$2:$LP$60=G$4)*(GMWQ!$LR$2:$LR$60=G$1),0),$B40-1966)</f>
        <v>7261.7290000000003</v>
      </c>
      <c r="H40" s="7" cm="1">
        <f t="array" ref="H40">INDEX(GMWQ!$A$2:$LR$60,MATCH(1,(GMWQ!$LQ$2:$LQ$60=H$3)*(GMWQ!$LP$2:$LP$60=H$4)*(GMWQ!$LR$2:$LR$60=H$1),0),$B40-1966)</f>
        <v>1901.5909999999999</v>
      </c>
      <c r="I40" s="7" cm="1">
        <f t="array" ref="I40">INDEX(GMWQ!$A$2:$LR$60,MATCH(1,(GMWQ!$LQ$2:$LQ$60=I$3)*(GMWQ!$LP$2:$LP$60=I$4)*(GMWQ!$LR$2:$LR$60=I$1),0),$B40-1966)</f>
        <v>33.662889999999997</v>
      </c>
      <c r="J40" s="7" cm="1">
        <f t="array" ref="J40">INDEX(GMWQ!$A$2:$LR$60,MATCH(1,(GMWQ!$LQ$2:$LQ$60=J$3)*(GMWQ!$LP$2:$LP$60=J$4)*(GMWQ!$LR$2:$LR$60=J$1),0),$B40-1966)</f>
        <v>21358.17</v>
      </c>
      <c r="K40" s="7" cm="1">
        <f t="array" ref="K40">INDEX(GMWQ!$A$2:$LR$60,MATCH(1,(GMWQ!$LQ$2:$LQ$60=K$3)*(GMWQ!$LP$2:$LP$60=K$4)*(GMWQ!$LR$2:$LR$60=K$1),0),$B40-1966)</f>
        <v>12</v>
      </c>
      <c r="L40" s="7" cm="1">
        <f t="array" ref="L40">INDEX(GMWQ!$A$2:$LR$60,MATCH(1,(GMWQ!$LQ$2:$LQ$60=L$3)*(GMWQ!$LP$2:$LP$60=L$4)*(GMWQ!$LR$2:$LR$60=L$1),0),$B40-1966)</f>
        <v>9.6</v>
      </c>
      <c r="M40" s="7" cm="1">
        <f t="array" ref="M40">INDEX(GMWQ!$A$2:$LR$60,MATCH(1,(GMWQ!$LQ$2:$LQ$60=M$3)*(GMWQ!$LP$2:$LP$60=M$4)*(GMWQ!$LR$2:$LR$60=M$1),0),$B40-1966)</f>
        <v>11.35285</v>
      </c>
      <c r="N40" s="7" cm="1">
        <f t="array" ref="N40">INDEX(GMWQ!$A$2:$LR$60,MATCH(1,(GMWQ!$LQ$2:$LQ$60=N$3)*(GMWQ!$LP$2:$LP$60=N$4)*(GMWQ!$LR$2:$LR$60=N$1),0),$B40-1966)</f>
        <v>1E-3</v>
      </c>
      <c r="O40" s="7" cm="1">
        <f t="array" ref="O40">INDEX(GMWQ!$A$2:$LR$60,MATCH(1,(GMWQ!$LQ$2:$LQ$60=O$3)*(GMWQ!$LP$2:$LP$60=O$4)*(GMWQ!$LR$2:$LR$60=O$1),0),$B40-1966)</f>
        <v>1E-3</v>
      </c>
      <c r="P40" s="7" cm="1">
        <f t="array" ref="P40">INDEX(GMWQ!$A$2:$LR$60,MATCH(1,(GMWQ!$LQ$2:$LQ$60=P$3)*(GMWQ!$LP$2:$LP$60=P$4)*(GMWQ!$LR$2:$LR$60=P$1),0),$B40-1966)</f>
        <v>47036</v>
      </c>
      <c r="Q40" s="7" cm="1">
        <f t="array" ref="Q40">INDEX(GMWQ!$A$2:$LR$60,MATCH(1,(GMWQ!$LQ$2:$LQ$60=Q$3)*(GMWQ!$LP$2:$LP$60=Q$4)*(GMWQ!$LR$2:$LR$60=Q$1),0),$B40-1966)</f>
        <v>13.0457</v>
      </c>
      <c r="R40" s="7" cm="1">
        <f t="array" ref="R40">INDEX(GMWQ!$A$2:$LR$60,MATCH(1,(GMWQ!$LQ$2:$LQ$60=R$3)*(GMWQ!$LP$2:$LP$60=R$4)*(GMWQ!$LR$2:$LR$60=R$1),0),$B40-1966)</f>
        <v>1E-3</v>
      </c>
      <c r="S40" s="7" cm="1">
        <f t="array" ref="S40">INDEX(GMWQ!$A$2:$LR$60,MATCH(1,(GMWQ!$LQ$2:$LQ$60=S$3)*(GMWQ!$LP$2:$LP$60=S$4)*(GMWQ!$LR$2:$LR$60=S$1),0),$B40-1966)</f>
        <v>335</v>
      </c>
      <c r="T40" s="7" cm="1">
        <f t="array" ref="T40">INDEX(GMWQ!$A$2:$LR$60,MATCH(1,(GMWQ!$LQ$2:$LQ$60=T$3)*(GMWQ!$LP$2:$LP$60=T$4)*(GMWQ!$LR$2:$LR$60=T$1),0),$B40-1966)</f>
        <v>1E-3</v>
      </c>
      <c r="U40" s="7" cm="1">
        <f t="array" ref="U40">INDEX(GMWQ!$A$2:$LR$60,MATCH(1,(GMWQ!$LQ$2:$LQ$60=U$3)*(GMWQ!$LP$2:$LP$60=U$4)*(GMWQ!$LR$2:$LR$60=U$1),0),$B40-1966)</f>
        <v>2145.4580000000001</v>
      </c>
      <c r="V40" s="7" cm="1">
        <f t="array" ref="V40">INDEX(GMWQ!$A$2:$LR$60,MATCH(1,(GMWQ!$LQ$2:$LQ$60=V$3)*(GMWQ!$LP$2:$LP$60=V$4)*(GMWQ!$LR$2:$LR$60=V$1),0),$B40-1966)</f>
        <v>1E-3</v>
      </c>
      <c r="W40" s="7" cm="1">
        <f t="array" ref="W40">INDEX(GMWQ!$A$2:$LR$60,MATCH(1,(GMWQ!$LQ$2:$LQ$60=W$3)*(GMWQ!$LP$2:$LP$60=W$4)*(GMWQ!$LR$2:$LR$60=W$1),0),$B40-1966)</f>
        <v>7.1851580000000004</v>
      </c>
      <c r="X40" s="7" cm="1">
        <f t="array" ref="X40">INDEX(GMWQ!$A$2:$LR$60,MATCH(1,(GMWQ!$LQ$2:$LQ$60=X$3)*(GMWQ!$LP$2:$LP$60=X$4)*(GMWQ!$LR$2:$LR$60=X$1),0),$B40-1966)</f>
        <v>895791.2</v>
      </c>
      <c r="Y40" s="7" cm="1">
        <f t="array" ref="Y40">INDEX(GMWQ!$A$2:$LR$60,MATCH(1,(GMWQ!$LQ$2:$LQ$60=Y$3)*(GMWQ!$LP$2:$LP$60=Y$4)*(GMWQ!$LR$2:$LR$60=Y$1),0),$B40-1966)</f>
        <v>30.191469999999999</v>
      </c>
      <c r="Z40" s="7" cm="1">
        <f t="array" ref="Z40">INDEX(GMWQ!$A$2:$LR$60,MATCH(1,(GMWQ!$LQ$2:$LQ$60=Z$3)*(GMWQ!$LP$2:$LP$60=Z$4)*(GMWQ!$LR$2:$LR$60=Z$1),0),$B40-1966)</f>
        <v>247498.8</v>
      </c>
      <c r="AA40" s="7" cm="1">
        <f t="array" ref="AA40">INDEX(GMWQ!$A$2:$LR$60,MATCH(1,(GMWQ!$LQ$2:$LQ$60=AA$3)*(GMWQ!$LP$2:$LP$60=AA$4)*(GMWQ!$LR$2:$LR$60=AA$1),0),$B40-1966)</f>
        <v>26402</v>
      </c>
      <c r="AB40" s="7" cm="1">
        <f t="array" ref="AB40">INDEX(GMWQ!$A$2:$LR$60,MATCH(1,(GMWQ!$LQ$2:$LQ$60=AB$3)*(GMWQ!$LP$2:$LP$60=AB$4)*(GMWQ!$LR$2:$LR$60=AB$1),0),$B40-1966)</f>
        <v>26203</v>
      </c>
      <c r="AC40" s="7" cm="1">
        <f t="array" ref="AC40">INDEX(GMWQ!$A$2:$LR$60,MATCH(1,(GMWQ!$LQ$2:$LQ$60=AC$3)*(GMWQ!$LP$2:$LP$60=AC$4)*(GMWQ!$LR$2:$LR$60=AC$1),0),$B40-1966)</f>
        <v>715</v>
      </c>
      <c r="AD40" s="7" cm="1">
        <f t="array" ref="AD40">INDEX(GMWQ!$A$2:$LR$60,MATCH(1,(GMWQ!$LQ$2:$LQ$60=AD$3)*(GMWQ!$LP$2:$LP$60=AD$4)*(GMWQ!$LR$2:$LR$60=AD$1),0),$B40-1966)</f>
        <v>3163</v>
      </c>
      <c r="AE40" s="7" cm="1">
        <f t="array" ref="AE40">INDEX(GMWQ!$A$2:$LR$60,MATCH(1,(GMWQ!$LQ$2:$LQ$60=AE$3)*(GMWQ!$LP$2:$LP$60=AE$4)*(GMWQ!$LR$2:$LR$60=AE$1),0),$B40-1966)</f>
        <v>71334</v>
      </c>
      <c r="AF40" s="20" cm="1">
        <f t="array" ref="AF40">INDEX(GMWQ!$A$2:$LR$60,MATCH(1,(GMWQ!$LQ$2:$LQ$60=AF$3)*(GMWQ!$LP$2:$LP$60=AF$4)*(GMWQ!$LR$2:$LR$60=AF$1),0),$B40-1966)</f>
        <v>12</v>
      </c>
      <c r="AG40" s="20" cm="1">
        <f t="array" ref="AG40">INDEX(GMWQ!$A$2:$LR$60,MATCH(1,(GMWQ!$LQ$2:$LQ$60=AG$3)*(GMWQ!$LP$2:$LP$60=AG$4)*(GMWQ!$LR$2:$LR$60=AG$1),0),$B40-1966)</f>
        <v>-510.21409999999997</v>
      </c>
      <c r="AI40" s="23" cm="1">
        <f t="array" ref="AI40">INDEX(GMWQ!$A$2:$LR$60,MATCH(1,(GMWQ!$LQ$2:$LQ$60=AI$3)*(GMWQ!$LP$2:$LP$60=AI$4)*(GMWQ!$LR$2:$LR$60=AI$1),0),$B40-1966)</f>
        <v>47036</v>
      </c>
      <c r="AJ40" s="23" cm="1">
        <f t="array" ref="AJ40">INDEX(GMWQ!$A$2:$LR$60,MATCH(1,(GMWQ!$LQ$2:$LQ$60=AJ$3)*(GMWQ!$LP$2:$LP$60=AJ$4)*(GMWQ!$LR$2:$LR$60=AJ$1),0),$B40-1966)</f>
        <v>33.662889999999997</v>
      </c>
      <c r="AK40" s="23" cm="1">
        <f t="array" ref="AK40">INDEX(GMWQ!$A$2:$LR$60,MATCH(1,(GMWQ!$LQ$2:$LQ$60=AK$3)*(GMWQ!$LP$2:$LP$60=AK$4)*(GMWQ!$LR$2:$LR$60=AK$1),0),$B40-1966)</f>
        <v>31633</v>
      </c>
      <c r="AL40" s="23" cm="1">
        <f t="array" ref="AL40">INDEX(GMWQ!$A$2:$LR$60,MATCH(1,(GMWQ!$LQ$2:$LQ$60=AL$3)*(GMWQ!$LP$2:$LP$60=AL$4)*(GMWQ!$LR$2:$LR$60=AL$1),0),$B40-1966)</f>
        <v>1481.0730000000001</v>
      </c>
      <c r="AM40" s="23" cm="1">
        <f t="array" ref="AM40">INDEX(GMWQ!$A$2:$LR$60,MATCH(1,(GMWQ!$LQ$2:$LQ$60=AM$3)*(GMWQ!$LP$2:$LP$60=AM$4)*(GMWQ!$LR$2:$LR$60=AM$1),0),$B40-1966)</f>
        <v>21358.17</v>
      </c>
      <c r="AN40" s="23" cm="1">
        <f t="array" ref="AN40">INDEX(GMWQ!$A$2:$LR$60,MATCH(1,(GMWQ!$LQ$2:$LQ$60=AN$3)*(GMWQ!$LP$2:$LP$60=AN$4)*(GMWQ!$LR$2:$LR$60=AN$1),0),$B40-1966)</f>
        <v>7261.7290000000003</v>
      </c>
      <c r="AO40" s="23" cm="1">
        <f t="array" ref="AO40">INDEX(GMWQ!$A$2:$LR$60,MATCH(1,(GMWQ!$LQ$2:$LQ$60=AO$3)*(GMWQ!$LP$2:$LP$60=AO$4)*(GMWQ!$LR$2:$LR$60=AO$1),0),$B40-1966)</f>
        <v>1901.5909999999999</v>
      </c>
      <c r="AP40" s="23" cm="1">
        <f t="array" ref="AP40">INDEX(GMWQ!$A$2:$LR$60,MATCH(1,(GMWQ!$LQ$2:$LQ$60=AP$3)*(GMWQ!$LP$2:$LP$60=AP$4)*(GMWQ!$LR$2:$LR$60=AP$1),0),$B40-1966)</f>
        <v>-510.21409999999997</v>
      </c>
      <c r="AQ40" s="23" cm="1">
        <f t="array" ref="AQ40">INDEX(GMWQ!$A$2:$LR$60,MATCH(1,(GMWQ!$LQ$2:$LQ$60=AQ$3)*(GMWQ!$LP$2:$LP$60=AQ$4)*(GMWQ!$LR$2:$LR$60=AQ$1),0),$B40-1966)</f>
        <v>8073.1120000000001</v>
      </c>
      <c r="AR40" s="23" cm="1">
        <f t="array" ref="AR40">INDEX(GMWQ!$A$2:$LR$60,MATCH(1,(GMWQ!$LQ$2:$LQ$60=AR$3)*(GMWQ!$LP$2:$LP$60=AR$4)*(GMWQ!$LR$2:$LR$60=AR$1),0),$B40-1966)</f>
        <v>42629</v>
      </c>
      <c r="AS40" s="23" cm="1">
        <f t="array" ref="AS40">INDEX(GMWQ!$A$2:$LR$60,MATCH(1,(GMWQ!$LQ$2:$LQ$60=AS$3)*(GMWQ!$LP$2:$LP$60=AS$4)*(GMWQ!$LR$2:$LR$60=AS$1),0),$B40-1966)</f>
        <v>672</v>
      </c>
      <c r="AT40" s="23" cm="1">
        <f t="array" ref="AT40">INDEX(GMWQ!$A$2:$LR$60,MATCH(1,(GMWQ!$LQ$2:$LQ$60=AT$3)*(GMWQ!$LP$2:$LP$60=AT$4)*(GMWQ!$LR$2:$LR$60=AT$1),0),$B40-1966)</f>
        <v>126635</v>
      </c>
      <c r="AU40" s="23" cm="1">
        <f t="array" ref="AU40">INDEX(GMWQ!$A$2:$LR$60,MATCH(1,(GMWQ!$LQ$2:$LQ$60=AU$3)*(GMWQ!$LP$2:$LP$60=AU$4)*(GMWQ!$LR$2:$LR$60=AU$1),0),$B40-1966)</f>
        <v>3654</v>
      </c>
    </row>
    <row r="41" spans="1:47" x14ac:dyDescent="0.35">
      <c r="B41" s="7">
        <f t="shared" si="1"/>
        <v>2007</v>
      </c>
      <c r="C41" s="7" cm="1">
        <f t="array" ref="C41">INDEX(GMWQ!$A$2:$LR$60,MATCH(1,(GMWQ!$LQ$2:$LQ$60=C$3)*(GMWQ!$LP$2:$LP$60=C$4)*(GMWQ!$LR$2:$LR$60=C$1),0),$B41-1966)</f>
        <v>238846</v>
      </c>
      <c r="D41" s="7" cm="1">
        <f t="array" ref="D41">INDEX(GMWQ!$A$2:$LR$60,MATCH(1,(GMWQ!$LQ$2:$LQ$60=D$3)*(GMWQ!$LP$2:$LP$60=D$4)*(GMWQ!$LR$2:$LR$60=D$1),0),$B41-1966)</f>
        <v>73.352940000000004</v>
      </c>
      <c r="E41" s="7" cm="1">
        <f t="array" ref="E41">INDEX(GMWQ!$A$2:$LR$60,MATCH(1,(GMWQ!$LQ$2:$LQ$60=E$3)*(GMWQ!$LP$2:$LP$60=E$4)*(GMWQ!$LR$2:$LR$60=E$1),0),$B41-1966)</f>
        <v>36.731310000000001</v>
      </c>
      <c r="F41" s="7" cm="1">
        <f t="array" ref="F41">INDEX(GMWQ!$A$2:$LR$60,MATCH(1,(GMWQ!$LQ$2:$LQ$60=F$3)*(GMWQ!$LP$2:$LP$60=F$4)*(GMWQ!$LR$2:$LR$60=F$1),0),$B41-1966)</f>
        <v>32287</v>
      </c>
      <c r="G41" s="7" cm="1">
        <f t="array" ref="G41">INDEX(GMWQ!$A$2:$LR$60,MATCH(1,(GMWQ!$LQ$2:$LQ$60=G$3)*(GMWQ!$LP$2:$LP$60=G$4)*(GMWQ!$LR$2:$LR$60=G$1),0),$B41-1966)</f>
        <v>7530.7550000000001</v>
      </c>
      <c r="H41" s="7" cm="1">
        <f t="array" ref="H41">INDEX(GMWQ!$A$2:$LR$60,MATCH(1,(GMWQ!$LQ$2:$LQ$60=H$3)*(GMWQ!$LP$2:$LP$60=H$4)*(GMWQ!$LR$2:$LR$60=H$1),0),$B41-1966)</f>
        <v>1979.7239999999999</v>
      </c>
      <c r="I41" s="7" cm="1">
        <f t="array" ref="I41">INDEX(GMWQ!$A$2:$LR$60,MATCH(1,(GMWQ!$LQ$2:$LQ$60=I$3)*(GMWQ!$LP$2:$LP$60=I$4)*(GMWQ!$LR$2:$LR$60=I$1),0),$B41-1966)</f>
        <v>34.452309999999997</v>
      </c>
      <c r="J41" s="7" cm="1">
        <f t="array" ref="J41">INDEX(GMWQ!$A$2:$LR$60,MATCH(1,(GMWQ!$LQ$2:$LQ$60=J$3)*(GMWQ!$LP$2:$LP$60=J$4)*(GMWQ!$LR$2:$LR$60=J$1),0),$B41-1966)</f>
        <v>21247.46</v>
      </c>
      <c r="K41" s="7" cm="1">
        <f t="array" ref="K41">INDEX(GMWQ!$A$2:$LR$60,MATCH(1,(GMWQ!$LQ$2:$LQ$60=K$3)*(GMWQ!$LP$2:$LP$60=K$4)*(GMWQ!$LR$2:$LR$60=K$1),0),$B41-1966)</f>
        <v>14</v>
      </c>
      <c r="L41" s="7" cm="1">
        <f t="array" ref="L41">INDEX(GMWQ!$A$2:$LR$60,MATCH(1,(GMWQ!$LQ$2:$LQ$60=L$3)*(GMWQ!$LP$2:$LP$60=L$4)*(GMWQ!$LR$2:$LR$60=L$1),0),$B41-1966)</f>
        <v>9.9</v>
      </c>
      <c r="M41" s="7" cm="1">
        <f t="array" ref="M41">INDEX(GMWQ!$A$2:$LR$60,MATCH(1,(GMWQ!$LQ$2:$LQ$60=M$3)*(GMWQ!$LP$2:$LP$60=M$4)*(GMWQ!$LR$2:$LR$60=M$1),0),$B41-1966)</f>
        <v>11.48035</v>
      </c>
      <c r="N41" s="7" cm="1">
        <f t="array" ref="N41">INDEX(GMWQ!$A$2:$LR$60,MATCH(1,(GMWQ!$LQ$2:$LQ$60=N$3)*(GMWQ!$LP$2:$LP$60=N$4)*(GMWQ!$LR$2:$LR$60=N$1),0),$B41-1966)</f>
        <v>1E-3</v>
      </c>
      <c r="O41" s="7" cm="1">
        <f t="array" ref="O41">INDEX(GMWQ!$A$2:$LR$60,MATCH(1,(GMWQ!$LQ$2:$LQ$60=O$3)*(GMWQ!$LP$2:$LP$60=O$4)*(GMWQ!$LR$2:$LR$60=O$1),0),$B41-1966)</f>
        <v>1E-3</v>
      </c>
      <c r="P41" s="7" cm="1">
        <f t="array" ref="P41">INDEX(GMWQ!$A$2:$LR$60,MATCH(1,(GMWQ!$LQ$2:$LQ$60=P$3)*(GMWQ!$LP$2:$LP$60=P$4)*(GMWQ!$LR$2:$LR$60=P$1),0),$B41-1966)</f>
        <v>47924</v>
      </c>
      <c r="Q41" s="7" cm="1">
        <f t="array" ref="Q41">INDEX(GMWQ!$A$2:$LR$60,MATCH(1,(GMWQ!$LQ$2:$LQ$60=Q$3)*(GMWQ!$LP$2:$LP$60=Q$4)*(GMWQ!$LR$2:$LR$60=Q$1),0),$B41-1966)</f>
        <v>12.624599999999999</v>
      </c>
      <c r="R41" s="7" cm="1">
        <f t="array" ref="R41">INDEX(GMWQ!$A$2:$LR$60,MATCH(1,(GMWQ!$LQ$2:$LQ$60=R$3)*(GMWQ!$LP$2:$LP$60=R$4)*(GMWQ!$LR$2:$LR$60=R$1),0),$B41-1966)</f>
        <v>1E-3</v>
      </c>
      <c r="S41" s="7" cm="1">
        <f t="array" ref="S41">INDEX(GMWQ!$A$2:$LR$60,MATCH(1,(GMWQ!$LQ$2:$LQ$60=S$3)*(GMWQ!$LP$2:$LP$60=S$4)*(GMWQ!$LR$2:$LR$60=S$1),0),$B41-1966)</f>
        <v>338</v>
      </c>
      <c r="T41" s="7" cm="1">
        <f t="array" ref="T41">INDEX(GMWQ!$A$2:$LR$60,MATCH(1,(GMWQ!$LQ$2:$LQ$60=T$3)*(GMWQ!$LP$2:$LP$60=T$4)*(GMWQ!$LR$2:$LR$60=T$1),0),$B41-1966)</f>
        <v>1E-3</v>
      </c>
      <c r="U41" s="7" cm="1">
        <f t="array" ref="U41">INDEX(GMWQ!$A$2:$LR$60,MATCH(1,(GMWQ!$LQ$2:$LQ$60=U$3)*(GMWQ!$LP$2:$LP$60=U$4)*(GMWQ!$LR$2:$LR$60=U$1),0),$B41-1966)</f>
        <v>2241.982</v>
      </c>
      <c r="V41" s="7" cm="1">
        <f t="array" ref="V41">INDEX(GMWQ!$A$2:$LR$60,MATCH(1,(GMWQ!$LQ$2:$LQ$60=V$3)*(GMWQ!$LP$2:$LP$60=V$4)*(GMWQ!$LR$2:$LR$60=V$1),0),$B41-1966)</f>
        <v>1E-3</v>
      </c>
      <c r="W41" s="7" cm="1">
        <f t="array" ref="W41">INDEX(GMWQ!$A$2:$LR$60,MATCH(1,(GMWQ!$LQ$2:$LQ$60=W$3)*(GMWQ!$LP$2:$LP$60=W$4)*(GMWQ!$LR$2:$LR$60=W$1),0),$B41-1966)</f>
        <v>7.7312419999999999</v>
      </c>
      <c r="X41" s="7" cm="1">
        <f t="array" ref="X41">INDEX(GMWQ!$A$2:$LR$60,MATCH(1,(GMWQ!$LQ$2:$LQ$60=X$3)*(GMWQ!$LP$2:$LP$60=X$4)*(GMWQ!$LR$2:$LR$60=X$1),0),$B41-1966)</f>
        <v>903970.8</v>
      </c>
      <c r="Y41" s="7" cm="1">
        <f t="array" ref="Y41">INDEX(GMWQ!$A$2:$LR$60,MATCH(1,(GMWQ!$LQ$2:$LQ$60=Y$3)*(GMWQ!$LP$2:$LP$60=Y$4)*(GMWQ!$LR$2:$LR$60=Y$1),0),$B41-1966)</f>
        <v>30.69342</v>
      </c>
      <c r="Z41" s="7" cm="1">
        <f t="array" ref="Z41">INDEX(GMWQ!$A$2:$LR$60,MATCH(1,(GMWQ!$LQ$2:$LQ$60=Z$3)*(GMWQ!$LP$2:$LP$60=Z$4)*(GMWQ!$LR$2:$LR$60=Z$1),0),$B41-1966)</f>
        <v>247831.7</v>
      </c>
      <c r="AA41" s="7" cm="1">
        <f t="array" ref="AA41">INDEX(GMWQ!$A$2:$LR$60,MATCH(1,(GMWQ!$LQ$2:$LQ$60=AA$3)*(GMWQ!$LP$2:$LP$60=AA$4)*(GMWQ!$LR$2:$LR$60=AA$1),0),$B41-1966)</f>
        <v>29199</v>
      </c>
      <c r="AB41" s="7" cm="1">
        <f t="array" ref="AB41">INDEX(GMWQ!$A$2:$LR$60,MATCH(1,(GMWQ!$LQ$2:$LQ$60=AB$3)*(GMWQ!$LP$2:$LP$60=AB$4)*(GMWQ!$LR$2:$LR$60=AB$1),0),$B41-1966)</f>
        <v>27949</v>
      </c>
      <c r="AC41" s="7" cm="1">
        <f t="array" ref="AC41">INDEX(GMWQ!$A$2:$LR$60,MATCH(1,(GMWQ!$LQ$2:$LQ$60=AC$3)*(GMWQ!$LP$2:$LP$60=AC$4)*(GMWQ!$LR$2:$LR$60=AC$1),0),$B41-1966)</f>
        <v>994</v>
      </c>
      <c r="AD41" s="7" cm="1">
        <f t="array" ref="AD41">INDEX(GMWQ!$A$2:$LR$60,MATCH(1,(GMWQ!$LQ$2:$LQ$60=AD$3)*(GMWQ!$LP$2:$LP$60=AD$4)*(GMWQ!$LR$2:$LR$60=AD$1),0),$B41-1966)</f>
        <v>3223</v>
      </c>
      <c r="AE41" s="7" cm="1">
        <f t="array" ref="AE41">INDEX(GMWQ!$A$2:$LR$60,MATCH(1,(GMWQ!$LQ$2:$LQ$60=AE$3)*(GMWQ!$LP$2:$LP$60=AE$4)*(GMWQ!$LR$2:$LR$60=AE$1),0),$B41-1966)</f>
        <v>73310</v>
      </c>
      <c r="AF41" s="20" cm="1">
        <f t="array" ref="AF41">INDEX(GMWQ!$A$2:$LR$60,MATCH(1,(GMWQ!$LQ$2:$LQ$60=AF$3)*(GMWQ!$LP$2:$LP$60=AF$4)*(GMWQ!$LR$2:$LR$60=AF$1),0),$B41-1966)</f>
        <v>12.51989</v>
      </c>
      <c r="AG41" s="20" cm="1">
        <f t="array" ref="AG41">INDEX(GMWQ!$A$2:$LR$60,MATCH(1,(GMWQ!$LQ$2:$LQ$60=AG$3)*(GMWQ!$LP$2:$LP$60=AG$4)*(GMWQ!$LR$2:$LR$60=AG$1),0),$B41-1966)</f>
        <v>-453.6558</v>
      </c>
      <c r="AI41" s="23" cm="1">
        <f t="array" ref="AI41">INDEX(GMWQ!$A$2:$LR$60,MATCH(1,(GMWQ!$LQ$2:$LQ$60=AI$3)*(GMWQ!$LP$2:$LP$60=AI$4)*(GMWQ!$LR$2:$LR$60=AI$1),0),$B41-1966)</f>
        <v>47924</v>
      </c>
      <c r="AJ41" s="23" cm="1">
        <f t="array" ref="AJ41">INDEX(GMWQ!$A$2:$LR$60,MATCH(1,(GMWQ!$LQ$2:$LQ$60=AJ$3)*(GMWQ!$LP$2:$LP$60=AJ$4)*(GMWQ!$LR$2:$LR$60=AJ$1),0),$B41-1966)</f>
        <v>34.452309999999997</v>
      </c>
      <c r="AK41" s="23" cm="1">
        <f t="array" ref="AK41">INDEX(GMWQ!$A$2:$LR$60,MATCH(1,(GMWQ!$LQ$2:$LQ$60=AK$3)*(GMWQ!$LP$2:$LP$60=AK$4)*(GMWQ!$LR$2:$LR$60=AK$1),0),$B41-1966)</f>
        <v>32287</v>
      </c>
      <c r="AL41" s="23" cm="1">
        <f t="array" ref="AL41">INDEX(GMWQ!$A$2:$LR$60,MATCH(1,(GMWQ!$LQ$2:$LQ$60=AL$3)*(GMWQ!$LP$2:$LP$60=AL$4)*(GMWQ!$LR$2:$LR$60=AL$1),0),$B41-1966)</f>
        <v>1519.57</v>
      </c>
      <c r="AM41" s="23" cm="1">
        <f t="array" ref="AM41">INDEX(GMWQ!$A$2:$LR$60,MATCH(1,(GMWQ!$LQ$2:$LQ$60=AM$3)*(GMWQ!$LP$2:$LP$60=AM$4)*(GMWQ!$LR$2:$LR$60=AM$1),0),$B41-1966)</f>
        <v>21247.46</v>
      </c>
      <c r="AN41" s="23" cm="1">
        <f t="array" ref="AN41">INDEX(GMWQ!$A$2:$LR$60,MATCH(1,(GMWQ!$LQ$2:$LQ$60=AN$3)*(GMWQ!$LP$2:$LP$60=AN$4)*(GMWQ!$LR$2:$LR$60=AN$1),0),$B41-1966)</f>
        <v>7530.7550000000001</v>
      </c>
      <c r="AO41" s="23" cm="1">
        <f t="array" ref="AO41">INDEX(GMWQ!$A$2:$LR$60,MATCH(1,(GMWQ!$LQ$2:$LQ$60=AO$3)*(GMWQ!$LP$2:$LP$60=AO$4)*(GMWQ!$LR$2:$LR$60=AO$1),0),$B41-1966)</f>
        <v>1979.7239999999999</v>
      </c>
      <c r="AP41" s="23" cm="1">
        <f t="array" ref="AP41">INDEX(GMWQ!$A$2:$LR$60,MATCH(1,(GMWQ!$LQ$2:$LQ$60=AP$3)*(GMWQ!$LP$2:$LP$60=AP$4)*(GMWQ!$LR$2:$LR$60=AP$1),0),$B41-1966)</f>
        <v>-453.6558</v>
      </c>
      <c r="AQ41" s="23" cm="1">
        <f t="array" ref="AQ41">INDEX(GMWQ!$A$2:$LR$60,MATCH(1,(GMWQ!$LQ$2:$LQ$60=AQ$3)*(GMWQ!$LP$2:$LP$60=AQ$4)*(GMWQ!$LR$2:$LR$60=AQ$1),0),$B41-1966)</f>
        <v>8208.8369999999995</v>
      </c>
      <c r="AR41" s="23" cm="1">
        <f t="array" ref="AR41">INDEX(GMWQ!$A$2:$LR$60,MATCH(1,(GMWQ!$LQ$2:$LQ$60=AR$3)*(GMWQ!$LP$2:$LP$60=AR$4)*(GMWQ!$LR$2:$LR$60=AR$1),0),$B41-1966)</f>
        <v>43659</v>
      </c>
      <c r="AS41" s="23" cm="1">
        <f t="array" ref="AS41">INDEX(GMWQ!$A$2:$LR$60,MATCH(1,(GMWQ!$LQ$2:$LQ$60=AS$3)*(GMWQ!$LP$2:$LP$60=AS$4)*(GMWQ!$LR$2:$LR$60=AS$1),0),$B41-1966)</f>
        <v>695</v>
      </c>
      <c r="AT41" s="23" cm="1">
        <f t="array" ref="AT41">INDEX(GMWQ!$A$2:$LR$60,MATCH(1,(GMWQ!$LQ$2:$LQ$60=AT$3)*(GMWQ!$LP$2:$LP$60=AT$4)*(GMWQ!$LR$2:$LR$60=AT$1),0),$B41-1966)</f>
        <v>126723</v>
      </c>
      <c r="AU41" s="23" cm="1">
        <f t="array" ref="AU41">INDEX(GMWQ!$A$2:$LR$60,MATCH(1,(GMWQ!$LQ$2:$LQ$60=AU$3)*(GMWQ!$LP$2:$LP$60=AU$4)*(GMWQ!$LR$2:$LR$60=AU$1),0),$B41-1966)</f>
        <v>3941</v>
      </c>
    </row>
    <row r="42" spans="1:47" x14ac:dyDescent="0.35">
      <c r="B42" s="7">
        <f t="shared" si="1"/>
        <v>2008</v>
      </c>
      <c r="C42" s="7" cm="1">
        <f t="array" ref="C42">INDEX(GMWQ!$A$2:$LR$60,MATCH(1,(GMWQ!$LQ$2:$LQ$60=C$3)*(GMWQ!$LP$2:$LP$60=C$4)*(GMWQ!$LR$2:$LR$60=C$1),0),$B42-1966)</f>
        <v>239131</v>
      </c>
      <c r="D42" s="7" cm="1">
        <f t="array" ref="D42">INDEX(GMWQ!$A$2:$LR$60,MATCH(1,(GMWQ!$LQ$2:$LQ$60=D$3)*(GMWQ!$LP$2:$LP$60=D$4)*(GMWQ!$LR$2:$LR$60=D$1),0),$B42-1966)</f>
        <v>76.177090000000007</v>
      </c>
      <c r="E42" s="7" cm="1">
        <f t="array" ref="E42">INDEX(GMWQ!$A$2:$LR$60,MATCH(1,(GMWQ!$LQ$2:$LQ$60=E$3)*(GMWQ!$LP$2:$LP$60=E$4)*(GMWQ!$LR$2:$LR$60=E$1),0),$B42-1966)</f>
        <v>37.435180000000003</v>
      </c>
      <c r="F42" s="7" cm="1">
        <f t="array" ref="F42">INDEX(GMWQ!$A$2:$LR$60,MATCH(1,(GMWQ!$LQ$2:$LQ$60=F$3)*(GMWQ!$LP$2:$LP$60=F$4)*(GMWQ!$LR$2:$LR$60=F$1),0),$B42-1966)</f>
        <v>32870</v>
      </c>
      <c r="G42" s="7" cm="1">
        <f t="array" ref="G42">INDEX(GMWQ!$A$2:$LR$60,MATCH(1,(GMWQ!$LQ$2:$LQ$60=G$3)*(GMWQ!$LP$2:$LP$60=G$4)*(GMWQ!$LR$2:$LR$60=G$1),0),$B42-1966)</f>
        <v>7308.2150000000001</v>
      </c>
      <c r="H42" s="7" cm="1">
        <f t="array" ref="H42">INDEX(GMWQ!$A$2:$LR$60,MATCH(1,(GMWQ!$LQ$2:$LQ$60=H$3)*(GMWQ!$LP$2:$LP$60=H$4)*(GMWQ!$LR$2:$LR$60=H$1),0),$B42-1966)</f>
        <v>2046.242</v>
      </c>
      <c r="I42" s="7" cm="1">
        <f t="array" ref="I42">INDEX(GMWQ!$A$2:$LR$60,MATCH(1,(GMWQ!$LQ$2:$LQ$60=I$3)*(GMWQ!$LP$2:$LP$60=I$4)*(GMWQ!$LR$2:$LR$60=I$1),0),$B42-1966)</f>
        <v>35.565069999999999</v>
      </c>
      <c r="J42" s="7" cm="1">
        <f t="array" ref="J42">INDEX(GMWQ!$A$2:$LR$60,MATCH(1,(GMWQ!$LQ$2:$LQ$60=J$3)*(GMWQ!$LP$2:$LP$60=J$4)*(GMWQ!$LR$2:$LR$60=J$1),0),$B42-1966)</f>
        <v>21063.83</v>
      </c>
      <c r="K42" s="7" cm="1">
        <f t="array" ref="K42">INDEX(GMWQ!$A$2:$LR$60,MATCH(1,(GMWQ!$LQ$2:$LQ$60=K$3)*(GMWQ!$LP$2:$LP$60=K$4)*(GMWQ!$LR$2:$LR$60=K$1),0),$B42-1966)</f>
        <v>14.375</v>
      </c>
      <c r="L42" s="7" cm="1">
        <f t="array" ref="L42">INDEX(GMWQ!$A$2:$LR$60,MATCH(1,(GMWQ!$LQ$2:$LQ$60=L$3)*(GMWQ!$LP$2:$LP$60=L$4)*(GMWQ!$LR$2:$LR$60=L$1),0),$B42-1966)</f>
        <v>10.199999999999999</v>
      </c>
      <c r="M42" s="7" cm="1">
        <f t="array" ref="M42">INDEX(GMWQ!$A$2:$LR$60,MATCH(1,(GMWQ!$LQ$2:$LQ$60=M$3)*(GMWQ!$LP$2:$LP$60=M$4)*(GMWQ!$LR$2:$LR$60=M$1),0),$B42-1966)</f>
        <v>11.4465</v>
      </c>
      <c r="N42" s="7" cm="1">
        <f t="array" ref="N42">INDEX(GMWQ!$A$2:$LR$60,MATCH(1,(GMWQ!$LQ$2:$LQ$60=N$3)*(GMWQ!$LP$2:$LP$60=N$4)*(GMWQ!$LR$2:$LR$60=N$1),0),$B42-1966)</f>
        <v>1E-3</v>
      </c>
      <c r="O42" s="7" cm="1">
        <f t="array" ref="O42">INDEX(GMWQ!$A$2:$LR$60,MATCH(1,(GMWQ!$LQ$2:$LQ$60=O$3)*(GMWQ!$LP$2:$LP$60=O$4)*(GMWQ!$LR$2:$LR$60=O$1),0),$B42-1966)</f>
        <v>1E-3</v>
      </c>
      <c r="P42" s="7" cm="1">
        <f t="array" ref="P42">INDEX(GMWQ!$A$2:$LR$60,MATCH(1,(GMWQ!$LQ$2:$LQ$60=P$3)*(GMWQ!$LP$2:$LP$60=P$4)*(GMWQ!$LR$2:$LR$60=P$1),0),$B42-1966)</f>
        <v>49843</v>
      </c>
      <c r="Q42" s="7" cm="1">
        <f t="array" ref="Q42">INDEX(GMWQ!$A$2:$LR$60,MATCH(1,(GMWQ!$LQ$2:$LQ$60=Q$3)*(GMWQ!$LP$2:$LP$60=Q$4)*(GMWQ!$LR$2:$LR$60=Q$1),0),$B42-1966)</f>
        <v>14.7041</v>
      </c>
      <c r="R42" s="7" cm="1">
        <f t="array" ref="R42">INDEX(GMWQ!$A$2:$LR$60,MATCH(1,(GMWQ!$LQ$2:$LQ$60=R$3)*(GMWQ!$LP$2:$LP$60=R$4)*(GMWQ!$LR$2:$LR$60=R$1),0),$B42-1966)</f>
        <v>1E-3</v>
      </c>
      <c r="S42" s="7" cm="1">
        <f t="array" ref="S42">INDEX(GMWQ!$A$2:$LR$60,MATCH(1,(GMWQ!$LQ$2:$LQ$60=S$3)*(GMWQ!$LP$2:$LP$60=S$4)*(GMWQ!$LR$2:$LR$60=S$1),0),$B42-1966)</f>
        <v>367</v>
      </c>
      <c r="T42" s="7" cm="1">
        <f t="array" ref="T42">INDEX(GMWQ!$A$2:$LR$60,MATCH(1,(GMWQ!$LQ$2:$LQ$60=T$3)*(GMWQ!$LP$2:$LP$60=T$4)*(GMWQ!$LR$2:$LR$60=T$1),0),$B42-1966)</f>
        <v>1E-3</v>
      </c>
      <c r="U42" s="7" cm="1">
        <f t="array" ref="U42">INDEX(GMWQ!$A$2:$LR$60,MATCH(1,(GMWQ!$LQ$2:$LQ$60=U$3)*(GMWQ!$LP$2:$LP$60=U$4)*(GMWQ!$LR$2:$LR$60=U$1),0),$B42-1966)</f>
        <v>2639.4839999999999</v>
      </c>
      <c r="V42" s="7" cm="1">
        <f t="array" ref="V42">INDEX(GMWQ!$A$2:$LR$60,MATCH(1,(GMWQ!$LQ$2:$LQ$60=V$3)*(GMWQ!$LP$2:$LP$60=V$4)*(GMWQ!$LR$2:$LR$60=V$1),0),$B42-1966)</f>
        <v>1E-3</v>
      </c>
      <c r="W42" s="7" cm="1">
        <f t="array" ref="W42">INDEX(GMWQ!$A$2:$LR$60,MATCH(1,(GMWQ!$LQ$2:$LQ$60=W$3)*(GMWQ!$LP$2:$LP$60=W$4)*(GMWQ!$LR$2:$LR$60=W$1),0),$B42-1966)</f>
        <v>9.2393839999999994</v>
      </c>
      <c r="X42" s="7" cm="1">
        <f t="array" ref="X42">INDEX(GMWQ!$A$2:$LR$60,MATCH(1,(GMWQ!$LQ$2:$LQ$60=X$3)*(GMWQ!$LP$2:$LP$60=X$4)*(GMWQ!$LR$2:$LR$60=X$1),0),$B42-1966)</f>
        <v>912149.2</v>
      </c>
      <c r="Y42" s="7" cm="1">
        <f t="array" ref="Y42">INDEX(GMWQ!$A$2:$LR$60,MATCH(1,(GMWQ!$LQ$2:$LQ$60=Y$3)*(GMWQ!$LP$2:$LP$60=Y$4)*(GMWQ!$LR$2:$LR$60=Y$1),0),$B42-1966)</f>
        <v>31.613219999999998</v>
      </c>
      <c r="Z42" s="7" cm="1">
        <f t="array" ref="Z42">INDEX(GMWQ!$A$2:$LR$60,MATCH(1,(GMWQ!$LQ$2:$LQ$60=Z$3)*(GMWQ!$LP$2:$LP$60=Z$4)*(GMWQ!$LR$2:$LR$60=Z$1),0),$B42-1966)</f>
        <v>248016</v>
      </c>
      <c r="AA42" s="7" cm="1">
        <f t="array" ref="AA42">INDEX(GMWQ!$A$2:$LR$60,MATCH(1,(GMWQ!$LQ$2:$LQ$60=AA$3)*(GMWQ!$LP$2:$LP$60=AA$4)*(GMWQ!$LR$2:$LR$60=AA$1),0),$B42-1966)</f>
        <v>32063</v>
      </c>
      <c r="AB42" s="7" cm="1">
        <f t="array" ref="AB42">INDEX(GMWQ!$A$2:$LR$60,MATCH(1,(GMWQ!$LQ$2:$LQ$60=AB$3)*(GMWQ!$LP$2:$LP$60=AB$4)*(GMWQ!$LR$2:$LR$60=AB$1),0),$B42-1966)</f>
        <v>26934</v>
      </c>
      <c r="AC42" s="7" cm="1">
        <f t="array" ref="AC42">INDEX(GMWQ!$A$2:$LR$60,MATCH(1,(GMWQ!$LQ$2:$LQ$60=AC$3)*(GMWQ!$LP$2:$LP$60=AC$4)*(GMWQ!$LR$2:$LR$60=AC$1),0),$B42-1966)</f>
        <v>864</v>
      </c>
      <c r="AD42" s="7" cm="1">
        <f t="array" ref="AD42">INDEX(GMWQ!$A$2:$LR$60,MATCH(1,(GMWQ!$LQ$2:$LQ$60=AD$3)*(GMWQ!$LP$2:$LP$60=AD$4)*(GMWQ!$LR$2:$LR$60=AD$1),0),$B42-1966)</f>
        <v>3274</v>
      </c>
      <c r="AE42" s="7" cm="1">
        <f t="array" ref="AE42">INDEX(GMWQ!$A$2:$LR$60,MATCH(1,(GMWQ!$LQ$2:$LQ$60=AE$3)*(GMWQ!$LP$2:$LP$60=AE$4)*(GMWQ!$LR$2:$LR$60=AE$1),0),$B42-1966)</f>
        <v>75597</v>
      </c>
      <c r="AF42" s="20" cm="1">
        <f t="array" ref="AF42">INDEX(GMWQ!$A$2:$LR$60,MATCH(1,(GMWQ!$LQ$2:$LQ$60=AF$3)*(GMWQ!$LP$2:$LP$60=AF$4)*(GMWQ!$LR$2:$LR$60=AF$1),0),$B42-1966)</f>
        <v>14.60417</v>
      </c>
      <c r="AG42" s="20" cm="1">
        <f t="array" ref="AG42">INDEX(GMWQ!$A$2:$LR$60,MATCH(1,(GMWQ!$LQ$2:$LQ$60=AG$3)*(GMWQ!$LP$2:$LP$60=AG$4)*(GMWQ!$LR$2:$LR$60=AG$1),0),$B42-1966)</f>
        <v>-637.84190000000001</v>
      </c>
      <c r="AI42" s="23" cm="1">
        <f t="array" ref="AI42">INDEX(GMWQ!$A$2:$LR$60,MATCH(1,(GMWQ!$LQ$2:$LQ$60=AI$3)*(GMWQ!$LP$2:$LP$60=AI$4)*(GMWQ!$LR$2:$LR$60=AI$1),0),$B42-1966)</f>
        <v>49843</v>
      </c>
      <c r="AJ42" s="23" cm="1">
        <f t="array" ref="AJ42">INDEX(GMWQ!$A$2:$LR$60,MATCH(1,(GMWQ!$LQ$2:$LQ$60=AJ$3)*(GMWQ!$LP$2:$LP$60=AJ$4)*(GMWQ!$LR$2:$LR$60=AJ$1),0),$B42-1966)</f>
        <v>35.565069999999999</v>
      </c>
      <c r="AK42" s="23" cm="1">
        <f t="array" ref="AK42">INDEX(GMWQ!$A$2:$LR$60,MATCH(1,(GMWQ!$LQ$2:$LQ$60=AK$3)*(GMWQ!$LP$2:$LP$60=AK$4)*(GMWQ!$LR$2:$LR$60=AK$1),0),$B42-1966)</f>
        <v>32870</v>
      </c>
      <c r="AL42" s="23" cm="1">
        <f t="array" ref="AL42">INDEX(GMWQ!$A$2:$LR$60,MATCH(1,(GMWQ!$LQ$2:$LQ$60=AL$3)*(GMWQ!$LP$2:$LP$60=AL$4)*(GMWQ!$LR$2:$LR$60=AL$1),0),$B42-1966)</f>
        <v>1560.4949999999999</v>
      </c>
      <c r="AM42" s="23" cm="1">
        <f t="array" ref="AM42">INDEX(GMWQ!$A$2:$LR$60,MATCH(1,(GMWQ!$LQ$2:$LQ$60=AM$3)*(GMWQ!$LP$2:$LP$60=AM$4)*(GMWQ!$LR$2:$LR$60=AM$1),0),$B42-1966)</f>
        <v>21063.83</v>
      </c>
      <c r="AN42" s="23" cm="1">
        <f t="array" ref="AN42">INDEX(GMWQ!$A$2:$LR$60,MATCH(1,(GMWQ!$LQ$2:$LQ$60=AN$3)*(GMWQ!$LP$2:$LP$60=AN$4)*(GMWQ!$LR$2:$LR$60=AN$1),0),$B42-1966)</f>
        <v>7308.2150000000001</v>
      </c>
      <c r="AO42" s="23" cm="1">
        <f t="array" ref="AO42">INDEX(GMWQ!$A$2:$LR$60,MATCH(1,(GMWQ!$LQ$2:$LQ$60=AO$3)*(GMWQ!$LP$2:$LP$60=AO$4)*(GMWQ!$LR$2:$LR$60=AO$1),0),$B42-1966)</f>
        <v>2046.242</v>
      </c>
      <c r="AP42" s="23" cm="1">
        <f t="array" ref="AP42">INDEX(GMWQ!$A$2:$LR$60,MATCH(1,(GMWQ!$LQ$2:$LQ$60=AP$3)*(GMWQ!$LP$2:$LP$60=AP$4)*(GMWQ!$LR$2:$LR$60=AP$1),0),$B42-1966)</f>
        <v>-637.84190000000001</v>
      </c>
      <c r="AQ42" s="23" cm="1">
        <f t="array" ref="AQ42">INDEX(GMWQ!$A$2:$LR$60,MATCH(1,(GMWQ!$LQ$2:$LQ$60=AQ$3)*(GMWQ!$LP$2:$LP$60=AQ$4)*(GMWQ!$LR$2:$LR$60=AQ$1),0),$B42-1966)</f>
        <v>8522.5130000000008</v>
      </c>
      <c r="AR42" s="23" cm="1">
        <f t="array" ref="AR42">INDEX(GMWQ!$A$2:$LR$60,MATCH(1,(GMWQ!$LQ$2:$LQ$60=AR$3)*(GMWQ!$LP$2:$LP$60=AR$4)*(GMWQ!$LR$2:$LR$60=AR$1),0),$B42-1966)</f>
        <v>44945</v>
      </c>
      <c r="AS42" s="23" cm="1">
        <f t="array" ref="AS42">INDEX(GMWQ!$A$2:$LR$60,MATCH(1,(GMWQ!$LQ$2:$LQ$60=AS$3)*(GMWQ!$LP$2:$LP$60=AS$4)*(GMWQ!$LR$2:$LR$60=AS$1),0),$B42-1966)</f>
        <v>788</v>
      </c>
      <c r="AT42" s="23" cm="1">
        <f t="array" ref="AT42">INDEX(GMWQ!$A$2:$LR$60,MATCH(1,(GMWQ!$LQ$2:$LQ$60=AT$3)*(GMWQ!$LP$2:$LP$60=AT$4)*(GMWQ!$LR$2:$LR$60=AT$1),0),$B42-1966)</f>
        <v>126374</v>
      </c>
      <c r="AU42" s="23" cm="1">
        <f t="array" ref="AU42">INDEX(GMWQ!$A$2:$LR$60,MATCH(1,(GMWQ!$LQ$2:$LQ$60=AU$3)*(GMWQ!$LP$2:$LP$60=AU$4)*(GMWQ!$LR$2:$LR$60=AU$1),0),$B42-1966)</f>
        <v>4019</v>
      </c>
    </row>
    <row r="43" spans="1:47" x14ac:dyDescent="0.35">
      <c r="A43" s="7">
        <v>1982</v>
      </c>
      <c r="B43" s="7">
        <f t="shared" si="1"/>
        <v>2009</v>
      </c>
      <c r="C43" s="7" cm="1">
        <f t="array" ref="C43">INDEX(GMWQ!$A$2:$LR$60,MATCH(1,(GMWQ!$LQ$2:$LQ$60=C$3)*(GMWQ!$LP$2:$LP$60=C$4)*(GMWQ!$LR$2:$LR$60=C$1),0),$B43-1966)</f>
        <v>239578</v>
      </c>
      <c r="D43" s="7" cm="1">
        <f t="array" ref="D43">INDEX(GMWQ!$A$2:$LR$60,MATCH(1,(GMWQ!$LQ$2:$LQ$60=D$3)*(GMWQ!$LP$2:$LP$60=D$4)*(GMWQ!$LR$2:$LR$60=D$1),0),$B43-1966)</f>
        <v>76.586519999999993</v>
      </c>
      <c r="E43" s="7" cm="1">
        <f t="array" ref="E43">INDEX(GMWQ!$A$2:$LR$60,MATCH(1,(GMWQ!$LQ$2:$LQ$60=E$3)*(GMWQ!$LP$2:$LP$60=E$4)*(GMWQ!$LR$2:$LR$60=E$1),0),$B43-1966)</f>
        <v>37.878349999999998</v>
      </c>
      <c r="F43" s="7" cm="1">
        <f t="array" ref="F43">INDEX(GMWQ!$A$2:$LR$60,MATCH(1,(GMWQ!$LQ$2:$LQ$60=F$3)*(GMWQ!$LP$2:$LP$60=F$4)*(GMWQ!$LR$2:$LR$60=F$1),0),$B43-1966)</f>
        <v>33383</v>
      </c>
      <c r="G43" s="7" cm="1">
        <f t="array" ref="G43">INDEX(GMWQ!$A$2:$LR$60,MATCH(1,(GMWQ!$LQ$2:$LQ$60=G$3)*(GMWQ!$LP$2:$LP$60=G$4)*(GMWQ!$LR$2:$LR$60=G$1),0),$B43-1966)</f>
        <v>7852.2020000000002</v>
      </c>
      <c r="H43" s="7" cm="1">
        <f t="array" ref="H43">INDEX(GMWQ!$A$2:$LR$60,MATCH(1,(GMWQ!$LQ$2:$LQ$60=H$3)*(GMWQ!$LP$2:$LP$60=H$4)*(GMWQ!$LR$2:$LR$60=H$1),0),$B43-1966)</f>
        <v>2010.3430000000001</v>
      </c>
      <c r="I43" s="7" cm="1">
        <f t="array" ref="I43">INDEX(GMWQ!$A$2:$LR$60,MATCH(1,(GMWQ!$LQ$2:$LQ$60=I$3)*(GMWQ!$LP$2:$LP$60=I$4)*(GMWQ!$LR$2:$LR$60=I$1),0),$B43-1966)</f>
        <v>36.358040000000003</v>
      </c>
      <c r="J43" s="7" cm="1">
        <f t="array" ref="J43">INDEX(GMWQ!$A$2:$LR$60,MATCH(1,(GMWQ!$LQ$2:$LQ$60=J$3)*(GMWQ!$LP$2:$LP$60=J$4)*(GMWQ!$LR$2:$LR$60=J$1),0),$B43-1966)</f>
        <v>21012.52</v>
      </c>
      <c r="K43" s="7" cm="1">
        <f t="array" ref="K43">INDEX(GMWQ!$A$2:$LR$60,MATCH(1,(GMWQ!$LQ$2:$LQ$60=K$3)*(GMWQ!$LP$2:$LP$60=K$4)*(GMWQ!$LR$2:$LR$60=K$1),0),$B43-1966)</f>
        <v>13.25</v>
      </c>
      <c r="L43" s="7" cm="1">
        <f t="array" ref="L43">INDEX(GMWQ!$A$2:$LR$60,MATCH(1,(GMWQ!$LQ$2:$LQ$60=L$3)*(GMWQ!$LP$2:$LP$60=L$4)*(GMWQ!$LR$2:$LR$60=L$1),0),$B43-1966)</f>
        <v>10.4</v>
      </c>
      <c r="M43" s="7" cm="1">
        <f t="array" ref="M43">INDEX(GMWQ!$A$2:$LR$60,MATCH(1,(GMWQ!$LQ$2:$LQ$60=M$3)*(GMWQ!$LP$2:$LP$60=M$4)*(GMWQ!$LR$2:$LR$60=M$1),0),$B43-1966)</f>
        <v>11.072089999999999</v>
      </c>
      <c r="N43" s="7" cm="1">
        <f t="array" ref="N43">INDEX(GMWQ!$A$2:$LR$60,MATCH(1,(GMWQ!$LQ$2:$LQ$60=N$3)*(GMWQ!$LP$2:$LP$60=N$4)*(GMWQ!$LR$2:$LR$60=N$1),0),$B43-1966)</f>
        <v>1E-3</v>
      </c>
      <c r="O43" s="7" cm="1">
        <f t="array" ref="O43">INDEX(GMWQ!$A$2:$LR$60,MATCH(1,(GMWQ!$LQ$2:$LQ$60=O$3)*(GMWQ!$LP$2:$LP$60=O$4)*(GMWQ!$LR$2:$LR$60=O$1),0),$B43-1966)</f>
        <v>1E-3</v>
      </c>
      <c r="P43" s="7" cm="1">
        <f t="array" ref="P43">INDEX(GMWQ!$A$2:$LR$60,MATCH(1,(GMWQ!$LQ$2:$LQ$60=P$3)*(GMWQ!$LP$2:$LP$60=P$4)*(GMWQ!$LR$2:$LR$60=P$1),0),$B43-1966)</f>
        <v>50837</v>
      </c>
      <c r="Q43" s="7" cm="1">
        <f t="array" ref="Q43">INDEX(GMWQ!$A$2:$LR$60,MATCH(1,(GMWQ!$LQ$2:$LQ$60=Q$3)*(GMWQ!$LP$2:$LP$60=Q$4)*(GMWQ!$LR$2:$LR$60=Q$1),0),$B43-1966)</f>
        <v>14.5939</v>
      </c>
      <c r="R43" s="7" cm="1">
        <f t="array" ref="R43">INDEX(GMWQ!$A$2:$LR$60,MATCH(1,(GMWQ!$LQ$2:$LQ$60=R$3)*(GMWQ!$LP$2:$LP$60=R$4)*(GMWQ!$LR$2:$LR$60=R$1),0),$B43-1966)</f>
        <v>1E-3</v>
      </c>
      <c r="S43" s="7" cm="1">
        <f t="array" ref="S43">INDEX(GMWQ!$A$2:$LR$60,MATCH(1,(GMWQ!$LQ$2:$LQ$60=S$3)*(GMWQ!$LP$2:$LP$60=S$4)*(GMWQ!$LR$2:$LR$60=S$1),0),$B43-1966)</f>
        <v>343</v>
      </c>
      <c r="T43" s="7" cm="1">
        <f t="array" ref="T43">INDEX(GMWQ!$A$2:$LR$60,MATCH(1,(GMWQ!$LQ$2:$LQ$60=T$3)*(GMWQ!$LP$2:$LP$60=T$4)*(GMWQ!$LR$2:$LR$60=T$1),0),$B43-1966)</f>
        <v>1E-3</v>
      </c>
      <c r="U43" s="7" cm="1">
        <f t="array" ref="U43">INDEX(GMWQ!$A$2:$LR$60,MATCH(1,(GMWQ!$LQ$2:$LQ$60=U$3)*(GMWQ!$LP$2:$LP$60=U$4)*(GMWQ!$LR$2:$LR$60=U$1),0),$B43-1966)</f>
        <v>2102.462</v>
      </c>
      <c r="V43" s="7" cm="1">
        <f t="array" ref="V43">INDEX(GMWQ!$A$2:$LR$60,MATCH(1,(GMWQ!$LQ$2:$LQ$60=V$3)*(GMWQ!$LP$2:$LP$60=V$4)*(GMWQ!$LR$2:$LR$60=V$1),0),$B43-1966)</f>
        <v>1E-3</v>
      </c>
      <c r="W43" s="7" cm="1">
        <f t="array" ref="W43">INDEX(GMWQ!$A$2:$LR$60,MATCH(1,(GMWQ!$LQ$2:$LQ$60=W$3)*(GMWQ!$LP$2:$LP$60=W$4)*(GMWQ!$LR$2:$LR$60=W$1),0),$B43-1966)</f>
        <v>9.5001700000000007</v>
      </c>
      <c r="X43" s="7" cm="1">
        <f t="array" ref="X43">INDEX(GMWQ!$A$2:$LR$60,MATCH(1,(GMWQ!$LQ$2:$LQ$60=X$3)*(GMWQ!$LP$2:$LP$60=X$4)*(GMWQ!$LR$2:$LR$60=X$1),0),$B43-1966)</f>
        <v>920327.6</v>
      </c>
      <c r="Y43" s="7" cm="1">
        <f t="array" ref="Y43">INDEX(GMWQ!$A$2:$LR$60,MATCH(1,(GMWQ!$LQ$2:$LQ$60=Y$3)*(GMWQ!$LP$2:$LP$60=Y$4)*(GMWQ!$LR$2:$LR$60=Y$1),0),$B43-1966)</f>
        <v>32.335189999999997</v>
      </c>
      <c r="Z43" s="7" cm="1">
        <f t="array" ref="Z43">INDEX(GMWQ!$A$2:$LR$60,MATCH(1,(GMWQ!$LQ$2:$LQ$60=Z$3)*(GMWQ!$LP$2:$LP$60=Z$4)*(GMWQ!$LR$2:$LR$60=Z$1),0),$B43-1966)</f>
        <v>248324.8</v>
      </c>
      <c r="AA43" s="7" cm="1">
        <f t="array" ref="AA43">INDEX(GMWQ!$A$2:$LR$60,MATCH(1,(GMWQ!$LQ$2:$LQ$60=AA$3)*(GMWQ!$LP$2:$LP$60=AA$4)*(GMWQ!$LR$2:$LR$60=AA$1),0),$B43-1966)</f>
        <v>34258</v>
      </c>
      <c r="AB43" s="7" cm="1">
        <f t="array" ref="AB43">INDEX(GMWQ!$A$2:$LR$60,MATCH(1,(GMWQ!$LQ$2:$LQ$60=AB$3)*(GMWQ!$LP$2:$LP$60=AB$4)*(GMWQ!$LR$2:$LR$60=AB$1),0),$B43-1966)</f>
        <v>29501</v>
      </c>
      <c r="AC43" s="7" cm="1">
        <f t="array" ref="AC43">INDEX(GMWQ!$A$2:$LR$60,MATCH(1,(GMWQ!$LQ$2:$LQ$60=AC$3)*(GMWQ!$LP$2:$LP$60=AC$4)*(GMWQ!$LR$2:$LR$60=AC$1),0),$B43-1966)</f>
        <v>1795</v>
      </c>
      <c r="AD43" s="7" cm="1">
        <f t="array" ref="AD43">INDEX(GMWQ!$A$2:$LR$60,MATCH(1,(GMWQ!$LQ$2:$LQ$60=AD$3)*(GMWQ!$LP$2:$LP$60=AD$4)*(GMWQ!$LR$2:$LR$60=AD$1),0),$B43-1966)</f>
        <v>3306</v>
      </c>
      <c r="AE43" s="7" cm="1">
        <f t="array" ref="AE43">INDEX(GMWQ!$A$2:$LR$60,MATCH(1,(GMWQ!$LQ$2:$LQ$60=AE$3)*(GMWQ!$LP$2:$LP$60=AE$4)*(GMWQ!$LR$2:$LR$60=AE$1),0),$B43-1966)</f>
        <v>77468</v>
      </c>
      <c r="AF43" s="20" cm="1">
        <f t="array" ref="AF43">INDEX(GMWQ!$A$2:$LR$60,MATCH(1,(GMWQ!$LQ$2:$LQ$60=AF$3)*(GMWQ!$LP$2:$LP$60=AF$4)*(GMWQ!$LR$2:$LR$60=AF$1),0),$B43-1966)</f>
        <v>13.785159999999999</v>
      </c>
      <c r="AG43" s="20" cm="1">
        <f t="array" ref="AG43">INDEX(GMWQ!$A$2:$LR$60,MATCH(1,(GMWQ!$LQ$2:$LQ$60=AG$3)*(GMWQ!$LP$2:$LP$60=AG$4)*(GMWQ!$LR$2:$LR$60=AG$1),0),$B43-1966)</f>
        <v>-414.32560000000001</v>
      </c>
      <c r="AI43" s="23" cm="1">
        <f t="array" ref="AI43">INDEX(GMWQ!$A$2:$LR$60,MATCH(1,(GMWQ!$LQ$2:$LQ$60=AI$3)*(GMWQ!$LP$2:$LP$60=AI$4)*(GMWQ!$LR$2:$LR$60=AI$1),0),$B43-1966)</f>
        <v>50837</v>
      </c>
      <c r="AJ43" s="23" cm="1">
        <f t="array" ref="AJ43">INDEX(GMWQ!$A$2:$LR$60,MATCH(1,(GMWQ!$LQ$2:$LQ$60=AJ$3)*(GMWQ!$LP$2:$LP$60=AJ$4)*(GMWQ!$LR$2:$LR$60=AJ$1),0),$B43-1966)</f>
        <v>36.358040000000003</v>
      </c>
      <c r="AK43" s="23" cm="1">
        <f t="array" ref="AK43">INDEX(GMWQ!$A$2:$LR$60,MATCH(1,(GMWQ!$LQ$2:$LQ$60=AK$3)*(GMWQ!$LP$2:$LP$60=AK$4)*(GMWQ!$LR$2:$LR$60=AK$1),0),$B43-1966)</f>
        <v>33383</v>
      </c>
      <c r="AL43" s="23" cm="1">
        <f t="array" ref="AL43">INDEX(GMWQ!$A$2:$LR$60,MATCH(1,(GMWQ!$LQ$2:$LQ$60=AL$3)*(GMWQ!$LP$2:$LP$60=AL$4)*(GMWQ!$LR$2:$LR$60=AL$1),0),$B43-1966)</f>
        <v>1588.7190000000001</v>
      </c>
      <c r="AM43" s="23" cm="1">
        <f t="array" ref="AM43">INDEX(GMWQ!$A$2:$LR$60,MATCH(1,(GMWQ!$LQ$2:$LQ$60=AM$3)*(GMWQ!$LP$2:$LP$60=AM$4)*(GMWQ!$LR$2:$LR$60=AM$1),0),$B43-1966)</f>
        <v>21012.52</v>
      </c>
      <c r="AN43" s="23" cm="1">
        <f t="array" ref="AN43">INDEX(GMWQ!$A$2:$LR$60,MATCH(1,(GMWQ!$LQ$2:$LQ$60=AN$3)*(GMWQ!$LP$2:$LP$60=AN$4)*(GMWQ!$LR$2:$LR$60=AN$1),0),$B43-1966)</f>
        <v>7852.2020000000002</v>
      </c>
      <c r="AO43" s="23" cm="1">
        <f t="array" ref="AO43">INDEX(GMWQ!$A$2:$LR$60,MATCH(1,(GMWQ!$LQ$2:$LQ$60=AO$3)*(GMWQ!$LP$2:$LP$60=AO$4)*(GMWQ!$LR$2:$LR$60=AO$1),0),$B43-1966)</f>
        <v>2010.3430000000001</v>
      </c>
      <c r="AP43" s="23" cm="1">
        <f t="array" ref="AP43">INDEX(GMWQ!$A$2:$LR$60,MATCH(1,(GMWQ!$LQ$2:$LQ$60=AP$3)*(GMWQ!$LP$2:$LP$60=AP$4)*(GMWQ!$LR$2:$LR$60=AP$1),0),$B43-1966)</f>
        <v>-414.32560000000001</v>
      </c>
      <c r="AQ43" s="23" cm="1">
        <f t="array" ref="AQ43">INDEX(GMWQ!$A$2:$LR$60,MATCH(1,(GMWQ!$LQ$2:$LQ$60=AQ$3)*(GMWQ!$LP$2:$LP$60=AQ$4)*(GMWQ!$LR$2:$LR$60=AQ$1),0),$B43-1966)</f>
        <v>9066.4169999999995</v>
      </c>
      <c r="AR43" s="23" cm="1">
        <f t="array" ref="AR43">INDEX(GMWQ!$A$2:$LR$60,MATCH(1,(GMWQ!$LQ$2:$LQ$60=AR$3)*(GMWQ!$LP$2:$LP$60=AR$4)*(GMWQ!$LR$2:$LR$60=AR$1),0),$B43-1966)</f>
        <v>46102</v>
      </c>
      <c r="AS43" s="23" cm="1">
        <f t="array" ref="AS43">INDEX(GMWQ!$A$2:$LR$60,MATCH(1,(GMWQ!$LQ$2:$LQ$60=AS$3)*(GMWQ!$LP$2:$LP$60=AS$4)*(GMWQ!$LR$2:$LR$60=AS$1),0),$B43-1966)</f>
        <v>792</v>
      </c>
      <c r="AT43" s="23" cm="1">
        <f t="array" ref="AT43">INDEX(GMWQ!$A$2:$LR$60,MATCH(1,(GMWQ!$LQ$2:$LQ$60=AT$3)*(GMWQ!$LP$2:$LP$60=AT$4)*(GMWQ!$LR$2:$LR$60=AT$1),0),$B43-1966)</f>
        <v>126800</v>
      </c>
      <c r="AU43" s="23" cm="1">
        <f t="array" ref="AU43">INDEX(GMWQ!$A$2:$LR$60,MATCH(1,(GMWQ!$LQ$2:$LQ$60=AU$3)*(GMWQ!$LP$2:$LP$60=AU$4)*(GMWQ!$LR$2:$LR$60=AU$1),0),$B43-1966)</f>
        <v>3241</v>
      </c>
    </row>
    <row r="44" spans="1:47" x14ac:dyDescent="0.35">
      <c r="B44" s="7">
        <f t="shared" si="1"/>
        <v>2010</v>
      </c>
      <c r="C44" s="7" cm="1">
        <f t="array" ref="C44">INDEX(GMWQ!$A$2:$LR$60,MATCH(1,(GMWQ!$LQ$2:$LQ$60=C$3)*(GMWQ!$LP$2:$LP$60=C$4)*(GMWQ!$LR$2:$LR$60=C$1),0),$B44-1966)</f>
        <v>242095</v>
      </c>
      <c r="D44" s="7" cm="1">
        <f t="array" ref="D44">INDEX(GMWQ!$A$2:$LR$60,MATCH(1,(GMWQ!$LQ$2:$LQ$60=D$3)*(GMWQ!$LP$2:$LP$60=D$4)*(GMWQ!$LR$2:$LR$60=D$1),0),$B44-1966)</f>
        <v>78.919120000000007</v>
      </c>
      <c r="E44" s="7" cm="1">
        <f t="array" ref="E44">INDEX(GMWQ!$A$2:$LR$60,MATCH(1,(GMWQ!$LQ$2:$LQ$60=E$3)*(GMWQ!$LP$2:$LP$60=E$4)*(GMWQ!$LR$2:$LR$60=E$1),0),$B44-1966)</f>
        <v>39.181800000000003</v>
      </c>
      <c r="F44" s="7" cm="1">
        <f t="array" ref="F44">INDEX(GMWQ!$A$2:$LR$60,MATCH(1,(GMWQ!$LQ$2:$LQ$60=F$3)*(GMWQ!$LP$2:$LP$60=F$4)*(GMWQ!$LR$2:$LR$60=F$1),0),$B44-1966)</f>
        <v>33923</v>
      </c>
      <c r="G44" s="7" cm="1">
        <f t="array" ref="G44">INDEX(GMWQ!$A$2:$LR$60,MATCH(1,(GMWQ!$LQ$2:$LQ$60=G$3)*(GMWQ!$LP$2:$LP$60=G$4)*(GMWQ!$LR$2:$LR$60=G$1),0),$B44-1966)</f>
        <v>7675.1589999999997</v>
      </c>
      <c r="H44" s="7" cm="1">
        <f t="array" ref="H44">INDEX(GMWQ!$A$2:$LR$60,MATCH(1,(GMWQ!$LQ$2:$LQ$60=H$3)*(GMWQ!$LP$2:$LP$60=H$4)*(GMWQ!$LR$2:$LR$60=H$1),0),$B44-1966)</f>
        <v>2374.6129999999998</v>
      </c>
      <c r="I44" s="7" cm="1">
        <f t="array" ref="I44">INDEX(GMWQ!$A$2:$LR$60,MATCH(1,(GMWQ!$LQ$2:$LQ$60=I$3)*(GMWQ!$LP$2:$LP$60=I$4)*(GMWQ!$LR$2:$LR$60=I$1),0),$B44-1966)</f>
        <v>36.982959999999999</v>
      </c>
      <c r="J44" s="7" cm="1">
        <f t="array" ref="J44">INDEX(GMWQ!$A$2:$LR$60,MATCH(1,(GMWQ!$LQ$2:$LQ$60=J$3)*(GMWQ!$LP$2:$LP$60=J$4)*(GMWQ!$LR$2:$LR$60=J$1),0),$B44-1966)</f>
        <v>20916.21</v>
      </c>
      <c r="K44" s="7" cm="1">
        <f t="array" ref="K44">INDEX(GMWQ!$A$2:$LR$60,MATCH(1,(GMWQ!$LQ$2:$LQ$60=K$3)*(GMWQ!$LP$2:$LP$60=K$4)*(GMWQ!$LR$2:$LR$60=K$1),0),$B44-1966)</f>
        <v>12.625</v>
      </c>
      <c r="L44" s="7" cm="1">
        <f t="array" ref="L44">INDEX(GMWQ!$A$2:$LR$60,MATCH(1,(GMWQ!$LQ$2:$LQ$60=L$3)*(GMWQ!$LP$2:$LP$60=L$4)*(GMWQ!$LR$2:$LR$60=L$1),0),$B44-1966)</f>
        <v>10.6</v>
      </c>
      <c r="M44" s="7" cm="1">
        <f t="array" ref="M44">INDEX(GMWQ!$A$2:$LR$60,MATCH(1,(GMWQ!$LQ$2:$LQ$60=M$3)*(GMWQ!$LP$2:$LP$60=M$4)*(GMWQ!$LR$2:$LR$60=M$1),0),$B44-1966)</f>
        <v>11.508710000000001</v>
      </c>
      <c r="N44" s="7" cm="1">
        <f t="array" ref="N44">INDEX(GMWQ!$A$2:$LR$60,MATCH(1,(GMWQ!$LQ$2:$LQ$60=N$3)*(GMWQ!$LP$2:$LP$60=N$4)*(GMWQ!$LR$2:$LR$60=N$1),0),$B44-1966)</f>
        <v>1E-3</v>
      </c>
      <c r="O44" s="7" cm="1">
        <f t="array" ref="O44">INDEX(GMWQ!$A$2:$LR$60,MATCH(1,(GMWQ!$LQ$2:$LQ$60=O$3)*(GMWQ!$LP$2:$LP$60=O$4)*(GMWQ!$LR$2:$LR$60=O$1),0),$B44-1966)</f>
        <v>1E-3</v>
      </c>
      <c r="P44" s="7" cm="1">
        <f t="array" ref="P44">INDEX(GMWQ!$A$2:$LR$60,MATCH(1,(GMWQ!$LQ$2:$LQ$60=P$3)*(GMWQ!$LP$2:$LP$60=P$4)*(GMWQ!$LR$2:$LR$60=P$1),0),$B44-1966)</f>
        <v>52380</v>
      </c>
      <c r="Q44" s="7" cm="1">
        <f t="array" ref="Q44">INDEX(GMWQ!$A$2:$LR$60,MATCH(1,(GMWQ!$LQ$2:$LQ$60=Q$3)*(GMWQ!$LP$2:$LP$60=Q$4)*(GMWQ!$LR$2:$LR$60=Q$1),0),$B44-1966)</f>
        <v>13.457599999999999</v>
      </c>
      <c r="R44" s="7" cm="1">
        <f t="array" ref="R44">INDEX(GMWQ!$A$2:$LR$60,MATCH(1,(GMWQ!$LQ$2:$LQ$60=R$3)*(GMWQ!$LP$2:$LP$60=R$4)*(GMWQ!$LR$2:$LR$60=R$1),0),$B44-1966)</f>
        <v>1E-3</v>
      </c>
      <c r="S44" s="7" cm="1">
        <f t="array" ref="S44">INDEX(GMWQ!$A$2:$LR$60,MATCH(1,(GMWQ!$LQ$2:$LQ$60=S$3)*(GMWQ!$LP$2:$LP$60=S$4)*(GMWQ!$LR$2:$LR$60=S$1),0),$B44-1966)</f>
        <v>377</v>
      </c>
      <c r="T44" s="7" cm="1">
        <f t="array" ref="T44">INDEX(GMWQ!$A$2:$LR$60,MATCH(1,(GMWQ!$LQ$2:$LQ$60=T$3)*(GMWQ!$LP$2:$LP$60=T$4)*(GMWQ!$LR$2:$LR$60=T$1),0),$B44-1966)</f>
        <v>1E-3</v>
      </c>
      <c r="U44" s="7" cm="1">
        <f t="array" ref="U44">INDEX(GMWQ!$A$2:$LR$60,MATCH(1,(GMWQ!$LQ$2:$LQ$60=U$3)*(GMWQ!$LP$2:$LP$60=U$4)*(GMWQ!$LR$2:$LR$60=U$1),0),$B44-1966)</f>
        <v>3111.5729999999999</v>
      </c>
      <c r="V44" s="7" cm="1">
        <f t="array" ref="V44">INDEX(GMWQ!$A$2:$LR$60,MATCH(1,(GMWQ!$LQ$2:$LQ$60=V$3)*(GMWQ!$LP$2:$LP$60=V$4)*(GMWQ!$LR$2:$LR$60=V$1),0),$B44-1966)</f>
        <v>1E-3</v>
      </c>
      <c r="W44" s="7" cm="1">
        <f t="array" ref="W44">INDEX(GMWQ!$A$2:$LR$60,MATCH(1,(GMWQ!$LQ$2:$LQ$60=W$3)*(GMWQ!$LP$2:$LP$60=W$4)*(GMWQ!$LR$2:$LR$60=W$1),0),$B44-1966)</f>
        <v>8.1415450000000007</v>
      </c>
      <c r="X44" s="7" cm="1">
        <f t="array" ref="X44">INDEX(GMWQ!$A$2:$LR$60,MATCH(1,(GMWQ!$LQ$2:$LQ$60=X$3)*(GMWQ!$LP$2:$LP$60=X$4)*(GMWQ!$LR$2:$LR$60=X$1),0),$B44-1966)</f>
        <v>925861.1</v>
      </c>
      <c r="Y44" s="7" cm="1">
        <f t="array" ref="Y44">INDEX(GMWQ!$A$2:$LR$60,MATCH(1,(GMWQ!$LQ$2:$LQ$60=Y$3)*(GMWQ!$LP$2:$LP$60=Y$4)*(GMWQ!$LR$2:$LR$60=Y$1),0),$B44-1966)</f>
        <v>32.628929999999997</v>
      </c>
      <c r="Z44" s="7" cm="1">
        <f t="array" ref="Z44">INDEX(GMWQ!$A$2:$LR$60,MATCH(1,(GMWQ!$LQ$2:$LQ$60=Z$3)*(GMWQ!$LP$2:$LP$60=Z$4)*(GMWQ!$LR$2:$LR$60=Z$1),0),$B44-1966)</f>
        <v>248808.1</v>
      </c>
      <c r="AA44" s="7" cm="1">
        <f t="array" ref="AA44">INDEX(GMWQ!$A$2:$LR$60,MATCH(1,(GMWQ!$LQ$2:$LQ$60=AA$3)*(GMWQ!$LP$2:$LP$60=AA$4)*(GMWQ!$LR$2:$LR$60=AA$1),0),$B44-1966)</f>
        <v>29926</v>
      </c>
      <c r="AB44" s="7" cm="1">
        <f t="array" ref="AB44">INDEX(GMWQ!$A$2:$LR$60,MATCH(1,(GMWQ!$LQ$2:$LQ$60=AB$3)*(GMWQ!$LP$2:$LP$60=AB$4)*(GMWQ!$LR$2:$LR$60=AB$1),0),$B44-1966)</f>
        <v>28856</v>
      </c>
      <c r="AC44" s="7" cm="1">
        <f t="array" ref="AC44">INDEX(GMWQ!$A$2:$LR$60,MATCH(1,(GMWQ!$LQ$2:$LQ$60=AC$3)*(GMWQ!$LP$2:$LP$60=AC$4)*(GMWQ!$LR$2:$LR$60=AC$1),0),$B44-1966)</f>
        <v>658</v>
      </c>
      <c r="AD44" s="7" cm="1">
        <f t="array" ref="AD44">INDEX(GMWQ!$A$2:$LR$60,MATCH(1,(GMWQ!$LQ$2:$LQ$60=AD$3)*(GMWQ!$LP$2:$LP$60=AD$4)*(GMWQ!$LR$2:$LR$60=AD$1),0),$B44-1966)</f>
        <v>3350</v>
      </c>
      <c r="AE44" s="7" cm="1">
        <f t="array" ref="AE44">INDEX(GMWQ!$A$2:$LR$60,MATCH(1,(GMWQ!$LQ$2:$LQ$60=AE$3)*(GMWQ!$LP$2:$LP$60=AE$4)*(GMWQ!$LR$2:$LR$60=AE$1),0),$B44-1966)</f>
        <v>78993</v>
      </c>
      <c r="AF44" s="20" cm="1">
        <f t="array" ref="AF44">INDEX(GMWQ!$A$2:$LR$60,MATCH(1,(GMWQ!$LQ$2:$LQ$60=AF$3)*(GMWQ!$LP$2:$LP$60=AF$4)*(GMWQ!$LR$2:$LR$60=AF$1),0),$B44-1966)</f>
        <v>13.01346</v>
      </c>
      <c r="AG44" s="20" cm="1">
        <f t="array" ref="AG44">INDEX(GMWQ!$A$2:$LR$60,MATCH(1,(GMWQ!$LQ$2:$LQ$60=AG$3)*(GMWQ!$LP$2:$LP$60=AG$4)*(GMWQ!$LR$2:$LR$60=AG$1),0),$B44-1966)</f>
        <v>-734.32569999999998</v>
      </c>
      <c r="AI44" s="23" cm="1">
        <f t="array" ref="AI44">INDEX(GMWQ!$A$2:$LR$60,MATCH(1,(GMWQ!$LQ$2:$LQ$60=AI$3)*(GMWQ!$LP$2:$LP$60=AI$4)*(GMWQ!$LR$2:$LR$60=AI$1),0),$B44-1966)</f>
        <v>52380</v>
      </c>
      <c r="AJ44" s="23" cm="1">
        <f t="array" ref="AJ44">INDEX(GMWQ!$A$2:$LR$60,MATCH(1,(GMWQ!$LQ$2:$LQ$60=AJ$3)*(GMWQ!$LP$2:$LP$60=AJ$4)*(GMWQ!$LR$2:$LR$60=AJ$1),0),$B44-1966)</f>
        <v>36.982959999999999</v>
      </c>
      <c r="AK44" s="23" cm="1">
        <f t="array" ref="AK44">INDEX(GMWQ!$A$2:$LR$60,MATCH(1,(GMWQ!$LQ$2:$LQ$60=AK$3)*(GMWQ!$LP$2:$LP$60=AK$4)*(GMWQ!$LR$2:$LR$60=AK$1),0),$B44-1966)</f>
        <v>33923</v>
      </c>
      <c r="AL44" s="23" cm="1">
        <f t="array" ref="AL44">INDEX(GMWQ!$A$2:$LR$60,MATCH(1,(GMWQ!$LQ$2:$LQ$60=AL$3)*(GMWQ!$LP$2:$LP$60=AL$4)*(GMWQ!$LR$2:$LR$60=AL$1),0),$B44-1966)</f>
        <v>1621.8520000000001</v>
      </c>
      <c r="AM44" s="23" cm="1">
        <f t="array" ref="AM44">INDEX(GMWQ!$A$2:$LR$60,MATCH(1,(GMWQ!$LQ$2:$LQ$60=AM$3)*(GMWQ!$LP$2:$LP$60=AM$4)*(GMWQ!$LR$2:$LR$60=AM$1),0),$B44-1966)</f>
        <v>20916.21</v>
      </c>
      <c r="AN44" s="23" cm="1">
        <f t="array" ref="AN44">INDEX(GMWQ!$A$2:$LR$60,MATCH(1,(GMWQ!$LQ$2:$LQ$60=AN$3)*(GMWQ!$LP$2:$LP$60=AN$4)*(GMWQ!$LR$2:$LR$60=AN$1),0),$B44-1966)</f>
        <v>7675.1589999999997</v>
      </c>
      <c r="AO44" s="23" cm="1">
        <f t="array" ref="AO44">INDEX(GMWQ!$A$2:$LR$60,MATCH(1,(GMWQ!$LQ$2:$LQ$60=AO$3)*(GMWQ!$LP$2:$LP$60=AO$4)*(GMWQ!$LR$2:$LR$60=AO$1),0),$B44-1966)</f>
        <v>2374.6129999999998</v>
      </c>
      <c r="AP44" s="23" cm="1">
        <f t="array" ref="AP44">INDEX(GMWQ!$A$2:$LR$60,MATCH(1,(GMWQ!$LQ$2:$LQ$60=AP$3)*(GMWQ!$LP$2:$LP$60=AP$4)*(GMWQ!$LR$2:$LR$60=AP$1),0),$B44-1966)</f>
        <v>-734.32569999999998</v>
      </c>
      <c r="AQ44" s="23" cm="1">
        <f t="array" ref="AQ44">INDEX(GMWQ!$A$2:$LR$60,MATCH(1,(GMWQ!$LQ$2:$LQ$60=AQ$3)*(GMWQ!$LP$2:$LP$60=AQ$4)*(GMWQ!$LR$2:$LR$60=AQ$1),0),$B44-1966)</f>
        <v>9202.1419999999998</v>
      </c>
      <c r="AR44" s="23" cm="1">
        <f t="array" ref="AR44">INDEX(GMWQ!$A$2:$LR$60,MATCH(1,(GMWQ!$LQ$2:$LQ$60=AR$3)*(GMWQ!$LP$2:$LP$60=AR$4)*(GMWQ!$LR$2:$LR$60=AR$1),0),$B44-1966)</f>
        <v>46860</v>
      </c>
      <c r="AS44" s="23" cm="1">
        <f t="array" ref="AS44">INDEX(GMWQ!$A$2:$LR$60,MATCH(1,(GMWQ!$LQ$2:$LQ$60=AS$3)*(GMWQ!$LP$2:$LP$60=AS$4)*(GMWQ!$LR$2:$LR$60=AS$1),0),$B44-1966)</f>
        <v>778</v>
      </c>
      <c r="AT44" s="23" cm="1">
        <f t="array" ref="AT44">INDEX(GMWQ!$A$2:$LR$60,MATCH(1,(GMWQ!$LQ$2:$LQ$60=AT$3)*(GMWQ!$LP$2:$LP$60=AT$4)*(GMWQ!$LR$2:$LR$60=AT$1),0),$B44-1966)</f>
        <v>126707</v>
      </c>
      <c r="AU44" s="23" cm="1">
        <f t="array" ref="AU44">INDEX(GMWQ!$A$2:$LR$60,MATCH(1,(GMWQ!$LQ$2:$LQ$60=AU$3)*(GMWQ!$LP$2:$LP$60=AU$4)*(GMWQ!$LR$2:$LR$60=AU$1),0),$B44-1966)</f>
        <v>4141</v>
      </c>
    </row>
    <row r="45" spans="1:47" x14ac:dyDescent="0.35">
      <c r="B45" s="7">
        <f t="shared" si="1"/>
        <v>2011</v>
      </c>
      <c r="C45" s="7" cm="1">
        <f t="array" ref="C45">INDEX(GMWQ!$A$2:$LR$60,MATCH(1,(GMWQ!$LQ$2:$LQ$60=C$3)*(GMWQ!$LP$2:$LP$60=C$4)*(GMWQ!$LR$2:$LR$60=C$1),0),$B45-1966)</f>
        <v>242639</v>
      </c>
      <c r="D45" s="7" cm="1">
        <f t="array" ref="D45">INDEX(GMWQ!$A$2:$LR$60,MATCH(1,(GMWQ!$LQ$2:$LQ$60=D$3)*(GMWQ!$LP$2:$LP$60=D$4)*(GMWQ!$LR$2:$LR$60=D$1),0),$B45-1966)</f>
        <v>82.158659999999998</v>
      </c>
      <c r="E45" s="7" cm="1">
        <f t="array" ref="E45">INDEX(GMWQ!$A$2:$LR$60,MATCH(1,(GMWQ!$LQ$2:$LQ$60=E$3)*(GMWQ!$LP$2:$LP$60=E$4)*(GMWQ!$LR$2:$LR$60=E$1),0),$B45-1966)</f>
        <v>39.416420000000002</v>
      </c>
      <c r="F45" s="7" cm="1">
        <f t="array" ref="F45">INDEX(GMWQ!$A$2:$LR$60,MATCH(1,(GMWQ!$LQ$2:$LQ$60=F$3)*(GMWQ!$LP$2:$LP$60=F$4)*(GMWQ!$LR$2:$LR$60=F$1),0),$B45-1966)</f>
        <v>34218</v>
      </c>
      <c r="G45" s="7" cm="1">
        <f t="array" ref="G45">INDEX(GMWQ!$A$2:$LR$60,MATCH(1,(GMWQ!$LQ$2:$LQ$60=G$3)*(GMWQ!$LP$2:$LP$60=G$4)*(GMWQ!$LR$2:$LR$60=G$1),0),$B45-1966)</f>
        <v>7761.2079999999996</v>
      </c>
      <c r="H45" s="7" cm="1">
        <f t="array" ref="H45">INDEX(GMWQ!$A$2:$LR$60,MATCH(1,(GMWQ!$LQ$2:$LQ$60=H$3)*(GMWQ!$LP$2:$LP$60=H$4)*(GMWQ!$LR$2:$LR$60=H$1),0),$B45-1966)</f>
        <v>2407.3440000000001</v>
      </c>
      <c r="I45" s="7" cm="1">
        <f t="array" ref="I45">INDEX(GMWQ!$A$2:$LR$60,MATCH(1,(GMWQ!$LQ$2:$LQ$60=I$3)*(GMWQ!$LP$2:$LP$60=I$4)*(GMWQ!$LR$2:$LR$60=I$1),0),$B45-1966)</f>
        <v>37.402979999999999</v>
      </c>
      <c r="J45" s="7" cm="1">
        <f t="array" ref="J45">INDEX(GMWQ!$A$2:$LR$60,MATCH(1,(GMWQ!$LQ$2:$LQ$60=J$3)*(GMWQ!$LP$2:$LP$60=J$4)*(GMWQ!$LR$2:$LR$60=J$1),0),$B45-1966)</f>
        <v>20797.39</v>
      </c>
      <c r="K45" s="7" cm="1">
        <f t="array" ref="K45">INDEX(GMWQ!$A$2:$LR$60,MATCH(1,(GMWQ!$LQ$2:$LQ$60=K$3)*(GMWQ!$LP$2:$LP$60=K$4)*(GMWQ!$LR$2:$LR$60=K$1),0),$B45-1966)</f>
        <v>10.125</v>
      </c>
      <c r="L45" s="7" cm="1">
        <f t="array" ref="L45">INDEX(GMWQ!$A$2:$LR$60,MATCH(1,(GMWQ!$LQ$2:$LQ$60=L$3)*(GMWQ!$LP$2:$LP$60=L$4)*(GMWQ!$LR$2:$LR$60=L$1),0),$B45-1966)</f>
        <v>10.8</v>
      </c>
      <c r="M45" s="7" cm="1">
        <f t="array" ref="M45">INDEX(GMWQ!$A$2:$LR$60,MATCH(1,(GMWQ!$LQ$2:$LQ$60=M$3)*(GMWQ!$LP$2:$LP$60=M$4)*(GMWQ!$LR$2:$LR$60=M$1),0),$B45-1966)</f>
        <v>11.7407</v>
      </c>
      <c r="N45" s="7" cm="1">
        <f t="array" ref="N45">INDEX(GMWQ!$A$2:$LR$60,MATCH(1,(GMWQ!$LQ$2:$LQ$60=N$3)*(GMWQ!$LP$2:$LP$60=N$4)*(GMWQ!$LR$2:$LR$60=N$1),0),$B45-1966)</f>
        <v>1E-3</v>
      </c>
      <c r="O45" s="7" cm="1">
        <f t="array" ref="O45">INDEX(GMWQ!$A$2:$LR$60,MATCH(1,(GMWQ!$LQ$2:$LQ$60=O$3)*(GMWQ!$LP$2:$LP$60=O$4)*(GMWQ!$LR$2:$LR$60=O$1),0),$B45-1966)</f>
        <v>1E-3</v>
      </c>
      <c r="P45" s="7" cm="1">
        <f t="array" ref="P45">INDEX(GMWQ!$A$2:$LR$60,MATCH(1,(GMWQ!$LQ$2:$LQ$60=P$3)*(GMWQ!$LP$2:$LP$60=P$4)*(GMWQ!$LR$2:$LR$60=P$1),0),$B45-1966)</f>
        <v>52615</v>
      </c>
      <c r="Q45" s="7" cm="1">
        <f t="array" ref="Q45">INDEX(GMWQ!$A$2:$LR$60,MATCH(1,(GMWQ!$LQ$2:$LQ$60=Q$3)*(GMWQ!$LP$2:$LP$60=Q$4)*(GMWQ!$LR$2:$LR$60=Q$1),0),$B45-1966)</f>
        <v>12.612399999999999</v>
      </c>
      <c r="R45" s="7" cm="1">
        <f t="array" ref="R45">INDEX(GMWQ!$A$2:$LR$60,MATCH(1,(GMWQ!$LQ$2:$LQ$60=R$3)*(GMWQ!$LP$2:$LP$60=R$4)*(GMWQ!$LR$2:$LR$60=R$1),0),$B45-1966)</f>
        <v>1E-3</v>
      </c>
      <c r="S45" s="7" cm="1">
        <f t="array" ref="S45">INDEX(GMWQ!$A$2:$LR$60,MATCH(1,(GMWQ!$LQ$2:$LQ$60=S$3)*(GMWQ!$LP$2:$LP$60=S$4)*(GMWQ!$LR$2:$LR$60=S$1),0),$B45-1966)</f>
        <v>407</v>
      </c>
      <c r="T45" s="7" cm="1">
        <f t="array" ref="T45">INDEX(GMWQ!$A$2:$LR$60,MATCH(1,(GMWQ!$LQ$2:$LQ$60=T$3)*(GMWQ!$LP$2:$LP$60=T$4)*(GMWQ!$LR$2:$LR$60=T$1),0),$B45-1966)</f>
        <v>1E-3</v>
      </c>
      <c r="U45" s="7" cm="1">
        <f t="array" ref="U45">INDEX(GMWQ!$A$2:$LR$60,MATCH(1,(GMWQ!$LQ$2:$LQ$60=U$3)*(GMWQ!$LP$2:$LP$60=U$4)*(GMWQ!$LR$2:$LR$60=U$1),0),$B45-1966)</f>
        <v>3376.5740000000001</v>
      </c>
      <c r="V45" s="7" cm="1">
        <f t="array" ref="V45">INDEX(GMWQ!$A$2:$LR$60,MATCH(1,(GMWQ!$LQ$2:$LQ$60=V$3)*(GMWQ!$LP$2:$LP$60=V$4)*(GMWQ!$LR$2:$LR$60=V$1),0),$B45-1966)</f>
        <v>1E-3</v>
      </c>
      <c r="W45" s="7" cm="1">
        <f t="array" ref="W45">INDEX(GMWQ!$A$2:$LR$60,MATCH(1,(GMWQ!$LQ$2:$LQ$60=W$3)*(GMWQ!$LP$2:$LP$60=W$4)*(GMWQ!$LR$2:$LR$60=W$1),0),$B45-1966)</f>
        <v>7.218642</v>
      </c>
      <c r="X45" s="7" cm="1">
        <f t="array" ref="X45">INDEX(GMWQ!$A$2:$LR$60,MATCH(1,(GMWQ!$LQ$2:$LQ$60=X$3)*(GMWQ!$LP$2:$LP$60=X$4)*(GMWQ!$LR$2:$LR$60=X$1),0),$B45-1966)</f>
        <v>931394.7</v>
      </c>
      <c r="Y45" s="7" cm="1">
        <f t="array" ref="Y45">INDEX(GMWQ!$A$2:$LR$60,MATCH(1,(GMWQ!$LQ$2:$LQ$60=Y$3)*(GMWQ!$LP$2:$LP$60=Y$4)*(GMWQ!$LR$2:$LR$60=Y$1),0),$B45-1966)</f>
        <v>33.148009999999999</v>
      </c>
      <c r="Z45" s="7" cm="1">
        <f t="array" ref="Z45">INDEX(GMWQ!$A$2:$LR$60,MATCH(1,(GMWQ!$LQ$2:$LQ$60=Z$3)*(GMWQ!$LP$2:$LP$60=Z$4)*(GMWQ!$LR$2:$LR$60=Z$1),0),$B45-1966)</f>
        <v>249190.5</v>
      </c>
      <c r="AA45" s="7" cm="1">
        <f t="array" ref="AA45">INDEX(GMWQ!$A$2:$LR$60,MATCH(1,(GMWQ!$LQ$2:$LQ$60=AA$3)*(GMWQ!$LP$2:$LP$60=AA$4)*(GMWQ!$LR$2:$LR$60=AA$1),0),$B45-1966)</f>
        <v>32417</v>
      </c>
      <c r="AB45" s="7" cm="1">
        <f t="array" ref="AB45">INDEX(GMWQ!$A$2:$LR$60,MATCH(1,(GMWQ!$LQ$2:$LQ$60=AB$3)*(GMWQ!$LP$2:$LP$60=AB$4)*(GMWQ!$LR$2:$LR$60=AB$1),0),$B45-1966)</f>
        <v>30155</v>
      </c>
      <c r="AC45" s="7" cm="1">
        <f t="array" ref="AC45">INDEX(GMWQ!$A$2:$LR$60,MATCH(1,(GMWQ!$LQ$2:$LQ$60=AC$3)*(GMWQ!$LP$2:$LP$60=AC$4)*(GMWQ!$LR$2:$LR$60=AC$1),0),$B45-1966)</f>
        <v>1286</v>
      </c>
      <c r="AD45" s="7" cm="1">
        <f t="array" ref="AD45">INDEX(GMWQ!$A$2:$LR$60,MATCH(1,(GMWQ!$LQ$2:$LQ$60=AD$3)*(GMWQ!$LP$2:$LP$60=AD$4)*(GMWQ!$LR$2:$LR$60=AD$1),0),$B45-1966)</f>
        <v>3397</v>
      </c>
      <c r="AE45" s="7" cm="1">
        <f t="array" ref="AE45">INDEX(GMWQ!$A$2:$LR$60,MATCH(1,(GMWQ!$LQ$2:$LQ$60=AE$3)*(GMWQ!$LP$2:$LP$60=AE$4)*(GMWQ!$LR$2:$LR$60=AE$1),0),$B45-1966)</f>
        <v>80430</v>
      </c>
      <c r="AF45" s="20" cm="1">
        <f t="array" ref="AF45">INDEX(GMWQ!$A$2:$LR$60,MATCH(1,(GMWQ!$LQ$2:$LQ$60=AF$3)*(GMWQ!$LP$2:$LP$60=AF$4)*(GMWQ!$LR$2:$LR$60=AF$1),0),$B45-1966)</f>
        <v>11.3428</v>
      </c>
      <c r="AG45" s="20" cm="1">
        <f t="array" ref="AG45">INDEX(GMWQ!$A$2:$LR$60,MATCH(1,(GMWQ!$LQ$2:$LQ$60=AG$3)*(GMWQ!$LP$2:$LP$60=AG$4)*(GMWQ!$LR$2:$LR$60=AG$1),0),$B45-1966)</f>
        <v>-513.30229999999995</v>
      </c>
      <c r="AI45" s="23" cm="1">
        <f t="array" ref="AI45">INDEX(GMWQ!$A$2:$LR$60,MATCH(1,(GMWQ!$LQ$2:$LQ$60=AI$3)*(GMWQ!$LP$2:$LP$60=AI$4)*(GMWQ!$LR$2:$LR$60=AI$1),0),$B45-1966)</f>
        <v>52615</v>
      </c>
      <c r="AJ45" s="23" cm="1">
        <f t="array" ref="AJ45">INDEX(GMWQ!$A$2:$LR$60,MATCH(1,(GMWQ!$LQ$2:$LQ$60=AJ$3)*(GMWQ!$LP$2:$LP$60=AJ$4)*(GMWQ!$LR$2:$LR$60=AJ$1),0),$B45-1966)</f>
        <v>37.402979999999999</v>
      </c>
      <c r="AK45" s="23" cm="1">
        <f t="array" ref="AK45">INDEX(GMWQ!$A$2:$LR$60,MATCH(1,(GMWQ!$LQ$2:$LQ$60=AK$3)*(GMWQ!$LP$2:$LP$60=AK$4)*(GMWQ!$LR$2:$LR$60=AK$1),0),$B45-1966)</f>
        <v>34218</v>
      </c>
      <c r="AL45" s="23" cm="1">
        <f t="array" ref="AL45">INDEX(GMWQ!$A$2:$LR$60,MATCH(1,(GMWQ!$LQ$2:$LQ$60=AL$3)*(GMWQ!$LP$2:$LP$60=AL$4)*(GMWQ!$LR$2:$LR$60=AL$1),0),$B45-1966)</f>
        <v>1645.3019999999999</v>
      </c>
      <c r="AM45" s="23" cm="1">
        <f t="array" ref="AM45">INDEX(GMWQ!$A$2:$LR$60,MATCH(1,(GMWQ!$LQ$2:$LQ$60=AM$3)*(GMWQ!$LP$2:$LP$60=AM$4)*(GMWQ!$LR$2:$LR$60=AM$1),0),$B45-1966)</f>
        <v>20797.39</v>
      </c>
      <c r="AN45" s="23" cm="1">
        <f t="array" ref="AN45">INDEX(GMWQ!$A$2:$LR$60,MATCH(1,(GMWQ!$LQ$2:$LQ$60=AN$3)*(GMWQ!$LP$2:$LP$60=AN$4)*(GMWQ!$LR$2:$LR$60=AN$1),0),$B45-1966)</f>
        <v>7761.2079999999996</v>
      </c>
      <c r="AO45" s="23" cm="1">
        <f t="array" ref="AO45">INDEX(GMWQ!$A$2:$LR$60,MATCH(1,(GMWQ!$LQ$2:$LQ$60=AO$3)*(GMWQ!$LP$2:$LP$60=AO$4)*(GMWQ!$LR$2:$LR$60=AO$1),0),$B45-1966)</f>
        <v>2407.3440000000001</v>
      </c>
      <c r="AP45" s="23" cm="1">
        <f t="array" ref="AP45">INDEX(GMWQ!$A$2:$LR$60,MATCH(1,(GMWQ!$LQ$2:$LQ$60=AP$3)*(GMWQ!$LP$2:$LP$60=AP$4)*(GMWQ!$LR$2:$LR$60=AP$1),0),$B45-1966)</f>
        <v>-513.30229999999995</v>
      </c>
      <c r="AQ45" s="23" cm="1">
        <f t="array" ref="AQ45">INDEX(GMWQ!$A$2:$LR$60,MATCH(1,(GMWQ!$LQ$2:$LQ$60=AQ$3)*(GMWQ!$LP$2:$LP$60=AQ$4)*(GMWQ!$LR$2:$LR$60=AQ$1),0),$B45-1966)</f>
        <v>9569.1020000000008</v>
      </c>
      <c r="AR45" s="23" cm="1">
        <f t="array" ref="AR45">INDEX(GMWQ!$A$2:$LR$60,MATCH(1,(GMWQ!$LQ$2:$LQ$60=AR$3)*(GMWQ!$LP$2:$LP$60=AR$4)*(GMWQ!$LR$2:$LR$60=AR$1),0),$B45-1966)</f>
        <v>48190</v>
      </c>
      <c r="AS45" s="23" cm="1">
        <f t="array" ref="AS45">INDEX(GMWQ!$A$2:$LR$60,MATCH(1,(GMWQ!$LQ$2:$LQ$60=AS$3)*(GMWQ!$LP$2:$LP$60=AS$4)*(GMWQ!$LR$2:$LR$60=AS$1),0),$B45-1966)</f>
        <v>794</v>
      </c>
      <c r="AT45" s="23" cm="1">
        <f t="array" ref="AT45">INDEX(GMWQ!$A$2:$LR$60,MATCH(1,(GMWQ!$LQ$2:$LQ$60=AT$3)*(GMWQ!$LP$2:$LP$60=AT$4)*(GMWQ!$LR$2:$LR$60=AT$1),0),$B45-1966)</f>
        <v>128840</v>
      </c>
      <c r="AU45" s="23" cm="1">
        <f t="array" ref="AU45">INDEX(GMWQ!$A$2:$LR$60,MATCH(1,(GMWQ!$LQ$2:$LQ$60=AU$3)*(GMWQ!$LP$2:$LP$60=AU$4)*(GMWQ!$LR$2:$LR$60=AU$1),0),$B45-1966)</f>
        <v>4127</v>
      </c>
    </row>
    <row r="46" spans="1:47" x14ac:dyDescent="0.35">
      <c r="B46" s="7">
        <f t="shared" si="1"/>
        <v>2012</v>
      </c>
      <c r="C46" s="7" cm="1">
        <f t="array" ref="C46">INDEX(GMWQ!$A$2:$LR$60,MATCH(1,(GMWQ!$LQ$2:$LQ$60=C$3)*(GMWQ!$LP$2:$LP$60=C$4)*(GMWQ!$LR$2:$LR$60=C$1),0),$B46-1966)</f>
        <v>244317</v>
      </c>
      <c r="D46" s="7" cm="1">
        <f t="array" ref="D46">INDEX(GMWQ!$A$2:$LR$60,MATCH(1,(GMWQ!$LQ$2:$LQ$60=D$3)*(GMWQ!$LP$2:$LP$60=D$4)*(GMWQ!$LR$2:$LR$60=D$1),0),$B46-1966)</f>
        <v>83.439229999999995</v>
      </c>
      <c r="E46" s="7" cm="1">
        <f t="array" ref="E46">INDEX(GMWQ!$A$2:$LR$60,MATCH(1,(GMWQ!$LQ$2:$LQ$60=E$3)*(GMWQ!$LP$2:$LP$60=E$4)*(GMWQ!$LR$2:$LR$60=E$1),0),$B46-1966)</f>
        <v>39.885669999999998</v>
      </c>
      <c r="F46" s="7" cm="1">
        <f t="array" ref="F46">INDEX(GMWQ!$A$2:$LR$60,MATCH(1,(GMWQ!$LQ$2:$LQ$60=F$3)*(GMWQ!$LP$2:$LP$60=F$4)*(GMWQ!$LR$2:$LR$60=F$1),0),$B46-1966)</f>
        <v>34584</v>
      </c>
      <c r="G46" s="7" cm="1">
        <f t="array" ref="G46">INDEX(GMWQ!$A$2:$LR$60,MATCH(1,(GMWQ!$LQ$2:$LQ$60=G$3)*(GMWQ!$LP$2:$LP$60=G$4)*(GMWQ!$LR$2:$LR$60=G$1),0),$B46-1966)</f>
        <v>7734.5029999999997</v>
      </c>
      <c r="H46" s="7" cm="1">
        <f t="array" ref="H46">INDEX(GMWQ!$A$2:$LR$60,MATCH(1,(GMWQ!$LQ$2:$LQ$60=H$3)*(GMWQ!$LP$2:$LP$60=H$4)*(GMWQ!$LR$2:$LR$60=H$1),0),$B46-1966)</f>
        <v>2447.4659999999999</v>
      </c>
      <c r="I46" s="7" cm="1">
        <f t="array" ref="I46">INDEX(GMWQ!$A$2:$LR$60,MATCH(1,(GMWQ!$LQ$2:$LQ$60=I$3)*(GMWQ!$LP$2:$LP$60=I$4)*(GMWQ!$LR$2:$LR$60=I$1),0),$B46-1966)</f>
        <v>38.272869999999998</v>
      </c>
      <c r="J46" s="7" cm="1">
        <f t="array" ref="J46">INDEX(GMWQ!$A$2:$LR$60,MATCH(1,(GMWQ!$LQ$2:$LQ$60=J$3)*(GMWQ!$LP$2:$LP$60=J$4)*(GMWQ!$LR$2:$LR$60=J$1),0),$B46-1966)</f>
        <v>20613.77</v>
      </c>
      <c r="K46" s="7" cm="1">
        <f t="array" ref="K46">INDEX(GMWQ!$A$2:$LR$60,MATCH(1,(GMWQ!$LQ$2:$LQ$60=K$3)*(GMWQ!$LP$2:$LP$60=K$4)*(GMWQ!$LR$2:$LR$60=K$1),0),$B46-1966)</f>
        <v>10</v>
      </c>
      <c r="L46" s="7" cm="1">
        <f t="array" ref="L46">INDEX(GMWQ!$A$2:$LR$60,MATCH(1,(GMWQ!$LQ$2:$LQ$60=L$3)*(GMWQ!$LP$2:$LP$60=L$4)*(GMWQ!$LR$2:$LR$60=L$1),0),$B46-1966)</f>
        <v>11.1</v>
      </c>
      <c r="M46" s="7" cm="1">
        <f t="array" ref="M46">INDEX(GMWQ!$A$2:$LR$60,MATCH(1,(GMWQ!$LQ$2:$LQ$60=M$3)*(GMWQ!$LP$2:$LP$60=M$4)*(GMWQ!$LR$2:$LR$60=M$1),0),$B46-1966)</f>
        <v>12.09703</v>
      </c>
      <c r="N46" s="7" cm="1">
        <f t="array" ref="N46">INDEX(GMWQ!$A$2:$LR$60,MATCH(1,(GMWQ!$LQ$2:$LQ$60=N$3)*(GMWQ!$LP$2:$LP$60=N$4)*(GMWQ!$LR$2:$LR$60=N$1),0),$B46-1966)</f>
        <v>1E-3</v>
      </c>
      <c r="O46" s="7" cm="1">
        <f t="array" ref="O46">INDEX(GMWQ!$A$2:$LR$60,MATCH(1,(GMWQ!$LQ$2:$LQ$60=O$3)*(GMWQ!$LP$2:$LP$60=O$4)*(GMWQ!$LR$2:$LR$60=O$1),0),$B46-1966)</f>
        <v>1E-3</v>
      </c>
      <c r="P46" s="7" cm="1">
        <f t="array" ref="P46">INDEX(GMWQ!$A$2:$LR$60,MATCH(1,(GMWQ!$LQ$2:$LQ$60=P$3)*(GMWQ!$LP$2:$LP$60=P$4)*(GMWQ!$LR$2:$LR$60=P$1),0),$B46-1966)</f>
        <v>53960</v>
      </c>
      <c r="Q46" s="7" cm="1">
        <f t="array" ref="Q46">INDEX(GMWQ!$A$2:$LR$60,MATCH(1,(GMWQ!$LQ$2:$LQ$60=Q$3)*(GMWQ!$LP$2:$LP$60=Q$4)*(GMWQ!$LR$2:$LR$60=Q$1),0),$B46-1966)</f>
        <v>10.9634</v>
      </c>
      <c r="R46" s="7" cm="1">
        <f t="array" ref="R46">INDEX(GMWQ!$A$2:$LR$60,MATCH(1,(GMWQ!$LQ$2:$LQ$60=R$3)*(GMWQ!$LP$2:$LP$60=R$4)*(GMWQ!$LR$2:$LR$60=R$1),0),$B46-1966)</f>
        <v>1E-3</v>
      </c>
      <c r="S46" s="7" cm="1">
        <f t="array" ref="S46">INDEX(GMWQ!$A$2:$LR$60,MATCH(1,(GMWQ!$LQ$2:$LQ$60=S$3)*(GMWQ!$LP$2:$LP$60=S$4)*(GMWQ!$LR$2:$LR$60=S$1),0),$B46-1966)</f>
        <v>412</v>
      </c>
      <c r="T46" s="7" cm="1">
        <f t="array" ref="T46">INDEX(GMWQ!$A$2:$LR$60,MATCH(1,(GMWQ!$LQ$2:$LQ$60=T$3)*(GMWQ!$LP$2:$LP$60=T$4)*(GMWQ!$LR$2:$LR$60=T$1),0),$B46-1966)</f>
        <v>1E-3</v>
      </c>
      <c r="U46" s="7" cm="1">
        <f t="array" ref="U46">INDEX(GMWQ!$A$2:$LR$60,MATCH(1,(GMWQ!$LQ$2:$LQ$60=U$3)*(GMWQ!$LP$2:$LP$60=U$4)*(GMWQ!$LR$2:$LR$60=U$1),0),$B46-1966)</f>
        <v>3546.8069999999998</v>
      </c>
      <c r="V46" s="7" cm="1">
        <f t="array" ref="V46">INDEX(GMWQ!$A$2:$LR$60,MATCH(1,(GMWQ!$LQ$2:$LQ$60=V$3)*(GMWQ!$LP$2:$LP$60=V$4)*(GMWQ!$LR$2:$LR$60=V$1),0),$B46-1966)</f>
        <v>1E-3</v>
      </c>
      <c r="W46" s="7" cm="1">
        <f t="array" ref="W46">INDEX(GMWQ!$A$2:$LR$60,MATCH(1,(GMWQ!$LQ$2:$LQ$60=W$3)*(GMWQ!$LP$2:$LP$60=W$4)*(GMWQ!$LR$2:$LR$60=W$1),0),$B46-1966)</f>
        <v>5.9808919999999999</v>
      </c>
      <c r="X46" s="7" cm="1">
        <f t="array" ref="X46">INDEX(GMWQ!$A$2:$LR$60,MATCH(1,(GMWQ!$LQ$2:$LQ$60=X$3)*(GMWQ!$LP$2:$LP$60=X$4)*(GMWQ!$LR$2:$LR$60=X$1),0),$B46-1966)</f>
        <v>936927.1</v>
      </c>
      <c r="Y46" s="7" cm="1">
        <f t="array" ref="Y46">INDEX(GMWQ!$A$2:$LR$60,MATCH(1,(GMWQ!$LQ$2:$LQ$60=Y$3)*(GMWQ!$LP$2:$LP$60=Y$4)*(GMWQ!$LR$2:$LR$60=Y$1),0),$B46-1966)</f>
        <v>33.83596</v>
      </c>
      <c r="Z46" s="7" cm="1">
        <f t="array" ref="Z46">INDEX(GMWQ!$A$2:$LR$60,MATCH(1,(GMWQ!$LQ$2:$LQ$60=Z$3)*(GMWQ!$LP$2:$LP$60=Z$4)*(GMWQ!$LR$2:$LR$60=Z$1),0),$B46-1966)</f>
        <v>249681.5</v>
      </c>
      <c r="AA46" s="7" cm="1">
        <f t="array" ref="AA46">INDEX(GMWQ!$A$2:$LR$60,MATCH(1,(GMWQ!$LQ$2:$LQ$60=AA$3)*(GMWQ!$LP$2:$LP$60=AA$4)*(GMWQ!$LR$2:$LR$60=AA$1),0),$B46-1966)</f>
        <v>33404</v>
      </c>
      <c r="AB46" s="7" cm="1">
        <f t="array" ref="AB46">INDEX(GMWQ!$A$2:$LR$60,MATCH(1,(GMWQ!$LQ$2:$LQ$60=AB$3)*(GMWQ!$LP$2:$LP$60=AB$4)*(GMWQ!$LR$2:$LR$60=AB$1),0),$B46-1966)</f>
        <v>30212</v>
      </c>
      <c r="AC46" s="7" cm="1">
        <f t="array" ref="AC46">INDEX(GMWQ!$A$2:$LR$60,MATCH(1,(GMWQ!$LQ$2:$LQ$60=AC$3)*(GMWQ!$LP$2:$LP$60=AC$4)*(GMWQ!$LR$2:$LR$60=AC$1),0),$B46-1966)</f>
        <v>1401</v>
      </c>
      <c r="AD46" s="7" cm="1">
        <f t="array" ref="AD46">INDEX(GMWQ!$A$2:$LR$60,MATCH(1,(GMWQ!$LQ$2:$LQ$60=AD$3)*(GMWQ!$LP$2:$LP$60=AD$4)*(GMWQ!$LR$2:$LR$60=AD$1),0),$B46-1966)</f>
        <v>3447</v>
      </c>
      <c r="AE46" s="7" cm="1">
        <f t="array" ref="AE46">INDEX(GMWQ!$A$2:$LR$60,MATCH(1,(GMWQ!$LQ$2:$LQ$60=AE$3)*(GMWQ!$LP$2:$LP$60=AE$4)*(GMWQ!$LR$2:$LR$60=AE$1),0),$B46-1966)</f>
        <v>82667</v>
      </c>
      <c r="AF46" s="20" cm="1">
        <f t="array" ref="AF46">INDEX(GMWQ!$A$2:$LR$60,MATCH(1,(GMWQ!$LQ$2:$LQ$60=AF$3)*(GMWQ!$LP$2:$LP$60=AF$4)*(GMWQ!$LR$2:$LR$60=AF$1),0),$B46-1966)</f>
        <v>9.6856059999999999</v>
      </c>
      <c r="AG46" s="20" cm="1">
        <f t="array" ref="AG46">INDEX(GMWQ!$A$2:$LR$60,MATCH(1,(GMWQ!$LQ$2:$LQ$60=AG$3)*(GMWQ!$LP$2:$LP$60=AG$4)*(GMWQ!$LR$2:$LR$60=AG$1),0),$B46-1966)</f>
        <v>-605.20929999999998</v>
      </c>
      <c r="AI46" s="23" cm="1">
        <f t="array" ref="AI46">INDEX(GMWQ!$A$2:$LR$60,MATCH(1,(GMWQ!$LQ$2:$LQ$60=AI$3)*(GMWQ!$LP$2:$LP$60=AI$4)*(GMWQ!$LR$2:$LR$60=AI$1),0),$B46-1966)</f>
        <v>53960</v>
      </c>
      <c r="AJ46" s="23" cm="1">
        <f t="array" ref="AJ46">INDEX(GMWQ!$A$2:$LR$60,MATCH(1,(GMWQ!$LQ$2:$LQ$60=AJ$3)*(GMWQ!$LP$2:$LP$60=AJ$4)*(GMWQ!$LR$2:$LR$60=AJ$1),0),$B46-1966)</f>
        <v>38.272869999999998</v>
      </c>
      <c r="AK46" s="23" cm="1">
        <f t="array" ref="AK46">INDEX(GMWQ!$A$2:$LR$60,MATCH(1,(GMWQ!$LQ$2:$LQ$60=AK$3)*(GMWQ!$LP$2:$LP$60=AK$4)*(GMWQ!$LR$2:$LR$60=AK$1),0),$B46-1966)</f>
        <v>34584</v>
      </c>
      <c r="AL46" s="23" cm="1">
        <f t="array" ref="AL46">INDEX(GMWQ!$A$2:$LR$60,MATCH(1,(GMWQ!$LQ$2:$LQ$60=AL$3)*(GMWQ!$LP$2:$LP$60=AL$4)*(GMWQ!$LR$2:$LR$60=AL$1),0),$B46-1966)</f>
        <v>1677.7139999999999</v>
      </c>
      <c r="AM46" s="23" cm="1">
        <f t="array" ref="AM46">INDEX(GMWQ!$A$2:$LR$60,MATCH(1,(GMWQ!$LQ$2:$LQ$60=AM$3)*(GMWQ!$LP$2:$LP$60=AM$4)*(GMWQ!$LR$2:$LR$60=AM$1),0),$B46-1966)</f>
        <v>20613.77</v>
      </c>
      <c r="AN46" s="23" cm="1">
        <f t="array" ref="AN46">INDEX(GMWQ!$A$2:$LR$60,MATCH(1,(GMWQ!$LQ$2:$LQ$60=AN$3)*(GMWQ!$LP$2:$LP$60=AN$4)*(GMWQ!$LR$2:$LR$60=AN$1),0),$B46-1966)</f>
        <v>7734.5029999999997</v>
      </c>
      <c r="AO46" s="23" cm="1">
        <f t="array" ref="AO46">INDEX(GMWQ!$A$2:$LR$60,MATCH(1,(GMWQ!$LQ$2:$LQ$60=AO$3)*(GMWQ!$LP$2:$LP$60=AO$4)*(GMWQ!$LR$2:$LR$60=AO$1),0),$B46-1966)</f>
        <v>2447.4659999999999</v>
      </c>
      <c r="AP46" s="23" cm="1">
        <f t="array" ref="AP46">INDEX(GMWQ!$A$2:$LR$60,MATCH(1,(GMWQ!$LQ$2:$LQ$60=AP$3)*(GMWQ!$LP$2:$LP$60=AP$4)*(GMWQ!$LR$2:$LR$60=AP$1),0),$B46-1966)</f>
        <v>-605.20929999999998</v>
      </c>
      <c r="AQ46" s="23" cm="1">
        <f t="array" ref="AQ46">INDEX(GMWQ!$A$2:$LR$60,MATCH(1,(GMWQ!$LQ$2:$LQ$60=AQ$3)*(GMWQ!$LP$2:$LP$60=AQ$4)*(GMWQ!$LR$2:$LR$60=AQ$1),0),$B46-1966)</f>
        <v>9918.9699999999993</v>
      </c>
      <c r="AR46" s="23" cm="1">
        <f t="array" ref="AR46">INDEX(GMWQ!$A$2:$LR$60,MATCH(1,(GMWQ!$LQ$2:$LQ$60=AR$3)*(GMWQ!$LP$2:$LP$60=AR$4)*(GMWQ!$LR$2:$LR$60=AR$1),0),$B46-1966)</f>
        <v>49731</v>
      </c>
      <c r="AS46" s="23" cm="1">
        <f t="array" ref="AS46">INDEX(GMWQ!$A$2:$LR$60,MATCH(1,(GMWQ!$LQ$2:$LQ$60=AS$3)*(GMWQ!$LP$2:$LP$60=AS$4)*(GMWQ!$LR$2:$LR$60=AS$1),0),$B46-1966)</f>
        <v>798</v>
      </c>
      <c r="AT46" s="23" cm="1">
        <f t="array" ref="AT46">INDEX(GMWQ!$A$2:$LR$60,MATCH(1,(GMWQ!$LQ$2:$LQ$60=AT$3)*(GMWQ!$LP$2:$LP$60=AT$4)*(GMWQ!$LR$2:$LR$60=AT$1),0),$B46-1966)</f>
        <v>129938</v>
      </c>
      <c r="AU46" s="23" cm="1">
        <f t="array" ref="AU46">INDEX(GMWQ!$A$2:$LR$60,MATCH(1,(GMWQ!$LQ$2:$LQ$60=AU$3)*(GMWQ!$LP$2:$LP$60=AU$4)*(GMWQ!$LR$2:$LR$60=AU$1),0),$B46-1966)</f>
        <v>4297</v>
      </c>
    </row>
    <row r="47" spans="1:47" x14ac:dyDescent="0.35">
      <c r="A47" s="7">
        <v>1983</v>
      </c>
      <c r="B47" s="7">
        <f t="shared" si="1"/>
        <v>2013</v>
      </c>
      <c r="C47" s="7" cm="1">
        <f t="array" ref="C47">INDEX(GMWQ!$A$2:$LR$60,MATCH(1,(GMWQ!$LQ$2:$LQ$60=C$3)*(GMWQ!$LP$2:$LP$60=C$4)*(GMWQ!$LR$2:$LR$60=C$1),0),$B47-1966)</f>
        <v>249032</v>
      </c>
      <c r="D47" s="7" cm="1">
        <f t="array" ref="D47">INDEX(GMWQ!$A$2:$LR$60,MATCH(1,(GMWQ!$LQ$2:$LQ$60=D$3)*(GMWQ!$LP$2:$LP$60=D$4)*(GMWQ!$LR$2:$LR$60=D$1),0),$B47-1966)</f>
        <v>84.922520000000006</v>
      </c>
      <c r="E47" s="7" cm="1">
        <f t="array" ref="E47">INDEX(GMWQ!$A$2:$LR$60,MATCH(1,(GMWQ!$LQ$2:$LQ$60=E$3)*(GMWQ!$LP$2:$LP$60=E$4)*(GMWQ!$LR$2:$LR$60=E$1),0),$B47-1966)</f>
        <v>40.172429999999999</v>
      </c>
      <c r="F47" s="7" cm="1">
        <f t="array" ref="F47">INDEX(GMWQ!$A$2:$LR$60,MATCH(1,(GMWQ!$LQ$2:$LQ$60=F$3)*(GMWQ!$LP$2:$LP$60=F$4)*(GMWQ!$LR$2:$LR$60=F$1),0),$B47-1966)</f>
        <v>35662</v>
      </c>
      <c r="G47" s="7" cm="1">
        <f t="array" ref="G47">INDEX(GMWQ!$A$2:$LR$60,MATCH(1,(GMWQ!$LQ$2:$LQ$60=G$3)*(GMWQ!$LP$2:$LP$60=G$4)*(GMWQ!$LR$2:$LR$60=G$1),0),$B47-1966)</f>
        <v>8154.8559999999998</v>
      </c>
      <c r="H47" s="7" cm="1">
        <f t="array" ref="H47">INDEX(GMWQ!$A$2:$LR$60,MATCH(1,(GMWQ!$LQ$2:$LQ$60=H$3)*(GMWQ!$LP$2:$LP$60=H$4)*(GMWQ!$LR$2:$LR$60=H$1),0),$B47-1966)</f>
        <v>2488.645</v>
      </c>
      <c r="I47" s="7" cm="1">
        <f t="array" ref="I47">INDEX(GMWQ!$A$2:$LR$60,MATCH(1,(GMWQ!$LQ$2:$LQ$60=I$3)*(GMWQ!$LP$2:$LP$60=I$4)*(GMWQ!$LR$2:$LR$60=I$1),0),$B47-1966)</f>
        <v>38.772509999999997</v>
      </c>
      <c r="J47" s="7" cm="1">
        <f t="array" ref="J47">INDEX(GMWQ!$A$2:$LR$60,MATCH(1,(GMWQ!$LQ$2:$LQ$60=J$3)*(GMWQ!$LP$2:$LP$60=J$4)*(GMWQ!$LR$2:$LR$60=J$1),0),$B47-1966)</f>
        <v>20542.66</v>
      </c>
      <c r="K47" s="7" cm="1">
        <f t="array" ref="K47">INDEX(GMWQ!$A$2:$LR$60,MATCH(1,(GMWQ!$LQ$2:$LQ$60=K$3)*(GMWQ!$LP$2:$LP$60=K$4)*(GMWQ!$LR$2:$LR$60=K$1),0),$B47-1966)</f>
        <v>10.5625</v>
      </c>
      <c r="L47" s="7" cm="1">
        <f t="array" ref="L47">INDEX(GMWQ!$A$2:$LR$60,MATCH(1,(GMWQ!$LQ$2:$LQ$60=L$3)*(GMWQ!$LP$2:$LP$60=L$4)*(GMWQ!$LR$2:$LR$60=L$1),0),$B47-1966)</f>
        <v>11.3</v>
      </c>
      <c r="M47" s="7" cm="1">
        <f t="array" ref="M47">INDEX(GMWQ!$A$2:$LR$60,MATCH(1,(GMWQ!$LQ$2:$LQ$60=M$3)*(GMWQ!$LP$2:$LP$60=M$4)*(GMWQ!$LR$2:$LR$60=M$1),0),$B47-1966)</f>
        <v>12.358409999999999</v>
      </c>
      <c r="N47" s="7" cm="1">
        <f t="array" ref="N47">INDEX(GMWQ!$A$2:$LR$60,MATCH(1,(GMWQ!$LQ$2:$LQ$60=N$3)*(GMWQ!$LP$2:$LP$60=N$4)*(GMWQ!$LR$2:$LR$60=N$1),0),$B47-1966)</f>
        <v>1E-3</v>
      </c>
      <c r="O47" s="7" cm="1">
        <f t="array" ref="O47">INDEX(GMWQ!$A$2:$LR$60,MATCH(1,(GMWQ!$LQ$2:$LQ$60=O$3)*(GMWQ!$LP$2:$LP$60=O$4)*(GMWQ!$LR$2:$LR$60=O$1),0),$B47-1966)</f>
        <v>1E-3</v>
      </c>
      <c r="P47" s="7" cm="1">
        <f t="array" ref="P47">INDEX(GMWQ!$A$2:$LR$60,MATCH(1,(GMWQ!$LQ$2:$LQ$60=P$3)*(GMWQ!$LP$2:$LP$60=P$4)*(GMWQ!$LR$2:$LR$60=P$1),0),$B47-1966)</f>
        <v>54514</v>
      </c>
      <c r="Q47" s="7" cm="1">
        <f t="array" ref="Q47">INDEX(GMWQ!$A$2:$LR$60,MATCH(1,(GMWQ!$LQ$2:$LQ$60=Q$3)*(GMWQ!$LP$2:$LP$60=Q$4)*(GMWQ!$LR$2:$LR$60=Q$1),0),$B47-1966)</f>
        <v>9.9275400000000005</v>
      </c>
      <c r="R47" s="7" cm="1">
        <f t="array" ref="R47">INDEX(GMWQ!$A$2:$LR$60,MATCH(1,(GMWQ!$LQ$2:$LQ$60=R$3)*(GMWQ!$LP$2:$LP$60=R$4)*(GMWQ!$LR$2:$LR$60=R$1),0),$B47-1966)</f>
        <v>1E-3</v>
      </c>
      <c r="S47" s="7" cm="1">
        <f t="array" ref="S47">INDEX(GMWQ!$A$2:$LR$60,MATCH(1,(GMWQ!$LQ$2:$LQ$60=S$3)*(GMWQ!$LP$2:$LP$60=S$4)*(GMWQ!$LR$2:$LR$60=S$1),0),$B47-1966)</f>
        <v>431</v>
      </c>
      <c r="T47" s="7" cm="1">
        <f t="array" ref="T47">INDEX(GMWQ!$A$2:$LR$60,MATCH(1,(GMWQ!$LQ$2:$LQ$60=T$3)*(GMWQ!$LP$2:$LP$60=T$4)*(GMWQ!$LR$2:$LR$60=T$1),0),$B47-1966)</f>
        <v>1E-3</v>
      </c>
      <c r="U47" s="7" cm="1">
        <f t="array" ref="U47">INDEX(GMWQ!$A$2:$LR$60,MATCH(1,(GMWQ!$LQ$2:$LQ$60=U$3)*(GMWQ!$LP$2:$LP$60=U$4)*(GMWQ!$LR$2:$LR$60=U$1),0),$B47-1966)</f>
        <v>3201.9540000000002</v>
      </c>
      <c r="V47" s="7" cm="1">
        <f t="array" ref="V47">INDEX(GMWQ!$A$2:$LR$60,MATCH(1,(GMWQ!$LQ$2:$LQ$60=V$3)*(GMWQ!$LP$2:$LP$60=V$4)*(GMWQ!$LR$2:$LR$60=V$1),0),$B47-1966)</f>
        <v>1E-3</v>
      </c>
      <c r="W47" s="7" cm="1">
        <f t="array" ref="W47">INDEX(GMWQ!$A$2:$LR$60,MATCH(1,(GMWQ!$LQ$2:$LQ$60=W$3)*(GMWQ!$LP$2:$LP$60=W$4)*(GMWQ!$LR$2:$LR$60=W$1),0),$B47-1966)</f>
        <v>6.3284099999999999</v>
      </c>
      <c r="X47" s="7" cm="1">
        <f t="array" ref="X47">INDEX(GMWQ!$A$2:$LR$60,MATCH(1,(GMWQ!$LQ$2:$LQ$60=X$3)*(GMWQ!$LP$2:$LP$60=X$4)*(GMWQ!$LR$2:$LR$60=X$1),0),$B47-1966)</f>
        <v>942460.6</v>
      </c>
      <c r="Y47" s="7" cm="1">
        <f t="array" ref="Y47">INDEX(GMWQ!$A$2:$LR$60,MATCH(1,(GMWQ!$LQ$2:$LQ$60=Y$3)*(GMWQ!$LP$2:$LP$60=Y$4)*(GMWQ!$LR$2:$LR$60=Y$1),0),$B47-1966)</f>
        <v>34.42409</v>
      </c>
      <c r="Z47" s="7" cm="1">
        <f t="array" ref="Z47">INDEX(GMWQ!$A$2:$LR$60,MATCH(1,(GMWQ!$LQ$2:$LQ$60=Z$3)*(GMWQ!$LP$2:$LP$60=Z$4)*(GMWQ!$LR$2:$LR$60=Z$1),0),$B47-1966)</f>
        <v>250267</v>
      </c>
      <c r="AA47" s="7" cm="1">
        <f t="array" ref="AA47">INDEX(GMWQ!$A$2:$LR$60,MATCH(1,(GMWQ!$LQ$2:$LQ$60=AA$3)*(GMWQ!$LP$2:$LP$60=AA$4)*(GMWQ!$LR$2:$LR$60=AA$1),0),$B47-1966)</f>
        <v>37132</v>
      </c>
      <c r="AB47" s="7" cm="1">
        <f t="array" ref="AB47">INDEX(GMWQ!$A$2:$LR$60,MATCH(1,(GMWQ!$LQ$2:$LQ$60=AB$3)*(GMWQ!$LP$2:$LP$60=AB$4)*(GMWQ!$LR$2:$LR$60=AB$1),0),$B47-1966)</f>
        <v>32213</v>
      </c>
      <c r="AC47" s="7" cm="1">
        <f t="array" ref="AC47">INDEX(GMWQ!$A$2:$LR$60,MATCH(1,(GMWQ!$LQ$2:$LQ$60=AC$3)*(GMWQ!$LP$2:$LP$60=AC$4)*(GMWQ!$LR$2:$LR$60=AC$1),0),$B47-1966)</f>
        <v>2992</v>
      </c>
      <c r="AD47" s="7" cm="1">
        <f t="array" ref="AD47">INDEX(GMWQ!$A$2:$LR$60,MATCH(1,(GMWQ!$LQ$2:$LQ$60=AD$3)*(GMWQ!$LP$2:$LP$60=AD$4)*(GMWQ!$LR$2:$LR$60=AD$1),0),$B47-1966)</f>
        <v>3454</v>
      </c>
      <c r="AE47" s="7" cm="1">
        <f t="array" ref="AE47">INDEX(GMWQ!$A$2:$LR$60,MATCH(1,(GMWQ!$LQ$2:$LQ$60=AE$3)*(GMWQ!$LP$2:$LP$60=AE$4)*(GMWQ!$LR$2:$LR$60=AE$1),0),$B47-1966)</f>
        <v>85727</v>
      </c>
      <c r="AF47" s="20" cm="1">
        <f t="array" ref="AF47">INDEX(GMWQ!$A$2:$LR$60,MATCH(1,(GMWQ!$LQ$2:$LQ$60=AF$3)*(GMWQ!$LP$2:$LP$60=AF$4)*(GMWQ!$LR$2:$LR$60=AF$1),0),$B47-1966)</f>
        <v>10.80176</v>
      </c>
      <c r="AG47" s="20" cm="1">
        <f t="array" ref="AG47">INDEX(GMWQ!$A$2:$LR$60,MATCH(1,(GMWQ!$LQ$2:$LQ$60=AG$3)*(GMWQ!$LP$2:$LP$60=AG$4)*(GMWQ!$LR$2:$LR$60=AG$1),0),$B47-1966)</f>
        <v>-551.06979999999999</v>
      </c>
      <c r="AI47" s="23" cm="1">
        <f t="array" ref="AI47">INDEX(GMWQ!$A$2:$LR$60,MATCH(1,(GMWQ!$LQ$2:$LQ$60=AI$3)*(GMWQ!$LP$2:$LP$60=AI$4)*(GMWQ!$LR$2:$LR$60=AI$1),0),$B47-1966)</f>
        <v>54514</v>
      </c>
      <c r="AJ47" s="23" cm="1">
        <f t="array" ref="AJ47">INDEX(GMWQ!$A$2:$LR$60,MATCH(1,(GMWQ!$LQ$2:$LQ$60=AJ$3)*(GMWQ!$LP$2:$LP$60=AJ$4)*(GMWQ!$LR$2:$LR$60=AJ$1),0),$B47-1966)</f>
        <v>38.772509999999997</v>
      </c>
      <c r="AK47" s="23" cm="1">
        <f t="array" ref="AK47">INDEX(GMWQ!$A$2:$LR$60,MATCH(1,(GMWQ!$LQ$2:$LQ$60=AK$3)*(GMWQ!$LP$2:$LP$60=AK$4)*(GMWQ!$LR$2:$LR$60=AK$1),0),$B47-1966)</f>
        <v>35662</v>
      </c>
      <c r="AL47" s="23" cm="1">
        <f t="array" ref="AL47">INDEX(GMWQ!$A$2:$LR$60,MATCH(1,(GMWQ!$LQ$2:$LQ$60=AL$3)*(GMWQ!$LP$2:$LP$60=AL$4)*(GMWQ!$LR$2:$LR$60=AL$1),0),$B47-1966)</f>
        <v>1735.998</v>
      </c>
      <c r="AM47" s="23" cm="1">
        <f t="array" ref="AM47">INDEX(GMWQ!$A$2:$LR$60,MATCH(1,(GMWQ!$LQ$2:$LQ$60=AM$3)*(GMWQ!$LP$2:$LP$60=AM$4)*(GMWQ!$LR$2:$LR$60=AM$1),0),$B47-1966)</f>
        <v>20542.66</v>
      </c>
      <c r="AN47" s="23" cm="1">
        <f t="array" ref="AN47">INDEX(GMWQ!$A$2:$LR$60,MATCH(1,(GMWQ!$LQ$2:$LQ$60=AN$3)*(GMWQ!$LP$2:$LP$60=AN$4)*(GMWQ!$LR$2:$LR$60=AN$1),0),$B47-1966)</f>
        <v>8154.8559999999998</v>
      </c>
      <c r="AO47" s="23" cm="1">
        <f t="array" ref="AO47">INDEX(GMWQ!$A$2:$LR$60,MATCH(1,(GMWQ!$LQ$2:$LQ$60=AO$3)*(GMWQ!$LP$2:$LP$60=AO$4)*(GMWQ!$LR$2:$LR$60=AO$1),0),$B47-1966)</f>
        <v>2488.645</v>
      </c>
      <c r="AP47" s="23" cm="1">
        <f t="array" ref="AP47">INDEX(GMWQ!$A$2:$LR$60,MATCH(1,(GMWQ!$LQ$2:$LQ$60=AP$3)*(GMWQ!$LP$2:$LP$60=AP$4)*(GMWQ!$LR$2:$LR$60=AP$1),0),$B47-1966)</f>
        <v>-551.06979999999999</v>
      </c>
      <c r="AQ47" s="23" cm="1">
        <f t="array" ref="AQ47">INDEX(GMWQ!$A$2:$LR$60,MATCH(1,(GMWQ!$LQ$2:$LQ$60=AQ$3)*(GMWQ!$LP$2:$LP$60=AQ$4)*(GMWQ!$LR$2:$LR$60=AQ$1),0),$B47-1966)</f>
        <v>9621.3809999999994</v>
      </c>
      <c r="AR47" s="23" cm="1">
        <f t="array" ref="AR47">INDEX(GMWQ!$A$2:$LR$60,MATCH(1,(GMWQ!$LQ$2:$LQ$60=AR$3)*(GMWQ!$LP$2:$LP$60=AR$4)*(GMWQ!$LR$2:$LR$60=AR$1),0),$B47-1966)</f>
        <v>51139</v>
      </c>
      <c r="AS47" s="23" cm="1">
        <f t="array" ref="AS47">INDEX(GMWQ!$A$2:$LR$60,MATCH(1,(GMWQ!$LQ$2:$LQ$60=AS$3)*(GMWQ!$LP$2:$LP$60=AS$4)*(GMWQ!$LR$2:$LR$60=AS$1),0),$B47-1966)</f>
        <v>870</v>
      </c>
      <c r="AT47" s="23" cm="1">
        <f t="array" ref="AT47">INDEX(GMWQ!$A$2:$LR$60,MATCH(1,(GMWQ!$LQ$2:$LQ$60=AT$3)*(GMWQ!$LP$2:$LP$60=AT$4)*(GMWQ!$LR$2:$LR$60=AT$1),0),$B47-1966)</f>
        <v>131895</v>
      </c>
      <c r="AU47" s="23" cm="1">
        <f t="array" ref="AU47">INDEX(GMWQ!$A$2:$LR$60,MATCH(1,(GMWQ!$LQ$2:$LQ$60=AU$3)*(GMWQ!$LP$2:$LP$60=AU$4)*(GMWQ!$LR$2:$LR$60=AU$1),0),$B47-1966)</f>
        <v>3680</v>
      </c>
    </row>
    <row r="48" spans="1:47" x14ac:dyDescent="0.35">
      <c r="B48" s="7">
        <f>+B47+1</f>
        <v>2014</v>
      </c>
      <c r="C48" s="7" cm="1">
        <f t="array" ref="C48">INDEX(GMWQ!$A$2:$LR$60,MATCH(1,(GMWQ!$LQ$2:$LQ$60=C$3)*(GMWQ!$LP$2:$LP$60=C$4)*(GMWQ!$LR$2:$LR$60=C$1),0),$B48-1966)</f>
        <v>250761</v>
      </c>
      <c r="D48" s="7" cm="1">
        <f t="array" ref="D48">INDEX(GMWQ!$A$2:$LR$60,MATCH(1,(GMWQ!$LQ$2:$LQ$60=D$3)*(GMWQ!$LP$2:$LP$60=D$4)*(GMWQ!$LR$2:$LR$60=D$1),0),$B48-1966)</f>
        <v>88.039339999999996</v>
      </c>
      <c r="E48" s="7" cm="1">
        <f t="array" ref="E48">INDEX(GMWQ!$A$2:$LR$60,MATCH(1,(GMWQ!$LQ$2:$LQ$60=E$3)*(GMWQ!$LP$2:$LP$60=E$4)*(GMWQ!$LR$2:$LR$60=E$1),0),$B48-1966)</f>
        <v>40.85022</v>
      </c>
      <c r="F48" s="7" cm="1">
        <f t="array" ref="F48">INDEX(GMWQ!$A$2:$LR$60,MATCH(1,(GMWQ!$LQ$2:$LQ$60=F$3)*(GMWQ!$LP$2:$LP$60=F$4)*(GMWQ!$LR$2:$LR$60=F$1),0),$B48-1966)</f>
        <v>36167</v>
      </c>
      <c r="G48" s="7" cm="1">
        <f t="array" ref="G48">INDEX(GMWQ!$A$2:$LR$60,MATCH(1,(GMWQ!$LQ$2:$LQ$60=G$3)*(GMWQ!$LP$2:$LP$60=G$4)*(GMWQ!$LR$2:$LR$60=G$1),0),$B48-1966)</f>
        <v>7994.6270000000004</v>
      </c>
      <c r="H48" s="7" cm="1">
        <f t="array" ref="H48">INDEX(GMWQ!$A$2:$LR$60,MATCH(1,(GMWQ!$LQ$2:$LQ$60=H$3)*(GMWQ!$LP$2:$LP$60=H$4)*(GMWQ!$LR$2:$LR$60=H$1),0),$B48-1966)</f>
        <v>2727.2669999999998</v>
      </c>
      <c r="I48" s="7" cm="1">
        <f t="array" ref="I48">INDEX(GMWQ!$A$2:$LR$60,MATCH(1,(GMWQ!$LQ$2:$LQ$60=I$3)*(GMWQ!$LP$2:$LP$60=I$4)*(GMWQ!$LR$2:$LR$60=I$1),0),$B48-1966)</f>
        <v>39.189529999999998</v>
      </c>
      <c r="J48" s="7" cm="1">
        <f t="array" ref="J48">INDEX(GMWQ!$A$2:$LR$60,MATCH(1,(GMWQ!$LQ$2:$LQ$60=J$3)*(GMWQ!$LP$2:$LP$60=J$4)*(GMWQ!$LR$2:$LR$60=J$1),0),$B48-1966)</f>
        <v>20580.46</v>
      </c>
      <c r="K48" s="7" cm="1">
        <f t="array" ref="K48">INDEX(GMWQ!$A$2:$LR$60,MATCH(1,(GMWQ!$LQ$2:$LQ$60=K$3)*(GMWQ!$LP$2:$LP$60=K$4)*(GMWQ!$LR$2:$LR$60=K$1),0),$B48-1966)</f>
        <v>9.5625</v>
      </c>
      <c r="L48" s="7" cm="1">
        <f t="array" ref="L48">INDEX(GMWQ!$A$2:$LR$60,MATCH(1,(GMWQ!$LQ$2:$LQ$60=L$3)*(GMWQ!$LP$2:$LP$60=L$4)*(GMWQ!$LR$2:$LR$60=L$1),0),$B48-1966)</f>
        <v>11.4</v>
      </c>
      <c r="M48" s="7" cm="1">
        <f t="array" ref="M48">INDEX(GMWQ!$A$2:$LR$60,MATCH(1,(GMWQ!$LQ$2:$LQ$60=M$3)*(GMWQ!$LP$2:$LP$60=M$4)*(GMWQ!$LR$2:$LR$60=M$1),0),$B48-1966)</f>
        <v>12.73169</v>
      </c>
      <c r="N48" s="7" cm="1">
        <f t="array" ref="N48">INDEX(GMWQ!$A$2:$LR$60,MATCH(1,(GMWQ!$LQ$2:$LQ$60=N$3)*(GMWQ!$LP$2:$LP$60=N$4)*(GMWQ!$LR$2:$LR$60=N$1),0),$B48-1966)</f>
        <v>1E-3</v>
      </c>
      <c r="O48" s="7" cm="1">
        <f t="array" ref="O48">INDEX(GMWQ!$A$2:$LR$60,MATCH(1,(GMWQ!$LQ$2:$LQ$60=O$3)*(GMWQ!$LP$2:$LP$60=O$4)*(GMWQ!$LR$2:$LR$60=O$1),0),$B48-1966)</f>
        <v>1E-3</v>
      </c>
      <c r="P48" s="7" cm="1">
        <f t="array" ref="P48">INDEX(GMWQ!$A$2:$LR$60,MATCH(1,(GMWQ!$LQ$2:$LQ$60=P$3)*(GMWQ!$LP$2:$LP$60=P$4)*(GMWQ!$LR$2:$LR$60=P$1),0),$B48-1966)</f>
        <v>57136</v>
      </c>
      <c r="Q48" s="7" cm="1">
        <f t="array" ref="Q48">INDEX(GMWQ!$A$2:$LR$60,MATCH(1,(GMWQ!$LQ$2:$LQ$60=Q$3)*(GMWQ!$LP$2:$LP$60=Q$4)*(GMWQ!$LR$2:$LR$60=Q$1),0),$B48-1966)</f>
        <v>10.075900000000001</v>
      </c>
      <c r="R48" s="7" cm="1">
        <f t="array" ref="R48">INDEX(GMWQ!$A$2:$LR$60,MATCH(1,(GMWQ!$LQ$2:$LQ$60=R$3)*(GMWQ!$LP$2:$LP$60=R$4)*(GMWQ!$LR$2:$LR$60=R$1),0),$B48-1966)</f>
        <v>1E-3</v>
      </c>
      <c r="S48" s="7" cm="1">
        <f t="array" ref="S48">INDEX(GMWQ!$A$2:$LR$60,MATCH(1,(GMWQ!$LQ$2:$LQ$60=S$3)*(GMWQ!$LP$2:$LP$60=S$4)*(GMWQ!$LR$2:$LR$60=S$1),0),$B48-1966)</f>
        <v>422</v>
      </c>
      <c r="T48" s="7" cm="1">
        <f t="array" ref="T48">INDEX(GMWQ!$A$2:$LR$60,MATCH(1,(GMWQ!$LQ$2:$LQ$60=T$3)*(GMWQ!$LP$2:$LP$60=T$4)*(GMWQ!$LR$2:$LR$60=T$1),0),$B48-1966)</f>
        <v>1E-3</v>
      </c>
      <c r="U48" s="7" cm="1">
        <f t="array" ref="U48">INDEX(GMWQ!$A$2:$LR$60,MATCH(1,(GMWQ!$LQ$2:$LQ$60=U$3)*(GMWQ!$LP$2:$LP$60=U$4)*(GMWQ!$LR$2:$LR$60=U$1),0),$B48-1966)</f>
        <v>3252.8490000000002</v>
      </c>
      <c r="V48" s="7" cm="1">
        <f t="array" ref="V48">INDEX(GMWQ!$A$2:$LR$60,MATCH(1,(GMWQ!$LQ$2:$LQ$60=V$3)*(GMWQ!$LP$2:$LP$60=V$4)*(GMWQ!$LR$2:$LR$60=V$1),0),$B48-1966)</f>
        <v>1E-3</v>
      </c>
      <c r="W48" s="7" cm="1">
        <f t="array" ref="W48">INDEX(GMWQ!$A$2:$LR$60,MATCH(1,(GMWQ!$LQ$2:$LQ$60=W$3)*(GMWQ!$LP$2:$LP$60=W$4)*(GMWQ!$LR$2:$LR$60=W$1),0),$B48-1966)</f>
        <v>5.8343939999999996</v>
      </c>
      <c r="X48" s="7" cm="1">
        <f t="array" ref="X48">INDEX(GMWQ!$A$2:$LR$60,MATCH(1,(GMWQ!$LQ$2:$LQ$60=X$3)*(GMWQ!$LP$2:$LP$60=X$4)*(GMWQ!$LR$2:$LR$60=X$1),0),$B48-1966)</f>
        <v>956456</v>
      </c>
      <c r="Y48" s="7" cm="1">
        <f t="array" ref="Y48">INDEX(GMWQ!$A$2:$LR$60,MATCH(1,(GMWQ!$LQ$2:$LQ$60=Y$3)*(GMWQ!$LP$2:$LP$60=Y$4)*(GMWQ!$LR$2:$LR$60=Y$1),0),$B48-1966)</f>
        <v>34.410449999999997</v>
      </c>
      <c r="Z48" s="7" cm="1">
        <f t="array" ref="Z48">INDEX(GMWQ!$A$2:$LR$60,MATCH(1,(GMWQ!$LQ$2:$LQ$60=Z$3)*(GMWQ!$LP$2:$LP$60=Z$4)*(GMWQ!$LR$2:$LR$60=Z$1),0),$B48-1966)</f>
        <v>251576.8</v>
      </c>
      <c r="AA48" s="7" cm="1">
        <f t="array" ref="AA48">INDEX(GMWQ!$A$2:$LR$60,MATCH(1,(GMWQ!$LQ$2:$LQ$60=AA$3)*(GMWQ!$LP$2:$LP$60=AA$4)*(GMWQ!$LR$2:$LR$60=AA$1),0),$B48-1966)</f>
        <v>32007</v>
      </c>
      <c r="AB48" s="7" cm="1">
        <f t="array" ref="AB48">INDEX(GMWQ!$A$2:$LR$60,MATCH(1,(GMWQ!$LQ$2:$LQ$60=AB$3)*(GMWQ!$LP$2:$LP$60=AB$4)*(GMWQ!$LR$2:$LR$60=AB$1),0),$B48-1966)</f>
        <v>31312</v>
      </c>
      <c r="AC48" s="7" cm="1">
        <f t="array" ref="AC48">INDEX(GMWQ!$A$2:$LR$60,MATCH(1,(GMWQ!$LQ$2:$LQ$60=AC$3)*(GMWQ!$LP$2:$LP$60=AC$4)*(GMWQ!$LR$2:$LR$60=AC$1),0),$B48-1966)</f>
        <v>1251</v>
      </c>
      <c r="AD48" s="7" cm="1">
        <f t="array" ref="AD48">INDEX(GMWQ!$A$2:$LR$60,MATCH(1,(GMWQ!$LQ$2:$LQ$60=AD$3)*(GMWQ!$LP$2:$LP$60=AD$4)*(GMWQ!$LR$2:$LR$60=AD$1),0),$B48-1966)</f>
        <v>3494</v>
      </c>
      <c r="AE48" s="7" cm="1">
        <f t="array" ref="AE48">INDEX(GMWQ!$A$2:$LR$60,MATCH(1,(GMWQ!$LQ$2:$LQ$60=AE$3)*(GMWQ!$LP$2:$LP$60=AE$4)*(GMWQ!$LR$2:$LR$60=AE$1),0),$B48-1966)</f>
        <v>86288</v>
      </c>
      <c r="AF48" s="20" cm="1">
        <f t="array" ref="AF48">INDEX(GMWQ!$A$2:$LR$60,MATCH(1,(GMWQ!$LQ$2:$LQ$60=AF$3)*(GMWQ!$LP$2:$LP$60=AF$4)*(GMWQ!$LR$2:$LR$60=AF$1),0),$B48-1966)</f>
        <v>10.024039999999999</v>
      </c>
      <c r="AG48" s="20" cm="1">
        <f t="array" ref="AG48">INDEX(GMWQ!$A$2:$LR$60,MATCH(1,(GMWQ!$LQ$2:$LQ$60=AG$3)*(GMWQ!$LP$2:$LP$60=AG$4)*(GMWQ!$LR$2:$LR$60=AG$1),0),$B48-1966)</f>
        <v>-639.25580000000002</v>
      </c>
      <c r="AI48" s="23" cm="1">
        <f t="array" ref="AI48">INDEX(GMWQ!$A$2:$LR$60,MATCH(1,(GMWQ!$LQ$2:$LQ$60=AI$3)*(GMWQ!$LP$2:$LP$60=AI$4)*(GMWQ!$LR$2:$LR$60=AI$1),0),$B48-1966)</f>
        <v>57136</v>
      </c>
      <c r="AJ48" s="23" cm="1">
        <f t="array" ref="AJ48">INDEX(GMWQ!$A$2:$LR$60,MATCH(1,(GMWQ!$LQ$2:$LQ$60=AJ$3)*(GMWQ!$LP$2:$LP$60=AJ$4)*(GMWQ!$LR$2:$LR$60=AJ$1),0),$B48-1966)</f>
        <v>39.189529999999998</v>
      </c>
      <c r="AK48" s="23" cm="1">
        <f t="array" ref="AK48">INDEX(GMWQ!$A$2:$LR$60,MATCH(1,(GMWQ!$LQ$2:$LQ$60=AK$3)*(GMWQ!$LP$2:$LP$60=AK$4)*(GMWQ!$LR$2:$LR$60=AK$1),0),$B48-1966)</f>
        <v>36167</v>
      </c>
      <c r="AL48" s="23" cm="1">
        <f t="array" ref="AL48">INDEX(GMWQ!$A$2:$LR$60,MATCH(1,(GMWQ!$LQ$2:$LQ$60=AL$3)*(GMWQ!$LP$2:$LP$60=AL$4)*(GMWQ!$LR$2:$LR$60=AL$1),0),$B48-1966)</f>
        <v>1757.346</v>
      </c>
      <c r="AM48" s="23" cm="1">
        <f t="array" ref="AM48">INDEX(GMWQ!$A$2:$LR$60,MATCH(1,(GMWQ!$LQ$2:$LQ$60=AM$3)*(GMWQ!$LP$2:$LP$60=AM$4)*(GMWQ!$LR$2:$LR$60=AM$1),0),$B48-1966)</f>
        <v>20580.46</v>
      </c>
      <c r="AN48" s="23" cm="1">
        <f t="array" ref="AN48">INDEX(GMWQ!$A$2:$LR$60,MATCH(1,(GMWQ!$LQ$2:$LQ$60=AN$3)*(GMWQ!$LP$2:$LP$60=AN$4)*(GMWQ!$LR$2:$LR$60=AN$1),0),$B48-1966)</f>
        <v>7994.6270000000004</v>
      </c>
      <c r="AO48" s="23" cm="1">
        <f t="array" ref="AO48">INDEX(GMWQ!$A$2:$LR$60,MATCH(1,(GMWQ!$LQ$2:$LQ$60=AO$3)*(GMWQ!$LP$2:$LP$60=AO$4)*(GMWQ!$LR$2:$LR$60=AO$1),0),$B48-1966)</f>
        <v>2727.2669999999998</v>
      </c>
      <c r="AP48" s="23" cm="1">
        <f t="array" ref="AP48">INDEX(GMWQ!$A$2:$LR$60,MATCH(1,(GMWQ!$LQ$2:$LQ$60=AP$3)*(GMWQ!$LP$2:$LP$60=AP$4)*(GMWQ!$LR$2:$LR$60=AP$1),0),$B48-1966)</f>
        <v>-639.25580000000002</v>
      </c>
      <c r="AQ48" s="23" cm="1">
        <f t="array" ref="AQ48">INDEX(GMWQ!$A$2:$LR$60,MATCH(1,(GMWQ!$LQ$2:$LQ$60=AQ$3)*(GMWQ!$LP$2:$LP$60=AQ$4)*(GMWQ!$LR$2:$LR$60=AQ$1),0),$B48-1966)</f>
        <v>9593.23</v>
      </c>
      <c r="AR48" s="23" cm="1">
        <f t="array" ref="AR48">INDEX(GMWQ!$A$2:$LR$60,MATCH(1,(GMWQ!$LQ$2:$LQ$60=AR$3)*(GMWQ!$LP$2:$LP$60=AR$4)*(GMWQ!$LR$2:$LR$60=AR$1),0),$B48-1966)</f>
        <v>52019</v>
      </c>
      <c r="AS48" s="23" cm="1">
        <f t="array" ref="AS48">INDEX(GMWQ!$A$2:$LR$60,MATCH(1,(GMWQ!$LQ$2:$LQ$60=AS$3)*(GMWQ!$LP$2:$LP$60=AS$4)*(GMWQ!$LR$2:$LR$60=AS$1),0),$B48-1966)</f>
        <v>872</v>
      </c>
      <c r="AT48" s="23" cm="1">
        <f t="array" ref="AT48">INDEX(GMWQ!$A$2:$LR$60,MATCH(1,(GMWQ!$LQ$2:$LQ$60=AT$3)*(GMWQ!$LP$2:$LP$60=AT$4)*(GMWQ!$LR$2:$LR$60=AT$1),0),$B48-1966)</f>
        <v>132737</v>
      </c>
      <c r="AU48" s="23" cm="1">
        <f t="array" ref="AU48">INDEX(GMWQ!$A$2:$LR$60,MATCH(1,(GMWQ!$LQ$2:$LQ$60=AU$3)*(GMWQ!$LP$2:$LP$60=AU$4)*(GMWQ!$LR$2:$LR$60=AU$1),0),$B48-1966)</f>
        <v>4230</v>
      </c>
    </row>
    <row r="49" spans="1:47" x14ac:dyDescent="0.35">
      <c r="B49" s="7">
        <f t="shared" ref="B49:B112" si="2">+B48+1</f>
        <v>2015</v>
      </c>
      <c r="C49" s="7" cm="1">
        <f t="array" ref="C49">INDEX(GMWQ!$A$2:$LR$60,MATCH(1,(GMWQ!$LQ$2:$LQ$60=C$3)*(GMWQ!$LP$2:$LP$60=C$4)*(GMWQ!$LR$2:$LR$60=C$1),0),$B49-1966)</f>
        <v>253655</v>
      </c>
      <c r="D49" s="7" cm="1">
        <f t="array" ref="D49">INDEX(GMWQ!$A$2:$LR$60,MATCH(1,(GMWQ!$LQ$2:$LQ$60=D$3)*(GMWQ!$LP$2:$LP$60=D$4)*(GMWQ!$LR$2:$LR$60=D$1),0),$B49-1966)</f>
        <v>90.437579999999997</v>
      </c>
      <c r="E49" s="7" cm="1">
        <f t="array" ref="E49">INDEX(GMWQ!$A$2:$LR$60,MATCH(1,(GMWQ!$LQ$2:$LQ$60=E$3)*(GMWQ!$LP$2:$LP$60=E$4)*(GMWQ!$LR$2:$LR$60=E$1),0),$B49-1966)</f>
        <v>41.293399999999998</v>
      </c>
      <c r="F49" s="7" cm="1">
        <f t="array" ref="F49">INDEX(GMWQ!$A$2:$LR$60,MATCH(1,(GMWQ!$LQ$2:$LQ$60=F$3)*(GMWQ!$LP$2:$LP$60=F$4)*(GMWQ!$LR$2:$LR$60=F$1),0),$B49-1966)</f>
        <v>36728</v>
      </c>
      <c r="G49" s="7" cm="1">
        <f t="array" ref="G49">INDEX(GMWQ!$A$2:$LR$60,MATCH(1,(GMWQ!$LQ$2:$LQ$60=G$3)*(GMWQ!$LP$2:$LP$60=G$4)*(GMWQ!$LR$2:$LR$60=G$1),0),$B49-1966)</f>
        <v>8210.2440000000006</v>
      </c>
      <c r="H49" s="7" cm="1">
        <f t="array" ref="H49">INDEX(GMWQ!$A$2:$LR$60,MATCH(1,(GMWQ!$LQ$2:$LQ$60=H$3)*(GMWQ!$LP$2:$LP$60=H$4)*(GMWQ!$LR$2:$LR$60=H$1),0),$B49-1966)</f>
        <v>2783.2280000000001</v>
      </c>
      <c r="I49" s="7" cm="1">
        <f t="array" ref="I49">INDEX(GMWQ!$A$2:$LR$60,MATCH(1,(GMWQ!$LQ$2:$LQ$60=I$3)*(GMWQ!$LP$2:$LP$60=I$4)*(GMWQ!$LR$2:$LR$60=I$1),0),$B49-1966)</f>
        <v>39.55536</v>
      </c>
      <c r="J49" s="7" cm="1">
        <f t="array" ref="J49">INDEX(GMWQ!$A$2:$LR$60,MATCH(1,(GMWQ!$LQ$2:$LQ$60=J$3)*(GMWQ!$LP$2:$LP$60=J$4)*(GMWQ!$LR$2:$LR$60=J$1),0),$B49-1966)</f>
        <v>20665.97</v>
      </c>
      <c r="K49" s="7" cm="1">
        <f t="array" ref="K49">INDEX(GMWQ!$A$2:$LR$60,MATCH(1,(GMWQ!$LQ$2:$LQ$60=K$3)*(GMWQ!$LP$2:$LP$60=K$4)*(GMWQ!$LR$2:$LR$60=K$1),0),$B49-1966)</f>
        <v>9.5625</v>
      </c>
      <c r="L49" s="7" cm="1">
        <f t="array" ref="L49">INDEX(GMWQ!$A$2:$LR$60,MATCH(1,(GMWQ!$LQ$2:$LQ$60=L$3)*(GMWQ!$LP$2:$LP$60=L$4)*(GMWQ!$LR$2:$LR$60=L$1),0),$B49-1966)</f>
        <v>11.5</v>
      </c>
      <c r="M49" s="7" cm="1">
        <f t="array" ref="M49">INDEX(GMWQ!$A$2:$LR$60,MATCH(1,(GMWQ!$LQ$2:$LQ$60=M$3)*(GMWQ!$LP$2:$LP$60=M$4)*(GMWQ!$LR$2:$LR$60=M$1),0),$B49-1966)</f>
        <v>13.23485</v>
      </c>
      <c r="N49" s="7" cm="1">
        <f t="array" ref="N49">INDEX(GMWQ!$A$2:$LR$60,MATCH(1,(GMWQ!$LQ$2:$LQ$60=N$3)*(GMWQ!$LP$2:$LP$60=N$4)*(GMWQ!$LR$2:$LR$60=N$1),0),$B49-1966)</f>
        <v>1E-3</v>
      </c>
      <c r="O49" s="7" cm="1">
        <f t="array" ref="O49">INDEX(GMWQ!$A$2:$LR$60,MATCH(1,(GMWQ!$LQ$2:$LQ$60=O$3)*(GMWQ!$LP$2:$LP$60=O$4)*(GMWQ!$LR$2:$LR$60=O$1),0),$B49-1966)</f>
        <v>1E-3</v>
      </c>
      <c r="P49" s="7" cm="1">
        <f t="array" ref="P49">INDEX(GMWQ!$A$2:$LR$60,MATCH(1,(GMWQ!$LQ$2:$LQ$60=P$3)*(GMWQ!$LP$2:$LP$60=P$4)*(GMWQ!$LR$2:$LR$60=P$1),0),$B49-1966)</f>
        <v>57119</v>
      </c>
      <c r="Q49" s="7" cm="1">
        <f t="array" ref="Q49">INDEX(GMWQ!$A$2:$LR$60,MATCH(1,(GMWQ!$LQ$2:$LQ$60=Q$3)*(GMWQ!$LP$2:$LP$60=Q$4)*(GMWQ!$LR$2:$LR$60=Q$1),0),$B49-1966)</f>
        <v>11.2349</v>
      </c>
      <c r="R49" s="7" cm="1">
        <f t="array" ref="R49">INDEX(GMWQ!$A$2:$LR$60,MATCH(1,(GMWQ!$LQ$2:$LQ$60=R$3)*(GMWQ!$LP$2:$LP$60=R$4)*(GMWQ!$LR$2:$LR$60=R$1),0),$B49-1966)</f>
        <v>1E-3</v>
      </c>
      <c r="S49" s="7" cm="1">
        <f t="array" ref="S49">INDEX(GMWQ!$A$2:$LR$60,MATCH(1,(GMWQ!$LQ$2:$LQ$60=S$3)*(GMWQ!$LP$2:$LP$60=S$4)*(GMWQ!$LR$2:$LR$60=S$1),0),$B49-1966)</f>
        <v>411</v>
      </c>
      <c r="T49" s="7" cm="1">
        <f t="array" ref="T49">INDEX(GMWQ!$A$2:$LR$60,MATCH(1,(GMWQ!$LQ$2:$LQ$60=T$3)*(GMWQ!$LP$2:$LP$60=T$4)*(GMWQ!$LR$2:$LR$60=T$1),0),$B49-1966)</f>
        <v>1E-3</v>
      </c>
      <c r="U49" s="7" cm="1">
        <f t="array" ref="U49">INDEX(GMWQ!$A$2:$LR$60,MATCH(1,(GMWQ!$LQ$2:$LQ$60=U$3)*(GMWQ!$LP$2:$LP$60=U$4)*(GMWQ!$LR$2:$LR$60=U$1),0),$B49-1966)</f>
        <v>3635.433</v>
      </c>
      <c r="V49" s="7" cm="1">
        <f t="array" ref="V49">INDEX(GMWQ!$A$2:$LR$60,MATCH(1,(GMWQ!$LQ$2:$LQ$60=V$3)*(GMWQ!$LP$2:$LP$60=V$4)*(GMWQ!$LR$2:$LR$60=V$1),0),$B49-1966)</f>
        <v>1E-3</v>
      </c>
      <c r="W49" s="7" cm="1">
        <f t="array" ref="W49">INDEX(GMWQ!$A$2:$LR$60,MATCH(1,(GMWQ!$LQ$2:$LQ$60=W$3)*(GMWQ!$LP$2:$LP$60=W$4)*(GMWQ!$LR$2:$LR$60=W$1),0),$B49-1966)</f>
        <v>5.3487299999999998</v>
      </c>
      <c r="X49" s="7" cm="1">
        <f t="array" ref="X49">INDEX(GMWQ!$A$2:$LR$60,MATCH(1,(GMWQ!$LQ$2:$LQ$60=X$3)*(GMWQ!$LP$2:$LP$60=X$4)*(GMWQ!$LR$2:$LR$60=X$1),0),$B49-1966)</f>
        <v>970451.4</v>
      </c>
      <c r="Y49" s="7" cm="1">
        <f t="array" ref="Y49">INDEX(GMWQ!$A$2:$LR$60,MATCH(1,(GMWQ!$LQ$2:$LQ$60=Y$3)*(GMWQ!$LP$2:$LP$60=Y$4)*(GMWQ!$LR$2:$LR$60=Y$1),0),$B49-1966)</f>
        <v>34.943919999999999</v>
      </c>
      <c r="Z49" s="7" cm="1">
        <f t="array" ref="Z49">INDEX(GMWQ!$A$2:$LR$60,MATCH(1,(GMWQ!$LQ$2:$LQ$60=Z$3)*(GMWQ!$LP$2:$LP$60=Z$4)*(GMWQ!$LR$2:$LR$60=Z$1),0),$B49-1966)</f>
        <v>253997</v>
      </c>
      <c r="AA49" s="7" cm="1">
        <f t="array" ref="AA49">INDEX(GMWQ!$A$2:$LR$60,MATCH(1,(GMWQ!$LQ$2:$LQ$60=AA$3)*(GMWQ!$LP$2:$LP$60=AA$4)*(GMWQ!$LR$2:$LR$60=AA$1),0),$B49-1966)</f>
        <v>33564</v>
      </c>
      <c r="AB49" s="7" cm="1">
        <f t="array" ref="AB49">INDEX(GMWQ!$A$2:$LR$60,MATCH(1,(GMWQ!$LQ$2:$LQ$60=AB$3)*(GMWQ!$LP$2:$LP$60=AB$4)*(GMWQ!$LR$2:$LR$60=AB$1),0),$B49-1966)</f>
        <v>32277</v>
      </c>
      <c r="AC49" s="7" cm="1">
        <f t="array" ref="AC49">INDEX(GMWQ!$A$2:$LR$60,MATCH(1,(GMWQ!$LQ$2:$LQ$60=AC$3)*(GMWQ!$LP$2:$LP$60=AC$4)*(GMWQ!$LR$2:$LR$60=AC$1),0),$B49-1966)</f>
        <v>1850</v>
      </c>
      <c r="AD49" s="7" cm="1">
        <f t="array" ref="AD49">INDEX(GMWQ!$A$2:$LR$60,MATCH(1,(GMWQ!$LQ$2:$LQ$60=AD$3)*(GMWQ!$LP$2:$LP$60=AD$4)*(GMWQ!$LR$2:$LR$60=AD$1),0),$B49-1966)</f>
        <v>3549</v>
      </c>
      <c r="AE49" s="7" cm="1">
        <f t="array" ref="AE49">INDEX(GMWQ!$A$2:$LR$60,MATCH(1,(GMWQ!$LQ$2:$LQ$60=AE$3)*(GMWQ!$LP$2:$LP$60=AE$4)*(GMWQ!$LR$2:$LR$60=AE$1),0),$B49-1966)</f>
        <v>88637</v>
      </c>
      <c r="AF49" s="20" cm="1">
        <f t="array" ref="AF49">INDEX(GMWQ!$A$2:$LR$60,MATCH(1,(GMWQ!$LQ$2:$LQ$60=AF$3)*(GMWQ!$LP$2:$LP$60=AF$4)*(GMWQ!$LR$2:$LR$60=AF$1),0),$B49-1966)</f>
        <v>9.5606059999999999</v>
      </c>
      <c r="AG49" s="20" cm="1">
        <f t="array" ref="AG49">INDEX(GMWQ!$A$2:$LR$60,MATCH(1,(GMWQ!$LQ$2:$LQ$60=AG$3)*(GMWQ!$LP$2:$LP$60=AG$4)*(GMWQ!$LR$2:$LR$60=AG$1),0),$B49-1966)</f>
        <v>-439.8141</v>
      </c>
      <c r="AI49" s="23" cm="1">
        <f t="array" ref="AI49">INDEX(GMWQ!$A$2:$LR$60,MATCH(1,(GMWQ!$LQ$2:$LQ$60=AI$3)*(GMWQ!$LP$2:$LP$60=AI$4)*(GMWQ!$LR$2:$LR$60=AI$1),0),$B49-1966)</f>
        <v>57119</v>
      </c>
      <c r="AJ49" s="23" cm="1">
        <f t="array" ref="AJ49">INDEX(GMWQ!$A$2:$LR$60,MATCH(1,(GMWQ!$LQ$2:$LQ$60=AJ$3)*(GMWQ!$LP$2:$LP$60=AJ$4)*(GMWQ!$LR$2:$LR$60=AJ$1),0),$B49-1966)</f>
        <v>39.55536</v>
      </c>
      <c r="AK49" s="23" cm="1">
        <f t="array" ref="AK49">INDEX(GMWQ!$A$2:$LR$60,MATCH(1,(GMWQ!$LQ$2:$LQ$60=AK$3)*(GMWQ!$LP$2:$LP$60=AK$4)*(GMWQ!$LR$2:$LR$60=AK$1),0),$B49-1966)</f>
        <v>36728</v>
      </c>
      <c r="AL49" s="23" cm="1">
        <f t="array" ref="AL49">INDEX(GMWQ!$A$2:$LR$60,MATCH(1,(GMWQ!$LQ$2:$LQ$60=AL$3)*(GMWQ!$LP$2:$LP$60=AL$4)*(GMWQ!$LR$2:$LR$60=AL$1),0),$B49-1966)</f>
        <v>1777.221</v>
      </c>
      <c r="AM49" s="23" cm="1">
        <f t="array" ref="AM49">INDEX(GMWQ!$A$2:$LR$60,MATCH(1,(GMWQ!$LQ$2:$LQ$60=AM$3)*(GMWQ!$LP$2:$LP$60=AM$4)*(GMWQ!$LR$2:$LR$60=AM$1),0),$B49-1966)</f>
        <v>20665.97</v>
      </c>
      <c r="AN49" s="23" cm="1">
        <f t="array" ref="AN49">INDEX(GMWQ!$A$2:$LR$60,MATCH(1,(GMWQ!$LQ$2:$LQ$60=AN$3)*(GMWQ!$LP$2:$LP$60=AN$4)*(GMWQ!$LR$2:$LR$60=AN$1),0),$B49-1966)</f>
        <v>8210.2440000000006</v>
      </c>
      <c r="AO49" s="23" cm="1">
        <f t="array" ref="AO49">INDEX(GMWQ!$A$2:$LR$60,MATCH(1,(GMWQ!$LQ$2:$LQ$60=AO$3)*(GMWQ!$LP$2:$LP$60=AO$4)*(GMWQ!$LR$2:$LR$60=AO$1),0),$B49-1966)</f>
        <v>2783.2280000000001</v>
      </c>
      <c r="AP49" s="23" cm="1">
        <f t="array" ref="AP49">INDEX(GMWQ!$A$2:$LR$60,MATCH(1,(GMWQ!$LQ$2:$LQ$60=AP$3)*(GMWQ!$LP$2:$LP$60=AP$4)*(GMWQ!$LR$2:$LR$60=AP$1),0),$B49-1966)</f>
        <v>-439.8141</v>
      </c>
      <c r="AQ49" s="23" cm="1">
        <f t="array" ref="AQ49">INDEX(GMWQ!$A$2:$LR$60,MATCH(1,(GMWQ!$LQ$2:$LQ$60=AQ$3)*(GMWQ!$LP$2:$LP$60=AQ$4)*(GMWQ!$LR$2:$LR$60=AQ$1),0),$B49-1966)</f>
        <v>9912.9380000000001</v>
      </c>
      <c r="AR49" s="23" cm="1">
        <f t="array" ref="AR49">INDEX(GMWQ!$A$2:$LR$60,MATCH(1,(GMWQ!$LQ$2:$LQ$60=AR$3)*(GMWQ!$LP$2:$LP$60=AR$4)*(GMWQ!$LR$2:$LR$60=AR$1),0),$B49-1966)</f>
        <v>53359</v>
      </c>
      <c r="AS49" s="23" cm="1">
        <f t="array" ref="AS49">INDEX(GMWQ!$A$2:$LR$60,MATCH(1,(GMWQ!$LQ$2:$LQ$60=AS$3)*(GMWQ!$LP$2:$LP$60=AS$4)*(GMWQ!$LR$2:$LR$60=AS$1),0),$B49-1966)</f>
        <v>914</v>
      </c>
      <c r="AT49" s="23" cm="1">
        <f t="array" ref="AT49">INDEX(GMWQ!$A$2:$LR$60,MATCH(1,(GMWQ!$LQ$2:$LQ$60=AT$3)*(GMWQ!$LP$2:$LP$60=AT$4)*(GMWQ!$LR$2:$LR$60=AT$1),0),$B49-1966)</f>
        <v>134897</v>
      </c>
      <c r="AU49" s="23" cm="1">
        <f t="array" ref="AU49">INDEX(GMWQ!$A$2:$LR$60,MATCH(1,(GMWQ!$LQ$2:$LQ$60=AU$3)*(GMWQ!$LP$2:$LP$60=AU$4)*(GMWQ!$LR$2:$LR$60=AU$1),0),$B49-1966)</f>
        <v>4349</v>
      </c>
    </row>
    <row r="50" spans="1:47" x14ac:dyDescent="0.35">
      <c r="B50" s="7">
        <f t="shared" si="2"/>
        <v>2016</v>
      </c>
      <c r="C50" s="7" cm="1">
        <f t="array" ref="C50">INDEX(GMWQ!$A$2:$LR$60,MATCH(1,(GMWQ!$LQ$2:$LQ$60=C$3)*(GMWQ!$LP$2:$LP$60=C$4)*(GMWQ!$LR$2:$LR$60=C$1),0),$B50-1966)</f>
        <v>255533</v>
      </c>
      <c r="D50" s="7" cm="1">
        <f t="array" ref="D50">INDEX(GMWQ!$A$2:$LR$60,MATCH(1,(GMWQ!$LQ$2:$LQ$60=D$3)*(GMWQ!$LP$2:$LP$60=D$4)*(GMWQ!$LR$2:$LR$60=D$1),0),$B50-1966)</f>
        <v>91.531840000000003</v>
      </c>
      <c r="E50" s="7" cm="1">
        <f t="array" ref="E50">INDEX(GMWQ!$A$2:$LR$60,MATCH(1,(GMWQ!$LQ$2:$LQ$60=E$3)*(GMWQ!$LP$2:$LP$60=E$4)*(GMWQ!$LR$2:$LR$60=E$1),0),$B50-1966)</f>
        <v>41.762639999999998</v>
      </c>
      <c r="F50" s="7" cm="1">
        <f t="array" ref="F50">INDEX(GMWQ!$A$2:$LR$60,MATCH(1,(GMWQ!$LQ$2:$LQ$60=F$3)*(GMWQ!$LP$2:$LP$60=F$4)*(GMWQ!$LR$2:$LR$60=F$1),0),$B50-1966)</f>
        <v>37382</v>
      </c>
      <c r="G50" s="7" cm="1">
        <f t="array" ref="G50">INDEX(GMWQ!$A$2:$LR$60,MATCH(1,(GMWQ!$LQ$2:$LQ$60=G$3)*(GMWQ!$LP$2:$LP$60=G$4)*(GMWQ!$LR$2:$LR$60=G$1),0),$B50-1966)</f>
        <v>8457.5110000000004</v>
      </c>
      <c r="H50" s="7" cm="1">
        <f t="array" ref="H50">INDEX(GMWQ!$A$2:$LR$60,MATCH(1,(GMWQ!$LQ$2:$LQ$60=H$3)*(GMWQ!$LP$2:$LP$60=H$4)*(GMWQ!$LR$2:$LR$60=H$1),0),$B50-1966)</f>
        <v>2817.0149999999999</v>
      </c>
      <c r="I50" s="7" cm="1">
        <f t="array" ref="I50">INDEX(GMWQ!$A$2:$LR$60,MATCH(1,(GMWQ!$LQ$2:$LQ$60=I$3)*(GMWQ!$LP$2:$LP$60=I$4)*(GMWQ!$LR$2:$LR$60=I$1),0),$B50-1966)</f>
        <v>40.167029999999997</v>
      </c>
      <c r="J50" s="7" cm="1">
        <f t="array" ref="J50">INDEX(GMWQ!$A$2:$LR$60,MATCH(1,(GMWQ!$LQ$2:$LQ$60=J$3)*(GMWQ!$LP$2:$LP$60=J$4)*(GMWQ!$LR$2:$LR$60=J$1),0),$B50-1966)</f>
        <v>20706.48</v>
      </c>
      <c r="K50" s="7" cm="1">
        <f t="array" ref="K50">INDEX(GMWQ!$A$2:$LR$60,MATCH(1,(GMWQ!$LQ$2:$LQ$60=K$3)*(GMWQ!$LP$2:$LP$60=K$4)*(GMWQ!$LR$2:$LR$60=K$1),0),$B50-1966)</f>
        <v>9.0625</v>
      </c>
      <c r="L50" s="7" cm="1">
        <f t="array" ref="L50">INDEX(GMWQ!$A$2:$LR$60,MATCH(1,(GMWQ!$LQ$2:$LQ$60=L$3)*(GMWQ!$LP$2:$LP$60=L$4)*(GMWQ!$LR$2:$LR$60=L$1),0),$B50-1966)</f>
        <v>11.7</v>
      </c>
      <c r="M50" s="7" cm="1">
        <f t="array" ref="M50">INDEX(GMWQ!$A$2:$LR$60,MATCH(1,(GMWQ!$LQ$2:$LQ$60=M$3)*(GMWQ!$LP$2:$LP$60=M$4)*(GMWQ!$LR$2:$LR$60=M$1),0),$B50-1966)</f>
        <v>13.548249999999999</v>
      </c>
      <c r="N50" s="7" cm="1">
        <f t="array" ref="N50">INDEX(GMWQ!$A$2:$LR$60,MATCH(1,(GMWQ!$LQ$2:$LQ$60=N$3)*(GMWQ!$LP$2:$LP$60=N$4)*(GMWQ!$LR$2:$LR$60=N$1),0),$B50-1966)</f>
        <v>1E-3</v>
      </c>
      <c r="O50" s="7" cm="1">
        <f t="array" ref="O50">INDEX(GMWQ!$A$2:$LR$60,MATCH(1,(GMWQ!$LQ$2:$LQ$60=O$3)*(GMWQ!$LP$2:$LP$60=O$4)*(GMWQ!$LR$2:$LR$60=O$1),0),$B50-1966)</f>
        <v>1E-3</v>
      </c>
      <c r="P50" s="7" cm="1">
        <f t="array" ref="P50">INDEX(GMWQ!$A$2:$LR$60,MATCH(1,(GMWQ!$LQ$2:$LQ$60=P$3)*(GMWQ!$LP$2:$LP$60=P$4)*(GMWQ!$LR$2:$LR$60=P$1),0),$B50-1966)</f>
        <v>58206</v>
      </c>
      <c r="Q50" s="7" cm="1">
        <f t="array" ref="Q50">INDEX(GMWQ!$A$2:$LR$60,MATCH(1,(GMWQ!$LQ$2:$LQ$60=Q$3)*(GMWQ!$LP$2:$LP$60=Q$4)*(GMWQ!$LR$2:$LR$60=Q$1),0),$B50-1966)</f>
        <v>11.254099999999999</v>
      </c>
      <c r="R50" s="7" cm="1">
        <f t="array" ref="R50">INDEX(GMWQ!$A$2:$LR$60,MATCH(1,(GMWQ!$LQ$2:$LQ$60=R$3)*(GMWQ!$LP$2:$LP$60=R$4)*(GMWQ!$LR$2:$LR$60=R$1),0),$B50-1966)</f>
        <v>1E-3</v>
      </c>
      <c r="S50" s="7" cm="1">
        <f t="array" ref="S50">INDEX(GMWQ!$A$2:$LR$60,MATCH(1,(GMWQ!$LQ$2:$LQ$60=S$3)*(GMWQ!$LP$2:$LP$60=S$4)*(GMWQ!$LR$2:$LR$60=S$1),0),$B50-1966)</f>
        <v>409</v>
      </c>
      <c r="T50" s="7" cm="1">
        <f t="array" ref="T50">INDEX(GMWQ!$A$2:$LR$60,MATCH(1,(GMWQ!$LQ$2:$LQ$60=T$3)*(GMWQ!$LP$2:$LP$60=T$4)*(GMWQ!$LR$2:$LR$60=T$1),0),$B50-1966)</f>
        <v>1E-3</v>
      </c>
      <c r="U50" s="7" cm="1">
        <f t="array" ref="U50">INDEX(GMWQ!$A$2:$LR$60,MATCH(1,(GMWQ!$LQ$2:$LQ$60=U$3)*(GMWQ!$LP$2:$LP$60=U$4)*(GMWQ!$LR$2:$LR$60=U$1),0),$B50-1966)</f>
        <v>3181.7719999999999</v>
      </c>
      <c r="V50" s="7" cm="1">
        <f t="array" ref="V50">INDEX(GMWQ!$A$2:$LR$60,MATCH(1,(GMWQ!$LQ$2:$LQ$60=V$3)*(GMWQ!$LP$2:$LP$60=V$4)*(GMWQ!$LR$2:$LR$60=V$1),0),$B50-1966)</f>
        <v>1E-3</v>
      </c>
      <c r="W50" s="7" cm="1">
        <f t="array" ref="W50">INDEX(GMWQ!$A$2:$LR$60,MATCH(1,(GMWQ!$LQ$2:$LQ$60=W$3)*(GMWQ!$LP$2:$LP$60=W$4)*(GMWQ!$LR$2:$LR$60=W$1),0),$B50-1966)</f>
        <v>5.0324949999999999</v>
      </c>
      <c r="X50" s="7" cm="1">
        <f t="array" ref="X50">INDEX(GMWQ!$A$2:$LR$60,MATCH(1,(GMWQ!$LQ$2:$LQ$60=X$3)*(GMWQ!$LP$2:$LP$60=X$4)*(GMWQ!$LR$2:$LR$60=X$1),0),$B50-1966)</f>
        <v>984445.8</v>
      </c>
      <c r="Y50" s="7" cm="1">
        <f t="array" ref="Y50">INDEX(GMWQ!$A$2:$LR$60,MATCH(1,(GMWQ!$LQ$2:$LQ$60=Y$3)*(GMWQ!$LP$2:$LP$60=Y$4)*(GMWQ!$LR$2:$LR$60=Y$1),0),$B50-1966)</f>
        <v>35.49248</v>
      </c>
      <c r="Z50" s="7" cm="1">
        <f t="array" ref="Z50">INDEX(GMWQ!$A$2:$LR$60,MATCH(1,(GMWQ!$LQ$2:$LQ$60=Z$3)*(GMWQ!$LP$2:$LP$60=Z$4)*(GMWQ!$LR$2:$LR$60=Z$1),0),$B50-1966)</f>
        <v>256574.8</v>
      </c>
      <c r="AA50" s="7" cm="1">
        <f t="array" ref="AA50">INDEX(GMWQ!$A$2:$LR$60,MATCH(1,(GMWQ!$LQ$2:$LQ$60=AA$3)*(GMWQ!$LP$2:$LP$60=AA$4)*(GMWQ!$LR$2:$LR$60=AA$1),0),$B50-1966)</f>
        <v>37257</v>
      </c>
      <c r="AB50" s="7" cm="1">
        <f t="array" ref="AB50">INDEX(GMWQ!$A$2:$LR$60,MATCH(1,(GMWQ!$LQ$2:$LQ$60=AB$3)*(GMWQ!$LP$2:$LP$60=AB$4)*(GMWQ!$LR$2:$LR$60=AB$1),0),$B50-1966)</f>
        <v>32618</v>
      </c>
      <c r="AC50" s="7" cm="1">
        <f t="array" ref="AC50">INDEX(GMWQ!$A$2:$LR$60,MATCH(1,(GMWQ!$LQ$2:$LQ$60=AC$3)*(GMWQ!$LP$2:$LP$60=AC$4)*(GMWQ!$LR$2:$LR$60=AC$1),0),$B50-1966)</f>
        <v>1913</v>
      </c>
      <c r="AD50" s="7" cm="1">
        <f t="array" ref="AD50">INDEX(GMWQ!$A$2:$LR$60,MATCH(1,(GMWQ!$LQ$2:$LQ$60=AD$3)*(GMWQ!$LP$2:$LP$60=AD$4)*(GMWQ!$LR$2:$LR$60=AD$1),0),$B50-1966)</f>
        <v>3619</v>
      </c>
      <c r="AE50" s="7" cm="1">
        <f t="array" ref="AE50">INDEX(GMWQ!$A$2:$LR$60,MATCH(1,(GMWQ!$LQ$2:$LQ$60=AE$3)*(GMWQ!$LP$2:$LP$60=AE$4)*(GMWQ!$LR$2:$LR$60=AE$1),0),$B50-1966)</f>
        <v>90695</v>
      </c>
      <c r="AF50" s="20" cm="1">
        <f t="array" ref="AF50">INDEX(GMWQ!$A$2:$LR$60,MATCH(1,(GMWQ!$LQ$2:$LQ$60=AF$3)*(GMWQ!$LP$2:$LP$60=AF$4)*(GMWQ!$LR$2:$LR$60=AF$1),0),$B50-1966)</f>
        <v>9.0625</v>
      </c>
      <c r="AG50" s="20" cm="1">
        <f t="array" ref="AG50">INDEX(GMWQ!$A$2:$LR$60,MATCH(1,(GMWQ!$LQ$2:$LQ$60=AG$3)*(GMWQ!$LP$2:$LP$60=AG$4)*(GMWQ!$LR$2:$LR$60=AG$1),0),$B50-1966)</f>
        <v>-530.97670000000005</v>
      </c>
      <c r="AI50" s="23" cm="1">
        <f t="array" ref="AI50">INDEX(GMWQ!$A$2:$LR$60,MATCH(1,(GMWQ!$LQ$2:$LQ$60=AI$3)*(GMWQ!$LP$2:$LP$60=AI$4)*(GMWQ!$LR$2:$LR$60=AI$1),0),$B50-1966)</f>
        <v>58206</v>
      </c>
      <c r="AJ50" s="23" cm="1">
        <f t="array" ref="AJ50">INDEX(GMWQ!$A$2:$LR$60,MATCH(1,(GMWQ!$LQ$2:$LQ$60=AJ$3)*(GMWQ!$LP$2:$LP$60=AJ$4)*(GMWQ!$LR$2:$LR$60=AJ$1),0),$B50-1966)</f>
        <v>40.167029999999997</v>
      </c>
      <c r="AK50" s="23" cm="1">
        <f t="array" ref="AK50">INDEX(GMWQ!$A$2:$LR$60,MATCH(1,(GMWQ!$LQ$2:$LQ$60=AK$3)*(GMWQ!$LP$2:$LP$60=AK$4)*(GMWQ!$LR$2:$LR$60=AK$1),0),$B50-1966)</f>
        <v>37382</v>
      </c>
      <c r="AL50" s="23" cm="1">
        <f t="array" ref="AL50">INDEX(GMWQ!$A$2:$LR$60,MATCH(1,(GMWQ!$LQ$2:$LQ$60=AL$3)*(GMWQ!$LP$2:$LP$60=AL$4)*(GMWQ!$LR$2:$LR$60=AL$1),0),$B50-1966)</f>
        <v>1805.329</v>
      </c>
      <c r="AM50" s="23" cm="1">
        <f t="array" ref="AM50">INDEX(GMWQ!$A$2:$LR$60,MATCH(1,(GMWQ!$LQ$2:$LQ$60=AM$3)*(GMWQ!$LP$2:$LP$60=AM$4)*(GMWQ!$LR$2:$LR$60=AM$1),0),$B50-1966)</f>
        <v>20706.48</v>
      </c>
      <c r="AN50" s="23" cm="1">
        <f t="array" ref="AN50">INDEX(GMWQ!$A$2:$LR$60,MATCH(1,(GMWQ!$LQ$2:$LQ$60=AN$3)*(GMWQ!$LP$2:$LP$60=AN$4)*(GMWQ!$LR$2:$LR$60=AN$1),0),$B50-1966)</f>
        <v>8457.5110000000004</v>
      </c>
      <c r="AO50" s="23" cm="1">
        <f t="array" ref="AO50">INDEX(GMWQ!$A$2:$LR$60,MATCH(1,(GMWQ!$LQ$2:$LQ$60=AO$3)*(GMWQ!$LP$2:$LP$60=AO$4)*(GMWQ!$LR$2:$LR$60=AO$1),0),$B50-1966)</f>
        <v>2817.0149999999999</v>
      </c>
      <c r="AP50" s="23" cm="1">
        <f t="array" ref="AP50">INDEX(GMWQ!$A$2:$LR$60,MATCH(1,(GMWQ!$LQ$2:$LQ$60=AP$3)*(GMWQ!$LP$2:$LP$60=AP$4)*(GMWQ!$LR$2:$LR$60=AP$1),0),$B50-1966)</f>
        <v>-530.97670000000005</v>
      </c>
      <c r="AQ50" s="23" cm="1">
        <f t="array" ref="AQ50">INDEX(GMWQ!$A$2:$LR$60,MATCH(1,(GMWQ!$LQ$2:$LQ$60=AQ$3)*(GMWQ!$LP$2:$LP$60=AQ$4)*(GMWQ!$LR$2:$LR$60=AQ$1),0),$B50-1966)</f>
        <v>10069.780000000001</v>
      </c>
      <c r="AR50" s="23" cm="1">
        <f t="array" ref="AR50">INDEX(GMWQ!$A$2:$LR$60,MATCH(1,(GMWQ!$LQ$2:$LQ$60=AR$3)*(GMWQ!$LP$2:$LP$60=AR$4)*(GMWQ!$LR$2:$LR$60=AR$1),0),$B50-1966)</f>
        <v>54205</v>
      </c>
      <c r="AS50" s="23" cm="1">
        <f t="array" ref="AS50">INDEX(GMWQ!$A$2:$LR$60,MATCH(1,(GMWQ!$LQ$2:$LQ$60=AS$3)*(GMWQ!$LP$2:$LP$60=AS$4)*(GMWQ!$LR$2:$LR$60=AS$1),0),$B50-1966)</f>
        <v>883</v>
      </c>
      <c r="AT50" s="23" cm="1">
        <f t="array" ref="AT50">INDEX(GMWQ!$A$2:$LR$60,MATCH(1,(GMWQ!$LQ$2:$LQ$60=AT$3)*(GMWQ!$LP$2:$LP$60=AT$4)*(GMWQ!$LR$2:$LR$60=AT$1),0),$B50-1966)</f>
        <v>134949</v>
      </c>
      <c r="AU50" s="23" cm="1">
        <f t="array" ref="AU50">INDEX(GMWQ!$A$2:$LR$60,MATCH(1,(GMWQ!$LQ$2:$LQ$60=AU$3)*(GMWQ!$LP$2:$LP$60=AU$4)*(GMWQ!$LR$2:$LR$60=AU$1),0),$B50-1966)</f>
        <v>4296</v>
      </c>
    </row>
    <row r="51" spans="1:47" x14ac:dyDescent="0.35">
      <c r="A51" s="7">
        <v>1984</v>
      </c>
      <c r="B51" s="7">
        <f t="shared" si="2"/>
        <v>2017</v>
      </c>
      <c r="C51" s="7" cm="1">
        <f t="array" ref="C51">INDEX(GMWQ!$A$2:$LR$60,MATCH(1,(GMWQ!$LQ$2:$LQ$60=C$3)*(GMWQ!$LP$2:$LP$60=C$4)*(GMWQ!$LR$2:$LR$60=C$1),0),$B51-1966)</f>
        <v>257683</v>
      </c>
      <c r="D51" s="7" cm="1">
        <f t="array" ref="D51">INDEX(GMWQ!$A$2:$LR$60,MATCH(1,(GMWQ!$LQ$2:$LQ$60=D$3)*(GMWQ!$LP$2:$LP$60=D$4)*(GMWQ!$LR$2:$LR$60=D$1),0),$B51-1966)</f>
        <v>92.079539999999994</v>
      </c>
      <c r="E51" s="7" cm="1">
        <f t="array" ref="E51">INDEX(GMWQ!$A$2:$LR$60,MATCH(1,(GMWQ!$LQ$2:$LQ$60=E$3)*(GMWQ!$LP$2:$LP$60=E$4)*(GMWQ!$LR$2:$LR$60=E$1),0),$B51-1966)</f>
        <v>41.86692</v>
      </c>
      <c r="F51" s="7" cm="1">
        <f t="array" ref="F51">INDEX(GMWQ!$A$2:$LR$60,MATCH(1,(GMWQ!$LQ$2:$LQ$60=F$3)*(GMWQ!$LP$2:$LP$60=F$4)*(GMWQ!$LR$2:$LR$60=F$1),0),$B51-1966)</f>
        <v>38028</v>
      </c>
      <c r="G51" s="7" cm="1">
        <f t="array" ref="G51">INDEX(GMWQ!$A$2:$LR$60,MATCH(1,(GMWQ!$LQ$2:$LQ$60=G$3)*(GMWQ!$LP$2:$LP$60=G$4)*(GMWQ!$LR$2:$LR$60=G$1),0),$B51-1966)</f>
        <v>8213.2109999999993</v>
      </c>
      <c r="H51" s="7" cm="1">
        <f t="array" ref="H51">INDEX(GMWQ!$A$2:$LR$60,MATCH(1,(GMWQ!$LQ$2:$LQ$60=H$3)*(GMWQ!$LP$2:$LP$60=H$4)*(GMWQ!$LR$2:$LR$60=H$1),0),$B51-1966)</f>
        <v>2870.8629999999998</v>
      </c>
      <c r="I51" s="7" cm="1">
        <f t="array" ref="I51">INDEX(GMWQ!$A$2:$LR$60,MATCH(1,(GMWQ!$LQ$2:$LQ$60=I$3)*(GMWQ!$LP$2:$LP$60=I$4)*(GMWQ!$LR$2:$LR$60=I$1),0),$B51-1966)</f>
        <v>40.681139999999999</v>
      </c>
      <c r="J51" s="7" cm="1">
        <f t="array" ref="J51">INDEX(GMWQ!$A$2:$LR$60,MATCH(1,(GMWQ!$LQ$2:$LQ$60=J$3)*(GMWQ!$LP$2:$LP$60=J$4)*(GMWQ!$LR$2:$LR$60=J$1),0),$B51-1966)</f>
        <v>20746.080000000002</v>
      </c>
      <c r="K51" s="7" cm="1">
        <f t="array" ref="K51">INDEX(GMWQ!$A$2:$LR$60,MATCH(1,(GMWQ!$LQ$2:$LQ$60=K$3)*(GMWQ!$LP$2:$LP$60=K$4)*(GMWQ!$LR$2:$LR$60=K$1),0),$B51-1966)</f>
        <v>8.5625</v>
      </c>
      <c r="L51" s="7" cm="1">
        <f t="array" ref="L51">INDEX(GMWQ!$A$2:$LR$60,MATCH(1,(GMWQ!$LQ$2:$LQ$60=L$3)*(GMWQ!$LP$2:$LP$60=L$4)*(GMWQ!$LR$2:$LR$60=L$1),0),$B51-1966)</f>
        <v>11.8</v>
      </c>
      <c r="M51" s="7" cm="1">
        <f t="array" ref="M51">INDEX(GMWQ!$A$2:$LR$60,MATCH(1,(GMWQ!$LQ$2:$LQ$60=M$3)*(GMWQ!$LP$2:$LP$60=M$4)*(GMWQ!$LR$2:$LR$60=M$1),0),$B51-1966)</f>
        <v>13.53342</v>
      </c>
      <c r="N51" s="7" cm="1">
        <f t="array" ref="N51">INDEX(GMWQ!$A$2:$LR$60,MATCH(1,(GMWQ!$LQ$2:$LQ$60=N$3)*(GMWQ!$LP$2:$LP$60=N$4)*(GMWQ!$LR$2:$LR$60=N$1),0),$B51-1966)</f>
        <v>1E-3</v>
      </c>
      <c r="O51" s="7" cm="1">
        <f t="array" ref="O51">INDEX(GMWQ!$A$2:$LR$60,MATCH(1,(GMWQ!$LQ$2:$LQ$60=O$3)*(GMWQ!$LP$2:$LP$60=O$4)*(GMWQ!$LR$2:$LR$60=O$1),0),$B51-1966)</f>
        <v>1E-3</v>
      </c>
      <c r="P51" s="7" cm="1">
        <f t="array" ref="P51">INDEX(GMWQ!$A$2:$LR$60,MATCH(1,(GMWQ!$LQ$2:$LQ$60=P$3)*(GMWQ!$LP$2:$LP$60=P$4)*(GMWQ!$LR$2:$LR$60=P$1),0),$B51-1966)</f>
        <v>59961</v>
      </c>
      <c r="Q51" s="7" cm="1">
        <f t="array" ref="Q51">INDEX(GMWQ!$A$2:$LR$60,MATCH(1,(GMWQ!$LQ$2:$LQ$60=Q$3)*(GMWQ!$LP$2:$LP$60=Q$4)*(GMWQ!$LR$2:$LR$60=Q$1),0),$B51-1966)</f>
        <v>11.47</v>
      </c>
      <c r="R51" s="7" cm="1">
        <f t="array" ref="R51">INDEX(GMWQ!$A$2:$LR$60,MATCH(1,(GMWQ!$LQ$2:$LQ$60=R$3)*(GMWQ!$LP$2:$LP$60=R$4)*(GMWQ!$LR$2:$LR$60=R$1),0),$B51-1966)</f>
        <v>1E-3</v>
      </c>
      <c r="S51" s="7" cm="1">
        <f t="array" ref="S51">INDEX(GMWQ!$A$2:$LR$60,MATCH(1,(GMWQ!$LQ$2:$LQ$60=S$3)*(GMWQ!$LP$2:$LP$60=S$4)*(GMWQ!$LR$2:$LR$60=S$1),0),$B51-1966)</f>
        <v>454</v>
      </c>
      <c r="T51" s="7" cm="1">
        <f t="array" ref="T51">INDEX(GMWQ!$A$2:$LR$60,MATCH(1,(GMWQ!$LQ$2:$LQ$60=T$3)*(GMWQ!$LP$2:$LP$60=T$4)*(GMWQ!$LR$2:$LR$60=T$1),0),$B51-1966)</f>
        <v>1E-3</v>
      </c>
      <c r="U51" s="7" cm="1">
        <f t="array" ref="U51">INDEX(GMWQ!$A$2:$LR$60,MATCH(1,(GMWQ!$LQ$2:$LQ$60=U$3)*(GMWQ!$LP$2:$LP$60=U$4)*(GMWQ!$LR$2:$LR$60=U$1),0),$B51-1966)</f>
        <v>2782.5149999999999</v>
      </c>
      <c r="V51" s="7" cm="1">
        <f t="array" ref="V51">INDEX(GMWQ!$A$2:$LR$60,MATCH(1,(GMWQ!$LQ$2:$LQ$60=V$3)*(GMWQ!$LP$2:$LP$60=V$4)*(GMWQ!$LR$2:$LR$60=V$1),0),$B51-1966)</f>
        <v>1E-3</v>
      </c>
      <c r="W51" s="7" cm="1">
        <f t="array" ref="W51">INDEX(GMWQ!$A$2:$LR$60,MATCH(1,(GMWQ!$LQ$2:$LQ$60=W$3)*(GMWQ!$LP$2:$LP$60=W$4)*(GMWQ!$LR$2:$LR$60=W$1),0),$B51-1966)</f>
        <v>5.3480449999999999</v>
      </c>
      <c r="X51" s="7" cm="1">
        <f t="array" ref="X51">INDEX(GMWQ!$A$2:$LR$60,MATCH(1,(GMWQ!$LQ$2:$LQ$60=X$3)*(GMWQ!$LP$2:$LP$60=X$4)*(GMWQ!$LR$2:$LR$60=X$1),0),$B51-1966)</f>
        <v>968681.6</v>
      </c>
      <c r="Y51" s="7" cm="1">
        <f t="array" ref="Y51">INDEX(GMWQ!$A$2:$LR$60,MATCH(1,(GMWQ!$LQ$2:$LQ$60=Y$3)*(GMWQ!$LP$2:$LP$60=Y$4)*(GMWQ!$LR$2:$LR$60=Y$1),0),$B51-1966)</f>
        <v>35.572000000000003</v>
      </c>
      <c r="Z51" s="7" cm="1">
        <f t="array" ref="Z51">INDEX(GMWQ!$A$2:$LR$60,MATCH(1,(GMWQ!$LQ$2:$LQ$60=Z$3)*(GMWQ!$LP$2:$LP$60=Z$4)*(GMWQ!$LR$2:$LR$60=Z$1),0),$B51-1966)</f>
        <v>258931.4</v>
      </c>
      <c r="AA51" s="7" cm="1">
        <f t="array" ref="AA51">INDEX(GMWQ!$A$2:$LR$60,MATCH(1,(GMWQ!$LQ$2:$LQ$60=AA$3)*(GMWQ!$LP$2:$LP$60=AA$4)*(GMWQ!$LR$2:$LR$60=AA$1),0),$B51-1966)</f>
        <v>38533</v>
      </c>
      <c r="AB51" s="7" cm="1">
        <f t="array" ref="AB51">INDEX(GMWQ!$A$2:$LR$60,MATCH(1,(GMWQ!$LQ$2:$LQ$60=AB$3)*(GMWQ!$LP$2:$LP$60=AB$4)*(GMWQ!$LR$2:$LR$60=AB$1),0),$B51-1966)</f>
        <v>34820</v>
      </c>
      <c r="AC51" s="7" cm="1">
        <f t="array" ref="AC51">INDEX(GMWQ!$A$2:$LR$60,MATCH(1,(GMWQ!$LQ$2:$LQ$60=AC$3)*(GMWQ!$LP$2:$LP$60=AC$4)*(GMWQ!$LR$2:$LR$60=AC$1),0),$B51-1966)</f>
        <v>2816</v>
      </c>
      <c r="AD51" s="7" cm="1">
        <f t="array" ref="AD51">INDEX(GMWQ!$A$2:$LR$60,MATCH(1,(GMWQ!$LQ$2:$LQ$60=AD$3)*(GMWQ!$LP$2:$LP$60=AD$4)*(GMWQ!$LR$2:$LR$60=AD$1),0),$B51-1966)</f>
        <v>3644</v>
      </c>
      <c r="AE51" s="7" cm="1">
        <f t="array" ref="AE51">INDEX(GMWQ!$A$2:$LR$60,MATCH(1,(GMWQ!$LQ$2:$LQ$60=AE$3)*(GMWQ!$LP$2:$LP$60=AE$4)*(GMWQ!$LR$2:$LR$60=AE$1),0),$B51-1966)</f>
        <v>91663</v>
      </c>
      <c r="AF51" s="20" cm="1">
        <f t="array" ref="AF51">INDEX(GMWQ!$A$2:$LR$60,MATCH(1,(GMWQ!$LQ$2:$LQ$60=AF$3)*(GMWQ!$LP$2:$LP$60=AF$4)*(GMWQ!$LR$2:$LR$60=AF$1),0),$B51-1966)</f>
        <v>8.9432690000000008</v>
      </c>
      <c r="AG51" s="20" cm="1">
        <f t="array" ref="AG51">INDEX(GMWQ!$A$2:$LR$60,MATCH(1,(GMWQ!$LQ$2:$LQ$60=AG$3)*(GMWQ!$LP$2:$LP$60=AG$4)*(GMWQ!$LR$2:$LR$60=AG$1),0),$B51-1966)</f>
        <v>-452.8372</v>
      </c>
      <c r="AI51" s="23" cm="1">
        <f t="array" ref="AI51">INDEX(GMWQ!$A$2:$LR$60,MATCH(1,(GMWQ!$LQ$2:$LQ$60=AI$3)*(GMWQ!$LP$2:$LP$60=AI$4)*(GMWQ!$LR$2:$LR$60=AI$1),0),$B51-1966)</f>
        <v>59961</v>
      </c>
      <c r="AJ51" s="23" cm="1">
        <f t="array" ref="AJ51">INDEX(GMWQ!$A$2:$LR$60,MATCH(1,(GMWQ!$LQ$2:$LQ$60=AJ$3)*(GMWQ!$LP$2:$LP$60=AJ$4)*(GMWQ!$LR$2:$LR$60=AJ$1),0),$B51-1966)</f>
        <v>40.681139999999999</v>
      </c>
      <c r="AK51" s="23" cm="1">
        <f t="array" ref="AK51">INDEX(GMWQ!$A$2:$LR$60,MATCH(1,(GMWQ!$LQ$2:$LQ$60=AK$3)*(GMWQ!$LP$2:$LP$60=AK$4)*(GMWQ!$LR$2:$LR$60=AK$1),0),$B51-1966)</f>
        <v>38028</v>
      </c>
      <c r="AL51" s="23" cm="1">
        <f t="array" ref="AL51">INDEX(GMWQ!$A$2:$LR$60,MATCH(1,(GMWQ!$LQ$2:$LQ$60=AL$3)*(GMWQ!$LP$2:$LP$60=AL$4)*(GMWQ!$LR$2:$LR$60=AL$1),0),$B51-1966)</f>
        <v>1833.021</v>
      </c>
      <c r="AM51" s="23" cm="1">
        <f t="array" ref="AM51">INDEX(GMWQ!$A$2:$LR$60,MATCH(1,(GMWQ!$LQ$2:$LQ$60=AM$3)*(GMWQ!$LP$2:$LP$60=AM$4)*(GMWQ!$LR$2:$LR$60=AM$1),0),$B51-1966)</f>
        <v>20746.080000000002</v>
      </c>
      <c r="AN51" s="23" cm="1">
        <f t="array" ref="AN51">INDEX(GMWQ!$A$2:$LR$60,MATCH(1,(GMWQ!$LQ$2:$LQ$60=AN$3)*(GMWQ!$LP$2:$LP$60=AN$4)*(GMWQ!$LR$2:$LR$60=AN$1),0),$B51-1966)</f>
        <v>8213.2109999999993</v>
      </c>
      <c r="AO51" s="23" cm="1">
        <f t="array" ref="AO51">INDEX(GMWQ!$A$2:$LR$60,MATCH(1,(GMWQ!$LQ$2:$LQ$60=AO$3)*(GMWQ!$LP$2:$LP$60=AO$4)*(GMWQ!$LR$2:$LR$60=AO$1),0),$B51-1966)</f>
        <v>2870.8629999999998</v>
      </c>
      <c r="AP51" s="23" cm="1">
        <f t="array" ref="AP51">INDEX(GMWQ!$A$2:$LR$60,MATCH(1,(GMWQ!$LQ$2:$LQ$60=AP$3)*(GMWQ!$LP$2:$LP$60=AP$4)*(GMWQ!$LR$2:$LR$60=AP$1),0),$B51-1966)</f>
        <v>-452.8372</v>
      </c>
      <c r="AQ51" s="23" cm="1">
        <f t="array" ref="AQ51">INDEX(GMWQ!$A$2:$LR$60,MATCH(1,(GMWQ!$LQ$2:$LQ$60=AQ$3)*(GMWQ!$LP$2:$LP$60=AQ$4)*(GMWQ!$LR$2:$LR$60=AQ$1),0),$B51-1966)</f>
        <v>10204.49</v>
      </c>
      <c r="AR51" s="23" cm="1">
        <f t="array" ref="AR51">INDEX(GMWQ!$A$2:$LR$60,MATCH(1,(GMWQ!$LQ$2:$LQ$60=AR$3)*(GMWQ!$LP$2:$LP$60=AR$4)*(GMWQ!$LR$2:$LR$60=AR$1),0),$B51-1966)</f>
        <v>55234</v>
      </c>
      <c r="AS51" s="23" cm="1">
        <f t="array" ref="AS51">INDEX(GMWQ!$A$2:$LR$60,MATCH(1,(GMWQ!$LQ$2:$LQ$60=AS$3)*(GMWQ!$LP$2:$LP$60=AS$4)*(GMWQ!$LR$2:$LR$60=AS$1),0),$B51-1966)</f>
        <v>926</v>
      </c>
      <c r="AT51" s="23" cm="1">
        <f t="array" ref="AT51">INDEX(GMWQ!$A$2:$LR$60,MATCH(1,(GMWQ!$LQ$2:$LQ$60=AT$3)*(GMWQ!$LP$2:$LP$60=AT$4)*(GMWQ!$LR$2:$LR$60=AT$1),0),$B51-1966)</f>
        <v>135773</v>
      </c>
      <c r="AU51" s="23" cm="1">
        <f t="array" ref="AU51">INDEX(GMWQ!$A$2:$LR$60,MATCH(1,(GMWQ!$LQ$2:$LQ$60=AU$3)*(GMWQ!$LP$2:$LP$60=AU$4)*(GMWQ!$LR$2:$LR$60=AU$1),0),$B51-1966)</f>
        <v>4535</v>
      </c>
    </row>
    <row r="52" spans="1:47" x14ac:dyDescent="0.35">
      <c r="B52" s="7">
        <f t="shared" si="2"/>
        <v>2018</v>
      </c>
      <c r="C52" s="7" cm="1">
        <f t="array" ref="C52">INDEX(GMWQ!$A$2:$LR$60,MATCH(1,(GMWQ!$LQ$2:$LQ$60=C$3)*(GMWQ!$LP$2:$LP$60=C$4)*(GMWQ!$LR$2:$LR$60=C$1),0),$B52-1966)</f>
        <v>255100</v>
      </c>
      <c r="D52" s="7" cm="1">
        <f t="array" ref="D52">INDEX(GMWQ!$A$2:$LR$60,MATCH(1,(GMWQ!$LQ$2:$LQ$60=D$3)*(GMWQ!$LP$2:$LP$60=D$4)*(GMWQ!$LR$2:$LR$60=D$1),0),$B52-1966)</f>
        <v>94.127579999999995</v>
      </c>
      <c r="E52" s="7" cm="1">
        <f t="array" ref="E52">INDEX(GMWQ!$A$2:$LR$60,MATCH(1,(GMWQ!$LQ$2:$LQ$60=E$3)*(GMWQ!$LP$2:$LP$60=E$4)*(GMWQ!$LR$2:$LR$60=E$1),0),$B52-1966)</f>
        <v>42.779339999999998</v>
      </c>
      <c r="F52" s="7" cm="1">
        <f t="array" ref="F52">INDEX(GMWQ!$A$2:$LR$60,MATCH(1,(GMWQ!$LQ$2:$LQ$60=F$3)*(GMWQ!$LP$2:$LP$60=F$4)*(GMWQ!$LR$2:$LR$60=F$1),0),$B52-1966)</f>
        <v>38664</v>
      </c>
      <c r="G52" s="7" cm="1">
        <f t="array" ref="G52">INDEX(GMWQ!$A$2:$LR$60,MATCH(1,(GMWQ!$LQ$2:$LQ$60=G$3)*(GMWQ!$LP$2:$LP$60=G$4)*(GMWQ!$LR$2:$LR$60=G$1),0),$B52-1966)</f>
        <v>8823.4650000000001</v>
      </c>
      <c r="H52" s="7" cm="1">
        <f t="array" ref="H52">INDEX(GMWQ!$A$2:$LR$60,MATCH(1,(GMWQ!$LQ$2:$LQ$60=H$3)*(GMWQ!$LP$2:$LP$60=H$4)*(GMWQ!$LR$2:$LR$60=H$1),0),$B52-1966)</f>
        <v>2838.1320000000001</v>
      </c>
      <c r="I52" s="7" cm="1">
        <f t="array" ref="I52">INDEX(GMWQ!$A$2:$LR$60,MATCH(1,(GMWQ!$LQ$2:$LQ$60=I$3)*(GMWQ!$LP$2:$LP$60=I$4)*(GMWQ!$LR$2:$LR$60=I$1),0),$B52-1966)</f>
        <v>41.299869999999999</v>
      </c>
      <c r="J52" s="7" cm="1">
        <f t="array" ref="J52">INDEX(GMWQ!$A$2:$LR$60,MATCH(1,(GMWQ!$LQ$2:$LQ$60=J$3)*(GMWQ!$LP$2:$LP$60=J$4)*(GMWQ!$LR$2:$LR$60=J$1),0),$B52-1966)</f>
        <v>20787.490000000002</v>
      </c>
      <c r="K52" s="7" cm="1">
        <f t="array" ref="K52">INDEX(GMWQ!$A$2:$LR$60,MATCH(1,(GMWQ!$LQ$2:$LQ$60=K$3)*(GMWQ!$LP$2:$LP$60=K$4)*(GMWQ!$LR$2:$LR$60=K$1),0),$B52-1966)</f>
        <v>8.875</v>
      </c>
      <c r="L52" s="7" cm="1">
        <f t="array" ref="L52">INDEX(GMWQ!$A$2:$LR$60,MATCH(1,(GMWQ!$LQ$2:$LQ$60=L$3)*(GMWQ!$LP$2:$LP$60=L$4)*(GMWQ!$LR$2:$LR$60=L$1),0),$B52-1966)</f>
        <v>11.9</v>
      </c>
      <c r="M52" s="7" cm="1">
        <f t="array" ref="M52">INDEX(GMWQ!$A$2:$LR$60,MATCH(1,(GMWQ!$LQ$2:$LQ$60=M$3)*(GMWQ!$LP$2:$LP$60=M$4)*(GMWQ!$LR$2:$LR$60=M$1),0),$B52-1966)</f>
        <v>13.900460000000001</v>
      </c>
      <c r="N52" s="7" cm="1">
        <f t="array" ref="N52">INDEX(GMWQ!$A$2:$LR$60,MATCH(1,(GMWQ!$LQ$2:$LQ$60=N$3)*(GMWQ!$LP$2:$LP$60=N$4)*(GMWQ!$LR$2:$LR$60=N$1),0),$B52-1966)</f>
        <v>1E-3</v>
      </c>
      <c r="O52" s="7" cm="1">
        <f t="array" ref="O52">INDEX(GMWQ!$A$2:$LR$60,MATCH(1,(GMWQ!$LQ$2:$LQ$60=O$3)*(GMWQ!$LP$2:$LP$60=O$4)*(GMWQ!$LR$2:$LR$60=O$1),0),$B52-1966)</f>
        <v>1E-3</v>
      </c>
      <c r="P52" s="7" cm="1">
        <f t="array" ref="P52">INDEX(GMWQ!$A$2:$LR$60,MATCH(1,(GMWQ!$LQ$2:$LQ$60=P$3)*(GMWQ!$LP$2:$LP$60=P$4)*(GMWQ!$LR$2:$LR$60=P$1),0),$B52-1966)</f>
        <v>60260</v>
      </c>
      <c r="Q52" s="7" cm="1">
        <f t="array" ref="Q52">INDEX(GMWQ!$A$2:$LR$60,MATCH(1,(GMWQ!$LQ$2:$LQ$60=Q$3)*(GMWQ!$LP$2:$LP$60=Q$4)*(GMWQ!$LR$2:$LR$60=Q$1),0),$B52-1966)</f>
        <v>10.51</v>
      </c>
      <c r="R52" s="7" cm="1">
        <f t="array" ref="R52">INDEX(GMWQ!$A$2:$LR$60,MATCH(1,(GMWQ!$LQ$2:$LQ$60=R$3)*(GMWQ!$LP$2:$LP$60=R$4)*(GMWQ!$LR$2:$LR$60=R$1),0),$B52-1966)</f>
        <v>1E-3</v>
      </c>
      <c r="S52" s="7" cm="1">
        <f t="array" ref="S52">INDEX(GMWQ!$A$2:$LR$60,MATCH(1,(GMWQ!$LQ$2:$LQ$60=S$3)*(GMWQ!$LP$2:$LP$60=S$4)*(GMWQ!$LR$2:$LR$60=S$1),0),$B52-1966)</f>
        <v>439</v>
      </c>
      <c r="T52" s="7" cm="1">
        <f t="array" ref="T52">INDEX(GMWQ!$A$2:$LR$60,MATCH(1,(GMWQ!$LQ$2:$LQ$60=T$3)*(GMWQ!$LP$2:$LP$60=T$4)*(GMWQ!$LR$2:$LR$60=T$1),0),$B52-1966)</f>
        <v>1E-3</v>
      </c>
      <c r="U52" s="7" cm="1">
        <f t="array" ref="U52">INDEX(GMWQ!$A$2:$LR$60,MATCH(1,(GMWQ!$LQ$2:$LQ$60=U$3)*(GMWQ!$LP$2:$LP$60=U$4)*(GMWQ!$LR$2:$LR$60=U$1),0),$B52-1966)</f>
        <v>4003.1010000000001</v>
      </c>
      <c r="V52" s="7" cm="1">
        <f t="array" ref="V52">INDEX(GMWQ!$A$2:$LR$60,MATCH(1,(GMWQ!$LQ$2:$LQ$60=V$3)*(GMWQ!$LP$2:$LP$60=V$4)*(GMWQ!$LR$2:$LR$60=V$1),0),$B52-1966)</f>
        <v>1E-3</v>
      </c>
      <c r="W52" s="7" cm="1">
        <f t="array" ref="W52">INDEX(GMWQ!$A$2:$LR$60,MATCH(1,(GMWQ!$LQ$2:$LQ$60=W$3)*(GMWQ!$LP$2:$LP$60=W$4)*(GMWQ!$LR$2:$LR$60=W$1),0),$B52-1966)</f>
        <v>5.2703569999999997</v>
      </c>
      <c r="X52" s="7" cm="1">
        <f t="array" ref="X52">INDEX(GMWQ!$A$2:$LR$60,MATCH(1,(GMWQ!$LQ$2:$LQ$60=X$3)*(GMWQ!$LP$2:$LP$60=X$4)*(GMWQ!$LR$2:$LR$60=X$1),0),$B52-1966)</f>
        <v>986321.8</v>
      </c>
      <c r="Y52" s="7" cm="1">
        <f t="array" ref="Y52">INDEX(GMWQ!$A$2:$LR$60,MATCH(1,(GMWQ!$LQ$2:$LQ$60=Y$3)*(GMWQ!$LP$2:$LP$60=Y$4)*(GMWQ!$LR$2:$LR$60=Y$1),0),$B52-1966)</f>
        <v>36.62603</v>
      </c>
      <c r="Z52" s="7" cm="1">
        <f t="array" ref="Z52">INDEX(GMWQ!$A$2:$LR$60,MATCH(1,(GMWQ!$LQ$2:$LQ$60=Z$3)*(GMWQ!$LP$2:$LP$60=Z$4)*(GMWQ!$LR$2:$LR$60=Z$1),0),$B52-1966)</f>
        <v>261085.8</v>
      </c>
      <c r="AA52" s="7" cm="1">
        <f t="array" ref="AA52">INDEX(GMWQ!$A$2:$LR$60,MATCH(1,(GMWQ!$LQ$2:$LQ$60=AA$3)*(GMWQ!$LP$2:$LP$60=AA$4)*(GMWQ!$LR$2:$LR$60=AA$1),0),$B52-1966)</f>
        <v>33550</v>
      </c>
      <c r="AB52" s="7" cm="1">
        <f t="array" ref="AB52">INDEX(GMWQ!$A$2:$LR$60,MATCH(1,(GMWQ!$LQ$2:$LQ$60=AB$3)*(GMWQ!$LP$2:$LP$60=AB$4)*(GMWQ!$LR$2:$LR$60=AB$1),0),$B52-1966)</f>
        <v>33897</v>
      </c>
      <c r="AC52" s="7" cm="1">
        <f t="array" ref="AC52">INDEX(GMWQ!$A$2:$LR$60,MATCH(1,(GMWQ!$LQ$2:$LQ$60=AC$3)*(GMWQ!$LP$2:$LP$60=AC$4)*(GMWQ!$LR$2:$LR$60=AC$1),0),$B52-1966)</f>
        <v>871</v>
      </c>
      <c r="AD52" s="7" cm="1">
        <f t="array" ref="AD52">INDEX(GMWQ!$A$2:$LR$60,MATCH(1,(GMWQ!$LQ$2:$LQ$60=AD$3)*(GMWQ!$LP$2:$LP$60=AD$4)*(GMWQ!$LR$2:$LR$60=AD$1),0),$B52-1966)</f>
        <v>3709</v>
      </c>
      <c r="AE52" s="7" cm="1">
        <f t="array" ref="AE52">INDEX(GMWQ!$A$2:$LR$60,MATCH(1,(GMWQ!$LQ$2:$LQ$60=AE$3)*(GMWQ!$LP$2:$LP$60=AE$4)*(GMWQ!$LR$2:$LR$60=AE$1),0),$B52-1966)</f>
        <v>93433</v>
      </c>
      <c r="AF52" s="20" cm="1">
        <f t="array" ref="AF52">INDEX(GMWQ!$A$2:$LR$60,MATCH(1,(GMWQ!$LQ$2:$LQ$60=AF$3)*(GMWQ!$LP$2:$LP$60=AF$4)*(GMWQ!$LR$2:$LR$60=AF$1),0),$B52-1966)</f>
        <v>8.8442310000000006</v>
      </c>
      <c r="AG52" s="20" cm="1">
        <f t="array" ref="AG52">INDEX(GMWQ!$A$2:$LR$60,MATCH(1,(GMWQ!$LQ$2:$LQ$60=AG$3)*(GMWQ!$LP$2:$LP$60=AG$4)*(GMWQ!$LR$2:$LR$60=AG$1),0),$B52-1966)</f>
        <v>-545.8605</v>
      </c>
      <c r="AI52" s="23" cm="1">
        <f t="array" ref="AI52">INDEX(GMWQ!$A$2:$LR$60,MATCH(1,(GMWQ!$LQ$2:$LQ$60=AI$3)*(GMWQ!$LP$2:$LP$60=AI$4)*(GMWQ!$LR$2:$LR$60=AI$1),0),$B52-1966)</f>
        <v>60260</v>
      </c>
      <c r="AJ52" s="23" cm="1">
        <f t="array" ref="AJ52">INDEX(GMWQ!$A$2:$LR$60,MATCH(1,(GMWQ!$LQ$2:$LQ$60=AJ$3)*(GMWQ!$LP$2:$LP$60=AJ$4)*(GMWQ!$LR$2:$LR$60=AJ$1),0),$B52-1966)</f>
        <v>41.299869999999999</v>
      </c>
      <c r="AK52" s="23" cm="1">
        <f t="array" ref="AK52">INDEX(GMWQ!$A$2:$LR$60,MATCH(1,(GMWQ!$LQ$2:$LQ$60=AK$3)*(GMWQ!$LP$2:$LP$60=AK$4)*(GMWQ!$LR$2:$LR$60=AK$1),0),$B52-1966)</f>
        <v>38664</v>
      </c>
      <c r="AL52" s="23" cm="1">
        <f t="array" ref="AL52">INDEX(GMWQ!$A$2:$LR$60,MATCH(1,(GMWQ!$LQ$2:$LQ$60=AL$3)*(GMWQ!$LP$2:$LP$60=AL$4)*(GMWQ!$LR$2:$LR$60=AL$1),0),$B52-1966)</f>
        <v>1859.9649999999999</v>
      </c>
      <c r="AM52" s="23" cm="1">
        <f t="array" ref="AM52">INDEX(GMWQ!$A$2:$LR$60,MATCH(1,(GMWQ!$LQ$2:$LQ$60=AM$3)*(GMWQ!$LP$2:$LP$60=AM$4)*(GMWQ!$LR$2:$LR$60=AM$1),0),$B52-1966)</f>
        <v>20787.490000000002</v>
      </c>
      <c r="AN52" s="23" cm="1">
        <f t="array" ref="AN52">INDEX(GMWQ!$A$2:$LR$60,MATCH(1,(GMWQ!$LQ$2:$LQ$60=AN$3)*(GMWQ!$LP$2:$LP$60=AN$4)*(GMWQ!$LR$2:$LR$60=AN$1),0),$B52-1966)</f>
        <v>8823.4650000000001</v>
      </c>
      <c r="AO52" s="23" cm="1">
        <f t="array" ref="AO52">INDEX(GMWQ!$A$2:$LR$60,MATCH(1,(GMWQ!$LQ$2:$LQ$60=AO$3)*(GMWQ!$LP$2:$LP$60=AO$4)*(GMWQ!$LR$2:$LR$60=AO$1),0),$B52-1966)</f>
        <v>2838.1320000000001</v>
      </c>
      <c r="AP52" s="23" cm="1">
        <f t="array" ref="AP52">INDEX(GMWQ!$A$2:$LR$60,MATCH(1,(GMWQ!$LQ$2:$LQ$60=AP$3)*(GMWQ!$LP$2:$LP$60=AP$4)*(GMWQ!$LR$2:$LR$60=AP$1),0),$B52-1966)</f>
        <v>-545.8605</v>
      </c>
      <c r="AQ52" s="23" cm="1">
        <f t="array" ref="AQ52">INDEX(GMWQ!$A$2:$LR$60,MATCH(1,(GMWQ!$LQ$2:$LQ$60=AQ$3)*(GMWQ!$LP$2:$LP$60=AQ$4)*(GMWQ!$LR$2:$LR$60=AQ$1),0),$B52-1966)</f>
        <v>10362.34</v>
      </c>
      <c r="AR52" s="23" cm="1">
        <f t="array" ref="AR52">INDEX(GMWQ!$A$2:$LR$60,MATCH(1,(GMWQ!$LQ$2:$LQ$60=AR$3)*(GMWQ!$LP$2:$LP$60=AR$4)*(GMWQ!$LR$2:$LR$60=AR$1),0),$B52-1966)</f>
        <v>56523</v>
      </c>
      <c r="AS52" s="23" cm="1">
        <f t="array" ref="AS52">INDEX(GMWQ!$A$2:$LR$60,MATCH(1,(GMWQ!$LQ$2:$LQ$60=AS$3)*(GMWQ!$LP$2:$LP$60=AS$4)*(GMWQ!$LR$2:$LR$60=AS$1),0),$B52-1966)</f>
        <v>967</v>
      </c>
      <c r="AT52" s="23" cm="1">
        <f t="array" ref="AT52">INDEX(GMWQ!$A$2:$LR$60,MATCH(1,(GMWQ!$LQ$2:$LQ$60=AT$3)*(GMWQ!$LP$2:$LP$60=AT$4)*(GMWQ!$LR$2:$LR$60=AT$1),0),$B52-1966)</f>
        <v>136860</v>
      </c>
      <c r="AU52" s="23" cm="1">
        <f t="array" ref="AU52">INDEX(GMWQ!$A$2:$LR$60,MATCH(1,(GMWQ!$LQ$2:$LQ$60=AU$3)*(GMWQ!$LP$2:$LP$60=AU$4)*(GMWQ!$LR$2:$LR$60=AU$1),0),$B52-1966)</f>
        <v>4202</v>
      </c>
    </row>
    <row r="53" spans="1:47" x14ac:dyDescent="0.35">
      <c r="B53" s="7">
        <f t="shared" si="2"/>
        <v>2019</v>
      </c>
      <c r="C53" s="7" cm="1">
        <f t="array" ref="C53">INDEX(GMWQ!$A$2:$LR$60,MATCH(1,(GMWQ!$LQ$2:$LQ$60=C$3)*(GMWQ!$LP$2:$LP$60=C$4)*(GMWQ!$LR$2:$LR$60=C$1),0),$B53-1966)</f>
        <v>256975</v>
      </c>
      <c r="D53" s="7" cm="1">
        <f t="array" ref="D53">INDEX(GMWQ!$A$2:$LR$60,MATCH(1,(GMWQ!$LQ$2:$LQ$60=D$3)*(GMWQ!$LP$2:$LP$60=D$4)*(GMWQ!$LR$2:$LR$60=D$1),0),$B53-1966)</f>
        <v>96.732339999999994</v>
      </c>
      <c r="E53" s="7" cm="1">
        <f t="array" ref="E53">INDEX(GMWQ!$A$2:$LR$60,MATCH(1,(GMWQ!$LQ$2:$LQ$60=E$3)*(GMWQ!$LP$2:$LP$60=E$4)*(GMWQ!$LR$2:$LR$60=E$1),0),$B53-1966)</f>
        <v>42.98789</v>
      </c>
      <c r="F53" s="7" cm="1">
        <f t="array" ref="F53">INDEX(GMWQ!$A$2:$LR$60,MATCH(1,(GMWQ!$LQ$2:$LQ$60=F$3)*(GMWQ!$LP$2:$LP$60=F$4)*(GMWQ!$LR$2:$LR$60=F$1),0),$B53-1966)</f>
        <v>39158</v>
      </c>
      <c r="G53" s="7" cm="1">
        <f t="array" ref="G53">INDEX(GMWQ!$A$2:$LR$60,MATCH(1,(GMWQ!$LQ$2:$LQ$60=G$3)*(GMWQ!$LP$2:$LP$60=G$4)*(GMWQ!$LR$2:$LR$60=G$1),0),$B53-1966)</f>
        <v>8509.9310000000005</v>
      </c>
      <c r="H53" s="7" cm="1">
        <f t="array" ref="H53">INDEX(GMWQ!$A$2:$LR$60,MATCH(1,(GMWQ!$LQ$2:$LQ$60=H$3)*(GMWQ!$LP$2:$LP$60=H$4)*(GMWQ!$LR$2:$LR$60=H$1),0),$B53-1966)</f>
        <v>2929.991</v>
      </c>
      <c r="I53" s="7" cm="1">
        <f t="array" ref="I53">INDEX(GMWQ!$A$2:$LR$60,MATCH(1,(GMWQ!$LQ$2:$LQ$60=I$3)*(GMWQ!$LP$2:$LP$60=I$4)*(GMWQ!$LR$2:$LR$60=I$1),0),$B53-1966)</f>
        <v>41.773049999999998</v>
      </c>
      <c r="J53" s="7" cm="1">
        <f t="array" ref="J53">INDEX(GMWQ!$A$2:$LR$60,MATCH(1,(GMWQ!$LQ$2:$LQ$60=J$3)*(GMWQ!$LP$2:$LP$60=J$4)*(GMWQ!$LR$2:$LR$60=J$1),0),$B53-1966)</f>
        <v>20863.099999999999</v>
      </c>
      <c r="K53" s="7" cm="1">
        <f t="array" ref="K53">INDEX(GMWQ!$A$2:$LR$60,MATCH(1,(GMWQ!$LQ$2:$LQ$60=K$3)*(GMWQ!$LP$2:$LP$60=K$4)*(GMWQ!$LR$2:$LR$60=K$1),0),$B53-1966)</f>
        <v>10.5</v>
      </c>
      <c r="L53" s="7" cm="1">
        <f t="array" ref="L53">INDEX(GMWQ!$A$2:$LR$60,MATCH(1,(GMWQ!$LQ$2:$LQ$60=L$3)*(GMWQ!$LP$2:$LP$60=L$4)*(GMWQ!$LR$2:$LR$60=L$1),0),$B53-1966)</f>
        <v>11.7</v>
      </c>
      <c r="M53" s="7" cm="1">
        <f t="array" ref="M53">INDEX(GMWQ!$A$2:$LR$60,MATCH(1,(GMWQ!$LQ$2:$LQ$60=M$3)*(GMWQ!$LP$2:$LP$60=M$4)*(GMWQ!$LR$2:$LR$60=M$1),0),$B53-1966)</f>
        <v>14.426830000000001</v>
      </c>
      <c r="N53" s="7" cm="1">
        <f t="array" ref="N53">INDEX(GMWQ!$A$2:$LR$60,MATCH(1,(GMWQ!$LQ$2:$LQ$60=N$3)*(GMWQ!$LP$2:$LP$60=N$4)*(GMWQ!$LR$2:$LR$60=N$1),0),$B53-1966)</f>
        <v>1E-3</v>
      </c>
      <c r="O53" s="7" cm="1">
        <f t="array" ref="O53">INDEX(GMWQ!$A$2:$LR$60,MATCH(1,(GMWQ!$LQ$2:$LQ$60=O$3)*(GMWQ!$LP$2:$LP$60=O$4)*(GMWQ!$LR$2:$LR$60=O$1),0),$B53-1966)</f>
        <v>1E-3</v>
      </c>
      <c r="P53" s="7" cm="1">
        <f t="array" ref="P53">INDEX(GMWQ!$A$2:$LR$60,MATCH(1,(GMWQ!$LQ$2:$LQ$60=P$3)*(GMWQ!$LP$2:$LP$60=P$4)*(GMWQ!$LR$2:$LR$60=P$1),0),$B53-1966)</f>
        <v>62678</v>
      </c>
      <c r="Q53" s="7" cm="1">
        <f t="array" ref="Q53">INDEX(GMWQ!$A$2:$LR$60,MATCH(1,(GMWQ!$LQ$2:$LQ$60=Q$3)*(GMWQ!$LP$2:$LP$60=Q$4)*(GMWQ!$LR$2:$LR$60=Q$1),0),$B53-1966)</f>
        <v>13.08</v>
      </c>
      <c r="R53" s="7" cm="1">
        <f t="array" ref="R53">INDEX(GMWQ!$A$2:$LR$60,MATCH(1,(GMWQ!$LQ$2:$LQ$60=R$3)*(GMWQ!$LP$2:$LP$60=R$4)*(GMWQ!$LR$2:$LR$60=R$1),0),$B53-1966)</f>
        <v>1E-3</v>
      </c>
      <c r="S53" s="7" cm="1">
        <f t="array" ref="S53">INDEX(GMWQ!$A$2:$LR$60,MATCH(1,(GMWQ!$LQ$2:$LQ$60=S$3)*(GMWQ!$LP$2:$LP$60=S$4)*(GMWQ!$LR$2:$LR$60=S$1),0),$B53-1966)</f>
        <v>433</v>
      </c>
      <c r="T53" s="7" cm="1">
        <f t="array" ref="T53">INDEX(GMWQ!$A$2:$LR$60,MATCH(1,(GMWQ!$LQ$2:$LQ$60=T$3)*(GMWQ!$LP$2:$LP$60=T$4)*(GMWQ!$LR$2:$LR$60=T$1),0),$B53-1966)</f>
        <v>1E-3</v>
      </c>
      <c r="U53" s="7" cm="1">
        <f t="array" ref="U53">INDEX(GMWQ!$A$2:$LR$60,MATCH(1,(GMWQ!$LQ$2:$LQ$60=U$3)*(GMWQ!$LP$2:$LP$60=U$4)*(GMWQ!$LR$2:$LR$60=U$1),0),$B53-1966)</f>
        <v>3996.9580000000001</v>
      </c>
      <c r="V53" s="7" cm="1">
        <f t="array" ref="V53">INDEX(GMWQ!$A$2:$LR$60,MATCH(1,(GMWQ!$LQ$2:$LQ$60=V$3)*(GMWQ!$LP$2:$LP$60=V$4)*(GMWQ!$LR$2:$LR$60=V$1),0),$B53-1966)</f>
        <v>1E-3</v>
      </c>
      <c r="W53" s="7" cm="1">
        <f t="array" ref="W53">INDEX(GMWQ!$A$2:$LR$60,MATCH(1,(GMWQ!$LQ$2:$LQ$60=W$3)*(GMWQ!$LP$2:$LP$60=W$4)*(GMWQ!$LR$2:$LR$60=W$1),0),$B53-1966)</f>
        <v>6.6046199999999997</v>
      </c>
      <c r="X53" s="7" cm="1">
        <f t="array" ref="X53">INDEX(GMWQ!$A$2:$LR$60,MATCH(1,(GMWQ!$LQ$2:$LQ$60=X$3)*(GMWQ!$LP$2:$LP$60=X$4)*(GMWQ!$LR$2:$LR$60=X$1),0),$B53-1966)</f>
        <v>1009445</v>
      </c>
      <c r="Y53" s="7" cm="1">
        <f t="array" ref="Y53">INDEX(GMWQ!$A$2:$LR$60,MATCH(1,(GMWQ!$LQ$2:$LQ$60=Y$3)*(GMWQ!$LP$2:$LP$60=Y$4)*(GMWQ!$LR$2:$LR$60=Y$1),0),$B53-1966)</f>
        <v>36.914879999999997</v>
      </c>
      <c r="Z53" s="7" cm="1">
        <f t="array" ref="Z53">INDEX(GMWQ!$A$2:$LR$60,MATCH(1,(GMWQ!$LQ$2:$LQ$60=Z$3)*(GMWQ!$LP$2:$LP$60=Z$4)*(GMWQ!$LR$2:$LR$60=Z$1),0),$B53-1966)</f>
        <v>262927.59999999998</v>
      </c>
      <c r="AA53" s="7" cm="1">
        <f t="array" ref="AA53">INDEX(GMWQ!$A$2:$LR$60,MATCH(1,(GMWQ!$LQ$2:$LQ$60=AA$3)*(GMWQ!$LP$2:$LP$60=AA$4)*(GMWQ!$LR$2:$LR$60=AA$1),0),$B53-1966)</f>
        <v>36801</v>
      </c>
      <c r="AB53" s="7" cm="1">
        <f t="array" ref="AB53">INDEX(GMWQ!$A$2:$LR$60,MATCH(1,(GMWQ!$LQ$2:$LQ$60=AB$3)*(GMWQ!$LP$2:$LP$60=AB$4)*(GMWQ!$LR$2:$LR$60=AB$1),0),$B53-1966)</f>
        <v>34360</v>
      </c>
      <c r="AC53" s="7" cm="1">
        <f t="array" ref="AC53">INDEX(GMWQ!$A$2:$LR$60,MATCH(1,(GMWQ!$LQ$2:$LQ$60=AC$3)*(GMWQ!$LP$2:$LP$60=AC$4)*(GMWQ!$LR$2:$LR$60=AC$1),0),$B53-1966)</f>
        <v>1599</v>
      </c>
      <c r="AD53" s="7" cm="1">
        <f t="array" ref="AD53">INDEX(GMWQ!$A$2:$LR$60,MATCH(1,(GMWQ!$LQ$2:$LQ$60=AD$3)*(GMWQ!$LP$2:$LP$60=AD$4)*(GMWQ!$LR$2:$LR$60=AD$1),0),$B53-1966)</f>
        <v>3776</v>
      </c>
      <c r="AE53" s="7" cm="1">
        <f t="array" ref="AE53">INDEX(GMWQ!$A$2:$LR$60,MATCH(1,(GMWQ!$LQ$2:$LQ$60=AE$3)*(GMWQ!$LP$2:$LP$60=AE$4)*(GMWQ!$LR$2:$LR$60=AE$1),0),$B53-1966)</f>
        <v>94862</v>
      </c>
      <c r="AF53" s="20" cm="1">
        <f t="array" ref="AF53">INDEX(GMWQ!$A$2:$LR$60,MATCH(1,(GMWQ!$LQ$2:$LQ$60=AF$3)*(GMWQ!$LP$2:$LP$60=AF$4)*(GMWQ!$LR$2:$LR$60=AF$1),0),$B53-1966)</f>
        <v>10.89615</v>
      </c>
      <c r="AG53" s="20" cm="1">
        <f t="array" ref="AG53">INDEX(GMWQ!$A$2:$LR$60,MATCH(1,(GMWQ!$LQ$2:$LQ$60=AG$3)*(GMWQ!$LP$2:$LP$60=AG$4)*(GMWQ!$LR$2:$LR$60=AG$1),0),$B53-1966)</f>
        <v>-464.37209999999999</v>
      </c>
      <c r="AI53" s="23" cm="1">
        <f t="array" ref="AI53">INDEX(GMWQ!$A$2:$LR$60,MATCH(1,(GMWQ!$LQ$2:$LQ$60=AI$3)*(GMWQ!$LP$2:$LP$60=AI$4)*(GMWQ!$LR$2:$LR$60=AI$1),0),$B53-1966)</f>
        <v>62678</v>
      </c>
      <c r="AJ53" s="23" cm="1">
        <f t="array" ref="AJ53">INDEX(GMWQ!$A$2:$LR$60,MATCH(1,(GMWQ!$LQ$2:$LQ$60=AJ$3)*(GMWQ!$LP$2:$LP$60=AJ$4)*(GMWQ!$LR$2:$LR$60=AJ$1),0),$B53-1966)</f>
        <v>41.773049999999998</v>
      </c>
      <c r="AK53" s="23" cm="1">
        <f t="array" ref="AK53">INDEX(GMWQ!$A$2:$LR$60,MATCH(1,(GMWQ!$LQ$2:$LQ$60=AK$3)*(GMWQ!$LP$2:$LP$60=AK$4)*(GMWQ!$LR$2:$LR$60=AK$1),0),$B53-1966)</f>
        <v>39158</v>
      </c>
      <c r="AL53" s="23" cm="1">
        <f t="array" ref="AL53">INDEX(GMWQ!$A$2:$LR$60,MATCH(1,(GMWQ!$LQ$2:$LQ$60=AL$3)*(GMWQ!$LP$2:$LP$60=AL$4)*(GMWQ!$LR$2:$LR$60=AL$1),0),$B53-1966)</f>
        <v>1876.902</v>
      </c>
      <c r="AM53" s="23" cm="1">
        <f t="array" ref="AM53">INDEX(GMWQ!$A$2:$LR$60,MATCH(1,(GMWQ!$LQ$2:$LQ$60=AM$3)*(GMWQ!$LP$2:$LP$60=AM$4)*(GMWQ!$LR$2:$LR$60=AM$1),0),$B53-1966)</f>
        <v>20863.099999999999</v>
      </c>
      <c r="AN53" s="23" cm="1">
        <f t="array" ref="AN53">INDEX(GMWQ!$A$2:$LR$60,MATCH(1,(GMWQ!$LQ$2:$LQ$60=AN$3)*(GMWQ!$LP$2:$LP$60=AN$4)*(GMWQ!$LR$2:$LR$60=AN$1),0),$B53-1966)</f>
        <v>8509.9310000000005</v>
      </c>
      <c r="AO53" s="23" cm="1">
        <f t="array" ref="AO53">INDEX(GMWQ!$A$2:$LR$60,MATCH(1,(GMWQ!$LQ$2:$LQ$60=AO$3)*(GMWQ!$LP$2:$LP$60=AO$4)*(GMWQ!$LR$2:$LR$60=AO$1),0),$B53-1966)</f>
        <v>2929.991</v>
      </c>
      <c r="AP53" s="23" cm="1">
        <f t="array" ref="AP53">INDEX(GMWQ!$A$2:$LR$60,MATCH(1,(GMWQ!$LQ$2:$LQ$60=AP$3)*(GMWQ!$LP$2:$LP$60=AP$4)*(GMWQ!$LR$2:$LR$60=AP$1),0),$B53-1966)</f>
        <v>-464.37209999999999</v>
      </c>
      <c r="AQ53" s="23" cm="1">
        <f t="array" ref="AQ53">INDEX(GMWQ!$A$2:$LR$60,MATCH(1,(GMWQ!$LQ$2:$LQ$60=AQ$3)*(GMWQ!$LP$2:$LP$60=AQ$4)*(GMWQ!$LR$2:$LR$60=AQ$1),0),$B53-1966)</f>
        <v>10571.45</v>
      </c>
      <c r="AR53" s="23" cm="1">
        <f t="array" ref="AR53">INDEX(GMWQ!$A$2:$LR$60,MATCH(1,(GMWQ!$LQ$2:$LQ$60=AR$3)*(GMWQ!$LP$2:$LP$60=AR$4)*(GMWQ!$LR$2:$LR$60=AR$1),0),$B53-1966)</f>
        <v>56869</v>
      </c>
      <c r="AS53" s="23" cm="1">
        <f t="array" ref="AS53">INDEX(GMWQ!$A$2:$LR$60,MATCH(1,(GMWQ!$LQ$2:$LQ$60=AS$3)*(GMWQ!$LP$2:$LP$60=AS$4)*(GMWQ!$LR$2:$LR$60=AS$1),0),$B53-1966)</f>
        <v>1005</v>
      </c>
      <c r="AT53" s="23" cm="1">
        <f t="array" ref="AT53">INDEX(GMWQ!$A$2:$LR$60,MATCH(1,(GMWQ!$LQ$2:$LQ$60=AT$3)*(GMWQ!$LP$2:$LP$60=AT$4)*(GMWQ!$LR$2:$LR$60=AT$1),0),$B53-1966)</f>
        <v>136138</v>
      </c>
      <c r="AU53" s="23" cm="1">
        <f t="array" ref="AU53">INDEX(GMWQ!$A$2:$LR$60,MATCH(1,(GMWQ!$LQ$2:$LQ$60=AU$3)*(GMWQ!$LP$2:$LP$60=AU$4)*(GMWQ!$LR$2:$LR$60=AU$1),0),$B53-1966)</f>
        <v>4290</v>
      </c>
    </row>
    <row r="54" spans="1:47" x14ac:dyDescent="0.35">
      <c r="B54" s="7">
        <f t="shared" si="2"/>
        <v>2020</v>
      </c>
      <c r="C54" s="7" cm="1">
        <f t="array" ref="C54">INDEX(GMWQ!$A$2:$LR$60,MATCH(1,(GMWQ!$LQ$2:$LQ$60=C$3)*(GMWQ!$LP$2:$LP$60=C$4)*(GMWQ!$LR$2:$LR$60=C$1),0),$B54-1966)</f>
        <v>261627</v>
      </c>
      <c r="D54" s="7" cm="1">
        <f t="array" ref="D54">INDEX(GMWQ!$A$2:$LR$60,MATCH(1,(GMWQ!$LQ$2:$LQ$60=D$3)*(GMWQ!$LP$2:$LP$60=D$4)*(GMWQ!$LR$2:$LR$60=D$1),0),$B54-1966)</f>
        <v>99.446349999999995</v>
      </c>
      <c r="E54" s="7" cm="1">
        <f t="array" ref="E54">INDEX(GMWQ!$A$2:$LR$60,MATCH(1,(GMWQ!$LQ$2:$LQ$60=E$3)*(GMWQ!$LP$2:$LP$60=E$4)*(GMWQ!$LR$2:$LR$60=E$1),0),$B54-1966)</f>
        <v>43.431060000000002</v>
      </c>
      <c r="F54" s="7" cm="1">
        <f t="array" ref="F54">INDEX(GMWQ!$A$2:$LR$60,MATCH(1,(GMWQ!$LQ$2:$LQ$60=F$3)*(GMWQ!$LP$2:$LP$60=F$4)*(GMWQ!$LR$2:$LR$60=F$1),0),$B54-1966)</f>
        <v>40507</v>
      </c>
      <c r="G54" s="7" cm="1">
        <f t="array" ref="G54">INDEX(GMWQ!$A$2:$LR$60,MATCH(1,(GMWQ!$LQ$2:$LQ$60=G$3)*(GMWQ!$LP$2:$LP$60=G$4)*(GMWQ!$LR$2:$LR$60=G$1),0),$B54-1966)</f>
        <v>8809.6180000000004</v>
      </c>
      <c r="H54" s="7" cm="1">
        <f t="array" ref="H54">INDEX(GMWQ!$A$2:$LR$60,MATCH(1,(GMWQ!$LQ$2:$LQ$60=H$3)*(GMWQ!$LP$2:$LP$60=H$4)*(GMWQ!$LR$2:$LR$60=H$1),0),$B54-1966)</f>
        <v>3031.3530000000001</v>
      </c>
      <c r="I54" s="7" cm="1">
        <f t="array" ref="I54">INDEX(GMWQ!$A$2:$LR$60,MATCH(1,(GMWQ!$LQ$2:$LQ$60=I$3)*(GMWQ!$LP$2:$LP$60=I$4)*(GMWQ!$LR$2:$LR$60=I$1),0),$B54-1966)</f>
        <v>42.311909999999997</v>
      </c>
      <c r="J54" s="7" cm="1">
        <f t="array" ref="J54">INDEX(GMWQ!$A$2:$LR$60,MATCH(1,(GMWQ!$LQ$2:$LQ$60=J$3)*(GMWQ!$LP$2:$LP$60=J$4)*(GMWQ!$LR$2:$LR$60=J$1),0),$B54-1966)</f>
        <v>20924.310000000001</v>
      </c>
      <c r="K54" s="7" cm="1">
        <f t="array" ref="K54">INDEX(GMWQ!$A$2:$LR$60,MATCH(1,(GMWQ!$LQ$2:$LQ$60=K$3)*(GMWQ!$LP$2:$LP$60=K$4)*(GMWQ!$LR$2:$LR$60=K$1),0),$B54-1966)</f>
        <v>9.5</v>
      </c>
      <c r="L54" s="7" cm="1">
        <f t="array" ref="L54">INDEX(GMWQ!$A$2:$LR$60,MATCH(1,(GMWQ!$LQ$2:$LQ$60=L$3)*(GMWQ!$LP$2:$LP$60=L$4)*(GMWQ!$LR$2:$LR$60=L$1),0),$B54-1966)</f>
        <v>11.6</v>
      </c>
      <c r="M54" s="7" cm="1">
        <f t="array" ref="M54">INDEX(GMWQ!$A$2:$LR$60,MATCH(1,(GMWQ!$LQ$2:$LQ$60=M$3)*(GMWQ!$LP$2:$LP$60=M$4)*(GMWQ!$LR$2:$LR$60=M$1),0),$B54-1966)</f>
        <v>14.823119999999999</v>
      </c>
      <c r="N54" s="7" cm="1">
        <f t="array" ref="N54">INDEX(GMWQ!$A$2:$LR$60,MATCH(1,(GMWQ!$LQ$2:$LQ$60=N$3)*(GMWQ!$LP$2:$LP$60=N$4)*(GMWQ!$LR$2:$LR$60=N$1),0),$B54-1966)</f>
        <v>1E-3</v>
      </c>
      <c r="O54" s="7" cm="1">
        <f t="array" ref="O54">INDEX(GMWQ!$A$2:$LR$60,MATCH(1,(GMWQ!$LQ$2:$LQ$60=O$3)*(GMWQ!$LP$2:$LP$60=O$4)*(GMWQ!$LR$2:$LR$60=O$1),0),$B54-1966)</f>
        <v>1E-3</v>
      </c>
      <c r="P54" s="7" cm="1">
        <f t="array" ref="P54">INDEX(GMWQ!$A$2:$LR$60,MATCH(1,(GMWQ!$LQ$2:$LQ$60=P$3)*(GMWQ!$LP$2:$LP$60=P$4)*(GMWQ!$LR$2:$LR$60=P$1),0),$B54-1966)</f>
        <v>64883</v>
      </c>
      <c r="Q54" s="7" cm="1">
        <f t="array" ref="Q54">INDEX(GMWQ!$A$2:$LR$60,MATCH(1,(GMWQ!$LQ$2:$LQ$60=Q$3)*(GMWQ!$LP$2:$LP$60=Q$4)*(GMWQ!$LR$2:$LR$60=Q$1),0),$B54-1966)</f>
        <v>12.19</v>
      </c>
      <c r="R54" s="7" cm="1">
        <f t="array" ref="R54">INDEX(GMWQ!$A$2:$LR$60,MATCH(1,(GMWQ!$LQ$2:$LQ$60=R$3)*(GMWQ!$LP$2:$LP$60=R$4)*(GMWQ!$LR$2:$LR$60=R$1),0),$B54-1966)</f>
        <v>1E-3</v>
      </c>
      <c r="S54" s="7" cm="1">
        <f t="array" ref="S54">INDEX(GMWQ!$A$2:$LR$60,MATCH(1,(GMWQ!$LQ$2:$LQ$60=S$3)*(GMWQ!$LP$2:$LP$60=S$4)*(GMWQ!$LR$2:$LR$60=S$1),0),$B54-1966)</f>
        <v>435</v>
      </c>
      <c r="T54" s="7" cm="1">
        <f t="array" ref="T54">INDEX(GMWQ!$A$2:$LR$60,MATCH(1,(GMWQ!$LQ$2:$LQ$60=T$3)*(GMWQ!$LP$2:$LP$60=T$4)*(GMWQ!$LR$2:$LR$60=T$1),0),$B54-1966)</f>
        <v>1E-3</v>
      </c>
      <c r="U54" s="7" cm="1">
        <f t="array" ref="U54">INDEX(GMWQ!$A$2:$LR$60,MATCH(1,(GMWQ!$LQ$2:$LQ$60=U$3)*(GMWQ!$LP$2:$LP$60=U$4)*(GMWQ!$LR$2:$LR$60=U$1),0),$B54-1966)</f>
        <v>3955.7170000000001</v>
      </c>
      <c r="V54" s="7" cm="1">
        <f t="array" ref="V54">INDEX(GMWQ!$A$2:$LR$60,MATCH(1,(GMWQ!$LQ$2:$LQ$60=V$3)*(GMWQ!$LP$2:$LP$60=V$4)*(GMWQ!$LR$2:$LR$60=V$1),0),$B54-1966)</f>
        <v>1E-3</v>
      </c>
      <c r="W54" s="7" cm="1">
        <f t="array" ref="W54">INDEX(GMWQ!$A$2:$LR$60,MATCH(1,(GMWQ!$LQ$2:$LQ$60=W$3)*(GMWQ!$LP$2:$LP$60=W$4)*(GMWQ!$LR$2:$LR$60=W$1),0),$B54-1966)</f>
        <v>5.7642049999999996</v>
      </c>
      <c r="X54" s="7" cm="1">
        <f t="array" ref="X54">INDEX(GMWQ!$A$2:$LR$60,MATCH(1,(GMWQ!$LQ$2:$LQ$60=X$3)*(GMWQ!$LP$2:$LP$60=X$4)*(GMWQ!$LR$2:$LR$60=X$1),0),$B54-1966)</f>
        <v>1030161</v>
      </c>
      <c r="Y54" s="7" cm="1">
        <f t="array" ref="Y54">INDEX(GMWQ!$A$2:$LR$60,MATCH(1,(GMWQ!$LQ$2:$LQ$60=Y$3)*(GMWQ!$LP$2:$LP$60=Y$4)*(GMWQ!$LR$2:$LR$60=Y$1),0),$B54-1966)</f>
        <v>37.443379999999998</v>
      </c>
      <c r="Z54" s="7" cm="1">
        <f t="array" ref="Z54">INDEX(GMWQ!$A$2:$LR$60,MATCH(1,(GMWQ!$LQ$2:$LQ$60=Z$3)*(GMWQ!$LP$2:$LP$60=Z$4)*(GMWQ!$LR$2:$LR$60=Z$1),0),$B54-1966)</f>
        <v>264904.2</v>
      </c>
      <c r="AA54" s="7" cm="1">
        <f t="array" ref="AA54">INDEX(GMWQ!$A$2:$LR$60,MATCH(1,(GMWQ!$LQ$2:$LQ$60=AA$3)*(GMWQ!$LP$2:$LP$60=AA$4)*(GMWQ!$LR$2:$LR$60=AA$1),0),$B54-1966)</f>
        <v>39278</v>
      </c>
      <c r="AB54" s="7" cm="1">
        <f t="array" ref="AB54">INDEX(GMWQ!$A$2:$LR$60,MATCH(1,(GMWQ!$LQ$2:$LQ$60=AB$3)*(GMWQ!$LP$2:$LP$60=AB$4)*(GMWQ!$LR$2:$LR$60=AB$1),0),$B54-1966)</f>
        <v>35416</v>
      </c>
      <c r="AC54" s="7" cm="1">
        <f t="array" ref="AC54">INDEX(GMWQ!$A$2:$LR$60,MATCH(1,(GMWQ!$LQ$2:$LQ$60=AC$3)*(GMWQ!$LP$2:$LP$60=AC$4)*(GMWQ!$LR$2:$LR$60=AC$1),0),$B54-1966)</f>
        <v>1989</v>
      </c>
      <c r="AD54" s="7" cm="1">
        <f t="array" ref="AD54">INDEX(GMWQ!$A$2:$LR$60,MATCH(1,(GMWQ!$LQ$2:$LQ$60=AD$3)*(GMWQ!$LP$2:$LP$60=AD$4)*(GMWQ!$LR$2:$LR$60=AD$1),0),$B54-1966)</f>
        <v>3688</v>
      </c>
      <c r="AE54" s="7" cm="1">
        <f t="array" ref="AE54">INDEX(GMWQ!$A$2:$LR$60,MATCH(1,(GMWQ!$LQ$2:$LQ$60=AE$3)*(GMWQ!$LP$2:$LP$60=AE$4)*(GMWQ!$LR$2:$LR$60=AE$1),0),$B54-1966)</f>
        <v>97962</v>
      </c>
      <c r="AF54" s="20" cm="1">
        <f t="array" ref="AF54">INDEX(GMWQ!$A$2:$LR$60,MATCH(1,(GMWQ!$LQ$2:$LQ$60=AF$3)*(GMWQ!$LP$2:$LP$60=AF$4)*(GMWQ!$LR$2:$LR$60=AF$1),0),$B54-1966)</f>
        <v>9.969697</v>
      </c>
      <c r="AG54" s="20" cm="1">
        <f t="array" ref="AG54">INDEX(GMWQ!$A$2:$LR$60,MATCH(1,(GMWQ!$LQ$2:$LQ$60=AG$3)*(GMWQ!$LP$2:$LP$60=AG$4)*(GMWQ!$LR$2:$LR$60=AG$1),0),$B54-1966)</f>
        <v>-762.41859999999997</v>
      </c>
      <c r="AI54" s="23" cm="1">
        <f t="array" ref="AI54">INDEX(GMWQ!$A$2:$LR$60,MATCH(1,(GMWQ!$LQ$2:$LQ$60=AI$3)*(GMWQ!$LP$2:$LP$60=AI$4)*(GMWQ!$LR$2:$LR$60=AI$1),0),$B54-1966)</f>
        <v>64883</v>
      </c>
      <c r="AJ54" s="23" cm="1">
        <f t="array" ref="AJ54">INDEX(GMWQ!$A$2:$LR$60,MATCH(1,(GMWQ!$LQ$2:$LQ$60=AJ$3)*(GMWQ!$LP$2:$LP$60=AJ$4)*(GMWQ!$LR$2:$LR$60=AJ$1),0),$B54-1966)</f>
        <v>42.311909999999997</v>
      </c>
      <c r="AK54" s="23" cm="1">
        <f t="array" ref="AK54">INDEX(GMWQ!$A$2:$LR$60,MATCH(1,(GMWQ!$LQ$2:$LQ$60=AK$3)*(GMWQ!$LP$2:$LP$60=AK$4)*(GMWQ!$LR$2:$LR$60=AK$1),0),$B54-1966)</f>
        <v>40507</v>
      </c>
      <c r="AL54" s="23" cm="1">
        <f t="array" ref="AL54">INDEX(GMWQ!$A$2:$LR$60,MATCH(1,(GMWQ!$LQ$2:$LQ$60=AL$3)*(GMWQ!$LP$2:$LP$60=AL$4)*(GMWQ!$LR$2:$LR$60=AL$1),0),$B54-1966)</f>
        <v>1935.8820000000001</v>
      </c>
      <c r="AM54" s="23" cm="1">
        <f t="array" ref="AM54">INDEX(GMWQ!$A$2:$LR$60,MATCH(1,(GMWQ!$LQ$2:$LQ$60=AM$3)*(GMWQ!$LP$2:$LP$60=AM$4)*(GMWQ!$LR$2:$LR$60=AM$1),0),$B54-1966)</f>
        <v>20924.310000000001</v>
      </c>
      <c r="AN54" s="23" cm="1">
        <f t="array" ref="AN54">INDEX(GMWQ!$A$2:$LR$60,MATCH(1,(GMWQ!$LQ$2:$LQ$60=AN$3)*(GMWQ!$LP$2:$LP$60=AN$4)*(GMWQ!$LR$2:$LR$60=AN$1),0),$B54-1966)</f>
        <v>8809.6180000000004</v>
      </c>
      <c r="AO54" s="23" cm="1">
        <f t="array" ref="AO54">INDEX(GMWQ!$A$2:$LR$60,MATCH(1,(GMWQ!$LQ$2:$LQ$60=AO$3)*(GMWQ!$LP$2:$LP$60=AO$4)*(GMWQ!$LR$2:$LR$60=AO$1),0),$B54-1966)</f>
        <v>3031.3530000000001</v>
      </c>
      <c r="AP54" s="23" cm="1">
        <f t="array" ref="AP54">INDEX(GMWQ!$A$2:$LR$60,MATCH(1,(GMWQ!$LQ$2:$LQ$60=AP$3)*(GMWQ!$LP$2:$LP$60=AP$4)*(GMWQ!$LR$2:$LR$60=AP$1),0),$B54-1966)</f>
        <v>-762.41859999999997</v>
      </c>
      <c r="AQ54" s="23" cm="1">
        <f t="array" ref="AQ54">INDEX(GMWQ!$A$2:$LR$60,MATCH(1,(GMWQ!$LQ$2:$LQ$60=AQ$3)*(GMWQ!$LP$2:$LP$60=AQ$4)*(GMWQ!$LR$2:$LR$60=AQ$1),0),$B54-1966)</f>
        <v>10817.77</v>
      </c>
      <c r="AR54" s="23" cm="1">
        <f t="array" ref="AR54">INDEX(GMWQ!$A$2:$LR$60,MATCH(1,(GMWQ!$LQ$2:$LQ$60=AR$3)*(GMWQ!$LP$2:$LP$60=AR$4)*(GMWQ!$LR$2:$LR$60=AR$1),0),$B54-1966)</f>
        <v>58690</v>
      </c>
      <c r="AS54" s="23" cm="1">
        <f t="array" ref="AS54">INDEX(GMWQ!$A$2:$LR$60,MATCH(1,(GMWQ!$LQ$2:$LQ$60=AS$3)*(GMWQ!$LP$2:$LP$60=AS$4)*(GMWQ!$LR$2:$LR$60=AS$1),0),$B54-1966)</f>
        <v>1042</v>
      </c>
      <c r="AT54" s="23" cm="1">
        <f t="array" ref="AT54">INDEX(GMWQ!$A$2:$LR$60,MATCH(1,(GMWQ!$LQ$2:$LQ$60=AT$3)*(GMWQ!$LP$2:$LP$60=AT$4)*(GMWQ!$LR$2:$LR$60=AT$1),0),$B54-1966)</f>
        <v>138708</v>
      </c>
      <c r="AU54" s="23" cm="1">
        <f t="array" ref="AU54">INDEX(GMWQ!$A$2:$LR$60,MATCH(1,(GMWQ!$LQ$2:$LQ$60=AU$3)*(GMWQ!$LP$2:$LP$60=AU$4)*(GMWQ!$LR$2:$LR$60=AU$1),0),$B54-1966)</f>
        <v>4409</v>
      </c>
    </row>
    <row r="55" spans="1:47" x14ac:dyDescent="0.35">
      <c r="A55" s="7">
        <v>1985</v>
      </c>
      <c r="B55" s="7">
        <f t="shared" si="2"/>
        <v>2021</v>
      </c>
      <c r="C55" s="7" cm="1">
        <f t="array" ref="C55">INDEX(GMWQ!$A$2:$LR$60,MATCH(1,(GMWQ!$LQ$2:$LQ$60=C$3)*(GMWQ!$LP$2:$LP$60=C$4)*(GMWQ!$LR$2:$LR$60=C$1),0),$B55-1966)</f>
        <v>264127</v>
      </c>
      <c r="D55" s="7" cm="1">
        <f t="array" ref="D55">INDEX(GMWQ!$A$2:$LR$60,MATCH(1,(GMWQ!$LQ$2:$LQ$60=D$3)*(GMWQ!$LP$2:$LP$60=D$4)*(GMWQ!$LR$2:$LR$60=D$1),0),$B55-1966)</f>
        <v>100.12390000000001</v>
      </c>
      <c r="E55" s="7" cm="1">
        <f t="array" ref="E55">INDEX(GMWQ!$A$2:$LR$60,MATCH(1,(GMWQ!$LQ$2:$LQ$60=E$3)*(GMWQ!$LP$2:$LP$60=E$4)*(GMWQ!$LR$2:$LR$60=E$1),0),$B55-1966)</f>
        <v>43.874229999999997</v>
      </c>
      <c r="F55" s="7" cm="1">
        <f t="array" ref="F55">INDEX(GMWQ!$A$2:$LR$60,MATCH(1,(GMWQ!$LQ$2:$LQ$60=F$3)*(GMWQ!$LP$2:$LP$60=F$4)*(GMWQ!$LR$2:$LR$60=F$1),0),$B55-1966)</f>
        <v>41815</v>
      </c>
      <c r="G55" s="7" cm="1">
        <f t="array" ref="G55">INDEX(GMWQ!$A$2:$LR$60,MATCH(1,(GMWQ!$LQ$2:$LQ$60=G$3)*(GMWQ!$LP$2:$LP$60=G$4)*(GMWQ!$LR$2:$LR$60=G$1),0),$B55-1966)</f>
        <v>8869.9509999999991</v>
      </c>
      <c r="H55" s="7" cm="1">
        <f t="array" ref="H55">INDEX(GMWQ!$A$2:$LR$60,MATCH(1,(GMWQ!$LQ$2:$LQ$60=H$3)*(GMWQ!$LP$2:$LP$60=H$4)*(GMWQ!$LR$2:$LR$60=H$1),0),$B55-1966)</f>
        <v>3061.973</v>
      </c>
      <c r="I55" s="7" cm="1">
        <f t="array" ref="I55">INDEX(GMWQ!$A$2:$LR$60,MATCH(1,(GMWQ!$LQ$2:$LQ$60=I$3)*(GMWQ!$LP$2:$LP$60=I$4)*(GMWQ!$LR$2:$LR$60=I$1),0),$B55-1966)</f>
        <v>42.206699999999998</v>
      </c>
      <c r="J55" s="7" cm="1">
        <f t="array" ref="J55">INDEX(GMWQ!$A$2:$LR$60,MATCH(1,(GMWQ!$LQ$2:$LQ$60=J$3)*(GMWQ!$LP$2:$LP$60=J$4)*(GMWQ!$LR$2:$LR$60=J$1),0),$B55-1966)</f>
        <v>20946.810000000001</v>
      </c>
      <c r="K55" s="7" cm="1">
        <f t="array" ref="K55">INDEX(GMWQ!$A$2:$LR$60,MATCH(1,(GMWQ!$LQ$2:$LQ$60=K$3)*(GMWQ!$LP$2:$LP$60=K$4)*(GMWQ!$LR$2:$LR$60=K$1),0),$B55-1966)</f>
        <v>12.875</v>
      </c>
      <c r="L55" s="7" cm="1">
        <f t="array" ref="L55">INDEX(GMWQ!$A$2:$LR$60,MATCH(1,(GMWQ!$LQ$2:$LQ$60=L$3)*(GMWQ!$LP$2:$LP$60=L$4)*(GMWQ!$LR$2:$LR$60=L$1),0),$B55-1966)</f>
        <v>11.5</v>
      </c>
      <c r="M55" s="7" cm="1">
        <f t="array" ref="M55">INDEX(GMWQ!$A$2:$LR$60,MATCH(1,(GMWQ!$LQ$2:$LQ$60=M$3)*(GMWQ!$LP$2:$LP$60=M$4)*(GMWQ!$LR$2:$LR$60=M$1),0),$B55-1966)</f>
        <v>14.70458</v>
      </c>
      <c r="N55" s="7" cm="1">
        <f t="array" ref="N55">INDEX(GMWQ!$A$2:$LR$60,MATCH(1,(GMWQ!$LQ$2:$LQ$60=N$3)*(GMWQ!$LP$2:$LP$60=N$4)*(GMWQ!$LR$2:$LR$60=N$1),0),$B55-1966)</f>
        <v>1E-3</v>
      </c>
      <c r="O55" s="7" cm="1">
        <f t="array" ref="O55">INDEX(GMWQ!$A$2:$LR$60,MATCH(1,(GMWQ!$LQ$2:$LQ$60=O$3)*(GMWQ!$LP$2:$LP$60=O$4)*(GMWQ!$LR$2:$LR$60=O$1),0),$B55-1966)</f>
        <v>1E-3</v>
      </c>
      <c r="P55" s="7" cm="1">
        <f t="array" ref="P55">INDEX(GMWQ!$A$2:$LR$60,MATCH(1,(GMWQ!$LQ$2:$LQ$60=P$3)*(GMWQ!$LP$2:$LP$60=P$4)*(GMWQ!$LR$2:$LR$60=P$1),0),$B55-1966)</f>
        <v>65471</v>
      </c>
      <c r="Q55" s="7" cm="1">
        <f t="array" ref="Q55">INDEX(GMWQ!$A$2:$LR$60,MATCH(1,(GMWQ!$LQ$2:$LQ$60=Q$3)*(GMWQ!$LP$2:$LP$60=Q$4)*(GMWQ!$LR$2:$LR$60=Q$1),0),$B55-1966)</f>
        <v>13.25</v>
      </c>
      <c r="R55" s="7" cm="1">
        <f t="array" ref="R55">INDEX(GMWQ!$A$2:$LR$60,MATCH(1,(GMWQ!$LQ$2:$LQ$60=R$3)*(GMWQ!$LP$2:$LP$60=R$4)*(GMWQ!$LR$2:$LR$60=R$1),0),$B55-1966)</f>
        <v>1E-3</v>
      </c>
      <c r="S55" s="7" cm="1">
        <f t="array" ref="S55">INDEX(GMWQ!$A$2:$LR$60,MATCH(1,(GMWQ!$LQ$2:$LQ$60=S$3)*(GMWQ!$LP$2:$LP$60=S$4)*(GMWQ!$LR$2:$LR$60=S$1),0),$B55-1966)</f>
        <v>432</v>
      </c>
      <c r="T55" s="7" cm="1">
        <f t="array" ref="T55">INDEX(GMWQ!$A$2:$LR$60,MATCH(1,(GMWQ!$LQ$2:$LQ$60=T$3)*(GMWQ!$LP$2:$LP$60=T$4)*(GMWQ!$LR$2:$LR$60=T$1),0),$B55-1966)</f>
        <v>1E-3</v>
      </c>
      <c r="U55" s="7" cm="1">
        <f t="array" ref="U55">INDEX(GMWQ!$A$2:$LR$60,MATCH(1,(GMWQ!$LQ$2:$LQ$60=U$3)*(GMWQ!$LP$2:$LP$60=U$4)*(GMWQ!$LR$2:$LR$60=U$1),0),$B55-1966)</f>
        <v>3346.74</v>
      </c>
      <c r="V55" s="7" cm="1">
        <f t="array" ref="V55">INDEX(GMWQ!$A$2:$LR$60,MATCH(1,(GMWQ!$LQ$2:$LQ$60=V$3)*(GMWQ!$LP$2:$LP$60=V$4)*(GMWQ!$LR$2:$LR$60=V$1),0),$B55-1966)</f>
        <v>1E-3</v>
      </c>
      <c r="W55" s="7" cm="1">
        <f t="array" ref="W55">INDEX(GMWQ!$A$2:$LR$60,MATCH(1,(GMWQ!$LQ$2:$LQ$60=W$3)*(GMWQ!$LP$2:$LP$60=W$4)*(GMWQ!$LR$2:$LR$60=W$1),0),$B55-1966)</f>
        <v>7.8576240000000004</v>
      </c>
      <c r="X55" s="7" cm="1">
        <f t="array" ref="X55">INDEX(GMWQ!$A$2:$LR$60,MATCH(1,(GMWQ!$LQ$2:$LQ$60=X$3)*(GMWQ!$LP$2:$LP$60=X$4)*(GMWQ!$LR$2:$LR$60=X$1),0),$B55-1966)</f>
        <v>994203.8</v>
      </c>
      <c r="Y55" s="7" cm="1">
        <f t="array" ref="Y55">INDEX(GMWQ!$A$2:$LR$60,MATCH(1,(GMWQ!$LQ$2:$LQ$60=Y$3)*(GMWQ!$LP$2:$LP$60=Y$4)*(GMWQ!$LR$2:$LR$60=Y$1),0),$B55-1966)</f>
        <v>37.637949999999996</v>
      </c>
      <c r="Z55" s="7" cm="1">
        <f t="array" ref="Z55">INDEX(GMWQ!$A$2:$LR$60,MATCH(1,(GMWQ!$LQ$2:$LQ$60=Z$3)*(GMWQ!$LP$2:$LP$60=Z$4)*(GMWQ!$LR$2:$LR$60=Z$1),0),$B55-1966)</f>
        <v>266649.3</v>
      </c>
      <c r="AA55" s="7" cm="1">
        <f t="array" ref="AA55">INDEX(GMWQ!$A$2:$LR$60,MATCH(1,(GMWQ!$LQ$2:$LQ$60=AA$3)*(GMWQ!$LP$2:$LP$60=AA$4)*(GMWQ!$LR$2:$LR$60=AA$1),0),$B55-1966)</f>
        <v>41736</v>
      </c>
      <c r="AB55" s="7" cm="1">
        <f t="array" ref="AB55">INDEX(GMWQ!$A$2:$LR$60,MATCH(1,(GMWQ!$LQ$2:$LQ$60=AB$3)*(GMWQ!$LP$2:$LP$60=AB$4)*(GMWQ!$LR$2:$LR$60=AB$1),0),$B55-1966)</f>
        <v>38146</v>
      </c>
      <c r="AC55" s="7" cm="1">
        <f t="array" ref="AC55">INDEX(GMWQ!$A$2:$LR$60,MATCH(1,(GMWQ!$LQ$2:$LQ$60=AC$3)*(GMWQ!$LP$2:$LP$60=AC$4)*(GMWQ!$LR$2:$LR$60=AC$1),0),$B55-1966)</f>
        <v>3009</v>
      </c>
      <c r="AD55" s="7" cm="1">
        <f t="array" ref="AD55">INDEX(GMWQ!$A$2:$LR$60,MATCH(1,(GMWQ!$LQ$2:$LQ$60=AD$3)*(GMWQ!$LP$2:$LP$60=AD$4)*(GMWQ!$LR$2:$LR$60=AD$1),0),$B55-1966)</f>
        <v>3440</v>
      </c>
      <c r="AE55" s="7" cm="1">
        <f t="array" ref="AE55">INDEX(GMWQ!$A$2:$LR$60,MATCH(1,(GMWQ!$LQ$2:$LQ$60=AE$3)*(GMWQ!$LP$2:$LP$60=AE$4)*(GMWQ!$LR$2:$LR$60=AE$1),0),$B55-1966)</f>
        <v>99412</v>
      </c>
      <c r="AF55" s="20" cm="1">
        <f t="array" ref="AF55">INDEX(GMWQ!$A$2:$LR$60,MATCH(1,(GMWQ!$LQ$2:$LQ$60=AF$3)*(GMWQ!$LP$2:$LP$60=AF$4)*(GMWQ!$LR$2:$LR$60=AF$1),0),$B55-1966)</f>
        <v>12.86914</v>
      </c>
      <c r="AG55" s="20" cm="1">
        <f t="array" ref="AG55">INDEX(GMWQ!$A$2:$LR$60,MATCH(1,(GMWQ!$LQ$2:$LQ$60=AG$3)*(GMWQ!$LP$2:$LP$60=AG$4)*(GMWQ!$LR$2:$LR$60=AG$1),0),$B55-1966)</f>
        <v>-437.20929999999998</v>
      </c>
      <c r="AI55" s="23" cm="1">
        <f t="array" ref="AI55">INDEX(GMWQ!$A$2:$LR$60,MATCH(1,(GMWQ!$LQ$2:$LQ$60=AI$3)*(GMWQ!$LP$2:$LP$60=AI$4)*(GMWQ!$LR$2:$LR$60=AI$1),0),$B55-1966)</f>
        <v>65471</v>
      </c>
      <c r="AJ55" s="23" cm="1">
        <f t="array" ref="AJ55">INDEX(GMWQ!$A$2:$LR$60,MATCH(1,(GMWQ!$LQ$2:$LQ$60=AJ$3)*(GMWQ!$LP$2:$LP$60=AJ$4)*(GMWQ!$LR$2:$LR$60=AJ$1),0),$B55-1966)</f>
        <v>42.206699999999998</v>
      </c>
      <c r="AK55" s="23" cm="1">
        <f t="array" ref="AK55">INDEX(GMWQ!$A$2:$LR$60,MATCH(1,(GMWQ!$LQ$2:$LQ$60=AK$3)*(GMWQ!$LP$2:$LP$60=AK$4)*(GMWQ!$LR$2:$LR$60=AK$1),0),$B55-1966)</f>
        <v>41815</v>
      </c>
      <c r="AL55" s="23" cm="1">
        <f t="array" ref="AL55">INDEX(GMWQ!$A$2:$LR$60,MATCH(1,(GMWQ!$LQ$2:$LQ$60=AL$3)*(GMWQ!$LP$2:$LP$60=AL$4)*(GMWQ!$LR$2:$LR$60=AL$1),0),$B55-1966)</f>
        <v>1996.2460000000001</v>
      </c>
      <c r="AM55" s="23" cm="1">
        <f t="array" ref="AM55">INDEX(GMWQ!$A$2:$LR$60,MATCH(1,(GMWQ!$LQ$2:$LQ$60=AM$3)*(GMWQ!$LP$2:$LP$60=AM$4)*(GMWQ!$LR$2:$LR$60=AM$1),0),$B55-1966)</f>
        <v>20946.810000000001</v>
      </c>
      <c r="AN55" s="23" cm="1">
        <f t="array" ref="AN55">INDEX(GMWQ!$A$2:$LR$60,MATCH(1,(GMWQ!$LQ$2:$LQ$60=AN$3)*(GMWQ!$LP$2:$LP$60=AN$4)*(GMWQ!$LR$2:$LR$60=AN$1),0),$B55-1966)</f>
        <v>8869.9509999999991</v>
      </c>
      <c r="AO55" s="23" cm="1">
        <f t="array" ref="AO55">INDEX(GMWQ!$A$2:$LR$60,MATCH(1,(GMWQ!$LQ$2:$LQ$60=AO$3)*(GMWQ!$LP$2:$LP$60=AO$4)*(GMWQ!$LR$2:$LR$60=AO$1),0),$B55-1966)</f>
        <v>3061.973</v>
      </c>
      <c r="AP55" s="23" cm="1">
        <f t="array" ref="AP55">INDEX(GMWQ!$A$2:$LR$60,MATCH(1,(GMWQ!$LQ$2:$LQ$60=AP$3)*(GMWQ!$LP$2:$LP$60=AP$4)*(GMWQ!$LR$2:$LR$60=AP$1),0),$B55-1966)</f>
        <v>-437.20929999999998</v>
      </c>
      <c r="AQ55" s="23" cm="1">
        <f t="array" ref="AQ55">INDEX(GMWQ!$A$2:$LR$60,MATCH(1,(GMWQ!$LQ$2:$LQ$60=AQ$3)*(GMWQ!$LP$2:$LP$60=AQ$4)*(GMWQ!$LR$2:$LR$60=AQ$1),0),$B55-1966)</f>
        <v>11003.76</v>
      </c>
      <c r="AR55" s="23" cm="1">
        <f t="array" ref="AR55">INDEX(GMWQ!$A$2:$LR$60,MATCH(1,(GMWQ!$LQ$2:$LQ$60=AR$3)*(GMWQ!$LP$2:$LP$60=AR$4)*(GMWQ!$LR$2:$LR$60=AR$1),0),$B55-1966)</f>
        <v>59893</v>
      </c>
      <c r="AS55" s="23" cm="1">
        <f t="array" ref="AS55">INDEX(GMWQ!$A$2:$LR$60,MATCH(1,(GMWQ!$LQ$2:$LQ$60=AS$3)*(GMWQ!$LP$2:$LP$60=AS$4)*(GMWQ!$LR$2:$LR$60=AS$1),0),$B55-1966)</f>
        <v>1178</v>
      </c>
      <c r="AT55" s="23" cm="1">
        <f t="array" ref="AT55">INDEX(GMWQ!$A$2:$LR$60,MATCH(1,(GMWQ!$LQ$2:$LQ$60=AT$3)*(GMWQ!$LP$2:$LP$60=AT$4)*(GMWQ!$LR$2:$LR$60=AT$1),0),$B55-1966)</f>
        <v>141904</v>
      </c>
      <c r="AU55" s="23" cm="1">
        <f t="array" ref="AU55">INDEX(GMWQ!$A$2:$LR$60,MATCH(1,(GMWQ!$LQ$2:$LQ$60=AU$3)*(GMWQ!$LP$2:$LP$60=AU$4)*(GMWQ!$LR$2:$LR$60=AU$1),0),$B55-1966)</f>
        <v>4602</v>
      </c>
    </row>
    <row r="56" spans="1:47" x14ac:dyDescent="0.35">
      <c r="B56" s="7">
        <f t="shared" si="2"/>
        <v>2022</v>
      </c>
      <c r="C56" s="7" cm="1">
        <f t="array" ref="C56">INDEX(GMWQ!$A$2:$LR$60,MATCH(1,(GMWQ!$LQ$2:$LQ$60=C$3)*(GMWQ!$LP$2:$LP$60=C$4)*(GMWQ!$LR$2:$LR$60=C$1),0),$B56-1966)</f>
        <v>269787</v>
      </c>
      <c r="D56" s="7" cm="1">
        <f t="array" ref="D56">INDEX(GMWQ!$A$2:$LR$60,MATCH(1,(GMWQ!$LQ$2:$LQ$60=D$3)*(GMWQ!$LP$2:$LP$60=D$4)*(GMWQ!$LR$2:$LR$60=D$1),0),$B56-1966)</f>
        <v>104.4909</v>
      </c>
      <c r="E56" s="7" cm="1">
        <f t="array" ref="E56">INDEX(GMWQ!$A$2:$LR$60,MATCH(1,(GMWQ!$LQ$2:$LQ$60=E$3)*(GMWQ!$LP$2:$LP$60=E$4)*(GMWQ!$LR$2:$LR$60=E$1),0),$B56-1966)</f>
        <v>44.995199999999997</v>
      </c>
      <c r="F56" s="7" cm="1">
        <f t="array" ref="F56">INDEX(GMWQ!$A$2:$LR$60,MATCH(1,(GMWQ!$LQ$2:$LQ$60=F$3)*(GMWQ!$LP$2:$LP$60=F$4)*(GMWQ!$LR$2:$LR$60=F$1),0),$B56-1966)</f>
        <v>42291</v>
      </c>
      <c r="G56" s="7" cm="1">
        <f t="array" ref="G56">INDEX(GMWQ!$A$2:$LR$60,MATCH(1,(GMWQ!$LQ$2:$LQ$60=G$3)*(GMWQ!$LP$2:$LP$60=G$4)*(GMWQ!$LR$2:$LR$60=G$1),0),$B56-1966)</f>
        <v>9245.7970000000005</v>
      </c>
      <c r="H56" s="7" cm="1">
        <f t="array" ref="H56">INDEX(GMWQ!$A$2:$LR$60,MATCH(1,(GMWQ!$LQ$2:$LQ$60=H$3)*(GMWQ!$LP$2:$LP$60=H$4)*(GMWQ!$LR$2:$LR$60=H$1),0),$B56-1966)</f>
        <v>3126.38</v>
      </c>
      <c r="I56" s="7" cm="1">
        <f t="array" ref="I56">INDEX(GMWQ!$A$2:$LR$60,MATCH(1,(GMWQ!$LQ$2:$LQ$60=I$3)*(GMWQ!$LP$2:$LP$60=I$4)*(GMWQ!$LR$2:$LR$60=I$1),0),$B56-1966)</f>
        <v>42.924439999999997</v>
      </c>
      <c r="J56" s="7" cm="1">
        <f t="array" ref="J56">INDEX(GMWQ!$A$2:$LR$60,MATCH(1,(GMWQ!$LQ$2:$LQ$60=J$3)*(GMWQ!$LP$2:$LP$60=J$4)*(GMWQ!$LR$2:$LR$60=J$1),0),$B56-1966)</f>
        <v>20978.32</v>
      </c>
      <c r="K56" s="7" cm="1">
        <f t="array" ref="K56">INDEX(GMWQ!$A$2:$LR$60,MATCH(1,(GMWQ!$LQ$2:$LQ$60=K$3)*(GMWQ!$LP$2:$LP$60=K$4)*(GMWQ!$LR$2:$LR$60=K$1),0),$B56-1966)</f>
        <v>12.375</v>
      </c>
      <c r="L56" s="7" cm="1">
        <f t="array" ref="L56">INDEX(GMWQ!$A$2:$LR$60,MATCH(1,(GMWQ!$LQ$2:$LQ$60=L$3)*(GMWQ!$LP$2:$LP$60=L$4)*(GMWQ!$LR$2:$LR$60=L$1),0),$B56-1966)</f>
        <v>11.4</v>
      </c>
      <c r="M56" s="7" cm="1">
        <f t="array" ref="M56">INDEX(GMWQ!$A$2:$LR$60,MATCH(1,(GMWQ!$LQ$2:$LQ$60=M$3)*(GMWQ!$LP$2:$LP$60=M$4)*(GMWQ!$LR$2:$LR$60=M$1),0),$B56-1966)</f>
        <v>15.187799999999999</v>
      </c>
      <c r="N56" s="7" cm="1">
        <f t="array" ref="N56">INDEX(GMWQ!$A$2:$LR$60,MATCH(1,(GMWQ!$LQ$2:$LQ$60=N$3)*(GMWQ!$LP$2:$LP$60=N$4)*(GMWQ!$LR$2:$LR$60=N$1),0),$B56-1966)</f>
        <v>1E-3</v>
      </c>
      <c r="O56" s="7" cm="1">
        <f t="array" ref="O56">INDEX(GMWQ!$A$2:$LR$60,MATCH(1,(GMWQ!$LQ$2:$LQ$60=O$3)*(GMWQ!$LP$2:$LP$60=O$4)*(GMWQ!$LR$2:$LR$60=O$1),0),$B56-1966)</f>
        <v>1E-3</v>
      </c>
      <c r="P56" s="7" cm="1">
        <f t="array" ref="P56">INDEX(GMWQ!$A$2:$LR$60,MATCH(1,(GMWQ!$LQ$2:$LQ$60=P$3)*(GMWQ!$LP$2:$LP$60=P$4)*(GMWQ!$LR$2:$LR$60=P$1),0),$B56-1966)</f>
        <v>66622</v>
      </c>
      <c r="Q56" s="7" cm="1">
        <f t="array" ref="Q56">INDEX(GMWQ!$A$2:$LR$60,MATCH(1,(GMWQ!$LQ$2:$LQ$60=Q$3)*(GMWQ!$LP$2:$LP$60=Q$4)*(GMWQ!$LR$2:$LR$60=Q$1),0),$B56-1966)</f>
        <v>14.26</v>
      </c>
      <c r="R56" s="7" cm="1">
        <f t="array" ref="R56">INDEX(GMWQ!$A$2:$LR$60,MATCH(1,(GMWQ!$LQ$2:$LQ$60=R$3)*(GMWQ!$LP$2:$LP$60=R$4)*(GMWQ!$LR$2:$LR$60=R$1),0),$B56-1966)</f>
        <v>1E-3</v>
      </c>
      <c r="S56" s="7" cm="1">
        <f t="array" ref="S56">INDEX(GMWQ!$A$2:$LR$60,MATCH(1,(GMWQ!$LQ$2:$LQ$60=S$3)*(GMWQ!$LP$2:$LP$60=S$4)*(GMWQ!$LR$2:$LR$60=S$1),0),$B56-1966)</f>
        <v>451</v>
      </c>
      <c r="T56" s="7" cm="1">
        <f t="array" ref="T56">INDEX(GMWQ!$A$2:$LR$60,MATCH(1,(GMWQ!$LQ$2:$LQ$60=T$3)*(GMWQ!$LP$2:$LP$60=T$4)*(GMWQ!$LR$2:$LR$60=T$1),0),$B56-1966)</f>
        <v>1E-3</v>
      </c>
      <c r="U56" s="7" cm="1">
        <f t="array" ref="U56">INDEX(GMWQ!$A$2:$LR$60,MATCH(1,(GMWQ!$LQ$2:$LQ$60=U$3)*(GMWQ!$LP$2:$LP$60=U$4)*(GMWQ!$LR$2:$LR$60=U$1),0),$B56-1966)</f>
        <v>3985.5509999999999</v>
      </c>
      <c r="V56" s="7" cm="1">
        <f t="array" ref="V56">INDEX(GMWQ!$A$2:$LR$60,MATCH(1,(GMWQ!$LQ$2:$LQ$60=V$3)*(GMWQ!$LP$2:$LP$60=V$4)*(GMWQ!$LR$2:$LR$60=V$1),0),$B56-1966)</f>
        <v>1E-3</v>
      </c>
      <c r="W56" s="7" cm="1">
        <f t="array" ref="W56">INDEX(GMWQ!$A$2:$LR$60,MATCH(1,(GMWQ!$LQ$2:$LQ$60=W$3)*(GMWQ!$LP$2:$LP$60=W$4)*(GMWQ!$LR$2:$LR$60=W$1),0),$B56-1966)</f>
        <v>6.7878939999999997</v>
      </c>
      <c r="X56" s="7" cm="1">
        <f t="array" ref="X56">INDEX(GMWQ!$A$2:$LR$60,MATCH(1,(GMWQ!$LQ$2:$LQ$60=X$3)*(GMWQ!$LP$2:$LP$60=X$4)*(GMWQ!$LR$2:$LR$60=X$1),0),$B56-1966)</f>
        <v>974898.8</v>
      </c>
      <c r="Y56" s="7" cm="1">
        <f t="array" ref="Y56">INDEX(GMWQ!$A$2:$LR$60,MATCH(1,(GMWQ!$LQ$2:$LQ$60=Y$3)*(GMWQ!$LP$2:$LP$60=Y$4)*(GMWQ!$LR$2:$LR$60=Y$1),0),$B56-1966)</f>
        <v>38.255360000000003</v>
      </c>
      <c r="Z56" s="7" cm="1">
        <f t="array" ref="Z56">INDEX(GMWQ!$A$2:$LR$60,MATCH(1,(GMWQ!$LQ$2:$LQ$60=Z$3)*(GMWQ!$LP$2:$LP$60=Z$4)*(GMWQ!$LR$2:$LR$60=Z$1),0),$B56-1966)</f>
        <v>268323.20000000001</v>
      </c>
      <c r="AA56" s="7" cm="1">
        <f t="array" ref="AA56">INDEX(GMWQ!$A$2:$LR$60,MATCH(1,(GMWQ!$LQ$2:$LQ$60=AA$3)*(GMWQ!$LP$2:$LP$60=AA$4)*(GMWQ!$LR$2:$LR$60=AA$1),0),$B56-1966)</f>
        <v>35896</v>
      </c>
      <c r="AB56" s="7" cm="1">
        <f t="array" ref="AB56">INDEX(GMWQ!$A$2:$LR$60,MATCH(1,(GMWQ!$LQ$2:$LQ$60=AB$3)*(GMWQ!$LP$2:$LP$60=AB$4)*(GMWQ!$LR$2:$LR$60=AB$1),0),$B56-1966)</f>
        <v>36578</v>
      </c>
      <c r="AC56" s="7" cm="1">
        <f t="array" ref="AC56">INDEX(GMWQ!$A$2:$LR$60,MATCH(1,(GMWQ!$LQ$2:$LQ$60=AC$3)*(GMWQ!$LP$2:$LP$60=AC$4)*(GMWQ!$LR$2:$LR$60=AC$1),0),$B56-1966)</f>
        <v>726</v>
      </c>
      <c r="AD56" s="7" cm="1">
        <f t="array" ref="AD56">INDEX(GMWQ!$A$2:$LR$60,MATCH(1,(GMWQ!$LQ$2:$LQ$60=AD$3)*(GMWQ!$LP$2:$LP$60=AD$4)*(GMWQ!$LR$2:$LR$60=AD$1),0),$B56-1966)</f>
        <v>3502</v>
      </c>
      <c r="AE56" s="7" cm="1">
        <f t="array" ref="AE56">INDEX(GMWQ!$A$2:$LR$60,MATCH(1,(GMWQ!$LQ$2:$LQ$60=AE$3)*(GMWQ!$LP$2:$LP$60=AE$4)*(GMWQ!$LR$2:$LR$60=AE$1),0),$B56-1966)</f>
        <v>103208</v>
      </c>
      <c r="AF56" s="20" cm="1">
        <f t="array" ref="AF56">INDEX(GMWQ!$A$2:$LR$60,MATCH(1,(GMWQ!$LQ$2:$LQ$60=AF$3)*(GMWQ!$LP$2:$LP$60=AF$4)*(GMWQ!$LR$2:$LR$60=AF$1),0),$B56-1966)</f>
        <v>12.48269</v>
      </c>
      <c r="AG56" s="20" cm="1">
        <f t="array" ref="AG56">INDEX(GMWQ!$A$2:$LR$60,MATCH(1,(GMWQ!$LQ$2:$LQ$60=AG$3)*(GMWQ!$LP$2:$LP$60=AG$4)*(GMWQ!$LR$2:$LR$60=AG$1),0),$B56-1966)</f>
        <v>-784.74419999999998</v>
      </c>
      <c r="AI56" s="23" cm="1">
        <f t="array" ref="AI56">INDEX(GMWQ!$A$2:$LR$60,MATCH(1,(GMWQ!$LQ$2:$LQ$60=AI$3)*(GMWQ!$LP$2:$LP$60=AI$4)*(GMWQ!$LR$2:$LR$60=AI$1),0),$B56-1966)</f>
        <v>66622</v>
      </c>
      <c r="AJ56" s="23" cm="1">
        <f t="array" ref="AJ56">INDEX(GMWQ!$A$2:$LR$60,MATCH(1,(GMWQ!$LQ$2:$LQ$60=AJ$3)*(GMWQ!$LP$2:$LP$60=AJ$4)*(GMWQ!$LR$2:$LR$60=AJ$1),0),$B56-1966)</f>
        <v>42.924439999999997</v>
      </c>
      <c r="AK56" s="23" cm="1">
        <f t="array" ref="AK56">INDEX(GMWQ!$A$2:$LR$60,MATCH(1,(GMWQ!$LQ$2:$LQ$60=AK$3)*(GMWQ!$LP$2:$LP$60=AK$4)*(GMWQ!$LR$2:$LR$60=AK$1),0),$B56-1966)</f>
        <v>42291</v>
      </c>
      <c r="AL56" s="23" cm="1">
        <f t="array" ref="AL56">INDEX(GMWQ!$A$2:$LR$60,MATCH(1,(GMWQ!$LQ$2:$LQ$60=AL$3)*(GMWQ!$LP$2:$LP$60=AL$4)*(GMWQ!$LR$2:$LR$60=AL$1),0),$B56-1966)</f>
        <v>2015.9390000000001</v>
      </c>
      <c r="AM56" s="23" cm="1">
        <f t="array" ref="AM56">INDEX(GMWQ!$A$2:$LR$60,MATCH(1,(GMWQ!$LQ$2:$LQ$60=AM$3)*(GMWQ!$LP$2:$LP$60=AM$4)*(GMWQ!$LR$2:$LR$60=AM$1),0),$B56-1966)</f>
        <v>20978.32</v>
      </c>
      <c r="AN56" s="23" cm="1">
        <f t="array" ref="AN56">INDEX(GMWQ!$A$2:$LR$60,MATCH(1,(GMWQ!$LQ$2:$LQ$60=AN$3)*(GMWQ!$LP$2:$LP$60=AN$4)*(GMWQ!$LR$2:$LR$60=AN$1),0),$B56-1966)</f>
        <v>9245.7970000000005</v>
      </c>
      <c r="AO56" s="23" cm="1">
        <f t="array" ref="AO56">INDEX(GMWQ!$A$2:$LR$60,MATCH(1,(GMWQ!$LQ$2:$LQ$60=AO$3)*(GMWQ!$LP$2:$LP$60=AO$4)*(GMWQ!$LR$2:$LR$60=AO$1),0),$B56-1966)</f>
        <v>3126.38</v>
      </c>
      <c r="AP56" s="23" cm="1">
        <f t="array" ref="AP56">INDEX(GMWQ!$A$2:$LR$60,MATCH(1,(GMWQ!$LQ$2:$LQ$60=AP$3)*(GMWQ!$LP$2:$LP$60=AP$4)*(GMWQ!$LR$2:$LR$60=AP$1),0),$B56-1966)</f>
        <v>-784.74419999999998</v>
      </c>
      <c r="AQ56" s="23" cm="1">
        <f t="array" ref="AQ56">INDEX(GMWQ!$A$2:$LR$60,MATCH(1,(GMWQ!$LQ$2:$LQ$60=AQ$3)*(GMWQ!$LP$2:$LP$60=AQ$4)*(GMWQ!$LR$2:$LR$60=AQ$1),0),$B56-1966)</f>
        <v>11398.87</v>
      </c>
      <c r="AR56" s="23" cm="1">
        <f t="array" ref="AR56">INDEX(GMWQ!$A$2:$LR$60,MATCH(1,(GMWQ!$LQ$2:$LQ$60=AR$3)*(GMWQ!$LP$2:$LP$60=AR$4)*(GMWQ!$LR$2:$LR$60=AR$1),0),$B56-1966)</f>
        <v>61233</v>
      </c>
      <c r="AS56" s="23" cm="1">
        <f t="array" ref="AS56">INDEX(GMWQ!$A$2:$LR$60,MATCH(1,(GMWQ!$LQ$2:$LQ$60=AS$3)*(GMWQ!$LP$2:$LP$60=AS$4)*(GMWQ!$LR$2:$LR$60=AS$1),0),$B56-1966)</f>
        <v>1070</v>
      </c>
      <c r="AT56" s="23" cm="1">
        <f t="array" ref="AT56">INDEX(GMWQ!$A$2:$LR$60,MATCH(1,(GMWQ!$LQ$2:$LQ$60=AT$3)*(GMWQ!$LP$2:$LP$60=AT$4)*(GMWQ!$LR$2:$LR$60=AT$1),0),$B56-1966)</f>
        <v>142653</v>
      </c>
      <c r="AU56" s="23" cm="1">
        <f t="array" ref="AU56">INDEX(GMWQ!$A$2:$LR$60,MATCH(1,(GMWQ!$LQ$2:$LQ$60=AU$3)*(GMWQ!$LP$2:$LP$60=AU$4)*(GMWQ!$LR$2:$LR$60=AU$1),0),$B56-1966)</f>
        <v>4517</v>
      </c>
    </row>
    <row r="57" spans="1:47" x14ac:dyDescent="0.35">
      <c r="B57" s="7">
        <f t="shared" si="2"/>
        <v>2023</v>
      </c>
      <c r="C57" s="7" cm="1">
        <f t="array" ref="C57">INDEX(GMWQ!$A$2:$LR$60,MATCH(1,(GMWQ!$LQ$2:$LQ$60=C$3)*(GMWQ!$LP$2:$LP$60=C$4)*(GMWQ!$LR$2:$LR$60=C$1),0),$B57-1966)</f>
        <v>269737</v>
      </c>
      <c r="D57" s="7" cm="1">
        <f t="array" ref="D57">INDEX(GMWQ!$A$2:$LR$60,MATCH(1,(GMWQ!$LQ$2:$LQ$60=D$3)*(GMWQ!$LP$2:$LP$60=D$4)*(GMWQ!$LR$2:$LR$60=D$1),0),$B57-1966)</f>
        <v>107.6677</v>
      </c>
      <c r="E57" s="7" cm="1">
        <f t="array" ref="E57">INDEX(GMWQ!$A$2:$LR$60,MATCH(1,(GMWQ!$LQ$2:$LQ$60=E$3)*(GMWQ!$LP$2:$LP$60=E$4)*(GMWQ!$LR$2:$LR$60=E$1),0),$B57-1966)</f>
        <v>45.125549999999997</v>
      </c>
      <c r="F57" s="7" cm="1">
        <f t="array" ref="F57">INDEX(GMWQ!$A$2:$LR$60,MATCH(1,(GMWQ!$LQ$2:$LQ$60=F$3)*(GMWQ!$LP$2:$LP$60=F$4)*(GMWQ!$LR$2:$LR$60=F$1),0),$B57-1966)</f>
        <v>42933</v>
      </c>
      <c r="G57" s="7" cm="1">
        <f t="array" ref="G57">INDEX(GMWQ!$A$2:$LR$60,MATCH(1,(GMWQ!$LQ$2:$LQ$60=G$3)*(GMWQ!$LP$2:$LP$60=G$4)*(GMWQ!$LR$2:$LR$60=G$1),0),$B57-1966)</f>
        <v>9578.1229999999996</v>
      </c>
      <c r="H57" s="7" cm="1">
        <f t="array" ref="H57">INDEX(GMWQ!$A$2:$LR$60,MATCH(1,(GMWQ!$LQ$2:$LQ$60=H$3)*(GMWQ!$LP$2:$LP$60=H$4)*(GMWQ!$LR$2:$LR$60=H$1),0),$B57-1966)</f>
        <v>3263.6410000000001</v>
      </c>
      <c r="I57" s="7" cm="1">
        <f t="array" ref="I57">INDEX(GMWQ!$A$2:$LR$60,MATCH(1,(GMWQ!$LQ$2:$LQ$60=I$3)*(GMWQ!$LP$2:$LP$60=I$4)*(GMWQ!$LR$2:$LR$60=I$1),0),$B57-1966)</f>
        <v>43.571120000000001</v>
      </c>
      <c r="J57" s="7" cm="1">
        <f t="array" ref="J57">INDEX(GMWQ!$A$2:$LR$60,MATCH(1,(GMWQ!$LQ$2:$LQ$60=J$3)*(GMWQ!$LP$2:$LP$60=J$4)*(GMWQ!$LR$2:$LR$60=J$1),0),$B57-1966)</f>
        <v>21011.62</v>
      </c>
      <c r="K57" s="7" cm="1">
        <f t="array" ref="K57">INDEX(GMWQ!$A$2:$LR$60,MATCH(1,(GMWQ!$LQ$2:$LQ$60=K$3)*(GMWQ!$LP$2:$LP$60=K$4)*(GMWQ!$LR$2:$LR$60=K$1),0),$B57-1966)</f>
        <v>11.375</v>
      </c>
      <c r="L57" s="7" cm="1">
        <f t="array" ref="L57">INDEX(GMWQ!$A$2:$LR$60,MATCH(1,(GMWQ!$LQ$2:$LQ$60=L$3)*(GMWQ!$LP$2:$LP$60=L$4)*(GMWQ!$LR$2:$LR$60=L$1),0),$B57-1966)</f>
        <v>11.3</v>
      </c>
      <c r="M57" s="7" cm="1">
        <f t="array" ref="M57">INDEX(GMWQ!$A$2:$LR$60,MATCH(1,(GMWQ!$LQ$2:$LQ$60=M$3)*(GMWQ!$LP$2:$LP$60=M$4)*(GMWQ!$LR$2:$LR$60=M$1),0),$B57-1966)</f>
        <v>15.511990000000001</v>
      </c>
      <c r="N57" s="7" cm="1">
        <f t="array" ref="N57">INDEX(GMWQ!$A$2:$LR$60,MATCH(1,(GMWQ!$LQ$2:$LQ$60=N$3)*(GMWQ!$LP$2:$LP$60=N$4)*(GMWQ!$LR$2:$LR$60=N$1),0),$B57-1966)</f>
        <v>1E-3</v>
      </c>
      <c r="O57" s="7" cm="1">
        <f t="array" ref="O57">INDEX(GMWQ!$A$2:$LR$60,MATCH(1,(GMWQ!$LQ$2:$LQ$60=O$3)*(GMWQ!$LP$2:$LP$60=O$4)*(GMWQ!$LR$2:$LR$60=O$1),0),$B57-1966)</f>
        <v>1E-3</v>
      </c>
      <c r="P57" s="7" cm="1">
        <f t="array" ref="P57">INDEX(GMWQ!$A$2:$LR$60,MATCH(1,(GMWQ!$LQ$2:$LQ$60=P$3)*(GMWQ!$LP$2:$LP$60=P$4)*(GMWQ!$LR$2:$LR$60=P$1),0),$B57-1966)</f>
        <v>67715</v>
      </c>
      <c r="Q57" s="7" cm="1">
        <f t="array" ref="Q57">INDEX(GMWQ!$A$2:$LR$60,MATCH(1,(GMWQ!$LQ$2:$LQ$60=Q$3)*(GMWQ!$LP$2:$LP$60=Q$4)*(GMWQ!$LR$2:$LR$60=Q$1),0),$B57-1966)</f>
        <v>13.06</v>
      </c>
      <c r="R57" s="7" cm="1">
        <f t="array" ref="R57">INDEX(GMWQ!$A$2:$LR$60,MATCH(1,(GMWQ!$LQ$2:$LQ$60=R$3)*(GMWQ!$LP$2:$LP$60=R$4)*(GMWQ!$LR$2:$LR$60=R$1),0),$B57-1966)</f>
        <v>1E-3</v>
      </c>
      <c r="S57" s="7" cm="1">
        <f t="array" ref="S57">INDEX(GMWQ!$A$2:$LR$60,MATCH(1,(GMWQ!$LQ$2:$LQ$60=S$3)*(GMWQ!$LP$2:$LP$60=S$4)*(GMWQ!$LR$2:$LR$60=S$1),0),$B57-1966)</f>
        <v>435</v>
      </c>
      <c r="T57" s="7" cm="1">
        <f t="array" ref="T57">INDEX(GMWQ!$A$2:$LR$60,MATCH(1,(GMWQ!$LQ$2:$LQ$60=T$3)*(GMWQ!$LP$2:$LP$60=T$4)*(GMWQ!$LR$2:$LR$60=T$1),0),$B57-1966)</f>
        <v>1E-3</v>
      </c>
      <c r="U57" s="7" cm="1">
        <f t="array" ref="U57">INDEX(GMWQ!$A$2:$LR$60,MATCH(1,(GMWQ!$LQ$2:$LQ$60=U$3)*(GMWQ!$LP$2:$LP$60=U$4)*(GMWQ!$LR$2:$LR$60=U$1),0),$B57-1966)</f>
        <v>4640.1570000000002</v>
      </c>
      <c r="V57" s="7" cm="1">
        <f t="array" ref="V57">INDEX(GMWQ!$A$2:$LR$60,MATCH(1,(GMWQ!$LQ$2:$LQ$60=V$3)*(GMWQ!$LP$2:$LP$60=V$4)*(GMWQ!$LR$2:$LR$60=V$1),0),$B57-1966)</f>
        <v>1E-3</v>
      </c>
      <c r="W57" s="7" cm="1">
        <f t="array" ref="W57">INDEX(GMWQ!$A$2:$LR$60,MATCH(1,(GMWQ!$LQ$2:$LQ$60=W$3)*(GMWQ!$LP$2:$LP$60=W$4)*(GMWQ!$LR$2:$LR$60=W$1),0),$B57-1966)</f>
        <v>6.5390199999999998</v>
      </c>
      <c r="X57" s="7" cm="1">
        <f t="array" ref="X57">INDEX(GMWQ!$A$2:$LR$60,MATCH(1,(GMWQ!$LQ$2:$LQ$60=X$3)*(GMWQ!$LP$2:$LP$60=X$4)*(GMWQ!$LR$2:$LR$60=X$1),0),$B57-1966)</f>
        <v>961132.1</v>
      </c>
      <c r="Y57" s="7" cm="1">
        <f t="array" ref="Y57">INDEX(GMWQ!$A$2:$LR$60,MATCH(1,(GMWQ!$LQ$2:$LQ$60=Y$3)*(GMWQ!$LP$2:$LP$60=Y$4)*(GMWQ!$LR$2:$LR$60=Y$1),0),$B57-1966)</f>
        <v>38.989460000000001</v>
      </c>
      <c r="Z57" s="7" cm="1">
        <f t="array" ref="Z57">INDEX(GMWQ!$A$2:$LR$60,MATCH(1,(GMWQ!$LQ$2:$LQ$60=Z$3)*(GMWQ!$LP$2:$LP$60=Z$4)*(GMWQ!$LR$2:$LR$60=Z$1),0),$B57-1966)</f>
        <v>270105.2</v>
      </c>
      <c r="AA57" s="7" cm="1">
        <f t="array" ref="AA57">INDEX(GMWQ!$A$2:$LR$60,MATCH(1,(GMWQ!$LQ$2:$LQ$60=AA$3)*(GMWQ!$LP$2:$LP$60=AA$4)*(GMWQ!$LR$2:$LR$60=AA$1),0),$B57-1966)</f>
        <v>40482</v>
      </c>
      <c r="AB57" s="7" cm="1">
        <f t="array" ref="AB57">INDEX(GMWQ!$A$2:$LR$60,MATCH(1,(GMWQ!$LQ$2:$LQ$60=AB$3)*(GMWQ!$LP$2:$LP$60=AB$4)*(GMWQ!$LR$2:$LR$60=AB$1),0),$B57-1966)</f>
        <v>36810</v>
      </c>
      <c r="AC57" s="7" cm="1">
        <f t="array" ref="AC57">INDEX(GMWQ!$A$2:$LR$60,MATCH(1,(GMWQ!$LQ$2:$LQ$60=AC$3)*(GMWQ!$LP$2:$LP$60=AC$4)*(GMWQ!$LR$2:$LR$60=AC$1),0),$B57-1966)</f>
        <v>1679</v>
      </c>
      <c r="AD57" s="7" cm="1">
        <f t="array" ref="AD57">INDEX(GMWQ!$A$2:$LR$60,MATCH(1,(GMWQ!$LQ$2:$LQ$60=AD$3)*(GMWQ!$LP$2:$LP$60=AD$4)*(GMWQ!$LR$2:$LR$60=AD$1),0),$B57-1966)</f>
        <v>3568</v>
      </c>
      <c r="AE57" s="7" cm="1">
        <f t="array" ref="AE57">INDEX(GMWQ!$A$2:$LR$60,MATCH(1,(GMWQ!$LQ$2:$LQ$60=AE$3)*(GMWQ!$LP$2:$LP$60=AE$4)*(GMWQ!$LR$2:$LR$60=AE$1),0),$B57-1966)</f>
        <v>105169</v>
      </c>
      <c r="AF57" s="20" cm="1">
        <f t="array" ref="AF57">INDEX(GMWQ!$A$2:$LR$60,MATCH(1,(GMWQ!$LQ$2:$LQ$60=AF$3)*(GMWQ!$LP$2:$LP$60=AF$4)*(GMWQ!$LR$2:$LR$60=AF$1),0),$B57-1966)</f>
        <v>11.579549999999999</v>
      </c>
      <c r="AG57" s="20" cm="1">
        <f t="array" ref="AG57">INDEX(GMWQ!$A$2:$LR$60,MATCH(1,(GMWQ!$LQ$2:$LQ$60=AG$3)*(GMWQ!$LP$2:$LP$60=AG$4)*(GMWQ!$LR$2:$LR$60=AG$1),0),$B57-1966)</f>
        <v>-470.6977</v>
      </c>
      <c r="AI57" s="23" cm="1">
        <f t="array" ref="AI57">INDEX(GMWQ!$A$2:$LR$60,MATCH(1,(GMWQ!$LQ$2:$LQ$60=AI$3)*(GMWQ!$LP$2:$LP$60=AI$4)*(GMWQ!$LR$2:$LR$60=AI$1),0),$B57-1966)</f>
        <v>67715</v>
      </c>
      <c r="AJ57" s="23" cm="1">
        <f t="array" ref="AJ57">INDEX(GMWQ!$A$2:$LR$60,MATCH(1,(GMWQ!$LQ$2:$LQ$60=AJ$3)*(GMWQ!$LP$2:$LP$60=AJ$4)*(GMWQ!$LR$2:$LR$60=AJ$1),0),$B57-1966)</f>
        <v>43.571120000000001</v>
      </c>
      <c r="AK57" s="23" cm="1">
        <f t="array" ref="AK57">INDEX(GMWQ!$A$2:$LR$60,MATCH(1,(GMWQ!$LQ$2:$LQ$60=AK$3)*(GMWQ!$LP$2:$LP$60=AK$4)*(GMWQ!$LR$2:$LR$60=AK$1),0),$B57-1966)</f>
        <v>42933</v>
      </c>
      <c r="AL57" s="23" cm="1">
        <f t="array" ref="AL57">INDEX(GMWQ!$A$2:$LR$60,MATCH(1,(GMWQ!$LQ$2:$LQ$60=AL$3)*(GMWQ!$LP$2:$LP$60=AL$4)*(GMWQ!$LR$2:$LR$60=AL$1),0),$B57-1966)</f>
        <v>2043.298</v>
      </c>
      <c r="AM57" s="23" cm="1">
        <f t="array" ref="AM57">INDEX(GMWQ!$A$2:$LR$60,MATCH(1,(GMWQ!$LQ$2:$LQ$60=AM$3)*(GMWQ!$LP$2:$LP$60=AM$4)*(GMWQ!$LR$2:$LR$60=AM$1),0),$B57-1966)</f>
        <v>21011.62</v>
      </c>
      <c r="AN57" s="23" cm="1">
        <f t="array" ref="AN57">INDEX(GMWQ!$A$2:$LR$60,MATCH(1,(GMWQ!$LQ$2:$LQ$60=AN$3)*(GMWQ!$LP$2:$LP$60=AN$4)*(GMWQ!$LR$2:$LR$60=AN$1),0),$B57-1966)</f>
        <v>9578.1229999999996</v>
      </c>
      <c r="AO57" s="23" cm="1">
        <f t="array" ref="AO57">INDEX(GMWQ!$A$2:$LR$60,MATCH(1,(GMWQ!$LQ$2:$LQ$60=AO$3)*(GMWQ!$LP$2:$LP$60=AO$4)*(GMWQ!$LR$2:$LR$60=AO$1),0),$B57-1966)</f>
        <v>3263.6410000000001</v>
      </c>
      <c r="AP57" s="23" cm="1">
        <f t="array" ref="AP57">INDEX(GMWQ!$A$2:$LR$60,MATCH(1,(GMWQ!$LQ$2:$LQ$60=AP$3)*(GMWQ!$LP$2:$LP$60=AP$4)*(GMWQ!$LR$2:$LR$60=AP$1),0),$B57-1966)</f>
        <v>-470.6977</v>
      </c>
      <c r="AQ57" s="23" cm="1">
        <f t="array" ref="AQ57">INDEX(GMWQ!$A$2:$LR$60,MATCH(1,(GMWQ!$LQ$2:$LQ$60=AQ$3)*(GMWQ!$LP$2:$LP$60=AQ$4)*(GMWQ!$LR$2:$LR$60=AQ$1),0),$B57-1966)</f>
        <v>11617.04</v>
      </c>
      <c r="AR57" s="23" cm="1">
        <f t="array" ref="AR57">INDEX(GMWQ!$A$2:$LR$60,MATCH(1,(GMWQ!$LQ$2:$LQ$60=AR$3)*(GMWQ!$LP$2:$LP$60=AR$4)*(GMWQ!$LR$2:$LR$60=AR$1),0),$B57-1966)</f>
        <v>63040</v>
      </c>
      <c r="AS57" s="23" cm="1">
        <f t="array" ref="AS57">INDEX(GMWQ!$A$2:$LR$60,MATCH(1,(GMWQ!$LQ$2:$LQ$60=AS$3)*(GMWQ!$LP$2:$LP$60=AS$4)*(GMWQ!$LR$2:$LR$60=AS$1),0),$B57-1966)</f>
        <v>1076</v>
      </c>
      <c r="AT57" s="23" cm="1">
        <f t="array" ref="AT57">INDEX(GMWQ!$A$2:$LR$60,MATCH(1,(GMWQ!$LQ$2:$LQ$60=AT$3)*(GMWQ!$LP$2:$LP$60=AT$4)*(GMWQ!$LR$2:$LR$60=AT$1),0),$B57-1966)</f>
        <v>144683</v>
      </c>
      <c r="AU57" s="23" cm="1">
        <f t="array" ref="AU57">INDEX(GMWQ!$A$2:$LR$60,MATCH(1,(GMWQ!$LQ$2:$LQ$60=AU$3)*(GMWQ!$LP$2:$LP$60=AU$4)*(GMWQ!$LR$2:$LR$60=AU$1),0),$B57-1966)</f>
        <v>4622</v>
      </c>
    </row>
    <row r="58" spans="1:47" x14ac:dyDescent="0.35">
      <c r="B58" s="7">
        <f t="shared" si="2"/>
        <v>2024</v>
      </c>
      <c r="C58" s="7" cm="1">
        <f t="array" ref="C58">INDEX(GMWQ!$A$2:$LR$60,MATCH(1,(GMWQ!$LQ$2:$LQ$60=C$3)*(GMWQ!$LP$2:$LP$60=C$4)*(GMWQ!$LR$2:$LR$60=C$1),0),$B58-1966)</f>
        <v>269896</v>
      </c>
      <c r="D58" s="7" cm="1">
        <f t="array" ref="D58">INDEX(GMWQ!$A$2:$LR$60,MATCH(1,(GMWQ!$LQ$2:$LQ$60=D$3)*(GMWQ!$LP$2:$LP$60=D$4)*(GMWQ!$LR$2:$LR$60=D$1),0),$B58-1966)</f>
        <v>109.6371</v>
      </c>
      <c r="E58" s="7" cm="1">
        <f t="array" ref="E58">INDEX(GMWQ!$A$2:$LR$60,MATCH(1,(GMWQ!$LQ$2:$LQ$60=E$3)*(GMWQ!$LP$2:$LP$60=E$4)*(GMWQ!$LR$2:$LR$60=E$1),0),$B58-1966)</f>
        <v>45.490519999999997</v>
      </c>
      <c r="F58" s="7" cm="1">
        <f t="array" ref="F58">INDEX(GMWQ!$A$2:$LR$60,MATCH(1,(GMWQ!$LQ$2:$LQ$60=F$3)*(GMWQ!$LP$2:$LP$60=F$4)*(GMWQ!$LR$2:$LR$60=F$1),0),$B58-1966)</f>
        <v>43938</v>
      </c>
      <c r="G58" s="7" cm="1">
        <f t="array" ref="G58">INDEX(GMWQ!$A$2:$LR$60,MATCH(1,(GMWQ!$LQ$2:$LQ$60=G$3)*(GMWQ!$LP$2:$LP$60=G$4)*(GMWQ!$LR$2:$LR$60=G$1),0),$B58-1966)</f>
        <v>9667.14</v>
      </c>
      <c r="H58" s="7" cm="1">
        <f t="array" ref="H58">INDEX(GMWQ!$A$2:$LR$60,MATCH(1,(GMWQ!$LQ$2:$LQ$60=H$3)*(GMWQ!$LP$2:$LP$60=H$4)*(GMWQ!$LR$2:$LR$60=H$1),0),$B58-1966)</f>
        <v>3181.2840000000001</v>
      </c>
      <c r="I58" s="7" cm="1">
        <f t="array" ref="I58">INDEX(GMWQ!$A$2:$LR$60,MATCH(1,(GMWQ!$LQ$2:$LQ$60=I$3)*(GMWQ!$LP$2:$LP$60=I$4)*(GMWQ!$LR$2:$LR$60=I$1),0),$B58-1966)</f>
        <v>44.230939999999997</v>
      </c>
      <c r="J58" s="7" cm="1">
        <f t="array" ref="J58">INDEX(GMWQ!$A$2:$LR$60,MATCH(1,(GMWQ!$LQ$2:$LQ$60=J$3)*(GMWQ!$LP$2:$LP$60=J$4)*(GMWQ!$LR$2:$LR$60=J$1),0),$B58-1966)</f>
        <v>20990.02</v>
      </c>
      <c r="K58" s="7" cm="1">
        <f t="array" ref="K58">INDEX(GMWQ!$A$2:$LR$60,MATCH(1,(GMWQ!$LQ$2:$LQ$60=K$3)*(GMWQ!$LP$2:$LP$60=K$4)*(GMWQ!$LR$2:$LR$60=K$1),0),$B58-1966)</f>
        <v>11.375</v>
      </c>
      <c r="L58" s="7" cm="1">
        <f t="array" ref="L58">INDEX(GMWQ!$A$2:$LR$60,MATCH(1,(GMWQ!$LQ$2:$LQ$60=L$3)*(GMWQ!$LP$2:$LP$60=L$4)*(GMWQ!$LR$2:$LR$60=L$1),0),$B58-1966)</f>
        <v>11.3</v>
      </c>
      <c r="M58" s="7" cm="1">
        <f t="array" ref="M58">INDEX(GMWQ!$A$2:$LR$60,MATCH(1,(GMWQ!$LQ$2:$LQ$60=M$3)*(GMWQ!$LP$2:$LP$60=M$4)*(GMWQ!$LR$2:$LR$60=M$1),0),$B58-1966)</f>
        <v>16.195550000000001</v>
      </c>
      <c r="N58" s="7" cm="1">
        <f t="array" ref="N58">INDEX(GMWQ!$A$2:$LR$60,MATCH(1,(GMWQ!$LQ$2:$LQ$60=N$3)*(GMWQ!$LP$2:$LP$60=N$4)*(GMWQ!$LR$2:$LR$60=N$1),0),$B58-1966)</f>
        <v>1E-3</v>
      </c>
      <c r="O58" s="7" cm="1">
        <f t="array" ref="O58">INDEX(GMWQ!$A$2:$LR$60,MATCH(1,(GMWQ!$LQ$2:$LQ$60=O$3)*(GMWQ!$LP$2:$LP$60=O$4)*(GMWQ!$LR$2:$LR$60=O$1),0),$B58-1966)</f>
        <v>1E-3</v>
      </c>
      <c r="P58" s="7" cm="1">
        <f t="array" ref="P58">INDEX(GMWQ!$A$2:$LR$60,MATCH(1,(GMWQ!$LQ$2:$LQ$60=P$3)*(GMWQ!$LP$2:$LP$60=P$4)*(GMWQ!$LR$2:$LR$60=P$1),0),$B58-1966)</f>
        <v>69185</v>
      </c>
      <c r="Q58" s="7" cm="1">
        <f t="array" ref="Q58">INDEX(GMWQ!$A$2:$LR$60,MATCH(1,(GMWQ!$LQ$2:$LQ$60=Q$3)*(GMWQ!$LP$2:$LP$60=Q$4)*(GMWQ!$LR$2:$LR$60=Q$1),0),$B58-1966)</f>
        <v>13.01</v>
      </c>
      <c r="R58" s="7" cm="1">
        <f t="array" ref="R58">INDEX(GMWQ!$A$2:$LR$60,MATCH(1,(GMWQ!$LQ$2:$LQ$60=R$3)*(GMWQ!$LP$2:$LP$60=R$4)*(GMWQ!$LR$2:$LR$60=R$1),0),$B58-1966)</f>
        <v>1E-3</v>
      </c>
      <c r="S58" s="7" cm="1">
        <f t="array" ref="S58">INDEX(GMWQ!$A$2:$LR$60,MATCH(1,(GMWQ!$LQ$2:$LQ$60=S$3)*(GMWQ!$LP$2:$LP$60=S$4)*(GMWQ!$LR$2:$LR$60=S$1),0),$B58-1966)</f>
        <v>425</v>
      </c>
      <c r="T58" s="7" cm="1">
        <f t="array" ref="T58">INDEX(GMWQ!$A$2:$LR$60,MATCH(1,(GMWQ!$LQ$2:$LQ$60=T$3)*(GMWQ!$LP$2:$LP$60=T$4)*(GMWQ!$LR$2:$LR$60=T$1),0),$B58-1966)</f>
        <v>1E-3</v>
      </c>
      <c r="U58" s="7" cm="1">
        <f t="array" ref="U58">INDEX(GMWQ!$A$2:$LR$60,MATCH(1,(GMWQ!$LQ$2:$LQ$60=U$3)*(GMWQ!$LP$2:$LP$60=U$4)*(GMWQ!$LR$2:$LR$60=U$1),0),$B58-1966)</f>
        <v>4788.4530000000004</v>
      </c>
      <c r="V58" s="7" cm="1">
        <f t="array" ref="V58">INDEX(GMWQ!$A$2:$LR$60,MATCH(1,(GMWQ!$LQ$2:$LQ$60=V$3)*(GMWQ!$LP$2:$LP$60=V$4)*(GMWQ!$LR$2:$LR$60=V$1),0),$B58-1966)</f>
        <v>1E-3</v>
      </c>
      <c r="W58" s="7" cm="1">
        <f t="array" ref="W58">INDEX(GMWQ!$A$2:$LR$60,MATCH(1,(GMWQ!$LQ$2:$LQ$60=W$3)*(GMWQ!$LP$2:$LP$60=W$4)*(GMWQ!$LR$2:$LR$60=W$1),0),$B58-1966)</f>
        <v>6.3565860000000001</v>
      </c>
      <c r="X58" s="7" cm="1">
        <f t="array" ref="X58">INDEX(GMWQ!$A$2:$LR$60,MATCH(1,(GMWQ!$LQ$2:$LQ$60=X$3)*(GMWQ!$LP$2:$LP$60=X$4)*(GMWQ!$LR$2:$LR$60=X$1),0),$B58-1966)</f>
        <v>979749.9</v>
      </c>
      <c r="Y58" s="7" cm="1">
        <f t="array" ref="Y58">INDEX(GMWQ!$A$2:$LR$60,MATCH(1,(GMWQ!$LQ$2:$LQ$60=Y$3)*(GMWQ!$LP$2:$LP$60=Y$4)*(GMWQ!$LR$2:$LR$60=Y$1),0),$B58-1966)</f>
        <v>39.585990000000002</v>
      </c>
      <c r="Z58" s="7" cm="1">
        <f t="array" ref="Z58">INDEX(GMWQ!$A$2:$LR$60,MATCH(1,(GMWQ!$LQ$2:$LQ$60=Z$3)*(GMWQ!$LP$2:$LP$60=Z$4)*(GMWQ!$LR$2:$LR$60=Z$1),0),$B58-1966)</f>
        <v>271890.2</v>
      </c>
      <c r="AA58" s="7" cm="1">
        <f t="array" ref="AA58">INDEX(GMWQ!$A$2:$LR$60,MATCH(1,(GMWQ!$LQ$2:$LQ$60=AA$3)*(GMWQ!$LP$2:$LP$60=AA$4)*(GMWQ!$LR$2:$LR$60=AA$1),0),$B58-1966)</f>
        <v>41772</v>
      </c>
      <c r="AB58" s="7" cm="1">
        <f t="array" ref="AB58">INDEX(GMWQ!$A$2:$LR$60,MATCH(1,(GMWQ!$LQ$2:$LQ$60=AB$3)*(GMWQ!$LP$2:$LP$60=AB$4)*(GMWQ!$LR$2:$LR$60=AB$1),0),$B58-1966)</f>
        <v>37959</v>
      </c>
      <c r="AC58" s="7" cm="1">
        <f t="array" ref="AC58">INDEX(GMWQ!$A$2:$LR$60,MATCH(1,(GMWQ!$LQ$2:$LQ$60=AC$3)*(GMWQ!$LP$2:$LP$60=AC$4)*(GMWQ!$LR$2:$LR$60=AC$1),0),$B58-1966)</f>
        <v>1402</v>
      </c>
      <c r="AD58" s="7" cm="1">
        <f t="array" ref="AD58">INDEX(GMWQ!$A$2:$LR$60,MATCH(1,(GMWQ!$LQ$2:$LQ$60=AD$3)*(GMWQ!$LP$2:$LP$60=AD$4)*(GMWQ!$LR$2:$LR$60=AD$1),0),$B58-1966)</f>
        <v>3630</v>
      </c>
      <c r="AE58" s="7" cm="1">
        <f t="array" ref="AE58">INDEX(GMWQ!$A$2:$LR$60,MATCH(1,(GMWQ!$LQ$2:$LQ$60=AE$3)*(GMWQ!$LP$2:$LP$60=AE$4)*(GMWQ!$LR$2:$LR$60=AE$1),0),$B58-1966)</f>
        <v>106841</v>
      </c>
      <c r="AF58" s="20" cm="1">
        <f t="array" ref="AF58">INDEX(GMWQ!$A$2:$LR$60,MATCH(1,(GMWQ!$LQ$2:$LQ$60=AF$3)*(GMWQ!$LP$2:$LP$60=AF$4)*(GMWQ!$LR$2:$LR$60=AF$1),0),$B58-1966)</f>
        <v>11.375</v>
      </c>
      <c r="AG58" s="20" cm="1">
        <f t="array" ref="AG58">INDEX(GMWQ!$A$2:$LR$60,MATCH(1,(GMWQ!$LQ$2:$LQ$60=AG$3)*(GMWQ!$LP$2:$LP$60=AG$4)*(GMWQ!$LR$2:$LR$60=AG$1),0),$B58-1966)</f>
        <v>-599.06979999999999</v>
      </c>
      <c r="AI58" s="23" cm="1">
        <f t="array" ref="AI58">INDEX(GMWQ!$A$2:$LR$60,MATCH(1,(GMWQ!$LQ$2:$LQ$60=AI$3)*(GMWQ!$LP$2:$LP$60=AI$4)*(GMWQ!$LR$2:$LR$60=AI$1),0),$B58-1966)</f>
        <v>69185</v>
      </c>
      <c r="AJ58" s="23" cm="1">
        <f t="array" ref="AJ58">INDEX(GMWQ!$A$2:$LR$60,MATCH(1,(GMWQ!$LQ$2:$LQ$60=AJ$3)*(GMWQ!$LP$2:$LP$60=AJ$4)*(GMWQ!$LR$2:$LR$60=AJ$1),0),$B58-1966)</f>
        <v>44.230939999999997</v>
      </c>
      <c r="AK58" s="23" cm="1">
        <f t="array" ref="AK58">INDEX(GMWQ!$A$2:$LR$60,MATCH(1,(GMWQ!$LQ$2:$LQ$60=AK$3)*(GMWQ!$LP$2:$LP$60=AK$4)*(GMWQ!$LR$2:$LR$60=AK$1),0),$B58-1966)</f>
        <v>43938</v>
      </c>
      <c r="AL58" s="23" cm="1">
        <f t="array" ref="AL58">INDEX(GMWQ!$A$2:$LR$60,MATCH(1,(GMWQ!$LQ$2:$LQ$60=AL$3)*(GMWQ!$LP$2:$LP$60=AL$4)*(GMWQ!$LR$2:$LR$60=AL$1),0),$B58-1966)</f>
        <v>2093.2809999999999</v>
      </c>
      <c r="AM58" s="23" cm="1">
        <f t="array" ref="AM58">INDEX(GMWQ!$A$2:$LR$60,MATCH(1,(GMWQ!$LQ$2:$LQ$60=AM$3)*(GMWQ!$LP$2:$LP$60=AM$4)*(GMWQ!$LR$2:$LR$60=AM$1),0),$B58-1966)</f>
        <v>20990.02</v>
      </c>
      <c r="AN58" s="23" cm="1">
        <f t="array" ref="AN58">INDEX(GMWQ!$A$2:$LR$60,MATCH(1,(GMWQ!$LQ$2:$LQ$60=AN$3)*(GMWQ!$LP$2:$LP$60=AN$4)*(GMWQ!$LR$2:$LR$60=AN$1),0),$B58-1966)</f>
        <v>9667.14</v>
      </c>
      <c r="AO58" s="23" cm="1">
        <f t="array" ref="AO58">INDEX(GMWQ!$A$2:$LR$60,MATCH(1,(GMWQ!$LQ$2:$LQ$60=AO$3)*(GMWQ!$LP$2:$LP$60=AO$4)*(GMWQ!$LR$2:$LR$60=AO$1),0),$B58-1966)</f>
        <v>3181.2840000000001</v>
      </c>
      <c r="AP58" s="23" cm="1">
        <f t="array" ref="AP58">INDEX(GMWQ!$A$2:$LR$60,MATCH(1,(GMWQ!$LQ$2:$LQ$60=AP$3)*(GMWQ!$LP$2:$LP$60=AP$4)*(GMWQ!$LR$2:$LR$60=AP$1),0),$B58-1966)</f>
        <v>-599.06979999999999</v>
      </c>
      <c r="AQ58" s="23" cm="1">
        <f t="array" ref="AQ58">INDEX(GMWQ!$A$2:$LR$60,MATCH(1,(GMWQ!$LQ$2:$LQ$60=AQ$3)*(GMWQ!$LP$2:$LP$60=AQ$4)*(GMWQ!$LR$2:$LR$60=AQ$1),0),$B58-1966)</f>
        <v>11747.74</v>
      </c>
      <c r="AR58" s="23" cm="1">
        <f t="array" ref="AR58">INDEX(GMWQ!$A$2:$LR$60,MATCH(1,(GMWQ!$LQ$2:$LQ$60=AR$3)*(GMWQ!$LP$2:$LP$60=AR$4)*(GMWQ!$LR$2:$LR$60=AR$1),0),$B58-1966)</f>
        <v>64498</v>
      </c>
      <c r="AS58" s="23" cm="1">
        <f t="array" ref="AS58">INDEX(GMWQ!$A$2:$LR$60,MATCH(1,(GMWQ!$LQ$2:$LQ$60=AS$3)*(GMWQ!$LP$2:$LP$60=AS$4)*(GMWQ!$LR$2:$LR$60=AS$1),0),$B58-1966)</f>
        <v>1090</v>
      </c>
      <c r="AT58" s="23" cm="1">
        <f t="array" ref="AT58">INDEX(GMWQ!$A$2:$LR$60,MATCH(1,(GMWQ!$LQ$2:$LQ$60=AT$3)*(GMWQ!$LP$2:$LP$60=AT$4)*(GMWQ!$LR$2:$LR$60=AT$1),0),$B58-1966)</f>
        <v>145821</v>
      </c>
      <c r="AU58" s="23" cm="1">
        <f t="array" ref="AU58">INDEX(GMWQ!$A$2:$LR$60,MATCH(1,(GMWQ!$LQ$2:$LQ$60=AU$3)*(GMWQ!$LP$2:$LP$60=AU$4)*(GMWQ!$LR$2:$LR$60=AU$1),0),$B58-1966)</f>
        <v>4718</v>
      </c>
    </row>
    <row r="59" spans="1:47" x14ac:dyDescent="0.35">
      <c r="A59" s="7">
        <v>1986</v>
      </c>
      <c r="B59" s="7">
        <f t="shared" si="2"/>
        <v>2025</v>
      </c>
      <c r="C59" s="7" cm="1">
        <f t="array" ref="C59">INDEX(GMWQ!$A$2:$LR$60,MATCH(1,(GMWQ!$LQ$2:$LQ$60=C$3)*(GMWQ!$LP$2:$LP$60=C$4)*(GMWQ!$LR$2:$LR$60=C$1),0),$B59-1966)</f>
        <v>272720</v>
      </c>
      <c r="D59" s="7" cm="1">
        <f t="array" ref="D59">INDEX(GMWQ!$A$2:$LR$60,MATCH(1,(GMWQ!$LQ$2:$LQ$60=D$3)*(GMWQ!$LP$2:$LP$60=D$4)*(GMWQ!$LR$2:$LR$60=D$1),0),$B59-1966)</f>
        <v>110.8912</v>
      </c>
      <c r="E59" s="7" cm="1">
        <f t="array" ref="E59">INDEX(GMWQ!$A$2:$LR$60,MATCH(1,(GMWQ!$LQ$2:$LQ$60=E$3)*(GMWQ!$LP$2:$LP$60=E$4)*(GMWQ!$LR$2:$LR$60=E$1),0),$B59-1966)</f>
        <v>45.646929999999998</v>
      </c>
      <c r="F59" s="7" cm="1">
        <f t="array" ref="F59">INDEX(GMWQ!$A$2:$LR$60,MATCH(1,(GMWQ!$LQ$2:$LQ$60=F$3)*(GMWQ!$LP$2:$LP$60=F$4)*(GMWQ!$LR$2:$LR$60=F$1),0),$B59-1966)</f>
        <v>44894</v>
      </c>
      <c r="G59" s="7" cm="1">
        <f t="array" ref="G59">INDEX(GMWQ!$A$2:$LR$60,MATCH(1,(GMWQ!$LQ$2:$LQ$60=G$3)*(GMWQ!$LP$2:$LP$60=G$4)*(GMWQ!$LR$2:$LR$60=G$1),0),$B59-1966)</f>
        <v>9926.2739999999994</v>
      </c>
      <c r="H59" s="7" cm="1">
        <f t="array" ref="H59">INDEX(GMWQ!$A$2:$LR$60,MATCH(1,(GMWQ!$LQ$2:$LQ$60=H$3)*(GMWQ!$LP$2:$LP$60=H$4)*(GMWQ!$LR$2:$LR$60=H$1),0),$B59-1966)</f>
        <v>3255.194</v>
      </c>
      <c r="I59" s="7" cm="1">
        <f t="array" ref="I59">INDEX(GMWQ!$A$2:$LR$60,MATCH(1,(GMWQ!$LQ$2:$LQ$60=I$3)*(GMWQ!$LP$2:$LP$60=I$4)*(GMWQ!$LR$2:$LR$60=I$1),0),$B59-1966)</f>
        <v>44.291530000000002</v>
      </c>
      <c r="J59" s="7" cm="1">
        <f t="array" ref="J59">INDEX(GMWQ!$A$2:$LR$60,MATCH(1,(GMWQ!$LQ$2:$LQ$60=J$3)*(GMWQ!$LP$2:$LP$60=J$4)*(GMWQ!$LR$2:$LR$60=J$1),0),$B59-1966)</f>
        <v>20953.11</v>
      </c>
      <c r="K59" s="7" cm="1">
        <f t="array" ref="K59">INDEX(GMWQ!$A$2:$LR$60,MATCH(1,(GMWQ!$LQ$2:$LQ$60=K$3)*(GMWQ!$LP$2:$LP$60=K$4)*(GMWQ!$LR$2:$LR$60=K$1),0),$B59-1966)</f>
        <v>11.375</v>
      </c>
      <c r="L59" s="7" cm="1">
        <f t="array" ref="L59">INDEX(GMWQ!$A$2:$LR$60,MATCH(1,(GMWQ!$LQ$2:$LQ$60=L$3)*(GMWQ!$LP$2:$LP$60=L$4)*(GMWQ!$LR$2:$LR$60=L$1),0),$B59-1966)</f>
        <v>11.3</v>
      </c>
      <c r="M59" s="7" cm="1">
        <f t="array" ref="M59">INDEX(GMWQ!$A$2:$LR$60,MATCH(1,(GMWQ!$LQ$2:$LQ$60=M$3)*(GMWQ!$LP$2:$LP$60=M$4)*(GMWQ!$LR$2:$LR$60=M$1),0),$B59-1966)</f>
        <v>16.462869999999999</v>
      </c>
      <c r="N59" s="7" cm="1">
        <f t="array" ref="N59">INDEX(GMWQ!$A$2:$LR$60,MATCH(1,(GMWQ!$LQ$2:$LQ$60=N$3)*(GMWQ!$LP$2:$LP$60=N$4)*(GMWQ!$LR$2:$LR$60=N$1),0),$B59-1966)</f>
        <v>1E-3</v>
      </c>
      <c r="O59" s="7" cm="1">
        <f t="array" ref="O59">INDEX(GMWQ!$A$2:$LR$60,MATCH(1,(GMWQ!$LQ$2:$LQ$60=O$3)*(GMWQ!$LP$2:$LP$60=O$4)*(GMWQ!$LR$2:$LR$60=O$1),0),$B59-1966)</f>
        <v>1E-3</v>
      </c>
      <c r="P59" s="7" cm="1">
        <f t="array" ref="P59">INDEX(GMWQ!$A$2:$LR$60,MATCH(1,(GMWQ!$LQ$2:$LQ$60=P$3)*(GMWQ!$LP$2:$LP$60=P$4)*(GMWQ!$LR$2:$LR$60=P$1),0),$B59-1966)</f>
        <v>70501</v>
      </c>
      <c r="Q59" s="7" cm="1">
        <f t="array" ref="Q59">INDEX(GMWQ!$A$2:$LR$60,MATCH(1,(GMWQ!$LQ$2:$LQ$60=Q$3)*(GMWQ!$LP$2:$LP$60=Q$4)*(GMWQ!$LR$2:$LR$60=Q$1),0),$B59-1966)</f>
        <v>13</v>
      </c>
      <c r="R59" s="7" cm="1">
        <f t="array" ref="R59">INDEX(GMWQ!$A$2:$LR$60,MATCH(1,(GMWQ!$LQ$2:$LQ$60=R$3)*(GMWQ!$LP$2:$LP$60=R$4)*(GMWQ!$LR$2:$LR$60=R$1),0),$B59-1966)</f>
        <v>1E-3</v>
      </c>
      <c r="S59" s="7" cm="1">
        <f t="array" ref="S59">INDEX(GMWQ!$A$2:$LR$60,MATCH(1,(GMWQ!$LQ$2:$LQ$60=S$3)*(GMWQ!$LP$2:$LP$60=S$4)*(GMWQ!$LR$2:$LR$60=S$1),0),$B59-1966)</f>
        <v>418</v>
      </c>
      <c r="T59" s="7" cm="1">
        <f t="array" ref="T59">INDEX(GMWQ!$A$2:$LR$60,MATCH(1,(GMWQ!$LQ$2:$LQ$60=T$3)*(GMWQ!$LP$2:$LP$60=T$4)*(GMWQ!$LR$2:$LR$60=T$1),0),$B59-1966)</f>
        <v>1E-3</v>
      </c>
      <c r="U59" s="7" cm="1">
        <f t="array" ref="U59">INDEX(GMWQ!$A$2:$LR$60,MATCH(1,(GMWQ!$LQ$2:$LQ$60=U$3)*(GMWQ!$LP$2:$LP$60=U$4)*(GMWQ!$LR$2:$LR$60=U$1),0),$B59-1966)</f>
        <v>4072.4229999999998</v>
      </c>
      <c r="V59" s="7" cm="1">
        <f t="array" ref="V59">INDEX(GMWQ!$A$2:$LR$60,MATCH(1,(GMWQ!$LQ$2:$LQ$60=V$3)*(GMWQ!$LP$2:$LP$60=V$4)*(GMWQ!$LR$2:$LR$60=V$1),0),$B59-1966)</f>
        <v>1E-3</v>
      </c>
      <c r="W59" s="7" cm="1">
        <f t="array" ref="W59">INDEX(GMWQ!$A$2:$LR$60,MATCH(1,(GMWQ!$LQ$2:$LQ$60=W$3)*(GMWQ!$LP$2:$LP$60=W$4)*(GMWQ!$LR$2:$LR$60=W$1),0),$B59-1966)</f>
        <v>7.1555720000000003</v>
      </c>
      <c r="X59" s="7" cm="1">
        <f t="array" ref="X59">INDEX(GMWQ!$A$2:$LR$60,MATCH(1,(GMWQ!$LQ$2:$LQ$60=X$3)*(GMWQ!$LP$2:$LP$60=X$4)*(GMWQ!$LR$2:$LR$60=X$1),0),$B59-1966)</f>
        <v>932132</v>
      </c>
      <c r="Y59" s="7" cm="1">
        <f t="array" ref="Y59">INDEX(GMWQ!$A$2:$LR$60,MATCH(1,(GMWQ!$LQ$2:$LQ$60=Y$3)*(GMWQ!$LP$2:$LP$60=Y$4)*(GMWQ!$LR$2:$LR$60=Y$1),0),$B59-1966)</f>
        <v>39.877160000000003</v>
      </c>
      <c r="Z59" s="7" cm="1">
        <f t="array" ref="Z59">INDEX(GMWQ!$A$2:$LR$60,MATCH(1,(GMWQ!$LQ$2:$LQ$60=Z$3)*(GMWQ!$LP$2:$LP$60=Z$4)*(GMWQ!$LR$2:$LR$60=Z$1),0),$B59-1966)</f>
        <v>273617.40000000002</v>
      </c>
      <c r="AA59" s="7" cm="1">
        <f t="array" ref="AA59">INDEX(GMWQ!$A$2:$LR$60,MATCH(1,(GMWQ!$LQ$2:$LQ$60=AA$3)*(GMWQ!$LP$2:$LP$60=AA$4)*(GMWQ!$LR$2:$LR$60=AA$1),0),$B59-1966)</f>
        <v>44095</v>
      </c>
      <c r="AB59" s="7" cm="1">
        <f t="array" ref="AB59">INDEX(GMWQ!$A$2:$LR$60,MATCH(1,(GMWQ!$LQ$2:$LQ$60=AB$3)*(GMWQ!$LP$2:$LP$60=AB$4)*(GMWQ!$LR$2:$LR$60=AB$1),0),$B59-1966)</f>
        <v>39214</v>
      </c>
      <c r="AC59" s="7" cm="1">
        <f t="array" ref="AC59">INDEX(GMWQ!$A$2:$LR$60,MATCH(1,(GMWQ!$LQ$2:$LQ$60=AC$3)*(GMWQ!$LP$2:$LP$60=AC$4)*(GMWQ!$LR$2:$LR$60=AC$1),0),$B59-1966)</f>
        <v>2524</v>
      </c>
      <c r="AD59" s="7" cm="1">
        <f t="array" ref="AD59">INDEX(GMWQ!$A$2:$LR$60,MATCH(1,(GMWQ!$LQ$2:$LQ$60=AD$3)*(GMWQ!$LP$2:$LP$60=AD$4)*(GMWQ!$LR$2:$LR$60=AD$1),0),$B59-1966)</f>
        <v>3687</v>
      </c>
      <c r="AE59" s="7" cm="1">
        <f t="array" ref="AE59">INDEX(GMWQ!$A$2:$LR$60,MATCH(1,(GMWQ!$LQ$2:$LQ$60=AE$3)*(GMWQ!$LP$2:$LP$60=AE$4)*(GMWQ!$LR$2:$LR$60=AE$1),0),$B59-1966)</f>
        <v>108753</v>
      </c>
      <c r="AF59" s="20" cm="1">
        <f t="array" ref="AF59">INDEX(GMWQ!$A$2:$LR$60,MATCH(1,(GMWQ!$LQ$2:$LQ$60=AF$3)*(GMWQ!$LP$2:$LP$60=AF$4)*(GMWQ!$LR$2:$LR$60=AF$1),0),$B59-1966)</f>
        <v>12.07813</v>
      </c>
      <c r="AG59" s="20" cm="1">
        <f t="array" ref="AG59">INDEX(GMWQ!$A$2:$LR$60,MATCH(1,(GMWQ!$LQ$2:$LQ$60=AG$3)*(GMWQ!$LP$2:$LP$60=AG$4)*(GMWQ!$LR$2:$LR$60=AG$1),0),$B59-1966)</f>
        <v>-411.53489999999999</v>
      </c>
      <c r="AI59" s="23" cm="1">
        <f t="array" ref="AI59">INDEX(GMWQ!$A$2:$LR$60,MATCH(1,(GMWQ!$LQ$2:$LQ$60=AI$3)*(GMWQ!$LP$2:$LP$60=AI$4)*(GMWQ!$LR$2:$LR$60=AI$1),0),$B59-1966)</f>
        <v>70501</v>
      </c>
      <c r="AJ59" s="23" cm="1">
        <f t="array" ref="AJ59">INDEX(GMWQ!$A$2:$LR$60,MATCH(1,(GMWQ!$LQ$2:$LQ$60=AJ$3)*(GMWQ!$LP$2:$LP$60=AJ$4)*(GMWQ!$LR$2:$LR$60=AJ$1),0),$B59-1966)</f>
        <v>44.291530000000002</v>
      </c>
      <c r="AK59" s="23" cm="1">
        <f t="array" ref="AK59">INDEX(GMWQ!$A$2:$LR$60,MATCH(1,(GMWQ!$LQ$2:$LQ$60=AK$3)*(GMWQ!$LP$2:$LP$60=AK$4)*(GMWQ!$LR$2:$LR$60=AK$1),0),$B59-1966)</f>
        <v>44894</v>
      </c>
      <c r="AL59" s="23" cm="1">
        <f t="array" ref="AL59">INDEX(GMWQ!$A$2:$LR$60,MATCH(1,(GMWQ!$LQ$2:$LQ$60=AL$3)*(GMWQ!$LP$2:$LP$60=AL$4)*(GMWQ!$LR$2:$LR$60=AL$1),0),$B59-1966)</f>
        <v>2142.5929999999998</v>
      </c>
      <c r="AM59" s="23" cm="1">
        <f t="array" ref="AM59">INDEX(GMWQ!$A$2:$LR$60,MATCH(1,(GMWQ!$LQ$2:$LQ$60=AM$3)*(GMWQ!$LP$2:$LP$60=AM$4)*(GMWQ!$LR$2:$LR$60=AM$1),0),$B59-1966)</f>
        <v>20953.11</v>
      </c>
      <c r="AN59" s="23" cm="1">
        <f t="array" ref="AN59">INDEX(GMWQ!$A$2:$LR$60,MATCH(1,(GMWQ!$LQ$2:$LQ$60=AN$3)*(GMWQ!$LP$2:$LP$60=AN$4)*(GMWQ!$LR$2:$LR$60=AN$1),0),$B59-1966)</f>
        <v>9926.2739999999994</v>
      </c>
      <c r="AO59" s="23" cm="1">
        <f t="array" ref="AO59">INDEX(GMWQ!$A$2:$LR$60,MATCH(1,(GMWQ!$LQ$2:$LQ$60=AO$3)*(GMWQ!$LP$2:$LP$60=AO$4)*(GMWQ!$LR$2:$LR$60=AO$1),0),$B59-1966)</f>
        <v>3255.194</v>
      </c>
      <c r="AP59" s="23" cm="1">
        <f t="array" ref="AP59">INDEX(GMWQ!$A$2:$LR$60,MATCH(1,(GMWQ!$LQ$2:$LQ$60=AP$3)*(GMWQ!$LP$2:$LP$60=AP$4)*(GMWQ!$LR$2:$LR$60=AP$1),0),$B59-1966)</f>
        <v>-411.53489999999999</v>
      </c>
      <c r="AQ59" s="23" cm="1">
        <f t="array" ref="AQ59">INDEX(GMWQ!$A$2:$LR$60,MATCH(1,(GMWQ!$LQ$2:$LQ$60=AQ$3)*(GMWQ!$LP$2:$LP$60=AQ$4)*(GMWQ!$LR$2:$LR$60=AQ$1),0),$B59-1966)</f>
        <v>12081.52</v>
      </c>
      <c r="AR59" s="23" cm="1">
        <f t="array" ref="AR59">INDEX(GMWQ!$A$2:$LR$60,MATCH(1,(GMWQ!$LQ$2:$LQ$60=AR$3)*(GMWQ!$LP$2:$LP$60=AR$4)*(GMWQ!$LR$2:$LR$60=AR$1),0),$B59-1966)</f>
        <v>66362</v>
      </c>
      <c r="AS59" s="23" cm="1">
        <f t="array" ref="AS59">INDEX(GMWQ!$A$2:$LR$60,MATCH(1,(GMWQ!$LQ$2:$LQ$60=AS$3)*(GMWQ!$LP$2:$LP$60=AS$4)*(GMWQ!$LR$2:$LR$60=AS$1),0),$B59-1966)</f>
        <v>1227</v>
      </c>
      <c r="AT59" s="23" cm="1">
        <f t="array" ref="AT59">INDEX(GMWQ!$A$2:$LR$60,MATCH(1,(GMWQ!$LQ$2:$LQ$60=AT$3)*(GMWQ!$LP$2:$LP$60=AT$4)*(GMWQ!$LR$2:$LR$60=AT$1),0),$B59-1966)</f>
        <v>149830</v>
      </c>
      <c r="AU59" s="23" cm="1">
        <f t="array" ref="AU59">INDEX(GMWQ!$A$2:$LR$60,MATCH(1,(GMWQ!$LQ$2:$LQ$60=AU$3)*(GMWQ!$LP$2:$LP$60=AU$4)*(GMWQ!$LR$2:$LR$60=AU$1),0),$B59-1966)</f>
        <v>4447</v>
      </c>
    </row>
    <row r="60" spans="1:47" x14ac:dyDescent="0.35">
      <c r="B60" s="7">
        <f t="shared" si="2"/>
        <v>2026</v>
      </c>
      <c r="C60" s="7" cm="1">
        <f t="array" ref="C60">INDEX(GMWQ!$A$2:$LR$60,MATCH(1,(GMWQ!$LQ$2:$LQ$60=C$3)*(GMWQ!$LP$2:$LP$60=C$4)*(GMWQ!$LR$2:$LR$60=C$1),0),$B60-1966)</f>
        <v>275136</v>
      </c>
      <c r="D60" s="7" cm="1">
        <f t="array" ref="D60">INDEX(GMWQ!$A$2:$LR$60,MATCH(1,(GMWQ!$LQ$2:$LQ$60=D$3)*(GMWQ!$LP$2:$LP$60=D$4)*(GMWQ!$LR$2:$LR$60=D$1),0),$B60-1966)</f>
        <v>115.3305</v>
      </c>
      <c r="E60" s="7" cm="1">
        <f t="array" ref="E60">INDEX(GMWQ!$A$2:$LR$60,MATCH(1,(GMWQ!$LQ$2:$LQ$60=E$3)*(GMWQ!$LP$2:$LP$60=E$4)*(GMWQ!$LR$2:$LR$60=E$1),0),$B60-1966)</f>
        <v>46.3508</v>
      </c>
      <c r="F60" s="7" cm="1">
        <f t="array" ref="F60">INDEX(GMWQ!$A$2:$LR$60,MATCH(1,(GMWQ!$LQ$2:$LQ$60=F$3)*(GMWQ!$LP$2:$LP$60=F$4)*(GMWQ!$LR$2:$LR$60=F$1),0),$B60-1966)</f>
        <v>45788</v>
      </c>
      <c r="G60" s="7" cm="1">
        <f t="array" ref="G60">INDEX(GMWQ!$A$2:$LR$60,MATCH(1,(GMWQ!$LQ$2:$LQ$60=G$3)*(GMWQ!$LP$2:$LP$60=G$4)*(GMWQ!$LR$2:$LR$60=G$1),0),$B60-1966)</f>
        <v>9601.8610000000008</v>
      </c>
      <c r="H60" s="7" cm="1">
        <f t="array" ref="H60">INDEX(GMWQ!$A$2:$LR$60,MATCH(1,(GMWQ!$LQ$2:$LQ$60=H$3)*(GMWQ!$LP$2:$LP$60=H$4)*(GMWQ!$LR$2:$LR$60=H$1),0),$B60-1966)</f>
        <v>3302.7069999999999</v>
      </c>
      <c r="I60" s="7" cm="1">
        <f t="array" ref="I60">INDEX(GMWQ!$A$2:$LR$60,MATCH(1,(GMWQ!$LQ$2:$LQ$60=I$3)*(GMWQ!$LP$2:$LP$60=I$4)*(GMWQ!$LR$2:$LR$60=I$1),0),$B60-1966)</f>
        <v>44.722819999999999</v>
      </c>
      <c r="J60" s="7" cm="1">
        <f t="array" ref="J60">INDEX(GMWQ!$A$2:$LR$60,MATCH(1,(GMWQ!$LQ$2:$LQ$60=J$3)*(GMWQ!$LP$2:$LP$60=J$4)*(GMWQ!$LR$2:$LR$60=J$1),0),$B60-1966)</f>
        <v>20947.71</v>
      </c>
      <c r="K60" s="7" cm="1">
        <f t="array" ref="K60">INDEX(GMWQ!$A$2:$LR$60,MATCH(1,(GMWQ!$LQ$2:$LQ$60=K$3)*(GMWQ!$LP$2:$LP$60=K$4)*(GMWQ!$LR$2:$LR$60=K$1),0),$B60-1966)</f>
        <v>9.875</v>
      </c>
      <c r="L60" s="7" cm="1">
        <f t="array" ref="L60">INDEX(GMWQ!$A$2:$LR$60,MATCH(1,(GMWQ!$LQ$2:$LQ$60=L$3)*(GMWQ!$LP$2:$LP$60=L$4)*(GMWQ!$LR$2:$LR$60=L$1),0),$B60-1966)</f>
        <v>11.3</v>
      </c>
      <c r="M60" s="7" cm="1">
        <f t="array" ref="M60">INDEX(GMWQ!$A$2:$LR$60,MATCH(1,(GMWQ!$LQ$2:$LQ$60=M$3)*(GMWQ!$LP$2:$LP$60=M$4)*(GMWQ!$LR$2:$LR$60=M$1),0),$B60-1966)</f>
        <v>17.18394</v>
      </c>
      <c r="N60" s="7" cm="1">
        <f t="array" ref="N60">INDEX(GMWQ!$A$2:$LR$60,MATCH(1,(GMWQ!$LQ$2:$LQ$60=N$3)*(GMWQ!$LP$2:$LP$60=N$4)*(GMWQ!$LR$2:$LR$60=N$1),0),$B60-1966)</f>
        <v>1E-3</v>
      </c>
      <c r="O60" s="7" cm="1">
        <f t="array" ref="O60">INDEX(GMWQ!$A$2:$LR$60,MATCH(1,(GMWQ!$LQ$2:$LQ$60=O$3)*(GMWQ!$LP$2:$LP$60=O$4)*(GMWQ!$LR$2:$LR$60=O$1),0),$B60-1966)</f>
        <v>1E-3</v>
      </c>
      <c r="P60" s="7" cm="1">
        <f t="array" ref="P60">INDEX(GMWQ!$A$2:$LR$60,MATCH(1,(GMWQ!$LQ$2:$LQ$60=P$3)*(GMWQ!$LP$2:$LP$60=P$4)*(GMWQ!$LR$2:$LR$60=P$1),0),$B60-1966)</f>
        <v>73909</v>
      </c>
      <c r="Q60" s="7" cm="1">
        <f t="array" ref="Q60">INDEX(GMWQ!$A$2:$LR$60,MATCH(1,(GMWQ!$LQ$2:$LQ$60=Q$3)*(GMWQ!$LP$2:$LP$60=Q$4)*(GMWQ!$LR$2:$LR$60=Q$1),0),$B60-1966)</f>
        <v>11.06</v>
      </c>
      <c r="R60" s="7" cm="1">
        <f t="array" ref="R60">INDEX(GMWQ!$A$2:$LR$60,MATCH(1,(GMWQ!$LQ$2:$LQ$60=R$3)*(GMWQ!$LP$2:$LP$60=R$4)*(GMWQ!$LR$2:$LR$60=R$1),0),$B60-1966)</f>
        <v>1E-3</v>
      </c>
      <c r="S60" s="7" cm="1">
        <f t="array" ref="S60">INDEX(GMWQ!$A$2:$LR$60,MATCH(1,(GMWQ!$LQ$2:$LQ$60=S$3)*(GMWQ!$LP$2:$LP$60=S$4)*(GMWQ!$LR$2:$LR$60=S$1),0),$B60-1966)</f>
        <v>433</v>
      </c>
      <c r="T60" s="7" cm="1">
        <f t="array" ref="T60">INDEX(GMWQ!$A$2:$LR$60,MATCH(1,(GMWQ!$LQ$2:$LQ$60=T$3)*(GMWQ!$LP$2:$LP$60=T$4)*(GMWQ!$LR$2:$LR$60=T$1),0),$B60-1966)</f>
        <v>1E-3</v>
      </c>
      <c r="U60" s="7" cm="1">
        <f t="array" ref="U60">INDEX(GMWQ!$A$2:$LR$60,MATCH(1,(GMWQ!$LQ$2:$LQ$60=U$3)*(GMWQ!$LP$2:$LP$60=U$4)*(GMWQ!$LR$2:$LR$60=U$1),0),$B60-1966)</f>
        <v>5716.835</v>
      </c>
      <c r="V60" s="7" cm="1">
        <f t="array" ref="V60">INDEX(GMWQ!$A$2:$LR$60,MATCH(1,(GMWQ!$LQ$2:$LQ$60=V$3)*(GMWQ!$LP$2:$LP$60=V$4)*(GMWQ!$LR$2:$LR$60=V$1),0),$B60-1966)</f>
        <v>1E-3</v>
      </c>
      <c r="W60" s="7" cm="1">
        <f t="array" ref="W60">INDEX(GMWQ!$A$2:$LR$60,MATCH(1,(GMWQ!$LQ$2:$LQ$60=W$3)*(GMWQ!$LP$2:$LP$60=W$4)*(GMWQ!$LR$2:$LR$60=W$1),0),$B60-1966)</f>
        <v>6.1142260000000004</v>
      </c>
      <c r="X60" s="7" cm="1">
        <f t="array" ref="X60">INDEX(GMWQ!$A$2:$LR$60,MATCH(1,(GMWQ!$LQ$2:$LQ$60=X$3)*(GMWQ!$LP$2:$LP$60=X$4)*(GMWQ!$LR$2:$LR$60=X$1),0),$B60-1966)</f>
        <v>911838.8</v>
      </c>
      <c r="Y60" s="7" cm="1">
        <f t="array" ref="Y60">INDEX(GMWQ!$A$2:$LR$60,MATCH(1,(GMWQ!$LQ$2:$LQ$60=Y$3)*(GMWQ!$LP$2:$LP$60=Y$4)*(GMWQ!$LR$2:$LR$60=Y$1),0),$B60-1966)</f>
        <v>40.008940000000003</v>
      </c>
      <c r="Z60" s="7" cm="1">
        <f t="array" ref="Z60">INDEX(GMWQ!$A$2:$LR$60,MATCH(1,(GMWQ!$LQ$2:$LQ$60=Z$3)*(GMWQ!$LP$2:$LP$60=Z$4)*(GMWQ!$LR$2:$LR$60=Z$1),0),$B60-1966)</f>
        <v>275136</v>
      </c>
      <c r="AA60" s="7" cm="1">
        <f t="array" ref="AA60">INDEX(GMWQ!$A$2:$LR$60,MATCH(1,(GMWQ!$LQ$2:$LQ$60=AA$3)*(GMWQ!$LP$2:$LP$60=AA$4)*(GMWQ!$LR$2:$LR$60=AA$1),0),$B60-1966)</f>
        <v>39137</v>
      </c>
      <c r="AB60" s="7" cm="1">
        <f t="array" ref="AB60">INDEX(GMWQ!$A$2:$LR$60,MATCH(1,(GMWQ!$LQ$2:$LQ$60=AB$3)*(GMWQ!$LP$2:$LP$60=AB$4)*(GMWQ!$LR$2:$LR$60=AB$1),0),$B60-1966)</f>
        <v>38256</v>
      </c>
      <c r="AC60" s="7" cm="1">
        <f t="array" ref="AC60">INDEX(GMWQ!$A$2:$LR$60,MATCH(1,(GMWQ!$LQ$2:$LQ$60=AC$3)*(GMWQ!$LP$2:$LP$60=AC$4)*(GMWQ!$LR$2:$LR$60=AC$1),0),$B60-1966)</f>
        <v>689</v>
      </c>
      <c r="AD60" s="7" cm="1">
        <f t="array" ref="AD60">INDEX(GMWQ!$A$2:$LR$60,MATCH(1,(GMWQ!$LQ$2:$LQ$60=AD$3)*(GMWQ!$LP$2:$LP$60=AD$4)*(GMWQ!$LR$2:$LR$60=AD$1),0),$B60-1966)</f>
        <v>3755</v>
      </c>
      <c r="AE60" s="7" cm="1">
        <f t="array" ref="AE60">INDEX(GMWQ!$A$2:$LR$60,MATCH(1,(GMWQ!$LQ$2:$LQ$60=AE$3)*(GMWQ!$LP$2:$LP$60=AE$4)*(GMWQ!$LR$2:$LR$60=AE$1),0),$B60-1966)</f>
        <v>110079</v>
      </c>
      <c r="AF60" s="20" cm="1">
        <f t="array" ref="AF60">INDEX(GMWQ!$A$2:$LR$60,MATCH(1,(GMWQ!$LQ$2:$LQ$60=AF$3)*(GMWQ!$LP$2:$LP$60=AF$4)*(GMWQ!$LR$2:$LR$60=AF$1),0),$B60-1966)</f>
        <v>10.328849999999999</v>
      </c>
      <c r="AG60" s="20" cm="1">
        <f t="array" ref="AG60">INDEX(GMWQ!$A$2:$LR$60,MATCH(1,(GMWQ!$LQ$2:$LQ$60=AG$3)*(GMWQ!$LP$2:$LP$60=AG$4)*(GMWQ!$LR$2:$LR$60=AG$1),0),$B60-1966)</f>
        <v>-409.3023</v>
      </c>
      <c r="AI60" s="23" cm="1">
        <f t="array" ref="AI60">INDEX(GMWQ!$A$2:$LR$60,MATCH(1,(GMWQ!$LQ$2:$LQ$60=AI$3)*(GMWQ!$LP$2:$LP$60=AI$4)*(GMWQ!$LR$2:$LR$60=AI$1),0),$B60-1966)</f>
        <v>73909</v>
      </c>
      <c r="AJ60" s="23" cm="1">
        <f t="array" ref="AJ60">INDEX(GMWQ!$A$2:$LR$60,MATCH(1,(GMWQ!$LQ$2:$LQ$60=AJ$3)*(GMWQ!$LP$2:$LP$60=AJ$4)*(GMWQ!$LR$2:$LR$60=AJ$1),0),$B60-1966)</f>
        <v>44.722819999999999</v>
      </c>
      <c r="AK60" s="23" cm="1">
        <f t="array" ref="AK60">INDEX(GMWQ!$A$2:$LR$60,MATCH(1,(GMWQ!$LQ$2:$LQ$60=AK$3)*(GMWQ!$LP$2:$LP$60=AK$4)*(GMWQ!$LR$2:$LR$60=AK$1),0),$B60-1966)</f>
        <v>45788</v>
      </c>
      <c r="AL60" s="23" cm="1">
        <f t="array" ref="AL60">INDEX(GMWQ!$A$2:$LR$60,MATCH(1,(GMWQ!$LQ$2:$LQ$60=AL$3)*(GMWQ!$LP$2:$LP$60=AL$4)*(GMWQ!$LR$2:$LR$60=AL$1),0),$B60-1966)</f>
        <v>2185.8229999999999</v>
      </c>
      <c r="AM60" s="23" cm="1">
        <f t="array" ref="AM60">INDEX(GMWQ!$A$2:$LR$60,MATCH(1,(GMWQ!$LQ$2:$LQ$60=AM$3)*(GMWQ!$LP$2:$LP$60=AM$4)*(GMWQ!$LR$2:$LR$60=AM$1),0),$B60-1966)</f>
        <v>20947.71</v>
      </c>
      <c r="AN60" s="23" cm="1">
        <f t="array" ref="AN60">INDEX(GMWQ!$A$2:$LR$60,MATCH(1,(GMWQ!$LQ$2:$LQ$60=AN$3)*(GMWQ!$LP$2:$LP$60=AN$4)*(GMWQ!$LR$2:$LR$60=AN$1),0),$B60-1966)</f>
        <v>9601.8610000000008</v>
      </c>
      <c r="AO60" s="23" cm="1">
        <f t="array" ref="AO60">INDEX(GMWQ!$A$2:$LR$60,MATCH(1,(GMWQ!$LQ$2:$LQ$60=AO$3)*(GMWQ!$LP$2:$LP$60=AO$4)*(GMWQ!$LR$2:$LR$60=AO$1),0),$B60-1966)</f>
        <v>3302.7069999999999</v>
      </c>
      <c r="AP60" s="23" cm="1">
        <f t="array" ref="AP60">INDEX(GMWQ!$A$2:$LR$60,MATCH(1,(GMWQ!$LQ$2:$LQ$60=AP$3)*(GMWQ!$LP$2:$LP$60=AP$4)*(GMWQ!$LR$2:$LR$60=AP$1),0),$B60-1966)</f>
        <v>-409.3023</v>
      </c>
      <c r="AQ60" s="23" cm="1">
        <f t="array" ref="AQ60">INDEX(GMWQ!$A$2:$LR$60,MATCH(1,(GMWQ!$LQ$2:$LQ$60=AQ$3)*(GMWQ!$LP$2:$LP$60=AQ$4)*(GMWQ!$LR$2:$LR$60=AQ$1),0),$B60-1966)</f>
        <v>12345.93</v>
      </c>
      <c r="AR60" s="23" cm="1">
        <f t="array" ref="AR60">INDEX(GMWQ!$A$2:$LR$60,MATCH(1,(GMWQ!$LQ$2:$LQ$60=AR$3)*(GMWQ!$LP$2:$LP$60=AR$4)*(GMWQ!$LR$2:$LR$60=AR$1),0),$B60-1966)</f>
        <v>68065</v>
      </c>
      <c r="AS60" s="23" cm="1">
        <f t="array" ref="AS60">INDEX(GMWQ!$A$2:$LR$60,MATCH(1,(GMWQ!$LQ$2:$LQ$60=AS$3)*(GMWQ!$LP$2:$LP$60=AS$4)*(GMWQ!$LR$2:$LR$60=AS$1),0),$B60-1966)</f>
        <v>1257</v>
      </c>
      <c r="AT60" s="23" cm="1">
        <f t="array" ref="AT60">INDEX(GMWQ!$A$2:$LR$60,MATCH(1,(GMWQ!$LQ$2:$LQ$60=AT$3)*(GMWQ!$LP$2:$LP$60=AT$4)*(GMWQ!$LR$2:$LR$60=AT$1),0),$B60-1966)</f>
        <v>152193</v>
      </c>
      <c r="AU60" s="23" cm="1">
        <f t="array" ref="AU60">INDEX(GMWQ!$A$2:$LR$60,MATCH(1,(GMWQ!$LQ$2:$LQ$60=AU$3)*(GMWQ!$LP$2:$LP$60=AU$4)*(GMWQ!$LR$2:$LR$60=AU$1),0),$B60-1966)</f>
        <v>4581</v>
      </c>
    </row>
    <row r="61" spans="1:47" x14ac:dyDescent="0.35">
      <c r="B61" s="7">
        <f t="shared" si="2"/>
        <v>2027</v>
      </c>
      <c r="C61" s="7" cm="1">
        <f t="array" ref="C61">INDEX(GMWQ!$A$2:$LR$60,MATCH(1,(GMWQ!$LQ$2:$LQ$60=C$3)*(GMWQ!$LP$2:$LP$60=C$4)*(GMWQ!$LR$2:$LR$60=C$1),0),$B61-1966)</f>
        <v>276863</v>
      </c>
      <c r="D61" s="7" cm="1">
        <f t="array" ref="D61">INDEX(GMWQ!$A$2:$LR$60,MATCH(1,(GMWQ!$LQ$2:$LQ$60=D$3)*(GMWQ!$LP$2:$LP$60=D$4)*(GMWQ!$LR$2:$LR$60=D$1),0),$B61-1966)</f>
        <v>118.2911</v>
      </c>
      <c r="E61" s="7" cm="1">
        <f t="array" ref="E61">INDEX(GMWQ!$A$2:$LR$60,MATCH(1,(GMWQ!$LQ$2:$LQ$60=E$3)*(GMWQ!$LP$2:$LP$60=E$4)*(GMWQ!$LR$2:$LR$60=E$1),0),$B61-1966)</f>
        <v>46.533279999999998</v>
      </c>
      <c r="F61" s="7" cm="1">
        <f t="array" ref="F61">INDEX(GMWQ!$A$2:$LR$60,MATCH(1,(GMWQ!$LQ$2:$LQ$60=F$3)*(GMWQ!$LP$2:$LP$60=F$4)*(GMWQ!$LR$2:$LR$60=F$1),0),$B61-1966)</f>
        <v>46565</v>
      </c>
      <c r="G61" s="7" cm="1">
        <f t="array" ref="G61">INDEX(GMWQ!$A$2:$LR$60,MATCH(1,(GMWQ!$LQ$2:$LQ$60=G$3)*(GMWQ!$LP$2:$LP$60=G$4)*(GMWQ!$LR$2:$LR$60=G$1),0),$B61-1966)</f>
        <v>10327.84</v>
      </c>
      <c r="H61" s="7" cm="1">
        <f t="array" ref="H61">INDEX(GMWQ!$A$2:$LR$60,MATCH(1,(GMWQ!$LQ$2:$LQ$60=H$3)*(GMWQ!$LP$2:$LP$60=H$4)*(GMWQ!$LR$2:$LR$60=H$1),0),$B61-1966)</f>
        <v>3358.6669999999999</v>
      </c>
      <c r="I61" s="7" cm="1">
        <f t="array" ref="I61">INDEX(GMWQ!$A$2:$LR$60,MATCH(1,(GMWQ!$LQ$2:$LQ$60=I$3)*(GMWQ!$LP$2:$LP$60=I$4)*(GMWQ!$LR$2:$LR$60=I$1),0),$B61-1966)</f>
        <v>45.208739999999999</v>
      </c>
      <c r="J61" s="7" cm="1">
        <f t="array" ref="J61">INDEX(GMWQ!$A$2:$LR$60,MATCH(1,(GMWQ!$LQ$2:$LQ$60=J$3)*(GMWQ!$LP$2:$LP$60=J$4)*(GMWQ!$LR$2:$LR$60=J$1),0),$B61-1966)</f>
        <v>20971.12</v>
      </c>
      <c r="K61" s="7" cm="1">
        <f t="array" ref="K61">INDEX(GMWQ!$A$2:$LR$60,MATCH(1,(GMWQ!$LQ$2:$LQ$60=K$3)*(GMWQ!$LP$2:$LP$60=K$4)*(GMWQ!$LR$2:$LR$60=K$1),0),$B61-1966)</f>
        <v>9.875</v>
      </c>
      <c r="L61" s="7" cm="1">
        <f t="array" ref="L61">INDEX(GMWQ!$A$2:$LR$60,MATCH(1,(GMWQ!$LQ$2:$LQ$60=L$3)*(GMWQ!$LP$2:$LP$60=L$4)*(GMWQ!$LR$2:$LR$60=L$1),0),$B61-1966)</f>
        <v>11.4</v>
      </c>
      <c r="M61" s="7" cm="1">
        <f t="array" ref="M61">INDEX(GMWQ!$A$2:$LR$60,MATCH(1,(GMWQ!$LQ$2:$LQ$60=M$3)*(GMWQ!$LP$2:$LP$60=M$4)*(GMWQ!$LR$2:$LR$60=M$1),0),$B61-1966)</f>
        <v>17.80274</v>
      </c>
      <c r="N61" s="7" cm="1">
        <f t="array" ref="N61">INDEX(GMWQ!$A$2:$LR$60,MATCH(1,(GMWQ!$LQ$2:$LQ$60=N$3)*(GMWQ!$LP$2:$LP$60=N$4)*(GMWQ!$LR$2:$LR$60=N$1),0),$B61-1966)</f>
        <v>1E-3</v>
      </c>
      <c r="O61" s="7" cm="1">
        <f t="array" ref="O61">INDEX(GMWQ!$A$2:$LR$60,MATCH(1,(GMWQ!$LQ$2:$LQ$60=O$3)*(GMWQ!$LP$2:$LP$60=O$4)*(GMWQ!$LR$2:$LR$60=O$1),0),$B61-1966)</f>
        <v>1E-3</v>
      </c>
      <c r="P61" s="7" cm="1">
        <f t="array" ref="P61">INDEX(GMWQ!$A$2:$LR$60,MATCH(1,(GMWQ!$LQ$2:$LQ$60=P$3)*(GMWQ!$LP$2:$LP$60=P$4)*(GMWQ!$LR$2:$LR$60=P$1),0),$B61-1966)</f>
        <v>73297</v>
      </c>
      <c r="Q61" s="7" cm="1">
        <f t="array" ref="Q61">INDEX(GMWQ!$A$2:$LR$60,MATCH(1,(GMWQ!$LQ$2:$LQ$60=Q$3)*(GMWQ!$LP$2:$LP$60=Q$4)*(GMWQ!$LR$2:$LR$60=Q$1),0),$B61-1966)</f>
        <v>11.04</v>
      </c>
      <c r="R61" s="7" cm="1">
        <f t="array" ref="R61">INDEX(GMWQ!$A$2:$LR$60,MATCH(1,(GMWQ!$LQ$2:$LQ$60=R$3)*(GMWQ!$LP$2:$LP$60=R$4)*(GMWQ!$LR$2:$LR$60=R$1),0),$B61-1966)</f>
        <v>1E-3</v>
      </c>
      <c r="S61" s="7" cm="1">
        <f t="array" ref="S61">INDEX(GMWQ!$A$2:$LR$60,MATCH(1,(GMWQ!$LQ$2:$LQ$60=S$3)*(GMWQ!$LP$2:$LP$60=S$4)*(GMWQ!$LR$2:$LR$60=S$1),0),$B61-1966)</f>
        <v>469</v>
      </c>
      <c r="T61" s="7" cm="1">
        <f t="array" ref="T61">INDEX(GMWQ!$A$2:$LR$60,MATCH(1,(GMWQ!$LQ$2:$LQ$60=T$3)*(GMWQ!$LP$2:$LP$60=T$4)*(GMWQ!$LR$2:$LR$60=T$1),0),$B61-1966)</f>
        <v>1E-3</v>
      </c>
      <c r="U61" s="7" cm="1">
        <f t="array" ref="U61">INDEX(GMWQ!$A$2:$LR$60,MATCH(1,(GMWQ!$LQ$2:$LQ$60=U$3)*(GMWQ!$LP$2:$LP$60=U$4)*(GMWQ!$LR$2:$LR$60=U$1),0),$B61-1966)</f>
        <v>7111.1639999999998</v>
      </c>
      <c r="V61" s="7" cm="1">
        <f t="array" ref="V61">INDEX(GMWQ!$A$2:$LR$60,MATCH(1,(GMWQ!$LQ$2:$LQ$60=V$3)*(GMWQ!$LP$2:$LP$60=V$4)*(GMWQ!$LR$2:$LR$60=V$1),0),$B61-1966)</f>
        <v>1E-3</v>
      </c>
      <c r="W61" s="7" cm="1">
        <f t="array" ref="W61">INDEX(GMWQ!$A$2:$LR$60,MATCH(1,(GMWQ!$LQ$2:$LQ$60=W$3)*(GMWQ!$LP$2:$LP$60=W$4)*(GMWQ!$LR$2:$LR$60=W$1),0),$B61-1966)</f>
        <v>6.2407760000000003</v>
      </c>
      <c r="X61" s="7" cm="1">
        <f t="array" ref="X61">INDEX(GMWQ!$A$2:$LR$60,MATCH(1,(GMWQ!$LQ$2:$LQ$60=X$3)*(GMWQ!$LP$2:$LP$60=X$4)*(GMWQ!$LR$2:$LR$60=X$1),0),$B61-1966)</f>
        <v>923373.8</v>
      </c>
      <c r="Y61" s="7" cm="1">
        <f t="array" ref="Y61">INDEX(GMWQ!$A$2:$LR$60,MATCH(1,(GMWQ!$LQ$2:$LQ$60=Y$3)*(GMWQ!$LP$2:$LP$60=Y$4)*(GMWQ!$LR$2:$LR$60=Y$1),0),$B61-1966)</f>
        <v>40.449249999999999</v>
      </c>
      <c r="Z61" s="7" cm="1">
        <f t="array" ref="Z61">INDEX(GMWQ!$A$2:$LR$60,MATCH(1,(GMWQ!$LQ$2:$LQ$60=Z$3)*(GMWQ!$LP$2:$LP$60=Z$4)*(GMWQ!$LR$2:$LR$60=Z$1),0),$B61-1966)</f>
        <v>276998.5</v>
      </c>
      <c r="AA61" s="7" cm="1">
        <f t="array" ref="AA61">INDEX(GMWQ!$A$2:$LR$60,MATCH(1,(GMWQ!$LQ$2:$LQ$60=AA$3)*(GMWQ!$LP$2:$LP$60=AA$4)*(GMWQ!$LR$2:$LR$60=AA$1),0),$B61-1966)</f>
        <v>40389</v>
      </c>
      <c r="AB61" s="7" cm="1">
        <f t="array" ref="AB61">INDEX(GMWQ!$A$2:$LR$60,MATCH(1,(GMWQ!$LQ$2:$LQ$60=AB$3)*(GMWQ!$LP$2:$LP$60=AB$4)*(GMWQ!$LR$2:$LR$60=AB$1),0),$B61-1966)</f>
        <v>39466</v>
      </c>
      <c r="AC61" s="7" cm="1">
        <f t="array" ref="AC61">INDEX(GMWQ!$A$2:$LR$60,MATCH(1,(GMWQ!$LQ$2:$LQ$60=AC$3)*(GMWQ!$LP$2:$LP$60=AC$4)*(GMWQ!$LR$2:$LR$60=AC$1),0),$B61-1966)</f>
        <v>1084</v>
      </c>
      <c r="AD61" s="7" cm="1">
        <f t="array" ref="AD61">INDEX(GMWQ!$A$2:$LR$60,MATCH(1,(GMWQ!$LQ$2:$LQ$60=AD$3)*(GMWQ!$LP$2:$LP$60=AD$4)*(GMWQ!$LR$2:$LR$60=AD$1),0),$B61-1966)</f>
        <v>3823</v>
      </c>
      <c r="AE61" s="7" cm="1">
        <f t="array" ref="AE61">INDEX(GMWQ!$A$2:$LR$60,MATCH(1,(GMWQ!$LQ$2:$LQ$60=AE$3)*(GMWQ!$LP$2:$LP$60=AE$4)*(GMWQ!$LR$2:$LR$60=AE$1),0),$B61-1966)</f>
        <v>111989</v>
      </c>
      <c r="AF61" s="20" cm="1">
        <f t="array" ref="AF61">INDEX(GMWQ!$A$2:$LR$60,MATCH(1,(GMWQ!$LQ$2:$LQ$60=AF$3)*(GMWQ!$LP$2:$LP$60=AF$4)*(GMWQ!$LR$2:$LR$60=AF$1),0),$B61-1966)</f>
        <v>9.875</v>
      </c>
      <c r="AG61" s="20" cm="1">
        <f t="array" ref="AG61">INDEX(GMWQ!$A$2:$LR$60,MATCH(1,(GMWQ!$LQ$2:$LQ$60=AG$3)*(GMWQ!$LP$2:$LP$60=AG$4)*(GMWQ!$LR$2:$LR$60=AG$1),0),$B61-1966)</f>
        <v>-389.20929999999998</v>
      </c>
      <c r="AI61" s="23" cm="1">
        <f t="array" ref="AI61">INDEX(GMWQ!$A$2:$LR$60,MATCH(1,(GMWQ!$LQ$2:$LQ$60=AI$3)*(GMWQ!$LP$2:$LP$60=AI$4)*(GMWQ!$LR$2:$LR$60=AI$1),0),$B61-1966)</f>
        <v>73297</v>
      </c>
      <c r="AJ61" s="23" cm="1">
        <f t="array" ref="AJ61">INDEX(GMWQ!$A$2:$LR$60,MATCH(1,(GMWQ!$LQ$2:$LQ$60=AJ$3)*(GMWQ!$LP$2:$LP$60=AJ$4)*(GMWQ!$LR$2:$LR$60=AJ$1),0),$B61-1966)</f>
        <v>45.208739999999999</v>
      </c>
      <c r="AK61" s="23" cm="1">
        <f t="array" ref="AK61">INDEX(GMWQ!$A$2:$LR$60,MATCH(1,(GMWQ!$LQ$2:$LQ$60=AK$3)*(GMWQ!$LP$2:$LP$60=AK$4)*(GMWQ!$LR$2:$LR$60=AK$1),0),$B61-1966)</f>
        <v>46565</v>
      </c>
      <c r="AL61" s="23" cm="1">
        <f t="array" ref="AL61">INDEX(GMWQ!$A$2:$LR$60,MATCH(1,(GMWQ!$LQ$2:$LQ$60=AL$3)*(GMWQ!$LP$2:$LP$60=AL$4)*(GMWQ!$LR$2:$LR$60=AL$1),0),$B61-1966)</f>
        <v>2220.4349999999999</v>
      </c>
      <c r="AM61" s="23" cm="1">
        <f t="array" ref="AM61">INDEX(GMWQ!$A$2:$LR$60,MATCH(1,(GMWQ!$LQ$2:$LQ$60=AM$3)*(GMWQ!$LP$2:$LP$60=AM$4)*(GMWQ!$LR$2:$LR$60=AM$1),0),$B61-1966)</f>
        <v>20971.12</v>
      </c>
      <c r="AN61" s="23" cm="1">
        <f t="array" ref="AN61">INDEX(GMWQ!$A$2:$LR$60,MATCH(1,(GMWQ!$LQ$2:$LQ$60=AN$3)*(GMWQ!$LP$2:$LP$60=AN$4)*(GMWQ!$LR$2:$LR$60=AN$1),0),$B61-1966)</f>
        <v>10327.84</v>
      </c>
      <c r="AO61" s="23" cm="1">
        <f t="array" ref="AO61">INDEX(GMWQ!$A$2:$LR$60,MATCH(1,(GMWQ!$LQ$2:$LQ$60=AO$3)*(GMWQ!$LP$2:$LP$60=AO$4)*(GMWQ!$LR$2:$LR$60=AO$1),0),$B61-1966)</f>
        <v>3358.6669999999999</v>
      </c>
      <c r="AP61" s="23" cm="1">
        <f t="array" ref="AP61">INDEX(GMWQ!$A$2:$LR$60,MATCH(1,(GMWQ!$LQ$2:$LQ$60=AP$3)*(GMWQ!$LP$2:$LP$60=AP$4)*(GMWQ!$LR$2:$LR$60=AP$1),0),$B61-1966)</f>
        <v>-389.20929999999998</v>
      </c>
      <c r="AQ61" s="23" cm="1">
        <f t="array" ref="AQ61">INDEX(GMWQ!$A$2:$LR$60,MATCH(1,(GMWQ!$LQ$2:$LQ$60=AQ$3)*(GMWQ!$LP$2:$LP$60=AQ$4)*(GMWQ!$LR$2:$LR$60=AQ$1),0),$B61-1966)</f>
        <v>12659.61</v>
      </c>
      <c r="AR61" s="23" cm="1">
        <f t="array" ref="AR61">INDEX(GMWQ!$A$2:$LR$60,MATCH(1,(GMWQ!$LQ$2:$LQ$60=AR$3)*(GMWQ!$LP$2:$LP$60=AR$4)*(GMWQ!$LR$2:$LR$60=AR$1),0),$B61-1966)</f>
        <v>69253</v>
      </c>
      <c r="AS61" s="23" cm="1">
        <f t="array" ref="AS61">INDEX(GMWQ!$A$2:$LR$60,MATCH(1,(GMWQ!$LQ$2:$LQ$60=AS$3)*(GMWQ!$LP$2:$LP$60=AS$4)*(GMWQ!$LR$2:$LR$60=AS$1),0),$B61-1966)</f>
        <v>1292</v>
      </c>
      <c r="AT61" s="23" cm="1">
        <f t="array" ref="AT61">INDEX(GMWQ!$A$2:$LR$60,MATCH(1,(GMWQ!$LQ$2:$LQ$60=AT$3)*(GMWQ!$LP$2:$LP$60=AT$4)*(GMWQ!$LR$2:$LR$60=AT$1),0),$B61-1966)</f>
        <v>153185</v>
      </c>
      <c r="AU61" s="23" cm="1">
        <f t="array" ref="AU61">INDEX(GMWQ!$A$2:$LR$60,MATCH(1,(GMWQ!$LQ$2:$LQ$60=AU$3)*(GMWQ!$LP$2:$LP$60=AU$4)*(GMWQ!$LR$2:$LR$60=AU$1),0),$B61-1966)</f>
        <v>4641</v>
      </c>
    </row>
    <row r="62" spans="1:47" x14ac:dyDescent="0.35">
      <c r="B62" s="7">
        <f t="shared" si="2"/>
        <v>2028</v>
      </c>
      <c r="C62" s="7" cm="1">
        <f t="array" ref="C62">INDEX(GMWQ!$A$2:$LR$60,MATCH(1,(GMWQ!$LQ$2:$LQ$60=C$3)*(GMWQ!$LP$2:$LP$60=C$4)*(GMWQ!$LR$2:$LR$60=C$1),0),$B62-1966)</f>
        <v>282193</v>
      </c>
      <c r="D62" s="7" cm="1">
        <f t="array" ref="D62">INDEX(GMWQ!$A$2:$LR$60,MATCH(1,(GMWQ!$LQ$2:$LQ$60=D$3)*(GMWQ!$LP$2:$LP$60=D$4)*(GMWQ!$LR$2:$LR$60=D$1),0),$B62-1966)</f>
        <v>120.3198</v>
      </c>
      <c r="E62" s="7" cm="1">
        <f t="array" ref="E62">INDEX(GMWQ!$A$2:$LR$60,MATCH(1,(GMWQ!$LQ$2:$LQ$60=E$3)*(GMWQ!$LP$2:$LP$60=E$4)*(GMWQ!$LR$2:$LR$60=E$1),0),$B62-1966)</f>
        <v>46.924320000000002</v>
      </c>
      <c r="F62" s="7" cm="1">
        <f t="array" ref="F62">INDEX(GMWQ!$A$2:$LR$60,MATCH(1,(GMWQ!$LQ$2:$LQ$60=F$3)*(GMWQ!$LP$2:$LP$60=F$4)*(GMWQ!$LR$2:$LR$60=F$1),0),$B62-1966)</f>
        <v>47221</v>
      </c>
      <c r="G62" s="7" cm="1">
        <f t="array" ref="G62">INDEX(GMWQ!$A$2:$LR$60,MATCH(1,(GMWQ!$LQ$2:$LQ$60=G$3)*(GMWQ!$LP$2:$LP$60=G$4)*(GMWQ!$LR$2:$LR$60=G$1),0),$B62-1966)</f>
        <v>10502.9</v>
      </c>
      <c r="H62" s="7" cm="1">
        <f t="array" ref="H62">INDEX(GMWQ!$A$2:$LR$60,MATCH(1,(GMWQ!$LQ$2:$LQ$60=H$3)*(GMWQ!$LP$2:$LP$60=H$4)*(GMWQ!$LR$2:$LR$60=H$1),0),$B62-1966)</f>
        <v>3413.5720000000001</v>
      </c>
      <c r="I62" s="7" cm="1">
        <f t="array" ref="I62">INDEX(GMWQ!$A$2:$LR$60,MATCH(1,(GMWQ!$LQ$2:$LQ$60=I$3)*(GMWQ!$LP$2:$LP$60=I$4)*(GMWQ!$LR$2:$LR$60=I$1),0),$B62-1966)</f>
        <v>45.80245</v>
      </c>
      <c r="J62" s="7" cm="1">
        <f t="array" ref="J62">INDEX(GMWQ!$A$2:$LR$60,MATCH(1,(GMWQ!$LQ$2:$LQ$60=J$3)*(GMWQ!$LP$2:$LP$60=J$4)*(GMWQ!$LR$2:$LR$60=J$1),0),$B62-1966)</f>
        <v>20975.62</v>
      </c>
      <c r="K62" s="7" cm="1">
        <f t="array" ref="K62">INDEX(GMWQ!$A$2:$LR$60,MATCH(1,(GMWQ!$LQ$2:$LQ$60=K$3)*(GMWQ!$LP$2:$LP$60=K$4)*(GMWQ!$LR$2:$LR$60=K$1),0),$B62-1966)</f>
        <v>10.875</v>
      </c>
      <c r="L62" s="7" cm="1">
        <f t="array" ref="L62">INDEX(GMWQ!$A$2:$LR$60,MATCH(1,(GMWQ!$LQ$2:$LQ$60=L$3)*(GMWQ!$LP$2:$LP$60=L$4)*(GMWQ!$LR$2:$LR$60=L$1),0),$B62-1966)</f>
        <v>11.3</v>
      </c>
      <c r="M62" s="7" cm="1">
        <f t="array" ref="M62">INDEX(GMWQ!$A$2:$LR$60,MATCH(1,(GMWQ!$LQ$2:$LQ$60=M$3)*(GMWQ!$LP$2:$LP$60=M$4)*(GMWQ!$LR$2:$LR$60=M$1),0),$B62-1966)</f>
        <v>18.496500000000001</v>
      </c>
      <c r="N62" s="7" cm="1">
        <f t="array" ref="N62">INDEX(GMWQ!$A$2:$LR$60,MATCH(1,(GMWQ!$LQ$2:$LQ$60=N$3)*(GMWQ!$LP$2:$LP$60=N$4)*(GMWQ!$LR$2:$LR$60=N$1),0),$B62-1966)</f>
        <v>1E-3</v>
      </c>
      <c r="O62" s="7" cm="1">
        <f t="array" ref="O62">INDEX(GMWQ!$A$2:$LR$60,MATCH(1,(GMWQ!$LQ$2:$LQ$60=O$3)*(GMWQ!$LP$2:$LP$60=O$4)*(GMWQ!$LR$2:$LR$60=O$1),0),$B62-1966)</f>
        <v>1E-3</v>
      </c>
      <c r="P62" s="7" cm="1">
        <f t="array" ref="P62">INDEX(GMWQ!$A$2:$LR$60,MATCH(1,(GMWQ!$LQ$2:$LQ$60=P$3)*(GMWQ!$LP$2:$LP$60=P$4)*(GMWQ!$LR$2:$LR$60=P$1),0),$B62-1966)</f>
        <v>74329</v>
      </c>
      <c r="Q62" s="7" cm="1">
        <f t="array" ref="Q62">INDEX(GMWQ!$A$2:$LR$60,MATCH(1,(GMWQ!$LQ$2:$LQ$60=Q$3)*(GMWQ!$LP$2:$LP$60=Q$4)*(GMWQ!$LR$2:$LR$60=Q$1),0),$B62-1966)</f>
        <v>12.32</v>
      </c>
      <c r="R62" s="7" cm="1">
        <f t="array" ref="R62">INDEX(GMWQ!$A$2:$LR$60,MATCH(1,(GMWQ!$LQ$2:$LQ$60=R$3)*(GMWQ!$LP$2:$LP$60=R$4)*(GMWQ!$LR$2:$LR$60=R$1),0),$B62-1966)</f>
        <v>1E-3</v>
      </c>
      <c r="S62" s="7" cm="1">
        <f t="array" ref="S62">INDEX(GMWQ!$A$2:$LR$60,MATCH(1,(GMWQ!$LQ$2:$LQ$60=S$3)*(GMWQ!$LP$2:$LP$60=S$4)*(GMWQ!$LR$2:$LR$60=S$1),0),$B62-1966)</f>
        <v>475</v>
      </c>
      <c r="T62" s="7" cm="1">
        <f t="array" ref="T62">INDEX(GMWQ!$A$2:$LR$60,MATCH(1,(GMWQ!$LQ$2:$LQ$60=T$3)*(GMWQ!$LP$2:$LP$60=T$4)*(GMWQ!$LR$2:$LR$60=T$1),0),$B62-1966)</f>
        <v>1E-3</v>
      </c>
      <c r="U62" s="7" cm="1">
        <f t="array" ref="U62">INDEX(GMWQ!$A$2:$LR$60,MATCH(1,(GMWQ!$LQ$2:$LQ$60=U$3)*(GMWQ!$LP$2:$LP$60=U$4)*(GMWQ!$LR$2:$LR$60=U$1),0),$B62-1966)</f>
        <v>6676.8069999999998</v>
      </c>
      <c r="V62" s="7" cm="1">
        <f t="array" ref="V62">INDEX(GMWQ!$A$2:$LR$60,MATCH(1,(GMWQ!$LQ$2:$LQ$60=V$3)*(GMWQ!$LP$2:$LP$60=V$4)*(GMWQ!$LR$2:$LR$60=V$1),0),$B62-1966)</f>
        <v>1E-3</v>
      </c>
      <c r="W62" s="7" cm="1">
        <f t="array" ref="W62">INDEX(GMWQ!$A$2:$LR$60,MATCH(1,(GMWQ!$LQ$2:$LQ$60=W$3)*(GMWQ!$LP$2:$LP$60=W$4)*(GMWQ!$LR$2:$LR$60=W$1),0),$B62-1966)</f>
        <v>6.9198630000000003</v>
      </c>
      <c r="X62" s="7" cm="1">
        <f t="array" ref="X62">INDEX(GMWQ!$A$2:$LR$60,MATCH(1,(GMWQ!$LQ$2:$LQ$60=X$3)*(GMWQ!$LP$2:$LP$60=X$4)*(GMWQ!$LR$2:$LR$60=X$1),0),$B62-1966)</f>
        <v>951327.3</v>
      </c>
      <c r="Y62" s="7" cm="1">
        <f t="array" ref="Y62">INDEX(GMWQ!$A$2:$LR$60,MATCH(1,(GMWQ!$LQ$2:$LQ$60=Y$3)*(GMWQ!$LP$2:$LP$60=Y$4)*(GMWQ!$LR$2:$LR$60=Y$1),0),$B62-1966)</f>
        <v>41.028309999999998</v>
      </c>
      <c r="Z62" s="7" cm="1">
        <f t="array" ref="Z62">INDEX(GMWQ!$A$2:$LR$60,MATCH(1,(GMWQ!$LQ$2:$LQ$60=Z$3)*(GMWQ!$LP$2:$LP$60=Z$4)*(GMWQ!$LR$2:$LR$60=Z$1),0),$B62-1966)</f>
        <v>278739.90000000002</v>
      </c>
      <c r="AA62" s="7" cm="1">
        <f t="array" ref="AA62">INDEX(GMWQ!$A$2:$LR$60,MATCH(1,(GMWQ!$LQ$2:$LQ$60=AA$3)*(GMWQ!$LP$2:$LP$60=AA$4)*(GMWQ!$LR$2:$LR$60=AA$1),0),$B62-1966)</f>
        <v>44482</v>
      </c>
      <c r="AB62" s="7" cm="1">
        <f t="array" ref="AB62">INDEX(GMWQ!$A$2:$LR$60,MATCH(1,(GMWQ!$LQ$2:$LQ$60=AB$3)*(GMWQ!$LP$2:$LP$60=AB$4)*(GMWQ!$LR$2:$LR$60=AB$1),0),$B62-1966)</f>
        <v>40118</v>
      </c>
      <c r="AC62" s="7" cm="1">
        <f t="array" ref="AC62">INDEX(GMWQ!$A$2:$LR$60,MATCH(1,(GMWQ!$LQ$2:$LQ$60=AC$3)*(GMWQ!$LP$2:$LP$60=AC$4)*(GMWQ!$LR$2:$LR$60=AC$1),0),$B62-1966)</f>
        <v>856</v>
      </c>
      <c r="AD62" s="7" cm="1">
        <f t="array" ref="AD62">INDEX(GMWQ!$A$2:$LR$60,MATCH(1,(GMWQ!$LQ$2:$LQ$60=AD$3)*(GMWQ!$LP$2:$LP$60=AD$4)*(GMWQ!$LR$2:$LR$60=AD$1),0),$B62-1966)</f>
        <v>3846</v>
      </c>
      <c r="AE62" s="7" cm="1">
        <f t="array" ref="AE62">INDEX(GMWQ!$A$2:$LR$60,MATCH(1,(GMWQ!$LQ$2:$LQ$60=AE$3)*(GMWQ!$LP$2:$LP$60=AE$4)*(GMWQ!$LR$2:$LR$60=AE$1),0),$B62-1966)</f>
        <v>115779</v>
      </c>
      <c r="AF62" s="20" cm="1">
        <f t="array" ref="AF62">INDEX(GMWQ!$A$2:$LR$60,MATCH(1,(GMWQ!$LQ$2:$LQ$60=AF$3)*(GMWQ!$LP$2:$LP$60=AF$4)*(GMWQ!$LR$2:$LR$60=AF$1),0),$B62-1966)</f>
        <v>10.72348</v>
      </c>
      <c r="AG62" s="20" cm="1">
        <f t="array" ref="AG62">INDEX(GMWQ!$A$2:$LR$60,MATCH(1,(GMWQ!$LQ$2:$LQ$60=AG$3)*(GMWQ!$LP$2:$LP$60=AG$4)*(GMWQ!$LR$2:$LR$60=AG$1),0),$B62-1966)</f>
        <v>-305.11630000000002</v>
      </c>
      <c r="AI62" s="23" cm="1">
        <f t="array" ref="AI62">INDEX(GMWQ!$A$2:$LR$60,MATCH(1,(GMWQ!$LQ$2:$LQ$60=AI$3)*(GMWQ!$LP$2:$LP$60=AI$4)*(GMWQ!$LR$2:$LR$60=AI$1),0),$B62-1966)</f>
        <v>74329</v>
      </c>
      <c r="AJ62" s="23" cm="1">
        <f t="array" ref="AJ62">INDEX(GMWQ!$A$2:$LR$60,MATCH(1,(GMWQ!$LQ$2:$LQ$60=AJ$3)*(GMWQ!$LP$2:$LP$60=AJ$4)*(GMWQ!$LR$2:$LR$60=AJ$1),0),$B62-1966)</f>
        <v>45.80245</v>
      </c>
      <c r="AK62" s="23" cm="1">
        <f t="array" ref="AK62">INDEX(GMWQ!$A$2:$LR$60,MATCH(1,(GMWQ!$LQ$2:$LQ$60=AK$3)*(GMWQ!$LP$2:$LP$60=AK$4)*(GMWQ!$LR$2:$LR$60=AK$1),0),$B62-1966)</f>
        <v>47221</v>
      </c>
      <c r="AL62" s="23" cm="1">
        <f t="array" ref="AL62">INDEX(GMWQ!$A$2:$LR$60,MATCH(1,(GMWQ!$LQ$2:$LQ$60=AL$3)*(GMWQ!$LP$2:$LP$60=AL$4)*(GMWQ!$LR$2:$LR$60=AL$1),0),$B62-1966)</f>
        <v>2251.2330000000002</v>
      </c>
      <c r="AM62" s="23" cm="1">
        <f t="array" ref="AM62">INDEX(GMWQ!$A$2:$LR$60,MATCH(1,(GMWQ!$LQ$2:$LQ$60=AM$3)*(GMWQ!$LP$2:$LP$60=AM$4)*(GMWQ!$LR$2:$LR$60=AM$1),0),$B62-1966)</f>
        <v>20975.62</v>
      </c>
      <c r="AN62" s="23" cm="1">
        <f t="array" ref="AN62">INDEX(GMWQ!$A$2:$LR$60,MATCH(1,(GMWQ!$LQ$2:$LQ$60=AN$3)*(GMWQ!$LP$2:$LP$60=AN$4)*(GMWQ!$LR$2:$LR$60=AN$1),0),$B62-1966)</f>
        <v>10502.9</v>
      </c>
      <c r="AO62" s="23" cm="1">
        <f t="array" ref="AO62">INDEX(GMWQ!$A$2:$LR$60,MATCH(1,(GMWQ!$LQ$2:$LQ$60=AO$3)*(GMWQ!$LP$2:$LP$60=AO$4)*(GMWQ!$LR$2:$LR$60=AO$1),0),$B62-1966)</f>
        <v>3413.5720000000001</v>
      </c>
      <c r="AP62" s="23" cm="1">
        <f t="array" ref="AP62">INDEX(GMWQ!$A$2:$LR$60,MATCH(1,(GMWQ!$LQ$2:$LQ$60=AP$3)*(GMWQ!$LP$2:$LP$60=AP$4)*(GMWQ!$LR$2:$LR$60=AP$1),0),$B62-1966)</f>
        <v>-305.11630000000002</v>
      </c>
      <c r="AQ62" s="23" cm="1">
        <f t="array" ref="AQ62">INDEX(GMWQ!$A$2:$LR$60,MATCH(1,(GMWQ!$LQ$2:$LQ$60=AQ$3)*(GMWQ!$LP$2:$LP$60=AQ$4)*(GMWQ!$LR$2:$LR$60=AQ$1),0),$B62-1966)</f>
        <v>12575.15</v>
      </c>
      <c r="AR62" s="23" cm="1">
        <f t="array" ref="AR62">INDEX(GMWQ!$A$2:$LR$60,MATCH(1,(GMWQ!$LQ$2:$LQ$60=AR$3)*(GMWQ!$LP$2:$LP$60=AR$4)*(GMWQ!$LR$2:$LR$60=AR$1),0),$B62-1966)</f>
        <v>70506</v>
      </c>
      <c r="AS62" s="23" cm="1">
        <f t="array" ref="AS62">INDEX(GMWQ!$A$2:$LR$60,MATCH(1,(GMWQ!$LQ$2:$LQ$60=AS$3)*(GMWQ!$LP$2:$LP$60=AS$4)*(GMWQ!$LR$2:$LR$60=AS$1),0),$B62-1966)</f>
        <v>1295</v>
      </c>
      <c r="AT62" s="23" cm="1">
        <f t="array" ref="AT62">INDEX(GMWQ!$A$2:$LR$60,MATCH(1,(GMWQ!$LQ$2:$LQ$60=AT$3)*(GMWQ!$LP$2:$LP$60=AT$4)*(GMWQ!$LR$2:$LR$60=AT$1),0),$B62-1966)</f>
        <v>153935</v>
      </c>
      <c r="AU62" s="23" cm="1">
        <f t="array" ref="AU62">INDEX(GMWQ!$A$2:$LR$60,MATCH(1,(GMWQ!$LQ$2:$LQ$60=AU$3)*(GMWQ!$LP$2:$LP$60=AU$4)*(GMWQ!$LR$2:$LR$60=AU$1),0),$B62-1966)</f>
        <v>4737</v>
      </c>
    </row>
    <row r="63" spans="1:47" x14ac:dyDescent="0.35">
      <c r="A63" s="7">
        <v>1987</v>
      </c>
      <c r="B63" s="7">
        <f t="shared" si="2"/>
        <v>2029</v>
      </c>
      <c r="C63" s="7" cm="1">
        <f t="array" ref="C63">INDEX(GMWQ!$A$2:$LR$60,MATCH(1,(GMWQ!$LQ$2:$LQ$60=C$3)*(GMWQ!$LP$2:$LP$60=C$4)*(GMWQ!$LR$2:$LR$60=C$1),0),$B63-1966)</f>
        <v>284172</v>
      </c>
      <c r="D63" s="7" cm="1">
        <f t="array" ref="D63">INDEX(GMWQ!$A$2:$LR$60,MATCH(1,(GMWQ!$LQ$2:$LQ$60=D$3)*(GMWQ!$LP$2:$LP$60=D$4)*(GMWQ!$LR$2:$LR$60=D$1),0),$B63-1966)</f>
        <v>121.41079999999999</v>
      </c>
      <c r="E63" s="7" cm="1">
        <f t="array" ref="E63">INDEX(GMWQ!$A$2:$LR$60,MATCH(1,(GMWQ!$LQ$2:$LQ$60=E$3)*(GMWQ!$LP$2:$LP$60=E$4)*(GMWQ!$LR$2:$LR$60=E$1),0),$B63-1966)</f>
        <v>47.237139999999997</v>
      </c>
      <c r="F63" s="7" cm="1">
        <f t="array" ref="F63">INDEX(GMWQ!$A$2:$LR$60,MATCH(1,(GMWQ!$LQ$2:$LQ$60=F$3)*(GMWQ!$LP$2:$LP$60=F$4)*(GMWQ!$LR$2:$LR$60=F$1),0),$B63-1966)</f>
        <v>47918</v>
      </c>
      <c r="G63" s="7" cm="1">
        <f t="array" ref="G63">INDEX(GMWQ!$A$2:$LR$60,MATCH(1,(GMWQ!$LQ$2:$LQ$60=G$3)*(GMWQ!$LP$2:$LP$60=G$4)*(GMWQ!$LR$2:$LR$60=G$1),0),$B63-1966)</f>
        <v>10313</v>
      </c>
      <c r="H63" s="7" cm="1">
        <f t="array" ref="H63">INDEX(GMWQ!$A$2:$LR$60,MATCH(1,(GMWQ!$LQ$2:$LQ$60=H$3)*(GMWQ!$LP$2:$LP$60=H$4)*(GMWQ!$LR$2:$LR$60=H$1),0),$B63-1966)</f>
        <v>3554</v>
      </c>
      <c r="I63" s="7" cm="1">
        <f t="array" ref="I63">INDEX(GMWQ!$A$2:$LR$60,MATCH(1,(GMWQ!$LQ$2:$LQ$60=I$3)*(GMWQ!$LP$2:$LP$60=I$4)*(GMWQ!$LR$2:$LR$60=I$1),0),$B63-1966)</f>
        <v>46.23227</v>
      </c>
      <c r="J63" s="7" cm="1">
        <f t="array" ref="J63">INDEX(GMWQ!$A$2:$LR$60,MATCH(1,(GMWQ!$LQ$2:$LQ$60=J$3)*(GMWQ!$LP$2:$LP$60=J$4)*(GMWQ!$LR$2:$LR$60=J$1),0),$B63-1966)</f>
        <v>20990.02</v>
      </c>
      <c r="K63" s="7" cm="1">
        <f t="array" ref="K63">INDEX(GMWQ!$A$2:$LR$60,MATCH(1,(GMWQ!$LQ$2:$LQ$60=K$3)*(GMWQ!$LP$2:$LP$60=K$4)*(GMWQ!$LR$2:$LR$60=K$1),0),$B63-1966)</f>
        <v>9.875</v>
      </c>
      <c r="L63" s="7" cm="1">
        <f t="array" ref="L63">INDEX(GMWQ!$A$2:$LR$60,MATCH(1,(GMWQ!$LQ$2:$LQ$60=L$3)*(GMWQ!$LP$2:$LP$60=L$4)*(GMWQ!$LR$2:$LR$60=L$1),0),$B63-1966)</f>
        <v>11.1</v>
      </c>
      <c r="M63" s="7" cm="1">
        <f t="array" ref="M63">INDEX(GMWQ!$A$2:$LR$60,MATCH(1,(GMWQ!$LQ$2:$LQ$60=M$3)*(GMWQ!$LP$2:$LP$60=M$4)*(GMWQ!$LR$2:$LR$60=M$1),0),$B63-1966)</f>
        <v>19.03265</v>
      </c>
      <c r="N63" s="7" cm="1">
        <f t="array" ref="N63">INDEX(GMWQ!$A$2:$LR$60,MATCH(1,(GMWQ!$LQ$2:$LQ$60=N$3)*(GMWQ!$LP$2:$LP$60=N$4)*(GMWQ!$LR$2:$LR$60=N$1),0),$B63-1966)</f>
        <v>5414</v>
      </c>
      <c r="O63" s="7" cm="1">
        <f t="array" ref="O63">INDEX(GMWQ!$A$2:$LR$60,MATCH(1,(GMWQ!$LQ$2:$LQ$60=O$3)*(GMWQ!$LP$2:$LP$60=O$4)*(GMWQ!$LR$2:$LR$60=O$1),0),$B63-1966)</f>
        <v>5926</v>
      </c>
      <c r="P63" s="7" cm="1">
        <f t="array" ref="P63">INDEX(GMWQ!$A$2:$LR$60,MATCH(1,(GMWQ!$LQ$2:$LQ$60=P$3)*(GMWQ!$LP$2:$LP$60=P$4)*(GMWQ!$LR$2:$LR$60=P$1),0),$B63-1966)</f>
        <v>74158</v>
      </c>
      <c r="Q63" s="7" cm="1">
        <f t="array" ref="Q63">INDEX(GMWQ!$A$2:$LR$60,MATCH(1,(GMWQ!$LQ$2:$LQ$60=Q$3)*(GMWQ!$LP$2:$LP$60=Q$4)*(GMWQ!$LR$2:$LR$60=Q$1),0),$B63-1966)</f>
        <v>12.32</v>
      </c>
      <c r="R63" s="7" cm="1">
        <f t="array" ref="R63">INDEX(GMWQ!$A$2:$LR$60,MATCH(1,(GMWQ!$LQ$2:$LQ$60=R$3)*(GMWQ!$LP$2:$LP$60=R$4)*(GMWQ!$LR$2:$LR$60=R$1),0),$B63-1966)</f>
        <v>1E-3</v>
      </c>
      <c r="S63" s="7" cm="1">
        <f t="array" ref="S63">INDEX(GMWQ!$A$2:$LR$60,MATCH(1,(GMWQ!$LQ$2:$LQ$60=S$3)*(GMWQ!$LP$2:$LP$60=S$4)*(GMWQ!$LR$2:$LR$60=S$1),0),$B63-1966)</f>
        <v>462</v>
      </c>
      <c r="T63" s="7" cm="1">
        <f t="array" ref="T63">INDEX(GMWQ!$A$2:$LR$60,MATCH(1,(GMWQ!$LQ$2:$LQ$60=T$3)*(GMWQ!$LP$2:$LP$60=T$4)*(GMWQ!$LR$2:$LR$60=T$1),0),$B63-1966)</f>
        <v>1E-3</v>
      </c>
      <c r="U63" s="7" cm="1">
        <f t="array" ref="U63">INDEX(GMWQ!$A$2:$LR$60,MATCH(1,(GMWQ!$LQ$2:$LQ$60=U$3)*(GMWQ!$LP$2:$LP$60=U$4)*(GMWQ!$LR$2:$LR$60=U$1),0),$B63-1966)</f>
        <v>4940.2579999999998</v>
      </c>
      <c r="V63" s="7" cm="1">
        <f t="array" ref="V63">INDEX(GMWQ!$A$2:$LR$60,MATCH(1,(GMWQ!$LQ$2:$LQ$60=V$3)*(GMWQ!$LP$2:$LP$60=V$4)*(GMWQ!$LR$2:$LR$60=V$1),0),$B63-1966)</f>
        <v>1E-3</v>
      </c>
      <c r="W63" s="7" cm="1">
        <f t="array" ref="W63">INDEX(GMWQ!$A$2:$LR$60,MATCH(1,(GMWQ!$LQ$2:$LQ$60=W$3)*(GMWQ!$LP$2:$LP$60=W$4)*(GMWQ!$LR$2:$LR$60=W$1),0),$B63-1966)</f>
        <v>8.4434889999999996</v>
      </c>
      <c r="X63" s="7" cm="1">
        <f t="array" ref="X63">INDEX(GMWQ!$A$2:$LR$60,MATCH(1,(GMWQ!$LQ$2:$LQ$60=X$3)*(GMWQ!$LP$2:$LP$60=X$4)*(GMWQ!$LR$2:$LR$60=X$1),0),$B63-1966)</f>
        <v>959999.3</v>
      </c>
      <c r="Y63" s="7" cm="1">
        <f t="array" ref="Y63">INDEX(GMWQ!$A$2:$LR$60,MATCH(1,(GMWQ!$LQ$2:$LQ$60=Y$3)*(GMWQ!$LP$2:$LP$60=Y$4)*(GMWQ!$LR$2:$LR$60=Y$1),0),$B63-1966)</f>
        <v>41.572009999999999</v>
      </c>
      <c r="Z63" s="7" cm="1">
        <f t="array" ref="Z63">INDEX(GMWQ!$A$2:$LR$60,MATCH(1,(GMWQ!$LQ$2:$LQ$60=Z$3)*(GMWQ!$LP$2:$LP$60=Z$4)*(GMWQ!$LR$2:$LR$60=Z$1),0),$B63-1966)</f>
        <v>280362.8</v>
      </c>
      <c r="AA63" s="7" cm="1">
        <f t="array" ref="AA63">INDEX(GMWQ!$A$2:$LR$60,MATCH(1,(GMWQ!$LQ$2:$LQ$60=AA$3)*(GMWQ!$LP$2:$LP$60=AA$4)*(GMWQ!$LR$2:$LR$60=AA$1),0),$B63-1966)</f>
        <v>46249</v>
      </c>
      <c r="AB63" s="7" cm="1">
        <f t="array" ref="AB63">INDEX(GMWQ!$A$2:$LR$60,MATCH(1,(GMWQ!$LQ$2:$LQ$60=AB$3)*(GMWQ!$LP$2:$LP$60=AB$4)*(GMWQ!$LR$2:$LR$60=AB$1),0),$B63-1966)</f>
        <v>41050</v>
      </c>
      <c r="AC63" s="7" cm="1">
        <f t="array" ref="AC63">INDEX(GMWQ!$A$2:$LR$60,MATCH(1,(GMWQ!$LQ$2:$LQ$60=AC$3)*(GMWQ!$LP$2:$LP$60=AC$4)*(GMWQ!$LR$2:$LR$60=AC$1),0),$B63-1966)</f>
        <v>1618</v>
      </c>
      <c r="AD63" s="7" cm="1">
        <f t="array" ref="AD63">INDEX(GMWQ!$A$2:$LR$60,MATCH(1,(GMWQ!$LQ$2:$LQ$60=AD$3)*(GMWQ!$LP$2:$LP$60=AD$4)*(GMWQ!$LR$2:$LR$60=AD$1),0),$B63-1966)</f>
        <v>4436</v>
      </c>
      <c r="AE63" s="7" cm="1">
        <f t="array" ref="AE63">INDEX(GMWQ!$A$2:$LR$60,MATCH(1,(GMWQ!$LQ$2:$LQ$60=AE$3)*(GMWQ!$LP$2:$LP$60=AE$4)*(GMWQ!$LR$2:$LR$60=AE$1),0),$B63-1966)</f>
        <v>118136</v>
      </c>
      <c r="AF63" s="20" cm="1">
        <f t="array" ref="AF63">INDEX(GMWQ!$A$2:$LR$60,MATCH(1,(GMWQ!$LQ$2:$LQ$60=AF$3)*(GMWQ!$LP$2:$LP$60=AF$4)*(GMWQ!$LR$2:$LR$60=AF$1),0),$B63-1966)</f>
        <v>10.664059999999999</v>
      </c>
      <c r="AG63" s="20" cm="1">
        <f t="array" ref="AG63">INDEX(GMWQ!$A$2:$LR$60,MATCH(1,(GMWQ!$LQ$2:$LQ$60=AG$3)*(GMWQ!$LP$2:$LP$60=AG$4)*(GMWQ!$LR$2:$LR$60=AG$1),0),$B63-1966)</f>
        <v>512</v>
      </c>
      <c r="AI63" s="23" cm="1">
        <f t="array" ref="AI63">INDEX(GMWQ!$A$2:$LR$60,MATCH(1,(GMWQ!$LQ$2:$LQ$60=AI$3)*(GMWQ!$LP$2:$LP$60=AI$4)*(GMWQ!$LR$2:$LR$60=AI$1),0),$B63-1966)</f>
        <v>74158</v>
      </c>
      <c r="AJ63" s="23" cm="1">
        <f t="array" ref="AJ63">INDEX(GMWQ!$A$2:$LR$60,MATCH(1,(GMWQ!$LQ$2:$LQ$60=AJ$3)*(GMWQ!$LP$2:$LP$60=AJ$4)*(GMWQ!$LR$2:$LR$60=AJ$1),0),$B63-1966)</f>
        <v>46.23227</v>
      </c>
      <c r="AK63" s="23" cm="1">
        <f t="array" ref="AK63">INDEX(GMWQ!$A$2:$LR$60,MATCH(1,(GMWQ!$LQ$2:$LQ$60=AK$3)*(GMWQ!$LP$2:$LP$60=AK$4)*(GMWQ!$LR$2:$LR$60=AK$1),0),$B63-1966)</f>
        <v>47918</v>
      </c>
      <c r="AL63" s="23" cm="1">
        <f t="array" ref="AL63">INDEX(GMWQ!$A$2:$LR$60,MATCH(1,(GMWQ!$LQ$2:$LQ$60=AL$3)*(GMWQ!$LP$2:$LP$60=AL$4)*(GMWQ!$LR$2:$LR$60=AL$1),0),$B63-1966)</f>
        <v>2282.895</v>
      </c>
      <c r="AM63" s="23" cm="1">
        <f t="array" ref="AM63">INDEX(GMWQ!$A$2:$LR$60,MATCH(1,(GMWQ!$LQ$2:$LQ$60=AM$3)*(GMWQ!$LP$2:$LP$60=AM$4)*(GMWQ!$LR$2:$LR$60=AM$1),0),$B63-1966)</f>
        <v>20990.02</v>
      </c>
      <c r="AN63" s="23" cm="1">
        <f t="array" ref="AN63">INDEX(GMWQ!$A$2:$LR$60,MATCH(1,(GMWQ!$LQ$2:$LQ$60=AN$3)*(GMWQ!$LP$2:$LP$60=AN$4)*(GMWQ!$LR$2:$LR$60=AN$1),0),$B63-1966)</f>
        <v>10313</v>
      </c>
      <c r="AO63" s="23" cm="1">
        <f t="array" ref="AO63">INDEX(GMWQ!$A$2:$LR$60,MATCH(1,(GMWQ!$LQ$2:$LQ$60=AO$3)*(GMWQ!$LP$2:$LP$60=AO$4)*(GMWQ!$LR$2:$LR$60=AO$1),0),$B63-1966)</f>
        <v>3554</v>
      </c>
      <c r="AP63" s="23" cm="1">
        <f t="array" ref="AP63">INDEX(GMWQ!$A$2:$LR$60,MATCH(1,(GMWQ!$LQ$2:$LQ$60=AP$3)*(GMWQ!$LP$2:$LP$60=AP$4)*(GMWQ!$LR$2:$LR$60=AP$1),0),$B63-1966)</f>
        <v>512</v>
      </c>
      <c r="AQ63" s="23" cm="1">
        <f t="array" ref="AQ63">INDEX(GMWQ!$A$2:$LR$60,MATCH(1,(GMWQ!$LQ$2:$LQ$60=AQ$3)*(GMWQ!$LP$2:$LP$60=AQ$4)*(GMWQ!$LR$2:$LR$60=AQ$1),0),$B63-1966)</f>
        <v>12359</v>
      </c>
      <c r="AR63" s="23" cm="1">
        <f t="array" ref="AR63">INDEX(GMWQ!$A$2:$LR$60,MATCH(1,(GMWQ!$LQ$2:$LQ$60=AR$3)*(GMWQ!$LP$2:$LP$60=AR$4)*(GMWQ!$LR$2:$LR$60=AR$1),0),$B63-1966)</f>
        <v>72016</v>
      </c>
      <c r="AS63" s="23" cm="1">
        <f t="array" ref="AS63">INDEX(GMWQ!$A$2:$LR$60,MATCH(1,(GMWQ!$LQ$2:$LQ$60=AS$3)*(GMWQ!$LP$2:$LP$60=AS$4)*(GMWQ!$LR$2:$LR$60=AS$1),0),$B63-1966)</f>
        <v>1453</v>
      </c>
      <c r="AT63" s="23" cm="1">
        <f t="array" ref="AT63">INDEX(GMWQ!$A$2:$LR$60,MATCH(1,(GMWQ!$LQ$2:$LQ$60=AT$3)*(GMWQ!$LP$2:$LP$60=AT$4)*(GMWQ!$LR$2:$LR$60=AT$1),0),$B63-1966)</f>
        <v>155770</v>
      </c>
      <c r="AU63" s="23" cm="1">
        <f t="array" ref="AU63">INDEX(GMWQ!$A$2:$LR$60,MATCH(1,(GMWQ!$LQ$2:$LQ$60=AU$3)*(GMWQ!$LP$2:$LP$60=AU$4)*(GMWQ!$LR$2:$LR$60=AU$1),0),$B63-1966)</f>
        <v>4765</v>
      </c>
    </row>
    <row r="64" spans="1:47" x14ac:dyDescent="0.35">
      <c r="B64" s="7">
        <f t="shared" si="2"/>
        <v>2030</v>
      </c>
      <c r="C64" s="7" cm="1">
        <f t="array" ref="C64">INDEX(GMWQ!$A$2:$LR$60,MATCH(1,(GMWQ!$LQ$2:$LQ$60=C$3)*(GMWQ!$LP$2:$LP$60=C$4)*(GMWQ!$LR$2:$LR$60=C$1),0),$B64-1966)</f>
        <v>288385</v>
      </c>
      <c r="D64" s="7" cm="1">
        <f t="array" ref="D64">INDEX(GMWQ!$A$2:$LR$60,MATCH(1,(GMWQ!$LQ$2:$LQ$60=D$3)*(GMWQ!$LP$2:$LP$60=D$4)*(GMWQ!$LR$2:$LR$60=D$1),0),$B64-1966)</f>
        <v>125.7916</v>
      </c>
      <c r="E64" s="7" cm="1">
        <f t="array" ref="E64">INDEX(GMWQ!$A$2:$LR$60,MATCH(1,(GMWQ!$LQ$2:$LQ$60=E$3)*(GMWQ!$LP$2:$LP$60=E$4)*(GMWQ!$LR$2:$LR$60=E$1),0),$B64-1966)</f>
        <v>47.836730000000003</v>
      </c>
      <c r="F64" s="7" cm="1">
        <f t="array" ref="F64">INDEX(GMWQ!$A$2:$LR$60,MATCH(1,(GMWQ!$LQ$2:$LQ$60=F$3)*(GMWQ!$LP$2:$LP$60=F$4)*(GMWQ!$LR$2:$LR$60=F$1),0),$B64-1966)</f>
        <v>49142</v>
      </c>
      <c r="G64" s="7" cm="1">
        <f t="array" ref="G64">INDEX(GMWQ!$A$2:$LR$60,MATCH(1,(GMWQ!$LQ$2:$LQ$60=G$3)*(GMWQ!$LP$2:$LP$60=G$4)*(GMWQ!$LR$2:$LR$60=G$1),0),$B64-1966)</f>
        <v>10986</v>
      </c>
      <c r="H64" s="7" cm="1">
        <f t="array" ref="H64">INDEX(GMWQ!$A$2:$LR$60,MATCH(1,(GMWQ!$LQ$2:$LQ$60=H$3)*(GMWQ!$LP$2:$LP$60=H$4)*(GMWQ!$LR$2:$LR$60=H$1),0),$B64-1966)</f>
        <v>3564</v>
      </c>
      <c r="I64" s="7" cm="1">
        <f t="array" ref="I64">INDEX(GMWQ!$A$2:$LR$60,MATCH(1,(GMWQ!$LQ$2:$LQ$60=I$3)*(GMWQ!$LP$2:$LP$60=I$4)*(GMWQ!$LR$2:$LR$60=I$1),0),$B64-1966)</f>
        <v>46.712580000000003</v>
      </c>
      <c r="J64" s="7" cm="1">
        <f t="array" ref="J64">INDEX(GMWQ!$A$2:$LR$60,MATCH(1,(GMWQ!$LQ$2:$LQ$60=J$3)*(GMWQ!$LP$2:$LP$60=J$4)*(GMWQ!$LR$2:$LR$60=J$1),0),$B64-1966)</f>
        <v>21165.54</v>
      </c>
      <c r="K64" s="7" cm="1">
        <f t="array" ref="K64">INDEX(GMWQ!$A$2:$LR$60,MATCH(1,(GMWQ!$LQ$2:$LQ$60=K$3)*(GMWQ!$LP$2:$LP$60=K$4)*(GMWQ!$LR$2:$LR$60=K$1),0),$B64-1966)</f>
        <v>8.875</v>
      </c>
      <c r="L64" s="7" cm="1">
        <f t="array" ref="L64">INDEX(GMWQ!$A$2:$LR$60,MATCH(1,(GMWQ!$LQ$2:$LQ$60=L$3)*(GMWQ!$LP$2:$LP$60=L$4)*(GMWQ!$LR$2:$LR$60=L$1),0),$B64-1966)</f>
        <v>10.7</v>
      </c>
      <c r="M64" s="7" cm="1">
        <f t="array" ref="M64">INDEX(GMWQ!$A$2:$LR$60,MATCH(1,(GMWQ!$LQ$2:$LQ$60=M$3)*(GMWQ!$LP$2:$LP$60=M$4)*(GMWQ!$LR$2:$LR$60=M$1),0),$B64-1966)</f>
        <v>19.867149999999999</v>
      </c>
      <c r="N64" s="7" cm="1">
        <f t="array" ref="N64">INDEX(GMWQ!$A$2:$LR$60,MATCH(1,(GMWQ!$LQ$2:$LQ$60=N$3)*(GMWQ!$LP$2:$LP$60=N$4)*(GMWQ!$LR$2:$LR$60=N$1),0),$B64-1966)</f>
        <v>5168</v>
      </c>
      <c r="O64" s="7" cm="1">
        <f t="array" ref="O64">INDEX(GMWQ!$A$2:$LR$60,MATCH(1,(GMWQ!$LQ$2:$LQ$60=O$3)*(GMWQ!$LP$2:$LP$60=O$4)*(GMWQ!$LR$2:$LR$60=O$1),0),$B64-1966)</f>
        <v>6196</v>
      </c>
      <c r="P64" s="7" cm="1">
        <f t="array" ref="P64">INDEX(GMWQ!$A$2:$LR$60,MATCH(1,(GMWQ!$LQ$2:$LQ$60=P$3)*(GMWQ!$LP$2:$LP$60=P$4)*(GMWQ!$LR$2:$LR$60=P$1),0),$B64-1966)</f>
        <v>76563</v>
      </c>
      <c r="Q64" s="7" cm="1">
        <f t="array" ref="Q64">INDEX(GMWQ!$A$2:$LR$60,MATCH(1,(GMWQ!$LQ$2:$LQ$60=Q$3)*(GMWQ!$LP$2:$LP$60=Q$4)*(GMWQ!$LR$2:$LR$60=Q$1),0),$B64-1966)</f>
        <v>11.28</v>
      </c>
      <c r="R64" s="7" cm="1">
        <f t="array" ref="R64">INDEX(GMWQ!$A$2:$LR$60,MATCH(1,(GMWQ!$LQ$2:$LQ$60=R$3)*(GMWQ!$LP$2:$LP$60=R$4)*(GMWQ!$LR$2:$LR$60=R$1),0),$B64-1966)</f>
        <v>1E-3</v>
      </c>
      <c r="S64" s="7" cm="1">
        <f t="array" ref="S64">INDEX(GMWQ!$A$2:$LR$60,MATCH(1,(GMWQ!$LQ$2:$LQ$60=S$3)*(GMWQ!$LP$2:$LP$60=S$4)*(GMWQ!$LR$2:$LR$60=S$1),0),$B64-1966)</f>
        <v>452</v>
      </c>
      <c r="T64" s="7" cm="1">
        <f t="array" ref="T64">INDEX(GMWQ!$A$2:$LR$60,MATCH(1,(GMWQ!$LQ$2:$LQ$60=T$3)*(GMWQ!$LP$2:$LP$60=T$4)*(GMWQ!$LR$2:$LR$60=T$1),0),$B64-1966)</f>
        <v>1E-3</v>
      </c>
      <c r="U64" s="7" cm="1">
        <f t="array" ref="U64">INDEX(GMWQ!$A$2:$LR$60,MATCH(1,(GMWQ!$LQ$2:$LQ$60=U$3)*(GMWQ!$LP$2:$LP$60=U$4)*(GMWQ!$LR$2:$LR$60=U$1),0),$B64-1966)</f>
        <v>5272.826</v>
      </c>
      <c r="V64" s="7" cm="1">
        <f t="array" ref="V64">INDEX(GMWQ!$A$2:$LR$60,MATCH(1,(GMWQ!$LQ$2:$LQ$60=V$3)*(GMWQ!$LP$2:$LP$60=V$4)*(GMWQ!$LR$2:$LR$60=V$1),0),$B64-1966)</f>
        <v>1E-3</v>
      </c>
      <c r="W64" s="7" cm="1">
        <f t="array" ref="W64">INDEX(GMWQ!$A$2:$LR$60,MATCH(1,(GMWQ!$LQ$2:$LQ$60=W$3)*(GMWQ!$LP$2:$LP$60=W$4)*(GMWQ!$LR$2:$LR$60=W$1),0),$B64-1966)</f>
        <v>7.5696870000000001</v>
      </c>
      <c r="X64" s="7" cm="1">
        <f t="array" ref="X64">INDEX(GMWQ!$A$2:$LR$60,MATCH(1,(GMWQ!$LQ$2:$LQ$60=X$3)*(GMWQ!$LP$2:$LP$60=X$4)*(GMWQ!$LR$2:$LR$60=X$1),0),$B64-1966)</f>
        <v>954459.8</v>
      </c>
      <c r="Y64" s="7" cm="1">
        <f t="array" ref="Y64">INDEX(GMWQ!$A$2:$LR$60,MATCH(1,(GMWQ!$LQ$2:$LQ$60=Y$3)*(GMWQ!$LP$2:$LP$60=Y$4)*(GMWQ!$LR$2:$LR$60=Y$1),0),$B64-1966)</f>
        <v>42.21405</v>
      </c>
      <c r="Z64" s="7" cm="1">
        <f t="array" ref="Z64">INDEX(GMWQ!$A$2:$LR$60,MATCH(1,(GMWQ!$LQ$2:$LQ$60=Z$3)*(GMWQ!$LP$2:$LP$60=Z$4)*(GMWQ!$LR$2:$LR$60=Z$1),0),$B64-1966)</f>
        <v>282599</v>
      </c>
      <c r="AA64" s="7" cm="1">
        <f t="array" ref="AA64">INDEX(GMWQ!$A$2:$LR$60,MATCH(1,(GMWQ!$LQ$2:$LQ$60=AA$3)*(GMWQ!$LP$2:$LP$60=AA$4)*(GMWQ!$LR$2:$LR$60=AA$1),0),$B64-1966)</f>
        <v>40445</v>
      </c>
      <c r="AB64" s="7" cm="1">
        <f t="array" ref="AB64">INDEX(GMWQ!$A$2:$LR$60,MATCH(1,(GMWQ!$LQ$2:$LQ$60=AB$3)*(GMWQ!$LP$2:$LP$60=AB$4)*(GMWQ!$LR$2:$LR$60=AB$1),0),$B64-1966)</f>
        <v>41027</v>
      </c>
      <c r="AC64" s="7" cm="1">
        <f t="array" ref="AC64">INDEX(GMWQ!$A$2:$LR$60,MATCH(1,(GMWQ!$LQ$2:$LQ$60=AC$3)*(GMWQ!$LP$2:$LP$60=AC$4)*(GMWQ!$LR$2:$LR$60=AC$1),0),$B64-1966)</f>
        <v>-760</v>
      </c>
      <c r="AD64" s="7" cm="1">
        <f t="array" ref="AD64">INDEX(GMWQ!$A$2:$LR$60,MATCH(1,(GMWQ!$LQ$2:$LQ$60=AD$3)*(GMWQ!$LP$2:$LP$60=AD$4)*(GMWQ!$LR$2:$LR$60=AD$1),0),$B64-1966)</f>
        <v>4531</v>
      </c>
      <c r="AE64" s="7" cm="1">
        <f t="array" ref="AE64">INDEX(GMWQ!$A$2:$LR$60,MATCH(1,(GMWQ!$LQ$2:$LQ$60=AE$3)*(GMWQ!$LP$2:$LP$60=AE$4)*(GMWQ!$LR$2:$LR$60=AE$1),0),$B64-1966)</f>
        <v>121739</v>
      </c>
      <c r="AF64" s="20" cm="1">
        <f t="array" ref="AF64">INDEX(GMWQ!$A$2:$LR$60,MATCH(1,(GMWQ!$LQ$2:$LQ$60=AF$3)*(GMWQ!$LP$2:$LP$60=AF$4)*(GMWQ!$LR$2:$LR$60=AF$1),0),$B64-1966)</f>
        <v>9.228847</v>
      </c>
      <c r="AG64" s="20" cm="1">
        <f t="array" ref="AG64">INDEX(GMWQ!$A$2:$LR$60,MATCH(1,(GMWQ!$LQ$2:$LQ$60=AG$3)*(GMWQ!$LP$2:$LP$60=AG$4)*(GMWQ!$LR$2:$LR$60=AG$1),0),$B64-1966)</f>
        <v>1028</v>
      </c>
      <c r="AI64" s="23" cm="1">
        <f t="array" ref="AI64">INDEX(GMWQ!$A$2:$LR$60,MATCH(1,(GMWQ!$LQ$2:$LQ$60=AI$3)*(GMWQ!$LP$2:$LP$60=AI$4)*(GMWQ!$LR$2:$LR$60=AI$1),0),$B64-1966)</f>
        <v>76563</v>
      </c>
      <c r="AJ64" s="23" cm="1">
        <f t="array" ref="AJ64">INDEX(GMWQ!$A$2:$LR$60,MATCH(1,(GMWQ!$LQ$2:$LQ$60=AJ$3)*(GMWQ!$LP$2:$LP$60=AJ$4)*(GMWQ!$LR$2:$LR$60=AJ$1),0),$B64-1966)</f>
        <v>46.712580000000003</v>
      </c>
      <c r="AK64" s="23" cm="1">
        <f t="array" ref="AK64">INDEX(GMWQ!$A$2:$LR$60,MATCH(1,(GMWQ!$LQ$2:$LQ$60=AK$3)*(GMWQ!$LP$2:$LP$60=AK$4)*(GMWQ!$LR$2:$LR$60=AK$1),0),$B64-1966)</f>
        <v>49142</v>
      </c>
      <c r="AL64" s="23" cm="1">
        <f t="array" ref="AL64">INDEX(GMWQ!$A$2:$LR$60,MATCH(1,(GMWQ!$LQ$2:$LQ$60=AL$3)*(GMWQ!$LP$2:$LP$60=AL$4)*(GMWQ!$LR$2:$LR$60=AL$1),0),$B64-1966)</f>
        <v>2321.7919999999999</v>
      </c>
      <c r="AM64" s="23" cm="1">
        <f t="array" ref="AM64">INDEX(GMWQ!$A$2:$LR$60,MATCH(1,(GMWQ!$LQ$2:$LQ$60=AM$3)*(GMWQ!$LP$2:$LP$60=AM$4)*(GMWQ!$LR$2:$LR$60=AM$1),0),$B64-1966)</f>
        <v>21165.54</v>
      </c>
      <c r="AN64" s="23" cm="1">
        <f t="array" ref="AN64">INDEX(GMWQ!$A$2:$LR$60,MATCH(1,(GMWQ!$LQ$2:$LQ$60=AN$3)*(GMWQ!$LP$2:$LP$60=AN$4)*(GMWQ!$LR$2:$LR$60=AN$1),0),$B64-1966)</f>
        <v>10986</v>
      </c>
      <c r="AO64" s="23" cm="1">
        <f t="array" ref="AO64">INDEX(GMWQ!$A$2:$LR$60,MATCH(1,(GMWQ!$LQ$2:$LQ$60=AO$3)*(GMWQ!$LP$2:$LP$60=AO$4)*(GMWQ!$LR$2:$LR$60=AO$1),0),$B64-1966)</f>
        <v>3564</v>
      </c>
      <c r="AP64" s="23" cm="1">
        <f t="array" ref="AP64">INDEX(GMWQ!$A$2:$LR$60,MATCH(1,(GMWQ!$LQ$2:$LQ$60=AP$3)*(GMWQ!$LP$2:$LP$60=AP$4)*(GMWQ!$LR$2:$LR$60=AP$1),0),$B64-1966)</f>
        <v>1028</v>
      </c>
      <c r="AQ64" s="23" cm="1">
        <f t="array" ref="AQ64">INDEX(GMWQ!$A$2:$LR$60,MATCH(1,(GMWQ!$LQ$2:$LQ$60=AQ$3)*(GMWQ!$LP$2:$LP$60=AQ$4)*(GMWQ!$LR$2:$LR$60=AQ$1),0),$B64-1966)</f>
        <v>12913</v>
      </c>
      <c r="AR64" s="23" cm="1">
        <f t="array" ref="AR64">INDEX(GMWQ!$A$2:$LR$60,MATCH(1,(GMWQ!$LQ$2:$LQ$60=AR$3)*(GMWQ!$LP$2:$LP$60=AR$4)*(GMWQ!$LR$2:$LR$60=AR$1),0),$B64-1966)</f>
        <v>73996</v>
      </c>
      <c r="AS64" s="23" cm="1">
        <f t="array" ref="AS64">INDEX(GMWQ!$A$2:$LR$60,MATCH(1,(GMWQ!$LQ$2:$LQ$60=AS$3)*(GMWQ!$LP$2:$LP$60=AS$4)*(GMWQ!$LR$2:$LR$60=AS$1),0),$B64-1966)</f>
        <v>1406</v>
      </c>
      <c r="AT64" s="23" cm="1">
        <f t="array" ref="AT64">INDEX(GMWQ!$A$2:$LR$60,MATCH(1,(GMWQ!$LQ$2:$LQ$60=AT$3)*(GMWQ!$LP$2:$LP$60=AT$4)*(GMWQ!$LR$2:$LR$60=AT$1),0),$B64-1966)</f>
        <v>158407</v>
      </c>
      <c r="AU64" s="23" cm="1">
        <f t="array" ref="AU64">INDEX(GMWQ!$A$2:$LR$60,MATCH(1,(GMWQ!$LQ$2:$LQ$60=AU$3)*(GMWQ!$LP$2:$LP$60=AU$4)*(GMWQ!$LR$2:$LR$60=AU$1),0),$B64-1966)</f>
        <v>4773</v>
      </c>
    </row>
    <row r="65" spans="1:47" x14ac:dyDescent="0.35">
      <c r="B65" s="7">
        <f t="shared" si="2"/>
        <v>2031</v>
      </c>
      <c r="C65" s="7" cm="1">
        <f t="array" ref="C65">INDEX(GMWQ!$A$2:$LR$60,MATCH(1,(GMWQ!$LQ$2:$LQ$60=C$3)*(GMWQ!$LP$2:$LP$60=C$4)*(GMWQ!$LR$2:$LR$60=C$1),0),$B65-1966)</f>
        <v>295493</v>
      </c>
      <c r="D65" s="7" cm="1">
        <f t="array" ref="D65">INDEX(GMWQ!$A$2:$LR$60,MATCH(1,(GMWQ!$LQ$2:$LQ$60=D$3)*(GMWQ!$LP$2:$LP$60=D$4)*(GMWQ!$LR$2:$LR$60=D$1),0),$B65-1966)</f>
        <v>130.0642</v>
      </c>
      <c r="E65" s="7" cm="1">
        <f t="array" ref="E65">INDEX(GMWQ!$A$2:$LR$60,MATCH(1,(GMWQ!$LQ$2:$LQ$60=E$3)*(GMWQ!$LP$2:$LP$60=E$4)*(GMWQ!$LR$2:$LR$60=E$1),0),$B65-1966)</f>
        <v>47.888869999999997</v>
      </c>
      <c r="F65" s="7" cm="1">
        <f t="array" ref="F65">INDEX(GMWQ!$A$2:$LR$60,MATCH(1,(GMWQ!$LQ$2:$LQ$60=F$3)*(GMWQ!$LP$2:$LP$60=F$4)*(GMWQ!$LR$2:$LR$60=F$1),0),$B65-1966)</f>
        <v>50573</v>
      </c>
      <c r="G65" s="7" cm="1">
        <f t="array" ref="G65">INDEX(GMWQ!$A$2:$LR$60,MATCH(1,(GMWQ!$LQ$2:$LQ$60=G$3)*(GMWQ!$LP$2:$LP$60=G$4)*(GMWQ!$LR$2:$LR$60=G$1),0),$B65-1966)</f>
        <v>11080</v>
      </c>
      <c r="H65" s="7" cm="1">
        <f t="array" ref="H65">INDEX(GMWQ!$A$2:$LR$60,MATCH(1,(GMWQ!$LQ$2:$LQ$60=H$3)*(GMWQ!$LP$2:$LP$60=H$4)*(GMWQ!$LR$2:$LR$60=H$1),0),$B65-1966)</f>
        <v>3664</v>
      </c>
      <c r="I65" s="7" cm="1">
        <f t="array" ref="I65">INDEX(GMWQ!$A$2:$LR$60,MATCH(1,(GMWQ!$LQ$2:$LQ$60=I$3)*(GMWQ!$LP$2:$LP$60=I$4)*(GMWQ!$LR$2:$LR$60=I$1),0),$B65-1966)</f>
        <v>47.151769999999999</v>
      </c>
      <c r="J65" s="7" cm="1">
        <f t="array" ref="J65">INDEX(GMWQ!$A$2:$LR$60,MATCH(1,(GMWQ!$LQ$2:$LQ$60=J$3)*(GMWQ!$LP$2:$LP$60=J$4)*(GMWQ!$LR$2:$LR$60=J$1),0),$B65-1966)</f>
        <v>21339.27</v>
      </c>
      <c r="K65" s="7" cm="1">
        <f t="array" ref="K65">INDEX(GMWQ!$A$2:$LR$60,MATCH(1,(GMWQ!$LQ$2:$LQ$60=K$3)*(GMWQ!$LP$2:$LP$60=K$4)*(GMWQ!$LR$2:$LR$60=K$1),0),$B65-1966)</f>
        <v>9.875</v>
      </c>
      <c r="L65" s="7" cm="1">
        <f t="array" ref="L65">INDEX(GMWQ!$A$2:$LR$60,MATCH(1,(GMWQ!$LQ$2:$LQ$60=L$3)*(GMWQ!$LP$2:$LP$60=L$4)*(GMWQ!$LR$2:$LR$60=L$1),0),$B65-1966)</f>
        <v>10.199999999999999</v>
      </c>
      <c r="M65" s="7" cm="1">
        <f t="array" ref="M65">INDEX(GMWQ!$A$2:$LR$60,MATCH(1,(GMWQ!$LQ$2:$LQ$60=M$3)*(GMWQ!$LP$2:$LP$60=M$4)*(GMWQ!$LR$2:$LR$60=M$1),0),$B65-1966)</f>
        <v>20.66235</v>
      </c>
      <c r="N65" s="7" cm="1">
        <f t="array" ref="N65">INDEX(GMWQ!$A$2:$LR$60,MATCH(1,(GMWQ!$LQ$2:$LQ$60=N$3)*(GMWQ!$LP$2:$LP$60=N$4)*(GMWQ!$LR$2:$LR$60=N$1),0),$B65-1966)</f>
        <v>5394</v>
      </c>
      <c r="O65" s="7" cm="1">
        <f t="array" ref="O65">INDEX(GMWQ!$A$2:$LR$60,MATCH(1,(GMWQ!$LQ$2:$LQ$60=O$3)*(GMWQ!$LP$2:$LP$60=O$4)*(GMWQ!$LR$2:$LR$60=O$1),0),$B65-1966)</f>
        <v>6307</v>
      </c>
      <c r="P65" s="7" cm="1">
        <f t="array" ref="P65">INDEX(GMWQ!$A$2:$LR$60,MATCH(1,(GMWQ!$LQ$2:$LQ$60=P$3)*(GMWQ!$LP$2:$LP$60=P$4)*(GMWQ!$LR$2:$LR$60=P$1),0),$B65-1966)</f>
        <v>78295</v>
      </c>
      <c r="Q65" s="7" cm="1">
        <f t="array" ref="Q65">INDEX(GMWQ!$A$2:$LR$60,MATCH(1,(GMWQ!$LQ$2:$LQ$60=Q$3)*(GMWQ!$LP$2:$LP$60=Q$4)*(GMWQ!$LR$2:$LR$60=Q$1),0),$B65-1966)</f>
        <v>11.28</v>
      </c>
      <c r="R65" s="7" cm="1">
        <f t="array" ref="R65">INDEX(GMWQ!$A$2:$LR$60,MATCH(1,(GMWQ!$LQ$2:$LQ$60=R$3)*(GMWQ!$LP$2:$LP$60=R$4)*(GMWQ!$LR$2:$LR$60=R$1),0),$B65-1966)</f>
        <v>1E-3</v>
      </c>
      <c r="S65" s="7" cm="1">
        <f t="array" ref="S65">INDEX(GMWQ!$A$2:$LR$60,MATCH(1,(GMWQ!$LQ$2:$LQ$60=S$3)*(GMWQ!$LP$2:$LP$60=S$4)*(GMWQ!$LR$2:$LR$60=S$1),0),$B65-1966)</f>
        <v>502</v>
      </c>
      <c r="T65" s="7" cm="1">
        <f t="array" ref="T65">INDEX(GMWQ!$A$2:$LR$60,MATCH(1,(GMWQ!$LQ$2:$LQ$60=T$3)*(GMWQ!$LP$2:$LP$60=T$4)*(GMWQ!$LR$2:$LR$60=T$1),0),$B65-1966)</f>
        <v>1E-3</v>
      </c>
      <c r="U65" s="7" cm="1">
        <f t="array" ref="U65">INDEX(GMWQ!$A$2:$LR$60,MATCH(1,(GMWQ!$LQ$2:$LQ$60=U$3)*(GMWQ!$LP$2:$LP$60=U$4)*(GMWQ!$LR$2:$LR$60=U$1),0),$B65-1966)</f>
        <v>5682.5249999999996</v>
      </c>
      <c r="V65" s="7" cm="1">
        <f t="array" ref="V65">INDEX(GMWQ!$A$2:$LR$60,MATCH(1,(GMWQ!$LQ$2:$LQ$60=V$3)*(GMWQ!$LP$2:$LP$60=V$4)*(GMWQ!$LR$2:$LR$60=V$1),0),$B65-1966)</f>
        <v>1E-3</v>
      </c>
      <c r="W65" s="7" cm="1">
        <f t="array" ref="W65">INDEX(GMWQ!$A$2:$LR$60,MATCH(1,(GMWQ!$LQ$2:$LQ$60=W$3)*(GMWQ!$LP$2:$LP$60=W$4)*(GMWQ!$LR$2:$LR$60=W$1),0),$B65-1966)</f>
        <v>8.1797369999999994</v>
      </c>
      <c r="X65" s="7" cm="1">
        <f t="array" ref="X65">INDEX(GMWQ!$A$2:$LR$60,MATCH(1,(GMWQ!$LQ$2:$LQ$60=X$3)*(GMWQ!$LP$2:$LP$60=X$4)*(GMWQ!$LR$2:$LR$60=X$1),0),$B65-1966)</f>
        <v>966882.6</v>
      </c>
      <c r="Y65" s="7" cm="1">
        <f t="array" ref="Y65">INDEX(GMWQ!$A$2:$LR$60,MATCH(1,(GMWQ!$LQ$2:$LQ$60=Y$3)*(GMWQ!$LP$2:$LP$60=Y$4)*(GMWQ!$LR$2:$LR$60=Y$1),0),$B65-1966)</f>
        <v>43.019289999999998</v>
      </c>
      <c r="Z65" s="7" cm="1">
        <f t="array" ref="Z65">INDEX(GMWQ!$A$2:$LR$60,MATCH(1,(GMWQ!$LQ$2:$LQ$60=Z$3)*(GMWQ!$LP$2:$LP$60=Z$4)*(GMWQ!$LR$2:$LR$60=Z$1),0),$B65-1966)</f>
        <v>284973.59999999998</v>
      </c>
      <c r="AA65" s="7" cm="1">
        <f t="array" ref="AA65">INDEX(GMWQ!$A$2:$LR$60,MATCH(1,(GMWQ!$LQ$2:$LQ$60=AA$3)*(GMWQ!$LP$2:$LP$60=AA$4)*(GMWQ!$LR$2:$LR$60=AA$1),0),$B65-1966)</f>
        <v>44904</v>
      </c>
      <c r="AB65" s="7" cm="1">
        <f t="array" ref="AB65">INDEX(GMWQ!$A$2:$LR$60,MATCH(1,(GMWQ!$LQ$2:$LQ$60=AB$3)*(GMWQ!$LP$2:$LP$60=AB$4)*(GMWQ!$LR$2:$LR$60=AB$1),0),$B65-1966)</f>
        <v>41984</v>
      </c>
      <c r="AC65" s="7" cm="1">
        <f t="array" ref="AC65">INDEX(GMWQ!$A$2:$LR$60,MATCH(1,(GMWQ!$LQ$2:$LQ$60=AC$3)*(GMWQ!$LP$2:$LP$60=AC$4)*(GMWQ!$LR$2:$LR$60=AC$1),0),$B65-1966)</f>
        <v>149</v>
      </c>
      <c r="AD65" s="7" cm="1">
        <f t="array" ref="AD65">INDEX(GMWQ!$A$2:$LR$60,MATCH(1,(GMWQ!$LQ$2:$LQ$60=AD$3)*(GMWQ!$LP$2:$LP$60=AD$4)*(GMWQ!$LR$2:$LR$60=AD$1),0),$B65-1966)</f>
        <v>4594</v>
      </c>
      <c r="AE65" s="7" cm="1">
        <f t="array" ref="AE65">INDEX(GMWQ!$A$2:$LR$60,MATCH(1,(GMWQ!$LQ$2:$LQ$60=AE$3)*(GMWQ!$LP$2:$LP$60=AE$4)*(GMWQ!$LR$2:$LR$60=AE$1),0),$B65-1966)</f>
        <v>127119</v>
      </c>
      <c r="AF65" s="20" cm="1">
        <f t="array" ref="AF65">INDEX(GMWQ!$A$2:$LR$60,MATCH(1,(GMWQ!$LQ$2:$LQ$60=AF$3)*(GMWQ!$LP$2:$LP$60=AF$4)*(GMWQ!$LR$2:$LR$60=AF$1),0),$B65-1966)</f>
        <v>9.4810610000000004</v>
      </c>
      <c r="AG65" s="20" cm="1">
        <f t="array" ref="AG65">INDEX(GMWQ!$A$2:$LR$60,MATCH(1,(GMWQ!$LQ$2:$LQ$60=AG$3)*(GMWQ!$LP$2:$LP$60=AG$4)*(GMWQ!$LR$2:$LR$60=AG$1),0),$B65-1966)</f>
        <v>913</v>
      </c>
      <c r="AI65" s="23" cm="1">
        <f t="array" ref="AI65">INDEX(GMWQ!$A$2:$LR$60,MATCH(1,(GMWQ!$LQ$2:$LQ$60=AI$3)*(GMWQ!$LP$2:$LP$60=AI$4)*(GMWQ!$LR$2:$LR$60=AI$1),0),$B65-1966)</f>
        <v>78295</v>
      </c>
      <c r="AJ65" s="23" cm="1">
        <f t="array" ref="AJ65">INDEX(GMWQ!$A$2:$LR$60,MATCH(1,(GMWQ!$LQ$2:$LQ$60=AJ$3)*(GMWQ!$LP$2:$LP$60=AJ$4)*(GMWQ!$LR$2:$LR$60=AJ$1),0),$B65-1966)</f>
        <v>47.151769999999999</v>
      </c>
      <c r="AK65" s="23" cm="1">
        <f t="array" ref="AK65">INDEX(GMWQ!$A$2:$LR$60,MATCH(1,(GMWQ!$LQ$2:$LQ$60=AK$3)*(GMWQ!$LP$2:$LP$60=AK$4)*(GMWQ!$LR$2:$LR$60=AK$1),0),$B65-1966)</f>
        <v>50573</v>
      </c>
      <c r="AL65" s="23" cm="1">
        <f t="array" ref="AL65">INDEX(GMWQ!$A$2:$LR$60,MATCH(1,(GMWQ!$LQ$2:$LQ$60=AL$3)*(GMWQ!$LP$2:$LP$60=AL$4)*(GMWQ!$LR$2:$LR$60=AL$1),0),$B65-1966)</f>
        <v>2369.9499999999998</v>
      </c>
      <c r="AM65" s="23" cm="1">
        <f t="array" ref="AM65">INDEX(GMWQ!$A$2:$LR$60,MATCH(1,(GMWQ!$LQ$2:$LQ$60=AM$3)*(GMWQ!$LP$2:$LP$60=AM$4)*(GMWQ!$LR$2:$LR$60=AM$1),0),$B65-1966)</f>
        <v>21339.27</v>
      </c>
      <c r="AN65" s="23" cm="1">
        <f t="array" ref="AN65">INDEX(GMWQ!$A$2:$LR$60,MATCH(1,(GMWQ!$LQ$2:$LQ$60=AN$3)*(GMWQ!$LP$2:$LP$60=AN$4)*(GMWQ!$LR$2:$LR$60=AN$1),0),$B65-1966)</f>
        <v>11080</v>
      </c>
      <c r="AO65" s="23" cm="1">
        <f t="array" ref="AO65">INDEX(GMWQ!$A$2:$LR$60,MATCH(1,(GMWQ!$LQ$2:$LQ$60=AO$3)*(GMWQ!$LP$2:$LP$60=AO$4)*(GMWQ!$LR$2:$LR$60=AO$1),0),$B65-1966)</f>
        <v>3664</v>
      </c>
      <c r="AP65" s="23" cm="1">
        <f t="array" ref="AP65">INDEX(GMWQ!$A$2:$LR$60,MATCH(1,(GMWQ!$LQ$2:$LQ$60=AP$3)*(GMWQ!$LP$2:$LP$60=AP$4)*(GMWQ!$LR$2:$LR$60=AP$1),0),$B65-1966)</f>
        <v>913</v>
      </c>
      <c r="AQ65" s="23" cm="1">
        <f t="array" ref="AQ65">INDEX(GMWQ!$A$2:$LR$60,MATCH(1,(GMWQ!$LQ$2:$LQ$60=AQ$3)*(GMWQ!$LP$2:$LP$60=AQ$4)*(GMWQ!$LR$2:$LR$60=AQ$1),0),$B65-1966)</f>
        <v>12949</v>
      </c>
      <c r="AR65" s="23" cm="1">
        <f t="array" ref="AR65">INDEX(GMWQ!$A$2:$LR$60,MATCH(1,(GMWQ!$LQ$2:$LQ$60=AR$3)*(GMWQ!$LP$2:$LP$60=AR$4)*(GMWQ!$LR$2:$LR$60=AR$1),0),$B65-1966)</f>
        <v>76243</v>
      </c>
      <c r="AS65" s="23" cm="1">
        <f t="array" ref="AS65">INDEX(GMWQ!$A$2:$LR$60,MATCH(1,(GMWQ!$LQ$2:$LQ$60=AS$3)*(GMWQ!$LP$2:$LP$60=AS$4)*(GMWQ!$LR$2:$LR$60=AS$1),0),$B65-1966)</f>
        <v>1423</v>
      </c>
      <c r="AT65" s="23" cm="1">
        <f t="array" ref="AT65">INDEX(GMWQ!$A$2:$LR$60,MATCH(1,(GMWQ!$LQ$2:$LQ$60=AT$3)*(GMWQ!$LP$2:$LP$60=AT$4)*(GMWQ!$LR$2:$LR$60=AT$1),0),$B65-1966)</f>
        <v>161697</v>
      </c>
      <c r="AU65" s="23" cm="1">
        <f t="array" ref="AU65">INDEX(GMWQ!$A$2:$LR$60,MATCH(1,(GMWQ!$LQ$2:$LQ$60=AU$3)*(GMWQ!$LP$2:$LP$60=AU$4)*(GMWQ!$LR$2:$LR$60=AU$1),0),$B65-1966)</f>
        <v>4904</v>
      </c>
    </row>
    <row r="66" spans="1:47" x14ac:dyDescent="0.35">
      <c r="B66" s="7">
        <f t="shared" si="2"/>
        <v>2032</v>
      </c>
      <c r="C66" s="7" cm="1">
        <f t="array" ref="C66">INDEX(GMWQ!$A$2:$LR$60,MATCH(1,(GMWQ!$LQ$2:$LQ$60=C$3)*(GMWQ!$LP$2:$LP$60=C$4)*(GMWQ!$LR$2:$LR$60=C$1),0),$B66-1966)</f>
        <v>298855</v>
      </c>
      <c r="D66" s="7" cm="1">
        <f t="array" ref="D66">INDEX(GMWQ!$A$2:$LR$60,MATCH(1,(GMWQ!$LQ$2:$LQ$60=D$3)*(GMWQ!$LP$2:$LP$60=D$4)*(GMWQ!$LR$2:$LR$60=D$1),0),$B66-1966)</f>
        <v>132.7039</v>
      </c>
      <c r="E66" s="7" cm="1">
        <f t="array" ref="E66">INDEX(GMWQ!$A$2:$LR$60,MATCH(1,(GMWQ!$LQ$2:$LQ$60=E$3)*(GMWQ!$LP$2:$LP$60=E$4)*(GMWQ!$LR$2:$LR$60=E$1),0),$B66-1966)</f>
        <v>48.436320000000002</v>
      </c>
      <c r="F66" s="7" cm="1">
        <f t="array" ref="F66">INDEX(GMWQ!$A$2:$LR$60,MATCH(1,(GMWQ!$LQ$2:$LQ$60=F$3)*(GMWQ!$LP$2:$LP$60=F$4)*(GMWQ!$LR$2:$LR$60=F$1),0),$B66-1966)</f>
        <v>52081</v>
      </c>
      <c r="G66" s="7" cm="1">
        <f t="array" ref="G66">INDEX(GMWQ!$A$2:$LR$60,MATCH(1,(GMWQ!$LQ$2:$LQ$60=G$3)*(GMWQ!$LP$2:$LP$60=G$4)*(GMWQ!$LR$2:$LR$60=G$1),0),$B66-1966)</f>
        <v>11089</v>
      </c>
      <c r="H66" s="7" cm="1">
        <f t="array" ref="H66">INDEX(GMWQ!$A$2:$LR$60,MATCH(1,(GMWQ!$LQ$2:$LQ$60=H$3)*(GMWQ!$LP$2:$LP$60=H$4)*(GMWQ!$LR$2:$LR$60=H$1),0),$B66-1966)</f>
        <v>3757</v>
      </c>
      <c r="I66" s="7" cm="1">
        <f t="array" ref="I66">INDEX(GMWQ!$A$2:$LR$60,MATCH(1,(GMWQ!$LQ$2:$LQ$60=I$3)*(GMWQ!$LP$2:$LP$60=I$4)*(GMWQ!$LR$2:$LR$60=I$1),0),$B66-1966)</f>
        <v>47.738059999999997</v>
      </c>
      <c r="J66" s="7" cm="1">
        <f t="array" ref="J66">INDEX(GMWQ!$A$2:$LR$60,MATCH(1,(GMWQ!$LQ$2:$LQ$60=J$3)*(GMWQ!$LP$2:$LP$60=J$4)*(GMWQ!$LR$2:$LR$60=J$1),0),$B66-1966)</f>
        <v>21536.39</v>
      </c>
      <c r="K66" s="7" cm="1">
        <f t="array" ref="K66">INDEX(GMWQ!$A$2:$LR$60,MATCH(1,(GMWQ!$LQ$2:$LQ$60=K$3)*(GMWQ!$LP$2:$LP$60=K$4)*(GMWQ!$LR$2:$LR$60=K$1),0),$B66-1966)</f>
        <v>8.375</v>
      </c>
      <c r="L66" s="7" cm="1">
        <f t="array" ref="L66">INDEX(GMWQ!$A$2:$LR$60,MATCH(1,(GMWQ!$LQ$2:$LQ$60=L$3)*(GMWQ!$LP$2:$LP$60=L$4)*(GMWQ!$LR$2:$LR$60=L$1),0),$B66-1966)</f>
        <v>9.6999999999999993</v>
      </c>
      <c r="M66" s="7" cm="1">
        <f t="array" ref="M66">INDEX(GMWQ!$A$2:$LR$60,MATCH(1,(GMWQ!$LQ$2:$LQ$60=M$3)*(GMWQ!$LP$2:$LP$60=M$4)*(GMWQ!$LR$2:$LR$60=M$1),0),$B66-1966)</f>
        <v>22.15681</v>
      </c>
      <c r="N66" s="7" cm="1">
        <f t="array" ref="N66">INDEX(GMWQ!$A$2:$LR$60,MATCH(1,(GMWQ!$LQ$2:$LQ$60=N$3)*(GMWQ!$LP$2:$LP$60=N$4)*(GMWQ!$LR$2:$LR$60=N$1),0),$B66-1966)</f>
        <v>5967</v>
      </c>
      <c r="O66" s="7" cm="1">
        <f t="array" ref="O66">INDEX(GMWQ!$A$2:$LR$60,MATCH(1,(GMWQ!$LQ$2:$LQ$60=O$3)*(GMWQ!$LP$2:$LP$60=O$4)*(GMWQ!$LR$2:$LR$60=O$1),0),$B66-1966)</f>
        <v>5845</v>
      </c>
      <c r="P66" s="7" cm="1">
        <f t="array" ref="P66">INDEX(GMWQ!$A$2:$LR$60,MATCH(1,(GMWQ!$LQ$2:$LQ$60=P$3)*(GMWQ!$LP$2:$LP$60=P$4)*(GMWQ!$LR$2:$LR$60=P$1),0),$B66-1966)</f>
        <v>79796</v>
      </c>
      <c r="Q66" s="7" cm="1">
        <f t="array" ref="Q66">INDEX(GMWQ!$A$2:$LR$60,MATCH(1,(GMWQ!$LQ$2:$LQ$60=Q$3)*(GMWQ!$LP$2:$LP$60=Q$4)*(GMWQ!$LR$2:$LR$60=Q$1),0),$B66-1966)</f>
        <v>10.34</v>
      </c>
      <c r="R66" s="7" cm="1">
        <f t="array" ref="R66">INDEX(GMWQ!$A$2:$LR$60,MATCH(1,(GMWQ!$LQ$2:$LQ$60=R$3)*(GMWQ!$LP$2:$LP$60=R$4)*(GMWQ!$LR$2:$LR$60=R$1),0),$B66-1966)</f>
        <v>1E-3</v>
      </c>
      <c r="S66" s="7" cm="1">
        <f t="array" ref="S66">INDEX(GMWQ!$A$2:$LR$60,MATCH(1,(GMWQ!$LQ$2:$LQ$60=S$3)*(GMWQ!$LP$2:$LP$60=S$4)*(GMWQ!$LR$2:$LR$60=S$1),0),$B66-1966)</f>
        <v>515</v>
      </c>
      <c r="T66" s="7" cm="1">
        <f t="array" ref="T66">INDEX(GMWQ!$A$2:$LR$60,MATCH(1,(GMWQ!$LQ$2:$LQ$60=T$3)*(GMWQ!$LP$2:$LP$60=T$4)*(GMWQ!$LR$2:$LR$60=T$1),0),$B66-1966)</f>
        <v>1E-3</v>
      </c>
      <c r="U66" s="7" cm="1">
        <f t="array" ref="U66">INDEX(GMWQ!$A$2:$LR$60,MATCH(1,(GMWQ!$LQ$2:$LQ$60=U$3)*(GMWQ!$LP$2:$LP$60=U$4)*(GMWQ!$LR$2:$LR$60=U$1),0),$B66-1966)</f>
        <v>6112.5829999999996</v>
      </c>
      <c r="V66" s="7" cm="1">
        <f t="array" ref="V66">INDEX(GMWQ!$A$2:$LR$60,MATCH(1,(GMWQ!$LQ$2:$LQ$60=V$3)*(GMWQ!$LP$2:$LP$60=V$4)*(GMWQ!$LR$2:$LR$60=V$1),0),$B66-1966)</f>
        <v>1E-3</v>
      </c>
      <c r="W66" s="7" cm="1">
        <f t="array" ref="W66">INDEX(GMWQ!$A$2:$LR$60,MATCH(1,(GMWQ!$LQ$2:$LQ$60=W$3)*(GMWQ!$LP$2:$LP$60=W$4)*(GMWQ!$LR$2:$LR$60=W$1),0),$B66-1966)</f>
        <v>12.610060000000001</v>
      </c>
      <c r="X66" s="7" cm="1">
        <f t="array" ref="X66">INDEX(GMWQ!$A$2:$LR$60,MATCH(1,(GMWQ!$LQ$2:$LQ$60=X$3)*(GMWQ!$LP$2:$LP$60=X$4)*(GMWQ!$LR$2:$LR$60=X$1),0),$B66-1966)</f>
        <v>1001648</v>
      </c>
      <c r="Y66" s="7" cm="1">
        <f t="array" ref="Y66">INDEX(GMWQ!$A$2:$LR$60,MATCH(1,(GMWQ!$LQ$2:$LQ$60=Y$3)*(GMWQ!$LP$2:$LP$60=Y$4)*(GMWQ!$LR$2:$LR$60=Y$1),0),$B66-1966)</f>
        <v>43.437449999999998</v>
      </c>
      <c r="Z66" s="7" cm="1">
        <f t="array" ref="Z66">INDEX(GMWQ!$A$2:$LR$60,MATCH(1,(GMWQ!$LQ$2:$LQ$60=Z$3)*(GMWQ!$LP$2:$LP$60=Z$4)*(GMWQ!$LR$2:$LR$60=Z$1),0),$B66-1966)</f>
        <v>287348.7</v>
      </c>
      <c r="AA66" s="7" cm="1">
        <f t="array" ref="AA66">INDEX(GMWQ!$A$2:$LR$60,MATCH(1,(GMWQ!$LQ$2:$LQ$60=AA$3)*(GMWQ!$LP$2:$LP$60=AA$4)*(GMWQ!$LR$2:$LR$60=AA$1),0),$B66-1966)</f>
        <v>47949</v>
      </c>
      <c r="AB66" s="7" cm="1">
        <f t="array" ref="AB66">INDEX(GMWQ!$A$2:$LR$60,MATCH(1,(GMWQ!$LQ$2:$LQ$60=AB$3)*(GMWQ!$LP$2:$LP$60=AB$4)*(GMWQ!$LR$2:$LR$60=AB$1),0),$B66-1966)</f>
        <v>43205</v>
      </c>
      <c r="AC66" s="7" cm="1">
        <f t="array" ref="AC66">INDEX(GMWQ!$A$2:$LR$60,MATCH(1,(GMWQ!$LQ$2:$LQ$60=AC$3)*(GMWQ!$LP$2:$LP$60=AC$4)*(GMWQ!$LR$2:$LR$60=AC$1),0),$B66-1966)</f>
        <v>-15</v>
      </c>
      <c r="AD66" s="7" cm="1">
        <f t="array" ref="AD66">INDEX(GMWQ!$A$2:$LR$60,MATCH(1,(GMWQ!$LQ$2:$LQ$60=AD$3)*(GMWQ!$LP$2:$LP$60=AD$4)*(GMWQ!$LR$2:$LR$60=AD$1),0),$B66-1966)</f>
        <v>4658</v>
      </c>
      <c r="AE66" s="7" cm="1">
        <f t="array" ref="AE66">INDEX(GMWQ!$A$2:$LR$60,MATCH(1,(GMWQ!$LQ$2:$LQ$60=AE$3)*(GMWQ!$LP$2:$LP$60=AE$4)*(GMWQ!$LR$2:$LR$60=AE$1),0),$B66-1966)</f>
        <v>129815</v>
      </c>
      <c r="AF66" s="20" cm="1">
        <f t="array" ref="AF66">INDEX(GMWQ!$A$2:$LR$60,MATCH(1,(GMWQ!$LQ$2:$LQ$60=AF$3)*(GMWQ!$LP$2:$LP$60=AF$4)*(GMWQ!$LR$2:$LR$60=AF$1),0),$B66-1966)</f>
        <v>9.0189389999999996</v>
      </c>
      <c r="AG66" s="20" cm="1">
        <f t="array" ref="AG66">INDEX(GMWQ!$A$2:$LR$60,MATCH(1,(GMWQ!$LQ$2:$LQ$60=AG$3)*(GMWQ!$LP$2:$LP$60=AG$4)*(GMWQ!$LR$2:$LR$60=AG$1),0),$B66-1966)</f>
        <v>-122</v>
      </c>
      <c r="AI66" s="23" cm="1">
        <f t="array" ref="AI66">INDEX(GMWQ!$A$2:$LR$60,MATCH(1,(GMWQ!$LQ$2:$LQ$60=AI$3)*(GMWQ!$LP$2:$LP$60=AI$4)*(GMWQ!$LR$2:$LR$60=AI$1),0),$B66-1966)</f>
        <v>79796</v>
      </c>
      <c r="AJ66" s="23" cm="1">
        <f t="array" ref="AJ66">INDEX(GMWQ!$A$2:$LR$60,MATCH(1,(GMWQ!$LQ$2:$LQ$60=AJ$3)*(GMWQ!$LP$2:$LP$60=AJ$4)*(GMWQ!$LR$2:$LR$60=AJ$1),0),$B66-1966)</f>
        <v>47.738059999999997</v>
      </c>
      <c r="AK66" s="23" cm="1">
        <f t="array" ref="AK66">INDEX(GMWQ!$A$2:$LR$60,MATCH(1,(GMWQ!$LQ$2:$LQ$60=AK$3)*(GMWQ!$LP$2:$LP$60=AK$4)*(GMWQ!$LR$2:$LR$60=AK$1),0),$B66-1966)</f>
        <v>52081</v>
      </c>
      <c r="AL66" s="23" cm="1">
        <f t="array" ref="AL66">INDEX(GMWQ!$A$2:$LR$60,MATCH(1,(GMWQ!$LQ$2:$LQ$60=AL$3)*(GMWQ!$LP$2:$LP$60=AL$4)*(GMWQ!$LR$2:$LR$60=AL$1),0),$B66-1966)</f>
        <v>2418.279</v>
      </c>
      <c r="AM66" s="23" cm="1">
        <f t="array" ref="AM66">INDEX(GMWQ!$A$2:$LR$60,MATCH(1,(GMWQ!$LQ$2:$LQ$60=AM$3)*(GMWQ!$LP$2:$LP$60=AM$4)*(GMWQ!$LR$2:$LR$60=AM$1),0),$B66-1966)</f>
        <v>21536.39</v>
      </c>
      <c r="AN66" s="23" cm="1">
        <f t="array" ref="AN66">INDEX(GMWQ!$A$2:$LR$60,MATCH(1,(GMWQ!$LQ$2:$LQ$60=AN$3)*(GMWQ!$LP$2:$LP$60=AN$4)*(GMWQ!$LR$2:$LR$60=AN$1),0),$B66-1966)</f>
        <v>11089</v>
      </c>
      <c r="AO66" s="23" cm="1">
        <f t="array" ref="AO66">INDEX(GMWQ!$A$2:$LR$60,MATCH(1,(GMWQ!$LQ$2:$LQ$60=AO$3)*(GMWQ!$LP$2:$LP$60=AO$4)*(GMWQ!$LR$2:$LR$60=AO$1),0),$B66-1966)</f>
        <v>3757</v>
      </c>
      <c r="AP66" s="23" cm="1">
        <f t="array" ref="AP66">INDEX(GMWQ!$A$2:$LR$60,MATCH(1,(GMWQ!$LQ$2:$LQ$60=AP$3)*(GMWQ!$LP$2:$LP$60=AP$4)*(GMWQ!$LR$2:$LR$60=AP$1),0),$B66-1966)</f>
        <v>-122</v>
      </c>
      <c r="AQ66" s="23" cm="1">
        <f t="array" ref="AQ66">INDEX(GMWQ!$A$2:$LR$60,MATCH(1,(GMWQ!$LQ$2:$LQ$60=AQ$3)*(GMWQ!$LP$2:$LP$60=AQ$4)*(GMWQ!$LR$2:$LR$60=AQ$1),0),$B66-1966)</f>
        <v>13320</v>
      </c>
      <c r="AR66" s="23" cm="1">
        <f t="array" ref="AR66">INDEX(GMWQ!$A$2:$LR$60,MATCH(1,(GMWQ!$LQ$2:$LQ$60=AR$3)*(GMWQ!$LP$2:$LP$60=AR$4)*(GMWQ!$LR$2:$LR$60=AR$1),0),$B66-1966)</f>
        <v>78869</v>
      </c>
      <c r="AS66" s="23" cm="1">
        <f t="array" ref="AS66">INDEX(GMWQ!$A$2:$LR$60,MATCH(1,(GMWQ!$LQ$2:$LQ$60=AS$3)*(GMWQ!$LP$2:$LP$60=AS$4)*(GMWQ!$LR$2:$LR$60=AS$1),0),$B66-1966)</f>
        <v>1444</v>
      </c>
      <c r="AT66" s="23" cm="1">
        <f t="array" ref="AT66">INDEX(GMWQ!$A$2:$LR$60,MATCH(1,(GMWQ!$LQ$2:$LQ$60=AT$3)*(GMWQ!$LP$2:$LP$60=AT$4)*(GMWQ!$LR$2:$LR$60=AT$1),0),$B66-1966)</f>
        <v>165212</v>
      </c>
      <c r="AU66" s="23" cm="1">
        <f t="array" ref="AU66">INDEX(GMWQ!$A$2:$LR$60,MATCH(1,(GMWQ!$LQ$2:$LQ$60=AU$3)*(GMWQ!$LP$2:$LP$60=AU$4)*(GMWQ!$LR$2:$LR$60=AU$1),0),$B66-1966)</f>
        <v>4982</v>
      </c>
    </row>
    <row r="67" spans="1:47" x14ac:dyDescent="0.35">
      <c r="A67" s="7">
        <v>1988</v>
      </c>
      <c r="B67" s="7">
        <f t="shared" si="2"/>
        <v>2033</v>
      </c>
      <c r="C67" s="7" cm="1">
        <f t="array" ref="C67">INDEX(GMWQ!$A$2:$LR$60,MATCH(1,(GMWQ!$LQ$2:$LQ$60=C$3)*(GMWQ!$LP$2:$LP$60=C$4)*(GMWQ!$LR$2:$LR$60=C$1),0),$B67-1966)</f>
        <v>303698</v>
      </c>
      <c r="D67" s="7" cm="1">
        <f t="array" ref="D67">INDEX(GMWQ!$A$2:$LR$60,MATCH(1,(GMWQ!$LQ$2:$LQ$60=D$3)*(GMWQ!$LP$2:$LP$60=D$4)*(GMWQ!$LR$2:$LR$60=D$1),0),$B67-1966)</f>
        <v>134.46860000000001</v>
      </c>
      <c r="E67" s="7" cm="1">
        <f t="array" ref="E67">INDEX(GMWQ!$A$2:$LR$60,MATCH(1,(GMWQ!$LQ$2:$LQ$60=E$3)*(GMWQ!$LP$2:$LP$60=E$4)*(GMWQ!$LR$2:$LR$60=E$1),0),$B67-1966)</f>
        <v>48.566670000000002</v>
      </c>
      <c r="F67" s="7" cm="1">
        <f t="array" ref="F67">INDEX(GMWQ!$A$2:$LR$60,MATCH(1,(GMWQ!$LQ$2:$LQ$60=F$3)*(GMWQ!$LP$2:$LP$60=F$4)*(GMWQ!$LR$2:$LR$60=F$1),0),$B67-1966)</f>
        <v>53600</v>
      </c>
      <c r="G67" s="7" cm="1">
        <f t="array" ref="G67">INDEX(GMWQ!$A$2:$LR$60,MATCH(1,(GMWQ!$LQ$2:$LQ$60=G$3)*(GMWQ!$LP$2:$LP$60=G$4)*(GMWQ!$LR$2:$LR$60=G$1),0),$B67-1966)</f>
        <v>11894</v>
      </c>
      <c r="H67" s="7" cm="1">
        <f t="array" ref="H67">INDEX(GMWQ!$A$2:$LR$60,MATCH(1,(GMWQ!$LQ$2:$LQ$60=H$3)*(GMWQ!$LP$2:$LP$60=H$4)*(GMWQ!$LR$2:$LR$60=H$1),0),$B67-1966)</f>
        <v>3799</v>
      </c>
      <c r="I67" s="7" cm="1">
        <f t="array" ref="I67">INDEX(GMWQ!$A$2:$LR$60,MATCH(1,(GMWQ!$LQ$2:$LQ$60=I$3)*(GMWQ!$LP$2:$LP$60=I$4)*(GMWQ!$LR$2:$LR$60=I$1),0),$B67-1966)</f>
        <v>48.404339999999998</v>
      </c>
      <c r="J67" s="7" cm="1">
        <f t="array" ref="J67">INDEX(GMWQ!$A$2:$LR$60,MATCH(1,(GMWQ!$LQ$2:$LQ$60=J$3)*(GMWQ!$LP$2:$LP$60=J$4)*(GMWQ!$LR$2:$LR$60=J$1),0),$B67-1966)</f>
        <v>21694.82</v>
      </c>
      <c r="K67" s="7" cm="1">
        <f t="array" ref="K67">INDEX(GMWQ!$A$2:$LR$60,MATCH(1,(GMWQ!$LQ$2:$LQ$60=K$3)*(GMWQ!$LP$2:$LP$60=K$4)*(GMWQ!$LR$2:$LR$60=K$1),0),$B67-1966)</f>
        <v>8.375</v>
      </c>
      <c r="L67" s="7" cm="1">
        <f t="array" ref="L67">INDEX(GMWQ!$A$2:$LR$60,MATCH(1,(GMWQ!$LQ$2:$LQ$60=L$3)*(GMWQ!$LP$2:$LP$60=L$4)*(GMWQ!$LR$2:$LR$60=L$1),0),$B67-1966)</f>
        <v>9.1999999999999993</v>
      </c>
      <c r="M67" s="7" cm="1">
        <f t="array" ref="M67">INDEX(GMWQ!$A$2:$LR$60,MATCH(1,(GMWQ!$LQ$2:$LQ$60=M$3)*(GMWQ!$LP$2:$LP$60=M$4)*(GMWQ!$LR$2:$LR$60=M$1),0),$B67-1966)</f>
        <v>23.035340000000001</v>
      </c>
      <c r="N67" s="7" cm="1">
        <f t="array" ref="N67">INDEX(GMWQ!$A$2:$LR$60,MATCH(1,(GMWQ!$LQ$2:$LQ$60=N$3)*(GMWQ!$LP$2:$LP$60=N$4)*(GMWQ!$LR$2:$LR$60=N$1),0),$B67-1966)</f>
        <v>5380</v>
      </c>
      <c r="O67" s="7" cm="1">
        <f t="array" ref="O67">INDEX(GMWQ!$A$2:$LR$60,MATCH(1,(GMWQ!$LQ$2:$LQ$60=O$3)*(GMWQ!$LP$2:$LP$60=O$4)*(GMWQ!$LR$2:$LR$60=O$1),0),$B67-1966)</f>
        <v>6039</v>
      </c>
      <c r="P67" s="7" cm="1">
        <f t="array" ref="P67">INDEX(GMWQ!$A$2:$LR$60,MATCH(1,(GMWQ!$LQ$2:$LQ$60=P$3)*(GMWQ!$LP$2:$LP$60=P$4)*(GMWQ!$LR$2:$LR$60=P$1),0),$B67-1966)</f>
        <v>82285</v>
      </c>
      <c r="Q67" s="7" cm="1">
        <f t="array" ref="Q67">INDEX(GMWQ!$A$2:$LR$60,MATCH(1,(GMWQ!$LQ$2:$LQ$60=Q$3)*(GMWQ!$LP$2:$LP$60=Q$4)*(GMWQ!$LR$2:$LR$60=Q$1),0),$B67-1966)</f>
        <v>10.26</v>
      </c>
      <c r="R67" s="7" cm="1">
        <f t="array" ref="R67">INDEX(GMWQ!$A$2:$LR$60,MATCH(1,(GMWQ!$LQ$2:$LQ$60=R$3)*(GMWQ!$LP$2:$LP$60=R$4)*(GMWQ!$LR$2:$LR$60=R$1),0),$B67-1966)</f>
        <v>1E-3</v>
      </c>
      <c r="S67" s="7" cm="1">
        <f t="array" ref="S67">INDEX(GMWQ!$A$2:$LR$60,MATCH(1,(GMWQ!$LQ$2:$LQ$60=S$3)*(GMWQ!$LP$2:$LP$60=S$4)*(GMWQ!$LR$2:$LR$60=S$1),0),$B67-1966)</f>
        <v>530</v>
      </c>
      <c r="T67" s="7" cm="1">
        <f t="array" ref="T67">INDEX(GMWQ!$A$2:$LR$60,MATCH(1,(GMWQ!$LQ$2:$LQ$60=T$3)*(GMWQ!$LP$2:$LP$60=T$4)*(GMWQ!$LR$2:$LR$60=T$1),0),$B67-1966)</f>
        <v>1E-3</v>
      </c>
      <c r="U67" s="7" cm="1">
        <f t="array" ref="U67">INDEX(GMWQ!$A$2:$LR$60,MATCH(1,(GMWQ!$LQ$2:$LQ$60=U$3)*(GMWQ!$LP$2:$LP$60=U$4)*(GMWQ!$LR$2:$LR$60=U$1),0),$B67-1966)</f>
        <v>6995.335</v>
      </c>
      <c r="V67" s="7" cm="1">
        <f t="array" ref="V67">INDEX(GMWQ!$A$2:$LR$60,MATCH(1,(GMWQ!$LQ$2:$LQ$60=V$3)*(GMWQ!$LP$2:$LP$60=V$4)*(GMWQ!$LR$2:$LR$60=V$1),0),$B67-1966)</f>
        <v>1E-3</v>
      </c>
      <c r="W67" s="7" cm="1">
        <f t="array" ref="W67">INDEX(GMWQ!$A$2:$LR$60,MATCH(1,(GMWQ!$LQ$2:$LQ$60=W$3)*(GMWQ!$LP$2:$LP$60=W$4)*(GMWQ!$LR$2:$LR$60=W$1),0),$B67-1966)</f>
        <v>8.431108</v>
      </c>
      <c r="X67" s="7" cm="1">
        <f t="array" ref="X67">INDEX(GMWQ!$A$2:$LR$60,MATCH(1,(GMWQ!$LQ$2:$LQ$60=X$3)*(GMWQ!$LP$2:$LP$60=X$4)*(GMWQ!$LR$2:$LR$60=X$1),0),$B67-1966)</f>
        <v>1020053</v>
      </c>
      <c r="Y67" s="7" cm="1">
        <f t="array" ref="Y67">INDEX(GMWQ!$A$2:$LR$60,MATCH(1,(GMWQ!$LQ$2:$LQ$60=Y$3)*(GMWQ!$LP$2:$LP$60=Y$4)*(GMWQ!$LR$2:$LR$60=Y$1),0),$B67-1966)</f>
        <v>43.886690000000002</v>
      </c>
      <c r="Z67" s="7" cm="1">
        <f t="array" ref="Z67">INDEX(GMWQ!$A$2:$LR$60,MATCH(1,(GMWQ!$LQ$2:$LQ$60=Z$3)*(GMWQ!$LP$2:$LP$60=Z$4)*(GMWQ!$LR$2:$LR$60=Z$1),0),$B67-1966)</f>
        <v>290054.3</v>
      </c>
      <c r="AA67" s="7" cm="1">
        <f t="array" ref="AA67">INDEX(GMWQ!$A$2:$LR$60,MATCH(1,(GMWQ!$LQ$2:$LQ$60=AA$3)*(GMWQ!$LP$2:$LP$60=AA$4)*(GMWQ!$LR$2:$LR$60=AA$1),0),$B67-1966)</f>
        <v>51770</v>
      </c>
      <c r="AB67" s="7" cm="1">
        <f t="array" ref="AB67">INDEX(GMWQ!$A$2:$LR$60,MATCH(1,(GMWQ!$LQ$2:$LQ$60=AB$3)*(GMWQ!$LP$2:$LP$60=AB$4)*(GMWQ!$LR$2:$LR$60=AB$1),0),$B67-1966)</f>
        <v>43943</v>
      </c>
      <c r="AC67" s="7" cm="1">
        <f t="array" ref="AC67">INDEX(GMWQ!$A$2:$LR$60,MATCH(1,(GMWQ!$LQ$2:$LQ$60=AC$3)*(GMWQ!$LP$2:$LP$60=AC$4)*(GMWQ!$LR$2:$LR$60=AC$1),0),$B67-1966)</f>
        <v>2123</v>
      </c>
      <c r="AD67" s="7" cm="1">
        <f t="array" ref="AD67">INDEX(GMWQ!$A$2:$LR$60,MATCH(1,(GMWQ!$LQ$2:$LQ$60=AD$3)*(GMWQ!$LP$2:$LP$60=AD$4)*(GMWQ!$LR$2:$LR$60=AD$1),0),$B67-1966)</f>
        <v>4703</v>
      </c>
      <c r="AE67" s="7" cm="1">
        <f t="array" ref="AE67">INDEX(GMWQ!$A$2:$LR$60,MATCH(1,(GMWQ!$LQ$2:$LQ$60=AE$3)*(GMWQ!$LP$2:$LP$60=AE$4)*(GMWQ!$LR$2:$LR$60=AE$1),0),$B67-1966)</f>
        <v>133283</v>
      </c>
      <c r="AF67" s="20" cm="1">
        <f t="array" ref="AF67">INDEX(GMWQ!$A$2:$LR$60,MATCH(1,(GMWQ!$LQ$2:$LQ$60=AF$3)*(GMWQ!$LP$2:$LP$60=AF$4)*(GMWQ!$LR$2:$LR$60=AF$1),0),$B67-1966)</f>
        <v>8.6288459999999993</v>
      </c>
      <c r="AG67" s="20" cm="1">
        <f t="array" ref="AG67">INDEX(GMWQ!$A$2:$LR$60,MATCH(1,(GMWQ!$LQ$2:$LQ$60=AG$3)*(GMWQ!$LP$2:$LP$60=AG$4)*(GMWQ!$LR$2:$LR$60=AG$1),0),$B67-1966)</f>
        <v>659</v>
      </c>
      <c r="AI67" s="23" cm="1">
        <f t="array" ref="AI67">INDEX(GMWQ!$A$2:$LR$60,MATCH(1,(GMWQ!$LQ$2:$LQ$60=AI$3)*(GMWQ!$LP$2:$LP$60=AI$4)*(GMWQ!$LR$2:$LR$60=AI$1),0),$B67-1966)</f>
        <v>82285</v>
      </c>
      <c r="AJ67" s="23" cm="1">
        <f t="array" ref="AJ67">INDEX(GMWQ!$A$2:$LR$60,MATCH(1,(GMWQ!$LQ$2:$LQ$60=AJ$3)*(GMWQ!$LP$2:$LP$60=AJ$4)*(GMWQ!$LR$2:$LR$60=AJ$1),0),$B67-1966)</f>
        <v>48.404339999999998</v>
      </c>
      <c r="AK67" s="23" cm="1">
        <f t="array" ref="AK67">INDEX(GMWQ!$A$2:$LR$60,MATCH(1,(GMWQ!$LQ$2:$LQ$60=AK$3)*(GMWQ!$LP$2:$LP$60=AK$4)*(GMWQ!$LR$2:$LR$60=AK$1),0),$B67-1966)</f>
        <v>53600</v>
      </c>
      <c r="AL67" s="23" cm="1">
        <f t="array" ref="AL67">INDEX(GMWQ!$A$2:$LR$60,MATCH(1,(GMWQ!$LQ$2:$LQ$60=AL$3)*(GMWQ!$LP$2:$LP$60=AL$4)*(GMWQ!$LR$2:$LR$60=AL$1),0),$B67-1966)</f>
        <v>2470.636</v>
      </c>
      <c r="AM67" s="23" cm="1">
        <f t="array" ref="AM67">INDEX(GMWQ!$A$2:$LR$60,MATCH(1,(GMWQ!$LQ$2:$LQ$60=AM$3)*(GMWQ!$LP$2:$LP$60=AM$4)*(GMWQ!$LR$2:$LR$60=AM$1),0),$B67-1966)</f>
        <v>21694.82</v>
      </c>
      <c r="AN67" s="23" cm="1">
        <f t="array" ref="AN67">INDEX(GMWQ!$A$2:$LR$60,MATCH(1,(GMWQ!$LQ$2:$LQ$60=AN$3)*(GMWQ!$LP$2:$LP$60=AN$4)*(GMWQ!$LR$2:$LR$60=AN$1),0),$B67-1966)</f>
        <v>11894</v>
      </c>
      <c r="AO67" s="23" cm="1">
        <f t="array" ref="AO67">INDEX(GMWQ!$A$2:$LR$60,MATCH(1,(GMWQ!$LQ$2:$LQ$60=AO$3)*(GMWQ!$LP$2:$LP$60=AO$4)*(GMWQ!$LR$2:$LR$60=AO$1),0),$B67-1966)</f>
        <v>3799</v>
      </c>
      <c r="AP67" s="23" cm="1">
        <f t="array" ref="AP67">INDEX(GMWQ!$A$2:$LR$60,MATCH(1,(GMWQ!$LQ$2:$LQ$60=AP$3)*(GMWQ!$LP$2:$LP$60=AP$4)*(GMWQ!$LR$2:$LR$60=AP$1),0),$B67-1966)</f>
        <v>659</v>
      </c>
      <c r="AQ67" s="23" cm="1">
        <f t="array" ref="AQ67">INDEX(GMWQ!$A$2:$LR$60,MATCH(1,(GMWQ!$LQ$2:$LQ$60=AQ$3)*(GMWQ!$LP$2:$LP$60=AQ$4)*(GMWQ!$LR$2:$LR$60=AQ$1),0),$B67-1966)</f>
        <v>13082</v>
      </c>
      <c r="AR67" s="23" cm="1">
        <f t="array" ref="AR67">INDEX(GMWQ!$A$2:$LR$60,MATCH(1,(GMWQ!$LQ$2:$LQ$60=AR$3)*(GMWQ!$LP$2:$LP$60=AR$4)*(GMWQ!$LR$2:$LR$60=AR$1),0),$B67-1966)</f>
        <v>81070</v>
      </c>
      <c r="AS67" s="23" cm="1">
        <f t="array" ref="AS67">INDEX(GMWQ!$A$2:$LR$60,MATCH(1,(GMWQ!$LQ$2:$LQ$60=AS$3)*(GMWQ!$LP$2:$LP$60=AS$4)*(GMWQ!$LR$2:$LR$60=AS$1),0),$B67-1966)</f>
        <v>1666</v>
      </c>
      <c r="AT67" s="23" cm="1">
        <f t="array" ref="AT67">INDEX(GMWQ!$A$2:$LR$60,MATCH(1,(GMWQ!$LQ$2:$LQ$60=AT$3)*(GMWQ!$LP$2:$LP$60=AT$4)*(GMWQ!$LR$2:$LR$60=AT$1),0),$B67-1966)</f>
        <v>167485</v>
      </c>
      <c r="AU67" s="23" cm="1">
        <f t="array" ref="AU67">INDEX(GMWQ!$A$2:$LR$60,MATCH(1,(GMWQ!$LQ$2:$LQ$60=AU$3)*(GMWQ!$LP$2:$LP$60=AU$4)*(GMWQ!$LR$2:$LR$60=AU$1),0),$B67-1966)</f>
        <v>5203</v>
      </c>
    </row>
    <row r="68" spans="1:47" x14ac:dyDescent="0.35">
      <c r="B68" s="7">
        <f t="shared" si="2"/>
        <v>2034</v>
      </c>
      <c r="C68" s="7" cm="1">
        <f t="array" ref="C68">INDEX(GMWQ!$A$2:$LR$60,MATCH(1,(GMWQ!$LQ$2:$LQ$60=C$3)*(GMWQ!$LP$2:$LP$60=C$4)*(GMWQ!$LR$2:$LR$60=C$1),0),$B68-1966)</f>
        <v>305281</v>
      </c>
      <c r="D68" s="7" cm="1">
        <f t="array" ref="D68">INDEX(GMWQ!$A$2:$LR$60,MATCH(1,(GMWQ!$LQ$2:$LQ$60=D$3)*(GMWQ!$LP$2:$LP$60=D$4)*(GMWQ!$LR$2:$LR$60=D$1),0),$B68-1966)</f>
        <v>139.05330000000001</v>
      </c>
      <c r="E68" s="7" cm="1">
        <f t="array" ref="E68">INDEX(GMWQ!$A$2:$LR$60,MATCH(1,(GMWQ!$LQ$2:$LQ$60=E$3)*(GMWQ!$LP$2:$LP$60=E$4)*(GMWQ!$LR$2:$LR$60=E$1),0),$B68-1966)</f>
        <v>49.5</v>
      </c>
      <c r="F68" s="7" cm="1">
        <f t="array" ref="F68">INDEX(GMWQ!$A$2:$LR$60,MATCH(1,(GMWQ!$LQ$2:$LQ$60=F$3)*(GMWQ!$LP$2:$LP$60=F$4)*(GMWQ!$LR$2:$LR$60=F$1),0),$B68-1966)</f>
        <v>54866</v>
      </c>
      <c r="G68" s="7" cm="1">
        <f t="array" ref="G68">INDEX(GMWQ!$A$2:$LR$60,MATCH(1,(GMWQ!$LQ$2:$LQ$60=G$3)*(GMWQ!$LP$2:$LP$60=G$4)*(GMWQ!$LR$2:$LR$60=G$1),0),$B68-1966)</f>
        <v>11882</v>
      </c>
      <c r="H68" s="7" cm="1">
        <f t="array" ref="H68">INDEX(GMWQ!$A$2:$LR$60,MATCH(1,(GMWQ!$LQ$2:$LQ$60=H$3)*(GMWQ!$LP$2:$LP$60=H$4)*(GMWQ!$LR$2:$LR$60=H$1),0),$B68-1966)</f>
        <v>3950</v>
      </c>
      <c r="I68" s="7" cm="1">
        <f t="array" ref="I68">INDEX(GMWQ!$A$2:$LR$60,MATCH(1,(GMWQ!$LQ$2:$LQ$60=I$3)*(GMWQ!$LP$2:$LP$60=I$4)*(GMWQ!$LR$2:$LR$60=I$1),0),$B68-1966)</f>
        <v>49.115569999999998</v>
      </c>
      <c r="J68" s="7" cm="1">
        <f t="array" ref="J68">INDEX(GMWQ!$A$2:$LR$60,MATCH(1,(GMWQ!$LQ$2:$LQ$60=J$3)*(GMWQ!$LP$2:$LP$60=J$4)*(GMWQ!$LR$2:$LR$60=J$1),0),$B68-1966)</f>
        <v>21838.84</v>
      </c>
      <c r="K68" s="7" cm="1">
        <f t="array" ref="K68">INDEX(GMWQ!$A$2:$LR$60,MATCH(1,(GMWQ!$LQ$2:$LQ$60=K$3)*(GMWQ!$LP$2:$LP$60=K$4)*(GMWQ!$LR$2:$LR$60=K$1),0),$B68-1966)</f>
        <v>8.875</v>
      </c>
      <c r="L68" s="7" cm="1">
        <f t="array" ref="L68">INDEX(GMWQ!$A$2:$LR$60,MATCH(1,(GMWQ!$LQ$2:$LQ$60=L$3)*(GMWQ!$LP$2:$LP$60=L$4)*(GMWQ!$LR$2:$LR$60=L$1),0),$B68-1966)</f>
        <v>8.6999999999999993</v>
      </c>
      <c r="M68" s="7" cm="1">
        <f t="array" ref="M68">INDEX(GMWQ!$A$2:$LR$60,MATCH(1,(GMWQ!$LQ$2:$LQ$60=M$3)*(GMWQ!$LP$2:$LP$60=M$4)*(GMWQ!$LR$2:$LR$60=M$1),0),$B68-1966)</f>
        <v>24.43553</v>
      </c>
      <c r="N68" s="7" cm="1">
        <f t="array" ref="N68">INDEX(GMWQ!$A$2:$LR$60,MATCH(1,(GMWQ!$LQ$2:$LQ$60=N$3)*(GMWQ!$LP$2:$LP$60=N$4)*(GMWQ!$LR$2:$LR$60=N$1),0),$B68-1966)</f>
        <v>5508</v>
      </c>
      <c r="O68" s="7" cm="1">
        <f t="array" ref="O68">INDEX(GMWQ!$A$2:$LR$60,MATCH(1,(GMWQ!$LQ$2:$LQ$60=O$3)*(GMWQ!$LP$2:$LP$60=O$4)*(GMWQ!$LR$2:$LR$60=O$1),0),$B68-1966)</f>
        <v>6114</v>
      </c>
      <c r="P68" s="7" cm="1">
        <f t="array" ref="P68">INDEX(GMWQ!$A$2:$LR$60,MATCH(1,(GMWQ!$LQ$2:$LQ$60=P$3)*(GMWQ!$LP$2:$LP$60=P$4)*(GMWQ!$LR$2:$LR$60=P$1),0),$B68-1966)</f>
        <v>84810</v>
      </c>
      <c r="Q68" s="7" cm="1">
        <f t="array" ref="Q68">INDEX(GMWQ!$A$2:$LR$60,MATCH(1,(GMWQ!$LQ$2:$LQ$60=Q$3)*(GMWQ!$LP$2:$LP$60=Q$4)*(GMWQ!$LR$2:$LR$60=Q$1),0),$B68-1966)</f>
        <v>9.7799999999999994</v>
      </c>
      <c r="R68" s="7" cm="1">
        <f t="array" ref="R68">INDEX(GMWQ!$A$2:$LR$60,MATCH(1,(GMWQ!$LQ$2:$LQ$60=R$3)*(GMWQ!$LP$2:$LP$60=R$4)*(GMWQ!$LR$2:$LR$60=R$1),0),$B68-1966)</f>
        <v>1E-3</v>
      </c>
      <c r="S68" s="7" cm="1">
        <f t="array" ref="S68">INDEX(GMWQ!$A$2:$LR$60,MATCH(1,(GMWQ!$LQ$2:$LQ$60=S$3)*(GMWQ!$LP$2:$LP$60=S$4)*(GMWQ!$LR$2:$LR$60=S$1),0),$B68-1966)</f>
        <v>528</v>
      </c>
      <c r="T68" s="7" cm="1">
        <f t="array" ref="T68">INDEX(GMWQ!$A$2:$LR$60,MATCH(1,(GMWQ!$LQ$2:$LQ$60=T$3)*(GMWQ!$LP$2:$LP$60=T$4)*(GMWQ!$LR$2:$LR$60=T$1),0),$B68-1966)</f>
        <v>1E-3</v>
      </c>
      <c r="U68" s="7" cm="1">
        <f t="array" ref="U68">INDEX(GMWQ!$A$2:$LR$60,MATCH(1,(GMWQ!$LQ$2:$LQ$60=U$3)*(GMWQ!$LP$2:$LP$60=U$4)*(GMWQ!$LR$2:$LR$60=U$1),0),$B68-1966)</f>
        <v>7897.4809999999998</v>
      </c>
      <c r="V68" s="7" cm="1">
        <f t="array" ref="V68">INDEX(GMWQ!$A$2:$LR$60,MATCH(1,(GMWQ!$LQ$2:$LQ$60=V$3)*(GMWQ!$LP$2:$LP$60=V$4)*(GMWQ!$LR$2:$LR$60=V$1),0),$B68-1966)</f>
        <v>1E-3</v>
      </c>
      <c r="W68" s="7" cm="1">
        <f t="array" ref="W68">INDEX(GMWQ!$A$2:$LR$60,MATCH(1,(GMWQ!$LQ$2:$LQ$60=W$3)*(GMWQ!$LP$2:$LP$60=W$4)*(GMWQ!$LR$2:$LR$60=W$1),0),$B68-1966)</f>
        <v>9.6200189999999992</v>
      </c>
      <c r="X68" s="7" cm="1">
        <f t="array" ref="X68">INDEX(GMWQ!$A$2:$LR$60,MATCH(1,(GMWQ!$LQ$2:$LQ$60=X$3)*(GMWQ!$LP$2:$LP$60=X$4)*(GMWQ!$LR$2:$LR$60=X$1),0),$B68-1966)</f>
        <v>1029759</v>
      </c>
      <c r="Y68" s="7" cm="1">
        <f t="array" ref="Y68">INDEX(GMWQ!$A$2:$LR$60,MATCH(1,(GMWQ!$LQ$2:$LQ$60=Y$3)*(GMWQ!$LP$2:$LP$60=Y$4)*(GMWQ!$LR$2:$LR$60=Y$1),0),$B68-1966)</f>
        <v>44.755159999999997</v>
      </c>
      <c r="Z68" s="7" cm="1">
        <f t="array" ref="Z68">INDEX(GMWQ!$A$2:$LR$60,MATCH(1,(GMWQ!$LQ$2:$LQ$60=Z$3)*(GMWQ!$LP$2:$LP$60=Z$4)*(GMWQ!$LR$2:$LR$60=Z$1),0),$B68-1966)</f>
        <v>292498.90000000002</v>
      </c>
      <c r="AA68" s="7" cm="1">
        <f t="array" ref="AA68">INDEX(GMWQ!$A$2:$LR$60,MATCH(1,(GMWQ!$LQ$2:$LQ$60=AA$3)*(GMWQ!$LP$2:$LP$60=AA$4)*(GMWQ!$LR$2:$LR$60=AA$1),0),$B68-1966)</f>
        <v>44886</v>
      </c>
      <c r="AB68" s="7" cm="1">
        <f t="array" ref="AB68">INDEX(GMWQ!$A$2:$LR$60,MATCH(1,(GMWQ!$LQ$2:$LQ$60=AB$3)*(GMWQ!$LP$2:$LP$60=AB$4)*(GMWQ!$LR$2:$LR$60=AB$1),0),$B68-1966)</f>
        <v>42650</v>
      </c>
      <c r="AC68" s="7" cm="1">
        <f t="array" ref="AC68">INDEX(GMWQ!$A$2:$LR$60,MATCH(1,(GMWQ!$LQ$2:$LQ$60=AC$3)*(GMWQ!$LP$2:$LP$60=AC$4)*(GMWQ!$LR$2:$LR$60=AC$1),0),$B68-1966)</f>
        <v>-842</v>
      </c>
      <c r="AD68" s="7" cm="1">
        <f t="array" ref="AD68">INDEX(GMWQ!$A$2:$LR$60,MATCH(1,(GMWQ!$LQ$2:$LQ$60=AD$3)*(GMWQ!$LP$2:$LP$60=AD$4)*(GMWQ!$LR$2:$LR$60=AD$1),0),$B68-1966)</f>
        <v>4771</v>
      </c>
      <c r="AE68" s="7" cm="1">
        <f t="array" ref="AE68">INDEX(GMWQ!$A$2:$LR$60,MATCH(1,(GMWQ!$LQ$2:$LQ$60=AE$3)*(GMWQ!$LP$2:$LP$60=AE$4)*(GMWQ!$LR$2:$LR$60=AE$1),0),$B68-1966)</f>
        <v>136629</v>
      </c>
      <c r="AF68" s="20" cm="1">
        <f t="array" ref="AF68">INDEX(GMWQ!$A$2:$LR$60,MATCH(1,(GMWQ!$LQ$2:$LQ$60=AF$3)*(GMWQ!$LP$2:$LP$60=AF$4)*(GMWQ!$LR$2:$LR$60=AF$1),0),$B68-1966)</f>
        <v>7.9673080000000001</v>
      </c>
      <c r="AG68" s="20" cm="1">
        <f t="array" ref="AG68">INDEX(GMWQ!$A$2:$LR$60,MATCH(1,(GMWQ!$LQ$2:$LQ$60=AG$3)*(GMWQ!$LP$2:$LP$60=AG$4)*(GMWQ!$LR$2:$LR$60=AG$1),0),$B68-1966)</f>
        <v>606</v>
      </c>
      <c r="AI68" s="23" cm="1">
        <f t="array" ref="AI68">INDEX(GMWQ!$A$2:$LR$60,MATCH(1,(GMWQ!$LQ$2:$LQ$60=AI$3)*(GMWQ!$LP$2:$LP$60=AI$4)*(GMWQ!$LR$2:$LR$60=AI$1),0),$B68-1966)</f>
        <v>84810</v>
      </c>
      <c r="AJ68" s="23" cm="1">
        <f t="array" ref="AJ68">INDEX(GMWQ!$A$2:$LR$60,MATCH(1,(GMWQ!$LQ$2:$LQ$60=AJ$3)*(GMWQ!$LP$2:$LP$60=AJ$4)*(GMWQ!$LR$2:$LR$60=AJ$1),0),$B68-1966)</f>
        <v>49.115569999999998</v>
      </c>
      <c r="AK68" s="23" cm="1">
        <f t="array" ref="AK68">INDEX(GMWQ!$A$2:$LR$60,MATCH(1,(GMWQ!$LQ$2:$LQ$60=AK$3)*(GMWQ!$LP$2:$LP$60=AK$4)*(GMWQ!$LR$2:$LR$60=AK$1),0),$B68-1966)</f>
        <v>54866</v>
      </c>
      <c r="AL68" s="23" cm="1">
        <f t="array" ref="AL68">INDEX(GMWQ!$A$2:$LR$60,MATCH(1,(GMWQ!$LQ$2:$LQ$60=AL$3)*(GMWQ!$LP$2:$LP$60=AL$4)*(GMWQ!$LR$2:$LR$60=AL$1),0),$B68-1966)</f>
        <v>2512.3130000000001</v>
      </c>
      <c r="AM68" s="23" cm="1">
        <f t="array" ref="AM68">INDEX(GMWQ!$A$2:$LR$60,MATCH(1,(GMWQ!$LQ$2:$LQ$60=AM$3)*(GMWQ!$LP$2:$LP$60=AM$4)*(GMWQ!$LR$2:$LR$60=AM$1),0),$B68-1966)</f>
        <v>21838.84</v>
      </c>
      <c r="AN68" s="23" cm="1">
        <f t="array" ref="AN68">INDEX(GMWQ!$A$2:$LR$60,MATCH(1,(GMWQ!$LQ$2:$LQ$60=AN$3)*(GMWQ!$LP$2:$LP$60=AN$4)*(GMWQ!$LR$2:$LR$60=AN$1),0),$B68-1966)</f>
        <v>11882</v>
      </c>
      <c r="AO68" s="23" cm="1">
        <f t="array" ref="AO68">INDEX(GMWQ!$A$2:$LR$60,MATCH(1,(GMWQ!$LQ$2:$LQ$60=AO$3)*(GMWQ!$LP$2:$LP$60=AO$4)*(GMWQ!$LR$2:$LR$60=AO$1),0),$B68-1966)</f>
        <v>3950</v>
      </c>
      <c r="AP68" s="23" cm="1">
        <f t="array" ref="AP68">INDEX(GMWQ!$A$2:$LR$60,MATCH(1,(GMWQ!$LQ$2:$LQ$60=AP$3)*(GMWQ!$LP$2:$LP$60=AP$4)*(GMWQ!$LR$2:$LR$60=AP$1),0),$B68-1966)</f>
        <v>606</v>
      </c>
      <c r="AQ68" s="23" cm="1">
        <f t="array" ref="AQ68">INDEX(GMWQ!$A$2:$LR$60,MATCH(1,(GMWQ!$LQ$2:$LQ$60=AQ$3)*(GMWQ!$LP$2:$LP$60=AQ$4)*(GMWQ!$LR$2:$LR$60=AQ$1),0),$B68-1966)</f>
        <v>13076</v>
      </c>
      <c r="AR68" s="23" cm="1">
        <f t="array" ref="AR68">INDEX(GMWQ!$A$2:$LR$60,MATCH(1,(GMWQ!$LQ$2:$LQ$60=AR$3)*(GMWQ!$LP$2:$LP$60=AR$4)*(GMWQ!$LR$2:$LR$60=AR$1),0),$B68-1966)</f>
        <v>83439</v>
      </c>
      <c r="AS68" s="23" cm="1">
        <f t="array" ref="AS68">INDEX(GMWQ!$A$2:$LR$60,MATCH(1,(GMWQ!$LQ$2:$LQ$60=AS$3)*(GMWQ!$LP$2:$LP$60=AS$4)*(GMWQ!$LR$2:$LR$60=AS$1),0),$B68-1966)</f>
        <v>1571</v>
      </c>
      <c r="AT68" s="23" cm="1">
        <f t="array" ref="AT68">INDEX(GMWQ!$A$2:$LR$60,MATCH(1,(GMWQ!$LQ$2:$LQ$60=AT$3)*(GMWQ!$LP$2:$LP$60=AT$4)*(GMWQ!$LR$2:$LR$60=AT$1),0),$B68-1966)</f>
        <v>169883</v>
      </c>
      <c r="AU68" s="23" cm="1">
        <f t="array" ref="AU68">INDEX(GMWQ!$A$2:$LR$60,MATCH(1,(GMWQ!$LQ$2:$LQ$60=AU$3)*(GMWQ!$LP$2:$LP$60=AU$4)*(GMWQ!$LR$2:$LR$60=AU$1),0),$B68-1966)</f>
        <v>5097</v>
      </c>
    </row>
    <row r="69" spans="1:47" x14ac:dyDescent="0.35">
      <c r="B69" s="7">
        <f t="shared" si="2"/>
        <v>2035</v>
      </c>
      <c r="C69" s="7" cm="1">
        <f t="array" ref="C69">INDEX(GMWQ!$A$2:$LR$60,MATCH(1,(GMWQ!$LQ$2:$LQ$60=C$3)*(GMWQ!$LP$2:$LP$60=C$4)*(GMWQ!$LR$2:$LR$60=C$1),0),$B69-1966)</f>
        <v>309097</v>
      </c>
      <c r="D69" s="7" cm="1">
        <f t="array" ref="D69">INDEX(GMWQ!$A$2:$LR$60,MATCH(1,(GMWQ!$LQ$2:$LQ$60=D$3)*(GMWQ!$LP$2:$LP$60=D$4)*(GMWQ!$LR$2:$LR$60=D$1),0),$B69-1966)</f>
        <v>144.16399999999999</v>
      </c>
      <c r="E69" s="7" cm="1">
        <f t="array" ref="E69">INDEX(GMWQ!$A$2:$LR$60,MATCH(1,(GMWQ!$LQ$2:$LQ$60=E$3)*(GMWQ!$LP$2:$LP$60=E$4)*(GMWQ!$LR$2:$LR$60=E$1),0),$B69-1966)</f>
        <v>49.9</v>
      </c>
      <c r="F69" s="7" cm="1">
        <f t="array" ref="F69">INDEX(GMWQ!$A$2:$LR$60,MATCH(1,(GMWQ!$LQ$2:$LQ$60=F$3)*(GMWQ!$LP$2:$LP$60=F$4)*(GMWQ!$LR$2:$LR$60=F$1),0),$B69-1966)</f>
        <v>56587</v>
      </c>
      <c r="G69" s="7" cm="1">
        <f t="array" ref="G69">INDEX(GMWQ!$A$2:$LR$60,MATCH(1,(GMWQ!$LQ$2:$LQ$60=G$3)*(GMWQ!$LP$2:$LP$60=G$4)*(GMWQ!$LR$2:$LR$60=G$1),0),$B69-1966)</f>
        <v>12054</v>
      </c>
      <c r="H69" s="7" cm="1">
        <f t="array" ref="H69">INDEX(GMWQ!$A$2:$LR$60,MATCH(1,(GMWQ!$LQ$2:$LQ$60=H$3)*(GMWQ!$LP$2:$LP$60=H$4)*(GMWQ!$LR$2:$LR$60=H$1),0),$B69-1966)</f>
        <v>4056</v>
      </c>
      <c r="I69" s="7" cm="1">
        <f t="array" ref="I69">INDEX(GMWQ!$A$2:$LR$60,MATCH(1,(GMWQ!$LQ$2:$LQ$60=I$3)*(GMWQ!$LP$2:$LP$60=I$4)*(GMWQ!$LR$2:$LR$60=I$1),0),$B69-1966)</f>
        <v>49.580060000000003</v>
      </c>
      <c r="J69" s="7" cm="1">
        <f t="array" ref="J69">INDEX(GMWQ!$A$2:$LR$60,MATCH(1,(GMWQ!$LQ$2:$LQ$60=J$3)*(GMWQ!$LP$2:$LP$60=J$4)*(GMWQ!$LR$2:$LR$60=J$1),0),$B69-1966)</f>
        <v>22021.56</v>
      </c>
      <c r="K69" s="7" cm="1">
        <f t="array" ref="K69">INDEX(GMWQ!$A$2:$LR$60,MATCH(1,(GMWQ!$LQ$2:$LQ$60=K$3)*(GMWQ!$LP$2:$LP$60=K$4)*(GMWQ!$LR$2:$LR$60=K$1),0),$B69-1966)</f>
        <v>11.875</v>
      </c>
      <c r="L69" s="7" cm="1">
        <f t="array" ref="L69">INDEX(GMWQ!$A$2:$LR$60,MATCH(1,(GMWQ!$LQ$2:$LQ$60=L$3)*(GMWQ!$LP$2:$LP$60=L$4)*(GMWQ!$LR$2:$LR$60=L$1),0),$B69-1966)</f>
        <v>8.4</v>
      </c>
      <c r="M69" s="7" cm="1">
        <f t="array" ref="M69">INDEX(GMWQ!$A$2:$LR$60,MATCH(1,(GMWQ!$LQ$2:$LQ$60=M$3)*(GMWQ!$LP$2:$LP$60=M$4)*(GMWQ!$LR$2:$LR$60=M$1),0),$B69-1966)</f>
        <v>27.391359999999999</v>
      </c>
      <c r="N69" s="7" cm="1">
        <f t="array" ref="N69">INDEX(GMWQ!$A$2:$LR$60,MATCH(1,(GMWQ!$LQ$2:$LQ$60=N$3)*(GMWQ!$LP$2:$LP$60=N$4)*(GMWQ!$LR$2:$LR$60=N$1),0),$B69-1966)</f>
        <v>6312</v>
      </c>
      <c r="O69" s="7" cm="1">
        <f t="array" ref="O69">INDEX(GMWQ!$A$2:$LR$60,MATCH(1,(GMWQ!$LQ$2:$LQ$60=O$3)*(GMWQ!$LP$2:$LP$60=O$4)*(GMWQ!$LR$2:$LR$60=O$1),0),$B69-1966)</f>
        <v>6260</v>
      </c>
      <c r="P69" s="7" cm="1">
        <f t="array" ref="P69">INDEX(GMWQ!$A$2:$LR$60,MATCH(1,(GMWQ!$LQ$2:$LQ$60=P$3)*(GMWQ!$LP$2:$LP$60=P$4)*(GMWQ!$LR$2:$LR$60=P$1),0),$B69-1966)</f>
        <v>86563</v>
      </c>
      <c r="Q69" s="7" cm="1">
        <f t="array" ref="Q69">INDEX(GMWQ!$A$2:$LR$60,MATCH(1,(GMWQ!$LQ$2:$LQ$60=Q$3)*(GMWQ!$LP$2:$LP$60=Q$4)*(GMWQ!$LR$2:$LR$60=Q$1),0),$B69-1966)</f>
        <v>11.54</v>
      </c>
      <c r="R69" s="7" cm="1">
        <f t="array" ref="R69">INDEX(GMWQ!$A$2:$LR$60,MATCH(1,(GMWQ!$LQ$2:$LQ$60=R$3)*(GMWQ!$LP$2:$LP$60=R$4)*(GMWQ!$LR$2:$LR$60=R$1),0),$B69-1966)</f>
        <v>1E-3</v>
      </c>
      <c r="S69" s="7" cm="1">
        <f t="array" ref="S69">INDEX(GMWQ!$A$2:$LR$60,MATCH(1,(GMWQ!$LQ$2:$LQ$60=S$3)*(GMWQ!$LP$2:$LP$60=S$4)*(GMWQ!$LR$2:$LR$60=S$1),0),$B69-1966)</f>
        <v>583</v>
      </c>
      <c r="T69" s="7" cm="1">
        <f t="array" ref="T69">INDEX(GMWQ!$A$2:$LR$60,MATCH(1,(GMWQ!$LQ$2:$LQ$60=T$3)*(GMWQ!$LP$2:$LP$60=T$4)*(GMWQ!$LR$2:$LR$60=T$1),0),$B69-1966)</f>
        <v>1E-3</v>
      </c>
      <c r="U69" s="7" cm="1">
        <f t="array" ref="U69">INDEX(GMWQ!$A$2:$LR$60,MATCH(1,(GMWQ!$LQ$2:$LQ$60=U$3)*(GMWQ!$LP$2:$LP$60=U$4)*(GMWQ!$LR$2:$LR$60=U$1),0),$B69-1966)</f>
        <v>8771.3709999999992</v>
      </c>
      <c r="V69" s="7" cm="1">
        <f t="array" ref="V69">INDEX(GMWQ!$A$2:$LR$60,MATCH(1,(GMWQ!$LQ$2:$LQ$60=V$3)*(GMWQ!$LP$2:$LP$60=V$4)*(GMWQ!$LR$2:$LR$60=V$1),0),$B69-1966)</f>
        <v>1E-3</v>
      </c>
      <c r="W69" s="7" cm="1">
        <f t="array" ref="W69">INDEX(GMWQ!$A$2:$LR$60,MATCH(1,(GMWQ!$LQ$2:$LQ$60=W$3)*(GMWQ!$LP$2:$LP$60=W$4)*(GMWQ!$LR$2:$LR$60=W$1),0),$B69-1966)</f>
        <v>11.284269999999999</v>
      </c>
      <c r="X69" s="7" cm="1">
        <f t="array" ref="X69">INDEX(GMWQ!$A$2:$LR$60,MATCH(1,(GMWQ!$LQ$2:$LQ$60=X$3)*(GMWQ!$LP$2:$LP$60=X$4)*(GMWQ!$LR$2:$LR$60=X$1),0),$B69-1966)</f>
        <v>1038479</v>
      </c>
      <c r="Y69" s="7" cm="1">
        <f t="array" ref="Y69">INDEX(GMWQ!$A$2:$LR$60,MATCH(1,(GMWQ!$LQ$2:$LQ$60=Y$3)*(GMWQ!$LP$2:$LP$60=Y$4)*(GMWQ!$LR$2:$LR$60=Y$1),0),$B69-1966)</f>
        <v>45.552689999999998</v>
      </c>
      <c r="Z69" s="7" cm="1">
        <f t="array" ref="Z69">INDEX(GMWQ!$A$2:$LR$60,MATCH(1,(GMWQ!$LQ$2:$LQ$60=Z$3)*(GMWQ!$LP$2:$LP$60=Z$4)*(GMWQ!$LR$2:$LR$60=Z$1),0),$B69-1966)</f>
        <v>295165.7</v>
      </c>
      <c r="AA69" s="7" cm="1">
        <f t="array" ref="AA69">INDEX(GMWQ!$A$2:$LR$60,MATCH(1,(GMWQ!$LQ$2:$LQ$60=AA$3)*(GMWQ!$LP$2:$LP$60=AA$4)*(GMWQ!$LR$2:$LR$60=AA$1),0),$B69-1966)</f>
        <v>48508</v>
      </c>
      <c r="AB69" s="7" cm="1">
        <f t="array" ref="AB69">INDEX(GMWQ!$A$2:$LR$60,MATCH(1,(GMWQ!$LQ$2:$LQ$60=AB$3)*(GMWQ!$LP$2:$LP$60=AB$4)*(GMWQ!$LR$2:$LR$60=AB$1),0),$B69-1966)</f>
        <v>42939</v>
      </c>
      <c r="AC69" s="7" cm="1">
        <f t="array" ref="AC69">INDEX(GMWQ!$A$2:$LR$60,MATCH(1,(GMWQ!$LQ$2:$LQ$60=AC$3)*(GMWQ!$LP$2:$LP$60=AC$4)*(GMWQ!$LR$2:$LR$60=AC$1),0),$B69-1966)</f>
        <v>-401</v>
      </c>
      <c r="AD69" s="7" cm="1">
        <f t="array" ref="AD69">INDEX(GMWQ!$A$2:$LR$60,MATCH(1,(GMWQ!$LQ$2:$LQ$60=AD$3)*(GMWQ!$LP$2:$LP$60=AD$4)*(GMWQ!$LR$2:$LR$60=AD$1),0),$B69-1966)</f>
        <v>4875</v>
      </c>
      <c r="AE69" s="7" cm="1">
        <f t="array" ref="AE69">INDEX(GMWQ!$A$2:$LR$60,MATCH(1,(GMWQ!$LQ$2:$LQ$60=AE$3)*(GMWQ!$LP$2:$LP$60=AE$4)*(GMWQ!$LR$2:$LR$60=AE$1),0),$B69-1966)</f>
        <v>140802</v>
      </c>
      <c r="AF69" s="20" cm="1">
        <f t="array" ref="AF69">INDEX(GMWQ!$A$2:$LR$60,MATCH(1,(GMWQ!$LQ$2:$LQ$60=AF$3)*(GMWQ!$LP$2:$LP$60=AF$4)*(GMWQ!$LR$2:$LR$60=AF$1),0),$B69-1966)</f>
        <v>10.920450000000001</v>
      </c>
      <c r="AG69" s="20" cm="1">
        <f t="array" ref="AG69">INDEX(GMWQ!$A$2:$LR$60,MATCH(1,(GMWQ!$LQ$2:$LQ$60=AG$3)*(GMWQ!$LP$2:$LP$60=AG$4)*(GMWQ!$LR$2:$LR$60=AG$1),0),$B69-1966)</f>
        <v>-52</v>
      </c>
      <c r="AI69" s="23" cm="1">
        <f t="array" ref="AI69">INDEX(GMWQ!$A$2:$LR$60,MATCH(1,(GMWQ!$LQ$2:$LQ$60=AI$3)*(GMWQ!$LP$2:$LP$60=AI$4)*(GMWQ!$LR$2:$LR$60=AI$1),0),$B69-1966)</f>
        <v>86563</v>
      </c>
      <c r="AJ69" s="23" cm="1">
        <f t="array" ref="AJ69">INDEX(GMWQ!$A$2:$LR$60,MATCH(1,(GMWQ!$LQ$2:$LQ$60=AJ$3)*(GMWQ!$LP$2:$LP$60=AJ$4)*(GMWQ!$LR$2:$LR$60=AJ$1),0),$B69-1966)</f>
        <v>49.580060000000003</v>
      </c>
      <c r="AK69" s="23" cm="1">
        <f t="array" ref="AK69">INDEX(GMWQ!$A$2:$LR$60,MATCH(1,(GMWQ!$LQ$2:$LQ$60=AK$3)*(GMWQ!$LP$2:$LP$60=AK$4)*(GMWQ!$LR$2:$LR$60=AK$1),0),$B69-1966)</f>
        <v>56587</v>
      </c>
      <c r="AL69" s="23" cm="1">
        <f t="array" ref="AL69">INDEX(GMWQ!$A$2:$LR$60,MATCH(1,(GMWQ!$LQ$2:$LQ$60=AL$3)*(GMWQ!$LP$2:$LP$60=AL$4)*(GMWQ!$LR$2:$LR$60=AL$1),0),$B69-1966)</f>
        <v>2569.6179999999999</v>
      </c>
      <c r="AM69" s="23" cm="1">
        <f t="array" ref="AM69">INDEX(GMWQ!$A$2:$LR$60,MATCH(1,(GMWQ!$LQ$2:$LQ$60=AM$3)*(GMWQ!$LP$2:$LP$60=AM$4)*(GMWQ!$LR$2:$LR$60=AM$1),0),$B69-1966)</f>
        <v>22021.56</v>
      </c>
      <c r="AN69" s="23" cm="1">
        <f t="array" ref="AN69">INDEX(GMWQ!$A$2:$LR$60,MATCH(1,(GMWQ!$LQ$2:$LQ$60=AN$3)*(GMWQ!$LP$2:$LP$60=AN$4)*(GMWQ!$LR$2:$LR$60=AN$1),0),$B69-1966)</f>
        <v>12054</v>
      </c>
      <c r="AO69" s="23" cm="1">
        <f t="array" ref="AO69">INDEX(GMWQ!$A$2:$LR$60,MATCH(1,(GMWQ!$LQ$2:$LQ$60=AO$3)*(GMWQ!$LP$2:$LP$60=AO$4)*(GMWQ!$LR$2:$LR$60=AO$1),0),$B69-1966)</f>
        <v>4056</v>
      </c>
      <c r="AP69" s="23" cm="1">
        <f t="array" ref="AP69">INDEX(GMWQ!$A$2:$LR$60,MATCH(1,(GMWQ!$LQ$2:$LQ$60=AP$3)*(GMWQ!$LP$2:$LP$60=AP$4)*(GMWQ!$LR$2:$LR$60=AP$1),0),$B69-1966)</f>
        <v>-52</v>
      </c>
      <c r="AQ69" s="23" cm="1">
        <f t="array" ref="AQ69">INDEX(GMWQ!$A$2:$LR$60,MATCH(1,(GMWQ!$LQ$2:$LQ$60=AQ$3)*(GMWQ!$LP$2:$LP$60=AQ$4)*(GMWQ!$LR$2:$LR$60=AQ$1),0),$B69-1966)</f>
        <v>13416</v>
      </c>
      <c r="AR69" s="23" cm="1">
        <f t="array" ref="AR69">INDEX(GMWQ!$A$2:$LR$60,MATCH(1,(GMWQ!$LQ$2:$LQ$60=AR$3)*(GMWQ!$LP$2:$LP$60=AR$4)*(GMWQ!$LR$2:$LR$60=AR$1),0),$B69-1966)</f>
        <v>86186</v>
      </c>
      <c r="AS69" s="23" cm="1">
        <f t="array" ref="AS69">INDEX(GMWQ!$A$2:$LR$60,MATCH(1,(GMWQ!$LQ$2:$LQ$60=AS$3)*(GMWQ!$LP$2:$LP$60=AS$4)*(GMWQ!$LR$2:$LR$60=AS$1),0),$B69-1966)</f>
        <v>1611</v>
      </c>
      <c r="AT69" s="23" cm="1">
        <f t="array" ref="AT69">INDEX(GMWQ!$A$2:$LR$60,MATCH(1,(GMWQ!$LQ$2:$LQ$60=AT$3)*(GMWQ!$LP$2:$LP$60=AT$4)*(GMWQ!$LR$2:$LR$60=AT$1),0),$B69-1966)</f>
        <v>173832</v>
      </c>
      <c r="AU69" s="23" cm="1">
        <f t="array" ref="AU69">INDEX(GMWQ!$A$2:$LR$60,MATCH(1,(GMWQ!$LQ$2:$LQ$60=AU$3)*(GMWQ!$LP$2:$LP$60=AU$4)*(GMWQ!$LR$2:$LR$60=AU$1),0),$B69-1966)</f>
        <v>5246</v>
      </c>
    </row>
    <row r="70" spans="1:47" x14ac:dyDescent="0.35">
      <c r="B70" s="7">
        <f t="shared" si="2"/>
        <v>2036</v>
      </c>
      <c r="C70" s="7" cm="1">
        <f t="array" ref="C70">INDEX(GMWQ!$A$2:$LR$60,MATCH(1,(GMWQ!$LQ$2:$LQ$60=C$3)*(GMWQ!$LP$2:$LP$60=C$4)*(GMWQ!$LR$2:$LR$60=C$1),0),$B70-1966)</f>
        <v>311574</v>
      </c>
      <c r="D70" s="7" cm="1">
        <f t="array" ref="D70">INDEX(GMWQ!$A$2:$LR$60,MATCH(1,(GMWQ!$LQ$2:$LQ$60=D$3)*(GMWQ!$LP$2:$LP$60=D$4)*(GMWQ!$LR$2:$LR$60=D$1),0),$B70-1966)</f>
        <v>148.042</v>
      </c>
      <c r="E70" s="7" cm="1">
        <f t="array" ref="E70">INDEX(GMWQ!$A$2:$LR$60,MATCH(1,(GMWQ!$LQ$2:$LQ$60=E$3)*(GMWQ!$LP$2:$LP$60=E$4)*(GMWQ!$LR$2:$LR$60=E$1),0),$B70-1966)</f>
        <v>50.466670000000001</v>
      </c>
      <c r="F70" s="7" cm="1">
        <f t="array" ref="F70">INDEX(GMWQ!$A$2:$LR$60,MATCH(1,(GMWQ!$LQ$2:$LQ$60=F$3)*(GMWQ!$LP$2:$LP$60=F$4)*(GMWQ!$LR$2:$LR$60=F$1),0),$B70-1966)</f>
        <v>58368</v>
      </c>
      <c r="G70" s="7" cm="1">
        <f t="array" ref="G70">INDEX(GMWQ!$A$2:$LR$60,MATCH(1,(GMWQ!$LQ$2:$LQ$60=G$3)*(GMWQ!$LP$2:$LP$60=G$4)*(GMWQ!$LR$2:$LR$60=G$1),0),$B70-1966)</f>
        <v>12597</v>
      </c>
      <c r="H70" s="7" cm="1">
        <f t="array" ref="H70">INDEX(GMWQ!$A$2:$LR$60,MATCH(1,(GMWQ!$LQ$2:$LQ$60=H$3)*(GMWQ!$LP$2:$LP$60=H$4)*(GMWQ!$LR$2:$LR$60=H$1),0),$B70-1966)</f>
        <v>4136</v>
      </c>
      <c r="I70" s="7" cm="1">
        <f t="array" ref="I70">INDEX(GMWQ!$A$2:$LR$60,MATCH(1,(GMWQ!$LQ$2:$LQ$60=I$3)*(GMWQ!$LP$2:$LP$60=I$4)*(GMWQ!$LR$2:$LR$60=I$1),0),$B70-1966)</f>
        <v>50.160209999999999</v>
      </c>
      <c r="J70" s="7" cm="1">
        <f t="array" ref="J70">INDEX(GMWQ!$A$2:$LR$60,MATCH(1,(GMWQ!$LQ$2:$LQ$60=J$3)*(GMWQ!$LP$2:$LP$60=J$4)*(GMWQ!$LR$2:$LR$60=J$1),0),$B70-1966)</f>
        <v>22095.37</v>
      </c>
      <c r="K70" s="7" cm="1">
        <f t="array" ref="K70">INDEX(GMWQ!$A$2:$LR$60,MATCH(1,(GMWQ!$LQ$2:$LQ$60=K$3)*(GMWQ!$LP$2:$LP$60=K$4)*(GMWQ!$LR$2:$LR$60=K$1),0),$B70-1966)</f>
        <v>12.875</v>
      </c>
      <c r="L70" s="7" cm="1">
        <f t="array" ref="L70">INDEX(GMWQ!$A$2:$LR$60,MATCH(1,(GMWQ!$LQ$2:$LQ$60=L$3)*(GMWQ!$LP$2:$LP$60=L$4)*(GMWQ!$LR$2:$LR$60=L$1),0),$B70-1966)</f>
        <v>8</v>
      </c>
      <c r="M70" s="7" cm="1">
        <f t="array" ref="M70">INDEX(GMWQ!$A$2:$LR$60,MATCH(1,(GMWQ!$LQ$2:$LQ$60=M$3)*(GMWQ!$LP$2:$LP$60=M$4)*(GMWQ!$LR$2:$LR$60=M$1),0),$B70-1966)</f>
        <v>29.425149999999999</v>
      </c>
      <c r="N70" s="7" cm="1">
        <f t="array" ref="N70">INDEX(GMWQ!$A$2:$LR$60,MATCH(1,(GMWQ!$LQ$2:$LQ$60=N$3)*(GMWQ!$LP$2:$LP$60=N$4)*(GMWQ!$LR$2:$LR$60=N$1),0),$B70-1966)</f>
        <v>7269</v>
      </c>
      <c r="O70" s="7" cm="1">
        <f t="array" ref="O70">INDEX(GMWQ!$A$2:$LR$60,MATCH(1,(GMWQ!$LQ$2:$LQ$60=O$3)*(GMWQ!$LP$2:$LP$60=O$4)*(GMWQ!$LR$2:$LR$60=O$1),0),$B70-1966)</f>
        <v>7228</v>
      </c>
      <c r="P70" s="7" cm="1">
        <f t="array" ref="P70">INDEX(GMWQ!$A$2:$LR$60,MATCH(1,(GMWQ!$LQ$2:$LQ$60=P$3)*(GMWQ!$LP$2:$LP$60=P$4)*(GMWQ!$LR$2:$LR$60=P$1),0),$B70-1966)</f>
        <v>88240</v>
      </c>
      <c r="Q70" s="7" cm="1">
        <f t="array" ref="Q70">INDEX(GMWQ!$A$2:$LR$60,MATCH(1,(GMWQ!$LQ$2:$LQ$60=Q$3)*(GMWQ!$LP$2:$LP$60=Q$4)*(GMWQ!$LR$2:$LR$60=Q$1),0),$B70-1966)</f>
        <v>12.75</v>
      </c>
      <c r="R70" s="7" cm="1">
        <f t="array" ref="R70">INDEX(GMWQ!$A$2:$LR$60,MATCH(1,(GMWQ!$LQ$2:$LQ$60=R$3)*(GMWQ!$LP$2:$LP$60=R$4)*(GMWQ!$LR$2:$LR$60=R$1),0),$B70-1966)</f>
        <v>1E-3</v>
      </c>
      <c r="S70" s="7" cm="1">
        <f t="array" ref="S70">INDEX(GMWQ!$A$2:$LR$60,MATCH(1,(GMWQ!$LQ$2:$LQ$60=S$3)*(GMWQ!$LP$2:$LP$60=S$4)*(GMWQ!$LR$2:$LR$60=S$1),0),$B70-1966)</f>
        <v>505</v>
      </c>
      <c r="T70" s="7" cm="1">
        <f t="array" ref="T70">INDEX(GMWQ!$A$2:$LR$60,MATCH(1,(GMWQ!$LQ$2:$LQ$60=T$3)*(GMWQ!$LP$2:$LP$60=T$4)*(GMWQ!$LR$2:$LR$60=T$1),0),$B70-1966)</f>
        <v>1E-3</v>
      </c>
      <c r="U70" s="7" cm="1">
        <f t="array" ref="U70">INDEX(GMWQ!$A$2:$LR$60,MATCH(1,(GMWQ!$LQ$2:$LQ$60=U$3)*(GMWQ!$LP$2:$LP$60=U$4)*(GMWQ!$LR$2:$LR$60=U$1),0),$B70-1966)</f>
        <v>6786.4930000000004</v>
      </c>
      <c r="V70" s="7" cm="1">
        <f t="array" ref="V70">INDEX(GMWQ!$A$2:$LR$60,MATCH(1,(GMWQ!$LQ$2:$LQ$60=V$3)*(GMWQ!$LP$2:$LP$60=V$4)*(GMWQ!$LR$2:$LR$60=V$1),0),$B70-1966)</f>
        <v>1E-3</v>
      </c>
      <c r="W70" s="7" cm="1">
        <f t="array" ref="W70">INDEX(GMWQ!$A$2:$LR$60,MATCH(1,(GMWQ!$LQ$2:$LQ$60=W$3)*(GMWQ!$LP$2:$LP$60=W$4)*(GMWQ!$LR$2:$LR$60=W$1),0),$B70-1966)</f>
        <v>12.579040000000001</v>
      </c>
      <c r="X70" s="7" cm="1">
        <f t="array" ref="X70">INDEX(GMWQ!$A$2:$LR$60,MATCH(1,(GMWQ!$LQ$2:$LQ$60=X$3)*(GMWQ!$LP$2:$LP$60=X$4)*(GMWQ!$LR$2:$LR$60=X$1),0),$B70-1966)</f>
        <v>1065414</v>
      </c>
      <c r="Y70" s="7" cm="1">
        <f t="array" ref="Y70">INDEX(GMWQ!$A$2:$LR$60,MATCH(1,(GMWQ!$LQ$2:$LQ$60=Y$3)*(GMWQ!$LP$2:$LP$60=Y$4)*(GMWQ!$LR$2:$LR$60=Y$1),0),$B70-1966)</f>
        <v>46.527949999999997</v>
      </c>
      <c r="Z70" s="7" cm="1">
        <f t="array" ref="Z70">INDEX(GMWQ!$A$2:$LR$60,MATCH(1,(GMWQ!$LQ$2:$LQ$60=Z$3)*(GMWQ!$LP$2:$LP$60=Z$4)*(GMWQ!$LR$2:$LR$60=Z$1),0),$B70-1966)</f>
        <v>297934.09999999998</v>
      </c>
      <c r="AA70" s="7" cm="1">
        <f t="array" ref="AA70">INDEX(GMWQ!$A$2:$LR$60,MATCH(1,(GMWQ!$LQ$2:$LQ$60=AA$3)*(GMWQ!$LP$2:$LP$60=AA$4)*(GMWQ!$LR$2:$LR$60=AA$1),0),$B70-1966)</f>
        <v>53051</v>
      </c>
      <c r="AB70" s="7" cm="1">
        <f t="array" ref="AB70">INDEX(GMWQ!$A$2:$LR$60,MATCH(1,(GMWQ!$LQ$2:$LQ$60=AB$3)*(GMWQ!$LP$2:$LP$60=AB$4)*(GMWQ!$LR$2:$LR$60=AB$1),0),$B70-1966)</f>
        <v>45986</v>
      </c>
      <c r="AC70" s="7" cm="1">
        <f t="array" ref="AC70">INDEX(GMWQ!$A$2:$LR$60,MATCH(1,(GMWQ!$LQ$2:$LQ$60=AC$3)*(GMWQ!$LP$2:$LP$60=AC$4)*(GMWQ!$LR$2:$LR$60=AC$1),0),$B70-1966)</f>
        <v>-672</v>
      </c>
      <c r="AD70" s="7" cm="1">
        <f t="array" ref="AD70">INDEX(GMWQ!$A$2:$LR$60,MATCH(1,(GMWQ!$LQ$2:$LQ$60=AD$3)*(GMWQ!$LP$2:$LP$60=AD$4)*(GMWQ!$LR$2:$LR$60=AD$1),0),$B70-1966)</f>
        <v>5007</v>
      </c>
      <c r="AE70" s="7" cm="1">
        <f t="array" ref="AE70">INDEX(GMWQ!$A$2:$LR$60,MATCH(1,(GMWQ!$LQ$2:$LQ$60=AE$3)*(GMWQ!$LP$2:$LP$60=AE$4)*(GMWQ!$LR$2:$LR$60=AE$1),0),$B70-1966)</f>
        <v>144969</v>
      </c>
      <c r="AF70" s="20" cm="1">
        <f t="array" ref="AF70">INDEX(GMWQ!$A$2:$LR$60,MATCH(1,(GMWQ!$LQ$2:$LQ$60=AF$3)*(GMWQ!$LP$2:$LP$60=AF$4)*(GMWQ!$LR$2:$LR$60=AF$1),0),$B70-1966)</f>
        <v>12.275</v>
      </c>
      <c r="AG70" s="20" cm="1">
        <f t="array" ref="AG70">INDEX(GMWQ!$A$2:$LR$60,MATCH(1,(GMWQ!$LQ$2:$LQ$60=AG$3)*(GMWQ!$LP$2:$LP$60=AG$4)*(GMWQ!$LR$2:$LR$60=AG$1),0),$B70-1966)</f>
        <v>-41</v>
      </c>
      <c r="AI70" s="23" cm="1">
        <f t="array" ref="AI70">INDEX(GMWQ!$A$2:$LR$60,MATCH(1,(GMWQ!$LQ$2:$LQ$60=AI$3)*(GMWQ!$LP$2:$LP$60=AI$4)*(GMWQ!$LR$2:$LR$60=AI$1),0),$B70-1966)</f>
        <v>88240</v>
      </c>
      <c r="AJ70" s="23" cm="1">
        <f t="array" ref="AJ70">INDEX(GMWQ!$A$2:$LR$60,MATCH(1,(GMWQ!$LQ$2:$LQ$60=AJ$3)*(GMWQ!$LP$2:$LP$60=AJ$4)*(GMWQ!$LR$2:$LR$60=AJ$1),0),$B70-1966)</f>
        <v>50.160209999999999</v>
      </c>
      <c r="AK70" s="23" cm="1">
        <f t="array" ref="AK70">INDEX(GMWQ!$A$2:$LR$60,MATCH(1,(GMWQ!$LQ$2:$LQ$60=AK$3)*(GMWQ!$LP$2:$LP$60=AK$4)*(GMWQ!$LR$2:$LR$60=AK$1),0),$B70-1966)</f>
        <v>58368</v>
      </c>
      <c r="AL70" s="23" cm="1">
        <f t="array" ref="AL70">INDEX(GMWQ!$A$2:$LR$60,MATCH(1,(GMWQ!$LQ$2:$LQ$60=AL$3)*(GMWQ!$LP$2:$LP$60=AL$4)*(GMWQ!$LR$2:$LR$60=AL$1),0),$B70-1966)</f>
        <v>2641.6390000000001</v>
      </c>
      <c r="AM70" s="23" cm="1">
        <f t="array" ref="AM70">INDEX(GMWQ!$A$2:$LR$60,MATCH(1,(GMWQ!$LQ$2:$LQ$60=AM$3)*(GMWQ!$LP$2:$LP$60=AM$4)*(GMWQ!$LR$2:$LR$60=AM$1),0),$B70-1966)</f>
        <v>22095.37</v>
      </c>
      <c r="AN70" s="23" cm="1">
        <f t="array" ref="AN70">INDEX(GMWQ!$A$2:$LR$60,MATCH(1,(GMWQ!$LQ$2:$LQ$60=AN$3)*(GMWQ!$LP$2:$LP$60=AN$4)*(GMWQ!$LR$2:$LR$60=AN$1),0),$B70-1966)</f>
        <v>12597</v>
      </c>
      <c r="AO70" s="23" cm="1">
        <f t="array" ref="AO70">INDEX(GMWQ!$A$2:$LR$60,MATCH(1,(GMWQ!$LQ$2:$LQ$60=AO$3)*(GMWQ!$LP$2:$LP$60=AO$4)*(GMWQ!$LR$2:$LR$60=AO$1),0),$B70-1966)</f>
        <v>4136</v>
      </c>
      <c r="AP70" s="23" cm="1">
        <f t="array" ref="AP70">INDEX(GMWQ!$A$2:$LR$60,MATCH(1,(GMWQ!$LQ$2:$LQ$60=AP$3)*(GMWQ!$LP$2:$LP$60=AP$4)*(GMWQ!$LR$2:$LR$60=AP$1),0),$B70-1966)</f>
        <v>-41</v>
      </c>
      <c r="AQ70" s="23" cm="1">
        <f t="array" ref="AQ70">INDEX(GMWQ!$A$2:$LR$60,MATCH(1,(GMWQ!$LQ$2:$LQ$60=AQ$3)*(GMWQ!$LP$2:$LP$60=AQ$4)*(GMWQ!$LR$2:$LR$60=AQ$1),0),$B70-1966)</f>
        <v>13436</v>
      </c>
      <c r="AR70" s="23" cm="1">
        <f t="array" ref="AR70">INDEX(GMWQ!$A$2:$LR$60,MATCH(1,(GMWQ!$LQ$2:$LQ$60=AR$3)*(GMWQ!$LP$2:$LP$60=AR$4)*(GMWQ!$LR$2:$LR$60=AR$1),0),$B70-1966)</f>
        <v>87978</v>
      </c>
      <c r="AS70" s="23" cm="1">
        <f t="array" ref="AS70">INDEX(GMWQ!$A$2:$LR$60,MATCH(1,(GMWQ!$LQ$2:$LQ$60=AS$3)*(GMWQ!$LP$2:$LP$60=AS$4)*(GMWQ!$LR$2:$LR$60=AS$1),0),$B70-1966)</f>
        <v>1634</v>
      </c>
      <c r="AT70" s="23" cm="1">
        <f t="array" ref="AT70">INDEX(GMWQ!$A$2:$LR$60,MATCH(1,(GMWQ!$LQ$2:$LQ$60=AT$3)*(GMWQ!$LP$2:$LP$60=AT$4)*(GMWQ!$LR$2:$LR$60=AT$1),0),$B70-1966)</f>
        <v>175394</v>
      </c>
      <c r="AU70" s="23" cm="1">
        <f t="array" ref="AU70">INDEX(GMWQ!$A$2:$LR$60,MATCH(1,(GMWQ!$LQ$2:$LQ$60=AU$3)*(GMWQ!$LP$2:$LP$60=AU$4)*(GMWQ!$LR$2:$LR$60=AU$1),0),$B70-1966)</f>
        <v>5321</v>
      </c>
    </row>
    <row r="71" spans="1:47" x14ac:dyDescent="0.35">
      <c r="A71" s="7">
        <v>1989</v>
      </c>
      <c r="B71" s="7">
        <f t="shared" si="2"/>
        <v>2037</v>
      </c>
      <c r="C71" s="7" cm="1">
        <f t="array" ref="C71">INDEX(GMWQ!$A$2:$LR$60,MATCH(1,(GMWQ!$LQ$2:$LQ$60=C$3)*(GMWQ!$LP$2:$LP$60=C$4)*(GMWQ!$LR$2:$LR$60=C$1),0),$B71-1966)</f>
        <v>313083</v>
      </c>
      <c r="D71" s="7" cm="1">
        <f t="array" ref="D71">INDEX(GMWQ!$A$2:$LR$60,MATCH(1,(GMWQ!$LQ$2:$LQ$60=D$3)*(GMWQ!$LP$2:$LP$60=D$4)*(GMWQ!$LR$2:$LR$60=D$1),0),$B71-1966)</f>
        <v>150.62790000000001</v>
      </c>
      <c r="E71" s="7" cm="1">
        <f t="array" ref="E71">INDEX(GMWQ!$A$2:$LR$60,MATCH(1,(GMWQ!$LQ$2:$LQ$60=E$3)*(GMWQ!$LP$2:$LP$60=E$4)*(GMWQ!$LR$2:$LR$60=E$1),0),$B71-1966)</f>
        <v>51</v>
      </c>
      <c r="F71" s="7" cm="1">
        <f t="array" ref="F71">INDEX(GMWQ!$A$2:$LR$60,MATCH(1,(GMWQ!$LQ$2:$LQ$60=F$3)*(GMWQ!$LP$2:$LP$60=F$4)*(GMWQ!$LR$2:$LR$60=F$1),0),$B71-1966)</f>
        <v>59745</v>
      </c>
      <c r="G71" s="7" cm="1">
        <f t="array" ref="G71">INDEX(GMWQ!$A$2:$LR$60,MATCH(1,(GMWQ!$LQ$2:$LQ$60=G$3)*(GMWQ!$LP$2:$LP$60=G$4)*(GMWQ!$LR$2:$LR$60=G$1),0),$B71-1966)</f>
        <v>12242</v>
      </c>
      <c r="H71" s="7" cm="1">
        <f t="array" ref="H71">INDEX(GMWQ!$A$2:$LR$60,MATCH(1,(GMWQ!$LQ$2:$LQ$60=H$3)*(GMWQ!$LP$2:$LP$60=H$4)*(GMWQ!$LR$2:$LR$60=H$1),0),$B71-1966)</f>
        <v>4140</v>
      </c>
      <c r="I71" s="7" cm="1">
        <f t="array" ref="I71">INDEX(GMWQ!$A$2:$LR$60,MATCH(1,(GMWQ!$LQ$2:$LQ$60=I$3)*(GMWQ!$LP$2:$LP$60=I$4)*(GMWQ!$LR$2:$LR$60=I$1),0),$B71-1966)</f>
        <v>50.730069999999998</v>
      </c>
      <c r="J71" s="7" cm="1">
        <f t="array" ref="J71">INDEX(GMWQ!$A$2:$LR$60,MATCH(1,(GMWQ!$LQ$2:$LQ$60=J$3)*(GMWQ!$LP$2:$LP$60=J$4)*(GMWQ!$LR$2:$LR$60=J$1),0),$B71-1966)</f>
        <v>22255.59</v>
      </c>
      <c r="K71" s="7" cm="1">
        <f t="array" ref="K71">INDEX(GMWQ!$A$2:$LR$60,MATCH(1,(GMWQ!$LQ$2:$LQ$60=K$3)*(GMWQ!$LP$2:$LP$60=K$4)*(GMWQ!$LR$2:$LR$60=K$1),0),$B71-1966)</f>
        <v>12.875</v>
      </c>
      <c r="L71" s="7" cm="1">
        <f t="array" ref="L71">INDEX(GMWQ!$A$2:$LR$60,MATCH(1,(GMWQ!$LQ$2:$LQ$60=L$3)*(GMWQ!$LP$2:$LP$60=L$4)*(GMWQ!$LR$2:$LR$60=L$1),0),$B71-1966)</f>
        <v>7.6</v>
      </c>
      <c r="M71" s="7" cm="1">
        <f t="array" ref="M71">INDEX(GMWQ!$A$2:$LR$60,MATCH(1,(GMWQ!$LQ$2:$LQ$60=M$3)*(GMWQ!$LP$2:$LP$60=M$4)*(GMWQ!$LR$2:$LR$60=M$1),0),$B71-1966)</f>
        <v>29.96565</v>
      </c>
      <c r="N71" s="7" cm="1">
        <f t="array" ref="N71">INDEX(GMWQ!$A$2:$LR$60,MATCH(1,(GMWQ!$LQ$2:$LQ$60=N$3)*(GMWQ!$LP$2:$LP$60=N$4)*(GMWQ!$LR$2:$LR$60=N$1),0),$B71-1966)</f>
        <v>8124</v>
      </c>
      <c r="O71" s="7" cm="1">
        <f t="array" ref="O71">INDEX(GMWQ!$A$2:$LR$60,MATCH(1,(GMWQ!$LQ$2:$LQ$60=O$3)*(GMWQ!$LP$2:$LP$60=O$4)*(GMWQ!$LR$2:$LR$60=O$1),0),$B71-1966)</f>
        <v>7786</v>
      </c>
      <c r="P71" s="7" cm="1">
        <f t="array" ref="P71">INDEX(GMWQ!$A$2:$LR$60,MATCH(1,(GMWQ!$LQ$2:$LQ$60=P$3)*(GMWQ!$LP$2:$LP$60=P$4)*(GMWQ!$LR$2:$LR$60=P$1),0),$B71-1966)</f>
        <v>90548</v>
      </c>
      <c r="Q71" s="7" cm="1">
        <f t="array" ref="Q71">INDEX(GMWQ!$A$2:$LR$60,MATCH(1,(GMWQ!$LQ$2:$LQ$60=Q$3)*(GMWQ!$LP$2:$LP$60=Q$4)*(GMWQ!$LR$2:$LR$60=Q$1),0),$B71-1966)</f>
        <v>13.46</v>
      </c>
      <c r="R71" s="7" cm="1">
        <f t="array" ref="R71">INDEX(GMWQ!$A$2:$LR$60,MATCH(1,(GMWQ!$LQ$2:$LQ$60=R$3)*(GMWQ!$LP$2:$LP$60=R$4)*(GMWQ!$LR$2:$LR$60=R$1),0),$B71-1966)</f>
        <v>1E-3</v>
      </c>
      <c r="S71" s="7" cm="1">
        <f t="array" ref="S71">INDEX(GMWQ!$A$2:$LR$60,MATCH(1,(GMWQ!$LQ$2:$LQ$60=S$3)*(GMWQ!$LP$2:$LP$60=S$4)*(GMWQ!$LR$2:$LR$60=S$1),0),$B71-1966)</f>
        <v>440</v>
      </c>
      <c r="T71" s="7" cm="1">
        <f t="array" ref="T71">INDEX(GMWQ!$A$2:$LR$60,MATCH(1,(GMWQ!$LQ$2:$LQ$60=T$3)*(GMWQ!$LP$2:$LP$60=T$4)*(GMWQ!$LR$2:$LR$60=T$1),0),$B71-1966)</f>
        <v>1E-3</v>
      </c>
      <c r="U71" s="7" cm="1">
        <f t="array" ref="U71">INDEX(GMWQ!$A$2:$LR$60,MATCH(1,(GMWQ!$LQ$2:$LQ$60=U$3)*(GMWQ!$LP$2:$LP$60=U$4)*(GMWQ!$LR$2:$LR$60=U$1),0),$B71-1966)</f>
        <v>6650.4830000000002</v>
      </c>
      <c r="V71" s="7" cm="1">
        <f t="array" ref="V71">INDEX(GMWQ!$A$2:$LR$60,MATCH(1,(GMWQ!$LQ$2:$LQ$60=V$3)*(GMWQ!$LP$2:$LP$60=V$4)*(GMWQ!$LR$2:$LR$60=V$1),0),$B71-1966)</f>
        <v>1E-3</v>
      </c>
      <c r="W71" s="7" cm="1">
        <f t="array" ref="W71">INDEX(GMWQ!$A$2:$LR$60,MATCH(1,(GMWQ!$LQ$2:$LQ$60=W$3)*(GMWQ!$LP$2:$LP$60=W$4)*(GMWQ!$LR$2:$LR$60=W$1),0),$B71-1966)</f>
        <v>12.94354</v>
      </c>
      <c r="X71" s="7" cm="1">
        <f t="array" ref="X71">INDEX(GMWQ!$A$2:$LR$60,MATCH(1,(GMWQ!$LQ$2:$LQ$60=X$3)*(GMWQ!$LP$2:$LP$60=X$4)*(GMWQ!$LR$2:$LR$60=X$1),0),$B71-1966)</f>
        <v>1082342</v>
      </c>
      <c r="Y71" s="7" cm="1">
        <f t="array" ref="Y71">INDEX(GMWQ!$A$2:$LR$60,MATCH(1,(GMWQ!$LQ$2:$LQ$60=Y$3)*(GMWQ!$LP$2:$LP$60=Y$4)*(GMWQ!$LR$2:$LR$60=Y$1),0),$B71-1966)</f>
        <v>47.470799999999997</v>
      </c>
      <c r="Z71" s="7" cm="1">
        <f t="array" ref="Z71">INDEX(GMWQ!$A$2:$LR$60,MATCH(1,(GMWQ!$LQ$2:$LQ$60=Z$3)*(GMWQ!$LP$2:$LP$60=Z$4)*(GMWQ!$LR$2:$LR$60=Z$1),0),$B71-1966)</f>
        <v>300970</v>
      </c>
      <c r="AA71" s="7" cm="1">
        <f t="array" ref="AA71">INDEX(GMWQ!$A$2:$LR$60,MATCH(1,(GMWQ!$LQ$2:$LQ$60=AA$3)*(GMWQ!$LP$2:$LP$60=AA$4)*(GMWQ!$LR$2:$LR$60=AA$1),0),$B71-1966)</f>
        <v>56240</v>
      </c>
      <c r="AB71" s="7" cm="1">
        <f t="array" ref="AB71">INDEX(GMWQ!$A$2:$LR$60,MATCH(1,(GMWQ!$LQ$2:$LQ$60=AB$3)*(GMWQ!$LP$2:$LP$60=AB$4)*(GMWQ!$LR$2:$LR$60=AB$1),0),$B71-1966)</f>
        <v>45476</v>
      </c>
      <c r="AC71" s="7" cm="1">
        <f t="array" ref="AC71">INDEX(GMWQ!$A$2:$LR$60,MATCH(1,(GMWQ!$LQ$2:$LQ$60=AC$3)*(GMWQ!$LP$2:$LP$60=AC$4)*(GMWQ!$LR$2:$LR$60=AC$1),0),$B71-1966)</f>
        <v>2230</v>
      </c>
      <c r="AD71" s="7" cm="1">
        <f t="array" ref="AD71">INDEX(GMWQ!$A$2:$LR$60,MATCH(1,(GMWQ!$LQ$2:$LQ$60=AD$3)*(GMWQ!$LP$2:$LP$60=AD$4)*(GMWQ!$LR$2:$LR$60=AD$1),0),$B71-1966)</f>
        <v>5136</v>
      </c>
      <c r="AE71" s="7" cm="1">
        <f t="array" ref="AE71">INDEX(GMWQ!$A$2:$LR$60,MATCH(1,(GMWQ!$LQ$2:$LQ$60=AE$3)*(GMWQ!$LP$2:$LP$60=AE$4)*(GMWQ!$LR$2:$LR$60=AE$1),0),$B71-1966)</f>
        <v>148623</v>
      </c>
      <c r="AF71" s="20" cm="1">
        <f t="array" ref="AF71">INDEX(GMWQ!$A$2:$LR$60,MATCH(1,(GMWQ!$LQ$2:$LQ$60=AF$3)*(GMWQ!$LP$2:$LP$60=AF$4)*(GMWQ!$LR$2:$LR$60=AF$1),0),$B71-1966)</f>
        <v>12.875</v>
      </c>
      <c r="AG71" s="20" cm="1">
        <f t="array" ref="AG71">INDEX(GMWQ!$A$2:$LR$60,MATCH(1,(GMWQ!$LQ$2:$LQ$60=AG$3)*(GMWQ!$LP$2:$LP$60=AG$4)*(GMWQ!$LR$2:$LR$60=AG$1),0),$B71-1966)</f>
        <v>-338</v>
      </c>
      <c r="AI71" s="23" cm="1">
        <f t="array" ref="AI71">INDEX(GMWQ!$A$2:$LR$60,MATCH(1,(GMWQ!$LQ$2:$LQ$60=AI$3)*(GMWQ!$LP$2:$LP$60=AI$4)*(GMWQ!$LR$2:$LR$60=AI$1),0),$B71-1966)</f>
        <v>90548</v>
      </c>
      <c r="AJ71" s="23" cm="1">
        <f t="array" ref="AJ71">INDEX(GMWQ!$A$2:$LR$60,MATCH(1,(GMWQ!$LQ$2:$LQ$60=AJ$3)*(GMWQ!$LP$2:$LP$60=AJ$4)*(GMWQ!$LR$2:$LR$60=AJ$1),0),$B71-1966)</f>
        <v>50.730069999999998</v>
      </c>
      <c r="AK71" s="23" cm="1">
        <f t="array" ref="AK71">INDEX(GMWQ!$A$2:$LR$60,MATCH(1,(GMWQ!$LQ$2:$LQ$60=AK$3)*(GMWQ!$LP$2:$LP$60=AK$4)*(GMWQ!$LR$2:$LR$60=AK$1),0),$B71-1966)</f>
        <v>59745</v>
      </c>
      <c r="AL71" s="23" cm="1">
        <f t="array" ref="AL71">INDEX(GMWQ!$A$2:$LR$60,MATCH(1,(GMWQ!$LQ$2:$LQ$60=AL$3)*(GMWQ!$LP$2:$LP$60=AL$4)*(GMWQ!$LR$2:$LR$60=AL$1),0),$B71-1966)</f>
        <v>2684.4940000000001</v>
      </c>
      <c r="AM71" s="23" cm="1">
        <f t="array" ref="AM71">INDEX(GMWQ!$A$2:$LR$60,MATCH(1,(GMWQ!$LQ$2:$LQ$60=AM$3)*(GMWQ!$LP$2:$LP$60=AM$4)*(GMWQ!$LR$2:$LR$60=AM$1),0),$B71-1966)</f>
        <v>22255.59</v>
      </c>
      <c r="AN71" s="23" cm="1">
        <f t="array" ref="AN71">INDEX(GMWQ!$A$2:$LR$60,MATCH(1,(GMWQ!$LQ$2:$LQ$60=AN$3)*(GMWQ!$LP$2:$LP$60=AN$4)*(GMWQ!$LR$2:$LR$60=AN$1),0),$B71-1966)</f>
        <v>12242</v>
      </c>
      <c r="AO71" s="23" cm="1">
        <f t="array" ref="AO71">INDEX(GMWQ!$A$2:$LR$60,MATCH(1,(GMWQ!$LQ$2:$LQ$60=AO$3)*(GMWQ!$LP$2:$LP$60=AO$4)*(GMWQ!$LR$2:$LR$60=AO$1),0),$B71-1966)</f>
        <v>4140</v>
      </c>
      <c r="AP71" s="23" cm="1">
        <f t="array" ref="AP71">INDEX(GMWQ!$A$2:$LR$60,MATCH(1,(GMWQ!$LQ$2:$LQ$60=AP$3)*(GMWQ!$LP$2:$LP$60=AP$4)*(GMWQ!$LR$2:$LR$60=AP$1),0),$B71-1966)</f>
        <v>-338</v>
      </c>
      <c r="AQ71" s="23" cm="1">
        <f t="array" ref="AQ71">INDEX(GMWQ!$A$2:$LR$60,MATCH(1,(GMWQ!$LQ$2:$LQ$60=AQ$3)*(GMWQ!$LP$2:$LP$60=AQ$4)*(GMWQ!$LR$2:$LR$60=AQ$1),0),$B71-1966)</f>
        <v>13277</v>
      </c>
      <c r="AR71" s="23" cm="1">
        <f t="array" ref="AR71">INDEX(GMWQ!$A$2:$LR$60,MATCH(1,(GMWQ!$LQ$2:$LQ$60=AR$3)*(GMWQ!$LP$2:$LP$60=AR$4)*(GMWQ!$LR$2:$LR$60=AR$1),0),$B71-1966)</f>
        <v>89742</v>
      </c>
      <c r="AS71" s="23" cm="1">
        <f t="array" ref="AS71">INDEX(GMWQ!$A$2:$LR$60,MATCH(1,(GMWQ!$LQ$2:$LQ$60=AS$3)*(GMWQ!$LP$2:$LP$60=AS$4)*(GMWQ!$LR$2:$LR$60=AS$1),0),$B71-1966)</f>
        <v>1822</v>
      </c>
      <c r="AT71" s="23" cm="1">
        <f t="array" ref="AT71">INDEX(GMWQ!$A$2:$LR$60,MATCH(1,(GMWQ!$LQ$2:$LQ$60=AT$3)*(GMWQ!$LP$2:$LP$60=AT$4)*(GMWQ!$LR$2:$LR$60=AT$1),0),$B71-1966)</f>
        <v>176901</v>
      </c>
      <c r="AU71" s="23" cm="1">
        <f t="array" ref="AU71">INDEX(GMWQ!$A$2:$LR$60,MATCH(1,(GMWQ!$LQ$2:$LQ$60=AU$3)*(GMWQ!$LP$2:$LP$60=AU$4)*(GMWQ!$LR$2:$LR$60=AU$1),0),$B71-1966)</f>
        <v>5308</v>
      </c>
    </row>
    <row r="72" spans="1:47" x14ac:dyDescent="0.35">
      <c r="B72" s="7">
        <f t="shared" si="2"/>
        <v>2038</v>
      </c>
      <c r="C72" s="7" cm="1">
        <f t="array" ref="C72">INDEX(GMWQ!$A$2:$LR$60,MATCH(1,(GMWQ!$LQ$2:$LQ$60=C$3)*(GMWQ!$LP$2:$LP$60=C$4)*(GMWQ!$LR$2:$LR$60=C$1),0),$B72-1966)</f>
        <v>315039</v>
      </c>
      <c r="D72" s="7" cm="1">
        <f t="array" ref="D72">INDEX(GMWQ!$A$2:$LR$60,MATCH(1,(GMWQ!$LQ$2:$LQ$60=D$3)*(GMWQ!$LP$2:$LP$60=D$4)*(GMWQ!$LR$2:$LR$60=D$1),0),$B72-1966)</f>
        <v>155.5334</v>
      </c>
      <c r="E72" s="7" cm="1">
        <f t="array" ref="E72">INDEX(GMWQ!$A$2:$LR$60,MATCH(1,(GMWQ!$LQ$2:$LQ$60=E$3)*(GMWQ!$LP$2:$LP$60=E$4)*(GMWQ!$LR$2:$LR$60=E$1),0),$B72-1966)</f>
        <v>52.133339999999997</v>
      </c>
      <c r="F72" s="7" cm="1">
        <f t="array" ref="F72">INDEX(GMWQ!$A$2:$LR$60,MATCH(1,(GMWQ!$LQ$2:$LQ$60=F$3)*(GMWQ!$LP$2:$LP$60=F$4)*(GMWQ!$LR$2:$LR$60=F$1),0),$B72-1966)</f>
        <v>61400</v>
      </c>
      <c r="G72" s="7" cm="1">
        <f t="array" ref="G72">INDEX(GMWQ!$A$2:$LR$60,MATCH(1,(GMWQ!$LQ$2:$LQ$60=G$3)*(GMWQ!$LP$2:$LP$60=G$4)*(GMWQ!$LR$2:$LR$60=G$1),0),$B72-1966)</f>
        <v>13062</v>
      </c>
      <c r="H72" s="7" cm="1">
        <f t="array" ref="H72">INDEX(GMWQ!$A$2:$LR$60,MATCH(1,(GMWQ!$LQ$2:$LQ$60=H$3)*(GMWQ!$LP$2:$LP$60=H$4)*(GMWQ!$LR$2:$LR$60=H$1),0),$B72-1966)</f>
        <v>4325</v>
      </c>
      <c r="I72" s="7" cm="1">
        <f t="array" ref="I72">INDEX(GMWQ!$A$2:$LR$60,MATCH(1,(GMWQ!$LQ$2:$LQ$60=I$3)*(GMWQ!$LP$2:$LP$60=I$4)*(GMWQ!$LR$2:$LR$60=I$1),0),$B72-1966)</f>
        <v>51.546840000000003</v>
      </c>
      <c r="J72" s="7" cm="1">
        <f t="array" ref="J72">INDEX(GMWQ!$A$2:$LR$60,MATCH(1,(GMWQ!$LQ$2:$LQ$60=J$3)*(GMWQ!$LP$2:$LP$60=J$4)*(GMWQ!$LR$2:$LR$60=J$1),0),$B72-1966)</f>
        <v>22276.3</v>
      </c>
      <c r="K72" s="7" cm="1">
        <f t="array" ref="K72">INDEX(GMWQ!$A$2:$LR$60,MATCH(1,(GMWQ!$LQ$2:$LQ$60=K$3)*(GMWQ!$LP$2:$LP$60=K$4)*(GMWQ!$LR$2:$LR$60=K$1),0),$B72-1966)</f>
        <v>13.75</v>
      </c>
      <c r="L72" s="7" cm="1">
        <f t="array" ref="L72">INDEX(GMWQ!$A$2:$LR$60,MATCH(1,(GMWQ!$LQ$2:$LQ$60=L$3)*(GMWQ!$LP$2:$LP$60=L$4)*(GMWQ!$LR$2:$LR$60=L$1),0),$B72-1966)</f>
        <v>7.2</v>
      </c>
      <c r="M72" s="7" cm="1">
        <f t="array" ref="M72">INDEX(GMWQ!$A$2:$LR$60,MATCH(1,(GMWQ!$LQ$2:$LQ$60=M$3)*(GMWQ!$LP$2:$LP$60=M$4)*(GMWQ!$LR$2:$LR$60=M$1),0),$B72-1966)</f>
        <v>31.108170000000001</v>
      </c>
      <c r="N72" s="7" cm="1">
        <f t="array" ref="N72">INDEX(GMWQ!$A$2:$LR$60,MATCH(1,(GMWQ!$LQ$2:$LQ$60=N$3)*(GMWQ!$LP$2:$LP$60=N$4)*(GMWQ!$LR$2:$LR$60=N$1),0),$B72-1966)</f>
        <v>9068</v>
      </c>
      <c r="O72" s="7" cm="1">
        <f t="array" ref="O72">INDEX(GMWQ!$A$2:$LR$60,MATCH(1,(GMWQ!$LQ$2:$LQ$60=O$3)*(GMWQ!$LP$2:$LP$60=O$4)*(GMWQ!$LR$2:$LR$60=O$1),0),$B72-1966)</f>
        <v>8510</v>
      </c>
      <c r="P72" s="7" cm="1">
        <f t="array" ref="P72">INDEX(GMWQ!$A$2:$LR$60,MATCH(1,(GMWQ!$LQ$2:$LQ$60=P$3)*(GMWQ!$LP$2:$LP$60=P$4)*(GMWQ!$LR$2:$LR$60=P$1),0),$B72-1966)</f>
        <v>93363</v>
      </c>
      <c r="Q72" s="7" cm="1">
        <f t="array" ref="Q72">INDEX(GMWQ!$A$2:$LR$60,MATCH(1,(GMWQ!$LQ$2:$LQ$60=Q$3)*(GMWQ!$LP$2:$LP$60=Q$4)*(GMWQ!$LR$2:$LR$60=Q$1),0),$B72-1966)</f>
        <v>13.43</v>
      </c>
      <c r="R72" s="7" cm="1">
        <f t="array" ref="R72">INDEX(GMWQ!$A$2:$LR$60,MATCH(1,(GMWQ!$LQ$2:$LQ$60=R$3)*(GMWQ!$LP$2:$LP$60=R$4)*(GMWQ!$LR$2:$LR$60=R$1),0),$B72-1966)</f>
        <v>1E-3</v>
      </c>
      <c r="S72" s="7" cm="1">
        <f t="array" ref="S72">INDEX(GMWQ!$A$2:$LR$60,MATCH(1,(GMWQ!$LQ$2:$LQ$60=S$3)*(GMWQ!$LP$2:$LP$60=S$4)*(GMWQ!$LR$2:$LR$60=S$1),0),$B72-1966)</f>
        <v>410</v>
      </c>
      <c r="T72" s="7" cm="1">
        <f t="array" ref="T72">INDEX(GMWQ!$A$2:$LR$60,MATCH(1,(GMWQ!$LQ$2:$LQ$60=T$3)*(GMWQ!$LP$2:$LP$60=T$4)*(GMWQ!$LR$2:$LR$60=T$1),0),$B72-1966)</f>
        <v>1E-3</v>
      </c>
      <c r="U72" s="7" cm="1">
        <f t="array" ref="U72">INDEX(GMWQ!$A$2:$LR$60,MATCH(1,(GMWQ!$LQ$2:$LQ$60=U$3)*(GMWQ!$LP$2:$LP$60=U$4)*(GMWQ!$LR$2:$LR$60=U$1),0),$B72-1966)</f>
        <v>6618.63</v>
      </c>
      <c r="V72" s="7" cm="1">
        <f t="array" ref="V72">INDEX(GMWQ!$A$2:$LR$60,MATCH(1,(GMWQ!$LQ$2:$LQ$60=V$3)*(GMWQ!$LP$2:$LP$60=V$4)*(GMWQ!$LR$2:$LR$60=V$1),0),$B72-1966)</f>
        <v>1E-3</v>
      </c>
      <c r="W72" s="7" cm="1">
        <f t="array" ref="W72">INDEX(GMWQ!$A$2:$LR$60,MATCH(1,(GMWQ!$LQ$2:$LQ$60=W$3)*(GMWQ!$LP$2:$LP$60=W$4)*(GMWQ!$LR$2:$LR$60=W$1),0),$B72-1966)</f>
        <v>15.43281</v>
      </c>
      <c r="X72" s="7" cm="1">
        <f t="array" ref="X72">INDEX(GMWQ!$A$2:$LR$60,MATCH(1,(GMWQ!$LQ$2:$LQ$60=X$3)*(GMWQ!$LP$2:$LP$60=X$4)*(GMWQ!$LR$2:$LR$60=X$1),0),$B72-1966)</f>
        <v>1084234</v>
      </c>
      <c r="Y72" s="7" cm="1">
        <f t="array" ref="Y72">INDEX(GMWQ!$A$2:$LR$60,MATCH(1,(GMWQ!$LQ$2:$LQ$60=Y$3)*(GMWQ!$LP$2:$LP$60=Y$4)*(GMWQ!$LR$2:$LR$60=Y$1),0),$B72-1966)</f>
        <v>48.013739999999999</v>
      </c>
      <c r="Z72" s="7" cm="1">
        <f t="array" ref="Z72">INDEX(GMWQ!$A$2:$LR$60,MATCH(1,(GMWQ!$LQ$2:$LQ$60=Z$3)*(GMWQ!$LP$2:$LP$60=Z$4)*(GMWQ!$LR$2:$LR$60=Z$1),0),$B72-1966)</f>
        <v>303412.3</v>
      </c>
      <c r="AA72" s="7" cm="1">
        <f t="array" ref="AA72">INDEX(GMWQ!$A$2:$LR$60,MATCH(1,(GMWQ!$LQ$2:$LQ$60=AA$3)*(GMWQ!$LP$2:$LP$60=AA$4)*(GMWQ!$LR$2:$LR$60=AA$1),0),$B72-1966)</f>
        <v>48841</v>
      </c>
      <c r="AB72" s="7" cm="1">
        <f t="array" ref="AB72">INDEX(GMWQ!$A$2:$LR$60,MATCH(1,(GMWQ!$LQ$2:$LQ$60=AB$3)*(GMWQ!$LP$2:$LP$60=AB$4)*(GMWQ!$LR$2:$LR$60=AB$1),0),$B72-1966)</f>
        <v>46109</v>
      </c>
      <c r="AC72" s="7" cm="1">
        <f t="array" ref="AC72">INDEX(GMWQ!$A$2:$LR$60,MATCH(1,(GMWQ!$LQ$2:$LQ$60=AC$3)*(GMWQ!$LP$2:$LP$60=AC$4)*(GMWQ!$LR$2:$LR$60=AC$1),0),$B72-1966)</f>
        <v>-508</v>
      </c>
      <c r="AD72" s="7" cm="1">
        <f t="array" ref="AD72">INDEX(GMWQ!$A$2:$LR$60,MATCH(1,(GMWQ!$LQ$2:$LQ$60=AD$3)*(GMWQ!$LP$2:$LP$60=AD$4)*(GMWQ!$LR$2:$LR$60=AD$1),0),$B72-1966)</f>
        <v>5275</v>
      </c>
      <c r="AE72" s="7" cm="1">
        <f t="array" ref="AE72">INDEX(GMWQ!$A$2:$LR$60,MATCH(1,(GMWQ!$LQ$2:$LQ$60=AE$3)*(GMWQ!$LP$2:$LP$60=AE$4)*(GMWQ!$LR$2:$LR$60=AE$1),0),$B72-1966)</f>
        <v>151262</v>
      </c>
      <c r="AF72" s="20" cm="1">
        <f t="array" ref="AF72">INDEX(GMWQ!$A$2:$LR$60,MATCH(1,(GMWQ!$LQ$2:$LQ$60=AF$3)*(GMWQ!$LP$2:$LP$60=AF$4)*(GMWQ!$LR$2:$LR$60=AF$1),0),$B72-1966)</f>
        <v>13.23846</v>
      </c>
      <c r="AG72" s="20" cm="1">
        <f t="array" ref="AG72">INDEX(GMWQ!$A$2:$LR$60,MATCH(1,(GMWQ!$LQ$2:$LQ$60=AG$3)*(GMWQ!$LP$2:$LP$60=AG$4)*(GMWQ!$LR$2:$LR$60=AG$1),0),$B72-1966)</f>
        <v>-558</v>
      </c>
      <c r="AI72" s="23" cm="1">
        <f t="array" ref="AI72">INDEX(GMWQ!$A$2:$LR$60,MATCH(1,(GMWQ!$LQ$2:$LQ$60=AI$3)*(GMWQ!$LP$2:$LP$60=AI$4)*(GMWQ!$LR$2:$LR$60=AI$1),0),$B72-1966)</f>
        <v>93363</v>
      </c>
      <c r="AJ72" s="23" cm="1">
        <f t="array" ref="AJ72">INDEX(GMWQ!$A$2:$LR$60,MATCH(1,(GMWQ!$LQ$2:$LQ$60=AJ$3)*(GMWQ!$LP$2:$LP$60=AJ$4)*(GMWQ!$LR$2:$LR$60=AJ$1),0),$B72-1966)</f>
        <v>51.546840000000003</v>
      </c>
      <c r="AK72" s="23" cm="1">
        <f t="array" ref="AK72">INDEX(GMWQ!$A$2:$LR$60,MATCH(1,(GMWQ!$LQ$2:$LQ$60=AK$3)*(GMWQ!$LP$2:$LP$60=AK$4)*(GMWQ!$LR$2:$LR$60=AK$1),0),$B72-1966)</f>
        <v>61400</v>
      </c>
      <c r="AL72" s="23" cm="1">
        <f t="array" ref="AL72">INDEX(GMWQ!$A$2:$LR$60,MATCH(1,(GMWQ!$LQ$2:$LQ$60=AL$3)*(GMWQ!$LP$2:$LP$60=AL$4)*(GMWQ!$LR$2:$LR$60=AL$1),0),$B72-1966)</f>
        <v>2756.2930000000001</v>
      </c>
      <c r="AM72" s="23" cm="1">
        <f t="array" ref="AM72">INDEX(GMWQ!$A$2:$LR$60,MATCH(1,(GMWQ!$LQ$2:$LQ$60=AM$3)*(GMWQ!$LP$2:$LP$60=AM$4)*(GMWQ!$LR$2:$LR$60=AM$1),0),$B72-1966)</f>
        <v>22276.3</v>
      </c>
      <c r="AN72" s="23" cm="1">
        <f t="array" ref="AN72">INDEX(GMWQ!$A$2:$LR$60,MATCH(1,(GMWQ!$LQ$2:$LQ$60=AN$3)*(GMWQ!$LP$2:$LP$60=AN$4)*(GMWQ!$LR$2:$LR$60=AN$1),0),$B72-1966)</f>
        <v>13062</v>
      </c>
      <c r="AO72" s="23" cm="1">
        <f t="array" ref="AO72">INDEX(GMWQ!$A$2:$LR$60,MATCH(1,(GMWQ!$LQ$2:$LQ$60=AO$3)*(GMWQ!$LP$2:$LP$60=AO$4)*(GMWQ!$LR$2:$LR$60=AO$1),0),$B72-1966)</f>
        <v>4325</v>
      </c>
      <c r="AP72" s="23" cm="1">
        <f t="array" ref="AP72">INDEX(GMWQ!$A$2:$LR$60,MATCH(1,(GMWQ!$LQ$2:$LQ$60=AP$3)*(GMWQ!$LP$2:$LP$60=AP$4)*(GMWQ!$LR$2:$LR$60=AP$1),0),$B72-1966)</f>
        <v>-558</v>
      </c>
      <c r="AQ72" s="23" cm="1">
        <f t="array" ref="AQ72">INDEX(GMWQ!$A$2:$LR$60,MATCH(1,(GMWQ!$LQ$2:$LQ$60=AQ$3)*(GMWQ!$LP$2:$LP$60=AQ$4)*(GMWQ!$LR$2:$LR$60=AQ$1),0),$B72-1966)</f>
        <v>13692</v>
      </c>
      <c r="AR72" s="23" cm="1">
        <f t="array" ref="AR72">INDEX(GMWQ!$A$2:$LR$60,MATCH(1,(GMWQ!$LQ$2:$LQ$60=AR$3)*(GMWQ!$LP$2:$LP$60=AR$4)*(GMWQ!$LR$2:$LR$60=AR$1),0),$B72-1966)</f>
        <v>91974</v>
      </c>
      <c r="AS72" s="23" cm="1">
        <f t="array" ref="AS72">INDEX(GMWQ!$A$2:$LR$60,MATCH(1,(GMWQ!$LQ$2:$LQ$60=AS$3)*(GMWQ!$LP$2:$LP$60=AS$4)*(GMWQ!$LR$2:$LR$60=AS$1),0),$B72-1966)</f>
        <v>1867</v>
      </c>
      <c r="AT72" s="23" cm="1">
        <f t="array" ref="AT72">INDEX(GMWQ!$A$2:$LR$60,MATCH(1,(GMWQ!$LQ$2:$LQ$60=AT$3)*(GMWQ!$LP$2:$LP$60=AT$4)*(GMWQ!$LR$2:$LR$60=AT$1),0),$B72-1966)</f>
        <v>178428</v>
      </c>
      <c r="AU72" s="23" cm="1">
        <f t="array" ref="AU72">INDEX(GMWQ!$A$2:$LR$60,MATCH(1,(GMWQ!$LQ$2:$LQ$60=AU$3)*(GMWQ!$LP$2:$LP$60=AU$4)*(GMWQ!$LR$2:$LR$60=AU$1),0),$B72-1966)</f>
        <v>5261</v>
      </c>
    </row>
    <row r="73" spans="1:47" x14ac:dyDescent="0.35">
      <c r="B73" s="7">
        <f t="shared" si="2"/>
        <v>2039</v>
      </c>
      <c r="C73" s="7" cm="1">
        <f t="array" ref="C73">INDEX(GMWQ!$A$2:$LR$60,MATCH(1,(GMWQ!$LQ$2:$LQ$60=C$3)*(GMWQ!$LP$2:$LP$60=C$4)*(GMWQ!$LR$2:$LR$60=C$1),0),$B73-1966)</f>
        <v>315554</v>
      </c>
      <c r="D73" s="7" cm="1">
        <f t="array" ref="D73">INDEX(GMWQ!$A$2:$LR$60,MATCH(1,(GMWQ!$LQ$2:$LQ$60=D$3)*(GMWQ!$LP$2:$LP$60=D$4)*(GMWQ!$LR$2:$LR$60=D$1),0),$B73-1966)</f>
        <v>160.64189999999999</v>
      </c>
      <c r="E73" s="7" cm="1">
        <f t="array" ref="E73">INDEX(GMWQ!$A$2:$LR$60,MATCH(1,(GMWQ!$LQ$2:$LQ$60=E$3)*(GMWQ!$LP$2:$LP$60=E$4)*(GMWQ!$LR$2:$LR$60=E$1),0),$B73-1966)</f>
        <v>52.466670000000001</v>
      </c>
      <c r="F73" s="7" cm="1">
        <f t="array" ref="F73">INDEX(GMWQ!$A$2:$LR$60,MATCH(1,(GMWQ!$LQ$2:$LQ$60=F$3)*(GMWQ!$LP$2:$LP$60=F$4)*(GMWQ!$LR$2:$LR$60=F$1),0),$B73-1966)</f>
        <v>63022</v>
      </c>
      <c r="G73" s="7" cm="1">
        <f t="array" ref="G73">INDEX(GMWQ!$A$2:$LR$60,MATCH(1,(GMWQ!$LQ$2:$LQ$60=G$3)*(GMWQ!$LP$2:$LP$60=G$4)*(GMWQ!$LR$2:$LR$60=G$1),0),$B73-1966)</f>
        <v>13297</v>
      </c>
      <c r="H73" s="7" cm="1">
        <f t="array" ref="H73">INDEX(GMWQ!$A$2:$LR$60,MATCH(1,(GMWQ!$LQ$2:$LQ$60=H$3)*(GMWQ!$LP$2:$LP$60=H$4)*(GMWQ!$LR$2:$LR$60=H$1),0),$B73-1966)</f>
        <v>4403</v>
      </c>
      <c r="I73" s="7" cm="1">
        <f t="array" ref="I73">INDEX(GMWQ!$A$2:$LR$60,MATCH(1,(GMWQ!$LQ$2:$LQ$60=I$3)*(GMWQ!$LP$2:$LP$60=I$4)*(GMWQ!$LR$2:$LR$60=I$1),0),$B73-1966)</f>
        <v>52.410020000000003</v>
      </c>
      <c r="J73" s="7" cm="1">
        <f t="array" ref="J73">INDEX(GMWQ!$A$2:$LR$60,MATCH(1,(GMWQ!$LQ$2:$LQ$60=J$3)*(GMWQ!$LP$2:$LP$60=J$4)*(GMWQ!$LR$2:$LR$60=J$1),0),$B73-1966)</f>
        <v>22376.21</v>
      </c>
      <c r="K73" s="7" cm="1">
        <f t="array" ref="K73">INDEX(GMWQ!$A$2:$LR$60,MATCH(1,(GMWQ!$LQ$2:$LQ$60=K$3)*(GMWQ!$LP$2:$LP$60=K$4)*(GMWQ!$LR$2:$LR$60=K$1),0),$B73-1966)</f>
        <v>13.75</v>
      </c>
      <c r="L73" s="7" cm="1">
        <f t="array" ref="L73">INDEX(GMWQ!$A$2:$LR$60,MATCH(1,(GMWQ!$LQ$2:$LQ$60=L$3)*(GMWQ!$LP$2:$LP$60=L$4)*(GMWQ!$LR$2:$LR$60=L$1),0),$B73-1966)</f>
        <v>7.1</v>
      </c>
      <c r="M73" s="7" cm="1">
        <f t="array" ref="M73">INDEX(GMWQ!$A$2:$LR$60,MATCH(1,(GMWQ!$LQ$2:$LQ$60=M$3)*(GMWQ!$LP$2:$LP$60=M$4)*(GMWQ!$LR$2:$LR$60=M$1),0),$B73-1966)</f>
        <v>31.819970000000001</v>
      </c>
      <c r="N73" s="7" cm="1">
        <f t="array" ref="N73">INDEX(GMWQ!$A$2:$LR$60,MATCH(1,(GMWQ!$LQ$2:$LQ$60=N$3)*(GMWQ!$LP$2:$LP$60=N$4)*(GMWQ!$LR$2:$LR$60=N$1),0),$B73-1966)</f>
        <v>9245</v>
      </c>
      <c r="O73" s="7" cm="1">
        <f t="array" ref="O73">INDEX(GMWQ!$A$2:$LR$60,MATCH(1,(GMWQ!$LQ$2:$LQ$60=O$3)*(GMWQ!$LP$2:$LP$60=O$4)*(GMWQ!$LR$2:$LR$60=O$1),0),$B73-1966)</f>
        <v>8743</v>
      </c>
      <c r="P73" s="7" cm="1">
        <f t="array" ref="P73">INDEX(GMWQ!$A$2:$LR$60,MATCH(1,(GMWQ!$LQ$2:$LQ$60=P$3)*(GMWQ!$LP$2:$LP$60=P$4)*(GMWQ!$LR$2:$LR$60=P$1),0),$B73-1966)</f>
        <v>97490</v>
      </c>
      <c r="Q73" s="7" cm="1">
        <f t="array" ref="Q73">INDEX(GMWQ!$A$2:$LR$60,MATCH(1,(GMWQ!$LQ$2:$LQ$60=Q$3)*(GMWQ!$LP$2:$LP$60=Q$4)*(GMWQ!$LR$2:$LR$60=Q$1),0),$B73-1966)</f>
        <v>13.48</v>
      </c>
      <c r="R73" s="7" cm="1">
        <f t="array" ref="R73">INDEX(GMWQ!$A$2:$LR$60,MATCH(1,(GMWQ!$LQ$2:$LQ$60=R$3)*(GMWQ!$LP$2:$LP$60=R$4)*(GMWQ!$LR$2:$LR$60=R$1),0),$B73-1966)</f>
        <v>1E-3</v>
      </c>
      <c r="S73" s="7" cm="1">
        <f t="array" ref="S73">INDEX(GMWQ!$A$2:$LR$60,MATCH(1,(GMWQ!$LQ$2:$LQ$60=S$3)*(GMWQ!$LP$2:$LP$60=S$4)*(GMWQ!$LR$2:$LR$60=S$1),0),$B73-1966)</f>
        <v>372</v>
      </c>
      <c r="T73" s="7" cm="1">
        <f t="array" ref="T73">INDEX(GMWQ!$A$2:$LR$60,MATCH(1,(GMWQ!$LQ$2:$LQ$60=T$3)*(GMWQ!$LP$2:$LP$60=T$4)*(GMWQ!$LR$2:$LR$60=T$1),0),$B73-1966)</f>
        <v>1E-3</v>
      </c>
      <c r="U73" s="7" cm="1">
        <f t="array" ref="U73">INDEX(GMWQ!$A$2:$LR$60,MATCH(1,(GMWQ!$LQ$2:$LQ$60=U$3)*(GMWQ!$LP$2:$LP$60=U$4)*(GMWQ!$LR$2:$LR$60=U$1),0),$B73-1966)</f>
        <v>7183.1180000000004</v>
      </c>
      <c r="V73" s="7" cm="1">
        <f t="array" ref="V73">INDEX(GMWQ!$A$2:$LR$60,MATCH(1,(GMWQ!$LQ$2:$LQ$60=V$3)*(GMWQ!$LP$2:$LP$60=V$4)*(GMWQ!$LR$2:$LR$60=V$1),0),$B73-1966)</f>
        <v>1E-3</v>
      </c>
      <c r="W73" s="7" cm="1">
        <f t="array" ref="W73">INDEX(GMWQ!$A$2:$LR$60,MATCH(1,(GMWQ!$LQ$2:$LQ$60=W$3)*(GMWQ!$LP$2:$LP$60=W$4)*(GMWQ!$LR$2:$LR$60=W$1),0),$B73-1966)</f>
        <v>16.336469999999998</v>
      </c>
      <c r="X73" s="7" cm="1">
        <f t="array" ref="X73">INDEX(GMWQ!$A$2:$LR$60,MATCH(1,(GMWQ!$LQ$2:$LQ$60=X$3)*(GMWQ!$LP$2:$LP$60=X$4)*(GMWQ!$LR$2:$LR$60=X$1),0),$B73-1966)</f>
        <v>1109908</v>
      </c>
      <c r="Y73" s="7" cm="1">
        <f t="array" ref="Y73">INDEX(GMWQ!$A$2:$LR$60,MATCH(1,(GMWQ!$LQ$2:$LQ$60=Y$3)*(GMWQ!$LP$2:$LP$60=Y$4)*(GMWQ!$LR$2:$LR$60=Y$1),0),$B73-1966)</f>
        <v>49.237209999999997</v>
      </c>
      <c r="Z73" s="7" cm="1">
        <f t="array" ref="Z73">INDEX(GMWQ!$A$2:$LR$60,MATCH(1,(GMWQ!$LQ$2:$LQ$60=Z$3)*(GMWQ!$LP$2:$LP$60=Z$4)*(GMWQ!$LR$2:$LR$60=Z$1),0),$B73-1966)</f>
        <v>305623.40000000002</v>
      </c>
      <c r="AA73" s="7" cm="1">
        <f t="array" ref="AA73">INDEX(GMWQ!$A$2:$LR$60,MATCH(1,(GMWQ!$LQ$2:$LQ$60=AA$3)*(GMWQ!$LP$2:$LP$60=AA$4)*(GMWQ!$LR$2:$LR$60=AA$1),0),$B73-1966)</f>
        <v>52802</v>
      </c>
      <c r="AB73" s="7" cm="1">
        <f t="array" ref="AB73">INDEX(GMWQ!$A$2:$LR$60,MATCH(1,(GMWQ!$LQ$2:$LQ$60=AB$3)*(GMWQ!$LP$2:$LP$60=AB$4)*(GMWQ!$LR$2:$LR$60=AB$1),0),$B73-1966)</f>
        <v>47795</v>
      </c>
      <c r="AC73" s="7" cm="1">
        <f t="array" ref="AC73">INDEX(GMWQ!$A$2:$LR$60,MATCH(1,(GMWQ!$LQ$2:$LQ$60=AC$3)*(GMWQ!$LP$2:$LP$60=AC$4)*(GMWQ!$LR$2:$LR$60=AC$1),0),$B73-1966)</f>
        <v>387</v>
      </c>
      <c r="AD73" s="7" cm="1">
        <f t="array" ref="AD73">INDEX(GMWQ!$A$2:$LR$60,MATCH(1,(GMWQ!$LQ$2:$LQ$60=AD$3)*(GMWQ!$LP$2:$LP$60=AD$4)*(GMWQ!$LR$2:$LR$60=AD$1),0),$B73-1966)</f>
        <v>5404</v>
      </c>
      <c r="AE73" s="7" cm="1">
        <f t="array" ref="AE73">INDEX(GMWQ!$A$2:$LR$60,MATCH(1,(GMWQ!$LQ$2:$LQ$60=AE$3)*(GMWQ!$LP$2:$LP$60=AE$4)*(GMWQ!$LR$2:$LR$60=AE$1),0),$B73-1966)</f>
        <v>155370</v>
      </c>
      <c r="AF73" s="20" cm="1">
        <f t="array" ref="AF73">INDEX(GMWQ!$A$2:$LR$60,MATCH(1,(GMWQ!$LQ$2:$LQ$60=AF$3)*(GMWQ!$LP$2:$LP$60=AF$4)*(GMWQ!$LR$2:$LR$60=AF$1),0),$B73-1966)</f>
        <v>13.760579999999999</v>
      </c>
      <c r="AG73" s="20" cm="1">
        <f t="array" ref="AG73">INDEX(GMWQ!$A$2:$LR$60,MATCH(1,(GMWQ!$LQ$2:$LQ$60=AG$3)*(GMWQ!$LP$2:$LP$60=AG$4)*(GMWQ!$LR$2:$LR$60=AG$1),0),$B73-1966)</f>
        <v>-502</v>
      </c>
      <c r="AI73" s="23" cm="1">
        <f t="array" ref="AI73">INDEX(GMWQ!$A$2:$LR$60,MATCH(1,(GMWQ!$LQ$2:$LQ$60=AI$3)*(GMWQ!$LP$2:$LP$60=AI$4)*(GMWQ!$LR$2:$LR$60=AI$1),0),$B73-1966)</f>
        <v>97490</v>
      </c>
      <c r="AJ73" s="23" cm="1">
        <f t="array" ref="AJ73">INDEX(GMWQ!$A$2:$LR$60,MATCH(1,(GMWQ!$LQ$2:$LQ$60=AJ$3)*(GMWQ!$LP$2:$LP$60=AJ$4)*(GMWQ!$LR$2:$LR$60=AJ$1),0),$B73-1966)</f>
        <v>52.410020000000003</v>
      </c>
      <c r="AK73" s="23" cm="1">
        <f t="array" ref="AK73">INDEX(GMWQ!$A$2:$LR$60,MATCH(1,(GMWQ!$LQ$2:$LQ$60=AK$3)*(GMWQ!$LP$2:$LP$60=AK$4)*(GMWQ!$LR$2:$LR$60=AK$1),0),$B73-1966)</f>
        <v>63022</v>
      </c>
      <c r="AL73" s="23" cm="1">
        <f t="array" ref="AL73">INDEX(GMWQ!$A$2:$LR$60,MATCH(1,(GMWQ!$LQ$2:$LQ$60=AL$3)*(GMWQ!$LP$2:$LP$60=AL$4)*(GMWQ!$LR$2:$LR$60=AL$1),0),$B73-1966)</f>
        <v>2816.473</v>
      </c>
      <c r="AM73" s="23" cm="1">
        <f t="array" ref="AM73">INDEX(GMWQ!$A$2:$LR$60,MATCH(1,(GMWQ!$LQ$2:$LQ$60=AM$3)*(GMWQ!$LP$2:$LP$60=AM$4)*(GMWQ!$LR$2:$LR$60=AM$1),0),$B73-1966)</f>
        <v>22376.21</v>
      </c>
      <c r="AN73" s="23" cm="1">
        <f t="array" ref="AN73">INDEX(GMWQ!$A$2:$LR$60,MATCH(1,(GMWQ!$LQ$2:$LQ$60=AN$3)*(GMWQ!$LP$2:$LP$60=AN$4)*(GMWQ!$LR$2:$LR$60=AN$1),0),$B73-1966)</f>
        <v>13297</v>
      </c>
      <c r="AO73" s="23" cm="1">
        <f t="array" ref="AO73">INDEX(GMWQ!$A$2:$LR$60,MATCH(1,(GMWQ!$LQ$2:$LQ$60=AO$3)*(GMWQ!$LP$2:$LP$60=AO$4)*(GMWQ!$LR$2:$LR$60=AO$1),0),$B73-1966)</f>
        <v>4403</v>
      </c>
      <c r="AP73" s="23" cm="1">
        <f t="array" ref="AP73">INDEX(GMWQ!$A$2:$LR$60,MATCH(1,(GMWQ!$LQ$2:$LQ$60=AP$3)*(GMWQ!$LP$2:$LP$60=AP$4)*(GMWQ!$LR$2:$LR$60=AP$1),0),$B73-1966)</f>
        <v>-502</v>
      </c>
      <c r="AQ73" s="23" cm="1">
        <f t="array" ref="AQ73">INDEX(GMWQ!$A$2:$LR$60,MATCH(1,(GMWQ!$LQ$2:$LQ$60=AQ$3)*(GMWQ!$LP$2:$LP$60=AQ$4)*(GMWQ!$LR$2:$LR$60=AQ$1),0),$B73-1966)</f>
        <v>13921</v>
      </c>
      <c r="AR73" s="23" cm="1">
        <f t="array" ref="AR73">INDEX(GMWQ!$A$2:$LR$60,MATCH(1,(GMWQ!$LQ$2:$LQ$60=AR$3)*(GMWQ!$LP$2:$LP$60=AR$4)*(GMWQ!$LR$2:$LR$60=AR$1),0),$B73-1966)</f>
        <v>93435</v>
      </c>
      <c r="AS73" s="23" cm="1">
        <f t="array" ref="AS73">INDEX(GMWQ!$A$2:$LR$60,MATCH(1,(GMWQ!$LQ$2:$LQ$60=AS$3)*(GMWQ!$LP$2:$LP$60=AS$4)*(GMWQ!$LR$2:$LR$60=AS$1),0),$B73-1966)</f>
        <v>1857</v>
      </c>
      <c r="AT73" s="23" cm="1">
        <f t="array" ref="AT73">INDEX(GMWQ!$A$2:$LR$60,MATCH(1,(GMWQ!$LQ$2:$LQ$60=AT$3)*(GMWQ!$LP$2:$LP$60=AT$4)*(GMWQ!$LR$2:$LR$60=AT$1),0),$B73-1966)</f>
        <v>178277</v>
      </c>
      <c r="AU73" s="23" cm="1">
        <f t="array" ref="AU73">INDEX(GMWQ!$A$2:$LR$60,MATCH(1,(GMWQ!$LQ$2:$LQ$60=AU$3)*(GMWQ!$LP$2:$LP$60=AU$4)*(GMWQ!$LR$2:$LR$60=AU$1),0),$B73-1966)</f>
        <v>5374</v>
      </c>
    </row>
    <row r="74" spans="1:47" x14ac:dyDescent="0.35">
      <c r="B74" s="7">
        <f t="shared" si="2"/>
        <v>2040</v>
      </c>
      <c r="C74" s="7" cm="1">
        <f t="array" ref="C74">INDEX(GMWQ!$A$2:$LR$60,MATCH(1,(GMWQ!$LQ$2:$LQ$60=C$3)*(GMWQ!$LP$2:$LP$60=C$4)*(GMWQ!$LR$2:$LR$60=C$1),0),$B74-1966)</f>
        <v>315515</v>
      </c>
      <c r="D74" s="7" cm="1">
        <f t="array" ref="D74">INDEX(GMWQ!$A$2:$LR$60,MATCH(1,(GMWQ!$LQ$2:$LQ$60=D$3)*(GMWQ!$LP$2:$LP$60=D$4)*(GMWQ!$LR$2:$LR$60=D$1),0),$B74-1966)</f>
        <v>165.39500000000001</v>
      </c>
      <c r="E74" s="7" cm="1">
        <f t="array" ref="E74">INDEX(GMWQ!$A$2:$LR$60,MATCH(1,(GMWQ!$LQ$2:$LQ$60=E$3)*(GMWQ!$LP$2:$LP$60=E$4)*(GMWQ!$LR$2:$LR$60=E$1),0),$B74-1966)</f>
        <v>53.266669999999998</v>
      </c>
      <c r="F74" s="7" cm="1">
        <f t="array" ref="F74">INDEX(GMWQ!$A$2:$LR$60,MATCH(1,(GMWQ!$LQ$2:$LQ$60=F$3)*(GMWQ!$LP$2:$LP$60=F$4)*(GMWQ!$LR$2:$LR$60=F$1),0),$B74-1966)</f>
        <v>65073</v>
      </c>
      <c r="G74" s="7" cm="1">
        <f t="array" ref="G74">INDEX(GMWQ!$A$2:$LR$60,MATCH(1,(GMWQ!$LQ$2:$LQ$60=G$3)*(GMWQ!$LP$2:$LP$60=G$4)*(GMWQ!$LR$2:$LR$60=G$1),0),$B74-1966)</f>
        <v>13974</v>
      </c>
      <c r="H74" s="7" cm="1">
        <f t="array" ref="H74">INDEX(GMWQ!$A$2:$LR$60,MATCH(1,(GMWQ!$LQ$2:$LQ$60=H$3)*(GMWQ!$LP$2:$LP$60=H$4)*(GMWQ!$LR$2:$LR$60=H$1),0),$B74-1966)</f>
        <v>3864</v>
      </c>
      <c r="I74" s="7" cm="1">
        <f t="array" ref="I74">INDEX(GMWQ!$A$2:$LR$60,MATCH(1,(GMWQ!$LQ$2:$LQ$60=I$3)*(GMWQ!$LP$2:$LP$60=I$4)*(GMWQ!$LR$2:$LR$60=I$1),0),$B74-1966)</f>
        <v>53.389719999999997</v>
      </c>
      <c r="J74" s="7" cm="1">
        <f t="array" ref="J74">INDEX(GMWQ!$A$2:$LR$60,MATCH(1,(GMWQ!$LQ$2:$LQ$60=J$3)*(GMWQ!$LP$2:$LP$60=J$4)*(GMWQ!$LR$2:$LR$60=J$1),0),$B74-1966)</f>
        <v>22472.53</v>
      </c>
      <c r="K74" s="7" cm="1">
        <f t="array" ref="K74">INDEX(GMWQ!$A$2:$LR$60,MATCH(1,(GMWQ!$LQ$2:$LQ$60=K$3)*(GMWQ!$LP$2:$LP$60=K$4)*(GMWQ!$LR$2:$LR$60=K$1),0),$B74-1966)</f>
        <v>14.875</v>
      </c>
      <c r="L74" s="7" cm="1">
        <f t="array" ref="L74">INDEX(GMWQ!$A$2:$LR$60,MATCH(1,(GMWQ!$LQ$2:$LQ$60=L$3)*(GMWQ!$LP$2:$LP$60=L$4)*(GMWQ!$LR$2:$LR$60=L$1),0),$B74-1966)</f>
        <v>7</v>
      </c>
      <c r="M74" s="7" cm="1">
        <f t="array" ref="M74">INDEX(GMWQ!$A$2:$LR$60,MATCH(1,(GMWQ!$LQ$2:$LQ$60=M$3)*(GMWQ!$LP$2:$LP$60=M$4)*(GMWQ!$LR$2:$LR$60=M$1),0),$B74-1966)</f>
        <v>31.62332</v>
      </c>
      <c r="N74" s="7" cm="1">
        <f t="array" ref="N74">INDEX(GMWQ!$A$2:$LR$60,MATCH(1,(GMWQ!$LQ$2:$LQ$60=N$3)*(GMWQ!$LP$2:$LP$60=N$4)*(GMWQ!$LR$2:$LR$60=N$1),0),$B74-1966)</f>
        <v>9778</v>
      </c>
      <c r="O74" s="7" cm="1">
        <f t="array" ref="O74">INDEX(GMWQ!$A$2:$LR$60,MATCH(1,(GMWQ!$LQ$2:$LQ$60=O$3)*(GMWQ!$LP$2:$LP$60=O$4)*(GMWQ!$LR$2:$LR$60=O$1),0),$B74-1966)</f>
        <v>9453</v>
      </c>
      <c r="P74" s="7" cm="1">
        <f t="array" ref="P74">INDEX(GMWQ!$A$2:$LR$60,MATCH(1,(GMWQ!$LQ$2:$LQ$60=P$3)*(GMWQ!$LP$2:$LP$60=P$4)*(GMWQ!$LR$2:$LR$60=P$1),0),$B74-1966)</f>
        <v>98361</v>
      </c>
      <c r="Q74" s="7" cm="1">
        <f t="array" ref="Q74">INDEX(GMWQ!$A$2:$LR$60,MATCH(1,(GMWQ!$LQ$2:$LQ$60=Q$3)*(GMWQ!$LP$2:$LP$60=Q$4)*(GMWQ!$LR$2:$LR$60=Q$1),0),$B74-1966)</f>
        <v>14.44</v>
      </c>
      <c r="R74" s="7" cm="1">
        <f t="array" ref="R74">INDEX(GMWQ!$A$2:$LR$60,MATCH(1,(GMWQ!$LQ$2:$LQ$60=R$3)*(GMWQ!$LP$2:$LP$60=R$4)*(GMWQ!$LR$2:$LR$60=R$1),0),$B74-1966)</f>
        <v>1E-3</v>
      </c>
      <c r="S74" s="7" cm="1">
        <f t="array" ref="S74">INDEX(GMWQ!$A$2:$LR$60,MATCH(1,(GMWQ!$LQ$2:$LQ$60=S$3)*(GMWQ!$LP$2:$LP$60=S$4)*(GMWQ!$LR$2:$LR$60=S$1),0),$B74-1966)</f>
        <v>364</v>
      </c>
      <c r="T74" s="7" cm="1">
        <f t="array" ref="T74">INDEX(GMWQ!$A$2:$LR$60,MATCH(1,(GMWQ!$LQ$2:$LQ$60=T$3)*(GMWQ!$LP$2:$LP$60=T$4)*(GMWQ!$LR$2:$LR$60=T$1),0),$B74-1966)</f>
        <v>1E-3</v>
      </c>
      <c r="U74" s="7" cm="1">
        <f t="array" ref="U74">INDEX(GMWQ!$A$2:$LR$60,MATCH(1,(GMWQ!$LQ$2:$LQ$60=U$3)*(GMWQ!$LP$2:$LP$60=U$4)*(GMWQ!$LR$2:$LR$60=U$1),0),$B74-1966)</f>
        <v>7862.2939999999999</v>
      </c>
      <c r="V74" s="7" cm="1">
        <f t="array" ref="V74">INDEX(GMWQ!$A$2:$LR$60,MATCH(1,(GMWQ!$LQ$2:$LQ$60=V$3)*(GMWQ!$LP$2:$LP$60=V$4)*(GMWQ!$LR$2:$LR$60=V$1),0),$B74-1966)</f>
        <v>1E-3</v>
      </c>
      <c r="W74" s="7" cm="1">
        <f t="array" ref="W74">INDEX(GMWQ!$A$2:$LR$60,MATCH(1,(GMWQ!$LQ$2:$LQ$60=W$3)*(GMWQ!$LP$2:$LP$60=W$4)*(GMWQ!$LR$2:$LR$60=W$1),0),$B74-1966)</f>
        <v>17.63449</v>
      </c>
      <c r="X74" s="7" cm="1">
        <f t="array" ref="X74">INDEX(GMWQ!$A$2:$LR$60,MATCH(1,(GMWQ!$LQ$2:$LQ$60=X$3)*(GMWQ!$LP$2:$LP$60=X$4)*(GMWQ!$LR$2:$LR$60=X$1),0),$B74-1966)</f>
        <v>1122428</v>
      </c>
      <c r="Y74" s="7" cm="1">
        <f t="array" ref="Y74">INDEX(GMWQ!$A$2:$LR$60,MATCH(1,(GMWQ!$LQ$2:$LQ$60=Y$3)*(GMWQ!$LP$2:$LP$60=Y$4)*(GMWQ!$LR$2:$LR$60=Y$1),0),$B74-1966)</f>
        <v>50.512970000000003</v>
      </c>
      <c r="Z74" s="7" cm="1">
        <f t="array" ref="Z74">INDEX(GMWQ!$A$2:$LR$60,MATCH(1,(GMWQ!$LQ$2:$LQ$60=Z$3)*(GMWQ!$LP$2:$LP$60=Z$4)*(GMWQ!$LR$2:$LR$60=Z$1),0),$B74-1966)</f>
        <v>307957.8</v>
      </c>
      <c r="AA74" s="7" cm="1">
        <f t="array" ref="AA74">INDEX(GMWQ!$A$2:$LR$60,MATCH(1,(GMWQ!$LQ$2:$LQ$60=AA$3)*(GMWQ!$LP$2:$LP$60=AA$4)*(GMWQ!$LR$2:$LR$60=AA$1),0),$B74-1966)</f>
        <v>58013</v>
      </c>
      <c r="AB74" s="7" cm="1">
        <f t="array" ref="AB74">INDEX(GMWQ!$A$2:$LR$60,MATCH(1,(GMWQ!$LQ$2:$LQ$60=AB$3)*(GMWQ!$LP$2:$LP$60=AB$4)*(GMWQ!$LR$2:$LR$60=AB$1),0),$B74-1966)</f>
        <v>48829</v>
      </c>
      <c r="AC74" s="7" cm="1">
        <f t="array" ref="AC74">INDEX(GMWQ!$A$2:$LR$60,MATCH(1,(GMWQ!$LQ$2:$LQ$60=AC$3)*(GMWQ!$LP$2:$LP$60=AC$4)*(GMWQ!$LR$2:$LR$60=AC$1),0),$B74-1966)</f>
        <v>1215</v>
      </c>
      <c r="AD74" s="7" cm="1">
        <f t="array" ref="AD74">INDEX(GMWQ!$A$2:$LR$60,MATCH(1,(GMWQ!$LQ$2:$LQ$60=AD$3)*(GMWQ!$LP$2:$LP$60=AD$4)*(GMWQ!$LR$2:$LR$60=AD$1),0),$B74-1966)</f>
        <v>5431</v>
      </c>
      <c r="AE74" s="7" cm="1">
        <f t="array" ref="AE74">INDEX(GMWQ!$A$2:$LR$60,MATCH(1,(GMWQ!$LQ$2:$LQ$60=AE$3)*(GMWQ!$LP$2:$LP$60=AE$4)*(GMWQ!$LR$2:$LR$60=AE$1),0),$B74-1966)</f>
        <v>159376</v>
      </c>
      <c r="AF74" s="20" cm="1">
        <f t="array" ref="AF74">INDEX(GMWQ!$A$2:$LR$60,MATCH(1,(GMWQ!$LQ$2:$LQ$60=AF$3)*(GMWQ!$LP$2:$LP$60=AF$4)*(GMWQ!$LR$2:$LR$60=AF$1),0),$B74-1966)</f>
        <v>14.805770000000001</v>
      </c>
      <c r="AG74" s="20" cm="1">
        <f t="array" ref="AG74">INDEX(GMWQ!$A$2:$LR$60,MATCH(1,(GMWQ!$LQ$2:$LQ$60=AG$3)*(GMWQ!$LP$2:$LP$60=AG$4)*(GMWQ!$LR$2:$LR$60=AG$1),0),$B74-1966)</f>
        <v>-325</v>
      </c>
      <c r="AI74" s="23" cm="1">
        <f t="array" ref="AI74">INDEX(GMWQ!$A$2:$LR$60,MATCH(1,(GMWQ!$LQ$2:$LQ$60=AI$3)*(GMWQ!$LP$2:$LP$60=AI$4)*(GMWQ!$LR$2:$LR$60=AI$1),0),$B74-1966)</f>
        <v>98361</v>
      </c>
      <c r="AJ74" s="23" cm="1">
        <f t="array" ref="AJ74">INDEX(GMWQ!$A$2:$LR$60,MATCH(1,(GMWQ!$LQ$2:$LQ$60=AJ$3)*(GMWQ!$LP$2:$LP$60=AJ$4)*(GMWQ!$LR$2:$LR$60=AJ$1),0),$B74-1966)</f>
        <v>53.389719999999997</v>
      </c>
      <c r="AK74" s="23" cm="1">
        <f t="array" ref="AK74">INDEX(GMWQ!$A$2:$LR$60,MATCH(1,(GMWQ!$LQ$2:$LQ$60=AK$3)*(GMWQ!$LP$2:$LP$60=AK$4)*(GMWQ!$LR$2:$LR$60=AK$1),0),$B74-1966)</f>
        <v>65073</v>
      </c>
      <c r="AL74" s="23" cm="1">
        <f t="array" ref="AL74">INDEX(GMWQ!$A$2:$LR$60,MATCH(1,(GMWQ!$LQ$2:$LQ$60=AL$3)*(GMWQ!$LP$2:$LP$60=AL$4)*(GMWQ!$LR$2:$LR$60=AL$1),0),$B74-1966)</f>
        <v>2895.6689999999999</v>
      </c>
      <c r="AM74" s="23" cm="1">
        <f t="array" ref="AM74">INDEX(GMWQ!$A$2:$LR$60,MATCH(1,(GMWQ!$LQ$2:$LQ$60=AM$3)*(GMWQ!$LP$2:$LP$60=AM$4)*(GMWQ!$LR$2:$LR$60=AM$1),0),$B74-1966)</f>
        <v>22472.53</v>
      </c>
      <c r="AN74" s="23" cm="1">
        <f t="array" ref="AN74">INDEX(GMWQ!$A$2:$LR$60,MATCH(1,(GMWQ!$LQ$2:$LQ$60=AN$3)*(GMWQ!$LP$2:$LP$60=AN$4)*(GMWQ!$LR$2:$LR$60=AN$1),0),$B74-1966)</f>
        <v>13974</v>
      </c>
      <c r="AO74" s="23" cm="1">
        <f t="array" ref="AO74">INDEX(GMWQ!$A$2:$LR$60,MATCH(1,(GMWQ!$LQ$2:$LQ$60=AO$3)*(GMWQ!$LP$2:$LP$60=AO$4)*(GMWQ!$LR$2:$LR$60=AO$1),0),$B74-1966)</f>
        <v>3864</v>
      </c>
      <c r="AP74" s="23" cm="1">
        <f t="array" ref="AP74">INDEX(GMWQ!$A$2:$LR$60,MATCH(1,(GMWQ!$LQ$2:$LQ$60=AP$3)*(GMWQ!$LP$2:$LP$60=AP$4)*(GMWQ!$LR$2:$LR$60=AP$1),0),$B74-1966)</f>
        <v>-325</v>
      </c>
      <c r="AQ74" s="23" cm="1">
        <f t="array" ref="AQ74">INDEX(GMWQ!$A$2:$LR$60,MATCH(1,(GMWQ!$LQ$2:$LQ$60=AQ$3)*(GMWQ!$LP$2:$LP$60=AQ$4)*(GMWQ!$LR$2:$LR$60=AQ$1),0),$B74-1966)</f>
        <v>14170</v>
      </c>
      <c r="AR74" s="23" cm="1">
        <f t="array" ref="AR74">INDEX(GMWQ!$A$2:$LR$60,MATCH(1,(GMWQ!$LQ$2:$LQ$60=AR$3)*(GMWQ!$LP$2:$LP$60=AR$4)*(GMWQ!$LR$2:$LR$60=AR$1),0),$B74-1966)</f>
        <v>95574</v>
      </c>
      <c r="AS74" s="23" cm="1">
        <f t="array" ref="AS74">INDEX(GMWQ!$A$2:$LR$60,MATCH(1,(GMWQ!$LQ$2:$LQ$60=AS$3)*(GMWQ!$LP$2:$LP$60=AS$4)*(GMWQ!$LR$2:$LR$60=AS$1),0),$B74-1966)</f>
        <v>1900</v>
      </c>
      <c r="AT74" s="23" cm="1">
        <f t="array" ref="AT74">INDEX(GMWQ!$A$2:$LR$60,MATCH(1,(GMWQ!$LQ$2:$LQ$60=AT$3)*(GMWQ!$LP$2:$LP$60=AT$4)*(GMWQ!$LR$2:$LR$60=AT$1),0),$B74-1966)</f>
        <v>179012</v>
      </c>
      <c r="AU74" s="23" cm="1">
        <f t="array" ref="AU74">INDEX(GMWQ!$A$2:$LR$60,MATCH(1,(GMWQ!$LQ$2:$LQ$60=AU$3)*(GMWQ!$LP$2:$LP$60=AU$4)*(GMWQ!$LR$2:$LR$60=AU$1),0),$B74-1966)</f>
        <v>5506</v>
      </c>
    </row>
    <row r="75" spans="1:47" x14ac:dyDescent="0.35">
      <c r="A75" s="7">
        <v>1990</v>
      </c>
      <c r="B75" s="7">
        <f t="shared" si="2"/>
        <v>2041</v>
      </c>
      <c r="C75" s="7" cm="1">
        <f t="array" ref="C75">INDEX(GMWQ!$A$2:$LR$60,MATCH(1,(GMWQ!$LQ$2:$LQ$60=C$3)*(GMWQ!$LP$2:$LP$60=C$4)*(GMWQ!$LR$2:$LR$60=C$1),0),$B75-1966)</f>
        <v>317117</v>
      </c>
      <c r="D75" s="7" cm="1">
        <f t="array" ref="D75">INDEX(GMWQ!$A$2:$LR$60,MATCH(1,(GMWQ!$LQ$2:$LQ$60=D$3)*(GMWQ!$LP$2:$LP$60=D$4)*(GMWQ!$LR$2:$LR$60=D$1),0),$B75-1966)</f>
        <v>167.1534</v>
      </c>
      <c r="E75" s="7" cm="1">
        <f t="array" ref="E75">INDEX(GMWQ!$A$2:$LR$60,MATCH(1,(GMWQ!$LQ$2:$LQ$60=E$3)*(GMWQ!$LP$2:$LP$60=E$4)*(GMWQ!$LR$2:$LR$60=E$1),0),$B75-1966)</f>
        <v>53.933329999999998</v>
      </c>
      <c r="F75" s="7" cm="1">
        <f t="array" ref="F75">INDEX(GMWQ!$A$2:$LR$60,MATCH(1,(GMWQ!$LQ$2:$LQ$60=F$3)*(GMWQ!$LP$2:$LP$60=F$4)*(GMWQ!$LR$2:$LR$60=F$1),0),$B75-1966)</f>
        <v>67024</v>
      </c>
      <c r="G75" s="7" cm="1">
        <f t="array" ref="G75">INDEX(GMWQ!$A$2:$LR$60,MATCH(1,(GMWQ!$LQ$2:$LQ$60=G$3)*(GMWQ!$LP$2:$LP$60=G$4)*(GMWQ!$LR$2:$LR$60=G$1),0),$B75-1966)</f>
        <v>14209</v>
      </c>
      <c r="H75" s="7" cm="1">
        <f t="array" ref="H75">INDEX(GMWQ!$A$2:$LR$60,MATCH(1,(GMWQ!$LQ$2:$LQ$60=H$3)*(GMWQ!$LP$2:$LP$60=H$4)*(GMWQ!$LR$2:$LR$60=H$1),0),$B75-1966)</f>
        <v>3863</v>
      </c>
      <c r="I75" s="7" cm="1">
        <f t="array" ref="I75">INDEX(GMWQ!$A$2:$LR$60,MATCH(1,(GMWQ!$LQ$2:$LQ$60=I$3)*(GMWQ!$LP$2:$LP$60=I$4)*(GMWQ!$LR$2:$LR$60=I$1),0),$B75-1966)</f>
        <v>54.273580000000003</v>
      </c>
      <c r="J75" s="7" cm="1">
        <f t="array" ref="J75">INDEX(GMWQ!$A$2:$LR$60,MATCH(1,(GMWQ!$LQ$2:$LQ$60=J$3)*(GMWQ!$LP$2:$LP$60=J$4)*(GMWQ!$LR$2:$LR$60=J$1),0),$B75-1966)</f>
        <v>22501.33</v>
      </c>
      <c r="K75" s="7" cm="1">
        <f t="array" ref="K75">INDEX(GMWQ!$A$2:$LR$60,MATCH(1,(GMWQ!$LQ$2:$LQ$60=K$3)*(GMWQ!$LP$2:$LP$60=K$4)*(GMWQ!$LR$2:$LR$60=K$1),0),$B75-1966)</f>
        <v>14.875</v>
      </c>
      <c r="L75" s="7" cm="1">
        <f t="array" ref="L75">INDEX(GMWQ!$A$2:$LR$60,MATCH(1,(GMWQ!$LQ$2:$LQ$60=L$3)*(GMWQ!$LP$2:$LP$60=L$4)*(GMWQ!$LR$2:$LR$60=L$1),0),$B75-1966)</f>
        <v>6.9</v>
      </c>
      <c r="M75" s="7" cm="1">
        <f t="array" ref="M75">INDEX(GMWQ!$A$2:$LR$60,MATCH(1,(GMWQ!$LQ$2:$LQ$60=M$3)*(GMWQ!$LP$2:$LP$60=M$4)*(GMWQ!$LR$2:$LR$60=M$1),0),$B75-1966)</f>
        <v>30.782879999999999</v>
      </c>
      <c r="N75" s="7" cm="1">
        <f t="array" ref="N75">INDEX(GMWQ!$A$2:$LR$60,MATCH(1,(GMWQ!$LQ$2:$LQ$60=N$3)*(GMWQ!$LP$2:$LP$60=N$4)*(GMWQ!$LR$2:$LR$60=N$1),0),$B75-1966)</f>
        <v>10584</v>
      </c>
      <c r="O75" s="7" cm="1">
        <f t="array" ref="O75">INDEX(GMWQ!$A$2:$LR$60,MATCH(1,(GMWQ!$LQ$2:$LQ$60=O$3)*(GMWQ!$LP$2:$LP$60=O$4)*(GMWQ!$LR$2:$LR$60=O$1),0),$B75-1966)</f>
        <v>9831</v>
      </c>
      <c r="P75" s="7" cm="1">
        <f t="array" ref="P75">INDEX(GMWQ!$A$2:$LR$60,MATCH(1,(GMWQ!$LQ$2:$LQ$60=P$3)*(GMWQ!$LP$2:$LP$60=P$4)*(GMWQ!$LR$2:$LR$60=P$1),0),$B75-1966)</f>
        <v>102928</v>
      </c>
      <c r="Q75" s="7" cm="1">
        <f t="array" ref="Q75">INDEX(GMWQ!$A$2:$LR$60,MATCH(1,(GMWQ!$LQ$2:$LQ$60=Q$3)*(GMWQ!$LP$2:$LP$60=Q$4)*(GMWQ!$LR$2:$LR$60=Q$1),0),$B75-1966)</f>
        <v>15.24</v>
      </c>
      <c r="R75" s="7" cm="1">
        <f t="array" ref="R75">INDEX(GMWQ!$A$2:$LR$60,MATCH(1,(GMWQ!$LQ$2:$LQ$60=R$3)*(GMWQ!$LP$2:$LP$60=R$4)*(GMWQ!$LR$2:$LR$60=R$1),0),$B75-1966)</f>
        <v>1E-3</v>
      </c>
      <c r="S75" s="7" cm="1">
        <f t="array" ref="S75">INDEX(GMWQ!$A$2:$LR$60,MATCH(1,(GMWQ!$LQ$2:$LQ$60=S$3)*(GMWQ!$LP$2:$LP$60=S$4)*(GMWQ!$LR$2:$LR$60=S$1),0),$B75-1966)</f>
        <v>372</v>
      </c>
      <c r="T75" s="7" cm="1">
        <f t="array" ref="T75">INDEX(GMWQ!$A$2:$LR$60,MATCH(1,(GMWQ!$LQ$2:$LQ$60=T$3)*(GMWQ!$LP$2:$LP$60=T$4)*(GMWQ!$LR$2:$LR$60=T$1),0),$B75-1966)</f>
        <v>1E-3</v>
      </c>
      <c r="U75" s="7" cm="1">
        <f t="array" ref="U75">INDEX(GMWQ!$A$2:$LR$60,MATCH(1,(GMWQ!$LQ$2:$LQ$60=U$3)*(GMWQ!$LP$2:$LP$60=U$4)*(GMWQ!$LR$2:$LR$60=U$1),0),$B75-1966)</f>
        <v>7776.3</v>
      </c>
      <c r="V75" s="7" cm="1">
        <f t="array" ref="V75">INDEX(GMWQ!$A$2:$LR$60,MATCH(1,(GMWQ!$LQ$2:$LQ$60=V$3)*(GMWQ!$LP$2:$LP$60=V$4)*(GMWQ!$LR$2:$LR$60=V$1),0),$B75-1966)</f>
        <v>1E-3</v>
      </c>
      <c r="W75" s="7" cm="1">
        <f t="array" ref="W75">INDEX(GMWQ!$A$2:$LR$60,MATCH(1,(GMWQ!$LQ$2:$LQ$60=W$3)*(GMWQ!$LP$2:$LP$60=W$4)*(GMWQ!$LR$2:$LR$60=W$1),0),$B75-1966)</f>
        <v>18.593070000000001</v>
      </c>
      <c r="X75" s="7" cm="1">
        <f t="array" ref="X75">INDEX(GMWQ!$A$2:$LR$60,MATCH(1,(GMWQ!$LQ$2:$LQ$60=X$3)*(GMWQ!$LP$2:$LP$60=X$4)*(GMWQ!$LR$2:$LR$60=X$1),0),$B75-1966)</f>
        <v>1128570</v>
      </c>
      <c r="Y75" s="7" cm="1">
        <f t="array" ref="Y75">INDEX(GMWQ!$A$2:$LR$60,MATCH(1,(GMWQ!$LQ$2:$LQ$60=Y$3)*(GMWQ!$LP$2:$LP$60=Y$4)*(GMWQ!$LR$2:$LR$60=Y$1),0),$B75-1966)</f>
        <v>51.41825</v>
      </c>
      <c r="Z75" s="7" cm="1">
        <f t="array" ref="Z75">INDEX(GMWQ!$A$2:$LR$60,MATCH(1,(GMWQ!$LQ$2:$LQ$60=Z$3)*(GMWQ!$LP$2:$LP$60=Z$4)*(GMWQ!$LR$2:$LR$60=Z$1),0),$B75-1966)</f>
        <v>309812.3</v>
      </c>
      <c r="AA75" s="7" cm="1">
        <f t="array" ref="AA75">INDEX(GMWQ!$A$2:$LR$60,MATCH(1,(GMWQ!$LQ$2:$LQ$60=AA$3)*(GMWQ!$LP$2:$LP$60=AA$4)*(GMWQ!$LR$2:$LR$60=AA$1),0),$B75-1966)</f>
        <v>58974</v>
      </c>
      <c r="AB75" s="7" cm="1">
        <f t="array" ref="AB75">INDEX(GMWQ!$A$2:$LR$60,MATCH(1,(GMWQ!$LQ$2:$LQ$60=AB$3)*(GMWQ!$LP$2:$LP$60=AB$4)*(GMWQ!$LR$2:$LR$60=AB$1),0),$B75-1966)</f>
        <v>49490</v>
      </c>
      <c r="AC75" s="7" cm="1">
        <f t="array" ref="AC75">INDEX(GMWQ!$A$2:$LR$60,MATCH(1,(GMWQ!$LQ$2:$LQ$60=AC$3)*(GMWQ!$LP$2:$LP$60=AC$4)*(GMWQ!$LR$2:$LR$60=AC$1),0),$B75-1966)</f>
        <v>3815</v>
      </c>
      <c r="AD75" s="7" cm="1">
        <f t="array" ref="AD75">INDEX(GMWQ!$A$2:$LR$60,MATCH(1,(GMWQ!$LQ$2:$LQ$60=AD$3)*(GMWQ!$LP$2:$LP$60=AD$4)*(GMWQ!$LR$2:$LR$60=AD$1),0),$B75-1966)</f>
        <v>5512</v>
      </c>
      <c r="AE75" s="7" cm="1">
        <f t="array" ref="AE75">INDEX(GMWQ!$A$2:$LR$60,MATCH(1,(GMWQ!$LQ$2:$LQ$60=AE$3)*(GMWQ!$LP$2:$LP$60=AE$4)*(GMWQ!$LR$2:$LR$60=AE$1),0),$B75-1966)</f>
        <v>163056</v>
      </c>
      <c r="AF75" s="20" cm="1">
        <f t="array" ref="AF75">INDEX(GMWQ!$A$2:$LR$60,MATCH(1,(GMWQ!$LQ$2:$LQ$60=AF$3)*(GMWQ!$LP$2:$LP$60=AF$4)*(GMWQ!$LR$2:$LR$60=AF$1),0),$B75-1966)</f>
        <v>14.875</v>
      </c>
      <c r="AG75" s="20" cm="1">
        <f t="array" ref="AG75">INDEX(GMWQ!$A$2:$LR$60,MATCH(1,(GMWQ!$LQ$2:$LQ$60=AG$3)*(GMWQ!$LP$2:$LP$60=AG$4)*(GMWQ!$LR$2:$LR$60=AG$1),0),$B75-1966)</f>
        <v>-753</v>
      </c>
      <c r="AI75" s="23" cm="1">
        <f t="array" ref="AI75">INDEX(GMWQ!$A$2:$LR$60,MATCH(1,(GMWQ!$LQ$2:$LQ$60=AI$3)*(GMWQ!$LP$2:$LP$60=AI$4)*(GMWQ!$LR$2:$LR$60=AI$1),0),$B75-1966)</f>
        <v>102928</v>
      </c>
      <c r="AJ75" s="23" cm="1">
        <f t="array" ref="AJ75">INDEX(GMWQ!$A$2:$LR$60,MATCH(1,(GMWQ!$LQ$2:$LQ$60=AJ$3)*(GMWQ!$LP$2:$LP$60=AJ$4)*(GMWQ!$LR$2:$LR$60=AJ$1),0),$B75-1966)</f>
        <v>54.273580000000003</v>
      </c>
      <c r="AK75" s="23" cm="1">
        <f t="array" ref="AK75">INDEX(GMWQ!$A$2:$LR$60,MATCH(1,(GMWQ!$LQ$2:$LQ$60=AK$3)*(GMWQ!$LP$2:$LP$60=AK$4)*(GMWQ!$LR$2:$LR$60=AK$1),0),$B75-1966)</f>
        <v>67024</v>
      </c>
      <c r="AL75" s="23" cm="1">
        <f t="array" ref="AL75">INDEX(GMWQ!$A$2:$LR$60,MATCH(1,(GMWQ!$LQ$2:$LQ$60=AL$3)*(GMWQ!$LP$2:$LP$60=AL$4)*(GMWQ!$LR$2:$LR$60=AL$1),0),$B75-1966)</f>
        <v>2978.6680000000001</v>
      </c>
      <c r="AM75" s="23" cm="1">
        <f t="array" ref="AM75">INDEX(GMWQ!$A$2:$LR$60,MATCH(1,(GMWQ!$LQ$2:$LQ$60=AM$3)*(GMWQ!$LP$2:$LP$60=AM$4)*(GMWQ!$LR$2:$LR$60=AM$1),0),$B75-1966)</f>
        <v>22501.33</v>
      </c>
      <c r="AN75" s="23" cm="1">
        <f t="array" ref="AN75">INDEX(GMWQ!$A$2:$LR$60,MATCH(1,(GMWQ!$LQ$2:$LQ$60=AN$3)*(GMWQ!$LP$2:$LP$60=AN$4)*(GMWQ!$LR$2:$LR$60=AN$1),0),$B75-1966)</f>
        <v>14209</v>
      </c>
      <c r="AO75" s="23" cm="1">
        <f t="array" ref="AO75">INDEX(GMWQ!$A$2:$LR$60,MATCH(1,(GMWQ!$LQ$2:$LQ$60=AO$3)*(GMWQ!$LP$2:$LP$60=AO$4)*(GMWQ!$LR$2:$LR$60=AO$1),0),$B75-1966)</f>
        <v>3863</v>
      </c>
      <c r="AP75" s="23" cm="1">
        <f t="array" ref="AP75">INDEX(GMWQ!$A$2:$LR$60,MATCH(1,(GMWQ!$LQ$2:$LQ$60=AP$3)*(GMWQ!$LP$2:$LP$60=AP$4)*(GMWQ!$LR$2:$LR$60=AP$1),0),$B75-1966)</f>
        <v>-753</v>
      </c>
      <c r="AQ75" s="23" cm="1">
        <f t="array" ref="AQ75">INDEX(GMWQ!$A$2:$LR$60,MATCH(1,(GMWQ!$LQ$2:$LQ$60=AQ$3)*(GMWQ!$LP$2:$LP$60=AQ$4)*(GMWQ!$LR$2:$LR$60=AQ$1),0),$B75-1966)</f>
        <v>14375</v>
      </c>
      <c r="AR75" s="23" cm="1">
        <f t="array" ref="AR75">INDEX(GMWQ!$A$2:$LR$60,MATCH(1,(GMWQ!$LQ$2:$LQ$60=AR$3)*(GMWQ!$LP$2:$LP$60=AR$4)*(GMWQ!$LR$2:$LR$60=AR$1),0),$B75-1966)</f>
        <v>98144</v>
      </c>
      <c r="AS75" s="23" cm="1">
        <f t="array" ref="AS75">INDEX(GMWQ!$A$2:$LR$60,MATCH(1,(GMWQ!$LQ$2:$LQ$60=AS$3)*(GMWQ!$LP$2:$LP$60=AS$4)*(GMWQ!$LR$2:$LR$60=AS$1),0),$B75-1966)</f>
        <v>2116</v>
      </c>
      <c r="AT75" s="23" cm="1">
        <f t="array" ref="AT75">INDEX(GMWQ!$A$2:$LR$60,MATCH(1,(GMWQ!$LQ$2:$LQ$60=AT$3)*(GMWQ!$LP$2:$LP$60=AT$4)*(GMWQ!$LR$2:$LR$60=AT$1),0),$B75-1966)</f>
        <v>180832</v>
      </c>
      <c r="AU75" s="23" cm="1">
        <f t="array" ref="AU75">INDEX(GMWQ!$A$2:$LR$60,MATCH(1,(GMWQ!$LQ$2:$LQ$60=AU$3)*(GMWQ!$LP$2:$LP$60=AU$4)*(GMWQ!$LR$2:$LR$60=AU$1),0),$B75-1966)</f>
        <v>5784</v>
      </c>
    </row>
    <row r="76" spans="1:47" x14ac:dyDescent="0.35">
      <c r="B76" s="7">
        <f t="shared" si="2"/>
        <v>2042</v>
      </c>
      <c r="C76" s="7" cm="1">
        <f t="array" ref="C76">INDEX(GMWQ!$A$2:$LR$60,MATCH(1,(GMWQ!$LQ$2:$LQ$60=C$3)*(GMWQ!$LP$2:$LP$60=C$4)*(GMWQ!$LR$2:$LR$60=C$1),0),$B76-1966)</f>
        <v>319239</v>
      </c>
      <c r="D76" s="7" cm="1">
        <f t="array" ref="D76">INDEX(GMWQ!$A$2:$LR$60,MATCH(1,(GMWQ!$LQ$2:$LQ$60=D$3)*(GMWQ!$LP$2:$LP$60=D$4)*(GMWQ!$LR$2:$LR$60=D$1),0),$B76-1966)</f>
        <v>174.4332</v>
      </c>
      <c r="E76" s="7" cm="1">
        <f t="array" ref="E76">INDEX(GMWQ!$A$2:$LR$60,MATCH(1,(GMWQ!$LQ$2:$LQ$60=E$3)*(GMWQ!$LP$2:$LP$60=E$4)*(GMWQ!$LR$2:$LR$60=E$1),0),$B76-1966)</f>
        <v>55.6</v>
      </c>
      <c r="F76" s="7" cm="1">
        <f t="array" ref="F76">INDEX(GMWQ!$A$2:$LR$60,MATCH(1,(GMWQ!$LQ$2:$LQ$60=F$3)*(GMWQ!$LP$2:$LP$60=F$4)*(GMWQ!$LR$2:$LR$60=F$1),0),$B76-1966)</f>
        <v>68633</v>
      </c>
      <c r="G76" s="7" cm="1">
        <f t="array" ref="G76">INDEX(GMWQ!$A$2:$LR$60,MATCH(1,(GMWQ!$LQ$2:$LQ$60=G$3)*(GMWQ!$LP$2:$LP$60=G$4)*(GMWQ!$LR$2:$LR$60=G$1),0),$B76-1966)</f>
        <v>14687</v>
      </c>
      <c r="H76" s="7" cm="1">
        <f t="array" ref="H76">INDEX(GMWQ!$A$2:$LR$60,MATCH(1,(GMWQ!$LQ$2:$LQ$60=H$3)*(GMWQ!$LP$2:$LP$60=H$4)*(GMWQ!$LR$2:$LR$60=H$1),0),$B76-1966)</f>
        <v>4014</v>
      </c>
      <c r="I76" s="7" cm="1">
        <f t="array" ref="I76">INDEX(GMWQ!$A$2:$LR$60,MATCH(1,(GMWQ!$LQ$2:$LQ$60=I$3)*(GMWQ!$LP$2:$LP$60=I$4)*(GMWQ!$LR$2:$LR$60=I$1),0),$B76-1966)</f>
        <v>55.451689999999999</v>
      </c>
      <c r="J76" s="7" cm="1">
        <f t="array" ref="J76">INDEX(GMWQ!$A$2:$LR$60,MATCH(1,(GMWQ!$LQ$2:$LQ$60=J$3)*(GMWQ!$LP$2:$LP$60=J$4)*(GMWQ!$LR$2:$LR$60=J$1),0),$B76-1966)</f>
        <v>22558.94</v>
      </c>
      <c r="K76" s="7" cm="1">
        <f t="array" ref="K76">INDEX(GMWQ!$A$2:$LR$60,MATCH(1,(GMWQ!$LQ$2:$LQ$60=K$3)*(GMWQ!$LP$2:$LP$60=K$4)*(GMWQ!$LR$2:$LR$60=K$1),0),$B76-1966)</f>
        <v>14.875</v>
      </c>
      <c r="L76" s="7" cm="1">
        <f t="array" ref="L76">INDEX(GMWQ!$A$2:$LR$60,MATCH(1,(GMWQ!$LQ$2:$LQ$60=L$3)*(GMWQ!$LP$2:$LP$60=L$4)*(GMWQ!$LR$2:$LR$60=L$1),0),$B76-1966)</f>
        <v>6.9</v>
      </c>
      <c r="M76" s="7" cm="1">
        <f t="array" ref="M76">INDEX(GMWQ!$A$2:$LR$60,MATCH(1,(GMWQ!$LQ$2:$LQ$60=M$3)*(GMWQ!$LP$2:$LP$60=M$4)*(GMWQ!$LR$2:$LR$60=M$1),0),$B76-1966)</f>
        <v>30.629629999999999</v>
      </c>
      <c r="N76" s="7" cm="1">
        <f t="array" ref="N76">INDEX(GMWQ!$A$2:$LR$60,MATCH(1,(GMWQ!$LQ$2:$LQ$60=N$3)*(GMWQ!$LP$2:$LP$60=N$4)*(GMWQ!$LR$2:$LR$60=N$1),0),$B76-1966)</f>
        <v>11491</v>
      </c>
      <c r="O76" s="7" cm="1">
        <f t="array" ref="O76">INDEX(GMWQ!$A$2:$LR$60,MATCH(1,(GMWQ!$LQ$2:$LQ$60=O$3)*(GMWQ!$LP$2:$LP$60=O$4)*(GMWQ!$LR$2:$LR$60=O$1),0),$B76-1966)</f>
        <v>10412</v>
      </c>
      <c r="P76" s="7" cm="1">
        <f t="array" ref="P76">INDEX(GMWQ!$A$2:$LR$60,MATCH(1,(GMWQ!$LQ$2:$LQ$60=P$3)*(GMWQ!$LP$2:$LP$60=P$4)*(GMWQ!$LR$2:$LR$60=P$1),0),$B76-1966)</f>
        <v>103890</v>
      </c>
      <c r="Q76" s="7" cm="1">
        <f t="array" ref="Q76">INDEX(GMWQ!$A$2:$LR$60,MATCH(1,(GMWQ!$LQ$2:$LQ$60=Q$3)*(GMWQ!$LP$2:$LP$60=Q$4)*(GMWQ!$LR$2:$LR$60=Q$1),0),$B76-1966)</f>
        <v>15.25</v>
      </c>
      <c r="R76" s="7" cm="1">
        <f t="array" ref="R76">INDEX(GMWQ!$A$2:$LR$60,MATCH(1,(GMWQ!$LQ$2:$LQ$60=R$3)*(GMWQ!$LP$2:$LP$60=R$4)*(GMWQ!$LR$2:$LR$60=R$1),0),$B76-1966)</f>
        <v>1E-3</v>
      </c>
      <c r="S76" s="7" cm="1">
        <f t="array" ref="S76">INDEX(GMWQ!$A$2:$LR$60,MATCH(1,(GMWQ!$LQ$2:$LQ$60=S$3)*(GMWQ!$LP$2:$LP$60=S$4)*(GMWQ!$LR$2:$LR$60=S$1),0),$B76-1966)</f>
        <v>359</v>
      </c>
      <c r="T76" s="7" cm="1">
        <f t="array" ref="T76">INDEX(GMWQ!$A$2:$LR$60,MATCH(1,(GMWQ!$LQ$2:$LQ$60=T$3)*(GMWQ!$LP$2:$LP$60=T$4)*(GMWQ!$LR$2:$LR$60=T$1),0),$B76-1966)</f>
        <v>1E-3</v>
      </c>
      <c r="U76" s="7" cm="1">
        <f t="array" ref="U76">INDEX(GMWQ!$A$2:$LR$60,MATCH(1,(GMWQ!$LQ$2:$LQ$60=U$3)*(GMWQ!$LP$2:$LP$60=U$4)*(GMWQ!$LR$2:$LR$60=U$1),0),$B76-1966)</f>
        <v>7453.384</v>
      </c>
      <c r="V76" s="7" cm="1">
        <f t="array" ref="V76">INDEX(GMWQ!$A$2:$LR$60,MATCH(1,(GMWQ!$LQ$2:$LQ$60=V$3)*(GMWQ!$LP$2:$LP$60=V$4)*(GMWQ!$LR$2:$LR$60=V$1),0),$B76-1966)</f>
        <v>1E-3</v>
      </c>
      <c r="W76" s="7" cm="1">
        <f t="array" ref="W76">INDEX(GMWQ!$A$2:$LR$60,MATCH(1,(GMWQ!$LQ$2:$LQ$60=W$3)*(GMWQ!$LP$2:$LP$60=W$4)*(GMWQ!$LR$2:$LR$60=W$1),0),$B76-1966)</f>
        <v>20.025770000000001</v>
      </c>
      <c r="X76" s="7" cm="1">
        <f t="array" ref="X76">INDEX(GMWQ!$A$2:$LR$60,MATCH(1,(GMWQ!$LQ$2:$LQ$60=X$3)*(GMWQ!$LP$2:$LP$60=X$4)*(GMWQ!$LR$2:$LR$60=X$1),0),$B76-1966)</f>
        <v>1112252</v>
      </c>
      <c r="Y76" s="7" cm="1">
        <f t="array" ref="Y76">INDEX(GMWQ!$A$2:$LR$60,MATCH(1,(GMWQ!$LQ$2:$LQ$60=Y$3)*(GMWQ!$LP$2:$LP$60=Y$4)*(GMWQ!$LR$2:$LR$60=Y$1),0),$B76-1966)</f>
        <v>52.223880000000001</v>
      </c>
      <c r="Z76" s="7" cm="1">
        <f t="array" ref="Z76">INDEX(GMWQ!$A$2:$LR$60,MATCH(1,(GMWQ!$LQ$2:$LQ$60=Z$3)*(GMWQ!$LP$2:$LP$60=Z$4)*(GMWQ!$LR$2:$LR$60=Z$1),0),$B76-1966)</f>
        <v>311908.2</v>
      </c>
      <c r="AA76" s="7" cm="1">
        <f t="array" ref="AA76">INDEX(GMWQ!$A$2:$LR$60,MATCH(1,(GMWQ!$LQ$2:$LQ$60=AA$3)*(GMWQ!$LP$2:$LP$60=AA$4)*(GMWQ!$LR$2:$LR$60=AA$1),0),$B76-1966)</f>
        <v>53125</v>
      </c>
      <c r="AB76" s="7" cm="1">
        <f t="array" ref="AB76">INDEX(GMWQ!$A$2:$LR$60,MATCH(1,(GMWQ!$LQ$2:$LQ$60=AB$3)*(GMWQ!$LP$2:$LP$60=AB$4)*(GMWQ!$LR$2:$LR$60=AB$1),0),$B76-1966)</f>
        <v>50774</v>
      </c>
      <c r="AC76" s="7" cm="1">
        <f t="array" ref="AC76">INDEX(GMWQ!$A$2:$LR$60,MATCH(1,(GMWQ!$LQ$2:$LQ$60=AC$3)*(GMWQ!$LP$2:$LP$60=AC$4)*(GMWQ!$LR$2:$LR$60=AC$1),0),$B76-1966)</f>
        <v>-24</v>
      </c>
      <c r="AD76" s="7" cm="1">
        <f t="array" ref="AD76">INDEX(GMWQ!$A$2:$LR$60,MATCH(1,(GMWQ!$LQ$2:$LQ$60=AD$3)*(GMWQ!$LP$2:$LP$60=AD$4)*(GMWQ!$LR$2:$LR$60=AD$1),0),$B76-1966)</f>
        <v>5587</v>
      </c>
      <c r="AE76" s="7" cm="1">
        <f t="array" ref="AE76">INDEX(GMWQ!$A$2:$LR$60,MATCH(1,(GMWQ!$LQ$2:$LQ$60=AE$3)*(GMWQ!$LP$2:$LP$60=AE$4)*(GMWQ!$LR$2:$LR$60=AE$1),0),$B76-1966)</f>
        <v>166719</v>
      </c>
      <c r="AF76" s="20" cm="1">
        <f t="array" ref="AF76">INDEX(GMWQ!$A$2:$LR$60,MATCH(1,(GMWQ!$LQ$2:$LQ$60=AF$3)*(GMWQ!$LP$2:$LP$60=AF$4)*(GMWQ!$LR$2:$LR$60=AF$1),0),$B76-1966)</f>
        <v>14.875</v>
      </c>
      <c r="AG76" s="20" cm="1">
        <f t="array" ref="AG76">INDEX(GMWQ!$A$2:$LR$60,MATCH(1,(GMWQ!$LQ$2:$LQ$60=AG$3)*(GMWQ!$LP$2:$LP$60=AG$4)*(GMWQ!$LR$2:$LR$60=AG$1),0),$B76-1966)</f>
        <v>-1079</v>
      </c>
      <c r="AI76" s="23" cm="1">
        <f t="array" ref="AI76">INDEX(GMWQ!$A$2:$LR$60,MATCH(1,(GMWQ!$LQ$2:$LQ$60=AI$3)*(GMWQ!$LP$2:$LP$60=AI$4)*(GMWQ!$LR$2:$LR$60=AI$1),0),$B76-1966)</f>
        <v>103890</v>
      </c>
      <c r="AJ76" s="23" cm="1">
        <f t="array" ref="AJ76">INDEX(GMWQ!$A$2:$LR$60,MATCH(1,(GMWQ!$LQ$2:$LQ$60=AJ$3)*(GMWQ!$LP$2:$LP$60=AJ$4)*(GMWQ!$LR$2:$LR$60=AJ$1),0),$B76-1966)</f>
        <v>55.451689999999999</v>
      </c>
      <c r="AK76" s="23" cm="1">
        <f t="array" ref="AK76">INDEX(GMWQ!$A$2:$LR$60,MATCH(1,(GMWQ!$LQ$2:$LQ$60=AK$3)*(GMWQ!$LP$2:$LP$60=AK$4)*(GMWQ!$LR$2:$LR$60=AK$1),0),$B76-1966)</f>
        <v>68633</v>
      </c>
      <c r="AL76" s="23" cm="1">
        <f t="array" ref="AL76">INDEX(GMWQ!$A$2:$LR$60,MATCH(1,(GMWQ!$LQ$2:$LQ$60=AL$3)*(GMWQ!$LP$2:$LP$60=AL$4)*(GMWQ!$LR$2:$LR$60=AL$1),0),$B76-1966)</f>
        <v>3042.386</v>
      </c>
      <c r="AM76" s="23" cm="1">
        <f t="array" ref="AM76">INDEX(GMWQ!$A$2:$LR$60,MATCH(1,(GMWQ!$LQ$2:$LQ$60=AM$3)*(GMWQ!$LP$2:$LP$60=AM$4)*(GMWQ!$LR$2:$LR$60=AM$1),0),$B76-1966)</f>
        <v>22558.94</v>
      </c>
      <c r="AN76" s="23" cm="1">
        <f t="array" ref="AN76">INDEX(GMWQ!$A$2:$LR$60,MATCH(1,(GMWQ!$LQ$2:$LQ$60=AN$3)*(GMWQ!$LP$2:$LP$60=AN$4)*(GMWQ!$LR$2:$LR$60=AN$1),0),$B76-1966)</f>
        <v>14687</v>
      </c>
      <c r="AO76" s="23" cm="1">
        <f t="array" ref="AO76">INDEX(GMWQ!$A$2:$LR$60,MATCH(1,(GMWQ!$LQ$2:$LQ$60=AO$3)*(GMWQ!$LP$2:$LP$60=AO$4)*(GMWQ!$LR$2:$LR$60=AO$1),0),$B76-1966)</f>
        <v>4014</v>
      </c>
      <c r="AP76" s="23" cm="1">
        <f t="array" ref="AP76">INDEX(GMWQ!$A$2:$LR$60,MATCH(1,(GMWQ!$LQ$2:$LQ$60=AP$3)*(GMWQ!$LP$2:$LP$60=AP$4)*(GMWQ!$LR$2:$LR$60=AP$1),0),$B76-1966)</f>
        <v>-1079</v>
      </c>
      <c r="AQ76" s="23" cm="1">
        <f t="array" ref="AQ76">INDEX(GMWQ!$A$2:$LR$60,MATCH(1,(GMWQ!$LQ$2:$LQ$60=AQ$3)*(GMWQ!$LP$2:$LP$60=AQ$4)*(GMWQ!$LR$2:$LR$60=AQ$1),0),$B76-1966)</f>
        <v>14915</v>
      </c>
      <c r="AR76" s="23" cm="1">
        <f t="array" ref="AR76">INDEX(GMWQ!$A$2:$LR$60,MATCH(1,(GMWQ!$LQ$2:$LQ$60=AR$3)*(GMWQ!$LP$2:$LP$60=AR$4)*(GMWQ!$LR$2:$LR$60=AR$1),0),$B76-1966)</f>
        <v>100606</v>
      </c>
      <c r="AS76" s="23" cm="1">
        <f t="array" ref="AS76">INDEX(GMWQ!$A$2:$LR$60,MATCH(1,(GMWQ!$LQ$2:$LQ$60=AS$3)*(GMWQ!$LP$2:$LP$60=AS$4)*(GMWQ!$LR$2:$LR$60=AS$1),0),$B76-1966)</f>
        <v>2017</v>
      </c>
      <c r="AT76" s="23" cm="1">
        <f t="array" ref="AT76">INDEX(GMWQ!$A$2:$LR$60,MATCH(1,(GMWQ!$LQ$2:$LQ$60=AT$3)*(GMWQ!$LP$2:$LP$60=AT$4)*(GMWQ!$LR$2:$LR$60=AT$1),0),$B76-1966)</f>
        <v>181430</v>
      </c>
      <c r="AU76" s="23" cm="1">
        <f t="array" ref="AU76">INDEX(GMWQ!$A$2:$LR$60,MATCH(1,(GMWQ!$LQ$2:$LQ$60=AU$3)*(GMWQ!$LP$2:$LP$60=AU$4)*(GMWQ!$LR$2:$LR$60=AU$1),0),$B76-1966)</f>
        <v>5529</v>
      </c>
    </row>
    <row r="77" spans="1:47" x14ac:dyDescent="0.35">
      <c r="B77" s="7">
        <f t="shared" si="2"/>
        <v>2043</v>
      </c>
      <c r="C77" s="7" cm="1">
        <f t="array" ref="C77">INDEX(GMWQ!$A$2:$LR$60,MATCH(1,(GMWQ!$LQ$2:$LQ$60=C$3)*(GMWQ!$LP$2:$LP$60=C$4)*(GMWQ!$LR$2:$LR$60=C$1),0),$B77-1966)</f>
        <v>315744</v>
      </c>
      <c r="D77" s="7" cm="1">
        <f t="array" ref="D77">INDEX(GMWQ!$A$2:$LR$60,MATCH(1,(GMWQ!$LQ$2:$LQ$60=D$3)*(GMWQ!$LP$2:$LP$60=D$4)*(GMWQ!$LR$2:$LR$60=D$1),0),$B77-1966)</f>
        <v>181.6447</v>
      </c>
      <c r="E77" s="7" cm="1">
        <f t="array" ref="E77">INDEX(GMWQ!$A$2:$LR$60,MATCH(1,(GMWQ!$LQ$2:$LQ$60=E$3)*(GMWQ!$LP$2:$LP$60=E$4)*(GMWQ!$LR$2:$LR$60=E$1),0),$B77-1966)</f>
        <v>56.4</v>
      </c>
      <c r="F77" s="7" cm="1">
        <f t="array" ref="F77">INDEX(GMWQ!$A$2:$LR$60,MATCH(1,(GMWQ!$LQ$2:$LQ$60=F$3)*(GMWQ!$LP$2:$LP$60=F$4)*(GMWQ!$LR$2:$LR$60=F$1),0),$B77-1966)</f>
        <v>69705</v>
      </c>
      <c r="G77" s="7" cm="1">
        <f t="array" ref="G77">INDEX(GMWQ!$A$2:$LR$60,MATCH(1,(GMWQ!$LQ$2:$LQ$60=G$3)*(GMWQ!$LP$2:$LP$60=G$4)*(GMWQ!$LR$2:$LR$60=G$1),0),$B77-1966)</f>
        <v>15343</v>
      </c>
      <c r="H77" s="7" cm="1">
        <f t="array" ref="H77">INDEX(GMWQ!$A$2:$LR$60,MATCH(1,(GMWQ!$LQ$2:$LQ$60=H$3)*(GMWQ!$LP$2:$LP$60=H$4)*(GMWQ!$LR$2:$LR$60=H$1),0),$B77-1966)</f>
        <v>4093</v>
      </c>
      <c r="I77" s="7" cm="1">
        <f t="array" ref="I77">INDEX(GMWQ!$A$2:$LR$60,MATCH(1,(GMWQ!$LQ$2:$LQ$60=I$3)*(GMWQ!$LP$2:$LP$60=I$4)*(GMWQ!$LR$2:$LR$60=I$1),0),$B77-1966)</f>
        <v>56.655149999999999</v>
      </c>
      <c r="J77" s="7" cm="1">
        <f t="array" ref="J77">INDEX(GMWQ!$A$2:$LR$60,MATCH(1,(GMWQ!$LQ$2:$LQ$60=J$3)*(GMWQ!$LP$2:$LP$60=J$4)*(GMWQ!$LR$2:$LR$60=J$1),0),$B77-1966)</f>
        <v>22512.13</v>
      </c>
      <c r="K77" s="7" cm="1">
        <f t="array" ref="K77">INDEX(GMWQ!$A$2:$LR$60,MATCH(1,(GMWQ!$LQ$2:$LQ$60=K$3)*(GMWQ!$LP$2:$LP$60=K$4)*(GMWQ!$LR$2:$LR$60=K$1),0),$B77-1966)</f>
        <v>14.875</v>
      </c>
      <c r="L77" s="7" cm="1">
        <f t="array" ref="L77">INDEX(GMWQ!$A$2:$LR$60,MATCH(1,(GMWQ!$LQ$2:$LQ$60=L$3)*(GMWQ!$LP$2:$LP$60=L$4)*(GMWQ!$LR$2:$LR$60=L$1),0),$B77-1966)</f>
        <v>7.1</v>
      </c>
      <c r="M77" s="7" cm="1">
        <f t="array" ref="M77">INDEX(GMWQ!$A$2:$LR$60,MATCH(1,(GMWQ!$LQ$2:$LQ$60=M$3)*(GMWQ!$LP$2:$LP$60=M$4)*(GMWQ!$LR$2:$LR$60=M$1),0),$B77-1966)</f>
        <v>30.787610000000001</v>
      </c>
      <c r="N77" s="7" cm="1">
        <f t="array" ref="N77">INDEX(GMWQ!$A$2:$LR$60,MATCH(1,(GMWQ!$LQ$2:$LQ$60=N$3)*(GMWQ!$LP$2:$LP$60=N$4)*(GMWQ!$LR$2:$LR$60=N$1),0),$B77-1966)</f>
        <v>11880</v>
      </c>
      <c r="O77" s="7" cm="1">
        <f t="array" ref="O77">INDEX(GMWQ!$A$2:$LR$60,MATCH(1,(GMWQ!$LQ$2:$LQ$60=O$3)*(GMWQ!$LP$2:$LP$60=O$4)*(GMWQ!$LR$2:$LR$60=O$1),0),$B77-1966)</f>
        <v>11123</v>
      </c>
      <c r="P77" s="7" cm="1">
        <f t="array" ref="P77">INDEX(GMWQ!$A$2:$LR$60,MATCH(1,(GMWQ!$LQ$2:$LQ$60=P$3)*(GMWQ!$LP$2:$LP$60=P$4)*(GMWQ!$LR$2:$LR$60=P$1),0),$B77-1966)</f>
        <v>107142</v>
      </c>
      <c r="Q77" s="7" cm="1">
        <f t="array" ref="Q77">INDEX(GMWQ!$A$2:$LR$60,MATCH(1,(GMWQ!$LQ$2:$LQ$60=Q$3)*(GMWQ!$LP$2:$LP$60=Q$4)*(GMWQ!$LR$2:$LR$60=Q$1),0),$B77-1966)</f>
        <v>15.25</v>
      </c>
      <c r="R77" s="7" cm="1">
        <f t="array" ref="R77">INDEX(GMWQ!$A$2:$LR$60,MATCH(1,(GMWQ!$LQ$2:$LQ$60=R$3)*(GMWQ!$LP$2:$LP$60=R$4)*(GMWQ!$LR$2:$LR$60=R$1),0),$B77-1966)</f>
        <v>1E-3</v>
      </c>
      <c r="S77" s="7" cm="1">
        <f t="array" ref="S77">INDEX(GMWQ!$A$2:$LR$60,MATCH(1,(GMWQ!$LQ$2:$LQ$60=S$3)*(GMWQ!$LP$2:$LP$60=S$4)*(GMWQ!$LR$2:$LR$60=S$1),0),$B77-1966)</f>
        <v>334</v>
      </c>
      <c r="T77" s="7" cm="1">
        <f t="array" ref="T77">INDEX(GMWQ!$A$2:$LR$60,MATCH(1,(GMWQ!$LQ$2:$LQ$60=T$3)*(GMWQ!$LP$2:$LP$60=T$4)*(GMWQ!$LR$2:$LR$60=T$1),0),$B77-1966)</f>
        <v>1E-3</v>
      </c>
      <c r="U77" s="7" cm="1">
        <f t="array" ref="U77">INDEX(GMWQ!$A$2:$LR$60,MATCH(1,(GMWQ!$LQ$2:$LQ$60=U$3)*(GMWQ!$LP$2:$LP$60=U$4)*(GMWQ!$LR$2:$LR$60=U$1),0),$B77-1966)</f>
        <v>6968.0460000000003</v>
      </c>
      <c r="V77" s="7" cm="1">
        <f t="array" ref="V77">INDEX(GMWQ!$A$2:$LR$60,MATCH(1,(GMWQ!$LQ$2:$LQ$60=V$3)*(GMWQ!$LP$2:$LP$60=V$4)*(GMWQ!$LR$2:$LR$60=V$1),0),$B77-1966)</f>
        <v>1E-3</v>
      </c>
      <c r="W77" s="7" cm="1">
        <f t="array" ref="W77">INDEX(GMWQ!$A$2:$LR$60,MATCH(1,(GMWQ!$LQ$2:$LQ$60=W$3)*(GMWQ!$LP$2:$LP$60=W$4)*(GMWQ!$LR$2:$LR$60=W$1),0),$B77-1966)</f>
        <v>20.106919999999999</v>
      </c>
      <c r="X77" s="7" cm="1">
        <f t="array" ref="X77">INDEX(GMWQ!$A$2:$LR$60,MATCH(1,(GMWQ!$LQ$2:$LQ$60=X$3)*(GMWQ!$LP$2:$LP$60=X$4)*(GMWQ!$LR$2:$LR$60=X$1),0),$B77-1966)</f>
        <v>1140950</v>
      </c>
      <c r="Y77" s="7" cm="1">
        <f t="array" ref="Y77">INDEX(GMWQ!$A$2:$LR$60,MATCH(1,(GMWQ!$LQ$2:$LQ$60=Y$3)*(GMWQ!$LP$2:$LP$60=Y$4)*(GMWQ!$LR$2:$LR$60=Y$1),0),$B77-1966)</f>
        <v>53.86262</v>
      </c>
      <c r="Z77" s="7" cm="1">
        <f t="array" ref="Z77">INDEX(GMWQ!$A$2:$LR$60,MATCH(1,(GMWQ!$LQ$2:$LQ$60=Z$3)*(GMWQ!$LP$2:$LP$60=Z$4)*(GMWQ!$LR$2:$LR$60=Z$1),0),$B77-1966)</f>
        <v>313765.7</v>
      </c>
      <c r="AA77" s="7" cm="1">
        <f t="array" ref="AA77">INDEX(GMWQ!$A$2:$LR$60,MATCH(1,(GMWQ!$LQ$2:$LQ$60=AA$3)*(GMWQ!$LP$2:$LP$60=AA$4)*(GMWQ!$LR$2:$LR$60=AA$1),0),$B77-1966)</f>
        <v>56892</v>
      </c>
      <c r="AB77" s="7" cm="1">
        <f t="array" ref="AB77">INDEX(GMWQ!$A$2:$LR$60,MATCH(1,(GMWQ!$LQ$2:$LQ$60=AB$3)*(GMWQ!$LP$2:$LP$60=AB$4)*(GMWQ!$LR$2:$LR$60=AB$1),0),$B77-1966)</f>
        <v>51384</v>
      </c>
      <c r="AC77" s="7" cm="1">
        <f t="array" ref="AC77">INDEX(GMWQ!$A$2:$LR$60,MATCH(1,(GMWQ!$LQ$2:$LQ$60=AC$3)*(GMWQ!$LP$2:$LP$60=AC$4)*(GMWQ!$LR$2:$LR$60=AC$1),0),$B77-1966)</f>
        <v>941</v>
      </c>
      <c r="AD77" s="7" cm="1">
        <f t="array" ref="AD77">INDEX(GMWQ!$A$2:$LR$60,MATCH(1,(GMWQ!$LQ$2:$LQ$60=AD$3)*(GMWQ!$LP$2:$LP$60=AD$4)*(GMWQ!$LR$2:$LR$60=AD$1),0),$B77-1966)</f>
        <v>5651</v>
      </c>
      <c r="AE77" s="7" cm="1">
        <f t="array" ref="AE77">INDEX(GMWQ!$A$2:$LR$60,MATCH(1,(GMWQ!$LQ$2:$LQ$60=AE$3)*(GMWQ!$LP$2:$LP$60=AE$4)*(GMWQ!$LR$2:$LR$60=AE$1),0),$B77-1966)</f>
        <v>170068</v>
      </c>
      <c r="AF77" s="20" cm="1">
        <f t="array" ref="AF77">INDEX(GMWQ!$A$2:$LR$60,MATCH(1,(GMWQ!$LQ$2:$LQ$60=AF$3)*(GMWQ!$LP$2:$LP$60=AF$4)*(GMWQ!$LR$2:$LR$60=AF$1),0),$B77-1966)</f>
        <v>14.875</v>
      </c>
      <c r="AG77" s="20" cm="1">
        <f t="array" ref="AG77">INDEX(GMWQ!$A$2:$LR$60,MATCH(1,(GMWQ!$LQ$2:$LQ$60=AG$3)*(GMWQ!$LP$2:$LP$60=AG$4)*(GMWQ!$LR$2:$LR$60=AG$1),0),$B77-1966)</f>
        <v>-757</v>
      </c>
      <c r="AI77" s="23" cm="1">
        <f t="array" ref="AI77">INDEX(GMWQ!$A$2:$LR$60,MATCH(1,(GMWQ!$LQ$2:$LQ$60=AI$3)*(GMWQ!$LP$2:$LP$60=AI$4)*(GMWQ!$LR$2:$LR$60=AI$1),0),$B77-1966)</f>
        <v>107142</v>
      </c>
      <c r="AJ77" s="23" cm="1">
        <f t="array" ref="AJ77">INDEX(GMWQ!$A$2:$LR$60,MATCH(1,(GMWQ!$LQ$2:$LQ$60=AJ$3)*(GMWQ!$LP$2:$LP$60=AJ$4)*(GMWQ!$LR$2:$LR$60=AJ$1),0),$B77-1966)</f>
        <v>56.655149999999999</v>
      </c>
      <c r="AK77" s="23" cm="1">
        <f t="array" ref="AK77">INDEX(GMWQ!$A$2:$LR$60,MATCH(1,(GMWQ!$LQ$2:$LQ$60=AK$3)*(GMWQ!$LP$2:$LP$60=AK$4)*(GMWQ!$LR$2:$LR$60=AK$1),0),$B77-1966)</f>
        <v>69705</v>
      </c>
      <c r="AL77" s="23" cm="1">
        <f t="array" ref="AL77">INDEX(GMWQ!$A$2:$LR$60,MATCH(1,(GMWQ!$LQ$2:$LQ$60=AL$3)*(GMWQ!$LP$2:$LP$60=AL$4)*(GMWQ!$LR$2:$LR$60=AL$1),0),$B77-1966)</f>
        <v>3096.3310000000001</v>
      </c>
      <c r="AM77" s="23" cm="1">
        <f t="array" ref="AM77">INDEX(GMWQ!$A$2:$LR$60,MATCH(1,(GMWQ!$LQ$2:$LQ$60=AM$3)*(GMWQ!$LP$2:$LP$60=AM$4)*(GMWQ!$LR$2:$LR$60=AM$1),0),$B77-1966)</f>
        <v>22512.13</v>
      </c>
      <c r="AN77" s="23" cm="1">
        <f t="array" ref="AN77">INDEX(GMWQ!$A$2:$LR$60,MATCH(1,(GMWQ!$LQ$2:$LQ$60=AN$3)*(GMWQ!$LP$2:$LP$60=AN$4)*(GMWQ!$LR$2:$LR$60=AN$1),0),$B77-1966)</f>
        <v>15343</v>
      </c>
      <c r="AO77" s="23" cm="1">
        <f t="array" ref="AO77">INDEX(GMWQ!$A$2:$LR$60,MATCH(1,(GMWQ!$LQ$2:$LQ$60=AO$3)*(GMWQ!$LP$2:$LP$60=AO$4)*(GMWQ!$LR$2:$LR$60=AO$1),0),$B77-1966)</f>
        <v>4093</v>
      </c>
      <c r="AP77" s="23" cm="1">
        <f t="array" ref="AP77">INDEX(GMWQ!$A$2:$LR$60,MATCH(1,(GMWQ!$LQ$2:$LQ$60=AP$3)*(GMWQ!$LP$2:$LP$60=AP$4)*(GMWQ!$LR$2:$LR$60=AP$1),0),$B77-1966)</f>
        <v>-757</v>
      </c>
      <c r="AQ77" s="23" cm="1">
        <f t="array" ref="AQ77">INDEX(GMWQ!$A$2:$LR$60,MATCH(1,(GMWQ!$LQ$2:$LQ$60=AQ$3)*(GMWQ!$LP$2:$LP$60=AQ$4)*(GMWQ!$LR$2:$LR$60=AQ$1),0),$B77-1966)</f>
        <v>15078</v>
      </c>
      <c r="AR77" s="23" cm="1">
        <f t="array" ref="AR77">INDEX(GMWQ!$A$2:$LR$60,MATCH(1,(GMWQ!$LQ$2:$LQ$60=AR$3)*(GMWQ!$LP$2:$LP$60=AR$4)*(GMWQ!$LR$2:$LR$60=AR$1),0),$B77-1966)</f>
        <v>102143</v>
      </c>
      <c r="AS77" s="23" cm="1">
        <f t="array" ref="AS77">INDEX(GMWQ!$A$2:$LR$60,MATCH(1,(GMWQ!$LQ$2:$LQ$60=AS$3)*(GMWQ!$LP$2:$LP$60=AS$4)*(GMWQ!$LR$2:$LR$60=AS$1),0),$B77-1966)</f>
        <v>2066</v>
      </c>
      <c r="AT77" s="23" cm="1">
        <f t="array" ref="AT77">INDEX(GMWQ!$A$2:$LR$60,MATCH(1,(GMWQ!$LQ$2:$LQ$60=AT$3)*(GMWQ!$LP$2:$LP$60=AT$4)*(GMWQ!$LR$2:$LR$60=AT$1),0),$B77-1966)</f>
        <v>180289</v>
      </c>
      <c r="AU77" s="23" cm="1">
        <f t="array" ref="AU77">INDEX(GMWQ!$A$2:$LR$60,MATCH(1,(GMWQ!$LQ$2:$LQ$60=AU$3)*(GMWQ!$LP$2:$LP$60=AU$4)*(GMWQ!$LR$2:$LR$60=AU$1),0),$B77-1966)</f>
        <v>5663</v>
      </c>
    </row>
    <row r="78" spans="1:47" x14ac:dyDescent="0.35">
      <c r="B78" s="7">
        <f t="shared" si="2"/>
        <v>2044</v>
      </c>
      <c r="C78" s="7" cm="1">
        <f t="array" ref="C78">INDEX(GMWQ!$A$2:$LR$60,MATCH(1,(GMWQ!$LQ$2:$LQ$60=C$3)*(GMWQ!$LP$2:$LP$60=C$4)*(GMWQ!$LR$2:$LR$60=C$1),0),$B78-1966)</f>
        <v>314148</v>
      </c>
      <c r="D78" s="7" cm="1">
        <f t="array" ref="D78">INDEX(GMWQ!$A$2:$LR$60,MATCH(1,(GMWQ!$LQ$2:$LQ$60=D$3)*(GMWQ!$LP$2:$LP$60=D$4)*(GMWQ!$LR$2:$LR$60=D$1),0),$B78-1966)</f>
        <v>185.41390000000001</v>
      </c>
      <c r="E78" s="7" cm="1">
        <f t="array" ref="E78">INDEX(GMWQ!$A$2:$LR$60,MATCH(1,(GMWQ!$LQ$2:$LQ$60=E$3)*(GMWQ!$LP$2:$LP$60=E$4)*(GMWQ!$LR$2:$LR$60=E$1),0),$B78-1966)</f>
        <v>57.466670000000001</v>
      </c>
      <c r="F78" s="7" cm="1">
        <f t="array" ref="F78">INDEX(GMWQ!$A$2:$LR$60,MATCH(1,(GMWQ!$LQ$2:$LQ$60=F$3)*(GMWQ!$LP$2:$LP$60=F$4)*(GMWQ!$LR$2:$LR$60=F$1),0),$B78-1966)</f>
        <v>70275</v>
      </c>
      <c r="G78" s="7" cm="1">
        <f t="array" ref="G78">INDEX(GMWQ!$A$2:$LR$60,MATCH(1,(GMWQ!$LQ$2:$LQ$60=G$3)*(GMWQ!$LP$2:$LP$60=G$4)*(GMWQ!$LR$2:$LR$60=G$1),0),$B78-1966)</f>
        <v>15189</v>
      </c>
      <c r="H78" s="7" cm="1">
        <f t="array" ref="H78">INDEX(GMWQ!$A$2:$LR$60,MATCH(1,(GMWQ!$LQ$2:$LQ$60=H$3)*(GMWQ!$LP$2:$LP$60=H$4)*(GMWQ!$LR$2:$LR$60=H$1),0),$B78-1966)</f>
        <v>4117</v>
      </c>
      <c r="I78" s="7" cm="1">
        <f t="array" ref="I78">INDEX(GMWQ!$A$2:$LR$60,MATCH(1,(GMWQ!$LQ$2:$LQ$60=I$3)*(GMWQ!$LP$2:$LP$60=I$4)*(GMWQ!$LR$2:$LR$60=I$1),0),$B78-1966)</f>
        <v>57.561950000000003</v>
      </c>
      <c r="J78" s="7" cm="1">
        <f t="array" ref="J78">INDEX(GMWQ!$A$2:$LR$60,MATCH(1,(GMWQ!$LQ$2:$LQ$60=J$3)*(GMWQ!$LP$2:$LP$60=J$4)*(GMWQ!$LR$2:$LR$60=J$1),0),$B78-1966)</f>
        <v>22362.71</v>
      </c>
      <c r="K78" s="7" cm="1">
        <f t="array" ref="K78">INDEX(GMWQ!$A$2:$LR$60,MATCH(1,(GMWQ!$LQ$2:$LQ$60=K$3)*(GMWQ!$LP$2:$LP$60=K$4)*(GMWQ!$LR$2:$LR$60=K$1),0),$B78-1966)</f>
        <v>13.875</v>
      </c>
      <c r="L78" s="7" cm="1">
        <f t="array" ref="L78">INDEX(GMWQ!$A$2:$LR$60,MATCH(1,(GMWQ!$LQ$2:$LQ$60=L$3)*(GMWQ!$LP$2:$LP$60=L$4)*(GMWQ!$LR$2:$LR$60=L$1),0),$B78-1966)</f>
        <v>7.5</v>
      </c>
      <c r="M78" s="7" cm="1">
        <f t="array" ref="M78">INDEX(GMWQ!$A$2:$LR$60,MATCH(1,(GMWQ!$LQ$2:$LQ$60=M$3)*(GMWQ!$LP$2:$LP$60=M$4)*(GMWQ!$LR$2:$LR$60=M$1),0),$B78-1966)</f>
        <v>30.833729999999999</v>
      </c>
      <c r="N78" s="7" cm="1">
        <f t="array" ref="N78">INDEX(GMWQ!$A$2:$LR$60,MATCH(1,(GMWQ!$LQ$2:$LQ$60=N$3)*(GMWQ!$LP$2:$LP$60=N$4)*(GMWQ!$LR$2:$LR$60=N$1),0),$B78-1966)</f>
        <v>11492</v>
      </c>
      <c r="O78" s="7" cm="1">
        <f t="array" ref="O78">INDEX(GMWQ!$A$2:$LR$60,MATCH(1,(GMWQ!$LQ$2:$LQ$60=O$3)*(GMWQ!$LP$2:$LP$60=O$4)*(GMWQ!$LR$2:$LR$60=O$1),0),$B78-1966)</f>
        <v>10844</v>
      </c>
      <c r="P78" s="7" cm="1">
        <f t="array" ref="P78">INDEX(GMWQ!$A$2:$LR$60,MATCH(1,(GMWQ!$LQ$2:$LQ$60=P$3)*(GMWQ!$LP$2:$LP$60=P$4)*(GMWQ!$LR$2:$LR$60=P$1),0),$B78-1966)</f>
        <v>110535</v>
      </c>
      <c r="Q78" s="7" cm="1">
        <f t="array" ref="Q78">INDEX(GMWQ!$A$2:$LR$60,MATCH(1,(GMWQ!$LQ$2:$LQ$60=Q$3)*(GMWQ!$LP$2:$LP$60=Q$4)*(GMWQ!$LR$2:$LR$60=Q$1),0),$B78-1966)</f>
        <v>14.34</v>
      </c>
      <c r="R78" s="7" cm="1">
        <f t="array" ref="R78">INDEX(GMWQ!$A$2:$LR$60,MATCH(1,(GMWQ!$LQ$2:$LQ$60=R$3)*(GMWQ!$LP$2:$LP$60=R$4)*(GMWQ!$LR$2:$LR$60=R$1),0),$B78-1966)</f>
        <v>1E-3</v>
      </c>
      <c r="S78" s="7" cm="1">
        <f t="array" ref="S78">INDEX(GMWQ!$A$2:$LR$60,MATCH(1,(GMWQ!$LQ$2:$LQ$60=S$3)*(GMWQ!$LP$2:$LP$60=S$4)*(GMWQ!$LR$2:$LR$60=S$1),0),$B78-1966)</f>
        <v>335</v>
      </c>
      <c r="T78" s="7" cm="1">
        <f t="array" ref="T78">INDEX(GMWQ!$A$2:$LR$60,MATCH(1,(GMWQ!$LQ$2:$LQ$60=T$3)*(GMWQ!$LP$2:$LP$60=T$4)*(GMWQ!$LR$2:$LR$60=T$1),0),$B78-1966)</f>
        <v>1E-3</v>
      </c>
      <c r="U78" s="7" cm="1">
        <f t="array" ref="U78">INDEX(GMWQ!$A$2:$LR$60,MATCH(1,(GMWQ!$LQ$2:$LQ$60=U$3)*(GMWQ!$LP$2:$LP$60=U$4)*(GMWQ!$LR$2:$LR$60=U$1),0),$B78-1966)</f>
        <v>7092.7370000000001</v>
      </c>
      <c r="V78" s="7" cm="1">
        <f t="array" ref="V78">INDEX(GMWQ!$A$2:$LR$60,MATCH(1,(GMWQ!$LQ$2:$LQ$60=V$3)*(GMWQ!$LP$2:$LP$60=V$4)*(GMWQ!$LR$2:$LR$60=V$1),0),$B78-1966)</f>
        <v>1E-3</v>
      </c>
      <c r="W78" s="7" cm="1">
        <f t="array" ref="W78">INDEX(GMWQ!$A$2:$LR$60,MATCH(1,(GMWQ!$LQ$2:$LQ$60=W$3)*(GMWQ!$LP$2:$LP$60=W$4)*(GMWQ!$LR$2:$LR$60=W$1),0),$B78-1966)</f>
        <v>18.468170000000001</v>
      </c>
      <c r="X78" s="7" cm="1">
        <f t="array" ref="X78">INDEX(GMWQ!$A$2:$LR$60,MATCH(1,(GMWQ!$LQ$2:$LQ$60=X$3)*(GMWQ!$LP$2:$LP$60=X$4)*(GMWQ!$LR$2:$LR$60=X$1),0),$B78-1966)</f>
        <v>1157949</v>
      </c>
      <c r="Y78" s="7" cm="1">
        <f t="array" ref="Y78">INDEX(GMWQ!$A$2:$LR$60,MATCH(1,(GMWQ!$LQ$2:$LQ$60=Y$3)*(GMWQ!$LP$2:$LP$60=Y$4)*(GMWQ!$LR$2:$LR$60=Y$1),0),$B78-1966)</f>
        <v>54.418300000000002</v>
      </c>
      <c r="Z78" s="7" cm="1">
        <f t="array" ref="Z78">INDEX(GMWQ!$A$2:$LR$60,MATCH(1,(GMWQ!$LQ$2:$LQ$60=Z$3)*(GMWQ!$LP$2:$LP$60=Z$4)*(GMWQ!$LR$2:$LR$60=Z$1),0),$B78-1966)</f>
        <v>315123</v>
      </c>
      <c r="AA78" s="7" cm="1">
        <f t="array" ref="AA78">INDEX(GMWQ!$A$2:$LR$60,MATCH(1,(GMWQ!$LQ$2:$LQ$60=AA$3)*(GMWQ!$LP$2:$LP$60=AA$4)*(GMWQ!$LR$2:$LR$60=AA$1),0),$B78-1966)</f>
        <v>60105</v>
      </c>
      <c r="AB78" s="7" cm="1">
        <f t="array" ref="AB78">INDEX(GMWQ!$A$2:$LR$60,MATCH(1,(GMWQ!$LQ$2:$LQ$60=AB$3)*(GMWQ!$LP$2:$LP$60=AB$4)*(GMWQ!$LR$2:$LR$60=AB$1),0),$B78-1966)</f>
        <v>54213</v>
      </c>
      <c r="AC78" s="7" cm="1">
        <f t="array" ref="AC78">INDEX(GMWQ!$A$2:$LR$60,MATCH(1,(GMWQ!$LQ$2:$LQ$60=AC$3)*(GMWQ!$LP$2:$LP$60=AC$4)*(GMWQ!$LR$2:$LR$60=AC$1),0),$B78-1966)</f>
        <v>1942</v>
      </c>
      <c r="AD78" s="7" cm="1">
        <f t="array" ref="AD78">INDEX(GMWQ!$A$2:$LR$60,MATCH(1,(GMWQ!$LQ$2:$LQ$60=AD$3)*(GMWQ!$LP$2:$LP$60=AD$4)*(GMWQ!$LR$2:$LR$60=AD$1),0),$B78-1966)</f>
        <v>5079</v>
      </c>
      <c r="AE78" s="7" cm="1">
        <f t="array" ref="AE78">INDEX(GMWQ!$A$2:$LR$60,MATCH(1,(GMWQ!$LQ$2:$LQ$60=AE$3)*(GMWQ!$LP$2:$LP$60=AE$4)*(GMWQ!$LR$2:$LR$60=AE$1),0),$B78-1966)</f>
        <v>170954</v>
      </c>
      <c r="AF78" s="20" cm="1">
        <f t="array" ref="AF78">INDEX(GMWQ!$A$2:$LR$60,MATCH(1,(GMWQ!$LQ$2:$LQ$60=AF$3)*(GMWQ!$LP$2:$LP$60=AF$4)*(GMWQ!$LR$2:$LR$60=AF$1),0),$B78-1966)</f>
        <v>13.950760000000001</v>
      </c>
      <c r="AG78" s="20" cm="1">
        <f t="array" ref="AG78">INDEX(GMWQ!$A$2:$LR$60,MATCH(1,(GMWQ!$LQ$2:$LQ$60=AG$3)*(GMWQ!$LP$2:$LP$60=AG$4)*(GMWQ!$LR$2:$LR$60=AG$1),0),$B78-1966)</f>
        <v>-648</v>
      </c>
      <c r="AI78" s="23" cm="1">
        <f t="array" ref="AI78">INDEX(GMWQ!$A$2:$LR$60,MATCH(1,(GMWQ!$LQ$2:$LQ$60=AI$3)*(GMWQ!$LP$2:$LP$60=AI$4)*(GMWQ!$LR$2:$LR$60=AI$1),0),$B78-1966)</f>
        <v>110535</v>
      </c>
      <c r="AJ78" s="23" cm="1">
        <f t="array" ref="AJ78">INDEX(GMWQ!$A$2:$LR$60,MATCH(1,(GMWQ!$LQ$2:$LQ$60=AJ$3)*(GMWQ!$LP$2:$LP$60=AJ$4)*(GMWQ!$LR$2:$LR$60=AJ$1),0),$B78-1966)</f>
        <v>57.561950000000003</v>
      </c>
      <c r="AK78" s="23" cm="1">
        <f t="array" ref="AK78">INDEX(GMWQ!$A$2:$LR$60,MATCH(1,(GMWQ!$LQ$2:$LQ$60=AK$3)*(GMWQ!$LP$2:$LP$60=AK$4)*(GMWQ!$LR$2:$LR$60=AK$1),0),$B78-1966)</f>
        <v>70275</v>
      </c>
      <c r="AL78" s="23" cm="1">
        <f t="array" ref="AL78">INDEX(GMWQ!$A$2:$LR$60,MATCH(1,(GMWQ!$LQ$2:$LQ$60=AL$3)*(GMWQ!$LP$2:$LP$60=AL$4)*(GMWQ!$LR$2:$LR$60=AL$1),0),$B78-1966)</f>
        <v>3142.5079999999998</v>
      </c>
      <c r="AM78" s="23" cm="1">
        <f t="array" ref="AM78">INDEX(GMWQ!$A$2:$LR$60,MATCH(1,(GMWQ!$LQ$2:$LQ$60=AM$3)*(GMWQ!$LP$2:$LP$60=AM$4)*(GMWQ!$LR$2:$LR$60=AM$1),0),$B78-1966)</f>
        <v>22362.71</v>
      </c>
      <c r="AN78" s="23" cm="1">
        <f t="array" ref="AN78">INDEX(GMWQ!$A$2:$LR$60,MATCH(1,(GMWQ!$LQ$2:$LQ$60=AN$3)*(GMWQ!$LP$2:$LP$60=AN$4)*(GMWQ!$LR$2:$LR$60=AN$1),0),$B78-1966)</f>
        <v>15189</v>
      </c>
      <c r="AO78" s="23" cm="1">
        <f t="array" ref="AO78">INDEX(GMWQ!$A$2:$LR$60,MATCH(1,(GMWQ!$LQ$2:$LQ$60=AO$3)*(GMWQ!$LP$2:$LP$60=AO$4)*(GMWQ!$LR$2:$LR$60=AO$1),0),$B78-1966)</f>
        <v>4117</v>
      </c>
      <c r="AP78" s="23" cm="1">
        <f t="array" ref="AP78">INDEX(GMWQ!$A$2:$LR$60,MATCH(1,(GMWQ!$LQ$2:$LQ$60=AP$3)*(GMWQ!$LP$2:$LP$60=AP$4)*(GMWQ!$LR$2:$LR$60=AP$1),0),$B78-1966)</f>
        <v>-648</v>
      </c>
      <c r="AQ78" s="23" cm="1">
        <f t="array" ref="AQ78">INDEX(GMWQ!$A$2:$LR$60,MATCH(1,(GMWQ!$LQ$2:$LQ$60=AQ$3)*(GMWQ!$LP$2:$LP$60=AQ$4)*(GMWQ!$LR$2:$LR$60=AQ$1),0),$B78-1966)</f>
        <v>15795</v>
      </c>
      <c r="AR78" s="23" cm="1">
        <f t="array" ref="AR78">INDEX(GMWQ!$A$2:$LR$60,MATCH(1,(GMWQ!$LQ$2:$LQ$60=AR$3)*(GMWQ!$LP$2:$LP$60=AR$4)*(GMWQ!$LR$2:$LR$60=AR$1),0),$B78-1966)</f>
        <v>103680</v>
      </c>
      <c r="AS78" s="23" cm="1">
        <f t="array" ref="AS78">INDEX(GMWQ!$A$2:$LR$60,MATCH(1,(GMWQ!$LQ$2:$LQ$60=AS$3)*(GMWQ!$LP$2:$LP$60=AS$4)*(GMWQ!$LR$2:$LR$60=AS$1),0),$B78-1966)</f>
        <v>2094</v>
      </c>
      <c r="AT78" s="23" cm="1">
        <f t="array" ref="AT78">INDEX(GMWQ!$A$2:$LR$60,MATCH(1,(GMWQ!$LQ$2:$LQ$60=AT$3)*(GMWQ!$LP$2:$LP$60=AT$4)*(GMWQ!$LR$2:$LR$60=AT$1),0),$B78-1966)</f>
        <v>180119</v>
      </c>
      <c r="AU78" s="23" cm="1">
        <f t="array" ref="AU78">INDEX(GMWQ!$A$2:$LR$60,MATCH(1,(GMWQ!$LQ$2:$LQ$60=AU$3)*(GMWQ!$LP$2:$LP$60=AU$4)*(GMWQ!$LR$2:$LR$60=AU$1),0),$B78-1966)</f>
        <v>5742</v>
      </c>
    </row>
    <row r="79" spans="1:47" x14ac:dyDescent="0.35">
      <c r="A79" s="7">
        <v>1991</v>
      </c>
      <c r="B79" s="7">
        <f t="shared" si="2"/>
        <v>2045</v>
      </c>
      <c r="C79" s="7" cm="1">
        <f t="array" ref="C79">INDEX(GMWQ!$A$2:$LR$60,MATCH(1,(GMWQ!$LQ$2:$LQ$60=C$3)*(GMWQ!$LP$2:$LP$60=C$4)*(GMWQ!$LR$2:$LR$60=C$1),0),$B79-1966)</f>
        <v>312596</v>
      </c>
      <c r="D79" s="7" cm="1">
        <f t="array" ref="D79">INDEX(GMWQ!$A$2:$LR$60,MATCH(1,(GMWQ!$LQ$2:$LQ$60=D$3)*(GMWQ!$LP$2:$LP$60=D$4)*(GMWQ!$LR$2:$LR$60=D$1),0),$B79-1966)</f>
        <v>187.09540000000001</v>
      </c>
      <c r="E79" s="7" cm="1">
        <f t="array" ref="E79">INDEX(GMWQ!$A$2:$LR$60,MATCH(1,(GMWQ!$LQ$2:$LQ$60=E$3)*(GMWQ!$LP$2:$LP$60=E$4)*(GMWQ!$LR$2:$LR$60=E$1),0),$B79-1966)</f>
        <v>57.666670000000003</v>
      </c>
      <c r="F79" s="7" cm="1">
        <f t="array" ref="F79">INDEX(GMWQ!$A$2:$LR$60,MATCH(1,(GMWQ!$LQ$2:$LQ$60=F$3)*(GMWQ!$LP$2:$LP$60=F$4)*(GMWQ!$LR$2:$LR$60=F$1),0),$B79-1966)</f>
        <v>71362</v>
      </c>
      <c r="G79" s="7" cm="1">
        <f t="array" ref="G79">INDEX(GMWQ!$A$2:$LR$60,MATCH(1,(GMWQ!$LQ$2:$LQ$60=G$3)*(GMWQ!$LP$2:$LP$60=G$4)*(GMWQ!$LR$2:$LR$60=G$1),0),$B79-1966)</f>
        <v>14845</v>
      </c>
      <c r="H79" s="7" cm="1">
        <f t="array" ref="H79">INDEX(GMWQ!$A$2:$LR$60,MATCH(1,(GMWQ!$LQ$2:$LQ$60=H$3)*(GMWQ!$LP$2:$LP$60=H$4)*(GMWQ!$LR$2:$LR$60=H$1),0),$B79-1966)</f>
        <v>4098</v>
      </c>
      <c r="I79" s="7" cm="1">
        <f t="array" ref="I79">INDEX(GMWQ!$A$2:$LR$60,MATCH(1,(GMWQ!$LQ$2:$LQ$60=I$3)*(GMWQ!$LP$2:$LP$60=I$4)*(GMWQ!$LR$2:$LR$60=I$1),0),$B79-1966)</f>
        <v>58.720329999999997</v>
      </c>
      <c r="J79" s="7" cm="1">
        <f t="array" ref="J79">INDEX(GMWQ!$A$2:$LR$60,MATCH(1,(GMWQ!$LQ$2:$LQ$60=J$3)*(GMWQ!$LP$2:$LP$60=J$4)*(GMWQ!$LR$2:$LR$60=J$1),0),$B79-1966)</f>
        <v>22127.78</v>
      </c>
      <c r="K79" s="7" cm="1">
        <f t="array" ref="K79">INDEX(GMWQ!$A$2:$LR$60,MATCH(1,(GMWQ!$LQ$2:$LQ$60=K$3)*(GMWQ!$LP$2:$LP$60=K$4)*(GMWQ!$LR$2:$LR$60=K$1),0),$B79-1966)</f>
        <v>12.375</v>
      </c>
      <c r="L79" s="7" cm="1">
        <f t="array" ref="L79">INDEX(GMWQ!$A$2:$LR$60,MATCH(1,(GMWQ!$LQ$2:$LQ$60=L$3)*(GMWQ!$LP$2:$LP$60=L$4)*(GMWQ!$LR$2:$LR$60=L$1),0),$B79-1966)</f>
        <v>8</v>
      </c>
      <c r="M79" s="7" cm="1">
        <f t="array" ref="M79">INDEX(GMWQ!$A$2:$LR$60,MATCH(1,(GMWQ!$LQ$2:$LQ$60=M$3)*(GMWQ!$LP$2:$LP$60=M$4)*(GMWQ!$LR$2:$LR$60=M$1),0),$B79-1966)</f>
        <v>30.101220000000001</v>
      </c>
      <c r="N79" s="7" cm="1">
        <f t="array" ref="N79">INDEX(GMWQ!$A$2:$LR$60,MATCH(1,(GMWQ!$LQ$2:$LQ$60=N$3)*(GMWQ!$LP$2:$LP$60=N$4)*(GMWQ!$LR$2:$LR$60=N$1),0),$B79-1966)</f>
        <v>11454</v>
      </c>
      <c r="O79" s="7" cm="1">
        <f t="array" ref="O79">INDEX(GMWQ!$A$2:$LR$60,MATCH(1,(GMWQ!$LQ$2:$LQ$60=O$3)*(GMWQ!$LP$2:$LP$60=O$4)*(GMWQ!$LR$2:$LR$60=O$1),0),$B79-1966)</f>
        <v>11404</v>
      </c>
      <c r="P79" s="7" cm="1">
        <f t="array" ref="P79">INDEX(GMWQ!$A$2:$LR$60,MATCH(1,(GMWQ!$LQ$2:$LQ$60=P$3)*(GMWQ!$LP$2:$LP$60=P$4)*(GMWQ!$LR$2:$LR$60=P$1),0),$B79-1966)</f>
        <v>113229</v>
      </c>
      <c r="Q79" s="7" cm="1">
        <f t="array" ref="Q79">INDEX(GMWQ!$A$2:$LR$60,MATCH(1,(GMWQ!$LQ$2:$LQ$60=Q$3)*(GMWQ!$LP$2:$LP$60=Q$4)*(GMWQ!$LR$2:$LR$60=Q$1),0),$B79-1966)</f>
        <v>14.24</v>
      </c>
      <c r="R79" s="7" cm="1">
        <f t="array" ref="R79">INDEX(GMWQ!$A$2:$LR$60,MATCH(1,(GMWQ!$LQ$2:$LQ$60=R$3)*(GMWQ!$LP$2:$LP$60=R$4)*(GMWQ!$LR$2:$LR$60=R$1),0),$B79-1966)</f>
        <v>1E-3</v>
      </c>
      <c r="S79" s="7" cm="1">
        <f t="array" ref="S79">INDEX(GMWQ!$A$2:$LR$60,MATCH(1,(GMWQ!$LQ$2:$LQ$60=S$3)*(GMWQ!$LP$2:$LP$60=S$4)*(GMWQ!$LR$2:$LR$60=S$1),0),$B79-1966)</f>
        <v>342</v>
      </c>
      <c r="T79" s="7" cm="1">
        <f t="array" ref="T79">INDEX(GMWQ!$A$2:$LR$60,MATCH(1,(GMWQ!$LQ$2:$LQ$60=T$3)*(GMWQ!$LP$2:$LP$60=T$4)*(GMWQ!$LR$2:$LR$60=T$1),0),$B79-1966)</f>
        <v>1E-3</v>
      </c>
      <c r="U79" s="7" cm="1">
        <f t="array" ref="U79">INDEX(GMWQ!$A$2:$LR$60,MATCH(1,(GMWQ!$LQ$2:$LQ$60=U$3)*(GMWQ!$LP$2:$LP$60=U$4)*(GMWQ!$LR$2:$LR$60=U$1),0),$B79-1966)</f>
        <v>6453.0479999999998</v>
      </c>
      <c r="V79" s="7" cm="1">
        <f t="array" ref="V79">INDEX(GMWQ!$A$2:$LR$60,MATCH(1,(GMWQ!$LQ$2:$LQ$60=V$3)*(GMWQ!$LP$2:$LP$60=V$4)*(GMWQ!$LR$2:$LR$60=V$1),0),$B79-1966)</f>
        <v>1E-3</v>
      </c>
      <c r="W79" s="7" cm="1">
        <f t="array" ref="W79">INDEX(GMWQ!$A$2:$LR$60,MATCH(1,(GMWQ!$LQ$2:$LQ$60=W$3)*(GMWQ!$LP$2:$LP$60=W$4)*(GMWQ!$LR$2:$LR$60=W$1),0),$B79-1966)</f>
        <v>21.139530000000001</v>
      </c>
      <c r="X79" s="7" cm="1">
        <f t="array" ref="X79">INDEX(GMWQ!$A$2:$LR$60,MATCH(1,(GMWQ!$LQ$2:$LQ$60=X$3)*(GMWQ!$LP$2:$LP$60=X$4)*(GMWQ!$LR$2:$LR$60=X$1),0),$B79-1966)</f>
        <v>1161971</v>
      </c>
      <c r="Y79" s="7" cm="1">
        <f t="array" ref="Y79">INDEX(GMWQ!$A$2:$LR$60,MATCH(1,(GMWQ!$LQ$2:$LQ$60=Y$3)*(GMWQ!$LP$2:$LP$60=Y$4)*(GMWQ!$LR$2:$LR$60=Y$1),0),$B79-1966)</f>
        <v>55.404420000000002</v>
      </c>
      <c r="Z79" s="7" cm="1">
        <f t="array" ref="Z79">INDEX(GMWQ!$A$2:$LR$60,MATCH(1,(GMWQ!$LQ$2:$LQ$60=Z$3)*(GMWQ!$LP$2:$LP$60=Z$4)*(GMWQ!$LR$2:$LR$60=Z$1),0),$B79-1966)</f>
        <v>315521.8</v>
      </c>
      <c r="AA79" s="7" cm="1">
        <f t="array" ref="AA79">INDEX(GMWQ!$A$2:$LR$60,MATCH(1,(GMWQ!$LQ$2:$LQ$60=AA$3)*(GMWQ!$LP$2:$LP$60=AA$4)*(GMWQ!$LR$2:$LR$60=AA$1),0),$B79-1966)</f>
        <v>60255</v>
      </c>
      <c r="AB79" s="7" cm="1">
        <f t="array" ref="AB79">INDEX(GMWQ!$A$2:$LR$60,MATCH(1,(GMWQ!$LQ$2:$LQ$60=AB$3)*(GMWQ!$LP$2:$LP$60=AB$4)*(GMWQ!$LR$2:$LR$60=AB$1),0),$B79-1966)</f>
        <v>53218</v>
      </c>
      <c r="AC79" s="7" cm="1">
        <f t="array" ref="AC79">INDEX(GMWQ!$A$2:$LR$60,MATCH(1,(GMWQ!$LQ$2:$LQ$60=AC$3)*(GMWQ!$LP$2:$LP$60=AC$4)*(GMWQ!$LR$2:$LR$60=AC$1),0),$B79-1966)</f>
        <v>3815</v>
      </c>
      <c r="AD79" s="7" cm="1">
        <f t="array" ref="AD79">INDEX(GMWQ!$A$2:$LR$60,MATCH(1,(GMWQ!$LQ$2:$LQ$60=AD$3)*(GMWQ!$LP$2:$LP$60=AD$4)*(GMWQ!$LR$2:$LR$60=AD$1),0),$B79-1966)</f>
        <v>5112</v>
      </c>
      <c r="AE79" s="7" cm="1">
        <f t="array" ref="AE79">INDEX(GMWQ!$A$2:$LR$60,MATCH(1,(GMWQ!$LQ$2:$LQ$60=AE$3)*(GMWQ!$LP$2:$LP$60=AE$4)*(GMWQ!$LR$2:$LR$60=AE$1),0),$B79-1966)</f>
        <v>173192</v>
      </c>
      <c r="AF79" s="20" cm="1">
        <f t="array" ref="AF79">INDEX(GMWQ!$A$2:$LR$60,MATCH(1,(GMWQ!$LQ$2:$LQ$60=AF$3)*(GMWQ!$LP$2:$LP$60=AF$4)*(GMWQ!$LR$2:$LR$60=AF$1),0),$B79-1966)</f>
        <v>13.39063</v>
      </c>
      <c r="AG79" s="20" cm="1">
        <f t="array" ref="AG79">INDEX(GMWQ!$A$2:$LR$60,MATCH(1,(GMWQ!$LQ$2:$LQ$60=AG$3)*(GMWQ!$LP$2:$LP$60=AG$4)*(GMWQ!$LR$2:$LR$60=AG$1),0),$B79-1966)</f>
        <v>-50</v>
      </c>
      <c r="AI79" s="23" cm="1">
        <f t="array" ref="AI79">INDEX(GMWQ!$A$2:$LR$60,MATCH(1,(GMWQ!$LQ$2:$LQ$60=AI$3)*(GMWQ!$LP$2:$LP$60=AI$4)*(GMWQ!$LR$2:$LR$60=AI$1),0),$B79-1966)</f>
        <v>113229</v>
      </c>
      <c r="AJ79" s="23" cm="1">
        <f t="array" ref="AJ79">INDEX(GMWQ!$A$2:$LR$60,MATCH(1,(GMWQ!$LQ$2:$LQ$60=AJ$3)*(GMWQ!$LP$2:$LP$60=AJ$4)*(GMWQ!$LR$2:$LR$60=AJ$1),0),$B79-1966)</f>
        <v>58.720329999999997</v>
      </c>
      <c r="AK79" s="23" cm="1">
        <f t="array" ref="AK79">INDEX(GMWQ!$A$2:$LR$60,MATCH(1,(GMWQ!$LQ$2:$LQ$60=AK$3)*(GMWQ!$LP$2:$LP$60=AK$4)*(GMWQ!$LR$2:$LR$60=AK$1),0),$B79-1966)</f>
        <v>71362</v>
      </c>
      <c r="AL79" s="23" cm="1">
        <f t="array" ref="AL79">INDEX(GMWQ!$A$2:$LR$60,MATCH(1,(GMWQ!$LQ$2:$LQ$60=AL$3)*(GMWQ!$LP$2:$LP$60=AL$4)*(GMWQ!$LR$2:$LR$60=AL$1),0),$B79-1966)</f>
        <v>3224.9960000000001</v>
      </c>
      <c r="AM79" s="23" cm="1">
        <f t="array" ref="AM79">INDEX(GMWQ!$A$2:$LR$60,MATCH(1,(GMWQ!$LQ$2:$LQ$60=AM$3)*(GMWQ!$LP$2:$LP$60=AM$4)*(GMWQ!$LR$2:$LR$60=AM$1),0),$B79-1966)</f>
        <v>22127.78</v>
      </c>
      <c r="AN79" s="23" cm="1">
        <f t="array" ref="AN79">INDEX(GMWQ!$A$2:$LR$60,MATCH(1,(GMWQ!$LQ$2:$LQ$60=AN$3)*(GMWQ!$LP$2:$LP$60=AN$4)*(GMWQ!$LR$2:$LR$60=AN$1),0),$B79-1966)</f>
        <v>14845</v>
      </c>
      <c r="AO79" s="23" cm="1">
        <f t="array" ref="AO79">INDEX(GMWQ!$A$2:$LR$60,MATCH(1,(GMWQ!$LQ$2:$LQ$60=AO$3)*(GMWQ!$LP$2:$LP$60=AO$4)*(GMWQ!$LR$2:$LR$60=AO$1),0),$B79-1966)</f>
        <v>4098</v>
      </c>
      <c r="AP79" s="23" cm="1">
        <f t="array" ref="AP79">INDEX(GMWQ!$A$2:$LR$60,MATCH(1,(GMWQ!$LQ$2:$LQ$60=AP$3)*(GMWQ!$LP$2:$LP$60=AP$4)*(GMWQ!$LR$2:$LR$60=AP$1),0),$B79-1966)</f>
        <v>-50</v>
      </c>
      <c r="AQ79" s="23" cm="1">
        <f t="array" ref="AQ79">INDEX(GMWQ!$A$2:$LR$60,MATCH(1,(GMWQ!$LQ$2:$LQ$60=AQ$3)*(GMWQ!$LP$2:$LP$60=AQ$4)*(GMWQ!$LR$2:$LR$60=AQ$1),0),$B79-1966)</f>
        <v>16196</v>
      </c>
      <c r="AR79" s="23" cm="1">
        <f t="array" ref="AR79">INDEX(GMWQ!$A$2:$LR$60,MATCH(1,(GMWQ!$LQ$2:$LQ$60=AR$3)*(GMWQ!$LP$2:$LP$60=AR$4)*(GMWQ!$LR$2:$LR$60=AR$1),0),$B79-1966)</f>
        <v>105632</v>
      </c>
      <c r="AS79" s="23" cm="1">
        <f t="array" ref="AS79">INDEX(GMWQ!$A$2:$LR$60,MATCH(1,(GMWQ!$LQ$2:$LQ$60=AS$3)*(GMWQ!$LP$2:$LP$60=AS$4)*(GMWQ!$LR$2:$LR$60=AS$1),0),$B79-1966)</f>
        <v>1839</v>
      </c>
      <c r="AT79" s="23" cm="1">
        <f t="array" ref="AT79">INDEX(GMWQ!$A$2:$LR$60,MATCH(1,(GMWQ!$LQ$2:$LQ$60=AT$3)*(GMWQ!$LP$2:$LP$60=AT$4)*(GMWQ!$LR$2:$LR$60=AT$1),0),$B79-1966)</f>
        <v>179890</v>
      </c>
      <c r="AU79" s="23" cm="1">
        <f t="array" ref="AU79">INDEX(GMWQ!$A$2:$LR$60,MATCH(1,(GMWQ!$LQ$2:$LQ$60=AU$3)*(GMWQ!$LP$2:$LP$60=AU$4)*(GMWQ!$LR$2:$LR$60=AU$1),0),$B79-1966)</f>
        <v>5477</v>
      </c>
    </row>
    <row r="80" spans="1:47" x14ac:dyDescent="0.35">
      <c r="B80" s="7">
        <f t="shared" si="2"/>
        <v>2046</v>
      </c>
      <c r="C80" s="7" cm="1">
        <f t="array" ref="C80">INDEX(GMWQ!$A$2:$LR$60,MATCH(1,(GMWQ!$LQ$2:$LQ$60=C$3)*(GMWQ!$LP$2:$LP$60=C$4)*(GMWQ!$LR$2:$LR$60=C$1),0),$B80-1966)</f>
        <v>312235</v>
      </c>
      <c r="D80" s="7" cm="1">
        <f t="array" ref="D80">INDEX(GMWQ!$A$2:$LR$60,MATCH(1,(GMWQ!$LQ$2:$LQ$60=D$3)*(GMWQ!$LP$2:$LP$60=D$4)*(GMWQ!$LR$2:$LR$60=D$1),0),$B80-1966)</f>
        <v>192.89080000000001</v>
      </c>
      <c r="E80" s="7" cm="1">
        <f t="array" ref="E80">INDEX(GMWQ!$A$2:$LR$60,MATCH(1,(GMWQ!$LQ$2:$LQ$60=E$3)*(GMWQ!$LP$2:$LP$60=E$4)*(GMWQ!$LR$2:$LR$60=E$1),0),$B80-1966)</f>
        <v>60.266669999999998</v>
      </c>
      <c r="F80" s="7" cm="1">
        <f t="array" ref="F80">INDEX(GMWQ!$A$2:$LR$60,MATCH(1,(GMWQ!$LQ$2:$LQ$60=F$3)*(GMWQ!$LP$2:$LP$60=F$4)*(GMWQ!$LR$2:$LR$60=F$1),0),$B80-1966)</f>
        <v>72227</v>
      </c>
      <c r="G80" s="7" cm="1">
        <f t="array" ref="G80">INDEX(GMWQ!$A$2:$LR$60,MATCH(1,(GMWQ!$LQ$2:$LQ$60=G$3)*(GMWQ!$LP$2:$LP$60=G$4)*(GMWQ!$LR$2:$LR$60=G$1),0),$B80-1966)</f>
        <v>16626</v>
      </c>
      <c r="H80" s="7" cm="1">
        <f t="array" ref="H80">INDEX(GMWQ!$A$2:$LR$60,MATCH(1,(GMWQ!$LQ$2:$LQ$60=H$3)*(GMWQ!$LP$2:$LP$60=H$4)*(GMWQ!$LR$2:$LR$60=H$1),0),$B80-1966)</f>
        <v>4140</v>
      </c>
      <c r="I80" s="7" cm="1">
        <f t="array" ref="I80">INDEX(GMWQ!$A$2:$LR$60,MATCH(1,(GMWQ!$LQ$2:$LQ$60=I$3)*(GMWQ!$LP$2:$LP$60=I$4)*(GMWQ!$LR$2:$LR$60=I$1),0),$B80-1966)</f>
        <v>60.072189999999999</v>
      </c>
      <c r="J80" s="7" cm="1">
        <f t="array" ref="J80">INDEX(GMWQ!$A$2:$LR$60,MATCH(1,(GMWQ!$LQ$2:$LQ$60=J$3)*(GMWQ!$LP$2:$LP$60=J$4)*(GMWQ!$LR$2:$LR$60=J$1),0),$B80-1966)</f>
        <v>21931.55</v>
      </c>
      <c r="K80" s="7" cm="1">
        <f t="array" ref="K80">INDEX(GMWQ!$A$2:$LR$60,MATCH(1,(GMWQ!$LQ$2:$LQ$60=K$3)*(GMWQ!$LP$2:$LP$60=K$4)*(GMWQ!$LR$2:$LR$60=K$1),0),$B80-1966)</f>
        <v>11.375</v>
      </c>
      <c r="L80" s="7" cm="1">
        <f t="array" ref="L80">INDEX(GMWQ!$A$2:$LR$60,MATCH(1,(GMWQ!$LQ$2:$LQ$60=L$3)*(GMWQ!$LP$2:$LP$60=L$4)*(GMWQ!$LR$2:$LR$60=L$1),0),$B80-1966)</f>
        <v>8.6999999999999993</v>
      </c>
      <c r="M80" s="7" cm="1">
        <f t="array" ref="M80">INDEX(GMWQ!$A$2:$LR$60,MATCH(1,(GMWQ!$LQ$2:$LQ$60=M$3)*(GMWQ!$LP$2:$LP$60=M$4)*(GMWQ!$LR$2:$LR$60=M$1),0),$B80-1966)</f>
        <v>30.12707</v>
      </c>
      <c r="N80" s="7" cm="1">
        <f t="array" ref="N80">INDEX(GMWQ!$A$2:$LR$60,MATCH(1,(GMWQ!$LQ$2:$LQ$60=N$3)*(GMWQ!$LP$2:$LP$60=N$4)*(GMWQ!$LR$2:$LR$60=N$1),0),$B80-1966)</f>
        <v>10793</v>
      </c>
      <c r="O80" s="7" cm="1">
        <f t="array" ref="O80">INDEX(GMWQ!$A$2:$LR$60,MATCH(1,(GMWQ!$LQ$2:$LQ$60=O$3)*(GMWQ!$LP$2:$LP$60=O$4)*(GMWQ!$LR$2:$LR$60=O$1),0),$B80-1966)</f>
        <v>9829</v>
      </c>
      <c r="P80" s="7" cm="1">
        <f t="array" ref="P80">INDEX(GMWQ!$A$2:$LR$60,MATCH(1,(GMWQ!$LQ$2:$LQ$60=P$3)*(GMWQ!$LP$2:$LP$60=P$4)*(GMWQ!$LR$2:$LR$60=P$1),0),$B80-1966)</f>
        <v>113790</v>
      </c>
      <c r="Q80" s="7" cm="1">
        <f t="array" ref="Q80">INDEX(GMWQ!$A$2:$LR$60,MATCH(1,(GMWQ!$LQ$2:$LQ$60=Q$3)*(GMWQ!$LP$2:$LP$60=Q$4)*(GMWQ!$LR$2:$LR$60=Q$1),0),$B80-1966)</f>
        <v>12.75</v>
      </c>
      <c r="R80" s="7" cm="1">
        <f t="array" ref="R80">INDEX(GMWQ!$A$2:$LR$60,MATCH(1,(GMWQ!$LQ$2:$LQ$60=R$3)*(GMWQ!$LP$2:$LP$60=R$4)*(GMWQ!$LR$2:$LR$60=R$1),0),$B80-1966)</f>
        <v>1E-3</v>
      </c>
      <c r="S80" s="7" cm="1">
        <f t="array" ref="S80">INDEX(GMWQ!$A$2:$LR$60,MATCH(1,(GMWQ!$LQ$2:$LQ$60=S$3)*(GMWQ!$LP$2:$LP$60=S$4)*(GMWQ!$LR$2:$LR$60=S$1),0),$B80-1966)</f>
        <v>333</v>
      </c>
      <c r="T80" s="7" cm="1">
        <f t="array" ref="T80">INDEX(GMWQ!$A$2:$LR$60,MATCH(1,(GMWQ!$LQ$2:$LQ$60=T$3)*(GMWQ!$LP$2:$LP$60=T$4)*(GMWQ!$LR$2:$LR$60=T$1),0),$B80-1966)</f>
        <v>1E-3</v>
      </c>
      <c r="U80" s="7" cm="1">
        <f t="array" ref="U80">INDEX(GMWQ!$A$2:$LR$60,MATCH(1,(GMWQ!$LQ$2:$LQ$60=U$3)*(GMWQ!$LP$2:$LP$60=U$4)*(GMWQ!$LR$2:$LR$60=U$1),0),$B80-1966)</f>
        <v>5955.5119999999997</v>
      </c>
      <c r="V80" s="7" cm="1">
        <f t="array" ref="V80">INDEX(GMWQ!$A$2:$LR$60,MATCH(1,(GMWQ!$LQ$2:$LQ$60=V$3)*(GMWQ!$LP$2:$LP$60=V$4)*(GMWQ!$LR$2:$LR$60=V$1),0),$B80-1966)</f>
        <v>1E-3</v>
      </c>
      <c r="W80" s="7" cm="1">
        <f t="array" ref="W80">INDEX(GMWQ!$A$2:$LR$60,MATCH(1,(GMWQ!$LQ$2:$LQ$60=W$3)*(GMWQ!$LP$2:$LP$60=W$4)*(GMWQ!$LR$2:$LR$60=W$1),0),$B80-1966)</f>
        <v>21.656300000000002</v>
      </c>
      <c r="X80" s="7" cm="1">
        <f t="array" ref="X80">INDEX(GMWQ!$A$2:$LR$60,MATCH(1,(GMWQ!$LQ$2:$LQ$60=X$3)*(GMWQ!$LP$2:$LP$60=X$4)*(GMWQ!$LR$2:$LR$60=X$1),0),$B80-1966)</f>
        <v>1110906</v>
      </c>
      <c r="Y80" s="7" cm="1">
        <f t="array" ref="Y80">INDEX(GMWQ!$A$2:$LR$60,MATCH(1,(GMWQ!$LQ$2:$LQ$60=Y$3)*(GMWQ!$LP$2:$LP$60=Y$4)*(GMWQ!$LR$2:$LR$60=Y$1),0),$B80-1966)</f>
        <v>56.310470000000002</v>
      </c>
      <c r="Z80" s="7" cm="1">
        <f t="array" ref="Z80">INDEX(GMWQ!$A$2:$LR$60,MATCH(1,(GMWQ!$LQ$2:$LQ$60=Z$3)*(GMWQ!$LP$2:$LP$60=Z$4)*(GMWQ!$LR$2:$LR$60=Z$1),0),$B80-1966)</f>
        <v>316584</v>
      </c>
      <c r="AA80" s="7" cm="1">
        <f t="array" ref="AA80">INDEX(GMWQ!$A$2:$LR$60,MATCH(1,(GMWQ!$LQ$2:$LQ$60=AA$3)*(GMWQ!$LP$2:$LP$60=AA$4)*(GMWQ!$LR$2:$LR$60=AA$1),0),$B80-1966)</f>
        <v>55016</v>
      </c>
      <c r="AB80" s="7" cm="1">
        <f t="array" ref="AB80">INDEX(GMWQ!$A$2:$LR$60,MATCH(1,(GMWQ!$LQ$2:$LQ$60=AB$3)*(GMWQ!$LP$2:$LP$60=AB$4)*(GMWQ!$LR$2:$LR$60=AB$1),0),$B80-1966)</f>
        <v>56325</v>
      </c>
      <c r="AC80" s="7" cm="1">
        <f t="array" ref="AC80">INDEX(GMWQ!$A$2:$LR$60,MATCH(1,(GMWQ!$LQ$2:$LQ$60=AC$3)*(GMWQ!$LP$2:$LP$60=AC$4)*(GMWQ!$LR$2:$LR$60=AC$1),0),$B80-1966)</f>
        <v>1018</v>
      </c>
      <c r="AD80" s="7" cm="1">
        <f t="array" ref="AD80">INDEX(GMWQ!$A$2:$LR$60,MATCH(1,(GMWQ!$LQ$2:$LQ$60=AD$3)*(GMWQ!$LP$2:$LP$60=AD$4)*(GMWQ!$LR$2:$LR$60=AD$1),0),$B80-1966)</f>
        <v>5135</v>
      </c>
      <c r="AE80" s="7" cm="1">
        <f t="array" ref="AE80">INDEX(GMWQ!$A$2:$LR$60,MATCH(1,(GMWQ!$LQ$2:$LQ$60=AE$3)*(GMWQ!$LP$2:$LP$60=AE$4)*(GMWQ!$LR$2:$LR$60=AE$1),0),$B80-1966)</f>
        <v>175821</v>
      </c>
      <c r="AF80" s="20" cm="1">
        <f t="array" ref="AF80">INDEX(GMWQ!$A$2:$LR$60,MATCH(1,(GMWQ!$LQ$2:$LQ$60=AF$3)*(GMWQ!$LP$2:$LP$60=AF$4)*(GMWQ!$LR$2:$LR$60=AF$1),0),$B80-1966)</f>
        <v>11.74423</v>
      </c>
      <c r="AG80" s="20" cm="1">
        <f t="array" ref="AG80">INDEX(GMWQ!$A$2:$LR$60,MATCH(1,(GMWQ!$LQ$2:$LQ$60=AG$3)*(GMWQ!$LP$2:$LP$60=AG$4)*(GMWQ!$LR$2:$LR$60=AG$1),0),$B80-1966)</f>
        <v>-963.99990000000003</v>
      </c>
      <c r="AI80" s="23" cm="1">
        <f t="array" ref="AI80">INDEX(GMWQ!$A$2:$LR$60,MATCH(1,(GMWQ!$LQ$2:$LQ$60=AI$3)*(GMWQ!$LP$2:$LP$60=AI$4)*(GMWQ!$LR$2:$LR$60=AI$1),0),$B80-1966)</f>
        <v>113790</v>
      </c>
      <c r="AJ80" s="23" cm="1">
        <f t="array" ref="AJ80">INDEX(GMWQ!$A$2:$LR$60,MATCH(1,(GMWQ!$LQ$2:$LQ$60=AJ$3)*(GMWQ!$LP$2:$LP$60=AJ$4)*(GMWQ!$LR$2:$LR$60=AJ$1),0),$B80-1966)</f>
        <v>60.072189999999999</v>
      </c>
      <c r="AK80" s="23" cm="1">
        <f t="array" ref="AK80">INDEX(GMWQ!$A$2:$LR$60,MATCH(1,(GMWQ!$LQ$2:$LQ$60=AK$3)*(GMWQ!$LP$2:$LP$60=AK$4)*(GMWQ!$LR$2:$LR$60=AK$1),0),$B80-1966)</f>
        <v>72227</v>
      </c>
      <c r="AL80" s="23" cm="1">
        <f t="array" ref="AL80">INDEX(GMWQ!$A$2:$LR$60,MATCH(1,(GMWQ!$LQ$2:$LQ$60=AL$3)*(GMWQ!$LP$2:$LP$60=AL$4)*(GMWQ!$LR$2:$LR$60=AL$1),0),$B80-1966)</f>
        <v>3293.2919999999999</v>
      </c>
      <c r="AM80" s="23" cm="1">
        <f t="array" ref="AM80">INDEX(GMWQ!$A$2:$LR$60,MATCH(1,(GMWQ!$LQ$2:$LQ$60=AM$3)*(GMWQ!$LP$2:$LP$60=AM$4)*(GMWQ!$LR$2:$LR$60=AM$1),0),$B80-1966)</f>
        <v>21931.55</v>
      </c>
      <c r="AN80" s="23" cm="1">
        <f t="array" ref="AN80">INDEX(GMWQ!$A$2:$LR$60,MATCH(1,(GMWQ!$LQ$2:$LQ$60=AN$3)*(GMWQ!$LP$2:$LP$60=AN$4)*(GMWQ!$LR$2:$LR$60=AN$1),0),$B80-1966)</f>
        <v>16626</v>
      </c>
      <c r="AO80" s="23" cm="1">
        <f t="array" ref="AO80">INDEX(GMWQ!$A$2:$LR$60,MATCH(1,(GMWQ!$LQ$2:$LQ$60=AO$3)*(GMWQ!$LP$2:$LP$60=AO$4)*(GMWQ!$LR$2:$LR$60=AO$1),0),$B80-1966)</f>
        <v>4140</v>
      </c>
      <c r="AP80" s="23" cm="1">
        <f t="array" ref="AP80">INDEX(GMWQ!$A$2:$LR$60,MATCH(1,(GMWQ!$LQ$2:$LQ$60=AP$3)*(GMWQ!$LP$2:$LP$60=AP$4)*(GMWQ!$LR$2:$LR$60=AP$1),0),$B80-1966)</f>
        <v>-963.99990000000003</v>
      </c>
      <c r="AQ80" s="23" cm="1">
        <f t="array" ref="AQ80">INDEX(GMWQ!$A$2:$LR$60,MATCH(1,(GMWQ!$LQ$2:$LQ$60=AQ$3)*(GMWQ!$LP$2:$LP$60=AQ$4)*(GMWQ!$LR$2:$LR$60=AQ$1),0),$B80-1966)</f>
        <v>18626</v>
      </c>
      <c r="AR80" s="23" cm="1">
        <f t="array" ref="AR80">INDEX(GMWQ!$A$2:$LR$60,MATCH(1,(GMWQ!$LQ$2:$LQ$60=AR$3)*(GMWQ!$LP$2:$LP$60=AR$4)*(GMWQ!$LR$2:$LR$60=AR$1),0),$B80-1966)</f>
        <v>107349</v>
      </c>
      <c r="AS80" s="23" cm="1">
        <f t="array" ref="AS80">INDEX(GMWQ!$A$2:$LR$60,MATCH(1,(GMWQ!$LQ$2:$LQ$60=AS$3)*(GMWQ!$LP$2:$LP$60=AS$4)*(GMWQ!$LR$2:$LR$60=AS$1),0),$B80-1966)</f>
        <v>1915</v>
      </c>
      <c r="AT80" s="23" cm="1">
        <f t="array" ref="AT80">INDEX(GMWQ!$A$2:$LR$60,MATCH(1,(GMWQ!$LQ$2:$LQ$60=AT$3)*(GMWQ!$LP$2:$LP$60=AT$4)*(GMWQ!$LR$2:$LR$60=AT$1),0),$B80-1966)</f>
        <v>178700</v>
      </c>
      <c r="AU80" s="23" cm="1">
        <f t="array" ref="AU80">INDEX(GMWQ!$A$2:$LR$60,MATCH(1,(GMWQ!$LQ$2:$LQ$60=AU$3)*(GMWQ!$LP$2:$LP$60=AU$4)*(GMWQ!$LR$2:$LR$60=AU$1),0),$B80-1966)</f>
        <v>5436</v>
      </c>
    </row>
    <row r="81" spans="1:47" x14ac:dyDescent="0.35">
      <c r="B81" s="7">
        <f t="shared" si="2"/>
        <v>2047</v>
      </c>
      <c r="C81" s="7" cm="1">
        <f t="array" ref="C81">INDEX(GMWQ!$A$2:$LR$60,MATCH(1,(GMWQ!$LQ$2:$LQ$60=C$3)*(GMWQ!$LP$2:$LP$60=C$4)*(GMWQ!$LR$2:$LR$60=C$1),0),$B81-1966)</f>
        <v>311624</v>
      </c>
      <c r="D81" s="7" cm="1">
        <f t="array" ref="D81">INDEX(GMWQ!$A$2:$LR$60,MATCH(1,(GMWQ!$LQ$2:$LQ$60=D$3)*(GMWQ!$LP$2:$LP$60=D$4)*(GMWQ!$LR$2:$LR$60=D$1),0),$B81-1966)</f>
        <v>198.7286</v>
      </c>
      <c r="E81" s="7" cm="1">
        <f t="array" ref="E81">INDEX(GMWQ!$A$2:$LR$60,MATCH(1,(GMWQ!$LQ$2:$LQ$60=E$3)*(GMWQ!$LP$2:$LP$60=E$4)*(GMWQ!$LR$2:$LR$60=E$1),0),$B81-1966)</f>
        <v>60.833329999999997</v>
      </c>
      <c r="F81" s="7" cm="1">
        <f t="array" ref="F81">INDEX(GMWQ!$A$2:$LR$60,MATCH(1,(GMWQ!$LQ$2:$LQ$60=F$3)*(GMWQ!$LP$2:$LP$60=F$4)*(GMWQ!$LR$2:$LR$60=F$1),0),$B81-1966)</f>
        <v>73567</v>
      </c>
      <c r="G81" s="7" cm="1">
        <f t="array" ref="G81">INDEX(GMWQ!$A$2:$LR$60,MATCH(1,(GMWQ!$LQ$2:$LQ$60=G$3)*(GMWQ!$LP$2:$LP$60=G$4)*(GMWQ!$LR$2:$LR$60=G$1),0),$B81-1966)</f>
        <v>16532</v>
      </c>
      <c r="H81" s="7" cm="1">
        <f t="array" ref="H81">INDEX(GMWQ!$A$2:$LR$60,MATCH(1,(GMWQ!$LQ$2:$LQ$60=H$3)*(GMWQ!$LP$2:$LP$60=H$4)*(GMWQ!$LR$2:$LR$60=H$1),0),$B81-1966)</f>
        <v>4170</v>
      </c>
      <c r="I81" s="7" cm="1">
        <f t="array" ref="I81">INDEX(GMWQ!$A$2:$LR$60,MATCH(1,(GMWQ!$LQ$2:$LQ$60=I$3)*(GMWQ!$LP$2:$LP$60=I$4)*(GMWQ!$LR$2:$LR$60=I$1),0),$B81-1966)</f>
        <v>60.836930000000002</v>
      </c>
      <c r="J81" s="7" cm="1">
        <f t="array" ref="J81">INDEX(GMWQ!$A$2:$LR$60,MATCH(1,(GMWQ!$LQ$2:$LQ$60=J$3)*(GMWQ!$LP$2:$LP$60=J$4)*(GMWQ!$LR$2:$LR$60=J$1),0),$B81-1966)</f>
        <v>21810.03</v>
      </c>
      <c r="K81" s="7" cm="1">
        <f t="array" ref="K81">INDEX(GMWQ!$A$2:$LR$60,MATCH(1,(GMWQ!$LQ$2:$LQ$60=K$3)*(GMWQ!$LP$2:$LP$60=K$4)*(GMWQ!$LR$2:$LR$60=K$1),0),$B81-1966)</f>
        <v>10.375</v>
      </c>
      <c r="L81" s="7" cm="1">
        <f t="array" ref="L81">INDEX(GMWQ!$A$2:$LR$60,MATCH(1,(GMWQ!$LQ$2:$LQ$60=L$3)*(GMWQ!$LP$2:$LP$60=L$4)*(GMWQ!$LR$2:$LR$60=L$1),0),$B81-1966)</f>
        <v>9.1999999999999993</v>
      </c>
      <c r="M81" s="7" cm="1">
        <f t="array" ref="M81">INDEX(GMWQ!$A$2:$LR$60,MATCH(1,(GMWQ!$LQ$2:$LQ$60=M$3)*(GMWQ!$LP$2:$LP$60=M$4)*(GMWQ!$LR$2:$LR$60=M$1),0),$B81-1966)</f>
        <v>30.356829999999999</v>
      </c>
      <c r="N81" s="7" cm="1">
        <f t="array" ref="N81">INDEX(GMWQ!$A$2:$LR$60,MATCH(1,(GMWQ!$LQ$2:$LQ$60=N$3)*(GMWQ!$LP$2:$LP$60=N$4)*(GMWQ!$LR$2:$LR$60=N$1),0),$B81-1966)</f>
        <v>10251</v>
      </c>
      <c r="O81" s="7" cm="1">
        <f t="array" ref="O81">INDEX(GMWQ!$A$2:$LR$60,MATCH(1,(GMWQ!$LQ$2:$LQ$60=O$3)*(GMWQ!$LP$2:$LP$60=O$4)*(GMWQ!$LR$2:$LR$60=O$1),0),$B81-1966)</f>
        <v>9917</v>
      </c>
      <c r="P81" s="7" cm="1">
        <f t="array" ref="P81">INDEX(GMWQ!$A$2:$LR$60,MATCH(1,(GMWQ!$LQ$2:$LQ$60=P$3)*(GMWQ!$LP$2:$LP$60=P$4)*(GMWQ!$LR$2:$LR$60=P$1),0),$B81-1966)</f>
        <v>118607</v>
      </c>
      <c r="Q81" s="7" cm="1">
        <f t="array" ref="Q81">INDEX(GMWQ!$A$2:$LR$60,MATCH(1,(GMWQ!$LQ$2:$LQ$60=Q$3)*(GMWQ!$LP$2:$LP$60=Q$4)*(GMWQ!$LR$2:$LR$60=Q$1),0),$B81-1966)</f>
        <v>11.82</v>
      </c>
      <c r="R81" s="7" cm="1">
        <f t="array" ref="R81">INDEX(GMWQ!$A$2:$LR$60,MATCH(1,(GMWQ!$LQ$2:$LQ$60=R$3)*(GMWQ!$LP$2:$LP$60=R$4)*(GMWQ!$LR$2:$LR$60=R$1),0),$B81-1966)</f>
        <v>1E-3</v>
      </c>
      <c r="S81" s="7" cm="1">
        <f t="array" ref="S81">INDEX(GMWQ!$A$2:$LR$60,MATCH(1,(GMWQ!$LQ$2:$LQ$60=S$3)*(GMWQ!$LP$2:$LP$60=S$4)*(GMWQ!$LR$2:$LR$60=S$1),0),$B81-1966)</f>
        <v>322</v>
      </c>
      <c r="T81" s="7" cm="1">
        <f t="array" ref="T81">INDEX(GMWQ!$A$2:$LR$60,MATCH(1,(GMWQ!$LQ$2:$LQ$60=T$3)*(GMWQ!$LP$2:$LP$60=T$4)*(GMWQ!$LR$2:$LR$60=T$1),0),$B81-1966)</f>
        <v>1E-3</v>
      </c>
      <c r="U81" s="7" cm="1">
        <f t="array" ref="U81">INDEX(GMWQ!$A$2:$LR$60,MATCH(1,(GMWQ!$LQ$2:$LQ$60=U$3)*(GMWQ!$LP$2:$LP$60=U$4)*(GMWQ!$LR$2:$LR$60=U$1),0),$B81-1966)</f>
        <v>5562.4849999999997</v>
      </c>
      <c r="V81" s="7" cm="1">
        <f t="array" ref="V81">INDEX(GMWQ!$A$2:$LR$60,MATCH(1,(GMWQ!$LQ$2:$LQ$60=V$3)*(GMWQ!$LP$2:$LP$60=V$4)*(GMWQ!$LR$2:$LR$60=V$1),0),$B81-1966)</f>
        <v>1E-3</v>
      </c>
      <c r="W81" s="7" cm="1">
        <f t="array" ref="W81">INDEX(GMWQ!$A$2:$LR$60,MATCH(1,(GMWQ!$LQ$2:$LQ$60=W$3)*(GMWQ!$LP$2:$LP$60=W$4)*(GMWQ!$LR$2:$LR$60=W$1),0),$B81-1966)</f>
        <v>21.63072</v>
      </c>
      <c r="X81" s="7" cm="1">
        <f t="array" ref="X81">INDEX(GMWQ!$A$2:$LR$60,MATCH(1,(GMWQ!$LQ$2:$LQ$60=X$3)*(GMWQ!$LP$2:$LP$60=X$4)*(GMWQ!$LR$2:$LR$60=X$1),0),$B81-1966)</f>
        <v>1111841</v>
      </c>
      <c r="Y81" s="7" cm="1">
        <f t="array" ref="Y81">INDEX(GMWQ!$A$2:$LR$60,MATCH(1,(GMWQ!$LQ$2:$LQ$60=Y$3)*(GMWQ!$LP$2:$LP$60=Y$4)*(GMWQ!$LR$2:$LR$60=Y$1),0),$B81-1966)</f>
        <v>56.889389999999999</v>
      </c>
      <c r="Z81" s="7" cm="1">
        <f t="array" ref="Z81">INDEX(GMWQ!$A$2:$LR$60,MATCH(1,(GMWQ!$LQ$2:$LQ$60=Z$3)*(GMWQ!$LP$2:$LP$60=Z$4)*(GMWQ!$LR$2:$LR$60=Z$1),0),$B81-1966)</f>
        <v>317441</v>
      </c>
      <c r="AA81" s="7" cm="1">
        <f t="array" ref="AA81">INDEX(GMWQ!$A$2:$LR$60,MATCH(1,(GMWQ!$LQ$2:$LQ$60=AA$3)*(GMWQ!$LP$2:$LP$60=AA$4)*(GMWQ!$LR$2:$LR$60=AA$1),0),$B81-1966)</f>
        <v>58618</v>
      </c>
      <c r="AB81" s="7" cm="1">
        <f t="array" ref="AB81">INDEX(GMWQ!$A$2:$LR$60,MATCH(1,(GMWQ!$LQ$2:$LQ$60=AB$3)*(GMWQ!$LP$2:$LP$60=AB$4)*(GMWQ!$LR$2:$LR$60=AB$1),0),$B81-1966)</f>
        <v>57414</v>
      </c>
      <c r="AC81" s="7" cm="1">
        <f t="array" ref="AC81">INDEX(GMWQ!$A$2:$LR$60,MATCH(1,(GMWQ!$LQ$2:$LQ$60=AC$3)*(GMWQ!$LP$2:$LP$60=AC$4)*(GMWQ!$LR$2:$LR$60=AC$1),0),$B81-1966)</f>
        <v>1773</v>
      </c>
      <c r="AD81" s="7" cm="1">
        <f t="array" ref="AD81">INDEX(GMWQ!$A$2:$LR$60,MATCH(1,(GMWQ!$LQ$2:$LQ$60=AD$3)*(GMWQ!$LP$2:$LP$60=AD$4)*(GMWQ!$LR$2:$LR$60=AD$1),0),$B81-1966)</f>
        <v>5163</v>
      </c>
      <c r="AE81" s="7" cm="1">
        <f t="array" ref="AE81">INDEX(GMWQ!$A$2:$LR$60,MATCH(1,(GMWQ!$LQ$2:$LQ$60=AE$3)*(GMWQ!$LP$2:$LP$60=AE$4)*(GMWQ!$LR$2:$LR$60=AE$1),0),$B81-1966)</f>
        <v>177281</v>
      </c>
      <c r="AF81" s="20" cm="1">
        <f t="array" ref="AF81">INDEX(GMWQ!$A$2:$LR$60,MATCH(1,(GMWQ!$LQ$2:$LQ$60=AF$3)*(GMWQ!$LP$2:$LP$60=AF$4)*(GMWQ!$LR$2:$LR$60=AF$1),0),$B81-1966)</f>
        <v>10.799239999999999</v>
      </c>
      <c r="AG81" s="20" cm="1">
        <f t="array" ref="AG81">INDEX(GMWQ!$A$2:$LR$60,MATCH(1,(GMWQ!$LQ$2:$LQ$60=AG$3)*(GMWQ!$LP$2:$LP$60=AG$4)*(GMWQ!$LR$2:$LR$60=AG$1),0),$B81-1966)</f>
        <v>-334</v>
      </c>
      <c r="AI81" s="23" cm="1">
        <f t="array" ref="AI81">INDEX(GMWQ!$A$2:$LR$60,MATCH(1,(GMWQ!$LQ$2:$LQ$60=AI$3)*(GMWQ!$LP$2:$LP$60=AI$4)*(GMWQ!$LR$2:$LR$60=AI$1),0),$B81-1966)</f>
        <v>118607</v>
      </c>
      <c r="AJ81" s="23" cm="1">
        <f t="array" ref="AJ81">INDEX(GMWQ!$A$2:$LR$60,MATCH(1,(GMWQ!$LQ$2:$LQ$60=AJ$3)*(GMWQ!$LP$2:$LP$60=AJ$4)*(GMWQ!$LR$2:$LR$60=AJ$1),0),$B81-1966)</f>
        <v>60.836930000000002</v>
      </c>
      <c r="AK81" s="23" cm="1">
        <f t="array" ref="AK81">INDEX(GMWQ!$A$2:$LR$60,MATCH(1,(GMWQ!$LQ$2:$LQ$60=AK$3)*(GMWQ!$LP$2:$LP$60=AK$4)*(GMWQ!$LR$2:$LR$60=AK$1),0),$B81-1966)</f>
        <v>73567</v>
      </c>
      <c r="AL81" s="23" cm="1">
        <f t="array" ref="AL81">INDEX(GMWQ!$A$2:$LR$60,MATCH(1,(GMWQ!$LQ$2:$LQ$60=AL$3)*(GMWQ!$LP$2:$LP$60=AL$4)*(GMWQ!$LR$2:$LR$60=AL$1),0),$B81-1966)</f>
        <v>3373.0810000000001</v>
      </c>
      <c r="AM81" s="23" cm="1">
        <f t="array" ref="AM81">INDEX(GMWQ!$A$2:$LR$60,MATCH(1,(GMWQ!$LQ$2:$LQ$60=AM$3)*(GMWQ!$LP$2:$LP$60=AM$4)*(GMWQ!$LR$2:$LR$60=AM$1),0),$B81-1966)</f>
        <v>21810.03</v>
      </c>
      <c r="AN81" s="23" cm="1">
        <f t="array" ref="AN81">INDEX(GMWQ!$A$2:$LR$60,MATCH(1,(GMWQ!$LQ$2:$LQ$60=AN$3)*(GMWQ!$LP$2:$LP$60=AN$4)*(GMWQ!$LR$2:$LR$60=AN$1),0),$B81-1966)</f>
        <v>16532</v>
      </c>
      <c r="AO81" s="23" cm="1">
        <f t="array" ref="AO81">INDEX(GMWQ!$A$2:$LR$60,MATCH(1,(GMWQ!$LQ$2:$LQ$60=AO$3)*(GMWQ!$LP$2:$LP$60=AO$4)*(GMWQ!$LR$2:$LR$60=AO$1),0),$B81-1966)</f>
        <v>4170</v>
      </c>
      <c r="AP81" s="23" cm="1">
        <f t="array" ref="AP81">INDEX(GMWQ!$A$2:$LR$60,MATCH(1,(GMWQ!$LQ$2:$LQ$60=AP$3)*(GMWQ!$LP$2:$LP$60=AP$4)*(GMWQ!$LR$2:$LR$60=AP$1),0),$B81-1966)</f>
        <v>-334</v>
      </c>
      <c r="AQ81" s="23" cm="1">
        <f t="array" ref="AQ81">INDEX(GMWQ!$A$2:$LR$60,MATCH(1,(GMWQ!$LQ$2:$LQ$60=AQ$3)*(GMWQ!$LP$2:$LP$60=AQ$4)*(GMWQ!$LR$2:$LR$60=AQ$1),0),$B81-1966)</f>
        <v>19291</v>
      </c>
      <c r="AR81" s="23" cm="1">
        <f t="array" ref="AR81">INDEX(GMWQ!$A$2:$LR$60,MATCH(1,(GMWQ!$LQ$2:$LQ$60=AR$3)*(GMWQ!$LP$2:$LP$60=AR$4)*(GMWQ!$LR$2:$LR$60=AR$1),0),$B81-1966)</f>
        <v>108833</v>
      </c>
      <c r="AS81" s="23" cm="1">
        <f t="array" ref="AS81">INDEX(GMWQ!$A$2:$LR$60,MATCH(1,(GMWQ!$LQ$2:$LQ$60=AS$3)*(GMWQ!$LP$2:$LP$60=AS$4)*(GMWQ!$LR$2:$LR$60=AS$1),0),$B81-1966)</f>
        <v>1890</v>
      </c>
      <c r="AT81" s="23" cm="1">
        <f t="array" ref="AT81">INDEX(GMWQ!$A$2:$LR$60,MATCH(1,(GMWQ!$LQ$2:$LQ$60=AT$3)*(GMWQ!$LP$2:$LP$60=AT$4)*(GMWQ!$LR$2:$LR$60=AT$1),0),$B81-1966)</f>
        <v>178893</v>
      </c>
      <c r="AU81" s="23" cm="1">
        <f t="array" ref="AU81">INDEX(GMWQ!$A$2:$LR$60,MATCH(1,(GMWQ!$LQ$2:$LQ$60=AU$3)*(GMWQ!$LP$2:$LP$60=AU$4)*(GMWQ!$LR$2:$LR$60=AU$1),0),$B81-1966)</f>
        <v>5488</v>
      </c>
    </row>
    <row r="82" spans="1:47" x14ac:dyDescent="0.35">
      <c r="B82" s="7">
        <f t="shared" si="2"/>
        <v>2048</v>
      </c>
      <c r="C82" s="7" cm="1">
        <f t="array" ref="C82">INDEX(GMWQ!$A$2:$LR$60,MATCH(1,(GMWQ!$LQ$2:$LQ$60=C$3)*(GMWQ!$LP$2:$LP$60=C$4)*(GMWQ!$LR$2:$LR$60=C$1),0),$B82-1966)</f>
        <v>312006</v>
      </c>
      <c r="D82" s="7" cm="1">
        <f t="array" ref="D82">INDEX(GMWQ!$A$2:$LR$60,MATCH(1,(GMWQ!$LQ$2:$LQ$60=D$3)*(GMWQ!$LP$2:$LP$60=D$4)*(GMWQ!$LR$2:$LR$60=D$1),0),$B82-1966)</f>
        <v>202.2243</v>
      </c>
      <c r="E82" s="7" cm="1">
        <f t="array" ref="E82">INDEX(GMWQ!$A$2:$LR$60,MATCH(1,(GMWQ!$LQ$2:$LQ$60=E$3)*(GMWQ!$LP$2:$LP$60=E$4)*(GMWQ!$LR$2:$LR$60=E$1),0),$B82-1966)</f>
        <v>61.466670000000001</v>
      </c>
      <c r="F82" s="7" cm="1">
        <f t="array" ref="F82">INDEX(GMWQ!$A$2:$LR$60,MATCH(1,(GMWQ!$LQ$2:$LQ$60=F$3)*(GMWQ!$LP$2:$LP$60=F$4)*(GMWQ!$LR$2:$LR$60=F$1),0),$B82-1966)</f>
        <v>74440</v>
      </c>
      <c r="G82" s="7" cm="1">
        <f t="array" ref="G82">INDEX(GMWQ!$A$2:$LR$60,MATCH(1,(GMWQ!$LQ$2:$LQ$60=G$3)*(GMWQ!$LP$2:$LP$60=G$4)*(GMWQ!$LR$2:$LR$60=G$1),0),$B82-1966)</f>
        <v>16306</v>
      </c>
      <c r="H82" s="7" cm="1">
        <f t="array" ref="H82">INDEX(GMWQ!$A$2:$LR$60,MATCH(1,(GMWQ!$LQ$2:$LQ$60=H$3)*(GMWQ!$LP$2:$LP$60=H$4)*(GMWQ!$LR$2:$LR$60=H$1),0),$B82-1966)</f>
        <v>4401</v>
      </c>
      <c r="I82" s="7" cm="1">
        <f t="array" ref="I82">INDEX(GMWQ!$A$2:$LR$60,MATCH(1,(GMWQ!$LQ$2:$LQ$60=I$3)*(GMWQ!$LP$2:$LP$60=I$4)*(GMWQ!$LR$2:$LR$60=I$1),0),$B82-1966)</f>
        <v>61.531619999999997</v>
      </c>
      <c r="J82" s="7" cm="1">
        <f t="array" ref="J82">INDEX(GMWQ!$A$2:$LR$60,MATCH(1,(GMWQ!$LQ$2:$LQ$60=J$3)*(GMWQ!$LP$2:$LP$60=J$4)*(GMWQ!$LR$2:$LR$60=J$1),0),$B82-1966)</f>
        <v>21690.32</v>
      </c>
      <c r="K82" s="7" cm="1">
        <f t="array" ref="K82">INDEX(GMWQ!$A$2:$LR$60,MATCH(1,(GMWQ!$LQ$2:$LQ$60=K$3)*(GMWQ!$LP$2:$LP$60=K$4)*(GMWQ!$LR$2:$LR$60=K$1),0),$B82-1966)</f>
        <v>10.375</v>
      </c>
      <c r="L82" s="7" cm="1">
        <f t="array" ref="L82">INDEX(GMWQ!$A$2:$LR$60,MATCH(1,(GMWQ!$LQ$2:$LQ$60=L$3)*(GMWQ!$LP$2:$LP$60=L$4)*(GMWQ!$LR$2:$LR$60=L$1),0),$B82-1966)</f>
        <v>9.5</v>
      </c>
      <c r="M82" s="7" cm="1">
        <f t="array" ref="M82">INDEX(GMWQ!$A$2:$LR$60,MATCH(1,(GMWQ!$LQ$2:$LQ$60=M$3)*(GMWQ!$LP$2:$LP$60=M$4)*(GMWQ!$LR$2:$LR$60=M$1),0),$B82-1966)</f>
        <v>30.68695</v>
      </c>
      <c r="N82" s="7" cm="1">
        <f t="array" ref="N82">INDEX(GMWQ!$A$2:$LR$60,MATCH(1,(GMWQ!$LQ$2:$LQ$60=N$3)*(GMWQ!$LP$2:$LP$60=N$4)*(GMWQ!$LR$2:$LR$60=N$1),0),$B82-1966)</f>
        <v>9965</v>
      </c>
      <c r="O82" s="7" cm="1">
        <f t="array" ref="O82">INDEX(GMWQ!$A$2:$LR$60,MATCH(1,(GMWQ!$LQ$2:$LQ$60=O$3)*(GMWQ!$LP$2:$LP$60=O$4)*(GMWQ!$LR$2:$LR$60=O$1),0),$B82-1966)</f>
        <v>8876</v>
      </c>
      <c r="P82" s="7" cm="1">
        <f t="array" ref="P82">INDEX(GMWQ!$A$2:$LR$60,MATCH(1,(GMWQ!$LQ$2:$LQ$60=P$3)*(GMWQ!$LP$2:$LP$60=P$4)*(GMWQ!$LR$2:$LR$60=P$1),0),$B82-1966)</f>
        <v>119800</v>
      </c>
      <c r="Q82" s="7" cm="1">
        <f t="array" ref="Q82">INDEX(GMWQ!$A$2:$LR$60,MATCH(1,(GMWQ!$LQ$2:$LQ$60=Q$3)*(GMWQ!$LP$2:$LP$60=Q$4)*(GMWQ!$LR$2:$LR$60=Q$1),0),$B82-1966)</f>
        <v>11.39</v>
      </c>
      <c r="R82" s="7" cm="1">
        <f t="array" ref="R82">INDEX(GMWQ!$A$2:$LR$60,MATCH(1,(GMWQ!$LQ$2:$LQ$60=R$3)*(GMWQ!$LP$2:$LP$60=R$4)*(GMWQ!$LR$2:$LR$60=R$1),0),$B82-1966)</f>
        <v>1E-3</v>
      </c>
      <c r="S82" s="7" cm="1">
        <f t="array" ref="S82">INDEX(GMWQ!$A$2:$LR$60,MATCH(1,(GMWQ!$LQ$2:$LQ$60=S$3)*(GMWQ!$LP$2:$LP$60=S$4)*(GMWQ!$LR$2:$LR$60=S$1),0),$B82-1966)</f>
        <v>303</v>
      </c>
      <c r="T82" s="7" cm="1">
        <f t="array" ref="T82">INDEX(GMWQ!$A$2:$LR$60,MATCH(1,(GMWQ!$LQ$2:$LQ$60=T$3)*(GMWQ!$LP$2:$LP$60=T$4)*(GMWQ!$LR$2:$LR$60=T$1),0),$B82-1966)</f>
        <v>1E-3</v>
      </c>
      <c r="U82" s="7" cm="1">
        <f t="array" ref="U82">INDEX(GMWQ!$A$2:$LR$60,MATCH(1,(GMWQ!$LQ$2:$LQ$60=U$3)*(GMWQ!$LP$2:$LP$60=U$4)*(GMWQ!$LR$2:$LR$60=U$1),0),$B82-1966)</f>
        <v>4941.1360000000004</v>
      </c>
      <c r="V82" s="7" cm="1">
        <f t="array" ref="V82">INDEX(GMWQ!$A$2:$LR$60,MATCH(1,(GMWQ!$LQ$2:$LQ$60=V$3)*(GMWQ!$LP$2:$LP$60=V$4)*(GMWQ!$LR$2:$LR$60=V$1),0),$B82-1966)</f>
        <v>1E-3</v>
      </c>
      <c r="W82" s="7" cm="1">
        <f t="array" ref="W82">INDEX(GMWQ!$A$2:$LR$60,MATCH(1,(GMWQ!$LQ$2:$LQ$60=W$3)*(GMWQ!$LP$2:$LP$60=W$4)*(GMWQ!$LR$2:$LR$60=W$1),0),$B82-1966)</f>
        <v>20.342780000000001</v>
      </c>
      <c r="X82" s="7" cm="1">
        <f t="array" ref="X82">INDEX(GMWQ!$A$2:$LR$60,MATCH(1,(GMWQ!$LQ$2:$LQ$60=X$3)*(GMWQ!$LP$2:$LP$60=X$4)*(GMWQ!$LR$2:$LR$60=X$1),0),$B82-1966)</f>
        <v>1128075</v>
      </c>
      <c r="Y82" s="7" cm="1">
        <f t="array" ref="Y82">INDEX(GMWQ!$A$2:$LR$60,MATCH(1,(GMWQ!$LQ$2:$LQ$60=Y$3)*(GMWQ!$LP$2:$LP$60=Y$4)*(GMWQ!$LR$2:$LR$60=Y$1),0),$B82-1966)</f>
        <v>57.55979</v>
      </c>
      <c r="Z82" s="7" cm="1">
        <f t="array" ref="Z82">INDEX(GMWQ!$A$2:$LR$60,MATCH(1,(GMWQ!$LQ$2:$LQ$60=Z$3)*(GMWQ!$LP$2:$LP$60=Z$4)*(GMWQ!$LR$2:$LR$60=Z$1),0),$B82-1966)</f>
        <v>318334.90000000002</v>
      </c>
      <c r="AA82" s="7" cm="1">
        <f t="array" ref="AA82">INDEX(GMWQ!$A$2:$LR$60,MATCH(1,(GMWQ!$LQ$2:$LQ$60=AA$3)*(GMWQ!$LP$2:$LP$60=AA$4)*(GMWQ!$LR$2:$LR$60=AA$1),0),$B82-1966)</f>
        <v>61820</v>
      </c>
      <c r="AB82" s="7" cm="1">
        <f t="array" ref="AB82">INDEX(GMWQ!$A$2:$LR$60,MATCH(1,(GMWQ!$LQ$2:$LQ$60=AB$3)*(GMWQ!$LP$2:$LP$60=AB$4)*(GMWQ!$LR$2:$LR$60=AB$1),0),$B82-1966)</f>
        <v>58776</v>
      </c>
      <c r="AC82" s="7" cm="1">
        <f t="array" ref="AC82">INDEX(GMWQ!$A$2:$LR$60,MATCH(1,(GMWQ!$LQ$2:$LQ$60=AC$3)*(GMWQ!$LP$2:$LP$60=AC$4)*(GMWQ!$LR$2:$LR$60=AC$1),0),$B82-1966)</f>
        <v>1970</v>
      </c>
      <c r="AD82" s="7" cm="1">
        <f t="array" ref="AD82">INDEX(GMWQ!$A$2:$LR$60,MATCH(1,(GMWQ!$LQ$2:$LQ$60=AD$3)*(GMWQ!$LP$2:$LP$60=AD$4)*(GMWQ!$LR$2:$LR$60=AD$1),0),$B82-1966)</f>
        <v>5180</v>
      </c>
      <c r="AE82" s="7" cm="1">
        <f t="array" ref="AE82">INDEX(GMWQ!$A$2:$LR$60,MATCH(1,(GMWQ!$LQ$2:$LQ$60=AE$3)*(GMWQ!$LP$2:$LP$60=AE$4)*(GMWQ!$LR$2:$LR$60=AE$1),0),$B82-1966)</f>
        <v>179590</v>
      </c>
      <c r="AF82" s="20" cm="1">
        <f t="array" ref="AF82">INDEX(GMWQ!$A$2:$LR$60,MATCH(1,(GMWQ!$LQ$2:$LQ$60=AF$3)*(GMWQ!$LP$2:$LP$60=AF$4)*(GMWQ!$LR$2:$LR$60=AF$1),0),$B82-1966)</f>
        <v>10.375</v>
      </c>
      <c r="AG82" s="20" cm="1">
        <f t="array" ref="AG82">INDEX(GMWQ!$A$2:$LR$60,MATCH(1,(GMWQ!$LQ$2:$LQ$60=AG$3)*(GMWQ!$LP$2:$LP$60=AG$4)*(GMWQ!$LR$2:$LR$60=AG$1),0),$B82-1966)</f>
        <v>-1089</v>
      </c>
      <c r="AI82" s="23" cm="1">
        <f t="array" ref="AI82">INDEX(GMWQ!$A$2:$LR$60,MATCH(1,(GMWQ!$LQ$2:$LQ$60=AI$3)*(GMWQ!$LP$2:$LP$60=AI$4)*(GMWQ!$LR$2:$LR$60=AI$1),0),$B82-1966)</f>
        <v>119800</v>
      </c>
      <c r="AJ82" s="23" cm="1">
        <f t="array" ref="AJ82">INDEX(GMWQ!$A$2:$LR$60,MATCH(1,(GMWQ!$LQ$2:$LQ$60=AJ$3)*(GMWQ!$LP$2:$LP$60=AJ$4)*(GMWQ!$LR$2:$LR$60=AJ$1),0),$B82-1966)</f>
        <v>61.531619999999997</v>
      </c>
      <c r="AK82" s="23" cm="1">
        <f t="array" ref="AK82">INDEX(GMWQ!$A$2:$LR$60,MATCH(1,(GMWQ!$LQ$2:$LQ$60=AK$3)*(GMWQ!$LP$2:$LP$60=AK$4)*(GMWQ!$LR$2:$LR$60=AK$1),0),$B82-1966)</f>
        <v>74440</v>
      </c>
      <c r="AL82" s="23" cm="1">
        <f t="array" ref="AL82">INDEX(GMWQ!$A$2:$LR$60,MATCH(1,(GMWQ!$LQ$2:$LQ$60=AL$3)*(GMWQ!$LP$2:$LP$60=AL$4)*(GMWQ!$LR$2:$LR$60=AL$1),0),$B82-1966)</f>
        <v>3431.9459999999999</v>
      </c>
      <c r="AM82" s="23" cm="1">
        <f t="array" ref="AM82">INDEX(GMWQ!$A$2:$LR$60,MATCH(1,(GMWQ!$LQ$2:$LQ$60=AM$3)*(GMWQ!$LP$2:$LP$60=AM$4)*(GMWQ!$LR$2:$LR$60=AM$1),0),$B82-1966)</f>
        <v>21690.32</v>
      </c>
      <c r="AN82" s="23" cm="1">
        <f t="array" ref="AN82">INDEX(GMWQ!$A$2:$LR$60,MATCH(1,(GMWQ!$LQ$2:$LQ$60=AN$3)*(GMWQ!$LP$2:$LP$60=AN$4)*(GMWQ!$LR$2:$LR$60=AN$1),0),$B82-1966)</f>
        <v>16306</v>
      </c>
      <c r="AO82" s="23" cm="1">
        <f t="array" ref="AO82">INDEX(GMWQ!$A$2:$LR$60,MATCH(1,(GMWQ!$LQ$2:$LQ$60=AO$3)*(GMWQ!$LP$2:$LP$60=AO$4)*(GMWQ!$LR$2:$LR$60=AO$1),0),$B82-1966)</f>
        <v>4401</v>
      </c>
      <c r="AP82" s="23" cm="1">
        <f t="array" ref="AP82">INDEX(GMWQ!$A$2:$LR$60,MATCH(1,(GMWQ!$LQ$2:$LQ$60=AP$3)*(GMWQ!$LP$2:$LP$60=AP$4)*(GMWQ!$LR$2:$LR$60=AP$1),0),$B82-1966)</f>
        <v>-1089</v>
      </c>
      <c r="AQ82" s="23" cm="1">
        <f t="array" ref="AQ82">INDEX(GMWQ!$A$2:$LR$60,MATCH(1,(GMWQ!$LQ$2:$LQ$60=AQ$3)*(GMWQ!$LP$2:$LP$60=AQ$4)*(GMWQ!$LR$2:$LR$60=AQ$1),0),$B82-1966)</f>
        <v>19981</v>
      </c>
      <c r="AR82" s="23" cm="1">
        <f t="array" ref="AR82">INDEX(GMWQ!$A$2:$LR$60,MATCH(1,(GMWQ!$LQ$2:$LQ$60=AR$3)*(GMWQ!$LP$2:$LP$60=AR$4)*(GMWQ!$LR$2:$LR$60=AR$1),0),$B82-1966)</f>
        <v>110093</v>
      </c>
      <c r="AS82" s="23" cm="1">
        <f t="array" ref="AS82">INDEX(GMWQ!$A$2:$LR$60,MATCH(1,(GMWQ!$LQ$2:$LQ$60=AS$3)*(GMWQ!$LP$2:$LP$60=AS$4)*(GMWQ!$LR$2:$LR$60=AS$1),0),$B82-1966)</f>
        <v>2005</v>
      </c>
      <c r="AT82" s="23" cm="1">
        <f t="array" ref="AT82">INDEX(GMWQ!$A$2:$LR$60,MATCH(1,(GMWQ!$LQ$2:$LQ$60=AT$3)*(GMWQ!$LP$2:$LP$60=AT$4)*(GMWQ!$LR$2:$LR$60=AT$1),0),$B82-1966)</f>
        <v>178921</v>
      </c>
      <c r="AU82" s="23" cm="1">
        <f t="array" ref="AU82">INDEX(GMWQ!$A$2:$LR$60,MATCH(1,(GMWQ!$LQ$2:$LQ$60=AU$3)*(GMWQ!$LP$2:$LP$60=AU$4)*(GMWQ!$LR$2:$LR$60=AU$1),0),$B82-1966)</f>
        <v>5582</v>
      </c>
    </row>
    <row r="83" spans="1:47" x14ac:dyDescent="0.35">
      <c r="A83" s="7">
        <v>1992</v>
      </c>
      <c r="B83" s="7">
        <f t="shared" si="2"/>
        <v>2049</v>
      </c>
      <c r="C83" s="7" cm="1">
        <f t="array" ref="C83">INDEX(GMWQ!$A$2:$LR$60,MATCH(1,(GMWQ!$LQ$2:$LQ$60=C$3)*(GMWQ!$LP$2:$LP$60=C$4)*(GMWQ!$LR$2:$LR$60=C$1),0),$B83-1966)</f>
        <v>311904</v>
      </c>
      <c r="D83" s="7" cm="1">
        <f t="array" ref="D83">INDEX(GMWQ!$A$2:$LR$60,MATCH(1,(GMWQ!$LQ$2:$LQ$60=D$3)*(GMWQ!$LP$2:$LP$60=D$4)*(GMWQ!$LR$2:$LR$60=D$1),0),$B83-1966)</f>
        <v>203.99180000000001</v>
      </c>
      <c r="E83" s="7" cm="1">
        <f t="array" ref="E83">INDEX(GMWQ!$A$2:$LR$60,MATCH(1,(GMWQ!$LQ$2:$LQ$60=E$3)*(GMWQ!$LP$2:$LP$60=E$4)*(GMWQ!$LR$2:$LR$60=E$1),0),$B83-1966)</f>
        <v>61.7</v>
      </c>
      <c r="F83" s="7" cm="1">
        <f t="array" ref="F83">INDEX(GMWQ!$A$2:$LR$60,MATCH(1,(GMWQ!$LQ$2:$LQ$60=F$3)*(GMWQ!$LP$2:$LP$60=F$4)*(GMWQ!$LR$2:$LR$60=F$1),0),$B83-1966)</f>
        <v>75209</v>
      </c>
      <c r="G83" s="7" cm="1">
        <f t="array" ref="G83">INDEX(GMWQ!$A$2:$LR$60,MATCH(1,(GMWQ!$LQ$2:$LQ$60=G$3)*(GMWQ!$LP$2:$LP$60=G$4)*(GMWQ!$LR$2:$LR$60=G$1),0),$B83-1966)</f>
        <v>17953</v>
      </c>
      <c r="H83" s="7" cm="1">
        <f t="array" ref="H83">INDEX(GMWQ!$A$2:$LR$60,MATCH(1,(GMWQ!$LQ$2:$LQ$60=H$3)*(GMWQ!$LP$2:$LP$60=H$4)*(GMWQ!$LR$2:$LR$60=H$1),0),$B83-1966)</f>
        <v>4397</v>
      </c>
      <c r="I83" s="7" cm="1">
        <f t="array" ref="I83">INDEX(GMWQ!$A$2:$LR$60,MATCH(1,(GMWQ!$LQ$2:$LQ$60=I$3)*(GMWQ!$LP$2:$LP$60=I$4)*(GMWQ!$LR$2:$LR$60=I$1),0),$B83-1966)</f>
        <v>62.24044</v>
      </c>
      <c r="J83" s="7" cm="1">
        <f t="array" ref="J83">INDEX(GMWQ!$A$2:$LR$60,MATCH(1,(GMWQ!$LQ$2:$LQ$60=J$3)*(GMWQ!$LP$2:$LP$60=J$4)*(GMWQ!$LR$2:$LR$60=J$1),0),$B83-1966)</f>
        <v>21686.71</v>
      </c>
      <c r="K83" s="7" cm="1">
        <f t="array" ref="K83">INDEX(GMWQ!$A$2:$LR$60,MATCH(1,(GMWQ!$LQ$2:$LQ$60=K$3)*(GMWQ!$LP$2:$LP$60=K$4)*(GMWQ!$LR$2:$LR$60=K$1),0),$B83-1966)</f>
        <v>10.375</v>
      </c>
      <c r="L83" s="7" cm="1">
        <f t="array" ref="L83">INDEX(GMWQ!$A$2:$LR$60,MATCH(1,(GMWQ!$LQ$2:$LQ$60=L$3)*(GMWQ!$LP$2:$LP$60=L$4)*(GMWQ!$LR$2:$LR$60=L$1),0),$B83-1966)</f>
        <v>9.6999999999999993</v>
      </c>
      <c r="M83" s="7" cm="1">
        <f t="array" ref="M83">INDEX(GMWQ!$A$2:$LR$60,MATCH(1,(GMWQ!$LQ$2:$LQ$60=M$3)*(GMWQ!$LP$2:$LP$60=M$4)*(GMWQ!$LR$2:$LR$60=M$1),0),$B83-1966)</f>
        <v>29.806560000000001</v>
      </c>
      <c r="N83" s="7" cm="1">
        <f t="array" ref="N83">INDEX(GMWQ!$A$2:$LR$60,MATCH(1,(GMWQ!$LQ$2:$LQ$60=N$3)*(GMWQ!$LP$2:$LP$60=N$4)*(GMWQ!$LR$2:$LR$60=N$1),0),$B83-1966)</f>
        <v>11073</v>
      </c>
      <c r="O83" s="7" cm="1">
        <f t="array" ref="O83">INDEX(GMWQ!$A$2:$LR$60,MATCH(1,(GMWQ!$LQ$2:$LQ$60=O$3)*(GMWQ!$LP$2:$LP$60=O$4)*(GMWQ!$LR$2:$LR$60=O$1),0),$B83-1966)</f>
        <v>11087</v>
      </c>
      <c r="P83" s="7" cm="1">
        <f t="array" ref="P83">INDEX(GMWQ!$A$2:$LR$60,MATCH(1,(GMWQ!$LQ$2:$LQ$60=P$3)*(GMWQ!$LP$2:$LP$60=P$4)*(GMWQ!$LR$2:$LR$60=P$1),0),$B83-1966)</f>
        <v>121876</v>
      </c>
      <c r="Q83" s="7" cm="1">
        <f t="array" ref="Q83">INDEX(GMWQ!$A$2:$LR$60,MATCH(1,(GMWQ!$LQ$2:$LQ$60=Q$3)*(GMWQ!$LP$2:$LP$60=Q$4)*(GMWQ!$LR$2:$LR$60=Q$1),0),$B83-1966)</f>
        <v>10.96</v>
      </c>
      <c r="R83" s="7" cm="1">
        <f t="array" ref="R83">INDEX(GMWQ!$A$2:$LR$60,MATCH(1,(GMWQ!$LQ$2:$LQ$60=R$3)*(GMWQ!$LP$2:$LP$60=R$4)*(GMWQ!$LR$2:$LR$60=R$1),0),$B83-1966)</f>
        <v>1E-3</v>
      </c>
      <c r="S83" s="7" cm="1">
        <f t="array" ref="S83">INDEX(GMWQ!$A$2:$LR$60,MATCH(1,(GMWQ!$LQ$2:$LQ$60=S$3)*(GMWQ!$LP$2:$LP$60=S$4)*(GMWQ!$LR$2:$LR$60=S$1),0),$B83-1966)</f>
        <v>266</v>
      </c>
      <c r="T83" s="7" cm="1">
        <f t="array" ref="T83">INDEX(GMWQ!$A$2:$LR$60,MATCH(1,(GMWQ!$LQ$2:$LQ$60=T$3)*(GMWQ!$LP$2:$LP$60=T$4)*(GMWQ!$LR$2:$LR$60=T$1),0),$B83-1966)</f>
        <v>1E-3</v>
      </c>
      <c r="U83" s="7" cm="1">
        <f t="array" ref="U83">INDEX(GMWQ!$A$2:$LR$60,MATCH(1,(GMWQ!$LQ$2:$LQ$60=U$3)*(GMWQ!$LP$2:$LP$60=U$4)*(GMWQ!$LR$2:$LR$60=U$1),0),$B83-1966)</f>
        <v>4836.7150000000001</v>
      </c>
      <c r="V83" s="7" cm="1">
        <f t="array" ref="V83">INDEX(GMWQ!$A$2:$LR$60,MATCH(1,(GMWQ!$LQ$2:$LQ$60=V$3)*(GMWQ!$LP$2:$LP$60=V$4)*(GMWQ!$LR$2:$LR$60=V$1),0),$B83-1966)</f>
        <v>1E-3</v>
      </c>
      <c r="W83" s="7" cm="1">
        <f t="array" ref="W83">INDEX(GMWQ!$A$2:$LR$60,MATCH(1,(GMWQ!$LQ$2:$LQ$60=W$3)*(GMWQ!$LP$2:$LP$60=W$4)*(GMWQ!$LR$2:$LR$60=W$1),0),$B83-1966)</f>
        <v>27.600519999999999</v>
      </c>
      <c r="X83" s="7" cm="1">
        <f t="array" ref="X83">INDEX(GMWQ!$A$2:$LR$60,MATCH(1,(GMWQ!$LQ$2:$LQ$60=X$3)*(GMWQ!$LP$2:$LP$60=X$4)*(GMWQ!$LR$2:$LR$60=X$1),0),$B83-1966)</f>
        <v>1113301</v>
      </c>
      <c r="Y83" s="7" cm="1">
        <f t="array" ref="Y83">INDEX(GMWQ!$A$2:$LR$60,MATCH(1,(GMWQ!$LQ$2:$LQ$60=Y$3)*(GMWQ!$LP$2:$LP$60=Y$4)*(GMWQ!$LR$2:$LR$60=Y$1),0),$B83-1966)</f>
        <v>58.171100000000003</v>
      </c>
      <c r="Z83" s="7" cm="1">
        <f t="array" ref="Z83">INDEX(GMWQ!$A$2:$LR$60,MATCH(1,(GMWQ!$LQ$2:$LQ$60=Z$3)*(GMWQ!$LP$2:$LP$60=Z$4)*(GMWQ!$LR$2:$LR$60=Z$1),0),$B83-1966)</f>
        <v>320508.90000000002</v>
      </c>
      <c r="AA83" s="7" cm="1">
        <f t="array" ref="AA83">INDEX(GMWQ!$A$2:$LR$60,MATCH(1,(GMWQ!$LQ$2:$LQ$60=AA$3)*(GMWQ!$LP$2:$LP$60=AA$4)*(GMWQ!$LR$2:$LR$60=AA$1),0),$B83-1966)</f>
        <v>64179</v>
      </c>
      <c r="AB83" s="7" cm="1">
        <f t="array" ref="AB83">INDEX(GMWQ!$A$2:$LR$60,MATCH(1,(GMWQ!$LQ$2:$LQ$60=AB$3)*(GMWQ!$LP$2:$LP$60=AB$4)*(GMWQ!$LR$2:$LR$60=AB$1),0),$B83-1966)</f>
        <v>61160</v>
      </c>
      <c r="AC83" s="7" cm="1">
        <f t="array" ref="AC83">INDEX(GMWQ!$A$2:$LR$60,MATCH(1,(GMWQ!$LQ$2:$LQ$60=AC$3)*(GMWQ!$LP$2:$LP$60=AC$4)*(GMWQ!$LR$2:$LR$60=AC$1),0),$B83-1966)</f>
        <v>4305</v>
      </c>
      <c r="AD83" s="7" cm="1">
        <f t="array" ref="AD83">INDEX(GMWQ!$A$2:$LR$60,MATCH(1,(GMWQ!$LQ$2:$LQ$60=AD$3)*(GMWQ!$LP$2:$LP$60=AD$4)*(GMWQ!$LR$2:$LR$60=AD$1),0),$B83-1966)</f>
        <v>5178</v>
      </c>
      <c r="AE83" s="7" cm="1">
        <f t="array" ref="AE83">INDEX(GMWQ!$A$2:$LR$60,MATCH(1,(GMWQ!$LQ$2:$LQ$60=AE$3)*(GMWQ!$LP$2:$LP$60=AE$4)*(GMWQ!$LR$2:$LR$60=AE$1),0),$B83-1966)</f>
        <v>181438</v>
      </c>
      <c r="AF83" s="20" cm="1">
        <f t="array" ref="AF83">INDEX(GMWQ!$A$2:$LR$60,MATCH(1,(GMWQ!$LQ$2:$LQ$60=AF$3)*(GMWQ!$LP$2:$LP$60=AF$4)*(GMWQ!$LR$2:$LR$60=AF$1),0),$B83-1966)</f>
        <v>10.375</v>
      </c>
      <c r="AG83" s="20" cm="1">
        <f t="array" ref="AG83">INDEX(GMWQ!$A$2:$LR$60,MATCH(1,(GMWQ!$LQ$2:$LQ$60=AG$3)*(GMWQ!$LP$2:$LP$60=AG$4)*(GMWQ!$LR$2:$LR$60=AG$1),0),$B83-1966)</f>
        <v>14</v>
      </c>
      <c r="AI83" s="23" cm="1">
        <f t="array" ref="AI83">INDEX(GMWQ!$A$2:$LR$60,MATCH(1,(GMWQ!$LQ$2:$LQ$60=AI$3)*(GMWQ!$LP$2:$LP$60=AI$4)*(GMWQ!$LR$2:$LR$60=AI$1),0),$B83-1966)</f>
        <v>121876</v>
      </c>
      <c r="AJ83" s="23" cm="1">
        <f t="array" ref="AJ83">INDEX(GMWQ!$A$2:$LR$60,MATCH(1,(GMWQ!$LQ$2:$LQ$60=AJ$3)*(GMWQ!$LP$2:$LP$60=AJ$4)*(GMWQ!$LR$2:$LR$60=AJ$1),0),$B83-1966)</f>
        <v>62.24044</v>
      </c>
      <c r="AK83" s="23" cm="1">
        <f t="array" ref="AK83">INDEX(GMWQ!$A$2:$LR$60,MATCH(1,(GMWQ!$LQ$2:$LQ$60=AK$3)*(GMWQ!$LP$2:$LP$60=AK$4)*(GMWQ!$LR$2:$LR$60=AK$1),0),$B83-1966)</f>
        <v>75209</v>
      </c>
      <c r="AL83" s="23" cm="1">
        <f t="array" ref="AL83">INDEX(GMWQ!$A$2:$LR$60,MATCH(1,(GMWQ!$LQ$2:$LQ$60=AL$3)*(GMWQ!$LP$2:$LP$60=AL$4)*(GMWQ!$LR$2:$LR$60=AL$1),0),$B83-1966)</f>
        <v>3467.9760000000001</v>
      </c>
      <c r="AM83" s="23" cm="1">
        <f t="array" ref="AM83">INDEX(GMWQ!$A$2:$LR$60,MATCH(1,(GMWQ!$LQ$2:$LQ$60=AM$3)*(GMWQ!$LP$2:$LP$60=AM$4)*(GMWQ!$LR$2:$LR$60=AM$1),0),$B83-1966)</f>
        <v>21686.71</v>
      </c>
      <c r="AN83" s="23" cm="1">
        <f t="array" ref="AN83">INDEX(GMWQ!$A$2:$LR$60,MATCH(1,(GMWQ!$LQ$2:$LQ$60=AN$3)*(GMWQ!$LP$2:$LP$60=AN$4)*(GMWQ!$LR$2:$LR$60=AN$1),0),$B83-1966)</f>
        <v>17953</v>
      </c>
      <c r="AO83" s="23" cm="1">
        <f t="array" ref="AO83">INDEX(GMWQ!$A$2:$LR$60,MATCH(1,(GMWQ!$LQ$2:$LQ$60=AO$3)*(GMWQ!$LP$2:$LP$60=AO$4)*(GMWQ!$LR$2:$LR$60=AO$1),0),$B83-1966)</f>
        <v>4397</v>
      </c>
      <c r="AP83" s="23" cm="1">
        <f t="array" ref="AP83">INDEX(GMWQ!$A$2:$LR$60,MATCH(1,(GMWQ!$LQ$2:$LQ$60=AP$3)*(GMWQ!$LP$2:$LP$60=AP$4)*(GMWQ!$LR$2:$LR$60=AP$1),0),$B83-1966)</f>
        <v>14</v>
      </c>
      <c r="AQ83" s="23" cm="1">
        <f t="array" ref="AQ83">INDEX(GMWQ!$A$2:$LR$60,MATCH(1,(GMWQ!$LQ$2:$LQ$60=AQ$3)*(GMWQ!$LP$2:$LP$60=AQ$4)*(GMWQ!$LR$2:$LR$60=AQ$1),0),$B83-1966)</f>
        <v>20194</v>
      </c>
      <c r="AR83" s="23" cm="1">
        <f t="array" ref="AR83">INDEX(GMWQ!$A$2:$LR$60,MATCH(1,(GMWQ!$LQ$2:$LQ$60=AR$3)*(GMWQ!$LP$2:$LP$60=AR$4)*(GMWQ!$LR$2:$LR$60=AR$1),0),$B83-1966)</f>
        <v>111055</v>
      </c>
      <c r="AS83" s="23" cm="1">
        <f t="array" ref="AS83">INDEX(GMWQ!$A$2:$LR$60,MATCH(1,(GMWQ!$LQ$2:$LQ$60=AS$3)*(GMWQ!$LP$2:$LP$60=AS$4)*(GMWQ!$LR$2:$LR$60=AS$1),0),$B83-1966)</f>
        <v>1890</v>
      </c>
      <c r="AT83" s="23" cm="1">
        <f t="array" ref="AT83">INDEX(GMWQ!$A$2:$LR$60,MATCH(1,(GMWQ!$LQ$2:$LQ$60=AT$3)*(GMWQ!$LP$2:$LP$60=AT$4)*(GMWQ!$LR$2:$LR$60=AT$1),0),$B83-1966)</f>
        <v>178429</v>
      </c>
      <c r="AU83" s="23" cm="1">
        <f t="array" ref="AU83">INDEX(GMWQ!$A$2:$LR$60,MATCH(1,(GMWQ!$LQ$2:$LQ$60=AU$3)*(GMWQ!$LP$2:$LP$60=AU$4)*(GMWQ!$LR$2:$LR$60=AU$1),0),$B83-1966)</f>
        <v>5486</v>
      </c>
    </row>
    <row r="84" spans="1:47" x14ac:dyDescent="0.35">
      <c r="B84" s="7">
        <f t="shared" si="2"/>
        <v>2050</v>
      </c>
      <c r="C84" s="7" cm="1">
        <f t="array" ref="C84">INDEX(GMWQ!$A$2:$LR$60,MATCH(1,(GMWQ!$LQ$2:$LQ$60=C$3)*(GMWQ!$LP$2:$LP$60=C$4)*(GMWQ!$LR$2:$LR$60=C$1),0),$B84-1966)</f>
        <v>311418</v>
      </c>
      <c r="D84" s="7" cm="1">
        <f t="array" ref="D84">INDEX(GMWQ!$A$2:$LR$60,MATCH(1,(GMWQ!$LQ$2:$LQ$60=D$3)*(GMWQ!$LP$2:$LP$60=D$4)*(GMWQ!$LR$2:$LR$60=D$1),0),$B84-1966)</f>
        <v>209.3937</v>
      </c>
      <c r="E84" s="7" cm="1">
        <f t="array" ref="E84">INDEX(GMWQ!$A$2:$LR$60,MATCH(1,(GMWQ!$LQ$2:$LQ$60=E$3)*(GMWQ!$LP$2:$LP$60=E$4)*(GMWQ!$LR$2:$LR$60=E$1),0),$B84-1966)</f>
        <v>62.833329999999997</v>
      </c>
      <c r="F84" s="7" cm="1">
        <f t="array" ref="F84">INDEX(GMWQ!$A$2:$LR$60,MATCH(1,(GMWQ!$LQ$2:$LQ$60=F$3)*(GMWQ!$LP$2:$LP$60=F$4)*(GMWQ!$LR$2:$LR$60=F$1),0),$B84-1966)</f>
        <v>75152</v>
      </c>
      <c r="G84" s="7" cm="1">
        <f t="array" ref="G84">INDEX(GMWQ!$A$2:$LR$60,MATCH(1,(GMWQ!$LQ$2:$LQ$60=G$3)*(GMWQ!$LP$2:$LP$60=G$4)*(GMWQ!$LR$2:$LR$60=G$1),0),$B84-1966)</f>
        <v>16233</v>
      </c>
      <c r="H84" s="7" cm="1">
        <f t="array" ref="H84">INDEX(GMWQ!$A$2:$LR$60,MATCH(1,(GMWQ!$LQ$2:$LQ$60=H$3)*(GMWQ!$LP$2:$LP$60=H$4)*(GMWQ!$LR$2:$LR$60=H$1),0),$B84-1966)</f>
        <v>4257</v>
      </c>
      <c r="I84" s="7" cm="1">
        <f t="array" ref="I84">INDEX(GMWQ!$A$2:$LR$60,MATCH(1,(GMWQ!$LQ$2:$LQ$60=I$3)*(GMWQ!$LP$2:$LP$60=I$4)*(GMWQ!$LR$2:$LR$60=I$1),0),$B84-1966)</f>
        <v>62.541759999999996</v>
      </c>
      <c r="J84" s="7" cm="1">
        <f t="array" ref="J84">INDEX(GMWQ!$A$2:$LR$60,MATCH(1,(GMWQ!$LQ$2:$LQ$60=J$3)*(GMWQ!$LP$2:$LP$60=J$4)*(GMWQ!$LR$2:$LR$60=J$1),0),$B84-1966)</f>
        <v>21576</v>
      </c>
      <c r="K84" s="7" cm="1">
        <f t="array" ref="K84">INDEX(GMWQ!$A$2:$LR$60,MATCH(1,(GMWQ!$LQ$2:$LQ$60=K$3)*(GMWQ!$LP$2:$LP$60=K$4)*(GMWQ!$LR$2:$LR$60=K$1),0),$B84-1966)</f>
        <v>9.875</v>
      </c>
      <c r="L84" s="7" cm="1">
        <f t="array" ref="L84">INDEX(GMWQ!$A$2:$LR$60,MATCH(1,(GMWQ!$LQ$2:$LQ$60=L$3)*(GMWQ!$LP$2:$LP$60=L$4)*(GMWQ!$LR$2:$LR$60=L$1),0),$B84-1966)</f>
        <v>9.8000000000000007</v>
      </c>
      <c r="M84" s="7" cm="1">
        <f t="array" ref="M84">INDEX(GMWQ!$A$2:$LR$60,MATCH(1,(GMWQ!$LQ$2:$LQ$60=M$3)*(GMWQ!$LP$2:$LP$60=M$4)*(GMWQ!$LR$2:$LR$60=M$1),0),$B84-1966)</f>
        <v>29.166979999999999</v>
      </c>
      <c r="N84" s="7" cm="1">
        <f t="array" ref="N84">INDEX(GMWQ!$A$2:$LR$60,MATCH(1,(GMWQ!$LQ$2:$LQ$60=N$3)*(GMWQ!$LP$2:$LP$60=N$4)*(GMWQ!$LR$2:$LR$60=N$1),0),$B84-1966)</f>
        <v>10082</v>
      </c>
      <c r="O84" s="7" cm="1">
        <f t="array" ref="O84">INDEX(GMWQ!$A$2:$LR$60,MATCH(1,(GMWQ!$LQ$2:$LQ$60=O$3)*(GMWQ!$LP$2:$LP$60=O$4)*(GMWQ!$LR$2:$LR$60=O$1),0),$B84-1966)</f>
        <v>8884</v>
      </c>
      <c r="P84" s="7" cm="1">
        <f t="array" ref="P84">INDEX(GMWQ!$A$2:$LR$60,MATCH(1,(GMWQ!$LQ$2:$LQ$60=P$3)*(GMWQ!$LP$2:$LP$60=P$4)*(GMWQ!$LR$2:$LR$60=P$1),0),$B84-1966)</f>
        <v>123668</v>
      </c>
      <c r="Q84" s="7" cm="1">
        <f t="array" ref="Q84">INDEX(GMWQ!$A$2:$LR$60,MATCH(1,(GMWQ!$LQ$2:$LQ$60=Q$3)*(GMWQ!$LP$2:$LP$60=Q$4)*(GMWQ!$LR$2:$LR$60=Q$1),0),$B84-1966)</f>
        <v>10.82</v>
      </c>
      <c r="R84" s="7" cm="1">
        <f t="array" ref="R84">INDEX(GMWQ!$A$2:$LR$60,MATCH(1,(GMWQ!$LQ$2:$LQ$60=R$3)*(GMWQ!$LP$2:$LP$60=R$4)*(GMWQ!$LR$2:$LR$60=R$1),0),$B84-1966)</f>
        <v>1E-3</v>
      </c>
      <c r="S84" s="7" cm="1">
        <f t="array" ref="S84">INDEX(GMWQ!$A$2:$LR$60,MATCH(1,(GMWQ!$LQ$2:$LQ$60=S$3)*(GMWQ!$LP$2:$LP$60=S$4)*(GMWQ!$LR$2:$LR$60=S$1),0),$B84-1966)</f>
        <v>271</v>
      </c>
      <c r="T84" s="7" cm="1">
        <f t="array" ref="T84">INDEX(GMWQ!$A$2:$LR$60,MATCH(1,(GMWQ!$LQ$2:$LQ$60=T$3)*(GMWQ!$LP$2:$LP$60=T$4)*(GMWQ!$LR$2:$LR$60=T$1),0),$B84-1966)</f>
        <v>1E-3</v>
      </c>
      <c r="U84" s="7" cm="1">
        <f t="array" ref="U84">INDEX(GMWQ!$A$2:$LR$60,MATCH(1,(GMWQ!$LQ$2:$LQ$60=U$3)*(GMWQ!$LP$2:$LP$60=U$4)*(GMWQ!$LR$2:$LR$60=U$1),0),$B84-1966)</f>
        <v>4261.0829999999996</v>
      </c>
      <c r="V84" s="7" cm="1">
        <f t="array" ref="V84">INDEX(GMWQ!$A$2:$LR$60,MATCH(1,(GMWQ!$LQ$2:$LQ$60=V$3)*(GMWQ!$LP$2:$LP$60=V$4)*(GMWQ!$LR$2:$LR$60=V$1),0),$B84-1966)</f>
        <v>1E-3</v>
      </c>
      <c r="W84" s="7" cm="1">
        <f t="array" ref="W84">INDEX(GMWQ!$A$2:$LR$60,MATCH(1,(GMWQ!$LQ$2:$LQ$60=W$3)*(GMWQ!$LP$2:$LP$60=W$4)*(GMWQ!$LR$2:$LR$60=W$1),0),$B84-1966)</f>
        <v>18.392289999999999</v>
      </c>
      <c r="X84" s="7" cm="1">
        <f t="array" ref="X84">INDEX(GMWQ!$A$2:$LR$60,MATCH(1,(GMWQ!$LQ$2:$LQ$60=X$3)*(GMWQ!$LP$2:$LP$60=X$4)*(GMWQ!$LR$2:$LR$60=X$1),0),$B84-1966)</f>
        <v>1084548</v>
      </c>
      <c r="Y84" s="7" cm="1">
        <f t="array" ref="Y84">INDEX(GMWQ!$A$2:$LR$60,MATCH(1,(GMWQ!$LQ$2:$LQ$60=Y$3)*(GMWQ!$LP$2:$LP$60=Y$4)*(GMWQ!$LR$2:$LR$60=Y$1),0),$B84-1966)</f>
        <v>58.406709999999997</v>
      </c>
      <c r="Z84" s="7" cm="1">
        <f t="array" ref="Z84">INDEX(GMWQ!$A$2:$LR$60,MATCH(1,(GMWQ!$LQ$2:$LQ$60=Z$3)*(GMWQ!$LP$2:$LP$60=Z$4)*(GMWQ!$LR$2:$LR$60=Z$1),0),$B84-1966)</f>
        <v>321487.8</v>
      </c>
      <c r="AA84" s="7" cm="1">
        <f t="array" ref="AA84">INDEX(GMWQ!$A$2:$LR$60,MATCH(1,(GMWQ!$LQ$2:$LQ$60=AA$3)*(GMWQ!$LP$2:$LP$60=AA$4)*(GMWQ!$LR$2:$LR$60=AA$1),0),$B84-1966)</f>
        <v>54879</v>
      </c>
      <c r="AB84" s="7" cm="1">
        <f t="array" ref="AB84">INDEX(GMWQ!$A$2:$LR$60,MATCH(1,(GMWQ!$LQ$2:$LQ$60=AB$3)*(GMWQ!$LP$2:$LP$60=AB$4)*(GMWQ!$LR$2:$LR$60=AB$1),0),$B84-1966)</f>
        <v>62589</v>
      </c>
      <c r="AC84" s="7" cm="1">
        <f t="array" ref="AC84">INDEX(GMWQ!$A$2:$LR$60,MATCH(1,(GMWQ!$LQ$2:$LQ$60=AC$3)*(GMWQ!$LP$2:$LP$60=AC$4)*(GMWQ!$LR$2:$LR$60=AC$1),0),$B84-1966)</f>
        <v>731</v>
      </c>
      <c r="AD84" s="7" cm="1">
        <f t="array" ref="AD84">INDEX(GMWQ!$A$2:$LR$60,MATCH(1,(GMWQ!$LQ$2:$LQ$60=AD$3)*(GMWQ!$LP$2:$LP$60=AD$4)*(GMWQ!$LR$2:$LR$60=AD$1),0),$B84-1966)</f>
        <v>5184</v>
      </c>
      <c r="AE84" s="7" cm="1">
        <f t="array" ref="AE84">INDEX(GMWQ!$A$2:$LR$60,MATCH(1,(GMWQ!$LQ$2:$LQ$60=AE$3)*(GMWQ!$LP$2:$LP$60=AE$4)*(GMWQ!$LR$2:$LR$60=AE$1),0),$B84-1966)</f>
        <v>181889</v>
      </c>
      <c r="AF84" s="20" cm="1">
        <f t="array" ref="AF84">INDEX(GMWQ!$A$2:$LR$60,MATCH(1,(GMWQ!$LQ$2:$LQ$60=AF$3)*(GMWQ!$LP$2:$LP$60=AF$4)*(GMWQ!$LR$2:$LR$60=AF$1),0),$B84-1966)</f>
        <v>10.059620000000001</v>
      </c>
      <c r="AG84" s="20" cm="1">
        <f t="array" ref="AG84">INDEX(GMWQ!$A$2:$LR$60,MATCH(1,(GMWQ!$LQ$2:$LQ$60=AG$3)*(GMWQ!$LP$2:$LP$60=AG$4)*(GMWQ!$LR$2:$LR$60=AG$1),0),$B84-1966)</f>
        <v>-1198</v>
      </c>
      <c r="AI84" s="23" cm="1">
        <f t="array" ref="AI84">INDEX(GMWQ!$A$2:$LR$60,MATCH(1,(GMWQ!$LQ$2:$LQ$60=AI$3)*(GMWQ!$LP$2:$LP$60=AI$4)*(GMWQ!$LR$2:$LR$60=AI$1),0),$B84-1966)</f>
        <v>123668</v>
      </c>
      <c r="AJ84" s="23" cm="1">
        <f t="array" ref="AJ84">INDEX(GMWQ!$A$2:$LR$60,MATCH(1,(GMWQ!$LQ$2:$LQ$60=AJ$3)*(GMWQ!$LP$2:$LP$60=AJ$4)*(GMWQ!$LR$2:$LR$60=AJ$1),0),$B84-1966)</f>
        <v>62.541759999999996</v>
      </c>
      <c r="AK84" s="23" cm="1">
        <f t="array" ref="AK84">INDEX(GMWQ!$A$2:$LR$60,MATCH(1,(GMWQ!$LQ$2:$LQ$60=AK$3)*(GMWQ!$LP$2:$LP$60=AK$4)*(GMWQ!$LR$2:$LR$60=AK$1),0),$B84-1966)</f>
        <v>75152</v>
      </c>
      <c r="AL84" s="23" cm="1">
        <f t="array" ref="AL84">INDEX(GMWQ!$A$2:$LR$60,MATCH(1,(GMWQ!$LQ$2:$LQ$60=AL$3)*(GMWQ!$LP$2:$LP$60=AL$4)*(GMWQ!$LR$2:$LR$60=AL$1),0),$B84-1966)</f>
        <v>3483.1289999999999</v>
      </c>
      <c r="AM84" s="23" cm="1">
        <f t="array" ref="AM84">INDEX(GMWQ!$A$2:$LR$60,MATCH(1,(GMWQ!$LQ$2:$LQ$60=AM$3)*(GMWQ!$LP$2:$LP$60=AM$4)*(GMWQ!$LR$2:$LR$60=AM$1),0),$B84-1966)</f>
        <v>21576</v>
      </c>
      <c r="AN84" s="23" cm="1">
        <f t="array" ref="AN84">INDEX(GMWQ!$A$2:$LR$60,MATCH(1,(GMWQ!$LQ$2:$LQ$60=AN$3)*(GMWQ!$LP$2:$LP$60=AN$4)*(GMWQ!$LR$2:$LR$60=AN$1),0),$B84-1966)</f>
        <v>16233</v>
      </c>
      <c r="AO84" s="23" cm="1">
        <f t="array" ref="AO84">INDEX(GMWQ!$A$2:$LR$60,MATCH(1,(GMWQ!$LQ$2:$LQ$60=AO$3)*(GMWQ!$LP$2:$LP$60=AO$4)*(GMWQ!$LR$2:$LR$60=AO$1),0),$B84-1966)</f>
        <v>4257</v>
      </c>
      <c r="AP84" s="23" cm="1">
        <f t="array" ref="AP84">INDEX(GMWQ!$A$2:$LR$60,MATCH(1,(GMWQ!$LQ$2:$LQ$60=AP$3)*(GMWQ!$LP$2:$LP$60=AP$4)*(GMWQ!$LR$2:$LR$60=AP$1),0),$B84-1966)</f>
        <v>-1198</v>
      </c>
      <c r="AQ84" s="23" cm="1">
        <f t="array" ref="AQ84">INDEX(GMWQ!$A$2:$LR$60,MATCH(1,(GMWQ!$LQ$2:$LQ$60=AQ$3)*(GMWQ!$LP$2:$LP$60=AQ$4)*(GMWQ!$LR$2:$LR$60=AQ$1),0),$B84-1966)</f>
        <v>21075</v>
      </c>
      <c r="AR84" s="23" cm="1">
        <f t="array" ref="AR84">INDEX(GMWQ!$A$2:$LR$60,MATCH(1,(GMWQ!$LQ$2:$LQ$60=AR$3)*(GMWQ!$LP$2:$LP$60=AR$4)*(GMWQ!$LR$2:$LR$60=AR$1),0),$B84-1966)</f>
        <v>113068</v>
      </c>
      <c r="AS84" s="23" cm="1">
        <f t="array" ref="AS84">INDEX(GMWQ!$A$2:$LR$60,MATCH(1,(GMWQ!$LQ$2:$LQ$60=AS$3)*(GMWQ!$LP$2:$LP$60=AS$4)*(GMWQ!$LR$2:$LR$60=AS$1),0),$B84-1966)</f>
        <v>1809</v>
      </c>
      <c r="AT84" s="23" cm="1">
        <f t="array" ref="AT84">INDEX(GMWQ!$A$2:$LR$60,MATCH(1,(GMWQ!$LQ$2:$LQ$60=AT$3)*(GMWQ!$LP$2:$LP$60=AT$4)*(GMWQ!$LR$2:$LR$60=AT$1),0),$B84-1966)</f>
        <v>180788</v>
      </c>
      <c r="AU84" s="23" cm="1">
        <f t="array" ref="AU84">INDEX(GMWQ!$A$2:$LR$60,MATCH(1,(GMWQ!$LQ$2:$LQ$60=AU$3)*(GMWQ!$LP$2:$LP$60=AU$4)*(GMWQ!$LR$2:$LR$60=AU$1),0),$B84-1966)</f>
        <v>5263</v>
      </c>
    </row>
    <row r="85" spans="1:47" x14ac:dyDescent="0.35">
      <c r="B85" s="7">
        <f t="shared" si="2"/>
        <v>2051</v>
      </c>
      <c r="C85" s="7" cm="1">
        <f t="array" ref="C85">INDEX(GMWQ!$A$2:$LR$60,MATCH(1,(GMWQ!$LQ$2:$LQ$60=C$3)*(GMWQ!$LP$2:$LP$60=C$4)*(GMWQ!$LR$2:$LR$60=C$1),0),$B85-1966)</f>
        <v>312896</v>
      </c>
      <c r="D85" s="7" cm="1">
        <f t="array" ref="D85">INDEX(GMWQ!$A$2:$LR$60,MATCH(1,(GMWQ!$LQ$2:$LQ$60=D$3)*(GMWQ!$LP$2:$LP$60=D$4)*(GMWQ!$LR$2:$LR$60=D$1),0),$B85-1966)</f>
        <v>213.14080000000001</v>
      </c>
      <c r="E85" s="7" cm="1">
        <f t="array" ref="E85">INDEX(GMWQ!$A$2:$LR$60,MATCH(1,(GMWQ!$LQ$2:$LQ$60=E$3)*(GMWQ!$LP$2:$LP$60=E$4)*(GMWQ!$LR$2:$LR$60=E$1),0),$B85-1966)</f>
        <v>62.733330000000002</v>
      </c>
      <c r="F85" s="7" cm="1">
        <f t="array" ref="F85">INDEX(GMWQ!$A$2:$LR$60,MATCH(1,(GMWQ!$LQ$2:$LQ$60=F$3)*(GMWQ!$LP$2:$LP$60=F$4)*(GMWQ!$LR$2:$LR$60=F$1),0),$B85-1966)</f>
        <v>75133</v>
      </c>
      <c r="G85" s="7" cm="1">
        <f t="array" ref="G85">INDEX(GMWQ!$A$2:$LR$60,MATCH(1,(GMWQ!$LQ$2:$LQ$60=G$3)*(GMWQ!$LP$2:$LP$60=G$4)*(GMWQ!$LR$2:$LR$60=G$1),0),$B85-1966)</f>
        <v>16345</v>
      </c>
      <c r="H85" s="7" cm="1">
        <f t="array" ref="H85">INDEX(GMWQ!$A$2:$LR$60,MATCH(1,(GMWQ!$LQ$2:$LQ$60=H$3)*(GMWQ!$LP$2:$LP$60=H$4)*(GMWQ!$LR$2:$LR$60=H$1),0),$B85-1966)</f>
        <v>4235</v>
      </c>
      <c r="I85" s="7" cm="1">
        <f t="array" ref="I85">INDEX(GMWQ!$A$2:$LR$60,MATCH(1,(GMWQ!$LQ$2:$LQ$60=I$3)*(GMWQ!$LP$2:$LP$60=I$4)*(GMWQ!$LR$2:$LR$60=I$1),0),$B85-1966)</f>
        <v>62.890149999999998</v>
      </c>
      <c r="J85" s="7" cm="1">
        <f t="array" ref="J85">INDEX(GMWQ!$A$2:$LR$60,MATCH(1,(GMWQ!$LQ$2:$LQ$60=J$3)*(GMWQ!$LP$2:$LP$60=J$4)*(GMWQ!$LR$2:$LR$60=J$1),0),$B85-1966)</f>
        <v>21551</v>
      </c>
      <c r="K85" s="7" cm="1">
        <f t="array" ref="K85">INDEX(GMWQ!$A$2:$LR$60,MATCH(1,(GMWQ!$LQ$2:$LQ$60=K$3)*(GMWQ!$LP$2:$LP$60=K$4)*(GMWQ!$LR$2:$LR$60=K$1),0),$B85-1966)</f>
        <v>8.875</v>
      </c>
      <c r="L85" s="7" cm="1">
        <f t="array" ref="L85">INDEX(GMWQ!$A$2:$LR$60,MATCH(1,(GMWQ!$LQ$2:$LQ$60=L$3)*(GMWQ!$LP$2:$LP$60=L$4)*(GMWQ!$LR$2:$LR$60=L$1),0),$B85-1966)</f>
        <v>9.9</v>
      </c>
      <c r="M85" s="7" cm="1">
        <f t="array" ref="M85">INDEX(GMWQ!$A$2:$LR$60,MATCH(1,(GMWQ!$LQ$2:$LQ$60=M$3)*(GMWQ!$LP$2:$LP$60=M$4)*(GMWQ!$LR$2:$LR$60=M$1),0),$B85-1966)</f>
        <v>28.998950000000001</v>
      </c>
      <c r="N85" s="7" cm="1">
        <f t="array" ref="N85">INDEX(GMWQ!$A$2:$LR$60,MATCH(1,(GMWQ!$LQ$2:$LQ$60=N$3)*(GMWQ!$LP$2:$LP$60=N$4)*(GMWQ!$LR$2:$LR$60=N$1),0),$B85-1966)</f>
        <v>9682</v>
      </c>
      <c r="O85" s="7" cm="1">
        <f t="array" ref="O85">INDEX(GMWQ!$A$2:$LR$60,MATCH(1,(GMWQ!$LQ$2:$LQ$60=O$3)*(GMWQ!$LP$2:$LP$60=O$4)*(GMWQ!$LR$2:$LR$60=O$1),0),$B85-1966)</f>
        <v>8875</v>
      </c>
      <c r="P85" s="7" cm="1">
        <f t="array" ref="P85">INDEX(GMWQ!$A$2:$LR$60,MATCH(1,(GMWQ!$LQ$2:$LQ$60=P$3)*(GMWQ!$LP$2:$LP$60=P$4)*(GMWQ!$LR$2:$LR$60=P$1),0),$B85-1966)</f>
        <v>125292</v>
      </c>
      <c r="Q85" s="7" cm="1">
        <f t="array" ref="Q85">INDEX(GMWQ!$A$2:$LR$60,MATCH(1,(GMWQ!$LQ$2:$LQ$60=Q$3)*(GMWQ!$LP$2:$LP$60=Q$4)*(GMWQ!$LR$2:$LR$60=Q$1),0),$B85-1966)</f>
        <v>10.6</v>
      </c>
      <c r="R85" s="7" cm="1">
        <f t="array" ref="R85">INDEX(GMWQ!$A$2:$LR$60,MATCH(1,(GMWQ!$LQ$2:$LQ$60=R$3)*(GMWQ!$LP$2:$LP$60=R$4)*(GMWQ!$LR$2:$LR$60=R$1),0),$B85-1966)</f>
        <v>1E-3</v>
      </c>
      <c r="S85" s="7" cm="1">
        <f t="array" ref="S85">INDEX(GMWQ!$A$2:$LR$60,MATCH(1,(GMWQ!$LQ$2:$LQ$60=S$3)*(GMWQ!$LP$2:$LP$60=S$4)*(GMWQ!$LR$2:$LR$60=S$1),0),$B85-1966)</f>
        <v>333</v>
      </c>
      <c r="T85" s="7" cm="1">
        <f t="array" ref="T85">INDEX(GMWQ!$A$2:$LR$60,MATCH(1,(GMWQ!$LQ$2:$LQ$60=T$3)*(GMWQ!$LP$2:$LP$60=T$4)*(GMWQ!$LR$2:$LR$60=T$1),0),$B85-1966)</f>
        <v>1E-3</v>
      </c>
      <c r="U85" s="7" cm="1">
        <f t="array" ref="U85">INDEX(GMWQ!$A$2:$LR$60,MATCH(1,(GMWQ!$LQ$2:$LQ$60=U$3)*(GMWQ!$LP$2:$LP$60=U$4)*(GMWQ!$LR$2:$LR$60=U$1),0),$B85-1966)</f>
        <v>4218.1729999999998</v>
      </c>
      <c r="V85" s="7" cm="1">
        <f t="array" ref="V85">INDEX(GMWQ!$A$2:$LR$60,MATCH(1,(GMWQ!$LQ$2:$LQ$60=V$3)*(GMWQ!$LP$2:$LP$60=V$4)*(GMWQ!$LR$2:$LR$60=V$1),0),$B85-1966)</f>
        <v>1E-3</v>
      </c>
      <c r="W85" s="7" cm="1">
        <f t="array" ref="W85">INDEX(GMWQ!$A$2:$LR$60,MATCH(1,(GMWQ!$LQ$2:$LQ$60=W$3)*(GMWQ!$LP$2:$LP$60=W$4)*(GMWQ!$LR$2:$LR$60=W$1),0),$B85-1966)</f>
        <v>14.79189</v>
      </c>
      <c r="X85" s="7" cm="1">
        <f t="array" ref="X85">INDEX(GMWQ!$A$2:$LR$60,MATCH(1,(GMWQ!$LQ$2:$LQ$60=X$3)*(GMWQ!$LP$2:$LP$60=X$4)*(GMWQ!$LR$2:$LR$60=X$1),0),$B85-1966)</f>
        <v>1081996</v>
      </c>
      <c r="Y85" s="7" cm="1">
        <f t="array" ref="Y85">INDEX(GMWQ!$A$2:$LR$60,MATCH(1,(GMWQ!$LQ$2:$LQ$60=Y$3)*(GMWQ!$LP$2:$LP$60=Y$4)*(GMWQ!$LR$2:$LR$60=Y$1),0),$B85-1966)</f>
        <v>58.344630000000002</v>
      </c>
      <c r="Z85" s="7" cm="1">
        <f t="array" ref="Z85">INDEX(GMWQ!$A$2:$LR$60,MATCH(1,(GMWQ!$LQ$2:$LQ$60=Z$3)*(GMWQ!$LP$2:$LP$60=Z$4)*(GMWQ!$LR$2:$LR$60=Z$1),0),$B85-1966)</f>
        <v>321430.8</v>
      </c>
      <c r="AA85" s="7" cm="1">
        <f t="array" ref="AA85">INDEX(GMWQ!$A$2:$LR$60,MATCH(1,(GMWQ!$LQ$2:$LQ$60=AA$3)*(GMWQ!$LP$2:$LP$60=AA$4)*(GMWQ!$LR$2:$LR$60=AA$1),0),$B85-1966)</f>
        <v>58369</v>
      </c>
      <c r="AB85" s="7" cm="1">
        <f t="array" ref="AB85">INDEX(GMWQ!$A$2:$LR$60,MATCH(1,(GMWQ!$LQ$2:$LQ$60=AB$3)*(GMWQ!$LP$2:$LP$60=AB$4)*(GMWQ!$LR$2:$LR$60=AB$1),0),$B85-1966)</f>
        <v>63100</v>
      </c>
      <c r="AC85" s="7" cm="1">
        <f t="array" ref="AC85">INDEX(GMWQ!$A$2:$LR$60,MATCH(1,(GMWQ!$LQ$2:$LQ$60=AC$3)*(GMWQ!$LP$2:$LP$60=AC$4)*(GMWQ!$LR$2:$LR$60=AC$1),0),$B85-1966)</f>
        <v>1004</v>
      </c>
      <c r="AD85" s="7" cm="1">
        <f t="array" ref="AD85">INDEX(GMWQ!$A$2:$LR$60,MATCH(1,(GMWQ!$LQ$2:$LQ$60=AD$3)*(GMWQ!$LP$2:$LP$60=AD$4)*(GMWQ!$LR$2:$LR$60=AD$1),0),$B85-1966)</f>
        <v>5202</v>
      </c>
      <c r="AE85" s="7" cm="1">
        <f t="array" ref="AE85">INDEX(GMWQ!$A$2:$LR$60,MATCH(1,(GMWQ!$LQ$2:$LQ$60=AE$3)*(GMWQ!$LP$2:$LP$60=AE$4)*(GMWQ!$LR$2:$LR$60=AE$1),0),$B85-1966)</f>
        <v>182558</v>
      </c>
      <c r="AF85" s="20" cm="1">
        <f t="array" ref="AF85">INDEX(GMWQ!$A$2:$LR$60,MATCH(1,(GMWQ!$LQ$2:$LQ$60=AF$3)*(GMWQ!$LP$2:$LP$60=AF$4)*(GMWQ!$LR$2:$LR$60=AF$1),0),$B85-1966)</f>
        <v>9.7689389999999996</v>
      </c>
      <c r="AG85" s="20" cm="1">
        <f t="array" ref="AG85">INDEX(GMWQ!$A$2:$LR$60,MATCH(1,(GMWQ!$LQ$2:$LQ$60=AG$3)*(GMWQ!$LP$2:$LP$60=AG$4)*(GMWQ!$LR$2:$LR$60=AG$1),0),$B85-1966)</f>
        <v>-807</v>
      </c>
      <c r="AI85" s="23" cm="1">
        <f t="array" ref="AI85">INDEX(GMWQ!$A$2:$LR$60,MATCH(1,(GMWQ!$LQ$2:$LQ$60=AI$3)*(GMWQ!$LP$2:$LP$60=AI$4)*(GMWQ!$LR$2:$LR$60=AI$1),0),$B85-1966)</f>
        <v>125292</v>
      </c>
      <c r="AJ85" s="23" cm="1">
        <f t="array" ref="AJ85">INDEX(GMWQ!$A$2:$LR$60,MATCH(1,(GMWQ!$LQ$2:$LQ$60=AJ$3)*(GMWQ!$LP$2:$LP$60=AJ$4)*(GMWQ!$LR$2:$LR$60=AJ$1),0),$B85-1966)</f>
        <v>62.890149999999998</v>
      </c>
      <c r="AK85" s="23" cm="1">
        <f t="array" ref="AK85">INDEX(GMWQ!$A$2:$LR$60,MATCH(1,(GMWQ!$LQ$2:$LQ$60=AK$3)*(GMWQ!$LP$2:$LP$60=AK$4)*(GMWQ!$LR$2:$LR$60=AK$1),0),$B85-1966)</f>
        <v>75133</v>
      </c>
      <c r="AL85" s="23" cm="1">
        <f t="array" ref="AL85">INDEX(GMWQ!$A$2:$LR$60,MATCH(1,(GMWQ!$LQ$2:$LQ$60=AL$3)*(GMWQ!$LP$2:$LP$60=AL$4)*(GMWQ!$LR$2:$LR$60=AL$1),0),$B85-1966)</f>
        <v>3486.288</v>
      </c>
      <c r="AM85" s="23" cm="1">
        <f t="array" ref="AM85">INDEX(GMWQ!$A$2:$LR$60,MATCH(1,(GMWQ!$LQ$2:$LQ$60=AM$3)*(GMWQ!$LP$2:$LP$60=AM$4)*(GMWQ!$LR$2:$LR$60=AM$1),0),$B85-1966)</f>
        <v>21551</v>
      </c>
      <c r="AN85" s="23" cm="1">
        <f t="array" ref="AN85">INDEX(GMWQ!$A$2:$LR$60,MATCH(1,(GMWQ!$LQ$2:$LQ$60=AN$3)*(GMWQ!$LP$2:$LP$60=AN$4)*(GMWQ!$LR$2:$LR$60=AN$1),0),$B85-1966)</f>
        <v>16345</v>
      </c>
      <c r="AO85" s="23" cm="1">
        <f t="array" ref="AO85">INDEX(GMWQ!$A$2:$LR$60,MATCH(1,(GMWQ!$LQ$2:$LQ$60=AO$3)*(GMWQ!$LP$2:$LP$60=AO$4)*(GMWQ!$LR$2:$LR$60=AO$1),0),$B85-1966)</f>
        <v>4235</v>
      </c>
      <c r="AP85" s="23" cm="1">
        <f t="array" ref="AP85">INDEX(GMWQ!$A$2:$LR$60,MATCH(1,(GMWQ!$LQ$2:$LQ$60=AP$3)*(GMWQ!$LP$2:$LP$60=AP$4)*(GMWQ!$LR$2:$LR$60=AP$1),0),$B85-1966)</f>
        <v>-807</v>
      </c>
      <c r="AQ85" s="23" cm="1">
        <f t="array" ref="AQ85">INDEX(GMWQ!$A$2:$LR$60,MATCH(1,(GMWQ!$LQ$2:$LQ$60=AQ$3)*(GMWQ!$LP$2:$LP$60=AQ$4)*(GMWQ!$LR$2:$LR$60=AQ$1),0),$B85-1966)</f>
        <v>21360</v>
      </c>
      <c r="AR85" s="23" cm="1">
        <f t="array" ref="AR85">INDEX(GMWQ!$A$2:$LR$60,MATCH(1,(GMWQ!$LQ$2:$LQ$60=AR$3)*(GMWQ!$LP$2:$LP$60=AR$4)*(GMWQ!$LR$2:$LR$60=AR$1),0),$B85-1966)</f>
        <v>114367</v>
      </c>
      <c r="AS85" s="23" cm="1">
        <f t="array" ref="AS85">INDEX(GMWQ!$A$2:$LR$60,MATCH(1,(GMWQ!$LQ$2:$LQ$60=AS$3)*(GMWQ!$LP$2:$LP$60=AS$4)*(GMWQ!$LR$2:$LR$60=AS$1),0),$B85-1966)</f>
        <v>1742</v>
      </c>
      <c r="AT85" s="23" cm="1">
        <f t="array" ref="AT85">INDEX(GMWQ!$A$2:$LR$60,MATCH(1,(GMWQ!$LQ$2:$LQ$60=AT$3)*(GMWQ!$LP$2:$LP$60=AT$4)*(GMWQ!$LR$2:$LR$60=AT$1),0),$B85-1966)</f>
        <v>181852</v>
      </c>
      <c r="AU85" s="23" cm="1">
        <f t="array" ref="AU85">INDEX(GMWQ!$A$2:$LR$60,MATCH(1,(GMWQ!$LQ$2:$LQ$60=AU$3)*(GMWQ!$LP$2:$LP$60=AU$4)*(GMWQ!$LR$2:$LR$60=AU$1),0),$B85-1966)</f>
        <v>5276</v>
      </c>
    </row>
    <row r="86" spans="1:47" x14ac:dyDescent="0.35">
      <c r="B86" s="7">
        <f t="shared" si="2"/>
        <v>2052</v>
      </c>
      <c r="C86" s="7" cm="1">
        <f t="array" ref="C86">INDEX(GMWQ!$A$2:$LR$60,MATCH(1,(GMWQ!$LQ$2:$LQ$60=C$3)*(GMWQ!$LP$2:$LP$60=C$4)*(GMWQ!$LR$2:$LR$60=C$1),0),$B86-1966)</f>
        <v>315307</v>
      </c>
      <c r="D86" s="7" cm="1">
        <f t="array" ref="D86">INDEX(GMWQ!$A$2:$LR$60,MATCH(1,(GMWQ!$LQ$2:$LQ$60=D$3)*(GMWQ!$LP$2:$LP$60=D$4)*(GMWQ!$LR$2:$LR$60=D$1),0),$B86-1966)</f>
        <v>215.0164</v>
      </c>
      <c r="E86" s="7" cm="1">
        <f t="array" ref="E86">INDEX(GMWQ!$A$2:$LR$60,MATCH(1,(GMWQ!$LQ$2:$LQ$60=E$3)*(GMWQ!$LP$2:$LP$60=E$4)*(GMWQ!$LR$2:$LR$60=E$1),0),$B86-1966)</f>
        <v>63.133339999999997</v>
      </c>
      <c r="F86" s="7" cm="1">
        <f t="array" ref="F86">INDEX(GMWQ!$A$2:$LR$60,MATCH(1,(GMWQ!$LQ$2:$LQ$60=F$3)*(GMWQ!$LP$2:$LP$60=F$4)*(GMWQ!$LR$2:$LR$60=F$1),0),$B86-1966)</f>
        <v>75419</v>
      </c>
      <c r="G86" s="7" cm="1">
        <f t="array" ref="G86">INDEX(GMWQ!$A$2:$LR$60,MATCH(1,(GMWQ!$LQ$2:$LQ$60=G$3)*(GMWQ!$LP$2:$LP$60=G$4)*(GMWQ!$LR$2:$LR$60=G$1),0),$B86-1966)</f>
        <v>16350</v>
      </c>
      <c r="H86" s="7" cm="1">
        <f t="array" ref="H86">INDEX(GMWQ!$A$2:$LR$60,MATCH(1,(GMWQ!$LQ$2:$LQ$60=H$3)*(GMWQ!$LP$2:$LP$60=H$4)*(GMWQ!$LR$2:$LR$60=H$1),0),$B86-1966)</f>
        <v>4456</v>
      </c>
      <c r="I86" s="7" cm="1">
        <f t="array" ref="I86">INDEX(GMWQ!$A$2:$LR$60,MATCH(1,(GMWQ!$LQ$2:$LQ$60=I$3)*(GMWQ!$LP$2:$LP$60=I$4)*(GMWQ!$LR$2:$LR$60=I$1),0),$B86-1966)</f>
        <v>63.400700000000001</v>
      </c>
      <c r="J86" s="7" cm="1">
        <f t="array" ref="J86">INDEX(GMWQ!$A$2:$LR$60,MATCH(1,(GMWQ!$LQ$2:$LQ$60=J$3)*(GMWQ!$LP$2:$LP$60=J$4)*(GMWQ!$LR$2:$LR$60=J$1),0),$B86-1966)</f>
        <v>21429</v>
      </c>
      <c r="K86" s="7" cm="1">
        <f t="array" ref="K86">INDEX(GMWQ!$A$2:$LR$60,MATCH(1,(GMWQ!$LQ$2:$LQ$60=K$3)*(GMWQ!$LP$2:$LP$60=K$4)*(GMWQ!$LR$2:$LR$60=K$1),0),$B86-1966)</f>
        <v>6.875</v>
      </c>
      <c r="L86" s="7" cm="1">
        <f t="array" ref="L86">INDEX(GMWQ!$A$2:$LR$60,MATCH(1,(GMWQ!$LQ$2:$LQ$60=L$3)*(GMWQ!$LP$2:$LP$60=L$4)*(GMWQ!$LR$2:$LR$60=L$1),0),$B86-1966)</f>
        <v>10.4</v>
      </c>
      <c r="M86" s="7" cm="1">
        <f t="array" ref="M86">INDEX(GMWQ!$A$2:$LR$60,MATCH(1,(GMWQ!$LQ$2:$LQ$60=M$3)*(GMWQ!$LP$2:$LP$60=M$4)*(GMWQ!$LR$2:$LR$60=M$1),0),$B86-1966)</f>
        <v>28.464929999999999</v>
      </c>
      <c r="N86" s="7" cm="1">
        <f t="array" ref="N86">INDEX(GMWQ!$A$2:$LR$60,MATCH(1,(GMWQ!$LQ$2:$LQ$60=N$3)*(GMWQ!$LP$2:$LP$60=N$4)*(GMWQ!$LR$2:$LR$60=N$1),0),$B86-1966)</f>
        <v>8436</v>
      </c>
      <c r="O86" s="7" cm="1">
        <f t="array" ref="O86">INDEX(GMWQ!$A$2:$LR$60,MATCH(1,(GMWQ!$LQ$2:$LQ$60=O$3)*(GMWQ!$LP$2:$LP$60=O$4)*(GMWQ!$LR$2:$LR$60=O$1),0),$B86-1966)</f>
        <v>8006</v>
      </c>
      <c r="P86" s="7" cm="1">
        <f t="array" ref="P86">INDEX(GMWQ!$A$2:$LR$60,MATCH(1,(GMWQ!$LQ$2:$LQ$60=P$3)*(GMWQ!$LP$2:$LP$60=P$4)*(GMWQ!$LR$2:$LR$60=P$1),0),$B86-1966)</f>
        <v>126339</v>
      </c>
      <c r="Q86" s="7" cm="1">
        <f t="array" ref="Q86">INDEX(GMWQ!$A$2:$LR$60,MATCH(1,(GMWQ!$LQ$2:$LQ$60=Q$3)*(GMWQ!$LP$2:$LP$60=Q$4)*(GMWQ!$LR$2:$LR$60=Q$1),0),$B86-1966)</f>
        <v>8.98</v>
      </c>
      <c r="R86" s="7" cm="1">
        <f t="array" ref="R86">INDEX(GMWQ!$A$2:$LR$60,MATCH(1,(GMWQ!$LQ$2:$LQ$60=R$3)*(GMWQ!$LP$2:$LP$60=R$4)*(GMWQ!$LR$2:$LR$60=R$1),0),$B86-1966)</f>
        <v>1E-3</v>
      </c>
      <c r="S86" s="7" cm="1">
        <f t="array" ref="S86">INDEX(GMWQ!$A$2:$LR$60,MATCH(1,(GMWQ!$LQ$2:$LQ$60=S$3)*(GMWQ!$LP$2:$LP$60=S$4)*(GMWQ!$LR$2:$LR$60=S$1),0),$B86-1966)</f>
        <v>258</v>
      </c>
      <c r="T86" s="7" cm="1">
        <f t="array" ref="T86">INDEX(GMWQ!$A$2:$LR$60,MATCH(1,(GMWQ!$LQ$2:$LQ$60=T$3)*(GMWQ!$LP$2:$LP$60=T$4)*(GMWQ!$LR$2:$LR$60=T$1),0),$B86-1966)</f>
        <v>1E-3</v>
      </c>
      <c r="U86" s="7" cm="1">
        <f t="array" ref="U86">INDEX(GMWQ!$A$2:$LR$60,MATCH(1,(GMWQ!$LQ$2:$LQ$60=U$3)*(GMWQ!$LP$2:$LP$60=U$4)*(GMWQ!$LR$2:$LR$60=U$1),0),$B86-1966)</f>
        <v>2879.9160000000002</v>
      </c>
      <c r="V86" s="7" cm="1">
        <f t="array" ref="V86">INDEX(GMWQ!$A$2:$LR$60,MATCH(1,(GMWQ!$LQ$2:$LQ$60=V$3)*(GMWQ!$LP$2:$LP$60=V$4)*(GMWQ!$LR$2:$LR$60=V$1),0),$B86-1966)</f>
        <v>1E-3</v>
      </c>
      <c r="W86" s="7" cm="1">
        <f t="array" ref="W86">INDEX(GMWQ!$A$2:$LR$60,MATCH(1,(GMWQ!$LQ$2:$LQ$60=W$3)*(GMWQ!$LP$2:$LP$60=W$4)*(GMWQ!$LR$2:$LR$60=W$1),0),$B86-1966)</f>
        <v>13.787559999999999</v>
      </c>
      <c r="X86" s="7" cm="1">
        <f t="array" ref="X86">INDEX(GMWQ!$A$2:$LR$60,MATCH(1,(GMWQ!$LQ$2:$LQ$60=X$3)*(GMWQ!$LP$2:$LP$60=X$4)*(GMWQ!$LR$2:$LR$60=X$1),0),$B86-1966)</f>
        <v>1079645</v>
      </c>
      <c r="Y86" s="7" cm="1">
        <f t="array" ref="Y86">INDEX(GMWQ!$A$2:$LR$60,MATCH(1,(GMWQ!$LQ$2:$LQ$60=Y$3)*(GMWQ!$LP$2:$LP$60=Y$4)*(GMWQ!$LR$2:$LR$60=Y$1),0),$B86-1966)</f>
        <v>58.669490000000003</v>
      </c>
      <c r="Z86" s="7" cm="1">
        <f t="array" ref="Z86">INDEX(GMWQ!$A$2:$LR$60,MATCH(1,(GMWQ!$LQ$2:$LQ$60=Z$3)*(GMWQ!$LP$2:$LP$60=Z$4)*(GMWQ!$LR$2:$LR$60=Z$1),0),$B86-1966)</f>
        <v>322001.7</v>
      </c>
      <c r="AA86" s="7" cm="1">
        <f t="array" ref="AA86">INDEX(GMWQ!$A$2:$LR$60,MATCH(1,(GMWQ!$LQ$2:$LQ$60=AA$3)*(GMWQ!$LP$2:$LP$60=AA$4)*(GMWQ!$LR$2:$LR$60=AA$1),0),$B86-1966)</f>
        <v>61468</v>
      </c>
      <c r="AB86" s="7" cm="1">
        <f t="array" ref="AB86">INDEX(GMWQ!$A$2:$LR$60,MATCH(1,(GMWQ!$LQ$2:$LQ$60=AB$3)*(GMWQ!$LP$2:$LP$60=AB$4)*(GMWQ!$LR$2:$LR$60=AB$1),0),$B86-1966)</f>
        <v>63819</v>
      </c>
      <c r="AC86" s="7" cm="1">
        <f t="array" ref="AC86">INDEX(GMWQ!$A$2:$LR$60,MATCH(1,(GMWQ!$LQ$2:$LQ$60=AC$3)*(GMWQ!$LP$2:$LP$60=AC$4)*(GMWQ!$LR$2:$LR$60=AC$1),0),$B86-1966)</f>
        <v>1561</v>
      </c>
      <c r="AD86" s="7" cm="1">
        <f t="array" ref="AD86">INDEX(GMWQ!$A$2:$LR$60,MATCH(1,(GMWQ!$LQ$2:$LQ$60=AD$3)*(GMWQ!$LP$2:$LP$60=AD$4)*(GMWQ!$LR$2:$LR$60=AD$1),0),$B86-1966)</f>
        <v>5230</v>
      </c>
      <c r="AE86" s="7" cm="1">
        <f t="array" ref="AE86">INDEX(GMWQ!$A$2:$LR$60,MATCH(1,(GMWQ!$LQ$2:$LQ$60=AE$3)*(GMWQ!$LP$2:$LP$60=AE$4)*(GMWQ!$LR$2:$LR$60=AE$1),0),$B86-1966)</f>
        <v>184989</v>
      </c>
      <c r="AF86" s="20" cm="1">
        <f t="array" ref="AF86">INDEX(GMWQ!$A$2:$LR$60,MATCH(1,(GMWQ!$LQ$2:$LQ$60=AF$3)*(GMWQ!$LP$2:$LP$60=AF$4)*(GMWQ!$LR$2:$LR$60=AF$1),0),$B86-1966)</f>
        <v>7.5113640000000004</v>
      </c>
      <c r="AG86" s="20" cm="1">
        <f t="array" ref="AG86">INDEX(GMWQ!$A$2:$LR$60,MATCH(1,(GMWQ!$LQ$2:$LQ$60=AG$3)*(GMWQ!$LP$2:$LP$60=AG$4)*(GMWQ!$LR$2:$LR$60=AG$1),0),$B86-1966)</f>
        <v>-430</v>
      </c>
      <c r="AI86" s="23" cm="1">
        <f t="array" ref="AI86">INDEX(GMWQ!$A$2:$LR$60,MATCH(1,(GMWQ!$LQ$2:$LQ$60=AI$3)*(GMWQ!$LP$2:$LP$60=AI$4)*(GMWQ!$LR$2:$LR$60=AI$1),0),$B86-1966)</f>
        <v>126339</v>
      </c>
      <c r="AJ86" s="23" cm="1">
        <f t="array" ref="AJ86">INDEX(GMWQ!$A$2:$LR$60,MATCH(1,(GMWQ!$LQ$2:$LQ$60=AJ$3)*(GMWQ!$LP$2:$LP$60=AJ$4)*(GMWQ!$LR$2:$LR$60=AJ$1),0),$B86-1966)</f>
        <v>63.400700000000001</v>
      </c>
      <c r="AK86" s="23" cm="1">
        <f t="array" ref="AK86">INDEX(GMWQ!$A$2:$LR$60,MATCH(1,(GMWQ!$LQ$2:$LQ$60=AK$3)*(GMWQ!$LP$2:$LP$60=AK$4)*(GMWQ!$LR$2:$LR$60=AK$1),0),$B86-1966)</f>
        <v>75419</v>
      </c>
      <c r="AL86" s="23" cm="1">
        <f t="array" ref="AL86">INDEX(GMWQ!$A$2:$LR$60,MATCH(1,(GMWQ!$LQ$2:$LQ$60=AL$3)*(GMWQ!$LP$2:$LP$60=AL$4)*(GMWQ!$LR$2:$LR$60=AL$1),0),$B86-1966)</f>
        <v>3519.4830000000002</v>
      </c>
      <c r="AM86" s="23" cm="1">
        <f t="array" ref="AM86">INDEX(GMWQ!$A$2:$LR$60,MATCH(1,(GMWQ!$LQ$2:$LQ$60=AM$3)*(GMWQ!$LP$2:$LP$60=AM$4)*(GMWQ!$LR$2:$LR$60=AM$1),0),$B86-1966)</f>
        <v>21429</v>
      </c>
      <c r="AN86" s="23" cm="1">
        <f t="array" ref="AN86">INDEX(GMWQ!$A$2:$LR$60,MATCH(1,(GMWQ!$LQ$2:$LQ$60=AN$3)*(GMWQ!$LP$2:$LP$60=AN$4)*(GMWQ!$LR$2:$LR$60=AN$1),0),$B86-1966)</f>
        <v>16350</v>
      </c>
      <c r="AO86" s="23" cm="1">
        <f t="array" ref="AO86">INDEX(GMWQ!$A$2:$LR$60,MATCH(1,(GMWQ!$LQ$2:$LQ$60=AO$3)*(GMWQ!$LP$2:$LP$60=AO$4)*(GMWQ!$LR$2:$LR$60=AO$1),0),$B86-1966)</f>
        <v>4456</v>
      </c>
      <c r="AP86" s="23" cm="1">
        <f t="array" ref="AP86">INDEX(GMWQ!$A$2:$LR$60,MATCH(1,(GMWQ!$LQ$2:$LQ$60=AP$3)*(GMWQ!$LP$2:$LP$60=AP$4)*(GMWQ!$LR$2:$LR$60=AP$1),0),$B86-1966)</f>
        <v>-430</v>
      </c>
      <c r="AQ86" s="23" cm="1">
        <f t="array" ref="AQ86">INDEX(GMWQ!$A$2:$LR$60,MATCH(1,(GMWQ!$LQ$2:$LQ$60=AQ$3)*(GMWQ!$LP$2:$LP$60=AQ$4)*(GMWQ!$LR$2:$LR$60=AQ$1),0),$B86-1966)</f>
        <v>21324</v>
      </c>
      <c r="AR86" s="23" cm="1">
        <f t="array" ref="AR86">INDEX(GMWQ!$A$2:$LR$60,MATCH(1,(GMWQ!$LQ$2:$LQ$60=AR$3)*(GMWQ!$LP$2:$LP$60=AR$4)*(GMWQ!$LR$2:$LR$60=AR$1),0),$B86-1966)</f>
        <v>115511</v>
      </c>
      <c r="AS86" s="23" cm="1">
        <f t="array" ref="AS86">INDEX(GMWQ!$A$2:$LR$60,MATCH(1,(GMWQ!$LQ$2:$LQ$60=AS$3)*(GMWQ!$LP$2:$LP$60=AS$4)*(GMWQ!$LR$2:$LR$60=AS$1),0),$B86-1966)</f>
        <v>1849</v>
      </c>
      <c r="AT86" s="23" cm="1">
        <f t="array" ref="AT86">INDEX(GMWQ!$A$2:$LR$60,MATCH(1,(GMWQ!$LQ$2:$LQ$60=AT$3)*(GMWQ!$LP$2:$LP$60=AT$4)*(GMWQ!$LR$2:$LR$60=AT$1),0),$B86-1966)</f>
        <v>182192</v>
      </c>
      <c r="AU86" s="23" cm="1">
        <f t="array" ref="AU86">INDEX(GMWQ!$A$2:$LR$60,MATCH(1,(GMWQ!$LQ$2:$LQ$60=AU$3)*(GMWQ!$LP$2:$LP$60=AU$4)*(GMWQ!$LR$2:$LR$60=AU$1),0),$B86-1966)</f>
        <v>5358</v>
      </c>
    </row>
    <row r="87" spans="1:47" x14ac:dyDescent="0.35">
      <c r="A87" s="7">
        <v>1993</v>
      </c>
      <c r="B87" s="7">
        <f t="shared" si="2"/>
        <v>2053</v>
      </c>
      <c r="C87" s="7" cm="1">
        <f t="array" ref="C87">INDEX(GMWQ!$A$2:$LR$60,MATCH(1,(GMWQ!$LQ$2:$LQ$60=C$3)*(GMWQ!$LP$2:$LP$60=C$4)*(GMWQ!$LR$2:$LR$60=C$1),0),$B87-1966)</f>
        <v>316882</v>
      </c>
      <c r="D87" s="7" cm="1">
        <f t="array" ref="D87">INDEX(GMWQ!$A$2:$LR$60,MATCH(1,(GMWQ!$LQ$2:$LQ$60=D$3)*(GMWQ!$LP$2:$LP$60=D$4)*(GMWQ!$LR$2:$LR$60=D$1),0),$B87-1966)</f>
        <v>213.95429999999999</v>
      </c>
      <c r="E87" s="7" cm="1">
        <f t="array" ref="E87">INDEX(GMWQ!$A$2:$LR$60,MATCH(1,(GMWQ!$LQ$2:$LQ$60=E$3)*(GMWQ!$LP$2:$LP$60=E$4)*(GMWQ!$LR$2:$LR$60=E$1),0),$B87-1966)</f>
        <v>63.2</v>
      </c>
      <c r="F87" s="7" cm="1">
        <f t="array" ref="F87">INDEX(GMWQ!$A$2:$LR$60,MATCH(1,(GMWQ!$LQ$2:$LQ$60=F$3)*(GMWQ!$LP$2:$LP$60=F$4)*(GMWQ!$LR$2:$LR$60=F$1),0),$B87-1966)</f>
        <v>75569</v>
      </c>
      <c r="G87" s="7" cm="1">
        <f t="array" ref="G87">INDEX(GMWQ!$A$2:$LR$60,MATCH(1,(GMWQ!$LQ$2:$LQ$60=G$3)*(GMWQ!$LP$2:$LP$60=G$4)*(GMWQ!$LR$2:$LR$60=G$1),0),$B87-1966)</f>
        <v>16265</v>
      </c>
      <c r="H87" s="7" cm="1">
        <f t="array" ref="H87">INDEX(GMWQ!$A$2:$LR$60,MATCH(1,(GMWQ!$LQ$2:$LQ$60=H$3)*(GMWQ!$LP$2:$LP$60=H$4)*(GMWQ!$LR$2:$LR$60=H$1),0),$B87-1966)</f>
        <v>4467</v>
      </c>
      <c r="I87" s="7" cm="1">
        <f t="array" ref="I87">INDEX(GMWQ!$A$2:$LR$60,MATCH(1,(GMWQ!$LQ$2:$LQ$60=I$3)*(GMWQ!$LP$2:$LP$60=I$4)*(GMWQ!$LR$2:$LR$60=I$1),0),$B87-1966)</f>
        <v>64.123589999999993</v>
      </c>
      <c r="J87" s="7" cm="1">
        <f t="array" ref="J87">INDEX(GMWQ!$A$2:$LR$60,MATCH(1,(GMWQ!$LQ$2:$LQ$60=J$3)*(GMWQ!$LP$2:$LP$60=J$4)*(GMWQ!$LR$2:$LR$60=J$1),0),$B87-1966)</f>
        <v>21388</v>
      </c>
      <c r="K87" s="7" cm="1">
        <f t="array" ref="K87">INDEX(GMWQ!$A$2:$LR$60,MATCH(1,(GMWQ!$LQ$2:$LQ$60=K$3)*(GMWQ!$LP$2:$LP$60=K$4)*(GMWQ!$LR$2:$LR$60=K$1),0),$B87-1966)</f>
        <v>5.875</v>
      </c>
      <c r="L87" s="7" cm="1">
        <f t="array" ref="L87">INDEX(GMWQ!$A$2:$LR$60,MATCH(1,(GMWQ!$LQ$2:$LQ$60=L$3)*(GMWQ!$LP$2:$LP$60=L$4)*(GMWQ!$LR$2:$LR$60=L$1),0),$B87-1966)</f>
        <v>10.6</v>
      </c>
      <c r="M87" s="7" cm="1">
        <f t="array" ref="M87">INDEX(GMWQ!$A$2:$LR$60,MATCH(1,(GMWQ!$LQ$2:$LQ$60=M$3)*(GMWQ!$LP$2:$LP$60=M$4)*(GMWQ!$LR$2:$LR$60=M$1),0),$B87-1966)</f>
        <v>28.185040000000001</v>
      </c>
      <c r="N87" s="7" cm="1">
        <f t="array" ref="N87">INDEX(GMWQ!$A$2:$LR$60,MATCH(1,(GMWQ!$LQ$2:$LQ$60=N$3)*(GMWQ!$LP$2:$LP$60=N$4)*(GMWQ!$LR$2:$LR$60=N$1),0),$B87-1966)</f>
        <v>7548</v>
      </c>
      <c r="O87" s="7" cm="1">
        <f t="array" ref="O87">INDEX(GMWQ!$A$2:$LR$60,MATCH(1,(GMWQ!$LQ$2:$LQ$60=O$3)*(GMWQ!$LP$2:$LP$60=O$4)*(GMWQ!$LR$2:$LR$60=O$1),0),$B87-1966)</f>
        <v>7122</v>
      </c>
      <c r="P87" s="7" cm="1">
        <f t="array" ref="P87">INDEX(GMWQ!$A$2:$LR$60,MATCH(1,(GMWQ!$LQ$2:$LQ$60=P$3)*(GMWQ!$LP$2:$LP$60=P$4)*(GMWQ!$LR$2:$LR$60=P$1),0),$B87-1966)</f>
        <v>127313</v>
      </c>
      <c r="Q87" s="7" cm="1">
        <f t="array" ref="Q87">INDEX(GMWQ!$A$2:$LR$60,MATCH(1,(GMWQ!$LQ$2:$LQ$60=Q$3)*(GMWQ!$LP$2:$LP$60=Q$4)*(GMWQ!$LR$2:$LR$60=Q$1),0),$B87-1966)</f>
        <v>8.0399999999999991</v>
      </c>
      <c r="R87" s="7" cm="1">
        <f t="array" ref="R87">INDEX(GMWQ!$A$2:$LR$60,MATCH(1,(GMWQ!$LQ$2:$LQ$60=R$3)*(GMWQ!$LP$2:$LP$60=R$4)*(GMWQ!$LR$2:$LR$60=R$1),0),$B87-1966)</f>
        <v>1E-3</v>
      </c>
      <c r="S87" s="7" cm="1">
        <f t="array" ref="S87">INDEX(GMWQ!$A$2:$LR$60,MATCH(1,(GMWQ!$LQ$2:$LQ$60=S$3)*(GMWQ!$LP$2:$LP$60=S$4)*(GMWQ!$LR$2:$LR$60=S$1),0),$B87-1966)</f>
        <v>263</v>
      </c>
      <c r="T87" s="7" cm="1">
        <f t="array" ref="T87">INDEX(GMWQ!$A$2:$LR$60,MATCH(1,(GMWQ!$LQ$2:$LQ$60=T$3)*(GMWQ!$LP$2:$LP$60=T$4)*(GMWQ!$LR$2:$LR$60=T$1),0),$B87-1966)</f>
        <v>1E-3</v>
      </c>
      <c r="U87" s="7" cm="1">
        <f t="array" ref="U87">INDEX(GMWQ!$A$2:$LR$60,MATCH(1,(GMWQ!$LQ$2:$LQ$60=U$3)*(GMWQ!$LP$2:$LP$60=U$4)*(GMWQ!$LR$2:$LR$60=U$1),0),$B87-1966)</f>
        <v>2917.56</v>
      </c>
      <c r="V87" s="7" cm="1">
        <f t="array" ref="V87">INDEX(GMWQ!$A$2:$LR$60,MATCH(1,(GMWQ!$LQ$2:$LQ$60=V$3)*(GMWQ!$LP$2:$LP$60=V$4)*(GMWQ!$LR$2:$LR$60=V$1),0),$B87-1966)</f>
        <v>6.1070760000000003E-3</v>
      </c>
      <c r="W87" s="7" cm="1">
        <f t="array" ref="W87">INDEX(GMWQ!$A$2:$LR$60,MATCH(1,(GMWQ!$LQ$2:$LQ$60=W$3)*(GMWQ!$LP$2:$LP$60=W$4)*(GMWQ!$LR$2:$LR$60=W$1),0),$B87-1966)</f>
        <v>12.71598</v>
      </c>
      <c r="X87" s="7" cm="1">
        <f t="array" ref="X87">INDEX(GMWQ!$A$2:$LR$60,MATCH(1,(GMWQ!$LQ$2:$LQ$60=X$3)*(GMWQ!$LP$2:$LP$60=X$4)*(GMWQ!$LR$2:$LR$60=X$1),0),$B87-1966)</f>
        <v>1071457</v>
      </c>
      <c r="Y87" s="7" cm="1">
        <f t="array" ref="Y87">INDEX(GMWQ!$A$2:$LR$60,MATCH(1,(GMWQ!$LQ$2:$LQ$60=Y$3)*(GMWQ!$LP$2:$LP$60=Y$4)*(GMWQ!$LR$2:$LR$60=Y$1),0),$B87-1966)</f>
        <v>59.826369999999997</v>
      </c>
      <c r="Z87" s="7" cm="1">
        <f t="array" ref="Z87">INDEX(GMWQ!$A$2:$LR$60,MATCH(1,(GMWQ!$LQ$2:$LQ$60=Z$3)*(GMWQ!$LP$2:$LP$60=Z$4)*(GMWQ!$LR$2:$LR$60=Z$1),0),$B87-1966)</f>
        <v>324398.90000000002</v>
      </c>
      <c r="AA87" s="7" cm="1">
        <f t="array" ref="AA87">INDEX(GMWQ!$A$2:$LR$60,MATCH(1,(GMWQ!$LQ$2:$LQ$60=AA$3)*(GMWQ!$LP$2:$LP$60=AA$4)*(GMWQ!$LR$2:$LR$60=AA$1),0),$B87-1966)</f>
        <v>62189</v>
      </c>
      <c r="AB87" s="7" cm="1">
        <f t="array" ref="AB87">INDEX(GMWQ!$A$2:$LR$60,MATCH(1,(GMWQ!$LQ$2:$LQ$60=AB$3)*(GMWQ!$LP$2:$LP$60=AB$4)*(GMWQ!$LR$2:$LR$60=AB$1),0),$B87-1966)</f>
        <v>65076</v>
      </c>
      <c r="AC87" s="7" cm="1">
        <f t="array" ref="AC87">INDEX(GMWQ!$A$2:$LR$60,MATCH(1,(GMWQ!$LQ$2:$LQ$60=AC$3)*(GMWQ!$LP$2:$LP$60=AC$4)*(GMWQ!$LR$2:$LR$60=AC$1),0),$B87-1966)</f>
        <v>4523</v>
      </c>
      <c r="AD87" s="7" cm="1">
        <f t="array" ref="AD87">INDEX(GMWQ!$A$2:$LR$60,MATCH(1,(GMWQ!$LQ$2:$LQ$60=AD$3)*(GMWQ!$LP$2:$LP$60=AD$4)*(GMWQ!$LR$2:$LR$60=AD$1),0),$B87-1966)</f>
        <v>5233</v>
      </c>
      <c r="AE87" s="7" cm="1">
        <f t="array" ref="AE87">INDEX(GMWQ!$A$2:$LR$60,MATCH(1,(GMWQ!$LQ$2:$LQ$60=AE$3)*(GMWQ!$LP$2:$LP$60=AE$4)*(GMWQ!$LR$2:$LR$60=AE$1),0),$B87-1966)</f>
        <v>189579</v>
      </c>
      <c r="AF87" s="20" cm="1">
        <f t="array" ref="AF87">INDEX(GMWQ!$A$2:$LR$60,MATCH(1,(GMWQ!$LQ$2:$LQ$60=AF$3)*(GMWQ!$LP$2:$LP$60=AF$4)*(GMWQ!$LR$2:$LR$60=AF$1),0),$B87-1966)</f>
        <v>6.140625</v>
      </c>
      <c r="AG87" s="20" cm="1">
        <f t="array" ref="AG87">INDEX(GMWQ!$A$2:$LR$60,MATCH(1,(GMWQ!$LQ$2:$LQ$60=AG$3)*(GMWQ!$LP$2:$LP$60=AG$4)*(GMWQ!$LR$2:$LR$60=AG$1),0),$B87-1966)</f>
        <v>-426</v>
      </c>
      <c r="AI87" s="23" cm="1">
        <f t="array" ref="AI87">INDEX(GMWQ!$A$2:$LR$60,MATCH(1,(GMWQ!$LQ$2:$LQ$60=AI$3)*(GMWQ!$LP$2:$LP$60=AI$4)*(GMWQ!$LR$2:$LR$60=AI$1),0),$B87-1966)</f>
        <v>127313</v>
      </c>
      <c r="AJ87" s="23" cm="1">
        <f t="array" ref="AJ87">INDEX(GMWQ!$A$2:$LR$60,MATCH(1,(GMWQ!$LQ$2:$LQ$60=AJ$3)*(GMWQ!$LP$2:$LP$60=AJ$4)*(GMWQ!$LR$2:$LR$60=AJ$1),0),$B87-1966)</f>
        <v>64.123589999999993</v>
      </c>
      <c r="AK87" s="23" cm="1">
        <f t="array" ref="AK87">INDEX(GMWQ!$A$2:$LR$60,MATCH(1,(GMWQ!$LQ$2:$LQ$60=AK$3)*(GMWQ!$LP$2:$LP$60=AK$4)*(GMWQ!$LR$2:$LR$60=AK$1),0),$B87-1966)</f>
        <v>75569</v>
      </c>
      <c r="AL87" s="23" cm="1">
        <f t="array" ref="AL87">INDEX(GMWQ!$A$2:$LR$60,MATCH(1,(GMWQ!$LQ$2:$LQ$60=AL$3)*(GMWQ!$LP$2:$LP$60=AL$4)*(GMWQ!$LR$2:$LR$60=AL$1),0),$B87-1966)</f>
        <v>3533.2429999999999</v>
      </c>
      <c r="AM87" s="23" cm="1">
        <f t="array" ref="AM87">INDEX(GMWQ!$A$2:$LR$60,MATCH(1,(GMWQ!$LQ$2:$LQ$60=AM$3)*(GMWQ!$LP$2:$LP$60=AM$4)*(GMWQ!$LR$2:$LR$60=AM$1),0),$B87-1966)</f>
        <v>21388</v>
      </c>
      <c r="AN87" s="23" cm="1">
        <f t="array" ref="AN87">INDEX(GMWQ!$A$2:$LR$60,MATCH(1,(GMWQ!$LQ$2:$LQ$60=AN$3)*(GMWQ!$LP$2:$LP$60=AN$4)*(GMWQ!$LR$2:$LR$60=AN$1),0),$B87-1966)</f>
        <v>16265</v>
      </c>
      <c r="AO87" s="23" cm="1">
        <f t="array" ref="AO87">INDEX(GMWQ!$A$2:$LR$60,MATCH(1,(GMWQ!$LQ$2:$LQ$60=AO$3)*(GMWQ!$LP$2:$LP$60=AO$4)*(GMWQ!$LR$2:$LR$60=AO$1),0),$B87-1966)</f>
        <v>4467</v>
      </c>
      <c r="AP87" s="23" cm="1">
        <f t="array" ref="AP87">INDEX(GMWQ!$A$2:$LR$60,MATCH(1,(GMWQ!$LQ$2:$LQ$60=AP$3)*(GMWQ!$LP$2:$LP$60=AP$4)*(GMWQ!$LR$2:$LR$60=AP$1),0),$B87-1966)</f>
        <v>-426</v>
      </c>
      <c r="AQ87" s="23" cm="1">
        <f t="array" ref="AQ87">INDEX(GMWQ!$A$2:$LR$60,MATCH(1,(GMWQ!$LQ$2:$LQ$60=AQ$3)*(GMWQ!$LP$2:$LP$60=AQ$4)*(GMWQ!$LR$2:$LR$60=AQ$1),0),$B87-1966)</f>
        <v>21545</v>
      </c>
      <c r="AR87" s="23" cm="1">
        <f t="array" ref="AR87">INDEX(GMWQ!$A$2:$LR$60,MATCH(1,(GMWQ!$LQ$2:$LQ$60=AR$3)*(GMWQ!$LP$2:$LP$60=AR$4)*(GMWQ!$LR$2:$LR$60=AR$1),0),$B87-1966)</f>
        <v>117779</v>
      </c>
      <c r="AS87" s="23" cm="1">
        <f t="array" ref="AS87">INDEX(GMWQ!$A$2:$LR$60,MATCH(1,(GMWQ!$LQ$2:$LQ$60=AS$3)*(GMWQ!$LP$2:$LP$60=AS$4)*(GMWQ!$LR$2:$LR$60=AS$1),0),$B87-1966)</f>
        <v>2351</v>
      </c>
      <c r="AT87" s="23" cm="1">
        <f t="array" ref="AT87">INDEX(GMWQ!$A$2:$LR$60,MATCH(1,(GMWQ!$LQ$2:$LQ$60=AT$3)*(GMWQ!$LP$2:$LP$60=AT$4)*(GMWQ!$LR$2:$LR$60=AT$1),0),$B87-1966)</f>
        <v>183675</v>
      </c>
      <c r="AU87" s="23" cm="1">
        <f t="array" ref="AU87">INDEX(GMWQ!$A$2:$LR$60,MATCH(1,(GMWQ!$LQ$2:$LQ$60=AU$3)*(GMWQ!$LP$2:$LP$60=AU$4)*(GMWQ!$LR$2:$LR$60=AU$1),0),$B87-1966)</f>
        <v>5644</v>
      </c>
    </row>
    <row r="88" spans="1:47" x14ac:dyDescent="0.35">
      <c r="B88" s="7">
        <f t="shared" si="2"/>
        <v>2054</v>
      </c>
      <c r="C88" s="7" cm="1">
        <f t="array" ref="C88">INDEX(GMWQ!$A$2:$LR$60,MATCH(1,(GMWQ!$LQ$2:$LQ$60=C$3)*(GMWQ!$LP$2:$LP$60=C$4)*(GMWQ!$LR$2:$LR$60=C$1),0),$B88-1966)</f>
        <v>318302</v>
      </c>
      <c r="D88" s="7" cm="1">
        <f t="array" ref="D88">INDEX(GMWQ!$A$2:$LR$60,MATCH(1,(GMWQ!$LQ$2:$LQ$60=D$3)*(GMWQ!$LP$2:$LP$60=D$4)*(GMWQ!$LR$2:$LR$60=D$1),0),$B88-1966)</f>
        <v>217.78450000000001</v>
      </c>
      <c r="E88" s="7" cm="1">
        <f t="array" ref="E88">INDEX(GMWQ!$A$2:$LR$60,MATCH(1,(GMWQ!$LQ$2:$LQ$60=E$3)*(GMWQ!$LP$2:$LP$60=E$4)*(GMWQ!$LR$2:$LR$60=E$1),0),$B88-1966)</f>
        <v>64.433329999999998</v>
      </c>
      <c r="F88" s="7" cm="1">
        <f t="array" ref="F88">INDEX(GMWQ!$A$2:$LR$60,MATCH(1,(GMWQ!$LQ$2:$LQ$60=F$3)*(GMWQ!$LP$2:$LP$60=F$4)*(GMWQ!$LR$2:$LR$60=F$1),0),$B88-1966)</f>
        <v>76688</v>
      </c>
      <c r="G88" s="7" cm="1">
        <f t="array" ref="G88">INDEX(GMWQ!$A$2:$LR$60,MATCH(1,(GMWQ!$LQ$2:$LQ$60=G$3)*(GMWQ!$LP$2:$LP$60=G$4)*(GMWQ!$LR$2:$LR$60=G$1),0),$B88-1966)</f>
        <v>16206</v>
      </c>
      <c r="H88" s="7" cm="1">
        <f t="array" ref="H88">INDEX(GMWQ!$A$2:$LR$60,MATCH(1,(GMWQ!$LQ$2:$LQ$60=H$3)*(GMWQ!$LP$2:$LP$60=H$4)*(GMWQ!$LR$2:$LR$60=H$1),0),$B88-1966)</f>
        <v>4588</v>
      </c>
      <c r="I88" s="7" cm="1">
        <f t="array" ref="I88">INDEX(GMWQ!$A$2:$LR$60,MATCH(1,(GMWQ!$LQ$2:$LQ$60=I$3)*(GMWQ!$LP$2:$LP$60=I$4)*(GMWQ!$LR$2:$LR$60=I$1),0),$B88-1966)</f>
        <v>64.574389999999994</v>
      </c>
      <c r="J88" s="7" cm="1">
        <f t="array" ref="J88">INDEX(GMWQ!$A$2:$LR$60,MATCH(1,(GMWQ!$LQ$2:$LQ$60=J$3)*(GMWQ!$LP$2:$LP$60=J$4)*(GMWQ!$LR$2:$LR$60=J$1),0),$B88-1966)</f>
        <v>21389</v>
      </c>
      <c r="K88" s="7" cm="1">
        <f t="array" ref="K88">INDEX(GMWQ!$A$2:$LR$60,MATCH(1,(GMWQ!$LQ$2:$LQ$60=K$3)*(GMWQ!$LP$2:$LP$60=K$4)*(GMWQ!$LR$2:$LR$60=K$1),0),$B88-1966)</f>
        <v>5.875</v>
      </c>
      <c r="L88" s="7" cm="1">
        <f t="array" ref="L88">INDEX(GMWQ!$A$2:$LR$60,MATCH(1,(GMWQ!$LQ$2:$LQ$60=L$3)*(GMWQ!$LP$2:$LP$60=L$4)*(GMWQ!$LR$2:$LR$60=L$1),0),$B88-1966)</f>
        <v>10.4</v>
      </c>
      <c r="M88" s="7" cm="1">
        <f t="array" ref="M88">INDEX(GMWQ!$A$2:$LR$60,MATCH(1,(GMWQ!$LQ$2:$LQ$60=M$3)*(GMWQ!$LP$2:$LP$60=M$4)*(GMWQ!$LR$2:$LR$60=M$1),0),$B88-1966)</f>
        <v>28.488659999999999</v>
      </c>
      <c r="N88" s="7" cm="1">
        <f t="array" ref="N88">INDEX(GMWQ!$A$2:$LR$60,MATCH(1,(GMWQ!$LQ$2:$LQ$60=N$3)*(GMWQ!$LP$2:$LP$60=N$4)*(GMWQ!$LR$2:$LR$60=N$1),0),$B88-1966)</f>
        <v>7324</v>
      </c>
      <c r="O88" s="7" cm="1">
        <f t="array" ref="O88">INDEX(GMWQ!$A$2:$LR$60,MATCH(1,(GMWQ!$LQ$2:$LQ$60=O$3)*(GMWQ!$LP$2:$LP$60=O$4)*(GMWQ!$LR$2:$LR$60=O$1),0),$B88-1966)</f>
        <v>7185</v>
      </c>
      <c r="P88" s="7" cm="1">
        <f t="array" ref="P88">INDEX(GMWQ!$A$2:$LR$60,MATCH(1,(GMWQ!$LQ$2:$LQ$60=P$3)*(GMWQ!$LP$2:$LP$60=P$4)*(GMWQ!$LR$2:$LR$60=P$1),0),$B88-1966)</f>
        <v>131724</v>
      </c>
      <c r="Q88" s="7" cm="1">
        <f t="array" ref="Q88">INDEX(GMWQ!$A$2:$LR$60,MATCH(1,(GMWQ!$LQ$2:$LQ$60=Q$3)*(GMWQ!$LP$2:$LP$60=Q$4)*(GMWQ!$LR$2:$LR$60=Q$1),0),$B88-1966)</f>
        <v>8.01</v>
      </c>
      <c r="R88" s="7" cm="1">
        <f t="array" ref="R88">INDEX(GMWQ!$A$2:$LR$60,MATCH(1,(GMWQ!$LQ$2:$LQ$60=R$3)*(GMWQ!$LP$2:$LP$60=R$4)*(GMWQ!$LR$2:$LR$60=R$1),0),$B88-1966)</f>
        <v>259234</v>
      </c>
      <c r="S88" s="7" cm="1">
        <f t="array" ref="S88">INDEX(GMWQ!$A$2:$LR$60,MATCH(1,(GMWQ!$LQ$2:$LQ$60=S$3)*(GMWQ!$LP$2:$LP$60=S$4)*(GMWQ!$LR$2:$LR$60=S$1),0),$B88-1966)</f>
        <v>286</v>
      </c>
      <c r="T88" s="7" cm="1">
        <f t="array" ref="T88">INDEX(GMWQ!$A$2:$LR$60,MATCH(1,(GMWQ!$LQ$2:$LQ$60=T$3)*(GMWQ!$LP$2:$LP$60=T$4)*(GMWQ!$LR$2:$LR$60=T$1),0),$B88-1966)</f>
        <v>13542</v>
      </c>
      <c r="U88" s="7" cm="1">
        <f t="array" ref="U88">INDEX(GMWQ!$A$2:$LR$60,MATCH(1,(GMWQ!$LQ$2:$LQ$60=U$3)*(GMWQ!$LP$2:$LP$60=U$4)*(GMWQ!$LR$2:$LR$60=U$1),0),$B88-1966)</f>
        <v>3703</v>
      </c>
      <c r="V88" s="7" cm="1">
        <f t="array" ref="V88">INDEX(GMWQ!$A$2:$LR$60,MATCH(1,(GMWQ!$LQ$2:$LQ$60=V$3)*(GMWQ!$LP$2:$LP$60=V$4)*(GMWQ!$LR$2:$LR$60=V$1),0),$B88-1966)</f>
        <v>5.7271910000000004E-3</v>
      </c>
      <c r="W88" s="7" cm="1">
        <f t="array" ref="W88">INDEX(GMWQ!$A$2:$LR$60,MATCH(1,(GMWQ!$LQ$2:$LQ$60=W$3)*(GMWQ!$LP$2:$LP$60=W$4)*(GMWQ!$LR$2:$LR$60=W$1),0),$B88-1966)</f>
        <v>12.803330000000001</v>
      </c>
      <c r="X88" s="7" cm="1">
        <f t="array" ref="X88">INDEX(GMWQ!$A$2:$LR$60,MATCH(1,(GMWQ!$LQ$2:$LQ$60=X$3)*(GMWQ!$LP$2:$LP$60=X$4)*(GMWQ!$LR$2:$LR$60=X$1),0),$B88-1966)</f>
        <v>1063104</v>
      </c>
      <c r="Y88" s="7" cm="1">
        <f t="array" ref="Y88">INDEX(GMWQ!$A$2:$LR$60,MATCH(1,(GMWQ!$LQ$2:$LQ$60=Y$3)*(GMWQ!$LP$2:$LP$60=Y$4)*(GMWQ!$LR$2:$LR$60=Y$1),0),$B88-1966)</f>
        <v>59.629849999999998</v>
      </c>
      <c r="Z88" s="7" cm="1">
        <f t="array" ref="Z88">INDEX(GMWQ!$A$2:$LR$60,MATCH(1,(GMWQ!$LQ$2:$LQ$60=Z$3)*(GMWQ!$LP$2:$LP$60=Z$4)*(GMWQ!$LR$2:$LR$60=Z$1),0),$B88-1966)</f>
        <v>325578.5</v>
      </c>
      <c r="AA88" s="7" cm="1">
        <f t="array" ref="AA88">INDEX(GMWQ!$A$2:$LR$60,MATCH(1,(GMWQ!$LQ$2:$LQ$60=AA$3)*(GMWQ!$LP$2:$LP$60=AA$4)*(GMWQ!$LR$2:$LR$60=AA$1),0),$B88-1966)</f>
        <v>56316</v>
      </c>
      <c r="AB88" s="7" cm="1">
        <f t="array" ref="AB88">INDEX(GMWQ!$A$2:$LR$60,MATCH(1,(GMWQ!$LQ$2:$LQ$60=AB$3)*(GMWQ!$LP$2:$LP$60=AB$4)*(GMWQ!$LR$2:$LR$60=AB$1),0),$B88-1966)</f>
        <v>65931</v>
      </c>
      <c r="AC88" s="7" cm="1">
        <f t="array" ref="AC88">INDEX(GMWQ!$A$2:$LR$60,MATCH(1,(GMWQ!$LQ$2:$LQ$60=AC$3)*(GMWQ!$LP$2:$LP$60=AC$4)*(GMWQ!$LR$2:$LR$60=AC$1),0),$B88-1966)</f>
        <v>800</v>
      </c>
      <c r="AD88" s="7" cm="1">
        <f t="array" ref="AD88">INDEX(GMWQ!$A$2:$LR$60,MATCH(1,(GMWQ!$LQ$2:$LQ$60=AD$3)*(GMWQ!$LP$2:$LP$60=AD$4)*(GMWQ!$LR$2:$LR$60=AD$1),0),$B88-1966)</f>
        <v>5249</v>
      </c>
      <c r="AE88" s="7" cm="1">
        <f t="array" ref="AE88">INDEX(GMWQ!$A$2:$LR$60,MATCH(1,(GMWQ!$LQ$2:$LQ$60=AE$3)*(GMWQ!$LP$2:$LP$60=AE$4)*(GMWQ!$LR$2:$LR$60=AE$1),0),$B88-1966)</f>
        <v>189803</v>
      </c>
      <c r="AF88" s="20" cm="1">
        <f t="array" ref="AF88">INDEX(GMWQ!$A$2:$LR$60,MATCH(1,(GMWQ!$LQ$2:$LQ$60=AF$3)*(GMWQ!$LP$2:$LP$60=AF$4)*(GMWQ!$LR$2:$LR$60=AF$1),0),$B88-1966)</f>
        <v>5.875</v>
      </c>
      <c r="AG88" s="20" cm="1">
        <f t="array" ref="AG88">INDEX(GMWQ!$A$2:$LR$60,MATCH(1,(GMWQ!$LQ$2:$LQ$60=AG$3)*(GMWQ!$LP$2:$LP$60=AG$4)*(GMWQ!$LR$2:$LR$60=AG$1),0),$B88-1966)</f>
        <v>-139</v>
      </c>
      <c r="AI88" s="23" cm="1">
        <f t="array" ref="AI88">INDEX(GMWQ!$A$2:$LR$60,MATCH(1,(GMWQ!$LQ$2:$LQ$60=AI$3)*(GMWQ!$LP$2:$LP$60=AI$4)*(GMWQ!$LR$2:$LR$60=AI$1),0),$B88-1966)</f>
        <v>131724</v>
      </c>
      <c r="AJ88" s="23" cm="1">
        <f t="array" ref="AJ88">INDEX(GMWQ!$A$2:$LR$60,MATCH(1,(GMWQ!$LQ$2:$LQ$60=AJ$3)*(GMWQ!$LP$2:$LP$60=AJ$4)*(GMWQ!$LR$2:$LR$60=AJ$1),0),$B88-1966)</f>
        <v>64.574389999999994</v>
      </c>
      <c r="AK88" s="23" cm="1">
        <f t="array" ref="AK88">INDEX(GMWQ!$A$2:$LR$60,MATCH(1,(GMWQ!$LQ$2:$LQ$60=AK$3)*(GMWQ!$LP$2:$LP$60=AK$4)*(GMWQ!$LR$2:$LR$60=AK$1),0),$B88-1966)</f>
        <v>76688</v>
      </c>
      <c r="AL88" s="23" cm="1">
        <f t="array" ref="AL88">INDEX(GMWQ!$A$2:$LR$60,MATCH(1,(GMWQ!$LQ$2:$LQ$60=AL$3)*(GMWQ!$LP$2:$LP$60=AL$4)*(GMWQ!$LR$2:$LR$60=AL$1),0),$B88-1966)</f>
        <v>3585.3939999999998</v>
      </c>
      <c r="AM88" s="23" cm="1">
        <f t="array" ref="AM88">INDEX(GMWQ!$A$2:$LR$60,MATCH(1,(GMWQ!$LQ$2:$LQ$60=AM$3)*(GMWQ!$LP$2:$LP$60=AM$4)*(GMWQ!$LR$2:$LR$60=AM$1),0),$B88-1966)</f>
        <v>21389</v>
      </c>
      <c r="AN88" s="23" cm="1">
        <f t="array" ref="AN88">INDEX(GMWQ!$A$2:$LR$60,MATCH(1,(GMWQ!$LQ$2:$LQ$60=AN$3)*(GMWQ!$LP$2:$LP$60=AN$4)*(GMWQ!$LR$2:$LR$60=AN$1),0),$B88-1966)</f>
        <v>16206</v>
      </c>
      <c r="AO88" s="23" cm="1">
        <f t="array" ref="AO88">INDEX(GMWQ!$A$2:$LR$60,MATCH(1,(GMWQ!$LQ$2:$LQ$60=AO$3)*(GMWQ!$LP$2:$LP$60=AO$4)*(GMWQ!$LR$2:$LR$60=AO$1),0),$B88-1966)</f>
        <v>4588</v>
      </c>
      <c r="AP88" s="23" cm="1">
        <f t="array" ref="AP88">INDEX(GMWQ!$A$2:$LR$60,MATCH(1,(GMWQ!$LQ$2:$LQ$60=AP$3)*(GMWQ!$LP$2:$LP$60=AP$4)*(GMWQ!$LR$2:$LR$60=AP$1),0),$B88-1966)</f>
        <v>-139</v>
      </c>
      <c r="AQ88" s="23" cm="1">
        <f t="array" ref="AQ88">INDEX(GMWQ!$A$2:$LR$60,MATCH(1,(GMWQ!$LQ$2:$LQ$60=AQ$3)*(GMWQ!$LP$2:$LP$60=AQ$4)*(GMWQ!$LR$2:$LR$60=AQ$1),0),$B88-1966)</f>
        <v>22462</v>
      </c>
      <c r="AR88" s="23" cm="1">
        <f t="array" ref="AR88">INDEX(GMWQ!$A$2:$LR$60,MATCH(1,(GMWQ!$LQ$2:$LQ$60=AR$3)*(GMWQ!$LP$2:$LP$60=AR$4)*(GMWQ!$LR$2:$LR$60=AR$1),0),$B88-1966)</f>
        <v>118844</v>
      </c>
      <c r="AS88" s="23" cm="1">
        <f t="array" ref="AS88">INDEX(GMWQ!$A$2:$LR$60,MATCH(1,(GMWQ!$LQ$2:$LQ$60=AS$3)*(GMWQ!$LP$2:$LP$60=AS$4)*(GMWQ!$LR$2:$LR$60=AS$1),0),$B88-1966)</f>
        <v>2480</v>
      </c>
      <c r="AT88" s="23" cm="1">
        <f t="array" ref="AT88">INDEX(GMWQ!$A$2:$LR$60,MATCH(1,(GMWQ!$LQ$2:$LQ$60=AT$3)*(GMWQ!$LP$2:$LP$60=AT$4)*(GMWQ!$LR$2:$LR$60=AT$1),0),$B88-1966)</f>
        <v>184042</v>
      </c>
      <c r="AU88" s="23" cm="1">
        <f t="array" ref="AU88">INDEX(GMWQ!$A$2:$LR$60,MATCH(1,(GMWQ!$LQ$2:$LQ$60=AU$3)*(GMWQ!$LP$2:$LP$60=AU$4)*(GMWQ!$LR$2:$LR$60=AU$1),0),$B88-1966)</f>
        <v>6139</v>
      </c>
    </row>
    <row r="89" spans="1:47" x14ac:dyDescent="0.35">
      <c r="B89" s="7">
        <f t="shared" si="2"/>
        <v>2055</v>
      </c>
      <c r="C89" s="7" cm="1">
        <f t="array" ref="C89">INDEX(GMWQ!$A$2:$LR$60,MATCH(1,(GMWQ!$LQ$2:$LQ$60=C$3)*(GMWQ!$LP$2:$LP$60=C$4)*(GMWQ!$LR$2:$LR$60=C$1),0),$B89-1966)</f>
        <v>321218</v>
      </c>
      <c r="D89" s="7" cm="1">
        <f t="array" ref="D89">INDEX(GMWQ!$A$2:$LR$60,MATCH(1,(GMWQ!$LQ$2:$LQ$60=D$3)*(GMWQ!$LP$2:$LP$60=D$4)*(GMWQ!$LR$2:$LR$60=D$1),0),$B89-1966)</f>
        <v>221.5908</v>
      </c>
      <c r="E89" s="7" cm="1">
        <f t="array" ref="E89">INDEX(GMWQ!$A$2:$LR$60,MATCH(1,(GMWQ!$LQ$2:$LQ$60=E$3)*(GMWQ!$LP$2:$LP$60=E$4)*(GMWQ!$LR$2:$LR$60=E$1),0),$B89-1966)</f>
        <v>64.5</v>
      </c>
      <c r="F89" s="7" cm="1">
        <f t="array" ref="F89">INDEX(GMWQ!$A$2:$LR$60,MATCH(1,(GMWQ!$LQ$2:$LQ$60=F$3)*(GMWQ!$LP$2:$LP$60=F$4)*(GMWQ!$LR$2:$LR$60=F$1),0),$B89-1966)</f>
        <v>77806</v>
      </c>
      <c r="G89" s="7" cm="1">
        <f t="array" ref="G89">INDEX(GMWQ!$A$2:$LR$60,MATCH(1,(GMWQ!$LQ$2:$LQ$60=G$3)*(GMWQ!$LP$2:$LP$60=G$4)*(GMWQ!$LR$2:$LR$60=G$1),0),$B89-1966)</f>
        <v>16207</v>
      </c>
      <c r="H89" s="7" cm="1">
        <f t="array" ref="H89">INDEX(GMWQ!$A$2:$LR$60,MATCH(1,(GMWQ!$LQ$2:$LQ$60=H$3)*(GMWQ!$LP$2:$LP$60=H$4)*(GMWQ!$LR$2:$LR$60=H$1),0),$B89-1966)</f>
        <v>4593</v>
      </c>
      <c r="I89" s="7" cm="1">
        <f t="array" ref="I89">INDEX(GMWQ!$A$2:$LR$60,MATCH(1,(GMWQ!$LQ$2:$LQ$60=I$3)*(GMWQ!$LP$2:$LP$60=I$4)*(GMWQ!$LR$2:$LR$60=I$1),0),$B89-1966)</f>
        <v>64.921199999999999</v>
      </c>
      <c r="J89" s="7" cm="1">
        <f t="array" ref="J89">INDEX(GMWQ!$A$2:$LR$60,MATCH(1,(GMWQ!$LQ$2:$LQ$60=J$3)*(GMWQ!$LP$2:$LP$60=J$4)*(GMWQ!$LR$2:$LR$60=J$1),0),$B89-1966)</f>
        <v>21431</v>
      </c>
      <c r="K89" s="7" cm="1">
        <f t="array" ref="K89">INDEX(GMWQ!$A$2:$LR$60,MATCH(1,(GMWQ!$LQ$2:$LQ$60=K$3)*(GMWQ!$LP$2:$LP$60=K$4)*(GMWQ!$LR$2:$LR$60=K$1),0),$B89-1966)</f>
        <v>5.875</v>
      </c>
      <c r="L89" s="7" cm="1">
        <f t="array" ref="L89">INDEX(GMWQ!$A$2:$LR$60,MATCH(1,(GMWQ!$LQ$2:$LQ$60=L$3)*(GMWQ!$LP$2:$LP$60=L$4)*(GMWQ!$LR$2:$LR$60=L$1),0),$B89-1966)</f>
        <v>10.199999999999999</v>
      </c>
      <c r="M89" s="7" cm="1">
        <f t="array" ref="M89">INDEX(GMWQ!$A$2:$LR$60,MATCH(1,(GMWQ!$LQ$2:$LQ$60=M$3)*(GMWQ!$LP$2:$LP$60=M$4)*(GMWQ!$LR$2:$LR$60=M$1),0),$B89-1966)</f>
        <v>28.858630000000002</v>
      </c>
      <c r="N89" s="7" cm="1">
        <f t="array" ref="N89">INDEX(GMWQ!$A$2:$LR$60,MATCH(1,(GMWQ!$LQ$2:$LQ$60=N$3)*(GMWQ!$LP$2:$LP$60=N$4)*(GMWQ!$LR$2:$LR$60=N$1),0),$B89-1966)</f>
        <v>7370</v>
      </c>
      <c r="O89" s="7" cm="1">
        <f t="array" ref="O89">INDEX(GMWQ!$A$2:$LR$60,MATCH(1,(GMWQ!$LQ$2:$LQ$60=O$3)*(GMWQ!$LP$2:$LP$60=O$4)*(GMWQ!$LR$2:$LR$60=O$1),0),$B89-1966)</f>
        <v>7013</v>
      </c>
      <c r="P89" s="7" cm="1">
        <f t="array" ref="P89">INDEX(GMWQ!$A$2:$LR$60,MATCH(1,(GMWQ!$LQ$2:$LQ$60=P$3)*(GMWQ!$LP$2:$LP$60=P$4)*(GMWQ!$LR$2:$LR$60=P$1),0),$B89-1966)</f>
        <v>133457</v>
      </c>
      <c r="Q89" s="7" cm="1">
        <f t="array" ref="Q89">INDEX(GMWQ!$A$2:$LR$60,MATCH(1,(GMWQ!$LQ$2:$LQ$60=Q$3)*(GMWQ!$LP$2:$LP$60=Q$4)*(GMWQ!$LR$2:$LR$60=Q$1),0),$B89-1966)</f>
        <v>8</v>
      </c>
      <c r="R89" s="7" cm="1">
        <f t="array" ref="R89">INDEX(GMWQ!$A$2:$LR$60,MATCH(1,(GMWQ!$LQ$2:$LQ$60=R$3)*(GMWQ!$LP$2:$LP$60=R$4)*(GMWQ!$LR$2:$LR$60=R$1),0),$B89-1966)</f>
        <v>247281</v>
      </c>
      <c r="S89" s="7" cm="1">
        <f t="array" ref="S89">INDEX(GMWQ!$A$2:$LR$60,MATCH(1,(GMWQ!$LQ$2:$LQ$60=S$3)*(GMWQ!$LP$2:$LP$60=S$4)*(GMWQ!$LR$2:$LR$60=S$1),0),$B89-1966)</f>
        <v>317</v>
      </c>
      <c r="T89" s="7" cm="1">
        <f t="array" ref="T89">INDEX(GMWQ!$A$2:$LR$60,MATCH(1,(GMWQ!$LQ$2:$LQ$60=T$3)*(GMWQ!$LP$2:$LP$60=T$4)*(GMWQ!$LR$2:$LR$60=T$1),0),$B89-1966)</f>
        <v>13190</v>
      </c>
      <c r="U89" s="7" cm="1">
        <f t="array" ref="U89">INDEX(GMWQ!$A$2:$LR$60,MATCH(1,(GMWQ!$LQ$2:$LQ$60=U$3)*(GMWQ!$LP$2:$LP$60=U$4)*(GMWQ!$LR$2:$LR$60=U$1),0),$B89-1966)</f>
        <v>4211</v>
      </c>
      <c r="V89" s="7" cm="1">
        <f t="array" ref="V89">INDEX(GMWQ!$A$2:$LR$60,MATCH(1,(GMWQ!$LQ$2:$LQ$60=V$3)*(GMWQ!$LP$2:$LP$60=V$4)*(GMWQ!$LR$2:$LR$60=V$1),0),$B89-1966)</f>
        <v>5.2977659999999998E-3</v>
      </c>
      <c r="W89" s="7" cm="1">
        <f t="array" ref="W89">INDEX(GMWQ!$A$2:$LR$60,MATCH(1,(GMWQ!$LQ$2:$LQ$60=W$3)*(GMWQ!$LP$2:$LP$60=W$4)*(GMWQ!$LR$2:$LR$60=W$1),0),$B89-1966)</f>
        <v>12.96149</v>
      </c>
      <c r="X89" s="7" cm="1">
        <f t="array" ref="X89">INDEX(GMWQ!$A$2:$LR$60,MATCH(1,(GMWQ!$LQ$2:$LQ$60=X$3)*(GMWQ!$LP$2:$LP$60=X$4)*(GMWQ!$LR$2:$LR$60=X$1),0),$B89-1966)</f>
        <v>1064463</v>
      </c>
      <c r="Y89" s="7" cm="1">
        <f t="array" ref="Y89">INDEX(GMWQ!$A$2:$LR$60,MATCH(1,(GMWQ!$LQ$2:$LQ$60=Y$3)*(GMWQ!$LP$2:$LP$60=Y$4)*(GMWQ!$LR$2:$LR$60=Y$1),0),$B89-1966)</f>
        <v>60.255650000000003</v>
      </c>
      <c r="Z89" s="7" cm="1">
        <f t="array" ref="Z89">INDEX(GMWQ!$A$2:$LR$60,MATCH(1,(GMWQ!$LQ$2:$LQ$60=Z$3)*(GMWQ!$LP$2:$LP$60=Z$4)*(GMWQ!$LR$2:$LR$60=Z$1),0),$B89-1966)</f>
        <v>327266.8</v>
      </c>
      <c r="AA89" s="7" cm="1">
        <f t="array" ref="AA89">INDEX(GMWQ!$A$2:$LR$60,MATCH(1,(GMWQ!$LQ$2:$LQ$60=AA$3)*(GMWQ!$LP$2:$LP$60=AA$4)*(GMWQ!$LR$2:$LR$60=AA$1),0),$B89-1966)</f>
        <v>59845</v>
      </c>
      <c r="AB89" s="7" cm="1">
        <f t="array" ref="AB89">INDEX(GMWQ!$A$2:$LR$60,MATCH(1,(GMWQ!$LQ$2:$LQ$60=AB$3)*(GMWQ!$LP$2:$LP$60=AB$4)*(GMWQ!$LR$2:$LR$60=AB$1),0),$B89-1966)</f>
        <v>65848</v>
      </c>
      <c r="AC89" s="7" cm="1">
        <f t="array" ref="AC89">INDEX(GMWQ!$A$2:$LR$60,MATCH(1,(GMWQ!$LQ$2:$LQ$60=AC$3)*(GMWQ!$LP$2:$LP$60=AC$4)*(GMWQ!$LR$2:$LR$60=AC$1),0),$B89-1966)</f>
        <v>991</v>
      </c>
      <c r="AD89" s="7" cm="1">
        <f t="array" ref="AD89">INDEX(GMWQ!$A$2:$LR$60,MATCH(1,(GMWQ!$LQ$2:$LQ$60=AD$3)*(GMWQ!$LP$2:$LP$60=AD$4)*(GMWQ!$LR$2:$LR$60=AD$1),0),$B89-1966)</f>
        <v>5284</v>
      </c>
      <c r="AE89" s="7" cm="1">
        <f t="array" ref="AE89">INDEX(GMWQ!$A$2:$LR$60,MATCH(1,(GMWQ!$LQ$2:$LQ$60=AE$3)*(GMWQ!$LP$2:$LP$60=AE$4)*(GMWQ!$LR$2:$LR$60=AE$1),0),$B89-1966)</f>
        <v>193552</v>
      </c>
      <c r="AF89" s="20" cm="1">
        <f t="array" ref="AF89">INDEX(GMWQ!$A$2:$LR$60,MATCH(1,(GMWQ!$LQ$2:$LQ$60=AF$3)*(GMWQ!$LP$2:$LP$60=AF$4)*(GMWQ!$LR$2:$LR$60=AF$1),0),$B89-1966)</f>
        <v>5.875</v>
      </c>
      <c r="AG89" s="20" cm="1">
        <f t="array" ref="AG89">INDEX(GMWQ!$A$2:$LR$60,MATCH(1,(GMWQ!$LQ$2:$LQ$60=AG$3)*(GMWQ!$LP$2:$LP$60=AG$4)*(GMWQ!$LR$2:$LR$60=AG$1),0),$B89-1966)</f>
        <v>-357</v>
      </c>
      <c r="AI89" s="23" cm="1">
        <f t="array" ref="AI89">INDEX(GMWQ!$A$2:$LR$60,MATCH(1,(GMWQ!$LQ$2:$LQ$60=AI$3)*(GMWQ!$LP$2:$LP$60=AI$4)*(GMWQ!$LR$2:$LR$60=AI$1),0),$B89-1966)</f>
        <v>133457</v>
      </c>
      <c r="AJ89" s="23" cm="1">
        <f t="array" ref="AJ89">INDEX(GMWQ!$A$2:$LR$60,MATCH(1,(GMWQ!$LQ$2:$LQ$60=AJ$3)*(GMWQ!$LP$2:$LP$60=AJ$4)*(GMWQ!$LR$2:$LR$60=AJ$1),0),$B89-1966)</f>
        <v>64.921199999999999</v>
      </c>
      <c r="AK89" s="23" cm="1">
        <f t="array" ref="AK89">INDEX(GMWQ!$A$2:$LR$60,MATCH(1,(GMWQ!$LQ$2:$LQ$60=AK$3)*(GMWQ!$LP$2:$LP$60=AK$4)*(GMWQ!$LR$2:$LR$60=AK$1),0),$B89-1966)</f>
        <v>77806</v>
      </c>
      <c r="AL89" s="23" cm="1">
        <f t="array" ref="AL89">INDEX(GMWQ!$A$2:$LR$60,MATCH(1,(GMWQ!$LQ$2:$LQ$60=AL$3)*(GMWQ!$LP$2:$LP$60=AL$4)*(GMWQ!$LR$2:$LR$60=AL$1),0),$B89-1966)</f>
        <v>3630.5349999999999</v>
      </c>
      <c r="AM89" s="23" cm="1">
        <f t="array" ref="AM89">INDEX(GMWQ!$A$2:$LR$60,MATCH(1,(GMWQ!$LQ$2:$LQ$60=AM$3)*(GMWQ!$LP$2:$LP$60=AM$4)*(GMWQ!$LR$2:$LR$60=AM$1),0),$B89-1966)</f>
        <v>21431</v>
      </c>
      <c r="AN89" s="23" cm="1">
        <f t="array" ref="AN89">INDEX(GMWQ!$A$2:$LR$60,MATCH(1,(GMWQ!$LQ$2:$LQ$60=AN$3)*(GMWQ!$LP$2:$LP$60=AN$4)*(GMWQ!$LR$2:$LR$60=AN$1),0),$B89-1966)</f>
        <v>16207</v>
      </c>
      <c r="AO89" s="23" cm="1">
        <f t="array" ref="AO89">INDEX(GMWQ!$A$2:$LR$60,MATCH(1,(GMWQ!$LQ$2:$LQ$60=AO$3)*(GMWQ!$LP$2:$LP$60=AO$4)*(GMWQ!$LR$2:$LR$60=AO$1),0),$B89-1966)</f>
        <v>4593</v>
      </c>
      <c r="AP89" s="23" cm="1">
        <f t="array" ref="AP89">INDEX(GMWQ!$A$2:$LR$60,MATCH(1,(GMWQ!$LQ$2:$LQ$60=AP$3)*(GMWQ!$LP$2:$LP$60=AP$4)*(GMWQ!$LR$2:$LR$60=AP$1),0),$B89-1966)</f>
        <v>-357</v>
      </c>
      <c r="AQ89" s="23" cm="1">
        <f t="array" ref="AQ89">INDEX(GMWQ!$A$2:$LR$60,MATCH(1,(GMWQ!$LQ$2:$LQ$60=AQ$3)*(GMWQ!$LP$2:$LP$60=AQ$4)*(GMWQ!$LR$2:$LR$60=AQ$1),0),$B89-1966)</f>
        <v>22632</v>
      </c>
      <c r="AR89" s="23" cm="1">
        <f t="array" ref="AR89">INDEX(GMWQ!$A$2:$LR$60,MATCH(1,(GMWQ!$LQ$2:$LQ$60=AR$3)*(GMWQ!$LP$2:$LP$60=AR$4)*(GMWQ!$LR$2:$LR$60=AR$1),0),$B89-1966)</f>
        <v>121563</v>
      </c>
      <c r="AS89" s="23" cm="1">
        <f t="array" ref="AS89">INDEX(GMWQ!$A$2:$LR$60,MATCH(1,(GMWQ!$LQ$2:$LQ$60=AS$3)*(GMWQ!$LP$2:$LP$60=AS$4)*(GMWQ!$LR$2:$LR$60=AS$1),0),$B89-1966)</f>
        <v>2285</v>
      </c>
      <c r="AT89" s="23" cm="1">
        <f t="array" ref="AT89">INDEX(GMWQ!$A$2:$LR$60,MATCH(1,(GMWQ!$LQ$2:$LQ$60=AT$3)*(GMWQ!$LP$2:$LP$60=AT$4)*(GMWQ!$LR$2:$LR$60=AT$1),0),$B89-1966)</f>
        <v>187247</v>
      </c>
      <c r="AU89" s="23" cm="1">
        <f t="array" ref="AU89">INDEX(GMWQ!$A$2:$LR$60,MATCH(1,(GMWQ!$LQ$2:$LQ$60=AU$3)*(GMWQ!$LP$2:$LP$60=AU$4)*(GMWQ!$LR$2:$LR$60=AU$1),0),$B89-1966)</f>
        <v>6109</v>
      </c>
    </row>
    <row r="90" spans="1:47" x14ac:dyDescent="0.35">
      <c r="B90" s="7">
        <f t="shared" si="2"/>
        <v>2056</v>
      </c>
      <c r="C90" s="7" cm="1">
        <f t="array" ref="C90">INDEX(GMWQ!$A$2:$LR$60,MATCH(1,(GMWQ!$LQ$2:$LQ$60=C$3)*(GMWQ!$LP$2:$LP$60=C$4)*(GMWQ!$LR$2:$LR$60=C$1),0),$B90-1966)</f>
        <v>323400</v>
      </c>
      <c r="D90" s="7" cm="1">
        <f t="array" ref="D90">INDEX(GMWQ!$A$2:$LR$60,MATCH(1,(GMWQ!$LQ$2:$LQ$60=D$3)*(GMWQ!$LP$2:$LP$60=D$4)*(GMWQ!$LR$2:$LR$60=D$1),0),$B90-1966)</f>
        <v>222.90620000000001</v>
      </c>
      <c r="E90" s="7" cm="1">
        <f t="array" ref="E90">INDEX(GMWQ!$A$2:$LR$60,MATCH(1,(GMWQ!$LQ$2:$LQ$60=E$3)*(GMWQ!$LP$2:$LP$60=E$4)*(GMWQ!$LR$2:$LR$60=E$1),0),$B90-1966)</f>
        <v>64.666659999999993</v>
      </c>
      <c r="F90" s="7" cm="1">
        <f t="array" ref="F90">INDEX(GMWQ!$A$2:$LR$60,MATCH(1,(GMWQ!$LQ$2:$LQ$60=F$3)*(GMWQ!$LP$2:$LP$60=F$4)*(GMWQ!$LR$2:$LR$60=F$1),0),$B90-1966)</f>
        <v>78382</v>
      </c>
      <c r="G90" s="7" cm="1">
        <f t="array" ref="G90">INDEX(GMWQ!$A$2:$LR$60,MATCH(1,(GMWQ!$LQ$2:$LQ$60=G$3)*(GMWQ!$LP$2:$LP$60=G$4)*(GMWQ!$LR$2:$LR$60=G$1),0),$B90-1966)</f>
        <v>16703</v>
      </c>
      <c r="H90" s="7" cm="1">
        <f t="array" ref="H90">INDEX(GMWQ!$A$2:$LR$60,MATCH(1,(GMWQ!$LQ$2:$LQ$60=H$3)*(GMWQ!$LP$2:$LP$60=H$4)*(GMWQ!$LR$2:$LR$60=H$1),0),$B90-1966)</f>
        <v>4588</v>
      </c>
      <c r="I90" s="7" cm="1">
        <f t="array" ref="I90">INDEX(GMWQ!$A$2:$LR$60,MATCH(1,(GMWQ!$LQ$2:$LQ$60=I$3)*(GMWQ!$LP$2:$LP$60=I$4)*(GMWQ!$LR$2:$LR$60=I$1),0),$B90-1966)</f>
        <v>65.37697</v>
      </c>
      <c r="J90" s="7" cm="1">
        <f t="array" ref="J90">INDEX(GMWQ!$A$2:$LR$60,MATCH(1,(GMWQ!$LQ$2:$LQ$60=J$3)*(GMWQ!$LP$2:$LP$60=J$4)*(GMWQ!$LR$2:$LR$60=J$1),0),$B90-1966)</f>
        <v>21403</v>
      </c>
      <c r="K90" s="7" cm="1">
        <f t="array" ref="K90">INDEX(GMWQ!$A$2:$LR$60,MATCH(1,(GMWQ!$LQ$2:$LQ$60=K$3)*(GMWQ!$LP$2:$LP$60=K$4)*(GMWQ!$LR$2:$LR$60=K$1),0),$B90-1966)</f>
        <v>5.375</v>
      </c>
      <c r="L90" s="7" cm="1">
        <f t="array" ref="L90">INDEX(GMWQ!$A$2:$LR$60,MATCH(1,(GMWQ!$LQ$2:$LQ$60=L$3)*(GMWQ!$LP$2:$LP$60=L$4)*(GMWQ!$LR$2:$LR$60=L$1),0),$B90-1966)</f>
        <v>10.3</v>
      </c>
      <c r="M90" s="7" cm="1">
        <f t="array" ref="M90">INDEX(GMWQ!$A$2:$LR$60,MATCH(1,(GMWQ!$LQ$2:$LQ$60=M$3)*(GMWQ!$LP$2:$LP$60=M$4)*(GMWQ!$LR$2:$LR$60=M$1),0),$B90-1966)</f>
        <v>28.91638</v>
      </c>
      <c r="N90" s="7" cm="1">
        <f t="array" ref="N90">INDEX(GMWQ!$A$2:$LR$60,MATCH(1,(GMWQ!$LQ$2:$LQ$60=N$3)*(GMWQ!$LP$2:$LP$60=N$4)*(GMWQ!$LR$2:$LR$60=N$1),0),$B90-1966)</f>
        <v>7335</v>
      </c>
      <c r="O90" s="7" cm="1">
        <f t="array" ref="O90">INDEX(GMWQ!$A$2:$LR$60,MATCH(1,(GMWQ!$LQ$2:$LQ$60=O$3)*(GMWQ!$LP$2:$LP$60=O$4)*(GMWQ!$LR$2:$LR$60=O$1),0),$B90-1966)</f>
        <v>7142</v>
      </c>
      <c r="P90" s="7" cm="1">
        <f t="array" ref="P90">INDEX(GMWQ!$A$2:$LR$60,MATCH(1,(GMWQ!$LQ$2:$LQ$60=P$3)*(GMWQ!$LP$2:$LP$60=P$4)*(GMWQ!$LR$2:$LR$60=P$1),0),$B90-1966)</f>
        <v>135003</v>
      </c>
      <c r="Q90" s="7" cm="1">
        <f t="array" ref="Q90">INDEX(GMWQ!$A$2:$LR$60,MATCH(1,(GMWQ!$LQ$2:$LQ$60=Q$3)*(GMWQ!$LP$2:$LP$60=Q$4)*(GMWQ!$LR$2:$LR$60=Q$1),0),$B90-1966)</f>
        <v>7.94</v>
      </c>
      <c r="R90" s="7" cm="1">
        <f t="array" ref="R90">INDEX(GMWQ!$A$2:$LR$60,MATCH(1,(GMWQ!$LQ$2:$LQ$60=R$3)*(GMWQ!$LP$2:$LP$60=R$4)*(GMWQ!$LR$2:$LR$60=R$1),0),$B90-1966)</f>
        <v>243765</v>
      </c>
      <c r="S90" s="7" cm="1">
        <f t="array" ref="S90">INDEX(GMWQ!$A$2:$LR$60,MATCH(1,(GMWQ!$LQ$2:$LQ$60=S$3)*(GMWQ!$LP$2:$LP$60=S$4)*(GMWQ!$LR$2:$LR$60=S$1),0),$B90-1966)</f>
        <v>325</v>
      </c>
      <c r="T90" s="7" cm="1">
        <f t="array" ref="T90">INDEX(GMWQ!$A$2:$LR$60,MATCH(1,(GMWQ!$LQ$2:$LQ$60=T$3)*(GMWQ!$LP$2:$LP$60=T$4)*(GMWQ!$LR$2:$LR$60=T$1),0),$B90-1966)</f>
        <v>13159</v>
      </c>
      <c r="U90" s="7" cm="1">
        <f t="array" ref="U90">INDEX(GMWQ!$A$2:$LR$60,MATCH(1,(GMWQ!$LQ$2:$LQ$60=U$3)*(GMWQ!$LP$2:$LP$60=U$4)*(GMWQ!$LR$2:$LR$60=U$1),0),$B90-1966)</f>
        <v>4626</v>
      </c>
      <c r="V90" s="7" cm="1">
        <f t="array" ref="V90">INDEX(GMWQ!$A$2:$LR$60,MATCH(1,(GMWQ!$LQ$2:$LQ$60=V$3)*(GMWQ!$LP$2:$LP$60=V$4)*(GMWQ!$LR$2:$LR$60=V$1),0),$B90-1966)</f>
        <v>4.9857299999999998E-3</v>
      </c>
      <c r="W90" s="7" cm="1">
        <f t="array" ref="W90">INDEX(GMWQ!$A$2:$LR$60,MATCH(1,(GMWQ!$LQ$2:$LQ$60=W$3)*(GMWQ!$LP$2:$LP$60=W$4)*(GMWQ!$LR$2:$LR$60=W$1),0),$B90-1966)</f>
        <v>12.126480000000001</v>
      </c>
      <c r="X90" s="7" cm="1">
        <f t="array" ref="X90">INDEX(GMWQ!$A$2:$LR$60,MATCH(1,(GMWQ!$LQ$2:$LQ$60=X$3)*(GMWQ!$LP$2:$LP$60=X$4)*(GMWQ!$LR$2:$LR$60=X$1),0),$B90-1966)</f>
        <v>1065885</v>
      </c>
      <c r="Y90" s="7" cm="1">
        <f t="array" ref="Y90">INDEX(GMWQ!$A$2:$LR$60,MATCH(1,(GMWQ!$LQ$2:$LQ$60=Y$3)*(GMWQ!$LP$2:$LP$60=Y$4)*(GMWQ!$LR$2:$LR$60=Y$1),0),$B90-1966)</f>
        <v>60.89085</v>
      </c>
      <c r="Z90" s="7" cm="1">
        <f t="array" ref="Z90">INDEX(GMWQ!$A$2:$LR$60,MATCH(1,(GMWQ!$LQ$2:$LQ$60=Z$3)*(GMWQ!$LP$2:$LP$60=Z$4)*(GMWQ!$LR$2:$LR$60=Z$1),0),$B90-1966)</f>
        <v>329133</v>
      </c>
      <c r="AA90" s="7" cm="1">
        <f t="array" ref="AA90">INDEX(GMWQ!$A$2:$LR$60,MATCH(1,(GMWQ!$LQ$2:$LQ$60=AA$3)*(GMWQ!$LP$2:$LP$60=AA$4)*(GMWQ!$LR$2:$LR$60=AA$1),0),$B90-1966)</f>
        <v>63458</v>
      </c>
      <c r="AB90" s="7" cm="1">
        <f t="array" ref="AB90">INDEX(GMWQ!$A$2:$LR$60,MATCH(1,(GMWQ!$LQ$2:$LQ$60=AB$3)*(GMWQ!$LP$2:$LP$60=AB$4)*(GMWQ!$LR$2:$LR$60=AB$1),0),$B90-1966)</f>
        <v>67902</v>
      </c>
      <c r="AC90" s="7" cm="1">
        <f t="array" ref="AC90">INDEX(GMWQ!$A$2:$LR$60,MATCH(1,(GMWQ!$LQ$2:$LQ$60=AC$3)*(GMWQ!$LP$2:$LP$60=AC$4)*(GMWQ!$LR$2:$LR$60=AC$1),0),$B90-1966)</f>
        <v>671</v>
      </c>
      <c r="AD90" s="7" cm="1">
        <f t="array" ref="AD90">INDEX(GMWQ!$A$2:$LR$60,MATCH(1,(GMWQ!$LQ$2:$LQ$60=AD$3)*(GMWQ!$LP$2:$LP$60=AD$4)*(GMWQ!$LR$2:$LR$60=AD$1),0),$B90-1966)</f>
        <v>5333</v>
      </c>
      <c r="AE90" s="7" cm="1">
        <f t="array" ref="AE90">INDEX(GMWQ!$A$2:$LR$60,MATCH(1,(GMWQ!$LQ$2:$LQ$60=AE$3)*(GMWQ!$LP$2:$LP$60=AE$4)*(GMWQ!$LR$2:$LR$60=AE$1),0),$B90-1966)</f>
        <v>196921</v>
      </c>
      <c r="AF90" s="20" cm="1">
        <f t="array" ref="AF90">INDEX(GMWQ!$A$2:$LR$60,MATCH(1,(GMWQ!$LQ$2:$LQ$60=AF$3)*(GMWQ!$LP$2:$LP$60=AF$4)*(GMWQ!$LR$2:$LR$60=AF$1),0),$B90-1966)</f>
        <v>5.655303</v>
      </c>
      <c r="AG90" s="20" cm="1">
        <f t="array" ref="AG90">INDEX(GMWQ!$A$2:$LR$60,MATCH(1,(GMWQ!$LQ$2:$LQ$60=AG$3)*(GMWQ!$LP$2:$LP$60=AG$4)*(GMWQ!$LR$2:$LR$60=AG$1),0),$B90-1966)</f>
        <v>-193</v>
      </c>
      <c r="AI90" s="23" cm="1">
        <f t="array" ref="AI90">INDEX(GMWQ!$A$2:$LR$60,MATCH(1,(GMWQ!$LQ$2:$LQ$60=AI$3)*(GMWQ!$LP$2:$LP$60=AI$4)*(GMWQ!$LR$2:$LR$60=AI$1),0),$B90-1966)</f>
        <v>135003</v>
      </c>
      <c r="AJ90" s="23" cm="1">
        <f t="array" ref="AJ90">INDEX(GMWQ!$A$2:$LR$60,MATCH(1,(GMWQ!$LQ$2:$LQ$60=AJ$3)*(GMWQ!$LP$2:$LP$60=AJ$4)*(GMWQ!$LR$2:$LR$60=AJ$1),0),$B90-1966)</f>
        <v>65.37697</v>
      </c>
      <c r="AK90" s="23" cm="1">
        <f t="array" ref="AK90">INDEX(GMWQ!$A$2:$LR$60,MATCH(1,(GMWQ!$LQ$2:$LQ$60=AK$3)*(GMWQ!$LP$2:$LP$60=AK$4)*(GMWQ!$LR$2:$LR$60=AK$1),0),$B90-1966)</f>
        <v>78382</v>
      </c>
      <c r="AL90" s="23" cm="1">
        <f t="array" ref="AL90">INDEX(GMWQ!$A$2:$LR$60,MATCH(1,(GMWQ!$LQ$2:$LQ$60=AL$3)*(GMWQ!$LP$2:$LP$60=AL$4)*(GMWQ!$LR$2:$LR$60=AL$1),0),$B90-1966)</f>
        <v>3662.1970000000001</v>
      </c>
      <c r="AM90" s="23" cm="1">
        <f t="array" ref="AM90">INDEX(GMWQ!$A$2:$LR$60,MATCH(1,(GMWQ!$LQ$2:$LQ$60=AM$3)*(GMWQ!$LP$2:$LP$60=AM$4)*(GMWQ!$LR$2:$LR$60=AM$1),0),$B90-1966)</f>
        <v>21403</v>
      </c>
      <c r="AN90" s="23" cm="1">
        <f t="array" ref="AN90">INDEX(GMWQ!$A$2:$LR$60,MATCH(1,(GMWQ!$LQ$2:$LQ$60=AN$3)*(GMWQ!$LP$2:$LP$60=AN$4)*(GMWQ!$LR$2:$LR$60=AN$1),0),$B90-1966)</f>
        <v>16703</v>
      </c>
      <c r="AO90" s="23" cm="1">
        <f t="array" ref="AO90">INDEX(GMWQ!$A$2:$LR$60,MATCH(1,(GMWQ!$LQ$2:$LQ$60=AO$3)*(GMWQ!$LP$2:$LP$60=AO$4)*(GMWQ!$LR$2:$LR$60=AO$1),0),$B90-1966)</f>
        <v>4588</v>
      </c>
      <c r="AP90" s="23" cm="1">
        <f t="array" ref="AP90">INDEX(GMWQ!$A$2:$LR$60,MATCH(1,(GMWQ!$LQ$2:$LQ$60=AP$3)*(GMWQ!$LP$2:$LP$60=AP$4)*(GMWQ!$LR$2:$LR$60=AP$1),0),$B90-1966)</f>
        <v>-193</v>
      </c>
      <c r="AQ90" s="23" cm="1">
        <f t="array" ref="AQ90">INDEX(GMWQ!$A$2:$LR$60,MATCH(1,(GMWQ!$LQ$2:$LQ$60=AQ$3)*(GMWQ!$LP$2:$LP$60=AQ$4)*(GMWQ!$LR$2:$LR$60=AQ$1),0),$B90-1966)</f>
        <v>22885</v>
      </c>
      <c r="AR90" s="23" cm="1">
        <f t="array" ref="AR90">INDEX(GMWQ!$A$2:$LR$60,MATCH(1,(GMWQ!$LQ$2:$LQ$60=AR$3)*(GMWQ!$LP$2:$LP$60=AR$4)*(GMWQ!$LR$2:$LR$60=AR$1),0),$B90-1966)</f>
        <v>123367</v>
      </c>
      <c r="AS90" s="23" cm="1">
        <f t="array" ref="AS90">INDEX(GMWQ!$A$2:$LR$60,MATCH(1,(GMWQ!$LQ$2:$LQ$60=AS$3)*(GMWQ!$LP$2:$LP$60=AS$4)*(GMWQ!$LR$2:$LR$60=AS$1),0),$B90-1966)</f>
        <v>2421</v>
      </c>
      <c r="AT90" s="23" cm="1">
        <f t="array" ref="AT90">INDEX(GMWQ!$A$2:$LR$60,MATCH(1,(GMWQ!$LQ$2:$LQ$60=AT$3)*(GMWQ!$LP$2:$LP$60=AT$4)*(GMWQ!$LR$2:$LR$60=AT$1),0),$B90-1966)</f>
        <v>188701</v>
      </c>
      <c r="AU90" s="23" cm="1">
        <f t="array" ref="AU90">INDEX(GMWQ!$A$2:$LR$60,MATCH(1,(GMWQ!$LQ$2:$LQ$60=AU$3)*(GMWQ!$LP$2:$LP$60=AU$4)*(GMWQ!$LR$2:$LR$60=AU$1),0),$B90-1966)</f>
        <v>6260</v>
      </c>
    </row>
    <row r="91" spans="1:47" x14ac:dyDescent="0.35">
      <c r="A91" s="7">
        <v>1994</v>
      </c>
      <c r="B91" s="7">
        <f t="shared" si="2"/>
        <v>2057</v>
      </c>
      <c r="C91" s="7" cm="1">
        <f t="array" ref="C91">INDEX(GMWQ!$A$2:$LR$60,MATCH(1,(GMWQ!$LQ$2:$LQ$60=C$3)*(GMWQ!$LP$2:$LP$60=C$4)*(GMWQ!$LR$2:$LR$60=C$1),0),$B91-1966)</f>
        <v>326585</v>
      </c>
      <c r="D91" s="7" cm="1">
        <f t="array" ref="D91">INDEX(GMWQ!$A$2:$LR$60,MATCH(1,(GMWQ!$LQ$2:$LQ$60=D$3)*(GMWQ!$LP$2:$LP$60=D$4)*(GMWQ!$LR$2:$LR$60=D$1),0),$B91-1966)</f>
        <v>222.8023</v>
      </c>
      <c r="E91" s="7" cm="1">
        <f t="array" ref="E91">INDEX(GMWQ!$A$2:$LR$60,MATCH(1,(GMWQ!$LQ$2:$LQ$60=E$3)*(GMWQ!$LP$2:$LP$60=E$4)*(GMWQ!$LR$2:$LR$60=E$1),0),$B91-1966)</f>
        <v>64.766670000000005</v>
      </c>
      <c r="F91" s="7" cm="1">
        <f t="array" ref="F91">INDEX(GMWQ!$A$2:$LR$60,MATCH(1,(GMWQ!$LQ$2:$LQ$60=F$3)*(GMWQ!$LP$2:$LP$60=F$4)*(GMWQ!$LR$2:$LR$60=F$1),0),$B91-1966)</f>
        <v>78938</v>
      </c>
      <c r="G91" s="7" cm="1">
        <f t="array" ref="G91">INDEX(GMWQ!$A$2:$LR$60,MATCH(1,(GMWQ!$LQ$2:$LQ$60=G$3)*(GMWQ!$LP$2:$LP$60=G$4)*(GMWQ!$LR$2:$LR$60=G$1),0),$B91-1966)</f>
        <v>16672</v>
      </c>
      <c r="H91" s="7" cm="1">
        <f t="array" ref="H91">INDEX(GMWQ!$A$2:$LR$60,MATCH(1,(GMWQ!$LQ$2:$LQ$60=H$3)*(GMWQ!$LP$2:$LP$60=H$4)*(GMWQ!$LR$2:$LR$60=H$1),0),$B91-1966)</f>
        <v>4729</v>
      </c>
      <c r="I91" s="7" cm="1">
        <f t="array" ref="I91">INDEX(GMWQ!$A$2:$LR$60,MATCH(1,(GMWQ!$LQ$2:$LQ$60=I$3)*(GMWQ!$LP$2:$LP$60=I$4)*(GMWQ!$LR$2:$LR$60=I$1),0),$B91-1966)</f>
        <v>65.392229999999998</v>
      </c>
      <c r="J91" s="7" cm="1">
        <f t="array" ref="J91">INDEX(GMWQ!$A$2:$LR$60,MATCH(1,(GMWQ!$LQ$2:$LQ$60=J$3)*(GMWQ!$LP$2:$LP$60=J$4)*(GMWQ!$LR$2:$LR$60=J$1),0),$B91-1966)</f>
        <v>21443</v>
      </c>
      <c r="K91" s="7" cm="1">
        <f t="array" ref="K91">INDEX(GMWQ!$A$2:$LR$60,MATCH(1,(GMWQ!$LQ$2:$LQ$60=K$3)*(GMWQ!$LP$2:$LP$60=K$4)*(GMWQ!$LR$2:$LR$60=K$1),0),$B91-1966)</f>
        <v>5.125</v>
      </c>
      <c r="L91" s="7" cm="1">
        <f t="array" ref="L91">INDEX(GMWQ!$A$2:$LR$60,MATCH(1,(GMWQ!$LQ$2:$LQ$60=L$3)*(GMWQ!$LP$2:$LP$60=L$4)*(GMWQ!$LR$2:$LR$60=L$1),0),$B91-1966)</f>
        <v>9.9</v>
      </c>
      <c r="M91" s="7" cm="1">
        <f t="array" ref="M91">INDEX(GMWQ!$A$2:$LR$60,MATCH(1,(GMWQ!$LQ$2:$LQ$60=M$3)*(GMWQ!$LP$2:$LP$60=M$4)*(GMWQ!$LR$2:$LR$60=M$1),0),$B91-1966)</f>
        <v>28.776340000000001</v>
      </c>
      <c r="N91" s="7" cm="1">
        <f t="array" ref="N91">INDEX(GMWQ!$A$2:$LR$60,MATCH(1,(GMWQ!$LQ$2:$LQ$60=N$3)*(GMWQ!$LP$2:$LP$60=N$4)*(GMWQ!$LR$2:$LR$60=N$1),0),$B91-1966)</f>
        <v>7287</v>
      </c>
      <c r="O91" s="7" cm="1">
        <f t="array" ref="O91">INDEX(GMWQ!$A$2:$LR$60,MATCH(1,(GMWQ!$LQ$2:$LQ$60=O$3)*(GMWQ!$LP$2:$LP$60=O$4)*(GMWQ!$LR$2:$LR$60=O$1),0),$B91-1966)</f>
        <v>6591</v>
      </c>
      <c r="P91" s="7" cm="1">
        <f t="array" ref="P91">INDEX(GMWQ!$A$2:$LR$60,MATCH(1,(GMWQ!$LQ$2:$LQ$60=P$3)*(GMWQ!$LP$2:$LP$60=P$4)*(GMWQ!$LR$2:$LR$60=P$1),0),$B91-1966)</f>
        <v>134597</v>
      </c>
      <c r="Q91" s="7" cm="1">
        <f t="array" ref="Q91">INDEX(GMWQ!$A$2:$LR$60,MATCH(1,(GMWQ!$LQ$2:$LQ$60=Q$3)*(GMWQ!$LP$2:$LP$60=Q$4)*(GMWQ!$LR$2:$LR$60=Q$1),0),$B91-1966)</f>
        <v>7.66</v>
      </c>
      <c r="R91" s="7" cm="1">
        <f t="array" ref="R91">INDEX(GMWQ!$A$2:$LR$60,MATCH(1,(GMWQ!$LQ$2:$LQ$60=R$3)*(GMWQ!$LP$2:$LP$60=R$4)*(GMWQ!$LR$2:$LR$60=R$1),0),$B91-1966)</f>
        <v>267142</v>
      </c>
      <c r="S91" s="7" cm="1">
        <f t="array" ref="S91">INDEX(GMWQ!$A$2:$LR$60,MATCH(1,(GMWQ!$LQ$2:$LQ$60=S$3)*(GMWQ!$LP$2:$LP$60=S$4)*(GMWQ!$LR$2:$LR$60=S$1),0),$B91-1966)</f>
        <v>325</v>
      </c>
      <c r="T91" s="7" cm="1">
        <f t="array" ref="T91">INDEX(GMWQ!$A$2:$LR$60,MATCH(1,(GMWQ!$LQ$2:$LQ$60=T$3)*(GMWQ!$LP$2:$LP$60=T$4)*(GMWQ!$LR$2:$LR$60=T$1),0),$B91-1966)</f>
        <v>14173</v>
      </c>
      <c r="U91" s="7" cm="1">
        <f t="array" ref="U91">INDEX(GMWQ!$A$2:$LR$60,MATCH(1,(GMWQ!$LQ$2:$LQ$60=U$3)*(GMWQ!$LP$2:$LP$60=U$4)*(GMWQ!$LR$2:$LR$60=U$1),0),$B91-1966)</f>
        <v>4481</v>
      </c>
      <c r="V91" s="7" cm="1">
        <f t="array" ref="V91">INDEX(GMWQ!$A$2:$LR$60,MATCH(1,(GMWQ!$LQ$2:$LQ$60=V$3)*(GMWQ!$LP$2:$LP$60=V$4)*(GMWQ!$LR$2:$LR$60=V$1),0),$B91-1966)</f>
        <v>5.0259459999999999E-3</v>
      </c>
      <c r="W91" s="7" cm="1">
        <f t="array" ref="W91">INDEX(GMWQ!$A$2:$LR$60,MATCH(1,(GMWQ!$LQ$2:$LQ$60=W$3)*(GMWQ!$LP$2:$LP$60=W$4)*(GMWQ!$LR$2:$LR$60=W$1),0),$B91-1966)</f>
        <v>11.065250000000001</v>
      </c>
      <c r="X91" s="7" cm="1">
        <f t="array" ref="X91">INDEX(GMWQ!$A$2:$LR$60,MATCH(1,(GMWQ!$LQ$2:$LQ$60=X$3)*(GMWQ!$LP$2:$LP$60=X$4)*(GMWQ!$LR$2:$LR$60=X$1),0),$B91-1966)</f>
        <v>1060446</v>
      </c>
      <c r="Y91" s="7" cm="1">
        <f t="array" ref="Y91">INDEX(GMWQ!$A$2:$LR$60,MATCH(1,(GMWQ!$LQ$2:$LQ$60=Y$3)*(GMWQ!$LP$2:$LP$60=Y$4)*(GMWQ!$LR$2:$LR$60=Y$1),0),$B91-1966)</f>
        <v>61.177639999999997</v>
      </c>
      <c r="Z91" s="7" cm="1">
        <f t="array" ref="Z91">INDEX(GMWQ!$A$2:$LR$60,MATCH(1,(GMWQ!$LQ$2:$LQ$60=Z$3)*(GMWQ!$LP$2:$LP$60=Z$4)*(GMWQ!$LR$2:$LR$60=Z$1),0),$B91-1966)</f>
        <v>331628.79999999999</v>
      </c>
      <c r="AA91" s="7" cm="1">
        <f t="array" ref="AA91">INDEX(GMWQ!$A$2:$LR$60,MATCH(1,(GMWQ!$LQ$2:$LQ$60=AA$3)*(GMWQ!$LP$2:$LP$60=AA$4)*(GMWQ!$LR$2:$LR$60=AA$1),0),$B91-1966)</f>
        <v>65089</v>
      </c>
      <c r="AB91" s="7" cm="1">
        <f t="array" ref="AB91">INDEX(GMWQ!$A$2:$LR$60,MATCH(1,(GMWQ!$LQ$2:$LQ$60=AB$3)*(GMWQ!$LP$2:$LP$60=AB$4)*(GMWQ!$LR$2:$LR$60=AB$1),0),$B91-1966)</f>
        <v>68979</v>
      </c>
      <c r="AC91" s="7" cm="1">
        <f t="array" ref="AC91">INDEX(GMWQ!$A$2:$LR$60,MATCH(1,(GMWQ!$LQ$2:$LQ$60=AC$3)*(GMWQ!$LP$2:$LP$60=AC$4)*(GMWQ!$LR$2:$LR$60=AC$1),0),$B91-1966)</f>
        <v>3691</v>
      </c>
      <c r="AD91" s="7" cm="1">
        <f t="array" ref="AD91">INDEX(GMWQ!$A$2:$LR$60,MATCH(1,(GMWQ!$LQ$2:$LQ$60=AD$3)*(GMWQ!$LP$2:$LP$60=AD$4)*(GMWQ!$LR$2:$LR$60=AD$1),0),$B91-1966)</f>
        <v>5371</v>
      </c>
      <c r="AE91" s="7" cm="1">
        <f t="array" ref="AE91">INDEX(GMWQ!$A$2:$LR$60,MATCH(1,(GMWQ!$LQ$2:$LQ$60=AE$3)*(GMWQ!$LP$2:$LP$60=AE$4)*(GMWQ!$LR$2:$LR$60=AE$1),0),$B91-1966)</f>
        <v>199797</v>
      </c>
      <c r="AF91" s="20" cm="1">
        <f t="array" ref="AF91">INDEX(GMWQ!$A$2:$LR$60,MATCH(1,(GMWQ!$LQ$2:$LQ$60=AF$3)*(GMWQ!$LP$2:$LP$60=AF$4)*(GMWQ!$LR$2:$LR$60=AF$1),0),$B91-1966)</f>
        <v>5.2265629999999996</v>
      </c>
      <c r="AG91" s="20" cm="1">
        <f t="array" ref="AG91">INDEX(GMWQ!$A$2:$LR$60,MATCH(1,(GMWQ!$LQ$2:$LQ$60=AG$3)*(GMWQ!$LP$2:$LP$60=AG$4)*(GMWQ!$LR$2:$LR$60=AG$1),0),$B91-1966)</f>
        <v>-696</v>
      </c>
      <c r="AI91" s="23" cm="1">
        <f t="array" ref="AI91">INDEX(GMWQ!$A$2:$LR$60,MATCH(1,(GMWQ!$LQ$2:$LQ$60=AI$3)*(GMWQ!$LP$2:$LP$60=AI$4)*(GMWQ!$LR$2:$LR$60=AI$1),0),$B91-1966)</f>
        <v>134597</v>
      </c>
      <c r="AJ91" s="23" cm="1">
        <f t="array" ref="AJ91">INDEX(GMWQ!$A$2:$LR$60,MATCH(1,(GMWQ!$LQ$2:$LQ$60=AJ$3)*(GMWQ!$LP$2:$LP$60=AJ$4)*(GMWQ!$LR$2:$LR$60=AJ$1),0),$B91-1966)</f>
        <v>65.392229999999998</v>
      </c>
      <c r="AK91" s="23" cm="1">
        <f t="array" ref="AK91">INDEX(GMWQ!$A$2:$LR$60,MATCH(1,(GMWQ!$LQ$2:$LQ$60=AK$3)*(GMWQ!$LP$2:$LP$60=AK$4)*(GMWQ!$LR$2:$LR$60=AK$1),0),$B91-1966)</f>
        <v>78938</v>
      </c>
      <c r="AL91" s="23" cm="1">
        <f t="array" ref="AL91">INDEX(GMWQ!$A$2:$LR$60,MATCH(1,(GMWQ!$LQ$2:$LQ$60=AL$3)*(GMWQ!$LP$2:$LP$60=AL$4)*(GMWQ!$LR$2:$LR$60=AL$1),0),$B91-1966)</f>
        <v>3681.2950000000001</v>
      </c>
      <c r="AM91" s="23" cm="1">
        <f t="array" ref="AM91">INDEX(GMWQ!$A$2:$LR$60,MATCH(1,(GMWQ!$LQ$2:$LQ$60=AM$3)*(GMWQ!$LP$2:$LP$60=AM$4)*(GMWQ!$LR$2:$LR$60=AM$1),0),$B91-1966)</f>
        <v>21443</v>
      </c>
      <c r="AN91" s="23" cm="1">
        <f t="array" ref="AN91">INDEX(GMWQ!$A$2:$LR$60,MATCH(1,(GMWQ!$LQ$2:$LQ$60=AN$3)*(GMWQ!$LP$2:$LP$60=AN$4)*(GMWQ!$LR$2:$LR$60=AN$1),0),$B91-1966)</f>
        <v>16672</v>
      </c>
      <c r="AO91" s="23" cm="1">
        <f t="array" ref="AO91">INDEX(GMWQ!$A$2:$LR$60,MATCH(1,(GMWQ!$LQ$2:$LQ$60=AO$3)*(GMWQ!$LP$2:$LP$60=AO$4)*(GMWQ!$LR$2:$LR$60=AO$1),0),$B91-1966)</f>
        <v>4729</v>
      </c>
      <c r="AP91" s="23" cm="1">
        <f t="array" ref="AP91">INDEX(GMWQ!$A$2:$LR$60,MATCH(1,(GMWQ!$LQ$2:$LQ$60=AP$3)*(GMWQ!$LP$2:$LP$60=AP$4)*(GMWQ!$LR$2:$LR$60=AP$1),0),$B91-1966)</f>
        <v>-696</v>
      </c>
      <c r="AQ91" s="23" cm="1">
        <f t="array" ref="AQ91">INDEX(GMWQ!$A$2:$LR$60,MATCH(1,(GMWQ!$LQ$2:$LQ$60=AQ$3)*(GMWQ!$LP$2:$LP$60=AQ$4)*(GMWQ!$LR$2:$LR$60=AQ$1),0),$B91-1966)</f>
        <v>22821</v>
      </c>
      <c r="AR91" s="23" cm="1">
        <f t="array" ref="AR91">INDEX(GMWQ!$A$2:$LR$60,MATCH(1,(GMWQ!$LQ$2:$LQ$60=AR$3)*(GMWQ!$LP$2:$LP$60=AR$4)*(GMWQ!$LR$2:$LR$60=AR$1),0),$B91-1966)</f>
        <v>124599</v>
      </c>
      <c r="AS91" s="23" cm="1">
        <f t="array" ref="AS91">INDEX(GMWQ!$A$2:$LR$60,MATCH(1,(GMWQ!$LQ$2:$LQ$60=AS$3)*(GMWQ!$LP$2:$LP$60=AS$4)*(GMWQ!$LR$2:$LR$60=AS$1),0),$B91-1966)</f>
        <v>2436</v>
      </c>
      <c r="AT91" s="23" cm="1">
        <f t="array" ref="AT91">INDEX(GMWQ!$A$2:$LR$60,MATCH(1,(GMWQ!$LQ$2:$LQ$60=AT$3)*(GMWQ!$LP$2:$LP$60=AT$4)*(GMWQ!$LR$2:$LR$60=AT$1),0),$B91-1966)</f>
        <v>190541</v>
      </c>
      <c r="AU91" s="23" cm="1">
        <f t="array" ref="AU91">INDEX(GMWQ!$A$2:$LR$60,MATCH(1,(GMWQ!$LQ$2:$LQ$60=AU$3)*(GMWQ!$LP$2:$LP$60=AU$4)*(GMWQ!$LR$2:$LR$60=AU$1),0),$B91-1966)</f>
        <v>6175</v>
      </c>
    </row>
    <row r="92" spans="1:47" x14ac:dyDescent="0.35">
      <c r="B92" s="7">
        <f t="shared" si="2"/>
        <v>2058</v>
      </c>
      <c r="C92" s="7" cm="1">
        <f t="array" ref="C92">INDEX(GMWQ!$A$2:$LR$60,MATCH(1,(GMWQ!$LQ$2:$LQ$60=C$3)*(GMWQ!$LP$2:$LP$60=C$4)*(GMWQ!$LR$2:$LR$60=C$1),0),$B92-1966)</f>
        <v>329584</v>
      </c>
      <c r="D92" s="7" cm="1">
        <f t="array" ref="D92">INDEX(GMWQ!$A$2:$LR$60,MATCH(1,(GMWQ!$LQ$2:$LQ$60=D$3)*(GMWQ!$LP$2:$LP$60=D$4)*(GMWQ!$LR$2:$LR$60=D$1),0),$B92-1966)</f>
        <v>227.5204</v>
      </c>
      <c r="E92" s="7" cm="1">
        <f t="array" ref="E92">INDEX(GMWQ!$A$2:$LR$60,MATCH(1,(GMWQ!$LQ$2:$LQ$60=E$3)*(GMWQ!$LP$2:$LP$60=E$4)*(GMWQ!$LR$2:$LR$60=E$1),0),$B92-1966)</f>
        <v>65.7</v>
      </c>
      <c r="F92" s="7" cm="1">
        <f t="array" ref="F92">INDEX(GMWQ!$A$2:$LR$60,MATCH(1,(GMWQ!$LQ$2:$LQ$60=F$3)*(GMWQ!$LP$2:$LP$60=F$4)*(GMWQ!$LR$2:$LR$60=F$1),0),$B92-1966)</f>
        <v>79168</v>
      </c>
      <c r="G92" s="7" cm="1">
        <f t="array" ref="G92">INDEX(GMWQ!$A$2:$LR$60,MATCH(1,(GMWQ!$LQ$2:$LQ$60=G$3)*(GMWQ!$LP$2:$LP$60=G$4)*(GMWQ!$LR$2:$LR$60=G$1),0),$B92-1966)</f>
        <v>17317</v>
      </c>
      <c r="H92" s="7" cm="1">
        <f t="array" ref="H92">INDEX(GMWQ!$A$2:$LR$60,MATCH(1,(GMWQ!$LQ$2:$LQ$60=H$3)*(GMWQ!$LP$2:$LP$60=H$4)*(GMWQ!$LR$2:$LR$60=H$1),0),$B92-1966)</f>
        <v>5180</v>
      </c>
      <c r="I92" s="7" cm="1">
        <f t="array" ref="I92">INDEX(GMWQ!$A$2:$LR$60,MATCH(1,(GMWQ!$LQ$2:$LQ$60=I$3)*(GMWQ!$LP$2:$LP$60=I$4)*(GMWQ!$LR$2:$LR$60=I$1),0),$B92-1966)</f>
        <v>65.696920000000006</v>
      </c>
      <c r="J92" s="7" cm="1">
        <f t="array" ref="J92">INDEX(GMWQ!$A$2:$LR$60,MATCH(1,(GMWQ!$LQ$2:$LQ$60=J$3)*(GMWQ!$LP$2:$LP$60=J$4)*(GMWQ!$LR$2:$LR$60=J$1),0),$B92-1966)</f>
        <v>21498</v>
      </c>
      <c r="K92" s="7" cm="1">
        <f t="array" ref="K92">INDEX(GMWQ!$A$2:$LR$60,MATCH(1,(GMWQ!$LQ$2:$LQ$60=K$3)*(GMWQ!$LP$2:$LP$60=K$4)*(GMWQ!$LR$2:$LR$60=K$1),0),$B92-1966)</f>
        <v>5.125</v>
      </c>
      <c r="L92" s="7" cm="1">
        <f t="array" ref="L92">INDEX(GMWQ!$A$2:$LR$60,MATCH(1,(GMWQ!$LQ$2:$LQ$60=L$3)*(GMWQ!$LP$2:$LP$60=L$4)*(GMWQ!$LR$2:$LR$60=L$1),0),$B92-1966)</f>
        <v>9.6999999999999993</v>
      </c>
      <c r="M92" s="7" cm="1">
        <f t="array" ref="M92">INDEX(GMWQ!$A$2:$LR$60,MATCH(1,(GMWQ!$LQ$2:$LQ$60=M$3)*(GMWQ!$LP$2:$LP$60=M$4)*(GMWQ!$LR$2:$LR$60=M$1),0),$B92-1966)</f>
        <v>29.208600000000001</v>
      </c>
      <c r="N92" s="7" cm="1">
        <f t="array" ref="N92">INDEX(GMWQ!$A$2:$LR$60,MATCH(1,(GMWQ!$LQ$2:$LQ$60=N$3)*(GMWQ!$LP$2:$LP$60=N$4)*(GMWQ!$LR$2:$LR$60=N$1),0),$B92-1966)</f>
        <v>7722</v>
      </c>
      <c r="O92" s="7" cm="1">
        <f t="array" ref="O92">INDEX(GMWQ!$A$2:$LR$60,MATCH(1,(GMWQ!$LQ$2:$LQ$60=O$3)*(GMWQ!$LP$2:$LP$60=O$4)*(GMWQ!$LR$2:$LR$60=O$1),0),$B92-1966)</f>
        <v>6903</v>
      </c>
      <c r="P92" s="7" cm="1">
        <f t="array" ref="P92">INDEX(GMWQ!$A$2:$LR$60,MATCH(1,(GMWQ!$LQ$2:$LQ$60=P$3)*(GMWQ!$LP$2:$LP$60=P$4)*(GMWQ!$LR$2:$LR$60=P$1),0),$B92-1966)</f>
        <v>135173</v>
      </c>
      <c r="Q92" s="7" cm="1">
        <f t="array" ref="Q92">INDEX(GMWQ!$A$2:$LR$60,MATCH(1,(GMWQ!$LQ$2:$LQ$60=Q$3)*(GMWQ!$LP$2:$LP$60=Q$4)*(GMWQ!$LR$2:$LR$60=Q$1),0),$B92-1966)</f>
        <v>7.61</v>
      </c>
      <c r="R92" s="7" cm="1">
        <f t="array" ref="R92">INDEX(GMWQ!$A$2:$LR$60,MATCH(1,(GMWQ!$LQ$2:$LQ$60=R$3)*(GMWQ!$LP$2:$LP$60=R$4)*(GMWQ!$LR$2:$LR$60=R$1),0),$B92-1966)</f>
        <v>258580</v>
      </c>
      <c r="S92" s="7" cm="1">
        <f t="array" ref="S92">INDEX(GMWQ!$A$2:$LR$60,MATCH(1,(GMWQ!$LQ$2:$LQ$60=S$3)*(GMWQ!$LP$2:$LP$60=S$4)*(GMWQ!$LR$2:$LR$60=S$1),0),$B92-1966)</f>
        <v>321</v>
      </c>
      <c r="T92" s="7" cm="1">
        <f t="array" ref="T92">INDEX(GMWQ!$A$2:$LR$60,MATCH(1,(GMWQ!$LQ$2:$LQ$60=T$3)*(GMWQ!$LP$2:$LP$60=T$4)*(GMWQ!$LR$2:$LR$60=T$1),0),$B92-1966)</f>
        <v>14472</v>
      </c>
      <c r="U92" s="7" cm="1">
        <f t="array" ref="U92">INDEX(GMWQ!$A$2:$LR$60,MATCH(1,(GMWQ!$LQ$2:$LQ$60=U$3)*(GMWQ!$LP$2:$LP$60=U$4)*(GMWQ!$LR$2:$LR$60=U$1),0),$B92-1966)</f>
        <v>4821</v>
      </c>
      <c r="V92" s="7" cm="1">
        <f t="array" ref="V92">INDEX(GMWQ!$A$2:$LR$60,MATCH(1,(GMWQ!$LQ$2:$LQ$60=V$3)*(GMWQ!$LP$2:$LP$60=V$4)*(GMWQ!$LR$2:$LR$60=V$1),0),$B92-1966)</f>
        <v>4.4409230000000003E-3</v>
      </c>
      <c r="W92" s="7" cm="1">
        <f t="array" ref="W92">INDEX(GMWQ!$A$2:$LR$60,MATCH(1,(GMWQ!$LQ$2:$LQ$60=W$3)*(GMWQ!$LP$2:$LP$60=W$4)*(GMWQ!$LR$2:$LR$60=W$1),0),$B92-1966)</f>
        <v>11.06339</v>
      </c>
      <c r="X92" s="7" cm="1">
        <f t="array" ref="X92">INDEX(GMWQ!$A$2:$LR$60,MATCH(1,(GMWQ!$LQ$2:$LQ$60=X$3)*(GMWQ!$LP$2:$LP$60=X$4)*(GMWQ!$LR$2:$LR$60=X$1),0),$B92-1966)</f>
        <v>1061492</v>
      </c>
      <c r="Y92" s="7" cm="1">
        <f t="array" ref="Y92">INDEX(GMWQ!$A$2:$LR$60,MATCH(1,(GMWQ!$LQ$2:$LQ$60=Y$3)*(GMWQ!$LP$2:$LP$60=Y$4)*(GMWQ!$LR$2:$LR$60=Y$1),0),$B92-1966)</f>
        <v>60.891910000000003</v>
      </c>
      <c r="Z92" s="7" cm="1">
        <f t="array" ref="Z92">INDEX(GMWQ!$A$2:$LR$60,MATCH(1,(GMWQ!$LQ$2:$LQ$60=Z$3)*(GMWQ!$LP$2:$LP$60=Z$4)*(GMWQ!$LR$2:$LR$60=Z$1),0),$B92-1966)</f>
        <v>333365.5</v>
      </c>
      <c r="AA92" s="7" cm="1">
        <f t="array" ref="AA92">INDEX(GMWQ!$A$2:$LR$60,MATCH(1,(GMWQ!$LQ$2:$LQ$60=AA$3)*(GMWQ!$LP$2:$LP$60=AA$4)*(GMWQ!$LR$2:$LR$60=AA$1),0),$B92-1966)</f>
        <v>60227</v>
      </c>
      <c r="AB92" s="7" cm="1">
        <f t="array" ref="AB92">INDEX(GMWQ!$A$2:$LR$60,MATCH(1,(GMWQ!$LQ$2:$LQ$60=AB$3)*(GMWQ!$LP$2:$LP$60=AB$4)*(GMWQ!$LR$2:$LR$60=AB$1),0),$B92-1966)</f>
        <v>69162</v>
      </c>
      <c r="AC92" s="7" cm="1">
        <f t="array" ref="AC92">INDEX(GMWQ!$A$2:$LR$60,MATCH(1,(GMWQ!$LQ$2:$LQ$60=AC$3)*(GMWQ!$LP$2:$LP$60=AC$4)*(GMWQ!$LR$2:$LR$60=AC$1),0),$B92-1966)</f>
        <v>345</v>
      </c>
      <c r="AD92" s="7" cm="1">
        <f t="array" ref="AD92">INDEX(GMWQ!$A$2:$LR$60,MATCH(1,(GMWQ!$LQ$2:$LQ$60=AD$3)*(GMWQ!$LP$2:$LP$60=AD$4)*(GMWQ!$LR$2:$LR$60=AD$1),0),$B92-1966)</f>
        <v>5368</v>
      </c>
      <c r="AE92" s="7" cm="1">
        <f t="array" ref="AE92">INDEX(GMWQ!$A$2:$LR$60,MATCH(1,(GMWQ!$LQ$2:$LQ$60=AE$3)*(GMWQ!$LP$2:$LP$60=AE$4)*(GMWQ!$LR$2:$LR$60=AE$1),0),$B92-1966)</f>
        <v>200690</v>
      </c>
      <c r="AF92" s="20" cm="1">
        <f t="array" ref="AF92">INDEX(GMWQ!$A$2:$LR$60,MATCH(1,(GMWQ!$LQ$2:$LQ$60=AF$3)*(GMWQ!$LP$2:$LP$60=AF$4)*(GMWQ!$LR$2:$LR$60=AF$1),0),$B92-1966)</f>
        <v>5.125</v>
      </c>
      <c r="AG92" s="20" cm="1">
        <f t="array" ref="AG92">INDEX(GMWQ!$A$2:$LR$60,MATCH(1,(GMWQ!$LQ$2:$LQ$60=AG$3)*(GMWQ!$LP$2:$LP$60=AG$4)*(GMWQ!$LR$2:$LR$60=AG$1),0),$B92-1966)</f>
        <v>-819</v>
      </c>
      <c r="AI92" s="23" cm="1">
        <f t="array" ref="AI92">INDEX(GMWQ!$A$2:$LR$60,MATCH(1,(GMWQ!$LQ$2:$LQ$60=AI$3)*(GMWQ!$LP$2:$LP$60=AI$4)*(GMWQ!$LR$2:$LR$60=AI$1),0),$B92-1966)</f>
        <v>135173</v>
      </c>
      <c r="AJ92" s="23" cm="1">
        <f t="array" ref="AJ92">INDEX(GMWQ!$A$2:$LR$60,MATCH(1,(GMWQ!$LQ$2:$LQ$60=AJ$3)*(GMWQ!$LP$2:$LP$60=AJ$4)*(GMWQ!$LR$2:$LR$60=AJ$1),0),$B92-1966)</f>
        <v>65.696920000000006</v>
      </c>
      <c r="AK92" s="23" cm="1">
        <f t="array" ref="AK92">INDEX(GMWQ!$A$2:$LR$60,MATCH(1,(GMWQ!$LQ$2:$LQ$60=AK$3)*(GMWQ!$LP$2:$LP$60=AK$4)*(GMWQ!$LR$2:$LR$60=AK$1),0),$B92-1966)</f>
        <v>79168</v>
      </c>
      <c r="AL92" s="23" cm="1">
        <f t="array" ref="AL92">INDEX(GMWQ!$A$2:$LR$60,MATCH(1,(GMWQ!$LQ$2:$LQ$60=AL$3)*(GMWQ!$LP$2:$LP$60=AL$4)*(GMWQ!$LR$2:$LR$60=AL$1),0),$B92-1966)</f>
        <v>3682.5749999999998</v>
      </c>
      <c r="AM92" s="23" cm="1">
        <f t="array" ref="AM92">INDEX(GMWQ!$A$2:$LR$60,MATCH(1,(GMWQ!$LQ$2:$LQ$60=AM$3)*(GMWQ!$LP$2:$LP$60=AM$4)*(GMWQ!$LR$2:$LR$60=AM$1),0),$B92-1966)</f>
        <v>21498</v>
      </c>
      <c r="AN92" s="23" cm="1">
        <f t="array" ref="AN92">INDEX(GMWQ!$A$2:$LR$60,MATCH(1,(GMWQ!$LQ$2:$LQ$60=AN$3)*(GMWQ!$LP$2:$LP$60=AN$4)*(GMWQ!$LR$2:$LR$60=AN$1),0),$B92-1966)</f>
        <v>17317</v>
      </c>
      <c r="AO92" s="23" cm="1">
        <f t="array" ref="AO92">INDEX(GMWQ!$A$2:$LR$60,MATCH(1,(GMWQ!$LQ$2:$LQ$60=AO$3)*(GMWQ!$LP$2:$LP$60=AO$4)*(GMWQ!$LR$2:$LR$60=AO$1),0),$B92-1966)</f>
        <v>5180</v>
      </c>
      <c r="AP92" s="23" cm="1">
        <f t="array" ref="AP92">INDEX(GMWQ!$A$2:$LR$60,MATCH(1,(GMWQ!$LQ$2:$LQ$60=AP$3)*(GMWQ!$LP$2:$LP$60=AP$4)*(GMWQ!$LR$2:$LR$60=AP$1),0),$B92-1966)</f>
        <v>-819</v>
      </c>
      <c r="AQ92" s="23" cm="1">
        <f t="array" ref="AQ92">INDEX(GMWQ!$A$2:$LR$60,MATCH(1,(GMWQ!$LQ$2:$LQ$60=AQ$3)*(GMWQ!$LP$2:$LP$60=AQ$4)*(GMWQ!$LR$2:$LR$60=AQ$1),0),$B92-1966)</f>
        <v>22527</v>
      </c>
      <c r="AR92" s="23" cm="1">
        <f t="array" ref="AR92">INDEX(GMWQ!$A$2:$LR$60,MATCH(1,(GMWQ!$LQ$2:$LQ$60=AR$3)*(GMWQ!$LP$2:$LP$60=AR$4)*(GMWQ!$LR$2:$LR$60=AR$1),0),$B92-1966)</f>
        <v>125399</v>
      </c>
      <c r="AS92" s="23" cm="1">
        <f t="array" ref="AS92">INDEX(GMWQ!$A$2:$LR$60,MATCH(1,(GMWQ!$LQ$2:$LQ$60=AS$3)*(GMWQ!$LP$2:$LP$60=AS$4)*(GMWQ!$LR$2:$LR$60=AS$1),0),$B92-1966)</f>
        <v>2648</v>
      </c>
      <c r="AT92" s="23" cm="1">
        <f t="array" ref="AT92">INDEX(GMWQ!$A$2:$LR$60,MATCH(1,(GMWQ!$LQ$2:$LQ$60=AT$3)*(GMWQ!$LP$2:$LP$60=AT$4)*(GMWQ!$LR$2:$LR$60=AT$1),0),$B92-1966)</f>
        <v>190875</v>
      </c>
      <c r="AU92" s="23" cm="1">
        <f t="array" ref="AU92">INDEX(GMWQ!$A$2:$LR$60,MATCH(1,(GMWQ!$LQ$2:$LQ$60=AU$3)*(GMWQ!$LP$2:$LP$60=AU$4)*(GMWQ!$LR$2:$LR$60=AU$1),0),$B92-1966)</f>
        <v>6296</v>
      </c>
    </row>
    <row r="93" spans="1:47" x14ac:dyDescent="0.35">
      <c r="B93" s="7">
        <f t="shared" si="2"/>
        <v>2059</v>
      </c>
      <c r="C93" s="7" cm="1">
        <f t="array" ref="C93">INDEX(GMWQ!$A$2:$LR$60,MATCH(1,(GMWQ!$LQ$2:$LQ$60=C$3)*(GMWQ!$LP$2:$LP$60=C$4)*(GMWQ!$LR$2:$LR$60=C$1),0),$B93-1966)</f>
        <v>332911</v>
      </c>
      <c r="D93" s="7" cm="1">
        <f t="array" ref="D93">INDEX(GMWQ!$A$2:$LR$60,MATCH(1,(GMWQ!$LQ$2:$LQ$60=D$3)*(GMWQ!$LP$2:$LP$60=D$4)*(GMWQ!$LR$2:$LR$60=D$1),0),$B93-1966)</f>
        <v>232.0582</v>
      </c>
      <c r="E93" s="7" cm="1">
        <f t="array" ref="E93">INDEX(GMWQ!$A$2:$LR$60,MATCH(1,(GMWQ!$LQ$2:$LQ$60=E$3)*(GMWQ!$LP$2:$LP$60=E$4)*(GMWQ!$LR$2:$LR$60=E$1),0),$B93-1966)</f>
        <v>65.633330000000001</v>
      </c>
      <c r="F93" s="7" cm="1">
        <f t="array" ref="F93">INDEX(GMWQ!$A$2:$LR$60,MATCH(1,(GMWQ!$LQ$2:$LQ$60=F$3)*(GMWQ!$LP$2:$LP$60=F$4)*(GMWQ!$LR$2:$LR$60=F$1),0),$B93-1966)</f>
        <v>80425</v>
      </c>
      <c r="G93" s="7" cm="1">
        <f t="array" ref="G93">INDEX(GMWQ!$A$2:$LR$60,MATCH(1,(GMWQ!$LQ$2:$LQ$60=G$3)*(GMWQ!$LP$2:$LP$60=G$4)*(GMWQ!$LR$2:$LR$60=G$1),0),$B93-1966)</f>
        <v>17672</v>
      </c>
      <c r="H93" s="7" cm="1">
        <f t="array" ref="H93">INDEX(GMWQ!$A$2:$LR$60,MATCH(1,(GMWQ!$LQ$2:$LQ$60=H$3)*(GMWQ!$LP$2:$LP$60=H$4)*(GMWQ!$LR$2:$LR$60=H$1),0),$B93-1966)</f>
        <v>5365</v>
      </c>
      <c r="I93" s="7" cm="1">
        <f t="array" ref="I93">INDEX(GMWQ!$A$2:$LR$60,MATCH(1,(GMWQ!$LQ$2:$LQ$60=I$3)*(GMWQ!$LP$2:$LP$60=I$4)*(GMWQ!$LR$2:$LR$60=I$1),0),$B93-1966)</f>
        <v>65.941760000000002</v>
      </c>
      <c r="J93" s="7" cm="1">
        <f t="array" ref="J93">INDEX(GMWQ!$A$2:$LR$60,MATCH(1,(GMWQ!$LQ$2:$LQ$60=J$3)*(GMWQ!$LP$2:$LP$60=J$4)*(GMWQ!$LR$2:$LR$60=J$1),0),$B93-1966)</f>
        <v>21558</v>
      </c>
      <c r="K93" s="7" cm="1">
        <f t="array" ref="K93">INDEX(GMWQ!$A$2:$LR$60,MATCH(1,(GMWQ!$LQ$2:$LQ$60=K$3)*(GMWQ!$LP$2:$LP$60=K$4)*(GMWQ!$LR$2:$LR$60=K$1),0),$B93-1966)</f>
        <v>5.625</v>
      </c>
      <c r="L93" s="7" cm="1">
        <f t="array" ref="L93">INDEX(GMWQ!$A$2:$LR$60,MATCH(1,(GMWQ!$LQ$2:$LQ$60=L$3)*(GMWQ!$LP$2:$LP$60=L$4)*(GMWQ!$LR$2:$LR$60=L$1),0),$B93-1966)</f>
        <v>9.4</v>
      </c>
      <c r="M93" s="7" cm="1">
        <f t="array" ref="M93">INDEX(GMWQ!$A$2:$LR$60,MATCH(1,(GMWQ!$LQ$2:$LQ$60=M$3)*(GMWQ!$LP$2:$LP$60=M$4)*(GMWQ!$LR$2:$LR$60=M$1),0),$B93-1966)</f>
        <v>29.544540000000001</v>
      </c>
      <c r="N93" s="7" cm="1">
        <f t="array" ref="N93">INDEX(GMWQ!$A$2:$LR$60,MATCH(1,(GMWQ!$LQ$2:$LQ$60=N$3)*(GMWQ!$LP$2:$LP$60=N$4)*(GMWQ!$LR$2:$LR$60=N$1),0),$B93-1966)</f>
        <v>7486</v>
      </c>
      <c r="O93" s="7" cm="1">
        <f t="array" ref="O93">INDEX(GMWQ!$A$2:$LR$60,MATCH(1,(GMWQ!$LQ$2:$LQ$60=O$3)*(GMWQ!$LP$2:$LP$60=O$4)*(GMWQ!$LR$2:$LR$60=O$1),0),$B93-1966)</f>
        <v>6484</v>
      </c>
      <c r="P93" s="7" cm="1">
        <f t="array" ref="P93">INDEX(GMWQ!$A$2:$LR$60,MATCH(1,(GMWQ!$LQ$2:$LQ$60=P$3)*(GMWQ!$LP$2:$LP$60=P$4)*(GMWQ!$LR$2:$LR$60=P$1),0),$B93-1966)</f>
        <v>138183</v>
      </c>
      <c r="Q93" s="7" cm="1">
        <f t="array" ref="Q93">INDEX(GMWQ!$A$2:$LR$60,MATCH(1,(GMWQ!$LQ$2:$LQ$60=Q$3)*(GMWQ!$LP$2:$LP$60=Q$4)*(GMWQ!$LR$2:$LR$60=Q$1),0),$B93-1966)</f>
        <v>7.57</v>
      </c>
      <c r="R93" s="7" cm="1">
        <f t="array" ref="R93">INDEX(GMWQ!$A$2:$LR$60,MATCH(1,(GMWQ!$LQ$2:$LQ$60=R$3)*(GMWQ!$LP$2:$LP$60=R$4)*(GMWQ!$LR$2:$LR$60=R$1),0),$B93-1966)</f>
        <v>241551</v>
      </c>
      <c r="S93" s="7" cm="1">
        <f t="array" ref="S93">INDEX(GMWQ!$A$2:$LR$60,MATCH(1,(GMWQ!$LQ$2:$LQ$60=S$3)*(GMWQ!$LP$2:$LP$60=S$4)*(GMWQ!$LR$2:$LR$60=S$1),0),$B93-1966)</f>
        <v>317</v>
      </c>
      <c r="T93" s="7" cm="1">
        <f t="array" ref="T93">INDEX(GMWQ!$A$2:$LR$60,MATCH(1,(GMWQ!$LQ$2:$LQ$60=T$3)*(GMWQ!$LP$2:$LP$60=T$4)*(GMWQ!$LR$2:$LR$60=T$1),0),$B93-1966)</f>
        <v>14392</v>
      </c>
      <c r="U93" s="7" cm="1">
        <f t="array" ref="U93">INDEX(GMWQ!$A$2:$LR$60,MATCH(1,(GMWQ!$LQ$2:$LQ$60=U$3)*(GMWQ!$LP$2:$LP$60=U$4)*(GMWQ!$LR$2:$LR$60=U$1),0),$B93-1966)</f>
        <v>4796</v>
      </c>
      <c r="V93" s="7" cm="1">
        <f t="array" ref="V93">INDEX(GMWQ!$A$2:$LR$60,MATCH(1,(GMWQ!$LQ$2:$LQ$60=V$3)*(GMWQ!$LP$2:$LP$60=V$4)*(GMWQ!$LR$2:$LR$60=V$1),0),$B93-1966)</f>
        <v>4.315981E-3</v>
      </c>
      <c r="W93" s="7" cm="1">
        <f t="array" ref="W93">INDEX(GMWQ!$A$2:$LR$60,MATCH(1,(GMWQ!$LQ$2:$LQ$60=W$3)*(GMWQ!$LP$2:$LP$60=W$4)*(GMWQ!$LR$2:$LR$60=W$1),0),$B93-1966)</f>
        <v>11.47864</v>
      </c>
      <c r="X93" s="7" cm="1">
        <f t="array" ref="X93">INDEX(GMWQ!$A$2:$LR$60,MATCH(1,(GMWQ!$LQ$2:$LQ$60=X$3)*(GMWQ!$LP$2:$LP$60=X$4)*(GMWQ!$LR$2:$LR$60=X$1),0),$B93-1966)</f>
        <v>1067287</v>
      </c>
      <c r="Y93" s="7" cm="1">
        <f t="array" ref="Y93">INDEX(GMWQ!$A$2:$LR$60,MATCH(1,(GMWQ!$LQ$2:$LQ$60=Y$3)*(GMWQ!$LP$2:$LP$60=Y$4)*(GMWQ!$LR$2:$LR$60=Y$1),0),$B93-1966)</f>
        <v>61.064970000000002</v>
      </c>
      <c r="Z93" s="7" cm="1">
        <f t="array" ref="Z93">INDEX(GMWQ!$A$2:$LR$60,MATCH(1,(GMWQ!$LQ$2:$LQ$60=Z$3)*(GMWQ!$LP$2:$LP$60=Z$4)*(GMWQ!$LR$2:$LR$60=Z$1),0),$B93-1966)</f>
        <v>336031.5</v>
      </c>
      <c r="AA93" s="7" cm="1">
        <f t="array" ref="AA93">INDEX(GMWQ!$A$2:$LR$60,MATCH(1,(GMWQ!$LQ$2:$LQ$60=AA$3)*(GMWQ!$LP$2:$LP$60=AA$4)*(GMWQ!$LR$2:$LR$60=AA$1),0),$B93-1966)</f>
        <v>64783</v>
      </c>
      <c r="AB93" s="7" cm="1">
        <f t="array" ref="AB93">INDEX(GMWQ!$A$2:$LR$60,MATCH(1,(GMWQ!$LQ$2:$LQ$60=AB$3)*(GMWQ!$LP$2:$LP$60=AB$4)*(GMWQ!$LR$2:$LR$60=AB$1),0),$B93-1966)</f>
        <v>69279</v>
      </c>
      <c r="AC93" s="7" cm="1">
        <f t="array" ref="AC93">INDEX(GMWQ!$A$2:$LR$60,MATCH(1,(GMWQ!$LQ$2:$LQ$60=AC$3)*(GMWQ!$LP$2:$LP$60=AC$4)*(GMWQ!$LR$2:$LR$60=AC$1),0),$B93-1966)</f>
        <v>1058</v>
      </c>
      <c r="AD93" s="7" cm="1">
        <f t="array" ref="AD93">INDEX(GMWQ!$A$2:$LR$60,MATCH(1,(GMWQ!$LQ$2:$LQ$60=AD$3)*(GMWQ!$LP$2:$LP$60=AD$4)*(GMWQ!$LR$2:$LR$60=AD$1),0),$B93-1966)</f>
        <v>5433</v>
      </c>
      <c r="AE93" s="7" cm="1">
        <f t="array" ref="AE93">INDEX(GMWQ!$A$2:$LR$60,MATCH(1,(GMWQ!$LQ$2:$LQ$60=AE$3)*(GMWQ!$LP$2:$LP$60=AE$4)*(GMWQ!$LR$2:$LR$60=AE$1),0),$B93-1966)</f>
        <v>203292</v>
      </c>
      <c r="AF93" s="20" cm="1">
        <f t="array" ref="AF93">INDEX(GMWQ!$A$2:$LR$60,MATCH(1,(GMWQ!$LQ$2:$LQ$60=AF$3)*(GMWQ!$LP$2:$LP$60=AF$4)*(GMWQ!$LR$2:$LR$60=AF$1),0),$B93-1966)</f>
        <v>5.2386359999999996</v>
      </c>
      <c r="AG93" s="20" cm="1">
        <f t="array" ref="AG93">INDEX(GMWQ!$A$2:$LR$60,MATCH(1,(GMWQ!$LQ$2:$LQ$60=AG$3)*(GMWQ!$LP$2:$LP$60=AG$4)*(GMWQ!$LR$2:$LR$60=AG$1),0),$B93-1966)</f>
        <v>-1002</v>
      </c>
      <c r="AI93" s="23" cm="1">
        <f t="array" ref="AI93">INDEX(GMWQ!$A$2:$LR$60,MATCH(1,(GMWQ!$LQ$2:$LQ$60=AI$3)*(GMWQ!$LP$2:$LP$60=AI$4)*(GMWQ!$LR$2:$LR$60=AI$1),0),$B93-1966)</f>
        <v>138183</v>
      </c>
      <c r="AJ93" s="23" cm="1">
        <f t="array" ref="AJ93">INDEX(GMWQ!$A$2:$LR$60,MATCH(1,(GMWQ!$LQ$2:$LQ$60=AJ$3)*(GMWQ!$LP$2:$LP$60=AJ$4)*(GMWQ!$LR$2:$LR$60=AJ$1),0),$B93-1966)</f>
        <v>65.941760000000002</v>
      </c>
      <c r="AK93" s="23" cm="1">
        <f t="array" ref="AK93">INDEX(GMWQ!$A$2:$LR$60,MATCH(1,(GMWQ!$LQ$2:$LQ$60=AK$3)*(GMWQ!$LP$2:$LP$60=AK$4)*(GMWQ!$LR$2:$LR$60=AK$1),0),$B93-1966)</f>
        <v>80425</v>
      </c>
      <c r="AL93" s="23" cm="1">
        <f t="array" ref="AL93">INDEX(GMWQ!$A$2:$LR$60,MATCH(1,(GMWQ!$LQ$2:$LQ$60=AL$3)*(GMWQ!$LP$2:$LP$60=AL$4)*(GMWQ!$LR$2:$LR$60=AL$1),0),$B93-1966)</f>
        <v>3730.634</v>
      </c>
      <c r="AM93" s="23" cm="1">
        <f t="array" ref="AM93">INDEX(GMWQ!$A$2:$LR$60,MATCH(1,(GMWQ!$LQ$2:$LQ$60=AM$3)*(GMWQ!$LP$2:$LP$60=AM$4)*(GMWQ!$LR$2:$LR$60=AM$1),0),$B93-1966)</f>
        <v>21558</v>
      </c>
      <c r="AN93" s="23" cm="1">
        <f t="array" ref="AN93">INDEX(GMWQ!$A$2:$LR$60,MATCH(1,(GMWQ!$LQ$2:$LQ$60=AN$3)*(GMWQ!$LP$2:$LP$60=AN$4)*(GMWQ!$LR$2:$LR$60=AN$1),0),$B93-1966)</f>
        <v>17672</v>
      </c>
      <c r="AO93" s="23" cm="1">
        <f t="array" ref="AO93">INDEX(GMWQ!$A$2:$LR$60,MATCH(1,(GMWQ!$LQ$2:$LQ$60=AO$3)*(GMWQ!$LP$2:$LP$60=AO$4)*(GMWQ!$LR$2:$LR$60=AO$1),0),$B93-1966)</f>
        <v>5365</v>
      </c>
      <c r="AP93" s="23" cm="1">
        <f t="array" ref="AP93">INDEX(GMWQ!$A$2:$LR$60,MATCH(1,(GMWQ!$LQ$2:$LQ$60=AP$3)*(GMWQ!$LP$2:$LP$60=AP$4)*(GMWQ!$LR$2:$LR$60=AP$1),0),$B93-1966)</f>
        <v>-1002</v>
      </c>
      <c r="AQ93" s="23" cm="1">
        <f t="array" ref="AQ93">INDEX(GMWQ!$A$2:$LR$60,MATCH(1,(GMWQ!$LQ$2:$LQ$60=AQ$3)*(GMWQ!$LP$2:$LP$60=AQ$4)*(GMWQ!$LR$2:$LR$60=AQ$1),0),$B93-1966)</f>
        <v>23038</v>
      </c>
      <c r="AR93" s="23" cm="1">
        <f t="array" ref="AR93">INDEX(GMWQ!$A$2:$LR$60,MATCH(1,(GMWQ!$LQ$2:$LQ$60=AR$3)*(GMWQ!$LP$2:$LP$60=AR$4)*(GMWQ!$LR$2:$LR$60=AR$1),0),$B93-1966)</f>
        <v>126959</v>
      </c>
      <c r="AS93" s="23" cm="1">
        <f t="array" ref="AS93">INDEX(GMWQ!$A$2:$LR$60,MATCH(1,(GMWQ!$LQ$2:$LQ$60=AS$3)*(GMWQ!$LP$2:$LP$60=AS$4)*(GMWQ!$LR$2:$LR$60=AS$1),0),$B93-1966)</f>
        <v>2450</v>
      </c>
      <c r="AT93" s="23" cm="1">
        <f t="array" ref="AT93">INDEX(GMWQ!$A$2:$LR$60,MATCH(1,(GMWQ!$LQ$2:$LQ$60=AT$3)*(GMWQ!$LP$2:$LP$60=AT$4)*(GMWQ!$LR$2:$LR$60=AT$1),0),$B93-1966)</f>
        <v>192532</v>
      </c>
      <c r="AU93" s="23" cm="1">
        <f t="array" ref="AU93">INDEX(GMWQ!$A$2:$LR$60,MATCH(1,(GMWQ!$LQ$2:$LQ$60=AU$3)*(GMWQ!$LP$2:$LP$60=AU$4)*(GMWQ!$LR$2:$LR$60=AU$1),0),$B93-1966)</f>
        <v>6316</v>
      </c>
    </row>
    <row r="94" spans="1:47" x14ac:dyDescent="0.35">
      <c r="B94" s="7">
        <f t="shared" si="2"/>
        <v>2060</v>
      </c>
      <c r="C94" s="7" cm="1">
        <f t="array" ref="C94">INDEX(GMWQ!$A$2:$LR$60,MATCH(1,(GMWQ!$LQ$2:$LQ$60=C$3)*(GMWQ!$LP$2:$LP$60=C$4)*(GMWQ!$LR$2:$LR$60=C$1),0),$B94-1966)</f>
        <v>334363</v>
      </c>
      <c r="D94" s="7" cm="1">
        <f t="array" ref="D94">INDEX(GMWQ!$A$2:$LR$60,MATCH(1,(GMWQ!$LQ$2:$LQ$60=D$3)*(GMWQ!$LP$2:$LP$60=D$4)*(GMWQ!$LR$2:$LR$60=D$1),0),$B94-1966)</f>
        <v>233.2474</v>
      </c>
      <c r="E94" s="7" cm="1">
        <f t="array" ref="E94">INDEX(GMWQ!$A$2:$LR$60,MATCH(1,(GMWQ!$LQ$2:$LQ$60=E$3)*(GMWQ!$LP$2:$LP$60=E$4)*(GMWQ!$LR$2:$LR$60=E$1),0),$B94-1966)</f>
        <v>65.8</v>
      </c>
      <c r="F94" s="7" cm="1">
        <f t="array" ref="F94">INDEX(GMWQ!$A$2:$LR$60,MATCH(1,(GMWQ!$LQ$2:$LQ$60=F$3)*(GMWQ!$LP$2:$LP$60=F$4)*(GMWQ!$LR$2:$LR$60=F$1),0),$B94-1966)</f>
        <v>81329</v>
      </c>
      <c r="G94" s="7" cm="1">
        <f t="array" ref="G94">INDEX(GMWQ!$A$2:$LR$60,MATCH(1,(GMWQ!$LQ$2:$LQ$60=G$3)*(GMWQ!$LP$2:$LP$60=G$4)*(GMWQ!$LR$2:$LR$60=G$1),0),$B94-1966)</f>
        <v>17854</v>
      </c>
      <c r="H94" s="7" cm="1">
        <f t="array" ref="H94">INDEX(GMWQ!$A$2:$LR$60,MATCH(1,(GMWQ!$LQ$2:$LQ$60=H$3)*(GMWQ!$LP$2:$LP$60=H$4)*(GMWQ!$LR$2:$LR$60=H$1),0),$B94-1966)</f>
        <v>5366</v>
      </c>
      <c r="I94" s="7" cm="1">
        <f t="array" ref="I94">INDEX(GMWQ!$A$2:$LR$60,MATCH(1,(GMWQ!$LQ$2:$LQ$60=I$3)*(GMWQ!$LP$2:$LP$60=I$4)*(GMWQ!$LR$2:$LR$60=I$1),0),$B94-1966)</f>
        <v>66.376800000000003</v>
      </c>
      <c r="J94" s="7" cm="1">
        <f t="array" ref="J94">INDEX(GMWQ!$A$2:$LR$60,MATCH(1,(GMWQ!$LQ$2:$LQ$60=J$3)*(GMWQ!$LP$2:$LP$60=J$4)*(GMWQ!$LR$2:$LR$60=J$1),0),$B94-1966)</f>
        <v>21604</v>
      </c>
      <c r="K94" s="7" cm="1">
        <f t="array" ref="K94">INDEX(GMWQ!$A$2:$LR$60,MATCH(1,(GMWQ!$LQ$2:$LQ$60=K$3)*(GMWQ!$LP$2:$LP$60=K$4)*(GMWQ!$LR$2:$LR$60=K$1),0),$B94-1966)</f>
        <v>6.125</v>
      </c>
      <c r="L94" s="7" cm="1">
        <f t="array" ref="L94">INDEX(GMWQ!$A$2:$LR$60,MATCH(1,(GMWQ!$LQ$2:$LQ$60=L$3)*(GMWQ!$LP$2:$LP$60=L$4)*(GMWQ!$LR$2:$LR$60=L$1),0),$B94-1966)</f>
        <v>9</v>
      </c>
      <c r="M94" s="7" cm="1">
        <f t="array" ref="M94">INDEX(GMWQ!$A$2:$LR$60,MATCH(1,(GMWQ!$LQ$2:$LQ$60=M$3)*(GMWQ!$LP$2:$LP$60=M$4)*(GMWQ!$LR$2:$LR$60=M$1),0),$B94-1966)</f>
        <v>29.962070000000001</v>
      </c>
      <c r="N94" s="7" cm="1">
        <f t="array" ref="N94">INDEX(GMWQ!$A$2:$LR$60,MATCH(1,(GMWQ!$LQ$2:$LQ$60=N$3)*(GMWQ!$LP$2:$LP$60=N$4)*(GMWQ!$LR$2:$LR$60=N$1),0),$B94-1966)</f>
        <v>7720</v>
      </c>
      <c r="O94" s="7" cm="1">
        <f t="array" ref="O94">INDEX(GMWQ!$A$2:$LR$60,MATCH(1,(GMWQ!$LQ$2:$LQ$60=O$3)*(GMWQ!$LP$2:$LP$60=O$4)*(GMWQ!$LR$2:$LR$60=O$1),0),$B94-1966)</f>
        <v>6909</v>
      </c>
      <c r="P94" s="7" cm="1">
        <f t="array" ref="P94">INDEX(GMWQ!$A$2:$LR$60,MATCH(1,(GMWQ!$LQ$2:$LQ$60=P$3)*(GMWQ!$LP$2:$LP$60=P$4)*(GMWQ!$LR$2:$LR$60=P$1),0),$B94-1966)</f>
        <v>138391</v>
      </c>
      <c r="Q94" s="7" cm="1">
        <f t="array" ref="Q94">INDEX(GMWQ!$A$2:$LR$60,MATCH(1,(GMWQ!$LQ$2:$LQ$60=Q$3)*(GMWQ!$LP$2:$LP$60=Q$4)*(GMWQ!$LR$2:$LR$60=Q$1),0),$B94-1966)</f>
        <v>7.84</v>
      </c>
      <c r="R94" s="7" cm="1">
        <f t="array" ref="R94">INDEX(GMWQ!$A$2:$LR$60,MATCH(1,(GMWQ!$LQ$2:$LQ$60=R$3)*(GMWQ!$LP$2:$LP$60=R$4)*(GMWQ!$LR$2:$LR$60=R$1),0),$B94-1966)</f>
        <v>249571</v>
      </c>
      <c r="S94" s="7" cm="1">
        <f t="array" ref="S94">INDEX(GMWQ!$A$2:$LR$60,MATCH(1,(GMWQ!$LQ$2:$LQ$60=S$3)*(GMWQ!$LP$2:$LP$60=S$4)*(GMWQ!$LR$2:$LR$60=S$1),0),$B94-1966)</f>
        <v>316</v>
      </c>
      <c r="T94" s="7" cm="1">
        <f t="array" ref="T94">INDEX(GMWQ!$A$2:$LR$60,MATCH(1,(GMWQ!$LQ$2:$LQ$60=T$3)*(GMWQ!$LP$2:$LP$60=T$4)*(GMWQ!$LR$2:$LR$60=T$1),0),$B94-1966)</f>
        <v>14098</v>
      </c>
      <c r="U94" s="7" cm="1">
        <f t="array" ref="U94">INDEX(GMWQ!$A$2:$LR$60,MATCH(1,(GMWQ!$LQ$2:$LQ$60=U$3)*(GMWQ!$LP$2:$LP$60=U$4)*(GMWQ!$LR$2:$LR$60=U$1),0),$B94-1966)</f>
        <v>4467</v>
      </c>
      <c r="V94" s="7" cm="1">
        <f t="array" ref="V94">INDEX(GMWQ!$A$2:$LR$60,MATCH(1,(GMWQ!$LQ$2:$LQ$60=V$3)*(GMWQ!$LP$2:$LP$60=V$4)*(GMWQ!$LR$2:$LR$60=V$1),0),$B94-1966)</f>
        <v>4.0919249999999997E-3</v>
      </c>
      <c r="W94" s="7" cm="1">
        <f t="array" ref="W94">INDEX(GMWQ!$A$2:$LR$60,MATCH(1,(GMWQ!$LQ$2:$LQ$60=W$3)*(GMWQ!$LP$2:$LP$60=W$4)*(GMWQ!$LR$2:$LR$60=W$1),0),$B94-1966)</f>
        <v>11.418329999999999</v>
      </c>
      <c r="X94" s="7" cm="1">
        <f t="array" ref="X94">INDEX(GMWQ!$A$2:$LR$60,MATCH(1,(GMWQ!$LQ$2:$LQ$60=X$3)*(GMWQ!$LP$2:$LP$60=X$4)*(GMWQ!$LR$2:$LR$60=X$1),0),$B94-1966)</f>
        <v>1075297</v>
      </c>
      <c r="Y94" s="7" cm="1">
        <f t="array" ref="Y94">INDEX(GMWQ!$A$2:$LR$60,MATCH(1,(GMWQ!$LQ$2:$LQ$60=Y$3)*(GMWQ!$LP$2:$LP$60=Y$4)*(GMWQ!$LR$2:$LR$60=Y$1),0),$B94-1966)</f>
        <v>61.913249999999998</v>
      </c>
      <c r="Z94" s="7" cm="1">
        <f t="array" ref="Z94">INDEX(GMWQ!$A$2:$LR$60,MATCH(1,(GMWQ!$LQ$2:$LQ$60=Z$3)*(GMWQ!$LP$2:$LP$60=Z$4)*(GMWQ!$LR$2:$LR$60=Z$1),0),$B94-1966)</f>
        <v>339336.2</v>
      </c>
      <c r="AA94" s="7" cm="1">
        <f t="array" ref="AA94">INDEX(GMWQ!$A$2:$LR$60,MATCH(1,(GMWQ!$LQ$2:$LQ$60=AA$3)*(GMWQ!$LP$2:$LP$60=AA$4)*(GMWQ!$LR$2:$LR$60=AA$1),0),$B94-1966)</f>
        <v>68985</v>
      </c>
      <c r="AB94" s="7" cm="1">
        <f t="array" ref="AB94">INDEX(GMWQ!$A$2:$LR$60,MATCH(1,(GMWQ!$LQ$2:$LQ$60=AB$3)*(GMWQ!$LP$2:$LP$60=AB$4)*(GMWQ!$LR$2:$LR$60=AB$1),0),$B94-1966)</f>
        <v>70104</v>
      </c>
      <c r="AC94" s="7" cm="1">
        <f t="array" ref="AC94">INDEX(GMWQ!$A$2:$LR$60,MATCH(1,(GMWQ!$LQ$2:$LQ$60=AC$3)*(GMWQ!$LP$2:$LP$60=AC$4)*(GMWQ!$LR$2:$LR$60=AC$1),0),$B94-1966)</f>
        <v>1519</v>
      </c>
      <c r="AD94" s="7" cm="1">
        <f t="array" ref="AD94">INDEX(GMWQ!$A$2:$LR$60,MATCH(1,(GMWQ!$LQ$2:$LQ$60=AD$3)*(GMWQ!$LP$2:$LP$60=AD$4)*(GMWQ!$LR$2:$LR$60=AD$1),0),$B94-1966)</f>
        <v>5283</v>
      </c>
      <c r="AE94" s="7" cm="1">
        <f t="array" ref="AE94">INDEX(GMWQ!$A$2:$LR$60,MATCH(1,(GMWQ!$LQ$2:$LQ$60=AE$3)*(GMWQ!$LP$2:$LP$60=AE$4)*(GMWQ!$LR$2:$LR$60=AE$1),0),$B94-1966)</f>
        <v>207015</v>
      </c>
      <c r="AF94" s="20" cm="1">
        <f t="array" ref="AF94">INDEX(GMWQ!$A$2:$LR$60,MATCH(1,(GMWQ!$LQ$2:$LQ$60=AF$3)*(GMWQ!$LP$2:$LP$60=AF$4)*(GMWQ!$LR$2:$LR$60=AF$1),0),$B94-1966)</f>
        <v>5.7634619999999996</v>
      </c>
      <c r="AG94" s="20" cm="1">
        <f t="array" ref="AG94">INDEX(GMWQ!$A$2:$LR$60,MATCH(1,(GMWQ!$LQ$2:$LQ$60=AG$3)*(GMWQ!$LP$2:$LP$60=AG$4)*(GMWQ!$LR$2:$LR$60=AG$1),0),$B94-1966)</f>
        <v>-811</v>
      </c>
      <c r="AI94" s="23" cm="1">
        <f t="array" ref="AI94">INDEX(GMWQ!$A$2:$LR$60,MATCH(1,(GMWQ!$LQ$2:$LQ$60=AI$3)*(GMWQ!$LP$2:$LP$60=AI$4)*(GMWQ!$LR$2:$LR$60=AI$1),0),$B94-1966)</f>
        <v>138391</v>
      </c>
      <c r="AJ94" s="23" cm="1">
        <f t="array" ref="AJ94">INDEX(GMWQ!$A$2:$LR$60,MATCH(1,(GMWQ!$LQ$2:$LQ$60=AJ$3)*(GMWQ!$LP$2:$LP$60=AJ$4)*(GMWQ!$LR$2:$LR$60=AJ$1),0),$B94-1966)</f>
        <v>66.376800000000003</v>
      </c>
      <c r="AK94" s="23" cm="1">
        <f t="array" ref="AK94">INDEX(GMWQ!$A$2:$LR$60,MATCH(1,(GMWQ!$LQ$2:$LQ$60=AK$3)*(GMWQ!$LP$2:$LP$60=AK$4)*(GMWQ!$LR$2:$LR$60=AK$1),0),$B94-1966)</f>
        <v>81329</v>
      </c>
      <c r="AL94" s="23" cm="1">
        <f t="array" ref="AL94">INDEX(GMWQ!$A$2:$LR$60,MATCH(1,(GMWQ!$LQ$2:$LQ$60=AL$3)*(GMWQ!$LP$2:$LP$60=AL$4)*(GMWQ!$LR$2:$LR$60=AL$1),0),$B94-1966)</f>
        <v>3764.5340000000001</v>
      </c>
      <c r="AM94" s="23" cm="1">
        <f t="array" ref="AM94">INDEX(GMWQ!$A$2:$LR$60,MATCH(1,(GMWQ!$LQ$2:$LQ$60=AM$3)*(GMWQ!$LP$2:$LP$60=AM$4)*(GMWQ!$LR$2:$LR$60=AM$1),0),$B94-1966)</f>
        <v>21604</v>
      </c>
      <c r="AN94" s="23" cm="1">
        <f t="array" ref="AN94">INDEX(GMWQ!$A$2:$LR$60,MATCH(1,(GMWQ!$LQ$2:$LQ$60=AN$3)*(GMWQ!$LP$2:$LP$60=AN$4)*(GMWQ!$LR$2:$LR$60=AN$1),0),$B94-1966)</f>
        <v>17854</v>
      </c>
      <c r="AO94" s="23" cm="1">
        <f t="array" ref="AO94">INDEX(GMWQ!$A$2:$LR$60,MATCH(1,(GMWQ!$LQ$2:$LQ$60=AO$3)*(GMWQ!$LP$2:$LP$60=AO$4)*(GMWQ!$LR$2:$LR$60=AO$1),0),$B94-1966)</f>
        <v>5366</v>
      </c>
      <c r="AP94" s="23" cm="1">
        <f t="array" ref="AP94">INDEX(GMWQ!$A$2:$LR$60,MATCH(1,(GMWQ!$LQ$2:$LQ$60=AP$3)*(GMWQ!$LP$2:$LP$60=AP$4)*(GMWQ!$LR$2:$LR$60=AP$1),0),$B94-1966)</f>
        <v>-811</v>
      </c>
      <c r="AQ94" s="23" cm="1">
        <f t="array" ref="AQ94">INDEX(GMWQ!$A$2:$LR$60,MATCH(1,(GMWQ!$LQ$2:$LQ$60=AQ$3)*(GMWQ!$LP$2:$LP$60=AQ$4)*(GMWQ!$LR$2:$LR$60=AQ$1),0),$B94-1966)</f>
        <v>23224</v>
      </c>
      <c r="AR94" s="23" cm="1">
        <f t="array" ref="AR94">INDEX(GMWQ!$A$2:$LR$60,MATCH(1,(GMWQ!$LQ$2:$LQ$60=AR$3)*(GMWQ!$LP$2:$LP$60=AR$4)*(GMWQ!$LR$2:$LR$60=AR$1),0),$B94-1966)</f>
        <v>128692</v>
      </c>
      <c r="AS94" s="23" cm="1">
        <f t="array" ref="AS94">INDEX(GMWQ!$A$2:$LR$60,MATCH(1,(GMWQ!$LQ$2:$LQ$60=AS$3)*(GMWQ!$LP$2:$LP$60=AS$4)*(GMWQ!$LR$2:$LR$60=AS$1),0),$B94-1966)</f>
        <v>2593</v>
      </c>
      <c r="AT94" s="23" cm="1">
        <f t="array" ref="AT94">INDEX(GMWQ!$A$2:$LR$60,MATCH(1,(GMWQ!$LQ$2:$LQ$60=AT$3)*(GMWQ!$LP$2:$LP$60=AT$4)*(GMWQ!$LR$2:$LR$60=AT$1),0),$B94-1966)</f>
        <v>193881</v>
      </c>
      <c r="AU94" s="23" cm="1">
        <f t="array" ref="AU94">INDEX(GMWQ!$A$2:$LR$60,MATCH(1,(GMWQ!$LQ$2:$LQ$60=AU$3)*(GMWQ!$LP$2:$LP$60=AU$4)*(GMWQ!$LR$2:$LR$60=AU$1),0),$B94-1966)</f>
        <v>6461</v>
      </c>
    </row>
    <row r="95" spans="1:47" x14ac:dyDescent="0.35">
      <c r="A95" s="7">
        <v>1995</v>
      </c>
      <c r="B95" s="7">
        <f t="shared" si="2"/>
        <v>2061</v>
      </c>
      <c r="C95" s="7" cm="1">
        <f t="array" ref="C95">INDEX(GMWQ!$A$2:$LR$60,MATCH(1,(GMWQ!$LQ$2:$LQ$60=C$3)*(GMWQ!$LP$2:$LP$60=C$4)*(GMWQ!$LR$2:$LR$60=C$1),0),$B95-1966)</f>
        <v>336090</v>
      </c>
      <c r="D95" s="7" cm="1">
        <f t="array" ref="D95">INDEX(GMWQ!$A$2:$LR$60,MATCH(1,(GMWQ!$LQ$2:$LQ$60=D$3)*(GMWQ!$LP$2:$LP$60=D$4)*(GMWQ!$LR$2:$LR$60=D$1),0),$B95-1966)</f>
        <v>232.66929999999999</v>
      </c>
      <c r="E95" s="7" cm="1">
        <f t="array" ref="E95">INDEX(GMWQ!$A$2:$LR$60,MATCH(1,(GMWQ!$LQ$2:$LQ$60=E$3)*(GMWQ!$LP$2:$LP$60=E$4)*(GMWQ!$LR$2:$LR$60=E$1),0),$B95-1966)</f>
        <v>66.333340000000007</v>
      </c>
      <c r="F95" s="7" cm="1">
        <f t="array" ref="F95">INDEX(GMWQ!$A$2:$LR$60,MATCH(1,(GMWQ!$LQ$2:$LQ$60=F$3)*(GMWQ!$LP$2:$LP$60=F$4)*(GMWQ!$LR$2:$LR$60=F$1),0),$B95-1966)</f>
        <v>82018</v>
      </c>
      <c r="G95" s="7" cm="1">
        <f t="array" ref="G95">INDEX(GMWQ!$A$2:$LR$60,MATCH(1,(GMWQ!$LQ$2:$LQ$60=G$3)*(GMWQ!$LP$2:$LP$60=G$4)*(GMWQ!$LR$2:$LR$60=G$1),0),$B95-1966)</f>
        <v>17256</v>
      </c>
      <c r="H95" s="7" cm="1">
        <f t="array" ref="H95">INDEX(GMWQ!$A$2:$LR$60,MATCH(1,(GMWQ!$LQ$2:$LQ$60=H$3)*(GMWQ!$LP$2:$LP$60=H$4)*(GMWQ!$LR$2:$LR$60=H$1),0),$B95-1966)</f>
        <v>5440</v>
      </c>
      <c r="I95" s="7" cm="1">
        <f t="array" ref="I95">INDEX(GMWQ!$A$2:$LR$60,MATCH(1,(GMWQ!$LQ$2:$LQ$60=I$3)*(GMWQ!$LP$2:$LP$60=I$4)*(GMWQ!$LR$2:$LR$60=I$1),0),$B95-1966)</f>
        <v>66.745040000000003</v>
      </c>
      <c r="J95" s="7" cm="1">
        <f t="array" ref="J95">INDEX(GMWQ!$A$2:$LR$60,MATCH(1,(GMWQ!$LQ$2:$LQ$60=J$3)*(GMWQ!$LP$2:$LP$60=J$4)*(GMWQ!$LR$2:$LR$60=J$1),0),$B95-1966)</f>
        <v>21671</v>
      </c>
      <c r="K95" s="7" cm="1">
        <f t="array" ref="K95">INDEX(GMWQ!$A$2:$LR$60,MATCH(1,(GMWQ!$LQ$2:$LQ$60=K$3)*(GMWQ!$LP$2:$LP$60=K$4)*(GMWQ!$LR$2:$LR$60=K$1),0),$B95-1966)</f>
        <v>6.625</v>
      </c>
      <c r="L95" s="7" cm="1">
        <f t="array" ref="L95">INDEX(GMWQ!$A$2:$LR$60,MATCH(1,(GMWQ!$LQ$2:$LQ$60=L$3)*(GMWQ!$LP$2:$LP$60=L$4)*(GMWQ!$LR$2:$LR$60=L$1),0),$B95-1966)</f>
        <v>8.9</v>
      </c>
      <c r="M95" s="7" cm="1">
        <f t="array" ref="M95">INDEX(GMWQ!$A$2:$LR$60,MATCH(1,(GMWQ!$LQ$2:$LQ$60=M$3)*(GMWQ!$LP$2:$LP$60=M$4)*(GMWQ!$LR$2:$LR$60=M$1),0),$B95-1966)</f>
        <v>29.21951</v>
      </c>
      <c r="N95" s="7" cm="1">
        <f t="array" ref="N95">INDEX(GMWQ!$A$2:$LR$60,MATCH(1,(GMWQ!$LQ$2:$LQ$60=N$3)*(GMWQ!$LP$2:$LP$60=N$4)*(GMWQ!$LR$2:$LR$60=N$1),0),$B95-1966)</f>
        <v>8283</v>
      </c>
      <c r="O95" s="7" cm="1">
        <f t="array" ref="O95">INDEX(GMWQ!$A$2:$LR$60,MATCH(1,(GMWQ!$LQ$2:$LQ$60=O$3)*(GMWQ!$LP$2:$LP$60=O$4)*(GMWQ!$LR$2:$LR$60=O$1),0),$B95-1966)</f>
        <v>7697</v>
      </c>
      <c r="P95" s="7" cm="1">
        <f t="array" ref="P95">INDEX(GMWQ!$A$2:$LR$60,MATCH(1,(GMWQ!$LQ$2:$LQ$60=P$3)*(GMWQ!$LP$2:$LP$60=P$4)*(GMWQ!$LR$2:$LR$60=P$1),0),$B95-1966)</f>
        <v>141861</v>
      </c>
      <c r="Q95" s="7" cm="1">
        <f t="array" ref="Q95">INDEX(GMWQ!$A$2:$LR$60,MATCH(1,(GMWQ!$LQ$2:$LQ$60=Q$3)*(GMWQ!$LP$2:$LP$60=Q$4)*(GMWQ!$LR$2:$LR$60=Q$1),0),$B95-1966)</f>
        <v>8</v>
      </c>
      <c r="R95" s="7" cm="1">
        <f t="array" ref="R95">INDEX(GMWQ!$A$2:$LR$60,MATCH(1,(GMWQ!$LQ$2:$LQ$60=R$3)*(GMWQ!$LP$2:$LP$60=R$4)*(GMWQ!$LR$2:$LR$60=R$1),0),$B95-1966)</f>
        <v>234503</v>
      </c>
      <c r="S95" s="7" cm="1">
        <f t="array" ref="S95">INDEX(GMWQ!$A$2:$LR$60,MATCH(1,(GMWQ!$LQ$2:$LQ$60=S$3)*(GMWQ!$LP$2:$LP$60=S$4)*(GMWQ!$LR$2:$LR$60=S$1),0),$B95-1966)</f>
        <v>308</v>
      </c>
      <c r="T95" s="7" cm="1">
        <f t="array" ref="T95">INDEX(GMWQ!$A$2:$LR$60,MATCH(1,(GMWQ!$LQ$2:$LQ$60=T$3)*(GMWQ!$LP$2:$LP$60=T$4)*(GMWQ!$LR$2:$LR$60=T$1),0),$B95-1966)</f>
        <v>14020</v>
      </c>
      <c r="U95" s="7" cm="1">
        <f t="array" ref="U95">INDEX(GMWQ!$A$2:$LR$60,MATCH(1,(GMWQ!$LQ$2:$LQ$60=U$3)*(GMWQ!$LP$2:$LP$60=U$4)*(GMWQ!$LR$2:$LR$60=U$1),0),$B95-1966)</f>
        <v>4208</v>
      </c>
      <c r="V95" s="7" cm="1">
        <f t="array" ref="V95">INDEX(GMWQ!$A$2:$LR$60,MATCH(1,(GMWQ!$LQ$2:$LQ$60=V$3)*(GMWQ!$LP$2:$LP$60=V$4)*(GMWQ!$LR$2:$LR$60=V$1),0),$B95-1966)</f>
        <v>3.8604199999999998E-3</v>
      </c>
      <c r="W95" s="7" cm="1">
        <f t="array" ref="W95">INDEX(GMWQ!$A$2:$LR$60,MATCH(1,(GMWQ!$LQ$2:$LQ$60=W$3)*(GMWQ!$LP$2:$LP$60=W$4)*(GMWQ!$LR$2:$LR$60=W$1),0),$B95-1966)</f>
        <v>12.31757</v>
      </c>
      <c r="X95" s="7" cm="1">
        <f t="array" ref="X95">INDEX(GMWQ!$A$2:$LR$60,MATCH(1,(GMWQ!$LQ$2:$LQ$60=X$3)*(GMWQ!$LP$2:$LP$60=X$4)*(GMWQ!$LR$2:$LR$60=X$1),0),$B95-1966)</f>
        <v>1085465</v>
      </c>
      <c r="Y95" s="7" cm="1">
        <f t="array" ref="Y95">INDEX(GMWQ!$A$2:$LR$60,MATCH(1,(GMWQ!$LQ$2:$LQ$60=Y$3)*(GMWQ!$LP$2:$LP$60=Y$4)*(GMWQ!$LR$2:$LR$60=Y$1),0),$B95-1966)</f>
        <v>62.083669999999998</v>
      </c>
      <c r="Z95" s="7" cm="1">
        <f t="array" ref="Z95">INDEX(GMWQ!$A$2:$LR$60,MATCH(1,(GMWQ!$LQ$2:$LQ$60=Z$3)*(GMWQ!$LP$2:$LP$60=Z$4)*(GMWQ!$LR$2:$LR$60=Z$1),0),$B95-1966)</f>
        <v>340333.9</v>
      </c>
      <c r="AA95" s="7" cm="1">
        <f t="array" ref="AA95">INDEX(GMWQ!$A$2:$LR$60,MATCH(1,(GMWQ!$LQ$2:$LQ$60=AA$3)*(GMWQ!$LP$2:$LP$60=AA$4)*(GMWQ!$LR$2:$LR$60=AA$1),0),$B95-1966)</f>
        <v>70558</v>
      </c>
      <c r="AB95" s="7" cm="1">
        <f t="array" ref="AB95">INDEX(GMWQ!$A$2:$LR$60,MATCH(1,(GMWQ!$LQ$2:$LQ$60=AB$3)*(GMWQ!$LP$2:$LP$60=AB$4)*(GMWQ!$LR$2:$LR$60=AB$1),0),$B95-1966)</f>
        <v>71811</v>
      </c>
      <c r="AC95" s="7" cm="1">
        <f t="array" ref="AC95">INDEX(GMWQ!$A$2:$LR$60,MATCH(1,(GMWQ!$LQ$2:$LQ$60=AC$3)*(GMWQ!$LP$2:$LP$60=AC$4)*(GMWQ!$LR$2:$LR$60=AC$1),0),$B95-1966)</f>
        <v>3798</v>
      </c>
      <c r="AD95" s="7" cm="1">
        <f t="array" ref="AD95">INDEX(GMWQ!$A$2:$LR$60,MATCH(1,(GMWQ!$LQ$2:$LQ$60=AD$3)*(GMWQ!$LP$2:$LP$60=AD$4)*(GMWQ!$LR$2:$LR$60=AD$1),0),$B95-1966)</f>
        <v>5317</v>
      </c>
      <c r="AE95" s="7" cm="1">
        <f t="array" ref="AE95">INDEX(GMWQ!$A$2:$LR$60,MATCH(1,(GMWQ!$LQ$2:$LQ$60=AE$3)*(GMWQ!$LP$2:$LP$60=AE$4)*(GMWQ!$LR$2:$LR$60=AE$1),0),$B95-1966)</f>
        <v>208657</v>
      </c>
      <c r="AF95" s="20" cm="1">
        <f t="array" ref="AF95">INDEX(GMWQ!$A$2:$LR$60,MATCH(1,(GMWQ!$LQ$2:$LQ$60=AF$3)*(GMWQ!$LP$2:$LP$60=AF$4)*(GMWQ!$LR$2:$LR$60=AF$1),0),$B95-1966)</f>
        <v>6.4480769999999996</v>
      </c>
      <c r="AG95" s="20" cm="1">
        <f t="array" ref="AG95">INDEX(GMWQ!$A$2:$LR$60,MATCH(1,(GMWQ!$LQ$2:$LQ$60=AG$3)*(GMWQ!$LP$2:$LP$60=AG$4)*(GMWQ!$LR$2:$LR$60=AG$1),0),$B95-1966)</f>
        <v>-586</v>
      </c>
      <c r="AI95" s="23" cm="1">
        <f t="array" ref="AI95">INDEX(GMWQ!$A$2:$LR$60,MATCH(1,(GMWQ!$LQ$2:$LQ$60=AI$3)*(GMWQ!$LP$2:$LP$60=AI$4)*(GMWQ!$LR$2:$LR$60=AI$1),0),$B95-1966)</f>
        <v>141861</v>
      </c>
      <c r="AJ95" s="23" cm="1">
        <f t="array" ref="AJ95">INDEX(GMWQ!$A$2:$LR$60,MATCH(1,(GMWQ!$LQ$2:$LQ$60=AJ$3)*(GMWQ!$LP$2:$LP$60=AJ$4)*(GMWQ!$LR$2:$LR$60=AJ$1),0),$B95-1966)</f>
        <v>66.745040000000003</v>
      </c>
      <c r="AK95" s="23" cm="1">
        <f t="array" ref="AK95">INDEX(GMWQ!$A$2:$LR$60,MATCH(1,(GMWQ!$LQ$2:$LQ$60=AK$3)*(GMWQ!$LP$2:$LP$60=AK$4)*(GMWQ!$LR$2:$LR$60=AK$1),0),$B95-1966)</f>
        <v>82018</v>
      </c>
      <c r="AL95" s="23" cm="1">
        <f t="array" ref="AL95">INDEX(GMWQ!$A$2:$LR$60,MATCH(1,(GMWQ!$LQ$2:$LQ$60=AL$3)*(GMWQ!$LP$2:$LP$60=AL$4)*(GMWQ!$LR$2:$LR$60=AL$1),0),$B95-1966)</f>
        <v>3784.6889999999999</v>
      </c>
      <c r="AM95" s="23" cm="1">
        <f t="array" ref="AM95">INDEX(GMWQ!$A$2:$LR$60,MATCH(1,(GMWQ!$LQ$2:$LQ$60=AM$3)*(GMWQ!$LP$2:$LP$60=AM$4)*(GMWQ!$LR$2:$LR$60=AM$1),0),$B95-1966)</f>
        <v>21671</v>
      </c>
      <c r="AN95" s="23" cm="1">
        <f t="array" ref="AN95">INDEX(GMWQ!$A$2:$LR$60,MATCH(1,(GMWQ!$LQ$2:$LQ$60=AN$3)*(GMWQ!$LP$2:$LP$60=AN$4)*(GMWQ!$LR$2:$LR$60=AN$1),0),$B95-1966)</f>
        <v>17256</v>
      </c>
      <c r="AO95" s="23" cm="1">
        <f t="array" ref="AO95">INDEX(GMWQ!$A$2:$LR$60,MATCH(1,(GMWQ!$LQ$2:$LQ$60=AO$3)*(GMWQ!$LP$2:$LP$60=AO$4)*(GMWQ!$LR$2:$LR$60=AO$1),0),$B95-1966)</f>
        <v>5440</v>
      </c>
      <c r="AP95" s="23" cm="1">
        <f t="array" ref="AP95">INDEX(GMWQ!$A$2:$LR$60,MATCH(1,(GMWQ!$LQ$2:$LQ$60=AP$3)*(GMWQ!$LP$2:$LP$60=AP$4)*(GMWQ!$LR$2:$LR$60=AP$1),0),$B95-1966)</f>
        <v>-586</v>
      </c>
      <c r="AQ95" s="23" cm="1">
        <f t="array" ref="AQ95">INDEX(GMWQ!$A$2:$LR$60,MATCH(1,(GMWQ!$LQ$2:$LQ$60=AQ$3)*(GMWQ!$LP$2:$LP$60=AQ$4)*(GMWQ!$LR$2:$LR$60=AQ$1),0),$B95-1966)</f>
        <v>23900</v>
      </c>
      <c r="AR95" s="23" cm="1">
        <f t="array" ref="AR95">INDEX(GMWQ!$A$2:$LR$60,MATCH(1,(GMWQ!$LQ$2:$LQ$60=AR$3)*(GMWQ!$LP$2:$LP$60=AR$4)*(GMWQ!$LR$2:$LR$60=AR$1),0),$B95-1966)</f>
        <v>129448</v>
      </c>
      <c r="AS95" s="23" cm="1">
        <f t="array" ref="AS95">INDEX(GMWQ!$A$2:$LR$60,MATCH(1,(GMWQ!$LQ$2:$LQ$60=AS$3)*(GMWQ!$LP$2:$LP$60=AS$4)*(GMWQ!$LR$2:$LR$60=AS$1),0),$B95-1966)</f>
        <v>2972</v>
      </c>
      <c r="AT95" s="23" cm="1">
        <f t="array" ref="AT95">INDEX(GMWQ!$A$2:$LR$60,MATCH(1,(GMWQ!$LQ$2:$LQ$60=AT$3)*(GMWQ!$LP$2:$LP$60=AT$4)*(GMWQ!$LR$2:$LR$60=AT$1),0),$B95-1966)</f>
        <v>193944</v>
      </c>
      <c r="AU95" s="23" cm="1">
        <f t="array" ref="AU95">INDEX(GMWQ!$A$2:$LR$60,MATCH(1,(GMWQ!$LQ$2:$LQ$60=AU$3)*(GMWQ!$LP$2:$LP$60=AU$4)*(GMWQ!$LR$2:$LR$60=AU$1),0),$B95-1966)</f>
        <v>6758</v>
      </c>
    </row>
    <row r="96" spans="1:47" x14ac:dyDescent="0.35">
      <c r="B96" s="7">
        <f t="shared" si="2"/>
        <v>2062</v>
      </c>
      <c r="C96" s="7" cm="1">
        <f t="array" ref="C96">INDEX(GMWQ!$A$2:$LR$60,MATCH(1,(GMWQ!$LQ$2:$LQ$60=C$3)*(GMWQ!$LP$2:$LP$60=C$4)*(GMWQ!$LR$2:$LR$60=C$1),0),$B96-1966)</f>
        <v>336789</v>
      </c>
      <c r="D96" s="7" cm="1">
        <f t="array" ref="D96">INDEX(GMWQ!$A$2:$LR$60,MATCH(1,(GMWQ!$LQ$2:$LQ$60=D$3)*(GMWQ!$LP$2:$LP$60=D$4)*(GMWQ!$LR$2:$LR$60=D$1),0),$B96-1966)</f>
        <v>237.69069999999999</v>
      </c>
      <c r="E96" s="7" cm="1">
        <f t="array" ref="E96">INDEX(GMWQ!$A$2:$LR$60,MATCH(1,(GMWQ!$LQ$2:$LQ$60=E$3)*(GMWQ!$LP$2:$LP$60=E$4)*(GMWQ!$LR$2:$LR$60=E$1),0),$B96-1966)</f>
        <v>67.266670000000005</v>
      </c>
      <c r="F96" s="7" cm="1">
        <f t="array" ref="F96">INDEX(GMWQ!$A$2:$LR$60,MATCH(1,(GMWQ!$LQ$2:$LQ$60=F$3)*(GMWQ!$LP$2:$LP$60=F$4)*(GMWQ!$LR$2:$LR$60=F$1),0),$B96-1966)</f>
        <v>83079</v>
      </c>
      <c r="G96" s="7" cm="1">
        <f t="array" ref="G96">INDEX(GMWQ!$A$2:$LR$60,MATCH(1,(GMWQ!$LQ$2:$LQ$60=G$3)*(GMWQ!$LP$2:$LP$60=G$4)*(GMWQ!$LR$2:$LR$60=G$1),0),$B96-1966)</f>
        <v>18791</v>
      </c>
      <c r="H96" s="7" cm="1">
        <f t="array" ref="H96">INDEX(GMWQ!$A$2:$LR$60,MATCH(1,(GMWQ!$LQ$2:$LQ$60=H$3)*(GMWQ!$LP$2:$LP$60=H$4)*(GMWQ!$LR$2:$LR$60=H$1),0),$B96-1966)</f>
        <v>5557</v>
      </c>
      <c r="I96" s="7" cm="1">
        <f t="array" ref="I96">INDEX(GMWQ!$A$2:$LR$60,MATCH(1,(GMWQ!$LQ$2:$LQ$60=I$3)*(GMWQ!$LP$2:$LP$60=I$4)*(GMWQ!$LR$2:$LR$60=I$1),0),$B96-1966)</f>
        <v>67.408619999999999</v>
      </c>
      <c r="J96" s="7" cm="1">
        <f t="array" ref="J96">INDEX(GMWQ!$A$2:$LR$60,MATCH(1,(GMWQ!$LQ$2:$LQ$60=J$3)*(GMWQ!$LP$2:$LP$60=J$4)*(GMWQ!$LR$2:$LR$60=J$1),0),$B96-1966)</f>
        <v>21787</v>
      </c>
      <c r="K96" s="7" cm="1">
        <f t="array" ref="K96">INDEX(GMWQ!$A$2:$LR$60,MATCH(1,(GMWQ!$LQ$2:$LQ$60=K$3)*(GMWQ!$LP$2:$LP$60=K$4)*(GMWQ!$LR$2:$LR$60=K$1),0),$B96-1966)</f>
        <v>6.625</v>
      </c>
      <c r="L96" s="7" cm="1">
        <f t="array" ref="L96">INDEX(GMWQ!$A$2:$LR$60,MATCH(1,(GMWQ!$LQ$2:$LQ$60=L$3)*(GMWQ!$LP$2:$LP$60=L$4)*(GMWQ!$LR$2:$LR$60=L$1),0),$B96-1966)</f>
        <v>8.6999999999999993</v>
      </c>
      <c r="M96" s="7" cm="1">
        <f t="array" ref="M96">INDEX(GMWQ!$A$2:$LR$60,MATCH(1,(GMWQ!$LQ$2:$LQ$60=M$3)*(GMWQ!$LP$2:$LP$60=M$4)*(GMWQ!$LR$2:$LR$60=M$1),0),$B96-1966)</f>
        <v>29.566659999999999</v>
      </c>
      <c r="N96" s="7" cm="1">
        <f t="array" ref="N96">INDEX(GMWQ!$A$2:$LR$60,MATCH(1,(GMWQ!$LQ$2:$LQ$60=N$3)*(GMWQ!$LP$2:$LP$60=N$4)*(GMWQ!$LR$2:$LR$60=N$1),0),$B96-1966)</f>
        <v>8575</v>
      </c>
      <c r="O96" s="7" cm="1">
        <f t="array" ref="O96">INDEX(GMWQ!$A$2:$LR$60,MATCH(1,(GMWQ!$LQ$2:$LQ$60=O$3)*(GMWQ!$LP$2:$LP$60=O$4)*(GMWQ!$LR$2:$LR$60=O$1),0),$B96-1966)</f>
        <v>7947</v>
      </c>
      <c r="P96" s="7" cm="1">
        <f t="array" ref="P96">INDEX(GMWQ!$A$2:$LR$60,MATCH(1,(GMWQ!$LQ$2:$LQ$60=P$3)*(GMWQ!$LP$2:$LP$60=P$4)*(GMWQ!$LR$2:$LR$60=P$1),0),$B96-1966)</f>
        <v>143287</v>
      </c>
      <c r="Q96" s="7" cm="1">
        <f t="array" ref="Q96">INDEX(GMWQ!$A$2:$LR$60,MATCH(1,(GMWQ!$LQ$2:$LQ$60=Q$3)*(GMWQ!$LP$2:$LP$60=Q$4)*(GMWQ!$LR$2:$LR$60=Q$1),0),$B96-1966)</f>
        <v>7.95</v>
      </c>
      <c r="R96" s="7" cm="1">
        <f t="array" ref="R96">INDEX(GMWQ!$A$2:$LR$60,MATCH(1,(GMWQ!$LQ$2:$LQ$60=R$3)*(GMWQ!$LP$2:$LP$60=R$4)*(GMWQ!$LR$2:$LR$60=R$1),0),$B96-1966)</f>
        <v>214794</v>
      </c>
      <c r="S96" s="7" cm="1">
        <f t="array" ref="S96">INDEX(GMWQ!$A$2:$LR$60,MATCH(1,(GMWQ!$LQ$2:$LQ$60=S$3)*(GMWQ!$LP$2:$LP$60=S$4)*(GMWQ!$LR$2:$LR$60=S$1),0),$B96-1966)</f>
        <v>289</v>
      </c>
      <c r="T96" s="7" cm="1">
        <f t="array" ref="T96">INDEX(GMWQ!$A$2:$LR$60,MATCH(1,(GMWQ!$LQ$2:$LQ$60=T$3)*(GMWQ!$LP$2:$LP$60=T$4)*(GMWQ!$LR$2:$LR$60=T$1),0),$B96-1966)</f>
        <v>13937</v>
      </c>
      <c r="U96" s="7" cm="1">
        <f t="array" ref="U96">INDEX(GMWQ!$A$2:$LR$60,MATCH(1,(GMWQ!$LQ$2:$LQ$60=U$3)*(GMWQ!$LP$2:$LP$60=U$4)*(GMWQ!$LR$2:$LR$60=U$1),0),$B96-1966)</f>
        <v>3696</v>
      </c>
      <c r="V96" s="7" cm="1">
        <f t="array" ref="V96">INDEX(GMWQ!$A$2:$LR$60,MATCH(1,(GMWQ!$LQ$2:$LQ$60=V$3)*(GMWQ!$LP$2:$LP$60=V$4)*(GMWQ!$LR$2:$LR$60=V$1),0),$B96-1966)</f>
        <v>3.5749559999999998E-3</v>
      </c>
      <c r="W96" s="7" cm="1">
        <f t="array" ref="W96">INDEX(GMWQ!$A$2:$LR$60,MATCH(1,(GMWQ!$LQ$2:$LQ$60=W$3)*(GMWQ!$LP$2:$LP$60=W$4)*(GMWQ!$LR$2:$LR$60=W$1),0),$B96-1966)</f>
        <v>13.644729999999999</v>
      </c>
      <c r="X96" s="7" cm="1">
        <f t="array" ref="X96">INDEX(GMWQ!$A$2:$LR$60,MATCH(1,(GMWQ!$LQ$2:$LQ$60=X$3)*(GMWQ!$LP$2:$LP$60=X$4)*(GMWQ!$LR$2:$LR$60=X$1),0),$B96-1966)</f>
        <v>1093936</v>
      </c>
      <c r="Y96" s="7" cm="1">
        <f t="array" ref="Y96">INDEX(GMWQ!$A$2:$LR$60,MATCH(1,(GMWQ!$LQ$2:$LQ$60=Y$3)*(GMWQ!$LP$2:$LP$60=Y$4)*(GMWQ!$LR$2:$LR$60=Y$1),0),$B96-1966)</f>
        <v>62.575679999999998</v>
      </c>
      <c r="Z96" s="7" cm="1">
        <f t="array" ref="Z96">INDEX(GMWQ!$A$2:$LR$60,MATCH(1,(GMWQ!$LQ$2:$LQ$60=Z$3)*(GMWQ!$LP$2:$LP$60=Z$4)*(GMWQ!$LR$2:$LR$60=Z$1),0),$B96-1966)</f>
        <v>342766.9</v>
      </c>
      <c r="AA96" s="7" cm="1">
        <f t="array" ref="AA96">INDEX(GMWQ!$A$2:$LR$60,MATCH(1,(GMWQ!$LQ$2:$LQ$60=AA$3)*(GMWQ!$LP$2:$LP$60=AA$4)*(GMWQ!$LR$2:$LR$60=AA$1),0),$B96-1966)</f>
        <v>66026</v>
      </c>
      <c r="AB96" s="7" cm="1">
        <f t="array" ref="AB96">INDEX(GMWQ!$A$2:$LR$60,MATCH(1,(GMWQ!$LQ$2:$LQ$60=AB$3)*(GMWQ!$LP$2:$LP$60=AB$4)*(GMWQ!$LR$2:$LR$60=AB$1),0),$B96-1966)</f>
        <v>72213</v>
      </c>
      <c r="AC96" s="7" cm="1">
        <f t="array" ref="AC96">INDEX(GMWQ!$A$2:$LR$60,MATCH(1,(GMWQ!$LQ$2:$LQ$60=AC$3)*(GMWQ!$LP$2:$LP$60=AC$4)*(GMWQ!$LR$2:$LR$60=AC$1),0),$B96-1966)</f>
        <v>532</v>
      </c>
      <c r="AD96" s="7" cm="1">
        <f t="array" ref="AD96">INDEX(GMWQ!$A$2:$LR$60,MATCH(1,(GMWQ!$LQ$2:$LQ$60=AD$3)*(GMWQ!$LP$2:$LP$60=AD$4)*(GMWQ!$LR$2:$LR$60=AD$1),0),$B96-1966)</f>
        <v>5388</v>
      </c>
      <c r="AE96" s="7" cm="1">
        <f t="array" ref="AE96">INDEX(GMWQ!$A$2:$LR$60,MATCH(1,(GMWQ!$LQ$2:$LQ$60=AE$3)*(GMWQ!$LP$2:$LP$60=AE$4)*(GMWQ!$LR$2:$LR$60=AE$1),0),$B96-1966)</f>
        <v>210748</v>
      </c>
      <c r="AF96" s="20" cm="1">
        <f t="array" ref="AF96">INDEX(GMWQ!$A$2:$LR$60,MATCH(1,(GMWQ!$LQ$2:$LQ$60=AF$3)*(GMWQ!$LP$2:$LP$60=AF$4)*(GMWQ!$LR$2:$LR$60=AF$1),0),$B96-1966)</f>
        <v>6.625</v>
      </c>
      <c r="AG96" s="20" cm="1">
        <f t="array" ref="AG96">INDEX(GMWQ!$A$2:$LR$60,MATCH(1,(GMWQ!$LQ$2:$LQ$60=AG$3)*(GMWQ!$LP$2:$LP$60=AG$4)*(GMWQ!$LR$2:$LR$60=AG$1),0),$B96-1966)</f>
        <v>-628</v>
      </c>
      <c r="AI96" s="23" cm="1">
        <f t="array" ref="AI96">INDEX(GMWQ!$A$2:$LR$60,MATCH(1,(GMWQ!$LQ$2:$LQ$60=AI$3)*(GMWQ!$LP$2:$LP$60=AI$4)*(GMWQ!$LR$2:$LR$60=AI$1),0),$B96-1966)</f>
        <v>143287</v>
      </c>
      <c r="AJ96" s="23" cm="1">
        <f t="array" ref="AJ96">INDEX(GMWQ!$A$2:$LR$60,MATCH(1,(GMWQ!$LQ$2:$LQ$60=AJ$3)*(GMWQ!$LP$2:$LP$60=AJ$4)*(GMWQ!$LR$2:$LR$60=AJ$1),0),$B96-1966)</f>
        <v>67.408619999999999</v>
      </c>
      <c r="AK96" s="23" cm="1">
        <f t="array" ref="AK96">INDEX(GMWQ!$A$2:$LR$60,MATCH(1,(GMWQ!$LQ$2:$LQ$60=AK$3)*(GMWQ!$LP$2:$LP$60=AK$4)*(GMWQ!$LR$2:$LR$60=AK$1),0),$B96-1966)</f>
        <v>83079</v>
      </c>
      <c r="AL96" s="23" cm="1">
        <f t="array" ref="AL96">INDEX(GMWQ!$A$2:$LR$60,MATCH(1,(GMWQ!$LQ$2:$LQ$60=AL$3)*(GMWQ!$LP$2:$LP$60=AL$4)*(GMWQ!$LR$2:$LR$60=AL$1),0),$B96-1966)</f>
        <v>3813.2370000000001</v>
      </c>
      <c r="AM96" s="23" cm="1">
        <f t="array" ref="AM96">INDEX(GMWQ!$A$2:$LR$60,MATCH(1,(GMWQ!$LQ$2:$LQ$60=AM$3)*(GMWQ!$LP$2:$LP$60=AM$4)*(GMWQ!$LR$2:$LR$60=AM$1),0),$B96-1966)</f>
        <v>21787</v>
      </c>
      <c r="AN96" s="23" cm="1">
        <f t="array" ref="AN96">INDEX(GMWQ!$A$2:$LR$60,MATCH(1,(GMWQ!$LQ$2:$LQ$60=AN$3)*(GMWQ!$LP$2:$LP$60=AN$4)*(GMWQ!$LR$2:$LR$60=AN$1),0),$B96-1966)</f>
        <v>18791</v>
      </c>
      <c r="AO96" s="23" cm="1">
        <f t="array" ref="AO96">INDEX(GMWQ!$A$2:$LR$60,MATCH(1,(GMWQ!$LQ$2:$LQ$60=AO$3)*(GMWQ!$LP$2:$LP$60=AO$4)*(GMWQ!$LR$2:$LR$60=AO$1),0),$B96-1966)</f>
        <v>5557</v>
      </c>
      <c r="AP96" s="23" cm="1">
        <f t="array" ref="AP96">INDEX(GMWQ!$A$2:$LR$60,MATCH(1,(GMWQ!$LQ$2:$LQ$60=AP$3)*(GMWQ!$LP$2:$LP$60=AP$4)*(GMWQ!$LR$2:$LR$60=AP$1),0),$B96-1966)</f>
        <v>-628</v>
      </c>
      <c r="AQ96" s="23" cm="1">
        <f t="array" ref="AQ96">INDEX(GMWQ!$A$2:$LR$60,MATCH(1,(GMWQ!$LQ$2:$LQ$60=AQ$3)*(GMWQ!$LP$2:$LP$60=AQ$4)*(GMWQ!$LR$2:$LR$60=AQ$1),0),$B96-1966)</f>
        <v>23825</v>
      </c>
      <c r="AR96" s="23" cm="1">
        <f t="array" ref="AR96">INDEX(GMWQ!$A$2:$LR$60,MATCH(1,(GMWQ!$LQ$2:$LQ$60=AR$3)*(GMWQ!$LP$2:$LP$60=AR$4)*(GMWQ!$LR$2:$LR$60=AR$1),0),$B96-1966)</f>
        <v>131676</v>
      </c>
      <c r="AS96" s="23" cm="1">
        <f t="array" ref="AS96">INDEX(GMWQ!$A$2:$LR$60,MATCH(1,(GMWQ!$LQ$2:$LQ$60=AS$3)*(GMWQ!$LP$2:$LP$60=AS$4)*(GMWQ!$LR$2:$LR$60=AS$1),0),$B96-1966)</f>
        <v>2860</v>
      </c>
      <c r="AT96" s="23" cm="1">
        <f t="array" ref="AT96">INDEX(GMWQ!$A$2:$LR$60,MATCH(1,(GMWQ!$LQ$2:$LQ$60=AT$3)*(GMWQ!$LP$2:$LP$60=AT$4)*(GMWQ!$LR$2:$LR$60=AT$1),0),$B96-1966)</f>
        <v>195340</v>
      </c>
      <c r="AU96" s="23" cm="1">
        <f t="array" ref="AU96">INDEX(GMWQ!$A$2:$LR$60,MATCH(1,(GMWQ!$LQ$2:$LQ$60=AU$3)*(GMWQ!$LP$2:$LP$60=AU$4)*(GMWQ!$LR$2:$LR$60=AU$1),0),$B96-1966)</f>
        <v>6742</v>
      </c>
    </row>
    <row r="97" spans="1:47" x14ac:dyDescent="0.35">
      <c r="B97" s="7">
        <f t="shared" si="2"/>
        <v>2063</v>
      </c>
      <c r="C97" s="7" cm="1">
        <f t="array" ref="C97">INDEX(GMWQ!$A$2:$LR$60,MATCH(1,(GMWQ!$LQ$2:$LQ$60=C$3)*(GMWQ!$LP$2:$LP$60=C$4)*(GMWQ!$LR$2:$LR$60=C$1),0),$B97-1966)</f>
        <v>340542</v>
      </c>
      <c r="D97" s="7" cm="1">
        <f t="array" ref="D97">INDEX(GMWQ!$A$2:$LR$60,MATCH(1,(GMWQ!$LQ$2:$LQ$60=D$3)*(GMWQ!$LP$2:$LP$60=D$4)*(GMWQ!$LR$2:$LR$60=D$1),0),$B97-1966)</f>
        <v>240.27940000000001</v>
      </c>
      <c r="E97" s="7" cm="1">
        <f t="array" ref="E97">INDEX(GMWQ!$A$2:$LR$60,MATCH(1,(GMWQ!$LQ$2:$LQ$60=E$3)*(GMWQ!$LP$2:$LP$60=E$4)*(GMWQ!$LR$2:$LR$60=E$1),0),$B97-1966)</f>
        <v>67.400000000000006</v>
      </c>
      <c r="F97" s="7" cm="1">
        <f t="array" ref="F97">INDEX(GMWQ!$A$2:$LR$60,MATCH(1,(GMWQ!$LQ$2:$LQ$60=F$3)*(GMWQ!$LP$2:$LP$60=F$4)*(GMWQ!$LR$2:$LR$60=F$1),0),$B97-1966)</f>
        <v>83880</v>
      </c>
      <c r="G97" s="7" cm="1">
        <f t="array" ref="G97">INDEX(GMWQ!$A$2:$LR$60,MATCH(1,(GMWQ!$LQ$2:$LQ$60=G$3)*(GMWQ!$LP$2:$LP$60=G$4)*(GMWQ!$LR$2:$LR$60=G$1),0),$B97-1966)</f>
        <v>18221</v>
      </c>
      <c r="H97" s="7" cm="1">
        <f t="array" ref="H97">INDEX(GMWQ!$A$2:$LR$60,MATCH(1,(GMWQ!$LQ$2:$LQ$60=H$3)*(GMWQ!$LP$2:$LP$60=H$4)*(GMWQ!$LR$2:$LR$60=H$1),0),$B97-1966)</f>
        <v>5561</v>
      </c>
      <c r="I97" s="7" cm="1">
        <f t="array" ref="I97">INDEX(GMWQ!$A$2:$LR$60,MATCH(1,(GMWQ!$LQ$2:$LQ$60=I$3)*(GMWQ!$LP$2:$LP$60=I$4)*(GMWQ!$LR$2:$LR$60=I$1),0),$B97-1966)</f>
        <v>68.489069999999998</v>
      </c>
      <c r="J97" s="7" cm="1">
        <f t="array" ref="J97">INDEX(GMWQ!$A$2:$LR$60,MATCH(1,(GMWQ!$LQ$2:$LQ$60=J$3)*(GMWQ!$LP$2:$LP$60=J$4)*(GMWQ!$LR$2:$LR$60=J$1),0),$B97-1966)</f>
        <v>21925</v>
      </c>
      <c r="K97" s="7" cm="1">
        <f t="array" ref="K97">INDEX(GMWQ!$A$2:$LR$60,MATCH(1,(GMWQ!$LQ$2:$LQ$60=K$3)*(GMWQ!$LP$2:$LP$60=K$4)*(GMWQ!$LR$2:$LR$60=K$1),0),$B97-1966)</f>
        <v>6.625</v>
      </c>
      <c r="L97" s="7" cm="1">
        <f t="array" ref="L97">INDEX(GMWQ!$A$2:$LR$60,MATCH(1,(GMWQ!$LQ$2:$LQ$60=L$3)*(GMWQ!$LP$2:$LP$60=L$4)*(GMWQ!$LR$2:$LR$60=L$1),0),$B97-1966)</f>
        <v>8.6</v>
      </c>
      <c r="M97" s="7" cm="1">
        <f t="array" ref="M97">INDEX(GMWQ!$A$2:$LR$60,MATCH(1,(GMWQ!$LQ$2:$LQ$60=M$3)*(GMWQ!$LP$2:$LP$60=M$4)*(GMWQ!$LR$2:$LR$60=M$1),0),$B97-1966)</f>
        <v>29.634460000000001</v>
      </c>
      <c r="N97" s="7" cm="1">
        <f t="array" ref="N97">INDEX(GMWQ!$A$2:$LR$60,MATCH(1,(GMWQ!$LQ$2:$LQ$60=N$3)*(GMWQ!$LP$2:$LP$60=N$4)*(GMWQ!$LR$2:$LR$60=N$1),0),$B97-1966)</f>
        <v>8424</v>
      </c>
      <c r="O97" s="7" cm="1">
        <f t="array" ref="O97">INDEX(GMWQ!$A$2:$LR$60,MATCH(1,(GMWQ!$LQ$2:$LQ$60=O$3)*(GMWQ!$LP$2:$LP$60=O$4)*(GMWQ!$LR$2:$LR$60=O$1),0),$B97-1966)</f>
        <v>7881</v>
      </c>
      <c r="P97" s="7" cm="1">
        <f t="array" ref="P97">INDEX(GMWQ!$A$2:$LR$60,MATCH(1,(GMWQ!$LQ$2:$LQ$60=P$3)*(GMWQ!$LP$2:$LP$60=P$4)*(GMWQ!$LR$2:$LR$60=P$1),0),$B97-1966)</f>
        <v>146426</v>
      </c>
      <c r="Q97" s="7" cm="1">
        <f t="array" ref="Q97">INDEX(GMWQ!$A$2:$LR$60,MATCH(1,(GMWQ!$LQ$2:$LQ$60=Q$3)*(GMWQ!$LP$2:$LP$60=Q$4)*(GMWQ!$LR$2:$LR$60=Q$1),0),$B97-1966)</f>
        <v>7.9</v>
      </c>
      <c r="R97" s="7" cm="1">
        <f t="array" ref="R97">INDEX(GMWQ!$A$2:$LR$60,MATCH(1,(GMWQ!$LQ$2:$LQ$60=R$3)*(GMWQ!$LP$2:$LP$60=R$4)*(GMWQ!$LR$2:$LR$60=R$1),0),$B97-1966)</f>
        <v>222805</v>
      </c>
      <c r="S97" s="7" cm="1">
        <f t="array" ref="S97">INDEX(GMWQ!$A$2:$LR$60,MATCH(1,(GMWQ!$LQ$2:$LQ$60=S$3)*(GMWQ!$LP$2:$LP$60=S$4)*(GMWQ!$LR$2:$LR$60=S$1),0),$B97-1966)</f>
        <v>275</v>
      </c>
      <c r="T97" s="7" cm="1">
        <f t="array" ref="T97">INDEX(GMWQ!$A$2:$LR$60,MATCH(1,(GMWQ!$LQ$2:$LQ$60=T$3)*(GMWQ!$LP$2:$LP$60=T$4)*(GMWQ!$LR$2:$LR$60=T$1),0),$B97-1966)</f>
        <v>13804</v>
      </c>
      <c r="U97" s="7" cm="1">
        <f t="array" ref="U97">INDEX(GMWQ!$A$2:$LR$60,MATCH(1,(GMWQ!$LQ$2:$LQ$60=U$3)*(GMWQ!$LP$2:$LP$60=U$4)*(GMWQ!$LR$2:$LR$60=U$1),0),$B97-1966)</f>
        <v>3271</v>
      </c>
      <c r="V97" s="7" cm="1">
        <f t="array" ref="V97">INDEX(GMWQ!$A$2:$LR$60,MATCH(1,(GMWQ!$LQ$2:$LQ$60=V$3)*(GMWQ!$LP$2:$LP$60=V$4)*(GMWQ!$LR$2:$LR$60=V$1),0),$B97-1966)</f>
        <v>3.7787820000000001E-3</v>
      </c>
      <c r="W97" s="7" cm="1">
        <f t="array" ref="W97">INDEX(GMWQ!$A$2:$LR$60,MATCH(1,(GMWQ!$LQ$2:$LQ$60=W$3)*(GMWQ!$LP$2:$LP$60=W$4)*(GMWQ!$LR$2:$LR$60=W$1),0),$B97-1966)</f>
        <v>12.81485</v>
      </c>
      <c r="X97" s="7" cm="1">
        <f t="array" ref="X97">INDEX(GMWQ!$A$2:$LR$60,MATCH(1,(GMWQ!$LQ$2:$LQ$60=X$3)*(GMWQ!$LP$2:$LP$60=X$4)*(GMWQ!$LR$2:$LR$60=X$1),0),$B97-1966)</f>
        <v>1107742</v>
      </c>
      <c r="Y97" s="7" cm="1">
        <f t="array" ref="Y97">INDEX(GMWQ!$A$2:$LR$60,MATCH(1,(GMWQ!$LQ$2:$LQ$60=Y$3)*(GMWQ!$LP$2:$LP$60=Y$4)*(GMWQ!$LR$2:$LR$60=Y$1),0),$B97-1966)</f>
        <v>63.021889999999999</v>
      </c>
      <c r="Z97" s="7" cm="1">
        <f t="array" ref="Z97">INDEX(GMWQ!$A$2:$LR$60,MATCH(1,(GMWQ!$LQ$2:$LQ$60=Z$3)*(GMWQ!$LP$2:$LP$60=Z$4)*(GMWQ!$LR$2:$LR$60=Z$1),0),$B97-1966)</f>
        <v>344755.8</v>
      </c>
      <c r="AA97" s="7" cm="1">
        <f t="array" ref="AA97">INDEX(GMWQ!$A$2:$LR$60,MATCH(1,(GMWQ!$LQ$2:$LQ$60=AA$3)*(GMWQ!$LP$2:$LP$60=AA$4)*(GMWQ!$LR$2:$LR$60=AA$1),0),$B97-1966)</f>
        <v>69368</v>
      </c>
      <c r="AB97" s="7" cm="1">
        <f t="array" ref="AB97">INDEX(GMWQ!$A$2:$LR$60,MATCH(1,(GMWQ!$LQ$2:$LQ$60=AB$3)*(GMWQ!$LP$2:$LP$60=AB$4)*(GMWQ!$LR$2:$LR$60=AB$1),0),$B97-1966)</f>
        <v>73076</v>
      </c>
      <c r="AC97" s="7" cm="1">
        <f t="array" ref="AC97">INDEX(GMWQ!$A$2:$LR$60,MATCH(1,(GMWQ!$LQ$2:$LQ$60=AC$3)*(GMWQ!$LP$2:$LP$60=AC$4)*(GMWQ!$LR$2:$LR$60=AC$1),0),$B97-1966)</f>
        <v>1263</v>
      </c>
      <c r="AD97" s="7" cm="1">
        <f t="array" ref="AD97">INDEX(GMWQ!$A$2:$LR$60,MATCH(1,(GMWQ!$LQ$2:$LQ$60=AD$3)*(GMWQ!$LP$2:$LP$60=AD$4)*(GMWQ!$LR$2:$LR$60=AD$1),0),$B97-1966)</f>
        <v>5455</v>
      </c>
      <c r="AE97" s="7" cm="1">
        <f t="array" ref="AE97">INDEX(GMWQ!$A$2:$LR$60,MATCH(1,(GMWQ!$LQ$2:$LQ$60=AE$3)*(GMWQ!$LP$2:$LP$60=AE$4)*(GMWQ!$LR$2:$LR$60=AE$1),0),$B97-1966)</f>
        <v>214616</v>
      </c>
      <c r="AF97" s="20" cm="1">
        <f t="array" ref="AF97">INDEX(GMWQ!$A$2:$LR$60,MATCH(1,(GMWQ!$LQ$2:$LQ$60=AF$3)*(GMWQ!$LP$2:$LP$60=AF$4)*(GMWQ!$LR$2:$LR$60=AF$1),0),$B97-1966)</f>
        <v>6.625</v>
      </c>
      <c r="AG97" s="20" cm="1">
        <f t="array" ref="AG97">INDEX(GMWQ!$A$2:$LR$60,MATCH(1,(GMWQ!$LQ$2:$LQ$60=AG$3)*(GMWQ!$LP$2:$LP$60=AG$4)*(GMWQ!$LR$2:$LR$60=AG$1),0),$B97-1966)</f>
        <v>-543</v>
      </c>
      <c r="AI97" s="23" cm="1">
        <f t="array" ref="AI97">INDEX(GMWQ!$A$2:$LR$60,MATCH(1,(GMWQ!$LQ$2:$LQ$60=AI$3)*(GMWQ!$LP$2:$LP$60=AI$4)*(GMWQ!$LR$2:$LR$60=AI$1),0),$B97-1966)</f>
        <v>146426</v>
      </c>
      <c r="AJ97" s="23" cm="1">
        <f t="array" ref="AJ97">INDEX(GMWQ!$A$2:$LR$60,MATCH(1,(GMWQ!$LQ$2:$LQ$60=AJ$3)*(GMWQ!$LP$2:$LP$60=AJ$4)*(GMWQ!$LR$2:$LR$60=AJ$1),0),$B97-1966)</f>
        <v>68.489069999999998</v>
      </c>
      <c r="AK97" s="23" cm="1">
        <f t="array" ref="AK97">INDEX(GMWQ!$A$2:$LR$60,MATCH(1,(GMWQ!$LQ$2:$LQ$60=AK$3)*(GMWQ!$LP$2:$LP$60=AK$4)*(GMWQ!$LR$2:$LR$60=AK$1),0),$B97-1966)</f>
        <v>83880</v>
      </c>
      <c r="AL97" s="23" cm="1">
        <f t="array" ref="AL97">INDEX(GMWQ!$A$2:$LR$60,MATCH(1,(GMWQ!$LQ$2:$LQ$60=AL$3)*(GMWQ!$LP$2:$LP$60=AL$4)*(GMWQ!$LR$2:$LR$60=AL$1),0),$B97-1966)</f>
        <v>3825.77</v>
      </c>
      <c r="AM97" s="23" cm="1">
        <f t="array" ref="AM97">INDEX(GMWQ!$A$2:$LR$60,MATCH(1,(GMWQ!$LQ$2:$LQ$60=AM$3)*(GMWQ!$LP$2:$LP$60=AM$4)*(GMWQ!$LR$2:$LR$60=AM$1),0),$B97-1966)</f>
        <v>21925</v>
      </c>
      <c r="AN97" s="23" cm="1">
        <f t="array" ref="AN97">INDEX(GMWQ!$A$2:$LR$60,MATCH(1,(GMWQ!$LQ$2:$LQ$60=AN$3)*(GMWQ!$LP$2:$LP$60=AN$4)*(GMWQ!$LR$2:$LR$60=AN$1),0),$B97-1966)</f>
        <v>18221</v>
      </c>
      <c r="AO97" s="23" cm="1">
        <f t="array" ref="AO97">INDEX(GMWQ!$A$2:$LR$60,MATCH(1,(GMWQ!$LQ$2:$LQ$60=AO$3)*(GMWQ!$LP$2:$LP$60=AO$4)*(GMWQ!$LR$2:$LR$60=AO$1),0),$B97-1966)</f>
        <v>5561</v>
      </c>
      <c r="AP97" s="23" cm="1">
        <f t="array" ref="AP97">INDEX(GMWQ!$A$2:$LR$60,MATCH(1,(GMWQ!$LQ$2:$LQ$60=AP$3)*(GMWQ!$LP$2:$LP$60=AP$4)*(GMWQ!$LR$2:$LR$60=AP$1),0),$B97-1966)</f>
        <v>-543</v>
      </c>
      <c r="AQ97" s="23" cm="1">
        <f t="array" ref="AQ97">INDEX(GMWQ!$A$2:$LR$60,MATCH(1,(GMWQ!$LQ$2:$LQ$60=AQ$3)*(GMWQ!$LP$2:$LP$60=AQ$4)*(GMWQ!$LR$2:$LR$60=AQ$1),0),$B97-1966)</f>
        <v>23634</v>
      </c>
      <c r="AR97" s="23" cm="1">
        <f t="array" ref="AR97">INDEX(GMWQ!$A$2:$LR$60,MATCH(1,(GMWQ!$LQ$2:$LQ$60=AR$3)*(GMWQ!$LP$2:$LP$60=AR$4)*(GMWQ!$LR$2:$LR$60=AR$1),0),$B97-1966)</f>
        <v>134355</v>
      </c>
      <c r="AS97" s="23" cm="1">
        <f t="array" ref="AS97">INDEX(GMWQ!$A$2:$LR$60,MATCH(1,(GMWQ!$LQ$2:$LQ$60=AS$3)*(GMWQ!$LP$2:$LP$60=AS$4)*(GMWQ!$LR$2:$LR$60=AS$1),0),$B97-1966)</f>
        <v>2430</v>
      </c>
      <c r="AT97" s="23" cm="1">
        <f t="array" ref="AT97">INDEX(GMWQ!$A$2:$LR$60,MATCH(1,(GMWQ!$LQ$2:$LQ$60=AT$3)*(GMWQ!$LP$2:$LP$60=AT$4)*(GMWQ!$LR$2:$LR$60=AT$1),0),$B97-1966)</f>
        <v>196170</v>
      </c>
      <c r="AU97" s="23" cm="1">
        <f t="array" ref="AU97">INDEX(GMWQ!$A$2:$LR$60,MATCH(1,(GMWQ!$LQ$2:$LQ$60=AU$3)*(GMWQ!$LP$2:$LP$60=AU$4)*(GMWQ!$LR$2:$LR$60=AU$1),0),$B97-1966)</f>
        <v>6669</v>
      </c>
    </row>
    <row r="98" spans="1:47" x14ac:dyDescent="0.35">
      <c r="B98" s="7">
        <f t="shared" si="2"/>
        <v>2064</v>
      </c>
      <c r="C98" s="7" cm="1">
        <f t="array" ref="C98">INDEX(GMWQ!$A$2:$LR$60,MATCH(1,(GMWQ!$LQ$2:$LQ$60=C$3)*(GMWQ!$LP$2:$LP$60=C$4)*(GMWQ!$LR$2:$LR$60=C$1),0),$B98-1966)</f>
        <v>341602</v>
      </c>
      <c r="D98" s="7" cm="1">
        <f t="array" ref="D98">INDEX(GMWQ!$A$2:$LR$60,MATCH(1,(GMWQ!$LQ$2:$LQ$60=D$3)*(GMWQ!$LP$2:$LP$60=D$4)*(GMWQ!$LR$2:$LR$60=D$1),0),$B98-1966)</f>
        <v>241.90459999999999</v>
      </c>
      <c r="E98" s="7" cm="1">
        <f t="array" ref="E98">INDEX(GMWQ!$A$2:$LR$60,MATCH(1,(GMWQ!$LQ$2:$LQ$60=E$3)*(GMWQ!$LP$2:$LP$60=E$4)*(GMWQ!$LR$2:$LR$60=E$1),0),$B98-1966)</f>
        <v>67.733329999999995</v>
      </c>
      <c r="F98" s="7" cm="1">
        <f t="array" ref="F98">INDEX(GMWQ!$A$2:$LR$60,MATCH(1,(GMWQ!$LQ$2:$LQ$60=F$3)*(GMWQ!$LP$2:$LP$60=F$4)*(GMWQ!$LR$2:$LR$60=F$1),0),$B98-1966)</f>
        <v>85407</v>
      </c>
      <c r="G98" s="7" cm="1">
        <f t="array" ref="G98">INDEX(GMWQ!$A$2:$LR$60,MATCH(1,(GMWQ!$LQ$2:$LQ$60=G$3)*(GMWQ!$LP$2:$LP$60=G$4)*(GMWQ!$LR$2:$LR$60=G$1),0),$B98-1966)</f>
        <v>20093</v>
      </c>
      <c r="H98" s="7" cm="1">
        <f t="array" ref="H98">INDEX(GMWQ!$A$2:$LR$60,MATCH(1,(GMWQ!$LQ$2:$LQ$60=H$3)*(GMWQ!$LP$2:$LP$60=H$4)*(GMWQ!$LR$2:$LR$60=H$1),0),$B98-1966)</f>
        <v>5581</v>
      </c>
      <c r="I98" s="7" cm="1">
        <f t="array" ref="I98">INDEX(GMWQ!$A$2:$LR$60,MATCH(1,(GMWQ!$LQ$2:$LQ$60=I$3)*(GMWQ!$LP$2:$LP$60=I$4)*(GMWQ!$LR$2:$LR$60=I$1),0),$B98-1966)</f>
        <v>68.511840000000007</v>
      </c>
      <c r="J98" s="7" cm="1">
        <f t="array" ref="J98">INDEX(GMWQ!$A$2:$LR$60,MATCH(1,(GMWQ!$LQ$2:$LQ$60=J$3)*(GMWQ!$LP$2:$LP$60=J$4)*(GMWQ!$LR$2:$LR$60=J$1),0),$B98-1966)</f>
        <v>22070</v>
      </c>
      <c r="K98" s="7" cm="1">
        <f t="array" ref="K98">INDEX(GMWQ!$A$2:$LR$60,MATCH(1,(GMWQ!$LQ$2:$LQ$60=K$3)*(GMWQ!$LP$2:$LP$60=K$4)*(GMWQ!$LR$2:$LR$60=K$1),0),$B98-1966)</f>
        <v>6.375</v>
      </c>
      <c r="L98" s="7" cm="1">
        <f t="array" ref="L98">INDEX(GMWQ!$A$2:$LR$60,MATCH(1,(GMWQ!$LQ$2:$LQ$60=L$3)*(GMWQ!$LP$2:$LP$60=L$4)*(GMWQ!$LR$2:$LR$60=L$1),0),$B98-1966)</f>
        <v>8.3000000000000007</v>
      </c>
      <c r="M98" s="7" cm="1">
        <f t="array" ref="M98">INDEX(GMWQ!$A$2:$LR$60,MATCH(1,(GMWQ!$LQ$2:$LQ$60=M$3)*(GMWQ!$LP$2:$LP$60=M$4)*(GMWQ!$LR$2:$LR$60=M$1),0),$B98-1966)</f>
        <v>29.850180000000002</v>
      </c>
      <c r="N98" s="7" cm="1">
        <f t="array" ref="N98">INDEX(GMWQ!$A$2:$LR$60,MATCH(1,(GMWQ!$LQ$2:$LQ$60=N$3)*(GMWQ!$LP$2:$LP$60=N$4)*(GMWQ!$LR$2:$LR$60=N$1),0),$B98-1966)</f>
        <v>8145</v>
      </c>
      <c r="O98" s="7" cm="1">
        <f t="array" ref="O98">INDEX(GMWQ!$A$2:$LR$60,MATCH(1,(GMWQ!$LQ$2:$LQ$60=O$3)*(GMWQ!$LP$2:$LP$60=O$4)*(GMWQ!$LR$2:$LR$60=O$1),0),$B98-1966)</f>
        <v>8013</v>
      </c>
      <c r="P98" s="7" cm="1">
        <f t="array" ref="P98">INDEX(GMWQ!$A$2:$LR$60,MATCH(1,(GMWQ!$LQ$2:$LQ$60=P$3)*(GMWQ!$LP$2:$LP$60=P$4)*(GMWQ!$LR$2:$LR$60=P$1),0),$B98-1966)</f>
        <v>147725</v>
      </c>
      <c r="Q98" s="7" cm="1">
        <f t="array" ref="Q98">INDEX(GMWQ!$A$2:$LR$60,MATCH(1,(GMWQ!$LQ$2:$LQ$60=Q$3)*(GMWQ!$LP$2:$LP$60=Q$4)*(GMWQ!$LR$2:$LR$60=Q$1),0),$B98-1966)</f>
        <v>7.48</v>
      </c>
      <c r="R98" s="7" cm="1">
        <f t="array" ref="R98">INDEX(GMWQ!$A$2:$LR$60,MATCH(1,(GMWQ!$LQ$2:$LQ$60=R$3)*(GMWQ!$LP$2:$LP$60=R$4)*(GMWQ!$LR$2:$LR$60=R$1),0),$B98-1966)</f>
        <v>244673</v>
      </c>
      <c r="S98" s="7" cm="1">
        <f t="array" ref="S98">INDEX(GMWQ!$A$2:$LR$60,MATCH(1,(GMWQ!$LQ$2:$LQ$60=S$3)*(GMWQ!$LP$2:$LP$60=S$4)*(GMWQ!$LR$2:$LR$60=S$1),0),$B98-1966)</f>
        <v>265</v>
      </c>
      <c r="T98" s="7" cm="1">
        <f t="array" ref="T98">INDEX(GMWQ!$A$2:$LR$60,MATCH(1,(GMWQ!$LQ$2:$LQ$60=T$3)*(GMWQ!$LP$2:$LP$60=T$4)*(GMWQ!$LR$2:$LR$60=T$1),0),$B98-1966)</f>
        <v>14619</v>
      </c>
      <c r="U98" s="7" cm="1">
        <f t="array" ref="U98">INDEX(GMWQ!$A$2:$LR$60,MATCH(1,(GMWQ!$LQ$2:$LQ$60=U$3)*(GMWQ!$LP$2:$LP$60=U$4)*(GMWQ!$LR$2:$LR$60=U$1),0),$B98-1966)</f>
        <v>3262</v>
      </c>
      <c r="V98" s="7" cm="1">
        <f t="array" ref="V98">INDEX(GMWQ!$A$2:$LR$60,MATCH(1,(GMWQ!$LQ$2:$LQ$60=V$3)*(GMWQ!$LP$2:$LP$60=V$4)*(GMWQ!$LR$2:$LR$60=V$1),0),$B98-1966)</f>
        <v>3.8560489999999998E-3</v>
      </c>
      <c r="W98" s="7" cm="1">
        <f t="array" ref="W98">INDEX(GMWQ!$A$2:$LR$60,MATCH(1,(GMWQ!$LQ$2:$LQ$60=W$3)*(GMWQ!$LP$2:$LP$60=W$4)*(GMWQ!$LR$2:$LR$60=W$1),0),$B98-1966)</f>
        <v>13.047840000000001</v>
      </c>
      <c r="X98" s="7" cm="1">
        <f t="array" ref="X98">INDEX(GMWQ!$A$2:$LR$60,MATCH(1,(GMWQ!$LQ$2:$LQ$60=X$3)*(GMWQ!$LP$2:$LP$60=X$4)*(GMWQ!$LR$2:$LR$60=X$1),0),$B98-1966)</f>
        <v>1122948</v>
      </c>
      <c r="Y98" s="7" cm="1">
        <f t="array" ref="Y98">INDEX(GMWQ!$A$2:$LR$60,MATCH(1,(GMWQ!$LQ$2:$LQ$60=Y$3)*(GMWQ!$LP$2:$LP$60=Y$4)*(GMWQ!$LR$2:$LR$60=Y$1),0),$B98-1966)</f>
        <v>63.765430000000002</v>
      </c>
      <c r="Z98" s="7" cm="1">
        <f t="array" ref="Z98">INDEX(GMWQ!$A$2:$LR$60,MATCH(1,(GMWQ!$LQ$2:$LQ$60=Z$3)*(GMWQ!$LP$2:$LP$60=Z$4)*(GMWQ!$LR$2:$LR$60=Z$1),0),$B98-1966)</f>
        <v>346989</v>
      </c>
      <c r="AA98" s="7" cm="1">
        <f t="array" ref="AA98">INDEX(GMWQ!$A$2:$LR$60,MATCH(1,(GMWQ!$LQ$2:$LQ$60=AA$3)*(GMWQ!$LP$2:$LP$60=AA$4)*(GMWQ!$LR$2:$LR$60=AA$1),0),$B98-1966)</f>
        <v>75774</v>
      </c>
      <c r="AB98" s="7" cm="1">
        <f t="array" ref="AB98">INDEX(GMWQ!$A$2:$LR$60,MATCH(1,(GMWQ!$LQ$2:$LQ$60=AB$3)*(GMWQ!$LP$2:$LP$60=AB$4)*(GMWQ!$LR$2:$LR$60=AB$1),0),$B98-1966)</f>
        <v>75411</v>
      </c>
      <c r="AC98" s="7" cm="1">
        <f t="array" ref="AC98">INDEX(GMWQ!$A$2:$LR$60,MATCH(1,(GMWQ!$LQ$2:$LQ$60=AC$3)*(GMWQ!$LP$2:$LP$60=AC$4)*(GMWQ!$LR$2:$LR$60=AC$1),0),$B98-1966)</f>
        <v>1296</v>
      </c>
      <c r="AD98" s="7" cm="1">
        <f t="array" ref="AD98">INDEX(GMWQ!$A$2:$LR$60,MATCH(1,(GMWQ!$LQ$2:$LQ$60=AD$3)*(GMWQ!$LP$2:$LP$60=AD$4)*(GMWQ!$LR$2:$LR$60=AD$1),0),$B98-1966)</f>
        <v>5523</v>
      </c>
      <c r="AE98" s="7" cm="1">
        <f t="array" ref="AE98">INDEX(GMWQ!$A$2:$LR$60,MATCH(1,(GMWQ!$LQ$2:$LQ$60=AE$3)*(GMWQ!$LP$2:$LP$60=AE$4)*(GMWQ!$LR$2:$LR$60=AE$1),0),$B98-1966)</f>
        <v>217824</v>
      </c>
      <c r="AF98" s="20" cm="1">
        <f t="array" ref="AF98">INDEX(GMWQ!$A$2:$LR$60,MATCH(1,(GMWQ!$LQ$2:$LQ$60=AF$3)*(GMWQ!$LP$2:$LP$60=AF$4)*(GMWQ!$LR$2:$LR$60=AF$1),0),$B98-1966)</f>
        <v>6.5750000000000002</v>
      </c>
      <c r="AG98" s="20" cm="1">
        <f t="array" ref="AG98">INDEX(GMWQ!$A$2:$LR$60,MATCH(1,(GMWQ!$LQ$2:$LQ$60=AG$3)*(GMWQ!$LP$2:$LP$60=AG$4)*(GMWQ!$LR$2:$LR$60=AG$1),0),$B98-1966)</f>
        <v>-132</v>
      </c>
      <c r="AI98" s="23" cm="1">
        <f t="array" ref="AI98">INDEX(GMWQ!$A$2:$LR$60,MATCH(1,(GMWQ!$LQ$2:$LQ$60=AI$3)*(GMWQ!$LP$2:$LP$60=AI$4)*(GMWQ!$LR$2:$LR$60=AI$1),0),$B98-1966)</f>
        <v>147725</v>
      </c>
      <c r="AJ98" s="23" cm="1">
        <f t="array" ref="AJ98">INDEX(GMWQ!$A$2:$LR$60,MATCH(1,(GMWQ!$LQ$2:$LQ$60=AJ$3)*(GMWQ!$LP$2:$LP$60=AJ$4)*(GMWQ!$LR$2:$LR$60=AJ$1),0),$B98-1966)</f>
        <v>68.511840000000007</v>
      </c>
      <c r="AK98" s="23" cm="1">
        <f t="array" ref="AK98">INDEX(GMWQ!$A$2:$LR$60,MATCH(1,(GMWQ!$LQ$2:$LQ$60=AK$3)*(GMWQ!$LP$2:$LP$60=AK$4)*(GMWQ!$LR$2:$LR$60=AK$1),0),$B98-1966)</f>
        <v>85407</v>
      </c>
      <c r="AL98" s="23" cm="1">
        <f t="array" ref="AL98">INDEX(GMWQ!$A$2:$LR$60,MATCH(1,(GMWQ!$LQ$2:$LQ$60=AL$3)*(GMWQ!$LP$2:$LP$60=AL$4)*(GMWQ!$LR$2:$LR$60=AL$1),0),$B98-1966)</f>
        <v>3869.8229999999999</v>
      </c>
      <c r="AM98" s="23" cm="1">
        <f t="array" ref="AM98">INDEX(GMWQ!$A$2:$LR$60,MATCH(1,(GMWQ!$LQ$2:$LQ$60=AM$3)*(GMWQ!$LP$2:$LP$60=AM$4)*(GMWQ!$LR$2:$LR$60=AM$1),0),$B98-1966)</f>
        <v>22070</v>
      </c>
      <c r="AN98" s="23" cm="1">
        <f t="array" ref="AN98">INDEX(GMWQ!$A$2:$LR$60,MATCH(1,(GMWQ!$LQ$2:$LQ$60=AN$3)*(GMWQ!$LP$2:$LP$60=AN$4)*(GMWQ!$LR$2:$LR$60=AN$1),0),$B98-1966)</f>
        <v>20093</v>
      </c>
      <c r="AO98" s="23" cm="1">
        <f t="array" ref="AO98">INDEX(GMWQ!$A$2:$LR$60,MATCH(1,(GMWQ!$LQ$2:$LQ$60=AO$3)*(GMWQ!$LP$2:$LP$60=AO$4)*(GMWQ!$LR$2:$LR$60=AO$1),0),$B98-1966)</f>
        <v>5581</v>
      </c>
      <c r="AP98" s="23" cm="1">
        <f t="array" ref="AP98">INDEX(GMWQ!$A$2:$LR$60,MATCH(1,(GMWQ!$LQ$2:$LQ$60=AP$3)*(GMWQ!$LP$2:$LP$60=AP$4)*(GMWQ!$LR$2:$LR$60=AP$1),0),$B98-1966)</f>
        <v>-132</v>
      </c>
      <c r="AQ98" s="23" cm="1">
        <f t="array" ref="AQ98">INDEX(GMWQ!$A$2:$LR$60,MATCH(1,(GMWQ!$LQ$2:$LQ$60=AQ$3)*(GMWQ!$LP$2:$LP$60=AQ$4)*(GMWQ!$LR$2:$LR$60=AQ$1),0),$B98-1966)</f>
        <v>23874</v>
      </c>
      <c r="AR98" s="23" cm="1">
        <f t="array" ref="AR98">INDEX(GMWQ!$A$2:$LR$60,MATCH(1,(GMWQ!$LQ$2:$LQ$60=AR$3)*(GMWQ!$LP$2:$LP$60=AR$4)*(GMWQ!$LR$2:$LR$60=AR$1),0),$B98-1966)</f>
        <v>135996</v>
      </c>
      <c r="AS98" s="23" cm="1">
        <f t="array" ref="AS98">INDEX(GMWQ!$A$2:$LR$60,MATCH(1,(GMWQ!$LQ$2:$LQ$60=AS$3)*(GMWQ!$LP$2:$LP$60=AS$4)*(GMWQ!$LR$2:$LR$60=AS$1),0),$B98-1966)</f>
        <v>2944</v>
      </c>
      <c r="AT98" s="23" cm="1">
        <f t="array" ref="AT98">INDEX(GMWQ!$A$2:$LR$60,MATCH(1,(GMWQ!$LQ$2:$LQ$60=AT$3)*(GMWQ!$LP$2:$LP$60=AT$4)*(GMWQ!$LR$2:$LR$60=AT$1),0),$B98-1966)</f>
        <v>198500</v>
      </c>
      <c r="AU98" s="23" cm="1">
        <f t="array" ref="AU98">INDEX(GMWQ!$A$2:$LR$60,MATCH(1,(GMWQ!$LQ$2:$LQ$60=AU$3)*(GMWQ!$LP$2:$LP$60=AU$4)*(GMWQ!$LR$2:$LR$60=AU$1),0),$B98-1966)</f>
        <v>6864</v>
      </c>
    </row>
    <row r="99" spans="1:47" x14ac:dyDescent="0.35">
      <c r="A99" s="7">
        <v>1996</v>
      </c>
      <c r="B99" s="7">
        <f t="shared" si="2"/>
        <v>2065</v>
      </c>
      <c r="C99" s="7" cm="1">
        <f t="array" ref="C99">INDEX(GMWQ!$A$2:$LR$60,MATCH(1,(GMWQ!$LQ$2:$LQ$60=C$3)*(GMWQ!$LP$2:$LP$60=C$4)*(GMWQ!$LR$2:$LR$60=C$1),0),$B99-1966)</f>
        <v>343859</v>
      </c>
      <c r="D99" s="7" cm="1">
        <f t="array" ref="D99">INDEX(GMWQ!$A$2:$LR$60,MATCH(1,(GMWQ!$LQ$2:$LQ$60=D$3)*(GMWQ!$LP$2:$LP$60=D$4)*(GMWQ!$LR$2:$LR$60=D$1),0),$B99-1966)</f>
        <v>241.40309999999999</v>
      </c>
      <c r="E99" s="7" cm="1">
        <f t="array" ref="E99">INDEX(GMWQ!$A$2:$LR$60,MATCH(1,(GMWQ!$LQ$2:$LQ$60=E$3)*(GMWQ!$LP$2:$LP$60=E$4)*(GMWQ!$LR$2:$LR$60=E$1),0),$B99-1966)</f>
        <v>68.099999999999994</v>
      </c>
      <c r="F99" s="7" cm="1">
        <f t="array" ref="F99">INDEX(GMWQ!$A$2:$LR$60,MATCH(1,(GMWQ!$LQ$2:$LQ$60=F$3)*(GMWQ!$LP$2:$LP$60=F$4)*(GMWQ!$LR$2:$LR$60=F$1),0),$B99-1966)</f>
        <v>85835</v>
      </c>
      <c r="G99" s="7" cm="1">
        <f t="array" ref="G99">INDEX(GMWQ!$A$2:$LR$60,MATCH(1,(GMWQ!$LQ$2:$LQ$60=G$3)*(GMWQ!$LP$2:$LP$60=G$4)*(GMWQ!$LR$2:$LR$60=G$1),0),$B99-1966)</f>
        <v>17479</v>
      </c>
      <c r="H99" s="7" cm="1">
        <f t="array" ref="H99">INDEX(GMWQ!$A$2:$LR$60,MATCH(1,(GMWQ!$LQ$2:$LQ$60=H$3)*(GMWQ!$LP$2:$LP$60=H$4)*(GMWQ!$LR$2:$LR$60=H$1),0),$B99-1966)</f>
        <v>5674</v>
      </c>
      <c r="I99" s="7" cm="1">
        <f t="array" ref="I99">INDEX(GMWQ!$A$2:$LR$60,MATCH(1,(GMWQ!$LQ$2:$LQ$60=I$3)*(GMWQ!$LP$2:$LP$60=I$4)*(GMWQ!$LR$2:$LR$60=I$1),0),$B99-1966)</f>
        <v>69.165459999999996</v>
      </c>
      <c r="J99" s="7" cm="1">
        <f t="array" ref="J99">INDEX(GMWQ!$A$2:$LR$60,MATCH(1,(GMWQ!$LQ$2:$LQ$60=J$3)*(GMWQ!$LP$2:$LP$60=J$4)*(GMWQ!$LR$2:$LR$60=J$1),0),$B99-1966)</f>
        <v>22110</v>
      </c>
      <c r="K99" s="7" cm="1">
        <f t="array" ref="K99">INDEX(GMWQ!$A$2:$LR$60,MATCH(1,(GMWQ!$LQ$2:$LQ$60=K$3)*(GMWQ!$LP$2:$LP$60=K$4)*(GMWQ!$LR$2:$LR$60=K$1),0),$B99-1966)</f>
        <v>5.9375</v>
      </c>
      <c r="L99" s="7" cm="1">
        <f t="array" ref="L99">INDEX(GMWQ!$A$2:$LR$60,MATCH(1,(GMWQ!$LQ$2:$LQ$60=L$3)*(GMWQ!$LP$2:$LP$60=L$4)*(GMWQ!$LR$2:$LR$60=L$1),0),$B99-1966)</f>
        <v>8.1999999999999993</v>
      </c>
      <c r="M99" s="7" cm="1">
        <f t="array" ref="M99">INDEX(GMWQ!$A$2:$LR$60,MATCH(1,(GMWQ!$LQ$2:$LQ$60=M$3)*(GMWQ!$LP$2:$LP$60=M$4)*(GMWQ!$LR$2:$LR$60=M$1),0),$B99-1966)</f>
        <v>29.84769</v>
      </c>
      <c r="N99" s="7" cm="1">
        <f t="array" ref="N99">INDEX(GMWQ!$A$2:$LR$60,MATCH(1,(GMWQ!$LQ$2:$LQ$60=N$3)*(GMWQ!$LP$2:$LP$60=N$4)*(GMWQ!$LR$2:$LR$60=N$1),0),$B99-1966)</f>
        <v>8006</v>
      </c>
      <c r="O99" s="7" cm="1">
        <f t="array" ref="O99">INDEX(GMWQ!$A$2:$LR$60,MATCH(1,(GMWQ!$LQ$2:$LQ$60=O$3)*(GMWQ!$LP$2:$LP$60=O$4)*(GMWQ!$LR$2:$LR$60=O$1),0),$B99-1966)</f>
        <v>7475</v>
      </c>
      <c r="P99" s="7" cm="1">
        <f t="array" ref="P99">INDEX(GMWQ!$A$2:$LR$60,MATCH(1,(GMWQ!$LQ$2:$LQ$60=P$3)*(GMWQ!$LP$2:$LP$60=P$4)*(GMWQ!$LR$2:$LR$60=P$1),0),$B99-1966)</f>
        <v>151630</v>
      </c>
      <c r="Q99" s="7" cm="1">
        <f t="array" ref="Q99">INDEX(GMWQ!$A$2:$LR$60,MATCH(1,(GMWQ!$LQ$2:$LQ$60=Q$3)*(GMWQ!$LP$2:$LP$60=Q$4)*(GMWQ!$LR$2:$LR$60=Q$1),0),$B99-1966)</f>
        <v>7.03</v>
      </c>
      <c r="R99" s="7" cm="1">
        <f t="array" ref="R99">INDEX(GMWQ!$A$2:$LR$60,MATCH(1,(GMWQ!$LQ$2:$LQ$60=R$3)*(GMWQ!$LP$2:$LP$60=R$4)*(GMWQ!$LR$2:$LR$60=R$1),0),$B99-1966)</f>
        <v>248007</v>
      </c>
      <c r="S99" s="7" cm="1">
        <f t="array" ref="S99">INDEX(GMWQ!$A$2:$LR$60,MATCH(1,(GMWQ!$LQ$2:$LQ$60=S$3)*(GMWQ!$LP$2:$LP$60=S$4)*(GMWQ!$LR$2:$LR$60=S$1),0),$B99-1966)</f>
        <v>280</v>
      </c>
      <c r="T99" s="7" cm="1">
        <f t="array" ref="T99">INDEX(GMWQ!$A$2:$LR$60,MATCH(1,(GMWQ!$LQ$2:$LQ$60=T$3)*(GMWQ!$LP$2:$LP$60=T$4)*(GMWQ!$LR$2:$LR$60=T$1),0),$B99-1966)</f>
        <v>16170</v>
      </c>
      <c r="U99" s="7" cm="1">
        <f t="array" ref="U99">INDEX(GMWQ!$A$2:$LR$60,MATCH(1,(GMWQ!$LQ$2:$LQ$60=U$3)*(GMWQ!$LP$2:$LP$60=U$4)*(GMWQ!$LR$2:$LR$60=U$1),0),$B99-1966)</f>
        <v>4048</v>
      </c>
      <c r="V99" s="7" cm="1">
        <f t="array" ref="V99">INDEX(GMWQ!$A$2:$LR$60,MATCH(1,(GMWQ!$LQ$2:$LQ$60=V$3)*(GMWQ!$LP$2:$LP$60=V$4)*(GMWQ!$LR$2:$LR$60=V$1),0),$B99-1966)</f>
        <v>3.410354E-3</v>
      </c>
      <c r="W99" s="7" cm="1">
        <f t="array" ref="W99">INDEX(GMWQ!$A$2:$LR$60,MATCH(1,(GMWQ!$LQ$2:$LQ$60=W$3)*(GMWQ!$LP$2:$LP$60=W$4)*(GMWQ!$LR$2:$LR$60=W$1),0),$B99-1966)</f>
        <v>11.515140000000001</v>
      </c>
      <c r="X99" s="7" cm="1">
        <f t="array" ref="X99">INDEX(GMWQ!$A$2:$LR$60,MATCH(1,(GMWQ!$LQ$2:$LQ$60=X$3)*(GMWQ!$LP$2:$LP$60=X$4)*(GMWQ!$LR$2:$LR$60=X$1),0),$B99-1966)</f>
        <v>1136325</v>
      </c>
      <c r="Y99" s="7" cm="1">
        <f t="array" ref="Y99">INDEX(GMWQ!$A$2:$LR$60,MATCH(1,(GMWQ!$LQ$2:$LQ$60=Y$3)*(GMWQ!$LP$2:$LP$60=Y$4)*(GMWQ!$LR$2:$LR$60=Y$1),0),$B99-1966)</f>
        <v>64.396450000000002</v>
      </c>
      <c r="Z99" s="7" cm="1">
        <f t="array" ref="Z99">INDEX(GMWQ!$A$2:$LR$60,MATCH(1,(GMWQ!$LQ$2:$LQ$60=Z$3)*(GMWQ!$LP$2:$LP$60=Z$4)*(GMWQ!$LR$2:$LR$60=Z$1),0),$B99-1966)</f>
        <v>348932</v>
      </c>
      <c r="AA99" s="7" cm="1">
        <f t="array" ref="AA99">INDEX(GMWQ!$A$2:$LR$60,MATCH(1,(GMWQ!$LQ$2:$LQ$60=AA$3)*(GMWQ!$LP$2:$LP$60=AA$4)*(GMWQ!$LR$2:$LR$60=AA$1),0),$B99-1966)</f>
        <v>76132</v>
      </c>
      <c r="AB99" s="7" cm="1">
        <f t="array" ref="AB99">INDEX(GMWQ!$A$2:$LR$60,MATCH(1,(GMWQ!$LQ$2:$LQ$60=AB$3)*(GMWQ!$LP$2:$LP$60=AB$4)*(GMWQ!$LR$2:$LR$60=AB$1),0),$B99-1966)</f>
        <v>73589</v>
      </c>
      <c r="AC99" s="7" cm="1">
        <f t="array" ref="AC99">INDEX(GMWQ!$A$2:$LR$60,MATCH(1,(GMWQ!$LQ$2:$LQ$60=AC$3)*(GMWQ!$LP$2:$LP$60=AC$4)*(GMWQ!$LR$2:$LR$60=AC$1),0),$B99-1966)</f>
        <v>3519</v>
      </c>
      <c r="AD99" s="7" cm="1">
        <f t="array" ref="AD99">INDEX(GMWQ!$A$2:$LR$60,MATCH(1,(GMWQ!$LQ$2:$LQ$60=AD$3)*(GMWQ!$LP$2:$LP$60=AD$4)*(GMWQ!$LR$2:$LR$60=AD$1),0),$B99-1966)</f>
        <v>5570</v>
      </c>
      <c r="AE99" s="7" cm="1">
        <f t="array" ref="AE99">INDEX(GMWQ!$A$2:$LR$60,MATCH(1,(GMWQ!$LQ$2:$LQ$60=AE$3)*(GMWQ!$LP$2:$LP$60=AE$4)*(GMWQ!$LR$2:$LR$60=AE$1),0),$B99-1966)</f>
        <v>221433</v>
      </c>
      <c r="AF99" s="20" cm="1">
        <f t="array" ref="AF99">INDEX(GMWQ!$A$2:$LR$60,MATCH(1,(GMWQ!$LQ$2:$LQ$60=AF$3)*(GMWQ!$LP$2:$LP$60=AF$4)*(GMWQ!$LR$2:$LR$60=AF$1),0),$B99-1966)</f>
        <v>6.1288460000000002</v>
      </c>
      <c r="AG99" s="20" cm="1">
        <f t="array" ref="AG99">INDEX(GMWQ!$A$2:$LR$60,MATCH(1,(GMWQ!$LQ$2:$LQ$60=AG$3)*(GMWQ!$LP$2:$LP$60=AG$4)*(GMWQ!$LR$2:$LR$60=AG$1),0),$B99-1966)</f>
        <v>-531</v>
      </c>
      <c r="AI99" s="23" cm="1">
        <f t="array" ref="AI99">INDEX(GMWQ!$A$2:$LR$60,MATCH(1,(GMWQ!$LQ$2:$LQ$60=AI$3)*(GMWQ!$LP$2:$LP$60=AI$4)*(GMWQ!$LR$2:$LR$60=AI$1),0),$B99-1966)</f>
        <v>151630</v>
      </c>
      <c r="AJ99" s="23" cm="1">
        <f t="array" ref="AJ99">INDEX(GMWQ!$A$2:$LR$60,MATCH(1,(GMWQ!$LQ$2:$LQ$60=AJ$3)*(GMWQ!$LP$2:$LP$60=AJ$4)*(GMWQ!$LR$2:$LR$60=AJ$1),0),$B99-1966)</f>
        <v>69.165459999999996</v>
      </c>
      <c r="AK99" s="23" cm="1">
        <f t="array" ref="AK99">INDEX(GMWQ!$A$2:$LR$60,MATCH(1,(GMWQ!$LQ$2:$LQ$60=AK$3)*(GMWQ!$LP$2:$LP$60=AK$4)*(GMWQ!$LR$2:$LR$60=AK$1),0),$B99-1966)</f>
        <v>85835</v>
      </c>
      <c r="AL99" s="23" cm="1">
        <f t="array" ref="AL99">INDEX(GMWQ!$A$2:$LR$60,MATCH(1,(GMWQ!$LQ$2:$LQ$60=AL$3)*(GMWQ!$LP$2:$LP$60=AL$4)*(GMWQ!$LR$2:$LR$60=AL$1),0),$B99-1966)</f>
        <v>3882.18</v>
      </c>
      <c r="AM99" s="23" cm="1">
        <f t="array" ref="AM99">INDEX(GMWQ!$A$2:$LR$60,MATCH(1,(GMWQ!$LQ$2:$LQ$60=AM$3)*(GMWQ!$LP$2:$LP$60=AM$4)*(GMWQ!$LR$2:$LR$60=AM$1),0),$B99-1966)</f>
        <v>22110</v>
      </c>
      <c r="AN99" s="23" cm="1">
        <f t="array" ref="AN99">INDEX(GMWQ!$A$2:$LR$60,MATCH(1,(GMWQ!$LQ$2:$LQ$60=AN$3)*(GMWQ!$LP$2:$LP$60=AN$4)*(GMWQ!$LR$2:$LR$60=AN$1),0),$B99-1966)</f>
        <v>17479</v>
      </c>
      <c r="AO99" s="23" cm="1">
        <f t="array" ref="AO99">INDEX(GMWQ!$A$2:$LR$60,MATCH(1,(GMWQ!$LQ$2:$LQ$60=AO$3)*(GMWQ!$LP$2:$LP$60=AO$4)*(GMWQ!$LR$2:$LR$60=AO$1),0),$B99-1966)</f>
        <v>5674</v>
      </c>
      <c r="AP99" s="23" cm="1">
        <f t="array" ref="AP99">INDEX(GMWQ!$A$2:$LR$60,MATCH(1,(GMWQ!$LQ$2:$LQ$60=AP$3)*(GMWQ!$LP$2:$LP$60=AP$4)*(GMWQ!$LR$2:$LR$60=AP$1),0),$B99-1966)</f>
        <v>-531</v>
      </c>
      <c r="AQ99" s="23" cm="1">
        <f t="array" ref="AQ99">INDEX(GMWQ!$A$2:$LR$60,MATCH(1,(GMWQ!$LQ$2:$LQ$60=AQ$3)*(GMWQ!$LP$2:$LP$60=AQ$4)*(GMWQ!$LR$2:$LR$60=AQ$1),0),$B99-1966)</f>
        <v>24108</v>
      </c>
      <c r="AR99" s="23" cm="1">
        <f t="array" ref="AR99">INDEX(GMWQ!$A$2:$LR$60,MATCH(1,(GMWQ!$LQ$2:$LQ$60=AR$3)*(GMWQ!$LP$2:$LP$60=AR$4)*(GMWQ!$LR$2:$LR$60=AR$1),0),$B99-1966)</f>
        <v>138656</v>
      </c>
      <c r="AS99" s="23" cm="1">
        <f t="array" ref="AS99">INDEX(GMWQ!$A$2:$LR$60,MATCH(1,(GMWQ!$LQ$2:$LQ$60=AS$3)*(GMWQ!$LP$2:$LP$60=AS$4)*(GMWQ!$LR$2:$LR$60=AS$1),0),$B99-1966)</f>
        <v>3169</v>
      </c>
      <c r="AT99" s="23" cm="1">
        <f t="array" ref="AT99">INDEX(GMWQ!$A$2:$LR$60,MATCH(1,(GMWQ!$LQ$2:$LQ$60=AT$3)*(GMWQ!$LP$2:$LP$60=AT$4)*(GMWQ!$LR$2:$LR$60=AT$1),0),$B99-1966)</f>
        <v>200470</v>
      </c>
      <c r="AU99" s="23" cm="1">
        <f t="array" ref="AU99">INDEX(GMWQ!$A$2:$LR$60,MATCH(1,(GMWQ!$LQ$2:$LQ$60=AU$3)*(GMWQ!$LP$2:$LP$60=AU$4)*(GMWQ!$LR$2:$LR$60=AU$1),0),$B99-1966)</f>
        <v>7508</v>
      </c>
    </row>
    <row r="100" spans="1:47" x14ac:dyDescent="0.35">
      <c r="B100" s="7">
        <f t="shared" si="2"/>
        <v>2066</v>
      </c>
      <c r="C100" s="7" cm="1">
        <f t="array" ref="C100">INDEX(GMWQ!$A$2:$LR$60,MATCH(1,(GMWQ!$LQ$2:$LQ$60=C$3)*(GMWQ!$LP$2:$LP$60=C$4)*(GMWQ!$LR$2:$LR$60=C$1),0),$B100-1966)</f>
        <v>344979</v>
      </c>
      <c r="D100" s="7" cm="1">
        <f t="array" ref="D100">INDEX(GMWQ!$A$2:$LR$60,MATCH(1,(GMWQ!$LQ$2:$LQ$60=D$3)*(GMWQ!$LP$2:$LP$60=D$4)*(GMWQ!$LR$2:$LR$60=D$1),0),$B100-1966)</f>
        <v>247.31559999999999</v>
      </c>
      <c r="E100" s="7" cm="1">
        <f t="array" ref="E100">INDEX(GMWQ!$A$2:$LR$60,MATCH(1,(GMWQ!$LQ$2:$LQ$60=E$3)*(GMWQ!$LP$2:$LP$60=E$4)*(GMWQ!$LR$2:$LR$60=E$1),0),$B100-1966)</f>
        <v>68.866669999999999</v>
      </c>
      <c r="F100" s="7" cm="1">
        <f t="array" ref="F100">INDEX(GMWQ!$A$2:$LR$60,MATCH(1,(GMWQ!$LQ$2:$LQ$60=F$3)*(GMWQ!$LP$2:$LP$60=F$4)*(GMWQ!$LR$2:$LR$60=F$1),0),$B100-1966)</f>
        <v>86705</v>
      </c>
      <c r="G100" s="7" cm="1">
        <f t="array" ref="G100">INDEX(GMWQ!$A$2:$LR$60,MATCH(1,(GMWQ!$LQ$2:$LQ$60=G$3)*(GMWQ!$LP$2:$LP$60=G$4)*(GMWQ!$LR$2:$LR$60=G$1),0),$B100-1966)</f>
        <v>18718</v>
      </c>
      <c r="H100" s="7" cm="1">
        <f t="array" ref="H100">INDEX(GMWQ!$A$2:$LR$60,MATCH(1,(GMWQ!$LQ$2:$LQ$60=H$3)*(GMWQ!$LP$2:$LP$60=H$4)*(GMWQ!$LR$2:$LR$60=H$1),0),$B100-1966)</f>
        <v>5586</v>
      </c>
      <c r="I100" s="7" cm="1">
        <f t="array" ref="I100">INDEX(GMWQ!$A$2:$LR$60,MATCH(1,(GMWQ!$LQ$2:$LQ$60=I$3)*(GMWQ!$LP$2:$LP$60=I$4)*(GMWQ!$LR$2:$LR$60=I$1),0),$B100-1966)</f>
        <v>69.953450000000004</v>
      </c>
      <c r="J100" s="7" cm="1">
        <f t="array" ref="J100">INDEX(GMWQ!$A$2:$LR$60,MATCH(1,(GMWQ!$LQ$2:$LQ$60=J$3)*(GMWQ!$LP$2:$LP$60=J$4)*(GMWQ!$LR$2:$LR$60=J$1),0),$B100-1966)</f>
        <v>22149</v>
      </c>
      <c r="K100" s="7" cm="1">
        <f t="array" ref="K100">INDEX(GMWQ!$A$2:$LR$60,MATCH(1,(GMWQ!$LQ$2:$LQ$60=K$3)*(GMWQ!$LP$2:$LP$60=K$4)*(GMWQ!$LR$2:$LR$60=K$1),0),$B100-1966)</f>
        <v>5.6875</v>
      </c>
      <c r="L100" s="7" cm="1">
        <f t="array" ref="L100">INDEX(GMWQ!$A$2:$LR$60,MATCH(1,(GMWQ!$LQ$2:$LQ$60=L$3)*(GMWQ!$LP$2:$LP$60=L$4)*(GMWQ!$LR$2:$LR$60=L$1),0),$B100-1966)</f>
        <v>8.3000000000000007</v>
      </c>
      <c r="M100" s="7" cm="1">
        <f t="array" ref="M100">INDEX(GMWQ!$A$2:$LR$60,MATCH(1,(GMWQ!$LQ$2:$LQ$60=M$3)*(GMWQ!$LP$2:$LP$60=M$4)*(GMWQ!$LR$2:$LR$60=M$1),0),$B100-1966)</f>
        <v>29.874479999999998</v>
      </c>
      <c r="N100" s="7" cm="1">
        <f t="array" ref="N100">INDEX(GMWQ!$A$2:$LR$60,MATCH(1,(GMWQ!$LQ$2:$LQ$60=N$3)*(GMWQ!$LP$2:$LP$60=N$4)*(GMWQ!$LR$2:$LR$60=N$1),0),$B100-1966)</f>
        <v>7771</v>
      </c>
      <c r="O100" s="7" cm="1">
        <f t="array" ref="O100">INDEX(GMWQ!$A$2:$LR$60,MATCH(1,(GMWQ!$LQ$2:$LQ$60=O$3)*(GMWQ!$LP$2:$LP$60=O$4)*(GMWQ!$LR$2:$LR$60=O$1),0),$B100-1966)</f>
        <v>7528</v>
      </c>
      <c r="P100" s="7" cm="1">
        <f t="array" ref="P100">INDEX(GMWQ!$A$2:$LR$60,MATCH(1,(GMWQ!$LQ$2:$LQ$60=P$3)*(GMWQ!$LP$2:$LP$60=P$4)*(GMWQ!$LR$2:$LR$60=P$1),0),$B100-1966)</f>
        <v>153565</v>
      </c>
      <c r="Q100" s="7" cm="1">
        <f t="array" ref="Q100">INDEX(GMWQ!$A$2:$LR$60,MATCH(1,(GMWQ!$LQ$2:$LQ$60=Q$3)*(GMWQ!$LP$2:$LP$60=Q$4)*(GMWQ!$LR$2:$LR$60=Q$1),0),$B100-1966)</f>
        <v>6.71</v>
      </c>
      <c r="R100" s="7" cm="1">
        <f t="array" ref="R100">INDEX(GMWQ!$A$2:$LR$60,MATCH(1,(GMWQ!$LQ$2:$LQ$60=R$3)*(GMWQ!$LP$2:$LP$60=R$4)*(GMWQ!$LR$2:$LR$60=R$1),0),$B100-1966)</f>
        <v>254939</v>
      </c>
      <c r="S100" s="7" cm="1">
        <f t="array" ref="S100">INDEX(GMWQ!$A$2:$LR$60,MATCH(1,(GMWQ!$LQ$2:$LQ$60=S$3)*(GMWQ!$LP$2:$LP$60=S$4)*(GMWQ!$LR$2:$LR$60=S$1),0),$B100-1966)</f>
        <v>299</v>
      </c>
      <c r="T100" s="7" cm="1">
        <f t="array" ref="T100">INDEX(GMWQ!$A$2:$LR$60,MATCH(1,(GMWQ!$LQ$2:$LQ$60=T$3)*(GMWQ!$LP$2:$LP$60=T$4)*(GMWQ!$LR$2:$LR$60=T$1),0),$B100-1966)</f>
        <v>16910</v>
      </c>
      <c r="U100" s="7" cm="1">
        <f t="array" ref="U100">INDEX(GMWQ!$A$2:$LR$60,MATCH(1,(GMWQ!$LQ$2:$LQ$60=U$3)*(GMWQ!$LP$2:$LP$60=U$4)*(GMWQ!$LR$2:$LR$60=U$1),0),$B100-1966)</f>
        <v>4330</v>
      </c>
      <c r="V100" s="7" cm="1">
        <f t="array" ref="V100">INDEX(GMWQ!$A$2:$LR$60,MATCH(1,(GMWQ!$LQ$2:$LQ$60=V$3)*(GMWQ!$LP$2:$LP$60=V$4)*(GMWQ!$LR$2:$LR$60=V$1),0),$B100-1966)</f>
        <v>3.3517579999999998E-3</v>
      </c>
      <c r="W100" s="7" cm="1">
        <f t="array" ref="W100">INDEX(GMWQ!$A$2:$LR$60,MATCH(1,(GMWQ!$LQ$2:$LQ$60=W$3)*(GMWQ!$LP$2:$LP$60=W$4)*(GMWQ!$LR$2:$LR$60=W$1),0),$B100-1966)</f>
        <v>11.161099999999999</v>
      </c>
      <c r="X100" s="7" cm="1">
        <f t="array" ref="X100">INDEX(GMWQ!$A$2:$LR$60,MATCH(1,(GMWQ!$LQ$2:$LQ$60=X$3)*(GMWQ!$LP$2:$LP$60=X$4)*(GMWQ!$LR$2:$LR$60=X$1),0),$B100-1966)</f>
        <v>1160162</v>
      </c>
      <c r="Y100" s="7" cm="1">
        <f t="array" ref="Y100">INDEX(GMWQ!$A$2:$LR$60,MATCH(1,(GMWQ!$LQ$2:$LQ$60=Y$3)*(GMWQ!$LP$2:$LP$60=Y$4)*(GMWQ!$LR$2:$LR$60=Y$1),0),$B100-1966)</f>
        <v>65.565439999999995</v>
      </c>
      <c r="Z100" s="7" cm="1">
        <f t="array" ref="Z100">INDEX(GMWQ!$A$2:$LR$60,MATCH(1,(GMWQ!$LQ$2:$LQ$60=Z$3)*(GMWQ!$LP$2:$LP$60=Z$4)*(GMWQ!$LR$2:$LR$60=Z$1),0),$B100-1966)</f>
        <v>352285.2</v>
      </c>
      <c r="AA100" s="7" cm="1">
        <f t="array" ref="AA100">INDEX(GMWQ!$A$2:$LR$60,MATCH(1,(GMWQ!$LQ$2:$LQ$60=AA$3)*(GMWQ!$LP$2:$LP$60=AA$4)*(GMWQ!$LR$2:$LR$60=AA$1),0),$B100-1966)</f>
        <v>66604</v>
      </c>
      <c r="AB100" s="7" cm="1">
        <f t="array" ref="AB100">INDEX(GMWQ!$A$2:$LR$60,MATCH(1,(GMWQ!$LQ$2:$LQ$60=AB$3)*(GMWQ!$LP$2:$LP$60=AB$4)*(GMWQ!$LR$2:$LR$60=AB$1),0),$B100-1966)</f>
        <v>75205</v>
      </c>
      <c r="AC100" s="7" cm="1">
        <f t="array" ref="AC100">INDEX(GMWQ!$A$2:$LR$60,MATCH(1,(GMWQ!$LQ$2:$LQ$60=AC$3)*(GMWQ!$LP$2:$LP$60=AC$4)*(GMWQ!$LR$2:$LR$60=AC$1),0),$B100-1966)</f>
        <v>217</v>
      </c>
      <c r="AD100" s="7" cm="1">
        <f t="array" ref="AD100">INDEX(GMWQ!$A$2:$LR$60,MATCH(1,(GMWQ!$LQ$2:$LQ$60=AD$3)*(GMWQ!$LP$2:$LP$60=AD$4)*(GMWQ!$LR$2:$LR$60=AD$1),0),$B100-1966)</f>
        <v>5403</v>
      </c>
      <c r="AE100" s="7" cm="1">
        <f t="array" ref="AE100">INDEX(GMWQ!$A$2:$LR$60,MATCH(1,(GMWQ!$LQ$2:$LQ$60=AE$3)*(GMWQ!$LP$2:$LP$60=AE$4)*(GMWQ!$LR$2:$LR$60=AE$1),0),$B100-1966)</f>
        <v>226187</v>
      </c>
      <c r="AF100" s="20" cm="1">
        <f t="array" ref="AF100">INDEX(GMWQ!$A$2:$LR$60,MATCH(1,(GMWQ!$LQ$2:$LQ$60=AF$3)*(GMWQ!$LP$2:$LP$60=AF$4)*(GMWQ!$LR$2:$LR$60=AF$1),0),$B100-1966)</f>
        <v>5.8721160000000001</v>
      </c>
      <c r="AG100" s="20" cm="1">
        <f t="array" ref="AG100">INDEX(GMWQ!$A$2:$LR$60,MATCH(1,(GMWQ!$LQ$2:$LQ$60=AG$3)*(GMWQ!$LP$2:$LP$60=AG$4)*(GMWQ!$LR$2:$LR$60=AG$1),0),$B100-1966)</f>
        <v>-243</v>
      </c>
      <c r="AI100" s="23" cm="1">
        <f t="array" ref="AI100">INDEX(GMWQ!$A$2:$LR$60,MATCH(1,(GMWQ!$LQ$2:$LQ$60=AI$3)*(GMWQ!$LP$2:$LP$60=AI$4)*(GMWQ!$LR$2:$LR$60=AI$1),0),$B100-1966)</f>
        <v>153565</v>
      </c>
      <c r="AJ100" s="23" cm="1">
        <f t="array" ref="AJ100">INDEX(GMWQ!$A$2:$LR$60,MATCH(1,(GMWQ!$LQ$2:$LQ$60=AJ$3)*(GMWQ!$LP$2:$LP$60=AJ$4)*(GMWQ!$LR$2:$LR$60=AJ$1),0),$B100-1966)</f>
        <v>69.953450000000004</v>
      </c>
      <c r="AK100" s="23" cm="1">
        <f t="array" ref="AK100">INDEX(GMWQ!$A$2:$LR$60,MATCH(1,(GMWQ!$LQ$2:$LQ$60=AK$3)*(GMWQ!$LP$2:$LP$60=AK$4)*(GMWQ!$LR$2:$LR$60=AK$1),0),$B100-1966)</f>
        <v>86705</v>
      </c>
      <c r="AL100" s="23" cm="1">
        <f t="array" ref="AL100">INDEX(GMWQ!$A$2:$LR$60,MATCH(1,(GMWQ!$LQ$2:$LQ$60=AL$3)*(GMWQ!$LP$2:$LP$60=AL$4)*(GMWQ!$LR$2:$LR$60=AL$1),0),$B100-1966)</f>
        <v>3914.6239999999998</v>
      </c>
      <c r="AM100" s="23" cm="1">
        <f t="array" ref="AM100">INDEX(GMWQ!$A$2:$LR$60,MATCH(1,(GMWQ!$LQ$2:$LQ$60=AM$3)*(GMWQ!$LP$2:$LP$60=AM$4)*(GMWQ!$LR$2:$LR$60=AM$1),0),$B100-1966)</f>
        <v>22149</v>
      </c>
      <c r="AN100" s="23" cm="1">
        <f t="array" ref="AN100">INDEX(GMWQ!$A$2:$LR$60,MATCH(1,(GMWQ!$LQ$2:$LQ$60=AN$3)*(GMWQ!$LP$2:$LP$60=AN$4)*(GMWQ!$LR$2:$LR$60=AN$1),0),$B100-1966)</f>
        <v>18718</v>
      </c>
      <c r="AO100" s="23" cm="1">
        <f t="array" ref="AO100">INDEX(GMWQ!$A$2:$LR$60,MATCH(1,(GMWQ!$LQ$2:$LQ$60=AO$3)*(GMWQ!$LP$2:$LP$60=AO$4)*(GMWQ!$LR$2:$LR$60=AO$1),0),$B100-1966)</f>
        <v>5586</v>
      </c>
      <c r="AP100" s="23" cm="1">
        <f t="array" ref="AP100">INDEX(GMWQ!$A$2:$LR$60,MATCH(1,(GMWQ!$LQ$2:$LQ$60=AP$3)*(GMWQ!$LP$2:$LP$60=AP$4)*(GMWQ!$LR$2:$LR$60=AP$1),0),$B100-1966)</f>
        <v>-243</v>
      </c>
      <c r="AQ100" s="23" cm="1">
        <f t="array" ref="AQ100">INDEX(GMWQ!$A$2:$LR$60,MATCH(1,(GMWQ!$LQ$2:$LQ$60=AQ$3)*(GMWQ!$LP$2:$LP$60=AQ$4)*(GMWQ!$LR$2:$LR$60=AQ$1),0),$B100-1966)</f>
        <v>24692</v>
      </c>
      <c r="AR100" s="23" cm="1">
        <f t="array" ref="AR100">INDEX(GMWQ!$A$2:$LR$60,MATCH(1,(GMWQ!$LQ$2:$LQ$60=AR$3)*(GMWQ!$LP$2:$LP$60=AR$4)*(GMWQ!$LR$2:$LR$60=AR$1),0),$B100-1966)</f>
        <v>141413</v>
      </c>
      <c r="AS100" s="23" cm="1">
        <f t="array" ref="AS100">INDEX(GMWQ!$A$2:$LR$60,MATCH(1,(GMWQ!$LQ$2:$LQ$60=AS$3)*(GMWQ!$LP$2:$LP$60=AS$4)*(GMWQ!$LR$2:$LR$60=AS$1),0),$B100-1966)</f>
        <v>3167</v>
      </c>
      <c r="AT100" s="23" cm="1">
        <f t="array" ref="AT100">INDEX(GMWQ!$A$2:$LR$60,MATCH(1,(GMWQ!$LQ$2:$LQ$60=AT$3)*(GMWQ!$LP$2:$LP$60=AT$4)*(GMWQ!$LR$2:$LR$60=AT$1),0),$B100-1966)</f>
        <v>202153</v>
      </c>
      <c r="AU100" s="23" cm="1">
        <f t="array" ref="AU100">INDEX(GMWQ!$A$2:$LR$60,MATCH(1,(GMWQ!$LQ$2:$LQ$60=AU$3)*(GMWQ!$LP$2:$LP$60=AU$4)*(GMWQ!$LR$2:$LR$60=AU$1),0),$B100-1966)</f>
        <v>6752</v>
      </c>
    </row>
    <row r="101" spans="1:47" x14ac:dyDescent="0.35">
      <c r="B101" s="7">
        <f t="shared" si="2"/>
        <v>2067</v>
      </c>
      <c r="C101" s="7" cm="1">
        <f t="array" ref="C101">INDEX(GMWQ!$A$2:$LR$60,MATCH(1,(GMWQ!$LQ$2:$LQ$60=C$3)*(GMWQ!$LP$2:$LP$60=C$4)*(GMWQ!$LR$2:$LR$60=C$1),0),$B101-1966)</f>
        <v>348214</v>
      </c>
      <c r="D101" s="7" cm="1">
        <f t="array" ref="D101">INDEX(GMWQ!$A$2:$LR$60,MATCH(1,(GMWQ!$LQ$2:$LQ$60=D$3)*(GMWQ!$LP$2:$LP$60=D$4)*(GMWQ!$LR$2:$LR$60=D$1),0),$B101-1966)</f>
        <v>251.52930000000001</v>
      </c>
      <c r="E101" s="7" cm="1">
        <f t="array" ref="E101">INDEX(GMWQ!$A$2:$LR$60,MATCH(1,(GMWQ!$LQ$2:$LQ$60=E$3)*(GMWQ!$LP$2:$LP$60=E$4)*(GMWQ!$LR$2:$LR$60=E$1),0),$B101-1966)</f>
        <v>68.933329999999998</v>
      </c>
      <c r="F101" s="7" cm="1">
        <f t="array" ref="F101">INDEX(GMWQ!$A$2:$LR$60,MATCH(1,(GMWQ!$LQ$2:$LQ$60=F$3)*(GMWQ!$LP$2:$LP$60=F$4)*(GMWQ!$LR$2:$LR$60=F$1),0),$B101-1966)</f>
        <v>88031</v>
      </c>
      <c r="G101" s="7" cm="1">
        <f t="array" ref="G101">INDEX(GMWQ!$A$2:$LR$60,MATCH(1,(GMWQ!$LQ$2:$LQ$60=G$3)*(GMWQ!$LP$2:$LP$60=G$4)*(GMWQ!$LR$2:$LR$60=G$1),0),$B101-1966)</f>
        <v>17783</v>
      </c>
      <c r="H101" s="7" cm="1">
        <f t="array" ref="H101">INDEX(GMWQ!$A$2:$LR$60,MATCH(1,(GMWQ!$LQ$2:$LQ$60=H$3)*(GMWQ!$LP$2:$LP$60=H$4)*(GMWQ!$LR$2:$LR$60=H$1),0),$B101-1966)</f>
        <v>5755</v>
      </c>
      <c r="I101" s="7" cm="1">
        <f t="array" ref="I101">INDEX(GMWQ!$A$2:$LR$60,MATCH(1,(GMWQ!$LQ$2:$LQ$60=I$3)*(GMWQ!$LP$2:$LP$60=I$4)*(GMWQ!$LR$2:$LR$60=I$1),0),$B101-1966)</f>
        <v>70.510670000000005</v>
      </c>
      <c r="J101" s="7" cm="1">
        <f t="array" ref="J101">INDEX(GMWQ!$A$2:$LR$60,MATCH(1,(GMWQ!$LQ$2:$LQ$60=J$3)*(GMWQ!$LP$2:$LP$60=J$4)*(GMWQ!$LR$2:$LR$60=J$1),0),$B101-1966)</f>
        <v>22184</v>
      </c>
      <c r="K101" s="7" cm="1">
        <f t="array" ref="K101">INDEX(GMWQ!$A$2:$LR$60,MATCH(1,(GMWQ!$LQ$2:$LQ$60=K$3)*(GMWQ!$LP$2:$LP$60=K$4)*(GMWQ!$LR$2:$LR$60=K$1),0),$B101-1966)</f>
        <v>5.6875</v>
      </c>
      <c r="L101" s="7" cm="1">
        <f t="array" ref="L101">INDEX(GMWQ!$A$2:$LR$60,MATCH(1,(GMWQ!$LQ$2:$LQ$60=L$3)*(GMWQ!$LP$2:$LP$60=L$4)*(GMWQ!$LR$2:$LR$60=L$1),0),$B101-1966)</f>
        <v>8.1</v>
      </c>
      <c r="M101" s="7" cm="1">
        <f t="array" ref="M101">INDEX(GMWQ!$A$2:$LR$60,MATCH(1,(GMWQ!$LQ$2:$LQ$60=M$3)*(GMWQ!$LP$2:$LP$60=M$4)*(GMWQ!$LR$2:$LR$60=M$1),0),$B101-1966)</f>
        <v>30.82396</v>
      </c>
      <c r="N101" s="7" cm="1">
        <f t="array" ref="N101">INDEX(GMWQ!$A$2:$LR$60,MATCH(1,(GMWQ!$LQ$2:$LQ$60=N$3)*(GMWQ!$LP$2:$LP$60=N$4)*(GMWQ!$LR$2:$LR$60=N$1),0),$B101-1966)</f>
        <v>7586</v>
      </c>
      <c r="O101" s="7" cm="1">
        <f t="array" ref="O101">INDEX(GMWQ!$A$2:$LR$60,MATCH(1,(GMWQ!$LQ$2:$LQ$60=O$3)*(GMWQ!$LP$2:$LP$60=O$4)*(GMWQ!$LR$2:$LR$60=O$1),0),$B101-1966)</f>
        <v>7628</v>
      </c>
      <c r="P101" s="7" cm="1">
        <f t="array" ref="P101">INDEX(GMWQ!$A$2:$LR$60,MATCH(1,(GMWQ!$LQ$2:$LQ$60=P$3)*(GMWQ!$LP$2:$LP$60=P$4)*(GMWQ!$LR$2:$LR$60=P$1),0),$B101-1966)</f>
        <v>156382</v>
      </c>
      <c r="Q101" s="7" cm="1">
        <f t="array" ref="Q101">INDEX(GMWQ!$A$2:$LR$60,MATCH(1,(GMWQ!$LQ$2:$LQ$60=Q$3)*(GMWQ!$LP$2:$LP$60=Q$4)*(GMWQ!$LR$2:$LR$60=Q$1),0),$B101-1966)</f>
        <v>6.45</v>
      </c>
      <c r="R101" s="7" cm="1">
        <f t="array" ref="R101">INDEX(GMWQ!$A$2:$LR$60,MATCH(1,(GMWQ!$LQ$2:$LQ$60=R$3)*(GMWQ!$LP$2:$LP$60=R$4)*(GMWQ!$LR$2:$LR$60=R$1),0),$B101-1966)</f>
        <v>277901</v>
      </c>
      <c r="S101" s="7" cm="1">
        <f t="array" ref="S101">INDEX(GMWQ!$A$2:$LR$60,MATCH(1,(GMWQ!$LQ$2:$LQ$60=S$3)*(GMWQ!$LP$2:$LP$60=S$4)*(GMWQ!$LR$2:$LR$60=S$1),0),$B101-1966)</f>
        <v>313</v>
      </c>
      <c r="T101" s="7" cm="1">
        <f t="array" ref="T101">INDEX(GMWQ!$A$2:$LR$60,MATCH(1,(GMWQ!$LQ$2:$LQ$60=T$3)*(GMWQ!$LP$2:$LP$60=T$4)*(GMWQ!$LR$2:$LR$60=T$1),0),$B101-1966)</f>
        <v>17770</v>
      </c>
      <c r="U101" s="7" cm="1">
        <f t="array" ref="U101">INDEX(GMWQ!$A$2:$LR$60,MATCH(1,(GMWQ!$LQ$2:$LQ$60=U$3)*(GMWQ!$LP$2:$LP$60=U$4)*(GMWQ!$LR$2:$LR$60=U$1),0),$B101-1966)</f>
        <v>4325</v>
      </c>
      <c r="V101" s="7" cm="1">
        <f t="array" ref="V101">INDEX(GMWQ!$A$2:$LR$60,MATCH(1,(GMWQ!$LQ$2:$LQ$60=V$3)*(GMWQ!$LP$2:$LP$60=V$4)*(GMWQ!$LR$2:$LR$60=V$1),0),$B101-1966)</f>
        <v>3.246114E-3</v>
      </c>
      <c r="W101" s="7" cm="1">
        <f t="array" ref="W101">INDEX(GMWQ!$A$2:$LR$60,MATCH(1,(GMWQ!$LQ$2:$LQ$60=W$3)*(GMWQ!$LP$2:$LP$60=W$4)*(GMWQ!$LR$2:$LR$60=W$1),0),$B101-1966)</f>
        <v>10.891859999999999</v>
      </c>
      <c r="X101" s="7" cm="1">
        <f t="array" ref="X101">INDEX(GMWQ!$A$2:$LR$60,MATCH(1,(GMWQ!$LQ$2:$LQ$60=X$3)*(GMWQ!$LP$2:$LP$60=X$4)*(GMWQ!$LR$2:$LR$60=X$1),0),$B101-1966)</f>
        <v>1183565</v>
      </c>
      <c r="Y101" s="7" cm="1">
        <f t="array" ref="Y101">INDEX(GMWQ!$A$2:$LR$60,MATCH(1,(GMWQ!$LQ$2:$LQ$60=Y$3)*(GMWQ!$LP$2:$LP$60=Y$4)*(GMWQ!$LR$2:$LR$60=Y$1),0),$B101-1966)</f>
        <v>66.026349999999994</v>
      </c>
      <c r="Z101" s="7" cm="1">
        <f t="array" ref="Z101">INDEX(GMWQ!$A$2:$LR$60,MATCH(1,(GMWQ!$LQ$2:$LQ$60=Z$3)*(GMWQ!$LP$2:$LP$60=Z$4)*(GMWQ!$LR$2:$LR$60=Z$1),0),$B101-1966)</f>
        <v>353855.3</v>
      </c>
      <c r="AA101" s="7" cm="1">
        <f t="array" ref="AA101">INDEX(GMWQ!$A$2:$LR$60,MATCH(1,(GMWQ!$LQ$2:$LQ$60=AA$3)*(GMWQ!$LP$2:$LP$60=AA$4)*(GMWQ!$LR$2:$LR$60=AA$1),0),$B101-1966)</f>
        <v>72083</v>
      </c>
      <c r="AB101" s="7" cm="1">
        <f t="array" ref="AB101">INDEX(GMWQ!$A$2:$LR$60,MATCH(1,(GMWQ!$LQ$2:$LQ$60=AB$3)*(GMWQ!$LP$2:$LP$60=AB$4)*(GMWQ!$LR$2:$LR$60=AB$1),0),$B101-1966)</f>
        <v>74908</v>
      </c>
      <c r="AC101" s="7" cm="1">
        <f t="array" ref="AC101">INDEX(GMWQ!$A$2:$LR$60,MATCH(1,(GMWQ!$LQ$2:$LQ$60=AC$3)*(GMWQ!$LP$2:$LP$60=AC$4)*(GMWQ!$LR$2:$LR$60=AC$1),0),$B101-1966)</f>
        <v>349</v>
      </c>
      <c r="AD101" s="7" cm="1">
        <f t="array" ref="AD101">INDEX(GMWQ!$A$2:$LR$60,MATCH(1,(GMWQ!$LQ$2:$LQ$60=AD$3)*(GMWQ!$LP$2:$LP$60=AD$4)*(GMWQ!$LR$2:$LR$60=AD$1),0),$B101-1966)</f>
        <v>5401</v>
      </c>
      <c r="AE101" s="7" cm="1">
        <f t="array" ref="AE101">INDEX(GMWQ!$A$2:$LR$60,MATCH(1,(GMWQ!$LQ$2:$LQ$60=AE$3)*(GMWQ!$LP$2:$LP$60=AE$4)*(GMWQ!$LR$2:$LR$60=AE$1),0),$B101-1966)</f>
        <v>229913</v>
      </c>
      <c r="AF101" s="20" cm="1">
        <f t="array" ref="AF101">INDEX(GMWQ!$A$2:$LR$60,MATCH(1,(GMWQ!$LQ$2:$LQ$60=AF$3)*(GMWQ!$LP$2:$LP$60=AF$4)*(GMWQ!$LR$2:$LR$60=AF$1),0),$B101-1966)</f>
        <v>5.6875</v>
      </c>
      <c r="AG101" s="20" cm="1">
        <f t="array" ref="AG101">INDEX(GMWQ!$A$2:$LR$60,MATCH(1,(GMWQ!$LQ$2:$LQ$60=AG$3)*(GMWQ!$LP$2:$LP$60=AG$4)*(GMWQ!$LR$2:$LR$60=AG$1),0),$B101-1966)</f>
        <v>42</v>
      </c>
      <c r="AI101" s="23" cm="1">
        <f t="array" ref="AI101">INDEX(GMWQ!$A$2:$LR$60,MATCH(1,(GMWQ!$LQ$2:$LQ$60=AI$3)*(GMWQ!$LP$2:$LP$60=AI$4)*(GMWQ!$LR$2:$LR$60=AI$1),0),$B101-1966)</f>
        <v>156382</v>
      </c>
      <c r="AJ101" s="23" cm="1">
        <f t="array" ref="AJ101">INDEX(GMWQ!$A$2:$LR$60,MATCH(1,(GMWQ!$LQ$2:$LQ$60=AJ$3)*(GMWQ!$LP$2:$LP$60=AJ$4)*(GMWQ!$LR$2:$LR$60=AJ$1),0),$B101-1966)</f>
        <v>70.510670000000005</v>
      </c>
      <c r="AK101" s="23" cm="1">
        <f t="array" ref="AK101">INDEX(GMWQ!$A$2:$LR$60,MATCH(1,(GMWQ!$LQ$2:$LQ$60=AK$3)*(GMWQ!$LP$2:$LP$60=AK$4)*(GMWQ!$LR$2:$LR$60=AK$1),0),$B101-1966)</f>
        <v>88031</v>
      </c>
      <c r="AL101" s="23" cm="1">
        <f t="array" ref="AL101">INDEX(GMWQ!$A$2:$LR$60,MATCH(1,(GMWQ!$LQ$2:$LQ$60=AL$3)*(GMWQ!$LP$2:$LP$60=AL$4)*(GMWQ!$LR$2:$LR$60=AL$1),0),$B101-1966)</f>
        <v>3968.22</v>
      </c>
      <c r="AM101" s="23" cm="1">
        <f t="array" ref="AM101">INDEX(GMWQ!$A$2:$LR$60,MATCH(1,(GMWQ!$LQ$2:$LQ$60=AM$3)*(GMWQ!$LP$2:$LP$60=AM$4)*(GMWQ!$LR$2:$LR$60=AM$1),0),$B101-1966)</f>
        <v>22184</v>
      </c>
      <c r="AN101" s="23" cm="1">
        <f t="array" ref="AN101">INDEX(GMWQ!$A$2:$LR$60,MATCH(1,(GMWQ!$LQ$2:$LQ$60=AN$3)*(GMWQ!$LP$2:$LP$60=AN$4)*(GMWQ!$LR$2:$LR$60=AN$1),0),$B101-1966)</f>
        <v>17783</v>
      </c>
      <c r="AO101" s="23" cm="1">
        <f t="array" ref="AO101">INDEX(GMWQ!$A$2:$LR$60,MATCH(1,(GMWQ!$LQ$2:$LQ$60=AO$3)*(GMWQ!$LP$2:$LP$60=AO$4)*(GMWQ!$LR$2:$LR$60=AO$1),0),$B101-1966)</f>
        <v>5755</v>
      </c>
      <c r="AP101" s="23" cm="1">
        <f t="array" ref="AP101">INDEX(GMWQ!$A$2:$LR$60,MATCH(1,(GMWQ!$LQ$2:$LQ$60=AP$3)*(GMWQ!$LP$2:$LP$60=AP$4)*(GMWQ!$LR$2:$LR$60=AP$1),0),$B101-1966)</f>
        <v>42</v>
      </c>
      <c r="AQ101" s="23" cm="1">
        <f t="array" ref="AQ101">INDEX(GMWQ!$A$2:$LR$60,MATCH(1,(GMWQ!$LQ$2:$LQ$60=AQ$3)*(GMWQ!$LP$2:$LP$60=AQ$4)*(GMWQ!$LR$2:$LR$60=AQ$1),0),$B101-1966)</f>
        <v>24982</v>
      </c>
      <c r="AR101" s="23" cm="1">
        <f t="array" ref="AR101">INDEX(GMWQ!$A$2:$LR$60,MATCH(1,(GMWQ!$LQ$2:$LQ$60=AR$3)*(GMWQ!$LP$2:$LP$60=AR$4)*(GMWQ!$LR$2:$LR$60=AR$1),0),$B101-1966)</f>
        <v>143791</v>
      </c>
      <c r="AS101" s="23" cm="1">
        <f t="array" ref="AS101">INDEX(GMWQ!$A$2:$LR$60,MATCH(1,(GMWQ!$LQ$2:$LQ$60=AS$3)*(GMWQ!$LP$2:$LP$60=AS$4)*(GMWQ!$LR$2:$LR$60=AS$1),0),$B101-1966)</f>
        <v>3171</v>
      </c>
      <c r="AT101" s="23" cm="1">
        <f t="array" ref="AT101">INDEX(GMWQ!$A$2:$LR$60,MATCH(1,(GMWQ!$LQ$2:$LQ$60=AT$3)*(GMWQ!$LP$2:$LP$60=AT$4)*(GMWQ!$LR$2:$LR$60=AT$1),0),$B101-1966)</f>
        <v>203928</v>
      </c>
      <c r="AU101" s="23" cm="1">
        <f t="array" ref="AU101">INDEX(GMWQ!$A$2:$LR$60,MATCH(1,(GMWQ!$LQ$2:$LQ$60=AU$3)*(GMWQ!$LP$2:$LP$60=AU$4)*(GMWQ!$LR$2:$LR$60=AU$1),0),$B101-1966)</f>
        <v>6779</v>
      </c>
    </row>
    <row r="102" spans="1:47" x14ac:dyDescent="0.35">
      <c r="B102" s="7">
        <f t="shared" si="2"/>
        <v>2068</v>
      </c>
      <c r="C102" s="7" cm="1">
        <f t="array" ref="C102">INDEX(GMWQ!$A$2:$LR$60,MATCH(1,(GMWQ!$LQ$2:$LQ$60=C$3)*(GMWQ!$LP$2:$LP$60=C$4)*(GMWQ!$LR$2:$LR$60=C$1),0),$B102-1966)</f>
        <v>352958</v>
      </c>
      <c r="D102" s="7" cm="1">
        <f t="array" ref="D102">INDEX(GMWQ!$A$2:$LR$60,MATCH(1,(GMWQ!$LQ$2:$LQ$60=D$3)*(GMWQ!$LP$2:$LP$60=D$4)*(GMWQ!$LR$2:$LR$60=D$1),0),$B102-1966)</f>
        <v>253.94390000000001</v>
      </c>
      <c r="E102" s="7" cm="1">
        <f t="array" ref="E102">INDEX(GMWQ!$A$2:$LR$60,MATCH(1,(GMWQ!$LQ$2:$LQ$60=E$3)*(GMWQ!$LP$2:$LP$60=E$4)*(GMWQ!$LR$2:$LR$60=E$1),0),$B102-1966)</f>
        <v>69.366669999999999</v>
      </c>
      <c r="F102" s="7" cm="1">
        <f t="array" ref="F102">INDEX(GMWQ!$A$2:$LR$60,MATCH(1,(GMWQ!$LQ$2:$LQ$60=F$3)*(GMWQ!$LP$2:$LP$60=F$4)*(GMWQ!$LR$2:$LR$60=F$1),0),$B102-1966)</f>
        <v>88882</v>
      </c>
      <c r="G102" s="7" cm="1">
        <f t="array" ref="G102">INDEX(GMWQ!$A$2:$LR$60,MATCH(1,(GMWQ!$LQ$2:$LQ$60=G$3)*(GMWQ!$LP$2:$LP$60=G$4)*(GMWQ!$LR$2:$LR$60=G$1),0),$B102-1966)</f>
        <v>20233</v>
      </c>
      <c r="H102" s="7" cm="1">
        <f t="array" ref="H102">INDEX(GMWQ!$A$2:$LR$60,MATCH(1,(GMWQ!$LQ$2:$LQ$60=H$3)*(GMWQ!$LP$2:$LP$60=H$4)*(GMWQ!$LR$2:$LR$60=H$1),0),$B102-1966)</f>
        <v>5920</v>
      </c>
      <c r="I102" s="7" cm="1">
        <f t="array" ref="I102">INDEX(GMWQ!$A$2:$LR$60,MATCH(1,(GMWQ!$LQ$2:$LQ$60=I$3)*(GMWQ!$LP$2:$LP$60=I$4)*(GMWQ!$LR$2:$LR$60=I$1),0),$B102-1966)</f>
        <v>70.724800000000002</v>
      </c>
      <c r="J102" s="7" cm="1">
        <f t="array" ref="J102">INDEX(GMWQ!$A$2:$LR$60,MATCH(1,(GMWQ!$LQ$2:$LQ$60=J$3)*(GMWQ!$LP$2:$LP$60=J$4)*(GMWQ!$LR$2:$LR$60=J$1),0),$B102-1966)</f>
        <v>22342</v>
      </c>
      <c r="K102" s="7" cm="1">
        <f t="array" ref="K102">INDEX(GMWQ!$A$2:$LR$60,MATCH(1,(GMWQ!$LQ$2:$LQ$60=K$3)*(GMWQ!$LP$2:$LP$60=K$4)*(GMWQ!$LR$2:$LR$60=K$1),0),$B102-1966)</f>
        <v>5.9375</v>
      </c>
      <c r="L102" s="7" cm="1">
        <f t="array" ref="L102">INDEX(GMWQ!$A$2:$LR$60,MATCH(1,(GMWQ!$LQ$2:$LQ$60=L$3)*(GMWQ!$LP$2:$LP$60=L$4)*(GMWQ!$LR$2:$LR$60=L$1),0),$B102-1966)</f>
        <v>7.8</v>
      </c>
      <c r="M102" s="7" cm="1">
        <f t="array" ref="M102">INDEX(GMWQ!$A$2:$LR$60,MATCH(1,(GMWQ!$LQ$2:$LQ$60=M$3)*(GMWQ!$LP$2:$LP$60=M$4)*(GMWQ!$LR$2:$LR$60=M$1),0),$B102-1966)</f>
        <v>32.068919999999999</v>
      </c>
      <c r="N102" s="7" cm="1">
        <f t="array" ref="N102">INDEX(GMWQ!$A$2:$LR$60,MATCH(1,(GMWQ!$LQ$2:$LQ$60=N$3)*(GMWQ!$LP$2:$LP$60=N$4)*(GMWQ!$LR$2:$LR$60=N$1),0),$B102-1966)</f>
        <v>7442</v>
      </c>
      <c r="O102" s="7" cm="1">
        <f t="array" ref="O102">INDEX(GMWQ!$A$2:$LR$60,MATCH(1,(GMWQ!$LQ$2:$LQ$60=O$3)*(GMWQ!$LP$2:$LP$60=O$4)*(GMWQ!$LR$2:$LR$60=O$1),0),$B102-1966)</f>
        <v>7430</v>
      </c>
      <c r="P102" s="7" cm="1">
        <f t="array" ref="P102">INDEX(GMWQ!$A$2:$LR$60,MATCH(1,(GMWQ!$LQ$2:$LQ$60=P$3)*(GMWQ!$LP$2:$LP$60=P$4)*(GMWQ!$LR$2:$LR$60=P$1),0),$B102-1966)</f>
        <v>154146</v>
      </c>
      <c r="Q102" s="7" cm="1">
        <f t="array" ref="Q102">INDEX(GMWQ!$A$2:$LR$60,MATCH(1,(GMWQ!$LQ$2:$LQ$60=Q$3)*(GMWQ!$LP$2:$LP$60=Q$4)*(GMWQ!$LR$2:$LR$60=Q$1),0),$B102-1966)</f>
        <v>6.51</v>
      </c>
      <c r="R102" s="7" cm="1">
        <f t="array" ref="R102">INDEX(GMWQ!$A$2:$LR$60,MATCH(1,(GMWQ!$LQ$2:$LQ$60=R$3)*(GMWQ!$LP$2:$LP$60=R$4)*(GMWQ!$LR$2:$LR$60=R$1),0),$B102-1966)</f>
        <v>303086</v>
      </c>
      <c r="S102" s="7" cm="1">
        <f t="array" ref="S102">INDEX(GMWQ!$A$2:$LR$60,MATCH(1,(GMWQ!$LQ$2:$LQ$60=S$3)*(GMWQ!$LP$2:$LP$60=S$4)*(GMWQ!$LR$2:$LR$60=S$1),0),$B102-1966)</f>
        <v>351</v>
      </c>
      <c r="T102" s="7" cm="1">
        <f t="array" ref="T102">INDEX(GMWQ!$A$2:$LR$60,MATCH(1,(GMWQ!$LQ$2:$LQ$60=T$3)*(GMWQ!$LP$2:$LP$60=T$4)*(GMWQ!$LR$2:$LR$60=T$1),0),$B102-1966)</f>
        <v>19316</v>
      </c>
      <c r="U102" s="7" cm="1">
        <f t="array" ref="U102">INDEX(GMWQ!$A$2:$LR$60,MATCH(1,(GMWQ!$LQ$2:$LQ$60=U$3)*(GMWQ!$LP$2:$LP$60=U$4)*(GMWQ!$LR$2:$LR$60=U$1),0),$B102-1966)</f>
        <v>5617</v>
      </c>
      <c r="V102" s="7" cm="1">
        <f t="array" ref="V102">INDEX(GMWQ!$A$2:$LR$60,MATCH(1,(GMWQ!$LQ$2:$LQ$60=V$3)*(GMWQ!$LP$2:$LP$60=V$4)*(GMWQ!$LR$2:$LR$60=V$1),0),$B102-1966)</f>
        <v>3.2049370000000002E-3</v>
      </c>
      <c r="W102" s="7" cm="1">
        <f t="array" ref="W102">INDEX(GMWQ!$A$2:$LR$60,MATCH(1,(GMWQ!$LQ$2:$LQ$60=W$3)*(GMWQ!$LP$2:$LP$60=W$4)*(GMWQ!$LR$2:$LR$60=W$1),0),$B102-1966)</f>
        <v>10.227600000000001</v>
      </c>
      <c r="X102" s="7" cm="1">
        <f t="array" ref="X102">INDEX(GMWQ!$A$2:$LR$60,MATCH(1,(GMWQ!$LQ$2:$LQ$60=X$3)*(GMWQ!$LP$2:$LP$60=X$4)*(GMWQ!$LR$2:$LR$60=X$1),0),$B102-1966)</f>
        <v>1191502</v>
      </c>
      <c r="Y102" s="7" cm="1">
        <f t="array" ref="Y102">INDEX(GMWQ!$A$2:$LR$60,MATCH(1,(GMWQ!$LQ$2:$LQ$60=Y$3)*(GMWQ!$LP$2:$LP$60=Y$4)*(GMWQ!$LR$2:$LR$60=Y$1),0),$B102-1966)</f>
        <v>65.860529999999997</v>
      </c>
      <c r="Z102" s="7" cm="1">
        <f t="array" ref="Z102">INDEX(GMWQ!$A$2:$LR$60,MATCH(1,(GMWQ!$LQ$2:$LQ$60=Z$3)*(GMWQ!$LP$2:$LP$60=Z$4)*(GMWQ!$LR$2:$LR$60=Z$1),0),$B102-1966)</f>
        <v>356731.5</v>
      </c>
      <c r="AA102" s="7" cm="1">
        <f t="array" ref="AA102">INDEX(GMWQ!$A$2:$LR$60,MATCH(1,(GMWQ!$LQ$2:$LQ$60=AA$3)*(GMWQ!$LP$2:$LP$60=AA$4)*(GMWQ!$LR$2:$LR$60=AA$1),0),$B102-1966)</f>
        <v>80203</v>
      </c>
      <c r="AB102" s="7" cm="1">
        <f t="array" ref="AB102">INDEX(GMWQ!$A$2:$LR$60,MATCH(1,(GMWQ!$LQ$2:$LQ$60=AB$3)*(GMWQ!$LP$2:$LP$60=AB$4)*(GMWQ!$LR$2:$LR$60=AB$1),0),$B102-1966)</f>
        <v>76551</v>
      </c>
      <c r="AC102" s="7" cm="1">
        <f t="array" ref="AC102">INDEX(GMWQ!$A$2:$LR$60,MATCH(1,(GMWQ!$LQ$2:$LQ$60=AC$3)*(GMWQ!$LP$2:$LP$60=AC$4)*(GMWQ!$LR$2:$LR$60=AC$1),0),$B102-1966)</f>
        <v>-250</v>
      </c>
      <c r="AD102" s="7" cm="1">
        <f t="array" ref="AD102">INDEX(GMWQ!$A$2:$LR$60,MATCH(1,(GMWQ!$LQ$2:$LQ$60=AD$3)*(GMWQ!$LP$2:$LP$60=AD$4)*(GMWQ!$LR$2:$LR$60=AD$1),0),$B102-1966)</f>
        <v>5409</v>
      </c>
      <c r="AE102" s="7" cm="1">
        <f t="array" ref="AE102">INDEX(GMWQ!$A$2:$LR$60,MATCH(1,(GMWQ!$LQ$2:$LQ$60=AE$3)*(GMWQ!$LP$2:$LP$60=AE$4)*(GMWQ!$LR$2:$LR$60=AE$1),0),$B102-1966)</f>
        <v>232460</v>
      </c>
      <c r="AF102" s="20" cm="1">
        <f t="array" ref="AF102">INDEX(GMWQ!$A$2:$LR$60,MATCH(1,(GMWQ!$LQ$2:$LQ$60=AF$3)*(GMWQ!$LP$2:$LP$60=AF$4)*(GMWQ!$LR$2:$LR$60=AF$1),0),$B102-1966)</f>
        <v>5.8579549999999996</v>
      </c>
      <c r="AG102" s="20" cm="1">
        <f t="array" ref="AG102">INDEX(GMWQ!$A$2:$LR$60,MATCH(1,(GMWQ!$LQ$2:$LQ$60=AG$3)*(GMWQ!$LP$2:$LP$60=AG$4)*(GMWQ!$LR$2:$LR$60=AG$1),0),$B102-1966)</f>
        <v>-12</v>
      </c>
      <c r="AI102" s="23" cm="1">
        <f t="array" ref="AI102">INDEX(GMWQ!$A$2:$LR$60,MATCH(1,(GMWQ!$LQ$2:$LQ$60=AI$3)*(GMWQ!$LP$2:$LP$60=AI$4)*(GMWQ!$LR$2:$LR$60=AI$1),0),$B102-1966)</f>
        <v>154146</v>
      </c>
      <c r="AJ102" s="23" cm="1">
        <f t="array" ref="AJ102">INDEX(GMWQ!$A$2:$LR$60,MATCH(1,(GMWQ!$LQ$2:$LQ$60=AJ$3)*(GMWQ!$LP$2:$LP$60=AJ$4)*(GMWQ!$LR$2:$LR$60=AJ$1),0),$B102-1966)</f>
        <v>70.724800000000002</v>
      </c>
      <c r="AK102" s="23" cm="1">
        <f t="array" ref="AK102">INDEX(GMWQ!$A$2:$LR$60,MATCH(1,(GMWQ!$LQ$2:$LQ$60=AK$3)*(GMWQ!$LP$2:$LP$60=AK$4)*(GMWQ!$LR$2:$LR$60=AK$1),0),$B102-1966)</f>
        <v>88882</v>
      </c>
      <c r="AL102" s="23" cm="1">
        <f t="array" ref="AL102">INDEX(GMWQ!$A$2:$LR$60,MATCH(1,(GMWQ!$LQ$2:$LQ$60=AL$3)*(GMWQ!$LP$2:$LP$60=AL$4)*(GMWQ!$LR$2:$LR$60=AL$1),0),$B102-1966)</f>
        <v>3978.2469999999998</v>
      </c>
      <c r="AM102" s="23" cm="1">
        <f t="array" ref="AM102">INDEX(GMWQ!$A$2:$LR$60,MATCH(1,(GMWQ!$LQ$2:$LQ$60=AM$3)*(GMWQ!$LP$2:$LP$60=AM$4)*(GMWQ!$LR$2:$LR$60=AM$1),0),$B102-1966)</f>
        <v>22342</v>
      </c>
      <c r="AN102" s="23" cm="1">
        <f t="array" ref="AN102">INDEX(GMWQ!$A$2:$LR$60,MATCH(1,(GMWQ!$LQ$2:$LQ$60=AN$3)*(GMWQ!$LP$2:$LP$60=AN$4)*(GMWQ!$LR$2:$LR$60=AN$1),0),$B102-1966)</f>
        <v>20233</v>
      </c>
      <c r="AO102" s="23" cm="1">
        <f t="array" ref="AO102">INDEX(GMWQ!$A$2:$LR$60,MATCH(1,(GMWQ!$LQ$2:$LQ$60=AO$3)*(GMWQ!$LP$2:$LP$60=AO$4)*(GMWQ!$LR$2:$LR$60=AO$1),0),$B102-1966)</f>
        <v>5920</v>
      </c>
      <c r="AP102" s="23" cm="1">
        <f t="array" ref="AP102">INDEX(GMWQ!$A$2:$LR$60,MATCH(1,(GMWQ!$LQ$2:$LQ$60=AP$3)*(GMWQ!$LP$2:$LP$60=AP$4)*(GMWQ!$LR$2:$LR$60=AP$1),0),$B102-1966)</f>
        <v>-12</v>
      </c>
      <c r="AQ102" s="23" cm="1">
        <f t="array" ref="AQ102">INDEX(GMWQ!$A$2:$LR$60,MATCH(1,(GMWQ!$LQ$2:$LQ$60=AQ$3)*(GMWQ!$LP$2:$LP$60=AQ$4)*(GMWQ!$LR$2:$LR$60=AQ$1),0),$B102-1966)</f>
        <v>24705</v>
      </c>
      <c r="AR102" s="23" cm="1">
        <f t="array" ref="AR102">INDEX(GMWQ!$A$2:$LR$60,MATCH(1,(GMWQ!$LQ$2:$LQ$60=AR$3)*(GMWQ!$LP$2:$LP$60=AR$4)*(GMWQ!$LR$2:$LR$60=AR$1),0),$B102-1966)</f>
        <v>146133</v>
      </c>
      <c r="AS102" s="23" cm="1">
        <f t="array" ref="AS102">INDEX(GMWQ!$A$2:$LR$60,MATCH(1,(GMWQ!$LQ$2:$LQ$60=AS$3)*(GMWQ!$LP$2:$LP$60=AS$4)*(GMWQ!$LR$2:$LR$60=AS$1),0),$B102-1966)</f>
        <v>3289</v>
      </c>
      <c r="AT102" s="23" cm="1">
        <f t="array" ref="AT102">INDEX(GMWQ!$A$2:$LR$60,MATCH(1,(GMWQ!$LQ$2:$LQ$60=AT$3)*(GMWQ!$LP$2:$LP$60=AT$4)*(GMWQ!$LR$2:$LR$60=AT$1),0),$B102-1966)</f>
        <v>206622</v>
      </c>
      <c r="AU102" s="23" cm="1">
        <f t="array" ref="AU102">INDEX(GMWQ!$A$2:$LR$60,MATCH(1,(GMWQ!$LQ$2:$LQ$60=AU$3)*(GMWQ!$LP$2:$LP$60=AU$4)*(GMWQ!$LR$2:$LR$60=AU$1),0),$B102-1966)</f>
        <v>7076</v>
      </c>
    </row>
    <row r="103" spans="1:47" x14ac:dyDescent="0.35">
      <c r="A103" s="7">
        <v>1997</v>
      </c>
      <c r="B103" s="7">
        <f t="shared" si="2"/>
        <v>2069</v>
      </c>
      <c r="C103" s="7" cm="1">
        <f t="array" ref="C103">INDEX(GMWQ!$A$2:$LR$60,MATCH(1,(GMWQ!$LQ$2:$LQ$60=C$3)*(GMWQ!$LP$2:$LP$60=C$4)*(GMWQ!$LR$2:$LR$60=C$1),0),$B103-1966)</f>
        <v>358611</v>
      </c>
      <c r="D103" s="7" cm="1">
        <f t="array" ref="D103">INDEX(GMWQ!$A$2:$LR$60,MATCH(1,(GMWQ!$LQ$2:$LQ$60=D$3)*(GMWQ!$LP$2:$LP$60=D$4)*(GMWQ!$LR$2:$LR$60=D$1),0),$B103-1966)</f>
        <v>253.93029999999999</v>
      </c>
      <c r="E103" s="7" cm="1">
        <f t="array" ref="E103">INDEX(GMWQ!$A$2:$LR$60,MATCH(1,(GMWQ!$LQ$2:$LQ$60=E$3)*(GMWQ!$LP$2:$LP$60=E$4)*(GMWQ!$LR$2:$LR$60=E$1),0),$B103-1966)</f>
        <v>69.366669999999999</v>
      </c>
      <c r="F103" s="7" cm="1">
        <f t="array" ref="F103">INDEX(GMWQ!$A$2:$LR$60,MATCH(1,(GMWQ!$LQ$2:$LQ$60=F$3)*(GMWQ!$LP$2:$LP$60=F$4)*(GMWQ!$LR$2:$LR$60=F$1),0),$B103-1966)</f>
        <v>92102</v>
      </c>
      <c r="G103" s="7" cm="1">
        <f t="array" ref="G103">INDEX(GMWQ!$A$2:$LR$60,MATCH(1,(GMWQ!$LQ$2:$LQ$60=G$3)*(GMWQ!$LP$2:$LP$60=G$4)*(GMWQ!$LR$2:$LR$60=G$1),0),$B103-1966)</f>
        <v>17829</v>
      </c>
      <c r="H103" s="7" cm="1">
        <f t="array" ref="H103">INDEX(GMWQ!$A$2:$LR$60,MATCH(1,(GMWQ!$LQ$2:$LQ$60=H$3)*(GMWQ!$LP$2:$LP$60=H$4)*(GMWQ!$LR$2:$LR$60=H$1),0),$B103-1966)</f>
        <v>5950</v>
      </c>
      <c r="I103" s="7" cm="1">
        <f t="array" ref="I103">INDEX(GMWQ!$A$2:$LR$60,MATCH(1,(GMWQ!$LQ$2:$LQ$60=I$3)*(GMWQ!$LP$2:$LP$60=I$4)*(GMWQ!$LR$2:$LR$60=I$1),0),$B103-1966)</f>
        <v>70.883269999999996</v>
      </c>
      <c r="J103" s="7" cm="1">
        <f t="array" ref="J103">INDEX(GMWQ!$A$2:$LR$60,MATCH(1,(GMWQ!$LQ$2:$LQ$60=J$3)*(GMWQ!$LP$2:$LP$60=J$4)*(GMWQ!$LR$2:$LR$60=J$1),0),$B103-1966)</f>
        <v>22563</v>
      </c>
      <c r="K103" s="7" cm="1">
        <f t="array" ref="K103">INDEX(GMWQ!$A$2:$LR$60,MATCH(1,(GMWQ!$LQ$2:$LQ$60=K$3)*(GMWQ!$LP$2:$LP$60=K$4)*(GMWQ!$LR$2:$LR$60=K$1),0),$B103-1966)</f>
        <v>5.9375</v>
      </c>
      <c r="L103" s="7" cm="1">
        <f t="array" ref="L103">INDEX(GMWQ!$A$2:$LR$60,MATCH(1,(GMWQ!$LQ$2:$LQ$60=L$3)*(GMWQ!$LP$2:$LP$60=L$4)*(GMWQ!$LR$2:$LR$60=L$1),0),$B103-1966)</f>
        <v>7.3</v>
      </c>
      <c r="M103" s="7" cm="1">
        <f t="array" ref="M103">INDEX(GMWQ!$A$2:$LR$60,MATCH(1,(GMWQ!$LQ$2:$LQ$60=M$3)*(GMWQ!$LP$2:$LP$60=M$4)*(GMWQ!$LR$2:$LR$60=M$1),0),$B103-1966)</f>
        <v>32.086570000000002</v>
      </c>
      <c r="N103" s="7" cm="1">
        <f t="array" ref="N103">INDEX(GMWQ!$A$2:$LR$60,MATCH(1,(GMWQ!$LQ$2:$LQ$60=N$3)*(GMWQ!$LP$2:$LP$60=N$4)*(GMWQ!$LR$2:$LR$60=N$1),0),$B103-1966)</f>
        <v>7781</v>
      </c>
      <c r="O103" s="7" cm="1">
        <f t="array" ref="O103">INDEX(GMWQ!$A$2:$LR$60,MATCH(1,(GMWQ!$LQ$2:$LQ$60=O$3)*(GMWQ!$LP$2:$LP$60=O$4)*(GMWQ!$LR$2:$LR$60=O$1),0),$B103-1966)</f>
        <v>7773</v>
      </c>
      <c r="P103" s="7" cm="1">
        <f t="array" ref="P103">INDEX(GMWQ!$A$2:$LR$60,MATCH(1,(GMWQ!$LQ$2:$LQ$60=P$3)*(GMWQ!$LP$2:$LP$60=P$4)*(GMWQ!$LR$2:$LR$60=P$1),0),$B103-1966)</f>
        <v>156649</v>
      </c>
      <c r="Q103" s="7" cm="1">
        <f t="array" ref="Q103">INDEX(GMWQ!$A$2:$LR$60,MATCH(1,(GMWQ!$LQ$2:$LQ$60=Q$3)*(GMWQ!$LP$2:$LP$60=Q$4)*(GMWQ!$LR$2:$LR$60=Q$1),0),$B103-1966)</f>
        <v>6.66</v>
      </c>
      <c r="R103" s="7" cm="1">
        <f t="array" ref="R103">INDEX(GMWQ!$A$2:$LR$60,MATCH(1,(GMWQ!$LQ$2:$LQ$60=R$3)*(GMWQ!$LP$2:$LP$60=R$4)*(GMWQ!$LR$2:$LR$60=R$1),0),$B103-1966)</f>
        <v>300150</v>
      </c>
      <c r="S103" s="7" cm="1">
        <f t="array" ref="S103">INDEX(GMWQ!$A$2:$LR$60,MATCH(1,(GMWQ!$LQ$2:$LQ$60=S$3)*(GMWQ!$LP$2:$LP$60=S$4)*(GMWQ!$LR$2:$LR$60=S$1),0),$B103-1966)</f>
        <v>359</v>
      </c>
      <c r="T103" s="7" cm="1">
        <f t="array" ref="T103">INDEX(GMWQ!$A$2:$LR$60,MATCH(1,(GMWQ!$LQ$2:$LQ$60=T$3)*(GMWQ!$LP$2:$LP$60=T$4)*(GMWQ!$LR$2:$LR$60=T$1),0),$B103-1966)</f>
        <v>18744</v>
      </c>
      <c r="U103" s="7" cm="1">
        <f t="array" ref="U103">INDEX(GMWQ!$A$2:$LR$60,MATCH(1,(GMWQ!$LQ$2:$LQ$60=U$3)*(GMWQ!$LP$2:$LP$60=U$4)*(GMWQ!$LR$2:$LR$60=U$1),0),$B103-1966)</f>
        <v>5826</v>
      </c>
      <c r="V103" s="7" cm="1">
        <f t="array" ref="V103">INDEX(GMWQ!$A$2:$LR$60,MATCH(1,(GMWQ!$LQ$2:$LQ$60=V$3)*(GMWQ!$LP$2:$LP$60=V$4)*(GMWQ!$LR$2:$LR$60=V$1),0),$B103-1966)</f>
        <v>2.9040950000000002E-3</v>
      </c>
      <c r="W103" s="7" cm="1">
        <f t="array" ref="W103">INDEX(GMWQ!$A$2:$LR$60,MATCH(1,(GMWQ!$LQ$2:$LQ$60=W$3)*(GMWQ!$LP$2:$LP$60=W$4)*(GMWQ!$LR$2:$LR$60=W$1),0),$B103-1966)</f>
        <v>12.28341</v>
      </c>
      <c r="X103" s="7" cm="1">
        <f t="array" ref="X103">INDEX(GMWQ!$A$2:$LR$60,MATCH(1,(GMWQ!$LQ$2:$LQ$60=X$3)*(GMWQ!$LP$2:$LP$60=X$4)*(GMWQ!$LR$2:$LR$60=X$1),0),$B103-1966)</f>
        <v>1200707</v>
      </c>
      <c r="Y103" s="7" cm="1">
        <f t="array" ref="Y103">INDEX(GMWQ!$A$2:$LR$60,MATCH(1,(GMWQ!$LQ$2:$LQ$60=Y$3)*(GMWQ!$LP$2:$LP$60=Y$4)*(GMWQ!$LR$2:$LR$60=Y$1),0),$B103-1966)</f>
        <v>64.89734</v>
      </c>
      <c r="Z103" s="7" cm="1">
        <f t="array" ref="Z103">INDEX(GMWQ!$A$2:$LR$60,MATCH(1,(GMWQ!$LQ$2:$LQ$60=Z$3)*(GMWQ!$LP$2:$LP$60=Z$4)*(GMWQ!$LR$2:$LR$60=Z$1),0),$B103-1966)</f>
        <v>359278.3</v>
      </c>
      <c r="AA103" s="7" cm="1">
        <f t="array" ref="AA103">INDEX(GMWQ!$A$2:$LR$60,MATCH(1,(GMWQ!$LQ$2:$LQ$60=AA$3)*(GMWQ!$LP$2:$LP$60=AA$4)*(GMWQ!$LR$2:$LR$60=AA$1),0),$B103-1966)</f>
        <v>80621</v>
      </c>
      <c r="AB103" s="7" cm="1">
        <f t="array" ref="AB103">INDEX(GMWQ!$A$2:$LR$60,MATCH(1,(GMWQ!$LQ$2:$LQ$60=AB$3)*(GMWQ!$LP$2:$LP$60=AB$4)*(GMWQ!$LR$2:$LR$60=AB$1),0),$B103-1966)</f>
        <v>76803</v>
      </c>
      <c r="AC103" s="7" cm="1">
        <f t="array" ref="AC103">INDEX(GMWQ!$A$2:$LR$60,MATCH(1,(GMWQ!$LQ$2:$LQ$60=AC$3)*(GMWQ!$LP$2:$LP$60=AC$4)*(GMWQ!$LR$2:$LR$60=AC$1),0),$B103-1966)</f>
        <v>2983</v>
      </c>
      <c r="AD103" s="7" cm="1">
        <f t="array" ref="AD103">INDEX(GMWQ!$A$2:$LR$60,MATCH(1,(GMWQ!$LQ$2:$LQ$60=AD$3)*(GMWQ!$LP$2:$LP$60=AD$4)*(GMWQ!$LR$2:$LR$60=AD$1),0),$B103-1966)</f>
        <v>5456</v>
      </c>
      <c r="AE103" s="7" cm="1">
        <f t="array" ref="AE103">INDEX(GMWQ!$A$2:$LR$60,MATCH(1,(GMWQ!$LQ$2:$LQ$60=AE$3)*(GMWQ!$LP$2:$LP$60=AE$4)*(GMWQ!$LR$2:$LR$60=AE$1),0),$B103-1966)</f>
        <v>232729</v>
      </c>
      <c r="AF103" s="20" cm="1">
        <f t="array" ref="AF103">INDEX(GMWQ!$A$2:$LR$60,MATCH(1,(GMWQ!$LQ$2:$LQ$60=AF$3)*(GMWQ!$LP$2:$LP$60=AF$4)*(GMWQ!$LR$2:$LR$60=AF$1),0),$B103-1966)</f>
        <v>5.9375</v>
      </c>
      <c r="AG103" s="20" cm="1">
        <f t="array" ref="AG103">INDEX(GMWQ!$A$2:$LR$60,MATCH(1,(GMWQ!$LQ$2:$LQ$60=AG$3)*(GMWQ!$LP$2:$LP$60=AG$4)*(GMWQ!$LR$2:$LR$60=AG$1),0),$B103-1966)</f>
        <v>-8</v>
      </c>
      <c r="AI103" s="23" cm="1">
        <f t="array" ref="AI103">INDEX(GMWQ!$A$2:$LR$60,MATCH(1,(GMWQ!$LQ$2:$LQ$60=AI$3)*(GMWQ!$LP$2:$LP$60=AI$4)*(GMWQ!$LR$2:$LR$60=AI$1),0),$B103-1966)</f>
        <v>156649</v>
      </c>
      <c r="AJ103" s="23" cm="1">
        <f t="array" ref="AJ103">INDEX(GMWQ!$A$2:$LR$60,MATCH(1,(GMWQ!$LQ$2:$LQ$60=AJ$3)*(GMWQ!$LP$2:$LP$60=AJ$4)*(GMWQ!$LR$2:$LR$60=AJ$1),0),$B103-1966)</f>
        <v>70.883269999999996</v>
      </c>
      <c r="AK103" s="23" cm="1">
        <f t="array" ref="AK103">INDEX(GMWQ!$A$2:$LR$60,MATCH(1,(GMWQ!$LQ$2:$LQ$60=AK$3)*(GMWQ!$LP$2:$LP$60=AK$4)*(GMWQ!$LR$2:$LR$60=AK$1),0),$B103-1966)</f>
        <v>92102</v>
      </c>
      <c r="AL103" s="23" cm="1">
        <f t="array" ref="AL103">INDEX(GMWQ!$A$2:$LR$60,MATCH(1,(GMWQ!$LQ$2:$LQ$60=AL$3)*(GMWQ!$LP$2:$LP$60=AL$4)*(GMWQ!$LR$2:$LR$60=AL$1),0),$B103-1966)</f>
        <v>4081.9929999999999</v>
      </c>
      <c r="AM103" s="23" cm="1">
        <f t="array" ref="AM103">INDEX(GMWQ!$A$2:$LR$60,MATCH(1,(GMWQ!$LQ$2:$LQ$60=AM$3)*(GMWQ!$LP$2:$LP$60=AM$4)*(GMWQ!$LR$2:$LR$60=AM$1),0),$B103-1966)</f>
        <v>22563</v>
      </c>
      <c r="AN103" s="23" cm="1">
        <f t="array" ref="AN103">INDEX(GMWQ!$A$2:$LR$60,MATCH(1,(GMWQ!$LQ$2:$LQ$60=AN$3)*(GMWQ!$LP$2:$LP$60=AN$4)*(GMWQ!$LR$2:$LR$60=AN$1),0),$B103-1966)</f>
        <v>17829</v>
      </c>
      <c r="AO103" s="23" cm="1">
        <f t="array" ref="AO103">INDEX(GMWQ!$A$2:$LR$60,MATCH(1,(GMWQ!$LQ$2:$LQ$60=AO$3)*(GMWQ!$LP$2:$LP$60=AO$4)*(GMWQ!$LR$2:$LR$60=AO$1),0),$B103-1966)</f>
        <v>5950</v>
      </c>
      <c r="AP103" s="23" cm="1">
        <f t="array" ref="AP103">INDEX(GMWQ!$A$2:$LR$60,MATCH(1,(GMWQ!$LQ$2:$LQ$60=AP$3)*(GMWQ!$LP$2:$LP$60=AP$4)*(GMWQ!$LR$2:$LR$60=AP$1),0),$B103-1966)</f>
        <v>-8</v>
      </c>
      <c r="AQ103" s="23" cm="1">
        <f t="array" ref="AQ103">INDEX(GMWQ!$A$2:$LR$60,MATCH(1,(GMWQ!$LQ$2:$LQ$60=AQ$3)*(GMWQ!$LP$2:$LP$60=AQ$4)*(GMWQ!$LR$2:$LR$60=AQ$1),0),$B103-1966)</f>
        <v>25253</v>
      </c>
      <c r="AR103" s="23" cm="1">
        <f t="array" ref="AR103">INDEX(GMWQ!$A$2:$LR$60,MATCH(1,(GMWQ!$LQ$2:$LQ$60=AR$3)*(GMWQ!$LP$2:$LP$60=AR$4)*(GMWQ!$LR$2:$LR$60=AR$1),0),$B103-1966)</f>
        <v>148521</v>
      </c>
      <c r="AS103" s="23" cm="1">
        <f t="array" ref="AS103">INDEX(GMWQ!$A$2:$LR$60,MATCH(1,(GMWQ!$LQ$2:$LQ$60=AS$3)*(GMWQ!$LP$2:$LP$60=AS$4)*(GMWQ!$LR$2:$LR$60=AS$1),0),$B103-1966)</f>
        <v>3780</v>
      </c>
      <c r="AT103" s="23" cm="1">
        <f t="array" ref="AT103">INDEX(GMWQ!$A$2:$LR$60,MATCH(1,(GMWQ!$LQ$2:$LQ$60=AT$3)*(GMWQ!$LP$2:$LP$60=AT$4)*(GMWQ!$LR$2:$LR$60=AT$1),0),$B103-1966)</f>
        <v>209529</v>
      </c>
      <c r="AU103" s="23" cm="1">
        <f t="array" ref="AU103">INDEX(GMWQ!$A$2:$LR$60,MATCH(1,(GMWQ!$LQ$2:$LQ$60=AU$3)*(GMWQ!$LP$2:$LP$60=AU$4)*(GMWQ!$LR$2:$LR$60=AU$1),0),$B103-1966)</f>
        <v>8918</v>
      </c>
    </row>
    <row r="104" spans="1:47" x14ac:dyDescent="0.35">
      <c r="B104" s="7">
        <f t="shared" si="2"/>
        <v>2070</v>
      </c>
      <c r="C104" s="7" cm="1">
        <f t="array" ref="C104">INDEX(GMWQ!$A$2:$LR$60,MATCH(1,(GMWQ!$LQ$2:$LQ$60=C$3)*(GMWQ!$LP$2:$LP$60=C$4)*(GMWQ!$LR$2:$LR$60=C$1),0),$B104-1966)</f>
        <v>362573</v>
      </c>
      <c r="D104" s="7" cm="1">
        <f t="array" ref="D104">INDEX(GMWQ!$A$2:$LR$60,MATCH(1,(GMWQ!$LQ$2:$LQ$60=D$3)*(GMWQ!$LP$2:$LP$60=D$4)*(GMWQ!$LR$2:$LR$60=D$1),0),$B104-1966)</f>
        <v>259.93700000000001</v>
      </c>
      <c r="E104" s="7" cm="1">
        <f t="array" ref="E104">INDEX(GMWQ!$A$2:$LR$60,MATCH(1,(GMWQ!$LQ$2:$LQ$60=E$3)*(GMWQ!$LP$2:$LP$60=E$4)*(GMWQ!$LR$2:$LR$60=E$1),0),$B104-1966)</f>
        <v>70</v>
      </c>
      <c r="F104" s="7" cm="1">
        <f t="array" ref="F104">INDEX(GMWQ!$A$2:$LR$60,MATCH(1,(GMWQ!$LQ$2:$LQ$60=F$3)*(GMWQ!$LP$2:$LP$60=F$4)*(GMWQ!$LR$2:$LR$60=F$1),0),$B104-1966)</f>
        <v>94136</v>
      </c>
      <c r="G104" s="7" cm="1">
        <f t="array" ref="G104">INDEX(GMWQ!$A$2:$LR$60,MATCH(1,(GMWQ!$LQ$2:$LQ$60=G$3)*(GMWQ!$LP$2:$LP$60=G$4)*(GMWQ!$LR$2:$LR$60=G$1),0),$B104-1966)</f>
        <v>19013</v>
      </c>
      <c r="H104" s="7" cm="1">
        <f t="array" ref="H104">INDEX(GMWQ!$A$2:$LR$60,MATCH(1,(GMWQ!$LQ$2:$LQ$60=H$3)*(GMWQ!$LP$2:$LP$60=H$4)*(GMWQ!$LR$2:$LR$60=H$1),0),$B104-1966)</f>
        <v>6448</v>
      </c>
      <c r="I104" s="7" cm="1">
        <f t="array" ref="I104">INDEX(GMWQ!$A$2:$LR$60,MATCH(1,(GMWQ!$LQ$2:$LQ$60=I$3)*(GMWQ!$LP$2:$LP$60=I$4)*(GMWQ!$LR$2:$LR$60=I$1),0),$B104-1966)</f>
        <v>71.657399999999996</v>
      </c>
      <c r="J104" s="7" cm="1">
        <f t="array" ref="J104">INDEX(GMWQ!$A$2:$LR$60,MATCH(1,(GMWQ!$LQ$2:$LQ$60=J$3)*(GMWQ!$LP$2:$LP$60=J$4)*(GMWQ!$LR$2:$LR$60=J$1),0),$B104-1966)</f>
        <v>22717</v>
      </c>
      <c r="K104" s="7" cm="1">
        <f t="array" ref="K104">INDEX(GMWQ!$A$2:$LR$60,MATCH(1,(GMWQ!$LQ$2:$LQ$60=K$3)*(GMWQ!$LP$2:$LP$60=K$4)*(GMWQ!$LR$2:$LR$60=K$1),0),$B104-1966)</f>
        <v>6.5</v>
      </c>
      <c r="L104" s="7" cm="1">
        <f t="array" ref="L104">INDEX(GMWQ!$A$2:$LR$60,MATCH(1,(GMWQ!$LQ$2:$LQ$60=L$3)*(GMWQ!$LP$2:$LP$60=L$4)*(GMWQ!$LR$2:$LR$60=L$1),0),$B104-1966)</f>
        <v>7.2</v>
      </c>
      <c r="M104" s="7" cm="1">
        <f t="array" ref="M104">INDEX(GMWQ!$A$2:$LR$60,MATCH(1,(GMWQ!$LQ$2:$LQ$60=M$3)*(GMWQ!$LP$2:$LP$60=M$4)*(GMWQ!$LR$2:$LR$60=M$1),0),$B104-1966)</f>
        <v>32.626959999999997</v>
      </c>
      <c r="N104" s="7" cm="1">
        <f t="array" ref="N104">INDEX(GMWQ!$A$2:$LR$60,MATCH(1,(GMWQ!$LQ$2:$LQ$60=N$3)*(GMWQ!$LP$2:$LP$60=N$4)*(GMWQ!$LR$2:$LR$60=N$1),0),$B104-1966)</f>
        <v>7909</v>
      </c>
      <c r="O104" s="7" cm="1">
        <f t="array" ref="O104">INDEX(GMWQ!$A$2:$LR$60,MATCH(1,(GMWQ!$LQ$2:$LQ$60=O$3)*(GMWQ!$LP$2:$LP$60=O$4)*(GMWQ!$LR$2:$LR$60=O$1),0),$B104-1966)</f>
        <v>7737</v>
      </c>
      <c r="P104" s="7" cm="1">
        <f t="array" ref="P104">INDEX(GMWQ!$A$2:$LR$60,MATCH(1,(GMWQ!$LQ$2:$LQ$60=P$3)*(GMWQ!$LP$2:$LP$60=P$4)*(GMWQ!$LR$2:$LR$60=P$1),0),$B104-1966)</f>
        <v>159714</v>
      </c>
      <c r="Q104" s="7" cm="1">
        <f t="array" ref="Q104">INDEX(GMWQ!$A$2:$LR$60,MATCH(1,(GMWQ!$LQ$2:$LQ$60=Q$3)*(GMWQ!$LP$2:$LP$60=Q$4)*(GMWQ!$LR$2:$LR$60=Q$1),0),$B104-1966)</f>
        <v>6.98</v>
      </c>
      <c r="R104" s="7" cm="1">
        <f t="array" ref="R104">INDEX(GMWQ!$A$2:$LR$60,MATCH(1,(GMWQ!$LQ$2:$LQ$60=R$3)*(GMWQ!$LP$2:$LP$60=R$4)*(GMWQ!$LR$2:$LR$60=R$1),0),$B104-1966)</f>
        <v>310441</v>
      </c>
      <c r="S104" s="7" cm="1">
        <f t="array" ref="S104">INDEX(GMWQ!$A$2:$LR$60,MATCH(1,(GMWQ!$LQ$2:$LQ$60=S$3)*(GMWQ!$LP$2:$LP$60=S$4)*(GMWQ!$LR$2:$LR$60=S$1),0),$B104-1966)</f>
        <v>361</v>
      </c>
      <c r="T104" s="7" cm="1">
        <f t="array" ref="T104">INDEX(GMWQ!$A$2:$LR$60,MATCH(1,(GMWQ!$LQ$2:$LQ$60=T$3)*(GMWQ!$LP$2:$LP$60=T$4)*(GMWQ!$LR$2:$LR$60=T$1),0),$B104-1966)</f>
        <v>18487</v>
      </c>
      <c r="U104" s="7" cm="1">
        <f t="array" ref="U104">INDEX(GMWQ!$A$2:$LR$60,MATCH(1,(GMWQ!$LQ$2:$LQ$60=U$3)*(GMWQ!$LP$2:$LP$60=U$4)*(GMWQ!$LR$2:$LR$60=U$1),0),$B104-1966)</f>
        <v>5616</v>
      </c>
      <c r="V104" s="7" cm="1">
        <f t="array" ref="V104">INDEX(GMWQ!$A$2:$LR$60,MATCH(1,(GMWQ!$LQ$2:$LQ$60=V$3)*(GMWQ!$LP$2:$LP$60=V$4)*(GMWQ!$LR$2:$LR$60=V$1),0),$B104-1966)</f>
        <v>2.9869179999999999E-3</v>
      </c>
      <c r="W104" s="7" cm="1">
        <f t="array" ref="W104">INDEX(GMWQ!$A$2:$LR$60,MATCH(1,(GMWQ!$LQ$2:$LQ$60=W$3)*(GMWQ!$LP$2:$LP$60=W$4)*(GMWQ!$LR$2:$LR$60=W$1),0),$B104-1966)</f>
        <v>13.978680000000001</v>
      </c>
      <c r="X104" s="7" cm="1">
        <f t="array" ref="X104">INDEX(GMWQ!$A$2:$LR$60,MATCH(1,(GMWQ!$LQ$2:$LQ$60=X$3)*(GMWQ!$LP$2:$LP$60=X$4)*(GMWQ!$LR$2:$LR$60=X$1),0),$B104-1966)</f>
        <v>1228699</v>
      </c>
      <c r="Y104" s="7" cm="1">
        <f t="array" ref="Y104">INDEX(GMWQ!$A$2:$LR$60,MATCH(1,(GMWQ!$LQ$2:$LQ$60=Y$3)*(GMWQ!$LP$2:$LP$60=Y$4)*(GMWQ!$LR$2:$LR$60=Y$1),0),$B104-1966)</f>
        <v>65.08372</v>
      </c>
      <c r="Z104" s="7" cm="1">
        <f t="array" ref="Z104">INDEX(GMWQ!$A$2:$LR$60,MATCH(1,(GMWQ!$LQ$2:$LQ$60=Z$3)*(GMWQ!$LP$2:$LP$60=Z$4)*(GMWQ!$LR$2:$LR$60=Z$1),0),$B104-1966)</f>
        <v>362573</v>
      </c>
      <c r="AA104" s="7" cm="1">
        <f t="array" ref="AA104">INDEX(GMWQ!$A$2:$LR$60,MATCH(1,(GMWQ!$LQ$2:$LQ$60=AA$3)*(GMWQ!$LP$2:$LP$60=AA$4)*(GMWQ!$LR$2:$LR$60=AA$1),0),$B104-1966)</f>
        <v>72148</v>
      </c>
      <c r="AB104" s="7" cm="1">
        <f t="array" ref="AB104">INDEX(GMWQ!$A$2:$LR$60,MATCH(1,(GMWQ!$LQ$2:$LQ$60=AB$3)*(GMWQ!$LP$2:$LP$60=AB$4)*(GMWQ!$LR$2:$LR$60=AB$1),0),$B104-1966)</f>
        <v>77805</v>
      </c>
      <c r="AC104" s="7" cm="1">
        <f t="array" ref="AC104">INDEX(GMWQ!$A$2:$LR$60,MATCH(1,(GMWQ!$LQ$2:$LQ$60=AC$3)*(GMWQ!$LP$2:$LP$60=AC$4)*(GMWQ!$LR$2:$LR$60=AC$1),0),$B104-1966)</f>
        <v>-284</v>
      </c>
      <c r="AD104" s="7" cm="1">
        <f t="array" ref="AD104">INDEX(GMWQ!$A$2:$LR$60,MATCH(1,(GMWQ!$LQ$2:$LQ$60=AD$3)*(GMWQ!$LP$2:$LP$60=AD$4)*(GMWQ!$LR$2:$LR$60=AD$1),0),$B104-1966)</f>
        <v>5466</v>
      </c>
      <c r="AE104" s="7" cm="1">
        <f t="array" ref="AE104">INDEX(GMWQ!$A$2:$LR$60,MATCH(1,(GMWQ!$LQ$2:$LQ$60=AE$3)*(GMWQ!$LP$2:$LP$60=AE$4)*(GMWQ!$LR$2:$LR$60=AE$1),0),$B104-1966)</f>
        <v>235976</v>
      </c>
      <c r="AF104" s="20" cm="1">
        <f t="array" ref="AF104">INDEX(GMWQ!$A$2:$LR$60,MATCH(1,(GMWQ!$LQ$2:$LQ$60=AF$3)*(GMWQ!$LP$2:$LP$60=AF$4)*(GMWQ!$LR$2:$LR$60=AF$1),0),$B104-1966)</f>
        <v>6.1951919999999996</v>
      </c>
      <c r="AG104" s="20" cm="1">
        <f t="array" ref="AG104">INDEX(GMWQ!$A$2:$LR$60,MATCH(1,(GMWQ!$LQ$2:$LQ$60=AG$3)*(GMWQ!$LP$2:$LP$60=AG$4)*(GMWQ!$LR$2:$LR$60=AG$1),0),$B104-1966)</f>
        <v>-172</v>
      </c>
      <c r="AI104" s="23" cm="1">
        <f t="array" ref="AI104">INDEX(GMWQ!$A$2:$LR$60,MATCH(1,(GMWQ!$LQ$2:$LQ$60=AI$3)*(GMWQ!$LP$2:$LP$60=AI$4)*(GMWQ!$LR$2:$LR$60=AI$1),0),$B104-1966)</f>
        <v>159714</v>
      </c>
      <c r="AJ104" s="23" cm="1">
        <f t="array" ref="AJ104">INDEX(GMWQ!$A$2:$LR$60,MATCH(1,(GMWQ!$LQ$2:$LQ$60=AJ$3)*(GMWQ!$LP$2:$LP$60=AJ$4)*(GMWQ!$LR$2:$LR$60=AJ$1),0),$B104-1966)</f>
        <v>71.657399999999996</v>
      </c>
      <c r="AK104" s="23" cm="1">
        <f t="array" ref="AK104">INDEX(GMWQ!$A$2:$LR$60,MATCH(1,(GMWQ!$LQ$2:$LQ$60=AK$3)*(GMWQ!$LP$2:$LP$60=AK$4)*(GMWQ!$LR$2:$LR$60=AK$1),0),$B104-1966)</f>
        <v>94136</v>
      </c>
      <c r="AL104" s="23" cm="1">
        <f t="array" ref="AL104">INDEX(GMWQ!$A$2:$LR$60,MATCH(1,(GMWQ!$LQ$2:$LQ$60=AL$3)*(GMWQ!$LP$2:$LP$60=AL$4)*(GMWQ!$LR$2:$LR$60=AL$1),0),$B104-1966)</f>
        <v>4143.857</v>
      </c>
      <c r="AM104" s="23" cm="1">
        <f t="array" ref="AM104">INDEX(GMWQ!$A$2:$LR$60,MATCH(1,(GMWQ!$LQ$2:$LQ$60=AM$3)*(GMWQ!$LP$2:$LP$60=AM$4)*(GMWQ!$LR$2:$LR$60=AM$1),0),$B104-1966)</f>
        <v>22717</v>
      </c>
      <c r="AN104" s="23" cm="1">
        <f t="array" ref="AN104">INDEX(GMWQ!$A$2:$LR$60,MATCH(1,(GMWQ!$LQ$2:$LQ$60=AN$3)*(GMWQ!$LP$2:$LP$60=AN$4)*(GMWQ!$LR$2:$LR$60=AN$1),0),$B104-1966)</f>
        <v>19013</v>
      </c>
      <c r="AO104" s="23" cm="1">
        <f t="array" ref="AO104">INDEX(GMWQ!$A$2:$LR$60,MATCH(1,(GMWQ!$LQ$2:$LQ$60=AO$3)*(GMWQ!$LP$2:$LP$60=AO$4)*(GMWQ!$LR$2:$LR$60=AO$1),0),$B104-1966)</f>
        <v>6448</v>
      </c>
      <c r="AP104" s="23" cm="1">
        <f t="array" ref="AP104">INDEX(GMWQ!$A$2:$LR$60,MATCH(1,(GMWQ!$LQ$2:$LQ$60=AP$3)*(GMWQ!$LP$2:$LP$60=AP$4)*(GMWQ!$LR$2:$LR$60=AP$1),0),$B104-1966)</f>
        <v>-172</v>
      </c>
      <c r="AQ104" s="23" cm="1">
        <f t="array" ref="AQ104">INDEX(GMWQ!$A$2:$LR$60,MATCH(1,(GMWQ!$LQ$2:$LQ$60=AQ$3)*(GMWQ!$LP$2:$LP$60=AQ$4)*(GMWQ!$LR$2:$LR$60=AQ$1),0),$B104-1966)</f>
        <v>25366</v>
      </c>
      <c r="AR104" s="23" cm="1">
        <f t="array" ref="AR104">INDEX(GMWQ!$A$2:$LR$60,MATCH(1,(GMWQ!$LQ$2:$LQ$60=AR$3)*(GMWQ!$LP$2:$LP$60=AR$4)*(GMWQ!$LR$2:$LR$60=AR$1),0),$B104-1966)</f>
        <v>151923</v>
      </c>
      <c r="AS104" s="23" cm="1">
        <f t="array" ref="AS104">INDEX(GMWQ!$A$2:$LR$60,MATCH(1,(GMWQ!$LQ$2:$LQ$60=AS$3)*(GMWQ!$LP$2:$LP$60=AS$4)*(GMWQ!$LR$2:$LR$60=AS$1),0),$B104-1966)</f>
        <v>3848</v>
      </c>
      <c r="AT104" s="23" cm="1">
        <f t="array" ref="AT104">INDEX(GMWQ!$A$2:$LR$60,MATCH(1,(GMWQ!$LQ$2:$LQ$60=AT$3)*(GMWQ!$LP$2:$LP$60=AT$4)*(GMWQ!$LR$2:$LR$60=AT$1),0),$B104-1966)</f>
        <v>212013</v>
      </c>
      <c r="AU104" s="23" cm="1">
        <f t="array" ref="AU104">INDEX(GMWQ!$A$2:$LR$60,MATCH(1,(GMWQ!$LQ$2:$LQ$60=AU$3)*(GMWQ!$LP$2:$LP$60=AU$4)*(GMWQ!$LR$2:$LR$60=AU$1),0),$B104-1966)</f>
        <v>8743</v>
      </c>
    </row>
    <row r="105" spans="1:47" x14ac:dyDescent="0.35">
      <c r="B105" s="7">
        <f t="shared" si="2"/>
        <v>2071</v>
      </c>
      <c r="C105" s="7" cm="1">
        <f t="array" ref="C105">INDEX(GMWQ!$A$2:$LR$60,MATCH(1,(GMWQ!$LQ$2:$LQ$60=C$3)*(GMWQ!$LP$2:$LP$60=C$4)*(GMWQ!$LR$2:$LR$60=C$1),0),$B105-1966)</f>
        <v>365942</v>
      </c>
      <c r="D105" s="7" cm="1">
        <f t="array" ref="D105">INDEX(GMWQ!$A$2:$LR$60,MATCH(1,(GMWQ!$LQ$2:$LQ$60=D$3)*(GMWQ!$LP$2:$LP$60=D$4)*(GMWQ!$LR$2:$LR$60=D$1),0),$B105-1966)</f>
        <v>264.79160000000002</v>
      </c>
      <c r="E105" s="7" cm="1">
        <f t="array" ref="E105">INDEX(GMWQ!$A$2:$LR$60,MATCH(1,(GMWQ!$LQ$2:$LQ$60=E$3)*(GMWQ!$LP$2:$LP$60=E$4)*(GMWQ!$LR$2:$LR$60=E$1),0),$B105-1966)</f>
        <v>70.266670000000005</v>
      </c>
      <c r="F105" s="7" cm="1">
        <f t="array" ref="F105">INDEX(GMWQ!$A$2:$LR$60,MATCH(1,(GMWQ!$LQ$2:$LQ$60=F$3)*(GMWQ!$LP$2:$LP$60=F$4)*(GMWQ!$LR$2:$LR$60=F$1),0),$B105-1966)</f>
        <v>95889</v>
      </c>
      <c r="G105" s="7" cm="1">
        <f t="array" ref="G105">INDEX(GMWQ!$A$2:$LR$60,MATCH(1,(GMWQ!$LQ$2:$LQ$60=G$3)*(GMWQ!$LP$2:$LP$60=G$4)*(GMWQ!$LR$2:$LR$60=G$1),0),$B105-1966)</f>
        <v>18047</v>
      </c>
      <c r="H105" s="7" cm="1">
        <f t="array" ref="H105">INDEX(GMWQ!$A$2:$LR$60,MATCH(1,(GMWQ!$LQ$2:$LQ$60=H$3)*(GMWQ!$LP$2:$LP$60=H$4)*(GMWQ!$LR$2:$LR$60=H$1),0),$B105-1966)</f>
        <v>6487</v>
      </c>
      <c r="I105" s="7" cm="1">
        <f t="array" ref="I105">INDEX(GMWQ!$A$2:$LR$60,MATCH(1,(GMWQ!$LQ$2:$LQ$60=I$3)*(GMWQ!$LP$2:$LP$60=I$4)*(GMWQ!$LR$2:$LR$60=I$1),0),$B105-1966)</f>
        <v>72.024780000000007</v>
      </c>
      <c r="J105" s="7" cm="1">
        <f t="array" ref="J105">INDEX(GMWQ!$A$2:$LR$60,MATCH(1,(GMWQ!$LQ$2:$LQ$60=J$3)*(GMWQ!$LP$2:$LP$60=J$4)*(GMWQ!$LR$2:$LR$60=J$1),0),$B105-1966)</f>
        <v>22788</v>
      </c>
      <c r="K105" s="7" cm="1">
        <f t="array" ref="K105">INDEX(GMWQ!$A$2:$LR$60,MATCH(1,(GMWQ!$LQ$2:$LQ$60=K$3)*(GMWQ!$LP$2:$LP$60=K$4)*(GMWQ!$LR$2:$LR$60=K$1),0),$B105-1966)</f>
        <v>7</v>
      </c>
      <c r="L105" s="7" cm="1">
        <f t="array" ref="L105">INDEX(GMWQ!$A$2:$LR$60,MATCH(1,(GMWQ!$LQ$2:$LQ$60=L$3)*(GMWQ!$LP$2:$LP$60=L$4)*(GMWQ!$LR$2:$LR$60=L$1),0),$B105-1966)</f>
        <v>6.8</v>
      </c>
      <c r="M105" s="7" cm="1">
        <f t="array" ref="M105">INDEX(GMWQ!$A$2:$LR$60,MATCH(1,(GMWQ!$LQ$2:$LQ$60=M$3)*(GMWQ!$LP$2:$LP$60=M$4)*(GMWQ!$LR$2:$LR$60=M$1),0),$B105-1966)</f>
        <v>34.040210000000002</v>
      </c>
      <c r="N105" s="7" cm="1">
        <f t="array" ref="N105">INDEX(GMWQ!$A$2:$LR$60,MATCH(1,(GMWQ!$LQ$2:$LQ$60=N$3)*(GMWQ!$LP$2:$LP$60=N$4)*(GMWQ!$LR$2:$LR$60=N$1),0),$B105-1966)</f>
        <v>8573</v>
      </c>
      <c r="O105" s="7" cm="1">
        <f t="array" ref="O105">INDEX(GMWQ!$A$2:$LR$60,MATCH(1,(GMWQ!$LQ$2:$LQ$60=O$3)*(GMWQ!$LP$2:$LP$60=O$4)*(GMWQ!$LR$2:$LR$60=O$1),0),$B105-1966)</f>
        <v>8674</v>
      </c>
      <c r="P105" s="7" cm="1">
        <f t="array" ref="P105">INDEX(GMWQ!$A$2:$LR$60,MATCH(1,(GMWQ!$LQ$2:$LQ$60=P$3)*(GMWQ!$LP$2:$LP$60=P$4)*(GMWQ!$LR$2:$LR$60=P$1),0),$B105-1966)</f>
        <v>162073</v>
      </c>
      <c r="Q105" s="7" cm="1">
        <f t="array" ref="Q105">INDEX(GMWQ!$A$2:$LR$60,MATCH(1,(GMWQ!$LQ$2:$LQ$60=Q$3)*(GMWQ!$LP$2:$LP$60=Q$4)*(GMWQ!$LR$2:$LR$60=Q$1),0),$B105-1966)</f>
        <v>7.5</v>
      </c>
      <c r="R105" s="7" cm="1">
        <f t="array" ref="R105">INDEX(GMWQ!$A$2:$LR$60,MATCH(1,(GMWQ!$LQ$2:$LQ$60=R$3)*(GMWQ!$LP$2:$LP$60=R$4)*(GMWQ!$LR$2:$LR$60=R$1),0),$B105-1966)</f>
        <v>296962</v>
      </c>
      <c r="S105" s="7" cm="1">
        <f t="array" ref="S105">INDEX(GMWQ!$A$2:$LR$60,MATCH(1,(GMWQ!$LQ$2:$LQ$60=S$3)*(GMWQ!$LP$2:$LP$60=S$4)*(GMWQ!$LR$2:$LR$60=S$1),0),$B105-1966)</f>
        <v>354</v>
      </c>
      <c r="T105" s="7" cm="1">
        <f t="array" ref="T105">INDEX(GMWQ!$A$2:$LR$60,MATCH(1,(GMWQ!$LQ$2:$LQ$60=T$3)*(GMWQ!$LP$2:$LP$60=T$4)*(GMWQ!$LR$2:$LR$60=T$1),0),$B105-1966)</f>
        <v>19190</v>
      </c>
      <c r="U105" s="7" cm="1">
        <f t="array" ref="U105">INDEX(GMWQ!$A$2:$LR$60,MATCH(1,(GMWQ!$LQ$2:$LQ$60=U$3)*(GMWQ!$LP$2:$LP$60=U$4)*(GMWQ!$LR$2:$LR$60=U$1),0),$B105-1966)</f>
        <v>5410</v>
      </c>
      <c r="V105" s="7" cm="1">
        <f t="array" ref="V105">INDEX(GMWQ!$A$2:$LR$60,MATCH(1,(GMWQ!$LQ$2:$LQ$60=V$3)*(GMWQ!$LP$2:$LP$60=V$4)*(GMWQ!$LR$2:$LR$60=V$1),0),$B105-1966)</f>
        <v>2.9197509999999999E-3</v>
      </c>
      <c r="W105" s="7" cm="1">
        <f t="array" ref="W105">INDEX(GMWQ!$A$2:$LR$60,MATCH(1,(GMWQ!$LQ$2:$LQ$60=W$3)*(GMWQ!$LP$2:$LP$60=W$4)*(GMWQ!$LR$2:$LR$60=W$1),0),$B105-1966)</f>
        <v>13.20388</v>
      </c>
      <c r="X105" s="7" cm="1">
        <f t="array" ref="X105">INDEX(GMWQ!$A$2:$LR$60,MATCH(1,(GMWQ!$LQ$2:$LQ$60=X$3)*(GMWQ!$LP$2:$LP$60=X$4)*(GMWQ!$LR$2:$LR$60=X$1),0),$B105-1966)</f>
        <v>1258865</v>
      </c>
      <c r="Y105" s="7" cm="1">
        <f t="array" ref="Y105">INDEX(GMWQ!$A$2:$LR$60,MATCH(1,(GMWQ!$LQ$2:$LQ$60=Y$3)*(GMWQ!$LP$2:$LP$60=Y$4)*(GMWQ!$LR$2:$LR$60=Y$1),0),$B105-1966)</f>
        <v>66.525019999999998</v>
      </c>
      <c r="Z105" s="7" cm="1">
        <f t="array" ref="Z105">INDEX(GMWQ!$A$2:$LR$60,MATCH(1,(GMWQ!$LQ$2:$LQ$60=Z$3)*(GMWQ!$LP$2:$LP$60=Z$4)*(GMWQ!$LR$2:$LR$60=Z$1),0),$B105-1966)</f>
        <v>364139.1</v>
      </c>
      <c r="AA105" s="7" cm="1">
        <f t="array" ref="AA105">INDEX(GMWQ!$A$2:$LR$60,MATCH(1,(GMWQ!$LQ$2:$LQ$60=AA$3)*(GMWQ!$LP$2:$LP$60=AA$4)*(GMWQ!$LR$2:$LR$60=AA$1),0),$B105-1966)</f>
        <v>79312</v>
      </c>
      <c r="AB105" s="7" cm="1">
        <f t="array" ref="AB105">INDEX(GMWQ!$A$2:$LR$60,MATCH(1,(GMWQ!$LQ$2:$LQ$60=AB$3)*(GMWQ!$LP$2:$LP$60=AB$4)*(GMWQ!$LR$2:$LR$60=AB$1),0),$B105-1966)</f>
        <v>79110</v>
      </c>
      <c r="AC105" s="7" cm="1">
        <f t="array" ref="AC105">INDEX(GMWQ!$A$2:$LR$60,MATCH(1,(GMWQ!$LQ$2:$LQ$60=AC$3)*(GMWQ!$LP$2:$LP$60=AC$4)*(GMWQ!$LR$2:$LR$60=AC$1),0),$B105-1966)</f>
        <v>703</v>
      </c>
      <c r="AD105" s="7" cm="1">
        <f t="array" ref="AD105">INDEX(GMWQ!$A$2:$LR$60,MATCH(1,(GMWQ!$LQ$2:$LQ$60=AD$3)*(GMWQ!$LP$2:$LP$60=AD$4)*(GMWQ!$LR$2:$LR$60=AD$1),0),$B105-1966)</f>
        <v>5510</v>
      </c>
      <c r="AE105" s="7" cm="1">
        <f t="array" ref="AE105">INDEX(GMWQ!$A$2:$LR$60,MATCH(1,(GMWQ!$LQ$2:$LQ$60=AE$3)*(GMWQ!$LP$2:$LP$60=AE$4)*(GMWQ!$LR$2:$LR$60=AE$1),0),$B105-1966)</f>
        <v>243443</v>
      </c>
      <c r="AF105" s="20" cm="1">
        <f t="array" ref="AF105">INDEX(GMWQ!$A$2:$LR$60,MATCH(1,(GMWQ!$LQ$2:$LQ$60=AF$3)*(GMWQ!$LP$2:$LP$60=AF$4)*(GMWQ!$LR$2:$LR$60=AF$1),0),$B105-1966)</f>
        <v>6.8712119999999999</v>
      </c>
      <c r="AG105" s="20" cm="1">
        <f t="array" ref="AG105">INDEX(GMWQ!$A$2:$LR$60,MATCH(1,(GMWQ!$LQ$2:$LQ$60=AG$3)*(GMWQ!$LP$2:$LP$60=AG$4)*(GMWQ!$LR$2:$LR$60=AG$1),0),$B105-1966)</f>
        <v>101</v>
      </c>
      <c r="AI105" s="23" cm="1">
        <f t="array" ref="AI105">INDEX(GMWQ!$A$2:$LR$60,MATCH(1,(GMWQ!$LQ$2:$LQ$60=AI$3)*(GMWQ!$LP$2:$LP$60=AI$4)*(GMWQ!$LR$2:$LR$60=AI$1),0),$B105-1966)</f>
        <v>162073</v>
      </c>
      <c r="AJ105" s="23" cm="1">
        <f t="array" ref="AJ105">INDEX(GMWQ!$A$2:$LR$60,MATCH(1,(GMWQ!$LQ$2:$LQ$60=AJ$3)*(GMWQ!$LP$2:$LP$60=AJ$4)*(GMWQ!$LR$2:$LR$60=AJ$1),0),$B105-1966)</f>
        <v>72.024780000000007</v>
      </c>
      <c r="AK105" s="23" cm="1">
        <f t="array" ref="AK105">INDEX(GMWQ!$A$2:$LR$60,MATCH(1,(GMWQ!$LQ$2:$LQ$60=AK$3)*(GMWQ!$LP$2:$LP$60=AK$4)*(GMWQ!$LR$2:$LR$60=AK$1),0),$B105-1966)</f>
        <v>95889</v>
      </c>
      <c r="AL105" s="23" cm="1">
        <f t="array" ref="AL105">INDEX(GMWQ!$A$2:$LR$60,MATCH(1,(GMWQ!$LQ$2:$LQ$60=AL$3)*(GMWQ!$LP$2:$LP$60=AL$4)*(GMWQ!$LR$2:$LR$60=AL$1),0),$B105-1966)</f>
        <v>4207.8729999999996</v>
      </c>
      <c r="AM105" s="23" cm="1">
        <f t="array" ref="AM105">INDEX(GMWQ!$A$2:$LR$60,MATCH(1,(GMWQ!$LQ$2:$LQ$60=AM$3)*(GMWQ!$LP$2:$LP$60=AM$4)*(GMWQ!$LR$2:$LR$60=AM$1),0),$B105-1966)</f>
        <v>22788</v>
      </c>
      <c r="AN105" s="23" cm="1">
        <f t="array" ref="AN105">INDEX(GMWQ!$A$2:$LR$60,MATCH(1,(GMWQ!$LQ$2:$LQ$60=AN$3)*(GMWQ!$LP$2:$LP$60=AN$4)*(GMWQ!$LR$2:$LR$60=AN$1),0),$B105-1966)</f>
        <v>18047</v>
      </c>
      <c r="AO105" s="23" cm="1">
        <f t="array" ref="AO105">INDEX(GMWQ!$A$2:$LR$60,MATCH(1,(GMWQ!$LQ$2:$LQ$60=AO$3)*(GMWQ!$LP$2:$LP$60=AO$4)*(GMWQ!$LR$2:$LR$60=AO$1),0),$B105-1966)</f>
        <v>6487</v>
      </c>
      <c r="AP105" s="23" cm="1">
        <f t="array" ref="AP105">INDEX(GMWQ!$A$2:$LR$60,MATCH(1,(GMWQ!$LQ$2:$LQ$60=AP$3)*(GMWQ!$LP$2:$LP$60=AP$4)*(GMWQ!$LR$2:$LR$60=AP$1),0),$B105-1966)</f>
        <v>101</v>
      </c>
      <c r="AQ105" s="23" cm="1">
        <f t="array" ref="AQ105">INDEX(GMWQ!$A$2:$LR$60,MATCH(1,(GMWQ!$LQ$2:$LQ$60=AQ$3)*(GMWQ!$LP$2:$LP$60=AQ$4)*(GMWQ!$LR$2:$LR$60=AQ$1),0),$B105-1966)</f>
        <v>24980</v>
      </c>
      <c r="AR105" s="23" cm="1">
        <f t="array" ref="AR105">INDEX(GMWQ!$A$2:$LR$60,MATCH(1,(GMWQ!$LQ$2:$LQ$60=AR$3)*(GMWQ!$LP$2:$LP$60=AR$4)*(GMWQ!$LR$2:$LR$60=AR$1),0),$B105-1966)</f>
        <v>154648</v>
      </c>
      <c r="AS105" s="23" cm="1">
        <f t="array" ref="AS105">INDEX(GMWQ!$A$2:$LR$60,MATCH(1,(GMWQ!$LQ$2:$LQ$60=AS$3)*(GMWQ!$LP$2:$LP$60=AS$4)*(GMWQ!$LR$2:$LR$60=AS$1),0),$B105-1966)</f>
        <v>3934</v>
      </c>
      <c r="AT105" s="23" cm="1">
        <f t="array" ref="AT105">INDEX(GMWQ!$A$2:$LR$60,MATCH(1,(GMWQ!$LQ$2:$LQ$60=AT$3)*(GMWQ!$LP$2:$LP$60=AT$4)*(GMWQ!$LR$2:$LR$60=AT$1),0),$B105-1966)</f>
        <v>214715</v>
      </c>
      <c r="AU105" s="23" cm="1">
        <f t="array" ref="AU105">INDEX(GMWQ!$A$2:$LR$60,MATCH(1,(GMWQ!$LQ$2:$LQ$60=AU$3)*(GMWQ!$LP$2:$LP$60=AU$4)*(GMWQ!$LR$2:$LR$60=AU$1),0),$B105-1966)</f>
        <v>8875</v>
      </c>
    </row>
    <row r="106" spans="1:47" x14ac:dyDescent="0.35">
      <c r="B106" s="7">
        <f t="shared" si="2"/>
        <v>2072</v>
      </c>
      <c r="C106" s="7" cm="1">
        <f t="array" ref="C106">INDEX(GMWQ!$A$2:$LR$60,MATCH(1,(GMWQ!$LQ$2:$LQ$60=C$3)*(GMWQ!$LP$2:$LP$60=C$4)*(GMWQ!$LR$2:$LR$60=C$1),0),$B106-1966)</f>
        <v>371341</v>
      </c>
      <c r="D106" s="7" cm="1">
        <f t="array" ref="D106">INDEX(GMWQ!$A$2:$LR$60,MATCH(1,(GMWQ!$LQ$2:$LQ$60=D$3)*(GMWQ!$LP$2:$LP$60=D$4)*(GMWQ!$LR$2:$LR$60=D$1),0),$B106-1966)</f>
        <v>268.61829999999998</v>
      </c>
      <c r="E106" s="7" cm="1">
        <f t="array" ref="E106">INDEX(GMWQ!$A$2:$LR$60,MATCH(1,(GMWQ!$LQ$2:$LQ$60=E$3)*(GMWQ!$LP$2:$LP$60=E$4)*(GMWQ!$LR$2:$LR$60=E$1),0),$B106-1966)</f>
        <v>70.633330000000001</v>
      </c>
      <c r="F106" s="7" cm="1">
        <f t="array" ref="F106">INDEX(GMWQ!$A$2:$LR$60,MATCH(1,(GMWQ!$LQ$2:$LQ$60=F$3)*(GMWQ!$LP$2:$LP$60=F$4)*(GMWQ!$LR$2:$LR$60=F$1),0),$B106-1966)</f>
        <v>96781</v>
      </c>
      <c r="G106" s="7" cm="1">
        <f t="array" ref="G106">INDEX(GMWQ!$A$2:$LR$60,MATCH(1,(GMWQ!$LQ$2:$LQ$60=G$3)*(GMWQ!$LP$2:$LP$60=G$4)*(GMWQ!$LR$2:$LR$60=G$1),0),$B106-1966)</f>
        <v>20370</v>
      </c>
      <c r="H106" s="7" cm="1">
        <f t="array" ref="H106">INDEX(GMWQ!$A$2:$LR$60,MATCH(1,(GMWQ!$LQ$2:$LQ$60=H$3)*(GMWQ!$LP$2:$LP$60=H$4)*(GMWQ!$LR$2:$LR$60=H$1),0),$B106-1966)</f>
        <v>6566</v>
      </c>
      <c r="I106" s="7" cm="1">
        <f t="array" ref="I106">INDEX(GMWQ!$A$2:$LR$60,MATCH(1,(GMWQ!$LQ$2:$LQ$60=I$3)*(GMWQ!$LP$2:$LP$60=I$4)*(GMWQ!$LR$2:$LR$60=I$1),0),$B106-1966)</f>
        <v>71.549260000000004</v>
      </c>
      <c r="J106" s="7" cm="1">
        <f t="array" ref="J106">INDEX(GMWQ!$A$2:$LR$60,MATCH(1,(GMWQ!$LQ$2:$LQ$60=J$3)*(GMWQ!$LP$2:$LP$60=J$4)*(GMWQ!$LR$2:$LR$60=J$1),0),$B106-1966)</f>
        <v>22903</v>
      </c>
      <c r="K106" s="7" cm="1">
        <f t="array" ref="K106">INDEX(GMWQ!$A$2:$LR$60,MATCH(1,(GMWQ!$LQ$2:$LQ$60=K$3)*(GMWQ!$LP$2:$LP$60=K$4)*(GMWQ!$LR$2:$LR$60=K$1),0),$B106-1966)</f>
        <v>7.25</v>
      </c>
      <c r="L106" s="7" cm="1">
        <f t="array" ref="L106">INDEX(GMWQ!$A$2:$LR$60,MATCH(1,(GMWQ!$LQ$2:$LQ$60=L$3)*(GMWQ!$LP$2:$LP$60=L$4)*(GMWQ!$LR$2:$LR$60=L$1),0),$B106-1966)</f>
        <v>6.5</v>
      </c>
      <c r="M106" s="7" cm="1">
        <f t="array" ref="M106">INDEX(GMWQ!$A$2:$LR$60,MATCH(1,(GMWQ!$LQ$2:$LQ$60=M$3)*(GMWQ!$LP$2:$LP$60=M$4)*(GMWQ!$LR$2:$LR$60=M$1),0),$B106-1966)</f>
        <v>34.590009999999999</v>
      </c>
      <c r="N106" s="7" cm="1">
        <f t="array" ref="N106">INDEX(GMWQ!$A$2:$LR$60,MATCH(1,(GMWQ!$LQ$2:$LQ$60=N$3)*(GMWQ!$LP$2:$LP$60=N$4)*(GMWQ!$LR$2:$LR$60=N$1),0),$B106-1966)</f>
        <v>9169</v>
      </c>
      <c r="O106" s="7" cm="1">
        <f t="array" ref="O106">INDEX(GMWQ!$A$2:$LR$60,MATCH(1,(GMWQ!$LQ$2:$LQ$60=O$3)*(GMWQ!$LP$2:$LP$60=O$4)*(GMWQ!$LR$2:$LR$60=O$1),0),$B106-1966)</f>
        <v>8804</v>
      </c>
      <c r="P106" s="7" cm="1">
        <f t="array" ref="P106">INDEX(GMWQ!$A$2:$LR$60,MATCH(1,(GMWQ!$LQ$2:$LQ$60=P$3)*(GMWQ!$LP$2:$LP$60=P$4)*(GMWQ!$LR$2:$LR$60=P$1),0),$B106-1966)</f>
        <v>160535</v>
      </c>
      <c r="Q106" s="7" cm="1">
        <f t="array" ref="Q106">INDEX(GMWQ!$A$2:$LR$60,MATCH(1,(GMWQ!$LQ$2:$LQ$60=Q$3)*(GMWQ!$LP$2:$LP$60=Q$4)*(GMWQ!$LR$2:$LR$60=Q$1),0),$B106-1966)</f>
        <v>7.58</v>
      </c>
      <c r="R106" s="7" cm="1">
        <f t="array" ref="R106">INDEX(GMWQ!$A$2:$LR$60,MATCH(1,(GMWQ!$LQ$2:$LQ$60=R$3)*(GMWQ!$LP$2:$LP$60=R$4)*(GMWQ!$LR$2:$LR$60=R$1),0),$B106-1966)</f>
        <v>256333</v>
      </c>
      <c r="S106" s="7" cm="1">
        <f t="array" ref="S106">INDEX(GMWQ!$A$2:$LR$60,MATCH(1,(GMWQ!$LQ$2:$LQ$60=S$3)*(GMWQ!$LP$2:$LP$60=S$4)*(GMWQ!$LR$2:$LR$60=S$1),0),$B106-1966)</f>
        <v>366</v>
      </c>
      <c r="T106" s="7" cm="1">
        <f t="array" ref="T106">INDEX(GMWQ!$A$2:$LR$60,MATCH(1,(GMWQ!$LQ$2:$LQ$60=T$3)*(GMWQ!$LP$2:$LP$60=T$4)*(GMWQ!$LR$2:$LR$60=T$1),0),$B106-1966)</f>
        <v>19393</v>
      </c>
      <c r="U106" s="7" cm="1">
        <f t="array" ref="U106">INDEX(GMWQ!$A$2:$LR$60,MATCH(1,(GMWQ!$LQ$2:$LQ$60=U$3)*(GMWQ!$LP$2:$LP$60=U$4)*(GMWQ!$LR$2:$LR$60=U$1),0),$B106-1966)</f>
        <v>5497</v>
      </c>
      <c r="V106" s="7" cm="1">
        <f t="array" ref="V106">INDEX(GMWQ!$A$2:$LR$60,MATCH(1,(GMWQ!$LQ$2:$LQ$60=V$3)*(GMWQ!$LP$2:$LP$60=V$4)*(GMWQ!$LR$2:$LR$60=V$1),0),$B106-1966)</f>
        <v>2.8746990000000001E-3</v>
      </c>
      <c r="W106" s="7" cm="1">
        <f t="array" ref="W106">INDEX(GMWQ!$A$2:$LR$60,MATCH(1,(GMWQ!$LQ$2:$LQ$60=W$3)*(GMWQ!$LP$2:$LP$60=W$4)*(GMWQ!$LR$2:$LR$60=W$1),0),$B106-1966)</f>
        <v>15.68005</v>
      </c>
      <c r="X106" s="7" cm="1">
        <f t="array" ref="X106">INDEX(GMWQ!$A$2:$LR$60,MATCH(1,(GMWQ!$LQ$2:$LQ$60=X$3)*(GMWQ!$LP$2:$LP$60=X$4)*(GMWQ!$LR$2:$LR$60=X$1),0),$B106-1966)</f>
        <v>1282453</v>
      </c>
      <c r="Y106" s="7" cm="1">
        <f t="array" ref="Y106">INDEX(GMWQ!$A$2:$LR$60,MATCH(1,(GMWQ!$LQ$2:$LQ$60=Y$3)*(GMWQ!$LP$2:$LP$60=Y$4)*(GMWQ!$LR$2:$LR$60=Y$1),0),$B106-1966)</f>
        <v>64.969120000000004</v>
      </c>
      <c r="Z106" s="7" cm="1">
        <f t="array" ref="Z106">INDEX(GMWQ!$A$2:$LR$60,MATCH(1,(GMWQ!$LQ$2:$LQ$60=Z$3)*(GMWQ!$LP$2:$LP$60=Z$4)*(GMWQ!$LR$2:$LR$60=Z$1),0),$B106-1966)</f>
        <v>365162.1</v>
      </c>
      <c r="AA106" s="7" cm="1">
        <f t="array" ref="AA106">INDEX(GMWQ!$A$2:$LR$60,MATCH(1,(GMWQ!$LQ$2:$LQ$60=AA$3)*(GMWQ!$LP$2:$LP$60=AA$4)*(GMWQ!$LR$2:$LR$60=AA$1),0),$B106-1966)</f>
        <v>88244</v>
      </c>
      <c r="AB106" s="7" cm="1">
        <f t="array" ref="AB106">INDEX(GMWQ!$A$2:$LR$60,MATCH(1,(GMWQ!$LQ$2:$LQ$60=AB$3)*(GMWQ!$LP$2:$LP$60=AB$4)*(GMWQ!$LR$2:$LR$60=AB$1),0),$B106-1966)</f>
        <v>79646</v>
      </c>
      <c r="AC106" s="7" cm="1">
        <f t="array" ref="AC106">INDEX(GMWQ!$A$2:$LR$60,MATCH(1,(GMWQ!$LQ$2:$LQ$60=AC$3)*(GMWQ!$LP$2:$LP$60=AC$4)*(GMWQ!$LR$2:$LR$60=AC$1),0),$B106-1966)</f>
        <v>741</v>
      </c>
      <c r="AD106" s="7" cm="1">
        <f t="array" ref="AD106">INDEX(GMWQ!$A$2:$LR$60,MATCH(1,(GMWQ!$LQ$2:$LQ$60=AD$3)*(GMWQ!$LP$2:$LP$60=AD$4)*(GMWQ!$LR$2:$LR$60=AD$1),0),$B106-1966)</f>
        <v>5570</v>
      </c>
      <c r="AE106" s="7" cm="1">
        <f t="array" ref="AE106">INDEX(GMWQ!$A$2:$LR$60,MATCH(1,(GMWQ!$LQ$2:$LQ$60=AE$3)*(GMWQ!$LP$2:$LP$60=AE$4)*(GMWQ!$LR$2:$LR$60=AE$1),0),$B106-1966)</f>
        <v>241257</v>
      </c>
      <c r="AF106" s="20" cm="1">
        <f t="array" ref="AF106">INDEX(GMWQ!$A$2:$LR$60,MATCH(1,(GMWQ!$LQ$2:$LQ$60=AF$3)*(GMWQ!$LP$2:$LP$60=AF$4)*(GMWQ!$LR$2:$LR$60=AF$1),0),$B106-1966)</f>
        <v>7.1515149999999998</v>
      </c>
      <c r="AG106" s="20" cm="1">
        <f t="array" ref="AG106">INDEX(GMWQ!$A$2:$LR$60,MATCH(1,(GMWQ!$LQ$2:$LQ$60=AG$3)*(GMWQ!$LP$2:$LP$60=AG$4)*(GMWQ!$LR$2:$LR$60=AG$1),0),$B106-1966)</f>
        <v>-365</v>
      </c>
      <c r="AI106" s="23" cm="1">
        <f t="array" ref="AI106">INDEX(GMWQ!$A$2:$LR$60,MATCH(1,(GMWQ!$LQ$2:$LQ$60=AI$3)*(GMWQ!$LP$2:$LP$60=AI$4)*(GMWQ!$LR$2:$LR$60=AI$1),0),$B106-1966)</f>
        <v>160535</v>
      </c>
      <c r="AJ106" s="23" cm="1">
        <f t="array" ref="AJ106">INDEX(GMWQ!$A$2:$LR$60,MATCH(1,(GMWQ!$LQ$2:$LQ$60=AJ$3)*(GMWQ!$LP$2:$LP$60=AJ$4)*(GMWQ!$LR$2:$LR$60=AJ$1),0),$B106-1966)</f>
        <v>71.549260000000004</v>
      </c>
      <c r="AK106" s="23" cm="1">
        <f t="array" ref="AK106">INDEX(GMWQ!$A$2:$LR$60,MATCH(1,(GMWQ!$LQ$2:$LQ$60=AK$3)*(GMWQ!$LP$2:$LP$60=AK$4)*(GMWQ!$LR$2:$LR$60=AK$1),0),$B106-1966)</f>
        <v>96781</v>
      </c>
      <c r="AL106" s="23" cm="1">
        <f t="array" ref="AL106">INDEX(GMWQ!$A$2:$LR$60,MATCH(1,(GMWQ!$LQ$2:$LQ$60=AL$3)*(GMWQ!$LP$2:$LP$60=AL$4)*(GMWQ!$LR$2:$LR$60=AL$1),0),$B106-1966)</f>
        <v>4225.6909999999998</v>
      </c>
      <c r="AM106" s="23" cm="1">
        <f t="array" ref="AM106">INDEX(GMWQ!$A$2:$LR$60,MATCH(1,(GMWQ!$LQ$2:$LQ$60=AM$3)*(GMWQ!$LP$2:$LP$60=AM$4)*(GMWQ!$LR$2:$LR$60=AM$1),0),$B106-1966)</f>
        <v>22903</v>
      </c>
      <c r="AN106" s="23" cm="1">
        <f t="array" ref="AN106">INDEX(GMWQ!$A$2:$LR$60,MATCH(1,(GMWQ!$LQ$2:$LQ$60=AN$3)*(GMWQ!$LP$2:$LP$60=AN$4)*(GMWQ!$LR$2:$LR$60=AN$1),0),$B106-1966)</f>
        <v>20370</v>
      </c>
      <c r="AO106" s="23" cm="1">
        <f t="array" ref="AO106">INDEX(GMWQ!$A$2:$LR$60,MATCH(1,(GMWQ!$LQ$2:$LQ$60=AO$3)*(GMWQ!$LP$2:$LP$60=AO$4)*(GMWQ!$LR$2:$LR$60=AO$1),0),$B106-1966)</f>
        <v>6566</v>
      </c>
      <c r="AP106" s="23" cm="1">
        <f t="array" ref="AP106">INDEX(GMWQ!$A$2:$LR$60,MATCH(1,(GMWQ!$LQ$2:$LQ$60=AP$3)*(GMWQ!$LP$2:$LP$60=AP$4)*(GMWQ!$LR$2:$LR$60=AP$1),0),$B106-1966)</f>
        <v>-365</v>
      </c>
      <c r="AQ106" s="23" cm="1">
        <f t="array" ref="AQ106">INDEX(GMWQ!$A$2:$LR$60,MATCH(1,(GMWQ!$LQ$2:$LQ$60=AQ$3)*(GMWQ!$LP$2:$LP$60=AQ$4)*(GMWQ!$LR$2:$LR$60=AQ$1),0),$B106-1966)</f>
        <v>25695</v>
      </c>
      <c r="AR106" s="23" cm="1">
        <f t="array" ref="AR106">INDEX(GMWQ!$A$2:$LR$60,MATCH(1,(GMWQ!$LQ$2:$LQ$60=AR$3)*(GMWQ!$LP$2:$LP$60=AR$4)*(GMWQ!$LR$2:$LR$60=AR$1),0),$B106-1966)</f>
        <v>155322</v>
      </c>
      <c r="AS106" s="23" cm="1">
        <f t="array" ref="AS106">INDEX(GMWQ!$A$2:$LR$60,MATCH(1,(GMWQ!$LQ$2:$LQ$60=AS$3)*(GMWQ!$LP$2:$LP$60=AS$4)*(GMWQ!$LR$2:$LR$60=AS$1),0),$B106-1966)</f>
        <v>3993</v>
      </c>
      <c r="AT106" s="23" cm="1">
        <f t="array" ref="AT106">INDEX(GMWQ!$A$2:$LR$60,MATCH(1,(GMWQ!$LQ$2:$LQ$60=AT$3)*(GMWQ!$LP$2:$LP$60=AT$4)*(GMWQ!$LR$2:$LR$60=AT$1),0),$B106-1966)</f>
        <v>217084</v>
      </c>
      <c r="AU106" s="23" cm="1">
        <f t="array" ref="AU106">INDEX(GMWQ!$A$2:$LR$60,MATCH(1,(GMWQ!$LQ$2:$LQ$60=AU$3)*(GMWQ!$LP$2:$LP$60=AU$4)*(GMWQ!$LR$2:$LR$60=AU$1),0),$B106-1966)</f>
        <v>8973</v>
      </c>
    </row>
    <row r="107" spans="1:47" x14ac:dyDescent="0.35">
      <c r="A107" s="7">
        <v>1998</v>
      </c>
      <c r="B107" s="7">
        <f t="shared" si="2"/>
        <v>2073</v>
      </c>
      <c r="C107" s="7" cm="1">
        <f t="array" ref="C107">INDEX(GMWQ!$A$2:$LR$60,MATCH(1,(GMWQ!$LQ$2:$LQ$60=C$3)*(GMWQ!$LP$2:$LP$60=C$4)*(GMWQ!$LR$2:$LR$60=C$1),0),$B107-1966)</f>
        <v>374037</v>
      </c>
      <c r="D107" s="7" cm="1">
        <f t="array" ref="D107">INDEX(GMWQ!$A$2:$LR$60,MATCH(1,(GMWQ!$LQ$2:$LQ$60=D$3)*(GMWQ!$LP$2:$LP$60=D$4)*(GMWQ!$LR$2:$LR$60=D$1),0),$B107-1966)</f>
        <v>269.56689999999998</v>
      </c>
      <c r="E107" s="7" cm="1">
        <f t="array" ref="E107">INDEX(GMWQ!$A$2:$LR$60,MATCH(1,(GMWQ!$LQ$2:$LQ$60=E$3)*(GMWQ!$LP$2:$LP$60=E$4)*(GMWQ!$LR$2:$LR$60=E$1),0),$B107-1966)</f>
        <v>70.5</v>
      </c>
      <c r="F107" s="7" cm="1">
        <f t="array" ref="F107">INDEX(GMWQ!$A$2:$LR$60,MATCH(1,(GMWQ!$LQ$2:$LQ$60=F$3)*(GMWQ!$LP$2:$LP$60=F$4)*(GMWQ!$LR$2:$LR$60=F$1),0),$B107-1966)</f>
        <v>97162</v>
      </c>
      <c r="G107" s="7" cm="1">
        <f t="array" ref="G107">INDEX(GMWQ!$A$2:$LR$60,MATCH(1,(GMWQ!$LQ$2:$LQ$60=G$3)*(GMWQ!$LP$2:$LP$60=G$4)*(GMWQ!$LR$2:$LR$60=G$1),0),$B107-1966)</f>
        <v>21235</v>
      </c>
      <c r="H107" s="7" cm="1">
        <f t="array" ref="H107">INDEX(GMWQ!$A$2:$LR$60,MATCH(1,(GMWQ!$LQ$2:$LQ$60=H$3)*(GMWQ!$LP$2:$LP$60=H$4)*(GMWQ!$LR$2:$LR$60=H$1),0),$B107-1966)</f>
        <v>6468</v>
      </c>
      <c r="I107" s="7" cm="1">
        <f t="array" ref="I107">INDEX(GMWQ!$A$2:$LR$60,MATCH(1,(GMWQ!$LQ$2:$LQ$60=I$3)*(GMWQ!$LP$2:$LP$60=I$4)*(GMWQ!$LR$2:$LR$60=I$1),0),$B107-1966)</f>
        <v>71.921589999999995</v>
      </c>
      <c r="J107" s="7" cm="1">
        <f t="array" ref="J107">INDEX(GMWQ!$A$2:$LR$60,MATCH(1,(GMWQ!$LQ$2:$LQ$60=J$3)*(GMWQ!$LP$2:$LP$60=J$4)*(GMWQ!$LR$2:$LR$60=J$1),0),$B107-1966)</f>
        <v>22972</v>
      </c>
      <c r="K107" s="7" cm="1">
        <f t="array" ref="K107">INDEX(GMWQ!$A$2:$LR$60,MATCH(1,(GMWQ!$LQ$2:$LQ$60=K$3)*(GMWQ!$LP$2:$LP$60=K$4)*(GMWQ!$LR$2:$LR$60=K$1),0),$B107-1966)</f>
        <v>7.25</v>
      </c>
      <c r="L107" s="7" cm="1">
        <f t="array" ref="L107">INDEX(GMWQ!$A$2:$LR$60,MATCH(1,(GMWQ!$LQ$2:$LQ$60=L$3)*(GMWQ!$LP$2:$LP$60=L$4)*(GMWQ!$LR$2:$LR$60=L$1),0),$B107-1966)</f>
        <v>6.4</v>
      </c>
      <c r="M107" s="7" cm="1">
        <f t="array" ref="M107">INDEX(GMWQ!$A$2:$LR$60,MATCH(1,(GMWQ!$LQ$2:$LQ$60=M$3)*(GMWQ!$LP$2:$LP$60=M$4)*(GMWQ!$LR$2:$LR$60=M$1),0),$B107-1966)</f>
        <v>35.097290000000001</v>
      </c>
      <c r="N107" s="7" cm="1">
        <f t="array" ref="N107">INDEX(GMWQ!$A$2:$LR$60,MATCH(1,(GMWQ!$LQ$2:$LQ$60=N$3)*(GMWQ!$LP$2:$LP$60=N$4)*(GMWQ!$LR$2:$LR$60=N$1),0),$B107-1966)</f>
        <v>8674</v>
      </c>
      <c r="O107" s="7" cm="1">
        <f t="array" ref="O107">INDEX(GMWQ!$A$2:$LR$60,MATCH(1,(GMWQ!$LQ$2:$LQ$60=O$3)*(GMWQ!$LP$2:$LP$60=O$4)*(GMWQ!$LR$2:$LR$60=O$1),0),$B107-1966)</f>
        <v>8941</v>
      </c>
      <c r="P107" s="7" cm="1">
        <f t="array" ref="P107">INDEX(GMWQ!$A$2:$LR$60,MATCH(1,(GMWQ!$LQ$2:$LQ$60=P$3)*(GMWQ!$LP$2:$LP$60=P$4)*(GMWQ!$LR$2:$LR$60=P$1),0),$B107-1966)</f>
        <v>161552</v>
      </c>
      <c r="Q107" s="7" cm="1">
        <f t="array" ref="Q107">INDEX(GMWQ!$A$2:$LR$60,MATCH(1,(GMWQ!$LQ$2:$LQ$60=Q$3)*(GMWQ!$LP$2:$LP$60=Q$4)*(GMWQ!$LR$2:$LR$60=Q$1),0),$B107-1966)</f>
        <v>7.77</v>
      </c>
      <c r="R107" s="7" cm="1">
        <f t="array" ref="R107">INDEX(GMWQ!$A$2:$LR$60,MATCH(1,(GMWQ!$LQ$2:$LQ$60=R$3)*(GMWQ!$LP$2:$LP$60=R$4)*(GMWQ!$LR$2:$LR$60=R$1),0),$B107-1966)</f>
        <v>264532</v>
      </c>
      <c r="S107" s="7" cm="1">
        <f t="array" ref="S107">INDEX(GMWQ!$A$2:$LR$60,MATCH(1,(GMWQ!$LQ$2:$LQ$60=S$3)*(GMWQ!$LP$2:$LP$60=S$4)*(GMWQ!$LR$2:$LR$60=S$1),0),$B107-1966)</f>
        <v>344</v>
      </c>
      <c r="T107" s="7" cm="1">
        <f t="array" ref="T107">INDEX(GMWQ!$A$2:$LR$60,MATCH(1,(GMWQ!$LQ$2:$LQ$60=T$3)*(GMWQ!$LP$2:$LP$60=T$4)*(GMWQ!$LR$2:$LR$60=T$1),0),$B107-1966)</f>
        <v>20152</v>
      </c>
      <c r="U107" s="7" cm="1">
        <f t="array" ref="U107">INDEX(GMWQ!$A$2:$LR$60,MATCH(1,(GMWQ!$LQ$2:$LQ$60=U$3)*(GMWQ!$LP$2:$LP$60=U$4)*(GMWQ!$LR$2:$LR$60=U$1),0),$B107-1966)</f>
        <v>5648</v>
      </c>
      <c r="V107" s="7" cm="1">
        <f t="array" ref="V107">INDEX(GMWQ!$A$2:$LR$60,MATCH(1,(GMWQ!$LQ$2:$LQ$60=V$3)*(GMWQ!$LP$2:$LP$60=V$4)*(GMWQ!$LR$2:$LR$60=V$1),0),$B107-1966)</f>
        <v>2.7823079999999998E-3</v>
      </c>
      <c r="W107" s="7" cm="1">
        <f t="array" ref="W107">INDEX(GMWQ!$A$2:$LR$60,MATCH(1,(GMWQ!$LQ$2:$LQ$60=W$3)*(GMWQ!$LP$2:$LP$60=W$4)*(GMWQ!$LR$2:$LR$60=W$1),0),$B107-1966)</f>
        <v>15.23254</v>
      </c>
      <c r="X107" s="7" cm="1">
        <f t="array" ref="X107">INDEX(GMWQ!$A$2:$LR$60,MATCH(1,(GMWQ!$LQ$2:$LQ$60=X$3)*(GMWQ!$LP$2:$LP$60=X$4)*(GMWQ!$LR$2:$LR$60=X$1),0),$B107-1966)</f>
        <v>1303905</v>
      </c>
      <c r="Y107" s="7" cm="1">
        <f t="array" ref="Y107">INDEX(GMWQ!$A$2:$LR$60,MATCH(1,(GMWQ!$LQ$2:$LQ$60=Y$3)*(GMWQ!$LP$2:$LP$60=Y$4)*(GMWQ!$LR$2:$LR$60=Y$1),0),$B107-1966)</f>
        <v>65.727189999999993</v>
      </c>
      <c r="Z107" s="7" cm="1">
        <f t="array" ref="Z107">INDEX(GMWQ!$A$2:$LR$60,MATCH(1,(GMWQ!$LQ$2:$LQ$60=Z$3)*(GMWQ!$LP$2:$LP$60=Z$4)*(GMWQ!$LR$2:$LR$60=Z$1),0),$B107-1966)</f>
        <v>367688.5</v>
      </c>
      <c r="AA107" s="7" cm="1">
        <f t="array" ref="AA107">INDEX(GMWQ!$A$2:$LR$60,MATCH(1,(GMWQ!$LQ$2:$LQ$60=AA$3)*(GMWQ!$LP$2:$LP$60=AA$4)*(GMWQ!$LR$2:$LR$60=AA$1),0),$B107-1966)</f>
        <v>94402</v>
      </c>
      <c r="AB107" s="7" cm="1">
        <f t="array" ref="AB107">INDEX(GMWQ!$A$2:$LR$60,MATCH(1,(GMWQ!$LQ$2:$LQ$60=AB$3)*(GMWQ!$LP$2:$LP$60=AB$4)*(GMWQ!$LR$2:$LR$60=AB$1),0),$B107-1966)</f>
        <v>80807</v>
      </c>
      <c r="AC107" s="7" cm="1">
        <f t="array" ref="AC107">INDEX(GMWQ!$A$2:$LR$60,MATCH(1,(GMWQ!$LQ$2:$LQ$60=AC$3)*(GMWQ!$LP$2:$LP$60=AC$4)*(GMWQ!$LR$2:$LR$60=AC$1),0),$B107-1966)</f>
        <v>3645</v>
      </c>
      <c r="AD107" s="7" cm="1">
        <f t="array" ref="AD107">INDEX(GMWQ!$A$2:$LR$60,MATCH(1,(GMWQ!$LQ$2:$LQ$60=AD$3)*(GMWQ!$LP$2:$LP$60=AD$4)*(GMWQ!$LR$2:$LR$60=AD$1),0),$B107-1966)</f>
        <v>5801</v>
      </c>
      <c r="AE107" s="7" cm="1">
        <f t="array" ref="AE107">INDEX(GMWQ!$A$2:$LR$60,MATCH(1,(GMWQ!$LQ$2:$LQ$60=AE$3)*(GMWQ!$LP$2:$LP$60=AE$4)*(GMWQ!$LR$2:$LR$60=AE$1),0),$B107-1966)</f>
        <v>245844</v>
      </c>
      <c r="AF107" s="20" cm="1">
        <f t="array" ref="AF107">INDEX(GMWQ!$A$2:$LR$60,MATCH(1,(GMWQ!$LQ$2:$LQ$60=AF$3)*(GMWQ!$LP$2:$LP$60=AF$4)*(GMWQ!$LR$2:$LR$60=AF$1),0),$B107-1966)</f>
        <v>7.25</v>
      </c>
      <c r="AG107" s="20" cm="1">
        <f t="array" ref="AG107">INDEX(GMWQ!$A$2:$LR$60,MATCH(1,(GMWQ!$LQ$2:$LQ$60=AG$3)*(GMWQ!$LP$2:$LP$60=AG$4)*(GMWQ!$LR$2:$LR$60=AG$1),0),$B107-1966)</f>
        <v>267</v>
      </c>
      <c r="AI107" s="23" cm="1">
        <f t="array" ref="AI107">INDEX(GMWQ!$A$2:$LR$60,MATCH(1,(GMWQ!$LQ$2:$LQ$60=AI$3)*(GMWQ!$LP$2:$LP$60=AI$4)*(GMWQ!$LR$2:$LR$60=AI$1),0),$B107-1966)</f>
        <v>161552</v>
      </c>
      <c r="AJ107" s="23" cm="1">
        <f t="array" ref="AJ107">INDEX(GMWQ!$A$2:$LR$60,MATCH(1,(GMWQ!$LQ$2:$LQ$60=AJ$3)*(GMWQ!$LP$2:$LP$60=AJ$4)*(GMWQ!$LR$2:$LR$60=AJ$1),0),$B107-1966)</f>
        <v>71.921589999999995</v>
      </c>
      <c r="AK107" s="23" cm="1">
        <f t="array" ref="AK107">INDEX(GMWQ!$A$2:$LR$60,MATCH(1,(GMWQ!$LQ$2:$LQ$60=AK$3)*(GMWQ!$LP$2:$LP$60=AK$4)*(GMWQ!$LR$2:$LR$60=AK$1),0),$B107-1966)</f>
        <v>97162</v>
      </c>
      <c r="AL107" s="23" cm="1">
        <f t="array" ref="AL107">INDEX(GMWQ!$A$2:$LR$60,MATCH(1,(GMWQ!$LQ$2:$LQ$60=AL$3)*(GMWQ!$LP$2:$LP$60=AL$4)*(GMWQ!$LR$2:$LR$60=AL$1),0),$B107-1966)</f>
        <v>4229.5839999999998</v>
      </c>
      <c r="AM107" s="23" cm="1">
        <f t="array" ref="AM107">INDEX(GMWQ!$A$2:$LR$60,MATCH(1,(GMWQ!$LQ$2:$LQ$60=AM$3)*(GMWQ!$LP$2:$LP$60=AM$4)*(GMWQ!$LR$2:$LR$60=AM$1),0),$B107-1966)</f>
        <v>22972</v>
      </c>
      <c r="AN107" s="23" cm="1">
        <f t="array" ref="AN107">INDEX(GMWQ!$A$2:$LR$60,MATCH(1,(GMWQ!$LQ$2:$LQ$60=AN$3)*(GMWQ!$LP$2:$LP$60=AN$4)*(GMWQ!$LR$2:$LR$60=AN$1),0),$B107-1966)</f>
        <v>21235</v>
      </c>
      <c r="AO107" s="23" cm="1">
        <f t="array" ref="AO107">INDEX(GMWQ!$A$2:$LR$60,MATCH(1,(GMWQ!$LQ$2:$LQ$60=AO$3)*(GMWQ!$LP$2:$LP$60=AO$4)*(GMWQ!$LR$2:$LR$60=AO$1),0),$B107-1966)</f>
        <v>6468</v>
      </c>
      <c r="AP107" s="23" cm="1">
        <f t="array" ref="AP107">INDEX(GMWQ!$A$2:$LR$60,MATCH(1,(GMWQ!$LQ$2:$LQ$60=AP$3)*(GMWQ!$LP$2:$LP$60=AP$4)*(GMWQ!$LR$2:$LR$60=AP$1),0),$B107-1966)</f>
        <v>267</v>
      </c>
      <c r="AQ107" s="23" cm="1">
        <f t="array" ref="AQ107">INDEX(GMWQ!$A$2:$LR$60,MATCH(1,(GMWQ!$LQ$2:$LQ$60=AQ$3)*(GMWQ!$LP$2:$LP$60=AQ$4)*(GMWQ!$LR$2:$LR$60=AQ$1),0),$B107-1966)</f>
        <v>25284</v>
      </c>
      <c r="AR107" s="23" cm="1">
        <f t="array" ref="AR107">INDEX(GMWQ!$A$2:$LR$60,MATCH(1,(GMWQ!$LQ$2:$LQ$60=AR$3)*(GMWQ!$LP$2:$LP$60=AR$4)*(GMWQ!$LR$2:$LR$60=AR$1),0),$B107-1966)</f>
        <v>157363</v>
      </c>
      <c r="AS107" s="23" cm="1">
        <f t="array" ref="AS107">INDEX(GMWQ!$A$2:$LR$60,MATCH(1,(GMWQ!$LQ$2:$LQ$60=AS$3)*(GMWQ!$LP$2:$LP$60=AS$4)*(GMWQ!$LR$2:$LR$60=AS$1),0),$B107-1966)</f>
        <v>4026</v>
      </c>
      <c r="AT107" s="23" cm="1">
        <f t="array" ref="AT107">INDEX(GMWQ!$A$2:$LR$60,MATCH(1,(GMWQ!$LQ$2:$LQ$60=AT$3)*(GMWQ!$LP$2:$LP$60=AT$4)*(GMWQ!$LR$2:$LR$60=AT$1),0),$B107-1966)</f>
        <v>218798</v>
      </c>
      <c r="AU107" s="23" cm="1">
        <f t="array" ref="AU107">INDEX(GMWQ!$A$2:$LR$60,MATCH(1,(GMWQ!$LQ$2:$LQ$60=AU$3)*(GMWQ!$LP$2:$LP$60=AU$4)*(GMWQ!$LR$2:$LR$60=AU$1),0),$B107-1966)</f>
        <v>9095</v>
      </c>
    </row>
    <row r="108" spans="1:47" x14ac:dyDescent="0.35">
      <c r="B108" s="7">
        <f t="shared" si="2"/>
        <v>2074</v>
      </c>
      <c r="C108" s="7" cm="1">
        <f t="array" ref="C108">INDEX(GMWQ!$A$2:$LR$60,MATCH(1,(GMWQ!$LQ$2:$LQ$60=C$3)*(GMWQ!$LP$2:$LP$60=C$4)*(GMWQ!$LR$2:$LR$60=C$1),0),$B108-1966)</f>
        <v>376421</v>
      </c>
      <c r="D108" s="7" cm="1">
        <f t="array" ref="D108">INDEX(GMWQ!$A$2:$LR$60,MATCH(1,(GMWQ!$LQ$2:$LQ$60=D$3)*(GMWQ!$LP$2:$LP$60=D$4)*(GMWQ!$LR$2:$LR$60=D$1),0),$B108-1966)</f>
        <v>278.03019999999998</v>
      </c>
      <c r="E108" s="7" cm="1">
        <f t="array" ref="E108">INDEX(GMWQ!$A$2:$LR$60,MATCH(1,(GMWQ!$LQ$2:$LQ$60=E$3)*(GMWQ!$LP$2:$LP$60=E$4)*(GMWQ!$LR$2:$LR$60=E$1),0),$B108-1966)</f>
        <v>71.266670000000005</v>
      </c>
      <c r="F108" s="7" cm="1">
        <f t="array" ref="F108">INDEX(GMWQ!$A$2:$LR$60,MATCH(1,(GMWQ!$LQ$2:$LQ$60=F$3)*(GMWQ!$LP$2:$LP$60=F$4)*(GMWQ!$LR$2:$LR$60=F$1),0),$B108-1966)</f>
        <v>98670</v>
      </c>
      <c r="G108" s="7" cm="1">
        <f t="array" ref="G108">INDEX(GMWQ!$A$2:$LR$60,MATCH(1,(GMWQ!$LQ$2:$LQ$60=G$3)*(GMWQ!$LP$2:$LP$60=G$4)*(GMWQ!$LR$2:$LR$60=G$1),0),$B108-1966)</f>
        <v>21935</v>
      </c>
      <c r="H108" s="7" cm="1">
        <f t="array" ref="H108">INDEX(GMWQ!$A$2:$LR$60,MATCH(1,(GMWQ!$LQ$2:$LQ$60=H$3)*(GMWQ!$LP$2:$LP$60=H$4)*(GMWQ!$LR$2:$LR$60=H$1),0),$B108-1966)</f>
        <v>6458</v>
      </c>
      <c r="I108" s="7" cm="1">
        <f t="array" ref="I108">INDEX(GMWQ!$A$2:$LR$60,MATCH(1,(GMWQ!$LQ$2:$LQ$60=I$3)*(GMWQ!$LP$2:$LP$60=I$4)*(GMWQ!$LR$2:$LR$60=I$1),0),$B108-1966)</f>
        <v>72.326040000000006</v>
      </c>
      <c r="J108" s="7" cm="1">
        <f t="array" ref="J108">INDEX(GMWQ!$A$2:$LR$60,MATCH(1,(GMWQ!$LQ$2:$LQ$60=J$3)*(GMWQ!$LP$2:$LP$60=J$4)*(GMWQ!$LR$2:$LR$60=J$1),0),$B108-1966)</f>
        <v>23090</v>
      </c>
      <c r="K108" s="7" cm="1">
        <f t="array" ref="K108">INDEX(GMWQ!$A$2:$LR$60,MATCH(1,(GMWQ!$LQ$2:$LQ$60=K$3)*(GMWQ!$LP$2:$LP$60=K$4)*(GMWQ!$LR$2:$LR$60=K$1),0),$B108-1966)</f>
        <v>7.5</v>
      </c>
      <c r="L108" s="7" cm="1">
        <f t="array" ref="L108">INDEX(GMWQ!$A$2:$LR$60,MATCH(1,(GMWQ!$LQ$2:$LQ$60=L$3)*(GMWQ!$LP$2:$LP$60=L$4)*(GMWQ!$LR$2:$LR$60=L$1),0),$B108-1966)</f>
        <v>6.3</v>
      </c>
      <c r="M108" s="7" cm="1">
        <f t="array" ref="M108">INDEX(GMWQ!$A$2:$LR$60,MATCH(1,(GMWQ!$LQ$2:$LQ$60=M$3)*(GMWQ!$LP$2:$LP$60=M$4)*(GMWQ!$LR$2:$LR$60=M$1),0),$B108-1966)</f>
        <v>36.751449999999998</v>
      </c>
      <c r="N108" s="7" cm="1">
        <f t="array" ref="N108">INDEX(GMWQ!$A$2:$LR$60,MATCH(1,(GMWQ!$LQ$2:$LQ$60=N$3)*(GMWQ!$LP$2:$LP$60=N$4)*(GMWQ!$LR$2:$LR$60=N$1),0),$B108-1966)</f>
        <v>9114</v>
      </c>
      <c r="O108" s="7" cm="1">
        <f t="array" ref="O108">INDEX(GMWQ!$A$2:$LR$60,MATCH(1,(GMWQ!$LQ$2:$LQ$60=O$3)*(GMWQ!$LP$2:$LP$60=O$4)*(GMWQ!$LR$2:$LR$60=O$1),0),$B108-1966)</f>
        <v>9250</v>
      </c>
      <c r="P108" s="7" cm="1">
        <f t="array" ref="P108">INDEX(GMWQ!$A$2:$LR$60,MATCH(1,(GMWQ!$LQ$2:$LQ$60=P$3)*(GMWQ!$LP$2:$LP$60=P$4)*(GMWQ!$LR$2:$LR$60=P$1),0),$B108-1966)</f>
        <v>163217</v>
      </c>
      <c r="Q108" s="7" cm="1">
        <f t="array" ref="Q108">INDEX(GMWQ!$A$2:$LR$60,MATCH(1,(GMWQ!$LQ$2:$LQ$60=Q$3)*(GMWQ!$LP$2:$LP$60=Q$4)*(GMWQ!$LR$2:$LR$60=Q$1),0),$B108-1966)</f>
        <v>7.78</v>
      </c>
      <c r="R108" s="7" cm="1">
        <f t="array" ref="R108">INDEX(GMWQ!$A$2:$LR$60,MATCH(1,(GMWQ!$LQ$2:$LQ$60=R$3)*(GMWQ!$LP$2:$LP$60=R$4)*(GMWQ!$LR$2:$LR$60=R$1),0),$B108-1966)</f>
        <v>261133</v>
      </c>
      <c r="S108" s="7" cm="1">
        <f t="array" ref="S108">INDEX(GMWQ!$A$2:$LR$60,MATCH(1,(GMWQ!$LQ$2:$LQ$60=S$3)*(GMWQ!$LP$2:$LP$60=S$4)*(GMWQ!$LR$2:$LR$60=S$1),0),$B108-1966)</f>
        <v>332</v>
      </c>
      <c r="T108" s="7" cm="1">
        <f t="array" ref="T108">INDEX(GMWQ!$A$2:$LR$60,MATCH(1,(GMWQ!$LQ$2:$LQ$60=T$3)*(GMWQ!$LP$2:$LP$60=T$4)*(GMWQ!$LR$2:$LR$60=T$1),0),$B108-1966)</f>
        <v>21565</v>
      </c>
      <c r="U108" s="7" cm="1">
        <f t="array" ref="U108">INDEX(GMWQ!$A$2:$LR$60,MATCH(1,(GMWQ!$LQ$2:$LQ$60=U$3)*(GMWQ!$LP$2:$LP$60=U$4)*(GMWQ!$LR$2:$LR$60=U$1),0),$B108-1966)</f>
        <v>5963</v>
      </c>
      <c r="V108" s="7" cm="1">
        <f t="array" ref="V108">INDEX(GMWQ!$A$2:$LR$60,MATCH(1,(GMWQ!$LQ$2:$LQ$60=V$3)*(GMWQ!$LP$2:$LP$60=V$4)*(GMWQ!$LR$2:$LR$60=V$1),0),$B108-1966)</f>
        <v>2.8460429999999999E-3</v>
      </c>
      <c r="W108" s="7" cm="1">
        <f t="array" ref="W108">INDEX(GMWQ!$A$2:$LR$60,MATCH(1,(GMWQ!$LQ$2:$LQ$60=W$3)*(GMWQ!$LP$2:$LP$60=W$4)*(GMWQ!$LR$2:$LR$60=W$1),0),$B108-1966)</f>
        <v>15.34304</v>
      </c>
      <c r="X108" s="7" cm="1">
        <f t="array" ref="X108">INDEX(GMWQ!$A$2:$LR$60,MATCH(1,(GMWQ!$LQ$2:$LQ$60=X$3)*(GMWQ!$LP$2:$LP$60=X$4)*(GMWQ!$LR$2:$LR$60=X$1),0),$B108-1966)</f>
        <v>1333957</v>
      </c>
      <c r="Y108" s="7" cm="1">
        <f t="array" ref="Y108">INDEX(GMWQ!$A$2:$LR$60,MATCH(1,(GMWQ!$LQ$2:$LQ$60=Y$3)*(GMWQ!$LP$2:$LP$60=Y$4)*(GMWQ!$LR$2:$LR$60=Y$1),0),$B108-1966)</f>
        <v>65.898290000000003</v>
      </c>
      <c r="Z108" s="7" cm="1">
        <f t="array" ref="Z108">INDEX(GMWQ!$A$2:$LR$60,MATCH(1,(GMWQ!$LQ$2:$LQ$60=Z$3)*(GMWQ!$LP$2:$LP$60=Z$4)*(GMWQ!$LR$2:$LR$60=Z$1),0),$B108-1966)</f>
        <v>369716.7</v>
      </c>
      <c r="AA108" s="7" cm="1">
        <f t="array" ref="AA108">INDEX(GMWQ!$A$2:$LR$60,MATCH(1,(GMWQ!$LQ$2:$LQ$60=AA$3)*(GMWQ!$LP$2:$LP$60=AA$4)*(GMWQ!$LR$2:$LR$60=AA$1),0),$B108-1966)</f>
        <v>76789</v>
      </c>
      <c r="AB108" s="7" cm="1">
        <f t="array" ref="AB108">INDEX(GMWQ!$A$2:$LR$60,MATCH(1,(GMWQ!$LQ$2:$LQ$60=AB$3)*(GMWQ!$LP$2:$LP$60=AB$4)*(GMWQ!$LR$2:$LR$60=AB$1),0),$B108-1966)</f>
        <v>80338</v>
      </c>
      <c r="AC108" s="7" cm="1">
        <f t="array" ref="AC108">INDEX(GMWQ!$A$2:$LR$60,MATCH(1,(GMWQ!$LQ$2:$LQ$60=AC$3)*(GMWQ!$LP$2:$LP$60=AC$4)*(GMWQ!$LR$2:$LR$60=AC$1),0),$B108-1966)</f>
        <v>-76</v>
      </c>
      <c r="AD108" s="7" cm="1">
        <f t="array" ref="AD108">INDEX(GMWQ!$A$2:$LR$60,MATCH(1,(GMWQ!$LQ$2:$LQ$60=AD$3)*(GMWQ!$LP$2:$LP$60=AD$4)*(GMWQ!$LR$2:$LR$60=AD$1),0),$B108-1966)</f>
        <v>5651</v>
      </c>
      <c r="AE108" s="7" cm="1">
        <f t="array" ref="AE108">INDEX(GMWQ!$A$2:$LR$60,MATCH(1,(GMWQ!$LQ$2:$LQ$60=AE$3)*(GMWQ!$LP$2:$LP$60=AE$4)*(GMWQ!$LR$2:$LR$60=AE$1),0),$B108-1966)</f>
        <v>248055</v>
      </c>
      <c r="AF108" s="20" cm="1">
        <f t="array" ref="AF108">INDEX(GMWQ!$A$2:$LR$60,MATCH(1,(GMWQ!$LQ$2:$LQ$60=AF$3)*(GMWQ!$LP$2:$LP$60=AF$4)*(GMWQ!$LR$2:$LR$60=AF$1),0),$B108-1966)</f>
        <v>7.3230769999999996</v>
      </c>
      <c r="AG108" s="20" cm="1">
        <f t="array" ref="AG108">INDEX(GMWQ!$A$2:$LR$60,MATCH(1,(GMWQ!$LQ$2:$LQ$60=AG$3)*(GMWQ!$LP$2:$LP$60=AG$4)*(GMWQ!$LR$2:$LR$60=AG$1),0),$B108-1966)</f>
        <v>136</v>
      </c>
      <c r="AI108" s="23" cm="1">
        <f t="array" ref="AI108">INDEX(GMWQ!$A$2:$LR$60,MATCH(1,(GMWQ!$LQ$2:$LQ$60=AI$3)*(GMWQ!$LP$2:$LP$60=AI$4)*(GMWQ!$LR$2:$LR$60=AI$1),0),$B108-1966)</f>
        <v>163217</v>
      </c>
      <c r="AJ108" s="23" cm="1">
        <f t="array" ref="AJ108">INDEX(GMWQ!$A$2:$LR$60,MATCH(1,(GMWQ!$LQ$2:$LQ$60=AJ$3)*(GMWQ!$LP$2:$LP$60=AJ$4)*(GMWQ!$LR$2:$LR$60=AJ$1),0),$B108-1966)</f>
        <v>72.326040000000006</v>
      </c>
      <c r="AK108" s="23" cm="1">
        <f t="array" ref="AK108">INDEX(GMWQ!$A$2:$LR$60,MATCH(1,(GMWQ!$LQ$2:$LQ$60=AK$3)*(GMWQ!$LP$2:$LP$60=AK$4)*(GMWQ!$LR$2:$LR$60=AK$1),0),$B108-1966)</f>
        <v>98670</v>
      </c>
      <c r="AL108" s="23" cm="1">
        <f t="array" ref="AL108">INDEX(GMWQ!$A$2:$LR$60,MATCH(1,(GMWQ!$LQ$2:$LQ$60=AL$3)*(GMWQ!$LP$2:$LP$60=AL$4)*(GMWQ!$LR$2:$LR$60=AL$1),0),$B108-1966)</f>
        <v>4273.2780000000002</v>
      </c>
      <c r="AM108" s="23" cm="1">
        <f t="array" ref="AM108">INDEX(GMWQ!$A$2:$LR$60,MATCH(1,(GMWQ!$LQ$2:$LQ$60=AM$3)*(GMWQ!$LP$2:$LP$60=AM$4)*(GMWQ!$LR$2:$LR$60=AM$1),0),$B108-1966)</f>
        <v>23090</v>
      </c>
      <c r="AN108" s="23" cm="1">
        <f t="array" ref="AN108">INDEX(GMWQ!$A$2:$LR$60,MATCH(1,(GMWQ!$LQ$2:$LQ$60=AN$3)*(GMWQ!$LP$2:$LP$60=AN$4)*(GMWQ!$LR$2:$LR$60=AN$1),0),$B108-1966)</f>
        <v>21935</v>
      </c>
      <c r="AO108" s="23" cm="1">
        <f t="array" ref="AO108">INDEX(GMWQ!$A$2:$LR$60,MATCH(1,(GMWQ!$LQ$2:$LQ$60=AO$3)*(GMWQ!$LP$2:$LP$60=AO$4)*(GMWQ!$LR$2:$LR$60=AO$1),0),$B108-1966)</f>
        <v>6458</v>
      </c>
      <c r="AP108" s="23" cm="1">
        <f t="array" ref="AP108">INDEX(GMWQ!$A$2:$LR$60,MATCH(1,(GMWQ!$LQ$2:$LQ$60=AP$3)*(GMWQ!$LP$2:$LP$60=AP$4)*(GMWQ!$LR$2:$LR$60=AP$1),0),$B108-1966)</f>
        <v>136</v>
      </c>
      <c r="AQ108" s="23" cm="1">
        <f t="array" ref="AQ108">INDEX(GMWQ!$A$2:$LR$60,MATCH(1,(GMWQ!$LQ$2:$LQ$60=AQ$3)*(GMWQ!$LP$2:$LP$60=AQ$4)*(GMWQ!$LR$2:$LR$60=AQ$1),0),$B108-1966)</f>
        <v>25612</v>
      </c>
      <c r="AR108" s="23" cm="1">
        <f t="array" ref="AR108">INDEX(GMWQ!$A$2:$LR$60,MATCH(1,(GMWQ!$LQ$2:$LQ$60=AR$3)*(GMWQ!$LP$2:$LP$60=AR$4)*(GMWQ!$LR$2:$LR$60=AR$1),0),$B108-1966)</f>
        <v>159808</v>
      </c>
      <c r="AS108" s="23" cm="1">
        <f t="array" ref="AS108">INDEX(GMWQ!$A$2:$LR$60,MATCH(1,(GMWQ!$LQ$2:$LQ$60=AS$3)*(GMWQ!$LP$2:$LP$60=AS$4)*(GMWQ!$LR$2:$LR$60=AS$1),0),$B108-1966)</f>
        <v>4024</v>
      </c>
      <c r="AT108" s="23" cm="1">
        <f t="array" ref="AT108">INDEX(GMWQ!$A$2:$LR$60,MATCH(1,(GMWQ!$LQ$2:$LQ$60=AT$3)*(GMWQ!$LP$2:$LP$60=AT$4)*(GMWQ!$LR$2:$LR$60=AT$1),0),$B108-1966)</f>
        <v>220955</v>
      </c>
      <c r="AU108" s="23" cm="1">
        <f t="array" ref="AU108">INDEX(GMWQ!$A$2:$LR$60,MATCH(1,(GMWQ!$LQ$2:$LQ$60=AU$3)*(GMWQ!$LP$2:$LP$60=AU$4)*(GMWQ!$LR$2:$LR$60=AU$1),0),$B108-1966)</f>
        <v>9018</v>
      </c>
    </row>
    <row r="109" spans="1:47" x14ac:dyDescent="0.35">
      <c r="B109" s="7">
        <f t="shared" si="2"/>
        <v>2075</v>
      </c>
      <c r="C109" s="7" cm="1">
        <f t="array" ref="C109">INDEX(GMWQ!$A$2:$LR$60,MATCH(1,(GMWQ!$LQ$2:$LQ$60=C$3)*(GMWQ!$LP$2:$LP$60=C$4)*(GMWQ!$LR$2:$LR$60=C$1),0),$B109-1966)</f>
        <v>377650</v>
      </c>
      <c r="D109" s="7" cm="1">
        <f t="array" ref="D109">INDEX(GMWQ!$A$2:$LR$60,MATCH(1,(GMWQ!$LQ$2:$LQ$60=D$3)*(GMWQ!$LP$2:$LP$60=D$4)*(GMWQ!$LR$2:$LR$60=D$1),0),$B109-1966)</f>
        <v>282.88189999999997</v>
      </c>
      <c r="E109" s="7" cm="1">
        <f t="array" ref="E109">INDEX(GMWQ!$A$2:$LR$60,MATCH(1,(GMWQ!$LQ$2:$LQ$60=E$3)*(GMWQ!$LP$2:$LP$60=E$4)*(GMWQ!$LR$2:$LR$60=E$1),0),$B109-1966)</f>
        <v>71.233329999999995</v>
      </c>
      <c r="F109" s="7" cm="1">
        <f t="array" ref="F109">INDEX(GMWQ!$A$2:$LR$60,MATCH(1,(GMWQ!$LQ$2:$LQ$60=F$3)*(GMWQ!$LP$2:$LP$60=F$4)*(GMWQ!$LR$2:$LR$60=F$1),0),$B109-1966)</f>
        <v>100519</v>
      </c>
      <c r="G109" s="7" cm="1">
        <f t="array" ref="G109">INDEX(GMWQ!$A$2:$LR$60,MATCH(1,(GMWQ!$LQ$2:$LQ$60=G$3)*(GMWQ!$LP$2:$LP$60=G$4)*(GMWQ!$LR$2:$LR$60=G$1),0),$B109-1966)</f>
        <v>22356</v>
      </c>
      <c r="H109" s="7" cm="1">
        <f t="array" ref="H109">INDEX(GMWQ!$A$2:$LR$60,MATCH(1,(GMWQ!$LQ$2:$LQ$60=H$3)*(GMWQ!$LP$2:$LP$60=H$4)*(GMWQ!$LR$2:$LR$60=H$1),0),$B109-1966)</f>
        <v>6701</v>
      </c>
      <c r="I109" s="7" cm="1">
        <f t="array" ref="I109">INDEX(GMWQ!$A$2:$LR$60,MATCH(1,(GMWQ!$LQ$2:$LQ$60=I$3)*(GMWQ!$LP$2:$LP$60=I$4)*(GMWQ!$LR$2:$LR$60=I$1),0),$B109-1966)</f>
        <v>72.765659999999997</v>
      </c>
      <c r="J109" s="7" cm="1">
        <f t="array" ref="J109">INDEX(GMWQ!$A$2:$LR$60,MATCH(1,(GMWQ!$LQ$2:$LQ$60=J$3)*(GMWQ!$LP$2:$LP$60=J$4)*(GMWQ!$LR$2:$LR$60=J$1),0),$B109-1966)</f>
        <v>23270</v>
      </c>
      <c r="K109" s="7" cm="1">
        <f t="array" ref="K109">INDEX(GMWQ!$A$2:$LR$60,MATCH(1,(GMWQ!$LQ$2:$LQ$60=K$3)*(GMWQ!$LP$2:$LP$60=K$4)*(GMWQ!$LR$2:$LR$60=K$1),0),$B109-1966)</f>
        <v>7.5</v>
      </c>
      <c r="L109" s="7" cm="1">
        <f t="array" ref="L109">INDEX(GMWQ!$A$2:$LR$60,MATCH(1,(GMWQ!$LQ$2:$LQ$60=L$3)*(GMWQ!$LP$2:$LP$60=L$4)*(GMWQ!$LR$2:$LR$60=L$1),0),$B109-1966)</f>
        <v>6.2</v>
      </c>
      <c r="M109" s="7" cm="1">
        <f t="array" ref="M109">INDEX(GMWQ!$A$2:$LR$60,MATCH(1,(GMWQ!$LQ$2:$LQ$60=M$3)*(GMWQ!$LP$2:$LP$60=M$4)*(GMWQ!$LR$2:$LR$60=M$1),0),$B109-1966)</f>
        <v>38.096260000000001</v>
      </c>
      <c r="N109" s="7" cm="1">
        <f t="array" ref="N109">INDEX(GMWQ!$A$2:$LR$60,MATCH(1,(GMWQ!$LQ$2:$LQ$60=N$3)*(GMWQ!$LP$2:$LP$60=N$4)*(GMWQ!$LR$2:$LR$60=N$1),0),$B109-1966)</f>
        <v>9639</v>
      </c>
      <c r="O109" s="7" cm="1">
        <f t="array" ref="O109">INDEX(GMWQ!$A$2:$LR$60,MATCH(1,(GMWQ!$LQ$2:$LQ$60=O$3)*(GMWQ!$LP$2:$LP$60=O$4)*(GMWQ!$LR$2:$LR$60=O$1),0),$B109-1966)</f>
        <v>9430</v>
      </c>
      <c r="P109" s="7" cm="1">
        <f t="array" ref="P109">INDEX(GMWQ!$A$2:$LR$60,MATCH(1,(GMWQ!$LQ$2:$LQ$60=P$3)*(GMWQ!$LP$2:$LP$60=P$4)*(GMWQ!$LR$2:$LR$60=P$1),0),$B109-1966)</f>
        <v>163185</v>
      </c>
      <c r="Q109" s="7" cm="1">
        <f t="array" ref="Q109">INDEX(GMWQ!$A$2:$LR$60,MATCH(1,(GMWQ!$LQ$2:$LQ$60=Q$3)*(GMWQ!$LP$2:$LP$60=Q$4)*(GMWQ!$LR$2:$LR$60=Q$1),0),$B109-1966)</f>
        <v>7.99</v>
      </c>
      <c r="R109" s="7" cm="1">
        <f t="array" ref="R109">INDEX(GMWQ!$A$2:$LR$60,MATCH(1,(GMWQ!$LQ$2:$LQ$60=R$3)*(GMWQ!$LP$2:$LP$60=R$4)*(GMWQ!$LR$2:$LR$60=R$1),0),$B109-1966)</f>
        <v>259135</v>
      </c>
      <c r="S109" s="7" cm="1">
        <f t="array" ref="S109">INDEX(GMWQ!$A$2:$LR$60,MATCH(1,(GMWQ!$LQ$2:$LQ$60=S$3)*(GMWQ!$LP$2:$LP$60=S$4)*(GMWQ!$LR$2:$LR$60=S$1),0),$B109-1966)</f>
        <v>345</v>
      </c>
      <c r="T109" s="7" cm="1">
        <f t="array" ref="T109">INDEX(GMWQ!$A$2:$LR$60,MATCH(1,(GMWQ!$LQ$2:$LQ$60=T$3)*(GMWQ!$LP$2:$LP$60=T$4)*(GMWQ!$LR$2:$LR$60=T$1),0),$B109-1966)</f>
        <v>23041</v>
      </c>
      <c r="U109" s="7" cm="1">
        <f t="array" ref="U109">INDEX(GMWQ!$A$2:$LR$60,MATCH(1,(GMWQ!$LQ$2:$LQ$60=U$3)*(GMWQ!$LP$2:$LP$60=U$4)*(GMWQ!$LR$2:$LR$60=U$1),0),$B109-1966)</f>
        <v>6300</v>
      </c>
      <c r="V109" s="7" cm="1">
        <f t="array" ref="V109">INDEX(GMWQ!$A$2:$LR$60,MATCH(1,(GMWQ!$LQ$2:$LQ$60=V$3)*(GMWQ!$LP$2:$LP$60=V$4)*(GMWQ!$LR$2:$LR$60=V$1),0),$B109-1966)</f>
        <v>2.8844600000000001E-3</v>
      </c>
      <c r="W109" s="7" cm="1">
        <f t="array" ref="W109">INDEX(GMWQ!$A$2:$LR$60,MATCH(1,(GMWQ!$LQ$2:$LQ$60=W$3)*(GMWQ!$LP$2:$LP$60=W$4)*(GMWQ!$LR$2:$LR$60=W$1),0),$B109-1966)</f>
        <v>16.115749999999998</v>
      </c>
      <c r="X109" s="7" cm="1">
        <f t="array" ref="X109">INDEX(GMWQ!$A$2:$LR$60,MATCH(1,(GMWQ!$LQ$2:$LQ$60=X$3)*(GMWQ!$LP$2:$LP$60=X$4)*(GMWQ!$LR$2:$LR$60=X$1),0),$B109-1966)</f>
        <v>1360423</v>
      </c>
      <c r="Y109" s="7" cm="1">
        <f t="array" ref="Y109">INDEX(GMWQ!$A$2:$LR$60,MATCH(1,(GMWQ!$LQ$2:$LQ$60=Y$3)*(GMWQ!$LP$2:$LP$60=Y$4)*(GMWQ!$LR$2:$LR$60=Y$1),0),$B109-1966)</f>
        <v>66.407780000000002</v>
      </c>
      <c r="Z109" s="7" cm="1">
        <f t="array" ref="Z109">INDEX(GMWQ!$A$2:$LR$60,MATCH(1,(GMWQ!$LQ$2:$LQ$60=Z$3)*(GMWQ!$LP$2:$LP$60=Z$4)*(GMWQ!$LR$2:$LR$60=Z$1),0),$B109-1966)</f>
        <v>371966.7</v>
      </c>
      <c r="AA109" s="7" cm="1">
        <f t="array" ref="AA109">INDEX(GMWQ!$A$2:$LR$60,MATCH(1,(GMWQ!$LQ$2:$LQ$60=AA$3)*(GMWQ!$LP$2:$LP$60=AA$4)*(GMWQ!$LR$2:$LR$60=AA$1),0),$B109-1966)</f>
        <v>86404</v>
      </c>
      <c r="AB109" s="7" cm="1">
        <f t="array" ref="AB109">INDEX(GMWQ!$A$2:$LR$60,MATCH(1,(GMWQ!$LQ$2:$LQ$60=AB$3)*(GMWQ!$LP$2:$LP$60=AB$4)*(GMWQ!$LR$2:$LR$60=AB$1),0),$B109-1966)</f>
        <v>81050</v>
      </c>
      <c r="AC109" s="7" cm="1">
        <f t="array" ref="AC109">INDEX(GMWQ!$A$2:$LR$60,MATCH(1,(GMWQ!$LQ$2:$LQ$60=AC$3)*(GMWQ!$LP$2:$LP$60=AC$4)*(GMWQ!$LR$2:$LR$60=AC$1),0),$B109-1966)</f>
        <v>678</v>
      </c>
      <c r="AD109" s="7" cm="1">
        <f t="array" ref="AD109">INDEX(GMWQ!$A$2:$LR$60,MATCH(1,(GMWQ!$LQ$2:$LQ$60=AD$3)*(GMWQ!$LP$2:$LP$60=AD$4)*(GMWQ!$LR$2:$LR$60=AD$1),0),$B109-1966)</f>
        <v>5709</v>
      </c>
      <c r="AE109" s="7" cm="1">
        <f t="array" ref="AE109">INDEX(GMWQ!$A$2:$LR$60,MATCH(1,(GMWQ!$LQ$2:$LQ$60=AE$3)*(GMWQ!$LP$2:$LP$60=AE$4)*(GMWQ!$LR$2:$LR$60=AE$1),0),$B109-1966)</f>
        <v>250789</v>
      </c>
      <c r="AF109" s="20" cm="1">
        <f t="array" ref="AF109">INDEX(GMWQ!$A$2:$LR$60,MATCH(1,(GMWQ!$LQ$2:$LQ$60=AF$3)*(GMWQ!$LP$2:$LP$60=AF$4)*(GMWQ!$LR$2:$LR$60=AF$1),0),$B109-1966)</f>
        <v>7.5</v>
      </c>
      <c r="AG109" s="20" cm="1">
        <f t="array" ref="AG109">INDEX(GMWQ!$A$2:$LR$60,MATCH(1,(GMWQ!$LQ$2:$LQ$60=AG$3)*(GMWQ!$LP$2:$LP$60=AG$4)*(GMWQ!$LR$2:$LR$60=AG$1),0),$B109-1966)</f>
        <v>-209</v>
      </c>
      <c r="AI109" s="23" cm="1">
        <f t="array" ref="AI109">INDEX(GMWQ!$A$2:$LR$60,MATCH(1,(GMWQ!$LQ$2:$LQ$60=AI$3)*(GMWQ!$LP$2:$LP$60=AI$4)*(GMWQ!$LR$2:$LR$60=AI$1),0),$B109-1966)</f>
        <v>163185</v>
      </c>
      <c r="AJ109" s="23" cm="1">
        <f t="array" ref="AJ109">INDEX(GMWQ!$A$2:$LR$60,MATCH(1,(GMWQ!$LQ$2:$LQ$60=AJ$3)*(GMWQ!$LP$2:$LP$60=AJ$4)*(GMWQ!$LR$2:$LR$60=AJ$1),0),$B109-1966)</f>
        <v>72.765659999999997</v>
      </c>
      <c r="AK109" s="23" cm="1">
        <f t="array" ref="AK109">INDEX(GMWQ!$A$2:$LR$60,MATCH(1,(GMWQ!$LQ$2:$LQ$60=AK$3)*(GMWQ!$LP$2:$LP$60=AK$4)*(GMWQ!$LR$2:$LR$60=AK$1),0),$B109-1966)</f>
        <v>100519</v>
      </c>
      <c r="AL109" s="23" cm="1">
        <f t="array" ref="AL109">INDEX(GMWQ!$A$2:$LR$60,MATCH(1,(GMWQ!$LQ$2:$LQ$60=AL$3)*(GMWQ!$LP$2:$LP$60=AL$4)*(GMWQ!$LR$2:$LR$60=AL$1),0),$B109-1966)</f>
        <v>4319.6819999999998</v>
      </c>
      <c r="AM109" s="23" cm="1">
        <f t="array" ref="AM109">INDEX(GMWQ!$A$2:$LR$60,MATCH(1,(GMWQ!$LQ$2:$LQ$60=AM$3)*(GMWQ!$LP$2:$LP$60=AM$4)*(GMWQ!$LR$2:$LR$60=AM$1),0),$B109-1966)</f>
        <v>23270</v>
      </c>
      <c r="AN109" s="23" cm="1">
        <f t="array" ref="AN109">INDEX(GMWQ!$A$2:$LR$60,MATCH(1,(GMWQ!$LQ$2:$LQ$60=AN$3)*(GMWQ!$LP$2:$LP$60=AN$4)*(GMWQ!$LR$2:$LR$60=AN$1),0),$B109-1966)</f>
        <v>22356</v>
      </c>
      <c r="AO109" s="23" cm="1">
        <f t="array" ref="AO109">INDEX(GMWQ!$A$2:$LR$60,MATCH(1,(GMWQ!$LQ$2:$LQ$60=AO$3)*(GMWQ!$LP$2:$LP$60=AO$4)*(GMWQ!$LR$2:$LR$60=AO$1),0),$B109-1966)</f>
        <v>6701</v>
      </c>
      <c r="AP109" s="23" cm="1">
        <f t="array" ref="AP109">INDEX(GMWQ!$A$2:$LR$60,MATCH(1,(GMWQ!$LQ$2:$LQ$60=AP$3)*(GMWQ!$LP$2:$LP$60=AP$4)*(GMWQ!$LR$2:$LR$60=AP$1),0),$B109-1966)</f>
        <v>-209</v>
      </c>
      <c r="AQ109" s="23" cm="1">
        <f t="array" ref="AQ109">INDEX(GMWQ!$A$2:$LR$60,MATCH(1,(GMWQ!$LQ$2:$LQ$60=AQ$3)*(GMWQ!$LP$2:$LP$60=AQ$4)*(GMWQ!$LR$2:$LR$60=AQ$1),0),$B109-1966)</f>
        <v>25018</v>
      </c>
      <c r="AR109" s="23" cm="1">
        <f t="array" ref="AR109">INDEX(GMWQ!$A$2:$LR$60,MATCH(1,(GMWQ!$LQ$2:$LQ$60=AR$3)*(GMWQ!$LP$2:$LP$60=AR$4)*(GMWQ!$LR$2:$LR$60=AR$1),0),$B109-1966)</f>
        <v>163543</v>
      </c>
      <c r="AS109" s="23" cm="1">
        <f t="array" ref="AS109">INDEX(GMWQ!$A$2:$LR$60,MATCH(1,(GMWQ!$LQ$2:$LQ$60=AS$3)*(GMWQ!$LP$2:$LP$60=AS$4)*(GMWQ!$LR$2:$LR$60=AS$1),0),$B109-1966)</f>
        <v>4052</v>
      </c>
      <c r="AT109" s="23" cm="1">
        <f t="array" ref="AT109">INDEX(GMWQ!$A$2:$LR$60,MATCH(1,(GMWQ!$LQ$2:$LQ$60=AT$3)*(GMWQ!$LP$2:$LP$60=AT$4)*(GMWQ!$LR$2:$LR$60=AT$1),0),$B109-1966)</f>
        <v>224753</v>
      </c>
      <c r="AU109" s="23" cm="1">
        <f t="array" ref="AU109">INDEX(GMWQ!$A$2:$LR$60,MATCH(1,(GMWQ!$LQ$2:$LQ$60=AU$3)*(GMWQ!$LP$2:$LP$60=AU$4)*(GMWQ!$LR$2:$LR$60=AU$1),0),$B109-1966)</f>
        <v>8909</v>
      </c>
    </row>
    <row r="110" spans="1:47" x14ac:dyDescent="0.35">
      <c r="B110" s="7">
        <f t="shared" si="2"/>
        <v>2076</v>
      </c>
      <c r="C110" s="7" cm="1">
        <f t="array" ref="C110">INDEX(GMWQ!$A$2:$LR$60,MATCH(1,(GMWQ!$LQ$2:$LQ$60=C$3)*(GMWQ!$LP$2:$LP$60=C$4)*(GMWQ!$LR$2:$LR$60=C$1),0),$B110-1966)</f>
        <v>380155</v>
      </c>
      <c r="D110" s="7" cm="1">
        <f t="array" ref="D110">INDEX(GMWQ!$A$2:$LR$60,MATCH(1,(GMWQ!$LQ$2:$LQ$60=D$3)*(GMWQ!$LP$2:$LP$60=D$4)*(GMWQ!$LR$2:$LR$60=D$1),0),$B110-1966)</f>
        <v>285.15710000000001</v>
      </c>
      <c r="E110" s="7" cm="1">
        <f t="array" ref="E110">INDEX(GMWQ!$A$2:$LR$60,MATCH(1,(GMWQ!$LQ$2:$LQ$60=E$3)*(GMWQ!$LP$2:$LP$60=E$4)*(GMWQ!$LR$2:$LR$60=E$1),0),$B110-1966)</f>
        <v>71.633330000000001</v>
      </c>
      <c r="F110" s="7" cm="1">
        <f t="array" ref="F110">INDEX(GMWQ!$A$2:$LR$60,MATCH(1,(GMWQ!$LQ$2:$LQ$60=F$3)*(GMWQ!$LP$2:$LP$60=F$4)*(GMWQ!$LR$2:$LR$60=F$1),0),$B110-1966)</f>
        <v>101058</v>
      </c>
      <c r="G110" s="7" cm="1">
        <f t="array" ref="G110">INDEX(GMWQ!$A$2:$LR$60,MATCH(1,(GMWQ!$LQ$2:$LQ$60=G$3)*(GMWQ!$LP$2:$LP$60=G$4)*(GMWQ!$LR$2:$LR$60=G$1),0),$B110-1966)</f>
        <v>23750</v>
      </c>
      <c r="H110" s="7" cm="1">
        <f t="array" ref="H110">INDEX(GMWQ!$A$2:$LR$60,MATCH(1,(GMWQ!$LQ$2:$LQ$60=H$3)*(GMWQ!$LP$2:$LP$60=H$4)*(GMWQ!$LR$2:$LR$60=H$1),0),$B110-1966)</f>
        <v>6785</v>
      </c>
      <c r="I110" s="7" cm="1">
        <f t="array" ref="I110">INDEX(GMWQ!$A$2:$LR$60,MATCH(1,(GMWQ!$LQ$2:$LQ$60=I$3)*(GMWQ!$LP$2:$LP$60=I$4)*(GMWQ!$LR$2:$LR$60=I$1),0),$B110-1966)</f>
        <v>72.923450000000003</v>
      </c>
      <c r="J110" s="7" cm="1">
        <f t="array" ref="J110">INDEX(GMWQ!$A$2:$LR$60,MATCH(1,(GMWQ!$LQ$2:$LQ$60=J$3)*(GMWQ!$LP$2:$LP$60=J$4)*(GMWQ!$LR$2:$LR$60=J$1),0),$B110-1966)</f>
        <v>23397</v>
      </c>
      <c r="K110" s="7" cm="1">
        <f t="array" ref="K110">INDEX(GMWQ!$A$2:$LR$60,MATCH(1,(GMWQ!$LQ$2:$LQ$60=K$3)*(GMWQ!$LP$2:$LP$60=K$4)*(GMWQ!$LR$2:$LR$60=K$1),0),$B110-1966)</f>
        <v>6.25</v>
      </c>
      <c r="L110" s="7" cm="1">
        <f t="array" ref="L110">INDEX(GMWQ!$A$2:$LR$60,MATCH(1,(GMWQ!$LQ$2:$LQ$60=L$3)*(GMWQ!$LP$2:$LP$60=L$4)*(GMWQ!$LR$2:$LR$60=L$1),0),$B110-1966)</f>
        <v>6.1</v>
      </c>
      <c r="M110" s="7" cm="1">
        <f t="array" ref="M110">INDEX(GMWQ!$A$2:$LR$60,MATCH(1,(GMWQ!$LQ$2:$LQ$60=M$3)*(GMWQ!$LP$2:$LP$60=M$4)*(GMWQ!$LR$2:$LR$60=M$1),0),$B110-1966)</f>
        <v>38.749830000000003</v>
      </c>
      <c r="N110" s="7" cm="1">
        <f t="array" ref="N110">INDEX(GMWQ!$A$2:$LR$60,MATCH(1,(GMWQ!$LQ$2:$LQ$60=N$3)*(GMWQ!$LP$2:$LP$60=N$4)*(GMWQ!$LR$2:$LR$60=N$1),0),$B110-1966)</f>
        <v>9753</v>
      </c>
      <c r="O110" s="7" cm="1">
        <f t="array" ref="O110">INDEX(GMWQ!$A$2:$LR$60,MATCH(1,(GMWQ!$LQ$2:$LQ$60=O$3)*(GMWQ!$LP$2:$LP$60=O$4)*(GMWQ!$LR$2:$LR$60=O$1),0),$B110-1966)</f>
        <v>9411</v>
      </c>
      <c r="P110" s="7" cm="1">
        <f t="array" ref="P110">INDEX(GMWQ!$A$2:$LR$60,MATCH(1,(GMWQ!$LQ$2:$LQ$60=P$3)*(GMWQ!$LP$2:$LP$60=P$4)*(GMWQ!$LR$2:$LR$60=P$1),0),$B110-1966)</f>
        <v>165831</v>
      </c>
      <c r="Q110" s="7" cm="1">
        <f t="array" ref="Q110">INDEX(GMWQ!$A$2:$LR$60,MATCH(1,(GMWQ!$LQ$2:$LQ$60=Q$3)*(GMWQ!$LP$2:$LP$60=Q$4)*(GMWQ!$LR$2:$LR$60=Q$1),0),$B110-1966)</f>
        <v>7.29</v>
      </c>
      <c r="R110" s="7" cm="1">
        <f t="array" ref="R110">INDEX(GMWQ!$A$2:$LR$60,MATCH(1,(GMWQ!$LQ$2:$LQ$60=R$3)*(GMWQ!$LP$2:$LP$60=R$4)*(GMWQ!$LR$2:$LR$60=R$1),0),$B110-1966)</f>
        <v>250412</v>
      </c>
      <c r="S110" s="7" cm="1">
        <f t="array" ref="S110">INDEX(GMWQ!$A$2:$LR$60,MATCH(1,(GMWQ!$LQ$2:$LQ$60=S$3)*(GMWQ!$LP$2:$LP$60=S$4)*(GMWQ!$LR$2:$LR$60=S$1),0),$B110-1966)</f>
        <v>326</v>
      </c>
      <c r="T110" s="7" cm="1">
        <f t="array" ref="T110">INDEX(GMWQ!$A$2:$LR$60,MATCH(1,(GMWQ!$LQ$2:$LQ$60=T$3)*(GMWQ!$LP$2:$LP$60=T$4)*(GMWQ!$LR$2:$LR$60=T$1),0),$B110-1966)</f>
        <v>23012</v>
      </c>
      <c r="U110" s="7" cm="1">
        <f t="array" ref="U110">INDEX(GMWQ!$A$2:$LR$60,MATCH(1,(GMWQ!$LQ$2:$LQ$60=U$3)*(GMWQ!$LP$2:$LP$60=U$4)*(GMWQ!$LR$2:$LR$60=U$1),0),$B110-1966)</f>
        <v>6127</v>
      </c>
      <c r="V110" s="7" cm="1">
        <f t="array" ref="V110">INDEX(GMWQ!$A$2:$LR$60,MATCH(1,(GMWQ!$LQ$2:$LQ$60=V$3)*(GMWQ!$LP$2:$LP$60=V$4)*(GMWQ!$LR$2:$LR$60=V$1),0),$B110-1966)</f>
        <v>2.9076729999999999E-3</v>
      </c>
      <c r="W110" s="7" cm="1">
        <f t="array" ref="W110">INDEX(GMWQ!$A$2:$LR$60,MATCH(1,(GMWQ!$LQ$2:$LQ$60=W$3)*(GMWQ!$LP$2:$LP$60=W$4)*(GMWQ!$LR$2:$LR$60=W$1),0),$B110-1966)</f>
        <v>14.91188</v>
      </c>
      <c r="X110" s="7" cm="1">
        <f t="array" ref="X110">INDEX(GMWQ!$A$2:$LR$60,MATCH(1,(GMWQ!$LQ$2:$LQ$60=X$3)*(GMWQ!$LP$2:$LP$60=X$4)*(GMWQ!$LR$2:$LR$60=X$1),0),$B110-1966)</f>
        <v>1384284</v>
      </c>
      <c r="Y110" s="7" cm="1">
        <f t="array" ref="Y110">INDEX(GMWQ!$A$2:$LR$60,MATCH(1,(GMWQ!$LQ$2:$LQ$60=Y$3)*(GMWQ!$LP$2:$LP$60=Y$4)*(GMWQ!$LR$2:$LR$60=Y$1),0),$B110-1966)</f>
        <v>66.765659999999997</v>
      </c>
      <c r="Z110" s="7" cm="1">
        <f t="array" ref="Z110">INDEX(GMWQ!$A$2:$LR$60,MATCH(1,(GMWQ!$LQ$2:$LQ$60=Z$3)*(GMWQ!$LP$2:$LP$60=Z$4)*(GMWQ!$LR$2:$LR$60=Z$1),0),$B110-1966)</f>
        <v>372701.1</v>
      </c>
      <c r="AA110" s="7" cm="1">
        <f t="array" ref="AA110">INDEX(GMWQ!$A$2:$LR$60,MATCH(1,(GMWQ!$LQ$2:$LQ$60=AA$3)*(GMWQ!$LP$2:$LP$60=AA$4)*(GMWQ!$LR$2:$LR$60=AA$1),0),$B110-1966)</f>
        <v>93285</v>
      </c>
      <c r="AB110" s="7" cm="1">
        <f t="array" ref="AB110">INDEX(GMWQ!$A$2:$LR$60,MATCH(1,(GMWQ!$LQ$2:$LQ$60=AB$3)*(GMWQ!$LP$2:$LP$60=AB$4)*(GMWQ!$LR$2:$LR$60=AB$1),0),$B110-1966)</f>
        <v>83837</v>
      </c>
      <c r="AC110" s="7" cm="1">
        <f t="array" ref="AC110">INDEX(GMWQ!$A$2:$LR$60,MATCH(1,(GMWQ!$LQ$2:$LQ$60=AC$3)*(GMWQ!$LP$2:$LP$60=AC$4)*(GMWQ!$LR$2:$LR$60=AC$1),0),$B110-1966)</f>
        <v>1219</v>
      </c>
      <c r="AD110" s="7" cm="1">
        <f t="array" ref="AD110">INDEX(GMWQ!$A$2:$LR$60,MATCH(1,(GMWQ!$LQ$2:$LQ$60=AD$3)*(GMWQ!$LP$2:$LP$60=AD$4)*(GMWQ!$LR$2:$LR$60=AD$1),0),$B110-1966)</f>
        <v>5775</v>
      </c>
      <c r="AE110" s="7" cm="1">
        <f t="array" ref="AE110">INDEX(GMWQ!$A$2:$LR$60,MATCH(1,(GMWQ!$LQ$2:$LQ$60=AE$3)*(GMWQ!$LP$2:$LP$60=AE$4)*(GMWQ!$LR$2:$LR$60=AE$1),0),$B110-1966)</f>
        <v>253813</v>
      </c>
      <c r="AF110" s="20" cm="1">
        <f t="array" ref="AF110">INDEX(GMWQ!$A$2:$LR$60,MATCH(1,(GMWQ!$LQ$2:$LQ$60=AF$3)*(GMWQ!$LP$2:$LP$60=AF$4)*(GMWQ!$LR$2:$LR$60=AF$1),0),$B110-1966)</f>
        <v>6.8371209999999998</v>
      </c>
      <c r="AG110" s="20" cm="1">
        <f t="array" ref="AG110">INDEX(GMWQ!$A$2:$LR$60,MATCH(1,(GMWQ!$LQ$2:$LQ$60=AG$3)*(GMWQ!$LP$2:$LP$60=AG$4)*(GMWQ!$LR$2:$LR$60=AG$1),0),$B110-1966)</f>
        <v>-342</v>
      </c>
      <c r="AI110" s="23" cm="1">
        <f t="array" ref="AI110">INDEX(GMWQ!$A$2:$LR$60,MATCH(1,(GMWQ!$LQ$2:$LQ$60=AI$3)*(GMWQ!$LP$2:$LP$60=AI$4)*(GMWQ!$LR$2:$LR$60=AI$1),0),$B110-1966)</f>
        <v>165831</v>
      </c>
      <c r="AJ110" s="23" cm="1">
        <f t="array" ref="AJ110">INDEX(GMWQ!$A$2:$LR$60,MATCH(1,(GMWQ!$LQ$2:$LQ$60=AJ$3)*(GMWQ!$LP$2:$LP$60=AJ$4)*(GMWQ!$LR$2:$LR$60=AJ$1),0),$B110-1966)</f>
        <v>72.923450000000003</v>
      </c>
      <c r="AK110" s="23" cm="1">
        <f t="array" ref="AK110">INDEX(GMWQ!$A$2:$LR$60,MATCH(1,(GMWQ!$LQ$2:$LQ$60=AK$3)*(GMWQ!$LP$2:$LP$60=AK$4)*(GMWQ!$LR$2:$LR$60=AK$1),0),$B110-1966)</f>
        <v>101058</v>
      </c>
      <c r="AL110" s="23" cm="1">
        <f t="array" ref="AL110">INDEX(GMWQ!$A$2:$LR$60,MATCH(1,(GMWQ!$LQ$2:$LQ$60=AL$3)*(GMWQ!$LP$2:$LP$60=AL$4)*(GMWQ!$LR$2:$LR$60=AL$1),0),$B110-1966)</f>
        <v>4319.2709999999997</v>
      </c>
      <c r="AM110" s="23" cm="1">
        <f t="array" ref="AM110">INDEX(GMWQ!$A$2:$LR$60,MATCH(1,(GMWQ!$LQ$2:$LQ$60=AM$3)*(GMWQ!$LP$2:$LP$60=AM$4)*(GMWQ!$LR$2:$LR$60=AM$1),0),$B110-1966)</f>
        <v>23397</v>
      </c>
      <c r="AN110" s="23" cm="1">
        <f t="array" ref="AN110">INDEX(GMWQ!$A$2:$LR$60,MATCH(1,(GMWQ!$LQ$2:$LQ$60=AN$3)*(GMWQ!$LP$2:$LP$60=AN$4)*(GMWQ!$LR$2:$LR$60=AN$1),0),$B110-1966)</f>
        <v>23750</v>
      </c>
      <c r="AO110" s="23" cm="1">
        <f t="array" ref="AO110">INDEX(GMWQ!$A$2:$LR$60,MATCH(1,(GMWQ!$LQ$2:$LQ$60=AO$3)*(GMWQ!$LP$2:$LP$60=AO$4)*(GMWQ!$LR$2:$LR$60=AO$1),0),$B110-1966)</f>
        <v>6785</v>
      </c>
      <c r="AP110" s="23" cm="1">
        <f t="array" ref="AP110">INDEX(GMWQ!$A$2:$LR$60,MATCH(1,(GMWQ!$LQ$2:$LQ$60=AP$3)*(GMWQ!$LP$2:$LP$60=AP$4)*(GMWQ!$LR$2:$LR$60=AP$1),0),$B110-1966)</f>
        <v>-342</v>
      </c>
      <c r="AQ110" s="23" cm="1">
        <f t="array" ref="AQ110">INDEX(GMWQ!$A$2:$LR$60,MATCH(1,(GMWQ!$LQ$2:$LQ$60=AQ$3)*(GMWQ!$LP$2:$LP$60=AQ$4)*(GMWQ!$LR$2:$LR$60=AQ$1),0),$B110-1966)</f>
        <v>26209</v>
      </c>
      <c r="AR110" s="23" cm="1">
        <f t="array" ref="AR110">INDEX(GMWQ!$A$2:$LR$60,MATCH(1,(GMWQ!$LQ$2:$LQ$60=AR$3)*(GMWQ!$LP$2:$LP$60=AR$4)*(GMWQ!$LR$2:$LR$60=AR$1),0),$B110-1966)</f>
        <v>163894</v>
      </c>
      <c r="AS110" s="23" cm="1">
        <f t="array" ref="AS110">INDEX(GMWQ!$A$2:$LR$60,MATCH(1,(GMWQ!$LQ$2:$LQ$60=AS$3)*(GMWQ!$LP$2:$LP$60=AS$4)*(GMWQ!$LR$2:$LR$60=AS$1),0),$B110-1966)</f>
        <v>4090</v>
      </c>
      <c r="AT110" s="23" cm="1">
        <f t="array" ref="AT110">INDEX(GMWQ!$A$2:$LR$60,MATCH(1,(GMWQ!$LQ$2:$LQ$60=AT$3)*(GMWQ!$LP$2:$LP$60=AT$4)*(GMWQ!$LR$2:$LR$60=AT$1),0),$B110-1966)</f>
        <v>224748</v>
      </c>
      <c r="AU110" s="23" cm="1">
        <f t="array" ref="AU110">INDEX(GMWQ!$A$2:$LR$60,MATCH(1,(GMWQ!$LQ$2:$LQ$60=AU$3)*(GMWQ!$LP$2:$LP$60=AU$4)*(GMWQ!$LR$2:$LR$60=AU$1),0),$B110-1966)</f>
        <v>8768</v>
      </c>
    </row>
    <row r="111" spans="1:47" x14ac:dyDescent="0.35">
      <c r="A111" s="7">
        <v>1999</v>
      </c>
      <c r="B111" s="7">
        <f t="shared" si="2"/>
        <v>2077</v>
      </c>
      <c r="C111" s="7" cm="1">
        <f t="array" ref="C111">INDEX(GMWQ!$A$2:$LR$60,MATCH(1,(GMWQ!$LQ$2:$LQ$60=C$3)*(GMWQ!$LP$2:$LP$60=C$4)*(GMWQ!$LR$2:$LR$60=C$1),0),$B111-1966)</f>
        <v>382789</v>
      </c>
      <c r="D111" s="7" cm="1">
        <f t="array" ref="D111">INDEX(GMWQ!$A$2:$LR$60,MATCH(1,(GMWQ!$LQ$2:$LQ$60=D$3)*(GMWQ!$LP$2:$LP$60=D$4)*(GMWQ!$LR$2:$LR$60=D$1),0),$B111-1966)</f>
        <v>284.69069999999999</v>
      </c>
      <c r="E111" s="7" cm="1">
        <f t="array" ref="E111">INDEX(GMWQ!$A$2:$LR$60,MATCH(1,(GMWQ!$LQ$2:$LQ$60=E$3)*(GMWQ!$LP$2:$LP$60=E$4)*(GMWQ!$LR$2:$LR$60=E$1),0),$B111-1966)</f>
        <v>71.599999999999994</v>
      </c>
      <c r="F111" s="7" cm="1">
        <f t="array" ref="F111">INDEX(GMWQ!$A$2:$LR$60,MATCH(1,(GMWQ!$LQ$2:$LQ$60=F$3)*(GMWQ!$LP$2:$LP$60=F$4)*(GMWQ!$LR$2:$LR$60=F$1),0),$B111-1966)</f>
        <v>103815</v>
      </c>
      <c r="G111" s="7" cm="1">
        <f t="array" ref="G111">INDEX(GMWQ!$A$2:$LR$60,MATCH(1,(GMWQ!$LQ$2:$LQ$60=G$3)*(GMWQ!$LP$2:$LP$60=G$4)*(GMWQ!$LR$2:$LR$60=G$1),0),$B111-1966)</f>
        <v>23118</v>
      </c>
      <c r="H111" s="7" cm="1">
        <f t="array" ref="H111">INDEX(GMWQ!$A$2:$LR$60,MATCH(1,(GMWQ!$LQ$2:$LQ$60=H$3)*(GMWQ!$LP$2:$LP$60=H$4)*(GMWQ!$LR$2:$LR$60=H$1),0),$B111-1966)</f>
        <v>7194</v>
      </c>
      <c r="I111" s="7" cm="1">
        <f t="array" ref="I111">INDEX(GMWQ!$A$2:$LR$60,MATCH(1,(GMWQ!$LQ$2:$LQ$60=I$3)*(GMWQ!$LP$2:$LP$60=I$4)*(GMWQ!$LR$2:$LR$60=I$1),0),$B111-1966)</f>
        <v>73.199129999999997</v>
      </c>
      <c r="J111" s="7" cm="1">
        <f t="array" ref="J111">INDEX(GMWQ!$A$2:$LR$60,MATCH(1,(GMWQ!$LQ$2:$LQ$60=J$3)*(GMWQ!$LP$2:$LP$60=J$4)*(GMWQ!$LR$2:$LR$60=J$1),0),$B111-1966)</f>
        <v>23473</v>
      </c>
      <c r="K111" s="7" cm="1">
        <f t="array" ref="K111">INDEX(GMWQ!$A$2:$LR$60,MATCH(1,(GMWQ!$LQ$2:$LQ$60=K$3)*(GMWQ!$LP$2:$LP$60=K$4)*(GMWQ!$LR$2:$LR$60=K$1),0),$B111-1966)</f>
        <v>5.5</v>
      </c>
      <c r="L111" s="7" cm="1">
        <f t="array" ref="L111">INDEX(GMWQ!$A$2:$LR$60,MATCH(1,(GMWQ!$LQ$2:$LQ$60=L$3)*(GMWQ!$LP$2:$LP$60=L$4)*(GMWQ!$LR$2:$LR$60=L$1),0),$B111-1966)</f>
        <v>6.2</v>
      </c>
      <c r="M111" s="7" cm="1">
        <f t="array" ref="M111">INDEX(GMWQ!$A$2:$LR$60,MATCH(1,(GMWQ!$LQ$2:$LQ$60=M$3)*(GMWQ!$LP$2:$LP$60=M$4)*(GMWQ!$LR$2:$LR$60=M$1),0),$B111-1966)</f>
        <v>38.705910000000003</v>
      </c>
      <c r="N111" s="7" cm="1">
        <f t="array" ref="N111">INDEX(GMWQ!$A$2:$LR$60,MATCH(1,(GMWQ!$LQ$2:$LQ$60=N$3)*(GMWQ!$LP$2:$LP$60=N$4)*(GMWQ!$LR$2:$LR$60=N$1),0),$B111-1966)</f>
        <v>9125</v>
      </c>
      <c r="O111" s="7" cm="1">
        <f t="array" ref="O111">INDEX(GMWQ!$A$2:$LR$60,MATCH(1,(GMWQ!$LQ$2:$LQ$60=O$3)*(GMWQ!$LP$2:$LP$60=O$4)*(GMWQ!$LR$2:$LR$60=O$1),0),$B111-1966)</f>
        <v>8810</v>
      </c>
      <c r="P111" s="7" cm="1">
        <f t="array" ref="P111">INDEX(GMWQ!$A$2:$LR$60,MATCH(1,(GMWQ!$LQ$2:$LQ$60=P$3)*(GMWQ!$LP$2:$LP$60=P$4)*(GMWQ!$LR$2:$LR$60=P$1),0),$B111-1966)</f>
        <v>165059</v>
      </c>
      <c r="Q111" s="7" cm="1">
        <f t="array" ref="Q111">INDEX(GMWQ!$A$2:$LR$60,MATCH(1,(GMWQ!$LQ$2:$LQ$60=Q$3)*(GMWQ!$LP$2:$LP$60=Q$4)*(GMWQ!$LR$2:$LR$60=Q$1),0),$B111-1966)</f>
        <v>7.17</v>
      </c>
      <c r="R111" s="7" cm="1">
        <f t="array" ref="R111">INDEX(GMWQ!$A$2:$LR$60,MATCH(1,(GMWQ!$LQ$2:$LQ$60=R$3)*(GMWQ!$LP$2:$LP$60=R$4)*(GMWQ!$LR$2:$LR$60=R$1),0),$B111-1966)</f>
        <v>263161</v>
      </c>
      <c r="S111" s="7" cm="1">
        <f t="array" ref="S111">INDEX(GMWQ!$A$2:$LR$60,MATCH(1,(GMWQ!$LQ$2:$LQ$60=S$3)*(GMWQ!$LP$2:$LP$60=S$4)*(GMWQ!$LR$2:$LR$60=S$1),0),$B111-1966)</f>
        <v>346</v>
      </c>
      <c r="T111" s="7" cm="1">
        <f t="array" ref="T111">INDEX(GMWQ!$A$2:$LR$60,MATCH(1,(GMWQ!$LQ$2:$LQ$60=T$3)*(GMWQ!$LP$2:$LP$60=T$4)*(GMWQ!$LR$2:$LR$60=T$1),0),$B111-1966)</f>
        <v>24315</v>
      </c>
      <c r="U111" s="7" cm="1">
        <f t="array" ref="U111">INDEX(GMWQ!$A$2:$LR$60,MATCH(1,(GMWQ!$LQ$2:$LQ$60=U$3)*(GMWQ!$LP$2:$LP$60=U$4)*(GMWQ!$LR$2:$LR$60=U$1),0),$B111-1966)</f>
        <v>7657</v>
      </c>
      <c r="V111" s="7" cm="1">
        <f t="array" ref="V111">INDEX(GMWQ!$A$2:$LR$60,MATCH(1,(GMWQ!$LQ$2:$LQ$60=V$3)*(GMWQ!$LP$2:$LP$60=V$4)*(GMWQ!$LR$2:$LR$60=V$1),0),$B111-1966)</f>
        <v>3.0705609999999999E-3</v>
      </c>
      <c r="W111" s="7" cm="1">
        <f t="array" ref="W111">INDEX(GMWQ!$A$2:$LR$60,MATCH(1,(GMWQ!$LQ$2:$LQ$60=W$3)*(GMWQ!$LP$2:$LP$60=W$4)*(GMWQ!$LR$2:$LR$60=W$1),0),$B111-1966)</f>
        <v>16.551559999999998</v>
      </c>
      <c r="X111" s="7" cm="1">
        <f t="array" ref="X111">INDEX(GMWQ!$A$2:$LR$60,MATCH(1,(GMWQ!$LQ$2:$LQ$60=X$3)*(GMWQ!$LP$2:$LP$60=X$4)*(GMWQ!$LR$2:$LR$60=X$1),0),$B111-1966)</f>
        <v>1406237</v>
      </c>
      <c r="Y111" s="7" cm="1">
        <f t="array" ref="Y111">INDEX(GMWQ!$A$2:$LR$60,MATCH(1,(GMWQ!$LQ$2:$LQ$60=Y$3)*(GMWQ!$LP$2:$LP$60=Y$4)*(GMWQ!$LR$2:$LR$60=Y$1),0),$B111-1966)</f>
        <v>66.818280000000001</v>
      </c>
      <c r="Z111" s="7" cm="1">
        <f t="array" ref="Z111">INDEX(GMWQ!$A$2:$LR$60,MATCH(1,(GMWQ!$LQ$2:$LQ$60=Z$3)*(GMWQ!$LP$2:$LP$60=Z$4)*(GMWQ!$LR$2:$LR$60=Z$1),0),$B111-1966)</f>
        <v>376298</v>
      </c>
      <c r="AA111" s="7" cm="1">
        <f t="array" ref="AA111">INDEX(GMWQ!$A$2:$LR$60,MATCH(1,(GMWQ!$LQ$2:$LQ$60=AA$3)*(GMWQ!$LP$2:$LP$60=AA$4)*(GMWQ!$LR$2:$LR$60=AA$1),0),$B111-1966)</f>
        <v>99039</v>
      </c>
      <c r="AB111" s="7" cm="1">
        <f t="array" ref="AB111">INDEX(GMWQ!$A$2:$LR$60,MATCH(1,(GMWQ!$LQ$2:$LQ$60=AB$3)*(GMWQ!$LP$2:$LP$60=AB$4)*(GMWQ!$LR$2:$LR$60=AB$1),0),$B111-1966)</f>
        <v>81870</v>
      </c>
      <c r="AC111" s="7" cm="1">
        <f t="array" ref="AC111">INDEX(GMWQ!$A$2:$LR$60,MATCH(1,(GMWQ!$LQ$2:$LQ$60=AC$3)*(GMWQ!$LP$2:$LP$60=AC$4)*(GMWQ!$LR$2:$LR$60=AC$1),0),$B111-1966)</f>
        <v>3352</v>
      </c>
      <c r="AD111" s="7" cm="1">
        <f t="array" ref="AD111">INDEX(GMWQ!$A$2:$LR$60,MATCH(1,(GMWQ!$LQ$2:$LQ$60=AD$3)*(GMWQ!$LP$2:$LP$60=AD$4)*(GMWQ!$LR$2:$LR$60=AD$1),0),$B111-1966)</f>
        <v>5876</v>
      </c>
      <c r="AE111" s="7" cm="1">
        <f t="array" ref="AE111">INDEX(GMWQ!$A$2:$LR$60,MATCH(1,(GMWQ!$LQ$2:$LQ$60=AE$3)*(GMWQ!$LP$2:$LP$60=AE$4)*(GMWQ!$LR$2:$LR$60=AE$1),0),$B111-1966)</f>
        <v>255773</v>
      </c>
      <c r="AF111" s="20" cm="1">
        <f t="array" ref="AF111">INDEX(GMWQ!$A$2:$LR$60,MATCH(1,(GMWQ!$LQ$2:$LQ$60=AF$3)*(GMWQ!$LP$2:$LP$60=AF$4)*(GMWQ!$LR$2:$LR$60=AF$1),0),$B111-1966)</f>
        <v>5.703125</v>
      </c>
      <c r="AG111" s="20" cm="1">
        <f t="array" ref="AG111">INDEX(GMWQ!$A$2:$LR$60,MATCH(1,(GMWQ!$LQ$2:$LQ$60=AG$3)*(GMWQ!$LP$2:$LP$60=AG$4)*(GMWQ!$LR$2:$LR$60=AG$1),0),$B111-1966)</f>
        <v>-315</v>
      </c>
      <c r="AI111" s="23" cm="1">
        <f t="array" ref="AI111">INDEX(GMWQ!$A$2:$LR$60,MATCH(1,(GMWQ!$LQ$2:$LQ$60=AI$3)*(GMWQ!$LP$2:$LP$60=AI$4)*(GMWQ!$LR$2:$LR$60=AI$1),0),$B111-1966)</f>
        <v>165059</v>
      </c>
      <c r="AJ111" s="23" cm="1">
        <f t="array" ref="AJ111">INDEX(GMWQ!$A$2:$LR$60,MATCH(1,(GMWQ!$LQ$2:$LQ$60=AJ$3)*(GMWQ!$LP$2:$LP$60=AJ$4)*(GMWQ!$LR$2:$LR$60=AJ$1),0),$B111-1966)</f>
        <v>73.199129999999997</v>
      </c>
      <c r="AK111" s="23" cm="1">
        <f t="array" ref="AK111">INDEX(GMWQ!$A$2:$LR$60,MATCH(1,(GMWQ!$LQ$2:$LQ$60=AK$3)*(GMWQ!$LP$2:$LP$60=AK$4)*(GMWQ!$LR$2:$LR$60=AK$1),0),$B111-1966)</f>
        <v>103815</v>
      </c>
      <c r="AL111" s="23" cm="1">
        <f t="array" ref="AL111">INDEX(GMWQ!$A$2:$LR$60,MATCH(1,(GMWQ!$LQ$2:$LQ$60=AL$3)*(GMWQ!$LP$2:$LP$60=AL$4)*(GMWQ!$LR$2:$LR$60=AL$1),0),$B111-1966)</f>
        <v>4422.741</v>
      </c>
      <c r="AM111" s="23" cm="1">
        <f t="array" ref="AM111">INDEX(GMWQ!$A$2:$LR$60,MATCH(1,(GMWQ!$LQ$2:$LQ$60=AM$3)*(GMWQ!$LP$2:$LP$60=AM$4)*(GMWQ!$LR$2:$LR$60=AM$1),0),$B111-1966)</f>
        <v>23473</v>
      </c>
      <c r="AN111" s="23" cm="1">
        <f t="array" ref="AN111">INDEX(GMWQ!$A$2:$LR$60,MATCH(1,(GMWQ!$LQ$2:$LQ$60=AN$3)*(GMWQ!$LP$2:$LP$60=AN$4)*(GMWQ!$LR$2:$LR$60=AN$1),0),$B111-1966)</f>
        <v>23118</v>
      </c>
      <c r="AO111" s="23" cm="1">
        <f t="array" ref="AO111">INDEX(GMWQ!$A$2:$LR$60,MATCH(1,(GMWQ!$LQ$2:$LQ$60=AO$3)*(GMWQ!$LP$2:$LP$60=AO$4)*(GMWQ!$LR$2:$LR$60=AO$1),0),$B111-1966)</f>
        <v>7194</v>
      </c>
      <c r="AP111" s="23" cm="1">
        <f t="array" ref="AP111">INDEX(GMWQ!$A$2:$LR$60,MATCH(1,(GMWQ!$LQ$2:$LQ$60=AP$3)*(GMWQ!$LP$2:$LP$60=AP$4)*(GMWQ!$LR$2:$LR$60=AP$1),0),$B111-1966)</f>
        <v>-315</v>
      </c>
      <c r="AQ111" s="23" cm="1">
        <f t="array" ref="AQ111">INDEX(GMWQ!$A$2:$LR$60,MATCH(1,(GMWQ!$LQ$2:$LQ$60=AQ$3)*(GMWQ!$LP$2:$LP$60=AQ$4)*(GMWQ!$LR$2:$LR$60=AQ$1),0),$B111-1966)</f>
        <v>25774</v>
      </c>
      <c r="AR111" s="23" cm="1">
        <f t="array" ref="AR111">INDEX(GMWQ!$A$2:$LR$60,MATCH(1,(GMWQ!$LQ$2:$LQ$60=AR$3)*(GMWQ!$LP$2:$LP$60=AR$4)*(GMWQ!$LR$2:$LR$60=AR$1),0),$B111-1966)</f>
        <v>166173</v>
      </c>
      <c r="AS111" s="23" cm="1">
        <f t="array" ref="AS111">INDEX(GMWQ!$A$2:$LR$60,MATCH(1,(GMWQ!$LQ$2:$LQ$60=AS$3)*(GMWQ!$LP$2:$LP$60=AS$4)*(GMWQ!$LR$2:$LR$60=AS$1),0),$B111-1966)</f>
        <v>4143</v>
      </c>
      <c r="AT111" s="23" cm="1">
        <f t="array" ref="AT111">INDEX(GMWQ!$A$2:$LR$60,MATCH(1,(GMWQ!$LQ$2:$LQ$60=AT$3)*(GMWQ!$LP$2:$LP$60=AT$4)*(GMWQ!$LR$2:$LR$60=AT$1),0),$B111-1966)</f>
        <v>227015</v>
      </c>
      <c r="AU111" s="23" cm="1">
        <f t="array" ref="AU111">INDEX(GMWQ!$A$2:$LR$60,MATCH(1,(GMWQ!$LQ$2:$LQ$60=AU$3)*(GMWQ!$LP$2:$LP$60=AU$4)*(GMWQ!$LR$2:$LR$60=AU$1),0),$B111-1966)</f>
        <v>8843</v>
      </c>
    </row>
    <row r="112" spans="1:47" x14ac:dyDescent="0.35">
      <c r="B112" s="7">
        <f t="shared" si="2"/>
        <v>2078</v>
      </c>
      <c r="C112" s="7" cm="1">
        <f t="array" ref="C112">INDEX(GMWQ!$A$2:$LR$60,MATCH(1,(GMWQ!$LQ$2:$LQ$60=C$3)*(GMWQ!$LP$2:$LP$60=C$4)*(GMWQ!$LR$2:$LR$60=C$1),0),$B112-1966)</f>
        <v>384605</v>
      </c>
      <c r="D112" s="7" cm="1">
        <f t="array" ref="D112">INDEX(GMWQ!$A$2:$LR$60,MATCH(1,(GMWQ!$LQ$2:$LQ$60=D$3)*(GMWQ!$LP$2:$LP$60=D$4)*(GMWQ!$LR$2:$LR$60=D$1),0),$B112-1966)</f>
        <v>293.50729999999999</v>
      </c>
      <c r="E112" s="7" cm="1">
        <f t="array" ref="E112">INDEX(GMWQ!$A$2:$LR$60,MATCH(1,(GMWQ!$LQ$2:$LQ$60=E$3)*(GMWQ!$LP$2:$LP$60=E$4)*(GMWQ!$LR$2:$LR$60=E$1),0),$B112-1966)</f>
        <v>72.3</v>
      </c>
      <c r="F112" s="7" cm="1">
        <f t="array" ref="F112">INDEX(GMWQ!$A$2:$LR$60,MATCH(1,(GMWQ!$LQ$2:$LQ$60=F$3)*(GMWQ!$LP$2:$LP$60=F$4)*(GMWQ!$LR$2:$LR$60=F$1),0),$B112-1966)</f>
        <v>106514</v>
      </c>
      <c r="G112" s="7" cm="1">
        <f t="array" ref="G112">INDEX(GMWQ!$A$2:$LR$60,MATCH(1,(GMWQ!$LQ$2:$LQ$60=G$3)*(GMWQ!$LP$2:$LP$60=G$4)*(GMWQ!$LR$2:$LR$60=G$1),0),$B112-1966)</f>
        <v>23904</v>
      </c>
      <c r="H112" s="7" cm="1">
        <f t="array" ref="H112">INDEX(GMWQ!$A$2:$LR$60,MATCH(1,(GMWQ!$LQ$2:$LQ$60=H$3)*(GMWQ!$LP$2:$LP$60=H$4)*(GMWQ!$LR$2:$LR$60=H$1),0),$B112-1966)</f>
        <v>6756</v>
      </c>
      <c r="I112" s="7" cm="1">
        <f t="array" ref="I112">INDEX(GMWQ!$A$2:$LR$60,MATCH(1,(GMWQ!$LQ$2:$LQ$60=I$3)*(GMWQ!$LP$2:$LP$60=I$4)*(GMWQ!$LR$2:$LR$60=I$1),0),$B112-1966)</f>
        <v>73.069820000000007</v>
      </c>
      <c r="J112" s="7" cm="1">
        <f t="array" ref="J112">INDEX(GMWQ!$A$2:$LR$60,MATCH(1,(GMWQ!$LQ$2:$LQ$60=J$3)*(GMWQ!$LP$2:$LP$60=J$4)*(GMWQ!$LR$2:$LR$60=J$1),0),$B112-1966)</f>
        <v>23515</v>
      </c>
      <c r="K112" s="7" cm="1">
        <f t="array" ref="K112">INDEX(GMWQ!$A$2:$LR$60,MATCH(1,(GMWQ!$LQ$2:$LQ$60=K$3)*(GMWQ!$LP$2:$LP$60=K$4)*(GMWQ!$LR$2:$LR$60=K$1),0),$B112-1966)</f>
        <v>5</v>
      </c>
      <c r="L112" s="7" cm="1">
        <f t="array" ref="L112">INDEX(GMWQ!$A$2:$LR$60,MATCH(1,(GMWQ!$LQ$2:$LQ$60=L$3)*(GMWQ!$LP$2:$LP$60=L$4)*(GMWQ!$LR$2:$LR$60=L$1),0),$B112-1966)</f>
        <v>6</v>
      </c>
      <c r="M112" s="7" cm="1">
        <f t="array" ref="M112">INDEX(GMWQ!$A$2:$LR$60,MATCH(1,(GMWQ!$LQ$2:$LQ$60=M$3)*(GMWQ!$LP$2:$LP$60=M$4)*(GMWQ!$LR$2:$LR$60=M$1),0),$B112-1966)</f>
        <v>39.933010000000003</v>
      </c>
      <c r="N112" s="7" cm="1">
        <f t="array" ref="N112">INDEX(GMWQ!$A$2:$LR$60,MATCH(1,(GMWQ!$LQ$2:$LQ$60=N$3)*(GMWQ!$LP$2:$LP$60=N$4)*(GMWQ!$LR$2:$LR$60=N$1),0),$B112-1966)</f>
        <v>9047</v>
      </c>
      <c r="O112" s="7" cm="1">
        <f t="array" ref="O112">INDEX(GMWQ!$A$2:$LR$60,MATCH(1,(GMWQ!$LQ$2:$LQ$60=O$3)*(GMWQ!$LP$2:$LP$60=O$4)*(GMWQ!$LR$2:$LR$60=O$1),0),$B112-1966)</f>
        <v>8042</v>
      </c>
      <c r="P112" s="7" cm="1">
        <f t="array" ref="P112">INDEX(GMWQ!$A$2:$LR$60,MATCH(1,(GMWQ!$LQ$2:$LQ$60=P$3)*(GMWQ!$LP$2:$LP$60=P$4)*(GMWQ!$LR$2:$LR$60=P$1),0),$B112-1966)</f>
        <v>172659</v>
      </c>
      <c r="Q112" s="7" cm="1">
        <f t="array" ref="Q112">INDEX(GMWQ!$A$2:$LR$60,MATCH(1,(GMWQ!$LQ$2:$LQ$60=Q$3)*(GMWQ!$LP$2:$LP$60=Q$4)*(GMWQ!$LR$2:$LR$60=Q$1),0),$B112-1966)</f>
        <v>6.74</v>
      </c>
      <c r="R112" s="7" cm="1">
        <f t="array" ref="R112">INDEX(GMWQ!$A$2:$LR$60,MATCH(1,(GMWQ!$LQ$2:$LQ$60=R$3)*(GMWQ!$LP$2:$LP$60=R$4)*(GMWQ!$LR$2:$LR$60=R$1),0),$B112-1966)</f>
        <v>291448</v>
      </c>
      <c r="S112" s="7" cm="1">
        <f t="array" ref="S112">INDEX(GMWQ!$A$2:$LR$60,MATCH(1,(GMWQ!$LQ$2:$LQ$60=S$3)*(GMWQ!$LP$2:$LP$60=S$4)*(GMWQ!$LR$2:$LR$60=S$1),0),$B112-1966)</f>
        <v>358</v>
      </c>
      <c r="T112" s="7" cm="1">
        <f t="array" ref="T112">INDEX(GMWQ!$A$2:$LR$60,MATCH(1,(GMWQ!$LQ$2:$LQ$60=T$3)*(GMWQ!$LP$2:$LP$60=T$4)*(GMWQ!$LR$2:$LR$60=T$1),0),$B112-1966)</f>
        <v>27787</v>
      </c>
      <c r="U112" s="7" cm="1">
        <f t="array" ref="U112">INDEX(GMWQ!$A$2:$LR$60,MATCH(1,(GMWQ!$LQ$2:$LQ$60=U$3)*(GMWQ!$LP$2:$LP$60=U$4)*(GMWQ!$LR$2:$LR$60=U$1),0),$B112-1966)</f>
        <v>8788</v>
      </c>
      <c r="V112" s="7" cm="1">
        <f t="array" ref="V112">INDEX(GMWQ!$A$2:$LR$60,MATCH(1,(GMWQ!$LQ$2:$LQ$60=V$3)*(GMWQ!$LP$2:$LP$60=V$4)*(GMWQ!$LR$2:$LR$60=V$1),0),$B112-1966)</f>
        <v>2.9165300000000001E-3</v>
      </c>
      <c r="W112" s="7" cm="1">
        <f t="array" ref="W112">INDEX(GMWQ!$A$2:$LR$60,MATCH(1,(GMWQ!$LQ$2:$LQ$60=W$3)*(GMWQ!$LP$2:$LP$60=W$4)*(GMWQ!$LR$2:$LR$60=W$1),0),$B112-1966)</f>
        <v>17.112919999999999</v>
      </c>
      <c r="X112" s="7" cm="1">
        <f t="array" ref="X112">INDEX(GMWQ!$A$2:$LR$60,MATCH(1,(GMWQ!$LQ$2:$LQ$60=X$3)*(GMWQ!$LP$2:$LP$60=X$4)*(GMWQ!$LR$2:$LR$60=X$1),0),$B112-1966)</f>
        <v>1434096</v>
      </c>
      <c r="Y112" s="7" cm="1">
        <f t="array" ref="Y112">INDEX(GMWQ!$A$2:$LR$60,MATCH(1,(GMWQ!$LQ$2:$LQ$60=Y$3)*(GMWQ!$LP$2:$LP$60=Y$4)*(GMWQ!$LR$2:$LR$60=Y$1),0),$B112-1966)</f>
        <v>67.156170000000003</v>
      </c>
      <c r="Z112" s="7" cm="1">
        <f t="array" ref="Z112">INDEX(GMWQ!$A$2:$LR$60,MATCH(1,(GMWQ!$LQ$2:$LQ$60=Z$3)*(GMWQ!$LP$2:$LP$60=Z$4)*(GMWQ!$LR$2:$LR$60=Z$1),0),$B112-1966)</f>
        <v>378911</v>
      </c>
      <c r="AA112" s="7" cm="1">
        <f t="array" ref="AA112">INDEX(GMWQ!$A$2:$LR$60,MATCH(1,(GMWQ!$LQ$2:$LQ$60=AA$3)*(GMWQ!$LP$2:$LP$60=AA$4)*(GMWQ!$LR$2:$LR$60=AA$1),0),$B112-1966)</f>
        <v>82431</v>
      </c>
      <c r="AB112" s="7" cm="1">
        <f t="array" ref="AB112">INDEX(GMWQ!$A$2:$LR$60,MATCH(1,(GMWQ!$LQ$2:$LQ$60=AB$3)*(GMWQ!$LP$2:$LP$60=AB$4)*(GMWQ!$LR$2:$LR$60=AB$1),0),$B112-1966)</f>
        <v>82734</v>
      </c>
      <c r="AC112" s="7" cm="1">
        <f t="array" ref="AC112">INDEX(GMWQ!$A$2:$LR$60,MATCH(1,(GMWQ!$LQ$2:$LQ$60=AC$3)*(GMWQ!$LP$2:$LP$60=AC$4)*(GMWQ!$LR$2:$LR$60=AC$1),0),$B112-1966)</f>
        <v>-134</v>
      </c>
      <c r="AD112" s="7" cm="1">
        <f t="array" ref="AD112">INDEX(GMWQ!$A$2:$LR$60,MATCH(1,(GMWQ!$LQ$2:$LQ$60=AD$3)*(GMWQ!$LP$2:$LP$60=AD$4)*(GMWQ!$LR$2:$LR$60=AD$1),0),$B112-1966)</f>
        <v>5954</v>
      </c>
      <c r="AE112" s="7" cm="1">
        <f t="array" ref="AE112">INDEX(GMWQ!$A$2:$LR$60,MATCH(1,(GMWQ!$LQ$2:$LQ$60=AE$3)*(GMWQ!$LP$2:$LP$60=AE$4)*(GMWQ!$LR$2:$LR$60=AE$1),0),$B112-1966)</f>
        <v>258286</v>
      </c>
      <c r="AF112" s="20" cm="1">
        <f t="array" ref="AF112">INDEX(GMWQ!$A$2:$LR$60,MATCH(1,(GMWQ!$LQ$2:$LQ$60=AF$3)*(GMWQ!$LP$2:$LP$60=AF$4)*(GMWQ!$LR$2:$LR$60=AF$1),0),$B112-1966)</f>
        <v>5.211538</v>
      </c>
      <c r="AG112" s="20" cm="1">
        <f t="array" ref="AG112">INDEX(GMWQ!$A$2:$LR$60,MATCH(1,(GMWQ!$LQ$2:$LQ$60=AG$3)*(GMWQ!$LP$2:$LP$60=AG$4)*(GMWQ!$LR$2:$LR$60=AG$1),0),$B112-1966)</f>
        <v>-1005</v>
      </c>
      <c r="AI112" s="23" cm="1">
        <f t="array" ref="AI112">INDEX(GMWQ!$A$2:$LR$60,MATCH(1,(GMWQ!$LQ$2:$LQ$60=AI$3)*(GMWQ!$LP$2:$LP$60=AI$4)*(GMWQ!$LR$2:$LR$60=AI$1),0),$B112-1966)</f>
        <v>172659</v>
      </c>
      <c r="AJ112" s="23" cm="1">
        <f t="array" ref="AJ112">INDEX(GMWQ!$A$2:$LR$60,MATCH(1,(GMWQ!$LQ$2:$LQ$60=AJ$3)*(GMWQ!$LP$2:$LP$60=AJ$4)*(GMWQ!$LR$2:$LR$60=AJ$1),0),$B112-1966)</f>
        <v>73.069820000000007</v>
      </c>
      <c r="AK112" s="23" cm="1">
        <f t="array" ref="AK112">INDEX(GMWQ!$A$2:$LR$60,MATCH(1,(GMWQ!$LQ$2:$LQ$60=AK$3)*(GMWQ!$LP$2:$LP$60=AK$4)*(GMWQ!$LR$2:$LR$60=AK$1),0),$B112-1966)</f>
        <v>106514</v>
      </c>
      <c r="AL112" s="23" cm="1">
        <f t="array" ref="AL112">INDEX(GMWQ!$A$2:$LR$60,MATCH(1,(GMWQ!$LQ$2:$LQ$60=AL$3)*(GMWQ!$LP$2:$LP$60=AL$4)*(GMWQ!$LR$2:$LR$60=AL$1),0),$B112-1966)</f>
        <v>4529.62</v>
      </c>
      <c r="AM112" s="23" cm="1">
        <f t="array" ref="AM112">INDEX(GMWQ!$A$2:$LR$60,MATCH(1,(GMWQ!$LQ$2:$LQ$60=AM$3)*(GMWQ!$LP$2:$LP$60=AM$4)*(GMWQ!$LR$2:$LR$60=AM$1),0),$B112-1966)</f>
        <v>23515</v>
      </c>
      <c r="AN112" s="23" cm="1">
        <f t="array" ref="AN112">INDEX(GMWQ!$A$2:$LR$60,MATCH(1,(GMWQ!$LQ$2:$LQ$60=AN$3)*(GMWQ!$LP$2:$LP$60=AN$4)*(GMWQ!$LR$2:$LR$60=AN$1),0),$B112-1966)</f>
        <v>23904</v>
      </c>
      <c r="AO112" s="23" cm="1">
        <f t="array" ref="AO112">INDEX(GMWQ!$A$2:$LR$60,MATCH(1,(GMWQ!$LQ$2:$LQ$60=AO$3)*(GMWQ!$LP$2:$LP$60=AO$4)*(GMWQ!$LR$2:$LR$60=AO$1),0),$B112-1966)</f>
        <v>6756</v>
      </c>
      <c r="AP112" s="23" cm="1">
        <f t="array" ref="AP112">INDEX(GMWQ!$A$2:$LR$60,MATCH(1,(GMWQ!$LQ$2:$LQ$60=AP$3)*(GMWQ!$LP$2:$LP$60=AP$4)*(GMWQ!$LR$2:$LR$60=AP$1),0),$B112-1966)</f>
        <v>-1005</v>
      </c>
      <c r="AQ112" s="23" cm="1">
        <f t="array" ref="AQ112">INDEX(GMWQ!$A$2:$LR$60,MATCH(1,(GMWQ!$LQ$2:$LQ$60=AQ$3)*(GMWQ!$LP$2:$LP$60=AQ$4)*(GMWQ!$LR$2:$LR$60=AQ$1),0),$B112-1966)</f>
        <v>25273</v>
      </c>
      <c r="AR112" s="23" cm="1">
        <f t="array" ref="AR112">INDEX(GMWQ!$A$2:$LR$60,MATCH(1,(GMWQ!$LQ$2:$LQ$60=AR$3)*(GMWQ!$LP$2:$LP$60=AR$4)*(GMWQ!$LR$2:$LR$60=AR$1),0),$B112-1966)</f>
        <v>169020</v>
      </c>
      <c r="AS112" s="23" cm="1">
        <f t="array" ref="AS112">INDEX(GMWQ!$A$2:$LR$60,MATCH(1,(GMWQ!$LQ$2:$LQ$60=AS$3)*(GMWQ!$LP$2:$LP$60=AS$4)*(GMWQ!$LR$2:$LR$60=AS$1),0),$B112-1966)</f>
        <v>4236</v>
      </c>
      <c r="AT112" s="23" cm="1">
        <f t="array" ref="AT112">INDEX(GMWQ!$A$2:$LR$60,MATCH(1,(GMWQ!$LQ$2:$LQ$60=AT$3)*(GMWQ!$LP$2:$LP$60=AT$4)*(GMWQ!$LR$2:$LR$60=AT$1),0),$B112-1966)</f>
        <v>231313</v>
      </c>
      <c r="AU112" s="23" cm="1">
        <f t="array" ref="AU112">INDEX(GMWQ!$A$2:$LR$60,MATCH(1,(GMWQ!$LQ$2:$LQ$60=AU$3)*(GMWQ!$LP$2:$LP$60=AU$4)*(GMWQ!$LR$2:$LR$60=AU$1),0),$B112-1966)</f>
        <v>9067</v>
      </c>
    </row>
    <row r="113" spans="1:47" x14ac:dyDescent="0.35">
      <c r="B113" s="7">
        <f t="shared" ref="B113:B176" si="3">+B112+1</f>
        <v>2079</v>
      </c>
      <c r="C113" s="7" cm="1">
        <f t="array" ref="C113">INDEX(GMWQ!$A$2:$LR$60,MATCH(1,(GMWQ!$LQ$2:$LQ$60=C$3)*(GMWQ!$LP$2:$LP$60=C$4)*(GMWQ!$LR$2:$LR$60=C$1),0),$B113-1966)</f>
        <v>390758</v>
      </c>
      <c r="D113" s="7" cm="1">
        <f t="array" ref="D113">INDEX(GMWQ!$A$2:$LR$60,MATCH(1,(GMWQ!$LQ$2:$LQ$60=D$3)*(GMWQ!$LP$2:$LP$60=D$4)*(GMWQ!$LR$2:$LR$60=D$1),0),$B113-1966)</f>
        <v>299.82389999999998</v>
      </c>
      <c r="E113" s="7" cm="1">
        <f t="array" ref="E113">INDEX(GMWQ!$A$2:$LR$60,MATCH(1,(GMWQ!$LQ$2:$LQ$60=E$3)*(GMWQ!$LP$2:$LP$60=E$4)*(GMWQ!$LR$2:$LR$60=E$1),0),$B113-1966)</f>
        <v>72.133330000000001</v>
      </c>
      <c r="F113" s="7" cm="1">
        <f t="array" ref="F113">INDEX(GMWQ!$A$2:$LR$60,MATCH(1,(GMWQ!$LQ$2:$LQ$60=F$3)*(GMWQ!$LP$2:$LP$60=F$4)*(GMWQ!$LR$2:$LR$60=F$1),0),$B113-1966)</f>
        <v>108335</v>
      </c>
      <c r="G113" s="7" cm="1">
        <f t="array" ref="G113">INDEX(GMWQ!$A$2:$LR$60,MATCH(1,(GMWQ!$LQ$2:$LQ$60=G$3)*(GMWQ!$LP$2:$LP$60=G$4)*(GMWQ!$LR$2:$LR$60=G$1),0),$B113-1966)</f>
        <v>25239</v>
      </c>
      <c r="H113" s="7" cm="1">
        <f t="array" ref="H113">INDEX(GMWQ!$A$2:$LR$60,MATCH(1,(GMWQ!$LQ$2:$LQ$60=H$3)*(GMWQ!$LP$2:$LP$60=H$4)*(GMWQ!$LR$2:$LR$60=H$1),0),$B113-1966)</f>
        <v>7067</v>
      </c>
      <c r="I113" s="7" cm="1">
        <f t="array" ref="I113">INDEX(GMWQ!$A$2:$LR$60,MATCH(1,(GMWQ!$LQ$2:$LQ$60=I$3)*(GMWQ!$LP$2:$LP$60=I$4)*(GMWQ!$LR$2:$LR$60=I$1),0),$B113-1966)</f>
        <v>72.650260000000003</v>
      </c>
      <c r="J113" s="7" cm="1">
        <f t="array" ref="J113">INDEX(GMWQ!$A$2:$LR$60,MATCH(1,(GMWQ!$LQ$2:$LQ$60=J$3)*(GMWQ!$LP$2:$LP$60=J$4)*(GMWQ!$LR$2:$LR$60=J$1),0),$B113-1966)</f>
        <v>23659</v>
      </c>
      <c r="K113" s="7" cm="1">
        <f t="array" ref="K113">INDEX(GMWQ!$A$2:$LR$60,MATCH(1,(GMWQ!$LQ$2:$LQ$60=K$3)*(GMWQ!$LP$2:$LP$60=K$4)*(GMWQ!$LR$2:$LR$60=K$1),0),$B113-1966)</f>
        <v>5.25</v>
      </c>
      <c r="L113" s="7" cm="1">
        <f t="array" ref="L113">INDEX(GMWQ!$A$2:$LR$60,MATCH(1,(GMWQ!$LQ$2:$LQ$60=L$3)*(GMWQ!$LP$2:$LP$60=L$4)*(GMWQ!$LR$2:$LR$60=L$1),0),$B113-1966)</f>
        <v>5.9</v>
      </c>
      <c r="M113" s="7" cm="1">
        <f t="array" ref="M113">INDEX(GMWQ!$A$2:$LR$60,MATCH(1,(GMWQ!$LQ$2:$LQ$60=M$3)*(GMWQ!$LP$2:$LP$60=M$4)*(GMWQ!$LR$2:$LR$60=M$1),0),$B113-1966)</f>
        <v>42.095329999999997</v>
      </c>
      <c r="N113" s="7" cm="1">
        <f t="array" ref="N113">INDEX(GMWQ!$A$2:$LR$60,MATCH(1,(GMWQ!$LQ$2:$LQ$60=N$3)*(GMWQ!$LP$2:$LP$60=N$4)*(GMWQ!$LR$2:$LR$60=N$1),0),$B113-1966)</f>
        <v>8088</v>
      </c>
      <c r="O113" s="7" cm="1">
        <f t="array" ref="O113">INDEX(GMWQ!$A$2:$LR$60,MATCH(1,(GMWQ!$LQ$2:$LQ$60=O$3)*(GMWQ!$LP$2:$LP$60=O$4)*(GMWQ!$LR$2:$LR$60=O$1),0),$B113-1966)</f>
        <v>6539</v>
      </c>
      <c r="P113" s="7" cm="1">
        <f t="array" ref="P113">INDEX(GMWQ!$A$2:$LR$60,MATCH(1,(GMWQ!$LQ$2:$LQ$60=P$3)*(GMWQ!$LP$2:$LP$60=P$4)*(GMWQ!$LR$2:$LR$60=P$1),0),$B113-1966)</f>
        <v>172290</v>
      </c>
      <c r="Q113" s="7" cm="1">
        <f t="array" ref="Q113">INDEX(GMWQ!$A$2:$LR$60,MATCH(1,(GMWQ!$LQ$2:$LQ$60=Q$3)*(GMWQ!$LP$2:$LP$60=Q$4)*(GMWQ!$LR$2:$LR$60=Q$1),0),$B113-1966)</f>
        <v>6.6166669999999996</v>
      </c>
      <c r="R113" s="7" cm="1">
        <f t="array" ref="R113">INDEX(GMWQ!$A$2:$LR$60,MATCH(1,(GMWQ!$LQ$2:$LQ$60=R$3)*(GMWQ!$LP$2:$LP$60=R$4)*(GMWQ!$LR$2:$LR$60=R$1),0),$B113-1966)</f>
        <v>294783</v>
      </c>
      <c r="S113" s="7" cm="1">
        <f t="array" ref="S113">INDEX(GMWQ!$A$2:$LR$60,MATCH(1,(GMWQ!$LQ$2:$LQ$60=S$3)*(GMWQ!$LP$2:$LP$60=S$4)*(GMWQ!$LR$2:$LR$60=S$1),0),$B113-1966)</f>
        <v>379</v>
      </c>
      <c r="T113" s="7" cm="1">
        <f t="array" ref="T113">INDEX(GMWQ!$A$2:$LR$60,MATCH(1,(GMWQ!$LQ$2:$LQ$60=T$3)*(GMWQ!$LP$2:$LP$60=T$4)*(GMWQ!$LR$2:$LR$60=T$1),0),$B113-1966)</f>
        <v>29774</v>
      </c>
      <c r="U113" s="7" cm="1">
        <f t="array" ref="U113">INDEX(GMWQ!$A$2:$LR$60,MATCH(1,(GMWQ!$LQ$2:$LQ$60=U$3)*(GMWQ!$LP$2:$LP$60=U$4)*(GMWQ!$LR$2:$LR$60=U$1),0),$B113-1966)</f>
        <v>9710</v>
      </c>
      <c r="V113" s="7" cm="1">
        <f t="array" ref="V113">INDEX(GMWQ!$A$2:$LR$60,MATCH(1,(GMWQ!$LQ$2:$LQ$60=V$3)*(GMWQ!$LP$2:$LP$60=V$4)*(GMWQ!$LR$2:$LR$60=V$1),0),$B113-1966)</f>
        <v>2.7577119999999998E-3</v>
      </c>
      <c r="W113" s="7" cm="1">
        <f t="array" ref="W113">INDEX(GMWQ!$A$2:$LR$60,MATCH(1,(GMWQ!$LQ$2:$LQ$60=W$3)*(GMWQ!$LP$2:$LP$60=W$4)*(GMWQ!$LR$2:$LR$60=W$1),0),$B113-1966)</f>
        <v>16.655609999999999</v>
      </c>
      <c r="X113" s="7" cm="1">
        <f t="array" ref="X113">INDEX(GMWQ!$A$2:$LR$60,MATCH(1,(GMWQ!$LQ$2:$LQ$60=X$3)*(GMWQ!$LP$2:$LP$60=X$4)*(GMWQ!$LR$2:$LR$60=X$1),0),$B113-1966)</f>
        <v>1453525</v>
      </c>
      <c r="Y113" s="7" cm="1">
        <f t="array" ref="Y113">INDEX(GMWQ!$A$2:$LR$60,MATCH(1,(GMWQ!$LQ$2:$LQ$60=Y$3)*(GMWQ!$LP$2:$LP$60=Y$4)*(GMWQ!$LR$2:$LR$60=Y$1),0),$B113-1966)</f>
        <v>66.921729999999997</v>
      </c>
      <c r="Z113" s="7" cm="1">
        <f t="array" ref="Z113">INDEX(GMWQ!$A$2:$LR$60,MATCH(1,(GMWQ!$LQ$2:$LQ$60=Z$3)*(GMWQ!$LP$2:$LP$60=Z$4)*(GMWQ!$LR$2:$LR$60=Z$1),0),$B113-1966)</f>
        <v>382213.9</v>
      </c>
      <c r="AA113" s="7" cm="1">
        <f t="array" ref="AA113">INDEX(GMWQ!$A$2:$LR$60,MATCH(1,(GMWQ!$LQ$2:$LQ$60=AA$3)*(GMWQ!$LP$2:$LP$60=AA$4)*(GMWQ!$LR$2:$LR$60=AA$1),0),$B113-1966)</f>
        <v>93591</v>
      </c>
      <c r="AB113" s="7" cm="1">
        <f t="array" ref="AB113">INDEX(GMWQ!$A$2:$LR$60,MATCH(1,(GMWQ!$LQ$2:$LQ$60=AB$3)*(GMWQ!$LP$2:$LP$60=AB$4)*(GMWQ!$LR$2:$LR$60=AB$1),0),$B113-1966)</f>
        <v>84995</v>
      </c>
      <c r="AC113" s="7" cm="1">
        <f t="array" ref="AC113">INDEX(GMWQ!$A$2:$LR$60,MATCH(1,(GMWQ!$LQ$2:$LQ$60=AC$3)*(GMWQ!$LP$2:$LP$60=AC$4)*(GMWQ!$LR$2:$LR$60=AC$1),0),$B113-1966)</f>
        <v>630</v>
      </c>
      <c r="AD113" s="7" cm="1">
        <f t="array" ref="AD113">INDEX(GMWQ!$A$2:$LR$60,MATCH(1,(GMWQ!$LQ$2:$LQ$60=AD$3)*(GMWQ!$LP$2:$LP$60=AD$4)*(GMWQ!$LR$2:$LR$60=AD$1),0),$B113-1966)</f>
        <v>6024</v>
      </c>
      <c r="AE113" s="7" cm="1">
        <f t="array" ref="AE113">INDEX(GMWQ!$A$2:$LR$60,MATCH(1,(GMWQ!$LQ$2:$LQ$60=AE$3)*(GMWQ!$LP$2:$LP$60=AE$4)*(GMWQ!$LR$2:$LR$60=AE$1),0),$B113-1966)</f>
        <v>261502</v>
      </c>
      <c r="AF113" s="20" cm="1">
        <f t="array" ref="AF113">INDEX(GMWQ!$A$2:$LR$60,MATCH(1,(GMWQ!$LQ$2:$LQ$60=AF$3)*(GMWQ!$LP$2:$LP$60=AF$4)*(GMWQ!$LR$2:$LR$60=AF$1),0),$B113-1966)</f>
        <v>5.0643940000000001</v>
      </c>
      <c r="AG113" s="20" cm="1">
        <f t="array" ref="AG113">INDEX(GMWQ!$A$2:$LR$60,MATCH(1,(GMWQ!$LQ$2:$LQ$60=AG$3)*(GMWQ!$LP$2:$LP$60=AG$4)*(GMWQ!$LR$2:$LR$60=AG$1),0),$B113-1966)</f>
        <v>-1549</v>
      </c>
      <c r="AI113" s="23" cm="1">
        <f t="array" ref="AI113">INDEX(GMWQ!$A$2:$LR$60,MATCH(1,(GMWQ!$LQ$2:$LQ$60=AI$3)*(GMWQ!$LP$2:$LP$60=AI$4)*(GMWQ!$LR$2:$LR$60=AI$1),0),$B113-1966)</f>
        <v>172290</v>
      </c>
      <c r="AJ113" s="23" cm="1">
        <f t="array" ref="AJ113">INDEX(GMWQ!$A$2:$LR$60,MATCH(1,(GMWQ!$LQ$2:$LQ$60=AJ$3)*(GMWQ!$LP$2:$LP$60=AJ$4)*(GMWQ!$LR$2:$LR$60=AJ$1),0),$B113-1966)</f>
        <v>72.650260000000003</v>
      </c>
      <c r="AK113" s="23" cm="1">
        <f t="array" ref="AK113">INDEX(GMWQ!$A$2:$LR$60,MATCH(1,(GMWQ!$LQ$2:$LQ$60=AK$3)*(GMWQ!$LP$2:$LP$60=AK$4)*(GMWQ!$LR$2:$LR$60=AK$1),0),$B113-1966)</f>
        <v>108335</v>
      </c>
      <c r="AL113" s="23" cm="1">
        <f t="array" ref="AL113">INDEX(GMWQ!$A$2:$LR$60,MATCH(1,(GMWQ!$LQ$2:$LQ$60=AL$3)*(GMWQ!$LP$2:$LP$60=AL$4)*(GMWQ!$LR$2:$LR$60=AL$1),0),$B113-1966)</f>
        <v>4579.0190000000002</v>
      </c>
      <c r="AM113" s="23" cm="1">
        <f t="array" ref="AM113">INDEX(GMWQ!$A$2:$LR$60,MATCH(1,(GMWQ!$LQ$2:$LQ$60=AM$3)*(GMWQ!$LP$2:$LP$60=AM$4)*(GMWQ!$LR$2:$LR$60=AM$1),0),$B113-1966)</f>
        <v>23659</v>
      </c>
      <c r="AN113" s="23" cm="1">
        <f t="array" ref="AN113">INDEX(GMWQ!$A$2:$LR$60,MATCH(1,(GMWQ!$LQ$2:$LQ$60=AN$3)*(GMWQ!$LP$2:$LP$60=AN$4)*(GMWQ!$LR$2:$LR$60=AN$1),0),$B113-1966)</f>
        <v>25239</v>
      </c>
      <c r="AO113" s="23" cm="1">
        <f t="array" ref="AO113">INDEX(GMWQ!$A$2:$LR$60,MATCH(1,(GMWQ!$LQ$2:$LQ$60=AO$3)*(GMWQ!$LP$2:$LP$60=AO$4)*(GMWQ!$LR$2:$LR$60=AO$1),0),$B113-1966)</f>
        <v>7067</v>
      </c>
      <c r="AP113" s="23" cm="1">
        <f t="array" ref="AP113">INDEX(GMWQ!$A$2:$LR$60,MATCH(1,(GMWQ!$LQ$2:$LQ$60=AP$3)*(GMWQ!$LP$2:$LP$60=AP$4)*(GMWQ!$LR$2:$LR$60=AP$1),0),$B113-1966)</f>
        <v>-1549</v>
      </c>
      <c r="AQ113" s="23" cm="1">
        <f t="array" ref="AQ113">INDEX(GMWQ!$A$2:$LR$60,MATCH(1,(GMWQ!$LQ$2:$LQ$60=AQ$3)*(GMWQ!$LP$2:$LP$60=AQ$4)*(GMWQ!$LR$2:$LR$60=AQ$1),0),$B113-1966)</f>
        <v>25960</v>
      </c>
      <c r="AR113" s="23" cm="1">
        <f t="array" ref="AR113">INDEX(GMWQ!$A$2:$LR$60,MATCH(1,(GMWQ!$LQ$2:$LQ$60=AR$3)*(GMWQ!$LP$2:$LP$60=AR$4)*(GMWQ!$LR$2:$LR$60=AR$1),0),$B113-1966)</f>
        <v>169812</v>
      </c>
      <c r="AS113" s="23" cm="1">
        <f t="array" ref="AS113">INDEX(GMWQ!$A$2:$LR$60,MATCH(1,(GMWQ!$LQ$2:$LQ$60=AS$3)*(GMWQ!$LP$2:$LP$60=AS$4)*(GMWQ!$LR$2:$LR$60=AS$1),0),$B113-1966)</f>
        <v>4312</v>
      </c>
      <c r="AT113" s="23" cm="1">
        <f t="array" ref="AT113">INDEX(GMWQ!$A$2:$LR$60,MATCH(1,(GMWQ!$LQ$2:$LQ$60=AT$3)*(GMWQ!$LP$2:$LP$60=AT$4)*(GMWQ!$LR$2:$LR$60=AT$1),0),$B113-1966)</f>
        <v>233739</v>
      </c>
      <c r="AU113" s="23" cm="1">
        <f t="array" ref="AU113">INDEX(GMWQ!$A$2:$LR$60,MATCH(1,(GMWQ!$LQ$2:$LQ$60=AU$3)*(GMWQ!$LP$2:$LP$60=AU$4)*(GMWQ!$LR$2:$LR$60=AU$1),0),$B113-1966)</f>
        <v>9183</v>
      </c>
    </row>
    <row r="114" spans="1:47" x14ac:dyDescent="0.35">
      <c r="B114" s="7">
        <f t="shared" si="3"/>
        <v>2080</v>
      </c>
      <c r="C114" s="7" cm="1">
        <f t="array" ref="C114">INDEX(GMWQ!$A$2:$LR$60,MATCH(1,(GMWQ!$LQ$2:$LQ$60=C$3)*(GMWQ!$LP$2:$LP$60=C$4)*(GMWQ!$LR$2:$LR$60=C$1),0),$B114-1966)</f>
        <v>396357</v>
      </c>
      <c r="D114" s="7" cm="1">
        <f t="array" ref="D114">INDEX(GMWQ!$A$2:$LR$60,MATCH(1,(GMWQ!$LQ$2:$LQ$60=D$3)*(GMWQ!$LP$2:$LP$60=D$4)*(GMWQ!$LR$2:$LR$60=D$1),0),$B114-1966)</f>
        <v>303.68020000000001</v>
      </c>
      <c r="E114" s="7" cm="1">
        <f t="array" ref="E114">INDEX(GMWQ!$A$2:$LR$60,MATCH(1,(GMWQ!$LQ$2:$LQ$60=E$3)*(GMWQ!$LP$2:$LP$60=E$4)*(GMWQ!$LR$2:$LR$60=E$1),0),$B114-1966)</f>
        <v>72.433329999999998</v>
      </c>
      <c r="F114" s="7" cm="1">
        <f t="array" ref="F114">INDEX(GMWQ!$A$2:$LR$60,MATCH(1,(GMWQ!$LQ$2:$LQ$60=F$3)*(GMWQ!$LP$2:$LP$60=F$4)*(GMWQ!$LR$2:$LR$60=F$1),0),$B114-1966)</f>
        <v>109919</v>
      </c>
      <c r="G114" s="7" cm="1">
        <f t="array" ref="G114">INDEX(GMWQ!$A$2:$LR$60,MATCH(1,(GMWQ!$LQ$2:$LQ$60=G$3)*(GMWQ!$LP$2:$LP$60=G$4)*(GMWQ!$LR$2:$LR$60=G$1),0),$B114-1966)</f>
        <v>24266</v>
      </c>
      <c r="H114" s="7" cm="1">
        <f t="array" ref="H114">INDEX(GMWQ!$A$2:$LR$60,MATCH(1,(GMWQ!$LQ$2:$LQ$60=H$3)*(GMWQ!$LP$2:$LP$60=H$4)*(GMWQ!$LR$2:$LR$60=H$1),0),$B114-1966)</f>
        <v>7026</v>
      </c>
      <c r="I114" s="7" cm="1">
        <f t="array" ref="I114">INDEX(GMWQ!$A$2:$LR$60,MATCH(1,(GMWQ!$LQ$2:$LQ$60=I$3)*(GMWQ!$LP$2:$LP$60=I$4)*(GMWQ!$LR$2:$LR$60=I$1),0),$B114-1966)</f>
        <v>72.899950000000004</v>
      </c>
      <c r="J114" s="7" cm="1">
        <f t="array" ref="J114">INDEX(GMWQ!$A$2:$LR$60,MATCH(1,(GMWQ!$LQ$2:$LQ$60=J$3)*(GMWQ!$LP$2:$LP$60=J$4)*(GMWQ!$LR$2:$LR$60=J$1),0),$B114-1966)</f>
        <v>23770</v>
      </c>
      <c r="K114" s="7" cm="1">
        <f t="array" ref="K114">INDEX(GMWQ!$A$2:$LR$60,MATCH(1,(GMWQ!$LQ$2:$LQ$60=K$3)*(GMWQ!$LP$2:$LP$60=K$4)*(GMWQ!$LR$2:$LR$60=K$1),0),$B114-1966)</f>
        <v>5.5</v>
      </c>
      <c r="L114" s="7" cm="1">
        <f t="array" ref="L114">INDEX(GMWQ!$A$2:$LR$60,MATCH(1,(GMWQ!$LQ$2:$LQ$60=L$3)*(GMWQ!$LP$2:$LP$60=L$4)*(GMWQ!$LR$2:$LR$60=L$1),0),$B114-1966)</f>
        <v>5.8</v>
      </c>
      <c r="M114" s="7" cm="1">
        <f t="array" ref="M114">INDEX(GMWQ!$A$2:$LR$60,MATCH(1,(GMWQ!$LQ$2:$LQ$60=M$3)*(GMWQ!$LP$2:$LP$60=M$4)*(GMWQ!$LR$2:$LR$60=M$1),0),$B114-1966)</f>
        <v>44.121920000000003</v>
      </c>
      <c r="N114" s="7" cm="1">
        <f t="array" ref="N114">INDEX(GMWQ!$A$2:$LR$60,MATCH(1,(GMWQ!$LQ$2:$LQ$60=N$3)*(GMWQ!$LP$2:$LP$60=N$4)*(GMWQ!$LR$2:$LR$60=N$1),0),$B114-1966)</f>
        <v>9059</v>
      </c>
      <c r="O114" s="7" cm="1">
        <f t="array" ref="O114">INDEX(GMWQ!$A$2:$LR$60,MATCH(1,(GMWQ!$LQ$2:$LQ$60=O$3)*(GMWQ!$LP$2:$LP$60=O$4)*(GMWQ!$LR$2:$LR$60=O$1),0),$B114-1966)</f>
        <v>7571</v>
      </c>
      <c r="P114" s="7" cm="1">
        <f t="array" ref="P114">INDEX(GMWQ!$A$2:$LR$60,MATCH(1,(GMWQ!$LQ$2:$LQ$60=P$3)*(GMWQ!$LP$2:$LP$60=P$4)*(GMWQ!$LR$2:$LR$60=P$1),0),$B114-1966)</f>
        <v>177169</v>
      </c>
      <c r="Q114" s="7" cm="1">
        <f t="array" ref="Q114">INDEX(GMWQ!$A$2:$LR$60,MATCH(1,(GMWQ!$LQ$2:$LQ$60=Q$3)*(GMWQ!$LP$2:$LP$60=Q$4)*(GMWQ!$LR$2:$LR$60=Q$1),0),$B114-1966)</f>
        <v>6.7566670000000002</v>
      </c>
      <c r="R114" s="7" cm="1">
        <f t="array" ref="R114">INDEX(GMWQ!$A$2:$LR$60,MATCH(1,(GMWQ!$LQ$2:$LQ$60=R$3)*(GMWQ!$LP$2:$LP$60=R$4)*(GMWQ!$LR$2:$LR$60=R$1),0),$B114-1966)</f>
        <v>285887</v>
      </c>
      <c r="S114" s="7" cm="1">
        <f t="array" ref="S114">INDEX(GMWQ!$A$2:$LR$60,MATCH(1,(GMWQ!$LQ$2:$LQ$60=S$3)*(GMWQ!$LP$2:$LP$60=S$4)*(GMWQ!$LR$2:$LR$60=S$1),0),$B114-1966)</f>
        <v>387</v>
      </c>
      <c r="T114" s="7" cm="1">
        <f t="array" ref="T114">INDEX(GMWQ!$A$2:$LR$60,MATCH(1,(GMWQ!$LQ$2:$LQ$60=T$3)*(GMWQ!$LP$2:$LP$60=T$4)*(GMWQ!$LR$2:$LR$60=T$1),0),$B114-1966)</f>
        <v>30120</v>
      </c>
      <c r="U114" s="7" cm="1">
        <f t="array" ref="U114">INDEX(GMWQ!$A$2:$LR$60,MATCH(1,(GMWQ!$LQ$2:$LQ$60=U$3)*(GMWQ!$LP$2:$LP$60=U$4)*(GMWQ!$LR$2:$LR$60=U$1),0),$B114-1966)</f>
        <v>9949</v>
      </c>
      <c r="V114" s="7" cm="1">
        <f t="array" ref="V114">INDEX(GMWQ!$A$2:$LR$60,MATCH(1,(GMWQ!$LQ$2:$LQ$60=V$3)*(GMWQ!$LP$2:$LP$60=V$4)*(GMWQ!$LR$2:$LR$60=V$1),0),$B114-1966)</f>
        <v>2.7439959999999998E-3</v>
      </c>
      <c r="W114" s="7" cm="1">
        <f t="array" ref="W114">INDEX(GMWQ!$A$2:$LR$60,MATCH(1,(GMWQ!$LQ$2:$LQ$60=W$3)*(GMWQ!$LP$2:$LP$60=W$4)*(GMWQ!$LR$2:$LR$60=W$1),0),$B114-1966)</f>
        <v>17.337800000000001</v>
      </c>
      <c r="X114" s="7" cm="1">
        <f t="array" ref="X114">INDEX(GMWQ!$A$2:$LR$60,MATCH(1,(GMWQ!$LQ$2:$LQ$60=X$3)*(GMWQ!$LP$2:$LP$60=X$4)*(GMWQ!$LR$2:$LR$60=X$1),0),$B114-1966)</f>
        <v>1475346</v>
      </c>
      <c r="Y114" s="7" cm="1">
        <f t="array" ref="Y114">INDEX(GMWQ!$A$2:$LR$60,MATCH(1,(GMWQ!$LQ$2:$LQ$60=Y$3)*(GMWQ!$LP$2:$LP$60=Y$4)*(GMWQ!$LR$2:$LR$60=Y$1),0),$B114-1966)</f>
        <v>67.536839999999998</v>
      </c>
      <c r="Z114" s="7" cm="1">
        <f t="array" ref="Z114">INDEX(GMWQ!$A$2:$LR$60,MATCH(1,(GMWQ!$LQ$2:$LQ$60=Z$3)*(GMWQ!$LP$2:$LP$60=Z$4)*(GMWQ!$LR$2:$LR$60=Z$1),0),$B114-1966)</f>
        <v>385736.1</v>
      </c>
      <c r="AA114" s="7" cm="1">
        <f t="array" ref="AA114">INDEX(GMWQ!$A$2:$LR$60,MATCH(1,(GMWQ!$LQ$2:$LQ$60=AA$3)*(GMWQ!$LP$2:$LP$60=AA$4)*(GMWQ!$LR$2:$LR$60=AA$1),0),$B114-1966)</f>
        <v>97300</v>
      </c>
      <c r="AB114" s="7" cm="1">
        <f t="array" ref="AB114">INDEX(GMWQ!$A$2:$LR$60,MATCH(1,(GMWQ!$LQ$2:$LQ$60=AB$3)*(GMWQ!$LP$2:$LP$60=AB$4)*(GMWQ!$LR$2:$LR$60=AB$1),0),$B114-1966)</f>
        <v>86162</v>
      </c>
      <c r="AC114" s="7" cm="1">
        <f t="array" ref="AC114">INDEX(GMWQ!$A$2:$LR$60,MATCH(1,(GMWQ!$LQ$2:$LQ$60=AC$3)*(GMWQ!$LP$2:$LP$60=AC$4)*(GMWQ!$LR$2:$LR$60=AC$1),0),$B114-1966)</f>
        <v>824</v>
      </c>
      <c r="AD114" s="7" cm="1">
        <f t="array" ref="AD114">INDEX(GMWQ!$A$2:$LR$60,MATCH(1,(GMWQ!$LQ$2:$LQ$60=AD$3)*(GMWQ!$LP$2:$LP$60=AD$4)*(GMWQ!$LR$2:$LR$60=AD$1),0),$B114-1966)</f>
        <v>6057</v>
      </c>
      <c r="AE114" s="7" cm="1">
        <f t="array" ref="AE114">INDEX(GMWQ!$A$2:$LR$60,MATCH(1,(GMWQ!$LQ$2:$LQ$60=AE$3)*(GMWQ!$LP$2:$LP$60=AE$4)*(GMWQ!$LR$2:$LR$60=AE$1),0),$B114-1966)</f>
        <v>267687</v>
      </c>
      <c r="AF114" s="20" cm="1">
        <f t="array" ref="AF114">INDEX(GMWQ!$A$2:$LR$60,MATCH(1,(GMWQ!$LQ$2:$LQ$60=AF$3)*(GMWQ!$LP$2:$LP$60=AF$4)*(GMWQ!$LR$2:$LR$60=AF$1),0),$B114-1966)</f>
        <v>5.4090910000000001</v>
      </c>
      <c r="AG114" s="20" cm="1">
        <f t="array" ref="AG114">INDEX(GMWQ!$A$2:$LR$60,MATCH(1,(GMWQ!$LQ$2:$LQ$60=AG$3)*(GMWQ!$LP$2:$LP$60=AG$4)*(GMWQ!$LR$2:$LR$60=AG$1),0),$B114-1966)</f>
        <v>-1488</v>
      </c>
      <c r="AI114" s="23" cm="1">
        <f t="array" ref="AI114">INDEX(GMWQ!$A$2:$LR$60,MATCH(1,(GMWQ!$LQ$2:$LQ$60=AI$3)*(GMWQ!$LP$2:$LP$60=AI$4)*(GMWQ!$LR$2:$LR$60=AI$1),0),$B114-1966)</f>
        <v>177169</v>
      </c>
      <c r="AJ114" s="23" cm="1">
        <f t="array" ref="AJ114">INDEX(GMWQ!$A$2:$LR$60,MATCH(1,(GMWQ!$LQ$2:$LQ$60=AJ$3)*(GMWQ!$LP$2:$LP$60=AJ$4)*(GMWQ!$LR$2:$LR$60=AJ$1),0),$B114-1966)</f>
        <v>72.899950000000004</v>
      </c>
      <c r="AK114" s="23" cm="1">
        <f t="array" ref="AK114">INDEX(GMWQ!$A$2:$LR$60,MATCH(1,(GMWQ!$LQ$2:$LQ$60=AK$3)*(GMWQ!$LP$2:$LP$60=AK$4)*(GMWQ!$LR$2:$LR$60=AK$1),0),$B114-1966)</f>
        <v>109919</v>
      </c>
      <c r="AL114" s="23" cm="1">
        <f t="array" ref="AL114">INDEX(GMWQ!$A$2:$LR$60,MATCH(1,(GMWQ!$LQ$2:$LQ$60=AL$3)*(GMWQ!$LP$2:$LP$60=AL$4)*(GMWQ!$LR$2:$LR$60=AL$1),0),$B114-1966)</f>
        <v>4624.2740000000003</v>
      </c>
      <c r="AM114" s="23" cm="1">
        <f t="array" ref="AM114">INDEX(GMWQ!$A$2:$LR$60,MATCH(1,(GMWQ!$LQ$2:$LQ$60=AM$3)*(GMWQ!$LP$2:$LP$60=AM$4)*(GMWQ!$LR$2:$LR$60=AM$1),0),$B114-1966)</f>
        <v>23770</v>
      </c>
      <c r="AN114" s="23" cm="1">
        <f t="array" ref="AN114">INDEX(GMWQ!$A$2:$LR$60,MATCH(1,(GMWQ!$LQ$2:$LQ$60=AN$3)*(GMWQ!$LP$2:$LP$60=AN$4)*(GMWQ!$LR$2:$LR$60=AN$1),0),$B114-1966)</f>
        <v>24266</v>
      </c>
      <c r="AO114" s="23" cm="1">
        <f t="array" ref="AO114">INDEX(GMWQ!$A$2:$LR$60,MATCH(1,(GMWQ!$LQ$2:$LQ$60=AO$3)*(GMWQ!$LP$2:$LP$60=AO$4)*(GMWQ!$LR$2:$LR$60=AO$1),0),$B114-1966)</f>
        <v>7026</v>
      </c>
      <c r="AP114" s="23" cm="1">
        <f t="array" ref="AP114">INDEX(GMWQ!$A$2:$LR$60,MATCH(1,(GMWQ!$LQ$2:$LQ$60=AP$3)*(GMWQ!$LP$2:$LP$60=AP$4)*(GMWQ!$LR$2:$LR$60=AP$1),0),$B114-1966)</f>
        <v>-1488</v>
      </c>
      <c r="AQ114" s="23" cm="1">
        <f t="array" ref="AQ114">INDEX(GMWQ!$A$2:$LR$60,MATCH(1,(GMWQ!$LQ$2:$LQ$60=AQ$3)*(GMWQ!$LP$2:$LP$60=AQ$4)*(GMWQ!$LR$2:$LR$60=AQ$1),0),$B114-1966)</f>
        <v>27075</v>
      </c>
      <c r="AR114" s="23" cm="1">
        <f t="array" ref="AR114">INDEX(GMWQ!$A$2:$LR$60,MATCH(1,(GMWQ!$LQ$2:$LQ$60=AR$3)*(GMWQ!$LP$2:$LP$60=AR$4)*(GMWQ!$LR$2:$LR$60=AR$1),0),$B114-1966)</f>
        <v>171597</v>
      </c>
      <c r="AS114" s="23" cm="1">
        <f t="array" ref="AS114">INDEX(GMWQ!$A$2:$LR$60,MATCH(1,(GMWQ!$LQ$2:$LQ$60=AS$3)*(GMWQ!$LP$2:$LP$60=AS$4)*(GMWQ!$LR$2:$LR$60=AS$1),0),$B114-1966)</f>
        <v>4443</v>
      </c>
      <c r="AT114" s="23" cm="1">
        <f t="array" ref="AT114">INDEX(GMWQ!$A$2:$LR$60,MATCH(1,(GMWQ!$LQ$2:$LQ$60=AT$3)*(GMWQ!$LP$2:$LP$60=AT$4)*(GMWQ!$LR$2:$LR$60=AT$1),0),$B114-1966)</f>
        <v>235387</v>
      </c>
      <c r="AU114" s="23" cm="1">
        <f t="array" ref="AU114">INDEX(GMWQ!$A$2:$LR$60,MATCH(1,(GMWQ!$LQ$2:$LQ$60=AU$3)*(GMWQ!$LP$2:$LP$60=AU$4)*(GMWQ!$LR$2:$LR$60=AU$1),0),$B114-1966)</f>
        <v>9318</v>
      </c>
    </row>
    <row r="115" spans="1:47" x14ac:dyDescent="0.35">
      <c r="A115" s="7">
        <v>2000</v>
      </c>
      <c r="B115" s="7">
        <f t="shared" si="3"/>
        <v>2081</v>
      </c>
      <c r="C115" s="7" cm="1">
        <f t="array" ref="C115">INDEX(GMWQ!$A$2:$LR$60,MATCH(1,(GMWQ!$LQ$2:$LQ$60=C$3)*(GMWQ!$LP$2:$LP$60=C$4)*(GMWQ!$LR$2:$LR$60=C$1),0),$B115-1966)</f>
        <v>401242</v>
      </c>
      <c r="D115" s="7" cm="1">
        <f t="array" ref="D115">INDEX(GMWQ!$A$2:$LR$60,MATCH(1,(GMWQ!$LQ$2:$LQ$60=D$3)*(GMWQ!$LP$2:$LP$60=D$4)*(GMWQ!$LR$2:$LR$60=D$1),0),$B115-1966)</f>
        <v>305.33330000000001</v>
      </c>
      <c r="E115" s="7" cm="1">
        <f t="array" ref="E115">INDEX(GMWQ!$A$2:$LR$60,MATCH(1,(GMWQ!$LQ$2:$LQ$60=E$3)*(GMWQ!$LP$2:$LP$60=E$4)*(GMWQ!$LR$2:$LR$60=E$1),0),$B115-1966)</f>
        <v>72.133330000000001</v>
      </c>
      <c r="F115" s="7" cm="1">
        <f t="array" ref="F115">INDEX(GMWQ!$A$2:$LR$60,MATCH(1,(GMWQ!$LQ$2:$LQ$60=F$3)*(GMWQ!$LP$2:$LP$60=F$4)*(GMWQ!$LR$2:$LR$60=F$1),0),$B115-1966)</f>
        <v>110532</v>
      </c>
      <c r="G115" s="7" cm="1">
        <f t="array" ref="G115">INDEX(GMWQ!$A$2:$LR$60,MATCH(1,(GMWQ!$LQ$2:$LQ$60=G$3)*(GMWQ!$LP$2:$LP$60=G$4)*(GMWQ!$LR$2:$LR$60=G$1),0),$B115-1966)</f>
        <v>24795</v>
      </c>
      <c r="H115" s="7" cm="1">
        <f t="array" ref="H115">INDEX(GMWQ!$A$2:$LR$60,MATCH(1,(GMWQ!$LQ$2:$LQ$60=H$3)*(GMWQ!$LP$2:$LP$60=H$4)*(GMWQ!$LR$2:$LR$60=H$1),0),$B115-1966)</f>
        <v>7064</v>
      </c>
      <c r="I115" s="7" cm="1">
        <f t="array" ref="I115">INDEX(GMWQ!$A$2:$LR$60,MATCH(1,(GMWQ!$LQ$2:$LQ$60=I$3)*(GMWQ!$LP$2:$LP$60=I$4)*(GMWQ!$LR$2:$LR$60=I$1),0),$B115-1966)</f>
        <v>73.154949999999999</v>
      </c>
      <c r="J115" s="7" cm="1">
        <f t="array" ref="J115">INDEX(GMWQ!$A$2:$LR$60,MATCH(1,(GMWQ!$LQ$2:$LQ$60=J$3)*(GMWQ!$LP$2:$LP$60=J$4)*(GMWQ!$LR$2:$LR$60=J$1),0),$B115-1966)</f>
        <v>23833</v>
      </c>
      <c r="K115" s="7" cm="1">
        <f t="array" ref="K115">INDEX(GMWQ!$A$2:$LR$60,MATCH(1,(GMWQ!$LQ$2:$LQ$60=K$3)*(GMWQ!$LP$2:$LP$60=K$4)*(GMWQ!$LR$2:$LR$60=K$1),0),$B115-1966)</f>
        <v>6</v>
      </c>
      <c r="L115" s="7" cm="1">
        <f t="array" ref="L115">INDEX(GMWQ!$A$2:$LR$60,MATCH(1,(GMWQ!$LQ$2:$LQ$60=L$3)*(GMWQ!$LP$2:$LP$60=L$4)*(GMWQ!$LR$2:$LR$60=L$1),0),$B115-1966)</f>
        <v>5.8</v>
      </c>
      <c r="M115" s="7" cm="1">
        <f t="array" ref="M115">INDEX(GMWQ!$A$2:$LR$60,MATCH(1,(GMWQ!$LQ$2:$LQ$60=M$3)*(GMWQ!$LP$2:$LP$60=M$4)*(GMWQ!$LR$2:$LR$60=M$1),0),$B115-1966)</f>
        <v>44.941789999999997</v>
      </c>
      <c r="N115" s="7" cm="1">
        <f t="array" ref="N115">INDEX(GMWQ!$A$2:$LR$60,MATCH(1,(GMWQ!$LQ$2:$LQ$60=N$3)*(GMWQ!$LP$2:$LP$60=N$4)*(GMWQ!$LR$2:$LR$60=N$1),0),$B115-1966)</f>
        <v>10298</v>
      </c>
      <c r="O115" s="7" cm="1">
        <f t="array" ref="O115">INDEX(GMWQ!$A$2:$LR$60,MATCH(1,(GMWQ!$LQ$2:$LQ$60=O$3)*(GMWQ!$LP$2:$LP$60=O$4)*(GMWQ!$LR$2:$LR$60=O$1),0),$B115-1966)</f>
        <v>9566</v>
      </c>
      <c r="P115" s="7" cm="1">
        <f t="array" ref="P115">INDEX(GMWQ!$A$2:$LR$60,MATCH(1,(GMWQ!$LQ$2:$LQ$60=P$3)*(GMWQ!$LP$2:$LP$60=P$4)*(GMWQ!$LR$2:$LR$60=P$1),0),$B115-1966)</f>
        <v>178188</v>
      </c>
      <c r="Q115" s="7" cm="1">
        <f t="array" ref="Q115">INDEX(GMWQ!$A$2:$LR$60,MATCH(1,(GMWQ!$LQ$2:$LQ$60=Q$3)*(GMWQ!$LP$2:$LP$60=Q$4)*(GMWQ!$LR$2:$LR$60=Q$1),0),$B115-1966)</f>
        <v>7.056667</v>
      </c>
      <c r="R115" s="7" cm="1">
        <f t="array" ref="R115">INDEX(GMWQ!$A$2:$LR$60,MATCH(1,(GMWQ!$LQ$2:$LQ$60=R$3)*(GMWQ!$LP$2:$LP$60=R$4)*(GMWQ!$LR$2:$LR$60=R$1),0),$B115-1966)</f>
        <v>275207</v>
      </c>
      <c r="S115" s="7" cm="1">
        <f t="array" ref="S115">INDEX(GMWQ!$A$2:$LR$60,MATCH(1,(GMWQ!$LQ$2:$LQ$60=S$3)*(GMWQ!$LP$2:$LP$60=S$4)*(GMWQ!$LR$2:$LR$60=S$1),0),$B115-1966)</f>
        <v>392</v>
      </c>
      <c r="T115" s="7" cm="1">
        <f t="array" ref="T115">INDEX(GMWQ!$A$2:$LR$60,MATCH(1,(GMWQ!$LQ$2:$LQ$60=T$3)*(GMWQ!$LP$2:$LP$60=T$4)*(GMWQ!$LR$2:$LR$60=T$1),0),$B115-1966)</f>
        <v>29128</v>
      </c>
      <c r="U115" s="7" cm="1">
        <f t="array" ref="U115">INDEX(GMWQ!$A$2:$LR$60,MATCH(1,(GMWQ!$LQ$2:$LQ$60=U$3)*(GMWQ!$LP$2:$LP$60=U$4)*(GMWQ!$LR$2:$LR$60=U$1),0),$B115-1966)</f>
        <v>9813</v>
      </c>
      <c r="V115" s="7" cm="1">
        <f t="array" ref="V115">INDEX(GMWQ!$A$2:$LR$60,MATCH(1,(GMWQ!$LQ$2:$LQ$60=V$3)*(GMWQ!$LP$2:$LP$60=V$4)*(GMWQ!$LR$2:$LR$60=V$1),0),$B115-1966)</f>
        <v>2.913321E-3</v>
      </c>
      <c r="W115" s="7" cm="1">
        <f t="array" ref="W115">INDEX(GMWQ!$A$2:$LR$60,MATCH(1,(GMWQ!$LQ$2:$LQ$60=W$3)*(GMWQ!$LP$2:$LP$60=W$4)*(GMWQ!$LR$2:$LR$60=W$1),0),$B115-1966)</f>
        <v>17.419989999999999</v>
      </c>
      <c r="X115" s="7" cm="1">
        <f t="array" ref="X115">INDEX(GMWQ!$A$2:$LR$60,MATCH(1,(GMWQ!$LQ$2:$LQ$60=X$3)*(GMWQ!$LP$2:$LP$60=X$4)*(GMWQ!$LR$2:$LR$60=X$1),0),$B115-1966)</f>
        <v>1524406</v>
      </c>
      <c r="Y115" s="7" cm="1">
        <f t="array" ref="Y115">INDEX(GMWQ!$A$2:$LR$60,MATCH(1,(GMWQ!$LQ$2:$LQ$60=Y$3)*(GMWQ!$LP$2:$LP$60=Y$4)*(GMWQ!$LR$2:$LR$60=Y$1),0),$B115-1966)</f>
        <v>67.822659999999999</v>
      </c>
      <c r="Z115" s="7" cm="1">
        <f t="array" ref="Z115">INDEX(GMWQ!$A$2:$LR$60,MATCH(1,(GMWQ!$LQ$2:$LQ$60=Z$3)*(GMWQ!$LP$2:$LP$60=Z$4)*(GMWQ!$LR$2:$LR$60=Z$1),0),$B115-1966)</f>
        <v>384894.8</v>
      </c>
      <c r="AA115" s="7" cm="1">
        <f t="array" ref="AA115">INDEX(GMWQ!$A$2:$LR$60,MATCH(1,(GMWQ!$LQ$2:$LQ$60=AA$3)*(GMWQ!$LP$2:$LP$60=AA$4)*(GMWQ!$LR$2:$LR$60=AA$1),0),$B115-1966)</f>
        <v>106394</v>
      </c>
      <c r="AB115" s="7" cm="1">
        <f t="array" ref="AB115">INDEX(GMWQ!$A$2:$LR$60,MATCH(1,(GMWQ!$LQ$2:$LQ$60=AB$3)*(GMWQ!$LP$2:$LP$60=AB$4)*(GMWQ!$LR$2:$LR$60=AB$1),0),$B115-1966)</f>
        <v>84891</v>
      </c>
      <c r="AC115" s="7" cm="1">
        <f t="array" ref="AC115">INDEX(GMWQ!$A$2:$LR$60,MATCH(1,(GMWQ!$LQ$2:$LQ$60=AC$3)*(GMWQ!$LP$2:$LP$60=AC$4)*(GMWQ!$LR$2:$LR$60=AC$1),0),$B115-1966)</f>
        <v>3592</v>
      </c>
      <c r="AD115" s="7" cm="1">
        <f t="array" ref="AD115">INDEX(GMWQ!$A$2:$LR$60,MATCH(1,(GMWQ!$LQ$2:$LQ$60=AD$3)*(GMWQ!$LP$2:$LP$60=AD$4)*(GMWQ!$LR$2:$LR$60=AD$1),0),$B115-1966)</f>
        <v>6156</v>
      </c>
      <c r="AE115" s="7" cm="1">
        <f t="array" ref="AE115">INDEX(GMWQ!$A$2:$LR$60,MATCH(1,(GMWQ!$LQ$2:$LQ$60=AE$3)*(GMWQ!$LP$2:$LP$60=AE$4)*(GMWQ!$LR$2:$LR$60=AE$1),0),$B115-1966)</f>
        <v>272133</v>
      </c>
      <c r="AF115" s="20" cm="1">
        <f t="array" ref="AF115">INDEX(GMWQ!$A$2:$LR$60,MATCH(1,(GMWQ!$LQ$2:$LQ$60=AF$3)*(GMWQ!$LP$2:$LP$60=AF$4)*(GMWQ!$LR$2:$LR$60=AF$1),0),$B115-1966)</f>
        <v>5.8615380000000004</v>
      </c>
      <c r="AG115" s="20" cm="1">
        <f t="array" ref="AG115">INDEX(GMWQ!$A$2:$LR$60,MATCH(1,(GMWQ!$LQ$2:$LQ$60=AG$3)*(GMWQ!$LP$2:$LP$60=AG$4)*(GMWQ!$LR$2:$LR$60=AG$1),0),$B115-1966)</f>
        <v>-732</v>
      </c>
      <c r="AI115" s="23" cm="1">
        <f t="array" ref="AI115">INDEX(GMWQ!$A$2:$LR$60,MATCH(1,(GMWQ!$LQ$2:$LQ$60=AI$3)*(GMWQ!$LP$2:$LP$60=AI$4)*(GMWQ!$LR$2:$LR$60=AI$1),0),$B115-1966)</f>
        <v>178188</v>
      </c>
      <c r="AJ115" s="23" cm="1">
        <f t="array" ref="AJ115">INDEX(GMWQ!$A$2:$LR$60,MATCH(1,(GMWQ!$LQ$2:$LQ$60=AJ$3)*(GMWQ!$LP$2:$LP$60=AJ$4)*(GMWQ!$LR$2:$LR$60=AJ$1),0),$B115-1966)</f>
        <v>73.154949999999999</v>
      </c>
      <c r="AK115" s="23" cm="1">
        <f t="array" ref="AK115">INDEX(GMWQ!$A$2:$LR$60,MATCH(1,(GMWQ!$LQ$2:$LQ$60=AK$3)*(GMWQ!$LP$2:$LP$60=AK$4)*(GMWQ!$LR$2:$LR$60=AK$1),0),$B115-1966)</f>
        <v>110532</v>
      </c>
      <c r="AL115" s="23" cm="1">
        <f t="array" ref="AL115">INDEX(GMWQ!$A$2:$LR$60,MATCH(1,(GMWQ!$LQ$2:$LQ$60=AL$3)*(GMWQ!$LP$2:$LP$60=AL$4)*(GMWQ!$LR$2:$LR$60=AL$1),0),$B115-1966)</f>
        <v>4637.7709999999997</v>
      </c>
      <c r="AM115" s="23" cm="1">
        <f t="array" ref="AM115">INDEX(GMWQ!$A$2:$LR$60,MATCH(1,(GMWQ!$LQ$2:$LQ$60=AM$3)*(GMWQ!$LP$2:$LP$60=AM$4)*(GMWQ!$LR$2:$LR$60=AM$1),0),$B115-1966)</f>
        <v>23833</v>
      </c>
      <c r="AN115" s="23" cm="1">
        <f t="array" ref="AN115">INDEX(GMWQ!$A$2:$LR$60,MATCH(1,(GMWQ!$LQ$2:$LQ$60=AN$3)*(GMWQ!$LP$2:$LP$60=AN$4)*(GMWQ!$LR$2:$LR$60=AN$1),0),$B115-1966)</f>
        <v>24795</v>
      </c>
      <c r="AO115" s="23" cm="1">
        <f t="array" ref="AO115">INDEX(GMWQ!$A$2:$LR$60,MATCH(1,(GMWQ!$LQ$2:$LQ$60=AO$3)*(GMWQ!$LP$2:$LP$60=AO$4)*(GMWQ!$LR$2:$LR$60=AO$1),0),$B115-1966)</f>
        <v>7064</v>
      </c>
      <c r="AP115" s="23" cm="1">
        <f t="array" ref="AP115">INDEX(GMWQ!$A$2:$LR$60,MATCH(1,(GMWQ!$LQ$2:$LQ$60=AP$3)*(GMWQ!$LP$2:$LP$60=AP$4)*(GMWQ!$LR$2:$LR$60=AP$1),0),$B115-1966)</f>
        <v>-732</v>
      </c>
      <c r="AQ115" s="23" cm="1">
        <f t="array" ref="AQ115">INDEX(GMWQ!$A$2:$LR$60,MATCH(1,(GMWQ!$LQ$2:$LQ$60=AQ$3)*(GMWQ!$LP$2:$LP$60=AQ$4)*(GMWQ!$LR$2:$LR$60=AQ$1),0),$B115-1966)</f>
        <v>26606</v>
      </c>
      <c r="AR115" s="23" cm="1">
        <f t="array" ref="AR115">INDEX(GMWQ!$A$2:$LR$60,MATCH(1,(GMWQ!$LQ$2:$LQ$60=AR$3)*(GMWQ!$LP$2:$LP$60=AR$4)*(GMWQ!$LR$2:$LR$60=AR$1),0),$B115-1966)</f>
        <v>174675</v>
      </c>
      <c r="AS115" s="23" cm="1">
        <f t="array" ref="AS115">INDEX(GMWQ!$A$2:$LR$60,MATCH(1,(GMWQ!$LQ$2:$LQ$60=AS$3)*(GMWQ!$LP$2:$LP$60=AS$4)*(GMWQ!$LR$2:$LR$60=AS$1),0),$B115-1966)</f>
        <v>4494</v>
      </c>
      <c r="AT115" s="23" cm="1">
        <f t="array" ref="AT115">INDEX(GMWQ!$A$2:$LR$60,MATCH(1,(GMWQ!$LQ$2:$LQ$60=AT$3)*(GMWQ!$LP$2:$LP$60=AT$4)*(GMWQ!$LR$2:$LR$60=AT$1),0),$B115-1966)</f>
        <v>238774</v>
      </c>
      <c r="AU115" s="23" cm="1">
        <f t="array" ref="AU115">INDEX(GMWQ!$A$2:$LR$60,MATCH(1,(GMWQ!$LQ$2:$LQ$60=AU$3)*(GMWQ!$LP$2:$LP$60=AU$4)*(GMWQ!$LR$2:$LR$60=AU$1),0),$B115-1966)</f>
        <v>9350</v>
      </c>
    </row>
    <row r="116" spans="1:47" x14ac:dyDescent="0.35">
      <c r="B116" s="7">
        <f t="shared" si="3"/>
        <v>2082</v>
      </c>
      <c r="C116" s="7" cm="1">
        <f t="array" ref="C116">INDEX(GMWQ!$A$2:$LR$60,MATCH(1,(GMWQ!$LQ$2:$LQ$60=C$3)*(GMWQ!$LP$2:$LP$60=C$4)*(GMWQ!$LR$2:$LR$60=C$1),0),$B116-1966)</f>
        <v>404196</v>
      </c>
      <c r="D116" s="7" cm="1">
        <f t="array" ref="D116">INDEX(GMWQ!$A$2:$LR$60,MATCH(1,(GMWQ!$LQ$2:$LQ$60=D$3)*(GMWQ!$LP$2:$LP$60=D$4)*(GMWQ!$LR$2:$LR$60=D$1),0),$B116-1966)</f>
        <v>310.33330000000001</v>
      </c>
      <c r="E116" s="7" cm="1">
        <f t="array" ref="E116">INDEX(GMWQ!$A$2:$LR$60,MATCH(1,(GMWQ!$LQ$2:$LQ$60=E$3)*(GMWQ!$LP$2:$LP$60=E$4)*(GMWQ!$LR$2:$LR$60=E$1),0),$B116-1966)</f>
        <v>72.766670000000005</v>
      </c>
      <c r="F116" s="7" cm="1">
        <f t="array" ref="F116">INDEX(GMWQ!$A$2:$LR$60,MATCH(1,(GMWQ!$LQ$2:$LQ$60=F$3)*(GMWQ!$LP$2:$LP$60=F$4)*(GMWQ!$LR$2:$LR$60=F$1),0),$B116-1966)</f>
        <v>112629</v>
      </c>
      <c r="G116" s="7" cm="1">
        <f t="array" ref="G116">INDEX(GMWQ!$A$2:$LR$60,MATCH(1,(GMWQ!$LQ$2:$LQ$60=G$3)*(GMWQ!$LP$2:$LP$60=G$4)*(GMWQ!$LR$2:$LR$60=G$1),0),$B116-1966)</f>
        <v>25999</v>
      </c>
      <c r="H116" s="7" cm="1">
        <f t="array" ref="H116">INDEX(GMWQ!$A$2:$LR$60,MATCH(1,(GMWQ!$LQ$2:$LQ$60=H$3)*(GMWQ!$LP$2:$LP$60=H$4)*(GMWQ!$LR$2:$LR$60=H$1),0),$B116-1966)</f>
        <v>7317</v>
      </c>
      <c r="I116" s="7" cm="1">
        <f t="array" ref="I116">INDEX(GMWQ!$A$2:$LR$60,MATCH(1,(GMWQ!$LQ$2:$LQ$60=I$3)*(GMWQ!$LP$2:$LP$60=I$4)*(GMWQ!$LR$2:$LR$60=I$1),0),$B116-1966)</f>
        <v>73.001140000000007</v>
      </c>
      <c r="J116" s="7" cm="1">
        <f t="array" ref="J116">INDEX(GMWQ!$A$2:$LR$60,MATCH(1,(GMWQ!$LQ$2:$LQ$60=J$3)*(GMWQ!$LP$2:$LP$60=J$4)*(GMWQ!$LR$2:$LR$60=J$1),0),$B116-1966)</f>
        <v>23956</v>
      </c>
      <c r="K116" s="7" cm="1">
        <f t="array" ref="K116">INDEX(GMWQ!$A$2:$LR$60,MATCH(1,(GMWQ!$LQ$2:$LQ$60=K$3)*(GMWQ!$LP$2:$LP$60=K$4)*(GMWQ!$LR$2:$LR$60=K$1),0),$B116-1966)</f>
        <v>6</v>
      </c>
      <c r="L116" s="7" cm="1">
        <f t="array" ref="L116">INDEX(GMWQ!$A$2:$LR$60,MATCH(1,(GMWQ!$LQ$2:$LQ$60=L$3)*(GMWQ!$LP$2:$LP$60=L$4)*(GMWQ!$LR$2:$LR$60=L$1),0),$B116-1966)</f>
        <v>5.5</v>
      </c>
      <c r="M116" s="7" cm="1">
        <f t="array" ref="M116">INDEX(GMWQ!$A$2:$LR$60,MATCH(1,(GMWQ!$LQ$2:$LQ$60=M$3)*(GMWQ!$LP$2:$LP$60=M$4)*(GMWQ!$LR$2:$LR$60=M$1),0),$B116-1966)</f>
        <v>46.839759999999998</v>
      </c>
      <c r="N116" s="7" cm="1">
        <f t="array" ref="N116">INDEX(GMWQ!$A$2:$LR$60,MATCH(1,(GMWQ!$LQ$2:$LQ$60=N$3)*(GMWQ!$LP$2:$LP$60=N$4)*(GMWQ!$LR$2:$LR$60=N$1),0),$B116-1966)</f>
        <v>10689</v>
      </c>
      <c r="O116" s="7" cm="1">
        <f t="array" ref="O116">INDEX(GMWQ!$A$2:$LR$60,MATCH(1,(GMWQ!$LQ$2:$LQ$60=O$3)*(GMWQ!$LP$2:$LP$60=O$4)*(GMWQ!$LR$2:$LR$60=O$1),0),$B116-1966)</f>
        <v>9791</v>
      </c>
      <c r="P116" s="7" cm="1">
        <f t="array" ref="P116">INDEX(GMWQ!$A$2:$LR$60,MATCH(1,(GMWQ!$LQ$2:$LQ$60=P$3)*(GMWQ!$LP$2:$LP$60=P$4)*(GMWQ!$LR$2:$LR$60=P$1),0),$B116-1966)</f>
        <v>179736</v>
      </c>
      <c r="Q116" s="7" cm="1">
        <f t="array" ref="Q116">INDEX(GMWQ!$A$2:$LR$60,MATCH(1,(GMWQ!$LQ$2:$LQ$60=Q$3)*(GMWQ!$LP$2:$LP$60=Q$4)*(GMWQ!$LR$2:$LR$60=Q$1),0),$B116-1966)</f>
        <v>7.1433330000000002</v>
      </c>
      <c r="R116" s="7" cm="1">
        <f t="array" ref="R116">INDEX(GMWQ!$A$2:$LR$60,MATCH(1,(GMWQ!$LQ$2:$LQ$60=R$3)*(GMWQ!$LP$2:$LP$60=R$4)*(GMWQ!$LR$2:$LR$60=R$1),0),$B116-1966)</f>
        <v>284349</v>
      </c>
      <c r="S116" s="7" cm="1">
        <f t="array" ref="S116">INDEX(GMWQ!$A$2:$LR$60,MATCH(1,(GMWQ!$LQ$2:$LQ$60=S$3)*(GMWQ!$LP$2:$LP$60=S$4)*(GMWQ!$LR$2:$LR$60=S$1),0),$B116-1966)</f>
        <v>356</v>
      </c>
      <c r="T116" s="7" cm="1">
        <f t="array" ref="T116">INDEX(GMWQ!$A$2:$LR$60,MATCH(1,(GMWQ!$LQ$2:$LQ$60=T$3)*(GMWQ!$LP$2:$LP$60=T$4)*(GMWQ!$LR$2:$LR$60=T$1),0),$B116-1966)</f>
        <v>29740</v>
      </c>
      <c r="U116" s="7" cm="1">
        <f t="array" ref="U116">INDEX(GMWQ!$A$2:$LR$60,MATCH(1,(GMWQ!$LQ$2:$LQ$60=U$3)*(GMWQ!$LP$2:$LP$60=U$4)*(GMWQ!$LR$2:$LR$60=U$1),0),$B116-1966)</f>
        <v>10212</v>
      </c>
      <c r="V116" s="7" cm="1">
        <f t="array" ref="V116">INDEX(GMWQ!$A$2:$LR$60,MATCH(1,(GMWQ!$LQ$2:$LQ$60=V$3)*(GMWQ!$LP$2:$LP$60=V$4)*(GMWQ!$LR$2:$LR$60=V$1),0),$B116-1966)</f>
        <v>2.9111369999999998E-3</v>
      </c>
      <c r="W116" s="7" cm="1">
        <f t="array" ref="W116">INDEX(GMWQ!$A$2:$LR$60,MATCH(1,(GMWQ!$LQ$2:$LQ$60=W$3)*(GMWQ!$LP$2:$LP$60=W$4)*(GMWQ!$LR$2:$LR$60=W$1),0),$B116-1966)</f>
        <v>19.699839999999998</v>
      </c>
      <c r="X116" s="7" cm="1">
        <f t="array" ref="X116">INDEX(GMWQ!$A$2:$LR$60,MATCH(1,(GMWQ!$LQ$2:$LQ$60=X$3)*(GMWQ!$LP$2:$LP$60=X$4)*(GMWQ!$LR$2:$LR$60=X$1),0),$B116-1966)</f>
        <v>1524406</v>
      </c>
      <c r="Y116" s="7" cm="1">
        <f t="array" ref="Y116">INDEX(GMWQ!$A$2:$LR$60,MATCH(1,(GMWQ!$LQ$2:$LQ$60=Y$3)*(GMWQ!$LP$2:$LP$60=Y$4)*(GMWQ!$LR$2:$LR$60=Y$1),0),$B116-1966)</f>
        <v>67.776769999999999</v>
      </c>
      <c r="Z116" s="7" cm="1">
        <f t="array" ref="Z116">INDEX(GMWQ!$A$2:$LR$60,MATCH(1,(GMWQ!$LQ$2:$LQ$60=Z$3)*(GMWQ!$LP$2:$LP$60=Z$4)*(GMWQ!$LR$2:$LR$60=Z$1),0),$B116-1966)</f>
        <v>388988.2</v>
      </c>
      <c r="AA116" s="7" cm="1">
        <f t="array" ref="AA116">INDEX(GMWQ!$A$2:$LR$60,MATCH(1,(GMWQ!$LQ$2:$LQ$60=AA$3)*(GMWQ!$LP$2:$LP$60=AA$4)*(GMWQ!$LR$2:$LR$60=AA$1),0),$B116-1966)</f>
        <v>97084</v>
      </c>
      <c r="AB116" s="7" cm="1">
        <f t="array" ref="AB116">INDEX(GMWQ!$A$2:$LR$60,MATCH(1,(GMWQ!$LQ$2:$LQ$60=AB$3)*(GMWQ!$LP$2:$LP$60=AB$4)*(GMWQ!$LR$2:$LR$60=AB$1),0),$B116-1966)</f>
        <v>87812</v>
      </c>
      <c r="AC116" s="7" cm="1">
        <f t="array" ref="AC116">INDEX(GMWQ!$A$2:$LR$60,MATCH(1,(GMWQ!$LQ$2:$LQ$60=AC$3)*(GMWQ!$LP$2:$LP$60=AC$4)*(GMWQ!$LR$2:$LR$60=AC$1),0),$B116-1966)</f>
        <v>-473</v>
      </c>
      <c r="AD116" s="7" cm="1">
        <f t="array" ref="AD116">INDEX(GMWQ!$A$2:$LR$60,MATCH(1,(GMWQ!$LQ$2:$LQ$60=AD$3)*(GMWQ!$LP$2:$LP$60=AD$4)*(GMWQ!$LR$2:$LR$60=AD$1),0),$B116-1966)</f>
        <v>6192</v>
      </c>
      <c r="AE116" s="7" cm="1">
        <f t="array" ref="AE116">INDEX(GMWQ!$A$2:$LR$60,MATCH(1,(GMWQ!$LQ$2:$LQ$60=AE$3)*(GMWQ!$LP$2:$LP$60=AE$4)*(GMWQ!$LR$2:$LR$60=AE$1),0),$B116-1966)</f>
        <v>273951</v>
      </c>
      <c r="AF116" s="20" cm="1">
        <f t="array" ref="AF116">INDEX(GMWQ!$A$2:$LR$60,MATCH(1,(GMWQ!$LQ$2:$LQ$60=AF$3)*(GMWQ!$LP$2:$LP$60=AF$4)*(GMWQ!$LR$2:$LR$60=AF$1),0),$B116-1966)</f>
        <v>6</v>
      </c>
      <c r="AG116" s="20" cm="1">
        <f t="array" ref="AG116">INDEX(GMWQ!$A$2:$LR$60,MATCH(1,(GMWQ!$LQ$2:$LQ$60=AG$3)*(GMWQ!$LP$2:$LP$60=AG$4)*(GMWQ!$LR$2:$LR$60=AG$1),0),$B116-1966)</f>
        <v>-898</v>
      </c>
      <c r="AI116" s="23" cm="1">
        <f t="array" ref="AI116">INDEX(GMWQ!$A$2:$LR$60,MATCH(1,(GMWQ!$LQ$2:$LQ$60=AI$3)*(GMWQ!$LP$2:$LP$60=AI$4)*(GMWQ!$LR$2:$LR$60=AI$1),0),$B116-1966)</f>
        <v>179736</v>
      </c>
      <c r="AJ116" s="23" cm="1">
        <f t="array" ref="AJ116">INDEX(GMWQ!$A$2:$LR$60,MATCH(1,(GMWQ!$LQ$2:$LQ$60=AJ$3)*(GMWQ!$LP$2:$LP$60=AJ$4)*(GMWQ!$LR$2:$LR$60=AJ$1),0),$B116-1966)</f>
        <v>73.001140000000007</v>
      </c>
      <c r="AK116" s="23" cm="1">
        <f t="array" ref="AK116">INDEX(GMWQ!$A$2:$LR$60,MATCH(1,(GMWQ!$LQ$2:$LQ$60=AK$3)*(GMWQ!$LP$2:$LP$60=AK$4)*(GMWQ!$LR$2:$LR$60=AK$1),0),$B116-1966)</f>
        <v>112629</v>
      </c>
      <c r="AL116" s="23" cm="1">
        <f t="array" ref="AL116">INDEX(GMWQ!$A$2:$LR$60,MATCH(1,(GMWQ!$LQ$2:$LQ$60=AL$3)*(GMWQ!$LP$2:$LP$60=AL$4)*(GMWQ!$LR$2:$LR$60=AL$1),0),$B116-1966)</f>
        <v>4701.4949999999999</v>
      </c>
      <c r="AM116" s="23" cm="1">
        <f t="array" ref="AM116">INDEX(GMWQ!$A$2:$LR$60,MATCH(1,(GMWQ!$LQ$2:$LQ$60=AM$3)*(GMWQ!$LP$2:$LP$60=AM$4)*(GMWQ!$LR$2:$LR$60=AM$1),0),$B116-1966)</f>
        <v>23956</v>
      </c>
      <c r="AN116" s="23" cm="1">
        <f t="array" ref="AN116">INDEX(GMWQ!$A$2:$LR$60,MATCH(1,(GMWQ!$LQ$2:$LQ$60=AN$3)*(GMWQ!$LP$2:$LP$60=AN$4)*(GMWQ!$LR$2:$LR$60=AN$1),0),$B116-1966)</f>
        <v>25999</v>
      </c>
      <c r="AO116" s="23" cm="1">
        <f t="array" ref="AO116">INDEX(GMWQ!$A$2:$LR$60,MATCH(1,(GMWQ!$LQ$2:$LQ$60=AO$3)*(GMWQ!$LP$2:$LP$60=AO$4)*(GMWQ!$LR$2:$LR$60=AO$1),0),$B116-1966)</f>
        <v>7317</v>
      </c>
      <c r="AP116" s="23" cm="1">
        <f t="array" ref="AP116">INDEX(GMWQ!$A$2:$LR$60,MATCH(1,(GMWQ!$LQ$2:$LQ$60=AP$3)*(GMWQ!$LP$2:$LP$60=AP$4)*(GMWQ!$LR$2:$LR$60=AP$1),0),$B116-1966)</f>
        <v>-898</v>
      </c>
      <c r="AQ116" s="23" cm="1">
        <f t="array" ref="AQ116">INDEX(GMWQ!$A$2:$LR$60,MATCH(1,(GMWQ!$LQ$2:$LQ$60=AQ$3)*(GMWQ!$LP$2:$LP$60=AQ$4)*(GMWQ!$LR$2:$LR$60=AQ$1),0),$B116-1966)</f>
        <v>26631</v>
      </c>
      <c r="AR116" s="23" cm="1">
        <f t="array" ref="AR116">INDEX(GMWQ!$A$2:$LR$60,MATCH(1,(GMWQ!$LQ$2:$LQ$60=AR$3)*(GMWQ!$LP$2:$LP$60=AR$4)*(GMWQ!$LR$2:$LR$60=AR$1),0),$B116-1966)</f>
        <v>176189</v>
      </c>
      <c r="AS116" s="23" cm="1">
        <f t="array" ref="AS116">INDEX(GMWQ!$A$2:$LR$60,MATCH(1,(GMWQ!$LQ$2:$LQ$60=AS$3)*(GMWQ!$LP$2:$LP$60=AS$4)*(GMWQ!$LR$2:$LR$60=AS$1),0),$B116-1966)</f>
        <v>4606</v>
      </c>
      <c r="AT116" s="23" cm="1">
        <f t="array" ref="AT116">INDEX(GMWQ!$A$2:$LR$60,MATCH(1,(GMWQ!$LQ$2:$LQ$60=AT$3)*(GMWQ!$LP$2:$LP$60=AT$4)*(GMWQ!$LR$2:$LR$60=AT$1),0),$B116-1966)</f>
        <v>241351</v>
      </c>
      <c r="AU116" s="23" cm="1">
        <f t="array" ref="AU116">INDEX(GMWQ!$A$2:$LR$60,MATCH(1,(GMWQ!$LQ$2:$LQ$60=AU$3)*(GMWQ!$LP$2:$LP$60=AU$4)*(GMWQ!$LR$2:$LR$60=AU$1),0),$B116-1966)</f>
        <v>9364</v>
      </c>
    </row>
    <row r="117" spans="1:47" x14ac:dyDescent="0.35">
      <c r="B117" s="7">
        <f t="shared" si="3"/>
        <v>2083</v>
      </c>
      <c r="C117" s="7" cm="1">
        <f t="array" ref="C117">INDEX(GMWQ!$A$2:$LR$60,MATCH(1,(GMWQ!$LQ$2:$LQ$60=C$3)*(GMWQ!$LP$2:$LP$60=C$4)*(GMWQ!$LR$2:$LR$60=C$1),0),$B117-1966)</f>
        <v>406795</v>
      </c>
      <c r="D117" s="7" cm="1">
        <f t="array" ref="D117">INDEX(GMWQ!$A$2:$LR$60,MATCH(1,(GMWQ!$LQ$2:$LQ$60=D$3)*(GMWQ!$LP$2:$LP$60=D$4)*(GMWQ!$LR$2:$LR$60=D$1),0),$B117-1966)</f>
        <v>315</v>
      </c>
      <c r="E117" s="7" cm="1">
        <f t="array" ref="E117">INDEX(GMWQ!$A$2:$LR$60,MATCH(1,(GMWQ!$LQ$2:$LQ$60=E$3)*(GMWQ!$LP$2:$LP$60=E$4)*(GMWQ!$LR$2:$LR$60=E$1),0),$B117-1966)</f>
        <v>72.7</v>
      </c>
      <c r="F117" s="7" cm="1">
        <f t="array" ref="F117">INDEX(GMWQ!$A$2:$LR$60,MATCH(1,(GMWQ!$LQ$2:$LQ$60=F$3)*(GMWQ!$LP$2:$LP$60=F$4)*(GMWQ!$LR$2:$LR$60=F$1),0),$B117-1966)</f>
        <v>115403</v>
      </c>
      <c r="G117" s="7" cm="1">
        <f t="array" ref="G117">INDEX(GMWQ!$A$2:$LR$60,MATCH(1,(GMWQ!$LQ$2:$LQ$60=G$3)*(GMWQ!$LP$2:$LP$60=G$4)*(GMWQ!$LR$2:$LR$60=G$1),0),$B117-1966)</f>
        <v>27033</v>
      </c>
      <c r="H117" s="7" cm="1">
        <f t="array" ref="H117">INDEX(GMWQ!$A$2:$LR$60,MATCH(1,(GMWQ!$LQ$2:$LQ$60=H$3)*(GMWQ!$LP$2:$LP$60=H$4)*(GMWQ!$LR$2:$LR$60=H$1),0),$B117-1966)</f>
        <v>7178</v>
      </c>
      <c r="I117" s="7" cm="1">
        <f t="array" ref="I117">INDEX(GMWQ!$A$2:$LR$60,MATCH(1,(GMWQ!$LQ$2:$LQ$60=I$3)*(GMWQ!$LP$2:$LP$60=I$4)*(GMWQ!$LR$2:$LR$60=I$1),0),$B117-1966)</f>
        <v>73.088419999999999</v>
      </c>
      <c r="J117" s="7" cm="1">
        <f t="array" ref="J117">INDEX(GMWQ!$A$2:$LR$60,MATCH(1,(GMWQ!$LQ$2:$LQ$60=J$3)*(GMWQ!$LP$2:$LP$60=J$4)*(GMWQ!$LR$2:$LR$60=J$1),0),$B117-1966)</f>
        <v>24030</v>
      </c>
      <c r="K117" s="7" cm="1">
        <f t="array" ref="K117">INDEX(GMWQ!$A$2:$LR$60,MATCH(1,(GMWQ!$LQ$2:$LQ$60=K$3)*(GMWQ!$LP$2:$LP$60=K$4)*(GMWQ!$LR$2:$LR$60=K$1),0),$B117-1966)</f>
        <v>6</v>
      </c>
      <c r="L117" s="7" cm="1">
        <f t="array" ref="L117">INDEX(GMWQ!$A$2:$LR$60,MATCH(1,(GMWQ!$LQ$2:$LQ$60=L$3)*(GMWQ!$LP$2:$LP$60=L$4)*(GMWQ!$LR$2:$LR$60=L$1),0),$B117-1966)</f>
        <v>5.3</v>
      </c>
      <c r="M117" s="7" cm="1">
        <f t="array" ref="M117">INDEX(GMWQ!$A$2:$LR$60,MATCH(1,(GMWQ!$LQ$2:$LQ$60=M$3)*(GMWQ!$LP$2:$LP$60=M$4)*(GMWQ!$LR$2:$LR$60=M$1),0),$B117-1966)</f>
        <v>47.651899999999998</v>
      </c>
      <c r="N117" s="7" cm="1">
        <f t="array" ref="N117">INDEX(GMWQ!$A$2:$LR$60,MATCH(1,(GMWQ!$LQ$2:$LQ$60=N$3)*(GMWQ!$LP$2:$LP$60=N$4)*(GMWQ!$LR$2:$LR$60=N$1),0),$B117-1966)</f>
        <v>10597</v>
      </c>
      <c r="O117" s="7" cm="1">
        <f t="array" ref="O117">INDEX(GMWQ!$A$2:$LR$60,MATCH(1,(GMWQ!$LQ$2:$LQ$60=O$3)*(GMWQ!$LP$2:$LP$60=O$4)*(GMWQ!$LR$2:$LR$60=O$1),0),$B117-1966)</f>
        <v>9748</v>
      </c>
      <c r="P117" s="7" cm="1">
        <f t="array" ref="P117">INDEX(GMWQ!$A$2:$LR$60,MATCH(1,(GMWQ!$LQ$2:$LQ$60=P$3)*(GMWQ!$LP$2:$LP$60=P$4)*(GMWQ!$LR$2:$LR$60=P$1),0),$B117-1966)</f>
        <v>183422</v>
      </c>
      <c r="Q117" s="7" cm="1">
        <f t="array" ref="Q117">INDEX(GMWQ!$A$2:$LR$60,MATCH(1,(GMWQ!$LQ$2:$LQ$60=Q$3)*(GMWQ!$LP$2:$LP$60=Q$4)*(GMWQ!$LR$2:$LR$60=Q$1),0),$B117-1966)</f>
        <v>7.1133329999999999</v>
      </c>
      <c r="R117" s="7" cm="1">
        <f t="array" ref="R117">INDEX(GMWQ!$A$2:$LR$60,MATCH(1,(GMWQ!$LQ$2:$LQ$60=R$3)*(GMWQ!$LP$2:$LP$60=R$4)*(GMWQ!$LR$2:$LR$60=R$1),0),$B117-1966)</f>
        <v>272049</v>
      </c>
      <c r="S117" s="7" cm="1">
        <f t="array" ref="S117">INDEX(GMWQ!$A$2:$LR$60,MATCH(1,(GMWQ!$LQ$2:$LQ$60=S$3)*(GMWQ!$LP$2:$LP$60=S$4)*(GMWQ!$LR$2:$LR$60=S$1),0),$B117-1966)</f>
        <v>346</v>
      </c>
      <c r="T117" s="7" cm="1">
        <f t="array" ref="T117">INDEX(GMWQ!$A$2:$LR$60,MATCH(1,(GMWQ!$LQ$2:$LQ$60=T$3)*(GMWQ!$LP$2:$LP$60=T$4)*(GMWQ!$LR$2:$LR$60=T$1),0),$B117-1966)</f>
        <v>28625</v>
      </c>
      <c r="U117" s="7" cm="1">
        <f t="array" ref="U117">INDEX(GMWQ!$A$2:$LR$60,MATCH(1,(GMWQ!$LQ$2:$LQ$60=U$3)*(GMWQ!$LP$2:$LP$60=U$4)*(GMWQ!$LR$2:$LR$60=U$1),0),$B117-1966)</f>
        <v>8864</v>
      </c>
      <c r="V117" s="7" cm="1">
        <f t="array" ref="V117">INDEX(GMWQ!$A$2:$LR$60,MATCH(1,(GMWQ!$LQ$2:$LQ$60=V$3)*(GMWQ!$LP$2:$LP$60=V$4)*(GMWQ!$LR$2:$LR$60=V$1),0),$B117-1966)</f>
        <v>2.8522859999999999E-3</v>
      </c>
      <c r="W117" s="7" cm="1">
        <f t="array" ref="W117">INDEX(GMWQ!$A$2:$LR$60,MATCH(1,(GMWQ!$LQ$2:$LQ$60=W$3)*(GMWQ!$LP$2:$LP$60=W$4)*(GMWQ!$LR$2:$LR$60=W$1),0),$B117-1966)</f>
        <v>20.997479999999999</v>
      </c>
      <c r="X117" s="7" cm="1">
        <f t="array" ref="X117">INDEX(GMWQ!$A$2:$LR$60,MATCH(1,(GMWQ!$LQ$2:$LQ$60=X$3)*(GMWQ!$LP$2:$LP$60=X$4)*(GMWQ!$LR$2:$LR$60=X$1),0),$B117-1966)</f>
        <v>1551192</v>
      </c>
      <c r="Y117" s="7" cm="1">
        <f t="array" ref="Y117">INDEX(GMWQ!$A$2:$LR$60,MATCH(1,(GMWQ!$LQ$2:$LQ$60=Y$3)*(GMWQ!$LP$2:$LP$60=Y$4)*(GMWQ!$LR$2:$LR$60=Y$1),0),$B117-1966)</f>
        <v>67.91283</v>
      </c>
      <c r="Z117" s="7" cm="1">
        <f t="array" ref="Z117">INDEX(GMWQ!$A$2:$LR$60,MATCH(1,(GMWQ!$LQ$2:$LQ$60=Z$3)*(GMWQ!$LP$2:$LP$60=Z$4)*(GMWQ!$LR$2:$LR$60=Z$1),0),$B117-1966)</f>
        <v>391913.2</v>
      </c>
      <c r="AA117" s="7" cm="1">
        <f t="array" ref="AA117">INDEX(GMWQ!$A$2:$LR$60,MATCH(1,(GMWQ!$LQ$2:$LQ$60=AA$3)*(GMWQ!$LP$2:$LP$60=AA$4)*(GMWQ!$LR$2:$LR$60=AA$1),0),$B117-1966)</f>
        <v>101374</v>
      </c>
      <c r="AB117" s="7" cm="1">
        <f t="array" ref="AB117">INDEX(GMWQ!$A$2:$LR$60,MATCH(1,(GMWQ!$LQ$2:$LQ$60=AB$3)*(GMWQ!$LP$2:$LP$60=AB$4)*(GMWQ!$LR$2:$LR$60=AB$1),0),$B117-1966)</f>
        <v>90514</v>
      </c>
      <c r="AC117" s="7" cm="1">
        <f t="array" ref="AC117">INDEX(GMWQ!$A$2:$LR$60,MATCH(1,(GMWQ!$LQ$2:$LQ$60=AC$3)*(GMWQ!$LP$2:$LP$60=AC$4)*(GMWQ!$LR$2:$LR$60=AC$1),0),$B117-1966)</f>
        <v>207</v>
      </c>
      <c r="AD117" s="7" cm="1">
        <f t="array" ref="AD117">INDEX(GMWQ!$A$2:$LR$60,MATCH(1,(GMWQ!$LQ$2:$LQ$60=AD$3)*(GMWQ!$LP$2:$LP$60=AD$4)*(GMWQ!$LR$2:$LR$60=AD$1),0),$B117-1966)</f>
        <v>6246</v>
      </c>
      <c r="AE117" s="7" cm="1">
        <f t="array" ref="AE117">INDEX(GMWQ!$A$2:$LR$60,MATCH(1,(GMWQ!$LQ$2:$LQ$60=AE$3)*(GMWQ!$LP$2:$LP$60=AE$4)*(GMWQ!$LR$2:$LR$60=AE$1),0),$B117-1966)</f>
        <v>276266</v>
      </c>
      <c r="AF117" s="20" cm="1">
        <f t="array" ref="AF117">INDEX(GMWQ!$A$2:$LR$60,MATCH(1,(GMWQ!$LQ$2:$LQ$60=AF$3)*(GMWQ!$LP$2:$LP$60=AF$4)*(GMWQ!$LR$2:$LR$60=AF$1),0),$B117-1966)</f>
        <v>6</v>
      </c>
      <c r="AG117" s="20" cm="1">
        <f t="array" ref="AG117">INDEX(GMWQ!$A$2:$LR$60,MATCH(1,(GMWQ!$LQ$2:$LQ$60=AG$3)*(GMWQ!$LP$2:$LP$60=AG$4)*(GMWQ!$LR$2:$LR$60=AG$1),0),$B117-1966)</f>
        <v>-849</v>
      </c>
      <c r="AI117" s="23" cm="1">
        <f t="array" ref="AI117">INDEX(GMWQ!$A$2:$LR$60,MATCH(1,(GMWQ!$LQ$2:$LQ$60=AI$3)*(GMWQ!$LP$2:$LP$60=AI$4)*(GMWQ!$LR$2:$LR$60=AI$1),0),$B117-1966)</f>
        <v>183422</v>
      </c>
      <c r="AJ117" s="23" cm="1">
        <f t="array" ref="AJ117">INDEX(GMWQ!$A$2:$LR$60,MATCH(1,(GMWQ!$LQ$2:$LQ$60=AJ$3)*(GMWQ!$LP$2:$LP$60=AJ$4)*(GMWQ!$LR$2:$LR$60=AJ$1),0),$B117-1966)</f>
        <v>73.088419999999999</v>
      </c>
      <c r="AK117" s="23" cm="1">
        <f t="array" ref="AK117">INDEX(GMWQ!$A$2:$LR$60,MATCH(1,(GMWQ!$LQ$2:$LQ$60=AK$3)*(GMWQ!$LP$2:$LP$60=AK$4)*(GMWQ!$LR$2:$LR$60=AK$1),0),$B117-1966)</f>
        <v>115403</v>
      </c>
      <c r="AL117" s="23" cm="1">
        <f t="array" ref="AL117">INDEX(GMWQ!$A$2:$LR$60,MATCH(1,(GMWQ!$LQ$2:$LQ$60=AL$3)*(GMWQ!$LP$2:$LP$60=AL$4)*(GMWQ!$LR$2:$LR$60=AL$1),0),$B117-1966)</f>
        <v>4802.4549999999999</v>
      </c>
      <c r="AM117" s="23" cm="1">
        <f t="array" ref="AM117">INDEX(GMWQ!$A$2:$LR$60,MATCH(1,(GMWQ!$LQ$2:$LQ$60=AM$3)*(GMWQ!$LP$2:$LP$60=AM$4)*(GMWQ!$LR$2:$LR$60=AM$1),0),$B117-1966)</f>
        <v>24030</v>
      </c>
      <c r="AN117" s="23" cm="1">
        <f t="array" ref="AN117">INDEX(GMWQ!$A$2:$LR$60,MATCH(1,(GMWQ!$LQ$2:$LQ$60=AN$3)*(GMWQ!$LP$2:$LP$60=AN$4)*(GMWQ!$LR$2:$LR$60=AN$1),0),$B117-1966)</f>
        <v>27033</v>
      </c>
      <c r="AO117" s="23" cm="1">
        <f t="array" ref="AO117">INDEX(GMWQ!$A$2:$LR$60,MATCH(1,(GMWQ!$LQ$2:$LQ$60=AO$3)*(GMWQ!$LP$2:$LP$60=AO$4)*(GMWQ!$LR$2:$LR$60=AO$1),0),$B117-1966)</f>
        <v>7178</v>
      </c>
      <c r="AP117" s="23" cm="1">
        <f t="array" ref="AP117">INDEX(GMWQ!$A$2:$LR$60,MATCH(1,(GMWQ!$LQ$2:$LQ$60=AP$3)*(GMWQ!$LP$2:$LP$60=AP$4)*(GMWQ!$LR$2:$LR$60=AP$1),0),$B117-1966)</f>
        <v>-849</v>
      </c>
      <c r="AQ117" s="23" cm="1">
        <f t="array" ref="AQ117">INDEX(GMWQ!$A$2:$LR$60,MATCH(1,(GMWQ!$LQ$2:$LQ$60=AQ$3)*(GMWQ!$LP$2:$LP$60=AQ$4)*(GMWQ!$LR$2:$LR$60=AQ$1),0),$B117-1966)</f>
        <v>26839</v>
      </c>
      <c r="AR117" s="23" cm="1">
        <f t="array" ref="AR117">INDEX(GMWQ!$A$2:$LR$60,MATCH(1,(GMWQ!$LQ$2:$LQ$60=AR$3)*(GMWQ!$LP$2:$LP$60=AR$4)*(GMWQ!$LR$2:$LR$60=AR$1),0),$B117-1966)</f>
        <v>178517</v>
      </c>
      <c r="AS117" s="23" cm="1">
        <f t="array" ref="AS117">INDEX(GMWQ!$A$2:$LR$60,MATCH(1,(GMWQ!$LQ$2:$LQ$60=AS$3)*(GMWQ!$LP$2:$LP$60=AS$4)*(GMWQ!$LR$2:$LR$60=AS$1),0),$B117-1966)</f>
        <v>4735</v>
      </c>
      <c r="AT117" s="23" cm="1">
        <f t="array" ref="AT117">INDEX(GMWQ!$A$2:$LR$60,MATCH(1,(GMWQ!$LQ$2:$LQ$60=AT$3)*(GMWQ!$LP$2:$LP$60=AT$4)*(GMWQ!$LR$2:$LR$60=AT$1),0),$B117-1966)</f>
        <v>244248</v>
      </c>
      <c r="AU117" s="23" cm="1">
        <f t="array" ref="AU117">INDEX(GMWQ!$A$2:$LR$60,MATCH(1,(GMWQ!$LQ$2:$LQ$60=AU$3)*(GMWQ!$LP$2:$LP$60=AU$4)*(GMWQ!$LR$2:$LR$60=AU$1),0),$B117-1966)</f>
        <v>9524</v>
      </c>
    </row>
    <row r="118" spans="1:47" x14ac:dyDescent="0.35">
      <c r="B118" s="7">
        <f t="shared" si="3"/>
        <v>2084</v>
      </c>
      <c r="C118" s="7" cm="1">
        <f t="array" ref="C118">INDEX(GMWQ!$A$2:$LR$60,MATCH(1,(GMWQ!$LQ$2:$LQ$60=C$3)*(GMWQ!$LP$2:$LP$60=C$4)*(GMWQ!$LR$2:$LR$60=C$1),0),$B118-1966)</f>
        <v>409411</v>
      </c>
      <c r="D118" s="7" cm="1">
        <f t="array" ref="D118">INDEX(GMWQ!$A$2:$LR$60,MATCH(1,(GMWQ!$LQ$2:$LQ$60=D$3)*(GMWQ!$LP$2:$LP$60=D$4)*(GMWQ!$LR$2:$LR$60=D$1),0),$B118-1966)</f>
        <v>320.33330000000001</v>
      </c>
      <c r="E118" s="7" cm="1">
        <f t="array" ref="E118">INDEX(GMWQ!$A$2:$LR$60,MATCH(1,(GMWQ!$LQ$2:$LQ$60=E$3)*(GMWQ!$LP$2:$LP$60=E$4)*(GMWQ!$LR$2:$LR$60=E$1),0),$B118-1966)</f>
        <v>73.166659999999993</v>
      </c>
      <c r="F118" s="7" cm="1">
        <f t="array" ref="F118">INDEX(GMWQ!$A$2:$LR$60,MATCH(1,(GMWQ!$LQ$2:$LQ$60=F$3)*(GMWQ!$LP$2:$LP$60=F$4)*(GMWQ!$LR$2:$LR$60=F$1),0),$B118-1966)</f>
        <v>117809</v>
      </c>
      <c r="G118" s="7" cm="1">
        <f t="array" ref="G118">INDEX(GMWQ!$A$2:$LR$60,MATCH(1,(GMWQ!$LQ$2:$LQ$60=G$3)*(GMWQ!$LP$2:$LP$60=G$4)*(GMWQ!$LR$2:$LR$60=G$1),0),$B118-1966)</f>
        <v>27472</v>
      </c>
      <c r="H118" s="7" cm="1">
        <f t="array" ref="H118">INDEX(GMWQ!$A$2:$LR$60,MATCH(1,(GMWQ!$LQ$2:$LQ$60=H$3)*(GMWQ!$LP$2:$LP$60=H$4)*(GMWQ!$LR$2:$LR$60=H$1),0),$B118-1966)</f>
        <v>7625</v>
      </c>
      <c r="I118" s="7" cm="1">
        <f t="array" ref="I118">INDEX(GMWQ!$A$2:$LR$60,MATCH(1,(GMWQ!$LQ$2:$LQ$60=I$3)*(GMWQ!$LP$2:$LP$60=I$4)*(GMWQ!$LR$2:$LR$60=I$1),0),$B118-1966)</f>
        <v>72.975189999999998</v>
      </c>
      <c r="J118" s="7" cm="1">
        <f t="array" ref="J118">INDEX(GMWQ!$A$2:$LR$60,MATCH(1,(GMWQ!$LQ$2:$LQ$60=J$3)*(GMWQ!$LP$2:$LP$60=J$4)*(GMWQ!$LR$2:$LR$60=J$1),0),$B118-1966)</f>
        <v>24088</v>
      </c>
      <c r="K118" s="7" cm="1">
        <f t="array" ref="K118">INDEX(GMWQ!$A$2:$LR$60,MATCH(1,(GMWQ!$LQ$2:$LQ$60=K$3)*(GMWQ!$LP$2:$LP$60=K$4)*(GMWQ!$LR$2:$LR$60=K$1),0),$B118-1966)</f>
        <v>6</v>
      </c>
      <c r="L118" s="7" cm="1">
        <f t="array" ref="L118">INDEX(GMWQ!$A$2:$LR$60,MATCH(1,(GMWQ!$LQ$2:$LQ$60=L$3)*(GMWQ!$LP$2:$LP$60=L$4)*(GMWQ!$LR$2:$LR$60=L$1),0),$B118-1966)</f>
        <v>5.2</v>
      </c>
      <c r="M118" s="7" cm="1">
        <f t="array" ref="M118">INDEX(GMWQ!$A$2:$LR$60,MATCH(1,(GMWQ!$LQ$2:$LQ$60=M$3)*(GMWQ!$LP$2:$LP$60=M$4)*(GMWQ!$LR$2:$LR$60=M$1),0),$B118-1966)</f>
        <v>49.97213</v>
      </c>
      <c r="N118" s="7" cm="1">
        <f t="array" ref="N118">INDEX(GMWQ!$A$2:$LR$60,MATCH(1,(GMWQ!$LQ$2:$LQ$60=N$3)*(GMWQ!$LP$2:$LP$60=N$4)*(GMWQ!$LR$2:$LR$60=N$1),0),$B118-1966)</f>
        <v>10710</v>
      </c>
      <c r="O118" s="7" cm="1">
        <f t="array" ref="O118">INDEX(GMWQ!$A$2:$LR$60,MATCH(1,(GMWQ!$LQ$2:$LQ$60=O$3)*(GMWQ!$LP$2:$LP$60=O$4)*(GMWQ!$LR$2:$LR$60=O$1),0),$B118-1966)</f>
        <v>8479</v>
      </c>
      <c r="P118" s="7" cm="1">
        <f t="array" ref="P118">INDEX(GMWQ!$A$2:$LR$60,MATCH(1,(GMWQ!$LQ$2:$LQ$60=P$3)*(GMWQ!$LP$2:$LP$60=P$4)*(GMWQ!$LR$2:$LR$60=P$1),0),$B118-1966)</f>
        <v>186264</v>
      </c>
      <c r="Q118" s="7" cm="1">
        <f t="array" ref="Q118">INDEX(GMWQ!$A$2:$LR$60,MATCH(1,(GMWQ!$LQ$2:$LQ$60=Q$3)*(GMWQ!$LP$2:$LP$60=Q$4)*(GMWQ!$LR$2:$LR$60=Q$1),0),$B118-1966)</f>
        <v>7.056667</v>
      </c>
      <c r="R118" s="7" cm="1">
        <f t="array" ref="R118">INDEX(GMWQ!$A$2:$LR$60,MATCH(1,(GMWQ!$LQ$2:$LQ$60=R$3)*(GMWQ!$LP$2:$LP$60=R$4)*(GMWQ!$LR$2:$LR$60=R$1),0),$B118-1966)</f>
        <v>290480</v>
      </c>
      <c r="S118" s="7" cm="1">
        <f t="array" ref="S118">INDEX(GMWQ!$A$2:$LR$60,MATCH(1,(GMWQ!$LQ$2:$LQ$60=S$3)*(GMWQ!$LP$2:$LP$60=S$4)*(GMWQ!$LR$2:$LR$60=S$1),0),$B118-1966)</f>
        <v>337</v>
      </c>
      <c r="T118" s="7" cm="1">
        <f t="array" ref="T118">INDEX(GMWQ!$A$2:$LR$60,MATCH(1,(GMWQ!$LQ$2:$LQ$60=T$3)*(GMWQ!$LP$2:$LP$60=T$4)*(GMWQ!$LR$2:$LR$60=T$1),0),$B118-1966)</f>
        <v>30575</v>
      </c>
      <c r="U118" s="7" cm="1">
        <f t="array" ref="U118">INDEX(GMWQ!$A$2:$LR$60,MATCH(1,(GMWQ!$LQ$2:$LQ$60=U$3)*(GMWQ!$LP$2:$LP$60=U$4)*(GMWQ!$LR$2:$LR$60=U$1),0),$B118-1966)</f>
        <v>9956</v>
      </c>
      <c r="V118" s="7" cm="1">
        <f t="array" ref="V118">INDEX(GMWQ!$A$2:$LR$60,MATCH(1,(GMWQ!$LQ$2:$LQ$60=V$3)*(GMWQ!$LP$2:$LP$60=V$4)*(GMWQ!$LR$2:$LR$60=V$1),0),$B118-1966)</f>
        <v>2.8766220000000001E-3</v>
      </c>
      <c r="W118" s="7" cm="1">
        <f t="array" ref="W118">INDEX(GMWQ!$A$2:$LR$60,MATCH(1,(GMWQ!$LQ$2:$LQ$60=W$3)*(GMWQ!$LP$2:$LP$60=W$4)*(GMWQ!$LR$2:$LR$60=W$1),0),$B118-1966)</f>
        <v>21.606310000000001</v>
      </c>
      <c r="X118" s="7" cm="1">
        <f t="array" ref="X118">INDEX(GMWQ!$A$2:$LR$60,MATCH(1,(GMWQ!$LQ$2:$LQ$60=X$3)*(GMWQ!$LP$2:$LP$60=X$4)*(GMWQ!$LR$2:$LR$60=X$1),0),$B118-1966)</f>
        <v>1570851</v>
      </c>
      <c r="Y118" s="7" cm="1">
        <f t="array" ref="Y118">INDEX(GMWQ!$A$2:$LR$60,MATCH(1,(GMWQ!$LQ$2:$LQ$60=Y$3)*(GMWQ!$LP$2:$LP$60=Y$4)*(GMWQ!$LR$2:$LR$60=Y$1),0),$B118-1966)</f>
        <v>68.000619999999998</v>
      </c>
      <c r="Z118" s="7" cm="1">
        <f t="array" ref="Z118">INDEX(GMWQ!$A$2:$LR$60,MATCH(1,(GMWQ!$LQ$2:$LQ$60=Z$3)*(GMWQ!$LP$2:$LP$60=Z$4)*(GMWQ!$LR$2:$LR$60=Z$1),0),$B118-1966)</f>
        <v>396055.9</v>
      </c>
      <c r="AA118" s="7" cm="1">
        <f t="array" ref="AA118">INDEX(GMWQ!$A$2:$LR$60,MATCH(1,(GMWQ!$LQ$2:$LQ$60=AA$3)*(GMWQ!$LP$2:$LP$60=AA$4)*(GMWQ!$LR$2:$LR$60=AA$1),0),$B118-1966)</f>
        <v>95613</v>
      </c>
      <c r="AB118" s="7" cm="1">
        <f t="array" ref="AB118">INDEX(GMWQ!$A$2:$LR$60,MATCH(1,(GMWQ!$LQ$2:$LQ$60=AB$3)*(GMWQ!$LP$2:$LP$60=AB$4)*(GMWQ!$LR$2:$LR$60=AB$1),0),$B118-1966)</f>
        <v>92093</v>
      </c>
      <c r="AC118" s="7" cm="1">
        <f t="array" ref="AC118">INDEX(GMWQ!$A$2:$LR$60,MATCH(1,(GMWQ!$LQ$2:$LQ$60=AC$3)*(GMWQ!$LP$2:$LP$60=AC$4)*(GMWQ!$LR$2:$LR$60=AC$1),0),$B118-1966)</f>
        <v>1011</v>
      </c>
      <c r="AD118" s="7" cm="1">
        <f t="array" ref="AD118">INDEX(GMWQ!$A$2:$LR$60,MATCH(1,(GMWQ!$LQ$2:$LQ$60=AD$3)*(GMWQ!$LP$2:$LP$60=AD$4)*(GMWQ!$LR$2:$LR$60=AD$1),0),$B118-1966)</f>
        <v>6328</v>
      </c>
      <c r="AE118" s="7" cm="1">
        <f t="array" ref="AE118">INDEX(GMWQ!$A$2:$LR$60,MATCH(1,(GMWQ!$LQ$2:$LQ$60=AE$3)*(GMWQ!$LP$2:$LP$60=AE$4)*(GMWQ!$LR$2:$LR$60=AE$1),0),$B118-1966)</f>
        <v>278402</v>
      </c>
      <c r="AF118" s="20" cm="1">
        <f t="array" ref="AF118">INDEX(GMWQ!$A$2:$LR$60,MATCH(1,(GMWQ!$LQ$2:$LQ$60=AF$3)*(GMWQ!$LP$2:$LP$60=AF$4)*(GMWQ!$LR$2:$LR$60=AF$1),0),$B118-1966)</f>
        <v>6</v>
      </c>
      <c r="AG118" s="20" cm="1">
        <f t="array" ref="AG118">INDEX(GMWQ!$A$2:$LR$60,MATCH(1,(GMWQ!$LQ$2:$LQ$60=AG$3)*(GMWQ!$LP$2:$LP$60=AG$4)*(GMWQ!$LR$2:$LR$60=AG$1),0),$B118-1966)</f>
        <v>-2231</v>
      </c>
      <c r="AI118" s="23" cm="1">
        <f t="array" ref="AI118">INDEX(GMWQ!$A$2:$LR$60,MATCH(1,(GMWQ!$LQ$2:$LQ$60=AI$3)*(GMWQ!$LP$2:$LP$60=AI$4)*(GMWQ!$LR$2:$LR$60=AI$1),0),$B118-1966)</f>
        <v>186264</v>
      </c>
      <c r="AJ118" s="23" cm="1">
        <f t="array" ref="AJ118">INDEX(GMWQ!$A$2:$LR$60,MATCH(1,(GMWQ!$LQ$2:$LQ$60=AJ$3)*(GMWQ!$LP$2:$LP$60=AJ$4)*(GMWQ!$LR$2:$LR$60=AJ$1),0),$B118-1966)</f>
        <v>72.975189999999998</v>
      </c>
      <c r="AK118" s="23" cm="1">
        <f t="array" ref="AK118">INDEX(GMWQ!$A$2:$LR$60,MATCH(1,(GMWQ!$LQ$2:$LQ$60=AK$3)*(GMWQ!$LP$2:$LP$60=AK$4)*(GMWQ!$LR$2:$LR$60=AK$1),0),$B118-1966)</f>
        <v>117809</v>
      </c>
      <c r="AL118" s="23" cm="1">
        <f t="array" ref="AL118">INDEX(GMWQ!$A$2:$LR$60,MATCH(1,(GMWQ!$LQ$2:$LQ$60=AL$3)*(GMWQ!$LP$2:$LP$60=AL$4)*(GMWQ!$LR$2:$LR$60=AL$1),0),$B118-1966)</f>
        <v>4890.7749999999996</v>
      </c>
      <c r="AM118" s="23" cm="1">
        <f t="array" ref="AM118">INDEX(GMWQ!$A$2:$LR$60,MATCH(1,(GMWQ!$LQ$2:$LQ$60=AM$3)*(GMWQ!$LP$2:$LP$60=AM$4)*(GMWQ!$LR$2:$LR$60=AM$1),0),$B118-1966)</f>
        <v>24088</v>
      </c>
      <c r="AN118" s="23" cm="1">
        <f t="array" ref="AN118">INDEX(GMWQ!$A$2:$LR$60,MATCH(1,(GMWQ!$LQ$2:$LQ$60=AN$3)*(GMWQ!$LP$2:$LP$60=AN$4)*(GMWQ!$LR$2:$LR$60=AN$1),0),$B118-1966)</f>
        <v>27472</v>
      </c>
      <c r="AO118" s="23" cm="1">
        <f t="array" ref="AO118">INDEX(GMWQ!$A$2:$LR$60,MATCH(1,(GMWQ!$LQ$2:$LQ$60=AO$3)*(GMWQ!$LP$2:$LP$60=AO$4)*(GMWQ!$LR$2:$LR$60=AO$1),0),$B118-1966)</f>
        <v>7625</v>
      </c>
      <c r="AP118" s="23" cm="1">
        <f t="array" ref="AP118">INDEX(GMWQ!$A$2:$LR$60,MATCH(1,(GMWQ!$LQ$2:$LQ$60=AP$3)*(GMWQ!$LP$2:$LP$60=AP$4)*(GMWQ!$LR$2:$LR$60=AP$1),0),$B118-1966)</f>
        <v>-2231</v>
      </c>
      <c r="AQ118" s="23" cm="1">
        <f t="array" ref="AQ118">INDEX(GMWQ!$A$2:$LR$60,MATCH(1,(GMWQ!$LQ$2:$LQ$60=AQ$3)*(GMWQ!$LP$2:$LP$60=AQ$4)*(GMWQ!$LR$2:$LR$60=AQ$1),0),$B118-1966)</f>
        <v>27794</v>
      </c>
      <c r="AR118" s="23" cm="1">
        <f t="array" ref="AR118">INDEX(GMWQ!$A$2:$LR$60,MATCH(1,(GMWQ!$LQ$2:$LQ$60=AR$3)*(GMWQ!$LP$2:$LP$60=AR$4)*(GMWQ!$LR$2:$LR$60=AR$1),0),$B118-1966)</f>
        <v>180013</v>
      </c>
      <c r="AS118" s="23" cm="1">
        <f t="array" ref="AS118">INDEX(GMWQ!$A$2:$LR$60,MATCH(1,(GMWQ!$LQ$2:$LQ$60=AS$3)*(GMWQ!$LP$2:$LP$60=AS$4)*(GMWQ!$LR$2:$LR$60=AS$1),0),$B118-1966)</f>
        <v>4836</v>
      </c>
      <c r="AT118" s="23" cm="1">
        <f t="array" ref="AT118">INDEX(GMWQ!$A$2:$LR$60,MATCH(1,(GMWQ!$LQ$2:$LQ$60=AT$3)*(GMWQ!$LP$2:$LP$60=AT$4)*(GMWQ!$LR$2:$LR$60=AT$1),0),$B118-1966)</f>
        <v>246677</v>
      </c>
      <c r="AU118" s="23" cm="1">
        <f t="array" ref="AU118">INDEX(GMWQ!$A$2:$LR$60,MATCH(1,(GMWQ!$LQ$2:$LQ$60=AU$3)*(GMWQ!$LP$2:$LP$60=AU$4)*(GMWQ!$LR$2:$LR$60=AU$1),0),$B118-1966)</f>
        <v>9550</v>
      </c>
    </row>
    <row r="119" spans="1:47" x14ac:dyDescent="0.35">
      <c r="A119" s="7">
        <v>2001</v>
      </c>
      <c r="B119" s="7">
        <f t="shared" si="3"/>
        <v>2085</v>
      </c>
      <c r="C119" s="7" cm="1">
        <f t="array" ref="C119">INDEX(GMWQ!$A$2:$LR$60,MATCH(1,(GMWQ!$LQ$2:$LQ$60=C$3)*(GMWQ!$LP$2:$LP$60=C$4)*(GMWQ!$LR$2:$LR$60=C$1),0),$B119-1966)</f>
        <v>413054</v>
      </c>
      <c r="D119" s="7" cm="1">
        <f t="array" ref="D119">INDEX(GMWQ!$A$2:$LR$60,MATCH(1,(GMWQ!$LQ$2:$LQ$60=D$3)*(GMWQ!$LP$2:$LP$60=D$4)*(GMWQ!$LR$2:$LR$60=D$1),0),$B119-1966)</f>
        <v>324</v>
      </c>
      <c r="E119" s="7" cm="1">
        <f t="array" ref="E119">INDEX(GMWQ!$A$2:$LR$60,MATCH(1,(GMWQ!$LQ$2:$LQ$60=E$3)*(GMWQ!$LP$2:$LP$60=E$4)*(GMWQ!$LR$2:$LR$60=E$1),0),$B119-1966)</f>
        <v>72.766670000000005</v>
      </c>
      <c r="F119" s="7" cm="1">
        <f t="array" ref="F119">INDEX(GMWQ!$A$2:$LR$60,MATCH(1,(GMWQ!$LQ$2:$LQ$60=F$3)*(GMWQ!$LP$2:$LP$60=F$4)*(GMWQ!$LR$2:$LR$60=F$1),0),$B119-1966)</f>
        <v>120543</v>
      </c>
      <c r="G119" s="7" cm="1">
        <f t="array" ref="G119">INDEX(GMWQ!$A$2:$LR$60,MATCH(1,(GMWQ!$LQ$2:$LQ$60=G$3)*(GMWQ!$LP$2:$LP$60=G$4)*(GMWQ!$LR$2:$LR$60=G$1),0),$B119-1966)</f>
        <v>28310</v>
      </c>
      <c r="H119" s="7" cm="1">
        <f t="array" ref="H119">INDEX(GMWQ!$A$2:$LR$60,MATCH(1,(GMWQ!$LQ$2:$LQ$60=H$3)*(GMWQ!$LP$2:$LP$60=H$4)*(GMWQ!$LR$2:$LR$60=H$1),0),$B119-1966)</f>
        <v>7427</v>
      </c>
      <c r="I119" s="7" cm="1">
        <f t="array" ref="I119">INDEX(GMWQ!$A$2:$LR$60,MATCH(1,(GMWQ!$LQ$2:$LQ$60=I$3)*(GMWQ!$LP$2:$LP$60=I$4)*(GMWQ!$LR$2:$LR$60=I$1),0),$B119-1966)</f>
        <v>73.79271</v>
      </c>
      <c r="J119" s="7" cm="1">
        <f t="array" ref="J119">INDEX(GMWQ!$A$2:$LR$60,MATCH(1,(GMWQ!$LQ$2:$LQ$60=J$3)*(GMWQ!$LP$2:$LP$60=J$4)*(GMWQ!$LR$2:$LR$60=J$1),0),$B119-1966)</f>
        <v>24102</v>
      </c>
      <c r="K119" s="7" cm="1">
        <f t="array" ref="K119">INDEX(GMWQ!$A$2:$LR$60,MATCH(1,(GMWQ!$LQ$2:$LQ$60=K$3)*(GMWQ!$LP$2:$LP$60=K$4)*(GMWQ!$LR$2:$LR$60=K$1),0),$B119-1966)</f>
        <v>5.75</v>
      </c>
      <c r="L119" s="7" cm="1">
        <f t="array" ref="L119">INDEX(GMWQ!$A$2:$LR$60,MATCH(1,(GMWQ!$LQ$2:$LQ$60=L$3)*(GMWQ!$LP$2:$LP$60=L$4)*(GMWQ!$LR$2:$LR$60=L$1),0),$B119-1966)</f>
        <v>5.0999999999999996</v>
      </c>
      <c r="M119" s="7" cm="1">
        <f t="array" ref="M119">INDEX(GMWQ!$A$2:$LR$60,MATCH(1,(GMWQ!$LQ$2:$LQ$60=M$3)*(GMWQ!$LP$2:$LP$60=M$4)*(GMWQ!$LR$2:$LR$60=M$1),0),$B119-1966)</f>
        <v>49.541910000000001</v>
      </c>
      <c r="N119" s="7" cm="1">
        <f t="array" ref="N119">INDEX(GMWQ!$A$2:$LR$60,MATCH(1,(GMWQ!$LQ$2:$LQ$60=N$3)*(GMWQ!$LP$2:$LP$60=N$4)*(GMWQ!$LR$2:$LR$60=N$1),0),$B119-1966)</f>
        <v>10931</v>
      </c>
      <c r="O119" s="7" cm="1">
        <f t="array" ref="O119">INDEX(GMWQ!$A$2:$LR$60,MATCH(1,(GMWQ!$LQ$2:$LQ$60=O$3)*(GMWQ!$LP$2:$LP$60=O$4)*(GMWQ!$LR$2:$LR$60=O$1),0),$B119-1966)</f>
        <v>9876</v>
      </c>
      <c r="P119" s="7" cm="1">
        <f t="array" ref="P119">INDEX(GMWQ!$A$2:$LR$60,MATCH(1,(GMWQ!$LQ$2:$LQ$60=P$3)*(GMWQ!$LP$2:$LP$60=P$4)*(GMWQ!$LR$2:$LR$60=P$1),0),$B119-1966)</f>
        <v>189728</v>
      </c>
      <c r="Q119" s="7" cm="1">
        <f t="array" ref="Q119">INDEX(GMWQ!$A$2:$LR$60,MATCH(1,(GMWQ!$LQ$2:$LQ$60=Q$3)*(GMWQ!$LP$2:$LP$60=Q$4)*(GMWQ!$LR$2:$LR$60=Q$1),0),$B119-1966)</f>
        <v>6.9366659999999998</v>
      </c>
      <c r="R119" s="7" cm="1">
        <f t="array" ref="R119">INDEX(GMWQ!$A$2:$LR$60,MATCH(1,(GMWQ!$LQ$2:$LQ$60=R$3)*(GMWQ!$LP$2:$LP$60=R$4)*(GMWQ!$LR$2:$LR$60=R$1),0),$B119-1966)</f>
        <v>298730</v>
      </c>
      <c r="S119" s="7" cm="1">
        <f t="array" ref="S119">INDEX(GMWQ!$A$2:$LR$60,MATCH(1,(GMWQ!$LQ$2:$LQ$60=S$3)*(GMWQ!$LP$2:$LP$60=S$4)*(GMWQ!$LR$2:$LR$60=S$1),0),$B119-1966)</f>
        <v>347</v>
      </c>
      <c r="T119" s="7" cm="1">
        <f t="array" ref="T119">INDEX(GMWQ!$A$2:$LR$60,MATCH(1,(GMWQ!$LQ$2:$LQ$60=T$3)*(GMWQ!$LP$2:$LP$60=T$4)*(GMWQ!$LR$2:$LR$60=T$1),0),$B119-1966)</f>
        <v>34611</v>
      </c>
      <c r="U119" s="7" cm="1">
        <f t="array" ref="U119">INDEX(GMWQ!$A$2:$LR$60,MATCH(1,(GMWQ!$LQ$2:$LQ$60=U$3)*(GMWQ!$LP$2:$LP$60=U$4)*(GMWQ!$LR$2:$LR$60=U$1),0),$B119-1966)</f>
        <v>11208</v>
      </c>
      <c r="V119" s="7" cm="1">
        <f t="array" ref="V119">INDEX(GMWQ!$A$2:$LR$60,MATCH(1,(GMWQ!$LQ$2:$LQ$60=V$3)*(GMWQ!$LP$2:$LP$60=V$4)*(GMWQ!$LR$2:$LR$60=V$1),0),$B119-1966)</f>
        <v>2.9623850000000001E-3</v>
      </c>
      <c r="W119" s="7" cm="1">
        <f t="array" ref="W119">INDEX(GMWQ!$A$2:$LR$60,MATCH(1,(GMWQ!$LQ$2:$LQ$60=W$3)*(GMWQ!$LP$2:$LP$60=W$4)*(GMWQ!$LR$2:$LR$60=W$1),0),$B119-1966)</f>
        <v>22.732130000000002</v>
      </c>
      <c r="X119" s="7" cm="1">
        <f t="array" ref="X119">INDEX(GMWQ!$A$2:$LR$60,MATCH(1,(GMWQ!$LQ$2:$LQ$60=X$3)*(GMWQ!$LP$2:$LP$60=X$4)*(GMWQ!$LR$2:$LR$60=X$1),0),$B119-1966)</f>
        <v>1598029</v>
      </c>
      <c r="Y119" s="7" cm="1">
        <f t="array" ref="Y119">INDEX(GMWQ!$A$2:$LR$60,MATCH(1,(GMWQ!$LQ$2:$LQ$60=Y$3)*(GMWQ!$LP$2:$LP$60=Y$4)*(GMWQ!$LR$2:$LR$60=Y$1),0),$B119-1966)</f>
        <v>68.496610000000004</v>
      </c>
      <c r="Z119" s="7" cm="1">
        <f t="array" ref="Z119">INDEX(GMWQ!$A$2:$LR$60,MATCH(1,(GMWQ!$LQ$2:$LQ$60=Z$3)*(GMWQ!$LP$2:$LP$60=Z$4)*(GMWQ!$LR$2:$LR$60=Z$1),0),$B119-1966)</f>
        <v>398377.2</v>
      </c>
      <c r="AA119" s="7" cm="1">
        <f t="array" ref="AA119">INDEX(GMWQ!$A$2:$LR$60,MATCH(1,(GMWQ!$LQ$2:$LQ$60=AA$3)*(GMWQ!$LP$2:$LP$60=AA$4)*(GMWQ!$LR$2:$LR$60=AA$1),0),$B119-1966)</f>
        <v>112379</v>
      </c>
      <c r="AB119" s="7" cm="1">
        <f t="array" ref="AB119">INDEX(GMWQ!$A$2:$LR$60,MATCH(1,(GMWQ!$LQ$2:$LQ$60=AB$3)*(GMWQ!$LP$2:$LP$60=AB$4)*(GMWQ!$LR$2:$LR$60=AB$1),0),$B119-1966)</f>
        <v>90828</v>
      </c>
      <c r="AC119" s="7" cm="1">
        <f t="array" ref="AC119">INDEX(GMWQ!$A$2:$LR$60,MATCH(1,(GMWQ!$LQ$2:$LQ$60=AC$3)*(GMWQ!$LP$2:$LP$60=AC$4)*(GMWQ!$LR$2:$LR$60=AC$1),0),$B119-1966)</f>
        <v>3766</v>
      </c>
      <c r="AD119" s="7" cm="1">
        <f t="array" ref="AD119">INDEX(GMWQ!$A$2:$LR$60,MATCH(1,(GMWQ!$LQ$2:$LQ$60=AD$3)*(GMWQ!$LP$2:$LP$60=AD$4)*(GMWQ!$LR$2:$LR$60=AD$1),0),$B119-1966)</f>
        <v>6420</v>
      </c>
      <c r="AE119" s="7" cm="1">
        <f t="array" ref="AE119">INDEX(GMWQ!$A$2:$LR$60,MATCH(1,(GMWQ!$LQ$2:$LQ$60=AE$3)*(GMWQ!$LP$2:$LP$60=AE$4)*(GMWQ!$LR$2:$LR$60=AE$1),0),$B119-1966)</f>
        <v>282928</v>
      </c>
      <c r="AF119" s="20" cm="1">
        <f t="array" ref="AF119">INDEX(GMWQ!$A$2:$LR$60,MATCH(1,(GMWQ!$LQ$2:$LQ$60=AF$3)*(GMWQ!$LP$2:$LP$60=AF$4)*(GMWQ!$LR$2:$LR$60=AF$1),0),$B119-1966)</f>
        <v>5.8576920000000001</v>
      </c>
      <c r="AG119" s="20" cm="1">
        <f t="array" ref="AG119">INDEX(GMWQ!$A$2:$LR$60,MATCH(1,(GMWQ!$LQ$2:$LQ$60=AG$3)*(GMWQ!$LP$2:$LP$60=AG$4)*(GMWQ!$LR$2:$LR$60=AG$1),0),$B119-1966)</f>
        <v>-1055</v>
      </c>
      <c r="AI119" s="23" cm="1">
        <f t="array" ref="AI119">INDEX(GMWQ!$A$2:$LR$60,MATCH(1,(GMWQ!$LQ$2:$LQ$60=AI$3)*(GMWQ!$LP$2:$LP$60=AI$4)*(GMWQ!$LR$2:$LR$60=AI$1),0),$B119-1966)</f>
        <v>189728</v>
      </c>
      <c r="AJ119" s="23" cm="1">
        <f t="array" ref="AJ119">INDEX(GMWQ!$A$2:$LR$60,MATCH(1,(GMWQ!$LQ$2:$LQ$60=AJ$3)*(GMWQ!$LP$2:$LP$60=AJ$4)*(GMWQ!$LR$2:$LR$60=AJ$1),0),$B119-1966)</f>
        <v>73.79271</v>
      </c>
      <c r="AK119" s="23" cm="1">
        <f t="array" ref="AK119">INDEX(GMWQ!$A$2:$LR$60,MATCH(1,(GMWQ!$LQ$2:$LQ$60=AK$3)*(GMWQ!$LP$2:$LP$60=AK$4)*(GMWQ!$LR$2:$LR$60=AK$1),0),$B119-1966)</f>
        <v>120543</v>
      </c>
      <c r="AL119" s="23" cm="1">
        <f t="array" ref="AL119">INDEX(GMWQ!$A$2:$LR$60,MATCH(1,(GMWQ!$LQ$2:$LQ$60=AL$3)*(GMWQ!$LP$2:$LP$60=AL$4)*(GMWQ!$LR$2:$LR$60=AL$1),0),$B119-1966)</f>
        <v>5001.3689999999997</v>
      </c>
      <c r="AM119" s="23" cm="1">
        <f t="array" ref="AM119">INDEX(GMWQ!$A$2:$LR$60,MATCH(1,(GMWQ!$LQ$2:$LQ$60=AM$3)*(GMWQ!$LP$2:$LP$60=AM$4)*(GMWQ!$LR$2:$LR$60=AM$1),0),$B119-1966)</f>
        <v>24102</v>
      </c>
      <c r="AN119" s="23" cm="1">
        <f t="array" ref="AN119">INDEX(GMWQ!$A$2:$LR$60,MATCH(1,(GMWQ!$LQ$2:$LQ$60=AN$3)*(GMWQ!$LP$2:$LP$60=AN$4)*(GMWQ!$LR$2:$LR$60=AN$1),0),$B119-1966)</f>
        <v>28310</v>
      </c>
      <c r="AO119" s="23" cm="1">
        <f t="array" ref="AO119">INDEX(GMWQ!$A$2:$LR$60,MATCH(1,(GMWQ!$LQ$2:$LQ$60=AO$3)*(GMWQ!$LP$2:$LP$60=AO$4)*(GMWQ!$LR$2:$LR$60=AO$1),0),$B119-1966)</f>
        <v>7427</v>
      </c>
      <c r="AP119" s="23" cm="1">
        <f t="array" ref="AP119">INDEX(GMWQ!$A$2:$LR$60,MATCH(1,(GMWQ!$LQ$2:$LQ$60=AP$3)*(GMWQ!$LP$2:$LP$60=AP$4)*(GMWQ!$LR$2:$LR$60=AP$1),0),$B119-1966)</f>
        <v>-1055</v>
      </c>
      <c r="AQ119" s="23" cm="1">
        <f t="array" ref="AQ119">INDEX(GMWQ!$A$2:$LR$60,MATCH(1,(GMWQ!$LQ$2:$LQ$60=AQ$3)*(GMWQ!$LP$2:$LP$60=AQ$4)*(GMWQ!$LR$2:$LR$60=AQ$1),0),$B119-1966)</f>
        <v>27965</v>
      </c>
      <c r="AR119" s="23" cm="1">
        <f t="array" ref="AR119">INDEX(GMWQ!$A$2:$LR$60,MATCH(1,(GMWQ!$LQ$2:$LQ$60=AR$3)*(GMWQ!$LP$2:$LP$60=AR$4)*(GMWQ!$LR$2:$LR$60=AR$1),0),$B119-1966)</f>
        <v>182313</v>
      </c>
      <c r="AS119" s="23" cm="1">
        <f t="array" ref="AS119">INDEX(GMWQ!$A$2:$LR$60,MATCH(1,(GMWQ!$LQ$2:$LQ$60=AS$3)*(GMWQ!$LP$2:$LP$60=AS$4)*(GMWQ!$LR$2:$LR$60=AS$1),0),$B119-1966)</f>
        <v>4940</v>
      </c>
      <c r="AT119" s="23" cm="1">
        <f t="array" ref="AT119">INDEX(GMWQ!$A$2:$LR$60,MATCH(1,(GMWQ!$LQ$2:$LQ$60=AT$3)*(GMWQ!$LP$2:$LP$60=AT$4)*(GMWQ!$LR$2:$LR$60=AT$1),0),$B119-1966)</f>
        <v>247061</v>
      </c>
      <c r="AU119" s="23" cm="1">
        <f t="array" ref="AU119">INDEX(GMWQ!$A$2:$LR$60,MATCH(1,(GMWQ!$LQ$2:$LQ$60=AU$3)*(GMWQ!$LP$2:$LP$60=AU$4)*(GMWQ!$LR$2:$LR$60=AU$1),0),$B119-1966)</f>
        <v>9652</v>
      </c>
    </row>
    <row r="120" spans="1:47" x14ac:dyDescent="0.35">
      <c r="B120" s="7">
        <f t="shared" si="3"/>
        <v>2086</v>
      </c>
      <c r="C120" s="7" cm="1">
        <f t="array" ref="C120">INDEX(GMWQ!$A$2:$LR$60,MATCH(1,(GMWQ!$LQ$2:$LQ$60=C$3)*(GMWQ!$LP$2:$LP$60=C$4)*(GMWQ!$LR$2:$LR$60=C$1),0),$B120-1966)</f>
        <v>414878</v>
      </c>
      <c r="D120" s="7" cm="1">
        <f t="array" ref="D120">INDEX(GMWQ!$A$2:$LR$60,MATCH(1,(GMWQ!$LQ$2:$LQ$60=D$3)*(GMWQ!$LP$2:$LP$60=D$4)*(GMWQ!$LR$2:$LR$60=D$1),0),$B120-1966)</f>
        <v>327</v>
      </c>
      <c r="E120" s="7" cm="1">
        <f t="array" ref="E120">INDEX(GMWQ!$A$2:$LR$60,MATCH(1,(GMWQ!$LQ$2:$LQ$60=E$3)*(GMWQ!$LP$2:$LP$60=E$4)*(GMWQ!$LR$2:$LR$60=E$1),0),$B120-1966)</f>
        <v>73.833340000000007</v>
      </c>
      <c r="F120" s="7" cm="1">
        <f t="array" ref="F120">INDEX(GMWQ!$A$2:$LR$60,MATCH(1,(GMWQ!$LQ$2:$LQ$60=F$3)*(GMWQ!$LP$2:$LP$60=F$4)*(GMWQ!$LR$2:$LR$60=F$1),0),$B120-1966)</f>
        <v>121007</v>
      </c>
      <c r="G120" s="7" cm="1">
        <f t="array" ref="G120">INDEX(GMWQ!$A$2:$LR$60,MATCH(1,(GMWQ!$LQ$2:$LQ$60=G$3)*(GMWQ!$LP$2:$LP$60=G$4)*(GMWQ!$LR$2:$LR$60=G$1),0),$B120-1966)</f>
        <v>27759</v>
      </c>
      <c r="H120" s="7" cm="1">
        <f t="array" ref="H120">INDEX(GMWQ!$A$2:$LR$60,MATCH(1,(GMWQ!$LQ$2:$LQ$60=H$3)*(GMWQ!$LP$2:$LP$60=H$4)*(GMWQ!$LR$2:$LR$60=H$1),0),$B120-1966)</f>
        <v>7908</v>
      </c>
      <c r="I120" s="7" cm="1">
        <f t="array" ref="I120">INDEX(GMWQ!$A$2:$LR$60,MATCH(1,(GMWQ!$LQ$2:$LQ$60=I$3)*(GMWQ!$LP$2:$LP$60=I$4)*(GMWQ!$LR$2:$LR$60=I$1),0),$B120-1966)</f>
        <v>73.798649999999995</v>
      </c>
      <c r="J120" s="7" cm="1">
        <f t="array" ref="J120">INDEX(GMWQ!$A$2:$LR$60,MATCH(1,(GMWQ!$LQ$2:$LQ$60=J$3)*(GMWQ!$LP$2:$LP$60=J$4)*(GMWQ!$LR$2:$LR$60=J$1),0),$B120-1966)</f>
        <v>24188</v>
      </c>
      <c r="K120" s="7" cm="1">
        <f t="array" ref="K120">INDEX(GMWQ!$A$2:$LR$60,MATCH(1,(GMWQ!$LQ$2:$LQ$60=K$3)*(GMWQ!$LP$2:$LP$60=K$4)*(GMWQ!$LR$2:$LR$60=K$1),0),$B120-1966)</f>
        <v>5.25</v>
      </c>
      <c r="L120" s="7" cm="1">
        <f t="array" ref="L120">INDEX(GMWQ!$A$2:$LR$60,MATCH(1,(GMWQ!$LQ$2:$LQ$60=L$3)*(GMWQ!$LP$2:$LP$60=L$4)*(GMWQ!$LR$2:$LR$60=L$1),0),$B120-1966)</f>
        <v>5</v>
      </c>
      <c r="M120" s="7" cm="1">
        <f t="array" ref="M120">INDEX(GMWQ!$A$2:$LR$60,MATCH(1,(GMWQ!$LQ$2:$LQ$60=M$3)*(GMWQ!$LP$2:$LP$60=M$4)*(GMWQ!$LR$2:$LR$60=M$1),0),$B120-1966)</f>
        <v>50.618899999999996</v>
      </c>
      <c r="N120" s="7" cm="1">
        <f t="array" ref="N120">INDEX(GMWQ!$A$2:$LR$60,MATCH(1,(GMWQ!$LQ$2:$LQ$60=N$3)*(GMWQ!$LP$2:$LP$60=N$4)*(GMWQ!$LR$2:$LR$60=N$1),0),$B120-1966)</f>
        <v>10414</v>
      </c>
      <c r="O120" s="7" cm="1">
        <f t="array" ref="O120">INDEX(GMWQ!$A$2:$LR$60,MATCH(1,(GMWQ!$LQ$2:$LQ$60=O$3)*(GMWQ!$LP$2:$LP$60=O$4)*(GMWQ!$LR$2:$LR$60=O$1),0),$B120-1966)</f>
        <v>8483</v>
      </c>
      <c r="P120" s="7" cm="1">
        <f t="array" ref="P120">INDEX(GMWQ!$A$2:$LR$60,MATCH(1,(GMWQ!$LQ$2:$LQ$60=P$3)*(GMWQ!$LP$2:$LP$60=P$4)*(GMWQ!$LR$2:$LR$60=P$1),0),$B120-1966)</f>
        <v>188958</v>
      </c>
      <c r="Q120" s="7" cm="1">
        <f t="array" ref="Q120">INDEX(GMWQ!$A$2:$LR$60,MATCH(1,(GMWQ!$LQ$2:$LQ$60=Q$3)*(GMWQ!$LP$2:$LP$60=Q$4)*(GMWQ!$LR$2:$LR$60=Q$1),0),$B120-1966)</f>
        <v>6.6133329999999999</v>
      </c>
      <c r="R120" s="7" cm="1">
        <f t="array" ref="R120">INDEX(GMWQ!$A$2:$LR$60,MATCH(1,(GMWQ!$LQ$2:$LQ$60=R$3)*(GMWQ!$LP$2:$LP$60=R$4)*(GMWQ!$LR$2:$LR$60=R$1),0),$B120-1966)</f>
        <v>320220</v>
      </c>
      <c r="S120" s="7" cm="1">
        <f t="array" ref="S120">INDEX(GMWQ!$A$2:$LR$60,MATCH(1,(GMWQ!$LQ$2:$LQ$60=S$3)*(GMWQ!$LP$2:$LP$60=S$4)*(GMWQ!$LR$2:$LR$60=S$1),0),$B120-1966)</f>
        <v>358</v>
      </c>
      <c r="T120" s="7" cm="1">
        <f t="array" ref="T120">INDEX(GMWQ!$A$2:$LR$60,MATCH(1,(GMWQ!$LQ$2:$LQ$60=T$3)*(GMWQ!$LP$2:$LP$60=T$4)*(GMWQ!$LR$2:$LR$60=T$1),0),$B120-1966)</f>
        <v>38366</v>
      </c>
      <c r="U120" s="7" cm="1">
        <f t="array" ref="U120">INDEX(GMWQ!$A$2:$LR$60,MATCH(1,(GMWQ!$LQ$2:$LQ$60=U$3)*(GMWQ!$LP$2:$LP$60=U$4)*(GMWQ!$LR$2:$LR$60=U$1),0),$B120-1966)</f>
        <v>12522</v>
      </c>
      <c r="V120" s="7" cm="1">
        <f t="array" ref="V120">INDEX(GMWQ!$A$2:$LR$60,MATCH(1,(GMWQ!$LQ$2:$LQ$60=V$3)*(GMWQ!$LP$2:$LP$60=V$4)*(GMWQ!$LR$2:$LR$60=V$1),0),$B120-1966)</f>
        <v>2.9773740000000001E-3</v>
      </c>
      <c r="W120" s="7" cm="1">
        <f t="array" ref="W120">INDEX(GMWQ!$A$2:$LR$60,MATCH(1,(GMWQ!$LQ$2:$LQ$60=W$3)*(GMWQ!$LP$2:$LP$60=W$4)*(GMWQ!$LR$2:$LR$60=W$1),0),$B120-1966)</f>
        <v>19.999210000000001</v>
      </c>
      <c r="X120" s="7" cm="1">
        <f t="array" ref="X120">INDEX(GMWQ!$A$2:$LR$60,MATCH(1,(GMWQ!$LQ$2:$LQ$60=X$3)*(GMWQ!$LP$2:$LP$60=X$4)*(GMWQ!$LR$2:$LR$60=X$1),0),$B120-1966)</f>
        <v>1604143</v>
      </c>
      <c r="Y120" s="7" cm="1">
        <f t="array" ref="Y120">INDEX(GMWQ!$A$2:$LR$60,MATCH(1,(GMWQ!$LQ$2:$LQ$60=Y$3)*(GMWQ!$LP$2:$LP$60=Y$4)*(GMWQ!$LR$2:$LR$60=Y$1),0),$B120-1966)</f>
        <v>69.092359999999999</v>
      </c>
      <c r="Z120" s="7" cm="1">
        <f t="array" ref="Z120">INDEX(GMWQ!$A$2:$LR$60,MATCH(1,(GMWQ!$LQ$2:$LQ$60=Z$3)*(GMWQ!$LP$2:$LP$60=Z$4)*(GMWQ!$LR$2:$LR$60=Z$1),0),$B120-1966)</f>
        <v>402395.3</v>
      </c>
      <c r="AA120" s="7" cm="1">
        <f t="array" ref="AA120">INDEX(GMWQ!$A$2:$LR$60,MATCH(1,(GMWQ!$LQ$2:$LQ$60=AA$3)*(GMWQ!$LP$2:$LP$60=AA$4)*(GMWQ!$LR$2:$LR$60=AA$1),0),$B120-1966)</f>
        <v>99911</v>
      </c>
      <c r="AB120" s="7" cm="1">
        <f t="array" ref="AB120">INDEX(GMWQ!$A$2:$LR$60,MATCH(1,(GMWQ!$LQ$2:$LQ$60=AB$3)*(GMWQ!$LP$2:$LP$60=AB$4)*(GMWQ!$LR$2:$LR$60=AB$1),0),$B120-1966)</f>
        <v>92592</v>
      </c>
      <c r="AC120" s="7" cm="1">
        <f t="array" ref="AC120">INDEX(GMWQ!$A$2:$LR$60,MATCH(1,(GMWQ!$LQ$2:$LQ$60=AC$3)*(GMWQ!$LP$2:$LP$60=AC$4)*(GMWQ!$LR$2:$LR$60=AC$1),0),$B120-1966)</f>
        <v>1658</v>
      </c>
      <c r="AD120" s="7" cm="1">
        <f t="array" ref="AD120">INDEX(GMWQ!$A$2:$LR$60,MATCH(1,(GMWQ!$LQ$2:$LQ$60=AD$3)*(GMWQ!$LP$2:$LP$60=AD$4)*(GMWQ!$LR$2:$LR$60=AD$1),0),$B120-1966)</f>
        <v>6473</v>
      </c>
      <c r="AE120" s="7" cm="1">
        <f t="array" ref="AE120">INDEX(GMWQ!$A$2:$LR$60,MATCH(1,(GMWQ!$LQ$2:$LQ$60=AE$3)*(GMWQ!$LP$2:$LP$60=AE$4)*(GMWQ!$LR$2:$LR$60=AE$1),0),$B120-1966)</f>
        <v>286649</v>
      </c>
      <c r="AF120" s="20" cm="1">
        <f t="array" ref="AF120">INDEX(GMWQ!$A$2:$LR$60,MATCH(1,(GMWQ!$LQ$2:$LQ$60=AF$3)*(GMWQ!$LP$2:$LP$60=AF$4)*(GMWQ!$LR$2:$LR$60=AF$1),0),$B120-1966)</f>
        <v>5.3692310000000001</v>
      </c>
      <c r="AG120" s="20" cm="1">
        <f t="array" ref="AG120">INDEX(GMWQ!$A$2:$LR$60,MATCH(1,(GMWQ!$LQ$2:$LQ$60=AG$3)*(GMWQ!$LP$2:$LP$60=AG$4)*(GMWQ!$LR$2:$LR$60=AG$1),0),$B120-1966)</f>
        <v>-1931</v>
      </c>
      <c r="AI120" s="23" cm="1">
        <f t="array" ref="AI120">INDEX(GMWQ!$A$2:$LR$60,MATCH(1,(GMWQ!$LQ$2:$LQ$60=AI$3)*(GMWQ!$LP$2:$LP$60=AI$4)*(GMWQ!$LR$2:$LR$60=AI$1),0),$B120-1966)</f>
        <v>188958</v>
      </c>
      <c r="AJ120" s="23" cm="1">
        <f t="array" ref="AJ120">INDEX(GMWQ!$A$2:$LR$60,MATCH(1,(GMWQ!$LQ$2:$LQ$60=AJ$3)*(GMWQ!$LP$2:$LP$60=AJ$4)*(GMWQ!$LR$2:$LR$60=AJ$1),0),$B120-1966)</f>
        <v>73.798649999999995</v>
      </c>
      <c r="AK120" s="23" cm="1">
        <f t="array" ref="AK120">INDEX(GMWQ!$A$2:$LR$60,MATCH(1,(GMWQ!$LQ$2:$LQ$60=AK$3)*(GMWQ!$LP$2:$LP$60=AK$4)*(GMWQ!$LR$2:$LR$60=AK$1),0),$B120-1966)</f>
        <v>121007</v>
      </c>
      <c r="AL120" s="23" cm="1">
        <f t="array" ref="AL120">INDEX(GMWQ!$A$2:$LR$60,MATCH(1,(GMWQ!$LQ$2:$LQ$60=AL$3)*(GMWQ!$LP$2:$LP$60=AL$4)*(GMWQ!$LR$2:$LR$60=AL$1),0),$B120-1966)</f>
        <v>5002.7700000000004</v>
      </c>
      <c r="AM120" s="23" cm="1">
        <f t="array" ref="AM120">INDEX(GMWQ!$A$2:$LR$60,MATCH(1,(GMWQ!$LQ$2:$LQ$60=AM$3)*(GMWQ!$LP$2:$LP$60=AM$4)*(GMWQ!$LR$2:$LR$60=AM$1),0),$B120-1966)</f>
        <v>24188</v>
      </c>
      <c r="AN120" s="23" cm="1">
        <f t="array" ref="AN120">INDEX(GMWQ!$A$2:$LR$60,MATCH(1,(GMWQ!$LQ$2:$LQ$60=AN$3)*(GMWQ!$LP$2:$LP$60=AN$4)*(GMWQ!$LR$2:$LR$60=AN$1),0),$B120-1966)</f>
        <v>27759</v>
      </c>
      <c r="AO120" s="23" cm="1">
        <f t="array" ref="AO120">INDEX(GMWQ!$A$2:$LR$60,MATCH(1,(GMWQ!$LQ$2:$LQ$60=AO$3)*(GMWQ!$LP$2:$LP$60=AO$4)*(GMWQ!$LR$2:$LR$60=AO$1),0),$B120-1966)</f>
        <v>7908</v>
      </c>
      <c r="AP120" s="23" cm="1">
        <f t="array" ref="AP120">INDEX(GMWQ!$A$2:$LR$60,MATCH(1,(GMWQ!$LQ$2:$LQ$60=AP$3)*(GMWQ!$LP$2:$LP$60=AP$4)*(GMWQ!$LR$2:$LR$60=AP$1),0),$B120-1966)</f>
        <v>-1931</v>
      </c>
      <c r="AQ120" s="23" cm="1">
        <f t="array" ref="AQ120">INDEX(GMWQ!$A$2:$LR$60,MATCH(1,(GMWQ!$LQ$2:$LQ$60=AQ$3)*(GMWQ!$LP$2:$LP$60=AQ$4)*(GMWQ!$LR$2:$LR$60=AQ$1),0),$B120-1966)</f>
        <v>28794</v>
      </c>
      <c r="AR120" s="23" cm="1">
        <f t="array" ref="AR120">INDEX(GMWQ!$A$2:$LR$60,MATCH(1,(GMWQ!$LQ$2:$LQ$60=AR$3)*(GMWQ!$LP$2:$LP$60=AR$4)*(GMWQ!$LR$2:$LR$60=AR$1),0),$B120-1966)</f>
        <v>183507</v>
      </c>
      <c r="AS120" s="23" cm="1">
        <f t="array" ref="AS120">INDEX(GMWQ!$A$2:$LR$60,MATCH(1,(GMWQ!$LQ$2:$LQ$60=AS$3)*(GMWQ!$LP$2:$LP$60=AS$4)*(GMWQ!$LR$2:$LR$60=AS$1),0),$B120-1966)</f>
        <v>5062</v>
      </c>
      <c r="AT120" s="23" cm="1">
        <f t="array" ref="AT120">INDEX(GMWQ!$A$2:$LR$60,MATCH(1,(GMWQ!$LQ$2:$LQ$60=AT$3)*(GMWQ!$LP$2:$LP$60=AT$4)*(GMWQ!$LR$2:$LR$60=AT$1),0),$B120-1966)</f>
        <v>248659</v>
      </c>
      <c r="AU120" s="23" cm="1">
        <f t="array" ref="AU120">INDEX(GMWQ!$A$2:$LR$60,MATCH(1,(GMWQ!$LQ$2:$LQ$60=AU$3)*(GMWQ!$LP$2:$LP$60=AU$4)*(GMWQ!$LR$2:$LR$60=AU$1),0),$B120-1966)</f>
        <v>9540</v>
      </c>
    </row>
    <row r="121" spans="1:47" x14ac:dyDescent="0.35">
      <c r="B121" s="7">
        <f t="shared" si="3"/>
        <v>2087</v>
      </c>
      <c r="C121" s="7" cm="1">
        <f t="array" ref="C121">INDEX(GMWQ!$A$2:$LR$60,MATCH(1,(GMWQ!$LQ$2:$LQ$60=C$3)*(GMWQ!$LP$2:$LP$60=C$4)*(GMWQ!$LR$2:$LR$60=C$1),0),$B121-1966)</f>
        <v>417085</v>
      </c>
      <c r="D121" s="7" cm="1">
        <f t="array" ref="D121">INDEX(GMWQ!$A$2:$LR$60,MATCH(1,(GMWQ!$LQ$2:$LQ$60=D$3)*(GMWQ!$LP$2:$LP$60=D$4)*(GMWQ!$LR$2:$LR$60=D$1),0),$B121-1966)</f>
        <v>330</v>
      </c>
      <c r="E121" s="7" cm="1">
        <f t="array" ref="E121">INDEX(GMWQ!$A$2:$LR$60,MATCH(1,(GMWQ!$LQ$2:$LQ$60=E$3)*(GMWQ!$LP$2:$LP$60=E$4)*(GMWQ!$LR$2:$LR$60=E$1),0),$B121-1966)</f>
        <v>73.866669999999999</v>
      </c>
      <c r="F121" s="7" cm="1">
        <f t="array" ref="F121">INDEX(GMWQ!$A$2:$LR$60,MATCH(1,(GMWQ!$LQ$2:$LQ$60=F$3)*(GMWQ!$LP$2:$LP$60=F$4)*(GMWQ!$LR$2:$LR$60=F$1),0),$B121-1966)</f>
        <v>121622</v>
      </c>
      <c r="G121" s="7" cm="1">
        <f t="array" ref="G121">INDEX(GMWQ!$A$2:$LR$60,MATCH(1,(GMWQ!$LQ$2:$LQ$60=G$3)*(GMWQ!$LP$2:$LP$60=G$4)*(GMWQ!$LR$2:$LR$60=G$1),0),$B121-1966)</f>
        <v>27731</v>
      </c>
      <c r="H121" s="7" cm="1">
        <f t="array" ref="H121">INDEX(GMWQ!$A$2:$LR$60,MATCH(1,(GMWQ!$LQ$2:$LQ$60=H$3)*(GMWQ!$LP$2:$LP$60=H$4)*(GMWQ!$LR$2:$LR$60=H$1),0),$B121-1966)</f>
        <v>8057</v>
      </c>
      <c r="I121" s="7" cm="1">
        <f t="array" ref="I121">INDEX(GMWQ!$A$2:$LR$60,MATCH(1,(GMWQ!$LQ$2:$LQ$60=I$3)*(GMWQ!$LP$2:$LP$60=I$4)*(GMWQ!$LR$2:$LR$60=I$1),0),$B121-1966)</f>
        <v>73.873530000000002</v>
      </c>
      <c r="J121" s="7" cm="1">
        <f t="array" ref="J121">INDEX(GMWQ!$A$2:$LR$60,MATCH(1,(GMWQ!$LQ$2:$LQ$60=J$3)*(GMWQ!$LP$2:$LP$60=J$4)*(GMWQ!$LR$2:$LR$60=J$1),0),$B121-1966)</f>
        <v>24181</v>
      </c>
      <c r="K121" s="7" cm="1">
        <f t="array" ref="K121">INDEX(GMWQ!$A$2:$LR$60,MATCH(1,(GMWQ!$LQ$2:$LQ$60=K$3)*(GMWQ!$LP$2:$LP$60=K$4)*(GMWQ!$LR$2:$LR$60=K$1),0),$B121-1966)</f>
        <v>4.75</v>
      </c>
      <c r="L121" s="7" cm="1">
        <f t="array" ref="L121">INDEX(GMWQ!$A$2:$LR$60,MATCH(1,(GMWQ!$LQ$2:$LQ$60=L$3)*(GMWQ!$LP$2:$LP$60=L$4)*(GMWQ!$LR$2:$LR$60=L$1),0),$B121-1966)</f>
        <v>5.0999999999999996</v>
      </c>
      <c r="M121" s="7" cm="1">
        <f t="array" ref="M121">INDEX(GMWQ!$A$2:$LR$60,MATCH(1,(GMWQ!$LQ$2:$LQ$60=M$3)*(GMWQ!$LP$2:$LP$60=M$4)*(GMWQ!$LR$2:$LR$60=M$1),0),$B121-1966)</f>
        <v>52.453980000000001</v>
      </c>
      <c r="N121" s="7" cm="1">
        <f t="array" ref="N121">INDEX(GMWQ!$A$2:$LR$60,MATCH(1,(GMWQ!$LQ$2:$LQ$60=N$3)*(GMWQ!$LP$2:$LP$60=N$4)*(GMWQ!$LR$2:$LR$60=N$1),0),$B121-1966)</f>
        <v>9903</v>
      </c>
      <c r="O121" s="7" cm="1">
        <f t="array" ref="O121">INDEX(GMWQ!$A$2:$LR$60,MATCH(1,(GMWQ!$LQ$2:$LQ$60=O$3)*(GMWQ!$LP$2:$LP$60=O$4)*(GMWQ!$LR$2:$LR$60=O$1),0),$B121-1966)</f>
        <v>7979</v>
      </c>
      <c r="P121" s="7" cm="1">
        <f t="array" ref="P121">INDEX(GMWQ!$A$2:$LR$60,MATCH(1,(GMWQ!$LQ$2:$LQ$60=P$3)*(GMWQ!$LP$2:$LP$60=P$4)*(GMWQ!$LR$2:$LR$60=P$1),0),$B121-1966)</f>
        <v>190041</v>
      </c>
      <c r="Q121" s="7" cm="1">
        <f t="array" ref="Q121">INDEX(GMWQ!$A$2:$LR$60,MATCH(1,(GMWQ!$LQ$2:$LQ$60=Q$3)*(GMWQ!$LP$2:$LP$60=Q$4)*(GMWQ!$LR$2:$LR$60=Q$1),0),$B121-1966)</f>
        <v>6.35</v>
      </c>
      <c r="R121" s="7" cm="1">
        <f t="array" ref="R121">INDEX(GMWQ!$A$2:$LR$60,MATCH(1,(GMWQ!$LQ$2:$LQ$60=R$3)*(GMWQ!$LP$2:$LP$60=R$4)*(GMWQ!$LR$2:$LR$60=R$1),0),$B121-1966)</f>
        <v>328489</v>
      </c>
      <c r="S121" s="7" cm="1">
        <f t="array" ref="S121">INDEX(GMWQ!$A$2:$LR$60,MATCH(1,(GMWQ!$LQ$2:$LQ$60=S$3)*(GMWQ!$LP$2:$LP$60=S$4)*(GMWQ!$LR$2:$LR$60=S$1),0),$B121-1966)</f>
        <v>368</v>
      </c>
      <c r="T121" s="7" cm="1">
        <f t="array" ref="T121">INDEX(GMWQ!$A$2:$LR$60,MATCH(1,(GMWQ!$LQ$2:$LQ$60=T$3)*(GMWQ!$LP$2:$LP$60=T$4)*(GMWQ!$LR$2:$LR$60=T$1),0),$B121-1966)</f>
        <v>41169</v>
      </c>
      <c r="U121" s="7" cm="1">
        <f t="array" ref="U121">INDEX(GMWQ!$A$2:$LR$60,MATCH(1,(GMWQ!$LQ$2:$LQ$60=U$3)*(GMWQ!$LP$2:$LP$60=U$4)*(GMWQ!$LR$2:$LR$60=U$1),0),$B121-1966)</f>
        <v>13823</v>
      </c>
      <c r="V121" s="7" cm="1">
        <f t="array" ref="V121">INDEX(GMWQ!$A$2:$LR$60,MATCH(1,(GMWQ!$LQ$2:$LQ$60=V$3)*(GMWQ!$LP$2:$LP$60=V$4)*(GMWQ!$LR$2:$LR$60=V$1),0),$B121-1966)</f>
        <v>2.6505209999999999E-3</v>
      </c>
      <c r="W121" s="7" cm="1">
        <f t="array" ref="W121">INDEX(GMWQ!$A$2:$LR$60,MATCH(1,(GMWQ!$LQ$2:$LQ$60=W$3)*(GMWQ!$LP$2:$LP$60=W$4)*(GMWQ!$LR$2:$LR$60=W$1),0),$B121-1966)</f>
        <v>20.054819999999999</v>
      </c>
      <c r="X121" s="7" cm="1">
        <f t="array" ref="X121">INDEX(GMWQ!$A$2:$LR$60,MATCH(1,(GMWQ!$LQ$2:$LQ$60=X$3)*(GMWQ!$LP$2:$LP$60=X$4)*(GMWQ!$LR$2:$LR$60=X$1),0),$B121-1966)</f>
        <v>1616533</v>
      </c>
      <c r="Y121" s="7" cm="1">
        <f t="array" ref="Y121">INDEX(GMWQ!$A$2:$LR$60,MATCH(1,(GMWQ!$LQ$2:$LQ$60=Y$3)*(GMWQ!$LP$2:$LP$60=Y$4)*(GMWQ!$LR$2:$LR$60=Y$1),0),$B121-1966)</f>
        <v>69.114450000000005</v>
      </c>
      <c r="Z121" s="7" cm="1">
        <f t="array" ref="Z121">INDEX(GMWQ!$A$2:$LR$60,MATCH(1,(GMWQ!$LQ$2:$LQ$60=Z$3)*(GMWQ!$LP$2:$LP$60=Z$4)*(GMWQ!$LR$2:$LR$60=Z$1),0),$B121-1966)</f>
        <v>404360.1</v>
      </c>
      <c r="AA121" s="7" cm="1">
        <f t="array" ref="AA121">INDEX(GMWQ!$A$2:$LR$60,MATCH(1,(GMWQ!$LQ$2:$LQ$60=AA$3)*(GMWQ!$LP$2:$LP$60=AA$4)*(GMWQ!$LR$2:$LR$60=AA$1),0),$B121-1966)</f>
        <v>103710</v>
      </c>
      <c r="AB121" s="7" cm="1">
        <f t="array" ref="AB121">INDEX(GMWQ!$A$2:$LR$60,MATCH(1,(GMWQ!$LQ$2:$LQ$60=AB$3)*(GMWQ!$LP$2:$LP$60=AB$4)*(GMWQ!$LR$2:$LR$60=AB$1),0),$B121-1966)</f>
        <v>93272</v>
      </c>
      <c r="AC121" s="7" cm="1">
        <f t="array" ref="AC121">INDEX(GMWQ!$A$2:$LR$60,MATCH(1,(GMWQ!$LQ$2:$LQ$60=AC$3)*(GMWQ!$LP$2:$LP$60=AC$4)*(GMWQ!$LR$2:$LR$60=AC$1),0),$B121-1966)</f>
        <v>2493</v>
      </c>
      <c r="AD121" s="7" cm="1">
        <f t="array" ref="AD121">INDEX(GMWQ!$A$2:$LR$60,MATCH(1,(GMWQ!$LQ$2:$LQ$60=AD$3)*(GMWQ!$LP$2:$LP$60=AD$4)*(GMWQ!$LR$2:$LR$60=AD$1),0),$B121-1966)</f>
        <v>6525</v>
      </c>
      <c r="AE121" s="7" cm="1">
        <f t="array" ref="AE121">INDEX(GMWQ!$A$2:$LR$60,MATCH(1,(GMWQ!$LQ$2:$LQ$60=AE$3)*(GMWQ!$LP$2:$LP$60=AE$4)*(GMWQ!$LR$2:$LR$60=AE$1),0),$B121-1966)</f>
        <v>288266</v>
      </c>
      <c r="AF121" s="20" cm="1">
        <f t="array" ref="AF121">INDEX(GMWQ!$A$2:$LR$60,MATCH(1,(GMWQ!$LQ$2:$LQ$60=AF$3)*(GMWQ!$LP$2:$LP$60=AF$4)*(GMWQ!$LR$2:$LR$60=AF$1),0),$B121-1966)</f>
        <v>5.0538460000000001</v>
      </c>
      <c r="AG121" s="20" cm="1">
        <f t="array" ref="AG121">INDEX(GMWQ!$A$2:$LR$60,MATCH(1,(GMWQ!$LQ$2:$LQ$60=AG$3)*(GMWQ!$LP$2:$LP$60=AG$4)*(GMWQ!$LR$2:$LR$60=AG$1),0),$B121-1966)</f>
        <v>-1924</v>
      </c>
      <c r="AI121" s="23" cm="1">
        <f t="array" ref="AI121">INDEX(GMWQ!$A$2:$LR$60,MATCH(1,(GMWQ!$LQ$2:$LQ$60=AI$3)*(GMWQ!$LP$2:$LP$60=AI$4)*(GMWQ!$LR$2:$LR$60=AI$1),0),$B121-1966)</f>
        <v>190041</v>
      </c>
      <c r="AJ121" s="23" cm="1">
        <f t="array" ref="AJ121">INDEX(GMWQ!$A$2:$LR$60,MATCH(1,(GMWQ!$LQ$2:$LQ$60=AJ$3)*(GMWQ!$LP$2:$LP$60=AJ$4)*(GMWQ!$LR$2:$LR$60=AJ$1),0),$B121-1966)</f>
        <v>73.873530000000002</v>
      </c>
      <c r="AK121" s="23" cm="1">
        <f t="array" ref="AK121">INDEX(GMWQ!$A$2:$LR$60,MATCH(1,(GMWQ!$LQ$2:$LQ$60=AK$3)*(GMWQ!$LP$2:$LP$60=AK$4)*(GMWQ!$LR$2:$LR$60=AK$1),0),$B121-1966)</f>
        <v>121622</v>
      </c>
      <c r="AL121" s="23" cm="1">
        <f t="array" ref="AL121">INDEX(GMWQ!$A$2:$LR$60,MATCH(1,(GMWQ!$LQ$2:$LQ$60=AL$3)*(GMWQ!$LP$2:$LP$60=AL$4)*(GMWQ!$LR$2:$LR$60=AL$1),0),$B121-1966)</f>
        <v>5029.6509999999998</v>
      </c>
      <c r="AM121" s="23" cm="1">
        <f t="array" ref="AM121">INDEX(GMWQ!$A$2:$LR$60,MATCH(1,(GMWQ!$LQ$2:$LQ$60=AM$3)*(GMWQ!$LP$2:$LP$60=AM$4)*(GMWQ!$LR$2:$LR$60=AM$1),0),$B121-1966)</f>
        <v>24181</v>
      </c>
      <c r="AN121" s="23" cm="1">
        <f t="array" ref="AN121">INDEX(GMWQ!$A$2:$LR$60,MATCH(1,(GMWQ!$LQ$2:$LQ$60=AN$3)*(GMWQ!$LP$2:$LP$60=AN$4)*(GMWQ!$LR$2:$LR$60=AN$1),0),$B121-1966)</f>
        <v>27731</v>
      </c>
      <c r="AO121" s="23" cm="1">
        <f t="array" ref="AO121">INDEX(GMWQ!$A$2:$LR$60,MATCH(1,(GMWQ!$LQ$2:$LQ$60=AO$3)*(GMWQ!$LP$2:$LP$60=AO$4)*(GMWQ!$LR$2:$LR$60=AO$1),0),$B121-1966)</f>
        <v>8057</v>
      </c>
      <c r="AP121" s="23" cm="1">
        <f t="array" ref="AP121">INDEX(GMWQ!$A$2:$LR$60,MATCH(1,(GMWQ!$LQ$2:$LQ$60=AP$3)*(GMWQ!$LP$2:$LP$60=AP$4)*(GMWQ!$LR$2:$LR$60=AP$1),0),$B121-1966)</f>
        <v>-1924</v>
      </c>
      <c r="AQ121" s="23" cm="1">
        <f t="array" ref="AQ121">INDEX(GMWQ!$A$2:$LR$60,MATCH(1,(GMWQ!$LQ$2:$LQ$60=AQ$3)*(GMWQ!$LP$2:$LP$60=AQ$4)*(GMWQ!$LR$2:$LR$60=AQ$1),0),$B121-1966)</f>
        <v>29420</v>
      </c>
      <c r="AR121" s="23" cm="1">
        <f t="array" ref="AR121">INDEX(GMWQ!$A$2:$LR$60,MATCH(1,(GMWQ!$LQ$2:$LQ$60=AR$3)*(GMWQ!$LP$2:$LP$60=AR$4)*(GMWQ!$LR$2:$LR$60=AR$1),0),$B121-1966)</f>
        <v>186442</v>
      </c>
      <c r="AS121" s="23" cm="1">
        <f t="array" ref="AS121">INDEX(GMWQ!$A$2:$LR$60,MATCH(1,(GMWQ!$LQ$2:$LQ$60=AS$3)*(GMWQ!$LP$2:$LP$60=AS$4)*(GMWQ!$LR$2:$LR$60=AS$1),0),$B121-1966)</f>
        <v>5194</v>
      </c>
      <c r="AT121" s="23" cm="1">
        <f t="array" ref="AT121">INDEX(GMWQ!$A$2:$LR$60,MATCH(1,(GMWQ!$LQ$2:$LQ$60=AT$3)*(GMWQ!$LP$2:$LP$60=AT$4)*(GMWQ!$LR$2:$LR$60=AT$1),0),$B121-1966)</f>
        <v>252380</v>
      </c>
      <c r="AU121" s="23" cm="1">
        <f t="array" ref="AU121">INDEX(GMWQ!$A$2:$LR$60,MATCH(1,(GMWQ!$LQ$2:$LQ$60=AU$3)*(GMWQ!$LP$2:$LP$60=AU$4)*(GMWQ!$LR$2:$LR$60=AU$1),0),$B121-1966)</f>
        <v>9725</v>
      </c>
    </row>
    <row r="122" spans="1:47" x14ac:dyDescent="0.35">
      <c r="B122" s="7">
        <f t="shared" si="3"/>
        <v>2088</v>
      </c>
      <c r="C122" s="7" cm="1">
        <f t="array" ref="C122">INDEX(GMWQ!$A$2:$LR$60,MATCH(1,(GMWQ!$LQ$2:$LQ$60=C$3)*(GMWQ!$LP$2:$LP$60=C$4)*(GMWQ!$LR$2:$LR$60=C$1),0),$B122-1966)</f>
        <v>418445</v>
      </c>
      <c r="D122" s="7" cm="1">
        <f t="array" ref="D122">INDEX(GMWQ!$A$2:$LR$60,MATCH(1,(GMWQ!$LQ$2:$LQ$60=D$3)*(GMWQ!$LP$2:$LP$60=D$4)*(GMWQ!$LR$2:$LR$60=D$1),0),$B122-1966)</f>
        <v>333.66669999999999</v>
      </c>
      <c r="E122" s="7" cm="1">
        <f t="array" ref="E122">INDEX(GMWQ!$A$2:$LR$60,MATCH(1,(GMWQ!$LQ$2:$LQ$60=E$3)*(GMWQ!$LP$2:$LP$60=E$4)*(GMWQ!$LR$2:$LR$60=E$1),0),$B122-1966)</f>
        <v>73.900000000000006</v>
      </c>
      <c r="F122" s="7" cm="1">
        <f t="array" ref="F122">INDEX(GMWQ!$A$2:$LR$60,MATCH(1,(GMWQ!$LQ$2:$LQ$60=F$3)*(GMWQ!$LP$2:$LP$60=F$4)*(GMWQ!$LR$2:$LR$60=F$1),0),$B122-1966)</f>
        <v>122776</v>
      </c>
      <c r="G122" s="7" cm="1">
        <f t="array" ref="G122">INDEX(GMWQ!$A$2:$LR$60,MATCH(1,(GMWQ!$LQ$2:$LQ$60=G$3)*(GMWQ!$LP$2:$LP$60=G$4)*(GMWQ!$LR$2:$LR$60=G$1),0),$B122-1966)</f>
        <v>28087</v>
      </c>
      <c r="H122" s="7" cm="1">
        <f t="array" ref="H122">INDEX(GMWQ!$A$2:$LR$60,MATCH(1,(GMWQ!$LQ$2:$LQ$60=H$3)*(GMWQ!$LP$2:$LP$60=H$4)*(GMWQ!$LR$2:$LR$60=H$1),0),$B122-1966)</f>
        <v>8117</v>
      </c>
      <c r="I122" s="7" cm="1">
        <f t="array" ref="I122">INDEX(GMWQ!$A$2:$LR$60,MATCH(1,(GMWQ!$LQ$2:$LQ$60=I$3)*(GMWQ!$LP$2:$LP$60=I$4)*(GMWQ!$LR$2:$LR$60=I$1),0),$B122-1966)</f>
        <v>72.942499999999995</v>
      </c>
      <c r="J122" s="7" cm="1">
        <f t="array" ref="J122">INDEX(GMWQ!$A$2:$LR$60,MATCH(1,(GMWQ!$LQ$2:$LQ$60=J$3)*(GMWQ!$LP$2:$LP$60=J$4)*(GMWQ!$LR$2:$LR$60=J$1),0),$B122-1966)</f>
        <v>24274</v>
      </c>
      <c r="K122" s="7" cm="1">
        <f t="array" ref="K122">INDEX(GMWQ!$A$2:$LR$60,MATCH(1,(GMWQ!$LQ$2:$LQ$60=K$3)*(GMWQ!$LP$2:$LP$60=K$4)*(GMWQ!$LR$2:$LR$60=K$1),0),$B122-1966)</f>
        <v>4</v>
      </c>
      <c r="L122" s="7" cm="1">
        <f t="array" ref="L122">INDEX(GMWQ!$A$2:$LR$60,MATCH(1,(GMWQ!$LQ$2:$LQ$60=L$3)*(GMWQ!$LP$2:$LP$60=L$4)*(GMWQ!$LR$2:$LR$60=L$1),0),$B122-1966)</f>
        <v>5.2</v>
      </c>
      <c r="M122" s="7" cm="1">
        <f t="array" ref="M122">INDEX(GMWQ!$A$2:$LR$60,MATCH(1,(GMWQ!$LQ$2:$LQ$60=M$3)*(GMWQ!$LP$2:$LP$60=M$4)*(GMWQ!$LR$2:$LR$60=M$1),0),$B122-1966)</f>
        <v>52.232030000000002</v>
      </c>
      <c r="N122" s="7" cm="1">
        <f t="array" ref="N122">INDEX(GMWQ!$A$2:$LR$60,MATCH(1,(GMWQ!$LQ$2:$LQ$60=N$3)*(GMWQ!$LP$2:$LP$60=N$4)*(GMWQ!$LR$2:$LR$60=N$1),0),$B122-1966)</f>
        <v>8883</v>
      </c>
      <c r="O122" s="7" cm="1">
        <f t="array" ref="O122">INDEX(GMWQ!$A$2:$LR$60,MATCH(1,(GMWQ!$LQ$2:$LQ$60=O$3)*(GMWQ!$LP$2:$LP$60=O$4)*(GMWQ!$LR$2:$LR$60=O$1),0),$B122-1966)</f>
        <v>5925</v>
      </c>
      <c r="P122" s="7" cm="1">
        <f t="array" ref="P122">INDEX(GMWQ!$A$2:$LR$60,MATCH(1,(GMWQ!$LQ$2:$LQ$60=P$3)*(GMWQ!$LP$2:$LP$60=P$4)*(GMWQ!$LR$2:$LR$60=P$1),0),$B122-1966)</f>
        <v>191387</v>
      </c>
      <c r="Q122" s="7" cm="1">
        <f t="array" ref="Q122">INDEX(GMWQ!$A$2:$LR$60,MATCH(1,(GMWQ!$LQ$2:$LQ$60=Q$3)*(GMWQ!$LP$2:$LP$60=Q$4)*(GMWQ!$LR$2:$LR$60=Q$1),0),$B122-1966)</f>
        <v>5.8466670000000001</v>
      </c>
      <c r="R122" s="7" cm="1">
        <f t="array" ref="R122">INDEX(GMWQ!$A$2:$LR$60,MATCH(1,(GMWQ!$LQ$2:$LQ$60=R$3)*(GMWQ!$LP$2:$LP$60=R$4)*(GMWQ!$LR$2:$LR$60=R$1),0),$B122-1966)</f>
        <v>309070</v>
      </c>
      <c r="S122" s="7" cm="1">
        <f t="array" ref="S122">INDEX(GMWQ!$A$2:$LR$60,MATCH(1,(GMWQ!$LQ$2:$LQ$60=S$3)*(GMWQ!$LP$2:$LP$60=S$4)*(GMWQ!$LR$2:$LR$60=S$1),0),$B122-1966)</f>
        <v>385</v>
      </c>
      <c r="T122" s="7" cm="1">
        <f t="array" ref="T122">INDEX(GMWQ!$A$2:$LR$60,MATCH(1,(GMWQ!$LQ$2:$LQ$60=T$3)*(GMWQ!$LP$2:$LP$60=T$4)*(GMWQ!$LR$2:$LR$60=T$1),0),$B122-1966)</f>
        <v>42687</v>
      </c>
      <c r="U122" s="7" cm="1">
        <f t="array" ref="U122">INDEX(GMWQ!$A$2:$LR$60,MATCH(1,(GMWQ!$LQ$2:$LQ$60=U$3)*(GMWQ!$LP$2:$LP$60=U$4)*(GMWQ!$LR$2:$LR$60=U$1),0),$B122-1966)</f>
        <v>14063</v>
      </c>
      <c r="V122" s="7" cm="1">
        <f t="array" ref="V122">INDEX(GMWQ!$A$2:$LR$60,MATCH(1,(GMWQ!$LQ$2:$LQ$60=V$3)*(GMWQ!$LP$2:$LP$60=V$4)*(GMWQ!$LR$2:$LR$60=V$1),0),$B122-1966)</f>
        <v>2.973996E-3</v>
      </c>
      <c r="W122" s="7" cm="1">
        <f t="array" ref="W122">INDEX(GMWQ!$A$2:$LR$60,MATCH(1,(GMWQ!$LQ$2:$LQ$60=W$3)*(GMWQ!$LP$2:$LP$60=W$4)*(GMWQ!$LR$2:$LR$60=W$1),0),$B122-1966)</f>
        <v>17.89631</v>
      </c>
      <c r="X122" s="7" cm="1">
        <f t="array" ref="X122">INDEX(GMWQ!$A$2:$LR$60,MATCH(1,(GMWQ!$LQ$2:$LQ$60=X$3)*(GMWQ!$LP$2:$LP$60=X$4)*(GMWQ!$LR$2:$LR$60=X$1),0),$B122-1966)</f>
        <v>1630214</v>
      </c>
      <c r="Y122" s="7" cm="1">
        <f t="array" ref="Y122">INDEX(GMWQ!$A$2:$LR$60,MATCH(1,(GMWQ!$LQ$2:$LQ$60=Y$3)*(GMWQ!$LP$2:$LP$60=Y$4)*(GMWQ!$LR$2:$LR$60=Y$1),0),$B122-1966)</f>
        <v>68.896029999999996</v>
      </c>
      <c r="Z122" s="7" cm="1">
        <f t="array" ref="Z122">INDEX(GMWQ!$A$2:$LR$60,MATCH(1,(GMWQ!$LQ$2:$LQ$60=Z$3)*(GMWQ!$LP$2:$LP$60=Z$4)*(GMWQ!$LR$2:$LR$60=Z$1),0),$B122-1966)</f>
        <v>406556.1</v>
      </c>
      <c r="AA122" s="7" cm="1">
        <f t="array" ref="AA122">INDEX(GMWQ!$A$2:$LR$60,MATCH(1,(GMWQ!$LQ$2:$LQ$60=AA$3)*(GMWQ!$LP$2:$LP$60=AA$4)*(GMWQ!$LR$2:$LR$60=AA$1),0),$B122-1966)</f>
        <v>96904</v>
      </c>
      <c r="AB122" s="7" cm="1">
        <f t="array" ref="AB122">INDEX(GMWQ!$A$2:$LR$60,MATCH(1,(GMWQ!$LQ$2:$LQ$60=AB$3)*(GMWQ!$LP$2:$LP$60=AB$4)*(GMWQ!$LR$2:$LR$60=AB$1),0),$B122-1966)</f>
        <v>96828</v>
      </c>
      <c r="AC122" s="7" cm="1">
        <f t="array" ref="AC122">INDEX(GMWQ!$A$2:$LR$60,MATCH(1,(GMWQ!$LQ$2:$LQ$60=AC$3)*(GMWQ!$LP$2:$LP$60=AC$4)*(GMWQ!$LR$2:$LR$60=AC$1),0),$B122-1966)</f>
        <v>3221</v>
      </c>
      <c r="AD122" s="7" cm="1">
        <f t="array" ref="AD122">INDEX(GMWQ!$A$2:$LR$60,MATCH(1,(GMWQ!$LQ$2:$LQ$60=AD$3)*(GMWQ!$LP$2:$LP$60=AD$4)*(GMWQ!$LR$2:$LR$60=AD$1),0),$B122-1966)</f>
        <v>6608</v>
      </c>
      <c r="AE122" s="7" cm="1">
        <f t="array" ref="AE122">INDEX(GMWQ!$A$2:$LR$60,MATCH(1,(GMWQ!$LQ$2:$LQ$60=AE$3)*(GMWQ!$LP$2:$LP$60=AE$4)*(GMWQ!$LR$2:$LR$60=AE$1),0),$B122-1966)</f>
        <v>288292</v>
      </c>
      <c r="AF122" s="20" cm="1">
        <f t="array" ref="AF122">INDEX(GMWQ!$A$2:$LR$60,MATCH(1,(GMWQ!$LQ$2:$LQ$60=AF$3)*(GMWQ!$LP$2:$LP$60=AF$4)*(GMWQ!$LR$2:$LR$60=AF$1),0),$B122-1966)</f>
        <v>4.2234850000000002</v>
      </c>
      <c r="AG122" s="20" cm="1">
        <f t="array" ref="AG122">INDEX(GMWQ!$A$2:$LR$60,MATCH(1,(GMWQ!$LQ$2:$LQ$60=AG$3)*(GMWQ!$LP$2:$LP$60=AG$4)*(GMWQ!$LR$2:$LR$60=AG$1),0),$B122-1966)</f>
        <v>-2958</v>
      </c>
      <c r="AI122" s="23" cm="1">
        <f t="array" ref="AI122">INDEX(GMWQ!$A$2:$LR$60,MATCH(1,(GMWQ!$LQ$2:$LQ$60=AI$3)*(GMWQ!$LP$2:$LP$60=AI$4)*(GMWQ!$LR$2:$LR$60=AI$1),0),$B122-1966)</f>
        <v>191387</v>
      </c>
      <c r="AJ122" s="23" cm="1">
        <f t="array" ref="AJ122">INDEX(GMWQ!$A$2:$LR$60,MATCH(1,(GMWQ!$LQ$2:$LQ$60=AJ$3)*(GMWQ!$LP$2:$LP$60=AJ$4)*(GMWQ!$LR$2:$LR$60=AJ$1),0),$B122-1966)</f>
        <v>72.942499999999995</v>
      </c>
      <c r="AK122" s="23" cm="1">
        <f t="array" ref="AK122">INDEX(GMWQ!$A$2:$LR$60,MATCH(1,(GMWQ!$LQ$2:$LQ$60=AK$3)*(GMWQ!$LP$2:$LP$60=AK$4)*(GMWQ!$LR$2:$LR$60=AK$1),0),$B122-1966)</f>
        <v>122776</v>
      </c>
      <c r="AL122" s="23" cm="1">
        <f t="array" ref="AL122">INDEX(GMWQ!$A$2:$LR$60,MATCH(1,(GMWQ!$LQ$2:$LQ$60=AL$3)*(GMWQ!$LP$2:$LP$60=AL$4)*(GMWQ!$LR$2:$LR$60=AL$1),0),$B122-1966)</f>
        <v>5057.9219999999996</v>
      </c>
      <c r="AM122" s="23" cm="1">
        <f t="array" ref="AM122">INDEX(GMWQ!$A$2:$LR$60,MATCH(1,(GMWQ!$LQ$2:$LQ$60=AM$3)*(GMWQ!$LP$2:$LP$60=AM$4)*(GMWQ!$LR$2:$LR$60=AM$1),0),$B122-1966)</f>
        <v>24274</v>
      </c>
      <c r="AN122" s="23" cm="1">
        <f t="array" ref="AN122">INDEX(GMWQ!$A$2:$LR$60,MATCH(1,(GMWQ!$LQ$2:$LQ$60=AN$3)*(GMWQ!$LP$2:$LP$60=AN$4)*(GMWQ!$LR$2:$LR$60=AN$1),0),$B122-1966)</f>
        <v>28087</v>
      </c>
      <c r="AO122" s="23" cm="1">
        <f t="array" ref="AO122">INDEX(GMWQ!$A$2:$LR$60,MATCH(1,(GMWQ!$LQ$2:$LQ$60=AO$3)*(GMWQ!$LP$2:$LP$60=AO$4)*(GMWQ!$LR$2:$LR$60=AO$1),0),$B122-1966)</f>
        <v>8117</v>
      </c>
      <c r="AP122" s="23" cm="1">
        <f t="array" ref="AP122">INDEX(GMWQ!$A$2:$LR$60,MATCH(1,(GMWQ!$LQ$2:$LQ$60=AP$3)*(GMWQ!$LP$2:$LP$60=AP$4)*(GMWQ!$LR$2:$LR$60=AP$1),0),$B122-1966)</f>
        <v>-2958</v>
      </c>
      <c r="AQ122" s="23" cm="1">
        <f t="array" ref="AQ122">INDEX(GMWQ!$A$2:$LR$60,MATCH(1,(GMWQ!$LQ$2:$LQ$60=AQ$3)*(GMWQ!$LP$2:$LP$60=AQ$4)*(GMWQ!$LR$2:$LR$60=AQ$1),0),$B122-1966)</f>
        <v>30023</v>
      </c>
      <c r="AR122" s="23" cm="1">
        <f t="array" ref="AR122">INDEX(GMWQ!$A$2:$LR$60,MATCH(1,(GMWQ!$LQ$2:$LQ$60=AR$3)*(GMWQ!$LP$2:$LP$60=AR$4)*(GMWQ!$LR$2:$LR$60=AR$1),0),$B122-1966)</f>
        <v>185592</v>
      </c>
      <c r="AS122" s="23" cm="1">
        <f t="array" ref="AS122">INDEX(GMWQ!$A$2:$LR$60,MATCH(1,(GMWQ!$LQ$2:$LQ$60=AS$3)*(GMWQ!$LP$2:$LP$60=AS$4)*(GMWQ!$LR$2:$LR$60=AS$1),0),$B122-1966)</f>
        <v>5307</v>
      </c>
      <c r="AT122" s="23" cm="1">
        <f t="array" ref="AT122">INDEX(GMWQ!$A$2:$LR$60,MATCH(1,(GMWQ!$LQ$2:$LQ$60=AT$3)*(GMWQ!$LP$2:$LP$60=AT$4)*(GMWQ!$LR$2:$LR$60=AT$1),0),$B122-1966)</f>
        <v>254436</v>
      </c>
      <c r="AU122" s="23" cm="1">
        <f t="array" ref="AU122">INDEX(GMWQ!$A$2:$LR$60,MATCH(1,(GMWQ!$LQ$2:$LQ$60=AU$3)*(GMWQ!$LP$2:$LP$60=AU$4)*(GMWQ!$LR$2:$LR$60=AU$1),0),$B122-1966)</f>
        <v>9792</v>
      </c>
    </row>
    <row r="123" spans="1:47" x14ac:dyDescent="0.35">
      <c r="A123" s="7">
        <v>2002</v>
      </c>
      <c r="B123" s="7">
        <f t="shared" si="3"/>
        <v>2089</v>
      </c>
      <c r="C123" s="7" cm="1">
        <f t="array" ref="C123">INDEX(GMWQ!$A$2:$LR$60,MATCH(1,(GMWQ!$LQ$2:$LQ$60=C$3)*(GMWQ!$LP$2:$LP$60=C$4)*(GMWQ!$LR$2:$LR$60=C$1),0),$B123-1966)</f>
        <v>419534</v>
      </c>
      <c r="D123" s="7" cm="1">
        <f t="array" ref="D123">INDEX(GMWQ!$A$2:$LR$60,MATCH(1,(GMWQ!$LQ$2:$LQ$60=D$3)*(GMWQ!$LP$2:$LP$60=D$4)*(GMWQ!$LR$2:$LR$60=D$1),0),$B123-1966)</f>
        <v>333.66669999999999</v>
      </c>
      <c r="E123" s="7" cm="1">
        <f t="array" ref="E123">INDEX(GMWQ!$A$2:$LR$60,MATCH(1,(GMWQ!$LQ$2:$LQ$60=E$3)*(GMWQ!$LP$2:$LP$60=E$4)*(GMWQ!$LR$2:$LR$60=E$1),0),$B123-1966)</f>
        <v>73.866669999999999</v>
      </c>
      <c r="F123" s="7" cm="1">
        <f t="array" ref="F123">INDEX(GMWQ!$A$2:$LR$60,MATCH(1,(GMWQ!$LQ$2:$LQ$60=F$3)*(GMWQ!$LP$2:$LP$60=F$4)*(GMWQ!$LR$2:$LR$60=F$1),0),$B123-1966)</f>
        <v>123527</v>
      </c>
      <c r="G123" s="7" cm="1">
        <f t="array" ref="G123">INDEX(GMWQ!$A$2:$LR$60,MATCH(1,(GMWQ!$LQ$2:$LQ$60=G$3)*(GMWQ!$LP$2:$LP$60=G$4)*(GMWQ!$LR$2:$LR$60=G$1),0),$B123-1966)</f>
        <v>28114</v>
      </c>
      <c r="H123" s="7" cm="1">
        <f t="array" ref="H123">INDEX(GMWQ!$A$2:$LR$60,MATCH(1,(GMWQ!$LQ$2:$LQ$60=H$3)*(GMWQ!$LP$2:$LP$60=H$4)*(GMWQ!$LR$2:$LR$60=H$1),0),$B123-1966)</f>
        <v>8004</v>
      </c>
      <c r="I123" s="7" cm="1">
        <f t="array" ref="I123">INDEX(GMWQ!$A$2:$LR$60,MATCH(1,(GMWQ!$LQ$2:$LQ$60=I$3)*(GMWQ!$LP$2:$LP$60=I$4)*(GMWQ!$LR$2:$LR$60=I$1),0),$B123-1966)</f>
        <v>73.815539999999999</v>
      </c>
      <c r="J123" s="7" cm="1">
        <f t="array" ref="J123">INDEX(GMWQ!$A$2:$LR$60,MATCH(1,(GMWQ!$LQ$2:$LQ$60=J$3)*(GMWQ!$LP$2:$LP$60=J$4)*(GMWQ!$LR$2:$LR$60=J$1),0),$B123-1966)</f>
        <v>24271</v>
      </c>
      <c r="K123" s="7" cm="1">
        <f t="array" ref="K123">INDEX(GMWQ!$A$2:$LR$60,MATCH(1,(GMWQ!$LQ$2:$LQ$60=K$3)*(GMWQ!$LP$2:$LP$60=K$4)*(GMWQ!$LR$2:$LR$60=K$1),0),$B123-1966)</f>
        <v>4</v>
      </c>
      <c r="L123" s="7" cm="1">
        <f t="array" ref="L123">INDEX(GMWQ!$A$2:$LR$60,MATCH(1,(GMWQ!$LQ$2:$LQ$60=L$3)*(GMWQ!$LP$2:$LP$60=L$4)*(GMWQ!$LR$2:$LR$60=L$1),0),$B123-1966)</f>
        <v>5.2</v>
      </c>
      <c r="M123" s="7" cm="1">
        <f t="array" ref="M123">INDEX(GMWQ!$A$2:$LR$60,MATCH(1,(GMWQ!$LQ$2:$LQ$60=M$3)*(GMWQ!$LP$2:$LP$60=M$4)*(GMWQ!$LR$2:$LR$60=M$1),0),$B123-1966)</f>
        <v>54.687869999999997</v>
      </c>
      <c r="N123" s="7" cm="1">
        <f t="array" ref="N123">INDEX(GMWQ!$A$2:$LR$60,MATCH(1,(GMWQ!$LQ$2:$LQ$60=N$3)*(GMWQ!$LP$2:$LP$60=N$4)*(GMWQ!$LR$2:$LR$60=N$1),0),$B123-1966)</f>
        <v>8870</v>
      </c>
      <c r="O123" s="7" cm="1">
        <f t="array" ref="O123">INDEX(GMWQ!$A$2:$LR$60,MATCH(1,(GMWQ!$LQ$2:$LQ$60=O$3)*(GMWQ!$LP$2:$LP$60=O$4)*(GMWQ!$LR$2:$LR$60=O$1),0),$B123-1966)</f>
        <v>6380</v>
      </c>
      <c r="P123" s="7" cm="1">
        <f t="array" ref="P123">INDEX(GMWQ!$A$2:$LR$60,MATCH(1,(GMWQ!$LQ$2:$LQ$60=P$3)*(GMWQ!$LP$2:$LP$60=P$4)*(GMWQ!$LR$2:$LR$60=P$1),0),$B123-1966)</f>
        <v>194407</v>
      </c>
      <c r="Q123" s="7" cm="1">
        <f t="array" ref="Q123">INDEX(GMWQ!$A$2:$LR$60,MATCH(1,(GMWQ!$LQ$2:$LQ$60=Q$3)*(GMWQ!$LP$2:$LP$60=Q$4)*(GMWQ!$LR$2:$LR$60=Q$1),0),$B123-1966)</f>
        <v>5.5133330000000003</v>
      </c>
      <c r="R123" s="7" cm="1">
        <f t="array" ref="R123">INDEX(GMWQ!$A$2:$LR$60,MATCH(1,(GMWQ!$LQ$2:$LQ$60=R$3)*(GMWQ!$LP$2:$LP$60=R$4)*(GMWQ!$LR$2:$LR$60=R$1),0),$B123-1966)</f>
        <v>369041</v>
      </c>
      <c r="S123" s="7" cm="1">
        <f t="array" ref="S123">INDEX(GMWQ!$A$2:$LR$60,MATCH(1,(GMWQ!$LQ$2:$LQ$60=S$3)*(GMWQ!$LP$2:$LP$60=S$4)*(GMWQ!$LR$2:$LR$60=S$1),0),$B123-1966)</f>
        <v>376</v>
      </c>
      <c r="T123" s="7" cm="1">
        <f t="array" ref="T123">INDEX(GMWQ!$A$2:$LR$60,MATCH(1,(GMWQ!$LQ$2:$LQ$60=T$3)*(GMWQ!$LP$2:$LP$60=T$4)*(GMWQ!$LR$2:$LR$60=T$1),0),$B123-1966)</f>
        <v>49008</v>
      </c>
      <c r="U123" s="7" cm="1">
        <f t="array" ref="U123">INDEX(GMWQ!$A$2:$LR$60,MATCH(1,(GMWQ!$LQ$2:$LQ$60=U$3)*(GMWQ!$LP$2:$LP$60=U$4)*(GMWQ!$LR$2:$LR$60=U$1),0),$B123-1966)</f>
        <v>15969</v>
      </c>
      <c r="V123" s="7" cm="1">
        <f t="array" ref="V123">INDEX(GMWQ!$A$2:$LR$60,MATCH(1,(GMWQ!$LQ$2:$LQ$60=V$3)*(GMWQ!$LP$2:$LP$60=V$4)*(GMWQ!$LR$2:$LR$60=V$1),0),$B123-1966)</f>
        <v>3.1005809999999998E-3</v>
      </c>
      <c r="W123" s="7" cm="1">
        <f t="array" ref="W123">INDEX(GMWQ!$A$2:$LR$60,MATCH(1,(GMWQ!$LQ$2:$LQ$60=W$3)*(GMWQ!$LP$2:$LP$60=W$4)*(GMWQ!$LR$2:$LR$60=W$1),0),$B123-1966)</f>
        <v>18.8735</v>
      </c>
      <c r="X123" s="7" cm="1">
        <f t="array" ref="X123">INDEX(GMWQ!$A$2:$LR$60,MATCH(1,(GMWQ!$LQ$2:$LQ$60=X$3)*(GMWQ!$LP$2:$LP$60=X$4)*(GMWQ!$LR$2:$LR$60=X$1),0),$B123-1966)</f>
        <v>1643809</v>
      </c>
      <c r="Y123" s="7" cm="1">
        <f t="array" ref="Y123">INDEX(GMWQ!$A$2:$LR$60,MATCH(1,(GMWQ!$LQ$2:$LQ$60=Y$3)*(GMWQ!$LP$2:$LP$60=Y$4)*(GMWQ!$LR$2:$LR$60=Y$1),0),$B123-1966)</f>
        <v>69.703999999999994</v>
      </c>
      <c r="Z123" s="7" cm="1">
        <f t="array" ref="Z123">INDEX(GMWQ!$A$2:$LR$60,MATCH(1,(GMWQ!$LQ$2:$LQ$60=Z$3)*(GMWQ!$LP$2:$LP$60=Z$4)*(GMWQ!$LR$2:$LR$60=Z$1),0),$B123-1966)</f>
        <v>409142</v>
      </c>
      <c r="AA123" s="7" cm="1">
        <f t="array" ref="AA123">INDEX(GMWQ!$A$2:$LR$60,MATCH(1,(GMWQ!$LQ$2:$LQ$60=AA$3)*(GMWQ!$LP$2:$LP$60=AA$4)*(GMWQ!$LR$2:$LR$60=AA$1),0),$B123-1966)</f>
        <v>111725</v>
      </c>
      <c r="AB123" s="7" cm="1">
        <f t="array" ref="AB123">INDEX(GMWQ!$A$2:$LR$60,MATCH(1,(GMWQ!$LQ$2:$LQ$60=AB$3)*(GMWQ!$LP$2:$LP$60=AB$4)*(GMWQ!$LR$2:$LR$60=AB$1),0),$B123-1966)</f>
        <v>97177</v>
      </c>
      <c r="AC123" s="7" cm="1">
        <f t="array" ref="AC123">INDEX(GMWQ!$A$2:$LR$60,MATCH(1,(GMWQ!$LQ$2:$LQ$60=AC$3)*(GMWQ!$LP$2:$LP$60=AC$4)*(GMWQ!$LR$2:$LR$60=AC$1),0),$B123-1966)</f>
        <v>5269</v>
      </c>
      <c r="AD123" s="7" cm="1">
        <f t="array" ref="AD123">INDEX(GMWQ!$A$2:$LR$60,MATCH(1,(GMWQ!$LQ$2:$LQ$60=AD$3)*(GMWQ!$LP$2:$LP$60=AD$4)*(GMWQ!$LR$2:$LR$60=AD$1),0),$B123-1966)</f>
        <v>6724</v>
      </c>
      <c r="AE123" s="7" cm="1">
        <f t="array" ref="AE123">INDEX(GMWQ!$A$2:$LR$60,MATCH(1,(GMWQ!$LQ$2:$LQ$60=AE$3)*(GMWQ!$LP$2:$LP$60=AE$4)*(GMWQ!$LR$2:$LR$60=AE$1),0),$B123-1966)</f>
        <v>292432</v>
      </c>
      <c r="AF123" s="20" cm="1">
        <f t="array" ref="AF123">INDEX(GMWQ!$A$2:$LR$60,MATCH(1,(GMWQ!$LQ$2:$LQ$60=AF$3)*(GMWQ!$LP$2:$LP$60=AF$4)*(GMWQ!$LR$2:$LR$60=AF$1),0),$B123-1966)</f>
        <v>4</v>
      </c>
      <c r="AG123" s="20" cm="1">
        <f t="array" ref="AG123">INDEX(GMWQ!$A$2:$LR$60,MATCH(1,(GMWQ!$LQ$2:$LQ$60=AG$3)*(GMWQ!$LP$2:$LP$60=AG$4)*(GMWQ!$LR$2:$LR$60=AG$1),0),$B123-1966)</f>
        <v>-2490</v>
      </c>
      <c r="AI123" s="23" cm="1">
        <f t="array" ref="AI123">INDEX(GMWQ!$A$2:$LR$60,MATCH(1,(GMWQ!$LQ$2:$LQ$60=AI$3)*(GMWQ!$LP$2:$LP$60=AI$4)*(GMWQ!$LR$2:$LR$60=AI$1),0),$B123-1966)</f>
        <v>194407</v>
      </c>
      <c r="AJ123" s="23" cm="1">
        <f t="array" ref="AJ123">INDEX(GMWQ!$A$2:$LR$60,MATCH(1,(GMWQ!$LQ$2:$LQ$60=AJ$3)*(GMWQ!$LP$2:$LP$60=AJ$4)*(GMWQ!$LR$2:$LR$60=AJ$1),0),$B123-1966)</f>
        <v>73.815539999999999</v>
      </c>
      <c r="AK123" s="23" cm="1">
        <f t="array" ref="AK123">INDEX(GMWQ!$A$2:$LR$60,MATCH(1,(GMWQ!$LQ$2:$LQ$60=AK$3)*(GMWQ!$LP$2:$LP$60=AK$4)*(GMWQ!$LR$2:$LR$60=AK$1),0),$B123-1966)</f>
        <v>123527</v>
      </c>
      <c r="AL123" s="23" cm="1">
        <f t="array" ref="AL123">INDEX(GMWQ!$A$2:$LR$60,MATCH(1,(GMWQ!$LQ$2:$LQ$60=AL$3)*(GMWQ!$LP$2:$LP$60=AL$4)*(GMWQ!$LR$2:$LR$60=AL$1),0),$B123-1966)</f>
        <v>5089.49</v>
      </c>
      <c r="AM123" s="23" cm="1">
        <f t="array" ref="AM123">INDEX(GMWQ!$A$2:$LR$60,MATCH(1,(GMWQ!$LQ$2:$LQ$60=AM$3)*(GMWQ!$LP$2:$LP$60=AM$4)*(GMWQ!$LR$2:$LR$60=AM$1),0),$B123-1966)</f>
        <v>24271</v>
      </c>
      <c r="AN123" s="23" cm="1">
        <f t="array" ref="AN123">INDEX(GMWQ!$A$2:$LR$60,MATCH(1,(GMWQ!$LQ$2:$LQ$60=AN$3)*(GMWQ!$LP$2:$LP$60=AN$4)*(GMWQ!$LR$2:$LR$60=AN$1),0),$B123-1966)</f>
        <v>28114</v>
      </c>
      <c r="AO123" s="23" cm="1">
        <f t="array" ref="AO123">INDEX(GMWQ!$A$2:$LR$60,MATCH(1,(GMWQ!$LQ$2:$LQ$60=AO$3)*(GMWQ!$LP$2:$LP$60=AO$4)*(GMWQ!$LR$2:$LR$60=AO$1),0),$B123-1966)</f>
        <v>8004</v>
      </c>
      <c r="AP123" s="23" cm="1">
        <f t="array" ref="AP123">INDEX(GMWQ!$A$2:$LR$60,MATCH(1,(GMWQ!$LQ$2:$LQ$60=AP$3)*(GMWQ!$LP$2:$LP$60=AP$4)*(GMWQ!$LR$2:$LR$60=AP$1),0),$B123-1966)</f>
        <v>-2490</v>
      </c>
      <c r="AQ123" s="23" cm="1">
        <f t="array" ref="AQ123">INDEX(GMWQ!$A$2:$LR$60,MATCH(1,(GMWQ!$LQ$2:$LQ$60=AQ$3)*(GMWQ!$LP$2:$LP$60=AQ$4)*(GMWQ!$LR$2:$LR$60=AQ$1),0),$B123-1966)</f>
        <v>29657</v>
      </c>
      <c r="AR123" s="23" cm="1">
        <f t="array" ref="AR123">INDEX(GMWQ!$A$2:$LR$60,MATCH(1,(GMWQ!$LQ$2:$LQ$60=AR$3)*(GMWQ!$LP$2:$LP$60=AR$4)*(GMWQ!$LR$2:$LR$60=AR$1),0),$B123-1966)</f>
        <v>187972</v>
      </c>
      <c r="AS123" s="23" cm="1">
        <f t="array" ref="AS123">INDEX(GMWQ!$A$2:$LR$60,MATCH(1,(GMWQ!$LQ$2:$LQ$60=AS$3)*(GMWQ!$LP$2:$LP$60=AS$4)*(GMWQ!$LR$2:$LR$60=AS$1),0),$B123-1966)</f>
        <v>5427</v>
      </c>
      <c r="AT123" s="23" cm="1">
        <f t="array" ref="AT123">INDEX(GMWQ!$A$2:$LR$60,MATCH(1,(GMWQ!$LQ$2:$LQ$60=AT$3)*(GMWQ!$LP$2:$LP$60=AT$4)*(GMWQ!$LR$2:$LR$60=AT$1),0),$B123-1966)</f>
        <v>254651</v>
      </c>
      <c r="AU123" s="23" cm="1">
        <f t="array" ref="AU123">INDEX(GMWQ!$A$2:$LR$60,MATCH(1,(GMWQ!$LQ$2:$LQ$60=AU$3)*(GMWQ!$LP$2:$LP$60=AU$4)*(GMWQ!$LR$2:$LR$60=AU$1),0),$B123-1966)</f>
        <v>9837</v>
      </c>
    </row>
    <row r="124" spans="1:47" x14ac:dyDescent="0.35">
      <c r="B124" s="7">
        <f t="shared" si="3"/>
        <v>2090</v>
      </c>
      <c r="C124" s="7" cm="1">
        <f t="array" ref="C124">INDEX(GMWQ!$A$2:$LR$60,MATCH(1,(GMWQ!$LQ$2:$LQ$60=C$3)*(GMWQ!$LP$2:$LP$60=C$4)*(GMWQ!$LR$2:$LR$60=C$1),0),$B124-1966)</f>
        <v>421587</v>
      </c>
      <c r="D124" s="7" cm="1">
        <f t="array" ref="D124">INDEX(GMWQ!$A$2:$LR$60,MATCH(1,(GMWQ!$LQ$2:$LQ$60=D$3)*(GMWQ!$LP$2:$LP$60=D$4)*(GMWQ!$LR$2:$LR$60=D$1),0),$B124-1966)</f>
        <v>339</v>
      </c>
      <c r="E124" s="7" cm="1">
        <f t="array" ref="E124">INDEX(GMWQ!$A$2:$LR$60,MATCH(1,(GMWQ!$LQ$2:$LQ$60=E$3)*(GMWQ!$LP$2:$LP$60=E$4)*(GMWQ!$LR$2:$LR$60=E$1),0),$B124-1966)</f>
        <v>74.533330000000007</v>
      </c>
      <c r="F124" s="7" cm="1">
        <f t="array" ref="F124">INDEX(GMWQ!$A$2:$LR$60,MATCH(1,(GMWQ!$LQ$2:$LQ$60=F$3)*(GMWQ!$LP$2:$LP$60=F$4)*(GMWQ!$LR$2:$LR$60=F$1),0),$B124-1966)</f>
        <v>123778</v>
      </c>
      <c r="G124" s="7" cm="1">
        <f t="array" ref="G124">INDEX(GMWQ!$A$2:$LR$60,MATCH(1,(GMWQ!$LQ$2:$LQ$60=G$3)*(GMWQ!$LP$2:$LP$60=G$4)*(GMWQ!$LR$2:$LR$60=G$1),0),$B124-1966)</f>
        <v>27740</v>
      </c>
      <c r="H124" s="7" cm="1">
        <f t="array" ref="H124">INDEX(GMWQ!$A$2:$LR$60,MATCH(1,(GMWQ!$LQ$2:$LQ$60=H$3)*(GMWQ!$LP$2:$LP$60=H$4)*(GMWQ!$LR$2:$LR$60=H$1),0),$B124-1966)</f>
        <v>7826</v>
      </c>
      <c r="I124" s="7" cm="1">
        <f t="array" ref="I124">INDEX(GMWQ!$A$2:$LR$60,MATCH(1,(GMWQ!$LQ$2:$LQ$60=I$3)*(GMWQ!$LP$2:$LP$60=I$4)*(GMWQ!$LR$2:$LR$60=I$1),0),$B124-1966)</f>
        <v>73.949520000000007</v>
      </c>
      <c r="J124" s="7" cm="1">
        <f t="array" ref="J124">INDEX(GMWQ!$A$2:$LR$60,MATCH(1,(GMWQ!$LQ$2:$LQ$60=J$3)*(GMWQ!$LP$2:$LP$60=J$4)*(GMWQ!$LR$2:$LR$60=J$1),0),$B124-1966)</f>
        <v>24395</v>
      </c>
      <c r="K124" s="7" cm="1">
        <f t="array" ref="K124">INDEX(GMWQ!$A$2:$LR$60,MATCH(1,(GMWQ!$LQ$2:$LQ$60=K$3)*(GMWQ!$LP$2:$LP$60=K$4)*(GMWQ!$LR$2:$LR$60=K$1),0),$B124-1966)</f>
        <v>4</v>
      </c>
      <c r="L124" s="7" cm="1">
        <f t="array" ref="L124">INDEX(GMWQ!$A$2:$LR$60,MATCH(1,(GMWQ!$LQ$2:$LQ$60=L$3)*(GMWQ!$LP$2:$LP$60=L$4)*(GMWQ!$LR$2:$LR$60=L$1),0),$B124-1966)</f>
        <v>5.2</v>
      </c>
      <c r="M124" s="7" cm="1">
        <f t="array" ref="M124">INDEX(GMWQ!$A$2:$LR$60,MATCH(1,(GMWQ!$LQ$2:$LQ$60=M$3)*(GMWQ!$LP$2:$LP$60=M$4)*(GMWQ!$LR$2:$LR$60=M$1),0),$B124-1966)</f>
        <v>57.799529999999997</v>
      </c>
      <c r="N124" s="7" cm="1">
        <f t="array" ref="N124">INDEX(GMWQ!$A$2:$LR$60,MATCH(1,(GMWQ!$LQ$2:$LQ$60=N$3)*(GMWQ!$LP$2:$LP$60=N$4)*(GMWQ!$LR$2:$LR$60=N$1),0),$B124-1966)</f>
        <v>9185</v>
      </c>
      <c r="O124" s="7" cm="1">
        <f t="array" ref="O124">INDEX(GMWQ!$A$2:$LR$60,MATCH(1,(GMWQ!$LQ$2:$LQ$60=O$3)*(GMWQ!$LP$2:$LP$60=O$4)*(GMWQ!$LR$2:$LR$60=O$1),0),$B124-1966)</f>
        <v>6744</v>
      </c>
      <c r="P124" s="7" cm="1">
        <f t="array" ref="P124">INDEX(GMWQ!$A$2:$LR$60,MATCH(1,(GMWQ!$LQ$2:$LQ$60=P$3)*(GMWQ!$LP$2:$LP$60=P$4)*(GMWQ!$LR$2:$LR$60=P$1),0),$B124-1966)</f>
        <v>196471</v>
      </c>
      <c r="Q124" s="7" cm="1">
        <f t="array" ref="Q124">INDEX(GMWQ!$A$2:$LR$60,MATCH(1,(GMWQ!$LQ$2:$LQ$60=Q$3)*(GMWQ!$LP$2:$LP$60=Q$4)*(GMWQ!$LR$2:$LR$60=Q$1),0),$B124-1966)</f>
        <v>5.4366659999999998</v>
      </c>
      <c r="R124" s="7" cm="1">
        <f t="array" ref="R124">INDEX(GMWQ!$A$2:$LR$60,MATCH(1,(GMWQ!$LQ$2:$LQ$60=R$3)*(GMWQ!$LP$2:$LP$60=R$4)*(GMWQ!$LR$2:$LR$60=R$1),0),$B124-1966)</f>
        <v>357221</v>
      </c>
      <c r="S124" s="7" cm="1">
        <f t="array" ref="S124">INDEX(GMWQ!$A$2:$LR$60,MATCH(1,(GMWQ!$LQ$2:$LQ$60=S$3)*(GMWQ!$LP$2:$LP$60=S$4)*(GMWQ!$LR$2:$LR$60=S$1),0),$B124-1966)</f>
        <v>404</v>
      </c>
      <c r="T124" s="7" cm="1">
        <f t="array" ref="T124">INDEX(GMWQ!$A$2:$LR$60,MATCH(1,(GMWQ!$LQ$2:$LQ$60=T$3)*(GMWQ!$LP$2:$LP$60=T$4)*(GMWQ!$LR$2:$LR$60=T$1),0),$B124-1966)</f>
        <v>52165</v>
      </c>
      <c r="U124" s="7" cm="1">
        <f t="array" ref="U124">INDEX(GMWQ!$A$2:$LR$60,MATCH(1,(GMWQ!$LQ$2:$LQ$60=U$3)*(GMWQ!$LP$2:$LP$60=U$4)*(GMWQ!$LR$2:$LR$60=U$1),0),$B124-1966)</f>
        <v>18644</v>
      </c>
      <c r="V124" s="7" cm="1">
        <f t="array" ref="V124">INDEX(GMWQ!$A$2:$LR$60,MATCH(1,(GMWQ!$LQ$2:$LQ$60=V$3)*(GMWQ!$LP$2:$LP$60=V$4)*(GMWQ!$LR$2:$LR$60=V$1),0),$B124-1966)</f>
        <v>3.1356880000000002E-3</v>
      </c>
      <c r="W124" s="7" cm="1">
        <f t="array" ref="W124">INDEX(GMWQ!$A$2:$LR$60,MATCH(1,(GMWQ!$LQ$2:$LQ$60=W$3)*(GMWQ!$LP$2:$LP$60=W$4)*(GMWQ!$LR$2:$LR$60=W$1),0),$B124-1966)</f>
        <v>17.87567</v>
      </c>
      <c r="X124" s="7" cm="1">
        <f t="array" ref="X124">INDEX(GMWQ!$A$2:$LR$60,MATCH(1,(GMWQ!$LQ$2:$LQ$60=X$3)*(GMWQ!$LP$2:$LP$60=X$4)*(GMWQ!$LR$2:$LR$60=X$1),0),$B124-1966)</f>
        <v>1667508</v>
      </c>
      <c r="Y124" s="7" cm="1">
        <f t="array" ref="Y124">INDEX(GMWQ!$A$2:$LR$60,MATCH(1,(GMWQ!$LQ$2:$LQ$60=Y$3)*(GMWQ!$LP$2:$LP$60=Y$4)*(GMWQ!$LR$2:$LR$60=Y$1),0),$B124-1966)</f>
        <v>70.150880000000001</v>
      </c>
      <c r="Z124" s="7" cm="1">
        <f t="array" ref="Z124">INDEX(GMWQ!$A$2:$LR$60,MATCH(1,(GMWQ!$LQ$2:$LQ$60=Z$3)*(GMWQ!$LP$2:$LP$60=Z$4)*(GMWQ!$LR$2:$LR$60=Z$1),0),$B124-1966)</f>
        <v>410328.9</v>
      </c>
      <c r="AA124" s="7" cm="1">
        <f t="array" ref="AA124">INDEX(GMWQ!$A$2:$LR$60,MATCH(1,(GMWQ!$LQ$2:$LQ$60=AA$3)*(GMWQ!$LP$2:$LP$60=AA$4)*(GMWQ!$LR$2:$LR$60=AA$1),0),$B124-1966)</f>
        <v>99650</v>
      </c>
      <c r="AB124" s="7" cm="1">
        <f t="array" ref="AB124">INDEX(GMWQ!$A$2:$LR$60,MATCH(1,(GMWQ!$LQ$2:$LQ$60=AB$3)*(GMWQ!$LP$2:$LP$60=AB$4)*(GMWQ!$LR$2:$LR$60=AB$1),0),$B124-1966)</f>
        <v>100920</v>
      </c>
      <c r="AC124" s="7" cm="1">
        <f t="array" ref="AC124">INDEX(GMWQ!$A$2:$LR$60,MATCH(1,(GMWQ!$LQ$2:$LQ$60=AC$3)*(GMWQ!$LP$2:$LP$60=AC$4)*(GMWQ!$LR$2:$LR$60=AC$1),0),$B124-1966)</f>
        <v>1448</v>
      </c>
      <c r="AD124" s="7" cm="1">
        <f t="array" ref="AD124">INDEX(GMWQ!$A$2:$LR$60,MATCH(1,(GMWQ!$LQ$2:$LQ$60=AD$3)*(GMWQ!$LP$2:$LP$60=AD$4)*(GMWQ!$LR$2:$LR$60=AD$1),0),$B124-1966)</f>
        <v>6794</v>
      </c>
      <c r="AE124" s="7" cm="1">
        <f t="array" ref="AE124">INDEX(GMWQ!$A$2:$LR$60,MATCH(1,(GMWQ!$LQ$2:$LQ$60=AE$3)*(GMWQ!$LP$2:$LP$60=AE$4)*(GMWQ!$LR$2:$LR$60=AE$1),0),$B124-1966)</f>
        <v>295747</v>
      </c>
      <c r="AF124" s="20" cm="1">
        <f t="array" ref="AF124">INDEX(GMWQ!$A$2:$LR$60,MATCH(1,(GMWQ!$LQ$2:$LQ$60=AF$3)*(GMWQ!$LP$2:$LP$60=AF$4)*(GMWQ!$LR$2:$LR$60=AF$1),0),$B124-1966)</f>
        <v>4</v>
      </c>
      <c r="AG124" s="20" cm="1">
        <f t="array" ref="AG124">INDEX(GMWQ!$A$2:$LR$60,MATCH(1,(GMWQ!$LQ$2:$LQ$60=AG$3)*(GMWQ!$LP$2:$LP$60=AG$4)*(GMWQ!$LR$2:$LR$60=AG$1),0),$B124-1966)</f>
        <v>-2441</v>
      </c>
      <c r="AI124" s="23" cm="1">
        <f t="array" ref="AI124">INDEX(GMWQ!$A$2:$LR$60,MATCH(1,(GMWQ!$LQ$2:$LQ$60=AI$3)*(GMWQ!$LP$2:$LP$60=AI$4)*(GMWQ!$LR$2:$LR$60=AI$1),0),$B124-1966)</f>
        <v>196471</v>
      </c>
      <c r="AJ124" s="23" cm="1">
        <f t="array" ref="AJ124">INDEX(GMWQ!$A$2:$LR$60,MATCH(1,(GMWQ!$LQ$2:$LQ$60=AJ$3)*(GMWQ!$LP$2:$LP$60=AJ$4)*(GMWQ!$LR$2:$LR$60=AJ$1),0),$B124-1966)</f>
        <v>73.949520000000007</v>
      </c>
      <c r="AK124" s="23" cm="1">
        <f t="array" ref="AK124">INDEX(GMWQ!$A$2:$LR$60,MATCH(1,(GMWQ!$LQ$2:$LQ$60=AK$3)*(GMWQ!$LP$2:$LP$60=AK$4)*(GMWQ!$LR$2:$LR$60=AK$1),0),$B124-1966)</f>
        <v>123778</v>
      </c>
      <c r="AL124" s="23" cm="1">
        <f t="array" ref="AL124">INDEX(GMWQ!$A$2:$LR$60,MATCH(1,(GMWQ!$LQ$2:$LQ$60=AL$3)*(GMWQ!$LP$2:$LP$60=AL$4)*(GMWQ!$LR$2:$LR$60=AL$1),0),$B124-1966)</f>
        <v>5073.9089999999997</v>
      </c>
      <c r="AM124" s="23" cm="1">
        <f t="array" ref="AM124">INDEX(GMWQ!$A$2:$LR$60,MATCH(1,(GMWQ!$LQ$2:$LQ$60=AM$3)*(GMWQ!$LP$2:$LP$60=AM$4)*(GMWQ!$LR$2:$LR$60=AM$1),0),$B124-1966)</f>
        <v>24395</v>
      </c>
      <c r="AN124" s="23" cm="1">
        <f t="array" ref="AN124">INDEX(GMWQ!$A$2:$LR$60,MATCH(1,(GMWQ!$LQ$2:$LQ$60=AN$3)*(GMWQ!$LP$2:$LP$60=AN$4)*(GMWQ!$LR$2:$LR$60=AN$1),0),$B124-1966)</f>
        <v>27740</v>
      </c>
      <c r="AO124" s="23" cm="1">
        <f t="array" ref="AO124">INDEX(GMWQ!$A$2:$LR$60,MATCH(1,(GMWQ!$LQ$2:$LQ$60=AO$3)*(GMWQ!$LP$2:$LP$60=AO$4)*(GMWQ!$LR$2:$LR$60=AO$1),0),$B124-1966)</f>
        <v>7826</v>
      </c>
      <c r="AP124" s="23" cm="1">
        <f t="array" ref="AP124">INDEX(GMWQ!$A$2:$LR$60,MATCH(1,(GMWQ!$LQ$2:$LQ$60=AP$3)*(GMWQ!$LP$2:$LP$60=AP$4)*(GMWQ!$LR$2:$LR$60=AP$1),0),$B124-1966)</f>
        <v>-2441</v>
      </c>
      <c r="AQ124" s="23" cm="1">
        <f t="array" ref="AQ124">INDEX(GMWQ!$A$2:$LR$60,MATCH(1,(GMWQ!$LQ$2:$LQ$60=AQ$3)*(GMWQ!$LP$2:$LP$60=AQ$4)*(GMWQ!$LR$2:$LR$60=AQ$1),0),$B124-1966)</f>
        <v>30217</v>
      </c>
      <c r="AR124" s="23" cm="1">
        <f t="array" ref="AR124">INDEX(GMWQ!$A$2:$LR$60,MATCH(1,(GMWQ!$LQ$2:$LQ$60=AR$3)*(GMWQ!$LP$2:$LP$60=AR$4)*(GMWQ!$LR$2:$LR$60=AR$1),0),$B124-1966)</f>
        <v>189066</v>
      </c>
      <c r="AS124" s="23" cm="1">
        <f t="array" ref="AS124">INDEX(GMWQ!$A$2:$LR$60,MATCH(1,(GMWQ!$LQ$2:$LQ$60=AS$3)*(GMWQ!$LP$2:$LP$60=AS$4)*(GMWQ!$LR$2:$LR$60=AS$1),0),$B124-1966)</f>
        <v>5577</v>
      </c>
      <c r="AT124" s="23" cm="1">
        <f t="array" ref="AT124">INDEX(GMWQ!$A$2:$LR$60,MATCH(1,(GMWQ!$LQ$2:$LQ$60=AT$3)*(GMWQ!$LP$2:$LP$60=AT$4)*(GMWQ!$LR$2:$LR$60=AT$1),0),$B124-1966)</f>
        <v>255669</v>
      </c>
      <c r="AU124" s="23" cm="1">
        <f t="array" ref="AU124">INDEX(GMWQ!$A$2:$LR$60,MATCH(1,(GMWQ!$LQ$2:$LQ$60=AU$3)*(GMWQ!$LP$2:$LP$60=AU$4)*(GMWQ!$LR$2:$LR$60=AU$1),0),$B124-1966)</f>
        <v>9863</v>
      </c>
    </row>
    <row r="125" spans="1:47" x14ac:dyDescent="0.35">
      <c r="B125" s="7">
        <f t="shared" si="3"/>
        <v>2091</v>
      </c>
      <c r="C125" s="7" cm="1">
        <f t="array" ref="C125">INDEX(GMWQ!$A$2:$LR$60,MATCH(1,(GMWQ!$LQ$2:$LQ$60=C$3)*(GMWQ!$LP$2:$LP$60=C$4)*(GMWQ!$LR$2:$LR$60=C$1),0),$B125-1966)</f>
        <v>424425</v>
      </c>
      <c r="D125" s="7" cm="1">
        <f t="array" ref="D125">INDEX(GMWQ!$A$2:$LR$60,MATCH(1,(GMWQ!$LQ$2:$LQ$60=D$3)*(GMWQ!$LP$2:$LP$60=D$4)*(GMWQ!$LR$2:$LR$60=D$1),0),$B125-1966)</f>
        <v>341.33330000000001</v>
      </c>
      <c r="E125" s="7" cm="1">
        <f t="array" ref="E125">INDEX(GMWQ!$A$2:$LR$60,MATCH(1,(GMWQ!$LQ$2:$LQ$60=E$3)*(GMWQ!$LP$2:$LP$60=E$4)*(GMWQ!$LR$2:$LR$60=E$1),0),$B125-1966)</f>
        <v>74.599999999999994</v>
      </c>
      <c r="F125" s="7" cm="1">
        <f t="array" ref="F125">INDEX(GMWQ!$A$2:$LR$60,MATCH(1,(GMWQ!$LQ$2:$LQ$60=F$3)*(GMWQ!$LP$2:$LP$60=F$4)*(GMWQ!$LR$2:$LR$60=F$1),0),$B125-1966)</f>
        <v>125016</v>
      </c>
      <c r="G125" s="7" cm="1">
        <f t="array" ref="G125">INDEX(GMWQ!$A$2:$LR$60,MATCH(1,(GMWQ!$LQ$2:$LQ$60=G$3)*(GMWQ!$LP$2:$LP$60=G$4)*(GMWQ!$LR$2:$LR$60=G$1),0),$B125-1966)</f>
        <v>28054</v>
      </c>
      <c r="H125" s="7" cm="1">
        <f t="array" ref="H125">INDEX(GMWQ!$A$2:$LR$60,MATCH(1,(GMWQ!$LQ$2:$LQ$60=H$3)*(GMWQ!$LP$2:$LP$60=H$4)*(GMWQ!$LR$2:$LR$60=H$1),0),$B125-1966)</f>
        <v>8269</v>
      </c>
      <c r="I125" s="7" cm="1">
        <f t="array" ref="I125">INDEX(GMWQ!$A$2:$LR$60,MATCH(1,(GMWQ!$LQ$2:$LQ$60=I$3)*(GMWQ!$LP$2:$LP$60=I$4)*(GMWQ!$LR$2:$LR$60=I$1),0),$B125-1966)</f>
        <v>74.030460000000005</v>
      </c>
      <c r="J125" s="7" cm="1">
        <f t="array" ref="J125">INDEX(GMWQ!$A$2:$LR$60,MATCH(1,(GMWQ!$LQ$2:$LQ$60=J$3)*(GMWQ!$LP$2:$LP$60=J$4)*(GMWQ!$LR$2:$LR$60=J$1),0),$B125-1966)</f>
        <v>24386</v>
      </c>
      <c r="K125" s="7" cm="1">
        <f t="array" ref="K125">INDEX(GMWQ!$A$2:$LR$60,MATCH(1,(GMWQ!$LQ$2:$LQ$60=K$3)*(GMWQ!$LP$2:$LP$60=K$4)*(GMWQ!$LR$2:$LR$60=K$1),0),$B125-1966)</f>
        <v>4</v>
      </c>
      <c r="L125" s="7" cm="1">
        <f t="array" ref="L125">INDEX(GMWQ!$A$2:$LR$60,MATCH(1,(GMWQ!$LQ$2:$LQ$60=L$3)*(GMWQ!$LP$2:$LP$60=L$4)*(GMWQ!$LR$2:$LR$60=L$1),0),$B125-1966)</f>
        <v>5.3</v>
      </c>
      <c r="M125" s="7" cm="1">
        <f t="array" ref="M125">INDEX(GMWQ!$A$2:$LR$60,MATCH(1,(GMWQ!$LQ$2:$LQ$60=M$3)*(GMWQ!$LP$2:$LP$60=M$4)*(GMWQ!$LR$2:$LR$60=M$1),0),$B125-1966)</f>
        <v>61.268039999999999</v>
      </c>
      <c r="N125" s="7" cm="1">
        <f t="array" ref="N125">INDEX(GMWQ!$A$2:$LR$60,MATCH(1,(GMWQ!$LQ$2:$LQ$60=N$3)*(GMWQ!$LP$2:$LP$60=N$4)*(GMWQ!$LR$2:$LR$60=N$1),0),$B125-1966)</f>
        <v>9390</v>
      </c>
      <c r="O125" s="7" cm="1">
        <f t="array" ref="O125">INDEX(GMWQ!$A$2:$LR$60,MATCH(1,(GMWQ!$LQ$2:$LQ$60=O$3)*(GMWQ!$LP$2:$LP$60=O$4)*(GMWQ!$LR$2:$LR$60=O$1),0),$B125-1966)</f>
        <v>6946</v>
      </c>
      <c r="P125" s="7" cm="1">
        <f t="array" ref="P125">INDEX(GMWQ!$A$2:$LR$60,MATCH(1,(GMWQ!$LQ$2:$LQ$60=P$3)*(GMWQ!$LP$2:$LP$60=P$4)*(GMWQ!$LR$2:$LR$60=P$1),0),$B125-1966)</f>
        <v>196135</v>
      </c>
      <c r="Q125" s="7" cm="1">
        <f t="array" ref="Q125">INDEX(GMWQ!$A$2:$LR$60,MATCH(1,(GMWQ!$LQ$2:$LQ$60=Q$3)*(GMWQ!$LP$2:$LP$60=Q$4)*(GMWQ!$LR$2:$LR$60=Q$1),0),$B125-1966)</f>
        <v>5.3133340000000002</v>
      </c>
      <c r="R125" s="7" cm="1">
        <f t="array" ref="R125">INDEX(GMWQ!$A$2:$LR$60,MATCH(1,(GMWQ!$LQ$2:$LQ$60=R$3)*(GMWQ!$LP$2:$LP$60=R$4)*(GMWQ!$LR$2:$LR$60=R$1),0),$B125-1966)</f>
        <v>343218</v>
      </c>
      <c r="S125" s="7" cm="1">
        <f t="array" ref="S125">INDEX(GMWQ!$A$2:$LR$60,MATCH(1,(GMWQ!$LQ$2:$LQ$60=S$3)*(GMWQ!$LP$2:$LP$60=S$4)*(GMWQ!$LR$2:$LR$60=S$1),0),$B125-1966)</f>
        <v>416</v>
      </c>
      <c r="T125" s="7" cm="1">
        <f t="array" ref="T125">INDEX(GMWQ!$A$2:$LR$60,MATCH(1,(GMWQ!$LQ$2:$LQ$60=T$3)*(GMWQ!$LP$2:$LP$60=T$4)*(GMWQ!$LR$2:$LR$60=T$1),0),$B125-1966)</f>
        <v>55437</v>
      </c>
      <c r="U125" s="7" cm="1">
        <f t="array" ref="U125">INDEX(GMWQ!$A$2:$LR$60,MATCH(1,(GMWQ!$LQ$2:$LQ$60=U$3)*(GMWQ!$LP$2:$LP$60=U$4)*(GMWQ!$LR$2:$LR$60=U$1),0),$B125-1966)</f>
        <v>19859</v>
      </c>
      <c r="V125" s="7" cm="1">
        <f t="array" ref="V125">INDEX(GMWQ!$A$2:$LR$60,MATCH(1,(GMWQ!$LQ$2:$LQ$60=V$3)*(GMWQ!$LP$2:$LP$60=V$4)*(GMWQ!$LR$2:$LR$60=V$1),0),$B125-1966)</f>
        <v>2.9405070000000002E-3</v>
      </c>
      <c r="W125" s="7" cm="1">
        <f t="array" ref="W125">INDEX(GMWQ!$A$2:$LR$60,MATCH(1,(GMWQ!$LQ$2:$LQ$60=W$3)*(GMWQ!$LP$2:$LP$60=W$4)*(GMWQ!$LR$2:$LR$60=W$1),0),$B125-1966)</f>
        <v>17.524570000000001</v>
      </c>
      <c r="X125" s="7" cm="1">
        <f t="array" ref="X125">INDEX(GMWQ!$A$2:$LR$60,MATCH(1,(GMWQ!$LQ$2:$LQ$60=X$3)*(GMWQ!$LP$2:$LP$60=X$4)*(GMWQ!$LR$2:$LR$60=X$1),0),$B125-1966)</f>
        <v>1700092</v>
      </c>
      <c r="Y125" s="7" cm="1">
        <f t="array" ref="Y125">INDEX(GMWQ!$A$2:$LR$60,MATCH(1,(GMWQ!$LQ$2:$LQ$60=Y$3)*(GMWQ!$LP$2:$LP$60=Y$4)*(GMWQ!$LR$2:$LR$60=Y$1),0),$B125-1966)</f>
        <v>70.491839999999996</v>
      </c>
      <c r="Z125" s="7" cm="1">
        <f t="array" ref="Z125">INDEX(GMWQ!$A$2:$LR$60,MATCH(1,(GMWQ!$LQ$2:$LQ$60=Z$3)*(GMWQ!$LP$2:$LP$60=Z$4)*(GMWQ!$LR$2:$LR$60=Z$1),0),$B125-1966)</f>
        <v>414893.7</v>
      </c>
      <c r="AA125" s="7" cm="1">
        <f t="array" ref="AA125">INDEX(GMWQ!$A$2:$LR$60,MATCH(1,(GMWQ!$LQ$2:$LQ$60=AA$3)*(GMWQ!$LP$2:$LP$60=AA$4)*(GMWQ!$LR$2:$LR$60=AA$1),0),$B125-1966)</f>
        <v>104987</v>
      </c>
      <c r="AB125" s="7" cm="1">
        <f t="array" ref="AB125">INDEX(GMWQ!$A$2:$LR$60,MATCH(1,(GMWQ!$LQ$2:$LQ$60=AB$3)*(GMWQ!$LP$2:$LP$60=AB$4)*(GMWQ!$LR$2:$LR$60=AB$1),0),$B125-1966)</f>
        <v>101072</v>
      </c>
      <c r="AC125" s="7" cm="1">
        <f t="array" ref="AC125">INDEX(GMWQ!$A$2:$LR$60,MATCH(1,(GMWQ!$LQ$2:$LQ$60=AC$3)*(GMWQ!$LP$2:$LP$60=AC$4)*(GMWQ!$LR$2:$LR$60=AC$1),0),$B125-1966)</f>
        <v>3151</v>
      </c>
      <c r="AD125" s="7" cm="1">
        <f t="array" ref="AD125">INDEX(GMWQ!$A$2:$LR$60,MATCH(1,(GMWQ!$LQ$2:$LQ$60=AD$3)*(GMWQ!$LP$2:$LP$60=AD$4)*(GMWQ!$LR$2:$LR$60=AD$1),0),$B125-1966)</f>
        <v>6891</v>
      </c>
      <c r="AE125" s="7" cm="1">
        <f t="array" ref="AE125">INDEX(GMWQ!$A$2:$LR$60,MATCH(1,(GMWQ!$LQ$2:$LQ$60=AE$3)*(GMWQ!$LP$2:$LP$60=AE$4)*(GMWQ!$LR$2:$LR$60=AE$1),0),$B125-1966)</f>
        <v>299185</v>
      </c>
      <c r="AF125" s="20" cm="1">
        <f t="array" ref="AF125">INDEX(GMWQ!$A$2:$LR$60,MATCH(1,(GMWQ!$LQ$2:$LQ$60=AF$3)*(GMWQ!$LP$2:$LP$60=AF$4)*(GMWQ!$LR$2:$LR$60=AF$1),0),$B125-1966)</f>
        <v>4</v>
      </c>
      <c r="AG125" s="20" cm="1">
        <f t="array" ref="AG125">INDEX(GMWQ!$A$2:$LR$60,MATCH(1,(GMWQ!$LQ$2:$LQ$60=AG$3)*(GMWQ!$LP$2:$LP$60=AG$4)*(GMWQ!$LR$2:$LR$60=AG$1),0),$B125-1966)</f>
        <v>-2444</v>
      </c>
      <c r="AI125" s="23" cm="1">
        <f t="array" ref="AI125">INDEX(GMWQ!$A$2:$LR$60,MATCH(1,(GMWQ!$LQ$2:$LQ$60=AI$3)*(GMWQ!$LP$2:$LP$60=AI$4)*(GMWQ!$LR$2:$LR$60=AI$1),0),$B125-1966)</f>
        <v>196135</v>
      </c>
      <c r="AJ125" s="23" cm="1">
        <f t="array" ref="AJ125">INDEX(GMWQ!$A$2:$LR$60,MATCH(1,(GMWQ!$LQ$2:$LQ$60=AJ$3)*(GMWQ!$LP$2:$LP$60=AJ$4)*(GMWQ!$LR$2:$LR$60=AJ$1),0),$B125-1966)</f>
        <v>74.030460000000005</v>
      </c>
      <c r="AK125" s="23" cm="1">
        <f t="array" ref="AK125">INDEX(GMWQ!$A$2:$LR$60,MATCH(1,(GMWQ!$LQ$2:$LQ$60=AK$3)*(GMWQ!$LP$2:$LP$60=AK$4)*(GMWQ!$LR$2:$LR$60=AK$1),0),$B125-1966)</f>
        <v>125016</v>
      </c>
      <c r="AL125" s="23" cm="1">
        <f t="array" ref="AL125">INDEX(GMWQ!$A$2:$LR$60,MATCH(1,(GMWQ!$LQ$2:$LQ$60=AL$3)*(GMWQ!$LP$2:$LP$60=AL$4)*(GMWQ!$LR$2:$LR$60=AL$1),0),$B125-1966)</f>
        <v>5126.5479999999998</v>
      </c>
      <c r="AM125" s="23" cm="1">
        <f t="array" ref="AM125">INDEX(GMWQ!$A$2:$LR$60,MATCH(1,(GMWQ!$LQ$2:$LQ$60=AM$3)*(GMWQ!$LP$2:$LP$60=AM$4)*(GMWQ!$LR$2:$LR$60=AM$1),0),$B125-1966)</f>
        <v>24386</v>
      </c>
      <c r="AN125" s="23" cm="1">
        <f t="array" ref="AN125">INDEX(GMWQ!$A$2:$LR$60,MATCH(1,(GMWQ!$LQ$2:$LQ$60=AN$3)*(GMWQ!$LP$2:$LP$60=AN$4)*(GMWQ!$LR$2:$LR$60=AN$1),0),$B125-1966)</f>
        <v>28054</v>
      </c>
      <c r="AO125" s="23" cm="1">
        <f t="array" ref="AO125">INDEX(GMWQ!$A$2:$LR$60,MATCH(1,(GMWQ!$LQ$2:$LQ$60=AO$3)*(GMWQ!$LP$2:$LP$60=AO$4)*(GMWQ!$LR$2:$LR$60=AO$1),0),$B125-1966)</f>
        <v>8269</v>
      </c>
      <c r="AP125" s="23" cm="1">
        <f t="array" ref="AP125">INDEX(GMWQ!$A$2:$LR$60,MATCH(1,(GMWQ!$LQ$2:$LQ$60=AP$3)*(GMWQ!$LP$2:$LP$60=AP$4)*(GMWQ!$LR$2:$LR$60=AP$1),0),$B125-1966)</f>
        <v>-2444</v>
      </c>
      <c r="AQ125" s="23" cm="1">
        <f t="array" ref="AQ125">INDEX(GMWQ!$A$2:$LR$60,MATCH(1,(GMWQ!$LQ$2:$LQ$60=AQ$3)*(GMWQ!$LP$2:$LP$60=AQ$4)*(GMWQ!$LR$2:$LR$60=AQ$1),0),$B125-1966)</f>
        <v>30471</v>
      </c>
      <c r="AR125" s="23" cm="1">
        <f t="array" ref="AR125">INDEX(GMWQ!$A$2:$LR$60,MATCH(1,(GMWQ!$LQ$2:$LQ$60=AR$3)*(GMWQ!$LP$2:$LP$60=AR$4)*(GMWQ!$LR$2:$LR$60=AR$1),0),$B125-1966)</f>
        <v>191120</v>
      </c>
      <c r="AS125" s="23" cm="1">
        <f t="array" ref="AS125">INDEX(GMWQ!$A$2:$LR$60,MATCH(1,(GMWQ!$LQ$2:$LQ$60=AS$3)*(GMWQ!$LP$2:$LP$60=AS$4)*(GMWQ!$LR$2:$LR$60=AS$1),0),$B125-1966)</f>
        <v>5719</v>
      </c>
      <c r="AT125" s="23" cm="1">
        <f t="array" ref="AT125">INDEX(GMWQ!$A$2:$LR$60,MATCH(1,(GMWQ!$LQ$2:$LQ$60=AT$3)*(GMWQ!$LP$2:$LP$60=AT$4)*(GMWQ!$LR$2:$LR$60=AT$1),0),$B125-1966)</f>
        <v>258164</v>
      </c>
      <c r="AU125" s="23" cm="1">
        <f t="array" ref="AU125">INDEX(GMWQ!$A$2:$LR$60,MATCH(1,(GMWQ!$LQ$2:$LQ$60=AU$3)*(GMWQ!$LP$2:$LP$60=AU$4)*(GMWQ!$LR$2:$LR$60=AU$1),0),$B125-1966)</f>
        <v>10098</v>
      </c>
    </row>
    <row r="126" spans="1:47" x14ac:dyDescent="0.35">
      <c r="B126" s="7">
        <f t="shared" si="3"/>
        <v>2092</v>
      </c>
      <c r="C126" s="7" cm="1">
        <f t="array" ref="C126">INDEX(GMWQ!$A$2:$LR$60,MATCH(1,(GMWQ!$LQ$2:$LQ$60=C$3)*(GMWQ!$LP$2:$LP$60=C$4)*(GMWQ!$LR$2:$LR$60=C$1),0),$B126-1966)</f>
        <v>427725</v>
      </c>
      <c r="D126" s="7" cm="1">
        <f t="array" ref="D126">INDEX(GMWQ!$A$2:$LR$60,MATCH(1,(GMWQ!$LQ$2:$LQ$60=D$3)*(GMWQ!$LP$2:$LP$60=D$4)*(GMWQ!$LR$2:$LR$60=D$1),0),$B126-1966)</f>
        <v>342.66669999999999</v>
      </c>
      <c r="E126" s="7" cm="1">
        <f t="array" ref="E126">INDEX(GMWQ!$A$2:$LR$60,MATCH(1,(GMWQ!$LQ$2:$LQ$60=E$3)*(GMWQ!$LP$2:$LP$60=E$4)*(GMWQ!$LR$2:$LR$60=E$1),0),$B126-1966)</f>
        <v>75</v>
      </c>
      <c r="F126" s="7" cm="1">
        <f t="array" ref="F126">INDEX(GMWQ!$A$2:$LR$60,MATCH(1,(GMWQ!$LQ$2:$LQ$60=F$3)*(GMWQ!$LP$2:$LP$60=F$4)*(GMWQ!$LR$2:$LR$60=F$1),0),$B126-1966)</f>
        <v>126386</v>
      </c>
      <c r="G126" s="7" cm="1">
        <f t="array" ref="G126">INDEX(GMWQ!$A$2:$LR$60,MATCH(1,(GMWQ!$LQ$2:$LQ$60=G$3)*(GMWQ!$LP$2:$LP$60=G$4)*(GMWQ!$LR$2:$LR$60=G$1),0),$B126-1966)</f>
        <v>28262</v>
      </c>
      <c r="H126" s="7" cm="1">
        <f t="array" ref="H126">INDEX(GMWQ!$A$2:$LR$60,MATCH(1,(GMWQ!$LQ$2:$LQ$60=H$3)*(GMWQ!$LP$2:$LP$60=H$4)*(GMWQ!$LR$2:$LR$60=H$1),0),$B126-1966)</f>
        <v>8233</v>
      </c>
      <c r="I126" s="7" cm="1">
        <f t="array" ref="I126">INDEX(GMWQ!$A$2:$LR$60,MATCH(1,(GMWQ!$LQ$2:$LQ$60=I$3)*(GMWQ!$LP$2:$LP$60=I$4)*(GMWQ!$LR$2:$LR$60=I$1),0),$B126-1966)</f>
        <v>74.478980000000007</v>
      </c>
      <c r="J126" s="7" cm="1">
        <f t="array" ref="J126">INDEX(GMWQ!$A$2:$LR$60,MATCH(1,(GMWQ!$LQ$2:$LQ$60=J$3)*(GMWQ!$LP$2:$LP$60=J$4)*(GMWQ!$LR$2:$LR$60=J$1),0),$B126-1966)</f>
        <v>24576</v>
      </c>
      <c r="K126" s="7" cm="1">
        <f t="array" ref="K126">INDEX(GMWQ!$A$2:$LR$60,MATCH(1,(GMWQ!$LQ$2:$LQ$60=K$3)*(GMWQ!$LP$2:$LP$60=K$4)*(GMWQ!$LR$2:$LR$60=K$1),0),$B126-1966)</f>
        <v>4</v>
      </c>
      <c r="L126" s="7" cm="1">
        <f t="array" ref="L126">INDEX(GMWQ!$A$2:$LR$60,MATCH(1,(GMWQ!$LQ$2:$LQ$60=L$3)*(GMWQ!$LP$2:$LP$60=L$4)*(GMWQ!$LR$2:$LR$60=L$1),0),$B126-1966)</f>
        <v>5.0999999999999996</v>
      </c>
      <c r="M126" s="7" cm="1">
        <f t="array" ref="M126">INDEX(GMWQ!$A$2:$LR$60,MATCH(1,(GMWQ!$LQ$2:$LQ$60=M$3)*(GMWQ!$LP$2:$LP$60=M$4)*(GMWQ!$LR$2:$LR$60=M$1),0),$B126-1966)</f>
        <v>65.462400000000002</v>
      </c>
      <c r="N126" s="7" cm="1">
        <f t="array" ref="N126">INDEX(GMWQ!$A$2:$LR$60,MATCH(1,(GMWQ!$LQ$2:$LQ$60=N$3)*(GMWQ!$LP$2:$LP$60=N$4)*(GMWQ!$LR$2:$LR$60=N$1),0),$B126-1966)</f>
        <v>9666</v>
      </c>
      <c r="O126" s="7" cm="1">
        <f t="array" ref="O126">INDEX(GMWQ!$A$2:$LR$60,MATCH(1,(GMWQ!$LQ$2:$LQ$60=O$3)*(GMWQ!$LP$2:$LP$60=O$4)*(GMWQ!$LR$2:$LR$60=O$1),0),$B126-1966)</f>
        <v>7050</v>
      </c>
      <c r="P126" s="7" cm="1">
        <f t="array" ref="P126">INDEX(GMWQ!$A$2:$LR$60,MATCH(1,(GMWQ!$LQ$2:$LQ$60=P$3)*(GMWQ!$LP$2:$LP$60=P$4)*(GMWQ!$LR$2:$LR$60=P$1),0),$B126-1966)</f>
        <v>198285</v>
      </c>
      <c r="Q126" s="7" cm="1">
        <f t="array" ref="Q126">INDEX(GMWQ!$A$2:$LR$60,MATCH(1,(GMWQ!$LQ$2:$LQ$60=Q$3)*(GMWQ!$LP$2:$LP$60=Q$4)*(GMWQ!$LR$2:$LR$60=Q$1),0),$B126-1966)</f>
        <v>5.2966670000000002</v>
      </c>
      <c r="R126" s="7" cm="1">
        <f t="array" ref="R126">INDEX(GMWQ!$A$2:$LR$60,MATCH(1,(GMWQ!$LQ$2:$LQ$60=R$3)*(GMWQ!$LP$2:$LP$60=R$4)*(GMWQ!$LR$2:$LR$60=R$1),0),$B126-1966)</f>
        <v>352353</v>
      </c>
      <c r="S126" s="7" cm="1">
        <f t="array" ref="S126">INDEX(GMWQ!$A$2:$LR$60,MATCH(1,(GMWQ!$LQ$2:$LQ$60=S$3)*(GMWQ!$LP$2:$LP$60=S$4)*(GMWQ!$LR$2:$LR$60=S$1),0),$B126-1966)</f>
        <v>392</v>
      </c>
      <c r="T126" s="7" cm="1">
        <f t="array" ref="T126">INDEX(GMWQ!$A$2:$LR$60,MATCH(1,(GMWQ!$LQ$2:$LQ$60=T$3)*(GMWQ!$LP$2:$LP$60=T$4)*(GMWQ!$LR$2:$LR$60=T$1),0),$B126-1966)</f>
        <v>60581</v>
      </c>
      <c r="U126" s="7" cm="1">
        <f t="array" ref="U126">INDEX(GMWQ!$A$2:$LR$60,MATCH(1,(GMWQ!$LQ$2:$LQ$60=U$3)*(GMWQ!$LP$2:$LP$60=U$4)*(GMWQ!$LR$2:$LR$60=U$1),0),$B126-1966)</f>
        <v>22304</v>
      </c>
      <c r="V126" s="7" cm="1">
        <f t="array" ref="V126">INDEX(GMWQ!$A$2:$LR$60,MATCH(1,(GMWQ!$LQ$2:$LQ$60=V$3)*(GMWQ!$LP$2:$LP$60=V$4)*(GMWQ!$LR$2:$LR$60=V$1),0),$B126-1966)</f>
        <v>3.0997099999999999E-3</v>
      </c>
      <c r="W126" s="7" cm="1">
        <f t="array" ref="W126">INDEX(GMWQ!$A$2:$LR$60,MATCH(1,(GMWQ!$LQ$2:$LQ$60=W$3)*(GMWQ!$LP$2:$LP$60=W$4)*(GMWQ!$LR$2:$LR$60=W$1),0),$B126-1966)</f>
        <v>16.848929999999999</v>
      </c>
      <c r="X126" s="7" cm="1">
        <f t="array" ref="X126">INDEX(GMWQ!$A$2:$LR$60,MATCH(1,(GMWQ!$LQ$2:$LQ$60=X$3)*(GMWQ!$LP$2:$LP$60=X$4)*(GMWQ!$LR$2:$LR$60=X$1),0),$B126-1966)</f>
        <v>1744130</v>
      </c>
      <c r="Y126" s="7" cm="1">
        <f t="array" ref="Y126">INDEX(GMWQ!$A$2:$LR$60,MATCH(1,(GMWQ!$LQ$2:$LQ$60=Y$3)*(GMWQ!$LP$2:$LP$60=Y$4)*(GMWQ!$LR$2:$LR$60=Y$1),0),$B126-1966)</f>
        <v>71.091239999999999</v>
      </c>
      <c r="Z126" s="7" cm="1">
        <f t="array" ref="Z126">INDEX(GMWQ!$A$2:$LR$60,MATCH(1,(GMWQ!$LQ$2:$LQ$60=Z$3)*(GMWQ!$LP$2:$LP$60=Z$4)*(GMWQ!$LR$2:$LR$60=Z$1),0),$B126-1966)</f>
        <v>416920.6</v>
      </c>
      <c r="AA126" s="7" cm="1">
        <f t="array" ref="AA126">INDEX(GMWQ!$A$2:$LR$60,MATCH(1,(GMWQ!$LQ$2:$LQ$60=AA$3)*(GMWQ!$LP$2:$LP$60=AA$4)*(GMWQ!$LR$2:$LR$60=AA$1),0),$B126-1966)</f>
        <v>99620</v>
      </c>
      <c r="AB126" s="7" cm="1">
        <f t="array" ref="AB126">INDEX(GMWQ!$A$2:$LR$60,MATCH(1,(GMWQ!$LQ$2:$LQ$60=AB$3)*(GMWQ!$LP$2:$LP$60=AB$4)*(GMWQ!$LR$2:$LR$60=AB$1),0),$B126-1966)</f>
        <v>102757</v>
      </c>
      <c r="AC126" s="7" cm="1">
        <f t="array" ref="AC126">INDEX(GMWQ!$A$2:$LR$60,MATCH(1,(GMWQ!$LQ$2:$LQ$60=AC$3)*(GMWQ!$LP$2:$LP$60=AC$4)*(GMWQ!$LR$2:$LR$60=AC$1),0),$B126-1966)</f>
        <v>4148</v>
      </c>
      <c r="AD126" s="7" cm="1">
        <f t="array" ref="AD126">INDEX(GMWQ!$A$2:$LR$60,MATCH(1,(GMWQ!$LQ$2:$LQ$60=AD$3)*(GMWQ!$LP$2:$LP$60=AD$4)*(GMWQ!$LR$2:$LR$60=AD$1),0),$B126-1966)</f>
        <v>6924</v>
      </c>
      <c r="AE126" s="7" cm="1">
        <f t="array" ref="AE126">INDEX(GMWQ!$A$2:$LR$60,MATCH(1,(GMWQ!$LQ$2:$LQ$60=AE$3)*(GMWQ!$LP$2:$LP$60=AE$4)*(GMWQ!$LR$2:$LR$60=AE$1),0),$B126-1966)</f>
        <v>304075</v>
      </c>
      <c r="AF126" s="20" cm="1">
        <f t="array" ref="AF126">INDEX(GMWQ!$A$2:$LR$60,MATCH(1,(GMWQ!$LQ$2:$LQ$60=AF$3)*(GMWQ!$LP$2:$LP$60=AF$4)*(GMWQ!$LR$2:$LR$60=AF$1),0),$B126-1966)</f>
        <v>4</v>
      </c>
      <c r="AG126" s="20" cm="1">
        <f t="array" ref="AG126">INDEX(GMWQ!$A$2:$LR$60,MATCH(1,(GMWQ!$LQ$2:$LQ$60=AG$3)*(GMWQ!$LP$2:$LP$60=AG$4)*(GMWQ!$LR$2:$LR$60=AG$1),0),$B126-1966)</f>
        <v>-2616</v>
      </c>
      <c r="AI126" s="23" cm="1">
        <f t="array" ref="AI126">INDEX(GMWQ!$A$2:$LR$60,MATCH(1,(GMWQ!$LQ$2:$LQ$60=AI$3)*(GMWQ!$LP$2:$LP$60=AI$4)*(GMWQ!$LR$2:$LR$60=AI$1),0),$B126-1966)</f>
        <v>198285</v>
      </c>
      <c r="AJ126" s="23" cm="1">
        <f t="array" ref="AJ126">INDEX(GMWQ!$A$2:$LR$60,MATCH(1,(GMWQ!$LQ$2:$LQ$60=AJ$3)*(GMWQ!$LP$2:$LP$60=AJ$4)*(GMWQ!$LR$2:$LR$60=AJ$1),0),$B126-1966)</f>
        <v>74.478980000000007</v>
      </c>
      <c r="AK126" s="23" cm="1">
        <f t="array" ref="AK126">INDEX(GMWQ!$A$2:$LR$60,MATCH(1,(GMWQ!$LQ$2:$LQ$60=AK$3)*(GMWQ!$LP$2:$LP$60=AK$4)*(GMWQ!$LR$2:$LR$60=AK$1),0),$B126-1966)</f>
        <v>126386</v>
      </c>
      <c r="AL126" s="23" cm="1">
        <f t="array" ref="AL126">INDEX(GMWQ!$A$2:$LR$60,MATCH(1,(GMWQ!$LQ$2:$LQ$60=AL$3)*(GMWQ!$LP$2:$LP$60=AL$4)*(GMWQ!$LR$2:$LR$60=AL$1),0),$B126-1966)</f>
        <v>5142.66</v>
      </c>
      <c r="AM126" s="23" cm="1">
        <f t="array" ref="AM126">INDEX(GMWQ!$A$2:$LR$60,MATCH(1,(GMWQ!$LQ$2:$LQ$60=AM$3)*(GMWQ!$LP$2:$LP$60=AM$4)*(GMWQ!$LR$2:$LR$60=AM$1),0),$B126-1966)</f>
        <v>24576</v>
      </c>
      <c r="AN126" s="23" cm="1">
        <f t="array" ref="AN126">INDEX(GMWQ!$A$2:$LR$60,MATCH(1,(GMWQ!$LQ$2:$LQ$60=AN$3)*(GMWQ!$LP$2:$LP$60=AN$4)*(GMWQ!$LR$2:$LR$60=AN$1),0),$B126-1966)</f>
        <v>28262</v>
      </c>
      <c r="AO126" s="23" cm="1">
        <f t="array" ref="AO126">INDEX(GMWQ!$A$2:$LR$60,MATCH(1,(GMWQ!$LQ$2:$LQ$60=AO$3)*(GMWQ!$LP$2:$LP$60=AO$4)*(GMWQ!$LR$2:$LR$60=AO$1),0),$B126-1966)</f>
        <v>8233</v>
      </c>
      <c r="AP126" s="23" cm="1">
        <f t="array" ref="AP126">INDEX(GMWQ!$A$2:$LR$60,MATCH(1,(GMWQ!$LQ$2:$LQ$60=AP$3)*(GMWQ!$LP$2:$LP$60=AP$4)*(GMWQ!$LR$2:$LR$60=AP$1),0),$B126-1966)</f>
        <v>-2616</v>
      </c>
      <c r="AQ126" s="23" cm="1">
        <f t="array" ref="AQ126">INDEX(GMWQ!$A$2:$LR$60,MATCH(1,(GMWQ!$LQ$2:$LQ$60=AQ$3)*(GMWQ!$LP$2:$LP$60=AQ$4)*(GMWQ!$LR$2:$LR$60=AQ$1),0),$B126-1966)</f>
        <v>31219</v>
      </c>
      <c r="AR126" s="23" cm="1">
        <f t="array" ref="AR126">INDEX(GMWQ!$A$2:$LR$60,MATCH(1,(GMWQ!$LQ$2:$LQ$60=AR$3)*(GMWQ!$LP$2:$LP$60=AR$4)*(GMWQ!$LR$2:$LR$60=AR$1),0),$B126-1966)</f>
        <v>194017</v>
      </c>
      <c r="AS126" s="23" cm="1">
        <f t="array" ref="AS126">INDEX(GMWQ!$A$2:$LR$60,MATCH(1,(GMWQ!$LQ$2:$LQ$60=AS$3)*(GMWQ!$LP$2:$LP$60=AS$4)*(GMWQ!$LR$2:$LR$60=AS$1),0),$B126-1966)</f>
        <v>5874</v>
      </c>
      <c r="AT126" s="23" cm="1">
        <f t="array" ref="AT126">INDEX(GMWQ!$A$2:$LR$60,MATCH(1,(GMWQ!$LQ$2:$LQ$60=AT$3)*(GMWQ!$LP$2:$LP$60=AT$4)*(GMWQ!$LR$2:$LR$60=AT$1),0),$B126-1966)</f>
        <v>260499</v>
      </c>
      <c r="AU126" s="23" cm="1">
        <f t="array" ref="AU126">INDEX(GMWQ!$A$2:$LR$60,MATCH(1,(GMWQ!$LQ$2:$LQ$60=AU$3)*(GMWQ!$LP$2:$LP$60=AU$4)*(GMWQ!$LR$2:$LR$60=AU$1),0),$B126-1966)</f>
        <v>10164</v>
      </c>
    </row>
    <row r="127" spans="1:47" x14ac:dyDescent="0.35">
      <c r="A127" s="7">
        <v>2003</v>
      </c>
      <c r="B127" s="7">
        <f t="shared" si="3"/>
        <v>2093</v>
      </c>
      <c r="C127" s="7" cm="1">
        <f t="array" ref="C127">INDEX(GMWQ!$A$2:$LR$60,MATCH(1,(GMWQ!$LQ$2:$LQ$60=C$3)*(GMWQ!$LP$2:$LP$60=C$4)*(GMWQ!$LR$2:$LR$60=C$1),0),$B127-1966)</f>
        <v>430832</v>
      </c>
      <c r="D127" s="7" cm="1">
        <f t="array" ref="D127">INDEX(GMWQ!$A$2:$LR$60,MATCH(1,(GMWQ!$LQ$2:$LQ$60=D$3)*(GMWQ!$LP$2:$LP$60=D$4)*(GMWQ!$LR$2:$LR$60=D$1),0),$B127-1966)</f>
        <v>343</v>
      </c>
      <c r="E127" s="7" cm="1">
        <f t="array" ref="E127">INDEX(GMWQ!$A$2:$LR$60,MATCH(1,(GMWQ!$LQ$2:$LQ$60=E$3)*(GMWQ!$LP$2:$LP$60=E$4)*(GMWQ!$LR$2:$LR$60=E$1),0),$B127-1966)</f>
        <v>75</v>
      </c>
      <c r="F127" s="7" cm="1">
        <f t="array" ref="F127">INDEX(GMWQ!$A$2:$LR$60,MATCH(1,(GMWQ!$LQ$2:$LQ$60=F$3)*(GMWQ!$LP$2:$LP$60=F$4)*(GMWQ!$LR$2:$LR$60=F$1),0),$B127-1966)</f>
        <v>127744</v>
      </c>
      <c r="G127" s="7" cm="1">
        <f t="array" ref="G127">INDEX(GMWQ!$A$2:$LR$60,MATCH(1,(GMWQ!$LQ$2:$LQ$60=G$3)*(GMWQ!$LP$2:$LP$60=G$4)*(GMWQ!$LR$2:$LR$60=G$1),0),$B127-1966)</f>
        <v>28345</v>
      </c>
      <c r="H127" s="7" cm="1">
        <f t="array" ref="H127">INDEX(GMWQ!$A$2:$LR$60,MATCH(1,(GMWQ!$LQ$2:$LQ$60=H$3)*(GMWQ!$LP$2:$LP$60=H$4)*(GMWQ!$LR$2:$LR$60=H$1),0),$B127-1966)</f>
        <v>8512</v>
      </c>
      <c r="I127" s="7" cm="1">
        <f t="array" ref="I127">INDEX(GMWQ!$A$2:$LR$60,MATCH(1,(GMWQ!$LQ$2:$LQ$60=I$3)*(GMWQ!$LP$2:$LP$60=I$4)*(GMWQ!$LR$2:$LR$60=I$1),0),$B127-1966)</f>
        <v>74.640739999999994</v>
      </c>
      <c r="J127" s="7" cm="1">
        <f t="array" ref="J127">INDEX(GMWQ!$A$2:$LR$60,MATCH(1,(GMWQ!$LQ$2:$LQ$60=J$3)*(GMWQ!$LP$2:$LP$60=J$4)*(GMWQ!$LR$2:$LR$60=J$1),0),$B127-1966)</f>
        <v>24495</v>
      </c>
      <c r="K127" s="7" cm="1">
        <f t="array" ref="K127">INDEX(GMWQ!$A$2:$LR$60,MATCH(1,(GMWQ!$LQ$2:$LQ$60=K$3)*(GMWQ!$LP$2:$LP$60=K$4)*(GMWQ!$LR$2:$LR$60=K$1),0),$B127-1966)</f>
        <v>3.75</v>
      </c>
      <c r="L127" s="7" cm="1">
        <f t="array" ref="L127">INDEX(GMWQ!$A$2:$LR$60,MATCH(1,(GMWQ!$LQ$2:$LQ$60=L$3)*(GMWQ!$LP$2:$LP$60=L$4)*(GMWQ!$LR$2:$LR$60=L$1),0),$B127-1966)</f>
        <v>5.2</v>
      </c>
      <c r="M127" s="7" cm="1">
        <f t="array" ref="M127">INDEX(GMWQ!$A$2:$LR$60,MATCH(1,(GMWQ!$LQ$2:$LQ$60=M$3)*(GMWQ!$LP$2:$LP$60=M$4)*(GMWQ!$LR$2:$LR$60=M$1),0),$B127-1966)</f>
        <v>66.087800000000001</v>
      </c>
      <c r="N127" s="7" cm="1">
        <f t="array" ref="N127">INDEX(GMWQ!$A$2:$LR$60,MATCH(1,(GMWQ!$LQ$2:$LQ$60=N$3)*(GMWQ!$LP$2:$LP$60=N$4)*(GMWQ!$LR$2:$LR$60=N$1),0),$B127-1966)</f>
        <v>9784</v>
      </c>
      <c r="O127" s="7" cm="1">
        <f t="array" ref="O127">INDEX(GMWQ!$A$2:$LR$60,MATCH(1,(GMWQ!$LQ$2:$LQ$60=O$3)*(GMWQ!$LP$2:$LP$60=O$4)*(GMWQ!$LR$2:$LR$60=O$1),0),$B127-1966)</f>
        <v>7180</v>
      </c>
      <c r="P127" s="7" cm="1">
        <f t="array" ref="P127">INDEX(GMWQ!$A$2:$LR$60,MATCH(1,(GMWQ!$LQ$2:$LQ$60=P$3)*(GMWQ!$LP$2:$LP$60=P$4)*(GMWQ!$LR$2:$LR$60=P$1),0),$B127-1966)</f>
        <v>200308</v>
      </c>
      <c r="Q127" s="7" cm="1">
        <f t="array" ref="Q127">INDEX(GMWQ!$A$2:$LR$60,MATCH(1,(GMWQ!$LQ$2:$LQ$60=Q$3)*(GMWQ!$LP$2:$LP$60=Q$4)*(GMWQ!$LR$2:$LR$60=Q$1),0),$B127-1966)</f>
        <v>5.1733330000000004</v>
      </c>
      <c r="R127" s="7" cm="1">
        <f t="array" ref="R127">INDEX(GMWQ!$A$2:$LR$60,MATCH(1,(GMWQ!$LQ$2:$LQ$60=R$3)*(GMWQ!$LP$2:$LP$60=R$4)*(GMWQ!$LR$2:$LR$60=R$1),0),$B127-1966)</f>
        <v>304500</v>
      </c>
      <c r="S127" s="7" cm="1">
        <f t="array" ref="S127">INDEX(GMWQ!$A$2:$LR$60,MATCH(1,(GMWQ!$LQ$2:$LQ$60=S$3)*(GMWQ!$LP$2:$LP$60=S$4)*(GMWQ!$LR$2:$LR$60=S$1),0),$B127-1966)</f>
        <v>363</v>
      </c>
      <c r="T127" s="7" cm="1">
        <f t="array" ref="T127">INDEX(GMWQ!$A$2:$LR$60,MATCH(1,(GMWQ!$LQ$2:$LQ$60=T$3)*(GMWQ!$LP$2:$LP$60=T$4)*(GMWQ!$LR$2:$LR$60=T$1),0),$B127-1966)</f>
        <v>65289</v>
      </c>
      <c r="U127" s="7" cm="1">
        <f t="array" ref="U127">INDEX(GMWQ!$A$2:$LR$60,MATCH(1,(GMWQ!$LQ$2:$LQ$60=U$3)*(GMWQ!$LP$2:$LP$60=U$4)*(GMWQ!$LR$2:$LR$60=U$1),0),$B127-1966)</f>
        <v>22387</v>
      </c>
      <c r="V127" s="7" cm="1">
        <f t="array" ref="V127">INDEX(GMWQ!$A$2:$LR$60,MATCH(1,(GMWQ!$LQ$2:$LQ$60=V$3)*(GMWQ!$LP$2:$LP$60=V$4)*(GMWQ!$LR$2:$LR$60=V$1),0),$B127-1966)</f>
        <v>2.712969E-3</v>
      </c>
      <c r="W127" s="7" cm="1">
        <f t="array" ref="W127">INDEX(GMWQ!$A$2:$LR$60,MATCH(1,(GMWQ!$LQ$2:$LQ$60=W$3)*(GMWQ!$LP$2:$LP$60=W$4)*(GMWQ!$LR$2:$LR$60=W$1),0),$B127-1966)</f>
        <v>16.53473</v>
      </c>
      <c r="X127" s="7" cm="1">
        <f t="array" ref="X127">INDEX(GMWQ!$A$2:$LR$60,MATCH(1,(GMWQ!$LQ$2:$LQ$60=X$3)*(GMWQ!$LP$2:$LP$60=X$4)*(GMWQ!$LR$2:$LR$60=X$1),0),$B127-1966)</f>
        <v>1787882</v>
      </c>
      <c r="Y127" s="7" cm="1">
        <f t="array" ref="Y127">INDEX(GMWQ!$A$2:$LR$60,MATCH(1,(GMWQ!$LQ$2:$LQ$60=Y$3)*(GMWQ!$LP$2:$LP$60=Y$4)*(GMWQ!$LR$2:$LR$60=Y$1),0),$B127-1966)</f>
        <v>71.363079999999997</v>
      </c>
      <c r="Z127" s="7" cm="1">
        <f t="array" ref="Z127">INDEX(GMWQ!$A$2:$LR$60,MATCH(1,(GMWQ!$LQ$2:$LQ$60=Z$3)*(GMWQ!$LP$2:$LP$60=Z$4)*(GMWQ!$LR$2:$LR$60=Z$1),0),$B127-1966)</f>
        <v>419524.9</v>
      </c>
      <c r="AA127" s="7" cm="1">
        <f t="array" ref="AA127">INDEX(GMWQ!$A$2:$LR$60,MATCH(1,(GMWQ!$LQ$2:$LQ$60=AA$3)*(GMWQ!$LP$2:$LP$60=AA$4)*(GMWQ!$LR$2:$LR$60=AA$1),0),$B127-1966)</f>
        <v>113546</v>
      </c>
      <c r="AB127" s="7" cm="1">
        <f t="array" ref="AB127">INDEX(GMWQ!$A$2:$LR$60,MATCH(1,(GMWQ!$LQ$2:$LQ$60=AB$3)*(GMWQ!$LP$2:$LP$60=AB$4)*(GMWQ!$LR$2:$LR$60=AB$1),0),$B127-1966)</f>
        <v>103583</v>
      </c>
      <c r="AC127" s="7" cm="1">
        <f t="array" ref="AC127">INDEX(GMWQ!$A$2:$LR$60,MATCH(1,(GMWQ!$LQ$2:$LQ$60=AC$3)*(GMWQ!$LP$2:$LP$60=AC$4)*(GMWQ!$LR$2:$LR$60=AC$1),0),$B127-1966)</f>
        <v>8719</v>
      </c>
      <c r="AD127" s="7" cm="1">
        <f t="array" ref="AD127">INDEX(GMWQ!$A$2:$LR$60,MATCH(1,(GMWQ!$LQ$2:$LQ$60=AD$3)*(GMWQ!$LP$2:$LP$60=AD$4)*(GMWQ!$LR$2:$LR$60=AD$1),0),$B127-1966)</f>
        <v>7583</v>
      </c>
      <c r="AE127" s="7" cm="1">
        <f t="array" ref="AE127">INDEX(GMWQ!$A$2:$LR$60,MATCH(1,(GMWQ!$LQ$2:$LQ$60=AE$3)*(GMWQ!$LP$2:$LP$60=AE$4)*(GMWQ!$LR$2:$LR$60=AE$1),0),$B127-1966)</f>
        <v>307455</v>
      </c>
      <c r="AF127" s="20" cm="1">
        <f t="array" ref="AF127">INDEX(GMWQ!$A$2:$LR$60,MATCH(1,(GMWQ!$LQ$2:$LQ$60=AF$3)*(GMWQ!$LP$2:$LP$60=AF$4)*(GMWQ!$LR$2:$LR$60=AF$1),0),$B127-1966)</f>
        <v>3.8515630000000001</v>
      </c>
      <c r="AG127" s="20" cm="1">
        <f t="array" ref="AG127">INDEX(GMWQ!$A$2:$LR$60,MATCH(1,(GMWQ!$LQ$2:$LQ$60=AG$3)*(GMWQ!$LP$2:$LP$60=AG$4)*(GMWQ!$LR$2:$LR$60=AG$1),0),$B127-1966)</f>
        <v>-2604</v>
      </c>
      <c r="AI127" s="23" cm="1">
        <f t="array" ref="AI127">INDEX(GMWQ!$A$2:$LR$60,MATCH(1,(GMWQ!$LQ$2:$LQ$60=AI$3)*(GMWQ!$LP$2:$LP$60=AI$4)*(GMWQ!$LR$2:$LR$60=AI$1),0),$B127-1966)</f>
        <v>200308</v>
      </c>
      <c r="AJ127" s="23" cm="1">
        <f t="array" ref="AJ127">INDEX(GMWQ!$A$2:$LR$60,MATCH(1,(GMWQ!$LQ$2:$LQ$60=AJ$3)*(GMWQ!$LP$2:$LP$60=AJ$4)*(GMWQ!$LR$2:$LR$60=AJ$1),0),$B127-1966)</f>
        <v>74.640739999999994</v>
      </c>
      <c r="AK127" s="23" cm="1">
        <f t="array" ref="AK127">INDEX(GMWQ!$A$2:$LR$60,MATCH(1,(GMWQ!$LQ$2:$LQ$60=AK$3)*(GMWQ!$LP$2:$LP$60=AK$4)*(GMWQ!$LR$2:$LR$60=AK$1),0),$B127-1966)</f>
        <v>127744</v>
      </c>
      <c r="AL127" s="23" cm="1">
        <f t="array" ref="AL127">INDEX(GMWQ!$A$2:$LR$60,MATCH(1,(GMWQ!$LQ$2:$LQ$60=AL$3)*(GMWQ!$LP$2:$LP$60=AL$4)*(GMWQ!$LR$2:$LR$60=AL$1),0),$B127-1966)</f>
        <v>5215.1049999999996</v>
      </c>
      <c r="AM127" s="23" cm="1">
        <f t="array" ref="AM127">INDEX(GMWQ!$A$2:$LR$60,MATCH(1,(GMWQ!$LQ$2:$LQ$60=AM$3)*(GMWQ!$LP$2:$LP$60=AM$4)*(GMWQ!$LR$2:$LR$60=AM$1),0),$B127-1966)</f>
        <v>24495</v>
      </c>
      <c r="AN127" s="23" cm="1">
        <f t="array" ref="AN127">INDEX(GMWQ!$A$2:$LR$60,MATCH(1,(GMWQ!$LQ$2:$LQ$60=AN$3)*(GMWQ!$LP$2:$LP$60=AN$4)*(GMWQ!$LR$2:$LR$60=AN$1),0),$B127-1966)</f>
        <v>28345</v>
      </c>
      <c r="AO127" s="23" cm="1">
        <f t="array" ref="AO127">INDEX(GMWQ!$A$2:$LR$60,MATCH(1,(GMWQ!$LQ$2:$LQ$60=AO$3)*(GMWQ!$LP$2:$LP$60=AO$4)*(GMWQ!$LR$2:$LR$60=AO$1),0),$B127-1966)</f>
        <v>8512</v>
      </c>
      <c r="AP127" s="23" cm="1">
        <f t="array" ref="AP127">INDEX(GMWQ!$A$2:$LR$60,MATCH(1,(GMWQ!$LQ$2:$LQ$60=AP$3)*(GMWQ!$LP$2:$LP$60=AP$4)*(GMWQ!$LR$2:$LR$60=AP$1),0),$B127-1966)</f>
        <v>-2604</v>
      </c>
      <c r="AQ127" s="23" cm="1">
        <f t="array" ref="AQ127">INDEX(GMWQ!$A$2:$LR$60,MATCH(1,(GMWQ!$LQ$2:$LQ$60=AQ$3)*(GMWQ!$LP$2:$LP$60=AQ$4)*(GMWQ!$LR$2:$LR$60=AQ$1),0),$B127-1966)</f>
        <v>31373</v>
      </c>
      <c r="AR127" s="23" cm="1">
        <f t="array" ref="AR127">INDEX(GMWQ!$A$2:$LR$60,MATCH(1,(GMWQ!$LQ$2:$LQ$60=AR$3)*(GMWQ!$LP$2:$LP$60=AR$4)*(GMWQ!$LR$2:$LR$60=AR$1),0),$B127-1966)</f>
        <v>195711</v>
      </c>
      <c r="AS127" s="23" cm="1">
        <f t="array" ref="AS127">INDEX(GMWQ!$A$2:$LR$60,MATCH(1,(GMWQ!$LQ$2:$LQ$60=AS$3)*(GMWQ!$LP$2:$LP$60=AS$4)*(GMWQ!$LR$2:$LR$60=AS$1),0),$B127-1966)</f>
        <v>5994</v>
      </c>
      <c r="AT127" s="23" cm="1">
        <f t="array" ref="AT127">INDEX(GMWQ!$A$2:$LR$60,MATCH(1,(GMWQ!$LQ$2:$LQ$60=AT$3)*(GMWQ!$LP$2:$LP$60=AT$4)*(GMWQ!$LR$2:$LR$60=AT$1),0),$B127-1966)</f>
        <v>262204</v>
      </c>
      <c r="AU127" s="23" cm="1">
        <f t="array" ref="AU127">INDEX(GMWQ!$A$2:$LR$60,MATCH(1,(GMWQ!$LQ$2:$LQ$60=AU$3)*(GMWQ!$LP$2:$LP$60=AU$4)*(GMWQ!$LR$2:$LR$60=AU$1),0),$B127-1966)</f>
        <v>10160</v>
      </c>
    </row>
    <row r="128" spans="1:47" x14ac:dyDescent="0.35">
      <c r="B128" s="7">
        <f t="shared" si="3"/>
        <v>2094</v>
      </c>
      <c r="C128" s="7" cm="1">
        <f t="array" ref="C128">INDEX(GMWQ!$A$2:$LR$60,MATCH(1,(GMWQ!$LQ$2:$LQ$60=C$3)*(GMWQ!$LP$2:$LP$60=C$4)*(GMWQ!$LR$2:$LR$60=C$1),0),$B128-1966)</f>
        <v>434837</v>
      </c>
      <c r="D128" s="7" cm="1">
        <f t="array" ref="D128">INDEX(GMWQ!$A$2:$LR$60,MATCH(1,(GMWQ!$LQ$2:$LQ$60=D$3)*(GMWQ!$LP$2:$LP$60=D$4)*(GMWQ!$LR$2:$LR$60=D$1),0),$B128-1966)</f>
        <v>348</v>
      </c>
      <c r="E128" s="7" cm="1">
        <f t="array" ref="E128">INDEX(GMWQ!$A$2:$LR$60,MATCH(1,(GMWQ!$LQ$2:$LQ$60=E$3)*(GMWQ!$LP$2:$LP$60=E$4)*(GMWQ!$LR$2:$LR$60=E$1),0),$B128-1966)</f>
        <v>75.466669999999993</v>
      </c>
      <c r="F128" s="7" cm="1">
        <f t="array" ref="F128">INDEX(GMWQ!$A$2:$LR$60,MATCH(1,(GMWQ!$LQ$2:$LQ$60=F$3)*(GMWQ!$LP$2:$LP$60=F$4)*(GMWQ!$LR$2:$LR$60=F$1),0),$B128-1966)</f>
        <v>129189</v>
      </c>
      <c r="G128" s="7" cm="1">
        <f t="array" ref="G128">INDEX(GMWQ!$A$2:$LR$60,MATCH(1,(GMWQ!$LQ$2:$LQ$60=G$3)*(GMWQ!$LP$2:$LP$60=G$4)*(GMWQ!$LR$2:$LR$60=G$1),0),$B128-1966)</f>
        <v>28931</v>
      </c>
      <c r="H128" s="7" cm="1">
        <f t="array" ref="H128">INDEX(GMWQ!$A$2:$LR$60,MATCH(1,(GMWQ!$LQ$2:$LQ$60=H$3)*(GMWQ!$LP$2:$LP$60=H$4)*(GMWQ!$LR$2:$LR$60=H$1),0),$B128-1966)</f>
        <v>9652</v>
      </c>
      <c r="I128" s="7" cm="1">
        <f t="array" ref="I128">INDEX(GMWQ!$A$2:$LR$60,MATCH(1,(GMWQ!$LQ$2:$LQ$60=I$3)*(GMWQ!$LP$2:$LP$60=I$4)*(GMWQ!$LR$2:$LR$60=I$1),0),$B128-1966)</f>
        <v>74.648349999999994</v>
      </c>
      <c r="J128" s="7" cm="1">
        <f t="array" ref="J128">INDEX(GMWQ!$A$2:$LR$60,MATCH(1,(GMWQ!$LQ$2:$LQ$60=J$3)*(GMWQ!$LP$2:$LP$60=J$4)*(GMWQ!$LR$2:$LR$60=J$1),0),$B128-1966)</f>
        <v>24492</v>
      </c>
      <c r="K128" s="7" cm="1">
        <f t="array" ref="K128">INDEX(GMWQ!$A$2:$LR$60,MATCH(1,(GMWQ!$LQ$2:$LQ$60=K$3)*(GMWQ!$LP$2:$LP$60=K$4)*(GMWQ!$LR$2:$LR$60=K$1),0),$B128-1966)</f>
        <v>3.75</v>
      </c>
      <c r="L128" s="7" cm="1">
        <f t="array" ref="L128">INDEX(GMWQ!$A$2:$LR$60,MATCH(1,(GMWQ!$LQ$2:$LQ$60=L$3)*(GMWQ!$LP$2:$LP$60=L$4)*(GMWQ!$LR$2:$LR$60=L$1),0),$B128-1966)</f>
        <v>4.9000000000000004</v>
      </c>
      <c r="M128" s="7" cm="1">
        <f t="array" ref="M128">INDEX(GMWQ!$A$2:$LR$60,MATCH(1,(GMWQ!$LQ$2:$LQ$60=M$3)*(GMWQ!$LP$2:$LP$60=M$4)*(GMWQ!$LR$2:$LR$60=M$1),0),$B128-1966)</f>
        <v>67.731319999999997</v>
      </c>
      <c r="N128" s="7" cm="1">
        <f t="array" ref="N128">INDEX(GMWQ!$A$2:$LR$60,MATCH(1,(GMWQ!$LQ$2:$LQ$60=N$3)*(GMWQ!$LP$2:$LP$60=N$4)*(GMWQ!$LR$2:$LR$60=N$1),0),$B128-1966)</f>
        <v>9684</v>
      </c>
      <c r="O128" s="7" cm="1">
        <f t="array" ref="O128">INDEX(GMWQ!$A$2:$LR$60,MATCH(1,(GMWQ!$LQ$2:$LQ$60=O$3)*(GMWQ!$LP$2:$LP$60=O$4)*(GMWQ!$LR$2:$LR$60=O$1),0),$B128-1966)</f>
        <v>7243</v>
      </c>
      <c r="P128" s="7" cm="1">
        <f t="array" ref="P128">INDEX(GMWQ!$A$2:$LR$60,MATCH(1,(GMWQ!$LQ$2:$LQ$60=P$3)*(GMWQ!$LP$2:$LP$60=P$4)*(GMWQ!$LR$2:$LR$60=P$1),0),$B128-1966)</f>
        <v>201618</v>
      </c>
      <c r="Q128" s="7" cm="1">
        <f t="array" ref="Q128">INDEX(GMWQ!$A$2:$LR$60,MATCH(1,(GMWQ!$LQ$2:$LQ$60=Q$3)*(GMWQ!$LP$2:$LP$60=Q$4)*(GMWQ!$LR$2:$LR$60=Q$1),0),$B128-1966)</f>
        <v>5.01</v>
      </c>
      <c r="R128" s="7" cm="1">
        <f t="array" ref="R128">INDEX(GMWQ!$A$2:$LR$60,MATCH(1,(GMWQ!$LQ$2:$LQ$60=R$3)*(GMWQ!$LP$2:$LP$60=R$4)*(GMWQ!$LR$2:$LR$60=R$1),0),$B128-1966)</f>
        <v>307009</v>
      </c>
      <c r="S128" s="7" cm="1">
        <f t="array" ref="S128">INDEX(GMWQ!$A$2:$LR$60,MATCH(1,(GMWQ!$LQ$2:$LQ$60=S$3)*(GMWQ!$LP$2:$LP$60=S$4)*(GMWQ!$LR$2:$LR$60=S$1),0),$B128-1966)</f>
        <v>318</v>
      </c>
      <c r="T128" s="7" cm="1">
        <f t="array" ref="T128">INDEX(GMWQ!$A$2:$LR$60,MATCH(1,(GMWQ!$LQ$2:$LQ$60=T$3)*(GMWQ!$LP$2:$LP$60=T$4)*(GMWQ!$LR$2:$LR$60=T$1),0),$B128-1966)</f>
        <v>64136</v>
      </c>
      <c r="U128" s="7" cm="1">
        <f t="array" ref="U128">INDEX(GMWQ!$A$2:$LR$60,MATCH(1,(GMWQ!$LQ$2:$LQ$60=U$3)*(GMWQ!$LP$2:$LP$60=U$4)*(GMWQ!$LR$2:$LR$60=U$1),0),$B128-1966)</f>
        <v>22562</v>
      </c>
      <c r="V128" s="7" cm="1">
        <f t="array" ref="V128">INDEX(GMWQ!$A$2:$LR$60,MATCH(1,(GMWQ!$LQ$2:$LQ$60=V$3)*(GMWQ!$LP$2:$LP$60=V$4)*(GMWQ!$LR$2:$LR$60=V$1),0),$B128-1966)</f>
        <v>2.6837470000000002E-3</v>
      </c>
      <c r="W128" s="7" cm="1">
        <f t="array" ref="W128">INDEX(GMWQ!$A$2:$LR$60,MATCH(1,(GMWQ!$LQ$2:$LQ$60=W$3)*(GMWQ!$LP$2:$LP$60=W$4)*(GMWQ!$LR$2:$LR$60=W$1),0),$B128-1966)</f>
        <v>15.269159999999999</v>
      </c>
      <c r="X128" s="7" cm="1">
        <f t="array" ref="X128">INDEX(GMWQ!$A$2:$LR$60,MATCH(1,(GMWQ!$LQ$2:$LQ$60=X$3)*(GMWQ!$LP$2:$LP$60=X$4)*(GMWQ!$LR$2:$LR$60=X$1),0),$B128-1966)</f>
        <v>1852822</v>
      </c>
      <c r="Y128" s="7" cm="1">
        <f t="array" ref="Y128">INDEX(GMWQ!$A$2:$LR$60,MATCH(1,(GMWQ!$LQ$2:$LQ$60=Y$3)*(GMWQ!$LP$2:$LP$60=Y$4)*(GMWQ!$LR$2:$LR$60=Y$1),0),$B128-1966)</f>
        <v>72.004459999999995</v>
      </c>
      <c r="Z128" s="7" cm="1">
        <f t="array" ref="Z128">INDEX(GMWQ!$A$2:$LR$60,MATCH(1,(GMWQ!$LQ$2:$LQ$60=Z$3)*(GMWQ!$LP$2:$LP$60=Z$4)*(GMWQ!$LR$2:$LR$60=Z$1),0),$B128-1966)</f>
        <v>422474.7</v>
      </c>
      <c r="AA128" s="7" cm="1">
        <f t="array" ref="AA128">INDEX(GMWQ!$A$2:$LR$60,MATCH(1,(GMWQ!$LQ$2:$LQ$60=AA$3)*(GMWQ!$LP$2:$LP$60=AA$4)*(GMWQ!$LR$2:$LR$60=AA$1),0),$B128-1966)</f>
        <v>106998</v>
      </c>
      <c r="AB128" s="7" cm="1">
        <f t="array" ref="AB128">INDEX(GMWQ!$A$2:$LR$60,MATCH(1,(GMWQ!$LQ$2:$LQ$60=AB$3)*(GMWQ!$LP$2:$LP$60=AB$4)*(GMWQ!$LR$2:$LR$60=AB$1),0),$B128-1966)</f>
        <v>110393</v>
      </c>
      <c r="AC128" s="7" cm="1">
        <f t="array" ref="AC128">INDEX(GMWQ!$A$2:$LR$60,MATCH(1,(GMWQ!$LQ$2:$LQ$60=AC$3)*(GMWQ!$LP$2:$LP$60=AC$4)*(GMWQ!$LR$2:$LR$60=AC$1),0),$B128-1966)</f>
        <v>3353</v>
      </c>
      <c r="AD128" s="7" cm="1">
        <f t="array" ref="AD128">INDEX(GMWQ!$A$2:$LR$60,MATCH(1,(GMWQ!$LQ$2:$LQ$60=AD$3)*(GMWQ!$LP$2:$LP$60=AD$4)*(GMWQ!$LR$2:$LR$60=AD$1),0),$B128-1966)</f>
        <v>6927</v>
      </c>
      <c r="AE128" s="7" cm="1">
        <f t="array" ref="AE128">INDEX(GMWQ!$A$2:$LR$60,MATCH(1,(GMWQ!$LQ$2:$LQ$60=AE$3)*(GMWQ!$LP$2:$LP$60=AE$4)*(GMWQ!$LR$2:$LR$60=AE$1),0),$B128-1966)</f>
        <v>313102</v>
      </c>
      <c r="AF128" s="20" cm="1">
        <f t="array" ref="AF128">INDEX(GMWQ!$A$2:$LR$60,MATCH(1,(GMWQ!$LQ$2:$LQ$60=AF$3)*(GMWQ!$LP$2:$LP$60=AF$4)*(GMWQ!$LR$2:$LR$60=AF$1),0),$B128-1966)</f>
        <v>3.75</v>
      </c>
      <c r="AG128" s="20" cm="1">
        <f t="array" ref="AG128">INDEX(GMWQ!$A$2:$LR$60,MATCH(1,(GMWQ!$LQ$2:$LQ$60=AG$3)*(GMWQ!$LP$2:$LP$60=AG$4)*(GMWQ!$LR$2:$LR$60=AG$1),0),$B128-1966)</f>
        <v>-2441</v>
      </c>
      <c r="AI128" s="23" cm="1">
        <f t="array" ref="AI128">INDEX(GMWQ!$A$2:$LR$60,MATCH(1,(GMWQ!$LQ$2:$LQ$60=AI$3)*(GMWQ!$LP$2:$LP$60=AI$4)*(GMWQ!$LR$2:$LR$60=AI$1),0),$B128-1966)</f>
        <v>201618</v>
      </c>
      <c r="AJ128" s="23" cm="1">
        <f t="array" ref="AJ128">INDEX(GMWQ!$A$2:$LR$60,MATCH(1,(GMWQ!$LQ$2:$LQ$60=AJ$3)*(GMWQ!$LP$2:$LP$60=AJ$4)*(GMWQ!$LR$2:$LR$60=AJ$1),0),$B128-1966)</f>
        <v>74.648349999999994</v>
      </c>
      <c r="AK128" s="23" cm="1">
        <f t="array" ref="AK128">INDEX(GMWQ!$A$2:$LR$60,MATCH(1,(GMWQ!$LQ$2:$LQ$60=AK$3)*(GMWQ!$LP$2:$LP$60=AK$4)*(GMWQ!$LR$2:$LR$60=AK$1),0),$B128-1966)</f>
        <v>129189</v>
      </c>
      <c r="AL128" s="23" cm="1">
        <f t="array" ref="AL128">INDEX(GMWQ!$A$2:$LR$60,MATCH(1,(GMWQ!$LQ$2:$LQ$60=AL$3)*(GMWQ!$LP$2:$LP$60=AL$4)*(GMWQ!$LR$2:$LR$60=AL$1),0),$B128-1966)</f>
        <v>5274.7430000000004</v>
      </c>
      <c r="AM128" s="23" cm="1">
        <f t="array" ref="AM128">INDEX(GMWQ!$A$2:$LR$60,MATCH(1,(GMWQ!$LQ$2:$LQ$60=AM$3)*(GMWQ!$LP$2:$LP$60=AM$4)*(GMWQ!$LR$2:$LR$60=AM$1),0),$B128-1966)</f>
        <v>24492</v>
      </c>
      <c r="AN128" s="23" cm="1">
        <f t="array" ref="AN128">INDEX(GMWQ!$A$2:$LR$60,MATCH(1,(GMWQ!$LQ$2:$LQ$60=AN$3)*(GMWQ!$LP$2:$LP$60=AN$4)*(GMWQ!$LR$2:$LR$60=AN$1),0),$B128-1966)</f>
        <v>28931</v>
      </c>
      <c r="AO128" s="23" cm="1">
        <f t="array" ref="AO128">INDEX(GMWQ!$A$2:$LR$60,MATCH(1,(GMWQ!$LQ$2:$LQ$60=AO$3)*(GMWQ!$LP$2:$LP$60=AO$4)*(GMWQ!$LR$2:$LR$60=AO$1),0),$B128-1966)</f>
        <v>9652</v>
      </c>
      <c r="AP128" s="23" cm="1">
        <f t="array" ref="AP128">INDEX(GMWQ!$A$2:$LR$60,MATCH(1,(GMWQ!$LQ$2:$LQ$60=AP$3)*(GMWQ!$LP$2:$LP$60=AP$4)*(GMWQ!$LR$2:$LR$60=AP$1),0),$B128-1966)</f>
        <v>-2441</v>
      </c>
      <c r="AQ128" s="23" cm="1">
        <f t="array" ref="AQ128">INDEX(GMWQ!$A$2:$LR$60,MATCH(1,(GMWQ!$LQ$2:$LQ$60=AQ$3)*(GMWQ!$LP$2:$LP$60=AQ$4)*(GMWQ!$LR$2:$LR$60=AQ$1),0),$B128-1966)</f>
        <v>32814</v>
      </c>
      <c r="AR128" s="23" cm="1">
        <f t="array" ref="AR128">INDEX(GMWQ!$A$2:$LR$60,MATCH(1,(GMWQ!$LQ$2:$LQ$60=AR$3)*(GMWQ!$LP$2:$LP$60=AR$4)*(GMWQ!$LR$2:$LR$60=AR$1),0),$B128-1966)</f>
        <v>198107</v>
      </c>
      <c r="AS128" s="23" cm="1">
        <f t="array" ref="AS128">INDEX(GMWQ!$A$2:$LR$60,MATCH(1,(GMWQ!$LQ$2:$LQ$60=AS$3)*(GMWQ!$LP$2:$LP$60=AS$4)*(GMWQ!$LR$2:$LR$60=AS$1),0),$B128-1966)</f>
        <v>6152</v>
      </c>
      <c r="AT128" s="23" cm="1">
        <f t="array" ref="AT128">INDEX(GMWQ!$A$2:$LR$60,MATCH(1,(GMWQ!$LQ$2:$LQ$60=AT$3)*(GMWQ!$LP$2:$LP$60=AT$4)*(GMWQ!$LR$2:$LR$60=AT$1),0),$B128-1966)</f>
        <v>265387</v>
      </c>
      <c r="AU128" s="23" cm="1">
        <f t="array" ref="AU128">INDEX(GMWQ!$A$2:$LR$60,MATCH(1,(GMWQ!$LQ$2:$LQ$60=AU$3)*(GMWQ!$LP$2:$LP$60=AU$4)*(GMWQ!$LR$2:$LR$60=AU$1),0),$B128-1966)</f>
        <v>10249</v>
      </c>
    </row>
    <row r="129" spans="1:47" x14ac:dyDescent="0.35">
      <c r="B129" s="7">
        <f t="shared" si="3"/>
        <v>2095</v>
      </c>
      <c r="C129" s="7" cm="1">
        <f t="array" ref="C129">INDEX(GMWQ!$A$2:$LR$60,MATCH(1,(GMWQ!$LQ$2:$LQ$60=C$3)*(GMWQ!$LP$2:$LP$60=C$4)*(GMWQ!$LR$2:$LR$60=C$1),0),$B129-1966)</f>
        <v>438710</v>
      </c>
      <c r="D129" s="7" cm="1">
        <f t="array" ref="D129">INDEX(GMWQ!$A$2:$LR$60,MATCH(1,(GMWQ!$LQ$2:$LQ$60=D$3)*(GMWQ!$LP$2:$LP$60=D$4)*(GMWQ!$LR$2:$LR$60=D$1),0),$B129-1966)</f>
        <v>352.66669999999999</v>
      </c>
      <c r="E129" s="7" cm="1">
        <f t="array" ref="E129">INDEX(GMWQ!$A$2:$LR$60,MATCH(1,(GMWQ!$LQ$2:$LQ$60=E$3)*(GMWQ!$LP$2:$LP$60=E$4)*(GMWQ!$LR$2:$LR$60=E$1),0),$B129-1966)</f>
        <v>75.599999999999994</v>
      </c>
      <c r="F129" s="7" cm="1">
        <f t="array" ref="F129">INDEX(GMWQ!$A$2:$LR$60,MATCH(1,(GMWQ!$LQ$2:$LQ$60=F$3)*(GMWQ!$LP$2:$LP$60=F$4)*(GMWQ!$LR$2:$LR$60=F$1),0),$B129-1966)</f>
        <v>131275</v>
      </c>
      <c r="G129" s="7" cm="1">
        <f t="array" ref="G129">INDEX(GMWQ!$A$2:$LR$60,MATCH(1,(GMWQ!$LQ$2:$LQ$60=G$3)*(GMWQ!$LP$2:$LP$60=G$4)*(GMWQ!$LR$2:$LR$60=G$1),0),$B129-1966)</f>
        <v>28946</v>
      </c>
      <c r="H129" s="7" cm="1">
        <f t="array" ref="H129">INDEX(GMWQ!$A$2:$LR$60,MATCH(1,(GMWQ!$LQ$2:$LQ$60=H$3)*(GMWQ!$LP$2:$LP$60=H$4)*(GMWQ!$LR$2:$LR$60=H$1),0),$B129-1966)</f>
        <v>9960</v>
      </c>
      <c r="I129" s="7" cm="1">
        <f t="array" ref="I129">INDEX(GMWQ!$A$2:$LR$60,MATCH(1,(GMWQ!$LQ$2:$LQ$60=I$3)*(GMWQ!$LP$2:$LP$60=I$4)*(GMWQ!$LR$2:$LR$60=I$1),0),$B129-1966)</f>
        <v>75.182749999999999</v>
      </c>
      <c r="J129" s="7" cm="1">
        <f t="array" ref="J129">INDEX(GMWQ!$A$2:$LR$60,MATCH(1,(GMWQ!$LQ$2:$LQ$60=J$3)*(GMWQ!$LP$2:$LP$60=J$4)*(GMWQ!$LR$2:$LR$60=J$1),0),$B129-1966)</f>
        <v>24391</v>
      </c>
      <c r="K129" s="7" cm="1">
        <f t="array" ref="K129">INDEX(GMWQ!$A$2:$LR$60,MATCH(1,(GMWQ!$LQ$2:$LQ$60=K$3)*(GMWQ!$LP$2:$LP$60=K$4)*(GMWQ!$LR$2:$LR$60=K$1),0),$B129-1966)</f>
        <v>3.5</v>
      </c>
      <c r="L129" s="7" cm="1">
        <f t="array" ref="L129">INDEX(GMWQ!$A$2:$LR$60,MATCH(1,(GMWQ!$LQ$2:$LQ$60=L$3)*(GMWQ!$LP$2:$LP$60=L$4)*(GMWQ!$LR$2:$LR$60=L$1),0),$B129-1966)</f>
        <v>5</v>
      </c>
      <c r="M129" s="7" cm="1">
        <f t="array" ref="M129">INDEX(GMWQ!$A$2:$LR$60,MATCH(1,(GMWQ!$LQ$2:$LQ$60=M$3)*(GMWQ!$LP$2:$LP$60=M$4)*(GMWQ!$LR$2:$LR$60=M$1),0),$B129-1966)</f>
        <v>69.416820000000001</v>
      </c>
      <c r="N129" s="7" cm="1">
        <f t="array" ref="N129">INDEX(GMWQ!$A$2:$LR$60,MATCH(1,(GMWQ!$LQ$2:$LQ$60=N$3)*(GMWQ!$LP$2:$LP$60=N$4)*(GMWQ!$LR$2:$LR$60=N$1),0),$B129-1966)</f>
        <v>9380</v>
      </c>
      <c r="O129" s="7" cm="1">
        <f t="array" ref="O129">INDEX(GMWQ!$A$2:$LR$60,MATCH(1,(GMWQ!$LQ$2:$LQ$60=O$3)*(GMWQ!$LP$2:$LP$60=O$4)*(GMWQ!$LR$2:$LR$60=O$1),0),$B129-1966)</f>
        <v>6828</v>
      </c>
      <c r="P129" s="7" cm="1">
        <f t="array" ref="P129">INDEX(GMWQ!$A$2:$LR$60,MATCH(1,(GMWQ!$LQ$2:$LQ$60=P$3)*(GMWQ!$LP$2:$LP$60=P$4)*(GMWQ!$LR$2:$LR$60=P$1),0),$B129-1966)</f>
        <v>204036</v>
      </c>
      <c r="Q129" s="7" cm="1">
        <f t="array" ref="Q129">INDEX(GMWQ!$A$2:$LR$60,MATCH(1,(GMWQ!$LQ$2:$LQ$60=Q$3)*(GMWQ!$LP$2:$LP$60=Q$4)*(GMWQ!$LR$2:$LR$60=Q$1),0),$B129-1966)</f>
        <v>4.8499999999999996</v>
      </c>
      <c r="R129" s="7" cm="1">
        <f t="array" ref="R129">INDEX(GMWQ!$A$2:$LR$60,MATCH(1,(GMWQ!$LQ$2:$LQ$60=R$3)*(GMWQ!$LP$2:$LP$60=R$4)*(GMWQ!$LR$2:$LR$60=R$1),0),$B129-1966)</f>
        <v>366218</v>
      </c>
      <c r="S129" s="7" cm="1">
        <f t="array" ref="S129">INDEX(GMWQ!$A$2:$LR$60,MATCH(1,(GMWQ!$LQ$2:$LQ$60=S$3)*(GMWQ!$LP$2:$LP$60=S$4)*(GMWQ!$LR$2:$LR$60=S$1),0),$B129-1966)</f>
        <v>325</v>
      </c>
      <c r="T129" s="7" cm="1">
        <f t="array" ref="T129">INDEX(GMWQ!$A$2:$LR$60,MATCH(1,(GMWQ!$LQ$2:$LQ$60=T$3)*(GMWQ!$LP$2:$LP$60=T$4)*(GMWQ!$LR$2:$LR$60=T$1),0),$B129-1966)</f>
        <v>68813</v>
      </c>
      <c r="U129" s="7" cm="1">
        <f t="array" ref="U129">INDEX(GMWQ!$A$2:$LR$60,MATCH(1,(GMWQ!$LQ$2:$LQ$60=U$3)*(GMWQ!$LP$2:$LP$60=U$4)*(GMWQ!$LR$2:$LR$60=U$1),0),$B129-1966)</f>
        <v>25944</v>
      </c>
      <c r="V129" s="7" cm="1">
        <f t="array" ref="V129">INDEX(GMWQ!$A$2:$LR$60,MATCH(1,(GMWQ!$LQ$2:$LQ$60=V$3)*(GMWQ!$LP$2:$LP$60=V$4)*(GMWQ!$LR$2:$LR$60=V$1),0),$B129-1966)</f>
        <v>2.3358810000000002E-3</v>
      </c>
      <c r="W129" s="7" cm="1">
        <f t="array" ref="W129">INDEX(GMWQ!$A$2:$LR$60,MATCH(1,(GMWQ!$LQ$2:$LQ$60=W$3)*(GMWQ!$LP$2:$LP$60=W$4)*(GMWQ!$LR$2:$LR$60=W$1),0),$B129-1966)</f>
        <v>15.22888</v>
      </c>
      <c r="X129" s="7" cm="1">
        <f t="array" ref="X129">INDEX(GMWQ!$A$2:$LR$60,MATCH(1,(GMWQ!$LQ$2:$LQ$60=X$3)*(GMWQ!$LP$2:$LP$60=X$4)*(GMWQ!$LR$2:$LR$60=X$1),0),$B129-1966)</f>
        <v>1919294</v>
      </c>
      <c r="Y129" s="7" cm="1">
        <f t="array" ref="Y129">INDEX(GMWQ!$A$2:$LR$60,MATCH(1,(GMWQ!$LQ$2:$LQ$60=Y$3)*(GMWQ!$LP$2:$LP$60=Y$4)*(GMWQ!$LR$2:$LR$60=Y$1),0),$B129-1966)</f>
        <v>72.369219999999999</v>
      </c>
      <c r="Z129" s="7" cm="1">
        <f t="array" ref="Z129">INDEX(GMWQ!$A$2:$LR$60,MATCH(1,(GMWQ!$LQ$2:$LQ$60=Z$3)*(GMWQ!$LP$2:$LP$60=Z$4)*(GMWQ!$LR$2:$LR$60=Z$1),0),$B129-1966)</f>
        <v>425418.3</v>
      </c>
      <c r="AA129" s="7" cm="1">
        <f t="array" ref="AA129">INDEX(GMWQ!$A$2:$LR$60,MATCH(1,(GMWQ!$LQ$2:$LQ$60=AA$3)*(GMWQ!$LP$2:$LP$60=AA$4)*(GMWQ!$LR$2:$LR$60=AA$1),0),$B129-1966)</f>
        <v>111206</v>
      </c>
      <c r="AB129" s="7" cm="1">
        <f t="array" ref="AB129">INDEX(GMWQ!$A$2:$LR$60,MATCH(1,(GMWQ!$LQ$2:$LQ$60=AB$3)*(GMWQ!$LP$2:$LP$60=AB$4)*(GMWQ!$LR$2:$LR$60=AB$1),0),$B129-1966)</f>
        <v>111462</v>
      </c>
      <c r="AC129" s="7" cm="1">
        <f t="array" ref="AC129">INDEX(GMWQ!$A$2:$LR$60,MATCH(1,(GMWQ!$LQ$2:$LQ$60=AC$3)*(GMWQ!$LP$2:$LP$60=AC$4)*(GMWQ!$LR$2:$LR$60=AC$1),0),$B129-1966)</f>
        <v>4367</v>
      </c>
      <c r="AD129" s="7" cm="1">
        <f t="array" ref="AD129">INDEX(GMWQ!$A$2:$LR$60,MATCH(1,(GMWQ!$LQ$2:$LQ$60=AD$3)*(GMWQ!$LP$2:$LP$60=AD$4)*(GMWQ!$LR$2:$LR$60=AD$1),0),$B129-1966)</f>
        <v>7020</v>
      </c>
      <c r="AE129" s="7" cm="1">
        <f t="array" ref="AE129">INDEX(GMWQ!$A$2:$LR$60,MATCH(1,(GMWQ!$LQ$2:$LQ$60=AE$3)*(GMWQ!$LP$2:$LP$60=AE$4)*(GMWQ!$LR$2:$LR$60=AE$1),0),$B129-1966)</f>
        <v>317491</v>
      </c>
      <c r="AF129" s="20" cm="1">
        <f t="array" ref="AF129">INDEX(GMWQ!$A$2:$LR$60,MATCH(1,(GMWQ!$LQ$2:$LQ$60=AF$3)*(GMWQ!$LP$2:$LP$60=AF$4)*(GMWQ!$LR$2:$LR$60=AF$1),0),$B129-1966)</f>
        <v>3.5265149999999998</v>
      </c>
      <c r="AG129" s="20" cm="1">
        <f t="array" ref="AG129">INDEX(GMWQ!$A$2:$LR$60,MATCH(1,(GMWQ!$LQ$2:$LQ$60=AG$3)*(GMWQ!$LP$2:$LP$60=AG$4)*(GMWQ!$LR$2:$LR$60=AG$1),0),$B129-1966)</f>
        <v>-2552</v>
      </c>
      <c r="AI129" s="23" cm="1">
        <f t="array" ref="AI129">INDEX(GMWQ!$A$2:$LR$60,MATCH(1,(GMWQ!$LQ$2:$LQ$60=AI$3)*(GMWQ!$LP$2:$LP$60=AI$4)*(GMWQ!$LR$2:$LR$60=AI$1),0),$B129-1966)</f>
        <v>204036</v>
      </c>
      <c r="AJ129" s="23" cm="1">
        <f t="array" ref="AJ129">INDEX(GMWQ!$A$2:$LR$60,MATCH(1,(GMWQ!$LQ$2:$LQ$60=AJ$3)*(GMWQ!$LP$2:$LP$60=AJ$4)*(GMWQ!$LR$2:$LR$60=AJ$1),0),$B129-1966)</f>
        <v>75.182749999999999</v>
      </c>
      <c r="AK129" s="23" cm="1">
        <f t="array" ref="AK129">INDEX(GMWQ!$A$2:$LR$60,MATCH(1,(GMWQ!$LQ$2:$LQ$60=AK$3)*(GMWQ!$LP$2:$LP$60=AK$4)*(GMWQ!$LR$2:$LR$60=AK$1),0),$B129-1966)</f>
        <v>131275</v>
      </c>
      <c r="AL129" s="23" cm="1">
        <f t="array" ref="AL129">INDEX(GMWQ!$A$2:$LR$60,MATCH(1,(GMWQ!$LQ$2:$LQ$60=AL$3)*(GMWQ!$LP$2:$LP$60=AL$4)*(GMWQ!$LR$2:$LR$60=AL$1),0),$B129-1966)</f>
        <v>5382.1080000000002</v>
      </c>
      <c r="AM129" s="23" cm="1">
        <f t="array" ref="AM129">INDEX(GMWQ!$A$2:$LR$60,MATCH(1,(GMWQ!$LQ$2:$LQ$60=AM$3)*(GMWQ!$LP$2:$LP$60=AM$4)*(GMWQ!$LR$2:$LR$60=AM$1),0),$B129-1966)</f>
        <v>24391</v>
      </c>
      <c r="AN129" s="23" cm="1">
        <f t="array" ref="AN129">INDEX(GMWQ!$A$2:$LR$60,MATCH(1,(GMWQ!$LQ$2:$LQ$60=AN$3)*(GMWQ!$LP$2:$LP$60=AN$4)*(GMWQ!$LR$2:$LR$60=AN$1),0),$B129-1966)</f>
        <v>28946</v>
      </c>
      <c r="AO129" s="23" cm="1">
        <f t="array" ref="AO129">INDEX(GMWQ!$A$2:$LR$60,MATCH(1,(GMWQ!$LQ$2:$LQ$60=AO$3)*(GMWQ!$LP$2:$LP$60=AO$4)*(GMWQ!$LR$2:$LR$60=AO$1),0),$B129-1966)</f>
        <v>9960</v>
      </c>
      <c r="AP129" s="23" cm="1">
        <f t="array" ref="AP129">INDEX(GMWQ!$A$2:$LR$60,MATCH(1,(GMWQ!$LQ$2:$LQ$60=AP$3)*(GMWQ!$LP$2:$LP$60=AP$4)*(GMWQ!$LR$2:$LR$60=AP$1),0),$B129-1966)</f>
        <v>-2552</v>
      </c>
      <c r="AQ129" s="23" cm="1">
        <f t="array" ref="AQ129">INDEX(GMWQ!$A$2:$LR$60,MATCH(1,(GMWQ!$LQ$2:$LQ$60=AQ$3)*(GMWQ!$LP$2:$LP$60=AQ$4)*(GMWQ!$LR$2:$LR$60=AQ$1),0),$B129-1966)</f>
        <v>34155</v>
      </c>
      <c r="AR129" s="23" cm="1">
        <f t="array" ref="AR129">INDEX(GMWQ!$A$2:$LR$60,MATCH(1,(GMWQ!$LQ$2:$LQ$60=AR$3)*(GMWQ!$LP$2:$LP$60=AR$4)*(GMWQ!$LR$2:$LR$60=AR$1),0),$B129-1966)</f>
        <v>200859</v>
      </c>
      <c r="AS129" s="23" cm="1">
        <f t="array" ref="AS129">INDEX(GMWQ!$A$2:$LR$60,MATCH(1,(GMWQ!$LQ$2:$LQ$60=AS$3)*(GMWQ!$LP$2:$LP$60=AS$4)*(GMWQ!$LR$2:$LR$60=AS$1),0),$B129-1966)</f>
        <v>6267</v>
      </c>
      <c r="AT129" s="23" cm="1">
        <f t="array" ref="AT129">INDEX(GMWQ!$A$2:$LR$60,MATCH(1,(GMWQ!$LQ$2:$LQ$60=AT$3)*(GMWQ!$LP$2:$LP$60=AT$4)*(GMWQ!$LR$2:$LR$60=AT$1),0),$B129-1966)</f>
        <v>267161</v>
      </c>
      <c r="AU129" s="23" cm="1">
        <f t="array" ref="AU129">INDEX(GMWQ!$A$2:$LR$60,MATCH(1,(GMWQ!$LQ$2:$LQ$60=AU$3)*(GMWQ!$LP$2:$LP$60=AU$4)*(GMWQ!$LR$2:$LR$60=AU$1),0),$B129-1966)</f>
        <v>10470</v>
      </c>
    </row>
    <row r="130" spans="1:47" x14ac:dyDescent="0.35">
      <c r="B130" s="7">
        <f t="shared" si="3"/>
        <v>2096</v>
      </c>
      <c r="C130" s="7" cm="1">
        <f t="array" ref="C130">INDEX(GMWQ!$A$2:$LR$60,MATCH(1,(GMWQ!$LQ$2:$LQ$60=C$3)*(GMWQ!$LP$2:$LP$60=C$4)*(GMWQ!$LR$2:$LR$60=C$1),0),$B130-1966)</f>
        <v>442172</v>
      </c>
      <c r="D130" s="7" cm="1">
        <f t="array" ref="D130">INDEX(GMWQ!$A$2:$LR$60,MATCH(1,(GMWQ!$LQ$2:$LQ$60=D$3)*(GMWQ!$LP$2:$LP$60=D$4)*(GMWQ!$LR$2:$LR$60=D$1),0),$B130-1966)</f>
        <v>357</v>
      </c>
      <c r="E130" s="7" cm="1">
        <f t="array" ref="E130">INDEX(GMWQ!$A$2:$LR$60,MATCH(1,(GMWQ!$LQ$2:$LQ$60=E$3)*(GMWQ!$LP$2:$LP$60=E$4)*(GMWQ!$LR$2:$LR$60=E$1),0),$B130-1966)</f>
        <v>76.033330000000007</v>
      </c>
      <c r="F130" s="7" cm="1">
        <f t="array" ref="F130">INDEX(GMWQ!$A$2:$LR$60,MATCH(1,(GMWQ!$LQ$2:$LQ$60=F$3)*(GMWQ!$LP$2:$LP$60=F$4)*(GMWQ!$LR$2:$LR$60=F$1),0),$B130-1966)</f>
        <v>133492</v>
      </c>
      <c r="G130" s="7" cm="1">
        <f t="array" ref="G130">INDEX(GMWQ!$A$2:$LR$60,MATCH(1,(GMWQ!$LQ$2:$LQ$60=G$3)*(GMWQ!$LP$2:$LP$60=G$4)*(GMWQ!$LR$2:$LR$60=G$1),0),$B130-1966)</f>
        <v>29751</v>
      </c>
      <c r="H130" s="7" cm="1">
        <f t="array" ref="H130">INDEX(GMWQ!$A$2:$LR$60,MATCH(1,(GMWQ!$LQ$2:$LQ$60=H$3)*(GMWQ!$LP$2:$LP$60=H$4)*(GMWQ!$LR$2:$LR$60=H$1),0),$B130-1966)</f>
        <v>9971</v>
      </c>
      <c r="I130" s="7" cm="1">
        <f t="array" ref="I130">INDEX(GMWQ!$A$2:$LR$60,MATCH(1,(GMWQ!$LQ$2:$LQ$60=I$3)*(GMWQ!$LP$2:$LP$60=I$4)*(GMWQ!$LR$2:$LR$60=I$1),0),$B130-1966)</f>
        <v>75.484229999999997</v>
      </c>
      <c r="J130" s="7" cm="1">
        <f t="array" ref="J130">INDEX(GMWQ!$A$2:$LR$60,MATCH(1,(GMWQ!$LQ$2:$LQ$60=J$3)*(GMWQ!$LP$2:$LP$60=J$4)*(GMWQ!$LR$2:$LR$60=J$1),0),$B130-1966)</f>
        <v>24457</v>
      </c>
      <c r="K130" s="7" cm="1">
        <f t="array" ref="K130">INDEX(GMWQ!$A$2:$LR$60,MATCH(1,(GMWQ!$LQ$2:$LQ$60=K$3)*(GMWQ!$LP$2:$LP$60=K$4)*(GMWQ!$LR$2:$LR$60=K$1),0),$B130-1966)</f>
        <v>3.75</v>
      </c>
      <c r="L130" s="7" cm="1">
        <f t="array" ref="L130">INDEX(GMWQ!$A$2:$LR$60,MATCH(1,(GMWQ!$LQ$2:$LQ$60=L$3)*(GMWQ!$LP$2:$LP$60=L$4)*(GMWQ!$LR$2:$LR$60=L$1),0),$B130-1966)</f>
        <v>4.9000000000000004</v>
      </c>
      <c r="M130" s="7" cm="1">
        <f t="array" ref="M130">INDEX(GMWQ!$A$2:$LR$60,MATCH(1,(GMWQ!$LQ$2:$LQ$60=M$3)*(GMWQ!$LP$2:$LP$60=M$4)*(GMWQ!$LR$2:$LR$60=M$1),0),$B130-1966)</f>
        <v>72.053659999999994</v>
      </c>
      <c r="N130" s="7" cm="1">
        <f t="array" ref="N130">INDEX(GMWQ!$A$2:$LR$60,MATCH(1,(GMWQ!$LQ$2:$LQ$60=N$3)*(GMWQ!$LP$2:$LP$60=N$4)*(GMWQ!$LR$2:$LR$60=N$1),0),$B130-1966)</f>
        <v>9775</v>
      </c>
      <c r="O130" s="7" cm="1">
        <f t="array" ref="O130">INDEX(GMWQ!$A$2:$LR$60,MATCH(1,(GMWQ!$LQ$2:$LQ$60=O$3)*(GMWQ!$LP$2:$LP$60=O$4)*(GMWQ!$LR$2:$LR$60=O$1),0),$B130-1966)</f>
        <v>7485</v>
      </c>
      <c r="P130" s="7" cm="1">
        <f t="array" ref="P130">INDEX(GMWQ!$A$2:$LR$60,MATCH(1,(GMWQ!$LQ$2:$LQ$60=P$3)*(GMWQ!$LP$2:$LP$60=P$4)*(GMWQ!$LR$2:$LR$60=P$1),0),$B130-1966)</f>
        <v>207651</v>
      </c>
      <c r="Q130" s="7" cm="1">
        <f t="array" ref="Q130">INDEX(GMWQ!$A$2:$LR$60,MATCH(1,(GMWQ!$LQ$2:$LQ$60=Q$3)*(GMWQ!$LP$2:$LP$60=Q$4)*(GMWQ!$LR$2:$LR$60=Q$1),0),$B130-1966)</f>
        <v>4.806667</v>
      </c>
      <c r="R130" s="7" cm="1">
        <f t="array" ref="R130">INDEX(GMWQ!$A$2:$LR$60,MATCH(1,(GMWQ!$LQ$2:$LQ$60=R$3)*(GMWQ!$LP$2:$LP$60=R$4)*(GMWQ!$LR$2:$LR$60=R$1),0),$B130-1966)</f>
        <v>393184</v>
      </c>
      <c r="S130" s="7" cm="1">
        <f t="array" ref="S130">INDEX(GMWQ!$A$2:$LR$60,MATCH(1,(GMWQ!$LQ$2:$LQ$60=S$3)*(GMWQ!$LP$2:$LP$60=S$4)*(GMWQ!$LR$2:$LR$60=S$1),0),$B130-1966)</f>
        <v>339</v>
      </c>
      <c r="T130" s="7" cm="1">
        <f t="array" ref="T130">INDEX(GMWQ!$A$2:$LR$60,MATCH(1,(GMWQ!$LQ$2:$LQ$60=T$3)*(GMWQ!$LP$2:$LP$60=T$4)*(GMWQ!$LR$2:$LR$60=T$1),0),$B130-1966)</f>
        <v>76526</v>
      </c>
      <c r="U130" s="7" cm="1">
        <f t="array" ref="U130">INDEX(GMWQ!$A$2:$LR$60,MATCH(1,(GMWQ!$LQ$2:$LQ$60=U$3)*(GMWQ!$LP$2:$LP$60=U$4)*(GMWQ!$LR$2:$LR$60=U$1),0),$B130-1966)</f>
        <v>28110</v>
      </c>
      <c r="V130" s="7" cm="1">
        <f t="array" ref="V130">INDEX(GMWQ!$A$2:$LR$60,MATCH(1,(GMWQ!$LQ$2:$LQ$60=V$3)*(GMWQ!$LP$2:$LP$60=V$4)*(GMWQ!$LR$2:$LR$60=V$1),0),$B130-1966)</f>
        <v>2.2284539999999999E-3</v>
      </c>
      <c r="W130" s="7" cm="1">
        <f t="array" ref="W130">INDEX(GMWQ!$A$2:$LR$60,MATCH(1,(GMWQ!$LQ$2:$LQ$60=W$3)*(GMWQ!$LP$2:$LP$60=W$4)*(GMWQ!$LR$2:$LR$60=W$1),0),$B130-1966)</f>
        <v>16.341180000000001</v>
      </c>
      <c r="X130" s="7" cm="1">
        <f t="array" ref="X130">INDEX(GMWQ!$A$2:$LR$60,MATCH(1,(GMWQ!$LQ$2:$LQ$60=X$3)*(GMWQ!$LP$2:$LP$60=X$4)*(GMWQ!$LR$2:$LR$60=X$1),0),$B130-1966)</f>
        <v>2021775</v>
      </c>
      <c r="Y130" s="7" cm="1">
        <f t="array" ref="Y130">INDEX(GMWQ!$A$2:$LR$60,MATCH(1,(GMWQ!$LQ$2:$LQ$60=Y$3)*(GMWQ!$LP$2:$LP$60=Y$4)*(GMWQ!$LR$2:$LR$60=Y$1),0),$B130-1966)</f>
        <v>72.434709999999995</v>
      </c>
      <c r="Z130" s="7" cm="1">
        <f t="array" ref="Z130">INDEX(GMWQ!$A$2:$LR$60,MATCH(1,(GMWQ!$LQ$2:$LQ$60=Z$3)*(GMWQ!$LP$2:$LP$60=Z$4)*(GMWQ!$LR$2:$LR$60=Z$1),0),$B130-1966)</f>
        <v>426029.8</v>
      </c>
      <c r="AA130" s="7" cm="1">
        <f t="array" ref="AA130">INDEX(GMWQ!$A$2:$LR$60,MATCH(1,(GMWQ!$LQ$2:$LQ$60=AA$3)*(GMWQ!$LP$2:$LP$60=AA$4)*(GMWQ!$LR$2:$LR$60=AA$1),0),$B130-1966)</f>
        <v>108749</v>
      </c>
      <c r="AB130" s="7" cm="1">
        <f t="array" ref="AB130">INDEX(GMWQ!$A$2:$LR$60,MATCH(1,(GMWQ!$LQ$2:$LQ$60=AB$3)*(GMWQ!$LP$2:$LP$60=AB$4)*(GMWQ!$LR$2:$LR$60=AB$1),0),$B130-1966)</f>
        <v>111913</v>
      </c>
      <c r="AC130" s="7" cm="1">
        <f t="array" ref="AC130">INDEX(GMWQ!$A$2:$LR$60,MATCH(1,(GMWQ!$LQ$2:$LQ$60=AC$3)*(GMWQ!$LP$2:$LP$60=AC$4)*(GMWQ!$LR$2:$LR$60=AC$1),0),$B130-1966)</f>
        <v>4667</v>
      </c>
      <c r="AD130" s="7" cm="1">
        <f t="array" ref="AD130">INDEX(GMWQ!$A$2:$LR$60,MATCH(1,(GMWQ!$LQ$2:$LQ$60=AD$3)*(GMWQ!$LP$2:$LP$60=AD$4)*(GMWQ!$LR$2:$LR$60=AD$1),0),$B130-1966)</f>
        <v>7117</v>
      </c>
      <c r="AE130" s="7" cm="1">
        <f t="array" ref="AE130">INDEX(GMWQ!$A$2:$LR$60,MATCH(1,(GMWQ!$LQ$2:$LQ$60=AE$3)*(GMWQ!$LP$2:$LP$60=AE$4)*(GMWQ!$LR$2:$LR$60=AE$1),0),$B130-1966)</f>
        <v>320286</v>
      </c>
      <c r="AF130" s="20" cm="1">
        <f t="array" ref="AF130">INDEX(GMWQ!$A$2:$LR$60,MATCH(1,(GMWQ!$LQ$2:$LQ$60=AF$3)*(GMWQ!$LP$2:$LP$60=AF$4)*(GMWQ!$LR$2:$LR$60=AF$1),0),$B130-1966)</f>
        <v>3.6515149999999998</v>
      </c>
      <c r="AG130" s="20" cm="1">
        <f t="array" ref="AG130">INDEX(GMWQ!$A$2:$LR$60,MATCH(1,(GMWQ!$LQ$2:$LQ$60=AG$3)*(GMWQ!$LP$2:$LP$60=AG$4)*(GMWQ!$LR$2:$LR$60=AG$1),0),$B130-1966)</f>
        <v>-2290</v>
      </c>
      <c r="AI130" s="23" cm="1">
        <f t="array" ref="AI130">INDEX(GMWQ!$A$2:$LR$60,MATCH(1,(GMWQ!$LQ$2:$LQ$60=AI$3)*(GMWQ!$LP$2:$LP$60=AI$4)*(GMWQ!$LR$2:$LR$60=AI$1),0),$B130-1966)</f>
        <v>207651</v>
      </c>
      <c r="AJ130" s="23" cm="1">
        <f t="array" ref="AJ130">INDEX(GMWQ!$A$2:$LR$60,MATCH(1,(GMWQ!$LQ$2:$LQ$60=AJ$3)*(GMWQ!$LP$2:$LP$60=AJ$4)*(GMWQ!$LR$2:$LR$60=AJ$1),0),$B130-1966)</f>
        <v>75.484229999999997</v>
      </c>
      <c r="AK130" s="23" cm="1">
        <f t="array" ref="AK130">INDEX(GMWQ!$A$2:$LR$60,MATCH(1,(GMWQ!$LQ$2:$LQ$60=AK$3)*(GMWQ!$LP$2:$LP$60=AK$4)*(GMWQ!$LR$2:$LR$60=AK$1),0),$B130-1966)</f>
        <v>133492</v>
      </c>
      <c r="AL130" s="23" cm="1">
        <f t="array" ref="AL130">INDEX(GMWQ!$A$2:$LR$60,MATCH(1,(GMWQ!$LQ$2:$LQ$60=AL$3)*(GMWQ!$LP$2:$LP$60=AL$4)*(GMWQ!$LR$2:$LR$60=AL$1),0),$B130-1966)</f>
        <v>5458.2330000000002</v>
      </c>
      <c r="AM130" s="23" cm="1">
        <f t="array" ref="AM130">INDEX(GMWQ!$A$2:$LR$60,MATCH(1,(GMWQ!$LQ$2:$LQ$60=AM$3)*(GMWQ!$LP$2:$LP$60=AM$4)*(GMWQ!$LR$2:$LR$60=AM$1),0),$B130-1966)</f>
        <v>24457</v>
      </c>
      <c r="AN130" s="23" cm="1">
        <f t="array" ref="AN130">INDEX(GMWQ!$A$2:$LR$60,MATCH(1,(GMWQ!$LQ$2:$LQ$60=AN$3)*(GMWQ!$LP$2:$LP$60=AN$4)*(GMWQ!$LR$2:$LR$60=AN$1),0),$B130-1966)</f>
        <v>29751</v>
      </c>
      <c r="AO130" s="23" cm="1">
        <f t="array" ref="AO130">INDEX(GMWQ!$A$2:$LR$60,MATCH(1,(GMWQ!$LQ$2:$LQ$60=AO$3)*(GMWQ!$LP$2:$LP$60=AO$4)*(GMWQ!$LR$2:$LR$60=AO$1),0),$B130-1966)</f>
        <v>9971</v>
      </c>
      <c r="AP130" s="23" cm="1">
        <f t="array" ref="AP130">INDEX(GMWQ!$A$2:$LR$60,MATCH(1,(GMWQ!$LQ$2:$LQ$60=AP$3)*(GMWQ!$LP$2:$LP$60=AP$4)*(GMWQ!$LR$2:$LR$60=AP$1),0),$B130-1966)</f>
        <v>-2290</v>
      </c>
      <c r="AQ130" s="23" cm="1">
        <f t="array" ref="AQ130">INDEX(GMWQ!$A$2:$LR$60,MATCH(1,(GMWQ!$LQ$2:$LQ$60=AQ$3)*(GMWQ!$LP$2:$LP$60=AQ$4)*(GMWQ!$LR$2:$LR$60=AQ$1),0),$B130-1966)</f>
        <v>34119</v>
      </c>
      <c r="AR130" s="23" cm="1">
        <f t="array" ref="AR130">INDEX(GMWQ!$A$2:$LR$60,MATCH(1,(GMWQ!$LQ$2:$LQ$60=AR$3)*(GMWQ!$LP$2:$LP$60=AR$4)*(GMWQ!$LR$2:$LR$60=AR$1),0),$B130-1966)</f>
        <v>202805</v>
      </c>
      <c r="AS130" s="23" cm="1">
        <f t="array" ref="AS130">INDEX(GMWQ!$A$2:$LR$60,MATCH(1,(GMWQ!$LQ$2:$LQ$60=AS$3)*(GMWQ!$LP$2:$LP$60=AS$4)*(GMWQ!$LR$2:$LR$60=AS$1),0),$B130-1966)</f>
        <v>6422</v>
      </c>
      <c r="AT130" s="23" cm="1">
        <f t="array" ref="AT130">INDEX(GMWQ!$A$2:$LR$60,MATCH(1,(GMWQ!$LQ$2:$LQ$60=AT$3)*(GMWQ!$LP$2:$LP$60=AT$4)*(GMWQ!$LR$2:$LR$60=AT$1),0),$B130-1966)</f>
        <v>268672</v>
      </c>
      <c r="AU130" s="23" cm="1">
        <f t="array" ref="AU130">INDEX(GMWQ!$A$2:$LR$60,MATCH(1,(GMWQ!$LQ$2:$LQ$60=AU$3)*(GMWQ!$LP$2:$LP$60=AU$4)*(GMWQ!$LR$2:$LR$60=AU$1),0),$B130-1966)</f>
        <v>10599</v>
      </c>
    </row>
    <row r="131" spans="1:47" x14ac:dyDescent="0.35">
      <c r="A131" s="7">
        <v>2004</v>
      </c>
      <c r="B131" s="7">
        <f t="shared" si="3"/>
        <v>2097</v>
      </c>
      <c r="C131" s="7" cm="1">
        <f t="array" ref="C131">INDEX(GMWQ!$A$2:$LR$60,MATCH(1,(GMWQ!$LQ$2:$LQ$60=C$3)*(GMWQ!$LP$2:$LP$60=C$4)*(GMWQ!$LR$2:$LR$60=C$1),0),$B131-1966)</f>
        <v>443853</v>
      </c>
      <c r="D131" s="7" cm="1">
        <f t="array" ref="D131">INDEX(GMWQ!$A$2:$LR$60,MATCH(1,(GMWQ!$LQ$2:$LQ$60=D$3)*(GMWQ!$LP$2:$LP$60=D$4)*(GMWQ!$LR$2:$LR$60=D$1),0),$B131-1966)</f>
        <v>359</v>
      </c>
      <c r="E131" s="7" cm="1">
        <f t="array" ref="E131">INDEX(GMWQ!$A$2:$LR$60,MATCH(1,(GMWQ!$LQ$2:$LQ$60=E$3)*(GMWQ!$LP$2:$LP$60=E$4)*(GMWQ!$LR$2:$LR$60=E$1),0),$B131-1966)</f>
        <v>75.966669999999993</v>
      </c>
      <c r="F131" s="7" cm="1">
        <f t="array" ref="F131">INDEX(GMWQ!$A$2:$LR$60,MATCH(1,(GMWQ!$LQ$2:$LQ$60=F$3)*(GMWQ!$LP$2:$LP$60=F$4)*(GMWQ!$LR$2:$LR$60=F$1),0),$B131-1966)</f>
        <v>135940</v>
      </c>
      <c r="G131" s="7" cm="1">
        <f t="array" ref="G131">INDEX(GMWQ!$A$2:$LR$60,MATCH(1,(GMWQ!$LQ$2:$LQ$60=G$3)*(GMWQ!$LP$2:$LP$60=G$4)*(GMWQ!$LR$2:$LR$60=G$1),0),$B131-1966)</f>
        <v>29760</v>
      </c>
      <c r="H131" s="7" cm="1">
        <f t="array" ref="H131">INDEX(GMWQ!$A$2:$LR$60,MATCH(1,(GMWQ!$LQ$2:$LQ$60=H$3)*(GMWQ!$LP$2:$LP$60=H$4)*(GMWQ!$LR$2:$LR$60=H$1),0),$B131-1966)</f>
        <v>10440</v>
      </c>
      <c r="I131" s="7" cm="1">
        <f t="array" ref="I131">INDEX(GMWQ!$A$2:$LR$60,MATCH(1,(GMWQ!$LQ$2:$LQ$60=I$3)*(GMWQ!$LP$2:$LP$60=I$4)*(GMWQ!$LR$2:$LR$60=I$1),0),$B131-1966)</f>
        <v>75.759270000000001</v>
      </c>
      <c r="J131" s="7" cm="1">
        <f t="array" ref="J131">INDEX(GMWQ!$A$2:$LR$60,MATCH(1,(GMWQ!$LQ$2:$LQ$60=J$3)*(GMWQ!$LP$2:$LP$60=J$4)*(GMWQ!$LR$2:$LR$60=J$1),0),$B131-1966)</f>
        <v>24622</v>
      </c>
      <c r="K131" s="7" cm="1">
        <f t="array" ref="K131">INDEX(GMWQ!$A$2:$LR$60,MATCH(1,(GMWQ!$LQ$2:$LQ$60=K$3)*(GMWQ!$LP$2:$LP$60=K$4)*(GMWQ!$LR$2:$LR$60=K$1),0),$B131-1966)</f>
        <v>4</v>
      </c>
      <c r="L131" s="7" cm="1">
        <f t="array" ref="L131">INDEX(GMWQ!$A$2:$LR$60,MATCH(1,(GMWQ!$LQ$2:$LQ$60=L$3)*(GMWQ!$LP$2:$LP$60=L$4)*(GMWQ!$LR$2:$LR$60=L$1),0),$B131-1966)</f>
        <v>4.8</v>
      </c>
      <c r="M131" s="7" cm="1">
        <f t="array" ref="M131">INDEX(GMWQ!$A$2:$LR$60,MATCH(1,(GMWQ!$LQ$2:$LQ$60=M$3)*(GMWQ!$LP$2:$LP$60=M$4)*(GMWQ!$LR$2:$LR$60=M$1),0),$B131-1966)</f>
        <v>72.034809999999993</v>
      </c>
      <c r="N131" s="7" cm="1">
        <f t="array" ref="N131">INDEX(GMWQ!$A$2:$LR$60,MATCH(1,(GMWQ!$LQ$2:$LQ$60=N$3)*(GMWQ!$LP$2:$LP$60=N$4)*(GMWQ!$LR$2:$LR$60=N$1),0),$B131-1966)</f>
        <v>10894</v>
      </c>
      <c r="O131" s="7" cm="1">
        <f t="array" ref="O131">INDEX(GMWQ!$A$2:$LR$60,MATCH(1,(GMWQ!$LQ$2:$LQ$60=O$3)*(GMWQ!$LP$2:$LP$60=O$4)*(GMWQ!$LR$2:$LR$60=O$1),0),$B131-1966)</f>
        <v>7981</v>
      </c>
      <c r="P131" s="7" cm="1">
        <f t="array" ref="P131">INDEX(GMWQ!$A$2:$LR$60,MATCH(1,(GMWQ!$LQ$2:$LQ$60=P$3)*(GMWQ!$LP$2:$LP$60=P$4)*(GMWQ!$LR$2:$LR$60=P$1),0),$B131-1966)</f>
        <v>209034</v>
      </c>
      <c r="Q131" s="7" cm="1">
        <f t="array" ref="Q131">INDEX(GMWQ!$A$2:$LR$60,MATCH(1,(GMWQ!$LQ$2:$LQ$60=Q$3)*(GMWQ!$LP$2:$LP$60=Q$4)*(GMWQ!$LR$2:$LR$60=Q$1),0),$B131-1966)</f>
        <v>4.983333</v>
      </c>
      <c r="R131" s="7" cm="1">
        <f t="array" ref="R131">INDEX(GMWQ!$A$2:$LR$60,MATCH(1,(GMWQ!$LQ$2:$LQ$60=R$3)*(GMWQ!$LP$2:$LP$60=R$4)*(GMWQ!$LR$2:$LR$60=R$1),0),$B131-1966)</f>
        <v>377619</v>
      </c>
      <c r="S131" s="7" cm="1">
        <f t="array" ref="S131">INDEX(GMWQ!$A$2:$LR$60,MATCH(1,(GMWQ!$LQ$2:$LQ$60=S$3)*(GMWQ!$LP$2:$LP$60=S$4)*(GMWQ!$LR$2:$LR$60=S$1),0),$B131-1966)</f>
        <v>477</v>
      </c>
      <c r="T131" s="7" cm="1">
        <f t="array" ref="T131">INDEX(GMWQ!$A$2:$LR$60,MATCH(1,(GMWQ!$LQ$2:$LQ$60=T$3)*(GMWQ!$LP$2:$LP$60=T$4)*(GMWQ!$LR$2:$LR$60=T$1),0),$B131-1966)</f>
        <v>75314</v>
      </c>
      <c r="U131" s="7" cm="1">
        <f t="array" ref="U131">INDEX(GMWQ!$A$2:$LR$60,MATCH(1,(GMWQ!$LQ$2:$LQ$60=U$3)*(GMWQ!$LP$2:$LP$60=U$4)*(GMWQ!$LR$2:$LR$60=U$1),0),$B131-1966)</f>
        <v>27080</v>
      </c>
      <c r="V131" s="7" cm="1">
        <f t="array" ref="V131">INDEX(GMWQ!$A$2:$LR$60,MATCH(1,(GMWQ!$LQ$2:$LQ$60=V$3)*(GMWQ!$LP$2:$LP$60=V$4)*(GMWQ!$LR$2:$LR$60=V$1),0),$B131-1966)</f>
        <v>2.2004680000000001E-3</v>
      </c>
      <c r="W131" s="7" cm="1">
        <f t="array" ref="W131">INDEX(GMWQ!$A$2:$LR$60,MATCH(1,(GMWQ!$LQ$2:$LQ$60=W$3)*(GMWQ!$LP$2:$LP$60=W$4)*(GMWQ!$LR$2:$LR$60=W$1),0),$B131-1966)</f>
        <v>18.369630000000001</v>
      </c>
      <c r="X131" s="7" cm="1">
        <f t="array" ref="X131">INDEX(GMWQ!$A$2:$LR$60,MATCH(1,(GMWQ!$LQ$2:$LQ$60=X$3)*(GMWQ!$LP$2:$LP$60=X$4)*(GMWQ!$LR$2:$LR$60=X$1),0),$B131-1966)</f>
        <v>2021775</v>
      </c>
      <c r="Y131" s="7" cm="1">
        <f t="array" ref="Y131">INDEX(GMWQ!$A$2:$LR$60,MATCH(1,(GMWQ!$LQ$2:$LQ$60=Y$3)*(GMWQ!$LP$2:$LP$60=Y$4)*(GMWQ!$LR$2:$LR$60=Y$1),0),$B131-1966)</f>
        <v>72.724530000000001</v>
      </c>
      <c r="Z131" s="7" cm="1">
        <f t="array" ref="Z131">INDEX(GMWQ!$A$2:$LR$60,MATCH(1,(GMWQ!$LQ$2:$LQ$60=Z$3)*(GMWQ!$LP$2:$LP$60=Z$4)*(GMWQ!$LR$2:$LR$60=Z$1),0),$B131-1966)</f>
        <v>430496.5</v>
      </c>
      <c r="AA131" s="7" cm="1">
        <f t="array" ref="AA131">INDEX(GMWQ!$A$2:$LR$60,MATCH(1,(GMWQ!$LQ$2:$LQ$60=AA$3)*(GMWQ!$LP$2:$LP$60=AA$4)*(GMWQ!$LR$2:$LR$60=AA$1),0),$B131-1966)</f>
        <v>125106</v>
      </c>
      <c r="AB131" s="7" cm="1">
        <f t="array" ref="AB131">INDEX(GMWQ!$A$2:$LR$60,MATCH(1,(GMWQ!$LQ$2:$LQ$60=AB$3)*(GMWQ!$LP$2:$LP$60=AB$4)*(GMWQ!$LR$2:$LR$60=AB$1),0),$B131-1966)</f>
        <v>111771</v>
      </c>
      <c r="AC131" s="7" cm="1">
        <f t="array" ref="AC131">INDEX(GMWQ!$A$2:$LR$60,MATCH(1,(GMWQ!$LQ$2:$LQ$60=AC$3)*(GMWQ!$LP$2:$LP$60=AC$4)*(GMWQ!$LR$2:$LR$60=AC$1),0),$B131-1966)</f>
        <v>9148</v>
      </c>
      <c r="AD131" s="7" cm="1">
        <f t="array" ref="AD131">INDEX(GMWQ!$A$2:$LR$60,MATCH(1,(GMWQ!$LQ$2:$LQ$60=AD$3)*(GMWQ!$LP$2:$LP$60=AD$4)*(GMWQ!$LR$2:$LR$60=AD$1),0),$B131-1966)</f>
        <v>7311</v>
      </c>
      <c r="AE131" s="7" cm="1">
        <f t="array" ref="AE131">INDEX(GMWQ!$A$2:$LR$60,MATCH(1,(GMWQ!$LQ$2:$LQ$60=AE$3)*(GMWQ!$LP$2:$LP$60=AE$4)*(GMWQ!$LR$2:$LR$60=AE$1),0),$B131-1966)</f>
        <v>322790</v>
      </c>
      <c r="AF131" s="20" cm="1">
        <f t="array" ref="AF131">INDEX(GMWQ!$A$2:$LR$60,MATCH(1,(GMWQ!$LQ$2:$LQ$60=AF$3)*(GMWQ!$LP$2:$LP$60=AF$4)*(GMWQ!$LR$2:$LR$60=AF$1),0),$B131-1966)</f>
        <v>3.9038460000000001</v>
      </c>
      <c r="AG131" s="20" cm="1">
        <f t="array" ref="AG131">INDEX(GMWQ!$A$2:$LR$60,MATCH(1,(GMWQ!$LQ$2:$LQ$60=AG$3)*(GMWQ!$LP$2:$LP$60=AG$4)*(GMWQ!$LR$2:$LR$60=AG$1),0),$B131-1966)</f>
        <v>-2913</v>
      </c>
      <c r="AI131" s="23" cm="1">
        <f t="array" ref="AI131">INDEX(GMWQ!$A$2:$LR$60,MATCH(1,(GMWQ!$LQ$2:$LQ$60=AI$3)*(GMWQ!$LP$2:$LP$60=AI$4)*(GMWQ!$LR$2:$LR$60=AI$1),0),$B131-1966)</f>
        <v>209034</v>
      </c>
      <c r="AJ131" s="23" cm="1">
        <f t="array" ref="AJ131">INDEX(GMWQ!$A$2:$LR$60,MATCH(1,(GMWQ!$LQ$2:$LQ$60=AJ$3)*(GMWQ!$LP$2:$LP$60=AJ$4)*(GMWQ!$LR$2:$LR$60=AJ$1),0),$B131-1966)</f>
        <v>75.759270000000001</v>
      </c>
      <c r="AK131" s="23" cm="1">
        <f t="array" ref="AK131">INDEX(GMWQ!$A$2:$LR$60,MATCH(1,(GMWQ!$LQ$2:$LQ$60=AK$3)*(GMWQ!$LP$2:$LP$60=AK$4)*(GMWQ!$LR$2:$LR$60=AK$1),0),$B131-1966)</f>
        <v>135940</v>
      </c>
      <c r="AL131" s="23" cm="1">
        <f t="array" ref="AL131">INDEX(GMWQ!$A$2:$LR$60,MATCH(1,(GMWQ!$LQ$2:$LQ$60=AL$3)*(GMWQ!$LP$2:$LP$60=AL$4)*(GMWQ!$LR$2:$LR$60=AL$1),0),$B131-1966)</f>
        <v>5521.0789999999997</v>
      </c>
      <c r="AM131" s="23" cm="1">
        <f t="array" ref="AM131">INDEX(GMWQ!$A$2:$LR$60,MATCH(1,(GMWQ!$LQ$2:$LQ$60=AM$3)*(GMWQ!$LP$2:$LP$60=AM$4)*(GMWQ!$LR$2:$LR$60=AM$1),0),$B131-1966)</f>
        <v>24622</v>
      </c>
      <c r="AN131" s="23" cm="1">
        <f t="array" ref="AN131">INDEX(GMWQ!$A$2:$LR$60,MATCH(1,(GMWQ!$LQ$2:$LQ$60=AN$3)*(GMWQ!$LP$2:$LP$60=AN$4)*(GMWQ!$LR$2:$LR$60=AN$1),0),$B131-1966)</f>
        <v>29760</v>
      </c>
      <c r="AO131" s="23" cm="1">
        <f t="array" ref="AO131">INDEX(GMWQ!$A$2:$LR$60,MATCH(1,(GMWQ!$LQ$2:$LQ$60=AO$3)*(GMWQ!$LP$2:$LP$60=AO$4)*(GMWQ!$LR$2:$LR$60=AO$1),0),$B131-1966)</f>
        <v>10440</v>
      </c>
      <c r="AP131" s="23" cm="1">
        <f t="array" ref="AP131">INDEX(GMWQ!$A$2:$LR$60,MATCH(1,(GMWQ!$LQ$2:$LQ$60=AP$3)*(GMWQ!$LP$2:$LP$60=AP$4)*(GMWQ!$LR$2:$LR$60=AP$1),0),$B131-1966)</f>
        <v>-2913</v>
      </c>
      <c r="AQ131" s="23" cm="1">
        <f t="array" ref="AQ131">INDEX(GMWQ!$A$2:$LR$60,MATCH(1,(GMWQ!$LQ$2:$LQ$60=AQ$3)*(GMWQ!$LP$2:$LP$60=AQ$4)*(GMWQ!$LR$2:$LR$60=AQ$1),0),$B131-1966)</f>
        <v>34814</v>
      </c>
      <c r="AR131" s="23" cm="1">
        <f t="array" ref="AR131">INDEX(GMWQ!$A$2:$LR$60,MATCH(1,(GMWQ!$LQ$2:$LQ$60=AR$3)*(GMWQ!$LP$2:$LP$60=AR$4)*(GMWQ!$LR$2:$LR$60=AR$1),0),$B131-1966)</f>
        <v>204672</v>
      </c>
      <c r="AS131" s="23" cm="1">
        <f t="array" ref="AS131">INDEX(GMWQ!$A$2:$LR$60,MATCH(1,(GMWQ!$LQ$2:$LQ$60=AS$3)*(GMWQ!$LP$2:$LP$60=AS$4)*(GMWQ!$LR$2:$LR$60=AS$1),0),$B131-1966)</f>
        <v>6488</v>
      </c>
      <c r="AT131" s="23" cm="1">
        <f t="array" ref="AT131">INDEX(GMWQ!$A$2:$LR$60,MATCH(1,(GMWQ!$LQ$2:$LQ$60=AT$3)*(GMWQ!$LP$2:$LP$60=AT$4)*(GMWQ!$LR$2:$LR$60=AT$1),0),$B131-1966)</f>
        <v>270161</v>
      </c>
      <c r="AU131" s="23" cm="1">
        <f t="array" ref="AU131">INDEX(GMWQ!$A$2:$LR$60,MATCH(1,(GMWQ!$LQ$2:$LQ$60=AU$3)*(GMWQ!$LP$2:$LP$60=AU$4)*(GMWQ!$LR$2:$LR$60=AU$1),0),$B131-1966)</f>
        <v>10709</v>
      </c>
    </row>
    <row r="132" spans="1:47" x14ac:dyDescent="0.35">
      <c r="B132" s="7">
        <f t="shared" si="3"/>
        <v>2098</v>
      </c>
      <c r="C132" s="7" cm="1">
        <f t="array" ref="C132">INDEX(GMWQ!$A$2:$LR$60,MATCH(1,(GMWQ!$LQ$2:$LQ$60=C$3)*(GMWQ!$LP$2:$LP$60=C$4)*(GMWQ!$LR$2:$LR$60=C$1),0),$B132-1966)</f>
        <v>446443</v>
      </c>
      <c r="D132" s="7" cm="1">
        <f t="array" ref="D132">INDEX(GMWQ!$A$2:$LR$60,MATCH(1,(GMWQ!$LQ$2:$LQ$60=D$3)*(GMWQ!$LP$2:$LP$60=D$4)*(GMWQ!$LR$2:$LR$60=D$1),0),$B132-1966)</f>
        <v>363</v>
      </c>
      <c r="E132" s="7" cm="1">
        <f t="array" ref="E132">INDEX(GMWQ!$A$2:$LR$60,MATCH(1,(GMWQ!$LQ$2:$LQ$60=E$3)*(GMWQ!$LP$2:$LP$60=E$4)*(GMWQ!$LR$2:$LR$60=E$1),0),$B132-1966)</f>
        <v>76.533330000000007</v>
      </c>
      <c r="F132" s="7" cm="1">
        <f t="array" ref="F132">INDEX(GMWQ!$A$2:$LR$60,MATCH(1,(GMWQ!$LQ$2:$LQ$60=F$3)*(GMWQ!$LP$2:$LP$60=F$4)*(GMWQ!$LR$2:$LR$60=F$1),0),$B132-1966)</f>
        <v>136348</v>
      </c>
      <c r="G132" s="7" cm="1">
        <f t="array" ref="G132">INDEX(GMWQ!$A$2:$LR$60,MATCH(1,(GMWQ!$LQ$2:$LQ$60=G$3)*(GMWQ!$LP$2:$LP$60=G$4)*(GMWQ!$LR$2:$LR$60=G$1),0),$B132-1966)</f>
        <v>30352</v>
      </c>
      <c r="H132" s="7" cm="1">
        <f t="array" ref="H132">INDEX(GMWQ!$A$2:$LR$60,MATCH(1,(GMWQ!$LQ$2:$LQ$60=H$3)*(GMWQ!$LP$2:$LP$60=H$4)*(GMWQ!$LR$2:$LR$60=H$1),0),$B132-1966)</f>
        <v>10116</v>
      </c>
      <c r="I132" s="7" cm="1">
        <f t="array" ref="I132">INDEX(GMWQ!$A$2:$LR$60,MATCH(1,(GMWQ!$LQ$2:$LQ$60=I$3)*(GMWQ!$LP$2:$LP$60=I$4)*(GMWQ!$LR$2:$LR$60=I$1),0),$B132-1966)</f>
        <v>76.151560000000003</v>
      </c>
      <c r="J132" s="7" cm="1">
        <f t="array" ref="J132">INDEX(GMWQ!$A$2:$LR$60,MATCH(1,(GMWQ!$LQ$2:$LQ$60=J$3)*(GMWQ!$LP$2:$LP$60=J$4)*(GMWQ!$LR$2:$LR$60=J$1),0),$B132-1966)</f>
        <v>24581</v>
      </c>
      <c r="K132" s="7" cm="1">
        <f t="array" ref="K132">INDEX(GMWQ!$A$2:$LR$60,MATCH(1,(GMWQ!$LQ$2:$LQ$60=K$3)*(GMWQ!$LP$2:$LP$60=K$4)*(GMWQ!$LR$2:$LR$60=K$1),0),$B132-1966)</f>
        <v>4.5</v>
      </c>
      <c r="L132" s="7" cm="1">
        <f t="array" ref="L132">INDEX(GMWQ!$A$2:$LR$60,MATCH(1,(GMWQ!$LQ$2:$LQ$60=L$3)*(GMWQ!$LP$2:$LP$60=L$4)*(GMWQ!$LR$2:$LR$60=L$1),0),$B132-1966)</f>
        <v>4.8</v>
      </c>
      <c r="M132" s="7" cm="1">
        <f t="array" ref="M132">INDEX(GMWQ!$A$2:$LR$60,MATCH(1,(GMWQ!$LQ$2:$LQ$60=M$3)*(GMWQ!$LP$2:$LP$60=M$4)*(GMWQ!$LR$2:$LR$60=M$1),0),$B132-1966)</f>
        <v>75.889589999999998</v>
      </c>
      <c r="N132" s="7" cm="1">
        <f t="array" ref="N132">INDEX(GMWQ!$A$2:$LR$60,MATCH(1,(GMWQ!$LQ$2:$LQ$60=N$3)*(GMWQ!$LP$2:$LP$60=N$4)*(GMWQ!$LR$2:$LR$60=N$1),0),$B132-1966)</f>
        <v>11971</v>
      </c>
      <c r="O132" s="7" cm="1">
        <f t="array" ref="O132">INDEX(GMWQ!$A$2:$LR$60,MATCH(1,(GMWQ!$LQ$2:$LQ$60=O$3)*(GMWQ!$LP$2:$LP$60=O$4)*(GMWQ!$LR$2:$LR$60=O$1),0),$B132-1966)</f>
        <v>9101</v>
      </c>
      <c r="P132" s="7" cm="1">
        <f t="array" ref="P132">INDEX(GMWQ!$A$2:$LR$60,MATCH(1,(GMWQ!$LQ$2:$LQ$60=P$3)*(GMWQ!$LP$2:$LP$60=P$4)*(GMWQ!$LR$2:$LR$60=P$1),0),$B132-1966)</f>
        <v>212233</v>
      </c>
      <c r="Q132" s="7" cm="1">
        <f t="array" ref="Q132">INDEX(GMWQ!$A$2:$LR$60,MATCH(1,(GMWQ!$LQ$2:$LQ$60=Q$3)*(GMWQ!$LP$2:$LP$60=Q$4)*(GMWQ!$LR$2:$LR$60=Q$1),0),$B132-1966)</f>
        <v>5.1033330000000001</v>
      </c>
      <c r="R132" s="7" cm="1">
        <f t="array" ref="R132">INDEX(GMWQ!$A$2:$LR$60,MATCH(1,(GMWQ!$LQ$2:$LQ$60=R$3)*(GMWQ!$LP$2:$LP$60=R$4)*(GMWQ!$LR$2:$LR$60=R$1),0),$B132-1966)</f>
        <v>352569</v>
      </c>
      <c r="S132" s="7" cm="1">
        <f t="array" ref="S132">INDEX(GMWQ!$A$2:$LR$60,MATCH(1,(GMWQ!$LQ$2:$LQ$60=S$3)*(GMWQ!$LP$2:$LP$60=S$4)*(GMWQ!$LR$2:$LR$60=S$1),0),$B132-1966)</f>
        <v>470</v>
      </c>
      <c r="T132" s="7" cm="1">
        <f t="array" ref="T132">INDEX(GMWQ!$A$2:$LR$60,MATCH(1,(GMWQ!$LQ$2:$LQ$60=T$3)*(GMWQ!$LP$2:$LP$60=T$4)*(GMWQ!$LR$2:$LR$60=T$1),0),$B132-1966)</f>
        <v>75415</v>
      </c>
      <c r="U132" s="7" cm="1">
        <f t="array" ref="U132">INDEX(GMWQ!$A$2:$LR$60,MATCH(1,(GMWQ!$LQ$2:$LQ$60=U$3)*(GMWQ!$LP$2:$LP$60=U$4)*(GMWQ!$LR$2:$LR$60=U$1),0),$B132-1966)</f>
        <v>26581</v>
      </c>
      <c r="V132" s="7" cm="1">
        <f t="array" ref="V132">INDEX(GMWQ!$A$2:$LR$60,MATCH(1,(GMWQ!$LQ$2:$LQ$60=V$3)*(GMWQ!$LP$2:$LP$60=V$4)*(GMWQ!$LR$2:$LR$60=V$1),0),$B132-1966)</f>
        <v>2.1131869999999999E-3</v>
      </c>
      <c r="W132" s="7" cm="1">
        <f t="array" ref="W132">INDEX(GMWQ!$A$2:$LR$60,MATCH(1,(GMWQ!$LQ$2:$LQ$60=W$3)*(GMWQ!$LP$2:$LP$60=W$4)*(GMWQ!$LR$2:$LR$60=W$1),0),$B132-1966)</f>
        <v>17.207360000000001</v>
      </c>
      <c r="X132" s="7" cm="1">
        <f t="array" ref="X132">INDEX(GMWQ!$A$2:$LR$60,MATCH(1,(GMWQ!$LQ$2:$LQ$60=X$3)*(GMWQ!$LP$2:$LP$60=X$4)*(GMWQ!$LR$2:$LR$60=X$1),0),$B132-1966)</f>
        <v>2063280</v>
      </c>
      <c r="Y132" s="7" cm="1">
        <f t="array" ref="Y132">INDEX(GMWQ!$A$2:$LR$60,MATCH(1,(GMWQ!$LQ$2:$LQ$60=Y$3)*(GMWQ!$LP$2:$LP$60=Y$4)*(GMWQ!$LR$2:$LR$60=Y$1),0),$B132-1966)</f>
        <v>73.842349999999996</v>
      </c>
      <c r="Z132" s="7" cm="1">
        <f t="array" ref="Z132">INDEX(GMWQ!$A$2:$LR$60,MATCH(1,(GMWQ!$LQ$2:$LQ$60=Z$3)*(GMWQ!$LP$2:$LP$60=Z$4)*(GMWQ!$LR$2:$LR$60=Z$1),0),$B132-1966)</f>
        <v>432205.5</v>
      </c>
      <c r="AA132" s="7" cm="1">
        <f t="array" ref="AA132">INDEX(GMWQ!$A$2:$LR$60,MATCH(1,(GMWQ!$LQ$2:$LQ$60=AA$3)*(GMWQ!$LP$2:$LP$60=AA$4)*(GMWQ!$LR$2:$LR$60=AA$1),0),$B132-1966)</f>
        <v>112380</v>
      </c>
      <c r="AB132" s="7" cm="1">
        <f t="array" ref="AB132">INDEX(GMWQ!$A$2:$LR$60,MATCH(1,(GMWQ!$LQ$2:$LQ$60=AB$3)*(GMWQ!$LP$2:$LP$60=AB$4)*(GMWQ!$LR$2:$LR$60=AB$1),0),$B132-1966)</f>
        <v>116645</v>
      </c>
      <c r="AC132" s="7" cm="1">
        <f t="array" ref="AC132">INDEX(GMWQ!$A$2:$LR$60,MATCH(1,(GMWQ!$LQ$2:$LQ$60=AC$3)*(GMWQ!$LP$2:$LP$60=AC$4)*(GMWQ!$LR$2:$LR$60=AC$1),0),$B132-1966)</f>
        <v>4422</v>
      </c>
      <c r="AD132" s="7" cm="1">
        <f t="array" ref="AD132">INDEX(GMWQ!$A$2:$LR$60,MATCH(1,(GMWQ!$LQ$2:$LQ$60=AD$3)*(GMWQ!$LP$2:$LP$60=AD$4)*(GMWQ!$LR$2:$LR$60=AD$1),0),$B132-1966)</f>
        <v>7313</v>
      </c>
      <c r="AE132" s="7" cm="1">
        <f t="array" ref="AE132">INDEX(GMWQ!$A$2:$LR$60,MATCH(1,(GMWQ!$LQ$2:$LQ$60=AE$3)*(GMWQ!$LP$2:$LP$60=AE$4)*(GMWQ!$LR$2:$LR$60=AE$1),0),$B132-1966)</f>
        <v>329664</v>
      </c>
      <c r="AF132" s="20" cm="1">
        <f t="array" ref="AF132">INDEX(GMWQ!$A$2:$LR$60,MATCH(1,(GMWQ!$LQ$2:$LQ$60=AF$3)*(GMWQ!$LP$2:$LP$60=AF$4)*(GMWQ!$LR$2:$LR$60=AF$1),0),$B132-1966)</f>
        <v>4.211538</v>
      </c>
      <c r="AG132" s="20" cm="1">
        <f t="array" ref="AG132">INDEX(GMWQ!$A$2:$LR$60,MATCH(1,(GMWQ!$LQ$2:$LQ$60=AG$3)*(GMWQ!$LP$2:$LP$60=AG$4)*(GMWQ!$LR$2:$LR$60=AG$1),0),$B132-1966)</f>
        <v>-2870</v>
      </c>
      <c r="AI132" s="23" cm="1">
        <f t="array" ref="AI132">INDEX(GMWQ!$A$2:$LR$60,MATCH(1,(GMWQ!$LQ$2:$LQ$60=AI$3)*(GMWQ!$LP$2:$LP$60=AI$4)*(GMWQ!$LR$2:$LR$60=AI$1),0),$B132-1966)</f>
        <v>212233</v>
      </c>
      <c r="AJ132" s="23" cm="1">
        <f t="array" ref="AJ132">INDEX(GMWQ!$A$2:$LR$60,MATCH(1,(GMWQ!$LQ$2:$LQ$60=AJ$3)*(GMWQ!$LP$2:$LP$60=AJ$4)*(GMWQ!$LR$2:$LR$60=AJ$1),0),$B132-1966)</f>
        <v>76.151560000000003</v>
      </c>
      <c r="AK132" s="23" cm="1">
        <f t="array" ref="AK132">INDEX(GMWQ!$A$2:$LR$60,MATCH(1,(GMWQ!$LQ$2:$LQ$60=AK$3)*(GMWQ!$LP$2:$LP$60=AK$4)*(GMWQ!$LR$2:$LR$60=AK$1),0),$B132-1966)</f>
        <v>136348</v>
      </c>
      <c r="AL132" s="23" cm="1">
        <f t="array" ref="AL132">INDEX(GMWQ!$A$2:$LR$60,MATCH(1,(GMWQ!$LQ$2:$LQ$60=AL$3)*(GMWQ!$LP$2:$LP$60=AL$4)*(GMWQ!$LR$2:$LR$60=AL$1),0),$B132-1966)</f>
        <v>5546.8860000000004</v>
      </c>
      <c r="AM132" s="23" cm="1">
        <f t="array" ref="AM132">INDEX(GMWQ!$A$2:$LR$60,MATCH(1,(GMWQ!$LQ$2:$LQ$60=AM$3)*(GMWQ!$LP$2:$LP$60=AM$4)*(GMWQ!$LR$2:$LR$60=AM$1),0),$B132-1966)</f>
        <v>24581</v>
      </c>
      <c r="AN132" s="23" cm="1">
        <f t="array" ref="AN132">INDEX(GMWQ!$A$2:$LR$60,MATCH(1,(GMWQ!$LQ$2:$LQ$60=AN$3)*(GMWQ!$LP$2:$LP$60=AN$4)*(GMWQ!$LR$2:$LR$60=AN$1),0),$B132-1966)</f>
        <v>30352</v>
      </c>
      <c r="AO132" s="23" cm="1">
        <f t="array" ref="AO132">INDEX(GMWQ!$A$2:$LR$60,MATCH(1,(GMWQ!$LQ$2:$LQ$60=AO$3)*(GMWQ!$LP$2:$LP$60=AO$4)*(GMWQ!$LR$2:$LR$60=AO$1),0),$B132-1966)</f>
        <v>10116</v>
      </c>
      <c r="AP132" s="23" cm="1">
        <f t="array" ref="AP132">INDEX(GMWQ!$A$2:$LR$60,MATCH(1,(GMWQ!$LQ$2:$LQ$60=AP$3)*(GMWQ!$LP$2:$LP$60=AP$4)*(GMWQ!$LR$2:$LR$60=AP$1),0),$B132-1966)</f>
        <v>-2870</v>
      </c>
      <c r="AQ132" s="23" cm="1">
        <f t="array" ref="AQ132">INDEX(GMWQ!$A$2:$LR$60,MATCH(1,(GMWQ!$LQ$2:$LQ$60=AQ$3)*(GMWQ!$LP$2:$LP$60=AQ$4)*(GMWQ!$LR$2:$LR$60=AQ$1),0),$B132-1966)</f>
        <v>35575</v>
      </c>
      <c r="AR132" s="23" cm="1">
        <f t="array" ref="AR132">INDEX(GMWQ!$A$2:$LR$60,MATCH(1,(GMWQ!$LQ$2:$LQ$60=AR$3)*(GMWQ!$LP$2:$LP$60=AR$4)*(GMWQ!$LR$2:$LR$60=AR$1),0),$B132-1966)</f>
        <v>207596</v>
      </c>
      <c r="AS132" s="23" cm="1">
        <f t="array" ref="AS132">INDEX(GMWQ!$A$2:$LR$60,MATCH(1,(GMWQ!$LQ$2:$LQ$60=AS$3)*(GMWQ!$LP$2:$LP$60=AS$4)*(GMWQ!$LR$2:$LR$60=AS$1),0),$B132-1966)</f>
        <v>6597</v>
      </c>
      <c r="AT132" s="23" cm="1">
        <f t="array" ref="AT132">INDEX(GMWQ!$A$2:$LR$60,MATCH(1,(GMWQ!$LQ$2:$LQ$60=AT$3)*(GMWQ!$LP$2:$LP$60=AT$4)*(GMWQ!$LR$2:$LR$60=AT$1),0),$B132-1966)</f>
        <v>272609</v>
      </c>
      <c r="AU132" s="23" cm="1">
        <f t="array" ref="AU132">INDEX(GMWQ!$A$2:$LR$60,MATCH(1,(GMWQ!$LQ$2:$LQ$60=AU$3)*(GMWQ!$LP$2:$LP$60=AU$4)*(GMWQ!$LR$2:$LR$60=AU$1),0),$B132-1966)</f>
        <v>10534</v>
      </c>
    </row>
    <row r="133" spans="1:47" x14ac:dyDescent="0.35">
      <c r="B133" s="7">
        <f t="shared" si="3"/>
        <v>2099</v>
      </c>
      <c r="C133" s="7" cm="1">
        <f t="array" ref="C133">INDEX(GMWQ!$A$2:$LR$60,MATCH(1,(GMWQ!$LQ$2:$LQ$60=C$3)*(GMWQ!$LP$2:$LP$60=C$4)*(GMWQ!$LR$2:$LR$60=C$1),0),$B133-1966)</f>
        <v>448171</v>
      </c>
      <c r="D133" s="7" cm="1">
        <f t="array" ref="D133">INDEX(GMWQ!$A$2:$LR$60,MATCH(1,(GMWQ!$LQ$2:$LQ$60=D$3)*(GMWQ!$LP$2:$LP$60=D$4)*(GMWQ!$LR$2:$LR$60=D$1),0),$B133-1966)</f>
        <v>367</v>
      </c>
      <c r="E133" s="7" cm="1">
        <f t="array" ref="E133">INDEX(GMWQ!$A$2:$LR$60,MATCH(1,(GMWQ!$LQ$2:$LQ$60=E$3)*(GMWQ!$LP$2:$LP$60=E$4)*(GMWQ!$LR$2:$LR$60=E$1),0),$B133-1966)</f>
        <v>76.566670000000002</v>
      </c>
      <c r="F133" s="7" cm="1">
        <f t="array" ref="F133">INDEX(GMWQ!$A$2:$LR$60,MATCH(1,(GMWQ!$LQ$2:$LQ$60=F$3)*(GMWQ!$LP$2:$LP$60=F$4)*(GMWQ!$LR$2:$LR$60=F$1),0),$B133-1966)</f>
        <v>139004</v>
      </c>
      <c r="G133" s="7" cm="1">
        <f t="array" ref="G133">INDEX(GMWQ!$A$2:$LR$60,MATCH(1,(GMWQ!$LQ$2:$LQ$60=G$3)*(GMWQ!$LP$2:$LP$60=G$4)*(GMWQ!$LR$2:$LR$60=G$1),0),$B133-1966)</f>
        <v>31264</v>
      </c>
      <c r="H133" s="7" cm="1">
        <f t="array" ref="H133">INDEX(GMWQ!$A$2:$LR$60,MATCH(1,(GMWQ!$LQ$2:$LQ$60=H$3)*(GMWQ!$LP$2:$LP$60=H$4)*(GMWQ!$LR$2:$LR$60=H$1),0),$B133-1966)</f>
        <v>10385</v>
      </c>
      <c r="I133" s="7" cm="1">
        <f t="array" ref="I133">INDEX(GMWQ!$A$2:$LR$60,MATCH(1,(GMWQ!$LQ$2:$LQ$60=I$3)*(GMWQ!$LP$2:$LP$60=I$4)*(GMWQ!$LR$2:$LR$60=I$1),0),$B133-1966)</f>
        <v>76.527389999999997</v>
      </c>
      <c r="J133" s="7" cm="1">
        <f t="array" ref="J133">INDEX(GMWQ!$A$2:$LR$60,MATCH(1,(GMWQ!$LQ$2:$LQ$60=J$3)*(GMWQ!$LP$2:$LP$60=J$4)*(GMWQ!$LR$2:$LR$60=J$1),0),$B133-1966)</f>
        <v>24714</v>
      </c>
      <c r="K133" s="7" cm="1">
        <f t="array" ref="K133">INDEX(GMWQ!$A$2:$LR$60,MATCH(1,(GMWQ!$LQ$2:$LQ$60=K$3)*(GMWQ!$LP$2:$LP$60=K$4)*(GMWQ!$LR$2:$LR$60=K$1),0),$B133-1966)</f>
        <v>4.75</v>
      </c>
      <c r="L133" s="7" cm="1">
        <f t="array" ref="L133">INDEX(GMWQ!$A$2:$LR$60,MATCH(1,(GMWQ!$LQ$2:$LQ$60=L$3)*(GMWQ!$LP$2:$LP$60=L$4)*(GMWQ!$LR$2:$LR$60=L$1),0),$B133-1966)</f>
        <v>4.7</v>
      </c>
      <c r="M133" s="7" cm="1">
        <f t="array" ref="M133">INDEX(GMWQ!$A$2:$LR$60,MATCH(1,(GMWQ!$LQ$2:$LQ$60=M$3)*(GMWQ!$LP$2:$LP$60=M$4)*(GMWQ!$LR$2:$LR$60=M$1),0),$B133-1966)</f>
        <v>79.087900000000005</v>
      </c>
      <c r="N133" s="7" cm="1">
        <f t="array" ref="N133">INDEX(GMWQ!$A$2:$LR$60,MATCH(1,(GMWQ!$LQ$2:$LQ$60=N$3)*(GMWQ!$LP$2:$LP$60=N$4)*(GMWQ!$LR$2:$LR$60=N$1),0),$B133-1966)</f>
        <v>13529</v>
      </c>
      <c r="O133" s="7" cm="1">
        <f t="array" ref="O133">INDEX(GMWQ!$A$2:$LR$60,MATCH(1,(GMWQ!$LQ$2:$LQ$60=O$3)*(GMWQ!$LP$2:$LP$60=O$4)*(GMWQ!$LR$2:$LR$60=O$1),0),$B133-1966)</f>
        <v>10667</v>
      </c>
      <c r="P133" s="7" cm="1">
        <f t="array" ref="P133">INDEX(GMWQ!$A$2:$LR$60,MATCH(1,(GMWQ!$LQ$2:$LQ$60=P$3)*(GMWQ!$LP$2:$LP$60=P$4)*(GMWQ!$LR$2:$LR$60=P$1),0),$B133-1966)</f>
        <v>214761</v>
      </c>
      <c r="Q133" s="7" cm="1">
        <f t="array" ref="Q133">INDEX(GMWQ!$A$2:$LR$60,MATCH(1,(GMWQ!$LQ$2:$LQ$60=Q$3)*(GMWQ!$LP$2:$LP$60=Q$4)*(GMWQ!$LR$2:$LR$60=Q$1),0),$B133-1966)</f>
        <v>5.4633330000000004</v>
      </c>
      <c r="R133" s="7" cm="1">
        <f t="array" ref="R133">INDEX(GMWQ!$A$2:$LR$60,MATCH(1,(GMWQ!$LQ$2:$LQ$60=R$3)*(GMWQ!$LP$2:$LP$60=R$4)*(GMWQ!$LR$2:$LR$60=R$1),0),$B133-1966)</f>
        <v>278916</v>
      </c>
      <c r="S133" s="7" cm="1">
        <f t="array" ref="S133">INDEX(GMWQ!$A$2:$LR$60,MATCH(1,(GMWQ!$LQ$2:$LQ$60=S$3)*(GMWQ!$LP$2:$LP$60=S$4)*(GMWQ!$LR$2:$LR$60=S$1),0),$B133-1966)</f>
        <v>447</v>
      </c>
      <c r="T133" s="7" cm="1">
        <f t="array" ref="T133">INDEX(GMWQ!$A$2:$LR$60,MATCH(1,(GMWQ!$LQ$2:$LQ$60=T$3)*(GMWQ!$LP$2:$LP$60=T$4)*(GMWQ!$LR$2:$LR$60=T$1),0),$B133-1966)</f>
        <v>72627</v>
      </c>
      <c r="U133" s="7" cm="1">
        <f t="array" ref="U133">INDEX(GMWQ!$A$2:$LR$60,MATCH(1,(GMWQ!$LQ$2:$LQ$60=U$3)*(GMWQ!$LP$2:$LP$60=U$4)*(GMWQ!$LR$2:$LR$60=U$1),0),$B133-1966)</f>
        <v>24286</v>
      </c>
      <c r="V133" s="7" cm="1">
        <f t="array" ref="V133">INDEX(GMWQ!$A$2:$LR$60,MATCH(1,(GMWQ!$LQ$2:$LQ$60=V$3)*(GMWQ!$LP$2:$LP$60=V$4)*(GMWQ!$LR$2:$LR$60=V$1),0),$B133-1966)</f>
        <v>1.978488E-3</v>
      </c>
      <c r="W133" s="7" cm="1">
        <f t="array" ref="W133">INDEX(GMWQ!$A$2:$LR$60,MATCH(1,(GMWQ!$LQ$2:$LQ$60=W$3)*(GMWQ!$LP$2:$LP$60=W$4)*(GMWQ!$LR$2:$LR$60=W$1),0),$B133-1966)</f>
        <v>18.103300000000001</v>
      </c>
      <c r="X133" s="7" cm="1">
        <f t="array" ref="X133">INDEX(GMWQ!$A$2:$LR$60,MATCH(1,(GMWQ!$LQ$2:$LQ$60=X$3)*(GMWQ!$LP$2:$LP$60=X$4)*(GMWQ!$LR$2:$LR$60=X$1),0),$B133-1966)</f>
        <v>2099452</v>
      </c>
      <c r="Y133" s="7" cm="1">
        <f t="array" ref="Y133">INDEX(GMWQ!$A$2:$LR$60,MATCH(1,(GMWQ!$LQ$2:$LQ$60=Y$3)*(GMWQ!$LP$2:$LP$60=Y$4)*(GMWQ!$LR$2:$LR$60=Y$1),0),$B133-1966)</f>
        <v>73.973550000000003</v>
      </c>
      <c r="Z133" s="7" cm="1">
        <f t="array" ref="Z133">INDEX(GMWQ!$A$2:$LR$60,MATCH(1,(GMWQ!$LQ$2:$LQ$60=Z$3)*(GMWQ!$LP$2:$LP$60=Z$4)*(GMWQ!$LR$2:$LR$60=Z$1),0),$B133-1966)</f>
        <v>434624.2</v>
      </c>
      <c r="AA133" s="7" cm="1">
        <f t="array" ref="AA133">INDEX(GMWQ!$A$2:$LR$60,MATCH(1,(GMWQ!$LQ$2:$LQ$60=AA$3)*(GMWQ!$LP$2:$LP$60=AA$4)*(GMWQ!$LR$2:$LR$60=AA$1),0),$B133-1966)</f>
        <v>119739</v>
      </c>
      <c r="AB133" s="7" cm="1">
        <f t="array" ref="AB133">INDEX(GMWQ!$A$2:$LR$60,MATCH(1,(GMWQ!$LQ$2:$LQ$60=AB$3)*(GMWQ!$LP$2:$LP$60=AB$4)*(GMWQ!$LR$2:$LR$60=AB$1),0),$B133-1966)</f>
        <v>120227</v>
      </c>
      <c r="AC133" s="7" cm="1">
        <f t="array" ref="AC133">INDEX(GMWQ!$A$2:$LR$60,MATCH(1,(GMWQ!$LQ$2:$LQ$60=AC$3)*(GMWQ!$LP$2:$LP$60=AC$4)*(GMWQ!$LR$2:$LR$60=AC$1),0),$B133-1966)</f>
        <v>5087</v>
      </c>
      <c r="AD133" s="7" cm="1">
        <f t="array" ref="AD133">INDEX(GMWQ!$A$2:$LR$60,MATCH(1,(GMWQ!$LQ$2:$LQ$60=AD$3)*(GMWQ!$LP$2:$LP$60=AD$4)*(GMWQ!$LR$2:$LR$60=AD$1),0),$B133-1966)</f>
        <v>7361</v>
      </c>
      <c r="AE133" s="7" cm="1">
        <f t="array" ref="AE133">INDEX(GMWQ!$A$2:$LR$60,MATCH(1,(GMWQ!$LQ$2:$LQ$60=AE$3)*(GMWQ!$LP$2:$LP$60=AE$4)*(GMWQ!$LR$2:$LR$60=AE$1),0),$B133-1966)</f>
        <v>331528</v>
      </c>
      <c r="AF133" s="20" cm="1">
        <f t="array" ref="AF133">INDEX(GMWQ!$A$2:$LR$60,MATCH(1,(GMWQ!$LQ$2:$LQ$60=AF$3)*(GMWQ!$LP$2:$LP$60=AF$4)*(GMWQ!$LR$2:$LR$60=AF$1),0),$B133-1966)</f>
        <v>4.655303</v>
      </c>
      <c r="AG133" s="20" cm="1">
        <f t="array" ref="AG133">INDEX(GMWQ!$A$2:$LR$60,MATCH(1,(GMWQ!$LQ$2:$LQ$60=AG$3)*(GMWQ!$LP$2:$LP$60=AG$4)*(GMWQ!$LR$2:$LR$60=AG$1),0),$B133-1966)</f>
        <v>-2862</v>
      </c>
      <c r="AI133" s="23" cm="1">
        <f t="array" ref="AI133">INDEX(GMWQ!$A$2:$LR$60,MATCH(1,(GMWQ!$LQ$2:$LQ$60=AI$3)*(GMWQ!$LP$2:$LP$60=AI$4)*(GMWQ!$LR$2:$LR$60=AI$1),0),$B133-1966)</f>
        <v>214761</v>
      </c>
      <c r="AJ133" s="23" cm="1">
        <f t="array" ref="AJ133">INDEX(GMWQ!$A$2:$LR$60,MATCH(1,(GMWQ!$LQ$2:$LQ$60=AJ$3)*(GMWQ!$LP$2:$LP$60=AJ$4)*(GMWQ!$LR$2:$LR$60=AJ$1),0),$B133-1966)</f>
        <v>76.527389999999997</v>
      </c>
      <c r="AK133" s="23" cm="1">
        <f t="array" ref="AK133">INDEX(GMWQ!$A$2:$LR$60,MATCH(1,(GMWQ!$LQ$2:$LQ$60=AK$3)*(GMWQ!$LP$2:$LP$60=AK$4)*(GMWQ!$LR$2:$LR$60=AK$1),0),$B133-1966)</f>
        <v>139004</v>
      </c>
      <c r="AL133" s="23" cm="1">
        <f t="array" ref="AL133">INDEX(GMWQ!$A$2:$LR$60,MATCH(1,(GMWQ!$LQ$2:$LQ$60=AL$3)*(GMWQ!$LP$2:$LP$60=AL$4)*(GMWQ!$LR$2:$LR$60=AL$1),0),$B133-1966)</f>
        <v>5624.5039999999999</v>
      </c>
      <c r="AM133" s="23" cm="1">
        <f t="array" ref="AM133">INDEX(GMWQ!$A$2:$LR$60,MATCH(1,(GMWQ!$LQ$2:$LQ$60=AM$3)*(GMWQ!$LP$2:$LP$60=AM$4)*(GMWQ!$LR$2:$LR$60=AM$1),0),$B133-1966)</f>
        <v>24714</v>
      </c>
      <c r="AN133" s="23" cm="1">
        <f t="array" ref="AN133">INDEX(GMWQ!$A$2:$LR$60,MATCH(1,(GMWQ!$LQ$2:$LQ$60=AN$3)*(GMWQ!$LP$2:$LP$60=AN$4)*(GMWQ!$LR$2:$LR$60=AN$1),0),$B133-1966)</f>
        <v>31264</v>
      </c>
      <c r="AO133" s="23" cm="1">
        <f t="array" ref="AO133">INDEX(GMWQ!$A$2:$LR$60,MATCH(1,(GMWQ!$LQ$2:$LQ$60=AO$3)*(GMWQ!$LP$2:$LP$60=AO$4)*(GMWQ!$LR$2:$LR$60=AO$1),0),$B133-1966)</f>
        <v>10385</v>
      </c>
      <c r="AP133" s="23" cm="1">
        <f t="array" ref="AP133">INDEX(GMWQ!$A$2:$LR$60,MATCH(1,(GMWQ!$LQ$2:$LQ$60=AP$3)*(GMWQ!$LP$2:$LP$60=AP$4)*(GMWQ!$LR$2:$LR$60=AP$1),0),$B133-1966)</f>
        <v>-2862</v>
      </c>
      <c r="AQ133" s="23" cm="1">
        <f t="array" ref="AQ133">INDEX(GMWQ!$A$2:$LR$60,MATCH(1,(GMWQ!$LQ$2:$LQ$60=AQ$3)*(GMWQ!$LP$2:$LP$60=AQ$4)*(GMWQ!$LR$2:$LR$60=AQ$1),0),$B133-1966)</f>
        <v>35506</v>
      </c>
      <c r="AR133" s="23" cm="1">
        <f t="array" ref="AR133">INDEX(GMWQ!$A$2:$LR$60,MATCH(1,(GMWQ!$LQ$2:$LQ$60=AR$3)*(GMWQ!$LP$2:$LP$60=AR$4)*(GMWQ!$LR$2:$LR$60=AR$1),0),$B133-1966)</f>
        <v>209633</v>
      </c>
      <c r="AS133" s="23" cm="1">
        <f t="array" ref="AS133">INDEX(GMWQ!$A$2:$LR$60,MATCH(1,(GMWQ!$LQ$2:$LQ$60=AS$3)*(GMWQ!$LP$2:$LP$60=AS$4)*(GMWQ!$LR$2:$LR$60=AS$1),0),$B133-1966)</f>
        <v>6738</v>
      </c>
      <c r="AT133" s="23" cm="1">
        <f t="array" ref="AT133">INDEX(GMWQ!$A$2:$LR$60,MATCH(1,(GMWQ!$LQ$2:$LQ$60=AT$3)*(GMWQ!$LP$2:$LP$60=AT$4)*(GMWQ!$LR$2:$LR$60=AT$1),0),$B133-1966)</f>
        <v>273932</v>
      </c>
      <c r="AU133" s="23" cm="1">
        <f t="array" ref="AU133">INDEX(GMWQ!$A$2:$LR$60,MATCH(1,(GMWQ!$LQ$2:$LQ$60=AU$3)*(GMWQ!$LP$2:$LP$60=AU$4)*(GMWQ!$LR$2:$LR$60=AU$1),0),$B133-1966)</f>
        <v>10738</v>
      </c>
    </row>
    <row r="134" spans="1:47" x14ac:dyDescent="0.35">
      <c r="B134" s="7">
        <f t="shared" si="3"/>
        <v>2100</v>
      </c>
      <c r="C134" s="7" cm="1">
        <f t="array" ref="C134">INDEX(GMWQ!$A$2:$LR$60,MATCH(1,(GMWQ!$LQ$2:$LQ$60=C$3)*(GMWQ!$LP$2:$LP$60=C$4)*(GMWQ!$LR$2:$LR$60=C$1),0),$B134-1966)</f>
        <v>450464</v>
      </c>
      <c r="D134" s="7" cm="1">
        <f t="array" ref="D134">INDEX(GMWQ!$A$2:$LR$60,MATCH(1,(GMWQ!$LQ$2:$LQ$60=D$3)*(GMWQ!$LP$2:$LP$60=D$4)*(GMWQ!$LR$2:$LR$60=D$1),0),$B134-1966)</f>
        <v>372.33330000000001</v>
      </c>
      <c r="E134" s="7" cm="1">
        <f t="array" ref="E134">INDEX(GMWQ!$A$2:$LR$60,MATCH(1,(GMWQ!$LQ$2:$LQ$60=E$3)*(GMWQ!$LP$2:$LP$60=E$4)*(GMWQ!$LR$2:$LR$60=E$1),0),$B134-1966)</f>
        <v>77.099999999999994</v>
      </c>
      <c r="F134" s="7" cm="1">
        <f t="array" ref="F134">INDEX(GMWQ!$A$2:$LR$60,MATCH(1,(GMWQ!$LQ$2:$LQ$60=F$3)*(GMWQ!$LP$2:$LP$60=F$4)*(GMWQ!$LR$2:$LR$60=F$1),0),$B134-1966)</f>
        <v>141394</v>
      </c>
      <c r="G134" s="7" cm="1">
        <f t="array" ref="G134">INDEX(GMWQ!$A$2:$LR$60,MATCH(1,(GMWQ!$LQ$2:$LQ$60=G$3)*(GMWQ!$LP$2:$LP$60=G$4)*(GMWQ!$LR$2:$LR$60=G$1),0),$B134-1966)</f>
        <v>32522</v>
      </c>
      <c r="H134" s="7" cm="1">
        <f t="array" ref="H134">INDEX(GMWQ!$A$2:$LR$60,MATCH(1,(GMWQ!$LQ$2:$LQ$60=H$3)*(GMWQ!$LP$2:$LP$60=H$4)*(GMWQ!$LR$2:$LR$60=H$1),0),$B134-1966)</f>
        <v>10841</v>
      </c>
      <c r="I134" s="7" cm="1">
        <f t="array" ref="I134">INDEX(GMWQ!$A$2:$LR$60,MATCH(1,(GMWQ!$LQ$2:$LQ$60=I$3)*(GMWQ!$LP$2:$LP$60=I$4)*(GMWQ!$LR$2:$LR$60=I$1),0),$B134-1966)</f>
        <v>77.095380000000006</v>
      </c>
      <c r="J134" s="7" cm="1">
        <f t="array" ref="J134">INDEX(GMWQ!$A$2:$LR$60,MATCH(1,(GMWQ!$LQ$2:$LQ$60=J$3)*(GMWQ!$LP$2:$LP$60=J$4)*(GMWQ!$LR$2:$LR$60=J$1),0),$B134-1966)</f>
        <v>24830</v>
      </c>
      <c r="K134" s="7" cm="1">
        <f t="array" ref="K134">INDEX(GMWQ!$A$2:$LR$60,MATCH(1,(GMWQ!$LQ$2:$LQ$60=K$3)*(GMWQ!$LP$2:$LP$60=K$4)*(GMWQ!$LR$2:$LR$60=K$1),0),$B134-1966)</f>
        <v>4.75</v>
      </c>
      <c r="L134" s="7" cm="1">
        <f t="array" ref="L134">INDEX(GMWQ!$A$2:$LR$60,MATCH(1,(GMWQ!$LQ$2:$LQ$60=L$3)*(GMWQ!$LP$2:$LP$60=L$4)*(GMWQ!$LR$2:$LR$60=L$1),0),$B134-1966)</f>
        <v>4.7</v>
      </c>
      <c r="M134" s="7" cm="1">
        <f t="array" ref="M134">INDEX(GMWQ!$A$2:$LR$60,MATCH(1,(GMWQ!$LQ$2:$LQ$60=M$3)*(GMWQ!$LP$2:$LP$60=M$4)*(GMWQ!$LR$2:$LR$60=M$1),0),$B134-1966)</f>
        <v>80.968069999999997</v>
      </c>
      <c r="N134" s="7" cm="1">
        <f t="array" ref="N134">INDEX(GMWQ!$A$2:$LR$60,MATCH(1,(GMWQ!$LQ$2:$LQ$60=N$3)*(GMWQ!$LP$2:$LP$60=N$4)*(GMWQ!$LR$2:$LR$60=N$1),0),$B134-1966)</f>
        <v>13990</v>
      </c>
      <c r="O134" s="7" cm="1">
        <f t="array" ref="O134">INDEX(GMWQ!$A$2:$LR$60,MATCH(1,(GMWQ!$LQ$2:$LQ$60=O$3)*(GMWQ!$LP$2:$LP$60=O$4)*(GMWQ!$LR$2:$LR$60=O$1),0),$B134-1966)</f>
        <v>10997</v>
      </c>
      <c r="P134" s="7" cm="1">
        <f t="array" ref="P134">INDEX(GMWQ!$A$2:$LR$60,MATCH(1,(GMWQ!$LQ$2:$LQ$60=P$3)*(GMWQ!$LP$2:$LP$60=P$4)*(GMWQ!$LR$2:$LR$60=P$1),0),$B134-1966)</f>
        <v>216772</v>
      </c>
      <c r="Q134" s="7" cm="1">
        <f t="array" ref="Q134">INDEX(GMWQ!$A$2:$LR$60,MATCH(1,(GMWQ!$LQ$2:$LQ$60=Q$3)*(GMWQ!$LP$2:$LP$60=Q$4)*(GMWQ!$LR$2:$LR$60=Q$1),0),$B134-1966)</f>
        <v>5.5733329999999999</v>
      </c>
      <c r="R134" s="7" cm="1">
        <f t="array" ref="R134">INDEX(GMWQ!$A$2:$LR$60,MATCH(1,(GMWQ!$LQ$2:$LQ$60=R$3)*(GMWQ!$LP$2:$LP$60=R$4)*(GMWQ!$LR$2:$LR$60=R$1),0),$B134-1966)</f>
        <v>243217</v>
      </c>
      <c r="S134" s="7" cm="1">
        <f t="array" ref="S134">INDEX(GMWQ!$A$2:$LR$60,MATCH(1,(GMWQ!$LQ$2:$LQ$60=S$3)*(GMWQ!$LP$2:$LP$60=S$4)*(GMWQ!$LR$2:$LR$60=S$1),0),$B134-1966)</f>
        <v>399</v>
      </c>
      <c r="T134" s="7" cm="1">
        <f t="array" ref="T134">INDEX(GMWQ!$A$2:$LR$60,MATCH(1,(GMWQ!$LQ$2:$LQ$60=T$3)*(GMWQ!$LP$2:$LP$60=T$4)*(GMWQ!$LR$2:$LR$60=T$1),0),$B134-1966)</f>
        <v>64246</v>
      </c>
      <c r="U134" s="7" cm="1">
        <f t="array" ref="U134">INDEX(GMWQ!$A$2:$LR$60,MATCH(1,(GMWQ!$LQ$2:$LQ$60=U$3)*(GMWQ!$LP$2:$LP$60=U$4)*(GMWQ!$LR$2:$LR$60=U$1),0),$B134-1966)</f>
        <v>21242</v>
      </c>
      <c r="V134" s="7" cm="1">
        <f t="array" ref="V134">INDEX(GMWQ!$A$2:$LR$60,MATCH(1,(GMWQ!$LQ$2:$LQ$60=V$3)*(GMWQ!$LP$2:$LP$60=V$4)*(GMWQ!$LR$2:$LR$60=V$1),0),$B134-1966)</f>
        <v>2.023712E-3</v>
      </c>
      <c r="W134" s="7" cm="1">
        <f t="array" ref="W134">INDEX(GMWQ!$A$2:$LR$60,MATCH(1,(GMWQ!$LQ$2:$LQ$60=W$3)*(GMWQ!$LP$2:$LP$60=W$4)*(GMWQ!$LR$2:$LR$60=W$1),0),$B134-1966)</f>
        <v>17.976700000000001</v>
      </c>
      <c r="X134" s="7" cm="1">
        <f t="array" ref="X134">INDEX(GMWQ!$A$2:$LR$60,MATCH(1,(GMWQ!$LQ$2:$LQ$60=X$3)*(GMWQ!$LP$2:$LP$60=X$4)*(GMWQ!$LR$2:$LR$60=X$1),0),$B134-1966)</f>
        <v>2135316</v>
      </c>
      <c r="Y134" s="7" cm="1">
        <f t="array" ref="Y134">INDEX(GMWQ!$A$2:$LR$60,MATCH(1,(GMWQ!$LQ$2:$LQ$60=Y$3)*(GMWQ!$LP$2:$LP$60=Y$4)*(GMWQ!$LR$2:$LR$60=Y$1),0),$B134-1966)</f>
        <v>75.179150000000007</v>
      </c>
      <c r="Z134" s="7" cm="1">
        <f t="array" ref="Z134">INDEX(GMWQ!$A$2:$LR$60,MATCH(1,(GMWQ!$LQ$2:$LQ$60=Z$3)*(GMWQ!$LP$2:$LP$60=Z$4)*(GMWQ!$LR$2:$LR$60=Z$1),0),$B134-1966)</f>
        <v>440243.20000000001</v>
      </c>
      <c r="AA134" s="7" cm="1">
        <f t="array" ref="AA134">INDEX(GMWQ!$A$2:$LR$60,MATCH(1,(GMWQ!$LQ$2:$LQ$60=AA$3)*(GMWQ!$LP$2:$LP$60=AA$4)*(GMWQ!$LR$2:$LR$60=AA$1),0),$B134-1966)</f>
        <v>117734</v>
      </c>
      <c r="AB134" s="7" cm="1">
        <f t="array" ref="AB134">INDEX(GMWQ!$A$2:$LR$60,MATCH(1,(GMWQ!$LQ$2:$LQ$60=AB$3)*(GMWQ!$LP$2:$LP$60=AB$4)*(GMWQ!$LR$2:$LR$60=AB$1),0),$B134-1966)</f>
        <v>120776</v>
      </c>
      <c r="AC134" s="7" cm="1">
        <f t="array" ref="AC134">INDEX(GMWQ!$A$2:$LR$60,MATCH(1,(GMWQ!$LQ$2:$LQ$60=AC$3)*(GMWQ!$LP$2:$LP$60=AC$4)*(GMWQ!$LR$2:$LR$60=AC$1),0),$B134-1966)</f>
        <v>6041</v>
      </c>
      <c r="AD134" s="7" cm="1">
        <f t="array" ref="AD134">INDEX(GMWQ!$A$2:$LR$60,MATCH(1,(GMWQ!$LQ$2:$LQ$60=AD$3)*(GMWQ!$LP$2:$LP$60=AD$4)*(GMWQ!$LR$2:$LR$60=AD$1),0),$B134-1966)</f>
        <v>7437</v>
      </c>
      <c r="AE134" s="7" cm="1">
        <f t="array" ref="AE134">INDEX(GMWQ!$A$2:$LR$60,MATCH(1,(GMWQ!$LQ$2:$LQ$60=AE$3)*(GMWQ!$LP$2:$LP$60=AE$4)*(GMWQ!$LR$2:$LR$60=AE$1),0),$B134-1966)</f>
        <v>338655</v>
      </c>
      <c r="AF134" s="20" cm="1">
        <f t="array" ref="AF134">INDEX(GMWQ!$A$2:$LR$60,MATCH(1,(GMWQ!$LQ$2:$LQ$60=AF$3)*(GMWQ!$LP$2:$LP$60=AF$4)*(GMWQ!$LR$2:$LR$60=AF$1),0),$B134-1966)</f>
        <v>4.75</v>
      </c>
      <c r="AG134" s="20" cm="1">
        <f t="array" ref="AG134">INDEX(GMWQ!$A$2:$LR$60,MATCH(1,(GMWQ!$LQ$2:$LQ$60=AG$3)*(GMWQ!$LP$2:$LP$60=AG$4)*(GMWQ!$LR$2:$LR$60=AG$1),0),$B134-1966)</f>
        <v>-2993</v>
      </c>
      <c r="AI134" s="23" cm="1">
        <f t="array" ref="AI134">INDEX(GMWQ!$A$2:$LR$60,MATCH(1,(GMWQ!$LQ$2:$LQ$60=AI$3)*(GMWQ!$LP$2:$LP$60=AI$4)*(GMWQ!$LR$2:$LR$60=AI$1),0),$B134-1966)</f>
        <v>216772</v>
      </c>
      <c r="AJ134" s="23" cm="1">
        <f t="array" ref="AJ134">INDEX(GMWQ!$A$2:$LR$60,MATCH(1,(GMWQ!$LQ$2:$LQ$60=AJ$3)*(GMWQ!$LP$2:$LP$60=AJ$4)*(GMWQ!$LR$2:$LR$60=AJ$1),0),$B134-1966)</f>
        <v>77.095380000000006</v>
      </c>
      <c r="AK134" s="23" cm="1">
        <f t="array" ref="AK134">INDEX(GMWQ!$A$2:$LR$60,MATCH(1,(GMWQ!$LQ$2:$LQ$60=AK$3)*(GMWQ!$LP$2:$LP$60=AK$4)*(GMWQ!$LR$2:$LR$60=AK$1),0),$B134-1966)</f>
        <v>141394</v>
      </c>
      <c r="AL134" s="23" cm="1">
        <f t="array" ref="AL134">INDEX(GMWQ!$A$2:$LR$60,MATCH(1,(GMWQ!$LQ$2:$LQ$60=AL$3)*(GMWQ!$LP$2:$LP$60=AL$4)*(GMWQ!$LR$2:$LR$60=AL$1),0),$B134-1966)</f>
        <v>5694.482</v>
      </c>
      <c r="AM134" s="23" cm="1">
        <f t="array" ref="AM134">INDEX(GMWQ!$A$2:$LR$60,MATCH(1,(GMWQ!$LQ$2:$LQ$60=AM$3)*(GMWQ!$LP$2:$LP$60=AM$4)*(GMWQ!$LR$2:$LR$60=AM$1),0),$B134-1966)</f>
        <v>24830</v>
      </c>
      <c r="AN134" s="23" cm="1">
        <f t="array" ref="AN134">INDEX(GMWQ!$A$2:$LR$60,MATCH(1,(GMWQ!$LQ$2:$LQ$60=AN$3)*(GMWQ!$LP$2:$LP$60=AN$4)*(GMWQ!$LR$2:$LR$60=AN$1),0),$B134-1966)</f>
        <v>32522</v>
      </c>
      <c r="AO134" s="23" cm="1">
        <f t="array" ref="AO134">INDEX(GMWQ!$A$2:$LR$60,MATCH(1,(GMWQ!$LQ$2:$LQ$60=AO$3)*(GMWQ!$LP$2:$LP$60=AO$4)*(GMWQ!$LR$2:$LR$60=AO$1),0),$B134-1966)</f>
        <v>10841</v>
      </c>
      <c r="AP134" s="23" cm="1">
        <f t="array" ref="AP134">INDEX(GMWQ!$A$2:$LR$60,MATCH(1,(GMWQ!$LQ$2:$LQ$60=AP$3)*(GMWQ!$LP$2:$LP$60=AP$4)*(GMWQ!$LR$2:$LR$60=AP$1),0),$B134-1966)</f>
        <v>-2993</v>
      </c>
      <c r="AQ134" s="23" cm="1">
        <f t="array" ref="AQ134">INDEX(GMWQ!$A$2:$LR$60,MATCH(1,(GMWQ!$LQ$2:$LQ$60=AQ$3)*(GMWQ!$LP$2:$LP$60=AQ$4)*(GMWQ!$LR$2:$LR$60=AQ$1),0),$B134-1966)</f>
        <v>36366</v>
      </c>
      <c r="AR134" s="23" cm="1">
        <f t="array" ref="AR134">INDEX(GMWQ!$A$2:$LR$60,MATCH(1,(GMWQ!$LQ$2:$LQ$60=AR$3)*(GMWQ!$LP$2:$LP$60=AR$4)*(GMWQ!$LR$2:$LR$60=AR$1),0),$B134-1966)</f>
        <v>212885</v>
      </c>
      <c r="AS134" s="23" cm="1">
        <f t="array" ref="AS134">INDEX(GMWQ!$A$2:$LR$60,MATCH(1,(GMWQ!$LQ$2:$LQ$60=AS$3)*(GMWQ!$LP$2:$LP$60=AS$4)*(GMWQ!$LR$2:$LR$60=AS$1),0),$B134-1966)</f>
        <v>6862</v>
      </c>
      <c r="AT134" s="23" cm="1">
        <f t="array" ref="AT134">INDEX(GMWQ!$A$2:$LR$60,MATCH(1,(GMWQ!$LQ$2:$LQ$60=AT$3)*(GMWQ!$LP$2:$LP$60=AT$4)*(GMWQ!$LR$2:$LR$60=AT$1),0),$B134-1966)</f>
        <v>276132</v>
      </c>
      <c r="AU134" s="23" cm="1">
        <f t="array" ref="AU134">INDEX(GMWQ!$A$2:$LR$60,MATCH(1,(GMWQ!$LQ$2:$LQ$60=AU$3)*(GMWQ!$LP$2:$LP$60=AU$4)*(GMWQ!$LR$2:$LR$60=AU$1),0),$B134-1966)</f>
        <v>10827</v>
      </c>
    </row>
    <row r="135" spans="1:47" x14ac:dyDescent="0.35">
      <c r="A135" s="7">
        <v>2005</v>
      </c>
      <c r="B135" s="7">
        <f t="shared" si="3"/>
        <v>2101</v>
      </c>
      <c r="C135" s="7" cm="1">
        <f t="array" ref="C135">INDEX(GMWQ!$A$2:$LR$60,MATCH(1,(GMWQ!$LQ$2:$LQ$60=C$3)*(GMWQ!$LP$2:$LP$60=C$4)*(GMWQ!$LR$2:$LR$60=C$1),0),$B135-1966)</f>
        <v>453784</v>
      </c>
      <c r="D135" s="7" cm="1">
        <f t="array" ref="D135">INDEX(GMWQ!$A$2:$LR$60,MATCH(1,(GMWQ!$LQ$2:$LQ$60=D$3)*(GMWQ!$LP$2:$LP$60=D$4)*(GMWQ!$LR$2:$LR$60=D$1),0),$B135-1966)</f>
        <v>375.33330000000001</v>
      </c>
      <c r="E135" s="7" cm="1">
        <f t="array" ref="E135">INDEX(GMWQ!$A$2:$LR$60,MATCH(1,(GMWQ!$LQ$2:$LQ$60=E$3)*(GMWQ!$LP$2:$LP$60=E$4)*(GMWQ!$LR$2:$LR$60=E$1),0),$B135-1966)</f>
        <v>77.233329999999995</v>
      </c>
      <c r="F135" s="7" cm="1">
        <f t="array" ref="F135">INDEX(GMWQ!$A$2:$LR$60,MATCH(1,(GMWQ!$LQ$2:$LQ$60=F$3)*(GMWQ!$LP$2:$LP$60=F$4)*(GMWQ!$LR$2:$LR$60=F$1),0),$B135-1966)</f>
        <v>144176</v>
      </c>
      <c r="G135" s="7" cm="1">
        <f t="array" ref="G135">INDEX(GMWQ!$A$2:$LR$60,MATCH(1,(GMWQ!$LQ$2:$LQ$60=G$3)*(GMWQ!$LP$2:$LP$60=G$4)*(GMWQ!$LR$2:$LR$60=G$1),0),$B135-1966)</f>
        <v>32797</v>
      </c>
      <c r="H135" s="7" cm="1">
        <f t="array" ref="H135">INDEX(GMWQ!$A$2:$LR$60,MATCH(1,(GMWQ!$LQ$2:$LQ$60=H$3)*(GMWQ!$LP$2:$LP$60=H$4)*(GMWQ!$LR$2:$LR$60=H$1),0),$B135-1966)</f>
        <v>11035</v>
      </c>
      <c r="I135" s="7" cm="1">
        <f t="array" ref="I135">INDEX(GMWQ!$A$2:$LR$60,MATCH(1,(GMWQ!$LQ$2:$LQ$60=I$3)*(GMWQ!$LP$2:$LP$60=I$4)*(GMWQ!$LR$2:$LR$60=I$1),0),$B135-1966)</f>
        <v>77.340789999999998</v>
      </c>
      <c r="J135" s="7" cm="1">
        <f t="array" ref="J135">INDEX(GMWQ!$A$2:$LR$60,MATCH(1,(GMWQ!$LQ$2:$LQ$60=J$3)*(GMWQ!$LP$2:$LP$60=J$4)*(GMWQ!$LR$2:$LR$60=J$1),0),$B135-1966)</f>
        <v>24949</v>
      </c>
      <c r="K135" s="7" cm="1">
        <f t="array" ref="K135">INDEX(GMWQ!$A$2:$LR$60,MATCH(1,(GMWQ!$LQ$2:$LQ$60=K$3)*(GMWQ!$LP$2:$LP$60=K$4)*(GMWQ!$LR$2:$LR$60=K$1),0),$B135-1966)</f>
        <v>4.75</v>
      </c>
      <c r="L135" s="7" cm="1">
        <f t="array" ref="L135">INDEX(GMWQ!$A$2:$LR$60,MATCH(1,(GMWQ!$LQ$2:$LQ$60=L$3)*(GMWQ!$LP$2:$LP$60=L$4)*(GMWQ!$LR$2:$LR$60=L$1),0),$B135-1966)</f>
        <v>4.7</v>
      </c>
      <c r="M135" s="7" cm="1">
        <f t="array" ref="M135">INDEX(GMWQ!$A$2:$LR$60,MATCH(1,(GMWQ!$LQ$2:$LQ$60=M$3)*(GMWQ!$LP$2:$LP$60=M$4)*(GMWQ!$LR$2:$LR$60=M$1),0),$B135-1966)</f>
        <v>79.623000000000005</v>
      </c>
      <c r="N135" s="7" cm="1">
        <f t="array" ref="N135">INDEX(GMWQ!$A$2:$LR$60,MATCH(1,(GMWQ!$LQ$2:$LQ$60=N$3)*(GMWQ!$LP$2:$LP$60=N$4)*(GMWQ!$LR$2:$LR$60=N$1),0),$B135-1966)</f>
        <v>13857</v>
      </c>
      <c r="O135" s="7" cm="1">
        <f t="array" ref="O135">INDEX(GMWQ!$A$2:$LR$60,MATCH(1,(GMWQ!$LQ$2:$LQ$60=O$3)*(GMWQ!$LP$2:$LP$60=O$4)*(GMWQ!$LR$2:$LR$60=O$1),0),$B135-1966)</f>
        <v>10251</v>
      </c>
      <c r="P135" s="7" cm="1">
        <f t="array" ref="P135">INDEX(GMWQ!$A$2:$LR$60,MATCH(1,(GMWQ!$LQ$2:$LQ$60=P$3)*(GMWQ!$LP$2:$LP$60=P$4)*(GMWQ!$LR$2:$LR$60=P$1),0),$B135-1966)</f>
        <v>218821</v>
      </c>
      <c r="Q135" s="7" cm="1">
        <f t="array" ref="Q135">INDEX(GMWQ!$A$2:$LR$60,MATCH(1,(GMWQ!$LQ$2:$LQ$60=Q$3)*(GMWQ!$LP$2:$LP$60=Q$4)*(GMWQ!$LR$2:$LR$60=Q$1),0),$B135-1966)</f>
        <v>5.53</v>
      </c>
      <c r="R135" s="7" cm="1">
        <f t="array" ref="R135">INDEX(GMWQ!$A$2:$LR$60,MATCH(1,(GMWQ!$LQ$2:$LQ$60=R$3)*(GMWQ!$LP$2:$LP$60=R$4)*(GMWQ!$LR$2:$LR$60=R$1),0),$B135-1966)</f>
        <v>259587</v>
      </c>
      <c r="S135" s="7" cm="1">
        <f t="array" ref="S135">INDEX(GMWQ!$A$2:$LR$60,MATCH(1,(GMWQ!$LQ$2:$LQ$60=S$3)*(GMWQ!$LP$2:$LP$60=S$4)*(GMWQ!$LR$2:$LR$60=S$1),0),$B135-1966)</f>
        <v>337</v>
      </c>
      <c r="T135" s="7" cm="1">
        <f t="array" ref="T135">INDEX(GMWQ!$A$2:$LR$60,MATCH(1,(GMWQ!$LQ$2:$LQ$60=T$3)*(GMWQ!$LP$2:$LP$60=T$4)*(GMWQ!$LR$2:$LR$60=T$1),0),$B135-1966)</f>
        <v>63773</v>
      </c>
      <c r="U135" s="7" cm="1">
        <f t="array" ref="U135">INDEX(GMWQ!$A$2:$LR$60,MATCH(1,(GMWQ!$LQ$2:$LQ$60=U$3)*(GMWQ!$LP$2:$LP$60=U$4)*(GMWQ!$LR$2:$LR$60=U$1),0),$B135-1966)</f>
        <v>19782</v>
      </c>
      <c r="V135" s="7" cm="1">
        <f t="array" ref="V135">INDEX(GMWQ!$A$2:$LR$60,MATCH(1,(GMWQ!$LQ$2:$LQ$60=V$3)*(GMWQ!$LP$2:$LP$60=V$4)*(GMWQ!$LR$2:$LR$60=V$1),0),$B135-1966)</f>
        <v>1.9546289999999998E-3</v>
      </c>
      <c r="W135" s="7" cm="1">
        <f t="array" ref="W135">INDEX(GMWQ!$A$2:$LR$60,MATCH(1,(GMWQ!$LQ$2:$LQ$60=W$3)*(GMWQ!$LP$2:$LP$60=W$4)*(GMWQ!$LR$2:$LR$60=W$1),0),$B135-1966)</f>
        <v>18.582429999999999</v>
      </c>
      <c r="X135" s="7" cm="1">
        <f t="array" ref="X135">INDEX(GMWQ!$A$2:$LR$60,MATCH(1,(GMWQ!$LQ$2:$LQ$60=X$3)*(GMWQ!$LP$2:$LP$60=X$4)*(GMWQ!$LR$2:$LR$60=X$1),0),$B135-1966)</f>
        <v>2172188</v>
      </c>
      <c r="Y135" s="7" cm="1">
        <f t="array" ref="Y135">INDEX(GMWQ!$A$2:$LR$60,MATCH(1,(GMWQ!$LQ$2:$LQ$60=Y$3)*(GMWQ!$LP$2:$LP$60=Y$4)*(GMWQ!$LR$2:$LR$60=Y$1),0),$B135-1966)</f>
        <v>75.232050000000001</v>
      </c>
      <c r="Z135" s="7" cm="1">
        <f t="array" ref="Z135">INDEX(GMWQ!$A$2:$LR$60,MATCH(1,(GMWQ!$LQ$2:$LQ$60=Z$3)*(GMWQ!$LP$2:$LP$60=Z$4)*(GMWQ!$LR$2:$LR$60=Z$1),0),$B135-1966)</f>
        <v>443517.6</v>
      </c>
      <c r="AA135" s="7" cm="1">
        <f t="array" ref="AA135">INDEX(GMWQ!$A$2:$LR$60,MATCH(1,(GMWQ!$LQ$2:$LQ$60=AA$3)*(GMWQ!$LP$2:$LP$60=AA$4)*(GMWQ!$LR$2:$LR$60=AA$1),0),$B135-1966)</f>
        <v>134471</v>
      </c>
      <c r="AB135" s="7" cm="1">
        <f t="array" ref="AB135">INDEX(GMWQ!$A$2:$LR$60,MATCH(1,(GMWQ!$LQ$2:$LQ$60=AB$3)*(GMWQ!$LP$2:$LP$60=AB$4)*(GMWQ!$LR$2:$LR$60=AB$1),0),$B135-1966)</f>
        <v>121084</v>
      </c>
      <c r="AC135" s="7" cm="1">
        <f t="array" ref="AC135">INDEX(GMWQ!$A$2:$LR$60,MATCH(1,(GMWQ!$LQ$2:$LQ$60=AC$3)*(GMWQ!$LP$2:$LP$60=AC$4)*(GMWQ!$LR$2:$LR$60=AC$1),0),$B135-1966)</f>
        <v>11910</v>
      </c>
      <c r="AD135" s="7" cm="1">
        <f t="array" ref="AD135">INDEX(GMWQ!$A$2:$LR$60,MATCH(1,(GMWQ!$LQ$2:$LQ$60=AD$3)*(GMWQ!$LP$2:$LP$60=AD$4)*(GMWQ!$LR$2:$LR$60=AD$1),0),$B135-1966)</f>
        <v>7733</v>
      </c>
      <c r="AE135" s="7" cm="1">
        <f t="array" ref="AE135">INDEX(GMWQ!$A$2:$LR$60,MATCH(1,(GMWQ!$LQ$2:$LQ$60=AE$3)*(GMWQ!$LP$2:$LP$60=AE$4)*(GMWQ!$LR$2:$LR$60=AE$1),0),$B135-1966)</f>
        <v>341391</v>
      </c>
      <c r="AF135" s="20" cm="1">
        <f t="array" ref="AF135">INDEX(GMWQ!$A$2:$LR$60,MATCH(1,(GMWQ!$LQ$2:$LQ$60=AF$3)*(GMWQ!$LP$2:$LP$60=AF$4)*(GMWQ!$LR$2:$LR$60=AF$1),0),$B135-1966)</f>
        <v>4.75</v>
      </c>
      <c r="AG135" s="20" cm="1">
        <f t="array" ref="AG135">INDEX(GMWQ!$A$2:$LR$60,MATCH(1,(GMWQ!$LQ$2:$LQ$60=AG$3)*(GMWQ!$LP$2:$LP$60=AG$4)*(GMWQ!$LR$2:$LR$60=AG$1),0),$B135-1966)</f>
        <v>-3606</v>
      </c>
      <c r="AI135" s="23" cm="1">
        <f t="array" ref="AI135">INDEX(GMWQ!$A$2:$LR$60,MATCH(1,(GMWQ!$LQ$2:$LQ$60=AI$3)*(GMWQ!$LP$2:$LP$60=AI$4)*(GMWQ!$LR$2:$LR$60=AI$1),0),$B135-1966)</f>
        <v>218821</v>
      </c>
      <c r="AJ135" s="23" cm="1">
        <f t="array" ref="AJ135">INDEX(GMWQ!$A$2:$LR$60,MATCH(1,(GMWQ!$LQ$2:$LQ$60=AJ$3)*(GMWQ!$LP$2:$LP$60=AJ$4)*(GMWQ!$LR$2:$LR$60=AJ$1),0),$B135-1966)</f>
        <v>77.340789999999998</v>
      </c>
      <c r="AK135" s="23" cm="1">
        <f t="array" ref="AK135">INDEX(GMWQ!$A$2:$LR$60,MATCH(1,(GMWQ!$LQ$2:$LQ$60=AK$3)*(GMWQ!$LP$2:$LP$60=AK$4)*(GMWQ!$LR$2:$LR$60=AK$1),0),$B135-1966)</f>
        <v>144176</v>
      </c>
      <c r="AL135" s="23" cm="1">
        <f t="array" ref="AL135">INDEX(GMWQ!$A$2:$LR$60,MATCH(1,(GMWQ!$LQ$2:$LQ$60=AL$3)*(GMWQ!$LP$2:$LP$60=AL$4)*(GMWQ!$LR$2:$LR$60=AL$1),0),$B135-1966)</f>
        <v>5778.8289999999997</v>
      </c>
      <c r="AM135" s="23" cm="1">
        <f t="array" ref="AM135">INDEX(GMWQ!$A$2:$LR$60,MATCH(1,(GMWQ!$LQ$2:$LQ$60=AM$3)*(GMWQ!$LP$2:$LP$60=AM$4)*(GMWQ!$LR$2:$LR$60=AM$1),0),$B135-1966)</f>
        <v>24949</v>
      </c>
      <c r="AN135" s="23" cm="1">
        <f t="array" ref="AN135">INDEX(GMWQ!$A$2:$LR$60,MATCH(1,(GMWQ!$LQ$2:$LQ$60=AN$3)*(GMWQ!$LP$2:$LP$60=AN$4)*(GMWQ!$LR$2:$LR$60=AN$1),0),$B135-1966)</f>
        <v>32797</v>
      </c>
      <c r="AO135" s="23" cm="1">
        <f t="array" ref="AO135">INDEX(GMWQ!$A$2:$LR$60,MATCH(1,(GMWQ!$LQ$2:$LQ$60=AO$3)*(GMWQ!$LP$2:$LP$60=AO$4)*(GMWQ!$LR$2:$LR$60=AO$1),0),$B135-1966)</f>
        <v>11035</v>
      </c>
      <c r="AP135" s="23" cm="1">
        <f t="array" ref="AP135">INDEX(GMWQ!$A$2:$LR$60,MATCH(1,(GMWQ!$LQ$2:$LQ$60=AP$3)*(GMWQ!$LP$2:$LP$60=AP$4)*(GMWQ!$LR$2:$LR$60=AP$1),0),$B135-1966)</f>
        <v>-3606</v>
      </c>
      <c r="AQ135" s="23" cm="1">
        <f t="array" ref="AQ135">INDEX(GMWQ!$A$2:$LR$60,MATCH(1,(GMWQ!$LQ$2:$LQ$60=AQ$3)*(GMWQ!$LP$2:$LP$60=AQ$4)*(GMWQ!$LR$2:$LR$60=AQ$1),0),$B135-1966)</f>
        <v>35546</v>
      </c>
      <c r="AR135" s="23" cm="1">
        <f t="array" ref="AR135">INDEX(GMWQ!$A$2:$LR$60,MATCH(1,(GMWQ!$LQ$2:$LQ$60=AR$3)*(GMWQ!$LP$2:$LP$60=AR$4)*(GMWQ!$LR$2:$LR$60=AR$1),0),$B135-1966)</f>
        <v>215804</v>
      </c>
      <c r="AS135" s="23" cm="1">
        <f t="array" ref="AS135">INDEX(GMWQ!$A$2:$LR$60,MATCH(1,(GMWQ!$LQ$2:$LQ$60=AS$3)*(GMWQ!$LP$2:$LP$60=AS$4)*(GMWQ!$LR$2:$LR$60=AS$1),0),$B135-1966)</f>
        <v>6969</v>
      </c>
      <c r="AT135" s="23" cm="1">
        <f t="array" ref="AT135">INDEX(GMWQ!$A$2:$LR$60,MATCH(1,(GMWQ!$LQ$2:$LQ$60=AT$3)*(GMWQ!$LP$2:$LP$60=AT$4)*(GMWQ!$LR$2:$LR$60=AT$1),0),$B135-1966)</f>
        <v>279030</v>
      </c>
      <c r="AU135" s="23" cm="1">
        <f t="array" ref="AU135">INDEX(GMWQ!$A$2:$LR$60,MATCH(1,(GMWQ!$LQ$2:$LQ$60=AU$3)*(GMWQ!$LP$2:$LP$60=AU$4)*(GMWQ!$LR$2:$LR$60=AU$1),0),$B135-1966)</f>
        <v>10883</v>
      </c>
    </row>
    <row r="136" spans="1:47" x14ac:dyDescent="0.35">
      <c r="B136" s="7">
        <f t="shared" si="3"/>
        <v>2102</v>
      </c>
      <c r="C136" s="7" cm="1">
        <f t="array" ref="C136">INDEX(GMWQ!$A$2:$LR$60,MATCH(1,(GMWQ!$LQ$2:$LQ$60=C$3)*(GMWQ!$LP$2:$LP$60=C$4)*(GMWQ!$LR$2:$LR$60=C$1),0),$B136-1966)</f>
        <v>457557</v>
      </c>
      <c r="D136" s="7" cm="1">
        <f t="array" ref="D136">INDEX(GMWQ!$A$2:$LR$60,MATCH(1,(GMWQ!$LQ$2:$LQ$60=D$3)*(GMWQ!$LP$2:$LP$60=D$4)*(GMWQ!$LR$2:$LR$60=D$1),0),$B136-1966)</f>
        <v>379.66669999999999</v>
      </c>
      <c r="E136" s="7" cm="1">
        <f t="array" ref="E136">INDEX(GMWQ!$A$2:$LR$60,MATCH(1,(GMWQ!$LQ$2:$LQ$60=E$3)*(GMWQ!$LP$2:$LP$60=E$4)*(GMWQ!$LR$2:$LR$60=E$1),0),$B136-1966)</f>
        <v>78</v>
      </c>
      <c r="F136" s="7" cm="1">
        <f t="array" ref="F136">INDEX(GMWQ!$A$2:$LR$60,MATCH(1,(GMWQ!$LQ$2:$LQ$60=F$3)*(GMWQ!$LP$2:$LP$60=F$4)*(GMWQ!$LR$2:$LR$60=F$1),0),$B136-1966)</f>
        <v>143428</v>
      </c>
      <c r="G136" s="7" cm="1">
        <f t="array" ref="G136">INDEX(GMWQ!$A$2:$LR$60,MATCH(1,(GMWQ!$LQ$2:$LQ$60=G$3)*(GMWQ!$LP$2:$LP$60=G$4)*(GMWQ!$LR$2:$LR$60=G$1),0),$B136-1966)</f>
        <v>33262</v>
      </c>
      <c r="H136" s="7" cm="1">
        <f t="array" ref="H136">INDEX(GMWQ!$A$2:$LR$60,MATCH(1,(GMWQ!$LQ$2:$LQ$60=H$3)*(GMWQ!$LP$2:$LP$60=H$4)*(GMWQ!$LR$2:$LR$60=H$1),0),$B136-1966)</f>
        <v>10994</v>
      </c>
      <c r="I136" s="7" cm="1">
        <f t="array" ref="I136">INDEX(GMWQ!$A$2:$LR$60,MATCH(1,(GMWQ!$LQ$2:$LQ$60=I$3)*(GMWQ!$LP$2:$LP$60=I$4)*(GMWQ!$LR$2:$LR$60=I$1),0),$B136-1966)</f>
        <v>77.314869999999999</v>
      </c>
      <c r="J136" s="7" cm="1">
        <f t="array" ref="J136">INDEX(GMWQ!$A$2:$LR$60,MATCH(1,(GMWQ!$LQ$2:$LQ$60=J$3)*(GMWQ!$LP$2:$LP$60=J$4)*(GMWQ!$LR$2:$LR$60=J$1),0),$B136-1966)</f>
        <v>24974</v>
      </c>
      <c r="K136" s="7" cm="1">
        <f t="array" ref="K136">INDEX(GMWQ!$A$2:$LR$60,MATCH(1,(GMWQ!$LQ$2:$LQ$60=K$3)*(GMWQ!$LP$2:$LP$60=K$4)*(GMWQ!$LR$2:$LR$60=K$1),0),$B136-1966)</f>
        <v>4.75</v>
      </c>
      <c r="L136" s="7" cm="1">
        <f t="array" ref="L136">INDEX(GMWQ!$A$2:$LR$60,MATCH(1,(GMWQ!$LQ$2:$LQ$60=L$3)*(GMWQ!$LP$2:$LP$60=L$4)*(GMWQ!$LR$2:$LR$60=L$1),0),$B136-1966)</f>
        <v>4.8</v>
      </c>
      <c r="M136" s="7" cm="1">
        <f t="array" ref="M136">INDEX(GMWQ!$A$2:$LR$60,MATCH(1,(GMWQ!$LQ$2:$LQ$60=M$3)*(GMWQ!$LP$2:$LP$60=M$4)*(GMWQ!$LR$2:$LR$60=M$1),0),$B136-1966)</f>
        <v>80.642669999999995</v>
      </c>
      <c r="N136" s="7" cm="1">
        <f t="array" ref="N136">INDEX(GMWQ!$A$2:$LR$60,MATCH(1,(GMWQ!$LQ$2:$LQ$60=N$3)*(GMWQ!$LP$2:$LP$60=N$4)*(GMWQ!$LR$2:$LR$60=N$1),0),$B136-1966)</f>
        <v>14773</v>
      </c>
      <c r="O136" s="7" cm="1">
        <f t="array" ref="O136">INDEX(GMWQ!$A$2:$LR$60,MATCH(1,(GMWQ!$LQ$2:$LQ$60=O$3)*(GMWQ!$LP$2:$LP$60=O$4)*(GMWQ!$LR$2:$LR$60=O$1),0),$B136-1966)</f>
        <v>10807</v>
      </c>
      <c r="P136" s="7" cm="1">
        <f t="array" ref="P136">INDEX(GMWQ!$A$2:$LR$60,MATCH(1,(GMWQ!$LQ$2:$LQ$60=P$3)*(GMWQ!$LP$2:$LP$60=P$4)*(GMWQ!$LR$2:$LR$60=P$1),0),$B136-1966)</f>
        <v>221457</v>
      </c>
      <c r="Q136" s="7" cm="1">
        <f t="array" ref="Q136">INDEX(GMWQ!$A$2:$LR$60,MATCH(1,(GMWQ!$LQ$2:$LQ$60=Q$3)*(GMWQ!$LP$2:$LP$60=Q$4)*(GMWQ!$LR$2:$LR$60=Q$1),0),$B136-1966)</f>
        <v>5.5033339999999997</v>
      </c>
      <c r="R136" s="7" cm="1">
        <f t="array" ref="R136">INDEX(GMWQ!$A$2:$LR$60,MATCH(1,(GMWQ!$LQ$2:$LQ$60=R$3)*(GMWQ!$LP$2:$LP$60=R$4)*(GMWQ!$LR$2:$LR$60=R$1),0),$B136-1966)</f>
        <v>287701</v>
      </c>
      <c r="S136" s="7" cm="1">
        <f t="array" ref="S136">INDEX(GMWQ!$A$2:$LR$60,MATCH(1,(GMWQ!$LQ$2:$LQ$60=S$3)*(GMWQ!$LP$2:$LP$60=S$4)*(GMWQ!$LR$2:$LR$60=S$1),0),$B136-1966)</f>
        <v>362</v>
      </c>
      <c r="T136" s="7" cm="1">
        <f t="array" ref="T136">INDEX(GMWQ!$A$2:$LR$60,MATCH(1,(GMWQ!$LQ$2:$LQ$60=T$3)*(GMWQ!$LP$2:$LP$60=T$4)*(GMWQ!$LR$2:$LR$60=T$1),0),$B136-1966)</f>
        <v>67316</v>
      </c>
      <c r="U136" s="7" cm="1">
        <f t="array" ref="U136">INDEX(GMWQ!$A$2:$LR$60,MATCH(1,(GMWQ!$LQ$2:$LQ$60=U$3)*(GMWQ!$LP$2:$LP$60=U$4)*(GMWQ!$LR$2:$LR$60=U$1),0),$B136-1966)</f>
        <v>21957</v>
      </c>
      <c r="V136" s="7" cm="1">
        <f t="array" ref="V136">INDEX(GMWQ!$A$2:$LR$60,MATCH(1,(GMWQ!$LQ$2:$LQ$60=V$3)*(GMWQ!$LP$2:$LP$60=V$4)*(GMWQ!$LR$2:$LR$60=V$1),0),$B136-1966)</f>
        <v>2.1885419999999999E-3</v>
      </c>
      <c r="W136" s="7" cm="1">
        <f t="array" ref="W136">INDEX(GMWQ!$A$2:$LR$60,MATCH(1,(GMWQ!$LQ$2:$LQ$60=W$3)*(GMWQ!$LP$2:$LP$60=W$4)*(GMWQ!$LR$2:$LR$60=W$1),0),$B136-1966)</f>
        <v>18.902439999999999</v>
      </c>
      <c r="X136" s="7" cm="1">
        <f t="array" ref="X136">INDEX(GMWQ!$A$2:$LR$60,MATCH(1,(GMWQ!$LQ$2:$LQ$60=X$3)*(GMWQ!$LP$2:$LP$60=X$4)*(GMWQ!$LR$2:$LR$60=X$1),0),$B136-1966)</f>
        <v>2213259</v>
      </c>
      <c r="Y136" s="7" cm="1">
        <f t="array" ref="Y136">INDEX(GMWQ!$A$2:$LR$60,MATCH(1,(GMWQ!$LQ$2:$LQ$60=Y$3)*(GMWQ!$LP$2:$LP$60=Y$4)*(GMWQ!$LR$2:$LR$60=Y$1),0),$B136-1966)</f>
        <v>76.194220000000001</v>
      </c>
      <c r="Z136" s="7" cm="1">
        <f t="array" ref="Z136">INDEX(GMWQ!$A$2:$LR$60,MATCH(1,(GMWQ!$LQ$2:$LQ$60=Z$3)*(GMWQ!$LP$2:$LP$60=Z$4)*(GMWQ!$LR$2:$LR$60=Z$1),0),$B136-1966)</f>
        <v>445312.1</v>
      </c>
      <c r="AA136" s="7" cm="1">
        <f t="array" ref="AA136">INDEX(GMWQ!$A$2:$LR$60,MATCH(1,(GMWQ!$LQ$2:$LQ$60=AA$3)*(GMWQ!$LP$2:$LP$60=AA$4)*(GMWQ!$LR$2:$LR$60=AA$1),0),$B136-1966)</f>
        <v>120756</v>
      </c>
      <c r="AB136" s="7" cm="1">
        <f t="array" ref="AB136">INDEX(GMWQ!$A$2:$LR$60,MATCH(1,(GMWQ!$LQ$2:$LQ$60=AB$3)*(GMWQ!$LP$2:$LP$60=AB$4)*(GMWQ!$LR$2:$LR$60=AB$1),0),$B136-1966)</f>
        <v>122925</v>
      </c>
      <c r="AC136" s="7" cm="1">
        <f t="array" ref="AC136">INDEX(GMWQ!$A$2:$LR$60,MATCH(1,(GMWQ!$LQ$2:$LQ$60=AC$3)*(GMWQ!$LP$2:$LP$60=AC$4)*(GMWQ!$LR$2:$LR$60=AC$1),0),$B136-1966)</f>
        <v>3201</v>
      </c>
      <c r="AD136" s="7" cm="1">
        <f t="array" ref="AD136">INDEX(GMWQ!$A$2:$LR$60,MATCH(1,(GMWQ!$LQ$2:$LQ$60=AD$3)*(GMWQ!$LP$2:$LP$60=AD$4)*(GMWQ!$LR$2:$LR$60=AD$1),0),$B136-1966)</f>
        <v>7811</v>
      </c>
      <c r="AE136" s="7" cm="1">
        <f t="array" ref="AE136">INDEX(GMWQ!$A$2:$LR$60,MATCH(1,(GMWQ!$LQ$2:$LQ$60=AE$3)*(GMWQ!$LP$2:$LP$60=AE$4)*(GMWQ!$LR$2:$LR$60=AE$1),0),$B136-1966)</f>
        <v>348632</v>
      </c>
      <c r="AF136" s="20" cm="1">
        <f t="array" ref="AF136">INDEX(GMWQ!$A$2:$LR$60,MATCH(1,(GMWQ!$LQ$2:$LQ$60=AF$3)*(GMWQ!$LP$2:$LP$60=AF$4)*(GMWQ!$LR$2:$LR$60=AF$1),0),$B136-1966)</f>
        <v>4.75</v>
      </c>
      <c r="AG136" s="20" cm="1">
        <f t="array" ref="AG136">INDEX(GMWQ!$A$2:$LR$60,MATCH(1,(GMWQ!$LQ$2:$LQ$60=AG$3)*(GMWQ!$LP$2:$LP$60=AG$4)*(GMWQ!$LR$2:$LR$60=AG$1),0),$B136-1966)</f>
        <v>-3966</v>
      </c>
      <c r="AI136" s="23" cm="1">
        <f t="array" ref="AI136">INDEX(GMWQ!$A$2:$LR$60,MATCH(1,(GMWQ!$LQ$2:$LQ$60=AI$3)*(GMWQ!$LP$2:$LP$60=AI$4)*(GMWQ!$LR$2:$LR$60=AI$1),0),$B136-1966)</f>
        <v>221457</v>
      </c>
      <c r="AJ136" s="23" cm="1">
        <f t="array" ref="AJ136">INDEX(GMWQ!$A$2:$LR$60,MATCH(1,(GMWQ!$LQ$2:$LQ$60=AJ$3)*(GMWQ!$LP$2:$LP$60=AJ$4)*(GMWQ!$LR$2:$LR$60=AJ$1),0),$B136-1966)</f>
        <v>77.314869999999999</v>
      </c>
      <c r="AK136" s="23" cm="1">
        <f t="array" ref="AK136">INDEX(GMWQ!$A$2:$LR$60,MATCH(1,(GMWQ!$LQ$2:$LQ$60=AK$3)*(GMWQ!$LP$2:$LP$60=AK$4)*(GMWQ!$LR$2:$LR$60=AK$1),0),$B136-1966)</f>
        <v>143428</v>
      </c>
      <c r="AL136" s="23" cm="1">
        <f t="array" ref="AL136">INDEX(GMWQ!$A$2:$LR$60,MATCH(1,(GMWQ!$LQ$2:$LQ$60=AL$3)*(GMWQ!$LP$2:$LP$60=AL$4)*(GMWQ!$LR$2:$LR$60=AL$1),0),$B136-1966)</f>
        <v>5743.0929999999998</v>
      </c>
      <c r="AM136" s="23" cm="1">
        <f t="array" ref="AM136">INDEX(GMWQ!$A$2:$LR$60,MATCH(1,(GMWQ!$LQ$2:$LQ$60=AM$3)*(GMWQ!$LP$2:$LP$60=AM$4)*(GMWQ!$LR$2:$LR$60=AM$1),0),$B136-1966)</f>
        <v>24974</v>
      </c>
      <c r="AN136" s="23" cm="1">
        <f t="array" ref="AN136">INDEX(GMWQ!$A$2:$LR$60,MATCH(1,(GMWQ!$LQ$2:$LQ$60=AN$3)*(GMWQ!$LP$2:$LP$60=AN$4)*(GMWQ!$LR$2:$LR$60=AN$1),0),$B136-1966)</f>
        <v>33262</v>
      </c>
      <c r="AO136" s="23" cm="1">
        <f t="array" ref="AO136">INDEX(GMWQ!$A$2:$LR$60,MATCH(1,(GMWQ!$LQ$2:$LQ$60=AO$3)*(GMWQ!$LP$2:$LP$60=AO$4)*(GMWQ!$LR$2:$LR$60=AO$1),0),$B136-1966)</f>
        <v>10994</v>
      </c>
      <c r="AP136" s="23" cm="1">
        <f t="array" ref="AP136">INDEX(GMWQ!$A$2:$LR$60,MATCH(1,(GMWQ!$LQ$2:$LQ$60=AP$3)*(GMWQ!$LP$2:$LP$60=AP$4)*(GMWQ!$LR$2:$LR$60=AP$1),0),$B136-1966)</f>
        <v>-3966</v>
      </c>
      <c r="AQ136" s="23" cm="1">
        <f t="array" ref="AQ136">INDEX(GMWQ!$A$2:$LR$60,MATCH(1,(GMWQ!$LQ$2:$LQ$60=AQ$3)*(GMWQ!$LP$2:$LP$60=AQ$4)*(GMWQ!$LR$2:$LR$60=AQ$1),0),$B136-1966)</f>
        <v>36428</v>
      </c>
      <c r="AR136" s="23" cm="1">
        <f t="array" ref="AR136">INDEX(GMWQ!$A$2:$LR$60,MATCH(1,(GMWQ!$LQ$2:$LQ$60=AR$3)*(GMWQ!$LP$2:$LP$60=AR$4)*(GMWQ!$LR$2:$LR$60=AR$1),0),$B136-1966)</f>
        <v>215642</v>
      </c>
      <c r="AS136" s="23" cm="1">
        <f t="array" ref="AS136">INDEX(GMWQ!$A$2:$LR$60,MATCH(1,(GMWQ!$LQ$2:$LQ$60=AS$3)*(GMWQ!$LP$2:$LP$60=AS$4)*(GMWQ!$LR$2:$LR$60=AS$1),0),$B136-1966)</f>
        <v>7147</v>
      </c>
      <c r="AT136" s="23" cm="1">
        <f t="array" ref="AT136">INDEX(GMWQ!$A$2:$LR$60,MATCH(1,(GMWQ!$LQ$2:$LQ$60=AT$3)*(GMWQ!$LP$2:$LP$60=AT$4)*(GMWQ!$LR$2:$LR$60=AT$1),0),$B136-1966)</f>
        <v>278914</v>
      </c>
      <c r="AU136" s="23" cm="1">
        <f t="array" ref="AU136">INDEX(GMWQ!$A$2:$LR$60,MATCH(1,(GMWQ!$LQ$2:$LQ$60=AU$3)*(GMWQ!$LP$2:$LP$60=AU$4)*(GMWQ!$LR$2:$LR$60=AU$1),0),$B136-1966)</f>
        <v>10767</v>
      </c>
    </row>
    <row r="137" spans="1:47" x14ac:dyDescent="0.35">
      <c r="B137" s="7">
        <f t="shared" si="3"/>
        <v>2103</v>
      </c>
      <c r="C137" s="7" cm="1">
        <f t="array" ref="C137">INDEX(GMWQ!$A$2:$LR$60,MATCH(1,(GMWQ!$LQ$2:$LQ$60=C$3)*(GMWQ!$LP$2:$LP$60=C$4)*(GMWQ!$LR$2:$LR$60=C$1),0),$B137-1966)</f>
        <v>461135</v>
      </c>
      <c r="D137" s="7" cm="1">
        <f t="array" ref="D137">INDEX(GMWQ!$A$2:$LR$60,MATCH(1,(GMWQ!$LQ$2:$LQ$60=D$3)*(GMWQ!$LP$2:$LP$60=D$4)*(GMWQ!$LR$2:$LR$60=D$1),0),$B137-1966)</f>
        <v>385.33330000000001</v>
      </c>
      <c r="E137" s="7" cm="1">
        <f t="array" ref="E137">INDEX(GMWQ!$A$2:$LR$60,MATCH(1,(GMWQ!$LQ$2:$LQ$60=E$3)*(GMWQ!$LP$2:$LP$60=E$4)*(GMWQ!$LR$2:$LR$60=E$1),0),$B137-1966)</f>
        <v>78.400000000000006</v>
      </c>
      <c r="F137" s="7" cm="1">
        <f t="array" ref="F137">INDEX(GMWQ!$A$2:$LR$60,MATCH(1,(GMWQ!$LQ$2:$LQ$60=F$3)*(GMWQ!$LP$2:$LP$60=F$4)*(GMWQ!$LR$2:$LR$60=F$1),0),$B137-1966)</f>
        <v>145595</v>
      </c>
      <c r="G137" s="7" cm="1">
        <f t="array" ref="G137">INDEX(GMWQ!$A$2:$LR$60,MATCH(1,(GMWQ!$LQ$2:$LQ$60=G$3)*(GMWQ!$LP$2:$LP$60=G$4)*(GMWQ!$LR$2:$LR$60=G$1),0),$B137-1966)</f>
        <v>33700</v>
      </c>
      <c r="H137" s="7" cm="1">
        <f t="array" ref="H137">INDEX(GMWQ!$A$2:$LR$60,MATCH(1,(GMWQ!$LQ$2:$LQ$60=H$3)*(GMWQ!$LP$2:$LP$60=H$4)*(GMWQ!$LR$2:$LR$60=H$1),0),$B137-1966)</f>
        <v>10966</v>
      </c>
      <c r="I137" s="7" cm="1">
        <f t="array" ref="I137">INDEX(GMWQ!$A$2:$LR$60,MATCH(1,(GMWQ!$LQ$2:$LQ$60=I$3)*(GMWQ!$LP$2:$LP$60=I$4)*(GMWQ!$LR$2:$LR$60=I$1),0),$B137-1966)</f>
        <v>77.879019999999997</v>
      </c>
      <c r="J137" s="7" cm="1">
        <f t="array" ref="J137">INDEX(GMWQ!$A$2:$LR$60,MATCH(1,(GMWQ!$LQ$2:$LQ$60=J$3)*(GMWQ!$LP$2:$LP$60=J$4)*(GMWQ!$LR$2:$LR$60=J$1),0),$B137-1966)</f>
        <v>25066</v>
      </c>
      <c r="K137" s="7" cm="1">
        <f t="array" ref="K137">INDEX(GMWQ!$A$2:$LR$60,MATCH(1,(GMWQ!$LQ$2:$LQ$60=K$3)*(GMWQ!$LP$2:$LP$60=K$4)*(GMWQ!$LR$2:$LR$60=K$1),0),$B137-1966)</f>
        <v>4.5</v>
      </c>
      <c r="L137" s="7" cm="1">
        <f t="array" ref="L137">INDEX(GMWQ!$A$2:$LR$60,MATCH(1,(GMWQ!$LQ$2:$LQ$60=L$3)*(GMWQ!$LP$2:$LP$60=L$4)*(GMWQ!$LR$2:$LR$60=L$1),0),$B137-1966)</f>
        <v>4.7</v>
      </c>
      <c r="M137" s="7" cm="1">
        <f t="array" ref="M137">INDEX(GMWQ!$A$2:$LR$60,MATCH(1,(GMWQ!$LQ$2:$LQ$60=M$3)*(GMWQ!$LP$2:$LP$60=M$4)*(GMWQ!$LR$2:$LR$60=M$1),0),$B137-1966)</f>
        <v>81.702669999999998</v>
      </c>
      <c r="N137" s="7" cm="1">
        <f t="array" ref="N137">INDEX(GMWQ!$A$2:$LR$60,MATCH(1,(GMWQ!$LQ$2:$LQ$60=N$3)*(GMWQ!$LP$2:$LP$60=N$4)*(GMWQ!$LR$2:$LR$60=N$1),0),$B137-1966)</f>
        <v>14855</v>
      </c>
      <c r="O137" s="7" cm="1">
        <f t="array" ref="O137">INDEX(GMWQ!$A$2:$LR$60,MATCH(1,(GMWQ!$LQ$2:$LQ$60=O$3)*(GMWQ!$LP$2:$LP$60=O$4)*(GMWQ!$LR$2:$LR$60=O$1),0),$B137-1966)</f>
        <v>11365</v>
      </c>
      <c r="P137" s="7" cm="1">
        <f t="array" ref="P137">INDEX(GMWQ!$A$2:$LR$60,MATCH(1,(GMWQ!$LQ$2:$LQ$60=P$3)*(GMWQ!$LP$2:$LP$60=P$4)*(GMWQ!$LR$2:$LR$60=P$1),0),$B137-1966)</f>
        <v>224293</v>
      </c>
      <c r="Q137" s="7" cm="1">
        <f t="array" ref="Q137">INDEX(GMWQ!$A$2:$LR$60,MATCH(1,(GMWQ!$LQ$2:$LQ$60=Q$3)*(GMWQ!$LP$2:$LP$60=Q$4)*(GMWQ!$LR$2:$LR$60=Q$1),0),$B137-1966)</f>
        <v>5.4766659999999998</v>
      </c>
      <c r="R137" s="7" cm="1">
        <f t="array" ref="R137">INDEX(GMWQ!$A$2:$LR$60,MATCH(1,(GMWQ!$LQ$2:$LQ$60=R$3)*(GMWQ!$LP$2:$LP$60=R$4)*(GMWQ!$LR$2:$LR$60=R$1),0),$B137-1966)</f>
        <v>305251</v>
      </c>
      <c r="S137" s="7" cm="1">
        <f t="array" ref="S137">INDEX(GMWQ!$A$2:$LR$60,MATCH(1,(GMWQ!$LQ$2:$LQ$60=S$3)*(GMWQ!$LP$2:$LP$60=S$4)*(GMWQ!$LR$2:$LR$60=S$1),0),$B137-1966)</f>
        <v>406</v>
      </c>
      <c r="T137" s="7" cm="1">
        <f t="array" ref="T137">INDEX(GMWQ!$A$2:$LR$60,MATCH(1,(GMWQ!$LQ$2:$LQ$60=T$3)*(GMWQ!$LP$2:$LP$60=T$4)*(GMWQ!$LR$2:$LR$60=T$1),0),$B137-1966)</f>
        <v>71837</v>
      </c>
      <c r="U137" s="7" cm="1">
        <f t="array" ref="U137">INDEX(GMWQ!$A$2:$LR$60,MATCH(1,(GMWQ!$LQ$2:$LQ$60=U$3)*(GMWQ!$LP$2:$LP$60=U$4)*(GMWQ!$LR$2:$LR$60=U$1),0),$B137-1966)</f>
        <v>21754</v>
      </c>
      <c r="V137" s="7" cm="1">
        <f t="array" ref="V137">INDEX(GMWQ!$A$2:$LR$60,MATCH(1,(GMWQ!$LQ$2:$LQ$60=V$3)*(GMWQ!$LP$2:$LP$60=V$4)*(GMWQ!$LR$2:$LR$60=V$1),0),$B137-1966)</f>
        <v>2.1625379999999999E-3</v>
      </c>
      <c r="W137" s="7" cm="1">
        <f t="array" ref="W137">INDEX(GMWQ!$A$2:$LR$60,MATCH(1,(GMWQ!$LQ$2:$LQ$60=W$3)*(GMWQ!$LP$2:$LP$60=W$4)*(GMWQ!$LR$2:$LR$60=W$1),0),$B137-1966)</f>
        <v>18.831790000000002</v>
      </c>
      <c r="X137" s="7" cm="1">
        <f t="array" ref="X137">INDEX(GMWQ!$A$2:$LR$60,MATCH(1,(GMWQ!$LQ$2:$LQ$60=X$3)*(GMWQ!$LP$2:$LP$60=X$4)*(GMWQ!$LR$2:$LR$60=X$1),0),$B137-1966)</f>
        <v>2252698</v>
      </c>
      <c r="Y137" s="7" cm="1">
        <f t="array" ref="Y137">INDEX(GMWQ!$A$2:$LR$60,MATCH(1,(GMWQ!$LQ$2:$LQ$60=Y$3)*(GMWQ!$LP$2:$LP$60=Y$4)*(GMWQ!$LR$2:$LR$60=Y$1),0),$B137-1966)</f>
        <v>76.32038</v>
      </c>
      <c r="Z137" s="7" cm="1">
        <f t="array" ref="Z137">INDEX(GMWQ!$A$2:$LR$60,MATCH(1,(GMWQ!$LQ$2:$LQ$60=Z$3)*(GMWQ!$LP$2:$LP$60=Z$4)*(GMWQ!$LR$2:$LR$60=Z$1),0),$B137-1966)</f>
        <v>449660</v>
      </c>
      <c r="AA137" s="7" cm="1">
        <f t="array" ref="AA137">INDEX(GMWQ!$A$2:$LR$60,MATCH(1,(GMWQ!$LQ$2:$LQ$60=AA$3)*(GMWQ!$LP$2:$LP$60=AA$4)*(GMWQ!$LR$2:$LR$60=AA$1),0),$B137-1966)</f>
        <v>130049</v>
      </c>
      <c r="AB137" s="7" cm="1">
        <f t="array" ref="AB137">INDEX(GMWQ!$A$2:$LR$60,MATCH(1,(GMWQ!$LQ$2:$LQ$60=AB$3)*(GMWQ!$LP$2:$LP$60=AB$4)*(GMWQ!$LR$2:$LR$60=AB$1),0),$B137-1966)</f>
        <v>127446</v>
      </c>
      <c r="AC137" s="7" cm="1">
        <f t="array" ref="AC137">INDEX(GMWQ!$A$2:$LR$60,MATCH(1,(GMWQ!$LQ$2:$LQ$60=AC$3)*(GMWQ!$LP$2:$LP$60=AC$4)*(GMWQ!$LR$2:$LR$60=AC$1),0),$B137-1966)</f>
        <v>5190</v>
      </c>
      <c r="AD137" s="7" cm="1">
        <f t="array" ref="AD137">INDEX(GMWQ!$A$2:$LR$60,MATCH(1,(GMWQ!$LQ$2:$LQ$60=AD$3)*(GMWQ!$LP$2:$LP$60=AD$4)*(GMWQ!$LR$2:$LR$60=AD$1),0),$B137-1966)</f>
        <v>7958</v>
      </c>
      <c r="AE137" s="7" cm="1">
        <f t="array" ref="AE137">INDEX(GMWQ!$A$2:$LR$60,MATCH(1,(GMWQ!$LQ$2:$LQ$60=AE$3)*(GMWQ!$LP$2:$LP$60=AE$4)*(GMWQ!$LR$2:$LR$60=AE$1),0),$B137-1966)</f>
        <v>351940</v>
      </c>
      <c r="AF137" s="20" cm="1">
        <f t="array" ref="AF137">INDEX(GMWQ!$A$2:$LR$60,MATCH(1,(GMWQ!$LQ$2:$LQ$60=AF$3)*(GMWQ!$LP$2:$LP$60=AF$4)*(GMWQ!$LR$2:$LR$60=AF$1),0),$B137-1966)</f>
        <v>4.5909089999999999</v>
      </c>
      <c r="AG137" s="20" cm="1">
        <f t="array" ref="AG137">INDEX(GMWQ!$A$2:$LR$60,MATCH(1,(GMWQ!$LQ$2:$LQ$60=AG$3)*(GMWQ!$LP$2:$LP$60=AG$4)*(GMWQ!$LR$2:$LR$60=AG$1),0),$B137-1966)</f>
        <v>-3490</v>
      </c>
      <c r="AI137" s="23" cm="1">
        <f t="array" ref="AI137">INDEX(GMWQ!$A$2:$LR$60,MATCH(1,(GMWQ!$LQ$2:$LQ$60=AI$3)*(GMWQ!$LP$2:$LP$60=AI$4)*(GMWQ!$LR$2:$LR$60=AI$1),0),$B137-1966)</f>
        <v>224293</v>
      </c>
      <c r="AJ137" s="23" cm="1">
        <f t="array" ref="AJ137">INDEX(GMWQ!$A$2:$LR$60,MATCH(1,(GMWQ!$LQ$2:$LQ$60=AJ$3)*(GMWQ!$LP$2:$LP$60=AJ$4)*(GMWQ!$LR$2:$LR$60=AJ$1),0),$B137-1966)</f>
        <v>77.879019999999997</v>
      </c>
      <c r="AK137" s="23" cm="1">
        <f t="array" ref="AK137">INDEX(GMWQ!$A$2:$LR$60,MATCH(1,(GMWQ!$LQ$2:$LQ$60=AK$3)*(GMWQ!$LP$2:$LP$60=AK$4)*(GMWQ!$LR$2:$LR$60=AK$1),0),$B137-1966)</f>
        <v>145595</v>
      </c>
      <c r="AL137" s="23" cm="1">
        <f t="array" ref="AL137">INDEX(GMWQ!$A$2:$LR$60,MATCH(1,(GMWQ!$LQ$2:$LQ$60=AL$3)*(GMWQ!$LP$2:$LP$60=AL$4)*(GMWQ!$LR$2:$LR$60=AL$1),0),$B137-1966)</f>
        <v>5808.4660000000003</v>
      </c>
      <c r="AM137" s="23" cm="1">
        <f t="array" ref="AM137">INDEX(GMWQ!$A$2:$LR$60,MATCH(1,(GMWQ!$LQ$2:$LQ$60=AM$3)*(GMWQ!$LP$2:$LP$60=AM$4)*(GMWQ!$LR$2:$LR$60=AM$1),0),$B137-1966)</f>
        <v>25066</v>
      </c>
      <c r="AN137" s="23" cm="1">
        <f t="array" ref="AN137">INDEX(GMWQ!$A$2:$LR$60,MATCH(1,(GMWQ!$LQ$2:$LQ$60=AN$3)*(GMWQ!$LP$2:$LP$60=AN$4)*(GMWQ!$LR$2:$LR$60=AN$1),0),$B137-1966)</f>
        <v>33700</v>
      </c>
      <c r="AO137" s="23" cm="1">
        <f t="array" ref="AO137">INDEX(GMWQ!$A$2:$LR$60,MATCH(1,(GMWQ!$LQ$2:$LQ$60=AO$3)*(GMWQ!$LP$2:$LP$60=AO$4)*(GMWQ!$LR$2:$LR$60=AO$1),0),$B137-1966)</f>
        <v>10966</v>
      </c>
      <c r="AP137" s="23" cm="1">
        <f t="array" ref="AP137">INDEX(GMWQ!$A$2:$LR$60,MATCH(1,(GMWQ!$LQ$2:$LQ$60=AP$3)*(GMWQ!$LP$2:$LP$60=AP$4)*(GMWQ!$LR$2:$LR$60=AP$1),0),$B137-1966)</f>
        <v>-3490</v>
      </c>
      <c r="AQ137" s="23" cm="1">
        <f t="array" ref="AQ137">INDEX(GMWQ!$A$2:$LR$60,MATCH(1,(GMWQ!$LQ$2:$LQ$60=AQ$3)*(GMWQ!$LP$2:$LP$60=AQ$4)*(GMWQ!$LR$2:$LR$60=AQ$1),0),$B137-1966)</f>
        <v>37181</v>
      </c>
      <c r="AR137" s="23" cm="1">
        <f t="array" ref="AR137">INDEX(GMWQ!$A$2:$LR$60,MATCH(1,(GMWQ!$LQ$2:$LQ$60=AR$3)*(GMWQ!$LP$2:$LP$60=AR$4)*(GMWQ!$LR$2:$LR$60=AR$1),0),$B137-1966)</f>
        <v>219745</v>
      </c>
      <c r="AS137" s="23" cm="1">
        <f t="array" ref="AS137">INDEX(GMWQ!$A$2:$LR$60,MATCH(1,(GMWQ!$LQ$2:$LQ$60=AS$3)*(GMWQ!$LP$2:$LP$60=AS$4)*(GMWQ!$LR$2:$LR$60=AS$1),0),$B137-1966)</f>
        <v>7141</v>
      </c>
      <c r="AT137" s="23" cm="1">
        <f t="array" ref="AT137">INDEX(GMWQ!$A$2:$LR$60,MATCH(1,(GMWQ!$LQ$2:$LQ$60=AT$3)*(GMWQ!$LP$2:$LP$60=AT$4)*(GMWQ!$LR$2:$LR$60=AT$1),0),$B137-1966)</f>
        <v>282162</v>
      </c>
      <c r="AU137" s="23" cm="1">
        <f t="array" ref="AU137">INDEX(GMWQ!$A$2:$LR$60,MATCH(1,(GMWQ!$LQ$2:$LQ$60=AU$3)*(GMWQ!$LP$2:$LP$60=AU$4)*(GMWQ!$LR$2:$LR$60=AU$1),0),$B137-1966)</f>
        <v>10742</v>
      </c>
    </row>
    <row r="138" spans="1:47" x14ac:dyDescent="0.35">
      <c r="B138" s="7">
        <f t="shared" si="3"/>
        <v>2104</v>
      </c>
      <c r="C138" s="7" cm="1">
        <f t="array" ref="C138">INDEX(GMWQ!$A$2:$LR$60,MATCH(1,(GMWQ!$LQ$2:$LQ$60=C$3)*(GMWQ!$LP$2:$LP$60=C$4)*(GMWQ!$LR$2:$LR$60=C$1),0),$B138-1966)</f>
        <v>465451</v>
      </c>
      <c r="D138" s="7" cm="1">
        <f t="array" ref="D138">INDEX(GMWQ!$A$2:$LR$60,MATCH(1,(GMWQ!$LQ$2:$LQ$60=D$3)*(GMWQ!$LP$2:$LP$60=D$4)*(GMWQ!$LR$2:$LR$60=D$1),0),$B138-1966)</f>
        <v>389.33330000000001</v>
      </c>
      <c r="E138" s="7" cm="1">
        <f t="array" ref="E138">INDEX(GMWQ!$A$2:$LR$60,MATCH(1,(GMWQ!$LQ$2:$LQ$60=E$3)*(GMWQ!$LP$2:$LP$60=E$4)*(GMWQ!$LR$2:$LR$60=E$1),0),$B138-1966)</f>
        <v>78.766670000000005</v>
      </c>
      <c r="F138" s="7" cm="1">
        <f t="array" ref="F138">INDEX(GMWQ!$A$2:$LR$60,MATCH(1,(GMWQ!$LQ$2:$LQ$60=F$3)*(GMWQ!$LP$2:$LP$60=F$4)*(GMWQ!$LR$2:$LR$60=F$1),0),$B138-1966)</f>
        <v>145226</v>
      </c>
      <c r="G138" s="7" cm="1">
        <f t="array" ref="G138">INDEX(GMWQ!$A$2:$LR$60,MATCH(1,(GMWQ!$LQ$2:$LQ$60=G$3)*(GMWQ!$LP$2:$LP$60=G$4)*(GMWQ!$LR$2:$LR$60=G$1),0),$B138-1966)</f>
        <v>34622</v>
      </c>
      <c r="H138" s="7" cm="1">
        <f t="array" ref="H138">INDEX(GMWQ!$A$2:$LR$60,MATCH(1,(GMWQ!$LQ$2:$LQ$60=H$3)*(GMWQ!$LP$2:$LP$60=H$4)*(GMWQ!$LR$2:$LR$60=H$1),0),$B138-1966)</f>
        <v>11257</v>
      </c>
      <c r="I138" s="7" cm="1">
        <f t="array" ref="I138">INDEX(GMWQ!$A$2:$LR$60,MATCH(1,(GMWQ!$LQ$2:$LQ$60=I$3)*(GMWQ!$LP$2:$LP$60=I$4)*(GMWQ!$LR$2:$LR$60=I$1),0),$B138-1966)</f>
        <v>78.580240000000003</v>
      </c>
      <c r="J138" s="7" cm="1">
        <f t="array" ref="J138">INDEX(GMWQ!$A$2:$LR$60,MATCH(1,(GMWQ!$LQ$2:$LQ$60=J$3)*(GMWQ!$LP$2:$LP$60=J$4)*(GMWQ!$LR$2:$LR$60=J$1),0),$B138-1966)</f>
        <v>24999</v>
      </c>
      <c r="K138" s="7" cm="1">
        <f t="array" ref="K138">INDEX(GMWQ!$A$2:$LR$60,MATCH(1,(GMWQ!$LQ$2:$LQ$60=K$3)*(GMWQ!$LP$2:$LP$60=K$4)*(GMWQ!$LR$2:$LR$60=K$1),0),$B138-1966)</f>
        <v>4.5</v>
      </c>
      <c r="L138" s="7" cm="1">
        <f t="array" ref="L138">INDEX(GMWQ!$A$2:$LR$60,MATCH(1,(GMWQ!$LQ$2:$LQ$60=L$3)*(GMWQ!$LP$2:$LP$60=L$4)*(GMWQ!$LR$2:$LR$60=L$1),0),$B138-1966)</f>
        <v>5.0999999999999996</v>
      </c>
      <c r="M138" s="7" cm="1">
        <f t="array" ref="M138">INDEX(GMWQ!$A$2:$LR$60,MATCH(1,(GMWQ!$LQ$2:$LQ$60=M$3)*(GMWQ!$LP$2:$LP$60=M$4)*(GMWQ!$LR$2:$LR$60=M$1),0),$B138-1966)</f>
        <v>82.840999999999994</v>
      </c>
      <c r="N138" s="7" cm="1">
        <f t="array" ref="N138">INDEX(GMWQ!$A$2:$LR$60,MATCH(1,(GMWQ!$LQ$2:$LQ$60=N$3)*(GMWQ!$LP$2:$LP$60=N$4)*(GMWQ!$LR$2:$LR$60=N$1),0),$B138-1966)</f>
        <v>14941</v>
      </c>
      <c r="O138" s="7" cm="1">
        <f t="array" ref="O138">INDEX(GMWQ!$A$2:$LR$60,MATCH(1,(GMWQ!$LQ$2:$LQ$60=O$3)*(GMWQ!$LP$2:$LP$60=O$4)*(GMWQ!$LR$2:$LR$60=O$1),0),$B138-1966)</f>
        <v>10843</v>
      </c>
      <c r="P138" s="7" cm="1">
        <f t="array" ref="P138">INDEX(GMWQ!$A$2:$LR$60,MATCH(1,(GMWQ!$LQ$2:$LQ$60=P$3)*(GMWQ!$LP$2:$LP$60=P$4)*(GMWQ!$LR$2:$LR$60=P$1),0),$B138-1966)</f>
        <v>226453</v>
      </c>
      <c r="Q138" s="7" cm="1">
        <f t="array" ref="Q138">INDEX(GMWQ!$A$2:$LR$60,MATCH(1,(GMWQ!$LQ$2:$LQ$60=Q$3)*(GMWQ!$LP$2:$LP$60=Q$4)*(GMWQ!$LR$2:$LR$60=Q$1),0),$B138-1966)</f>
        <v>5.35</v>
      </c>
      <c r="R138" s="7" cm="1">
        <f t="array" ref="R138">INDEX(GMWQ!$A$2:$LR$60,MATCH(1,(GMWQ!$LQ$2:$LQ$60=R$3)*(GMWQ!$LP$2:$LP$60=R$4)*(GMWQ!$LR$2:$LR$60=R$1),0),$B138-1966)</f>
        <v>344850</v>
      </c>
      <c r="S138" s="7" cm="1">
        <f t="array" ref="S138">INDEX(GMWQ!$A$2:$LR$60,MATCH(1,(GMWQ!$LQ$2:$LQ$60=S$3)*(GMWQ!$LP$2:$LP$60=S$4)*(GMWQ!$LR$2:$LR$60=S$1),0),$B138-1966)</f>
        <v>414</v>
      </c>
      <c r="T138" s="7" cm="1">
        <f t="array" ref="T138">INDEX(GMWQ!$A$2:$LR$60,MATCH(1,(GMWQ!$LQ$2:$LQ$60=T$3)*(GMWQ!$LP$2:$LP$60=T$4)*(GMWQ!$LR$2:$LR$60=T$1),0),$B138-1966)</f>
        <v>80294</v>
      </c>
      <c r="U138" s="7" cm="1">
        <f t="array" ref="U138">INDEX(GMWQ!$A$2:$LR$60,MATCH(1,(GMWQ!$LQ$2:$LQ$60=U$3)*(GMWQ!$LP$2:$LP$60=U$4)*(GMWQ!$LR$2:$LR$60=U$1),0),$B138-1966)</f>
        <v>23363</v>
      </c>
      <c r="V138" s="7" cm="1">
        <f t="array" ref="V138">INDEX(GMWQ!$A$2:$LR$60,MATCH(1,(GMWQ!$LQ$2:$LQ$60=V$3)*(GMWQ!$LP$2:$LP$60=V$4)*(GMWQ!$LR$2:$LR$60=V$1),0),$B138-1966)</f>
        <v>2.0245409999999999E-3</v>
      </c>
      <c r="W138" s="7" cm="1">
        <f t="array" ref="W138">INDEX(GMWQ!$A$2:$LR$60,MATCH(1,(GMWQ!$LQ$2:$LQ$60=W$3)*(GMWQ!$LP$2:$LP$60=W$4)*(GMWQ!$LR$2:$LR$60=W$1),0),$B138-1966)</f>
        <v>19.0244</v>
      </c>
      <c r="X138" s="7" cm="1">
        <f t="array" ref="X138">INDEX(GMWQ!$A$2:$LR$60,MATCH(1,(GMWQ!$LQ$2:$LQ$60=X$3)*(GMWQ!$LP$2:$LP$60=X$4)*(GMWQ!$LR$2:$LR$60=X$1),0),$B138-1966)</f>
        <v>2292264</v>
      </c>
      <c r="Y138" s="7" cm="1">
        <f t="array" ref="Y138">INDEX(GMWQ!$A$2:$LR$60,MATCH(1,(GMWQ!$LQ$2:$LQ$60=Y$3)*(GMWQ!$LP$2:$LP$60=Y$4)*(GMWQ!$LR$2:$LR$60=Y$1),0),$B138-1966)</f>
        <v>76.653819999999996</v>
      </c>
      <c r="Z138" s="7" cm="1">
        <f t="array" ref="Z138">INDEX(GMWQ!$A$2:$LR$60,MATCH(1,(GMWQ!$LQ$2:$LQ$60=Z$3)*(GMWQ!$LP$2:$LP$60=Z$4)*(GMWQ!$LR$2:$LR$60=Z$1),0),$B138-1966)</f>
        <v>452553</v>
      </c>
      <c r="AA138" s="7" cm="1">
        <f t="array" ref="AA138">INDEX(GMWQ!$A$2:$LR$60,MATCH(1,(GMWQ!$LQ$2:$LQ$60=AA$3)*(GMWQ!$LP$2:$LP$60=AA$4)*(GMWQ!$LR$2:$LR$60=AA$1),0),$B138-1966)</f>
        <v>125423</v>
      </c>
      <c r="AB138" s="7" cm="1">
        <f t="array" ref="AB138">INDEX(GMWQ!$A$2:$LR$60,MATCH(1,(GMWQ!$LQ$2:$LQ$60=AB$3)*(GMWQ!$LP$2:$LP$60=AB$4)*(GMWQ!$LR$2:$LR$60=AB$1),0),$B138-1966)</f>
        <v>128401</v>
      </c>
      <c r="AC138" s="7" cm="1">
        <f t="array" ref="AC138">INDEX(GMWQ!$A$2:$LR$60,MATCH(1,(GMWQ!$LQ$2:$LQ$60=AC$3)*(GMWQ!$LP$2:$LP$60=AC$4)*(GMWQ!$LR$2:$LR$60=AC$1),0),$B138-1966)</f>
        <v>7004</v>
      </c>
      <c r="AD138" s="7" cm="1">
        <f t="array" ref="AD138">INDEX(GMWQ!$A$2:$LR$60,MATCH(1,(GMWQ!$LQ$2:$LQ$60=AD$3)*(GMWQ!$LP$2:$LP$60=AD$4)*(GMWQ!$LR$2:$LR$60=AD$1),0),$B138-1966)</f>
        <v>8091</v>
      </c>
      <c r="AE138" s="7" cm="1">
        <f t="array" ref="AE138">INDEX(GMWQ!$A$2:$LR$60,MATCH(1,(GMWQ!$LQ$2:$LQ$60=AE$3)*(GMWQ!$LP$2:$LP$60=AE$4)*(GMWQ!$LR$2:$LR$60=AE$1),0),$B138-1966)</f>
        <v>356786</v>
      </c>
      <c r="AF138" s="20" cm="1">
        <f t="array" ref="AF138">INDEX(GMWQ!$A$2:$LR$60,MATCH(1,(GMWQ!$LQ$2:$LQ$60=AF$3)*(GMWQ!$LP$2:$LP$60=AF$4)*(GMWQ!$LR$2:$LR$60=AF$1),0),$B138-1966)</f>
        <v>4.5</v>
      </c>
      <c r="AG138" s="20" cm="1">
        <f t="array" ref="AG138">INDEX(GMWQ!$A$2:$LR$60,MATCH(1,(GMWQ!$LQ$2:$LQ$60=AG$3)*(GMWQ!$LP$2:$LP$60=AG$4)*(GMWQ!$LR$2:$LR$60=AG$1),0),$B138-1966)</f>
        <v>-4098</v>
      </c>
      <c r="AI138" s="23" cm="1">
        <f t="array" ref="AI138">INDEX(GMWQ!$A$2:$LR$60,MATCH(1,(GMWQ!$LQ$2:$LQ$60=AI$3)*(GMWQ!$LP$2:$LP$60=AI$4)*(GMWQ!$LR$2:$LR$60=AI$1),0),$B138-1966)</f>
        <v>226453</v>
      </c>
      <c r="AJ138" s="23" cm="1">
        <f t="array" ref="AJ138">INDEX(GMWQ!$A$2:$LR$60,MATCH(1,(GMWQ!$LQ$2:$LQ$60=AJ$3)*(GMWQ!$LP$2:$LP$60=AJ$4)*(GMWQ!$LR$2:$LR$60=AJ$1),0),$B138-1966)</f>
        <v>78.580240000000003</v>
      </c>
      <c r="AK138" s="23" cm="1">
        <f t="array" ref="AK138">INDEX(GMWQ!$A$2:$LR$60,MATCH(1,(GMWQ!$LQ$2:$LQ$60=AK$3)*(GMWQ!$LP$2:$LP$60=AK$4)*(GMWQ!$LR$2:$LR$60=AK$1),0),$B138-1966)</f>
        <v>145226</v>
      </c>
      <c r="AL138" s="23" cm="1">
        <f t="array" ref="AL138">INDEX(GMWQ!$A$2:$LR$60,MATCH(1,(GMWQ!$LQ$2:$LQ$60=AL$3)*(GMWQ!$LP$2:$LP$60=AL$4)*(GMWQ!$LR$2:$LR$60=AL$1),0),$B138-1966)</f>
        <v>5809.2719999999999</v>
      </c>
      <c r="AM138" s="23" cm="1">
        <f t="array" ref="AM138">INDEX(GMWQ!$A$2:$LR$60,MATCH(1,(GMWQ!$LQ$2:$LQ$60=AM$3)*(GMWQ!$LP$2:$LP$60=AM$4)*(GMWQ!$LR$2:$LR$60=AM$1),0),$B138-1966)</f>
        <v>24999</v>
      </c>
      <c r="AN138" s="23" cm="1">
        <f t="array" ref="AN138">INDEX(GMWQ!$A$2:$LR$60,MATCH(1,(GMWQ!$LQ$2:$LQ$60=AN$3)*(GMWQ!$LP$2:$LP$60=AN$4)*(GMWQ!$LR$2:$LR$60=AN$1),0),$B138-1966)</f>
        <v>34622</v>
      </c>
      <c r="AO138" s="23" cm="1">
        <f t="array" ref="AO138">INDEX(GMWQ!$A$2:$LR$60,MATCH(1,(GMWQ!$LQ$2:$LQ$60=AO$3)*(GMWQ!$LP$2:$LP$60=AO$4)*(GMWQ!$LR$2:$LR$60=AO$1),0),$B138-1966)</f>
        <v>11257</v>
      </c>
      <c r="AP138" s="23" cm="1">
        <f t="array" ref="AP138">INDEX(GMWQ!$A$2:$LR$60,MATCH(1,(GMWQ!$LQ$2:$LQ$60=AP$3)*(GMWQ!$LP$2:$LP$60=AP$4)*(GMWQ!$LR$2:$LR$60=AP$1),0),$B138-1966)</f>
        <v>-4098</v>
      </c>
      <c r="AQ138" s="23" cm="1">
        <f t="array" ref="AQ138">INDEX(GMWQ!$A$2:$LR$60,MATCH(1,(GMWQ!$LQ$2:$LQ$60=AQ$3)*(GMWQ!$LP$2:$LP$60=AQ$4)*(GMWQ!$LR$2:$LR$60=AQ$1),0),$B138-1966)</f>
        <v>39202</v>
      </c>
      <c r="AR138" s="23" cm="1">
        <f t="array" ref="AR138">INDEX(GMWQ!$A$2:$LR$60,MATCH(1,(GMWQ!$LQ$2:$LQ$60=AR$3)*(GMWQ!$LP$2:$LP$60=AR$4)*(GMWQ!$LR$2:$LR$60=AR$1),0),$B138-1966)</f>
        <v>222951</v>
      </c>
      <c r="AS138" s="23" cm="1">
        <f t="array" ref="AS138">INDEX(GMWQ!$A$2:$LR$60,MATCH(1,(GMWQ!$LQ$2:$LQ$60=AS$3)*(GMWQ!$LP$2:$LP$60=AS$4)*(GMWQ!$LR$2:$LR$60=AS$1),0),$B138-1966)</f>
        <v>7426</v>
      </c>
      <c r="AT138" s="23" cm="1">
        <f t="array" ref="AT138">INDEX(GMWQ!$A$2:$LR$60,MATCH(1,(GMWQ!$LQ$2:$LQ$60=AT$3)*(GMWQ!$LP$2:$LP$60=AT$4)*(GMWQ!$LR$2:$LR$60=AT$1),0),$B138-1966)</f>
        <v>283724</v>
      </c>
      <c r="AU138" s="23" cm="1">
        <f t="array" ref="AU138">INDEX(GMWQ!$A$2:$LR$60,MATCH(1,(GMWQ!$LQ$2:$LQ$60=AU$3)*(GMWQ!$LP$2:$LP$60=AU$4)*(GMWQ!$LR$2:$LR$60=AU$1),0),$B138-1966)</f>
        <v>11036</v>
      </c>
    </row>
    <row r="139" spans="1:47" x14ac:dyDescent="0.35">
      <c r="A139" s="7">
        <v>2006</v>
      </c>
      <c r="B139" s="7">
        <f t="shared" si="3"/>
        <v>2105</v>
      </c>
      <c r="C139" s="7" cm="1">
        <f t="array" ref="C139">INDEX(GMWQ!$A$2:$LR$60,MATCH(1,(GMWQ!$LQ$2:$LQ$60=C$3)*(GMWQ!$LP$2:$LP$60=C$4)*(GMWQ!$LR$2:$LR$60=C$1),0),$B139-1966)</f>
        <v>467840</v>
      </c>
      <c r="D139" s="7" cm="1">
        <f t="array" ref="D139">INDEX(GMWQ!$A$2:$LR$60,MATCH(1,(GMWQ!$LQ$2:$LQ$60=D$3)*(GMWQ!$LP$2:$LP$60=D$4)*(GMWQ!$LR$2:$LR$60=D$1),0),$B139-1966)</f>
        <v>393.66669999999999</v>
      </c>
      <c r="E139" s="7" cm="1">
        <f t="array" ref="E139">INDEX(GMWQ!$A$2:$LR$60,MATCH(1,(GMWQ!$LQ$2:$LQ$60=E$3)*(GMWQ!$LP$2:$LP$60=E$4)*(GMWQ!$LR$2:$LR$60=E$1),0),$B139-1966)</f>
        <v>78.733329999999995</v>
      </c>
      <c r="F139" s="7" cm="1">
        <f t="array" ref="F139">INDEX(GMWQ!$A$2:$LR$60,MATCH(1,(GMWQ!$LQ$2:$LQ$60=F$3)*(GMWQ!$LP$2:$LP$60=F$4)*(GMWQ!$LR$2:$LR$60=F$1),0),$B139-1966)</f>
        <v>150695</v>
      </c>
      <c r="G139" s="7" cm="1">
        <f t="array" ref="G139">INDEX(GMWQ!$A$2:$LR$60,MATCH(1,(GMWQ!$LQ$2:$LQ$60=G$3)*(GMWQ!$LP$2:$LP$60=G$4)*(GMWQ!$LR$2:$LR$60=G$1),0),$B139-1966)</f>
        <v>34855</v>
      </c>
      <c r="H139" s="7" cm="1">
        <f t="array" ref="H139">INDEX(GMWQ!$A$2:$LR$60,MATCH(1,(GMWQ!$LQ$2:$LQ$60=H$3)*(GMWQ!$LP$2:$LP$60=H$4)*(GMWQ!$LR$2:$LR$60=H$1),0),$B139-1966)</f>
        <v>11441</v>
      </c>
      <c r="I139" s="7" cm="1">
        <f t="array" ref="I139">INDEX(GMWQ!$A$2:$LR$60,MATCH(1,(GMWQ!$LQ$2:$LQ$60=I$3)*(GMWQ!$LP$2:$LP$60=I$4)*(GMWQ!$LR$2:$LR$60=I$1),0),$B139-1966)</f>
        <v>79.083129999999997</v>
      </c>
      <c r="J139" s="7" cm="1">
        <f t="array" ref="J139">INDEX(GMWQ!$A$2:$LR$60,MATCH(1,(GMWQ!$LQ$2:$LQ$60=J$3)*(GMWQ!$LP$2:$LP$60=J$4)*(GMWQ!$LR$2:$LR$60=J$1),0),$B139-1966)</f>
        <v>25143</v>
      </c>
      <c r="K139" s="7" cm="1">
        <f t="array" ref="K139">INDEX(GMWQ!$A$2:$LR$60,MATCH(1,(GMWQ!$LQ$2:$LQ$60=K$3)*(GMWQ!$LP$2:$LP$60=K$4)*(GMWQ!$LR$2:$LR$60=K$1),0),$B139-1966)</f>
        <v>4.5</v>
      </c>
      <c r="L139" s="7" cm="1">
        <f t="array" ref="L139">INDEX(GMWQ!$A$2:$LR$60,MATCH(1,(GMWQ!$LQ$2:$LQ$60=L$3)*(GMWQ!$LP$2:$LP$60=L$4)*(GMWQ!$LR$2:$LR$60=L$1),0),$B139-1966)</f>
        <v>5.2</v>
      </c>
      <c r="M139" s="7" cm="1">
        <f t="array" ref="M139">INDEX(GMWQ!$A$2:$LR$60,MATCH(1,(GMWQ!$LQ$2:$LQ$60=M$3)*(GMWQ!$LP$2:$LP$60=M$4)*(GMWQ!$LR$2:$LR$60=M$1),0),$B139-1966)</f>
        <v>84.706999999999994</v>
      </c>
      <c r="N139" s="7" cm="1">
        <f t="array" ref="N139">INDEX(GMWQ!$A$2:$LR$60,MATCH(1,(GMWQ!$LQ$2:$LQ$60=N$3)*(GMWQ!$LP$2:$LP$60=N$4)*(GMWQ!$LR$2:$LR$60=N$1),0),$B139-1966)</f>
        <v>15220</v>
      </c>
      <c r="O139" s="7" cm="1">
        <f t="array" ref="O139">INDEX(GMWQ!$A$2:$LR$60,MATCH(1,(GMWQ!$LQ$2:$LQ$60=O$3)*(GMWQ!$LP$2:$LP$60=O$4)*(GMWQ!$LR$2:$LR$60=O$1),0),$B139-1966)</f>
        <v>10985</v>
      </c>
      <c r="P139" s="7" cm="1">
        <f t="array" ref="P139">INDEX(GMWQ!$A$2:$LR$60,MATCH(1,(GMWQ!$LQ$2:$LQ$60=P$3)*(GMWQ!$LP$2:$LP$60=P$4)*(GMWQ!$LR$2:$LR$60=P$1),0),$B139-1966)</f>
        <v>229762</v>
      </c>
      <c r="Q139" s="7" cm="1">
        <f t="array" ref="Q139">INDEX(GMWQ!$A$2:$LR$60,MATCH(1,(GMWQ!$LQ$2:$LQ$60=Q$3)*(GMWQ!$LP$2:$LP$60=Q$4)*(GMWQ!$LR$2:$LR$60=Q$1),0),$B139-1966)</f>
        <v>5.3266669999999996</v>
      </c>
      <c r="R139" s="7" cm="1">
        <f t="array" ref="R139">INDEX(GMWQ!$A$2:$LR$60,MATCH(1,(GMWQ!$LQ$2:$LQ$60=R$3)*(GMWQ!$LP$2:$LP$60=R$4)*(GMWQ!$LR$2:$LR$60=R$1),0),$B139-1966)</f>
        <v>351301</v>
      </c>
      <c r="S139" s="7" cm="1">
        <f t="array" ref="S139">INDEX(GMWQ!$A$2:$LR$60,MATCH(1,(GMWQ!$LQ$2:$LQ$60=S$3)*(GMWQ!$LP$2:$LP$60=S$4)*(GMWQ!$LR$2:$LR$60=S$1),0),$B139-1966)</f>
        <v>437</v>
      </c>
      <c r="T139" s="7" cm="1">
        <f t="array" ref="T139">INDEX(GMWQ!$A$2:$LR$60,MATCH(1,(GMWQ!$LQ$2:$LQ$60=T$3)*(GMWQ!$LP$2:$LP$60=T$4)*(GMWQ!$LR$2:$LR$60=T$1),0),$B139-1966)</f>
        <v>81348</v>
      </c>
      <c r="U139" s="7" cm="1">
        <f t="array" ref="U139">INDEX(GMWQ!$A$2:$LR$60,MATCH(1,(GMWQ!$LQ$2:$LQ$60=U$3)*(GMWQ!$LP$2:$LP$60=U$4)*(GMWQ!$LR$2:$LR$60=U$1),0),$B139-1966)</f>
        <v>24451</v>
      </c>
      <c r="V139" s="7" cm="1">
        <f t="array" ref="V139">INDEX(GMWQ!$A$2:$LR$60,MATCH(1,(GMWQ!$LQ$2:$LQ$60=V$3)*(GMWQ!$LP$2:$LP$60=V$4)*(GMWQ!$LR$2:$LR$60=V$1),0),$B139-1966)</f>
        <v>2.162654E-3</v>
      </c>
      <c r="W139" s="7" cm="1">
        <f t="array" ref="W139">INDEX(GMWQ!$A$2:$LR$60,MATCH(1,(GMWQ!$LQ$2:$LQ$60=W$3)*(GMWQ!$LP$2:$LP$60=W$4)*(GMWQ!$LR$2:$LR$60=W$1),0),$B139-1966)</f>
        <v>20.312930000000001</v>
      </c>
      <c r="X139" s="7" cm="1">
        <f t="array" ref="X139">INDEX(GMWQ!$A$2:$LR$60,MATCH(1,(GMWQ!$LQ$2:$LQ$60=X$3)*(GMWQ!$LP$2:$LP$60=X$4)*(GMWQ!$LR$2:$LR$60=X$1),0),$B139-1966)</f>
        <v>2330553</v>
      </c>
      <c r="Y139" s="7" cm="1">
        <f t="array" ref="Y139">INDEX(GMWQ!$A$2:$LR$60,MATCH(1,(GMWQ!$LQ$2:$LQ$60=Y$3)*(GMWQ!$LP$2:$LP$60=Y$4)*(GMWQ!$LR$2:$LR$60=Y$1),0),$B139-1966)</f>
        <v>77.220420000000004</v>
      </c>
      <c r="Z139" s="7" cm="1">
        <f t="array" ref="Z139">INDEX(GMWQ!$A$2:$LR$60,MATCH(1,(GMWQ!$LQ$2:$LQ$60=Z$3)*(GMWQ!$LP$2:$LP$60=Z$4)*(GMWQ!$LR$2:$LR$60=Z$1),0),$B139-1966)</f>
        <v>455746.1</v>
      </c>
      <c r="AA139" s="7" cm="1">
        <f t="array" ref="AA139">INDEX(GMWQ!$A$2:$LR$60,MATCH(1,(GMWQ!$LQ$2:$LQ$60=AA$3)*(GMWQ!$LP$2:$LP$60=AA$4)*(GMWQ!$LR$2:$LR$60=AA$1),0),$B139-1966)</f>
        <v>145287</v>
      </c>
      <c r="AB139" s="7" cm="1">
        <f t="array" ref="AB139">INDEX(GMWQ!$A$2:$LR$60,MATCH(1,(GMWQ!$LQ$2:$LQ$60=AB$3)*(GMWQ!$LP$2:$LP$60=AB$4)*(GMWQ!$LR$2:$LR$60=AB$1),0),$B139-1966)</f>
        <v>129288</v>
      </c>
      <c r="AC139" s="7" cm="1">
        <f t="array" ref="AC139">INDEX(GMWQ!$A$2:$LR$60,MATCH(1,(GMWQ!$LQ$2:$LQ$60=AC$3)*(GMWQ!$LP$2:$LP$60=AC$4)*(GMWQ!$LR$2:$LR$60=AC$1),0),$B139-1966)</f>
        <v>10876</v>
      </c>
      <c r="AD139" s="7" cm="1">
        <f t="array" ref="AD139">INDEX(GMWQ!$A$2:$LR$60,MATCH(1,(GMWQ!$LQ$2:$LQ$60=AD$3)*(GMWQ!$LP$2:$LP$60=AD$4)*(GMWQ!$LR$2:$LR$60=AD$1),0),$B139-1966)</f>
        <v>8343</v>
      </c>
      <c r="AE139" s="7" cm="1">
        <f t="array" ref="AE139">INDEX(GMWQ!$A$2:$LR$60,MATCH(1,(GMWQ!$LQ$2:$LQ$60=AE$3)*(GMWQ!$LP$2:$LP$60=AE$4)*(GMWQ!$LR$2:$LR$60=AE$1),0),$B139-1966)</f>
        <v>361268</v>
      </c>
      <c r="AF139" s="20" cm="1">
        <f t="array" ref="AF139">INDEX(GMWQ!$A$2:$LR$60,MATCH(1,(GMWQ!$LQ$2:$LQ$60=AF$3)*(GMWQ!$LP$2:$LP$60=AF$4)*(GMWQ!$LR$2:$LR$60=AF$1),0),$B139-1966)</f>
        <v>4.5</v>
      </c>
      <c r="AG139" s="20" cm="1">
        <f t="array" ref="AG139">INDEX(GMWQ!$A$2:$LR$60,MATCH(1,(GMWQ!$LQ$2:$LQ$60=AG$3)*(GMWQ!$LP$2:$LP$60=AG$4)*(GMWQ!$LR$2:$LR$60=AG$1),0),$B139-1966)</f>
        <v>-4235</v>
      </c>
      <c r="AI139" s="23" cm="1">
        <f t="array" ref="AI139">INDEX(GMWQ!$A$2:$LR$60,MATCH(1,(GMWQ!$LQ$2:$LQ$60=AI$3)*(GMWQ!$LP$2:$LP$60=AI$4)*(GMWQ!$LR$2:$LR$60=AI$1),0),$B139-1966)</f>
        <v>229762</v>
      </c>
      <c r="AJ139" s="23" cm="1">
        <f t="array" ref="AJ139">INDEX(GMWQ!$A$2:$LR$60,MATCH(1,(GMWQ!$LQ$2:$LQ$60=AJ$3)*(GMWQ!$LP$2:$LP$60=AJ$4)*(GMWQ!$LR$2:$LR$60=AJ$1),0),$B139-1966)</f>
        <v>79.083129999999997</v>
      </c>
      <c r="AK139" s="23" cm="1">
        <f t="array" ref="AK139">INDEX(GMWQ!$A$2:$LR$60,MATCH(1,(GMWQ!$LQ$2:$LQ$60=AK$3)*(GMWQ!$LP$2:$LP$60=AK$4)*(GMWQ!$LR$2:$LR$60=AK$1),0),$B139-1966)</f>
        <v>150695</v>
      </c>
      <c r="AL139" s="23" cm="1">
        <f t="array" ref="AL139">INDEX(GMWQ!$A$2:$LR$60,MATCH(1,(GMWQ!$LQ$2:$LQ$60=AL$3)*(GMWQ!$LP$2:$LP$60=AL$4)*(GMWQ!$LR$2:$LR$60=AL$1),0),$B139-1966)</f>
        <v>5993.5169999999998</v>
      </c>
      <c r="AM139" s="23" cm="1">
        <f t="array" ref="AM139">INDEX(GMWQ!$A$2:$LR$60,MATCH(1,(GMWQ!$LQ$2:$LQ$60=AM$3)*(GMWQ!$LP$2:$LP$60=AM$4)*(GMWQ!$LR$2:$LR$60=AM$1),0),$B139-1966)</f>
        <v>25143</v>
      </c>
      <c r="AN139" s="23" cm="1">
        <f t="array" ref="AN139">INDEX(GMWQ!$A$2:$LR$60,MATCH(1,(GMWQ!$LQ$2:$LQ$60=AN$3)*(GMWQ!$LP$2:$LP$60=AN$4)*(GMWQ!$LR$2:$LR$60=AN$1),0),$B139-1966)</f>
        <v>34855</v>
      </c>
      <c r="AO139" s="23" cm="1">
        <f t="array" ref="AO139">INDEX(GMWQ!$A$2:$LR$60,MATCH(1,(GMWQ!$LQ$2:$LQ$60=AO$3)*(GMWQ!$LP$2:$LP$60=AO$4)*(GMWQ!$LR$2:$LR$60=AO$1),0),$B139-1966)</f>
        <v>11441</v>
      </c>
      <c r="AP139" s="23" cm="1">
        <f t="array" ref="AP139">INDEX(GMWQ!$A$2:$LR$60,MATCH(1,(GMWQ!$LQ$2:$LQ$60=AP$3)*(GMWQ!$LP$2:$LP$60=AP$4)*(GMWQ!$LR$2:$LR$60=AP$1),0),$B139-1966)</f>
        <v>-4235</v>
      </c>
      <c r="AQ139" s="23" cm="1">
        <f t="array" ref="AQ139">INDEX(GMWQ!$A$2:$LR$60,MATCH(1,(GMWQ!$LQ$2:$LQ$60=AQ$3)*(GMWQ!$LP$2:$LP$60=AQ$4)*(GMWQ!$LR$2:$LR$60=AQ$1),0),$B139-1966)</f>
        <v>37434</v>
      </c>
      <c r="AR139" s="23" cm="1">
        <f t="array" ref="AR139">INDEX(GMWQ!$A$2:$LR$60,MATCH(1,(GMWQ!$LQ$2:$LQ$60=AR$3)*(GMWQ!$LP$2:$LP$60=AR$4)*(GMWQ!$LR$2:$LR$60=AR$1),0),$B139-1966)</f>
        <v>223190</v>
      </c>
      <c r="AS139" s="23" cm="1">
        <f t="array" ref="AS139">INDEX(GMWQ!$A$2:$LR$60,MATCH(1,(GMWQ!$LQ$2:$LQ$60=AS$3)*(GMWQ!$LP$2:$LP$60=AS$4)*(GMWQ!$LR$2:$LR$60=AS$1),0),$B139-1966)</f>
        <v>7497</v>
      </c>
      <c r="AT139" s="23" cm="1">
        <f t="array" ref="AT139">INDEX(GMWQ!$A$2:$LR$60,MATCH(1,(GMWQ!$LQ$2:$LQ$60=AT$3)*(GMWQ!$LP$2:$LP$60=AT$4)*(GMWQ!$LR$2:$LR$60=AT$1),0),$B139-1966)</f>
        <v>282222</v>
      </c>
      <c r="AU139" s="23" cm="1">
        <f t="array" ref="AU139">INDEX(GMWQ!$A$2:$LR$60,MATCH(1,(GMWQ!$LQ$2:$LQ$60=AU$3)*(GMWQ!$LP$2:$LP$60=AU$4)*(GMWQ!$LR$2:$LR$60=AU$1),0),$B139-1966)</f>
        <v>10885</v>
      </c>
    </row>
    <row r="140" spans="1:47" x14ac:dyDescent="0.35">
      <c r="B140" s="7">
        <f t="shared" si="3"/>
        <v>2106</v>
      </c>
      <c r="C140" s="7" cm="1">
        <f t="array" ref="C140">INDEX(GMWQ!$A$2:$LR$60,MATCH(1,(GMWQ!$LQ$2:$LQ$60=C$3)*(GMWQ!$LP$2:$LP$60=C$4)*(GMWQ!$LR$2:$LR$60=C$1),0),$B140-1966)</f>
        <v>469655</v>
      </c>
      <c r="D140" s="7" cm="1">
        <f t="array" ref="D140">INDEX(GMWQ!$A$2:$LR$60,MATCH(1,(GMWQ!$LQ$2:$LQ$60=D$3)*(GMWQ!$LP$2:$LP$60=D$4)*(GMWQ!$LR$2:$LR$60=D$1),0),$B140-1966)</f>
        <v>397.66669999999999</v>
      </c>
      <c r="E140" s="7" cm="1">
        <f t="array" ref="E140">INDEX(GMWQ!$A$2:$LR$60,MATCH(1,(GMWQ!$LQ$2:$LQ$60=E$3)*(GMWQ!$LP$2:$LP$60=E$4)*(GMWQ!$LR$2:$LR$60=E$1),0),$B140-1966)</f>
        <v>79.8</v>
      </c>
      <c r="F140" s="7" cm="1">
        <f t="array" ref="F140">INDEX(GMWQ!$A$2:$LR$60,MATCH(1,(GMWQ!$LQ$2:$LQ$60=F$3)*(GMWQ!$LP$2:$LP$60=F$4)*(GMWQ!$LR$2:$LR$60=F$1),0),$B140-1966)</f>
        <v>151290</v>
      </c>
      <c r="G140" s="7" cm="1">
        <f t="array" ref="G140">INDEX(GMWQ!$A$2:$LR$60,MATCH(1,(GMWQ!$LQ$2:$LQ$60=G$3)*(GMWQ!$LP$2:$LP$60=G$4)*(GMWQ!$LR$2:$LR$60=G$1),0),$B140-1966)</f>
        <v>35485</v>
      </c>
      <c r="H140" s="7" cm="1">
        <f t="array" ref="H140">INDEX(GMWQ!$A$2:$LR$60,MATCH(1,(GMWQ!$LQ$2:$LQ$60=H$3)*(GMWQ!$LP$2:$LP$60=H$4)*(GMWQ!$LR$2:$LR$60=H$1),0),$B140-1966)</f>
        <v>11497</v>
      </c>
      <c r="I140" s="7" cm="1">
        <f t="array" ref="I140">INDEX(GMWQ!$A$2:$LR$60,MATCH(1,(GMWQ!$LQ$2:$LQ$60=I$3)*(GMWQ!$LP$2:$LP$60=I$4)*(GMWQ!$LR$2:$LR$60=I$1),0),$B140-1966)</f>
        <v>79.985619999999997</v>
      </c>
      <c r="J140" s="7" cm="1">
        <f t="array" ref="J140">INDEX(GMWQ!$A$2:$LR$60,MATCH(1,(GMWQ!$LQ$2:$LQ$60=J$3)*(GMWQ!$LP$2:$LP$60=J$4)*(GMWQ!$LR$2:$LR$60=J$1),0),$B140-1966)</f>
        <v>25210</v>
      </c>
      <c r="K140" s="7" cm="1">
        <f t="array" ref="K140">INDEX(GMWQ!$A$2:$LR$60,MATCH(1,(GMWQ!$LQ$2:$LQ$60=K$3)*(GMWQ!$LP$2:$LP$60=K$4)*(GMWQ!$LR$2:$LR$60=K$1),0),$B140-1966)</f>
        <v>4.5</v>
      </c>
      <c r="L140" s="7" cm="1">
        <f t="array" ref="L140">INDEX(GMWQ!$A$2:$LR$60,MATCH(1,(GMWQ!$LQ$2:$LQ$60=L$3)*(GMWQ!$LP$2:$LP$60=L$4)*(GMWQ!$LR$2:$LR$60=L$1),0),$B140-1966)</f>
        <v>5.5</v>
      </c>
      <c r="M140" s="7" cm="1">
        <f t="array" ref="M140">INDEX(GMWQ!$A$2:$LR$60,MATCH(1,(GMWQ!$LQ$2:$LQ$60=M$3)*(GMWQ!$LP$2:$LP$60=M$4)*(GMWQ!$LR$2:$LR$60=M$1),0),$B140-1966)</f>
        <v>86.472660000000005</v>
      </c>
      <c r="N140" s="7" cm="1">
        <f t="array" ref="N140">INDEX(GMWQ!$A$2:$LR$60,MATCH(1,(GMWQ!$LQ$2:$LQ$60=N$3)*(GMWQ!$LP$2:$LP$60=N$4)*(GMWQ!$LR$2:$LR$60=N$1),0),$B140-1966)</f>
        <v>15524</v>
      </c>
      <c r="O140" s="7" cm="1">
        <f t="array" ref="O140">INDEX(GMWQ!$A$2:$LR$60,MATCH(1,(GMWQ!$LQ$2:$LQ$60=O$3)*(GMWQ!$LP$2:$LP$60=O$4)*(GMWQ!$LR$2:$LR$60=O$1),0),$B140-1966)</f>
        <v>11014</v>
      </c>
      <c r="P140" s="7" cm="1">
        <f t="array" ref="P140">INDEX(GMWQ!$A$2:$LR$60,MATCH(1,(GMWQ!$LQ$2:$LQ$60=P$3)*(GMWQ!$LP$2:$LP$60=P$4)*(GMWQ!$LR$2:$LR$60=P$1),0),$B140-1966)</f>
        <v>231843</v>
      </c>
      <c r="Q140" s="7" cm="1">
        <f t="array" ref="Q140">INDEX(GMWQ!$A$2:$LR$60,MATCH(1,(GMWQ!$LQ$2:$LQ$60=Q$3)*(GMWQ!$LP$2:$LP$60=Q$4)*(GMWQ!$LR$2:$LR$60=Q$1),0),$B140-1966)</f>
        <v>5.31</v>
      </c>
      <c r="R140" s="7" cm="1">
        <f t="array" ref="R140">INDEX(GMWQ!$A$2:$LR$60,MATCH(1,(GMWQ!$LQ$2:$LQ$60=R$3)*(GMWQ!$LP$2:$LP$60=R$4)*(GMWQ!$LR$2:$LR$60=R$1),0),$B140-1966)</f>
        <v>344579</v>
      </c>
      <c r="S140" s="7" cm="1">
        <f t="array" ref="S140">INDEX(GMWQ!$A$2:$LR$60,MATCH(1,(GMWQ!$LQ$2:$LQ$60=S$3)*(GMWQ!$LP$2:$LP$60=S$4)*(GMWQ!$LR$2:$LR$60=S$1),0),$B140-1966)</f>
        <v>449</v>
      </c>
      <c r="T140" s="7" cm="1">
        <f t="array" ref="T140">INDEX(GMWQ!$A$2:$LR$60,MATCH(1,(GMWQ!$LQ$2:$LQ$60=T$3)*(GMWQ!$LP$2:$LP$60=T$4)*(GMWQ!$LR$2:$LR$60=T$1),0),$B140-1966)</f>
        <v>83224</v>
      </c>
      <c r="U140" s="7" cm="1">
        <f t="array" ref="U140">INDEX(GMWQ!$A$2:$LR$60,MATCH(1,(GMWQ!$LQ$2:$LQ$60=U$3)*(GMWQ!$LP$2:$LP$60=U$4)*(GMWQ!$LR$2:$LR$60=U$1),0),$B140-1966)</f>
        <v>26113</v>
      </c>
      <c r="V140" s="7" cm="1">
        <f t="array" ref="V140">INDEX(GMWQ!$A$2:$LR$60,MATCH(1,(GMWQ!$LQ$2:$LQ$60=V$3)*(GMWQ!$LP$2:$LP$60=V$4)*(GMWQ!$LR$2:$LR$60=V$1),0),$B140-1966)</f>
        <v>1.8501959999999999E-3</v>
      </c>
      <c r="W140" s="7" cm="1">
        <f t="array" ref="W140">INDEX(GMWQ!$A$2:$LR$60,MATCH(1,(GMWQ!$LQ$2:$LQ$60=W$3)*(GMWQ!$LP$2:$LP$60=W$4)*(GMWQ!$LR$2:$LR$60=W$1),0),$B140-1966)</f>
        <v>19.269300000000001</v>
      </c>
      <c r="X140" s="7" cm="1">
        <f t="array" ref="X140">INDEX(GMWQ!$A$2:$LR$60,MATCH(1,(GMWQ!$LQ$2:$LQ$60=X$3)*(GMWQ!$LP$2:$LP$60=X$4)*(GMWQ!$LR$2:$LR$60=X$1),0),$B140-1966)</f>
        <v>2498672</v>
      </c>
      <c r="Y140" s="7" cm="1">
        <f t="array" ref="Y140">INDEX(GMWQ!$A$2:$LR$60,MATCH(1,(GMWQ!$LQ$2:$LQ$60=Y$3)*(GMWQ!$LP$2:$LP$60=Y$4)*(GMWQ!$LR$2:$LR$60=Y$1),0),$B140-1966)</f>
        <v>78.150989999999993</v>
      </c>
      <c r="Z140" s="7" cm="1">
        <f t="array" ref="Z140">INDEX(GMWQ!$A$2:$LR$60,MATCH(1,(GMWQ!$LQ$2:$LQ$60=Z$3)*(GMWQ!$LP$2:$LP$60=Z$4)*(GMWQ!$LR$2:$LR$60=Z$1),0),$B140-1966)</f>
        <v>458481.7</v>
      </c>
      <c r="AA140" s="7" cm="1">
        <f t="array" ref="AA140">INDEX(GMWQ!$A$2:$LR$60,MATCH(1,(GMWQ!$LQ$2:$LQ$60=AA$3)*(GMWQ!$LP$2:$LP$60=AA$4)*(GMWQ!$LR$2:$LR$60=AA$1),0),$B140-1966)</f>
        <v>128490</v>
      </c>
      <c r="AB140" s="7" cm="1">
        <f t="array" ref="AB140">INDEX(GMWQ!$A$2:$LR$60,MATCH(1,(GMWQ!$LQ$2:$LQ$60=AB$3)*(GMWQ!$LP$2:$LP$60=AB$4)*(GMWQ!$LR$2:$LR$60=AB$1),0),$B140-1966)</f>
        <v>129229</v>
      </c>
      <c r="AC140" s="7" cm="1">
        <f t="array" ref="AC140">INDEX(GMWQ!$A$2:$LR$60,MATCH(1,(GMWQ!$LQ$2:$LQ$60=AC$3)*(GMWQ!$LP$2:$LP$60=AC$4)*(GMWQ!$LR$2:$LR$60=AC$1),0),$B140-1966)</f>
        <v>4100</v>
      </c>
      <c r="AD140" s="7" cm="1">
        <f t="array" ref="AD140">INDEX(GMWQ!$A$2:$LR$60,MATCH(1,(GMWQ!$LQ$2:$LQ$60=AD$3)*(GMWQ!$LP$2:$LP$60=AD$4)*(GMWQ!$LR$2:$LR$60=AD$1),0),$B140-1966)</f>
        <v>8407</v>
      </c>
      <c r="AE140" s="7" cm="1">
        <f t="array" ref="AE140">INDEX(GMWQ!$A$2:$LR$60,MATCH(1,(GMWQ!$LQ$2:$LQ$60=AE$3)*(GMWQ!$LP$2:$LP$60=AE$4)*(GMWQ!$LR$2:$LR$60=AE$1),0),$B140-1966)</f>
        <v>367040</v>
      </c>
      <c r="AF140" s="20" cm="1">
        <f t="array" ref="AF140">INDEX(GMWQ!$A$2:$LR$60,MATCH(1,(GMWQ!$LQ$2:$LQ$60=AF$3)*(GMWQ!$LP$2:$LP$60=AF$4)*(GMWQ!$LR$2:$LR$60=AF$1),0),$B140-1966)</f>
        <v>4.5</v>
      </c>
      <c r="AG140" s="20" cm="1">
        <f t="array" ref="AG140">INDEX(GMWQ!$A$2:$LR$60,MATCH(1,(GMWQ!$LQ$2:$LQ$60=AG$3)*(GMWQ!$LP$2:$LP$60=AG$4)*(GMWQ!$LR$2:$LR$60=AG$1),0),$B140-1966)</f>
        <v>-4510</v>
      </c>
      <c r="AI140" s="23" cm="1">
        <f t="array" ref="AI140">INDEX(GMWQ!$A$2:$LR$60,MATCH(1,(GMWQ!$LQ$2:$LQ$60=AI$3)*(GMWQ!$LP$2:$LP$60=AI$4)*(GMWQ!$LR$2:$LR$60=AI$1),0),$B140-1966)</f>
        <v>231843</v>
      </c>
      <c r="AJ140" s="23" cm="1">
        <f t="array" ref="AJ140">INDEX(GMWQ!$A$2:$LR$60,MATCH(1,(GMWQ!$LQ$2:$LQ$60=AJ$3)*(GMWQ!$LP$2:$LP$60=AJ$4)*(GMWQ!$LR$2:$LR$60=AJ$1),0),$B140-1966)</f>
        <v>79.985619999999997</v>
      </c>
      <c r="AK140" s="23" cm="1">
        <f t="array" ref="AK140">INDEX(GMWQ!$A$2:$LR$60,MATCH(1,(GMWQ!$LQ$2:$LQ$60=AK$3)*(GMWQ!$LP$2:$LP$60=AK$4)*(GMWQ!$LR$2:$LR$60=AK$1),0),$B140-1966)</f>
        <v>151290</v>
      </c>
      <c r="AL140" s="23" cm="1">
        <f t="array" ref="AL140">INDEX(GMWQ!$A$2:$LR$60,MATCH(1,(GMWQ!$LQ$2:$LQ$60=AL$3)*(GMWQ!$LP$2:$LP$60=AL$4)*(GMWQ!$LR$2:$LR$60=AL$1),0),$B140-1966)</f>
        <v>6001.19</v>
      </c>
      <c r="AM140" s="23" cm="1">
        <f t="array" ref="AM140">INDEX(GMWQ!$A$2:$LR$60,MATCH(1,(GMWQ!$LQ$2:$LQ$60=AM$3)*(GMWQ!$LP$2:$LP$60=AM$4)*(GMWQ!$LR$2:$LR$60=AM$1),0),$B140-1966)</f>
        <v>25210</v>
      </c>
      <c r="AN140" s="23" cm="1">
        <f t="array" ref="AN140">INDEX(GMWQ!$A$2:$LR$60,MATCH(1,(GMWQ!$LQ$2:$LQ$60=AN$3)*(GMWQ!$LP$2:$LP$60=AN$4)*(GMWQ!$LR$2:$LR$60=AN$1),0),$B140-1966)</f>
        <v>35485</v>
      </c>
      <c r="AO140" s="23" cm="1">
        <f t="array" ref="AO140">INDEX(GMWQ!$A$2:$LR$60,MATCH(1,(GMWQ!$LQ$2:$LQ$60=AO$3)*(GMWQ!$LP$2:$LP$60=AO$4)*(GMWQ!$LR$2:$LR$60=AO$1),0),$B140-1966)</f>
        <v>11497</v>
      </c>
      <c r="AP140" s="23" cm="1">
        <f t="array" ref="AP140">INDEX(GMWQ!$A$2:$LR$60,MATCH(1,(GMWQ!$LQ$2:$LQ$60=AP$3)*(GMWQ!$LP$2:$LP$60=AP$4)*(GMWQ!$LR$2:$LR$60=AP$1),0),$B140-1966)</f>
        <v>-4510</v>
      </c>
      <c r="AQ140" s="23" cm="1">
        <f t="array" ref="AQ140">INDEX(GMWQ!$A$2:$LR$60,MATCH(1,(GMWQ!$LQ$2:$LQ$60=AQ$3)*(GMWQ!$LP$2:$LP$60=AQ$4)*(GMWQ!$LR$2:$LR$60=AQ$1),0),$B140-1966)</f>
        <v>37835</v>
      </c>
      <c r="AR140" s="23" cm="1">
        <f t="array" ref="AR140">INDEX(GMWQ!$A$2:$LR$60,MATCH(1,(GMWQ!$LQ$2:$LQ$60=AR$3)*(GMWQ!$LP$2:$LP$60=AR$4)*(GMWQ!$LR$2:$LR$60=AR$1),0),$B140-1966)</f>
        <v>225793</v>
      </c>
      <c r="AS140" s="23" cm="1">
        <f t="array" ref="AS140">INDEX(GMWQ!$A$2:$LR$60,MATCH(1,(GMWQ!$LQ$2:$LQ$60=AS$3)*(GMWQ!$LP$2:$LP$60=AS$4)*(GMWQ!$LR$2:$LR$60=AS$1),0),$B140-1966)</f>
        <v>7569</v>
      </c>
      <c r="AT140" s="23" cm="1">
        <f t="array" ref="AT140">INDEX(GMWQ!$A$2:$LR$60,MATCH(1,(GMWQ!$LQ$2:$LQ$60=AT$3)*(GMWQ!$LP$2:$LP$60=AT$4)*(GMWQ!$LR$2:$LR$60=AT$1),0),$B140-1966)</f>
        <v>282292</v>
      </c>
      <c r="AU140" s="23" cm="1">
        <f t="array" ref="AU140">INDEX(GMWQ!$A$2:$LR$60,MATCH(1,(GMWQ!$LQ$2:$LQ$60=AU$3)*(GMWQ!$LP$2:$LP$60=AU$4)*(GMWQ!$LR$2:$LR$60=AU$1),0),$B140-1966)</f>
        <v>10499</v>
      </c>
    </row>
    <row r="141" spans="1:47" x14ac:dyDescent="0.35">
      <c r="B141" s="7">
        <f t="shared" si="3"/>
        <v>2107</v>
      </c>
      <c r="C141" s="7" cm="1">
        <f t="array" ref="C141">INDEX(GMWQ!$A$2:$LR$60,MATCH(1,(GMWQ!$LQ$2:$LQ$60=C$3)*(GMWQ!$LP$2:$LP$60=C$4)*(GMWQ!$LR$2:$LR$60=C$1),0),$B141-1966)</f>
        <v>470918</v>
      </c>
      <c r="D141" s="7" cm="1">
        <f t="array" ref="D141">INDEX(GMWQ!$A$2:$LR$60,MATCH(1,(GMWQ!$LQ$2:$LQ$60=D$3)*(GMWQ!$LP$2:$LP$60=D$4)*(GMWQ!$LR$2:$LR$60=D$1),0),$B141-1966)</f>
        <v>401.33330000000001</v>
      </c>
      <c r="E141" s="7" cm="1">
        <f t="array" ref="E141">INDEX(GMWQ!$A$2:$LR$60,MATCH(1,(GMWQ!$LQ$2:$LQ$60=E$3)*(GMWQ!$LP$2:$LP$60=E$4)*(GMWQ!$LR$2:$LR$60=E$1),0),$B141-1966)</f>
        <v>80.3</v>
      </c>
      <c r="F141" s="7" cm="1">
        <f t="array" ref="F141">INDEX(GMWQ!$A$2:$LR$60,MATCH(1,(GMWQ!$LQ$2:$LQ$60=F$3)*(GMWQ!$LP$2:$LP$60=F$4)*(GMWQ!$LR$2:$LR$60=F$1),0),$B141-1966)</f>
        <v>152963</v>
      </c>
      <c r="G141" s="7" cm="1">
        <f t="array" ref="G141">INDEX(GMWQ!$A$2:$LR$60,MATCH(1,(GMWQ!$LQ$2:$LQ$60=G$3)*(GMWQ!$LP$2:$LP$60=G$4)*(GMWQ!$LR$2:$LR$60=G$1),0),$B141-1966)</f>
        <v>36442</v>
      </c>
      <c r="H141" s="7" cm="1">
        <f t="array" ref="H141">INDEX(GMWQ!$A$2:$LR$60,MATCH(1,(GMWQ!$LQ$2:$LQ$60=H$3)*(GMWQ!$LP$2:$LP$60=H$4)*(GMWQ!$LR$2:$LR$60=H$1),0),$B141-1966)</f>
        <v>11554</v>
      </c>
      <c r="I141" s="7" cm="1">
        <f t="array" ref="I141">INDEX(GMWQ!$A$2:$LR$60,MATCH(1,(GMWQ!$LQ$2:$LQ$60=I$3)*(GMWQ!$LP$2:$LP$60=I$4)*(GMWQ!$LR$2:$LR$60=I$1),0),$B141-1966)</f>
        <v>80.548259999999999</v>
      </c>
      <c r="J141" s="7" cm="1">
        <f t="array" ref="J141">INDEX(GMWQ!$A$2:$LR$60,MATCH(1,(GMWQ!$LQ$2:$LQ$60=J$3)*(GMWQ!$LP$2:$LP$60=J$4)*(GMWQ!$LR$2:$LR$60=J$1),0),$B141-1966)</f>
        <v>25211</v>
      </c>
      <c r="K141" s="7" cm="1">
        <f t="array" ref="K141">INDEX(GMWQ!$A$2:$LR$60,MATCH(1,(GMWQ!$LQ$2:$LQ$60=K$3)*(GMWQ!$LP$2:$LP$60=K$4)*(GMWQ!$LR$2:$LR$60=K$1),0),$B141-1966)</f>
        <v>4.75</v>
      </c>
      <c r="L141" s="7" cm="1">
        <f t="array" ref="L141">INDEX(GMWQ!$A$2:$LR$60,MATCH(1,(GMWQ!$LQ$2:$LQ$60=L$3)*(GMWQ!$LP$2:$LP$60=L$4)*(GMWQ!$LR$2:$LR$60=L$1),0),$B141-1966)</f>
        <v>5.5</v>
      </c>
      <c r="M141" s="7" cm="1">
        <f t="array" ref="M141">INDEX(GMWQ!$A$2:$LR$60,MATCH(1,(GMWQ!$LQ$2:$LQ$60=M$3)*(GMWQ!$LP$2:$LP$60=M$4)*(GMWQ!$LR$2:$LR$60=M$1),0),$B141-1966)</f>
        <v>88.194000000000003</v>
      </c>
      <c r="N141" s="7" cm="1">
        <f t="array" ref="N141">INDEX(GMWQ!$A$2:$LR$60,MATCH(1,(GMWQ!$LQ$2:$LQ$60=N$3)*(GMWQ!$LP$2:$LP$60=N$4)*(GMWQ!$LR$2:$LR$60=N$1),0),$B141-1966)</f>
        <v>16260</v>
      </c>
      <c r="O141" s="7" cm="1">
        <f t="array" ref="O141">INDEX(GMWQ!$A$2:$LR$60,MATCH(1,(GMWQ!$LQ$2:$LQ$60=O$3)*(GMWQ!$LP$2:$LP$60=O$4)*(GMWQ!$LR$2:$LR$60=O$1),0),$B141-1966)</f>
        <v>12487</v>
      </c>
      <c r="P141" s="7" cm="1">
        <f t="array" ref="P141">INDEX(GMWQ!$A$2:$LR$60,MATCH(1,(GMWQ!$LQ$2:$LQ$60=P$3)*(GMWQ!$LP$2:$LP$60=P$4)*(GMWQ!$LR$2:$LR$60=P$1),0),$B141-1966)</f>
        <v>236024</v>
      </c>
      <c r="Q141" s="7" cm="1">
        <f t="array" ref="Q141">INDEX(GMWQ!$A$2:$LR$60,MATCH(1,(GMWQ!$LQ$2:$LQ$60=Q$3)*(GMWQ!$LP$2:$LP$60=Q$4)*(GMWQ!$LR$2:$LR$60=Q$1),0),$B141-1966)</f>
        <v>5.33</v>
      </c>
      <c r="R141" s="7" cm="1">
        <f t="array" ref="R141">INDEX(GMWQ!$A$2:$LR$60,MATCH(1,(GMWQ!$LQ$2:$LQ$60=R$3)*(GMWQ!$LP$2:$LP$60=R$4)*(GMWQ!$LR$2:$LR$60=R$1),0),$B141-1966)</f>
        <v>359392</v>
      </c>
      <c r="S141" s="7" cm="1">
        <f t="array" ref="S141">INDEX(GMWQ!$A$2:$LR$60,MATCH(1,(GMWQ!$LQ$2:$LQ$60=S$3)*(GMWQ!$LP$2:$LP$60=S$4)*(GMWQ!$LR$2:$LR$60=S$1),0),$B141-1966)</f>
        <v>441</v>
      </c>
      <c r="T141" s="7" cm="1">
        <f t="array" ref="T141">INDEX(GMWQ!$A$2:$LR$60,MATCH(1,(GMWQ!$LQ$2:$LQ$60=T$3)*(GMWQ!$LP$2:$LP$60=T$4)*(GMWQ!$LR$2:$LR$60=T$1),0),$B141-1966)</f>
        <v>85030</v>
      </c>
      <c r="U141" s="7" cm="1">
        <f t="array" ref="U141">INDEX(GMWQ!$A$2:$LR$60,MATCH(1,(GMWQ!$LQ$2:$LQ$60=U$3)*(GMWQ!$LP$2:$LP$60=U$4)*(GMWQ!$LR$2:$LR$60=U$1),0),$B141-1966)</f>
        <v>27133</v>
      </c>
      <c r="V141" s="7" cm="1">
        <f t="array" ref="V141">INDEX(GMWQ!$A$2:$LR$60,MATCH(1,(GMWQ!$LQ$2:$LQ$60=V$3)*(GMWQ!$LP$2:$LP$60=V$4)*(GMWQ!$LR$2:$LR$60=V$1),0),$B141-1966)</f>
        <v>1.8381199999999999E-3</v>
      </c>
      <c r="W141" s="7" cm="1">
        <f t="array" ref="W141">INDEX(GMWQ!$A$2:$LR$60,MATCH(1,(GMWQ!$LQ$2:$LQ$60=W$3)*(GMWQ!$LP$2:$LP$60=W$4)*(GMWQ!$LR$2:$LR$60=W$1),0),$B141-1966)</f>
        <v>21.085439999999998</v>
      </c>
      <c r="X141" s="7" cm="1">
        <f t="array" ref="X141">INDEX(GMWQ!$A$2:$LR$60,MATCH(1,(GMWQ!$LQ$2:$LQ$60=X$3)*(GMWQ!$LP$2:$LP$60=X$4)*(GMWQ!$LR$2:$LR$60=X$1),0),$B141-1966)</f>
        <v>2539230</v>
      </c>
      <c r="Y141" s="7" cm="1">
        <f t="array" ref="Y141">INDEX(GMWQ!$A$2:$LR$60,MATCH(1,(GMWQ!$LQ$2:$LQ$60=Y$3)*(GMWQ!$LP$2:$LP$60=Y$4)*(GMWQ!$LR$2:$LR$60=Y$1),0),$B141-1966)</f>
        <v>78.757450000000006</v>
      </c>
      <c r="Z141" s="7" cm="1">
        <f t="array" ref="Z141">INDEX(GMWQ!$A$2:$LR$60,MATCH(1,(GMWQ!$LQ$2:$LQ$60=Z$3)*(GMWQ!$LP$2:$LP$60=Z$4)*(GMWQ!$LR$2:$LR$60=Z$1),0),$B141-1966)</f>
        <v>461565.5</v>
      </c>
      <c r="AA141" s="7" cm="1">
        <f t="array" ref="AA141">INDEX(GMWQ!$A$2:$LR$60,MATCH(1,(GMWQ!$LQ$2:$LQ$60=AA$3)*(GMWQ!$LP$2:$LP$60=AA$4)*(GMWQ!$LR$2:$LR$60=AA$1),0),$B141-1966)</f>
        <v>136390</v>
      </c>
      <c r="AB141" s="7" cm="1">
        <f t="array" ref="AB141">INDEX(GMWQ!$A$2:$LR$60,MATCH(1,(GMWQ!$LQ$2:$LQ$60=AB$3)*(GMWQ!$LP$2:$LP$60=AB$4)*(GMWQ!$LR$2:$LR$60=AB$1),0),$B141-1966)</f>
        <v>134375</v>
      </c>
      <c r="AC141" s="7" cm="1">
        <f t="array" ref="AC141">INDEX(GMWQ!$A$2:$LR$60,MATCH(1,(GMWQ!$LQ$2:$LQ$60=AC$3)*(GMWQ!$LP$2:$LP$60=AC$4)*(GMWQ!$LR$2:$LR$60=AC$1),0),$B141-1966)</f>
        <v>5106</v>
      </c>
      <c r="AD141" s="7" cm="1">
        <f t="array" ref="AD141">INDEX(GMWQ!$A$2:$LR$60,MATCH(1,(GMWQ!$LQ$2:$LQ$60=AD$3)*(GMWQ!$LP$2:$LP$60=AD$4)*(GMWQ!$LR$2:$LR$60=AD$1),0),$B141-1966)</f>
        <v>8481</v>
      </c>
      <c r="AE141" s="7" cm="1">
        <f t="array" ref="AE141">INDEX(GMWQ!$A$2:$LR$60,MATCH(1,(GMWQ!$LQ$2:$LQ$60=AE$3)*(GMWQ!$LP$2:$LP$60=AE$4)*(GMWQ!$LR$2:$LR$60=AE$1),0),$B141-1966)</f>
        <v>370883</v>
      </c>
      <c r="AF141" s="20" cm="1">
        <f t="array" ref="AF141">INDEX(GMWQ!$A$2:$LR$60,MATCH(1,(GMWQ!$LQ$2:$LQ$60=AF$3)*(GMWQ!$LP$2:$LP$60=AF$4)*(GMWQ!$LR$2:$LR$60=AF$1),0),$B141-1966)</f>
        <v>4.6615390000000003</v>
      </c>
      <c r="AG141" s="20" cm="1">
        <f t="array" ref="AG141">INDEX(GMWQ!$A$2:$LR$60,MATCH(1,(GMWQ!$LQ$2:$LQ$60=AG$3)*(GMWQ!$LP$2:$LP$60=AG$4)*(GMWQ!$LR$2:$LR$60=AG$1),0),$B141-1966)</f>
        <v>-3773</v>
      </c>
      <c r="AI141" s="23" cm="1">
        <f t="array" ref="AI141">INDEX(GMWQ!$A$2:$LR$60,MATCH(1,(GMWQ!$LQ$2:$LQ$60=AI$3)*(GMWQ!$LP$2:$LP$60=AI$4)*(GMWQ!$LR$2:$LR$60=AI$1),0),$B141-1966)</f>
        <v>236024</v>
      </c>
      <c r="AJ141" s="23" cm="1">
        <f t="array" ref="AJ141">INDEX(GMWQ!$A$2:$LR$60,MATCH(1,(GMWQ!$LQ$2:$LQ$60=AJ$3)*(GMWQ!$LP$2:$LP$60=AJ$4)*(GMWQ!$LR$2:$LR$60=AJ$1),0),$B141-1966)</f>
        <v>80.548259999999999</v>
      </c>
      <c r="AK141" s="23" cm="1">
        <f t="array" ref="AK141">INDEX(GMWQ!$A$2:$LR$60,MATCH(1,(GMWQ!$LQ$2:$LQ$60=AK$3)*(GMWQ!$LP$2:$LP$60=AK$4)*(GMWQ!$LR$2:$LR$60=AK$1),0),$B141-1966)</f>
        <v>152963</v>
      </c>
      <c r="AL141" s="23" cm="1">
        <f t="array" ref="AL141">INDEX(GMWQ!$A$2:$LR$60,MATCH(1,(GMWQ!$LQ$2:$LQ$60=AL$3)*(GMWQ!$LP$2:$LP$60=AL$4)*(GMWQ!$LR$2:$LR$60=AL$1),0),$B141-1966)</f>
        <v>6067.3119999999999</v>
      </c>
      <c r="AM141" s="23" cm="1">
        <f t="array" ref="AM141">INDEX(GMWQ!$A$2:$LR$60,MATCH(1,(GMWQ!$LQ$2:$LQ$60=AM$3)*(GMWQ!$LP$2:$LP$60=AM$4)*(GMWQ!$LR$2:$LR$60=AM$1),0),$B141-1966)</f>
        <v>25211</v>
      </c>
      <c r="AN141" s="23" cm="1">
        <f t="array" ref="AN141">INDEX(GMWQ!$A$2:$LR$60,MATCH(1,(GMWQ!$LQ$2:$LQ$60=AN$3)*(GMWQ!$LP$2:$LP$60=AN$4)*(GMWQ!$LR$2:$LR$60=AN$1),0),$B141-1966)</f>
        <v>36442</v>
      </c>
      <c r="AO141" s="23" cm="1">
        <f t="array" ref="AO141">INDEX(GMWQ!$A$2:$LR$60,MATCH(1,(GMWQ!$LQ$2:$LQ$60=AO$3)*(GMWQ!$LP$2:$LP$60=AO$4)*(GMWQ!$LR$2:$LR$60=AO$1),0),$B141-1966)</f>
        <v>11554</v>
      </c>
      <c r="AP141" s="23" cm="1">
        <f t="array" ref="AP141">INDEX(GMWQ!$A$2:$LR$60,MATCH(1,(GMWQ!$LQ$2:$LQ$60=AP$3)*(GMWQ!$LP$2:$LP$60=AP$4)*(GMWQ!$LR$2:$LR$60=AP$1),0),$B141-1966)</f>
        <v>-3773</v>
      </c>
      <c r="AQ141" s="23" cm="1">
        <f t="array" ref="AQ141">INDEX(GMWQ!$A$2:$LR$60,MATCH(1,(GMWQ!$LQ$2:$LQ$60=AQ$3)*(GMWQ!$LP$2:$LP$60=AQ$4)*(GMWQ!$LR$2:$LR$60=AQ$1),0),$B141-1966)</f>
        <v>38867</v>
      </c>
      <c r="AR141" s="23" cm="1">
        <f t="array" ref="AR141">INDEX(GMWQ!$A$2:$LR$60,MATCH(1,(GMWQ!$LQ$2:$LQ$60=AR$3)*(GMWQ!$LP$2:$LP$60=AR$4)*(GMWQ!$LR$2:$LR$60=AR$1),0),$B141-1966)</f>
        <v>228836</v>
      </c>
      <c r="AS141" s="23" cm="1">
        <f t="array" ref="AS141">INDEX(GMWQ!$A$2:$LR$60,MATCH(1,(GMWQ!$LQ$2:$LQ$60=AS$3)*(GMWQ!$LP$2:$LP$60=AS$4)*(GMWQ!$LR$2:$LR$60=AS$1),0),$B141-1966)</f>
        <v>7609</v>
      </c>
      <c r="AT141" s="23" cm="1">
        <f t="array" ref="AT141">INDEX(GMWQ!$A$2:$LR$60,MATCH(1,(GMWQ!$LQ$2:$LQ$60=AT$3)*(GMWQ!$LP$2:$LP$60=AT$4)*(GMWQ!$LR$2:$LR$60=AT$1),0),$B141-1966)</f>
        <v>284098</v>
      </c>
      <c r="AU141" s="23" cm="1">
        <f t="array" ref="AU141">INDEX(GMWQ!$A$2:$LR$60,MATCH(1,(GMWQ!$LQ$2:$LQ$60=AU$3)*(GMWQ!$LP$2:$LP$60=AU$4)*(GMWQ!$LR$2:$LR$60=AU$1),0),$B141-1966)</f>
        <v>10552</v>
      </c>
    </row>
    <row r="142" spans="1:47" x14ac:dyDescent="0.35">
      <c r="B142" s="7">
        <f t="shared" si="3"/>
        <v>2108</v>
      </c>
      <c r="C142" s="7" cm="1">
        <f t="array" ref="C142">INDEX(GMWQ!$A$2:$LR$60,MATCH(1,(GMWQ!$LQ$2:$LQ$60=C$3)*(GMWQ!$LP$2:$LP$60=C$4)*(GMWQ!$LR$2:$LR$60=C$1),0),$B142-1966)</f>
        <v>473372</v>
      </c>
      <c r="D142" s="7" cm="1">
        <f t="array" ref="D142">INDEX(GMWQ!$A$2:$LR$60,MATCH(1,(GMWQ!$LQ$2:$LQ$60=D$3)*(GMWQ!$LP$2:$LP$60=D$4)*(GMWQ!$LR$2:$LR$60=D$1),0),$B142-1966)</f>
        <v>408</v>
      </c>
      <c r="E142" s="7" cm="1">
        <f t="array" ref="E142">INDEX(GMWQ!$A$2:$LR$60,MATCH(1,(GMWQ!$LQ$2:$LQ$60=E$3)*(GMWQ!$LP$2:$LP$60=E$4)*(GMWQ!$LR$2:$LR$60=E$1),0),$B142-1966)</f>
        <v>80.900000000000006</v>
      </c>
      <c r="F142" s="7" cm="1">
        <f t="array" ref="F142">INDEX(GMWQ!$A$2:$LR$60,MATCH(1,(GMWQ!$LQ$2:$LQ$60=F$3)*(GMWQ!$LP$2:$LP$60=F$4)*(GMWQ!$LR$2:$LR$60=F$1),0),$B142-1966)</f>
        <v>155495</v>
      </c>
      <c r="G142" s="7" cm="1">
        <f t="array" ref="G142">INDEX(GMWQ!$A$2:$LR$60,MATCH(1,(GMWQ!$LQ$2:$LQ$60=G$3)*(GMWQ!$LP$2:$LP$60=G$4)*(GMWQ!$LR$2:$LR$60=G$1),0),$B142-1966)</f>
        <v>36800</v>
      </c>
      <c r="H142" s="7" cm="1">
        <f t="array" ref="H142">INDEX(GMWQ!$A$2:$LR$60,MATCH(1,(GMWQ!$LQ$2:$LQ$60=H$3)*(GMWQ!$LP$2:$LP$60=H$4)*(GMWQ!$LR$2:$LR$60=H$1),0),$B142-1966)</f>
        <v>12032</v>
      </c>
      <c r="I142" s="7" cm="1">
        <f t="array" ref="I142">INDEX(GMWQ!$A$2:$LR$60,MATCH(1,(GMWQ!$LQ$2:$LQ$60=I$3)*(GMWQ!$LP$2:$LP$60=I$4)*(GMWQ!$LR$2:$LR$60=I$1),0),$B142-1966)</f>
        <v>80.706029999999998</v>
      </c>
      <c r="J142" s="7" cm="1">
        <f t="array" ref="J142">INDEX(GMWQ!$A$2:$LR$60,MATCH(1,(GMWQ!$LQ$2:$LQ$60=J$3)*(GMWQ!$LP$2:$LP$60=J$4)*(GMWQ!$LR$2:$LR$60=J$1),0),$B142-1966)</f>
        <v>25217</v>
      </c>
      <c r="K142" s="7" cm="1">
        <f t="array" ref="K142">INDEX(GMWQ!$A$2:$LR$60,MATCH(1,(GMWQ!$LQ$2:$LQ$60=K$3)*(GMWQ!$LP$2:$LP$60=K$4)*(GMWQ!$LR$2:$LR$60=K$1),0),$B142-1966)</f>
        <v>5</v>
      </c>
      <c r="L142" s="7" cm="1">
        <f t="array" ref="L142">INDEX(GMWQ!$A$2:$LR$60,MATCH(1,(GMWQ!$LQ$2:$LQ$60=L$3)*(GMWQ!$LP$2:$LP$60=L$4)*(GMWQ!$LR$2:$LR$60=L$1),0),$B142-1966)</f>
        <v>5.5</v>
      </c>
      <c r="M142" s="7" cm="1">
        <f t="array" ref="M142">INDEX(GMWQ!$A$2:$LR$60,MATCH(1,(GMWQ!$LQ$2:$LQ$60=M$3)*(GMWQ!$LP$2:$LP$60=M$4)*(GMWQ!$LR$2:$LR$60=M$1),0),$B142-1966)</f>
        <v>90.938999999999993</v>
      </c>
      <c r="N142" s="7" cm="1">
        <f t="array" ref="N142">INDEX(GMWQ!$A$2:$LR$60,MATCH(1,(GMWQ!$LQ$2:$LQ$60=N$3)*(GMWQ!$LP$2:$LP$60=N$4)*(GMWQ!$LR$2:$LR$60=N$1),0),$B142-1966)</f>
        <v>17326</v>
      </c>
      <c r="O142" s="7" cm="1">
        <f t="array" ref="O142">INDEX(GMWQ!$A$2:$LR$60,MATCH(1,(GMWQ!$LQ$2:$LQ$60=O$3)*(GMWQ!$LP$2:$LP$60=O$4)*(GMWQ!$LR$2:$LR$60=O$1),0),$B142-1966)</f>
        <v>13125</v>
      </c>
      <c r="P142" s="7" cm="1">
        <f t="array" ref="P142">INDEX(GMWQ!$A$2:$LR$60,MATCH(1,(GMWQ!$LQ$2:$LQ$60=P$3)*(GMWQ!$LP$2:$LP$60=P$4)*(GMWQ!$LR$2:$LR$60=P$1),0),$B142-1966)</f>
        <v>237530</v>
      </c>
      <c r="Q142" s="7" cm="1">
        <f t="array" ref="Q142">INDEX(GMWQ!$A$2:$LR$60,MATCH(1,(GMWQ!$LQ$2:$LQ$60=Q$3)*(GMWQ!$LP$2:$LP$60=Q$4)*(GMWQ!$LR$2:$LR$60=Q$1),0),$B142-1966)</f>
        <v>5.45</v>
      </c>
      <c r="R142" s="7" cm="1">
        <f t="array" ref="R142">INDEX(GMWQ!$A$2:$LR$60,MATCH(1,(GMWQ!$LQ$2:$LQ$60=R$3)*(GMWQ!$LP$2:$LP$60=R$4)*(GMWQ!$LR$2:$LR$60=R$1),0),$B142-1966)</f>
        <v>373528</v>
      </c>
      <c r="S142" s="7" cm="1">
        <f t="array" ref="S142">INDEX(GMWQ!$A$2:$LR$60,MATCH(1,(GMWQ!$LQ$2:$LQ$60=S$3)*(GMWQ!$LP$2:$LP$60=S$4)*(GMWQ!$LR$2:$LR$60=S$1),0),$B142-1966)</f>
        <v>451</v>
      </c>
      <c r="T142" s="7" cm="1">
        <f t="array" ref="T142">INDEX(GMWQ!$A$2:$LR$60,MATCH(1,(GMWQ!$LQ$2:$LQ$60=T$3)*(GMWQ!$LP$2:$LP$60=T$4)*(GMWQ!$LR$2:$LR$60=T$1),0),$B142-1966)</f>
        <v>91702</v>
      </c>
      <c r="U142" s="7" cm="1">
        <f t="array" ref="U142">INDEX(GMWQ!$A$2:$LR$60,MATCH(1,(GMWQ!$LQ$2:$LQ$60=U$3)*(GMWQ!$LP$2:$LP$60=U$4)*(GMWQ!$LR$2:$LR$60=U$1),0),$B142-1966)</f>
        <v>29852</v>
      </c>
      <c r="V142" s="7" cm="1">
        <f t="array" ref="V142">INDEX(GMWQ!$A$2:$LR$60,MATCH(1,(GMWQ!$LQ$2:$LQ$60=V$3)*(GMWQ!$LP$2:$LP$60=V$4)*(GMWQ!$LR$2:$LR$60=V$1),0),$B142-1966)</f>
        <v>2.30999E-3</v>
      </c>
      <c r="W142" s="7" cm="1">
        <f t="array" ref="W142">INDEX(GMWQ!$A$2:$LR$60,MATCH(1,(GMWQ!$LQ$2:$LQ$60=W$3)*(GMWQ!$LP$2:$LP$60=W$4)*(GMWQ!$LR$2:$LR$60=W$1),0),$B142-1966)</f>
        <v>23.85811</v>
      </c>
      <c r="X142" s="7" cm="1">
        <f t="array" ref="X142">INDEX(GMWQ!$A$2:$LR$60,MATCH(1,(GMWQ!$LQ$2:$LQ$60=X$3)*(GMWQ!$LP$2:$LP$60=X$4)*(GMWQ!$LR$2:$LR$60=X$1),0),$B142-1966)</f>
        <v>2470554</v>
      </c>
      <c r="Y142" s="7" cm="1">
        <f t="array" ref="Y142">INDEX(GMWQ!$A$2:$LR$60,MATCH(1,(GMWQ!$LQ$2:$LQ$60=Y$3)*(GMWQ!$LP$2:$LP$60=Y$4)*(GMWQ!$LR$2:$LR$60=Y$1),0),$B142-1966)</f>
        <v>78.764060000000001</v>
      </c>
      <c r="Z142" s="7" cm="1">
        <f t="array" ref="Z142">INDEX(GMWQ!$A$2:$LR$60,MATCH(1,(GMWQ!$LQ$2:$LQ$60=Z$3)*(GMWQ!$LP$2:$LP$60=Z$4)*(GMWQ!$LR$2:$LR$60=Z$1),0),$B142-1966)</f>
        <v>465088</v>
      </c>
      <c r="AA142" s="7" cm="1">
        <f t="array" ref="AA142">INDEX(GMWQ!$A$2:$LR$60,MATCH(1,(GMWQ!$LQ$2:$LQ$60=AA$3)*(GMWQ!$LP$2:$LP$60=AA$4)*(GMWQ!$LR$2:$LR$60=AA$1),0),$B142-1966)</f>
        <v>131915</v>
      </c>
      <c r="AB142" s="7" cm="1">
        <f t="array" ref="AB142">INDEX(GMWQ!$A$2:$LR$60,MATCH(1,(GMWQ!$LQ$2:$LQ$60=AB$3)*(GMWQ!$LP$2:$LP$60=AB$4)*(GMWQ!$LR$2:$LR$60=AB$1),0),$B142-1966)</f>
        <v>133717</v>
      </c>
      <c r="AC142" s="7" cm="1">
        <f t="array" ref="AC142">INDEX(GMWQ!$A$2:$LR$60,MATCH(1,(GMWQ!$LQ$2:$LQ$60=AC$3)*(GMWQ!$LP$2:$LP$60=AC$4)*(GMWQ!$LR$2:$LR$60=AC$1),0),$B142-1966)</f>
        <v>5466</v>
      </c>
      <c r="AD142" s="7" cm="1">
        <f t="array" ref="AD142">INDEX(GMWQ!$A$2:$LR$60,MATCH(1,(GMWQ!$LQ$2:$LQ$60=AD$3)*(GMWQ!$LP$2:$LP$60=AD$4)*(GMWQ!$LR$2:$LR$60=AD$1),0),$B142-1966)</f>
        <v>8569</v>
      </c>
      <c r="AE142" s="7" cm="1">
        <f t="array" ref="AE142">INDEX(GMWQ!$A$2:$LR$60,MATCH(1,(GMWQ!$LQ$2:$LQ$60=AE$3)*(GMWQ!$LP$2:$LP$60=AE$4)*(GMWQ!$LR$2:$LR$60=AE$1),0),$B142-1966)</f>
        <v>372847</v>
      </c>
      <c r="AF142" s="20" cm="1">
        <f t="array" ref="AF142">INDEX(GMWQ!$A$2:$LR$60,MATCH(1,(GMWQ!$LQ$2:$LQ$60=AF$3)*(GMWQ!$LP$2:$LP$60=AF$4)*(GMWQ!$LR$2:$LR$60=AF$1),0),$B142-1966)</f>
        <v>4.8923079999999999</v>
      </c>
      <c r="AG142" s="20" cm="1">
        <f t="array" ref="AG142">INDEX(GMWQ!$A$2:$LR$60,MATCH(1,(GMWQ!$LQ$2:$LQ$60=AG$3)*(GMWQ!$LP$2:$LP$60=AG$4)*(GMWQ!$LR$2:$LR$60=AG$1),0),$B142-1966)</f>
        <v>-4201</v>
      </c>
      <c r="AI142" s="23" cm="1">
        <f t="array" ref="AI142">INDEX(GMWQ!$A$2:$LR$60,MATCH(1,(GMWQ!$LQ$2:$LQ$60=AI$3)*(GMWQ!$LP$2:$LP$60=AI$4)*(GMWQ!$LR$2:$LR$60=AI$1),0),$B142-1966)</f>
        <v>237530</v>
      </c>
      <c r="AJ142" s="23" cm="1">
        <f t="array" ref="AJ142">INDEX(GMWQ!$A$2:$LR$60,MATCH(1,(GMWQ!$LQ$2:$LQ$60=AJ$3)*(GMWQ!$LP$2:$LP$60=AJ$4)*(GMWQ!$LR$2:$LR$60=AJ$1),0),$B142-1966)</f>
        <v>80.706029999999998</v>
      </c>
      <c r="AK142" s="23" cm="1">
        <f t="array" ref="AK142">INDEX(GMWQ!$A$2:$LR$60,MATCH(1,(GMWQ!$LQ$2:$LQ$60=AK$3)*(GMWQ!$LP$2:$LP$60=AK$4)*(GMWQ!$LR$2:$LR$60=AK$1),0),$B142-1966)</f>
        <v>155495</v>
      </c>
      <c r="AL142" s="23" cm="1">
        <f t="array" ref="AL142">INDEX(GMWQ!$A$2:$LR$60,MATCH(1,(GMWQ!$LQ$2:$LQ$60=AL$3)*(GMWQ!$LP$2:$LP$60=AL$4)*(GMWQ!$LR$2:$LR$60=AL$1),0),$B142-1966)</f>
        <v>6166.277</v>
      </c>
      <c r="AM142" s="23" cm="1">
        <f t="array" ref="AM142">INDEX(GMWQ!$A$2:$LR$60,MATCH(1,(GMWQ!$LQ$2:$LQ$60=AM$3)*(GMWQ!$LP$2:$LP$60=AM$4)*(GMWQ!$LR$2:$LR$60=AM$1),0),$B142-1966)</f>
        <v>25217</v>
      </c>
      <c r="AN142" s="23" cm="1">
        <f t="array" ref="AN142">INDEX(GMWQ!$A$2:$LR$60,MATCH(1,(GMWQ!$LQ$2:$LQ$60=AN$3)*(GMWQ!$LP$2:$LP$60=AN$4)*(GMWQ!$LR$2:$LR$60=AN$1),0),$B142-1966)</f>
        <v>36800</v>
      </c>
      <c r="AO142" s="23" cm="1">
        <f t="array" ref="AO142">INDEX(GMWQ!$A$2:$LR$60,MATCH(1,(GMWQ!$LQ$2:$LQ$60=AO$3)*(GMWQ!$LP$2:$LP$60=AO$4)*(GMWQ!$LR$2:$LR$60=AO$1),0),$B142-1966)</f>
        <v>12032</v>
      </c>
      <c r="AP142" s="23" cm="1">
        <f t="array" ref="AP142">INDEX(GMWQ!$A$2:$LR$60,MATCH(1,(GMWQ!$LQ$2:$LQ$60=AP$3)*(GMWQ!$LP$2:$LP$60=AP$4)*(GMWQ!$LR$2:$LR$60=AP$1),0),$B142-1966)</f>
        <v>-4201</v>
      </c>
      <c r="AQ142" s="23" cm="1">
        <f t="array" ref="AQ142">INDEX(GMWQ!$A$2:$LR$60,MATCH(1,(GMWQ!$LQ$2:$LQ$60=AQ$3)*(GMWQ!$LP$2:$LP$60=AQ$4)*(GMWQ!$LR$2:$LR$60=AQ$1),0),$B142-1966)</f>
        <v>38813</v>
      </c>
      <c r="AR142" s="23" cm="1">
        <f t="array" ref="AR142">INDEX(GMWQ!$A$2:$LR$60,MATCH(1,(GMWQ!$LQ$2:$LQ$60=AR$3)*(GMWQ!$LP$2:$LP$60=AR$4)*(GMWQ!$LR$2:$LR$60=AR$1),0),$B142-1966)</f>
        <v>229716</v>
      </c>
      <c r="AS142" s="23" cm="1">
        <f t="array" ref="AS142">INDEX(GMWQ!$A$2:$LR$60,MATCH(1,(GMWQ!$LQ$2:$LQ$60=AS$3)*(GMWQ!$LP$2:$LP$60=AS$4)*(GMWQ!$LR$2:$LR$60=AS$1),0),$B142-1966)</f>
        <v>7660</v>
      </c>
      <c r="AT142" s="23" cm="1">
        <f t="array" ref="AT142">INDEX(GMWQ!$A$2:$LR$60,MATCH(1,(GMWQ!$LQ$2:$LQ$60=AT$3)*(GMWQ!$LP$2:$LP$60=AT$4)*(GMWQ!$LR$2:$LR$60=AT$1),0),$B142-1966)</f>
        <v>284633</v>
      </c>
      <c r="AU142" s="23" cm="1">
        <f t="array" ref="AU142">INDEX(GMWQ!$A$2:$LR$60,MATCH(1,(GMWQ!$LQ$2:$LQ$60=AU$3)*(GMWQ!$LP$2:$LP$60=AU$4)*(GMWQ!$LR$2:$LR$60=AU$1),0),$B142-1966)</f>
        <v>10366</v>
      </c>
    </row>
    <row r="143" spans="1:47" x14ac:dyDescent="0.35">
      <c r="A143" s="7">
        <v>2007</v>
      </c>
      <c r="B143" s="7">
        <f t="shared" si="3"/>
        <v>2109</v>
      </c>
      <c r="C143" s="7" cm="1">
        <f t="array" ref="C143">INDEX(GMWQ!$A$2:$LR$60,MATCH(1,(GMWQ!$LQ$2:$LQ$60=C$3)*(GMWQ!$LP$2:$LP$60=C$4)*(GMWQ!$LR$2:$LR$60=C$1),0),$B143-1966)</f>
        <v>477823</v>
      </c>
      <c r="D143" s="7" cm="1">
        <f t="array" ref="D143">INDEX(GMWQ!$A$2:$LR$60,MATCH(1,(GMWQ!$LQ$2:$LQ$60=D$3)*(GMWQ!$LP$2:$LP$60=D$4)*(GMWQ!$LR$2:$LR$60=D$1),0),$B143-1966)</f>
        <v>417</v>
      </c>
      <c r="E143" s="7" cm="1">
        <f t="array" ref="E143">INDEX(GMWQ!$A$2:$LR$60,MATCH(1,(GMWQ!$LQ$2:$LQ$60=E$3)*(GMWQ!$LP$2:$LP$60=E$4)*(GMWQ!$LR$2:$LR$60=E$1),0),$B143-1966)</f>
        <v>81</v>
      </c>
      <c r="F143" s="7" cm="1">
        <f t="array" ref="F143">INDEX(GMWQ!$A$2:$LR$60,MATCH(1,(GMWQ!$LQ$2:$LQ$60=F$3)*(GMWQ!$LP$2:$LP$60=F$4)*(GMWQ!$LR$2:$LR$60=F$1),0),$B143-1966)</f>
        <v>161456</v>
      </c>
      <c r="G143" s="7" cm="1">
        <f t="array" ref="G143">INDEX(GMWQ!$A$2:$LR$60,MATCH(1,(GMWQ!$LQ$2:$LQ$60=G$3)*(GMWQ!$LP$2:$LP$60=G$4)*(GMWQ!$LR$2:$LR$60=G$1),0),$B143-1966)</f>
        <v>38087</v>
      </c>
      <c r="H143" s="7" cm="1">
        <f t="array" ref="H143">INDEX(GMWQ!$A$2:$LR$60,MATCH(1,(GMWQ!$LQ$2:$LQ$60=H$3)*(GMWQ!$LP$2:$LP$60=H$4)*(GMWQ!$LR$2:$LR$60=H$1),0),$B143-1966)</f>
        <v>12120</v>
      </c>
      <c r="I143" s="7" cm="1">
        <f t="array" ref="I143">INDEX(GMWQ!$A$2:$LR$60,MATCH(1,(GMWQ!$LQ$2:$LQ$60=I$3)*(GMWQ!$LP$2:$LP$60=I$4)*(GMWQ!$LR$2:$LR$60=I$1),0),$B143-1966)</f>
        <v>80.061509999999998</v>
      </c>
      <c r="J143" s="7" cm="1">
        <f t="array" ref="J143">INDEX(GMWQ!$A$2:$LR$60,MATCH(1,(GMWQ!$LQ$2:$LQ$60=J$3)*(GMWQ!$LP$2:$LP$60=J$4)*(GMWQ!$LR$2:$LR$60=J$1),0),$B143-1966)</f>
        <v>25169</v>
      </c>
      <c r="K143" s="7" cm="1">
        <f t="array" ref="K143">INDEX(GMWQ!$A$2:$LR$60,MATCH(1,(GMWQ!$LQ$2:$LQ$60=K$3)*(GMWQ!$LP$2:$LP$60=K$4)*(GMWQ!$LR$2:$LR$60=K$1),0),$B143-1966)</f>
        <v>5.25</v>
      </c>
      <c r="L143" s="7" cm="1">
        <f t="array" ref="L143">INDEX(GMWQ!$A$2:$LR$60,MATCH(1,(GMWQ!$LQ$2:$LQ$60=L$3)*(GMWQ!$LP$2:$LP$60=L$4)*(GMWQ!$LR$2:$LR$60=L$1),0),$B143-1966)</f>
        <v>5.5</v>
      </c>
      <c r="M143" s="7" cm="1">
        <f t="array" ref="M143">INDEX(GMWQ!$A$2:$LR$60,MATCH(1,(GMWQ!$LQ$2:$LQ$60=M$3)*(GMWQ!$LP$2:$LP$60=M$4)*(GMWQ!$LR$2:$LR$60=M$1),0),$B143-1966)</f>
        <v>93.665660000000003</v>
      </c>
      <c r="N143" s="7" cm="1">
        <f t="array" ref="N143">INDEX(GMWQ!$A$2:$LR$60,MATCH(1,(GMWQ!$LQ$2:$LQ$60=N$3)*(GMWQ!$LP$2:$LP$60=N$4)*(GMWQ!$LR$2:$LR$60=N$1),0),$B143-1966)</f>
        <v>18384</v>
      </c>
      <c r="O143" s="7" cm="1">
        <f t="array" ref="O143">INDEX(GMWQ!$A$2:$LR$60,MATCH(1,(GMWQ!$LQ$2:$LQ$60=O$3)*(GMWQ!$LP$2:$LP$60=O$4)*(GMWQ!$LR$2:$LR$60=O$1),0),$B143-1966)</f>
        <v>13155</v>
      </c>
      <c r="P143" s="7" cm="1">
        <f t="array" ref="P143">INDEX(GMWQ!$A$2:$LR$60,MATCH(1,(GMWQ!$LQ$2:$LQ$60=P$3)*(GMWQ!$LP$2:$LP$60=P$4)*(GMWQ!$LR$2:$LR$60=P$1),0),$B143-1966)</f>
        <v>243130</v>
      </c>
      <c r="Q143" s="7" cm="1">
        <f t="array" ref="Q143">INDEX(GMWQ!$A$2:$LR$60,MATCH(1,(GMWQ!$LQ$2:$LQ$60=Q$3)*(GMWQ!$LP$2:$LP$60=Q$4)*(GMWQ!$LR$2:$LR$60=Q$1),0),$B143-1966)</f>
        <v>5.6233329999999997</v>
      </c>
      <c r="R143" s="7" cm="1">
        <f t="array" ref="R143">INDEX(GMWQ!$A$2:$LR$60,MATCH(1,(GMWQ!$LQ$2:$LQ$60=R$3)*(GMWQ!$LP$2:$LP$60=R$4)*(GMWQ!$LR$2:$LR$60=R$1),0),$B143-1966)</f>
        <v>352164</v>
      </c>
      <c r="S143" s="7" cm="1">
        <f t="array" ref="S143">INDEX(GMWQ!$A$2:$LR$60,MATCH(1,(GMWQ!$LQ$2:$LQ$60=S$3)*(GMWQ!$LP$2:$LP$60=S$4)*(GMWQ!$LR$2:$LR$60=S$1),0),$B143-1966)</f>
        <v>477</v>
      </c>
      <c r="T143" s="7" cm="1">
        <f t="array" ref="T143">INDEX(GMWQ!$A$2:$LR$60,MATCH(1,(GMWQ!$LQ$2:$LQ$60=T$3)*(GMWQ!$LP$2:$LP$60=T$4)*(GMWQ!$LR$2:$LR$60=T$1),0),$B143-1966)</f>
        <v>91858</v>
      </c>
      <c r="U143" s="7" cm="1">
        <f t="array" ref="U143">INDEX(GMWQ!$A$2:$LR$60,MATCH(1,(GMWQ!$LQ$2:$LQ$60=U$3)*(GMWQ!$LP$2:$LP$60=U$4)*(GMWQ!$LR$2:$LR$60=U$1),0),$B143-1966)</f>
        <v>27580</v>
      </c>
      <c r="V143" s="7" cm="1">
        <f t="array" ref="V143">INDEX(GMWQ!$A$2:$LR$60,MATCH(1,(GMWQ!$LQ$2:$LQ$60=V$3)*(GMWQ!$LP$2:$LP$60=V$4)*(GMWQ!$LR$2:$LR$60=V$1),0),$B143-1966)</f>
        <v>1.799651E-3</v>
      </c>
      <c r="W143" s="7" cm="1">
        <f t="array" ref="W143">INDEX(GMWQ!$A$2:$LR$60,MATCH(1,(GMWQ!$LQ$2:$LQ$60=W$3)*(GMWQ!$LP$2:$LP$60=W$4)*(GMWQ!$LR$2:$LR$60=W$1),0),$B143-1966)</f>
        <v>24.429790000000001</v>
      </c>
      <c r="X143" s="7" cm="1">
        <f t="array" ref="X143">INDEX(GMWQ!$A$2:$LR$60,MATCH(1,(GMWQ!$LQ$2:$LQ$60=X$3)*(GMWQ!$LP$2:$LP$60=X$4)*(GMWQ!$LR$2:$LR$60=X$1),0),$B143-1966)</f>
        <v>2536176</v>
      </c>
      <c r="Y143" s="7" cm="1">
        <f t="array" ref="Y143">INDEX(GMWQ!$A$2:$LR$60,MATCH(1,(GMWQ!$LQ$2:$LQ$60=Y$3)*(GMWQ!$LP$2:$LP$60=Y$4)*(GMWQ!$LR$2:$LR$60=Y$1),0),$B143-1966)</f>
        <v>78.909769999999995</v>
      </c>
      <c r="Z143" s="7" cm="1">
        <f t="array" ref="Z143">INDEX(GMWQ!$A$2:$LR$60,MATCH(1,(GMWQ!$LQ$2:$LQ$60=Z$3)*(GMWQ!$LP$2:$LP$60=Z$4)*(GMWQ!$LR$2:$LR$60=Z$1),0),$B143-1966)</f>
        <v>466765.4</v>
      </c>
      <c r="AA143" s="7" cm="1">
        <f t="array" ref="AA143">INDEX(GMWQ!$A$2:$LR$60,MATCH(1,(GMWQ!$LQ$2:$LQ$60=AA$3)*(GMWQ!$LP$2:$LP$60=AA$4)*(GMWQ!$LR$2:$LR$60=AA$1),0),$B143-1966)</f>
        <v>155389</v>
      </c>
      <c r="AB143" s="7" cm="1">
        <f t="array" ref="AB143">INDEX(GMWQ!$A$2:$LR$60,MATCH(1,(GMWQ!$LQ$2:$LQ$60=AB$3)*(GMWQ!$LP$2:$LP$60=AB$4)*(GMWQ!$LR$2:$LR$60=AB$1),0),$B143-1966)</f>
        <v>134890</v>
      </c>
      <c r="AC143" s="7" cm="1">
        <f t="array" ref="AC143">INDEX(GMWQ!$A$2:$LR$60,MATCH(1,(GMWQ!$LQ$2:$LQ$60=AC$3)*(GMWQ!$LP$2:$LP$60=AC$4)*(GMWQ!$LR$2:$LR$60=AC$1),0),$B143-1966)</f>
        <v>12324</v>
      </c>
      <c r="AD143" s="7" cm="1">
        <f t="array" ref="AD143">INDEX(GMWQ!$A$2:$LR$60,MATCH(1,(GMWQ!$LQ$2:$LQ$60=AD$3)*(GMWQ!$LP$2:$LP$60=AD$4)*(GMWQ!$LR$2:$LR$60=AD$1),0),$B143-1966)</f>
        <v>8752</v>
      </c>
      <c r="AE143" s="7" cm="1">
        <f t="array" ref="AE143">INDEX(GMWQ!$A$2:$LR$60,MATCH(1,(GMWQ!$LQ$2:$LQ$60=AE$3)*(GMWQ!$LP$2:$LP$60=AE$4)*(GMWQ!$LR$2:$LR$60=AE$1),0),$B143-1966)</f>
        <v>377049</v>
      </c>
      <c r="AF143" s="20" cm="1">
        <f t="array" ref="AF143">INDEX(GMWQ!$A$2:$LR$60,MATCH(1,(GMWQ!$LQ$2:$LQ$60=AF$3)*(GMWQ!$LP$2:$LP$60=AF$4)*(GMWQ!$LR$2:$LR$60=AF$1),0),$B143-1966)</f>
        <v>5.2192309999999997</v>
      </c>
      <c r="AG143" s="20" cm="1">
        <f t="array" ref="AG143">INDEX(GMWQ!$A$2:$LR$60,MATCH(1,(GMWQ!$LQ$2:$LQ$60=AG$3)*(GMWQ!$LP$2:$LP$60=AG$4)*(GMWQ!$LR$2:$LR$60=AG$1),0),$B143-1966)</f>
        <v>-5229</v>
      </c>
      <c r="AI143" s="23" cm="1">
        <f t="array" ref="AI143">INDEX(GMWQ!$A$2:$LR$60,MATCH(1,(GMWQ!$LQ$2:$LQ$60=AI$3)*(GMWQ!$LP$2:$LP$60=AI$4)*(GMWQ!$LR$2:$LR$60=AI$1),0),$B143-1966)</f>
        <v>243130</v>
      </c>
      <c r="AJ143" s="23" cm="1">
        <f t="array" ref="AJ143">INDEX(GMWQ!$A$2:$LR$60,MATCH(1,(GMWQ!$LQ$2:$LQ$60=AJ$3)*(GMWQ!$LP$2:$LP$60=AJ$4)*(GMWQ!$LR$2:$LR$60=AJ$1),0),$B143-1966)</f>
        <v>80.061509999999998</v>
      </c>
      <c r="AK143" s="23" cm="1">
        <f t="array" ref="AK143">INDEX(GMWQ!$A$2:$LR$60,MATCH(1,(GMWQ!$LQ$2:$LQ$60=AK$3)*(GMWQ!$LP$2:$LP$60=AK$4)*(GMWQ!$LR$2:$LR$60=AK$1),0),$B143-1966)</f>
        <v>161456</v>
      </c>
      <c r="AL143" s="23" cm="1">
        <f t="array" ref="AL143">INDEX(GMWQ!$A$2:$LR$60,MATCH(1,(GMWQ!$LQ$2:$LQ$60=AL$3)*(GMWQ!$LP$2:$LP$60=AL$4)*(GMWQ!$LR$2:$LR$60=AL$1),0),$B143-1966)</f>
        <v>6414.875</v>
      </c>
      <c r="AM143" s="23" cm="1">
        <f t="array" ref="AM143">INDEX(GMWQ!$A$2:$LR$60,MATCH(1,(GMWQ!$LQ$2:$LQ$60=AM$3)*(GMWQ!$LP$2:$LP$60=AM$4)*(GMWQ!$LR$2:$LR$60=AM$1),0),$B143-1966)</f>
        <v>25169</v>
      </c>
      <c r="AN143" s="23" cm="1">
        <f t="array" ref="AN143">INDEX(GMWQ!$A$2:$LR$60,MATCH(1,(GMWQ!$LQ$2:$LQ$60=AN$3)*(GMWQ!$LP$2:$LP$60=AN$4)*(GMWQ!$LR$2:$LR$60=AN$1),0),$B143-1966)</f>
        <v>38087</v>
      </c>
      <c r="AO143" s="23" cm="1">
        <f t="array" ref="AO143">INDEX(GMWQ!$A$2:$LR$60,MATCH(1,(GMWQ!$LQ$2:$LQ$60=AO$3)*(GMWQ!$LP$2:$LP$60=AO$4)*(GMWQ!$LR$2:$LR$60=AO$1),0),$B143-1966)</f>
        <v>12120</v>
      </c>
      <c r="AP143" s="23" cm="1">
        <f t="array" ref="AP143">INDEX(GMWQ!$A$2:$LR$60,MATCH(1,(GMWQ!$LQ$2:$LQ$60=AP$3)*(GMWQ!$LP$2:$LP$60=AP$4)*(GMWQ!$LR$2:$LR$60=AP$1),0),$B143-1966)</f>
        <v>-5229</v>
      </c>
      <c r="AQ143" s="23" cm="1">
        <f t="array" ref="AQ143">INDEX(GMWQ!$A$2:$LR$60,MATCH(1,(GMWQ!$LQ$2:$LQ$60=AQ$3)*(GMWQ!$LP$2:$LP$60=AQ$4)*(GMWQ!$LR$2:$LR$60=AQ$1),0),$B143-1966)</f>
        <v>39239</v>
      </c>
      <c r="AR143" s="23" cm="1">
        <f t="array" ref="AR143">INDEX(GMWQ!$A$2:$LR$60,MATCH(1,(GMWQ!$LQ$2:$LQ$60=AR$3)*(GMWQ!$LP$2:$LP$60=AR$4)*(GMWQ!$LR$2:$LR$60=AR$1),0),$B143-1966)</f>
        <v>230397</v>
      </c>
      <c r="AS143" s="23" cm="1">
        <f t="array" ref="AS143">INDEX(GMWQ!$A$2:$LR$60,MATCH(1,(GMWQ!$LQ$2:$LQ$60=AS$3)*(GMWQ!$LP$2:$LP$60=AS$4)*(GMWQ!$LR$2:$LR$60=AS$1),0),$B143-1966)</f>
        <v>7632</v>
      </c>
      <c r="AT143" s="23" cm="1">
        <f t="array" ref="AT143">INDEX(GMWQ!$A$2:$LR$60,MATCH(1,(GMWQ!$LQ$2:$LQ$60=AT$3)*(GMWQ!$LP$2:$LP$60=AT$4)*(GMWQ!$LR$2:$LR$60=AT$1),0),$B143-1966)</f>
        <v>287775</v>
      </c>
      <c r="AU143" s="23" cm="1">
        <f t="array" ref="AU143">INDEX(GMWQ!$A$2:$LR$60,MATCH(1,(GMWQ!$LQ$2:$LQ$60=AU$3)*(GMWQ!$LP$2:$LP$60=AU$4)*(GMWQ!$LR$2:$LR$60=AU$1),0),$B143-1966)</f>
        <v>10308</v>
      </c>
    </row>
    <row r="144" spans="1:47" x14ac:dyDescent="0.35">
      <c r="B144" s="7">
        <f t="shared" si="3"/>
        <v>2110</v>
      </c>
      <c r="C144" s="7" cm="1">
        <f t="array" ref="C144">INDEX(GMWQ!$A$2:$LR$60,MATCH(1,(GMWQ!$LQ$2:$LQ$60=C$3)*(GMWQ!$LP$2:$LP$60=C$4)*(GMWQ!$LR$2:$LR$60=C$1),0),$B144-1966)</f>
        <v>481314</v>
      </c>
      <c r="D144" s="7" cm="1">
        <f t="array" ref="D144">INDEX(GMWQ!$A$2:$LR$60,MATCH(1,(GMWQ!$LQ$2:$LQ$60=D$3)*(GMWQ!$LP$2:$LP$60=D$4)*(GMWQ!$LR$2:$LR$60=D$1),0),$B144-1966)</f>
        <v>415.33330000000001</v>
      </c>
      <c r="E144" s="7" cm="1">
        <f t="array" ref="E144">INDEX(GMWQ!$A$2:$LR$60,MATCH(1,(GMWQ!$LQ$2:$LQ$60=E$3)*(GMWQ!$LP$2:$LP$60=E$4)*(GMWQ!$LR$2:$LR$60=E$1),0),$B144-1966)</f>
        <v>81.8</v>
      </c>
      <c r="F144" s="7" cm="1">
        <f t="array" ref="F144">INDEX(GMWQ!$A$2:$LR$60,MATCH(1,(GMWQ!$LQ$2:$LQ$60=F$3)*(GMWQ!$LP$2:$LP$60=F$4)*(GMWQ!$LR$2:$LR$60=F$1),0),$B144-1966)</f>
        <v>160452</v>
      </c>
      <c r="G144" s="7" cm="1">
        <f t="array" ref="G144">INDEX(GMWQ!$A$2:$LR$60,MATCH(1,(GMWQ!$LQ$2:$LQ$60=G$3)*(GMWQ!$LP$2:$LP$60=G$4)*(GMWQ!$LR$2:$LR$60=G$1),0),$B144-1966)</f>
        <v>37850</v>
      </c>
      <c r="H144" s="7" cm="1">
        <f t="array" ref="H144">INDEX(GMWQ!$A$2:$LR$60,MATCH(1,(GMWQ!$LQ$2:$LQ$60=H$3)*(GMWQ!$LP$2:$LP$60=H$4)*(GMWQ!$LR$2:$LR$60=H$1),0),$B144-1966)</f>
        <v>11136</v>
      </c>
      <c r="I144" s="7" cm="1">
        <f t="array" ref="I144">INDEX(GMWQ!$A$2:$LR$60,MATCH(1,(GMWQ!$LQ$2:$LQ$60=I$3)*(GMWQ!$LP$2:$LP$60=I$4)*(GMWQ!$LR$2:$LR$60=I$1),0),$B144-1966)</f>
        <v>81.258380000000002</v>
      </c>
      <c r="J144" s="7" cm="1">
        <f t="array" ref="J144">INDEX(GMWQ!$A$2:$LR$60,MATCH(1,(GMWQ!$LQ$2:$LQ$60=J$3)*(GMWQ!$LP$2:$LP$60=J$4)*(GMWQ!$LR$2:$LR$60=J$1),0),$B144-1966)</f>
        <v>25310</v>
      </c>
      <c r="K144" s="7" cm="1">
        <f t="array" ref="K144">INDEX(GMWQ!$A$2:$LR$60,MATCH(1,(GMWQ!$LQ$2:$LQ$60=K$3)*(GMWQ!$LP$2:$LP$60=K$4)*(GMWQ!$LR$2:$LR$60=K$1),0),$B144-1966)</f>
        <v>5.5</v>
      </c>
      <c r="L144" s="7" cm="1">
        <f t="array" ref="L144">INDEX(GMWQ!$A$2:$LR$60,MATCH(1,(GMWQ!$LQ$2:$LQ$60=L$3)*(GMWQ!$LP$2:$LP$60=L$4)*(GMWQ!$LR$2:$LR$60=L$1),0),$B144-1966)</f>
        <v>5.4</v>
      </c>
      <c r="M144" s="7" cm="1">
        <f t="array" ref="M144">INDEX(GMWQ!$A$2:$LR$60,MATCH(1,(GMWQ!$LQ$2:$LQ$60=M$3)*(GMWQ!$LP$2:$LP$60=M$4)*(GMWQ!$LR$2:$LR$60=M$1),0),$B144-1966)</f>
        <v>95.677999999999997</v>
      </c>
      <c r="N144" s="7" cm="1">
        <f t="array" ref="N144">INDEX(GMWQ!$A$2:$LR$60,MATCH(1,(GMWQ!$LQ$2:$LQ$60=N$3)*(GMWQ!$LP$2:$LP$60=N$4)*(GMWQ!$LR$2:$LR$60=N$1),0),$B144-1966)</f>
        <v>19517</v>
      </c>
      <c r="O144" s="7" cm="1">
        <f t="array" ref="O144">INDEX(GMWQ!$A$2:$LR$60,MATCH(1,(GMWQ!$LQ$2:$LQ$60=O$3)*(GMWQ!$LP$2:$LP$60=O$4)*(GMWQ!$LR$2:$LR$60=O$1),0),$B144-1966)</f>
        <v>14046</v>
      </c>
      <c r="P144" s="7" cm="1">
        <f t="array" ref="P144">INDEX(GMWQ!$A$2:$LR$60,MATCH(1,(GMWQ!$LQ$2:$LQ$60=P$3)*(GMWQ!$LP$2:$LP$60=P$4)*(GMWQ!$LR$2:$LR$60=P$1),0),$B144-1966)</f>
        <v>244499</v>
      </c>
      <c r="Q144" s="7" cm="1">
        <f t="array" ref="Q144">INDEX(GMWQ!$A$2:$LR$60,MATCH(1,(GMWQ!$LQ$2:$LQ$60=Q$3)*(GMWQ!$LP$2:$LP$60=Q$4)*(GMWQ!$LR$2:$LR$60=Q$1),0),$B144-1966)</f>
        <v>5.7033329999999998</v>
      </c>
      <c r="R144" s="7" cm="1">
        <f t="array" ref="R144">INDEX(GMWQ!$A$2:$LR$60,MATCH(1,(GMWQ!$LQ$2:$LQ$60=R$3)*(GMWQ!$LP$2:$LP$60=R$4)*(GMWQ!$LR$2:$LR$60=R$1),0),$B144-1966)</f>
        <v>337763</v>
      </c>
      <c r="S144" s="7" cm="1">
        <f t="array" ref="S144">INDEX(GMWQ!$A$2:$LR$60,MATCH(1,(GMWQ!$LQ$2:$LQ$60=S$3)*(GMWQ!$LP$2:$LP$60=S$4)*(GMWQ!$LR$2:$LR$60=S$1),0),$B144-1966)</f>
        <v>470</v>
      </c>
      <c r="T144" s="7" cm="1">
        <f t="array" ref="T144">INDEX(GMWQ!$A$2:$LR$60,MATCH(1,(GMWQ!$LQ$2:$LQ$60=T$3)*(GMWQ!$LP$2:$LP$60=T$4)*(GMWQ!$LR$2:$LR$60=T$1),0),$B144-1966)</f>
        <v>91429</v>
      </c>
      <c r="U144" s="7" cm="1">
        <f t="array" ref="U144">INDEX(GMWQ!$A$2:$LR$60,MATCH(1,(GMWQ!$LQ$2:$LQ$60=U$3)*(GMWQ!$LP$2:$LP$60=U$4)*(GMWQ!$LR$2:$LR$60=U$1),0),$B144-1966)</f>
        <v>26828</v>
      </c>
      <c r="V144" s="7" cm="1">
        <f t="array" ref="V144">INDEX(GMWQ!$A$2:$LR$60,MATCH(1,(GMWQ!$LQ$2:$LQ$60=V$3)*(GMWQ!$LP$2:$LP$60=V$4)*(GMWQ!$LR$2:$LR$60=V$1),0),$B144-1966)</f>
        <v>1.7471609999999999E-3</v>
      </c>
      <c r="W144" s="7" cm="1">
        <f t="array" ref="W144">INDEX(GMWQ!$A$2:$LR$60,MATCH(1,(GMWQ!$LQ$2:$LQ$60=W$3)*(GMWQ!$LP$2:$LP$60=W$4)*(GMWQ!$LR$2:$LR$60=W$1),0),$B144-1966)</f>
        <v>22.241050000000001</v>
      </c>
      <c r="X144" s="7" cm="1">
        <f t="array" ref="X144">INDEX(GMWQ!$A$2:$LR$60,MATCH(1,(GMWQ!$LQ$2:$LQ$60=X$3)*(GMWQ!$LP$2:$LP$60=X$4)*(GMWQ!$LR$2:$LR$60=X$1),0),$B144-1966)</f>
        <v>2620625</v>
      </c>
      <c r="Y144" s="7" cm="1">
        <f t="array" ref="Y144">INDEX(GMWQ!$A$2:$LR$60,MATCH(1,(GMWQ!$LQ$2:$LQ$60=Y$3)*(GMWQ!$LP$2:$LP$60=Y$4)*(GMWQ!$LR$2:$LR$60=Y$1),0),$B144-1966)</f>
        <v>80.262150000000005</v>
      </c>
      <c r="Z144" s="7" cm="1">
        <f t="array" ref="Z144">INDEX(GMWQ!$A$2:$LR$60,MATCH(1,(GMWQ!$LQ$2:$LQ$60=Z$3)*(GMWQ!$LP$2:$LP$60=Z$4)*(GMWQ!$LR$2:$LR$60=Z$1),0),$B144-1966)</f>
        <v>470626.3</v>
      </c>
      <c r="AA144" s="7" cm="1">
        <f t="array" ref="AA144">INDEX(GMWQ!$A$2:$LR$60,MATCH(1,(GMWQ!$LQ$2:$LQ$60=AA$3)*(GMWQ!$LP$2:$LP$60=AA$4)*(GMWQ!$LR$2:$LR$60=AA$1),0),$B144-1966)</f>
        <v>135115</v>
      </c>
      <c r="AB144" s="7" cm="1">
        <f t="array" ref="AB144">INDEX(GMWQ!$A$2:$LR$60,MATCH(1,(GMWQ!$LQ$2:$LQ$60=AB$3)*(GMWQ!$LP$2:$LP$60=AB$4)*(GMWQ!$LR$2:$LR$60=AB$1),0),$B144-1966)</f>
        <v>137035</v>
      </c>
      <c r="AC144" s="7" cm="1">
        <f t="array" ref="AC144">INDEX(GMWQ!$A$2:$LR$60,MATCH(1,(GMWQ!$LQ$2:$LQ$60=AC$3)*(GMWQ!$LP$2:$LP$60=AC$4)*(GMWQ!$LR$2:$LR$60=AC$1),0),$B144-1966)</f>
        <v>1788</v>
      </c>
      <c r="AD144" s="7" cm="1">
        <f t="array" ref="AD144">INDEX(GMWQ!$A$2:$LR$60,MATCH(1,(GMWQ!$LQ$2:$LQ$60=AD$3)*(GMWQ!$LP$2:$LP$60=AD$4)*(GMWQ!$LR$2:$LR$60=AD$1),0),$B144-1966)</f>
        <v>8872</v>
      </c>
      <c r="AE144" s="7" cm="1">
        <f t="array" ref="AE144">INDEX(GMWQ!$A$2:$LR$60,MATCH(1,(GMWQ!$LQ$2:$LQ$60=AE$3)*(GMWQ!$LP$2:$LP$60=AE$4)*(GMWQ!$LR$2:$LR$60=AE$1),0),$B144-1966)</f>
        <v>386313</v>
      </c>
      <c r="AF144" s="20" cm="1">
        <f t="array" ref="AF144">INDEX(GMWQ!$A$2:$LR$60,MATCH(1,(GMWQ!$LQ$2:$LQ$60=AF$3)*(GMWQ!$LP$2:$LP$60=AF$4)*(GMWQ!$LR$2:$LR$60=AF$1),0),$B144-1966)</f>
        <v>5.3923079999999999</v>
      </c>
      <c r="AG144" s="20" cm="1">
        <f t="array" ref="AG144">INDEX(GMWQ!$A$2:$LR$60,MATCH(1,(GMWQ!$LQ$2:$LQ$60=AG$3)*(GMWQ!$LP$2:$LP$60=AG$4)*(GMWQ!$LR$2:$LR$60=AG$1),0),$B144-1966)</f>
        <v>-5471</v>
      </c>
      <c r="AI144" s="23" cm="1">
        <f t="array" ref="AI144">INDEX(GMWQ!$A$2:$LR$60,MATCH(1,(GMWQ!$LQ$2:$LQ$60=AI$3)*(GMWQ!$LP$2:$LP$60=AI$4)*(GMWQ!$LR$2:$LR$60=AI$1),0),$B144-1966)</f>
        <v>244499</v>
      </c>
      <c r="AJ144" s="23" cm="1">
        <f t="array" ref="AJ144">INDEX(GMWQ!$A$2:$LR$60,MATCH(1,(GMWQ!$LQ$2:$LQ$60=AJ$3)*(GMWQ!$LP$2:$LP$60=AJ$4)*(GMWQ!$LR$2:$LR$60=AJ$1),0),$B144-1966)</f>
        <v>81.258380000000002</v>
      </c>
      <c r="AK144" s="23" cm="1">
        <f t="array" ref="AK144">INDEX(GMWQ!$A$2:$LR$60,MATCH(1,(GMWQ!$LQ$2:$LQ$60=AK$3)*(GMWQ!$LP$2:$LP$60=AK$4)*(GMWQ!$LR$2:$LR$60=AK$1),0),$B144-1966)</f>
        <v>160452</v>
      </c>
      <c r="AL144" s="23" cm="1">
        <f t="array" ref="AL144">INDEX(GMWQ!$A$2:$LR$60,MATCH(1,(GMWQ!$LQ$2:$LQ$60=AL$3)*(GMWQ!$LP$2:$LP$60=AL$4)*(GMWQ!$LR$2:$LR$60=AL$1),0),$B144-1966)</f>
        <v>6339.4709999999995</v>
      </c>
      <c r="AM144" s="23" cm="1">
        <f t="array" ref="AM144">INDEX(GMWQ!$A$2:$LR$60,MATCH(1,(GMWQ!$LQ$2:$LQ$60=AM$3)*(GMWQ!$LP$2:$LP$60=AM$4)*(GMWQ!$LR$2:$LR$60=AM$1),0),$B144-1966)</f>
        <v>25310</v>
      </c>
      <c r="AN144" s="23" cm="1">
        <f t="array" ref="AN144">INDEX(GMWQ!$A$2:$LR$60,MATCH(1,(GMWQ!$LQ$2:$LQ$60=AN$3)*(GMWQ!$LP$2:$LP$60=AN$4)*(GMWQ!$LR$2:$LR$60=AN$1),0),$B144-1966)</f>
        <v>37850</v>
      </c>
      <c r="AO144" s="23" cm="1">
        <f t="array" ref="AO144">INDEX(GMWQ!$A$2:$LR$60,MATCH(1,(GMWQ!$LQ$2:$LQ$60=AO$3)*(GMWQ!$LP$2:$LP$60=AO$4)*(GMWQ!$LR$2:$LR$60=AO$1),0),$B144-1966)</f>
        <v>11136</v>
      </c>
      <c r="AP144" s="23" cm="1">
        <f t="array" ref="AP144">INDEX(GMWQ!$A$2:$LR$60,MATCH(1,(GMWQ!$LQ$2:$LQ$60=AP$3)*(GMWQ!$LP$2:$LP$60=AP$4)*(GMWQ!$LR$2:$LR$60=AP$1),0),$B144-1966)</f>
        <v>-5471</v>
      </c>
      <c r="AQ144" s="23" cm="1">
        <f t="array" ref="AQ144">INDEX(GMWQ!$A$2:$LR$60,MATCH(1,(GMWQ!$LQ$2:$LQ$60=AQ$3)*(GMWQ!$LP$2:$LP$60=AQ$4)*(GMWQ!$LR$2:$LR$60=AQ$1),0),$B144-1966)</f>
        <v>40476</v>
      </c>
      <c r="AR144" s="23" cm="1">
        <f t="array" ref="AR144">INDEX(GMWQ!$A$2:$LR$60,MATCH(1,(GMWQ!$LQ$2:$LQ$60=AR$3)*(GMWQ!$LP$2:$LP$60=AR$4)*(GMWQ!$LR$2:$LR$60=AR$1),0),$B144-1966)</f>
        <v>236418</v>
      </c>
      <c r="AS144" s="23" cm="1">
        <f t="array" ref="AS144">INDEX(GMWQ!$A$2:$LR$60,MATCH(1,(GMWQ!$LQ$2:$LQ$60=AS$3)*(GMWQ!$LP$2:$LP$60=AS$4)*(GMWQ!$LR$2:$LR$60=AS$1),0),$B144-1966)</f>
        <v>7714</v>
      </c>
      <c r="AT144" s="23" cm="1">
        <f t="array" ref="AT144">INDEX(GMWQ!$A$2:$LR$60,MATCH(1,(GMWQ!$LQ$2:$LQ$60=AT$3)*(GMWQ!$LP$2:$LP$60=AT$4)*(GMWQ!$LR$2:$LR$60=AT$1),0),$B144-1966)</f>
        <v>290946</v>
      </c>
      <c r="AU144" s="23" cm="1">
        <f t="array" ref="AU144">INDEX(GMWQ!$A$2:$LR$60,MATCH(1,(GMWQ!$LQ$2:$LQ$60=AU$3)*(GMWQ!$LP$2:$LP$60=AU$4)*(GMWQ!$LR$2:$LR$60=AU$1),0),$B144-1966)</f>
        <v>10162</v>
      </c>
    </row>
    <row r="145" spans="1:47" x14ac:dyDescent="0.35">
      <c r="B145" s="7">
        <f t="shared" si="3"/>
        <v>2111</v>
      </c>
      <c r="C145" s="7" cm="1">
        <f t="array" ref="C145">INDEX(GMWQ!$A$2:$LR$60,MATCH(1,(GMWQ!$LQ$2:$LQ$60=C$3)*(GMWQ!$LP$2:$LP$60=C$4)*(GMWQ!$LR$2:$LR$60=C$1),0),$B145-1966)</f>
        <v>484544</v>
      </c>
      <c r="D145" s="7" cm="1">
        <f t="array" ref="D145">INDEX(GMWQ!$A$2:$LR$60,MATCH(1,(GMWQ!$LQ$2:$LQ$60=D$3)*(GMWQ!$LP$2:$LP$60=D$4)*(GMWQ!$LR$2:$LR$60=D$1),0),$B145-1966)</f>
        <v>422</v>
      </c>
      <c r="E145" s="7" cm="1">
        <f t="array" ref="E145">INDEX(GMWQ!$A$2:$LR$60,MATCH(1,(GMWQ!$LQ$2:$LQ$60=E$3)*(GMWQ!$LP$2:$LP$60=E$4)*(GMWQ!$LR$2:$LR$60=E$1),0),$B145-1966)</f>
        <v>81.733329999999995</v>
      </c>
      <c r="F145" s="7" cm="1">
        <f t="array" ref="F145">INDEX(GMWQ!$A$2:$LR$60,MATCH(1,(GMWQ!$LQ$2:$LQ$60=F$3)*(GMWQ!$LP$2:$LP$60=F$4)*(GMWQ!$LR$2:$LR$60=F$1),0),$B145-1966)</f>
        <v>164131</v>
      </c>
      <c r="G145" s="7" cm="1">
        <f t="array" ref="G145">INDEX(GMWQ!$A$2:$LR$60,MATCH(1,(GMWQ!$LQ$2:$LQ$60=G$3)*(GMWQ!$LP$2:$LP$60=G$4)*(GMWQ!$LR$2:$LR$60=G$1),0),$B145-1966)</f>
        <v>39119</v>
      </c>
      <c r="H145" s="7" cm="1">
        <f t="array" ref="H145">INDEX(GMWQ!$A$2:$LR$60,MATCH(1,(GMWQ!$LQ$2:$LQ$60=H$3)*(GMWQ!$LP$2:$LP$60=H$4)*(GMWQ!$LR$2:$LR$60=H$1),0),$B145-1966)</f>
        <v>11442</v>
      </c>
      <c r="I145" s="7" cm="1">
        <f t="array" ref="I145">INDEX(GMWQ!$A$2:$LR$60,MATCH(1,(GMWQ!$LQ$2:$LQ$60=I$3)*(GMWQ!$LP$2:$LP$60=I$4)*(GMWQ!$LR$2:$LR$60=I$1),0),$B145-1966)</f>
        <v>81.610349999999997</v>
      </c>
      <c r="J145" s="7" cm="1">
        <f t="array" ref="J145">INDEX(GMWQ!$A$2:$LR$60,MATCH(1,(GMWQ!$LQ$2:$LQ$60=J$3)*(GMWQ!$LP$2:$LP$60=J$4)*(GMWQ!$LR$2:$LR$60=J$1),0),$B145-1966)</f>
        <v>25380</v>
      </c>
      <c r="K145" s="7" cm="1">
        <f t="array" ref="K145">INDEX(GMWQ!$A$2:$LR$60,MATCH(1,(GMWQ!$LQ$2:$LQ$60=K$3)*(GMWQ!$LP$2:$LP$60=K$4)*(GMWQ!$LR$2:$LR$60=K$1),0),$B145-1966)</f>
        <v>5.75</v>
      </c>
      <c r="L145" s="7" cm="1">
        <f t="array" ref="L145">INDEX(GMWQ!$A$2:$LR$60,MATCH(1,(GMWQ!$LQ$2:$LQ$60=L$3)*(GMWQ!$LP$2:$LP$60=L$4)*(GMWQ!$LR$2:$LR$60=L$1),0),$B145-1966)</f>
        <v>5.3</v>
      </c>
      <c r="M145" s="7" cm="1">
        <f t="array" ref="M145">INDEX(GMWQ!$A$2:$LR$60,MATCH(1,(GMWQ!$LQ$2:$LQ$60=M$3)*(GMWQ!$LP$2:$LP$60=M$4)*(GMWQ!$LR$2:$LR$60=M$1),0),$B145-1966)</f>
        <v>97.266999999999996</v>
      </c>
      <c r="N145" s="7" cm="1">
        <f t="array" ref="N145">INDEX(GMWQ!$A$2:$LR$60,MATCH(1,(GMWQ!$LQ$2:$LQ$60=N$3)*(GMWQ!$LP$2:$LP$60=N$4)*(GMWQ!$LR$2:$LR$60=N$1),0),$B145-1966)</f>
        <v>20341</v>
      </c>
      <c r="O145" s="7" cm="1">
        <f t="array" ref="O145">INDEX(GMWQ!$A$2:$LR$60,MATCH(1,(GMWQ!$LQ$2:$LQ$60=O$3)*(GMWQ!$LP$2:$LP$60=O$4)*(GMWQ!$LR$2:$LR$60=O$1),0),$B145-1966)</f>
        <v>15565</v>
      </c>
      <c r="P145" s="7" cm="1">
        <f t="array" ref="P145">INDEX(GMWQ!$A$2:$LR$60,MATCH(1,(GMWQ!$LQ$2:$LQ$60=P$3)*(GMWQ!$LP$2:$LP$60=P$4)*(GMWQ!$LR$2:$LR$60=P$1),0),$B145-1966)</f>
        <v>249052</v>
      </c>
      <c r="Q145" s="7" cm="1">
        <f t="array" ref="Q145">INDEX(GMWQ!$A$2:$LR$60,MATCH(1,(GMWQ!$LQ$2:$LQ$60=Q$3)*(GMWQ!$LP$2:$LP$60=Q$4)*(GMWQ!$LR$2:$LR$60=Q$1),0),$B145-1966)</f>
        <v>5.8833330000000004</v>
      </c>
      <c r="R145" s="7" cm="1">
        <f t="array" ref="R145">INDEX(GMWQ!$A$2:$LR$60,MATCH(1,(GMWQ!$LQ$2:$LQ$60=R$3)*(GMWQ!$LP$2:$LP$60=R$4)*(GMWQ!$LR$2:$LR$60=R$1),0),$B145-1966)</f>
        <v>319824</v>
      </c>
      <c r="S145" s="7" cm="1">
        <f t="array" ref="S145">INDEX(GMWQ!$A$2:$LR$60,MATCH(1,(GMWQ!$LQ$2:$LQ$60=S$3)*(GMWQ!$LP$2:$LP$60=S$4)*(GMWQ!$LR$2:$LR$60=S$1),0),$B145-1966)</f>
        <v>445</v>
      </c>
      <c r="T145" s="7" cm="1">
        <f t="array" ref="T145">INDEX(GMWQ!$A$2:$LR$60,MATCH(1,(GMWQ!$LQ$2:$LQ$60=T$3)*(GMWQ!$LP$2:$LP$60=T$4)*(GMWQ!$LR$2:$LR$60=T$1),0),$B145-1966)</f>
        <v>90149</v>
      </c>
      <c r="U145" s="7" cm="1">
        <f t="array" ref="U145">INDEX(GMWQ!$A$2:$LR$60,MATCH(1,(GMWQ!$LQ$2:$LQ$60=U$3)*(GMWQ!$LP$2:$LP$60=U$4)*(GMWQ!$LR$2:$LR$60=U$1),0),$B145-1966)</f>
        <v>28111</v>
      </c>
      <c r="V145" s="7" cm="1">
        <f t="array" ref="V145">INDEX(GMWQ!$A$2:$LR$60,MATCH(1,(GMWQ!$LQ$2:$LQ$60=V$3)*(GMWQ!$LP$2:$LP$60=V$4)*(GMWQ!$LR$2:$LR$60=V$1),0),$B145-1966)</f>
        <v>1.7393580000000001E-3</v>
      </c>
      <c r="W145" s="7" cm="1">
        <f t="array" ref="W145">INDEX(GMWQ!$A$2:$LR$60,MATCH(1,(GMWQ!$LQ$2:$LQ$60=W$3)*(GMWQ!$LP$2:$LP$60=W$4)*(GMWQ!$LR$2:$LR$60=W$1),0),$B145-1966)</f>
        <v>24.668230000000001</v>
      </c>
      <c r="X145" s="7" cm="1">
        <f t="array" ref="X145">INDEX(GMWQ!$A$2:$LR$60,MATCH(1,(GMWQ!$LQ$2:$LQ$60=X$3)*(GMWQ!$LP$2:$LP$60=X$4)*(GMWQ!$LR$2:$LR$60=X$1),0),$B145-1966)</f>
        <v>2645138</v>
      </c>
      <c r="Y145" s="7" cm="1">
        <f t="array" ref="Y145">INDEX(GMWQ!$A$2:$LR$60,MATCH(1,(GMWQ!$LQ$2:$LQ$60=Y$3)*(GMWQ!$LP$2:$LP$60=Y$4)*(GMWQ!$LR$2:$LR$60=Y$1),0),$B145-1966)</f>
        <v>80.328720000000004</v>
      </c>
      <c r="Z145" s="7" cm="1">
        <f t="array" ref="Z145">INDEX(GMWQ!$A$2:$LR$60,MATCH(1,(GMWQ!$LQ$2:$LQ$60=Z$3)*(GMWQ!$LP$2:$LP$60=Z$4)*(GMWQ!$LR$2:$LR$60=Z$1),0),$B145-1966)</f>
        <v>472594</v>
      </c>
      <c r="AA145" s="7" cm="1">
        <f t="array" ref="AA145">INDEX(GMWQ!$A$2:$LR$60,MATCH(1,(GMWQ!$LQ$2:$LQ$60=AA$3)*(GMWQ!$LP$2:$LP$60=AA$4)*(GMWQ!$LR$2:$LR$60=AA$1),0),$B145-1966)</f>
        <v>144289</v>
      </c>
      <c r="AB145" s="7" cm="1">
        <f t="array" ref="AB145">INDEX(GMWQ!$A$2:$LR$60,MATCH(1,(GMWQ!$LQ$2:$LQ$60=AB$3)*(GMWQ!$LP$2:$LP$60=AB$4)*(GMWQ!$LR$2:$LR$60=AB$1),0),$B145-1966)</f>
        <v>141796</v>
      </c>
      <c r="AC145" s="7" cm="1">
        <f t="array" ref="AC145">INDEX(GMWQ!$A$2:$LR$60,MATCH(1,(GMWQ!$LQ$2:$LQ$60=AC$3)*(GMWQ!$LP$2:$LP$60=AC$4)*(GMWQ!$LR$2:$LR$60=AC$1),0),$B145-1966)</f>
        <v>5078</v>
      </c>
      <c r="AD145" s="7" cm="1">
        <f t="array" ref="AD145">INDEX(GMWQ!$A$2:$LR$60,MATCH(1,(GMWQ!$LQ$2:$LQ$60=AD$3)*(GMWQ!$LP$2:$LP$60=AD$4)*(GMWQ!$LR$2:$LR$60=AD$1),0),$B145-1966)</f>
        <v>8991</v>
      </c>
      <c r="AE145" s="7" cm="1">
        <f t="array" ref="AE145">INDEX(GMWQ!$A$2:$LR$60,MATCH(1,(GMWQ!$LQ$2:$LQ$60=AE$3)*(GMWQ!$LP$2:$LP$60=AE$4)*(GMWQ!$LR$2:$LR$60=AE$1),0),$B145-1966)</f>
        <v>389228</v>
      </c>
      <c r="AF145" s="20" cm="1">
        <f t="array" ref="AF145">INDEX(GMWQ!$A$2:$LR$60,MATCH(1,(GMWQ!$LQ$2:$LQ$60=AF$3)*(GMWQ!$LP$2:$LP$60=AF$4)*(GMWQ!$LR$2:$LR$60=AF$1),0),$B145-1966)</f>
        <v>5.738461</v>
      </c>
      <c r="AG145" s="20" cm="1">
        <f t="array" ref="AG145">INDEX(GMWQ!$A$2:$LR$60,MATCH(1,(GMWQ!$LQ$2:$LQ$60=AG$3)*(GMWQ!$LP$2:$LP$60=AG$4)*(GMWQ!$LR$2:$LR$60=AG$1),0),$B145-1966)</f>
        <v>-4776</v>
      </c>
      <c r="AI145" s="23" cm="1">
        <f t="array" ref="AI145">INDEX(GMWQ!$A$2:$LR$60,MATCH(1,(GMWQ!$LQ$2:$LQ$60=AI$3)*(GMWQ!$LP$2:$LP$60=AI$4)*(GMWQ!$LR$2:$LR$60=AI$1),0),$B145-1966)</f>
        <v>249052</v>
      </c>
      <c r="AJ145" s="23" cm="1">
        <f t="array" ref="AJ145">INDEX(GMWQ!$A$2:$LR$60,MATCH(1,(GMWQ!$LQ$2:$LQ$60=AJ$3)*(GMWQ!$LP$2:$LP$60=AJ$4)*(GMWQ!$LR$2:$LR$60=AJ$1),0),$B145-1966)</f>
        <v>81.610349999999997</v>
      </c>
      <c r="AK145" s="23" cm="1">
        <f t="array" ref="AK145">INDEX(GMWQ!$A$2:$LR$60,MATCH(1,(GMWQ!$LQ$2:$LQ$60=AK$3)*(GMWQ!$LP$2:$LP$60=AK$4)*(GMWQ!$LR$2:$LR$60=AK$1),0),$B145-1966)</f>
        <v>164131</v>
      </c>
      <c r="AL145" s="23" cm="1">
        <f t="array" ref="AL145">INDEX(GMWQ!$A$2:$LR$60,MATCH(1,(GMWQ!$LQ$2:$LQ$60=AL$3)*(GMWQ!$LP$2:$LP$60=AL$4)*(GMWQ!$LR$2:$LR$60=AL$1),0),$B145-1966)</f>
        <v>6466.942</v>
      </c>
      <c r="AM145" s="23" cm="1">
        <f t="array" ref="AM145">INDEX(GMWQ!$A$2:$LR$60,MATCH(1,(GMWQ!$LQ$2:$LQ$60=AM$3)*(GMWQ!$LP$2:$LP$60=AM$4)*(GMWQ!$LR$2:$LR$60=AM$1),0),$B145-1966)</f>
        <v>25380</v>
      </c>
      <c r="AN145" s="23" cm="1">
        <f t="array" ref="AN145">INDEX(GMWQ!$A$2:$LR$60,MATCH(1,(GMWQ!$LQ$2:$LQ$60=AN$3)*(GMWQ!$LP$2:$LP$60=AN$4)*(GMWQ!$LR$2:$LR$60=AN$1),0),$B145-1966)</f>
        <v>39119</v>
      </c>
      <c r="AO145" s="23" cm="1">
        <f t="array" ref="AO145">INDEX(GMWQ!$A$2:$LR$60,MATCH(1,(GMWQ!$LQ$2:$LQ$60=AO$3)*(GMWQ!$LP$2:$LP$60=AO$4)*(GMWQ!$LR$2:$LR$60=AO$1),0),$B145-1966)</f>
        <v>11442</v>
      </c>
      <c r="AP145" s="23" cm="1">
        <f t="array" ref="AP145">INDEX(GMWQ!$A$2:$LR$60,MATCH(1,(GMWQ!$LQ$2:$LQ$60=AP$3)*(GMWQ!$LP$2:$LP$60=AP$4)*(GMWQ!$LR$2:$LR$60=AP$1),0),$B145-1966)</f>
        <v>-4776</v>
      </c>
      <c r="AQ145" s="23" cm="1">
        <f t="array" ref="AQ145">INDEX(GMWQ!$A$2:$LR$60,MATCH(1,(GMWQ!$LQ$2:$LQ$60=AQ$3)*(GMWQ!$LP$2:$LP$60=AQ$4)*(GMWQ!$LR$2:$LR$60=AQ$1),0),$B145-1966)</f>
        <v>41345</v>
      </c>
      <c r="AR145" s="23" cm="1">
        <f t="array" ref="AR145">INDEX(GMWQ!$A$2:$LR$60,MATCH(1,(GMWQ!$LQ$2:$LQ$60=AR$3)*(GMWQ!$LP$2:$LP$60=AR$4)*(GMWQ!$LR$2:$LR$60=AR$1),0),$B145-1966)</f>
        <v>242142</v>
      </c>
      <c r="AS145" s="23" cm="1">
        <f t="array" ref="AS145">INDEX(GMWQ!$A$2:$LR$60,MATCH(1,(GMWQ!$LQ$2:$LQ$60=AS$3)*(GMWQ!$LP$2:$LP$60=AS$4)*(GMWQ!$LR$2:$LR$60=AS$1),0),$B145-1966)</f>
        <v>7797</v>
      </c>
      <c r="AT145" s="23" cm="1">
        <f t="array" ref="AT145">INDEX(GMWQ!$A$2:$LR$60,MATCH(1,(GMWQ!$LQ$2:$LQ$60=AT$3)*(GMWQ!$LP$2:$LP$60=AT$4)*(GMWQ!$LR$2:$LR$60=AT$1),0),$B145-1966)</f>
        <v>296705</v>
      </c>
      <c r="AU145" s="23" cm="1">
        <f t="array" ref="AU145">INDEX(GMWQ!$A$2:$LR$60,MATCH(1,(GMWQ!$LQ$2:$LQ$60=AU$3)*(GMWQ!$LP$2:$LP$60=AU$4)*(GMWQ!$LR$2:$LR$60=AU$1),0),$B145-1966)</f>
        <v>10260</v>
      </c>
    </row>
    <row r="146" spans="1:47" x14ac:dyDescent="0.35">
      <c r="B146" s="7">
        <f t="shared" si="3"/>
        <v>2112</v>
      </c>
      <c r="C146" s="7" cm="1">
        <f t="array" ref="C146">INDEX(GMWQ!$A$2:$LR$60,MATCH(1,(GMWQ!$LQ$2:$LQ$60=C$3)*(GMWQ!$LP$2:$LP$60=C$4)*(GMWQ!$LR$2:$LR$60=C$1),0),$B146-1966)</f>
        <v>487413</v>
      </c>
      <c r="D146" s="7" cm="1">
        <f t="array" ref="D146">INDEX(GMWQ!$A$2:$LR$60,MATCH(1,(GMWQ!$LQ$2:$LQ$60=D$3)*(GMWQ!$LP$2:$LP$60=D$4)*(GMWQ!$LR$2:$LR$60=D$1),0),$B146-1966)</f>
        <v>425</v>
      </c>
      <c r="E146" s="7" cm="1">
        <f t="array" ref="E146">INDEX(GMWQ!$A$2:$LR$60,MATCH(1,(GMWQ!$LQ$2:$LQ$60=E$3)*(GMWQ!$LP$2:$LP$60=E$4)*(GMWQ!$LR$2:$LR$60=E$1),0),$B146-1966)</f>
        <v>82.6</v>
      </c>
      <c r="F146" s="7" cm="1">
        <f t="array" ref="F146">INDEX(GMWQ!$A$2:$LR$60,MATCH(1,(GMWQ!$LQ$2:$LQ$60=F$3)*(GMWQ!$LP$2:$LP$60=F$4)*(GMWQ!$LR$2:$LR$60=F$1),0),$B146-1966)</f>
        <v>165275</v>
      </c>
      <c r="G146" s="7" cm="1">
        <f t="array" ref="G146">INDEX(GMWQ!$A$2:$LR$60,MATCH(1,(GMWQ!$LQ$2:$LQ$60=G$3)*(GMWQ!$LP$2:$LP$60=G$4)*(GMWQ!$LR$2:$LR$60=G$1),0),$B146-1966)</f>
        <v>40270</v>
      </c>
      <c r="H146" s="7" cm="1">
        <f t="array" ref="H146">INDEX(GMWQ!$A$2:$LR$60,MATCH(1,(GMWQ!$LQ$2:$LQ$60=H$3)*(GMWQ!$LP$2:$LP$60=H$4)*(GMWQ!$LR$2:$LR$60=H$1),0),$B146-1966)</f>
        <v>11452</v>
      </c>
      <c r="I146" s="7" cm="1">
        <f t="array" ref="I146">INDEX(GMWQ!$A$2:$LR$60,MATCH(1,(GMWQ!$LQ$2:$LQ$60=I$3)*(GMWQ!$LP$2:$LP$60=I$4)*(GMWQ!$LR$2:$LR$60=I$1),0),$B146-1966)</f>
        <v>81.83211</v>
      </c>
      <c r="J146" s="7" cm="1">
        <f t="array" ref="J146">INDEX(GMWQ!$A$2:$LR$60,MATCH(1,(GMWQ!$LQ$2:$LQ$60=J$3)*(GMWQ!$LP$2:$LP$60=J$4)*(GMWQ!$LR$2:$LR$60=J$1),0),$B146-1966)</f>
        <v>25521</v>
      </c>
      <c r="K146" s="7" cm="1">
        <f t="array" ref="K146">INDEX(GMWQ!$A$2:$LR$60,MATCH(1,(GMWQ!$LQ$2:$LQ$60=K$3)*(GMWQ!$LP$2:$LP$60=K$4)*(GMWQ!$LR$2:$LR$60=K$1),0),$B146-1966)</f>
        <v>5.5</v>
      </c>
      <c r="L146" s="7" cm="1">
        <f t="array" ref="L146">INDEX(GMWQ!$A$2:$LR$60,MATCH(1,(GMWQ!$LQ$2:$LQ$60=L$3)*(GMWQ!$LP$2:$LP$60=L$4)*(GMWQ!$LR$2:$LR$60=L$1),0),$B146-1966)</f>
        <v>5.2</v>
      </c>
      <c r="M146" s="7" cm="1">
        <f t="array" ref="M146">INDEX(GMWQ!$A$2:$LR$60,MATCH(1,(GMWQ!$LQ$2:$LQ$60=M$3)*(GMWQ!$LP$2:$LP$60=M$4)*(GMWQ!$LR$2:$LR$60=M$1),0),$B146-1966)</f>
        <v>98.388339999999999</v>
      </c>
      <c r="N146" s="7" cm="1">
        <f t="array" ref="N146">INDEX(GMWQ!$A$2:$LR$60,MATCH(1,(GMWQ!$LQ$2:$LQ$60=N$3)*(GMWQ!$LP$2:$LP$60=N$4)*(GMWQ!$LR$2:$LR$60=N$1),0),$B146-1966)</f>
        <v>22182</v>
      </c>
      <c r="O146" s="7" cm="1">
        <f t="array" ref="O146">INDEX(GMWQ!$A$2:$LR$60,MATCH(1,(GMWQ!$LQ$2:$LQ$60=O$3)*(GMWQ!$LP$2:$LP$60=O$4)*(GMWQ!$LR$2:$LR$60=O$1),0),$B146-1966)</f>
        <v>15253</v>
      </c>
      <c r="P146" s="7" cm="1">
        <f t="array" ref="P146">INDEX(GMWQ!$A$2:$LR$60,MATCH(1,(GMWQ!$LQ$2:$LQ$60=P$3)*(GMWQ!$LP$2:$LP$60=P$4)*(GMWQ!$LR$2:$LR$60=P$1),0),$B146-1966)</f>
        <v>249682</v>
      </c>
      <c r="Q146" s="7" cm="1">
        <f t="array" ref="Q146">INDEX(GMWQ!$A$2:$LR$60,MATCH(1,(GMWQ!$LQ$2:$LQ$60=Q$3)*(GMWQ!$LP$2:$LP$60=Q$4)*(GMWQ!$LR$2:$LR$60=Q$1),0),$B146-1966)</f>
        <v>5.95</v>
      </c>
      <c r="R146" s="7" cm="1">
        <f t="array" ref="R146">INDEX(GMWQ!$A$2:$LR$60,MATCH(1,(GMWQ!$LQ$2:$LQ$60=R$3)*(GMWQ!$LP$2:$LP$60=R$4)*(GMWQ!$LR$2:$LR$60=R$1),0),$B146-1966)</f>
        <v>240093</v>
      </c>
      <c r="S146" s="7" cm="1">
        <f t="array" ref="S146">INDEX(GMWQ!$A$2:$LR$60,MATCH(1,(GMWQ!$LQ$2:$LQ$60=S$3)*(GMWQ!$LP$2:$LP$60=S$4)*(GMWQ!$LR$2:$LR$60=S$1),0),$B146-1966)</f>
        <v>402</v>
      </c>
      <c r="T146" s="7" cm="1">
        <f t="array" ref="T146">INDEX(GMWQ!$A$2:$LR$60,MATCH(1,(GMWQ!$LQ$2:$LQ$60=T$3)*(GMWQ!$LP$2:$LP$60=T$4)*(GMWQ!$LR$2:$LR$60=T$1),0),$B146-1966)</f>
        <v>83128</v>
      </c>
      <c r="U146" s="7" cm="1">
        <f t="array" ref="U146">INDEX(GMWQ!$A$2:$LR$60,MATCH(1,(GMWQ!$LQ$2:$LQ$60=U$3)*(GMWQ!$LP$2:$LP$60=U$4)*(GMWQ!$LR$2:$LR$60=U$1),0),$B146-1966)</f>
        <v>21817</v>
      </c>
      <c r="V146" s="7" cm="1">
        <f t="array" ref="V146">INDEX(GMWQ!$A$2:$LR$60,MATCH(1,(GMWQ!$LQ$2:$LQ$60=V$3)*(GMWQ!$LP$2:$LP$60=V$4)*(GMWQ!$LR$2:$LR$60=V$1),0),$B146-1966)</f>
        <v>1.6269120000000001E-3</v>
      </c>
      <c r="W146" s="7" cm="1">
        <f t="array" ref="W146">INDEX(GMWQ!$A$2:$LR$60,MATCH(1,(GMWQ!$LQ$2:$LQ$60=W$3)*(GMWQ!$LP$2:$LP$60=W$4)*(GMWQ!$LR$2:$LR$60=W$1),0),$B146-1966)</f>
        <v>24.72569</v>
      </c>
      <c r="X146" s="7" cm="1">
        <f t="array" ref="X146">INDEX(GMWQ!$A$2:$LR$60,MATCH(1,(GMWQ!$LQ$2:$LQ$60=X$3)*(GMWQ!$LP$2:$LP$60=X$4)*(GMWQ!$LR$2:$LR$60=X$1),0),$B146-1966)</f>
        <v>2666343</v>
      </c>
      <c r="Y146" s="7" cm="1">
        <f t="array" ref="Y146">INDEX(GMWQ!$A$2:$LR$60,MATCH(1,(GMWQ!$LQ$2:$LQ$60=Y$3)*(GMWQ!$LP$2:$LP$60=Y$4)*(GMWQ!$LR$2:$LR$60=Y$1),0),$B146-1966)</f>
        <v>80.434250000000006</v>
      </c>
      <c r="Z146" s="7" cm="1">
        <f t="array" ref="Z146">INDEX(GMWQ!$A$2:$LR$60,MATCH(1,(GMWQ!$LQ$2:$LQ$60=Z$3)*(GMWQ!$LP$2:$LP$60=Z$4)*(GMWQ!$LR$2:$LR$60=Z$1),0),$B146-1966)</f>
        <v>473750.9</v>
      </c>
      <c r="AA146" s="7" cm="1">
        <f t="array" ref="AA146">INDEX(GMWQ!$A$2:$LR$60,MATCH(1,(GMWQ!$LQ$2:$LQ$60=AA$3)*(GMWQ!$LP$2:$LP$60=AA$4)*(GMWQ!$LR$2:$LR$60=AA$1),0),$B146-1966)</f>
        <v>139318</v>
      </c>
      <c r="AB146" s="7" cm="1">
        <f t="array" ref="AB146">INDEX(GMWQ!$A$2:$LR$60,MATCH(1,(GMWQ!$LQ$2:$LQ$60=AB$3)*(GMWQ!$LP$2:$LP$60=AB$4)*(GMWQ!$LR$2:$LR$60=AB$1),0),$B146-1966)</f>
        <v>142266</v>
      </c>
      <c r="AC146" s="7" cm="1">
        <f t="array" ref="AC146">INDEX(GMWQ!$A$2:$LR$60,MATCH(1,(GMWQ!$LQ$2:$LQ$60=AC$3)*(GMWQ!$LP$2:$LP$60=AC$4)*(GMWQ!$LR$2:$LR$60=AC$1),0),$B146-1966)</f>
        <v>6025</v>
      </c>
      <c r="AD146" s="7" cm="1">
        <f t="array" ref="AD146">INDEX(GMWQ!$A$2:$LR$60,MATCH(1,(GMWQ!$LQ$2:$LQ$60=AD$3)*(GMWQ!$LP$2:$LP$60=AD$4)*(GMWQ!$LR$2:$LR$60=AD$1),0),$B146-1966)</f>
        <v>9183</v>
      </c>
      <c r="AE146" s="7" cm="1">
        <f t="array" ref="AE146">INDEX(GMWQ!$A$2:$LR$60,MATCH(1,(GMWQ!$LQ$2:$LQ$60=AE$3)*(GMWQ!$LP$2:$LP$60=AE$4)*(GMWQ!$LR$2:$LR$60=AE$1),0),$B146-1966)</f>
        <v>392047</v>
      </c>
      <c r="AF146" s="20" cm="1">
        <f t="array" ref="AF146">INDEX(GMWQ!$A$2:$LR$60,MATCH(1,(GMWQ!$LQ$2:$LQ$60=AF$3)*(GMWQ!$LP$2:$LP$60=AF$4)*(GMWQ!$LR$2:$LR$60=AF$1),0),$B146-1966)</f>
        <v>5.6818179999999998</v>
      </c>
      <c r="AG146" s="20" cm="1">
        <f t="array" ref="AG146">INDEX(GMWQ!$A$2:$LR$60,MATCH(1,(GMWQ!$LQ$2:$LQ$60=AG$3)*(GMWQ!$LP$2:$LP$60=AG$4)*(GMWQ!$LR$2:$LR$60=AG$1),0),$B146-1966)</f>
        <v>-6928.9989999999998</v>
      </c>
      <c r="AI146" s="23" cm="1">
        <f t="array" ref="AI146">INDEX(GMWQ!$A$2:$LR$60,MATCH(1,(GMWQ!$LQ$2:$LQ$60=AI$3)*(GMWQ!$LP$2:$LP$60=AI$4)*(GMWQ!$LR$2:$LR$60=AI$1),0),$B146-1966)</f>
        <v>249682</v>
      </c>
      <c r="AJ146" s="23" cm="1">
        <f t="array" ref="AJ146">INDEX(GMWQ!$A$2:$LR$60,MATCH(1,(GMWQ!$LQ$2:$LQ$60=AJ$3)*(GMWQ!$LP$2:$LP$60=AJ$4)*(GMWQ!$LR$2:$LR$60=AJ$1),0),$B146-1966)</f>
        <v>81.83211</v>
      </c>
      <c r="AK146" s="23" cm="1">
        <f t="array" ref="AK146">INDEX(GMWQ!$A$2:$LR$60,MATCH(1,(GMWQ!$LQ$2:$LQ$60=AK$3)*(GMWQ!$LP$2:$LP$60=AK$4)*(GMWQ!$LR$2:$LR$60=AK$1),0),$B146-1966)</f>
        <v>165275</v>
      </c>
      <c r="AL146" s="23" cm="1">
        <f t="array" ref="AL146">INDEX(GMWQ!$A$2:$LR$60,MATCH(1,(GMWQ!$LQ$2:$LQ$60=AL$3)*(GMWQ!$LP$2:$LP$60=AL$4)*(GMWQ!$LR$2:$LR$60=AL$1),0),$B146-1966)</f>
        <v>6476.04</v>
      </c>
      <c r="AM146" s="23" cm="1">
        <f t="array" ref="AM146">INDEX(GMWQ!$A$2:$LR$60,MATCH(1,(GMWQ!$LQ$2:$LQ$60=AM$3)*(GMWQ!$LP$2:$LP$60=AM$4)*(GMWQ!$LR$2:$LR$60=AM$1),0),$B146-1966)</f>
        <v>25521</v>
      </c>
      <c r="AN146" s="23" cm="1">
        <f t="array" ref="AN146">INDEX(GMWQ!$A$2:$LR$60,MATCH(1,(GMWQ!$LQ$2:$LQ$60=AN$3)*(GMWQ!$LP$2:$LP$60=AN$4)*(GMWQ!$LR$2:$LR$60=AN$1),0),$B146-1966)</f>
        <v>40270</v>
      </c>
      <c r="AO146" s="23" cm="1">
        <f t="array" ref="AO146">INDEX(GMWQ!$A$2:$LR$60,MATCH(1,(GMWQ!$LQ$2:$LQ$60=AO$3)*(GMWQ!$LP$2:$LP$60=AO$4)*(GMWQ!$LR$2:$LR$60=AO$1),0),$B146-1966)</f>
        <v>11452</v>
      </c>
      <c r="AP146" s="23" cm="1">
        <f t="array" ref="AP146">INDEX(GMWQ!$A$2:$LR$60,MATCH(1,(GMWQ!$LQ$2:$LQ$60=AP$3)*(GMWQ!$LP$2:$LP$60=AP$4)*(GMWQ!$LR$2:$LR$60=AP$1),0),$B146-1966)</f>
        <v>-6928.9989999999998</v>
      </c>
      <c r="AQ146" s="23" cm="1">
        <f t="array" ref="AQ146">INDEX(GMWQ!$A$2:$LR$60,MATCH(1,(GMWQ!$LQ$2:$LQ$60=AQ$3)*(GMWQ!$LP$2:$LP$60=AQ$4)*(GMWQ!$LR$2:$LR$60=AQ$1),0),$B146-1966)</f>
        <v>42132</v>
      </c>
      <c r="AR146" s="23" cm="1">
        <f t="array" ref="AR146">INDEX(GMWQ!$A$2:$LR$60,MATCH(1,(GMWQ!$LQ$2:$LQ$60=AR$3)*(GMWQ!$LP$2:$LP$60=AR$4)*(GMWQ!$LR$2:$LR$60=AR$1),0),$B146-1966)</f>
        <v>242534</v>
      </c>
      <c r="AS146" s="23" cm="1">
        <f t="array" ref="AS146">INDEX(GMWQ!$A$2:$LR$60,MATCH(1,(GMWQ!$LQ$2:$LQ$60=AS$3)*(GMWQ!$LP$2:$LP$60=AS$4)*(GMWQ!$LR$2:$LR$60=AS$1),0),$B146-1966)</f>
        <v>7965</v>
      </c>
      <c r="AT146" s="23" cm="1">
        <f t="array" ref="AT146">INDEX(GMWQ!$A$2:$LR$60,MATCH(1,(GMWQ!$LQ$2:$LQ$60=AT$3)*(GMWQ!$LP$2:$LP$60=AT$4)*(GMWQ!$LR$2:$LR$60=AT$1),0),$B146-1966)</f>
        <v>296380</v>
      </c>
      <c r="AU146" s="23" cm="1">
        <f t="array" ref="AU146">INDEX(GMWQ!$A$2:$LR$60,MATCH(1,(GMWQ!$LQ$2:$LQ$60=AU$3)*(GMWQ!$LP$2:$LP$60=AU$4)*(GMWQ!$LR$2:$LR$60=AU$1),0),$B146-1966)</f>
        <v>10176</v>
      </c>
    </row>
    <row r="147" spans="1:47" x14ac:dyDescent="0.35">
      <c r="A147" s="7">
        <v>2008</v>
      </c>
      <c r="B147" s="7">
        <f t="shared" si="3"/>
        <v>2113</v>
      </c>
      <c r="C147" s="7" cm="1">
        <f t="array" ref="C147">INDEX(GMWQ!$A$2:$LR$60,MATCH(1,(GMWQ!$LQ$2:$LQ$60=C$3)*(GMWQ!$LP$2:$LP$60=C$4)*(GMWQ!$LR$2:$LR$60=C$1),0),$B147-1966)</f>
        <v>489783</v>
      </c>
      <c r="D147" s="7" cm="1">
        <f t="array" ref="D147">INDEX(GMWQ!$A$2:$LR$60,MATCH(1,(GMWQ!$LQ$2:$LQ$60=D$3)*(GMWQ!$LP$2:$LP$60=D$4)*(GMWQ!$LR$2:$LR$60=D$1),0),$B147-1966)</f>
        <v>433.66669999999999</v>
      </c>
      <c r="E147" s="7" cm="1">
        <f t="array" ref="E147">INDEX(GMWQ!$A$2:$LR$60,MATCH(1,(GMWQ!$LQ$2:$LQ$60=E$3)*(GMWQ!$LP$2:$LP$60=E$4)*(GMWQ!$LR$2:$LR$60=E$1),0),$B147-1966)</f>
        <v>82.933329999999998</v>
      </c>
      <c r="F147" s="7" cm="1">
        <f t="array" ref="F147">INDEX(GMWQ!$A$2:$LR$60,MATCH(1,(GMWQ!$LQ$2:$LQ$60=F$3)*(GMWQ!$LP$2:$LP$60=F$4)*(GMWQ!$LR$2:$LR$60=F$1),0),$B147-1966)</f>
        <v>168351</v>
      </c>
      <c r="G147" s="7" cm="1">
        <f t="array" ref="G147">INDEX(GMWQ!$A$2:$LR$60,MATCH(1,(GMWQ!$LQ$2:$LQ$60=G$3)*(GMWQ!$LP$2:$LP$60=G$4)*(GMWQ!$LR$2:$LR$60=G$1),0),$B147-1966)</f>
        <v>41393</v>
      </c>
      <c r="H147" s="7" cm="1">
        <f t="array" ref="H147">INDEX(GMWQ!$A$2:$LR$60,MATCH(1,(GMWQ!$LQ$2:$LQ$60=H$3)*(GMWQ!$LP$2:$LP$60=H$4)*(GMWQ!$LR$2:$LR$60=H$1),0),$B147-1966)</f>
        <v>11886</v>
      </c>
      <c r="I147" s="7" cm="1">
        <f t="array" ref="I147">INDEX(GMWQ!$A$2:$LR$60,MATCH(1,(GMWQ!$LQ$2:$LQ$60=I$3)*(GMWQ!$LP$2:$LP$60=I$4)*(GMWQ!$LR$2:$LR$60=I$1),0),$B147-1966)</f>
        <v>83.038089999999997</v>
      </c>
      <c r="J147" s="7" cm="1">
        <f t="array" ref="J147">INDEX(GMWQ!$A$2:$LR$60,MATCH(1,(GMWQ!$LQ$2:$LQ$60=J$3)*(GMWQ!$LP$2:$LP$60=J$4)*(GMWQ!$LR$2:$LR$60=J$1),0),$B147-1966)</f>
        <v>25582</v>
      </c>
      <c r="K147" s="7" cm="1">
        <f t="array" ref="K147">INDEX(GMWQ!$A$2:$LR$60,MATCH(1,(GMWQ!$LQ$2:$LQ$60=K$3)*(GMWQ!$LP$2:$LP$60=K$4)*(GMWQ!$LR$2:$LR$60=K$1),0),$B147-1966)</f>
        <v>5.25</v>
      </c>
      <c r="L147" s="7" cm="1">
        <f t="array" ref="L147">INDEX(GMWQ!$A$2:$LR$60,MATCH(1,(GMWQ!$LQ$2:$LQ$60=L$3)*(GMWQ!$LP$2:$LP$60=L$4)*(GMWQ!$LR$2:$LR$60=L$1),0),$B147-1966)</f>
        <v>5.2</v>
      </c>
      <c r="M147" s="7" cm="1">
        <f t="array" ref="M147">INDEX(GMWQ!$A$2:$LR$60,MATCH(1,(GMWQ!$LQ$2:$LQ$60=M$3)*(GMWQ!$LP$2:$LP$60=M$4)*(GMWQ!$LR$2:$LR$60=M$1),0),$B147-1966)</f>
        <v>97.202330000000003</v>
      </c>
      <c r="N147" s="7" cm="1">
        <f t="array" ref="N147">INDEX(GMWQ!$A$2:$LR$60,MATCH(1,(GMWQ!$LQ$2:$LQ$60=N$3)*(GMWQ!$LP$2:$LP$60=N$4)*(GMWQ!$LR$2:$LR$60=N$1),0),$B147-1966)</f>
        <v>23242</v>
      </c>
      <c r="O147" s="7" cm="1">
        <f t="array" ref="O147">INDEX(GMWQ!$A$2:$LR$60,MATCH(1,(GMWQ!$LQ$2:$LQ$60=O$3)*(GMWQ!$LP$2:$LP$60=O$4)*(GMWQ!$LR$2:$LR$60=O$1),0),$B147-1966)</f>
        <v>16861</v>
      </c>
      <c r="P147" s="7" cm="1">
        <f t="array" ref="P147">INDEX(GMWQ!$A$2:$LR$60,MATCH(1,(GMWQ!$LQ$2:$LQ$60=P$3)*(GMWQ!$LP$2:$LP$60=P$4)*(GMWQ!$LR$2:$LR$60=P$1),0),$B147-1966)</f>
        <v>249993</v>
      </c>
      <c r="Q147" s="7" cm="1">
        <f t="array" ref="Q147">INDEX(GMWQ!$A$2:$LR$60,MATCH(1,(GMWQ!$LQ$2:$LQ$60=Q$3)*(GMWQ!$LP$2:$LP$60=Q$4)*(GMWQ!$LR$2:$LR$60=Q$1),0),$B147-1966)</f>
        <v>5.8566669999999998</v>
      </c>
      <c r="R147" s="7" cm="1">
        <f t="array" ref="R147">INDEX(GMWQ!$A$2:$LR$60,MATCH(1,(GMWQ!$LQ$2:$LQ$60=R$3)*(GMWQ!$LP$2:$LP$60=R$4)*(GMWQ!$LR$2:$LR$60=R$1),0),$B147-1966)</f>
        <v>202743</v>
      </c>
      <c r="S147" s="7" cm="1">
        <f t="array" ref="S147">INDEX(GMWQ!$A$2:$LR$60,MATCH(1,(GMWQ!$LQ$2:$LQ$60=S$3)*(GMWQ!$LP$2:$LP$60=S$4)*(GMWQ!$LR$2:$LR$60=S$1),0),$B147-1966)</f>
        <v>294.88</v>
      </c>
      <c r="T147" s="7" cm="1">
        <f t="array" ref="T147">INDEX(GMWQ!$A$2:$LR$60,MATCH(1,(GMWQ!$LQ$2:$LQ$60=T$3)*(GMWQ!$LP$2:$LP$60=T$4)*(GMWQ!$LR$2:$LR$60=T$1),0),$B147-1966)</f>
        <v>81126</v>
      </c>
      <c r="U147" s="7" cm="1">
        <f t="array" ref="U147">INDEX(GMWQ!$A$2:$LR$60,MATCH(1,(GMWQ!$LQ$2:$LQ$60=U$3)*(GMWQ!$LP$2:$LP$60=U$4)*(GMWQ!$LR$2:$LR$60=U$1),0),$B147-1966)</f>
        <v>18061</v>
      </c>
      <c r="V147" s="7" cm="1">
        <f t="array" ref="V147">INDEX(GMWQ!$A$2:$LR$60,MATCH(1,(GMWQ!$LQ$2:$LQ$60=V$3)*(GMWQ!$LP$2:$LP$60=V$4)*(GMWQ!$LR$2:$LR$60=V$1),0),$B147-1966)</f>
        <v>1.8023550000000001E-3</v>
      </c>
      <c r="W147" s="7" cm="1">
        <f t="array" ref="W147">INDEX(GMWQ!$A$2:$LR$60,MATCH(1,(GMWQ!$LQ$2:$LQ$60=W$3)*(GMWQ!$LP$2:$LP$60=W$4)*(GMWQ!$LR$2:$LR$60=W$1),0),$B147-1966)</f>
        <v>24.597750000000001</v>
      </c>
      <c r="X147" s="7" cm="1">
        <f t="array" ref="X147">INDEX(GMWQ!$A$2:$LR$60,MATCH(1,(GMWQ!$LQ$2:$LQ$60=X$3)*(GMWQ!$LP$2:$LP$60=X$4)*(GMWQ!$LR$2:$LR$60=X$1),0),$B147-1966)</f>
        <v>2672102</v>
      </c>
      <c r="Y147" s="7" cm="1">
        <f t="array" ref="Y147">INDEX(GMWQ!$A$2:$LR$60,MATCH(1,(GMWQ!$LQ$2:$LQ$60=Y$3)*(GMWQ!$LP$2:$LP$60=Y$4)*(GMWQ!$LR$2:$LR$60=Y$1),0),$B147-1966)</f>
        <v>81.168189999999996</v>
      </c>
      <c r="Z147" s="7" cm="1">
        <f t="array" ref="Z147">INDEX(GMWQ!$A$2:$LR$60,MATCH(1,(GMWQ!$LQ$2:$LQ$60=Z$3)*(GMWQ!$LP$2:$LP$60=Z$4)*(GMWQ!$LR$2:$LR$60=Z$1),0),$B147-1966)</f>
        <v>479765.7</v>
      </c>
      <c r="AA147" s="7" cm="1">
        <f t="array" ref="AA147">INDEX(GMWQ!$A$2:$LR$60,MATCH(1,(GMWQ!$LQ$2:$LQ$60=AA$3)*(GMWQ!$LP$2:$LP$60=AA$4)*(GMWQ!$LR$2:$LR$60=AA$1),0),$B147-1966)</f>
        <v>165171</v>
      </c>
      <c r="AB147" s="7" cm="1">
        <f t="array" ref="AB147">INDEX(GMWQ!$A$2:$LR$60,MATCH(1,(GMWQ!$LQ$2:$LQ$60=AB$3)*(GMWQ!$LP$2:$LP$60=AB$4)*(GMWQ!$LR$2:$LR$60=AB$1),0),$B147-1966)</f>
        <v>144671</v>
      </c>
      <c r="AC147" s="7" cm="1">
        <f t="array" ref="AC147">INDEX(GMWQ!$A$2:$LR$60,MATCH(1,(GMWQ!$LQ$2:$LQ$60=AC$3)*(GMWQ!$LP$2:$LP$60=AC$4)*(GMWQ!$LR$2:$LR$60=AC$1),0),$B147-1966)</f>
        <v>15176</v>
      </c>
      <c r="AD147" s="7" cm="1">
        <f t="array" ref="AD147">INDEX(GMWQ!$A$2:$LR$60,MATCH(1,(GMWQ!$LQ$2:$LQ$60=AD$3)*(GMWQ!$LP$2:$LP$60=AD$4)*(GMWQ!$LR$2:$LR$60=AD$1),0),$B147-1966)</f>
        <v>9463</v>
      </c>
      <c r="AE147" s="7" cm="1">
        <f t="array" ref="AE147">INDEX(GMWQ!$A$2:$LR$60,MATCH(1,(GMWQ!$LQ$2:$LQ$60=AE$3)*(GMWQ!$LP$2:$LP$60=AE$4)*(GMWQ!$LR$2:$LR$60=AE$1),0),$B147-1966)</f>
        <v>397548</v>
      </c>
      <c r="AF147" s="20" cm="1">
        <f t="array" ref="AF147">INDEX(GMWQ!$A$2:$LR$60,MATCH(1,(GMWQ!$LQ$2:$LQ$60=AF$3)*(GMWQ!$LP$2:$LP$60=AF$4)*(GMWQ!$LR$2:$LR$60=AF$1),0),$B147-1966)</f>
        <v>5.3538459999999999</v>
      </c>
      <c r="AG147" s="20" cm="1">
        <f t="array" ref="AG147">INDEX(GMWQ!$A$2:$LR$60,MATCH(1,(GMWQ!$LQ$2:$LQ$60=AG$3)*(GMWQ!$LP$2:$LP$60=AG$4)*(GMWQ!$LR$2:$LR$60=AG$1),0),$B147-1966)</f>
        <v>-6381</v>
      </c>
      <c r="AI147" s="23" cm="1">
        <f t="array" ref="AI147">INDEX(GMWQ!$A$2:$LR$60,MATCH(1,(GMWQ!$LQ$2:$LQ$60=AI$3)*(GMWQ!$LP$2:$LP$60=AI$4)*(GMWQ!$LR$2:$LR$60=AI$1),0),$B147-1966)</f>
        <v>249993</v>
      </c>
      <c r="AJ147" s="23" cm="1">
        <f t="array" ref="AJ147">INDEX(GMWQ!$A$2:$LR$60,MATCH(1,(GMWQ!$LQ$2:$LQ$60=AJ$3)*(GMWQ!$LP$2:$LP$60=AJ$4)*(GMWQ!$LR$2:$LR$60=AJ$1),0),$B147-1966)</f>
        <v>83.038089999999997</v>
      </c>
      <c r="AK147" s="23" cm="1">
        <f t="array" ref="AK147">INDEX(GMWQ!$A$2:$LR$60,MATCH(1,(GMWQ!$LQ$2:$LQ$60=AK$3)*(GMWQ!$LP$2:$LP$60=AK$4)*(GMWQ!$LR$2:$LR$60=AK$1),0),$B147-1966)</f>
        <v>168351</v>
      </c>
      <c r="AL147" s="23" cm="1">
        <f t="array" ref="AL147">INDEX(GMWQ!$A$2:$LR$60,MATCH(1,(GMWQ!$LQ$2:$LQ$60=AL$3)*(GMWQ!$LP$2:$LP$60=AL$4)*(GMWQ!$LR$2:$LR$60=AL$1),0),$B147-1966)</f>
        <v>6580.8379999999997</v>
      </c>
      <c r="AM147" s="23" cm="1">
        <f t="array" ref="AM147">INDEX(GMWQ!$A$2:$LR$60,MATCH(1,(GMWQ!$LQ$2:$LQ$60=AM$3)*(GMWQ!$LP$2:$LP$60=AM$4)*(GMWQ!$LR$2:$LR$60=AM$1),0),$B147-1966)</f>
        <v>25582</v>
      </c>
      <c r="AN147" s="23" cm="1">
        <f t="array" ref="AN147">INDEX(GMWQ!$A$2:$LR$60,MATCH(1,(GMWQ!$LQ$2:$LQ$60=AN$3)*(GMWQ!$LP$2:$LP$60=AN$4)*(GMWQ!$LR$2:$LR$60=AN$1),0),$B147-1966)</f>
        <v>41393</v>
      </c>
      <c r="AO147" s="23" cm="1">
        <f t="array" ref="AO147">INDEX(GMWQ!$A$2:$LR$60,MATCH(1,(GMWQ!$LQ$2:$LQ$60=AO$3)*(GMWQ!$LP$2:$LP$60=AO$4)*(GMWQ!$LR$2:$LR$60=AO$1),0),$B147-1966)</f>
        <v>11886</v>
      </c>
      <c r="AP147" s="23" cm="1">
        <f t="array" ref="AP147">INDEX(GMWQ!$A$2:$LR$60,MATCH(1,(GMWQ!$LQ$2:$LQ$60=AP$3)*(GMWQ!$LP$2:$LP$60=AP$4)*(GMWQ!$LR$2:$LR$60=AP$1),0),$B147-1966)</f>
        <v>-6381</v>
      </c>
      <c r="AQ147" s="23" cm="1">
        <f t="array" ref="AQ147">INDEX(GMWQ!$A$2:$LR$60,MATCH(1,(GMWQ!$LQ$2:$LQ$60=AQ$3)*(GMWQ!$LP$2:$LP$60=AQ$4)*(GMWQ!$LR$2:$LR$60=AQ$1),0),$B147-1966)</f>
        <v>41038</v>
      </c>
      <c r="AR147" s="23" cm="1">
        <f t="array" ref="AR147">INDEX(GMWQ!$A$2:$LR$60,MATCH(1,(GMWQ!$LQ$2:$LQ$60=AR$3)*(GMWQ!$LP$2:$LP$60=AR$4)*(GMWQ!$LR$2:$LR$60=AR$1),0),$B147-1966)</f>
        <v>247309</v>
      </c>
      <c r="AS147" s="23" cm="1">
        <f t="array" ref="AS147">INDEX(GMWQ!$A$2:$LR$60,MATCH(1,(GMWQ!$LQ$2:$LQ$60=AS$3)*(GMWQ!$LP$2:$LP$60=AS$4)*(GMWQ!$LR$2:$LR$60=AS$1),0),$B147-1966)</f>
        <v>8129</v>
      </c>
      <c r="AT147" s="23" cm="1">
        <f t="array" ref="AT147">INDEX(GMWQ!$A$2:$LR$60,MATCH(1,(GMWQ!$LQ$2:$LQ$60=AT$3)*(GMWQ!$LP$2:$LP$60=AT$4)*(GMWQ!$LR$2:$LR$60=AT$1),0),$B147-1966)</f>
        <v>297826</v>
      </c>
      <c r="AU147" s="23" cm="1">
        <f t="array" ref="AU147">INDEX(GMWQ!$A$2:$LR$60,MATCH(1,(GMWQ!$LQ$2:$LQ$60=AU$3)*(GMWQ!$LP$2:$LP$60=AU$4)*(GMWQ!$LR$2:$LR$60=AU$1),0),$B147-1966)</f>
        <v>10278</v>
      </c>
    </row>
    <row r="148" spans="1:47" x14ac:dyDescent="0.35">
      <c r="B148" s="7">
        <f t="shared" si="3"/>
        <v>2114</v>
      </c>
      <c r="C148" s="7" cm="1">
        <f t="array" ref="C148">INDEX(GMWQ!$A$2:$LR$60,MATCH(1,(GMWQ!$LQ$2:$LQ$60=C$3)*(GMWQ!$LP$2:$LP$60=C$4)*(GMWQ!$LR$2:$LR$60=C$1),0),$B148-1966)</f>
        <v>487386</v>
      </c>
      <c r="D148" s="7" cm="1">
        <f t="array" ref="D148">INDEX(GMWQ!$A$2:$LR$60,MATCH(1,(GMWQ!$LQ$2:$LQ$60=D$3)*(GMWQ!$LP$2:$LP$60=D$4)*(GMWQ!$LR$2:$LR$60=D$1),0),$B148-1966)</f>
        <v>433</v>
      </c>
      <c r="E148" s="7" cm="1">
        <f t="array" ref="E148">INDEX(GMWQ!$A$2:$LR$60,MATCH(1,(GMWQ!$LQ$2:$LQ$60=E$3)*(GMWQ!$LP$2:$LP$60=E$4)*(GMWQ!$LR$2:$LR$60=E$1),0),$B148-1966)</f>
        <v>84.6</v>
      </c>
      <c r="F148" s="7" cm="1">
        <f t="array" ref="F148">INDEX(GMWQ!$A$2:$LR$60,MATCH(1,(GMWQ!$LQ$2:$LQ$60=F$3)*(GMWQ!$LP$2:$LP$60=F$4)*(GMWQ!$LR$2:$LR$60=F$1),0),$B148-1966)</f>
        <v>166617</v>
      </c>
      <c r="G148" s="7" cm="1">
        <f t="array" ref="G148">INDEX(GMWQ!$A$2:$LR$60,MATCH(1,(GMWQ!$LQ$2:$LQ$60=G$3)*(GMWQ!$LP$2:$LP$60=G$4)*(GMWQ!$LR$2:$LR$60=G$1),0),$B148-1966)</f>
        <v>38197</v>
      </c>
      <c r="H148" s="7" cm="1">
        <f t="array" ref="H148">INDEX(GMWQ!$A$2:$LR$60,MATCH(1,(GMWQ!$LQ$2:$LQ$60=H$3)*(GMWQ!$LP$2:$LP$60=H$4)*(GMWQ!$LR$2:$LR$60=H$1),0),$B148-1966)</f>
        <v>11924</v>
      </c>
      <c r="I148" s="7" cm="1">
        <f t="array" ref="I148">INDEX(GMWQ!$A$2:$LR$60,MATCH(1,(GMWQ!$LQ$2:$LQ$60=I$3)*(GMWQ!$LP$2:$LP$60=I$4)*(GMWQ!$LR$2:$LR$60=I$1),0),$B148-1966)</f>
        <v>84.276949999999999</v>
      </c>
      <c r="J148" s="7" cm="1">
        <f t="array" ref="J148">INDEX(GMWQ!$A$2:$LR$60,MATCH(1,(GMWQ!$LQ$2:$LQ$60=J$3)*(GMWQ!$LP$2:$LP$60=J$4)*(GMWQ!$LR$2:$LR$60=J$1),0),$B148-1966)</f>
        <v>25641</v>
      </c>
      <c r="K148" s="7" cm="1">
        <f t="array" ref="K148">INDEX(GMWQ!$A$2:$LR$60,MATCH(1,(GMWQ!$LQ$2:$LQ$60=K$3)*(GMWQ!$LP$2:$LP$60=K$4)*(GMWQ!$LR$2:$LR$60=K$1),0),$B148-1966)</f>
        <v>5</v>
      </c>
      <c r="L148" s="7" cm="1">
        <f t="array" ref="L148">INDEX(GMWQ!$A$2:$LR$60,MATCH(1,(GMWQ!$LQ$2:$LQ$60=L$3)*(GMWQ!$LP$2:$LP$60=L$4)*(GMWQ!$LR$2:$LR$60=L$1),0),$B148-1966)</f>
        <v>5.4</v>
      </c>
      <c r="M148" s="7" cm="1">
        <f t="array" ref="M148">INDEX(GMWQ!$A$2:$LR$60,MATCH(1,(GMWQ!$LQ$2:$LQ$60=M$3)*(GMWQ!$LP$2:$LP$60=M$4)*(GMWQ!$LR$2:$LR$60=M$1),0),$B148-1966)</f>
        <v>95.079669999999993</v>
      </c>
      <c r="N148" s="7" cm="1">
        <f t="array" ref="N148">INDEX(GMWQ!$A$2:$LR$60,MATCH(1,(GMWQ!$LQ$2:$LQ$60=N$3)*(GMWQ!$LP$2:$LP$60=N$4)*(GMWQ!$LR$2:$LR$60=N$1),0),$B148-1966)</f>
        <v>22783</v>
      </c>
      <c r="O148" s="7" cm="1">
        <f t="array" ref="O148">INDEX(GMWQ!$A$2:$LR$60,MATCH(1,(GMWQ!$LQ$2:$LQ$60=O$3)*(GMWQ!$LP$2:$LP$60=O$4)*(GMWQ!$LR$2:$LR$60=O$1),0),$B148-1966)</f>
        <v>16569</v>
      </c>
      <c r="P148" s="7" cm="1">
        <f t="array" ref="P148">INDEX(GMWQ!$A$2:$LR$60,MATCH(1,(GMWQ!$LQ$2:$LQ$60=P$3)*(GMWQ!$LP$2:$LP$60=P$4)*(GMWQ!$LR$2:$LR$60=P$1),0),$B148-1966)</f>
        <v>256308</v>
      </c>
      <c r="Q148" s="7" cm="1">
        <f t="array" ref="Q148">INDEX(GMWQ!$A$2:$LR$60,MATCH(1,(GMWQ!$LQ$2:$LQ$60=Q$3)*(GMWQ!$LP$2:$LP$60=Q$4)*(GMWQ!$LR$2:$LR$60=Q$1),0),$B148-1966)</f>
        <v>5.7633330000000003</v>
      </c>
      <c r="R148" s="7" cm="1">
        <f t="array" ref="R148">INDEX(GMWQ!$A$2:$LR$60,MATCH(1,(GMWQ!$LQ$2:$LQ$60=R$3)*(GMWQ!$LP$2:$LP$60=R$4)*(GMWQ!$LR$2:$LR$60=R$1),0),$B148-1966)</f>
        <v>133074</v>
      </c>
      <c r="S148" s="7" cm="1">
        <f t="array" ref="S148">INDEX(GMWQ!$A$2:$LR$60,MATCH(1,(GMWQ!$LQ$2:$LQ$60=S$3)*(GMWQ!$LP$2:$LP$60=S$4)*(GMWQ!$LR$2:$LR$60=S$1),0),$B148-1966)</f>
        <v>259.33</v>
      </c>
      <c r="T148" s="7" cm="1">
        <f t="array" ref="T148">INDEX(GMWQ!$A$2:$LR$60,MATCH(1,(GMWQ!$LQ$2:$LQ$60=T$3)*(GMWQ!$LP$2:$LP$60=T$4)*(GMWQ!$LR$2:$LR$60=T$1),0),$B148-1966)</f>
        <v>70661</v>
      </c>
      <c r="U148" s="7" cm="1">
        <f t="array" ref="U148">INDEX(GMWQ!$A$2:$LR$60,MATCH(1,(GMWQ!$LQ$2:$LQ$60=U$3)*(GMWQ!$LP$2:$LP$60=U$4)*(GMWQ!$LR$2:$LR$60=U$1),0),$B148-1966)</f>
        <v>11042</v>
      </c>
      <c r="V148" s="7" cm="1">
        <f t="array" ref="V148">INDEX(GMWQ!$A$2:$LR$60,MATCH(1,(GMWQ!$LQ$2:$LQ$60=V$3)*(GMWQ!$LP$2:$LP$60=V$4)*(GMWQ!$LR$2:$LR$60=V$1),0),$B148-1966)</f>
        <v>1.9619220000000001E-3</v>
      </c>
      <c r="W148" s="7" cm="1">
        <f t="array" ref="W148">INDEX(GMWQ!$A$2:$LR$60,MATCH(1,(GMWQ!$LQ$2:$LQ$60=W$3)*(GMWQ!$LP$2:$LP$60=W$4)*(GMWQ!$LR$2:$LR$60=W$1),0),$B148-1966)</f>
        <v>23.56495</v>
      </c>
      <c r="X148" s="7" cm="1">
        <f t="array" ref="X148">INDEX(GMWQ!$A$2:$LR$60,MATCH(1,(GMWQ!$LQ$2:$LQ$60=X$3)*(GMWQ!$LP$2:$LP$60=X$4)*(GMWQ!$LR$2:$LR$60=X$1),0),$B148-1966)</f>
        <v>2732427</v>
      </c>
      <c r="Y148" s="7" cm="1">
        <f t="array" ref="Y148">INDEX(GMWQ!$A$2:$LR$60,MATCH(1,(GMWQ!$LQ$2:$LQ$60=Y$3)*(GMWQ!$LP$2:$LP$60=Y$4)*(GMWQ!$LR$2:$LR$60=Y$1),0),$B148-1966)</f>
        <v>82.251239999999996</v>
      </c>
      <c r="Z148" s="7" cm="1">
        <f t="array" ref="Z148">INDEX(GMWQ!$A$2:$LR$60,MATCH(1,(GMWQ!$LQ$2:$LQ$60=Z$3)*(GMWQ!$LP$2:$LP$60=Z$4)*(GMWQ!$LR$2:$LR$60=Z$1),0),$B148-1966)</f>
        <v>478400.9</v>
      </c>
      <c r="AA148" s="7" cm="1">
        <f t="array" ref="AA148">INDEX(GMWQ!$A$2:$LR$60,MATCH(1,(GMWQ!$LQ$2:$LQ$60=AA$3)*(GMWQ!$LP$2:$LP$60=AA$4)*(GMWQ!$LR$2:$LR$60=AA$1),0),$B148-1966)</f>
        <v>138274</v>
      </c>
      <c r="AB148" s="7" cm="1">
        <f t="array" ref="AB148">INDEX(GMWQ!$A$2:$LR$60,MATCH(1,(GMWQ!$LQ$2:$LQ$60=AB$3)*(GMWQ!$LP$2:$LP$60=AB$4)*(GMWQ!$LR$2:$LR$60=AB$1),0),$B148-1966)</f>
        <v>145613</v>
      </c>
      <c r="AC148" s="7" cm="1">
        <f t="array" ref="AC148">INDEX(GMWQ!$A$2:$LR$60,MATCH(1,(GMWQ!$LQ$2:$LQ$60=AC$3)*(GMWQ!$LP$2:$LP$60=AC$4)*(GMWQ!$LR$2:$LR$60=AC$1),0),$B148-1966)</f>
        <v>4344</v>
      </c>
      <c r="AD148" s="7" cm="1">
        <f t="array" ref="AD148">INDEX(GMWQ!$A$2:$LR$60,MATCH(1,(GMWQ!$LQ$2:$LQ$60=AD$3)*(GMWQ!$LP$2:$LP$60=AD$4)*(GMWQ!$LR$2:$LR$60=AD$1),0),$B148-1966)</f>
        <v>9584</v>
      </c>
      <c r="AE148" s="7" cm="1">
        <f t="array" ref="AE148">INDEX(GMWQ!$A$2:$LR$60,MATCH(1,(GMWQ!$LQ$2:$LQ$60=AE$3)*(GMWQ!$LP$2:$LP$60=AE$4)*(GMWQ!$LR$2:$LR$60=AE$1),0),$B148-1966)</f>
        <v>400881</v>
      </c>
      <c r="AF148" s="20" cm="1">
        <f t="array" ref="AF148">INDEX(GMWQ!$A$2:$LR$60,MATCH(1,(GMWQ!$LQ$2:$LQ$60=AF$3)*(GMWQ!$LP$2:$LP$60=AF$4)*(GMWQ!$LR$2:$LR$60=AF$1),0),$B148-1966)</f>
        <v>5.026923</v>
      </c>
      <c r="AG148" s="20" cm="1">
        <f t="array" ref="AG148">INDEX(GMWQ!$A$2:$LR$60,MATCH(1,(GMWQ!$LQ$2:$LQ$60=AG$3)*(GMWQ!$LP$2:$LP$60=AG$4)*(GMWQ!$LR$2:$LR$60=AG$1),0),$B148-1966)</f>
        <v>-6214</v>
      </c>
      <c r="AI148" s="23" cm="1">
        <f t="array" ref="AI148">INDEX(GMWQ!$A$2:$LR$60,MATCH(1,(GMWQ!$LQ$2:$LQ$60=AI$3)*(GMWQ!$LP$2:$LP$60=AI$4)*(GMWQ!$LR$2:$LR$60=AI$1),0),$B148-1966)</f>
        <v>256308</v>
      </c>
      <c r="AJ148" s="23" cm="1">
        <f t="array" ref="AJ148">INDEX(GMWQ!$A$2:$LR$60,MATCH(1,(GMWQ!$LQ$2:$LQ$60=AJ$3)*(GMWQ!$LP$2:$LP$60=AJ$4)*(GMWQ!$LR$2:$LR$60=AJ$1),0),$B148-1966)</f>
        <v>84.276949999999999</v>
      </c>
      <c r="AK148" s="23" cm="1">
        <f t="array" ref="AK148">INDEX(GMWQ!$A$2:$LR$60,MATCH(1,(GMWQ!$LQ$2:$LQ$60=AK$3)*(GMWQ!$LP$2:$LP$60=AK$4)*(GMWQ!$LR$2:$LR$60=AK$1),0),$B148-1966)</f>
        <v>166617</v>
      </c>
      <c r="AL148" s="23" cm="1">
        <f t="array" ref="AL148">INDEX(GMWQ!$A$2:$LR$60,MATCH(1,(GMWQ!$LQ$2:$LQ$60=AL$3)*(GMWQ!$LP$2:$LP$60=AL$4)*(GMWQ!$LR$2:$LR$60=AL$1),0),$B148-1966)</f>
        <v>6498.0690000000004</v>
      </c>
      <c r="AM148" s="23" cm="1">
        <f t="array" ref="AM148">INDEX(GMWQ!$A$2:$LR$60,MATCH(1,(GMWQ!$LQ$2:$LQ$60=AM$3)*(GMWQ!$LP$2:$LP$60=AM$4)*(GMWQ!$LR$2:$LR$60=AM$1),0),$B148-1966)</f>
        <v>25641</v>
      </c>
      <c r="AN148" s="23" cm="1">
        <f t="array" ref="AN148">INDEX(GMWQ!$A$2:$LR$60,MATCH(1,(GMWQ!$LQ$2:$LQ$60=AN$3)*(GMWQ!$LP$2:$LP$60=AN$4)*(GMWQ!$LR$2:$LR$60=AN$1),0),$B148-1966)</f>
        <v>38197</v>
      </c>
      <c r="AO148" s="23" cm="1">
        <f t="array" ref="AO148">INDEX(GMWQ!$A$2:$LR$60,MATCH(1,(GMWQ!$LQ$2:$LQ$60=AO$3)*(GMWQ!$LP$2:$LP$60=AO$4)*(GMWQ!$LR$2:$LR$60=AO$1),0),$B148-1966)</f>
        <v>11924</v>
      </c>
      <c r="AP148" s="23" cm="1">
        <f t="array" ref="AP148">INDEX(GMWQ!$A$2:$LR$60,MATCH(1,(GMWQ!$LQ$2:$LQ$60=AP$3)*(GMWQ!$LP$2:$LP$60=AP$4)*(GMWQ!$LR$2:$LR$60=AP$1),0),$B148-1966)</f>
        <v>-6214</v>
      </c>
      <c r="AQ148" s="23" cm="1">
        <f t="array" ref="AQ148">INDEX(GMWQ!$A$2:$LR$60,MATCH(1,(GMWQ!$LQ$2:$LQ$60=AQ$3)*(GMWQ!$LP$2:$LP$60=AQ$4)*(GMWQ!$LR$2:$LR$60=AQ$1),0),$B148-1966)</f>
        <v>43669</v>
      </c>
      <c r="AR148" s="23" cm="1">
        <f t="array" ref="AR148">INDEX(GMWQ!$A$2:$LR$60,MATCH(1,(GMWQ!$LQ$2:$LQ$60=AR$3)*(GMWQ!$LP$2:$LP$60=AR$4)*(GMWQ!$LR$2:$LR$60=AR$1),0),$B148-1966)</f>
        <v>247754</v>
      </c>
      <c r="AS148" s="23" cm="1">
        <f t="array" ref="AS148">INDEX(GMWQ!$A$2:$LR$60,MATCH(1,(GMWQ!$LQ$2:$LQ$60=AS$3)*(GMWQ!$LP$2:$LP$60=AS$4)*(GMWQ!$LR$2:$LR$60=AS$1),0),$B148-1966)</f>
        <v>8387</v>
      </c>
      <c r="AT148" s="23" cm="1">
        <f t="array" ref="AT148">INDEX(GMWQ!$A$2:$LR$60,MATCH(1,(GMWQ!$LQ$2:$LQ$60=AT$3)*(GMWQ!$LP$2:$LP$60=AT$4)*(GMWQ!$LR$2:$LR$60=AT$1),0),$B148-1966)</f>
        <v>293976</v>
      </c>
      <c r="AU148" s="23" cm="1">
        <f t="array" ref="AU148">INDEX(GMWQ!$A$2:$LR$60,MATCH(1,(GMWQ!$LQ$2:$LQ$60=AU$3)*(GMWQ!$LP$2:$LP$60=AU$4)*(GMWQ!$LR$2:$LR$60=AU$1),0),$B148-1966)</f>
        <v>10518</v>
      </c>
    </row>
    <row r="149" spans="1:47" x14ac:dyDescent="0.35">
      <c r="B149" s="7">
        <f t="shared" si="3"/>
        <v>2115</v>
      </c>
      <c r="C149" s="7" cm="1">
        <f t="array" ref="C149">INDEX(GMWQ!$A$2:$LR$60,MATCH(1,(GMWQ!$LQ$2:$LQ$60=C$3)*(GMWQ!$LP$2:$LP$60=C$4)*(GMWQ!$LR$2:$LR$60=C$1),0),$B149-1966)</f>
        <v>479872</v>
      </c>
      <c r="D149" s="7" cm="1">
        <f t="array" ref="D149">INDEX(GMWQ!$A$2:$LR$60,MATCH(1,(GMWQ!$LQ$2:$LQ$60=D$3)*(GMWQ!$LP$2:$LP$60=D$4)*(GMWQ!$LR$2:$LR$60=D$1),0),$B149-1966)</f>
        <v>434.66669999999999</v>
      </c>
      <c r="E149" s="7" cm="1">
        <f t="array" ref="E149">INDEX(GMWQ!$A$2:$LR$60,MATCH(1,(GMWQ!$LQ$2:$LQ$60=E$3)*(GMWQ!$LP$2:$LP$60=E$4)*(GMWQ!$LR$2:$LR$60=E$1),0),$B149-1966)</f>
        <v>85.633330000000001</v>
      </c>
      <c r="F149" s="7" cm="1">
        <f t="array" ref="F149">INDEX(GMWQ!$A$2:$LR$60,MATCH(1,(GMWQ!$LQ$2:$LQ$60=F$3)*(GMWQ!$LP$2:$LP$60=F$4)*(GMWQ!$LR$2:$LR$60=F$1),0),$B149-1966)</f>
        <v>166080</v>
      </c>
      <c r="G149" s="7" cm="1">
        <f t="array" ref="G149">INDEX(GMWQ!$A$2:$LR$60,MATCH(1,(GMWQ!$LQ$2:$LQ$60=G$3)*(GMWQ!$LP$2:$LP$60=G$4)*(GMWQ!$LR$2:$LR$60=G$1),0),$B149-1966)</f>
        <v>40676</v>
      </c>
      <c r="H149" s="7" cm="1">
        <f t="array" ref="H149">INDEX(GMWQ!$A$2:$LR$60,MATCH(1,(GMWQ!$LQ$2:$LQ$60=H$3)*(GMWQ!$LP$2:$LP$60=H$4)*(GMWQ!$LR$2:$LR$60=H$1),0),$B149-1966)</f>
        <v>12128</v>
      </c>
      <c r="I149" s="7" cm="1">
        <f t="array" ref="I149">INDEX(GMWQ!$A$2:$LR$60,MATCH(1,(GMWQ!$LQ$2:$LQ$60=I$3)*(GMWQ!$LP$2:$LP$60=I$4)*(GMWQ!$LR$2:$LR$60=I$1),0),$B149-1966)</f>
        <v>85.554150000000007</v>
      </c>
      <c r="J149" s="7" cm="1">
        <f t="array" ref="J149">INDEX(GMWQ!$A$2:$LR$60,MATCH(1,(GMWQ!$LQ$2:$LQ$60=J$3)*(GMWQ!$LP$2:$LP$60=J$4)*(GMWQ!$LR$2:$LR$60=J$1),0),$B149-1966)</f>
        <v>25566</v>
      </c>
      <c r="K149" s="7" cm="1">
        <f t="array" ref="K149">INDEX(GMWQ!$A$2:$LR$60,MATCH(1,(GMWQ!$LQ$2:$LQ$60=K$3)*(GMWQ!$LP$2:$LP$60=K$4)*(GMWQ!$LR$2:$LR$60=K$1),0),$B149-1966)</f>
        <v>5</v>
      </c>
      <c r="L149" s="7" cm="1">
        <f t="array" ref="L149">INDEX(GMWQ!$A$2:$LR$60,MATCH(1,(GMWQ!$LQ$2:$LQ$60=L$3)*(GMWQ!$LP$2:$LP$60=L$4)*(GMWQ!$LR$2:$LR$60=L$1),0),$B149-1966)</f>
        <v>5.9</v>
      </c>
      <c r="M149" s="7" cm="1">
        <f t="array" ref="M149">INDEX(GMWQ!$A$2:$LR$60,MATCH(1,(GMWQ!$LQ$2:$LQ$60=M$3)*(GMWQ!$LP$2:$LP$60=M$4)*(GMWQ!$LR$2:$LR$60=M$1),0),$B149-1966)</f>
        <v>90.24033</v>
      </c>
      <c r="N149" s="7" cm="1">
        <f t="array" ref="N149">INDEX(GMWQ!$A$2:$LR$60,MATCH(1,(GMWQ!$LQ$2:$LQ$60=N$3)*(GMWQ!$LP$2:$LP$60=N$4)*(GMWQ!$LR$2:$LR$60=N$1),0),$B149-1966)</f>
        <v>22781</v>
      </c>
      <c r="O149" s="7" cm="1">
        <f t="array" ref="O149">INDEX(GMWQ!$A$2:$LR$60,MATCH(1,(GMWQ!$LQ$2:$LQ$60=O$3)*(GMWQ!$LP$2:$LP$60=O$4)*(GMWQ!$LR$2:$LR$60=O$1),0),$B149-1966)</f>
        <v>17025</v>
      </c>
      <c r="P149" s="7" cm="1">
        <f t="array" ref="P149">INDEX(GMWQ!$A$2:$LR$60,MATCH(1,(GMWQ!$LQ$2:$LQ$60=P$3)*(GMWQ!$LP$2:$LP$60=P$4)*(GMWQ!$LR$2:$LR$60=P$1),0),$B149-1966)</f>
        <v>255855</v>
      </c>
      <c r="Q149" s="7" cm="1">
        <f t="array" ref="Q149">INDEX(GMWQ!$A$2:$LR$60,MATCH(1,(GMWQ!$LQ$2:$LQ$60=Q$3)*(GMWQ!$LP$2:$LP$60=Q$4)*(GMWQ!$LR$2:$LR$60=Q$1),0),$B149-1966)</f>
        <v>5.7966670000000002</v>
      </c>
      <c r="R149" s="7" cm="1">
        <f t="array" ref="R149">INDEX(GMWQ!$A$2:$LR$60,MATCH(1,(GMWQ!$LQ$2:$LQ$60=R$3)*(GMWQ!$LP$2:$LP$60=R$4)*(GMWQ!$LR$2:$LR$60=R$1),0),$B149-1966)</f>
        <v>97961</v>
      </c>
      <c r="S149" s="7" cm="1">
        <f t="array" ref="S149">INDEX(GMWQ!$A$2:$LR$60,MATCH(1,(GMWQ!$LQ$2:$LQ$60=S$3)*(GMWQ!$LP$2:$LP$60=S$4)*(GMWQ!$LR$2:$LR$60=S$1),0),$B149-1966)</f>
        <v>187.81</v>
      </c>
      <c r="T149" s="7" cm="1">
        <f t="array" ref="T149">INDEX(GMWQ!$A$2:$LR$60,MATCH(1,(GMWQ!$LQ$2:$LQ$60=T$3)*(GMWQ!$LP$2:$LP$60=T$4)*(GMWQ!$LR$2:$LR$60=T$1),0),$B149-1966)</f>
        <v>54015</v>
      </c>
      <c r="U149" s="7" cm="1">
        <f t="array" ref="U149">INDEX(GMWQ!$A$2:$LR$60,MATCH(1,(GMWQ!$LQ$2:$LQ$60=U$3)*(GMWQ!$LP$2:$LP$60=U$4)*(GMWQ!$LR$2:$LR$60=U$1),0),$B149-1966)</f>
        <v>4449</v>
      </c>
      <c r="V149" s="7" cm="1">
        <f t="array" ref="V149">INDEX(GMWQ!$A$2:$LR$60,MATCH(1,(GMWQ!$LQ$2:$LQ$60=V$3)*(GMWQ!$LP$2:$LP$60=V$4)*(GMWQ!$LR$2:$LR$60=V$1),0),$B149-1966)</f>
        <v>2.2690190000000002E-3</v>
      </c>
      <c r="W149" s="7" cm="1">
        <f t="array" ref="W149">INDEX(GMWQ!$A$2:$LR$60,MATCH(1,(GMWQ!$LQ$2:$LQ$60=W$3)*(GMWQ!$LP$2:$LP$60=W$4)*(GMWQ!$LR$2:$LR$60=W$1),0),$B149-1966)</f>
        <v>22.342839999999999</v>
      </c>
      <c r="X149" s="7" cm="1">
        <f t="array" ref="X149">INDEX(GMWQ!$A$2:$LR$60,MATCH(1,(GMWQ!$LQ$2:$LQ$60=X$3)*(GMWQ!$LP$2:$LP$60=X$4)*(GMWQ!$LR$2:$LR$60=X$1),0),$B149-1966)</f>
        <v>2733724</v>
      </c>
      <c r="Y149" s="7" cm="1">
        <f t="array" ref="Y149">INDEX(GMWQ!$A$2:$LR$60,MATCH(1,(GMWQ!$LQ$2:$LQ$60=Y$3)*(GMWQ!$LP$2:$LP$60=Y$4)*(GMWQ!$LR$2:$LR$60=Y$1),0),$B149-1966)</f>
        <v>83.349310000000003</v>
      </c>
      <c r="Z149" s="7" cm="1">
        <f t="array" ref="Z149">INDEX(GMWQ!$A$2:$LR$60,MATCH(1,(GMWQ!$LQ$2:$LQ$60=Z$3)*(GMWQ!$LP$2:$LP$60=Z$4)*(GMWQ!$LR$2:$LR$60=Z$1),0),$B149-1966)</f>
        <v>481938.3</v>
      </c>
      <c r="AA149" s="7" cm="1">
        <f t="array" ref="AA149">INDEX(GMWQ!$A$2:$LR$60,MATCH(1,(GMWQ!$LQ$2:$LQ$60=AA$3)*(GMWQ!$LP$2:$LP$60=AA$4)*(GMWQ!$LR$2:$LR$60=AA$1),0),$B149-1966)</f>
        <v>145812</v>
      </c>
      <c r="AB149" s="7" cm="1">
        <f t="array" ref="AB149">INDEX(GMWQ!$A$2:$LR$60,MATCH(1,(GMWQ!$LQ$2:$LQ$60=AB$3)*(GMWQ!$LP$2:$LP$60=AB$4)*(GMWQ!$LR$2:$LR$60=AB$1),0),$B149-1966)</f>
        <v>150789</v>
      </c>
      <c r="AC149" s="7" cm="1">
        <f t="array" ref="AC149">INDEX(GMWQ!$A$2:$LR$60,MATCH(1,(GMWQ!$LQ$2:$LQ$60=AC$3)*(GMWQ!$LP$2:$LP$60=AC$4)*(GMWQ!$LR$2:$LR$60=AC$1),0),$B149-1966)</f>
        <v>10688</v>
      </c>
      <c r="AD149" s="7" cm="1">
        <f t="array" ref="AD149">INDEX(GMWQ!$A$2:$LR$60,MATCH(1,(GMWQ!$LQ$2:$LQ$60=AD$3)*(GMWQ!$LP$2:$LP$60=AD$4)*(GMWQ!$LR$2:$LR$60=AD$1),0),$B149-1966)</f>
        <v>9907</v>
      </c>
      <c r="AE149" s="7" cm="1">
        <f t="array" ref="AE149">INDEX(GMWQ!$A$2:$LR$60,MATCH(1,(GMWQ!$LQ$2:$LQ$60=AE$3)*(GMWQ!$LP$2:$LP$60=AE$4)*(GMWQ!$LR$2:$LR$60=AE$1),0),$B149-1966)</f>
        <v>399970</v>
      </c>
      <c r="AF149" s="20" cm="1">
        <f t="array" ref="AF149">INDEX(GMWQ!$A$2:$LR$60,MATCH(1,(GMWQ!$LQ$2:$LQ$60=AF$3)*(GMWQ!$LP$2:$LP$60=AF$4)*(GMWQ!$LR$2:$LR$60=AF$1),0),$B149-1966)</f>
        <v>5</v>
      </c>
      <c r="AG149" s="20" cm="1">
        <f t="array" ref="AG149">INDEX(GMWQ!$A$2:$LR$60,MATCH(1,(GMWQ!$LQ$2:$LQ$60=AG$3)*(GMWQ!$LP$2:$LP$60=AG$4)*(GMWQ!$LR$2:$LR$60=AG$1),0),$B149-1966)</f>
        <v>-5756</v>
      </c>
      <c r="AI149" s="23" cm="1">
        <f t="array" ref="AI149">INDEX(GMWQ!$A$2:$LR$60,MATCH(1,(GMWQ!$LQ$2:$LQ$60=AI$3)*(GMWQ!$LP$2:$LP$60=AI$4)*(GMWQ!$LR$2:$LR$60=AI$1),0),$B149-1966)</f>
        <v>255855</v>
      </c>
      <c r="AJ149" s="23" cm="1">
        <f t="array" ref="AJ149">INDEX(GMWQ!$A$2:$LR$60,MATCH(1,(GMWQ!$LQ$2:$LQ$60=AJ$3)*(GMWQ!$LP$2:$LP$60=AJ$4)*(GMWQ!$LR$2:$LR$60=AJ$1),0),$B149-1966)</f>
        <v>85.554150000000007</v>
      </c>
      <c r="AK149" s="23" cm="1">
        <f t="array" ref="AK149">INDEX(GMWQ!$A$2:$LR$60,MATCH(1,(GMWQ!$LQ$2:$LQ$60=AK$3)*(GMWQ!$LP$2:$LP$60=AK$4)*(GMWQ!$LR$2:$LR$60=AK$1),0),$B149-1966)</f>
        <v>166080</v>
      </c>
      <c r="AL149" s="23" cm="1">
        <f t="array" ref="AL149">INDEX(GMWQ!$A$2:$LR$60,MATCH(1,(GMWQ!$LQ$2:$LQ$60=AL$3)*(GMWQ!$LP$2:$LP$60=AL$4)*(GMWQ!$LR$2:$LR$60=AL$1),0),$B149-1966)</f>
        <v>6496.1270000000004</v>
      </c>
      <c r="AM149" s="23" cm="1">
        <f t="array" ref="AM149">INDEX(GMWQ!$A$2:$LR$60,MATCH(1,(GMWQ!$LQ$2:$LQ$60=AM$3)*(GMWQ!$LP$2:$LP$60=AM$4)*(GMWQ!$LR$2:$LR$60=AM$1),0),$B149-1966)</f>
        <v>25566</v>
      </c>
      <c r="AN149" s="23" cm="1">
        <f t="array" ref="AN149">INDEX(GMWQ!$A$2:$LR$60,MATCH(1,(GMWQ!$LQ$2:$LQ$60=AN$3)*(GMWQ!$LP$2:$LP$60=AN$4)*(GMWQ!$LR$2:$LR$60=AN$1),0),$B149-1966)</f>
        <v>40676</v>
      </c>
      <c r="AO149" s="23" cm="1">
        <f t="array" ref="AO149">INDEX(GMWQ!$A$2:$LR$60,MATCH(1,(GMWQ!$LQ$2:$LQ$60=AO$3)*(GMWQ!$LP$2:$LP$60=AO$4)*(GMWQ!$LR$2:$LR$60=AO$1),0),$B149-1966)</f>
        <v>12128</v>
      </c>
      <c r="AP149" s="23" cm="1">
        <f t="array" ref="AP149">INDEX(GMWQ!$A$2:$LR$60,MATCH(1,(GMWQ!$LQ$2:$LQ$60=AP$3)*(GMWQ!$LP$2:$LP$60=AP$4)*(GMWQ!$LR$2:$LR$60=AP$1),0),$B149-1966)</f>
        <v>-5756</v>
      </c>
      <c r="AQ149" s="23" cm="1">
        <f t="array" ref="AQ149">INDEX(GMWQ!$A$2:$LR$60,MATCH(1,(GMWQ!$LQ$2:$LQ$60=AQ$3)*(GMWQ!$LP$2:$LP$60=AQ$4)*(GMWQ!$LR$2:$LR$60=AQ$1),0),$B149-1966)</f>
        <v>44735</v>
      </c>
      <c r="AR149" s="23" cm="1">
        <f t="array" ref="AR149">INDEX(GMWQ!$A$2:$LR$60,MATCH(1,(GMWQ!$LQ$2:$LQ$60=AR$3)*(GMWQ!$LP$2:$LP$60=AR$4)*(GMWQ!$LR$2:$LR$60=AR$1),0),$B149-1966)</f>
        <v>247136</v>
      </c>
      <c r="AS149" s="23" cm="1">
        <f t="array" ref="AS149">INDEX(GMWQ!$A$2:$LR$60,MATCH(1,(GMWQ!$LQ$2:$LQ$60=AS$3)*(GMWQ!$LP$2:$LP$60=AS$4)*(GMWQ!$LR$2:$LR$60=AS$1),0),$B149-1966)</f>
        <v>8683</v>
      </c>
      <c r="AT149" s="23" cm="1">
        <f t="array" ref="AT149">INDEX(GMWQ!$A$2:$LR$60,MATCH(1,(GMWQ!$LQ$2:$LQ$60=AT$3)*(GMWQ!$LP$2:$LP$60=AT$4)*(GMWQ!$LR$2:$LR$60=AT$1),0),$B149-1966)</f>
        <v>288865</v>
      </c>
      <c r="AU149" s="23" cm="1">
        <f t="array" ref="AU149">INDEX(GMWQ!$A$2:$LR$60,MATCH(1,(GMWQ!$LQ$2:$LQ$60=AU$3)*(GMWQ!$LP$2:$LP$60=AU$4)*(GMWQ!$LR$2:$LR$60=AU$1),0),$B149-1966)</f>
        <v>10768</v>
      </c>
    </row>
    <row r="150" spans="1:47" x14ac:dyDescent="0.35">
      <c r="B150" s="7">
        <f t="shared" si="3"/>
        <v>2116</v>
      </c>
      <c r="C150" s="7" cm="1">
        <f t="array" ref="C150">INDEX(GMWQ!$A$2:$LR$60,MATCH(1,(GMWQ!$LQ$2:$LQ$60=C$3)*(GMWQ!$LP$2:$LP$60=C$4)*(GMWQ!$LR$2:$LR$60=C$1),0),$B150-1966)</f>
        <v>469694</v>
      </c>
      <c r="D150" s="7" cm="1">
        <f t="array" ref="D150">INDEX(GMWQ!$A$2:$LR$60,MATCH(1,(GMWQ!$LQ$2:$LQ$60=D$3)*(GMWQ!$LP$2:$LP$60=D$4)*(GMWQ!$LR$2:$LR$60=D$1),0),$B150-1966)</f>
        <v>436.33330000000001</v>
      </c>
      <c r="E150" s="7" cm="1">
        <f t="array" ref="E150">INDEX(GMWQ!$A$2:$LR$60,MATCH(1,(GMWQ!$LQ$2:$LQ$60=E$3)*(GMWQ!$LP$2:$LP$60=E$4)*(GMWQ!$LR$2:$LR$60=E$1),0),$B150-1966)</f>
        <v>85.733329999999995</v>
      </c>
      <c r="F150" s="7" cm="1">
        <f t="array" ref="F150">INDEX(GMWQ!$A$2:$LR$60,MATCH(1,(GMWQ!$LQ$2:$LQ$60=F$3)*(GMWQ!$LP$2:$LP$60=F$4)*(GMWQ!$LR$2:$LR$60=F$1),0),$B150-1966)</f>
        <v>164352</v>
      </c>
      <c r="G150" s="7" cm="1">
        <f t="array" ref="G150">INDEX(GMWQ!$A$2:$LR$60,MATCH(1,(GMWQ!$LQ$2:$LQ$60=G$3)*(GMWQ!$LP$2:$LP$60=G$4)*(GMWQ!$LR$2:$LR$60=G$1),0),$B150-1966)</f>
        <v>39594</v>
      </c>
      <c r="H150" s="7" cm="1">
        <f t="array" ref="H150">INDEX(GMWQ!$A$2:$LR$60,MATCH(1,(GMWQ!$LQ$2:$LQ$60=H$3)*(GMWQ!$LP$2:$LP$60=H$4)*(GMWQ!$LR$2:$LR$60=H$1),0),$B150-1966)</f>
        <v>11933</v>
      </c>
      <c r="I150" s="7" cm="1">
        <f t="array" ref="I150">INDEX(GMWQ!$A$2:$LR$60,MATCH(1,(GMWQ!$LQ$2:$LQ$60=I$3)*(GMWQ!$LP$2:$LP$60=I$4)*(GMWQ!$LR$2:$LR$60=I$1),0),$B150-1966)</f>
        <v>84.882189999999994</v>
      </c>
      <c r="J150" s="7" cm="1">
        <f t="array" ref="J150">INDEX(GMWQ!$A$2:$LR$60,MATCH(1,(GMWQ!$LQ$2:$LQ$60=J$3)*(GMWQ!$LP$2:$LP$60=J$4)*(GMWQ!$LR$2:$LR$60=J$1),0),$B150-1966)</f>
        <v>25507</v>
      </c>
      <c r="K150" s="7" cm="1">
        <f t="array" ref="K150">INDEX(GMWQ!$A$2:$LR$60,MATCH(1,(GMWQ!$LQ$2:$LQ$60=K$3)*(GMWQ!$LP$2:$LP$60=K$4)*(GMWQ!$LR$2:$LR$60=K$1),0),$B150-1966)</f>
        <v>2</v>
      </c>
      <c r="L150" s="7" cm="1">
        <f t="array" ref="L150">INDEX(GMWQ!$A$2:$LR$60,MATCH(1,(GMWQ!$LQ$2:$LQ$60=L$3)*(GMWQ!$LP$2:$LP$60=L$4)*(GMWQ!$LR$2:$LR$60=L$1),0),$B150-1966)</f>
        <v>6.4</v>
      </c>
      <c r="M150" s="7" cm="1">
        <f t="array" ref="M150">INDEX(GMWQ!$A$2:$LR$60,MATCH(1,(GMWQ!$LQ$2:$LQ$60=M$3)*(GMWQ!$LP$2:$LP$60=M$4)*(GMWQ!$LR$2:$LR$60=M$1),0),$B150-1966)</f>
        <v>85.281329999999997</v>
      </c>
      <c r="N150" s="7" cm="1">
        <f t="array" ref="N150">INDEX(GMWQ!$A$2:$LR$60,MATCH(1,(GMWQ!$LQ$2:$LQ$60=N$3)*(GMWQ!$LP$2:$LP$60=N$4)*(GMWQ!$LR$2:$LR$60=N$1),0),$B150-1966)</f>
        <v>22014</v>
      </c>
      <c r="O150" s="7" cm="1">
        <f t="array" ref="O150">INDEX(GMWQ!$A$2:$LR$60,MATCH(1,(GMWQ!$LQ$2:$LQ$60=O$3)*(GMWQ!$LP$2:$LP$60=O$4)*(GMWQ!$LR$2:$LR$60=O$1),0),$B150-1966)</f>
        <v>15742</v>
      </c>
      <c r="P150" s="7" cm="1">
        <f t="array" ref="P150">INDEX(GMWQ!$A$2:$LR$60,MATCH(1,(GMWQ!$LQ$2:$LQ$60=P$3)*(GMWQ!$LP$2:$LP$60=P$4)*(GMWQ!$LR$2:$LR$60=P$1),0),$B150-1966)</f>
        <v>258864</v>
      </c>
      <c r="Q150" s="7" cm="1">
        <f t="array" ref="Q150">INDEX(GMWQ!$A$2:$LR$60,MATCH(1,(GMWQ!$LQ$2:$LQ$60=Q$3)*(GMWQ!$LP$2:$LP$60=Q$4)*(GMWQ!$LR$2:$LR$60=Q$1),0),$B150-1966)</f>
        <v>5.3866670000000001</v>
      </c>
      <c r="R150" s="7" cm="1">
        <f t="array" ref="R150">INDEX(GMWQ!$A$2:$LR$60,MATCH(1,(GMWQ!$LQ$2:$LQ$60=R$3)*(GMWQ!$LP$2:$LP$60=R$4)*(GMWQ!$LR$2:$LR$60=R$1),0),$B150-1966)</f>
        <v>89583</v>
      </c>
      <c r="S150" s="7" cm="1">
        <f t="array" ref="S150">INDEX(GMWQ!$A$2:$LR$60,MATCH(1,(GMWQ!$LQ$2:$LQ$60=S$3)*(GMWQ!$LP$2:$LP$60=S$4)*(GMWQ!$LR$2:$LR$60=S$1),0),$B150-1966)</f>
        <v>174.9</v>
      </c>
      <c r="T150" s="7" cm="1">
        <f t="array" ref="T150">INDEX(GMWQ!$A$2:$LR$60,MATCH(1,(GMWQ!$LQ$2:$LQ$60=T$3)*(GMWQ!$LP$2:$LP$60=T$4)*(GMWQ!$LR$2:$LR$60=T$1),0),$B150-1966)</f>
        <v>43609</v>
      </c>
      <c r="U150" s="7" cm="1">
        <f t="array" ref="U150">INDEX(GMWQ!$A$2:$LR$60,MATCH(1,(GMWQ!$LQ$2:$LQ$60=U$3)*(GMWQ!$LP$2:$LP$60=U$4)*(GMWQ!$LR$2:$LR$60=U$1),0),$B150-1966)</f>
        <v>1754</v>
      </c>
      <c r="V150" s="7" cm="1">
        <f t="array" ref="V150">INDEX(GMWQ!$A$2:$LR$60,MATCH(1,(GMWQ!$LQ$2:$LQ$60=V$3)*(GMWQ!$LP$2:$LP$60=V$4)*(GMWQ!$LR$2:$LR$60=V$1),0),$B150-1966)</f>
        <v>3.0234810000000002E-3</v>
      </c>
      <c r="W150" s="7" cm="1">
        <f t="array" ref="W150">INDEX(GMWQ!$A$2:$LR$60,MATCH(1,(GMWQ!$LQ$2:$LQ$60=W$3)*(GMWQ!$LP$2:$LP$60=W$4)*(GMWQ!$LR$2:$LR$60=W$1),0),$B150-1966)</f>
        <v>24.110759999999999</v>
      </c>
      <c r="X150" s="7" cm="1">
        <f t="array" ref="X150">INDEX(GMWQ!$A$2:$LR$60,MATCH(1,(GMWQ!$LQ$2:$LQ$60=X$3)*(GMWQ!$LP$2:$LP$60=X$4)*(GMWQ!$LR$2:$LR$60=X$1),0),$B150-1966)</f>
        <v>2657020</v>
      </c>
      <c r="Y150" s="7" cm="1">
        <f t="array" ref="Y150">INDEX(GMWQ!$A$2:$LR$60,MATCH(1,(GMWQ!$LQ$2:$LQ$60=Y$3)*(GMWQ!$LP$2:$LP$60=Y$4)*(GMWQ!$LR$2:$LR$60=Y$1),0),$B150-1966)</f>
        <v>84.140100000000004</v>
      </c>
      <c r="Z150" s="7" cm="1">
        <f t="array" ref="Z150">INDEX(GMWQ!$A$2:$LR$60,MATCH(1,(GMWQ!$LQ$2:$LQ$60=Z$3)*(GMWQ!$LP$2:$LP$60=Z$4)*(GMWQ!$LR$2:$LR$60=Z$1),0),$B150-1966)</f>
        <v>483379.8</v>
      </c>
      <c r="AA150" s="7" cm="1">
        <f t="array" ref="AA150">INDEX(GMWQ!$A$2:$LR$60,MATCH(1,(GMWQ!$LQ$2:$LQ$60=AA$3)*(GMWQ!$LP$2:$LP$60=AA$4)*(GMWQ!$LR$2:$LR$60=AA$1),0),$B150-1966)</f>
        <v>133804</v>
      </c>
      <c r="AB150" s="7" cm="1">
        <f t="array" ref="AB150">INDEX(GMWQ!$A$2:$LR$60,MATCH(1,(GMWQ!$LQ$2:$LQ$60=AB$3)*(GMWQ!$LP$2:$LP$60=AB$4)*(GMWQ!$LR$2:$LR$60=AB$1),0),$B150-1966)</f>
        <v>151011</v>
      </c>
      <c r="AC150" s="7" cm="1">
        <f t="array" ref="AC150">INDEX(GMWQ!$A$2:$LR$60,MATCH(1,(GMWQ!$LQ$2:$LQ$60=AC$3)*(GMWQ!$LP$2:$LP$60=AC$4)*(GMWQ!$LR$2:$LR$60=AC$1),0),$B150-1966)</f>
        <v>11989</v>
      </c>
      <c r="AD150" s="7" cm="1">
        <f t="array" ref="AD150">INDEX(GMWQ!$A$2:$LR$60,MATCH(1,(GMWQ!$LQ$2:$LQ$60=AD$3)*(GMWQ!$LP$2:$LP$60=AD$4)*(GMWQ!$LR$2:$LR$60=AD$1),0),$B150-1966)</f>
        <v>10050</v>
      </c>
      <c r="AE150" s="7" cm="1">
        <f t="array" ref="AE150">INDEX(GMWQ!$A$2:$LR$60,MATCH(1,(GMWQ!$LQ$2:$LQ$60=AE$3)*(GMWQ!$LP$2:$LP$60=AE$4)*(GMWQ!$LR$2:$LR$60=AE$1),0),$B150-1966)</f>
        <v>395201</v>
      </c>
      <c r="AF150" s="20" cm="1">
        <f t="array" ref="AF150">INDEX(GMWQ!$A$2:$LR$60,MATCH(1,(GMWQ!$LQ$2:$LQ$60=AF$3)*(GMWQ!$LP$2:$LP$60=AF$4)*(GMWQ!$LR$2:$LR$60=AF$1),0),$B150-1966)</f>
        <v>3.325758</v>
      </c>
      <c r="AG150" s="20" cm="1">
        <f t="array" ref="AG150">INDEX(GMWQ!$A$2:$LR$60,MATCH(1,(GMWQ!$LQ$2:$LQ$60=AG$3)*(GMWQ!$LP$2:$LP$60=AG$4)*(GMWQ!$LR$2:$LR$60=AG$1),0),$B150-1966)</f>
        <v>-6272</v>
      </c>
      <c r="AI150" s="23" cm="1">
        <f t="array" ref="AI150">INDEX(GMWQ!$A$2:$LR$60,MATCH(1,(GMWQ!$LQ$2:$LQ$60=AI$3)*(GMWQ!$LP$2:$LP$60=AI$4)*(GMWQ!$LR$2:$LR$60=AI$1),0),$B150-1966)</f>
        <v>258864</v>
      </c>
      <c r="AJ150" s="23" cm="1">
        <f t="array" ref="AJ150">INDEX(GMWQ!$A$2:$LR$60,MATCH(1,(GMWQ!$LQ$2:$LQ$60=AJ$3)*(GMWQ!$LP$2:$LP$60=AJ$4)*(GMWQ!$LR$2:$LR$60=AJ$1),0),$B150-1966)</f>
        <v>84.882189999999994</v>
      </c>
      <c r="AK150" s="23" cm="1">
        <f t="array" ref="AK150">INDEX(GMWQ!$A$2:$LR$60,MATCH(1,(GMWQ!$LQ$2:$LQ$60=AK$3)*(GMWQ!$LP$2:$LP$60=AK$4)*(GMWQ!$LR$2:$LR$60=AK$1),0),$B150-1966)</f>
        <v>164352</v>
      </c>
      <c r="AL150" s="23" cm="1">
        <f t="array" ref="AL150">INDEX(GMWQ!$A$2:$LR$60,MATCH(1,(GMWQ!$LQ$2:$LQ$60=AL$3)*(GMWQ!$LP$2:$LP$60=AL$4)*(GMWQ!$LR$2:$LR$60=AL$1),0),$B150-1966)</f>
        <v>6443.4080000000004</v>
      </c>
      <c r="AM150" s="23" cm="1">
        <f t="array" ref="AM150">INDEX(GMWQ!$A$2:$LR$60,MATCH(1,(GMWQ!$LQ$2:$LQ$60=AM$3)*(GMWQ!$LP$2:$LP$60=AM$4)*(GMWQ!$LR$2:$LR$60=AM$1),0),$B150-1966)</f>
        <v>25507</v>
      </c>
      <c r="AN150" s="23" cm="1">
        <f t="array" ref="AN150">INDEX(GMWQ!$A$2:$LR$60,MATCH(1,(GMWQ!$LQ$2:$LQ$60=AN$3)*(GMWQ!$LP$2:$LP$60=AN$4)*(GMWQ!$LR$2:$LR$60=AN$1),0),$B150-1966)</f>
        <v>39594</v>
      </c>
      <c r="AO150" s="23" cm="1">
        <f t="array" ref="AO150">INDEX(GMWQ!$A$2:$LR$60,MATCH(1,(GMWQ!$LQ$2:$LQ$60=AO$3)*(GMWQ!$LP$2:$LP$60=AO$4)*(GMWQ!$LR$2:$LR$60=AO$1),0),$B150-1966)</f>
        <v>11933</v>
      </c>
      <c r="AP150" s="23" cm="1">
        <f t="array" ref="AP150">INDEX(GMWQ!$A$2:$LR$60,MATCH(1,(GMWQ!$LQ$2:$LQ$60=AP$3)*(GMWQ!$LP$2:$LP$60=AP$4)*(GMWQ!$LR$2:$LR$60=AP$1),0),$B150-1966)</f>
        <v>-6272</v>
      </c>
      <c r="AQ150" s="23" cm="1">
        <f t="array" ref="AQ150">INDEX(GMWQ!$A$2:$LR$60,MATCH(1,(GMWQ!$LQ$2:$LQ$60=AQ$3)*(GMWQ!$LP$2:$LP$60=AQ$4)*(GMWQ!$LR$2:$LR$60=AQ$1),0),$B150-1966)</f>
        <v>44963</v>
      </c>
      <c r="AR150" s="23" cm="1">
        <f t="array" ref="AR150">INDEX(GMWQ!$A$2:$LR$60,MATCH(1,(GMWQ!$LQ$2:$LQ$60=AR$3)*(GMWQ!$LP$2:$LP$60=AR$4)*(GMWQ!$LR$2:$LR$60=AR$1),0),$B150-1966)</f>
        <v>238878</v>
      </c>
      <c r="AS150" s="23" cm="1">
        <f t="array" ref="AS150">INDEX(GMWQ!$A$2:$LR$60,MATCH(1,(GMWQ!$LQ$2:$LQ$60=AS$3)*(GMWQ!$LP$2:$LP$60=AS$4)*(GMWQ!$LR$2:$LR$60=AS$1),0),$B150-1966)</f>
        <v>9046</v>
      </c>
      <c r="AT150" s="23" cm="1">
        <f t="array" ref="AT150">INDEX(GMWQ!$A$2:$LR$60,MATCH(1,(GMWQ!$LQ$2:$LQ$60=AT$3)*(GMWQ!$LP$2:$LP$60=AT$4)*(GMWQ!$LR$2:$LR$60=AT$1),0),$B150-1966)</f>
        <v>281423</v>
      </c>
      <c r="AU150" s="23" cm="1">
        <f t="array" ref="AU150">INDEX(GMWQ!$A$2:$LR$60,MATCH(1,(GMWQ!$LQ$2:$LQ$60=AU$3)*(GMWQ!$LP$2:$LP$60=AU$4)*(GMWQ!$LR$2:$LR$60=AU$1),0),$B150-1966)</f>
        <v>10950</v>
      </c>
    </row>
    <row r="151" spans="1:47" x14ac:dyDescent="0.35">
      <c r="A151" s="7">
        <v>2009</v>
      </c>
      <c r="B151" s="7">
        <f t="shared" si="3"/>
        <v>2117</v>
      </c>
      <c r="C151" s="7" cm="1">
        <f t="array" ref="C151">INDEX(GMWQ!$A$2:$LR$60,MATCH(1,(GMWQ!$LQ$2:$LQ$60=C$3)*(GMWQ!$LP$2:$LP$60=C$4)*(GMWQ!$LR$2:$LR$60=C$1),0),$B151-1966)</f>
        <v>460105</v>
      </c>
      <c r="D151" s="7" cm="1">
        <f t="array" ref="D151">INDEX(GMWQ!$A$2:$LR$60,MATCH(1,(GMWQ!$LQ$2:$LQ$60=D$3)*(GMWQ!$LP$2:$LP$60=D$4)*(GMWQ!$LR$2:$LR$60=D$1),0),$B151-1966)</f>
        <v>421</v>
      </c>
      <c r="E151" s="7" cm="1">
        <f t="array" ref="E151">INDEX(GMWQ!$A$2:$LR$60,MATCH(1,(GMWQ!$LQ$2:$LQ$60=E$3)*(GMWQ!$LP$2:$LP$60=E$4)*(GMWQ!$LR$2:$LR$60=E$1),0),$B151-1966)</f>
        <v>85.433329999999998</v>
      </c>
      <c r="F151" s="7" cm="1">
        <f t="array" ref="F151">INDEX(GMWQ!$A$2:$LR$60,MATCH(1,(GMWQ!$LQ$2:$LQ$60=F$3)*(GMWQ!$LP$2:$LP$60=F$4)*(GMWQ!$LR$2:$LR$60=F$1),0),$B151-1966)</f>
        <v>161431</v>
      </c>
      <c r="G151" s="7" cm="1">
        <f t="array" ref="G151">INDEX(GMWQ!$A$2:$LR$60,MATCH(1,(GMWQ!$LQ$2:$LQ$60=G$3)*(GMWQ!$LP$2:$LP$60=G$4)*(GMWQ!$LR$2:$LR$60=G$1),0),$B151-1966)</f>
        <v>37527</v>
      </c>
      <c r="H151" s="7" cm="1">
        <f t="array" ref="H151">INDEX(GMWQ!$A$2:$LR$60,MATCH(1,(GMWQ!$LQ$2:$LQ$60=H$3)*(GMWQ!$LP$2:$LP$60=H$4)*(GMWQ!$LR$2:$LR$60=H$1),0),$B151-1966)</f>
        <v>11472</v>
      </c>
      <c r="I151" s="7" cm="1">
        <f t="array" ref="I151">INDEX(GMWQ!$A$2:$LR$60,MATCH(1,(GMWQ!$LQ$2:$LQ$60=I$3)*(GMWQ!$LP$2:$LP$60=I$4)*(GMWQ!$LR$2:$LR$60=I$1),0),$B151-1966)</f>
        <v>85.118340000000003</v>
      </c>
      <c r="J151" s="7" cm="1">
        <f t="array" ref="J151">INDEX(GMWQ!$A$2:$LR$60,MATCH(1,(GMWQ!$LQ$2:$LQ$60=J$3)*(GMWQ!$LP$2:$LP$60=J$4)*(GMWQ!$LR$2:$LR$60=J$1),0),$B151-1966)</f>
        <v>25335</v>
      </c>
      <c r="K151" s="7" cm="1">
        <f t="array" ref="K151">INDEX(GMWQ!$A$2:$LR$60,MATCH(1,(GMWQ!$LQ$2:$LQ$60=K$3)*(GMWQ!$LP$2:$LP$60=K$4)*(GMWQ!$LR$2:$LR$60=K$1),0),$B151-1966)</f>
        <v>0.5</v>
      </c>
      <c r="L151" s="7" cm="1">
        <f t="array" ref="L151">INDEX(GMWQ!$A$2:$LR$60,MATCH(1,(GMWQ!$LQ$2:$LQ$60=L$3)*(GMWQ!$LP$2:$LP$60=L$4)*(GMWQ!$LR$2:$LR$60=L$1),0),$B151-1966)</f>
        <v>7.1</v>
      </c>
      <c r="M151" s="7" cm="1">
        <f t="array" ref="M151">INDEX(GMWQ!$A$2:$LR$60,MATCH(1,(GMWQ!$LQ$2:$LQ$60=M$3)*(GMWQ!$LP$2:$LP$60=M$4)*(GMWQ!$LR$2:$LR$60=M$1),0),$B151-1966)</f>
        <v>82.117000000000004</v>
      </c>
      <c r="N151" s="7" cm="1">
        <f t="array" ref="N151">INDEX(GMWQ!$A$2:$LR$60,MATCH(1,(GMWQ!$LQ$2:$LQ$60=N$3)*(GMWQ!$LP$2:$LP$60=N$4)*(GMWQ!$LR$2:$LR$60=N$1),0),$B151-1966)</f>
        <v>11906</v>
      </c>
      <c r="O151" s="7" cm="1">
        <f t="array" ref="O151">INDEX(GMWQ!$A$2:$LR$60,MATCH(1,(GMWQ!$LQ$2:$LQ$60=O$3)*(GMWQ!$LP$2:$LP$60=O$4)*(GMWQ!$LR$2:$LR$60=O$1),0),$B151-1966)</f>
        <v>7548</v>
      </c>
      <c r="P151" s="7" cm="1">
        <f t="array" ref="P151">INDEX(GMWQ!$A$2:$LR$60,MATCH(1,(GMWQ!$LQ$2:$LQ$60=P$3)*(GMWQ!$LP$2:$LP$60=P$4)*(GMWQ!$LR$2:$LR$60=P$1),0),$B151-1966)</f>
        <v>256359</v>
      </c>
      <c r="Q151" s="7" cm="1">
        <f t="array" ref="Q151">INDEX(GMWQ!$A$2:$LR$60,MATCH(1,(GMWQ!$LQ$2:$LQ$60=Q$3)*(GMWQ!$LP$2:$LP$60=Q$4)*(GMWQ!$LR$2:$LR$60=Q$1),0),$B151-1966)</f>
        <v>4.0833329999999997</v>
      </c>
      <c r="R151" s="7" cm="1">
        <f t="array" ref="R151">INDEX(GMWQ!$A$2:$LR$60,MATCH(1,(GMWQ!$LQ$2:$LQ$60=R$3)*(GMWQ!$LP$2:$LP$60=R$4)*(GMWQ!$LR$2:$LR$60=R$1),0),$B151-1966)</f>
        <v>115332</v>
      </c>
      <c r="S151" s="7" cm="1">
        <f t="array" ref="S151">INDEX(GMWQ!$A$2:$LR$60,MATCH(1,(GMWQ!$LQ$2:$LQ$60=S$3)*(GMWQ!$LP$2:$LP$60=S$4)*(GMWQ!$LR$2:$LR$60=S$1),0),$B151-1966)</f>
        <v>170.84</v>
      </c>
      <c r="T151" s="7" cm="1">
        <f t="array" ref="T151">INDEX(GMWQ!$A$2:$LR$60,MATCH(1,(GMWQ!$LQ$2:$LQ$60=T$3)*(GMWQ!$LP$2:$LP$60=T$4)*(GMWQ!$LR$2:$LR$60=T$1),0),$B151-1966)</f>
        <v>35348</v>
      </c>
      <c r="U151" s="7" cm="1">
        <f t="array" ref="U151">INDEX(GMWQ!$A$2:$LR$60,MATCH(1,(GMWQ!$LQ$2:$LQ$60=U$3)*(GMWQ!$LP$2:$LP$60=U$4)*(GMWQ!$LR$2:$LR$60=U$1),0),$B151-1966)</f>
        <v>1669</v>
      </c>
      <c r="V151" s="7" cm="1">
        <f t="array" ref="V151">INDEX(GMWQ!$A$2:$LR$60,MATCH(1,(GMWQ!$LQ$2:$LQ$60=V$3)*(GMWQ!$LP$2:$LP$60=V$4)*(GMWQ!$LR$2:$LR$60=V$1),0),$B151-1966)</f>
        <v>2.8911520000000001E-3</v>
      </c>
      <c r="W151" s="7" cm="1">
        <f t="array" ref="W151">INDEX(GMWQ!$A$2:$LR$60,MATCH(1,(GMWQ!$LQ$2:$LQ$60=W$3)*(GMWQ!$LP$2:$LP$60=W$4)*(GMWQ!$LR$2:$LR$60=W$1),0),$B151-1966)</f>
        <v>15.67357</v>
      </c>
      <c r="X151" s="7" cm="1">
        <f t="array" ref="X151">INDEX(GMWQ!$A$2:$LR$60,MATCH(1,(GMWQ!$LQ$2:$LQ$60=X$3)*(GMWQ!$LP$2:$LP$60=X$4)*(GMWQ!$LR$2:$LR$60=X$1),0),$B151-1966)</f>
        <v>2567961</v>
      </c>
      <c r="Y151" s="7" cm="1">
        <f t="array" ref="Y151">INDEX(GMWQ!$A$2:$LR$60,MATCH(1,(GMWQ!$LQ$2:$LQ$60=Y$3)*(GMWQ!$LP$2:$LP$60=Y$4)*(GMWQ!$LR$2:$LR$60=Y$1),0),$B151-1966)</f>
        <v>84.054509999999993</v>
      </c>
      <c r="Z151" s="7" cm="1">
        <f t="array" ref="Z151">INDEX(GMWQ!$A$2:$LR$60,MATCH(1,(GMWQ!$LQ$2:$LQ$60=Z$3)*(GMWQ!$LP$2:$LP$60=Z$4)*(GMWQ!$LR$2:$LR$60=Z$1),0),$B151-1966)</f>
        <v>481505.9</v>
      </c>
      <c r="AA151" s="7" cm="1">
        <f t="array" ref="AA151">INDEX(GMWQ!$A$2:$LR$60,MATCH(1,(GMWQ!$LQ$2:$LQ$60=AA$3)*(GMWQ!$LP$2:$LP$60=AA$4)*(GMWQ!$LR$2:$LR$60=AA$1),0),$B151-1966)</f>
        <v>151274</v>
      </c>
      <c r="AB151" s="7" cm="1">
        <f t="array" ref="AB151">INDEX(GMWQ!$A$2:$LR$60,MATCH(1,(GMWQ!$LQ$2:$LQ$60=AB$3)*(GMWQ!$LP$2:$LP$60=AB$4)*(GMWQ!$LR$2:$LR$60=AB$1),0),$B151-1966)</f>
        <v>152999</v>
      </c>
      <c r="AC151" s="7" cm="1">
        <f t="array" ref="AC151">INDEX(GMWQ!$A$2:$LR$60,MATCH(1,(GMWQ!$LQ$2:$LQ$60=AC$3)*(GMWQ!$LP$2:$LP$60=AC$4)*(GMWQ!$LR$2:$LR$60=AC$1),0),$B151-1966)</f>
        <v>20553</v>
      </c>
      <c r="AD151" s="7" cm="1">
        <f t="array" ref="AD151">INDEX(GMWQ!$A$2:$LR$60,MATCH(1,(GMWQ!$LQ$2:$LQ$60=AD$3)*(GMWQ!$LP$2:$LP$60=AD$4)*(GMWQ!$LR$2:$LR$60=AD$1),0),$B151-1966)</f>
        <v>10390</v>
      </c>
      <c r="AE151" s="7" cm="1">
        <f t="array" ref="AE151">INDEX(GMWQ!$A$2:$LR$60,MATCH(1,(GMWQ!$LQ$2:$LQ$60=AE$3)*(GMWQ!$LP$2:$LP$60=AE$4)*(GMWQ!$LR$2:$LR$60=AE$1),0),$B151-1966)</f>
        <v>386739</v>
      </c>
      <c r="AF151" s="20" cm="1">
        <f t="array" ref="AF151">INDEX(GMWQ!$A$2:$LR$60,MATCH(1,(GMWQ!$LQ$2:$LQ$60=AF$3)*(GMWQ!$LP$2:$LP$60=AF$4)*(GMWQ!$LR$2:$LR$60=AF$1),0),$B151-1966)</f>
        <v>1.0859380000000001</v>
      </c>
      <c r="AG151" s="20" cm="1">
        <f t="array" ref="AG151">INDEX(GMWQ!$A$2:$LR$60,MATCH(1,(GMWQ!$LQ$2:$LQ$60=AG$3)*(GMWQ!$LP$2:$LP$60=AG$4)*(GMWQ!$LR$2:$LR$60=AG$1),0),$B151-1966)</f>
        <v>-4358</v>
      </c>
      <c r="AI151" s="23" cm="1">
        <f t="array" ref="AI151">INDEX(GMWQ!$A$2:$LR$60,MATCH(1,(GMWQ!$LQ$2:$LQ$60=AI$3)*(GMWQ!$LP$2:$LP$60=AI$4)*(GMWQ!$LR$2:$LR$60=AI$1),0),$B151-1966)</f>
        <v>256359</v>
      </c>
      <c r="AJ151" s="23" cm="1">
        <f t="array" ref="AJ151">INDEX(GMWQ!$A$2:$LR$60,MATCH(1,(GMWQ!$LQ$2:$LQ$60=AJ$3)*(GMWQ!$LP$2:$LP$60=AJ$4)*(GMWQ!$LR$2:$LR$60=AJ$1),0),$B151-1966)</f>
        <v>85.118340000000003</v>
      </c>
      <c r="AK151" s="23" cm="1">
        <f t="array" ref="AK151">INDEX(GMWQ!$A$2:$LR$60,MATCH(1,(GMWQ!$LQ$2:$LQ$60=AK$3)*(GMWQ!$LP$2:$LP$60=AK$4)*(GMWQ!$LR$2:$LR$60=AK$1),0),$B151-1966)</f>
        <v>161431</v>
      </c>
      <c r="AL151" s="23" cm="1">
        <f t="array" ref="AL151">INDEX(GMWQ!$A$2:$LR$60,MATCH(1,(GMWQ!$LQ$2:$LQ$60=AL$3)*(GMWQ!$LP$2:$LP$60=AL$4)*(GMWQ!$LR$2:$LR$60=AL$1),0),$B151-1966)</f>
        <v>6371.857</v>
      </c>
      <c r="AM151" s="23" cm="1">
        <f t="array" ref="AM151">INDEX(GMWQ!$A$2:$LR$60,MATCH(1,(GMWQ!$LQ$2:$LQ$60=AM$3)*(GMWQ!$LP$2:$LP$60=AM$4)*(GMWQ!$LR$2:$LR$60=AM$1),0),$B151-1966)</f>
        <v>25335</v>
      </c>
      <c r="AN151" s="23" cm="1">
        <f t="array" ref="AN151">INDEX(GMWQ!$A$2:$LR$60,MATCH(1,(GMWQ!$LQ$2:$LQ$60=AN$3)*(GMWQ!$LP$2:$LP$60=AN$4)*(GMWQ!$LR$2:$LR$60=AN$1),0),$B151-1966)</f>
        <v>37527</v>
      </c>
      <c r="AO151" s="23" cm="1">
        <f t="array" ref="AO151">INDEX(GMWQ!$A$2:$LR$60,MATCH(1,(GMWQ!$LQ$2:$LQ$60=AO$3)*(GMWQ!$LP$2:$LP$60=AO$4)*(GMWQ!$LR$2:$LR$60=AO$1),0),$B151-1966)</f>
        <v>11472</v>
      </c>
      <c r="AP151" s="23" cm="1">
        <f t="array" ref="AP151">INDEX(GMWQ!$A$2:$LR$60,MATCH(1,(GMWQ!$LQ$2:$LQ$60=AP$3)*(GMWQ!$LP$2:$LP$60=AP$4)*(GMWQ!$LR$2:$LR$60=AP$1),0),$B151-1966)</f>
        <v>-4358</v>
      </c>
      <c r="AQ151" s="23" cm="1">
        <f t="array" ref="AQ151">INDEX(GMWQ!$A$2:$LR$60,MATCH(1,(GMWQ!$LQ$2:$LQ$60=AQ$3)*(GMWQ!$LP$2:$LP$60=AQ$4)*(GMWQ!$LR$2:$LR$60=AQ$1),0),$B151-1966)</f>
        <v>46705</v>
      </c>
      <c r="AR151" s="23" cm="1">
        <f t="array" ref="AR151">INDEX(GMWQ!$A$2:$LR$60,MATCH(1,(GMWQ!$LQ$2:$LQ$60=AR$3)*(GMWQ!$LP$2:$LP$60=AR$4)*(GMWQ!$LR$2:$LR$60=AR$1),0),$B151-1966)</f>
        <v>238482</v>
      </c>
      <c r="AS151" s="23" cm="1">
        <f t="array" ref="AS151">INDEX(GMWQ!$A$2:$LR$60,MATCH(1,(GMWQ!$LQ$2:$LQ$60=AS$3)*(GMWQ!$LP$2:$LP$60=AS$4)*(GMWQ!$LR$2:$LR$60=AS$1),0),$B151-1966)</f>
        <v>9225</v>
      </c>
      <c r="AT151" s="23" cm="1">
        <f t="array" ref="AT151">INDEX(GMWQ!$A$2:$LR$60,MATCH(1,(GMWQ!$LQ$2:$LQ$60=AT$3)*(GMWQ!$LP$2:$LP$60=AT$4)*(GMWQ!$LR$2:$LR$60=AT$1),0),$B151-1966)</f>
        <v>280177</v>
      </c>
      <c r="AU151" s="23" cm="1">
        <f t="array" ref="AU151">INDEX(GMWQ!$A$2:$LR$60,MATCH(1,(GMWQ!$LQ$2:$LQ$60=AU$3)*(GMWQ!$LP$2:$LP$60=AU$4)*(GMWQ!$LR$2:$LR$60=AU$1),0),$B151-1966)</f>
        <v>11107</v>
      </c>
    </row>
    <row r="152" spans="1:47" x14ac:dyDescent="0.35">
      <c r="B152" s="7">
        <f t="shared" si="3"/>
        <v>2118</v>
      </c>
      <c r="C152" s="7" cm="1">
        <f t="array" ref="C152">INDEX(GMWQ!$A$2:$LR$60,MATCH(1,(GMWQ!$LQ$2:$LQ$60=C$3)*(GMWQ!$LP$2:$LP$60=C$4)*(GMWQ!$LR$2:$LR$60=C$1),0),$B152-1966)</f>
        <v>458599</v>
      </c>
      <c r="D152" s="7" cm="1">
        <f t="array" ref="D152">INDEX(GMWQ!$A$2:$LR$60,MATCH(1,(GMWQ!$LQ$2:$LQ$60=D$3)*(GMWQ!$LP$2:$LP$60=D$4)*(GMWQ!$LR$2:$LR$60=D$1),0),$B152-1966)</f>
        <v>437.66669999999999</v>
      </c>
      <c r="E152" s="7" cm="1">
        <f t="array" ref="E152">INDEX(GMWQ!$A$2:$LR$60,MATCH(1,(GMWQ!$LQ$2:$LQ$60=E$3)*(GMWQ!$LP$2:$LP$60=E$4)*(GMWQ!$LR$2:$LR$60=E$1),0),$B152-1966)</f>
        <v>86.366669999999999</v>
      </c>
      <c r="F152" s="7" cm="1">
        <f t="array" ref="F152">INDEX(GMWQ!$A$2:$LR$60,MATCH(1,(GMWQ!$LQ$2:$LQ$60=F$3)*(GMWQ!$LP$2:$LP$60=F$4)*(GMWQ!$LR$2:$LR$60=F$1),0),$B152-1966)</f>
        <v>164197</v>
      </c>
      <c r="G152" s="7" cm="1">
        <f t="array" ref="G152">INDEX(GMWQ!$A$2:$LR$60,MATCH(1,(GMWQ!$LQ$2:$LQ$60=G$3)*(GMWQ!$LP$2:$LP$60=G$4)*(GMWQ!$LR$2:$LR$60=G$1),0),$B152-1966)</f>
        <v>38224</v>
      </c>
      <c r="H152" s="7" cm="1">
        <f t="array" ref="H152">INDEX(GMWQ!$A$2:$LR$60,MATCH(1,(GMWQ!$LQ$2:$LQ$60=H$3)*(GMWQ!$LP$2:$LP$60=H$4)*(GMWQ!$LR$2:$LR$60=H$1),0),$B152-1966)</f>
        <v>11522</v>
      </c>
      <c r="I152" s="7" cm="1">
        <f t="array" ref="I152">INDEX(GMWQ!$A$2:$LR$60,MATCH(1,(GMWQ!$LQ$2:$LQ$60=I$3)*(GMWQ!$LP$2:$LP$60=I$4)*(GMWQ!$LR$2:$LR$60=I$1),0),$B152-1966)</f>
        <v>85.265249999999995</v>
      </c>
      <c r="J152" s="7" cm="1">
        <f t="array" ref="J152">INDEX(GMWQ!$A$2:$LR$60,MATCH(1,(GMWQ!$LQ$2:$LQ$60=J$3)*(GMWQ!$LP$2:$LP$60=J$4)*(GMWQ!$LR$2:$LR$60=J$1),0),$B152-1966)</f>
        <v>25043</v>
      </c>
      <c r="K152" s="7" cm="1">
        <f t="array" ref="K152">INDEX(GMWQ!$A$2:$LR$60,MATCH(1,(GMWQ!$LQ$2:$LQ$60=K$3)*(GMWQ!$LP$2:$LP$60=K$4)*(GMWQ!$LR$2:$LR$60=K$1),0),$B152-1966)</f>
        <v>0.5</v>
      </c>
      <c r="L152" s="7" cm="1">
        <f t="array" ref="L152">INDEX(GMWQ!$A$2:$LR$60,MATCH(1,(GMWQ!$LQ$2:$LQ$60=L$3)*(GMWQ!$LP$2:$LP$60=L$4)*(GMWQ!$LR$2:$LR$60=L$1),0),$B152-1966)</f>
        <v>7.8</v>
      </c>
      <c r="M152" s="7" cm="1">
        <f t="array" ref="M152">INDEX(GMWQ!$A$2:$LR$60,MATCH(1,(GMWQ!$LQ$2:$LQ$60=M$3)*(GMWQ!$LP$2:$LP$60=M$4)*(GMWQ!$LR$2:$LR$60=M$1),0),$B152-1966)</f>
        <v>81.979330000000004</v>
      </c>
      <c r="N152" s="7" cm="1">
        <f t="array" ref="N152">INDEX(GMWQ!$A$2:$LR$60,MATCH(1,(GMWQ!$LQ$2:$LQ$60=N$3)*(GMWQ!$LP$2:$LP$60=N$4)*(GMWQ!$LR$2:$LR$60=N$1),0),$B152-1966)</f>
        <v>9052</v>
      </c>
      <c r="O152" s="7" cm="1">
        <f t="array" ref="O152">INDEX(GMWQ!$A$2:$LR$60,MATCH(1,(GMWQ!$LQ$2:$LQ$60=O$3)*(GMWQ!$LP$2:$LP$60=O$4)*(GMWQ!$LR$2:$LR$60=O$1),0),$B152-1966)</f>
        <v>5833</v>
      </c>
      <c r="P152" s="7" cm="1">
        <f t="array" ref="P152">INDEX(GMWQ!$A$2:$LR$60,MATCH(1,(GMWQ!$LQ$2:$LQ$60=P$3)*(GMWQ!$LP$2:$LP$60=P$4)*(GMWQ!$LR$2:$LR$60=P$1),0),$B152-1966)</f>
        <v>264017</v>
      </c>
      <c r="Q152" s="7" cm="1">
        <f t="array" ref="Q152">INDEX(GMWQ!$A$2:$LR$60,MATCH(1,(GMWQ!$LQ$2:$LQ$60=Q$3)*(GMWQ!$LP$2:$LP$60=Q$4)*(GMWQ!$LR$2:$LR$60=Q$1),0),$B152-1966)</f>
        <v>3.6</v>
      </c>
      <c r="R152" s="7" cm="1">
        <f t="array" ref="R152">INDEX(GMWQ!$A$2:$LR$60,MATCH(1,(GMWQ!$LQ$2:$LQ$60=R$3)*(GMWQ!$LP$2:$LP$60=R$4)*(GMWQ!$LR$2:$LR$60=R$1),0),$B152-1966)</f>
        <v>143511</v>
      </c>
      <c r="S152" s="7" cm="1">
        <f t="array" ref="S152">INDEX(GMWQ!$A$2:$LR$60,MATCH(1,(GMWQ!$LQ$2:$LQ$60=S$3)*(GMWQ!$LP$2:$LP$60=S$4)*(GMWQ!$LR$2:$LR$60=S$1),0),$B152-1966)</f>
        <v>193.27</v>
      </c>
      <c r="T152" s="7" cm="1">
        <f t="array" ref="T152">INDEX(GMWQ!$A$2:$LR$60,MATCH(1,(GMWQ!$LQ$2:$LQ$60=T$3)*(GMWQ!$LP$2:$LP$60=T$4)*(GMWQ!$LR$2:$LR$60=T$1),0),$B152-1966)</f>
        <v>32062</v>
      </c>
      <c r="U152" s="7" cm="1">
        <f t="array" ref="U152">INDEX(GMWQ!$A$2:$LR$60,MATCH(1,(GMWQ!$LQ$2:$LQ$60=U$3)*(GMWQ!$LP$2:$LP$60=U$4)*(GMWQ!$LR$2:$LR$60=U$1),0),$B152-1966)</f>
        <v>1414</v>
      </c>
      <c r="V152" s="7" cm="1">
        <f t="array" ref="V152">INDEX(GMWQ!$A$2:$LR$60,MATCH(1,(GMWQ!$LQ$2:$LQ$60=V$3)*(GMWQ!$LP$2:$LP$60=V$4)*(GMWQ!$LR$2:$LR$60=V$1),0),$B152-1966)</f>
        <v>2.8904719999999998E-3</v>
      </c>
      <c r="W152" s="7" cm="1">
        <f t="array" ref="W152">INDEX(GMWQ!$A$2:$LR$60,MATCH(1,(GMWQ!$LQ$2:$LQ$60=W$3)*(GMWQ!$LP$2:$LP$60=W$4)*(GMWQ!$LR$2:$LR$60=W$1),0),$B152-1966)</f>
        <v>14.25109</v>
      </c>
      <c r="X152" s="7" cm="1">
        <f t="array" ref="X152">INDEX(GMWQ!$A$2:$LR$60,MATCH(1,(GMWQ!$LQ$2:$LQ$60=X$3)*(GMWQ!$LP$2:$LP$60=X$4)*(GMWQ!$LR$2:$LR$60=X$1),0),$B152-1966)</f>
        <v>2534404</v>
      </c>
      <c r="Y152" s="7" cm="1">
        <f t="array" ref="Y152">INDEX(GMWQ!$A$2:$LR$60,MATCH(1,(GMWQ!$LQ$2:$LQ$60=Y$3)*(GMWQ!$LP$2:$LP$60=Y$4)*(GMWQ!$LR$2:$LR$60=Y$1),0),$B152-1966)</f>
        <v>84.292370000000005</v>
      </c>
      <c r="Z152" s="7" cm="1">
        <f t="array" ref="Z152">INDEX(GMWQ!$A$2:$LR$60,MATCH(1,(GMWQ!$LQ$2:$LQ$60=Z$3)*(GMWQ!$LP$2:$LP$60=Z$4)*(GMWQ!$LR$2:$LR$60=Z$1),0),$B152-1966)</f>
        <v>483616.3</v>
      </c>
      <c r="AA152" s="7" cm="1">
        <f t="array" ref="AA152">INDEX(GMWQ!$A$2:$LR$60,MATCH(1,(GMWQ!$LQ$2:$LQ$60=AA$3)*(GMWQ!$LP$2:$LP$60=AA$4)*(GMWQ!$LR$2:$LR$60=AA$1),0),$B152-1966)</f>
        <v>130820</v>
      </c>
      <c r="AB152" s="7" cm="1">
        <f t="array" ref="AB152">INDEX(GMWQ!$A$2:$LR$60,MATCH(1,(GMWQ!$LQ$2:$LQ$60=AB$3)*(GMWQ!$LP$2:$LP$60=AB$4)*(GMWQ!$LR$2:$LR$60=AB$1),0),$B152-1966)</f>
        <v>155491</v>
      </c>
      <c r="AC152" s="7" cm="1">
        <f t="array" ref="AC152">INDEX(GMWQ!$A$2:$LR$60,MATCH(1,(GMWQ!$LQ$2:$LQ$60=AC$3)*(GMWQ!$LP$2:$LP$60=AC$4)*(GMWQ!$LR$2:$LR$60=AC$1),0),$B152-1966)</f>
        <v>5836</v>
      </c>
      <c r="AD152" s="7" cm="1">
        <f t="array" ref="AD152">INDEX(GMWQ!$A$2:$LR$60,MATCH(1,(GMWQ!$LQ$2:$LQ$60=AD$3)*(GMWQ!$LP$2:$LP$60=AD$4)*(GMWQ!$LR$2:$LR$60=AD$1),0),$B152-1966)</f>
        <v>10403</v>
      </c>
      <c r="AE152" s="7" cm="1">
        <f t="array" ref="AE152">INDEX(GMWQ!$A$2:$LR$60,MATCH(1,(GMWQ!$LQ$2:$LQ$60=AE$3)*(GMWQ!$LP$2:$LP$60=AE$4)*(GMWQ!$LR$2:$LR$60=AE$1),0),$B152-1966)</f>
        <v>386564</v>
      </c>
      <c r="AF152" s="20" cm="1">
        <f t="array" ref="AF152">INDEX(GMWQ!$A$2:$LR$60,MATCH(1,(GMWQ!$LQ$2:$LQ$60=AF$3)*(GMWQ!$LP$2:$LP$60=AF$4)*(GMWQ!$LR$2:$LR$60=AF$1),0),$B152-1966)</f>
        <v>0.5</v>
      </c>
      <c r="AG152" s="20" cm="1">
        <f t="array" ref="AG152">INDEX(GMWQ!$A$2:$LR$60,MATCH(1,(GMWQ!$LQ$2:$LQ$60=AG$3)*(GMWQ!$LP$2:$LP$60=AG$4)*(GMWQ!$LR$2:$LR$60=AG$1),0),$B152-1966)</f>
        <v>-3219</v>
      </c>
      <c r="AI152" s="23" cm="1">
        <f t="array" ref="AI152">INDEX(GMWQ!$A$2:$LR$60,MATCH(1,(GMWQ!$LQ$2:$LQ$60=AI$3)*(GMWQ!$LP$2:$LP$60=AI$4)*(GMWQ!$LR$2:$LR$60=AI$1),0),$B152-1966)</f>
        <v>264017</v>
      </c>
      <c r="AJ152" s="23" cm="1">
        <f t="array" ref="AJ152">INDEX(GMWQ!$A$2:$LR$60,MATCH(1,(GMWQ!$LQ$2:$LQ$60=AJ$3)*(GMWQ!$LP$2:$LP$60=AJ$4)*(GMWQ!$LR$2:$LR$60=AJ$1),0),$B152-1966)</f>
        <v>85.265249999999995</v>
      </c>
      <c r="AK152" s="23" cm="1">
        <f t="array" ref="AK152">INDEX(GMWQ!$A$2:$LR$60,MATCH(1,(GMWQ!$LQ$2:$LQ$60=AK$3)*(GMWQ!$LP$2:$LP$60=AK$4)*(GMWQ!$LR$2:$LR$60=AK$1),0),$B152-1966)</f>
        <v>164197</v>
      </c>
      <c r="AL152" s="23" cm="1">
        <f t="array" ref="AL152">INDEX(GMWQ!$A$2:$LR$60,MATCH(1,(GMWQ!$LQ$2:$LQ$60=AL$3)*(GMWQ!$LP$2:$LP$60=AL$4)*(GMWQ!$LR$2:$LR$60=AL$1),0),$B152-1966)</f>
        <v>6556.6030000000001</v>
      </c>
      <c r="AM152" s="23" cm="1">
        <f t="array" ref="AM152">INDEX(GMWQ!$A$2:$LR$60,MATCH(1,(GMWQ!$LQ$2:$LQ$60=AM$3)*(GMWQ!$LP$2:$LP$60=AM$4)*(GMWQ!$LR$2:$LR$60=AM$1),0),$B152-1966)</f>
        <v>25043</v>
      </c>
      <c r="AN152" s="23" cm="1">
        <f t="array" ref="AN152">INDEX(GMWQ!$A$2:$LR$60,MATCH(1,(GMWQ!$LQ$2:$LQ$60=AN$3)*(GMWQ!$LP$2:$LP$60=AN$4)*(GMWQ!$LR$2:$LR$60=AN$1),0),$B152-1966)</f>
        <v>38224</v>
      </c>
      <c r="AO152" s="23" cm="1">
        <f t="array" ref="AO152">INDEX(GMWQ!$A$2:$LR$60,MATCH(1,(GMWQ!$LQ$2:$LQ$60=AO$3)*(GMWQ!$LP$2:$LP$60=AO$4)*(GMWQ!$LR$2:$LR$60=AO$1),0),$B152-1966)</f>
        <v>11522</v>
      </c>
      <c r="AP152" s="23" cm="1">
        <f t="array" ref="AP152">INDEX(GMWQ!$A$2:$LR$60,MATCH(1,(GMWQ!$LQ$2:$LQ$60=AP$3)*(GMWQ!$LP$2:$LP$60=AP$4)*(GMWQ!$LR$2:$LR$60=AP$1),0),$B152-1966)</f>
        <v>-3219</v>
      </c>
      <c r="AQ152" s="23" cm="1">
        <f t="array" ref="AQ152">INDEX(GMWQ!$A$2:$LR$60,MATCH(1,(GMWQ!$LQ$2:$LQ$60=AQ$3)*(GMWQ!$LP$2:$LP$60=AQ$4)*(GMWQ!$LR$2:$LR$60=AQ$1),0),$B152-1966)</f>
        <v>48027</v>
      </c>
      <c r="AR152" s="23" cm="1">
        <f t="array" ref="AR152">INDEX(GMWQ!$A$2:$LR$60,MATCH(1,(GMWQ!$LQ$2:$LQ$60=AR$3)*(GMWQ!$LP$2:$LP$60=AR$4)*(GMWQ!$LR$2:$LR$60=AR$1),0),$B152-1966)</f>
        <v>238579</v>
      </c>
      <c r="AS152" s="23" cm="1">
        <f t="array" ref="AS152">INDEX(GMWQ!$A$2:$LR$60,MATCH(1,(GMWQ!$LQ$2:$LQ$60=AS$3)*(GMWQ!$LP$2:$LP$60=AS$4)*(GMWQ!$LR$2:$LR$60=AS$1),0),$B152-1966)</f>
        <v>9557</v>
      </c>
      <c r="AT152" s="23" cm="1">
        <f t="array" ref="AT152">INDEX(GMWQ!$A$2:$LR$60,MATCH(1,(GMWQ!$LQ$2:$LQ$60=AT$3)*(GMWQ!$LP$2:$LP$60=AT$4)*(GMWQ!$LR$2:$LR$60=AT$1),0),$B152-1966)</f>
        <v>279808</v>
      </c>
      <c r="AU152" s="23" cm="1">
        <f t="array" ref="AU152">INDEX(GMWQ!$A$2:$LR$60,MATCH(1,(GMWQ!$LQ$2:$LQ$60=AU$3)*(GMWQ!$LP$2:$LP$60=AU$4)*(GMWQ!$LR$2:$LR$60=AU$1),0),$B152-1966)</f>
        <v>11302</v>
      </c>
    </row>
    <row r="153" spans="1:47" x14ac:dyDescent="0.35">
      <c r="B153" s="7">
        <f t="shared" si="3"/>
        <v>2119</v>
      </c>
      <c r="C153" s="7" cm="1">
        <f t="array" ref="C153">INDEX(GMWQ!$A$2:$LR$60,MATCH(1,(GMWQ!$LQ$2:$LQ$60=C$3)*(GMWQ!$LP$2:$LP$60=C$4)*(GMWQ!$LR$2:$LR$60=C$1),0),$B153-1966)</f>
        <v>458875</v>
      </c>
      <c r="D153" s="7" cm="1">
        <f t="array" ref="D153">INDEX(GMWQ!$A$2:$LR$60,MATCH(1,(GMWQ!$LQ$2:$LQ$60=D$3)*(GMWQ!$LP$2:$LP$60=D$4)*(GMWQ!$LR$2:$LR$60=D$1),0),$B153-1966)</f>
        <v>438</v>
      </c>
      <c r="E153" s="7" cm="1">
        <f t="array" ref="E153">INDEX(GMWQ!$A$2:$LR$60,MATCH(1,(GMWQ!$LQ$2:$LQ$60=E$3)*(GMWQ!$LP$2:$LP$60=E$4)*(GMWQ!$LR$2:$LR$60=E$1),0),$B153-1966)</f>
        <v>86.933329999999998</v>
      </c>
      <c r="F153" s="7" cm="1">
        <f t="array" ref="F153">INDEX(GMWQ!$A$2:$LR$60,MATCH(1,(GMWQ!$LQ$2:$LQ$60=F$3)*(GMWQ!$LP$2:$LP$60=F$4)*(GMWQ!$LR$2:$LR$60=F$1),0),$B153-1966)</f>
        <v>164164</v>
      </c>
      <c r="G153" s="7" cm="1">
        <f t="array" ref="G153">INDEX(GMWQ!$A$2:$LR$60,MATCH(1,(GMWQ!$LQ$2:$LQ$60=G$3)*(GMWQ!$LP$2:$LP$60=G$4)*(GMWQ!$LR$2:$LR$60=G$1),0),$B153-1966)</f>
        <v>37782</v>
      </c>
      <c r="H153" s="7" cm="1">
        <f t="array" ref="H153">INDEX(GMWQ!$A$2:$LR$60,MATCH(1,(GMWQ!$LQ$2:$LQ$60=H$3)*(GMWQ!$LP$2:$LP$60=H$4)*(GMWQ!$LR$2:$LR$60=H$1),0),$B153-1966)</f>
        <v>11497</v>
      </c>
      <c r="I153" s="7" cm="1">
        <f t="array" ref="I153">INDEX(GMWQ!$A$2:$LR$60,MATCH(1,(GMWQ!$LQ$2:$LQ$60=I$3)*(GMWQ!$LP$2:$LP$60=I$4)*(GMWQ!$LR$2:$LR$60=I$1),0),$B153-1966)</f>
        <v>85.249570000000006</v>
      </c>
      <c r="J153" s="7" cm="1">
        <f t="array" ref="J153">INDEX(GMWQ!$A$2:$LR$60,MATCH(1,(GMWQ!$LQ$2:$LQ$60=J$3)*(GMWQ!$LP$2:$LP$60=J$4)*(GMWQ!$LR$2:$LR$60=J$1),0),$B153-1966)</f>
        <v>25002</v>
      </c>
      <c r="K153" s="7" cm="1">
        <f t="array" ref="K153">INDEX(GMWQ!$A$2:$LR$60,MATCH(1,(GMWQ!$LQ$2:$LQ$60=K$3)*(GMWQ!$LP$2:$LP$60=K$4)*(GMWQ!$LR$2:$LR$60=K$1),0),$B153-1966)</f>
        <v>0.5</v>
      </c>
      <c r="L153" s="7" cm="1">
        <f t="array" ref="L153">INDEX(GMWQ!$A$2:$LR$60,MATCH(1,(GMWQ!$LQ$2:$LQ$60=L$3)*(GMWQ!$LP$2:$LP$60=L$4)*(GMWQ!$LR$2:$LR$60=L$1),0),$B153-1966)</f>
        <v>7.8</v>
      </c>
      <c r="M153" s="7" cm="1">
        <f t="array" ref="M153">INDEX(GMWQ!$A$2:$LR$60,MATCH(1,(GMWQ!$LQ$2:$LQ$60=M$3)*(GMWQ!$LP$2:$LP$60=M$4)*(GMWQ!$LR$2:$LR$60=M$1),0),$B153-1966)</f>
        <v>84.096999999999994</v>
      </c>
      <c r="N153" s="7" cm="1">
        <f t="array" ref="N153">INDEX(GMWQ!$A$2:$LR$60,MATCH(1,(GMWQ!$LQ$2:$LQ$60=N$3)*(GMWQ!$LP$2:$LP$60=N$4)*(GMWQ!$LR$2:$LR$60=N$1),0),$B153-1966)</f>
        <v>7918</v>
      </c>
      <c r="O153" s="7" cm="1">
        <f t="array" ref="O153">INDEX(GMWQ!$A$2:$LR$60,MATCH(1,(GMWQ!$LQ$2:$LQ$60=O$3)*(GMWQ!$LP$2:$LP$60=O$4)*(GMWQ!$LR$2:$LR$60=O$1),0),$B153-1966)</f>
        <v>4933</v>
      </c>
      <c r="P153" s="7" cm="1">
        <f t="array" ref="P153">INDEX(GMWQ!$A$2:$LR$60,MATCH(1,(GMWQ!$LQ$2:$LQ$60=P$3)*(GMWQ!$LP$2:$LP$60=P$4)*(GMWQ!$LR$2:$LR$60=P$1),0),$B153-1966)</f>
        <v>262855</v>
      </c>
      <c r="Q153" s="7" cm="1">
        <f t="array" ref="Q153">INDEX(GMWQ!$A$2:$LR$60,MATCH(1,(GMWQ!$LQ$2:$LQ$60=Q$3)*(GMWQ!$LP$2:$LP$60=Q$4)*(GMWQ!$LR$2:$LR$60=Q$1),0),$B153-1966)</f>
        <v>3.576667</v>
      </c>
      <c r="R153" s="7" cm="1">
        <f t="array" ref="R153">INDEX(GMWQ!$A$2:$LR$60,MATCH(1,(GMWQ!$LQ$2:$LQ$60=R$3)*(GMWQ!$LP$2:$LP$60=R$4)*(GMWQ!$LR$2:$LR$60=R$1),0),$B153-1966)</f>
        <v>161546</v>
      </c>
      <c r="S153" s="7" cm="1">
        <f t="array" ref="S153">INDEX(GMWQ!$A$2:$LR$60,MATCH(1,(GMWQ!$LQ$2:$LQ$60=S$3)*(GMWQ!$LP$2:$LP$60=S$4)*(GMWQ!$LR$2:$LR$60=S$1),0),$B153-1966)</f>
        <v>223.68</v>
      </c>
      <c r="T153" s="7" cm="1">
        <f t="array" ref="T153">INDEX(GMWQ!$A$2:$LR$60,MATCH(1,(GMWQ!$LQ$2:$LQ$60=T$3)*(GMWQ!$LP$2:$LP$60=T$4)*(GMWQ!$LR$2:$LR$60=T$1),0),$B153-1966)</f>
        <v>34940</v>
      </c>
      <c r="U153" s="7" cm="1">
        <f t="array" ref="U153">INDEX(GMWQ!$A$2:$LR$60,MATCH(1,(GMWQ!$LQ$2:$LQ$60=U$3)*(GMWQ!$LP$2:$LP$60=U$4)*(GMWQ!$LR$2:$LR$60=U$1),0),$B153-1966)</f>
        <v>2159</v>
      </c>
      <c r="V153" s="7" cm="1">
        <f t="array" ref="V153">INDEX(GMWQ!$A$2:$LR$60,MATCH(1,(GMWQ!$LQ$2:$LQ$60=V$3)*(GMWQ!$LP$2:$LP$60=V$4)*(GMWQ!$LR$2:$LR$60=V$1),0),$B153-1966)</f>
        <v>2.592998E-3</v>
      </c>
      <c r="W153" s="7" cm="1">
        <f t="array" ref="W153">INDEX(GMWQ!$A$2:$LR$60,MATCH(1,(GMWQ!$LQ$2:$LQ$60=W$3)*(GMWQ!$LP$2:$LP$60=W$4)*(GMWQ!$LR$2:$LR$60=W$1),0),$B153-1966)</f>
        <v>12.54365</v>
      </c>
      <c r="X153" s="7" cm="1">
        <f t="array" ref="X153">INDEX(GMWQ!$A$2:$LR$60,MATCH(1,(GMWQ!$LQ$2:$LQ$60=X$3)*(GMWQ!$LP$2:$LP$60=X$4)*(GMWQ!$LR$2:$LR$60=X$1),0),$B153-1966)</f>
        <v>2557317</v>
      </c>
      <c r="Y153" s="7" cm="1">
        <f t="array" ref="Y153">INDEX(GMWQ!$A$2:$LR$60,MATCH(1,(GMWQ!$LQ$2:$LQ$60=Y$3)*(GMWQ!$LP$2:$LP$60=Y$4)*(GMWQ!$LR$2:$LR$60=Y$1),0),$B153-1966)</f>
        <v>84.690610000000007</v>
      </c>
      <c r="Z153" s="7" cm="1">
        <f t="array" ref="Z153">INDEX(GMWQ!$A$2:$LR$60,MATCH(1,(GMWQ!$LQ$2:$LQ$60=Z$3)*(GMWQ!$LP$2:$LP$60=Z$4)*(GMWQ!$LR$2:$LR$60=Z$1),0),$B153-1966)</f>
        <v>482466.7</v>
      </c>
      <c r="AA153" s="7" cm="1">
        <f t="array" ref="AA153">INDEX(GMWQ!$A$2:$LR$60,MATCH(1,(GMWQ!$LQ$2:$LQ$60=AA$3)*(GMWQ!$LP$2:$LP$60=AA$4)*(GMWQ!$LR$2:$LR$60=AA$1),0),$B153-1966)</f>
        <v>138743</v>
      </c>
      <c r="AB153" s="7" cm="1">
        <f t="array" ref="AB153">INDEX(GMWQ!$A$2:$LR$60,MATCH(1,(GMWQ!$LQ$2:$LQ$60=AB$3)*(GMWQ!$LP$2:$LP$60=AB$4)*(GMWQ!$LR$2:$LR$60=AB$1),0),$B153-1966)</f>
        <v>156731</v>
      </c>
      <c r="AC153" s="7" cm="1">
        <f t="array" ref="AC153">INDEX(GMWQ!$A$2:$LR$60,MATCH(1,(GMWQ!$LQ$2:$LQ$60=AC$3)*(GMWQ!$LP$2:$LP$60=AC$4)*(GMWQ!$LR$2:$LR$60=AC$1),0),$B153-1966)</f>
        <v>9135</v>
      </c>
      <c r="AD153" s="7" cm="1">
        <f t="array" ref="AD153">INDEX(GMWQ!$A$2:$LR$60,MATCH(1,(GMWQ!$LQ$2:$LQ$60=AD$3)*(GMWQ!$LP$2:$LP$60=AD$4)*(GMWQ!$LR$2:$LR$60=AD$1),0),$B153-1966)</f>
        <v>10421</v>
      </c>
      <c r="AE153" s="7" cm="1">
        <f t="array" ref="AE153">INDEX(GMWQ!$A$2:$LR$60,MATCH(1,(GMWQ!$LQ$2:$LQ$60=AE$3)*(GMWQ!$LP$2:$LP$60=AE$4)*(GMWQ!$LR$2:$LR$60=AE$1),0),$B153-1966)</f>
        <v>388624</v>
      </c>
      <c r="AF153" s="20" cm="1">
        <f t="array" ref="AF153">INDEX(GMWQ!$A$2:$LR$60,MATCH(1,(GMWQ!$LQ$2:$LQ$60=AF$3)*(GMWQ!$LP$2:$LP$60=AF$4)*(GMWQ!$LR$2:$LR$60=AF$1),0),$B153-1966)</f>
        <v>0.5</v>
      </c>
      <c r="AG153" s="20" cm="1">
        <f t="array" ref="AG153">INDEX(GMWQ!$A$2:$LR$60,MATCH(1,(GMWQ!$LQ$2:$LQ$60=AG$3)*(GMWQ!$LP$2:$LP$60=AG$4)*(GMWQ!$LR$2:$LR$60=AG$1),0),$B153-1966)</f>
        <v>-2985</v>
      </c>
      <c r="AI153" s="23" cm="1">
        <f t="array" ref="AI153">INDEX(GMWQ!$A$2:$LR$60,MATCH(1,(GMWQ!$LQ$2:$LQ$60=AI$3)*(GMWQ!$LP$2:$LP$60=AI$4)*(GMWQ!$LR$2:$LR$60=AI$1),0),$B153-1966)</f>
        <v>262855</v>
      </c>
      <c r="AJ153" s="23" cm="1">
        <f t="array" ref="AJ153">INDEX(GMWQ!$A$2:$LR$60,MATCH(1,(GMWQ!$LQ$2:$LQ$60=AJ$3)*(GMWQ!$LP$2:$LP$60=AJ$4)*(GMWQ!$LR$2:$LR$60=AJ$1),0),$B153-1966)</f>
        <v>85.249570000000006</v>
      </c>
      <c r="AK153" s="23" cm="1">
        <f t="array" ref="AK153">INDEX(GMWQ!$A$2:$LR$60,MATCH(1,(GMWQ!$LQ$2:$LQ$60=AK$3)*(GMWQ!$LP$2:$LP$60=AK$4)*(GMWQ!$LR$2:$LR$60=AK$1),0),$B153-1966)</f>
        <v>164164</v>
      </c>
      <c r="AL153" s="23" cm="1">
        <f t="array" ref="AL153">INDEX(GMWQ!$A$2:$LR$60,MATCH(1,(GMWQ!$LQ$2:$LQ$60=AL$3)*(GMWQ!$LP$2:$LP$60=AL$4)*(GMWQ!$LR$2:$LR$60=AL$1),0),$B153-1966)</f>
        <v>6566.0349999999999</v>
      </c>
      <c r="AM153" s="23" cm="1">
        <f t="array" ref="AM153">INDEX(GMWQ!$A$2:$LR$60,MATCH(1,(GMWQ!$LQ$2:$LQ$60=AM$3)*(GMWQ!$LP$2:$LP$60=AM$4)*(GMWQ!$LR$2:$LR$60=AM$1),0),$B153-1966)</f>
        <v>25002</v>
      </c>
      <c r="AN153" s="23" cm="1">
        <f t="array" ref="AN153">INDEX(GMWQ!$A$2:$LR$60,MATCH(1,(GMWQ!$LQ$2:$LQ$60=AN$3)*(GMWQ!$LP$2:$LP$60=AN$4)*(GMWQ!$LR$2:$LR$60=AN$1),0),$B153-1966)</f>
        <v>37782</v>
      </c>
      <c r="AO153" s="23" cm="1">
        <f t="array" ref="AO153">INDEX(GMWQ!$A$2:$LR$60,MATCH(1,(GMWQ!$LQ$2:$LQ$60=AO$3)*(GMWQ!$LP$2:$LP$60=AO$4)*(GMWQ!$LR$2:$LR$60=AO$1),0),$B153-1966)</f>
        <v>11497</v>
      </c>
      <c r="AP153" s="23" cm="1">
        <f t="array" ref="AP153">INDEX(GMWQ!$A$2:$LR$60,MATCH(1,(GMWQ!$LQ$2:$LQ$60=AP$3)*(GMWQ!$LP$2:$LP$60=AP$4)*(GMWQ!$LR$2:$LR$60=AP$1),0),$B153-1966)</f>
        <v>-2985</v>
      </c>
      <c r="AQ153" s="23" cm="1">
        <f t="array" ref="AQ153">INDEX(GMWQ!$A$2:$LR$60,MATCH(1,(GMWQ!$LQ$2:$LQ$60=AQ$3)*(GMWQ!$LP$2:$LP$60=AQ$4)*(GMWQ!$LR$2:$LR$60=AQ$1),0),$B153-1966)</f>
        <v>48825</v>
      </c>
      <c r="AR153" s="23" cm="1">
        <f t="array" ref="AR153">INDEX(GMWQ!$A$2:$LR$60,MATCH(1,(GMWQ!$LQ$2:$LQ$60=AR$3)*(GMWQ!$LP$2:$LP$60=AR$4)*(GMWQ!$LR$2:$LR$60=AR$1),0),$B153-1966)</f>
        <v>239628</v>
      </c>
      <c r="AS153" s="23" cm="1">
        <f t="array" ref="AS153">INDEX(GMWQ!$A$2:$LR$60,MATCH(1,(GMWQ!$LQ$2:$LQ$60=AS$3)*(GMWQ!$LP$2:$LP$60=AS$4)*(GMWQ!$LR$2:$LR$60=AS$1),0),$B153-1966)</f>
        <v>9853</v>
      </c>
      <c r="AT153" s="23" cm="1">
        <f t="array" ref="AT153">INDEX(GMWQ!$A$2:$LR$60,MATCH(1,(GMWQ!$LQ$2:$LQ$60=AT$3)*(GMWQ!$LP$2:$LP$60=AT$4)*(GMWQ!$LR$2:$LR$60=AT$1),0),$B153-1966)</f>
        <v>281090</v>
      </c>
      <c r="AU153" s="23" cm="1">
        <f t="array" ref="AU153">INDEX(GMWQ!$A$2:$LR$60,MATCH(1,(GMWQ!$LQ$2:$LQ$60=AU$3)*(GMWQ!$LP$2:$LP$60=AU$4)*(GMWQ!$LR$2:$LR$60=AU$1),0),$B153-1966)</f>
        <v>11642</v>
      </c>
    </row>
    <row r="154" spans="1:47" x14ac:dyDescent="0.35">
      <c r="B154" s="7">
        <f t="shared" si="3"/>
        <v>2120</v>
      </c>
      <c r="C154" s="7" cm="1">
        <f t="array" ref="C154">INDEX(GMWQ!$A$2:$LR$60,MATCH(1,(GMWQ!$LQ$2:$LQ$60=C$3)*(GMWQ!$LP$2:$LP$60=C$4)*(GMWQ!$LR$2:$LR$60=C$1),0),$B154-1966)</f>
        <v>460238</v>
      </c>
      <c r="D154" s="7" cm="1">
        <f t="array" ref="D154">INDEX(GMWQ!$A$2:$LR$60,MATCH(1,(GMWQ!$LQ$2:$LQ$60=D$3)*(GMWQ!$LP$2:$LP$60=D$4)*(GMWQ!$LR$2:$LR$60=D$1),0),$B154-1966)</f>
        <v>439.66669999999999</v>
      </c>
      <c r="E154" s="7" cm="1">
        <f t="array" ref="E154">INDEX(GMWQ!$A$2:$LR$60,MATCH(1,(GMWQ!$LQ$2:$LQ$60=E$3)*(GMWQ!$LP$2:$LP$60=E$4)*(GMWQ!$LR$2:$LR$60=E$1),0),$B154-1966)</f>
        <v>87.566670000000002</v>
      </c>
      <c r="F154" s="7" cm="1">
        <f t="array" ref="F154">INDEX(GMWQ!$A$2:$LR$60,MATCH(1,(GMWQ!$LQ$2:$LQ$60=F$3)*(GMWQ!$LP$2:$LP$60=F$4)*(GMWQ!$LR$2:$LR$60=F$1),0),$B154-1966)</f>
        <v>164349</v>
      </c>
      <c r="G154" s="7" cm="1">
        <f t="array" ref="G154">INDEX(GMWQ!$A$2:$LR$60,MATCH(1,(GMWQ!$LQ$2:$LQ$60=G$3)*(GMWQ!$LP$2:$LP$60=G$4)*(GMWQ!$LR$2:$LR$60=G$1),0),$B154-1966)</f>
        <v>37815</v>
      </c>
      <c r="H154" s="7" cm="1">
        <f t="array" ref="H154">INDEX(GMWQ!$A$2:$LR$60,MATCH(1,(GMWQ!$LQ$2:$LQ$60=H$3)*(GMWQ!$LP$2:$LP$60=H$4)*(GMWQ!$LR$2:$LR$60=H$1),0),$B154-1966)</f>
        <v>11702</v>
      </c>
      <c r="I154" s="7" cm="1">
        <f t="array" ref="I154">INDEX(GMWQ!$A$2:$LR$60,MATCH(1,(GMWQ!$LQ$2:$LQ$60=I$3)*(GMWQ!$LP$2:$LP$60=I$4)*(GMWQ!$LR$2:$LR$60=I$1),0),$B154-1966)</f>
        <v>84.853359999999995</v>
      </c>
      <c r="J154" s="7" cm="1">
        <f t="array" ref="J154">INDEX(GMWQ!$A$2:$LR$60,MATCH(1,(GMWQ!$LQ$2:$LQ$60=J$3)*(GMWQ!$LP$2:$LP$60=J$4)*(GMWQ!$LR$2:$LR$60=J$1),0),$B154-1966)</f>
        <v>24988</v>
      </c>
      <c r="K154" s="7" cm="1">
        <f t="array" ref="K154">INDEX(GMWQ!$A$2:$LR$60,MATCH(1,(GMWQ!$LQ$2:$LQ$60=K$3)*(GMWQ!$LP$2:$LP$60=K$4)*(GMWQ!$LR$2:$LR$60=K$1),0),$B154-1966)</f>
        <v>0.5</v>
      </c>
      <c r="L154" s="7" cm="1">
        <f t="array" ref="L154">INDEX(GMWQ!$A$2:$LR$60,MATCH(1,(GMWQ!$LQ$2:$LQ$60=L$3)*(GMWQ!$LP$2:$LP$60=L$4)*(GMWQ!$LR$2:$LR$60=L$1),0),$B154-1966)</f>
        <v>7.8</v>
      </c>
      <c r="M154" s="7" cm="1">
        <f t="array" ref="M154">INDEX(GMWQ!$A$2:$LR$60,MATCH(1,(GMWQ!$LQ$2:$LQ$60=M$3)*(GMWQ!$LP$2:$LP$60=M$4)*(GMWQ!$LR$2:$LR$60=M$1),0),$B154-1966)</f>
        <v>86.843000000000004</v>
      </c>
      <c r="N154" s="7" cm="1">
        <f t="array" ref="N154">INDEX(GMWQ!$A$2:$LR$60,MATCH(1,(GMWQ!$LQ$2:$LQ$60=N$3)*(GMWQ!$LP$2:$LP$60=N$4)*(GMWQ!$LR$2:$LR$60=N$1),0),$B154-1966)</f>
        <v>7280</v>
      </c>
      <c r="O154" s="7" cm="1">
        <f t="array" ref="O154">INDEX(GMWQ!$A$2:$LR$60,MATCH(1,(GMWQ!$LQ$2:$LQ$60=O$3)*(GMWQ!$LP$2:$LP$60=O$4)*(GMWQ!$LR$2:$LR$60=O$1),0),$B154-1966)</f>
        <v>4674</v>
      </c>
      <c r="P154" s="7" cm="1">
        <f t="array" ref="P154">INDEX(GMWQ!$A$2:$LR$60,MATCH(1,(GMWQ!$LQ$2:$LQ$60=P$3)*(GMWQ!$LP$2:$LP$60=P$4)*(GMWQ!$LR$2:$LR$60=P$1),0),$B154-1966)</f>
        <v>263951</v>
      </c>
      <c r="Q154" s="7" cm="1">
        <f t="array" ref="Q154">INDEX(GMWQ!$A$2:$LR$60,MATCH(1,(GMWQ!$LQ$2:$LQ$60=Q$3)*(GMWQ!$LP$2:$LP$60=Q$4)*(GMWQ!$LR$2:$LR$60=Q$1),0),$B154-1966)</f>
        <v>3.5733329999999999</v>
      </c>
      <c r="R154" s="7" cm="1">
        <f t="array" ref="R154">INDEX(GMWQ!$A$2:$LR$60,MATCH(1,(GMWQ!$LQ$2:$LQ$60=R$3)*(GMWQ!$LP$2:$LP$60=R$4)*(GMWQ!$LR$2:$LR$60=R$1),0),$B154-1966)</f>
        <v>171407</v>
      </c>
      <c r="S154" s="7" cm="1">
        <f t="array" ref="S154">INDEX(GMWQ!$A$2:$LR$60,MATCH(1,(GMWQ!$LQ$2:$LQ$60=S$3)*(GMWQ!$LP$2:$LP$60=S$4)*(GMWQ!$LR$2:$LR$60=S$1),0),$B154-1966)</f>
        <v>259.75</v>
      </c>
      <c r="T154" s="7" cm="1">
        <f t="array" ref="T154">INDEX(GMWQ!$A$2:$LR$60,MATCH(1,(GMWQ!$LQ$2:$LQ$60=T$3)*(GMWQ!$LP$2:$LP$60=T$4)*(GMWQ!$LR$2:$LR$60=T$1),0),$B154-1966)</f>
        <v>38267</v>
      </c>
      <c r="U154" s="7" cm="1">
        <f t="array" ref="U154">INDEX(GMWQ!$A$2:$LR$60,MATCH(1,(GMWQ!$LQ$2:$LQ$60=U$3)*(GMWQ!$LP$2:$LP$60=U$4)*(GMWQ!$LR$2:$LR$60=U$1),0),$B154-1966)</f>
        <v>3520</v>
      </c>
      <c r="V154" s="7" cm="1">
        <f t="array" ref="V154">INDEX(GMWQ!$A$2:$LR$60,MATCH(1,(GMWQ!$LQ$2:$LQ$60=V$3)*(GMWQ!$LP$2:$LP$60=V$4)*(GMWQ!$LR$2:$LR$60=V$1),0),$B154-1966)</f>
        <v>2.5058200000000002E-3</v>
      </c>
      <c r="W154" s="7" cm="1">
        <f t="array" ref="W154">INDEX(GMWQ!$A$2:$LR$60,MATCH(1,(GMWQ!$LQ$2:$LQ$60=W$3)*(GMWQ!$LP$2:$LP$60=W$4)*(GMWQ!$LR$2:$LR$60=W$1),0),$B154-1966)</f>
        <v>13.05902</v>
      </c>
      <c r="X154" s="7" cm="1">
        <f t="array" ref="X154">INDEX(GMWQ!$A$2:$LR$60,MATCH(1,(GMWQ!$LQ$2:$LQ$60=X$3)*(GMWQ!$LP$2:$LP$60=X$4)*(GMWQ!$LR$2:$LR$60=X$1),0),$B154-1966)</f>
        <v>2561722</v>
      </c>
      <c r="Y154" s="7" cm="1">
        <f t="array" ref="Y154">INDEX(GMWQ!$A$2:$LR$60,MATCH(1,(GMWQ!$LQ$2:$LQ$60=Y$3)*(GMWQ!$LP$2:$LP$60=Y$4)*(GMWQ!$LR$2:$LR$60=Y$1),0),$B154-1966)</f>
        <v>84.05977</v>
      </c>
      <c r="Z154" s="7" cm="1">
        <f t="array" ref="Z154">INDEX(GMWQ!$A$2:$LR$60,MATCH(1,(GMWQ!$LQ$2:$LQ$60=Z$3)*(GMWQ!$LP$2:$LP$60=Z$4)*(GMWQ!$LR$2:$LR$60=Z$1),0),$B154-1966)</f>
        <v>483250.2</v>
      </c>
      <c r="AA154" s="7" cm="1">
        <f t="array" ref="AA154">INDEX(GMWQ!$A$2:$LR$60,MATCH(1,(GMWQ!$LQ$2:$LQ$60=AA$3)*(GMWQ!$LP$2:$LP$60=AA$4)*(GMWQ!$LR$2:$LR$60=AA$1),0),$B154-1966)</f>
        <v>133585</v>
      </c>
      <c r="AB154" s="7" cm="1">
        <f t="array" ref="AB154">INDEX(GMWQ!$A$2:$LR$60,MATCH(1,(GMWQ!$LQ$2:$LQ$60=AB$3)*(GMWQ!$LP$2:$LP$60=AB$4)*(GMWQ!$LR$2:$LR$60=AB$1),0),$B154-1966)</f>
        <v>159125</v>
      </c>
      <c r="AC154" s="7" cm="1">
        <f t="array" ref="AC154">INDEX(GMWQ!$A$2:$LR$60,MATCH(1,(GMWQ!$LQ$2:$LQ$60=AC$3)*(GMWQ!$LP$2:$LP$60=AC$4)*(GMWQ!$LR$2:$LR$60=AC$1),0),$B154-1966)</f>
        <v>14243</v>
      </c>
      <c r="AD154" s="7" cm="1">
        <f t="array" ref="AD154">INDEX(GMWQ!$A$2:$LR$60,MATCH(1,(GMWQ!$LQ$2:$LQ$60=AD$3)*(GMWQ!$LP$2:$LP$60=AD$4)*(GMWQ!$LR$2:$LR$60=AD$1),0),$B154-1966)</f>
        <v>10423</v>
      </c>
      <c r="AE154" s="7" cm="1">
        <f t="array" ref="AE154">INDEX(GMWQ!$A$2:$LR$60,MATCH(1,(GMWQ!$LQ$2:$LQ$60=AE$3)*(GMWQ!$LP$2:$LP$60=AE$4)*(GMWQ!$LR$2:$LR$60=AE$1),0),$B154-1966)</f>
        <v>386875</v>
      </c>
      <c r="AF154" s="20" cm="1">
        <f t="array" ref="AF154">INDEX(GMWQ!$A$2:$LR$60,MATCH(1,(GMWQ!$LQ$2:$LQ$60=AF$3)*(GMWQ!$LP$2:$LP$60=AF$4)*(GMWQ!$LR$2:$LR$60=AF$1),0),$B154-1966)</f>
        <v>0.5</v>
      </c>
      <c r="AG154" s="20" cm="1">
        <f t="array" ref="AG154">INDEX(GMWQ!$A$2:$LR$60,MATCH(1,(GMWQ!$LQ$2:$LQ$60=AG$3)*(GMWQ!$LP$2:$LP$60=AG$4)*(GMWQ!$LR$2:$LR$60=AG$1),0),$B154-1966)</f>
        <v>-2606</v>
      </c>
      <c r="AI154" s="23" cm="1">
        <f t="array" ref="AI154">INDEX(GMWQ!$A$2:$LR$60,MATCH(1,(GMWQ!$LQ$2:$LQ$60=AI$3)*(GMWQ!$LP$2:$LP$60=AI$4)*(GMWQ!$LR$2:$LR$60=AI$1),0),$B154-1966)</f>
        <v>263951</v>
      </c>
      <c r="AJ154" s="23" cm="1">
        <f t="array" ref="AJ154">INDEX(GMWQ!$A$2:$LR$60,MATCH(1,(GMWQ!$LQ$2:$LQ$60=AJ$3)*(GMWQ!$LP$2:$LP$60=AJ$4)*(GMWQ!$LR$2:$LR$60=AJ$1),0),$B154-1966)</f>
        <v>84.853359999999995</v>
      </c>
      <c r="AK154" s="23" cm="1">
        <f t="array" ref="AK154">INDEX(GMWQ!$A$2:$LR$60,MATCH(1,(GMWQ!$LQ$2:$LQ$60=AK$3)*(GMWQ!$LP$2:$LP$60=AK$4)*(GMWQ!$LR$2:$LR$60=AK$1),0),$B154-1966)</f>
        <v>164349</v>
      </c>
      <c r="AL154" s="23" cm="1">
        <f t="array" ref="AL154">INDEX(GMWQ!$A$2:$LR$60,MATCH(1,(GMWQ!$LQ$2:$LQ$60=AL$3)*(GMWQ!$LP$2:$LP$60=AL$4)*(GMWQ!$LR$2:$LR$60=AL$1),0),$B154-1966)</f>
        <v>6577.1170000000002</v>
      </c>
      <c r="AM154" s="23" cm="1">
        <f t="array" ref="AM154">INDEX(GMWQ!$A$2:$LR$60,MATCH(1,(GMWQ!$LQ$2:$LQ$60=AM$3)*(GMWQ!$LP$2:$LP$60=AM$4)*(GMWQ!$LR$2:$LR$60=AM$1),0),$B154-1966)</f>
        <v>24988</v>
      </c>
      <c r="AN154" s="23" cm="1">
        <f t="array" ref="AN154">INDEX(GMWQ!$A$2:$LR$60,MATCH(1,(GMWQ!$LQ$2:$LQ$60=AN$3)*(GMWQ!$LP$2:$LP$60=AN$4)*(GMWQ!$LR$2:$LR$60=AN$1),0),$B154-1966)</f>
        <v>37815</v>
      </c>
      <c r="AO154" s="23" cm="1">
        <f t="array" ref="AO154">INDEX(GMWQ!$A$2:$LR$60,MATCH(1,(GMWQ!$LQ$2:$LQ$60=AO$3)*(GMWQ!$LP$2:$LP$60=AO$4)*(GMWQ!$LR$2:$LR$60=AO$1),0),$B154-1966)</f>
        <v>11702</v>
      </c>
      <c r="AP154" s="23" cm="1">
        <f t="array" ref="AP154">INDEX(GMWQ!$A$2:$LR$60,MATCH(1,(GMWQ!$LQ$2:$LQ$60=AP$3)*(GMWQ!$LP$2:$LP$60=AP$4)*(GMWQ!$LR$2:$LR$60=AP$1),0),$B154-1966)</f>
        <v>-2606</v>
      </c>
      <c r="AQ154" s="23" cm="1">
        <f t="array" ref="AQ154">INDEX(GMWQ!$A$2:$LR$60,MATCH(1,(GMWQ!$LQ$2:$LQ$60=AQ$3)*(GMWQ!$LP$2:$LP$60=AQ$4)*(GMWQ!$LR$2:$LR$60=AQ$1),0),$B154-1966)</f>
        <v>49136</v>
      </c>
      <c r="AR154" s="23" cm="1">
        <f t="array" ref="AR154">INDEX(GMWQ!$A$2:$LR$60,MATCH(1,(GMWQ!$LQ$2:$LQ$60=AR$3)*(GMWQ!$LP$2:$LP$60=AR$4)*(GMWQ!$LR$2:$LR$60=AR$1),0),$B154-1966)</f>
        <v>240359</v>
      </c>
      <c r="AS154" s="23" cm="1">
        <f t="array" ref="AS154">INDEX(GMWQ!$A$2:$LR$60,MATCH(1,(GMWQ!$LQ$2:$LQ$60=AS$3)*(GMWQ!$LP$2:$LP$60=AS$4)*(GMWQ!$LR$2:$LR$60=AS$1),0),$B154-1966)</f>
        <v>9981</v>
      </c>
      <c r="AT154" s="23" cm="1">
        <f t="array" ref="AT154">INDEX(GMWQ!$A$2:$LR$60,MATCH(1,(GMWQ!$LQ$2:$LQ$60=AT$3)*(GMWQ!$LP$2:$LP$60=AT$4)*(GMWQ!$LR$2:$LR$60=AT$1),0),$B154-1966)</f>
        <v>283264</v>
      </c>
      <c r="AU154" s="23" cm="1">
        <f t="array" ref="AU154">INDEX(GMWQ!$A$2:$LR$60,MATCH(1,(GMWQ!$LQ$2:$LQ$60=AU$3)*(GMWQ!$LP$2:$LP$60=AU$4)*(GMWQ!$LR$2:$LR$60=AU$1),0),$B154-1966)</f>
        <v>11645</v>
      </c>
    </row>
    <row r="155" spans="1:47" x14ac:dyDescent="0.35">
      <c r="A155" s="7">
        <v>2010</v>
      </c>
      <c r="B155" s="7">
        <f t="shared" si="3"/>
        <v>2121</v>
      </c>
      <c r="C155" s="7" cm="1">
        <f t="array" ref="C155">INDEX(GMWQ!$A$2:$LR$60,MATCH(1,(GMWQ!$LQ$2:$LQ$60=C$3)*(GMWQ!$LP$2:$LP$60=C$4)*(GMWQ!$LR$2:$LR$60=C$1),0),$B155-1966)</f>
        <v>464543</v>
      </c>
      <c r="D155" s="7" cm="1">
        <f t="array" ref="D155">INDEX(GMWQ!$A$2:$LR$60,MATCH(1,(GMWQ!$LQ$2:$LQ$60=D$3)*(GMWQ!$LP$2:$LP$60=D$4)*(GMWQ!$LR$2:$LR$60=D$1),0),$B155-1966)</f>
        <v>442</v>
      </c>
      <c r="E155" s="7" cm="1">
        <f t="array" ref="E155">INDEX(GMWQ!$A$2:$LR$60,MATCH(1,(GMWQ!$LQ$2:$LQ$60=E$3)*(GMWQ!$LP$2:$LP$60=E$4)*(GMWQ!$LR$2:$LR$60=E$1),0),$B155-1966)</f>
        <v>88.233329999999995</v>
      </c>
      <c r="F155" s="7" cm="1">
        <f t="array" ref="F155">INDEX(GMWQ!$A$2:$LR$60,MATCH(1,(GMWQ!$LQ$2:$LQ$60=F$3)*(GMWQ!$LP$2:$LP$60=F$4)*(GMWQ!$LR$2:$LR$60=F$1),0),$B155-1966)</f>
        <v>164017</v>
      </c>
      <c r="G155" s="7" cm="1">
        <f t="array" ref="G155">INDEX(GMWQ!$A$2:$LR$60,MATCH(1,(GMWQ!$LQ$2:$LQ$60=G$3)*(GMWQ!$LP$2:$LP$60=G$4)*(GMWQ!$LR$2:$LR$60=G$1),0),$B155-1966)</f>
        <v>37909</v>
      </c>
      <c r="H155" s="7" cm="1">
        <f t="array" ref="H155">INDEX(GMWQ!$A$2:$LR$60,MATCH(1,(GMWQ!$LQ$2:$LQ$60=H$3)*(GMWQ!$LP$2:$LP$60=H$4)*(GMWQ!$LR$2:$LR$60=H$1),0),$B155-1966)</f>
        <v>11759</v>
      </c>
      <c r="I155" s="7" cm="1">
        <f t="array" ref="I155">INDEX(GMWQ!$A$2:$LR$60,MATCH(1,(GMWQ!$LQ$2:$LQ$60=I$3)*(GMWQ!$LP$2:$LP$60=I$4)*(GMWQ!$LR$2:$LR$60=I$1),0),$B155-1966)</f>
        <v>84.842129999999997</v>
      </c>
      <c r="J155" s="7" cm="1">
        <f t="array" ref="J155">INDEX(GMWQ!$A$2:$LR$60,MATCH(1,(GMWQ!$LQ$2:$LQ$60=J$3)*(GMWQ!$LP$2:$LP$60=J$4)*(GMWQ!$LR$2:$LR$60=J$1),0),$B155-1966)</f>
        <v>24844</v>
      </c>
      <c r="K155" s="7" cm="1">
        <f t="array" ref="K155">INDEX(GMWQ!$A$2:$LR$60,MATCH(1,(GMWQ!$LQ$2:$LQ$60=K$3)*(GMWQ!$LP$2:$LP$60=K$4)*(GMWQ!$LR$2:$LR$60=K$1),0),$B155-1966)</f>
        <v>0.5</v>
      </c>
      <c r="L155" s="7" cm="1">
        <f t="array" ref="L155">INDEX(GMWQ!$A$2:$LR$60,MATCH(1,(GMWQ!$LQ$2:$LQ$60=L$3)*(GMWQ!$LP$2:$LP$60=L$4)*(GMWQ!$LR$2:$LR$60=L$1),0),$B155-1966)</f>
        <v>8</v>
      </c>
      <c r="M155" s="7" cm="1">
        <f t="array" ref="M155">INDEX(GMWQ!$A$2:$LR$60,MATCH(1,(GMWQ!$LQ$2:$LQ$60=M$3)*(GMWQ!$LP$2:$LP$60=M$4)*(GMWQ!$LR$2:$LR$60=M$1),0),$B155-1966)</f>
        <v>88.432659999999998</v>
      </c>
      <c r="N155" s="7" cm="1">
        <f t="array" ref="N155">INDEX(GMWQ!$A$2:$LR$60,MATCH(1,(GMWQ!$LQ$2:$LQ$60=N$3)*(GMWQ!$LP$2:$LP$60=N$4)*(GMWQ!$LR$2:$LR$60=N$1),0),$B155-1966)</f>
        <v>5085</v>
      </c>
      <c r="O155" s="7" cm="1">
        <f t="array" ref="O155">INDEX(GMWQ!$A$2:$LR$60,MATCH(1,(GMWQ!$LQ$2:$LQ$60=O$3)*(GMWQ!$LP$2:$LP$60=O$4)*(GMWQ!$LR$2:$LR$60=O$1),0),$B155-1966)</f>
        <v>4077</v>
      </c>
      <c r="P155" s="7" cm="1">
        <f t="array" ref="P155">INDEX(GMWQ!$A$2:$LR$60,MATCH(1,(GMWQ!$LQ$2:$LQ$60=P$3)*(GMWQ!$LP$2:$LP$60=P$4)*(GMWQ!$LR$2:$LR$60=P$1),0),$B155-1966)</f>
        <v>264214</v>
      </c>
      <c r="Q155" s="7" cm="1">
        <f t="array" ref="Q155">INDEX(GMWQ!$A$2:$LR$60,MATCH(1,(GMWQ!$LQ$2:$LQ$60=Q$3)*(GMWQ!$LP$2:$LP$60=Q$4)*(GMWQ!$LR$2:$LR$60=Q$1),0),$B155-1966)</f>
        <v>3.6666669999999999</v>
      </c>
      <c r="R155" s="7" cm="1">
        <f t="array" ref="R155">INDEX(GMWQ!$A$2:$LR$60,MATCH(1,(GMWQ!$LQ$2:$LQ$60=R$3)*(GMWQ!$LP$2:$LP$60=R$4)*(GMWQ!$LR$2:$LR$60=R$1),0),$B155-1966)</f>
        <v>143448</v>
      </c>
      <c r="S155" s="7" cm="1">
        <f t="array" ref="S155">INDEX(GMWQ!$A$2:$LR$60,MATCH(1,(GMWQ!$LQ$2:$LQ$60=S$3)*(GMWQ!$LP$2:$LP$60=S$4)*(GMWQ!$LR$2:$LR$60=S$1),0),$B155-1966)</f>
        <v>216.23</v>
      </c>
      <c r="T155" s="7" cm="1">
        <f t="array" ref="T155">INDEX(GMWQ!$A$2:$LR$60,MATCH(1,(GMWQ!$LQ$2:$LQ$60=T$3)*(GMWQ!$LP$2:$LP$60=T$4)*(GMWQ!$LR$2:$LR$60=T$1),0),$B155-1966)</f>
        <v>32644</v>
      </c>
      <c r="U155" s="7" cm="1">
        <f t="array" ref="U155">INDEX(GMWQ!$A$2:$LR$60,MATCH(1,(GMWQ!$LQ$2:$LQ$60=U$3)*(GMWQ!$LP$2:$LP$60=U$4)*(GMWQ!$LR$2:$LR$60=U$1),0),$B155-1966)</f>
        <v>2417</v>
      </c>
      <c r="V155" s="7" cm="1">
        <f t="array" ref="V155">INDEX(GMWQ!$A$2:$LR$60,MATCH(1,(GMWQ!$LQ$2:$LQ$60=V$3)*(GMWQ!$LP$2:$LP$60=V$4)*(GMWQ!$LR$2:$LR$60=V$1),0),$B155-1966)</f>
        <v>2.3679420000000001E-3</v>
      </c>
      <c r="W155" s="7" cm="1">
        <f t="array" ref="W155">INDEX(GMWQ!$A$2:$LR$60,MATCH(1,(GMWQ!$LQ$2:$LQ$60=W$3)*(GMWQ!$LP$2:$LP$60=W$4)*(GMWQ!$LR$2:$LR$60=W$1),0),$B155-1966)</f>
        <v>10.32108</v>
      </c>
      <c r="X155" s="7" cm="1">
        <f t="array" ref="X155">INDEX(GMWQ!$A$2:$LR$60,MATCH(1,(GMWQ!$LQ$2:$LQ$60=X$3)*(GMWQ!$LP$2:$LP$60=X$4)*(GMWQ!$LR$2:$LR$60=X$1),0),$B155-1966)</f>
        <v>2570325</v>
      </c>
      <c r="Y155" s="7" cm="1">
        <f t="array" ref="Y155">INDEX(GMWQ!$A$2:$LR$60,MATCH(1,(GMWQ!$LQ$2:$LQ$60=Y$3)*(GMWQ!$LP$2:$LP$60=Y$4)*(GMWQ!$LR$2:$LR$60=Y$1),0),$B155-1966)</f>
        <v>85.269390000000001</v>
      </c>
      <c r="Z155" s="7" cm="1">
        <f t="array" ref="Z155">INDEX(GMWQ!$A$2:$LR$60,MATCH(1,(GMWQ!$LQ$2:$LQ$60=Z$3)*(GMWQ!$LP$2:$LP$60=Z$4)*(GMWQ!$LR$2:$LR$60=Z$1),0),$B155-1966)</f>
        <v>484560.9</v>
      </c>
      <c r="AA155" s="7" cm="1">
        <f t="array" ref="AA155">INDEX(GMWQ!$A$2:$LR$60,MATCH(1,(GMWQ!$LQ$2:$LQ$60=AA$3)*(GMWQ!$LP$2:$LP$60=AA$4)*(GMWQ!$LR$2:$LR$60=AA$1),0),$B155-1966)</f>
        <v>160823</v>
      </c>
      <c r="AB155" s="7" cm="1">
        <f t="array" ref="AB155">INDEX(GMWQ!$A$2:$LR$60,MATCH(1,(GMWQ!$LQ$2:$LQ$60=AB$3)*(GMWQ!$LP$2:$LP$60=AB$4)*(GMWQ!$LR$2:$LR$60=AB$1),0),$B155-1966)</f>
        <v>163454</v>
      </c>
      <c r="AC155" s="7" cm="1">
        <f t="array" ref="AC155">INDEX(GMWQ!$A$2:$LR$60,MATCH(1,(GMWQ!$LQ$2:$LQ$60=AC$3)*(GMWQ!$LP$2:$LP$60=AC$4)*(GMWQ!$LR$2:$LR$60=AC$1),0),$B155-1966)</f>
        <v>17542</v>
      </c>
      <c r="AD155" s="7" cm="1">
        <f t="array" ref="AD155">INDEX(GMWQ!$A$2:$LR$60,MATCH(1,(GMWQ!$LQ$2:$LQ$60=AD$3)*(GMWQ!$LP$2:$LP$60=AD$4)*(GMWQ!$LR$2:$LR$60=AD$1),0),$B155-1966)</f>
        <v>10509</v>
      </c>
      <c r="AE155" s="7" cm="1">
        <f t="array" ref="AE155">INDEX(GMWQ!$A$2:$LR$60,MATCH(1,(GMWQ!$LQ$2:$LQ$60=AE$3)*(GMWQ!$LP$2:$LP$60=AE$4)*(GMWQ!$LR$2:$LR$60=AE$1),0),$B155-1966)</f>
        <v>396113</v>
      </c>
      <c r="AF155" s="20" cm="1">
        <f t="array" ref="AF155">INDEX(GMWQ!$A$2:$LR$60,MATCH(1,(GMWQ!$LQ$2:$LQ$60=AF$3)*(GMWQ!$LP$2:$LP$60=AF$4)*(GMWQ!$LR$2:$LR$60=AF$1),0),$B155-1966)</f>
        <v>0.5</v>
      </c>
      <c r="AG155" s="20" cm="1">
        <f t="array" ref="AG155">INDEX(GMWQ!$A$2:$LR$60,MATCH(1,(GMWQ!$LQ$2:$LQ$60=AG$3)*(GMWQ!$LP$2:$LP$60=AG$4)*(GMWQ!$LR$2:$LR$60=AG$1),0),$B155-1966)</f>
        <v>-1008</v>
      </c>
      <c r="AI155" s="23" cm="1">
        <f t="array" ref="AI155">INDEX(GMWQ!$A$2:$LR$60,MATCH(1,(GMWQ!$LQ$2:$LQ$60=AI$3)*(GMWQ!$LP$2:$LP$60=AI$4)*(GMWQ!$LR$2:$LR$60=AI$1),0),$B155-1966)</f>
        <v>264214</v>
      </c>
      <c r="AJ155" s="23" cm="1">
        <f t="array" ref="AJ155">INDEX(GMWQ!$A$2:$LR$60,MATCH(1,(GMWQ!$LQ$2:$LQ$60=AJ$3)*(GMWQ!$LP$2:$LP$60=AJ$4)*(GMWQ!$LR$2:$LR$60=AJ$1),0),$B155-1966)</f>
        <v>84.842129999999997</v>
      </c>
      <c r="AK155" s="23" cm="1">
        <f t="array" ref="AK155">INDEX(GMWQ!$A$2:$LR$60,MATCH(1,(GMWQ!$LQ$2:$LQ$60=AK$3)*(GMWQ!$LP$2:$LP$60=AK$4)*(GMWQ!$LR$2:$LR$60=AK$1),0),$B155-1966)</f>
        <v>164017</v>
      </c>
      <c r="AL155" s="23" cm="1">
        <f t="array" ref="AL155">INDEX(GMWQ!$A$2:$LR$60,MATCH(1,(GMWQ!$LQ$2:$LQ$60=AL$3)*(GMWQ!$LP$2:$LP$60=AL$4)*(GMWQ!$LR$2:$LR$60=AL$1),0),$B155-1966)</f>
        <v>6601.875</v>
      </c>
      <c r="AM155" s="23" cm="1">
        <f t="array" ref="AM155">INDEX(GMWQ!$A$2:$LR$60,MATCH(1,(GMWQ!$LQ$2:$LQ$60=AM$3)*(GMWQ!$LP$2:$LP$60=AM$4)*(GMWQ!$LR$2:$LR$60=AM$1),0),$B155-1966)</f>
        <v>24844</v>
      </c>
      <c r="AN155" s="23" cm="1">
        <f t="array" ref="AN155">INDEX(GMWQ!$A$2:$LR$60,MATCH(1,(GMWQ!$LQ$2:$LQ$60=AN$3)*(GMWQ!$LP$2:$LP$60=AN$4)*(GMWQ!$LR$2:$LR$60=AN$1),0),$B155-1966)</f>
        <v>37909</v>
      </c>
      <c r="AO155" s="23" cm="1">
        <f t="array" ref="AO155">INDEX(GMWQ!$A$2:$LR$60,MATCH(1,(GMWQ!$LQ$2:$LQ$60=AO$3)*(GMWQ!$LP$2:$LP$60=AO$4)*(GMWQ!$LR$2:$LR$60=AO$1),0),$B155-1966)</f>
        <v>11759</v>
      </c>
      <c r="AP155" s="23" cm="1">
        <f t="array" ref="AP155">INDEX(GMWQ!$A$2:$LR$60,MATCH(1,(GMWQ!$LQ$2:$LQ$60=AP$3)*(GMWQ!$LP$2:$LP$60=AP$4)*(GMWQ!$LR$2:$LR$60=AP$1),0),$B155-1966)</f>
        <v>-1008</v>
      </c>
      <c r="AQ155" s="23" cm="1">
        <f t="array" ref="AQ155">INDEX(GMWQ!$A$2:$LR$60,MATCH(1,(GMWQ!$LQ$2:$LQ$60=AQ$3)*(GMWQ!$LP$2:$LP$60=AQ$4)*(GMWQ!$LR$2:$LR$60=AQ$1),0),$B155-1966)</f>
        <v>48996</v>
      </c>
      <c r="AR155" s="23" cm="1">
        <f t="array" ref="AR155">INDEX(GMWQ!$A$2:$LR$60,MATCH(1,(GMWQ!$LQ$2:$LQ$60=AR$3)*(GMWQ!$LP$2:$LP$60=AR$4)*(GMWQ!$LR$2:$LR$60=AR$1),0),$B155-1966)</f>
        <v>239181</v>
      </c>
      <c r="AS155" s="23" cm="1">
        <f t="array" ref="AS155">INDEX(GMWQ!$A$2:$LR$60,MATCH(1,(GMWQ!$LQ$2:$LQ$60=AS$3)*(GMWQ!$LP$2:$LP$60=AS$4)*(GMWQ!$LR$2:$LR$60=AS$1),0),$B155-1966)</f>
        <v>9978</v>
      </c>
      <c r="AT155" s="23" cm="1">
        <f t="array" ref="AT155">INDEX(GMWQ!$A$2:$LR$60,MATCH(1,(GMWQ!$LQ$2:$LQ$60=AT$3)*(GMWQ!$LP$2:$LP$60=AT$4)*(GMWQ!$LR$2:$LR$60=AT$1),0),$B155-1966)</f>
        <v>281913</v>
      </c>
      <c r="AU155" s="23" cm="1">
        <f t="array" ref="AU155">INDEX(GMWQ!$A$2:$LR$60,MATCH(1,(GMWQ!$LQ$2:$LQ$60=AU$3)*(GMWQ!$LP$2:$LP$60=AU$4)*(GMWQ!$LR$2:$LR$60=AU$1),0),$B155-1966)</f>
        <v>11552</v>
      </c>
    </row>
    <row r="156" spans="1:47" x14ac:dyDescent="0.35">
      <c r="B156" s="7">
        <f t="shared" si="3"/>
        <v>2122</v>
      </c>
      <c r="C156" s="7" cm="1">
        <f t="array" ref="C156">INDEX(GMWQ!$A$2:$LR$60,MATCH(1,(GMWQ!$LQ$2:$LQ$60=C$3)*(GMWQ!$LP$2:$LP$60=C$4)*(GMWQ!$LR$2:$LR$60=C$1),0),$B156-1966)</f>
        <v>469606</v>
      </c>
      <c r="D156" s="7" cm="1">
        <f t="array" ref="D156">INDEX(GMWQ!$A$2:$LR$60,MATCH(1,(GMWQ!$LQ$2:$LQ$60=D$3)*(GMWQ!$LP$2:$LP$60=D$4)*(GMWQ!$LR$2:$LR$60=D$1),0),$B156-1966)</f>
        <v>442</v>
      </c>
      <c r="E156" s="7" cm="1">
        <f t="array" ref="E156">INDEX(GMWQ!$A$2:$LR$60,MATCH(1,(GMWQ!$LQ$2:$LQ$60=E$3)*(GMWQ!$LP$2:$LP$60=E$4)*(GMWQ!$LR$2:$LR$60=E$1),0),$B156-1966)</f>
        <v>89.366669999999999</v>
      </c>
      <c r="F156" s="7" cm="1">
        <f t="array" ref="F156">INDEX(GMWQ!$A$2:$LR$60,MATCH(1,(GMWQ!$LQ$2:$LQ$60=F$3)*(GMWQ!$LP$2:$LP$60=F$4)*(GMWQ!$LR$2:$LR$60=F$1),0),$B156-1966)</f>
        <v>163805</v>
      </c>
      <c r="G156" s="7" cm="1">
        <f t="array" ref="G156">INDEX(GMWQ!$A$2:$LR$60,MATCH(1,(GMWQ!$LQ$2:$LQ$60=G$3)*(GMWQ!$LP$2:$LP$60=G$4)*(GMWQ!$LR$2:$LR$60=G$1),0),$B156-1966)</f>
        <v>37551</v>
      </c>
      <c r="H156" s="7" cm="1">
        <f t="array" ref="H156">INDEX(GMWQ!$A$2:$LR$60,MATCH(1,(GMWQ!$LQ$2:$LQ$60=H$3)*(GMWQ!$LP$2:$LP$60=H$4)*(GMWQ!$LR$2:$LR$60=H$1),0),$B156-1966)</f>
        <v>11641</v>
      </c>
      <c r="I156" s="7" cm="1">
        <f t="array" ref="I156">INDEX(GMWQ!$A$2:$LR$60,MATCH(1,(GMWQ!$LQ$2:$LQ$60=I$3)*(GMWQ!$LP$2:$LP$60=I$4)*(GMWQ!$LR$2:$LR$60=I$1),0),$B156-1966)</f>
        <v>85.638739999999999</v>
      </c>
      <c r="J156" s="7" cm="1">
        <f t="array" ref="J156">INDEX(GMWQ!$A$2:$LR$60,MATCH(1,(GMWQ!$LQ$2:$LQ$60=J$3)*(GMWQ!$LP$2:$LP$60=J$4)*(GMWQ!$LR$2:$LR$60=J$1),0),$B156-1966)</f>
        <v>25019</v>
      </c>
      <c r="K156" s="7" cm="1">
        <f t="array" ref="K156">INDEX(GMWQ!$A$2:$LR$60,MATCH(1,(GMWQ!$LQ$2:$LQ$60=K$3)*(GMWQ!$LP$2:$LP$60=K$4)*(GMWQ!$LR$2:$LR$60=K$1),0),$B156-1966)</f>
        <v>0.5</v>
      </c>
      <c r="L156" s="7" cm="1">
        <f t="array" ref="L156">INDEX(GMWQ!$A$2:$LR$60,MATCH(1,(GMWQ!$LQ$2:$LQ$60=L$3)*(GMWQ!$LP$2:$LP$60=L$4)*(GMWQ!$LR$2:$LR$60=L$1),0),$B156-1966)</f>
        <v>7.9</v>
      </c>
      <c r="M156" s="7" cm="1">
        <f t="array" ref="M156">INDEX(GMWQ!$A$2:$LR$60,MATCH(1,(GMWQ!$LQ$2:$LQ$60=M$3)*(GMWQ!$LP$2:$LP$60=M$4)*(GMWQ!$LR$2:$LR$60=M$1),0),$B156-1966)</f>
        <v>88.789000000000001</v>
      </c>
      <c r="N156" s="7" cm="1">
        <f t="array" ref="N156">INDEX(GMWQ!$A$2:$LR$60,MATCH(1,(GMWQ!$LQ$2:$LQ$60=N$3)*(GMWQ!$LP$2:$LP$60=N$4)*(GMWQ!$LR$2:$LR$60=N$1),0),$B156-1966)</f>
        <v>5424</v>
      </c>
      <c r="O156" s="7" cm="1">
        <f t="array" ref="O156">INDEX(GMWQ!$A$2:$LR$60,MATCH(1,(GMWQ!$LQ$2:$LQ$60=O$3)*(GMWQ!$LP$2:$LP$60=O$4)*(GMWQ!$LR$2:$LR$60=O$1),0),$B156-1966)</f>
        <v>4523</v>
      </c>
      <c r="P156" s="7" cm="1">
        <f t="array" ref="P156">INDEX(GMWQ!$A$2:$LR$60,MATCH(1,(GMWQ!$LQ$2:$LQ$60=P$3)*(GMWQ!$LP$2:$LP$60=P$4)*(GMWQ!$LR$2:$LR$60=P$1),0),$B156-1966)</f>
        <v>267286</v>
      </c>
      <c r="Q156" s="7" cm="1">
        <f t="array" ref="Q156">INDEX(GMWQ!$A$2:$LR$60,MATCH(1,(GMWQ!$LQ$2:$LQ$60=Q$3)*(GMWQ!$LP$2:$LP$60=Q$4)*(GMWQ!$LR$2:$LR$60=Q$1),0),$B156-1966)</f>
        <v>3.66</v>
      </c>
      <c r="R156" s="7" cm="1">
        <f t="array" ref="R156">INDEX(GMWQ!$A$2:$LR$60,MATCH(1,(GMWQ!$LQ$2:$LQ$60=R$3)*(GMWQ!$LP$2:$LP$60=R$4)*(GMWQ!$LR$2:$LR$60=R$1),0),$B156-1966)</f>
        <v>149684</v>
      </c>
      <c r="S156" s="7" cm="1">
        <f t="array" ref="S156">INDEX(GMWQ!$A$2:$LR$60,MATCH(1,(GMWQ!$LQ$2:$LQ$60=S$3)*(GMWQ!$LP$2:$LP$60=S$4)*(GMWQ!$LR$2:$LR$60=S$1),0),$B156-1966)</f>
        <v>230.19</v>
      </c>
      <c r="T156" s="7" cm="1">
        <f t="array" ref="T156">INDEX(GMWQ!$A$2:$LR$60,MATCH(1,(GMWQ!$LQ$2:$LQ$60=T$3)*(GMWQ!$LP$2:$LP$60=T$4)*(GMWQ!$LR$2:$LR$60=T$1),0),$B156-1966)</f>
        <v>33710</v>
      </c>
      <c r="U156" s="7" cm="1">
        <f t="array" ref="U156">INDEX(GMWQ!$A$2:$LR$60,MATCH(1,(GMWQ!$LQ$2:$LQ$60=U$3)*(GMWQ!$LP$2:$LP$60=U$4)*(GMWQ!$LR$2:$LR$60=U$1),0),$B156-1966)</f>
        <v>1408</v>
      </c>
      <c r="V156" s="7" cm="1">
        <f t="array" ref="V156">INDEX(GMWQ!$A$2:$LR$60,MATCH(1,(GMWQ!$LQ$2:$LQ$60=V$3)*(GMWQ!$LP$2:$LP$60=V$4)*(GMWQ!$LR$2:$LR$60=V$1),0),$B156-1966)</f>
        <v>2.274042E-3</v>
      </c>
      <c r="W156" s="7" cm="1">
        <f t="array" ref="W156">INDEX(GMWQ!$A$2:$LR$60,MATCH(1,(GMWQ!$LQ$2:$LQ$60=W$3)*(GMWQ!$LP$2:$LP$60=W$4)*(GMWQ!$LR$2:$LR$60=W$1),0),$B156-1966)</f>
        <v>10.529540000000001</v>
      </c>
      <c r="X156" s="7" cm="1">
        <f t="array" ref="X156">INDEX(GMWQ!$A$2:$LR$60,MATCH(1,(GMWQ!$LQ$2:$LQ$60=X$3)*(GMWQ!$LP$2:$LP$60=X$4)*(GMWQ!$LR$2:$LR$60=X$1),0),$B156-1966)</f>
        <v>2606206</v>
      </c>
      <c r="Y156" s="7" cm="1">
        <f t="array" ref="Y156">INDEX(GMWQ!$A$2:$LR$60,MATCH(1,(GMWQ!$LQ$2:$LQ$60=Y$3)*(GMWQ!$LP$2:$LP$60=Y$4)*(GMWQ!$LR$2:$LR$60=Y$1),0),$B156-1966)</f>
        <v>85.456950000000006</v>
      </c>
      <c r="Z156" s="7" cm="1">
        <f t="array" ref="Z156">INDEX(GMWQ!$A$2:$LR$60,MATCH(1,(GMWQ!$LQ$2:$LQ$60=Z$3)*(GMWQ!$LP$2:$LP$60=Z$4)*(GMWQ!$LR$2:$LR$60=Z$1),0),$B156-1966)</f>
        <v>486604.3</v>
      </c>
      <c r="AA156" s="7" cm="1">
        <f t="array" ref="AA156">INDEX(GMWQ!$A$2:$LR$60,MATCH(1,(GMWQ!$LQ$2:$LQ$60=AA$3)*(GMWQ!$LP$2:$LP$60=AA$4)*(GMWQ!$LR$2:$LR$60=AA$1),0),$B156-1966)</f>
        <v>144158</v>
      </c>
      <c r="AB156" s="7" cm="1">
        <f t="array" ref="AB156">INDEX(GMWQ!$A$2:$LR$60,MATCH(1,(GMWQ!$LQ$2:$LQ$60=AB$3)*(GMWQ!$LP$2:$LP$60=AB$4)*(GMWQ!$LR$2:$LR$60=AB$1),0),$B156-1966)</f>
        <v>162430</v>
      </c>
      <c r="AC156" s="7" cm="1">
        <f t="array" ref="AC156">INDEX(GMWQ!$A$2:$LR$60,MATCH(1,(GMWQ!$LQ$2:$LQ$60=AC$3)*(GMWQ!$LP$2:$LP$60=AC$4)*(GMWQ!$LR$2:$LR$60=AC$1),0),$B156-1966)</f>
        <v>5682</v>
      </c>
      <c r="AD156" s="7" cm="1">
        <f t="array" ref="AD156">INDEX(GMWQ!$A$2:$LR$60,MATCH(1,(GMWQ!$LQ$2:$LQ$60=AD$3)*(GMWQ!$LP$2:$LP$60=AD$4)*(GMWQ!$LR$2:$LR$60=AD$1),0),$B156-1966)</f>
        <v>10480</v>
      </c>
      <c r="AE156" s="7" cm="1">
        <f t="array" ref="AE156">INDEX(GMWQ!$A$2:$LR$60,MATCH(1,(GMWQ!$LQ$2:$LQ$60=AE$3)*(GMWQ!$LP$2:$LP$60=AE$4)*(GMWQ!$LR$2:$LR$60=AE$1),0),$B156-1966)</f>
        <v>401311</v>
      </c>
      <c r="AF156" s="20" cm="1">
        <f t="array" ref="AF156">INDEX(GMWQ!$A$2:$LR$60,MATCH(1,(GMWQ!$LQ$2:$LQ$60=AF$3)*(GMWQ!$LP$2:$LP$60=AF$4)*(GMWQ!$LR$2:$LR$60=AF$1),0),$B156-1966)</f>
        <v>0.5</v>
      </c>
      <c r="AG156" s="20" cm="1">
        <f t="array" ref="AG156">INDEX(GMWQ!$A$2:$LR$60,MATCH(1,(GMWQ!$LQ$2:$LQ$60=AG$3)*(GMWQ!$LP$2:$LP$60=AG$4)*(GMWQ!$LR$2:$LR$60=AG$1),0),$B156-1966)</f>
        <v>-901</v>
      </c>
      <c r="AI156" s="23" cm="1">
        <f t="array" ref="AI156">INDEX(GMWQ!$A$2:$LR$60,MATCH(1,(GMWQ!$LQ$2:$LQ$60=AI$3)*(GMWQ!$LP$2:$LP$60=AI$4)*(GMWQ!$LR$2:$LR$60=AI$1),0),$B156-1966)</f>
        <v>267286</v>
      </c>
      <c r="AJ156" s="23" cm="1">
        <f t="array" ref="AJ156">INDEX(GMWQ!$A$2:$LR$60,MATCH(1,(GMWQ!$LQ$2:$LQ$60=AJ$3)*(GMWQ!$LP$2:$LP$60=AJ$4)*(GMWQ!$LR$2:$LR$60=AJ$1),0),$B156-1966)</f>
        <v>85.638739999999999</v>
      </c>
      <c r="AK156" s="23" cm="1">
        <f t="array" ref="AK156">INDEX(GMWQ!$A$2:$LR$60,MATCH(1,(GMWQ!$LQ$2:$LQ$60=AK$3)*(GMWQ!$LP$2:$LP$60=AK$4)*(GMWQ!$LR$2:$LR$60=AK$1),0),$B156-1966)</f>
        <v>163805</v>
      </c>
      <c r="AL156" s="23" cm="1">
        <f t="array" ref="AL156">INDEX(GMWQ!$A$2:$LR$60,MATCH(1,(GMWQ!$LQ$2:$LQ$60=AL$3)*(GMWQ!$LP$2:$LP$60=AL$4)*(GMWQ!$LR$2:$LR$60=AL$1),0),$B156-1966)</f>
        <v>6547.2240000000002</v>
      </c>
      <c r="AM156" s="23" cm="1">
        <f t="array" ref="AM156">INDEX(GMWQ!$A$2:$LR$60,MATCH(1,(GMWQ!$LQ$2:$LQ$60=AM$3)*(GMWQ!$LP$2:$LP$60=AM$4)*(GMWQ!$LR$2:$LR$60=AM$1),0),$B156-1966)</f>
        <v>25019</v>
      </c>
      <c r="AN156" s="23" cm="1">
        <f t="array" ref="AN156">INDEX(GMWQ!$A$2:$LR$60,MATCH(1,(GMWQ!$LQ$2:$LQ$60=AN$3)*(GMWQ!$LP$2:$LP$60=AN$4)*(GMWQ!$LR$2:$LR$60=AN$1),0),$B156-1966)</f>
        <v>37551</v>
      </c>
      <c r="AO156" s="23" cm="1">
        <f t="array" ref="AO156">INDEX(GMWQ!$A$2:$LR$60,MATCH(1,(GMWQ!$LQ$2:$LQ$60=AO$3)*(GMWQ!$LP$2:$LP$60=AO$4)*(GMWQ!$LR$2:$LR$60=AO$1),0),$B156-1966)</f>
        <v>11641</v>
      </c>
      <c r="AP156" s="23" cm="1">
        <f t="array" ref="AP156">INDEX(GMWQ!$A$2:$LR$60,MATCH(1,(GMWQ!$LQ$2:$LQ$60=AP$3)*(GMWQ!$LP$2:$LP$60=AP$4)*(GMWQ!$LR$2:$LR$60=AP$1),0),$B156-1966)</f>
        <v>-901</v>
      </c>
      <c r="AQ156" s="23" cm="1">
        <f t="array" ref="AQ156">INDEX(GMWQ!$A$2:$LR$60,MATCH(1,(GMWQ!$LQ$2:$LQ$60=AQ$3)*(GMWQ!$LP$2:$LP$60=AQ$4)*(GMWQ!$LR$2:$LR$60=AQ$1),0),$B156-1966)</f>
        <v>49560</v>
      </c>
      <c r="AR156" s="23" cm="1">
        <f t="array" ref="AR156">INDEX(GMWQ!$A$2:$LR$60,MATCH(1,(GMWQ!$LQ$2:$LQ$60=AR$3)*(GMWQ!$LP$2:$LP$60=AR$4)*(GMWQ!$LR$2:$LR$60=AR$1),0),$B156-1966)</f>
        <v>247448</v>
      </c>
      <c r="AS156" s="23" cm="1">
        <f t="array" ref="AS156">INDEX(GMWQ!$A$2:$LR$60,MATCH(1,(GMWQ!$LQ$2:$LQ$60=AS$3)*(GMWQ!$LP$2:$LP$60=AS$4)*(GMWQ!$LR$2:$LR$60=AS$1),0),$B156-1966)</f>
        <v>10001</v>
      </c>
      <c r="AT156" s="23" cm="1">
        <f t="array" ref="AT156">INDEX(GMWQ!$A$2:$LR$60,MATCH(1,(GMWQ!$LQ$2:$LQ$60=AT$3)*(GMWQ!$LP$2:$LP$60=AT$4)*(GMWQ!$LR$2:$LR$60=AT$1),0),$B156-1966)</f>
        <v>288944</v>
      </c>
      <c r="AU156" s="23" cm="1">
        <f t="array" ref="AU156">INDEX(GMWQ!$A$2:$LR$60,MATCH(1,(GMWQ!$LQ$2:$LQ$60=AU$3)*(GMWQ!$LP$2:$LP$60=AU$4)*(GMWQ!$LR$2:$LR$60=AU$1),0),$B156-1966)</f>
        <v>11648</v>
      </c>
    </row>
    <row r="157" spans="1:47" x14ac:dyDescent="0.35">
      <c r="B157" s="7">
        <f t="shared" si="3"/>
        <v>2123</v>
      </c>
      <c r="C157" s="7" cm="1">
        <f t="array" ref="C157">INDEX(GMWQ!$A$2:$LR$60,MATCH(1,(GMWQ!$LQ$2:$LQ$60=C$3)*(GMWQ!$LP$2:$LP$60=C$4)*(GMWQ!$LR$2:$LR$60=C$1),0),$B157-1966)</f>
        <v>472199</v>
      </c>
      <c r="D157" s="7" cm="1">
        <f t="array" ref="D157">INDEX(GMWQ!$A$2:$LR$60,MATCH(1,(GMWQ!$LQ$2:$LQ$60=D$3)*(GMWQ!$LP$2:$LP$60=D$4)*(GMWQ!$LR$2:$LR$60=D$1),0),$B157-1966)</f>
        <v>444.66669999999999</v>
      </c>
      <c r="E157" s="7" cm="1">
        <f t="array" ref="E157">INDEX(GMWQ!$A$2:$LR$60,MATCH(1,(GMWQ!$LQ$2:$LQ$60=E$3)*(GMWQ!$LP$2:$LP$60=E$4)*(GMWQ!$LR$2:$LR$60=E$1),0),$B157-1966)</f>
        <v>89.633330000000001</v>
      </c>
      <c r="F157" s="7" cm="1">
        <f t="array" ref="F157">INDEX(GMWQ!$A$2:$LR$60,MATCH(1,(GMWQ!$LQ$2:$LQ$60=F$3)*(GMWQ!$LP$2:$LP$60=F$4)*(GMWQ!$LR$2:$LR$60=F$1),0),$B157-1966)</f>
        <v>165789</v>
      </c>
      <c r="G157" s="7" cm="1">
        <f t="array" ref="G157">INDEX(GMWQ!$A$2:$LR$60,MATCH(1,(GMWQ!$LQ$2:$LQ$60=G$3)*(GMWQ!$LP$2:$LP$60=G$4)*(GMWQ!$LR$2:$LR$60=G$1),0),$B157-1966)</f>
        <v>38437</v>
      </c>
      <c r="H157" s="7" cm="1">
        <f t="array" ref="H157">INDEX(GMWQ!$A$2:$LR$60,MATCH(1,(GMWQ!$LQ$2:$LQ$60=H$3)*(GMWQ!$LP$2:$LP$60=H$4)*(GMWQ!$LR$2:$LR$60=H$1),0),$B157-1966)</f>
        <v>11760</v>
      </c>
      <c r="I157" s="7" cm="1">
        <f t="array" ref="I157">INDEX(GMWQ!$A$2:$LR$60,MATCH(1,(GMWQ!$LQ$2:$LQ$60=I$3)*(GMWQ!$LP$2:$LP$60=I$4)*(GMWQ!$LR$2:$LR$60=I$1),0),$B157-1966)</f>
        <v>86.208730000000003</v>
      </c>
      <c r="J157" s="7" cm="1">
        <f t="array" ref="J157">INDEX(GMWQ!$A$2:$LR$60,MATCH(1,(GMWQ!$LQ$2:$LQ$60=J$3)*(GMWQ!$LP$2:$LP$60=J$4)*(GMWQ!$LR$2:$LR$60=J$1),0),$B157-1966)</f>
        <v>25106</v>
      </c>
      <c r="K157" s="7" cm="1">
        <f t="array" ref="K157">INDEX(GMWQ!$A$2:$LR$60,MATCH(1,(GMWQ!$LQ$2:$LQ$60=K$3)*(GMWQ!$LP$2:$LP$60=K$4)*(GMWQ!$LR$2:$LR$60=K$1),0),$B157-1966)</f>
        <v>0.5</v>
      </c>
      <c r="L157" s="7" cm="1">
        <f t="array" ref="L157">INDEX(GMWQ!$A$2:$LR$60,MATCH(1,(GMWQ!$LQ$2:$LQ$60=L$3)*(GMWQ!$LP$2:$LP$60=L$4)*(GMWQ!$LR$2:$LR$60=L$1),0),$B157-1966)</f>
        <v>7.8</v>
      </c>
      <c r="M157" s="7" cm="1">
        <f t="array" ref="M157">INDEX(GMWQ!$A$2:$LR$60,MATCH(1,(GMWQ!$LQ$2:$LQ$60=M$3)*(GMWQ!$LP$2:$LP$60=M$4)*(GMWQ!$LR$2:$LR$60=M$1),0),$B157-1966)</f>
        <v>88.889660000000006</v>
      </c>
      <c r="N157" s="7" cm="1">
        <f t="array" ref="N157">INDEX(GMWQ!$A$2:$LR$60,MATCH(1,(GMWQ!$LQ$2:$LQ$60=N$3)*(GMWQ!$LP$2:$LP$60=N$4)*(GMWQ!$LR$2:$LR$60=N$1),0),$B157-1966)</f>
        <v>5343</v>
      </c>
      <c r="O157" s="7" cm="1">
        <f t="array" ref="O157">INDEX(GMWQ!$A$2:$LR$60,MATCH(1,(GMWQ!$LQ$2:$LQ$60=O$3)*(GMWQ!$LP$2:$LP$60=O$4)*(GMWQ!$LR$2:$LR$60=O$1),0),$B157-1966)</f>
        <v>4600</v>
      </c>
      <c r="P157" s="7" cm="1">
        <f t="array" ref="P157">INDEX(GMWQ!$A$2:$LR$60,MATCH(1,(GMWQ!$LQ$2:$LQ$60=P$3)*(GMWQ!$LP$2:$LP$60=P$4)*(GMWQ!$LR$2:$LR$60=P$1),0),$B157-1966)</f>
        <v>267899</v>
      </c>
      <c r="Q157" s="7" cm="1">
        <f t="array" ref="Q157">INDEX(GMWQ!$A$2:$LR$60,MATCH(1,(GMWQ!$LQ$2:$LQ$60=Q$3)*(GMWQ!$LP$2:$LP$60=Q$4)*(GMWQ!$LR$2:$LR$60=Q$1),0),$B157-1966)</f>
        <v>3.57</v>
      </c>
      <c r="R157" s="7" cm="1">
        <f t="array" ref="R157">INDEX(GMWQ!$A$2:$LR$60,MATCH(1,(GMWQ!$LQ$2:$LQ$60=R$3)*(GMWQ!$LP$2:$LP$60=R$4)*(GMWQ!$LR$2:$LR$60=R$1),0),$B157-1966)</f>
        <v>142902</v>
      </c>
      <c r="S157" s="7" cm="1">
        <f t="array" ref="S157">INDEX(GMWQ!$A$2:$LR$60,MATCH(1,(GMWQ!$LQ$2:$LQ$60=S$3)*(GMWQ!$LP$2:$LP$60=S$4)*(GMWQ!$LR$2:$LR$60=S$1),0),$B157-1966)</f>
        <v>226.9</v>
      </c>
      <c r="T157" s="7" cm="1">
        <f t="array" ref="T157">INDEX(GMWQ!$A$2:$LR$60,MATCH(1,(GMWQ!$LQ$2:$LQ$60=T$3)*(GMWQ!$LP$2:$LP$60=T$4)*(GMWQ!$LR$2:$LR$60=T$1),0),$B157-1966)</f>
        <v>34183</v>
      </c>
      <c r="U157" s="7" cm="1">
        <f t="array" ref="U157">INDEX(GMWQ!$A$2:$LR$60,MATCH(1,(GMWQ!$LQ$2:$LQ$60=U$3)*(GMWQ!$LP$2:$LP$60=U$4)*(GMWQ!$LR$2:$LR$60=U$1),0),$B157-1966)</f>
        <v>1323</v>
      </c>
      <c r="V157" s="7" cm="1">
        <f t="array" ref="V157">INDEX(GMWQ!$A$2:$LR$60,MATCH(1,(GMWQ!$LQ$2:$LQ$60=V$3)*(GMWQ!$LP$2:$LP$60=V$4)*(GMWQ!$LR$2:$LR$60=V$1),0),$B157-1966)</f>
        <v>2.115614E-3</v>
      </c>
      <c r="W157" s="7" cm="1">
        <f t="array" ref="W157">INDEX(GMWQ!$A$2:$LR$60,MATCH(1,(GMWQ!$LQ$2:$LQ$60=W$3)*(GMWQ!$LP$2:$LP$60=W$4)*(GMWQ!$LR$2:$LR$60=W$1),0),$B157-1966)</f>
        <v>9.1340199999999996</v>
      </c>
      <c r="X157" s="7" cm="1">
        <f t="array" ref="X157">INDEX(GMWQ!$A$2:$LR$60,MATCH(1,(GMWQ!$LQ$2:$LQ$60=X$3)*(GMWQ!$LP$2:$LP$60=X$4)*(GMWQ!$LR$2:$LR$60=X$1),0),$B157-1966)</f>
        <v>2620453</v>
      </c>
      <c r="Y157" s="7" cm="1">
        <f t="array" ref="Y157">INDEX(GMWQ!$A$2:$LR$60,MATCH(1,(GMWQ!$LQ$2:$LQ$60=Y$3)*(GMWQ!$LP$2:$LP$60=Y$4)*(GMWQ!$LR$2:$LR$60=Y$1),0),$B157-1966)</f>
        <v>85.599289999999996</v>
      </c>
      <c r="Z157" s="7" cm="1">
        <f t="array" ref="Z157">INDEX(GMWQ!$A$2:$LR$60,MATCH(1,(GMWQ!$LQ$2:$LQ$60=Z$3)*(GMWQ!$LP$2:$LP$60=Z$4)*(GMWQ!$LR$2:$LR$60=Z$1),0),$B157-1966)</f>
        <v>488989.2</v>
      </c>
      <c r="AA157" s="7" cm="1">
        <f t="array" ref="AA157">INDEX(GMWQ!$A$2:$LR$60,MATCH(1,(GMWQ!$LQ$2:$LQ$60=AA$3)*(GMWQ!$LP$2:$LP$60=AA$4)*(GMWQ!$LR$2:$LR$60=AA$1),0),$B157-1966)</f>
        <v>147917</v>
      </c>
      <c r="AB157" s="7" cm="1">
        <f t="array" ref="AB157">INDEX(GMWQ!$A$2:$LR$60,MATCH(1,(GMWQ!$LQ$2:$LQ$60=AB$3)*(GMWQ!$LP$2:$LP$60=AB$4)*(GMWQ!$LR$2:$LR$60=AB$1),0),$B157-1966)</f>
        <v>164687</v>
      </c>
      <c r="AC157" s="7" cm="1">
        <f t="array" ref="AC157">INDEX(GMWQ!$A$2:$LR$60,MATCH(1,(GMWQ!$LQ$2:$LQ$60=AC$3)*(GMWQ!$LP$2:$LP$60=AC$4)*(GMWQ!$LR$2:$LR$60=AC$1),0),$B157-1966)</f>
        <v>9226</v>
      </c>
      <c r="AD157" s="7" cm="1">
        <f t="array" ref="AD157">INDEX(GMWQ!$A$2:$LR$60,MATCH(1,(GMWQ!$LQ$2:$LQ$60=AD$3)*(GMWQ!$LP$2:$LP$60=AD$4)*(GMWQ!$LR$2:$LR$60=AD$1),0),$B157-1966)</f>
        <v>10466</v>
      </c>
      <c r="AE157" s="7" cm="1">
        <f t="array" ref="AE157">INDEX(GMWQ!$A$2:$LR$60,MATCH(1,(GMWQ!$LQ$2:$LQ$60=AE$3)*(GMWQ!$LP$2:$LP$60=AE$4)*(GMWQ!$LR$2:$LR$60=AE$1),0),$B157-1966)</f>
        <v>404199</v>
      </c>
      <c r="AF157" s="20" cm="1">
        <f t="array" ref="AF157">INDEX(GMWQ!$A$2:$LR$60,MATCH(1,(GMWQ!$LQ$2:$LQ$60=AF$3)*(GMWQ!$LP$2:$LP$60=AF$4)*(GMWQ!$LR$2:$LR$60=AF$1),0),$B157-1966)</f>
        <v>0.5</v>
      </c>
      <c r="AG157" s="20" cm="1">
        <f t="array" ref="AG157">INDEX(GMWQ!$A$2:$LR$60,MATCH(1,(GMWQ!$LQ$2:$LQ$60=AG$3)*(GMWQ!$LP$2:$LP$60=AG$4)*(GMWQ!$LR$2:$LR$60=AG$1),0),$B157-1966)</f>
        <v>-743</v>
      </c>
      <c r="AI157" s="23" cm="1">
        <f t="array" ref="AI157">INDEX(GMWQ!$A$2:$LR$60,MATCH(1,(GMWQ!$LQ$2:$LQ$60=AI$3)*(GMWQ!$LP$2:$LP$60=AI$4)*(GMWQ!$LR$2:$LR$60=AI$1),0),$B157-1966)</f>
        <v>267899</v>
      </c>
      <c r="AJ157" s="23" cm="1">
        <f t="array" ref="AJ157">INDEX(GMWQ!$A$2:$LR$60,MATCH(1,(GMWQ!$LQ$2:$LQ$60=AJ$3)*(GMWQ!$LP$2:$LP$60=AJ$4)*(GMWQ!$LR$2:$LR$60=AJ$1),0),$B157-1966)</f>
        <v>86.208730000000003</v>
      </c>
      <c r="AK157" s="23" cm="1">
        <f t="array" ref="AK157">INDEX(GMWQ!$A$2:$LR$60,MATCH(1,(GMWQ!$LQ$2:$LQ$60=AK$3)*(GMWQ!$LP$2:$LP$60=AK$4)*(GMWQ!$LR$2:$LR$60=AK$1),0),$B157-1966)</f>
        <v>165789</v>
      </c>
      <c r="AL157" s="23" cm="1">
        <f t="array" ref="AL157">INDEX(GMWQ!$A$2:$LR$60,MATCH(1,(GMWQ!$LQ$2:$LQ$60=AL$3)*(GMWQ!$LP$2:$LP$60=AL$4)*(GMWQ!$LR$2:$LR$60=AL$1),0),$B157-1966)</f>
        <v>6603.5609999999997</v>
      </c>
      <c r="AM157" s="23" cm="1">
        <f t="array" ref="AM157">INDEX(GMWQ!$A$2:$LR$60,MATCH(1,(GMWQ!$LQ$2:$LQ$60=AM$3)*(GMWQ!$LP$2:$LP$60=AM$4)*(GMWQ!$LR$2:$LR$60=AM$1),0),$B157-1966)</f>
        <v>25106</v>
      </c>
      <c r="AN157" s="23" cm="1">
        <f t="array" ref="AN157">INDEX(GMWQ!$A$2:$LR$60,MATCH(1,(GMWQ!$LQ$2:$LQ$60=AN$3)*(GMWQ!$LP$2:$LP$60=AN$4)*(GMWQ!$LR$2:$LR$60=AN$1),0),$B157-1966)</f>
        <v>38437</v>
      </c>
      <c r="AO157" s="23" cm="1">
        <f t="array" ref="AO157">INDEX(GMWQ!$A$2:$LR$60,MATCH(1,(GMWQ!$LQ$2:$LQ$60=AO$3)*(GMWQ!$LP$2:$LP$60=AO$4)*(GMWQ!$LR$2:$LR$60=AO$1),0),$B157-1966)</f>
        <v>11760</v>
      </c>
      <c r="AP157" s="23" cm="1">
        <f t="array" ref="AP157">INDEX(GMWQ!$A$2:$LR$60,MATCH(1,(GMWQ!$LQ$2:$LQ$60=AP$3)*(GMWQ!$LP$2:$LP$60=AP$4)*(GMWQ!$LR$2:$LR$60=AP$1),0),$B157-1966)</f>
        <v>-743</v>
      </c>
      <c r="AQ157" s="23" cm="1">
        <f t="array" ref="AQ157">INDEX(GMWQ!$A$2:$LR$60,MATCH(1,(GMWQ!$LQ$2:$LQ$60=AQ$3)*(GMWQ!$LP$2:$LP$60=AQ$4)*(GMWQ!$LR$2:$LR$60=AQ$1),0),$B157-1966)</f>
        <v>50765</v>
      </c>
      <c r="AR157" s="23" cm="1">
        <f t="array" ref="AR157">INDEX(GMWQ!$A$2:$LR$60,MATCH(1,(GMWQ!$LQ$2:$LQ$60=AR$3)*(GMWQ!$LP$2:$LP$60=AR$4)*(GMWQ!$LR$2:$LR$60=AR$1),0),$B157-1966)</f>
        <v>249276</v>
      </c>
      <c r="AS157" s="23" cm="1">
        <f t="array" ref="AS157">INDEX(GMWQ!$A$2:$LR$60,MATCH(1,(GMWQ!$LQ$2:$LQ$60=AS$3)*(GMWQ!$LP$2:$LP$60=AS$4)*(GMWQ!$LR$2:$LR$60=AS$1),0),$B157-1966)</f>
        <v>10075</v>
      </c>
      <c r="AT157" s="23" cm="1">
        <f t="array" ref="AT157">INDEX(GMWQ!$A$2:$LR$60,MATCH(1,(GMWQ!$LQ$2:$LQ$60=AT$3)*(GMWQ!$LP$2:$LP$60=AT$4)*(GMWQ!$LR$2:$LR$60=AT$1),0),$B157-1966)</f>
        <v>289154</v>
      </c>
      <c r="AU157" s="23" cm="1">
        <f t="array" ref="AU157">INDEX(GMWQ!$A$2:$LR$60,MATCH(1,(GMWQ!$LQ$2:$LQ$60=AU$3)*(GMWQ!$LP$2:$LP$60=AU$4)*(GMWQ!$LR$2:$LR$60=AU$1),0),$B157-1966)</f>
        <v>11687</v>
      </c>
    </row>
    <row r="158" spans="1:47" x14ac:dyDescent="0.35">
      <c r="B158" s="7">
        <f t="shared" si="3"/>
        <v>2124</v>
      </c>
      <c r="C158" s="7" cm="1">
        <f t="array" ref="C158">INDEX(GMWQ!$A$2:$LR$60,MATCH(1,(GMWQ!$LQ$2:$LQ$60=C$3)*(GMWQ!$LP$2:$LP$60=C$4)*(GMWQ!$LR$2:$LR$60=C$1),0),$B158-1966)</f>
        <v>472612</v>
      </c>
      <c r="D158" s="7" cm="1">
        <f t="array" ref="D158">INDEX(GMWQ!$A$2:$LR$60,MATCH(1,(GMWQ!$LQ$2:$LQ$60=D$3)*(GMWQ!$LP$2:$LP$60=D$4)*(GMWQ!$LR$2:$LR$60=D$1),0),$B158-1966)</f>
        <v>448</v>
      </c>
      <c r="E158" s="7" cm="1">
        <f t="array" ref="E158">INDEX(GMWQ!$A$2:$LR$60,MATCH(1,(GMWQ!$LQ$2:$LQ$60=E$3)*(GMWQ!$LP$2:$LP$60=E$4)*(GMWQ!$LR$2:$LR$60=E$1),0),$B158-1966)</f>
        <v>90.5</v>
      </c>
      <c r="F158" s="7" cm="1">
        <f t="array" ref="F158">INDEX(GMWQ!$A$2:$LR$60,MATCH(1,(GMWQ!$LQ$2:$LQ$60=F$3)*(GMWQ!$LP$2:$LP$60=F$4)*(GMWQ!$LR$2:$LR$60=F$1),0),$B158-1966)</f>
        <v>166084</v>
      </c>
      <c r="G158" s="7" cm="1">
        <f t="array" ref="G158">INDEX(GMWQ!$A$2:$LR$60,MATCH(1,(GMWQ!$LQ$2:$LQ$60=G$3)*(GMWQ!$LP$2:$LP$60=G$4)*(GMWQ!$LR$2:$LR$60=G$1),0),$B158-1966)</f>
        <v>38523</v>
      </c>
      <c r="H158" s="7" cm="1">
        <f t="array" ref="H158">INDEX(GMWQ!$A$2:$LR$60,MATCH(1,(GMWQ!$LQ$2:$LQ$60=H$3)*(GMWQ!$LP$2:$LP$60=H$4)*(GMWQ!$LR$2:$LR$60=H$1),0),$B158-1966)</f>
        <v>11869</v>
      </c>
      <c r="I158" s="7" cm="1">
        <f t="array" ref="I158">INDEX(GMWQ!$A$2:$LR$60,MATCH(1,(GMWQ!$LQ$2:$LQ$60=I$3)*(GMWQ!$LP$2:$LP$60=I$4)*(GMWQ!$LR$2:$LR$60=I$1),0),$B158-1966)</f>
        <v>86.952079999999995</v>
      </c>
      <c r="J158" s="7" cm="1">
        <f t="array" ref="J158">INDEX(GMWQ!$A$2:$LR$60,MATCH(1,(GMWQ!$LQ$2:$LQ$60=J$3)*(GMWQ!$LP$2:$LP$60=J$4)*(GMWQ!$LR$2:$LR$60=J$1),0),$B158-1966)</f>
        <v>25098</v>
      </c>
      <c r="K158" s="7" cm="1">
        <f t="array" ref="K158">INDEX(GMWQ!$A$2:$LR$60,MATCH(1,(GMWQ!$LQ$2:$LQ$60=K$3)*(GMWQ!$LP$2:$LP$60=K$4)*(GMWQ!$LR$2:$LR$60=K$1),0),$B158-1966)</f>
        <v>0.5</v>
      </c>
      <c r="L158" s="7" cm="1">
        <f t="array" ref="L158">INDEX(GMWQ!$A$2:$LR$60,MATCH(1,(GMWQ!$LQ$2:$LQ$60=L$3)*(GMWQ!$LP$2:$LP$60=L$4)*(GMWQ!$LR$2:$LR$60=L$1),0),$B158-1966)</f>
        <v>7.9</v>
      </c>
      <c r="M158" s="7" cm="1">
        <f t="array" ref="M158">INDEX(GMWQ!$A$2:$LR$60,MATCH(1,(GMWQ!$LQ$2:$LQ$60=M$3)*(GMWQ!$LP$2:$LP$60=M$4)*(GMWQ!$LR$2:$LR$60=M$1),0),$B158-1966)</f>
        <v>88.122669999999999</v>
      </c>
      <c r="N158" s="7" cm="1">
        <f t="array" ref="N158">INDEX(GMWQ!$A$2:$LR$60,MATCH(1,(GMWQ!$LQ$2:$LQ$60=N$3)*(GMWQ!$LP$2:$LP$60=N$4)*(GMWQ!$LR$2:$LR$60=N$1),0),$B158-1966)</f>
        <v>6028</v>
      </c>
      <c r="O158" s="7" cm="1">
        <f t="array" ref="O158">INDEX(GMWQ!$A$2:$LR$60,MATCH(1,(GMWQ!$LQ$2:$LQ$60=O$3)*(GMWQ!$LP$2:$LP$60=O$4)*(GMWQ!$LR$2:$LR$60=O$1),0),$B158-1966)</f>
        <v>5110</v>
      </c>
      <c r="P158" s="7" cm="1">
        <f t="array" ref="P158">INDEX(GMWQ!$A$2:$LR$60,MATCH(1,(GMWQ!$LQ$2:$LQ$60=P$3)*(GMWQ!$LP$2:$LP$60=P$4)*(GMWQ!$LR$2:$LR$60=P$1),0),$B158-1966)</f>
        <v>268231</v>
      </c>
      <c r="Q158" s="7" cm="1">
        <f t="array" ref="Q158">INDEX(GMWQ!$A$2:$LR$60,MATCH(1,(GMWQ!$LQ$2:$LQ$60=Q$3)*(GMWQ!$LP$2:$LP$60=Q$4)*(GMWQ!$LR$2:$LR$60=Q$1),0),$B158-1966)</f>
        <v>3.5066670000000002</v>
      </c>
      <c r="R158" s="7" cm="1">
        <f t="array" ref="R158">INDEX(GMWQ!$A$2:$LR$60,MATCH(1,(GMWQ!$LQ$2:$LQ$60=R$3)*(GMWQ!$LP$2:$LP$60=R$4)*(GMWQ!$LR$2:$LR$60=R$1),0),$B158-1966)</f>
        <v>134730</v>
      </c>
      <c r="S158" s="7" cm="1">
        <f t="array" ref="S158">INDEX(GMWQ!$A$2:$LR$60,MATCH(1,(GMWQ!$LQ$2:$LQ$60=S$3)*(GMWQ!$LP$2:$LP$60=S$4)*(GMWQ!$LR$2:$LR$60=S$1),0),$B158-1966)</f>
        <v>210.74</v>
      </c>
      <c r="T158" s="7" cm="1">
        <f t="array" ref="T158">INDEX(GMWQ!$A$2:$LR$60,MATCH(1,(GMWQ!$LQ$2:$LQ$60=T$3)*(GMWQ!$LP$2:$LP$60=T$4)*(GMWQ!$LR$2:$LR$60=T$1),0),$B158-1966)</f>
        <v>32802</v>
      </c>
      <c r="U158" s="7" cm="1">
        <f t="array" ref="U158">INDEX(GMWQ!$A$2:$LR$60,MATCH(1,(GMWQ!$LQ$2:$LQ$60=U$3)*(GMWQ!$LP$2:$LP$60=U$4)*(GMWQ!$LR$2:$LR$60=U$1),0),$B158-1966)</f>
        <v>715</v>
      </c>
      <c r="V158" s="7" cm="1">
        <f t="array" ref="V158">INDEX(GMWQ!$A$2:$LR$60,MATCH(1,(GMWQ!$LQ$2:$LQ$60=V$3)*(GMWQ!$LP$2:$LP$60=V$4)*(GMWQ!$LR$2:$LR$60=V$1),0),$B158-1966)</f>
        <v>2.136892E-3</v>
      </c>
      <c r="W158" s="7" cm="1">
        <f t="array" ref="W158">INDEX(GMWQ!$A$2:$LR$60,MATCH(1,(GMWQ!$LQ$2:$LQ$60=W$3)*(GMWQ!$LP$2:$LP$60=W$4)*(GMWQ!$LR$2:$LR$60=W$1),0),$B158-1966)</f>
        <v>10.415570000000001</v>
      </c>
      <c r="X158" s="7" cm="1">
        <f t="array" ref="X158">INDEX(GMWQ!$A$2:$LR$60,MATCH(1,(GMWQ!$LQ$2:$LQ$60=X$3)*(GMWQ!$LP$2:$LP$60=X$4)*(GMWQ!$LR$2:$LR$60=X$1),0),$B158-1966)</f>
        <v>2644201</v>
      </c>
      <c r="Y158" s="7" cm="1">
        <f t="array" ref="Y158">INDEX(GMWQ!$A$2:$LR$60,MATCH(1,(GMWQ!$LQ$2:$LQ$60=Y$3)*(GMWQ!$LP$2:$LP$60=Y$4)*(GMWQ!$LR$2:$LR$60=Y$1),0),$B158-1966)</f>
        <v>86.102339999999998</v>
      </c>
      <c r="Z158" s="7" cm="1">
        <f t="array" ref="Z158">INDEX(GMWQ!$A$2:$LR$60,MATCH(1,(GMWQ!$LQ$2:$LQ$60=Z$3)*(GMWQ!$LP$2:$LP$60=Z$4)*(GMWQ!$LR$2:$LR$60=Z$1),0),$B158-1966)</f>
        <v>491360.7</v>
      </c>
      <c r="AA158" s="7" cm="1">
        <f t="array" ref="AA158">INDEX(GMWQ!$A$2:$LR$60,MATCH(1,(GMWQ!$LQ$2:$LQ$60=AA$3)*(GMWQ!$LP$2:$LP$60=AA$4)*(GMWQ!$LR$2:$LR$60=AA$1),0),$B158-1966)</f>
        <v>141092</v>
      </c>
      <c r="AB158" s="7" cm="1">
        <f t="array" ref="AB158">INDEX(GMWQ!$A$2:$LR$60,MATCH(1,(GMWQ!$LQ$2:$LQ$60=AB$3)*(GMWQ!$LP$2:$LP$60=AB$4)*(GMWQ!$LR$2:$LR$60=AB$1),0),$B158-1966)</f>
        <v>167607</v>
      </c>
      <c r="AC158" s="7" cm="1">
        <f t="array" ref="AC158">INDEX(GMWQ!$A$2:$LR$60,MATCH(1,(GMWQ!$LQ$2:$LQ$60=AC$3)*(GMWQ!$LP$2:$LP$60=AC$4)*(GMWQ!$LR$2:$LR$60=AC$1),0),$B158-1966)</f>
        <v>9043</v>
      </c>
      <c r="AD158" s="7" cm="1">
        <f t="array" ref="AD158">INDEX(GMWQ!$A$2:$LR$60,MATCH(1,(GMWQ!$LQ$2:$LQ$60=AD$3)*(GMWQ!$LP$2:$LP$60=AD$4)*(GMWQ!$LR$2:$LR$60=AD$1),0),$B158-1966)</f>
        <v>10463</v>
      </c>
      <c r="AE158" s="7" cm="1">
        <f t="array" ref="AE158">INDEX(GMWQ!$A$2:$LR$60,MATCH(1,(GMWQ!$LQ$2:$LQ$60=AE$3)*(GMWQ!$LP$2:$LP$60=AE$4)*(GMWQ!$LR$2:$LR$60=AE$1),0),$B158-1966)</f>
        <v>406930</v>
      </c>
      <c r="AF158" s="20" cm="1">
        <f t="array" ref="AF158">INDEX(GMWQ!$A$2:$LR$60,MATCH(1,(GMWQ!$LQ$2:$LQ$60=AF$3)*(GMWQ!$LP$2:$LP$60=AF$4)*(GMWQ!$LR$2:$LR$60=AF$1),0),$B158-1966)</f>
        <v>0.5</v>
      </c>
      <c r="AG158" s="20" cm="1">
        <f t="array" ref="AG158">INDEX(GMWQ!$A$2:$LR$60,MATCH(1,(GMWQ!$LQ$2:$LQ$60=AG$3)*(GMWQ!$LP$2:$LP$60=AG$4)*(GMWQ!$LR$2:$LR$60=AG$1),0),$B158-1966)</f>
        <v>-918</v>
      </c>
      <c r="AI158" s="23" cm="1">
        <f t="array" ref="AI158">INDEX(GMWQ!$A$2:$LR$60,MATCH(1,(GMWQ!$LQ$2:$LQ$60=AI$3)*(GMWQ!$LP$2:$LP$60=AI$4)*(GMWQ!$LR$2:$LR$60=AI$1),0),$B158-1966)</f>
        <v>268231</v>
      </c>
      <c r="AJ158" s="23" cm="1">
        <f t="array" ref="AJ158">INDEX(GMWQ!$A$2:$LR$60,MATCH(1,(GMWQ!$LQ$2:$LQ$60=AJ$3)*(GMWQ!$LP$2:$LP$60=AJ$4)*(GMWQ!$LR$2:$LR$60=AJ$1),0),$B158-1966)</f>
        <v>86.952079999999995</v>
      </c>
      <c r="AK158" s="23" cm="1">
        <f t="array" ref="AK158">INDEX(GMWQ!$A$2:$LR$60,MATCH(1,(GMWQ!$LQ$2:$LQ$60=AK$3)*(GMWQ!$LP$2:$LP$60=AK$4)*(GMWQ!$LR$2:$LR$60=AK$1),0),$B158-1966)</f>
        <v>166084</v>
      </c>
      <c r="AL158" s="23" cm="1">
        <f t="array" ref="AL158">INDEX(GMWQ!$A$2:$LR$60,MATCH(1,(GMWQ!$LQ$2:$LQ$60=AL$3)*(GMWQ!$LP$2:$LP$60=AL$4)*(GMWQ!$LR$2:$LR$60=AL$1),0),$B158-1966)</f>
        <v>6617.42</v>
      </c>
      <c r="AM158" s="23" cm="1">
        <f t="array" ref="AM158">INDEX(GMWQ!$A$2:$LR$60,MATCH(1,(GMWQ!$LQ$2:$LQ$60=AM$3)*(GMWQ!$LP$2:$LP$60=AM$4)*(GMWQ!$LR$2:$LR$60=AM$1),0),$B158-1966)</f>
        <v>25098</v>
      </c>
      <c r="AN158" s="23" cm="1">
        <f t="array" ref="AN158">INDEX(GMWQ!$A$2:$LR$60,MATCH(1,(GMWQ!$LQ$2:$LQ$60=AN$3)*(GMWQ!$LP$2:$LP$60=AN$4)*(GMWQ!$LR$2:$LR$60=AN$1),0),$B158-1966)</f>
        <v>38523</v>
      </c>
      <c r="AO158" s="23" cm="1">
        <f t="array" ref="AO158">INDEX(GMWQ!$A$2:$LR$60,MATCH(1,(GMWQ!$LQ$2:$LQ$60=AO$3)*(GMWQ!$LP$2:$LP$60=AO$4)*(GMWQ!$LR$2:$LR$60=AO$1),0),$B158-1966)</f>
        <v>11869</v>
      </c>
      <c r="AP158" s="23" cm="1">
        <f t="array" ref="AP158">INDEX(GMWQ!$A$2:$LR$60,MATCH(1,(GMWQ!$LQ$2:$LQ$60=AP$3)*(GMWQ!$LP$2:$LP$60=AP$4)*(GMWQ!$LR$2:$LR$60=AP$1),0),$B158-1966)</f>
        <v>-918</v>
      </c>
      <c r="AQ158" s="23" cm="1">
        <f t="array" ref="AQ158">INDEX(GMWQ!$A$2:$LR$60,MATCH(1,(GMWQ!$LQ$2:$LQ$60=AQ$3)*(GMWQ!$LP$2:$LP$60=AQ$4)*(GMWQ!$LR$2:$LR$60=AQ$1),0),$B158-1966)</f>
        <v>51239</v>
      </c>
      <c r="AR158" s="23" cm="1">
        <f t="array" ref="AR158">INDEX(GMWQ!$A$2:$LR$60,MATCH(1,(GMWQ!$LQ$2:$LQ$60=AR$3)*(GMWQ!$LP$2:$LP$60=AR$4)*(GMWQ!$LR$2:$LR$60=AR$1),0),$B158-1966)</f>
        <v>251115</v>
      </c>
      <c r="AS158" s="23" cm="1">
        <f t="array" ref="AS158">INDEX(GMWQ!$A$2:$LR$60,MATCH(1,(GMWQ!$LQ$2:$LQ$60=AS$3)*(GMWQ!$LP$2:$LP$60=AS$4)*(GMWQ!$LR$2:$LR$60=AS$1),0),$B158-1966)</f>
        <v>10042</v>
      </c>
      <c r="AT158" s="23" cm="1">
        <f t="array" ref="AT158">INDEX(GMWQ!$A$2:$LR$60,MATCH(1,(GMWQ!$LQ$2:$LQ$60=AT$3)*(GMWQ!$LP$2:$LP$60=AT$4)*(GMWQ!$LR$2:$LR$60=AT$1),0),$B158-1966)</f>
        <v>288797</v>
      </c>
      <c r="AU158" s="23" cm="1">
        <f t="array" ref="AU158">INDEX(GMWQ!$A$2:$LR$60,MATCH(1,(GMWQ!$LQ$2:$LQ$60=AU$3)*(GMWQ!$LP$2:$LP$60=AU$4)*(GMWQ!$LR$2:$LR$60=AU$1),0),$B158-1966)</f>
        <v>11545</v>
      </c>
    </row>
    <row r="159" spans="1:47" x14ac:dyDescent="0.35">
      <c r="A159" s="7">
        <v>2011</v>
      </c>
      <c r="B159" s="7">
        <f t="shared" si="3"/>
        <v>2125</v>
      </c>
      <c r="C159" s="7" cm="1">
        <f t="array" ref="C159">INDEX(GMWQ!$A$2:$LR$60,MATCH(1,(GMWQ!$LQ$2:$LQ$60=C$3)*(GMWQ!$LP$2:$LP$60=C$4)*(GMWQ!$LR$2:$LR$60=C$1),0),$B159-1966)</f>
        <v>473819</v>
      </c>
      <c r="D159" s="7" cm="1">
        <f t="array" ref="D159">INDEX(GMWQ!$A$2:$LR$60,MATCH(1,(GMWQ!$LQ$2:$LQ$60=D$3)*(GMWQ!$LP$2:$LP$60=D$4)*(GMWQ!$LR$2:$LR$60=D$1),0),$B159-1966)</f>
        <v>454.66669999999999</v>
      </c>
      <c r="E159" s="7" cm="1">
        <f t="array" ref="E159">INDEX(GMWQ!$A$2:$LR$60,MATCH(1,(GMWQ!$LQ$2:$LQ$60=E$3)*(GMWQ!$LP$2:$LP$60=E$4)*(GMWQ!$LR$2:$LR$60=E$1),0),$B159-1966)</f>
        <v>91.833340000000007</v>
      </c>
      <c r="F159" s="7" cm="1">
        <f t="array" ref="F159">INDEX(GMWQ!$A$2:$LR$60,MATCH(1,(GMWQ!$LQ$2:$LQ$60=F$3)*(GMWQ!$LP$2:$LP$60=F$4)*(GMWQ!$LR$2:$LR$60=F$1),0),$B159-1966)</f>
        <v>170699</v>
      </c>
      <c r="G159" s="7" cm="1">
        <f t="array" ref="G159">INDEX(GMWQ!$A$2:$LR$60,MATCH(1,(GMWQ!$LQ$2:$LQ$60=G$3)*(GMWQ!$LP$2:$LP$60=G$4)*(GMWQ!$LR$2:$LR$60=G$1),0),$B159-1966)</f>
        <v>39836</v>
      </c>
      <c r="H159" s="7" cm="1">
        <f t="array" ref="H159">INDEX(GMWQ!$A$2:$LR$60,MATCH(1,(GMWQ!$LQ$2:$LQ$60=H$3)*(GMWQ!$LP$2:$LP$60=H$4)*(GMWQ!$LR$2:$LR$60=H$1),0),$B159-1966)</f>
        <v>12578</v>
      </c>
      <c r="I159" s="7" cm="1">
        <f t="array" ref="I159">INDEX(GMWQ!$A$2:$LR$60,MATCH(1,(GMWQ!$LQ$2:$LQ$60=I$3)*(GMWQ!$LP$2:$LP$60=I$4)*(GMWQ!$LR$2:$LR$60=I$1),0),$B159-1966)</f>
        <v>88.543300000000002</v>
      </c>
      <c r="J159" s="7" cm="1">
        <f t="array" ref="J159">INDEX(GMWQ!$A$2:$LR$60,MATCH(1,(GMWQ!$LQ$2:$LQ$60=J$3)*(GMWQ!$LP$2:$LP$60=J$4)*(GMWQ!$LR$2:$LR$60=J$1),0),$B159-1966)</f>
        <v>25235</v>
      </c>
      <c r="K159" s="7" cm="1">
        <f t="array" ref="K159">INDEX(GMWQ!$A$2:$LR$60,MATCH(1,(GMWQ!$LQ$2:$LQ$60=K$3)*(GMWQ!$LP$2:$LP$60=K$4)*(GMWQ!$LR$2:$LR$60=K$1),0),$B159-1966)</f>
        <v>0.5</v>
      </c>
      <c r="L159" s="7" cm="1">
        <f t="array" ref="L159">INDEX(GMWQ!$A$2:$LR$60,MATCH(1,(GMWQ!$LQ$2:$LQ$60=L$3)*(GMWQ!$LP$2:$LP$60=L$4)*(GMWQ!$LR$2:$LR$60=L$1),0),$B159-1966)</f>
        <v>7.8</v>
      </c>
      <c r="M159" s="7" cm="1">
        <f t="array" ref="M159">INDEX(GMWQ!$A$2:$LR$60,MATCH(1,(GMWQ!$LQ$2:$LQ$60=M$3)*(GMWQ!$LP$2:$LP$60=M$4)*(GMWQ!$LR$2:$LR$60=M$1),0),$B159-1966)</f>
        <v>87.697000000000003</v>
      </c>
      <c r="N159" s="7" cm="1">
        <f t="array" ref="N159">INDEX(GMWQ!$A$2:$LR$60,MATCH(1,(GMWQ!$LQ$2:$LQ$60=N$3)*(GMWQ!$LP$2:$LP$60=N$4)*(GMWQ!$LR$2:$LR$60=N$1),0),$B159-1966)</f>
        <v>5826</v>
      </c>
      <c r="O159" s="7" cm="1">
        <f t="array" ref="O159">INDEX(GMWQ!$A$2:$LR$60,MATCH(1,(GMWQ!$LQ$2:$LQ$60=O$3)*(GMWQ!$LP$2:$LP$60=O$4)*(GMWQ!$LR$2:$LR$60=O$1),0),$B159-1966)</f>
        <v>5228</v>
      </c>
      <c r="P159" s="7" cm="1">
        <f t="array" ref="P159">INDEX(GMWQ!$A$2:$LR$60,MATCH(1,(GMWQ!$LQ$2:$LQ$60=P$3)*(GMWQ!$LP$2:$LP$60=P$4)*(GMWQ!$LR$2:$LR$60=P$1),0),$B159-1966)</f>
        <v>265775</v>
      </c>
      <c r="Q159" s="7" cm="1">
        <f t="array" ref="Q159">INDEX(GMWQ!$A$2:$LR$60,MATCH(1,(GMWQ!$LQ$2:$LQ$60=Q$3)*(GMWQ!$LP$2:$LP$60=Q$4)*(GMWQ!$LR$2:$LR$60=Q$1),0),$B159-1966)</f>
        <v>3.496667</v>
      </c>
      <c r="R159" s="7" cm="1">
        <f t="array" ref="R159">INDEX(GMWQ!$A$2:$LR$60,MATCH(1,(GMWQ!$LQ$2:$LQ$60=R$3)*(GMWQ!$LP$2:$LP$60=R$4)*(GMWQ!$LR$2:$LR$60=R$1),0),$B159-1966)</f>
        <v>138805</v>
      </c>
      <c r="S159" s="7" cm="1">
        <f t="array" ref="S159">INDEX(GMWQ!$A$2:$LR$60,MATCH(1,(GMWQ!$LQ$2:$LQ$60=S$3)*(GMWQ!$LP$2:$LP$60=S$4)*(GMWQ!$LR$2:$LR$60=S$1),0),$B159-1966)</f>
        <v>208.63</v>
      </c>
      <c r="T159" s="7" cm="1">
        <f t="array" ref="T159">INDEX(GMWQ!$A$2:$LR$60,MATCH(1,(GMWQ!$LQ$2:$LQ$60=T$3)*(GMWQ!$LP$2:$LP$60=T$4)*(GMWQ!$LR$2:$LR$60=T$1),0),$B159-1966)</f>
        <v>33141</v>
      </c>
      <c r="U159" s="7" cm="1">
        <f t="array" ref="U159">INDEX(GMWQ!$A$2:$LR$60,MATCH(1,(GMWQ!$LQ$2:$LQ$60=U$3)*(GMWQ!$LP$2:$LP$60=U$4)*(GMWQ!$LR$2:$LR$60=U$1),0),$B159-1966)</f>
        <v>2079</v>
      </c>
      <c r="V159" s="7" cm="1">
        <f t="array" ref="V159">INDEX(GMWQ!$A$2:$LR$60,MATCH(1,(GMWQ!$LQ$2:$LQ$60=V$3)*(GMWQ!$LP$2:$LP$60=V$4)*(GMWQ!$LR$2:$LR$60=V$1),0),$B159-1966)</f>
        <v>2.1588599999999999E-3</v>
      </c>
      <c r="W159" s="7" cm="1">
        <f t="array" ref="W159">INDEX(GMWQ!$A$2:$LR$60,MATCH(1,(GMWQ!$LQ$2:$LQ$60=W$3)*(GMWQ!$LP$2:$LP$60=W$4)*(GMWQ!$LR$2:$LR$60=W$1),0),$B159-1966)</f>
        <v>8.5397809999999996</v>
      </c>
      <c r="X159" s="7" cm="1">
        <f t="array" ref="X159">INDEX(GMWQ!$A$2:$LR$60,MATCH(1,(GMWQ!$LQ$2:$LQ$60=X$3)*(GMWQ!$LP$2:$LP$60=X$4)*(GMWQ!$LR$2:$LR$60=X$1),0),$B159-1966)</f>
        <v>2686157</v>
      </c>
      <c r="Y159" s="7" cm="1">
        <f t="array" ref="Y159">INDEX(GMWQ!$A$2:$LR$60,MATCH(1,(GMWQ!$LQ$2:$LQ$60=Y$3)*(GMWQ!$LP$2:$LP$60=Y$4)*(GMWQ!$LR$2:$LR$60=Y$1),0),$B159-1966)</f>
        <v>87.529619999999994</v>
      </c>
      <c r="Z159" s="7" cm="1">
        <f t="array" ref="Z159">INDEX(GMWQ!$A$2:$LR$60,MATCH(1,(GMWQ!$LQ$2:$LQ$60=Z$3)*(GMWQ!$LP$2:$LP$60=Z$4)*(GMWQ!$LR$2:$LR$60=Z$1),0),$B159-1966)</f>
        <v>491965.9</v>
      </c>
      <c r="AA159" s="7" cm="1">
        <f t="array" ref="AA159">INDEX(GMWQ!$A$2:$LR$60,MATCH(1,(GMWQ!$LQ$2:$LQ$60=AA$3)*(GMWQ!$LP$2:$LP$60=AA$4)*(GMWQ!$LR$2:$LR$60=AA$1),0),$B159-1966)</f>
        <v>170134</v>
      </c>
      <c r="AB159" s="7" cm="1">
        <f t="array" ref="AB159">INDEX(GMWQ!$A$2:$LR$60,MATCH(1,(GMWQ!$LQ$2:$LQ$60=AB$3)*(GMWQ!$LP$2:$LP$60=AB$4)*(GMWQ!$LR$2:$LR$60=AB$1),0),$B159-1966)</f>
        <v>167856</v>
      </c>
      <c r="AC159" s="7" cm="1">
        <f t="array" ref="AC159">INDEX(GMWQ!$A$2:$LR$60,MATCH(1,(GMWQ!$LQ$2:$LQ$60=AC$3)*(GMWQ!$LP$2:$LP$60=AC$4)*(GMWQ!$LR$2:$LR$60=AC$1),0),$B159-1966)</f>
        <v>15843</v>
      </c>
      <c r="AD159" s="7" cm="1">
        <f t="array" ref="AD159">INDEX(GMWQ!$A$2:$LR$60,MATCH(1,(GMWQ!$LQ$2:$LQ$60=AD$3)*(GMWQ!$LP$2:$LP$60=AD$4)*(GMWQ!$LR$2:$LR$60=AD$1),0),$B159-1966)</f>
        <v>10757</v>
      </c>
      <c r="AE159" s="7" cm="1">
        <f t="array" ref="AE159">INDEX(GMWQ!$A$2:$LR$60,MATCH(1,(GMWQ!$LQ$2:$LQ$60=AE$3)*(GMWQ!$LP$2:$LP$60=AE$4)*(GMWQ!$LR$2:$LR$60=AE$1),0),$B159-1966)</f>
        <v>414732</v>
      </c>
      <c r="AF159" s="20" cm="1">
        <f t="array" ref="AF159">INDEX(GMWQ!$A$2:$LR$60,MATCH(1,(GMWQ!$LQ$2:$LQ$60=AF$3)*(GMWQ!$LP$2:$LP$60=AF$4)*(GMWQ!$LR$2:$LR$60=AF$1),0),$B159-1966)</f>
        <v>0.5</v>
      </c>
      <c r="AG159" s="20" cm="1">
        <f t="array" ref="AG159">INDEX(GMWQ!$A$2:$LR$60,MATCH(1,(GMWQ!$LQ$2:$LQ$60=AG$3)*(GMWQ!$LP$2:$LP$60=AG$4)*(GMWQ!$LR$2:$LR$60=AG$1),0),$B159-1966)</f>
        <v>-598</v>
      </c>
      <c r="AI159" s="23" cm="1">
        <f t="array" ref="AI159">INDEX(GMWQ!$A$2:$LR$60,MATCH(1,(GMWQ!$LQ$2:$LQ$60=AI$3)*(GMWQ!$LP$2:$LP$60=AI$4)*(GMWQ!$LR$2:$LR$60=AI$1),0),$B159-1966)</f>
        <v>265775</v>
      </c>
      <c r="AJ159" s="23" cm="1">
        <f t="array" ref="AJ159">INDEX(GMWQ!$A$2:$LR$60,MATCH(1,(GMWQ!$LQ$2:$LQ$60=AJ$3)*(GMWQ!$LP$2:$LP$60=AJ$4)*(GMWQ!$LR$2:$LR$60=AJ$1),0),$B159-1966)</f>
        <v>88.543300000000002</v>
      </c>
      <c r="AK159" s="23" cm="1">
        <f t="array" ref="AK159">INDEX(GMWQ!$A$2:$LR$60,MATCH(1,(GMWQ!$LQ$2:$LQ$60=AK$3)*(GMWQ!$LP$2:$LP$60=AK$4)*(GMWQ!$LR$2:$LR$60=AK$1),0),$B159-1966)</f>
        <v>170699</v>
      </c>
      <c r="AL159" s="23" cm="1">
        <f t="array" ref="AL159">INDEX(GMWQ!$A$2:$LR$60,MATCH(1,(GMWQ!$LQ$2:$LQ$60=AL$3)*(GMWQ!$LP$2:$LP$60=AL$4)*(GMWQ!$LR$2:$LR$60=AL$1),0),$B159-1966)</f>
        <v>6764.375</v>
      </c>
      <c r="AM159" s="23" cm="1">
        <f t="array" ref="AM159">INDEX(GMWQ!$A$2:$LR$60,MATCH(1,(GMWQ!$LQ$2:$LQ$60=AM$3)*(GMWQ!$LP$2:$LP$60=AM$4)*(GMWQ!$LR$2:$LR$60=AM$1),0),$B159-1966)</f>
        <v>25235</v>
      </c>
      <c r="AN159" s="23" cm="1">
        <f t="array" ref="AN159">INDEX(GMWQ!$A$2:$LR$60,MATCH(1,(GMWQ!$LQ$2:$LQ$60=AN$3)*(GMWQ!$LP$2:$LP$60=AN$4)*(GMWQ!$LR$2:$LR$60=AN$1),0),$B159-1966)</f>
        <v>39836</v>
      </c>
      <c r="AO159" s="23" cm="1">
        <f t="array" ref="AO159">INDEX(GMWQ!$A$2:$LR$60,MATCH(1,(GMWQ!$LQ$2:$LQ$60=AO$3)*(GMWQ!$LP$2:$LP$60=AO$4)*(GMWQ!$LR$2:$LR$60=AO$1),0),$B159-1966)</f>
        <v>12578</v>
      </c>
      <c r="AP159" s="23" cm="1">
        <f t="array" ref="AP159">INDEX(GMWQ!$A$2:$LR$60,MATCH(1,(GMWQ!$LQ$2:$LQ$60=AP$3)*(GMWQ!$LP$2:$LP$60=AP$4)*(GMWQ!$LR$2:$LR$60=AP$1),0),$B159-1966)</f>
        <v>-598</v>
      </c>
      <c r="AQ159" s="23" cm="1">
        <f t="array" ref="AQ159">INDEX(GMWQ!$A$2:$LR$60,MATCH(1,(GMWQ!$LQ$2:$LQ$60=AQ$3)*(GMWQ!$LP$2:$LP$60=AQ$4)*(GMWQ!$LR$2:$LR$60=AQ$1),0),$B159-1966)</f>
        <v>49767</v>
      </c>
      <c r="AR159" s="23" cm="1">
        <f t="array" ref="AR159">INDEX(GMWQ!$A$2:$LR$60,MATCH(1,(GMWQ!$LQ$2:$LQ$60=AR$3)*(GMWQ!$LP$2:$LP$60=AR$4)*(GMWQ!$LR$2:$LR$60=AR$1),0),$B159-1966)</f>
        <v>253565</v>
      </c>
      <c r="AS159" s="23" cm="1">
        <f t="array" ref="AS159">INDEX(GMWQ!$A$2:$LR$60,MATCH(1,(GMWQ!$LQ$2:$LQ$60=AS$3)*(GMWQ!$LP$2:$LP$60=AS$4)*(GMWQ!$LR$2:$LR$60=AS$1),0),$B159-1966)</f>
        <v>10037</v>
      </c>
      <c r="AT159" s="23" cm="1">
        <f t="array" ref="AT159">INDEX(GMWQ!$A$2:$LR$60,MATCH(1,(GMWQ!$LQ$2:$LQ$60=AT$3)*(GMWQ!$LP$2:$LP$60=AT$4)*(GMWQ!$LR$2:$LR$60=AT$1),0),$B159-1966)</f>
        <v>286374</v>
      </c>
      <c r="AU159" s="23" cm="1">
        <f t="array" ref="AU159">INDEX(GMWQ!$A$2:$LR$60,MATCH(1,(GMWQ!$LQ$2:$LQ$60=AU$3)*(GMWQ!$LP$2:$LP$60=AU$4)*(GMWQ!$LR$2:$LR$60=AU$1),0),$B159-1966)</f>
        <v>11350</v>
      </c>
    </row>
    <row r="160" spans="1:47" x14ac:dyDescent="0.35">
      <c r="B160" s="7">
        <f t="shared" si="3"/>
        <v>2126</v>
      </c>
      <c r="C160" s="7" cm="1">
        <f t="array" ref="C160">INDEX(GMWQ!$A$2:$LR$60,MATCH(1,(GMWQ!$LQ$2:$LQ$60=C$3)*(GMWQ!$LP$2:$LP$60=C$4)*(GMWQ!$LR$2:$LR$60=C$1),0),$B160-1966)</f>
        <v>474365</v>
      </c>
      <c r="D160" s="7" cm="1">
        <f t="array" ref="D160">INDEX(GMWQ!$A$2:$LR$60,MATCH(1,(GMWQ!$LQ$2:$LQ$60=D$3)*(GMWQ!$LP$2:$LP$60=D$4)*(GMWQ!$LR$2:$LR$60=D$1),0),$B160-1966)</f>
        <v>453.33330000000001</v>
      </c>
      <c r="E160" s="7" cm="1">
        <f t="array" ref="E160">INDEX(GMWQ!$A$2:$LR$60,MATCH(1,(GMWQ!$LQ$2:$LQ$60=E$3)*(GMWQ!$LP$2:$LP$60=E$4)*(GMWQ!$LR$2:$LR$60=E$1),0),$B160-1966)</f>
        <v>93.3</v>
      </c>
      <c r="F160" s="7" cm="1">
        <f t="array" ref="F160">INDEX(GMWQ!$A$2:$LR$60,MATCH(1,(GMWQ!$LQ$2:$LQ$60=F$3)*(GMWQ!$LP$2:$LP$60=F$4)*(GMWQ!$LR$2:$LR$60=F$1),0),$B160-1966)</f>
        <v>168973</v>
      </c>
      <c r="G160" s="7" cm="1">
        <f t="array" ref="G160">INDEX(GMWQ!$A$2:$LR$60,MATCH(1,(GMWQ!$LQ$2:$LQ$60=G$3)*(GMWQ!$LP$2:$LP$60=G$4)*(GMWQ!$LR$2:$LR$60=G$1),0),$B160-1966)</f>
        <v>38897</v>
      </c>
      <c r="H160" s="7" cm="1">
        <f t="array" ref="H160">INDEX(GMWQ!$A$2:$LR$60,MATCH(1,(GMWQ!$LQ$2:$LQ$60=H$3)*(GMWQ!$LP$2:$LP$60=H$4)*(GMWQ!$LR$2:$LR$60=H$1),0),$B160-1966)</f>
        <v>12252</v>
      </c>
      <c r="I160" s="7" cm="1">
        <f t="array" ref="I160">INDEX(GMWQ!$A$2:$LR$60,MATCH(1,(GMWQ!$LQ$2:$LQ$60=I$3)*(GMWQ!$LP$2:$LP$60=I$4)*(GMWQ!$LR$2:$LR$60=I$1),0),$B160-1966)</f>
        <v>88.917760000000001</v>
      </c>
      <c r="J160" s="7" cm="1">
        <f t="array" ref="J160">INDEX(GMWQ!$A$2:$LR$60,MATCH(1,(GMWQ!$LQ$2:$LQ$60=J$3)*(GMWQ!$LP$2:$LP$60=J$4)*(GMWQ!$LR$2:$LR$60=J$1),0),$B160-1966)</f>
        <v>25247</v>
      </c>
      <c r="K160" s="7" cm="1">
        <f t="array" ref="K160">INDEX(GMWQ!$A$2:$LR$60,MATCH(1,(GMWQ!$LQ$2:$LQ$60=K$3)*(GMWQ!$LP$2:$LP$60=K$4)*(GMWQ!$LR$2:$LR$60=K$1),0),$B160-1966)</f>
        <v>0.5</v>
      </c>
      <c r="L160" s="7" cm="1">
        <f t="array" ref="L160">INDEX(GMWQ!$A$2:$LR$60,MATCH(1,(GMWQ!$LQ$2:$LQ$60=L$3)*(GMWQ!$LP$2:$LP$60=L$4)*(GMWQ!$LR$2:$LR$60=L$1),0),$B160-1966)</f>
        <v>7.9</v>
      </c>
      <c r="M160" s="7" cm="1">
        <f t="array" ref="M160">INDEX(GMWQ!$A$2:$LR$60,MATCH(1,(GMWQ!$LQ$2:$LQ$60=M$3)*(GMWQ!$LP$2:$LP$60=M$4)*(GMWQ!$LR$2:$LR$60=M$1),0),$B160-1966)</f>
        <v>87.230329999999995</v>
      </c>
      <c r="N160" s="7" cm="1">
        <f t="array" ref="N160">INDEX(GMWQ!$A$2:$LR$60,MATCH(1,(GMWQ!$LQ$2:$LQ$60=N$3)*(GMWQ!$LP$2:$LP$60=N$4)*(GMWQ!$LR$2:$LR$60=N$1),0),$B160-1966)</f>
        <v>5763</v>
      </c>
      <c r="O160" s="7" cm="1">
        <f t="array" ref="O160">INDEX(GMWQ!$A$2:$LR$60,MATCH(1,(GMWQ!$LQ$2:$LQ$60=O$3)*(GMWQ!$LP$2:$LP$60=O$4)*(GMWQ!$LR$2:$LR$60=O$1),0),$B160-1966)</f>
        <v>5091</v>
      </c>
      <c r="P160" s="7" cm="1">
        <f t="array" ref="P160">INDEX(GMWQ!$A$2:$LR$60,MATCH(1,(GMWQ!$LQ$2:$LQ$60=P$3)*(GMWQ!$LP$2:$LP$60=P$4)*(GMWQ!$LR$2:$LR$60=P$1),0),$B160-1966)</f>
        <v>271291</v>
      </c>
      <c r="Q160" s="7" cm="1">
        <f t="array" ref="Q160">INDEX(GMWQ!$A$2:$LR$60,MATCH(1,(GMWQ!$LQ$2:$LQ$60=Q$3)*(GMWQ!$LP$2:$LP$60=Q$4)*(GMWQ!$LR$2:$LR$60=Q$1),0),$B160-1966)</f>
        <v>3.47</v>
      </c>
      <c r="R160" s="7" cm="1">
        <f t="array" ref="R160">INDEX(GMWQ!$A$2:$LR$60,MATCH(1,(GMWQ!$LQ$2:$LQ$60=R$3)*(GMWQ!$LP$2:$LP$60=R$4)*(GMWQ!$LR$2:$LR$60=R$1),0),$B160-1966)</f>
        <v>142437</v>
      </c>
      <c r="S160" s="7" cm="1">
        <f t="array" ref="S160">INDEX(GMWQ!$A$2:$LR$60,MATCH(1,(GMWQ!$LQ$2:$LQ$60=S$3)*(GMWQ!$LP$2:$LP$60=S$4)*(GMWQ!$LR$2:$LR$60=S$1),0),$B160-1966)</f>
        <v>216.59</v>
      </c>
      <c r="T160" s="7" cm="1">
        <f t="array" ref="T160">INDEX(GMWQ!$A$2:$LR$60,MATCH(1,(GMWQ!$LQ$2:$LQ$60=T$3)*(GMWQ!$LP$2:$LP$60=T$4)*(GMWQ!$LR$2:$LR$60=T$1),0),$B160-1966)</f>
        <v>33069</v>
      </c>
      <c r="U160" s="7" cm="1">
        <f t="array" ref="U160">INDEX(GMWQ!$A$2:$LR$60,MATCH(1,(GMWQ!$LQ$2:$LQ$60=U$3)*(GMWQ!$LP$2:$LP$60=U$4)*(GMWQ!$LR$2:$LR$60=U$1),0),$B160-1966)</f>
        <v>1411</v>
      </c>
      <c r="V160" s="7" cm="1">
        <f t="array" ref="V160">INDEX(GMWQ!$A$2:$LR$60,MATCH(1,(GMWQ!$LQ$2:$LQ$60=V$3)*(GMWQ!$LP$2:$LP$60=V$4)*(GMWQ!$LR$2:$LR$60=V$1),0),$B160-1966)</f>
        <v>2.2807510000000001E-3</v>
      </c>
      <c r="W160" s="7" cm="1">
        <f t="array" ref="W160">INDEX(GMWQ!$A$2:$LR$60,MATCH(1,(GMWQ!$LQ$2:$LQ$60=W$3)*(GMWQ!$LP$2:$LP$60=W$4)*(GMWQ!$LR$2:$LR$60=W$1),0),$B160-1966)</f>
        <v>9.9523820000000001</v>
      </c>
      <c r="X160" s="7" cm="1">
        <f t="array" ref="X160">INDEX(GMWQ!$A$2:$LR$60,MATCH(1,(GMWQ!$LQ$2:$LQ$60=X$3)*(GMWQ!$LP$2:$LP$60=X$4)*(GMWQ!$LR$2:$LR$60=X$1),0),$B160-1966)</f>
        <v>2724390</v>
      </c>
      <c r="Y160" s="7" cm="1">
        <f t="array" ref="Y160">INDEX(GMWQ!$A$2:$LR$60,MATCH(1,(GMWQ!$LQ$2:$LQ$60=Y$3)*(GMWQ!$LP$2:$LP$60=Y$4)*(GMWQ!$LR$2:$LR$60=Y$1),0),$B160-1966)</f>
        <v>86.930109999999999</v>
      </c>
      <c r="Z160" s="7" cm="1">
        <f t="array" ref="Z160">INDEX(GMWQ!$A$2:$LR$60,MATCH(1,(GMWQ!$LQ$2:$LQ$60=Z$3)*(GMWQ!$LP$2:$LP$60=Z$4)*(GMWQ!$LR$2:$LR$60=Z$1),0),$B160-1966)</f>
        <v>489144</v>
      </c>
      <c r="AA160" s="7" cm="1">
        <f t="array" ref="AA160">INDEX(GMWQ!$A$2:$LR$60,MATCH(1,(GMWQ!$LQ$2:$LQ$60=AA$3)*(GMWQ!$LP$2:$LP$60=AA$4)*(GMWQ!$LR$2:$LR$60=AA$1),0),$B160-1966)</f>
        <v>148613</v>
      </c>
      <c r="AB160" s="7" cm="1">
        <f t="array" ref="AB160">INDEX(GMWQ!$A$2:$LR$60,MATCH(1,(GMWQ!$LQ$2:$LQ$60=AB$3)*(GMWQ!$LP$2:$LP$60=AB$4)*(GMWQ!$LR$2:$LR$60=AB$1),0),$B160-1966)</f>
        <v>164810</v>
      </c>
      <c r="AC160" s="7" cm="1">
        <f t="array" ref="AC160">INDEX(GMWQ!$A$2:$LR$60,MATCH(1,(GMWQ!$LQ$2:$LQ$60=AC$3)*(GMWQ!$LP$2:$LP$60=AC$4)*(GMWQ!$LR$2:$LR$60=AC$1),0),$B160-1966)</f>
        <v>4402</v>
      </c>
      <c r="AD160" s="7" cm="1">
        <f t="array" ref="AD160">INDEX(GMWQ!$A$2:$LR$60,MATCH(1,(GMWQ!$LQ$2:$LQ$60=AD$3)*(GMWQ!$LP$2:$LP$60=AD$4)*(GMWQ!$LR$2:$LR$60=AD$1),0),$B160-1966)</f>
        <v>10709</v>
      </c>
      <c r="AE160" s="7" cm="1">
        <f t="array" ref="AE160">INDEX(GMWQ!$A$2:$LR$60,MATCH(1,(GMWQ!$LQ$2:$LQ$60=AE$3)*(GMWQ!$LP$2:$LP$60=AE$4)*(GMWQ!$LR$2:$LR$60=AE$1),0),$B160-1966)</f>
        <v>412366</v>
      </c>
      <c r="AF160" s="20" cm="1">
        <f t="array" ref="AF160">INDEX(GMWQ!$A$2:$LR$60,MATCH(1,(GMWQ!$LQ$2:$LQ$60=AF$3)*(GMWQ!$LP$2:$LP$60=AF$4)*(GMWQ!$LR$2:$LR$60=AF$1),0),$B160-1966)</f>
        <v>0.5</v>
      </c>
      <c r="AG160" s="20" cm="1">
        <f t="array" ref="AG160">INDEX(GMWQ!$A$2:$LR$60,MATCH(1,(GMWQ!$LQ$2:$LQ$60=AG$3)*(GMWQ!$LP$2:$LP$60=AG$4)*(GMWQ!$LR$2:$LR$60=AG$1),0),$B160-1966)</f>
        <v>-672</v>
      </c>
      <c r="AI160" s="23" cm="1">
        <f t="array" ref="AI160">INDEX(GMWQ!$A$2:$LR$60,MATCH(1,(GMWQ!$LQ$2:$LQ$60=AI$3)*(GMWQ!$LP$2:$LP$60=AI$4)*(GMWQ!$LR$2:$LR$60=AI$1),0),$B160-1966)</f>
        <v>271291</v>
      </c>
      <c r="AJ160" s="23" cm="1">
        <f t="array" ref="AJ160">INDEX(GMWQ!$A$2:$LR$60,MATCH(1,(GMWQ!$LQ$2:$LQ$60=AJ$3)*(GMWQ!$LP$2:$LP$60=AJ$4)*(GMWQ!$LR$2:$LR$60=AJ$1),0),$B160-1966)</f>
        <v>88.917760000000001</v>
      </c>
      <c r="AK160" s="23" cm="1">
        <f t="array" ref="AK160">INDEX(GMWQ!$A$2:$LR$60,MATCH(1,(GMWQ!$LQ$2:$LQ$60=AK$3)*(GMWQ!$LP$2:$LP$60=AK$4)*(GMWQ!$LR$2:$LR$60=AK$1),0),$B160-1966)</f>
        <v>168973</v>
      </c>
      <c r="AL160" s="23" cm="1">
        <f t="array" ref="AL160">INDEX(GMWQ!$A$2:$LR$60,MATCH(1,(GMWQ!$LQ$2:$LQ$60=AL$3)*(GMWQ!$LP$2:$LP$60=AL$4)*(GMWQ!$LR$2:$LR$60=AL$1),0),$B160-1966)</f>
        <v>6692.7950000000001</v>
      </c>
      <c r="AM160" s="23" cm="1">
        <f t="array" ref="AM160">INDEX(GMWQ!$A$2:$LR$60,MATCH(1,(GMWQ!$LQ$2:$LQ$60=AM$3)*(GMWQ!$LP$2:$LP$60=AM$4)*(GMWQ!$LR$2:$LR$60=AM$1),0),$B160-1966)</f>
        <v>25247</v>
      </c>
      <c r="AN160" s="23" cm="1">
        <f t="array" ref="AN160">INDEX(GMWQ!$A$2:$LR$60,MATCH(1,(GMWQ!$LQ$2:$LQ$60=AN$3)*(GMWQ!$LP$2:$LP$60=AN$4)*(GMWQ!$LR$2:$LR$60=AN$1),0),$B160-1966)</f>
        <v>38897</v>
      </c>
      <c r="AO160" s="23" cm="1">
        <f t="array" ref="AO160">INDEX(GMWQ!$A$2:$LR$60,MATCH(1,(GMWQ!$LQ$2:$LQ$60=AO$3)*(GMWQ!$LP$2:$LP$60=AO$4)*(GMWQ!$LR$2:$LR$60=AO$1),0),$B160-1966)</f>
        <v>12252</v>
      </c>
      <c r="AP160" s="23" cm="1">
        <f t="array" ref="AP160">INDEX(GMWQ!$A$2:$LR$60,MATCH(1,(GMWQ!$LQ$2:$LQ$60=AP$3)*(GMWQ!$LP$2:$LP$60=AP$4)*(GMWQ!$LR$2:$LR$60=AP$1),0),$B160-1966)</f>
        <v>-672</v>
      </c>
      <c r="AQ160" s="23" cm="1">
        <f t="array" ref="AQ160">INDEX(GMWQ!$A$2:$LR$60,MATCH(1,(GMWQ!$LQ$2:$LQ$60=AQ$3)*(GMWQ!$LP$2:$LP$60=AQ$4)*(GMWQ!$LR$2:$LR$60=AQ$1),0),$B160-1966)</f>
        <v>51566</v>
      </c>
      <c r="AR160" s="23" cm="1">
        <f t="array" ref="AR160">INDEX(GMWQ!$A$2:$LR$60,MATCH(1,(GMWQ!$LQ$2:$LQ$60=AR$3)*(GMWQ!$LP$2:$LP$60=AR$4)*(GMWQ!$LR$2:$LR$60=AR$1),0),$B160-1966)</f>
        <v>253605</v>
      </c>
      <c r="AS160" s="23" cm="1">
        <f t="array" ref="AS160">INDEX(GMWQ!$A$2:$LR$60,MATCH(1,(GMWQ!$LQ$2:$LQ$60=AS$3)*(GMWQ!$LP$2:$LP$60=AS$4)*(GMWQ!$LR$2:$LR$60=AS$1),0),$B160-1966)</f>
        <v>10204</v>
      </c>
      <c r="AT160" s="23" cm="1">
        <f t="array" ref="AT160">INDEX(GMWQ!$A$2:$LR$60,MATCH(1,(GMWQ!$LQ$2:$LQ$60=AT$3)*(GMWQ!$LP$2:$LP$60=AT$4)*(GMWQ!$LR$2:$LR$60=AT$1),0),$B160-1966)</f>
        <v>285213</v>
      </c>
      <c r="AU160" s="23" cm="1">
        <f t="array" ref="AU160">INDEX(GMWQ!$A$2:$LR$60,MATCH(1,(GMWQ!$LQ$2:$LQ$60=AU$3)*(GMWQ!$LP$2:$LP$60=AU$4)*(GMWQ!$LR$2:$LR$60=AU$1),0),$B160-1966)</f>
        <v>11798</v>
      </c>
    </row>
    <row r="161" spans="1:47" x14ac:dyDescent="0.35">
      <c r="B161" s="7">
        <f t="shared" si="3"/>
        <v>2127</v>
      </c>
      <c r="C161" s="7" cm="1">
        <f t="array" ref="C161">INDEX(GMWQ!$A$2:$LR$60,MATCH(1,(GMWQ!$LQ$2:$LQ$60=C$3)*(GMWQ!$LP$2:$LP$60=C$4)*(GMWQ!$LR$2:$LR$60=C$1),0),$B161-1966)</f>
        <v>475813</v>
      </c>
      <c r="D161" s="7" cm="1">
        <f t="array" ref="D161">INDEX(GMWQ!$A$2:$LR$60,MATCH(1,(GMWQ!$LQ$2:$LQ$60=D$3)*(GMWQ!$LP$2:$LP$60=D$4)*(GMWQ!$LR$2:$LR$60=D$1),0),$B161-1966)</f>
        <v>454.66669999999999</v>
      </c>
      <c r="E161" s="7" cm="1">
        <f t="array" ref="E161">INDEX(GMWQ!$A$2:$LR$60,MATCH(1,(GMWQ!$LQ$2:$LQ$60=E$3)*(GMWQ!$LP$2:$LP$60=E$4)*(GMWQ!$LR$2:$LR$60=E$1),0),$B161-1966)</f>
        <v>93.833340000000007</v>
      </c>
      <c r="F161" s="7" cm="1">
        <f t="array" ref="F161">INDEX(GMWQ!$A$2:$LR$60,MATCH(1,(GMWQ!$LQ$2:$LQ$60=F$3)*(GMWQ!$LP$2:$LP$60=F$4)*(GMWQ!$LR$2:$LR$60=F$1),0),$B161-1966)</f>
        <v>168143</v>
      </c>
      <c r="G161" s="7" cm="1">
        <f t="array" ref="G161">INDEX(GMWQ!$A$2:$LR$60,MATCH(1,(GMWQ!$LQ$2:$LQ$60=G$3)*(GMWQ!$LP$2:$LP$60=G$4)*(GMWQ!$LR$2:$LR$60=G$1),0),$B161-1966)</f>
        <v>38901</v>
      </c>
      <c r="H161" s="7" cm="1">
        <f t="array" ref="H161">INDEX(GMWQ!$A$2:$LR$60,MATCH(1,(GMWQ!$LQ$2:$LQ$60=H$3)*(GMWQ!$LP$2:$LP$60=H$4)*(GMWQ!$LR$2:$LR$60=H$1),0),$B161-1966)</f>
        <v>12295</v>
      </c>
      <c r="I161" s="7" cm="1">
        <f t="array" ref="I161">INDEX(GMWQ!$A$2:$LR$60,MATCH(1,(GMWQ!$LQ$2:$LQ$60=I$3)*(GMWQ!$LP$2:$LP$60=I$4)*(GMWQ!$LR$2:$LR$60=I$1),0),$B161-1966)</f>
        <v>89.611599999999996</v>
      </c>
      <c r="J161" s="7" cm="1">
        <f t="array" ref="J161">INDEX(GMWQ!$A$2:$LR$60,MATCH(1,(GMWQ!$LQ$2:$LQ$60=J$3)*(GMWQ!$LP$2:$LP$60=J$4)*(GMWQ!$LR$2:$LR$60=J$1),0),$B161-1966)</f>
        <v>24972</v>
      </c>
      <c r="K161" s="7" cm="1">
        <f t="array" ref="K161">INDEX(GMWQ!$A$2:$LR$60,MATCH(1,(GMWQ!$LQ$2:$LQ$60=K$3)*(GMWQ!$LP$2:$LP$60=K$4)*(GMWQ!$LR$2:$LR$60=K$1),0),$B161-1966)</f>
        <v>0.5</v>
      </c>
      <c r="L161" s="7" cm="1">
        <f t="array" ref="L161">INDEX(GMWQ!$A$2:$LR$60,MATCH(1,(GMWQ!$LQ$2:$LQ$60=L$3)*(GMWQ!$LP$2:$LP$60=L$4)*(GMWQ!$LR$2:$LR$60=L$1),0),$B161-1966)</f>
        <v>8.3000000000000007</v>
      </c>
      <c r="M161" s="7" cm="1">
        <f t="array" ref="M161">INDEX(GMWQ!$A$2:$LR$60,MATCH(1,(GMWQ!$LQ$2:$LQ$60=M$3)*(GMWQ!$LP$2:$LP$60=M$4)*(GMWQ!$LR$2:$LR$60=M$1),0),$B161-1966)</f>
        <v>87.120999999999995</v>
      </c>
      <c r="N161" s="7" cm="1">
        <f t="array" ref="N161">INDEX(GMWQ!$A$2:$LR$60,MATCH(1,(GMWQ!$LQ$2:$LQ$60=N$3)*(GMWQ!$LP$2:$LP$60=N$4)*(GMWQ!$LR$2:$LR$60=N$1),0),$B161-1966)</f>
        <v>5861</v>
      </c>
      <c r="O161" s="7" cm="1">
        <f t="array" ref="O161">INDEX(GMWQ!$A$2:$LR$60,MATCH(1,(GMWQ!$LQ$2:$LQ$60=O$3)*(GMWQ!$LP$2:$LP$60=O$4)*(GMWQ!$LR$2:$LR$60=O$1),0),$B161-1966)</f>
        <v>5137</v>
      </c>
      <c r="P161" s="7" cm="1">
        <f t="array" ref="P161">INDEX(GMWQ!$A$2:$LR$60,MATCH(1,(GMWQ!$LQ$2:$LQ$60=P$3)*(GMWQ!$LP$2:$LP$60=P$4)*(GMWQ!$LR$2:$LR$60=P$1),0),$B161-1966)</f>
        <v>273259</v>
      </c>
      <c r="Q161" s="7" cm="1">
        <f t="array" ref="Q161">INDEX(GMWQ!$A$2:$LR$60,MATCH(1,(GMWQ!$LQ$2:$LQ$60=Q$3)*(GMWQ!$LP$2:$LP$60=Q$4)*(GMWQ!$LR$2:$LR$60=Q$1),0),$B161-1966)</f>
        <v>3.4</v>
      </c>
      <c r="R161" s="7" cm="1">
        <f t="array" ref="R161">INDEX(GMWQ!$A$2:$LR$60,MATCH(1,(GMWQ!$LQ$2:$LQ$60=R$3)*(GMWQ!$LP$2:$LP$60=R$4)*(GMWQ!$LR$2:$LR$60=R$1),0),$B161-1966)</f>
        <v>154652</v>
      </c>
      <c r="S161" s="7" cm="1">
        <f t="array" ref="S161">INDEX(GMWQ!$A$2:$LR$60,MATCH(1,(GMWQ!$LQ$2:$LQ$60=S$3)*(GMWQ!$LP$2:$LP$60=S$4)*(GMWQ!$LR$2:$LR$60=S$1),0),$B161-1966)</f>
        <v>227.58</v>
      </c>
      <c r="T161" s="7" cm="1">
        <f t="array" ref="T161">INDEX(GMWQ!$A$2:$LR$60,MATCH(1,(GMWQ!$LQ$2:$LQ$60=T$3)*(GMWQ!$LP$2:$LP$60=T$4)*(GMWQ!$LR$2:$LR$60=T$1),0),$B161-1966)</f>
        <v>35450</v>
      </c>
      <c r="U161" s="7" cm="1">
        <f t="array" ref="U161">INDEX(GMWQ!$A$2:$LR$60,MATCH(1,(GMWQ!$LQ$2:$LQ$60=U$3)*(GMWQ!$LP$2:$LP$60=U$4)*(GMWQ!$LR$2:$LR$60=U$1),0),$B161-1966)</f>
        <v>1733</v>
      </c>
      <c r="V161" s="7" cm="1">
        <f t="array" ref="V161">INDEX(GMWQ!$A$2:$LR$60,MATCH(1,(GMWQ!$LQ$2:$LQ$60=V$3)*(GMWQ!$LP$2:$LP$60=V$4)*(GMWQ!$LR$2:$LR$60=V$1),0),$B161-1966)</f>
        <v>2.1827859999999999E-3</v>
      </c>
      <c r="W161" s="7" cm="1">
        <f t="array" ref="W161">INDEX(GMWQ!$A$2:$LR$60,MATCH(1,(GMWQ!$LQ$2:$LQ$60=W$3)*(GMWQ!$LP$2:$LP$60=W$4)*(GMWQ!$LR$2:$LR$60=W$1),0),$B161-1966)</f>
        <v>9.7531300000000005</v>
      </c>
      <c r="X161" s="7" cm="1">
        <f t="array" ref="X161">INDEX(GMWQ!$A$2:$LR$60,MATCH(1,(GMWQ!$LQ$2:$LQ$60=X$3)*(GMWQ!$LP$2:$LP$60=X$4)*(GMWQ!$LR$2:$LR$60=X$1),0),$B161-1966)</f>
        <v>2767825</v>
      </c>
      <c r="Y161" s="7" cm="1">
        <f t="array" ref="Y161">INDEX(GMWQ!$A$2:$LR$60,MATCH(1,(GMWQ!$LQ$2:$LQ$60=Y$3)*(GMWQ!$LP$2:$LP$60=Y$4)*(GMWQ!$LR$2:$LR$60=Y$1),0),$B161-1966)</f>
        <v>87.439610000000002</v>
      </c>
      <c r="Z161" s="7" cm="1">
        <f t="array" ref="Z161">INDEX(GMWQ!$A$2:$LR$60,MATCH(1,(GMWQ!$LQ$2:$LQ$60=Z$3)*(GMWQ!$LP$2:$LP$60=Z$4)*(GMWQ!$LR$2:$LR$60=Z$1),0),$B161-1966)</f>
        <v>493543.6</v>
      </c>
      <c r="AA161" s="7" cm="1">
        <f t="array" ref="AA161">INDEX(GMWQ!$A$2:$LR$60,MATCH(1,(GMWQ!$LQ$2:$LQ$60=AA$3)*(GMWQ!$LP$2:$LP$60=AA$4)*(GMWQ!$LR$2:$LR$60=AA$1),0),$B161-1966)</f>
        <v>156482</v>
      </c>
      <c r="AB161" s="7" cm="1">
        <f t="array" ref="AB161">INDEX(GMWQ!$A$2:$LR$60,MATCH(1,(GMWQ!$LQ$2:$LQ$60=AB$3)*(GMWQ!$LP$2:$LP$60=AB$4)*(GMWQ!$LR$2:$LR$60=AB$1),0),$B161-1966)</f>
        <v>167303</v>
      </c>
      <c r="AC161" s="7" cm="1">
        <f t="array" ref="AC161">INDEX(GMWQ!$A$2:$LR$60,MATCH(1,(GMWQ!$LQ$2:$LQ$60=AC$3)*(GMWQ!$LP$2:$LP$60=AC$4)*(GMWQ!$LR$2:$LR$60=AC$1),0),$B161-1966)</f>
        <v>6363</v>
      </c>
      <c r="AD161" s="7" cm="1">
        <f t="array" ref="AD161">INDEX(GMWQ!$A$2:$LR$60,MATCH(1,(GMWQ!$LQ$2:$LQ$60=AD$3)*(GMWQ!$LP$2:$LP$60=AD$4)*(GMWQ!$LR$2:$LR$60=AD$1),0),$B161-1966)</f>
        <v>10761</v>
      </c>
      <c r="AE161" s="7" cm="1">
        <f t="array" ref="AE161">INDEX(GMWQ!$A$2:$LR$60,MATCH(1,(GMWQ!$LQ$2:$LQ$60=AE$3)*(GMWQ!$LP$2:$LP$60=AE$4)*(GMWQ!$LR$2:$LR$60=AE$1),0),$B161-1966)</f>
        <v>416049</v>
      </c>
      <c r="AF161" s="20" cm="1">
        <f t="array" ref="AF161">INDEX(GMWQ!$A$2:$LR$60,MATCH(1,(GMWQ!$LQ$2:$LQ$60=AF$3)*(GMWQ!$LP$2:$LP$60=AF$4)*(GMWQ!$LR$2:$LR$60=AF$1),0),$B161-1966)</f>
        <v>0.5</v>
      </c>
      <c r="AG161" s="20" cm="1">
        <f t="array" ref="AG161">INDEX(GMWQ!$A$2:$LR$60,MATCH(1,(GMWQ!$LQ$2:$LQ$60=AG$3)*(GMWQ!$LP$2:$LP$60=AG$4)*(GMWQ!$LR$2:$LR$60=AG$1),0),$B161-1966)</f>
        <v>-724</v>
      </c>
      <c r="AI161" s="23" cm="1">
        <f t="array" ref="AI161">INDEX(GMWQ!$A$2:$LR$60,MATCH(1,(GMWQ!$LQ$2:$LQ$60=AI$3)*(GMWQ!$LP$2:$LP$60=AI$4)*(GMWQ!$LR$2:$LR$60=AI$1),0),$B161-1966)</f>
        <v>273259</v>
      </c>
      <c r="AJ161" s="23" cm="1">
        <f t="array" ref="AJ161">INDEX(GMWQ!$A$2:$LR$60,MATCH(1,(GMWQ!$LQ$2:$LQ$60=AJ$3)*(GMWQ!$LP$2:$LP$60=AJ$4)*(GMWQ!$LR$2:$LR$60=AJ$1),0),$B161-1966)</f>
        <v>89.611599999999996</v>
      </c>
      <c r="AK161" s="23" cm="1">
        <f t="array" ref="AK161">INDEX(GMWQ!$A$2:$LR$60,MATCH(1,(GMWQ!$LQ$2:$LQ$60=AK$3)*(GMWQ!$LP$2:$LP$60=AK$4)*(GMWQ!$LR$2:$LR$60=AK$1),0),$B161-1966)</f>
        <v>168143</v>
      </c>
      <c r="AL161" s="23" cm="1">
        <f t="array" ref="AL161">INDEX(GMWQ!$A$2:$LR$60,MATCH(1,(GMWQ!$LQ$2:$LQ$60=AL$3)*(GMWQ!$LP$2:$LP$60=AL$4)*(GMWQ!$LR$2:$LR$60=AL$1),0),$B161-1966)</f>
        <v>6733.2610000000004</v>
      </c>
      <c r="AM161" s="23" cm="1">
        <f t="array" ref="AM161">INDEX(GMWQ!$A$2:$LR$60,MATCH(1,(GMWQ!$LQ$2:$LQ$60=AM$3)*(GMWQ!$LP$2:$LP$60=AM$4)*(GMWQ!$LR$2:$LR$60=AM$1),0),$B161-1966)</f>
        <v>24972</v>
      </c>
      <c r="AN161" s="23" cm="1">
        <f t="array" ref="AN161">INDEX(GMWQ!$A$2:$LR$60,MATCH(1,(GMWQ!$LQ$2:$LQ$60=AN$3)*(GMWQ!$LP$2:$LP$60=AN$4)*(GMWQ!$LR$2:$LR$60=AN$1),0),$B161-1966)</f>
        <v>38901</v>
      </c>
      <c r="AO161" s="23" cm="1">
        <f t="array" ref="AO161">INDEX(GMWQ!$A$2:$LR$60,MATCH(1,(GMWQ!$LQ$2:$LQ$60=AO$3)*(GMWQ!$LP$2:$LP$60=AO$4)*(GMWQ!$LR$2:$LR$60=AO$1),0),$B161-1966)</f>
        <v>12295</v>
      </c>
      <c r="AP161" s="23" cm="1">
        <f t="array" ref="AP161">INDEX(GMWQ!$A$2:$LR$60,MATCH(1,(GMWQ!$LQ$2:$LQ$60=AP$3)*(GMWQ!$LP$2:$LP$60=AP$4)*(GMWQ!$LR$2:$LR$60=AP$1),0),$B161-1966)</f>
        <v>-724</v>
      </c>
      <c r="AQ161" s="23" cm="1">
        <f t="array" ref="AQ161">INDEX(GMWQ!$A$2:$LR$60,MATCH(1,(GMWQ!$LQ$2:$LQ$60=AQ$3)*(GMWQ!$LP$2:$LP$60=AQ$4)*(GMWQ!$LR$2:$LR$60=AQ$1),0),$B161-1966)</f>
        <v>52502</v>
      </c>
      <c r="AR161" s="23" cm="1">
        <f t="array" ref="AR161">INDEX(GMWQ!$A$2:$LR$60,MATCH(1,(GMWQ!$LQ$2:$LQ$60=AR$3)*(GMWQ!$LP$2:$LP$60=AR$4)*(GMWQ!$LR$2:$LR$60=AR$1),0),$B161-1966)</f>
        <v>256446</v>
      </c>
      <c r="AS161" s="23" cm="1">
        <f t="array" ref="AS161">INDEX(GMWQ!$A$2:$LR$60,MATCH(1,(GMWQ!$LQ$2:$LQ$60=AS$3)*(GMWQ!$LP$2:$LP$60=AS$4)*(GMWQ!$LR$2:$LR$60=AS$1),0),$B161-1966)</f>
        <v>10320</v>
      </c>
      <c r="AT161" s="23" cm="1">
        <f t="array" ref="AT161">INDEX(GMWQ!$A$2:$LR$60,MATCH(1,(GMWQ!$LQ$2:$LQ$60=AT$3)*(GMWQ!$LP$2:$LP$60=AT$4)*(GMWQ!$LR$2:$LR$60=AT$1),0),$B161-1966)</f>
        <v>286175</v>
      </c>
      <c r="AU161" s="23" cm="1">
        <f t="array" ref="AU161">INDEX(GMWQ!$A$2:$LR$60,MATCH(1,(GMWQ!$LQ$2:$LQ$60=AU$3)*(GMWQ!$LP$2:$LP$60=AU$4)*(GMWQ!$LR$2:$LR$60=AU$1),0),$B161-1966)</f>
        <v>11831</v>
      </c>
    </row>
    <row r="162" spans="1:47" x14ac:dyDescent="0.35">
      <c r="B162" s="7">
        <f t="shared" si="3"/>
        <v>2128</v>
      </c>
      <c r="C162" s="7" cm="1">
        <f t="array" ref="C162">INDEX(GMWQ!$A$2:$LR$60,MATCH(1,(GMWQ!$LQ$2:$LQ$60=C$3)*(GMWQ!$LP$2:$LP$60=C$4)*(GMWQ!$LR$2:$LR$60=C$1),0),$B162-1966)</f>
        <v>476479</v>
      </c>
      <c r="D162" s="7" cm="1">
        <f t="array" ref="D162">INDEX(GMWQ!$A$2:$LR$60,MATCH(1,(GMWQ!$LQ$2:$LQ$60=D$3)*(GMWQ!$LP$2:$LP$60=D$4)*(GMWQ!$LR$2:$LR$60=D$1),0),$B162-1966)</f>
        <v>456.66669999999999</v>
      </c>
      <c r="E162" s="7" cm="1">
        <f t="array" ref="E162">INDEX(GMWQ!$A$2:$LR$60,MATCH(1,(GMWQ!$LQ$2:$LQ$60=E$3)*(GMWQ!$LP$2:$LP$60=E$4)*(GMWQ!$LR$2:$LR$60=E$1),0),$B162-1966)</f>
        <v>94.733329999999995</v>
      </c>
      <c r="F162" s="7" cm="1">
        <f t="array" ref="F162">INDEX(GMWQ!$A$2:$LR$60,MATCH(1,(GMWQ!$LQ$2:$LQ$60=F$3)*(GMWQ!$LP$2:$LP$60=F$4)*(GMWQ!$LR$2:$LR$60=F$1),0),$B162-1966)</f>
        <v>168220</v>
      </c>
      <c r="G162" s="7" cm="1">
        <f t="array" ref="G162">INDEX(GMWQ!$A$2:$LR$60,MATCH(1,(GMWQ!$LQ$2:$LQ$60=G$3)*(GMWQ!$LP$2:$LP$60=G$4)*(GMWQ!$LR$2:$LR$60=G$1),0),$B162-1966)</f>
        <v>39960</v>
      </c>
      <c r="H162" s="7" cm="1">
        <f t="array" ref="H162">INDEX(GMWQ!$A$2:$LR$60,MATCH(1,(GMWQ!$LQ$2:$LQ$60=H$3)*(GMWQ!$LP$2:$LP$60=H$4)*(GMWQ!$LR$2:$LR$60=H$1),0),$B162-1966)</f>
        <v>12274</v>
      </c>
      <c r="I162" s="7" cm="1">
        <f t="array" ref="I162">INDEX(GMWQ!$A$2:$LR$60,MATCH(1,(GMWQ!$LQ$2:$LQ$60=I$3)*(GMWQ!$LP$2:$LP$60=I$4)*(GMWQ!$LR$2:$LR$60=I$1),0),$B162-1966)</f>
        <v>90.291550000000001</v>
      </c>
      <c r="J162" s="7" cm="1">
        <f t="array" ref="J162">INDEX(GMWQ!$A$2:$LR$60,MATCH(1,(GMWQ!$LQ$2:$LQ$60=J$3)*(GMWQ!$LP$2:$LP$60=J$4)*(GMWQ!$LR$2:$LR$60=J$1),0),$B162-1966)</f>
        <v>25016</v>
      </c>
      <c r="K162" s="7" cm="1">
        <f t="array" ref="K162">INDEX(GMWQ!$A$2:$LR$60,MATCH(1,(GMWQ!$LQ$2:$LQ$60=K$3)*(GMWQ!$LP$2:$LP$60=K$4)*(GMWQ!$LR$2:$LR$60=K$1),0),$B162-1966)</f>
        <v>0.5</v>
      </c>
      <c r="L162" s="7" cm="1">
        <f t="array" ref="L162">INDEX(GMWQ!$A$2:$LR$60,MATCH(1,(GMWQ!$LQ$2:$LQ$60=L$3)*(GMWQ!$LP$2:$LP$60=L$4)*(GMWQ!$LR$2:$LR$60=L$1),0),$B162-1966)</f>
        <v>8.4</v>
      </c>
      <c r="M162" s="7" cm="1">
        <f t="array" ref="M162">INDEX(GMWQ!$A$2:$LR$60,MATCH(1,(GMWQ!$LQ$2:$LQ$60=M$3)*(GMWQ!$LP$2:$LP$60=M$4)*(GMWQ!$LR$2:$LR$60=M$1),0),$B162-1966)</f>
        <v>87.061670000000007</v>
      </c>
      <c r="N162" s="7" cm="1">
        <f t="array" ref="N162">INDEX(GMWQ!$A$2:$LR$60,MATCH(1,(GMWQ!$LQ$2:$LQ$60=N$3)*(GMWQ!$LP$2:$LP$60=N$4)*(GMWQ!$LR$2:$LR$60=N$1),0),$B162-1966)</f>
        <v>6476</v>
      </c>
      <c r="O162" s="7" cm="1">
        <f t="array" ref="O162">INDEX(GMWQ!$A$2:$LR$60,MATCH(1,(GMWQ!$LQ$2:$LQ$60=O$3)*(GMWQ!$LP$2:$LP$60=O$4)*(GMWQ!$LR$2:$LR$60=O$1),0),$B162-1966)</f>
        <v>5780</v>
      </c>
      <c r="P162" s="7" cm="1">
        <f t="array" ref="P162">INDEX(GMWQ!$A$2:$LR$60,MATCH(1,(GMWQ!$LQ$2:$LQ$60=P$3)*(GMWQ!$LP$2:$LP$60=P$4)*(GMWQ!$LR$2:$LR$60=P$1),0),$B162-1966)</f>
        <v>273345</v>
      </c>
      <c r="Q162" s="7" cm="1">
        <f t="array" ref="Q162">INDEX(GMWQ!$A$2:$LR$60,MATCH(1,(GMWQ!$LQ$2:$LQ$60=Q$3)*(GMWQ!$LP$2:$LP$60=Q$4)*(GMWQ!$LR$2:$LR$60=Q$1),0),$B162-1966)</f>
        <v>3.3666670000000001</v>
      </c>
      <c r="R162" s="7" cm="1">
        <f t="array" ref="R162">INDEX(GMWQ!$A$2:$LR$60,MATCH(1,(GMWQ!$LQ$2:$LQ$60=R$3)*(GMWQ!$LP$2:$LP$60=R$4)*(GMWQ!$LR$2:$LR$60=R$1),0),$B162-1966)</f>
        <v>155575</v>
      </c>
      <c r="S162" s="7" cm="1">
        <f t="array" ref="S162">INDEX(GMWQ!$A$2:$LR$60,MATCH(1,(GMWQ!$LQ$2:$LQ$60=S$3)*(GMWQ!$LP$2:$LP$60=S$4)*(GMWQ!$LR$2:$LR$60=S$1),0),$B162-1966)</f>
        <v>229.89</v>
      </c>
      <c r="T162" s="7" cm="1">
        <f t="array" ref="T162">INDEX(GMWQ!$A$2:$LR$60,MATCH(1,(GMWQ!$LQ$2:$LQ$60=T$3)*(GMWQ!$LP$2:$LP$60=T$4)*(GMWQ!$LR$2:$LR$60=T$1),0),$B162-1966)</f>
        <v>36399</v>
      </c>
      <c r="U162" s="7" cm="1">
        <f t="array" ref="U162">INDEX(GMWQ!$A$2:$LR$60,MATCH(1,(GMWQ!$LQ$2:$LQ$60=U$3)*(GMWQ!$LP$2:$LP$60=U$4)*(GMWQ!$LR$2:$LR$60=U$1),0),$B162-1966)</f>
        <v>1782</v>
      </c>
      <c r="V162" s="7" cm="1">
        <f t="array" ref="V162">INDEX(GMWQ!$A$2:$LR$60,MATCH(1,(GMWQ!$LQ$2:$LQ$60=V$3)*(GMWQ!$LP$2:$LP$60=V$4)*(GMWQ!$LR$2:$LR$60=V$1),0),$B162-1966)</f>
        <v>2.1767879999999998E-3</v>
      </c>
      <c r="W162" s="7" cm="1">
        <f t="array" ref="W162">INDEX(GMWQ!$A$2:$LR$60,MATCH(1,(GMWQ!$LQ$2:$LQ$60=W$3)*(GMWQ!$LP$2:$LP$60=W$4)*(GMWQ!$LR$2:$LR$60=W$1),0),$B162-1966)</f>
        <v>9.0651139999999995</v>
      </c>
      <c r="X162" s="7" cm="1">
        <f t="array" ref="X162">INDEX(GMWQ!$A$2:$LR$60,MATCH(1,(GMWQ!$LQ$2:$LQ$60=X$3)*(GMWQ!$LP$2:$LP$60=X$4)*(GMWQ!$LR$2:$LR$60=X$1),0),$B162-1966)</f>
        <v>2798979</v>
      </c>
      <c r="Y162" s="7" cm="1">
        <f t="array" ref="Y162">INDEX(GMWQ!$A$2:$LR$60,MATCH(1,(GMWQ!$LQ$2:$LQ$60=Y$3)*(GMWQ!$LP$2:$LP$60=Y$4)*(GMWQ!$LR$2:$LR$60=Y$1),0),$B162-1966)</f>
        <v>88.029690000000002</v>
      </c>
      <c r="Z162" s="7" cm="1">
        <f t="array" ref="Z162">INDEX(GMWQ!$A$2:$LR$60,MATCH(1,(GMWQ!$LQ$2:$LQ$60=Z$3)*(GMWQ!$LP$2:$LP$60=Z$4)*(GMWQ!$LR$2:$LR$60=Z$1),0),$B162-1966)</f>
        <v>494235.9</v>
      </c>
      <c r="AA162" s="7" cm="1">
        <f t="array" ref="AA162">INDEX(GMWQ!$A$2:$LR$60,MATCH(1,(GMWQ!$LQ$2:$LQ$60=AA$3)*(GMWQ!$LP$2:$LP$60=AA$4)*(GMWQ!$LR$2:$LR$60=AA$1),0),$B162-1966)</f>
        <v>148742</v>
      </c>
      <c r="AB162" s="7" cm="1">
        <f t="array" ref="AB162">INDEX(GMWQ!$A$2:$LR$60,MATCH(1,(GMWQ!$LQ$2:$LQ$60=AB$3)*(GMWQ!$LP$2:$LP$60=AB$4)*(GMWQ!$LR$2:$LR$60=AB$1),0),$B162-1966)</f>
        <v>168985</v>
      </c>
      <c r="AC162" s="7" cm="1">
        <f t="array" ref="AC162">INDEX(GMWQ!$A$2:$LR$60,MATCH(1,(GMWQ!$LQ$2:$LQ$60=AC$3)*(GMWQ!$LP$2:$LP$60=AC$4)*(GMWQ!$LR$2:$LR$60=AC$1),0),$B162-1966)</f>
        <v>6679</v>
      </c>
      <c r="AD162" s="7" cm="1">
        <f t="array" ref="AD162">INDEX(GMWQ!$A$2:$LR$60,MATCH(1,(GMWQ!$LQ$2:$LQ$60=AD$3)*(GMWQ!$LP$2:$LP$60=AD$4)*(GMWQ!$LR$2:$LR$60=AD$1),0),$B162-1966)</f>
        <v>10853</v>
      </c>
      <c r="AE162" s="7" cm="1">
        <f t="array" ref="AE162">INDEX(GMWQ!$A$2:$LR$60,MATCH(1,(GMWQ!$LQ$2:$LQ$60=AE$3)*(GMWQ!$LP$2:$LP$60=AE$4)*(GMWQ!$LR$2:$LR$60=AE$1),0),$B162-1966)</f>
        <v>419443</v>
      </c>
      <c r="AF162" s="20" cm="1">
        <f t="array" ref="AF162">INDEX(GMWQ!$A$2:$LR$60,MATCH(1,(GMWQ!$LQ$2:$LQ$60=AF$3)*(GMWQ!$LP$2:$LP$60=AF$4)*(GMWQ!$LR$2:$LR$60=AF$1),0),$B162-1966)</f>
        <v>0.5</v>
      </c>
      <c r="AG162" s="20" cm="1">
        <f t="array" ref="AG162">INDEX(GMWQ!$A$2:$LR$60,MATCH(1,(GMWQ!$LQ$2:$LQ$60=AG$3)*(GMWQ!$LP$2:$LP$60=AG$4)*(GMWQ!$LR$2:$LR$60=AG$1),0),$B162-1966)</f>
        <v>-696</v>
      </c>
      <c r="AI162" s="23" cm="1">
        <f t="array" ref="AI162">INDEX(GMWQ!$A$2:$LR$60,MATCH(1,(GMWQ!$LQ$2:$LQ$60=AI$3)*(GMWQ!$LP$2:$LP$60=AI$4)*(GMWQ!$LR$2:$LR$60=AI$1),0),$B162-1966)</f>
        <v>273345</v>
      </c>
      <c r="AJ162" s="23" cm="1">
        <f t="array" ref="AJ162">INDEX(GMWQ!$A$2:$LR$60,MATCH(1,(GMWQ!$LQ$2:$LQ$60=AJ$3)*(GMWQ!$LP$2:$LP$60=AJ$4)*(GMWQ!$LR$2:$LR$60=AJ$1),0),$B162-1966)</f>
        <v>90.291550000000001</v>
      </c>
      <c r="AK162" s="23" cm="1">
        <f t="array" ref="AK162">INDEX(GMWQ!$A$2:$LR$60,MATCH(1,(GMWQ!$LQ$2:$LQ$60=AK$3)*(GMWQ!$LP$2:$LP$60=AK$4)*(GMWQ!$LR$2:$LR$60=AK$1),0),$B162-1966)</f>
        <v>168220</v>
      </c>
      <c r="AL162" s="23" cm="1">
        <f t="array" ref="AL162">INDEX(GMWQ!$A$2:$LR$60,MATCH(1,(GMWQ!$LQ$2:$LQ$60=AL$3)*(GMWQ!$LP$2:$LP$60=AL$4)*(GMWQ!$LR$2:$LR$60=AL$1),0),$B162-1966)</f>
        <v>6724.4960000000001</v>
      </c>
      <c r="AM162" s="23" cm="1">
        <f t="array" ref="AM162">INDEX(GMWQ!$A$2:$LR$60,MATCH(1,(GMWQ!$LQ$2:$LQ$60=AM$3)*(GMWQ!$LP$2:$LP$60=AM$4)*(GMWQ!$LR$2:$LR$60=AM$1),0),$B162-1966)</f>
        <v>25016</v>
      </c>
      <c r="AN162" s="23" cm="1">
        <f t="array" ref="AN162">INDEX(GMWQ!$A$2:$LR$60,MATCH(1,(GMWQ!$LQ$2:$LQ$60=AN$3)*(GMWQ!$LP$2:$LP$60=AN$4)*(GMWQ!$LR$2:$LR$60=AN$1),0),$B162-1966)</f>
        <v>39960</v>
      </c>
      <c r="AO162" s="23" cm="1">
        <f t="array" ref="AO162">INDEX(GMWQ!$A$2:$LR$60,MATCH(1,(GMWQ!$LQ$2:$LQ$60=AO$3)*(GMWQ!$LP$2:$LP$60=AO$4)*(GMWQ!$LR$2:$LR$60=AO$1),0),$B162-1966)</f>
        <v>12274</v>
      </c>
      <c r="AP162" s="23" cm="1">
        <f t="array" ref="AP162">INDEX(GMWQ!$A$2:$LR$60,MATCH(1,(GMWQ!$LQ$2:$LQ$60=AP$3)*(GMWQ!$LP$2:$LP$60=AP$4)*(GMWQ!$LR$2:$LR$60=AP$1),0),$B162-1966)</f>
        <v>-696</v>
      </c>
      <c r="AQ162" s="23" cm="1">
        <f t="array" ref="AQ162">INDEX(GMWQ!$A$2:$LR$60,MATCH(1,(GMWQ!$LQ$2:$LQ$60=AQ$3)*(GMWQ!$LP$2:$LP$60=AQ$4)*(GMWQ!$LR$2:$LR$60=AQ$1),0),$B162-1966)</f>
        <v>52483</v>
      </c>
      <c r="AR162" s="23" cm="1">
        <f t="array" ref="AR162">INDEX(GMWQ!$A$2:$LR$60,MATCH(1,(GMWQ!$LQ$2:$LQ$60=AR$3)*(GMWQ!$LP$2:$LP$60=AR$4)*(GMWQ!$LR$2:$LR$60=AR$1),0),$B162-1966)</f>
        <v>258995</v>
      </c>
      <c r="AS162" s="23" cm="1">
        <f t="array" ref="AS162">INDEX(GMWQ!$A$2:$LR$60,MATCH(1,(GMWQ!$LQ$2:$LQ$60=AS$3)*(GMWQ!$LP$2:$LP$60=AS$4)*(GMWQ!$LR$2:$LR$60=AS$1),0),$B162-1966)</f>
        <v>10294</v>
      </c>
      <c r="AT162" s="23" cm="1">
        <f t="array" ref="AT162">INDEX(GMWQ!$A$2:$LR$60,MATCH(1,(GMWQ!$LQ$2:$LQ$60=AT$3)*(GMWQ!$LP$2:$LP$60=AT$4)*(GMWQ!$LR$2:$LR$60=AT$1),0),$B162-1966)</f>
        <v>286843</v>
      </c>
      <c r="AU162" s="23" cm="1">
        <f t="array" ref="AU162">INDEX(GMWQ!$A$2:$LR$60,MATCH(1,(GMWQ!$LQ$2:$LQ$60=AU$3)*(GMWQ!$LP$2:$LP$60=AU$4)*(GMWQ!$LR$2:$LR$60=AU$1),0),$B162-1966)</f>
        <v>11686</v>
      </c>
    </row>
    <row r="163" spans="1:47" x14ac:dyDescent="0.35">
      <c r="A163" s="7">
        <v>2012</v>
      </c>
      <c r="B163" s="7">
        <f t="shared" si="3"/>
        <v>2129</v>
      </c>
      <c r="C163" s="7" cm="1">
        <f t="array" ref="C163">INDEX(GMWQ!$A$2:$LR$60,MATCH(1,(GMWQ!$LQ$2:$LQ$60=C$3)*(GMWQ!$LP$2:$LP$60=C$4)*(GMWQ!$LR$2:$LR$60=C$1),0),$B163-1966)</f>
        <v>480632</v>
      </c>
      <c r="D163" s="7" cm="1">
        <f t="array" ref="D163">INDEX(GMWQ!$A$2:$LR$60,MATCH(1,(GMWQ!$LQ$2:$LQ$60=D$3)*(GMWQ!$LP$2:$LP$60=D$4)*(GMWQ!$LR$2:$LR$60=D$1),0),$B163-1966)</f>
        <v>457</v>
      </c>
      <c r="E163" s="7" cm="1">
        <f t="array" ref="E163">INDEX(GMWQ!$A$2:$LR$60,MATCH(1,(GMWQ!$LQ$2:$LQ$60=E$3)*(GMWQ!$LP$2:$LP$60=E$4)*(GMWQ!$LR$2:$LR$60=E$1),0),$B163-1966)</f>
        <v>95.033330000000007</v>
      </c>
      <c r="F163" s="7" cm="1">
        <f t="array" ref="F163">INDEX(GMWQ!$A$2:$LR$60,MATCH(1,(GMWQ!$LQ$2:$LQ$60=F$3)*(GMWQ!$LP$2:$LP$60=F$4)*(GMWQ!$LR$2:$LR$60=F$1),0),$B163-1966)</f>
        <v>170232</v>
      </c>
      <c r="G163" s="7" cm="1">
        <f t="array" ref="G163">INDEX(GMWQ!$A$2:$LR$60,MATCH(1,(GMWQ!$LQ$2:$LQ$60=G$3)*(GMWQ!$LP$2:$LP$60=G$4)*(GMWQ!$LR$2:$LR$60=G$1),0),$B163-1966)</f>
        <v>37374</v>
      </c>
      <c r="H163" s="7" cm="1">
        <f t="array" ref="H163">INDEX(GMWQ!$A$2:$LR$60,MATCH(1,(GMWQ!$LQ$2:$LQ$60=H$3)*(GMWQ!$LP$2:$LP$60=H$4)*(GMWQ!$LR$2:$LR$60=H$1),0),$B163-1966)</f>
        <v>12389</v>
      </c>
      <c r="I163" s="7" cm="1">
        <f t="array" ref="I163">INDEX(GMWQ!$A$2:$LR$60,MATCH(1,(GMWQ!$LQ$2:$LQ$60=I$3)*(GMWQ!$LP$2:$LP$60=I$4)*(GMWQ!$LR$2:$LR$60=I$1),0),$B163-1966)</f>
        <v>90.333550000000002</v>
      </c>
      <c r="J163" s="7" cm="1">
        <f t="array" ref="J163">INDEX(GMWQ!$A$2:$LR$60,MATCH(1,(GMWQ!$LQ$2:$LQ$60=J$3)*(GMWQ!$LP$2:$LP$60=J$4)*(GMWQ!$LR$2:$LR$60=J$1),0),$B163-1966)</f>
        <v>25042</v>
      </c>
      <c r="K163" s="7" cm="1">
        <f t="array" ref="K163">INDEX(GMWQ!$A$2:$LR$60,MATCH(1,(GMWQ!$LQ$2:$LQ$60=K$3)*(GMWQ!$LP$2:$LP$60=K$4)*(GMWQ!$LR$2:$LR$60=K$1),0),$B163-1966)</f>
        <v>0.5</v>
      </c>
      <c r="L163" s="7" cm="1">
        <f t="array" ref="L163">INDEX(GMWQ!$A$2:$LR$60,MATCH(1,(GMWQ!$LQ$2:$LQ$60=L$3)*(GMWQ!$LP$2:$LP$60=L$4)*(GMWQ!$LR$2:$LR$60=L$1),0),$B163-1966)</f>
        <v>8.1999999999999993</v>
      </c>
      <c r="M163" s="7" cm="1">
        <f t="array" ref="M163">INDEX(GMWQ!$A$2:$LR$60,MATCH(1,(GMWQ!$LQ$2:$LQ$60=M$3)*(GMWQ!$LP$2:$LP$60=M$4)*(GMWQ!$LR$2:$LR$60=M$1),0),$B163-1966)</f>
        <v>87.269329999999997</v>
      </c>
      <c r="N163" s="7" cm="1">
        <f t="array" ref="N163">INDEX(GMWQ!$A$2:$LR$60,MATCH(1,(GMWQ!$LQ$2:$LQ$60=N$3)*(GMWQ!$LP$2:$LP$60=N$4)*(GMWQ!$LR$2:$LR$60=N$1),0),$B163-1966)</f>
        <v>7193</v>
      </c>
      <c r="O163" s="7" cm="1">
        <f t="array" ref="O163">INDEX(GMWQ!$A$2:$LR$60,MATCH(1,(GMWQ!$LQ$2:$LQ$60=O$3)*(GMWQ!$LP$2:$LP$60=O$4)*(GMWQ!$LR$2:$LR$60=O$1),0),$B163-1966)</f>
        <v>6134</v>
      </c>
      <c r="P163" s="7" cm="1">
        <f t="array" ref="P163">INDEX(GMWQ!$A$2:$LR$60,MATCH(1,(GMWQ!$LQ$2:$LQ$60=P$3)*(GMWQ!$LP$2:$LP$60=P$4)*(GMWQ!$LR$2:$LR$60=P$1),0),$B163-1966)</f>
        <v>279363</v>
      </c>
      <c r="Q163" s="7" cm="1">
        <f t="array" ref="Q163">INDEX(GMWQ!$A$2:$LR$60,MATCH(1,(GMWQ!$LQ$2:$LQ$60=Q$3)*(GMWQ!$LP$2:$LP$60=Q$4)*(GMWQ!$LR$2:$LR$60=Q$1),0),$B163-1966)</f>
        <v>3.3666670000000001</v>
      </c>
      <c r="R163" s="7" cm="1">
        <f t="array" ref="R163">INDEX(GMWQ!$A$2:$LR$60,MATCH(1,(GMWQ!$LQ$2:$LQ$60=R$3)*(GMWQ!$LP$2:$LP$60=R$4)*(GMWQ!$LR$2:$LR$60=R$1),0),$B163-1966)</f>
        <v>157261</v>
      </c>
      <c r="S163" s="7" cm="1">
        <f t="array" ref="S163">INDEX(GMWQ!$A$2:$LR$60,MATCH(1,(GMWQ!$LQ$2:$LQ$60=S$3)*(GMWQ!$LP$2:$LP$60=S$4)*(GMWQ!$LR$2:$LR$60=S$1),0),$B163-1966)</f>
        <v>241.84</v>
      </c>
      <c r="T163" s="7" cm="1">
        <f t="array" ref="T163">INDEX(GMWQ!$A$2:$LR$60,MATCH(1,(GMWQ!$LQ$2:$LQ$60=T$3)*(GMWQ!$LP$2:$LP$60=T$4)*(GMWQ!$LR$2:$LR$60=T$1),0),$B163-1966)</f>
        <v>37200</v>
      </c>
      <c r="U163" s="7" cm="1">
        <f t="array" ref="U163">INDEX(GMWQ!$A$2:$LR$60,MATCH(1,(GMWQ!$LQ$2:$LQ$60=U$3)*(GMWQ!$LP$2:$LP$60=U$4)*(GMWQ!$LR$2:$LR$60=U$1),0),$B163-1966)</f>
        <v>3986</v>
      </c>
      <c r="V163" s="7" cm="1">
        <f t="array" ref="V163">INDEX(GMWQ!$A$2:$LR$60,MATCH(1,(GMWQ!$LQ$2:$LQ$60=V$3)*(GMWQ!$LP$2:$LP$60=V$4)*(GMWQ!$LR$2:$LR$60=V$1),0),$B163-1966)</f>
        <v>2.2151670000000001E-3</v>
      </c>
      <c r="W163" s="7" cm="1">
        <f t="array" ref="W163">INDEX(GMWQ!$A$2:$LR$60,MATCH(1,(GMWQ!$LQ$2:$LQ$60=W$3)*(GMWQ!$LP$2:$LP$60=W$4)*(GMWQ!$LR$2:$LR$60=W$1),0),$B163-1966)</f>
        <v>10.222429999999999</v>
      </c>
      <c r="X163" s="7" cm="1">
        <f t="array" ref="X163">INDEX(GMWQ!$A$2:$LR$60,MATCH(1,(GMWQ!$LQ$2:$LQ$60=X$3)*(GMWQ!$LP$2:$LP$60=X$4)*(GMWQ!$LR$2:$LR$60=X$1),0),$B163-1966)</f>
        <v>2857254</v>
      </c>
      <c r="Y163" s="7" cm="1">
        <f t="array" ref="Y163">INDEX(GMWQ!$A$2:$LR$60,MATCH(1,(GMWQ!$LQ$2:$LQ$60=Y$3)*(GMWQ!$LP$2:$LP$60=Y$4)*(GMWQ!$LR$2:$LR$60=Y$1),0),$B163-1966)</f>
        <v>88.363659999999996</v>
      </c>
      <c r="Z163" s="7" cm="1">
        <f t="array" ref="Z163">INDEX(GMWQ!$A$2:$LR$60,MATCH(1,(GMWQ!$LQ$2:$LQ$60=Z$3)*(GMWQ!$LP$2:$LP$60=Z$4)*(GMWQ!$LR$2:$LR$60=Z$1),0),$B163-1966)</f>
        <v>496627.3</v>
      </c>
      <c r="AA163" s="7" cm="1">
        <f t="array" ref="AA163">INDEX(GMWQ!$A$2:$LR$60,MATCH(1,(GMWQ!$LQ$2:$LQ$60=AA$3)*(GMWQ!$LP$2:$LP$60=AA$4)*(GMWQ!$LR$2:$LR$60=AA$1),0),$B163-1966)</f>
        <v>170927</v>
      </c>
      <c r="AB163" s="7" cm="1">
        <f t="array" ref="AB163">INDEX(GMWQ!$A$2:$LR$60,MATCH(1,(GMWQ!$LQ$2:$LQ$60=AB$3)*(GMWQ!$LP$2:$LP$60=AB$4)*(GMWQ!$LR$2:$LR$60=AB$1),0),$B163-1966)</f>
        <v>170159</v>
      </c>
      <c r="AC163" s="7" cm="1">
        <f t="array" ref="AC163">INDEX(GMWQ!$A$2:$LR$60,MATCH(1,(GMWQ!$LQ$2:$LQ$60=AC$3)*(GMWQ!$LP$2:$LP$60=AC$4)*(GMWQ!$LR$2:$LR$60=AC$1),0),$B163-1966)</f>
        <v>13379</v>
      </c>
      <c r="AD163" s="7" cm="1">
        <f t="array" ref="AD163">INDEX(GMWQ!$A$2:$LR$60,MATCH(1,(GMWQ!$LQ$2:$LQ$60=AD$3)*(GMWQ!$LP$2:$LP$60=AD$4)*(GMWQ!$LR$2:$LR$60=AD$1),0),$B163-1966)</f>
        <v>11180</v>
      </c>
      <c r="AE163" s="7" cm="1">
        <f t="array" ref="AE163">INDEX(GMWQ!$A$2:$LR$60,MATCH(1,(GMWQ!$LQ$2:$LQ$60=AE$3)*(GMWQ!$LP$2:$LP$60=AE$4)*(GMWQ!$LR$2:$LR$60=AE$1),0),$B163-1966)</f>
        <v>424704</v>
      </c>
      <c r="AF163" s="20" cm="1">
        <f t="array" ref="AF163">INDEX(GMWQ!$A$2:$LR$60,MATCH(1,(GMWQ!$LQ$2:$LQ$60=AF$3)*(GMWQ!$LP$2:$LP$60=AF$4)*(GMWQ!$LR$2:$LR$60=AF$1),0),$B163-1966)</f>
        <v>0.5</v>
      </c>
      <c r="AG163" s="20" cm="1">
        <f t="array" ref="AG163">INDEX(GMWQ!$A$2:$LR$60,MATCH(1,(GMWQ!$LQ$2:$LQ$60=AG$3)*(GMWQ!$LP$2:$LP$60=AG$4)*(GMWQ!$LR$2:$LR$60=AG$1),0),$B163-1966)</f>
        <v>-1059</v>
      </c>
      <c r="AI163" s="23" cm="1">
        <f t="array" ref="AI163">INDEX(GMWQ!$A$2:$LR$60,MATCH(1,(GMWQ!$LQ$2:$LQ$60=AI$3)*(GMWQ!$LP$2:$LP$60=AI$4)*(GMWQ!$LR$2:$LR$60=AI$1),0),$B163-1966)</f>
        <v>279363</v>
      </c>
      <c r="AJ163" s="23" cm="1">
        <f t="array" ref="AJ163">INDEX(GMWQ!$A$2:$LR$60,MATCH(1,(GMWQ!$LQ$2:$LQ$60=AJ$3)*(GMWQ!$LP$2:$LP$60=AJ$4)*(GMWQ!$LR$2:$LR$60=AJ$1),0),$B163-1966)</f>
        <v>90.333550000000002</v>
      </c>
      <c r="AK163" s="23" cm="1">
        <f t="array" ref="AK163">INDEX(GMWQ!$A$2:$LR$60,MATCH(1,(GMWQ!$LQ$2:$LQ$60=AK$3)*(GMWQ!$LP$2:$LP$60=AK$4)*(GMWQ!$LR$2:$LR$60=AK$1),0),$B163-1966)</f>
        <v>170232</v>
      </c>
      <c r="AL163" s="23" cm="1">
        <f t="array" ref="AL163">INDEX(GMWQ!$A$2:$LR$60,MATCH(1,(GMWQ!$LQ$2:$LQ$60=AL$3)*(GMWQ!$LP$2:$LP$60=AL$4)*(GMWQ!$LR$2:$LR$60=AL$1),0),$B163-1966)</f>
        <v>6797.8590000000004</v>
      </c>
      <c r="AM163" s="23" cm="1">
        <f t="array" ref="AM163">INDEX(GMWQ!$A$2:$LR$60,MATCH(1,(GMWQ!$LQ$2:$LQ$60=AM$3)*(GMWQ!$LP$2:$LP$60=AM$4)*(GMWQ!$LR$2:$LR$60=AM$1),0),$B163-1966)</f>
        <v>25042</v>
      </c>
      <c r="AN163" s="23" cm="1">
        <f t="array" ref="AN163">INDEX(GMWQ!$A$2:$LR$60,MATCH(1,(GMWQ!$LQ$2:$LQ$60=AN$3)*(GMWQ!$LP$2:$LP$60=AN$4)*(GMWQ!$LR$2:$LR$60=AN$1),0),$B163-1966)</f>
        <v>37374</v>
      </c>
      <c r="AO163" s="23" cm="1">
        <f t="array" ref="AO163">INDEX(GMWQ!$A$2:$LR$60,MATCH(1,(GMWQ!$LQ$2:$LQ$60=AO$3)*(GMWQ!$LP$2:$LP$60=AO$4)*(GMWQ!$LR$2:$LR$60=AO$1),0),$B163-1966)</f>
        <v>12389</v>
      </c>
      <c r="AP163" s="23" cm="1">
        <f t="array" ref="AP163">INDEX(GMWQ!$A$2:$LR$60,MATCH(1,(GMWQ!$LQ$2:$LQ$60=AP$3)*(GMWQ!$LP$2:$LP$60=AP$4)*(GMWQ!$LR$2:$LR$60=AP$1),0),$B163-1966)</f>
        <v>-1059</v>
      </c>
      <c r="AQ163" s="23" cm="1">
        <f t="array" ref="AQ163">INDEX(GMWQ!$A$2:$LR$60,MATCH(1,(GMWQ!$LQ$2:$LQ$60=AQ$3)*(GMWQ!$LP$2:$LP$60=AQ$4)*(GMWQ!$LR$2:$LR$60=AQ$1),0),$B163-1966)</f>
        <v>52193</v>
      </c>
      <c r="AR163" s="23" cm="1">
        <f t="array" ref="AR163">INDEX(GMWQ!$A$2:$LR$60,MATCH(1,(GMWQ!$LQ$2:$LQ$60=AR$3)*(GMWQ!$LP$2:$LP$60=AR$4)*(GMWQ!$LR$2:$LR$60=AR$1),0),$B163-1966)</f>
        <v>259204</v>
      </c>
      <c r="AS163" s="23" cm="1">
        <f t="array" ref="AS163">INDEX(GMWQ!$A$2:$LR$60,MATCH(1,(GMWQ!$LQ$2:$LQ$60=AS$3)*(GMWQ!$LP$2:$LP$60=AS$4)*(GMWQ!$LR$2:$LR$60=AS$1),0),$B163-1966)</f>
        <v>10338</v>
      </c>
      <c r="AT163" s="23" cm="1">
        <f t="array" ref="AT163">INDEX(GMWQ!$A$2:$LR$60,MATCH(1,(GMWQ!$LQ$2:$LQ$60=AT$3)*(GMWQ!$LP$2:$LP$60=AT$4)*(GMWQ!$LR$2:$LR$60=AT$1),0),$B163-1966)</f>
        <v>286941</v>
      </c>
      <c r="AU163" s="23" cm="1">
        <f t="array" ref="AU163">INDEX(GMWQ!$A$2:$LR$60,MATCH(1,(GMWQ!$LQ$2:$LQ$60=AU$3)*(GMWQ!$LP$2:$LP$60=AU$4)*(GMWQ!$LR$2:$LR$60=AU$1),0),$B163-1966)</f>
        <v>11628</v>
      </c>
    </row>
    <row r="164" spans="1:47" x14ac:dyDescent="0.35">
      <c r="B164" s="7">
        <f t="shared" si="3"/>
        <v>2130</v>
      </c>
      <c r="C164" s="7" cm="1">
        <f t="array" ref="C164">INDEX(GMWQ!$A$2:$LR$60,MATCH(1,(GMWQ!$LQ$2:$LQ$60=C$3)*(GMWQ!$LP$2:$LP$60=C$4)*(GMWQ!$LR$2:$LR$60=C$1),0),$B164-1966)</f>
        <v>479979</v>
      </c>
      <c r="D164" s="7" cm="1">
        <f t="array" ref="D164">INDEX(GMWQ!$A$2:$LR$60,MATCH(1,(GMWQ!$LQ$2:$LQ$60=D$3)*(GMWQ!$LP$2:$LP$60=D$4)*(GMWQ!$LR$2:$LR$60=D$1),0),$B164-1966)</f>
        <v>460.66669999999999</v>
      </c>
      <c r="E164" s="7" cm="1">
        <f t="array" ref="E164">INDEX(GMWQ!$A$2:$LR$60,MATCH(1,(GMWQ!$LQ$2:$LQ$60=E$3)*(GMWQ!$LP$2:$LP$60=E$4)*(GMWQ!$LR$2:$LR$60=E$1),0),$B164-1966)</f>
        <v>95.8</v>
      </c>
      <c r="F164" s="7" cm="1">
        <f t="array" ref="F164">INDEX(GMWQ!$A$2:$LR$60,MATCH(1,(GMWQ!$LQ$2:$LQ$60=F$3)*(GMWQ!$LP$2:$LP$60=F$4)*(GMWQ!$LR$2:$LR$60=F$1),0),$B164-1966)</f>
        <v>171221</v>
      </c>
      <c r="G164" s="7" cm="1">
        <f t="array" ref="G164">INDEX(GMWQ!$A$2:$LR$60,MATCH(1,(GMWQ!$LQ$2:$LQ$60=G$3)*(GMWQ!$LP$2:$LP$60=G$4)*(GMWQ!$LR$2:$LR$60=G$1),0),$B164-1966)</f>
        <v>38679</v>
      </c>
      <c r="H164" s="7" cm="1">
        <f t="array" ref="H164">INDEX(GMWQ!$A$2:$LR$60,MATCH(1,(GMWQ!$LQ$2:$LQ$60=H$3)*(GMWQ!$LP$2:$LP$60=H$4)*(GMWQ!$LR$2:$LR$60=H$1),0),$B164-1966)</f>
        <v>12537</v>
      </c>
      <c r="I164" s="7" cm="1">
        <f t="array" ref="I164">INDEX(GMWQ!$A$2:$LR$60,MATCH(1,(GMWQ!$LQ$2:$LQ$60=I$3)*(GMWQ!$LP$2:$LP$60=I$4)*(GMWQ!$LR$2:$LR$60=I$1),0),$B164-1966)</f>
        <v>90.853989999999996</v>
      </c>
      <c r="J164" s="7" cm="1">
        <f t="array" ref="J164">INDEX(GMWQ!$A$2:$LR$60,MATCH(1,(GMWQ!$LQ$2:$LQ$60=J$3)*(GMWQ!$LP$2:$LP$60=J$4)*(GMWQ!$LR$2:$LR$60=J$1),0),$B164-1966)</f>
        <v>25187</v>
      </c>
      <c r="K164" s="7" cm="1">
        <f t="array" ref="K164">INDEX(GMWQ!$A$2:$LR$60,MATCH(1,(GMWQ!$LQ$2:$LQ$60=K$3)*(GMWQ!$LP$2:$LP$60=K$4)*(GMWQ!$LR$2:$LR$60=K$1),0),$B164-1966)</f>
        <v>0.5</v>
      </c>
      <c r="L164" s="7" cm="1">
        <f t="array" ref="L164">INDEX(GMWQ!$A$2:$LR$60,MATCH(1,(GMWQ!$LQ$2:$LQ$60=L$3)*(GMWQ!$LP$2:$LP$60=L$4)*(GMWQ!$LR$2:$LR$60=L$1),0),$B164-1966)</f>
        <v>8</v>
      </c>
      <c r="M164" s="7" cm="1">
        <f t="array" ref="M164">INDEX(GMWQ!$A$2:$LR$60,MATCH(1,(GMWQ!$LQ$2:$LQ$60=M$3)*(GMWQ!$LP$2:$LP$60=M$4)*(GMWQ!$LR$2:$LR$60=M$1),0),$B164-1966)</f>
        <v>87.739329999999995</v>
      </c>
      <c r="N164" s="7" cm="1">
        <f t="array" ref="N164">INDEX(GMWQ!$A$2:$LR$60,MATCH(1,(GMWQ!$LQ$2:$LQ$60=N$3)*(GMWQ!$LP$2:$LP$60=N$4)*(GMWQ!$LR$2:$LR$60=N$1),0),$B164-1966)</f>
        <v>6804</v>
      </c>
      <c r="O164" s="7" cm="1">
        <f t="array" ref="O164">INDEX(GMWQ!$A$2:$LR$60,MATCH(1,(GMWQ!$LQ$2:$LQ$60=O$3)*(GMWQ!$LP$2:$LP$60=O$4)*(GMWQ!$LR$2:$LR$60=O$1),0),$B164-1966)</f>
        <v>5954</v>
      </c>
      <c r="P164" s="7" cm="1">
        <f t="array" ref="P164">INDEX(GMWQ!$A$2:$LR$60,MATCH(1,(GMWQ!$LQ$2:$LQ$60=P$3)*(GMWQ!$LP$2:$LP$60=P$4)*(GMWQ!$LR$2:$LR$60=P$1),0),$B164-1966)</f>
        <v>283663</v>
      </c>
      <c r="Q164" s="7" cm="1">
        <f t="array" ref="Q164">INDEX(GMWQ!$A$2:$LR$60,MATCH(1,(GMWQ!$LQ$2:$LQ$60=Q$3)*(GMWQ!$LP$2:$LP$60=Q$4)*(GMWQ!$LR$2:$LR$60=Q$1),0),$B164-1966)</f>
        <v>3.38</v>
      </c>
      <c r="R164" s="7" cm="1">
        <f t="array" ref="R164">INDEX(GMWQ!$A$2:$LR$60,MATCH(1,(GMWQ!$LQ$2:$LQ$60=R$3)*(GMWQ!$LP$2:$LP$60=R$4)*(GMWQ!$LR$2:$LR$60=R$1),0),$B164-1966)</f>
        <v>148959</v>
      </c>
      <c r="S164" s="7" cm="1">
        <f t="array" ref="S164">INDEX(GMWQ!$A$2:$LR$60,MATCH(1,(GMWQ!$LQ$2:$LQ$60=S$3)*(GMWQ!$LP$2:$LP$60=S$4)*(GMWQ!$LR$2:$LR$60=S$1),0),$B164-1966)</f>
        <v>225.82</v>
      </c>
      <c r="T164" s="7" cm="1">
        <f t="array" ref="T164">INDEX(GMWQ!$A$2:$LR$60,MATCH(1,(GMWQ!$LQ$2:$LQ$60=T$3)*(GMWQ!$LP$2:$LP$60=T$4)*(GMWQ!$LR$2:$LR$60=T$1),0),$B164-1966)</f>
        <v>35603</v>
      </c>
      <c r="U164" s="7" cm="1">
        <f t="array" ref="U164">INDEX(GMWQ!$A$2:$LR$60,MATCH(1,(GMWQ!$LQ$2:$LQ$60=U$3)*(GMWQ!$LP$2:$LP$60=U$4)*(GMWQ!$LR$2:$LR$60=U$1),0),$B164-1966)</f>
        <v>2426</v>
      </c>
      <c r="V164" s="7" cm="1">
        <f t="array" ref="V164">INDEX(GMWQ!$A$2:$LR$60,MATCH(1,(GMWQ!$LQ$2:$LQ$60=V$3)*(GMWQ!$LP$2:$LP$60=V$4)*(GMWQ!$LR$2:$LR$60=V$1),0),$B164-1966)</f>
        <v>2.0902389999999998E-3</v>
      </c>
      <c r="W164" s="7" cm="1">
        <f t="array" ref="W164">INDEX(GMWQ!$A$2:$LR$60,MATCH(1,(GMWQ!$LQ$2:$LQ$60=W$3)*(GMWQ!$LP$2:$LP$60=W$4)*(GMWQ!$LR$2:$LR$60=W$1),0),$B164-1966)</f>
        <v>10.178050000000001</v>
      </c>
      <c r="X164" s="7" cm="1">
        <f t="array" ref="X164">INDEX(GMWQ!$A$2:$LR$60,MATCH(1,(GMWQ!$LQ$2:$LQ$60=X$3)*(GMWQ!$LP$2:$LP$60=X$4)*(GMWQ!$LR$2:$LR$60=X$1),0),$B164-1966)</f>
        <v>2897824</v>
      </c>
      <c r="Y164" s="7" cm="1">
        <f t="array" ref="Y164">INDEX(GMWQ!$A$2:$LR$60,MATCH(1,(GMWQ!$LQ$2:$LQ$60=Y$3)*(GMWQ!$LP$2:$LP$60=Y$4)*(GMWQ!$LR$2:$LR$60=Y$1),0),$B164-1966)</f>
        <v>88.546999999999997</v>
      </c>
      <c r="Z164" s="7" cm="1">
        <f t="array" ref="Z164">INDEX(GMWQ!$A$2:$LR$60,MATCH(1,(GMWQ!$LQ$2:$LQ$60=Z$3)*(GMWQ!$LP$2:$LP$60=Z$4)*(GMWQ!$LR$2:$LR$60=Z$1),0),$B164-1966)</f>
        <v>498978.9</v>
      </c>
      <c r="AA164" s="7" cm="1">
        <f t="array" ref="AA164">INDEX(GMWQ!$A$2:$LR$60,MATCH(1,(GMWQ!$LQ$2:$LQ$60=AA$3)*(GMWQ!$LP$2:$LP$60=AA$4)*(GMWQ!$LR$2:$LR$60=AA$1),0),$B164-1966)</f>
        <v>150357</v>
      </c>
      <c r="AB164" s="7" cm="1">
        <f t="array" ref="AB164">INDEX(GMWQ!$A$2:$LR$60,MATCH(1,(GMWQ!$LQ$2:$LQ$60=AB$3)*(GMWQ!$LP$2:$LP$60=AB$4)*(GMWQ!$LR$2:$LR$60=AB$1),0),$B164-1966)</f>
        <v>169647</v>
      </c>
      <c r="AC164" s="7" cm="1">
        <f t="array" ref="AC164">INDEX(GMWQ!$A$2:$LR$60,MATCH(1,(GMWQ!$LQ$2:$LQ$60=AC$3)*(GMWQ!$LP$2:$LP$60=AC$4)*(GMWQ!$LR$2:$LR$60=AC$1),0),$B164-1966)</f>
        <v>12952</v>
      </c>
      <c r="AD164" s="7" cm="1">
        <f t="array" ref="AD164">INDEX(GMWQ!$A$2:$LR$60,MATCH(1,(GMWQ!$LQ$2:$LQ$60=AD$3)*(GMWQ!$LP$2:$LP$60=AD$4)*(GMWQ!$LR$2:$LR$60=AD$1),0),$B164-1966)</f>
        <v>11081</v>
      </c>
      <c r="AE164" s="7" cm="1">
        <f t="array" ref="AE164">INDEX(GMWQ!$A$2:$LR$60,MATCH(1,(GMWQ!$LQ$2:$LQ$60=AE$3)*(GMWQ!$LP$2:$LP$60=AE$4)*(GMWQ!$LR$2:$LR$60=AE$1),0),$B164-1966)</f>
        <v>425007</v>
      </c>
      <c r="AF164" s="20" cm="1">
        <f t="array" ref="AF164">INDEX(GMWQ!$A$2:$LR$60,MATCH(1,(GMWQ!$LQ$2:$LQ$60=AF$3)*(GMWQ!$LP$2:$LP$60=AF$4)*(GMWQ!$LR$2:$LR$60=AF$1),0),$B164-1966)</f>
        <v>0.5</v>
      </c>
      <c r="AG164" s="20" cm="1">
        <f t="array" ref="AG164">INDEX(GMWQ!$A$2:$LR$60,MATCH(1,(GMWQ!$LQ$2:$LQ$60=AG$3)*(GMWQ!$LP$2:$LP$60=AG$4)*(GMWQ!$LR$2:$LR$60=AG$1),0),$B164-1966)</f>
        <v>-850</v>
      </c>
      <c r="AI164" s="23" cm="1">
        <f t="array" ref="AI164">INDEX(GMWQ!$A$2:$LR$60,MATCH(1,(GMWQ!$LQ$2:$LQ$60=AI$3)*(GMWQ!$LP$2:$LP$60=AI$4)*(GMWQ!$LR$2:$LR$60=AI$1),0),$B164-1966)</f>
        <v>283663</v>
      </c>
      <c r="AJ164" s="23" cm="1">
        <f t="array" ref="AJ164">INDEX(GMWQ!$A$2:$LR$60,MATCH(1,(GMWQ!$LQ$2:$LQ$60=AJ$3)*(GMWQ!$LP$2:$LP$60=AJ$4)*(GMWQ!$LR$2:$LR$60=AJ$1),0),$B164-1966)</f>
        <v>90.853989999999996</v>
      </c>
      <c r="AK164" s="23" cm="1">
        <f t="array" ref="AK164">INDEX(GMWQ!$A$2:$LR$60,MATCH(1,(GMWQ!$LQ$2:$LQ$60=AK$3)*(GMWQ!$LP$2:$LP$60=AK$4)*(GMWQ!$LR$2:$LR$60=AK$1),0),$B164-1966)</f>
        <v>171221</v>
      </c>
      <c r="AL164" s="23" cm="1">
        <f t="array" ref="AL164">INDEX(GMWQ!$A$2:$LR$60,MATCH(1,(GMWQ!$LQ$2:$LQ$60=AL$3)*(GMWQ!$LP$2:$LP$60=AL$4)*(GMWQ!$LR$2:$LR$60=AL$1),0),$B164-1966)</f>
        <v>6797.991</v>
      </c>
      <c r="AM164" s="23" cm="1">
        <f t="array" ref="AM164">INDEX(GMWQ!$A$2:$LR$60,MATCH(1,(GMWQ!$LQ$2:$LQ$60=AM$3)*(GMWQ!$LP$2:$LP$60=AM$4)*(GMWQ!$LR$2:$LR$60=AM$1),0),$B164-1966)</f>
        <v>25187</v>
      </c>
      <c r="AN164" s="23" cm="1">
        <f t="array" ref="AN164">INDEX(GMWQ!$A$2:$LR$60,MATCH(1,(GMWQ!$LQ$2:$LQ$60=AN$3)*(GMWQ!$LP$2:$LP$60=AN$4)*(GMWQ!$LR$2:$LR$60=AN$1),0),$B164-1966)</f>
        <v>38679</v>
      </c>
      <c r="AO164" s="23" cm="1">
        <f t="array" ref="AO164">INDEX(GMWQ!$A$2:$LR$60,MATCH(1,(GMWQ!$LQ$2:$LQ$60=AO$3)*(GMWQ!$LP$2:$LP$60=AO$4)*(GMWQ!$LR$2:$LR$60=AO$1),0),$B164-1966)</f>
        <v>12537</v>
      </c>
      <c r="AP164" s="23" cm="1">
        <f t="array" ref="AP164">INDEX(GMWQ!$A$2:$LR$60,MATCH(1,(GMWQ!$LQ$2:$LQ$60=AP$3)*(GMWQ!$LP$2:$LP$60=AP$4)*(GMWQ!$LR$2:$LR$60=AP$1),0),$B164-1966)</f>
        <v>-850</v>
      </c>
      <c r="AQ164" s="23" cm="1">
        <f t="array" ref="AQ164">INDEX(GMWQ!$A$2:$LR$60,MATCH(1,(GMWQ!$LQ$2:$LQ$60=AQ$3)*(GMWQ!$LP$2:$LP$60=AQ$4)*(GMWQ!$LR$2:$LR$60=AQ$1),0),$B164-1966)</f>
        <v>54388</v>
      </c>
      <c r="AR164" s="23" cm="1">
        <f t="array" ref="AR164">INDEX(GMWQ!$A$2:$LR$60,MATCH(1,(GMWQ!$LQ$2:$LQ$60=AR$3)*(GMWQ!$LP$2:$LP$60=AR$4)*(GMWQ!$LR$2:$LR$60=AR$1),0),$B164-1966)</f>
        <v>262608</v>
      </c>
      <c r="AS164" s="23" cm="1">
        <f t="array" ref="AS164">INDEX(GMWQ!$A$2:$LR$60,MATCH(1,(GMWQ!$LQ$2:$LQ$60=AS$3)*(GMWQ!$LP$2:$LP$60=AS$4)*(GMWQ!$LR$2:$LR$60=AS$1),0),$B164-1966)</f>
        <v>10523</v>
      </c>
      <c r="AT164" s="23" cm="1">
        <f t="array" ref="AT164">INDEX(GMWQ!$A$2:$LR$60,MATCH(1,(GMWQ!$LQ$2:$LQ$60=AT$3)*(GMWQ!$LP$2:$LP$60=AT$4)*(GMWQ!$LR$2:$LR$60=AT$1),0),$B164-1966)</f>
        <v>289044</v>
      </c>
      <c r="AU164" s="23" cm="1">
        <f t="array" ref="AU164">INDEX(GMWQ!$A$2:$LR$60,MATCH(1,(GMWQ!$LQ$2:$LQ$60=AU$3)*(GMWQ!$LP$2:$LP$60=AU$4)*(GMWQ!$LR$2:$LR$60=AU$1),0),$B164-1966)</f>
        <v>11885</v>
      </c>
    </row>
    <row r="165" spans="1:47" x14ac:dyDescent="0.35">
      <c r="B165" s="7">
        <f t="shared" si="3"/>
        <v>2131</v>
      </c>
      <c r="C165" s="7" cm="1">
        <f t="array" ref="C165">INDEX(GMWQ!$A$2:$LR$60,MATCH(1,(GMWQ!$LQ$2:$LQ$60=C$3)*(GMWQ!$LP$2:$LP$60=C$4)*(GMWQ!$LR$2:$LR$60=C$1),0),$B165-1966)</f>
        <v>484579</v>
      </c>
      <c r="D165" s="7" cm="1">
        <f t="array" ref="D165">INDEX(GMWQ!$A$2:$LR$60,MATCH(1,(GMWQ!$LQ$2:$LQ$60=D$3)*(GMWQ!$LP$2:$LP$60=D$4)*(GMWQ!$LR$2:$LR$60=D$1),0),$B165-1966)</f>
        <v>463</v>
      </c>
      <c r="E165" s="7" cm="1">
        <f t="array" ref="E165">INDEX(GMWQ!$A$2:$LR$60,MATCH(1,(GMWQ!$LQ$2:$LQ$60=E$3)*(GMWQ!$LP$2:$LP$60=E$4)*(GMWQ!$LR$2:$LR$60=E$1),0),$B165-1966)</f>
        <v>96.066670000000002</v>
      </c>
      <c r="F165" s="7" cm="1">
        <f t="array" ref="F165">INDEX(GMWQ!$A$2:$LR$60,MATCH(1,(GMWQ!$LQ$2:$LQ$60=F$3)*(GMWQ!$LP$2:$LP$60=F$4)*(GMWQ!$LR$2:$LR$60=F$1),0),$B165-1966)</f>
        <v>171212</v>
      </c>
      <c r="G165" s="7" cm="1">
        <f t="array" ref="G165">INDEX(GMWQ!$A$2:$LR$60,MATCH(1,(GMWQ!$LQ$2:$LQ$60=G$3)*(GMWQ!$LP$2:$LP$60=G$4)*(GMWQ!$LR$2:$LR$60=G$1),0),$B165-1966)</f>
        <v>38877</v>
      </c>
      <c r="H165" s="7" cm="1">
        <f t="array" ref="H165">INDEX(GMWQ!$A$2:$LR$60,MATCH(1,(GMWQ!$LQ$2:$LQ$60=H$3)*(GMWQ!$LP$2:$LP$60=H$4)*(GMWQ!$LR$2:$LR$60=H$1),0),$B165-1966)</f>
        <v>12552</v>
      </c>
      <c r="I165" s="7" cm="1">
        <f t="array" ref="I165">INDEX(GMWQ!$A$2:$LR$60,MATCH(1,(GMWQ!$LQ$2:$LQ$60=I$3)*(GMWQ!$LP$2:$LP$60=I$4)*(GMWQ!$LR$2:$LR$60=I$1),0),$B165-1966)</f>
        <v>90.754710000000003</v>
      </c>
      <c r="J165" s="7" cm="1">
        <f t="array" ref="J165">INDEX(GMWQ!$A$2:$LR$60,MATCH(1,(GMWQ!$LQ$2:$LQ$60=J$3)*(GMWQ!$LP$2:$LP$60=J$4)*(GMWQ!$LR$2:$LR$60=J$1),0),$B165-1966)</f>
        <v>25255</v>
      </c>
      <c r="K165" s="7" cm="1">
        <f t="array" ref="K165">INDEX(GMWQ!$A$2:$LR$60,MATCH(1,(GMWQ!$LQ$2:$LQ$60=K$3)*(GMWQ!$LP$2:$LP$60=K$4)*(GMWQ!$LR$2:$LR$60=K$1),0),$B165-1966)</f>
        <v>0.5</v>
      </c>
      <c r="L165" s="7" cm="1">
        <f t="array" ref="L165">INDEX(GMWQ!$A$2:$LR$60,MATCH(1,(GMWQ!$LQ$2:$LQ$60=L$3)*(GMWQ!$LP$2:$LP$60=L$4)*(GMWQ!$LR$2:$LR$60=L$1),0),$B165-1966)</f>
        <v>7.9</v>
      </c>
      <c r="M165" s="7" cm="1">
        <f t="array" ref="M165">INDEX(GMWQ!$A$2:$LR$60,MATCH(1,(GMWQ!$LQ$2:$LQ$60=M$3)*(GMWQ!$LP$2:$LP$60=M$4)*(GMWQ!$LR$2:$LR$60=M$1),0),$B165-1966)</f>
        <v>87.581999999999994</v>
      </c>
      <c r="N165" s="7" cm="1">
        <f t="array" ref="N165">INDEX(GMWQ!$A$2:$LR$60,MATCH(1,(GMWQ!$LQ$2:$LQ$60=N$3)*(GMWQ!$LP$2:$LP$60=N$4)*(GMWQ!$LR$2:$LR$60=N$1),0),$B165-1966)</f>
        <v>5953</v>
      </c>
      <c r="O165" s="7" cm="1">
        <f t="array" ref="O165">INDEX(GMWQ!$A$2:$LR$60,MATCH(1,(GMWQ!$LQ$2:$LQ$60=O$3)*(GMWQ!$LP$2:$LP$60=O$4)*(GMWQ!$LR$2:$LR$60=O$1),0),$B165-1966)</f>
        <v>5120</v>
      </c>
      <c r="P165" s="7" cm="1">
        <f t="array" ref="P165">INDEX(GMWQ!$A$2:$LR$60,MATCH(1,(GMWQ!$LQ$2:$LQ$60=P$3)*(GMWQ!$LP$2:$LP$60=P$4)*(GMWQ!$LR$2:$LR$60=P$1),0),$B165-1966)</f>
        <v>282088</v>
      </c>
      <c r="Q165" s="7" cm="1">
        <f t="array" ref="Q165">INDEX(GMWQ!$A$2:$LR$60,MATCH(1,(GMWQ!$LQ$2:$LQ$60=Q$3)*(GMWQ!$LP$2:$LP$60=Q$4)*(GMWQ!$LR$2:$LR$60=Q$1),0),$B165-1966)</f>
        <v>3.3733330000000001</v>
      </c>
      <c r="R165" s="7" cm="1">
        <f t="array" ref="R165">INDEX(GMWQ!$A$2:$LR$60,MATCH(1,(GMWQ!$LQ$2:$LQ$60=R$3)*(GMWQ!$LP$2:$LP$60=R$4)*(GMWQ!$LR$2:$LR$60=R$1),0),$B165-1966)</f>
        <v>145721</v>
      </c>
      <c r="S165" s="7" cm="1">
        <f t="array" ref="S165">INDEX(GMWQ!$A$2:$LR$60,MATCH(1,(GMWQ!$LQ$2:$LQ$60=S$3)*(GMWQ!$LP$2:$LP$60=S$4)*(GMWQ!$LR$2:$LR$60=S$1),0),$B165-1966)</f>
        <v>228.31</v>
      </c>
      <c r="T165" s="7" cm="1">
        <f t="array" ref="T165">INDEX(GMWQ!$A$2:$LR$60,MATCH(1,(GMWQ!$LQ$2:$LQ$60=T$3)*(GMWQ!$LP$2:$LP$60=T$4)*(GMWQ!$LR$2:$LR$60=T$1),0),$B165-1966)</f>
        <v>35061</v>
      </c>
      <c r="U165" s="7" cm="1">
        <f t="array" ref="U165">INDEX(GMWQ!$A$2:$LR$60,MATCH(1,(GMWQ!$LQ$2:$LQ$60=U$3)*(GMWQ!$LP$2:$LP$60=U$4)*(GMWQ!$LR$2:$LR$60=U$1),0),$B165-1966)</f>
        <v>2159</v>
      </c>
      <c r="V165" s="7" cm="1">
        <f t="array" ref="V165">INDEX(GMWQ!$A$2:$LR$60,MATCH(1,(GMWQ!$LQ$2:$LQ$60=V$3)*(GMWQ!$LP$2:$LP$60=V$4)*(GMWQ!$LR$2:$LR$60=V$1),0),$B165-1966)</f>
        <v>1.8655360000000001E-3</v>
      </c>
      <c r="W165" s="7" cm="1">
        <f t="array" ref="W165">INDEX(GMWQ!$A$2:$LR$60,MATCH(1,(GMWQ!$LQ$2:$LQ$60=W$3)*(GMWQ!$LP$2:$LP$60=W$4)*(GMWQ!$LR$2:$LR$60=W$1),0),$B165-1966)</f>
        <v>9.6325280000000006</v>
      </c>
      <c r="X165" s="7" cm="1">
        <f t="array" ref="X165">INDEX(GMWQ!$A$2:$LR$60,MATCH(1,(GMWQ!$LQ$2:$LQ$60=X$3)*(GMWQ!$LP$2:$LP$60=X$4)*(GMWQ!$LR$2:$LR$60=X$1),0),$B165-1966)</f>
        <v>2938878</v>
      </c>
      <c r="Y165" s="7" cm="1">
        <f t="array" ref="Y165">INDEX(GMWQ!$A$2:$LR$60,MATCH(1,(GMWQ!$LQ$2:$LQ$60=Y$3)*(GMWQ!$LP$2:$LP$60=Y$4)*(GMWQ!$LR$2:$LR$60=Y$1),0),$B165-1966)</f>
        <v>88.930180000000007</v>
      </c>
      <c r="Z165" s="7" cm="1">
        <f t="array" ref="Z165">INDEX(GMWQ!$A$2:$LR$60,MATCH(1,(GMWQ!$LQ$2:$LQ$60=Z$3)*(GMWQ!$LP$2:$LP$60=Z$4)*(GMWQ!$LR$2:$LR$60=Z$1),0),$B165-1966)</f>
        <v>503396.8</v>
      </c>
      <c r="AA165" s="7" cm="1">
        <f t="array" ref="AA165">INDEX(GMWQ!$A$2:$LR$60,MATCH(1,(GMWQ!$LQ$2:$LQ$60=AA$3)*(GMWQ!$LP$2:$LP$60=AA$4)*(GMWQ!$LR$2:$LR$60=AA$1),0),$B165-1966)</f>
        <v>159409</v>
      </c>
      <c r="AB165" s="7" cm="1">
        <f t="array" ref="AB165">INDEX(GMWQ!$A$2:$LR$60,MATCH(1,(GMWQ!$LQ$2:$LQ$60=AB$3)*(GMWQ!$LP$2:$LP$60=AB$4)*(GMWQ!$LR$2:$LR$60=AB$1),0),$B165-1966)</f>
        <v>169078</v>
      </c>
      <c r="AC165" s="7" cm="1">
        <f t="array" ref="AC165">INDEX(GMWQ!$A$2:$LR$60,MATCH(1,(GMWQ!$LQ$2:$LQ$60=AC$3)*(GMWQ!$LP$2:$LP$60=AC$4)*(GMWQ!$LR$2:$LR$60=AC$1),0),$B165-1966)</f>
        <v>4364</v>
      </c>
      <c r="AD165" s="7" cm="1">
        <f t="array" ref="AD165">INDEX(GMWQ!$A$2:$LR$60,MATCH(1,(GMWQ!$LQ$2:$LQ$60=AD$3)*(GMWQ!$LP$2:$LP$60=AD$4)*(GMWQ!$LR$2:$LR$60=AD$1),0),$B165-1966)</f>
        <v>11113</v>
      </c>
      <c r="AE165" s="7" cm="1">
        <f t="array" ref="AE165">INDEX(GMWQ!$A$2:$LR$60,MATCH(1,(GMWQ!$LQ$2:$LQ$60=AE$3)*(GMWQ!$LP$2:$LP$60=AE$4)*(GMWQ!$LR$2:$LR$60=AE$1),0),$B165-1966)</f>
        <v>430937</v>
      </c>
      <c r="AF165" s="20" cm="1">
        <f t="array" ref="AF165">INDEX(GMWQ!$A$2:$LR$60,MATCH(1,(GMWQ!$LQ$2:$LQ$60=AF$3)*(GMWQ!$LP$2:$LP$60=AF$4)*(GMWQ!$LR$2:$LR$60=AF$1),0),$B165-1966)</f>
        <v>0.5</v>
      </c>
      <c r="AG165" s="20" cm="1">
        <f t="array" ref="AG165">INDEX(GMWQ!$A$2:$LR$60,MATCH(1,(GMWQ!$LQ$2:$LQ$60=AG$3)*(GMWQ!$LP$2:$LP$60=AG$4)*(GMWQ!$LR$2:$LR$60=AG$1),0),$B165-1966)</f>
        <v>-833</v>
      </c>
      <c r="AI165" s="23" cm="1">
        <f t="array" ref="AI165">INDEX(GMWQ!$A$2:$LR$60,MATCH(1,(GMWQ!$LQ$2:$LQ$60=AI$3)*(GMWQ!$LP$2:$LP$60=AI$4)*(GMWQ!$LR$2:$LR$60=AI$1),0),$B165-1966)</f>
        <v>282088</v>
      </c>
      <c r="AJ165" s="23" cm="1">
        <f t="array" ref="AJ165">INDEX(GMWQ!$A$2:$LR$60,MATCH(1,(GMWQ!$LQ$2:$LQ$60=AJ$3)*(GMWQ!$LP$2:$LP$60=AJ$4)*(GMWQ!$LR$2:$LR$60=AJ$1),0),$B165-1966)</f>
        <v>90.754710000000003</v>
      </c>
      <c r="AK165" s="23" cm="1">
        <f t="array" ref="AK165">INDEX(GMWQ!$A$2:$LR$60,MATCH(1,(GMWQ!$LQ$2:$LQ$60=AK$3)*(GMWQ!$LP$2:$LP$60=AK$4)*(GMWQ!$LR$2:$LR$60=AK$1),0),$B165-1966)</f>
        <v>171212</v>
      </c>
      <c r="AL165" s="23" cm="1">
        <f t="array" ref="AL165">INDEX(GMWQ!$A$2:$LR$60,MATCH(1,(GMWQ!$LQ$2:$LQ$60=AL$3)*(GMWQ!$LP$2:$LP$60=AL$4)*(GMWQ!$LR$2:$LR$60=AL$1),0),$B165-1966)</f>
        <v>6779.3310000000001</v>
      </c>
      <c r="AM165" s="23" cm="1">
        <f t="array" ref="AM165">INDEX(GMWQ!$A$2:$LR$60,MATCH(1,(GMWQ!$LQ$2:$LQ$60=AM$3)*(GMWQ!$LP$2:$LP$60=AM$4)*(GMWQ!$LR$2:$LR$60=AM$1),0),$B165-1966)</f>
        <v>25255</v>
      </c>
      <c r="AN165" s="23" cm="1">
        <f t="array" ref="AN165">INDEX(GMWQ!$A$2:$LR$60,MATCH(1,(GMWQ!$LQ$2:$LQ$60=AN$3)*(GMWQ!$LP$2:$LP$60=AN$4)*(GMWQ!$LR$2:$LR$60=AN$1),0),$B165-1966)</f>
        <v>38877</v>
      </c>
      <c r="AO165" s="23" cm="1">
        <f t="array" ref="AO165">INDEX(GMWQ!$A$2:$LR$60,MATCH(1,(GMWQ!$LQ$2:$LQ$60=AO$3)*(GMWQ!$LP$2:$LP$60=AO$4)*(GMWQ!$LR$2:$LR$60=AO$1),0),$B165-1966)</f>
        <v>12552</v>
      </c>
      <c r="AP165" s="23" cm="1">
        <f t="array" ref="AP165">INDEX(GMWQ!$A$2:$LR$60,MATCH(1,(GMWQ!$LQ$2:$LQ$60=AP$3)*(GMWQ!$LP$2:$LP$60=AP$4)*(GMWQ!$LR$2:$LR$60=AP$1),0),$B165-1966)</f>
        <v>-833</v>
      </c>
      <c r="AQ165" s="23" cm="1">
        <f t="array" ref="AQ165">INDEX(GMWQ!$A$2:$LR$60,MATCH(1,(GMWQ!$LQ$2:$LQ$60=AQ$3)*(GMWQ!$LP$2:$LP$60=AQ$4)*(GMWQ!$LR$2:$LR$60=AQ$1),0),$B165-1966)</f>
        <v>54318</v>
      </c>
      <c r="AR165" s="23" cm="1">
        <f t="array" ref="AR165">INDEX(GMWQ!$A$2:$LR$60,MATCH(1,(GMWQ!$LQ$2:$LQ$60=AR$3)*(GMWQ!$LP$2:$LP$60=AR$4)*(GMWQ!$LR$2:$LR$60=AR$1),0),$B165-1966)</f>
        <v>265247</v>
      </c>
      <c r="AS165" s="23" cm="1">
        <f t="array" ref="AS165">INDEX(GMWQ!$A$2:$LR$60,MATCH(1,(GMWQ!$LQ$2:$LQ$60=AS$3)*(GMWQ!$LP$2:$LP$60=AS$4)*(GMWQ!$LR$2:$LR$60=AS$1),0),$B165-1966)</f>
        <v>10553</v>
      </c>
      <c r="AT165" s="23" cm="1">
        <f t="array" ref="AT165">INDEX(GMWQ!$A$2:$LR$60,MATCH(1,(GMWQ!$LQ$2:$LQ$60=AT$3)*(GMWQ!$LP$2:$LP$60=AT$4)*(GMWQ!$LR$2:$LR$60=AT$1),0),$B165-1966)</f>
        <v>292268</v>
      </c>
      <c r="AU165" s="23" cm="1">
        <f t="array" ref="AU165">INDEX(GMWQ!$A$2:$LR$60,MATCH(1,(GMWQ!$LQ$2:$LQ$60=AU$3)*(GMWQ!$LP$2:$LP$60=AU$4)*(GMWQ!$LR$2:$LR$60=AU$1),0),$B165-1966)</f>
        <v>12112</v>
      </c>
    </row>
    <row r="166" spans="1:47" x14ac:dyDescent="0.35">
      <c r="B166" s="7">
        <f t="shared" si="3"/>
        <v>2132</v>
      </c>
      <c r="C166" s="7" cm="1">
        <f t="array" ref="C166">INDEX(GMWQ!$A$2:$LR$60,MATCH(1,(GMWQ!$LQ$2:$LQ$60=C$3)*(GMWQ!$LP$2:$LP$60=C$4)*(GMWQ!$LR$2:$LR$60=C$1),0),$B166-1966)</f>
        <v>484039</v>
      </c>
      <c r="D166" s="7" cm="1">
        <f t="array" ref="D166">INDEX(GMWQ!$A$2:$LR$60,MATCH(1,(GMWQ!$LQ$2:$LQ$60=D$3)*(GMWQ!$LP$2:$LP$60=D$4)*(GMWQ!$LR$2:$LR$60=D$1),0),$B166-1966)</f>
        <v>462</v>
      </c>
      <c r="E166" s="7" cm="1">
        <f t="array" ref="E166">INDEX(GMWQ!$A$2:$LR$60,MATCH(1,(GMWQ!$LQ$2:$LQ$60=E$3)*(GMWQ!$LP$2:$LP$60=E$4)*(GMWQ!$LR$2:$LR$60=E$1),0),$B166-1966)</f>
        <v>97.266670000000005</v>
      </c>
      <c r="F166" s="7" cm="1">
        <f t="array" ref="F166">INDEX(GMWQ!$A$2:$LR$60,MATCH(1,(GMWQ!$LQ$2:$LQ$60=F$3)*(GMWQ!$LP$2:$LP$60=F$4)*(GMWQ!$LR$2:$LR$60=F$1),0),$B166-1966)</f>
        <v>172650</v>
      </c>
      <c r="G166" s="7" cm="1">
        <f t="array" ref="G166">INDEX(GMWQ!$A$2:$LR$60,MATCH(1,(GMWQ!$LQ$2:$LQ$60=G$3)*(GMWQ!$LP$2:$LP$60=G$4)*(GMWQ!$LR$2:$LR$60=G$1),0),$B166-1966)</f>
        <v>38800</v>
      </c>
      <c r="H166" s="7" cm="1">
        <f t="array" ref="H166">INDEX(GMWQ!$A$2:$LR$60,MATCH(1,(GMWQ!$LQ$2:$LQ$60=H$3)*(GMWQ!$LP$2:$LP$60=H$4)*(GMWQ!$LR$2:$LR$60=H$1),0),$B166-1966)</f>
        <v>12482</v>
      </c>
      <c r="I166" s="7" cm="1">
        <f t="array" ref="I166">INDEX(GMWQ!$A$2:$LR$60,MATCH(1,(GMWQ!$LQ$2:$LQ$60=I$3)*(GMWQ!$LP$2:$LP$60=I$4)*(GMWQ!$LR$2:$LR$60=I$1),0),$B166-1966)</f>
        <v>91.406149999999997</v>
      </c>
      <c r="J166" s="7" cm="1">
        <f t="array" ref="J166">INDEX(GMWQ!$A$2:$LR$60,MATCH(1,(GMWQ!$LQ$2:$LQ$60=J$3)*(GMWQ!$LP$2:$LP$60=J$4)*(GMWQ!$LR$2:$LR$60=J$1),0),$B166-1966)</f>
        <v>25369</v>
      </c>
      <c r="K166" s="7" cm="1">
        <f t="array" ref="K166">INDEX(GMWQ!$A$2:$LR$60,MATCH(1,(GMWQ!$LQ$2:$LQ$60=K$3)*(GMWQ!$LP$2:$LP$60=K$4)*(GMWQ!$LR$2:$LR$60=K$1),0),$B166-1966)</f>
        <v>0.5</v>
      </c>
      <c r="L166" s="7" cm="1">
        <f t="array" ref="L166">INDEX(GMWQ!$A$2:$LR$60,MATCH(1,(GMWQ!$LQ$2:$LQ$60=L$3)*(GMWQ!$LP$2:$LP$60=L$4)*(GMWQ!$LR$2:$LR$60=L$1),0),$B166-1966)</f>
        <v>7.8</v>
      </c>
      <c r="M166" s="7" cm="1">
        <f t="array" ref="M166">INDEX(GMWQ!$A$2:$LR$60,MATCH(1,(GMWQ!$LQ$2:$LQ$60=M$3)*(GMWQ!$LP$2:$LP$60=M$4)*(GMWQ!$LR$2:$LR$60=M$1),0),$B166-1966)</f>
        <v>87.890339999999995</v>
      </c>
      <c r="N166" s="7" cm="1">
        <f t="array" ref="N166">INDEX(GMWQ!$A$2:$LR$60,MATCH(1,(GMWQ!$LQ$2:$LQ$60=N$3)*(GMWQ!$LP$2:$LP$60=N$4)*(GMWQ!$LR$2:$LR$60=N$1),0),$B166-1966)</f>
        <v>5693</v>
      </c>
      <c r="O166" s="7" cm="1">
        <f t="array" ref="O166">INDEX(GMWQ!$A$2:$LR$60,MATCH(1,(GMWQ!$LQ$2:$LQ$60=O$3)*(GMWQ!$LP$2:$LP$60=O$4)*(GMWQ!$LR$2:$LR$60=O$1),0),$B166-1966)</f>
        <v>5135</v>
      </c>
      <c r="P166" s="7" cm="1">
        <f t="array" ref="P166">INDEX(GMWQ!$A$2:$LR$60,MATCH(1,(GMWQ!$LQ$2:$LQ$60=P$3)*(GMWQ!$LP$2:$LP$60=P$4)*(GMWQ!$LR$2:$LR$60=P$1),0),$B166-1966)</f>
        <v>283822</v>
      </c>
      <c r="Q166" s="7" cm="1">
        <f t="array" ref="Q166">INDEX(GMWQ!$A$2:$LR$60,MATCH(1,(GMWQ!$LQ$2:$LQ$60=Q$3)*(GMWQ!$LP$2:$LP$60=Q$4)*(GMWQ!$LR$2:$LR$60=Q$1),0),$B166-1966)</f>
        <v>3.38</v>
      </c>
      <c r="R166" s="7" cm="1">
        <f t="array" ref="R166">INDEX(GMWQ!$A$2:$LR$60,MATCH(1,(GMWQ!$LQ$2:$LQ$60=R$3)*(GMWQ!$LP$2:$LP$60=R$4)*(GMWQ!$LR$2:$LR$60=R$1),0),$B166-1966)</f>
        <v>160055</v>
      </c>
      <c r="S166" s="7" cm="1">
        <f t="array" ref="S166">INDEX(GMWQ!$A$2:$LR$60,MATCH(1,(GMWQ!$LQ$2:$LQ$60=S$3)*(GMWQ!$LP$2:$LP$60=S$4)*(GMWQ!$LR$2:$LR$60=S$1),0),$B166-1966)</f>
        <v>235.27</v>
      </c>
      <c r="T166" s="7" cm="1">
        <f t="array" ref="T166">INDEX(GMWQ!$A$2:$LR$60,MATCH(1,(GMWQ!$LQ$2:$LQ$60=T$3)*(GMWQ!$LP$2:$LP$60=T$4)*(GMWQ!$LR$2:$LR$60=T$1),0),$B166-1966)</f>
        <v>36613</v>
      </c>
      <c r="U166" s="7" cm="1">
        <f t="array" ref="U166">INDEX(GMWQ!$A$2:$LR$60,MATCH(1,(GMWQ!$LQ$2:$LQ$60=U$3)*(GMWQ!$LP$2:$LP$60=U$4)*(GMWQ!$LR$2:$LR$60=U$1),0),$B166-1966)</f>
        <v>2263</v>
      </c>
      <c r="V166" s="7" cm="1">
        <f t="array" ref="V166">INDEX(GMWQ!$A$2:$LR$60,MATCH(1,(GMWQ!$LQ$2:$LQ$60=V$3)*(GMWQ!$LP$2:$LP$60=V$4)*(GMWQ!$LR$2:$LR$60=V$1),0),$B166-1966)</f>
        <v>1.7618149999999999E-3</v>
      </c>
      <c r="W166" s="7" cm="1">
        <f t="array" ref="W166">INDEX(GMWQ!$A$2:$LR$60,MATCH(1,(GMWQ!$LQ$2:$LQ$60=W$3)*(GMWQ!$LP$2:$LP$60=W$4)*(GMWQ!$LR$2:$LR$60=W$1),0),$B166-1966)</f>
        <v>9.0033919999999998</v>
      </c>
      <c r="X166" s="7" cm="1">
        <f t="array" ref="X166">INDEX(GMWQ!$A$2:$LR$60,MATCH(1,(GMWQ!$LQ$2:$LQ$60=X$3)*(GMWQ!$LP$2:$LP$60=X$4)*(GMWQ!$LR$2:$LR$60=X$1),0),$B166-1966)</f>
        <v>2994716</v>
      </c>
      <c r="Y166" s="7" cm="1">
        <f t="array" ref="Y166">INDEX(GMWQ!$A$2:$LR$60,MATCH(1,(GMWQ!$LQ$2:$LQ$60=Y$3)*(GMWQ!$LP$2:$LP$60=Y$4)*(GMWQ!$LR$2:$LR$60=Y$1),0),$B166-1966)</f>
        <v>89.469440000000006</v>
      </c>
      <c r="Z166" s="7" cm="1">
        <f t="array" ref="Z166">INDEX(GMWQ!$A$2:$LR$60,MATCH(1,(GMWQ!$LQ$2:$LQ$60=Z$3)*(GMWQ!$LP$2:$LP$60=Z$4)*(GMWQ!$LR$2:$LR$60=Z$1),0),$B166-1966)</f>
        <v>504652.79999999999</v>
      </c>
      <c r="AA166" s="7" cm="1">
        <f t="array" ref="AA166">INDEX(GMWQ!$A$2:$LR$60,MATCH(1,(GMWQ!$LQ$2:$LQ$60=AA$3)*(GMWQ!$LP$2:$LP$60=AA$4)*(GMWQ!$LR$2:$LR$60=AA$1),0),$B166-1966)</f>
        <v>152294</v>
      </c>
      <c r="AB166" s="7" cm="1">
        <f t="array" ref="AB166">INDEX(GMWQ!$A$2:$LR$60,MATCH(1,(GMWQ!$LQ$2:$LQ$60=AB$3)*(GMWQ!$LP$2:$LP$60=AB$4)*(GMWQ!$LR$2:$LR$60=AB$1),0),$B166-1966)</f>
        <v>173453</v>
      </c>
      <c r="AC166" s="7" cm="1">
        <f t="array" ref="AC166">INDEX(GMWQ!$A$2:$LR$60,MATCH(1,(GMWQ!$LQ$2:$LQ$60=AC$3)*(GMWQ!$LP$2:$LP$60=AC$4)*(GMWQ!$LR$2:$LR$60=AC$1),0),$B166-1966)</f>
        <v>5553</v>
      </c>
      <c r="AD166" s="7" cm="1">
        <f t="array" ref="AD166">INDEX(GMWQ!$A$2:$LR$60,MATCH(1,(GMWQ!$LQ$2:$LQ$60=AD$3)*(GMWQ!$LP$2:$LP$60=AD$4)*(GMWQ!$LR$2:$LR$60=AD$1),0),$B166-1966)</f>
        <v>11181</v>
      </c>
      <c r="AE166" s="7" cm="1">
        <f t="array" ref="AE166">INDEX(GMWQ!$A$2:$LR$60,MATCH(1,(GMWQ!$LQ$2:$LQ$60=AE$3)*(GMWQ!$LP$2:$LP$60=AE$4)*(GMWQ!$LR$2:$LR$60=AE$1),0),$B166-1966)</f>
        <v>433067</v>
      </c>
      <c r="AF166" s="20" cm="1">
        <f t="array" ref="AF166">INDEX(GMWQ!$A$2:$LR$60,MATCH(1,(GMWQ!$LQ$2:$LQ$60=AF$3)*(GMWQ!$LP$2:$LP$60=AF$4)*(GMWQ!$LR$2:$LR$60=AF$1),0),$B166-1966)</f>
        <v>0.5</v>
      </c>
      <c r="AG166" s="20" cm="1">
        <f t="array" ref="AG166">INDEX(GMWQ!$A$2:$LR$60,MATCH(1,(GMWQ!$LQ$2:$LQ$60=AG$3)*(GMWQ!$LP$2:$LP$60=AG$4)*(GMWQ!$LR$2:$LR$60=AG$1),0),$B166-1966)</f>
        <v>-558</v>
      </c>
      <c r="AI166" s="23" cm="1">
        <f t="array" ref="AI166">INDEX(GMWQ!$A$2:$LR$60,MATCH(1,(GMWQ!$LQ$2:$LQ$60=AI$3)*(GMWQ!$LP$2:$LP$60=AI$4)*(GMWQ!$LR$2:$LR$60=AI$1),0),$B166-1966)</f>
        <v>283822</v>
      </c>
      <c r="AJ166" s="23" cm="1">
        <f t="array" ref="AJ166">INDEX(GMWQ!$A$2:$LR$60,MATCH(1,(GMWQ!$LQ$2:$LQ$60=AJ$3)*(GMWQ!$LP$2:$LP$60=AJ$4)*(GMWQ!$LR$2:$LR$60=AJ$1),0),$B166-1966)</f>
        <v>91.406149999999997</v>
      </c>
      <c r="AK166" s="23" cm="1">
        <f t="array" ref="AK166">INDEX(GMWQ!$A$2:$LR$60,MATCH(1,(GMWQ!$LQ$2:$LQ$60=AK$3)*(GMWQ!$LP$2:$LP$60=AK$4)*(GMWQ!$LR$2:$LR$60=AK$1),0),$B166-1966)</f>
        <v>172650</v>
      </c>
      <c r="AL166" s="23" cm="1">
        <f t="array" ref="AL166">INDEX(GMWQ!$A$2:$LR$60,MATCH(1,(GMWQ!$LQ$2:$LQ$60=AL$3)*(GMWQ!$LP$2:$LP$60=AL$4)*(GMWQ!$LR$2:$LR$60=AL$1),0),$B166-1966)</f>
        <v>6805.55</v>
      </c>
      <c r="AM166" s="23" cm="1">
        <f t="array" ref="AM166">INDEX(GMWQ!$A$2:$LR$60,MATCH(1,(GMWQ!$LQ$2:$LQ$60=AM$3)*(GMWQ!$LP$2:$LP$60=AM$4)*(GMWQ!$LR$2:$LR$60=AM$1),0),$B166-1966)</f>
        <v>25369</v>
      </c>
      <c r="AN166" s="23" cm="1">
        <f t="array" ref="AN166">INDEX(GMWQ!$A$2:$LR$60,MATCH(1,(GMWQ!$LQ$2:$LQ$60=AN$3)*(GMWQ!$LP$2:$LP$60=AN$4)*(GMWQ!$LR$2:$LR$60=AN$1),0),$B166-1966)</f>
        <v>38800</v>
      </c>
      <c r="AO166" s="23" cm="1">
        <f t="array" ref="AO166">INDEX(GMWQ!$A$2:$LR$60,MATCH(1,(GMWQ!$LQ$2:$LQ$60=AO$3)*(GMWQ!$LP$2:$LP$60=AO$4)*(GMWQ!$LR$2:$LR$60=AO$1),0),$B166-1966)</f>
        <v>12482</v>
      </c>
      <c r="AP166" s="23" cm="1">
        <f t="array" ref="AP166">INDEX(GMWQ!$A$2:$LR$60,MATCH(1,(GMWQ!$LQ$2:$LQ$60=AP$3)*(GMWQ!$LP$2:$LP$60=AP$4)*(GMWQ!$LR$2:$LR$60=AP$1),0),$B166-1966)</f>
        <v>-558</v>
      </c>
      <c r="AQ166" s="23" cm="1">
        <f t="array" ref="AQ166">INDEX(GMWQ!$A$2:$LR$60,MATCH(1,(GMWQ!$LQ$2:$LQ$60=AQ$3)*(GMWQ!$LP$2:$LP$60=AQ$4)*(GMWQ!$LR$2:$LR$60=AQ$1),0),$B166-1966)</f>
        <v>54685</v>
      </c>
      <c r="AR166" s="23" cm="1">
        <f t="array" ref="AR166">INDEX(GMWQ!$A$2:$LR$60,MATCH(1,(GMWQ!$LQ$2:$LQ$60=AR$3)*(GMWQ!$LP$2:$LP$60=AR$4)*(GMWQ!$LR$2:$LR$60=AR$1),0),$B166-1966)</f>
        <v>271075</v>
      </c>
      <c r="AS166" s="23" cm="1">
        <f t="array" ref="AS166">INDEX(GMWQ!$A$2:$LR$60,MATCH(1,(GMWQ!$LQ$2:$LQ$60=AS$3)*(GMWQ!$LP$2:$LP$60=AS$4)*(GMWQ!$LR$2:$LR$60=AS$1),0),$B166-1966)</f>
        <v>10503</v>
      </c>
      <c r="AT166" s="23" cm="1">
        <f t="array" ref="AT166">INDEX(GMWQ!$A$2:$LR$60,MATCH(1,(GMWQ!$LQ$2:$LQ$60=AT$3)*(GMWQ!$LP$2:$LP$60=AT$4)*(GMWQ!$LR$2:$LR$60=AT$1),0),$B166-1966)</f>
        <v>296561</v>
      </c>
      <c r="AU166" s="23" cm="1">
        <f t="array" ref="AU166">INDEX(GMWQ!$A$2:$LR$60,MATCH(1,(GMWQ!$LQ$2:$LQ$60=AU$3)*(GMWQ!$LP$2:$LP$60=AU$4)*(GMWQ!$LR$2:$LR$60=AU$1),0),$B166-1966)</f>
        <v>11368</v>
      </c>
    </row>
    <row r="167" spans="1:47" x14ac:dyDescent="0.35">
      <c r="A167" s="7">
        <v>2013</v>
      </c>
      <c r="B167" s="7">
        <f t="shared" si="3"/>
        <v>2133</v>
      </c>
      <c r="C167" s="7" cm="1">
        <f t="array" ref="C167">INDEX(GMWQ!$A$2:$LR$60,MATCH(1,(GMWQ!$LQ$2:$LQ$60=C$3)*(GMWQ!$LP$2:$LP$60=C$4)*(GMWQ!$LR$2:$LR$60=C$1),0),$B167-1966)</f>
        <v>485409</v>
      </c>
      <c r="D167" s="7" cm="1">
        <f t="array" ref="D167">INDEX(GMWQ!$A$2:$LR$60,MATCH(1,(GMWQ!$LQ$2:$LQ$60=D$3)*(GMWQ!$LP$2:$LP$60=D$4)*(GMWQ!$LR$2:$LR$60=D$1),0),$B167-1966)</f>
        <v>459.33330000000001</v>
      </c>
      <c r="E167" s="7" cm="1">
        <f t="array" ref="E167">INDEX(GMWQ!$A$2:$LR$60,MATCH(1,(GMWQ!$LQ$2:$LQ$60=E$3)*(GMWQ!$LP$2:$LP$60=E$4)*(GMWQ!$LR$2:$LR$60=E$1),0),$B167-1966)</f>
        <v>97.666659999999993</v>
      </c>
      <c r="F167" s="7" cm="1">
        <f t="array" ref="F167">INDEX(GMWQ!$A$2:$LR$60,MATCH(1,(GMWQ!$LQ$2:$LQ$60=F$3)*(GMWQ!$LP$2:$LP$60=F$4)*(GMWQ!$LR$2:$LR$60=F$1),0),$B167-1966)</f>
        <v>173499</v>
      </c>
      <c r="G167" s="7" cm="1">
        <f t="array" ref="G167">INDEX(GMWQ!$A$2:$LR$60,MATCH(1,(GMWQ!$LQ$2:$LQ$60=G$3)*(GMWQ!$LP$2:$LP$60=G$4)*(GMWQ!$LR$2:$LR$60=G$1),0),$B167-1966)</f>
        <v>38449</v>
      </c>
      <c r="H167" s="7" cm="1">
        <f t="array" ref="H167">INDEX(GMWQ!$A$2:$LR$60,MATCH(1,(GMWQ!$LQ$2:$LQ$60=H$3)*(GMWQ!$LP$2:$LP$60=H$4)*(GMWQ!$LR$2:$LR$60=H$1),0),$B167-1966)</f>
        <v>12713</v>
      </c>
      <c r="I167" s="7" cm="1">
        <f t="array" ref="I167">INDEX(GMWQ!$A$2:$LR$60,MATCH(1,(GMWQ!$LQ$2:$LQ$60=I$3)*(GMWQ!$LP$2:$LP$60=I$4)*(GMWQ!$LR$2:$LR$60=I$1),0),$B167-1966)</f>
        <v>92.330849999999998</v>
      </c>
      <c r="J167" s="7" cm="1">
        <f t="array" ref="J167">INDEX(GMWQ!$A$2:$LR$60,MATCH(1,(GMWQ!$LQ$2:$LQ$60=J$3)*(GMWQ!$LP$2:$LP$60=J$4)*(GMWQ!$LR$2:$LR$60=J$1),0),$B167-1966)</f>
        <v>25398</v>
      </c>
      <c r="K167" s="7" cm="1">
        <f t="array" ref="K167">INDEX(GMWQ!$A$2:$LR$60,MATCH(1,(GMWQ!$LQ$2:$LQ$60=K$3)*(GMWQ!$LP$2:$LP$60=K$4)*(GMWQ!$LR$2:$LR$60=K$1),0),$B167-1966)</f>
        <v>0.5</v>
      </c>
      <c r="L167" s="7" cm="1">
        <f t="array" ref="L167">INDEX(GMWQ!$A$2:$LR$60,MATCH(1,(GMWQ!$LQ$2:$LQ$60=L$3)*(GMWQ!$LP$2:$LP$60=L$4)*(GMWQ!$LR$2:$LR$60=L$1),0),$B167-1966)</f>
        <v>7.9</v>
      </c>
      <c r="M167" s="7" cm="1">
        <f t="array" ref="M167">INDEX(GMWQ!$A$2:$LR$60,MATCH(1,(GMWQ!$LQ$2:$LQ$60=M$3)*(GMWQ!$LP$2:$LP$60=M$4)*(GMWQ!$LR$2:$LR$60=M$1),0),$B167-1966)</f>
        <v>88.392669999999995</v>
      </c>
      <c r="N167" s="7" cm="1">
        <f t="array" ref="N167">INDEX(GMWQ!$A$2:$LR$60,MATCH(1,(GMWQ!$LQ$2:$LQ$60=N$3)*(GMWQ!$LP$2:$LP$60=N$4)*(GMWQ!$LR$2:$LR$60=N$1),0),$B167-1966)</f>
        <v>6178</v>
      </c>
      <c r="O167" s="7" cm="1">
        <f t="array" ref="O167">INDEX(GMWQ!$A$2:$LR$60,MATCH(1,(GMWQ!$LQ$2:$LQ$60=O$3)*(GMWQ!$LP$2:$LP$60=O$4)*(GMWQ!$LR$2:$LR$60=O$1),0),$B167-1966)</f>
        <v>5275</v>
      </c>
      <c r="P167" s="7" cm="1">
        <f t="array" ref="P167">INDEX(GMWQ!$A$2:$LR$60,MATCH(1,(GMWQ!$LQ$2:$LQ$60=P$3)*(GMWQ!$LP$2:$LP$60=P$4)*(GMWQ!$LR$2:$LR$60=P$1),0),$B167-1966)</f>
        <v>284174</v>
      </c>
      <c r="Q167" s="7" cm="1">
        <f t="array" ref="Q167">INDEX(GMWQ!$A$2:$LR$60,MATCH(1,(GMWQ!$LQ$2:$LQ$60=Q$3)*(GMWQ!$LP$2:$LP$60=Q$4)*(GMWQ!$LR$2:$LR$60=Q$1),0),$B167-1966)</f>
        <v>3.3666670000000001</v>
      </c>
      <c r="R167" s="7" cm="1">
        <f t="array" ref="R167">INDEX(GMWQ!$A$2:$LR$60,MATCH(1,(GMWQ!$LQ$2:$LQ$60=R$3)*(GMWQ!$LP$2:$LP$60=R$4)*(GMWQ!$LR$2:$LR$60=R$1),0),$B167-1966)</f>
        <v>159279</v>
      </c>
      <c r="S167" s="7" cm="1">
        <f t="array" ref="S167">INDEX(GMWQ!$A$2:$LR$60,MATCH(1,(GMWQ!$LQ$2:$LQ$60=S$3)*(GMWQ!$LP$2:$LP$60=S$4)*(GMWQ!$LR$2:$LR$60=S$1),0),$B167-1966)</f>
        <v>239.08</v>
      </c>
      <c r="T167" s="7" cm="1">
        <f t="array" ref="T167">INDEX(GMWQ!$A$2:$LR$60,MATCH(1,(GMWQ!$LQ$2:$LQ$60=T$3)*(GMWQ!$LP$2:$LP$60=T$4)*(GMWQ!$LR$2:$LR$60=T$1),0),$B167-1966)</f>
        <v>38131</v>
      </c>
      <c r="U167" s="7" cm="1">
        <f t="array" ref="U167">INDEX(GMWQ!$A$2:$LR$60,MATCH(1,(GMWQ!$LQ$2:$LQ$60=U$3)*(GMWQ!$LP$2:$LP$60=U$4)*(GMWQ!$LR$2:$LR$60=U$1),0),$B167-1966)</f>
        <v>2051</v>
      </c>
      <c r="V167" s="7" cm="1">
        <f t="array" ref="V167">INDEX(GMWQ!$A$2:$LR$60,MATCH(1,(GMWQ!$LQ$2:$LQ$60=V$3)*(GMWQ!$LP$2:$LP$60=V$4)*(GMWQ!$LR$2:$LR$60=V$1),0),$B167-1966)</f>
        <v>1.645503E-3</v>
      </c>
      <c r="W167" s="7" cm="1">
        <f t="array" ref="W167">INDEX(GMWQ!$A$2:$LR$60,MATCH(1,(GMWQ!$LQ$2:$LQ$60=W$3)*(GMWQ!$LP$2:$LP$60=W$4)*(GMWQ!$LR$2:$LR$60=W$1),0),$B167-1966)</f>
        <v>9.7664089999999995</v>
      </c>
      <c r="X167" s="7" cm="1">
        <f t="array" ref="X167">INDEX(GMWQ!$A$2:$LR$60,MATCH(1,(GMWQ!$LQ$2:$LQ$60=X$3)*(GMWQ!$LP$2:$LP$60=X$4)*(GMWQ!$LR$2:$LR$60=X$1),0),$B167-1966)</f>
        <v>3044710</v>
      </c>
      <c r="Y167" s="7" cm="1">
        <f t="array" ref="Y167">INDEX(GMWQ!$A$2:$LR$60,MATCH(1,(GMWQ!$LQ$2:$LQ$60=Y$3)*(GMWQ!$LP$2:$LP$60=Y$4)*(GMWQ!$LR$2:$LR$60=Y$1),0),$B167-1966)</f>
        <v>90.254400000000004</v>
      </c>
      <c r="Z167" s="7" cm="1">
        <f t="array" ref="Z167">INDEX(GMWQ!$A$2:$LR$60,MATCH(1,(GMWQ!$LQ$2:$LQ$60=Z$3)*(GMWQ!$LP$2:$LP$60=Z$4)*(GMWQ!$LR$2:$LR$60=Z$1),0),$B167-1966)</f>
        <v>505855.9</v>
      </c>
      <c r="AA167" s="7" cm="1">
        <f t="array" ref="AA167">INDEX(GMWQ!$A$2:$LR$60,MATCH(1,(GMWQ!$LQ$2:$LQ$60=AA$3)*(GMWQ!$LP$2:$LP$60=AA$4)*(GMWQ!$LR$2:$LR$60=AA$1),0),$B167-1966)</f>
        <v>174583</v>
      </c>
      <c r="AB167" s="7" cm="1">
        <f t="array" ref="AB167">INDEX(GMWQ!$A$2:$LR$60,MATCH(1,(GMWQ!$LQ$2:$LQ$60=AB$3)*(GMWQ!$LP$2:$LP$60=AB$4)*(GMWQ!$LR$2:$LR$60=AB$1),0),$B167-1966)</f>
        <v>170781</v>
      </c>
      <c r="AC167" s="7" cm="1">
        <f t="array" ref="AC167">INDEX(GMWQ!$A$2:$LR$60,MATCH(1,(GMWQ!$LQ$2:$LQ$60=AC$3)*(GMWQ!$LP$2:$LP$60=AC$4)*(GMWQ!$LR$2:$LR$60=AC$1),0),$B167-1966)</f>
        <v>9565</v>
      </c>
      <c r="AD167" s="7" cm="1">
        <f t="array" ref="AD167">INDEX(GMWQ!$A$2:$LR$60,MATCH(1,(GMWQ!$LQ$2:$LQ$60=AD$3)*(GMWQ!$LP$2:$LP$60=AD$4)*(GMWQ!$LR$2:$LR$60=AD$1),0),$B167-1966)</f>
        <v>11330</v>
      </c>
      <c r="AE167" s="7" cm="1">
        <f t="array" ref="AE167">INDEX(GMWQ!$A$2:$LR$60,MATCH(1,(GMWQ!$LQ$2:$LQ$60=AE$3)*(GMWQ!$LP$2:$LP$60=AE$4)*(GMWQ!$LR$2:$LR$60=AE$1),0),$B167-1966)</f>
        <v>438103</v>
      </c>
      <c r="AF167" s="20" cm="1">
        <f t="array" ref="AF167">INDEX(GMWQ!$A$2:$LR$60,MATCH(1,(GMWQ!$LQ$2:$LQ$60=AF$3)*(GMWQ!$LP$2:$LP$60=AF$4)*(GMWQ!$LR$2:$LR$60=AF$1),0),$B167-1966)</f>
        <v>0.5</v>
      </c>
      <c r="AG167" s="20" cm="1">
        <f t="array" ref="AG167">INDEX(GMWQ!$A$2:$LR$60,MATCH(1,(GMWQ!$LQ$2:$LQ$60=AG$3)*(GMWQ!$LP$2:$LP$60=AG$4)*(GMWQ!$LR$2:$LR$60=AG$1),0),$B167-1966)</f>
        <v>-902.99990000000003</v>
      </c>
      <c r="AI167" s="23" cm="1">
        <f t="array" ref="AI167">INDEX(GMWQ!$A$2:$LR$60,MATCH(1,(GMWQ!$LQ$2:$LQ$60=AI$3)*(GMWQ!$LP$2:$LP$60=AI$4)*(GMWQ!$LR$2:$LR$60=AI$1),0),$B167-1966)</f>
        <v>284174</v>
      </c>
      <c r="AJ167" s="23" cm="1">
        <f t="array" ref="AJ167">INDEX(GMWQ!$A$2:$LR$60,MATCH(1,(GMWQ!$LQ$2:$LQ$60=AJ$3)*(GMWQ!$LP$2:$LP$60=AJ$4)*(GMWQ!$LR$2:$LR$60=AJ$1),0),$B167-1966)</f>
        <v>92.330849999999998</v>
      </c>
      <c r="AK167" s="23" cm="1">
        <f t="array" ref="AK167">INDEX(GMWQ!$A$2:$LR$60,MATCH(1,(GMWQ!$LQ$2:$LQ$60=AK$3)*(GMWQ!$LP$2:$LP$60=AK$4)*(GMWQ!$LR$2:$LR$60=AK$1),0),$B167-1966)</f>
        <v>173499</v>
      </c>
      <c r="AL167" s="23" cm="1">
        <f t="array" ref="AL167">INDEX(GMWQ!$A$2:$LR$60,MATCH(1,(GMWQ!$LQ$2:$LQ$60=AL$3)*(GMWQ!$LP$2:$LP$60=AL$4)*(GMWQ!$LR$2:$LR$60=AL$1),0),$B167-1966)</f>
        <v>6831.2070000000003</v>
      </c>
      <c r="AM167" s="23" cm="1">
        <f t="array" ref="AM167">INDEX(GMWQ!$A$2:$LR$60,MATCH(1,(GMWQ!$LQ$2:$LQ$60=AM$3)*(GMWQ!$LP$2:$LP$60=AM$4)*(GMWQ!$LR$2:$LR$60=AM$1),0),$B167-1966)</f>
        <v>25398</v>
      </c>
      <c r="AN167" s="23" cm="1">
        <f t="array" ref="AN167">INDEX(GMWQ!$A$2:$LR$60,MATCH(1,(GMWQ!$LQ$2:$LQ$60=AN$3)*(GMWQ!$LP$2:$LP$60=AN$4)*(GMWQ!$LR$2:$LR$60=AN$1),0),$B167-1966)</f>
        <v>38449</v>
      </c>
      <c r="AO167" s="23" cm="1">
        <f t="array" ref="AO167">INDEX(GMWQ!$A$2:$LR$60,MATCH(1,(GMWQ!$LQ$2:$LQ$60=AO$3)*(GMWQ!$LP$2:$LP$60=AO$4)*(GMWQ!$LR$2:$LR$60=AO$1),0),$B167-1966)</f>
        <v>12713</v>
      </c>
      <c r="AP167" s="23" cm="1">
        <f t="array" ref="AP167">INDEX(GMWQ!$A$2:$LR$60,MATCH(1,(GMWQ!$LQ$2:$LQ$60=AP$3)*(GMWQ!$LP$2:$LP$60=AP$4)*(GMWQ!$LR$2:$LR$60=AP$1),0),$B167-1966)</f>
        <v>-902.99990000000003</v>
      </c>
      <c r="AQ167" s="23" cm="1">
        <f t="array" ref="AQ167">INDEX(GMWQ!$A$2:$LR$60,MATCH(1,(GMWQ!$LQ$2:$LQ$60=AQ$3)*(GMWQ!$LP$2:$LP$60=AQ$4)*(GMWQ!$LR$2:$LR$60=AQ$1),0),$B167-1966)</f>
        <v>53933</v>
      </c>
      <c r="AR167" s="23" cm="1">
        <f t="array" ref="AR167">INDEX(GMWQ!$A$2:$LR$60,MATCH(1,(GMWQ!$LQ$2:$LQ$60=AR$3)*(GMWQ!$LP$2:$LP$60=AR$4)*(GMWQ!$LR$2:$LR$60=AR$1),0),$B167-1966)</f>
        <v>272364</v>
      </c>
      <c r="AS167" s="23" cm="1">
        <f t="array" ref="AS167">INDEX(GMWQ!$A$2:$LR$60,MATCH(1,(GMWQ!$LQ$2:$LQ$60=AS$3)*(GMWQ!$LP$2:$LP$60=AS$4)*(GMWQ!$LR$2:$LR$60=AS$1),0),$B167-1966)</f>
        <v>10299</v>
      </c>
      <c r="AT167" s="23" cm="1">
        <f t="array" ref="AT167">INDEX(GMWQ!$A$2:$LR$60,MATCH(1,(GMWQ!$LQ$2:$LQ$60=AT$3)*(GMWQ!$LP$2:$LP$60=AT$4)*(GMWQ!$LR$2:$LR$60=AT$1),0),$B167-1966)</f>
        <v>294987</v>
      </c>
      <c r="AU167" s="23" cm="1">
        <f t="array" ref="AU167">INDEX(GMWQ!$A$2:$LR$60,MATCH(1,(GMWQ!$LQ$2:$LQ$60=AU$3)*(GMWQ!$LP$2:$LP$60=AU$4)*(GMWQ!$LR$2:$LR$60=AU$1),0),$B167-1966)</f>
        <v>11284</v>
      </c>
    </row>
    <row r="168" spans="1:47" x14ac:dyDescent="0.35">
      <c r="B168" s="7">
        <f t="shared" si="3"/>
        <v>2134</v>
      </c>
      <c r="C168" s="7" cm="1">
        <f t="array" ref="C168">INDEX(GMWQ!$A$2:$LR$60,MATCH(1,(GMWQ!$LQ$2:$LQ$60=C$3)*(GMWQ!$LP$2:$LP$60=C$4)*(GMWQ!$LR$2:$LR$60=C$1),0),$B168-1966)</f>
        <v>488930</v>
      </c>
      <c r="D168" s="7" cm="1">
        <f t="array" ref="D168">INDEX(GMWQ!$A$2:$LR$60,MATCH(1,(GMWQ!$LQ$2:$LQ$60=D$3)*(GMWQ!$LP$2:$LP$60=D$4)*(GMWQ!$LR$2:$LR$60=D$1),0),$B168-1966)</f>
        <v>470.33330000000001</v>
      </c>
      <c r="E168" s="7" cm="1">
        <f t="array" ref="E168">INDEX(GMWQ!$A$2:$LR$60,MATCH(1,(GMWQ!$LQ$2:$LQ$60=E$3)*(GMWQ!$LP$2:$LP$60=E$4)*(GMWQ!$LR$2:$LR$60=E$1),0),$B168-1966)</f>
        <v>98.366669999999999</v>
      </c>
      <c r="F168" s="7" cm="1">
        <f t="array" ref="F168">INDEX(GMWQ!$A$2:$LR$60,MATCH(1,(GMWQ!$LQ$2:$LQ$60=F$3)*(GMWQ!$LP$2:$LP$60=F$4)*(GMWQ!$LR$2:$LR$60=F$1),0),$B168-1966)</f>
        <v>179878</v>
      </c>
      <c r="G168" s="7" cm="1">
        <f t="array" ref="G168">INDEX(GMWQ!$A$2:$LR$60,MATCH(1,(GMWQ!$LQ$2:$LQ$60=G$3)*(GMWQ!$LP$2:$LP$60=G$4)*(GMWQ!$LR$2:$LR$60=G$1),0),$B168-1966)</f>
        <v>41201</v>
      </c>
      <c r="H168" s="7" cm="1">
        <f t="array" ref="H168">INDEX(GMWQ!$A$2:$LR$60,MATCH(1,(GMWQ!$LQ$2:$LQ$60=H$3)*(GMWQ!$LP$2:$LP$60=H$4)*(GMWQ!$LR$2:$LR$60=H$1),0),$B168-1966)</f>
        <v>13151</v>
      </c>
      <c r="I168" s="7" cm="1">
        <f t="array" ref="I168">INDEX(GMWQ!$A$2:$LR$60,MATCH(1,(GMWQ!$LQ$2:$LQ$60=I$3)*(GMWQ!$LP$2:$LP$60=I$4)*(GMWQ!$LR$2:$LR$60=I$1),0),$B168-1966)</f>
        <v>92.874179999999996</v>
      </c>
      <c r="J168" s="7" cm="1">
        <f t="array" ref="J168">INDEX(GMWQ!$A$2:$LR$60,MATCH(1,(GMWQ!$LQ$2:$LQ$60=J$3)*(GMWQ!$LP$2:$LP$60=J$4)*(GMWQ!$LR$2:$LR$60=J$1),0),$B168-1966)</f>
        <v>25462</v>
      </c>
      <c r="K168" s="7" cm="1">
        <f t="array" ref="K168">INDEX(GMWQ!$A$2:$LR$60,MATCH(1,(GMWQ!$LQ$2:$LQ$60=K$3)*(GMWQ!$LP$2:$LP$60=K$4)*(GMWQ!$LR$2:$LR$60=K$1),0),$B168-1966)</f>
        <v>0.5</v>
      </c>
      <c r="L168" s="7" cm="1">
        <f t="array" ref="L168">INDEX(GMWQ!$A$2:$LR$60,MATCH(1,(GMWQ!$LQ$2:$LQ$60=L$3)*(GMWQ!$LP$2:$LP$60=L$4)*(GMWQ!$LR$2:$LR$60=L$1),0),$B168-1966)</f>
        <v>7.8</v>
      </c>
      <c r="M168" s="7" cm="1">
        <f t="array" ref="M168">INDEX(GMWQ!$A$2:$LR$60,MATCH(1,(GMWQ!$LQ$2:$LQ$60=M$3)*(GMWQ!$LP$2:$LP$60=M$4)*(GMWQ!$LR$2:$LR$60=M$1),0),$B168-1966)</f>
        <v>89.126999999999995</v>
      </c>
      <c r="N168" s="7" cm="1">
        <f t="array" ref="N168">INDEX(GMWQ!$A$2:$LR$60,MATCH(1,(GMWQ!$LQ$2:$LQ$60=N$3)*(GMWQ!$LP$2:$LP$60=N$4)*(GMWQ!$LR$2:$LR$60=N$1),0),$B168-1966)</f>
        <v>5858</v>
      </c>
      <c r="O168" s="7" cm="1">
        <f t="array" ref="O168">INDEX(GMWQ!$A$2:$LR$60,MATCH(1,(GMWQ!$LQ$2:$LQ$60=O$3)*(GMWQ!$LP$2:$LP$60=O$4)*(GMWQ!$LR$2:$LR$60=O$1),0),$B168-1966)</f>
        <v>5048</v>
      </c>
      <c r="P168" s="7" cm="1">
        <f t="array" ref="P168">INDEX(GMWQ!$A$2:$LR$60,MATCH(1,(GMWQ!$LQ$2:$LQ$60=P$3)*(GMWQ!$LP$2:$LP$60=P$4)*(GMWQ!$LR$2:$LR$60=P$1),0),$B168-1966)</f>
        <v>292340</v>
      </c>
      <c r="Q168" s="7" cm="1">
        <f t="array" ref="Q168">INDEX(GMWQ!$A$2:$LR$60,MATCH(1,(GMWQ!$LQ$2:$LQ$60=Q$3)*(GMWQ!$LP$2:$LP$60=Q$4)*(GMWQ!$LR$2:$LR$60=Q$1),0),$B168-1966)</f>
        <v>3.3433329999999999</v>
      </c>
      <c r="R168" s="7" cm="1">
        <f t="array" ref="R168">INDEX(GMWQ!$A$2:$LR$60,MATCH(1,(GMWQ!$LQ$2:$LQ$60=R$3)*(GMWQ!$LP$2:$LP$60=R$4)*(GMWQ!$LR$2:$LR$60=R$1),0),$B168-1966)</f>
        <v>173857</v>
      </c>
      <c r="S168" s="7" cm="1">
        <f t="array" ref="S168">INDEX(GMWQ!$A$2:$LR$60,MATCH(1,(GMWQ!$LQ$2:$LQ$60=S$3)*(GMWQ!$LP$2:$LP$60=S$4)*(GMWQ!$LR$2:$LR$60=S$1),0),$B168-1966)</f>
        <v>259.76</v>
      </c>
      <c r="T168" s="7" cm="1">
        <f t="array" ref="T168">INDEX(GMWQ!$A$2:$LR$60,MATCH(1,(GMWQ!$LQ$2:$LQ$60=T$3)*(GMWQ!$LP$2:$LP$60=T$4)*(GMWQ!$LR$2:$LR$60=T$1),0),$B168-1966)</f>
        <v>42794</v>
      </c>
      <c r="U168" s="7" cm="1">
        <f t="array" ref="U168">INDEX(GMWQ!$A$2:$LR$60,MATCH(1,(GMWQ!$LQ$2:$LQ$60=U$3)*(GMWQ!$LP$2:$LP$60=U$4)*(GMWQ!$LR$2:$LR$60=U$1),0),$B168-1966)</f>
        <v>2969</v>
      </c>
      <c r="V168" s="7" cm="1">
        <f t="array" ref="V168">INDEX(GMWQ!$A$2:$LR$60,MATCH(1,(GMWQ!$LQ$2:$LQ$60=V$3)*(GMWQ!$LP$2:$LP$60=V$4)*(GMWQ!$LR$2:$LR$60=V$1),0),$B168-1966)</f>
        <v>1.749072E-3</v>
      </c>
      <c r="W168" s="7" cm="1">
        <f t="array" ref="W168">INDEX(GMWQ!$A$2:$LR$60,MATCH(1,(GMWQ!$LQ$2:$LQ$60=W$3)*(GMWQ!$LP$2:$LP$60=W$4)*(GMWQ!$LR$2:$LR$60=W$1),0),$B168-1966)</f>
        <v>9.4534970000000005</v>
      </c>
      <c r="X168" s="7" cm="1">
        <f t="array" ref="X168">INDEX(GMWQ!$A$2:$LR$60,MATCH(1,(GMWQ!$LQ$2:$LQ$60=X$3)*(GMWQ!$LP$2:$LP$60=X$4)*(GMWQ!$LR$2:$LR$60=X$1),0),$B168-1966)</f>
        <v>3102781</v>
      </c>
      <c r="Y168" s="7" cm="1">
        <f t="array" ref="Y168">INDEX(GMWQ!$A$2:$LR$60,MATCH(1,(GMWQ!$LQ$2:$LQ$60=Y$3)*(GMWQ!$LP$2:$LP$60=Y$4)*(GMWQ!$LR$2:$LR$60=Y$1),0),$B168-1966)</f>
        <v>90.459370000000007</v>
      </c>
      <c r="Z168" s="7" cm="1">
        <f t="array" ref="Z168">INDEX(GMWQ!$A$2:$LR$60,MATCH(1,(GMWQ!$LQ$2:$LQ$60=Z$3)*(GMWQ!$LP$2:$LP$60=Z$4)*(GMWQ!$LR$2:$LR$60=Z$1),0),$B168-1966)</f>
        <v>507633.1</v>
      </c>
      <c r="AA168" s="7" cm="1">
        <f t="array" ref="AA168">INDEX(GMWQ!$A$2:$LR$60,MATCH(1,(GMWQ!$LQ$2:$LQ$60=AA$3)*(GMWQ!$LP$2:$LP$60=AA$4)*(GMWQ!$LR$2:$LR$60=AA$1),0),$B168-1966)</f>
        <v>159230</v>
      </c>
      <c r="AB168" s="7" cm="1">
        <f t="array" ref="AB168">INDEX(GMWQ!$A$2:$LR$60,MATCH(1,(GMWQ!$LQ$2:$LQ$60=AB$3)*(GMWQ!$LP$2:$LP$60=AB$4)*(GMWQ!$LR$2:$LR$60=AB$1),0),$B168-1966)</f>
        <v>173261</v>
      </c>
      <c r="AC168" s="7" cm="1">
        <f t="array" ref="AC168">INDEX(GMWQ!$A$2:$LR$60,MATCH(1,(GMWQ!$LQ$2:$LQ$60=AC$3)*(GMWQ!$LP$2:$LP$60=AC$4)*(GMWQ!$LR$2:$LR$60=AC$1),0),$B168-1966)</f>
        <v>3582</v>
      </c>
      <c r="AD168" s="7" cm="1">
        <f t="array" ref="AD168">INDEX(GMWQ!$A$2:$LR$60,MATCH(1,(GMWQ!$LQ$2:$LQ$60=AD$3)*(GMWQ!$LP$2:$LP$60=AD$4)*(GMWQ!$LR$2:$LR$60=AD$1),0),$B168-1966)</f>
        <v>11388</v>
      </c>
      <c r="AE168" s="7" cm="1">
        <f t="array" ref="AE168">INDEX(GMWQ!$A$2:$LR$60,MATCH(1,(GMWQ!$LQ$2:$LQ$60=AE$3)*(GMWQ!$LP$2:$LP$60=AE$4)*(GMWQ!$LR$2:$LR$60=AE$1),0),$B168-1966)</f>
        <v>442283</v>
      </c>
      <c r="AF168" s="20" cm="1">
        <f t="array" ref="AF168">INDEX(GMWQ!$A$2:$LR$60,MATCH(1,(GMWQ!$LQ$2:$LQ$60=AF$3)*(GMWQ!$LP$2:$LP$60=AF$4)*(GMWQ!$LR$2:$LR$60=AF$1),0),$B168-1966)</f>
        <v>0.5</v>
      </c>
      <c r="AG168" s="20" cm="1">
        <f t="array" ref="AG168">INDEX(GMWQ!$A$2:$LR$60,MATCH(1,(GMWQ!$LQ$2:$LQ$60=AG$3)*(GMWQ!$LP$2:$LP$60=AG$4)*(GMWQ!$LR$2:$LR$60=AG$1),0),$B168-1966)</f>
        <v>-810</v>
      </c>
      <c r="AI168" s="23" cm="1">
        <f t="array" ref="AI168">INDEX(GMWQ!$A$2:$LR$60,MATCH(1,(GMWQ!$LQ$2:$LQ$60=AI$3)*(GMWQ!$LP$2:$LP$60=AI$4)*(GMWQ!$LR$2:$LR$60=AI$1),0),$B168-1966)</f>
        <v>292340</v>
      </c>
      <c r="AJ168" s="23" cm="1">
        <f t="array" ref="AJ168">INDEX(GMWQ!$A$2:$LR$60,MATCH(1,(GMWQ!$LQ$2:$LQ$60=AJ$3)*(GMWQ!$LP$2:$LP$60=AJ$4)*(GMWQ!$LR$2:$LR$60=AJ$1),0),$B168-1966)</f>
        <v>92.874179999999996</v>
      </c>
      <c r="AK168" s="23" cm="1">
        <f t="array" ref="AK168">INDEX(GMWQ!$A$2:$LR$60,MATCH(1,(GMWQ!$LQ$2:$LQ$60=AK$3)*(GMWQ!$LP$2:$LP$60=AK$4)*(GMWQ!$LR$2:$LR$60=AK$1),0),$B168-1966)</f>
        <v>179878</v>
      </c>
      <c r="AL168" s="23" cm="1">
        <f t="array" ref="AL168">INDEX(GMWQ!$A$2:$LR$60,MATCH(1,(GMWQ!$LQ$2:$LQ$60=AL$3)*(GMWQ!$LP$2:$LP$60=AL$4)*(GMWQ!$LR$2:$LR$60=AL$1),0),$B168-1966)</f>
        <v>7064.567</v>
      </c>
      <c r="AM168" s="23" cm="1">
        <f t="array" ref="AM168">INDEX(GMWQ!$A$2:$LR$60,MATCH(1,(GMWQ!$LQ$2:$LQ$60=AM$3)*(GMWQ!$LP$2:$LP$60=AM$4)*(GMWQ!$LR$2:$LR$60=AM$1),0),$B168-1966)</f>
        <v>25462</v>
      </c>
      <c r="AN168" s="23" cm="1">
        <f t="array" ref="AN168">INDEX(GMWQ!$A$2:$LR$60,MATCH(1,(GMWQ!$LQ$2:$LQ$60=AN$3)*(GMWQ!$LP$2:$LP$60=AN$4)*(GMWQ!$LR$2:$LR$60=AN$1),0),$B168-1966)</f>
        <v>41201</v>
      </c>
      <c r="AO168" s="23" cm="1">
        <f t="array" ref="AO168">INDEX(GMWQ!$A$2:$LR$60,MATCH(1,(GMWQ!$LQ$2:$LQ$60=AO$3)*(GMWQ!$LP$2:$LP$60=AO$4)*(GMWQ!$LR$2:$LR$60=AO$1),0),$B168-1966)</f>
        <v>13151</v>
      </c>
      <c r="AP168" s="23" cm="1">
        <f t="array" ref="AP168">INDEX(GMWQ!$A$2:$LR$60,MATCH(1,(GMWQ!$LQ$2:$LQ$60=AP$3)*(GMWQ!$LP$2:$LP$60=AP$4)*(GMWQ!$LR$2:$LR$60=AP$1),0),$B168-1966)</f>
        <v>-810</v>
      </c>
      <c r="AQ168" s="23" cm="1">
        <f t="array" ref="AQ168">INDEX(GMWQ!$A$2:$LR$60,MATCH(1,(GMWQ!$LQ$2:$LQ$60=AQ$3)*(GMWQ!$LP$2:$LP$60=AQ$4)*(GMWQ!$LR$2:$LR$60=AQ$1),0),$B168-1966)</f>
        <v>54690</v>
      </c>
      <c r="AR168" s="23" cm="1">
        <f t="array" ref="AR168">INDEX(GMWQ!$A$2:$LR$60,MATCH(1,(GMWQ!$LQ$2:$LQ$60=AR$3)*(GMWQ!$LP$2:$LP$60=AR$4)*(GMWQ!$LR$2:$LR$60=AR$1),0),$B168-1966)</f>
        <v>276766</v>
      </c>
      <c r="AS168" s="23" cm="1">
        <f t="array" ref="AS168">INDEX(GMWQ!$A$2:$LR$60,MATCH(1,(GMWQ!$LQ$2:$LQ$60=AS$3)*(GMWQ!$LP$2:$LP$60=AS$4)*(GMWQ!$LR$2:$LR$60=AS$1),0),$B168-1966)</f>
        <v>10324</v>
      </c>
      <c r="AT168" s="23" cm="1">
        <f t="array" ref="AT168">INDEX(GMWQ!$A$2:$LR$60,MATCH(1,(GMWQ!$LQ$2:$LQ$60=AT$3)*(GMWQ!$LP$2:$LP$60=AT$4)*(GMWQ!$LR$2:$LR$60=AT$1),0),$B168-1966)</f>
        <v>298001</v>
      </c>
      <c r="AU168" s="23" cm="1">
        <f t="array" ref="AU168">INDEX(GMWQ!$A$2:$LR$60,MATCH(1,(GMWQ!$LQ$2:$LQ$60=AU$3)*(GMWQ!$LP$2:$LP$60=AU$4)*(GMWQ!$LR$2:$LR$60=AU$1),0),$B168-1966)</f>
        <v>11298</v>
      </c>
    </row>
    <row r="169" spans="1:47" x14ac:dyDescent="0.35">
      <c r="B169" s="7">
        <f t="shared" si="3"/>
        <v>2135</v>
      </c>
      <c r="C169" s="7" cm="1">
        <f t="array" ref="C169">INDEX(GMWQ!$A$2:$LR$60,MATCH(1,(GMWQ!$LQ$2:$LQ$60=C$3)*(GMWQ!$LP$2:$LP$60=C$4)*(GMWQ!$LR$2:$LR$60=C$1),0),$B169-1966)</f>
        <v>493002</v>
      </c>
      <c r="D169" s="7" cm="1">
        <f t="array" ref="D169">INDEX(GMWQ!$A$2:$LR$60,MATCH(1,(GMWQ!$LQ$2:$LQ$60=D$3)*(GMWQ!$LP$2:$LP$60=D$4)*(GMWQ!$LR$2:$LR$60=D$1),0),$B169-1966)</f>
        <v>466</v>
      </c>
      <c r="E169" s="7" cm="1">
        <f t="array" ref="E169">INDEX(GMWQ!$A$2:$LR$60,MATCH(1,(GMWQ!$LQ$2:$LQ$60=E$3)*(GMWQ!$LP$2:$LP$60=E$4)*(GMWQ!$LR$2:$LR$60=E$1),0),$B169-1966)</f>
        <v>98.7</v>
      </c>
      <c r="F169" s="7" cm="1">
        <f t="array" ref="F169">INDEX(GMWQ!$A$2:$LR$60,MATCH(1,(GMWQ!$LQ$2:$LQ$60=F$3)*(GMWQ!$LP$2:$LP$60=F$4)*(GMWQ!$LR$2:$LR$60=F$1),0),$B169-1966)</f>
        <v>180937</v>
      </c>
      <c r="G169" s="7" cm="1">
        <f t="array" ref="G169">INDEX(GMWQ!$A$2:$LR$60,MATCH(1,(GMWQ!$LQ$2:$LQ$60=G$3)*(GMWQ!$LP$2:$LP$60=G$4)*(GMWQ!$LR$2:$LR$60=G$1),0),$B169-1966)</f>
        <v>39250</v>
      </c>
      <c r="H169" s="7" cm="1">
        <f t="array" ref="H169">INDEX(GMWQ!$A$2:$LR$60,MATCH(1,(GMWQ!$LQ$2:$LQ$60=H$3)*(GMWQ!$LP$2:$LP$60=H$4)*(GMWQ!$LR$2:$LR$60=H$1),0),$B169-1966)</f>
        <v>12796</v>
      </c>
      <c r="I169" s="7" cm="1">
        <f t="array" ref="I169">INDEX(GMWQ!$A$2:$LR$60,MATCH(1,(GMWQ!$LQ$2:$LQ$60=I$3)*(GMWQ!$LP$2:$LP$60=I$4)*(GMWQ!$LR$2:$LR$60=I$1),0),$B169-1966)</f>
        <v>93.098309999999998</v>
      </c>
      <c r="J169" s="7" cm="1">
        <f t="array" ref="J169">INDEX(GMWQ!$A$2:$LR$60,MATCH(1,(GMWQ!$LQ$2:$LQ$60=J$3)*(GMWQ!$LP$2:$LP$60=J$4)*(GMWQ!$LR$2:$LR$60=J$1),0),$B169-1966)</f>
        <v>25579</v>
      </c>
      <c r="K169" s="7" cm="1">
        <f t="array" ref="K169">INDEX(GMWQ!$A$2:$LR$60,MATCH(1,(GMWQ!$LQ$2:$LQ$60=K$3)*(GMWQ!$LP$2:$LP$60=K$4)*(GMWQ!$LR$2:$LR$60=K$1),0),$B169-1966)</f>
        <v>0.5</v>
      </c>
      <c r="L169" s="7" cm="1">
        <f t="array" ref="L169">INDEX(GMWQ!$A$2:$LR$60,MATCH(1,(GMWQ!$LQ$2:$LQ$60=L$3)*(GMWQ!$LP$2:$LP$60=L$4)*(GMWQ!$LR$2:$LR$60=L$1),0),$B169-1966)</f>
        <v>7.6</v>
      </c>
      <c r="M169" s="7" cm="1">
        <f t="array" ref="M169">INDEX(GMWQ!$A$2:$LR$60,MATCH(1,(GMWQ!$LQ$2:$LQ$60=M$3)*(GMWQ!$LP$2:$LP$60=M$4)*(GMWQ!$LR$2:$LR$60=M$1),0),$B169-1966)</f>
        <v>90.148669999999996</v>
      </c>
      <c r="N169" s="7" cm="1">
        <f t="array" ref="N169">INDEX(GMWQ!$A$2:$LR$60,MATCH(1,(GMWQ!$LQ$2:$LQ$60=N$3)*(GMWQ!$LP$2:$LP$60=N$4)*(GMWQ!$LR$2:$LR$60=N$1),0),$B169-1966)</f>
        <v>5553</v>
      </c>
      <c r="O169" s="7" cm="1">
        <f t="array" ref="O169">INDEX(GMWQ!$A$2:$LR$60,MATCH(1,(GMWQ!$LQ$2:$LQ$60=O$3)*(GMWQ!$LP$2:$LP$60=O$4)*(GMWQ!$LR$2:$LR$60=O$1),0),$B169-1966)</f>
        <v>4705</v>
      </c>
      <c r="P169" s="7" cm="1">
        <f t="array" ref="P169">INDEX(GMWQ!$A$2:$LR$60,MATCH(1,(GMWQ!$LQ$2:$LQ$60=P$3)*(GMWQ!$LP$2:$LP$60=P$4)*(GMWQ!$LR$2:$LR$60=P$1),0),$B169-1966)</f>
        <v>298413</v>
      </c>
      <c r="Q169" s="7" cm="1">
        <f t="array" ref="Q169">INDEX(GMWQ!$A$2:$LR$60,MATCH(1,(GMWQ!$LQ$2:$LQ$60=Q$3)*(GMWQ!$LP$2:$LP$60=Q$4)*(GMWQ!$LR$2:$LR$60=Q$1),0),$B169-1966)</f>
        <v>3.3166669999999998</v>
      </c>
      <c r="R169" s="7" cm="1">
        <f t="array" ref="R169">INDEX(GMWQ!$A$2:$LR$60,MATCH(1,(GMWQ!$LQ$2:$LQ$60=R$3)*(GMWQ!$LP$2:$LP$60=R$4)*(GMWQ!$LR$2:$LR$60=R$1),0),$B169-1966)</f>
        <v>190946</v>
      </c>
      <c r="S169" s="7" cm="1">
        <f t="array" ref="S169">INDEX(GMWQ!$A$2:$LR$60,MATCH(1,(GMWQ!$LQ$2:$LQ$60=S$3)*(GMWQ!$LP$2:$LP$60=S$4)*(GMWQ!$LR$2:$LR$60=S$1),0),$B169-1966)</f>
        <v>274.05</v>
      </c>
      <c r="T169" s="7" cm="1">
        <f t="array" ref="T169">INDEX(GMWQ!$A$2:$LR$60,MATCH(1,(GMWQ!$LQ$2:$LQ$60=T$3)*(GMWQ!$LP$2:$LP$60=T$4)*(GMWQ!$LR$2:$LR$60=T$1),0),$B169-1966)</f>
        <v>46190</v>
      </c>
      <c r="U169" s="7" cm="1">
        <f t="array" ref="U169">INDEX(GMWQ!$A$2:$LR$60,MATCH(1,(GMWQ!$LQ$2:$LQ$60=U$3)*(GMWQ!$LP$2:$LP$60=U$4)*(GMWQ!$LR$2:$LR$60=U$1),0),$B169-1966)</f>
        <v>4045</v>
      </c>
      <c r="V169" s="7" cm="1">
        <f t="array" ref="V169">INDEX(GMWQ!$A$2:$LR$60,MATCH(1,(GMWQ!$LQ$2:$LQ$60=V$3)*(GMWQ!$LP$2:$LP$60=V$4)*(GMWQ!$LR$2:$LR$60=V$1),0),$B169-1966)</f>
        <v>1.7053490000000001E-3</v>
      </c>
      <c r="W169" s="7" cm="1">
        <f t="array" ref="W169">INDEX(GMWQ!$A$2:$LR$60,MATCH(1,(GMWQ!$LQ$2:$LQ$60=W$3)*(GMWQ!$LP$2:$LP$60=W$4)*(GMWQ!$LR$2:$LR$60=W$1),0),$B169-1966)</f>
        <v>8.8791960000000003</v>
      </c>
      <c r="X169" s="7" cm="1">
        <f t="array" ref="X169">INDEX(GMWQ!$A$2:$LR$60,MATCH(1,(GMWQ!$LQ$2:$LQ$60=X$3)*(GMWQ!$LP$2:$LP$60=X$4)*(GMWQ!$LR$2:$LR$60=X$1),0),$B169-1966)</f>
        <v>3147503</v>
      </c>
      <c r="Y169" s="7" cm="1">
        <f t="array" ref="Y169">INDEX(GMWQ!$A$2:$LR$60,MATCH(1,(GMWQ!$LQ$2:$LQ$60=Y$3)*(GMWQ!$LP$2:$LP$60=Y$4)*(GMWQ!$LR$2:$LR$60=Y$1),0),$B169-1966)</f>
        <v>91.019310000000004</v>
      </c>
      <c r="Z169" s="7" cm="1">
        <f t="array" ref="Z169">INDEX(GMWQ!$A$2:$LR$60,MATCH(1,(GMWQ!$LQ$2:$LQ$60=Z$3)*(GMWQ!$LP$2:$LP$60=Z$4)*(GMWQ!$LR$2:$LR$60=Z$1),0),$B169-1966)</f>
        <v>512068.4</v>
      </c>
      <c r="AA169" s="7" cm="1">
        <f t="array" ref="AA169">INDEX(GMWQ!$A$2:$LR$60,MATCH(1,(GMWQ!$LQ$2:$LQ$60=AA$3)*(GMWQ!$LP$2:$LP$60=AA$4)*(GMWQ!$LR$2:$LR$60=AA$1),0),$B169-1966)</f>
        <v>164050</v>
      </c>
      <c r="AB169" s="7" cm="1">
        <f t="array" ref="AB169">INDEX(GMWQ!$A$2:$LR$60,MATCH(1,(GMWQ!$LQ$2:$LQ$60=AB$3)*(GMWQ!$LP$2:$LP$60=AB$4)*(GMWQ!$LR$2:$LR$60=AB$1),0),$B169-1966)</f>
        <v>172168</v>
      </c>
      <c r="AC169" s="7" cm="1">
        <f t="array" ref="AC169">INDEX(GMWQ!$A$2:$LR$60,MATCH(1,(GMWQ!$LQ$2:$LQ$60=AC$3)*(GMWQ!$LP$2:$LP$60=AC$4)*(GMWQ!$LR$2:$LR$60=AC$1),0),$B169-1966)</f>
        <v>4760</v>
      </c>
      <c r="AD169" s="7" cm="1">
        <f t="array" ref="AD169">INDEX(GMWQ!$A$2:$LR$60,MATCH(1,(GMWQ!$LQ$2:$LQ$60=AD$3)*(GMWQ!$LP$2:$LP$60=AD$4)*(GMWQ!$LR$2:$LR$60=AD$1),0),$B169-1966)</f>
        <v>11398</v>
      </c>
      <c r="AE169" s="7" cm="1">
        <f t="array" ref="AE169">INDEX(GMWQ!$A$2:$LR$60,MATCH(1,(GMWQ!$LQ$2:$LQ$60=AE$3)*(GMWQ!$LP$2:$LP$60=AE$4)*(GMWQ!$LR$2:$LR$60=AE$1),0),$B169-1966)</f>
        <v>448727</v>
      </c>
      <c r="AF169" s="20" cm="1">
        <f t="array" ref="AF169">INDEX(GMWQ!$A$2:$LR$60,MATCH(1,(GMWQ!$LQ$2:$LQ$60=AF$3)*(GMWQ!$LP$2:$LP$60=AF$4)*(GMWQ!$LR$2:$LR$60=AF$1),0),$B169-1966)</f>
        <v>0.5</v>
      </c>
      <c r="AG169" s="20" cm="1">
        <f t="array" ref="AG169">INDEX(GMWQ!$A$2:$LR$60,MATCH(1,(GMWQ!$LQ$2:$LQ$60=AG$3)*(GMWQ!$LP$2:$LP$60=AG$4)*(GMWQ!$LR$2:$LR$60=AG$1),0),$B169-1966)</f>
        <v>-848</v>
      </c>
      <c r="AI169" s="23" cm="1">
        <f t="array" ref="AI169">INDEX(GMWQ!$A$2:$LR$60,MATCH(1,(GMWQ!$LQ$2:$LQ$60=AI$3)*(GMWQ!$LP$2:$LP$60=AI$4)*(GMWQ!$LR$2:$LR$60=AI$1),0),$B169-1966)</f>
        <v>298413</v>
      </c>
      <c r="AJ169" s="23" cm="1">
        <f t="array" ref="AJ169">INDEX(GMWQ!$A$2:$LR$60,MATCH(1,(GMWQ!$LQ$2:$LQ$60=AJ$3)*(GMWQ!$LP$2:$LP$60=AJ$4)*(GMWQ!$LR$2:$LR$60=AJ$1),0),$B169-1966)</f>
        <v>93.098309999999998</v>
      </c>
      <c r="AK169" s="23" cm="1">
        <f t="array" ref="AK169">INDEX(GMWQ!$A$2:$LR$60,MATCH(1,(GMWQ!$LQ$2:$LQ$60=AK$3)*(GMWQ!$LP$2:$LP$60=AK$4)*(GMWQ!$LR$2:$LR$60=AK$1),0),$B169-1966)</f>
        <v>180937</v>
      </c>
      <c r="AL169" s="23" cm="1">
        <f t="array" ref="AL169">INDEX(GMWQ!$A$2:$LR$60,MATCH(1,(GMWQ!$LQ$2:$LQ$60=AL$3)*(GMWQ!$LP$2:$LP$60=AL$4)*(GMWQ!$LR$2:$LR$60=AL$1),0),$B169-1966)</f>
        <v>7073.6540000000005</v>
      </c>
      <c r="AM169" s="23" cm="1">
        <f t="array" ref="AM169">INDEX(GMWQ!$A$2:$LR$60,MATCH(1,(GMWQ!$LQ$2:$LQ$60=AM$3)*(GMWQ!$LP$2:$LP$60=AM$4)*(GMWQ!$LR$2:$LR$60=AM$1),0),$B169-1966)</f>
        <v>25579</v>
      </c>
      <c r="AN169" s="23" cm="1">
        <f t="array" ref="AN169">INDEX(GMWQ!$A$2:$LR$60,MATCH(1,(GMWQ!$LQ$2:$LQ$60=AN$3)*(GMWQ!$LP$2:$LP$60=AN$4)*(GMWQ!$LR$2:$LR$60=AN$1),0),$B169-1966)</f>
        <v>39250</v>
      </c>
      <c r="AO169" s="23" cm="1">
        <f t="array" ref="AO169">INDEX(GMWQ!$A$2:$LR$60,MATCH(1,(GMWQ!$LQ$2:$LQ$60=AO$3)*(GMWQ!$LP$2:$LP$60=AO$4)*(GMWQ!$LR$2:$LR$60=AO$1),0),$B169-1966)</f>
        <v>12796</v>
      </c>
      <c r="AP169" s="23" cm="1">
        <f t="array" ref="AP169">INDEX(GMWQ!$A$2:$LR$60,MATCH(1,(GMWQ!$LQ$2:$LQ$60=AP$3)*(GMWQ!$LP$2:$LP$60=AP$4)*(GMWQ!$LR$2:$LR$60=AP$1),0),$B169-1966)</f>
        <v>-848</v>
      </c>
      <c r="AQ169" s="23" cm="1">
        <f t="array" ref="AQ169">INDEX(GMWQ!$A$2:$LR$60,MATCH(1,(GMWQ!$LQ$2:$LQ$60=AQ$3)*(GMWQ!$LP$2:$LP$60=AQ$4)*(GMWQ!$LR$2:$LR$60=AQ$1),0),$B169-1966)</f>
        <v>55291</v>
      </c>
      <c r="AR169" s="23" cm="1">
        <f t="array" ref="AR169">INDEX(GMWQ!$A$2:$LR$60,MATCH(1,(GMWQ!$LQ$2:$LQ$60=AR$3)*(GMWQ!$LP$2:$LP$60=AR$4)*(GMWQ!$LR$2:$LR$60=AR$1),0),$B169-1966)</f>
        <v>280859</v>
      </c>
      <c r="AS169" s="23" cm="1">
        <f t="array" ref="AS169">INDEX(GMWQ!$A$2:$LR$60,MATCH(1,(GMWQ!$LQ$2:$LQ$60=AS$3)*(GMWQ!$LP$2:$LP$60=AS$4)*(GMWQ!$LR$2:$LR$60=AS$1),0),$B169-1966)</f>
        <v>10215</v>
      </c>
      <c r="AT169" s="23" cm="1">
        <f t="array" ref="AT169">INDEX(GMWQ!$A$2:$LR$60,MATCH(1,(GMWQ!$LQ$2:$LQ$60=AT$3)*(GMWQ!$LP$2:$LP$60=AT$4)*(GMWQ!$LR$2:$LR$60=AT$1),0),$B169-1966)</f>
        <v>301680</v>
      </c>
      <c r="AU169" s="23" cm="1">
        <f t="array" ref="AU169">INDEX(GMWQ!$A$2:$LR$60,MATCH(1,(GMWQ!$LQ$2:$LQ$60=AU$3)*(GMWQ!$LP$2:$LP$60=AU$4)*(GMWQ!$LR$2:$LR$60=AU$1),0),$B169-1966)</f>
        <v>11260</v>
      </c>
    </row>
    <row r="170" spans="1:47" x14ac:dyDescent="0.35">
      <c r="B170" s="7">
        <f t="shared" si="3"/>
        <v>2136</v>
      </c>
      <c r="C170" s="7" cm="1">
        <f t="array" ref="C170">INDEX(GMWQ!$A$2:$LR$60,MATCH(1,(GMWQ!$LQ$2:$LQ$60=C$3)*(GMWQ!$LP$2:$LP$60=C$4)*(GMWQ!$LR$2:$LR$60=C$1),0),$B170-1966)</f>
        <v>496466</v>
      </c>
      <c r="D170" s="7" cm="1">
        <f t="array" ref="D170">INDEX(GMWQ!$A$2:$LR$60,MATCH(1,(GMWQ!$LQ$2:$LQ$60=D$3)*(GMWQ!$LP$2:$LP$60=D$4)*(GMWQ!$LR$2:$LR$60=D$1),0),$B170-1966)</f>
        <v>466.66669999999999</v>
      </c>
      <c r="E170" s="7" cm="1">
        <f t="array" ref="E170">INDEX(GMWQ!$A$2:$LR$60,MATCH(1,(GMWQ!$LQ$2:$LQ$60=E$3)*(GMWQ!$LP$2:$LP$60=E$4)*(GMWQ!$LR$2:$LR$60=E$1),0),$B170-1966)</f>
        <v>99.3</v>
      </c>
      <c r="F170" s="7" cm="1">
        <f t="array" ref="F170">INDEX(GMWQ!$A$2:$LR$60,MATCH(1,(GMWQ!$LQ$2:$LQ$60=F$3)*(GMWQ!$LP$2:$LP$60=F$4)*(GMWQ!$LR$2:$LR$60=F$1),0),$B170-1966)</f>
        <v>183254</v>
      </c>
      <c r="G170" s="7" cm="1">
        <f t="array" ref="G170">INDEX(GMWQ!$A$2:$LR$60,MATCH(1,(GMWQ!$LQ$2:$LQ$60=G$3)*(GMWQ!$LP$2:$LP$60=G$4)*(GMWQ!$LR$2:$LR$60=G$1),0),$B170-1966)</f>
        <v>40086</v>
      </c>
      <c r="H170" s="7" cm="1">
        <f t="array" ref="H170">INDEX(GMWQ!$A$2:$LR$60,MATCH(1,(GMWQ!$LQ$2:$LQ$60=H$3)*(GMWQ!$LP$2:$LP$60=H$4)*(GMWQ!$LR$2:$LR$60=H$1),0),$B170-1966)</f>
        <v>13010</v>
      </c>
      <c r="I170" s="7" cm="1">
        <f t="array" ref="I170">INDEX(GMWQ!$A$2:$LR$60,MATCH(1,(GMWQ!$LQ$2:$LQ$60=I$3)*(GMWQ!$LP$2:$LP$60=I$4)*(GMWQ!$LR$2:$LR$60=I$1),0),$B170-1966)</f>
        <v>93.120930000000001</v>
      </c>
      <c r="J170" s="7" cm="1">
        <f t="array" ref="J170">INDEX(GMWQ!$A$2:$LR$60,MATCH(1,(GMWQ!$LQ$2:$LQ$60=J$3)*(GMWQ!$LP$2:$LP$60=J$4)*(GMWQ!$LR$2:$LR$60=J$1),0),$B170-1966)</f>
        <v>25615</v>
      </c>
      <c r="K170" s="7" cm="1">
        <f t="array" ref="K170">INDEX(GMWQ!$A$2:$LR$60,MATCH(1,(GMWQ!$LQ$2:$LQ$60=K$3)*(GMWQ!$LP$2:$LP$60=K$4)*(GMWQ!$LR$2:$LR$60=K$1),0),$B170-1966)</f>
        <v>0.5</v>
      </c>
      <c r="L170" s="7" cm="1">
        <f t="array" ref="L170">INDEX(GMWQ!$A$2:$LR$60,MATCH(1,(GMWQ!$LQ$2:$LQ$60=L$3)*(GMWQ!$LP$2:$LP$60=L$4)*(GMWQ!$LR$2:$LR$60=L$1),0),$B170-1966)</f>
        <v>7.2</v>
      </c>
      <c r="M170" s="7" cm="1">
        <f t="array" ref="M170">INDEX(GMWQ!$A$2:$LR$60,MATCH(1,(GMWQ!$LQ$2:$LQ$60=M$3)*(GMWQ!$LP$2:$LP$60=M$4)*(GMWQ!$LR$2:$LR$60=M$1),0),$B170-1966)</f>
        <v>91.802329999999998</v>
      </c>
      <c r="N170" s="7" cm="1">
        <f t="array" ref="N170">INDEX(GMWQ!$A$2:$LR$60,MATCH(1,(GMWQ!$LQ$2:$LQ$60=N$3)*(GMWQ!$LP$2:$LP$60=N$4)*(GMWQ!$LR$2:$LR$60=N$1),0),$B170-1966)</f>
        <v>5022</v>
      </c>
      <c r="O170" s="7" cm="1">
        <f t="array" ref="O170">INDEX(GMWQ!$A$2:$LR$60,MATCH(1,(GMWQ!$LQ$2:$LQ$60=O$3)*(GMWQ!$LP$2:$LP$60=O$4)*(GMWQ!$LR$2:$LR$60=O$1),0),$B170-1966)</f>
        <v>4238</v>
      </c>
      <c r="P170" s="7" cm="1">
        <f t="array" ref="P170">INDEX(GMWQ!$A$2:$LR$60,MATCH(1,(GMWQ!$LQ$2:$LQ$60=P$3)*(GMWQ!$LP$2:$LP$60=P$4)*(GMWQ!$LR$2:$LR$60=P$1),0),$B170-1966)</f>
        <v>300879</v>
      </c>
      <c r="Q170" s="7" cm="1">
        <f t="array" ref="Q170">INDEX(GMWQ!$A$2:$LR$60,MATCH(1,(GMWQ!$LQ$2:$LQ$60=Q$3)*(GMWQ!$LP$2:$LP$60=Q$4)*(GMWQ!$LR$2:$LR$60=Q$1),0),$B170-1966)</f>
        <v>3.28</v>
      </c>
      <c r="R170" s="7" cm="1">
        <f t="array" ref="R170">INDEX(GMWQ!$A$2:$LR$60,MATCH(1,(GMWQ!$LQ$2:$LQ$60=R$3)*(GMWQ!$LP$2:$LP$60=R$4)*(GMWQ!$LR$2:$LR$60=R$1),0),$B170-1966)</f>
        <v>210997</v>
      </c>
      <c r="S170" s="7" cm="1">
        <f t="array" ref="S170">INDEX(GMWQ!$A$2:$LR$60,MATCH(1,(GMWQ!$LQ$2:$LQ$60=S$3)*(GMWQ!$LP$2:$LP$60=S$4)*(GMWQ!$LR$2:$LR$60=S$1),0),$B170-1966)</f>
        <v>294.04000000000002</v>
      </c>
      <c r="T170" s="7" cm="1">
        <f t="array" ref="T170">INDEX(GMWQ!$A$2:$LR$60,MATCH(1,(GMWQ!$LQ$2:$LQ$60=T$3)*(GMWQ!$LP$2:$LP$60=T$4)*(GMWQ!$LR$2:$LR$60=T$1),0),$B170-1966)</f>
        <v>49533</v>
      </c>
      <c r="U170" s="7" cm="1">
        <f t="array" ref="U170">INDEX(GMWQ!$A$2:$LR$60,MATCH(1,(GMWQ!$LQ$2:$LQ$60=U$3)*(GMWQ!$LP$2:$LP$60=U$4)*(GMWQ!$LR$2:$LR$60=U$1),0),$B170-1966)</f>
        <v>4646</v>
      </c>
      <c r="V170" s="7" cm="1">
        <f t="array" ref="V170">INDEX(GMWQ!$A$2:$LR$60,MATCH(1,(GMWQ!$LQ$2:$LQ$60=V$3)*(GMWQ!$LP$2:$LP$60=V$4)*(GMWQ!$LR$2:$LR$60=V$1),0),$B170-1966)</f>
        <v>1.5131400000000001E-3</v>
      </c>
      <c r="W170" s="7" cm="1">
        <f t="array" ref="W170">INDEX(GMWQ!$A$2:$LR$60,MATCH(1,(GMWQ!$LQ$2:$LQ$60=W$3)*(GMWQ!$LP$2:$LP$60=W$4)*(GMWQ!$LR$2:$LR$60=W$1),0),$B170-1966)</f>
        <v>9.0376650000000005</v>
      </c>
      <c r="X170" s="7" cm="1">
        <f t="array" ref="X170">INDEX(GMWQ!$A$2:$LR$60,MATCH(1,(GMWQ!$LQ$2:$LQ$60=X$3)*(GMWQ!$LP$2:$LP$60=X$4)*(GMWQ!$LR$2:$LR$60=X$1),0),$B170-1966)</f>
        <v>3182693</v>
      </c>
      <c r="Y170" s="7" cm="1">
        <f t="array" ref="Y170">INDEX(GMWQ!$A$2:$LR$60,MATCH(1,(GMWQ!$LQ$2:$LQ$60=Y$3)*(GMWQ!$LP$2:$LP$60=Y$4)*(GMWQ!$LR$2:$LR$60=Y$1),0),$B170-1966)</f>
        <v>91.093440000000001</v>
      </c>
      <c r="Z170" s="7" cm="1">
        <f t="array" ref="Z170">INDEX(GMWQ!$A$2:$LR$60,MATCH(1,(GMWQ!$LQ$2:$LQ$60=Z$3)*(GMWQ!$LP$2:$LP$60=Z$4)*(GMWQ!$LR$2:$LR$60=Z$1),0),$B170-1966)</f>
        <v>511581.5</v>
      </c>
      <c r="AA170" s="7" cm="1">
        <f t="array" ref="AA170">INDEX(GMWQ!$A$2:$LR$60,MATCH(1,(GMWQ!$LQ$2:$LQ$60=AA$3)*(GMWQ!$LP$2:$LP$60=AA$4)*(GMWQ!$LR$2:$LR$60=AA$1),0),$B170-1966)</f>
        <v>158786</v>
      </c>
      <c r="AB170" s="7" cm="1">
        <f t="array" ref="AB170">INDEX(GMWQ!$A$2:$LR$60,MATCH(1,(GMWQ!$LQ$2:$LQ$60=AB$3)*(GMWQ!$LP$2:$LP$60=AB$4)*(GMWQ!$LR$2:$LR$60=AB$1),0),$B170-1966)</f>
        <v>175507</v>
      </c>
      <c r="AC170" s="7" cm="1">
        <f t="array" ref="AC170">INDEX(GMWQ!$A$2:$LR$60,MATCH(1,(GMWQ!$LQ$2:$LQ$60=AC$3)*(GMWQ!$LP$2:$LP$60=AC$4)*(GMWQ!$LR$2:$LR$60=AC$1),0),$B170-1966)</f>
        <v>5567</v>
      </c>
      <c r="AD170" s="7" cm="1">
        <f t="array" ref="AD170">INDEX(GMWQ!$A$2:$LR$60,MATCH(1,(GMWQ!$LQ$2:$LQ$60=AD$3)*(GMWQ!$LP$2:$LP$60=AD$4)*(GMWQ!$LR$2:$LR$60=AD$1),0),$B170-1966)</f>
        <v>11464</v>
      </c>
      <c r="AE170" s="7" cm="1">
        <f t="array" ref="AE170">INDEX(GMWQ!$A$2:$LR$60,MATCH(1,(GMWQ!$LQ$2:$LQ$60=AE$3)*(GMWQ!$LP$2:$LP$60=AE$4)*(GMWQ!$LR$2:$LR$60=AE$1),0),$B170-1966)</f>
        <v>452248</v>
      </c>
      <c r="AF170" s="20" cm="1">
        <f t="array" ref="AF170">INDEX(GMWQ!$A$2:$LR$60,MATCH(1,(GMWQ!$LQ$2:$LQ$60=AF$3)*(GMWQ!$LP$2:$LP$60=AF$4)*(GMWQ!$LR$2:$LR$60=AF$1),0),$B170-1966)</f>
        <v>0.5</v>
      </c>
      <c r="AG170" s="20" cm="1">
        <f t="array" ref="AG170">INDEX(GMWQ!$A$2:$LR$60,MATCH(1,(GMWQ!$LQ$2:$LQ$60=AG$3)*(GMWQ!$LP$2:$LP$60=AG$4)*(GMWQ!$LR$2:$LR$60=AG$1),0),$B170-1966)</f>
        <v>-784</v>
      </c>
      <c r="AI170" s="23" cm="1">
        <f t="array" ref="AI170">INDEX(GMWQ!$A$2:$LR$60,MATCH(1,(GMWQ!$LQ$2:$LQ$60=AI$3)*(GMWQ!$LP$2:$LP$60=AI$4)*(GMWQ!$LR$2:$LR$60=AI$1),0),$B170-1966)</f>
        <v>300879</v>
      </c>
      <c r="AJ170" s="23" cm="1">
        <f t="array" ref="AJ170">INDEX(GMWQ!$A$2:$LR$60,MATCH(1,(GMWQ!$LQ$2:$LQ$60=AJ$3)*(GMWQ!$LP$2:$LP$60=AJ$4)*(GMWQ!$LR$2:$LR$60=AJ$1),0),$B170-1966)</f>
        <v>93.120930000000001</v>
      </c>
      <c r="AK170" s="23" cm="1">
        <f t="array" ref="AK170">INDEX(GMWQ!$A$2:$LR$60,MATCH(1,(GMWQ!$LQ$2:$LQ$60=AK$3)*(GMWQ!$LP$2:$LP$60=AK$4)*(GMWQ!$LR$2:$LR$60=AK$1),0),$B170-1966)</f>
        <v>183254</v>
      </c>
      <c r="AL170" s="23" cm="1">
        <f t="array" ref="AL170">INDEX(GMWQ!$A$2:$LR$60,MATCH(1,(GMWQ!$LQ$2:$LQ$60=AL$3)*(GMWQ!$LP$2:$LP$60=AL$4)*(GMWQ!$LR$2:$LR$60=AL$1),0),$B170-1966)</f>
        <v>7154.1670000000004</v>
      </c>
      <c r="AM170" s="23" cm="1">
        <f t="array" ref="AM170">INDEX(GMWQ!$A$2:$LR$60,MATCH(1,(GMWQ!$LQ$2:$LQ$60=AM$3)*(GMWQ!$LP$2:$LP$60=AM$4)*(GMWQ!$LR$2:$LR$60=AM$1),0),$B170-1966)</f>
        <v>25615</v>
      </c>
      <c r="AN170" s="23" cm="1">
        <f t="array" ref="AN170">INDEX(GMWQ!$A$2:$LR$60,MATCH(1,(GMWQ!$LQ$2:$LQ$60=AN$3)*(GMWQ!$LP$2:$LP$60=AN$4)*(GMWQ!$LR$2:$LR$60=AN$1),0),$B170-1966)</f>
        <v>40086</v>
      </c>
      <c r="AO170" s="23" cm="1">
        <f t="array" ref="AO170">INDEX(GMWQ!$A$2:$LR$60,MATCH(1,(GMWQ!$LQ$2:$LQ$60=AO$3)*(GMWQ!$LP$2:$LP$60=AO$4)*(GMWQ!$LR$2:$LR$60=AO$1),0),$B170-1966)</f>
        <v>13010</v>
      </c>
      <c r="AP170" s="23" cm="1">
        <f t="array" ref="AP170">INDEX(GMWQ!$A$2:$LR$60,MATCH(1,(GMWQ!$LQ$2:$LQ$60=AP$3)*(GMWQ!$LP$2:$LP$60=AP$4)*(GMWQ!$LR$2:$LR$60=AP$1),0),$B170-1966)</f>
        <v>-784</v>
      </c>
      <c r="AQ170" s="23" cm="1">
        <f t="array" ref="AQ170">INDEX(GMWQ!$A$2:$LR$60,MATCH(1,(GMWQ!$LQ$2:$LQ$60=AQ$3)*(GMWQ!$LP$2:$LP$60=AQ$4)*(GMWQ!$LR$2:$LR$60=AQ$1),0),$B170-1966)</f>
        <v>55268</v>
      </c>
      <c r="AR170" s="23" cm="1">
        <f t="array" ref="AR170">INDEX(GMWQ!$A$2:$LR$60,MATCH(1,(GMWQ!$LQ$2:$LQ$60=AR$3)*(GMWQ!$LP$2:$LP$60=AR$4)*(GMWQ!$LR$2:$LR$60=AR$1),0),$B170-1966)</f>
        <v>282243</v>
      </c>
      <c r="AS170" s="23" cm="1">
        <f t="array" ref="AS170">INDEX(GMWQ!$A$2:$LR$60,MATCH(1,(GMWQ!$LQ$2:$LQ$60=AS$3)*(GMWQ!$LP$2:$LP$60=AS$4)*(GMWQ!$LR$2:$LR$60=AS$1),0),$B170-1966)</f>
        <v>10022</v>
      </c>
      <c r="AT170" s="23" cm="1">
        <f t="array" ref="AT170">INDEX(GMWQ!$A$2:$LR$60,MATCH(1,(GMWQ!$LQ$2:$LQ$60=AT$3)*(GMWQ!$LP$2:$LP$60=AT$4)*(GMWQ!$LR$2:$LR$60=AT$1),0),$B170-1966)</f>
        <v>303093</v>
      </c>
      <c r="AU170" s="23" cm="1">
        <f t="array" ref="AU170">INDEX(GMWQ!$A$2:$LR$60,MATCH(1,(GMWQ!$LQ$2:$LQ$60=AU$3)*(GMWQ!$LP$2:$LP$60=AU$4)*(GMWQ!$LR$2:$LR$60=AU$1),0),$B170-1966)</f>
        <v>10845</v>
      </c>
    </row>
    <row r="171" spans="1:47" x14ac:dyDescent="0.35">
      <c r="A171" s="7">
        <v>2014</v>
      </c>
      <c r="B171" s="7">
        <f t="shared" si="3"/>
        <v>2137</v>
      </c>
      <c r="C171" s="7" cm="1">
        <f t="array" ref="C171">INDEX(GMWQ!$A$2:$LR$60,MATCH(1,(GMWQ!$LQ$2:$LQ$60=C$3)*(GMWQ!$LP$2:$LP$60=C$4)*(GMWQ!$LR$2:$LR$60=C$1),0),$B171-1966)</f>
        <v>500552</v>
      </c>
      <c r="D171" s="7" cm="1">
        <f t="array" ref="D171">INDEX(GMWQ!$A$2:$LR$60,MATCH(1,(GMWQ!$LQ$2:$LQ$60=D$3)*(GMWQ!$LP$2:$LP$60=D$4)*(GMWQ!$LR$2:$LR$60=D$1),0),$B171-1966)</f>
        <v>467.33330000000001</v>
      </c>
      <c r="E171" s="7" cm="1">
        <f t="array" ref="E171">INDEX(GMWQ!$A$2:$LR$60,MATCH(1,(GMWQ!$LQ$2:$LQ$60=E$3)*(GMWQ!$LP$2:$LP$60=E$4)*(GMWQ!$LR$2:$LR$60=E$1),0),$B171-1966)</f>
        <v>99.4</v>
      </c>
      <c r="F171" s="7" cm="1">
        <f t="array" ref="F171">INDEX(GMWQ!$A$2:$LR$60,MATCH(1,(GMWQ!$LQ$2:$LQ$60=F$3)*(GMWQ!$LP$2:$LP$60=F$4)*(GMWQ!$LR$2:$LR$60=F$1),0),$B171-1966)</f>
        <v>185644</v>
      </c>
      <c r="G171" s="7" cm="1">
        <f t="array" ref="G171">INDEX(GMWQ!$A$2:$LR$60,MATCH(1,(GMWQ!$LQ$2:$LQ$60=G$3)*(GMWQ!$LP$2:$LP$60=G$4)*(GMWQ!$LR$2:$LR$60=G$1),0),$B171-1966)</f>
        <v>38762</v>
      </c>
      <c r="H171" s="7" cm="1">
        <f t="array" ref="H171">INDEX(GMWQ!$A$2:$LR$60,MATCH(1,(GMWQ!$LQ$2:$LQ$60=H$3)*(GMWQ!$LP$2:$LP$60=H$4)*(GMWQ!$LR$2:$LR$60=H$1),0),$B171-1966)</f>
        <v>13133</v>
      </c>
      <c r="I171" s="7" cm="1">
        <f t="array" ref="I171">INDEX(GMWQ!$A$2:$LR$60,MATCH(1,(GMWQ!$LQ$2:$LQ$60=I$3)*(GMWQ!$LP$2:$LP$60=I$4)*(GMWQ!$LR$2:$LR$60=I$1),0),$B171-1966)</f>
        <v>93.561639999999997</v>
      </c>
      <c r="J171" s="7" cm="1">
        <f t="array" ref="J171">INDEX(GMWQ!$A$2:$LR$60,MATCH(1,(GMWQ!$LQ$2:$LQ$60=J$3)*(GMWQ!$LP$2:$LP$60=J$4)*(GMWQ!$LR$2:$LR$60=J$1),0),$B171-1966)</f>
        <v>25706</v>
      </c>
      <c r="K171" s="7" cm="1">
        <f t="array" ref="K171">INDEX(GMWQ!$A$2:$LR$60,MATCH(1,(GMWQ!$LQ$2:$LQ$60=K$3)*(GMWQ!$LP$2:$LP$60=K$4)*(GMWQ!$LR$2:$LR$60=K$1),0),$B171-1966)</f>
        <v>0.5</v>
      </c>
      <c r="L171" s="7" cm="1">
        <f t="array" ref="L171">INDEX(GMWQ!$A$2:$LR$60,MATCH(1,(GMWQ!$LQ$2:$LQ$60=L$3)*(GMWQ!$LP$2:$LP$60=L$4)*(GMWQ!$LR$2:$LR$60=L$1),0),$B171-1966)</f>
        <v>6.8</v>
      </c>
      <c r="M171" s="7" cm="1">
        <f t="array" ref="M171">INDEX(GMWQ!$A$2:$LR$60,MATCH(1,(GMWQ!$LQ$2:$LQ$60=M$3)*(GMWQ!$LP$2:$LP$60=M$4)*(GMWQ!$LR$2:$LR$60=M$1),0),$B171-1966)</f>
        <v>94.063000000000002</v>
      </c>
      <c r="N171" s="7" cm="1">
        <f t="array" ref="N171">INDEX(GMWQ!$A$2:$LR$60,MATCH(1,(GMWQ!$LQ$2:$LQ$60=N$3)*(GMWQ!$LP$2:$LP$60=N$4)*(GMWQ!$LR$2:$LR$60=N$1),0),$B171-1966)</f>
        <v>6155</v>
      </c>
      <c r="O171" s="7" cm="1">
        <f t="array" ref="O171">INDEX(GMWQ!$A$2:$LR$60,MATCH(1,(GMWQ!$LQ$2:$LQ$60=O$3)*(GMWQ!$LP$2:$LP$60=O$4)*(GMWQ!$LR$2:$LR$60=O$1),0),$B171-1966)</f>
        <v>5163</v>
      </c>
      <c r="P171" s="7" cm="1">
        <f t="array" ref="P171">INDEX(GMWQ!$A$2:$LR$60,MATCH(1,(GMWQ!$LQ$2:$LQ$60=P$3)*(GMWQ!$LP$2:$LP$60=P$4)*(GMWQ!$LR$2:$LR$60=P$1),0),$B171-1966)</f>
        <v>301521</v>
      </c>
      <c r="Q171" s="7" cm="1">
        <f t="array" ref="Q171">INDEX(GMWQ!$A$2:$LR$60,MATCH(1,(GMWQ!$LQ$2:$LQ$60=Q$3)*(GMWQ!$LP$2:$LP$60=Q$4)*(GMWQ!$LR$2:$LR$60=Q$1),0),$B171-1966)</f>
        <v>3.25</v>
      </c>
      <c r="R171" s="7" cm="1">
        <f t="array" ref="R171">INDEX(GMWQ!$A$2:$LR$60,MATCH(1,(GMWQ!$LQ$2:$LQ$60=R$3)*(GMWQ!$LP$2:$LP$60=R$4)*(GMWQ!$LR$2:$LR$60=R$1),0),$B171-1966)</f>
        <v>212494</v>
      </c>
      <c r="S171" s="7" cm="1">
        <f t="array" ref="S171">INDEX(GMWQ!$A$2:$LR$60,MATCH(1,(GMWQ!$LQ$2:$LQ$60=S$3)*(GMWQ!$LP$2:$LP$60=S$4)*(GMWQ!$LR$2:$LR$60=S$1),0),$B171-1966)</f>
        <v>311.14</v>
      </c>
      <c r="T171" s="7" cm="1">
        <f t="array" ref="T171">INDEX(GMWQ!$A$2:$LR$60,MATCH(1,(GMWQ!$LQ$2:$LQ$60=T$3)*(GMWQ!$LP$2:$LP$60=T$4)*(GMWQ!$LR$2:$LR$60=T$1),0),$B171-1966)</f>
        <v>51420</v>
      </c>
      <c r="U171" s="7" cm="1">
        <f t="array" ref="U171">INDEX(GMWQ!$A$2:$LR$60,MATCH(1,(GMWQ!$LQ$2:$LQ$60=U$3)*(GMWQ!$LP$2:$LP$60=U$4)*(GMWQ!$LR$2:$LR$60=U$1),0),$B171-1966)</f>
        <v>5761</v>
      </c>
      <c r="V171" s="7" cm="1">
        <f t="array" ref="V171">INDEX(GMWQ!$A$2:$LR$60,MATCH(1,(GMWQ!$LQ$2:$LQ$60=V$3)*(GMWQ!$LP$2:$LP$60=V$4)*(GMWQ!$LR$2:$LR$60=V$1),0),$B171-1966)</f>
        <v>1.5763050000000001E-3</v>
      </c>
      <c r="W171" s="7" cm="1">
        <f t="array" ref="W171">INDEX(GMWQ!$A$2:$LR$60,MATCH(1,(GMWQ!$LQ$2:$LQ$60=W$3)*(GMWQ!$LP$2:$LP$60=W$4)*(GMWQ!$LR$2:$LR$60=W$1),0),$B171-1966)</f>
        <v>8.8180230000000002</v>
      </c>
      <c r="X171" s="7" cm="1">
        <f t="array" ref="X171">INDEX(GMWQ!$A$2:$LR$60,MATCH(1,(GMWQ!$LQ$2:$LQ$60=X$3)*(GMWQ!$LP$2:$LP$60=X$4)*(GMWQ!$LR$2:$LR$60=X$1),0),$B171-1966)</f>
        <v>3250510</v>
      </c>
      <c r="Y171" s="7" cm="1">
        <f t="array" ref="Y171">INDEX(GMWQ!$A$2:$LR$60,MATCH(1,(GMWQ!$LQ$2:$LQ$60=Y$3)*(GMWQ!$LP$2:$LP$60=Y$4)*(GMWQ!$LR$2:$LR$60=Y$1),0),$B171-1966)</f>
        <v>91.497380000000007</v>
      </c>
      <c r="Z171" s="7" cm="1">
        <f t="array" ref="Z171">INDEX(GMWQ!$A$2:$LR$60,MATCH(1,(GMWQ!$LQ$2:$LQ$60=Z$3)*(GMWQ!$LP$2:$LP$60=Z$4)*(GMWQ!$LR$2:$LR$60=Z$1),0),$B171-1966)</f>
        <v>514571.8</v>
      </c>
      <c r="AA171" s="7" cm="1">
        <f t="array" ref="AA171">INDEX(GMWQ!$A$2:$LR$60,MATCH(1,(GMWQ!$LQ$2:$LQ$60=AA$3)*(GMWQ!$LP$2:$LP$60=AA$4)*(GMWQ!$LR$2:$LR$60=AA$1),0),$B171-1966)</f>
        <v>181635</v>
      </c>
      <c r="AB171" s="7" cm="1">
        <f t="array" ref="AB171">INDEX(GMWQ!$A$2:$LR$60,MATCH(1,(GMWQ!$LQ$2:$LQ$60=AB$3)*(GMWQ!$LP$2:$LP$60=AB$4)*(GMWQ!$LR$2:$LR$60=AB$1),0),$B171-1966)</f>
        <v>173688</v>
      </c>
      <c r="AC171" s="7" cm="1">
        <f t="array" ref="AC171">INDEX(GMWQ!$A$2:$LR$60,MATCH(1,(GMWQ!$LQ$2:$LQ$60=AC$3)*(GMWQ!$LP$2:$LP$60=AC$4)*(GMWQ!$LR$2:$LR$60=AC$1),0),$B171-1966)</f>
        <v>12295</v>
      </c>
      <c r="AD171" s="7" cm="1">
        <f t="array" ref="AD171">INDEX(GMWQ!$A$2:$LR$60,MATCH(1,(GMWQ!$LQ$2:$LQ$60=AD$3)*(GMWQ!$LP$2:$LP$60=AD$4)*(GMWQ!$LR$2:$LR$60=AD$1),0),$B171-1966)</f>
        <v>11681</v>
      </c>
      <c r="AE171" s="7" cm="1">
        <f t="array" ref="AE171">INDEX(GMWQ!$A$2:$LR$60,MATCH(1,(GMWQ!$LQ$2:$LQ$60=AE$3)*(GMWQ!$LP$2:$LP$60=AE$4)*(GMWQ!$LR$2:$LR$60=AE$1),0),$B171-1966)</f>
        <v>457992</v>
      </c>
      <c r="AF171" s="20" cm="1">
        <f t="array" ref="AF171">INDEX(GMWQ!$A$2:$LR$60,MATCH(1,(GMWQ!$LQ$2:$LQ$60=AF$3)*(GMWQ!$LP$2:$LP$60=AF$4)*(GMWQ!$LR$2:$LR$60=AF$1),0),$B171-1966)</f>
        <v>0.5</v>
      </c>
      <c r="AG171" s="20" cm="1">
        <f t="array" ref="AG171">INDEX(GMWQ!$A$2:$LR$60,MATCH(1,(GMWQ!$LQ$2:$LQ$60=AG$3)*(GMWQ!$LP$2:$LP$60=AG$4)*(GMWQ!$LR$2:$LR$60=AG$1),0),$B171-1966)</f>
        <v>-992</v>
      </c>
      <c r="AI171" s="23" cm="1">
        <f t="array" ref="AI171">INDEX(GMWQ!$A$2:$LR$60,MATCH(1,(GMWQ!$LQ$2:$LQ$60=AI$3)*(GMWQ!$LP$2:$LP$60=AI$4)*(GMWQ!$LR$2:$LR$60=AI$1),0),$B171-1966)</f>
        <v>301521</v>
      </c>
      <c r="AJ171" s="23" cm="1">
        <f t="array" ref="AJ171">INDEX(GMWQ!$A$2:$LR$60,MATCH(1,(GMWQ!$LQ$2:$LQ$60=AJ$3)*(GMWQ!$LP$2:$LP$60=AJ$4)*(GMWQ!$LR$2:$LR$60=AJ$1),0),$B171-1966)</f>
        <v>93.561639999999997</v>
      </c>
      <c r="AK171" s="23" cm="1">
        <f t="array" ref="AK171">INDEX(GMWQ!$A$2:$LR$60,MATCH(1,(GMWQ!$LQ$2:$LQ$60=AK$3)*(GMWQ!$LP$2:$LP$60=AK$4)*(GMWQ!$LR$2:$LR$60=AK$1),0),$B171-1966)</f>
        <v>185644</v>
      </c>
      <c r="AL171" s="23" cm="1">
        <f t="array" ref="AL171">INDEX(GMWQ!$A$2:$LR$60,MATCH(1,(GMWQ!$LQ$2:$LQ$60=AL$3)*(GMWQ!$LP$2:$LP$60=AL$4)*(GMWQ!$LR$2:$LR$60=AL$1),0),$B171-1966)</f>
        <v>7221.8159999999998</v>
      </c>
      <c r="AM171" s="23" cm="1">
        <f t="array" ref="AM171">INDEX(GMWQ!$A$2:$LR$60,MATCH(1,(GMWQ!$LQ$2:$LQ$60=AM$3)*(GMWQ!$LP$2:$LP$60=AM$4)*(GMWQ!$LR$2:$LR$60=AM$1),0),$B171-1966)</f>
        <v>25706</v>
      </c>
      <c r="AN171" s="23" cm="1">
        <f t="array" ref="AN171">INDEX(GMWQ!$A$2:$LR$60,MATCH(1,(GMWQ!$LQ$2:$LQ$60=AN$3)*(GMWQ!$LP$2:$LP$60=AN$4)*(GMWQ!$LR$2:$LR$60=AN$1),0),$B171-1966)</f>
        <v>38762</v>
      </c>
      <c r="AO171" s="23" cm="1">
        <f t="array" ref="AO171">INDEX(GMWQ!$A$2:$LR$60,MATCH(1,(GMWQ!$LQ$2:$LQ$60=AO$3)*(GMWQ!$LP$2:$LP$60=AO$4)*(GMWQ!$LR$2:$LR$60=AO$1),0),$B171-1966)</f>
        <v>13133</v>
      </c>
      <c r="AP171" s="23" cm="1">
        <f t="array" ref="AP171">INDEX(GMWQ!$A$2:$LR$60,MATCH(1,(GMWQ!$LQ$2:$LQ$60=AP$3)*(GMWQ!$LP$2:$LP$60=AP$4)*(GMWQ!$LR$2:$LR$60=AP$1),0),$B171-1966)</f>
        <v>-992</v>
      </c>
      <c r="AQ171" s="23" cm="1">
        <f t="array" ref="AQ171">INDEX(GMWQ!$A$2:$LR$60,MATCH(1,(GMWQ!$LQ$2:$LQ$60=AQ$3)*(GMWQ!$LP$2:$LP$60=AQ$4)*(GMWQ!$LR$2:$LR$60=AQ$1),0),$B171-1966)</f>
        <v>54597</v>
      </c>
      <c r="AR171" s="23" cm="1">
        <f t="array" ref="AR171">INDEX(GMWQ!$A$2:$LR$60,MATCH(1,(GMWQ!$LQ$2:$LQ$60=AR$3)*(GMWQ!$LP$2:$LP$60=AR$4)*(GMWQ!$LR$2:$LR$60=AR$1),0),$B171-1966)</f>
        <v>284520</v>
      </c>
      <c r="AS171" s="23" cm="1">
        <f t="array" ref="AS171">INDEX(GMWQ!$A$2:$LR$60,MATCH(1,(GMWQ!$LQ$2:$LQ$60=AS$3)*(GMWQ!$LP$2:$LP$60=AS$4)*(GMWQ!$LR$2:$LR$60=AS$1),0),$B171-1966)</f>
        <v>9964</v>
      </c>
      <c r="AT171" s="23" cm="1">
        <f t="array" ref="AT171">INDEX(GMWQ!$A$2:$LR$60,MATCH(1,(GMWQ!$LQ$2:$LQ$60=AT$3)*(GMWQ!$LP$2:$LP$60=AT$4)*(GMWQ!$LR$2:$LR$60=AT$1),0),$B171-1966)</f>
        <v>304099</v>
      </c>
      <c r="AU171" s="23" cm="1">
        <f t="array" ref="AU171">INDEX(GMWQ!$A$2:$LR$60,MATCH(1,(GMWQ!$LQ$2:$LQ$60=AU$3)*(GMWQ!$LP$2:$LP$60=AU$4)*(GMWQ!$LR$2:$LR$60=AU$1),0),$B171-1966)</f>
        <v>10780</v>
      </c>
    </row>
    <row r="172" spans="1:47" x14ac:dyDescent="0.35">
      <c r="B172" s="7">
        <f t="shared" si="3"/>
        <v>2138</v>
      </c>
      <c r="C172" s="7" cm="1">
        <f t="array" ref="C172">INDEX(GMWQ!$A$2:$LR$60,MATCH(1,(GMWQ!$LQ$2:$LQ$60=C$3)*(GMWQ!$LP$2:$LP$60=C$4)*(GMWQ!$LR$2:$LR$60=C$1),0),$B172-1966)</f>
        <v>504939</v>
      </c>
      <c r="D172" s="7" cm="1">
        <f t="array" ref="D172">INDEX(GMWQ!$A$2:$LR$60,MATCH(1,(GMWQ!$LQ$2:$LQ$60=D$3)*(GMWQ!$LP$2:$LP$60=D$4)*(GMWQ!$LR$2:$LR$60=D$1),0),$B172-1966)</f>
        <v>469.33330000000001</v>
      </c>
      <c r="E172" s="7" cm="1">
        <f t="array" ref="E172">INDEX(GMWQ!$A$2:$LR$60,MATCH(1,(GMWQ!$LQ$2:$LQ$60=E$3)*(GMWQ!$LP$2:$LP$60=E$4)*(GMWQ!$LR$2:$LR$60=E$1),0),$B172-1966)</f>
        <v>100.1</v>
      </c>
      <c r="F172" s="7" cm="1">
        <f t="array" ref="F172">INDEX(GMWQ!$A$2:$LR$60,MATCH(1,(GMWQ!$LQ$2:$LQ$60=F$3)*(GMWQ!$LP$2:$LP$60=F$4)*(GMWQ!$LR$2:$LR$60=F$1),0),$B172-1966)</f>
        <v>185557</v>
      </c>
      <c r="G172" s="7" cm="1">
        <f t="array" ref="G172">INDEX(GMWQ!$A$2:$LR$60,MATCH(1,(GMWQ!$LQ$2:$LQ$60=G$3)*(GMWQ!$LP$2:$LP$60=G$4)*(GMWQ!$LR$2:$LR$60=G$1),0),$B172-1966)</f>
        <v>40378</v>
      </c>
      <c r="H172" s="7" cm="1">
        <f t="array" ref="H172">INDEX(GMWQ!$A$2:$LR$60,MATCH(1,(GMWQ!$LQ$2:$LQ$60=H$3)*(GMWQ!$LP$2:$LP$60=H$4)*(GMWQ!$LR$2:$LR$60=H$1),0),$B172-1966)</f>
        <v>13215</v>
      </c>
      <c r="I172" s="7" cm="1">
        <f t="array" ref="I172">INDEX(GMWQ!$A$2:$LR$60,MATCH(1,(GMWQ!$LQ$2:$LQ$60=I$3)*(GMWQ!$LP$2:$LP$60=I$4)*(GMWQ!$LR$2:$LR$60=I$1),0),$B172-1966)</f>
        <v>94.314890000000005</v>
      </c>
      <c r="J172" s="7" cm="1">
        <f t="array" ref="J172">INDEX(GMWQ!$A$2:$LR$60,MATCH(1,(GMWQ!$LQ$2:$LQ$60=J$3)*(GMWQ!$LP$2:$LP$60=J$4)*(GMWQ!$LR$2:$LR$60=J$1),0),$B172-1966)</f>
        <v>25858</v>
      </c>
      <c r="K172" s="7" cm="1">
        <f t="array" ref="K172">INDEX(GMWQ!$A$2:$LR$60,MATCH(1,(GMWQ!$LQ$2:$LQ$60=K$3)*(GMWQ!$LP$2:$LP$60=K$4)*(GMWQ!$LR$2:$LR$60=K$1),0),$B172-1966)</f>
        <v>0.5</v>
      </c>
      <c r="L172" s="7" cm="1">
        <f t="array" ref="L172">INDEX(GMWQ!$A$2:$LR$60,MATCH(1,(GMWQ!$LQ$2:$LQ$60=L$3)*(GMWQ!$LP$2:$LP$60=L$4)*(GMWQ!$LR$2:$LR$60=L$1),0),$B172-1966)</f>
        <v>6.3</v>
      </c>
      <c r="M172" s="7" cm="1">
        <f t="array" ref="M172">INDEX(GMWQ!$A$2:$LR$60,MATCH(1,(GMWQ!$LQ$2:$LQ$60=M$3)*(GMWQ!$LP$2:$LP$60=M$4)*(GMWQ!$LR$2:$LR$60=M$1),0),$B172-1966)</f>
        <v>96.391670000000005</v>
      </c>
      <c r="N172" s="7" cm="1">
        <f t="array" ref="N172">INDEX(GMWQ!$A$2:$LR$60,MATCH(1,(GMWQ!$LQ$2:$LQ$60=N$3)*(GMWQ!$LP$2:$LP$60=N$4)*(GMWQ!$LR$2:$LR$60=N$1),0),$B172-1966)</f>
        <v>7290</v>
      </c>
      <c r="O172" s="7" cm="1">
        <f t="array" ref="O172">INDEX(GMWQ!$A$2:$LR$60,MATCH(1,(GMWQ!$LQ$2:$LQ$60=O$3)*(GMWQ!$LP$2:$LP$60=O$4)*(GMWQ!$LR$2:$LR$60=O$1),0),$B172-1966)</f>
        <v>6251</v>
      </c>
      <c r="P172" s="7" cm="1">
        <f t="array" ref="P172">INDEX(GMWQ!$A$2:$LR$60,MATCH(1,(GMWQ!$LQ$2:$LQ$60=P$3)*(GMWQ!$LP$2:$LP$60=P$4)*(GMWQ!$LR$2:$LR$60=P$1),0),$B172-1966)</f>
        <v>304324</v>
      </c>
      <c r="Q172" s="7" cm="1">
        <f t="array" ref="Q172">INDEX(GMWQ!$A$2:$LR$60,MATCH(1,(GMWQ!$LQ$2:$LQ$60=Q$3)*(GMWQ!$LP$2:$LP$60=Q$4)*(GMWQ!$LR$2:$LR$60=Q$1),0),$B172-1966)</f>
        <v>3.233333</v>
      </c>
      <c r="R172" s="7" cm="1">
        <f t="array" ref="R172">INDEX(GMWQ!$A$2:$LR$60,MATCH(1,(GMWQ!$LQ$2:$LQ$60=R$3)*(GMWQ!$LP$2:$LP$60=R$4)*(GMWQ!$LR$2:$LR$60=R$1),0),$B172-1966)</f>
        <v>194776</v>
      </c>
      <c r="S172" s="7" cm="1">
        <f t="array" ref="S172">INDEX(GMWQ!$A$2:$LR$60,MATCH(1,(GMWQ!$LQ$2:$LQ$60=S$3)*(GMWQ!$LP$2:$LP$60=S$4)*(GMWQ!$LR$2:$LR$60=S$1),0),$B172-1966)</f>
        <v>311.61</v>
      </c>
      <c r="T172" s="7" cm="1">
        <f t="array" ref="T172">INDEX(GMWQ!$A$2:$LR$60,MATCH(1,(GMWQ!$LQ$2:$LQ$60=T$3)*(GMWQ!$LP$2:$LP$60=T$4)*(GMWQ!$LR$2:$LR$60=T$1),0),$B172-1966)</f>
        <v>52754</v>
      </c>
      <c r="U172" s="7" cm="1">
        <f t="array" ref="U172">INDEX(GMWQ!$A$2:$LR$60,MATCH(1,(GMWQ!$LQ$2:$LQ$60=U$3)*(GMWQ!$LP$2:$LP$60=U$4)*(GMWQ!$LR$2:$LR$60=U$1),0),$B172-1966)</f>
        <v>6740</v>
      </c>
      <c r="V172" s="7" cm="1">
        <f t="array" ref="V172">INDEX(GMWQ!$A$2:$LR$60,MATCH(1,(GMWQ!$LQ$2:$LQ$60=V$3)*(GMWQ!$LP$2:$LP$60=V$4)*(GMWQ!$LR$2:$LR$60=V$1),0),$B172-1966)</f>
        <v>1.441456E-3</v>
      </c>
      <c r="W172" s="7" cm="1">
        <f t="array" ref="W172">INDEX(GMWQ!$A$2:$LR$60,MATCH(1,(GMWQ!$LQ$2:$LQ$60=W$3)*(GMWQ!$LP$2:$LP$60=W$4)*(GMWQ!$LR$2:$LR$60=W$1),0),$B172-1966)</f>
        <v>8.6613500000000005</v>
      </c>
      <c r="X172" s="7" cm="1">
        <f t="array" ref="X172">INDEX(GMWQ!$A$2:$LR$60,MATCH(1,(GMWQ!$LQ$2:$LQ$60=X$3)*(GMWQ!$LP$2:$LP$60=X$4)*(GMWQ!$LR$2:$LR$60=X$1),0),$B172-1966)</f>
        <v>3307118</v>
      </c>
      <c r="Y172" s="7" cm="1">
        <f t="array" ref="Y172">INDEX(GMWQ!$A$2:$LR$60,MATCH(1,(GMWQ!$LQ$2:$LQ$60=Y$3)*(GMWQ!$LP$2:$LP$60=Y$4)*(GMWQ!$LR$2:$LR$60=Y$1),0),$B172-1966)</f>
        <v>91.420150000000007</v>
      </c>
      <c r="Z172" s="7" cm="1">
        <f t="array" ref="Z172">INDEX(GMWQ!$A$2:$LR$60,MATCH(1,(GMWQ!$LQ$2:$LQ$60=Z$3)*(GMWQ!$LP$2:$LP$60=Z$4)*(GMWQ!$LR$2:$LR$60=Z$1),0),$B172-1966)</f>
        <v>516954.8</v>
      </c>
      <c r="AA172" s="7" cm="1">
        <f t="array" ref="AA172">INDEX(GMWQ!$A$2:$LR$60,MATCH(1,(GMWQ!$LQ$2:$LQ$60=AA$3)*(GMWQ!$LP$2:$LP$60=AA$4)*(GMWQ!$LR$2:$LR$60=AA$1),0),$B172-1966)</f>
        <v>161753</v>
      </c>
      <c r="AB172" s="7" cm="1">
        <f t="array" ref="AB172">INDEX(GMWQ!$A$2:$LR$60,MATCH(1,(GMWQ!$LQ$2:$LQ$60=AB$3)*(GMWQ!$LP$2:$LP$60=AB$4)*(GMWQ!$LR$2:$LR$60=AB$1),0),$B172-1966)</f>
        <v>175400</v>
      </c>
      <c r="AC172" s="7" cm="1">
        <f t="array" ref="AC172">INDEX(GMWQ!$A$2:$LR$60,MATCH(1,(GMWQ!$LQ$2:$LQ$60=AC$3)*(GMWQ!$LP$2:$LP$60=AC$4)*(GMWQ!$LR$2:$LR$60=AC$1),0),$B172-1966)</f>
        <v>5422</v>
      </c>
      <c r="AD172" s="7" cm="1">
        <f t="array" ref="AD172">INDEX(GMWQ!$A$2:$LR$60,MATCH(1,(GMWQ!$LQ$2:$LQ$60=AD$3)*(GMWQ!$LP$2:$LP$60=AD$4)*(GMWQ!$LR$2:$LR$60=AD$1),0),$B172-1966)</f>
        <v>11722</v>
      </c>
      <c r="AE172" s="7" cm="1">
        <f t="array" ref="AE172">INDEX(GMWQ!$A$2:$LR$60,MATCH(1,(GMWQ!$LQ$2:$LQ$60=AE$3)*(GMWQ!$LP$2:$LP$60=AE$4)*(GMWQ!$LR$2:$LR$60=AE$1),0),$B172-1966)</f>
        <v>461616</v>
      </c>
      <c r="AF172" s="20" cm="1">
        <f t="array" ref="AF172">INDEX(GMWQ!$A$2:$LR$60,MATCH(1,(GMWQ!$LQ$2:$LQ$60=AF$3)*(GMWQ!$LP$2:$LP$60=AF$4)*(GMWQ!$LR$2:$LR$60=AF$1),0),$B172-1966)</f>
        <v>0.5</v>
      </c>
      <c r="AG172" s="20" cm="1">
        <f t="array" ref="AG172">INDEX(GMWQ!$A$2:$LR$60,MATCH(1,(GMWQ!$LQ$2:$LQ$60=AG$3)*(GMWQ!$LP$2:$LP$60=AG$4)*(GMWQ!$LR$2:$LR$60=AG$1),0),$B172-1966)</f>
        <v>-1039</v>
      </c>
      <c r="AI172" s="23" cm="1">
        <f t="array" ref="AI172">INDEX(GMWQ!$A$2:$LR$60,MATCH(1,(GMWQ!$LQ$2:$LQ$60=AI$3)*(GMWQ!$LP$2:$LP$60=AI$4)*(GMWQ!$LR$2:$LR$60=AI$1),0),$B172-1966)</f>
        <v>304324</v>
      </c>
      <c r="AJ172" s="23" cm="1">
        <f t="array" ref="AJ172">INDEX(GMWQ!$A$2:$LR$60,MATCH(1,(GMWQ!$LQ$2:$LQ$60=AJ$3)*(GMWQ!$LP$2:$LP$60=AJ$4)*(GMWQ!$LR$2:$LR$60=AJ$1),0),$B172-1966)</f>
        <v>94.314890000000005</v>
      </c>
      <c r="AK172" s="23" cm="1">
        <f t="array" ref="AK172">INDEX(GMWQ!$A$2:$LR$60,MATCH(1,(GMWQ!$LQ$2:$LQ$60=AK$3)*(GMWQ!$LP$2:$LP$60=AK$4)*(GMWQ!$LR$2:$LR$60=AK$1),0),$B172-1966)</f>
        <v>185557</v>
      </c>
      <c r="AL172" s="23" cm="1">
        <f t="array" ref="AL172">INDEX(GMWQ!$A$2:$LR$60,MATCH(1,(GMWQ!$LQ$2:$LQ$60=AL$3)*(GMWQ!$LP$2:$LP$60=AL$4)*(GMWQ!$LR$2:$LR$60=AL$1),0),$B172-1966)</f>
        <v>7176</v>
      </c>
      <c r="AM172" s="23" cm="1">
        <f t="array" ref="AM172">INDEX(GMWQ!$A$2:$LR$60,MATCH(1,(GMWQ!$LQ$2:$LQ$60=AM$3)*(GMWQ!$LP$2:$LP$60=AM$4)*(GMWQ!$LR$2:$LR$60=AM$1),0),$B172-1966)</f>
        <v>25858</v>
      </c>
      <c r="AN172" s="23" cm="1">
        <f t="array" ref="AN172">INDEX(GMWQ!$A$2:$LR$60,MATCH(1,(GMWQ!$LQ$2:$LQ$60=AN$3)*(GMWQ!$LP$2:$LP$60=AN$4)*(GMWQ!$LR$2:$LR$60=AN$1),0),$B172-1966)</f>
        <v>40378</v>
      </c>
      <c r="AO172" s="23" cm="1">
        <f t="array" ref="AO172">INDEX(GMWQ!$A$2:$LR$60,MATCH(1,(GMWQ!$LQ$2:$LQ$60=AO$3)*(GMWQ!$LP$2:$LP$60=AO$4)*(GMWQ!$LR$2:$LR$60=AO$1),0),$B172-1966)</f>
        <v>13215</v>
      </c>
      <c r="AP172" s="23" cm="1">
        <f t="array" ref="AP172">INDEX(GMWQ!$A$2:$LR$60,MATCH(1,(GMWQ!$LQ$2:$LQ$60=AP$3)*(GMWQ!$LP$2:$LP$60=AP$4)*(GMWQ!$LR$2:$LR$60=AP$1),0),$B172-1966)</f>
        <v>-1039</v>
      </c>
      <c r="AQ172" s="23" cm="1">
        <f t="array" ref="AQ172">INDEX(GMWQ!$A$2:$LR$60,MATCH(1,(GMWQ!$LQ$2:$LQ$60=AQ$3)*(GMWQ!$LP$2:$LP$60=AQ$4)*(GMWQ!$LR$2:$LR$60=AQ$1),0),$B172-1966)</f>
        <v>55920</v>
      </c>
      <c r="AR172" s="23" cm="1">
        <f t="array" ref="AR172">INDEX(GMWQ!$A$2:$LR$60,MATCH(1,(GMWQ!$LQ$2:$LQ$60=AR$3)*(GMWQ!$LP$2:$LP$60=AR$4)*(GMWQ!$LR$2:$LR$60=AR$1),0),$B172-1966)</f>
        <v>288530</v>
      </c>
      <c r="AS172" s="23" cm="1">
        <f t="array" ref="AS172">INDEX(GMWQ!$A$2:$LR$60,MATCH(1,(GMWQ!$LQ$2:$LQ$60=AS$3)*(GMWQ!$LP$2:$LP$60=AS$4)*(GMWQ!$LR$2:$LR$60=AS$1),0),$B172-1966)</f>
        <v>9914</v>
      </c>
      <c r="AT172" s="23" cm="1">
        <f t="array" ref="AT172">INDEX(GMWQ!$A$2:$LR$60,MATCH(1,(GMWQ!$LQ$2:$LQ$60=AT$3)*(GMWQ!$LP$2:$LP$60=AT$4)*(GMWQ!$LR$2:$LR$60=AT$1),0),$B172-1966)</f>
        <v>305922</v>
      </c>
      <c r="AU172" s="23" cm="1">
        <f t="array" ref="AU172">INDEX(GMWQ!$A$2:$LR$60,MATCH(1,(GMWQ!$LQ$2:$LQ$60=AU$3)*(GMWQ!$LP$2:$LP$60=AU$4)*(GMWQ!$LR$2:$LR$60=AU$1),0),$B172-1966)</f>
        <v>10520</v>
      </c>
    </row>
    <row r="173" spans="1:47" x14ac:dyDescent="0.35">
      <c r="B173" s="7">
        <f t="shared" si="3"/>
        <v>2139</v>
      </c>
      <c r="C173" s="7" cm="1">
        <f t="array" ref="C173">INDEX(GMWQ!$A$2:$LR$60,MATCH(1,(GMWQ!$LQ$2:$LQ$60=C$3)*(GMWQ!$LP$2:$LP$60=C$4)*(GMWQ!$LR$2:$LR$60=C$1),0),$B173-1966)</f>
        <v>508741</v>
      </c>
      <c r="D173" s="7" cm="1">
        <f t="array" ref="D173">INDEX(GMWQ!$A$2:$LR$60,MATCH(1,(GMWQ!$LQ$2:$LQ$60=D$3)*(GMWQ!$LP$2:$LP$60=D$4)*(GMWQ!$LR$2:$LR$60=D$1),0),$B173-1966)</f>
        <v>470</v>
      </c>
      <c r="E173" s="7" cm="1">
        <f t="array" ref="E173">INDEX(GMWQ!$A$2:$LR$60,MATCH(1,(GMWQ!$LQ$2:$LQ$60=E$3)*(GMWQ!$LP$2:$LP$60=E$4)*(GMWQ!$LR$2:$LR$60=E$1),0),$B173-1966)</f>
        <v>100.13330000000001</v>
      </c>
      <c r="F173" s="7" cm="1">
        <f t="array" ref="F173">INDEX(GMWQ!$A$2:$LR$60,MATCH(1,(GMWQ!$LQ$2:$LQ$60=F$3)*(GMWQ!$LP$2:$LP$60=F$4)*(GMWQ!$LR$2:$LR$60=F$1),0),$B173-1966)</f>
        <v>185399</v>
      </c>
      <c r="G173" s="7" cm="1">
        <f t="array" ref="G173">INDEX(GMWQ!$A$2:$LR$60,MATCH(1,(GMWQ!$LQ$2:$LQ$60=G$3)*(GMWQ!$LP$2:$LP$60=G$4)*(GMWQ!$LR$2:$LR$60=G$1),0),$B173-1966)</f>
        <v>41358</v>
      </c>
      <c r="H173" s="7" cm="1">
        <f t="array" ref="H173">INDEX(GMWQ!$A$2:$LR$60,MATCH(1,(GMWQ!$LQ$2:$LQ$60=H$3)*(GMWQ!$LP$2:$LP$60=H$4)*(GMWQ!$LR$2:$LR$60=H$1),0),$B173-1966)</f>
        <v>13411</v>
      </c>
      <c r="I173" s="7" cm="1">
        <f t="array" ref="I173">INDEX(GMWQ!$A$2:$LR$60,MATCH(1,(GMWQ!$LQ$2:$LQ$60=I$3)*(GMWQ!$LP$2:$LP$60=I$4)*(GMWQ!$LR$2:$LR$60=I$1),0),$B173-1966)</f>
        <v>94.050190000000001</v>
      </c>
      <c r="J173" s="7" cm="1">
        <f t="array" ref="J173">INDEX(GMWQ!$A$2:$LR$60,MATCH(1,(GMWQ!$LQ$2:$LQ$60=J$3)*(GMWQ!$LP$2:$LP$60=J$4)*(GMWQ!$LR$2:$LR$60=J$1),0),$B173-1966)</f>
        <v>26058</v>
      </c>
      <c r="K173" s="7" cm="1">
        <f t="array" ref="K173">INDEX(GMWQ!$A$2:$LR$60,MATCH(1,(GMWQ!$LQ$2:$LQ$60=K$3)*(GMWQ!$LP$2:$LP$60=K$4)*(GMWQ!$LR$2:$LR$60=K$1),0),$B173-1966)</f>
        <v>0.5</v>
      </c>
      <c r="L173" s="7" cm="1">
        <f t="array" ref="L173">INDEX(GMWQ!$A$2:$LR$60,MATCH(1,(GMWQ!$LQ$2:$LQ$60=L$3)*(GMWQ!$LP$2:$LP$60=L$4)*(GMWQ!$LR$2:$LR$60=L$1),0),$B173-1966)</f>
        <v>6</v>
      </c>
      <c r="M173" s="7" cm="1">
        <f t="array" ref="M173">INDEX(GMWQ!$A$2:$LR$60,MATCH(1,(GMWQ!$LQ$2:$LQ$60=M$3)*(GMWQ!$LP$2:$LP$60=M$4)*(GMWQ!$LR$2:$LR$60=M$1),0),$B173-1966)</f>
        <v>98.209000000000003</v>
      </c>
      <c r="N173" s="7" cm="1">
        <f t="array" ref="N173">INDEX(GMWQ!$A$2:$LR$60,MATCH(1,(GMWQ!$LQ$2:$LQ$60=N$3)*(GMWQ!$LP$2:$LP$60=N$4)*(GMWQ!$LR$2:$LR$60=N$1),0),$B173-1966)</f>
        <v>7392</v>
      </c>
      <c r="O173" s="7" cm="1">
        <f t="array" ref="O173">INDEX(GMWQ!$A$2:$LR$60,MATCH(1,(GMWQ!$LQ$2:$LQ$60=O$3)*(GMWQ!$LP$2:$LP$60=O$4)*(GMWQ!$LR$2:$LR$60=O$1),0),$B173-1966)</f>
        <v>6521</v>
      </c>
      <c r="P173" s="7" cm="1">
        <f t="array" ref="P173">INDEX(GMWQ!$A$2:$LR$60,MATCH(1,(GMWQ!$LQ$2:$LQ$60=P$3)*(GMWQ!$LP$2:$LP$60=P$4)*(GMWQ!$LR$2:$LR$60=P$1),0),$B173-1966)</f>
        <v>303832</v>
      </c>
      <c r="Q173" s="7" cm="1">
        <f t="array" ref="Q173">INDEX(GMWQ!$A$2:$LR$60,MATCH(1,(GMWQ!$LQ$2:$LQ$60=Q$3)*(GMWQ!$LP$2:$LP$60=Q$4)*(GMWQ!$LR$2:$LR$60=Q$1),0),$B173-1966)</f>
        <v>3.213333</v>
      </c>
      <c r="R173" s="7" cm="1">
        <f t="array" ref="R173">INDEX(GMWQ!$A$2:$LR$60,MATCH(1,(GMWQ!$LQ$2:$LQ$60=R$3)*(GMWQ!$LP$2:$LP$60=R$4)*(GMWQ!$LR$2:$LR$60=R$1),0),$B173-1966)</f>
        <v>194505</v>
      </c>
      <c r="S173" s="7" cm="1">
        <f t="array" ref="S173">INDEX(GMWQ!$A$2:$LR$60,MATCH(1,(GMWQ!$LQ$2:$LQ$60=S$3)*(GMWQ!$LP$2:$LP$60=S$4)*(GMWQ!$LR$2:$LR$60=S$1),0),$B173-1966)</f>
        <v>304.08999999999997</v>
      </c>
      <c r="T173" s="7" cm="1">
        <f t="array" ref="T173">INDEX(GMWQ!$A$2:$LR$60,MATCH(1,(GMWQ!$LQ$2:$LQ$60=T$3)*(GMWQ!$LP$2:$LP$60=T$4)*(GMWQ!$LR$2:$LR$60=T$1),0),$B173-1966)</f>
        <v>50773</v>
      </c>
      <c r="U173" s="7" cm="1">
        <f t="array" ref="U173">INDEX(GMWQ!$A$2:$LR$60,MATCH(1,(GMWQ!$LQ$2:$LQ$60=U$3)*(GMWQ!$LP$2:$LP$60=U$4)*(GMWQ!$LR$2:$LR$60=U$1),0),$B173-1966)</f>
        <v>5368</v>
      </c>
      <c r="V173" s="7" cm="1">
        <f t="array" ref="V173">INDEX(GMWQ!$A$2:$LR$60,MATCH(1,(GMWQ!$LQ$2:$LQ$60=V$3)*(GMWQ!$LP$2:$LP$60=V$4)*(GMWQ!$LR$2:$LR$60=V$1),0),$B173-1966)</f>
        <v>1.3632220000000001E-3</v>
      </c>
      <c r="W173" s="7" cm="1">
        <f t="array" ref="W173">INDEX(GMWQ!$A$2:$LR$60,MATCH(1,(GMWQ!$LQ$2:$LQ$60=W$3)*(GMWQ!$LP$2:$LP$60=W$4)*(GMWQ!$LR$2:$LR$60=W$1),0),$B173-1966)</f>
        <v>8.1039180000000002</v>
      </c>
      <c r="X173" s="7" cm="1">
        <f t="array" ref="X173">INDEX(GMWQ!$A$2:$LR$60,MATCH(1,(GMWQ!$LQ$2:$LQ$60=X$3)*(GMWQ!$LP$2:$LP$60=X$4)*(GMWQ!$LR$2:$LR$60=X$1),0),$B173-1966)</f>
        <v>3348517</v>
      </c>
      <c r="Y173" s="7" cm="1">
        <f t="array" ref="Y173">INDEX(GMWQ!$A$2:$LR$60,MATCH(1,(GMWQ!$LQ$2:$LQ$60=Y$3)*(GMWQ!$LP$2:$LP$60=Y$4)*(GMWQ!$LR$2:$LR$60=Y$1),0),$B173-1966)</f>
        <v>92.474170000000001</v>
      </c>
      <c r="Z173" s="7" cm="1">
        <f t="array" ref="Z173">INDEX(GMWQ!$A$2:$LR$60,MATCH(1,(GMWQ!$LQ$2:$LQ$60=Z$3)*(GMWQ!$LP$2:$LP$60=Z$4)*(GMWQ!$LR$2:$LR$60=Z$1),0),$B173-1966)</f>
        <v>518502.2</v>
      </c>
      <c r="AA173" s="7" cm="1">
        <f t="array" ref="AA173">INDEX(GMWQ!$A$2:$LR$60,MATCH(1,(GMWQ!$LQ$2:$LQ$60=AA$3)*(GMWQ!$LP$2:$LP$60=AA$4)*(GMWQ!$LR$2:$LR$60=AA$1),0),$B173-1966)</f>
        <v>170779</v>
      </c>
      <c r="AB173" s="7" cm="1">
        <f t="array" ref="AB173">INDEX(GMWQ!$A$2:$LR$60,MATCH(1,(GMWQ!$LQ$2:$LQ$60=AB$3)*(GMWQ!$LP$2:$LP$60=AB$4)*(GMWQ!$LR$2:$LR$60=AB$1),0),$B173-1966)</f>
        <v>176946</v>
      </c>
      <c r="AC173" s="7" cm="1">
        <f t="array" ref="AC173">INDEX(GMWQ!$A$2:$LR$60,MATCH(1,(GMWQ!$LQ$2:$LQ$60=AC$3)*(GMWQ!$LP$2:$LP$60=AC$4)*(GMWQ!$LR$2:$LR$60=AC$1),0),$B173-1966)</f>
        <v>7231</v>
      </c>
      <c r="AD173" s="7" cm="1">
        <f t="array" ref="AD173">INDEX(GMWQ!$A$2:$LR$60,MATCH(1,(GMWQ!$LQ$2:$LQ$60=AD$3)*(GMWQ!$LP$2:$LP$60=AD$4)*(GMWQ!$LR$2:$LR$60=AD$1),0),$B173-1966)</f>
        <v>11693</v>
      </c>
      <c r="AE173" s="7" cm="1">
        <f t="array" ref="AE173">INDEX(GMWQ!$A$2:$LR$60,MATCH(1,(GMWQ!$LQ$2:$LQ$60=AE$3)*(GMWQ!$LP$2:$LP$60=AE$4)*(GMWQ!$LR$2:$LR$60=AE$1),0),$B173-1966)</f>
        <v>470454</v>
      </c>
      <c r="AF173" s="20" cm="1">
        <f t="array" ref="AF173">INDEX(GMWQ!$A$2:$LR$60,MATCH(1,(GMWQ!$LQ$2:$LQ$60=AF$3)*(GMWQ!$LP$2:$LP$60=AF$4)*(GMWQ!$LR$2:$LR$60=AF$1),0),$B173-1966)</f>
        <v>0.5</v>
      </c>
      <c r="AG173" s="20" cm="1">
        <f t="array" ref="AG173">INDEX(GMWQ!$A$2:$LR$60,MATCH(1,(GMWQ!$LQ$2:$LQ$60=AG$3)*(GMWQ!$LP$2:$LP$60=AG$4)*(GMWQ!$LR$2:$LR$60=AG$1),0),$B173-1966)</f>
        <v>-870.99990000000003</v>
      </c>
      <c r="AI173" s="23" cm="1">
        <f t="array" ref="AI173">INDEX(GMWQ!$A$2:$LR$60,MATCH(1,(GMWQ!$LQ$2:$LQ$60=AI$3)*(GMWQ!$LP$2:$LP$60=AI$4)*(GMWQ!$LR$2:$LR$60=AI$1),0),$B173-1966)</f>
        <v>303832</v>
      </c>
      <c r="AJ173" s="23" cm="1">
        <f t="array" ref="AJ173">INDEX(GMWQ!$A$2:$LR$60,MATCH(1,(GMWQ!$LQ$2:$LQ$60=AJ$3)*(GMWQ!$LP$2:$LP$60=AJ$4)*(GMWQ!$LR$2:$LR$60=AJ$1),0),$B173-1966)</f>
        <v>94.050190000000001</v>
      </c>
      <c r="AK173" s="23" cm="1">
        <f t="array" ref="AK173">INDEX(GMWQ!$A$2:$LR$60,MATCH(1,(GMWQ!$LQ$2:$LQ$60=AK$3)*(GMWQ!$LP$2:$LP$60=AK$4)*(GMWQ!$LR$2:$LR$60=AK$1),0),$B173-1966)</f>
        <v>185399</v>
      </c>
      <c r="AL173" s="23" cm="1">
        <f t="array" ref="AL173">INDEX(GMWQ!$A$2:$LR$60,MATCH(1,(GMWQ!$LQ$2:$LQ$60=AL$3)*(GMWQ!$LP$2:$LP$60=AL$4)*(GMWQ!$LR$2:$LR$60=AL$1),0),$B173-1966)</f>
        <v>7114.8590000000004</v>
      </c>
      <c r="AM173" s="23" cm="1">
        <f t="array" ref="AM173">INDEX(GMWQ!$A$2:$LR$60,MATCH(1,(GMWQ!$LQ$2:$LQ$60=AM$3)*(GMWQ!$LP$2:$LP$60=AM$4)*(GMWQ!$LR$2:$LR$60=AM$1),0),$B173-1966)</f>
        <v>26058</v>
      </c>
      <c r="AN173" s="23" cm="1">
        <f t="array" ref="AN173">INDEX(GMWQ!$A$2:$LR$60,MATCH(1,(GMWQ!$LQ$2:$LQ$60=AN$3)*(GMWQ!$LP$2:$LP$60=AN$4)*(GMWQ!$LR$2:$LR$60=AN$1),0),$B173-1966)</f>
        <v>41358</v>
      </c>
      <c r="AO173" s="23" cm="1">
        <f t="array" ref="AO173">INDEX(GMWQ!$A$2:$LR$60,MATCH(1,(GMWQ!$LQ$2:$LQ$60=AO$3)*(GMWQ!$LP$2:$LP$60=AO$4)*(GMWQ!$LR$2:$LR$60=AO$1),0),$B173-1966)</f>
        <v>13411</v>
      </c>
      <c r="AP173" s="23" cm="1">
        <f t="array" ref="AP173">INDEX(GMWQ!$A$2:$LR$60,MATCH(1,(GMWQ!$LQ$2:$LQ$60=AP$3)*(GMWQ!$LP$2:$LP$60=AP$4)*(GMWQ!$LR$2:$LR$60=AP$1),0),$B173-1966)</f>
        <v>-870.99990000000003</v>
      </c>
      <c r="AQ173" s="23" cm="1">
        <f t="array" ref="AQ173">INDEX(GMWQ!$A$2:$LR$60,MATCH(1,(GMWQ!$LQ$2:$LQ$60=AQ$3)*(GMWQ!$LP$2:$LP$60=AQ$4)*(GMWQ!$LR$2:$LR$60=AQ$1),0),$B173-1966)</f>
        <v>56724</v>
      </c>
      <c r="AR173" s="23" cm="1">
        <f t="array" ref="AR173">INDEX(GMWQ!$A$2:$LR$60,MATCH(1,(GMWQ!$LQ$2:$LQ$60=AR$3)*(GMWQ!$LP$2:$LP$60=AR$4)*(GMWQ!$LR$2:$LR$60=AR$1),0),$B173-1966)</f>
        <v>292466</v>
      </c>
      <c r="AS173" s="23" cm="1">
        <f t="array" ref="AS173">INDEX(GMWQ!$A$2:$LR$60,MATCH(1,(GMWQ!$LQ$2:$LQ$60=AS$3)*(GMWQ!$LP$2:$LP$60=AS$4)*(GMWQ!$LR$2:$LR$60=AS$1),0),$B173-1966)</f>
        <v>9901</v>
      </c>
      <c r="AT173" s="23" cm="1">
        <f t="array" ref="AT173">INDEX(GMWQ!$A$2:$LR$60,MATCH(1,(GMWQ!$LQ$2:$LQ$60=AT$3)*(GMWQ!$LP$2:$LP$60=AT$4)*(GMWQ!$LR$2:$LR$60=AT$1),0),$B173-1966)</f>
        <v>310968</v>
      </c>
      <c r="AU173" s="23" cm="1">
        <f t="array" ref="AU173">INDEX(GMWQ!$A$2:$LR$60,MATCH(1,(GMWQ!$LQ$2:$LQ$60=AU$3)*(GMWQ!$LP$2:$LP$60=AU$4)*(GMWQ!$LR$2:$LR$60=AU$1),0),$B173-1966)</f>
        <v>10508</v>
      </c>
    </row>
    <row r="174" spans="1:47" x14ac:dyDescent="0.35">
      <c r="B174" s="7">
        <f t="shared" si="3"/>
        <v>2140</v>
      </c>
      <c r="C174" s="7" cm="1">
        <f t="array" ref="C174">INDEX(GMWQ!$A$2:$LR$60,MATCH(1,(GMWQ!$LQ$2:$LQ$60=C$3)*(GMWQ!$LP$2:$LP$60=C$4)*(GMWQ!$LR$2:$LR$60=C$1),0),$B174-1966)</f>
        <v>512334</v>
      </c>
      <c r="D174" s="7" cm="1">
        <f t="array" ref="D174">INDEX(GMWQ!$A$2:$LR$60,MATCH(1,(GMWQ!$LQ$2:$LQ$60=D$3)*(GMWQ!$LP$2:$LP$60=D$4)*(GMWQ!$LR$2:$LR$60=D$1),0),$B174-1966)</f>
        <v>476</v>
      </c>
      <c r="E174" s="7" cm="1">
        <f t="array" ref="E174">INDEX(GMWQ!$A$2:$LR$60,MATCH(1,(GMWQ!$LQ$2:$LQ$60=E$3)*(GMWQ!$LP$2:$LP$60=E$4)*(GMWQ!$LR$2:$LR$60=E$1),0),$B174-1966)</f>
        <v>100.2</v>
      </c>
      <c r="F174" s="7" cm="1">
        <f t="array" ref="F174">INDEX(GMWQ!$A$2:$LR$60,MATCH(1,(GMWQ!$LQ$2:$LQ$60=F$3)*(GMWQ!$LP$2:$LP$60=F$4)*(GMWQ!$LR$2:$LR$60=F$1),0),$B174-1966)</f>
        <v>187477</v>
      </c>
      <c r="G174" s="7" cm="1">
        <f t="array" ref="G174">INDEX(GMWQ!$A$2:$LR$60,MATCH(1,(GMWQ!$LQ$2:$LQ$60=G$3)*(GMWQ!$LP$2:$LP$60=G$4)*(GMWQ!$LR$2:$LR$60=G$1),0),$B174-1966)</f>
        <v>42111</v>
      </c>
      <c r="H174" s="7" cm="1">
        <f t="array" ref="H174">INDEX(GMWQ!$A$2:$LR$60,MATCH(1,(GMWQ!$LQ$2:$LQ$60=H$3)*(GMWQ!$LP$2:$LP$60=H$4)*(GMWQ!$LR$2:$LR$60=H$1),0),$B174-1966)</f>
        <v>13556</v>
      </c>
      <c r="I174" s="7" cm="1">
        <f t="array" ref="I174">INDEX(GMWQ!$A$2:$LR$60,MATCH(1,(GMWQ!$LQ$2:$LQ$60=I$3)*(GMWQ!$LP$2:$LP$60=I$4)*(GMWQ!$LR$2:$LR$60=I$1),0),$B174-1966)</f>
        <v>93.767589999999998</v>
      </c>
      <c r="J174" s="7" cm="1">
        <f t="array" ref="J174">INDEX(GMWQ!$A$2:$LR$60,MATCH(1,(GMWQ!$LQ$2:$LQ$60=J$3)*(GMWQ!$LP$2:$LP$60=J$4)*(GMWQ!$LR$2:$LR$60=J$1),0),$B174-1966)</f>
        <v>26216</v>
      </c>
      <c r="K174" s="7" cm="1">
        <f t="array" ref="K174">INDEX(GMWQ!$A$2:$LR$60,MATCH(1,(GMWQ!$LQ$2:$LQ$60=K$3)*(GMWQ!$LP$2:$LP$60=K$4)*(GMWQ!$LR$2:$LR$60=K$1),0),$B174-1966)</f>
        <v>0.5</v>
      </c>
      <c r="L174" s="7" cm="1">
        <f t="array" ref="L174">INDEX(GMWQ!$A$2:$LR$60,MATCH(1,(GMWQ!$LQ$2:$LQ$60=L$3)*(GMWQ!$LP$2:$LP$60=L$4)*(GMWQ!$LR$2:$LR$60=L$1),0),$B174-1966)</f>
        <v>5.7</v>
      </c>
      <c r="M174" s="7" cm="1">
        <f t="array" ref="M174">INDEX(GMWQ!$A$2:$LR$60,MATCH(1,(GMWQ!$LQ$2:$LQ$60=M$3)*(GMWQ!$LP$2:$LP$60=M$4)*(GMWQ!$LR$2:$LR$60=M$1),0),$B174-1966)</f>
        <v>99.566329999999994</v>
      </c>
      <c r="N174" s="7" cm="1">
        <f t="array" ref="N174">INDEX(GMWQ!$A$2:$LR$60,MATCH(1,(GMWQ!$LQ$2:$LQ$60=N$3)*(GMWQ!$LP$2:$LP$60=N$4)*(GMWQ!$LR$2:$LR$60=N$1),0),$B174-1966)</f>
        <v>7329</v>
      </c>
      <c r="O174" s="7" cm="1">
        <f t="array" ref="O174">INDEX(GMWQ!$A$2:$LR$60,MATCH(1,(GMWQ!$LQ$2:$LQ$60=O$3)*(GMWQ!$LP$2:$LP$60=O$4)*(GMWQ!$LR$2:$LR$60=O$1),0),$B174-1966)</f>
        <v>6483</v>
      </c>
      <c r="P174" s="7" cm="1">
        <f t="array" ref="P174">INDEX(GMWQ!$A$2:$LR$60,MATCH(1,(GMWQ!$LQ$2:$LQ$60=P$3)*(GMWQ!$LP$2:$LP$60=P$4)*(GMWQ!$LR$2:$LR$60=P$1),0),$B174-1966)</f>
        <v>307276</v>
      </c>
      <c r="Q174" s="7" cm="1">
        <f t="array" ref="Q174">INDEX(GMWQ!$A$2:$LR$60,MATCH(1,(GMWQ!$LQ$2:$LQ$60=Q$3)*(GMWQ!$LP$2:$LP$60=Q$4)*(GMWQ!$LR$2:$LR$60=Q$1),0),$B174-1966)</f>
        <v>3.1866669999999999</v>
      </c>
      <c r="R174" s="7" cm="1">
        <f t="array" ref="R174">INDEX(GMWQ!$A$2:$LR$60,MATCH(1,(GMWQ!$LQ$2:$LQ$60=R$3)*(GMWQ!$LP$2:$LP$60=R$4)*(GMWQ!$LR$2:$LR$60=R$1),0),$B174-1966)</f>
        <v>180171</v>
      </c>
      <c r="S174" s="7" cm="1">
        <f t="array" ref="S174">INDEX(GMWQ!$A$2:$LR$60,MATCH(1,(GMWQ!$LQ$2:$LQ$60=S$3)*(GMWQ!$LP$2:$LP$60=S$4)*(GMWQ!$LR$2:$LR$60=S$1),0),$B174-1966)</f>
        <v>296.29000000000002</v>
      </c>
      <c r="T174" s="7" cm="1">
        <f t="array" ref="T174">INDEX(GMWQ!$A$2:$LR$60,MATCH(1,(GMWQ!$LQ$2:$LQ$60=T$3)*(GMWQ!$LP$2:$LP$60=T$4)*(GMWQ!$LR$2:$LR$60=T$1),0),$B174-1966)</f>
        <v>48657</v>
      </c>
      <c r="U174" s="7" cm="1">
        <f t="array" ref="U174">INDEX(GMWQ!$A$2:$LR$60,MATCH(1,(GMWQ!$LQ$2:$LQ$60=U$3)*(GMWQ!$LP$2:$LP$60=U$4)*(GMWQ!$LR$2:$LR$60=U$1),0),$B174-1966)</f>
        <v>5250</v>
      </c>
      <c r="V174" s="7" cm="1">
        <f t="array" ref="V174">INDEX(GMWQ!$A$2:$LR$60,MATCH(1,(GMWQ!$LQ$2:$LQ$60=V$3)*(GMWQ!$LP$2:$LP$60=V$4)*(GMWQ!$LR$2:$LR$60=V$1),0),$B174-1966)</f>
        <v>1.34369E-3</v>
      </c>
      <c r="W174" s="7" cm="1">
        <f t="array" ref="W174">INDEX(GMWQ!$A$2:$LR$60,MATCH(1,(GMWQ!$LQ$2:$LQ$60=W$3)*(GMWQ!$LP$2:$LP$60=W$4)*(GMWQ!$LR$2:$LR$60=W$1),0),$B174-1966)</f>
        <v>9.0928649999999998</v>
      </c>
      <c r="X174" s="7" cm="1">
        <f t="array" ref="X174">INDEX(GMWQ!$A$2:$LR$60,MATCH(1,(GMWQ!$LQ$2:$LQ$60=X$3)*(GMWQ!$LP$2:$LP$60=X$4)*(GMWQ!$LR$2:$LR$60=X$1),0),$B174-1966)</f>
        <v>3394007</v>
      </c>
      <c r="Y174" s="7" cm="1">
        <f t="array" ref="Y174">INDEX(GMWQ!$A$2:$LR$60,MATCH(1,(GMWQ!$LQ$2:$LQ$60=Y$3)*(GMWQ!$LP$2:$LP$60=Y$4)*(GMWQ!$LR$2:$LR$60=Y$1),0),$B174-1966)</f>
        <v>92.215620000000001</v>
      </c>
      <c r="Z174" s="7" cm="1">
        <f t="array" ref="Z174">INDEX(GMWQ!$A$2:$LR$60,MATCH(1,(GMWQ!$LQ$2:$LQ$60=Z$3)*(GMWQ!$LP$2:$LP$60=Z$4)*(GMWQ!$LR$2:$LR$60=Z$1),0),$B174-1966)</f>
        <v>519944.8</v>
      </c>
      <c r="AA174" s="7" cm="1">
        <f t="array" ref="AA174">INDEX(GMWQ!$A$2:$LR$60,MATCH(1,(GMWQ!$LQ$2:$LQ$60=AA$3)*(GMWQ!$LP$2:$LP$60=AA$4)*(GMWQ!$LR$2:$LR$60=AA$1),0),$B174-1966)</f>
        <v>167112</v>
      </c>
      <c r="AB174" s="7" cm="1">
        <f t="array" ref="AB174">INDEX(GMWQ!$A$2:$LR$60,MATCH(1,(GMWQ!$LQ$2:$LQ$60=AB$3)*(GMWQ!$LP$2:$LP$60=AB$4)*(GMWQ!$LR$2:$LR$60=AB$1),0),$B174-1966)</f>
        <v>179147</v>
      </c>
      <c r="AC174" s="7" cm="1">
        <f t="array" ref="AC174">INDEX(GMWQ!$A$2:$LR$60,MATCH(1,(GMWQ!$LQ$2:$LQ$60=AC$3)*(GMWQ!$LP$2:$LP$60=AC$4)*(GMWQ!$LR$2:$LR$60=AC$1),0),$B174-1966)</f>
        <v>8754</v>
      </c>
      <c r="AD174" s="7" cm="1">
        <f t="array" ref="AD174">INDEX(GMWQ!$A$2:$LR$60,MATCH(1,(GMWQ!$LQ$2:$LQ$60=AD$3)*(GMWQ!$LP$2:$LP$60=AD$4)*(GMWQ!$LR$2:$LR$60=AD$1),0),$B174-1966)</f>
        <v>11754</v>
      </c>
      <c r="AE174" s="7" cm="1">
        <f t="array" ref="AE174">INDEX(GMWQ!$A$2:$LR$60,MATCH(1,(GMWQ!$LQ$2:$LQ$60=AE$3)*(GMWQ!$LP$2:$LP$60=AE$4)*(GMWQ!$LR$2:$LR$60=AE$1),0),$B174-1966)</f>
        <v>472452</v>
      </c>
      <c r="AF174" s="20" cm="1">
        <f t="array" ref="AF174">INDEX(GMWQ!$A$2:$LR$60,MATCH(1,(GMWQ!$LQ$2:$LQ$60=AF$3)*(GMWQ!$LP$2:$LP$60=AF$4)*(GMWQ!$LR$2:$LR$60=AF$1),0),$B174-1966)</f>
        <v>0.5</v>
      </c>
      <c r="AG174" s="20" cm="1">
        <f t="array" ref="AG174">INDEX(GMWQ!$A$2:$LR$60,MATCH(1,(GMWQ!$LQ$2:$LQ$60=AG$3)*(GMWQ!$LP$2:$LP$60=AG$4)*(GMWQ!$LR$2:$LR$60=AG$1),0),$B174-1966)</f>
        <v>-846</v>
      </c>
      <c r="AI174" s="23" cm="1">
        <f t="array" ref="AI174">INDEX(GMWQ!$A$2:$LR$60,MATCH(1,(GMWQ!$LQ$2:$LQ$60=AI$3)*(GMWQ!$LP$2:$LP$60=AI$4)*(GMWQ!$LR$2:$LR$60=AI$1),0),$B174-1966)</f>
        <v>307276</v>
      </c>
      <c r="AJ174" s="23" cm="1">
        <f t="array" ref="AJ174">INDEX(GMWQ!$A$2:$LR$60,MATCH(1,(GMWQ!$LQ$2:$LQ$60=AJ$3)*(GMWQ!$LP$2:$LP$60=AJ$4)*(GMWQ!$LR$2:$LR$60=AJ$1),0),$B174-1966)</f>
        <v>93.767589999999998</v>
      </c>
      <c r="AK174" s="23" cm="1">
        <f t="array" ref="AK174">INDEX(GMWQ!$A$2:$LR$60,MATCH(1,(GMWQ!$LQ$2:$LQ$60=AK$3)*(GMWQ!$LP$2:$LP$60=AK$4)*(GMWQ!$LR$2:$LR$60=AK$1),0),$B174-1966)</f>
        <v>187477</v>
      </c>
      <c r="AL174" s="23" cm="1">
        <f t="array" ref="AL174">INDEX(GMWQ!$A$2:$LR$60,MATCH(1,(GMWQ!$LQ$2:$LQ$60=AL$3)*(GMWQ!$LP$2:$LP$60=AL$4)*(GMWQ!$LR$2:$LR$60=AL$1),0),$B174-1966)</f>
        <v>7151.2439999999997</v>
      </c>
      <c r="AM174" s="23" cm="1">
        <f t="array" ref="AM174">INDEX(GMWQ!$A$2:$LR$60,MATCH(1,(GMWQ!$LQ$2:$LQ$60=AM$3)*(GMWQ!$LP$2:$LP$60=AM$4)*(GMWQ!$LR$2:$LR$60=AM$1),0),$B174-1966)</f>
        <v>26216</v>
      </c>
      <c r="AN174" s="23" cm="1">
        <f t="array" ref="AN174">INDEX(GMWQ!$A$2:$LR$60,MATCH(1,(GMWQ!$LQ$2:$LQ$60=AN$3)*(GMWQ!$LP$2:$LP$60=AN$4)*(GMWQ!$LR$2:$LR$60=AN$1),0),$B174-1966)</f>
        <v>42111</v>
      </c>
      <c r="AO174" s="23" cm="1">
        <f t="array" ref="AO174">INDEX(GMWQ!$A$2:$LR$60,MATCH(1,(GMWQ!$LQ$2:$LQ$60=AO$3)*(GMWQ!$LP$2:$LP$60=AO$4)*(GMWQ!$LR$2:$LR$60=AO$1),0),$B174-1966)</f>
        <v>13556</v>
      </c>
      <c r="AP174" s="23" cm="1">
        <f t="array" ref="AP174">INDEX(GMWQ!$A$2:$LR$60,MATCH(1,(GMWQ!$LQ$2:$LQ$60=AP$3)*(GMWQ!$LP$2:$LP$60=AP$4)*(GMWQ!$LR$2:$LR$60=AP$1),0),$B174-1966)</f>
        <v>-846</v>
      </c>
      <c r="AQ174" s="23" cm="1">
        <f t="array" ref="AQ174">INDEX(GMWQ!$A$2:$LR$60,MATCH(1,(GMWQ!$LQ$2:$LQ$60=AQ$3)*(GMWQ!$LP$2:$LP$60=AQ$4)*(GMWQ!$LR$2:$LR$60=AQ$1),0),$B174-1966)</f>
        <v>56801</v>
      </c>
      <c r="AR174" s="23" cm="1">
        <f t="array" ref="AR174">INDEX(GMWQ!$A$2:$LR$60,MATCH(1,(GMWQ!$LQ$2:$LQ$60=AR$3)*(GMWQ!$LP$2:$LP$60=AR$4)*(GMWQ!$LR$2:$LR$60=AR$1),0),$B174-1966)</f>
        <v>293456</v>
      </c>
      <c r="AS174" s="23" cm="1">
        <f t="array" ref="AS174">INDEX(GMWQ!$A$2:$LR$60,MATCH(1,(GMWQ!$LQ$2:$LQ$60=AS$3)*(GMWQ!$LP$2:$LP$60=AS$4)*(GMWQ!$LR$2:$LR$60=AS$1),0),$B174-1966)</f>
        <v>9934</v>
      </c>
      <c r="AT174" s="23" cm="1">
        <f t="array" ref="AT174">INDEX(GMWQ!$A$2:$LR$60,MATCH(1,(GMWQ!$LQ$2:$LQ$60=AT$3)*(GMWQ!$LP$2:$LP$60=AT$4)*(GMWQ!$LR$2:$LR$60=AT$1),0),$B174-1966)</f>
        <v>312961</v>
      </c>
      <c r="AU174" s="23" cm="1">
        <f t="array" ref="AU174">INDEX(GMWQ!$A$2:$LR$60,MATCH(1,(GMWQ!$LQ$2:$LQ$60=AU$3)*(GMWQ!$LP$2:$LP$60=AU$4)*(GMWQ!$LR$2:$LR$60=AU$1),0),$B174-1966)</f>
        <v>10339</v>
      </c>
    </row>
    <row r="175" spans="1:47" x14ac:dyDescent="0.35">
      <c r="A175" s="7">
        <v>2015</v>
      </c>
      <c r="B175" s="7">
        <f t="shared" si="3"/>
        <v>2141</v>
      </c>
      <c r="C175" s="7" cm="1">
        <f t="array" ref="C175">INDEX(GMWQ!$A$2:$LR$60,MATCH(1,(GMWQ!$LQ$2:$LQ$60=C$3)*(GMWQ!$LP$2:$LP$60=C$4)*(GMWQ!$LR$2:$LR$60=C$1),0),$B175-1966)</f>
        <v>513850</v>
      </c>
      <c r="D175" s="7" cm="1">
        <f t="array" ref="D175">INDEX(GMWQ!$A$2:$LR$60,MATCH(1,(GMWQ!$LQ$2:$LQ$60=D$3)*(GMWQ!$LP$2:$LP$60=D$4)*(GMWQ!$LR$2:$LR$60=D$1),0),$B175-1966)</f>
        <v>478</v>
      </c>
      <c r="E175" s="7" cm="1">
        <f t="array" ref="E175">INDEX(GMWQ!$A$2:$LR$60,MATCH(1,(GMWQ!$LQ$2:$LQ$60=E$3)*(GMWQ!$LP$2:$LP$60=E$4)*(GMWQ!$LR$2:$LR$60=E$1),0),$B175-1966)</f>
        <v>99.5</v>
      </c>
      <c r="F175" s="7" cm="1">
        <f t="array" ref="F175">INDEX(GMWQ!$A$2:$LR$60,MATCH(1,(GMWQ!$LQ$2:$LQ$60=F$3)*(GMWQ!$LP$2:$LP$60=F$4)*(GMWQ!$LR$2:$LR$60=F$1),0),$B175-1966)</f>
        <v>190040</v>
      </c>
      <c r="G175" s="7" cm="1">
        <f t="array" ref="G175">INDEX(GMWQ!$A$2:$LR$60,MATCH(1,(GMWQ!$LQ$2:$LQ$60=G$3)*(GMWQ!$LP$2:$LP$60=G$4)*(GMWQ!$LR$2:$LR$60=G$1),0),$B175-1966)</f>
        <v>42221</v>
      </c>
      <c r="H175" s="7" cm="1">
        <f t="array" ref="H175">INDEX(GMWQ!$A$2:$LR$60,MATCH(1,(GMWQ!$LQ$2:$LQ$60=H$3)*(GMWQ!$LP$2:$LP$60=H$4)*(GMWQ!$LR$2:$LR$60=H$1),0),$B175-1966)</f>
        <v>13812</v>
      </c>
      <c r="I175" s="7" cm="1">
        <f t="array" ref="I175">INDEX(GMWQ!$A$2:$LR$60,MATCH(1,(GMWQ!$LQ$2:$LQ$60=I$3)*(GMWQ!$LP$2:$LP$60=I$4)*(GMWQ!$LR$2:$LR$60=I$1),0),$B175-1966)</f>
        <v>93.265320000000003</v>
      </c>
      <c r="J175" s="7" cm="1">
        <f t="array" ref="J175">INDEX(GMWQ!$A$2:$LR$60,MATCH(1,(GMWQ!$LQ$2:$LQ$60=J$3)*(GMWQ!$LP$2:$LP$60=J$4)*(GMWQ!$LR$2:$LR$60=J$1),0),$B175-1966)</f>
        <v>26409</v>
      </c>
      <c r="K175" s="7" cm="1">
        <f t="array" ref="K175">INDEX(GMWQ!$A$2:$LR$60,MATCH(1,(GMWQ!$LQ$2:$LQ$60=K$3)*(GMWQ!$LP$2:$LP$60=K$4)*(GMWQ!$LR$2:$LR$60=K$1),0),$B175-1966)</f>
        <v>0.5</v>
      </c>
      <c r="L175" s="7" cm="1">
        <f t="array" ref="L175">INDEX(GMWQ!$A$2:$LR$60,MATCH(1,(GMWQ!$LQ$2:$LQ$60=L$3)*(GMWQ!$LP$2:$LP$60=L$4)*(GMWQ!$LR$2:$LR$60=L$1),0),$B175-1966)</f>
        <v>5.6</v>
      </c>
      <c r="M175" s="7" cm="1">
        <f t="array" ref="M175">INDEX(GMWQ!$A$2:$LR$60,MATCH(1,(GMWQ!$LQ$2:$LQ$60=M$3)*(GMWQ!$LP$2:$LP$60=M$4)*(GMWQ!$LR$2:$LR$60=M$1),0),$B175-1966)</f>
        <v>100.4063</v>
      </c>
      <c r="N175" s="7" cm="1">
        <f t="array" ref="N175">INDEX(GMWQ!$A$2:$LR$60,MATCH(1,(GMWQ!$LQ$2:$LQ$60=N$3)*(GMWQ!$LP$2:$LP$60=N$4)*(GMWQ!$LR$2:$LR$60=N$1),0),$B175-1966)</f>
        <v>6863</v>
      </c>
      <c r="O175" s="7" cm="1">
        <f t="array" ref="O175">INDEX(GMWQ!$A$2:$LR$60,MATCH(1,(GMWQ!$LQ$2:$LQ$60=O$3)*(GMWQ!$LP$2:$LP$60=O$4)*(GMWQ!$LR$2:$LR$60=O$1),0),$B175-1966)</f>
        <v>5961</v>
      </c>
      <c r="P175" s="7" cm="1">
        <f t="array" ref="P175">INDEX(GMWQ!$A$2:$LR$60,MATCH(1,(GMWQ!$LQ$2:$LQ$60=P$3)*(GMWQ!$LP$2:$LP$60=P$4)*(GMWQ!$LR$2:$LR$60=P$1),0),$B175-1966)</f>
        <v>311837</v>
      </c>
      <c r="Q175" s="7" cm="1">
        <f t="array" ref="Q175">INDEX(GMWQ!$A$2:$LR$60,MATCH(1,(GMWQ!$LQ$2:$LQ$60=Q$3)*(GMWQ!$LP$2:$LP$60=Q$4)*(GMWQ!$LR$2:$LR$60=Q$1),0),$B175-1966)</f>
        <v>3.1533329999999999</v>
      </c>
      <c r="R175" s="7" cm="1">
        <f t="array" ref="R175">INDEX(GMWQ!$A$2:$LR$60,MATCH(1,(GMWQ!$LQ$2:$LQ$60=R$3)*(GMWQ!$LP$2:$LP$60=R$4)*(GMWQ!$LR$2:$LR$60=R$1),0),$B175-1966)</f>
        <v>183379</v>
      </c>
      <c r="S175" s="7" cm="1">
        <f t="array" ref="S175">INDEX(GMWQ!$A$2:$LR$60,MATCH(1,(GMWQ!$LQ$2:$LQ$60=S$3)*(GMWQ!$LP$2:$LP$60=S$4)*(GMWQ!$LR$2:$LR$60=S$1),0),$B175-1966)</f>
        <v>287.35000000000002</v>
      </c>
      <c r="T175" s="7" cm="1">
        <f t="array" ref="T175">INDEX(GMWQ!$A$2:$LR$60,MATCH(1,(GMWQ!$LQ$2:$LQ$60=T$3)*(GMWQ!$LP$2:$LP$60=T$4)*(GMWQ!$LR$2:$LR$60=T$1),0),$B175-1966)</f>
        <v>49717</v>
      </c>
      <c r="U175" s="7" cm="1">
        <f t="array" ref="U175">INDEX(GMWQ!$A$2:$LR$60,MATCH(1,(GMWQ!$LQ$2:$LQ$60=U$3)*(GMWQ!$LP$2:$LP$60=U$4)*(GMWQ!$LR$2:$LR$60=U$1),0),$B175-1966)</f>
        <v>5738</v>
      </c>
      <c r="V175" s="7" cm="1">
        <f t="array" ref="V175">INDEX(GMWQ!$A$2:$LR$60,MATCH(1,(GMWQ!$LQ$2:$LQ$60=V$3)*(GMWQ!$LP$2:$LP$60=V$4)*(GMWQ!$LR$2:$LR$60=V$1),0),$B175-1966)</f>
        <v>1.2516879999999999E-3</v>
      </c>
      <c r="W175" s="7" cm="1">
        <f t="array" ref="W175">INDEX(GMWQ!$A$2:$LR$60,MATCH(1,(GMWQ!$LQ$2:$LQ$60=W$3)*(GMWQ!$LP$2:$LP$60=W$4)*(GMWQ!$LR$2:$LR$60=W$1),0),$B175-1966)</f>
        <v>7.2093759999999998</v>
      </c>
      <c r="X175" s="7" cm="1">
        <f t="array" ref="X175">INDEX(GMWQ!$A$2:$LR$60,MATCH(1,(GMWQ!$LQ$2:$LQ$60=X$3)*(GMWQ!$LP$2:$LP$60=X$4)*(GMWQ!$LR$2:$LR$60=X$1),0),$B175-1966)</f>
        <v>3464155</v>
      </c>
      <c r="Y175" s="7" cm="1">
        <f t="array" ref="Y175">INDEX(GMWQ!$A$2:$LR$60,MATCH(1,(GMWQ!$LQ$2:$LQ$60=Y$3)*(GMWQ!$LP$2:$LP$60=Y$4)*(GMWQ!$LR$2:$LR$60=Y$1),0),$B175-1966)</f>
        <v>92.388440000000003</v>
      </c>
      <c r="Z175" s="7" cm="1">
        <f t="array" ref="Z175">INDEX(GMWQ!$A$2:$LR$60,MATCH(1,(GMWQ!$LQ$2:$LQ$60=Z$3)*(GMWQ!$LP$2:$LP$60=Z$4)*(GMWQ!$LR$2:$LR$60=Z$1),0),$B175-1966)</f>
        <v>522021.7</v>
      </c>
      <c r="AA175" s="7" cm="1">
        <f t="array" ref="AA175">INDEX(GMWQ!$A$2:$LR$60,MATCH(1,(GMWQ!$LQ$2:$LQ$60=AA$3)*(GMWQ!$LP$2:$LP$60=AA$4)*(GMWQ!$LR$2:$LR$60=AA$1),0),$B175-1966)</f>
        <v>190846</v>
      </c>
      <c r="AB175" s="7" cm="1">
        <f t="array" ref="AB175">INDEX(GMWQ!$A$2:$LR$60,MATCH(1,(GMWQ!$LQ$2:$LQ$60=AB$3)*(GMWQ!$LP$2:$LP$60=AB$4)*(GMWQ!$LR$2:$LR$60=AB$1),0),$B175-1966)</f>
        <v>173655</v>
      </c>
      <c r="AC175" s="7" cm="1">
        <f t="array" ref="AC175">INDEX(GMWQ!$A$2:$LR$60,MATCH(1,(GMWQ!$LQ$2:$LQ$60=AC$3)*(GMWQ!$LP$2:$LP$60=AC$4)*(GMWQ!$LR$2:$LR$60=AC$1),0),$B175-1966)</f>
        <v>14772</v>
      </c>
      <c r="AD175" s="7" cm="1">
        <f t="array" ref="AD175">INDEX(GMWQ!$A$2:$LR$60,MATCH(1,(GMWQ!$LQ$2:$LQ$60=AD$3)*(GMWQ!$LP$2:$LP$60=AD$4)*(GMWQ!$LR$2:$LR$60=AD$1),0),$B175-1966)</f>
        <v>11896</v>
      </c>
      <c r="AE175" s="7" cm="1">
        <f t="array" ref="AE175">INDEX(GMWQ!$A$2:$LR$60,MATCH(1,(GMWQ!$LQ$2:$LQ$60=AE$3)*(GMWQ!$LP$2:$LP$60=AE$4)*(GMWQ!$LR$2:$LR$60=AE$1),0),$B175-1966)</f>
        <v>474738</v>
      </c>
      <c r="AF175" s="20" cm="1">
        <f t="array" ref="AF175">INDEX(GMWQ!$A$2:$LR$60,MATCH(1,(GMWQ!$LQ$2:$LQ$60=AF$3)*(GMWQ!$LP$2:$LP$60=AF$4)*(GMWQ!$LR$2:$LR$60=AF$1),0),$B175-1966)</f>
        <v>0.5</v>
      </c>
      <c r="AG175" s="20" cm="1">
        <f t="array" ref="AG175">INDEX(GMWQ!$A$2:$LR$60,MATCH(1,(GMWQ!$LQ$2:$LQ$60=AG$3)*(GMWQ!$LP$2:$LP$60=AG$4)*(GMWQ!$LR$2:$LR$60=AG$1),0),$B175-1966)</f>
        <v>-902</v>
      </c>
      <c r="AI175" s="23" cm="1">
        <f t="array" ref="AI175">INDEX(GMWQ!$A$2:$LR$60,MATCH(1,(GMWQ!$LQ$2:$LQ$60=AI$3)*(GMWQ!$LP$2:$LP$60=AI$4)*(GMWQ!$LR$2:$LR$60=AI$1),0),$B175-1966)</f>
        <v>311837</v>
      </c>
      <c r="AJ175" s="23" cm="1">
        <f t="array" ref="AJ175">INDEX(GMWQ!$A$2:$LR$60,MATCH(1,(GMWQ!$LQ$2:$LQ$60=AJ$3)*(GMWQ!$LP$2:$LP$60=AJ$4)*(GMWQ!$LR$2:$LR$60=AJ$1),0),$B175-1966)</f>
        <v>93.265320000000003</v>
      </c>
      <c r="AK175" s="23" cm="1">
        <f t="array" ref="AK175">INDEX(GMWQ!$A$2:$LR$60,MATCH(1,(GMWQ!$LQ$2:$LQ$60=AK$3)*(GMWQ!$LP$2:$LP$60=AK$4)*(GMWQ!$LR$2:$LR$60=AK$1),0),$B175-1966)</f>
        <v>190040</v>
      </c>
      <c r="AL175" s="23" cm="1">
        <f t="array" ref="AL175">INDEX(GMWQ!$A$2:$LR$60,MATCH(1,(GMWQ!$LQ$2:$LQ$60=AL$3)*(GMWQ!$LP$2:$LP$60=AL$4)*(GMWQ!$LR$2:$LR$60=AL$1),0),$B175-1966)</f>
        <v>7196.0320000000002</v>
      </c>
      <c r="AM175" s="23" cm="1">
        <f t="array" ref="AM175">INDEX(GMWQ!$A$2:$LR$60,MATCH(1,(GMWQ!$LQ$2:$LQ$60=AM$3)*(GMWQ!$LP$2:$LP$60=AM$4)*(GMWQ!$LR$2:$LR$60=AM$1),0),$B175-1966)</f>
        <v>26409</v>
      </c>
      <c r="AN175" s="23" cm="1">
        <f t="array" ref="AN175">INDEX(GMWQ!$A$2:$LR$60,MATCH(1,(GMWQ!$LQ$2:$LQ$60=AN$3)*(GMWQ!$LP$2:$LP$60=AN$4)*(GMWQ!$LR$2:$LR$60=AN$1),0),$B175-1966)</f>
        <v>42221</v>
      </c>
      <c r="AO175" s="23" cm="1">
        <f t="array" ref="AO175">INDEX(GMWQ!$A$2:$LR$60,MATCH(1,(GMWQ!$LQ$2:$LQ$60=AO$3)*(GMWQ!$LP$2:$LP$60=AO$4)*(GMWQ!$LR$2:$LR$60=AO$1),0),$B175-1966)</f>
        <v>13812</v>
      </c>
      <c r="AP175" s="23" cm="1">
        <f t="array" ref="AP175">INDEX(GMWQ!$A$2:$LR$60,MATCH(1,(GMWQ!$LQ$2:$LQ$60=AP$3)*(GMWQ!$LP$2:$LP$60=AP$4)*(GMWQ!$LR$2:$LR$60=AP$1),0),$B175-1966)</f>
        <v>-902</v>
      </c>
      <c r="AQ175" s="23" cm="1">
        <f t="array" ref="AQ175">INDEX(GMWQ!$A$2:$LR$60,MATCH(1,(GMWQ!$LQ$2:$LQ$60=AQ$3)*(GMWQ!$LP$2:$LP$60=AQ$4)*(GMWQ!$LR$2:$LR$60=AQ$1),0),$B175-1966)</f>
        <v>56304</v>
      </c>
      <c r="AR175" s="23" cm="1">
        <f t="array" ref="AR175">INDEX(GMWQ!$A$2:$LR$60,MATCH(1,(GMWQ!$LQ$2:$LQ$60=AR$3)*(GMWQ!$LP$2:$LP$60=AR$4)*(GMWQ!$LR$2:$LR$60=AR$1),0),$B175-1966)</f>
        <v>293367</v>
      </c>
      <c r="AS175" s="23" cm="1">
        <f t="array" ref="AS175">INDEX(GMWQ!$A$2:$LR$60,MATCH(1,(GMWQ!$LQ$2:$LQ$60=AS$3)*(GMWQ!$LP$2:$LP$60=AS$4)*(GMWQ!$LR$2:$LR$60=AS$1),0),$B175-1966)</f>
        <v>9856</v>
      </c>
      <c r="AT175" s="23" cm="1">
        <f t="array" ref="AT175">INDEX(GMWQ!$A$2:$LR$60,MATCH(1,(GMWQ!$LQ$2:$LQ$60=AT$3)*(GMWQ!$LP$2:$LP$60=AT$4)*(GMWQ!$LR$2:$LR$60=AT$1),0),$B175-1966)</f>
        <v>314551</v>
      </c>
      <c r="AU175" s="23" cm="1">
        <f t="array" ref="AU175">INDEX(GMWQ!$A$2:$LR$60,MATCH(1,(GMWQ!$LQ$2:$LQ$60=AU$3)*(GMWQ!$LP$2:$LP$60=AU$4)*(GMWQ!$LR$2:$LR$60=AU$1),0),$B175-1966)</f>
        <v>10321</v>
      </c>
    </row>
    <row r="176" spans="1:47" x14ac:dyDescent="0.35">
      <c r="B176" s="7">
        <f t="shared" si="3"/>
        <v>2142</v>
      </c>
      <c r="C176" s="7" cm="1">
        <f t="array" ref="C176">INDEX(GMWQ!$A$2:$LR$60,MATCH(1,(GMWQ!$LQ$2:$LQ$60=C$3)*(GMWQ!$LP$2:$LP$60=C$4)*(GMWQ!$LR$2:$LR$60=C$1),0),$B176-1966)</f>
        <v>516876</v>
      </c>
      <c r="D176" s="7" cm="1">
        <f t="array" ref="D176">INDEX(GMWQ!$A$2:$LR$60,MATCH(1,(GMWQ!$LQ$2:$LQ$60=D$3)*(GMWQ!$LP$2:$LP$60=D$4)*(GMWQ!$LR$2:$LR$60=D$1),0),$B176-1966)</f>
        <v>481.33330000000001</v>
      </c>
      <c r="E176" s="7" cm="1">
        <f t="array" ref="E176">INDEX(GMWQ!$A$2:$LR$60,MATCH(1,(GMWQ!$LQ$2:$LQ$60=E$3)*(GMWQ!$LP$2:$LP$60=E$4)*(GMWQ!$LR$2:$LR$60=E$1),0),$B176-1966)</f>
        <v>100.0667</v>
      </c>
      <c r="F176" s="7" cm="1">
        <f t="array" ref="F176">INDEX(GMWQ!$A$2:$LR$60,MATCH(1,(GMWQ!$LQ$2:$LQ$60=F$3)*(GMWQ!$LP$2:$LP$60=F$4)*(GMWQ!$LR$2:$LR$60=F$1),0),$B176-1966)</f>
        <v>190920</v>
      </c>
      <c r="G176" s="7" cm="1">
        <f t="array" ref="G176">INDEX(GMWQ!$A$2:$LR$60,MATCH(1,(GMWQ!$LQ$2:$LQ$60=G$3)*(GMWQ!$LP$2:$LP$60=G$4)*(GMWQ!$LR$2:$LR$60=G$1),0),$B176-1966)</f>
        <v>42890</v>
      </c>
      <c r="H176" s="7" cm="1">
        <f t="array" ref="H176">INDEX(GMWQ!$A$2:$LR$60,MATCH(1,(GMWQ!$LQ$2:$LQ$60=H$3)*(GMWQ!$LP$2:$LP$60=H$4)*(GMWQ!$LR$2:$LR$60=H$1),0),$B176-1966)</f>
        <v>14017</v>
      </c>
      <c r="I176" s="7" cm="1">
        <f t="array" ref="I176">INDEX(GMWQ!$A$2:$LR$60,MATCH(1,(GMWQ!$LQ$2:$LQ$60=I$3)*(GMWQ!$LP$2:$LP$60=I$4)*(GMWQ!$LR$2:$LR$60=I$1),0),$B176-1966)</f>
        <v>93.483069999999998</v>
      </c>
      <c r="J176" s="7" cm="1">
        <f t="array" ref="J176">INDEX(GMWQ!$A$2:$LR$60,MATCH(1,(GMWQ!$LQ$2:$LQ$60=J$3)*(GMWQ!$LP$2:$LP$60=J$4)*(GMWQ!$LR$2:$LR$60=J$1),0),$B176-1966)</f>
        <v>26385</v>
      </c>
      <c r="K176" s="7" cm="1">
        <f t="array" ref="K176">INDEX(GMWQ!$A$2:$LR$60,MATCH(1,(GMWQ!$LQ$2:$LQ$60=K$3)*(GMWQ!$LP$2:$LP$60=K$4)*(GMWQ!$LR$2:$LR$60=K$1),0),$B176-1966)</f>
        <v>0.5</v>
      </c>
      <c r="L176" s="7" cm="1">
        <f t="array" ref="L176">INDEX(GMWQ!$A$2:$LR$60,MATCH(1,(GMWQ!$LQ$2:$LQ$60=L$3)*(GMWQ!$LP$2:$LP$60=L$4)*(GMWQ!$LR$2:$LR$60=L$1),0),$B176-1966)</f>
        <v>5.6</v>
      </c>
      <c r="M176" s="7" cm="1">
        <f t="array" ref="M176">INDEX(GMWQ!$A$2:$LR$60,MATCH(1,(GMWQ!$LQ$2:$LQ$60=M$3)*(GMWQ!$LP$2:$LP$60=M$4)*(GMWQ!$LR$2:$LR$60=M$1),0),$B176-1966)</f>
        <v>101.486</v>
      </c>
      <c r="N176" s="7" cm="1">
        <f t="array" ref="N176">INDEX(GMWQ!$A$2:$LR$60,MATCH(1,(GMWQ!$LQ$2:$LQ$60=N$3)*(GMWQ!$LP$2:$LP$60=N$4)*(GMWQ!$LR$2:$LR$60=N$1),0),$B176-1966)</f>
        <v>7106</v>
      </c>
      <c r="O176" s="7" cm="1">
        <f t="array" ref="O176">INDEX(GMWQ!$A$2:$LR$60,MATCH(1,(GMWQ!$LQ$2:$LQ$60=O$3)*(GMWQ!$LP$2:$LP$60=O$4)*(GMWQ!$LR$2:$LR$60=O$1),0),$B176-1966)</f>
        <v>6394</v>
      </c>
      <c r="P176" s="7" cm="1">
        <f t="array" ref="P176">INDEX(GMWQ!$A$2:$LR$60,MATCH(1,(GMWQ!$LQ$2:$LQ$60=P$3)*(GMWQ!$LP$2:$LP$60=P$4)*(GMWQ!$LR$2:$LR$60=P$1),0),$B176-1966)</f>
        <v>319722</v>
      </c>
      <c r="Q176" s="7" cm="1">
        <f t="array" ref="Q176">INDEX(GMWQ!$A$2:$LR$60,MATCH(1,(GMWQ!$LQ$2:$LQ$60=Q$3)*(GMWQ!$LP$2:$LP$60=Q$4)*(GMWQ!$LR$2:$LR$60=Q$1),0),$B176-1966)</f>
        <v>3.1066669999999998</v>
      </c>
      <c r="R176" s="7" cm="1">
        <f t="array" ref="R176">INDEX(GMWQ!$A$2:$LR$60,MATCH(1,(GMWQ!$LQ$2:$LQ$60=R$3)*(GMWQ!$LP$2:$LP$60=R$4)*(GMWQ!$LR$2:$LR$60=R$1),0),$B176-1966)</f>
        <v>202094</v>
      </c>
      <c r="S176" s="7" cm="1">
        <f t="array" ref="S176">INDEX(GMWQ!$A$2:$LR$60,MATCH(1,(GMWQ!$LQ$2:$LQ$60=S$3)*(GMWQ!$LP$2:$LP$60=S$4)*(GMWQ!$LR$2:$LR$60=S$1),0),$B176-1966)</f>
        <v>304.64</v>
      </c>
      <c r="T176" s="7" cm="1">
        <f t="array" ref="T176">INDEX(GMWQ!$A$2:$LR$60,MATCH(1,(GMWQ!$LQ$2:$LQ$60=T$3)*(GMWQ!$LP$2:$LP$60=T$4)*(GMWQ!$LR$2:$LR$60=T$1),0),$B176-1966)</f>
        <v>53948</v>
      </c>
      <c r="U176" s="7" cm="1">
        <f t="array" ref="U176">INDEX(GMWQ!$A$2:$LR$60,MATCH(1,(GMWQ!$LQ$2:$LQ$60=U$3)*(GMWQ!$LP$2:$LP$60=U$4)*(GMWQ!$LR$2:$LR$60=U$1),0),$B176-1966)</f>
        <v>7677</v>
      </c>
      <c r="V176" s="7" cm="1">
        <f t="array" ref="V176">INDEX(GMWQ!$A$2:$LR$60,MATCH(1,(GMWQ!$LQ$2:$LQ$60=V$3)*(GMWQ!$LP$2:$LP$60=V$4)*(GMWQ!$LR$2:$LR$60=V$1),0),$B176-1966)</f>
        <v>1.235054E-3</v>
      </c>
      <c r="W176" s="7" cm="1">
        <f t="array" ref="W176">INDEX(GMWQ!$A$2:$LR$60,MATCH(1,(GMWQ!$LQ$2:$LQ$60=W$3)*(GMWQ!$LP$2:$LP$60=W$4)*(GMWQ!$LR$2:$LR$60=W$1),0),$B176-1966)</f>
        <v>7.2404780000000004</v>
      </c>
      <c r="X176" s="7" cm="1">
        <f t="array" ref="X176">INDEX(GMWQ!$A$2:$LR$60,MATCH(1,(GMWQ!$LQ$2:$LQ$60=X$3)*(GMWQ!$LP$2:$LP$60=X$4)*(GMWQ!$LR$2:$LR$60=X$1),0),$B176-1966)</f>
        <v>3533346</v>
      </c>
      <c r="Y176" s="7" cm="1">
        <f t="array" ref="Y176">INDEX(GMWQ!$A$2:$LR$60,MATCH(1,(GMWQ!$LQ$2:$LQ$60=Y$3)*(GMWQ!$LP$2:$LP$60=Y$4)*(GMWQ!$LR$2:$LR$60=Y$1),0),$B176-1966)</f>
        <v>92.204319999999996</v>
      </c>
      <c r="Z176" s="7" cm="1">
        <f t="array" ref="Z176">INDEX(GMWQ!$A$2:$LR$60,MATCH(1,(GMWQ!$LQ$2:$LQ$60=Z$3)*(GMWQ!$LP$2:$LP$60=Z$4)*(GMWQ!$LR$2:$LR$60=Z$1),0),$B176-1966)</f>
        <v>523438.9</v>
      </c>
      <c r="AA176" s="7" cm="1">
        <f t="array" ref="AA176">INDEX(GMWQ!$A$2:$LR$60,MATCH(1,(GMWQ!$LQ$2:$LQ$60=AA$3)*(GMWQ!$LP$2:$LP$60=AA$4)*(GMWQ!$LR$2:$LR$60=AA$1),0),$B176-1966)</f>
        <v>168983</v>
      </c>
      <c r="AB176" s="7" cm="1">
        <f t="array" ref="AB176">INDEX(GMWQ!$A$2:$LR$60,MATCH(1,(GMWQ!$LQ$2:$LQ$60=AB$3)*(GMWQ!$LP$2:$LP$60=AB$4)*(GMWQ!$LR$2:$LR$60=AB$1),0),$B176-1966)</f>
        <v>177942</v>
      </c>
      <c r="AC176" s="7" cm="1">
        <f t="array" ref="AC176">INDEX(GMWQ!$A$2:$LR$60,MATCH(1,(GMWQ!$LQ$2:$LQ$60=AC$3)*(GMWQ!$LP$2:$LP$60=AC$4)*(GMWQ!$LR$2:$LR$60=AC$1),0),$B176-1966)</f>
        <v>6743</v>
      </c>
      <c r="AD176" s="7" cm="1">
        <f t="array" ref="AD176">INDEX(GMWQ!$A$2:$LR$60,MATCH(1,(GMWQ!$LQ$2:$LQ$60=AD$3)*(GMWQ!$LP$2:$LP$60=AD$4)*(GMWQ!$LR$2:$LR$60=AD$1),0),$B176-1966)</f>
        <v>11958</v>
      </c>
      <c r="AE176" s="7" cm="1">
        <f t="array" ref="AE176">INDEX(GMWQ!$A$2:$LR$60,MATCH(1,(GMWQ!$LQ$2:$LQ$60=AE$3)*(GMWQ!$LP$2:$LP$60=AE$4)*(GMWQ!$LR$2:$LR$60=AE$1),0),$B176-1966)</f>
        <v>476582</v>
      </c>
      <c r="AF176" s="20" cm="1">
        <f t="array" ref="AF176">INDEX(GMWQ!$A$2:$LR$60,MATCH(1,(GMWQ!$LQ$2:$LQ$60=AF$3)*(GMWQ!$LP$2:$LP$60=AF$4)*(GMWQ!$LR$2:$LR$60=AF$1),0),$B176-1966)</f>
        <v>0.5</v>
      </c>
      <c r="AG176" s="20" cm="1">
        <f t="array" ref="AG176">INDEX(GMWQ!$A$2:$LR$60,MATCH(1,(GMWQ!$LQ$2:$LQ$60=AG$3)*(GMWQ!$LP$2:$LP$60=AG$4)*(GMWQ!$LR$2:$LR$60=AG$1),0),$B176-1966)</f>
        <v>-712</v>
      </c>
      <c r="AI176" s="23" cm="1">
        <f t="array" ref="AI176">INDEX(GMWQ!$A$2:$LR$60,MATCH(1,(GMWQ!$LQ$2:$LQ$60=AI$3)*(GMWQ!$LP$2:$LP$60=AI$4)*(GMWQ!$LR$2:$LR$60=AI$1),0),$B176-1966)</f>
        <v>319722</v>
      </c>
      <c r="AJ176" s="23" cm="1">
        <f t="array" ref="AJ176">INDEX(GMWQ!$A$2:$LR$60,MATCH(1,(GMWQ!$LQ$2:$LQ$60=AJ$3)*(GMWQ!$LP$2:$LP$60=AJ$4)*(GMWQ!$LR$2:$LR$60=AJ$1),0),$B176-1966)</f>
        <v>93.483069999999998</v>
      </c>
      <c r="AK176" s="23" cm="1">
        <f t="array" ref="AK176">INDEX(GMWQ!$A$2:$LR$60,MATCH(1,(GMWQ!$LQ$2:$LQ$60=AK$3)*(GMWQ!$LP$2:$LP$60=AK$4)*(GMWQ!$LR$2:$LR$60=AK$1),0),$B176-1966)</f>
        <v>190920</v>
      </c>
      <c r="AL176" s="23" cm="1">
        <f t="array" ref="AL176">INDEX(GMWQ!$A$2:$LR$60,MATCH(1,(GMWQ!$LQ$2:$LQ$60=AL$3)*(GMWQ!$LP$2:$LP$60=AL$4)*(GMWQ!$LR$2:$LR$60=AL$1),0),$B176-1966)</f>
        <v>7235.93</v>
      </c>
      <c r="AM176" s="23" cm="1">
        <f t="array" ref="AM176">INDEX(GMWQ!$A$2:$LR$60,MATCH(1,(GMWQ!$LQ$2:$LQ$60=AM$3)*(GMWQ!$LP$2:$LP$60=AM$4)*(GMWQ!$LR$2:$LR$60=AM$1),0),$B176-1966)</f>
        <v>26385</v>
      </c>
      <c r="AN176" s="23" cm="1">
        <f t="array" ref="AN176">INDEX(GMWQ!$A$2:$LR$60,MATCH(1,(GMWQ!$LQ$2:$LQ$60=AN$3)*(GMWQ!$LP$2:$LP$60=AN$4)*(GMWQ!$LR$2:$LR$60=AN$1),0),$B176-1966)</f>
        <v>42890</v>
      </c>
      <c r="AO176" s="23" cm="1">
        <f t="array" ref="AO176">INDEX(GMWQ!$A$2:$LR$60,MATCH(1,(GMWQ!$LQ$2:$LQ$60=AO$3)*(GMWQ!$LP$2:$LP$60=AO$4)*(GMWQ!$LR$2:$LR$60=AO$1),0),$B176-1966)</f>
        <v>14017</v>
      </c>
      <c r="AP176" s="23" cm="1">
        <f t="array" ref="AP176">INDEX(GMWQ!$A$2:$LR$60,MATCH(1,(GMWQ!$LQ$2:$LQ$60=AP$3)*(GMWQ!$LP$2:$LP$60=AP$4)*(GMWQ!$LR$2:$LR$60=AP$1),0),$B176-1966)</f>
        <v>-712</v>
      </c>
      <c r="AQ176" s="23" cm="1">
        <f t="array" ref="AQ176">INDEX(GMWQ!$A$2:$LR$60,MATCH(1,(GMWQ!$LQ$2:$LQ$60=AQ$3)*(GMWQ!$LP$2:$LP$60=AQ$4)*(GMWQ!$LR$2:$LR$60=AQ$1),0),$B176-1966)</f>
        <v>57030</v>
      </c>
      <c r="AR176" s="23" cm="1">
        <f t="array" ref="AR176">INDEX(GMWQ!$A$2:$LR$60,MATCH(1,(GMWQ!$LQ$2:$LQ$60=AR$3)*(GMWQ!$LP$2:$LP$60=AR$4)*(GMWQ!$LR$2:$LR$60=AR$1),0),$B176-1966)</f>
        <v>295299</v>
      </c>
      <c r="AS176" s="23" cm="1">
        <f t="array" ref="AS176">INDEX(GMWQ!$A$2:$LR$60,MATCH(1,(GMWQ!$LQ$2:$LQ$60=AS$3)*(GMWQ!$LP$2:$LP$60=AS$4)*(GMWQ!$LR$2:$LR$60=AS$1),0),$B176-1966)</f>
        <v>10137</v>
      </c>
      <c r="AT176" s="23" cm="1">
        <f t="array" ref="AT176">INDEX(GMWQ!$A$2:$LR$60,MATCH(1,(GMWQ!$LQ$2:$LQ$60=AT$3)*(GMWQ!$LP$2:$LP$60=AT$4)*(GMWQ!$LR$2:$LR$60=AT$1),0),$B176-1966)</f>
        <v>315885</v>
      </c>
      <c r="AU176" s="23" cm="1">
        <f t="array" ref="AU176">INDEX(GMWQ!$A$2:$LR$60,MATCH(1,(GMWQ!$LQ$2:$LQ$60=AU$3)*(GMWQ!$LP$2:$LP$60=AU$4)*(GMWQ!$LR$2:$LR$60=AU$1),0),$B176-1966)</f>
        <v>10876</v>
      </c>
    </row>
    <row r="177" spans="1:47" x14ac:dyDescent="0.35">
      <c r="B177" s="7">
        <f t="shared" ref="B177:B240" si="4">+B176+1</f>
        <v>2143</v>
      </c>
      <c r="C177" s="7" cm="1">
        <f t="array" ref="C177">INDEX(GMWQ!$A$2:$LR$60,MATCH(1,(GMWQ!$LQ$2:$LQ$60=C$3)*(GMWQ!$LP$2:$LP$60=C$4)*(GMWQ!$LR$2:$LR$60=C$1),0),$B177-1966)</f>
        <v>518915</v>
      </c>
      <c r="D177" s="7" cm="1">
        <f t="array" ref="D177">INDEX(GMWQ!$A$2:$LR$60,MATCH(1,(GMWQ!$LQ$2:$LQ$60=D$3)*(GMWQ!$LP$2:$LP$60=D$4)*(GMWQ!$LR$2:$LR$60=D$1),0),$B177-1966)</f>
        <v>483.66669999999999</v>
      </c>
      <c r="E177" s="7" cm="1">
        <f t="array" ref="E177">INDEX(GMWQ!$A$2:$LR$60,MATCH(1,(GMWQ!$LQ$2:$LQ$60=E$3)*(GMWQ!$LP$2:$LP$60=E$4)*(GMWQ!$LR$2:$LR$60=E$1),0),$B177-1966)</f>
        <v>100.16670000000001</v>
      </c>
      <c r="F177" s="7" cm="1">
        <f t="array" ref="F177">INDEX(GMWQ!$A$2:$LR$60,MATCH(1,(GMWQ!$LQ$2:$LQ$60=F$3)*(GMWQ!$LP$2:$LP$60=F$4)*(GMWQ!$LR$2:$LR$60=F$1),0),$B177-1966)</f>
        <v>193493</v>
      </c>
      <c r="G177" s="7" cm="1">
        <f t="array" ref="G177">INDEX(GMWQ!$A$2:$LR$60,MATCH(1,(GMWQ!$LQ$2:$LQ$60=G$3)*(GMWQ!$LP$2:$LP$60=G$4)*(GMWQ!$LR$2:$LR$60=G$1),0),$B177-1966)</f>
        <v>42852</v>
      </c>
      <c r="H177" s="7" cm="1">
        <f t="array" ref="H177">INDEX(GMWQ!$A$2:$LR$60,MATCH(1,(GMWQ!$LQ$2:$LQ$60=H$3)*(GMWQ!$LP$2:$LP$60=H$4)*(GMWQ!$LR$2:$LR$60=H$1),0),$B177-1966)</f>
        <v>14022</v>
      </c>
      <c r="I177" s="7" cm="1">
        <f t="array" ref="I177">INDEX(GMWQ!$A$2:$LR$60,MATCH(1,(GMWQ!$LQ$2:$LQ$60=I$3)*(GMWQ!$LP$2:$LP$60=I$4)*(GMWQ!$LR$2:$LR$60=I$1),0),$B177-1966)</f>
        <v>93.725009999999997</v>
      </c>
      <c r="J177" s="7" cm="1">
        <f t="array" ref="J177">INDEX(GMWQ!$A$2:$LR$60,MATCH(1,(GMWQ!$LQ$2:$LQ$60=J$3)*(GMWQ!$LP$2:$LP$60=J$4)*(GMWQ!$LR$2:$LR$60=J$1),0),$B177-1966)</f>
        <v>26554</v>
      </c>
      <c r="K177" s="7" cm="1">
        <f t="array" ref="K177">INDEX(GMWQ!$A$2:$LR$60,MATCH(1,(GMWQ!$LQ$2:$LQ$60=K$3)*(GMWQ!$LP$2:$LP$60=K$4)*(GMWQ!$LR$2:$LR$60=K$1),0),$B177-1966)</f>
        <v>0.5</v>
      </c>
      <c r="L177" s="7" cm="1">
        <f t="array" ref="L177">INDEX(GMWQ!$A$2:$LR$60,MATCH(1,(GMWQ!$LQ$2:$LQ$60=L$3)*(GMWQ!$LP$2:$LP$60=L$4)*(GMWQ!$LR$2:$LR$60=L$1),0),$B177-1966)</f>
        <v>5.4</v>
      </c>
      <c r="M177" s="7" cm="1">
        <f t="array" ref="M177">INDEX(GMWQ!$A$2:$LR$60,MATCH(1,(GMWQ!$LQ$2:$LQ$60=M$3)*(GMWQ!$LP$2:$LP$60=M$4)*(GMWQ!$LR$2:$LR$60=M$1),0),$B177-1966)</f>
        <v>103.59399999999999</v>
      </c>
      <c r="N177" s="7" cm="1">
        <f t="array" ref="N177">INDEX(GMWQ!$A$2:$LR$60,MATCH(1,(GMWQ!$LQ$2:$LQ$60=N$3)*(GMWQ!$LP$2:$LP$60=N$4)*(GMWQ!$LR$2:$LR$60=N$1),0),$B177-1966)</f>
        <v>6985</v>
      </c>
      <c r="O177" s="7" cm="1">
        <f t="array" ref="O177">INDEX(GMWQ!$A$2:$LR$60,MATCH(1,(GMWQ!$LQ$2:$LQ$60=O$3)*(GMWQ!$LP$2:$LP$60=O$4)*(GMWQ!$LR$2:$LR$60=O$1),0),$B177-1966)</f>
        <v>6475</v>
      </c>
      <c r="P177" s="7" cm="1">
        <f t="array" ref="P177">INDEX(GMWQ!$A$2:$LR$60,MATCH(1,(GMWQ!$LQ$2:$LQ$60=P$3)*(GMWQ!$LP$2:$LP$60=P$4)*(GMWQ!$LR$2:$LR$60=P$1),0),$B177-1966)</f>
        <v>327229</v>
      </c>
      <c r="Q177" s="7" cm="1">
        <f t="array" ref="Q177">INDEX(GMWQ!$A$2:$LR$60,MATCH(1,(GMWQ!$LQ$2:$LQ$60=Q$3)*(GMWQ!$LP$2:$LP$60=Q$4)*(GMWQ!$LR$2:$LR$60=Q$1),0),$B177-1966)</f>
        <v>3.056667</v>
      </c>
      <c r="R177" s="7" cm="1">
        <f t="array" ref="R177">INDEX(GMWQ!$A$2:$LR$60,MATCH(1,(GMWQ!$LQ$2:$LQ$60=R$3)*(GMWQ!$LP$2:$LP$60=R$4)*(GMWQ!$LR$2:$LR$60=R$1),0),$B177-1966)</f>
        <v>214414</v>
      </c>
      <c r="S177" s="7" cm="1">
        <f t="array" ref="S177">INDEX(GMWQ!$A$2:$LR$60,MATCH(1,(GMWQ!$LQ$2:$LQ$60=S$3)*(GMWQ!$LP$2:$LP$60=S$4)*(GMWQ!$LR$2:$LR$60=S$1),0),$B177-1966)</f>
        <v>314.89</v>
      </c>
      <c r="T177" s="7" cm="1">
        <f t="array" ref="T177">INDEX(GMWQ!$A$2:$LR$60,MATCH(1,(GMWQ!$LQ$2:$LQ$60=T$3)*(GMWQ!$LP$2:$LP$60=T$4)*(GMWQ!$LR$2:$LR$60=T$1),0),$B177-1966)</f>
        <v>57257</v>
      </c>
      <c r="U177" s="7" cm="1">
        <f t="array" ref="U177">INDEX(GMWQ!$A$2:$LR$60,MATCH(1,(GMWQ!$LQ$2:$LQ$60=U$3)*(GMWQ!$LP$2:$LP$60=U$4)*(GMWQ!$LR$2:$LR$60=U$1),0),$B177-1966)</f>
        <v>10515</v>
      </c>
      <c r="V177" s="7" cm="1">
        <f t="array" ref="V177">INDEX(GMWQ!$A$2:$LR$60,MATCH(1,(GMWQ!$LQ$2:$LQ$60=V$3)*(GMWQ!$LP$2:$LP$60=V$4)*(GMWQ!$LR$2:$LR$60=V$1),0),$B177-1966)</f>
        <v>1.1525820000000001E-3</v>
      </c>
      <c r="W177" s="7" cm="1">
        <f t="array" ref="W177">INDEX(GMWQ!$A$2:$LR$60,MATCH(1,(GMWQ!$LQ$2:$LQ$60=W$3)*(GMWQ!$LP$2:$LP$60=W$4)*(GMWQ!$LR$2:$LR$60=W$1),0),$B177-1966)</f>
        <v>7.5082459999999998</v>
      </c>
      <c r="X177" s="7" cm="1">
        <f t="array" ref="X177">INDEX(GMWQ!$A$2:$LR$60,MATCH(1,(GMWQ!$LQ$2:$LQ$60=X$3)*(GMWQ!$LP$2:$LP$60=X$4)*(GMWQ!$LR$2:$LR$60=X$1),0),$B177-1966)</f>
        <v>3588482</v>
      </c>
      <c r="Y177" s="7" cm="1">
        <f t="array" ref="Y177">INDEX(GMWQ!$A$2:$LR$60,MATCH(1,(GMWQ!$LQ$2:$LQ$60=Y$3)*(GMWQ!$LP$2:$LP$60=Y$4)*(GMWQ!$LR$2:$LR$60=Y$1),0),$B177-1966)</f>
        <v>92.478539999999995</v>
      </c>
      <c r="Z177" s="7" cm="1">
        <f t="array" ref="Z177">INDEX(GMWQ!$A$2:$LR$60,MATCH(1,(GMWQ!$LQ$2:$LQ$60=Z$3)*(GMWQ!$LP$2:$LP$60=Z$4)*(GMWQ!$LR$2:$LR$60=Z$1),0),$B177-1966)</f>
        <v>524180.8</v>
      </c>
      <c r="AA177" s="7" cm="1">
        <f t="array" ref="AA177">INDEX(GMWQ!$A$2:$LR$60,MATCH(1,(GMWQ!$LQ$2:$LQ$60=AA$3)*(GMWQ!$LP$2:$LP$60=AA$4)*(GMWQ!$LR$2:$LR$60=AA$1),0),$B177-1966)</f>
        <v>176091</v>
      </c>
      <c r="AB177" s="7" cm="1">
        <f t="array" ref="AB177">INDEX(GMWQ!$A$2:$LR$60,MATCH(1,(GMWQ!$LQ$2:$LQ$60=AB$3)*(GMWQ!$LP$2:$LP$60=AB$4)*(GMWQ!$LR$2:$LR$60=AB$1),0),$B177-1966)</f>
        <v>179267</v>
      </c>
      <c r="AC177" s="7" cm="1">
        <f t="array" ref="AC177">INDEX(GMWQ!$A$2:$LR$60,MATCH(1,(GMWQ!$LQ$2:$LQ$60=AC$3)*(GMWQ!$LP$2:$LP$60=AC$4)*(GMWQ!$LR$2:$LR$60=AC$1),0),$B177-1966)</f>
        <v>7311</v>
      </c>
      <c r="AD177" s="7" cm="1">
        <f t="array" ref="AD177">INDEX(GMWQ!$A$2:$LR$60,MATCH(1,(GMWQ!$LQ$2:$LQ$60=AD$3)*(GMWQ!$LP$2:$LP$60=AD$4)*(GMWQ!$LR$2:$LR$60=AD$1),0),$B177-1966)</f>
        <v>11966</v>
      </c>
      <c r="AE177" s="7" cm="1">
        <f t="array" ref="AE177">INDEX(GMWQ!$A$2:$LR$60,MATCH(1,(GMWQ!$LQ$2:$LQ$60=AE$3)*(GMWQ!$LP$2:$LP$60=AE$4)*(GMWQ!$LR$2:$LR$60=AE$1),0),$B177-1966)</f>
        <v>479885</v>
      </c>
      <c r="AF177" s="20" cm="1">
        <f t="array" ref="AF177">INDEX(GMWQ!$A$2:$LR$60,MATCH(1,(GMWQ!$LQ$2:$LQ$60=AF$3)*(GMWQ!$LP$2:$LP$60=AF$4)*(GMWQ!$LR$2:$LR$60=AF$1),0),$B177-1966)</f>
        <v>0.5</v>
      </c>
      <c r="AG177" s="20" cm="1">
        <f t="array" ref="AG177">INDEX(GMWQ!$A$2:$LR$60,MATCH(1,(GMWQ!$LQ$2:$LQ$60=AG$3)*(GMWQ!$LP$2:$LP$60=AG$4)*(GMWQ!$LR$2:$LR$60=AG$1),0),$B177-1966)</f>
        <v>-510</v>
      </c>
      <c r="AI177" s="23" cm="1">
        <f t="array" ref="AI177">INDEX(GMWQ!$A$2:$LR$60,MATCH(1,(GMWQ!$LQ$2:$LQ$60=AI$3)*(GMWQ!$LP$2:$LP$60=AI$4)*(GMWQ!$LR$2:$LR$60=AI$1),0),$B177-1966)</f>
        <v>327229</v>
      </c>
      <c r="AJ177" s="23" cm="1">
        <f t="array" ref="AJ177">INDEX(GMWQ!$A$2:$LR$60,MATCH(1,(GMWQ!$LQ$2:$LQ$60=AJ$3)*(GMWQ!$LP$2:$LP$60=AJ$4)*(GMWQ!$LR$2:$LR$60=AJ$1),0),$B177-1966)</f>
        <v>93.725009999999997</v>
      </c>
      <c r="AK177" s="23" cm="1">
        <f t="array" ref="AK177">INDEX(GMWQ!$A$2:$LR$60,MATCH(1,(GMWQ!$LQ$2:$LQ$60=AK$3)*(GMWQ!$LP$2:$LP$60=AK$4)*(GMWQ!$LR$2:$LR$60=AK$1),0),$B177-1966)</f>
        <v>193493</v>
      </c>
      <c r="AL177" s="23" cm="1">
        <f t="array" ref="AL177">INDEX(GMWQ!$A$2:$LR$60,MATCH(1,(GMWQ!$LQ$2:$LQ$60=AL$3)*(GMWQ!$LP$2:$LP$60=AL$4)*(GMWQ!$LR$2:$LR$60=AL$1),0),$B177-1966)</f>
        <v>7286.7740000000003</v>
      </c>
      <c r="AM177" s="23" cm="1">
        <f t="array" ref="AM177">INDEX(GMWQ!$A$2:$LR$60,MATCH(1,(GMWQ!$LQ$2:$LQ$60=AM$3)*(GMWQ!$LP$2:$LP$60=AM$4)*(GMWQ!$LR$2:$LR$60=AM$1),0),$B177-1966)</f>
        <v>26554</v>
      </c>
      <c r="AN177" s="23" cm="1">
        <f t="array" ref="AN177">INDEX(GMWQ!$A$2:$LR$60,MATCH(1,(GMWQ!$LQ$2:$LQ$60=AN$3)*(GMWQ!$LP$2:$LP$60=AN$4)*(GMWQ!$LR$2:$LR$60=AN$1),0),$B177-1966)</f>
        <v>42852</v>
      </c>
      <c r="AO177" s="23" cm="1">
        <f t="array" ref="AO177">INDEX(GMWQ!$A$2:$LR$60,MATCH(1,(GMWQ!$LQ$2:$LQ$60=AO$3)*(GMWQ!$LP$2:$LP$60=AO$4)*(GMWQ!$LR$2:$LR$60=AO$1),0),$B177-1966)</f>
        <v>14022</v>
      </c>
      <c r="AP177" s="23" cm="1">
        <f t="array" ref="AP177">INDEX(GMWQ!$A$2:$LR$60,MATCH(1,(GMWQ!$LQ$2:$LQ$60=AP$3)*(GMWQ!$LP$2:$LP$60=AP$4)*(GMWQ!$LR$2:$LR$60=AP$1),0),$B177-1966)</f>
        <v>-510</v>
      </c>
      <c r="AQ177" s="23" cm="1">
        <f t="array" ref="AQ177">INDEX(GMWQ!$A$2:$LR$60,MATCH(1,(GMWQ!$LQ$2:$LQ$60=AQ$3)*(GMWQ!$LP$2:$LP$60=AQ$4)*(GMWQ!$LR$2:$LR$60=AQ$1),0),$B177-1966)</f>
        <v>57705</v>
      </c>
      <c r="AR177" s="23" cm="1">
        <f t="array" ref="AR177">INDEX(GMWQ!$A$2:$LR$60,MATCH(1,(GMWQ!$LQ$2:$LQ$60=AR$3)*(GMWQ!$LP$2:$LP$60=AR$4)*(GMWQ!$LR$2:$LR$60=AR$1),0),$B177-1966)</f>
        <v>299876</v>
      </c>
      <c r="AS177" s="23" cm="1">
        <f t="array" ref="AS177">INDEX(GMWQ!$A$2:$LR$60,MATCH(1,(GMWQ!$LQ$2:$LQ$60=AS$3)*(GMWQ!$LP$2:$LP$60=AS$4)*(GMWQ!$LR$2:$LR$60=AS$1),0),$B177-1966)</f>
        <v>10184</v>
      </c>
      <c r="AT177" s="23" cm="1">
        <f t="array" ref="AT177">INDEX(GMWQ!$A$2:$LR$60,MATCH(1,(GMWQ!$LQ$2:$LQ$60=AT$3)*(GMWQ!$LP$2:$LP$60=AT$4)*(GMWQ!$LR$2:$LR$60=AT$1),0),$B177-1966)</f>
        <v>319953</v>
      </c>
      <c r="AU177" s="23" cm="1">
        <f t="array" ref="AU177">INDEX(GMWQ!$A$2:$LR$60,MATCH(1,(GMWQ!$LQ$2:$LQ$60=AU$3)*(GMWQ!$LP$2:$LP$60=AU$4)*(GMWQ!$LR$2:$LR$60=AU$1),0),$B177-1966)</f>
        <v>10798</v>
      </c>
    </row>
    <row r="178" spans="1:47" x14ac:dyDescent="0.35">
      <c r="B178" s="7">
        <f t="shared" si="4"/>
        <v>2144</v>
      </c>
      <c r="C178" s="7" cm="1">
        <f t="array" ref="C178">INDEX(GMWQ!$A$2:$LR$60,MATCH(1,(GMWQ!$LQ$2:$LQ$60=C$3)*(GMWQ!$LP$2:$LP$60=C$4)*(GMWQ!$LR$2:$LR$60=C$1),0),$B178-1966)</f>
        <v>521920</v>
      </c>
      <c r="D178" s="7" cm="1">
        <f t="array" ref="D178">INDEX(GMWQ!$A$2:$LR$60,MATCH(1,(GMWQ!$LQ$2:$LQ$60=D$3)*(GMWQ!$LP$2:$LP$60=D$4)*(GMWQ!$LR$2:$LR$60=D$1),0),$B178-1966)</f>
        <v>485</v>
      </c>
      <c r="E178" s="7" cm="1">
        <f t="array" ref="E178">INDEX(GMWQ!$A$2:$LR$60,MATCH(1,(GMWQ!$LQ$2:$LQ$60=E$3)*(GMWQ!$LP$2:$LP$60=E$4)*(GMWQ!$LR$2:$LR$60=E$1),0),$B178-1966)</f>
        <v>100.3</v>
      </c>
      <c r="F178" s="7" cm="1">
        <f t="array" ref="F178">INDEX(GMWQ!$A$2:$LR$60,MATCH(1,(GMWQ!$LQ$2:$LQ$60=F$3)*(GMWQ!$LP$2:$LP$60=F$4)*(GMWQ!$LR$2:$LR$60=F$1),0),$B178-1966)</f>
        <v>194472</v>
      </c>
      <c r="G178" s="7" cm="1">
        <f t="array" ref="G178">INDEX(GMWQ!$A$2:$LR$60,MATCH(1,(GMWQ!$LQ$2:$LQ$60=G$3)*(GMWQ!$LP$2:$LP$60=G$4)*(GMWQ!$LR$2:$LR$60=G$1),0),$B178-1966)</f>
        <v>43429</v>
      </c>
      <c r="H178" s="7" cm="1">
        <f t="array" ref="H178">INDEX(GMWQ!$A$2:$LR$60,MATCH(1,(GMWQ!$LQ$2:$LQ$60=H$3)*(GMWQ!$LP$2:$LP$60=H$4)*(GMWQ!$LR$2:$LR$60=H$1),0),$B178-1966)</f>
        <v>14118</v>
      </c>
      <c r="I178" s="7" cm="1">
        <f t="array" ref="I178">INDEX(GMWQ!$A$2:$LR$60,MATCH(1,(GMWQ!$LQ$2:$LQ$60=I$3)*(GMWQ!$LP$2:$LP$60=I$4)*(GMWQ!$LR$2:$LR$60=I$1),0),$B178-1966)</f>
        <v>93.833690000000004</v>
      </c>
      <c r="J178" s="7" cm="1">
        <f t="array" ref="J178">INDEX(GMWQ!$A$2:$LR$60,MATCH(1,(GMWQ!$LQ$2:$LQ$60=J$3)*(GMWQ!$LP$2:$LP$60=J$4)*(GMWQ!$LR$2:$LR$60=J$1),0),$B178-1966)</f>
        <v>26666</v>
      </c>
      <c r="K178" s="7" cm="1">
        <f t="array" ref="K178">INDEX(GMWQ!$A$2:$LR$60,MATCH(1,(GMWQ!$LQ$2:$LQ$60=K$3)*(GMWQ!$LP$2:$LP$60=K$4)*(GMWQ!$LR$2:$LR$60=K$1),0),$B178-1966)</f>
        <v>0.5</v>
      </c>
      <c r="L178" s="7" cm="1">
        <f t="array" ref="L178">INDEX(GMWQ!$A$2:$LR$60,MATCH(1,(GMWQ!$LQ$2:$LQ$60=L$3)*(GMWQ!$LP$2:$LP$60=L$4)*(GMWQ!$LR$2:$LR$60=L$1),0),$B178-1966)</f>
        <v>5.0999999999999996</v>
      </c>
      <c r="M178" s="7" cm="1">
        <f t="array" ref="M178">INDEX(GMWQ!$A$2:$LR$60,MATCH(1,(GMWQ!$LQ$2:$LQ$60=M$3)*(GMWQ!$LP$2:$LP$60=M$4)*(GMWQ!$LR$2:$LR$60=M$1),0),$B178-1966)</f>
        <v>106.041</v>
      </c>
      <c r="N178" s="7" cm="1">
        <f t="array" ref="N178">INDEX(GMWQ!$A$2:$LR$60,MATCH(1,(GMWQ!$LQ$2:$LQ$60=N$3)*(GMWQ!$LP$2:$LP$60=N$4)*(GMWQ!$LR$2:$LR$60=N$1),0),$B178-1966)</f>
        <v>7177</v>
      </c>
      <c r="O178" s="7" cm="1">
        <f t="array" ref="O178">INDEX(GMWQ!$A$2:$LR$60,MATCH(1,(GMWQ!$LQ$2:$LQ$60=O$3)*(GMWQ!$LP$2:$LP$60=O$4)*(GMWQ!$LR$2:$LR$60=O$1),0),$B178-1966)</f>
        <v>6482</v>
      </c>
      <c r="P178" s="7" cm="1">
        <f t="array" ref="P178">INDEX(GMWQ!$A$2:$LR$60,MATCH(1,(GMWQ!$LQ$2:$LQ$60=P$3)*(GMWQ!$LP$2:$LP$60=P$4)*(GMWQ!$LR$2:$LR$60=P$1),0),$B178-1966)</f>
        <v>327422</v>
      </c>
      <c r="Q178" s="7" cm="1">
        <f t="array" ref="Q178">INDEX(GMWQ!$A$2:$LR$60,MATCH(1,(GMWQ!$LQ$2:$LQ$60=Q$3)*(GMWQ!$LP$2:$LP$60=Q$4)*(GMWQ!$LR$2:$LR$60=Q$1),0),$B178-1966)</f>
        <v>3.01</v>
      </c>
      <c r="R178" s="7" cm="1">
        <f t="array" ref="R178">INDEX(GMWQ!$A$2:$LR$60,MATCH(1,(GMWQ!$LQ$2:$LQ$60=R$3)*(GMWQ!$LP$2:$LP$60=R$4)*(GMWQ!$LR$2:$LR$60=R$1),0),$B178-1966)</f>
        <v>212052</v>
      </c>
      <c r="S178" s="7" cm="1">
        <f t="array" ref="S178">INDEX(GMWQ!$A$2:$LR$60,MATCH(1,(GMWQ!$LQ$2:$LQ$60=S$3)*(GMWQ!$LP$2:$LP$60=S$4)*(GMWQ!$LR$2:$LR$60=S$1),0),$B178-1966)</f>
        <v>319.06</v>
      </c>
      <c r="T178" s="7" cm="1">
        <f t="array" ref="T178">INDEX(GMWQ!$A$2:$LR$60,MATCH(1,(GMWQ!$LQ$2:$LQ$60=T$3)*(GMWQ!$LP$2:$LP$60=T$4)*(GMWQ!$LR$2:$LR$60=T$1),0),$B178-1966)</f>
        <v>59541</v>
      </c>
      <c r="U178" s="7" cm="1">
        <f t="array" ref="U178">INDEX(GMWQ!$A$2:$LR$60,MATCH(1,(GMWQ!$LQ$2:$LQ$60=U$3)*(GMWQ!$LP$2:$LP$60=U$4)*(GMWQ!$LR$2:$LR$60=U$1),0),$B178-1966)</f>
        <v>11042</v>
      </c>
      <c r="V178" s="7" cm="1">
        <f t="array" ref="V178">INDEX(GMWQ!$A$2:$LR$60,MATCH(1,(GMWQ!$LQ$2:$LQ$60=V$3)*(GMWQ!$LP$2:$LP$60=V$4)*(GMWQ!$LR$2:$LR$60=V$1),0),$B178-1966)</f>
        <v>1.149497E-3</v>
      </c>
      <c r="W178" s="7" cm="1">
        <f t="array" ref="W178">INDEX(GMWQ!$A$2:$LR$60,MATCH(1,(GMWQ!$LQ$2:$LQ$60=W$3)*(GMWQ!$LP$2:$LP$60=W$4)*(GMWQ!$LR$2:$LR$60=W$1),0),$B178-1966)</f>
        <v>7.5275020000000001</v>
      </c>
      <c r="X178" s="7" cm="1">
        <f t="array" ref="X178">INDEX(GMWQ!$A$2:$LR$60,MATCH(1,(GMWQ!$LQ$2:$LQ$60=X$3)*(GMWQ!$LP$2:$LP$60=X$4)*(GMWQ!$LR$2:$LR$60=X$1),0),$B178-1966)</f>
        <v>3639289</v>
      </c>
      <c r="Y178" s="7" cm="1">
        <f t="array" ref="Y178">INDEX(GMWQ!$A$2:$LR$60,MATCH(1,(GMWQ!$LQ$2:$LQ$60=Y$3)*(GMWQ!$LP$2:$LP$60=Y$4)*(GMWQ!$LR$2:$LR$60=Y$1),0),$B178-1966)</f>
        <v>92.973249999999993</v>
      </c>
      <c r="Z178" s="7" cm="1">
        <f t="array" ref="Z178">INDEX(GMWQ!$A$2:$LR$60,MATCH(1,(GMWQ!$LQ$2:$LQ$60=Z$3)*(GMWQ!$LP$2:$LP$60=Z$4)*(GMWQ!$LR$2:$LR$60=Z$1),0),$B178-1966)</f>
        <v>531364.1</v>
      </c>
      <c r="AA178" s="7" cm="1">
        <f t="array" ref="AA178">INDEX(GMWQ!$A$2:$LR$60,MATCH(1,(GMWQ!$LQ$2:$LQ$60=AA$3)*(GMWQ!$LP$2:$LP$60=AA$4)*(GMWQ!$LR$2:$LR$60=AA$1),0),$B178-1966)</f>
        <v>170248</v>
      </c>
      <c r="AB178" s="7" cm="1">
        <f t="array" ref="AB178">INDEX(GMWQ!$A$2:$LR$60,MATCH(1,(GMWQ!$LQ$2:$LQ$60=AB$3)*(GMWQ!$LP$2:$LP$60=AB$4)*(GMWQ!$LR$2:$LR$60=AB$1),0),$B178-1966)</f>
        <v>179616</v>
      </c>
      <c r="AC178" s="7" cm="1">
        <f t="array" ref="AC178">INDEX(GMWQ!$A$2:$LR$60,MATCH(1,(GMWQ!$LQ$2:$LQ$60=AC$3)*(GMWQ!$LP$2:$LP$60=AC$4)*(GMWQ!$LR$2:$LR$60=AC$1),0),$B178-1966)</f>
        <v>6045</v>
      </c>
      <c r="AD178" s="7" cm="1">
        <f t="array" ref="AD178">INDEX(GMWQ!$A$2:$LR$60,MATCH(1,(GMWQ!$LQ$2:$LQ$60=AD$3)*(GMWQ!$LP$2:$LP$60=AD$4)*(GMWQ!$LR$2:$LR$60=AD$1),0),$B178-1966)</f>
        <v>12004</v>
      </c>
      <c r="AE178" s="7" cm="1">
        <f t="array" ref="AE178">INDEX(GMWQ!$A$2:$LR$60,MATCH(1,(GMWQ!$LQ$2:$LQ$60=AE$3)*(GMWQ!$LP$2:$LP$60=AE$4)*(GMWQ!$LR$2:$LR$60=AE$1),0),$B178-1966)</f>
        <v>485246</v>
      </c>
      <c r="AF178" s="20" cm="1">
        <f t="array" ref="AF178">INDEX(GMWQ!$A$2:$LR$60,MATCH(1,(GMWQ!$LQ$2:$LQ$60=AF$3)*(GMWQ!$LP$2:$LP$60=AF$4)*(GMWQ!$LR$2:$LR$60=AF$1),0),$B178-1966)</f>
        <v>0.5</v>
      </c>
      <c r="AG178" s="20" cm="1">
        <f t="array" ref="AG178">INDEX(GMWQ!$A$2:$LR$60,MATCH(1,(GMWQ!$LQ$2:$LQ$60=AG$3)*(GMWQ!$LP$2:$LP$60=AG$4)*(GMWQ!$LR$2:$LR$60=AG$1),0),$B178-1966)</f>
        <v>-695</v>
      </c>
      <c r="AI178" s="23" cm="1">
        <f t="array" ref="AI178">INDEX(GMWQ!$A$2:$LR$60,MATCH(1,(GMWQ!$LQ$2:$LQ$60=AI$3)*(GMWQ!$LP$2:$LP$60=AI$4)*(GMWQ!$LR$2:$LR$60=AI$1),0),$B178-1966)</f>
        <v>327422</v>
      </c>
      <c r="AJ178" s="23" cm="1">
        <f t="array" ref="AJ178">INDEX(GMWQ!$A$2:$LR$60,MATCH(1,(GMWQ!$LQ$2:$LQ$60=AJ$3)*(GMWQ!$LP$2:$LP$60=AJ$4)*(GMWQ!$LR$2:$LR$60=AJ$1),0),$B178-1966)</f>
        <v>93.833690000000004</v>
      </c>
      <c r="AK178" s="23" cm="1">
        <f t="array" ref="AK178">INDEX(GMWQ!$A$2:$LR$60,MATCH(1,(GMWQ!$LQ$2:$LQ$60=AK$3)*(GMWQ!$LP$2:$LP$60=AK$4)*(GMWQ!$LR$2:$LR$60=AK$1),0),$B178-1966)</f>
        <v>194472</v>
      </c>
      <c r="AL178" s="23" cm="1">
        <f t="array" ref="AL178">INDEX(GMWQ!$A$2:$LR$60,MATCH(1,(GMWQ!$LQ$2:$LQ$60=AL$3)*(GMWQ!$LP$2:$LP$60=AL$4)*(GMWQ!$LR$2:$LR$60=AL$1),0),$B178-1966)</f>
        <v>7292.8819999999996</v>
      </c>
      <c r="AM178" s="23" cm="1">
        <f t="array" ref="AM178">INDEX(GMWQ!$A$2:$LR$60,MATCH(1,(GMWQ!$LQ$2:$LQ$60=AM$3)*(GMWQ!$LP$2:$LP$60=AM$4)*(GMWQ!$LR$2:$LR$60=AM$1),0),$B178-1966)</f>
        <v>26666</v>
      </c>
      <c r="AN178" s="23" cm="1">
        <f t="array" ref="AN178">INDEX(GMWQ!$A$2:$LR$60,MATCH(1,(GMWQ!$LQ$2:$LQ$60=AN$3)*(GMWQ!$LP$2:$LP$60=AN$4)*(GMWQ!$LR$2:$LR$60=AN$1),0),$B178-1966)</f>
        <v>43429</v>
      </c>
      <c r="AO178" s="23" cm="1">
        <f t="array" ref="AO178">INDEX(GMWQ!$A$2:$LR$60,MATCH(1,(GMWQ!$LQ$2:$LQ$60=AO$3)*(GMWQ!$LP$2:$LP$60=AO$4)*(GMWQ!$LR$2:$LR$60=AO$1),0),$B178-1966)</f>
        <v>14118</v>
      </c>
      <c r="AP178" s="23" cm="1">
        <f t="array" ref="AP178">INDEX(GMWQ!$A$2:$LR$60,MATCH(1,(GMWQ!$LQ$2:$LQ$60=AP$3)*(GMWQ!$LP$2:$LP$60=AP$4)*(GMWQ!$LR$2:$LR$60=AP$1),0),$B178-1966)</f>
        <v>-695</v>
      </c>
      <c r="AQ178" s="23" cm="1">
        <f t="array" ref="AQ178">INDEX(GMWQ!$A$2:$LR$60,MATCH(1,(GMWQ!$LQ$2:$LQ$60=AQ$3)*(GMWQ!$LP$2:$LP$60=AQ$4)*(GMWQ!$LR$2:$LR$60=AQ$1),0),$B178-1966)</f>
        <v>57851</v>
      </c>
      <c r="AR178" s="23" cm="1">
        <f t="array" ref="AR178">INDEX(GMWQ!$A$2:$LR$60,MATCH(1,(GMWQ!$LQ$2:$LQ$60=AR$3)*(GMWQ!$LP$2:$LP$60=AR$4)*(GMWQ!$LR$2:$LR$60=AR$1),0),$B178-1966)</f>
        <v>299489</v>
      </c>
      <c r="AS178" s="23" cm="1">
        <f t="array" ref="AS178">INDEX(GMWQ!$A$2:$LR$60,MATCH(1,(GMWQ!$LQ$2:$LQ$60=AS$3)*(GMWQ!$LP$2:$LP$60=AS$4)*(GMWQ!$LR$2:$LR$60=AS$1),0),$B178-1966)</f>
        <v>10117</v>
      </c>
      <c r="AT178" s="23" cm="1">
        <f t="array" ref="AT178">INDEX(GMWQ!$A$2:$LR$60,MATCH(1,(GMWQ!$LQ$2:$LQ$60=AT$3)*(GMWQ!$LP$2:$LP$60=AT$4)*(GMWQ!$LR$2:$LR$60=AT$1),0),$B178-1966)</f>
        <v>319170</v>
      </c>
      <c r="AU178" s="23" cm="1">
        <f t="array" ref="AU178">INDEX(GMWQ!$A$2:$LR$60,MATCH(1,(GMWQ!$LQ$2:$LQ$60=AU$3)*(GMWQ!$LP$2:$LP$60=AU$4)*(GMWQ!$LR$2:$LR$60=AU$1),0),$B178-1966)</f>
        <v>10659</v>
      </c>
    </row>
    <row r="179" spans="1:47" x14ac:dyDescent="0.35">
      <c r="A179" s="7">
        <v>2016</v>
      </c>
      <c r="B179" s="7">
        <f t="shared" si="4"/>
        <v>2145</v>
      </c>
      <c r="C179" s="7" cm="1">
        <f t="array" ref="C179">INDEX(GMWQ!$A$2:$LR$60,MATCH(1,(GMWQ!$LQ$2:$LQ$60=C$3)*(GMWQ!$LP$2:$LP$60=C$4)*(GMWQ!$LR$2:$LR$60=C$1),0),$B179-1966)</f>
        <v>523813</v>
      </c>
      <c r="D179" s="7" cm="1">
        <f t="array" ref="D179">INDEX(GMWQ!$A$2:$LR$60,MATCH(1,(GMWQ!$LQ$2:$LQ$60=D$3)*(GMWQ!$LP$2:$LP$60=D$4)*(GMWQ!$LR$2:$LR$60=D$1),0),$B179-1966)</f>
        <v>488.33330000000001</v>
      </c>
      <c r="E179" s="7" cm="1">
        <f t="array" ref="E179">INDEX(GMWQ!$A$2:$LR$60,MATCH(1,(GMWQ!$LQ$2:$LQ$60=E$3)*(GMWQ!$LP$2:$LP$60=E$4)*(GMWQ!$LR$2:$LR$60=E$1),0),$B179-1966)</f>
        <v>99.833340000000007</v>
      </c>
      <c r="F179" s="7" cm="1">
        <f t="array" ref="F179">INDEX(GMWQ!$A$2:$LR$60,MATCH(1,(GMWQ!$LQ$2:$LQ$60=F$3)*(GMWQ!$LP$2:$LP$60=F$4)*(GMWQ!$LR$2:$LR$60=F$1),0),$B179-1966)</f>
        <v>196738</v>
      </c>
      <c r="G179" s="7" cm="1">
        <f t="array" ref="G179">INDEX(GMWQ!$A$2:$LR$60,MATCH(1,(GMWQ!$LQ$2:$LQ$60=G$3)*(GMWQ!$LP$2:$LP$60=G$4)*(GMWQ!$LR$2:$LR$60=G$1),0),$B179-1966)</f>
        <v>43807</v>
      </c>
      <c r="H179" s="7" cm="1">
        <f t="array" ref="H179">INDEX(GMWQ!$A$2:$LR$60,MATCH(1,(GMWQ!$LQ$2:$LQ$60=H$3)*(GMWQ!$LP$2:$LP$60=H$4)*(GMWQ!$LR$2:$LR$60=H$1),0),$B179-1966)</f>
        <v>14025</v>
      </c>
      <c r="I179" s="7" cm="1">
        <f t="array" ref="I179">INDEX(GMWQ!$A$2:$LR$60,MATCH(1,(GMWQ!$LQ$2:$LQ$60=I$3)*(GMWQ!$LP$2:$LP$60=I$4)*(GMWQ!$LR$2:$LR$60=I$1),0),$B179-1966)</f>
        <v>93.95232</v>
      </c>
      <c r="J179" s="7" cm="1">
        <f t="array" ref="J179">INDEX(GMWQ!$A$2:$LR$60,MATCH(1,(GMWQ!$LQ$2:$LQ$60=J$3)*(GMWQ!$LP$2:$LP$60=J$4)*(GMWQ!$LR$2:$LR$60=J$1),0),$B179-1966)</f>
        <v>26665</v>
      </c>
      <c r="K179" s="7" cm="1">
        <f t="array" ref="K179">INDEX(GMWQ!$A$2:$LR$60,MATCH(1,(GMWQ!$LQ$2:$LQ$60=K$3)*(GMWQ!$LP$2:$LP$60=K$4)*(GMWQ!$LR$2:$LR$60=K$1),0),$B179-1966)</f>
        <v>0.5</v>
      </c>
      <c r="L179" s="7" cm="1">
        <f t="array" ref="L179">INDEX(GMWQ!$A$2:$LR$60,MATCH(1,(GMWQ!$LQ$2:$LQ$60=L$3)*(GMWQ!$LP$2:$LP$60=L$4)*(GMWQ!$LR$2:$LR$60=L$1),0),$B179-1966)</f>
        <v>5.0999999999999996</v>
      </c>
      <c r="M179" s="7" cm="1">
        <f t="array" ref="M179">INDEX(GMWQ!$A$2:$LR$60,MATCH(1,(GMWQ!$LQ$2:$LQ$60=M$3)*(GMWQ!$LP$2:$LP$60=M$4)*(GMWQ!$LR$2:$LR$60=M$1),0),$B179-1966)</f>
        <v>108.3227</v>
      </c>
      <c r="N179" s="7" cm="1">
        <f t="array" ref="N179">INDEX(GMWQ!$A$2:$LR$60,MATCH(1,(GMWQ!$LQ$2:$LQ$60=N$3)*(GMWQ!$LP$2:$LP$60=N$4)*(GMWQ!$LR$2:$LR$60=N$1),0),$B179-1966)</f>
        <v>6857</v>
      </c>
      <c r="O179" s="7" cm="1">
        <f t="array" ref="O179">INDEX(GMWQ!$A$2:$LR$60,MATCH(1,(GMWQ!$LQ$2:$LQ$60=O$3)*(GMWQ!$LP$2:$LP$60=O$4)*(GMWQ!$LR$2:$LR$60=O$1),0),$B179-1966)</f>
        <v>5930</v>
      </c>
      <c r="P179" s="7" cm="1">
        <f t="array" ref="P179">INDEX(GMWQ!$A$2:$LR$60,MATCH(1,(GMWQ!$LQ$2:$LQ$60=P$3)*(GMWQ!$LP$2:$LP$60=P$4)*(GMWQ!$LR$2:$LR$60=P$1),0),$B179-1966)</f>
        <v>326430</v>
      </c>
      <c r="Q179" s="7" cm="1">
        <f t="array" ref="Q179">INDEX(GMWQ!$A$2:$LR$60,MATCH(1,(GMWQ!$LQ$2:$LQ$60=Q$3)*(GMWQ!$LP$2:$LP$60=Q$4)*(GMWQ!$LR$2:$LR$60=Q$1),0),$B179-1966)</f>
        <v>2.95</v>
      </c>
      <c r="R179" s="7" cm="1">
        <f t="array" ref="R179">INDEX(GMWQ!$A$2:$LR$60,MATCH(1,(GMWQ!$LQ$2:$LQ$60=R$3)*(GMWQ!$LP$2:$LP$60=R$4)*(GMWQ!$LR$2:$LR$60=R$1),0),$B179-1966)</f>
        <v>215056</v>
      </c>
      <c r="S179" s="7" cm="1">
        <f t="array" ref="S179">INDEX(GMWQ!$A$2:$LR$60,MATCH(1,(GMWQ!$LQ$2:$LQ$60=S$3)*(GMWQ!$LP$2:$LP$60=S$4)*(GMWQ!$LR$2:$LR$60=S$1),0),$B179-1966)</f>
        <v>385.89</v>
      </c>
      <c r="T179" s="7" cm="1">
        <f t="array" ref="T179">INDEX(GMWQ!$A$2:$LR$60,MATCH(1,(GMWQ!$LQ$2:$LQ$60=T$3)*(GMWQ!$LP$2:$LP$60=T$4)*(GMWQ!$LR$2:$LR$60=T$1),0),$B179-1966)</f>
        <v>69067</v>
      </c>
      <c r="U179" s="7" cm="1">
        <f t="array" ref="U179">INDEX(GMWQ!$A$2:$LR$60,MATCH(1,(GMWQ!$LQ$2:$LQ$60=U$3)*(GMWQ!$LP$2:$LP$60=U$4)*(GMWQ!$LR$2:$LR$60=U$1),0),$B179-1966)</f>
        <v>14544</v>
      </c>
      <c r="V179" s="7" cm="1">
        <f t="array" ref="V179">INDEX(GMWQ!$A$2:$LR$60,MATCH(1,(GMWQ!$LQ$2:$LQ$60=V$3)*(GMWQ!$LP$2:$LP$60=V$4)*(GMWQ!$LR$2:$LR$60=V$1),0),$B179-1966)</f>
        <v>1.1551479999999999E-3</v>
      </c>
      <c r="W179" s="7" cm="1">
        <f t="array" ref="W179">INDEX(GMWQ!$A$2:$LR$60,MATCH(1,(GMWQ!$LQ$2:$LQ$60=W$3)*(GMWQ!$LP$2:$LP$60=W$4)*(GMWQ!$LR$2:$LR$60=W$1),0),$B179-1966)</f>
        <v>7.5171710000000003</v>
      </c>
      <c r="X179" s="7" cm="1">
        <f t="array" ref="X179">INDEX(GMWQ!$A$2:$LR$60,MATCH(1,(GMWQ!$LQ$2:$LQ$60=X$3)*(GMWQ!$LP$2:$LP$60=X$4)*(GMWQ!$LR$2:$LR$60=X$1),0),$B179-1966)</f>
        <v>3678860</v>
      </c>
      <c r="Y179" s="7" cm="1">
        <f t="array" ref="Y179">INDEX(GMWQ!$A$2:$LR$60,MATCH(1,(GMWQ!$LQ$2:$LQ$60=Y$3)*(GMWQ!$LP$2:$LP$60=Y$4)*(GMWQ!$LR$2:$LR$60=Y$1),0),$B179-1966)</f>
        <v>93.493290000000002</v>
      </c>
      <c r="Z179" s="7" cm="1">
        <f t="array" ref="Z179">INDEX(GMWQ!$A$2:$LR$60,MATCH(1,(GMWQ!$LQ$2:$LQ$60=Z$3)*(GMWQ!$LP$2:$LP$60=Z$4)*(GMWQ!$LR$2:$LR$60=Z$1),0),$B179-1966)</f>
        <v>531067.1</v>
      </c>
      <c r="AA179" s="7" cm="1">
        <f t="array" ref="AA179">INDEX(GMWQ!$A$2:$LR$60,MATCH(1,(GMWQ!$LQ$2:$LQ$60=AA$3)*(GMWQ!$LP$2:$LP$60=AA$4)*(GMWQ!$LR$2:$LR$60=AA$1),0),$B179-1966)</f>
        <v>198718</v>
      </c>
      <c r="AB179" s="7" cm="1">
        <f t="array" ref="AB179">INDEX(GMWQ!$A$2:$LR$60,MATCH(1,(GMWQ!$LQ$2:$LQ$60=AB$3)*(GMWQ!$LP$2:$LP$60=AB$4)*(GMWQ!$LR$2:$LR$60=AB$1),0),$B179-1966)</f>
        <v>179117</v>
      </c>
      <c r="AC179" s="7" cm="1">
        <f t="array" ref="AC179">INDEX(GMWQ!$A$2:$LR$60,MATCH(1,(GMWQ!$LQ$2:$LQ$60=AC$3)*(GMWQ!$LP$2:$LP$60=AC$4)*(GMWQ!$LR$2:$LR$60=AC$1),0),$B179-1966)</f>
        <v>12151</v>
      </c>
      <c r="AD179" s="7" cm="1">
        <f t="array" ref="AD179">INDEX(GMWQ!$A$2:$LR$60,MATCH(1,(GMWQ!$LQ$2:$LQ$60=AD$3)*(GMWQ!$LP$2:$LP$60=AD$4)*(GMWQ!$LR$2:$LR$60=AD$1),0),$B179-1966)</f>
        <v>12149</v>
      </c>
      <c r="AE179" s="7" cm="1">
        <f t="array" ref="AE179">INDEX(GMWQ!$A$2:$LR$60,MATCH(1,(GMWQ!$LQ$2:$LQ$60=AE$3)*(GMWQ!$LP$2:$LP$60=AE$4)*(GMWQ!$LR$2:$LR$60=AE$1),0),$B179-1966)</f>
        <v>489730</v>
      </c>
      <c r="AF179" s="20" cm="1">
        <f t="array" ref="AF179">INDEX(GMWQ!$A$2:$LR$60,MATCH(1,(GMWQ!$LQ$2:$LQ$60=AF$3)*(GMWQ!$LP$2:$LP$60=AF$4)*(GMWQ!$LR$2:$LR$60=AF$1),0),$B179-1966)</f>
        <v>0.5</v>
      </c>
      <c r="AG179" s="20" cm="1">
        <f t="array" ref="AG179">INDEX(GMWQ!$A$2:$LR$60,MATCH(1,(GMWQ!$LQ$2:$LQ$60=AG$3)*(GMWQ!$LP$2:$LP$60=AG$4)*(GMWQ!$LR$2:$LR$60=AG$1),0),$B179-1966)</f>
        <v>-926.99990000000003</v>
      </c>
      <c r="AI179" s="23" cm="1">
        <f t="array" ref="AI179">INDEX(GMWQ!$A$2:$LR$60,MATCH(1,(GMWQ!$LQ$2:$LQ$60=AI$3)*(GMWQ!$LP$2:$LP$60=AI$4)*(GMWQ!$LR$2:$LR$60=AI$1),0),$B179-1966)</f>
        <v>326430</v>
      </c>
      <c r="AJ179" s="23" cm="1">
        <f t="array" ref="AJ179">INDEX(GMWQ!$A$2:$LR$60,MATCH(1,(GMWQ!$LQ$2:$LQ$60=AJ$3)*(GMWQ!$LP$2:$LP$60=AJ$4)*(GMWQ!$LR$2:$LR$60=AJ$1),0),$B179-1966)</f>
        <v>93.95232</v>
      </c>
      <c r="AK179" s="23" cm="1">
        <f t="array" ref="AK179">INDEX(GMWQ!$A$2:$LR$60,MATCH(1,(GMWQ!$LQ$2:$LQ$60=AK$3)*(GMWQ!$LP$2:$LP$60=AK$4)*(GMWQ!$LR$2:$LR$60=AK$1),0),$B179-1966)</f>
        <v>196738</v>
      </c>
      <c r="AL179" s="23" cm="1">
        <f t="array" ref="AL179">INDEX(GMWQ!$A$2:$LR$60,MATCH(1,(GMWQ!$LQ$2:$LQ$60=AL$3)*(GMWQ!$LP$2:$LP$60=AL$4)*(GMWQ!$LR$2:$LR$60=AL$1),0),$B179-1966)</f>
        <v>7378.1360000000004</v>
      </c>
      <c r="AM179" s="23" cm="1">
        <f t="array" ref="AM179">INDEX(GMWQ!$A$2:$LR$60,MATCH(1,(GMWQ!$LQ$2:$LQ$60=AM$3)*(GMWQ!$LP$2:$LP$60=AM$4)*(GMWQ!$LR$2:$LR$60=AM$1),0),$B179-1966)</f>
        <v>26665</v>
      </c>
      <c r="AN179" s="23" cm="1">
        <f t="array" ref="AN179">INDEX(GMWQ!$A$2:$LR$60,MATCH(1,(GMWQ!$LQ$2:$LQ$60=AN$3)*(GMWQ!$LP$2:$LP$60=AN$4)*(GMWQ!$LR$2:$LR$60=AN$1),0),$B179-1966)</f>
        <v>43807</v>
      </c>
      <c r="AO179" s="23" cm="1">
        <f t="array" ref="AO179">INDEX(GMWQ!$A$2:$LR$60,MATCH(1,(GMWQ!$LQ$2:$LQ$60=AO$3)*(GMWQ!$LP$2:$LP$60=AO$4)*(GMWQ!$LR$2:$LR$60=AO$1),0),$B179-1966)</f>
        <v>14025</v>
      </c>
      <c r="AP179" s="23" cm="1">
        <f t="array" ref="AP179">INDEX(GMWQ!$A$2:$LR$60,MATCH(1,(GMWQ!$LQ$2:$LQ$60=AP$3)*(GMWQ!$LP$2:$LP$60=AP$4)*(GMWQ!$LR$2:$LR$60=AP$1),0),$B179-1966)</f>
        <v>-926.99990000000003</v>
      </c>
      <c r="AQ179" s="23" cm="1">
        <f t="array" ref="AQ179">INDEX(GMWQ!$A$2:$LR$60,MATCH(1,(GMWQ!$LQ$2:$LQ$60=AQ$3)*(GMWQ!$LP$2:$LP$60=AQ$4)*(GMWQ!$LR$2:$LR$60=AQ$1),0),$B179-1966)</f>
        <v>57430</v>
      </c>
      <c r="AR179" s="23" cm="1">
        <f t="array" ref="AR179">INDEX(GMWQ!$A$2:$LR$60,MATCH(1,(GMWQ!$LQ$2:$LQ$60=AR$3)*(GMWQ!$LP$2:$LP$60=AR$4)*(GMWQ!$LR$2:$LR$60=AR$1),0),$B179-1966)</f>
        <v>306340</v>
      </c>
      <c r="AS179" s="23" cm="1">
        <f t="array" ref="AS179">INDEX(GMWQ!$A$2:$LR$60,MATCH(1,(GMWQ!$LQ$2:$LQ$60=AS$3)*(GMWQ!$LP$2:$LP$60=AS$4)*(GMWQ!$LR$2:$LR$60=AS$1),0),$B179-1966)</f>
        <v>10007</v>
      </c>
      <c r="AT179" s="23" cm="1">
        <f t="array" ref="AT179">INDEX(GMWQ!$A$2:$LR$60,MATCH(1,(GMWQ!$LQ$2:$LQ$60=AT$3)*(GMWQ!$LP$2:$LP$60=AT$4)*(GMWQ!$LR$2:$LR$60=AT$1),0),$B179-1966)</f>
        <v>326059</v>
      </c>
      <c r="AU179" s="23" cm="1">
        <f t="array" ref="AU179">INDEX(GMWQ!$A$2:$LR$60,MATCH(1,(GMWQ!$LQ$2:$LQ$60=AU$3)*(GMWQ!$LP$2:$LP$60=AU$4)*(GMWQ!$LR$2:$LR$60=AU$1),0),$B179-1966)</f>
        <v>10568</v>
      </c>
    </row>
    <row r="180" spans="1:47" x14ac:dyDescent="0.35">
      <c r="B180" s="7">
        <f t="shared" si="4"/>
        <v>2146</v>
      </c>
      <c r="C180" s="7" cm="1">
        <f t="array" ref="C180">INDEX(GMWQ!$A$2:$LR$60,MATCH(1,(GMWQ!$LQ$2:$LQ$60=C$3)*(GMWQ!$LP$2:$LP$60=C$4)*(GMWQ!$LR$2:$LR$60=C$1),0),$B180-1966)</f>
        <v>526750</v>
      </c>
      <c r="D180" s="7" cm="1">
        <f t="array" ref="D180">INDEX(GMWQ!$A$2:$LR$60,MATCH(1,(GMWQ!$LQ$2:$LQ$60=D$3)*(GMWQ!$LP$2:$LP$60=D$4)*(GMWQ!$LR$2:$LR$60=D$1),0),$B180-1966)</f>
        <v>493.66669999999999</v>
      </c>
      <c r="E180" s="7" cm="1">
        <f t="array" ref="E180">INDEX(GMWQ!$A$2:$LR$60,MATCH(1,(GMWQ!$LQ$2:$LQ$60=E$3)*(GMWQ!$LP$2:$LP$60=E$4)*(GMWQ!$LR$2:$LR$60=E$1),0),$B180-1966)</f>
        <v>100.4</v>
      </c>
      <c r="F180" s="7" cm="1">
        <f t="array" ref="F180">INDEX(GMWQ!$A$2:$LR$60,MATCH(1,(GMWQ!$LQ$2:$LQ$60=F$3)*(GMWQ!$LP$2:$LP$60=F$4)*(GMWQ!$LR$2:$LR$60=F$1),0),$B180-1966)</f>
        <v>198487</v>
      </c>
      <c r="G180" s="7" cm="1">
        <f t="array" ref="G180">INDEX(GMWQ!$A$2:$LR$60,MATCH(1,(GMWQ!$LQ$2:$LQ$60=G$3)*(GMWQ!$LP$2:$LP$60=G$4)*(GMWQ!$LR$2:$LR$60=G$1),0),$B180-1966)</f>
        <v>44215</v>
      </c>
      <c r="H180" s="7" cm="1">
        <f t="array" ref="H180">INDEX(GMWQ!$A$2:$LR$60,MATCH(1,(GMWQ!$LQ$2:$LQ$60=H$3)*(GMWQ!$LP$2:$LP$60=H$4)*(GMWQ!$LR$2:$LR$60=H$1),0),$B180-1966)</f>
        <v>14857</v>
      </c>
      <c r="I180" s="7" cm="1">
        <f t="array" ref="I180">INDEX(GMWQ!$A$2:$LR$60,MATCH(1,(GMWQ!$LQ$2:$LQ$60=I$3)*(GMWQ!$LP$2:$LP$60=I$4)*(GMWQ!$LR$2:$LR$60=I$1),0),$B180-1966)</f>
        <v>94.382239999999996</v>
      </c>
      <c r="J180" s="7" cm="1">
        <f t="array" ref="J180">INDEX(GMWQ!$A$2:$LR$60,MATCH(1,(GMWQ!$LQ$2:$LQ$60=J$3)*(GMWQ!$LP$2:$LP$60=J$4)*(GMWQ!$LR$2:$LR$60=J$1),0),$B180-1966)</f>
        <v>26757</v>
      </c>
      <c r="K180" s="7" cm="1">
        <f t="array" ref="K180">INDEX(GMWQ!$A$2:$LR$60,MATCH(1,(GMWQ!$LQ$2:$LQ$60=K$3)*(GMWQ!$LP$2:$LP$60=K$4)*(GMWQ!$LR$2:$LR$60=K$1),0),$B180-1966)</f>
        <v>0.5</v>
      </c>
      <c r="L180" s="7" cm="1">
        <f t="array" ref="L180">INDEX(GMWQ!$A$2:$LR$60,MATCH(1,(GMWQ!$LQ$2:$LQ$60=L$3)*(GMWQ!$LP$2:$LP$60=L$4)*(GMWQ!$LR$2:$LR$60=L$1),0),$B180-1966)</f>
        <v>4.9000000000000004</v>
      </c>
      <c r="M180" s="7" cm="1">
        <f t="array" ref="M180">INDEX(GMWQ!$A$2:$LR$60,MATCH(1,(GMWQ!$LQ$2:$LQ$60=M$3)*(GMWQ!$LP$2:$LP$60=M$4)*(GMWQ!$LR$2:$LR$60=M$1),0),$B180-1966)</f>
        <v>109.63500000000001</v>
      </c>
      <c r="N180" s="7" cm="1">
        <f t="array" ref="N180">INDEX(GMWQ!$A$2:$LR$60,MATCH(1,(GMWQ!$LQ$2:$LQ$60=N$3)*(GMWQ!$LP$2:$LP$60=N$4)*(GMWQ!$LR$2:$LR$60=N$1),0),$B180-1966)</f>
        <v>7374</v>
      </c>
      <c r="O180" s="7" cm="1">
        <f t="array" ref="O180">INDEX(GMWQ!$A$2:$LR$60,MATCH(1,(GMWQ!$LQ$2:$LQ$60=O$3)*(GMWQ!$LP$2:$LP$60=O$4)*(GMWQ!$LR$2:$LR$60=O$1),0),$B180-1966)</f>
        <v>6468</v>
      </c>
      <c r="P180" s="7" cm="1">
        <f t="array" ref="P180">INDEX(GMWQ!$A$2:$LR$60,MATCH(1,(GMWQ!$LQ$2:$LQ$60=P$3)*(GMWQ!$LP$2:$LP$60=P$4)*(GMWQ!$LR$2:$LR$60=P$1),0),$B180-1966)</f>
        <v>328384</v>
      </c>
      <c r="Q180" s="7" cm="1">
        <f t="array" ref="Q180">INDEX(GMWQ!$A$2:$LR$60,MATCH(1,(GMWQ!$LQ$2:$LQ$60=Q$3)*(GMWQ!$LP$2:$LP$60=Q$4)*(GMWQ!$LR$2:$LR$60=Q$1),0),$B180-1966)</f>
        <v>2.9033329999999999</v>
      </c>
      <c r="R180" s="7" cm="1">
        <f t="array" ref="R180">INDEX(GMWQ!$A$2:$LR$60,MATCH(1,(GMWQ!$LQ$2:$LQ$60=R$3)*(GMWQ!$LP$2:$LP$60=R$4)*(GMWQ!$LR$2:$LR$60=R$1),0),$B180-1966)</f>
        <v>201863</v>
      </c>
      <c r="S180" s="7" cm="1">
        <f t="array" ref="S180">INDEX(GMWQ!$A$2:$LR$60,MATCH(1,(GMWQ!$LQ$2:$LQ$60=S$3)*(GMWQ!$LP$2:$LP$60=S$4)*(GMWQ!$LR$2:$LR$60=S$1),0),$B180-1966)</f>
        <v>265.73</v>
      </c>
      <c r="T180" s="7" cm="1">
        <f t="array" ref="T180">INDEX(GMWQ!$A$2:$LR$60,MATCH(1,(GMWQ!$LQ$2:$LQ$60=T$3)*(GMWQ!$LP$2:$LP$60=T$4)*(GMWQ!$LR$2:$LR$60=T$1),0),$B180-1966)</f>
        <v>58624</v>
      </c>
      <c r="U180" s="7" cm="1">
        <f t="array" ref="U180">INDEX(GMWQ!$A$2:$LR$60,MATCH(1,(GMWQ!$LQ$2:$LQ$60=U$3)*(GMWQ!$LP$2:$LP$60=U$4)*(GMWQ!$LR$2:$LR$60=U$1),0),$B180-1966)</f>
        <v>6735</v>
      </c>
      <c r="V180" s="7" cm="1">
        <f t="array" ref="V180">INDEX(GMWQ!$A$2:$LR$60,MATCH(1,(GMWQ!$LQ$2:$LQ$60=V$3)*(GMWQ!$LP$2:$LP$60=V$4)*(GMWQ!$LR$2:$LR$60=V$1),0),$B180-1966)</f>
        <v>1.141041E-3</v>
      </c>
      <c r="W180" s="7" cm="1">
        <f t="array" ref="W180">INDEX(GMWQ!$A$2:$LR$60,MATCH(1,(GMWQ!$LQ$2:$LQ$60=W$3)*(GMWQ!$LP$2:$LP$60=W$4)*(GMWQ!$LR$2:$LR$60=W$1),0),$B180-1966)</f>
        <v>7.5128709999999996</v>
      </c>
      <c r="X180" s="7" cm="1">
        <f t="array" ref="X180">INDEX(GMWQ!$A$2:$LR$60,MATCH(1,(GMWQ!$LQ$2:$LQ$60=X$3)*(GMWQ!$LP$2:$LP$60=X$4)*(GMWQ!$LR$2:$LR$60=X$1),0),$B180-1966)</f>
        <v>3741883</v>
      </c>
      <c r="Y180" s="7" cm="1">
        <f t="array" ref="Y180">INDEX(GMWQ!$A$2:$LR$60,MATCH(1,(GMWQ!$LQ$2:$LQ$60=Y$3)*(GMWQ!$LP$2:$LP$60=Y$4)*(GMWQ!$LR$2:$LR$60=Y$1),0),$B180-1966)</f>
        <v>93.771429999999995</v>
      </c>
      <c r="Z180" s="7" cm="1">
        <f t="array" ref="Z180">INDEX(GMWQ!$A$2:$LR$60,MATCH(1,(GMWQ!$LQ$2:$LQ$60=Z$3)*(GMWQ!$LP$2:$LP$60=Z$4)*(GMWQ!$LR$2:$LR$60=Z$1),0),$B180-1966)</f>
        <v>532997.1</v>
      </c>
      <c r="AA180" s="7" cm="1">
        <f t="array" ref="AA180">INDEX(GMWQ!$A$2:$LR$60,MATCH(1,(GMWQ!$LQ$2:$LQ$60=AA$3)*(GMWQ!$LP$2:$LP$60=AA$4)*(GMWQ!$LR$2:$LR$60=AA$1),0),$B180-1966)</f>
        <v>176416</v>
      </c>
      <c r="AB180" s="7" cm="1">
        <f t="array" ref="AB180">INDEX(GMWQ!$A$2:$LR$60,MATCH(1,(GMWQ!$LQ$2:$LQ$60=AB$3)*(GMWQ!$LP$2:$LP$60=AB$4)*(GMWQ!$LR$2:$LR$60=AB$1),0),$B180-1966)</f>
        <v>181333</v>
      </c>
      <c r="AC180" s="7" cm="1">
        <f t="array" ref="AC180">INDEX(GMWQ!$A$2:$LR$60,MATCH(1,(GMWQ!$LQ$2:$LQ$60=AC$3)*(GMWQ!$LP$2:$LP$60=AC$4)*(GMWQ!$LR$2:$LR$60=AC$1),0),$B180-1966)</f>
        <v>7049</v>
      </c>
      <c r="AD180" s="7" cm="1">
        <f t="array" ref="AD180">INDEX(GMWQ!$A$2:$LR$60,MATCH(1,(GMWQ!$LQ$2:$LQ$60=AD$3)*(GMWQ!$LP$2:$LP$60=AD$4)*(GMWQ!$LR$2:$LR$60=AD$1),0),$B180-1966)</f>
        <v>12252</v>
      </c>
      <c r="AE180" s="7" cm="1">
        <f t="array" ref="AE180">INDEX(GMWQ!$A$2:$LR$60,MATCH(1,(GMWQ!$LQ$2:$LQ$60=AE$3)*(GMWQ!$LP$2:$LP$60=AE$4)*(GMWQ!$LR$2:$LR$60=AE$1),0),$B180-1966)</f>
        <v>493941</v>
      </c>
      <c r="AF180" s="20" cm="1">
        <f t="array" ref="AF180">INDEX(GMWQ!$A$2:$LR$60,MATCH(1,(GMWQ!$LQ$2:$LQ$60=AF$3)*(GMWQ!$LP$2:$LP$60=AF$4)*(GMWQ!$LR$2:$LR$60=AF$1),0),$B180-1966)</f>
        <v>0.5</v>
      </c>
      <c r="AG180" s="20" cm="1">
        <f t="array" ref="AG180">INDEX(GMWQ!$A$2:$LR$60,MATCH(1,(GMWQ!$LQ$2:$LQ$60=AG$3)*(GMWQ!$LP$2:$LP$60=AG$4)*(GMWQ!$LR$2:$LR$60=AG$1),0),$B180-1966)</f>
        <v>-906</v>
      </c>
      <c r="AI180" s="23" cm="1">
        <f t="array" ref="AI180">INDEX(GMWQ!$A$2:$LR$60,MATCH(1,(GMWQ!$LQ$2:$LQ$60=AI$3)*(GMWQ!$LP$2:$LP$60=AI$4)*(GMWQ!$LR$2:$LR$60=AI$1),0),$B180-1966)</f>
        <v>328384</v>
      </c>
      <c r="AJ180" s="23" cm="1">
        <f t="array" ref="AJ180">INDEX(GMWQ!$A$2:$LR$60,MATCH(1,(GMWQ!$LQ$2:$LQ$60=AJ$3)*(GMWQ!$LP$2:$LP$60=AJ$4)*(GMWQ!$LR$2:$LR$60=AJ$1),0),$B180-1966)</f>
        <v>94.382239999999996</v>
      </c>
      <c r="AK180" s="23" cm="1">
        <f t="array" ref="AK180">INDEX(GMWQ!$A$2:$LR$60,MATCH(1,(GMWQ!$LQ$2:$LQ$60=AK$3)*(GMWQ!$LP$2:$LP$60=AK$4)*(GMWQ!$LR$2:$LR$60=AK$1),0),$B180-1966)</f>
        <v>198487</v>
      </c>
      <c r="AL180" s="23" cm="1">
        <f t="array" ref="AL180">INDEX(GMWQ!$A$2:$LR$60,MATCH(1,(GMWQ!$LQ$2:$LQ$60=AL$3)*(GMWQ!$LP$2:$LP$60=AL$4)*(GMWQ!$LR$2:$LR$60=AL$1),0),$B180-1966)</f>
        <v>7418.134</v>
      </c>
      <c r="AM180" s="23" cm="1">
        <f t="array" ref="AM180">INDEX(GMWQ!$A$2:$LR$60,MATCH(1,(GMWQ!$LQ$2:$LQ$60=AM$3)*(GMWQ!$LP$2:$LP$60=AM$4)*(GMWQ!$LR$2:$LR$60=AM$1),0),$B180-1966)</f>
        <v>26757</v>
      </c>
      <c r="AN180" s="23" cm="1">
        <f t="array" ref="AN180">INDEX(GMWQ!$A$2:$LR$60,MATCH(1,(GMWQ!$LQ$2:$LQ$60=AN$3)*(GMWQ!$LP$2:$LP$60=AN$4)*(GMWQ!$LR$2:$LR$60=AN$1),0),$B180-1966)</f>
        <v>44215</v>
      </c>
      <c r="AO180" s="23" cm="1">
        <f t="array" ref="AO180">INDEX(GMWQ!$A$2:$LR$60,MATCH(1,(GMWQ!$LQ$2:$LQ$60=AO$3)*(GMWQ!$LP$2:$LP$60=AO$4)*(GMWQ!$LR$2:$LR$60=AO$1),0),$B180-1966)</f>
        <v>14857</v>
      </c>
      <c r="AP180" s="23" cm="1">
        <f t="array" ref="AP180">INDEX(GMWQ!$A$2:$LR$60,MATCH(1,(GMWQ!$LQ$2:$LQ$60=AP$3)*(GMWQ!$LP$2:$LP$60=AP$4)*(GMWQ!$LR$2:$LR$60=AP$1),0),$B180-1966)</f>
        <v>-906</v>
      </c>
      <c r="AQ180" s="23" cm="1">
        <f t="array" ref="AQ180">INDEX(GMWQ!$A$2:$LR$60,MATCH(1,(GMWQ!$LQ$2:$LQ$60=AQ$3)*(GMWQ!$LP$2:$LP$60=AQ$4)*(GMWQ!$LR$2:$LR$60=AQ$1),0),$B180-1966)</f>
        <v>57854</v>
      </c>
      <c r="AR180" s="23" cm="1">
        <f t="array" ref="AR180">INDEX(GMWQ!$A$2:$LR$60,MATCH(1,(GMWQ!$LQ$2:$LQ$60=AR$3)*(GMWQ!$LP$2:$LP$60=AR$4)*(GMWQ!$LR$2:$LR$60=AR$1),0),$B180-1966)</f>
        <v>310359</v>
      </c>
      <c r="AS180" s="23" cm="1">
        <f t="array" ref="AS180">INDEX(GMWQ!$A$2:$LR$60,MATCH(1,(GMWQ!$LQ$2:$LQ$60=AS$3)*(GMWQ!$LP$2:$LP$60=AS$4)*(GMWQ!$LR$2:$LR$60=AS$1),0),$B180-1966)</f>
        <v>9980</v>
      </c>
      <c r="AT180" s="23" cm="1">
        <f t="array" ref="AT180">INDEX(GMWQ!$A$2:$LR$60,MATCH(1,(GMWQ!$LQ$2:$LQ$60=AT$3)*(GMWQ!$LP$2:$LP$60=AT$4)*(GMWQ!$LR$2:$LR$60=AT$1),0),$B180-1966)</f>
        <v>328832</v>
      </c>
      <c r="AU180" s="23" cm="1">
        <f t="array" ref="AU180">INDEX(GMWQ!$A$2:$LR$60,MATCH(1,(GMWQ!$LQ$2:$LQ$60=AU$3)*(GMWQ!$LP$2:$LP$60=AU$4)*(GMWQ!$LR$2:$LR$60=AU$1),0),$B180-1966)</f>
        <v>10564</v>
      </c>
    </row>
    <row r="181" spans="1:47" x14ac:dyDescent="0.35">
      <c r="B181" s="7">
        <f t="shared" si="4"/>
        <v>2147</v>
      </c>
      <c r="C181" s="7" cm="1">
        <f t="array" ref="C181">INDEX(GMWQ!$A$2:$LR$60,MATCH(1,(GMWQ!$LQ$2:$LQ$60=C$3)*(GMWQ!$LP$2:$LP$60=C$4)*(GMWQ!$LR$2:$LR$60=C$1),0),$B181-1966)</f>
        <v>528712</v>
      </c>
      <c r="D181" s="7" cm="1">
        <f t="array" ref="D181">INDEX(GMWQ!$A$2:$LR$60,MATCH(1,(GMWQ!$LQ$2:$LQ$60=D$3)*(GMWQ!$LP$2:$LP$60=D$4)*(GMWQ!$LR$2:$LR$60=D$1),0),$B181-1966)</f>
        <v>495</v>
      </c>
      <c r="E181" s="7" cm="1">
        <f t="array" ref="E181">INDEX(GMWQ!$A$2:$LR$60,MATCH(1,(GMWQ!$LQ$2:$LQ$60=E$3)*(GMWQ!$LP$2:$LP$60=E$4)*(GMWQ!$LR$2:$LR$60=E$1),0),$B181-1966)</f>
        <v>100.86669999999999</v>
      </c>
      <c r="F181" s="7" cm="1">
        <f t="array" ref="F181">INDEX(GMWQ!$A$2:$LR$60,MATCH(1,(GMWQ!$LQ$2:$LQ$60=F$3)*(GMWQ!$LP$2:$LP$60=F$4)*(GMWQ!$LR$2:$LR$60=F$1),0),$B181-1966)</f>
        <v>199991</v>
      </c>
      <c r="G181" s="7" cm="1">
        <f t="array" ref="G181">INDEX(GMWQ!$A$2:$LR$60,MATCH(1,(GMWQ!$LQ$2:$LQ$60=G$3)*(GMWQ!$LP$2:$LP$60=G$4)*(GMWQ!$LR$2:$LR$60=G$1),0),$B181-1966)</f>
        <v>45100</v>
      </c>
      <c r="H181" s="7" cm="1">
        <f t="array" ref="H181">INDEX(GMWQ!$A$2:$LR$60,MATCH(1,(GMWQ!$LQ$2:$LQ$60=H$3)*(GMWQ!$LP$2:$LP$60=H$4)*(GMWQ!$LR$2:$LR$60=H$1),0),$B181-1966)</f>
        <v>15042</v>
      </c>
      <c r="I181" s="7" cm="1">
        <f t="array" ref="I181">INDEX(GMWQ!$A$2:$LR$60,MATCH(1,(GMWQ!$LQ$2:$LQ$60=I$3)*(GMWQ!$LP$2:$LP$60=I$4)*(GMWQ!$LR$2:$LR$60=I$1),0),$B181-1966)</f>
        <v>95.12321</v>
      </c>
      <c r="J181" s="7" cm="1">
        <f t="array" ref="J181">INDEX(GMWQ!$A$2:$LR$60,MATCH(1,(GMWQ!$LQ$2:$LQ$60=J$3)*(GMWQ!$LP$2:$LP$60=J$4)*(GMWQ!$LR$2:$LR$60=J$1),0),$B181-1966)</f>
        <v>26826</v>
      </c>
      <c r="K181" s="7" cm="1">
        <f t="array" ref="K181">INDEX(GMWQ!$A$2:$LR$60,MATCH(1,(GMWQ!$LQ$2:$LQ$60=K$3)*(GMWQ!$LP$2:$LP$60=K$4)*(GMWQ!$LR$2:$LR$60=K$1),0),$B181-1966)</f>
        <v>0.25</v>
      </c>
      <c r="L181" s="7" cm="1">
        <f t="array" ref="L181">INDEX(GMWQ!$A$2:$LR$60,MATCH(1,(GMWQ!$LQ$2:$LQ$60=L$3)*(GMWQ!$LP$2:$LP$60=L$4)*(GMWQ!$LR$2:$LR$60=L$1),0),$B181-1966)</f>
        <v>4.9000000000000004</v>
      </c>
      <c r="M181" s="7" cm="1">
        <f t="array" ref="M181">INDEX(GMWQ!$A$2:$LR$60,MATCH(1,(GMWQ!$LQ$2:$LQ$60=M$3)*(GMWQ!$LP$2:$LP$60=M$4)*(GMWQ!$LR$2:$LR$60=M$1),0),$B181-1966)</f>
        <v>110.5617</v>
      </c>
      <c r="N181" s="7" cm="1">
        <f t="array" ref="N181">INDEX(GMWQ!$A$2:$LR$60,MATCH(1,(GMWQ!$LQ$2:$LQ$60=N$3)*(GMWQ!$LP$2:$LP$60=N$4)*(GMWQ!$LR$2:$LR$60=N$1),0),$B181-1966)</f>
        <v>7319</v>
      </c>
      <c r="O181" s="7" cm="1">
        <f t="array" ref="O181">INDEX(GMWQ!$A$2:$LR$60,MATCH(1,(GMWQ!$LQ$2:$LQ$60=O$3)*(GMWQ!$LP$2:$LP$60=O$4)*(GMWQ!$LR$2:$LR$60=O$1),0),$B181-1966)</f>
        <v>6460</v>
      </c>
      <c r="P181" s="7" cm="1">
        <f t="array" ref="P181">INDEX(GMWQ!$A$2:$LR$60,MATCH(1,(GMWQ!$LQ$2:$LQ$60=P$3)*(GMWQ!$LP$2:$LP$60=P$4)*(GMWQ!$LR$2:$LR$60=P$1),0),$B181-1966)</f>
        <v>328661</v>
      </c>
      <c r="Q181" s="7" cm="1">
        <f t="array" ref="Q181">INDEX(GMWQ!$A$2:$LR$60,MATCH(1,(GMWQ!$LQ$2:$LQ$60=Q$3)*(GMWQ!$LP$2:$LP$60=Q$4)*(GMWQ!$LR$2:$LR$60=Q$1),0),$B181-1966)</f>
        <v>2.82</v>
      </c>
      <c r="R181" s="7" cm="1">
        <f t="array" ref="R181">INDEX(GMWQ!$A$2:$LR$60,MATCH(1,(GMWQ!$LQ$2:$LQ$60=R$3)*(GMWQ!$LP$2:$LP$60=R$4)*(GMWQ!$LR$2:$LR$60=R$1),0),$B181-1966)</f>
        <v>188488</v>
      </c>
      <c r="S181" s="7" cm="1">
        <f t="array" ref="S181">INDEX(GMWQ!$A$2:$LR$60,MATCH(1,(GMWQ!$LQ$2:$LQ$60=S$3)*(GMWQ!$LP$2:$LP$60=S$4)*(GMWQ!$LR$2:$LR$60=S$1),0),$B181-1966)</f>
        <v>289.8</v>
      </c>
      <c r="T181" s="7" cm="1">
        <f t="array" ref="T181">INDEX(GMWQ!$A$2:$LR$60,MATCH(1,(GMWQ!$LQ$2:$LQ$60=T$3)*(GMWQ!$LP$2:$LP$60=T$4)*(GMWQ!$LR$2:$LR$60=T$1),0),$B181-1966)</f>
        <v>59257</v>
      </c>
      <c r="U181" s="7" cm="1">
        <f t="array" ref="U181">INDEX(GMWQ!$A$2:$LR$60,MATCH(1,(GMWQ!$LQ$2:$LQ$60=U$3)*(GMWQ!$LP$2:$LP$60=U$4)*(GMWQ!$LR$2:$LR$60=U$1),0),$B181-1966)</f>
        <v>9088</v>
      </c>
      <c r="V181" s="7" cm="1">
        <f t="array" ref="V181">INDEX(GMWQ!$A$2:$LR$60,MATCH(1,(GMWQ!$LQ$2:$LQ$60=V$3)*(GMWQ!$LP$2:$LP$60=V$4)*(GMWQ!$LR$2:$LR$60=V$1),0),$B181-1966)</f>
        <v>1.090976E-3</v>
      </c>
      <c r="W181" s="7" cm="1">
        <f t="array" ref="W181">INDEX(GMWQ!$A$2:$LR$60,MATCH(1,(GMWQ!$LQ$2:$LQ$60=W$3)*(GMWQ!$LP$2:$LP$60=W$4)*(GMWQ!$LR$2:$LR$60=W$1),0),$B181-1966)</f>
        <v>6.9394970000000002</v>
      </c>
      <c r="X181" s="7" cm="1">
        <f t="array" ref="X181">INDEX(GMWQ!$A$2:$LR$60,MATCH(1,(GMWQ!$LQ$2:$LQ$60=X$3)*(GMWQ!$LP$2:$LP$60=X$4)*(GMWQ!$LR$2:$LR$60=X$1),0),$B181-1966)</f>
        <v>3795682</v>
      </c>
      <c r="Y181" s="7" cm="1">
        <f t="array" ref="Y181">INDEX(GMWQ!$A$2:$LR$60,MATCH(1,(GMWQ!$LQ$2:$LQ$60=Y$3)*(GMWQ!$LP$2:$LP$60=Y$4)*(GMWQ!$LR$2:$LR$60=Y$1),0),$B181-1966)</f>
        <v>94.69238</v>
      </c>
      <c r="Z181" s="7" cm="1">
        <f t="array" ref="Z181">INDEX(GMWQ!$A$2:$LR$60,MATCH(1,(GMWQ!$LQ$2:$LQ$60=Z$3)*(GMWQ!$LP$2:$LP$60=Z$4)*(GMWQ!$LR$2:$LR$60=Z$1),0),$B181-1966)</f>
        <v>535039.80000000005</v>
      </c>
      <c r="AA181" s="7" cm="1">
        <f t="array" ref="AA181">INDEX(GMWQ!$A$2:$LR$60,MATCH(1,(GMWQ!$LQ$2:$LQ$60=AA$3)*(GMWQ!$LP$2:$LP$60=AA$4)*(GMWQ!$LR$2:$LR$60=AA$1),0),$B181-1966)</f>
        <v>186432</v>
      </c>
      <c r="AB181" s="7" cm="1">
        <f t="array" ref="AB181">INDEX(GMWQ!$A$2:$LR$60,MATCH(1,(GMWQ!$LQ$2:$LQ$60=AB$3)*(GMWQ!$LP$2:$LP$60=AB$4)*(GMWQ!$LR$2:$LR$60=AB$1),0),$B181-1966)</f>
        <v>184200</v>
      </c>
      <c r="AC181" s="7" cm="1">
        <f t="array" ref="AC181">INDEX(GMWQ!$A$2:$LR$60,MATCH(1,(GMWQ!$LQ$2:$LQ$60=AC$3)*(GMWQ!$LP$2:$LP$60=AC$4)*(GMWQ!$LR$2:$LR$60=AC$1),0),$B181-1966)</f>
        <v>8501</v>
      </c>
      <c r="AD181" s="7" cm="1">
        <f t="array" ref="AD181">INDEX(GMWQ!$A$2:$LR$60,MATCH(1,(GMWQ!$LQ$2:$LQ$60=AD$3)*(GMWQ!$LP$2:$LP$60=AD$4)*(GMWQ!$LR$2:$LR$60=AD$1),0),$B181-1966)</f>
        <v>12298</v>
      </c>
      <c r="AE181" s="7" cm="1">
        <f t="array" ref="AE181">INDEX(GMWQ!$A$2:$LR$60,MATCH(1,(GMWQ!$LQ$2:$LQ$60=AE$3)*(GMWQ!$LP$2:$LP$60=AE$4)*(GMWQ!$LR$2:$LR$60=AE$1),0),$B181-1966)</f>
        <v>500650</v>
      </c>
      <c r="AF181" s="20" cm="1">
        <f t="array" ref="AF181">INDEX(GMWQ!$A$2:$LR$60,MATCH(1,(GMWQ!$LQ$2:$LQ$60=AF$3)*(GMWQ!$LP$2:$LP$60=AF$4)*(GMWQ!$LR$2:$LR$60=AF$1),0),$B181-1966)</f>
        <v>0.34090910000000002</v>
      </c>
      <c r="AG181" s="20" cm="1">
        <f t="array" ref="AG181">INDEX(GMWQ!$A$2:$LR$60,MATCH(1,(GMWQ!$LQ$2:$LQ$60=AG$3)*(GMWQ!$LP$2:$LP$60=AG$4)*(GMWQ!$LR$2:$LR$60=AG$1),0),$B181-1966)</f>
        <v>-859</v>
      </c>
      <c r="AI181" s="23" cm="1">
        <f t="array" ref="AI181">INDEX(GMWQ!$A$2:$LR$60,MATCH(1,(GMWQ!$LQ$2:$LQ$60=AI$3)*(GMWQ!$LP$2:$LP$60=AI$4)*(GMWQ!$LR$2:$LR$60=AI$1),0),$B181-1966)</f>
        <v>328661</v>
      </c>
      <c r="AJ181" s="23" cm="1">
        <f t="array" ref="AJ181">INDEX(GMWQ!$A$2:$LR$60,MATCH(1,(GMWQ!$LQ$2:$LQ$60=AJ$3)*(GMWQ!$LP$2:$LP$60=AJ$4)*(GMWQ!$LR$2:$LR$60=AJ$1),0),$B181-1966)</f>
        <v>95.12321</v>
      </c>
      <c r="AK181" s="23" cm="1">
        <f t="array" ref="AK181">INDEX(GMWQ!$A$2:$LR$60,MATCH(1,(GMWQ!$LQ$2:$LQ$60=AK$3)*(GMWQ!$LP$2:$LP$60=AK$4)*(GMWQ!$LR$2:$LR$60=AK$1),0),$B181-1966)</f>
        <v>199991</v>
      </c>
      <c r="AL181" s="23" cm="1">
        <f t="array" ref="AL181">INDEX(GMWQ!$A$2:$LR$60,MATCH(1,(GMWQ!$LQ$2:$LQ$60=AL$3)*(GMWQ!$LP$2:$LP$60=AL$4)*(GMWQ!$LR$2:$LR$60=AL$1),0),$B181-1966)</f>
        <v>7455.1180000000004</v>
      </c>
      <c r="AM181" s="23" cm="1">
        <f t="array" ref="AM181">INDEX(GMWQ!$A$2:$LR$60,MATCH(1,(GMWQ!$LQ$2:$LQ$60=AM$3)*(GMWQ!$LP$2:$LP$60=AM$4)*(GMWQ!$LR$2:$LR$60=AM$1),0),$B181-1966)</f>
        <v>26826</v>
      </c>
      <c r="AN181" s="23" cm="1">
        <f t="array" ref="AN181">INDEX(GMWQ!$A$2:$LR$60,MATCH(1,(GMWQ!$LQ$2:$LQ$60=AN$3)*(GMWQ!$LP$2:$LP$60=AN$4)*(GMWQ!$LR$2:$LR$60=AN$1),0),$B181-1966)</f>
        <v>45100</v>
      </c>
      <c r="AO181" s="23" cm="1">
        <f t="array" ref="AO181">INDEX(GMWQ!$A$2:$LR$60,MATCH(1,(GMWQ!$LQ$2:$LQ$60=AO$3)*(GMWQ!$LP$2:$LP$60=AO$4)*(GMWQ!$LR$2:$LR$60=AO$1),0),$B181-1966)</f>
        <v>15042</v>
      </c>
      <c r="AP181" s="23" cm="1">
        <f t="array" ref="AP181">INDEX(GMWQ!$A$2:$LR$60,MATCH(1,(GMWQ!$LQ$2:$LQ$60=AP$3)*(GMWQ!$LP$2:$LP$60=AP$4)*(GMWQ!$LR$2:$LR$60=AP$1),0),$B181-1966)</f>
        <v>-859</v>
      </c>
      <c r="AQ181" s="23" cm="1">
        <f t="array" ref="AQ181">INDEX(GMWQ!$A$2:$LR$60,MATCH(1,(GMWQ!$LQ$2:$LQ$60=AQ$3)*(GMWQ!$LP$2:$LP$60=AQ$4)*(GMWQ!$LR$2:$LR$60=AQ$1),0),$B181-1966)</f>
        <v>58413</v>
      </c>
      <c r="AR181" s="23" cm="1">
        <f t="array" ref="AR181">INDEX(GMWQ!$A$2:$LR$60,MATCH(1,(GMWQ!$LQ$2:$LQ$60=AR$3)*(GMWQ!$LP$2:$LP$60=AR$4)*(GMWQ!$LR$2:$LR$60=AR$1),0),$B181-1966)</f>
        <v>315557</v>
      </c>
      <c r="AS181" s="23" cm="1">
        <f t="array" ref="AS181">INDEX(GMWQ!$A$2:$LR$60,MATCH(1,(GMWQ!$LQ$2:$LQ$60=AS$3)*(GMWQ!$LP$2:$LP$60=AS$4)*(GMWQ!$LR$2:$LR$60=AS$1),0),$B181-1966)</f>
        <v>9996</v>
      </c>
      <c r="AT181" s="23" cm="1">
        <f t="array" ref="AT181">INDEX(GMWQ!$A$2:$LR$60,MATCH(1,(GMWQ!$LQ$2:$LQ$60=AT$3)*(GMWQ!$LP$2:$LP$60=AT$4)*(GMWQ!$LR$2:$LR$60=AT$1),0),$B181-1966)</f>
        <v>331735</v>
      </c>
      <c r="AU181" s="23" cm="1">
        <f t="array" ref="AU181">INDEX(GMWQ!$A$2:$LR$60,MATCH(1,(GMWQ!$LQ$2:$LQ$60=AU$3)*(GMWQ!$LP$2:$LP$60=AU$4)*(GMWQ!$LR$2:$LR$60=AU$1),0),$B181-1966)</f>
        <v>10485</v>
      </c>
    </row>
    <row r="182" spans="1:47" x14ac:dyDescent="0.35">
      <c r="B182" s="7">
        <f t="shared" si="4"/>
        <v>2148</v>
      </c>
      <c r="C182" s="7" cm="1">
        <f t="array" ref="C182">INDEX(GMWQ!$A$2:$LR$60,MATCH(1,(GMWQ!$LQ$2:$LQ$60=C$3)*(GMWQ!$LP$2:$LP$60=C$4)*(GMWQ!$LR$2:$LR$60=C$1),0),$B182-1966)</f>
        <v>532082</v>
      </c>
      <c r="D182" s="7" cm="1">
        <f t="array" ref="D182">INDEX(GMWQ!$A$2:$LR$60,MATCH(1,(GMWQ!$LQ$2:$LQ$60=D$3)*(GMWQ!$LP$2:$LP$60=D$4)*(GMWQ!$LR$2:$LR$60=D$1),0),$B182-1966)</f>
        <v>497</v>
      </c>
      <c r="E182" s="7" cm="1">
        <f t="array" ref="E182">INDEX(GMWQ!$A$2:$LR$60,MATCH(1,(GMWQ!$LQ$2:$LQ$60=E$3)*(GMWQ!$LP$2:$LP$60=E$4)*(GMWQ!$LR$2:$LR$60=E$1),0),$B182-1966)</f>
        <v>101.5</v>
      </c>
      <c r="F182" s="7" cm="1">
        <f t="array" ref="F182">INDEX(GMWQ!$A$2:$LR$60,MATCH(1,(GMWQ!$LQ$2:$LQ$60=F$3)*(GMWQ!$LP$2:$LP$60=F$4)*(GMWQ!$LR$2:$LR$60=F$1),0),$B182-1966)</f>
        <v>200011</v>
      </c>
      <c r="G182" s="7" cm="1">
        <f t="array" ref="G182">INDEX(GMWQ!$A$2:$LR$60,MATCH(1,(GMWQ!$LQ$2:$LQ$60=G$3)*(GMWQ!$LP$2:$LP$60=G$4)*(GMWQ!$LR$2:$LR$60=G$1),0),$B182-1966)</f>
        <v>45333</v>
      </c>
      <c r="H182" s="7" cm="1">
        <f t="array" ref="H182">INDEX(GMWQ!$A$2:$LR$60,MATCH(1,(GMWQ!$LQ$2:$LQ$60=H$3)*(GMWQ!$LP$2:$LP$60=H$4)*(GMWQ!$LR$2:$LR$60=H$1),0),$B182-1966)</f>
        <v>15132</v>
      </c>
      <c r="I182" s="7" cm="1">
        <f t="array" ref="I182">INDEX(GMWQ!$A$2:$LR$60,MATCH(1,(GMWQ!$LQ$2:$LQ$60=I$3)*(GMWQ!$LP$2:$LP$60=I$4)*(GMWQ!$LR$2:$LR$60=I$1),0),$B182-1966)</f>
        <v>95.585890000000006</v>
      </c>
      <c r="J182" s="7" cm="1">
        <f t="array" ref="J182">INDEX(GMWQ!$A$2:$LR$60,MATCH(1,(GMWQ!$LQ$2:$LQ$60=J$3)*(GMWQ!$LP$2:$LP$60=J$4)*(GMWQ!$LR$2:$LR$60=J$1),0),$B182-1966)</f>
        <v>26836</v>
      </c>
      <c r="K182" s="7" cm="1">
        <f t="array" ref="K182">INDEX(GMWQ!$A$2:$LR$60,MATCH(1,(GMWQ!$LQ$2:$LQ$60=K$3)*(GMWQ!$LP$2:$LP$60=K$4)*(GMWQ!$LR$2:$LR$60=K$1),0),$B182-1966)</f>
        <v>0.25</v>
      </c>
      <c r="L182" s="7" cm="1">
        <f t="array" ref="L182">INDEX(GMWQ!$A$2:$LR$60,MATCH(1,(GMWQ!$LQ$2:$LQ$60=L$3)*(GMWQ!$LP$2:$LP$60=L$4)*(GMWQ!$LR$2:$LR$60=L$1),0),$B182-1966)</f>
        <v>4.8</v>
      </c>
      <c r="M182" s="7" cm="1">
        <f t="array" ref="M182">INDEX(GMWQ!$A$2:$LR$60,MATCH(1,(GMWQ!$LQ$2:$LQ$60=M$3)*(GMWQ!$LP$2:$LP$60=M$4)*(GMWQ!$LR$2:$LR$60=M$1),0),$B182-1966)</f>
        <v>111.7123</v>
      </c>
      <c r="N182" s="7" cm="1">
        <f t="array" ref="N182">INDEX(GMWQ!$A$2:$LR$60,MATCH(1,(GMWQ!$LQ$2:$LQ$60=N$3)*(GMWQ!$LP$2:$LP$60=N$4)*(GMWQ!$LR$2:$LR$60=N$1),0),$B182-1966)</f>
        <v>7133</v>
      </c>
      <c r="O182" s="7" cm="1">
        <f t="array" ref="O182">INDEX(GMWQ!$A$2:$LR$60,MATCH(1,(GMWQ!$LQ$2:$LQ$60=O$3)*(GMWQ!$LP$2:$LP$60=O$4)*(GMWQ!$LR$2:$LR$60=O$1),0),$B182-1966)</f>
        <v>6063</v>
      </c>
      <c r="P182" s="7" cm="1">
        <f t="array" ref="P182">INDEX(GMWQ!$A$2:$LR$60,MATCH(1,(GMWQ!$LQ$2:$LQ$60=P$3)*(GMWQ!$LP$2:$LP$60=P$4)*(GMWQ!$LR$2:$LR$60=P$1),0),$B182-1966)</f>
        <v>327892</v>
      </c>
      <c r="Q182" s="7" cm="1">
        <f t="array" ref="Q182">INDEX(GMWQ!$A$2:$LR$60,MATCH(1,(GMWQ!$LQ$2:$LQ$60=Q$3)*(GMWQ!$LP$2:$LP$60=Q$4)*(GMWQ!$LR$2:$LR$60=Q$1),0),$B182-1966)</f>
        <v>2.6866669999999999</v>
      </c>
      <c r="R182" s="7" cm="1">
        <f t="array" ref="R182">INDEX(GMWQ!$A$2:$LR$60,MATCH(1,(GMWQ!$LQ$2:$LQ$60=R$3)*(GMWQ!$LP$2:$LP$60=R$4)*(GMWQ!$LR$2:$LR$60=R$1),0),$B182-1966)</f>
        <v>204631</v>
      </c>
      <c r="S182" s="7" cm="1">
        <f t="array" ref="S182">INDEX(GMWQ!$A$2:$LR$60,MATCH(1,(GMWQ!$LQ$2:$LQ$60=S$3)*(GMWQ!$LP$2:$LP$60=S$4)*(GMWQ!$LR$2:$LR$60=S$1),0),$B182-1966)</f>
        <v>290.58999999999997</v>
      </c>
      <c r="T182" s="7" cm="1">
        <f t="array" ref="T182">INDEX(GMWQ!$A$2:$LR$60,MATCH(1,(GMWQ!$LQ$2:$LQ$60=T$3)*(GMWQ!$LP$2:$LP$60=T$4)*(GMWQ!$LR$2:$LR$60=T$1),0),$B182-1966)</f>
        <v>59727</v>
      </c>
      <c r="U182" s="7" cm="1">
        <f t="array" ref="U182">INDEX(GMWQ!$A$2:$LR$60,MATCH(1,(GMWQ!$LQ$2:$LQ$60=U$3)*(GMWQ!$LP$2:$LP$60=U$4)*(GMWQ!$LR$2:$LR$60=U$1),0),$B182-1966)</f>
        <v>10002</v>
      </c>
      <c r="V182" s="7" cm="1">
        <f t="array" ref="V182">INDEX(GMWQ!$A$2:$LR$60,MATCH(1,(GMWQ!$LQ$2:$LQ$60=V$3)*(GMWQ!$LP$2:$LP$60=V$4)*(GMWQ!$LR$2:$LR$60=V$1),0),$B182-1966)</f>
        <v>1.137739E-3</v>
      </c>
      <c r="W182" s="7" cm="1">
        <f t="array" ref="W182">INDEX(GMWQ!$A$2:$LR$60,MATCH(1,(GMWQ!$LQ$2:$LQ$60=W$3)*(GMWQ!$LP$2:$LP$60=W$4)*(GMWQ!$LR$2:$LR$60=W$1),0),$B182-1966)</f>
        <v>7.9631400000000001</v>
      </c>
      <c r="X182" s="7" cm="1">
        <f t="array" ref="X182">INDEX(GMWQ!$A$2:$LR$60,MATCH(1,(GMWQ!$LQ$2:$LQ$60=X$3)*(GMWQ!$LP$2:$LP$60=X$4)*(GMWQ!$LR$2:$LR$60=X$1),0),$B182-1966)</f>
        <v>3833469</v>
      </c>
      <c r="Y182" s="7" cm="1">
        <f t="array" ref="Y182">INDEX(GMWQ!$A$2:$LR$60,MATCH(1,(GMWQ!$LQ$2:$LQ$60=Y$3)*(GMWQ!$LP$2:$LP$60=Y$4)*(GMWQ!$LR$2:$LR$60=Y$1),0),$B182-1966)</f>
        <v>95.346950000000007</v>
      </c>
      <c r="Z182" s="7" cm="1">
        <f t="array" ref="Z182">INDEX(GMWQ!$A$2:$LR$60,MATCH(1,(GMWQ!$LQ$2:$LQ$60=Z$3)*(GMWQ!$LP$2:$LP$60=Z$4)*(GMWQ!$LR$2:$LR$60=Z$1),0),$B182-1966)</f>
        <v>537784.5</v>
      </c>
      <c r="AA182" s="7" cm="1">
        <f t="array" ref="AA182">INDEX(GMWQ!$A$2:$LR$60,MATCH(1,(GMWQ!$LQ$2:$LQ$60=AA$3)*(GMWQ!$LP$2:$LP$60=AA$4)*(GMWQ!$LR$2:$LR$60=AA$1),0),$B182-1966)</f>
        <v>180574</v>
      </c>
      <c r="AB182" s="7" cm="1">
        <f t="array" ref="AB182">INDEX(GMWQ!$A$2:$LR$60,MATCH(1,(GMWQ!$LQ$2:$LQ$60=AB$3)*(GMWQ!$LP$2:$LP$60=AB$4)*(GMWQ!$LR$2:$LR$60=AB$1),0),$B182-1966)</f>
        <v>181589</v>
      </c>
      <c r="AC182" s="7" cm="1">
        <f t="array" ref="AC182">INDEX(GMWQ!$A$2:$LR$60,MATCH(1,(GMWQ!$LQ$2:$LQ$60=AC$3)*(GMWQ!$LP$2:$LP$60=AC$4)*(GMWQ!$LR$2:$LR$60=AC$1),0),$B182-1966)</f>
        <v>6397</v>
      </c>
      <c r="AD182" s="7" cm="1">
        <f t="array" ref="AD182">INDEX(GMWQ!$A$2:$LR$60,MATCH(1,(GMWQ!$LQ$2:$LQ$60=AD$3)*(GMWQ!$LP$2:$LP$60=AD$4)*(GMWQ!$LR$2:$LR$60=AD$1),0),$B182-1966)</f>
        <v>12445</v>
      </c>
      <c r="AE182" s="7" cm="1">
        <f t="array" ref="AE182">INDEX(GMWQ!$A$2:$LR$60,MATCH(1,(GMWQ!$LQ$2:$LQ$60=AE$3)*(GMWQ!$LP$2:$LP$60=AE$4)*(GMWQ!$LR$2:$LR$60=AE$1),0),$B182-1966)</f>
        <v>507324</v>
      </c>
      <c r="AF182" s="20" cm="1">
        <f t="array" ref="AF182">INDEX(GMWQ!$A$2:$LR$60,MATCH(1,(GMWQ!$LQ$2:$LQ$60=AF$3)*(GMWQ!$LP$2:$LP$60=AF$4)*(GMWQ!$LR$2:$LR$60=AF$1),0),$B182-1966)</f>
        <v>0.25</v>
      </c>
      <c r="AG182" s="20" cm="1">
        <f t="array" ref="AG182">INDEX(GMWQ!$A$2:$LR$60,MATCH(1,(GMWQ!$LQ$2:$LQ$60=AG$3)*(GMWQ!$LP$2:$LP$60=AG$4)*(GMWQ!$LR$2:$LR$60=AG$1),0),$B182-1966)</f>
        <v>-1070</v>
      </c>
      <c r="AI182" s="23" cm="1">
        <f t="array" ref="AI182">INDEX(GMWQ!$A$2:$LR$60,MATCH(1,(GMWQ!$LQ$2:$LQ$60=AI$3)*(GMWQ!$LP$2:$LP$60=AI$4)*(GMWQ!$LR$2:$LR$60=AI$1),0),$B182-1966)</f>
        <v>327892</v>
      </c>
      <c r="AJ182" s="23" cm="1">
        <f t="array" ref="AJ182">INDEX(GMWQ!$A$2:$LR$60,MATCH(1,(GMWQ!$LQ$2:$LQ$60=AJ$3)*(GMWQ!$LP$2:$LP$60=AJ$4)*(GMWQ!$LR$2:$LR$60=AJ$1),0),$B182-1966)</f>
        <v>95.585890000000006</v>
      </c>
      <c r="AK182" s="23" cm="1">
        <f t="array" ref="AK182">INDEX(GMWQ!$A$2:$LR$60,MATCH(1,(GMWQ!$LQ$2:$LQ$60=AK$3)*(GMWQ!$LP$2:$LP$60=AK$4)*(GMWQ!$LR$2:$LR$60=AK$1),0),$B182-1966)</f>
        <v>200011</v>
      </c>
      <c r="AL182" s="23" cm="1">
        <f t="array" ref="AL182">INDEX(GMWQ!$A$2:$LR$60,MATCH(1,(GMWQ!$LQ$2:$LQ$60=AL$3)*(GMWQ!$LP$2:$LP$60=AL$4)*(GMWQ!$LR$2:$LR$60=AL$1),0),$B182-1966)</f>
        <v>7453.085</v>
      </c>
      <c r="AM182" s="23" cm="1">
        <f t="array" ref="AM182">INDEX(GMWQ!$A$2:$LR$60,MATCH(1,(GMWQ!$LQ$2:$LQ$60=AM$3)*(GMWQ!$LP$2:$LP$60=AM$4)*(GMWQ!$LR$2:$LR$60=AM$1),0),$B182-1966)</f>
        <v>26836</v>
      </c>
      <c r="AN182" s="23" cm="1">
        <f t="array" ref="AN182">INDEX(GMWQ!$A$2:$LR$60,MATCH(1,(GMWQ!$LQ$2:$LQ$60=AN$3)*(GMWQ!$LP$2:$LP$60=AN$4)*(GMWQ!$LR$2:$LR$60=AN$1),0),$B182-1966)</f>
        <v>45333</v>
      </c>
      <c r="AO182" s="23" cm="1">
        <f t="array" ref="AO182">INDEX(GMWQ!$A$2:$LR$60,MATCH(1,(GMWQ!$LQ$2:$LQ$60=AO$3)*(GMWQ!$LP$2:$LP$60=AO$4)*(GMWQ!$LR$2:$LR$60=AO$1),0),$B182-1966)</f>
        <v>15132</v>
      </c>
      <c r="AP182" s="23" cm="1">
        <f t="array" ref="AP182">INDEX(GMWQ!$A$2:$LR$60,MATCH(1,(GMWQ!$LQ$2:$LQ$60=AP$3)*(GMWQ!$LP$2:$LP$60=AP$4)*(GMWQ!$LR$2:$LR$60=AP$1),0),$B182-1966)</f>
        <v>-1070</v>
      </c>
      <c r="AQ182" s="23" cm="1">
        <f t="array" ref="AQ182">INDEX(GMWQ!$A$2:$LR$60,MATCH(1,(GMWQ!$LQ$2:$LQ$60=AQ$3)*(GMWQ!$LP$2:$LP$60=AQ$4)*(GMWQ!$LR$2:$LR$60=AQ$1),0),$B182-1966)</f>
        <v>58302</v>
      </c>
      <c r="AR182" s="23" cm="1">
        <f t="array" ref="AR182">INDEX(GMWQ!$A$2:$LR$60,MATCH(1,(GMWQ!$LQ$2:$LQ$60=AR$3)*(GMWQ!$LP$2:$LP$60=AR$4)*(GMWQ!$LR$2:$LR$60=AR$1),0),$B182-1966)</f>
        <v>317089</v>
      </c>
      <c r="AS182" s="23" cm="1">
        <f t="array" ref="AS182">INDEX(GMWQ!$A$2:$LR$60,MATCH(1,(GMWQ!$LQ$2:$LQ$60=AS$3)*(GMWQ!$LP$2:$LP$60=AS$4)*(GMWQ!$LR$2:$LR$60=AS$1),0),$B182-1966)</f>
        <v>10117</v>
      </c>
      <c r="AT182" s="23" cm="1">
        <f t="array" ref="AT182">INDEX(GMWQ!$A$2:$LR$60,MATCH(1,(GMWQ!$LQ$2:$LQ$60=AT$3)*(GMWQ!$LP$2:$LP$60=AT$4)*(GMWQ!$LR$2:$LR$60=AT$1),0),$B182-1966)</f>
        <v>331732</v>
      </c>
      <c r="AU182" s="23" cm="1">
        <f t="array" ref="AU182">INDEX(GMWQ!$A$2:$LR$60,MATCH(1,(GMWQ!$LQ$2:$LQ$60=AU$3)*(GMWQ!$LP$2:$LP$60=AU$4)*(GMWQ!$LR$2:$LR$60=AU$1),0),$B182-1966)</f>
        <v>10529</v>
      </c>
    </row>
    <row r="183" spans="1:47" x14ac:dyDescent="0.35">
      <c r="A183" s="7">
        <v>2017</v>
      </c>
      <c r="B183" s="7">
        <f t="shared" si="4"/>
        <v>2149</v>
      </c>
      <c r="C183" s="7" cm="1">
        <f t="array" ref="C183">INDEX(GMWQ!$A$2:$LR$60,MATCH(1,(GMWQ!$LQ$2:$LQ$60=C$3)*(GMWQ!$LP$2:$LP$60=C$4)*(GMWQ!$LR$2:$LR$60=C$1),0),$B183-1966)</f>
        <v>536566</v>
      </c>
      <c r="D183" s="7" cm="1">
        <f t="array" ref="D183">INDEX(GMWQ!$A$2:$LR$60,MATCH(1,(GMWQ!$LQ$2:$LQ$60=D$3)*(GMWQ!$LP$2:$LP$60=D$4)*(GMWQ!$LR$2:$LR$60=D$1),0),$B183-1966)</f>
        <v>499</v>
      </c>
      <c r="E183" s="7" cm="1">
        <f t="array" ref="E183">INDEX(GMWQ!$A$2:$LR$60,MATCH(1,(GMWQ!$LQ$2:$LQ$60=E$3)*(GMWQ!$LP$2:$LP$60=E$4)*(GMWQ!$LR$2:$LR$60=E$1),0),$B183-1966)</f>
        <v>102</v>
      </c>
      <c r="F183" s="7" cm="1">
        <f t="array" ref="F183">INDEX(GMWQ!$A$2:$LR$60,MATCH(1,(GMWQ!$LQ$2:$LQ$60=F$3)*(GMWQ!$LP$2:$LP$60=F$4)*(GMWQ!$LR$2:$LR$60=F$1),0),$B183-1966)</f>
        <v>203434</v>
      </c>
      <c r="G183" s="7" cm="1">
        <f t="array" ref="G183">INDEX(GMWQ!$A$2:$LR$60,MATCH(1,(GMWQ!$LQ$2:$LQ$60=G$3)*(GMWQ!$LP$2:$LP$60=G$4)*(GMWQ!$LR$2:$LR$60=G$1),0),$B183-1966)</f>
        <v>47808</v>
      </c>
      <c r="H183" s="7" cm="1">
        <f t="array" ref="H183">INDEX(GMWQ!$A$2:$LR$60,MATCH(1,(GMWQ!$LQ$2:$LQ$60=H$3)*(GMWQ!$LP$2:$LP$60=H$4)*(GMWQ!$LR$2:$LR$60=H$1),0),$B183-1966)</f>
        <v>15358</v>
      </c>
      <c r="I183" s="7" cm="1">
        <f t="array" ref="I183">INDEX(GMWQ!$A$2:$LR$60,MATCH(1,(GMWQ!$LQ$2:$LQ$60=I$3)*(GMWQ!$LP$2:$LP$60=I$4)*(GMWQ!$LR$2:$LR$60=I$1),0),$B183-1966)</f>
        <v>95.606250000000003</v>
      </c>
      <c r="J183" s="7" cm="1">
        <f t="array" ref="J183">INDEX(GMWQ!$A$2:$LR$60,MATCH(1,(GMWQ!$LQ$2:$LQ$60=J$3)*(GMWQ!$LP$2:$LP$60=J$4)*(GMWQ!$LR$2:$LR$60=J$1),0),$B183-1966)</f>
        <v>26937</v>
      </c>
      <c r="K183" s="7" cm="1">
        <f t="array" ref="K183">INDEX(GMWQ!$A$2:$LR$60,MATCH(1,(GMWQ!$LQ$2:$LQ$60=K$3)*(GMWQ!$LP$2:$LP$60=K$4)*(GMWQ!$LR$2:$LR$60=K$1),0),$B183-1966)</f>
        <v>0.25</v>
      </c>
      <c r="L183" s="7" cm="1">
        <f t="array" ref="L183">INDEX(GMWQ!$A$2:$LR$60,MATCH(1,(GMWQ!$LQ$2:$LQ$60=L$3)*(GMWQ!$LP$2:$LP$60=L$4)*(GMWQ!$LR$2:$LR$60=L$1),0),$B183-1966)</f>
        <v>4.5999999999999996</v>
      </c>
      <c r="M183" s="7" cm="1">
        <f t="array" ref="M183">INDEX(GMWQ!$A$2:$LR$60,MATCH(1,(GMWQ!$LQ$2:$LQ$60=M$3)*(GMWQ!$LP$2:$LP$60=M$4)*(GMWQ!$LR$2:$LR$60=M$1),0),$B183-1966)</f>
        <v>113.07470000000001</v>
      </c>
      <c r="N183" s="7" cm="1">
        <f t="array" ref="N183">INDEX(GMWQ!$A$2:$LR$60,MATCH(1,(GMWQ!$LQ$2:$LQ$60=N$3)*(GMWQ!$LP$2:$LP$60=N$4)*(GMWQ!$LR$2:$LR$60=N$1),0),$B183-1966)</f>
        <v>6112</v>
      </c>
      <c r="O183" s="7" cm="1">
        <f t="array" ref="O183">INDEX(GMWQ!$A$2:$LR$60,MATCH(1,(GMWQ!$LQ$2:$LQ$60=O$3)*(GMWQ!$LP$2:$LP$60=O$4)*(GMWQ!$LR$2:$LR$60=O$1),0),$B183-1966)</f>
        <v>5213</v>
      </c>
      <c r="P183" s="7" cm="1">
        <f t="array" ref="P183">INDEX(GMWQ!$A$2:$LR$60,MATCH(1,(GMWQ!$LQ$2:$LQ$60=P$3)*(GMWQ!$LP$2:$LP$60=P$4)*(GMWQ!$LR$2:$LR$60=P$1),0),$B183-1966)</f>
        <v>328000</v>
      </c>
      <c r="Q183" s="7" cm="1">
        <f t="array" ref="Q183">INDEX(GMWQ!$A$2:$LR$60,MATCH(1,(GMWQ!$LQ$2:$LQ$60=Q$3)*(GMWQ!$LP$2:$LP$60=Q$4)*(GMWQ!$LR$2:$LR$60=Q$1),0),$B183-1966)</f>
        <v>2.6266669999999999</v>
      </c>
      <c r="R183" s="7" cm="1">
        <f t="array" ref="R183">INDEX(GMWQ!$A$2:$LR$60,MATCH(1,(GMWQ!$LQ$2:$LQ$60=R$3)*(GMWQ!$LP$2:$LP$60=R$4)*(GMWQ!$LR$2:$LR$60=R$1),0),$B183-1966)</f>
        <v>204249</v>
      </c>
      <c r="S183" s="7" cm="1">
        <f t="array" ref="S183">INDEX(GMWQ!$A$2:$LR$60,MATCH(1,(GMWQ!$LQ$2:$LQ$60=S$3)*(GMWQ!$LP$2:$LP$60=S$4)*(GMWQ!$LR$2:$LR$60=S$1),0),$B183-1966)</f>
        <v>306.35000000000002</v>
      </c>
      <c r="T183" s="7" cm="1">
        <f t="array" ref="T183">INDEX(GMWQ!$A$2:$LR$60,MATCH(1,(GMWQ!$LQ$2:$LQ$60=T$3)*(GMWQ!$LP$2:$LP$60=T$4)*(GMWQ!$LR$2:$LR$60=T$1),0),$B183-1966)</f>
        <v>64918</v>
      </c>
      <c r="U183" s="7" cm="1">
        <f t="array" ref="U183">INDEX(GMWQ!$A$2:$LR$60,MATCH(1,(GMWQ!$LQ$2:$LQ$60=U$3)*(GMWQ!$LP$2:$LP$60=U$4)*(GMWQ!$LR$2:$LR$60=U$1),0),$B183-1966)</f>
        <v>11299</v>
      </c>
      <c r="V183" s="7" cm="1">
        <f t="array" ref="V183">INDEX(GMWQ!$A$2:$LR$60,MATCH(1,(GMWQ!$LQ$2:$LQ$60=V$3)*(GMWQ!$LP$2:$LP$60=V$4)*(GMWQ!$LR$2:$LR$60=V$1),0),$B183-1966)</f>
        <v>1.13547E-3</v>
      </c>
      <c r="W183" s="7" cm="1">
        <f t="array" ref="W183">INDEX(GMWQ!$A$2:$LR$60,MATCH(1,(GMWQ!$LQ$2:$LQ$60=W$3)*(GMWQ!$LP$2:$LP$60=W$4)*(GMWQ!$LR$2:$LR$60=W$1),0),$B183-1966)</f>
        <v>6.2077369999999998</v>
      </c>
      <c r="X183" s="7" cm="1">
        <f t="array" ref="X183">INDEX(GMWQ!$A$2:$LR$60,MATCH(1,(GMWQ!$LQ$2:$LQ$60=X$3)*(GMWQ!$LP$2:$LP$60=X$4)*(GMWQ!$LR$2:$LR$60=X$1),0),$B183-1966)</f>
        <v>3896755</v>
      </c>
      <c r="Y183" s="7" cm="1">
        <f t="array" ref="Y183">INDEX(GMWQ!$A$2:$LR$60,MATCH(1,(GMWQ!$LQ$2:$LQ$60=Y$3)*(GMWQ!$LP$2:$LP$60=Y$4)*(GMWQ!$LR$2:$LR$60=Y$1),0),$B183-1966)</f>
        <v>95.78058</v>
      </c>
      <c r="Z183" s="7" cm="1">
        <f t="array" ref="Z183">INDEX(GMWQ!$A$2:$LR$60,MATCH(1,(GMWQ!$LQ$2:$LQ$60=Z$3)*(GMWQ!$LP$2:$LP$60=Z$4)*(GMWQ!$LR$2:$LR$60=Z$1),0),$B183-1966)</f>
        <v>540971.19999999995</v>
      </c>
      <c r="AA183" s="7" cm="1">
        <f t="array" ref="AA183">INDEX(GMWQ!$A$2:$LR$60,MATCH(1,(GMWQ!$LQ$2:$LQ$60=AA$3)*(GMWQ!$LP$2:$LP$60=AA$4)*(GMWQ!$LR$2:$LR$60=AA$1),0),$B183-1966)</f>
        <v>214137</v>
      </c>
      <c r="AB183" s="7" cm="1">
        <f t="array" ref="AB183">INDEX(GMWQ!$A$2:$LR$60,MATCH(1,(GMWQ!$LQ$2:$LQ$60=AB$3)*(GMWQ!$LP$2:$LP$60=AB$4)*(GMWQ!$LR$2:$LR$60=AB$1),0),$B183-1966)</f>
        <v>180339</v>
      </c>
      <c r="AC183" s="7" cm="1">
        <f t="array" ref="AC183">INDEX(GMWQ!$A$2:$LR$60,MATCH(1,(GMWQ!$LQ$2:$LQ$60=AC$3)*(GMWQ!$LP$2:$LP$60=AC$4)*(GMWQ!$LR$2:$LR$60=AC$1),0),$B183-1966)</f>
        <v>14503</v>
      </c>
      <c r="AD183" s="7" cm="1">
        <f t="array" ref="AD183">INDEX(GMWQ!$A$2:$LR$60,MATCH(1,(GMWQ!$LQ$2:$LQ$60=AD$3)*(GMWQ!$LP$2:$LP$60=AD$4)*(GMWQ!$LR$2:$LR$60=AD$1),0),$B183-1966)</f>
        <v>12605</v>
      </c>
      <c r="AE183" s="7" cm="1">
        <f t="array" ref="AE183">INDEX(GMWQ!$A$2:$LR$60,MATCH(1,(GMWQ!$LQ$2:$LQ$60=AE$3)*(GMWQ!$LP$2:$LP$60=AE$4)*(GMWQ!$LR$2:$LR$60=AE$1),0),$B183-1966)</f>
        <v>513926</v>
      </c>
      <c r="AF183" s="20" cm="1">
        <f t="array" ref="AF183">INDEX(GMWQ!$A$2:$LR$60,MATCH(1,(GMWQ!$LQ$2:$LQ$60=AF$3)*(GMWQ!$LP$2:$LP$60=AF$4)*(GMWQ!$LR$2:$LR$60=AF$1),0),$B183-1966)</f>
        <v>0.25</v>
      </c>
      <c r="AG183" s="20" cm="1">
        <f t="array" ref="AG183">INDEX(GMWQ!$A$2:$LR$60,MATCH(1,(GMWQ!$LQ$2:$LQ$60=AG$3)*(GMWQ!$LP$2:$LP$60=AG$4)*(GMWQ!$LR$2:$LR$60=AG$1),0),$B183-1966)</f>
        <v>-899</v>
      </c>
      <c r="AI183" s="23" cm="1">
        <f t="array" ref="AI183">INDEX(GMWQ!$A$2:$LR$60,MATCH(1,(GMWQ!$LQ$2:$LQ$60=AI$3)*(GMWQ!$LP$2:$LP$60=AI$4)*(GMWQ!$LR$2:$LR$60=AI$1),0),$B183-1966)</f>
        <v>328000</v>
      </c>
      <c r="AJ183" s="23" cm="1">
        <f t="array" ref="AJ183">INDEX(GMWQ!$A$2:$LR$60,MATCH(1,(GMWQ!$LQ$2:$LQ$60=AJ$3)*(GMWQ!$LP$2:$LP$60=AJ$4)*(GMWQ!$LR$2:$LR$60=AJ$1),0),$B183-1966)</f>
        <v>95.606250000000003</v>
      </c>
      <c r="AK183" s="23" cm="1">
        <f t="array" ref="AK183">INDEX(GMWQ!$A$2:$LR$60,MATCH(1,(GMWQ!$LQ$2:$LQ$60=AK$3)*(GMWQ!$LP$2:$LP$60=AK$4)*(GMWQ!$LR$2:$LR$60=AK$1),0),$B183-1966)</f>
        <v>203434</v>
      </c>
      <c r="AL183" s="23" cm="1">
        <f t="array" ref="AL183">INDEX(GMWQ!$A$2:$LR$60,MATCH(1,(GMWQ!$LQ$2:$LQ$60=AL$3)*(GMWQ!$LP$2:$LP$60=AL$4)*(GMWQ!$LR$2:$LR$60=AL$1),0),$B183-1966)</f>
        <v>7552.2139999999999</v>
      </c>
      <c r="AM183" s="23" cm="1">
        <f t="array" ref="AM183">INDEX(GMWQ!$A$2:$LR$60,MATCH(1,(GMWQ!$LQ$2:$LQ$60=AM$3)*(GMWQ!$LP$2:$LP$60=AM$4)*(GMWQ!$LR$2:$LR$60=AM$1),0),$B183-1966)</f>
        <v>26937</v>
      </c>
      <c r="AN183" s="23" cm="1">
        <f t="array" ref="AN183">INDEX(GMWQ!$A$2:$LR$60,MATCH(1,(GMWQ!$LQ$2:$LQ$60=AN$3)*(GMWQ!$LP$2:$LP$60=AN$4)*(GMWQ!$LR$2:$LR$60=AN$1),0),$B183-1966)</f>
        <v>47808</v>
      </c>
      <c r="AO183" s="23" cm="1">
        <f t="array" ref="AO183">INDEX(GMWQ!$A$2:$LR$60,MATCH(1,(GMWQ!$LQ$2:$LQ$60=AO$3)*(GMWQ!$LP$2:$LP$60=AO$4)*(GMWQ!$LR$2:$LR$60=AO$1),0),$B183-1966)</f>
        <v>15358</v>
      </c>
      <c r="AP183" s="23" cm="1">
        <f t="array" ref="AP183">INDEX(GMWQ!$A$2:$LR$60,MATCH(1,(GMWQ!$LQ$2:$LQ$60=AP$3)*(GMWQ!$LP$2:$LP$60=AP$4)*(GMWQ!$LR$2:$LR$60=AP$1),0),$B183-1966)</f>
        <v>-899</v>
      </c>
      <c r="AQ183" s="23" cm="1">
        <f t="array" ref="AQ183">INDEX(GMWQ!$A$2:$LR$60,MATCH(1,(GMWQ!$LQ$2:$LQ$60=AQ$3)*(GMWQ!$LP$2:$LP$60=AQ$4)*(GMWQ!$LR$2:$LR$60=AQ$1),0),$B183-1966)</f>
        <v>57245</v>
      </c>
      <c r="AR183" s="23" cm="1">
        <f t="array" ref="AR183">INDEX(GMWQ!$A$2:$LR$60,MATCH(1,(GMWQ!$LQ$2:$LQ$60=AR$3)*(GMWQ!$LP$2:$LP$60=AR$4)*(GMWQ!$LR$2:$LR$60=AR$1),0),$B183-1966)</f>
        <v>319301</v>
      </c>
      <c r="AS183" s="23" cm="1">
        <f t="array" ref="AS183">INDEX(GMWQ!$A$2:$LR$60,MATCH(1,(GMWQ!$LQ$2:$LQ$60=AS$3)*(GMWQ!$LP$2:$LP$60=AS$4)*(GMWQ!$LR$2:$LR$60=AS$1),0),$B183-1966)</f>
        <v>10260</v>
      </c>
      <c r="AT183" s="23" cm="1">
        <f t="array" ref="AT183">INDEX(GMWQ!$A$2:$LR$60,MATCH(1,(GMWQ!$LQ$2:$LQ$60=AT$3)*(GMWQ!$LP$2:$LP$60=AT$4)*(GMWQ!$LR$2:$LR$60=AT$1),0),$B183-1966)</f>
        <v>333975</v>
      </c>
      <c r="AU183" s="23" cm="1">
        <f t="array" ref="AU183">INDEX(GMWQ!$A$2:$LR$60,MATCH(1,(GMWQ!$LQ$2:$LQ$60=AU$3)*(GMWQ!$LP$2:$LP$60=AU$4)*(GMWQ!$LR$2:$LR$60=AU$1),0),$B183-1966)</f>
        <v>10723</v>
      </c>
    </row>
    <row r="184" spans="1:47" x14ac:dyDescent="0.35">
      <c r="B184" s="7">
        <f t="shared" si="4"/>
        <v>2150</v>
      </c>
      <c r="C184" s="7" cm="1">
        <f t="array" ref="C184">INDEX(GMWQ!$A$2:$LR$60,MATCH(1,(GMWQ!$LQ$2:$LQ$60=C$3)*(GMWQ!$LP$2:$LP$60=C$4)*(GMWQ!$LR$2:$LR$60=C$1),0),$B184-1966)</f>
        <v>540020</v>
      </c>
      <c r="D184" s="7" cm="1">
        <f t="array" ref="D184">INDEX(GMWQ!$A$2:$LR$60,MATCH(1,(GMWQ!$LQ$2:$LQ$60=D$3)*(GMWQ!$LP$2:$LP$60=D$4)*(GMWQ!$LR$2:$LR$60=D$1),0),$B184-1966)</f>
        <v>504.33330000000001</v>
      </c>
      <c r="E184" s="7" cm="1">
        <f t="array" ref="E184">INDEX(GMWQ!$A$2:$LR$60,MATCH(1,(GMWQ!$LQ$2:$LQ$60=E$3)*(GMWQ!$LP$2:$LP$60=E$4)*(GMWQ!$LR$2:$LR$60=E$1),0),$B184-1966)</f>
        <v>103.16670000000001</v>
      </c>
      <c r="F184" s="7" cm="1">
        <f t="array" ref="F184">INDEX(GMWQ!$A$2:$LR$60,MATCH(1,(GMWQ!$LQ$2:$LQ$60=F$3)*(GMWQ!$LP$2:$LP$60=F$4)*(GMWQ!$LR$2:$LR$60=F$1),0),$B184-1966)</f>
        <v>206362</v>
      </c>
      <c r="G184" s="7" cm="1">
        <f t="array" ref="G184">INDEX(GMWQ!$A$2:$LR$60,MATCH(1,(GMWQ!$LQ$2:$LQ$60=G$3)*(GMWQ!$LP$2:$LP$60=G$4)*(GMWQ!$LR$2:$LR$60=G$1),0),$B184-1966)</f>
        <v>46068</v>
      </c>
      <c r="H184" s="7" cm="1">
        <f t="array" ref="H184">INDEX(GMWQ!$A$2:$LR$60,MATCH(1,(GMWQ!$LQ$2:$LQ$60=H$3)*(GMWQ!$LP$2:$LP$60=H$4)*(GMWQ!$LR$2:$LR$60=H$1),0),$B184-1966)</f>
        <v>15622</v>
      </c>
      <c r="I184" s="7" cm="1">
        <f t="array" ref="I184">INDEX(GMWQ!$A$2:$LR$60,MATCH(1,(GMWQ!$LQ$2:$LQ$60=I$3)*(GMWQ!$LP$2:$LP$60=I$4)*(GMWQ!$LR$2:$LR$60=I$1),0),$B184-1966)</f>
        <v>96.339359999999999</v>
      </c>
      <c r="J184" s="7" cm="1">
        <f t="array" ref="J184">INDEX(GMWQ!$A$2:$LR$60,MATCH(1,(GMWQ!$LQ$2:$LQ$60=J$3)*(GMWQ!$LP$2:$LP$60=J$4)*(GMWQ!$LR$2:$LR$60=J$1),0),$B184-1966)</f>
        <v>27075</v>
      </c>
      <c r="K184" s="7" cm="1">
        <f t="array" ref="K184">INDEX(GMWQ!$A$2:$LR$60,MATCH(1,(GMWQ!$LQ$2:$LQ$60=K$3)*(GMWQ!$LP$2:$LP$60=K$4)*(GMWQ!$LR$2:$LR$60=K$1),0),$B184-1966)</f>
        <v>0.25</v>
      </c>
      <c r="L184" s="7" cm="1">
        <f t="array" ref="L184">INDEX(GMWQ!$A$2:$LR$60,MATCH(1,(GMWQ!$LQ$2:$LQ$60=L$3)*(GMWQ!$LP$2:$LP$60=L$4)*(GMWQ!$LR$2:$LR$60=L$1),0),$B184-1966)</f>
        <v>4.5</v>
      </c>
      <c r="M184" s="7" cm="1">
        <f t="array" ref="M184">INDEX(GMWQ!$A$2:$LR$60,MATCH(1,(GMWQ!$LQ$2:$LQ$60=M$3)*(GMWQ!$LP$2:$LP$60=M$4)*(GMWQ!$LR$2:$LR$60=M$1),0),$B184-1966)</f>
        <v>114.4267</v>
      </c>
      <c r="N184" s="7" cm="1">
        <f t="array" ref="N184">INDEX(GMWQ!$A$2:$LR$60,MATCH(1,(GMWQ!$LQ$2:$LQ$60=N$3)*(GMWQ!$LP$2:$LP$60=N$4)*(GMWQ!$LR$2:$LR$60=N$1),0),$B184-1966)</f>
        <v>6094</v>
      </c>
      <c r="O184" s="7" cm="1">
        <f t="array" ref="O184">INDEX(GMWQ!$A$2:$LR$60,MATCH(1,(GMWQ!$LQ$2:$LQ$60=O$3)*(GMWQ!$LP$2:$LP$60=O$4)*(GMWQ!$LR$2:$LR$60=O$1),0),$B184-1966)</f>
        <v>5033</v>
      </c>
      <c r="P184" s="7" cm="1">
        <f t="array" ref="P184">INDEX(GMWQ!$A$2:$LR$60,MATCH(1,(GMWQ!$LQ$2:$LQ$60=P$3)*(GMWQ!$LP$2:$LP$60=P$4)*(GMWQ!$LR$2:$LR$60=P$1),0),$B184-1966)</f>
        <v>337442</v>
      </c>
      <c r="Q184" s="7" cm="1">
        <f t="array" ref="Q184">INDEX(GMWQ!$A$2:$LR$60,MATCH(1,(GMWQ!$LQ$2:$LQ$60=Q$3)*(GMWQ!$LP$2:$LP$60=Q$4)*(GMWQ!$LR$2:$LR$60=Q$1),0),$B184-1966)</f>
        <v>2.5866669999999998</v>
      </c>
      <c r="R184" s="7" cm="1">
        <f t="array" ref="R184">INDEX(GMWQ!$A$2:$LR$60,MATCH(1,(GMWQ!$LQ$2:$LQ$60=R$3)*(GMWQ!$LP$2:$LP$60=R$4)*(GMWQ!$LR$2:$LR$60=R$1),0),$B184-1966)</f>
        <v>198138</v>
      </c>
      <c r="S184" s="7" cm="1">
        <f t="array" ref="S184">INDEX(GMWQ!$A$2:$LR$60,MATCH(1,(GMWQ!$LQ$2:$LQ$60=S$3)*(GMWQ!$LP$2:$LP$60=S$4)*(GMWQ!$LR$2:$LR$60=S$1),0),$B184-1966)</f>
        <v>309.75</v>
      </c>
      <c r="T184" s="7" cm="1">
        <f t="array" ref="T184">INDEX(GMWQ!$A$2:$LR$60,MATCH(1,(GMWQ!$LQ$2:$LQ$60=T$3)*(GMWQ!$LP$2:$LP$60=T$4)*(GMWQ!$LR$2:$LR$60=T$1),0),$B184-1966)</f>
        <v>64298</v>
      </c>
      <c r="U184" s="7" cm="1">
        <f t="array" ref="U184">INDEX(GMWQ!$A$2:$LR$60,MATCH(1,(GMWQ!$LQ$2:$LQ$60=U$3)*(GMWQ!$LP$2:$LP$60=U$4)*(GMWQ!$LR$2:$LR$60=U$1),0),$B184-1966)</f>
        <v>11359</v>
      </c>
      <c r="V184" s="7" cm="1">
        <f t="array" ref="V184">INDEX(GMWQ!$A$2:$LR$60,MATCH(1,(GMWQ!$LQ$2:$LQ$60=V$3)*(GMWQ!$LP$2:$LP$60=V$4)*(GMWQ!$LR$2:$LR$60=V$1),0),$B184-1966)</f>
        <v>1.0529669999999999E-3</v>
      </c>
      <c r="W184" s="7" cm="1">
        <f t="array" ref="W184">INDEX(GMWQ!$A$2:$LR$60,MATCH(1,(GMWQ!$LQ$2:$LQ$60=W$3)*(GMWQ!$LP$2:$LP$60=W$4)*(GMWQ!$LR$2:$LR$60=W$1),0),$B184-1966)</f>
        <v>6.5015340000000004</v>
      </c>
      <c r="X184" s="7" cm="1">
        <f t="array" ref="X184">INDEX(GMWQ!$A$2:$LR$60,MATCH(1,(GMWQ!$LQ$2:$LQ$60=X$3)*(GMWQ!$LP$2:$LP$60=X$4)*(GMWQ!$LR$2:$LR$60=X$1),0),$B184-1966)</f>
        <v>3936403</v>
      </c>
      <c r="Y184" s="7" cm="1">
        <f t="array" ref="Y184">INDEX(GMWQ!$A$2:$LR$60,MATCH(1,(GMWQ!$LQ$2:$LQ$60=Y$3)*(GMWQ!$LP$2:$LP$60=Y$4)*(GMWQ!$LR$2:$LR$60=Y$1),0),$B184-1966)</f>
        <v>95.841819999999998</v>
      </c>
      <c r="Z184" s="7" cm="1">
        <f t="array" ref="Z184">INDEX(GMWQ!$A$2:$LR$60,MATCH(1,(GMWQ!$LQ$2:$LQ$60=Z$3)*(GMWQ!$LP$2:$LP$60=Z$4)*(GMWQ!$LR$2:$LR$60=Z$1),0),$B184-1966)</f>
        <v>544475.6</v>
      </c>
      <c r="AA184" s="7" cm="1">
        <f t="array" ref="AA184">INDEX(GMWQ!$A$2:$LR$60,MATCH(1,(GMWQ!$LQ$2:$LQ$60=AA$3)*(GMWQ!$LP$2:$LP$60=AA$4)*(GMWQ!$LR$2:$LR$60=AA$1),0),$B184-1966)</f>
        <v>184263</v>
      </c>
      <c r="AB184" s="7" cm="1">
        <f t="array" ref="AB184">INDEX(GMWQ!$A$2:$LR$60,MATCH(1,(GMWQ!$LQ$2:$LQ$60=AB$3)*(GMWQ!$LP$2:$LP$60=AB$4)*(GMWQ!$LR$2:$LR$60=AB$1),0),$B184-1966)</f>
        <v>188040</v>
      </c>
      <c r="AC184" s="7" cm="1">
        <f t="array" ref="AC184">INDEX(GMWQ!$A$2:$LR$60,MATCH(1,(GMWQ!$LQ$2:$LQ$60=AC$3)*(GMWQ!$LP$2:$LP$60=AC$4)*(GMWQ!$LR$2:$LR$60=AC$1),0),$B184-1966)</f>
        <v>10013</v>
      </c>
      <c r="AD184" s="7" cm="1">
        <f t="array" ref="AD184">INDEX(GMWQ!$A$2:$LR$60,MATCH(1,(GMWQ!$LQ$2:$LQ$60=AD$3)*(GMWQ!$LP$2:$LP$60=AD$4)*(GMWQ!$LR$2:$LR$60=AD$1),0),$B184-1966)</f>
        <v>12626</v>
      </c>
      <c r="AE184" s="7" cm="1">
        <f t="array" ref="AE184">INDEX(GMWQ!$A$2:$LR$60,MATCH(1,(GMWQ!$LQ$2:$LQ$60=AE$3)*(GMWQ!$LP$2:$LP$60=AE$4)*(GMWQ!$LR$2:$LR$60=AE$1),0),$B184-1966)</f>
        <v>517565</v>
      </c>
      <c r="AF184" s="20" cm="1">
        <f t="array" ref="AF184">INDEX(GMWQ!$A$2:$LR$60,MATCH(1,(GMWQ!$LQ$2:$LQ$60=AF$3)*(GMWQ!$LP$2:$LP$60=AF$4)*(GMWQ!$LR$2:$LR$60=AF$1),0),$B184-1966)</f>
        <v>0.25</v>
      </c>
      <c r="AG184" s="20" cm="1">
        <f t="array" ref="AG184">INDEX(GMWQ!$A$2:$LR$60,MATCH(1,(GMWQ!$LQ$2:$LQ$60=AG$3)*(GMWQ!$LP$2:$LP$60=AG$4)*(GMWQ!$LR$2:$LR$60=AG$1),0),$B184-1966)</f>
        <v>-1061</v>
      </c>
      <c r="AI184" s="23" cm="1">
        <f t="array" ref="AI184">INDEX(GMWQ!$A$2:$LR$60,MATCH(1,(GMWQ!$LQ$2:$LQ$60=AI$3)*(GMWQ!$LP$2:$LP$60=AI$4)*(GMWQ!$LR$2:$LR$60=AI$1),0),$B184-1966)</f>
        <v>337442</v>
      </c>
      <c r="AJ184" s="23" cm="1">
        <f t="array" ref="AJ184">INDEX(GMWQ!$A$2:$LR$60,MATCH(1,(GMWQ!$LQ$2:$LQ$60=AJ$3)*(GMWQ!$LP$2:$LP$60=AJ$4)*(GMWQ!$LR$2:$LR$60=AJ$1),0),$B184-1966)</f>
        <v>96.339359999999999</v>
      </c>
      <c r="AK184" s="23" cm="1">
        <f t="array" ref="AK184">INDEX(GMWQ!$A$2:$LR$60,MATCH(1,(GMWQ!$LQ$2:$LQ$60=AK$3)*(GMWQ!$LP$2:$LP$60=AK$4)*(GMWQ!$LR$2:$LR$60=AK$1),0),$B184-1966)</f>
        <v>206362</v>
      </c>
      <c r="AL184" s="23" cm="1">
        <f t="array" ref="AL184">INDEX(GMWQ!$A$2:$LR$60,MATCH(1,(GMWQ!$LQ$2:$LQ$60=AL$3)*(GMWQ!$LP$2:$LP$60=AL$4)*(GMWQ!$LR$2:$LR$60=AL$1),0),$B184-1966)</f>
        <v>7621.8649999999998</v>
      </c>
      <c r="AM184" s="23" cm="1">
        <f t="array" ref="AM184">INDEX(GMWQ!$A$2:$LR$60,MATCH(1,(GMWQ!$LQ$2:$LQ$60=AM$3)*(GMWQ!$LP$2:$LP$60=AM$4)*(GMWQ!$LR$2:$LR$60=AM$1),0),$B184-1966)</f>
        <v>27075</v>
      </c>
      <c r="AN184" s="23" cm="1">
        <f t="array" ref="AN184">INDEX(GMWQ!$A$2:$LR$60,MATCH(1,(GMWQ!$LQ$2:$LQ$60=AN$3)*(GMWQ!$LP$2:$LP$60=AN$4)*(GMWQ!$LR$2:$LR$60=AN$1),0),$B184-1966)</f>
        <v>46068</v>
      </c>
      <c r="AO184" s="23" cm="1">
        <f t="array" ref="AO184">INDEX(GMWQ!$A$2:$LR$60,MATCH(1,(GMWQ!$LQ$2:$LQ$60=AO$3)*(GMWQ!$LP$2:$LP$60=AO$4)*(GMWQ!$LR$2:$LR$60=AO$1),0),$B184-1966)</f>
        <v>15622</v>
      </c>
      <c r="AP184" s="23" cm="1">
        <f t="array" ref="AP184">INDEX(GMWQ!$A$2:$LR$60,MATCH(1,(GMWQ!$LQ$2:$LQ$60=AP$3)*(GMWQ!$LP$2:$LP$60=AP$4)*(GMWQ!$LR$2:$LR$60=AP$1),0),$B184-1966)</f>
        <v>-1061</v>
      </c>
      <c r="AQ184" s="23" cm="1">
        <f t="array" ref="AQ184">INDEX(GMWQ!$A$2:$LR$60,MATCH(1,(GMWQ!$LQ$2:$LQ$60=AQ$3)*(GMWQ!$LP$2:$LP$60=AQ$4)*(GMWQ!$LR$2:$LR$60=AQ$1),0),$B184-1966)</f>
        <v>58787</v>
      </c>
      <c r="AR184" s="23" cm="1">
        <f t="array" ref="AR184">INDEX(GMWQ!$A$2:$LR$60,MATCH(1,(GMWQ!$LQ$2:$LQ$60=AR$3)*(GMWQ!$LP$2:$LP$60=AR$4)*(GMWQ!$LR$2:$LR$60=AR$1),0),$B184-1966)</f>
        <v>321575</v>
      </c>
      <c r="AS184" s="23" cm="1">
        <f t="array" ref="AS184">INDEX(GMWQ!$A$2:$LR$60,MATCH(1,(GMWQ!$LQ$2:$LQ$60=AS$3)*(GMWQ!$LP$2:$LP$60=AS$4)*(GMWQ!$LR$2:$LR$60=AS$1),0),$B184-1966)</f>
        <v>10407</v>
      </c>
      <c r="AT184" s="23" cm="1">
        <f t="array" ref="AT184">INDEX(GMWQ!$A$2:$LR$60,MATCH(1,(GMWQ!$LQ$2:$LQ$60=AT$3)*(GMWQ!$LP$2:$LP$60=AT$4)*(GMWQ!$LR$2:$LR$60=AT$1),0),$B184-1966)</f>
        <v>333794</v>
      </c>
      <c r="AU184" s="23" cm="1">
        <f t="array" ref="AU184">INDEX(GMWQ!$A$2:$LR$60,MATCH(1,(GMWQ!$LQ$2:$LQ$60=AU$3)*(GMWQ!$LP$2:$LP$60=AU$4)*(GMWQ!$LR$2:$LR$60=AU$1),0),$B184-1966)</f>
        <v>10964</v>
      </c>
    </row>
    <row r="185" spans="1:47" x14ac:dyDescent="0.35">
      <c r="B185" s="7">
        <f t="shared" si="4"/>
        <v>2151</v>
      </c>
      <c r="C185" s="7" cm="1">
        <f t="array" ref="C185">INDEX(GMWQ!$A$2:$LR$60,MATCH(1,(GMWQ!$LQ$2:$LQ$60=C$3)*(GMWQ!$LP$2:$LP$60=C$4)*(GMWQ!$LR$2:$LR$60=C$1),0),$B185-1966)</f>
        <v>543452</v>
      </c>
      <c r="D185" s="7" cm="1">
        <f t="array" ref="D185">INDEX(GMWQ!$A$2:$LR$60,MATCH(1,(GMWQ!$LQ$2:$LQ$60=D$3)*(GMWQ!$LP$2:$LP$60=D$4)*(GMWQ!$LR$2:$LR$60=D$1),0),$B185-1966)</f>
        <v>506.66669999999999</v>
      </c>
      <c r="E185" s="7" cm="1">
        <f t="array" ref="E185">INDEX(GMWQ!$A$2:$LR$60,MATCH(1,(GMWQ!$LQ$2:$LQ$60=E$3)*(GMWQ!$LP$2:$LP$60=E$4)*(GMWQ!$LR$2:$LR$60=E$1),0),$B185-1966)</f>
        <v>103.7</v>
      </c>
      <c r="F185" s="7" cm="1">
        <f t="array" ref="F185">INDEX(GMWQ!$A$2:$LR$60,MATCH(1,(GMWQ!$LQ$2:$LQ$60=F$3)*(GMWQ!$LP$2:$LP$60=F$4)*(GMWQ!$LR$2:$LR$60=F$1),0),$B185-1966)</f>
        <v>207984</v>
      </c>
      <c r="G185" s="7" cm="1">
        <f t="array" ref="G185">INDEX(GMWQ!$A$2:$LR$60,MATCH(1,(GMWQ!$LQ$2:$LQ$60=G$3)*(GMWQ!$LP$2:$LP$60=G$4)*(GMWQ!$LR$2:$LR$60=G$1),0),$B185-1966)</f>
        <v>46163</v>
      </c>
      <c r="H185" s="7" cm="1">
        <f t="array" ref="H185">INDEX(GMWQ!$A$2:$LR$60,MATCH(1,(GMWQ!$LQ$2:$LQ$60=H$3)*(GMWQ!$LP$2:$LP$60=H$4)*(GMWQ!$LR$2:$LR$60=H$1),0),$B185-1966)</f>
        <v>15614</v>
      </c>
      <c r="I185" s="7" cm="1">
        <f t="array" ref="I185">INDEX(GMWQ!$A$2:$LR$60,MATCH(1,(GMWQ!$LQ$2:$LQ$60=I$3)*(GMWQ!$LP$2:$LP$60=I$4)*(GMWQ!$LR$2:$LR$60=I$1),0),$B185-1966)</f>
        <v>96.769130000000004</v>
      </c>
      <c r="J185" s="7" cm="1">
        <f t="array" ref="J185">INDEX(GMWQ!$A$2:$LR$60,MATCH(1,(GMWQ!$LQ$2:$LQ$60=J$3)*(GMWQ!$LP$2:$LP$60=J$4)*(GMWQ!$LR$2:$LR$60=J$1),0),$B185-1966)</f>
        <v>27074</v>
      </c>
      <c r="K185" s="7" cm="1">
        <f t="array" ref="K185">INDEX(GMWQ!$A$2:$LR$60,MATCH(1,(GMWQ!$LQ$2:$LQ$60=K$3)*(GMWQ!$LP$2:$LP$60=K$4)*(GMWQ!$LR$2:$LR$60=K$1),0),$B185-1966)</f>
        <v>0.25</v>
      </c>
      <c r="L185" s="7" cm="1">
        <f t="array" ref="L185">INDEX(GMWQ!$A$2:$LR$60,MATCH(1,(GMWQ!$LQ$2:$LQ$60=L$3)*(GMWQ!$LP$2:$LP$60=L$4)*(GMWQ!$LR$2:$LR$60=L$1),0),$B185-1966)</f>
        <v>4.3</v>
      </c>
      <c r="M185" s="7" cm="1">
        <f t="array" ref="M185">INDEX(GMWQ!$A$2:$LR$60,MATCH(1,(GMWQ!$LQ$2:$LQ$60=M$3)*(GMWQ!$LP$2:$LP$60=M$4)*(GMWQ!$LR$2:$LR$60=M$1),0),$B185-1966)</f>
        <v>115.84529999999999</v>
      </c>
      <c r="N185" s="7" cm="1">
        <f t="array" ref="N185">INDEX(GMWQ!$A$2:$LR$60,MATCH(1,(GMWQ!$LQ$2:$LQ$60=N$3)*(GMWQ!$LP$2:$LP$60=N$4)*(GMWQ!$LR$2:$LR$60=N$1),0),$B185-1966)</f>
        <v>5494</v>
      </c>
      <c r="O185" s="7" cm="1">
        <f t="array" ref="O185">INDEX(GMWQ!$A$2:$LR$60,MATCH(1,(GMWQ!$LQ$2:$LQ$60=O$3)*(GMWQ!$LP$2:$LP$60=O$4)*(GMWQ!$LR$2:$LR$60=O$1),0),$B185-1966)</f>
        <v>4710</v>
      </c>
      <c r="P185" s="7" cm="1">
        <f t="array" ref="P185">INDEX(GMWQ!$A$2:$LR$60,MATCH(1,(GMWQ!$LQ$2:$LQ$60=P$3)*(GMWQ!$LP$2:$LP$60=P$4)*(GMWQ!$LR$2:$LR$60=P$1),0),$B185-1966)</f>
        <v>339739</v>
      </c>
      <c r="Q185" s="7" cm="1">
        <f t="array" ref="Q185">INDEX(GMWQ!$A$2:$LR$60,MATCH(1,(GMWQ!$LQ$2:$LQ$60=Q$3)*(GMWQ!$LP$2:$LP$60=Q$4)*(GMWQ!$LR$2:$LR$60=Q$1),0),$B185-1966)</f>
        <v>2.5333329999999998</v>
      </c>
      <c r="R185" s="7" cm="1">
        <f t="array" ref="R185">INDEX(GMWQ!$A$2:$LR$60,MATCH(1,(GMWQ!$LQ$2:$LQ$60=R$3)*(GMWQ!$LP$2:$LP$60=R$4)*(GMWQ!$LR$2:$LR$60=R$1),0),$B185-1966)</f>
        <v>202157</v>
      </c>
      <c r="S185" s="7" cm="1">
        <f t="array" ref="S185">INDEX(GMWQ!$A$2:$LR$60,MATCH(1,(GMWQ!$LQ$2:$LQ$60=S$3)*(GMWQ!$LP$2:$LP$60=S$4)*(GMWQ!$LR$2:$LR$60=S$1),0),$B185-1966)</f>
        <v>306.64999999999998</v>
      </c>
      <c r="T185" s="7" cm="1">
        <f t="array" ref="T185">INDEX(GMWQ!$A$2:$LR$60,MATCH(1,(GMWQ!$LQ$2:$LQ$60=T$3)*(GMWQ!$LP$2:$LP$60=T$4)*(GMWQ!$LR$2:$LR$60=T$1),0),$B185-1966)</f>
        <v>65222</v>
      </c>
      <c r="U185" s="7" cm="1">
        <f t="array" ref="U185">INDEX(GMWQ!$A$2:$LR$60,MATCH(1,(GMWQ!$LQ$2:$LQ$60=U$3)*(GMWQ!$LP$2:$LP$60=U$4)*(GMWQ!$LR$2:$LR$60=U$1),0),$B185-1966)</f>
        <v>11809</v>
      </c>
      <c r="V185" s="7" cm="1">
        <f t="array" ref="V185">INDEX(GMWQ!$A$2:$LR$60,MATCH(1,(GMWQ!$LQ$2:$LQ$60=V$3)*(GMWQ!$LP$2:$LP$60=V$4)*(GMWQ!$LR$2:$LR$60=V$1),0),$B185-1966)</f>
        <v>1.041394E-3</v>
      </c>
      <c r="W185" s="7" cm="1">
        <f t="array" ref="W185">INDEX(GMWQ!$A$2:$LR$60,MATCH(1,(GMWQ!$LQ$2:$LQ$60=W$3)*(GMWQ!$LP$2:$LP$60=W$4)*(GMWQ!$LR$2:$LR$60=W$1),0),$B185-1966)</f>
        <v>6.6792300000000004</v>
      </c>
      <c r="X185" s="7" cm="1">
        <f t="array" ref="X185">INDEX(GMWQ!$A$2:$LR$60,MATCH(1,(GMWQ!$LQ$2:$LQ$60=X$3)*(GMWQ!$LP$2:$LP$60=X$4)*(GMWQ!$LR$2:$LR$60=X$1),0),$B185-1966)</f>
        <v>3961786</v>
      </c>
      <c r="Y185" s="7" cm="1">
        <f t="array" ref="Y185">INDEX(GMWQ!$A$2:$LR$60,MATCH(1,(GMWQ!$LQ$2:$LQ$60=Y$3)*(GMWQ!$LP$2:$LP$60=Y$4)*(GMWQ!$LR$2:$LR$60=Y$1),0),$B185-1966)</f>
        <v>95.908929999999998</v>
      </c>
      <c r="Z185" s="7" cm="1">
        <f t="array" ref="Z185">INDEX(GMWQ!$A$2:$LR$60,MATCH(1,(GMWQ!$LQ$2:$LQ$60=Z$3)*(GMWQ!$LP$2:$LP$60=Z$4)*(GMWQ!$LR$2:$LR$60=Z$1),0),$B185-1966)</f>
        <v>542133.1</v>
      </c>
      <c r="AA185" s="7" cm="1">
        <f t="array" ref="AA185">INDEX(GMWQ!$A$2:$LR$60,MATCH(1,(GMWQ!$LQ$2:$LQ$60=AA$3)*(GMWQ!$LP$2:$LP$60=AA$4)*(GMWQ!$LR$2:$LR$60=AA$1),0),$B185-1966)</f>
        <v>193281</v>
      </c>
      <c r="AB185" s="7" cm="1">
        <f t="array" ref="AB185">INDEX(GMWQ!$A$2:$LR$60,MATCH(1,(GMWQ!$LQ$2:$LQ$60=AB$3)*(GMWQ!$LP$2:$LP$60=AB$4)*(GMWQ!$LR$2:$LR$60=AB$1),0),$B185-1966)</f>
        <v>185694</v>
      </c>
      <c r="AC185" s="7" cm="1">
        <f t="array" ref="AC185">INDEX(GMWQ!$A$2:$LR$60,MATCH(1,(GMWQ!$LQ$2:$LQ$60=AC$3)*(GMWQ!$LP$2:$LP$60=AC$4)*(GMWQ!$LR$2:$LR$60=AC$1),0),$B185-1966)</f>
        <v>10637</v>
      </c>
      <c r="AD185" s="7" cm="1">
        <f t="array" ref="AD185">INDEX(GMWQ!$A$2:$LR$60,MATCH(1,(GMWQ!$LQ$2:$LQ$60=AD$3)*(GMWQ!$LP$2:$LP$60=AD$4)*(GMWQ!$LR$2:$LR$60=AD$1),0),$B185-1966)</f>
        <v>12647</v>
      </c>
      <c r="AE185" s="7" cm="1">
        <f t="array" ref="AE185">INDEX(GMWQ!$A$2:$LR$60,MATCH(1,(GMWQ!$LQ$2:$LQ$60=AE$3)*(GMWQ!$LP$2:$LP$60=AE$4)*(GMWQ!$LR$2:$LR$60=AE$1),0),$B185-1966)</f>
        <v>521219</v>
      </c>
      <c r="AF185" s="20" cm="1">
        <f t="array" ref="AF185">INDEX(GMWQ!$A$2:$LR$60,MATCH(1,(GMWQ!$LQ$2:$LQ$60=AF$3)*(GMWQ!$LP$2:$LP$60=AF$4)*(GMWQ!$LR$2:$LR$60=AF$1),0),$B185-1966)</f>
        <v>0.25</v>
      </c>
      <c r="AG185" s="20" cm="1">
        <f t="array" ref="AG185">INDEX(GMWQ!$A$2:$LR$60,MATCH(1,(GMWQ!$LQ$2:$LQ$60=AG$3)*(GMWQ!$LP$2:$LP$60=AG$4)*(GMWQ!$LR$2:$LR$60=AG$1),0),$B185-1966)</f>
        <v>-784</v>
      </c>
      <c r="AI185" s="23" cm="1">
        <f t="array" ref="AI185">INDEX(GMWQ!$A$2:$LR$60,MATCH(1,(GMWQ!$LQ$2:$LQ$60=AI$3)*(GMWQ!$LP$2:$LP$60=AI$4)*(GMWQ!$LR$2:$LR$60=AI$1),0),$B185-1966)</f>
        <v>339739</v>
      </c>
      <c r="AJ185" s="23" cm="1">
        <f t="array" ref="AJ185">INDEX(GMWQ!$A$2:$LR$60,MATCH(1,(GMWQ!$LQ$2:$LQ$60=AJ$3)*(GMWQ!$LP$2:$LP$60=AJ$4)*(GMWQ!$LR$2:$LR$60=AJ$1),0),$B185-1966)</f>
        <v>96.769130000000004</v>
      </c>
      <c r="AK185" s="23" cm="1">
        <f t="array" ref="AK185">INDEX(GMWQ!$A$2:$LR$60,MATCH(1,(GMWQ!$LQ$2:$LQ$60=AK$3)*(GMWQ!$LP$2:$LP$60=AK$4)*(GMWQ!$LR$2:$LR$60=AK$1),0),$B185-1966)</f>
        <v>207984</v>
      </c>
      <c r="AL185" s="23" cm="1">
        <f t="array" ref="AL185">INDEX(GMWQ!$A$2:$LR$60,MATCH(1,(GMWQ!$LQ$2:$LQ$60=AL$3)*(GMWQ!$LP$2:$LP$60=AL$4)*(GMWQ!$LR$2:$LR$60=AL$1),0),$B185-1966)</f>
        <v>7682.0569999999998</v>
      </c>
      <c r="AM185" s="23" cm="1">
        <f t="array" ref="AM185">INDEX(GMWQ!$A$2:$LR$60,MATCH(1,(GMWQ!$LQ$2:$LQ$60=AM$3)*(GMWQ!$LP$2:$LP$60=AM$4)*(GMWQ!$LR$2:$LR$60=AM$1),0),$B185-1966)</f>
        <v>27074</v>
      </c>
      <c r="AN185" s="23" cm="1">
        <f t="array" ref="AN185">INDEX(GMWQ!$A$2:$LR$60,MATCH(1,(GMWQ!$LQ$2:$LQ$60=AN$3)*(GMWQ!$LP$2:$LP$60=AN$4)*(GMWQ!$LR$2:$LR$60=AN$1),0),$B185-1966)</f>
        <v>46163</v>
      </c>
      <c r="AO185" s="23" cm="1">
        <f t="array" ref="AO185">INDEX(GMWQ!$A$2:$LR$60,MATCH(1,(GMWQ!$LQ$2:$LQ$60=AO$3)*(GMWQ!$LP$2:$LP$60=AO$4)*(GMWQ!$LR$2:$LR$60=AO$1),0),$B185-1966)</f>
        <v>15614</v>
      </c>
      <c r="AP185" s="23" cm="1">
        <f t="array" ref="AP185">INDEX(GMWQ!$A$2:$LR$60,MATCH(1,(GMWQ!$LQ$2:$LQ$60=AP$3)*(GMWQ!$LP$2:$LP$60=AP$4)*(GMWQ!$LR$2:$LR$60=AP$1),0),$B185-1966)</f>
        <v>-784</v>
      </c>
      <c r="AQ185" s="23" cm="1">
        <f t="array" ref="AQ185">INDEX(GMWQ!$A$2:$LR$60,MATCH(1,(GMWQ!$LQ$2:$LQ$60=AQ$3)*(GMWQ!$LP$2:$LP$60=AQ$4)*(GMWQ!$LR$2:$LR$60=AQ$1),0),$B185-1966)</f>
        <v>58944</v>
      </c>
      <c r="AR185" s="23" cm="1">
        <f t="array" ref="AR185">INDEX(GMWQ!$A$2:$LR$60,MATCH(1,(GMWQ!$LQ$2:$LQ$60=AR$3)*(GMWQ!$LP$2:$LP$60=AR$4)*(GMWQ!$LR$2:$LR$60=AR$1),0),$B185-1966)</f>
        <v>325062</v>
      </c>
      <c r="AS185" s="23" cm="1">
        <f t="array" ref="AS185">INDEX(GMWQ!$A$2:$LR$60,MATCH(1,(GMWQ!$LQ$2:$LQ$60=AS$3)*(GMWQ!$LP$2:$LP$60=AS$4)*(GMWQ!$LR$2:$LR$60=AS$1),0),$B185-1966)</f>
        <v>10674</v>
      </c>
      <c r="AT185" s="23" cm="1">
        <f t="array" ref="AT185">INDEX(GMWQ!$A$2:$LR$60,MATCH(1,(GMWQ!$LQ$2:$LQ$60=AT$3)*(GMWQ!$LP$2:$LP$60=AT$4)*(GMWQ!$LR$2:$LR$60=AT$1),0),$B185-1966)</f>
        <v>335915</v>
      </c>
      <c r="AU185" s="23" cm="1">
        <f t="array" ref="AU185">INDEX(GMWQ!$A$2:$LR$60,MATCH(1,(GMWQ!$LQ$2:$LQ$60=AU$3)*(GMWQ!$LP$2:$LP$60=AU$4)*(GMWQ!$LR$2:$LR$60=AU$1),0),$B185-1966)</f>
        <v>11091</v>
      </c>
    </row>
    <row r="186" spans="1:47" x14ac:dyDescent="0.35">
      <c r="B186" s="7">
        <f t="shared" si="4"/>
        <v>2152</v>
      </c>
      <c r="C186" s="7" cm="1">
        <f t="array" ref="C186">INDEX(GMWQ!$A$2:$LR$60,MATCH(1,(GMWQ!$LQ$2:$LQ$60=C$3)*(GMWQ!$LP$2:$LP$60=C$4)*(GMWQ!$LR$2:$LR$60=C$1),0),$B186-1966)</f>
        <v>547377</v>
      </c>
      <c r="D186" s="7" cm="1">
        <f t="array" ref="D186">INDEX(GMWQ!$A$2:$LR$60,MATCH(1,(GMWQ!$LQ$2:$LQ$60=D$3)*(GMWQ!$LP$2:$LP$60=D$4)*(GMWQ!$LR$2:$LR$60=D$1),0),$B186-1966)</f>
        <v>510.33330000000001</v>
      </c>
      <c r="E186" s="7" cm="1">
        <f t="array" ref="E186">INDEX(GMWQ!$A$2:$LR$60,MATCH(1,(GMWQ!$LQ$2:$LQ$60=E$3)*(GMWQ!$LP$2:$LP$60=E$4)*(GMWQ!$LR$2:$LR$60=E$1),0),$B186-1966)</f>
        <v>104.5667</v>
      </c>
      <c r="F186" s="7" cm="1">
        <f t="array" ref="F186">INDEX(GMWQ!$A$2:$LR$60,MATCH(1,(GMWQ!$LQ$2:$LQ$60=F$3)*(GMWQ!$LP$2:$LP$60=F$4)*(GMWQ!$LR$2:$LR$60=F$1),0),$B186-1966)</f>
        <v>209502</v>
      </c>
      <c r="G186" s="7" cm="1">
        <f t="array" ref="G186">INDEX(GMWQ!$A$2:$LR$60,MATCH(1,(GMWQ!$LQ$2:$LQ$60=G$3)*(GMWQ!$LP$2:$LP$60=G$4)*(GMWQ!$LR$2:$LR$60=G$1),0),$B186-1966)</f>
        <v>48135</v>
      </c>
      <c r="H186" s="7" cm="1">
        <f t="array" ref="H186">INDEX(GMWQ!$A$2:$LR$60,MATCH(1,(GMWQ!$LQ$2:$LQ$60=H$3)*(GMWQ!$LP$2:$LP$60=H$4)*(GMWQ!$LR$2:$LR$60=H$1),0),$B186-1966)</f>
        <v>15890</v>
      </c>
      <c r="I186" s="7" cm="1">
        <f t="array" ref="I186">INDEX(GMWQ!$A$2:$LR$60,MATCH(1,(GMWQ!$LQ$2:$LQ$60=I$3)*(GMWQ!$LP$2:$LP$60=I$4)*(GMWQ!$LR$2:$LR$60=I$1),0),$B186-1966)</f>
        <v>97.362049999999996</v>
      </c>
      <c r="J186" s="7" cm="1">
        <f t="array" ref="J186">INDEX(GMWQ!$A$2:$LR$60,MATCH(1,(GMWQ!$LQ$2:$LQ$60=J$3)*(GMWQ!$LP$2:$LP$60=J$4)*(GMWQ!$LR$2:$LR$60=J$1),0),$B186-1966)</f>
        <v>27174</v>
      </c>
      <c r="K186" s="7" cm="1">
        <f t="array" ref="K186">INDEX(GMWQ!$A$2:$LR$60,MATCH(1,(GMWQ!$LQ$2:$LQ$60=K$3)*(GMWQ!$LP$2:$LP$60=K$4)*(GMWQ!$LR$2:$LR$60=K$1),0),$B186-1966)</f>
        <v>0.5</v>
      </c>
      <c r="L186" s="7" cm="1">
        <f t="array" ref="L186">INDEX(GMWQ!$A$2:$LR$60,MATCH(1,(GMWQ!$LQ$2:$LQ$60=L$3)*(GMWQ!$LP$2:$LP$60=L$4)*(GMWQ!$LR$2:$LR$60=L$1),0),$B186-1966)</f>
        <v>4.4000000000000004</v>
      </c>
      <c r="M186" s="7" cm="1">
        <f t="array" ref="M186">INDEX(GMWQ!$A$2:$LR$60,MATCH(1,(GMWQ!$LQ$2:$LQ$60=M$3)*(GMWQ!$LP$2:$LP$60=M$4)*(GMWQ!$LR$2:$LR$60=M$1),0),$B186-1966)</f>
        <v>116.88</v>
      </c>
      <c r="N186" s="7" cm="1">
        <f t="array" ref="N186">INDEX(GMWQ!$A$2:$LR$60,MATCH(1,(GMWQ!$LQ$2:$LQ$60=N$3)*(GMWQ!$LP$2:$LP$60=N$4)*(GMWQ!$LR$2:$LR$60=N$1),0),$B186-1966)</f>
        <v>6078</v>
      </c>
      <c r="O186" s="7" cm="1">
        <f t="array" ref="O186">INDEX(GMWQ!$A$2:$LR$60,MATCH(1,(GMWQ!$LQ$2:$LQ$60=O$3)*(GMWQ!$LP$2:$LP$60=O$4)*(GMWQ!$LR$2:$LR$60=O$1),0),$B186-1966)</f>
        <v>5019</v>
      </c>
      <c r="P186" s="7" cm="1">
        <f t="array" ref="P186">INDEX(GMWQ!$A$2:$LR$60,MATCH(1,(GMWQ!$LQ$2:$LQ$60=P$3)*(GMWQ!$LP$2:$LP$60=P$4)*(GMWQ!$LR$2:$LR$60=P$1),0),$B186-1966)</f>
        <v>341892</v>
      </c>
      <c r="Q186" s="7" cm="1">
        <f t="array" ref="Q186">INDEX(GMWQ!$A$2:$LR$60,MATCH(1,(GMWQ!$LQ$2:$LQ$60=Q$3)*(GMWQ!$LP$2:$LP$60=Q$4)*(GMWQ!$LR$2:$LR$60=Q$1),0),$B186-1966)</f>
        <v>2.516667</v>
      </c>
      <c r="R186" s="7" cm="1">
        <f t="array" ref="R186">INDEX(GMWQ!$A$2:$LR$60,MATCH(1,(GMWQ!$LQ$2:$LQ$60=R$3)*(GMWQ!$LP$2:$LP$60=R$4)*(GMWQ!$LR$2:$LR$60=R$1),0),$B186-1966)</f>
        <v>192998</v>
      </c>
      <c r="S186" s="7" cm="1">
        <f t="array" ref="S186">INDEX(GMWQ!$A$2:$LR$60,MATCH(1,(GMWQ!$LQ$2:$LQ$60=S$3)*(GMWQ!$LP$2:$LP$60=S$4)*(GMWQ!$LR$2:$LR$60=S$1),0),$B186-1966)</f>
        <v>300.39</v>
      </c>
      <c r="T186" s="7" cm="1">
        <f t="array" ref="T186">INDEX(GMWQ!$A$2:$LR$60,MATCH(1,(GMWQ!$LQ$2:$LQ$60=T$3)*(GMWQ!$LP$2:$LP$60=T$4)*(GMWQ!$LR$2:$LR$60=T$1),0),$B186-1966)</f>
        <v>65832</v>
      </c>
      <c r="U186" s="7" cm="1">
        <f t="array" ref="U186">INDEX(GMWQ!$A$2:$LR$60,MATCH(1,(GMWQ!$LQ$2:$LQ$60=U$3)*(GMWQ!$LP$2:$LP$60=U$4)*(GMWQ!$LR$2:$LR$60=U$1),0),$B186-1966)</f>
        <v>11318</v>
      </c>
      <c r="V186" s="7" cm="1">
        <f t="array" ref="V186">INDEX(GMWQ!$A$2:$LR$60,MATCH(1,(GMWQ!$LQ$2:$LQ$60=V$3)*(GMWQ!$LP$2:$LP$60=V$4)*(GMWQ!$LR$2:$LR$60=V$1),0),$B186-1966)</f>
        <v>1.0144489999999999E-3</v>
      </c>
      <c r="W186" s="7" cm="1">
        <f t="array" ref="W186">INDEX(GMWQ!$A$2:$LR$60,MATCH(1,(GMWQ!$LQ$2:$LQ$60=W$3)*(GMWQ!$LP$2:$LP$60=W$4)*(GMWQ!$LR$2:$LR$60=W$1),0),$B186-1966)</f>
        <v>6.390568</v>
      </c>
      <c r="X186" s="7" cm="1">
        <f t="array" ref="X186">INDEX(GMWQ!$A$2:$LR$60,MATCH(1,(GMWQ!$LQ$2:$LQ$60=X$3)*(GMWQ!$LP$2:$LP$60=X$4)*(GMWQ!$LR$2:$LR$60=X$1),0),$B186-1966)</f>
        <v>3993232</v>
      </c>
      <c r="Y186" s="7" cm="1">
        <f t="array" ref="Y186">INDEX(GMWQ!$A$2:$LR$60,MATCH(1,(GMWQ!$LQ$2:$LQ$60=Y$3)*(GMWQ!$LP$2:$LP$60=Y$4)*(GMWQ!$LR$2:$LR$60=Y$1),0),$B186-1966)</f>
        <v>96.783749999999998</v>
      </c>
      <c r="Z186" s="7" cm="1">
        <f t="array" ref="Z186">INDEX(GMWQ!$A$2:$LR$60,MATCH(1,(GMWQ!$LQ$2:$LQ$60=Z$3)*(GMWQ!$LP$2:$LP$60=Z$4)*(GMWQ!$LR$2:$LR$60=Z$1),0),$B186-1966)</f>
        <v>543884.1</v>
      </c>
      <c r="AA186" s="7" cm="1">
        <f t="array" ref="AA186">INDEX(GMWQ!$A$2:$LR$60,MATCH(1,(GMWQ!$LQ$2:$LQ$60=AA$3)*(GMWQ!$LP$2:$LP$60=AA$4)*(GMWQ!$LR$2:$LR$60=AA$1),0),$B186-1966)</f>
        <v>188708</v>
      </c>
      <c r="AB186" s="7" cm="1">
        <f t="array" ref="AB186">INDEX(GMWQ!$A$2:$LR$60,MATCH(1,(GMWQ!$LQ$2:$LQ$60=AB$3)*(GMWQ!$LP$2:$LP$60=AB$4)*(GMWQ!$LR$2:$LR$60=AB$1),0),$B186-1966)</f>
        <v>185073</v>
      </c>
      <c r="AC186" s="7" cm="1">
        <f t="array" ref="AC186">INDEX(GMWQ!$A$2:$LR$60,MATCH(1,(GMWQ!$LQ$2:$LQ$60=AC$3)*(GMWQ!$LP$2:$LP$60=AC$4)*(GMWQ!$LR$2:$LR$60=AC$1),0),$B186-1966)</f>
        <v>10150</v>
      </c>
      <c r="AD186" s="7" cm="1">
        <f t="array" ref="AD186">INDEX(GMWQ!$A$2:$LR$60,MATCH(1,(GMWQ!$LQ$2:$LQ$60=AD$3)*(GMWQ!$LP$2:$LP$60=AD$4)*(GMWQ!$LR$2:$LR$60=AD$1),0),$B186-1966)</f>
        <v>12507</v>
      </c>
      <c r="AE186" s="7" cm="1">
        <f t="array" ref="AE186">INDEX(GMWQ!$A$2:$LR$60,MATCH(1,(GMWQ!$LQ$2:$LQ$60=AE$3)*(GMWQ!$LP$2:$LP$60=AE$4)*(GMWQ!$LR$2:$LR$60=AE$1),0),$B186-1966)</f>
        <v>529772</v>
      </c>
      <c r="AF186" s="20" cm="1">
        <f t="array" ref="AF186">INDEX(GMWQ!$A$2:$LR$60,MATCH(1,(GMWQ!$LQ$2:$LQ$60=AF$3)*(GMWQ!$LP$2:$LP$60=AF$4)*(GMWQ!$LR$2:$LR$60=AF$1),0),$B186-1966)</f>
        <v>0.41153849999999997</v>
      </c>
      <c r="AG186" s="20" cm="1">
        <f t="array" ref="AG186">INDEX(GMWQ!$A$2:$LR$60,MATCH(1,(GMWQ!$LQ$2:$LQ$60=AG$3)*(GMWQ!$LP$2:$LP$60=AG$4)*(GMWQ!$LR$2:$LR$60=AG$1),0),$B186-1966)</f>
        <v>-1059</v>
      </c>
      <c r="AI186" s="23" cm="1">
        <f t="array" ref="AI186">INDEX(GMWQ!$A$2:$LR$60,MATCH(1,(GMWQ!$LQ$2:$LQ$60=AI$3)*(GMWQ!$LP$2:$LP$60=AI$4)*(GMWQ!$LR$2:$LR$60=AI$1),0),$B186-1966)</f>
        <v>341892</v>
      </c>
      <c r="AJ186" s="23" cm="1">
        <f t="array" ref="AJ186">INDEX(GMWQ!$A$2:$LR$60,MATCH(1,(GMWQ!$LQ$2:$LQ$60=AJ$3)*(GMWQ!$LP$2:$LP$60=AJ$4)*(GMWQ!$LR$2:$LR$60=AJ$1),0),$B186-1966)</f>
        <v>97.362049999999996</v>
      </c>
      <c r="AK186" s="23" cm="1">
        <f t="array" ref="AK186">INDEX(GMWQ!$A$2:$LR$60,MATCH(1,(GMWQ!$LQ$2:$LQ$60=AK$3)*(GMWQ!$LP$2:$LP$60=AK$4)*(GMWQ!$LR$2:$LR$60=AK$1),0),$B186-1966)</f>
        <v>209502</v>
      </c>
      <c r="AL186" s="23" cm="1">
        <f t="array" ref="AL186">INDEX(GMWQ!$A$2:$LR$60,MATCH(1,(GMWQ!$LQ$2:$LQ$60=AL$3)*(GMWQ!$LP$2:$LP$60=AL$4)*(GMWQ!$LR$2:$LR$60=AL$1),0),$B186-1966)</f>
        <v>7709.6490000000003</v>
      </c>
      <c r="AM186" s="23" cm="1">
        <f t="array" ref="AM186">INDEX(GMWQ!$A$2:$LR$60,MATCH(1,(GMWQ!$LQ$2:$LQ$60=AM$3)*(GMWQ!$LP$2:$LP$60=AM$4)*(GMWQ!$LR$2:$LR$60=AM$1),0),$B186-1966)</f>
        <v>27174</v>
      </c>
      <c r="AN186" s="23" cm="1">
        <f t="array" ref="AN186">INDEX(GMWQ!$A$2:$LR$60,MATCH(1,(GMWQ!$LQ$2:$LQ$60=AN$3)*(GMWQ!$LP$2:$LP$60=AN$4)*(GMWQ!$LR$2:$LR$60=AN$1),0),$B186-1966)</f>
        <v>48135</v>
      </c>
      <c r="AO186" s="23" cm="1">
        <f t="array" ref="AO186">INDEX(GMWQ!$A$2:$LR$60,MATCH(1,(GMWQ!$LQ$2:$LQ$60=AO$3)*(GMWQ!$LP$2:$LP$60=AO$4)*(GMWQ!$LR$2:$LR$60=AO$1),0),$B186-1966)</f>
        <v>15890</v>
      </c>
      <c r="AP186" s="23" cm="1">
        <f t="array" ref="AP186">INDEX(GMWQ!$A$2:$LR$60,MATCH(1,(GMWQ!$LQ$2:$LQ$60=AP$3)*(GMWQ!$LP$2:$LP$60=AP$4)*(GMWQ!$LR$2:$LR$60=AP$1),0),$B186-1966)</f>
        <v>-1059</v>
      </c>
      <c r="AQ186" s="23" cm="1">
        <f t="array" ref="AQ186">INDEX(GMWQ!$A$2:$LR$60,MATCH(1,(GMWQ!$LQ$2:$LQ$60=AQ$3)*(GMWQ!$LP$2:$LP$60=AQ$4)*(GMWQ!$LR$2:$LR$60=AQ$1),0),$B186-1966)</f>
        <v>59303</v>
      </c>
      <c r="AR186" s="23" cm="1">
        <f t="array" ref="AR186">INDEX(GMWQ!$A$2:$LR$60,MATCH(1,(GMWQ!$LQ$2:$LQ$60=AR$3)*(GMWQ!$LP$2:$LP$60=AR$4)*(GMWQ!$LR$2:$LR$60=AR$1),0),$B186-1966)</f>
        <v>328631</v>
      </c>
      <c r="AS186" s="23" cm="1">
        <f t="array" ref="AS186">INDEX(GMWQ!$A$2:$LR$60,MATCH(1,(GMWQ!$LQ$2:$LQ$60=AS$3)*(GMWQ!$LP$2:$LP$60=AS$4)*(GMWQ!$LR$2:$LR$60=AS$1),0),$B186-1966)</f>
        <v>11011</v>
      </c>
      <c r="AT186" s="23" cm="1">
        <f t="array" ref="AT186">INDEX(GMWQ!$A$2:$LR$60,MATCH(1,(GMWQ!$LQ$2:$LQ$60=AT$3)*(GMWQ!$LP$2:$LP$60=AT$4)*(GMWQ!$LR$2:$LR$60=AT$1),0),$B186-1966)</f>
        <v>337535</v>
      </c>
      <c r="AU186" s="23" cm="1">
        <f t="array" ref="AU186">INDEX(GMWQ!$A$2:$LR$60,MATCH(1,(GMWQ!$LQ$2:$LQ$60=AU$3)*(GMWQ!$LP$2:$LP$60=AU$4)*(GMWQ!$LR$2:$LR$60=AU$1),0),$B186-1966)</f>
        <v>11381</v>
      </c>
    </row>
    <row r="187" spans="1:47" x14ac:dyDescent="0.35">
      <c r="A187" s="7">
        <v>2018</v>
      </c>
      <c r="B187" s="7">
        <f t="shared" si="4"/>
        <v>2153</v>
      </c>
      <c r="C187" s="7" cm="1">
        <f t="array" ref="C187">INDEX(GMWQ!$A$2:$LR$60,MATCH(1,(GMWQ!$LQ$2:$LQ$60=C$3)*(GMWQ!$LP$2:$LP$60=C$4)*(GMWQ!$LR$2:$LR$60=C$1),0),$B187-1966)</f>
        <v>547688</v>
      </c>
      <c r="D187" s="7" cm="1">
        <f t="array" ref="D187">INDEX(GMWQ!$A$2:$LR$60,MATCH(1,(GMWQ!$LQ$2:$LQ$60=D$3)*(GMWQ!$LP$2:$LP$60=D$4)*(GMWQ!$LR$2:$LR$60=D$1),0),$B187-1966)</f>
        <v>512</v>
      </c>
      <c r="E187" s="7" cm="1">
        <f t="array" ref="E187">INDEX(GMWQ!$A$2:$LR$60,MATCH(1,(GMWQ!$LQ$2:$LQ$60=E$3)*(GMWQ!$LP$2:$LP$60=E$4)*(GMWQ!$LR$2:$LR$60=E$1),0),$B187-1966)</f>
        <v>104.7667</v>
      </c>
      <c r="F187" s="7" cm="1">
        <f t="array" ref="F187">INDEX(GMWQ!$A$2:$LR$60,MATCH(1,(GMWQ!$LQ$2:$LQ$60=F$3)*(GMWQ!$LP$2:$LP$60=F$4)*(GMWQ!$LR$2:$LR$60=F$1),0),$B187-1966)</f>
        <v>213466</v>
      </c>
      <c r="G187" s="7" cm="1">
        <f t="array" ref="G187">INDEX(GMWQ!$A$2:$LR$60,MATCH(1,(GMWQ!$LQ$2:$LQ$60=G$3)*(GMWQ!$LP$2:$LP$60=G$4)*(GMWQ!$LR$2:$LR$60=G$1),0),$B187-1966)</f>
        <v>46517</v>
      </c>
      <c r="H187" s="7" cm="1">
        <f t="array" ref="H187">INDEX(GMWQ!$A$2:$LR$60,MATCH(1,(GMWQ!$LQ$2:$LQ$60=H$3)*(GMWQ!$LP$2:$LP$60=H$4)*(GMWQ!$LR$2:$LR$60=H$1),0),$B187-1966)</f>
        <v>16041</v>
      </c>
      <c r="I187" s="7" cm="1">
        <f t="array" ref="I187">INDEX(GMWQ!$A$2:$LR$60,MATCH(1,(GMWQ!$LQ$2:$LQ$60=I$3)*(GMWQ!$LP$2:$LP$60=I$4)*(GMWQ!$LR$2:$LR$60=I$1),0),$B187-1966)</f>
        <v>97.900419999999997</v>
      </c>
      <c r="J187" s="7" cm="1">
        <f t="array" ref="J187">INDEX(GMWQ!$A$2:$LR$60,MATCH(1,(GMWQ!$LQ$2:$LQ$60=J$3)*(GMWQ!$LP$2:$LP$60=J$4)*(GMWQ!$LR$2:$LR$60=J$1),0),$B187-1966)</f>
        <v>27425</v>
      </c>
      <c r="K187" s="7" cm="1">
        <f t="array" ref="K187">INDEX(GMWQ!$A$2:$LR$60,MATCH(1,(GMWQ!$LQ$2:$LQ$60=K$3)*(GMWQ!$LP$2:$LP$60=K$4)*(GMWQ!$LR$2:$LR$60=K$1),0),$B187-1966)</f>
        <v>0.5</v>
      </c>
      <c r="L187" s="7" cm="1">
        <f t="array" ref="L187">INDEX(GMWQ!$A$2:$LR$60,MATCH(1,(GMWQ!$LQ$2:$LQ$60=L$3)*(GMWQ!$LP$2:$LP$60=L$4)*(GMWQ!$LR$2:$LR$60=L$1),0),$B187-1966)</f>
        <v>4.3</v>
      </c>
      <c r="M187" s="7" cm="1">
        <f t="array" ref="M187">INDEX(GMWQ!$A$2:$LR$60,MATCH(1,(GMWQ!$LQ$2:$LQ$60=M$3)*(GMWQ!$LP$2:$LP$60=M$4)*(GMWQ!$LR$2:$LR$60=M$1),0),$B187-1966)</f>
        <v>117.80670000000001</v>
      </c>
      <c r="N187" s="7" cm="1">
        <f t="array" ref="N187">INDEX(GMWQ!$A$2:$LR$60,MATCH(1,(GMWQ!$LQ$2:$LQ$60=N$3)*(GMWQ!$LP$2:$LP$60=N$4)*(GMWQ!$LR$2:$LR$60=N$1),0),$B187-1966)</f>
        <v>6785</v>
      </c>
      <c r="O187" s="7" cm="1">
        <f t="array" ref="O187">INDEX(GMWQ!$A$2:$LR$60,MATCH(1,(GMWQ!$LQ$2:$LQ$60=O$3)*(GMWQ!$LP$2:$LP$60=O$4)*(GMWQ!$LR$2:$LR$60=O$1),0),$B187-1966)</f>
        <v>5851</v>
      </c>
      <c r="P187" s="7" cm="1">
        <f t="array" ref="P187">INDEX(GMWQ!$A$2:$LR$60,MATCH(1,(GMWQ!$LQ$2:$LQ$60=P$3)*(GMWQ!$LP$2:$LP$60=P$4)*(GMWQ!$LR$2:$LR$60=P$1),0),$B187-1966)</f>
        <v>347741</v>
      </c>
      <c r="Q187" s="7" cm="1">
        <f t="array" ref="Q187">INDEX(GMWQ!$A$2:$LR$60,MATCH(1,(GMWQ!$LQ$2:$LQ$60=Q$3)*(GMWQ!$LP$2:$LP$60=Q$4)*(GMWQ!$LR$2:$LR$60=Q$1),0),$B187-1966)</f>
        <v>2.52</v>
      </c>
      <c r="R187" s="7" cm="1">
        <f t="array" ref="R187">INDEX(GMWQ!$A$2:$LR$60,MATCH(1,(GMWQ!$LQ$2:$LQ$60=R$3)*(GMWQ!$LP$2:$LP$60=R$4)*(GMWQ!$LR$2:$LR$60=R$1),0),$B187-1966)</f>
        <v>191910</v>
      </c>
      <c r="S187" s="7" cm="1">
        <f t="array" ref="S187">INDEX(GMWQ!$A$2:$LR$60,MATCH(1,(GMWQ!$LQ$2:$LQ$60=S$3)*(GMWQ!$LP$2:$LP$60=S$4)*(GMWQ!$LR$2:$LR$60=S$1),0),$B187-1966)</f>
        <v>289.99</v>
      </c>
      <c r="T187" s="7" cm="1">
        <f t="array" ref="T187">INDEX(GMWQ!$A$2:$LR$60,MATCH(1,(GMWQ!$LQ$2:$LQ$60=T$3)*(GMWQ!$LP$2:$LP$60=T$4)*(GMWQ!$LR$2:$LR$60=T$1),0),$B187-1966)</f>
        <v>66773</v>
      </c>
      <c r="U187" s="7" cm="1">
        <f t="array" ref="U187">INDEX(GMWQ!$A$2:$LR$60,MATCH(1,(GMWQ!$LQ$2:$LQ$60=U$3)*(GMWQ!$LP$2:$LP$60=U$4)*(GMWQ!$LR$2:$LR$60=U$1),0),$B187-1966)</f>
        <v>10812</v>
      </c>
      <c r="V187" s="7" cm="1">
        <f t="array" ref="V187">INDEX(GMWQ!$A$2:$LR$60,MATCH(1,(GMWQ!$LQ$2:$LQ$60=V$3)*(GMWQ!$LP$2:$LP$60=V$4)*(GMWQ!$LR$2:$LR$60=V$1),0),$B187-1966)</f>
        <v>1.1304869999999999E-3</v>
      </c>
      <c r="W187" s="7" cm="1">
        <f t="array" ref="W187">INDEX(GMWQ!$A$2:$LR$60,MATCH(1,(GMWQ!$LQ$2:$LQ$60=W$3)*(GMWQ!$LP$2:$LP$60=W$4)*(GMWQ!$LR$2:$LR$60=W$1),0),$B187-1966)</f>
        <v>8.1078440000000001</v>
      </c>
      <c r="X187" s="7" cm="1">
        <f t="array" ref="X187">INDEX(GMWQ!$A$2:$LR$60,MATCH(1,(GMWQ!$LQ$2:$LQ$60=X$3)*(GMWQ!$LP$2:$LP$60=X$4)*(GMWQ!$LR$2:$LR$60=X$1),0),$B187-1966)</f>
        <v>4033355</v>
      </c>
      <c r="Y187" s="7" cm="1">
        <f t="array" ref="Y187">INDEX(GMWQ!$A$2:$LR$60,MATCH(1,(GMWQ!$LQ$2:$LQ$60=Y$3)*(GMWQ!$LP$2:$LP$60=Y$4)*(GMWQ!$LR$2:$LR$60=Y$1),0),$B187-1966)</f>
        <v>97.001580000000004</v>
      </c>
      <c r="Z187" s="7" cm="1">
        <f t="array" ref="Z187">INDEX(GMWQ!$A$2:$LR$60,MATCH(1,(GMWQ!$LQ$2:$LQ$60=Z$3)*(GMWQ!$LP$2:$LP$60=Z$4)*(GMWQ!$LR$2:$LR$60=Z$1),0),$B187-1966)</f>
        <v>546927.9</v>
      </c>
      <c r="AA187" s="7" cm="1">
        <f t="array" ref="AA187">INDEX(GMWQ!$A$2:$LR$60,MATCH(1,(GMWQ!$LQ$2:$LQ$60=AA$3)*(GMWQ!$LP$2:$LP$60=AA$4)*(GMWQ!$LR$2:$LR$60=AA$1),0),$B187-1966)</f>
        <v>214449</v>
      </c>
      <c r="AB187" s="7" cm="1">
        <f t="array" ref="AB187">INDEX(GMWQ!$A$2:$LR$60,MATCH(1,(GMWQ!$LQ$2:$LQ$60=AB$3)*(GMWQ!$LP$2:$LP$60=AB$4)*(GMWQ!$LR$2:$LR$60=AB$1),0),$B187-1966)</f>
        <v>184986</v>
      </c>
      <c r="AC187" s="7" cm="1">
        <f t="array" ref="AC187">INDEX(GMWQ!$A$2:$LR$60,MATCH(1,(GMWQ!$LQ$2:$LQ$60=AC$3)*(GMWQ!$LP$2:$LP$60=AC$4)*(GMWQ!$LR$2:$LR$60=AC$1),0),$B187-1966)</f>
        <v>15561</v>
      </c>
      <c r="AD187" s="7" cm="1">
        <f t="array" ref="AD187">INDEX(GMWQ!$A$2:$LR$60,MATCH(1,(GMWQ!$LQ$2:$LQ$60=AD$3)*(GMWQ!$LP$2:$LP$60=AD$4)*(GMWQ!$LR$2:$LR$60=AD$1),0),$B187-1966)</f>
        <v>12595</v>
      </c>
      <c r="AE187" s="7" cm="1">
        <f t="array" ref="AE187">INDEX(GMWQ!$A$2:$LR$60,MATCH(1,(GMWQ!$LQ$2:$LQ$60=AE$3)*(GMWQ!$LP$2:$LP$60=AE$4)*(GMWQ!$LR$2:$LR$60=AE$1),0),$B187-1966)</f>
        <v>531266</v>
      </c>
      <c r="AF187" s="20" cm="1">
        <f t="array" ref="AF187">INDEX(GMWQ!$A$2:$LR$60,MATCH(1,(GMWQ!$LQ$2:$LQ$60=AF$3)*(GMWQ!$LP$2:$LP$60=AF$4)*(GMWQ!$LR$2:$LR$60=AF$1),0),$B187-1966)</f>
        <v>0.5</v>
      </c>
      <c r="AG187" s="20" cm="1">
        <f t="array" ref="AG187">INDEX(GMWQ!$A$2:$LR$60,MATCH(1,(GMWQ!$LQ$2:$LQ$60=AG$3)*(GMWQ!$LP$2:$LP$60=AG$4)*(GMWQ!$LR$2:$LR$60=AG$1),0),$B187-1966)</f>
        <v>-934</v>
      </c>
      <c r="AI187" s="23" cm="1">
        <f t="array" ref="AI187">INDEX(GMWQ!$A$2:$LR$60,MATCH(1,(GMWQ!$LQ$2:$LQ$60=AI$3)*(GMWQ!$LP$2:$LP$60=AI$4)*(GMWQ!$LR$2:$LR$60=AI$1),0),$B187-1966)</f>
        <v>347741</v>
      </c>
      <c r="AJ187" s="23" cm="1">
        <f t="array" ref="AJ187">INDEX(GMWQ!$A$2:$LR$60,MATCH(1,(GMWQ!$LQ$2:$LQ$60=AJ$3)*(GMWQ!$LP$2:$LP$60=AJ$4)*(GMWQ!$LR$2:$LR$60=AJ$1),0),$B187-1966)</f>
        <v>97.900419999999997</v>
      </c>
      <c r="AK187" s="23" cm="1">
        <f t="array" ref="AK187">INDEX(GMWQ!$A$2:$LR$60,MATCH(1,(GMWQ!$LQ$2:$LQ$60=AK$3)*(GMWQ!$LP$2:$LP$60=AK$4)*(GMWQ!$LR$2:$LR$60=AK$1),0),$B187-1966)</f>
        <v>213466</v>
      </c>
      <c r="AL187" s="23" cm="1">
        <f t="array" ref="AL187">INDEX(GMWQ!$A$2:$LR$60,MATCH(1,(GMWQ!$LQ$2:$LQ$60=AL$3)*(GMWQ!$LP$2:$LP$60=AL$4)*(GMWQ!$LR$2:$LR$60=AL$1),0),$B187-1966)</f>
        <v>7783.6279999999997</v>
      </c>
      <c r="AM187" s="23" cm="1">
        <f t="array" ref="AM187">INDEX(GMWQ!$A$2:$LR$60,MATCH(1,(GMWQ!$LQ$2:$LQ$60=AM$3)*(GMWQ!$LP$2:$LP$60=AM$4)*(GMWQ!$LR$2:$LR$60=AM$1),0),$B187-1966)</f>
        <v>27425</v>
      </c>
      <c r="AN187" s="23" cm="1">
        <f t="array" ref="AN187">INDEX(GMWQ!$A$2:$LR$60,MATCH(1,(GMWQ!$LQ$2:$LQ$60=AN$3)*(GMWQ!$LP$2:$LP$60=AN$4)*(GMWQ!$LR$2:$LR$60=AN$1),0),$B187-1966)</f>
        <v>46517</v>
      </c>
      <c r="AO187" s="23" cm="1">
        <f t="array" ref="AO187">INDEX(GMWQ!$A$2:$LR$60,MATCH(1,(GMWQ!$LQ$2:$LQ$60=AO$3)*(GMWQ!$LP$2:$LP$60=AO$4)*(GMWQ!$LR$2:$LR$60=AO$1),0),$B187-1966)</f>
        <v>16041</v>
      </c>
      <c r="AP187" s="23" cm="1">
        <f t="array" ref="AP187">INDEX(GMWQ!$A$2:$LR$60,MATCH(1,(GMWQ!$LQ$2:$LQ$60=AP$3)*(GMWQ!$LP$2:$LP$60=AP$4)*(GMWQ!$LR$2:$LR$60=AP$1),0),$B187-1966)</f>
        <v>-934</v>
      </c>
      <c r="AQ187" s="23" cm="1">
        <f t="array" ref="AQ187">INDEX(GMWQ!$A$2:$LR$60,MATCH(1,(GMWQ!$LQ$2:$LQ$60=AQ$3)*(GMWQ!$LP$2:$LP$60=AQ$4)*(GMWQ!$LR$2:$LR$60=AQ$1),0),$B187-1966)</f>
        <v>59019</v>
      </c>
      <c r="AR187" s="23" cm="1">
        <f t="array" ref="AR187">INDEX(GMWQ!$A$2:$LR$60,MATCH(1,(GMWQ!$LQ$2:$LQ$60=AR$3)*(GMWQ!$LP$2:$LP$60=AR$4)*(GMWQ!$LR$2:$LR$60=AR$1),0),$B187-1966)</f>
        <v>332369</v>
      </c>
      <c r="AS187" s="23" cm="1">
        <f t="array" ref="AS187">INDEX(GMWQ!$A$2:$LR$60,MATCH(1,(GMWQ!$LQ$2:$LQ$60=AS$3)*(GMWQ!$LP$2:$LP$60=AS$4)*(GMWQ!$LR$2:$LR$60=AS$1),0),$B187-1966)</f>
        <v>11272</v>
      </c>
      <c r="AT187" s="23" cm="1">
        <f t="array" ref="AT187">INDEX(GMWQ!$A$2:$LR$60,MATCH(1,(GMWQ!$LQ$2:$LQ$60=AT$3)*(GMWQ!$LP$2:$LP$60=AT$4)*(GMWQ!$LR$2:$LR$60=AT$1),0),$B187-1966)</f>
        <v>339497</v>
      </c>
      <c r="AU187" s="23" cm="1">
        <f t="array" ref="AU187">INDEX(GMWQ!$A$2:$LR$60,MATCH(1,(GMWQ!$LQ$2:$LQ$60=AU$3)*(GMWQ!$LP$2:$LP$60=AU$4)*(GMWQ!$LR$2:$LR$60=AU$1),0),$B187-1966)</f>
        <v>11623</v>
      </c>
    </row>
    <row r="188" spans="1:47" x14ac:dyDescent="0.35">
      <c r="B188" s="7">
        <f t="shared" si="4"/>
        <v>2154</v>
      </c>
      <c r="C188" s="7" cm="1">
        <f t="array" ref="C188">INDEX(GMWQ!$A$2:$LR$60,MATCH(1,(GMWQ!$LQ$2:$LQ$60=C$3)*(GMWQ!$LP$2:$LP$60=C$4)*(GMWQ!$LR$2:$LR$60=C$1),0),$B188-1966)</f>
        <v>548600</v>
      </c>
      <c r="D188" s="7" cm="1">
        <f t="array" ref="D188">INDEX(GMWQ!$A$2:$LR$60,MATCH(1,(GMWQ!$LQ$2:$LQ$60=D$3)*(GMWQ!$LP$2:$LP$60=D$4)*(GMWQ!$LR$2:$LR$60=D$1),0),$B188-1966)</f>
        <v>516.66669999999999</v>
      </c>
      <c r="E188" s="7" cm="1">
        <f t="array" ref="E188">INDEX(GMWQ!$A$2:$LR$60,MATCH(1,(GMWQ!$LQ$2:$LQ$60=E$3)*(GMWQ!$LP$2:$LP$60=E$4)*(GMWQ!$LR$2:$LR$60=E$1),0),$B188-1966)</f>
        <v>105.66670000000001</v>
      </c>
      <c r="F188" s="7" cm="1">
        <f t="array" ref="F188">INDEX(GMWQ!$A$2:$LR$60,MATCH(1,(GMWQ!$LQ$2:$LQ$60=F$3)*(GMWQ!$LP$2:$LP$60=F$4)*(GMWQ!$LR$2:$LR$60=F$1),0),$B188-1966)</f>
        <v>212838</v>
      </c>
      <c r="G188" s="7" cm="1">
        <f t="array" ref="G188">INDEX(GMWQ!$A$2:$LR$60,MATCH(1,(GMWQ!$LQ$2:$LQ$60=G$3)*(GMWQ!$LP$2:$LP$60=G$4)*(GMWQ!$LR$2:$LR$60=G$1),0),$B188-1966)</f>
        <v>47804</v>
      </c>
      <c r="H188" s="7" cm="1">
        <f t="array" ref="H188">INDEX(GMWQ!$A$2:$LR$60,MATCH(1,(GMWQ!$LQ$2:$LQ$60=H$3)*(GMWQ!$LP$2:$LP$60=H$4)*(GMWQ!$LR$2:$LR$60=H$1),0),$B188-1966)</f>
        <v>16155</v>
      </c>
      <c r="I188" s="7" cm="1">
        <f t="array" ref="I188">INDEX(GMWQ!$A$2:$LR$60,MATCH(1,(GMWQ!$LQ$2:$LQ$60=I$3)*(GMWQ!$LP$2:$LP$60=I$4)*(GMWQ!$LR$2:$LR$60=I$1),0),$B188-1966)</f>
        <v>98.200059999999993</v>
      </c>
      <c r="J188" s="7" cm="1">
        <f t="array" ref="J188">INDEX(GMWQ!$A$2:$LR$60,MATCH(1,(GMWQ!$LQ$2:$LQ$60=J$3)*(GMWQ!$LP$2:$LP$60=J$4)*(GMWQ!$LR$2:$LR$60=J$1),0),$B188-1966)</f>
        <v>27452</v>
      </c>
      <c r="K188" s="7" cm="1">
        <f t="array" ref="K188">INDEX(GMWQ!$A$2:$LR$60,MATCH(1,(GMWQ!$LQ$2:$LQ$60=K$3)*(GMWQ!$LP$2:$LP$60=K$4)*(GMWQ!$LR$2:$LR$60=K$1),0),$B188-1966)</f>
        <v>0.5</v>
      </c>
      <c r="L188" s="7" cm="1">
        <f t="array" ref="L188">INDEX(GMWQ!$A$2:$LR$60,MATCH(1,(GMWQ!$LQ$2:$LQ$60=L$3)*(GMWQ!$LP$2:$LP$60=L$4)*(GMWQ!$LR$2:$LR$60=L$1),0),$B188-1966)</f>
        <v>4.0999999999999996</v>
      </c>
      <c r="M188" s="7" cm="1">
        <f t="array" ref="M188">INDEX(GMWQ!$A$2:$LR$60,MATCH(1,(GMWQ!$LQ$2:$LQ$60=M$3)*(GMWQ!$LP$2:$LP$60=M$4)*(GMWQ!$LR$2:$LR$60=M$1),0),$B188-1966)</f>
        <v>118.479</v>
      </c>
      <c r="N188" s="7" cm="1">
        <f t="array" ref="N188">INDEX(GMWQ!$A$2:$LR$60,MATCH(1,(GMWQ!$LQ$2:$LQ$60=N$3)*(GMWQ!$LP$2:$LP$60=N$4)*(GMWQ!$LR$2:$LR$60=N$1),0),$B188-1966)</f>
        <v>7435</v>
      </c>
      <c r="O188" s="7" cm="1">
        <f t="array" ref="O188">INDEX(GMWQ!$A$2:$LR$60,MATCH(1,(GMWQ!$LQ$2:$LQ$60=O$3)*(GMWQ!$LP$2:$LP$60=O$4)*(GMWQ!$LR$2:$LR$60=O$1),0),$B188-1966)</f>
        <v>6255</v>
      </c>
      <c r="P188" s="7" cm="1">
        <f t="array" ref="P188">INDEX(GMWQ!$A$2:$LR$60,MATCH(1,(GMWQ!$LQ$2:$LQ$60=P$3)*(GMWQ!$LP$2:$LP$60=P$4)*(GMWQ!$LR$2:$LR$60=P$1),0),$B188-1966)</f>
        <v>347414</v>
      </c>
      <c r="Q188" s="7" cm="1">
        <f t="array" ref="Q188">INDEX(GMWQ!$A$2:$LR$60,MATCH(1,(GMWQ!$LQ$2:$LQ$60=Q$3)*(GMWQ!$LP$2:$LP$60=Q$4)*(GMWQ!$LR$2:$LR$60=Q$1),0),$B188-1966)</f>
        <v>2.483333</v>
      </c>
      <c r="R188" s="7" cm="1">
        <f t="array" ref="R188">INDEX(GMWQ!$A$2:$LR$60,MATCH(1,(GMWQ!$LQ$2:$LQ$60=R$3)*(GMWQ!$LP$2:$LP$60=R$4)*(GMWQ!$LR$2:$LR$60=R$1),0),$B188-1966)</f>
        <v>194126</v>
      </c>
      <c r="S188" s="7" cm="1">
        <f t="array" ref="S188">INDEX(GMWQ!$A$2:$LR$60,MATCH(1,(GMWQ!$LQ$2:$LQ$60=S$3)*(GMWQ!$LP$2:$LP$60=S$4)*(GMWQ!$LR$2:$LR$60=S$1),0),$B188-1966)</f>
        <v>302.5</v>
      </c>
      <c r="T188" s="7" cm="1">
        <f t="array" ref="T188">INDEX(GMWQ!$A$2:$LR$60,MATCH(1,(GMWQ!$LQ$2:$LQ$60=T$3)*(GMWQ!$LP$2:$LP$60=T$4)*(GMWQ!$LR$2:$LR$60=T$1),0),$B188-1966)</f>
        <v>67409</v>
      </c>
      <c r="U188" s="7" cm="1">
        <f t="array" ref="U188">INDEX(GMWQ!$A$2:$LR$60,MATCH(1,(GMWQ!$LQ$2:$LQ$60=U$3)*(GMWQ!$LP$2:$LP$60=U$4)*(GMWQ!$LR$2:$LR$60=U$1),0),$B188-1966)</f>
        <v>11630</v>
      </c>
      <c r="V188" s="7" cm="1">
        <f t="array" ref="V188">INDEX(GMWQ!$A$2:$LR$60,MATCH(1,(GMWQ!$LQ$2:$LQ$60=V$3)*(GMWQ!$LP$2:$LP$60=V$4)*(GMWQ!$LR$2:$LR$60=V$1),0),$B188-1966)</f>
        <v>1.119299E-3</v>
      </c>
      <c r="W188" s="7" cm="1">
        <f t="array" ref="W188">INDEX(GMWQ!$A$2:$LR$60,MATCH(1,(GMWQ!$LQ$2:$LQ$60=W$3)*(GMWQ!$LP$2:$LP$60=W$4)*(GMWQ!$LR$2:$LR$60=W$1),0),$B188-1966)</f>
        <v>7.3568210000000001</v>
      </c>
      <c r="X188" s="7" cm="1">
        <f t="array" ref="X188">INDEX(GMWQ!$A$2:$LR$60,MATCH(1,(GMWQ!$LQ$2:$LQ$60=X$3)*(GMWQ!$LP$2:$LP$60=X$4)*(GMWQ!$LR$2:$LR$60=X$1),0),$B188-1966)</f>
        <v>4075891</v>
      </c>
      <c r="Y188" s="7" cm="1">
        <f t="array" ref="Y188">INDEX(GMWQ!$A$2:$LR$60,MATCH(1,(GMWQ!$LQ$2:$LQ$60=Y$3)*(GMWQ!$LP$2:$LP$60=Y$4)*(GMWQ!$LR$2:$LR$60=Y$1),0),$B188-1966)</f>
        <v>97.631789999999995</v>
      </c>
      <c r="Z188" s="7" cm="1">
        <f t="array" ref="Z188">INDEX(GMWQ!$A$2:$LR$60,MATCH(1,(GMWQ!$LQ$2:$LQ$60=Z$3)*(GMWQ!$LP$2:$LP$60=Z$4)*(GMWQ!$LR$2:$LR$60=Z$1),0),$B188-1966)</f>
        <v>548131.9</v>
      </c>
      <c r="AA188" s="7" cm="1">
        <f t="array" ref="AA188">INDEX(GMWQ!$A$2:$LR$60,MATCH(1,(GMWQ!$LQ$2:$LQ$60=AA$3)*(GMWQ!$LP$2:$LP$60=AA$4)*(GMWQ!$LR$2:$LR$60=AA$1),0),$B188-1966)</f>
        <v>190928</v>
      </c>
      <c r="AB188" s="7" cm="1">
        <f t="array" ref="AB188">INDEX(GMWQ!$A$2:$LR$60,MATCH(1,(GMWQ!$LQ$2:$LQ$60=AB$3)*(GMWQ!$LP$2:$LP$60=AB$4)*(GMWQ!$LR$2:$LR$60=AB$1),0),$B188-1966)</f>
        <v>188487</v>
      </c>
      <c r="AC188" s="7" cm="1">
        <f t="array" ref="AC188">INDEX(GMWQ!$A$2:$LR$60,MATCH(1,(GMWQ!$LQ$2:$LQ$60=AC$3)*(GMWQ!$LP$2:$LP$60=AC$4)*(GMWQ!$LR$2:$LR$60=AC$1),0),$B188-1966)</f>
        <v>8711</v>
      </c>
      <c r="AD188" s="7" cm="1">
        <f t="array" ref="AD188">INDEX(GMWQ!$A$2:$LR$60,MATCH(1,(GMWQ!$LQ$2:$LQ$60=AD$3)*(GMWQ!$LP$2:$LP$60=AD$4)*(GMWQ!$LR$2:$LR$60=AD$1),0),$B188-1966)</f>
        <v>12592</v>
      </c>
      <c r="AE188" s="7" cm="1">
        <f t="array" ref="AE188">INDEX(GMWQ!$A$2:$LR$60,MATCH(1,(GMWQ!$LQ$2:$LQ$60=AE$3)*(GMWQ!$LP$2:$LP$60=AE$4)*(GMWQ!$LR$2:$LR$60=AE$1),0),$B188-1966)</f>
        <v>535608</v>
      </c>
      <c r="AF188" s="20" cm="1">
        <f t="array" ref="AF188">INDEX(GMWQ!$A$2:$LR$60,MATCH(1,(GMWQ!$LQ$2:$LQ$60=AF$3)*(GMWQ!$LP$2:$LP$60=AF$4)*(GMWQ!$LR$2:$LR$60=AF$1),0),$B188-1966)</f>
        <v>0.5</v>
      </c>
      <c r="AG188" s="20" cm="1">
        <f t="array" ref="AG188">INDEX(GMWQ!$A$2:$LR$60,MATCH(1,(GMWQ!$LQ$2:$LQ$60=AG$3)*(GMWQ!$LP$2:$LP$60=AG$4)*(GMWQ!$LR$2:$LR$60=AG$1),0),$B188-1966)</f>
        <v>-1180</v>
      </c>
      <c r="AI188" s="23" cm="1">
        <f t="array" ref="AI188">INDEX(GMWQ!$A$2:$LR$60,MATCH(1,(GMWQ!$LQ$2:$LQ$60=AI$3)*(GMWQ!$LP$2:$LP$60=AI$4)*(GMWQ!$LR$2:$LR$60=AI$1),0),$B188-1966)</f>
        <v>347414</v>
      </c>
      <c r="AJ188" s="23" cm="1">
        <f t="array" ref="AJ188">INDEX(GMWQ!$A$2:$LR$60,MATCH(1,(GMWQ!$LQ$2:$LQ$60=AJ$3)*(GMWQ!$LP$2:$LP$60=AJ$4)*(GMWQ!$LR$2:$LR$60=AJ$1),0),$B188-1966)</f>
        <v>98.200059999999993</v>
      </c>
      <c r="AK188" s="23" cm="1">
        <f t="array" ref="AK188">INDEX(GMWQ!$A$2:$LR$60,MATCH(1,(GMWQ!$LQ$2:$LQ$60=AK$3)*(GMWQ!$LP$2:$LP$60=AK$4)*(GMWQ!$LR$2:$LR$60=AK$1),0),$B188-1966)</f>
        <v>212838</v>
      </c>
      <c r="AL188" s="23" cm="1">
        <f t="array" ref="AL188">INDEX(GMWQ!$A$2:$LR$60,MATCH(1,(GMWQ!$LQ$2:$LQ$60=AL$3)*(GMWQ!$LP$2:$LP$60=AL$4)*(GMWQ!$LR$2:$LR$60=AL$1),0),$B188-1966)</f>
        <v>7753.0959999999995</v>
      </c>
      <c r="AM188" s="23" cm="1">
        <f t="array" ref="AM188">INDEX(GMWQ!$A$2:$LR$60,MATCH(1,(GMWQ!$LQ$2:$LQ$60=AM$3)*(GMWQ!$LP$2:$LP$60=AM$4)*(GMWQ!$LR$2:$LR$60=AM$1),0),$B188-1966)</f>
        <v>27452</v>
      </c>
      <c r="AN188" s="23" cm="1">
        <f t="array" ref="AN188">INDEX(GMWQ!$A$2:$LR$60,MATCH(1,(GMWQ!$LQ$2:$LQ$60=AN$3)*(GMWQ!$LP$2:$LP$60=AN$4)*(GMWQ!$LR$2:$LR$60=AN$1),0),$B188-1966)</f>
        <v>47804</v>
      </c>
      <c r="AO188" s="23" cm="1">
        <f t="array" ref="AO188">INDEX(GMWQ!$A$2:$LR$60,MATCH(1,(GMWQ!$LQ$2:$LQ$60=AO$3)*(GMWQ!$LP$2:$LP$60=AO$4)*(GMWQ!$LR$2:$LR$60=AO$1),0),$B188-1966)</f>
        <v>16155</v>
      </c>
      <c r="AP188" s="23" cm="1">
        <f t="array" ref="AP188">INDEX(GMWQ!$A$2:$LR$60,MATCH(1,(GMWQ!$LQ$2:$LQ$60=AP$3)*(GMWQ!$LP$2:$LP$60=AP$4)*(GMWQ!$LR$2:$LR$60=AP$1),0),$B188-1966)</f>
        <v>-1180</v>
      </c>
      <c r="AQ188" s="23" cm="1">
        <f t="array" ref="AQ188">INDEX(GMWQ!$A$2:$LR$60,MATCH(1,(GMWQ!$LQ$2:$LQ$60=AQ$3)*(GMWQ!$LP$2:$LP$60=AQ$4)*(GMWQ!$LR$2:$LR$60=AQ$1),0),$B188-1966)</f>
        <v>60129</v>
      </c>
      <c r="AR188" s="23" cm="1">
        <f t="array" ref="AR188">INDEX(GMWQ!$A$2:$LR$60,MATCH(1,(GMWQ!$LQ$2:$LQ$60=AR$3)*(GMWQ!$LP$2:$LP$60=AR$4)*(GMWQ!$LR$2:$LR$60=AR$1),0),$B188-1966)</f>
        <v>332472</v>
      </c>
      <c r="AS188" s="23" cm="1">
        <f t="array" ref="AS188">INDEX(GMWQ!$A$2:$LR$60,MATCH(1,(GMWQ!$LQ$2:$LQ$60=AS$3)*(GMWQ!$LP$2:$LP$60=AS$4)*(GMWQ!$LR$2:$LR$60=AS$1),0),$B188-1966)</f>
        <v>11790</v>
      </c>
      <c r="AT188" s="23" cm="1">
        <f t="array" ref="AT188">INDEX(GMWQ!$A$2:$LR$60,MATCH(1,(GMWQ!$LQ$2:$LQ$60=AT$3)*(GMWQ!$LP$2:$LP$60=AT$4)*(GMWQ!$LR$2:$LR$60=AT$1),0),$B188-1966)</f>
        <v>338566</v>
      </c>
      <c r="AU188" s="23" cm="1">
        <f t="array" ref="AU188">INDEX(GMWQ!$A$2:$LR$60,MATCH(1,(GMWQ!$LQ$2:$LQ$60=AU$3)*(GMWQ!$LP$2:$LP$60=AU$4)*(GMWQ!$LR$2:$LR$60=AU$1),0),$B188-1966)</f>
        <v>12140</v>
      </c>
    </row>
    <row r="189" spans="1:47" x14ac:dyDescent="0.35">
      <c r="B189" s="7">
        <f t="shared" si="4"/>
        <v>2155</v>
      </c>
      <c r="C189" s="7" cm="1">
        <f t="array" ref="C189">INDEX(GMWQ!$A$2:$LR$60,MATCH(1,(GMWQ!$LQ$2:$LQ$60=C$3)*(GMWQ!$LP$2:$LP$60=C$4)*(GMWQ!$LR$2:$LR$60=C$1),0),$B189-1966)</f>
        <v>550425</v>
      </c>
      <c r="D189" s="7" cm="1">
        <f t="array" ref="D189">INDEX(GMWQ!$A$2:$LR$60,MATCH(1,(GMWQ!$LQ$2:$LQ$60=D$3)*(GMWQ!$LP$2:$LP$60=D$4)*(GMWQ!$LR$2:$LR$60=D$1),0),$B189-1966)</f>
        <v>522.33330000000001</v>
      </c>
      <c r="E189" s="7" cm="1">
        <f t="array" ref="E189">INDEX(GMWQ!$A$2:$LR$60,MATCH(1,(GMWQ!$LQ$2:$LQ$60=E$3)*(GMWQ!$LP$2:$LP$60=E$4)*(GMWQ!$LR$2:$LR$60=E$1),0),$B189-1966)</f>
        <v>106.3</v>
      </c>
      <c r="F189" s="7" cm="1">
        <f t="array" ref="F189">INDEX(GMWQ!$A$2:$LR$60,MATCH(1,(GMWQ!$LQ$2:$LQ$60=F$3)*(GMWQ!$LP$2:$LP$60=F$4)*(GMWQ!$LR$2:$LR$60=F$1),0),$B189-1966)</f>
        <v>216683</v>
      </c>
      <c r="G189" s="7" cm="1">
        <f t="array" ref="G189">INDEX(GMWQ!$A$2:$LR$60,MATCH(1,(GMWQ!$LQ$2:$LQ$60=G$3)*(GMWQ!$LP$2:$LP$60=G$4)*(GMWQ!$LR$2:$LR$60=G$1),0),$B189-1966)</f>
        <v>49498</v>
      </c>
      <c r="H189" s="7" cm="1">
        <f t="array" ref="H189">INDEX(GMWQ!$A$2:$LR$60,MATCH(1,(GMWQ!$LQ$2:$LQ$60=H$3)*(GMWQ!$LP$2:$LP$60=H$4)*(GMWQ!$LR$2:$LR$60=H$1),0),$B189-1966)</f>
        <v>16281</v>
      </c>
      <c r="I189" s="7" cm="1">
        <f t="array" ref="I189">INDEX(GMWQ!$A$2:$LR$60,MATCH(1,(GMWQ!$LQ$2:$LQ$60=I$3)*(GMWQ!$LP$2:$LP$60=I$4)*(GMWQ!$LR$2:$LR$60=I$1),0),$B189-1966)</f>
        <v>98.765559999999994</v>
      </c>
      <c r="J189" s="7" cm="1">
        <f t="array" ref="J189">INDEX(GMWQ!$A$2:$LR$60,MATCH(1,(GMWQ!$LQ$2:$LQ$60=J$3)*(GMWQ!$LP$2:$LP$60=J$4)*(GMWQ!$LR$2:$LR$60=J$1),0),$B189-1966)</f>
        <v>27510</v>
      </c>
      <c r="K189" s="7" cm="1">
        <f t="array" ref="K189">INDEX(GMWQ!$A$2:$LR$60,MATCH(1,(GMWQ!$LQ$2:$LQ$60=K$3)*(GMWQ!$LP$2:$LP$60=K$4)*(GMWQ!$LR$2:$LR$60=K$1),0),$B189-1966)</f>
        <v>0.75</v>
      </c>
      <c r="L189" s="7" cm="1">
        <f t="array" ref="L189">INDEX(GMWQ!$A$2:$LR$60,MATCH(1,(GMWQ!$LQ$2:$LQ$60=L$3)*(GMWQ!$LP$2:$LP$60=L$4)*(GMWQ!$LR$2:$LR$60=L$1),0),$B189-1966)</f>
        <v>4.2</v>
      </c>
      <c r="M189" s="7" cm="1">
        <f t="array" ref="M189">INDEX(GMWQ!$A$2:$LR$60,MATCH(1,(GMWQ!$LQ$2:$LQ$60=M$3)*(GMWQ!$LP$2:$LP$60=M$4)*(GMWQ!$LR$2:$LR$60=M$1),0),$B189-1966)</f>
        <v>119.28830000000001</v>
      </c>
      <c r="N189" s="7" cm="1">
        <f t="array" ref="N189">INDEX(GMWQ!$A$2:$LR$60,MATCH(1,(GMWQ!$LQ$2:$LQ$60=N$3)*(GMWQ!$LP$2:$LP$60=N$4)*(GMWQ!$LR$2:$LR$60=N$1),0),$B189-1966)</f>
        <v>7727</v>
      </c>
      <c r="O189" s="7" cm="1">
        <f t="array" ref="O189">INDEX(GMWQ!$A$2:$LR$60,MATCH(1,(GMWQ!$LQ$2:$LQ$60=O$3)*(GMWQ!$LP$2:$LP$60=O$4)*(GMWQ!$LR$2:$LR$60=O$1),0),$B189-1966)</f>
        <v>6793</v>
      </c>
      <c r="P189" s="7" cm="1">
        <f t="array" ref="P189">INDEX(GMWQ!$A$2:$LR$60,MATCH(1,(GMWQ!$LQ$2:$LQ$60=P$3)*(GMWQ!$LP$2:$LP$60=P$4)*(GMWQ!$LR$2:$LR$60=P$1),0),$B189-1966)</f>
        <v>350680</v>
      </c>
      <c r="Q189" s="7" cm="1">
        <f t="array" ref="Q189">INDEX(GMWQ!$A$2:$LR$60,MATCH(1,(GMWQ!$LQ$2:$LQ$60=Q$3)*(GMWQ!$LP$2:$LP$60=Q$4)*(GMWQ!$LR$2:$LR$60=Q$1),0),$B189-1966)</f>
        <v>2.48</v>
      </c>
      <c r="R189" s="7" cm="1">
        <f t="array" ref="R189">INDEX(GMWQ!$A$2:$LR$60,MATCH(1,(GMWQ!$LQ$2:$LQ$60=R$3)*(GMWQ!$LP$2:$LP$60=R$4)*(GMWQ!$LR$2:$LR$60=R$1),0),$B189-1966)</f>
        <v>197998</v>
      </c>
      <c r="S189" s="7" cm="1">
        <f t="array" ref="S189">INDEX(GMWQ!$A$2:$LR$60,MATCH(1,(GMWQ!$LQ$2:$LQ$60=S$3)*(GMWQ!$LP$2:$LP$60=S$4)*(GMWQ!$LR$2:$LR$60=S$1),0),$B189-1966)</f>
        <v>298.51</v>
      </c>
      <c r="T189" s="7" cm="1">
        <f t="array" ref="T189">INDEX(GMWQ!$A$2:$LR$60,MATCH(1,(GMWQ!$LQ$2:$LQ$60=T$3)*(GMWQ!$LP$2:$LP$60=T$4)*(GMWQ!$LR$2:$LR$60=T$1),0),$B189-1966)</f>
        <v>67666</v>
      </c>
      <c r="U189" s="7" cm="1">
        <f t="array" ref="U189">INDEX(GMWQ!$A$2:$LR$60,MATCH(1,(GMWQ!$LQ$2:$LQ$60=U$3)*(GMWQ!$LP$2:$LP$60=U$4)*(GMWQ!$LR$2:$LR$60=U$1),0),$B189-1966)</f>
        <v>11321</v>
      </c>
      <c r="V189" s="7" cm="1">
        <f t="array" ref="V189">INDEX(GMWQ!$A$2:$LR$60,MATCH(1,(GMWQ!$LQ$2:$LQ$60=V$3)*(GMWQ!$LP$2:$LP$60=V$4)*(GMWQ!$LR$2:$LR$60=V$1),0),$B189-1966)</f>
        <v>1.195113E-3</v>
      </c>
      <c r="W189" s="7" cm="1">
        <f t="array" ref="W189">INDEX(GMWQ!$A$2:$LR$60,MATCH(1,(GMWQ!$LQ$2:$LQ$60=W$3)*(GMWQ!$LP$2:$LP$60=W$4)*(GMWQ!$LR$2:$LR$60=W$1),0),$B189-1966)</f>
        <v>7.7851970000000001</v>
      </c>
      <c r="X189" s="7" cm="1">
        <f t="array" ref="X189">INDEX(GMWQ!$A$2:$LR$60,MATCH(1,(GMWQ!$LQ$2:$LQ$60=X$3)*(GMWQ!$LP$2:$LP$60=X$4)*(GMWQ!$LR$2:$LR$60=X$1),0),$B189-1966)</f>
        <v>4111057</v>
      </c>
      <c r="Y189" s="7" cm="1">
        <f t="array" ref="Y189">INDEX(GMWQ!$A$2:$LR$60,MATCH(1,(GMWQ!$LQ$2:$LQ$60=Y$3)*(GMWQ!$LP$2:$LP$60=Y$4)*(GMWQ!$LR$2:$LR$60=Y$1),0),$B189-1966)</f>
        <v>98.128360000000001</v>
      </c>
      <c r="Z189" s="7" cm="1">
        <f t="array" ref="Z189">INDEX(GMWQ!$A$2:$LR$60,MATCH(1,(GMWQ!$LQ$2:$LQ$60=Z$3)*(GMWQ!$LP$2:$LP$60=Z$4)*(GMWQ!$LR$2:$LR$60=Z$1),0),$B189-1966)</f>
        <v>553398.9</v>
      </c>
      <c r="AA189" s="7" cm="1">
        <f t="array" ref="AA189">INDEX(GMWQ!$A$2:$LR$60,MATCH(1,(GMWQ!$LQ$2:$LQ$60=AA$3)*(GMWQ!$LP$2:$LP$60=AA$4)*(GMWQ!$LR$2:$LR$60=AA$1),0),$B189-1966)</f>
        <v>199927</v>
      </c>
      <c r="AB189" s="7" cm="1">
        <f t="array" ref="AB189">INDEX(GMWQ!$A$2:$LR$60,MATCH(1,(GMWQ!$LQ$2:$LQ$60=AB$3)*(GMWQ!$LP$2:$LP$60=AB$4)*(GMWQ!$LR$2:$LR$60=AB$1),0),$B189-1966)</f>
        <v>191210</v>
      </c>
      <c r="AC189" s="7" cm="1">
        <f t="array" ref="AC189">INDEX(GMWQ!$A$2:$LR$60,MATCH(1,(GMWQ!$LQ$2:$LQ$60=AC$3)*(GMWQ!$LP$2:$LP$60=AC$4)*(GMWQ!$LR$2:$LR$60=AC$1),0),$B189-1966)</f>
        <v>9574</v>
      </c>
      <c r="AD189" s="7" cm="1">
        <f t="array" ref="AD189">INDEX(GMWQ!$A$2:$LR$60,MATCH(1,(GMWQ!$LQ$2:$LQ$60=AD$3)*(GMWQ!$LP$2:$LP$60=AD$4)*(GMWQ!$LR$2:$LR$60=AD$1),0),$B189-1966)</f>
        <v>12687</v>
      </c>
      <c r="AE189" s="7" cm="1">
        <f t="array" ref="AE189">INDEX(GMWQ!$A$2:$LR$60,MATCH(1,(GMWQ!$LQ$2:$LQ$60=AE$3)*(GMWQ!$LP$2:$LP$60=AE$4)*(GMWQ!$LR$2:$LR$60=AE$1),0),$B189-1966)</f>
        <v>540123</v>
      </c>
      <c r="AF189" s="20" cm="1">
        <f t="array" ref="AF189">INDEX(GMWQ!$A$2:$LR$60,MATCH(1,(GMWQ!$LQ$2:$LQ$60=AF$3)*(GMWQ!$LP$2:$LP$60=AF$4)*(GMWQ!$LR$2:$LR$60=AF$1),0),$B189-1966)</f>
        <v>0.66153850000000003</v>
      </c>
      <c r="AG189" s="20" cm="1">
        <f t="array" ref="AG189">INDEX(GMWQ!$A$2:$LR$60,MATCH(1,(GMWQ!$LQ$2:$LQ$60=AG$3)*(GMWQ!$LP$2:$LP$60=AG$4)*(GMWQ!$LR$2:$LR$60=AG$1),0),$B189-1966)</f>
        <v>-934</v>
      </c>
      <c r="AI189" s="23" cm="1">
        <f t="array" ref="AI189">INDEX(GMWQ!$A$2:$LR$60,MATCH(1,(GMWQ!$LQ$2:$LQ$60=AI$3)*(GMWQ!$LP$2:$LP$60=AI$4)*(GMWQ!$LR$2:$LR$60=AI$1),0),$B189-1966)</f>
        <v>350680</v>
      </c>
      <c r="AJ189" s="23" cm="1">
        <f t="array" ref="AJ189">INDEX(GMWQ!$A$2:$LR$60,MATCH(1,(GMWQ!$LQ$2:$LQ$60=AJ$3)*(GMWQ!$LP$2:$LP$60=AJ$4)*(GMWQ!$LR$2:$LR$60=AJ$1),0),$B189-1966)</f>
        <v>98.765559999999994</v>
      </c>
      <c r="AK189" s="23" cm="1">
        <f t="array" ref="AK189">INDEX(GMWQ!$A$2:$LR$60,MATCH(1,(GMWQ!$LQ$2:$LQ$60=AK$3)*(GMWQ!$LP$2:$LP$60=AK$4)*(GMWQ!$LR$2:$LR$60=AK$1),0),$B189-1966)</f>
        <v>216683</v>
      </c>
      <c r="AL189" s="23" cm="1">
        <f t="array" ref="AL189">INDEX(GMWQ!$A$2:$LR$60,MATCH(1,(GMWQ!$LQ$2:$LQ$60=AL$3)*(GMWQ!$LP$2:$LP$60=AL$4)*(GMWQ!$LR$2:$LR$60=AL$1),0),$B189-1966)</f>
        <v>7876.518</v>
      </c>
      <c r="AM189" s="23" cm="1">
        <f t="array" ref="AM189">INDEX(GMWQ!$A$2:$LR$60,MATCH(1,(GMWQ!$LQ$2:$LQ$60=AM$3)*(GMWQ!$LP$2:$LP$60=AM$4)*(GMWQ!$LR$2:$LR$60=AM$1),0),$B189-1966)</f>
        <v>27510</v>
      </c>
      <c r="AN189" s="23" cm="1">
        <f t="array" ref="AN189">INDEX(GMWQ!$A$2:$LR$60,MATCH(1,(GMWQ!$LQ$2:$LQ$60=AN$3)*(GMWQ!$LP$2:$LP$60=AN$4)*(GMWQ!$LR$2:$LR$60=AN$1),0),$B189-1966)</f>
        <v>49498</v>
      </c>
      <c r="AO189" s="23" cm="1">
        <f t="array" ref="AO189">INDEX(GMWQ!$A$2:$LR$60,MATCH(1,(GMWQ!$LQ$2:$LQ$60=AO$3)*(GMWQ!$LP$2:$LP$60=AO$4)*(GMWQ!$LR$2:$LR$60=AO$1),0),$B189-1966)</f>
        <v>16281</v>
      </c>
      <c r="AP189" s="23" cm="1">
        <f t="array" ref="AP189">INDEX(GMWQ!$A$2:$LR$60,MATCH(1,(GMWQ!$LQ$2:$LQ$60=AP$3)*(GMWQ!$LP$2:$LP$60=AP$4)*(GMWQ!$LR$2:$LR$60=AP$1),0),$B189-1966)</f>
        <v>-934</v>
      </c>
      <c r="AQ189" s="23" cm="1">
        <f t="array" ref="AQ189">INDEX(GMWQ!$A$2:$LR$60,MATCH(1,(GMWQ!$LQ$2:$LQ$60=AQ$3)*(GMWQ!$LP$2:$LP$60=AQ$4)*(GMWQ!$LR$2:$LR$60=AQ$1),0),$B189-1966)</f>
        <v>60653</v>
      </c>
      <c r="AR189" s="23" cm="1">
        <f t="array" ref="AR189">INDEX(GMWQ!$A$2:$LR$60,MATCH(1,(GMWQ!$LQ$2:$LQ$60=AR$3)*(GMWQ!$LP$2:$LP$60=AR$4)*(GMWQ!$LR$2:$LR$60=AR$1),0),$B189-1966)</f>
        <v>336756</v>
      </c>
      <c r="AS189" s="23" cm="1">
        <f t="array" ref="AS189">INDEX(GMWQ!$A$2:$LR$60,MATCH(1,(GMWQ!$LQ$2:$LQ$60=AS$3)*(GMWQ!$LP$2:$LP$60=AS$4)*(GMWQ!$LR$2:$LR$60=AS$1),0),$B189-1966)</f>
        <v>12260</v>
      </c>
      <c r="AT189" s="23" cm="1">
        <f t="array" ref="AT189">INDEX(GMWQ!$A$2:$LR$60,MATCH(1,(GMWQ!$LQ$2:$LQ$60=AT$3)*(GMWQ!$LP$2:$LP$60=AT$4)*(GMWQ!$LR$2:$LR$60=AT$1),0),$B189-1966)</f>
        <v>340965</v>
      </c>
      <c r="AU189" s="23" cm="1">
        <f t="array" ref="AU189">INDEX(GMWQ!$A$2:$LR$60,MATCH(1,(GMWQ!$LQ$2:$LQ$60=AU$3)*(GMWQ!$LP$2:$LP$60=AU$4)*(GMWQ!$LR$2:$LR$60=AU$1),0),$B189-1966)</f>
        <v>12503</v>
      </c>
    </row>
    <row r="190" spans="1:47" x14ac:dyDescent="0.35">
      <c r="B190" s="7">
        <f t="shared" si="4"/>
        <v>2156</v>
      </c>
      <c r="C190" s="7" cm="1">
        <f t="array" ref="C190">INDEX(GMWQ!$A$2:$LR$60,MATCH(1,(GMWQ!$LQ$2:$LQ$60=C$3)*(GMWQ!$LP$2:$LP$60=C$4)*(GMWQ!$LR$2:$LR$60=C$1),0),$B190-1966)</f>
        <v>551128</v>
      </c>
      <c r="D190" s="7" cm="1">
        <f t="array" ref="D190">INDEX(GMWQ!$A$2:$LR$60,MATCH(1,(GMWQ!$LQ$2:$LQ$60=D$3)*(GMWQ!$LP$2:$LP$60=D$4)*(GMWQ!$LR$2:$LR$60=D$1),0),$B190-1966)</f>
        <v>528</v>
      </c>
      <c r="E190" s="7" cm="1">
        <f t="array" ref="E190">INDEX(GMWQ!$A$2:$LR$60,MATCH(1,(GMWQ!$LQ$2:$LQ$60=E$3)*(GMWQ!$LP$2:$LP$60=E$4)*(GMWQ!$LR$2:$LR$60=E$1),0),$B190-1966)</f>
        <v>106.9333</v>
      </c>
      <c r="F190" s="7" cm="1">
        <f t="array" ref="F190">INDEX(GMWQ!$A$2:$LR$60,MATCH(1,(GMWQ!$LQ$2:$LQ$60=F$3)*(GMWQ!$LP$2:$LP$60=F$4)*(GMWQ!$LR$2:$LR$60=F$1),0),$B190-1966)</f>
        <v>219523</v>
      </c>
      <c r="G190" s="7" cm="1">
        <f t="array" ref="G190">INDEX(GMWQ!$A$2:$LR$60,MATCH(1,(GMWQ!$LQ$2:$LQ$60=G$3)*(GMWQ!$LP$2:$LP$60=G$4)*(GMWQ!$LR$2:$LR$60=G$1),0),$B190-1966)</f>
        <v>50872</v>
      </c>
      <c r="H190" s="7" cm="1">
        <f t="array" ref="H190">INDEX(GMWQ!$A$2:$LR$60,MATCH(1,(GMWQ!$LQ$2:$LQ$60=H$3)*(GMWQ!$LP$2:$LP$60=H$4)*(GMWQ!$LR$2:$LR$60=H$1),0),$B190-1966)</f>
        <v>16411</v>
      </c>
      <c r="I190" s="7" cm="1">
        <f t="array" ref="I190">INDEX(GMWQ!$A$2:$LR$60,MATCH(1,(GMWQ!$LQ$2:$LQ$60=I$3)*(GMWQ!$LP$2:$LP$60=I$4)*(GMWQ!$LR$2:$LR$60=I$1),0),$B190-1966)</f>
        <v>99.339740000000006</v>
      </c>
      <c r="J190" s="7" cm="1">
        <f t="array" ref="J190">INDEX(GMWQ!$A$2:$LR$60,MATCH(1,(GMWQ!$LQ$2:$LQ$60=J$3)*(GMWQ!$LP$2:$LP$60=J$4)*(GMWQ!$LR$2:$LR$60=J$1),0),$B190-1966)</f>
        <v>27590</v>
      </c>
      <c r="K190" s="7" cm="1">
        <f t="array" ref="K190">INDEX(GMWQ!$A$2:$LR$60,MATCH(1,(GMWQ!$LQ$2:$LQ$60=K$3)*(GMWQ!$LP$2:$LP$60=K$4)*(GMWQ!$LR$2:$LR$60=K$1),0),$B190-1966)</f>
        <v>0.75</v>
      </c>
      <c r="L190" s="7" cm="1">
        <f t="array" ref="L190">INDEX(GMWQ!$A$2:$LR$60,MATCH(1,(GMWQ!$LQ$2:$LQ$60=L$3)*(GMWQ!$LP$2:$LP$60=L$4)*(GMWQ!$LR$2:$LR$60=L$1),0),$B190-1966)</f>
        <v>4.0999999999999996</v>
      </c>
      <c r="M190" s="7" cm="1">
        <f t="array" ref="M190">INDEX(GMWQ!$A$2:$LR$60,MATCH(1,(GMWQ!$LQ$2:$LQ$60=M$3)*(GMWQ!$LP$2:$LP$60=M$4)*(GMWQ!$LR$2:$LR$60=M$1),0),$B190-1966)</f>
        <v>119.72369999999999</v>
      </c>
      <c r="N190" s="7" cm="1">
        <f t="array" ref="N190">INDEX(GMWQ!$A$2:$LR$60,MATCH(1,(GMWQ!$LQ$2:$LQ$60=N$3)*(GMWQ!$LP$2:$LP$60=N$4)*(GMWQ!$LR$2:$LR$60=N$1),0),$B190-1966)</f>
        <v>8289</v>
      </c>
      <c r="O190" s="7" cm="1">
        <f t="array" ref="O190">INDEX(GMWQ!$A$2:$LR$60,MATCH(1,(GMWQ!$LQ$2:$LQ$60=O$3)*(GMWQ!$LP$2:$LP$60=O$4)*(GMWQ!$LR$2:$LR$60=O$1),0),$B190-1966)</f>
        <v>7275</v>
      </c>
      <c r="P190" s="7" cm="1">
        <f t="array" ref="P190">INDEX(GMWQ!$A$2:$LR$60,MATCH(1,(GMWQ!$LQ$2:$LQ$60=P$3)*(GMWQ!$LP$2:$LP$60=P$4)*(GMWQ!$LR$2:$LR$60=P$1),0),$B190-1966)</f>
        <v>356604</v>
      </c>
      <c r="Q190" s="7" cm="1">
        <f t="array" ref="Q190">INDEX(GMWQ!$A$2:$LR$60,MATCH(1,(GMWQ!$LQ$2:$LQ$60=Q$3)*(GMWQ!$LP$2:$LP$60=Q$4)*(GMWQ!$LR$2:$LR$60=Q$1),0),$B190-1966)</f>
        <v>2.4933329999999998</v>
      </c>
      <c r="R190" s="7" cm="1">
        <f t="array" ref="R190">INDEX(GMWQ!$A$2:$LR$60,MATCH(1,(GMWQ!$LQ$2:$LQ$60=R$3)*(GMWQ!$LP$2:$LP$60=R$4)*(GMWQ!$LR$2:$LR$60=R$1),0),$B190-1966)</f>
        <v>197121</v>
      </c>
      <c r="S190" s="7" cm="1">
        <f t="array" ref="S190">INDEX(GMWQ!$A$2:$LR$60,MATCH(1,(GMWQ!$LQ$2:$LQ$60=S$3)*(GMWQ!$LP$2:$LP$60=S$4)*(GMWQ!$LR$2:$LR$60=S$1),0),$B190-1966)</f>
        <v>298.58</v>
      </c>
      <c r="T190" s="7" cm="1">
        <f t="array" ref="T190">INDEX(GMWQ!$A$2:$LR$60,MATCH(1,(GMWQ!$LQ$2:$LQ$60=T$3)*(GMWQ!$LP$2:$LP$60=T$4)*(GMWQ!$LR$2:$LR$60=T$1),0),$B190-1966)</f>
        <v>66683</v>
      </c>
      <c r="U190" s="7" cm="1">
        <f t="array" ref="U190">INDEX(GMWQ!$A$2:$LR$60,MATCH(1,(GMWQ!$LQ$2:$LQ$60=U$3)*(GMWQ!$LP$2:$LP$60=U$4)*(GMWQ!$LR$2:$LR$60=U$1),0),$B190-1966)</f>
        <v>10983</v>
      </c>
      <c r="V190" s="7" cm="1">
        <f t="array" ref="V190">INDEX(GMWQ!$A$2:$LR$60,MATCH(1,(GMWQ!$LQ$2:$LQ$60=V$3)*(GMWQ!$LP$2:$LP$60=V$4)*(GMWQ!$LR$2:$LR$60=V$1),0),$B190-1966)</f>
        <v>1.076275E-3</v>
      </c>
      <c r="W190" s="7" cm="1">
        <f t="array" ref="W190">INDEX(GMWQ!$A$2:$LR$60,MATCH(1,(GMWQ!$LQ$2:$LQ$60=W$3)*(GMWQ!$LP$2:$LP$60=W$4)*(GMWQ!$LR$2:$LR$60=W$1),0),$B190-1966)</f>
        <v>8.2575509999999994</v>
      </c>
      <c r="X190" s="7" cm="1">
        <f t="array" ref="X190">INDEX(GMWQ!$A$2:$LR$60,MATCH(1,(GMWQ!$LQ$2:$LQ$60=X$3)*(GMWQ!$LP$2:$LP$60=X$4)*(GMWQ!$LR$2:$LR$60=X$1),0),$B190-1966)</f>
        <v>4159466</v>
      </c>
      <c r="Y190" s="7" cm="1">
        <f t="array" ref="Y190">INDEX(GMWQ!$A$2:$LR$60,MATCH(1,(GMWQ!$LQ$2:$LQ$60=Y$3)*(GMWQ!$LP$2:$LP$60=Y$4)*(GMWQ!$LR$2:$LR$60=Y$1),0),$B190-1966)</f>
        <v>98.943799999999996</v>
      </c>
      <c r="Z190" s="7" cm="1">
        <f t="array" ref="Z190">INDEX(GMWQ!$A$2:$LR$60,MATCH(1,(GMWQ!$LQ$2:$LQ$60=Z$3)*(GMWQ!$LP$2:$LP$60=Z$4)*(GMWQ!$LR$2:$LR$60=Z$1),0),$B190-1966)</f>
        <v>554103.30000000005</v>
      </c>
      <c r="AA190" s="7" cm="1">
        <f t="array" ref="AA190">INDEX(GMWQ!$A$2:$LR$60,MATCH(1,(GMWQ!$LQ$2:$LQ$60=AA$3)*(GMWQ!$LP$2:$LP$60=AA$4)*(GMWQ!$LR$2:$LR$60=AA$1),0),$B190-1966)</f>
        <v>194473</v>
      </c>
      <c r="AB190" s="7" cm="1">
        <f t="array" ref="AB190">INDEX(GMWQ!$A$2:$LR$60,MATCH(1,(GMWQ!$LQ$2:$LQ$60=AB$3)*(GMWQ!$LP$2:$LP$60=AB$4)*(GMWQ!$LR$2:$LR$60=AB$1),0),$B190-1966)</f>
        <v>192223</v>
      </c>
      <c r="AC190" s="7" cm="1">
        <f t="array" ref="AC190">INDEX(GMWQ!$A$2:$LR$60,MATCH(1,(GMWQ!$LQ$2:$LQ$60=AC$3)*(GMWQ!$LP$2:$LP$60=AC$4)*(GMWQ!$LR$2:$LR$60=AC$1),0),$B190-1966)</f>
        <v>9922</v>
      </c>
      <c r="AD190" s="7" cm="1">
        <f t="array" ref="AD190">INDEX(GMWQ!$A$2:$LR$60,MATCH(1,(GMWQ!$LQ$2:$LQ$60=AD$3)*(GMWQ!$LP$2:$LP$60=AD$4)*(GMWQ!$LR$2:$LR$60=AD$1),0),$B190-1966)</f>
        <v>12759</v>
      </c>
      <c r="AE190" s="7" cm="1">
        <f t="array" ref="AE190">INDEX(GMWQ!$A$2:$LR$60,MATCH(1,(GMWQ!$LQ$2:$LQ$60=AE$3)*(GMWQ!$LP$2:$LP$60=AE$4)*(GMWQ!$LR$2:$LR$60=AE$1),0),$B190-1966)</f>
        <v>545307</v>
      </c>
      <c r="AF190" s="20" cm="1">
        <f t="array" ref="AF190">INDEX(GMWQ!$A$2:$LR$60,MATCH(1,(GMWQ!$LQ$2:$LQ$60=AF$3)*(GMWQ!$LP$2:$LP$60=AF$4)*(GMWQ!$LR$2:$LR$60=AF$1),0),$B190-1966)</f>
        <v>0.75</v>
      </c>
      <c r="AG190" s="20" cm="1">
        <f t="array" ref="AG190">INDEX(GMWQ!$A$2:$LR$60,MATCH(1,(GMWQ!$LQ$2:$LQ$60=AG$3)*(GMWQ!$LP$2:$LP$60=AG$4)*(GMWQ!$LR$2:$LR$60=AG$1),0),$B190-1966)</f>
        <v>-1014</v>
      </c>
      <c r="AI190" s="23" cm="1">
        <f t="array" ref="AI190">INDEX(GMWQ!$A$2:$LR$60,MATCH(1,(GMWQ!$LQ$2:$LQ$60=AI$3)*(GMWQ!$LP$2:$LP$60=AI$4)*(GMWQ!$LR$2:$LR$60=AI$1),0),$B190-1966)</f>
        <v>356604</v>
      </c>
      <c r="AJ190" s="23" cm="1">
        <f t="array" ref="AJ190">INDEX(GMWQ!$A$2:$LR$60,MATCH(1,(GMWQ!$LQ$2:$LQ$60=AJ$3)*(GMWQ!$LP$2:$LP$60=AJ$4)*(GMWQ!$LR$2:$LR$60=AJ$1),0),$B190-1966)</f>
        <v>99.339740000000006</v>
      </c>
      <c r="AK190" s="23" cm="1">
        <f t="array" ref="AK190">INDEX(GMWQ!$A$2:$LR$60,MATCH(1,(GMWQ!$LQ$2:$LQ$60=AK$3)*(GMWQ!$LP$2:$LP$60=AK$4)*(GMWQ!$LR$2:$LR$60=AK$1),0),$B190-1966)</f>
        <v>219523</v>
      </c>
      <c r="AL190" s="23" cm="1">
        <f t="array" ref="AL190">INDEX(GMWQ!$A$2:$LR$60,MATCH(1,(GMWQ!$LQ$2:$LQ$60=AL$3)*(GMWQ!$LP$2:$LP$60=AL$4)*(GMWQ!$LR$2:$LR$60=AL$1),0),$B190-1966)</f>
        <v>7956.6149999999998</v>
      </c>
      <c r="AM190" s="23" cm="1">
        <f t="array" ref="AM190">INDEX(GMWQ!$A$2:$LR$60,MATCH(1,(GMWQ!$LQ$2:$LQ$60=AM$3)*(GMWQ!$LP$2:$LP$60=AM$4)*(GMWQ!$LR$2:$LR$60=AM$1),0),$B190-1966)</f>
        <v>27590</v>
      </c>
      <c r="AN190" s="23" cm="1">
        <f t="array" ref="AN190">INDEX(GMWQ!$A$2:$LR$60,MATCH(1,(GMWQ!$LQ$2:$LQ$60=AN$3)*(GMWQ!$LP$2:$LP$60=AN$4)*(GMWQ!$LR$2:$LR$60=AN$1),0),$B190-1966)</f>
        <v>50872</v>
      </c>
      <c r="AO190" s="23" cm="1">
        <f t="array" ref="AO190">INDEX(GMWQ!$A$2:$LR$60,MATCH(1,(GMWQ!$LQ$2:$LQ$60=AO$3)*(GMWQ!$LP$2:$LP$60=AO$4)*(GMWQ!$LR$2:$LR$60=AO$1),0),$B190-1966)</f>
        <v>16411</v>
      </c>
      <c r="AP190" s="23" cm="1">
        <f t="array" ref="AP190">INDEX(GMWQ!$A$2:$LR$60,MATCH(1,(GMWQ!$LQ$2:$LQ$60=AP$3)*(GMWQ!$LP$2:$LP$60=AP$4)*(GMWQ!$LR$2:$LR$60=AP$1),0),$B190-1966)</f>
        <v>-1014</v>
      </c>
      <c r="AQ190" s="23" cm="1">
        <f t="array" ref="AQ190">INDEX(GMWQ!$A$2:$LR$60,MATCH(1,(GMWQ!$LQ$2:$LQ$60=AQ$3)*(GMWQ!$LP$2:$LP$60=AQ$4)*(GMWQ!$LR$2:$LR$60=AQ$1),0),$B190-1966)</f>
        <v>61543</v>
      </c>
      <c r="AR190" s="23" cm="1">
        <f t="array" ref="AR190">INDEX(GMWQ!$A$2:$LR$60,MATCH(1,(GMWQ!$LQ$2:$LQ$60=AR$3)*(GMWQ!$LP$2:$LP$60=AR$4)*(GMWQ!$LR$2:$LR$60=AR$1),0),$B190-1966)</f>
        <v>342134</v>
      </c>
      <c r="AS190" s="23" cm="1">
        <f t="array" ref="AS190">INDEX(GMWQ!$A$2:$LR$60,MATCH(1,(GMWQ!$LQ$2:$LQ$60=AS$3)*(GMWQ!$LP$2:$LP$60=AS$4)*(GMWQ!$LR$2:$LR$60=AS$1),0),$B190-1966)</f>
        <v>12620</v>
      </c>
      <c r="AT190" s="23" cm="1">
        <f t="array" ref="AT190">INDEX(GMWQ!$A$2:$LR$60,MATCH(1,(GMWQ!$LQ$2:$LQ$60=AT$3)*(GMWQ!$LP$2:$LP$60=AT$4)*(GMWQ!$LR$2:$LR$60=AT$1),0),$B190-1966)</f>
        <v>344408</v>
      </c>
      <c r="AU190" s="23" cm="1">
        <f t="array" ref="AU190">INDEX(GMWQ!$A$2:$LR$60,MATCH(1,(GMWQ!$LQ$2:$LQ$60=AU$3)*(GMWQ!$LP$2:$LP$60=AU$4)*(GMWQ!$LR$2:$LR$60=AU$1),0),$B190-1966)</f>
        <v>12898</v>
      </c>
    </row>
    <row r="191" spans="1:47" x14ac:dyDescent="0.35">
      <c r="A191" s="7">
        <v>2019</v>
      </c>
      <c r="B191" s="7">
        <f t="shared" si="4"/>
        <v>2157</v>
      </c>
      <c r="C191" s="7" cm="1">
        <f t="array" ref="C191">INDEX(GMWQ!$A$2:$LR$60,MATCH(1,(GMWQ!$LQ$2:$LQ$60=C$3)*(GMWQ!$LP$2:$LP$60=C$4)*(GMWQ!$LR$2:$LR$60=C$1),0),$B191-1966)</f>
        <v>555141</v>
      </c>
      <c r="D191" s="7" cm="1">
        <f t="array" ref="D191">INDEX(GMWQ!$A$2:$LR$60,MATCH(1,(GMWQ!$LQ$2:$LQ$60=D$3)*(GMWQ!$LP$2:$LP$60=D$4)*(GMWQ!$LR$2:$LR$60=D$1),0),$B191-1966)</f>
        <v>528.66669999999999</v>
      </c>
      <c r="E191" s="7" cm="1">
        <f t="array" ref="E191">INDEX(GMWQ!$A$2:$LR$60,MATCH(1,(GMWQ!$LQ$2:$LQ$60=E$3)*(GMWQ!$LP$2:$LP$60=E$4)*(GMWQ!$LR$2:$LR$60=E$1),0),$B191-1966)</f>
        <v>106.7</v>
      </c>
      <c r="F191" s="7" cm="1">
        <f t="array" ref="F191">INDEX(GMWQ!$A$2:$LR$60,MATCH(1,(GMWQ!$LQ$2:$LQ$60=F$3)*(GMWQ!$LP$2:$LP$60=F$4)*(GMWQ!$LR$2:$LR$60=F$1),0),$B191-1966)</f>
        <v>220691</v>
      </c>
      <c r="G191" s="7" cm="1">
        <f t="array" ref="G191">INDEX(GMWQ!$A$2:$LR$60,MATCH(1,(GMWQ!$LQ$2:$LQ$60=G$3)*(GMWQ!$LP$2:$LP$60=G$4)*(GMWQ!$LR$2:$LR$60=G$1),0),$B191-1966)</f>
        <v>50633</v>
      </c>
      <c r="H191" s="7" cm="1">
        <f t="array" ref="H191">INDEX(GMWQ!$A$2:$LR$60,MATCH(1,(GMWQ!$LQ$2:$LQ$60=H$3)*(GMWQ!$LP$2:$LP$60=H$4)*(GMWQ!$LR$2:$LR$60=H$1),0),$B191-1966)</f>
        <v>17014</v>
      </c>
      <c r="I191" s="7" cm="1">
        <f t="array" ref="I191">INDEX(GMWQ!$A$2:$LR$60,MATCH(1,(GMWQ!$LQ$2:$LQ$60=I$3)*(GMWQ!$LP$2:$LP$60=I$4)*(GMWQ!$LR$2:$LR$60=I$1),0),$B191-1966)</f>
        <v>99.424490000000006</v>
      </c>
      <c r="J191" s="7" cm="1">
        <f t="array" ref="J191">INDEX(GMWQ!$A$2:$LR$60,MATCH(1,(GMWQ!$LQ$2:$LQ$60=J$3)*(GMWQ!$LP$2:$LP$60=J$4)*(GMWQ!$LR$2:$LR$60=J$1),0),$B191-1966)</f>
        <v>27593</v>
      </c>
      <c r="K191" s="7" cm="1">
        <f t="array" ref="K191">INDEX(GMWQ!$A$2:$LR$60,MATCH(1,(GMWQ!$LQ$2:$LQ$60=K$3)*(GMWQ!$LP$2:$LP$60=K$4)*(GMWQ!$LR$2:$LR$60=K$1),0),$B191-1966)</f>
        <v>0.75</v>
      </c>
      <c r="L191" s="7" cm="1">
        <f t="array" ref="L191">INDEX(GMWQ!$A$2:$LR$60,MATCH(1,(GMWQ!$LQ$2:$LQ$60=L$3)*(GMWQ!$LP$2:$LP$60=L$4)*(GMWQ!$LR$2:$LR$60=L$1),0),$B191-1966)</f>
        <v>3.9</v>
      </c>
      <c r="M191" s="7" cm="1">
        <f t="array" ref="M191">INDEX(GMWQ!$A$2:$LR$60,MATCH(1,(GMWQ!$LQ$2:$LQ$60=M$3)*(GMWQ!$LP$2:$LP$60=M$4)*(GMWQ!$LR$2:$LR$60=M$1),0),$B191-1966)</f>
        <v>119.6083</v>
      </c>
      <c r="N191" s="7" cm="1">
        <f t="array" ref="N191">INDEX(GMWQ!$A$2:$LR$60,MATCH(1,(GMWQ!$LQ$2:$LQ$60=N$3)*(GMWQ!$LP$2:$LP$60=N$4)*(GMWQ!$LR$2:$LR$60=N$1),0),$B191-1966)</f>
        <v>7881</v>
      </c>
      <c r="O191" s="7" cm="1">
        <f t="array" ref="O191">INDEX(GMWQ!$A$2:$LR$60,MATCH(1,(GMWQ!$LQ$2:$LQ$60=O$3)*(GMWQ!$LP$2:$LP$60=O$4)*(GMWQ!$LR$2:$LR$60=O$1),0),$B191-1966)</f>
        <v>6589</v>
      </c>
      <c r="P191" s="7" cm="1">
        <f t="array" ref="P191">INDEX(GMWQ!$A$2:$LR$60,MATCH(1,(GMWQ!$LQ$2:$LQ$60=P$3)*(GMWQ!$LP$2:$LP$60=P$4)*(GMWQ!$LR$2:$LR$60=P$1),0),$B191-1966)</f>
        <v>356179</v>
      </c>
      <c r="Q191" s="7" cm="1">
        <f t="array" ref="Q191">INDEX(GMWQ!$A$2:$LR$60,MATCH(1,(GMWQ!$LQ$2:$LQ$60=Q$3)*(GMWQ!$LP$2:$LP$60=Q$4)*(GMWQ!$LR$2:$LR$60=Q$1),0),$B191-1966)</f>
        <v>2.463333</v>
      </c>
      <c r="R191" s="7" cm="1">
        <f t="array" ref="R191">INDEX(GMWQ!$A$2:$LR$60,MATCH(1,(GMWQ!$LQ$2:$LQ$60=R$3)*(GMWQ!$LP$2:$LP$60=R$4)*(GMWQ!$LR$2:$LR$60=R$1),0),$B191-1966)</f>
        <v>191671</v>
      </c>
      <c r="S191" s="7" cm="1">
        <f t="array" ref="S191">INDEX(GMWQ!$A$2:$LR$60,MATCH(1,(GMWQ!$LQ$2:$LQ$60=S$3)*(GMWQ!$LP$2:$LP$60=S$4)*(GMWQ!$LR$2:$LR$60=S$1),0),$B191-1966)</f>
        <v>291.25</v>
      </c>
      <c r="T191" s="7" cm="1">
        <f t="array" ref="T191">INDEX(GMWQ!$A$2:$LR$60,MATCH(1,(GMWQ!$LQ$2:$LQ$60=T$3)*(GMWQ!$LP$2:$LP$60=T$4)*(GMWQ!$LR$2:$LR$60=T$1),0),$B191-1966)</f>
        <v>67512</v>
      </c>
      <c r="U191" s="7" cm="1">
        <f t="array" ref="U191">INDEX(GMWQ!$A$2:$LR$60,MATCH(1,(GMWQ!$LQ$2:$LQ$60=U$3)*(GMWQ!$LP$2:$LP$60=U$4)*(GMWQ!$LR$2:$LR$60=U$1),0),$B191-1966)</f>
        <v>11179</v>
      </c>
      <c r="V191" s="7" cm="1">
        <f t="array" ref="V191">INDEX(GMWQ!$A$2:$LR$60,MATCH(1,(GMWQ!$LQ$2:$LQ$60=V$3)*(GMWQ!$LP$2:$LP$60=V$4)*(GMWQ!$LR$2:$LR$60=V$1),0),$B191-1966)</f>
        <v>1.156116E-3</v>
      </c>
      <c r="W191" s="7" cm="1">
        <f t="array" ref="W191">INDEX(GMWQ!$A$2:$LR$60,MATCH(1,(GMWQ!$LQ$2:$LQ$60=W$3)*(GMWQ!$LP$2:$LP$60=W$4)*(GMWQ!$LR$2:$LR$60=W$1),0),$B191-1966)</f>
        <v>7.9601829999999998</v>
      </c>
      <c r="X191" s="7" cm="1">
        <f t="array" ref="X191">INDEX(GMWQ!$A$2:$LR$60,MATCH(1,(GMWQ!$LQ$2:$LQ$60=X$3)*(GMWQ!$LP$2:$LP$60=X$4)*(GMWQ!$LR$2:$LR$60=X$1),0),$B191-1966)</f>
        <v>4202044</v>
      </c>
      <c r="Y191" s="7" cm="1">
        <f t="array" ref="Y191">INDEX(GMWQ!$A$2:$LR$60,MATCH(1,(GMWQ!$LQ$2:$LQ$60=Y$3)*(GMWQ!$LP$2:$LP$60=Y$4)*(GMWQ!$LR$2:$LR$60=Y$1),0),$B191-1966)</f>
        <v>98.964770000000001</v>
      </c>
      <c r="Z191" s="7" cm="1">
        <f t="array" ref="Z191">INDEX(GMWQ!$A$2:$LR$60,MATCH(1,(GMWQ!$LQ$2:$LQ$60=Z$3)*(GMWQ!$LP$2:$LP$60=Z$4)*(GMWQ!$LR$2:$LR$60=Z$1),0),$B191-1966)</f>
        <v>558039.9</v>
      </c>
      <c r="AA191" s="7" cm="1">
        <f t="array" ref="AA191">INDEX(GMWQ!$A$2:$LR$60,MATCH(1,(GMWQ!$LQ$2:$LQ$60=AA$3)*(GMWQ!$LP$2:$LP$60=AA$4)*(GMWQ!$LR$2:$LR$60=AA$1),0),$B191-1966)</f>
        <v>228199</v>
      </c>
      <c r="AB191" s="7" cm="1">
        <f t="array" ref="AB191">INDEX(GMWQ!$A$2:$LR$60,MATCH(1,(GMWQ!$LQ$2:$LQ$60=AB$3)*(GMWQ!$LP$2:$LP$60=AB$4)*(GMWQ!$LR$2:$LR$60=AB$1),0),$B191-1966)</f>
        <v>189288</v>
      </c>
      <c r="AC191" s="7" cm="1">
        <f t="array" ref="AC191">INDEX(GMWQ!$A$2:$LR$60,MATCH(1,(GMWQ!$LQ$2:$LQ$60=AC$3)*(GMWQ!$LP$2:$LP$60=AC$4)*(GMWQ!$LR$2:$LR$60=AC$1),0),$B191-1966)</f>
        <v>17443</v>
      </c>
      <c r="AD191" s="7" cm="1">
        <f t="array" ref="AD191">INDEX(GMWQ!$A$2:$LR$60,MATCH(1,(GMWQ!$LQ$2:$LQ$60=AD$3)*(GMWQ!$LP$2:$LP$60=AD$4)*(GMWQ!$LR$2:$LR$60=AD$1),0),$B191-1966)</f>
        <v>12962</v>
      </c>
      <c r="AE191" s="7" cm="1">
        <f t="array" ref="AE191">INDEX(GMWQ!$A$2:$LR$60,MATCH(1,(GMWQ!$LQ$2:$LQ$60=AE$3)*(GMWQ!$LP$2:$LP$60=AE$4)*(GMWQ!$LR$2:$LR$60=AE$1),0),$B191-1966)</f>
        <v>549394</v>
      </c>
      <c r="AF191" s="20" cm="1">
        <f t="array" ref="AF191">INDEX(GMWQ!$A$2:$LR$60,MATCH(1,(GMWQ!$LQ$2:$LQ$60=AF$3)*(GMWQ!$LP$2:$LP$60=AF$4)*(GMWQ!$LR$2:$LR$60=AF$1),0),$B191-1966)</f>
        <v>0.75</v>
      </c>
      <c r="AG191" s="20" cm="1">
        <f t="array" ref="AG191">INDEX(GMWQ!$A$2:$LR$60,MATCH(1,(GMWQ!$LQ$2:$LQ$60=AG$3)*(GMWQ!$LP$2:$LP$60=AG$4)*(GMWQ!$LR$2:$LR$60=AG$1),0),$B191-1966)</f>
        <v>-1292</v>
      </c>
      <c r="AI191" s="23" cm="1">
        <f t="array" ref="AI191">INDEX(GMWQ!$A$2:$LR$60,MATCH(1,(GMWQ!$LQ$2:$LQ$60=AI$3)*(GMWQ!$LP$2:$LP$60=AI$4)*(GMWQ!$LR$2:$LR$60=AI$1),0),$B191-1966)</f>
        <v>356179</v>
      </c>
      <c r="AJ191" s="23" cm="1">
        <f t="array" ref="AJ191">INDEX(GMWQ!$A$2:$LR$60,MATCH(1,(GMWQ!$LQ$2:$LQ$60=AJ$3)*(GMWQ!$LP$2:$LP$60=AJ$4)*(GMWQ!$LR$2:$LR$60=AJ$1),0),$B191-1966)</f>
        <v>99.424490000000006</v>
      </c>
      <c r="AK191" s="23" cm="1">
        <f t="array" ref="AK191">INDEX(GMWQ!$A$2:$LR$60,MATCH(1,(GMWQ!$LQ$2:$LQ$60=AK$3)*(GMWQ!$LP$2:$LP$60=AK$4)*(GMWQ!$LR$2:$LR$60=AK$1),0),$B191-1966)</f>
        <v>220691</v>
      </c>
      <c r="AL191" s="23" cm="1">
        <f t="array" ref="AL191">INDEX(GMWQ!$A$2:$LR$60,MATCH(1,(GMWQ!$LQ$2:$LQ$60=AL$3)*(GMWQ!$LP$2:$LP$60=AL$4)*(GMWQ!$LR$2:$LR$60=AL$1),0),$B191-1966)</f>
        <v>7998.0789999999997</v>
      </c>
      <c r="AM191" s="23" cm="1">
        <f t="array" ref="AM191">INDEX(GMWQ!$A$2:$LR$60,MATCH(1,(GMWQ!$LQ$2:$LQ$60=AM$3)*(GMWQ!$LP$2:$LP$60=AM$4)*(GMWQ!$LR$2:$LR$60=AM$1),0),$B191-1966)</f>
        <v>27593</v>
      </c>
      <c r="AN191" s="23" cm="1">
        <f t="array" ref="AN191">INDEX(GMWQ!$A$2:$LR$60,MATCH(1,(GMWQ!$LQ$2:$LQ$60=AN$3)*(GMWQ!$LP$2:$LP$60=AN$4)*(GMWQ!$LR$2:$LR$60=AN$1),0),$B191-1966)</f>
        <v>50633</v>
      </c>
      <c r="AO191" s="23" cm="1">
        <f t="array" ref="AO191">INDEX(GMWQ!$A$2:$LR$60,MATCH(1,(GMWQ!$LQ$2:$LQ$60=AO$3)*(GMWQ!$LP$2:$LP$60=AO$4)*(GMWQ!$LR$2:$LR$60=AO$1),0),$B191-1966)</f>
        <v>17014</v>
      </c>
      <c r="AP191" s="23" cm="1">
        <f t="array" ref="AP191">INDEX(GMWQ!$A$2:$LR$60,MATCH(1,(GMWQ!$LQ$2:$LQ$60=AP$3)*(GMWQ!$LP$2:$LP$60=AP$4)*(GMWQ!$LR$2:$LR$60=AP$1),0),$B191-1966)</f>
        <v>-1292</v>
      </c>
      <c r="AQ191" s="23" cm="1">
        <f t="array" ref="AQ191">INDEX(GMWQ!$A$2:$LR$60,MATCH(1,(GMWQ!$LQ$2:$LQ$60=AQ$3)*(GMWQ!$LP$2:$LP$60=AQ$4)*(GMWQ!$LR$2:$LR$60=AQ$1),0),$B191-1966)</f>
        <v>60896</v>
      </c>
      <c r="AR191" s="23" cm="1">
        <f t="array" ref="AR191">INDEX(GMWQ!$A$2:$LR$60,MATCH(1,(GMWQ!$LQ$2:$LQ$60=AR$3)*(GMWQ!$LP$2:$LP$60=AR$4)*(GMWQ!$LR$2:$LR$60=AR$1),0),$B191-1966)</f>
        <v>342066</v>
      </c>
      <c r="AS191" s="23" cm="1">
        <f t="array" ref="AS191">INDEX(GMWQ!$A$2:$LR$60,MATCH(1,(GMWQ!$LQ$2:$LQ$60=AS$3)*(GMWQ!$LP$2:$LP$60=AS$4)*(GMWQ!$LR$2:$LR$60=AS$1),0),$B191-1966)</f>
        <v>12597</v>
      </c>
      <c r="AT191" s="23" cm="1">
        <f t="array" ref="AT191">INDEX(GMWQ!$A$2:$LR$60,MATCH(1,(GMWQ!$LQ$2:$LQ$60=AT$3)*(GMWQ!$LP$2:$LP$60=AT$4)*(GMWQ!$LR$2:$LR$60=AT$1),0),$B191-1966)</f>
        <v>344046</v>
      </c>
      <c r="AU191" s="23" cm="1">
        <f t="array" ref="AU191">INDEX(GMWQ!$A$2:$LR$60,MATCH(1,(GMWQ!$LQ$2:$LQ$60=AU$3)*(GMWQ!$LP$2:$LP$60=AU$4)*(GMWQ!$LR$2:$LR$60=AU$1),0),$B191-1966)</f>
        <v>12929</v>
      </c>
    </row>
    <row r="192" spans="1:47" x14ac:dyDescent="0.35">
      <c r="B192" s="7">
        <f t="shared" si="4"/>
        <v>2158</v>
      </c>
      <c r="C192" s="7" cm="1">
        <f t="array" ref="C192">INDEX(GMWQ!$A$2:$LR$60,MATCH(1,(GMWQ!$LQ$2:$LQ$60=C$3)*(GMWQ!$LP$2:$LP$60=C$4)*(GMWQ!$LR$2:$LR$60=C$1),0),$B192-1966)</f>
        <v>556932</v>
      </c>
      <c r="D192" s="7" cm="1">
        <f t="array" ref="D192">INDEX(GMWQ!$A$2:$LR$60,MATCH(1,(GMWQ!$LQ$2:$LQ$60=D$3)*(GMWQ!$LP$2:$LP$60=D$4)*(GMWQ!$LR$2:$LR$60=D$1),0),$B192-1966)</f>
        <v>537</v>
      </c>
      <c r="E192" s="7" cm="1">
        <f t="array" ref="E192">INDEX(GMWQ!$A$2:$LR$60,MATCH(1,(GMWQ!$LQ$2:$LQ$60=E$3)*(GMWQ!$LP$2:$LP$60=E$4)*(GMWQ!$LR$2:$LR$60=E$1),0),$B192-1966)</f>
        <v>107.8</v>
      </c>
      <c r="F192" s="7" cm="1">
        <f t="array" ref="F192">INDEX(GMWQ!$A$2:$LR$60,MATCH(1,(GMWQ!$LQ$2:$LQ$60=F$3)*(GMWQ!$LP$2:$LP$60=F$4)*(GMWQ!$LR$2:$LR$60=F$1),0),$B192-1966)</f>
        <v>224186</v>
      </c>
      <c r="G192" s="7" cm="1">
        <f t="array" ref="G192">INDEX(GMWQ!$A$2:$LR$60,MATCH(1,(GMWQ!$LQ$2:$LQ$60=G$3)*(GMWQ!$LP$2:$LP$60=G$4)*(GMWQ!$LR$2:$LR$60=G$1),0),$B192-1966)</f>
        <v>50046</v>
      </c>
      <c r="H192" s="7" cm="1">
        <f t="array" ref="H192">INDEX(GMWQ!$A$2:$LR$60,MATCH(1,(GMWQ!$LQ$2:$LQ$60=H$3)*(GMWQ!$LP$2:$LP$60=H$4)*(GMWQ!$LR$2:$LR$60=H$1),0),$B192-1966)</f>
        <v>17574</v>
      </c>
      <c r="I192" s="7" cm="1">
        <f t="array" ref="I192">INDEX(GMWQ!$A$2:$LR$60,MATCH(1,(GMWQ!$LQ$2:$LQ$60=I$3)*(GMWQ!$LP$2:$LP$60=I$4)*(GMWQ!$LR$2:$LR$60=I$1),0),$B192-1966)</f>
        <v>99.882140000000007</v>
      </c>
      <c r="J192" s="7" cm="1">
        <f t="array" ref="J192">INDEX(GMWQ!$A$2:$LR$60,MATCH(1,(GMWQ!$LQ$2:$LQ$60=J$3)*(GMWQ!$LP$2:$LP$60=J$4)*(GMWQ!$LR$2:$LR$60=J$1),0),$B192-1966)</f>
        <v>27669</v>
      </c>
      <c r="K192" s="7" cm="1">
        <f t="array" ref="K192">INDEX(GMWQ!$A$2:$LR$60,MATCH(1,(GMWQ!$LQ$2:$LQ$60=K$3)*(GMWQ!$LP$2:$LP$60=K$4)*(GMWQ!$LR$2:$LR$60=K$1),0),$B192-1966)</f>
        <v>0.75</v>
      </c>
      <c r="L192" s="7" cm="1">
        <f t="array" ref="L192">INDEX(GMWQ!$A$2:$LR$60,MATCH(1,(GMWQ!$LQ$2:$LQ$60=L$3)*(GMWQ!$LP$2:$LP$60=L$4)*(GMWQ!$LR$2:$LR$60=L$1),0),$B192-1966)</f>
        <v>3.9</v>
      </c>
      <c r="M192" s="7" cm="1">
        <f t="array" ref="M192">INDEX(GMWQ!$A$2:$LR$60,MATCH(1,(GMWQ!$LQ$2:$LQ$60=M$3)*(GMWQ!$LP$2:$LP$60=M$4)*(GMWQ!$LR$2:$LR$60=M$1),0),$B192-1966)</f>
        <v>119.61669999999999</v>
      </c>
      <c r="N192" s="7" cm="1">
        <f t="array" ref="N192">INDEX(GMWQ!$A$2:$LR$60,MATCH(1,(GMWQ!$LQ$2:$LQ$60=N$3)*(GMWQ!$LP$2:$LP$60=N$4)*(GMWQ!$LR$2:$LR$60=N$1),0),$B192-1966)</f>
        <v>6858</v>
      </c>
      <c r="O192" s="7" cm="1">
        <f t="array" ref="O192">INDEX(GMWQ!$A$2:$LR$60,MATCH(1,(GMWQ!$LQ$2:$LQ$60=O$3)*(GMWQ!$LP$2:$LP$60=O$4)*(GMWQ!$LR$2:$LR$60=O$1),0),$B192-1966)</f>
        <v>5840</v>
      </c>
      <c r="P192" s="7" cm="1">
        <f t="array" ref="P192">INDEX(GMWQ!$A$2:$LR$60,MATCH(1,(GMWQ!$LQ$2:$LQ$60=P$3)*(GMWQ!$LP$2:$LP$60=P$4)*(GMWQ!$LR$2:$LR$60=P$1),0),$B192-1966)</f>
        <v>363586</v>
      </c>
      <c r="Q192" s="7" cm="1">
        <f t="array" ref="Q192">INDEX(GMWQ!$A$2:$LR$60,MATCH(1,(GMWQ!$LQ$2:$LQ$60=Q$3)*(GMWQ!$LP$2:$LP$60=Q$4)*(GMWQ!$LR$2:$LR$60=Q$1),0),$B192-1966)</f>
        <v>2.4366669999999999</v>
      </c>
      <c r="R192" s="7" cm="1">
        <f t="array" ref="R192">INDEX(GMWQ!$A$2:$LR$60,MATCH(1,(GMWQ!$LQ$2:$LQ$60=R$3)*(GMWQ!$LP$2:$LP$60=R$4)*(GMWQ!$LR$2:$LR$60=R$1),0),$B192-1966)</f>
        <v>197749</v>
      </c>
      <c r="S192" s="7" cm="1">
        <f t="array" ref="S192">INDEX(GMWQ!$A$2:$LR$60,MATCH(1,(GMWQ!$LQ$2:$LQ$60=S$3)*(GMWQ!$LP$2:$LP$60=S$4)*(GMWQ!$LR$2:$LR$60=S$1),0),$B192-1966)</f>
        <v>297.01</v>
      </c>
      <c r="T192" s="7" cm="1">
        <f t="array" ref="T192">INDEX(GMWQ!$A$2:$LR$60,MATCH(1,(GMWQ!$LQ$2:$LQ$60=T$3)*(GMWQ!$LP$2:$LP$60=T$4)*(GMWQ!$LR$2:$LR$60=T$1),0),$B192-1966)</f>
        <v>67633</v>
      </c>
      <c r="U192" s="7" cm="1">
        <f t="array" ref="U192">INDEX(GMWQ!$A$2:$LR$60,MATCH(1,(GMWQ!$LQ$2:$LQ$60=U$3)*(GMWQ!$LP$2:$LP$60=U$4)*(GMWQ!$LR$2:$LR$60=U$1),0),$B192-1966)</f>
        <v>11221</v>
      </c>
      <c r="V192" s="7" cm="1">
        <f t="array" ref="V192">INDEX(GMWQ!$A$2:$LR$60,MATCH(1,(GMWQ!$LQ$2:$LQ$60=V$3)*(GMWQ!$LP$2:$LP$60=V$4)*(GMWQ!$LR$2:$LR$60=V$1),0),$B192-1966)</f>
        <v>1.185581E-3</v>
      </c>
      <c r="W192" s="7" cm="1">
        <f t="array" ref="W192">INDEX(GMWQ!$A$2:$LR$60,MATCH(1,(GMWQ!$LQ$2:$LQ$60=W$3)*(GMWQ!$LP$2:$LP$60=W$4)*(GMWQ!$LR$2:$LR$60=W$1),0),$B192-1966)</f>
        <v>7.8265320000000003</v>
      </c>
      <c r="X192" s="7" cm="1">
        <f t="array" ref="X192">INDEX(GMWQ!$A$2:$LR$60,MATCH(1,(GMWQ!$LQ$2:$LQ$60=X$3)*(GMWQ!$LP$2:$LP$60=X$4)*(GMWQ!$LR$2:$LR$60=X$1),0),$B192-1966)</f>
        <v>4237994</v>
      </c>
      <c r="Y192" s="7" cm="1">
        <f t="array" ref="Y192">INDEX(GMWQ!$A$2:$LR$60,MATCH(1,(GMWQ!$LQ$2:$LQ$60=Y$3)*(GMWQ!$LP$2:$LP$60=Y$4)*(GMWQ!$LR$2:$LR$60=Y$1),0),$B192-1966)</f>
        <v>99.823319999999995</v>
      </c>
      <c r="Z192" s="7" cm="1">
        <f t="array" ref="Z192">INDEX(GMWQ!$A$2:$LR$60,MATCH(1,(GMWQ!$LQ$2:$LQ$60=Z$3)*(GMWQ!$LP$2:$LP$60=Z$4)*(GMWQ!$LR$2:$LR$60=Z$1),0),$B192-1966)</f>
        <v>559788.19999999995</v>
      </c>
      <c r="AA192" s="7" cm="1">
        <f t="array" ref="AA192">INDEX(GMWQ!$A$2:$LR$60,MATCH(1,(GMWQ!$LQ$2:$LQ$60=AA$3)*(GMWQ!$LP$2:$LP$60=AA$4)*(GMWQ!$LR$2:$LR$60=AA$1),0),$B192-1966)</f>
        <v>195650</v>
      </c>
      <c r="AB192" s="7" cm="1">
        <f t="array" ref="AB192">INDEX(GMWQ!$A$2:$LR$60,MATCH(1,(GMWQ!$LQ$2:$LQ$60=AB$3)*(GMWQ!$LP$2:$LP$60=AB$4)*(GMWQ!$LR$2:$LR$60=AB$1),0),$B192-1966)</f>
        <v>198147</v>
      </c>
      <c r="AC192" s="7" cm="1">
        <f t="array" ref="AC192">INDEX(GMWQ!$A$2:$LR$60,MATCH(1,(GMWQ!$LQ$2:$LQ$60=AC$3)*(GMWQ!$LP$2:$LP$60=AC$4)*(GMWQ!$LR$2:$LR$60=AC$1),0),$B192-1966)</f>
        <v>7915</v>
      </c>
      <c r="AD192" s="7" cm="1">
        <f t="array" ref="AD192">INDEX(GMWQ!$A$2:$LR$60,MATCH(1,(GMWQ!$LQ$2:$LQ$60=AD$3)*(GMWQ!$LP$2:$LP$60=AD$4)*(GMWQ!$LR$2:$LR$60=AD$1),0),$B192-1966)</f>
        <v>12988</v>
      </c>
      <c r="AE192" s="7" cm="1">
        <f t="array" ref="AE192">INDEX(GMWQ!$A$2:$LR$60,MATCH(1,(GMWQ!$LQ$2:$LQ$60=AE$3)*(GMWQ!$LP$2:$LP$60=AE$4)*(GMWQ!$LR$2:$LR$60=AE$1),0),$B192-1966)</f>
        <v>555948</v>
      </c>
      <c r="AF192" s="20" cm="1">
        <f t="array" ref="AF192">INDEX(GMWQ!$A$2:$LR$60,MATCH(1,(GMWQ!$LQ$2:$LQ$60=AF$3)*(GMWQ!$LP$2:$LP$60=AF$4)*(GMWQ!$LR$2:$LR$60=AF$1),0),$B192-1966)</f>
        <v>0.75</v>
      </c>
      <c r="AG192" s="20" cm="1">
        <f t="array" ref="AG192">INDEX(GMWQ!$A$2:$LR$60,MATCH(1,(GMWQ!$LQ$2:$LQ$60=AG$3)*(GMWQ!$LP$2:$LP$60=AG$4)*(GMWQ!$LR$2:$LR$60=AG$1),0),$B192-1966)</f>
        <v>-1018</v>
      </c>
      <c r="AI192" s="23" cm="1">
        <f t="array" ref="AI192">INDEX(GMWQ!$A$2:$LR$60,MATCH(1,(GMWQ!$LQ$2:$LQ$60=AI$3)*(GMWQ!$LP$2:$LP$60=AI$4)*(GMWQ!$LR$2:$LR$60=AI$1),0),$B192-1966)</f>
        <v>363586</v>
      </c>
      <c r="AJ192" s="23" cm="1">
        <f t="array" ref="AJ192">INDEX(GMWQ!$A$2:$LR$60,MATCH(1,(GMWQ!$LQ$2:$LQ$60=AJ$3)*(GMWQ!$LP$2:$LP$60=AJ$4)*(GMWQ!$LR$2:$LR$60=AJ$1),0),$B192-1966)</f>
        <v>99.882140000000007</v>
      </c>
      <c r="AK192" s="23" cm="1">
        <f t="array" ref="AK192">INDEX(GMWQ!$A$2:$LR$60,MATCH(1,(GMWQ!$LQ$2:$LQ$60=AK$3)*(GMWQ!$LP$2:$LP$60=AK$4)*(GMWQ!$LR$2:$LR$60=AK$1),0),$B192-1966)</f>
        <v>224186</v>
      </c>
      <c r="AL192" s="23" cm="1">
        <f t="array" ref="AL192">INDEX(GMWQ!$A$2:$LR$60,MATCH(1,(GMWQ!$LQ$2:$LQ$60=AL$3)*(GMWQ!$LP$2:$LP$60=AL$4)*(GMWQ!$LR$2:$LR$60=AL$1),0),$B192-1966)</f>
        <v>8102.4250000000002</v>
      </c>
      <c r="AM192" s="23" cm="1">
        <f t="array" ref="AM192">INDEX(GMWQ!$A$2:$LR$60,MATCH(1,(GMWQ!$LQ$2:$LQ$60=AM$3)*(GMWQ!$LP$2:$LP$60=AM$4)*(GMWQ!$LR$2:$LR$60=AM$1),0),$B192-1966)</f>
        <v>27669</v>
      </c>
      <c r="AN192" s="23" cm="1">
        <f t="array" ref="AN192">INDEX(GMWQ!$A$2:$LR$60,MATCH(1,(GMWQ!$LQ$2:$LQ$60=AN$3)*(GMWQ!$LP$2:$LP$60=AN$4)*(GMWQ!$LR$2:$LR$60=AN$1),0),$B192-1966)</f>
        <v>50046</v>
      </c>
      <c r="AO192" s="23" cm="1">
        <f t="array" ref="AO192">INDEX(GMWQ!$A$2:$LR$60,MATCH(1,(GMWQ!$LQ$2:$LQ$60=AO$3)*(GMWQ!$LP$2:$LP$60=AO$4)*(GMWQ!$LR$2:$LR$60=AO$1),0),$B192-1966)</f>
        <v>17574</v>
      </c>
      <c r="AP192" s="23" cm="1">
        <f t="array" ref="AP192">INDEX(GMWQ!$A$2:$LR$60,MATCH(1,(GMWQ!$LQ$2:$LQ$60=AP$3)*(GMWQ!$LP$2:$LP$60=AP$4)*(GMWQ!$LR$2:$LR$60=AP$1),0),$B192-1966)</f>
        <v>-1018</v>
      </c>
      <c r="AQ192" s="23" cm="1">
        <f t="array" ref="AQ192">INDEX(GMWQ!$A$2:$LR$60,MATCH(1,(GMWQ!$LQ$2:$LQ$60=AQ$3)*(GMWQ!$LP$2:$LP$60=AQ$4)*(GMWQ!$LR$2:$LR$60=AQ$1),0),$B192-1966)</f>
        <v>62067</v>
      </c>
      <c r="AR192" s="23" cm="1">
        <f t="array" ref="AR192">INDEX(GMWQ!$A$2:$LR$60,MATCH(1,(GMWQ!$LQ$2:$LQ$60=AR$3)*(GMWQ!$LP$2:$LP$60=AR$4)*(GMWQ!$LR$2:$LR$60=AR$1),0),$B192-1966)</f>
        <v>344928</v>
      </c>
      <c r="AS192" s="23" cm="1">
        <f t="array" ref="AS192">INDEX(GMWQ!$A$2:$LR$60,MATCH(1,(GMWQ!$LQ$2:$LQ$60=AS$3)*(GMWQ!$LP$2:$LP$60=AS$4)*(GMWQ!$LR$2:$LR$60=AS$1),0),$B192-1966)</f>
        <v>12594</v>
      </c>
      <c r="AT192" s="23" cm="1">
        <f t="array" ref="AT192">INDEX(GMWQ!$A$2:$LR$60,MATCH(1,(GMWQ!$LQ$2:$LQ$60=AT$3)*(GMWQ!$LP$2:$LP$60=AT$4)*(GMWQ!$LR$2:$LR$60=AT$1),0),$B192-1966)</f>
        <v>345335</v>
      </c>
      <c r="AU192" s="23" cm="1">
        <f t="array" ref="AU192">INDEX(GMWQ!$A$2:$LR$60,MATCH(1,(GMWQ!$LQ$2:$LQ$60=AU$3)*(GMWQ!$LP$2:$LP$60=AU$4)*(GMWQ!$LR$2:$LR$60=AU$1),0),$B192-1966)</f>
        <v>12617</v>
      </c>
    </row>
    <row r="193" spans="1:47" x14ac:dyDescent="0.35">
      <c r="B193" s="7">
        <f t="shared" si="4"/>
        <v>2159</v>
      </c>
      <c r="C193" s="7" cm="1">
        <f t="array" ref="C193">INDEX(GMWQ!$A$2:$LR$60,MATCH(1,(GMWQ!$LQ$2:$LQ$60=C$3)*(GMWQ!$LP$2:$LP$60=C$4)*(GMWQ!$LR$2:$LR$60=C$1),0),$B193-1966)</f>
        <v>560987</v>
      </c>
      <c r="D193" s="7" cm="1">
        <f t="array" ref="D193">INDEX(GMWQ!$A$2:$LR$60,MATCH(1,(GMWQ!$LQ$2:$LQ$60=D$3)*(GMWQ!$LP$2:$LP$60=D$4)*(GMWQ!$LR$2:$LR$60=D$1),0),$B193-1966)</f>
        <v>542.33330000000001</v>
      </c>
      <c r="E193" s="7" cm="1">
        <f t="array" ref="E193">INDEX(GMWQ!$A$2:$LR$60,MATCH(1,(GMWQ!$LQ$2:$LQ$60=E$3)*(GMWQ!$LP$2:$LP$60=E$4)*(GMWQ!$LR$2:$LR$60=E$1),0),$B193-1966)</f>
        <v>108.2667</v>
      </c>
      <c r="F193" s="7" cm="1">
        <f t="array" ref="F193">INDEX(GMWQ!$A$2:$LR$60,MATCH(1,(GMWQ!$LQ$2:$LQ$60=F$3)*(GMWQ!$LP$2:$LP$60=F$4)*(GMWQ!$LR$2:$LR$60=F$1),0),$B193-1966)</f>
        <v>223552</v>
      </c>
      <c r="G193" s="7" cm="1">
        <f t="array" ref="G193">INDEX(GMWQ!$A$2:$LR$60,MATCH(1,(GMWQ!$LQ$2:$LQ$60=G$3)*(GMWQ!$LP$2:$LP$60=G$4)*(GMWQ!$LR$2:$LR$60=G$1),0),$B193-1966)</f>
        <v>50027</v>
      </c>
      <c r="H193" s="7" cm="1">
        <f t="array" ref="H193">INDEX(GMWQ!$A$2:$LR$60,MATCH(1,(GMWQ!$LQ$2:$LQ$60=H$3)*(GMWQ!$LP$2:$LP$60=H$4)*(GMWQ!$LR$2:$LR$60=H$1),0),$B193-1966)</f>
        <v>17896</v>
      </c>
      <c r="I193" s="7" cm="1">
        <f t="array" ref="I193">INDEX(GMWQ!$A$2:$LR$60,MATCH(1,(GMWQ!$LQ$2:$LQ$60=I$3)*(GMWQ!$LP$2:$LP$60=I$4)*(GMWQ!$LR$2:$LR$60=I$1),0),$B193-1966)</f>
        <v>100.2658</v>
      </c>
      <c r="J193" s="7" cm="1">
        <f t="array" ref="J193">INDEX(GMWQ!$A$2:$LR$60,MATCH(1,(GMWQ!$LQ$2:$LQ$60=J$3)*(GMWQ!$LP$2:$LP$60=J$4)*(GMWQ!$LR$2:$LR$60=J$1),0),$B193-1966)</f>
        <v>27620</v>
      </c>
      <c r="K193" s="7" cm="1">
        <f t="array" ref="K193">INDEX(GMWQ!$A$2:$LR$60,MATCH(1,(GMWQ!$LQ$2:$LQ$60=K$3)*(GMWQ!$LP$2:$LP$60=K$4)*(GMWQ!$LR$2:$LR$60=K$1),0),$B193-1966)</f>
        <v>0.75</v>
      </c>
      <c r="L193" s="7" cm="1">
        <f t="array" ref="L193">INDEX(GMWQ!$A$2:$LR$60,MATCH(1,(GMWQ!$LQ$2:$LQ$60=L$3)*(GMWQ!$LP$2:$LP$60=L$4)*(GMWQ!$LR$2:$LR$60=L$1),0),$B193-1966)</f>
        <v>3.9</v>
      </c>
      <c r="M193" s="7" cm="1">
        <f t="array" ref="M193">INDEX(GMWQ!$A$2:$LR$60,MATCH(1,(GMWQ!$LQ$2:$LQ$60=M$3)*(GMWQ!$LP$2:$LP$60=M$4)*(GMWQ!$LR$2:$LR$60=M$1),0),$B193-1966)</f>
        <v>120.208</v>
      </c>
      <c r="N193" s="7" cm="1">
        <f t="array" ref="N193">INDEX(GMWQ!$A$2:$LR$60,MATCH(1,(GMWQ!$LQ$2:$LQ$60=N$3)*(GMWQ!$LP$2:$LP$60=N$4)*(GMWQ!$LR$2:$LR$60=N$1),0),$B193-1966)</f>
        <v>6618</v>
      </c>
      <c r="O193" s="7" cm="1">
        <f t="array" ref="O193">INDEX(GMWQ!$A$2:$LR$60,MATCH(1,(GMWQ!$LQ$2:$LQ$60=O$3)*(GMWQ!$LP$2:$LP$60=O$4)*(GMWQ!$LR$2:$LR$60=O$1),0),$B193-1966)</f>
        <v>5652</v>
      </c>
      <c r="P193" s="7" cm="1">
        <f t="array" ref="P193">INDEX(GMWQ!$A$2:$LR$60,MATCH(1,(GMWQ!$LQ$2:$LQ$60=P$3)*(GMWQ!$LP$2:$LP$60=P$4)*(GMWQ!$LR$2:$LR$60=P$1),0),$B193-1966)</f>
        <v>365234</v>
      </c>
      <c r="Q193" s="7" cm="1">
        <f t="array" ref="Q193">INDEX(GMWQ!$A$2:$LR$60,MATCH(1,(GMWQ!$LQ$2:$LQ$60=Q$3)*(GMWQ!$LP$2:$LP$60=Q$4)*(GMWQ!$LR$2:$LR$60=Q$1),0),$B193-1966)</f>
        <v>2.4133330000000002</v>
      </c>
      <c r="R193" s="7" cm="1">
        <f t="array" ref="R193">INDEX(GMWQ!$A$2:$LR$60,MATCH(1,(GMWQ!$LQ$2:$LQ$60=R$3)*(GMWQ!$LP$2:$LP$60=R$4)*(GMWQ!$LR$2:$LR$60=R$1),0),$B193-1966)</f>
        <v>200081</v>
      </c>
      <c r="S193" s="7" cm="1">
        <f t="array" ref="S193">INDEX(GMWQ!$A$2:$LR$60,MATCH(1,(GMWQ!$LQ$2:$LQ$60=S$3)*(GMWQ!$LP$2:$LP$60=S$4)*(GMWQ!$LR$2:$LR$60=S$1),0),$B193-1966)</f>
        <v>294.17</v>
      </c>
      <c r="T193" s="7" cm="1">
        <f t="array" ref="T193">INDEX(GMWQ!$A$2:$LR$60,MATCH(1,(GMWQ!$LQ$2:$LQ$60=T$3)*(GMWQ!$LP$2:$LP$60=T$4)*(GMWQ!$LR$2:$LR$60=T$1),0),$B193-1966)</f>
        <v>66380</v>
      </c>
      <c r="U193" s="7" cm="1">
        <f t="array" ref="U193">INDEX(GMWQ!$A$2:$LR$60,MATCH(1,(GMWQ!$LQ$2:$LQ$60=U$3)*(GMWQ!$LP$2:$LP$60=U$4)*(GMWQ!$LR$2:$LR$60=U$1),0),$B193-1966)</f>
        <v>13286</v>
      </c>
      <c r="V193" s="7" cm="1">
        <f t="array" ref="V193">INDEX(GMWQ!$A$2:$LR$60,MATCH(1,(GMWQ!$LQ$2:$LQ$60=V$3)*(GMWQ!$LP$2:$LP$60=V$4)*(GMWQ!$LR$2:$LR$60=V$1),0),$B193-1966)</f>
        <v>1.178536E-3</v>
      </c>
      <c r="W193" s="7" cm="1">
        <f t="array" ref="W193">INDEX(GMWQ!$A$2:$LR$60,MATCH(1,(GMWQ!$LQ$2:$LQ$60=W$3)*(GMWQ!$LP$2:$LP$60=W$4)*(GMWQ!$LR$2:$LR$60=W$1),0),$B193-1966)</f>
        <v>7.6796540000000002</v>
      </c>
      <c r="X193" s="7" cm="1">
        <f t="array" ref="X193">INDEX(GMWQ!$A$2:$LR$60,MATCH(1,(GMWQ!$LQ$2:$LQ$60=X$3)*(GMWQ!$LP$2:$LP$60=X$4)*(GMWQ!$LR$2:$LR$60=X$1),0),$B193-1966)</f>
        <v>4279972</v>
      </c>
      <c r="Y193" s="7" cm="1">
        <f t="array" ref="Y193">INDEX(GMWQ!$A$2:$LR$60,MATCH(1,(GMWQ!$LQ$2:$LQ$60=Y$3)*(GMWQ!$LP$2:$LP$60=Y$4)*(GMWQ!$LR$2:$LR$60=Y$1),0),$B193-1966)</f>
        <v>100.3214</v>
      </c>
      <c r="Z193" s="7" cm="1">
        <f t="array" ref="Z193">INDEX(GMWQ!$A$2:$LR$60,MATCH(1,(GMWQ!$LQ$2:$LQ$60=Z$3)*(GMWQ!$LP$2:$LP$60=Z$4)*(GMWQ!$LR$2:$LR$60=Z$1),0),$B193-1966)</f>
        <v>560171.19999999995</v>
      </c>
      <c r="AA193" s="7" cm="1">
        <f t="array" ref="AA193">INDEX(GMWQ!$A$2:$LR$60,MATCH(1,(GMWQ!$LQ$2:$LQ$60=AA$3)*(GMWQ!$LP$2:$LP$60=AA$4)*(GMWQ!$LR$2:$LR$60=AA$1),0),$B193-1966)</f>
        <v>206565</v>
      </c>
      <c r="AB193" s="7" cm="1">
        <f t="array" ref="AB193">INDEX(GMWQ!$A$2:$LR$60,MATCH(1,(GMWQ!$LQ$2:$LQ$60=AB$3)*(GMWQ!$LP$2:$LP$60=AB$4)*(GMWQ!$LR$2:$LR$60=AB$1),0),$B193-1966)</f>
        <v>196701</v>
      </c>
      <c r="AC193" s="7" cm="1">
        <f t="array" ref="AC193">INDEX(GMWQ!$A$2:$LR$60,MATCH(1,(GMWQ!$LQ$2:$LQ$60=AC$3)*(GMWQ!$LP$2:$LP$60=AC$4)*(GMWQ!$LR$2:$LR$60=AC$1),0),$B193-1966)</f>
        <v>10298</v>
      </c>
      <c r="AD193" s="7" cm="1">
        <f t="array" ref="AD193">INDEX(GMWQ!$A$2:$LR$60,MATCH(1,(GMWQ!$LQ$2:$LQ$60=AD$3)*(GMWQ!$LP$2:$LP$60=AD$4)*(GMWQ!$LR$2:$LR$60=AD$1),0),$B193-1966)</f>
        <v>13097</v>
      </c>
      <c r="AE193" s="7" cm="1">
        <f t="array" ref="AE193">INDEX(GMWQ!$A$2:$LR$60,MATCH(1,(GMWQ!$LQ$2:$LQ$60=AE$3)*(GMWQ!$LP$2:$LP$60=AE$4)*(GMWQ!$LR$2:$LR$60=AE$1),0),$B193-1966)</f>
        <v>562790</v>
      </c>
      <c r="AF193" s="20" cm="1">
        <f t="array" ref="AF193">INDEX(GMWQ!$A$2:$LR$60,MATCH(1,(GMWQ!$LQ$2:$LQ$60=AF$3)*(GMWQ!$LP$2:$LP$60=AF$4)*(GMWQ!$LR$2:$LR$60=AF$1),0),$B193-1966)</f>
        <v>0.75</v>
      </c>
      <c r="AG193" s="20" cm="1">
        <f t="array" ref="AG193">INDEX(GMWQ!$A$2:$LR$60,MATCH(1,(GMWQ!$LQ$2:$LQ$60=AG$3)*(GMWQ!$LP$2:$LP$60=AG$4)*(GMWQ!$LR$2:$LR$60=AG$1),0),$B193-1966)</f>
        <v>-966</v>
      </c>
      <c r="AI193" s="23" cm="1">
        <f t="array" ref="AI193">INDEX(GMWQ!$A$2:$LR$60,MATCH(1,(GMWQ!$LQ$2:$LQ$60=AI$3)*(GMWQ!$LP$2:$LP$60=AI$4)*(GMWQ!$LR$2:$LR$60=AI$1),0),$B193-1966)</f>
        <v>365234</v>
      </c>
      <c r="AJ193" s="23" cm="1">
        <f t="array" ref="AJ193">INDEX(GMWQ!$A$2:$LR$60,MATCH(1,(GMWQ!$LQ$2:$LQ$60=AJ$3)*(GMWQ!$LP$2:$LP$60=AJ$4)*(GMWQ!$LR$2:$LR$60=AJ$1),0),$B193-1966)</f>
        <v>100.2658</v>
      </c>
      <c r="AK193" s="23" cm="1">
        <f t="array" ref="AK193">INDEX(GMWQ!$A$2:$LR$60,MATCH(1,(GMWQ!$LQ$2:$LQ$60=AK$3)*(GMWQ!$LP$2:$LP$60=AK$4)*(GMWQ!$LR$2:$LR$60=AK$1),0),$B193-1966)</f>
        <v>223552</v>
      </c>
      <c r="AL193" s="23" cm="1">
        <f t="array" ref="AL193">INDEX(GMWQ!$A$2:$LR$60,MATCH(1,(GMWQ!$LQ$2:$LQ$60=AL$3)*(GMWQ!$LP$2:$LP$60=AL$4)*(GMWQ!$LR$2:$LR$60=AL$1),0),$B193-1966)</f>
        <v>8093.8450000000003</v>
      </c>
      <c r="AM193" s="23" cm="1">
        <f t="array" ref="AM193">INDEX(GMWQ!$A$2:$LR$60,MATCH(1,(GMWQ!$LQ$2:$LQ$60=AM$3)*(GMWQ!$LP$2:$LP$60=AM$4)*(GMWQ!$LR$2:$LR$60=AM$1),0),$B193-1966)</f>
        <v>27620</v>
      </c>
      <c r="AN193" s="23" cm="1">
        <f t="array" ref="AN193">INDEX(GMWQ!$A$2:$LR$60,MATCH(1,(GMWQ!$LQ$2:$LQ$60=AN$3)*(GMWQ!$LP$2:$LP$60=AN$4)*(GMWQ!$LR$2:$LR$60=AN$1),0),$B193-1966)</f>
        <v>50027</v>
      </c>
      <c r="AO193" s="23" cm="1">
        <f t="array" ref="AO193">INDEX(GMWQ!$A$2:$LR$60,MATCH(1,(GMWQ!$LQ$2:$LQ$60=AO$3)*(GMWQ!$LP$2:$LP$60=AO$4)*(GMWQ!$LR$2:$LR$60=AO$1),0),$B193-1966)</f>
        <v>17896</v>
      </c>
      <c r="AP193" s="23" cm="1">
        <f t="array" ref="AP193">INDEX(GMWQ!$A$2:$LR$60,MATCH(1,(GMWQ!$LQ$2:$LQ$60=AP$3)*(GMWQ!$LP$2:$LP$60=AP$4)*(GMWQ!$LR$2:$LR$60=AP$1),0),$B193-1966)</f>
        <v>-966</v>
      </c>
      <c r="AQ193" s="23" cm="1">
        <f t="array" ref="AQ193">INDEX(GMWQ!$A$2:$LR$60,MATCH(1,(GMWQ!$LQ$2:$LQ$60=AQ$3)*(GMWQ!$LP$2:$LP$60=AQ$4)*(GMWQ!$LR$2:$LR$60=AQ$1),0),$B193-1966)</f>
        <v>62614</v>
      </c>
      <c r="AR193" s="23" cm="1">
        <f t="array" ref="AR193">INDEX(GMWQ!$A$2:$LR$60,MATCH(1,(GMWQ!$LQ$2:$LQ$60=AR$3)*(GMWQ!$LP$2:$LP$60=AR$4)*(GMWQ!$LR$2:$LR$60=AR$1),0),$B193-1966)</f>
        <v>345930</v>
      </c>
      <c r="AS193" s="23" cm="1">
        <f t="array" ref="AS193">INDEX(GMWQ!$A$2:$LR$60,MATCH(1,(GMWQ!$LQ$2:$LQ$60=AS$3)*(GMWQ!$LP$2:$LP$60=AS$4)*(GMWQ!$LR$2:$LR$60=AS$1),0),$B193-1966)</f>
        <v>12344</v>
      </c>
      <c r="AT193" s="23" cm="1">
        <f t="array" ref="AT193">INDEX(GMWQ!$A$2:$LR$60,MATCH(1,(GMWQ!$LQ$2:$LQ$60=AT$3)*(GMWQ!$LP$2:$LP$60=AT$4)*(GMWQ!$LR$2:$LR$60=AT$1),0),$B193-1966)</f>
        <v>345013</v>
      </c>
      <c r="AU193" s="23" cm="1">
        <f t="array" ref="AU193">INDEX(GMWQ!$A$2:$LR$60,MATCH(1,(GMWQ!$LQ$2:$LQ$60=AU$3)*(GMWQ!$LP$2:$LP$60=AU$4)*(GMWQ!$LR$2:$LR$60=AU$1),0),$B193-1966)</f>
        <v>12237</v>
      </c>
    </row>
    <row r="194" spans="1:47" x14ac:dyDescent="0.35">
      <c r="B194" s="7">
        <f t="shared" si="4"/>
        <v>2160</v>
      </c>
      <c r="C194" s="7" cm="1">
        <f t="array" ref="C194">INDEX(GMWQ!$A$2:$LR$60,MATCH(1,(GMWQ!$LQ$2:$LQ$60=C$3)*(GMWQ!$LP$2:$LP$60=C$4)*(GMWQ!$LR$2:$LR$60=C$1),0),$B194-1966)</f>
        <v>560861</v>
      </c>
      <c r="D194" s="7" cm="1">
        <f t="array" ref="D194">INDEX(GMWQ!$A$2:$LR$60,MATCH(1,(GMWQ!$LQ$2:$LQ$60=D$3)*(GMWQ!$LP$2:$LP$60=D$4)*(GMWQ!$LR$2:$LR$60=D$1),0),$B194-1966)</f>
        <v>542.33330000000001</v>
      </c>
      <c r="E194" s="7" cm="1">
        <f t="array" ref="E194">INDEX(GMWQ!$A$2:$LR$60,MATCH(1,(GMWQ!$LQ$2:$LQ$60=E$3)*(GMWQ!$LP$2:$LP$60=E$4)*(GMWQ!$LR$2:$LR$60=E$1),0),$B194-1966)</f>
        <v>108.4333</v>
      </c>
      <c r="F194" s="7" cm="1">
        <f t="array" ref="F194">INDEX(GMWQ!$A$2:$LR$60,MATCH(1,(GMWQ!$LQ$2:$LQ$60=F$3)*(GMWQ!$LP$2:$LP$60=F$4)*(GMWQ!$LR$2:$LR$60=F$1),0),$B194-1966)</f>
        <v>223933</v>
      </c>
      <c r="G194" s="7" cm="1">
        <f t="array" ref="G194">INDEX(GMWQ!$A$2:$LR$60,MATCH(1,(GMWQ!$LQ$2:$LQ$60=G$3)*(GMWQ!$LP$2:$LP$60=G$4)*(GMWQ!$LR$2:$LR$60=G$1),0),$B194-1966)</f>
        <v>49206</v>
      </c>
      <c r="H194" s="7" cm="1">
        <f t="array" ref="H194">INDEX(GMWQ!$A$2:$LR$60,MATCH(1,(GMWQ!$LQ$2:$LQ$60=H$3)*(GMWQ!$LP$2:$LP$60=H$4)*(GMWQ!$LR$2:$LR$60=H$1),0),$B194-1966)</f>
        <v>18050</v>
      </c>
      <c r="I194" s="7" cm="1">
        <f t="array" ref="I194">INDEX(GMWQ!$A$2:$LR$60,MATCH(1,(GMWQ!$LQ$2:$LQ$60=I$3)*(GMWQ!$LP$2:$LP$60=I$4)*(GMWQ!$LR$2:$LR$60=I$1),0),$B194-1966)</f>
        <v>100.42700000000001</v>
      </c>
      <c r="J194" s="7" cm="1">
        <f t="array" ref="J194">INDEX(GMWQ!$A$2:$LR$60,MATCH(1,(GMWQ!$LQ$2:$LQ$60=J$3)*(GMWQ!$LP$2:$LP$60=J$4)*(GMWQ!$LR$2:$LR$60=J$1),0),$B194-1966)</f>
        <v>27726</v>
      </c>
      <c r="K194" s="7" cm="1">
        <f t="array" ref="K194">INDEX(GMWQ!$A$2:$LR$60,MATCH(1,(GMWQ!$LQ$2:$LQ$60=K$3)*(GMWQ!$LP$2:$LP$60=K$4)*(GMWQ!$LR$2:$LR$60=K$1),0),$B194-1966)</f>
        <v>0.75</v>
      </c>
      <c r="L194" s="7" cm="1">
        <f t="array" ref="L194">INDEX(GMWQ!$A$2:$LR$60,MATCH(1,(GMWQ!$LQ$2:$LQ$60=L$3)*(GMWQ!$LP$2:$LP$60=L$4)*(GMWQ!$LR$2:$LR$60=L$1),0),$B194-1966)</f>
        <v>3.9</v>
      </c>
      <c r="M194" s="7" cm="1">
        <f t="array" ref="M194">INDEX(GMWQ!$A$2:$LR$60,MATCH(1,(GMWQ!$LQ$2:$LQ$60=M$3)*(GMWQ!$LP$2:$LP$60=M$4)*(GMWQ!$LR$2:$LR$60=M$1),0),$B194-1966)</f>
        <v>120.376</v>
      </c>
      <c r="N194" s="7" cm="1">
        <f t="array" ref="N194">INDEX(GMWQ!$A$2:$LR$60,MATCH(1,(GMWQ!$LQ$2:$LQ$60=N$3)*(GMWQ!$LP$2:$LP$60=N$4)*(GMWQ!$LR$2:$LR$60=N$1),0),$B194-1966)</f>
        <v>6349</v>
      </c>
      <c r="O194" s="7" cm="1">
        <f t="array" ref="O194">INDEX(GMWQ!$A$2:$LR$60,MATCH(1,(GMWQ!$LQ$2:$LQ$60=O$3)*(GMWQ!$LP$2:$LP$60=O$4)*(GMWQ!$LR$2:$LR$60=O$1),0),$B194-1966)</f>
        <v>5603</v>
      </c>
      <c r="P194" s="7" cm="1">
        <f t="array" ref="P194">INDEX(GMWQ!$A$2:$LR$60,MATCH(1,(GMWQ!$LQ$2:$LQ$60=P$3)*(GMWQ!$LP$2:$LP$60=P$4)*(GMWQ!$LR$2:$LR$60=P$1),0),$B194-1966)</f>
        <v>367963</v>
      </c>
      <c r="Q194" s="7" cm="1">
        <f t="array" ref="Q194">INDEX(GMWQ!$A$2:$LR$60,MATCH(1,(GMWQ!$LQ$2:$LQ$60=Q$3)*(GMWQ!$LP$2:$LP$60=Q$4)*(GMWQ!$LR$2:$LR$60=Q$1),0),$B194-1966)</f>
        <v>2.3866670000000001</v>
      </c>
      <c r="R194" s="7" cm="1">
        <f t="array" ref="R194">INDEX(GMWQ!$A$2:$LR$60,MATCH(1,(GMWQ!$LQ$2:$LQ$60=R$3)*(GMWQ!$LP$2:$LP$60=R$4)*(GMWQ!$LR$2:$LR$60=R$1),0),$B194-1966)</f>
        <v>199536</v>
      </c>
      <c r="S194" s="7" cm="1">
        <f t="array" ref="S194">INDEX(GMWQ!$A$2:$LR$60,MATCH(1,(GMWQ!$LQ$2:$LQ$60=S$3)*(GMWQ!$LP$2:$LP$60=S$4)*(GMWQ!$LR$2:$LR$60=S$1),0),$B194-1966)</f>
        <v>294.11</v>
      </c>
      <c r="T194" s="7" cm="1">
        <f t="array" ref="T194">INDEX(GMWQ!$A$2:$LR$60,MATCH(1,(GMWQ!$LQ$2:$LQ$60=T$3)*(GMWQ!$LP$2:$LP$60=T$4)*(GMWQ!$LR$2:$LR$60=T$1),0),$B194-1966)</f>
        <v>67192</v>
      </c>
      <c r="U194" s="7" cm="1">
        <f t="array" ref="U194">INDEX(GMWQ!$A$2:$LR$60,MATCH(1,(GMWQ!$LQ$2:$LQ$60=U$3)*(GMWQ!$LP$2:$LP$60=U$4)*(GMWQ!$LR$2:$LR$60=U$1),0),$B194-1966)</f>
        <v>13754</v>
      </c>
      <c r="V194" s="7" cm="1">
        <f t="array" ref="V194">INDEX(GMWQ!$A$2:$LR$60,MATCH(1,(GMWQ!$LQ$2:$LQ$60=V$3)*(GMWQ!$LP$2:$LP$60=V$4)*(GMWQ!$LR$2:$LR$60=V$1),0),$B194-1966)</f>
        <v>1.1199929999999999E-3</v>
      </c>
      <c r="W194" s="7" cm="1">
        <f t="array" ref="W194">INDEX(GMWQ!$A$2:$LR$60,MATCH(1,(GMWQ!$LQ$2:$LQ$60=W$3)*(GMWQ!$LP$2:$LP$60=W$4)*(GMWQ!$LR$2:$LR$60=W$1),0),$B194-1966)</f>
        <v>6.7608490000000003</v>
      </c>
      <c r="X194" s="7" cm="1">
        <f t="array" ref="X194">INDEX(GMWQ!$A$2:$LR$60,MATCH(1,(GMWQ!$LQ$2:$LQ$60=X$3)*(GMWQ!$LP$2:$LP$60=X$4)*(GMWQ!$LR$2:$LR$60=X$1),0),$B194-1966)</f>
        <v>4316395</v>
      </c>
      <c r="Y194" s="7" cm="1">
        <f t="array" ref="Y194">INDEX(GMWQ!$A$2:$LR$60,MATCH(1,(GMWQ!$LQ$2:$LQ$60=Y$3)*(GMWQ!$LP$2:$LP$60=Y$4)*(GMWQ!$LR$2:$LR$60=Y$1),0),$B194-1966)</f>
        <v>100.87860000000001</v>
      </c>
      <c r="Z194" s="7" cm="1">
        <f t="array" ref="Z194">INDEX(GMWQ!$A$2:$LR$60,MATCH(1,(GMWQ!$LQ$2:$LQ$60=Z$3)*(GMWQ!$LP$2:$LP$60=Z$4)*(GMWQ!$LR$2:$LR$60=Z$1),0),$B194-1966)</f>
        <v>560861.30000000005</v>
      </c>
      <c r="AA194" s="7" cm="1">
        <f t="array" ref="AA194">INDEX(GMWQ!$A$2:$LR$60,MATCH(1,(GMWQ!$LQ$2:$LQ$60=AA$3)*(GMWQ!$LP$2:$LP$60=AA$4)*(GMWQ!$LR$2:$LR$60=AA$1),0),$B194-1966)</f>
        <v>195296</v>
      </c>
      <c r="AB194" s="7" cm="1">
        <f t="array" ref="AB194">INDEX(GMWQ!$A$2:$LR$60,MATCH(1,(GMWQ!$LQ$2:$LQ$60=AB$3)*(GMWQ!$LP$2:$LP$60=AB$4)*(GMWQ!$LR$2:$LR$60=AB$1),0),$B194-1966)</f>
        <v>197932</v>
      </c>
      <c r="AC194" s="7" cm="1">
        <f t="array" ref="AC194">INDEX(GMWQ!$A$2:$LR$60,MATCH(1,(GMWQ!$LQ$2:$LQ$60=AC$3)*(GMWQ!$LP$2:$LP$60=AC$4)*(GMWQ!$LR$2:$LR$60=AC$1),0),$B194-1966)</f>
        <v>8123</v>
      </c>
      <c r="AD194" s="7" cm="1">
        <f t="array" ref="AD194">INDEX(GMWQ!$A$2:$LR$60,MATCH(1,(GMWQ!$LQ$2:$LQ$60=AD$3)*(GMWQ!$LP$2:$LP$60=AD$4)*(GMWQ!$LR$2:$LR$60=AD$1),0),$B194-1966)</f>
        <v>13228</v>
      </c>
      <c r="AE194" s="7" cm="1">
        <f t="array" ref="AE194">INDEX(GMWQ!$A$2:$LR$60,MATCH(1,(GMWQ!$LQ$2:$LQ$60=AE$3)*(GMWQ!$LP$2:$LP$60=AE$4)*(GMWQ!$LR$2:$LR$60=AE$1),0),$B194-1966)</f>
        <v>565789</v>
      </c>
      <c r="AF194" s="20" cm="1">
        <f t="array" ref="AF194">INDEX(GMWQ!$A$2:$LR$60,MATCH(1,(GMWQ!$LQ$2:$LQ$60=AF$3)*(GMWQ!$LP$2:$LP$60=AF$4)*(GMWQ!$LR$2:$LR$60=AF$1),0),$B194-1966)</f>
        <v>0.75</v>
      </c>
      <c r="AG194" s="20" cm="1">
        <f t="array" ref="AG194">INDEX(GMWQ!$A$2:$LR$60,MATCH(1,(GMWQ!$LQ$2:$LQ$60=AG$3)*(GMWQ!$LP$2:$LP$60=AG$4)*(GMWQ!$LR$2:$LR$60=AG$1),0),$B194-1966)</f>
        <v>-746</v>
      </c>
      <c r="AI194" s="23" cm="1">
        <f t="array" ref="AI194">INDEX(GMWQ!$A$2:$LR$60,MATCH(1,(GMWQ!$LQ$2:$LQ$60=AI$3)*(GMWQ!$LP$2:$LP$60=AI$4)*(GMWQ!$LR$2:$LR$60=AI$1),0),$B194-1966)</f>
        <v>367963</v>
      </c>
      <c r="AJ194" s="23" cm="1">
        <f t="array" ref="AJ194">INDEX(GMWQ!$A$2:$LR$60,MATCH(1,(GMWQ!$LQ$2:$LQ$60=AJ$3)*(GMWQ!$LP$2:$LP$60=AJ$4)*(GMWQ!$LR$2:$LR$60=AJ$1),0),$B194-1966)</f>
        <v>100.42700000000001</v>
      </c>
      <c r="AK194" s="23" cm="1">
        <f t="array" ref="AK194">INDEX(GMWQ!$A$2:$LR$60,MATCH(1,(GMWQ!$LQ$2:$LQ$60=AK$3)*(GMWQ!$LP$2:$LP$60=AK$4)*(GMWQ!$LR$2:$LR$60=AK$1),0),$B194-1966)</f>
        <v>223933</v>
      </c>
      <c r="AL194" s="23" cm="1">
        <f t="array" ref="AL194">INDEX(GMWQ!$A$2:$LR$60,MATCH(1,(GMWQ!$LQ$2:$LQ$60=AL$3)*(GMWQ!$LP$2:$LP$60=AL$4)*(GMWQ!$LR$2:$LR$60=AL$1),0),$B194-1966)</f>
        <v>8076.643</v>
      </c>
      <c r="AM194" s="23" cm="1">
        <f t="array" ref="AM194">INDEX(GMWQ!$A$2:$LR$60,MATCH(1,(GMWQ!$LQ$2:$LQ$60=AM$3)*(GMWQ!$LP$2:$LP$60=AM$4)*(GMWQ!$LR$2:$LR$60=AM$1),0),$B194-1966)</f>
        <v>27726</v>
      </c>
      <c r="AN194" s="23" cm="1">
        <f t="array" ref="AN194">INDEX(GMWQ!$A$2:$LR$60,MATCH(1,(GMWQ!$LQ$2:$LQ$60=AN$3)*(GMWQ!$LP$2:$LP$60=AN$4)*(GMWQ!$LR$2:$LR$60=AN$1),0),$B194-1966)</f>
        <v>49206</v>
      </c>
      <c r="AO194" s="23" cm="1">
        <f t="array" ref="AO194">INDEX(GMWQ!$A$2:$LR$60,MATCH(1,(GMWQ!$LQ$2:$LQ$60=AO$3)*(GMWQ!$LP$2:$LP$60=AO$4)*(GMWQ!$LR$2:$LR$60=AO$1),0),$B194-1966)</f>
        <v>18050</v>
      </c>
      <c r="AP194" s="23" cm="1">
        <f t="array" ref="AP194">INDEX(GMWQ!$A$2:$LR$60,MATCH(1,(GMWQ!$LQ$2:$LQ$60=AP$3)*(GMWQ!$LP$2:$LP$60=AP$4)*(GMWQ!$LR$2:$LR$60=AP$1),0),$B194-1966)</f>
        <v>-746</v>
      </c>
      <c r="AQ194" s="23" cm="1">
        <f t="array" ref="AQ194">INDEX(GMWQ!$A$2:$LR$60,MATCH(1,(GMWQ!$LQ$2:$LQ$60=AQ$3)*(GMWQ!$LP$2:$LP$60=AQ$4)*(GMWQ!$LR$2:$LR$60=AQ$1),0),$B194-1966)</f>
        <v>62949</v>
      </c>
      <c r="AR194" s="23" cm="1">
        <f t="array" ref="AR194">INDEX(GMWQ!$A$2:$LR$60,MATCH(1,(GMWQ!$LQ$2:$LQ$60=AR$3)*(GMWQ!$LP$2:$LP$60=AR$4)*(GMWQ!$LR$2:$LR$60=AR$1),0),$B194-1966)</f>
        <v>345725</v>
      </c>
      <c r="AS194" s="23" cm="1">
        <f t="array" ref="AS194">INDEX(GMWQ!$A$2:$LR$60,MATCH(1,(GMWQ!$LQ$2:$LQ$60=AS$3)*(GMWQ!$LP$2:$LP$60=AS$4)*(GMWQ!$LR$2:$LR$60=AS$1),0),$B194-1966)</f>
        <v>11756</v>
      </c>
      <c r="AT194" s="23" cm="1">
        <f t="array" ref="AT194">INDEX(GMWQ!$A$2:$LR$60,MATCH(1,(GMWQ!$LQ$2:$LQ$60=AT$3)*(GMWQ!$LP$2:$LP$60=AT$4)*(GMWQ!$LR$2:$LR$60=AT$1),0),$B194-1966)</f>
        <v>344255</v>
      </c>
      <c r="AU194" s="23" cm="1">
        <f t="array" ref="AU194">INDEX(GMWQ!$A$2:$LR$60,MATCH(1,(GMWQ!$LQ$2:$LQ$60=AU$3)*(GMWQ!$LP$2:$LP$60=AU$4)*(GMWQ!$LR$2:$LR$60=AU$1),0),$B194-1966)</f>
        <v>11508</v>
      </c>
    </row>
    <row r="195" spans="1:47" x14ac:dyDescent="0.35">
      <c r="A195" s="7">
        <v>2020</v>
      </c>
      <c r="B195" s="7">
        <f t="shared" si="4"/>
        <v>2161</v>
      </c>
      <c r="C195" s="7" cm="1">
        <f t="array" ref="C195">INDEX(GMWQ!$A$2:$LR$60,MATCH(1,(GMWQ!$LQ$2:$LQ$60=C$3)*(GMWQ!$LP$2:$LP$60=C$4)*(GMWQ!$LR$2:$LR$60=C$1),0),$B195-1966)</f>
        <v>545597</v>
      </c>
      <c r="D195" s="7" cm="1">
        <f t="array" ref="D195">INDEX(GMWQ!$A$2:$LR$60,MATCH(1,(GMWQ!$LQ$2:$LQ$60=D$3)*(GMWQ!$LP$2:$LP$60=D$4)*(GMWQ!$LR$2:$LR$60=D$1),0),$B195-1966)</f>
        <v>540.33330000000001</v>
      </c>
      <c r="E195" s="7" cm="1">
        <f t="array" ref="E195">INDEX(GMWQ!$A$2:$LR$60,MATCH(1,(GMWQ!$LQ$2:$LQ$60=E$3)*(GMWQ!$LP$2:$LP$60=E$4)*(GMWQ!$LR$2:$LR$60=E$1),0),$B195-1966)</f>
        <v>108.4667</v>
      </c>
      <c r="F195" s="7" cm="1">
        <f t="array" ref="F195">INDEX(GMWQ!$A$2:$LR$60,MATCH(1,(GMWQ!$LQ$2:$LQ$60=F$3)*(GMWQ!$LP$2:$LP$60=F$4)*(GMWQ!$LR$2:$LR$60=F$1),0),$B195-1966)</f>
        <v>225247</v>
      </c>
      <c r="G195" s="7" cm="1">
        <f t="array" ref="G195">INDEX(GMWQ!$A$2:$LR$60,MATCH(1,(GMWQ!$LQ$2:$LQ$60=G$3)*(GMWQ!$LP$2:$LP$60=G$4)*(GMWQ!$LR$2:$LR$60=G$1),0),$B195-1966)</f>
        <v>50913</v>
      </c>
      <c r="H195" s="7" cm="1">
        <f t="array" ref="H195">INDEX(GMWQ!$A$2:$LR$60,MATCH(1,(GMWQ!$LQ$2:$LQ$60=H$3)*(GMWQ!$LP$2:$LP$60=H$4)*(GMWQ!$LR$2:$LR$60=H$1),0),$B195-1966)</f>
        <v>17679</v>
      </c>
      <c r="I195" s="7" cm="1">
        <f t="array" ref="I195">INDEX(GMWQ!$A$2:$LR$60,MATCH(1,(GMWQ!$LQ$2:$LQ$60=I$3)*(GMWQ!$LP$2:$LP$60=I$4)*(GMWQ!$LR$2:$LR$60=I$1),0),$B195-1966)</f>
        <v>99.87527</v>
      </c>
      <c r="J195" s="7" cm="1">
        <f t="array" ref="J195">INDEX(GMWQ!$A$2:$LR$60,MATCH(1,(GMWQ!$LQ$2:$LQ$60=J$3)*(GMWQ!$LP$2:$LP$60=J$4)*(GMWQ!$LR$2:$LR$60=J$1),0),$B195-1966)</f>
        <v>27837</v>
      </c>
      <c r="K195" s="7" cm="1">
        <f t="array" ref="K195">INDEX(GMWQ!$A$2:$LR$60,MATCH(1,(GMWQ!$LQ$2:$LQ$60=K$3)*(GMWQ!$LP$2:$LP$60=K$4)*(GMWQ!$LR$2:$LR$60=K$1),0),$B195-1966)</f>
        <v>0.1</v>
      </c>
      <c r="L195" s="7" cm="1">
        <f t="array" ref="L195">INDEX(GMWQ!$A$2:$LR$60,MATCH(1,(GMWQ!$LQ$2:$LQ$60=L$3)*(GMWQ!$LP$2:$LP$60=L$4)*(GMWQ!$LR$2:$LR$60=L$1),0),$B195-1966)</f>
        <v>4.0999999999999996</v>
      </c>
      <c r="M195" s="7" cm="1">
        <f t="array" ref="M195">INDEX(GMWQ!$A$2:$LR$60,MATCH(1,(GMWQ!$LQ$2:$LQ$60=M$3)*(GMWQ!$LP$2:$LP$60=M$4)*(GMWQ!$LR$2:$LR$60=M$1),0),$B195-1966)</f>
        <v>121.501</v>
      </c>
      <c r="N195" s="7" cm="1">
        <f t="array" ref="N195">INDEX(GMWQ!$A$2:$LR$60,MATCH(1,(GMWQ!$LQ$2:$LQ$60=N$3)*(GMWQ!$LP$2:$LP$60=N$4)*(GMWQ!$LR$2:$LR$60=N$1),0),$B195-1966)</f>
        <v>5796</v>
      </c>
      <c r="O195" s="7" cm="1">
        <f t="array" ref="O195">INDEX(GMWQ!$A$2:$LR$60,MATCH(1,(GMWQ!$LQ$2:$LQ$60=O$3)*(GMWQ!$LP$2:$LP$60=O$4)*(GMWQ!$LR$2:$LR$60=O$1),0),$B195-1966)</f>
        <v>4889</v>
      </c>
      <c r="P195" s="7" cm="1">
        <f t="array" ref="P195">INDEX(GMWQ!$A$2:$LR$60,MATCH(1,(GMWQ!$LQ$2:$LQ$60=P$3)*(GMWQ!$LP$2:$LP$60=P$4)*(GMWQ!$LR$2:$LR$60=P$1),0),$B195-1966)</f>
        <v>362113</v>
      </c>
      <c r="Q195" s="7" cm="1">
        <f t="array" ref="Q195">INDEX(GMWQ!$A$2:$LR$60,MATCH(1,(GMWQ!$LQ$2:$LQ$60=Q$3)*(GMWQ!$LP$2:$LP$60=Q$4)*(GMWQ!$LR$2:$LR$60=Q$1),0),$B195-1966)</f>
        <v>2.3566669999999998</v>
      </c>
      <c r="R195" s="7" cm="1">
        <f t="array" ref="R195">INDEX(GMWQ!$A$2:$LR$60,MATCH(1,(GMWQ!$LQ$2:$LQ$60=R$3)*(GMWQ!$LP$2:$LP$60=R$4)*(GMWQ!$LR$2:$LR$60=R$1),0),$B195-1966)</f>
        <v>197813</v>
      </c>
      <c r="S195" s="7" cm="1">
        <f t="array" ref="S195">INDEX(GMWQ!$A$2:$LR$60,MATCH(1,(GMWQ!$LQ$2:$LQ$60=S$3)*(GMWQ!$LP$2:$LP$60=S$4)*(GMWQ!$LR$2:$LR$60=S$1),0),$B195-1966)</f>
        <v>284.66000000000003</v>
      </c>
      <c r="T195" s="7" cm="1">
        <f t="array" ref="T195">INDEX(GMWQ!$A$2:$LR$60,MATCH(1,(GMWQ!$LQ$2:$LQ$60=T$3)*(GMWQ!$LP$2:$LP$60=T$4)*(GMWQ!$LR$2:$LR$60=T$1),0),$B195-1966)</f>
        <v>69750</v>
      </c>
      <c r="U195" s="7" cm="1">
        <f t="array" ref="U195">INDEX(GMWQ!$A$2:$LR$60,MATCH(1,(GMWQ!$LQ$2:$LQ$60=U$3)*(GMWQ!$LP$2:$LP$60=U$4)*(GMWQ!$LR$2:$LR$60=U$1),0),$B195-1966)</f>
        <v>13839</v>
      </c>
      <c r="V195" s="7" cm="1">
        <f t="array" ref="V195">INDEX(GMWQ!$A$2:$LR$60,MATCH(1,(GMWQ!$LQ$2:$LQ$60=V$3)*(GMWQ!$LP$2:$LP$60=V$4)*(GMWQ!$LR$2:$LR$60=V$1),0),$B195-1966)</f>
        <v>1.0253840000000001E-3</v>
      </c>
      <c r="W195" s="7" cm="1">
        <f t="array" ref="W195">INDEX(GMWQ!$A$2:$LR$60,MATCH(1,(GMWQ!$LQ$2:$LQ$60=W$3)*(GMWQ!$LP$2:$LP$60=W$4)*(GMWQ!$LR$2:$LR$60=W$1),0),$B195-1966)</f>
        <v>7.3369450000000001</v>
      </c>
      <c r="X195" s="7" cm="1">
        <f t="array" ref="X195">INDEX(GMWQ!$A$2:$LR$60,MATCH(1,(GMWQ!$LQ$2:$LQ$60=X$3)*(GMWQ!$LP$2:$LP$60=X$4)*(GMWQ!$LR$2:$LR$60=X$1),0),$B195-1966)</f>
        <v>4350913</v>
      </c>
      <c r="Y195" s="7" cm="1">
        <f t="array" ref="Y195">INDEX(GMWQ!$A$2:$LR$60,MATCH(1,(GMWQ!$LQ$2:$LQ$60=Y$3)*(GMWQ!$LP$2:$LP$60=Y$4)*(GMWQ!$LR$2:$LR$60=Y$1),0),$B195-1966)</f>
        <v>101.9395</v>
      </c>
      <c r="Z195" s="7" cm="1">
        <f t="array" ref="Z195">INDEX(GMWQ!$A$2:$LR$60,MATCH(1,(GMWQ!$LQ$2:$LQ$60=Z$3)*(GMWQ!$LP$2:$LP$60=Z$4)*(GMWQ!$LR$2:$LR$60=Z$1),0),$B195-1966)</f>
        <v>556070.69999999995</v>
      </c>
      <c r="AA195" s="7" cm="1">
        <f t="array" ref="AA195">INDEX(GMWQ!$A$2:$LR$60,MATCH(1,(GMWQ!$LQ$2:$LQ$60=AA$3)*(GMWQ!$LP$2:$LP$60=AA$4)*(GMWQ!$LR$2:$LR$60=AA$1),0),$B195-1966)</f>
        <v>229356</v>
      </c>
      <c r="AB195" s="7" cm="1">
        <f t="array" ref="AB195">INDEX(GMWQ!$A$2:$LR$60,MATCH(1,(GMWQ!$LQ$2:$LQ$60=AB$3)*(GMWQ!$LP$2:$LP$60=AB$4)*(GMWQ!$LR$2:$LR$60=AB$1),0),$B195-1966)</f>
        <v>200180</v>
      </c>
      <c r="AC195" s="7" cm="1">
        <f t="array" ref="AC195">INDEX(GMWQ!$A$2:$LR$60,MATCH(1,(GMWQ!$LQ$2:$LQ$60=AC$3)*(GMWQ!$LP$2:$LP$60=AC$4)*(GMWQ!$LR$2:$LR$60=AC$1),0),$B195-1966)</f>
        <v>16220</v>
      </c>
      <c r="AD195" s="7" cm="1">
        <f t="array" ref="AD195">INDEX(GMWQ!$A$2:$LR$60,MATCH(1,(GMWQ!$LQ$2:$LQ$60=AD$3)*(GMWQ!$LP$2:$LP$60=AD$4)*(GMWQ!$LR$2:$LR$60=AD$1),0),$B195-1966)</f>
        <v>13256</v>
      </c>
      <c r="AE195" s="7" cm="1">
        <f t="array" ref="AE195">INDEX(GMWQ!$A$2:$LR$60,MATCH(1,(GMWQ!$LQ$2:$LQ$60=AE$3)*(GMWQ!$LP$2:$LP$60=AE$4)*(GMWQ!$LR$2:$LR$60=AE$1),0),$B195-1966)</f>
        <v>556179</v>
      </c>
      <c r="AF195" s="20" cm="1">
        <f t="array" ref="AF195">INDEX(GMWQ!$A$2:$LR$60,MATCH(1,(GMWQ!$LQ$2:$LQ$60=AF$3)*(GMWQ!$LP$2:$LP$60=AF$4)*(GMWQ!$LR$2:$LR$60=AF$1),0),$B195-1966)</f>
        <v>0.61384620000000001</v>
      </c>
      <c r="AG195" s="20" cm="1">
        <f t="array" ref="AG195">INDEX(GMWQ!$A$2:$LR$60,MATCH(1,(GMWQ!$LQ$2:$LQ$60=AG$3)*(GMWQ!$LP$2:$LP$60=AG$4)*(GMWQ!$LR$2:$LR$60=AG$1),0),$B195-1966)</f>
        <v>-907</v>
      </c>
      <c r="AI195" s="23" cm="1">
        <f t="array" ref="AI195">INDEX(GMWQ!$A$2:$LR$60,MATCH(1,(GMWQ!$LQ$2:$LQ$60=AI$3)*(GMWQ!$LP$2:$LP$60=AI$4)*(GMWQ!$LR$2:$LR$60=AI$1),0),$B195-1966)</f>
        <v>362113</v>
      </c>
      <c r="AJ195" s="23" cm="1">
        <f t="array" ref="AJ195">INDEX(GMWQ!$A$2:$LR$60,MATCH(1,(GMWQ!$LQ$2:$LQ$60=AJ$3)*(GMWQ!$LP$2:$LP$60=AJ$4)*(GMWQ!$LR$2:$LR$60=AJ$1),0),$B195-1966)</f>
        <v>99.87527</v>
      </c>
      <c r="AK195" s="23" cm="1">
        <f t="array" ref="AK195">INDEX(GMWQ!$A$2:$LR$60,MATCH(1,(GMWQ!$LQ$2:$LQ$60=AK$3)*(GMWQ!$LP$2:$LP$60=AK$4)*(GMWQ!$LR$2:$LR$60=AK$1),0),$B195-1966)</f>
        <v>225247</v>
      </c>
      <c r="AL195" s="23" cm="1">
        <f t="array" ref="AL195">INDEX(GMWQ!$A$2:$LR$60,MATCH(1,(GMWQ!$LQ$2:$LQ$60=AL$3)*(GMWQ!$LP$2:$LP$60=AL$4)*(GMWQ!$LR$2:$LR$60=AL$1),0),$B195-1966)</f>
        <v>8091.6409999999996</v>
      </c>
      <c r="AM195" s="23" cm="1">
        <f t="array" ref="AM195">INDEX(GMWQ!$A$2:$LR$60,MATCH(1,(GMWQ!$LQ$2:$LQ$60=AM$3)*(GMWQ!$LP$2:$LP$60=AM$4)*(GMWQ!$LR$2:$LR$60=AM$1),0),$B195-1966)</f>
        <v>27837</v>
      </c>
      <c r="AN195" s="23" cm="1">
        <f t="array" ref="AN195">INDEX(GMWQ!$A$2:$LR$60,MATCH(1,(GMWQ!$LQ$2:$LQ$60=AN$3)*(GMWQ!$LP$2:$LP$60=AN$4)*(GMWQ!$LR$2:$LR$60=AN$1),0),$B195-1966)</f>
        <v>50913</v>
      </c>
      <c r="AO195" s="23" cm="1">
        <f t="array" ref="AO195">INDEX(GMWQ!$A$2:$LR$60,MATCH(1,(GMWQ!$LQ$2:$LQ$60=AO$3)*(GMWQ!$LP$2:$LP$60=AO$4)*(GMWQ!$LR$2:$LR$60=AO$1),0),$B195-1966)</f>
        <v>17679</v>
      </c>
      <c r="AP195" s="23" cm="1">
        <f t="array" ref="AP195">INDEX(GMWQ!$A$2:$LR$60,MATCH(1,(GMWQ!$LQ$2:$LQ$60=AP$3)*(GMWQ!$LP$2:$LP$60=AP$4)*(GMWQ!$LR$2:$LR$60=AP$1),0),$B195-1966)</f>
        <v>-907</v>
      </c>
      <c r="AQ195" s="23" cm="1">
        <f t="array" ref="AQ195">INDEX(GMWQ!$A$2:$LR$60,MATCH(1,(GMWQ!$LQ$2:$LQ$60=AQ$3)*(GMWQ!$LP$2:$LP$60=AQ$4)*(GMWQ!$LR$2:$LR$60=AQ$1),0),$B195-1966)</f>
        <v>64441</v>
      </c>
      <c r="AR195" s="23" cm="1">
        <f t="array" ref="AR195">INDEX(GMWQ!$A$2:$LR$60,MATCH(1,(GMWQ!$LQ$2:$LQ$60=AR$3)*(GMWQ!$LP$2:$LP$60=AR$4)*(GMWQ!$LR$2:$LR$60=AR$1),0),$B195-1966)</f>
        <v>333891</v>
      </c>
      <c r="AS195" s="23" cm="1">
        <f t="array" ref="AS195">INDEX(GMWQ!$A$2:$LR$60,MATCH(1,(GMWQ!$LQ$2:$LQ$60=AS$3)*(GMWQ!$LP$2:$LP$60=AS$4)*(GMWQ!$LR$2:$LR$60=AS$1),0),$B195-1966)</f>
        <v>12175</v>
      </c>
      <c r="AT195" s="23" cm="1">
        <f t="array" ref="AT195">INDEX(GMWQ!$A$2:$LR$60,MATCH(1,(GMWQ!$LQ$2:$LQ$60=AT$3)*(GMWQ!$LP$2:$LP$60=AT$4)*(GMWQ!$LR$2:$LR$60=AT$1),0),$B195-1966)</f>
        <v>334308</v>
      </c>
      <c r="AU195" s="23" cm="1">
        <f t="array" ref="AU195">INDEX(GMWQ!$A$2:$LR$60,MATCH(1,(GMWQ!$LQ$2:$LQ$60=AU$3)*(GMWQ!$LP$2:$LP$60=AU$4)*(GMWQ!$LR$2:$LR$60=AU$1),0),$B195-1966)</f>
        <v>11361</v>
      </c>
    </row>
    <row r="196" spans="1:47" x14ac:dyDescent="0.35">
      <c r="B196" s="7">
        <f t="shared" si="4"/>
        <v>2162</v>
      </c>
      <c r="C196" s="7" cm="1">
        <f t="array" ref="C196">INDEX(GMWQ!$A$2:$LR$60,MATCH(1,(GMWQ!$LQ$2:$LQ$60=C$3)*(GMWQ!$LP$2:$LP$60=C$4)*(GMWQ!$LR$2:$LR$60=C$1),0),$B196-1966)</f>
        <v>434718</v>
      </c>
      <c r="D196" s="7" cm="1">
        <f t="array" ref="D196">INDEX(GMWQ!$A$2:$LR$60,MATCH(1,(GMWQ!$LQ$2:$LQ$60=D$3)*(GMWQ!$LP$2:$LP$60=D$4)*(GMWQ!$LR$2:$LR$60=D$1),0),$B196-1966)</f>
        <v>531</v>
      </c>
      <c r="E196" s="7" cm="1">
        <f t="array" ref="E196">INDEX(GMWQ!$A$2:$LR$60,MATCH(1,(GMWQ!$LQ$2:$LQ$60=E$3)*(GMWQ!$LP$2:$LP$60=E$4)*(GMWQ!$LR$2:$LR$60=E$1),0),$B196-1966)</f>
        <v>108.5333</v>
      </c>
      <c r="F196" s="7" cm="1">
        <f t="array" ref="F196">INDEX(GMWQ!$A$2:$LR$60,MATCH(1,(GMWQ!$LQ$2:$LQ$60=F$3)*(GMWQ!$LP$2:$LP$60=F$4)*(GMWQ!$LR$2:$LR$60=F$1),0),$B196-1966)</f>
        <v>217590</v>
      </c>
      <c r="G196" s="7" cm="1">
        <f t="array" ref="G196">INDEX(GMWQ!$A$2:$LR$60,MATCH(1,(GMWQ!$LQ$2:$LQ$60=G$3)*(GMWQ!$LP$2:$LP$60=G$4)*(GMWQ!$LR$2:$LR$60=G$1),0),$B196-1966)</f>
        <v>47172</v>
      </c>
      <c r="H196" s="7" cm="1">
        <f t="array" ref="H196">INDEX(GMWQ!$A$2:$LR$60,MATCH(1,(GMWQ!$LQ$2:$LQ$60=H$3)*(GMWQ!$LP$2:$LP$60=H$4)*(GMWQ!$LR$2:$LR$60=H$1),0),$B196-1966)</f>
        <v>16929</v>
      </c>
      <c r="I196" s="7" cm="1">
        <f t="array" ref="I196">INDEX(GMWQ!$A$2:$LR$60,MATCH(1,(GMWQ!$LQ$2:$LQ$60=I$3)*(GMWQ!$LP$2:$LP$60=I$4)*(GMWQ!$LR$2:$LR$60=I$1),0),$B196-1966)</f>
        <v>99.928330000000003</v>
      </c>
      <c r="J196" s="7" cm="1">
        <f t="array" ref="J196">INDEX(GMWQ!$A$2:$LR$60,MATCH(1,(GMWQ!$LQ$2:$LQ$60=J$3)*(GMWQ!$LP$2:$LP$60=J$4)*(GMWQ!$LR$2:$LR$60=J$1),0),$B196-1966)</f>
        <v>27727</v>
      </c>
      <c r="K196" s="7" cm="1">
        <f t="array" ref="K196">INDEX(GMWQ!$A$2:$LR$60,MATCH(1,(GMWQ!$LQ$2:$LQ$60=K$3)*(GMWQ!$LP$2:$LP$60=K$4)*(GMWQ!$LR$2:$LR$60=K$1),0),$B196-1966)</f>
        <v>0.1</v>
      </c>
      <c r="L196" s="7" cm="1">
        <f t="array" ref="L196">INDEX(GMWQ!$A$2:$LR$60,MATCH(1,(GMWQ!$LQ$2:$LQ$60=L$3)*(GMWQ!$LP$2:$LP$60=L$4)*(GMWQ!$LR$2:$LR$60=L$1),0),$B196-1966)</f>
        <v>4.2</v>
      </c>
      <c r="M196" s="7" cm="1">
        <f t="array" ref="M196">INDEX(GMWQ!$A$2:$LR$60,MATCH(1,(GMWQ!$LQ$2:$LQ$60=M$3)*(GMWQ!$LP$2:$LP$60=M$4)*(GMWQ!$LR$2:$LR$60=M$1),0),$B196-1966)</f>
        <v>121.1477</v>
      </c>
      <c r="N196" s="7" cm="1">
        <f t="array" ref="N196">INDEX(GMWQ!$A$2:$LR$60,MATCH(1,(GMWQ!$LQ$2:$LQ$60=N$3)*(GMWQ!$LP$2:$LP$60=N$4)*(GMWQ!$LR$2:$LR$60=N$1),0),$B196-1966)</f>
        <v>4304</v>
      </c>
      <c r="O196" s="7" cm="1">
        <f t="array" ref="O196">INDEX(GMWQ!$A$2:$LR$60,MATCH(1,(GMWQ!$LQ$2:$LQ$60=O$3)*(GMWQ!$LP$2:$LP$60=O$4)*(GMWQ!$LR$2:$LR$60=O$1),0),$B196-1966)</f>
        <v>3597</v>
      </c>
      <c r="P196" s="7" cm="1">
        <f t="array" ref="P196">INDEX(GMWQ!$A$2:$LR$60,MATCH(1,(GMWQ!$LQ$2:$LQ$60=P$3)*(GMWQ!$LP$2:$LP$60=P$4)*(GMWQ!$LR$2:$LR$60=P$1),0),$B196-1966)</f>
        <v>356204</v>
      </c>
      <c r="Q196" s="7" cm="1">
        <f t="array" ref="Q196">INDEX(GMWQ!$A$2:$LR$60,MATCH(1,(GMWQ!$LQ$2:$LQ$60=Q$3)*(GMWQ!$LP$2:$LP$60=Q$4)*(GMWQ!$LR$2:$LR$60=Q$1),0),$B196-1966)</f>
        <v>2.1833330000000002</v>
      </c>
      <c r="R196" s="7" cm="1">
        <f t="array" ref="R196">INDEX(GMWQ!$A$2:$LR$60,MATCH(1,(GMWQ!$LQ$2:$LQ$60=R$3)*(GMWQ!$LP$2:$LP$60=R$4)*(GMWQ!$LR$2:$LR$60=R$1),0),$B196-1966)</f>
        <v>65521</v>
      </c>
      <c r="S196" s="7" cm="1">
        <f t="array" ref="S196">INDEX(GMWQ!$A$2:$LR$60,MATCH(1,(GMWQ!$LQ$2:$LQ$60=S$3)*(GMWQ!$LP$2:$LP$60=S$4)*(GMWQ!$LR$2:$LR$60=S$1),0),$B196-1966)</f>
        <v>156.06</v>
      </c>
      <c r="T196" s="7" cm="1">
        <f t="array" ref="T196">INDEX(GMWQ!$A$2:$LR$60,MATCH(1,(GMWQ!$LQ$2:$LQ$60=T$3)*(GMWQ!$LP$2:$LP$60=T$4)*(GMWQ!$LR$2:$LR$60=T$1),0),$B196-1966)</f>
        <v>46197</v>
      </c>
      <c r="U196" s="7" cm="1">
        <f t="array" ref="U196">INDEX(GMWQ!$A$2:$LR$60,MATCH(1,(GMWQ!$LQ$2:$LQ$60=U$3)*(GMWQ!$LP$2:$LP$60=U$4)*(GMWQ!$LR$2:$LR$60=U$1),0),$B196-1966)</f>
        <v>2248</v>
      </c>
      <c r="V196" s="7" cm="1">
        <f t="array" ref="V196">INDEX(GMWQ!$A$2:$LR$60,MATCH(1,(GMWQ!$LQ$2:$LQ$60=V$3)*(GMWQ!$LP$2:$LP$60=V$4)*(GMWQ!$LR$2:$LR$60=V$1),0),$B196-1966)</f>
        <v>7.6567530000000005E-4</v>
      </c>
      <c r="W196" s="7" cm="1">
        <f t="array" ref="W196">INDEX(GMWQ!$A$2:$LR$60,MATCH(1,(GMWQ!$LQ$2:$LQ$60=W$3)*(GMWQ!$LP$2:$LP$60=W$4)*(GMWQ!$LR$2:$LR$60=W$1),0),$B196-1966)</f>
        <v>6.9096479999999998</v>
      </c>
      <c r="X196" s="7" cm="1">
        <f t="array" ref="X196">INDEX(GMWQ!$A$2:$LR$60,MATCH(1,(GMWQ!$LQ$2:$LQ$60=X$3)*(GMWQ!$LP$2:$LP$60=X$4)*(GMWQ!$LR$2:$LR$60=X$1),0),$B196-1966)</f>
        <v>4513392</v>
      </c>
      <c r="Y196" s="7" cm="1">
        <f t="array" ref="Y196">INDEX(GMWQ!$A$2:$LR$60,MATCH(1,(GMWQ!$LQ$2:$LQ$60=Y$3)*(GMWQ!$LP$2:$LP$60=Y$4)*(GMWQ!$LR$2:$LR$60=Y$1),0),$B196-1966)</f>
        <v>109.43810000000001</v>
      </c>
      <c r="Z196" s="7" cm="1">
        <f t="array" ref="Z196">INDEX(GMWQ!$A$2:$LR$60,MATCH(1,(GMWQ!$LQ$2:$LQ$60=Z$3)*(GMWQ!$LP$2:$LP$60=Z$4)*(GMWQ!$LR$2:$LR$60=Z$1),0),$B196-1966)</f>
        <v>488723.4</v>
      </c>
      <c r="AA196" s="7" cm="1">
        <f t="array" ref="AA196">INDEX(GMWQ!$A$2:$LR$60,MATCH(1,(GMWQ!$LQ$2:$LQ$60=AA$3)*(GMWQ!$LP$2:$LP$60=AA$4)*(GMWQ!$LR$2:$LR$60=AA$1),0),$B196-1966)</f>
        <v>169197</v>
      </c>
      <c r="AB196" s="7" cm="1">
        <f t="array" ref="AB196">INDEX(GMWQ!$A$2:$LR$60,MATCH(1,(GMWQ!$LQ$2:$LQ$60=AB$3)*(GMWQ!$LP$2:$LP$60=AB$4)*(GMWQ!$LR$2:$LR$60=AB$1),0),$B196-1966)</f>
        <v>266834</v>
      </c>
      <c r="AC196" s="7" cm="1">
        <f t="array" ref="AC196">INDEX(GMWQ!$A$2:$LR$60,MATCH(1,(GMWQ!$LQ$2:$LQ$60=AC$3)*(GMWQ!$LP$2:$LP$60=AC$4)*(GMWQ!$LR$2:$LR$60=AC$1),0),$B196-1966)</f>
        <v>21714</v>
      </c>
      <c r="AD196" s="7" cm="1">
        <f t="array" ref="AD196">INDEX(GMWQ!$A$2:$LR$60,MATCH(1,(GMWQ!$LQ$2:$LQ$60=AD$3)*(GMWQ!$LP$2:$LP$60=AD$4)*(GMWQ!$LR$2:$LR$60=AD$1),0),$B196-1966)</f>
        <v>13278</v>
      </c>
      <c r="AE196" s="7" cm="1">
        <f t="array" ref="AE196">INDEX(GMWQ!$A$2:$LR$60,MATCH(1,(GMWQ!$LQ$2:$LQ$60=AE$3)*(GMWQ!$LP$2:$LP$60=AE$4)*(GMWQ!$LR$2:$LR$60=AE$1),0),$B196-1966)</f>
        <v>475747</v>
      </c>
      <c r="AF196" s="20" cm="1">
        <f t="array" ref="AF196">INDEX(GMWQ!$A$2:$LR$60,MATCH(1,(GMWQ!$LQ$2:$LQ$60=AF$3)*(GMWQ!$LP$2:$LP$60=AF$4)*(GMWQ!$LR$2:$LR$60=AF$1),0),$B196-1966)</f>
        <v>0.1</v>
      </c>
      <c r="AG196" s="20" cm="1">
        <f t="array" ref="AG196">INDEX(GMWQ!$A$2:$LR$60,MATCH(1,(GMWQ!$LQ$2:$LQ$60=AG$3)*(GMWQ!$LP$2:$LP$60=AG$4)*(GMWQ!$LR$2:$LR$60=AG$1),0),$B196-1966)</f>
        <v>-707</v>
      </c>
      <c r="AI196" s="23" cm="1">
        <f t="array" ref="AI196">INDEX(GMWQ!$A$2:$LR$60,MATCH(1,(GMWQ!$LQ$2:$LQ$60=AI$3)*(GMWQ!$LP$2:$LP$60=AI$4)*(GMWQ!$LR$2:$LR$60=AI$1),0),$B196-1966)</f>
        <v>356204</v>
      </c>
      <c r="AJ196" s="23" cm="1">
        <f t="array" ref="AJ196">INDEX(GMWQ!$A$2:$LR$60,MATCH(1,(GMWQ!$LQ$2:$LQ$60=AJ$3)*(GMWQ!$LP$2:$LP$60=AJ$4)*(GMWQ!$LR$2:$LR$60=AJ$1),0),$B196-1966)</f>
        <v>99.928330000000003</v>
      </c>
      <c r="AK196" s="23" cm="1">
        <f t="array" ref="AK196">INDEX(GMWQ!$A$2:$LR$60,MATCH(1,(GMWQ!$LQ$2:$LQ$60=AK$3)*(GMWQ!$LP$2:$LP$60=AK$4)*(GMWQ!$LR$2:$LR$60=AK$1),0),$B196-1966)</f>
        <v>217590</v>
      </c>
      <c r="AL196" s="23" cm="1">
        <f t="array" ref="AL196">INDEX(GMWQ!$A$2:$LR$60,MATCH(1,(GMWQ!$LQ$2:$LQ$60=AL$3)*(GMWQ!$LP$2:$LP$60=AL$4)*(GMWQ!$LR$2:$LR$60=AL$1),0),$B196-1966)</f>
        <v>7847.585</v>
      </c>
      <c r="AM196" s="23" cm="1">
        <f t="array" ref="AM196">INDEX(GMWQ!$A$2:$LR$60,MATCH(1,(GMWQ!$LQ$2:$LQ$60=AM$3)*(GMWQ!$LP$2:$LP$60=AM$4)*(GMWQ!$LR$2:$LR$60=AM$1),0),$B196-1966)</f>
        <v>27727</v>
      </c>
      <c r="AN196" s="23" cm="1">
        <f t="array" ref="AN196">INDEX(GMWQ!$A$2:$LR$60,MATCH(1,(GMWQ!$LQ$2:$LQ$60=AN$3)*(GMWQ!$LP$2:$LP$60=AN$4)*(GMWQ!$LR$2:$LR$60=AN$1),0),$B196-1966)</f>
        <v>47172</v>
      </c>
      <c r="AO196" s="23" cm="1">
        <f t="array" ref="AO196">INDEX(GMWQ!$A$2:$LR$60,MATCH(1,(GMWQ!$LQ$2:$LQ$60=AO$3)*(GMWQ!$LP$2:$LP$60=AO$4)*(GMWQ!$LR$2:$LR$60=AO$1),0),$B196-1966)</f>
        <v>16929</v>
      </c>
      <c r="AP196" s="23" cm="1">
        <f t="array" ref="AP196">INDEX(GMWQ!$A$2:$LR$60,MATCH(1,(GMWQ!$LQ$2:$LQ$60=AP$3)*(GMWQ!$LP$2:$LP$60=AP$4)*(GMWQ!$LR$2:$LR$60=AP$1),0),$B196-1966)</f>
        <v>-707</v>
      </c>
      <c r="AQ196" s="23" cm="1">
        <f t="array" ref="AQ196">INDEX(GMWQ!$A$2:$LR$60,MATCH(1,(GMWQ!$LQ$2:$LQ$60=AQ$3)*(GMWQ!$LP$2:$LP$60=AQ$4)*(GMWQ!$LR$2:$LR$60=AQ$1),0),$B196-1966)</f>
        <v>67500</v>
      </c>
      <c r="AR196" s="23" cm="1">
        <f t="array" ref="AR196">INDEX(GMWQ!$A$2:$LR$60,MATCH(1,(GMWQ!$LQ$2:$LQ$60=AR$3)*(GMWQ!$LP$2:$LP$60=AR$4)*(GMWQ!$LR$2:$LR$60=AR$1),0),$B196-1966)</f>
        <v>256560</v>
      </c>
      <c r="AS196" s="23" cm="1">
        <f t="array" ref="AS196">INDEX(GMWQ!$A$2:$LR$60,MATCH(1,(GMWQ!$LQ$2:$LQ$60=AS$3)*(GMWQ!$LP$2:$LP$60=AS$4)*(GMWQ!$LR$2:$LR$60=AS$1),0),$B196-1966)</f>
        <v>10293</v>
      </c>
      <c r="AT196" s="23" cm="1">
        <f t="array" ref="AT196">INDEX(GMWQ!$A$2:$LR$60,MATCH(1,(GMWQ!$LQ$2:$LQ$60=AT$3)*(GMWQ!$LP$2:$LP$60=AT$4)*(GMWQ!$LR$2:$LR$60=AT$1),0),$B196-1966)</f>
        <v>256744</v>
      </c>
      <c r="AU196" s="23" cm="1">
        <f t="array" ref="AU196">INDEX(GMWQ!$A$2:$LR$60,MATCH(1,(GMWQ!$LQ$2:$LQ$60=AU$3)*(GMWQ!$LP$2:$LP$60=AU$4)*(GMWQ!$LR$2:$LR$60=AU$1),0),$B196-1966)</f>
        <v>7903</v>
      </c>
    </row>
    <row r="197" spans="1:47" x14ac:dyDescent="0.35">
      <c r="B197" s="7">
        <f t="shared" si="4"/>
        <v>2163</v>
      </c>
      <c r="C197" s="7" cm="1">
        <f t="array" ref="C197">INDEX(GMWQ!$A$2:$LR$60,MATCH(1,(GMWQ!$LQ$2:$LQ$60=C$3)*(GMWQ!$LP$2:$LP$60=C$4)*(GMWQ!$LR$2:$LR$60=C$1),0),$B197-1966)</f>
        <v>507643</v>
      </c>
      <c r="D197" s="7" cm="1">
        <f t="array" ref="D197">INDEX(GMWQ!$A$2:$LR$60,MATCH(1,(GMWQ!$LQ$2:$LQ$60=D$3)*(GMWQ!$LP$2:$LP$60=D$4)*(GMWQ!$LR$2:$LR$60=D$1),0),$B197-1966)</f>
        <v>550.33330000000001</v>
      </c>
      <c r="E197" s="7" cm="1">
        <f t="array" ref="E197">INDEX(GMWQ!$A$2:$LR$60,MATCH(1,(GMWQ!$LQ$2:$LQ$60=E$3)*(GMWQ!$LP$2:$LP$60=E$4)*(GMWQ!$LR$2:$LR$60=E$1),0),$B197-1966)</f>
        <v>108.9333</v>
      </c>
      <c r="F197" s="7" cm="1">
        <f t="array" ref="F197">INDEX(GMWQ!$A$2:$LR$60,MATCH(1,(GMWQ!$LQ$2:$LQ$60=F$3)*(GMWQ!$LP$2:$LP$60=F$4)*(GMWQ!$LR$2:$LR$60=F$1),0),$B197-1966)</f>
        <v>222584</v>
      </c>
      <c r="G197" s="7" cm="1">
        <f t="array" ref="G197">INDEX(GMWQ!$A$2:$LR$60,MATCH(1,(GMWQ!$LQ$2:$LQ$60=G$3)*(GMWQ!$LP$2:$LP$60=G$4)*(GMWQ!$LR$2:$LR$60=G$1),0),$B197-1966)</f>
        <v>47131</v>
      </c>
      <c r="H197" s="7" cm="1">
        <f t="array" ref="H197">INDEX(GMWQ!$A$2:$LR$60,MATCH(1,(GMWQ!$LQ$2:$LQ$60=H$3)*(GMWQ!$LP$2:$LP$60=H$4)*(GMWQ!$LR$2:$LR$60=H$1),0),$B197-1966)</f>
        <v>17627</v>
      </c>
      <c r="I197" s="7" cm="1">
        <f t="array" ref="I197">INDEX(GMWQ!$A$2:$LR$60,MATCH(1,(GMWQ!$LQ$2:$LQ$60=I$3)*(GMWQ!$LP$2:$LP$60=I$4)*(GMWQ!$LR$2:$LR$60=I$1),0),$B197-1966)</f>
        <v>100.37860000000001</v>
      </c>
      <c r="J197" s="7" cm="1">
        <f t="array" ref="J197">INDEX(GMWQ!$A$2:$LR$60,MATCH(1,(GMWQ!$LQ$2:$LQ$60=J$3)*(GMWQ!$LP$2:$LP$60=J$4)*(GMWQ!$LR$2:$LR$60=J$1),0),$B197-1966)</f>
        <v>27733</v>
      </c>
      <c r="K197" s="7" cm="1">
        <f t="array" ref="K197">INDEX(GMWQ!$A$2:$LR$60,MATCH(1,(GMWQ!$LQ$2:$LQ$60=K$3)*(GMWQ!$LP$2:$LP$60=K$4)*(GMWQ!$LR$2:$LR$60=K$1),0),$B197-1966)</f>
        <v>0.1</v>
      </c>
      <c r="L197" s="7" cm="1">
        <f t="array" ref="L197">INDEX(GMWQ!$A$2:$LR$60,MATCH(1,(GMWQ!$LQ$2:$LQ$60=L$3)*(GMWQ!$LP$2:$LP$60=L$4)*(GMWQ!$LR$2:$LR$60=L$1),0),$B197-1966)</f>
        <v>4.9000000000000004</v>
      </c>
      <c r="M197" s="7" cm="1">
        <f t="array" ref="M197">INDEX(GMWQ!$A$2:$LR$60,MATCH(1,(GMWQ!$LQ$2:$LQ$60=M$3)*(GMWQ!$LP$2:$LP$60=M$4)*(GMWQ!$LR$2:$LR$60=M$1),0),$B197-1966)</f>
        <v>123.2433</v>
      </c>
      <c r="N197" s="7" cm="1">
        <f t="array" ref="N197">INDEX(GMWQ!$A$2:$LR$60,MATCH(1,(GMWQ!$LQ$2:$LQ$60=N$3)*(GMWQ!$LP$2:$LP$60=N$4)*(GMWQ!$LR$2:$LR$60=N$1),0),$B197-1966)</f>
        <v>4478</v>
      </c>
      <c r="O197" s="7" cm="1">
        <f t="array" ref="O197">INDEX(GMWQ!$A$2:$LR$60,MATCH(1,(GMWQ!$LQ$2:$LQ$60=O$3)*(GMWQ!$LP$2:$LP$60=O$4)*(GMWQ!$LR$2:$LR$60=O$1),0),$B197-1966)</f>
        <v>4028</v>
      </c>
      <c r="P197" s="7" cm="1">
        <f t="array" ref="P197">INDEX(GMWQ!$A$2:$LR$60,MATCH(1,(GMWQ!$LQ$2:$LQ$60=P$3)*(GMWQ!$LP$2:$LP$60=P$4)*(GMWQ!$LR$2:$LR$60=P$1),0),$B197-1966)</f>
        <v>367296</v>
      </c>
      <c r="Q197" s="7" cm="1">
        <f t="array" ref="Q197">INDEX(GMWQ!$A$2:$LR$60,MATCH(1,(GMWQ!$LQ$2:$LQ$60=Q$3)*(GMWQ!$LP$2:$LP$60=Q$4)*(GMWQ!$LR$2:$LR$60=Q$1),0),$B197-1966)</f>
        <v>2.1433330000000002</v>
      </c>
      <c r="R197" s="7" cm="1">
        <f t="array" ref="R197">INDEX(GMWQ!$A$2:$LR$60,MATCH(1,(GMWQ!$LQ$2:$LQ$60=R$3)*(GMWQ!$LP$2:$LP$60=R$4)*(GMWQ!$LR$2:$LR$60=R$1),0),$B197-1966)</f>
        <v>245183</v>
      </c>
      <c r="S197" s="7" cm="1">
        <f t="array" ref="S197">INDEX(GMWQ!$A$2:$LR$60,MATCH(1,(GMWQ!$LQ$2:$LQ$60=S$3)*(GMWQ!$LP$2:$LP$60=S$4)*(GMWQ!$LR$2:$LR$60=S$1),0),$B197-1966)</f>
        <v>248.8</v>
      </c>
      <c r="T197" s="7" cm="1">
        <f t="array" ref="T197">INDEX(GMWQ!$A$2:$LR$60,MATCH(1,(GMWQ!$LQ$2:$LQ$60=T$3)*(GMWQ!$LP$2:$LP$60=T$4)*(GMWQ!$LR$2:$LR$60=T$1),0),$B197-1966)</f>
        <v>57194</v>
      </c>
      <c r="U197" s="7" cm="1">
        <f t="array" ref="U197">INDEX(GMWQ!$A$2:$LR$60,MATCH(1,(GMWQ!$LQ$2:$LQ$60=U$3)*(GMWQ!$LP$2:$LP$60=U$4)*(GMWQ!$LR$2:$LR$60=U$1),0),$B197-1966)</f>
        <v>11375</v>
      </c>
      <c r="V197" s="7" cm="1">
        <f t="array" ref="V197">INDEX(GMWQ!$A$2:$LR$60,MATCH(1,(GMWQ!$LQ$2:$LQ$60=V$3)*(GMWQ!$LP$2:$LP$60=V$4)*(GMWQ!$LR$2:$LR$60=V$1),0),$B197-1966)</f>
        <v>6.9565100000000004E-4</v>
      </c>
      <c r="W197" s="7" cm="1">
        <f t="array" ref="W197">INDEX(GMWQ!$A$2:$LR$60,MATCH(1,(GMWQ!$LQ$2:$LQ$60=W$3)*(GMWQ!$LP$2:$LP$60=W$4)*(GMWQ!$LR$2:$LR$60=W$1),0),$B197-1966)</f>
        <v>6.1197739999999996</v>
      </c>
      <c r="X197" s="7" cm="1">
        <f t="array" ref="X197">INDEX(GMWQ!$A$2:$LR$60,MATCH(1,(GMWQ!$LQ$2:$LQ$60=X$3)*(GMWQ!$LP$2:$LP$60=X$4)*(GMWQ!$LR$2:$LR$60=X$1),0),$B197-1966)</f>
        <v>4633649</v>
      </c>
      <c r="Y197" s="7" cm="1">
        <f t="array" ref="Y197">INDEX(GMWQ!$A$2:$LR$60,MATCH(1,(GMWQ!$LQ$2:$LQ$60=Y$3)*(GMWQ!$LP$2:$LP$60=Y$4)*(GMWQ!$LR$2:$LR$60=Y$1),0),$B197-1966)</f>
        <v>105.1266</v>
      </c>
      <c r="Z197" s="7" cm="1">
        <f t="array" ref="Z197">INDEX(GMWQ!$A$2:$LR$60,MATCH(1,(GMWQ!$LQ$2:$LQ$60=Z$3)*(GMWQ!$LP$2:$LP$60=Z$4)*(GMWQ!$LR$2:$LR$60=Z$1),0),$B197-1966)</f>
        <v>514774.8</v>
      </c>
      <c r="AA197" s="7" cm="1">
        <f t="array" ref="AA197">INDEX(GMWQ!$A$2:$LR$60,MATCH(1,(GMWQ!$LQ$2:$LQ$60=AA$3)*(GMWQ!$LP$2:$LP$60=AA$4)*(GMWQ!$LR$2:$LR$60=AA$1),0),$B197-1966)</f>
        <v>191126</v>
      </c>
      <c r="AB197" s="7" cm="1">
        <f t="array" ref="AB197">INDEX(GMWQ!$A$2:$LR$60,MATCH(1,(GMWQ!$LQ$2:$LQ$60=AB$3)*(GMWQ!$LP$2:$LP$60=AB$4)*(GMWQ!$LR$2:$LR$60=AB$1),0),$B197-1966)</f>
        <v>235675</v>
      </c>
      <c r="AC197" s="7" cm="1">
        <f t="array" ref="AC197">INDEX(GMWQ!$A$2:$LR$60,MATCH(1,(GMWQ!$LQ$2:$LQ$60=AC$3)*(GMWQ!$LP$2:$LP$60=AC$4)*(GMWQ!$LR$2:$LR$60=AC$1),0),$B197-1966)</f>
        <v>16286</v>
      </c>
      <c r="AD197" s="7" cm="1">
        <f t="array" ref="AD197">INDEX(GMWQ!$A$2:$LR$60,MATCH(1,(GMWQ!$LQ$2:$LQ$60=AD$3)*(GMWQ!$LP$2:$LP$60=AD$4)*(GMWQ!$LR$2:$LR$60=AD$1),0),$B197-1966)</f>
        <v>13359</v>
      </c>
      <c r="AE197" s="7" cm="1">
        <f t="array" ref="AE197">INDEX(GMWQ!$A$2:$LR$60,MATCH(1,(GMWQ!$LQ$2:$LQ$60=AE$3)*(GMWQ!$LP$2:$LP$60=AE$4)*(GMWQ!$LR$2:$LR$60=AE$1),0),$B197-1966)</f>
        <v>533668</v>
      </c>
      <c r="AF197" s="20" cm="1">
        <f t="array" ref="AF197">INDEX(GMWQ!$A$2:$LR$60,MATCH(1,(GMWQ!$LQ$2:$LQ$60=AF$3)*(GMWQ!$LP$2:$LP$60=AF$4)*(GMWQ!$LR$2:$LR$60=AF$1),0),$B197-1966)</f>
        <v>0.1</v>
      </c>
      <c r="AG197" s="20" cm="1">
        <f t="array" ref="AG197">INDEX(GMWQ!$A$2:$LR$60,MATCH(1,(GMWQ!$LQ$2:$LQ$60=AG$3)*(GMWQ!$LP$2:$LP$60=AG$4)*(GMWQ!$LR$2:$LR$60=AG$1),0),$B197-1966)</f>
        <v>-450</v>
      </c>
      <c r="AI197" s="23" cm="1">
        <f t="array" ref="AI197">INDEX(GMWQ!$A$2:$LR$60,MATCH(1,(GMWQ!$LQ$2:$LQ$60=AI$3)*(GMWQ!$LP$2:$LP$60=AI$4)*(GMWQ!$LR$2:$LR$60=AI$1),0),$B197-1966)</f>
        <v>367296</v>
      </c>
      <c r="AJ197" s="23" cm="1">
        <f t="array" ref="AJ197">INDEX(GMWQ!$A$2:$LR$60,MATCH(1,(GMWQ!$LQ$2:$LQ$60=AJ$3)*(GMWQ!$LP$2:$LP$60=AJ$4)*(GMWQ!$LR$2:$LR$60=AJ$1),0),$B197-1966)</f>
        <v>100.37860000000001</v>
      </c>
      <c r="AK197" s="23" cm="1">
        <f t="array" ref="AK197">INDEX(GMWQ!$A$2:$LR$60,MATCH(1,(GMWQ!$LQ$2:$LQ$60=AK$3)*(GMWQ!$LP$2:$LP$60=AK$4)*(GMWQ!$LR$2:$LR$60=AK$1),0),$B197-1966)</f>
        <v>222584</v>
      </c>
      <c r="AL197" s="23" cm="1">
        <f t="array" ref="AL197">INDEX(GMWQ!$A$2:$LR$60,MATCH(1,(GMWQ!$LQ$2:$LQ$60=AL$3)*(GMWQ!$LP$2:$LP$60=AL$4)*(GMWQ!$LR$2:$LR$60=AL$1),0),$B197-1966)</f>
        <v>8025.9620000000004</v>
      </c>
      <c r="AM197" s="23" cm="1">
        <f t="array" ref="AM197">INDEX(GMWQ!$A$2:$LR$60,MATCH(1,(GMWQ!$LQ$2:$LQ$60=AM$3)*(GMWQ!$LP$2:$LP$60=AM$4)*(GMWQ!$LR$2:$LR$60=AM$1),0),$B197-1966)</f>
        <v>27733</v>
      </c>
      <c r="AN197" s="23" cm="1">
        <f t="array" ref="AN197">INDEX(GMWQ!$A$2:$LR$60,MATCH(1,(GMWQ!$LQ$2:$LQ$60=AN$3)*(GMWQ!$LP$2:$LP$60=AN$4)*(GMWQ!$LR$2:$LR$60=AN$1),0),$B197-1966)</f>
        <v>47131</v>
      </c>
      <c r="AO197" s="23" cm="1">
        <f t="array" ref="AO197">INDEX(GMWQ!$A$2:$LR$60,MATCH(1,(GMWQ!$LQ$2:$LQ$60=AO$3)*(GMWQ!$LP$2:$LP$60=AO$4)*(GMWQ!$LR$2:$LR$60=AO$1),0),$B197-1966)</f>
        <v>17627</v>
      </c>
      <c r="AP197" s="23" cm="1">
        <f t="array" ref="AP197">INDEX(GMWQ!$A$2:$LR$60,MATCH(1,(GMWQ!$LQ$2:$LQ$60=AP$3)*(GMWQ!$LP$2:$LP$60=AP$4)*(GMWQ!$LR$2:$LR$60=AP$1),0),$B197-1966)</f>
        <v>-450</v>
      </c>
      <c r="AQ197" s="23" cm="1">
        <f t="array" ref="AQ197">INDEX(GMWQ!$A$2:$LR$60,MATCH(1,(GMWQ!$LQ$2:$LQ$60=AQ$3)*(GMWQ!$LP$2:$LP$60=AQ$4)*(GMWQ!$LR$2:$LR$60=AQ$1),0),$B197-1966)</f>
        <v>68710</v>
      </c>
      <c r="AR197" s="23" cm="1">
        <f t="array" ref="AR197">INDEX(GMWQ!$A$2:$LR$60,MATCH(1,(GMWQ!$LQ$2:$LQ$60=AR$3)*(GMWQ!$LP$2:$LP$60=AR$4)*(GMWQ!$LR$2:$LR$60=AR$1),0),$B197-1966)</f>
        <v>308355</v>
      </c>
      <c r="AS197" s="23" cm="1">
        <f t="array" ref="AS197">INDEX(GMWQ!$A$2:$LR$60,MATCH(1,(GMWQ!$LQ$2:$LQ$60=AS$3)*(GMWQ!$LP$2:$LP$60=AS$4)*(GMWQ!$LR$2:$LR$60=AS$1),0),$B197-1966)</f>
        <v>10781</v>
      </c>
      <c r="AT197" s="23" cm="1">
        <f t="array" ref="AT197">INDEX(GMWQ!$A$2:$LR$60,MATCH(1,(GMWQ!$LQ$2:$LQ$60=AT$3)*(GMWQ!$LP$2:$LP$60=AT$4)*(GMWQ!$LR$2:$LR$60=AT$1),0),$B197-1966)</f>
        <v>307192</v>
      </c>
      <c r="AU197" s="23" cm="1">
        <f t="array" ref="AU197">INDEX(GMWQ!$A$2:$LR$60,MATCH(1,(GMWQ!$LQ$2:$LQ$60=AU$3)*(GMWQ!$LP$2:$LP$60=AU$4)*(GMWQ!$LR$2:$LR$60=AU$1),0),$B197-1966)</f>
        <v>9653</v>
      </c>
    </row>
    <row r="198" spans="1:47" x14ac:dyDescent="0.35">
      <c r="B198" s="7">
        <f t="shared" si="4"/>
        <v>2164</v>
      </c>
      <c r="C198" s="7" cm="1">
        <f t="array" ref="C198">INDEX(GMWQ!$A$2:$LR$60,MATCH(1,(GMWQ!$LQ$2:$LQ$60=C$3)*(GMWQ!$LP$2:$LP$60=C$4)*(GMWQ!$LR$2:$LR$60=C$1),0),$B198-1966)</f>
        <v>514531</v>
      </c>
      <c r="D198" s="7" cm="1">
        <f t="array" ref="D198">INDEX(GMWQ!$A$2:$LR$60,MATCH(1,(GMWQ!$LQ$2:$LQ$60=D$3)*(GMWQ!$LP$2:$LP$60=D$4)*(GMWQ!$LR$2:$LR$60=D$1),0),$B198-1966)</f>
        <v>567</v>
      </c>
      <c r="E198" s="7" cm="1">
        <f t="array" ref="E198">INDEX(GMWQ!$A$2:$LR$60,MATCH(1,(GMWQ!$LQ$2:$LQ$60=E$3)*(GMWQ!$LP$2:$LP$60=E$4)*(GMWQ!$LR$2:$LR$60=E$1),0),$B198-1966)</f>
        <v>109.0667</v>
      </c>
      <c r="F198" s="7" cm="1">
        <f t="array" ref="F198">INDEX(GMWQ!$A$2:$LR$60,MATCH(1,(GMWQ!$LQ$2:$LQ$60=F$3)*(GMWQ!$LP$2:$LP$60=F$4)*(GMWQ!$LR$2:$LR$60=F$1),0),$B198-1966)</f>
        <v>228940</v>
      </c>
      <c r="G198" s="7" cm="1">
        <f t="array" ref="G198">INDEX(GMWQ!$A$2:$LR$60,MATCH(1,(GMWQ!$LQ$2:$LQ$60=G$3)*(GMWQ!$LP$2:$LP$60=G$4)*(GMWQ!$LR$2:$LR$60=G$1),0),$B198-1966)</f>
        <v>54236</v>
      </c>
      <c r="H198" s="7" cm="1">
        <f t="array" ref="H198">INDEX(GMWQ!$A$2:$LR$60,MATCH(1,(GMWQ!$LQ$2:$LQ$60=H$3)*(GMWQ!$LP$2:$LP$60=H$4)*(GMWQ!$LR$2:$LR$60=H$1),0),$B198-1966)</f>
        <v>18135</v>
      </c>
      <c r="I198" s="7" cm="1">
        <f t="array" ref="I198">INDEX(GMWQ!$A$2:$LR$60,MATCH(1,(GMWQ!$LQ$2:$LQ$60=I$3)*(GMWQ!$LP$2:$LP$60=I$4)*(GMWQ!$LR$2:$LR$60=I$1),0),$B198-1966)</f>
        <v>100.4406</v>
      </c>
      <c r="J198" s="7" cm="1">
        <f t="array" ref="J198">INDEX(GMWQ!$A$2:$LR$60,MATCH(1,(GMWQ!$LQ$2:$LQ$60=J$3)*(GMWQ!$LP$2:$LP$60=J$4)*(GMWQ!$LR$2:$LR$60=J$1),0),$B198-1966)</f>
        <v>27711</v>
      </c>
      <c r="K198" s="7" cm="1">
        <f t="array" ref="K198">INDEX(GMWQ!$A$2:$LR$60,MATCH(1,(GMWQ!$LQ$2:$LQ$60=K$3)*(GMWQ!$LP$2:$LP$60=K$4)*(GMWQ!$LR$2:$LR$60=K$1),0),$B198-1966)</f>
        <v>0.1</v>
      </c>
      <c r="L198" s="7" cm="1">
        <f t="array" ref="L198">INDEX(GMWQ!$A$2:$LR$60,MATCH(1,(GMWQ!$LQ$2:$LQ$60=L$3)*(GMWQ!$LP$2:$LP$60=L$4)*(GMWQ!$LR$2:$LR$60=L$1),0),$B198-1966)</f>
        <v>5.3</v>
      </c>
      <c r="M198" s="7" cm="1">
        <f t="array" ref="M198">INDEX(GMWQ!$A$2:$LR$60,MATCH(1,(GMWQ!$LQ$2:$LQ$60=M$3)*(GMWQ!$LP$2:$LP$60=M$4)*(GMWQ!$LR$2:$LR$60=M$1),0),$B198-1966)</f>
        <v>127.54730000000001</v>
      </c>
      <c r="N198" s="7" cm="1">
        <f t="array" ref="N198">INDEX(GMWQ!$A$2:$LR$60,MATCH(1,(GMWQ!$LQ$2:$LQ$60=N$3)*(GMWQ!$LP$2:$LP$60=N$4)*(GMWQ!$LR$2:$LR$60=N$1),0),$B198-1966)</f>
        <v>4797</v>
      </c>
      <c r="O198" s="7" cm="1">
        <f t="array" ref="O198">INDEX(GMWQ!$A$2:$LR$60,MATCH(1,(GMWQ!$LQ$2:$LQ$60=O$3)*(GMWQ!$LP$2:$LP$60=O$4)*(GMWQ!$LR$2:$LR$60=O$1),0),$B198-1966)</f>
        <v>3995</v>
      </c>
      <c r="P198" s="7" cm="1">
        <f t="array" ref="P198">INDEX(GMWQ!$A$2:$LR$60,MATCH(1,(GMWQ!$LQ$2:$LQ$60=P$3)*(GMWQ!$LP$2:$LP$60=P$4)*(GMWQ!$LR$2:$LR$60=P$1),0),$B198-1966)</f>
        <v>368253</v>
      </c>
      <c r="Q198" s="7" cm="1">
        <f t="array" ref="Q198">INDEX(GMWQ!$A$2:$LR$60,MATCH(1,(GMWQ!$LQ$2:$LQ$60=Q$3)*(GMWQ!$LP$2:$LP$60=Q$4)*(GMWQ!$LR$2:$LR$60=Q$1),0),$B198-1966)</f>
        <v>2.12</v>
      </c>
      <c r="R198" s="7" cm="1">
        <f t="array" ref="R198">INDEX(GMWQ!$A$2:$LR$60,MATCH(1,(GMWQ!$LQ$2:$LQ$60=R$3)*(GMWQ!$LP$2:$LP$60=R$4)*(GMWQ!$LR$2:$LR$60=R$1),0),$B198-1966)</f>
        <v>309609</v>
      </c>
      <c r="S198" s="7" cm="1">
        <f t="array" ref="S198">INDEX(GMWQ!$A$2:$LR$60,MATCH(1,(GMWQ!$LQ$2:$LQ$60=S$3)*(GMWQ!$LP$2:$LP$60=S$4)*(GMWQ!$LR$2:$LR$60=S$1),0),$B198-1966)</f>
        <v>346.75</v>
      </c>
      <c r="T198" s="7" cm="1">
        <f t="array" ref="T198">INDEX(GMWQ!$A$2:$LR$60,MATCH(1,(GMWQ!$LQ$2:$LQ$60=T$3)*(GMWQ!$LP$2:$LP$60=T$4)*(GMWQ!$LR$2:$LR$60=T$1),0),$B198-1966)</f>
        <v>70663</v>
      </c>
      <c r="U198" s="7" cm="1">
        <f t="array" ref="U198">INDEX(GMWQ!$A$2:$LR$60,MATCH(1,(GMWQ!$LQ$2:$LQ$60=U$3)*(GMWQ!$LP$2:$LP$60=U$4)*(GMWQ!$LR$2:$LR$60=U$1),0),$B198-1966)</f>
        <v>18691</v>
      </c>
      <c r="V198" s="7" cm="1">
        <f t="array" ref="V198">INDEX(GMWQ!$A$2:$LR$60,MATCH(1,(GMWQ!$LQ$2:$LQ$60=V$3)*(GMWQ!$LP$2:$LP$60=V$4)*(GMWQ!$LR$2:$LR$60=V$1),0),$B198-1966)</f>
        <v>7.4597620000000004E-4</v>
      </c>
      <c r="W198" s="7" cm="1">
        <f t="array" ref="W198">INDEX(GMWQ!$A$2:$LR$60,MATCH(1,(GMWQ!$LQ$2:$LQ$60=W$3)*(GMWQ!$LP$2:$LP$60=W$4)*(GMWQ!$LR$2:$LR$60=W$1),0),$B198-1966)</f>
        <v>6.4458029999999997</v>
      </c>
      <c r="X198" s="7" cm="1">
        <f t="array" ref="X198">INDEX(GMWQ!$A$2:$LR$60,MATCH(1,(GMWQ!$LQ$2:$LQ$60=X$3)*(GMWQ!$LP$2:$LP$60=X$4)*(GMWQ!$LR$2:$LR$60=X$1),0),$B198-1966)</f>
        <v>4674672</v>
      </c>
      <c r="Y198" s="7" cm="1">
        <f t="array" ref="Y198">INDEX(GMWQ!$A$2:$LR$60,MATCH(1,(GMWQ!$LQ$2:$LQ$60=Y$3)*(GMWQ!$LP$2:$LP$60=Y$4)*(GMWQ!$LR$2:$LR$60=Y$1),0),$B198-1966)</f>
        <v>104.6961</v>
      </c>
      <c r="Z198" s="7" cm="1">
        <f t="array" ref="Z198">INDEX(GMWQ!$A$2:$LR$60,MATCH(1,(GMWQ!$LQ$2:$LQ$60=Z$3)*(GMWQ!$LP$2:$LP$60=Z$4)*(GMWQ!$LR$2:$LR$60=Z$1),0),$B198-1966)</f>
        <v>535065.80000000005</v>
      </c>
      <c r="AA198" s="7" cm="1">
        <f t="array" ref="AA198">INDEX(GMWQ!$A$2:$LR$60,MATCH(1,(GMWQ!$LQ$2:$LQ$60=AA$3)*(GMWQ!$LP$2:$LP$60=AA$4)*(GMWQ!$LR$2:$LR$60=AA$1),0),$B198-1966)</f>
        <v>199164</v>
      </c>
      <c r="AB198" s="7" cm="1">
        <f t="array" ref="AB198">INDEX(GMWQ!$A$2:$LR$60,MATCH(1,(GMWQ!$LQ$2:$LQ$60=AB$3)*(GMWQ!$LP$2:$LP$60=AB$4)*(GMWQ!$LR$2:$LR$60=AB$1),0),$B198-1966)</f>
        <v>236417</v>
      </c>
      <c r="AC198" s="7" cm="1">
        <f t="array" ref="AC198">INDEX(GMWQ!$A$2:$LR$60,MATCH(1,(GMWQ!$LQ$2:$LQ$60=AC$3)*(GMWQ!$LP$2:$LP$60=AC$4)*(GMWQ!$LR$2:$LR$60=AC$1),0),$B198-1966)</f>
        <v>12946</v>
      </c>
      <c r="AD198" s="7" cm="1">
        <f t="array" ref="AD198">INDEX(GMWQ!$A$2:$LR$60,MATCH(1,(GMWQ!$LQ$2:$LQ$60=AD$3)*(GMWQ!$LP$2:$LP$60=AD$4)*(GMWQ!$LR$2:$LR$60=AD$1),0),$B198-1966)</f>
        <v>13425</v>
      </c>
      <c r="AE198" s="7" cm="1">
        <f t="array" ref="AE198">INDEX(GMWQ!$A$2:$LR$60,MATCH(1,(GMWQ!$LQ$2:$LQ$60=AE$3)*(GMWQ!$LP$2:$LP$60=AE$4)*(GMWQ!$LR$2:$LR$60=AE$1),0),$B198-1966)</f>
        <v>538694</v>
      </c>
      <c r="AF198" s="20" cm="1">
        <f t="array" ref="AF198">INDEX(GMWQ!$A$2:$LR$60,MATCH(1,(GMWQ!$LQ$2:$LQ$60=AF$3)*(GMWQ!$LP$2:$LP$60=AF$4)*(GMWQ!$LR$2:$LR$60=AF$1),0),$B198-1966)</f>
        <v>0.1</v>
      </c>
      <c r="AG198" s="20" cm="1">
        <f t="array" ref="AG198">INDEX(GMWQ!$A$2:$LR$60,MATCH(1,(GMWQ!$LQ$2:$LQ$60=AG$3)*(GMWQ!$LP$2:$LP$60=AG$4)*(GMWQ!$LR$2:$LR$60=AG$1),0),$B198-1966)</f>
        <v>-802</v>
      </c>
      <c r="AI198" s="23" cm="1">
        <f t="array" ref="AI198">INDEX(GMWQ!$A$2:$LR$60,MATCH(1,(GMWQ!$LQ$2:$LQ$60=AI$3)*(GMWQ!$LP$2:$LP$60=AI$4)*(GMWQ!$LR$2:$LR$60=AI$1),0),$B198-1966)</f>
        <v>368253</v>
      </c>
      <c r="AJ198" s="23" cm="1">
        <f t="array" ref="AJ198">INDEX(GMWQ!$A$2:$LR$60,MATCH(1,(GMWQ!$LQ$2:$LQ$60=AJ$3)*(GMWQ!$LP$2:$LP$60=AJ$4)*(GMWQ!$LR$2:$LR$60=AJ$1),0),$B198-1966)</f>
        <v>100.4406</v>
      </c>
      <c r="AK198" s="23" cm="1">
        <f t="array" ref="AK198">INDEX(GMWQ!$A$2:$LR$60,MATCH(1,(GMWQ!$LQ$2:$LQ$60=AK$3)*(GMWQ!$LP$2:$LP$60=AK$4)*(GMWQ!$LR$2:$LR$60=AK$1),0),$B198-1966)</f>
        <v>228940</v>
      </c>
      <c r="AL198" s="23" cm="1">
        <f t="array" ref="AL198">INDEX(GMWQ!$A$2:$LR$60,MATCH(1,(GMWQ!$LQ$2:$LQ$60=AL$3)*(GMWQ!$LP$2:$LP$60=AL$4)*(GMWQ!$LR$2:$LR$60=AL$1),0),$B198-1966)</f>
        <v>8261.7009999999991</v>
      </c>
      <c r="AM198" s="23" cm="1">
        <f t="array" ref="AM198">INDEX(GMWQ!$A$2:$LR$60,MATCH(1,(GMWQ!$LQ$2:$LQ$60=AM$3)*(GMWQ!$LP$2:$LP$60=AM$4)*(GMWQ!$LR$2:$LR$60=AM$1),0),$B198-1966)</f>
        <v>27711</v>
      </c>
      <c r="AN198" s="23" cm="1">
        <f t="array" ref="AN198">INDEX(GMWQ!$A$2:$LR$60,MATCH(1,(GMWQ!$LQ$2:$LQ$60=AN$3)*(GMWQ!$LP$2:$LP$60=AN$4)*(GMWQ!$LR$2:$LR$60=AN$1),0),$B198-1966)</f>
        <v>54236</v>
      </c>
      <c r="AO198" s="23" cm="1">
        <f t="array" ref="AO198">INDEX(GMWQ!$A$2:$LR$60,MATCH(1,(GMWQ!$LQ$2:$LQ$60=AO$3)*(GMWQ!$LP$2:$LP$60=AO$4)*(GMWQ!$LR$2:$LR$60=AO$1),0),$B198-1966)</f>
        <v>18135</v>
      </c>
      <c r="AP198" s="23" cm="1">
        <f t="array" ref="AP198">INDEX(GMWQ!$A$2:$LR$60,MATCH(1,(GMWQ!$LQ$2:$LQ$60=AP$3)*(GMWQ!$LP$2:$LP$60=AP$4)*(GMWQ!$LR$2:$LR$60=AP$1),0),$B198-1966)</f>
        <v>-802</v>
      </c>
      <c r="AQ198" s="23" cm="1">
        <f t="array" ref="AQ198">INDEX(GMWQ!$A$2:$LR$60,MATCH(1,(GMWQ!$LQ$2:$LQ$60=AQ$3)*(GMWQ!$LP$2:$LP$60=AQ$4)*(GMWQ!$LR$2:$LR$60=AQ$1),0),$B198-1966)</f>
        <v>69206</v>
      </c>
      <c r="AR198" s="23" cm="1">
        <f t="array" ref="AR198">INDEX(GMWQ!$A$2:$LR$60,MATCH(1,(GMWQ!$LQ$2:$LQ$60=AR$3)*(GMWQ!$LP$2:$LP$60=AR$4)*(GMWQ!$LR$2:$LR$60=AR$1),0),$B198-1966)</f>
        <v>302981</v>
      </c>
      <c r="AS198" s="23" cm="1">
        <f t="array" ref="AS198">INDEX(GMWQ!$A$2:$LR$60,MATCH(1,(GMWQ!$LQ$2:$LQ$60=AS$3)*(GMWQ!$LP$2:$LP$60=AS$4)*(GMWQ!$LR$2:$LR$60=AS$1),0),$B198-1966)</f>
        <v>11037</v>
      </c>
      <c r="AT198" s="23" cm="1">
        <f t="array" ref="AT198">INDEX(GMWQ!$A$2:$LR$60,MATCH(1,(GMWQ!$LQ$2:$LQ$60=AT$3)*(GMWQ!$LP$2:$LP$60=AT$4)*(GMWQ!$LR$2:$LR$60=AT$1),0),$B198-1966)</f>
        <v>301652</v>
      </c>
      <c r="AU198" s="23" cm="1">
        <f t="array" ref="AU198">INDEX(GMWQ!$A$2:$LR$60,MATCH(1,(GMWQ!$LQ$2:$LQ$60=AU$3)*(GMWQ!$LP$2:$LP$60=AU$4)*(GMWQ!$LR$2:$LR$60=AU$1),0),$B198-1966)</f>
        <v>10127</v>
      </c>
    </row>
    <row r="199" spans="1:47" x14ac:dyDescent="0.35">
      <c r="A199" s="7">
        <v>2021</v>
      </c>
      <c r="B199" s="7">
        <f t="shared" si="4"/>
        <v>2165</v>
      </c>
      <c r="C199" s="7" cm="1">
        <f t="array" ref="C199">INDEX(GMWQ!$A$2:$LR$60,MATCH(1,(GMWQ!$LQ$2:$LQ$60=C$3)*(GMWQ!$LP$2:$LP$60=C$4)*(GMWQ!$LR$2:$LR$60=C$1),0),$B199-1966)</f>
        <v>509261</v>
      </c>
      <c r="D199" s="7" cm="1">
        <f t="array" ref="D199">INDEX(GMWQ!$A$2:$LR$60,MATCH(1,(GMWQ!$LQ$2:$LQ$60=D$3)*(GMWQ!$LP$2:$LP$60=D$4)*(GMWQ!$LR$2:$LR$60=D$1),0),$B199-1966)</f>
        <v>563</v>
      </c>
      <c r="E199" s="7" cm="1">
        <f t="array" ref="E199">INDEX(GMWQ!$A$2:$LR$60,MATCH(1,(GMWQ!$LQ$2:$LQ$60=E$3)*(GMWQ!$LP$2:$LP$60=E$4)*(GMWQ!$LR$2:$LR$60=E$1),0),$B199-1966)</f>
        <v>109.16670000000001</v>
      </c>
      <c r="F199" s="7" cm="1">
        <f t="array" ref="F199">INDEX(GMWQ!$A$2:$LR$60,MATCH(1,(GMWQ!$LQ$2:$LQ$60=F$3)*(GMWQ!$LP$2:$LP$60=F$4)*(GMWQ!$LR$2:$LR$60=F$1),0),$B199-1966)</f>
        <v>229686</v>
      </c>
      <c r="G199" s="7" cm="1">
        <f t="array" ref="G199">INDEX(GMWQ!$A$2:$LR$60,MATCH(1,(GMWQ!$LQ$2:$LQ$60=G$3)*(GMWQ!$LP$2:$LP$60=G$4)*(GMWQ!$LR$2:$LR$60=G$1),0),$B199-1966)</f>
        <v>54675</v>
      </c>
      <c r="H199" s="7" cm="1">
        <f t="array" ref="H199">INDEX(GMWQ!$A$2:$LR$60,MATCH(1,(GMWQ!$LQ$2:$LQ$60=H$3)*(GMWQ!$LP$2:$LP$60=H$4)*(GMWQ!$LR$2:$LR$60=H$1),0),$B199-1966)</f>
        <v>17849</v>
      </c>
      <c r="I199" s="7" cm="1">
        <f t="array" ref="I199">INDEX(GMWQ!$A$2:$LR$60,MATCH(1,(GMWQ!$LQ$2:$LQ$60=I$3)*(GMWQ!$LP$2:$LP$60=I$4)*(GMWQ!$LR$2:$LR$60=I$1),0),$B199-1966)</f>
        <v>101.3843</v>
      </c>
      <c r="J199" s="7" cm="1">
        <f t="array" ref="J199">INDEX(GMWQ!$A$2:$LR$60,MATCH(1,(GMWQ!$LQ$2:$LQ$60=J$3)*(GMWQ!$LP$2:$LP$60=J$4)*(GMWQ!$LR$2:$LR$60=J$1),0),$B199-1966)</f>
        <v>27771</v>
      </c>
      <c r="K199" s="7" cm="1">
        <f t="array" ref="K199">INDEX(GMWQ!$A$2:$LR$60,MATCH(1,(GMWQ!$LQ$2:$LQ$60=K$3)*(GMWQ!$LP$2:$LP$60=K$4)*(GMWQ!$LR$2:$LR$60=K$1),0),$B199-1966)</f>
        <v>0.1</v>
      </c>
      <c r="L199" s="7" cm="1">
        <f t="array" ref="L199">INDEX(GMWQ!$A$2:$LR$60,MATCH(1,(GMWQ!$LQ$2:$LQ$60=L$3)*(GMWQ!$LP$2:$LP$60=L$4)*(GMWQ!$LR$2:$LR$60=L$1),0),$B199-1966)</f>
        <v>5.0999999999999996</v>
      </c>
      <c r="M199" s="7" cm="1">
        <f t="array" ref="M199">INDEX(GMWQ!$A$2:$LR$60,MATCH(1,(GMWQ!$LQ$2:$LQ$60=M$3)*(GMWQ!$LP$2:$LP$60=M$4)*(GMWQ!$LR$2:$LR$60=M$1),0),$B199-1966)</f>
        <v>131.52770000000001</v>
      </c>
      <c r="N199" s="7" cm="1">
        <f t="array" ref="N199">INDEX(GMWQ!$A$2:$LR$60,MATCH(1,(GMWQ!$LQ$2:$LQ$60=N$3)*(GMWQ!$LP$2:$LP$60=N$4)*(GMWQ!$LR$2:$LR$60=N$1),0),$B199-1966)</f>
        <v>5445</v>
      </c>
      <c r="O199" s="7" cm="1">
        <f t="array" ref="O199">INDEX(GMWQ!$A$2:$LR$60,MATCH(1,(GMWQ!$LQ$2:$LQ$60=O$3)*(GMWQ!$LP$2:$LP$60=O$4)*(GMWQ!$LR$2:$LR$60=O$1),0),$B199-1966)</f>
        <v>4695</v>
      </c>
      <c r="P199" s="7" cm="1">
        <f t="array" ref="P199">INDEX(GMWQ!$A$2:$LR$60,MATCH(1,(GMWQ!$LQ$2:$LQ$60=P$3)*(GMWQ!$LP$2:$LP$60=P$4)*(GMWQ!$LR$2:$LR$60=P$1),0),$B199-1966)</f>
        <v>373719</v>
      </c>
      <c r="Q199" s="7" cm="1">
        <f t="array" ref="Q199">INDEX(GMWQ!$A$2:$LR$60,MATCH(1,(GMWQ!$LQ$2:$LQ$60=Q$3)*(GMWQ!$LP$2:$LP$60=Q$4)*(GMWQ!$LR$2:$LR$60=Q$1),0),$B199-1966)</f>
        <v>2.09</v>
      </c>
      <c r="R199" s="7" cm="1">
        <f t="array" ref="R199">INDEX(GMWQ!$A$2:$LR$60,MATCH(1,(GMWQ!$LQ$2:$LQ$60=R$3)*(GMWQ!$LP$2:$LP$60=R$4)*(GMWQ!$LR$2:$LR$60=R$1),0),$B199-1966)</f>
        <v>263645</v>
      </c>
      <c r="S199" s="7" cm="1">
        <f t="array" ref="S199">INDEX(GMWQ!$A$2:$LR$60,MATCH(1,(GMWQ!$LQ$2:$LQ$60=S$3)*(GMWQ!$LP$2:$LP$60=S$4)*(GMWQ!$LR$2:$LR$60=S$1),0),$B199-1966)</f>
        <v>436.03</v>
      </c>
      <c r="T199" s="7" cm="1">
        <f t="array" ref="T199">INDEX(GMWQ!$A$2:$LR$60,MATCH(1,(GMWQ!$LQ$2:$LQ$60=T$3)*(GMWQ!$LP$2:$LP$60=T$4)*(GMWQ!$LR$2:$LR$60=T$1),0),$B199-1966)</f>
        <v>90623</v>
      </c>
      <c r="U199" s="7" cm="1">
        <f t="array" ref="U199">INDEX(GMWQ!$A$2:$LR$60,MATCH(1,(GMWQ!$LQ$2:$LQ$60=U$3)*(GMWQ!$LP$2:$LP$60=U$4)*(GMWQ!$LR$2:$LR$60=U$1),0),$B199-1966)</f>
        <v>25448</v>
      </c>
      <c r="V199" s="7" cm="1">
        <f t="array" ref="V199">INDEX(GMWQ!$A$2:$LR$60,MATCH(1,(GMWQ!$LQ$2:$LQ$60=V$3)*(GMWQ!$LP$2:$LP$60=V$4)*(GMWQ!$LR$2:$LR$60=V$1),0),$B199-1966)</f>
        <v>5.6745579999999997E-4</v>
      </c>
      <c r="W199" s="7" cm="1">
        <f t="array" ref="W199">INDEX(GMWQ!$A$2:$LR$60,MATCH(1,(GMWQ!$LQ$2:$LQ$60=W$3)*(GMWQ!$LP$2:$LP$60=W$4)*(GMWQ!$LR$2:$LR$60=W$1),0),$B199-1966)</f>
        <v>6.5445169999999999</v>
      </c>
      <c r="X199" s="7" cm="1">
        <f t="array" ref="X199">INDEX(GMWQ!$A$2:$LR$60,MATCH(1,(GMWQ!$LQ$2:$LQ$60=X$3)*(GMWQ!$LP$2:$LP$60=X$4)*(GMWQ!$LR$2:$LR$60=X$1),0),$B199-1966)</f>
        <v>4716126</v>
      </c>
      <c r="Y199" s="7" cm="1">
        <f t="array" ref="Y199">INDEX(GMWQ!$A$2:$LR$60,MATCH(1,(GMWQ!$LQ$2:$LQ$60=Y$3)*(GMWQ!$LP$2:$LP$60=Y$4)*(GMWQ!$LR$2:$LR$60=Y$1),0),$B199-1966)</f>
        <v>105.6456</v>
      </c>
      <c r="Z199" s="7" cm="1">
        <f t="array" ref="Z199">INDEX(GMWQ!$A$2:$LR$60,MATCH(1,(GMWQ!$LQ$2:$LQ$60=Z$3)*(GMWQ!$LP$2:$LP$60=Z$4)*(GMWQ!$LR$2:$LR$60=Z$1),0),$B199-1966)</f>
        <v>528395.30000000005</v>
      </c>
      <c r="AA199" s="7" cm="1">
        <f t="array" ref="AA199">INDEX(GMWQ!$A$2:$LR$60,MATCH(1,(GMWQ!$LQ$2:$LQ$60=AA$3)*(GMWQ!$LP$2:$LP$60=AA$4)*(GMWQ!$LR$2:$LR$60=AA$1),0),$B199-1966)</f>
        <v>235578</v>
      </c>
      <c r="AB199" s="7" cm="1">
        <f t="array" ref="AB199">INDEX(GMWQ!$A$2:$LR$60,MATCH(1,(GMWQ!$LQ$2:$LQ$60=AB$3)*(GMWQ!$LP$2:$LP$60=AB$4)*(GMWQ!$LR$2:$LR$60=AB$1),0),$B199-1966)</f>
        <v>242350</v>
      </c>
      <c r="AC199" s="7" cm="1">
        <f t="array" ref="AC199">INDEX(GMWQ!$A$2:$LR$60,MATCH(1,(GMWQ!$LQ$2:$LQ$60=AC$3)*(GMWQ!$LP$2:$LP$60=AC$4)*(GMWQ!$LR$2:$LR$60=AC$1),0),$B199-1966)</f>
        <v>21031</v>
      </c>
      <c r="AD199" s="7" cm="1">
        <f t="array" ref="AD199">INDEX(GMWQ!$A$2:$LR$60,MATCH(1,(GMWQ!$LQ$2:$LQ$60=AD$3)*(GMWQ!$LP$2:$LP$60=AD$4)*(GMWQ!$LR$2:$LR$60=AD$1),0),$B199-1966)</f>
        <v>13582</v>
      </c>
      <c r="AE199" s="7" cm="1">
        <f t="array" ref="AE199">INDEX(GMWQ!$A$2:$LR$60,MATCH(1,(GMWQ!$LQ$2:$LQ$60=AE$3)*(GMWQ!$LP$2:$LP$60=AE$4)*(GMWQ!$LR$2:$LR$60=AE$1),0),$B199-1966)</f>
        <v>538012</v>
      </c>
      <c r="AF199" s="20" cm="1">
        <f t="array" ref="AF199">INDEX(GMWQ!$A$2:$LR$60,MATCH(1,(GMWQ!$LQ$2:$LQ$60=AF$3)*(GMWQ!$LP$2:$LP$60=AF$4)*(GMWQ!$LR$2:$LR$60=AF$1),0),$B199-1966)</f>
        <v>0.1</v>
      </c>
      <c r="AG199" s="20" cm="1">
        <f t="array" ref="AG199">INDEX(GMWQ!$A$2:$LR$60,MATCH(1,(GMWQ!$LQ$2:$LQ$60=AG$3)*(GMWQ!$LP$2:$LP$60=AG$4)*(GMWQ!$LR$2:$LR$60=AG$1),0),$B199-1966)</f>
        <v>-750</v>
      </c>
      <c r="AI199" s="23" cm="1">
        <f t="array" ref="AI199">INDEX(GMWQ!$A$2:$LR$60,MATCH(1,(GMWQ!$LQ$2:$LQ$60=AI$3)*(GMWQ!$LP$2:$LP$60=AI$4)*(GMWQ!$LR$2:$LR$60=AI$1),0),$B199-1966)</f>
        <v>373719</v>
      </c>
      <c r="AJ199" s="23" cm="1">
        <f t="array" ref="AJ199">INDEX(GMWQ!$A$2:$LR$60,MATCH(1,(GMWQ!$LQ$2:$LQ$60=AJ$3)*(GMWQ!$LP$2:$LP$60=AJ$4)*(GMWQ!$LR$2:$LR$60=AJ$1),0),$B199-1966)</f>
        <v>101.3843</v>
      </c>
      <c r="AK199" s="23" cm="1">
        <f t="array" ref="AK199">INDEX(GMWQ!$A$2:$LR$60,MATCH(1,(GMWQ!$LQ$2:$LQ$60=AK$3)*(GMWQ!$LP$2:$LP$60=AK$4)*(GMWQ!$LR$2:$LR$60=AK$1),0),$B199-1966)</f>
        <v>229686</v>
      </c>
      <c r="AL199" s="23" cm="1">
        <f t="array" ref="AL199">INDEX(GMWQ!$A$2:$LR$60,MATCH(1,(GMWQ!$LQ$2:$LQ$60=AL$3)*(GMWQ!$LP$2:$LP$60=AL$4)*(GMWQ!$LR$2:$LR$60=AL$1),0),$B199-1966)</f>
        <v>8270.7139999999999</v>
      </c>
      <c r="AM199" s="23" cm="1">
        <f t="array" ref="AM199">INDEX(GMWQ!$A$2:$LR$60,MATCH(1,(GMWQ!$LQ$2:$LQ$60=AM$3)*(GMWQ!$LP$2:$LP$60=AM$4)*(GMWQ!$LR$2:$LR$60=AM$1),0),$B199-1966)</f>
        <v>27771</v>
      </c>
      <c r="AN199" s="23" cm="1">
        <f t="array" ref="AN199">INDEX(GMWQ!$A$2:$LR$60,MATCH(1,(GMWQ!$LQ$2:$LQ$60=AN$3)*(GMWQ!$LP$2:$LP$60=AN$4)*(GMWQ!$LR$2:$LR$60=AN$1),0),$B199-1966)</f>
        <v>54675</v>
      </c>
      <c r="AO199" s="23" cm="1">
        <f t="array" ref="AO199">INDEX(GMWQ!$A$2:$LR$60,MATCH(1,(GMWQ!$LQ$2:$LQ$60=AO$3)*(GMWQ!$LP$2:$LP$60=AO$4)*(GMWQ!$LR$2:$LR$60=AO$1),0),$B199-1966)</f>
        <v>17849</v>
      </c>
      <c r="AP199" s="23" cm="1">
        <f t="array" ref="AP199">INDEX(GMWQ!$A$2:$LR$60,MATCH(1,(GMWQ!$LQ$2:$LQ$60=AP$3)*(GMWQ!$LP$2:$LP$60=AP$4)*(GMWQ!$LR$2:$LR$60=AP$1),0),$B199-1966)</f>
        <v>-750</v>
      </c>
      <c r="AQ199" s="23" cm="1">
        <f t="array" ref="AQ199">INDEX(GMWQ!$A$2:$LR$60,MATCH(1,(GMWQ!$LQ$2:$LQ$60=AQ$3)*(GMWQ!$LP$2:$LP$60=AQ$4)*(GMWQ!$LR$2:$LR$60=AQ$1),0),$B199-1966)</f>
        <v>69943</v>
      </c>
      <c r="AR199" s="23" cm="1">
        <f t="array" ref="AR199">INDEX(GMWQ!$A$2:$LR$60,MATCH(1,(GMWQ!$LQ$2:$LQ$60=AR$3)*(GMWQ!$LP$2:$LP$60=AR$4)*(GMWQ!$LR$2:$LR$60=AR$1),0),$B199-1966)</f>
        <v>295665</v>
      </c>
      <c r="AS199" s="23" cm="1">
        <f t="array" ref="AS199">INDEX(GMWQ!$A$2:$LR$60,MATCH(1,(GMWQ!$LQ$2:$LQ$60=AS$3)*(GMWQ!$LP$2:$LP$60=AS$4)*(GMWQ!$LR$2:$LR$60=AS$1),0),$B199-1966)</f>
        <v>10842</v>
      </c>
      <c r="AT199" s="23" cm="1">
        <f t="array" ref="AT199">INDEX(GMWQ!$A$2:$LR$60,MATCH(1,(GMWQ!$LQ$2:$LQ$60=AT$3)*(GMWQ!$LP$2:$LP$60=AT$4)*(GMWQ!$LR$2:$LR$60=AT$1),0),$B199-1966)</f>
        <v>291628</v>
      </c>
      <c r="AU199" s="23" cm="1">
        <f t="array" ref="AU199">INDEX(GMWQ!$A$2:$LR$60,MATCH(1,(GMWQ!$LQ$2:$LQ$60=AU$3)*(GMWQ!$LP$2:$LP$60=AU$4)*(GMWQ!$LR$2:$LR$60=AU$1),0),$B199-1966)</f>
        <v>9352</v>
      </c>
    </row>
    <row r="200" spans="1:47" x14ac:dyDescent="0.35">
      <c r="B200" s="7">
        <f t="shared" si="4"/>
        <v>2166</v>
      </c>
      <c r="C200" s="7" cm="1">
        <f t="array" ref="C200">INDEX(GMWQ!$A$2:$LR$60,MATCH(1,(GMWQ!$LQ$2:$LQ$60=C$3)*(GMWQ!$LP$2:$LP$60=C$4)*(GMWQ!$LR$2:$LR$60=C$1),0),$B200-1966)</f>
        <v>546579</v>
      </c>
      <c r="D200" s="7" cm="1">
        <f t="array" ref="D200">INDEX(GMWQ!$A$2:$LR$60,MATCH(1,(GMWQ!$LQ$2:$LQ$60=D$3)*(GMWQ!$LP$2:$LP$60=D$4)*(GMWQ!$LR$2:$LR$60=D$1),0),$B200-1966)</f>
        <v>578</v>
      </c>
      <c r="E200" s="7" cm="1">
        <f t="array" ref="E200">INDEX(GMWQ!$A$2:$LR$60,MATCH(1,(GMWQ!$LQ$2:$LQ$60=E$3)*(GMWQ!$LP$2:$LP$60=E$4)*(GMWQ!$LR$2:$LR$60=E$1),0),$B200-1966)</f>
        <v>110.7333</v>
      </c>
      <c r="F200" s="7" cm="1">
        <f t="array" ref="F200">INDEX(GMWQ!$A$2:$LR$60,MATCH(1,(GMWQ!$LQ$2:$LQ$60=F$3)*(GMWQ!$LP$2:$LP$60=F$4)*(GMWQ!$LR$2:$LR$60=F$1),0),$B200-1966)</f>
        <v>236557</v>
      </c>
      <c r="G200" s="7" cm="1">
        <f t="array" ref="G200">INDEX(GMWQ!$A$2:$LR$60,MATCH(1,(GMWQ!$LQ$2:$LQ$60=G$3)*(GMWQ!$LP$2:$LP$60=G$4)*(GMWQ!$LR$2:$LR$60=G$1),0),$B200-1966)</f>
        <v>56943</v>
      </c>
      <c r="H200" s="7" cm="1">
        <f t="array" ref="H200">INDEX(GMWQ!$A$2:$LR$60,MATCH(1,(GMWQ!$LQ$2:$LQ$60=H$3)*(GMWQ!$LP$2:$LP$60=H$4)*(GMWQ!$LR$2:$LR$60=H$1),0),$B200-1966)</f>
        <v>18575</v>
      </c>
      <c r="I200" s="7" cm="1">
        <f t="array" ref="I200">INDEX(GMWQ!$A$2:$LR$60,MATCH(1,(GMWQ!$LQ$2:$LQ$60=I$3)*(GMWQ!$LP$2:$LP$60=I$4)*(GMWQ!$LR$2:$LR$60=I$1),0),$B200-1966)</f>
        <v>101.64579999999999</v>
      </c>
      <c r="J200" s="7" cm="1">
        <f t="array" ref="J200">INDEX(GMWQ!$A$2:$LR$60,MATCH(1,(GMWQ!$LQ$2:$LQ$60=J$3)*(GMWQ!$LP$2:$LP$60=J$4)*(GMWQ!$LR$2:$LR$60=J$1),0),$B200-1966)</f>
        <v>27903</v>
      </c>
      <c r="K200" s="7" cm="1">
        <f t="array" ref="K200">INDEX(GMWQ!$A$2:$LR$60,MATCH(1,(GMWQ!$LQ$2:$LQ$60=K$3)*(GMWQ!$LP$2:$LP$60=K$4)*(GMWQ!$LR$2:$LR$60=K$1),0),$B200-1966)</f>
        <v>0.1</v>
      </c>
      <c r="L200" s="7" cm="1">
        <f t="array" ref="L200">INDEX(GMWQ!$A$2:$LR$60,MATCH(1,(GMWQ!$LQ$2:$LQ$60=L$3)*(GMWQ!$LP$2:$LP$60=L$4)*(GMWQ!$LR$2:$LR$60=L$1),0),$B200-1966)</f>
        <v>4.8</v>
      </c>
      <c r="M200" s="7" cm="1">
        <f t="array" ref="M200">INDEX(GMWQ!$A$2:$LR$60,MATCH(1,(GMWQ!$LQ$2:$LQ$60=M$3)*(GMWQ!$LP$2:$LP$60=M$4)*(GMWQ!$LR$2:$LR$60=M$1),0),$B200-1966)</f>
        <v>133.13630000000001</v>
      </c>
      <c r="N200" s="7" cm="1">
        <f t="array" ref="N200">INDEX(GMWQ!$A$2:$LR$60,MATCH(1,(GMWQ!$LQ$2:$LQ$60=N$3)*(GMWQ!$LP$2:$LP$60=N$4)*(GMWQ!$LR$2:$LR$60=N$1),0),$B200-1966)</f>
        <v>5313</v>
      </c>
      <c r="O200" s="7" cm="1">
        <f t="array" ref="O200">INDEX(GMWQ!$A$2:$LR$60,MATCH(1,(GMWQ!$LQ$2:$LQ$60=O$3)*(GMWQ!$LP$2:$LP$60=O$4)*(GMWQ!$LR$2:$LR$60=O$1),0),$B200-1966)</f>
        <v>4950</v>
      </c>
      <c r="P200" s="7" cm="1">
        <f t="array" ref="P200">INDEX(GMWQ!$A$2:$LR$60,MATCH(1,(GMWQ!$LQ$2:$LQ$60=P$3)*(GMWQ!$LP$2:$LP$60=P$4)*(GMWQ!$LR$2:$LR$60=P$1),0),$B200-1966)</f>
        <v>375577</v>
      </c>
      <c r="Q200" s="7" cm="1">
        <f t="array" ref="Q200">INDEX(GMWQ!$A$2:$LR$60,MATCH(1,(GMWQ!$LQ$2:$LQ$60=Q$3)*(GMWQ!$LP$2:$LP$60=Q$4)*(GMWQ!$LR$2:$LR$60=Q$1),0),$B200-1966)</f>
        <v>2.0733329999999999</v>
      </c>
      <c r="R200" s="7" cm="1">
        <f t="array" ref="R200">INDEX(GMWQ!$A$2:$LR$60,MATCH(1,(GMWQ!$LQ$2:$LQ$60=R$3)*(GMWQ!$LP$2:$LP$60=R$4)*(GMWQ!$LR$2:$LR$60=R$1),0),$B200-1966)</f>
        <v>250072</v>
      </c>
      <c r="S200" s="7" cm="1">
        <f t="array" ref="S200">INDEX(GMWQ!$A$2:$LR$60,MATCH(1,(GMWQ!$LQ$2:$LQ$60=S$3)*(GMWQ!$LP$2:$LP$60=S$4)*(GMWQ!$LR$2:$LR$60=S$1),0),$B200-1966)</f>
        <v>447.42</v>
      </c>
      <c r="T200" s="7" cm="1">
        <f t="array" ref="T200">INDEX(GMWQ!$A$2:$LR$60,MATCH(1,(GMWQ!$LQ$2:$LQ$60=T$3)*(GMWQ!$LP$2:$LP$60=T$4)*(GMWQ!$LR$2:$LR$60=T$1),0),$B200-1966)</f>
        <v>90213</v>
      </c>
      <c r="U200" s="7" cm="1">
        <f t="array" ref="U200">INDEX(GMWQ!$A$2:$LR$60,MATCH(1,(GMWQ!$LQ$2:$LQ$60=U$3)*(GMWQ!$LP$2:$LP$60=U$4)*(GMWQ!$LR$2:$LR$60=U$1),0),$B200-1966)</f>
        <v>24650</v>
      </c>
      <c r="V200" s="7" cm="1">
        <f t="array" ref="V200">INDEX(GMWQ!$A$2:$LR$60,MATCH(1,(GMWQ!$LQ$2:$LQ$60=V$3)*(GMWQ!$LP$2:$LP$60=V$4)*(GMWQ!$LR$2:$LR$60=V$1),0),$B200-1966)</f>
        <v>7.4298319999999997E-4</v>
      </c>
      <c r="W200" s="7" cm="1">
        <f t="array" ref="W200">INDEX(GMWQ!$A$2:$LR$60,MATCH(1,(GMWQ!$LQ$2:$LQ$60=W$3)*(GMWQ!$LP$2:$LP$60=W$4)*(GMWQ!$LR$2:$LR$60=W$1),0),$B200-1966)</f>
        <v>5.9279970000000004</v>
      </c>
      <c r="X200" s="7" cm="1">
        <f t="array" ref="X200">INDEX(GMWQ!$A$2:$LR$60,MATCH(1,(GMWQ!$LQ$2:$LQ$60=X$3)*(GMWQ!$LP$2:$LP$60=X$4)*(GMWQ!$LR$2:$LR$60=X$1),0),$B200-1966)</f>
        <v>4792548</v>
      </c>
      <c r="Y200" s="7" cm="1">
        <f t="array" ref="Y200">INDEX(GMWQ!$A$2:$LR$60,MATCH(1,(GMWQ!$LQ$2:$LQ$60=Y$3)*(GMWQ!$LP$2:$LP$60=Y$4)*(GMWQ!$LR$2:$LR$60=Y$1),0),$B200-1966)</f>
        <v>103.8984</v>
      </c>
      <c r="Z200" s="7" cm="1">
        <f t="array" ref="Z200">INDEX(GMWQ!$A$2:$LR$60,MATCH(1,(GMWQ!$LQ$2:$LQ$60=Z$3)*(GMWQ!$LP$2:$LP$60=Z$4)*(GMWQ!$LR$2:$LR$60=Z$1),0),$B200-1966)</f>
        <v>546929</v>
      </c>
      <c r="AA200" s="7" cm="1">
        <f t="array" ref="AA200">INDEX(GMWQ!$A$2:$LR$60,MATCH(1,(GMWQ!$LQ$2:$LQ$60=AA$3)*(GMWQ!$LP$2:$LP$60=AA$4)*(GMWQ!$LR$2:$LR$60=AA$1),0),$B200-1966)</f>
        <v>204972</v>
      </c>
      <c r="AB200" s="7" cm="1">
        <f t="array" ref="AB200">INDEX(GMWQ!$A$2:$LR$60,MATCH(1,(GMWQ!$LQ$2:$LQ$60=AB$3)*(GMWQ!$LP$2:$LP$60=AB$4)*(GMWQ!$LR$2:$LR$60=AB$1),0),$B200-1966)</f>
        <v>239827</v>
      </c>
      <c r="AC200" s="7" cm="1">
        <f t="array" ref="AC200">INDEX(GMWQ!$A$2:$LR$60,MATCH(1,(GMWQ!$LQ$2:$LQ$60=AC$3)*(GMWQ!$LP$2:$LP$60=AC$4)*(GMWQ!$LR$2:$LR$60=AC$1),0),$B200-1966)</f>
        <v>12255</v>
      </c>
      <c r="AD200" s="7" cm="1">
        <f t="array" ref="AD200">INDEX(GMWQ!$A$2:$LR$60,MATCH(1,(GMWQ!$LQ$2:$LQ$60=AD$3)*(GMWQ!$LP$2:$LP$60=AD$4)*(GMWQ!$LR$2:$LR$60=AD$1),0),$B200-1966)</f>
        <v>13551</v>
      </c>
      <c r="AE200" s="7" cm="1">
        <f t="array" ref="AE200">INDEX(GMWQ!$A$2:$LR$60,MATCH(1,(GMWQ!$LQ$2:$LQ$60=AE$3)*(GMWQ!$LP$2:$LP$60=AE$4)*(GMWQ!$LR$2:$LR$60=AE$1),0),$B200-1966)</f>
        <v>567887</v>
      </c>
      <c r="AF200" s="20" cm="1">
        <f t="array" ref="AF200">INDEX(GMWQ!$A$2:$LR$60,MATCH(1,(GMWQ!$LQ$2:$LQ$60=AF$3)*(GMWQ!$LP$2:$LP$60=AF$4)*(GMWQ!$LR$2:$LR$60=AF$1),0),$B200-1966)</f>
        <v>0.1</v>
      </c>
      <c r="AG200" s="20" cm="1">
        <f t="array" ref="AG200">INDEX(GMWQ!$A$2:$LR$60,MATCH(1,(GMWQ!$LQ$2:$LQ$60=AG$3)*(GMWQ!$LP$2:$LP$60=AG$4)*(GMWQ!$LR$2:$LR$60=AG$1),0),$B200-1966)</f>
        <v>-363</v>
      </c>
      <c r="AI200" s="23" cm="1">
        <f t="array" ref="AI200">INDEX(GMWQ!$A$2:$LR$60,MATCH(1,(GMWQ!$LQ$2:$LQ$60=AI$3)*(GMWQ!$LP$2:$LP$60=AI$4)*(GMWQ!$LR$2:$LR$60=AI$1),0),$B200-1966)</f>
        <v>375577</v>
      </c>
      <c r="AJ200" s="23" cm="1">
        <f t="array" ref="AJ200">INDEX(GMWQ!$A$2:$LR$60,MATCH(1,(GMWQ!$LQ$2:$LQ$60=AJ$3)*(GMWQ!$LP$2:$LP$60=AJ$4)*(GMWQ!$LR$2:$LR$60=AJ$1),0),$B200-1966)</f>
        <v>101.64579999999999</v>
      </c>
      <c r="AK200" s="23" cm="1">
        <f t="array" ref="AK200">INDEX(GMWQ!$A$2:$LR$60,MATCH(1,(GMWQ!$LQ$2:$LQ$60=AK$3)*(GMWQ!$LP$2:$LP$60=AK$4)*(GMWQ!$LR$2:$LR$60=AK$1),0),$B200-1966)</f>
        <v>236557</v>
      </c>
      <c r="AL200" s="23" cm="1">
        <f t="array" ref="AL200">INDEX(GMWQ!$A$2:$LR$60,MATCH(1,(GMWQ!$LQ$2:$LQ$60=AL$3)*(GMWQ!$LP$2:$LP$60=AL$4)*(GMWQ!$LR$2:$LR$60=AL$1),0),$B200-1966)</f>
        <v>8477.8340000000007</v>
      </c>
      <c r="AM200" s="23" cm="1">
        <f t="array" ref="AM200">INDEX(GMWQ!$A$2:$LR$60,MATCH(1,(GMWQ!$LQ$2:$LQ$60=AM$3)*(GMWQ!$LP$2:$LP$60=AM$4)*(GMWQ!$LR$2:$LR$60=AM$1),0),$B200-1966)</f>
        <v>27903</v>
      </c>
      <c r="AN200" s="23" cm="1">
        <f t="array" ref="AN200">INDEX(GMWQ!$A$2:$LR$60,MATCH(1,(GMWQ!$LQ$2:$LQ$60=AN$3)*(GMWQ!$LP$2:$LP$60=AN$4)*(GMWQ!$LR$2:$LR$60=AN$1),0),$B200-1966)</f>
        <v>56943</v>
      </c>
      <c r="AO200" s="23" cm="1">
        <f t="array" ref="AO200">INDEX(GMWQ!$A$2:$LR$60,MATCH(1,(GMWQ!$LQ$2:$LQ$60=AO$3)*(GMWQ!$LP$2:$LP$60=AO$4)*(GMWQ!$LR$2:$LR$60=AO$1),0),$B200-1966)</f>
        <v>18575</v>
      </c>
      <c r="AP200" s="23" cm="1">
        <f t="array" ref="AP200">INDEX(GMWQ!$A$2:$LR$60,MATCH(1,(GMWQ!$LQ$2:$LQ$60=AP$3)*(GMWQ!$LP$2:$LP$60=AP$4)*(GMWQ!$LR$2:$LR$60=AP$1),0),$B200-1966)</f>
        <v>-363</v>
      </c>
      <c r="AQ200" s="23" cm="1">
        <f t="array" ref="AQ200">INDEX(GMWQ!$A$2:$LR$60,MATCH(1,(GMWQ!$LQ$2:$LQ$60=AQ$3)*(GMWQ!$LP$2:$LP$60=AQ$4)*(GMWQ!$LR$2:$LR$60=AQ$1),0),$B200-1966)</f>
        <v>68954</v>
      </c>
      <c r="AR200" s="23" cm="1">
        <f t="array" ref="AR200">INDEX(GMWQ!$A$2:$LR$60,MATCH(1,(GMWQ!$LQ$2:$LQ$60=AR$3)*(GMWQ!$LP$2:$LP$60=AR$4)*(GMWQ!$LR$2:$LR$60=AR$1),0),$B200-1966)</f>
        <v>331279</v>
      </c>
      <c r="AS200" s="23" cm="1">
        <f t="array" ref="AS200">INDEX(GMWQ!$A$2:$LR$60,MATCH(1,(GMWQ!$LQ$2:$LQ$60=AS$3)*(GMWQ!$LP$2:$LP$60=AS$4)*(GMWQ!$LR$2:$LR$60=AS$1),0),$B200-1966)</f>
        <v>11451</v>
      </c>
      <c r="AT200" s="23" cm="1">
        <f t="array" ref="AT200">INDEX(GMWQ!$A$2:$LR$60,MATCH(1,(GMWQ!$LQ$2:$LQ$60=AT$3)*(GMWQ!$LP$2:$LP$60=AT$4)*(GMWQ!$LR$2:$LR$60=AT$1),0),$B200-1966)</f>
        <v>325915</v>
      </c>
      <c r="AU200" s="23" cm="1">
        <f t="array" ref="AU200">INDEX(GMWQ!$A$2:$LR$60,MATCH(1,(GMWQ!$LQ$2:$LQ$60=AU$3)*(GMWQ!$LP$2:$LP$60=AU$4)*(GMWQ!$LR$2:$LR$60=AU$1),0),$B200-1966)</f>
        <v>10536</v>
      </c>
    </row>
    <row r="201" spans="1:47" x14ac:dyDescent="0.35">
      <c r="B201" s="7">
        <f t="shared" si="4"/>
        <v>2167</v>
      </c>
      <c r="C201" s="7" cm="1">
        <f t="array" ref="C201">INDEX(GMWQ!$A$2:$LR$60,MATCH(1,(GMWQ!$LQ$2:$LQ$60=C$3)*(GMWQ!$LP$2:$LP$60=C$4)*(GMWQ!$LR$2:$LR$60=C$1),0),$B201-1966)</f>
        <v>555956</v>
      </c>
      <c r="D201" s="7" cm="1">
        <f t="array" ref="D201">INDEX(GMWQ!$A$2:$LR$60,MATCH(1,(GMWQ!$LQ$2:$LQ$60=D$3)*(GMWQ!$LP$2:$LP$60=D$4)*(GMWQ!$LR$2:$LR$60=D$1),0),$B201-1966)</f>
        <v>583.66669999999999</v>
      </c>
      <c r="E201" s="7" cm="1">
        <f t="array" ref="E201">INDEX(GMWQ!$A$2:$LR$60,MATCH(1,(GMWQ!$LQ$2:$LQ$60=E$3)*(GMWQ!$LP$2:$LP$60=E$4)*(GMWQ!$LR$2:$LR$60=E$1),0),$B201-1966)</f>
        <v>111.9333</v>
      </c>
      <c r="F201" s="7" cm="1">
        <f t="array" ref="F201">INDEX(GMWQ!$A$2:$LR$60,MATCH(1,(GMWQ!$LQ$2:$LQ$60=F$3)*(GMWQ!$LP$2:$LP$60=F$4)*(GMWQ!$LR$2:$LR$60=F$1),0),$B201-1966)</f>
        <v>239832</v>
      </c>
      <c r="G201" s="7" cm="1">
        <f t="array" ref="G201">INDEX(GMWQ!$A$2:$LR$60,MATCH(1,(GMWQ!$LQ$2:$LQ$60=G$3)*(GMWQ!$LP$2:$LP$60=G$4)*(GMWQ!$LR$2:$LR$60=G$1),0),$B201-1966)</f>
        <v>57322</v>
      </c>
      <c r="H201" s="7" cm="1">
        <f t="array" ref="H201">INDEX(GMWQ!$A$2:$LR$60,MATCH(1,(GMWQ!$LQ$2:$LQ$60=H$3)*(GMWQ!$LP$2:$LP$60=H$4)*(GMWQ!$LR$2:$LR$60=H$1),0),$B201-1966)</f>
        <v>19016</v>
      </c>
      <c r="I201" s="7" cm="1">
        <f t="array" ref="I201">INDEX(GMWQ!$A$2:$LR$60,MATCH(1,(GMWQ!$LQ$2:$LQ$60=I$3)*(GMWQ!$LP$2:$LP$60=I$4)*(GMWQ!$LR$2:$LR$60=I$1),0),$B201-1966)</f>
        <v>102.9081</v>
      </c>
      <c r="J201" s="7" cm="1">
        <f t="array" ref="J201">INDEX(GMWQ!$A$2:$LR$60,MATCH(1,(GMWQ!$LQ$2:$LQ$60=J$3)*(GMWQ!$LP$2:$LP$60=J$4)*(GMWQ!$LR$2:$LR$60=J$1),0),$B201-1966)</f>
        <v>28173</v>
      </c>
      <c r="K201" s="7" cm="1">
        <f t="array" ref="K201">INDEX(GMWQ!$A$2:$LR$60,MATCH(1,(GMWQ!$LQ$2:$LQ$60=K$3)*(GMWQ!$LP$2:$LP$60=K$4)*(GMWQ!$LR$2:$LR$60=K$1),0),$B201-1966)</f>
        <v>0.1</v>
      </c>
      <c r="L201" s="7" cm="1">
        <f t="array" ref="L201">INDEX(GMWQ!$A$2:$LR$60,MATCH(1,(GMWQ!$LQ$2:$LQ$60=L$3)*(GMWQ!$LP$2:$LP$60=L$4)*(GMWQ!$LR$2:$LR$60=L$1),0),$B201-1966)</f>
        <v>4.4000000000000004</v>
      </c>
      <c r="M201" s="7" cm="1">
        <f t="array" ref="M201">INDEX(GMWQ!$A$2:$LR$60,MATCH(1,(GMWQ!$LQ$2:$LQ$60=M$3)*(GMWQ!$LP$2:$LP$60=M$4)*(GMWQ!$LR$2:$LR$60=M$1),0),$B201-1966)</f>
        <v>134.34829999999999</v>
      </c>
      <c r="N201" s="7" cm="1">
        <f t="array" ref="N201">INDEX(GMWQ!$A$2:$LR$60,MATCH(1,(GMWQ!$LQ$2:$LQ$60=N$3)*(GMWQ!$LP$2:$LP$60=N$4)*(GMWQ!$LR$2:$LR$60=N$1),0),$B201-1966)</f>
        <v>5047</v>
      </c>
      <c r="O201" s="7" cm="1">
        <f t="array" ref="O201">INDEX(GMWQ!$A$2:$LR$60,MATCH(1,(GMWQ!$LQ$2:$LQ$60=O$3)*(GMWQ!$LP$2:$LP$60=O$4)*(GMWQ!$LR$2:$LR$60=O$1),0),$B201-1966)</f>
        <v>4927</v>
      </c>
      <c r="P201" s="7" cm="1">
        <f t="array" ref="P201">INDEX(GMWQ!$A$2:$LR$60,MATCH(1,(GMWQ!$LQ$2:$LQ$60=P$3)*(GMWQ!$LP$2:$LP$60=P$4)*(GMWQ!$LR$2:$LR$60=P$1),0),$B201-1966)</f>
        <v>378192</v>
      </c>
      <c r="Q201" s="7" cm="1">
        <f t="array" ref="Q201">INDEX(GMWQ!$A$2:$LR$60,MATCH(1,(GMWQ!$LQ$2:$LQ$60=Q$3)*(GMWQ!$LP$2:$LP$60=Q$4)*(GMWQ!$LR$2:$LR$60=Q$1),0),$B201-1966)</f>
        <v>2.0533329999999999</v>
      </c>
      <c r="R201" s="7" cm="1">
        <f t="array" ref="R201">INDEX(GMWQ!$A$2:$LR$60,MATCH(1,(GMWQ!$LQ$2:$LQ$60=R$3)*(GMWQ!$LP$2:$LP$60=R$4)*(GMWQ!$LR$2:$LR$60=R$1),0),$B201-1966)</f>
        <v>215202</v>
      </c>
      <c r="S201" s="7" cm="1">
        <f t="array" ref="S201">INDEX(GMWQ!$A$2:$LR$60,MATCH(1,(GMWQ!$LQ$2:$LQ$60=S$3)*(GMWQ!$LP$2:$LP$60=S$4)*(GMWQ!$LR$2:$LR$60=S$1),0),$B201-1966)</f>
        <v>332.84</v>
      </c>
      <c r="T201" s="7" cm="1">
        <f t="array" ref="T201">INDEX(GMWQ!$A$2:$LR$60,MATCH(1,(GMWQ!$LQ$2:$LQ$60=T$3)*(GMWQ!$LP$2:$LP$60=T$4)*(GMWQ!$LR$2:$LR$60=T$1),0),$B201-1966)</f>
        <v>65949</v>
      </c>
      <c r="U201" s="7" cm="1">
        <f t="array" ref="U201">INDEX(GMWQ!$A$2:$LR$60,MATCH(1,(GMWQ!$LQ$2:$LQ$60=U$3)*(GMWQ!$LP$2:$LP$60=U$4)*(GMWQ!$LR$2:$LR$60=U$1),0),$B201-1966)</f>
        <v>12445</v>
      </c>
      <c r="V201" s="7" cm="1">
        <f t="array" ref="V201">INDEX(GMWQ!$A$2:$LR$60,MATCH(1,(GMWQ!$LQ$2:$LQ$60=V$3)*(GMWQ!$LP$2:$LP$60=V$4)*(GMWQ!$LR$2:$LR$60=V$1),0),$B201-1966)</f>
        <v>9.769682E-4</v>
      </c>
      <c r="W201" s="7" cm="1">
        <f t="array" ref="W201">INDEX(GMWQ!$A$2:$LR$60,MATCH(1,(GMWQ!$LQ$2:$LQ$60=W$3)*(GMWQ!$LP$2:$LP$60=W$4)*(GMWQ!$LR$2:$LR$60=W$1),0),$B201-1966)</f>
        <v>5.7623829999999998</v>
      </c>
      <c r="X201" s="7" cm="1">
        <f t="array" ref="X201">INDEX(GMWQ!$A$2:$LR$60,MATCH(1,(GMWQ!$LQ$2:$LQ$60=X$3)*(GMWQ!$LP$2:$LP$60=X$4)*(GMWQ!$LR$2:$LR$60=X$1),0),$B201-1966)</f>
        <v>4816823</v>
      </c>
      <c r="Y201" s="7" cm="1">
        <f t="array" ref="Y201">INDEX(GMWQ!$A$2:$LR$60,MATCH(1,(GMWQ!$LQ$2:$LQ$60=Y$3)*(GMWQ!$LP$2:$LP$60=Y$4)*(GMWQ!$LR$2:$LR$60=Y$1),0),$B201-1966)</f>
        <v>104.59569999999999</v>
      </c>
      <c r="Z201" s="7" cm="1">
        <f t="array" ref="Z201">INDEX(GMWQ!$A$2:$LR$60,MATCH(1,(GMWQ!$LQ$2:$LQ$60=Z$3)*(GMWQ!$LP$2:$LP$60=Z$4)*(GMWQ!$LR$2:$LR$60=Z$1),0),$B201-1966)</f>
        <v>555203.9</v>
      </c>
      <c r="AA201" s="7" cm="1">
        <f t="array" ref="AA201">INDEX(GMWQ!$A$2:$LR$60,MATCH(1,(GMWQ!$LQ$2:$LQ$60=AA$3)*(GMWQ!$LP$2:$LP$60=AA$4)*(GMWQ!$LR$2:$LR$60=AA$1),0),$B201-1966)</f>
        <v>221485</v>
      </c>
      <c r="AB201" s="7" cm="1">
        <f t="array" ref="AB201">INDEX(GMWQ!$A$2:$LR$60,MATCH(1,(GMWQ!$LQ$2:$LQ$60=AB$3)*(GMWQ!$LP$2:$LP$60=AB$4)*(GMWQ!$LR$2:$LR$60=AB$1),0),$B201-1966)</f>
        <v>231201</v>
      </c>
      <c r="AC201" s="7" cm="1">
        <f t="array" ref="AC201">INDEX(GMWQ!$A$2:$LR$60,MATCH(1,(GMWQ!$LQ$2:$LQ$60=AC$3)*(GMWQ!$LP$2:$LP$60=AC$4)*(GMWQ!$LR$2:$LR$60=AC$1),0),$B201-1966)</f>
        <v>13076</v>
      </c>
      <c r="AD201" s="7" cm="1">
        <f t="array" ref="AD201">INDEX(GMWQ!$A$2:$LR$60,MATCH(1,(GMWQ!$LQ$2:$LQ$60=AD$3)*(GMWQ!$LP$2:$LP$60=AD$4)*(GMWQ!$LR$2:$LR$60=AD$1),0),$B201-1966)</f>
        <v>13604</v>
      </c>
      <c r="AE201" s="7" cm="1">
        <f t="array" ref="AE201">INDEX(GMWQ!$A$2:$LR$60,MATCH(1,(GMWQ!$LQ$2:$LQ$60=AE$3)*(GMWQ!$LP$2:$LP$60=AE$4)*(GMWQ!$LR$2:$LR$60=AE$1),0),$B201-1966)</f>
        <v>581506</v>
      </c>
      <c r="AF201" s="20" cm="1">
        <f t="array" ref="AF201">INDEX(GMWQ!$A$2:$LR$60,MATCH(1,(GMWQ!$LQ$2:$LQ$60=AF$3)*(GMWQ!$LP$2:$LP$60=AF$4)*(GMWQ!$LR$2:$LR$60=AF$1),0),$B201-1966)</f>
        <v>0.1</v>
      </c>
      <c r="AG201" s="20" cm="1">
        <f t="array" ref="AG201">INDEX(GMWQ!$A$2:$LR$60,MATCH(1,(GMWQ!$LQ$2:$LQ$60=AG$3)*(GMWQ!$LP$2:$LP$60=AG$4)*(GMWQ!$LR$2:$LR$60=AG$1),0),$B201-1966)</f>
        <v>-120</v>
      </c>
      <c r="AI201" s="23" cm="1">
        <f t="array" ref="AI201">INDEX(GMWQ!$A$2:$LR$60,MATCH(1,(GMWQ!$LQ$2:$LQ$60=AI$3)*(GMWQ!$LP$2:$LP$60=AI$4)*(GMWQ!$LR$2:$LR$60=AI$1),0),$B201-1966)</f>
        <v>378192</v>
      </c>
      <c r="AJ201" s="23" cm="1">
        <f t="array" ref="AJ201">INDEX(GMWQ!$A$2:$LR$60,MATCH(1,(GMWQ!$LQ$2:$LQ$60=AJ$3)*(GMWQ!$LP$2:$LP$60=AJ$4)*(GMWQ!$LR$2:$LR$60=AJ$1),0),$B201-1966)</f>
        <v>102.9081</v>
      </c>
      <c r="AK201" s="23" cm="1">
        <f t="array" ref="AK201">INDEX(GMWQ!$A$2:$LR$60,MATCH(1,(GMWQ!$LQ$2:$LQ$60=AK$3)*(GMWQ!$LP$2:$LP$60=AK$4)*(GMWQ!$LR$2:$LR$60=AK$1),0),$B201-1966)</f>
        <v>239832</v>
      </c>
      <c r="AL201" s="23" cm="1">
        <f t="array" ref="AL201">INDEX(GMWQ!$A$2:$LR$60,MATCH(1,(GMWQ!$LQ$2:$LQ$60=AL$3)*(GMWQ!$LP$2:$LP$60=AL$4)*(GMWQ!$LR$2:$LR$60=AL$1),0),$B201-1966)</f>
        <v>8512.8310000000001</v>
      </c>
      <c r="AM201" s="23" cm="1">
        <f t="array" ref="AM201">INDEX(GMWQ!$A$2:$LR$60,MATCH(1,(GMWQ!$LQ$2:$LQ$60=AM$3)*(GMWQ!$LP$2:$LP$60=AM$4)*(GMWQ!$LR$2:$LR$60=AM$1),0),$B201-1966)</f>
        <v>28173</v>
      </c>
      <c r="AN201" s="23" cm="1">
        <f t="array" ref="AN201">INDEX(GMWQ!$A$2:$LR$60,MATCH(1,(GMWQ!$LQ$2:$LQ$60=AN$3)*(GMWQ!$LP$2:$LP$60=AN$4)*(GMWQ!$LR$2:$LR$60=AN$1),0),$B201-1966)</f>
        <v>57322</v>
      </c>
      <c r="AO201" s="23" cm="1">
        <f t="array" ref="AO201">INDEX(GMWQ!$A$2:$LR$60,MATCH(1,(GMWQ!$LQ$2:$LQ$60=AO$3)*(GMWQ!$LP$2:$LP$60=AO$4)*(GMWQ!$LR$2:$LR$60=AO$1),0),$B201-1966)</f>
        <v>19016</v>
      </c>
      <c r="AP201" s="23" cm="1">
        <f t="array" ref="AP201">INDEX(GMWQ!$A$2:$LR$60,MATCH(1,(GMWQ!$LQ$2:$LQ$60=AP$3)*(GMWQ!$LP$2:$LP$60=AP$4)*(GMWQ!$LR$2:$LR$60=AP$1),0),$B201-1966)</f>
        <v>-120</v>
      </c>
      <c r="AQ201" s="23" cm="1">
        <f t="array" ref="AQ201">INDEX(GMWQ!$A$2:$LR$60,MATCH(1,(GMWQ!$LQ$2:$LQ$60=AQ$3)*(GMWQ!$LP$2:$LP$60=AQ$4)*(GMWQ!$LR$2:$LR$60=AQ$1),0),$B201-1966)</f>
        <v>69587</v>
      </c>
      <c r="AR201" s="23" cm="1">
        <f t="array" ref="AR201">INDEX(GMWQ!$A$2:$LR$60,MATCH(1,(GMWQ!$LQ$2:$LQ$60=AR$3)*(GMWQ!$LP$2:$LP$60=AR$4)*(GMWQ!$LR$2:$LR$60=AR$1),0),$B201-1966)</f>
        <v>345193</v>
      </c>
      <c r="AS201" s="23" cm="1">
        <f t="array" ref="AS201">INDEX(GMWQ!$A$2:$LR$60,MATCH(1,(GMWQ!$LQ$2:$LQ$60=AS$3)*(GMWQ!$LP$2:$LP$60=AS$4)*(GMWQ!$LR$2:$LR$60=AS$1),0),$B201-1966)</f>
        <v>11910</v>
      </c>
      <c r="AT201" s="23" cm="1">
        <f t="array" ref="AT201">INDEX(GMWQ!$A$2:$LR$60,MATCH(1,(GMWQ!$LQ$2:$LQ$60=AT$3)*(GMWQ!$LP$2:$LP$60=AT$4)*(GMWQ!$LR$2:$LR$60=AT$1),0),$B201-1966)</f>
        <v>335438</v>
      </c>
      <c r="AU201" s="23" cm="1">
        <f t="array" ref="AU201">INDEX(GMWQ!$A$2:$LR$60,MATCH(1,(GMWQ!$LQ$2:$LQ$60=AU$3)*(GMWQ!$LP$2:$LP$60=AU$4)*(GMWQ!$LR$2:$LR$60=AU$1),0),$B201-1966)</f>
        <v>10905</v>
      </c>
    </row>
    <row r="202" spans="1:47" x14ac:dyDescent="0.35">
      <c r="B202" s="7">
        <f t="shared" si="4"/>
        <v>2168</v>
      </c>
      <c r="C202" s="7" cm="1">
        <f t="array" ref="C202">INDEX(GMWQ!$A$2:$LR$60,MATCH(1,(GMWQ!$LQ$2:$LQ$60=C$3)*(GMWQ!$LP$2:$LP$60=C$4)*(GMWQ!$LR$2:$LR$60=C$1),0),$B202-1966)</f>
        <v>564407</v>
      </c>
      <c r="D202" s="7" cm="1">
        <f t="array" ref="D202">INDEX(GMWQ!$A$2:$LR$60,MATCH(1,(GMWQ!$LQ$2:$LQ$60=D$3)*(GMWQ!$LP$2:$LP$60=D$4)*(GMWQ!$LR$2:$LR$60=D$1),0),$B202-1966)</f>
        <v>592.66669999999999</v>
      </c>
      <c r="E202" s="7" cm="1">
        <f t="array" ref="E202">INDEX(GMWQ!$A$2:$LR$60,MATCH(1,(GMWQ!$LQ$2:$LQ$60=E$3)*(GMWQ!$LP$2:$LP$60=E$4)*(GMWQ!$LR$2:$LR$60=E$1),0),$B202-1966)</f>
        <v>114.4</v>
      </c>
      <c r="F202" s="7" cm="1">
        <f t="array" ref="F202">INDEX(GMWQ!$A$2:$LR$60,MATCH(1,(GMWQ!$LQ$2:$LQ$60=F$3)*(GMWQ!$LP$2:$LP$60=F$4)*(GMWQ!$LR$2:$LR$60=F$1),0),$B202-1966)</f>
        <v>243639</v>
      </c>
      <c r="G202" s="7" cm="1">
        <f t="array" ref="G202">INDEX(GMWQ!$A$2:$LR$60,MATCH(1,(GMWQ!$LQ$2:$LQ$60=G$3)*(GMWQ!$LP$2:$LP$60=G$4)*(GMWQ!$LR$2:$LR$60=G$1),0),$B202-1966)</f>
        <v>59576</v>
      </c>
      <c r="H202" s="7" cm="1">
        <f t="array" ref="H202">INDEX(GMWQ!$A$2:$LR$60,MATCH(1,(GMWQ!$LQ$2:$LQ$60=H$3)*(GMWQ!$LP$2:$LP$60=H$4)*(GMWQ!$LR$2:$LR$60=H$1),0),$B202-1966)</f>
        <v>19528</v>
      </c>
      <c r="I202" s="7" cm="1">
        <f t="array" ref="I202">INDEX(GMWQ!$A$2:$LR$60,MATCH(1,(GMWQ!$LQ$2:$LQ$60=I$3)*(GMWQ!$LP$2:$LP$60=I$4)*(GMWQ!$LR$2:$LR$60=I$1),0),$B202-1966)</f>
        <v>104.3175</v>
      </c>
      <c r="J202" s="7" cm="1">
        <f t="array" ref="J202">INDEX(GMWQ!$A$2:$LR$60,MATCH(1,(GMWQ!$LQ$2:$LQ$60=J$3)*(GMWQ!$LP$2:$LP$60=J$4)*(GMWQ!$LR$2:$LR$60=J$1),0),$B202-1966)</f>
        <v>28245</v>
      </c>
      <c r="K202" s="7" cm="1">
        <f t="array" ref="K202">INDEX(GMWQ!$A$2:$LR$60,MATCH(1,(GMWQ!$LQ$2:$LQ$60=K$3)*(GMWQ!$LP$2:$LP$60=K$4)*(GMWQ!$LR$2:$LR$60=K$1),0),$B202-1966)</f>
        <v>0.25</v>
      </c>
      <c r="L202" s="7" cm="1">
        <f t="array" ref="L202">INDEX(GMWQ!$A$2:$LR$60,MATCH(1,(GMWQ!$LQ$2:$LQ$60=L$3)*(GMWQ!$LP$2:$LP$60=L$4)*(GMWQ!$LR$2:$LR$60=L$1),0),$B202-1966)</f>
        <v>4.2</v>
      </c>
      <c r="M202" s="7" cm="1">
        <f t="array" ref="M202">INDEX(GMWQ!$A$2:$LR$60,MATCH(1,(GMWQ!$LQ$2:$LQ$60=M$3)*(GMWQ!$LP$2:$LP$60=M$4)*(GMWQ!$LR$2:$LR$60=M$1),0),$B202-1966)</f>
        <v>138.09100000000001</v>
      </c>
      <c r="N202" s="7" cm="1">
        <f t="array" ref="N202">INDEX(GMWQ!$A$2:$LR$60,MATCH(1,(GMWQ!$LQ$2:$LQ$60=N$3)*(GMWQ!$LP$2:$LP$60=N$4)*(GMWQ!$LR$2:$LR$60=N$1),0),$B202-1966)</f>
        <v>5674</v>
      </c>
      <c r="O202" s="7" cm="1">
        <f t="array" ref="O202">INDEX(GMWQ!$A$2:$LR$60,MATCH(1,(GMWQ!$LQ$2:$LQ$60=O$3)*(GMWQ!$LP$2:$LP$60=O$4)*(GMWQ!$LR$2:$LR$60=O$1),0),$B202-1966)</f>
        <v>5639</v>
      </c>
      <c r="P202" s="7" cm="1">
        <f t="array" ref="P202">INDEX(GMWQ!$A$2:$LR$60,MATCH(1,(GMWQ!$LQ$2:$LQ$60=P$3)*(GMWQ!$LP$2:$LP$60=P$4)*(GMWQ!$LR$2:$LR$60=P$1),0),$B202-1966)</f>
        <v>380731</v>
      </c>
      <c r="Q202" s="7" cm="1">
        <f t="array" ref="Q202">INDEX(GMWQ!$A$2:$LR$60,MATCH(1,(GMWQ!$LQ$2:$LQ$60=Q$3)*(GMWQ!$LP$2:$LP$60=Q$4)*(GMWQ!$LR$2:$LR$60=Q$1),0),$B202-1966)</f>
        <v>2.02</v>
      </c>
      <c r="R202" s="7" cm="1">
        <f t="array" ref="R202">INDEX(GMWQ!$A$2:$LR$60,MATCH(1,(GMWQ!$LQ$2:$LQ$60=R$3)*(GMWQ!$LP$2:$LP$60=R$4)*(GMWQ!$LR$2:$LR$60=R$1),0),$B202-1966)</f>
        <v>207726</v>
      </c>
      <c r="S202" s="7" cm="1">
        <f t="array" ref="S202">INDEX(GMWQ!$A$2:$LR$60,MATCH(1,(GMWQ!$LQ$2:$LQ$60=S$3)*(GMWQ!$LP$2:$LP$60=S$4)*(GMWQ!$LR$2:$LR$60=S$1),0),$B202-1966)</f>
        <v>267.39</v>
      </c>
      <c r="T202" s="7" cm="1">
        <f t="array" ref="T202">INDEX(GMWQ!$A$2:$LR$60,MATCH(1,(GMWQ!$LQ$2:$LQ$60=T$3)*(GMWQ!$LP$2:$LP$60=T$4)*(GMWQ!$LR$2:$LR$60=T$1),0),$B202-1966)</f>
        <v>63118</v>
      </c>
      <c r="U202" s="7" cm="1">
        <f t="array" ref="U202">INDEX(GMWQ!$A$2:$LR$60,MATCH(1,(GMWQ!$LQ$2:$LQ$60=U$3)*(GMWQ!$LP$2:$LP$60=U$4)*(GMWQ!$LR$2:$LR$60=U$1),0),$B202-1966)</f>
        <v>9344</v>
      </c>
      <c r="V202" s="7" cm="1">
        <f t="array" ref="V202">INDEX(GMWQ!$A$2:$LR$60,MATCH(1,(GMWQ!$LQ$2:$LQ$60=V$3)*(GMWQ!$LP$2:$LP$60=V$4)*(GMWQ!$LR$2:$LR$60=V$1),0),$B202-1966)</f>
        <v>1.103981E-3</v>
      </c>
      <c r="W202" s="7" cm="1">
        <f t="array" ref="W202">INDEX(GMWQ!$A$2:$LR$60,MATCH(1,(GMWQ!$LQ$2:$LQ$60=W$3)*(GMWQ!$LP$2:$LP$60=W$4)*(GMWQ!$LR$2:$LR$60=W$1),0),$B202-1966)</f>
        <v>5.7356930000000004</v>
      </c>
      <c r="X202" s="7" cm="1">
        <f t="array" ref="X202">INDEX(GMWQ!$A$2:$LR$60,MATCH(1,(GMWQ!$LQ$2:$LQ$60=X$3)*(GMWQ!$LP$2:$LP$60=X$4)*(GMWQ!$LR$2:$LR$60=X$1),0),$B202-1966)</f>
        <v>4837908</v>
      </c>
      <c r="Y202" s="7" cm="1">
        <f t="array" ref="Y202">INDEX(GMWQ!$A$2:$LR$60,MATCH(1,(GMWQ!$LQ$2:$LQ$60=Y$3)*(GMWQ!$LP$2:$LP$60=Y$4)*(GMWQ!$LR$2:$LR$60=Y$1),0),$B202-1966)</f>
        <v>105.717</v>
      </c>
      <c r="Z202" s="7" cm="1">
        <f t="array" ref="Z202">INDEX(GMWQ!$A$2:$LR$60,MATCH(1,(GMWQ!$LQ$2:$LQ$60=Z$3)*(GMWQ!$LP$2:$LP$60=Z$4)*(GMWQ!$LR$2:$LR$60=Z$1),0),$B202-1966)</f>
        <v>555234.69999999995</v>
      </c>
      <c r="AA202" s="7" cm="1">
        <f t="array" ref="AA202">INDEX(GMWQ!$A$2:$LR$60,MATCH(1,(GMWQ!$LQ$2:$LQ$60=AA$3)*(GMWQ!$LP$2:$LP$60=AA$4)*(GMWQ!$LR$2:$LR$60=AA$1),0),$B202-1966)</f>
        <v>226643</v>
      </c>
      <c r="AB202" s="7" cm="1">
        <f t="array" ref="AB202">INDEX(GMWQ!$A$2:$LR$60,MATCH(1,(GMWQ!$LQ$2:$LQ$60=AB$3)*(GMWQ!$LP$2:$LP$60=AB$4)*(GMWQ!$LR$2:$LR$60=AB$1),0),$B202-1966)</f>
        <v>229516</v>
      </c>
      <c r="AC202" s="7" cm="1">
        <f t="array" ref="AC202">INDEX(GMWQ!$A$2:$LR$60,MATCH(1,(GMWQ!$LQ$2:$LQ$60=AC$3)*(GMWQ!$LP$2:$LP$60=AC$4)*(GMWQ!$LR$2:$LR$60=AC$1),0),$B202-1966)</f>
        <v>9354</v>
      </c>
      <c r="AD202" s="7" cm="1">
        <f t="array" ref="AD202">INDEX(GMWQ!$A$2:$LR$60,MATCH(1,(GMWQ!$LQ$2:$LQ$60=AD$3)*(GMWQ!$LP$2:$LP$60=AD$4)*(GMWQ!$LR$2:$LR$60=AD$1),0),$B202-1966)</f>
        <v>13784</v>
      </c>
      <c r="AE202" s="7" cm="1">
        <f t="array" ref="AE202">INDEX(GMWQ!$A$2:$LR$60,MATCH(1,(GMWQ!$LQ$2:$LQ$60=AE$3)*(GMWQ!$LP$2:$LP$60=AE$4)*(GMWQ!$LR$2:$LR$60=AE$1),0),$B202-1966)</f>
        <v>596674</v>
      </c>
      <c r="AF202" s="20" cm="1">
        <f t="array" ref="AF202">INDEX(GMWQ!$A$2:$LR$60,MATCH(1,(GMWQ!$LQ$2:$LQ$60=AF$3)*(GMWQ!$LP$2:$LP$60=AF$4)*(GMWQ!$LR$2:$LR$60=AF$1),0),$B202-1966)</f>
        <v>0.12727269999999999</v>
      </c>
      <c r="AG202" s="20" cm="1">
        <f t="array" ref="AG202">INDEX(GMWQ!$A$2:$LR$60,MATCH(1,(GMWQ!$LQ$2:$LQ$60=AG$3)*(GMWQ!$LP$2:$LP$60=AG$4)*(GMWQ!$LR$2:$LR$60=AG$1),0),$B202-1966)</f>
        <v>-35</v>
      </c>
      <c r="AI202" s="23" cm="1">
        <f t="array" ref="AI202">INDEX(GMWQ!$A$2:$LR$60,MATCH(1,(GMWQ!$LQ$2:$LQ$60=AI$3)*(GMWQ!$LP$2:$LP$60=AI$4)*(GMWQ!$LR$2:$LR$60=AI$1),0),$B202-1966)</f>
        <v>380731</v>
      </c>
      <c r="AJ202" s="23" cm="1">
        <f t="array" ref="AJ202">INDEX(GMWQ!$A$2:$LR$60,MATCH(1,(GMWQ!$LQ$2:$LQ$60=AJ$3)*(GMWQ!$LP$2:$LP$60=AJ$4)*(GMWQ!$LR$2:$LR$60=AJ$1),0),$B202-1966)</f>
        <v>104.3175</v>
      </c>
      <c r="AK202" s="23" cm="1">
        <f t="array" ref="AK202">INDEX(GMWQ!$A$2:$LR$60,MATCH(1,(GMWQ!$LQ$2:$LQ$60=AK$3)*(GMWQ!$LP$2:$LP$60=AK$4)*(GMWQ!$LR$2:$LR$60=AK$1),0),$B202-1966)</f>
        <v>243639</v>
      </c>
      <c r="AL202" s="23" cm="1">
        <f t="array" ref="AL202">INDEX(GMWQ!$A$2:$LR$60,MATCH(1,(GMWQ!$LQ$2:$LQ$60=AL$3)*(GMWQ!$LP$2:$LP$60=AL$4)*(GMWQ!$LR$2:$LR$60=AL$1),0),$B202-1966)</f>
        <v>8625.9159999999993</v>
      </c>
      <c r="AM202" s="23" cm="1">
        <f t="array" ref="AM202">INDEX(GMWQ!$A$2:$LR$60,MATCH(1,(GMWQ!$LQ$2:$LQ$60=AM$3)*(GMWQ!$LP$2:$LP$60=AM$4)*(GMWQ!$LR$2:$LR$60=AM$1),0),$B202-1966)</f>
        <v>28245</v>
      </c>
      <c r="AN202" s="23" cm="1">
        <f t="array" ref="AN202">INDEX(GMWQ!$A$2:$LR$60,MATCH(1,(GMWQ!$LQ$2:$LQ$60=AN$3)*(GMWQ!$LP$2:$LP$60=AN$4)*(GMWQ!$LR$2:$LR$60=AN$1),0),$B202-1966)</f>
        <v>59576</v>
      </c>
      <c r="AO202" s="23" cm="1">
        <f t="array" ref="AO202">INDEX(GMWQ!$A$2:$LR$60,MATCH(1,(GMWQ!$LQ$2:$LQ$60=AO$3)*(GMWQ!$LP$2:$LP$60=AO$4)*(GMWQ!$LR$2:$LR$60=AO$1),0),$B202-1966)</f>
        <v>19528</v>
      </c>
      <c r="AP202" s="23" cm="1">
        <f t="array" ref="AP202">INDEX(GMWQ!$A$2:$LR$60,MATCH(1,(GMWQ!$LQ$2:$LQ$60=AP$3)*(GMWQ!$LP$2:$LP$60=AP$4)*(GMWQ!$LR$2:$LR$60=AP$1),0),$B202-1966)</f>
        <v>-35</v>
      </c>
      <c r="AQ202" s="23" cm="1">
        <f t="array" ref="AQ202">INDEX(GMWQ!$A$2:$LR$60,MATCH(1,(GMWQ!$LQ$2:$LQ$60=AQ$3)*(GMWQ!$LP$2:$LP$60=AQ$4)*(GMWQ!$LR$2:$LR$60=AQ$1),0),$B202-1966)</f>
        <v>68963</v>
      </c>
      <c r="AR202" s="23" cm="1">
        <f t="array" ref="AR202">INDEX(GMWQ!$A$2:$LR$60,MATCH(1,(GMWQ!$LQ$2:$LQ$60=AR$3)*(GMWQ!$LP$2:$LP$60=AR$4)*(GMWQ!$LR$2:$LR$60=AR$1),0),$B202-1966)</f>
        <v>350829</v>
      </c>
      <c r="AS202" s="23" cm="1">
        <f t="array" ref="AS202">INDEX(GMWQ!$A$2:$LR$60,MATCH(1,(GMWQ!$LQ$2:$LQ$60=AS$3)*(GMWQ!$LP$2:$LP$60=AS$4)*(GMWQ!$LR$2:$LR$60=AS$1),0),$B202-1966)</f>
        <v>12167</v>
      </c>
      <c r="AT202" s="23" cm="1">
        <f t="array" ref="AT202">INDEX(GMWQ!$A$2:$LR$60,MATCH(1,(GMWQ!$LQ$2:$LQ$60=AT$3)*(GMWQ!$LP$2:$LP$60=AT$4)*(GMWQ!$LR$2:$LR$60=AT$1),0),$B202-1966)</f>
        <v>336309</v>
      </c>
      <c r="AU202" s="23" cm="1">
        <f t="array" ref="AU202">INDEX(GMWQ!$A$2:$LR$60,MATCH(1,(GMWQ!$LQ$2:$LQ$60=AU$3)*(GMWQ!$LP$2:$LP$60=AU$4)*(GMWQ!$LR$2:$LR$60=AU$1),0),$B202-1966)</f>
        <v>11022</v>
      </c>
    </row>
    <row r="203" spans="1:47" x14ac:dyDescent="0.35">
      <c r="A203" s="7">
        <v>2022</v>
      </c>
      <c r="B203" s="7">
        <f t="shared" si="4"/>
        <v>2169</v>
      </c>
      <c r="C203" s="7" cm="1">
        <f t="array" ref="C203">INDEX(GMWQ!$A$2:$LR$60,MATCH(1,(GMWQ!$LQ$2:$LQ$60=C$3)*(GMWQ!$LP$2:$LP$60=C$4)*(GMWQ!$LR$2:$LR$60=C$1),0),$B203-1966)</f>
        <v>567396</v>
      </c>
      <c r="D203" s="7" cm="1">
        <f t="array" ref="D203">INDEX(GMWQ!$A$2:$LR$60,MATCH(1,(GMWQ!$LQ$2:$LQ$60=D$3)*(GMWQ!$LP$2:$LP$60=D$4)*(GMWQ!$LR$2:$LR$60=D$1),0),$B203-1966)</f>
        <v>602.33330000000001</v>
      </c>
      <c r="E203" s="7" cm="1">
        <f t="array" ref="E203">INDEX(GMWQ!$A$2:$LR$60,MATCH(1,(GMWQ!$LQ$2:$LQ$60=E$3)*(GMWQ!$LP$2:$LP$60=E$4)*(GMWQ!$LR$2:$LR$60=E$1),0),$B203-1966)</f>
        <v>115.9333</v>
      </c>
      <c r="F203" s="7" cm="1">
        <f t="array" ref="F203">INDEX(GMWQ!$A$2:$LR$60,MATCH(1,(GMWQ!$LQ$2:$LQ$60=F$3)*(GMWQ!$LP$2:$LP$60=F$4)*(GMWQ!$LR$2:$LR$60=F$1),0),$B203-1966)</f>
        <v>249547</v>
      </c>
      <c r="G203" s="7" cm="1">
        <f t="array" ref="G203">INDEX(GMWQ!$A$2:$LR$60,MATCH(1,(GMWQ!$LQ$2:$LQ$60=G$3)*(GMWQ!$LP$2:$LP$60=G$4)*(GMWQ!$LR$2:$LR$60=G$1),0),$B203-1966)</f>
        <v>61372</v>
      </c>
      <c r="H203" s="7" cm="1">
        <f t="array" ref="H203">INDEX(GMWQ!$A$2:$LR$60,MATCH(1,(GMWQ!$LQ$2:$LQ$60=H$3)*(GMWQ!$LP$2:$LP$60=H$4)*(GMWQ!$LR$2:$LR$60=H$1),0),$B203-1966)</f>
        <v>20273</v>
      </c>
      <c r="I203" s="7" cm="1">
        <f t="array" ref="I203">INDEX(GMWQ!$A$2:$LR$60,MATCH(1,(GMWQ!$LQ$2:$LQ$60=I$3)*(GMWQ!$LP$2:$LP$60=I$4)*(GMWQ!$LR$2:$LR$60=I$1),0),$B203-1966)</f>
        <v>106.7436</v>
      </c>
      <c r="J203" s="7" cm="1">
        <f t="array" ref="J203">INDEX(GMWQ!$A$2:$LR$60,MATCH(1,(GMWQ!$LQ$2:$LQ$60=J$3)*(GMWQ!$LP$2:$LP$60=J$4)*(GMWQ!$LR$2:$LR$60=J$1),0),$B203-1966)</f>
        <v>28246</v>
      </c>
      <c r="K203" s="7" cm="1">
        <f t="array" ref="K203">INDEX(GMWQ!$A$2:$LR$60,MATCH(1,(GMWQ!$LQ$2:$LQ$60=K$3)*(GMWQ!$LP$2:$LP$60=K$4)*(GMWQ!$LR$2:$LR$60=K$1),0),$B203-1966)</f>
        <v>0.75</v>
      </c>
      <c r="L203" s="7" cm="1">
        <f t="array" ref="L203">INDEX(GMWQ!$A$2:$LR$60,MATCH(1,(GMWQ!$LQ$2:$LQ$60=L$3)*(GMWQ!$LP$2:$LP$60=L$4)*(GMWQ!$LR$2:$LR$60=L$1),0),$B203-1966)</f>
        <v>3.9</v>
      </c>
      <c r="M203" s="7" cm="1">
        <f t="array" ref="M203">INDEX(GMWQ!$A$2:$LR$60,MATCH(1,(GMWQ!$LQ$2:$LQ$60=M$3)*(GMWQ!$LP$2:$LP$60=M$4)*(GMWQ!$LR$2:$LR$60=M$1),0),$B203-1966)</f>
        <v>143.06030000000001</v>
      </c>
      <c r="N203" s="7" cm="1">
        <f t="array" ref="N203">INDEX(GMWQ!$A$2:$LR$60,MATCH(1,(GMWQ!$LQ$2:$LQ$60=N$3)*(GMWQ!$LP$2:$LP$60=N$4)*(GMWQ!$LR$2:$LR$60=N$1),0),$B203-1966)</f>
        <v>7346</v>
      </c>
      <c r="O203" s="7" cm="1">
        <f t="array" ref="O203">INDEX(GMWQ!$A$2:$LR$60,MATCH(1,(GMWQ!$LQ$2:$LQ$60=O$3)*(GMWQ!$LP$2:$LP$60=O$4)*(GMWQ!$LR$2:$LR$60=O$1),0),$B203-1966)</f>
        <v>7430</v>
      </c>
      <c r="P203" s="7" cm="1">
        <f t="array" ref="P203">INDEX(GMWQ!$A$2:$LR$60,MATCH(1,(GMWQ!$LQ$2:$LQ$60=P$3)*(GMWQ!$LP$2:$LP$60=P$4)*(GMWQ!$LR$2:$LR$60=P$1),0),$B203-1966)</f>
        <v>388396</v>
      </c>
      <c r="Q203" s="7" cm="1">
        <f t="array" ref="Q203">INDEX(GMWQ!$A$2:$LR$60,MATCH(1,(GMWQ!$LQ$2:$LQ$60=Q$3)*(GMWQ!$LP$2:$LP$60=Q$4)*(GMWQ!$LR$2:$LR$60=Q$1),0),$B203-1966)</f>
        <v>2.0266670000000002</v>
      </c>
      <c r="R203" s="7" cm="1">
        <f t="array" ref="R203">INDEX(GMWQ!$A$2:$LR$60,MATCH(1,(GMWQ!$LQ$2:$LQ$60=R$3)*(GMWQ!$LP$2:$LP$60=R$4)*(GMWQ!$LR$2:$LR$60=R$1),0),$B203-1966)</f>
        <v>212829</v>
      </c>
      <c r="S203" s="7" cm="1">
        <f t="array" ref="S203">INDEX(GMWQ!$A$2:$LR$60,MATCH(1,(GMWQ!$LQ$2:$LQ$60=S$3)*(GMWQ!$LP$2:$LP$60=S$4)*(GMWQ!$LR$2:$LR$60=S$1),0),$B203-1966)</f>
        <v>329.68</v>
      </c>
      <c r="T203" s="7" cm="1">
        <f t="array" ref="T203">INDEX(GMWQ!$A$2:$LR$60,MATCH(1,(GMWQ!$LQ$2:$LQ$60=T$3)*(GMWQ!$LP$2:$LP$60=T$4)*(GMWQ!$LR$2:$LR$60=T$1),0),$B203-1966)</f>
        <v>81900</v>
      </c>
      <c r="U203" s="7" cm="1">
        <f t="array" ref="U203">INDEX(GMWQ!$A$2:$LR$60,MATCH(1,(GMWQ!$LQ$2:$LQ$60=U$3)*(GMWQ!$LP$2:$LP$60=U$4)*(GMWQ!$LR$2:$LR$60=U$1),0),$B203-1966)</f>
        <v>18478</v>
      </c>
      <c r="V203" s="7" cm="1">
        <f t="array" ref="V203">INDEX(GMWQ!$A$2:$LR$60,MATCH(1,(GMWQ!$LQ$2:$LQ$60=V$3)*(GMWQ!$LP$2:$LP$60=V$4)*(GMWQ!$LR$2:$LR$60=V$1),0),$B203-1966)</f>
        <v>1.156221E-3</v>
      </c>
      <c r="W203" s="7" cm="1">
        <f t="array" ref="W203">INDEX(GMWQ!$A$2:$LR$60,MATCH(1,(GMWQ!$LQ$2:$LQ$60=W$3)*(GMWQ!$LP$2:$LP$60=W$4)*(GMWQ!$LR$2:$LR$60=W$1),0),$B203-1966)</f>
        <v>5.4026820000000004</v>
      </c>
      <c r="X203" s="7" cm="1">
        <f t="array" ref="X203">INDEX(GMWQ!$A$2:$LR$60,MATCH(1,(GMWQ!$LQ$2:$LQ$60=X$3)*(GMWQ!$LP$2:$LP$60=X$4)*(GMWQ!$LR$2:$LR$60=X$1),0),$B203-1966)</f>
        <v>4894356</v>
      </c>
      <c r="Y203" s="7" cm="1">
        <f t="array" ref="Y203">INDEX(GMWQ!$A$2:$LR$60,MATCH(1,(GMWQ!$LQ$2:$LQ$60=Y$3)*(GMWQ!$LP$2:$LP$60=Y$4)*(GMWQ!$LR$2:$LR$60=Y$1),0),$B203-1966)</f>
        <v>107.21420000000001</v>
      </c>
      <c r="Z203" s="7" cm="1">
        <f t="array" ref="Z203">INDEX(GMWQ!$A$2:$LR$60,MATCH(1,(GMWQ!$LQ$2:$LQ$60=Z$3)*(GMWQ!$LP$2:$LP$60=Z$4)*(GMWQ!$LR$2:$LR$60=Z$1),0),$B203-1966)</f>
        <v>560207.30000000005</v>
      </c>
      <c r="AA203" s="7" cm="1">
        <f t="array" ref="AA203">INDEX(GMWQ!$A$2:$LR$60,MATCH(1,(GMWQ!$LQ$2:$LQ$60=AA$3)*(GMWQ!$LP$2:$LP$60=AA$4)*(GMWQ!$LR$2:$LR$60=AA$1),0),$B203-1966)</f>
        <v>268754</v>
      </c>
      <c r="AB203" s="7" cm="1">
        <f t="array" ref="AB203">INDEX(GMWQ!$A$2:$LR$60,MATCH(1,(GMWQ!$LQ$2:$LQ$60=AB$3)*(GMWQ!$LP$2:$LP$60=AB$4)*(GMWQ!$LR$2:$LR$60=AB$1),0),$B203-1966)</f>
        <v>236136</v>
      </c>
      <c r="AC203" s="7" cm="1">
        <f t="array" ref="AC203">INDEX(GMWQ!$A$2:$LR$60,MATCH(1,(GMWQ!$LQ$2:$LQ$60=AC$3)*(GMWQ!$LP$2:$LP$60=AC$4)*(GMWQ!$LR$2:$LR$60=AC$1),0),$B203-1966)</f>
        <v>19693</v>
      </c>
      <c r="AD203" s="7" cm="1">
        <f t="array" ref="AD203">INDEX(GMWQ!$A$2:$LR$60,MATCH(1,(GMWQ!$LQ$2:$LQ$60=AD$3)*(GMWQ!$LP$2:$LP$60=AD$4)*(GMWQ!$LR$2:$LR$60=AD$1),0),$B203-1966)</f>
        <v>14334</v>
      </c>
      <c r="AE203" s="7" cm="1">
        <f t="array" ref="AE203">INDEX(GMWQ!$A$2:$LR$60,MATCH(1,(GMWQ!$LQ$2:$LQ$60=AE$3)*(GMWQ!$LP$2:$LP$60=AE$4)*(GMWQ!$LR$2:$LR$60=AE$1),0),$B203-1966)</f>
        <v>608329</v>
      </c>
      <c r="AF203" s="20" cm="1">
        <f t="array" ref="AF203">INDEX(GMWQ!$A$2:$LR$60,MATCH(1,(GMWQ!$LQ$2:$LQ$60=AF$3)*(GMWQ!$LP$2:$LP$60=AF$4)*(GMWQ!$LR$2:$LR$60=AF$1),0),$B203-1966)</f>
        <v>0.453125</v>
      </c>
      <c r="AG203" s="20" cm="1">
        <f t="array" ref="AG203">INDEX(GMWQ!$A$2:$LR$60,MATCH(1,(GMWQ!$LQ$2:$LQ$60=AG$3)*(GMWQ!$LP$2:$LP$60=AG$4)*(GMWQ!$LR$2:$LR$60=AG$1),0),$B203-1966)</f>
        <v>84</v>
      </c>
      <c r="AI203" s="23" cm="1">
        <f t="array" ref="AI203">INDEX(GMWQ!$A$2:$LR$60,MATCH(1,(GMWQ!$LQ$2:$LQ$60=AI$3)*(GMWQ!$LP$2:$LP$60=AI$4)*(GMWQ!$LR$2:$LR$60=AI$1),0),$B203-1966)</f>
        <v>388396</v>
      </c>
      <c r="AJ203" s="23" cm="1">
        <f t="array" ref="AJ203">INDEX(GMWQ!$A$2:$LR$60,MATCH(1,(GMWQ!$LQ$2:$LQ$60=AJ$3)*(GMWQ!$LP$2:$LP$60=AJ$4)*(GMWQ!$LR$2:$LR$60=AJ$1),0),$B203-1966)</f>
        <v>106.7436</v>
      </c>
      <c r="AK203" s="23" cm="1">
        <f t="array" ref="AK203">INDEX(GMWQ!$A$2:$LR$60,MATCH(1,(GMWQ!$LQ$2:$LQ$60=AK$3)*(GMWQ!$LP$2:$LP$60=AK$4)*(GMWQ!$LR$2:$LR$60=AK$1),0),$B203-1966)</f>
        <v>249547</v>
      </c>
      <c r="AL203" s="23" cm="1">
        <f t="array" ref="AL203">INDEX(GMWQ!$A$2:$LR$60,MATCH(1,(GMWQ!$LQ$2:$LQ$60=AL$3)*(GMWQ!$LP$2:$LP$60=AL$4)*(GMWQ!$LR$2:$LR$60=AL$1),0),$B203-1966)</f>
        <v>8834.7729999999992</v>
      </c>
      <c r="AM203" s="23" cm="1">
        <f t="array" ref="AM203">INDEX(GMWQ!$A$2:$LR$60,MATCH(1,(GMWQ!$LQ$2:$LQ$60=AM$3)*(GMWQ!$LP$2:$LP$60=AM$4)*(GMWQ!$LR$2:$LR$60=AM$1),0),$B203-1966)</f>
        <v>28246</v>
      </c>
      <c r="AN203" s="23" cm="1">
        <f t="array" ref="AN203">INDEX(GMWQ!$A$2:$LR$60,MATCH(1,(GMWQ!$LQ$2:$LQ$60=AN$3)*(GMWQ!$LP$2:$LP$60=AN$4)*(GMWQ!$LR$2:$LR$60=AN$1),0),$B203-1966)</f>
        <v>61372</v>
      </c>
      <c r="AO203" s="23" cm="1">
        <f t="array" ref="AO203">INDEX(GMWQ!$A$2:$LR$60,MATCH(1,(GMWQ!$LQ$2:$LQ$60=AO$3)*(GMWQ!$LP$2:$LP$60=AO$4)*(GMWQ!$LR$2:$LR$60=AO$1),0),$B203-1966)</f>
        <v>20273</v>
      </c>
      <c r="AP203" s="23" cm="1">
        <f t="array" ref="AP203">INDEX(GMWQ!$A$2:$LR$60,MATCH(1,(GMWQ!$LQ$2:$LQ$60=AP$3)*(GMWQ!$LP$2:$LP$60=AP$4)*(GMWQ!$LR$2:$LR$60=AP$1),0),$B203-1966)</f>
        <v>84</v>
      </c>
      <c r="AQ203" s="23" cm="1">
        <f t="array" ref="AQ203">INDEX(GMWQ!$A$2:$LR$60,MATCH(1,(GMWQ!$LQ$2:$LQ$60=AQ$3)*(GMWQ!$LP$2:$LP$60=AQ$4)*(GMWQ!$LR$2:$LR$60=AQ$1),0),$B203-1966)</f>
        <v>69701</v>
      </c>
      <c r="AR203" s="23" cm="1">
        <f t="array" ref="AR203">INDEX(GMWQ!$A$2:$LR$60,MATCH(1,(GMWQ!$LQ$2:$LQ$60=AR$3)*(GMWQ!$LP$2:$LP$60=AR$4)*(GMWQ!$LR$2:$LR$60=AR$1),0),$B203-1966)</f>
        <v>361326</v>
      </c>
      <c r="AS203" s="23" cm="1">
        <f t="array" ref="AS203">INDEX(GMWQ!$A$2:$LR$60,MATCH(1,(GMWQ!$LQ$2:$LQ$60=AS$3)*(GMWQ!$LP$2:$LP$60=AS$4)*(GMWQ!$LR$2:$LR$60=AS$1),0),$B203-1966)</f>
        <v>12186</v>
      </c>
      <c r="AT203" s="23" cm="1">
        <f t="array" ref="AT203">INDEX(GMWQ!$A$2:$LR$60,MATCH(1,(GMWQ!$LQ$2:$LQ$60=AT$3)*(GMWQ!$LP$2:$LP$60=AT$4)*(GMWQ!$LR$2:$LR$60=AT$1),0),$B203-1966)</f>
        <v>338499</v>
      </c>
      <c r="AU203" s="23" cm="1">
        <f t="array" ref="AU203">INDEX(GMWQ!$A$2:$LR$60,MATCH(1,(GMWQ!$LQ$2:$LQ$60=AU$3)*(GMWQ!$LP$2:$LP$60=AU$4)*(GMWQ!$LR$2:$LR$60=AU$1),0),$B203-1966)</f>
        <v>11498</v>
      </c>
    </row>
    <row r="204" spans="1:47" x14ac:dyDescent="0.35">
      <c r="B204" s="7">
        <f t="shared" si="4"/>
        <v>2170</v>
      </c>
      <c r="C204" s="7" cm="1">
        <f t="array" ref="C204">INDEX(GMWQ!$A$2:$LR$60,MATCH(1,(GMWQ!$LQ$2:$LQ$60=C$3)*(GMWQ!$LP$2:$LP$60=C$4)*(GMWQ!$LR$2:$LR$60=C$1),0),$B204-1966)</f>
        <v>567889</v>
      </c>
      <c r="D204" s="7" cm="1">
        <f t="array" ref="D204">INDEX(GMWQ!$A$2:$LR$60,MATCH(1,(GMWQ!$LQ$2:$LQ$60=D$3)*(GMWQ!$LP$2:$LP$60=D$4)*(GMWQ!$LR$2:$LR$60=D$1),0),$B204-1966)</f>
        <v>607.66669999999999</v>
      </c>
      <c r="E204" s="7" cm="1">
        <f t="array" ref="E204">INDEX(GMWQ!$A$2:$LR$60,MATCH(1,(GMWQ!$LQ$2:$LQ$60=E$3)*(GMWQ!$LP$2:$LP$60=E$4)*(GMWQ!$LR$2:$LR$60=E$1),0),$B204-1966)</f>
        <v>120.86669999999999</v>
      </c>
      <c r="F204" s="7" cm="1">
        <f t="array" ref="F204">INDEX(GMWQ!$A$2:$LR$60,MATCH(1,(GMWQ!$LQ$2:$LQ$60=F$3)*(GMWQ!$LP$2:$LP$60=F$4)*(GMWQ!$LR$2:$LR$60=F$1),0),$B204-1966)</f>
        <v>251707</v>
      </c>
      <c r="G204" s="7" cm="1">
        <f t="array" ref="G204">INDEX(GMWQ!$A$2:$LR$60,MATCH(1,(GMWQ!$LQ$2:$LQ$60=G$3)*(GMWQ!$LP$2:$LP$60=G$4)*(GMWQ!$LR$2:$LR$60=G$1),0),$B204-1966)</f>
        <v>61544</v>
      </c>
      <c r="H204" s="7" cm="1">
        <f t="array" ref="H204">INDEX(GMWQ!$A$2:$LR$60,MATCH(1,(GMWQ!$LQ$2:$LQ$60=H$3)*(GMWQ!$LP$2:$LP$60=H$4)*(GMWQ!$LR$2:$LR$60=H$1),0),$B204-1966)</f>
        <v>20582</v>
      </c>
      <c r="I204" s="7" cm="1">
        <f t="array" ref="I204">INDEX(GMWQ!$A$2:$LR$60,MATCH(1,(GMWQ!$LQ$2:$LQ$60=I$3)*(GMWQ!$LP$2:$LP$60=I$4)*(GMWQ!$LR$2:$LR$60=I$1),0),$B204-1966)</f>
        <v>109.9444</v>
      </c>
      <c r="J204" s="7" cm="1">
        <f t="array" ref="J204">INDEX(GMWQ!$A$2:$LR$60,MATCH(1,(GMWQ!$LQ$2:$LQ$60=J$3)*(GMWQ!$LP$2:$LP$60=J$4)*(GMWQ!$LR$2:$LR$60=J$1),0),$B204-1966)</f>
        <v>28376</v>
      </c>
      <c r="K204" s="7" cm="1">
        <f t="array" ref="K204">INDEX(GMWQ!$A$2:$LR$60,MATCH(1,(GMWQ!$LQ$2:$LQ$60=K$3)*(GMWQ!$LP$2:$LP$60=K$4)*(GMWQ!$LR$2:$LR$60=K$1),0),$B204-1966)</f>
        <v>1.25</v>
      </c>
      <c r="L204" s="7" cm="1">
        <f t="array" ref="L204">INDEX(GMWQ!$A$2:$LR$60,MATCH(1,(GMWQ!$LQ$2:$LQ$60=L$3)*(GMWQ!$LP$2:$LP$60=L$4)*(GMWQ!$LR$2:$LR$60=L$1),0),$B204-1966)</f>
        <v>3.9</v>
      </c>
      <c r="M204" s="7" cm="1">
        <f t="array" ref="M204">INDEX(GMWQ!$A$2:$LR$60,MATCH(1,(GMWQ!$LQ$2:$LQ$60=M$3)*(GMWQ!$LP$2:$LP$60=M$4)*(GMWQ!$LR$2:$LR$60=M$1),0),$B204-1966)</f>
        <v>146.4</v>
      </c>
      <c r="N204" s="7" cm="1">
        <f t="array" ref="N204">INDEX(GMWQ!$A$2:$LR$60,MATCH(1,(GMWQ!$LQ$2:$LQ$60=N$3)*(GMWQ!$LP$2:$LP$60=N$4)*(GMWQ!$LR$2:$LR$60=N$1),0),$B204-1966)</f>
        <v>9257</v>
      </c>
      <c r="O204" s="7" cm="1">
        <f t="array" ref="O204">INDEX(GMWQ!$A$2:$LR$60,MATCH(1,(GMWQ!$LQ$2:$LQ$60=O$3)*(GMWQ!$LP$2:$LP$60=O$4)*(GMWQ!$LR$2:$LR$60=O$1),0),$B204-1966)</f>
        <v>9336</v>
      </c>
      <c r="P204" s="7" cm="1">
        <f t="array" ref="P204">INDEX(GMWQ!$A$2:$LR$60,MATCH(1,(GMWQ!$LQ$2:$LQ$60=P$3)*(GMWQ!$LP$2:$LP$60=P$4)*(GMWQ!$LR$2:$LR$60=P$1),0),$B204-1966)</f>
        <v>394881</v>
      </c>
      <c r="Q204" s="7" cm="1">
        <f t="array" ref="Q204">INDEX(GMWQ!$A$2:$LR$60,MATCH(1,(GMWQ!$LQ$2:$LQ$60=Q$3)*(GMWQ!$LP$2:$LP$60=Q$4)*(GMWQ!$LR$2:$LR$60=Q$1),0),$B204-1966)</f>
        <v>2.0833330000000001</v>
      </c>
      <c r="R204" s="7" cm="1">
        <f t="array" ref="R204">INDEX(GMWQ!$A$2:$LR$60,MATCH(1,(GMWQ!$LQ$2:$LQ$60=R$3)*(GMWQ!$LP$2:$LP$60=R$4)*(GMWQ!$LR$2:$LR$60=R$1),0),$B204-1966)</f>
        <v>194527</v>
      </c>
      <c r="S204" s="7" cm="1">
        <f t="array" ref="S204">INDEX(GMWQ!$A$2:$LR$60,MATCH(1,(GMWQ!$LQ$2:$LQ$60=S$3)*(GMWQ!$LP$2:$LP$60=S$4)*(GMWQ!$LR$2:$LR$60=S$1),0),$B204-1966)</f>
        <v>322.73</v>
      </c>
      <c r="T204" s="7" cm="1">
        <f t="array" ref="T204">INDEX(GMWQ!$A$2:$LR$60,MATCH(1,(GMWQ!$LQ$2:$LQ$60=T$3)*(GMWQ!$LP$2:$LP$60=T$4)*(GMWQ!$LR$2:$LR$60=T$1),0),$B204-1966)</f>
        <v>82935</v>
      </c>
      <c r="U204" s="7" cm="1">
        <f t="array" ref="U204">INDEX(GMWQ!$A$2:$LR$60,MATCH(1,(GMWQ!$LQ$2:$LQ$60=U$3)*(GMWQ!$LP$2:$LP$60=U$4)*(GMWQ!$LR$2:$LR$60=U$1),0),$B204-1966)</f>
        <v>15503</v>
      </c>
      <c r="V204" s="7" cm="1">
        <f t="array" ref="V204">INDEX(GMWQ!$A$2:$LR$60,MATCH(1,(GMWQ!$LQ$2:$LQ$60=V$3)*(GMWQ!$LP$2:$LP$60=V$4)*(GMWQ!$LR$2:$LR$60=V$1),0),$B204-1966)</f>
        <v>1.3052490000000001E-3</v>
      </c>
      <c r="W204" s="7" cm="1">
        <f t="array" ref="W204">INDEX(GMWQ!$A$2:$LR$60,MATCH(1,(GMWQ!$LQ$2:$LQ$60=W$3)*(GMWQ!$LP$2:$LP$60=W$4)*(GMWQ!$LR$2:$LR$60=W$1),0),$B204-1966)</f>
        <v>5.3384749999999999</v>
      </c>
      <c r="X204" s="7" cm="1">
        <f t="array" ref="X204">INDEX(GMWQ!$A$2:$LR$60,MATCH(1,(GMWQ!$LQ$2:$LQ$60=X$3)*(GMWQ!$LP$2:$LP$60=X$4)*(GMWQ!$LR$2:$LR$60=X$1),0),$B204-1966)</f>
        <v>4942454</v>
      </c>
      <c r="Y204" s="7" cm="1">
        <f t="array" ref="Y204">INDEX(GMWQ!$A$2:$LR$60,MATCH(1,(GMWQ!$LQ$2:$LQ$60=Y$3)*(GMWQ!$LP$2:$LP$60=Y$4)*(GMWQ!$LR$2:$LR$60=Y$1),0),$B204-1966)</f>
        <v>109.4003</v>
      </c>
      <c r="Z204" s="7" cm="1">
        <f t="array" ref="Z204">INDEX(GMWQ!$A$2:$LR$60,MATCH(1,(GMWQ!$LQ$2:$LQ$60=Z$3)*(GMWQ!$LP$2:$LP$60=Z$4)*(GMWQ!$LR$2:$LR$60=Z$1),0),$B204-1966)</f>
        <v>561273</v>
      </c>
      <c r="AA204" s="7" cm="1">
        <f t="array" ref="AA204">INDEX(GMWQ!$A$2:$LR$60,MATCH(1,(GMWQ!$LQ$2:$LQ$60=AA$3)*(GMWQ!$LP$2:$LP$60=AA$4)*(GMWQ!$LR$2:$LR$60=AA$1),0),$B204-1966)</f>
        <v>232710</v>
      </c>
      <c r="AB204" s="7" cm="1">
        <f t="array" ref="AB204">INDEX(GMWQ!$A$2:$LR$60,MATCH(1,(GMWQ!$LQ$2:$LQ$60=AB$3)*(GMWQ!$LP$2:$LP$60=AB$4)*(GMWQ!$LR$2:$LR$60=AB$1),0),$B204-1966)</f>
        <v>252934</v>
      </c>
      <c r="AC204" s="7" cm="1">
        <f t="array" ref="AC204">INDEX(GMWQ!$A$2:$LR$60,MATCH(1,(GMWQ!$LQ$2:$LQ$60=AC$3)*(GMWQ!$LP$2:$LP$60=AC$4)*(GMWQ!$LR$2:$LR$60=AC$1),0),$B204-1966)</f>
        <v>6673</v>
      </c>
      <c r="AD204" s="7" cm="1">
        <f t="array" ref="AD204">INDEX(GMWQ!$A$2:$LR$60,MATCH(1,(GMWQ!$LQ$2:$LQ$60=AD$3)*(GMWQ!$LP$2:$LP$60=AD$4)*(GMWQ!$LR$2:$LR$60=AD$1),0),$B204-1966)</f>
        <v>14548</v>
      </c>
      <c r="AE204" s="7" cm="1">
        <f t="array" ref="AE204">INDEX(GMWQ!$A$2:$LR$60,MATCH(1,(GMWQ!$LQ$2:$LQ$60=AE$3)*(GMWQ!$LP$2:$LP$60=AE$4)*(GMWQ!$LR$2:$LR$60=AE$1),0),$B204-1966)</f>
        <v>621272</v>
      </c>
      <c r="AF204" s="20" cm="1">
        <f t="array" ref="AF204">INDEX(GMWQ!$A$2:$LR$60,MATCH(1,(GMWQ!$LQ$2:$LQ$60=AF$3)*(GMWQ!$LP$2:$LP$60=AF$4)*(GMWQ!$LR$2:$LR$60=AF$1),0),$B204-1966)</f>
        <v>0.95</v>
      </c>
      <c r="AG204" s="20" cm="1">
        <f t="array" ref="AG204">INDEX(GMWQ!$A$2:$LR$60,MATCH(1,(GMWQ!$LQ$2:$LQ$60=AG$3)*(GMWQ!$LP$2:$LP$60=AG$4)*(GMWQ!$LR$2:$LR$60=AG$1),0),$B204-1966)</f>
        <v>79</v>
      </c>
      <c r="AI204" s="23" cm="1">
        <f t="array" ref="AI204">INDEX(GMWQ!$A$2:$LR$60,MATCH(1,(GMWQ!$LQ$2:$LQ$60=AI$3)*(GMWQ!$LP$2:$LP$60=AI$4)*(GMWQ!$LR$2:$LR$60=AI$1),0),$B204-1966)</f>
        <v>394881</v>
      </c>
      <c r="AJ204" s="23" cm="1">
        <f t="array" ref="AJ204">INDEX(GMWQ!$A$2:$LR$60,MATCH(1,(GMWQ!$LQ$2:$LQ$60=AJ$3)*(GMWQ!$LP$2:$LP$60=AJ$4)*(GMWQ!$LR$2:$LR$60=AJ$1),0),$B204-1966)</f>
        <v>109.9444</v>
      </c>
      <c r="AK204" s="23" cm="1">
        <f t="array" ref="AK204">INDEX(GMWQ!$A$2:$LR$60,MATCH(1,(GMWQ!$LQ$2:$LQ$60=AK$3)*(GMWQ!$LP$2:$LP$60=AK$4)*(GMWQ!$LR$2:$LR$60=AK$1),0),$B204-1966)</f>
        <v>251707</v>
      </c>
      <c r="AL204" s="23" cm="1">
        <f t="array" ref="AL204">INDEX(GMWQ!$A$2:$LR$60,MATCH(1,(GMWQ!$LQ$2:$LQ$60=AL$3)*(GMWQ!$LP$2:$LP$60=AL$4)*(GMWQ!$LR$2:$LR$60=AL$1),0),$B204-1966)</f>
        <v>8870.4189999999999</v>
      </c>
      <c r="AM204" s="23" cm="1">
        <f t="array" ref="AM204">INDEX(GMWQ!$A$2:$LR$60,MATCH(1,(GMWQ!$LQ$2:$LQ$60=AM$3)*(GMWQ!$LP$2:$LP$60=AM$4)*(GMWQ!$LR$2:$LR$60=AM$1),0),$B204-1966)</f>
        <v>28376</v>
      </c>
      <c r="AN204" s="23" cm="1">
        <f t="array" ref="AN204">INDEX(GMWQ!$A$2:$LR$60,MATCH(1,(GMWQ!$LQ$2:$LQ$60=AN$3)*(GMWQ!$LP$2:$LP$60=AN$4)*(GMWQ!$LR$2:$LR$60=AN$1),0),$B204-1966)</f>
        <v>61544</v>
      </c>
      <c r="AO204" s="23" cm="1">
        <f t="array" ref="AO204">INDEX(GMWQ!$A$2:$LR$60,MATCH(1,(GMWQ!$LQ$2:$LQ$60=AO$3)*(GMWQ!$LP$2:$LP$60=AO$4)*(GMWQ!$LR$2:$LR$60=AO$1),0),$B204-1966)</f>
        <v>20582</v>
      </c>
      <c r="AP204" s="23" cm="1">
        <f t="array" ref="AP204">INDEX(GMWQ!$A$2:$LR$60,MATCH(1,(GMWQ!$LQ$2:$LQ$60=AP$3)*(GMWQ!$LP$2:$LP$60=AP$4)*(GMWQ!$LR$2:$LR$60=AP$1),0),$B204-1966)</f>
        <v>79</v>
      </c>
      <c r="AQ204" s="23" cm="1">
        <f t="array" ref="AQ204">INDEX(GMWQ!$A$2:$LR$60,MATCH(1,(GMWQ!$LQ$2:$LQ$60=AQ$3)*(GMWQ!$LP$2:$LP$60=AQ$4)*(GMWQ!$LR$2:$LR$60=AQ$1),0),$B204-1966)</f>
        <v>71548</v>
      </c>
      <c r="AR204" s="23" cm="1">
        <f t="array" ref="AR204">INDEX(GMWQ!$A$2:$LR$60,MATCH(1,(GMWQ!$LQ$2:$LQ$60=AR$3)*(GMWQ!$LP$2:$LP$60=AR$4)*(GMWQ!$LR$2:$LR$60=AR$1),0),$B204-1966)</f>
        <v>373379</v>
      </c>
      <c r="AS204" s="23" cm="1">
        <f t="array" ref="AS204">INDEX(GMWQ!$A$2:$LR$60,MATCH(1,(GMWQ!$LQ$2:$LQ$60=AS$3)*(GMWQ!$LP$2:$LP$60=AS$4)*(GMWQ!$LR$2:$LR$60=AS$1),0),$B204-1966)</f>
        <v>12367</v>
      </c>
      <c r="AT204" s="23" cm="1">
        <f t="array" ref="AT204">INDEX(GMWQ!$A$2:$LR$60,MATCH(1,(GMWQ!$LQ$2:$LQ$60=AT$3)*(GMWQ!$LP$2:$LP$60=AT$4)*(GMWQ!$LR$2:$LR$60=AT$1),0),$B204-1966)</f>
        <v>339607</v>
      </c>
      <c r="AU204" s="23" cm="1">
        <f t="array" ref="AU204">INDEX(GMWQ!$A$2:$LR$60,MATCH(1,(GMWQ!$LQ$2:$LQ$60=AU$3)*(GMWQ!$LP$2:$LP$60=AU$4)*(GMWQ!$LR$2:$LR$60=AU$1),0),$B204-1966)</f>
        <v>11769</v>
      </c>
    </row>
    <row r="205" spans="1:47" x14ac:dyDescent="0.35">
      <c r="B205" s="7">
        <f t="shared" si="4"/>
        <v>2171</v>
      </c>
      <c r="C205" s="7" cm="1">
        <f t="array" ref="C205">INDEX(GMWQ!$A$2:$LR$60,MATCH(1,(GMWQ!$LQ$2:$LQ$60=C$3)*(GMWQ!$LP$2:$LP$60=C$4)*(GMWQ!$LR$2:$LR$60=C$1),0),$B205-1966)</f>
        <v>567445</v>
      </c>
      <c r="D205" s="7" cm="1">
        <f t="array" ref="D205">INDEX(GMWQ!$A$2:$LR$60,MATCH(1,(GMWQ!$LQ$2:$LQ$60=D$3)*(GMWQ!$LP$2:$LP$60=D$4)*(GMWQ!$LR$2:$LR$60=D$1),0),$B205-1966)</f>
        <v>618</v>
      </c>
      <c r="E205" s="7" cm="1">
        <f t="array" ref="E205">INDEX(GMWQ!$A$2:$LR$60,MATCH(1,(GMWQ!$LQ$2:$LQ$60=E$3)*(GMWQ!$LP$2:$LP$60=E$4)*(GMWQ!$LR$2:$LR$60=E$1),0),$B205-1966)</f>
        <v>123.13330000000001</v>
      </c>
      <c r="F205" s="7" cm="1">
        <f t="array" ref="F205">INDEX(GMWQ!$A$2:$LR$60,MATCH(1,(GMWQ!$LQ$2:$LQ$60=F$3)*(GMWQ!$LP$2:$LP$60=F$4)*(GMWQ!$LR$2:$LR$60=F$1),0),$B205-1966)</f>
        <v>256301</v>
      </c>
      <c r="G205" s="7" cm="1">
        <f t="array" ref="G205">INDEX(GMWQ!$A$2:$LR$60,MATCH(1,(GMWQ!$LQ$2:$LQ$60=G$3)*(GMWQ!$LP$2:$LP$60=G$4)*(GMWQ!$LR$2:$LR$60=G$1),0),$B205-1966)</f>
        <v>64504</v>
      </c>
      <c r="H205" s="7" cm="1">
        <f t="array" ref="H205">INDEX(GMWQ!$A$2:$LR$60,MATCH(1,(GMWQ!$LQ$2:$LQ$60=H$3)*(GMWQ!$LP$2:$LP$60=H$4)*(GMWQ!$LR$2:$LR$60=H$1),0),$B205-1966)</f>
        <v>20698</v>
      </c>
      <c r="I205" s="7" cm="1">
        <f t="array" ref="I205">INDEX(GMWQ!$A$2:$LR$60,MATCH(1,(GMWQ!$LQ$2:$LQ$60=I$3)*(GMWQ!$LP$2:$LP$60=I$4)*(GMWQ!$LR$2:$LR$60=I$1),0),$B205-1966)</f>
        <v>112.5467</v>
      </c>
      <c r="J205" s="7" cm="1">
        <f t="array" ref="J205">INDEX(GMWQ!$A$2:$LR$60,MATCH(1,(GMWQ!$LQ$2:$LQ$60=J$3)*(GMWQ!$LP$2:$LP$60=J$4)*(GMWQ!$LR$2:$LR$60=J$1),0),$B205-1966)</f>
        <v>28532</v>
      </c>
      <c r="K205" s="7" cm="1">
        <f t="array" ref="K205">INDEX(GMWQ!$A$2:$LR$60,MATCH(1,(GMWQ!$LQ$2:$LQ$60=K$3)*(GMWQ!$LP$2:$LP$60=K$4)*(GMWQ!$LR$2:$LR$60=K$1),0),$B205-1966)</f>
        <v>2.25</v>
      </c>
      <c r="L205" s="7" cm="1">
        <f t="array" ref="L205">INDEX(GMWQ!$A$2:$LR$60,MATCH(1,(GMWQ!$LQ$2:$LQ$60=L$3)*(GMWQ!$LP$2:$LP$60=L$4)*(GMWQ!$LR$2:$LR$60=L$1),0),$B205-1966)</f>
        <v>3.8</v>
      </c>
      <c r="M205" s="7" cm="1">
        <f t="array" ref="M205">INDEX(GMWQ!$A$2:$LR$60,MATCH(1,(GMWQ!$LQ$2:$LQ$60=M$3)*(GMWQ!$LP$2:$LP$60=M$4)*(GMWQ!$LR$2:$LR$60=M$1),0),$B205-1966)</f>
        <v>149.39830000000001</v>
      </c>
      <c r="N205" s="7" cm="1">
        <f t="array" ref="N205">INDEX(GMWQ!$A$2:$LR$60,MATCH(1,(GMWQ!$LQ$2:$LQ$60=N$3)*(GMWQ!$LP$2:$LP$60=N$4)*(GMWQ!$LR$2:$LR$60=N$1),0),$B205-1966)</f>
        <v>11352</v>
      </c>
      <c r="O205" s="7" cm="1">
        <f t="array" ref="O205">INDEX(GMWQ!$A$2:$LR$60,MATCH(1,(GMWQ!$LQ$2:$LQ$60=O$3)*(GMWQ!$LP$2:$LP$60=O$4)*(GMWQ!$LR$2:$LR$60=O$1),0),$B205-1966)</f>
        <v>11497</v>
      </c>
      <c r="P205" s="7" cm="1">
        <f t="array" ref="P205">INDEX(GMWQ!$A$2:$LR$60,MATCH(1,(GMWQ!$LQ$2:$LQ$60=P$3)*(GMWQ!$LP$2:$LP$60=P$4)*(GMWQ!$LR$2:$LR$60=P$1),0),$B205-1966)</f>
        <v>402360</v>
      </c>
      <c r="Q205" s="7" cm="1">
        <f t="array" ref="Q205">INDEX(GMWQ!$A$2:$LR$60,MATCH(1,(GMWQ!$LQ$2:$LQ$60=Q$3)*(GMWQ!$LP$2:$LP$60=Q$4)*(GMWQ!$LR$2:$LR$60=Q$1),0),$B205-1966)</f>
        <v>2.1866669999999999</v>
      </c>
      <c r="R205" s="7" cm="1">
        <f t="array" ref="R205">INDEX(GMWQ!$A$2:$LR$60,MATCH(1,(GMWQ!$LQ$2:$LQ$60=R$3)*(GMWQ!$LP$2:$LP$60=R$4)*(GMWQ!$LR$2:$LR$60=R$1),0),$B205-1966)</f>
        <v>200726</v>
      </c>
      <c r="S205" s="7" cm="1">
        <f t="array" ref="S205">INDEX(GMWQ!$A$2:$LR$60,MATCH(1,(GMWQ!$LQ$2:$LQ$60=S$3)*(GMWQ!$LP$2:$LP$60=S$4)*(GMWQ!$LR$2:$LR$60=S$1),0),$B205-1966)</f>
        <v>307.49</v>
      </c>
      <c r="T205" s="7" cm="1">
        <f t="array" ref="T205">INDEX(GMWQ!$A$2:$LR$60,MATCH(1,(GMWQ!$LQ$2:$LQ$60=T$3)*(GMWQ!$LP$2:$LP$60=T$4)*(GMWQ!$LR$2:$LR$60=T$1),0),$B205-1966)</f>
        <v>76267</v>
      </c>
      <c r="U205" s="7" cm="1">
        <f t="array" ref="U205">INDEX(GMWQ!$A$2:$LR$60,MATCH(1,(GMWQ!$LQ$2:$LQ$60=U$3)*(GMWQ!$LP$2:$LP$60=U$4)*(GMWQ!$LR$2:$LR$60=U$1),0),$B205-1966)</f>
        <v>15489</v>
      </c>
      <c r="V205" s="7" cm="1">
        <f t="array" ref="V205">INDEX(GMWQ!$A$2:$LR$60,MATCH(1,(GMWQ!$LQ$2:$LQ$60=V$3)*(GMWQ!$LP$2:$LP$60=V$4)*(GMWQ!$LR$2:$LR$60=V$1),0),$B205-1966)</f>
        <v>1.3245819999999999E-3</v>
      </c>
      <c r="W205" s="7" cm="1">
        <f t="array" ref="W205">INDEX(GMWQ!$A$2:$LR$60,MATCH(1,(GMWQ!$LQ$2:$LQ$60=W$3)*(GMWQ!$LP$2:$LP$60=W$4)*(GMWQ!$LR$2:$LR$60=W$1),0),$B205-1966)</f>
        <v>6.3185560000000001</v>
      </c>
      <c r="X205" s="7" cm="1">
        <f t="array" ref="X205">INDEX(GMWQ!$A$2:$LR$60,MATCH(1,(GMWQ!$LQ$2:$LQ$60=X$3)*(GMWQ!$LP$2:$LP$60=X$4)*(GMWQ!$LR$2:$LR$60=X$1),0),$B205-1966)</f>
        <v>4988861</v>
      </c>
      <c r="Y205" s="7" cm="1">
        <f t="array" ref="Y205">INDEX(GMWQ!$A$2:$LR$60,MATCH(1,(GMWQ!$LQ$2:$LQ$60=Y$3)*(GMWQ!$LP$2:$LP$60=Y$4)*(GMWQ!$LR$2:$LR$60=Y$1),0),$B205-1966)</f>
        <v>111.1253</v>
      </c>
      <c r="Z205" s="7" cm="1">
        <f t="array" ref="Z205">INDEX(GMWQ!$A$2:$LR$60,MATCH(1,(GMWQ!$LQ$2:$LQ$60=Z$3)*(GMWQ!$LP$2:$LP$60=Z$4)*(GMWQ!$LR$2:$LR$60=Z$1),0),$B205-1966)</f>
        <v>559946.6</v>
      </c>
      <c r="AA205" s="7" cm="1">
        <f t="array" ref="AA205">INDEX(GMWQ!$A$2:$LR$60,MATCH(1,(GMWQ!$LQ$2:$LQ$60=AA$3)*(GMWQ!$LP$2:$LP$60=AA$4)*(GMWQ!$LR$2:$LR$60=AA$1),0),$B205-1966)</f>
        <v>251450</v>
      </c>
      <c r="AB205" s="7" cm="1">
        <f t="array" ref="AB205">INDEX(GMWQ!$A$2:$LR$60,MATCH(1,(GMWQ!$LQ$2:$LQ$60=AB$3)*(GMWQ!$LP$2:$LP$60=AB$4)*(GMWQ!$LR$2:$LR$60=AB$1),0),$B205-1966)</f>
        <v>251086</v>
      </c>
      <c r="AC205" s="7" cm="1">
        <f t="array" ref="AC205">INDEX(GMWQ!$A$2:$LR$60,MATCH(1,(GMWQ!$LQ$2:$LQ$60=AC$3)*(GMWQ!$LP$2:$LP$60=AC$4)*(GMWQ!$LR$2:$LR$60=AC$1),0),$B205-1966)</f>
        <v>10096</v>
      </c>
      <c r="AD205" s="7" cm="1">
        <f t="array" ref="AD205">INDEX(GMWQ!$A$2:$LR$60,MATCH(1,(GMWQ!$LQ$2:$LQ$60=AD$3)*(GMWQ!$LP$2:$LP$60=AD$4)*(GMWQ!$LR$2:$LR$60=AD$1),0),$B205-1966)</f>
        <v>14941</v>
      </c>
      <c r="AE205" s="7" cm="1">
        <f t="array" ref="AE205">INDEX(GMWQ!$A$2:$LR$60,MATCH(1,(GMWQ!$LQ$2:$LQ$60=AE$3)*(GMWQ!$LP$2:$LP$60=AE$4)*(GMWQ!$LR$2:$LR$60=AE$1),0),$B205-1966)</f>
        <v>630575</v>
      </c>
      <c r="AF205" s="20" cm="1">
        <f t="array" ref="AF205">INDEX(GMWQ!$A$2:$LR$60,MATCH(1,(GMWQ!$LQ$2:$LQ$60=AF$3)*(GMWQ!$LP$2:$LP$60=AF$4)*(GMWQ!$LR$2:$LR$60=AF$1),0),$B205-1966)</f>
        <v>1.6212120000000001</v>
      </c>
      <c r="AG205" s="20" cm="1">
        <f t="array" ref="AG205">INDEX(GMWQ!$A$2:$LR$60,MATCH(1,(GMWQ!$LQ$2:$LQ$60=AG$3)*(GMWQ!$LP$2:$LP$60=AG$4)*(GMWQ!$LR$2:$LR$60=AG$1),0),$B205-1966)</f>
        <v>145</v>
      </c>
      <c r="AI205" s="23" cm="1">
        <f t="array" ref="AI205">INDEX(GMWQ!$A$2:$LR$60,MATCH(1,(GMWQ!$LQ$2:$LQ$60=AI$3)*(GMWQ!$LP$2:$LP$60=AI$4)*(GMWQ!$LR$2:$LR$60=AI$1),0),$B205-1966)</f>
        <v>402360</v>
      </c>
      <c r="AJ205" s="23" cm="1">
        <f t="array" ref="AJ205">INDEX(GMWQ!$A$2:$LR$60,MATCH(1,(GMWQ!$LQ$2:$LQ$60=AJ$3)*(GMWQ!$LP$2:$LP$60=AJ$4)*(GMWQ!$LR$2:$LR$60=AJ$1),0),$B205-1966)</f>
        <v>112.5467</v>
      </c>
      <c r="AK205" s="23" cm="1">
        <f t="array" ref="AK205">INDEX(GMWQ!$A$2:$LR$60,MATCH(1,(GMWQ!$LQ$2:$LQ$60=AK$3)*(GMWQ!$LP$2:$LP$60=AK$4)*(GMWQ!$LR$2:$LR$60=AK$1),0),$B205-1966)</f>
        <v>256301</v>
      </c>
      <c r="AL205" s="23" cm="1">
        <f t="array" ref="AL205">INDEX(GMWQ!$A$2:$LR$60,MATCH(1,(GMWQ!$LQ$2:$LQ$60=AL$3)*(GMWQ!$LP$2:$LP$60=AL$4)*(GMWQ!$LR$2:$LR$60=AL$1),0),$B205-1966)</f>
        <v>8982.9320000000007</v>
      </c>
      <c r="AM205" s="23" cm="1">
        <f t="array" ref="AM205">INDEX(GMWQ!$A$2:$LR$60,MATCH(1,(GMWQ!$LQ$2:$LQ$60=AM$3)*(GMWQ!$LP$2:$LP$60=AM$4)*(GMWQ!$LR$2:$LR$60=AM$1),0),$B205-1966)</f>
        <v>28532</v>
      </c>
      <c r="AN205" s="23" cm="1">
        <f t="array" ref="AN205">INDEX(GMWQ!$A$2:$LR$60,MATCH(1,(GMWQ!$LQ$2:$LQ$60=AN$3)*(GMWQ!$LP$2:$LP$60=AN$4)*(GMWQ!$LR$2:$LR$60=AN$1),0),$B205-1966)</f>
        <v>64504</v>
      </c>
      <c r="AO205" s="23" cm="1">
        <f t="array" ref="AO205">INDEX(GMWQ!$A$2:$LR$60,MATCH(1,(GMWQ!$LQ$2:$LQ$60=AO$3)*(GMWQ!$LP$2:$LP$60=AO$4)*(GMWQ!$LR$2:$LR$60=AO$1),0),$B205-1966)</f>
        <v>20698</v>
      </c>
      <c r="AP205" s="23" cm="1">
        <f t="array" ref="AP205">INDEX(GMWQ!$A$2:$LR$60,MATCH(1,(GMWQ!$LQ$2:$LQ$60=AP$3)*(GMWQ!$LP$2:$LP$60=AP$4)*(GMWQ!$LR$2:$LR$60=AP$1),0),$B205-1966)</f>
        <v>145</v>
      </c>
      <c r="AQ205" s="23" cm="1">
        <f t="array" ref="AQ205">INDEX(GMWQ!$A$2:$LR$60,MATCH(1,(GMWQ!$LQ$2:$LQ$60=AQ$3)*(GMWQ!$LP$2:$LP$60=AQ$4)*(GMWQ!$LR$2:$LR$60=AQ$1),0),$B205-1966)</f>
        <v>77433</v>
      </c>
      <c r="AR205" s="23" cm="1">
        <f t="array" ref="AR205">INDEX(GMWQ!$A$2:$LR$60,MATCH(1,(GMWQ!$LQ$2:$LQ$60=AR$3)*(GMWQ!$LP$2:$LP$60=AR$4)*(GMWQ!$LR$2:$LR$60=AR$1),0),$B205-1966)</f>
        <v>378596</v>
      </c>
      <c r="AS205" s="23" cm="1">
        <f t="array" ref="AS205">INDEX(GMWQ!$A$2:$LR$60,MATCH(1,(GMWQ!$LQ$2:$LQ$60=AS$3)*(GMWQ!$LP$2:$LP$60=AS$4)*(GMWQ!$LR$2:$LR$60=AS$1),0),$B205-1966)</f>
        <v>12573</v>
      </c>
      <c r="AT205" s="23" cm="1">
        <f t="array" ref="AT205">INDEX(GMWQ!$A$2:$LR$60,MATCH(1,(GMWQ!$LQ$2:$LQ$60=AT$3)*(GMWQ!$LP$2:$LP$60=AT$4)*(GMWQ!$LR$2:$LR$60=AT$1),0),$B205-1966)</f>
        <v>336390</v>
      </c>
      <c r="AU205" s="23" cm="1">
        <f t="array" ref="AU205">INDEX(GMWQ!$A$2:$LR$60,MATCH(1,(GMWQ!$LQ$2:$LQ$60=AU$3)*(GMWQ!$LP$2:$LP$60=AU$4)*(GMWQ!$LR$2:$LR$60=AU$1),0),$B205-1966)</f>
        <v>11805</v>
      </c>
    </row>
    <row r="206" spans="1:47" x14ac:dyDescent="0.35">
      <c r="B206" s="7">
        <f t="shared" si="4"/>
        <v>2172</v>
      </c>
      <c r="C206" s="7" cm="1">
        <f t="array" ref="C206">INDEX(GMWQ!$A$2:$LR$60,MATCH(1,(GMWQ!$LQ$2:$LQ$60=C$3)*(GMWQ!$LP$2:$LP$60=C$4)*(GMWQ!$LR$2:$LR$60=C$1),0),$B206-1966)</f>
        <v>568034</v>
      </c>
      <c r="D206" s="7" cm="1">
        <f t="array" ref="D206">INDEX(GMWQ!$A$2:$LR$60,MATCH(1,(GMWQ!$LQ$2:$LQ$60=D$3)*(GMWQ!$LP$2:$LP$60=D$4)*(GMWQ!$LR$2:$LR$60=D$1),0),$B206-1966)</f>
        <v>630.66669999999999</v>
      </c>
      <c r="E206" s="7" cm="1">
        <f t="array" ref="E206">INDEX(GMWQ!$A$2:$LR$60,MATCH(1,(GMWQ!$LQ$2:$LQ$60=E$3)*(GMWQ!$LP$2:$LP$60=E$4)*(GMWQ!$LR$2:$LR$60=E$1),0),$B206-1966)</f>
        <v>126.7</v>
      </c>
      <c r="F206" s="7" cm="1">
        <f t="array" ref="F206">INDEX(GMWQ!$A$2:$LR$60,MATCH(1,(GMWQ!$LQ$2:$LQ$60=F$3)*(GMWQ!$LP$2:$LP$60=F$4)*(GMWQ!$LR$2:$LR$60=F$1),0),$B206-1966)</f>
        <v>262067</v>
      </c>
      <c r="G206" s="7" cm="1">
        <f t="array" ref="G206">INDEX(GMWQ!$A$2:$LR$60,MATCH(1,(GMWQ!$LQ$2:$LQ$60=G$3)*(GMWQ!$LP$2:$LP$60=G$4)*(GMWQ!$LR$2:$LR$60=G$1),0),$B206-1966)</f>
        <v>66487</v>
      </c>
      <c r="H206" s="7" cm="1">
        <f t="array" ref="H206">INDEX(GMWQ!$A$2:$LR$60,MATCH(1,(GMWQ!$LQ$2:$LQ$60=H$3)*(GMWQ!$LP$2:$LP$60=H$4)*(GMWQ!$LR$2:$LR$60=H$1),0),$B206-1966)</f>
        <v>20277</v>
      </c>
      <c r="I206" s="7" cm="1">
        <f t="array" ref="I206">INDEX(GMWQ!$A$2:$LR$60,MATCH(1,(GMWQ!$LQ$2:$LQ$60=I$3)*(GMWQ!$LP$2:$LP$60=I$4)*(GMWQ!$LR$2:$LR$60=I$1),0),$B206-1966)</f>
        <v>115.193</v>
      </c>
      <c r="J206" s="7" cm="1">
        <f t="array" ref="J206">INDEX(GMWQ!$A$2:$LR$60,MATCH(1,(GMWQ!$LQ$2:$LQ$60=J$3)*(GMWQ!$LP$2:$LP$60=J$4)*(GMWQ!$LR$2:$LR$60=J$1),0),$B206-1966)</f>
        <v>28633</v>
      </c>
      <c r="K206" s="7" cm="1">
        <f t="array" ref="K206">INDEX(GMWQ!$A$2:$LR$60,MATCH(1,(GMWQ!$LQ$2:$LQ$60=K$3)*(GMWQ!$LP$2:$LP$60=K$4)*(GMWQ!$LR$2:$LR$60=K$1),0),$B206-1966)</f>
        <v>3.5</v>
      </c>
      <c r="L206" s="7" cm="1">
        <f t="array" ref="L206">INDEX(GMWQ!$A$2:$LR$60,MATCH(1,(GMWQ!$LQ$2:$LQ$60=L$3)*(GMWQ!$LP$2:$LP$60=L$4)*(GMWQ!$LR$2:$LR$60=L$1),0),$B206-1966)</f>
        <v>3.9</v>
      </c>
      <c r="M206" s="7" cm="1">
        <f t="array" ref="M206">INDEX(GMWQ!$A$2:$LR$60,MATCH(1,(GMWQ!$LQ$2:$LQ$60=M$3)*(GMWQ!$LP$2:$LP$60=M$4)*(GMWQ!$LR$2:$LR$60=M$1),0),$B206-1966)</f>
        <v>150.30000000000001</v>
      </c>
      <c r="N206" s="7" cm="1">
        <f t="array" ref="N206">INDEX(GMWQ!$A$2:$LR$60,MATCH(1,(GMWQ!$LQ$2:$LQ$60=N$3)*(GMWQ!$LP$2:$LP$60=N$4)*(GMWQ!$LR$2:$LR$60=N$1),0),$B206-1966)</f>
        <v>15198</v>
      </c>
      <c r="O206" s="7" cm="1">
        <f t="array" ref="O206">INDEX(GMWQ!$A$2:$LR$60,MATCH(1,(GMWQ!$LQ$2:$LQ$60=O$3)*(GMWQ!$LP$2:$LP$60=O$4)*(GMWQ!$LR$2:$LR$60=O$1),0),$B206-1966)</f>
        <v>16413</v>
      </c>
      <c r="P206" s="7" cm="1">
        <f t="array" ref="P206">INDEX(GMWQ!$A$2:$LR$60,MATCH(1,(GMWQ!$LQ$2:$LQ$60=P$3)*(GMWQ!$LP$2:$LP$60=P$4)*(GMWQ!$LR$2:$LR$60=P$1),0),$B206-1966)</f>
        <v>418440</v>
      </c>
      <c r="Q206" s="7" cm="1">
        <f t="array" ref="Q206">INDEX(GMWQ!$A$2:$LR$60,MATCH(1,(GMWQ!$LQ$2:$LQ$60=Q$3)*(GMWQ!$LP$2:$LP$60=Q$4)*(GMWQ!$LR$2:$LR$60=Q$1),0),$B206-1966)</f>
        <v>2.3966669999999999</v>
      </c>
      <c r="R206" s="7" cm="1">
        <f t="array" ref="R206">INDEX(GMWQ!$A$2:$LR$60,MATCH(1,(GMWQ!$LQ$2:$LQ$60=R$3)*(GMWQ!$LP$2:$LP$60=R$4)*(GMWQ!$LR$2:$LR$60=R$1),0),$B206-1966)</f>
        <v>143888</v>
      </c>
      <c r="S206" s="7" cm="1">
        <f t="array" ref="S206">INDEX(GMWQ!$A$2:$LR$60,MATCH(1,(GMWQ!$LQ$2:$LQ$60=S$3)*(GMWQ!$LP$2:$LP$60=S$4)*(GMWQ!$LR$2:$LR$60=S$1),0),$B206-1966)</f>
        <v>305.42</v>
      </c>
      <c r="T206" s="7" cm="1">
        <f t="array" ref="T206">INDEX(GMWQ!$A$2:$LR$60,MATCH(1,(GMWQ!$LQ$2:$LQ$60=T$3)*(GMWQ!$LP$2:$LP$60=T$4)*(GMWQ!$LR$2:$LR$60=T$1),0),$B206-1966)</f>
        <v>73879</v>
      </c>
      <c r="U206" s="7" cm="1">
        <f t="array" ref="U206">INDEX(GMWQ!$A$2:$LR$60,MATCH(1,(GMWQ!$LQ$2:$LQ$60=U$3)*(GMWQ!$LP$2:$LP$60=U$4)*(GMWQ!$LR$2:$LR$60=U$1),0),$B206-1966)</f>
        <v>8348</v>
      </c>
      <c r="V206" s="7" cm="1">
        <f t="array" ref="V206">INDEX(GMWQ!$A$2:$LR$60,MATCH(1,(GMWQ!$LQ$2:$LQ$60=V$3)*(GMWQ!$LP$2:$LP$60=V$4)*(GMWQ!$LR$2:$LR$60=V$1),0),$B206-1966)</f>
        <v>1.3900379999999999E-3</v>
      </c>
      <c r="W206" s="7" cm="1">
        <f t="array" ref="W206">INDEX(GMWQ!$A$2:$LR$60,MATCH(1,(GMWQ!$LQ$2:$LQ$60=W$3)*(GMWQ!$LP$2:$LP$60=W$4)*(GMWQ!$LR$2:$LR$60=W$1),0),$B206-1966)</f>
        <v>7.0693049999999999</v>
      </c>
      <c r="X206" s="7" cm="1">
        <f t="array" ref="X206">INDEX(GMWQ!$A$2:$LR$60,MATCH(1,(GMWQ!$LQ$2:$LQ$60=X$3)*(GMWQ!$LP$2:$LP$60=X$4)*(GMWQ!$LR$2:$LR$60=X$1),0),$B206-1966)</f>
        <v>5053281</v>
      </c>
      <c r="Y206" s="7" cm="1">
        <f t="array" ref="Y206">INDEX(GMWQ!$A$2:$LR$60,MATCH(1,(GMWQ!$LQ$2:$LQ$60=Y$3)*(GMWQ!$LP$2:$LP$60=Y$4)*(GMWQ!$LR$2:$LR$60=Y$1),0),$B206-1966)</f>
        <v>113.6913</v>
      </c>
      <c r="Z206" s="7" cm="1">
        <f t="array" ref="Z206">INDEX(GMWQ!$A$2:$LR$60,MATCH(1,(GMWQ!$LQ$2:$LQ$60=Z$3)*(GMWQ!$LP$2:$LP$60=Z$4)*(GMWQ!$LR$2:$LR$60=Z$1),0),$B206-1966)</f>
        <v>563073.30000000005</v>
      </c>
      <c r="AA206" s="7" cm="1">
        <f t="array" ref="AA206">INDEX(GMWQ!$A$2:$LR$60,MATCH(1,(GMWQ!$LQ$2:$LQ$60=AA$3)*(GMWQ!$LP$2:$LP$60=AA$4)*(GMWQ!$LR$2:$LR$60=AA$1),0),$B206-1966)</f>
        <v>248912</v>
      </c>
      <c r="AB206" s="7" cm="1">
        <f t="array" ref="AB206">INDEX(GMWQ!$A$2:$LR$60,MATCH(1,(GMWQ!$LQ$2:$LQ$60=AB$3)*(GMWQ!$LP$2:$LP$60=AB$4)*(GMWQ!$LR$2:$LR$60=AB$1),0),$B206-1966)</f>
        <v>276099</v>
      </c>
      <c r="AC206" s="7" cm="1">
        <f t="array" ref="AC206">INDEX(GMWQ!$A$2:$LR$60,MATCH(1,(GMWQ!$LQ$2:$LQ$60=AC$3)*(GMWQ!$LP$2:$LP$60=AC$4)*(GMWQ!$LR$2:$LR$60=AC$1),0),$B206-1966)</f>
        <v>-453</v>
      </c>
      <c r="AD206" s="7" cm="1">
        <f t="array" ref="AD206">INDEX(GMWQ!$A$2:$LR$60,MATCH(1,(GMWQ!$LQ$2:$LQ$60=AD$3)*(GMWQ!$LP$2:$LP$60=AD$4)*(GMWQ!$LR$2:$LR$60=AD$1),0),$B206-1966)</f>
        <v>15180</v>
      </c>
      <c r="AE206" s="7" cm="1">
        <f t="array" ref="AE206">INDEX(GMWQ!$A$2:$LR$60,MATCH(1,(GMWQ!$LQ$2:$LQ$60=AE$3)*(GMWQ!$LP$2:$LP$60=AE$4)*(GMWQ!$LR$2:$LR$60=AE$1),0),$B206-1966)</f>
        <v>645805</v>
      </c>
      <c r="AF206" s="20" cm="1">
        <f t="array" ref="AF206">INDEX(GMWQ!$A$2:$LR$60,MATCH(1,(GMWQ!$LQ$2:$LQ$60=AF$3)*(GMWQ!$LP$2:$LP$60=AF$4)*(GMWQ!$LR$2:$LR$60=AF$1),0),$B206-1966)</f>
        <v>2.8269229999999999</v>
      </c>
      <c r="AG206" s="20" cm="1">
        <f t="array" ref="AG206">INDEX(GMWQ!$A$2:$LR$60,MATCH(1,(GMWQ!$LQ$2:$LQ$60=AG$3)*(GMWQ!$LP$2:$LP$60=AG$4)*(GMWQ!$LR$2:$LR$60=AG$1),0),$B206-1966)</f>
        <v>1215</v>
      </c>
      <c r="AI206" s="23" cm="1">
        <f t="array" ref="AI206">INDEX(GMWQ!$A$2:$LR$60,MATCH(1,(GMWQ!$LQ$2:$LQ$60=AI$3)*(GMWQ!$LP$2:$LP$60=AI$4)*(GMWQ!$LR$2:$LR$60=AI$1),0),$B206-1966)</f>
        <v>418440</v>
      </c>
      <c r="AJ206" s="23" cm="1">
        <f t="array" ref="AJ206">INDEX(GMWQ!$A$2:$LR$60,MATCH(1,(GMWQ!$LQ$2:$LQ$60=AJ$3)*(GMWQ!$LP$2:$LP$60=AJ$4)*(GMWQ!$LR$2:$LR$60=AJ$1),0),$B206-1966)</f>
        <v>115.193</v>
      </c>
      <c r="AK206" s="23" cm="1">
        <f t="array" ref="AK206">INDEX(GMWQ!$A$2:$LR$60,MATCH(1,(GMWQ!$LQ$2:$LQ$60=AK$3)*(GMWQ!$LP$2:$LP$60=AK$4)*(GMWQ!$LR$2:$LR$60=AK$1),0),$B206-1966)</f>
        <v>262067</v>
      </c>
      <c r="AL206" s="23" cm="1">
        <f t="array" ref="AL206">INDEX(GMWQ!$A$2:$LR$60,MATCH(1,(GMWQ!$LQ$2:$LQ$60=AL$3)*(GMWQ!$LP$2:$LP$60=AL$4)*(GMWQ!$LR$2:$LR$60=AL$1),0),$B206-1966)</f>
        <v>9152.6209999999992</v>
      </c>
      <c r="AM206" s="23" cm="1">
        <f t="array" ref="AM206">INDEX(GMWQ!$A$2:$LR$60,MATCH(1,(GMWQ!$LQ$2:$LQ$60=AM$3)*(GMWQ!$LP$2:$LP$60=AM$4)*(GMWQ!$LR$2:$LR$60=AM$1),0),$B206-1966)</f>
        <v>28633</v>
      </c>
      <c r="AN206" s="23" cm="1">
        <f t="array" ref="AN206">INDEX(GMWQ!$A$2:$LR$60,MATCH(1,(GMWQ!$LQ$2:$LQ$60=AN$3)*(GMWQ!$LP$2:$LP$60=AN$4)*(GMWQ!$LR$2:$LR$60=AN$1),0),$B206-1966)</f>
        <v>66487</v>
      </c>
      <c r="AO206" s="23" cm="1">
        <f t="array" ref="AO206">INDEX(GMWQ!$A$2:$LR$60,MATCH(1,(GMWQ!$LQ$2:$LQ$60=AO$3)*(GMWQ!$LP$2:$LP$60=AO$4)*(GMWQ!$LR$2:$LR$60=AO$1),0),$B206-1966)</f>
        <v>20277</v>
      </c>
      <c r="AP206" s="23" cm="1">
        <f t="array" ref="AP206">INDEX(GMWQ!$A$2:$LR$60,MATCH(1,(GMWQ!$LQ$2:$LQ$60=AP$3)*(GMWQ!$LP$2:$LP$60=AP$4)*(GMWQ!$LR$2:$LR$60=AP$1),0),$B206-1966)</f>
        <v>1215</v>
      </c>
      <c r="AQ206" s="23" cm="1">
        <f t="array" ref="AQ206">INDEX(GMWQ!$A$2:$LR$60,MATCH(1,(GMWQ!$LQ$2:$LQ$60=AQ$3)*(GMWQ!$LP$2:$LP$60=AQ$4)*(GMWQ!$LR$2:$LR$60=AQ$1),0),$B206-1966)</f>
        <v>76207</v>
      </c>
      <c r="AR206" s="23" cm="1">
        <f t="array" ref="AR206">INDEX(GMWQ!$A$2:$LR$60,MATCH(1,(GMWQ!$LQ$2:$LQ$60=AR$3)*(GMWQ!$LP$2:$LP$60=AR$4)*(GMWQ!$LR$2:$LR$60=AR$1),0),$B206-1966)</f>
        <v>387098</v>
      </c>
      <c r="AS206" s="23" cm="1">
        <f t="array" ref="AS206">INDEX(GMWQ!$A$2:$LR$60,MATCH(1,(GMWQ!$LQ$2:$LQ$60=AS$3)*(GMWQ!$LP$2:$LP$60=AS$4)*(GMWQ!$LR$2:$LR$60=AS$1),0),$B206-1966)</f>
        <v>12741</v>
      </c>
      <c r="AT206" s="23" cm="1">
        <f t="array" ref="AT206">INDEX(GMWQ!$A$2:$LR$60,MATCH(1,(GMWQ!$LQ$2:$LQ$60=AT$3)*(GMWQ!$LP$2:$LP$60=AT$4)*(GMWQ!$LR$2:$LR$60=AT$1),0),$B206-1966)</f>
        <v>336043</v>
      </c>
      <c r="AU206" s="23" cm="1">
        <f t="array" ref="AU206">INDEX(GMWQ!$A$2:$LR$60,MATCH(1,(GMWQ!$LQ$2:$LQ$60=AU$3)*(GMWQ!$LP$2:$LP$60=AU$4)*(GMWQ!$LR$2:$LR$60=AU$1),0),$B206-1966)</f>
        <v>11861</v>
      </c>
    </row>
    <row r="207" spans="1:47" x14ac:dyDescent="0.35">
      <c r="A207" s="7">
        <v>2023</v>
      </c>
      <c r="B207" s="7">
        <f t="shared" si="4"/>
        <v>2173</v>
      </c>
      <c r="C207" s="7" cm="1">
        <f t="array" ref="C207">INDEX(GMWQ!$A$2:$LR$60,MATCH(1,(GMWQ!$LQ$2:$LQ$60=C$3)*(GMWQ!$LP$2:$LP$60=C$4)*(GMWQ!$LR$2:$LR$60=C$1),0),$B207-1966)</f>
        <v>569336</v>
      </c>
      <c r="D207" s="7" cm="1">
        <f t="array" ref="D207">INDEX(GMWQ!$A$2:$LR$60,MATCH(1,(GMWQ!$LQ$2:$LQ$60=D$3)*(GMWQ!$LP$2:$LP$60=D$4)*(GMWQ!$LR$2:$LR$60=D$1),0),$B207-1966)</f>
        <v>639.66669999999999</v>
      </c>
      <c r="E207" s="7" cm="1">
        <f t="array" ref="E207">INDEX(GMWQ!$A$2:$LR$60,MATCH(1,(GMWQ!$LQ$2:$LQ$60=E$3)*(GMWQ!$LP$2:$LP$60=E$4)*(GMWQ!$LR$2:$LR$60=E$1),0),$B207-1966)</f>
        <v>127.7333</v>
      </c>
      <c r="F207" s="7" cm="1">
        <f t="array" ref="F207">INDEX(GMWQ!$A$2:$LR$60,MATCH(1,(GMWQ!$LQ$2:$LQ$60=F$3)*(GMWQ!$LP$2:$LP$60=F$4)*(GMWQ!$LR$2:$LR$60=F$1),0),$B207-1966)</f>
        <v>267415</v>
      </c>
      <c r="G207" s="7" cm="1">
        <f t="array" ref="G207">INDEX(GMWQ!$A$2:$LR$60,MATCH(1,(GMWQ!$LQ$2:$LQ$60=G$3)*(GMWQ!$LP$2:$LP$60=G$4)*(GMWQ!$LR$2:$LR$60=G$1),0),$B207-1966)</f>
        <v>71481</v>
      </c>
      <c r="H207" s="7" cm="1">
        <f t="array" ref="H207">INDEX(GMWQ!$A$2:$LR$60,MATCH(1,(GMWQ!$LQ$2:$LQ$60=H$3)*(GMWQ!$LP$2:$LP$60=H$4)*(GMWQ!$LR$2:$LR$60=H$1),0),$B207-1966)</f>
        <v>20303</v>
      </c>
      <c r="I207" s="7" cm="1">
        <f t="array" ref="I207">INDEX(GMWQ!$A$2:$LR$60,MATCH(1,(GMWQ!$LQ$2:$LQ$60=I$3)*(GMWQ!$LP$2:$LP$60=I$4)*(GMWQ!$LR$2:$LR$60=I$1),0),$B207-1966)</f>
        <v>117.3306</v>
      </c>
      <c r="J207" s="7" cm="1">
        <f t="array" ref="J207">INDEX(GMWQ!$A$2:$LR$60,MATCH(1,(GMWQ!$LQ$2:$LQ$60=J$3)*(GMWQ!$LP$2:$LP$60=J$4)*(GMWQ!$LR$2:$LR$60=J$1),0),$B207-1966)</f>
        <v>28666</v>
      </c>
      <c r="K207" s="7" cm="1">
        <f t="array" ref="K207">INDEX(GMWQ!$A$2:$LR$60,MATCH(1,(GMWQ!$LQ$2:$LQ$60=K$3)*(GMWQ!$LP$2:$LP$60=K$4)*(GMWQ!$LR$2:$LR$60=K$1),0),$B207-1966)</f>
        <v>4.25</v>
      </c>
      <c r="L207" s="7" cm="1">
        <f t="array" ref="L207">INDEX(GMWQ!$A$2:$LR$60,MATCH(1,(GMWQ!$LQ$2:$LQ$60=L$3)*(GMWQ!$LP$2:$LP$60=L$4)*(GMWQ!$LR$2:$LR$60=L$1),0),$B207-1966)</f>
        <v>3.9</v>
      </c>
      <c r="M207" s="7" cm="1">
        <f t="array" ref="M207">INDEX(GMWQ!$A$2:$LR$60,MATCH(1,(GMWQ!$LQ$2:$LQ$60=M$3)*(GMWQ!$LP$2:$LP$60=M$4)*(GMWQ!$LR$2:$LR$60=M$1),0),$B207-1966)</f>
        <v>148.26669999999999</v>
      </c>
      <c r="N207" s="7" cm="1">
        <f t="array" ref="N207">INDEX(GMWQ!$A$2:$LR$60,MATCH(1,(GMWQ!$LQ$2:$LQ$60=N$3)*(GMWQ!$LP$2:$LP$60=N$4)*(GMWQ!$LR$2:$LR$60=N$1),0),$B207-1966)</f>
        <v>20267</v>
      </c>
      <c r="O207" s="7" cm="1">
        <f t="array" ref="O207">INDEX(GMWQ!$A$2:$LR$60,MATCH(1,(GMWQ!$LQ$2:$LQ$60=O$3)*(GMWQ!$LP$2:$LP$60=O$4)*(GMWQ!$LR$2:$LR$60=O$1),0),$B207-1966)</f>
        <v>21609</v>
      </c>
      <c r="P207" s="7" cm="1">
        <f t="array" ref="P207">INDEX(GMWQ!$A$2:$LR$60,MATCH(1,(GMWQ!$LQ$2:$LQ$60=P$3)*(GMWQ!$LP$2:$LP$60=P$4)*(GMWQ!$LR$2:$LR$60=P$1),0),$B207-1966)</f>
        <v>423908</v>
      </c>
      <c r="Q207" s="7" cm="1">
        <f t="array" ref="Q207">INDEX(GMWQ!$A$2:$LR$60,MATCH(1,(GMWQ!$LQ$2:$LQ$60=Q$3)*(GMWQ!$LP$2:$LP$60=Q$4)*(GMWQ!$LR$2:$LR$60=Q$1),0),$B207-1966)</f>
        <v>2.65</v>
      </c>
      <c r="R207" s="7" cm="1">
        <f t="array" ref="R207">INDEX(GMWQ!$A$2:$LR$60,MATCH(1,(GMWQ!$LQ$2:$LQ$60=R$3)*(GMWQ!$LP$2:$LP$60=R$4)*(GMWQ!$LR$2:$LR$60=R$1),0),$B207-1966)</f>
        <v>135399</v>
      </c>
      <c r="S207" s="7" cm="1">
        <f t="array" ref="S207">INDEX(GMWQ!$A$2:$LR$60,MATCH(1,(GMWQ!$LQ$2:$LQ$60=S$3)*(GMWQ!$LP$2:$LP$60=S$4)*(GMWQ!$LR$2:$LR$60=S$1),0),$B207-1966)</f>
        <v>272.95999999999998</v>
      </c>
      <c r="T207" s="7" cm="1">
        <f t="array" ref="T207">INDEX(GMWQ!$A$2:$LR$60,MATCH(1,(GMWQ!$LQ$2:$LQ$60=T$3)*(GMWQ!$LP$2:$LP$60=T$4)*(GMWQ!$LR$2:$LR$60=T$1),0),$B207-1966)</f>
        <v>63513</v>
      </c>
      <c r="U207" s="7" cm="1">
        <f t="array" ref="U207">INDEX(GMWQ!$A$2:$LR$60,MATCH(1,(GMWQ!$LQ$2:$LQ$60=U$3)*(GMWQ!$LP$2:$LP$60=U$4)*(GMWQ!$LR$2:$LR$60=U$1),0),$B207-1966)</f>
        <v>2368</v>
      </c>
      <c r="V207" s="7" cm="1">
        <f t="array" ref="V207">INDEX(GMWQ!$A$2:$LR$60,MATCH(1,(GMWQ!$LQ$2:$LQ$60=V$3)*(GMWQ!$LP$2:$LP$60=V$4)*(GMWQ!$LR$2:$LR$60=V$1),0),$B207-1966)</f>
        <v>1.332703E-3</v>
      </c>
      <c r="W207" s="7" cm="1">
        <f t="array" ref="W207">INDEX(GMWQ!$A$2:$LR$60,MATCH(1,(GMWQ!$LQ$2:$LQ$60=W$3)*(GMWQ!$LP$2:$LP$60=W$4)*(GMWQ!$LR$2:$LR$60=W$1),0),$B207-1966)</f>
        <v>8.5229250000000008</v>
      </c>
      <c r="X207" s="7" cm="1">
        <f t="array" ref="X207">INDEX(GMWQ!$A$2:$LR$60,MATCH(1,(GMWQ!$LQ$2:$LQ$60=X$3)*(GMWQ!$LP$2:$LP$60=X$4)*(GMWQ!$LR$2:$LR$60=X$1),0),$B207-1966)</f>
        <v>5116743</v>
      </c>
      <c r="Y207" s="7" cm="1">
        <f t="array" ref="Y207">INDEX(GMWQ!$A$2:$LR$60,MATCH(1,(GMWQ!$LQ$2:$LQ$60=Y$3)*(GMWQ!$LP$2:$LP$60=Y$4)*(GMWQ!$LR$2:$LR$60=Y$1),0),$B207-1966)</f>
        <v>115.6705</v>
      </c>
      <c r="Z207" s="7" cm="1">
        <f t="array" ref="Z207">INDEX(GMWQ!$A$2:$LR$60,MATCH(1,(GMWQ!$LQ$2:$LQ$60=Z$3)*(GMWQ!$LP$2:$LP$60=Z$4)*(GMWQ!$LR$2:$LR$60=Z$1),0),$B207-1966)</f>
        <v>567181.19999999995</v>
      </c>
      <c r="AA207" s="7" cm="1">
        <f t="array" ref="AA207">INDEX(GMWQ!$A$2:$LR$60,MATCH(1,(GMWQ!$LQ$2:$LQ$60=AA$3)*(GMWQ!$LP$2:$LP$60=AA$4)*(GMWQ!$LR$2:$LR$60=AA$1),0),$B207-1966)</f>
        <v>294255</v>
      </c>
      <c r="AB207" s="7" cm="1">
        <f t="array" ref="AB207">INDEX(GMWQ!$A$2:$LR$60,MATCH(1,(GMWQ!$LQ$2:$LQ$60=AB$3)*(GMWQ!$LP$2:$LP$60=AB$4)*(GMWQ!$LR$2:$LR$60=AB$1),0),$B207-1966)</f>
        <v>270953</v>
      </c>
      <c r="AC207" s="7" cm="1">
        <f t="array" ref="AC207">INDEX(GMWQ!$A$2:$LR$60,MATCH(1,(GMWQ!$LQ$2:$LQ$60=AC$3)*(GMWQ!$LP$2:$LP$60=AC$4)*(GMWQ!$LR$2:$LR$60=AC$1),0),$B207-1966)</f>
        <v>29620</v>
      </c>
      <c r="AD207" s="7" cm="1">
        <f t="array" ref="AD207">INDEX(GMWQ!$A$2:$LR$60,MATCH(1,(GMWQ!$LQ$2:$LQ$60=AD$3)*(GMWQ!$LP$2:$LP$60=AD$4)*(GMWQ!$LR$2:$LR$60=AD$1),0),$B207-1966)</f>
        <v>15735</v>
      </c>
      <c r="AE207" s="7" cm="1">
        <f t="array" ref="AE207">INDEX(GMWQ!$A$2:$LR$60,MATCH(1,(GMWQ!$LQ$2:$LQ$60=AE$3)*(GMWQ!$LP$2:$LP$60=AE$4)*(GMWQ!$LR$2:$LR$60=AE$1),0),$B207-1966)</f>
        <v>658554</v>
      </c>
      <c r="AF207" s="20" cm="1">
        <f t="array" ref="AF207">INDEX(GMWQ!$A$2:$LR$60,MATCH(1,(GMWQ!$LQ$2:$LQ$60=AF$3)*(GMWQ!$LP$2:$LP$60=AF$4)*(GMWQ!$LR$2:$LR$60=AF$1),0),$B207-1966)</f>
        <v>3.85</v>
      </c>
      <c r="AG207" s="20" cm="1">
        <f t="array" ref="AG207">INDEX(GMWQ!$A$2:$LR$60,MATCH(1,(GMWQ!$LQ$2:$LQ$60=AG$3)*(GMWQ!$LP$2:$LP$60=AG$4)*(GMWQ!$LR$2:$LR$60=AG$1),0),$B207-1966)</f>
        <v>1342</v>
      </c>
      <c r="AI207" s="23" cm="1">
        <f t="array" ref="AI207">INDEX(GMWQ!$A$2:$LR$60,MATCH(1,(GMWQ!$LQ$2:$LQ$60=AI$3)*(GMWQ!$LP$2:$LP$60=AI$4)*(GMWQ!$LR$2:$LR$60=AI$1),0),$B207-1966)</f>
        <v>423908</v>
      </c>
      <c r="AJ207" s="23" cm="1">
        <f t="array" ref="AJ207">INDEX(GMWQ!$A$2:$LR$60,MATCH(1,(GMWQ!$LQ$2:$LQ$60=AJ$3)*(GMWQ!$LP$2:$LP$60=AJ$4)*(GMWQ!$LR$2:$LR$60=AJ$1),0),$B207-1966)</f>
        <v>117.3306</v>
      </c>
      <c r="AK207" s="23" cm="1">
        <f t="array" ref="AK207">INDEX(GMWQ!$A$2:$LR$60,MATCH(1,(GMWQ!$LQ$2:$LQ$60=AK$3)*(GMWQ!$LP$2:$LP$60=AK$4)*(GMWQ!$LR$2:$LR$60=AK$1),0),$B207-1966)</f>
        <v>267415</v>
      </c>
      <c r="AL207" s="23" cm="1">
        <f t="array" ref="AL207">INDEX(GMWQ!$A$2:$LR$60,MATCH(1,(GMWQ!$LQ$2:$LQ$60=AL$3)*(GMWQ!$LP$2:$LP$60=AL$4)*(GMWQ!$LR$2:$LR$60=AL$1),0),$B207-1966)</f>
        <v>9328.6470000000008</v>
      </c>
      <c r="AM207" s="23" cm="1">
        <f t="array" ref="AM207">INDEX(GMWQ!$A$2:$LR$60,MATCH(1,(GMWQ!$LQ$2:$LQ$60=AM$3)*(GMWQ!$LP$2:$LP$60=AM$4)*(GMWQ!$LR$2:$LR$60=AM$1),0),$B207-1966)</f>
        <v>28666</v>
      </c>
      <c r="AN207" s="23" cm="1">
        <f t="array" ref="AN207">INDEX(GMWQ!$A$2:$LR$60,MATCH(1,(GMWQ!$LQ$2:$LQ$60=AN$3)*(GMWQ!$LP$2:$LP$60=AN$4)*(GMWQ!$LR$2:$LR$60=AN$1),0),$B207-1966)</f>
        <v>71481</v>
      </c>
      <c r="AO207" s="23" cm="1">
        <f t="array" ref="AO207">INDEX(GMWQ!$A$2:$LR$60,MATCH(1,(GMWQ!$LQ$2:$LQ$60=AO$3)*(GMWQ!$LP$2:$LP$60=AO$4)*(GMWQ!$LR$2:$LR$60=AO$1),0),$B207-1966)</f>
        <v>20303</v>
      </c>
      <c r="AP207" s="23" cm="1">
        <f t="array" ref="AP207">INDEX(GMWQ!$A$2:$LR$60,MATCH(1,(GMWQ!$LQ$2:$LQ$60=AP$3)*(GMWQ!$LP$2:$LP$60=AP$4)*(GMWQ!$LR$2:$LR$60=AP$1),0),$B207-1966)</f>
        <v>1342</v>
      </c>
      <c r="AQ207" s="23" cm="1">
        <f t="array" ref="AQ207">INDEX(GMWQ!$A$2:$LR$60,MATCH(1,(GMWQ!$LQ$2:$LQ$60=AQ$3)*(GMWQ!$LP$2:$LP$60=AQ$4)*(GMWQ!$LR$2:$LR$60=AQ$1),0),$B207-1966)</f>
        <v>73434</v>
      </c>
      <c r="AR207" s="23" cm="1">
        <f t="array" ref="AR207">INDEX(GMWQ!$A$2:$LR$60,MATCH(1,(GMWQ!$LQ$2:$LQ$60=AR$3)*(GMWQ!$LP$2:$LP$60=AR$4)*(GMWQ!$LR$2:$LR$60=AR$1),0),$B207-1966)</f>
        <v>397807</v>
      </c>
      <c r="AS207" s="23" cm="1">
        <f t="array" ref="AS207">INDEX(GMWQ!$A$2:$LR$60,MATCH(1,(GMWQ!$LQ$2:$LQ$60=AS$3)*(GMWQ!$LP$2:$LP$60=AS$4)*(GMWQ!$LR$2:$LR$60=AS$1),0),$B207-1966)</f>
        <v>12951</v>
      </c>
      <c r="AT207" s="23" cm="1">
        <f t="array" ref="AT207">INDEX(GMWQ!$A$2:$LR$60,MATCH(1,(GMWQ!$LQ$2:$LQ$60=AT$3)*(GMWQ!$LP$2:$LP$60=AT$4)*(GMWQ!$LR$2:$LR$60=AT$1),0),$B207-1966)</f>
        <v>339048</v>
      </c>
      <c r="AU207" s="23" cm="1">
        <f t="array" ref="AU207">INDEX(GMWQ!$A$2:$LR$60,MATCH(1,(GMWQ!$LQ$2:$LQ$60=AU$3)*(GMWQ!$LP$2:$LP$60=AU$4)*(GMWQ!$LR$2:$LR$60=AU$1),0),$B207-1966)</f>
        <v>11932</v>
      </c>
    </row>
    <row r="208" spans="1:47" x14ac:dyDescent="0.35">
      <c r="B208" s="7">
        <f t="shared" si="4"/>
        <v>2174</v>
      </c>
      <c r="C208" s="7" cm="1">
        <f t="array" ref="C208">INDEX(GMWQ!$A$2:$LR$60,MATCH(1,(GMWQ!$LQ$2:$LQ$60=C$3)*(GMWQ!$LP$2:$LP$60=C$4)*(GMWQ!$LR$2:$LR$60=C$1),0),$B208-1966)</f>
        <v>569364</v>
      </c>
      <c r="D208" s="7" cm="1">
        <f t="array" ref="D208">INDEX(GMWQ!$A$2:$LR$60,MATCH(1,(GMWQ!$LQ$2:$LQ$60=D$3)*(GMWQ!$LP$2:$LP$60=D$4)*(GMWQ!$LR$2:$LR$60=D$1),0),$B208-1966)</f>
        <v>658.66669999999999</v>
      </c>
      <c r="E208" s="7" cm="1">
        <f t="array" ref="E208">INDEX(GMWQ!$A$2:$LR$60,MATCH(1,(GMWQ!$LQ$2:$LQ$60=E$3)*(GMWQ!$LP$2:$LP$60=E$4)*(GMWQ!$LR$2:$LR$60=E$1),0),$B208-1966)</f>
        <v>131.0667</v>
      </c>
      <c r="F208" s="7" cm="1">
        <f t="array" ref="F208">INDEX(GMWQ!$A$2:$LR$60,MATCH(1,(GMWQ!$LQ$2:$LQ$60=F$3)*(GMWQ!$LP$2:$LP$60=F$4)*(GMWQ!$LR$2:$LR$60=F$1),0),$B208-1966)</f>
        <v>272996</v>
      </c>
      <c r="G208" s="7" cm="1">
        <f t="array" ref="G208">INDEX(GMWQ!$A$2:$LR$60,MATCH(1,(GMWQ!$LQ$2:$LQ$60=G$3)*(GMWQ!$LP$2:$LP$60=G$4)*(GMWQ!$LR$2:$LR$60=G$1),0),$B208-1966)</f>
        <v>68067</v>
      </c>
      <c r="H208" s="7" cm="1">
        <f t="array" ref="H208">INDEX(GMWQ!$A$2:$LR$60,MATCH(1,(GMWQ!$LQ$2:$LQ$60=H$3)*(GMWQ!$LP$2:$LP$60=H$4)*(GMWQ!$LR$2:$LR$60=H$1),0),$B208-1966)</f>
        <v>20163</v>
      </c>
      <c r="I208" s="7" cm="1">
        <f t="array" ref="I208">INDEX(GMWQ!$A$2:$LR$60,MATCH(1,(GMWQ!$LQ$2:$LQ$60=I$3)*(GMWQ!$LP$2:$LP$60=I$4)*(GMWQ!$LR$2:$LR$60=I$1),0),$B208-1966)</f>
        <v>118.8955</v>
      </c>
      <c r="J208" s="7" cm="1">
        <f t="array" ref="J208">INDEX(GMWQ!$A$2:$LR$60,MATCH(1,(GMWQ!$LQ$2:$LQ$60=J$3)*(GMWQ!$LP$2:$LP$60=J$4)*(GMWQ!$LR$2:$LR$60=J$1),0),$B208-1966)</f>
        <v>28688</v>
      </c>
      <c r="K208" s="7" cm="1">
        <f t="array" ref="K208">INDEX(GMWQ!$A$2:$LR$60,MATCH(1,(GMWQ!$LQ$2:$LQ$60=K$3)*(GMWQ!$LP$2:$LP$60=K$4)*(GMWQ!$LR$2:$LR$60=K$1),0),$B208-1966)</f>
        <v>5</v>
      </c>
      <c r="L208" s="7" cm="1">
        <f t="array" ref="L208">INDEX(GMWQ!$A$2:$LR$60,MATCH(1,(GMWQ!$LQ$2:$LQ$60=L$3)*(GMWQ!$LP$2:$LP$60=L$4)*(GMWQ!$LR$2:$LR$60=L$1),0),$B208-1966)</f>
        <v>4.2</v>
      </c>
      <c r="M208" s="7" cm="1">
        <f t="array" ref="M208">INDEX(GMWQ!$A$2:$LR$60,MATCH(1,(GMWQ!$LQ$2:$LQ$60=M$3)*(GMWQ!$LP$2:$LP$60=M$4)*(GMWQ!$LR$2:$LR$60=M$1),0),$B208-1966)</f>
        <v>147.6</v>
      </c>
      <c r="N208" s="7" cm="1">
        <f t="array" ref="N208">INDEX(GMWQ!$A$2:$LR$60,MATCH(1,(GMWQ!$LQ$2:$LQ$60=N$3)*(GMWQ!$LP$2:$LP$60=N$4)*(GMWQ!$LR$2:$LR$60=N$1),0),$B208-1966)</f>
        <v>21278</v>
      </c>
      <c r="O208" s="7" cm="1">
        <f t="array" ref="O208">INDEX(GMWQ!$A$2:$LR$60,MATCH(1,(GMWQ!$LQ$2:$LQ$60=O$3)*(GMWQ!$LP$2:$LP$60=O$4)*(GMWQ!$LR$2:$LR$60=O$1),0),$B208-1966)</f>
        <v>22478</v>
      </c>
      <c r="P208" s="7" cm="1">
        <f t="array" ref="P208">INDEX(GMWQ!$A$2:$LR$60,MATCH(1,(GMWQ!$LQ$2:$LQ$60=P$3)*(GMWQ!$LP$2:$LP$60=P$4)*(GMWQ!$LR$2:$LR$60=P$1),0),$B208-1966)</f>
        <v>438392</v>
      </c>
      <c r="Q208" s="7" cm="1">
        <f t="array" ref="Q208">INDEX(GMWQ!$A$2:$LR$60,MATCH(1,(GMWQ!$LQ$2:$LQ$60=Q$3)*(GMWQ!$LP$2:$LP$60=Q$4)*(GMWQ!$LR$2:$LR$60=Q$1),0),$B208-1966)</f>
        <v>2.84</v>
      </c>
      <c r="R208" s="7" cm="1">
        <f t="array" ref="R208">INDEX(GMWQ!$A$2:$LR$60,MATCH(1,(GMWQ!$LQ$2:$LQ$60=R$3)*(GMWQ!$LP$2:$LP$60=R$4)*(GMWQ!$LR$2:$LR$60=R$1),0),$B208-1966)</f>
        <v>153613</v>
      </c>
      <c r="S208" s="7" cm="1">
        <f t="array" ref="S208">INDEX(GMWQ!$A$2:$LR$60,MATCH(1,(GMWQ!$LQ$2:$LQ$60=S$3)*(GMWQ!$LP$2:$LP$60=S$4)*(GMWQ!$LR$2:$LR$60=S$1),0),$B208-1966)</f>
        <v>250.11</v>
      </c>
      <c r="T208" s="7" cm="1">
        <f t="array" ref="T208">INDEX(GMWQ!$A$2:$LR$60,MATCH(1,(GMWQ!$LQ$2:$LQ$60=T$3)*(GMWQ!$LP$2:$LP$60=T$4)*(GMWQ!$LR$2:$LR$60=T$1),0),$B208-1966)</f>
        <v>55476</v>
      </c>
      <c r="U208" s="7" cm="1">
        <f t="array" ref="U208">INDEX(GMWQ!$A$2:$LR$60,MATCH(1,(GMWQ!$LQ$2:$LQ$60=U$3)*(GMWQ!$LP$2:$LP$60=U$4)*(GMWQ!$LR$2:$LR$60=U$1),0),$B208-1966)</f>
        <v>-1826</v>
      </c>
      <c r="V208" s="7" cm="1">
        <f t="array" ref="V208">INDEX(GMWQ!$A$2:$LR$60,MATCH(1,(GMWQ!$LQ$2:$LQ$60=V$3)*(GMWQ!$LP$2:$LP$60=V$4)*(GMWQ!$LR$2:$LR$60=V$1),0),$B208-1966)</f>
        <v>1.435237E-3</v>
      </c>
      <c r="W208" s="7" cm="1">
        <f t="array" ref="W208">INDEX(GMWQ!$A$2:$LR$60,MATCH(1,(GMWQ!$LQ$2:$LQ$60=W$3)*(GMWQ!$LP$2:$LP$60=W$4)*(GMWQ!$LR$2:$LR$60=W$1),0),$B208-1966)</f>
        <v>9.973058</v>
      </c>
      <c r="X208" s="7" cm="1">
        <f t="array" ref="X208">INDEX(GMWQ!$A$2:$LR$60,MATCH(1,(GMWQ!$LQ$2:$LQ$60=X$3)*(GMWQ!$LP$2:$LP$60=X$4)*(GMWQ!$LR$2:$LR$60=X$1),0),$B208-1966)</f>
        <v>5154835</v>
      </c>
      <c r="Y208" s="7" cm="1">
        <f t="array" ref="Y208">INDEX(GMWQ!$A$2:$LR$60,MATCH(1,(GMWQ!$LQ$2:$LQ$60=Y$3)*(GMWQ!$LP$2:$LP$60=Y$4)*(GMWQ!$LR$2:$LR$60=Y$1),0),$B208-1966)</f>
        <v>118.42529999999999</v>
      </c>
      <c r="Z208" s="7" cm="1">
        <f t="array" ref="Z208">INDEX(GMWQ!$A$2:$LR$60,MATCH(1,(GMWQ!$LQ$2:$LQ$60=Z$3)*(GMWQ!$LP$2:$LP$60=Z$4)*(GMWQ!$LR$2:$LR$60=Z$1),0),$B208-1966)</f>
        <v>566456.30000000005</v>
      </c>
      <c r="AA208" s="7" cm="1">
        <f t="array" ref="AA208">INDEX(GMWQ!$A$2:$LR$60,MATCH(1,(GMWQ!$LQ$2:$LQ$60=AA$3)*(GMWQ!$LP$2:$LP$60=AA$4)*(GMWQ!$LR$2:$LR$60=AA$1),0),$B208-1966)</f>
        <v>250927</v>
      </c>
      <c r="AB208" s="7" cm="1">
        <f t="array" ref="AB208">INDEX(GMWQ!$A$2:$LR$60,MATCH(1,(GMWQ!$LQ$2:$LQ$60=AB$3)*(GMWQ!$LP$2:$LP$60=AB$4)*(GMWQ!$LR$2:$LR$60=AB$1),0),$B208-1966)</f>
        <v>278033</v>
      </c>
      <c r="AC208" s="7" cm="1">
        <f t="array" ref="AC208">INDEX(GMWQ!$A$2:$LR$60,MATCH(1,(GMWQ!$LQ$2:$LQ$60=AC$3)*(GMWQ!$LP$2:$LP$60=AC$4)*(GMWQ!$LR$2:$LR$60=AC$1),0),$B208-1966)</f>
        <v>10143</v>
      </c>
      <c r="AD208" s="7" cm="1">
        <f t="array" ref="AD208">INDEX(GMWQ!$A$2:$LR$60,MATCH(1,(GMWQ!$LQ$2:$LQ$60=AD$3)*(GMWQ!$LP$2:$LP$60=AD$4)*(GMWQ!$LR$2:$LR$60=AD$1),0),$B208-1966)</f>
        <v>16000</v>
      </c>
      <c r="AE208" s="7" cm="1">
        <f t="array" ref="AE208">INDEX(GMWQ!$A$2:$LR$60,MATCH(1,(GMWQ!$LQ$2:$LQ$60=AE$3)*(GMWQ!$LP$2:$LP$60=AE$4)*(GMWQ!$LR$2:$LR$60=AE$1),0),$B208-1966)</f>
        <v>674271</v>
      </c>
      <c r="AF208" s="20" cm="1">
        <f t="array" ref="AF208">INDEX(GMWQ!$A$2:$LR$60,MATCH(1,(GMWQ!$LQ$2:$LQ$60=AF$3)*(GMWQ!$LP$2:$LP$60=AF$4)*(GMWQ!$LR$2:$LR$60=AF$1),0),$B208-1966)</f>
        <v>4.4461539999999999</v>
      </c>
      <c r="AG208" s="20" cm="1">
        <f t="array" ref="AG208">INDEX(GMWQ!$A$2:$LR$60,MATCH(1,(GMWQ!$LQ$2:$LQ$60=AG$3)*(GMWQ!$LP$2:$LP$60=AG$4)*(GMWQ!$LR$2:$LR$60=AG$1),0),$B208-1966)</f>
        <v>1200</v>
      </c>
      <c r="AI208" s="23" cm="1">
        <f t="array" ref="AI208">INDEX(GMWQ!$A$2:$LR$60,MATCH(1,(GMWQ!$LQ$2:$LQ$60=AI$3)*(GMWQ!$LP$2:$LP$60=AI$4)*(GMWQ!$LR$2:$LR$60=AI$1),0),$B208-1966)</f>
        <v>438392</v>
      </c>
      <c r="AJ208" s="23" cm="1">
        <f t="array" ref="AJ208">INDEX(GMWQ!$A$2:$LR$60,MATCH(1,(GMWQ!$LQ$2:$LQ$60=AJ$3)*(GMWQ!$LP$2:$LP$60=AJ$4)*(GMWQ!$LR$2:$LR$60=AJ$1),0),$B208-1966)</f>
        <v>118.8955</v>
      </c>
      <c r="AK208" s="23" cm="1">
        <f t="array" ref="AK208">INDEX(GMWQ!$A$2:$LR$60,MATCH(1,(GMWQ!$LQ$2:$LQ$60=AK$3)*(GMWQ!$LP$2:$LP$60=AK$4)*(GMWQ!$LR$2:$LR$60=AK$1),0),$B208-1966)</f>
        <v>272996</v>
      </c>
      <c r="AL208" s="23" cm="1">
        <f t="array" ref="AL208">INDEX(GMWQ!$A$2:$LR$60,MATCH(1,(GMWQ!$LQ$2:$LQ$60=AL$3)*(GMWQ!$LP$2:$LP$60=AL$4)*(GMWQ!$LR$2:$LR$60=AL$1),0),$B208-1966)</f>
        <v>9516.0339999999997</v>
      </c>
      <c r="AM208" s="23" cm="1">
        <f t="array" ref="AM208">INDEX(GMWQ!$A$2:$LR$60,MATCH(1,(GMWQ!$LQ$2:$LQ$60=AM$3)*(GMWQ!$LP$2:$LP$60=AM$4)*(GMWQ!$LR$2:$LR$60=AM$1),0),$B208-1966)</f>
        <v>28688</v>
      </c>
      <c r="AN208" s="23" cm="1">
        <f t="array" ref="AN208">INDEX(GMWQ!$A$2:$LR$60,MATCH(1,(GMWQ!$LQ$2:$LQ$60=AN$3)*(GMWQ!$LP$2:$LP$60=AN$4)*(GMWQ!$LR$2:$LR$60=AN$1),0),$B208-1966)</f>
        <v>68067</v>
      </c>
      <c r="AO208" s="23" cm="1">
        <f t="array" ref="AO208">INDEX(GMWQ!$A$2:$LR$60,MATCH(1,(GMWQ!$LQ$2:$LQ$60=AO$3)*(GMWQ!$LP$2:$LP$60=AO$4)*(GMWQ!$LR$2:$LR$60=AO$1),0),$B208-1966)</f>
        <v>20163</v>
      </c>
      <c r="AP208" s="23" cm="1">
        <f t="array" ref="AP208">INDEX(GMWQ!$A$2:$LR$60,MATCH(1,(GMWQ!$LQ$2:$LQ$60=AP$3)*(GMWQ!$LP$2:$LP$60=AP$4)*(GMWQ!$LR$2:$LR$60=AP$1),0),$B208-1966)</f>
        <v>1200</v>
      </c>
      <c r="AQ208" s="23" cm="1">
        <f t="array" ref="AQ208">INDEX(GMWQ!$A$2:$LR$60,MATCH(1,(GMWQ!$LQ$2:$LQ$60=AQ$3)*(GMWQ!$LP$2:$LP$60=AQ$4)*(GMWQ!$LR$2:$LR$60=AQ$1),0),$B208-1966)</f>
        <v>83480</v>
      </c>
      <c r="AR208" s="23" cm="1">
        <f t="array" ref="AR208">INDEX(GMWQ!$A$2:$LR$60,MATCH(1,(GMWQ!$LQ$2:$LQ$60=AR$3)*(GMWQ!$LP$2:$LP$60=AR$4)*(GMWQ!$LR$2:$LR$60=AR$1),0),$B208-1966)</f>
        <v>405102</v>
      </c>
      <c r="AS208" s="23" cm="1">
        <f t="array" ref="AS208">INDEX(GMWQ!$A$2:$LR$60,MATCH(1,(GMWQ!$LQ$2:$LQ$60=AS$3)*(GMWQ!$LP$2:$LP$60=AS$4)*(GMWQ!$LR$2:$LR$60=AS$1),0),$B208-1966)</f>
        <v>13148</v>
      </c>
      <c r="AT208" s="23" cm="1">
        <f t="array" ref="AT208">INDEX(GMWQ!$A$2:$LR$60,MATCH(1,(GMWQ!$LQ$2:$LQ$60=AT$3)*(GMWQ!$LP$2:$LP$60=AT$4)*(GMWQ!$LR$2:$LR$60=AT$1),0),$B208-1966)</f>
        <v>340721</v>
      </c>
      <c r="AU208" s="23" cm="1">
        <f t="array" ref="AU208">INDEX(GMWQ!$A$2:$LR$60,MATCH(1,(GMWQ!$LQ$2:$LQ$60=AU$3)*(GMWQ!$LP$2:$LP$60=AU$4)*(GMWQ!$LR$2:$LR$60=AU$1),0),$B208-1966)</f>
        <v>11972</v>
      </c>
    </row>
    <row r="209" spans="1:47" x14ac:dyDescent="0.35">
      <c r="B209" s="7">
        <f t="shared" si="4"/>
        <v>2175</v>
      </c>
      <c r="C209" s="7" cm="1">
        <f t="array" ref="C209">INDEX(GMWQ!$A$2:$LR$60,MATCH(1,(GMWQ!$LQ$2:$LQ$60=C$3)*(GMWQ!$LP$2:$LP$60=C$4)*(GMWQ!$LR$2:$LR$60=C$1),0),$B209-1966)</f>
        <v>568655</v>
      </c>
      <c r="D209" s="7" cm="1">
        <f t="array" ref="D209">INDEX(GMWQ!$A$2:$LR$60,MATCH(1,(GMWQ!$LQ$2:$LQ$60=D$3)*(GMWQ!$LP$2:$LP$60=D$4)*(GMWQ!$LR$2:$LR$60=D$1),0),$B209-1966)</f>
        <v>667.33330000000001</v>
      </c>
      <c r="E209" s="7" cm="1">
        <f t="array" ref="E209">INDEX(GMWQ!$A$2:$LR$60,MATCH(1,(GMWQ!$LQ$2:$LQ$60=E$3)*(GMWQ!$LP$2:$LP$60=E$4)*(GMWQ!$LR$2:$LR$60=E$1),0),$B209-1966)</f>
        <v>131.4</v>
      </c>
      <c r="F209" s="7" cm="1">
        <f t="array" ref="F209">INDEX(GMWQ!$A$2:$LR$60,MATCH(1,(GMWQ!$LQ$2:$LQ$60=F$3)*(GMWQ!$LP$2:$LP$60=F$4)*(GMWQ!$LR$2:$LR$60=F$1),0),$B209-1966)</f>
        <v>277619</v>
      </c>
      <c r="G209" s="7" cm="1">
        <f t="array" ref="G209">INDEX(GMWQ!$A$2:$LR$60,MATCH(1,(GMWQ!$LQ$2:$LQ$60=G$3)*(GMWQ!$LP$2:$LP$60=G$4)*(GMWQ!$LR$2:$LR$60=G$1),0),$B209-1966)</f>
        <v>70982</v>
      </c>
      <c r="H209" s="7" cm="1">
        <f t="array" ref="H209">INDEX(GMWQ!$A$2:$LR$60,MATCH(1,(GMWQ!$LQ$2:$LQ$60=H$3)*(GMWQ!$LP$2:$LP$60=H$4)*(GMWQ!$LR$2:$LR$60=H$1),0),$B209-1966)</f>
        <v>20244</v>
      </c>
      <c r="I209" s="7" cm="1">
        <f t="array" ref="I209">INDEX(GMWQ!$A$2:$LR$60,MATCH(1,(GMWQ!$LQ$2:$LQ$60=I$3)*(GMWQ!$LP$2:$LP$60=I$4)*(GMWQ!$LR$2:$LR$60=I$1),0),$B209-1966)</f>
        <v>119.6271</v>
      </c>
      <c r="J209" s="7" cm="1">
        <f t="array" ref="J209">INDEX(GMWQ!$A$2:$LR$60,MATCH(1,(GMWQ!$LQ$2:$LQ$60=J$3)*(GMWQ!$LP$2:$LP$60=J$4)*(GMWQ!$LR$2:$LR$60=J$1),0),$B209-1966)</f>
        <v>28633</v>
      </c>
      <c r="K209" s="7" cm="1">
        <f t="array" ref="K209">INDEX(GMWQ!$A$2:$LR$60,MATCH(1,(GMWQ!$LQ$2:$LQ$60=K$3)*(GMWQ!$LP$2:$LP$60=K$4)*(GMWQ!$LR$2:$LR$60=K$1),0),$B209-1966)</f>
        <v>5.25</v>
      </c>
      <c r="L209" s="7" cm="1">
        <f t="array" ref="L209">INDEX(GMWQ!$A$2:$LR$60,MATCH(1,(GMWQ!$LQ$2:$LQ$60=L$3)*(GMWQ!$LP$2:$LP$60=L$4)*(GMWQ!$LR$2:$LR$60=L$1),0),$B209-1966)</f>
        <v>4.0999999999999996</v>
      </c>
      <c r="M209" s="7" cm="1">
        <f t="array" ref="M209">INDEX(GMWQ!$A$2:$LR$60,MATCH(1,(GMWQ!$LQ$2:$LQ$60=M$3)*(GMWQ!$LP$2:$LP$60=M$4)*(GMWQ!$LR$2:$LR$60=M$1),0),$B209-1966)</f>
        <v>148.19999999999999</v>
      </c>
      <c r="N209" s="7" cm="1">
        <f t="array" ref="N209">INDEX(GMWQ!$A$2:$LR$60,MATCH(1,(GMWQ!$LQ$2:$LQ$60=N$3)*(GMWQ!$LP$2:$LP$60=N$4)*(GMWQ!$LR$2:$LR$60=N$1),0),$B209-1966)</f>
        <v>23614</v>
      </c>
      <c r="O209" s="7" cm="1">
        <f t="array" ref="O209">INDEX(GMWQ!$A$2:$LR$60,MATCH(1,(GMWQ!$LQ$2:$LQ$60=O$3)*(GMWQ!$LP$2:$LP$60=O$4)*(GMWQ!$LR$2:$LR$60=O$1),0),$B209-1966)</f>
        <v>25323</v>
      </c>
      <c r="P209" s="7" cm="1">
        <f t="array" ref="P209">INDEX(GMWQ!$A$2:$LR$60,MATCH(1,(GMWQ!$LQ$2:$LQ$60=P$3)*(GMWQ!$LP$2:$LP$60=P$4)*(GMWQ!$LR$2:$LR$60=P$1),0),$B209-1966)</f>
        <v>443068</v>
      </c>
      <c r="Q209" s="7" cm="1">
        <f t="array" ref="Q209">INDEX(GMWQ!$A$2:$LR$60,MATCH(1,(GMWQ!$LQ$2:$LQ$60=Q$3)*(GMWQ!$LP$2:$LP$60=Q$4)*(GMWQ!$LR$2:$LR$60=Q$1),0),$B209-1966)</f>
        <v>3.07</v>
      </c>
      <c r="R209" s="7" cm="1">
        <f t="array" ref="R209">INDEX(GMWQ!$A$2:$LR$60,MATCH(1,(GMWQ!$LQ$2:$LQ$60=R$3)*(GMWQ!$LP$2:$LP$60=R$4)*(GMWQ!$LR$2:$LR$60=R$1),0),$B209-1966)</f>
        <v>139366</v>
      </c>
      <c r="S209" s="7" cm="1">
        <f t="array" ref="S209">INDEX(GMWQ!$A$2:$LR$60,MATCH(1,(GMWQ!$LQ$2:$LQ$60=S$3)*(GMWQ!$LP$2:$LP$60=S$4)*(GMWQ!$LR$2:$LR$60=S$1),0),$B209-1966)</f>
        <v>256.02999999999997</v>
      </c>
      <c r="T209" s="7" cm="1">
        <f t="array" ref="T209">INDEX(GMWQ!$A$2:$LR$60,MATCH(1,(GMWQ!$LQ$2:$LQ$60=T$3)*(GMWQ!$LP$2:$LP$60=T$4)*(GMWQ!$LR$2:$LR$60=T$1),0),$B209-1966)</f>
        <v>56261</v>
      </c>
      <c r="U209" s="7" cm="1">
        <f t="array" ref="U209">INDEX(GMWQ!$A$2:$LR$60,MATCH(1,(GMWQ!$LQ$2:$LQ$60=U$3)*(GMWQ!$LP$2:$LP$60=U$4)*(GMWQ!$LR$2:$LR$60=U$1),0),$B209-1966)</f>
        <v>295</v>
      </c>
      <c r="V209" s="7" cm="1">
        <f t="array" ref="V209">INDEX(GMWQ!$A$2:$LR$60,MATCH(1,(GMWQ!$LQ$2:$LQ$60=V$3)*(GMWQ!$LP$2:$LP$60=V$4)*(GMWQ!$LR$2:$LR$60=V$1),0),$B209-1966)</f>
        <v>1.4025820000000001E-3</v>
      </c>
      <c r="W209" s="7" cm="1">
        <f t="array" ref="W209">INDEX(GMWQ!$A$2:$LR$60,MATCH(1,(GMWQ!$LQ$2:$LQ$60=W$3)*(GMWQ!$LP$2:$LP$60=W$4)*(GMWQ!$LR$2:$LR$60=W$1),0),$B209-1966)</f>
        <v>11.479520000000001</v>
      </c>
      <c r="X209" s="7" cm="1">
        <f t="array" ref="X209">INDEX(GMWQ!$A$2:$LR$60,MATCH(1,(GMWQ!$LQ$2:$LQ$60=X$3)*(GMWQ!$LP$2:$LP$60=X$4)*(GMWQ!$LR$2:$LR$60=X$1),0),$B209-1966)</f>
        <v>5213416</v>
      </c>
      <c r="Y209" s="7" cm="1">
        <f t="array" ref="Y209">INDEX(GMWQ!$A$2:$LR$60,MATCH(1,(GMWQ!$LQ$2:$LQ$60=Y$3)*(GMWQ!$LP$2:$LP$60=Y$4)*(GMWQ!$LR$2:$LR$60=Y$1),0),$B209-1966)</f>
        <v>119.43940000000001</v>
      </c>
      <c r="Z209" s="7" cm="1">
        <f t="array" ref="Z209">INDEX(GMWQ!$A$2:$LR$60,MATCH(1,(GMWQ!$LQ$2:$LQ$60=Z$3)*(GMWQ!$LP$2:$LP$60=Z$4)*(GMWQ!$LR$2:$LR$60=Z$1),0),$B209-1966)</f>
        <v>564048.30000000005</v>
      </c>
      <c r="AA209" s="7" cm="1">
        <f t="array" ref="AA209">INDEX(GMWQ!$A$2:$LR$60,MATCH(1,(GMWQ!$LQ$2:$LQ$60=AA$3)*(GMWQ!$LP$2:$LP$60=AA$4)*(GMWQ!$LR$2:$LR$60=AA$1),0),$B209-1966)</f>
        <v>264080</v>
      </c>
      <c r="AB209" s="7" cm="1">
        <f t="array" ref="AB209">INDEX(GMWQ!$A$2:$LR$60,MATCH(1,(GMWQ!$LQ$2:$LQ$60=AB$3)*(GMWQ!$LP$2:$LP$60=AB$4)*(GMWQ!$LR$2:$LR$60=AB$1),0),$B209-1966)</f>
        <v>262911</v>
      </c>
      <c r="AC209" s="7" cm="1">
        <f t="array" ref="AC209">INDEX(GMWQ!$A$2:$LR$60,MATCH(1,(GMWQ!$LQ$2:$LQ$60=AC$3)*(GMWQ!$LP$2:$LP$60=AC$4)*(GMWQ!$LR$2:$LR$60=AC$1),0),$B209-1966)</f>
        <v>13731</v>
      </c>
      <c r="AD209" s="7" cm="1">
        <f t="array" ref="AD209">INDEX(GMWQ!$A$2:$LR$60,MATCH(1,(GMWQ!$LQ$2:$LQ$60=AD$3)*(GMWQ!$LP$2:$LP$60=AD$4)*(GMWQ!$LR$2:$LR$60=AD$1),0),$B209-1966)</f>
        <v>16182</v>
      </c>
      <c r="AE209" s="7" cm="1">
        <f t="array" ref="AE209">INDEX(GMWQ!$A$2:$LR$60,MATCH(1,(GMWQ!$LQ$2:$LQ$60=AE$3)*(GMWQ!$LP$2:$LP$60=AE$4)*(GMWQ!$LR$2:$LR$60=AE$1),0),$B209-1966)</f>
        <v>679198</v>
      </c>
      <c r="AF209" s="20" cm="1">
        <f t="array" ref="AF209">INDEX(GMWQ!$A$2:$LR$60,MATCH(1,(GMWQ!$LQ$2:$LQ$60=AF$3)*(GMWQ!$LP$2:$LP$60=AF$4)*(GMWQ!$LR$2:$LR$60=AF$1),0),$B209-1966)</f>
        <v>5.1615390000000003</v>
      </c>
      <c r="AG209" s="20" cm="1">
        <f t="array" ref="AG209">INDEX(GMWQ!$A$2:$LR$60,MATCH(1,(GMWQ!$LQ$2:$LQ$60=AG$3)*(GMWQ!$LP$2:$LP$60=AG$4)*(GMWQ!$LR$2:$LR$60=AG$1),0),$B209-1966)</f>
        <v>1709</v>
      </c>
      <c r="AI209" s="23" cm="1">
        <f t="array" ref="AI209">INDEX(GMWQ!$A$2:$LR$60,MATCH(1,(GMWQ!$LQ$2:$LQ$60=AI$3)*(GMWQ!$LP$2:$LP$60=AI$4)*(GMWQ!$LR$2:$LR$60=AI$1),0),$B209-1966)</f>
        <v>443068</v>
      </c>
      <c r="AJ209" s="23" cm="1">
        <f t="array" ref="AJ209">INDEX(GMWQ!$A$2:$LR$60,MATCH(1,(GMWQ!$LQ$2:$LQ$60=AJ$3)*(GMWQ!$LP$2:$LP$60=AJ$4)*(GMWQ!$LR$2:$LR$60=AJ$1),0),$B209-1966)</f>
        <v>119.6271</v>
      </c>
      <c r="AK209" s="23" cm="1">
        <f t="array" ref="AK209">INDEX(GMWQ!$A$2:$LR$60,MATCH(1,(GMWQ!$LQ$2:$LQ$60=AK$3)*(GMWQ!$LP$2:$LP$60=AK$4)*(GMWQ!$LR$2:$LR$60=AK$1),0),$B209-1966)</f>
        <v>277619</v>
      </c>
      <c r="AL209" s="23" cm="1">
        <f t="array" ref="AL209">INDEX(GMWQ!$A$2:$LR$60,MATCH(1,(GMWQ!$LQ$2:$LQ$60=AL$3)*(GMWQ!$LP$2:$LP$60=AL$4)*(GMWQ!$LR$2:$LR$60=AL$1),0),$B209-1966)</f>
        <v>9695.7710000000006</v>
      </c>
      <c r="AM209" s="23" cm="1">
        <f t="array" ref="AM209">INDEX(GMWQ!$A$2:$LR$60,MATCH(1,(GMWQ!$LQ$2:$LQ$60=AM$3)*(GMWQ!$LP$2:$LP$60=AM$4)*(GMWQ!$LR$2:$LR$60=AM$1),0),$B209-1966)</f>
        <v>28633</v>
      </c>
      <c r="AN209" s="23" cm="1">
        <f t="array" ref="AN209">INDEX(GMWQ!$A$2:$LR$60,MATCH(1,(GMWQ!$LQ$2:$LQ$60=AN$3)*(GMWQ!$LP$2:$LP$60=AN$4)*(GMWQ!$LR$2:$LR$60=AN$1),0),$B209-1966)</f>
        <v>70982</v>
      </c>
      <c r="AO209" s="23" cm="1">
        <f t="array" ref="AO209">INDEX(GMWQ!$A$2:$LR$60,MATCH(1,(GMWQ!$LQ$2:$LQ$60=AO$3)*(GMWQ!$LP$2:$LP$60=AO$4)*(GMWQ!$LR$2:$LR$60=AO$1),0),$B209-1966)</f>
        <v>20244</v>
      </c>
      <c r="AP209" s="23" cm="1">
        <f t="array" ref="AP209">INDEX(GMWQ!$A$2:$LR$60,MATCH(1,(GMWQ!$LQ$2:$LQ$60=AP$3)*(GMWQ!$LP$2:$LP$60=AP$4)*(GMWQ!$LR$2:$LR$60=AP$1),0),$B209-1966)</f>
        <v>1709</v>
      </c>
      <c r="AQ209" s="23" cm="1">
        <f t="array" ref="AQ209">INDEX(GMWQ!$A$2:$LR$60,MATCH(1,(GMWQ!$LQ$2:$LQ$60=AQ$3)*(GMWQ!$LP$2:$LP$60=AQ$4)*(GMWQ!$LR$2:$LR$60=AQ$1),0),$B209-1966)</f>
        <v>82928</v>
      </c>
      <c r="AR209" s="23" cm="1">
        <f t="array" ref="AR209">INDEX(GMWQ!$A$2:$LR$60,MATCH(1,(GMWQ!$LQ$2:$LQ$60=AR$3)*(GMWQ!$LP$2:$LP$60=AR$4)*(GMWQ!$LR$2:$LR$60=AR$1),0),$B209-1966)</f>
        <v>404086</v>
      </c>
      <c r="AS209" s="23" cm="1">
        <f t="array" ref="AS209">INDEX(GMWQ!$A$2:$LR$60,MATCH(1,(GMWQ!$LQ$2:$LQ$60=AS$3)*(GMWQ!$LP$2:$LP$60=AS$4)*(GMWQ!$LR$2:$LR$60=AS$1),0),$B209-1966)</f>
        <v>13317</v>
      </c>
      <c r="AT209" s="23" cm="1">
        <f t="array" ref="AT209">INDEX(GMWQ!$A$2:$LR$60,MATCH(1,(GMWQ!$LQ$2:$LQ$60=AT$3)*(GMWQ!$LP$2:$LP$60=AT$4)*(GMWQ!$LR$2:$LR$60=AT$1),0),$B209-1966)</f>
        <v>337788</v>
      </c>
      <c r="AU209" s="23" cm="1">
        <f t="array" ref="AU209">INDEX(GMWQ!$A$2:$LR$60,MATCH(1,(GMWQ!$LQ$2:$LQ$60=AU$3)*(GMWQ!$LP$2:$LP$60=AU$4)*(GMWQ!$LR$2:$LR$60=AU$1),0),$B209-1966)</f>
        <v>12018</v>
      </c>
    </row>
    <row r="210" spans="1:47" x14ac:dyDescent="0.35">
      <c r="B210" s="7">
        <f t="shared" si="4"/>
        <v>2176</v>
      </c>
      <c r="C210" s="7" cm="1">
        <f t="array" ref="C210">INDEX(GMWQ!$A$2:$LR$60,MATCH(1,(GMWQ!$LQ$2:$LQ$60=C$3)*(GMWQ!$LP$2:$LP$60=C$4)*(GMWQ!$LR$2:$LR$60=C$1),0),$B210-1966)</f>
        <v>566695</v>
      </c>
      <c r="D210" s="7" cm="1">
        <f t="array" ref="D210">INDEX(GMWQ!$A$2:$LR$60,MATCH(1,(GMWQ!$LQ$2:$LQ$60=D$3)*(GMWQ!$LP$2:$LP$60=D$4)*(GMWQ!$LR$2:$LR$60=D$1),0),$B210-1966)</f>
        <v>666.66669999999999</v>
      </c>
      <c r="E210" s="7" cm="1">
        <f t="array" ref="E210">INDEX(GMWQ!$A$2:$LR$60,MATCH(1,(GMWQ!$LQ$2:$LQ$60=E$3)*(GMWQ!$LP$2:$LP$60=E$4)*(GMWQ!$LR$2:$LR$60=E$1),0),$B210-1966)</f>
        <v>131.9667</v>
      </c>
      <c r="F210" s="7" cm="1">
        <f t="array" ref="F210">INDEX(GMWQ!$A$2:$LR$60,MATCH(1,(GMWQ!$LQ$2:$LQ$60=F$3)*(GMWQ!$LP$2:$LP$60=F$4)*(GMWQ!$LR$2:$LR$60=F$1),0),$B210-1966)</f>
        <v>278750.5</v>
      </c>
      <c r="G210" s="7" cm="1">
        <f t="array" ref="G210">INDEX(GMWQ!$A$2:$LR$60,MATCH(1,(GMWQ!$LQ$2:$LQ$60=G$3)*(GMWQ!$LP$2:$LP$60=G$4)*(GMWQ!$LR$2:$LR$60=G$1),0),$B210-1966)</f>
        <v>72091.710000000006</v>
      </c>
      <c r="H210" s="7" cm="1">
        <f t="array" ref="H210">INDEX(GMWQ!$A$2:$LR$60,MATCH(1,(GMWQ!$LQ$2:$LQ$60=H$3)*(GMWQ!$LP$2:$LP$60=H$4)*(GMWQ!$LR$2:$LR$60=H$1),0),$B210-1966)</f>
        <v>20348.78</v>
      </c>
      <c r="I210" s="7" cm="1">
        <f t="array" ref="I210">INDEX(GMWQ!$A$2:$LR$60,MATCH(1,(GMWQ!$LQ$2:$LQ$60=I$3)*(GMWQ!$LP$2:$LP$60=I$4)*(GMWQ!$LR$2:$LR$60=I$1),0),$B210-1966)</f>
        <v>120.2274</v>
      </c>
      <c r="J210" s="7" cm="1">
        <f t="array" ref="J210">INDEX(GMWQ!$A$2:$LR$60,MATCH(1,(GMWQ!$LQ$2:$LQ$60=J$3)*(GMWQ!$LP$2:$LP$60=J$4)*(GMWQ!$LR$2:$LR$60=J$1),0),$B210-1966)</f>
        <v>28678</v>
      </c>
      <c r="K210" s="7" cm="1">
        <f t="array" ref="K210">INDEX(GMWQ!$A$2:$LR$60,MATCH(1,(GMWQ!$LQ$2:$LQ$60=K$3)*(GMWQ!$LP$2:$LP$60=K$4)*(GMWQ!$LR$2:$LR$60=K$1),0),$B210-1966)</f>
        <v>5.25</v>
      </c>
      <c r="L210" s="7" cm="1">
        <f t="array" ref="L210">INDEX(GMWQ!$A$2:$LR$60,MATCH(1,(GMWQ!$LQ$2:$LQ$60=L$3)*(GMWQ!$LP$2:$LP$60=L$4)*(GMWQ!$LR$2:$LR$60=L$1),0),$B210-1966)</f>
        <v>3.8</v>
      </c>
      <c r="M210" s="7" cm="1">
        <f t="array" ref="M210">INDEX(GMWQ!$A$2:$LR$60,MATCH(1,(GMWQ!$LQ$2:$LQ$60=M$3)*(GMWQ!$LP$2:$LP$60=M$4)*(GMWQ!$LR$2:$LR$60=M$1),0),$B210-1966)</f>
        <v>147.73330000000001</v>
      </c>
      <c r="N210" s="7" cm="1">
        <f t="array" ref="N210">INDEX(GMWQ!$A$2:$LR$60,MATCH(1,(GMWQ!$LQ$2:$LQ$60=N$3)*(GMWQ!$LP$2:$LP$60=N$4)*(GMWQ!$LR$2:$LR$60=N$1),0),$B210-1966)</f>
        <v>24767.39</v>
      </c>
      <c r="O210" s="7" cm="1">
        <f t="array" ref="O210">INDEX(GMWQ!$A$2:$LR$60,MATCH(1,(GMWQ!$LQ$2:$LQ$60=O$3)*(GMWQ!$LP$2:$LP$60=O$4)*(GMWQ!$LR$2:$LR$60=O$1),0),$B210-1966)</f>
        <v>26235.84</v>
      </c>
      <c r="P210" s="7" cm="1">
        <f t="array" ref="P210">INDEX(GMWQ!$A$2:$LR$60,MATCH(1,(GMWQ!$LQ$2:$LQ$60=P$3)*(GMWQ!$LP$2:$LP$60=P$4)*(GMWQ!$LR$2:$LR$60=P$1),0),$B210-1966)</f>
        <v>440558.9</v>
      </c>
      <c r="Q210" s="7" cm="1">
        <f t="array" ref="Q210">INDEX(GMWQ!$A$2:$LR$60,MATCH(1,(GMWQ!$LQ$2:$LQ$60=Q$3)*(GMWQ!$LP$2:$LP$60=Q$4)*(GMWQ!$LR$2:$LR$60=Q$1),0),$B210-1966)</f>
        <v>3.29</v>
      </c>
      <c r="R210" s="7" cm="1">
        <f t="array" ref="R210">INDEX(GMWQ!$A$2:$LR$60,MATCH(1,(GMWQ!$LQ$2:$LQ$60=R$3)*(GMWQ!$LP$2:$LP$60=R$4)*(GMWQ!$LR$2:$LR$60=R$1),0),$B210-1966)</f>
        <v>147900</v>
      </c>
      <c r="S210" s="7" cm="1">
        <f t="array" ref="S210">INDEX(GMWQ!$A$2:$LR$60,MATCH(1,(GMWQ!$LQ$2:$LQ$60=S$3)*(GMWQ!$LP$2:$LP$60=S$4)*(GMWQ!$LR$2:$LR$60=S$1),0),$B210-1966)</f>
        <v>243.72</v>
      </c>
      <c r="T210" s="7" cm="1">
        <f t="array" ref="T210">INDEX(GMWQ!$A$2:$LR$60,MATCH(1,(GMWQ!$LQ$2:$LQ$60=T$3)*(GMWQ!$LP$2:$LP$60=T$4)*(GMWQ!$LR$2:$LR$60=T$1),0),$B210-1966)</f>
        <v>49448</v>
      </c>
      <c r="U210" s="7" cm="1">
        <f t="array" ref="U210">INDEX(GMWQ!$A$2:$LR$60,MATCH(1,(GMWQ!$LQ$2:$LQ$60=U$3)*(GMWQ!$LP$2:$LP$60=U$4)*(GMWQ!$LR$2:$LR$60=U$1),0),$B210-1966)</f>
        <v>-801</v>
      </c>
      <c r="V210" s="7" cm="1">
        <f t="array" ref="V210">INDEX(GMWQ!$A$2:$LR$60,MATCH(1,(GMWQ!$LQ$2:$LQ$60=V$3)*(GMWQ!$LP$2:$LP$60=V$4)*(GMWQ!$LR$2:$LR$60=V$1),0),$B210-1966)</f>
        <v>1.5053620000000001E-3</v>
      </c>
      <c r="W210" s="7" cm="1">
        <f t="array" ref="W210">INDEX(GMWQ!$A$2:$LR$60,MATCH(1,(GMWQ!$LQ$2:$LQ$60=W$3)*(GMWQ!$LP$2:$LP$60=W$4)*(GMWQ!$LR$2:$LR$60=W$1),0),$B210-1966)</f>
        <v>11.51282</v>
      </c>
      <c r="X210" s="7" cm="1">
        <f t="array" ref="X210">INDEX(GMWQ!$A$2:$LR$60,MATCH(1,(GMWQ!$LQ$2:$LQ$60=X$3)*(GMWQ!$LP$2:$LP$60=X$4)*(GMWQ!$LR$2:$LR$60=X$1),0),$B210-1966)</f>
        <v>5267187</v>
      </c>
      <c r="Y210" s="7" cm="1">
        <f t="array" ref="Y210">INDEX(GMWQ!$A$2:$LR$60,MATCH(1,(GMWQ!$LQ$2:$LQ$60=Y$3)*(GMWQ!$LP$2:$LP$60=Y$4)*(GMWQ!$LR$2:$LR$60=Y$1),0),$B210-1966)</f>
        <v>119.6324</v>
      </c>
      <c r="Z210" s="7" cm="1">
        <f t="array" ref="Z210">INDEX(GMWQ!$A$2:$LR$60,MATCH(1,(GMWQ!$LQ$2:$LQ$60=Z$3)*(GMWQ!$LP$2:$LP$60=Z$4)*(GMWQ!$LR$2:$LR$60=Z$1),0),$B210-1966)</f>
        <v>566096.6</v>
      </c>
      <c r="AA210" s="7" cm="1">
        <f t="array" ref="AA210">INDEX(GMWQ!$A$2:$LR$60,MATCH(1,(GMWQ!$LQ$2:$LQ$60=AA$3)*(GMWQ!$LP$2:$LP$60=AA$4)*(GMWQ!$LR$2:$LR$60=AA$1),0),$B210-1966)</f>
        <v>260569</v>
      </c>
      <c r="AB210" s="7" cm="1">
        <f t="array" ref="AB210">INDEX(GMWQ!$A$2:$LR$60,MATCH(1,(GMWQ!$LQ$2:$LQ$60=AB$3)*(GMWQ!$LP$2:$LP$60=AB$4)*(GMWQ!$LR$2:$LR$60=AB$1),0),$B210-1966)</f>
        <v>268241</v>
      </c>
      <c r="AC210" s="7" cm="1">
        <f t="array" ref="AC210">INDEX(GMWQ!$A$2:$LR$60,MATCH(1,(GMWQ!$LQ$2:$LQ$60=AC$3)*(GMWQ!$LP$2:$LP$60=AC$4)*(GMWQ!$LR$2:$LR$60=AC$1),0),$B210-1966)</f>
        <v>13176</v>
      </c>
      <c r="AD210" s="7" cm="1">
        <f t="array" ref="AD210">INDEX(GMWQ!$A$2:$LR$60,MATCH(1,(GMWQ!$LQ$2:$LQ$60=AD$3)*(GMWQ!$LP$2:$LP$60=AD$4)*(GMWQ!$LR$2:$LR$60=AD$1),0),$B210-1966)</f>
        <v>16286</v>
      </c>
      <c r="AE210" s="7" cm="1">
        <f t="array" ref="AE210">INDEX(GMWQ!$A$2:$LR$60,MATCH(1,(GMWQ!$LQ$2:$LQ$60=AE$3)*(GMWQ!$LP$2:$LP$60=AE$4)*(GMWQ!$LR$2:$LR$60=AE$1),0),$B210-1966)</f>
        <v>677951</v>
      </c>
      <c r="AF210" s="20" cm="1">
        <f t="array" ref="AF210">INDEX(GMWQ!$A$2:$LR$60,MATCH(1,(GMWQ!$LQ$2:$LQ$60=AF$3)*(GMWQ!$LP$2:$LP$60=AF$4)*(GMWQ!$LR$2:$LR$60=AF$1),0),$B210-1966)</f>
        <v>5.25</v>
      </c>
      <c r="AG210" s="20" cm="1">
        <f t="array" ref="AG210">INDEX(GMWQ!$A$2:$LR$60,MATCH(1,(GMWQ!$LQ$2:$LQ$60=AG$3)*(GMWQ!$LP$2:$LP$60=AG$4)*(GMWQ!$LR$2:$LR$60=AG$1),0),$B210-1966)</f>
        <v>1468.4459999999999</v>
      </c>
      <c r="AI210" s="23" cm="1">
        <f t="array" ref="AI210">INDEX(GMWQ!$A$2:$LR$60,MATCH(1,(GMWQ!$LQ$2:$LQ$60=AI$3)*(GMWQ!$LP$2:$LP$60=AI$4)*(GMWQ!$LR$2:$LR$60=AI$1),0),$B210-1966)</f>
        <v>440558.9</v>
      </c>
      <c r="AJ210" s="23" cm="1">
        <f t="array" ref="AJ210">INDEX(GMWQ!$A$2:$LR$60,MATCH(1,(GMWQ!$LQ$2:$LQ$60=AJ$3)*(GMWQ!$LP$2:$LP$60=AJ$4)*(GMWQ!$LR$2:$LR$60=AJ$1),0),$B210-1966)</f>
        <v>120.2274</v>
      </c>
      <c r="AK210" s="23" cm="1">
        <f t="array" ref="AK210">INDEX(GMWQ!$A$2:$LR$60,MATCH(1,(GMWQ!$LQ$2:$LQ$60=AK$3)*(GMWQ!$LP$2:$LP$60=AK$4)*(GMWQ!$LR$2:$LR$60=AK$1),0),$B210-1966)</f>
        <v>278750.5</v>
      </c>
      <c r="AL210" s="23" cm="1">
        <f t="array" ref="AL210">INDEX(GMWQ!$A$2:$LR$60,MATCH(1,(GMWQ!$LQ$2:$LQ$60=AL$3)*(GMWQ!$LP$2:$LP$60=AL$4)*(GMWQ!$LR$2:$LR$60=AL$1),0),$B210-1966)</f>
        <v>9720.0110000000004</v>
      </c>
      <c r="AM210" s="23" cm="1">
        <f t="array" ref="AM210">INDEX(GMWQ!$A$2:$LR$60,MATCH(1,(GMWQ!$LQ$2:$LQ$60=AM$3)*(GMWQ!$LP$2:$LP$60=AM$4)*(GMWQ!$LR$2:$LR$60=AM$1),0),$B210-1966)</f>
        <v>28678</v>
      </c>
      <c r="AN210" s="23" cm="1">
        <f t="array" ref="AN210">INDEX(GMWQ!$A$2:$LR$60,MATCH(1,(GMWQ!$LQ$2:$LQ$60=AN$3)*(GMWQ!$LP$2:$LP$60=AN$4)*(GMWQ!$LR$2:$LR$60=AN$1),0),$B210-1966)</f>
        <v>72091.710000000006</v>
      </c>
      <c r="AO210" s="23" cm="1">
        <f t="array" ref="AO210">INDEX(GMWQ!$A$2:$LR$60,MATCH(1,(GMWQ!$LQ$2:$LQ$60=AO$3)*(GMWQ!$LP$2:$LP$60=AO$4)*(GMWQ!$LR$2:$LR$60=AO$1),0),$B210-1966)</f>
        <v>20348.78</v>
      </c>
      <c r="AP210" s="23" cm="1">
        <f t="array" ref="AP210">INDEX(GMWQ!$A$2:$LR$60,MATCH(1,(GMWQ!$LQ$2:$LQ$60=AP$3)*(GMWQ!$LP$2:$LP$60=AP$4)*(GMWQ!$LR$2:$LR$60=AP$1),0),$B210-1966)</f>
        <v>1468.4459999999999</v>
      </c>
      <c r="AQ210" s="23" cm="1">
        <f t="array" ref="AQ210">INDEX(GMWQ!$A$2:$LR$60,MATCH(1,(GMWQ!$LQ$2:$LQ$60=AQ$3)*(GMWQ!$LP$2:$LP$60=AQ$4)*(GMWQ!$LR$2:$LR$60=AQ$1),0),$B210-1966)</f>
        <v>83660.86</v>
      </c>
      <c r="AR210" s="23" cm="1">
        <f t="array" ref="AR210">INDEX(GMWQ!$A$2:$LR$60,MATCH(1,(GMWQ!$LQ$2:$LQ$60=AR$3)*(GMWQ!$LP$2:$LP$60=AR$4)*(GMWQ!$LR$2:$LR$60=AR$1),0),$B210-1966)</f>
        <v>405545</v>
      </c>
      <c r="AS210" s="23" cm="1">
        <f t="array" ref="AS210">INDEX(GMWQ!$A$2:$LR$60,MATCH(1,(GMWQ!$LQ$2:$LQ$60=AS$3)*(GMWQ!$LP$2:$LP$60=AS$4)*(GMWQ!$LR$2:$LR$60=AS$1),0),$B210-1966)</f>
        <v>13437</v>
      </c>
      <c r="AT210" s="23" cm="1">
        <f t="array" ref="AT210">INDEX(GMWQ!$A$2:$LR$60,MATCH(1,(GMWQ!$LQ$2:$LQ$60=AT$3)*(GMWQ!$LP$2:$LP$60=AT$4)*(GMWQ!$LR$2:$LR$60=AT$1),0),$B210-1966)</f>
        <v>337315</v>
      </c>
      <c r="AU210" s="23" cm="1">
        <f t="array" ref="AU210">INDEX(GMWQ!$A$2:$LR$60,MATCH(1,(GMWQ!$LQ$2:$LQ$60=AU$3)*(GMWQ!$LP$2:$LP$60=AU$4)*(GMWQ!$LR$2:$LR$60=AU$1),0),$B210-1966)</f>
        <v>12004</v>
      </c>
    </row>
    <row r="211" spans="1:47" x14ac:dyDescent="0.35">
      <c r="A211" s="7">
        <v>2024</v>
      </c>
      <c r="B211" s="7">
        <f t="shared" si="4"/>
        <v>2177</v>
      </c>
      <c r="C211" s="7" cm="1">
        <f t="array" ref="C211">INDEX(GMWQ!$A$2:$LR$60,MATCH(1,(GMWQ!$LQ$2:$LQ$60=C$3)*(GMWQ!$LP$2:$LP$60=C$4)*(GMWQ!$LR$2:$LR$60=C$1),0),$B211-1966)</f>
        <v>568298.30000000005</v>
      </c>
      <c r="D211" s="7" cm="1">
        <f t="array" ref="D211">INDEX(GMWQ!$A$2:$LR$60,MATCH(1,(GMWQ!$LQ$2:$LQ$60=D$3)*(GMWQ!$LP$2:$LP$60=D$4)*(GMWQ!$LR$2:$LR$60=D$1),0),$B211-1966)</f>
        <v>673.76250000000005</v>
      </c>
      <c r="E211" s="7" cm="1">
        <f t="array" ref="E211">INDEX(GMWQ!$A$2:$LR$60,MATCH(1,(GMWQ!$LQ$2:$LQ$60=E$3)*(GMWQ!$LP$2:$LP$60=E$4)*(GMWQ!$LR$2:$LR$60=E$1),0),$B211-1966)</f>
        <v>132.10210000000001</v>
      </c>
      <c r="F211" s="7" cm="1">
        <f t="array" ref="F211">INDEX(GMWQ!$A$2:$LR$60,MATCH(1,(GMWQ!$LQ$2:$LQ$60=F$3)*(GMWQ!$LP$2:$LP$60=F$4)*(GMWQ!$LR$2:$LR$60=F$1),0),$B211-1966)</f>
        <v>280314.90000000002</v>
      </c>
      <c r="G211" s="7" cm="1">
        <f t="array" ref="G211">INDEX(GMWQ!$A$2:$LR$60,MATCH(1,(GMWQ!$LQ$2:$LQ$60=G$3)*(GMWQ!$LP$2:$LP$60=G$4)*(GMWQ!$LR$2:$LR$60=G$1),0),$B211-1966)</f>
        <v>73901.7</v>
      </c>
      <c r="H211" s="7" cm="1">
        <f t="array" ref="H211">INDEX(GMWQ!$A$2:$LR$60,MATCH(1,(GMWQ!$LQ$2:$LQ$60=H$3)*(GMWQ!$LP$2:$LP$60=H$4)*(GMWQ!$LR$2:$LR$60=H$1),0),$B211-1966)</f>
        <v>19061.419999999998</v>
      </c>
      <c r="I211" s="7" cm="1">
        <f t="array" ref="I211">INDEX(GMWQ!$A$2:$LR$60,MATCH(1,(GMWQ!$LQ$2:$LQ$60=I$3)*(GMWQ!$LP$2:$LP$60=I$4)*(GMWQ!$LR$2:$LR$60=I$1),0),$B211-1966)</f>
        <v>120.7684</v>
      </c>
      <c r="J211" s="7" cm="1">
        <f t="array" ref="J211">INDEX(GMWQ!$A$2:$LR$60,MATCH(1,(GMWQ!$LQ$2:$LQ$60=J$3)*(GMWQ!$LP$2:$LP$60=J$4)*(GMWQ!$LR$2:$LR$60=J$1),0),$B211-1966)</f>
        <v>28610.07</v>
      </c>
      <c r="K211" s="7" cm="1">
        <f t="array" ref="K211">INDEX(GMWQ!$A$2:$LR$60,MATCH(1,(GMWQ!$LQ$2:$LQ$60=K$3)*(GMWQ!$LP$2:$LP$60=K$4)*(GMWQ!$LR$2:$LR$60=K$1),0),$B211-1966)</f>
        <v>5.25</v>
      </c>
      <c r="L211" s="7" cm="1">
        <f t="array" ref="L211">INDEX(GMWQ!$A$2:$LR$60,MATCH(1,(GMWQ!$LQ$2:$LQ$60=L$3)*(GMWQ!$LP$2:$LP$60=L$4)*(GMWQ!$LR$2:$LR$60=L$1),0),$B211-1966)</f>
        <v>3.9471409999999998</v>
      </c>
      <c r="M211" s="7" cm="1">
        <f t="array" ref="M211">INDEX(GMWQ!$A$2:$LR$60,MATCH(1,(GMWQ!$LQ$2:$LQ$60=M$3)*(GMWQ!$LP$2:$LP$60=M$4)*(GMWQ!$LR$2:$LR$60=M$1),0),$B211-1966)</f>
        <v>147.10830000000001</v>
      </c>
      <c r="N211" s="7" cm="1">
        <f t="array" ref="N211">INDEX(GMWQ!$A$2:$LR$60,MATCH(1,(GMWQ!$LQ$2:$LQ$60=N$3)*(GMWQ!$LP$2:$LP$60=N$4)*(GMWQ!$LR$2:$LR$60=N$1),0),$B211-1966)</f>
        <v>25584.71</v>
      </c>
      <c r="O211" s="7" cm="1">
        <f t="array" ref="O211">INDEX(GMWQ!$A$2:$LR$60,MATCH(1,(GMWQ!$LQ$2:$LQ$60=O$3)*(GMWQ!$LP$2:$LP$60=O$4)*(GMWQ!$LR$2:$LR$60=O$1),0),$B211-1966)</f>
        <v>25594.63</v>
      </c>
      <c r="P211" s="7" cm="1">
        <f t="array" ref="P211">INDEX(GMWQ!$A$2:$LR$60,MATCH(1,(GMWQ!$LQ$2:$LQ$60=P$3)*(GMWQ!$LP$2:$LP$60=P$4)*(GMWQ!$LR$2:$LR$60=P$1),0),$B211-1966)</f>
        <v>442566</v>
      </c>
      <c r="Q211" s="7" cm="1">
        <f t="array" ref="Q211">INDEX(GMWQ!$A$2:$LR$60,MATCH(1,(GMWQ!$LQ$2:$LQ$60=Q$3)*(GMWQ!$LP$2:$LP$60=Q$4)*(GMWQ!$LR$2:$LR$60=Q$1),0),$B211-1966)</f>
        <v>3.46</v>
      </c>
      <c r="R211" s="7" cm="1">
        <f t="array" ref="R211">INDEX(GMWQ!$A$2:$LR$60,MATCH(1,(GMWQ!$LQ$2:$LQ$60=R$3)*(GMWQ!$LP$2:$LP$60=R$4)*(GMWQ!$LR$2:$LR$60=R$1),0),$B211-1966)</f>
        <v>156339.6</v>
      </c>
      <c r="S211" s="7" cm="1">
        <f t="array" ref="S211">INDEX(GMWQ!$A$2:$LR$60,MATCH(1,(GMWQ!$LQ$2:$LQ$60=S$3)*(GMWQ!$LP$2:$LP$60=S$4)*(GMWQ!$LR$2:$LR$60=S$1),0),$B211-1966)</f>
        <v>250.5986</v>
      </c>
      <c r="T211" s="7" cm="1">
        <f t="array" ref="T211">INDEX(GMWQ!$A$2:$LR$60,MATCH(1,(GMWQ!$LQ$2:$LQ$60=T$3)*(GMWQ!$LP$2:$LP$60=T$4)*(GMWQ!$LR$2:$LR$60=T$1),0),$B211-1966)</f>
        <v>55250.879999999997</v>
      </c>
      <c r="U211" s="7" cm="1">
        <f t="array" ref="U211">INDEX(GMWQ!$A$2:$LR$60,MATCH(1,(GMWQ!$LQ$2:$LQ$60=U$3)*(GMWQ!$LP$2:$LP$60=U$4)*(GMWQ!$LR$2:$LR$60=U$1),0),$B211-1966)</f>
        <v>4193.7299999999996</v>
      </c>
      <c r="V211" s="7" cm="1">
        <f t="array" ref="V211">INDEX(GMWQ!$A$2:$LR$60,MATCH(1,(GMWQ!$LQ$2:$LQ$60=V$3)*(GMWQ!$LP$2:$LP$60=V$4)*(GMWQ!$LR$2:$LR$60=V$1),0),$B211-1966)</f>
        <v>1.624962E-3</v>
      </c>
      <c r="W211" s="7" cm="1">
        <f t="array" ref="W211">INDEX(GMWQ!$A$2:$LR$60,MATCH(1,(GMWQ!$LQ$2:$LQ$60=W$3)*(GMWQ!$LP$2:$LP$60=W$4)*(GMWQ!$LR$2:$LR$60=W$1),0),$B211-1966)</f>
        <v>11.130269999999999</v>
      </c>
      <c r="X211" s="7" cm="1">
        <f t="array" ref="X211">INDEX(GMWQ!$A$2:$LR$60,MATCH(1,(GMWQ!$LQ$2:$LQ$60=X$3)*(GMWQ!$LP$2:$LP$60=X$4)*(GMWQ!$LR$2:$LR$60=X$1),0),$B211-1966)</f>
        <v>5361409</v>
      </c>
      <c r="Y211" s="7" cm="1">
        <f t="array" ref="Y211">INDEX(GMWQ!$A$2:$LR$60,MATCH(1,(GMWQ!$LQ$2:$LQ$60=Y$3)*(GMWQ!$LP$2:$LP$60=Y$4)*(GMWQ!$LR$2:$LR$60=Y$1),0),$B211-1966)</f>
        <v>120.44589999999999</v>
      </c>
      <c r="Z211" s="7" cm="1">
        <f t="array" ref="Z211">INDEX(GMWQ!$A$2:$LR$60,MATCH(1,(GMWQ!$LQ$2:$LQ$60=Z$3)*(GMWQ!$LP$2:$LP$60=Z$4)*(GMWQ!$LR$2:$LR$60=Z$1),0),$B211-1966)</f>
        <v>567932.4</v>
      </c>
      <c r="AA211" s="7" cm="1">
        <f t="array" ref="AA211">INDEX(GMWQ!$A$2:$LR$60,MATCH(1,(GMWQ!$LQ$2:$LQ$60=AA$3)*(GMWQ!$LP$2:$LP$60=AA$4)*(GMWQ!$LR$2:$LR$60=AA$1),0),$B211-1966)</f>
        <v>318588.59999999998</v>
      </c>
      <c r="AB211" s="7" cm="1">
        <f t="array" ref="AB211">INDEX(GMWQ!$A$2:$LR$60,MATCH(1,(GMWQ!$LQ$2:$LQ$60=AB$3)*(GMWQ!$LP$2:$LP$60=AB$4)*(GMWQ!$LR$2:$LR$60=AB$1),0),$B211-1966)</f>
        <v>276139.09999999998</v>
      </c>
      <c r="AC211" s="7" cm="1">
        <f t="array" ref="AC211">INDEX(GMWQ!$A$2:$LR$60,MATCH(1,(GMWQ!$LQ$2:$LQ$60=AC$3)*(GMWQ!$LP$2:$LP$60=AC$4)*(GMWQ!$LR$2:$LR$60=AC$1),0),$B211-1966)</f>
        <v>34592</v>
      </c>
      <c r="AD211" s="7" cm="1">
        <f t="array" ref="AD211">INDEX(GMWQ!$A$2:$LR$60,MATCH(1,(GMWQ!$LQ$2:$LQ$60=AD$3)*(GMWQ!$LP$2:$LP$60=AD$4)*(GMWQ!$LR$2:$LR$60=AD$1),0),$B211-1966)</f>
        <v>12732.5</v>
      </c>
      <c r="AE211" s="7" cm="1">
        <f t="array" ref="AE211">INDEX(GMWQ!$A$2:$LR$60,MATCH(1,(GMWQ!$LQ$2:$LQ$60=AE$3)*(GMWQ!$LP$2:$LP$60=AE$4)*(GMWQ!$LR$2:$LR$60=AE$1),0),$B211-1966)</f>
        <v>684491.9</v>
      </c>
      <c r="AF211" s="20" cm="1">
        <f t="array" ref="AF211">INDEX(GMWQ!$A$2:$LR$60,MATCH(1,(GMWQ!$LQ$2:$LQ$60=AF$3)*(GMWQ!$LP$2:$LP$60=AF$4)*(GMWQ!$LR$2:$LR$60=AF$1),0),$B211-1966)</f>
        <v>5.25</v>
      </c>
      <c r="AG211" s="20" cm="1">
        <f t="array" ref="AG211">INDEX(GMWQ!$A$2:$LR$60,MATCH(1,(GMWQ!$LQ$2:$LQ$60=AG$3)*(GMWQ!$LP$2:$LP$60=AG$4)*(GMWQ!$LR$2:$LR$60=AG$1),0),$B211-1966)</f>
        <v>9.9158670000000004</v>
      </c>
      <c r="AI211" s="23" cm="1">
        <f t="array" ref="AI211">INDEX(GMWQ!$A$2:$LR$60,MATCH(1,(GMWQ!$LQ$2:$LQ$60=AI$3)*(GMWQ!$LP$2:$LP$60=AI$4)*(GMWQ!$LR$2:$LR$60=AI$1),0),$B211-1966)</f>
        <v>442566</v>
      </c>
      <c r="AJ211" s="23" cm="1">
        <f t="array" ref="AJ211">INDEX(GMWQ!$A$2:$LR$60,MATCH(1,(GMWQ!$LQ$2:$LQ$60=AJ$3)*(GMWQ!$LP$2:$LP$60=AJ$4)*(GMWQ!$LR$2:$LR$60=AJ$1),0),$B211-1966)</f>
        <v>120.7684</v>
      </c>
      <c r="AK211" s="23" cm="1">
        <f t="array" ref="AK211">INDEX(GMWQ!$A$2:$LR$60,MATCH(1,(GMWQ!$LQ$2:$LQ$60=AK$3)*(GMWQ!$LP$2:$LP$60=AK$4)*(GMWQ!$LR$2:$LR$60=AK$1),0),$B211-1966)</f>
        <v>280314.90000000002</v>
      </c>
      <c r="AL211" s="23" cm="1">
        <f t="array" ref="AL211">INDEX(GMWQ!$A$2:$LR$60,MATCH(1,(GMWQ!$LQ$2:$LQ$60=AL$3)*(GMWQ!$LP$2:$LP$60=AL$4)*(GMWQ!$LR$2:$LR$60=AL$1),0),$B211-1966)</f>
        <v>9797.7710000000006</v>
      </c>
      <c r="AM211" s="23" cm="1">
        <f t="array" ref="AM211">INDEX(GMWQ!$A$2:$LR$60,MATCH(1,(GMWQ!$LQ$2:$LQ$60=AM$3)*(GMWQ!$LP$2:$LP$60=AM$4)*(GMWQ!$LR$2:$LR$60=AM$1),0),$B211-1966)</f>
        <v>28610.07</v>
      </c>
      <c r="AN211" s="23" cm="1">
        <f t="array" ref="AN211">INDEX(GMWQ!$A$2:$LR$60,MATCH(1,(GMWQ!$LQ$2:$LQ$60=AN$3)*(GMWQ!$LP$2:$LP$60=AN$4)*(GMWQ!$LR$2:$LR$60=AN$1),0),$B211-1966)</f>
        <v>73901.7</v>
      </c>
      <c r="AO211" s="23" cm="1">
        <f t="array" ref="AO211">INDEX(GMWQ!$A$2:$LR$60,MATCH(1,(GMWQ!$LQ$2:$LQ$60=AO$3)*(GMWQ!$LP$2:$LP$60=AO$4)*(GMWQ!$LR$2:$LR$60=AO$1),0),$B211-1966)</f>
        <v>19061.419999999998</v>
      </c>
      <c r="AP211" s="23" cm="1">
        <f t="array" ref="AP211">INDEX(GMWQ!$A$2:$LR$60,MATCH(1,(GMWQ!$LQ$2:$LQ$60=AP$3)*(GMWQ!$LP$2:$LP$60=AP$4)*(GMWQ!$LR$2:$LR$60=AP$1),0),$B211-1966)</f>
        <v>9.9158670000000004</v>
      </c>
      <c r="AQ211" s="23" cm="1">
        <f t="array" ref="AQ211">INDEX(GMWQ!$A$2:$LR$60,MATCH(1,(GMWQ!$LQ$2:$LQ$60=AQ$3)*(GMWQ!$LP$2:$LP$60=AQ$4)*(GMWQ!$LR$2:$LR$60=AQ$1),0),$B211-1966)</f>
        <v>84069.72</v>
      </c>
      <c r="AR211" s="23" cm="1">
        <f t="array" ref="AR211">INDEX(GMWQ!$A$2:$LR$60,MATCH(1,(GMWQ!$LQ$2:$LQ$60=AR$3)*(GMWQ!$LP$2:$LP$60=AR$4)*(GMWQ!$LR$2:$LR$60=AR$1),0),$B211-1966)</f>
        <v>408999.5</v>
      </c>
      <c r="AS211" s="23" cm="1">
        <f t="array" ref="AS211">INDEX(GMWQ!$A$2:$LR$60,MATCH(1,(GMWQ!$LQ$2:$LQ$60=AS$3)*(GMWQ!$LP$2:$LP$60=AS$4)*(GMWQ!$LR$2:$LR$60=AS$1),0),$B211-1966)</f>
        <v>13507.55</v>
      </c>
      <c r="AT211" s="23" cm="1">
        <f t="array" ref="AT211">INDEX(GMWQ!$A$2:$LR$60,MATCH(1,(GMWQ!$LQ$2:$LQ$60=AT$3)*(GMWQ!$LP$2:$LP$60=AT$4)*(GMWQ!$LR$2:$LR$60=AT$1),0),$B211-1966)</f>
        <v>338664.3</v>
      </c>
      <c r="AU211" s="23" cm="1">
        <f t="array" ref="AU211">INDEX(GMWQ!$A$2:$LR$60,MATCH(1,(GMWQ!$LQ$2:$LQ$60=AU$3)*(GMWQ!$LP$2:$LP$60=AU$4)*(GMWQ!$LR$2:$LR$60=AU$1),0),$B211-1966)</f>
        <v>12052.02</v>
      </c>
    </row>
    <row r="212" spans="1:47" x14ac:dyDescent="0.35">
      <c r="B212" s="7">
        <f t="shared" si="4"/>
        <v>2178</v>
      </c>
      <c r="C212" s="7" cm="1">
        <f t="array" ref="C212">INDEX(GMWQ!$A$2:$LR$60,MATCH(1,(GMWQ!$LQ$2:$LQ$60=C$3)*(GMWQ!$LP$2:$LP$60=C$4)*(GMWQ!$LR$2:$LR$60=C$1),0),$B212-1966)</f>
        <v>569712.9</v>
      </c>
      <c r="D212" s="7" cm="1">
        <f t="array" ref="D212">INDEX(GMWQ!$A$2:$LR$60,MATCH(1,(GMWQ!$LQ$2:$LQ$60=D$3)*(GMWQ!$LP$2:$LP$60=D$4)*(GMWQ!$LR$2:$LR$60=D$1),0),$B212-1966)</f>
        <v>683.86890000000005</v>
      </c>
      <c r="E212" s="7" cm="1">
        <f t="array" ref="E212">INDEX(GMWQ!$A$2:$LR$60,MATCH(1,(GMWQ!$LQ$2:$LQ$60=E$3)*(GMWQ!$LP$2:$LP$60=E$4)*(GMWQ!$LR$2:$LR$60=E$1),0),$B212-1966)</f>
        <v>133.14169999999999</v>
      </c>
      <c r="F212" s="7" cm="1">
        <f t="array" ref="F212">INDEX(GMWQ!$A$2:$LR$60,MATCH(1,(GMWQ!$LQ$2:$LQ$60=F$3)*(GMWQ!$LP$2:$LP$60=F$4)*(GMWQ!$LR$2:$LR$60=F$1),0),$B212-1966)</f>
        <v>285058.59999999998</v>
      </c>
      <c r="G212" s="7" cm="1">
        <f t="array" ref="G212">INDEX(GMWQ!$A$2:$LR$60,MATCH(1,(GMWQ!$LQ$2:$LQ$60=G$3)*(GMWQ!$LP$2:$LP$60=G$4)*(GMWQ!$LR$2:$LR$60=G$1),0),$B212-1966)</f>
        <v>76285.16</v>
      </c>
      <c r="H212" s="7" cm="1">
        <f t="array" ref="H212">INDEX(GMWQ!$A$2:$LR$60,MATCH(1,(GMWQ!$LQ$2:$LQ$60=H$3)*(GMWQ!$LP$2:$LP$60=H$4)*(GMWQ!$LR$2:$LR$60=H$1),0),$B212-1966)</f>
        <v>18813.87</v>
      </c>
      <c r="I212" s="7" cm="1">
        <f t="array" ref="I212">INDEX(GMWQ!$A$2:$LR$60,MATCH(1,(GMWQ!$LQ$2:$LQ$60=I$3)*(GMWQ!$LP$2:$LP$60=I$4)*(GMWQ!$LR$2:$LR$60=I$1),0),$B212-1966)</f>
        <v>121.31189999999999</v>
      </c>
      <c r="J212" s="7" cm="1">
        <f t="array" ref="J212">INDEX(GMWQ!$A$2:$LR$60,MATCH(1,(GMWQ!$LQ$2:$LQ$60=J$3)*(GMWQ!$LP$2:$LP$60=J$4)*(GMWQ!$LR$2:$LR$60=J$1),0),$B212-1966)</f>
        <v>28664.26</v>
      </c>
      <c r="K212" s="7" cm="1">
        <f t="array" ref="K212">INDEX(GMWQ!$A$2:$LR$60,MATCH(1,(GMWQ!$LQ$2:$LQ$60=K$3)*(GMWQ!$LP$2:$LP$60=K$4)*(GMWQ!$LR$2:$LR$60=K$1),0),$B212-1966)</f>
        <v>5</v>
      </c>
      <c r="L212" s="7" cm="1">
        <f t="array" ref="L212">INDEX(GMWQ!$A$2:$LR$60,MATCH(1,(GMWQ!$LQ$2:$LQ$60=L$3)*(GMWQ!$LP$2:$LP$60=L$4)*(GMWQ!$LR$2:$LR$60=L$1),0),$B212-1966)</f>
        <v>4.0429279999999999</v>
      </c>
      <c r="M212" s="7" cm="1">
        <f t="array" ref="M212">INDEX(GMWQ!$A$2:$LR$60,MATCH(1,(GMWQ!$LQ$2:$LQ$60=M$3)*(GMWQ!$LP$2:$LP$60=M$4)*(GMWQ!$LR$2:$LR$60=M$1),0),$B212-1966)</f>
        <v>146.46610000000001</v>
      </c>
      <c r="N212" s="7" cm="1">
        <f t="array" ref="N212">INDEX(GMWQ!$A$2:$LR$60,MATCH(1,(GMWQ!$LQ$2:$LQ$60=N$3)*(GMWQ!$LP$2:$LP$60=N$4)*(GMWQ!$LR$2:$LR$60=N$1),0),$B212-1966)</f>
        <v>25981.85</v>
      </c>
      <c r="O212" s="7" cm="1">
        <f t="array" ref="O212">INDEX(GMWQ!$A$2:$LR$60,MATCH(1,(GMWQ!$LQ$2:$LQ$60=O$3)*(GMWQ!$LP$2:$LP$60=O$4)*(GMWQ!$LR$2:$LR$60=O$1),0),$B212-1966)</f>
        <v>25320.79</v>
      </c>
      <c r="P212" s="7" cm="1">
        <f t="array" ref="P212">INDEX(GMWQ!$A$2:$LR$60,MATCH(1,(GMWQ!$LQ$2:$LQ$60=P$3)*(GMWQ!$LP$2:$LP$60=P$4)*(GMWQ!$LR$2:$LR$60=P$1),0),$B212-1966)</f>
        <v>450578.2</v>
      </c>
      <c r="Q212" s="7" cm="1">
        <f t="array" ref="Q212">INDEX(GMWQ!$A$2:$LR$60,MATCH(1,(GMWQ!$LQ$2:$LQ$60=Q$3)*(GMWQ!$LP$2:$LP$60=Q$4)*(GMWQ!$LR$2:$LR$60=Q$1),0),$B212-1966)</f>
        <v>3.6101890000000001</v>
      </c>
      <c r="R212" s="7" cm="1">
        <f t="array" ref="R212">INDEX(GMWQ!$A$2:$LR$60,MATCH(1,(GMWQ!$LQ$2:$LQ$60=R$3)*(GMWQ!$LP$2:$LP$60=R$4)*(GMWQ!$LR$2:$LR$60=R$1),0),$B212-1966)</f>
        <v>162831.20000000001</v>
      </c>
      <c r="S212" s="7" cm="1">
        <f t="array" ref="S212">INDEX(GMWQ!$A$2:$LR$60,MATCH(1,(GMWQ!$LQ$2:$LQ$60=S$3)*(GMWQ!$LP$2:$LP$60=S$4)*(GMWQ!$LR$2:$LR$60=S$1),0),$B212-1966)</f>
        <v>255.78380000000001</v>
      </c>
      <c r="T212" s="7" cm="1">
        <f t="array" ref="T212">INDEX(GMWQ!$A$2:$LR$60,MATCH(1,(GMWQ!$LQ$2:$LQ$60=T$3)*(GMWQ!$LP$2:$LP$60=T$4)*(GMWQ!$LR$2:$LR$60=T$1),0),$B212-1966)</f>
        <v>58309.22</v>
      </c>
      <c r="U212" s="7" cm="1">
        <f t="array" ref="U212">INDEX(GMWQ!$A$2:$LR$60,MATCH(1,(GMWQ!$LQ$2:$LQ$60=U$3)*(GMWQ!$LP$2:$LP$60=U$4)*(GMWQ!$LR$2:$LR$60=U$1),0),$B212-1966)</f>
        <v>6313.2849999999999</v>
      </c>
      <c r="V212" s="7" cm="1">
        <f t="array" ref="V212">INDEX(GMWQ!$A$2:$LR$60,MATCH(1,(GMWQ!$LQ$2:$LQ$60=V$3)*(GMWQ!$LP$2:$LP$60=V$4)*(GMWQ!$LR$2:$LR$60=V$1),0),$B212-1966)</f>
        <v>1.690953E-3</v>
      </c>
      <c r="W212" s="7" cm="1">
        <f t="array" ref="W212">INDEX(GMWQ!$A$2:$LR$60,MATCH(1,(GMWQ!$LQ$2:$LQ$60=W$3)*(GMWQ!$LP$2:$LP$60=W$4)*(GMWQ!$LR$2:$LR$60=W$1),0),$B212-1966)</f>
        <v>11.12528</v>
      </c>
      <c r="X212" s="7" cm="1">
        <f t="array" ref="X212">INDEX(GMWQ!$A$2:$LR$60,MATCH(1,(GMWQ!$LQ$2:$LQ$60=X$3)*(GMWQ!$LP$2:$LP$60=X$4)*(GMWQ!$LR$2:$LR$60=X$1),0),$B212-1966)</f>
        <v>5441301</v>
      </c>
      <c r="Y212" s="7" cm="1">
        <f t="array" ref="Y212">INDEX(GMWQ!$A$2:$LR$60,MATCH(1,(GMWQ!$LQ$2:$LQ$60=Y$3)*(GMWQ!$LP$2:$LP$60=Y$4)*(GMWQ!$LR$2:$LR$60=Y$1),0),$B212-1966)</f>
        <v>120.8073</v>
      </c>
      <c r="Z212" s="7" cm="1">
        <f t="array" ref="Z212">INDEX(GMWQ!$A$2:$LR$60,MATCH(1,(GMWQ!$LQ$2:$LQ$60=Z$3)*(GMWQ!$LP$2:$LP$60=Z$4)*(GMWQ!$LR$2:$LR$60=Z$1),0),$B212-1966)</f>
        <v>570463.69999999995</v>
      </c>
      <c r="AA212" s="7" cm="1">
        <f t="array" ref="AA212">INDEX(GMWQ!$A$2:$LR$60,MATCH(1,(GMWQ!$LQ$2:$LQ$60=AA$3)*(GMWQ!$LP$2:$LP$60=AA$4)*(GMWQ!$LR$2:$LR$60=AA$1),0),$B212-1966)</f>
        <v>271923.8</v>
      </c>
      <c r="AB212" s="7" cm="1">
        <f t="array" ref="AB212">INDEX(GMWQ!$A$2:$LR$60,MATCH(1,(GMWQ!$LQ$2:$LQ$60=AB$3)*(GMWQ!$LP$2:$LP$60=AB$4)*(GMWQ!$LR$2:$LR$60=AB$1),0),$B212-1966)</f>
        <v>272847.3</v>
      </c>
      <c r="AC212" s="7" cm="1">
        <f t="array" ref="AC212">INDEX(GMWQ!$A$2:$LR$60,MATCH(1,(GMWQ!$LQ$2:$LQ$60=AC$3)*(GMWQ!$LP$2:$LP$60=AC$4)*(GMWQ!$LR$2:$LR$60=AC$1),0),$B212-1966)</f>
        <v>12689.79</v>
      </c>
      <c r="AD212" s="7" cm="1">
        <f t="array" ref="AD212">INDEX(GMWQ!$A$2:$LR$60,MATCH(1,(GMWQ!$LQ$2:$LQ$60=AD$3)*(GMWQ!$LP$2:$LP$60=AD$4)*(GMWQ!$LR$2:$LR$60=AD$1),0),$B212-1966)</f>
        <v>16078.43</v>
      </c>
      <c r="AE212" s="7" cm="1">
        <f t="array" ref="AE212">INDEX(GMWQ!$A$2:$LR$60,MATCH(1,(GMWQ!$LQ$2:$LQ$60=AE$3)*(GMWQ!$LP$2:$LP$60=AE$4)*(GMWQ!$LR$2:$LR$60=AE$1),0),$B212-1966)</f>
        <v>688254.5</v>
      </c>
      <c r="AF212" s="20" cm="1">
        <f t="array" ref="AF212">INDEX(GMWQ!$A$2:$LR$60,MATCH(1,(GMWQ!$LQ$2:$LQ$60=AF$3)*(GMWQ!$LP$2:$LP$60=AF$4)*(GMWQ!$LR$2:$LR$60=AF$1),0),$B212-1966)</f>
        <v>5.223077</v>
      </c>
      <c r="AG212" s="20" cm="1">
        <f t="array" ref="AG212">INDEX(GMWQ!$A$2:$LR$60,MATCH(1,(GMWQ!$LQ$2:$LQ$60=AG$3)*(GMWQ!$LP$2:$LP$60=AG$4)*(GMWQ!$LR$2:$LR$60=AG$1),0),$B212-1966)</f>
        <v>-661.05420000000004</v>
      </c>
      <c r="AI212" s="23" cm="1">
        <f t="array" ref="AI212">INDEX(GMWQ!$A$2:$LR$60,MATCH(1,(GMWQ!$LQ$2:$LQ$60=AI$3)*(GMWQ!$LP$2:$LP$60=AI$4)*(GMWQ!$LR$2:$LR$60=AI$1),0),$B212-1966)</f>
        <v>450578.2</v>
      </c>
      <c r="AJ212" s="23" cm="1">
        <f t="array" ref="AJ212">INDEX(GMWQ!$A$2:$LR$60,MATCH(1,(GMWQ!$LQ$2:$LQ$60=AJ$3)*(GMWQ!$LP$2:$LP$60=AJ$4)*(GMWQ!$LR$2:$LR$60=AJ$1),0),$B212-1966)</f>
        <v>121.31189999999999</v>
      </c>
      <c r="AK212" s="23" cm="1">
        <f t="array" ref="AK212">INDEX(GMWQ!$A$2:$LR$60,MATCH(1,(GMWQ!$LQ$2:$LQ$60=AK$3)*(GMWQ!$LP$2:$LP$60=AK$4)*(GMWQ!$LR$2:$LR$60=AK$1),0),$B212-1966)</f>
        <v>285058.59999999998</v>
      </c>
      <c r="AL212" s="23" cm="1">
        <f t="array" ref="AL212">INDEX(GMWQ!$A$2:$LR$60,MATCH(1,(GMWQ!$LQ$2:$LQ$60=AL$3)*(GMWQ!$LP$2:$LP$60=AL$4)*(GMWQ!$LR$2:$LR$60=AL$1),0),$B212-1966)</f>
        <v>9944.7369999999992</v>
      </c>
      <c r="AM212" s="23" cm="1">
        <f t="array" ref="AM212">INDEX(GMWQ!$A$2:$LR$60,MATCH(1,(GMWQ!$LQ$2:$LQ$60=AM$3)*(GMWQ!$LP$2:$LP$60=AM$4)*(GMWQ!$LR$2:$LR$60=AM$1),0),$B212-1966)</f>
        <v>28664.26</v>
      </c>
      <c r="AN212" s="23" cm="1">
        <f t="array" ref="AN212">INDEX(GMWQ!$A$2:$LR$60,MATCH(1,(GMWQ!$LQ$2:$LQ$60=AN$3)*(GMWQ!$LP$2:$LP$60=AN$4)*(GMWQ!$LR$2:$LR$60=AN$1),0),$B212-1966)</f>
        <v>76285.16</v>
      </c>
      <c r="AO212" s="23" cm="1">
        <f t="array" ref="AO212">INDEX(GMWQ!$A$2:$LR$60,MATCH(1,(GMWQ!$LQ$2:$LQ$60=AO$3)*(GMWQ!$LP$2:$LP$60=AO$4)*(GMWQ!$LR$2:$LR$60=AO$1),0),$B212-1966)</f>
        <v>18813.87</v>
      </c>
      <c r="AP212" s="23" cm="1">
        <f t="array" ref="AP212">INDEX(GMWQ!$A$2:$LR$60,MATCH(1,(GMWQ!$LQ$2:$LQ$60=AP$3)*(GMWQ!$LP$2:$LP$60=AP$4)*(GMWQ!$LR$2:$LR$60=AP$1),0),$B212-1966)</f>
        <v>-661.05420000000004</v>
      </c>
      <c r="AQ212" s="23" cm="1">
        <f t="array" ref="AQ212">INDEX(GMWQ!$A$2:$LR$60,MATCH(1,(GMWQ!$LQ$2:$LQ$60=AQ$3)*(GMWQ!$LP$2:$LP$60=AQ$4)*(GMWQ!$LR$2:$LR$60=AQ$1),0),$B212-1966)</f>
        <v>88814.87</v>
      </c>
      <c r="AR212" s="23" cm="1">
        <f t="array" ref="AR212">INDEX(GMWQ!$A$2:$LR$60,MATCH(1,(GMWQ!$LQ$2:$LQ$60=AR$3)*(GMWQ!$LP$2:$LP$60=AR$4)*(GMWQ!$LR$2:$LR$60=AR$1),0),$B212-1966)</f>
        <v>412531.3</v>
      </c>
      <c r="AS212" s="23" cm="1">
        <f t="array" ref="AS212">INDEX(GMWQ!$A$2:$LR$60,MATCH(1,(GMWQ!$LQ$2:$LQ$60=AS$3)*(GMWQ!$LP$2:$LP$60=AS$4)*(GMWQ!$LR$2:$LR$60=AS$1),0),$B212-1966)</f>
        <v>13633.58</v>
      </c>
      <c r="AT212" s="23" cm="1">
        <f t="array" ref="AT212">INDEX(GMWQ!$A$2:$LR$60,MATCH(1,(GMWQ!$LQ$2:$LQ$60=AT$3)*(GMWQ!$LP$2:$LP$60=AT$4)*(GMWQ!$LR$2:$LR$60=AT$1),0),$B212-1966)</f>
        <v>340058.4</v>
      </c>
      <c r="AU212" s="23" cm="1">
        <f t="array" ref="AU212">INDEX(GMWQ!$A$2:$LR$60,MATCH(1,(GMWQ!$LQ$2:$LQ$60=AU$3)*(GMWQ!$LP$2:$LP$60=AU$4)*(GMWQ!$LR$2:$LR$60=AU$1),0),$B212-1966)</f>
        <v>12101.63</v>
      </c>
    </row>
    <row r="213" spans="1:47" x14ac:dyDescent="0.35">
      <c r="B213" s="7">
        <f t="shared" si="4"/>
        <v>2179</v>
      </c>
      <c r="C213" s="7" cm="1">
        <f t="array" ref="C213">INDEX(GMWQ!$A$2:$LR$60,MATCH(1,(GMWQ!$LQ$2:$LQ$60=C$3)*(GMWQ!$LP$2:$LP$60=C$4)*(GMWQ!$LR$2:$LR$60=C$1),0),$B213-1966)</f>
        <v>571261.5</v>
      </c>
      <c r="D213" s="7" cm="1">
        <f t="array" ref="D213">INDEX(GMWQ!$A$2:$LR$60,MATCH(1,(GMWQ!$LQ$2:$LQ$60=D$3)*(GMWQ!$LP$2:$LP$60=D$4)*(GMWQ!$LR$2:$LR$60=D$1),0),$B213-1966)</f>
        <v>688.65570000000002</v>
      </c>
      <c r="E213" s="7" cm="1">
        <f t="array" ref="E213">INDEX(GMWQ!$A$2:$LR$60,MATCH(1,(GMWQ!$LQ$2:$LQ$60=E$3)*(GMWQ!$LP$2:$LP$60=E$4)*(GMWQ!$LR$2:$LR$60=E$1),0),$B213-1966)</f>
        <v>133.72</v>
      </c>
      <c r="F213" s="7" cm="1">
        <f t="array" ref="F213">INDEX(GMWQ!$A$2:$LR$60,MATCH(1,(GMWQ!$LQ$2:$LQ$60=F$3)*(GMWQ!$LP$2:$LP$60=F$4)*(GMWQ!$LR$2:$LR$60=F$1),0),$B213-1966)</f>
        <v>287605.8</v>
      </c>
      <c r="G213" s="7" cm="1">
        <f t="array" ref="G213">INDEX(GMWQ!$A$2:$LR$60,MATCH(1,(GMWQ!$LQ$2:$LQ$60=G$3)*(GMWQ!$LP$2:$LP$60=G$4)*(GMWQ!$LR$2:$LR$60=G$1),0),$B213-1966)</f>
        <v>77183.399999999994</v>
      </c>
      <c r="H213" s="7" cm="1">
        <f t="array" ref="H213">INDEX(GMWQ!$A$2:$LR$60,MATCH(1,(GMWQ!$LQ$2:$LQ$60=H$3)*(GMWQ!$LP$2:$LP$60=H$4)*(GMWQ!$LR$2:$LR$60=H$1),0),$B213-1966)</f>
        <v>18981.98</v>
      </c>
      <c r="I213" s="7" cm="1">
        <f t="array" ref="I213">INDEX(GMWQ!$A$2:$LR$60,MATCH(1,(GMWQ!$LQ$2:$LQ$60=I$3)*(GMWQ!$LP$2:$LP$60=I$4)*(GMWQ!$LR$2:$LR$60=I$1),0),$B213-1966)</f>
        <v>121.8578</v>
      </c>
      <c r="J213" s="7" cm="1">
        <f t="array" ref="J213">INDEX(GMWQ!$A$2:$LR$60,MATCH(1,(GMWQ!$LQ$2:$LQ$60=J$3)*(GMWQ!$LP$2:$LP$60=J$4)*(GMWQ!$LR$2:$LR$60=J$1),0),$B213-1966)</f>
        <v>28719.37</v>
      </c>
      <c r="K213" s="7" cm="1">
        <f t="array" ref="K213">INDEX(GMWQ!$A$2:$LR$60,MATCH(1,(GMWQ!$LQ$2:$LQ$60=K$3)*(GMWQ!$LP$2:$LP$60=K$4)*(GMWQ!$LR$2:$LR$60=K$1),0),$B213-1966)</f>
        <v>4.75</v>
      </c>
      <c r="L213" s="7" cm="1">
        <f t="array" ref="L213">INDEX(GMWQ!$A$2:$LR$60,MATCH(1,(GMWQ!$LQ$2:$LQ$60=L$3)*(GMWQ!$LP$2:$LP$60=L$4)*(GMWQ!$LR$2:$LR$60=L$1),0),$B213-1966)</f>
        <v>4.0907939999999998</v>
      </c>
      <c r="M213" s="7" cm="1">
        <f t="array" ref="M213">INDEX(GMWQ!$A$2:$LR$60,MATCH(1,(GMWQ!$LQ$2:$LQ$60=M$3)*(GMWQ!$LP$2:$LP$60=M$4)*(GMWQ!$LR$2:$LR$60=M$1),0),$B213-1966)</f>
        <v>146.0412</v>
      </c>
      <c r="N213" s="7" cm="1">
        <f t="array" ref="N213">INDEX(GMWQ!$A$2:$LR$60,MATCH(1,(GMWQ!$LQ$2:$LQ$60=N$3)*(GMWQ!$LP$2:$LP$60=N$4)*(GMWQ!$LR$2:$LR$60=N$1),0),$B213-1966)</f>
        <v>25734.18</v>
      </c>
      <c r="O213" s="7" cm="1">
        <f t="array" ref="O213">INDEX(GMWQ!$A$2:$LR$60,MATCH(1,(GMWQ!$LQ$2:$LQ$60=O$3)*(GMWQ!$LP$2:$LP$60=O$4)*(GMWQ!$LR$2:$LR$60=O$1),0),$B213-1966)</f>
        <v>24669.21</v>
      </c>
      <c r="P213" s="7" cm="1">
        <f t="array" ref="P213">INDEX(GMWQ!$A$2:$LR$60,MATCH(1,(GMWQ!$LQ$2:$LQ$60=P$3)*(GMWQ!$LP$2:$LP$60=P$4)*(GMWQ!$LR$2:$LR$60=P$1),0),$B213-1966)</f>
        <v>453016.9</v>
      </c>
      <c r="Q213" s="7" cm="1">
        <f t="array" ref="Q213">INDEX(GMWQ!$A$2:$LR$60,MATCH(1,(GMWQ!$LQ$2:$LQ$60=Q$3)*(GMWQ!$LP$2:$LP$60=Q$4)*(GMWQ!$LR$2:$LR$60=Q$1),0),$B213-1966)</f>
        <v>3.681047</v>
      </c>
      <c r="R213" s="7" cm="1">
        <f t="array" ref="R213">INDEX(GMWQ!$A$2:$LR$60,MATCH(1,(GMWQ!$LQ$2:$LQ$60=R$3)*(GMWQ!$LP$2:$LP$60=R$4)*(GMWQ!$LR$2:$LR$60=R$1),0),$B213-1966)</f>
        <v>167694.5</v>
      </c>
      <c r="S213" s="7" cm="1">
        <f t="array" ref="S213">INDEX(GMWQ!$A$2:$LR$60,MATCH(1,(GMWQ!$LQ$2:$LQ$60=S$3)*(GMWQ!$LP$2:$LP$60=S$4)*(GMWQ!$LR$2:$LR$60=S$1),0),$B213-1966)</f>
        <v>258.15480000000002</v>
      </c>
      <c r="T213" s="7" cm="1">
        <f t="array" ref="T213">INDEX(GMWQ!$A$2:$LR$60,MATCH(1,(GMWQ!$LQ$2:$LQ$60=T$3)*(GMWQ!$LP$2:$LP$60=T$4)*(GMWQ!$LR$2:$LR$60=T$1),0),$B213-1966)</f>
        <v>61576.93</v>
      </c>
      <c r="U213" s="7" cm="1">
        <f t="array" ref="U213">INDEX(GMWQ!$A$2:$LR$60,MATCH(1,(GMWQ!$LQ$2:$LQ$60=U$3)*(GMWQ!$LP$2:$LP$60=U$4)*(GMWQ!$LR$2:$LR$60=U$1),0),$B213-1966)</f>
        <v>8900.7970000000005</v>
      </c>
      <c r="V213" s="7" cm="1">
        <f t="array" ref="V213">INDEX(GMWQ!$A$2:$LR$60,MATCH(1,(GMWQ!$LQ$2:$LQ$60=V$3)*(GMWQ!$LP$2:$LP$60=V$4)*(GMWQ!$LR$2:$LR$60=V$1),0),$B213-1966)</f>
        <v>1.684762E-3</v>
      </c>
      <c r="W213" s="7" cm="1">
        <f t="array" ref="W213">INDEX(GMWQ!$A$2:$LR$60,MATCH(1,(GMWQ!$LQ$2:$LQ$60=W$3)*(GMWQ!$LP$2:$LP$60=W$4)*(GMWQ!$LR$2:$LR$60=W$1),0),$B213-1966)</f>
        <v>10.93641</v>
      </c>
      <c r="X213" s="7" cm="1">
        <f t="array" ref="X213">INDEX(GMWQ!$A$2:$LR$60,MATCH(1,(GMWQ!$LQ$2:$LQ$60=X$3)*(GMWQ!$LP$2:$LP$60=X$4)*(GMWQ!$LR$2:$LR$60=X$1),0),$B213-1966)</f>
        <v>5509174</v>
      </c>
      <c r="Y213" s="7" cm="1">
        <f t="array" ref="Y213">INDEX(GMWQ!$A$2:$LR$60,MATCH(1,(GMWQ!$LQ$2:$LQ$60=Y$3)*(GMWQ!$LP$2:$LP$60=Y$4)*(GMWQ!$LR$2:$LR$60=Y$1),0),$B213-1966)</f>
        <v>121.23009999999999</v>
      </c>
      <c r="Z213" s="7" cm="1">
        <f t="array" ref="Z213">INDEX(GMWQ!$A$2:$LR$60,MATCH(1,(GMWQ!$LQ$2:$LQ$60=Z$3)*(GMWQ!$LP$2:$LP$60=Z$4)*(GMWQ!$LR$2:$LR$60=Z$1),0),$B213-1966)</f>
        <v>572738.4</v>
      </c>
      <c r="AA213" s="7" cm="1">
        <f t="array" ref="AA213">INDEX(GMWQ!$A$2:$LR$60,MATCH(1,(GMWQ!$LQ$2:$LQ$60=AA$3)*(GMWQ!$LP$2:$LP$60=AA$4)*(GMWQ!$LR$2:$LR$60=AA$1),0),$B213-1966)</f>
        <v>285138</v>
      </c>
      <c r="AB213" s="7" cm="1">
        <f t="array" ref="AB213">INDEX(GMWQ!$A$2:$LR$60,MATCH(1,(GMWQ!$LQ$2:$LQ$60=AB$3)*(GMWQ!$LP$2:$LP$60=AB$4)*(GMWQ!$LR$2:$LR$60=AB$1),0),$B213-1966)</f>
        <v>275221.7</v>
      </c>
      <c r="AC213" s="7" cm="1">
        <f t="array" ref="AC213">INDEX(GMWQ!$A$2:$LR$60,MATCH(1,(GMWQ!$LQ$2:$LQ$60=AC$3)*(GMWQ!$LP$2:$LP$60=AC$4)*(GMWQ!$LR$2:$LR$60=AC$1),0),$B213-1966)</f>
        <v>14447.34</v>
      </c>
      <c r="AD213" s="7" cm="1">
        <f t="array" ref="AD213">INDEX(GMWQ!$A$2:$LR$60,MATCH(1,(GMWQ!$LQ$2:$LQ$60=AD$3)*(GMWQ!$LP$2:$LP$60=AD$4)*(GMWQ!$LR$2:$LR$60=AD$1),0),$B213-1966)</f>
        <v>16078.43</v>
      </c>
      <c r="AE213" s="7" cm="1">
        <f t="array" ref="AE213">INDEX(GMWQ!$A$2:$LR$60,MATCH(1,(GMWQ!$LQ$2:$LQ$60=AE$3)*(GMWQ!$LP$2:$LP$60=AE$4)*(GMWQ!$LR$2:$LR$60=AE$1),0),$B213-1966)</f>
        <v>692540.7</v>
      </c>
      <c r="AF213" s="20" cm="1">
        <f t="array" ref="AF213">INDEX(GMWQ!$A$2:$LR$60,MATCH(1,(GMWQ!$LQ$2:$LQ$60=AF$3)*(GMWQ!$LP$2:$LP$60=AF$4)*(GMWQ!$LR$2:$LR$60=AF$1),0),$B213-1966)</f>
        <v>4.8371209999999998</v>
      </c>
      <c r="AG213" s="20" cm="1">
        <f t="array" ref="AG213">INDEX(GMWQ!$A$2:$LR$60,MATCH(1,(GMWQ!$LQ$2:$LQ$60=AG$3)*(GMWQ!$LP$2:$LP$60=AG$4)*(GMWQ!$LR$2:$LR$60=AG$1),0),$B213-1966)</f>
        <v>-1064.97</v>
      </c>
      <c r="AI213" s="23" cm="1">
        <f t="array" ref="AI213">INDEX(GMWQ!$A$2:$LR$60,MATCH(1,(GMWQ!$LQ$2:$LQ$60=AI$3)*(GMWQ!$LP$2:$LP$60=AI$4)*(GMWQ!$LR$2:$LR$60=AI$1),0),$B213-1966)</f>
        <v>453016.9</v>
      </c>
      <c r="AJ213" s="23" cm="1">
        <f t="array" ref="AJ213">INDEX(GMWQ!$A$2:$LR$60,MATCH(1,(GMWQ!$LQ$2:$LQ$60=AJ$3)*(GMWQ!$LP$2:$LP$60=AJ$4)*(GMWQ!$LR$2:$LR$60=AJ$1),0),$B213-1966)</f>
        <v>121.8578</v>
      </c>
      <c r="AK213" s="23" cm="1">
        <f t="array" ref="AK213">INDEX(GMWQ!$A$2:$LR$60,MATCH(1,(GMWQ!$LQ$2:$LQ$60=AK$3)*(GMWQ!$LP$2:$LP$60=AK$4)*(GMWQ!$LR$2:$LR$60=AK$1),0),$B213-1966)</f>
        <v>287605.8</v>
      </c>
      <c r="AL213" s="23" cm="1">
        <f t="array" ref="AL213">INDEX(GMWQ!$A$2:$LR$60,MATCH(1,(GMWQ!$LQ$2:$LQ$60=AL$3)*(GMWQ!$LP$2:$LP$60=AL$4)*(GMWQ!$LR$2:$LR$60=AL$1),0),$B213-1966)</f>
        <v>10014.35</v>
      </c>
      <c r="AM213" s="23" cm="1">
        <f t="array" ref="AM213">INDEX(GMWQ!$A$2:$LR$60,MATCH(1,(GMWQ!$LQ$2:$LQ$60=AM$3)*(GMWQ!$LP$2:$LP$60=AM$4)*(GMWQ!$LR$2:$LR$60=AM$1),0),$B213-1966)</f>
        <v>28719.37</v>
      </c>
      <c r="AN213" s="23" cm="1">
        <f t="array" ref="AN213">INDEX(GMWQ!$A$2:$LR$60,MATCH(1,(GMWQ!$LQ$2:$LQ$60=AN$3)*(GMWQ!$LP$2:$LP$60=AN$4)*(GMWQ!$LR$2:$LR$60=AN$1),0),$B213-1966)</f>
        <v>77183.399999999994</v>
      </c>
      <c r="AO213" s="23" cm="1">
        <f t="array" ref="AO213">INDEX(GMWQ!$A$2:$LR$60,MATCH(1,(GMWQ!$LQ$2:$LQ$60=AO$3)*(GMWQ!$LP$2:$LP$60=AO$4)*(GMWQ!$LR$2:$LR$60=AO$1),0),$B213-1966)</f>
        <v>18981.98</v>
      </c>
      <c r="AP213" s="23" cm="1">
        <f t="array" ref="AP213">INDEX(GMWQ!$A$2:$LR$60,MATCH(1,(GMWQ!$LQ$2:$LQ$60=AP$3)*(GMWQ!$LP$2:$LP$60=AP$4)*(GMWQ!$LR$2:$LR$60=AP$1),0),$B213-1966)</f>
        <v>-1064.97</v>
      </c>
      <c r="AQ213" s="23" cm="1">
        <f t="array" ref="AQ213">INDEX(GMWQ!$A$2:$LR$60,MATCH(1,(GMWQ!$LQ$2:$LQ$60=AQ$3)*(GMWQ!$LP$2:$LP$60=AQ$4)*(GMWQ!$LR$2:$LR$60=AQ$1),0),$B213-1966)</f>
        <v>88777.47</v>
      </c>
      <c r="AR213" s="23" cm="1">
        <f t="array" ref="AR213">INDEX(GMWQ!$A$2:$LR$60,MATCH(1,(GMWQ!$LQ$2:$LQ$60=AR$3)*(GMWQ!$LP$2:$LP$60=AR$4)*(GMWQ!$LR$2:$LR$60=AR$1),0),$B213-1966)</f>
        <v>416058.3</v>
      </c>
      <c r="AS213" s="23" cm="1">
        <f t="array" ref="AS213">INDEX(GMWQ!$A$2:$LR$60,MATCH(1,(GMWQ!$LQ$2:$LQ$60=AS$3)*(GMWQ!$LP$2:$LP$60=AS$4)*(GMWQ!$LR$2:$LR$60=AS$1),0),$B213-1966)</f>
        <v>13768.86</v>
      </c>
      <c r="AT213" s="23" cm="1">
        <f t="array" ref="AT213">INDEX(GMWQ!$A$2:$LR$60,MATCH(1,(GMWQ!$LQ$2:$LQ$60=AT$3)*(GMWQ!$LP$2:$LP$60=AT$4)*(GMWQ!$LR$2:$LR$60=AT$1),0),$B213-1966)</f>
        <v>341429.3</v>
      </c>
      <c r="AU213" s="23" cm="1">
        <f t="array" ref="AU213">INDEX(GMWQ!$A$2:$LR$60,MATCH(1,(GMWQ!$LQ$2:$LQ$60=AU$3)*(GMWQ!$LP$2:$LP$60=AU$4)*(GMWQ!$LR$2:$LR$60=AU$1),0),$B213-1966)</f>
        <v>12150.42</v>
      </c>
    </row>
    <row r="214" spans="1:47" x14ac:dyDescent="0.35">
      <c r="B214" s="7">
        <f t="shared" si="4"/>
        <v>2180</v>
      </c>
      <c r="C214" s="7" cm="1">
        <f t="array" ref="C214">INDEX(GMWQ!$A$2:$LR$60,MATCH(1,(GMWQ!$LQ$2:$LQ$60=C$3)*(GMWQ!$LP$2:$LP$60=C$4)*(GMWQ!$LR$2:$LR$60=C$1),0),$B214-1966)</f>
        <v>573464.30000000005</v>
      </c>
      <c r="D214" s="7" cm="1">
        <f t="array" ref="D214">INDEX(GMWQ!$A$2:$LR$60,MATCH(1,(GMWQ!$LQ$2:$LQ$60=D$3)*(GMWQ!$LP$2:$LP$60=D$4)*(GMWQ!$LR$2:$LR$60=D$1),0),$B214-1966)</f>
        <v>693.13210000000004</v>
      </c>
      <c r="E214" s="7" cm="1">
        <f t="array" ref="E214">INDEX(GMWQ!$A$2:$LR$60,MATCH(1,(GMWQ!$LQ$2:$LQ$60=E$3)*(GMWQ!$LP$2:$LP$60=E$4)*(GMWQ!$LR$2:$LR$60=E$1),0),$B214-1966)</f>
        <v>134.38079999999999</v>
      </c>
      <c r="F214" s="7" cm="1">
        <f t="array" ref="F214">INDEX(GMWQ!$A$2:$LR$60,MATCH(1,(GMWQ!$LQ$2:$LQ$60=F$3)*(GMWQ!$LP$2:$LP$60=F$4)*(GMWQ!$LR$2:$LR$60=F$1),0),$B214-1966)</f>
        <v>290351.7</v>
      </c>
      <c r="G214" s="7" cm="1">
        <f t="array" ref="G214">INDEX(GMWQ!$A$2:$LR$60,MATCH(1,(GMWQ!$LQ$2:$LQ$60=G$3)*(GMWQ!$LP$2:$LP$60=G$4)*(GMWQ!$LR$2:$LR$60=G$1),0),$B214-1966)</f>
        <v>78419.850000000006</v>
      </c>
      <c r="H214" s="7" cm="1">
        <f t="array" ref="H214">INDEX(GMWQ!$A$2:$LR$60,MATCH(1,(GMWQ!$LQ$2:$LQ$60=H$3)*(GMWQ!$LP$2:$LP$60=H$4)*(GMWQ!$LR$2:$LR$60=H$1),0),$B214-1966)</f>
        <v>19163.21</v>
      </c>
      <c r="I214" s="7" cm="1">
        <f t="array" ref="I214">INDEX(GMWQ!$A$2:$LR$60,MATCH(1,(GMWQ!$LQ$2:$LQ$60=I$3)*(GMWQ!$LP$2:$LP$60=I$4)*(GMWQ!$LR$2:$LR$60=I$1),0),$B214-1966)</f>
        <v>122.4671</v>
      </c>
      <c r="J214" s="7" cm="1">
        <f t="array" ref="J214">INDEX(GMWQ!$A$2:$LR$60,MATCH(1,(GMWQ!$LQ$2:$LQ$60=J$3)*(GMWQ!$LP$2:$LP$60=J$4)*(GMWQ!$LR$2:$LR$60=J$1),0),$B214-1966)</f>
        <v>28806.33</v>
      </c>
      <c r="K214" s="7" cm="1">
        <f t="array" ref="K214">INDEX(GMWQ!$A$2:$LR$60,MATCH(1,(GMWQ!$LQ$2:$LQ$60=K$3)*(GMWQ!$LP$2:$LP$60=K$4)*(GMWQ!$LR$2:$LR$60=K$1),0),$B214-1966)</f>
        <v>4.5</v>
      </c>
      <c r="L214" s="7" cm="1">
        <f t="array" ref="L214">INDEX(GMWQ!$A$2:$LR$60,MATCH(1,(GMWQ!$LQ$2:$LQ$60=L$3)*(GMWQ!$LP$2:$LP$60=L$4)*(GMWQ!$LR$2:$LR$60=L$1),0),$B214-1966)</f>
        <v>4.100346</v>
      </c>
      <c r="M214" s="7" cm="1">
        <f t="array" ref="M214">INDEX(GMWQ!$A$2:$LR$60,MATCH(1,(GMWQ!$LQ$2:$LQ$60=M$3)*(GMWQ!$LP$2:$LP$60=M$4)*(GMWQ!$LR$2:$LR$60=M$1),0),$B214-1966)</f>
        <v>145.81489999999999</v>
      </c>
      <c r="N214" s="7" cm="1">
        <f t="array" ref="N214">INDEX(GMWQ!$A$2:$LR$60,MATCH(1,(GMWQ!$LQ$2:$LQ$60=N$3)*(GMWQ!$LP$2:$LP$60=N$4)*(GMWQ!$LR$2:$LR$60=N$1),0),$B214-1966)</f>
        <v>25587.35</v>
      </c>
      <c r="O214" s="7" cm="1">
        <f t="array" ref="O214">INDEX(GMWQ!$A$2:$LR$60,MATCH(1,(GMWQ!$LQ$2:$LQ$60=O$3)*(GMWQ!$LP$2:$LP$60=O$4)*(GMWQ!$LR$2:$LR$60=O$1),0),$B214-1966)</f>
        <v>24239.439999999999</v>
      </c>
      <c r="P214" s="7" cm="1">
        <f t="array" ref="P214">INDEX(GMWQ!$A$2:$LR$60,MATCH(1,(GMWQ!$LQ$2:$LQ$60=P$3)*(GMWQ!$LP$2:$LP$60=P$4)*(GMWQ!$LR$2:$LR$60=P$1),0),$B214-1966)</f>
        <v>457065.9</v>
      </c>
      <c r="Q214" s="7" cm="1">
        <f t="array" ref="Q214">INDEX(GMWQ!$A$2:$LR$60,MATCH(1,(GMWQ!$LQ$2:$LQ$60=Q$3)*(GMWQ!$LP$2:$LP$60=Q$4)*(GMWQ!$LR$2:$LR$60=Q$1),0),$B214-1966)</f>
        <v>3.7117300000000002</v>
      </c>
      <c r="R214" s="7" cm="1">
        <f t="array" ref="R214">INDEX(GMWQ!$A$2:$LR$60,MATCH(1,(GMWQ!$LQ$2:$LQ$60=R$3)*(GMWQ!$LP$2:$LP$60=R$4)*(GMWQ!$LR$2:$LR$60=R$1),0),$B214-1966)</f>
        <v>190458.7</v>
      </c>
      <c r="S214" s="7" cm="1">
        <f t="array" ref="S214">INDEX(GMWQ!$A$2:$LR$60,MATCH(1,(GMWQ!$LQ$2:$LQ$60=S$3)*(GMWQ!$LP$2:$LP$60=S$4)*(GMWQ!$LR$2:$LR$60=S$1),0),$B214-1966)</f>
        <v>275.6071</v>
      </c>
      <c r="T214" s="7" cm="1">
        <f t="array" ref="T214">INDEX(GMWQ!$A$2:$LR$60,MATCH(1,(GMWQ!$LQ$2:$LQ$60=T$3)*(GMWQ!$LP$2:$LP$60=T$4)*(GMWQ!$LR$2:$LR$60=T$1),0),$B214-1966)</f>
        <v>67294.34</v>
      </c>
      <c r="U214" s="7" cm="1">
        <f t="array" ref="U214">INDEX(GMWQ!$A$2:$LR$60,MATCH(1,(GMWQ!$LQ$2:$LQ$60=U$3)*(GMWQ!$LP$2:$LP$60=U$4)*(GMWQ!$LR$2:$LR$60=U$1),0),$B214-1966)</f>
        <v>14235.73</v>
      </c>
      <c r="V214" s="7" cm="1">
        <f t="array" ref="V214">INDEX(GMWQ!$A$2:$LR$60,MATCH(1,(GMWQ!$LQ$2:$LQ$60=V$3)*(GMWQ!$LP$2:$LP$60=V$4)*(GMWQ!$LR$2:$LR$60=V$1),0),$B214-1966)</f>
        <v>1.674395E-3</v>
      </c>
      <c r="W214" s="7" cm="1">
        <f t="array" ref="W214">INDEX(GMWQ!$A$2:$LR$60,MATCH(1,(GMWQ!$LQ$2:$LQ$60=W$3)*(GMWQ!$LP$2:$LP$60=W$4)*(GMWQ!$LR$2:$LR$60=W$1),0),$B214-1966)</f>
        <v>10.741020000000001</v>
      </c>
      <c r="X214" s="7" cm="1">
        <f t="array" ref="X214">INDEX(GMWQ!$A$2:$LR$60,MATCH(1,(GMWQ!$LQ$2:$LQ$60=X$3)*(GMWQ!$LP$2:$LP$60=X$4)*(GMWQ!$LR$2:$LR$60=X$1),0),$B214-1966)</f>
        <v>5558060</v>
      </c>
      <c r="Y214" s="7" cm="1">
        <f t="array" ref="Y214">INDEX(GMWQ!$A$2:$LR$60,MATCH(1,(GMWQ!$LQ$2:$LQ$60=Y$3)*(GMWQ!$LP$2:$LP$60=Y$4)*(GMWQ!$LR$2:$LR$60=Y$1),0),$B214-1966)</f>
        <v>121.7756</v>
      </c>
      <c r="Z214" s="7" cm="1">
        <f t="array" ref="Z214">INDEX(GMWQ!$A$2:$LR$60,MATCH(1,(GMWQ!$LQ$2:$LQ$60=Z$3)*(GMWQ!$LP$2:$LP$60=Z$4)*(GMWQ!$LR$2:$LR$60=Z$1),0),$B214-1966)</f>
        <v>575230.80000000005</v>
      </c>
      <c r="AA214" s="7" cm="1">
        <f t="array" ref="AA214">INDEX(GMWQ!$A$2:$LR$60,MATCH(1,(GMWQ!$LQ$2:$LQ$60=AA$3)*(GMWQ!$LP$2:$LP$60=AA$4)*(GMWQ!$LR$2:$LR$60=AA$1),0),$B214-1966)</f>
        <v>273973.90000000002</v>
      </c>
      <c r="AB214" s="7" cm="1">
        <f t="array" ref="AB214">INDEX(GMWQ!$A$2:$LR$60,MATCH(1,(GMWQ!$LQ$2:$LQ$60=AB$3)*(GMWQ!$LP$2:$LP$60=AB$4)*(GMWQ!$LR$2:$LR$60=AB$1),0),$B214-1966)</f>
        <v>277504.5</v>
      </c>
      <c r="AC214" s="7" cm="1">
        <f t="array" ref="AC214">INDEX(GMWQ!$A$2:$LR$60,MATCH(1,(GMWQ!$LQ$2:$LQ$60=AC$3)*(GMWQ!$LP$2:$LP$60=AC$4)*(GMWQ!$LR$2:$LR$60=AC$1),0),$B214-1966)</f>
        <v>15412.88</v>
      </c>
      <c r="AD214" s="7" cm="1">
        <f t="array" ref="AD214">INDEX(GMWQ!$A$2:$LR$60,MATCH(1,(GMWQ!$LQ$2:$LQ$60=AD$3)*(GMWQ!$LP$2:$LP$60=AD$4)*(GMWQ!$LR$2:$LR$60=AD$1),0),$B214-1966)</f>
        <v>16078.43</v>
      </c>
      <c r="AE214" s="7" cm="1">
        <f t="array" ref="AE214">INDEX(GMWQ!$A$2:$LR$60,MATCH(1,(GMWQ!$LQ$2:$LQ$60=AE$3)*(GMWQ!$LP$2:$LP$60=AE$4)*(GMWQ!$LR$2:$LR$60=AE$1),0),$B214-1966)</f>
        <v>698339.6</v>
      </c>
      <c r="AF214" s="20" cm="1">
        <f t="array" ref="AF214">INDEX(GMWQ!$A$2:$LR$60,MATCH(1,(GMWQ!$LQ$2:$LQ$60=AF$3)*(GMWQ!$LP$2:$LP$60=AF$4)*(GMWQ!$LR$2:$LR$60=AF$1),0),$B214-1966)</f>
        <v>4.6022730000000003</v>
      </c>
      <c r="AG214" s="20" cm="1">
        <f t="array" ref="AG214">INDEX(GMWQ!$A$2:$LR$60,MATCH(1,(GMWQ!$LQ$2:$LQ$60=AG$3)*(GMWQ!$LP$2:$LP$60=AG$4)*(GMWQ!$LR$2:$LR$60=AG$1),0),$B214-1966)</f>
        <v>-1347.91</v>
      </c>
      <c r="AI214" s="23" cm="1">
        <f t="array" ref="AI214">INDEX(GMWQ!$A$2:$LR$60,MATCH(1,(GMWQ!$LQ$2:$LQ$60=AI$3)*(GMWQ!$LP$2:$LP$60=AI$4)*(GMWQ!$LR$2:$LR$60=AI$1),0),$B214-1966)</f>
        <v>457065.9</v>
      </c>
      <c r="AJ214" s="23" cm="1">
        <f t="array" ref="AJ214">INDEX(GMWQ!$A$2:$LR$60,MATCH(1,(GMWQ!$LQ$2:$LQ$60=AJ$3)*(GMWQ!$LP$2:$LP$60=AJ$4)*(GMWQ!$LR$2:$LR$60=AJ$1),0),$B214-1966)</f>
        <v>122.4671</v>
      </c>
      <c r="AK214" s="23" cm="1">
        <f t="array" ref="AK214">INDEX(GMWQ!$A$2:$LR$60,MATCH(1,(GMWQ!$LQ$2:$LQ$60=AK$3)*(GMWQ!$LP$2:$LP$60=AK$4)*(GMWQ!$LR$2:$LR$60=AK$1),0),$B214-1966)</f>
        <v>290351.7</v>
      </c>
      <c r="AL214" s="23" cm="1">
        <f t="array" ref="AL214">INDEX(GMWQ!$A$2:$LR$60,MATCH(1,(GMWQ!$LQ$2:$LQ$60=AL$3)*(GMWQ!$LP$2:$LP$60=AL$4)*(GMWQ!$LR$2:$LR$60=AL$1),0),$B214-1966)</f>
        <v>10079.44</v>
      </c>
      <c r="AM214" s="23" cm="1">
        <f t="array" ref="AM214">INDEX(GMWQ!$A$2:$LR$60,MATCH(1,(GMWQ!$LQ$2:$LQ$60=AM$3)*(GMWQ!$LP$2:$LP$60=AM$4)*(GMWQ!$LR$2:$LR$60=AM$1),0),$B214-1966)</f>
        <v>28806.33</v>
      </c>
      <c r="AN214" s="23" cm="1">
        <f t="array" ref="AN214">INDEX(GMWQ!$A$2:$LR$60,MATCH(1,(GMWQ!$LQ$2:$LQ$60=AN$3)*(GMWQ!$LP$2:$LP$60=AN$4)*(GMWQ!$LR$2:$LR$60=AN$1),0),$B214-1966)</f>
        <v>78419.850000000006</v>
      </c>
      <c r="AO214" s="23" cm="1">
        <f t="array" ref="AO214">INDEX(GMWQ!$A$2:$LR$60,MATCH(1,(GMWQ!$LQ$2:$LQ$60=AO$3)*(GMWQ!$LP$2:$LP$60=AO$4)*(GMWQ!$LR$2:$LR$60=AO$1),0),$B214-1966)</f>
        <v>19163.21</v>
      </c>
      <c r="AP214" s="23" cm="1">
        <f t="array" ref="AP214">INDEX(GMWQ!$A$2:$LR$60,MATCH(1,(GMWQ!$LQ$2:$LQ$60=AP$3)*(GMWQ!$LP$2:$LP$60=AP$4)*(GMWQ!$LR$2:$LR$60=AP$1),0),$B214-1966)</f>
        <v>-1347.91</v>
      </c>
      <c r="AQ214" s="23" cm="1">
        <f t="array" ref="AQ214">INDEX(GMWQ!$A$2:$LR$60,MATCH(1,(GMWQ!$LQ$2:$LQ$60=AQ$3)*(GMWQ!$LP$2:$LP$60=AQ$4)*(GMWQ!$LR$2:$LR$60=AQ$1),0),$B214-1966)</f>
        <v>90117.43</v>
      </c>
      <c r="AR214" s="23" cm="1">
        <f t="array" ref="AR214">INDEX(GMWQ!$A$2:$LR$60,MATCH(1,(GMWQ!$LQ$2:$LQ$60=AR$3)*(GMWQ!$LP$2:$LP$60=AR$4)*(GMWQ!$LR$2:$LR$60=AR$1),0),$B214-1966)</f>
        <v>419860.8</v>
      </c>
      <c r="AS214" s="23" cm="1">
        <f t="array" ref="AS214">INDEX(GMWQ!$A$2:$LR$60,MATCH(1,(GMWQ!$LQ$2:$LQ$60=AS$3)*(GMWQ!$LP$2:$LP$60=AS$4)*(GMWQ!$LR$2:$LR$60=AS$1),0),$B214-1966)</f>
        <v>13909.78</v>
      </c>
      <c r="AT214" s="23" cm="1">
        <f t="array" ref="AT214">INDEX(GMWQ!$A$2:$LR$60,MATCH(1,(GMWQ!$LQ$2:$LQ$60=AT$3)*(GMWQ!$LP$2:$LP$60=AT$4)*(GMWQ!$LR$2:$LR$60=AT$1),0),$B214-1966)</f>
        <v>342835.6</v>
      </c>
      <c r="AU214" s="23" cm="1">
        <f t="array" ref="AU214">INDEX(GMWQ!$A$2:$LR$60,MATCH(1,(GMWQ!$LQ$2:$LQ$60=AU$3)*(GMWQ!$LP$2:$LP$60=AU$4)*(GMWQ!$LR$2:$LR$60=AU$1),0),$B214-1966)</f>
        <v>12200.46</v>
      </c>
    </row>
    <row r="215" spans="1:47" x14ac:dyDescent="0.35">
      <c r="A215" s="7">
        <v>2025</v>
      </c>
      <c r="B215" s="7">
        <f t="shared" si="4"/>
        <v>2181</v>
      </c>
      <c r="C215" s="7" cm="1">
        <f t="array" ref="C215">INDEX(GMWQ!$A$2:$LR$60,MATCH(1,(GMWQ!$LQ$2:$LQ$60=C$3)*(GMWQ!$LP$2:$LP$60=C$4)*(GMWQ!$LR$2:$LR$60=C$1),0),$B215-1966)</f>
        <v>576141.9</v>
      </c>
      <c r="D215" s="7" cm="1">
        <f t="array" ref="D215">INDEX(GMWQ!$A$2:$LR$60,MATCH(1,(GMWQ!$LQ$2:$LQ$60=D$3)*(GMWQ!$LP$2:$LP$60=D$4)*(GMWQ!$LR$2:$LR$60=D$1),0),$B215-1966)</f>
        <v>697.49869999999999</v>
      </c>
      <c r="E215" s="7" cm="1">
        <f t="array" ref="E215">INDEX(GMWQ!$A$2:$LR$60,MATCH(1,(GMWQ!$LQ$2:$LQ$60=E$3)*(GMWQ!$LP$2:$LP$60=E$4)*(GMWQ!$LR$2:$LR$60=E$1),0),$B215-1966)</f>
        <v>134.56129999999999</v>
      </c>
      <c r="F215" s="7" cm="1">
        <f t="array" ref="F215">INDEX(GMWQ!$A$2:$LR$60,MATCH(1,(GMWQ!$LQ$2:$LQ$60=F$3)*(GMWQ!$LP$2:$LP$60=F$4)*(GMWQ!$LR$2:$LR$60=F$1),0),$B215-1966)</f>
        <v>292877</v>
      </c>
      <c r="G215" s="7" cm="1">
        <f t="array" ref="G215">INDEX(GMWQ!$A$2:$LR$60,MATCH(1,(GMWQ!$LQ$2:$LQ$60=G$3)*(GMWQ!$LP$2:$LP$60=G$4)*(GMWQ!$LR$2:$LR$60=G$1),0),$B215-1966)</f>
        <v>79845.350000000006</v>
      </c>
      <c r="H215" s="7" cm="1">
        <f t="array" ref="H215">INDEX(GMWQ!$A$2:$LR$60,MATCH(1,(GMWQ!$LQ$2:$LQ$60=H$3)*(GMWQ!$LP$2:$LP$60=H$4)*(GMWQ!$LR$2:$LR$60=H$1),0),$B215-1966)</f>
        <v>19329.88</v>
      </c>
      <c r="I215" s="7" cm="1">
        <f t="array" ref="I215">INDEX(GMWQ!$A$2:$LR$60,MATCH(1,(GMWQ!$LQ$2:$LQ$60=I$3)*(GMWQ!$LP$2:$LP$60=I$4)*(GMWQ!$LR$2:$LR$60=I$1),0),$B215-1966)</f>
        <v>123.14060000000001</v>
      </c>
      <c r="J215" s="7" cm="1">
        <f t="array" ref="J215">INDEX(GMWQ!$A$2:$LR$60,MATCH(1,(GMWQ!$LQ$2:$LQ$60=J$3)*(GMWQ!$LP$2:$LP$60=J$4)*(GMWQ!$LR$2:$LR$60=J$1),0),$B215-1966)</f>
        <v>28874.959999999999</v>
      </c>
      <c r="K215" s="7" cm="1">
        <f t="array" ref="K215">INDEX(GMWQ!$A$2:$LR$60,MATCH(1,(GMWQ!$LQ$2:$LQ$60=K$3)*(GMWQ!$LP$2:$LP$60=K$4)*(GMWQ!$LR$2:$LR$60=K$1),0),$B215-1966)</f>
        <v>4.25</v>
      </c>
      <c r="L215" s="7" cm="1">
        <f t="array" ref="L215">INDEX(GMWQ!$A$2:$LR$60,MATCH(1,(GMWQ!$LQ$2:$LQ$60=L$3)*(GMWQ!$LP$2:$LP$60=L$4)*(GMWQ!$LR$2:$LR$60=L$1),0),$B215-1966)</f>
        <v>4.0716679999999998</v>
      </c>
      <c r="M215" s="7" cm="1">
        <f t="array" ref="M215">INDEX(GMWQ!$A$2:$LR$60,MATCH(1,(GMWQ!$LQ$2:$LQ$60=M$3)*(GMWQ!$LP$2:$LP$60=M$4)*(GMWQ!$LR$2:$LR$60=M$1),0),$B215-1966)</f>
        <v>148.1773</v>
      </c>
      <c r="N215" s="7" cm="1">
        <f t="array" ref="N215">INDEX(GMWQ!$A$2:$LR$60,MATCH(1,(GMWQ!$LQ$2:$LQ$60=N$3)*(GMWQ!$LP$2:$LP$60=N$4)*(GMWQ!$LR$2:$LR$60=N$1),0),$B215-1966)</f>
        <v>25596.37</v>
      </c>
      <c r="O215" s="7" cm="1">
        <f t="array" ref="O215">INDEX(GMWQ!$A$2:$LR$60,MATCH(1,(GMWQ!$LQ$2:$LQ$60=O$3)*(GMWQ!$LP$2:$LP$60=O$4)*(GMWQ!$LR$2:$LR$60=O$1),0),$B215-1966)</f>
        <v>23786.13</v>
      </c>
      <c r="P215" s="7" cm="1">
        <f t="array" ref="P215">INDEX(GMWQ!$A$2:$LR$60,MATCH(1,(GMWQ!$LQ$2:$LQ$60=P$3)*(GMWQ!$LP$2:$LP$60=P$4)*(GMWQ!$LR$2:$LR$60=P$1),0),$B215-1966)</f>
        <v>461989.3</v>
      </c>
      <c r="Q215" s="7" cm="1">
        <f t="array" ref="Q215">INDEX(GMWQ!$A$2:$LR$60,MATCH(1,(GMWQ!$LQ$2:$LQ$60=Q$3)*(GMWQ!$LP$2:$LP$60=Q$4)*(GMWQ!$LR$2:$LR$60=Q$1),0),$B215-1966)</f>
        <v>3.7662070000000001</v>
      </c>
      <c r="R215" s="7" cm="1">
        <f t="array" ref="R215">INDEX(GMWQ!$A$2:$LR$60,MATCH(1,(GMWQ!$LQ$2:$LQ$60=R$3)*(GMWQ!$LP$2:$LP$60=R$4)*(GMWQ!$LR$2:$LR$60=R$1),0),$B215-1966)</f>
        <v>183166.7</v>
      </c>
      <c r="S215" s="7" cm="1">
        <f t="array" ref="S215">INDEX(GMWQ!$A$2:$LR$60,MATCH(1,(GMWQ!$LQ$2:$LQ$60=S$3)*(GMWQ!$LP$2:$LP$60=S$4)*(GMWQ!$LR$2:$LR$60=S$1),0),$B215-1966)</f>
        <v>318.0659</v>
      </c>
      <c r="T215" s="7" cm="1">
        <f t="array" ref="T215">INDEX(GMWQ!$A$2:$LR$60,MATCH(1,(GMWQ!$LQ$2:$LQ$60=T$3)*(GMWQ!$LP$2:$LP$60=T$4)*(GMWQ!$LR$2:$LR$60=T$1),0),$B215-1966)</f>
        <v>75168.22</v>
      </c>
      <c r="U215" s="7" cm="1">
        <f t="array" ref="U215">INDEX(GMWQ!$A$2:$LR$60,MATCH(1,(GMWQ!$LQ$2:$LQ$60=U$3)*(GMWQ!$LP$2:$LP$60=U$4)*(GMWQ!$LR$2:$LR$60=U$1),0),$B215-1966)</f>
        <v>19985.71</v>
      </c>
      <c r="V215" s="7" cm="1">
        <f t="array" ref="V215">INDEX(GMWQ!$A$2:$LR$60,MATCH(1,(GMWQ!$LQ$2:$LQ$60=V$3)*(GMWQ!$LP$2:$LP$60=V$4)*(GMWQ!$LR$2:$LR$60=V$1),0),$B215-1966)</f>
        <v>1.649803E-3</v>
      </c>
      <c r="W215" s="7" cm="1">
        <f t="array" ref="W215">INDEX(GMWQ!$A$2:$LR$60,MATCH(1,(GMWQ!$LQ$2:$LQ$60=W$3)*(GMWQ!$LP$2:$LP$60=W$4)*(GMWQ!$LR$2:$LR$60=W$1),0),$B215-1966)</f>
        <v>10.42374</v>
      </c>
      <c r="X215" s="7" cm="1">
        <f t="array" ref="X215">INDEX(GMWQ!$A$2:$LR$60,MATCH(1,(GMWQ!$LQ$2:$LQ$60=X$3)*(GMWQ!$LP$2:$LP$60=X$4)*(GMWQ!$LR$2:$LR$60=X$1),0),$B215-1966)</f>
        <v>5638123</v>
      </c>
      <c r="Y215" s="7" cm="1">
        <f t="array" ref="Y215">INDEX(GMWQ!$A$2:$LR$60,MATCH(1,(GMWQ!$LQ$2:$LQ$60=Y$3)*(GMWQ!$LP$2:$LP$60=Y$4)*(GMWQ!$LR$2:$LR$60=Y$1),0),$B215-1966)</f>
        <v>122.3844</v>
      </c>
      <c r="Z215" s="7" cm="1">
        <f t="array" ref="Z215">INDEX(GMWQ!$A$2:$LR$60,MATCH(1,(GMWQ!$LQ$2:$LQ$60=Z$3)*(GMWQ!$LP$2:$LP$60=Z$4)*(GMWQ!$LR$2:$LR$60=Z$1),0),$B215-1966)</f>
        <v>577889.80000000005</v>
      </c>
      <c r="AA215" s="7" cm="1">
        <f t="array" ref="AA215">INDEX(GMWQ!$A$2:$LR$60,MATCH(1,(GMWQ!$LQ$2:$LQ$60=AA$3)*(GMWQ!$LP$2:$LP$60=AA$4)*(GMWQ!$LR$2:$LR$60=AA$1),0),$B215-1966)</f>
        <v>318389</v>
      </c>
      <c r="AB215" s="7" cm="1">
        <f t="array" ref="AB215">INDEX(GMWQ!$A$2:$LR$60,MATCH(1,(GMWQ!$LQ$2:$LQ$60=AB$3)*(GMWQ!$LP$2:$LP$60=AB$4)*(GMWQ!$LR$2:$LR$60=AB$1),0),$B215-1966)</f>
        <v>276657.59999999998</v>
      </c>
      <c r="AC215" s="7" cm="1">
        <f t="array" ref="AC215">INDEX(GMWQ!$A$2:$LR$60,MATCH(1,(GMWQ!$LQ$2:$LQ$60=AC$3)*(GMWQ!$LP$2:$LP$60=AC$4)*(GMWQ!$LR$2:$LR$60=AC$1),0),$B215-1966)</f>
        <v>27352.19</v>
      </c>
      <c r="AD215" s="7" cm="1">
        <f t="array" ref="AD215">INDEX(GMWQ!$A$2:$LR$60,MATCH(1,(GMWQ!$LQ$2:$LQ$60=AD$3)*(GMWQ!$LP$2:$LP$60=AD$4)*(GMWQ!$LR$2:$LR$60=AD$1),0),$B215-1966)</f>
        <v>16078.43</v>
      </c>
      <c r="AE215" s="7" cm="1">
        <f t="array" ref="AE215">INDEX(GMWQ!$A$2:$LR$60,MATCH(1,(GMWQ!$LQ$2:$LQ$60=AE$3)*(GMWQ!$LP$2:$LP$60=AE$4)*(GMWQ!$LR$2:$LR$60=AE$1),0),$B215-1966)</f>
        <v>705108</v>
      </c>
      <c r="AF215" s="20" cm="1">
        <f t="array" ref="AF215">INDEX(GMWQ!$A$2:$LR$60,MATCH(1,(GMWQ!$LQ$2:$LQ$60=AF$3)*(GMWQ!$LP$2:$LP$60=AF$4)*(GMWQ!$LR$2:$LR$60=AF$1),0),$B215-1966)</f>
        <v>4.3515629999999996</v>
      </c>
      <c r="AG215" s="20" cm="1">
        <f t="array" ref="AG215">INDEX(GMWQ!$A$2:$LR$60,MATCH(1,(GMWQ!$LQ$2:$LQ$60=AG$3)*(GMWQ!$LP$2:$LP$60=AG$4)*(GMWQ!$LR$2:$LR$60=AG$1),0),$B215-1966)</f>
        <v>-1810.2349999999999</v>
      </c>
      <c r="AI215" s="23" cm="1">
        <f t="array" ref="AI215">INDEX(GMWQ!$A$2:$LR$60,MATCH(1,(GMWQ!$LQ$2:$LQ$60=AI$3)*(GMWQ!$LP$2:$LP$60=AI$4)*(GMWQ!$LR$2:$LR$60=AI$1),0),$B215-1966)</f>
        <v>461989.3</v>
      </c>
      <c r="AJ215" s="23" cm="1">
        <f t="array" ref="AJ215">INDEX(GMWQ!$A$2:$LR$60,MATCH(1,(GMWQ!$LQ$2:$LQ$60=AJ$3)*(GMWQ!$LP$2:$LP$60=AJ$4)*(GMWQ!$LR$2:$LR$60=AJ$1),0),$B215-1966)</f>
        <v>123.14060000000001</v>
      </c>
      <c r="AK215" s="23" cm="1">
        <f t="array" ref="AK215">INDEX(GMWQ!$A$2:$LR$60,MATCH(1,(GMWQ!$LQ$2:$LQ$60=AK$3)*(GMWQ!$LP$2:$LP$60=AK$4)*(GMWQ!$LR$2:$LR$60=AK$1),0),$B215-1966)</f>
        <v>292877</v>
      </c>
      <c r="AL215" s="23" cm="1">
        <f t="array" ref="AL215">INDEX(GMWQ!$A$2:$LR$60,MATCH(1,(GMWQ!$LQ$2:$LQ$60=AL$3)*(GMWQ!$LP$2:$LP$60=AL$4)*(GMWQ!$LR$2:$LR$60=AL$1),0),$B215-1966)</f>
        <v>10142.94</v>
      </c>
      <c r="AM215" s="23" cm="1">
        <f t="array" ref="AM215">INDEX(GMWQ!$A$2:$LR$60,MATCH(1,(GMWQ!$LQ$2:$LQ$60=AM$3)*(GMWQ!$LP$2:$LP$60=AM$4)*(GMWQ!$LR$2:$LR$60=AM$1),0),$B215-1966)</f>
        <v>28874.959999999999</v>
      </c>
      <c r="AN215" s="23" cm="1">
        <f t="array" ref="AN215">INDEX(GMWQ!$A$2:$LR$60,MATCH(1,(GMWQ!$LQ$2:$LQ$60=AN$3)*(GMWQ!$LP$2:$LP$60=AN$4)*(GMWQ!$LR$2:$LR$60=AN$1),0),$B215-1966)</f>
        <v>79845.350000000006</v>
      </c>
      <c r="AO215" s="23" cm="1">
        <f t="array" ref="AO215">INDEX(GMWQ!$A$2:$LR$60,MATCH(1,(GMWQ!$LQ$2:$LQ$60=AO$3)*(GMWQ!$LP$2:$LP$60=AO$4)*(GMWQ!$LR$2:$LR$60=AO$1),0),$B215-1966)</f>
        <v>19329.88</v>
      </c>
      <c r="AP215" s="23" cm="1">
        <f t="array" ref="AP215">INDEX(GMWQ!$A$2:$LR$60,MATCH(1,(GMWQ!$LQ$2:$LQ$60=AP$3)*(GMWQ!$LP$2:$LP$60=AP$4)*(GMWQ!$LR$2:$LR$60=AP$1),0),$B215-1966)</f>
        <v>-1810.2349999999999</v>
      </c>
      <c r="AQ215" s="23" cm="1">
        <f t="array" ref="AQ215">INDEX(GMWQ!$A$2:$LR$60,MATCH(1,(GMWQ!$LQ$2:$LQ$60=AQ$3)*(GMWQ!$LP$2:$LP$60=AQ$4)*(GMWQ!$LR$2:$LR$60=AQ$1),0),$B215-1966)</f>
        <v>91408.16</v>
      </c>
      <c r="AR215" s="23" cm="1">
        <f t="array" ref="AR215">INDEX(GMWQ!$A$2:$LR$60,MATCH(1,(GMWQ!$LQ$2:$LQ$60=AR$3)*(GMWQ!$LP$2:$LP$60=AR$4)*(GMWQ!$LR$2:$LR$60=AR$1),0),$B215-1966)</f>
        <v>424486.3</v>
      </c>
      <c r="AS215" s="23" cm="1">
        <f t="array" ref="AS215">INDEX(GMWQ!$A$2:$LR$60,MATCH(1,(GMWQ!$LQ$2:$LQ$60=AS$3)*(GMWQ!$LP$2:$LP$60=AS$4)*(GMWQ!$LR$2:$LR$60=AS$1),0),$B215-1966)</f>
        <v>14065.22</v>
      </c>
      <c r="AT215" s="23" cm="1">
        <f t="array" ref="AT215">INDEX(GMWQ!$A$2:$LR$60,MATCH(1,(GMWQ!$LQ$2:$LQ$60=AT$3)*(GMWQ!$LP$2:$LP$60=AT$4)*(GMWQ!$LR$2:$LR$60=AT$1),0),$B215-1966)</f>
        <v>344716.79999999999</v>
      </c>
      <c r="AU215" s="23" cm="1">
        <f t="array" ref="AU215">INDEX(GMWQ!$A$2:$LR$60,MATCH(1,(GMWQ!$LQ$2:$LQ$60=AU$3)*(GMWQ!$LP$2:$LP$60=AU$4)*(GMWQ!$LR$2:$LR$60=AU$1),0),$B215-1966)</f>
        <v>12267.41</v>
      </c>
    </row>
    <row r="216" spans="1:47" x14ac:dyDescent="0.35">
      <c r="B216" s="7">
        <f t="shared" si="4"/>
        <v>2182</v>
      </c>
      <c r="C216" s="7" cm="1">
        <f t="array" ref="C216">INDEX(GMWQ!$A$2:$LR$60,MATCH(1,(GMWQ!$LQ$2:$LQ$60=C$3)*(GMWQ!$LP$2:$LP$60=C$4)*(GMWQ!$LR$2:$LR$60=C$1),0),$B216-1966)</f>
        <v>579397.69999999995</v>
      </c>
      <c r="D216" s="7" cm="1">
        <f t="array" ref="D216">INDEX(GMWQ!$A$2:$LR$60,MATCH(1,(GMWQ!$LQ$2:$LQ$60=D$3)*(GMWQ!$LP$2:$LP$60=D$4)*(GMWQ!$LR$2:$LR$60=D$1),0),$B216-1966)</f>
        <v>701.7106</v>
      </c>
      <c r="E216" s="7" cm="1">
        <f t="array" ref="E216">INDEX(GMWQ!$A$2:$LR$60,MATCH(1,(GMWQ!$LQ$2:$LQ$60=E$3)*(GMWQ!$LP$2:$LP$60=E$4)*(GMWQ!$LR$2:$LR$60=E$1),0),$B216-1966)</f>
        <v>135.92660000000001</v>
      </c>
      <c r="F216" s="7" cm="1">
        <f t="array" ref="F216">INDEX(GMWQ!$A$2:$LR$60,MATCH(1,(GMWQ!$LQ$2:$LQ$60=F$3)*(GMWQ!$LP$2:$LP$60=F$4)*(GMWQ!$LR$2:$LR$60=F$1),0),$B216-1966)</f>
        <v>295450.8</v>
      </c>
      <c r="G216" s="7" cm="1">
        <f t="array" ref="G216">INDEX(GMWQ!$A$2:$LR$60,MATCH(1,(GMWQ!$LQ$2:$LQ$60=G$3)*(GMWQ!$LP$2:$LP$60=G$4)*(GMWQ!$LR$2:$LR$60=G$1),0),$B216-1966)</f>
        <v>80801.16</v>
      </c>
      <c r="H216" s="7" cm="1">
        <f t="array" ref="H216">INDEX(GMWQ!$A$2:$LR$60,MATCH(1,(GMWQ!$LQ$2:$LQ$60=H$3)*(GMWQ!$LP$2:$LP$60=H$4)*(GMWQ!$LR$2:$LR$60=H$1),0),$B216-1966)</f>
        <v>19499.75</v>
      </c>
      <c r="I216" s="7" cm="1">
        <f t="array" ref="I216">INDEX(GMWQ!$A$2:$LR$60,MATCH(1,(GMWQ!$LQ$2:$LQ$60=I$3)*(GMWQ!$LP$2:$LP$60=I$4)*(GMWQ!$LR$2:$LR$60=I$1),0),$B216-1966)</f>
        <v>123.81789999999999</v>
      </c>
      <c r="J216" s="7" cm="1">
        <f t="array" ref="J216">INDEX(GMWQ!$A$2:$LR$60,MATCH(1,(GMWQ!$LQ$2:$LQ$60=J$3)*(GMWQ!$LP$2:$LP$60=J$4)*(GMWQ!$LR$2:$LR$60=J$1),0),$B216-1966)</f>
        <v>28953.87</v>
      </c>
      <c r="K216" s="7" cm="1">
        <f t="array" ref="K216">INDEX(GMWQ!$A$2:$LR$60,MATCH(1,(GMWQ!$LQ$2:$LQ$60=K$3)*(GMWQ!$LP$2:$LP$60=K$4)*(GMWQ!$LR$2:$LR$60=K$1),0),$B216-1966)</f>
        <v>4</v>
      </c>
      <c r="L216" s="7" cm="1">
        <f t="array" ref="L216">INDEX(GMWQ!$A$2:$LR$60,MATCH(1,(GMWQ!$LQ$2:$LQ$60=L$3)*(GMWQ!$LP$2:$LP$60=L$4)*(GMWQ!$LR$2:$LR$60=L$1),0),$B216-1966)</f>
        <v>3.9856569999999998</v>
      </c>
      <c r="M216" s="7" cm="1">
        <f t="array" ref="M216">INDEX(GMWQ!$A$2:$LR$60,MATCH(1,(GMWQ!$LQ$2:$LQ$60=M$3)*(GMWQ!$LP$2:$LP$60=M$4)*(GMWQ!$LR$2:$LR$60=M$1),0),$B216-1966)</f>
        <v>147.6806</v>
      </c>
      <c r="N216" s="7" cm="1">
        <f t="array" ref="N216">INDEX(GMWQ!$A$2:$LR$60,MATCH(1,(GMWQ!$LQ$2:$LQ$60=N$3)*(GMWQ!$LP$2:$LP$60=N$4)*(GMWQ!$LR$2:$LR$60=N$1),0),$B216-1966)</f>
        <v>25496.240000000002</v>
      </c>
      <c r="O216" s="7" cm="1">
        <f t="array" ref="O216">INDEX(GMWQ!$A$2:$LR$60,MATCH(1,(GMWQ!$LQ$2:$LQ$60=O$3)*(GMWQ!$LP$2:$LP$60=O$4)*(GMWQ!$LR$2:$LR$60=O$1),0),$B216-1966)</f>
        <v>23120.09</v>
      </c>
      <c r="P216" s="7" cm="1">
        <f t="array" ref="P216">INDEX(GMWQ!$A$2:$LR$60,MATCH(1,(GMWQ!$LQ$2:$LQ$60=P$3)*(GMWQ!$LP$2:$LP$60=P$4)*(GMWQ!$LR$2:$LR$60=P$1),0),$B216-1966)</f>
        <v>466438.3</v>
      </c>
      <c r="Q216" s="7" cm="1">
        <f t="array" ref="Q216">INDEX(GMWQ!$A$2:$LR$60,MATCH(1,(GMWQ!$LQ$2:$LQ$60=Q$3)*(GMWQ!$LP$2:$LP$60=Q$4)*(GMWQ!$LR$2:$LR$60=Q$1),0),$B216-1966)</f>
        <v>3.8124989999999999</v>
      </c>
      <c r="R216" s="7" cm="1">
        <f t="array" ref="R216">INDEX(GMWQ!$A$2:$LR$60,MATCH(1,(GMWQ!$LQ$2:$LQ$60=R$3)*(GMWQ!$LP$2:$LP$60=R$4)*(GMWQ!$LR$2:$LR$60=R$1),0),$B216-1966)</f>
        <v>170413.8</v>
      </c>
      <c r="S216" s="7" cm="1">
        <f t="array" ref="S216">INDEX(GMWQ!$A$2:$LR$60,MATCH(1,(GMWQ!$LQ$2:$LQ$60=S$3)*(GMWQ!$LP$2:$LP$60=S$4)*(GMWQ!$LR$2:$LR$60=S$1),0),$B216-1966)</f>
        <v>263.36930000000001</v>
      </c>
      <c r="T216" s="7" cm="1">
        <f t="array" ref="T216">INDEX(GMWQ!$A$2:$LR$60,MATCH(1,(GMWQ!$LQ$2:$LQ$60=T$3)*(GMWQ!$LP$2:$LP$60=T$4)*(GMWQ!$LR$2:$LR$60=T$1),0),$B216-1966)</f>
        <v>68256.94</v>
      </c>
      <c r="U216" s="7" cm="1">
        <f t="array" ref="U216">INDEX(GMWQ!$A$2:$LR$60,MATCH(1,(GMWQ!$LQ$2:$LQ$60=U$3)*(GMWQ!$LP$2:$LP$60=U$4)*(GMWQ!$LR$2:$LR$60=U$1),0),$B216-1966)</f>
        <v>10227.91</v>
      </c>
      <c r="V216" s="7" cm="1">
        <f t="array" ref="V216">INDEX(GMWQ!$A$2:$LR$60,MATCH(1,(GMWQ!$LQ$2:$LQ$60=V$3)*(GMWQ!$LP$2:$LP$60=V$4)*(GMWQ!$LR$2:$LR$60=V$1),0),$B216-1966)</f>
        <v>1.6218000000000001E-3</v>
      </c>
      <c r="W216" s="7" cm="1">
        <f t="array" ref="W216">INDEX(GMWQ!$A$2:$LR$60,MATCH(1,(GMWQ!$LQ$2:$LQ$60=W$3)*(GMWQ!$LP$2:$LP$60=W$4)*(GMWQ!$LR$2:$LR$60=W$1),0),$B216-1966)</f>
        <v>10.384</v>
      </c>
      <c r="X216" s="7" cm="1">
        <f t="array" ref="X216">INDEX(GMWQ!$A$2:$LR$60,MATCH(1,(GMWQ!$LQ$2:$LQ$60=X$3)*(GMWQ!$LP$2:$LP$60=X$4)*(GMWQ!$LR$2:$LR$60=X$1),0),$B216-1966)</f>
        <v>5700941</v>
      </c>
      <c r="Y216" s="7" cm="1">
        <f t="array" ref="Y216">INDEX(GMWQ!$A$2:$LR$60,MATCH(1,(GMWQ!$LQ$2:$LQ$60=Y$3)*(GMWQ!$LP$2:$LP$60=Y$4)*(GMWQ!$LR$2:$LR$60=Y$1),0),$B216-1966)</f>
        <v>122.99639999999999</v>
      </c>
      <c r="Z216" s="7" cm="1">
        <f t="array" ref="Z216">INDEX(GMWQ!$A$2:$LR$60,MATCH(1,(GMWQ!$LQ$2:$LQ$60=Z$3)*(GMWQ!$LP$2:$LP$60=Z$4)*(GMWQ!$LR$2:$LR$60=Z$1),0),$B216-1966)</f>
        <v>580698.5</v>
      </c>
      <c r="AA216" s="7" cm="1">
        <f t="array" ref="AA216">INDEX(GMWQ!$A$2:$LR$60,MATCH(1,(GMWQ!$LQ$2:$LQ$60=AA$3)*(GMWQ!$LP$2:$LP$60=AA$4)*(GMWQ!$LR$2:$LR$60=AA$1),0),$B216-1966)</f>
        <v>283473.3</v>
      </c>
      <c r="AB216" s="7" cm="1">
        <f t="array" ref="AB216">INDEX(GMWQ!$A$2:$LR$60,MATCH(1,(GMWQ!$LQ$2:$LQ$60=AB$3)*(GMWQ!$LP$2:$LP$60=AB$4)*(GMWQ!$LR$2:$LR$60=AB$1),0),$B216-1966)</f>
        <v>281061.90000000002</v>
      </c>
      <c r="AC216" s="7" cm="1">
        <f t="array" ref="AC216">INDEX(GMWQ!$A$2:$LR$60,MATCH(1,(GMWQ!$LQ$2:$LQ$60=AC$3)*(GMWQ!$LP$2:$LP$60=AC$4)*(GMWQ!$LR$2:$LR$60=AC$1),0),$B216-1966)</f>
        <v>11549.59</v>
      </c>
      <c r="AD216" s="7" cm="1">
        <f t="array" ref="AD216">INDEX(GMWQ!$A$2:$LR$60,MATCH(1,(GMWQ!$LQ$2:$LQ$60=AD$3)*(GMWQ!$LP$2:$LP$60=AD$4)*(GMWQ!$LR$2:$LR$60=AD$1),0),$B216-1966)</f>
        <v>16664.330000000002</v>
      </c>
      <c r="AE216" s="7" cm="1">
        <f t="array" ref="AE216">INDEX(GMWQ!$A$2:$LR$60,MATCH(1,(GMWQ!$LQ$2:$LQ$60=AE$3)*(GMWQ!$LP$2:$LP$60=AE$4)*(GMWQ!$LR$2:$LR$60=AE$1),0),$B216-1966)</f>
        <v>712638.3</v>
      </c>
      <c r="AF216" s="20" cm="1">
        <f t="array" ref="AF216">INDEX(GMWQ!$A$2:$LR$60,MATCH(1,(GMWQ!$LQ$2:$LQ$60=AF$3)*(GMWQ!$LP$2:$LP$60=AF$4)*(GMWQ!$LR$2:$LR$60=AF$1),0),$B216-1966)</f>
        <v>4.0846150000000003</v>
      </c>
      <c r="AG216" s="20" cm="1">
        <f t="array" ref="AG216">INDEX(GMWQ!$A$2:$LR$60,MATCH(1,(GMWQ!$LQ$2:$LQ$60=AG$3)*(GMWQ!$LP$2:$LP$60=AG$4)*(GMWQ!$LR$2:$LR$60=AG$1),0),$B216-1966)</f>
        <v>-2376.1550000000002</v>
      </c>
      <c r="AI216" s="23" cm="1">
        <f t="array" ref="AI216">INDEX(GMWQ!$A$2:$LR$60,MATCH(1,(GMWQ!$LQ$2:$LQ$60=AI$3)*(GMWQ!$LP$2:$LP$60=AI$4)*(GMWQ!$LR$2:$LR$60=AI$1),0),$B216-1966)</f>
        <v>466438.3</v>
      </c>
      <c r="AJ216" s="23" cm="1">
        <f t="array" ref="AJ216">INDEX(GMWQ!$A$2:$LR$60,MATCH(1,(GMWQ!$LQ$2:$LQ$60=AJ$3)*(GMWQ!$LP$2:$LP$60=AJ$4)*(GMWQ!$LR$2:$LR$60=AJ$1),0),$B216-1966)</f>
        <v>123.81789999999999</v>
      </c>
      <c r="AK216" s="23" cm="1">
        <f t="array" ref="AK216">INDEX(GMWQ!$A$2:$LR$60,MATCH(1,(GMWQ!$LQ$2:$LQ$60=AK$3)*(GMWQ!$LP$2:$LP$60=AK$4)*(GMWQ!$LR$2:$LR$60=AK$1),0),$B216-1966)</f>
        <v>295450.8</v>
      </c>
      <c r="AL216" s="23" cm="1">
        <f t="array" ref="AL216">INDEX(GMWQ!$A$2:$LR$60,MATCH(1,(GMWQ!$LQ$2:$LQ$60=AL$3)*(GMWQ!$LP$2:$LP$60=AL$4)*(GMWQ!$LR$2:$LR$60=AL$1),0),$B216-1966)</f>
        <v>10204.19</v>
      </c>
      <c r="AM216" s="23" cm="1">
        <f t="array" ref="AM216">INDEX(GMWQ!$A$2:$LR$60,MATCH(1,(GMWQ!$LQ$2:$LQ$60=AM$3)*(GMWQ!$LP$2:$LP$60=AM$4)*(GMWQ!$LR$2:$LR$60=AM$1),0),$B216-1966)</f>
        <v>28953.87</v>
      </c>
      <c r="AN216" s="23" cm="1">
        <f t="array" ref="AN216">INDEX(GMWQ!$A$2:$LR$60,MATCH(1,(GMWQ!$LQ$2:$LQ$60=AN$3)*(GMWQ!$LP$2:$LP$60=AN$4)*(GMWQ!$LR$2:$LR$60=AN$1),0),$B216-1966)</f>
        <v>80801.16</v>
      </c>
      <c r="AO216" s="23" cm="1">
        <f t="array" ref="AO216">INDEX(GMWQ!$A$2:$LR$60,MATCH(1,(GMWQ!$LQ$2:$LQ$60=AO$3)*(GMWQ!$LP$2:$LP$60=AO$4)*(GMWQ!$LR$2:$LR$60=AO$1),0),$B216-1966)</f>
        <v>19499.75</v>
      </c>
      <c r="AP216" s="23" cm="1">
        <f t="array" ref="AP216">INDEX(GMWQ!$A$2:$LR$60,MATCH(1,(GMWQ!$LQ$2:$LQ$60=AP$3)*(GMWQ!$LP$2:$LP$60=AP$4)*(GMWQ!$LR$2:$LR$60=AP$1),0),$B216-1966)</f>
        <v>-2376.1550000000002</v>
      </c>
      <c r="AQ216" s="23" cm="1">
        <f t="array" ref="AQ216">INDEX(GMWQ!$A$2:$LR$60,MATCH(1,(GMWQ!$LQ$2:$LQ$60=AQ$3)*(GMWQ!$LP$2:$LP$60=AQ$4)*(GMWQ!$LR$2:$LR$60=AQ$1),0),$B216-1966)</f>
        <v>92610.8</v>
      </c>
      <c r="AR216" s="23" cm="1">
        <f t="array" ref="AR216">INDEX(GMWQ!$A$2:$LR$60,MATCH(1,(GMWQ!$LQ$2:$LQ$60=AR$3)*(GMWQ!$LP$2:$LP$60=AR$4)*(GMWQ!$LR$2:$LR$60=AR$1),0),$B216-1966)</f>
        <v>429659.3</v>
      </c>
      <c r="AS216" s="23" cm="1">
        <f t="array" ref="AS216">INDEX(GMWQ!$A$2:$LR$60,MATCH(1,(GMWQ!$LQ$2:$LQ$60=AS$3)*(GMWQ!$LP$2:$LP$60=AS$4)*(GMWQ!$LR$2:$LR$60=AS$1),0),$B216-1966)</f>
        <v>14250.94</v>
      </c>
      <c r="AT216" s="23" cm="1">
        <f t="array" ref="AT216">INDEX(GMWQ!$A$2:$LR$60,MATCH(1,(GMWQ!$LQ$2:$LQ$60=AT$3)*(GMWQ!$LP$2:$LP$60=AT$4)*(GMWQ!$LR$2:$LR$60=AT$1),0),$B216-1966)</f>
        <v>347009</v>
      </c>
      <c r="AU216" s="23" cm="1">
        <f t="array" ref="AU216">INDEX(GMWQ!$A$2:$LR$60,MATCH(1,(GMWQ!$LQ$2:$LQ$60=AU$3)*(GMWQ!$LP$2:$LP$60=AU$4)*(GMWQ!$LR$2:$LR$60=AU$1),0),$B216-1966)</f>
        <v>12348.98</v>
      </c>
    </row>
    <row r="217" spans="1:47" x14ac:dyDescent="0.35">
      <c r="B217" s="7">
        <f t="shared" si="4"/>
        <v>2183</v>
      </c>
      <c r="C217" s="7" cm="1">
        <f t="array" ref="C217">INDEX(GMWQ!$A$2:$LR$60,MATCH(1,(GMWQ!$LQ$2:$LQ$60=C$3)*(GMWQ!$LP$2:$LP$60=C$4)*(GMWQ!$LR$2:$LR$60=C$1),0),$B217-1966)</f>
        <v>582671.4</v>
      </c>
      <c r="D217" s="7" cm="1">
        <f t="array" ref="D217">INDEX(GMWQ!$A$2:$LR$60,MATCH(1,(GMWQ!$LQ$2:$LQ$60=D$3)*(GMWQ!$LP$2:$LP$60=D$4)*(GMWQ!$LR$2:$LR$60=D$1),0),$B217-1966)</f>
        <v>706.20330000000001</v>
      </c>
      <c r="E217" s="7" cm="1">
        <f t="array" ref="E217">INDEX(GMWQ!$A$2:$LR$60,MATCH(1,(GMWQ!$LQ$2:$LQ$60=E$3)*(GMWQ!$LP$2:$LP$60=E$4)*(GMWQ!$LR$2:$LR$60=E$1),0),$B217-1966)</f>
        <v>136.68369999999999</v>
      </c>
      <c r="F217" s="7" cm="1">
        <f t="array" ref="F217">INDEX(GMWQ!$A$2:$LR$60,MATCH(1,(GMWQ!$LQ$2:$LQ$60=F$3)*(GMWQ!$LP$2:$LP$60=F$4)*(GMWQ!$LR$2:$LR$60=F$1),0),$B217-1966)</f>
        <v>298180.7</v>
      </c>
      <c r="G217" s="7" cm="1">
        <f t="array" ref="G217">INDEX(GMWQ!$A$2:$LR$60,MATCH(1,(GMWQ!$LQ$2:$LQ$60=G$3)*(GMWQ!$LP$2:$LP$60=G$4)*(GMWQ!$LR$2:$LR$60=G$1),0),$B217-1966)</f>
        <v>81944.53</v>
      </c>
      <c r="H217" s="7" cm="1">
        <f t="array" ref="H217">INDEX(GMWQ!$A$2:$LR$60,MATCH(1,(GMWQ!$LQ$2:$LQ$60=H$3)*(GMWQ!$LP$2:$LP$60=H$4)*(GMWQ!$LR$2:$LR$60=H$1),0),$B217-1966)</f>
        <v>19679.93</v>
      </c>
      <c r="I217" s="7" cm="1">
        <f t="array" ref="I217">INDEX(GMWQ!$A$2:$LR$60,MATCH(1,(GMWQ!$LQ$2:$LQ$60=I$3)*(GMWQ!$LP$2:$LP$60=I$4)*(GMWQ!$LR$2:$LR$60=I$1),0),$B217-1966)</f>
        <v>124.49890000000001</v>
      </c>
      <c r="J217" s="7" cm="1">
        <f t="array" ref="J217">INDEX(GMWQ!$A$2:$LR$60,MATCH(1,(GMWQ!$LQ$2:$LQ$60=J$3)*(GMWQ!$LP$2:$LP$60=J$4)*(GMWQ!$LR$2:$LR$60=J$1),0),$B217-1966)</f>
        <v>29035.5</v>
      </c>
      <c r="K217" s="7" cm="1">
        <f t="array" ref="K217">INDEX(GMWQ!$A$2:$LR$60,MATCH(1,(GMWQ!$LQ$2:$LQ$60=K$3)*(GMWQ!$LP$2:$LP$60=K$4)*(GMWQ!$LR$2:$LR$60=K$1),0),$B217-1966)</f>
        <v>3.75</v>
      </c>
      <c r="L217" s="7" cm="1">
        <f t="array" ref="L217">INDEX(GMWQ!$A$2:$LR$60,MATCH(1,(GMWQ!$LQ$2:$LQ$60=L$3)*(GMWQ!$LP$2:$LP$60=L$4)*(GMWQ!$LR$2:$LR$60=L$1),0),$B217-1966)</f>
        <v>3.8899970000000001</v>
      </c>
      <c r="M217" s="7" cm="1">
        <f t="array" ref="M217">INDEX(GMWQ!$A$2:$LR$60,MATCH(1,(GMWQ!$LQ$2:$LQ$60=M$3)*(GMWQ!$LP$2:$LP$60=M$4)*(GMWQ!$LR$2:$LR$60=M$1),0),$B217-1966)</f>
        <v>148.46039999999999</v>
      </c>
      <c r="N217" s="7" cm="1">
        <f t="array" ref="N217">INDEX(GMWQ!$A$2:$LR$60,MATCH(1,(GMWQ!$LQ$2:$LQ$60=N$3)*(GMWQ!$LP$2:$LP$60=N$4)*(GMWQ!$LR$2:$LR$60=N$1),0),$B217-1966)</f>
        <v>25295.15</v>
      </c>
      <c r="O217" s="7" cm="1">
        <f t="array" ref="O217">INDEX(GMWQ!$A$2:$LR$60,MATCH(1,(GMWQ!$LQ$2:$LQ$60=O$3)*(GMWQ!$LP$2:$LP$60=O$4)*(GMWQ!$LR$2:$LR$60=O$1),0),$B217-1966)</f>
        <v>22610.43</v>
      </c>
      <c r="P217" s="7" cm="1">
        <f t="array" ref="P217">INDEX(GMWQ!$A$2:$LR$60,MATCH(1,(GMWQ!$LQ$2:$LQ$60=P$3)*(GMWQ!$LP$2:$LP$60=P$4)*(GMWQ!$LR$2:$LR$60=P$1),0),$B217-1966)</f>
        <v>471700.1</v>
      </c>
      <c r="Q217" s="7" cm="1">
        <f t="array" ref="Q217">INDEX(GMWQ!$A$2:$LR$60,MATCH(1,(GMWQ!$LQ$2:$LQ$60=Q$3)*(GMWQ!$LP$2:$LP$60=Q$4)*(GMWQ!$LR$2:$LR$60=Q$1),0),$B217-1966)</f>
        <v>3.820055</v>
      </c>
      <c r="R217" s="7" cm="1">
        <f t="array" ref="R217">INDEX(GMWQ!$A$2:$LR$60,MATCH(1,(GMWQ!$LQ$2:$LQ$60=R$3)*(GMWQ!$LP$2:$LP$60=R$4)*(GMWQ!$LR$2:$LR$60=R$1),0),$B217-1966)</f>
        <v>193793.8</v>
      </c>
      <c r="S217" s="7" cm="1">
        <f t="array" ref="S217">INDEX(GMWQ!$A$2:$LR$60,MATCH(1,(GMWQ!$LQ$2:$LQ$60=S$3)*(GMWQ!$LP$2:$LP$60=S$4)*(GMWQ!$LR$2:$LR$60=S$1),0),$B217-1966)</f>
        <v>292.01510000000002</v>
      </c>
      <c r="T217" s="7" cm="1">
        <f t="array" ref="T217">INDEX(GMWQ!$A$2:$LR$60,MATCH(1,(GMWQ!$LQ$2:$LQ$60=T$3)*(GMWQ!$LP$2:$LP$60=T$4)*(GMWQ!$LR$2:$LR$60=T$1),0),$B217-1966)</f>
        <v>73661.48</v>
      </c>
      <c r="U217" s="7" cm="1">
        <f t="array" ref="U217">INDEX(GMWQ!$A$2:$LR$60,MATCH(1,(GMWQ!$LQ$2:$LQ$60=U$3)*(GMWQ!$LP$2:$LP$60=U$4)*(GMWQ!$LR$2:$LR$60=U$1),0),$B217-1966)</f>
        <v>12892.2</v>
      </c>
      <c r="V217" s="7" cm="1">
        <f t="array" ref="V217">INDEX(GMWQ!$A$2:$LR$60,MATCH(1,(GMWQ!$LQ$2:$LQ$60=V$3)*(GMWQ!$LP$2:$LP$60=V$4)*(GMWQ!$LR$2:$LR$60=V$1),0),$B217-1966)</f>
        <v>1.591259E-3</v>
      </c>
      <c r="W217" s="7" cm="1">
        <f t="array" ref="W217">INDEX(GMWQ!$A$2:$LR$60,MATCH(1,(GMWQ!$LQ$2:$LQ$60=W$3)*(GMWQ!$LP$2:$LP$60=W$4)*(GMWQ!$LR$2:$LR$60=W$1),0),$B217-1966)</f>
        <v>10.223890000000001</v>
      </c>
      <c r="X217" s="7" cm="1">
        <f t="array" ref="X217">INDEX(GMWQ!$A$2:$LR$60,MATCH(1,(GMWQ!$LQ$2:$LQ$60=X$3)*(GMWQ!$LP$2:$LP$60=X$4)*(GMWQ!$LR$2:$LR$60=X$1),0),$B217-1966)</f>
        <v>5752197</v>
      </c>
      <c r="Y217" s="7" cm="1">
        <f t="array" ref="Y217">INDEX(GMWQ!$A$2:$LR$60,MATCH(1,(GMWQ!$LQ$2:$LQ$60=Y$3)*(GMWQ!$LP$2:$LP$60=Y$4)*(GMWQ!$LR$2:$LR$60=Y$1),0),$B217-1966)</f>
        <v>123.636</v>
      </c>
      <c r="Z217" s="7" cm="1">
        <f t="array" ref="Z217">INDEX(GMWQ!$A$2:$LR$60,MATCH(1,(GMWQ!$LQ$2:$LQ$60=Z$3)*(GMWQ!$LP$2:$LP$60=Z$4)*(GMWQ!$LR$2:$LR$60=Z$1),0),$B217-1966)</f>
        <v>583434.1</v>
      </c>
      <c r="AA217" s="7" cm="1">
        <f t="array" ref="AA217">INDEX(GMWQ!$A$2:$LR$60,MATCH(1,(GMWQ!$LQ$2:$LQ$60=AA$3)*(GMWQ!$LP$2:$LP$60=AA$4)*(GMWQ!$LR$2:$LR$60=AA$1),0),$B217-1966)</f>
        <v>297248.8</v>
      </c>
      <c r="AB217" s="7" cm="1">
        <f t="array" ref="AB217">INDEX(GMWQ!$A$2:$LR$60,MATCH(1,(GMWQ!$LQ$2:$LQ$60=AB$3)*(GMWQ!$LP$2:$LP$60=AB$4)*(GMWQ!$LR$2:$LR$60=AB$1),0),$B217-1966)</f>
        <v>283507.7</v>
      </c>
      <c r="AC217" s="7" cm="1">
        <f t="array" ref="AC217">INDEX(GMWQ!$A$2:$LR$60,MATCH(1,(GMWQ!$LQ$2:$LQ$60=AC$3)*(GMWQ!$LP$2:$LP$60=AC$4)*(GMWQ!$LR$2:$LR$60=AC$1),0),$B217-1966)</f>
        <v>13149.22</v>
      </c>
      <c r="AD217" s="7" cm="1">
        <f t="array" ref="AD217">INDEX(GMWQ!$A$2:$LR$60,MATCH(1,(GMWQ!$LQ$2:$LQ$60=AD$3)*(GMWQ!$LP$2:$LP$60=AD$4)*(GMWQ!$LR$2:$LR$60=AD$1),0),$B217-1966)</f>
        <v>16664.330000000002</v>
      </c>
      <c r="AE217" s="7" cm="1">
        <f t="array" ref="AE217">INDEX(GMWQ!$A$2:$LR$60,MATCH(1,(GMWQ!$LQ$2:$LQ$60=AE$3)*(GMWQ!$LP$2:$LP$60=AE$4)*(GMWQ!$LR$2:$LR$60=AE$1),0),$B217-1966)</f>
        <v>720391.4</v>
      </c>
      <c r="AF217" s="20" cm="1">
        <f t="array" ref="AF217">INDEX(GMWQ!$A$2:$LR$60,MATCH(1,(GMWQ!$LQ$2:$LQ$60=AF$3)*(GMWQ!$LP$2:$LP$60=AF$4)*(GMWQ!$LR$2:$LR$60=AF$1),0),$B217-1966)</f>
        <v>3.8522729999999998</v>
      </c>
      <c r="AG217" s="20" cm="1">
        <f t="array" ref="AG217">INDEX(GMWQ!$A$2:$LR$60,MATCH(1,(GMWQ!$LQ$2:$LQ$60=AG$3)*(GMWQ!$LP$2:$LP$60=AG$4)*(GMWQ!$LR$2:$LR$60=AG$1),0),$B217-1966)</f>
        <v>-2684.723</v>
      </c>
      <c r="AI217" s="23" cm="1">
        <f t="array" ref="AI217">INDEX(GMWQ!$A$2:$LR$60,MATCH(1,(GMWQ!$LQ$2:$LQ$60=AI$3)*(GMWQ!$LP$2:$LP$60=AI$4)*(GMWQ!$LR$2:$LR$60=AI$1),0),$B217-1966)</f>
        <v>471700.1</v>
      </c>
      <c r="AJ217" s="23" cm="1">
        <f t="array" ref="AJ217">INDEX(GMWQ!$A$2:$LR$60,MATCH(1,(GMWQ!$LQ$2:$LQ$60=AJ$3)*(GMWQ!$LP$2:$LP$60=AJ$4)*(GMWQ!$LR$2:$LR$60=AJ$1),0),$B217-1966)</f>
        <v>124.49890000000001</v>
      </c>
      <c r="AK217" s="23" cm="1">
        <f t="array" ref="AK217">INDEX(GMWQ!$A$2:$LR$60,MATCH(1,(GMWQ!$LQ$2:$LQ$60=AK$3)*(GMWQ!$LP$2:$LP$60=AK$4)*(GMWQ!$LR$2:$LR$60=AK$1),0),$B217-1966)</f>
        <v>298180.7</v>
      </c>
      <c r="AL217" s="23" cm="1">
        <f t="array" ref="AL217">INDEX(GMWQ!$A$2:$LR$60,MATCH(1,(GMWQ!$LQ$2:$LQ$60=AL$3)*(GMWQ!$LP$2:$LP$60=AL$4)*(GMWQ!$LR$2:$LR$60=AL$1),0),$B217-1966)</f>
        <v>10269.52</v>
      </c>
      <c r="AM217" s="23" cm="1">
        <f t="array" ref="AM217">INDEX(GMWQ!$A$2:$LR$60,MATCH(1,(GMWQ!$LQ$2:$LQ$60=AM$3)*(GMWQ!$LP$2:$LP$60=AM$4)*(GMWQ!$LR$2:$LR$60=AM$1),0),$B217-1966)</f>
        <v>29035.5</v>
      </c>
      <c r="AN217" s="23" cm="1">
        <f t="array" ref="AN217">INDEX(GMWQ!$A$2:$LR$60,MATCH(1,(GMWQ!$LQ$2:$LQ$60=AN$3)*(GMWQ!$LP$2:$LP$60=AN$4)*(GMWQ!$LR$2:$LR$60=AN$1),0),$B217-1966)</f>
        <v>81944.53</v>
      </c>
      <c r="AO217" s="23" cm="1">
        <f t="array" ref="AO217">INDEX(GMWQ!$A$2:$LR$60,MATCH(1,(GMWQ!$LQ$2:$LQ$60=AO$3)*(GMWQ!$LP$2:$LP$60=AO$4)*(GMWQ!$LR$2:$LR$60=AO$1),0),$B217-1966)</f>
        <v>19679.93</v>
      </c>
      <c r="AP217" s="23" cm="1">
        <f t="array" ref="AP217">INDEX(GMWQ!$A$2:$LR$60,MATCH(1,(GMWQ!$LQ$2:$LQ$60=AP$3)*(GMWQ!$LP$2:$LP$60=AP$4)*(GMWQ!$LR$2:$LR$60=AP$1),0),$B217-1966)</f>
        <v>-2684.723</v>
      </c>
      <c r="AQ217" s="23" cm="1">
        <f t="array" ref="AQ217">INDEX(GMWQ!$A$2:$LR$60,MATCH(1,(GMWQ!$LQ$2:$LQ$60=AQ$3)*(GMWQ!$LP$2:$LP$60=AQ$4)*(GMWQ!$LR$2:$LR$60=AQ$1),0),$B217-1966)</f>
        <v>93722.58</v>
      </c>
      <c r="AR217" s="23" cm="1">
        <f t="array" ref="AR217">INDEX(GMWQ!$A$2:$LR$60,MATCH(1,(GMWQ!$LQ$2:$LQ$60=AR$3)*(GMWQ!$LP$2:$LP$60=AR$4)*(GMWQ!$LR$2:$LR$60=AR$1),0),$B217-1966)</f>
        <v>434895.3</v>
      </c>
      <c r="AS217" s="23" cm="1">
        <f t="array" ref="AS217">INDEX(GMWQ!$A$2:$LR$60,MATCH(1,(GMWQ!$LQ$2:$LQ$60=AS$3)*(GMWQ!$LP$2:$LP$60=AS$4)*(GMWQ!$LR$2:$LR$60=AS$1),0),$B217-1966)</f>
        <v>14439.23</v>
      </c>
      <c r="AT217" s="23" cm="1">
        <f t="array" ref="AT217">INDEX(GMWQ!$A$2:$LR$60,MATCH(1,(GMWQ!$LQ$2:$LQ$60=AT$3)*(GMWQ!$LP$2:$LP$60=AT$4)*(GMWQ!$LR$2:$LR$60=AT$1),0),$B217-1966)</f>
        <v>349316.6</v>
      </c>
      <c r="AU217" s="23" cm="1">
        <f t="array" ref="AU217">INDEX(GMWQ!$A$2:$LR$60,MATCH(1,(GMWQ!$LQ$2:$LQ$60=AU$3)*(GMWQ!$LP$2:$LP$60=AU$4)*(GMWQ!$LR$2:$LR$60=AU$1),0),$B217-1966)</f>
        <v>12431.1</v>
      </c>
    </row>
    <row r="218" spans="1:47" x14ac:dyDescent="0.35">
      <c r="B218" s="7">
        <f t="shared" si="4"/>
        <v>2184</v>
      </c>
      <c r="C218" s="7" cm="1">
        <f t="array" ref="C218">INDEX(GMWQ!$A$2:$LR$60,MATCH(1,(GMWQ!$LQ$2:$LQ$60=C$3)*(GMWQ!$LP$2:$LP$60=C$4)*(GMWQ!$LR$2:$LR$60=C$1),0),$B218-1966)</f>
        <v>585963.30000000005</v>
      </c>
      <c r="D218" s="7" cm="1">
        <f t="array" ref="D218">INDEX(GMWQ!$A$2:$LR$60,MATCH(1,(GMWQ!$LQ$2:$LQ$60=D$3)*(GMWQ!$LP$2:$LP$60=D$4)*(GMWQ!$LR$2:$LR$60=D$1),0),$B218-1966)</f>
        <v>710.89009999999996</v>
      </c>
      <c r="E218" s="7" cm="1">
        <f t="array" ref="E218">INDEX(GMWQ!$A$2:$LR$60,MATCH(1,(GMWQ!$LQ$2:$LQ$60=E$3)*(GMWQ!$LP$2:$LP$60=E$4)*(GMWQ!$LR$2:$LR$60=E$1),0),$B218-1966)</f>
        <v>137.44370000000001</v>
      </c>
      <c r="F218" s="7" cm="1">
        <f t="array" ref="F218">INDEX(GMWQ!$A$2:$LR$60,MATCH(1,(GMWQ!$LQ$2:$LQ$60=F$3)*(GMWQ!$LP$2:$LP$60=F$4)*(GMWQ!$LR$2:$LR$60=F$1),0),$B218-1966)</f>
        <v>300917.3</v>
      </c>
      <c r="G218" s="7" cm="1">
        <f t="array" ref="G218">INDEX(GMWQ!$A$2:$LR$60,MATCH(1,(GMWQ!$LQ$2:$LQ$60=G$3)*(GMWQ!$LP$2:$LP$60=G$4)*(GMWQ!$LR$2:$LR$60=G$1),0),$B218-1966)</f>
        <v>83162.23</v>
      </c>
      <c r="H218" s="7" cm="1">
        <f t="array" ref="H218">INDEX(GMWQ!$A$2:$LR$60,MATCH(1,(GMWQ!$LQ$2:$LQ$60=H$3)*(GMWQ!$LP$2:$LP$60=H$4)*(GMWQ!$LR$2:$LR$60=H$1),0),$B218-1966)</f>
        <v>19860.54</v>
      </c>
      <c r="I218" s="7" cm="1">
        <f t="array" ref="I218">INDEX(GMWQ!$A$2:$LR$60,MATCH(1,(GMWQ!$LQ$2:$LQ$60=I$3)*(GMWQ!$LP$2:$LP$60=I$4)*(GMWQ!$LR$2:$LR$60=I$1),0),$B218-1966)</f>
        <v>125.1837</v>
      </c>
      <c r="J218" s="7" cm="1">
        <f t="array" ref="J218">INDEX(GMWQ!$A$2:$LR$60,MATCH(1,(GMWQ!$LQ$2:$LQ$60=J$3)*(GMWQ!$LP$2:$LP$60=J$4)*(GMWQ!$LR$2:$LR$60=J$1),0),$B218-1966)</f>
        <v>29108.78</v>
      </c>
      <c r="K218" s="7" cm="1">
        <f t="array" ref="K218">INDEX(GMWQ!$A$2:$LR$60,MATCH(1,(GMWQ!$LQ$2:$LQ$60=K$3)*(GMWQ!$LP$2:$LP$60=K$4)*(GMWQ!$LR$2:$LR$60=K$1),0),$B218-1966)</f>
        <v>3.5</v>
      </c>
      <c r="L218" s="7" cm="1">
        <f t="array" ref="L218">INDEX(GMWQ!$A$2:$LR$60,MATCH(1,(GMWQ!$LQ$2:$LQ$60=L$3)*(GMWQ!$LP$2:$LP$60=L$4)*(GMWQ!$LR$2:$LR$60=L$1),0),$B218-1966)</f>
        <v>3.8134039999999998</v>
      </c>
      <c r="M218" s="7" cm="1">
        <f t="array" ref="M218">INDEX(GMWQ!$A$2:$LR$60,MATCH(1,(GMWQ!$LQ$2:$LQ$60=M$3)*(GMWQ!$LP$2:$LP$60=M$4)*(GMWQ!$LR$2:$LR$60=M$1),0),$B218-1966)</f>
        <v>149.55250000000001</v>
      </c>
      <c r="N218" s="7" cm="1">
        <f t="array" ref="N218">INDEX(GMWQ!$A$2:$LR$60,MATCH(1,(GMWQ!$LQ$2:$LQ$60=N$3)*(GMWQ!$LP$2:$LP$60=N$4)*(GMWQ!$LR$2:$LR$60=N$1),0),$B218-1966)</f>
        <v>25101.24</v>
      </c>
      <c r="O218" s="7" cm="1">
        <f t="array" ref="O218">INDEX(GMWQ!$A$2:$LR$60,MATCH(1,(GMWQ!$LQ$2:$LQ$60=O$3)*(GMWQ!$LP$2:$LP$60=O$4)*(GMWQ!$LR$2:$LR$60=O$1),0),$B218-1966)</f>
        <v>21990.82</v>
      </c>
      <c r="P218" s="7" cm="1">
        <f t="array" ref="P218">INDEX(GMWQ!$A$2:$LR$60,MATCH(1,(GMWQ!$LQ$2:$LQ$60=P$3)*(GMWQ!$LP$2:$LP$60=P$4)*(GMWQ!$LR$2:$LR$60=P$1),0),$B218-1966)</f>
        <v>476871.3</v>
      </c>
      <c r="Q218" s="7" cm="1">
        <f t="array" ref="Q218">INDEX(GMWQ!$A$2:$LR$60,MATCH(1,(GMWQ!$LQ$2:$LQ$60=Q$3)*(GMWQ!$LP$2:$LP$60=Q$4)*(GMWQ!$LR$2:$LR$60=Q$1),0),$B218-1966)</f>
        <v>3.8346840000000002</v>
      </c>
      <c r="R218" s="7" cm="1">
        <f t="array" ref="R218">INDEX(GMWQ!$A$2:$LR$60,MATCH(1,(GMWQ!$LQ$2:$LQ$60=R$3)*(GMWQ!$LP$2:$LP$60=R$4)*(GMWQ!$LR$2:$LR$60=R$1),0),$B218-1966)</f>
        <v>199542.39999999999</v>
      </c>
      <c r="S218" s="7" cm="1">
        <f t="array" ref="S218">INDEX(GMWQ!$A$2:$LR$60,MATCH(1,(GMWQ!$LQ$2:$LQ$60=S$3)*(GMWQ!$LP$2:$LP$60=S$4)*(GMWQ!$LR$2:$LR$60=S$1),0),$B218-1966)</f>
        <v>297.6705</v>
      </c>
      <c r="T218" s="7" cm="1">
        <f t="array" ref="T218">INDEX(GMWQ!$A$2:$LR$60,MATCH(1,(GMWQ!$LQ$2:$LQ$60=T$3)*(GMWQ!$LP$2:$LP$60=T$4)*(GMWQ!$LR$2:$LR$60=T$1),0),$B218-1966)</f>
        <v>76379.460000000006</v>
      </c>
      <c r="U218" s="7" cm="1">
        <f t="array" ref="U218">INDEX(GMWQ!$A$2:$LR$60,MATCH(1,(GMWQ!$LQ$2:$LQ$60=U$3)*(GMWQ!$LP$2:$LP$60=U$4)*(GMWQ!$LR$2:$LR$60=U$1),0),$B218-1966)</f>
        <v>12675.82</v>
      </c>
      <c r="V218" s="7" cm="1">
        <f t="array" ref="V218">INDEX(GMWQ!$A$2:$LR$60,MATCH(1,(GMWQ!$LQ$2:$LQ$60=V$3)*(GMWQ!$LP$2:$LP$60=V$4)*(GMWQ!$LR$2:$LR$60=V$1),0),$B218-1966)</f>
        <v>1.5616530000000001E-3</v>
      </c>
      <c r="W218" s="7" cm="1">
        <f t="array" ref="W218">INDEX(GMWQ!$A$2:$LR$60,MATCH(1,(GMWQ!$LQ$2:$LQ$60=W$3)*(GMWQ!$LP$2:$LP$60=W$4)*(GMWQ!$LR$2:$LR$60=W$1),0),$B218-1966)</f>
        <v>10.07047</v>
      </c>
      <c r="X218" s="7" cm="1">
        <f t="array" ref="X218">INDEX(GMWQ!$A$2:$LR$60,MATCH(1,(GMWQ!$LQ$2:$LQ$60=X$3)*(GMWQ!$LP$2:$LP$60=X$4)*(GMWQ!$LR$2:$LR$60=X$1),0),$B218-1966)</f>
        <v>5787848</v>
      </c>
      <c r="Y218" s="7" cm="1">
        <f t="array" ref="Y218">INDEX(GMWQ!$A$2:$LR$60,MATCH(1,(GMWQ!$LQ$2:$LQ$60=Y$3)*(GMWQ!$LP$2:$LP$60=Y$4)*(GMWQ!$LR$2:$LR$60=Y$1),0),$B218-1966)</f>
        <v>124.3036</v>
      </c>
      <c r="Z218" s="7" cm="1">
        <f t="array" ref="Z218">INDEX(GMWQ!$A$2:$LR$60,MATCH(1,(GMWQ!$LQ$2:$LQ$60=Z$3)*(GMWQ!$LP$2:$LP$60=Z$4)*(GMWQ!$LR$2:$LR$60=Z$1),0),$B218-1966)</f>
        <v>586222.1</v>
      </c>
      <c r="AA218" s="7" cm="1">
        <f t="array" ref="AA218">INDEX(GMWQ!$A$2:$LR$60,MATCH(1,(GMWQ!$LQ$2:$LQ$60=AA$3)*(GMWQ!$LP$2:$LP$60=AA$4)*(GMWQ!$LR$2:$LR$60=AA$1),0),$B218-1966)</f>
        <v>285610.59999999998</v>
      </c>
      <c r="AB218" s="7" cm="1">
        <f t="array" ref="AB218">INDEX(GMWQ!$A$2:$LR$60,MATCH(1,(GMWQ!$LQ$2:$LQ$60=AB$3)*(GMWQ!$LP$2:$LP$60=AB$4)*(GMWQ!$LR$2:$LR$60=AB$1),0),$B218-1966)</f>
        <v>285859.3</v>
      </c>
      <c r="AC218" s="7" cm="1">
        <f t="array" ref="AC218">INDEX(GMWQ!$A$2:$LR$60,MATCH(1,(GMWQ!$LQ$2:$LQ$60=AC$3)*(GMWQ!$LP$2:$LP$60=AC$4)*(GMWQ!$LR$2:$LR$60=AC$1),0),$B218-1966)</f>
        <v>14028.01</v>
      </c>
      <c r="AD218" s="7" cm="1">
        <f t="array" ref="AD218">INDEX(GMWQ!$A$2:$LR$60,MATCH(1,(GMWQ!$LQ$2:$LQ$60=AD$3)*(GMWQ!$LP$2:$LP$60=AD$4)*(GMWQ!$LR$2:$LR$60=AD$1),0),$B218-1966)</f>
        <v>16664.330000000002</v>
      </c>
      <c r="AE218" s="7" cm="1">
        <f t="array" ref="AE218">INDEX(GMWQ!$A$2:$LR$60,MATCH(1,(GMWQ!$LQ$2:$LQ$60=AE$3)*(GMWQ!$LP$2:$LP$60=AE$4)*(GMWQ!$LR$2:$LR$60=AE$1),0),$B218-1966)</f>
        <v>728373.7</v>
      </c>
      <c r="AF218" s="20" cm="1">
        <f t="array" ref="AF218">INDEX(GMWQ!$A$2:$LR$60,MATCH(1,(GMWQ!$LQ$2:$LQ$60=AF$3)*(GMWQ!$LP$2:$LP$60=AF$4)*(GMWQ!$LR$2:$LR$60=AF$1),0),$B218-1966)</f>
        <v>3.5984850000000002</v>
      </c>
      <c r="AG218" s="20" cm="1">
        <f t="array" ref="AG218">INDEX(GMWQ!$A$2:$LR$60,MATCH(1,(GMWQ!$LQ$2:$LQ$60=AG$3)*(GMWQ!$LP$2:$LP$60=AG$4)*(GMWQ!$LR$2:$LR$60=AG$1),0),$B218-1966)</f>
        <v>-3110.4169999999999</v>
      </c>
      <c r="AI218" s="23" cm="1">
        <f t="array" ref="AI218">INDEX(GMWQ!$A$2:$LR$60,MATCH(1,(GMWQ!$LQ$2:$LQ$60=AI$3)*(GMWQ!$LP$2:$LP$60=AI$4)*(GMWQ!$LR$2:$LR$60=AI$1),0),$B218-1966)</f>
        <v>476871.3</v>
      </c>
      <c r="AJ218" s="23" cm="1">
        <f t="array" ref="AJ218">INDEX(GMWQ!$A$2:$LR$60,MATCH(1,(GMWQ!$LQ$2:$LQ$60=AJ$3)*(GMWQ!$LP$2:$LP$60=AJ$4)*(GMWQ!$LR$2:$LR$60=AJ$1),0),$B218-1966)</f>
        <v>125.1837</v>
      </c>
      <c r="AK218" s="23" cm="1">
        <f t="array" ref="AK218">INDEX(GMWQ!$A$2:$LR$60,MATCH(1,(GMWQ!$LQ$2:$LQ$60=AK$3)*(GMWQ!$LP$2:$LP$60=AK$4)*(GMWQ!$LR$2:$LR$60=AK$1),0),$B218-1966)</f>
        <v>300917.3</v>
      </c>
      <c r="AL218" s="23" cm="1">
        <f t="array" ref="AL218">INDEX(GMWQ!$A$2:$LR$60,MATCH(1,(GMWQ!$LQ$2:$LQ$60=AL$3)*(GMWQ!$LP$2:$LP$60=AL$4)*(GMWQ!$LR$2:$LR$60=AL$1),0),$B218-1966)</f>
        <v>10337.68</v>
      </c>
      <c r="AM218" s="23" cm="1">
        <f t="array" ref="AM218">INDEX(GMWQ!$A$2:$LR$60,MATCH(1,(GMWQ!$LQ$2:$LQ$60=AM$3)*(GMWQ!$LP$2:$LP$60=AM$4)*(GMWQ!$LR$2:$LR$60=AM$1),0),$B218-1966)</f>
        <v>29108.78</v>
      </c>
      <c r="AN218" s="23" cm="1">
        <f t="array" ref="AN218">INDEX(GMWQ!$A$2:$LR$60,MATCH(1,(GMWQ!$LQ$2:$LQ$60=AN$3)*(GMWQ!$LP$2:$LP$60=AN$4)*(GMWQ!$LR$2:$LR$60=AN$1),0),$B218-1966)</f>
        <v>83162.23</v>
      </c>
      <c r="AO218" s="23" cm="1">
        <f t="array" ref="AO218">INDEX(GMWQ!$A$2:$LR$60,MATCH(1,(GMWQ!$LQ$2:$LQ$60=AO$3)*(GMWQ!$LP$2:$LP$60=AO$4)*(GMWQ!$LR$2:$LR$60=AO$1),0),$B218-1966)</f>
        <v>19860.54</v>
      </c>
      <c r="AP218" s="23" cm="1">
        <f t="array" ref="AP218">INDEX(GMWQ!$A$2:$LR$60,MATCH(1,(GMWQ!$LQ$2:$LQ$60=AP$3)*(GMWQ!$LP$2:$LP$60=AP$4)*(GMWQ!$LR$2:$LR$60=AP$1),0),$B218-1966)</f>
        <v>-3110.4169999999999</v>
      </c>
      <c r="AQ218" s="23" cm="1">
        <f t="array" ref="AQ218">INDEX(GMWQ!$A$2:$LR$60,MATCH(1,(GMWQ!$LQ$2:$LQ$60=AQ$3)*(GMWQ!$LP$2:$LP$60=AQ$4)*(GMWQ!$LR$2:$LR$60=AQ$1),0),$B218-1966)</f>
        <v>94857.02</v>
      </c>
      <c r="AR218" s="23" cm="1">
        <f t="array" ref="AR218">INDEX(GMWQ!$A$2:$LR$60,MATCH(1,(GMWQ!$LQ$2:$LQ$60=AR$3)*(GMWQ!$LP$2:$LP$60=AR$4)*(GMWQ!$LR$2:$LR$60=AR$1),0),$B218-1966)</f>
        <v>440130.2</v>
      </c>
      <c r="AS218" s="23" cm="1">
        <f t="array" ref="AS218">INDEX(GMWQ!$A$2:$LR$60,MATCH(1,(GMWQ!$LQ$2:$LQ$60=AS$3)*(GMWQ!$LP$2:$LP$60=AS$4)*(GMWQ!$LR$2:$LR$60=AS$1),0),$B218-1966)</f>
        <v>14625.53</v>
      </c>
      <c r="AT218" s="23" cm="1">
        <f t="array" ref="AT218">INDEX(GMWQ!$A$2:$LR$60,MATCH(1,(GMWQ!$LQ$2:$LQ$60=AT$3)*(GMWQ!$LP$2:$LP$60=AT$4)*(GMWQ!$LR$2:$LR$60=AT$1),0),$B218-1966)</f>
        <v>351587.5</v>
      </c>
      <c r="AU218" s="23" cm="1">
        <f t="array" ref="AU218">INDEX(GMWQ!$A$2:$LR$60,MATCH(1,(GMWQ!$LQ$2:$LQ$60=AU$3)*(GMWQ!$LP$2:$LP$60=AU$4)*(GMWQ!$LR$2:$LR$60=AU$1),0),$B218-1966)</f>
        <v>12511.91</v>
      </c>
    </row>
    <row r="219" spans="1:47" x14ac:dyDescent="0.35">
      <c r="A219" s="7">
        <v>2026</v>
      </c>
      <c r="B219" s="7">
        <f t="shared" si="4"/>
        <v>2185</v>
      </c>
      <c r="C219" s="7" cm="1">
        <f t="array" ref="C219">INDEX(GMWQ!$A$2:$LR$60,MATCH(1,(GMWQ!$LQ$2:$LQ$60=C$3)*(GMWQ!$LP$2:$LP$60=C$4)*(GMWQ!$LR$2:$LR$60=C$1),0),$B219-1966)</f>
        <v>588893.1</v>
      </c>
      <c r="D219" s="7" cm="1">
        <f t="array" ref="D219">INDEX(GMWQ!$A$2:$LR$60,MATCH(1,(GMWQ!$LQ$2:$LQ$60=D$3)*(GMWQ!$LP$2:$LP$60=D$4)*(GMWQ!$LR$2:$LR$60=D$1),0),$B219-1966)</f>
        <v>715.76020000000005</v>
      </c>
      <c r="E219" s="7" cm="1">
        <f t="array" ref="E219">INDEX(GMWQ!$A$2:$LR$60,MATCH(1,(GMWQ!$LQ$2:$LQ$60=E$3)*(GMWQ!$LP$2:$LP$60=E$4)*(GMWQ!$LR$2:$LR$60=E$1),0),$B219-1966)</f>
        <v>137.66970000000001</v>
      </c>
      <c r="F219" s="7" cm="1">
        <f t="array" ref="F219">INDEX(GMWQ!$A$2:$LR$60,MATCH(1,(GMWQ!$LQ$2:$LQ$60=F$3)*(GMWQ!$LP$2:$LP$60=F$4)*(GMWQ!$LR$2:$LR$60=F$1),0),$B219-1966)</f>
        <v>303597.5</v>
      </c>
      <c r="G219" s="7" cm="1">
        <f t="array" ref="G219">INDEX(GMWQ!$A$2:$LR$60,MATCH(1,(GMWQ!$LQ$2:$LQ$60=G$3)*(GMWQ!$LP$2:$LP$60=G$4)*(GMWQ!$LR$2:$LR$60=G$1),0),$B219-1966)</f>
        <v>84464.19</v>
      </c>
      <c r="H219" s="7" cm="1">
        <f t="array" ref="H219">INDEX(GMWQ!$A$2:$LR$60,MATCH(1,(GMWQ!$LQ$2:$LQ$60=H$3)*(GMWQ!$LP$2:$LP$60=H$4)*(GMWQ!$LR$2:$LR$60=H$1),0),$B219-1966)</f>
        <v>20037.439999999999</v>
      </c>
      <c r="I219" s="7" cm="1">
        <f t="array" ref="I219">INDEX(GMWQ!$A$2:$LR$60,MATCH(1,(GMWQ!$LQ$2:$LQ$60=I$3)*(GMWQ!$LP$2:$LP$60=I$4)*(GMWQ!$LR$2:$LR$60=I$1),0),$B219-1966)</f>
        <v>125.87220000000001</v>
      </c>
      <c r="J219" s="7" cm="1">
        <f t="array" ref="J219">INDEX(GMWQ!$A$2:$LR$60,MATCH(1,(GMWQ!$LQ$2:$LQ$60=J$3)*(GMWQ!$LP$2:$LP$60=J$4)*(GMWQ!$LR$2:$LR$60=J$1),0),$B219-1966)</f>
        <v>29168.22</v>
      </c>
      <c r="K219" s="7" cm="1">
        <f t="array" ref="K219">INDEX(GMWQ!$A$2:$LR$60,MATCH(1,(GMWQ!$LQ$2:$LQ$60=K$3)*(GMWQ!$LP$2:$LP$60=K$4)*(GMWQ!$LR$2:$LR$60=K$1),0),$B219-1966)</f>
        <v>3.25</v>
      </c>
      <c r="L219" s="7" cm="1">
        <f t="array" ref="L219">INDEX(GMWQ!$A$2:$LR$60,MATCH(1,(GMWQ!$LQ$2:$LQ$60=L$3)*(GMWQ!$LP$2:$LP$60=L$4)*(GMWQ!$LR$2:$LR$60=L$1),0),$B219-1966)</f>
        <v>3.7596959999999999</v>
      </c>
      <c r="M219" s="7" cm="1">
        <f t="array" ref="M219">INDEX(GMWQ!$A$2:$LR$60,MATCH(1,(GMWQ!$LQ$2:$LQ$60=M$3)*(GMWQ!$LP$2:$LP$60=M$4)*(GMWQ!$LR$2:$LR$60=M$1),0),$B219-1966)</f>
        <v>150.94290000000001</v>
      </c>
      <c r="N219" s="7" cm="1">
        <f t="array" ref="N219">INDEX(GMWQ!$A$2:$LR$60,MATCH(1,(GMWQ!$LQ$2:$LQ$60=N$3)*(GMWQ!$LP$2:$LP$60=N$4)*(GMWQ!$LR$2:$LR$60=N$1),0),$B219-1966)</f>
        <v>24946.76</v>
      </c>
      <c r="O219" s="7" cm="1">
        <f t="array" ref="O219">INDEX(GMWQ!$A$2:$LR$60,MATCH(1,(GMWQ!$LQ$2:$LQ$60=O$3)*(GMWQ!$LP$2:$LP$60=O$4)*(GMWQ!$LR$2:$LR$60=O$1),0),$B219-1966)</f>
        <v>21376.07</v>
      </c>
      <c r="P219" s="7" cm="1">
        <f t="array" ref="P219">INDEX(GMWQ!$A$2:$LR$60,MATCH(1,(GMWQ!$LQ$2:$LQ$60=P$3)*(GMWQ!$LP$2:$LP$60=P$4)*(GMWQ!$LR$2:$LR$60=P$1),0),$B219-1966)</f>
        <v>482301.3</v>
      </c>
      <c r="Q219" s="7" cm="1">
        <f t="array" ref="Q219">INDEX(GMWQ!$A$2:$LR$60,MATCH(1,(GMWQ!$LQ$2:$LQ$60=Q$3)*(GMWQ!$LP$2:$LP$60=Q$4)*(GMWQ!$LR$2:$LR$60=Q$1),0),$B219-1966)</f>
        <v>3.8621639999999999</v>
      </c>
      <c r="R219" s="7" cm="1">
        <f t="array" ref="R219">INDEX(GMWQ!$A$2:$LR$60,MATCH(1,(GMWQ!$LQ$2:$LQ$60=R$3)*(GMWQ!$LP$2:$LP$60=R$4)*(GMWQ!$LR$2:$LR$60=R$1),0),$B219-1966)</f>
        <v>203074.4</v>
      </c>
      <c r="S219" s="7" cm="1">
        <f t="array" ref="S219">INDEX(GMWQ!$A$2:$LR$60,MATCH(1,(GMWQ!$LQ$2:$LQ$60=S$3)*(GMWQ!$LP$2:$LP$60=S$4)*(GMWQ!$LR$2:$LR$60=S$1),0),$B219-1966)</f>
        <v>302.93950000000001</v>
      </c>
      <c r="T219" s="7" cm="1">
        <f t="array" ref="T219">INDEX(GMWQ!$A$2:$LR$60,MATCH(1,(GMWQ!$LQ$2:$LQ$60=T$3)*(GMWQ!$LP$2:$LP$60=T$4)*(GMWQ!$LR$2:$LR$60=T$1),0),$B219-1966)</f>
        <v>78791.759999999995</v>
      </c>
      <c r="U219" s="7" cm="1">
        <f t="array" ref="U219">INDEX(GMWQ!$A$2:$LR$60,MATCH(1,(GMWQ!$LQ$2:$LQ$60=U$3)*(GMWQ!$LP$2:$LP$60=U$4)*(GMWQ!$LR$2:$LR$60=U$1),0),$B219-1966)</f>
        <v>12462.88</v>
      </c>
      <c r="V219" s="7" cm="1">
        <f t="array" ref="V219">INDEX(GMWQ!$A$2:$LR$60,MATCH(1,(GMWQ!$LQ$2:$LQ$60=V$3)*(GMWQ!$LP$2:$LP$60=V$4)*(GMWQ!$LR$2:$LR$60=V$1),0),$B219-1966)</f>
        <v>1.532879E-3</v>
      </c>
      <c r="W219" s="7" cm="1">
        <f t="array" ref="W219">INDEX(GMWQ!$A$2:$LR$60,MATCH(1,(GMWQ!$LQ$2:$LQ$60=W$3)*(GMWQ!$LP$2:$LP$60=W$4)*(GMWQ!$LR$2:$LR$60=W$1),0),$B219-1966)</f>
        <v>9.7794399999999992</v>
      </c>
      <c r="X219" s="7" cm="1">
        <f t="array" ref="X219">INDEX(GMWQ!$A$2:$LR$60,MATCH(1,(GMWQ!$LQ$2:$LQ$60=X$3)*(GMWQ!$LP$2:$LP$60=X$4)*(GMWQ!$LR$2:$LR$60=X$1),0),$B219-1966)</f>
        <v>5857285</v>
      </c>
      <c r="Y219" s="7" cm="1">
        <f t="array" ref="Y219">INDEX(GMWQ!$A$2:$LR$60,MATCH(1,(GMWQ!$LQ$2:$LQ$60=Y$3)*(GMWQ!$LP$2:$LP$60=Y$4)*(GMWQ!$LR$2:$LR$60=Y$1),0),$B219-1966)</f>
        <v>124.95</v>
      </c>
      <c r="Z219" s="7" cm="1">
        <f t="array" ref="Z219">INDEX(GMWQ!$A$2:$LR$60,MATCH(1,(GMWQ!$LQ$2:$LQ$60=Z$3)*(GMWQ!$LP$2:$LP$60=Z$4)*(GMWQ!$LR$2:$LR$60=Z$1),0),$B219-1966)</f>
        <v>588943.30000000005</v>
      </c>
      <c r="AA219" s="7" cm="1">
        <f t="array" ref="AA219">INDEX(GMWQ!$A$2:$LR$60,MATCH(1,(GMWQ!$LQ$2:$LQ$60=AA$3)*(GMWQ!$LP$2:$LP$60=AA$4)*(GMWQ!$LR$2:$LR$60=AA$1),0),$B219-1966)</f>
        <v>331912.09999999998</v>
      </c>
      <c r="AB219" s="7" cm="1">
        <f t="array" ref="AB219">INDEX(GMWQ!$A$2:$LR$60,MATCH(1,(GMWQ!$LQ$2:$LQ$60=AB$3)*(GMWQ!$LP$2:$LP$60=AB$4)*(GMWQ!$LR$2:$LR$60=AB$1),0),$B219-1966)</f>
        <v>284986.8</v>
      </c>
      <c r="AC219" s="7" cm="1">
        <f t="array" ref="AC219">INDEX(GMWQ!$A$2:$LR$60,MATCH(1,(GMWQ!$LQ$2:$LQ$60=AC$3)*(GMWQ!$LP$2:$LP$60=AC$4)*(GMWQ!$LR$2:$LR$60=AC$1),0),$B219-1966)</f>
        <v>24894.55</v>
      </c>
      <c r="AD219" s="7" cm="1">
        <f t="array" ref="AD219">INDEX(GMWQ!$A$2:$LR$60,MATCH(1,(GMWQ!$LQ$2:$LQ$60=AD$3)*(GMWQ!$LP$2:$LP$60=AD$4)*(GMWQ!$LR$2:$LR$60=AD$1),0),$B219-1966)</f>
        <v>16664.330000000002</v>
      </c>
      <c r="AE219" s="7" cm="1">
        <f t="array" ref="AE219">INDEX(GMWQ!$A$2:$LR$60,MATCH(1,(GMWQ!$LQ$2:$LQ$60=AE$3)*(GMWQ!$LP$2:$LP$60=AE$4)*(GMWQ!$LR$2:$LR$60=AE$1),0),$B219-1966)</f>
        <v>735821.9</v>
      </c>
      <c r="AF219" s="20" cm="1">
        <f t="array" ref="AF219">INDEX(GMWQ!$A$2:$LR$60,MATCH(1,(GMWQ!$LQ$2:$LQ$60=AF$3)*(GMWQ!$LP$2:$LP$60=AF$4)*(GMWQ!$LR$2:$LR$60=AF$1),0),$B219-1966)</f>
        <v>3.3476560000000002</v>
      </c>
      <c r="AG219" s="20" cm="1">
        <f t="array" ref="AG219">INDEX(GMWQ!$A$2:$LR$60,MATCH(1,(GMWQ!$LQ$2:$LQ$60=AG$3)*(GMWQ!$LP$2:$LP$60=AG$4)*(GMWQ!$LR$2:$LR$60=AG$1),0),$B219-1966)</f>
        <v>-3570.6860000000001</v>
      </c>
      <c r="AI219" s="23" cm="1">
        <f t="array" ref="AI219">INDEX(GMWQ!$A$2:$LR$60,MATCH(1,(GMWQ!$LQ$2:$LQ$60=AI$3)*(GMWQ!$LP$2:$LP$60=AI$4)*(GMWQ!$LR$2:$LR$60=AI$1),0),$B219-1966)</f>
        <v>482301.3</v>
      </c>
      <c r="AJ219" s="23" cm="1">
        <f t="array" ref="AJ219">INDEX(GMWQ!$A$2:$LR$60,MATCH(1,(GMWQ!$LQ$2:$LQ$60=AJ$3)*(GMWQ!$LP$2:$LP$60=AJ$4)*(GMWQ!$LR$2:$LR$60=AJ$1),0),$B219-1966)</f>
        <v>125.87220000000001</v>
      </c>
      <c r="AK219" s="23" cm="1">
        <f t="array" ref="AK219">INDEX(GMWQ!$A$2:$LR$60,MATCH(1,(GMWQ!$LQ$2:$LQ$60=AK$3)*(GMWQ!$LP$2:$LP$60=AK$4)*(GMWQ!$LR$2:$LR$60=AK$1),0),$B219-1966)</f>
        <v>303597.5</v>
      </c>
      <c r="AL219" s="23" cm="1">
        <f t="array" ref="AL219">INDEX(GMWQ!$A$2:$LR$60,MATCH(1,(GMWQ!$LQ$2:$LQ$60=AL$3)*(GMWQ!$LP$2:$LP$60=AL$4)*(GMWQ!$LR$2:$LR$60=AL$1),0),$B219-1966)</f>
        <v>10408.5</v>
      </c>
      <c r="AM219" s="23" cm="1">
        <f t="array" ref="AM219">INDEX(GMWQ!$A$2:$LR$60,MATCH(1,(GMWQ!$LQ$2:$LQ$60=AM$3)*(GMWQ!$LP$2:$LP$60=AM$4)*(GMWQ!$LR$2:$LR$60=AM$1),0),$B219-1966)</f>
        <v>29168.22</v>
      </c>
      <c r="AN219" s="23" cm="1">
        <f t="array" ref="AN219">INDEX(GMWQ!$A$2:$LR$60,MATCH(1,(GMWQ!$LQ$2:$LQ$60=AN$3)*(GMWQ!$LP$2:$LP$60=AN$4)*(GMWQ!$LR$2:$LR$60=AN$1),0),$B219-1966)</f>
        <v>84464.19</v>
      </c>
      <c r="AO219" s="23" cm="1">
        <f t="array" ref="AO219">INDEX(GMWQ!$A$2:$LR$60,MATCH(1,(GMWQ!$LQ$2:$LQ$60=AO$3)*(GMWQ!$LP$2:$LP$60=AO$4)*(GMWQ!$LR$2:$LR$60=AO$1),0),$B219-1966)</f>
        <v>20037.439999999999</v>
      </c>
      <c r="AP219" s="23" cm="1">
        <f t="array" ref="AP219">INDEX(GMWQ!$A$2:$LR$60,MATCH(1,(GMWQ!$LQ$2:$LQ$60=AP$3)*(GMWQ!$LP$2:$LP$60=AP$4)*(GMWQ!$LR$2:$LR$60=AP$1),0),$B219-1966)</f>
        <v>-3570.6860000000001</v>
      </c>
      <c r="AQ219" s="23" cm="1">
        <f t="array" ref="AQ219">INDEX(GMWQ!$A$2:$LR$60,MATCH(1,(GMWQ!$LQ$2:$LQ$60=AQ$3)*(GMWQ!$LP$2:$LP$60=AQ$4)*(GMWQ!$LR$2:$LR$60=AQ$1),0),$B219-1966)</f>
        <v>96068.2</v>
      </c>
      <c r="AR219" s="23" cm="1">
        <f t="array" ref="AR219">INDEX(GMWQ!$A$2:$LR$60,MATCH(1,(GMWQ!$LQ$2:$LQ$60=AR$3)*(GMWQ!$LP$2:$LP$60=AR$4)*(GMWQ!$LR$2:$LR$60=AR$1),0),$B219-1966)</f>
        <v>445006.9</v>
      </c>
      <c r="AS219" s="23" cm="1">
        <f t="array" ref="AS219">INDEX(GMWQ!$A$2:$LR$60,MATCH(1,(GMWQ!$LQ$2:$LQ$60=AS$3)*(GMWQ!$LP$2:$LP$60=AS$4)*(GMWQ!$LR$2:$LR$60=AS$1),0),$B219-1966)</f>
        <v>14797.69</v>
      </c>
      <c r="AT219" s="23" cm="1">
        <f t="array" ref="AT219">INDEX(GMWQ!$A$2:$LR$60,MATCH(1,(GMWQ!$LQ$2:$LQ$60=AT$3)*(GMWQ!$LP$2:$LP$60=AT$4)*(GMWQ!$LR$2:$LR$60=AT$1),0),$B219-1966)</f>
        <v>353538.7</v>
      </c>
      <c r="AU219" s="23" cm="1">
        <f t="array" ref="AU219">INDEX(GMWQ!$A$2:$LR$60,MATCH(1,(GMWQ!$LQ$2:$LQ$60=AU$3)*(GMWQ!$LP$2:$LP$60=AU$4)*(GMWQ!$LR$2:$LR$60=AU$1),0),$B219-1966)</f>
        <v>12581.35</v>
      </c>
    </row>
    <row r="220" spans="1:47" x14ac:dyDescent="0.35">
      <c r="B220" s="7">
        <f t="shared" si="4"/>
        <v>2186</v>
      </c>
      <c r="C220" s="7" cm="1">
        <f t="array" ref="C220">INDEX(GMWQ!$A$2:$LR$60,MATCH(1,(GMWQ!$LQ$2:$LQ$60=C$3)*(GMWQ!$LP$2:$LP$60=C$4)*(GMWQ!$LR$2:$LR$60=C$1),0),$B220-1966)</f>
        <v>591426.19999999995</v>
      </c>
      <c r="D220" s="7" cm="1">
        <f t="array" ref="D220">INDEX(GMWQ!$A$2:$LR$60,MATCH(1,(GMWQ!$LQ$2:$LQ$60=D$3)*(GMWQ!$LP$2:$LP$60=D$4)*(GMWQ!$LR$2:$LR$60=D$1),0),$B220-1966)</f>
        <v>720.64859999999999</v>
      </c>
      <c r="E220" s="7" cm="1">
        <f t="array" ref="E220">INDEX(GMWQ!$A$2:$LR$60,MATCH(1,(GMWQ!$LQ$2:$LQ$60=E$3)*(GMWQ!$LP$2:$LP$60=E$4)*(GMWQ!$LR$2:$LR$60=E$1),0),$B220-1966)</f>
        <v>138.96539999999999</v>
      </c>
      <c r="F220" s="7" cm="1">
        <f t="array" ref="F220">INDEX(GMWQ!$A$2:$LR$60,MATCH(1,(GMWQ!$LQ$2:$LQ$60=F$3)*(GMWQ!$LP$2:$LP$60=F$4)*(GMWQ!$LR$2:$LR$60=F$1),0),$B220-1966)</f>
        <v>306410.2</v>
      </c>
      <c r="G220" s="7" cm="1">
        <f t="array" ref="G220">INDEX(GMWQ!$A$2:$LR$60,MATCH(1,(GMWQ!$LQ$2:$LQ$60=G$3)*(GMWQ!$LP$2:$LP$60=G$4)*(GMWQ!$LR$2:$LR$60=G$1),0),$B220-1966)</f>
        <v>85479.67</v>
      </c>
      <c r="H220" s="7" cm="1">
        <f t="array" ref="H220">INDEX(GMWQ!$A$2:$LR$60,MATCH(1,(GMWQ!$LQ$2:$LQ$60=H$3)*(GMWQ!$LP$2:$LP$60=H$4)*(GMWQ!$LR$2:$LR$60=H$1),0),$B220-1966)</f>
        <v>20284.349999999999</v>
      </c>
      <c r="I220" s="7" cm="1">
        <f t="array" ref="I220">INDEX(GMWQ!$A$2:$LR$60,MATCH(1,(GMWQ!$LQ$2:$LQ$60=I$3)*(GMWQ!$LP$2:$LP$60=I$4)*(GMWQ!$LR$2:$LR$60=I$1),0),$B220-1966)</f>
        <v>126.5645</v>
      </c>
      <c r="J220" s="7" cm="1">
        <f t="array" ref="J220">INDEX(GMWQ!$A$2:$LR$60,MATCH(1,(GMWQ!$LQ$2:$LQ$60=J$3)*(GMWQ!$LP$2:$LP$60=J$4)*(GMWQ!$LR$2:$LR$60=J$1),0),$B220-1966)</f>
        <v>29238.78</v>
      </c>
      <c r="K220" s="7" cm="1">
        <f t="array" ref="K220">INDEX(GMWQ!$A$2:$LR$60,MATCH(1,(GMWQ!$LQ$2:$LQ$60=K$3)*(GMWQ!$LP$2:$LP$60=K$4)*(GMWQ!$LR$2:$LR$60=K$1),0),$B220-1966)</f>
        <v>3</v>
      </c>
      <c r="L220" s="7" cm="1">
        <f t="array" ref="L220">INDEX(GMWQ!$A$2:$LR$60,MATCH(1,(GMWQ!$LQ$2:$LQ$60=L$3)*(GMWQ!$LP$2:$LP$60=L$4)*(GMWQ!$LR$2:$LR$60=L$1),0),$B220-1966)</f>
        <v>3.7549190000000001</v>
      </c>
      <c r="M220" s="7" cm="1">
        <f t="array" ref="M220">INDEX(GMWQ!$A$2:$LR$60,MATCH(1,(GMWQ!$LQ$2:$LQ$60=M$3)*(GMWQ!$LP$2:$LP$60=M$4)*(GMWQ!$LR$2:$LR$60=M$1),0),$B220-1966)</f>
        <v>152.57910000000001</v>
      </c>
      <c r="N220" s="7" cm="1">
        <f t="array" ref="N220">INDEX(GMWQ!$A$2:$LR$60,MATCH(1,(GMWQ!$LQ$2:$LQ$60=N$3)*(GMWQ!$LP$2:$LP$60=N$4)*(GMWQ!$LR$2:$LR$60=N$1),0),$B220-1966)</f>
        <v>24812.04</v>
      </c>
      <c r="O220" s="7" cm="1">
        <f t="array" ref="O220">INDEX(GMWQ!$A$2:$LR$60,MATCH(1,(GMWQ!$LQ$2:$LQ$60=O$3)*(GMWQ!$LP$2:$LP$60=O$4)*(GMWQ!$LR$2:$LR$60=O$1),0),$B220-1966)</f>
        <v>20759.84</v>
      </c>
      <c r="P220" s="7" cm="1">
        <f t="array" ref="P220">INDEX(GMWQ!$A$2:$LR$60,MATCH(1,(GMWQ!$LQ$2:$LQ$60=P$3)*(GMWQ!$LP$2:$LP$60=P$4)*(GMWQ!$LR$2:$LR$60=P$1),0),$B220-1966)</f>
        <v>486304.1</v>
      </c>
      <c r="Q220" s="7" cm="1">
        <f t="array" ref="Q220">INDEX(GMWQ!$A$2:$LR$60,MATCH(1,(GMWQ!$LQ$2:$LQ$60=Q$3)*(GMWQ!$LP$2:$LP$60=Q$4)*(GMWQ!$LR$2:$LR$60=Q$1),0),$B220-1966)</f>
        <v>3.8892669999999998</v>
      </c>
      <c r="R220" s="7" cm="1">
        <f t="array" ref="R220">INDEX(GMWQ!$A$2:$LR$60,MATCH(1,(GMWQ!$LQ$2:$LQ$60=R$3)*(GMWQ!$LP$2:$LP$60=R$4)*(GMWQ!$LR$2:$LR$60=R$1),0),$B220-1966)</f>
        <v>206160.5</v>
      </c>
      <c r="S220" s="7" cm="1">
        <f t="array" ref="S220">INDEX(GMWQ!$A$2:$LR$60,MATCH(1,(GMWQ!$LQ$2:$LQ$60=S$3)*(GMWQ!$LP$2:$LP$60=S$4)*(GMWQ!$LR$2:$LR$60=S$1),0),$B220-1966)</f>
        <v>307.54309999999998</v>
      </c>
      <c r="T220" s="7" cm="1">
        <f t="array" ref="T220">INDEX(GMWQ!$A$2:$LR$60,MATCH(1,(GMWQ!$LQ$2:$LQ$60=T$3)*(GMWQ!$LP$2:$LP$60=T$4)*(GMWQ!$LR$2:$LR$60=T$1),0),$B220-1966)</f>
        <v>81142.38</v>
      </c>
      <c r="U220" s="7" cm="1">
        <f t="array" ref="U220">INDEX(GMWQ!$A$2:$LR$60,MATCH(1,(GMWQ!$LQ$2:$LQ$60=U$3)*(GMWQ!$LP$2:$LP$60=U$4)*(GMWQ!$LR$2:$LR$60=U$1),0),$B220-1966)</f>
        <v>13657.5</v>
      </c>
      <c r="V220" s="7" cm="1">
        <f t="array" ref="V220">INDEX(GMWQ!$A$2:$LR$60,MATCH(1,(GMWQ!$LQ$2:$LQ$60=V$3)*(GMWQ!$LP$2:$LP$60=V$4)*(GMWQ!$LR$2:$LR$60=V$1),0),$B220-1966)</f>
        <v>1.5062820000000001E-3</v>
      </c>
      <c r="W220" s="7" cm="1">
        <f t="array" ref="W220">INDEX(GMWQ!$A$2:$LR$60,MATCH(1,(GMWQ!$LQ$2:$LQ$60=W$3)*(GMWQ!$LP$2:$LP$60=W$4)*(GMWQ!$LR$2:$LR$60=W$1),0),$B220-1966)</f>
        <v>9.6992569999999994</v>
      </c>
      <c r="X220" s="7" cm="1">
        <f t="array" ref="X220">INDEX(GMWQ!$A$2:$LR$60,MATCH(1,(GMWQ!$LQ$2:$LQ$60=X$3)*(GMWQ!$LP$2:$LP$60=X$4)*(GMWQ!$LR$2:$LR$60=X$1),0),$B220-1966)</f>
        <v>5913473</v>
      </c>
      <c r="Y220" s="7" cm="1">
        <f t="array" ref="Y220">INDEX(GMWQ!$A$2:$LR$60,MATCH(1,(GMWQ!$LQ$2:$LQ$60=Y$3)*(GMWQ!$LP$2:$LP$60=Y$4)*(GMWQ!$LR$2:$LR$60=Y$1),0),$B220-1966)</f>
        <v>125.6123</v>
      </c>
      <c r="Z220" s="7" cm="1">
        <f t="array" ref="Z220">INDEX(GMWQ!$A$2:$LR$60,MATCH(1,(GMWQ!$LQ$2:$LQ$60=Z$3)*(GMWQ!$LP$2:$LP$60=Z$4)*(GMWQ!$LR$2:$LR$60=Z$1),0),$B220-1966)</f>
        <v>591626.30000000005</v>
      </c>
      <c r="AA220" s="7" cm="1">
        <f t="array" ref="AA220">INDEX(GMWQ!$A$2:$LR$60,MATCH(1,(GMWQ!$LQ$2:$LQ$60=AA$3)*(GMWQ!$LP$2:$LP$60=AA$4)*(GMWQ!$LR$2:$LR$60=AA$1),0),$B220-1966)</f>
        <v>295284</v>
      </c>
      <c r="AB220" s="7" cm="1">
        <f t="array" ref="AB220">INDEX(GMWQ!$A$2:$LR$60,MATCH(1,(GMWQ!$LQ$2:$LQ$60=AB$3)*(GMWQ!$LP$2:$LP$60=AB$4)*(GMWQ!$LR$2:$LR$60=AB$1),0),$B220-1966)</f>
        <v>290600.2</v>
      </c>
      <c r="AC220" s="7" cm="1">
        <f t="array" ref="AC220">INDEX(GMWQ!$A$2:$LR$60,MATCH(1,(GMWQ!$LQ$2:$LQ$60=AC$3)*(GMWQ!$LP$2:$LP$60=AC$4)*(GMWQ!$LR$2:$LR$60=AC$1),0),$B220-1966)</f>
        <v>11177.9</v>
      </c>
      <c r="AD220" s="7" cm="1">
        <f t="array" ref="AD220">INDEX(GMWQ!$A$2:$LR$60,MATCH(1,(GMWQ!$LQ$2:$LQ$60=AD$3)*(GMWQ!$LP$2:$LP$60=AD$4)*(GMWQ!$LR$2:$LR$60=AD$1),0),$B220-1966)</f>
        <v>17250.73</v>
      </c>
      <c r="AE220" s="7" cm="1">
        <f t="array" ref="AE220">INDEX(GMWQ!$A$2:$LR$60,MATCH(1,(GMWQ!$LQ$2:$LQ$60=AE$3)*(GMWQ!$LP$2:$LP$60=AE$4)*(GMWQ!$LR$2:$LR$60=AE$1),0),$B220-1966)</f>
        <v>742903.9</v>
      </c>
      <c r="AF220" s="20" cm="1">
        <f t="array" ref="AF220">INDEX(GMWQ!$A$2:$LR$60,MATCH(1,(GMWQ!$LQ$2:$LQ$60=AF$3)*(GMWQ!$LP$2:$LP$60=AF$4)*(GMWQ!$LR$2:$LR$60=AF$1),0),$B220-1966)</f>
        <v>3.1</v>
      </c>
      <c r="AG220" s="20" cm="1">
        <f t="array" ref="AG220">INDEX(GMWQ!$A$2:$LR$60,MATCH(1,(GMWQ!$LQ$2:$LQ$60=AG$3)*(GMWQ!$LP$2:$LP$60=AG$4)*(GMWQ!$LR$2:$LR$60=AG$1),0),$B220-1966)</f>
        <v>-4052.1950000000002</v>
      </c>
      <c r="AI220" s="23" cm="1">
        <f t="array" ref="AI220">INDEX(GMWQ!$A$2:$LR$60,MATCH(1,(GMWQ!$LQ$2:$LQ$60=AI$3)*(GMWQ!$LP$2:$LP$60=AI$4)*(GMWQ!$LR$2:$LR$60=AI$1),0),$B220-1966)</f>
        <v>486304.1</v>
      </c>
      <c r="AJ220" s="23" cm="1">
        <f t="array" ref="AJ220">INDEX(GMWQ!$A$2:$LR$60,MATCH(1,(GMWQ!$LQ$2:$LQ$60=AJ$3)*(GMWQ!$LP$2:$LP$60=AJ$4)*(GMWQ!$LR$2:$LR$60=AJ$1),0),$B220-1966)</f>
        <v>126.5645</v>
      </c>
      <c r="AK220" s="23" cm="1">
        <f t="array" ref="AK220">INDEX(GMWQ!$A$2:$LR$60,MATCH(1,(GMWQ!$LQ$2:$LQ$60=AK$3)*(GMWQ!$LP$2:$LP$60=AK$4)*(GMWQ!$LR$2:$LR$60=AK$1),0),$B220-1966)</f>
        <v>306410.2</v>
      </c>
      <c r="AL220" s="23" cm="1">
        <f t="array" ref="AL220">INDEX(GMWQ!$A$2:$LR$60,MATCH(1,(GMWQ!$LQ$2:$LQ$60=AL$3)*(GMWQ!$LP$2:$LP$60=AL$4)*(GMWQ!$LR$2:$LR$60=AL$1),0),$B220-1966)</f>
        <v>10479.58</v>
      </c>
      <c r="AM220" s="23" cm="1">
        <f t="array" ref="AM220">INDEX(GMWQ!$A$2:$LR$60,MATCH(1,(GMWQ!$LQ$2:$LQ$60=AM$3)*(GMWQ!$LP$2:$LP$60=AM$4)*(GMWQ!$LR$2:$LR$60=AM$1),0),$B220-1966)</f>
        <v>29238.78</v>
      </c>
      <c r="AN220" s="23" cm="1">
        <f t="array" ref="AN220">INDEX(GMWQ!$A$2:$LR$60,MATCH(1,(GMWQ!$LQ$2:$LQ$60=AN$3)*(GMWQ!$LP$2:$LP$60=AN$4)*(GMWQ!$LR$2:$LR$60=AN$1),0),$B220-1966)</f>
        <v>85479.67</v>
      </c>
      <c r="AO220" s="23" cm="1">
        <f t="array" ref="AO220">INDEX(GMWQ!$A$2:$LR$60,MATCH(1,(GMWQ!$LQ$2:$LQ$60=AO$3)*(GMWQ!$LP$2:$LP$60=AO$4)*(GMWQ!$LR$2:$LR$60=AO$1),0),$B220-1966)</f>
        <v>20284.349999999999</v>
      </c>
      <c r="AP220" s="23" cm="1">
        <f t="array" ref="AP220">INDEX(GMWQ!$A$2:$LR$60,MATCH(1,(GMWQ!$LQ$2:$LQ$60=AP$3)*(GMWQ!$LP$2:$LP$60=AP$4)*(GMWQ!$LR$2:$LR$60=AP$1),0),$B220-1966)</f>
        <v>-4052.1950000000002</v>
      </c>
      <c r="AQ220" s="23" cm="1">
        <f t="array" ref="AQ220">INDEX(GMWQ!$A$2:$LR$60,MATCH(1,(GMWQ!$LQ$2:$LQ$60=AQ$3)*(GMWQ!$LP$2:$LP$60=AQ$4)*(GMWQ!$LR$2:$LR$60=AQ$1),0),$B220-1966)</f>
        <v>97375.8</v>
      </c>
      <c r="AR220" s="23" cm="1">
        <f t="array" ref="AR220">INDEX(GMWQ!$A$2:$LR$60,MATCH(1,(GMWQ!$LQ$2:$LQ$60=AR$3)*(GMWQ!$LP$2:$LP$60=AR$4)*(GMWQ!$LR$2:$LR$60=AR$1),0),$B220-1966)</f>
        <v>449468.1</v>
      </c>
      <c r="AS220" s="23" cm="1">
        <f t="array" ref="AS220">INDEX(GMWQ!$A$2:$LR$60,MATCH(1,(GMWQ!$LQ$2:$LQ$60=AS$3)*(GMWQ!$LP$2:$LP$60=AS$4)*(GMWQ!$LR$2:$LR$60=AS$1),0),$B220-1966)</f>
        <v>14957</v>
      </c>
      <c r="AT220" s="23" cm="1">
        <f t="array" ref="AT220">INDEX(GMWQ!$A$2:$LR$60,MATCH(1,(GMWQ!$LQ$2:$LQ$60=AT$3)*(GMWQ!$LP$2:$LP$60=AT$4)*(GMWQ!$LR$2:$LR$60=AT$1),0),$B220-1966)</f>
        <v>355129.7</v>
      </c>
      <c r="AU220" s="23" cm="1">
        <f t="array" ref="AU220">INDEX(GMWQ!$A$2:$LR$60,MATCH(1,(GMWQ!$LQ$2:$LQ$60=AU$3)*(GMWQ!$LP$2:$LP$60=AU$4)*(GMWQ!$LR$2:$LR$60=AU$1),0),$B220-1966)</f>
        <v>12637.97</v>
      </c>
    </row>
    <row r="221" spans="1:47" x14ac:dyDescent="0.35">
      <c r="B221" s="7">
        <f t="shared" si="4"/>
        <v>2187</v>
      </c>
      <c r="C221" s="7" cm="1">
        <f t="array" ref="C221">INDEX(GMWQ!$A$2:$LR$60,MATCH(1,(GMWQ!$LQ$2:$LQ$60=C$3)*(GMWQ!$LP$2:$LP$60=C$4)*(GMWQ!$LR$2:$LR$60=C$1),0),$B221-1966)</f>
        <v>593969.30000000005</v>
      </c>
      <c r="D221" s="7" cm="1">
        <f t="array" ref="D221">INDEX(GMWQ!$A$2:$LR$60,MATCH(1,(GMWQ!$LQ$2:$LQ$60=D$3)*(GMWQ!$LP$2:$LP$60=D$4)*(GMWQ!$LR$2:$LR$60=D$1),0),$B221-1966)</f>
        <v>725.62009999999998</v>
      </c>
      <c r="E221" s="7" cm="1">
        <f t="array" ref="E221">INDEX(GMWQ!$A$2:$LR$60,MATCH(1,(GMWQ!$LQ$2:$LQ$60=E$3)*(GMWQ!$LP$2:$LP$60=E$4)*(GMWQ!$LR$2:$LR$60=E$1),0),$B221-1966)</f>
        <v>139.70320000000001</v>
      </c>
      <c r="F221" s="7" cm="1">
        <f t="array" ref="F221">INDEX(GMWQ!$A$2:$LR$60,MATCH(1,(GMWQ!$LQ$2:$LQ$60=F$3)*(GMWQ!$LP$2:$LP$60=F$4)*(GMWQ!$LR$2:$LR$60=F$1),0),$B221-1966)</f>
        <v>309269.8</v>
      </c>
      <c r="G221" s="7" cm="1">
        <f t="array" ref="G221">INDEX(GMWQ!$A$2:$LR$60,MATCH(1,(GMWQ!$LQ$2:$LQ$60=G$3)*(GMWQ!$LP$2:$LP$60=G$4)*(GMWQ!$LR$2:$LR$60=G$1),0),$B221-1966)</f>
        <v>86658.38</v>
      </c>
      <c r="H221" s="7" cm="1">
        <f t="array" ref="H221">INDEX(GMWQ!$A$2:$LR$60,MATCH(1,(GMWQ!$LQ$2:$LQ$60=H$3)*(GMWQ!$LP$2:$LP$60=H$4)*(GMWQ!$LR$2:$LR$60=H$1),0),$B221-1966)</f>
        <v>20535.52</v>
      </c>
      <c r="I221" s="7" cm="1">
        <f t="array" ref="I221">INDEX(GMWQ!$A$2:$LR$60,MATCH(1,(GMWQ!$LQ$2:$LQ$60=I$3)*(GMWQ!$LP$2:$LP$60=I$4)*(GMWQ!$LR$2:$LR$60=I$1),0),$B221-1966)</f>
        <v>127.2289</v>
      </c>
      <c r="J221" s="7" cm="1">
        <f t="array" ref="J221">INDEX(GMWQ!$A$2:$LR$60,MATCH(1,(GMWQ!$LQ$2:$LQ$60=J$3)*(GMWQ!$LP$2:$LP$60=J$4)*(GMWQ!$LR$2:$LR$60=J$1),0),$B221-1966)</f>
        <v>29309.45</v>
      </c>
      <c r="K221" s="7" cm="1">
        <f t="array" ref="K221">INDEX(GMWQ!$A$2:$LR$60,MATCH(1,(GMWQ!$LQ$2:$LQ$60=K$3)*(GMWQ!$LP$2:$LP$60=K$4)*(GMWQ!$LR$2:$LR$60=K$1),0),$B221-1966)</f>
        <v>2.75</v>
      </c>
      <c r="L221" s="7" cm="1">
        <f t="array" ref="L221">INDEX(GMWQ!$A$2:$LR$60,MATCH(1,(GMWQ!$LQ$2:$LQ$60=L$3)*(GMWQ!$LP$2:$LP$60=L$4)*(GMWQ!$LR$2:$LR$60=L$1),0),$B221-1966)</f>
        <v>3.7501250000000002</v>
      </c>
      <c r="M221" s="7" cm="1">
        <f t="array" ref="M221">INDEX(GMWQ!$A$2:$LR$60,MATCH(1,(GMWQ!$LQ$2:$LQ$60=M$3)*(GMWQ!$LP$2:$LP$60=M$4)*(GMWQ!$LR$2:$LR$60=M$1),0),$B221-1966)</f>
        <v>154.3493</v>
      </c>
      <c r="N221" s="7" cm="1">
        <f t="array" ref="N221">INDEX(GMWQ!$A$2:$LR$60,MATCH(1,(GMWQ!$LQ$2:$LQ$60=N$3)*(GMWQ!$LP$2:$LP$60=N$4)*(GMWQ!$LR$2:$LR$60=N$1),0),$B221-1966)</f>
        <v>24693.33</v>
      </c>
      <c r="O221" s="7" cm="1">
        <f t="array" ref="O221">INDEX(GMWQ!$A$2:$LR$60,MATCH(1,(GMWQ!$LQ$2:$LQ$60=O$3)*(GMWQ!$LP$2:$LP$60=O$4)*(GMWQ!$LR$2:$LR$60=O$1),0),$B221-1966)</f>
        <v>20113.509999999998</v>
      </c>
      <c r="P221" s="7" cm="1">
        <f t="array" ref="P221">INDEX(GMWQ!$A$2:$LR$60,MATCH(1,(GMWQ!$LQ$2:$LQ$60=P$3)*(GMWQ!$LP$2:$LP$60=P$4)*(GMWQ!$LR$2:$LR$60=P$1),0),$B221-1966)</f>
        <v>490999.1</v>
      </c>
      <c r="Q221" s="7" cm="1">
        <f t="array" ref="Q221">INDEX(GMWQ!$A$2:$LR$60,MATCH(1,(GMWQ!$LQ$2:$LQ$60=Q$3)*(GMWQ!$LP$2:$LP$60=Q$4)*(GMWQ!$LR$2:$LR$60=Q$1),0),$B221-1966)</f>
        <v>3.9174799999999999</v>
      </c>
      <c r="R221" s="7" cm="1">
        <f t="array" ref="R221">INDEX(GMWQ!$A$2:$LR$60,MATCH(1,(GMWQ!$LQ$2:$LQ$60=R$3)*(GMWQ!$LP$2:$LP$60=R$4)*(GMWQ!$LR$2:$LR$60=R$1),0),$B221-1966)</f>
        <v>209803.3</v>
      </c>
      <c r="S221" s="7" cm="1">
        <f t="array" ref="S221">INDEX(GMWQ!$A$2:$LR$60,MATCH(1,(GMWQ!$LQ$2:$LQ$60=S$3)*(GMWQ!$LP$2:$LP$60=S$4)*(GMWQ!$LR$2:$LR$60=S$1),0),$B221-1966)</f>
        <v>312.97719999999998</v>
      </c>
      <c r="T221" s="7" cm="1">
        <f t="array" ref="T221">INDEX(GMWQ!$A$2:$LR$60,MATCH(1,(GMWQ!$LQ$2:$LQ$60=T$3)*(GMWQ!$LP$2:$LP$60=T$4)*(GMWQ!$LR$2:$LR$60=T$1),0),$B221-1966)</f>
        <v>83552.53</v>
      </c>
      <c r="U221" s="7" cm="1">
        <f t="array" ref="U221">INDEX(GMWQ!$A$2:$LR$60,MATCH(1,(GMWQ!$LQ$2:$LQ$60=U$3)*(GMWQ!$LP$2:$LP$60=U$4)*(GMWQ!$LR$2:$LR$60=U$1),0),$B221-1966)</f>
        <v>15337.27</v>
      </c>
      <c r="V221" s="7" cm="1">
        <f t="array" ref="V221">INDEX(GMWQ!$A$2:$LR$60,MATCH(1,(GMWQ!$LQ$2:$LQ$60=V$3)*(GMWQ!$LP$2:$LP$60=V$4)*(GMWQ!$LR$2:$LR$60=V$1),0),$B221-1966)</f>
        <v>1.4847300000000001E-3</v>
      </c>
      <c r="W221" s="7" cm="1">
        <f t="array" ref="W221">INDEX(GMWQ!$A$2:$LR$60,MATCH(1,(GMWQ!$LQ$2:$LQ$60=W$3)*(GMWQ!$LP$2:$LP$60=W$4)*(GMWQ!$LR$2:$LR$60=W$1),0),$B221-1966)</f>
        <v>9.5388750000000009</v>
      </c>
      <c r="X221" s="7" cm="1">
        <f t="array" ref="X221">INDEX(GMWQ!$A$2:$LR$60,MATCH(1,(GMWQ!$LQ$2:$LQ$60=X$3)*(GMWQ!$LP$2:$LP$60=X$4)*(GMWQ!$LR$2:$LR$60=X$1),0),$B221-1966)</f>
        <v>5961537</v>
      </c>
      <c r="Y221" s="7" cm="1">
        <f t="array" ref="Y221">INDEX(GMWQ!$A$2:$LR$60,MATCH(1,(GMWQ!$LQ$2:$LQ$60=Y$3)*(GMWQ!$LP$2:$LP$60=Y$4)*(GMWQ!$LR$2:$LR$60=Y$1),0),$B221-1966)</f>
        <v>126.25279999999999</v>
      </c>
      <c r="Z221" s="7" cm="1">
        <f t="array" ref="Z221">INDEX(GMWQ!$A$2:$LR$60,MATCH(1,(GMWQ!$LQ$2:$LQ$60=Z$3)*(GMWQ!$LP$2:$LP$60=Z$4)*(GMWQ!$LR$2:$LR$60=Z$1),0),$B221-1966)</f>
        <v>594342.9</v>
      </c>
      <c r="AA221" s="7" cm="1">
        <f t="array" ref="AA221">INDEX(GMWQ!$A$2:$LR$60,MATCH(1,(GMWQ!$LQ$2:$LQ$60=AA$3)*(GMWQ!$LP$2:$LP$60=AA$4)*(GMWQ!$LR$2:$LR$60=AA$1),0),$B221-1966)</f>
        <v>309633.3</v>
      </c>
      <c r="AB221" s="7" cm="1">
        <f t="array" ref="AB221">INDEX(GMWQ!$A$2:$LR$60,MATCH(1,(GMWQ!$LQ$2:$LQ$60=AB$3)*(GMWQ!$LP$2:$LP$60=AB$4)*(GMWQ!$LR$2:$LR$60=AB$1),0),$B221-1966)</f>
        <v>293129</v>
      </c>
      <c r="AC221" s="7" cm="1">
        <f t="array" ref="AC221">INDEX(GMWQ!$A$2:$LR$60,MATCH(1,(GMWQ!$LQ$2:$LQ$60=AC$3)*(GMWQ!$LP$2:$LP$60=AC$4)*(GMWQ!$LR$2:$LR$60=AC$1),0),$B221-1966)</f>
        <v>12726.04</v>
      </c>
      <c r="AD221" s="7" cm="1">
        <f t="array" ref="AD221">INDEX(GMWQ!$A$2:$LR$60,MATCH(1,(GMWQ!$LQ$2:$LQ$60=AD$3)*(GMWQ!$LP$2:$LP$60=AD$4)*(GMWQ!$LR$2:$LR$60=AD$1),0),$B221-1966)</f>
        <v>17250.73</v>
      </c>
      <c r="AE221" s="7" cm="1">
        <f t="array" ref="AE221">INDEX(GMWQ!$A$2:$LR$60,MATCH(1,(GMWQ!$LQ$2:$LQ$60=AE$3)*(GMWQ!$LP$2:$LP$60=AE$4)*(GMWQ!$LR$2:$LR$60=AE$1),0),$B221-1966)</f>
        <v>749903</v>
      </c>
      <c r="AF221" s="20" cm="1">
        <f t="array" ref="AF221">INDEX(GMWQ!$A$2:$LR$60,MATCH(1,(GMWQ!$LQ$2:$LQ$60=AF$3)*(GMWQ!$LP$2:$LP$60=AF$4)*(GMWQ!$LR$2:$LR$60=AF$1),0),$B221-1966)</f>
        <v>2.8484850000000002</v>
      </c>
      <c r="AG221" s="20" cm="1">
        <f t="array" ref="AG221">INDEX(GMWQ!$A$2:$LR$60,MATCH(1,(GMWQ!$LQ$2:$LQ$60=AG$3)*(GMWQ!$LP$2:$LP$60=AG$4)*(GMWQ!$LR$2:$LR$60=AG$1),0),$B221-1966)</f>
        <v>-4579.82</v>
      </c>
      <c r="AI221" s="23" cm="1">
        <f t="array" ref="AI221">INDEX(GMWQ!$A$2:$LR$60,MATCH(1,(GMWQ!$LQ$2:$LQ$60=AI$3)*(GMWQ!$LP$2:$LP$60=AI$4)*(GMWQ!$LR$2:$LR$60=AI$1),0),$B221-1966)</f>
        <v>490999.1</v>
      </c>
      <c r="AJ221" s="23" cm="1">
        <f t="array" ref="AJ221">INDEX(GMWQ!$A$2:$LR$60,MATCH(1,(GMWQ!$LQ$2:$LQ$60=AJ$3)*(GMWQ!$LP$2:$LP$60=AJ$4)*(GMWQ!$LR$2:$LR$60=AJ$1),0),$B221-1966)</f>
        <v>127.2289</v>
      </c>
      <c r="AK221" s="23" cm="1">
        <f t="array" ref="AK221">INDEX(GMWQ!$A$2:$LR$60,MATCH(1,(GMWQ!$LQ$2:$LQ$60=AK$3)*(GMWQ!$LP$2:$LP$60=AK$4)*(GMWQ!$LR$2:$LR$60=AK$1),0),$B221-1966)</f>
        <v>309269.8</v>
      </c>
      <c r="AL221" s="23" cm="1">
        <f t="array" ref="AL221">INDEX(GMWQ!$A$2:$LR$60,MATCH(1,(GMWQ!$LQ$2:$LQ$60=AL$3)*(GMWQ!$LP$2:$LP$60=AL$4)*(GMWQ!$LR$2:$LR$60=AL$1),0),$B221-1966)</f>
        <v>10551.88</v>
      </c>
      <c r="AM221" s="23" cm="1">
        <f t="array" ref="AM221">INDEX(GMWQ!$A$2:$LR$60,MATCH(1,(GMWQ!$LQ$2:$LQ$60=AM$3)*(GMWQ!$LP$2:$LP$60=AM$4)*(GMWQ!$LR$2:$LR$60=AM$1),0),$B221-1966)</f>
        <v>29309.45</v>
      </c>
      <c r="AN221" s="23" cm="1">
        <f t="array" ref="AN221">INDEX(GMWQ!$A$2:$LR$60,MATCH(1,(GMWQ!$LQ$2:$LQ$60=AN$3)*(GMWQ!$LP$2:$LP$60=AN$4)*(GMWQ!$LR$2:$LR$60=AN$1),0),$B221-1966)</f>
        <v>86658.38</v>
      </c>
      <c r="AO221" s="23" cm="1">
        <f t="array" ref="AO221">INDEX(GMWQ!$A$2:$LR$60,MATCH(1,(GMWQ!$LQ$2:$LQ$60=AO$3)*(GMWQ!$LP$2:$LP$60=AO$4)*(GMWQ!$LR$2:$LR$60=AO$1),0),$B221-1966)</f>
        <v>20535.52</v>
      </c>
      <c r="AP221" s="23" cm="1">
        <f t="array" ref="AP221">INDEX(GMWQ!$A$2:$LR$60,MATCH(1,(GMWQ!$LQ$2:$LQ$60=AP$3)*(GMWQ!$LP$2:$LP$60=AP$4)*(GMWQ!$LR$2:$LR$60=AP$1),0),$B221-1966)</f>
        <v>-4579.82</v>
      </c>
      <c r="AQ221" s="23" cm="1">
        <f t="array" ref="AQ221">INDEX(GMWQ!$A$2:$LR$60,MATCH(1,(GMWQ!$LQ$2:$LQ$60=AQ$3)*(GMWQ!$LP$2:$LP$60=AQ$4)*(GMWQ!$LR$2:$LR$60=AQ$1),0),$B221-1966)</f>
        <v>98844.37</v>
      </c>
      <c r="AR221" s="23" cm="1">
        <f t="array" ref="AR221">INDEX(GMWQ!$A$2:$LR$60,MATCH(1,(GMWQ!$LQ$2:$LQ$60=AR$3)*(GMWQ!$LP$2:$LP$60=AR$4)*(GMWQ!$LR$2:$LR$60=AR$1),0),$B221-1966)</f>
        <v>453838.2</v>
      </c>
      <c r="AS221" s="23" cm="1">
        <f t="array" ref="AS221">INDEX(GMWQ!$A$2:$LR$60,MATCH(1,(GMWQ!$LQ$2:$LQ$60=AS$3)*(GMWQ!$LP$2:$LP$60=AS$4)*(GMWQ!$LR$2:$LR$60=AS$1),0),$B221-1966)</f>
        <v>15112.8</v>
      </c>
      <c r="AT221" s="23" cm="1">
        <f t="array" ref="AT221">INDEX(GMWQ!$A$2:$LR$60,MATCH(1,(GMWQ!$LQ$2:$LQ$60=AT$3)*(GMWQ!$LP$2:$LP$60=AT$4)*(GMWQ!$LR$2:$LR$60=AT$1),0),$B221-1966)</f>
        <v>356710</v>
      </c>
      <c r="AU221" s="23" cm="1">
        <f t="array" ref="AU221">INDEX(GMWQ!$A$2:$LR$60,MATCH(1,(GMWQ!$LQ$2:$LQ$60=AU$3)*(GMWQ!$LP$2:$LP$60=AU$4)*(GMWQ!$LR$2:$LR$60=AU$1),0),$B221-1966)</f>
        <v>12694.21</v>
      </c>
    </row>
    <row r="222" spans="1:47" x14ac:dyDescent="0.35">
      <c r="B222" s="7">
        <f t="shared" si="4"/>
        <v>2188</v>
      </c>
      <c r="C222" s="7" cm="1">
        <f t="array" ref="C222">INDEX(GMWQ!$A$2:$LR$60,MATCH(1,(GMWQ!$LQ$2:$LQ$60=C$3)*(GMWQ!$LP$2:$LP$60=C$4)*(GMWQ!$LR$2:$LR$60=C$1),0),$B222-1966)</f>
        <v>596523.30000000005</v>
      </c>
      <c r="D222" s="7" cm="1">
        <f t="array" ref="D222">INDEX(GMWQ!$A$2:$LR$60,MATCH(1,(GMWQ!$LQ$2:$LQ$60=D$3)*(GMWQ!$LP$2:$LP$60=D$4)*(GMWQ!$LR$2:$LR$60=D$1),0),$B222-1966)</f>
        <v>730.6078</v>
      </c>
      <c r="E222" s="7" cm="1">
        <f t="array" ref="E222">INDEX(GMWQ!$A$2:$LR$60,MATCH(1,(GMWQ!$LQ$2:$LQ$60=E$3)*(GMWQ!$LP$2:$LP$60=E$4)*(GMWQ!$LR$2:$LR$60=E$1),0),$B222-1966)</f>
        <v>140.39699999999999</v>
      </c>
      <c r="F222" s="7" cm="1">
        <f t="array" ref="F222">INDEX(GMWQ!$A$2:$LR$60,MATCH(1,(GMWQ!$LQ$2:$LQ$60=F$3)*(GMWQ!$LP$2:$LP$60=F$4)*(GMWQ!$LR$2:$LR$60=F$1),0),$B222-1966)</f>
        <v>312193.2</v>
      </c>
      <c r="G222" s="7" cm="1">
        <f t="array" ref="G222">INDEX(GMWQ!$A$2:$LR$60,MATCH(1,(GMWQ!$LQ$2:$LQ$60=G$3)*(GMWQ!$LP$2:$LP$60=G$4)*(GMWQ!$LR$2:$LR$60=G$1),0),$B222-1966)</f>
        <v>87909.54</v>
      </c>
      <c r="H222" s="7" cm="1">
        <f t="array" ref="H222">INDEX(GMWQ!$A$2:$LR$60,MATCH(1,(GMWQ!$LQ$2:$LQ$60=H$3)*(GMWQ!$LP$2:$LP$60=H$4)*(GMWQ!$LR$2:$LR$60=H$1),0),$B222-1966)</f>
        <v>20792.07</v>
      </c>
      <c r="I222" s="7" cm="1">
        <f t="array" ref="I222">INDEX(GMWQ!$A$2:$LR$60,MATCH(1,(GMWQ!$LQ$2:$LQ$60=I$3)*(GMWQ!$LP$2:$LP$60=I$4)*(GMWQ!$LR$2:$LR$60=I$1),0),$B222-1966)</f>
        <v>127.8969</v>
      </c>
      <c r="J222" s="7" cm="1">
        <f t="array" ref="J222">INDEX(GMWQ!$A$2:$LR$60,MATCH(1,(GMWQ!$LQ$2:$LQ$60=J$3)*(GMWQ!$LP$2:$LP$60=J$4)*(GMWQ!$LR$2:$LR$60=J$1),0),$B222-1966)</f>
        <v>29384.52</v>
      </c>
      <c r="K222" s="7" cm="1">
        <f t="array" ref="K222">INDEX(GMWQ!$A$2:$LR$60,MATCH(1,(GMWQ!$LQ$2:$LQ$60=K$3)*(GMWQ!$LP$2:$LP$60=K$4)*(GMWQ!$LR$2:$LR$60=K$1),0),$B222-1966)</f>
        <v>2.5</v>
      </c>
      <c r="L222" s="7" cm="1">
        <f t="array" ref="L222">INDEX(GMWQ!$A$2:$LR$60,MATCH(1,(GMWQ!$LQ$2:$LQ$60=L$3)*(GMWQ!$LP$2:$LP$60=L$4)*(GMWQ!$LR$2:$LR$60=L$1),0),$B222-1966)</f>
        <v>3.750127</v>
      </c>
      <c r="M222" s="7" cm="1">
        <f t="array" ref="M222">INDEX(GMWQ!$A$2:$LR$60,MATCH(1,(GMWQ!$LQ$2:$LQ$60=M$3)*(GMWQ!$LP$2:$LP$60=M$4)*(GMWQ!$LR$2:$LR$60=M$1),0),$B222-1966)</f>
        <v>156.18639999999999</v>
      </c>
      <c r="N222" s="7" cm="1">
        <f t="array" ref="N222">INDEX(GMWQ!$A$2:$LR$60,MATCH(1,(GMWQ!$LQ$2:$LQ$60=N$3)*(GMWQ!$LP$2:$LP$60=N$4)*(GMWQ!$LR$2:$LR$60=N$1),0),$B222-1966)</f>
        <v>24540.22</v>
      </c>
      <c r="O222" s="7" cm="1">
        <f t="array" ref="O222">INDEX(GMWQ!$A$2:$LR$60,MATCH(1,(GMWQ!$LQ$2:$LQ$60=O$3)*(GMWQ!$LP$2:$LP$60=O$4)*(GMWQ!$LR$2:$LR$60=O$1),0),$B222-1966)</f>
        <v>19442.13</v>
      </c>
      <c r="P222" s="7" cm="1">
        <f t="array" ref="P222">INDEX(GMWQ!$A$2:$LR$60,MATCH(1,(GMWQ!$LQ$2:$LQ$60=P$3)*(GMWQ!$LP$2:$LP$60=P$4)*(GMWQ!$LR$2:$LR$60=P$1),0),$B222-1966)</f>
        <v>495570.5</v>
      </c>
      <c r="Q222" s="7" cm="1">
        <f t="array" ref="Q222">INDEX(GMWQ!$A$2:$LR$60,MATCH(1,(GMWQ!$LQ$2:$LQ$60=Q$3)*(GMWQ!$LP$2:$LP$60=Q$4)*(GMWQ!$LR$2:$LR$60=Q$1),0),$B222-1966)</f>
        <v>3.93405</v>
      </c>
      <c r="R222" s="7" cm="1">
        <f t="array" ref="R222">INDEX(GMWQ!$A$2:$LR$60,MATCH(1,(GMWQ!$LQ$2:$LQ$60=R$3)*(GMWQ!$LP$2:$LP$60=R$4)*(GMWQ!$LR$2:$LR$60=R$1),0),$B222-1966)</f>
        <v>213374.5</v>
      </c>
      <c r="S222" s="7" cm="1">
        <f t="array" ref="S222">INDEX(GMWQ!$A$2:$LR$60,MATCH(1,(GMWQ!$LQ$2:$LQ$60=S$3)*(GMWQ!$LP$2:$LP$60=S$4)*(GMWQ!$LR$2:$LR$60=S$1),0),$B222-1966)</f>
        <v>318.30450000000002</v>
      </c>
      <c r="T222" s="7" cm="1">
        <f t="array" ref="T222">INDEX(GMWQ!$A$2:$LR$60,MATCH(1,(GMWQ!$LQ$2:$LQ$60=T$3)*(GMWQ!$LP$2:$LP$60=T$4)*(GMWQ!$LR$2:$LR$60=T$1),0),$B222-1966)</f>
        <v>85876.31</v>
      </c>
      <c r="U222" s="7" cm="1">
        <f t="array" ref="U222">INDEX(GMWQ!$A$2:$LR$60,MATCH(1,(GMWQ!$LQ$2:$LQ$60=U$3)*(GMWQ!$LP$2:$LP$60=U$4)*(GMWQ!$LR$2:$LR$60=U$1),0),$B222-1966)</f>
        <v>17003.68</v>
      </c>
      <c r="V222" s="7" cm="1">
        <f t="array" ref="V222">INDEX(GMWQ!$A$2:$LR$60,MATCH(1,(GMWQ!$LQ$2:$LQ$60=V$3)*(GMWQ!$LP$2:$LP$60=V$4)*(GMWQ!$LR$2:$LR$60=V$1),0),$B222-1966)</f>
        <v>1.4706179999999999E-3</v>
      </c>
      <c r="W222" s="7" cm="1">
        <f t="array" ref="W222">INDEX(GMWQ!$A$2:$LR$60,MATCH(1,(GMWQ!$LQ$2:$LQ$60=W$3)*(GMWQ!$LP$2:$LP$60=W$4)*(GMWQ!$LR$2:$LR$60=W$1),0),$B222-1966)</f>
        <v>9.3813340000000007</v>
      </c>
      <c r="X222" s="7" cm="1">
        <f t="array" ref="X222">INDEX(GMWQ!$A$2:$LR$60,MATCH(1,(GMWQ!$LQ$2:$LQ$60=X$3)*(GMWQ!$LP$2:$LP$60=X$4)*(GMWQ!$LR$2:$LR$60=X$1),0),$B222-1966)</f>
        <v>5996719</v>
      </c>
      <c r="Y222" s="7" cm="1">
        <f t="array" ref="Y222">INDEX(GMWQ!$A$2:$LR$60,MATCH(1,(GMWQ!$LQ$2:$LQ$60=Y$3)*(GMWQ!$LP$2:$LP$60=Y$4)*(GMWQ!$LR$2:$LR$60=Y$1),0),$B222-1966)</f>
        <v>126.8968</v>
      </c>
      <c r="Z222" s="7" cm="1">
        <f t="array" ref="Z222">INDEX(GMWQ!$A$2:$LR$60,MATCH(1,(GMWQ!$LQ$2:$LQ$60=Z$3)*(GMWQ!$LP$2:$LP$60=Z$4)*(GMWQ!$LR$2:$LR$60=Z$1),0),$B222-1966)</f>
        <v>597132.5</v>
      </c>
      <c r="AA222" s="7" cm="1">
        <f t="array" ref="AA222">INDEX(GMWQ!$A$2:$LR$60,MATCH(1,(GMWQ!$LQ$2:$LQ$60=AA$3)*(GMWQ!$LP$2:$LP$60=AA$4)*(GMWQ!$LR$2:$LR$60=AA$1),0),$B222-1966)</f>
        <v>297510.2</v>
      </c>
      <c r="AB222" s="7" cm="1">
        <f t="array" ref="AB222">INDEX(GMWQ!$A$2:$LR$60,MATCH(1,(GMWQ!$LQ$2:$LQ$60=AB$3)*(GMWQ!$LP$2:$LP$60=AB$4)*(GMWQ!$LR$2:$LR$60=AB$1),0),$B222-1966)</f>
        <v>295560.3</v>
      </c>
      <c r="AC222" s="7" cm="1">
        <f t="array" ref="AC222">INDEX(GMWQ!$A$2:$LR$60,MATCH(1,(GMWQ!$LQ$2:$LQ$60=AC$3)*(GMWQ!$LP$2:$LP$60=AC$4)*(GMWQ!$LR$2:$LR$60=AC$1),0),$B222-1966)</f>
        <v>13576.55</v>
      </c>
      <c r="AD222" s="7" cm="1">
        <f t="array" ref="AD222">INDEX(GMWQ!$A$2:$LR$60,MATCH(1,(GMWQ!$LQ$2:$LQ$60=AD$3)*(GMWQ!$LP$2:$LP$60=AD$4)*(GMWQ!$LR$2:$LR$60=AD$1),0),$B222-1966)</f>
        <v>17250.73</v>
      </c>
      <c r="AE222" s="7" cm="1">
        <f t="array" ref="AE222">INDEX(GMWQ!$A$2:$LR$60,MATCH(1,(GMWQ!$LQ$2:$LQ$60=AE$3)*(GMWQ!$LP$2:$LP$60=AE$4)*(GMWQ!$LR$2:$LR$60=AE$1),0),$B222-1966)</f>
        <v>756968.7</v>
      </c>
      <c r="AF222" s="20" cm="1">
        <f t="array" ref="AF222">INDEX(GMWQ!$A$2:$LR$60,MATCH(1,(GMWQ!$LQ$2:$LQ$60=AF$3)*(GMWQ!$LP$2:$LP$60=AF$4)*(GMWQ!$LR$2:$LR$60=AF$1),0),$B222-1966)</f>
        <v>2.594697</v>
      </c>
      <c r="AG222" s="20" cm="1">
        <f t="array" ref="AG222">INDEX(GMWQ!$A$2:$LR$60,MATCH(1,(GMWQ!$LQ$2:$LQ$60=AG$3)*(GMWQ!$LP$2:$LP$60=AG$4)*(GMWQ!$LR$2:$LR$60=AG$1),0),$B222-1966)</f>
        <v>-5098.0950000000003</v>
      </c>
      <c r="AI222" s="23" cm="1">
        <f t="array" ref="AI222">INDEX(GMWQ!$A$2:$LR$60,MATCH(1,(GMWQ!$LQ$2:$LQ$60=AI$3)*(GMWQ!$LP$2:$LP$60=AI$4)*(GMWQ!$LR$2:$LR$60=AI$1),0),$B222-1966)</f>
        <v>495570.5</v>
      </c>
      <c r="AJ222" s="23" cm="1">
        <f t="array" ref="AJ222">INDEX(GMWQ!$A$2:$LR$60,MATCH(1,(GMWQ!$LQ$2:$LQ$60=AJ$3)*(GMWQ!$LP$2:$LP$60=AJ$4)*(GMWQ!$LR$2:$LR$60=AJ$1),0),$B222-1966)</f>
        <v>127.8969</v>
      </c>
      <c r="AK222" s="23" cm="1">
        <f t="array" ref="AK222">INDEX(GMWQ!$A$2:$LR$60,MATCH(1,(GMWQ!$LQ$2:$LQ$60=AK$3)*(GMWQ!$LP$2:$LP$60=AK$4)*(GMWQ!$LR$2:$LR$60=AK$1),0),$B222-1966)</f>
        <v>312193.2</v>
      </c>
      <c r="AL222" s="23" cm="1">
        <f t="array" ref="AL222">INDEX(GMWQ!$A$2:$LR$60,MATCH(1,(GMWQ!$LQ$2:$LQ$60=AL$3)*(GMWQ!$LP$2:$LP$60=AL$4)*(GMWQ!$LR$2:$LR$60=AL$1),0),$B222-1966)</f>
        <v>10624.41</v>
      </c>
      <c r="AM222" s="23" cm="1">
        <f t="array" ref="AM222">INDEX(GMWQ!$A$2:$LR$60,MATCH(1,(GMWQ!$LQ$2:$LQ$60=AM$3)*(GMWQ!$LP$2:$LP$60=AM$4)*(GMWQ!$LR$2:$LR$60=AM$1),0),$B222-1966)</f>
        <v>29384.52</v>
      </c>
      <c r="AN222" s="23" cm="1">
        <f t="array" ref="AN222">INDEX(GMWQ!$A$2:$LR$60,MATCH(1,(GMWQ!$LQ$2:$LQ$60=AN$3)*(GMWQ!$LP$2:$LP$60=AN$4)*(GMWQ!$LR$2:$LR$60=AN$1),0),$B222-1966)</f>
        <v>87909.54</v>
      </c>
      <c r="AO222" s="23" cm="1">
        <f t="array" ref="AO222">INDEX(GMWQ!$A$2:$LR$60,MATCH(1,(GMWQ!$LQ$2:$LQ$60=AO$3)*(GMWQ!$LP$2:$LP$60=AO$4)*(GMWQ!$LR$2:$LR$60=AO$1),0),$B222-1966)</f>
        <v>20792.07</v>
      </c>
      <c r="AP222" s="23" cm="1">
        <f t="array" ref="AP222">INDEX(GMWQ!$A$2:$LR$60,MATCH(1,(GMWQ!$LQ$2:$LQ$60=AP$3)*(GMWQ!$LP$2:$LP$60=AP$4)*(GMWQ!$LR$2:$LR$60=AP$1),0),$B222-1966)</f>
        <v>-5098.0950000000003</v>
      </c>
      <c r="AQ222" s="23" cm="1">
        <f t="array" ref="AQ222">INDEX(GMWQ!$A$2:$LR$60,MATCH(1,(GMWQ!$LQ$2:$LQ$60=AQ$3)*(GMWQ!$LP$2:$LP$60=AQ$4)*(GMWQ!$LR$2:$LR$60=AQ$1),0),$B222-1966)</f>
        <v>100322.4</v>
      </c>
      <c r="AR222" s="23" cm="1">
        <f t="array" ref="AR222">INDEX(GMWQ!$A$2:$LR$60,MATCH(1,(GMWQ!$LQ$2:$LQ$60=AR$3)*(GMWQ!$LP$2:$LP$60=AR$4)*(GMWQ!$LR$2:$LR$60=AR$1),0),$B222-1966)</f>
        <v>458274</v>
      </c>
      <c r="AS222" s="23" cm="1">
        <f t="array" ref="AS222">INDEX(GMWQ!$A$2:$LR$60,MATCH(1,(GMWQ!$LQ$2:$LQ$60=AS$3)*(GMWQ!$LP$2:$LP$60=AS$4)*(GMWQ!$LR$2:$LR$60=AS$1),0),$B222-1966)</f>
        <v>15270.51</v>
      </c>
      <c r="AT222" s="23" cm="1">
        <f t="array" ref="AT222">INDEX(GMWQ!$A$2:$LR$60,MATCH(1,(GMWQ!$LQ$2:$LQ$60=AT$3)*(GMWQ!$LP$2:$LP$60=AT$4)*(GMWQ!$LR$2:$LR$60=AT$1),0),$B222-1966)</f>
        <v>358315.2</v>
      </c>
      <c r="AU222" s="23" cm="1">
        <f t="array" ref="AU222">INDEX(GMWQ!$A$2:$LR$60,MATCH(1,(GMWQ!$LQ$2:$LQ$60=AU$3)*(GMWQ!$LP$2:$LP$60=AU$4)*(GMWQ!$LR$2:$LR$60=AU$1),0),$B222-1966)</f>
        <v>12751.33</v>
      </c>
    </row>
    <row r="223" spans="1:47" x14ac:dyDescent="0.35">
      <c r="A223" s="7">
        <v>2027</v>
      </c>
      <c r="B223" s="7">
        <f t="shared" si="4"/>
        <v>2189</v>
      </c>
      <c r="C223" s="7" cm="1">
        <f t="array" ref="C223">INDEX(GMWQ!$A$2:$LR$60,MATCH(1,(GMWQ!$LQ$2:$LQ$60=C$3)*(GMWQ!$LP$2:$LP$60=C$4)*(GMWQ!$LR$2:$LR$60=C$1),0),$B223-1966)</f>
        <v>599088.4</v>
      </c>
      <c r="D223" s="7" cm="1">
        <f t="array" ref="D223">INDEX(GMWQ!$A$2:$LR$60,MATCH(1,(GMWQ!$LQ$2:$LQ$60=D$3)*(GMWQ!$LP$2:$LP$60=D$4)*(GMWQ!$LR$2:$LR$60=D$1),0),$B223-1966)</f>
        <v>735.61789999999996</v>
      </c>
      <c r="E223" s="7" cm="1">
        <f t="array" ref="E223">INDEX(GMWQ!$A$2:$LR$60,MATCH(1,(GMWQ!$LQ$2:$LQ$60=E$3)*(GMWQ!$LP$2:$LP$60=E$4)*(GMWQ!$LR$2:$LR$60=E$1),0),$B223-1966)</f>
        <v>140.58320000000001</v>
      </c>
      <c r="F223" s="7" cm="1">
        <f t="array" ref="F223">INDEX(GMWQ!$A$2:$LR$60,MATCH(1,(GMWQ!$LQ$2:$LQ$60=F$3)*(GMWQ!$LP$2:$LP$60=F$4)*(GMWQ!$LR$2:$LR$60=F$1),0),$B223-1966)</f>
        <v>315139.3</v>
      </c>
      <c r="G223" s="7" cm="1">
        <f t="array" ref="G223">INDEX(GMWQ!$A$2:$LR$60,MATCH(1,(GMWQ!$LQ$2:$LQ$60=G$3)*(GMWQ!$LP$2:$LP$60=G$4)*(GMWQ!$LR$2:$LR$60=G$1),0),$B223-1966)</f>
        <v>89302.31</v>
      </c>
      <c r="H223" s="7" cm="1">
        <f t="array" ref="H223">INDEX(GMWQ!$A$2:$LR$60,MATCH(1,(GMWQ!$LQ$2:$LQ$60=H$3)*(GMWQ!$LP$2:$LP$60=H$4)*(GMWQ!$LR$2:$LR$60=H$1),0),$B223-1966)</f>
        <v>21051.3</v>
      </c>
      <c r="I223" s="7" cm="1">
        <f t="array" ref="I223">INDEX(GMWQ!$A$2:$LR$60,MATCH(1,(GMWQ!$LQ$2:$LQ$60=I$3)*(GMWQ!$LP$2:$LP$60=I$4)*(GMWQ!$LR$2:$LR$60=I$1),0),$B223-1966)</f>
        <v>128.56829999999999</v>
      </c>
      <c r="J223" s="7" cm="1">
        <f t="array" ref="J223">INDEX(GMWQ!$A$2:$LR$60,MATCH(1,(GMWQ!$LQ$2:$LQ$60=J$3)*(GMWQ!$LP$2:$LP$60=J$4)*(GMWQ!$LR$2:$LR$60=J$1),0),$B223-1966)</f>
        <v>29459.79</v>
      </c>
      <c r="K223" s="7" cm="1">
        <f t="array" ref="K223">INDEX(GMWQ!$A$2:$LR$60,MATCH(1,(GMWQ!$LQ$2:$LQ$60=K$3)*(GMWQ!$LP$2:$LP$60=K$4)*(GMWQ!$LR$2:$LR$60=K$1),0),$B223-1966)</f>
        <v>2.25</v>
      </c>
      <c r="L223" s="7" cm="1">
        <f t="array" ref="L223">INDEX(GMWQ!$A$2:$LR$60,MATCH(1,(GMWQ!$LQ$2:$LQ$60=L$3)*(GMWQ!$LP$2:$LP$60=L$4)*(GMWQ!$LR$2:$LR$60=L$1),0),$B223-1966)</f>
        <v>3.7501220000000002</v>
      </c>
      <c r="M223" s="7" cm="1">
        <f t="array" ref="M223">INDEX(GMWQ!$A$2:$LR$60,MATCH(1,(GMWQ!$LQ$2:$LQ$60=M$3)*(GMWQ!$LP$2:$LP$60=M$4)*(GMWQ!$LR$2:$LR$60=M$1),0),$B223-1966)</f>
        <v>158.03399999999999</v>
      </c>
      <c r="N223" s="7" cm="1">
        <f t="array" ref="N223">INDEX(GMWQ!$A$2:$LR$60,MATCH(1,(GMWQ!$LQ$2:$LQ$60=N$3)*(GMWQ!$LP$2:$LP$60=N$4)*(GMWQ!$LR$2:$LR$60=N$1),0),$B223-1966)</f>
        <v>24310.73</v>
      </c>
      <c r="O223" s="7" cm="1">
        <f t="array" ref="O223">INDEX(GMWQ!$A$2:$LR$60,MATCH(1,(GMWQ!$LQ$2:$LQ$60=O$3)*(GMWQ!$LP$2:$LP$60=O$4)*(GMWQ!$LR$2:$LR$60=O$1),0),$B223-1966)</f>
        <v>18774.84</v>
      </c>
      <c r="P223" s="7" cm="1">
        <f t="array" ref="P223">INDEX(GMWQ!$A$2:$LR$60,MATCH(1,(GMWQ!$LQ$2:$LQ$60=P$3)*(GMWQ!$LP$2:$LP$60=P$4)*(GMWQ!$LR$2:$LR$60=P$1),0),$B223-1966)</f>
        <v>500725.4</v>
      </c>
      <c r="Q223" s="7" cm="1">
        <f t="array" ref="Q223">INDEX(GMWQ!$A$2:$LR$60,MATCH(1,(GMWQ!$LQ$2:$LQ$60=Q$3)*(GMWQ!$LP$2:$LP$60=Q$4)*(GMWQ!$LR$2:$LR$60=Q$1),0),$B223-1966)</f>
        <v>3.928801</v>
      </c>
      <c r="R223" s="7" cm="1">
        <f t="array" ref="R223">INDEX(GMWQ!$A$2:$LR$60,MATCH(1,(GMWQ!$LQ$2:$LQ$60=R$3)*(GMWQ!$LP$2:$LP$60=R$4)*(GMWQ!$LR$2:$LR$60=R$1),0),$B223-1966)</f>
        <v>216573.5</v>
      </c>
      <c r="S223" s="7" cm="1">
        <f t="array" ref="S223">INDEX(GMWQ!$A$2:$LR$60,MATCH(1,(GMWQ!$LQ$2:$LQ$60=S$3)*(GMWQ!$LP$2:$LP$60=S$4)*(GMWQ!$LR$2:$LR$60=S$1),0),$B223-1966)</f>
        <v>323.07670000000002</v>
      </c>
      <c r="T223" s="7" cm="1">
        <f t="array" ref="T223">INDEX(GMWQ!$A$2:$LR$60,MATCH(1,(GMWQ!$LQ$2:$LQ$60=T$3)*(GMWQ!$LP$2:$LP$60=T$4)*(GMWQ!$LR$2:$LR$60=T$1),0),$B223-1966)</f>
        <v>88057.47</v>
      </c>
      <c r="U223" s="7" cm="1">
        <f t="array" ref="U223">INDEX(GMWQ!$A$2:$LR$60,MATCH(1,(GMWQ!$LQ$2:$LQ$60=U$3)*(GMWQ!$LP$2:$LP$60=U$4)*(GMWQ!$LR$2:$LR$60=U$1),0),$B223-1966)</f>
        <v>18506.89</v>
      </c>
      <c r="V223" s="7" cm="1">
        <f t="array" ref="V223">INDEX(GMWQ!$A$2:$LR$60,MATCH(1,(GMWQ!$LQ$2:$LQ$60=V$3)*(GMWQ!$LP$2:$LP$60=V$4)*(GMWQ!$LR$2:$LR$60=V$1),0),$B223-1966)</f>
        <v>1.456658E-3</v>
      </c>
      <c r="W223" s="7" cm="1">
        <f t="array" ref="W223">INDEX(GMWQ!$A$2:$LR$60,MATCH(1,(GMWQ!$LQ$2:$LQ$60=W$3)*(GMWQ!$LP$2:$LP$60=W$4)*(GMWQ!$LR$2:$LR$60=W$1),0),$B223-1966)</f>
        <v>9.1277120000000007</v>
      </c>
      <c r="X223" s="7" cm="1">
        <f t="array" ref="X223">INDEX(GMWQ!$A$2:$LR$60,MATCH(1,(GMWQ!$LQ$2:$LQ$60=X$3)*(GMWQ!$LP$2:$LP$60=X$4)*(GMWQ!$LR$2:$LR$60=X$1),0),$B223-1966)</f>
        <v>6069570</v>
      </c>
      <c r="Y223" s="7" cm="1">
        <f t="array" ref="Y223">INDEX(GMWQ!$A$2:$LR$60,MATCH(1,(GMWQ!$LQ$2:$LQ$60=Y$3)*(GMWQ!$LP$2:$LP$60=Y$4)*(GMWQ!$LR$2:$LR$60=Y$1),0),$B223-1966)</f>
        <v>127.5566</v>
      </c>
      <c r="Z223" s="7" cm="1">
        <f t="array" ref="Z223">INDEX(GMWQ!$A$2:$LR$60,MATCH(1,(GMWQ!$LQ$2:$LQ$60=Z$3)*(GMWQ!$LP$2:$LP$60=Z$4)*(GMWQ!$LR$2:$LR$60=Z$1),0),$B223-1966)</f>
        <v>599547.4</v>
      </c>
      <c r="AA223" s="7" cm="1">
        <f t="array" ref="AA223">INDEX(GMWQ!$A$2:$LR$60,MATCH(1,(GMWQ!$LQ$2:$LQ$60=AA$3)*(GMWQ!$LP$2:$LP$60=AA$4)*(GMWQ!$LR$2:$LR$60=AA$1),0),$B223-1966)</f>
        <v>345740.9</v>
      </c>
      <c r="AB223" s="7" cm="1">
        <f t="array" ref="AB223">INDEX(GMWQ!$A$2:$LR$60,MATCH(1,(GMWQ!$LQ$2:$LQ$60=AB$3)*(GMWQ!$LP$2:$LP$60=AB$4)*(GMWQ!$LR$2:$LR$60=AB$1),0),$B223-1966)</f>
        <v>294658.3</v>
      </c>
      <c r="AC223" s="7" cm="1">
        <f t="array" ref="AC223">INDEX(GMWQ!$A$2:$LR$60,MATCH(1,(GMWQ!$LQ$2:$LQ$60=AC$3)*(GMWQ!$LP$2:$LP$60=AC$4)*(GMWQ!$LR$2:$LR$60=AC$1),0),$B223-1966)</f>
        <v>24093.38</v>
      </c>
      <c r="AD223" s="7" cm="1">
        <f t="array" ref="AD223">INDEX(GMWQ!$A$2:$LR$60,MATCH(1,(GMWQ!$LQ$2:$LQ$60=AD$3)*(GMWQ!$LP$2:$LP$60=AD$4)*(GMWQ!$LR$2:$LR$60=AD$1),0),$B223-1966)</f>
        <v>17250.73</v>
      </c>
      <c r="AE223" s="7" cm="1">
        <f t="array" ref="AE223">INDEX(GMWQ!$A$2:$LR$60,MATCH(1,(GMWQ!$LQ$2:$LQ$60=AE$3)*(GMWQ!$LP$2:$LP$60=AE$4)*(GMWQ!$LR$2:$LR$60=AE$1),0),$B223-1966)</f>
        <v>764176.8</v>
      </c>
      <c r="AF223" s="20" cm="1">
        <f t="array" ref="AF223">INDEX(GMWQ!$A$2:$LR$60,MATCH(1,(GMWQ!$LQ$2:$LQ$60=AF$3)*(GMWQ!$LP$2:$LP$60=AF$4)*(GMWQ!$LR$2:$LR$60=AF$1),0),$B223-1966)</f>
        <v>2.34375</v>
      </c>
      <c r="AG223" s="20" cm="1">
        <f t="array" ref="AG223">INDEX(GMWQ!$A$2:$LR$60,MATCH(1,(GMWQ!$LQ$2:$LQ$60=AG$3)*(GMWQ!$LP$2:$LP$60=AG$4)*(GMWQ!$LR$2:$LR$60=AG$1),0),$B223-1966)</f>
        <v>-5535.8879999999999</v>
      </c>
      <c r="AI223" s="23" cm="1">
        <f t="array" ref="AI223">INDEX(GMWQ!$A$2:$LR$60,MATCH(1,(GMWQ!$LQ$2:$LQ$60=AI$3)*(GMWQ!$LP$2:$LP$60=AI$4)*(GMWQ!$LR$2:$LR$60=AI$1),0),$B223-1966)</f>
        <v>500725.4</v>
      </c>
      <c r="AJ223" s="23" cm="1">
        <f t="array" ref="AJ223">INDEX(GMWQ!$A$2:$LR$60,MATCH(1,(GMWQ!$LQ$2:$LQ$60=AJ$3)*(GMWQ!$LP$2:$LP$60=AJ$4)*(GMWQ!$LR$2:$LR$60=AJ$1),0),$B223-1966)</f>
        <v>128.56829999999999</v>
      </c>
      <c r="AK223" s="23" cm="1">
        <f t="array" ref="AK223">INDEX(GMWQ!$A$2:$LR$60,MATCH(1,(GMWQ!$LQ$2:$LQ$60=AK$3)*(GMWQ!$LP$2:$LP$60=AK$4)*(GMWQ!$LR$2:$LR$60=AK$1),0),$B223-1966)</f>
        <v>315139.3</v>
      </c>
      <c r="AL223" s="23" cm="1">
        <f t="array" ref="AL223">INDEX(GMWQ!$A$2:$LR$60,MATCH(1,(GMWQ!$LQ$2:$LQ$60=AL$3)*(GMWQ!$LP$2:$LP$60=AL$4)*(GMWQ!$LR$2:$LR$60=AL$1),0),$B223-1966)</f>
        <v>10697.27</v>
      </c>
      <c r="AM223" s="23" cm="1">
        <f t="array" ref="AM223">INDEX(GMWQ!$A$2:$LR$60,MATCH(1,(GMWQ!$LQ$2:$LQ$60=AM$3)*(GMWQ!$LP$2:$LP$60=AM$4)*(GMWQ!$LR$2:$LR$60=AM$1),0),$B223-1966)</f>
        <v>29459.79</v>
      </c>
      <c r="AN223" s="23" cm="1">
        <f t="array" ref="AN223">INDEX(GMWQ!$A$2:$LR$60,MATCH(1,(GMWQ!$LQ$2:$LQ$60=AN$3)*(GMWQ!$LP$2:$LP$60=AN$4)*(GMWQ!$LR$2:$LR$60=AN$1),0),$B223-1966)</f>
        <v>89302.31</v>
      </c>
      <c r="AO223" s="23" cm="1">
        <f t="array" ref="AO223">INDEX(GMWQ!$A$2:$LR$60,MATCH(1,(GMWQ!$LQ$2:$LQ$60=AO$3)*(GMWQ!$LP$2:$LP$60=AO$4)*(GMWQ!$LR$2:$LR$60=AO$1),0),$B223-1966)</f>
        <v>21051.3</v>
      </c>
      <c r="AP223" s="23" cm="1">
        <f t="array" ref="AP223">INDEX(GMWQ!$A$2:$LR$60,MATCH(1,(GMWQ!$LQ$2:$LQ$60=AP$3)*(GMWQ!$LP$2:$LP$60=AP$4)*(GMWQ!$LR$2:$LR$60=AP$1),0),$B223-1966)</f>
        <v>-5535.8879999999999</v>
      </c>
      <c r="AQ223" s="23" cm="1">
        <f t="array" ref="AQ223">INDEX(GMWQ!$A$2:$LR$60,MATCH(1,(GMWQ!$LQ$2:$LQ$60=AQ$3)*(GMWQ!$LP$2:$LP$60=AQ$4)*(GMWQ!$LR$2:$LR$60=AQ$1),0),$B223-1966)</f>
        <v>101820.3</v>
      </c>
      <c r="AR223" s="23" cm="1">
        <f t="array" ref="AR223">INDEX(GMWQ!$A$2:$LR$60,MATCH(1,(GMWQ!$LQ$2:$LQ$60=AR$3)*(GMWQ!$LP$2:$LP$60=AR$4)*(GMWQ!$LR$2:$LR$60=AR$1),0),$B223-1966)</f>
        <v>462752.8</v>
      </c>
      <c r="AS223" s="23" cm="1">
        <f t="array" ref="AS223">INDEX(GMWQ!$A$2:$LR$60,MATCH(1,(GMWQ!$LQ$2:$LQ$60=AS$3)*(GMWQ!$LP$2:$LP$60=AS$4)*(GMWQ!$LR$2:$LR$60=AS$1),0),$B223-1966)</f>
        <v>15429.72</v>
      </c>
      <c r="AT223" s="23" cm="1">
        <f t="array" ref="AT223">INDEX(GMWQ!$A$2:$LR$60,MATCH(1,(GMWQ!$LQ$2:$LQ$60=AT$3)*(GMWQ!$LP$2:$LP$60=AT$4)*(GMWQ!$LR$2:$LR$60=AT$1),0),$B223-1966)</f>
        <v>359927.6</v>
      </c>
      <c r="AU223" s="23" cm="1">
        <f t="array" ref="AU223">INDEX(GMWQ!$A$2:$LR$60,MATCH(1,(GMWQ!$LQ$2:$LQ$60=AU$3)*(GMWQ!$LP$2:$LP$60=AU$4)*(GMWQ!$LR$2:$LR$60=AU$1),0),$B223-1966)</f>
        <v>12808.71</v>
      </c>
    </row>
    <row r="224" spans="1:47" x14ac:dyDescent="0.35">
      <c r="B224" s="7">
        <f t="shared" si="4"/>
        <v>2190</v>
      </c>
      <c r="C224" s="7" cm="1">
        <f t="array" ref="C224">INDEX(GMWQ!$A$2:$LR$60,MATCH(1,(GMWQ!$LQ$2:$LQ$60=C$3)*(GMWQ!$LP$2:$LP$60=C$4)*(GMWQ!$LR$2:$LR$60=C$1),0),$B224-1966)</f>
        <v>601664.4</v>
      </c>
      <c r="D224" s="7" cm="1">
        <f t="array" ref="D224">INDEX(GMWQ!$A$2:$LR$60,MATCH(1,(GMWQ!$LQ$2:$LQ$60=D$3)*(GMWQ!$LP$2:$LP$60=D$4)*(GMWQ!$LR$2:$LR$60=D$1),0),$B224-1966)</f>
        <v>740.6807</v>
      </c>
      <c r="E224" s="7" cm="1">
        <f t="array" ref="E224">INDEX(GMWQ!$A$2:$LR$60,MATCH(1,(GMWQ!$LQ$2:$LQ$60=E$3)*(GMWQ!$LP$2:$LP$60=E$4)*(GMWQ!$LR$2:$LR$60=E$1),0),$B224-1966)</f>
        <v>141.89920000000001</v>
      </c>
      <c r="F224" s="7" cm="1">
        <f t="array" ref="F224">INDEX(GMWQ!$A$2:$LR$60,MATCH(1,(GMWQ!$LQ$2:$LQ$60=F$3)*(GMWQ!$LP$2:$LP$60=F$4)*(GMWQ!$LR$2:$LR$60=F$1),0),$B224-1966)</f>
        <v>318126</v>
      </c>
      <c r="G224" s="7" cm="1">
        <f t="array" ref="G224">INDEX(GMWQ!$A$2:$LR$60,MATCH(1,(GMWQ!$LQ$2:$LQ$60=G$3)*(GMWQ!$LP$2:$LP$60=G$4)*(GMWQ!$LR$2:$LR$60=G$1),0),$B224-1966)</f>
        <v>90569.93</v>
      </c>
      <c r="H224" s="7" cm="1">
        <f t="array" ref="H224">INDEX(GMWQ!$A$2:$LR$60,MATCH(1,(GMWQ!$LQ$2:$LQ$60=H$3)*(GMWQ!$LP$2:$LP$60=H$4)*(GMWQ!$LR$2:$LR$60=H$1),0),$B224-1966)</f>
        <v>21282.63</v>
      </c>
      <c r="I224" s="7" cm="1">
        <f t="array" ref="I224">INDEX(GMWQ!$A$2:$LR$60,MATCH(1,(GMWQ!$LQ$2:$LQ$60=I$3)*(GMWQ!$LP$2:$LP$60=I$4)*(GMWQ!$LR$2:$LR$60=I$1),0),$B224-1966)</f>
        <v>129.2433</v>
      </c>
      <c r="J224" s="7" cm="1">
        <f t="array" ref="J224">INDEX(GMWQ!$A$2:$LR$60,MATCH(1,(GMWQ!$LQ$2:$LQ$60=J$3)*(GMWQ!$LP$2:$LP$60=J$4)*(GMWQ!$LR$2:$LR$60=J$1),0),$B224-1966)</f>
        <v>29535.72</v>
      </c>
      <c r="K224" s="7" cm="1">
        <f t="array" ref="K224">INDEX(GMWQ!$A$2:$LR$60,MATCH(1,(GMWQ!$LQ$2:$LQ$60=K$3)*(GMWQ!$LP$2:$LP$60=K$4)*(GMWQ!$LR$2:$LR$60=K$1),0),$B224-1966)</f>
        <v>2</v>
      </c>
      <c r="L224" s="7" cm="1">
        <f t="array" ref="L224">INDEX(GMWQ!$A$2:$LR$60,MATCH(1,(GMWQ!$LQ$2:$LQ$60=L$3)*(GMWQ!$LP$2:$LP$60=L$4)*(GMWQ!$LR$2:$LR$60=L$1),0),$B224-1966)</f>
        <v>3.7501129999999998</v>
      </c>
      <c r="M224" s="7" cm="1">
        <f t="array" ref="M224">INDEX(GMWQ!$A$2:$LR$60,MATCH(1,(GMWQ!$LQ$2:$LQ$60=M$3)*(GMWQ!$LP$2:$LP$60=M$4)*(GMWQ!$LR$2:$LR$60=M$1),0),$B224-1966)</f>
        <v>159.88239999999999</v>
      </c>
      <c r="N224" s="7" cm="1">
        <f t="array" ref="N224">INDEX(GMWQ!$A$2:$LR$60,MATCH(1,(GMWQ!$LQ$2:$LQ$60=N$3)*(GMWQ!$LP$2:$LP$60=N$4)*(GMWQ!$LR$2:$LR$60=N$1),0),$B224-1966)</f>
        <v>23970.880000000001</v>
      </c>
      <c r="O224" s="7" cm="1">
        <f t="array" ref="O224">INDEX(GMWQ!$A$2:$LR$60,MATCH(1,(GMWQ!$LQ$2:$LQ$60=O$3)*(GMWQ!$LP$2:$LP$60=O$4)*(GMWQ!$LR$2:$LR$60=O$1),0),$B224-1966)</f>
        <v>18109.009999999998</v>
      </c>
      <c r="P224" s="7" cm="1">
        <f t="array" ref="P224">INDEX(GMWQ!$A$2:$LR$60,MATCH(1,(GMWQ!$LQ$2:$LQ$60=P$3)*(GMWQ!$LP$2:$LP$60=P$4)*(GMWQ!$LR$2:$LR$60=P$1),0),$B224-1966)</f>
        <v>504910.6</v>
      </c>
      <c r="Q224" s="7" cm="1">
        <f t="array" ref="Q224">INDEX(GMWQ!$A$2:$LR$60,MATCH(1,(GMWQ!$LQ$2:$LQ$60=Q$3)*(GMWQ!$LP$2:$LP$60=Q$4)*(GMWQ!$LR$2:$LR$60=Q$1),0),$B224-1966)</f>
        <v>3.894015</v>
      </c>
      <c r="R224" s="7" cm="1">
        <f t="array" ref="R224">INDEX(GMWQ!$A$2:$LR$60,MATCH(1,(GMWQ!$LQ$2:$LQ$60=R$3)*(GMWQ!$LP$2:$LP$60=R$4)*(GMWQ!$LR$2:$LR$60=R$1),0),$B224-1966)</f>
        <v>219151.4</v>
      </c>
      <c r="S224" s="7" cm="1">
        <f t="array" ref="S224">INDEX(GMWQ!$A$2:$LR$60,MATCH(1,(GMWQ!$LQ$2:$LQ$60=S$3)*(GMWQ!$LP$2:$LP$60=S$4)*(GMWQ!$LR$2:$LR$60=S$1),0),$B224-1966)</f>
        <v>326.92239999999998</v>
      </c>
      <c r="T224" s="7" cm="1">
        <f t="array" ref="T224">INDEX(GMWQ!$A$2:$LR$60,MATCH(1,(GMWQ!$LQ$2:$LQ$60=T$3)*(GMWQ!$LP$2:$LP$60=T$4)*(GMWQ!$LR$2:$LR$60=T$1),0),$B224-1966)</f>
        <v>90051.69</v>
      </c>
      <c r="U224" s="7" cm="1">
        <f t="array" ref="U224">INDEX(GMWQ!$A$2:$LR$60,MATCH(1,(GMWQ!$LQ$2:$LQ$60=U$3)*(GMWQ!$LP$2:$LP$60=U$4)*(GMWQ!$LR$2:$LR$60=U$1),0),$B224-1966)</f>
        <v>19777.13</v>
      </c>
      <c r="V224" s="7" cm="1">
        <f t="array" ref="V224">INDEX(GMWQ!$A$2:$LR$60,MATCH(1,(GMWQ!$LQ$2:$LQ$60=V$3)*(GMWQ!$LP$2:$LP$60=V$4)*(GMWQ!$LR$2:$LR$60=V$1),0),$B224-1966)</f>
        <v>1.443092E-3</v>
      </c>
      <c r="W224" s="7" cm="1">
        <f t="array" ref="W224">INDEX(GMWQ!$A$2:$LR$60,MATCH(1,(GMWQ!$LQ$2:$LQ$60=W$3)*(GMWQ!$LP$2:$LP$60=W$4)*(GMWQ!$LR$2:$LR$60=W$1),0),$B224-1966)</f>
        <v>9.0109829999999995</v>
      </c>
      <c r="X224" s="7" cm="1">
        <f t="array" ref="X224">INDEX(GMWQ!$A$2:$LR$60,MATCH(1,(GMWQ!$LQ$2:$LQ$60=X$3)*(GMWQ!$LP$2:$LP$60=X$4)*(GMWQ!$LR$2:$LR$60=X$1),0),$B224-1966)</f>
        <v>6131217</v>
      </c>
      <c r="Y224" s="7" cm="1">
        <f t="array" ref="Y224">INDEX(GMWQ!$A$2:$LR$60,MATCH(1,(GMWQ!$LQ$2:$LQ$60=Y$3)*(GMWQ!$LP$2:$LP$60=Y$4)*(GMWQ!$LR$2:$LR$60=Y$1),0),$B224-1966)</f>
        <v>128.2199</v>
      </c>
      <c r="Z224" s="7" cm="1">
        <f t="array" ref="Z224">INDEX(GMWQ!$A$2:$LR$60,MATCH(1,(GMWQ!$LQ$2:$LQ$60=Z$3)*(GMWQ!$LP$2:$LP$60=Z$4)*(GMWQ!$LR$2:$LR$60=Z$1),0),$B224-1966)</f>
        <v>602025.4</v>
      </c>
      <c r="AA224" s="7" cm="1">
        <f t="array" ref="AA224">INDEX(GMWQ!$A$2:$LR$60,MATCH(1,(GMWQ!$LQ$2:$LQ$60=AA$3)*(GMWQ!$LP$2:$LP$60=AA$4)*(GMWQ!$LR$2:$LR$60=AA$1),0),$B224-1966)</f>
        <v>307554.90000000002</v>
      </c>
      <c r="AB224" s="7" cm="1">
        <f t="array" ref="AB224">INDEX(GMWQ!$A$2:$LR$60,MATCH(1,(GMWQ!$LQ$2:$LQ$60=AB$3)*(GMWQ!$LP$2:$LP$60=AB$4)*(GMWQ!$LR$2:$LR$60=AB$1),0),$B224-1966)</f>
        <v>298858.2</v>
      </c>
      <c r="AC224" s="7" cm="1">
        <f t="array" ref="AC224">INDEX(GMWQ!$A$2:$LR$60,MATCH(1,(GMWQ!$LQ$2:$LQ$60=AC$3)*(GMWQ!$LP$2:$LP$60=AC$4)*(GMWQ!$LR$2:$LR$60=AC$1),0),$B224-1966)</f>
        <v>10734.31</v>
      </c>
      <c r="AD224" s="7" cm="1">
        <f t="array" ref="AD224">INDEX(GMWQ!$A$2:$LR$60,MATCH(1,(GMWQ!$LQ$2:$LQ$60=AD$3)*(GMWQ!$LP$2:$LP$60=AD$4)*(GMWQ!$LR$2:$LR$60=AD$1),0),$B224-1966)</f>
        <v>17866.849999999999</v>
      </c>
      <c r="AE224" s="7" cm="1">
        <f t="array" ref="AE224">INDEX(GMWQ!$A$2:$LR$60,MATCH(1,(GMWQ!$LQ$2:$LQ$60=AE$3)*(GMWQ!$LP$2:$LP$60=AE$4)*(GMWQ!$LR$2:$LR$60=AE$1),0),$B224-1966)</f>
        <v>771453.3</v>
      </c>
      <c r="AF224" s="20" cm="1">
        <f t="array" ref="AF224">INDEX(GMWQ!$A$2:$LR$60,MATCH(1,(GMWQ!$LQ$2:$LQ$60=AF$3)*(GMWQ!$LP$2:$LP$60=AF$4)*(GMWQ!$LR$2:$LR$60=AF$1),0),$B224-1966)</f>
        <v>2.0961539999999999</v>
      </c>
      <c r="AG224" s="20" cm="1">
        <f t="array" ref="AG224">INDEX(GMWQ!$A$2:$LR$60,MATCH(1,(GMWQ!$LQ$2:$LQ$60=AG$3)*(GMWQ!$LP$2:$LP$60=AG$4)*(GMWQ!$LR$2:$LR$60=AG$1),0),$B224-1966)</f>
        <v>-5861.87</v>
      </c>
      <c r="AI224" s="23" cm="1">
        <f t="array" ref="AI224">INDEX(GMWQ!$A$2:$LR$60,MATCH(1,(GMWQ!$LQ$2:$LQ$60=AI$3)*(GMWQ!$LP$2:$LP$60=AI$4)*(GMWQ!$LR$2:$LR$60=AI$1),0),$B224-1966)</f>
        <v>504910.6</v>
      </c>
      <c r="AJ224" s="23" cm="1">
        <f t="array" ref="AJ224">INDEX(GMWQ!$A$2:$LR$60,MATCH(1,(GMWQ!$LQ$2:$LQ$60=AJ$3)*(GMWQ!$LP$2:$LP$60=AJ$4)*(GMWQ!$LR$2:$LR$60=AJ$1),0),$B224-1966)</f>
        <v>129.2433</v>
      </c>
      <c r="AK224" s="23" cm="1">
        <f t="array" ref="AK224">INDEX(GMWQ!$A$2:$LR$60,MATCH(1,(GMWQ!$LQ$2:$LQ$60=AK$3)*(GMWQ!$LP$2:$LP$60=AK$4)*(GMWQ!$LR$2:$LR$60=AK$1),0),$B224-1966)</f>
        <v>318126</v>
      </c>
      <c r="AL224" s="23" cm="1">
        <f t="array" ref="AL224">INDEX(GMWQ!$A$2:$LR$60,MATCH(1,(GMWQ!$LQ$2:$LQ$60=AL$3)*(GMWQ!$LP$2:$LP$60=AL$4)*(GMWQ!$LR$2:$LR$60=AL$1),0),$B224-1966)</f>
        <v>10770.89</v>
      </c>
      <c r="AM224" s="23" cm="1">
        <f t="array" ref="AM224">INDEX(GMWQ!$A$2:$LR$60,MATCH(1,(GMWQ!$LQ$2:$LQ$60=AM$3)*(GMWQ!$LP$2:$LP$60=AM$4)*(GMWQ!$LR$2:$LR$60=AM$1),0),$B224-1966)</f>
        <v>29535.72</v>
      </c>
      <c r="AN224" s="23" cm="1">
        <f t="array" ref="AN224">INDEX(GMWQ!$A$2:$LR$60,MATCH(1,(GMWQ!$LQ$2:$LQ$60=AN$3)*(GMWQ!$LP$2:$LP$60=AN$4)*(GMWQ!$LR$2:$LR$60=AN$1),0),$B224-1966)</f>
        <v>90569.93</v>
      </c>
      <c r="AO224" s="23" cm="1">
        <f t="array" ref="AO224">INDEX(GMWQ!$A$2:$LR$60,MATCH(1,(GMWQ!$LQ$2:$LQ$60=AO$3)*(GMWQ!$LP$2:$LP$60=AO$4)*(GMWQ!$LR$2:$LR$60=AO$1),0),$B224-1966)</f>
        <v>21282.63</v>
      </c>
      <c r="AP224" s="23" cm="1">
        <f t="array" ref="AP224">INDEX(GMWQ!$A$2:$LR$60,MATCH(1,(GMWQ!$LQ$2:$LQ$60=AP$3)*(GMWQ!$LP$2:$LP$60=AP$4)*(GMWQ!$LR$2:$LR$60=AP$1),0),$B224-1966)</f>
        <v>-5861.87</v>
      </c>
      <c r="AQ224" s="23" cm="1">
        <f t="array" ref="AQ224">INDEX(GMWQ!$A$2:$LR$60,MATCH(1,(GMWQ!$LQ$2:$LQ$60=AQ$3)*(GMWQ!$LP$2:$LP$60=AQ$4)*(GMWQ!$LR$2:$LR$60=AQ$1),0),$B224-1966)</f>
        <v>103327.1</v>
      </c>
      <c r="AR224" s="23" cm="1">
        <f t="array" ref="AR224">INDEX(GMWQ!$A$2:$LR$60,MATCH(1,(GMWQ!$LQ$2:$LQ$60=AR$3)*(GMWQ!$LP$2:$LP$60=AR$4)*(GMWQ!$LR$2:$LR$60=AR$1),0),$B224-1966)</f>
        <v>467322.2</v>
      </c>
      <c r="AS224" s="23" cm="1">
        <f t="array" ref="AS224">INDEX(GMWQ!$A$2:$LR$60,MATCH(1,(GMWQ!$LQ$2:$LQ$60=AS$3)*(GMWQ!$LP$2:$LP$60=AS$4)*(GMWQ!$LR$2:$LR$60=AS$1),0),$B224-1966)</f>
        <v>15592.46</v>
      </c>
      <c r="AT224" s="23" cm="1">
        <f t="array" ref="AT224">INDEX(GMWQ!$A$2:$LR$60,MATCH(1,(GMWQ!$LQ$2:$LQ$60=AT$3)*(GMWQ!$LP$2:$LP$60=AT$4)*(GMWQ!$LR$2:$LR$60=AT$1),0),$B224-1966)</f>
        <v>361583.3</v>
      </c>
      <c r="AU224" s="23" cm="1">
        <f t="array" ref="AU224">INDEX(GMWQ!$A$2:$LR$60,MATCH(1,(GMWQ!$LQ$2:$LQ$60=AU$3)*(GMWQ!$LP$2:$LP$60=AU$4)*(GMWQ!$LR$2:$LR$60=AU$1),0),$B224-1966)</f>
        <v>12867.63</v>
      </c>
    </row>
    <row r="225" spans="1:47" x14ac:dyDescent="0.35">
      <c r="B225" s="7">
        <f t="shared" si="4"/>
        <v>2191</v>
      </c>
      <c r="C225" s="7" cm="1">
        <f t="array" ref="C225">INDEX(GMWQ!$A$2:$LR$60,MATCH(1,(GMWQ!$LQ$2:$LQ$60=C$3)*(GMWQ!$LP$2:$LP$60=C$4)*(GMWQ!$LR$2:$LR$60=C$1),0),$B225-1966)</f>
        <v>604251.6</v>
      </c>
      <c r="D225" s="7" cm="1">
        <f t="array" ref="D225">INDEX(GMWQ!$A$2:$LR$60,MATCH(1,(GMWQ!$LQ$2:$LQ$60=D$3)*(GMWQ!$LP$2:$LP$60=D$4)*(GMWQ!$LR$2:$LR$60=D$1),0),$B225-1966)</f>
        <v>745.79970000000003</v>
      </c>
      <c r="E225" s="7" cm="1">
        <f t="array" ref="E225">INDEX(GMWQ!$A$2:$LR$60,MATCH(1,(GMWQ!$LQ$2:$LQ$60=E$3)*(GMWQ!$LP$2:$LP$60=E$4)*(GMWQ!$LR$2:$LR$60=E$1),0),$B225-1966)</f>
        <v>142.6619</v>
      </c>
      <c r="F225" s="7" cm="1">
        <f t="array" ref="F225">INDEX(GMWQ!$A$2:$LR$60,MATCH(1,(GMWQ!$LQ$2:$LQ$60=F$3)*(GMWQ!$LP$2:$LP$60=F$4)*(GMWQ!$LR$2:$LR$60=F$1),0),$B225-1966)</f>
        <v>321173.2</v>
      </c>
      <c r="G225" s="7" cm="1">
        <f t="array" ref="G225">INDEX(GMWQ!$A$2:$LR$60,MATCH(1,(GMWQ!$LQ$2:$LQ$60=G$3)*(GMWQ!$LP$2:$LP$60=G$4)*(GMWQ!$LR$2:$LR$60=G$1),0),$B225-1966)</f>
        <v>91913.04</v>
      </c>
      <c r="H225" s="7" cm="1">
        <f t="array" ref="H225">INDEX(GMWQ!$A$2:$LR$60,MATCH(1,(GMWQ!$LQ$2:$LQ$60=H$3)*(GMWQ!$LP$2:$LP$60=H$4)*(GMWQ!$LR$2:$LR$60=H$1),0),$B225-1966)</f>
        <v>21518.61</v>
      </c>
      <c r="I225" s="7" cm="1">
        <f t="array" ref="I225">INDEX(GMWQ!$A$2:$LR$60,MATCH(1,(GMWQ!$LQ$2:$LQ$60=I$3)*(GMWQ!$LP$2:$LP$60=I$4)*(GMWQ!$LR$2:$LR$60=I$1),0),$B225-1966)</f>
        <v>129.92179999999999</v>
      </c>
      <c r="J225" s="7" cm="1">
        <f t="array" ref="J225">INDEX(GMWQ!$A$2:$LR$60,MATCH(1,(GMWQ!$LQ$2:$LQ$60=J$3)*(GMWQ!$LP$2:$LP$60=J$4)*(GMWQ!$LR$2:$LR$60=J$1),0),$B225-1966)</f>
        <v>29613.96</v>
      </c>
      <c r="K225" s="7" cm="1">
        <f t="array" ref="K225">INDEX(GMWQ!$A$2:$LR$60,MATCH(1,(GMWQ!$LQ$2:$LQ$60=K$3)*(GMWQ!$LP$2:$LP$60=K$4)*(GMWQ!$LR$2:$LR$60=K$1),0),$B225-1966)</f>
        <v>2</v>
      </c>
      <c r="L225" s="7" cm="1">
        <f t="array" ref="L225">INDEX(GMWQ!$A$2:$LR$60,MATCH(1,(GMWQ!$LQ$2:$LQ$60=L$3)*(GMWQ!$LP$2:$LP$60=L$4)*(GMWQ!$LR$2:$LR$60=L$1),0),$B225-1966)</f>
        <v>3.7500879999999999</v>
      </c>
      <c r="M225" s="7" cm="1">
        <f t="array" ref="M225">INDEX(GMWQ!$A$2:$LR$60,MATCH(1,(GMWQ!$LQ$2:$LQ$60=M$3)*(GMWQ!$LP$2:$LP$60=M$4)*(GMWQ!$LR$2:$LR$60=M$1),0),$B225-1966)</f>
        <v>161.51570000000001</v>
      </c>
      <c r="N225" s="7" cm="1">
        <f t="array" ref="N225">INDEX(GMWQ!$A$2:$LR$60,MATCH(1,(GMWQ!$LQ$2:$LQ$60=N$3)*(GMWQ!$LP$2:$LP$60=N$4)*(GMWQ!$LR$2:$LR$60=N$1),0),$B225-1966)</f>
        <v>23763.13</v>
      </c>
      <c r="O225" s="7" cm="1">
        <f t="array" ref="O225">INDEX(GMWQ!$A$2:$LR$60,MATCH(1,(GMWQ!$LQ$2:$LQ$60=O$3)*(GMWQ!$LP$2:$LP$60=O$4)*(GMWQ!$LR$2:$LR$60=O$1),0),$B225-1966)</f>
        <v>17595.38</v>
      </c>
      <c r="P225" s="7" cm="1">
        <f t="array" ref="P225">INDEX(GMWQ!$A$2:$LR$60,MATCH(1,(GMWQ!$LQ$2:$LQ$60=P$3)*(GMWQ!$LP$2:$LP$60=P$4)*(GMWQ!$LR$2:$LR$60=P$1),0),$B225-1966)</f>
        <v>509808.7</v>
      </c>
      <c r="Q225" s="7" cm="1">
        <f t="array" ref="Q225">INDEX(GMWQ!$A$2:$LR$60,MATCH(1,(GMWQ!$LQ$2:$LQ$60=Q$3)*(GMWQ!$LP$2:$LP$60=Q$4)*(GMWQ!$LR$2:$LR$60=Q$1),0),$B225-1966)</f>
        <v>3.8438910000000002</v>
      </c>
      <c r="R225" s="7" cm="1">
        <f t="array" ref="R225">INDEX(GMWQ!$A$2:$LR$60,MATCH(1,(GMWQ!$LQ$2:$LQ$60=R$3)*(GMWQ!$LP$2:$LP$60=R$4)*(GMWQ!$LR$2:$LR$60=R$1),0),$B225-1966)</f>
        <v>221195.5</v>
      </c>
      <c r="S225" s="7" cm="1">
        <f t="array" ref="S225">INDEX(GMWQ!$A$2:$LR$60,MATCH(1,(GMWQ!$LQ$2:$LQ$60=S$3)*(GMWQ!$LP$2:$LP$60=S$4)*(GMWQ!$LR$2:$LR$60=S$1),0),$B225-1966)</f>
        <v>329.9717</v>
      </c>
      <c r="T225" s="7" cm="1">
        <f t="array" ref="T225">INDEX(GMWQ!$A$2:$LR$60,MATCH(1,(GMWQ!$LQ$2:$LQ$60=T$3)*(GMWQ!$LP$2:$LP$60=T$4)*(GMWQ!$LR$2:$LR$60=T$1),0),$B225-1966)</f>
        <v>91825.79</v>
      </c>
      <c r="U225" s="7" cm="1">
        <f t="array" ref="U225">INDEX(GMWQ!$A$2:$LR$60,MATCH(1,(GMWQ!$LQ$2:$LQ$60=U$3)*(GMWQ!$LP$2:$LP$60=U$4)*(GMWQ!$LR$2:$LR$60=U$1),0),$B225-1966)</f>
        <v>20781</v>
      </c>
      <c r="V225" s="7" cm="1">
        <f t="array" ref="V225">INDEX(GMWQ!$A$2:$LR$60,MATCH(1,(GMWQ!$LQ$2:$LQ$60=V$3)*(GMWQ!$LP$2:$LP$60=V$4)*(GMWQ!$LR$2:$LR$60=V$1),0),$B225-1966)</f>
        <v>1.429633E-3</v>
      </c>
      <c r="W225" s="7" cm="1">
        <f t="array" ref="W225">INDEX(GMWQ!$A$2:$LR$60,MATCH(1,(GMWQ!$LQ$2:$LQ$60=W$3)*(GMWQ!$LP$2:$LP$60=W$4)*(GMWQ!$LR$2:$LR$60=W$1),0),$B225-1966)</f>
        <v>8.9580230000000007</v>
      </c>
      <c r="X225" s="7" cm="1">
        <f t="array" ref="X225">INDEX(GMWQ!$A$2:$LR$60,MATCH(1,(GMWQ!$LQ$2:$LQ$60=X$3)*(GMWQ!$LP$2:$LP$60=X$4)*(GMWQ!$LR$2:$LR$60=X$1),0),$B225-1966)</f>
        <v>6186367</v>
      </c>
      <c r="Y225" s="7" cm="1">
        <f t="array" ref="Y225">INDEX(GMWQ!$A$2:$LR$60,MATCH(1,(GMWQ!$LQ$2:$LQ$60=Y$3)*(GMWQ!$LP$2:$LP$60=Y$4)*(GMWQ!$LR$2:$LR$60=Y$1),0),$B225-1966)</f>
        <v>128.87379999999999</v>
      </c>
      <c r="Z225" s="7" cm="1">
        <f t="array" ref="Z225">INDEX(GMWQ!$A$2:$LR$60,MATCH(1,(GMWQ!$LQ$2:$LQ$60=Z$3)*(GMWQ!$LP$2:$LP$60=Z$4)*(GMWQ!$LR$2:$LR$60=Z$1),0),$B225-1966)</f>
        <v>604562.69999999995</v>
      </c>
      <c r="AA225" s="7" cm="1">
        <f t="array" ref="AA225">INDEX(GMWQ!$A$2:$LR$60,MATCH(1,(GMWQ!$LQ$2:$LQ$60=AA$3)*(GMWQ!$LP$2:$LP$60=AA$4)*(GMWQ!$LR$2:$LR$60=AA$1),0),$B225-1966)</f>
        <v>322500.59999999998</v>
      </c>
      <c r="AB225" s="7" cm="1">
        <f t="array" ref="AB225">INDEX(GMWQ!$A$2:$LR$60,MATCH(1,(GMWQ!$LQ$2:$LQ$60=AB$3)*(GMWQ!$LP$2:$LP$60=AB$4)*(GMWQ!$LR$2:$LR$60=AB$1),0),$B225-1966)</f>
        <v>301458.8</v>
      </c>
      <c r="AC225" s="7" cm="1">
        <f t="array" ref="AC225">INDEX(GMWQ!$A$2:$LR$60,MATCH(1,(GMWQ!$LQ$2:$LQ$60=AC$3)*(GMWQ!$LP$2:$LP$60=AC$4)*(GMWQ!$LR$2:$LR$60=AC$1),0),$B225-1966)</f>
        <v>12221.02</v>
      </c>
      <c r="AD225" s="7" cm="1">
        <f t="array" ref="AD225">INDEX(GMWQ!$A$2:$LR$60,MATCH(1,(GMWQ!$LQ$2:$LQ$60=AD$3)*(GMWQ!$LP$2:$LP$60=AD$4)*(GMWQ!$LR$2:$LR$60=AD$1),0),$B225-1966)</f>
        <v>17866.849999999999</v>
      </c>
      <c r="AE225" s="7" cm="1">
        <f t="array" ref="AE225">INDEX(GMWQ!$A$2:$LR$60,MATCH(1,(GMWQ!$LQ$2:$LQ$60=AE$3)*(GMWQ!$LP$2:$LP$60=AE$4)*(GMWQ!$LR$2:$LR$60=AE$1),0),$B225-1966)</f>
        <v>778721.9</v>
      </c>
      <c r="AF225" s="20" cm="1">
        <f t="array" ref="AF225">INDEX(GMWQ!$A$2:$LR$60,MATCH(1,(GMWQ!$LQ$2:$LQ$60=AF$3)*(GMWQ!$LP$2:$LP$60=AF$4)*(GMWQ!$LR$2:$LR$60=AF$1),0),$B225-1966)</f>
        <v>2</v>
      </c>
      <c r="AG225" s="20" cm="1">
        <f t="array" ref="AG225">INDEX(GMWQ!$A$2:$LR$60,MATCH(1,(GMWQ!$LQ$2:$LQ$60=AG$3)*(GMWQ!$LP$2:$LP$60=AG$4)*(GMWQ!$LR$2:$LR$60=AG$1),0),$B225-1966)</f>
        <v>-6167.7479999999996</v>
      </c>
      <c r="AI225" s="23" cm="1">
        <f t="array" ref="AI225">INDEX(GMWQ!$A$2:$LR$60,MATCH(1,(GMWQ!$LQ$2:$LQ$60=AI$3)*(GMWQ!$LP$2:$LP$60=AI$4)*(GMWQ!$LR$2:$LR$60=AI$1),0),$B225-1966)</f>
        <v>509808.7</v>
      </c>
      <c r="AJ225" s="23" cm="1">
        <f t="array" ref="AJ225">INDEX(GMWQ!$A$2:$LR$60,MATCH(1,(GMWQ!$LQ$2:$LQ$60=AJ$3)*(GMWQ!$LP$2:$LP$60=AJ$4)*(GMWQ!$LR$2:$LR$60=AJ$1),0),$B225-1966)</f>
        <v>129.92179999999999</v>
      </c>
      <c r="AK225" s="23" cm="1">
        <f t="array" ref="AK225">INDEX(GMWQ!$A$2:$LR$60,MATCH(1,(GMWQ!$LQ$2:$LQ$60=AK$3)*(GMWQ!$LP$2:$LP$60=AK$4)*(GMWQ!$LR$2:$LR$60=AK$1),0),$B225-1966)</f>
        <v>321173.2</v>
      </c>
      <c r="AL225" s="23" cm="1">
        <f t="array" ref="AL225">INDEX(GMWQ!$A$2:$LR$60,MATCH(1,(GMWQ!$LQ$2:$LQ$60=AL$3)*(GMWQ!$LP$2:$LP$60=AL$4)*(GMWQ!$LR$2:$LR$60=AL$1),0),$B225-1966)</f>
        <v>10845.33</v>
      </c>
      <c r="AM225" s="23" cm="1">
        <f t="array" ref="AM225">INDEX(GMWQ!$A$2:$LR$60,MATCH(1,(GMWQ!$LQ$2:$LQ$60=AM$3)*(GMWQ!$LP$2:$LP$60=AM$4)*(GMWQ!$LR$2:$LR$60=AM$1),0),$B225-1966)</f>
        <v>29613.96</v>
      </c>
      <c r="AN225" s="23" cm="1">
        <f t="array" ref="AN225">INDEX(GMWQ!$A$2:$LR$60,MATCH(1,(GMWQ!$LQ$2:$LQ$60=AN$3)*(GMWQ!$LP$2:$LP$60=AN$4)*(GMWQ!$LR$2:$LR$60=AN$1),0),$B225-1966)</f>
        <v>91913.04</v>
      </c>
      <c r="AO225" s="23" cm="1">
        <f t="array" ref="AO225">INDEX(GMWQ!$A$2:$LR$60,MATCH(1,(GMWQ!$LQ$2:$LQ$60=AO$3)*(GMWQ!$LP$2:$LP$60=AO$4)*(GMWQ!$LR$2:$LR$60=AO$1),0),$B225-1966)</f>
        <v>21518.61</v>
      </c>
      <c r="AP225" s="23" cm="1">
        <f t="array" ref="AP225">INDEX(GMWQ!$A$2:$LR$60,MATCH(1,(GMWQ!$LQ$2:$LQ$60=AP$3)*(GMWQ!$LP$2:$LP$60=AP$4)*(GMWQ!$LR$2:$LR$60=AP$1),0),$B225-1966)</f>
        <v>-6167.7479999999996</v>
      </c>
      <c r="AQ225" s="23" cm="1">
        <f t="array" ref="AQ225">INDEX(GMWQ!$A$2:$LR$60,MATCH(1,(GMWQ!$LQ$2:$LQ$60=AQ$3)*(GMWQ!$LP$2:$LP$60=AQ$4)*(GMWQ!$LR$2:$LR$60=AQ$1),0),$B225-1966)</f>
        <v>104827.2</v>
      </c>
      <c r="AR225" s="23" cm="1">
        <f t="array" ref="AR225">INDEX(GMWQ!$A$2:$LR$60,MATCH(1,(GMWQ!$LQ$2:$LQ$60=AR$3)*(GMWQ!$LP$2:$LP$60=AR$4)*(GMWQ!$LR$2:$LR$60=AR$1),0),$B225-1966)</f>
        <v>471936.5</v>
      </c>
      <c r="AS225" s="23" cm="1">
        <f t="array" ref="AS225">INDEX(GMWQ!$A$2:$LR$60,MATCH(1,(GMWQ!$LQ$2:$LQ$60=AS$3)*(GMWQ!$LP$2:$LP$60=AS$4)*(GMWQ!$LR$2:$LR$60=AS$1),0),$B225-1966)</f>
        <v>15756.71</v>
      </c>
      <c r="AT225" s="23" cm="1">
        <f t="array" ref="AT225">INDEX(GMWQ!$A$2:$LR$60,MATCH(1,(GMWQ!$LQ$2:$LQ$60=AT$3)*(GMWQ!$LP$2:$LP$60=AT$4)*(GMWQ!$LR$2:$LR$60=AT$1),0),$B225-1966)</f>
        <v>363246.6</v>
      </c>
      <c r="AU225" s="23" cm="1">
        <f t="array" ref="AU225">INDEX(GMWQ!$A$2:$LR$60,MATCH(1,(GMWQ!$LQ$2:$LQ$60=AU$3)*(GMWQ!$LP$2:$LP$60=AU$4)*(GMWQ!$LR$2:$LR$60=AU$1),0),$B225-1966)</f>
        <v>12926.83</v>
      </c>
    </row>
    <row r="226" spans="1:47" x14ac:dyDescent="0.35">
      <c r="B226" s="7">
        <f t="shared" si="4"/>
        <v>2192</v>
      </c>
      <c r="C226" s="7" cm="1">
        <f t="array" ref="C226">INDEX(GMWQ!$A$2:$LR$60,MATCH(1,(GMWQ!$LQ$2:$LQ$60=C$3)*(GMWQ!$LP$2:$LP$60=C$4)*(GMWQ!$LR$2:$LR$60=C$1),0),$B226-1966)</f>
        <v>606849.9</v>
      </c>
      <c r="D226" s="7" cm="1">
        <f t="array" ref="D226">INDEX(GMWQ!$A$2:$LR$60,MATCH(1,(GMWQ!$LQ$2:$LQ$60=D$3)*(GMWQ!$LP$2:$LP$60=D$4)*(GMWQ!$LR$2:$LR$60=D$1),0),$B226-1966)</f>
        <v>750.91330000000005</v>
      </c>
      <c r="E226" s="7" cm="1">
        <f t="array" ref="E226">INDEX(GMWQ!$A$2:$LR$60,MATCH(1,(GMWQ!$LQ$2:$LQ$60=E$3)*(GMWQ!$LP$2:$LP$60=E$4)*(GMWQ!$LR$2:$LR$60=E$1),0),$B226-1966)</f>
        <v>143.33930000000001</v>
      </c>
      <c r="F226" s="7" cm="1">
        <f t="array" ref="F226">INDEX(GMWQ!$A$2:$LR$60,MATCH(1,(GMWQ!$LQ$2:$LQ$60=F$3)*(GMWQ!$LP$2:$LP$60=F$4)*(GMWQ!$LR$2:$LR$60=F$1),0),$B226-1966)</f>
        <v>324240.2</v>
      </c>
      <c r="G226" s="7" cm="1">
        <f t="array" ref="G226">INDEX(GMWQ!$A$2:$LR$60,MATCH(1,(GMWQ!$LQ$2:$LQ$60=G$3)*(GMWQ!$LP$2:$LP$60=G$4)*(GMWQ!$LR$2:$LR$60=G$1),0),$B226-1966)</f>
        <v>93329.45</v>
      </c>
      <c r="H226" s="7" cm="1">
        <f t="array" ref="H226">INDEX(GMWQ!$A$2:$LR$60,MATCH(1,(GMWQ!$LQ$2:$LQ$60=H$3)*(GMWQ!$LP$2:$LP$60=H$4)*(GMWQ!$LR$2:$LR$60=H$1),0),$B226-1966)</f>
        <v>21740.3</v>
      </c>
      <c r="I226" s="7" cm="1">
        <f t="array" ref="I226">INDEX(GMWQ!$A$2:$LR$60,MATCH(1,(GMWQ!$LQ$2:$LQ$60=I$3)*(GMWQ!$LP$2:$LP$60=I$4)*(GMWQ!$LR$2:$LR$60=I$1),0),$B226-1966)</f>
        <v>130.60390000000001</v>
      </c>
      <c r="J226" s="7" cm="1">
        <f t="array" ref="J226">INDEX(GMWQ!$A$2:$LR$60,MATCH(1,(GMWQ!$LQ$2:$LQ$60=J$3)*(GMWQ!$LP$2:$LP$60=J$4)*(GMWQ!$LR$2:$LR$60=J$1),0),$B226-1966)</f>
        <v>29693.16</v>
      </c>
      <c r="K226" s="7" cm="1">
        <f t="array" ref="K226">INDEX(GMWQ!$A$2:$LR$60,MATCH(1,(GMWQ!$LQ$2:$LQ$60=K$3)*(GMWQ!$LP$2:$LP$60=K$4)*(GMWQ!$LR$2:$LR$60=K$1),0),$B226-1966)</f>
        <v>2</v>
      </c>
      <c r="L226" s="7" cm="1">
        <f t="array" ref="L226">INDEX(GMWQ!$A$2:$LR$60,MATCH(1,(GMWQ!$LQ$2:$LQ$60=L$3)*(GMWQ!$LP$2:$LP$60=L$4)*(GMWQ!$LR$2:$LR$60=L$1),0),$B226-1966)</f>
        <v>3.7500900000000001</v>
      </c>
      <c r="M226" s="7" cm="1">
        <f t="array" ref="M226">INDEX(GMWQ!$A$2:$LR$60,MATCH(1,(GMWQ!$LQ$2:$LQ$60=M$3)*(GMWQ!$LP$2:$LP$60=M$4)*(GMWQ!$LR$2:$LR$60=M$1),0),$B226-1966)</f>
        <v>163.04169999999999</v>
      </c>
      <c r="N226" s="7" cm="1">
        <f t="array" ref="N226">INDEX(GMWQ!$A$2:$LR$60,MATCH(1,(GMWQ!$LQ$2:$LQ$60=N$3)*(GMWQ!$LP$2:$LP$60=N$4)*(GMWQ!$LR$2:$LR$60=N$1),0),$B226-1966)</f>
        <v>23477.78</v>
      </c>
      <c r="O226" s="7" cm="1">
        <f t="array" ref="O226">INDEX(GMWQ!$A$2:$LR$60,MATCH(1,(GMWQ!$LQ$2:$LQ$60=O$3)*(GMWQ!$LP$2:$LP$60=O$4)*(GMWQ!$LR$2:$LR$60=O$1),0),$B226-1966)</f>
        <v>17386.150000000001</v>
      </c>
      <c r="P226" s="7" cm="1">
        <f t="array" ref="P226">INDEX(GMWQ!$A$2:$LR$60,MATCH(1,(GMWQ!$LQ$2:$LQ$60=P$3)*(GMWQ!$LP$2:$LP$60=P$4)*(GMWQ!$LR$2:$LR$60=P$1),0),$B226-1966)</f>
        <v>515007.9</v>
      </c>
      <c r="Q226" s="7" cm="1">
        <f t="array" ref="Q226">INDEX(GMWQ!$A$2:$LR$60,MATCH(1,(GMWQ!$LQ$2:$LQ$60=Q$3)*(GMWQ!$LP$2:$LP$60=Q$4)*(GMWQ!$LR$2:$LR$60=Q$1),0),$B226-1966)</f>
        <v>3.7494489999999998</v>
      </c>
      <c r="R226" s="7" cm="1">
        <f t="array" ref="R226">INDEX(GMWQ!$A$2:$LR$60,MATCH(1,(GMWQ!$LQ$2:$LQ$60=R$3)*(GMWQ!$LP$2:$LP$60=R$4)*(GMWQ!$LR$2:$LR$60=R$1),0),$B226-1966)</f>
        <v>222813</v>
      </c>
      <c r="S226" s="7" cm="1">
        <f t="array" ref="S226">INDEX(GMWQ!$A$2:$LR$60,MATCH(1,(GMWQ!$LQ$2:$LQ$60=S$3)*(GMWQ!$LP$2:$LP$60=S$4)*(GMWQ!$LR$2:$LR$60=S$1),0),$B226-1966)</f>
        <v>332.38470000000001</v>
      </c>
      <c r="T226" s="7" cm="1">
        <f t="array" ref="T226">INDEX(GMWQ!$A$2:$LR$60,MATCH(1,(GMWQ!$LQ$2:$LQ$60=T$3)*(GMWQ!$LP$2:$LP$60=T$4)*(GMWQ!$LR$2:$LR$60=T$1),0),$B226-1966)</f>
        <v>93423.27</v>
      </c>
      <c r="U226" s="7" cm="1">
        <f t="array" ref="U226">INDEX(GMWQ!$A$2:$LR$60,MATCH(1,(GMWQ!$LQ$2:$LQ$60=U$3)*(GMWQ!$LP$2:$LP$60=U$4)*(GMWQ!$LR$2:$LR$60=U$1),0),$B226-1966)</f>
        <v>21569.73</v>
      </c>
      <c r="V226" s="7" cm="1">
        <f t="array" ref="V226">INDEX(GMWQ!$A$2:$LR$60,MATCH(1,(GMWQ!$LQ$2:$LQ$60=V$3)*(GMWQ!$LP$2:$LP$60=V$4)*(GMWQ!$LR$2:$LR$60=V$1),0),$B226-1966)</f>
        <v>1.4187819999999999E-3</v>
      </c>
      <c r="W226" s="7" cm="1">
        <f t="array" ref="W226">INDEX(GMWQ!$A$2:$LR$60,MATCH(1,(GMWQ!$LQ$2:$LQ$60=W$3)*(GMWQ!$LP$2:$LP$60=W$4)*(GMWQ!$LR$2:$LR$60=W$1),0),$B226-1966)</f>
        <v>8.9680759999999999</v>
      </c>
      <c r="X226" s="7" cm="1">
        <f t="array" ref="X226">INDEX(GMWQ!$A$2:$LR$60,MATCH(1,(GMWQ!$LQ$2:$LQ$60=X$3)*(GMWQ!$LP$2:$LP$60=X$4)*(GMWQ!$LR$2:$LR$60=X$1),0),$B226-1966)</f>
        <v>6229397</v>
      </c>
      <c r="Y226" s="7" cm="1">
        <f t="array" ref="Y226">INDEX(GMWQ!$A$2:$LR$60,MATCH(1,(GMWQ!$LQ$2:$LQ$60=Y$3)*(GMWQ!$LP$2:$LP$60=Y$4)*(GMWQ!$LR$2:$LR$60=Y$1),0),$B226-1966)</f>
        <v>129.54390000000001</v>
      </c>
      <c r="Z226" s="7" cm="1">
        <f t="array" ref="Z226">INDEX(GMWQ!$A$2:$LR$60,MATCH(1,(GMWQ!$LQ$2:$LQ$60=Z$3)*(GMWQ!$LP$2:$LP$60=Z$4)*(GMWQ!$LR$2:$LR$60=Z$1),0),$B226-1966)</f>
        <v>607108.9</v>
      </c>
      <c r="AA226" s="7" cm="1">
        <f t="array" ref="AA226">INDEX(GMWQ!$A$2:$LR$60,MATCH(1,(GMWQ!$LQ$2:$LQ$60=AA$3)*(GMWQ!$LP$2:$LP$60=AA$4)*(GMWQ!$LR$2:$LR$60=AA$1),0),$B226-1966)</f>
        <v>309873.59999999998</v>
      </c>
      <c r="AB226" s="7" cm="1">
        <f t="array" ref="AB226">INDEX(GMWQ!$A$2:$LR$60,MATCH(1,(GMWQ!$LQ$2:$LQ$60=AB$3)*(GMWQ!$LP$2:$LP$60=AB$4)*(GMWQ!$LR$2:$LR$60=AB$1),0),$B226-1966)</f>
        <v>303959.3</v>
      </c>
      <c r="AC226" s="7" cm="1">
        <f t="array" ref="AC226">INDEX(GMWQ!$A$2:$LR$60,MATCH(1,(GMWQ!$LQ$2:$LQ$60=AC$3)*(GMWQ!$LP$2:$LP$60=AC$4)*(GMWQ!$LR$2:$LR$60=AC$1),0),$B226-1966)</f>
        <v>13037.77</v>
      </c>
      <c r="AD226" s="7" cm="1">
        <f t="array" ref="AD226">INDEX(GMWQ!$A$2:$LR$60,MATCH(1,(GMWQ!$LQ$2:$LQ$60=AD$3)*(GMWQ!$LP$2:$LP$60=AD$4)*(GMWQ!$LR$2:$LR$60=AD$1),0),$B226-1966)</f>
        <v>17866.849999999999</v>
      </c>
      <c r="AE226" s="7" cm="1">
        <f t="array" ref="AE226">INDEX(GMWQ!$A$2:$LR$60,MATCH(1,(GMWQ!$LQ$2:$LQ$60=AE$3)*(GMWQ!$LP$2:$LP$60=AE$4)*(GMWQ!$LR$2:$LR$60=AE$1),0),$B226-1966)</f>
        <v>786137.3</v>
      </c>
      <c r="AF226" s="20" cm="1">
        <f t="array" ref="AF226">INDEX(GMWQ!$A$2:$LR$60,MATCH(1,(GMWQ!$LQ$2:$LQ$60=AF$3)*(GMWQ!$LP$2:$LP$60=AF$4)*(GMWQ!$LR$2:$LR$60=AF$1),0),$B226-1966)</f>
        <v>2</v>
      </c>
      <c r="AG226" s="20" cm="1">
        <f t="array" ref="AG226">INDEX(GMWQ!$A$2:$LR$60,MATCH(1,(GMWQ!$LQ$2:$LQ$60=AG$3)*(GMWQ!$LP$2:$LP$60=AG$4)*(GMWQ!$LR$2:$LR$60=AG$1),0),$B226-1966)</f>
        <v>-6091.6279999999997</v>
      </c>
      <c r="AI226" s="23" cm="1">
        <f t="array" ref="AI226">INDEX(GMWQ!$A$2:$LR$60,MATCH(1,(GMWQ!$LQ$2:$LQ$60=AI$3)*(GMWQ!$LP$2:$LP$60=AI$4)*(GMWQ!$LR$2:$LR$60=AI$1),0),$B226-1966)</f>
        <v>515007.9</v>
      </c>
      <c r="AJ226" s="23" cm="1">
        <f t="array" ref="AJ226">INDEX(GMWQ!$A$2:$LR$60,MATCH(1,(GMWQ!$LQ$2:$LQ$60=AJ$3)*(GMWQ!$LP$2:$LP$60=AJ$4)*(GMWQ!$LR$2:$LR$60=AJ$1),0),$B226-1966)</f>
        <v>130.60390000000001</v>
      </c>
      <c r="AK226" s="23" cm="1">
        <f t="array" ref="AK226">INDEX(GMWQ!$A$2:$LR$60,MATCH(1,(GMWQ!$LQ$2:$LQ$60=AK$3)*(GMWQ!$LP$2:$LP$60=AK$4)*(GMWQ!$LR$2:$LR$60=AK$1),0),$B226-1966)</f>
        <v>324240.2</v>
      </c>
      <c r="AL226" s="23" cm="1">
        <f t="array" ref="AL226">INDEX(GMWQ!$A$2:$LR$60,MATCH(1,(GMWQ!$LQ$2:$LQ$60=AL$3)*(GMWQ!$LP$2:$LP$60=AL$4)*(GMWQ!$LR$2:$LR$60=AL$1),0),$B226-1966)</f>
        <v>10919.69</v>
      </c>
      <c r="AM226" s="23" cm="1">
        <f t="array" ref="AM226">INDEX(GMWQ!$A$2:$LR$60,MATCH(1,(GMWQ!$LQ$2:$LQ$60=AM$3)*(GMWQ!$LP$2:$LP$60=AM$4)*(GMWQ!$LR$2:$LR$60=AM$1),0),$B226-1966)</f>
        <v>29693.16</v>
      </c>
      <c r="AN226" s="23" cm="1">
        <f t="array" ref="AN226">INDEX(GMWQ!$A$2:$LR$60,MATCH(1,(GMWQ!$LQ$2:$LQ$60=AN$3)*(GMWQ!$LP$2:$LP$60=AN$4)*(GMWQ!$LR$2:$LR$60=AN$1),0),$B226-1966)</f>
        <v>93329.45</v>
      </c>
      <c r="AO226" s="23" cm="1">
        <f t="array" ref="AO226">INDEX(GMWQ!$A$2:$LR$60,MATCH(1,(GMWQ!$LQ$2:$LQ$60=AO$3)*(GMWQ!$LP$2:$LP$60=AO$4)*(GMWQ!$LR$2:$LR$60=AO$1),0),$B226-1966)</f>
        <v>21740.3</v>
      </c>
      <c r="AP226" s="23" cm="1">
        <f t="array" ref="AP226">INDEX(GMWQ!$A$2:$LR$60,MATCH(1,(GMWQ!$LQ$2:$LQ$60=AP$3)*(GMWQ!$LP$2:$LP$60=AP$4)*(GMWQ!$LR$2:$LR$60=AP$1),0),$B226-1966)</f>
        <v>-6091.6279999999997</v>
      </c>
      <c r="AQ226" s="23" cm="1">
        <f t="array" ref="AQ226">INDEX(GMWQ!$A$2:$LR$60,MATCH(1,(GMWQ!$LQ$2:$LQ$60=AQ$3)*(GMWQ!$LP$2:$LP$60=AQ$4)*(GMWQ!$LR$2:$LR$60=AQ$1),0),$B226-1966)</f>
        <v>106338.6</v>
      </c>
      <c r="AR226" s="23" cm="1">
        <f t="array" ref="AR226">INDEX(GMWQ!$A$2:$LR$60,MATCH(1,(GMWQ!$LQ$2:$LQ$60=AR$3)*(GMWQ!$LP$2:$LP$60=AR$4)*(GMWQ!$LR$2:$LR$60=AR$1),0),$B226-1966)</f>
        <v>476620.2</v>
      </c>
      <c r="AS226" s="23" cm="1">
        <f t="array" ref="AS226">INDEX(GMWQ!$A$2:$LR$60,MATCH(1,(GMWQ!$LQ$2:$LQ$60=AS$3)*(GMWQ!$LP$2:$LP$60=AS$4)*(GMWQ!$LR$2:$LR$60=AS$1),0),$B226-1966)</f>
        <v>15923.34</v>
      </c>
      <c r="AT226" s="23" cm="1">
        <f t="array" ref="AT226">INDEX(GMWQ!$A$2:$LR$60,MATCH(1,(GMWQ!$LQ$2:$LQ$60=AT$3)*(GMWQ!$LP$2:$LP$60=AT$4)*(GMWQ!$LR$2:$LR$60=AT$1),0),$B226-1966)</f>
        <v>364935.7</v>
      </c>
      <c r="AU226" s="23" cm="1">
        <f t="array" ref="AU226">INDEX(GMWQ!$A$2:$LR$60,MATCH(1,(GMWQ!$LQ$2:$LQ$60=AU$3)*(GMWQ!$LP$2:$LP$60=AU$4)*(GMWQ!$LR$2:$LR$60=AU$1),0),$B226-1966)</f>
        <v>12986.93</v>
      </c>
    </row>
    <row r="227" spans="1:47" x14ac:dyDescent="0.35">
      <c r="A227" s="7">
        <v>2028</v>
      </c>
      <c r="B227" s="7">
        <f t="shared" si="4"/>
        <v>2193</v>
      </c>
      <c r="C227" s="7" cm="1">
        <f t="array" ref="C227">INDEX(GMWQ!$A$2:$LR$60,MATCH(1,(GMWQ!$LQ$2:$LQ$60=C$3)*(GMWQ!$LP$2:$LP$60=C$4)*(GMWQ!$LR$2:$LR$60=C$1),0),$B227-1966)</f>
        <v>609277.4</v>
      </c>
      <c r="D227" s="7" cm="1">
        <f t="array" ref="D227">INDEX(GMWQ!$A$2:$LR$60,MATCH(1,(GMWQ!$LQ$2:$LQ$60=D$3)*(GMWQ!$LP$2:$LP$60=D$4)*(GMWQ!$LR$2:$LR$60=D$1),0),$B227-1966)</f>
        <v>756.0634</v>
      </c>
      <c r="E227" s="7" cm="1">
        <f t="array" ref="E227">INDEX(GMWQ!$A$2:$LR$60,MATCH(1,(GMWQ!$LQ$2:$LQ$60=E$3)*(GMWQ!$LP$2:$LP$60=E$4)*(GMWQ!$LR$2:$LR$60=E$1),0),$B227-1966)</f>
        <v>143.51669999999999</v>
      </c>
      <c r="F227" s="7" cm="1">
        <f t="array" ref="F227">INDEX(GMWQ!$A$2:$LR$60,MATCH(1,(GMWQ!$LQ$2:$LQ$60=F$3)*(GMWQ!$LP$2:$LP$60=F$4)*(GMWQ!$LR$2:$LR$60=F$1),0),$B227-1966)</f>
        <v>327210.09999999998</v>
      </c>
      <c r="G227" s="7" cm="1">
        <f t="array" ref="G227">INDEX(GMWQ!$A$2:$LR$60,MATCH(1,(GMWQ!$LQ$2:$LQ$60=G$3)*(GMWQ!$LP$2:$LP$60=G$4)*(GMWQ!$LR$2:$LR$60=G$1),0),$B227-1966)</f>
        <v>94776.26</v>
      </c>
      <c r="H227" s="7" cm="1">
        <f t="array" ref="H227">INDEX(GMWQ!$A$2:$LR$60,MATCH(1,(GMWQ!$LQ$2:$LQ$60=H$3)*(GMWQ!$LP$2:$LP$60=H$4)*(GMWQ!$LR$2:$LR$60=H$1),0),$B227-1966)</f>
        <v>21955.8</v>
      </c>
      <c r="I227" s="7" cm="1">
        <f t="array" ref="I227">INDEX(GMWQ!$A$2:$LR$60,MATCH(1,(GMWQ!$LQ$2:$LQ$60=I$3)*(GMWQ!$LP$2:$LP$60=I$4)*(GMWQ!$LR$2:$LR$60=I$1),0),$B227-1966)</f>
        <v>131.28960000000001</v>
      </c>
      <c r="J227" s="7" cm="1">
        <f t="array" ref="J227">INDEX(GMWQ!$A$2:$LR$60,MATCH(1,(GMWQ!$LQ$2:$LQ$60=J$3)*(GMWQ!$LP$2:$LP$60=J$4)*(GMWQ!$LR$2:$LR$60=J$1),0),$B227-1966)</f>
        <v>29761.040000000001</v>
      </c>
      <c r="K227" s="7" cm="1">
        <f t="array" ref="K227">INDEX(GMWQ!$A$2:$LR$60,MATCH(1,(GMWQ!$LQ$2:$LQ$60=K$3)*(GMWQ!$LP$2:$LP$60=K$4)*(GMWQ!$LR$2:$LR$60=K$1),0),$B227-1966)</f>
        <v>2</v>
      </c>
      <c r="L227" s="7" cm="1">
        <f t="array" ref="L227">INDEX(GMWQ!$A$2:$LR$60,MATCH(1,(GMWQ!$LQ$2:$LQ$60=L$3)*(GMWQ!$LP$2:$LP$60=L$4)*(GMWQ!$LR$2:$LR$60=L$1),0),$B227-1966)</f>
        <v>3.7501220000000002</v>
      </c>
      <c r="M227" s="7" cm="1">
        <f t="array" ref="M227">INDEX(GMWQ!$A$2:$LR$60,MATCH(1,(GMWQ!$LQ$2:$LQ$60=M$3)*(GMWQ!$LP$2:$LP$60=M$4)*(GMWQ!$LR$2:$LR$60=M$1),0),$B227-1966)</f>
        <v>164.50960000000001</v>
      </c>
      <c r="N227" s="7" cm="1">
        <f t="array" ref="N227">INDEX(GMWQ!$A$2:$LR$60,MATCH(1,(GMWQ!$LQ$2:$LQ$60=N$3)*(GMWQ!$LP$2:$LP$60=N$4)*(GMWQ!$LR$2:$LR$60=N$1),0),$B227-1966)</f>
        <v>23349.86</v>
      </c>
      <c r="O227" s="7" cm="1">
        <f t="array" ref="O227">INDEX(GMWQ!$A$2:$LR$60,MATCH(1,(GMWQ!$LQ$2:$LQ$60=O$3)*(GMWQ!$LP$2:$LP$60=O$4)*(GMWQ!$LR$2:$LR$60=O$1),0),$B227-1966)</f>
        <v>17185.57</v>
      </c>
      <c r="P227" s="7" cm="1">
        <f t="array" ref="P227">INDEX(GMWQ!$A$2:$LR$60,MATCH(1,(GMWQ!$LQ$2:$LQ$60=P$3)*(GMWQ!$LP$2:$LP$60=P$4)*(GMWQ!$LR$2:$LR$60=P$1),0),$B227-1966)</f>
        <v>520247.5</v>
      </c>
      <c r="Q227" s="7" cm="1">
        <f t="array" ref="Q227">INDEX(GMWQ!$A$2:$LR$60,MATCH(1,(GMWQ!$LQ$2:$LQ$60=Q$3)*(GMWQ!$LP$2:$LP$60=Q$4)*(GMWQ!$LR$2:$LR$60=Q$1),0),$B227-1966)</f>
        <v>3.690334</v>
      </c>
      <c r="R227" s="7" cm="1">
        <f t="array" ref="R227">INDEX(GMWQ!$A$2:$LR$60,MATCH(1,(GMWQ!$LQ$2:$LQ$60=R$3)*(GMWQ!$LP$2:$LP$60=R$4)*(GMWQ!$LR$2:$LR$60=R$1),0),$B227-1966)</f>
        <v>224103.2</v>
      </c>
      <c r="S227" s="7" cm="1">
        <f t="array" ref="S227">INDEX(GMWQ!$A$2:$LR$60,MATCH(1,(GMWQ!$LQ$2:$LQ$60=S$3)*(GMWQ!$LP$2:$LP$60=S$4)*(GMWQ!$LR$2:$LR$60=S$1),0),$B227-1966)</f>
        <v>334.30930000000001</v>
      </c>
      <c r="T227" s="7" cm="1">
        <f t="array" ref="T227">INDEX(GMWQ!$A$2:$LR$60,MATCH(1,(GMWQ!$LQ$2:$LQ$60=T$3)*(GMWQ!$LP$2:$LP$60=T$4)*(GMWQ!$LR$2:$LR$60=T$1),0),$B227-1966)</f>
        <v>94874.73</v>
      </c>
      <c r="U227" s="7" cm="1">
        <f t="array" ref="U227">INDEX(GMWQ!$A$2:$LR$60,MATCH(1,(GMWQ!$LQ$2:$LQ$60=U$3)*(GMWQ!$LP$2:$LP$60=U$4)*(GMWQ!$LR$2:$LR$60=U$1),0),$B227-1966)</f>
        <v>22181.65</v>
      </c>
      <c r="V227" s="7" cm="1">
        <f t="array" ref="V227">INDEX(GMWQ!$A$2:$LR$60,MATCH(1,(GMWQ!$LQ$2:$LQ$60=V$3)*(GMWQ!$LP$2:$LP$60=V$4)*(GMWQ!$LR$2:$LR$60=V$1),0),$B227-1966)</f>
        <v>1.4097490000000001E-3</v>
      </c>
      <c r="W227" s="7" cm="1">
        <f t="array" ref="W227">INDEX(GMWQ!$A$2:$LR$60,MATCH(1,(GMWQ!$LQ$2:$LQ$60=W$3)*(GMWQ!$LP$2:$LP$60=W$4)*(GMWQ!$LR$2:$LR$60=W$1),0),$B227-1966)</f>
        <v>8.9145520000000005</v>
      </c>
      <c r="X227" s="7" cm="1">
        <f t="array" ref="X227">INDEX(GMWQ!$A$2:$LR$60,MATCH(1,(GMWQ!$LQ$2:$LQ$60=X$3)*(GMWQ!$LP$2:$LP$60=X$4)*(GMWQ!$LR$2:$LR$60=X$1),0),$B227-1966)</f>
        <v>6313440</v>
      </c>
      <c r="Y227" s="7" cm="1">
        <f t="array" ref="Y227">INDEX(GMWQ!$A$2:$LR$60,MATCH(1,(GMWQ!$LQ$2:$LQ$60=Y$3)*(GMWQ!$LP$2:$LP$60=Y$4)*(GMWQ!$LR$2:$LR$60=Y$1),0),$B227-1966)</f>
        <v>130.2176</v>
      </c>
      <c r="Z227" s="7" cm="1">
        <f t="array" ref="Z227">INDEX(GMWQ!$A$2:$LR$60,MATCH(1,(GMWQ!$LQ$2:$LQ$60=Z$3)*(GMWQ!$LP$2:$LP$60=Z$4)*(GMWQ!$LR$2:$LR$60=Z$1),0),$B227-1966)</f>
        <v>609556</v>
      </c>
      <c r="AA227" s="7" cm="1">
        <f t="array" ref="AA227">INDEX(GMWQ!$A$2:$LR$60,MATCH(1,(GMWQ!$LQ$2:$LQ$60=AA$3)*(GMWQ!$LP$2:$LP$60=AA$4)*(GMWQ!$LR$2:$LR$60=AA$1),0),$B227-1966)</f>
        <v>360108.5</v>
      </c>
      <c r="AB227" s="7" cm="1">
        <f t="array" ref="AB227">INDEX(GMWQ!$A$2:$LR$60,MATCH(1,(GMWQ!$LQ$2:$LQ$60=AB$3)*(GMWQ!$LP$2:$LP$60=AB$4)*(GMWQ!$LR$2:$LR$60=AB$1),0),$B227-1966)</f>
        <v>303031.59999999998</v>
      </c>
      <c r="AC227" s="7" cm="1">
        <f t="array" ref="AC227">INDEX(GMWQ!$A$2:$LR$60,MATCH(1,(GMWQ!$LQ$2:$LQ$60=AC$3)*(GMWQ!$LP$2:$LP$60=AC$4)*(GMWQ!$LR$2:$LR$60=AC$1),0),$B227-1966)</f>
        <v>23137.25</v>
      </c>
      <c r="AD227" s="7" cm="1">
        <f t="array" ref="AD227">INDEX(GMWQ!$A$2:$LR$60,MATCH(1,(GMWQ!$LQ$2:$LQ$60=AD$3)*(GMWQ!$LP$2:$LP$60=AD$4)*(GMWQ!$LR$2:$LR$60=AD$1),0),$B227-1966)</f>
        <v>17866.849999999999</v>
      </c>
      <c r="AE227" s="7" cm="1">
        <f t="array" ref="AE227">INDEX(GMWQ!$A$2:$LR$60,MATCH(1,(GMWQ!$LQ$2:$LQ$60=AE$3)*(GMWQ!$LP$2:$LP$60=AE$4)*(GMWQ!$LR$2:$LR$60=AE$1),0),$B227-1966)</f>
        <v>793386.2</v>
      </c>
      <c r="AF227" s="20" cm="1">
        <f t="array" ref="AF227">INDEX(GMWQ!$A$2:$LR$60,MATCH(1,(GMWQ!$LQ$2:$LQ$60=AF$3)*(GMWQ!$LP$2:$LP$60=AF$4)*(GMWQ!$LR$2:$LR$60=AF$1),0),$B227-1966)</f>
        <v>2</v>
      </c>
      <c r="AG227" s="20" cm="1">
        <f t="array" ref="AG227">INDEX(GMWQ!$A$2:$LR$60,MATCH(1,(GMWQ!$LQ$2:$LQ$60=AG$3)*(GMWQ!$LP$2:$LP$60=AG$4)*(GMWQ!$LR$2:$LR$60=AG$1),0),$B227-1966)</f>
        <v>-6164.29</v>
      </c>
      <c r="AI227" s="23" cm="1">
        <f t="array" ref="AI227">INDEX(GMWQ!$A$2:$LR$60,MATCH(1,(GMWQ!$LQ$2:$LQ$60=AI$3)*(GMWQ!$LP$2:$LP$60=AI$4)*(GMWQ!$LR$2:$LR$60=AI$1),0),$B227-1966)</f>
        <v>520247.5</v>
      </c>
      <c r="AJ227" s="23" cm="1">
        <f t="array" ref="AJ227">INDEX(GMWQ!$A$2:$LR$60,MATCH(1,(GMWQ!$LQ$2:$LQ$60=AJ$3)*(GMWQ!$LP$2:$LP$60=AJ$4)*(GMWQ!$LR$2:$LR$60=AJ$1),0),$B227-1966)</f>
        <v>131.28960000000001</v>
      </c>
      <c r="AK227" s="23" cm="1">
        <f t="array" ref="AK227">INDEX(GMWQ!$A$2:$LR$60,MATCH(1,(GMWQ!$LQ$2:$LQ$60=AK$3)*(GMWQ!$LP$2:$LP$60=AK$4)*(GMWQ!$LR$2:$LR$60=AK$1),0),$B227-1966)</f>
        <v>327210.09999999998</v>
      </c>
      <c r="AL227" s="23" cm="1">
        <f t="array" ref="AL227">INDEX(GMWQ!$A$2:$LR$60,MATCH(1,(GMWQ!$LQ$2:$LQ$60=AL$3)*(GMWQ!$LP$2:$LP$60=AL$4)*(GMWQ!$LR$2:$LR$60=AL$1),0),$B227-1966)</f>
        <v>10994.58</v>
      </c>
      <c r="AM227" s="23" cm="1">
        <f t="array" ref="AM227">INDEX(GMWQ!$A$2:$LR$60,MATCH(1,(GMWQ!$LQ$2:$LQ$60=AM$3)*(GMWQ!$LP$2:$LP$60=AM$4)*(GMWQ!$LR$2:$LR$60=AM$1),0),$B227-1966)</f>
        <v>29761.040000000001</v>
      </c>
      <c r="AN227" s="23" cm="1">
        <f t="array" ref="AN227">INDEX(GMWQ!$A$2:$LR$60,MATCH(1,(GMWQ!$LQ$2:$LQ$60=AN$3)*(GMWQ!$LP$2:$LP$60=AN$4)*(GMWQ!$LR$2:$LR$60=AN$1),0),$B227-1966)</f>
        <v>94776.26</v>
      </c>
      <c r="AO227" s="23" cm="1">
        <f t="array" ref="AO227">INDEX(GMWQ!$A$2:$LR$60,MATCH(1,(GMWQ!$LQ$2:$LQ$60=AO$3)*(GMWQ!$LP$2:$LP$60=AO$4)*(GMWQ!$LR$2:$LR$60=AO$1),0),$B227-1966)</f>
        <v>21955.8</v>
      </c>
      <c r="AP227" s="23" cm="1">
        <f t="array" ref="AP227">INDEX(GMWQ!$A$2:$LR$60,MATCH(1,(GMWQ!$LQ$2:$LQ$60=AP$3)*(GMWQ!$LP$2:$LP$60=AP$4)*(GMWQ!$LR$2:$LR$60=AP$1),0),$B227-1966)</f>
        <v>-6164.29</v>
      </c>
      <c r="AQ227" s="23" cm="1">
        <f t="array" ref="AQ227">INDEX(GMWQ!$A$2:$LR$60,MATCH(1,(GMWQ!$LQ$2:$LQ$60=AQ$3)*(GMWQ!$LP$2:$LP$60=AQ$4)*(GMWQ!$LR$2:$LR$60=AQ$1),0),$B227-1966)</f>
        <v>107814.1</v>
      </c>
      <c r="AR227" s="23" cm="1">
        <f t="array" ref="AR227">INDEX(GMWQ!$A$2:$LR$60,MATCH(1,(GMWQ!$LQ$2:$LQ$60=AR$3)*(GMWQ!$LP$2:$LP$60=AR$4)*(GMWQ!$LR$2:$LR$60=AR$1),0),$B227-1966)</f>
        <v>481134.9</v>
      </c>
      <c r="AS227" s="23" cm="1">
        <f t="array" ref="AS227">INDEX(GMWQ!$A$2:$LR$60,MATCH(1,(GMWQ!$LQ$2:$LQ$60=AS$3)*(GMWQ!$LP$2:$LP$60=AS$4)*(GMWQ!$LR$2:$LR$60=AS$1),0),$B227-1966)</f>
        <v>16083.99</v>
      </c>
      <c r="AT227" s="23" cm="1">
        <f t="array" ref="AT227">INDEX(GMWQ!$A$2:$LR$60,MATCH(1,(GMWQ!$LQ$2:$LQ$60=AT$3)*(GMWQ!$LP$2:$LP$60=AT$4)*(GMWQ!$LR$2:$LR$60=AT$1),0),$B227-1966)</f>
        <v>366468.4</v>
      </c>
      <c r="AU227" s="23" cm="1">
        <f t="array" ref="AU227">INDEX(GMWQ!$A$2:$LR$60,MATCH(1,(GMWQ!$LQ$2:$LQ$60=AU$3)*(GMWQ!$LP$2:$LP$60=AU$4)*(GMWQ!$LR$2:$LR$60=AU$1),0),$B227-1966)</f>
        <v>13041.48</v>
      </c>
    </row>
    <row r="228" spans="1:47" x14ac:dyDescent="0.35">
      <c r="B228" s="7">
        <f t="shared" si="4"/>
        <v>2194</v>
      </c>
      <c r="C228" s="7" cm="1">
        <f t="array" ref="C228">INDEX(GMWQ!$A$2:$LR$60,MATCH(1,(GMWQ!$LQ$2:$LQ$60=C$3)*(GMWQ!$LP$2:$LP$60=C$4)*(GMWQ!$LR$2:$LR$60=C$1),0),$B228-1966)</f>
        <v>611714.4</v>
      </c>
      <c r="D228" s="7" cm="1">
        <f t="array" ref="D228">INDEX(GMWQ!$A$2:$LR$60,MATCH(1,(GMWQ!$LQ$2:$LQ$60=D$3)*(GMWQ!$LP$2:$LP$60=D$4)*(GMWQ!$LR$2:$LR$60=D$1),0),$B228-1966)</f>
        <v>761.22329999999999</v>
      </c>
      <c r="E228" s="7" cm="1">
        <f t="array" ref="E228">INDEX(GMWQ!$A$2:$LR$60,MATCH(1,(GMWQ!$LQ$2:$LQ$60=E$3)*(GMWQ!$LP$2:$LP$60=E$4)*(GMWQ!$LR$2:$LR$60=E$1),0),$B228-1966)</f>
        <v>144.82749999999999</v>
      </c>
      <c r="F228" s="7" cm="1">
        <f t="array" ref="F228">INDEX(GMWQ!$A$2:$LR$60,MATCH(1,(GMWQ!$LQ$2:$LQ$60=F$3)*(GMWQ!$LP$2:$LP$60=F$4)*(GMWQ!$LR$2:$LR$60=F$1),0),$B228-1966)</f>
        <v>330193.59999999998</v>
      </c>
      <c r="G228" s="7" cm="1">
        <f t="array" ref="G228">INDEX(GMWQ!$A$2:$LR$60,MATCH(1,(GMWQ!$LQ$2:$LQ$60=G$3)*(GMWQ!$LP$2:$LP$60=G$4)*(GMWQ!$LR$2:$LR$60=G$1),0),$B228-1966)</f>
        <v>95694.23</v>
      </c>
      <c r="H228" s="7" cm="1">
        <f t="array" ref="H228">INDEX(GMWQ!$A$2:$LR$60,MATCH(1,(GMWQ!$LQ$2:$LQ$60=H$3)*(GMWQ!$LP$2:$LP$60=H$4)*(GMWQ!$LR$2:$LR$60=H$1),0),$B228-1966)</f>
        <v>22172.5</v>
      </c>
      <c r="I228" s="7" cm="1">
        <f t="array" ref="I228">INDEX(GMWQ!$A$2:$LR$60,MATCH(1,(GMWQ!$LQ$2:$LQ$60=I$3)*(GMWQ!$LP$2:$LP$60=I$4)*(GMWQ!$LR$2:$LR$60=I$1),0),$B228-1966)</f>
        <v>131.94110000000001</v>
      </c>
      <c r="J228" s="7" cm="1">
        <f t="array" ref="J228">INDEX(GMWQ!$A$2:$LR$60,MATCH(1,(GMWQ!$LQ$2:$LQ$60=J$3)*(GMWQ!$LP$2:$LP$60=J$4)*(GMWQ!$LR$2:$LR$60=J$1),0),$B228-1966)</f>
        <v>29828.799999999999</v>
      </c>
      <c r="K228" s="7" cm="1">
        <f t="array" ref="K228">INDEX(GMWQ!$A$2:$LR$60,MATCH(1,(GMWQ!$LQ$2:$LQ$60=K$3)*(GMWQ!$LP$2:$LP$60=K$4)*(GMWQ!$LR$2:$LR$60=K$1),0),$B228-1966)</f>
        <v>2</v>
      </c>
      <c r="L228" s="7" cm="1">
        <f t="array" ref="L228">INDEX(GMWQ!$A$2:$LR$60,MATCH(1,(GMWQ!$LQ$2:$LQ$60=L$3)*(GMWQ!$LP$2:$LP$60=L$4)*(GMWQ!$LR$2:$LR$60=L$1),0),$B228-1966)</f>
        <v>3.7501030000000002</v>
      </c>
      <c r="M228" s="7" cm="1">
        <f t="array" ref="M228">INDEX(GMWQ!$A$2:$LR$60,MATCH(1,(GMWQ!$LQ$2:$LQ$60=M$3)*(GMWQ!$LP$2:$LP$60=M$4)*(GMWQ!$LR$2:$LR$60=M$1),0),$B228-1966)</f>
        <v>165.93219999999999</v>
      </c>
      <c r="N228" s="7" cm="1">
        <f t="array" ref="N228">INDEX(GMWQ!$A$2:$LR$60,MATCH(1,(GMWQ!$LQ$2:$LQ$60=N$3)*(GMWQ!$LP$2:$LP$60=N$4)*(GMWQ!$LR$2:$LR$60=N$1),0),$B228-1966)</f>
        <v>23238.99</v>
      </c>
      <c r="O228" s="7" cm="1">
        <f t="array" ref="O228">INDEX(GMWQ!$A$2:$LR$60,MATCH(1,(GMWQ!$LQ$2:$LQ$60=O$3)*(GMWQ!$LP$2:$LP$60=O$4)*(GMWQ!$LR$2:$LR$60=O$1),0),$B228-1966)</f>
        <v>16989.03</v>
      </c>
      <c r="P228" s="7" cm="1">
        <f t="array" ref="P228">INDEX(GMWQ!$A$2:$LR$60,MATCH(1,(GMWQ!$LQ$2:$LQ$60=P$3)*(GMWQ!$LP$2:$LP$60=P$4)*(GMWQ!$LR$2:$LR$60=P$1),0),$B228-1966)</f>
        <v>524811.5</v>
      </c>
      <c r="Q228" s="7" cm="1">
        <f t="array" ref="Q228">INDEX(GMWQ!$A$2:$LR$60,MATCH(1,(GMWQ!$LQ$2:$LQ$60=Q$3)*(GMWQ!$LP$2:$LP$60=Q$4)*(GMWQ!$LR$2:$LR$60=Q$1),0),$B228-1966)</f>
        <v>3.6352950000000002</v>
      </c>
      <c r="R228" s="7" cm="1">
        <f t="array" ref="R228">INDEX(GMWQ!$A$2:$LR$60,MATCH(1,(GMWQ!$LQ$2:$LQ$60=R$3)*(GMWQ!$LP$2:$LP$60=R$4)*(GMWQ!$LR$2:$LR$60=R$1),0),$B228-1966)</f>
        <v>225369.1</v>
      </c>
      <c r="S228" s="7" cm="1">
        <f t="array" ref="S228">INDEX(GMWQ!$A$2:$LR$60,MATCH(1,(GMWQ!$LQ$2:$LQ$60=S$3)*(GMWQ!$LP$2:$LP$60=S$4)*(GMWQ!$LR$2:$LR$60=S$1),0),$B228-1966)</f>
        <v>336.1979</v>
      </c>
      <c r="T228" s="7" cm="1">
        <f t="array" ref="T228">INDEX(GMWQ!$A$2:$LR$60,MATCH(1,(GMWQ!$LQ$2:$LQ$60=T$3)*(GMWQ!$LP$2:$LP$60=T$4)*(GMWQ!$LR$2:$LR$60=T$1),0),$B228-1966)</f>
        <v>96238.66</v>
      </c>
      <c r="U228" s="7" cm="1">
        <f t="array" ref="U228">INDEX(GMWQ!$A$2:$LR$60,MATCH(1,(GMWQ!$LQ$2:$LQ$60=U$3)*(GMWQ!$LP$2:$LP$60=U$4)*(GMWQ!$LR$2:$LR$60=U$1),0),$B228-1966)</f>
        <v>22681.97</v>
      </c>
      <c r="V228" s="7" cm="1">
        <f t="array" ref="V228">INDEX(GMWQ!$A$2:$LR$60,MATCH(1,(GMWQ!$LQ$2:$LQ$60=V$3)*(GMWQ!$LP$2:$LP$60=V$4)*(GMWQ!$LR$2:$LR$60=V$1),0),$B228-1966)</f>
        <v>1.4021680000000001E-3</v>
      </c>
      <c r="W228" s="7" cm="1">
        <f t="array" ref="W228">INDEX(GMWQ!$A$2:$LR$60,MATCH(1,(GMWQ!$LQ$2:$LQ$60=W$3)*(GMWQ!$LP$2:$LP$60=W$4)*(GMWQ!$LR$2:$LR$60=W$1),0),$B228-1966)</f>
        <v>8.9781359999999992</v>
      </c>
      <c r="X228" s="7" cm="1">
        <f t="array" ref="X228">INDEX(GMWQ!$A$2:$LR$60,MATCH(1,(GMWQ!$LQ$2:$LQ$60=X$3)*(GMWQ!$LP$2:$LP$60=X$4)*(GMWQ!$LR$2:$LR$60=X$1),0),$B228-1966)</f>
        <v>6385837</v>
      </c>
      <c r="Y228" s="7" cm="1">
        <f t="array" ref="Y228">INDEX(GMWQ!$A$2:$LR$60,MATCH(1,(GMWQ!$LQ$2:$LQ$60=Y$3)*(GMWQ!$LP$2:$LP$60=Y$4)*(GMWQ!$LR$2:$LR$60=Y$1),0),$B228-1966)</f>
        <v>130.8817</v>
      </c>
      <c r="Z228" s="7" cm="1">
        <f t="array" ref="Z228">INDEX(GMWQ!$A$2:$LR$60,MATCH(1,(GMWQ!$LQ$2:$LQ$60=Z$3)*(GMWQ!$LP$2:$LP$60=Z$4)*(GMWQ!$LR$2:$LR$60=Z$1),0),$B228-1966)</f>
        <v>612007.1</v>
      </c>
      <c r="AA228" s="7" cm="1">
        <f t="array" ref="AA228">INDEX(GMWQ!$A$2:$LR$60,MATCH(1,(GMWQ!$LQ$2:$LQ$60=AA$3)*(GMWQ!$LP$2:$LP$60=AA$4)*(GMWQ!$LR$2:$LR$60=AA$1),0),$B228-1966)</f>
        <v>320259.90000000002</v>
      </c>
      <c r="AB228" s="7" cm="1">
        <f t="array" ref="AB228">INDEX(GMWQ!$A$2:$LR$60,MATCH(1,(GMWQ!$LQ$2:$LQ$60=AB$3)*(GMWQ!$LP$2:$LP$60=AB$4)*(GMWQ!$LR$2:$LR$60=AB$1),0),$B228-1966)</f>
        <v>308730.5</v>
      </c>
      <c r="AC228" s="7" cm="1">
        <f t="array" ref="AC228">INDEX(GMWQ!$A$2:$LR$60,MATCH(1,(GMWQ!$LQ$2:$LQ$60=AC$3)*(GMWQ!$LP$2:$LP$60=AC$4)*(GMWQ!$LR$2:$LR$60=AC$1),0),$B228-1966)</f>
        <v>10312.67</v>
      </c>
      <c r="AD228" s="7" cm="1">
        <f t="array" ref="AD228">INDEX(GMWQ!$A$2:$LR$60,MATCH(1,(GMWQ!$LQ$2:$LQ$60=AD$3)*(GMWQ!$LP$2:$LP$60=AD$4)*(GMWQ!$LR$2:$LR$60=AD$1),0),$B228-1966)</f>
        <v>18440.09</v>
      </c>
      <c r="AE228" s="7" cm="1">
        <f t="array" ref="AE228">INDEX(GMWQ!$A$2:$LR$60,MATCH(1,(GMWQ!$LQ$2:$LQ$60=AE$3)*(GMWQ!$LP$2:$LP$60=AE$4)*(GMWQ!$LR$2:$LR$60=AE$1),0),$B228-1966)</f>
        <v>800622.4</v>
      </c>
      <c r="AF228" s="20" cm="1">
        <f t="array" ref="AF228">INDEX(GMWQ!$A$2:$LR$60,MATCH(1,(GMWQ!$LQ$2:$LQ$60=AF$3)*(GMWQ!$LP$2:$LP$60=AF$4)*(GMWQ!$LR$2:$LR$60=AF$1),0),$B228-1966)</f>
        <v>2</v>
      </c>
      <c r="AG228" s="20" cm="1">
        <f t="array" ref="AG228">INDEX(GMWQ!$A$2:$LR$60,MATCH(1,(GMWQ!$LQ$2:$LQ$60=AG$3)*(GMWQ!$LP$2:$LP$60=AG$4)*(GMWQ!$LR$2:$LR$60=AG$1),0),$B228-1966)</f>
        <v>-6249.9579999999996</v>
      </c>
      <c r="AI228" s="23" cm="1">
        <f t="array" ref="AI228">INDEX(GMWQ!$A$2:$LR$60,MATCH(1,(GMWQ!$LQ$2:$LQ$60=AI$3)*(GMWQ!$LP$2:$LP$60=AI$4)*(GMWQ!$LR$2:$LR$60=AI$1),0),$B228-1966)</f>
        <v>524811.5</v>
      </c>
      <c r="AJ228" s="23" cm="1">
        <f t="array" ref="AJ228">INDEX(GMWQ!$A$2:$LR$60,MATCH(1,(GMWQ!$LQ$2:$LQ$60=AJ$3)*(GMWQ!$LP$2:$LP$60=AJ$4)*(GMWQ!$LR$2:$LR$60=AJ$1),0),$B228-1966)</f>
        <v>131.94110000000001</v>
      </c>
      <c r="AK228" s="23" cm="1">
        <f t="array" ref="AK228">INDEX(GMWQ!$A$2:$LR$60,MATCH(1,(GMWQ!$LQ$2:$LQ$60=AK$3)*(GMWQ!$LP$2:$LP$60=AK$4)*(GMWQ!$LR$2:$LR$60=AK$1),0),$B228-1966)</f>
        <v>330193.59999999998</v>
      </c>
      <c r="AL228" s="23" cm="1">
        <f t="array" ref="AL228">INDEX(GMWQ!$A$2:$LR$60,MATCH(1,(GMWQ!$LQ$2:$LQ$60=AL$3)*(GMWQ!$LP$2:$LP$60=AL$4)*(GMWQ!$LR$2:$LR$60=AL$1),0),$B228-1966)</f>
        <v>11069.62</v>
      </c>
      <c r="AM228" s="23" cm="1">
        <f t="array" ref="AM228">INDEX(GMWQ!$A$2:$LR$60,MATCH(1,(GMWQ!$LQ$2:$LQ$60=AM$3)*(GMWQ!$LP$2:$LP$60=AM$4)*(GMWQ!$LR$2:$LR$60=AM$1),0),$B228-1966)</f>
        <v>29828.799999999999</v>
      </c>
      <c r="AN228" s="23" cm="1">
        <f t="array" ref="AN228">INDEX(GMWQ!$A$2:$LR$60,MATCH(1,(GMWQ!$LQ$2:$LQ$60=AN$3)*(GMWQ!$LP$2:$LP$60=AN$4)*(GMWQ!$LR$2:$LR$60=AN$1),0),$B228-1966)</f>
        <v>95694.23</v>
      </c>
      <c r="AO228" s="23" cm="1">
        <f t="array" ref="AO228">INDEX(GMWQ!$A$2:$LR$60,MATCH(1,(GMWQ!$LQ$2:$LQ$60=AO$3)*(GMWQ!$LP$2:$LP$60=AO$4)*(GMWQ!$LR$2:$LR$60=AO$1),0),$B228-1966)</f>
        <v>22172.5</v>
      </c>
      <c r="AP228" s="23" cm="1">
        <f t="array" ref="AP228">INDEX(GMWQ!$A$2:$LR$60,MATCH(1,(GMWQ!$LQ$2:$LQ$60=AP$3)*(GMWQ!$LP$2:$LP$60=AP$4)*(GMWQ!$LR$2:$LR$60=AP$1),0),$B228-1966)</f>
        <v>-6249.9579999999996</v>
      </c>
      <c r="AQ228" s="23" cm="1">
        <f t="array" ref="AQ228">INDEX(GMWQ!$A$2:$LR$60,MATCH(1,(GMWQ!$LQ$2:$LQ$60=AQ$3)*(GMWQ!$LP$2:$LP$60=AQ$4)*(GMWQ!$LR$2:$LR$60=AQ$1),0),$B228-1966)</f>
        <v>109256.9</v>
      </c>
      <c r="AR228" s="23" cm="1">
        <f t="array" ref="AR228">INDEX(GMWQ!$A$2:$LR$60,MATCH(1,(GMWQ!$LQ$2:$LQ$60=AR$3)*(GMWQ!$LP$2:$LP$60=AR$4)*(GMWQ!$LR$2:$LR$60=AR$1),0),$B228-1966)</f>
        <v>485553.2</v>
      </c>
      <c r="AS228" s="23" cm="1">
        <f t="array" ref="AS228">INDEX(GMWQ!$A$2:$LR$60,MATCH(1,(GMWQ!$LQ$2:$LQ$60=AS$3)*(GMWQ!$LP$2:$LP$60=AS$4)*(GMWQ!$LR$2:$LR$60=AS$1),0),$B228-1966)</f>
        <v>16241.25</v>
      </c>
      <c r="AT228" s="23" cm="1">
        <f t="array" ref="AT228">INDEX(GMWQ!$A$2:$LR$60,MATCH(1,(GMWQ!$LQ$2:$LQ$60=AT$3)*(GMWQ!$LP$2:$LP$60=AT$4)*(GMWQ!$LR$2:$LR$60=AT$1),0),$B228-1966)</f>
        <v>368007.5</v>
      </c>
      <c r="AU228" s="23" cm="1">
        <f t="array" ref="AU228">INDEX(GMWQ!$A$2:$LR$60,MATCH(1,(GMWQ!$LQ$2:$LQ$60=AU$3)*(GMWQ!$LP$2:$LP$60=AU$4)*(GMWQ!$LR$2:$LR$60=AU$1),0),$B228-1966)</f>
        <v>13096.25</v>
      </c>
    </row>
    <row r="229" spans="1:47" x14ac:dyDescent="0.35">
      <c r="B229" s="7">
        <f t="shared" si="4"/>
        <v>2195</v>
      </c>
      <c r="C229" s="7" cm="1">
        <f t="array" ref="C229">INDEX(GMWQ!$A$2:$LR$60,MATCH(1,(GMWQ!$LQ$2:$LQ$60=C$3)*(GMWQ!$LP$2:$LP$60=C$4)*(GMWQ!$LR$2:$LR$60=C$1),0),$B229-1966)</f>
        <v>614161.30000000005</v>
      </c>
      <c r="D229" s="7" cm="1">
        <f t="array" ref="D229">INDEX(GMWQ!$A$2:$LR$60,MATCH(1,(GMWQ!$LQ$2:$LQ$60=D$3)*(GMWQ!$LP$2:$LP$60=D$4)*(GMWQ!$LR$2:$LR$60=D$1),0),$B229-1966)</f>
        <v>766.41629999999998</v>
      </c>
      <c r="E229" s="7" cm="1">
        <f t="array" ref="E229">INDEX(GMWQ!$A$2:$LR$60,MATCH(1,(GMWQ!$LQ$2:$LQ$60=E$3)*(GMWQ!$LP$2:$LP$60=E$4)*(GMWQ!$LR$2:$LR$60=E$1),0),$B229-1966)</f>
        <v>145.58920000000001</v>
      </c>
      <c r="F229" s="7" cm="1">
        <f t="array" ref="F229">INDEX(GMWQ!$A$2:$LR$60,MATCH(1,(GMWQ!$LQ$2:$LQ$60=F$3)*(GMWQ!$LP$2:$LP$60=F$4)*(GMWQ!$LR$2:$LR$60=F$1),0),$B229-1966)</f>
        <v>333202.8</v>
      </c>
      <c r="G229" s="7" cm="1">
        <f t="array" ref="G229">INDEX(GMWQ!$A$2:$LR$60,MATCH(1,(GMWQ!$LQ$2:$LQ$60=G$3)*(GMWQ!$LP$2:$LP$60=G$4)*(GMWQ!$LR$2:$LR$60=G$1),0),$B229-1966)</f>
        <v>97008.77</v>
      </c>
      <c r="H229" s="7" cm="1">
        <f t="array" ref="H229">INDEX(GMWQ!$A$2:$LR$60,MATCH(1,(GMWQ!$LQ$2:$LQ$60=H$3)*(GMWQ!$LP$2:$LP$60=H$4)*(GMWQ!$LR$2:$LR$60=H$1),0),$B229-1966)</f>
        <v>22391.22</v>
      </c>
      <c r="I229" s="7" cm="1">
        <f t="array" ref="I229">INDEX(GMWQ!$A$2:$LR$60,MATCH(1,(GMWQ!$LQ$2:$LQ$60=I$3)*(GMWQ!$LP$2:$LP$60=I$4)*(GMWQ!$LR$2:$LR$60=I$1),0),$B229-1966)</f>
        <v>132.5958</v>
      </c>
      <c r="J229" s="7" cm="1">
        <f t="array" ref="J229">INDEX(GMWQ!$A$2:$LR$60,MATCH(1,(GMWQ!$LQ$2:$LQ$60=J$3)*(GMWQ!$LP$2:$LP$60=J$4)*(GMWQ!$LR$2:$LR$60=J$1),0),$B229-1966)</f>
        <v>29896.71</v>
      </c>
      <c r="K229" s="7" cm="1">
        <f t="array" ref="K229">INDEX(GMWQ!$A$2:$LR$60,MATCH(1,(GMWQ!$LQ$2:$LQ$60=K$3)*(GMWQ!$LP$2:$LP$60=K$4)*(GMWQ!$LR$2:$LR$60=K$1),0),$B229-1966)</f>
        <v>2</v>
      </c>
      <c r="L229" s="7" cm="1">
        <f t="array" ref="L229">INDEX(GMWQ!$A$2:$LR$60,MATCH(1,(GMWQ!$LQ$2:$LQ$60=L$3)*(GMWQ!$LP$2:$LP$60=L$4)*(GMWQ!$LR$2:$LR$60=L$1),0),$B229-1966)</f>
        <v>3.7501180000000001</v>
      </c>
      <c r="M229" s="7" cm="1">
        <f t="array" ref="M229">INDEX(GMWQ!$A$2:$LR$60,MATCH(1,(GMWQ!$LQ$2:$LQ$60=M$3)*(GMWQ!$LP$2:$LP$60=M$4)*(GMWQ!$LR$2:$LR$60=M$1),0),$B229-1966)</f>
        <v>167.2938</v>
      </c>
      <c r="N229" s="7" cm="1">
        <f t="array" ref="N229">INDEX(GMWQ!$A$2:$LR$60,MATCH(1,(GMWQ!$LQ$2:$LQ$60=N$3)*(GMWQ!$LP$2:$LP$60=N$4)*(GMWQ!$LR$2:$LR$60=N$1),0),$B229-1966)</f>
        <v>23002.07</v>
      </c>
      <c r="O229" s="7" cm="1">
        <f t="array" ref="O229">INDEX(GMWQ!$A$2:$LR$60,MATCH(1,(GMWQ!$LQ$2:$LQ$60=O$3)*(GMWQ!$LP$2:$LP$60=O$4)*(GMWQ!$LR$2:$LR$60=O$1),0),$B229-1966)</f>
        <v>16799.82</v>
      </c>
      <c r="P229" s="7" cm="1">
        <f t="array" ref="P229">INDEX(GMWQ!$A$2:$LR$60,MATCH(1,(GMWQ!$LQ$2:$LQ$60=P$3)*(GMWQ!$LP$2:$LP$60=P$4)*(GMWQ!$LR$2:$LR$60=P$1),0),$B229-1966)</f>
        <v>529871</v>
      </c>
      <c r="Q229" s="7" cm="1">
        <f t="array" ref="Q229">INDEX(GMWQ!$A$2:$LR$60,MATCH(1,(GMWQ!$LQ$2:$LQ$60=Q$3)*(GMWQ!$LP$2:$LP$60=Q$4)*(GMWQ!$LR$2:$LR$60=Q$1),0),$B229-1966)</f>
        <v>3.5545049999999998</v>
      </c>
      <c r="R229" s="7" cm="1">
        <f t="array" ref="R229">INDEX(GMWQ!$A$2:$LR$60,MATCH(1,(GMWQ!$LQ$2:$LQ$60=R$3)*(GMWQ!$LP$2:$LP$60=R$4)*(GMWQ!$LR$2:$LR$60=R$1),0),$B229-1966)</f>
        <v>226833.1</v>
      </c>
      <c r="S229" s="7" cm="1">
        <f t="array" ref="S229">INDEX(GMWQ!$A$2:$LR$60,MATCH(1,(GMWQ!$LQ$2:$LQ$60=S$3)*(GMWQ!$LP$2:$LP$60=S$4)*(GMWQ!$LR$2:$LR$60=S$1),0),$B229-1966)</f>
        <v>338.38200000000001</v>
      </c>
      <c r="T229" s="7" cm="1">
        <f t="array" ref="T229">INDEX(GMWQ!$A$2:$LR$60,MATCH(1,(GMWQ!$LQ$2:$LQ$60=T$3)*(GMWQ!$LP$2:$LP$60=T$4)*(GMWQ!$LR$2:$LR$60=T$1),0),$B229-1966)</f>
        <v>97555.18</v>
      </c>
      <c r="U229" s="7" cm="1">
        <f t="array" ref="U229">INDEX(GMWQ!$A$2:$LR$60,MATCH(1,(GMWQ!$LQ$2:$LQ$60=U$3)*(GMWQ!$LP$2:$LP$60=U$4)*(GMWQ!$LR$2:$LR$60=U$1),0),$B229-1966)</f>
        <v>23115.119999999999</v>
      </c>
      <c r="V229" s="7" cm="1">
        <f t="array" ref="V229">INDEX(GMWQ!$A$2:$LR$60,MATCH(1,(GMWQ!$LQ$2:$LQ$60=V$3)*(GMWQ!$LP$2:$LP$60=V$4)*(GMWQ!$LR$2:$LR$60=V$1),0),$B229-1966)</f>
        <v>1.396399E-3</v>
      </c>
      <c r="W229" s="7" cm="1">
        <f t="array" ref="W229">INDEX(GMWQ!$A$2:$LR$60,MATCH(1,(GMWQ!$LQ$2:$LQ$60=W$3)*(GMWQ!$LP$2:$LP$60=W$4)*(GMWQ!$LR$2:$LR$60=W$1),0),$B229-1966)</f>
        <v>8.9885540000000006</v>
      </c>
      <c r="X229" s="7" cm="1">
        <f t="array" ref="X229">INDEX(GMWQ!$A$2:$LR$60,MATCH(1,(GMWQ!$LQ$2:$LQ$60=X$3)*(GMWQ!$LP$2:$LP$60=X$4)*(GMWQ!$LR$2:$LR$60=X$1),0),$B229-1966)</f>
        <v>6451129</v>
      </c>
      <c r="Y229" s="7" cm="1">
        <f t="array" ref="Y229">INDEX(GMWQ!$A$2:$LR$60,MATCH(1,(GMWQ!$LQ$2:$LQ$60=Y$3)*(GMWQ!$LP$2:$LP$60=Y$4)*(GMWQ!$LR$2:$LR$60=Y$1),0),$B229-1966)</f>
        <v>131.5361</v>
      </c>
      <c r="Z229" s="7" cm="1">
        <f t="array" ref="Z229">INDEX(GMWQ!$A$2:$LR$60,MATCH(1,(GMWQ!$LQ$2:$LQ$60=Z$3)*(GMWQ!$LP$2:$LP$60=Z$4)*(GMWQ!$LR$2:$LR$60=Z$1),0),$B229-1966)</f>
        <v>614519</v>
      </c>
      <c r="AA229" s="7" cm="1">
        <f t="array" ref="AA229">INDEX(GMWQ!$A$2:$LR$60,MATCH(1,(GMWQ!$LQ$2:$LQ$60=AA$3)*(GMWQ!$LP$2:$LP$60=AA$4)*(GMWQ!$LR$2:$LR$60=AA$1),0),$B229-1966)</f>
        <v>335823</v>
      </c>
      <c r="AB229" s="7" cm="1">
        <f t="array" ref="AB229">INDEX(GMWQ!$A$2:$LR$60,MATCH(1,(GMWQ!$LQ$2:$LQ$60=AB$3)*(GMWQ!$LP$2:$LP$60=AB$4)*(GMWQ!$LR$2:$LR$60=AB$1),0),$B229-1966)</f>
        <v>311417.09999999998</v>
      </c>
      <c r="AC229" s="7" cm="1">
        <f t="array" ref="AC229">INDEX(GMWQ!$A$2:$LR$60,MATCH(1,(GMWQ!$LQ$2:$LQ$60=AC$3)*(GMWQ!$LP$2:$LP$60=AC$4)*(GMWQ!$LR$2:$LR$60=AC$1),0),$B229-1966)</f>
        <v>11740.99</v>
      </c>
      <c r="AD229" s="7" cm="1">
        <f t="array" ref="AD229">INDEX(GMWQ!$A$2:$LR$60,MATCH(1,(GMWQ!$LQ$2:$LQ$60=AD$3)*(GMWQ!$LP$2:$LP$60=AD$4)*(GMWQ!$LR$2:$LR$60=AD$1),0),$B229-1966)</f>
        <v>18440.09</v>
      </c>
      <c r="AE229" s="7" cm="1">
        <f t="array" ref="AE229">INDEX(GMWQ!$A$2:$LR$60,MATCH(1,(GMWQ!$LQ$2:$LQ$60=AE$3)*(GMWQ!$LP$2:$LP$60=AE$4)*(GMWQ!$LR$2:$LR$60=AE$1),0),$B229-1966)</f>
        <v>807844</v>
      </c>
      <c r="AF229" s="20" cm="1">
        <f t="array" ref="AF229">INDEX(GMWQ!$A$2:$LR$60,MATCH(1,(GMWQ!$LQ$2:$LQ$60=AF$3)*(GMWQ!$LP$2:$LP$60=AF$4)*(GMWQ!$LR$2:$LR$60=AF$1),0),$B229-1966)</f>
        <v>2</v>
      </c>
      <c r="AG229" s="20" cm="1">
        <f t="array" ref="AG229">INDEX(GMWQ!$A$2:$LR$60,MATCH(1,(GMWQ!$LQ$2:$LQ$60=AG$3)*(GMWQ!$LP$2:$LP$60=AG$4)*(GMWQ!$LR$2:$LR$60=AG$1),0),$B229-1966)</f>
        <v>-6202.2460000000001</v>
      </c>
      <c r="AI229" s="23" cm="1">
        <f t="array" ref="AI229">INDEX(GMWQ!$A$2:$LR$60,MATCH(1,(GMWQ!$LQ$2:$LQ$60=AI$3)*(GMWQ!$LP$2:$LP$60=AI$4)*(GMWQ!$LR$2:$LR$60=AI$1),0),$B229-1966)</f>
        <v>529871</v>
      </c>
      <c r="AJ229" s="23" cm="1">
        <f t="array" ref="AJ229">INDEX(GMWQ!$A$2:$LR$60,MATCH(1,(GMWQ!$LQ$2:$LQ$60=AJ$3)*(GMWQ!$LP$2:$LP$60=AJ$4)*(GMWQ!$LR$2:$LR$60=AJ$1),0),$B229-1966)</f>
        <v>132.5958</v>
      </c>
      <c r="AK229" s="23" cm="1">
        <f t="array" ref="AK229">INDEX(GMWQ!$A$2:$LR$60,MATCH(1,(GMWQ!$LQ$2:$LQ$60=AK$3)*(GMWQ!$LP$2:$LP$60=AK$4)*(GMWQ!$LR$2:$LR$60=AK$1),0),$B229-1966)</f>
        <v>333202.8</v>
      </c>
      <c r="AL229" s="23" cm="1">
        <f t="array" ref="AL229">INDEX(GMWQ!$A$2:$LR$60,MATCH(1,(GMWQ!$LQ$2:$LQ$60=AL$3)*(GMWQ!$LP$2:$LP$60=AL$4)*(GMWQ!$LR$2:$LR$60=AL$1),0),$B229-1966)</f>
        <v>11145.13</v>
      </c>
      <c r="AM229" s="23" cm="1">
        <f t="array" ref="AM229">INDEX(GMWQ!$A$2:$LR$60,MATCH(1,(GMWQ!$LQ$2:$LQ$60=AM$3)*(GMWQ!$LP$2:$LP$60=AM$4)*(GMWQ!$LR$2:$LR$60=AM$1),0),$B229-1966)</f>
        <v>29896.71</v>
      </c>
      <c r="AN229" s="23" cm="1">
        <f t="array" ref="AN229">INDEX(GMWQ!$A$2:$LR$60,MATCH(1,(GMWQ!$LQ$2:$LQ$60=AN$3)*(GMWQ!$LP$2:$LP$60=AN$4)*(GMWQ!$LR$2:$LR$60=AN$1),0),$B229-1966)</f>
        <v>97008.77</v>
      </c>
      <c r="AO229" s="23" cm="1">
        <f t="array" ref="AO229">INDEX(GMWQ!$A$2:$LR$60,MATCH(1,(GMWQ!$LQ$2:$LQ$60=AO$3)*(GMWQ!$LP$2:$LP$60=AO$4)*(GMWQ!$LR$2:$LR$60=AO$1),0),$B229-1966)</f>
        <v>22391.22</v>
      </c>
      <c r="AP229" s="23" cm="1">
        <f t="array" ref="AP229">INDEX(GMWQ!$A$2:$LR$60,MATCH(1,(GMWQ!$LQ$2:$LQ$60=AP$3)*(GMWQ!$LP$2:$LP$60=AP$4)*(GMWQ!$LR$2:$LR$60=AP$1),0),$B229-1966)</f>
        <v>-6202.2460000000001</v>
      </c>
      <c r="AQ229" s="23" cm="1">
        <f t="array" ref="AQ229">INDEX(GMWQ!$A$2:$LR$60,MATCH(1,(GMWQ!$LQ$2:$LQ$60=AQ$3)*(GMWQ!$LP$2:$LP$60=AQ$4)*(GMWQ!$LR$2:$LR$60=AQ$1),0),$B229-1966)</f>
        <v>110647.1</v>
      </c>
      <c r="AR229" s="23" cm="1">
        <f t="array" ref="AR229">INDEX(GMWQ!$A$2:$LR$60,MATCH(1,(GMWQ!$LQ$2:$LQ$60=AR$3)*(GMWQ!$LP$2:$LP$60=AR$4)*(GMWQ!$LR$2:$LR$60=AR$1),0),$B229-1966)</f>
        <v>490012</v>
      </c>
      <c r="AS229" s="23" cm="1">
        <f t="array" ref="AS229">INDEX(GMWQ!$A$2:$LR$60,MATCH(1,(GMWQ!$LQ$2:$LQ$60=AS$3)*(GMWQ!$LP$2:$LP$60=AS$4)*(GMWQ!$LR$2:$LR$60=AS$1),0),$B229-1966)</f>
        <v>16399.93</v>
      </c>
      <c r="AT229" s="23" cm="1">
        <f t="array" ref="AT229">INDEX(GMWQ!$A$2:$LR$60,MATCH(1,(GMWQ!$LQ$2:$LQ$60=AT$3)*(GMWQ!$LP$2:$LP$60=AT$4)*(GMWQ!$LR$2:$LR$60=AT$1),0),$B229-1966)</f>
        <v>369553.2</v>
      </c>
      <c r="AU229" s="23" cm="1">
        <f t="array" ref="AU229">INDEX(GMWQ!$A$2:$LR$60,MATCH(1,(GMWQ!$LQ$2:$LQ$60=AU$3)*(GMWQ!$LP$2:$LP$60=AU$4)*(GMWQ!$LR$2:$LR$60=AU$1),0),$B229-1966)</f>
        <v>13151.26</v>
      </c>
    </row>
    <row r="230" spans="1:47" x14ac:dyDescent="0.35">
      <c r="B230" s="7">
        <f t="shared" si="4"/>
        <v>2196</v>
      </c>
      <c r="C230" s="7" cm="1">
        <f t="array" ref="C230">INDEX(GMWQ!$A$2:$LR$60,MATCH(1,(GMWQ!$LQ$2:$LQ$60=C$3)*(GMWQ!$LP$2:$LP$60=C$4)*(GMWQ!$LR$2:$LR$60=C$1),0),$B230-1966)</f>
        <v>616618</v>
      </c>
      <c r="D230" s="7" cm="1">
        <f t="array" ref="D230">INDEX(GMWQ!$A$2:$LR$60,MATCH(1,(GMWQ!$LQ$2:$LQ$60=D$3)*(GMWQ!$LP$2:$LP$60=D$4)*(GMWQ!$LR$2:$LR$60=D$1),0),$B230-1966)</f>
        <v>771.60209999999995</v>
      </c>
      <c r="E230" s="7" cm="1">
        <f t="array" ref="E230">INDEX(GMWQ!$A$2:$LR$60,MATCH(1,(GMWQ!$LQ$2:$LQ$60=E$3)*(GMWQ!$LP$2:$LP$60=E$4)*(GMWQ!$LR$2:$LR$60=E$1),0),$B230-1966)</f>
        <v>146.23480000000001</v>
      </c>
      <c r="F230" s="7" cm="1">
        <f t="array" ref="F230">INDEX(GMWQ!$A$2:$LR$60,MATCH(1,(GMWQ!$LQ$2:$LQ$60=F$3)*(GMWQ!$LP$2:$LP$60=F$4)*(GMWQ!$LR$2:$LR$60=F$1),0),$B230-1966)</f>
        <v>336221</v>
      </c>
      <c r="G230" s="7" cm="1">
        <f t="array" ref="G230">INDEX(GMWQ!$A$2:$LR$60,MATCH(1,(GMWQ!$LQ$2:$LQ$60=G$3)*(GMWQ!$LP$2:$LP$60=G$4)*(GMWQ!$LR$2:$LR$60=G$1),0),$B230-1966)</f>
        <v>98298.87</v>
      </c>
      <c r="H230" s="7" cm="1">
        <f t="array" ref="H230">INDEX(GMWQ!$A$2:$LR$60,MATCH(1,(GMWQ!$LQ$2:$LQ$60=H$3)*(GMWQ!$LP$2:$LP$60=H$4)*(GMWQ!$LR$2:$LR$60=H$1),0),$B230-1966)</f>
        <v>22610.86</v>
      </c>
      <c r="I230" s="7" cm="1">
        <f t="array" ref="I230">INDEX(GMWQ!$A$2:$LR$60,MATCH(1,(GMWQ!$LQ$2:$LQ$60=I$3)*(GMWQ!$LP$2:$LP$60=I$4)*(GMWQ!$LR$2:$LR$60=I$1),0),$B230-1966)</f>
        <v>133.25370000000001</v>
      </c>
      <c r="J230" s="7" cm="1">
        <f t="array" ref="J230">INDEX(GMWQ!$A$2:$LR$60,MATCH(1,(GMWQ!$LQ$2:$LQ$60=J$3)*(GMWQ!$LP$2:$LP$60=J$4)*(GMWQ!$LR$2:$LR$60=J$1),0),$B230-1966)</f>
        <v>29964.78</v>
      </c>
      <c r="K230" s="7" cm="1">
        <f t="array" ref="K230">INDEX(GMWQ!$A$2:$LR$60,MATCH(1,(GMWQ!$LQ$2:$LQ$60=K$3)*(GMWQ!$LP$2:$LP$60=K$4)*(GMWQ!$LR$2:$LR$60=K$1),0),$B230-1966)</f>
        <v>2</v>
      </c>
      <c r="L230" s="7" cm="1">
        <f t="array" ref="L230">INDEX(GMWQ!$A$2:$LR$60,MATCH(1,(GMWQ!$LQ$2:$LQ$60=L$3)*(GMWQ!$LP$2:$LP$60=L$4)*(GMWQ!$LR$2:$LR$60=L$1),0),$B230-1966)</f>
        <v>3.750092</v>
      </c>
      <c r="M230" s="7" cm="1">
        <f t="array" ref="M230">INDEX(GMWQ!$A$2:$LR$60,MATCH(1,(GMWQ!$LQ$2:$LQ$60=M$3)*(GMWQ!$LP$2:$LP$60=M$4)*(GMWQ!$LR$2:$LR$60=M$1),0),$B230-1966)</f>
        <v>168.62289999999999</v>
      </c>
      <c r="N230" s="7" cm="1">
        <f t="array" ref="N230">INDEX(GMWQ!$A$2:$LR$60,MATCH(1,(GMWQ!$LQ$2:$LQ$60=N$3)*(GMWQ!$LP$2:$LP$60=N$4)*(GMWQ!$LR$2:$LR$60=N$1),0),$B230-1966)</f>
        <v>22887.51</v>
      </c>
      <c r="O230" s="7" cm="1">
        <f t="array" ref="O230">INDEX(GMWQ!$A$2:$LR$60,MATCH(1,(GMWQ!$LQ$2:$LQ$60=O$3)*(GMWQ!$LP$2:$LP$60=O$4)*(GMWQ!$LR$2:$LR$60=O$1),0),$B230-1966)</f>
        <v>16615.41</v>
      </c>
      <c r="P230" s="7" cm="1">
        <f t="array" ref="P230">INDEX(GMWQ!$A$2:$LR$60,MATCH(1,(GMWQ!$LQ$2:$LQ$60=P$3)*(GMWQ!$LP$2:$LP$60=P$4)*(GMWQ!$LR$2:$LR$60=P$1),0),$B230-1966)</f>
        <v>534804.6</v>
      </c>
      <c r="Q230" s="7" cm="1">
        <f t="array" ref="Q230">INDEX(GMWQ!$A$2:$LR$60,MATCH(1,(GMWQ!$LQ$2:$LQ$60=Q$3)*(GMWQ!$LP$2:$LP$60=Q$4)*(GMWQ!$LR$2:$LR$60=Q$1),0),$B230-1966)</f>
        <v>3.499997</v>
      </c>
      <c r="R230" s="7" cm="1">
        <f t="array" ref="R230">INDEX(GMWQ!$A$2:$LR$60,MATCH(1,(GMWQ!$LQ$2:$LQ$60=R$3)*(GMWQ!$LP$2:$LP$60=R$4)*(GMWQ!$LR$2:$LR$60=R$1),0),$B230-1966)</f>
        <v>228544.1</v>
      </c>
      <c r="S230" s="7" cm="1">
        <f t="array" ref="S230">INDEX(GMWQ!$A$2:$LR$60,MATCH(1,(GMWQ!$LQ$2:$LQ$60=S$3)*(GMWQ!$LP$2:$LP$60=S$4)*(GMWQ!$LR$2:$LR$60=S$1),0),$B230-1966)</f>
        <v>340.9341</v>
      </c>
      <c r="T230" s="7" cm="1">
        <f t="array" ref="T230">INDEX(GMWQ!$A$2:$LR$60,MATCH(1,(GMWQ!$LQ$2:$LQ$60=T$3)*(GMWQ!$LP$2:$LP$60=T$4)*(GMWQ!$LR$2:$LR$60=T$1),0),$B230-1966)</f>
        <v>98845.77</v>
      </c>
      <c r="U230" s="7" cm="1">
        <f t="array" ref="U230">INDEX(GMWQ!$A$2:$LR$60,MATCH(1,(GMWQ!$LQ$2:$LQ$60=U$3)*(GMWQ!$LP$2:$LP$60=U$4)*(GMWQ!$LR$2:$LR$60=U$1),0),$B230-1966)</f>
        <v>23505.24</v>
      </c>
      <c r="V230" s="7" cm="1">
        <f t="array" ref="V230">INDEX(GMWQ!$A$2:$LR$60,MATCH(1,(GMWQ!$LQ$2:$LQ$60=V$3)*(GMWQ!$LP$2:$LP$60=V$4)*(GMWQ!$LR$2:$LR$60=V$1),0),$B230-1966)</f>
        <v>1.392477E-3</v>
      </c>
      <c r="W230" s="7" cm="1">
        <f t="array" ref="W230">INDEX(GMWQ!$A$2:$LR$60,MATCH(1,(GMWQ!$LQ$2:$LQ$60=W$3)*(GMWQ!$LP$2:$LP$60=W$4)*(GMWQ!$LR$2:$LR$60=W$1),0),$B230-1966)</f>
        <v>9.0001259999999998</v>
      </c>
      <c r="X230" s="7" cm="1">
        <f t="array" ref="X230">INDEX(GMWQ!$A$2:$LR$60,MATCH(1,(GMWQ!$LQ$2:$LQ$60=X$3)*(GMWQ!$LP$2:$LP$60=X$4)*(GMWQ!$LR$2:$LR$60=X$1),0),$B230-1966)</f>
        <v>6502879</v>
      </c>
      <c r="Y230" s="7" cm="1">
        <f t="array" ref="Y230">INDEX(GMWQ!$A$2:$LR$60,MATCH(1,(GMWQ!$LQ$2:$LQ$60=Y$3)*(GMWQ!$LP$2:$LP$60=Y$4)*(GMWQ!$LR$2:$LR$60=Y$1),0),$B230-1966)</f>
        <v>132.19380000000001</v>
      </c>
      <c r="Z230" s="7" cm="1">
        <f t="array" ref="Z230">INDEX(GMWQ!$A$2:$LR$60,MATCH(1,(GMWQ!$LQ$2:$LQ$60=Z$3)*(GMWQ!$LP$2:$LP$60=Z$4)*(GMWQ!$LR$2:$LR$60=Z$1),0),$B230-1966)</f>
        <v>617034.80000000005</v>
      </c>
      <c r="AA230" s="7" cm="1">
        <f t="array" ref="AA230">INDEX(GMWQ!$A$2:$LR$60,MATCH(1,(GMWQ!$LQ$2:$LQ$60=AA$3)*(GMWQ!$LP$2:$LP$60=AA$4)*(GMWQ!$LR$2:$LR$60=AA$1),0),$B230-1966)</f>
        <v>322674.40000000002</v>
      </c>
      <c r="AB230" s="7" cm="1">
        <f t="array" ref="AB230">INDEX(GMWQ!$A$2:$LR$60,MATCH(1,(GMWQ!$LQ$2:$LQ$60=AB$3)*(GMWQ!$LP$2:$LP$60=AB$4)*(GMWQ!$LR$2:$LR$60=AB$1),0),$B230-1966)</f>
        <v>314000.2</v>
      </c>
      <c r="AC230" s="7" cm="1">
        <f t="array" ref="AC230">INDEX(GMWQ!$A$2:$LR$60,MATCH(1,(GMWQ!$LQ$2:$LQ$60=AC$3)*(GMWQ!$LP$2:$LP$60=AC$4)*(GMWQ!$LR$2:$LR$60=AC$1),0),$B230-1966)</f>
        <v>12525.66</v>
      </c>
      <c r="AD230" s="7" cm="1">
        <f t="array" ref="AD230">INDEX(GMWQ!$A$2:$LR$60,MATCH(1,(GMWQ!$LQ$2:$LQ$60=AD$3)*(GMWQ!$LP$2:$LP$60=AD$4)*(GMWQ!$LR$2:$LR$60=AD$1),0),$B230-1966)</f>
        <v>18440.09</v>
      </c>
      <c r="AE230" s="7" cm="1">
        <f t="array" ref="AE230">INDEX(GMWQ!$A$2:$LR$60,MATCH(1,(GMWQ!$LQ$2:$LQ$60=AE$3)*(GMWQ!$LP$2:$LP$60=AE$4)*(GMWQ!$LR$2:$LR$60=AE$1),0),$B230-1966)</f>
        <v>815130.6</v>
      </c>
      <c r="AF230" s="20" cm="1">
        <f t="array" ref="AF230">INDEX(GMWQ!$A$2:$LR$60,MATCH(1,(GMWQ!$LQ$2:$LQ$60=AF$3)*(GMWQ!$LP$2:$LP$60=AF$4)*(GMWQ!$LR$2:$LR$60=AF$1),0),$B230-1966)</f>
        <v>2</v>
      </c>
      <c r="AG230" s="20" cm="1">
        <f t="array" ref="AG230">INDEX(GMWQ!$A$2:$LR$60,MATCH(1,(GMWQ!$LQ$2:$LQ$60=AG$3)*(GMWQ!$LP$2:$LP$60=AG$4)*(GMWQ!$LR$2:$LR$60=AG$1),0),$B230-1966)</f>
        <v>-6272.0969999999998</v>
      </c>
      <c r="AI230" s="23" cm="1">
        <f t="array" ref="AI230">INDEX(GMWQ!$A$2:$LR$60,MATCH(1,(GMWQ!$LQ$2:$LQ$60=AI$3)*(GMWQ!$LP$2:$LP$60=AI$4)*(GMWQ!$LR$2:$LR$60=AI$1),0),$B230-1966)</f>
        <v>534804.6</v>
      </c>
      <c r="AJ230" s="23" cm="1">
        <f t="array" ref="AJ230">INDEX(GMWQ!$A$2:$LR$60,MATCH(1,(GMWQ!$LQ$2:$LQ$60=AJ$3)*(GMWQ!$LP$2:$LP$60=AJ$4)*(GMWQ!$LR$2:$LR$60=AJ$1),0),$B230-1966)</f>
        <v>133.25370000000001</v>
      </c>
      <c r="AK230" s="23" cm="1">
        <f t="array" ref="AK230">INDEX(GMWQ!$A$2:$LR$60,MATCH(1,(GMWQ!$LQ$2:$LQ$60=AK$3)*(GMWQ!$LP$2:$LP$60=AK$4)*(GMWQ!$LR$2:$LR$60=AK$1),0),$B230-1966)</f>
        <v>336221</v>
      </c>
      <c r="AL230" s="23" cm="1">
        <f t="array" ref="AL230">INDEX(GMWQ!$A$2:$LR$60,MATCH(1,(GMWQ!$LQ$2:$LQ$60=AL$3)*(GMWQ!$LP$2:$LP$60=AL$4)*(GMWQ!$LR$2:$LR$60=AL$1),0),$B230-1966)</f>
        <v>11220.54</v>
      </c>
      <c r="AM230" s="23" cm="1">
        <f t="array" ref="AM230">INDEX(GMWQ!$A$2:$LR$60,MATCH(1,(GMWQ!$LQ$2:$LQ$60=AM$3)*(GMWQ!$LP$2:$LP$60=AM$4)*(GMWQ!$LR$2:$LR$60=AM$1),0),$B230-1966)</f>
        <v>29964.78</v>
      </c>
      <c r="AN230" s="23" cm="1">
        <f t="array" ref="AN230">INDEX(GMWQ!$A$2:$LR$60,MATCH(1,(GMWQ!$LQ$2:$LQ$60=AN$3)*(GMWQ!$LP$2:$LP$60=AN$4)*(GMWQ!$LR$2:$LR$60=AN$1),0),$B230-1966)</f>
        <v>98298.87</v>
      </c>
      <c r="AO230" s="23" cm="1">
        <f t="array" ref="AO230">INDEX(GMWQ!$A$2:$LR$60,MATCH(1,(GMWQ!$LQ$2:$LQ$60=AO$3)*(GMWQ!$LP$2:$LP$60=AO$4)*(GMWQ!$LR$2:$LR$60=AO$1),0),$B230-1966)</f>
        <v>22610.86</v>
      </c>
      <c r="AP230" s="23" cm="1">
        <f t="array" ref="AP230">INDEX(GMWQ!$A$2:$LR$60,MATCH(1,(GMWQ!$LQ$2:$LQ$60=AP$3)*(GMWQ!$LP$2:$LP$60=AP$4)*(GMWQ!$LR$2:$LR$60=AP$1),0),$B230-1966)</f>
        <v>-6272.0969999999998</v>
      </c>
      <c r="AQ230" s="23" cm="1">
        <f t="array" ref="AQ230">INDEX(GMWQ!$A$2:$LR$60,MATCH(1,(GMWQ!$LQ$2:$LQ$60=AQ$3)*(GMWQ!$LP$2:$LP$60=AQ$4)*(GMWQ!$LR$2:$LR$60=AQ$1),0),$B230-1966)</f>
        <v>112017.8</v>
      </c>
      <c r="AR230" s="23" cm="1">
        <f t="array" ref="AR230">INDEX(GMWQ!$A$2:$LR$60,MATCH(1,(GMWQ!$LQ$2:$LQ$60=AR$3)*(GMWQ!$LP$2:$LP$60=AR$4)*(GMWQ!$LR$2:$LR$60=AR$1),0),$B230-1966)</f>
        <v>494486.9</v>
      </c>
      <c r="AS230" s="23" cm="1">
        <f t="array" ref="AS230">INDEX(GMWQ!$A$2:$LR$60,MATCH(1,(GMWQ!$LQ$2:$LQ$60=AS$3)*(GMWQ!$LP$2:$LP$60=AS$4)*(GMWQ!$LR$2:$LR$60=AS$1),0),$B230-1966)</f>
        <v>16559.16</v>
      </c>
      <c r="AT230" s="23" cm="1">
        <f t="array" ref="AT230">INDEX(GMWQ!$A$2:$LR$60,MATCH(1,(GMWQ!$LQ$2:$LQ$60=AT$3)*(GMWQ!$LP$2:$LP$60=AT$4)*(GMWQ!$LR$2:$LR$60=AT$1),0),$B230-1966)</f>
        <v>371086.8</v>
      </c>
      <c r="AU230" s="23" cm="1">
        <f t="array" ref="AU230">INDEX(GMWQ!$A$2:$LR$60,MATCH(1,(GMWQ!$LQ$2:$LQ$60=AU$3)*(GMWQ!$LP$2:$LP$60=AU$4)*(GMWQ!$LR$2:$LR$60=AU$1),0),$B230-1966)</f>
        <v>13205.83</v>
      </c>
    </row>
    <row r="231" spans="1:47" x14ac:dyDescent="0.35">
      <c r="A231" s="7">
        <v>2029</v>
      </c>
      <c r="B231" s="7">
        <f t="shared" si="4"/>
        <v>2197</v>
      </c>
      <c r="C231" s="7" cm="1">
        <f t="array" ref="C231">INDEX(GMWQ!$A$2:$LR$60,MATCH(1,(GMWQ!$LQ$2:$LQ$60=C$3)*(GMWQ!$LP$2:$LP$60=C$4)*(GMWQ!$LR$2:$LR$60=C$1),0),$B231-1966)</f>
        <v>619022.80000000005</v>
      </c>
      <c r="D231" s="7" cm="1">
        <f t="array" ref="D231">INDEX(GMWQ!$A$2:$LR$60,MATCH(1,(GMWQ!$LQ$2:$LQ$60=D$3)*(GMWQ!$LP$2:$LP$60=D$4)*(GMWQ!$LR$2:$LR$60=D$1),0),$B231-1966)</f>
        <v>776.80740000000003</v>
      </c>
      <c r="E231" s="7" cm="1">
        <f t="array" ref="E231">INDEX(GMWQ!$A$2:$LR$60,MATCH(1,(GMWQ!$LQ$2:$LQ$60=E$3)*(GMWQ!$LP$2:$LP$60=E$4)*(GMWQ!$LR$2:$LR$60=E$1),0),$B231-1966)</f>
        <v>146.3903</v>
      </c>
      <c r="F231" s="7" cm="1">
        <f t="array" ref="F231">INDEX(GMWQ!$A$2:$LR$60,MATCH(1,(GMWQ!$LQ$2:$LQ$60=F$3)*(GMWQ!$LP$2:$LP$60=F$4)*(GMWQ!$LR$2:$LR$60=F$1),0),$B231-1966)</f>
        <v>339194.3</v>
      </c>
      <c r="G231" s="7" cm="1">
        <f t="array" ref="G231">INDEX(GMWQ!$A$2:$LR$60,MATCH(1,(GMWQ!$LQ$2:$LQ$60=G$3)*(GMWQ!$LP$2:$LP$60=G$4)*(GMWQ!$LR$2:$LR$60=G$1),0),$B231-1966)</f>
        <v>99516.57</v>
      </c>
      <c r="H231" s="7" cm="1">
        <f t="array" ref="H231">INDEX(GMWQ!$A$2:$LR$60,MATCH(1,(GMWQ!$LQ$2:$LQ$60=H$3)*(GMWQ!$LP$2:$LP$60=H$4)*(GMWQ!$LR$2:$LR$60=H$1),0),$B231-1966)</f>
        <v>22810.81</v>
      </c>
      <c r="I231" s="7" cm="1">
        <f t="array" ref="I231">INDEX(GMWQ!$A$2:$LR$60,MATCH(1,(GMWQ!$LQ$2:$LQ$60=I$3)*(GMWQ!$LP$2:$LP$60=I$4)*(GMWQ!$LR$2:$LR$60=I$1),0),$B231-1966)</f>
        <v>133.91489999999999</v>
      </c>
      <c r="J231" s="7" cm="1">
        <f t="array" ref="J231">INDEX(GMWQ!$A$2:$LR$60,MATCH(1,(GMWQ!$LQ$2:$LQ$60=J$3)*(GMWQ!$LP$2:$LP$60=J$4)*(GMWQ!$LR$2:$LR$60=J$1),0),$B231-1966)</f>
        <v>30027.18</v>
      </c>
      <c r="K231" s="7" cm="1">
        <f t="array" ref="K231">INDEX(GMWQ!$A$2:$LR$60,MATCH(1,(GMWQ!$LQ$2:$LQ$60=K$3)*(GMWQ!$LP$2:$LP$60=K$4)*(GMWQ!$LR$2:$LR$60=K$1),0),$B231-1966)</f>
        <v>2</v>
      </c>
      <c r="L231" s="7" cm="1">
        <f t="array" ref="L231">INDEX(GMWQ!$A$2:$LR$60,MATCH(1,(GMWQ!$LQ$2:$LQ$60=L$3)*(GMWQ!$LP$2:$LP$60=L$4)*(GMWQ!$LR$2:$LR$60=L$1),0),$B231-1966)</f>
        <v>3.7500979999999999</v>
      </c>
      <c r="M231" s="7" cm="1">
        <f t="array" ref="M231">INDEX(GMWQ!$A$2:$LR$60,MATCH(1,(GMWQ!$LQ$2:$LQ$60=M$3)*(GMWQ!$LP$2:$LP$60=M$4)*(GMWQ!$LR$2:$LR$60=M$1),0),$B231-1966)</f>
        <v>169.93279999999999</v>
      </c>
      <c r="N231" s="7" cm="1">
        <f t="array" ref="N231">INDEX(GMWQ!$A$2:$LR$60,MATCH(1,(GMWQ!$LQ$2:$LQ$60=N$3)*(GMWQ!$LP$2:$LP$60=N$4)*(GMWQ!$LR$2:$LR$60=N$1),0),$B231-1966)</f>
        <v>23042.240000000002</v>
      </c>
      <c r="O231" s="7" cm="1">
        <f t="array" ref="O231">INDEX(GMWQ!$A$2:$LR$60,MATCH(1,(GMWQ!$LQ$2:$LQ$60=O$3)*(GMWQ!$LP$2:$LP$60=O$4)*(GMWQ!$LR$2:$LR$60=O$1),0),$B231-1966)</f>
        <v>16437.77</v>
      </c>
      <c r="P231" s="7" cm="1">
        <f t="array" ref="P231">INDEX(GMWQ!$A$2:$LR$60,MATCH(1,(GMWQ!$LQ$2:$LQ$60=P$3)*(GMWQ!$LP$2:$LP$60=P$4)*(GMWQ!$LR$2:$LR$60=P$1),0),$B231-1966)</f>
        <v>539851.69999999995</v>
      </c>
      <c r="Q231" s="7" cm="1">
        <f t="array" ref="Q231">INDEX(GMWQ!$A$2:$LR$60,MATCH(1,(GMWQ!$LQ$2:$LQ$60=Q$3)*(GMWQ!$LP$2:$LP$60=Q$4)*(GMWQ!$LR$2:$LR$60=Q$1),0),$B231-1966)</f>
        <v>3.499997</v>
      </c>
      <c r="R231" s="7" cm="1">
        <f t="array" ref="R231">INDEX(GMWQ!$A$2:$LR$60,MATCH(1,(GMWQ!$LQ$2:$LQ$60=R$3)*(GMWQ!$LP$2:$LP$60=R$4)*(GMWQ!$LR$2:$LR$60=R$1),0),$B231-1966)</f>
        <v>230556.7</v>
      </c>
      <c r="S231" s="7" cm="1">
        <f t="array" ref="S231">INDEX(GMWQ!$A$2:$LR$60,MATCH(1,(GMWQ!$LQ$2:$LQ$60=S$3)*(GMWQ!$LP$2:$LP$60=S$4)*(GMWQ!$LR$2:$LR$60=S$1),0),$B231-1966)</f>
        <v>343.9366</v>
      </c>
      <c r="T231" s="7" cm="1">
        <f t="array" ref="T231">INDEX(GMWQ!$A$2:$LR$60,MATCH(1,(GMWQ!$LQ$2:$LQ$60=T$3)*(GMWQ!$LP$2:$LP$60=T$4)*(GMWQ!$LR$2:$LR$60=T$1),0),$B231-1966)</f>
        <v>100228.7</v>
      </c>
      <c r="U231" s="7" cm="1">
        <f t="array" ref="U231">INDEX(GMWQ!$A$2:$LR$60,MATCH(1,(GMWQ!$LQ$2:$LQ$60=U$3)*(GMWQ!$LP$2:$LP$60=U$4)*(GMWQ!$LR$2:$LR$60=U$1),0),$B231-1966)</f>
        <v>23972.28</v>
      </c>
      <c r="V231" s="7" cm="1">
        <f t="array" ref="V231">INDEX(GMWQ!$A$2:$LR$60,MATCH(1,(GMWQ!$LQ$2:$LQ$60=V$3)*(GMWQ!$LP$2:$LP$60=V$4)*(GMWQ!$LR$2:$LR$60=V$1),0),$B231-1966)</f>
        <v>1.3886160000000001E-3</v>
      </c>
      <c r="W231" s="7" cm="1">
        <f t="array" ref="W231">INDEX(GMWQ!$A$2:$LR$60,MATCH(1,(GMWQ!$LQ$2:$LQ$60=W$3)*(GMWQ!$LP$2:$LP$60=W$4)*(GMWQ!$LR$2:$LR$60=W$1),0),$B231-1966)</f>
        <v>8.9468879999999995</v>
      </c>
      <c r="X231" s="7" cm="1">
        <f t="array" ref="X231">INDEX(GMWQ!$A$2:$LR$60,MATCH(1,(GMWQ!$LQ$2:$LQ$60=X$3)*(GMWQ!$LP$2:$LP$60=X$4)*(GMWQ!$LR$2:$LR$60=X$1),0),$B231-1966)</f>
        <v>6597724</v>
      </c>
      <c r="Y231" s="7" cm="1">
        <f t="array" ref="Y231">INDEX(GMWQ!$A$2:$LR$60,MATCH(1,(GMWQ!$LQ$2:$LQ$60=Y$3)*(GMWQ!$LP$2:$LP$60=Y$4)*(GMWQ!$LR$2:$LR$60=Y$1),0),$B231-1966)</f>
        <v>132.85470000000001</v>
      </c>
      <c r="Z231" s="7" cm="1">
        <f t="array" ref="Z231">INDEX(GMWQ!$A$2:$LR$60,MATCH(1,(GMWQ!$LQ$2:$LQ$60=Z$3)*(GMWQ!$LP$2:$LP$60=Z$4)*(GMWQ!$LR$2:$LR$60=Z$1),0),$B231-1966)</f>
        <v>619477.6</v>
      </c>
      <c r="AA231" s="7" cm="1">
        <f t="array" ref="AA231">INDEX(GMWQ!$A$2:$LR$60,MATCH(1,(GMWQ!$LQ$2:$LQ$60=AA$3)*(GMWQ!$LP$2:$LP$60=AA$4)*(GMWQ!$LR$2:$LR$60=AA$1),0),$B231-1966)</f>
        <v>374984.5</v>
      </c>
      <c r="AB231" s="7" cm="1">
        <f t="array" ref="AB231">INDEX(GMWQ!$A$2:$LR$60,MATCH(1,(GMWQ!$LQ$2:$LQ$60=AB$3)*(GMWQ!$LP$2:$LP$60=AB$4)*(GMWQ!$LR$2:$LR$60=AB$1),0),$B231-1966)</f>
        <v>313041.8</v>
      </c>
      <c r="AC231" s="7" cm="1">
        <f t="array" ref="AC231">INDEX(GMWQ!$A$2:$LR$60,MATCH(1,(GMWQ!$LQ$2:$LQ$60=AC$3)*(GMWQ!$LP$2:$LP$60=AC$4)*(GMWQ!$LR$2:$LR$60=AC$1),0),$B231-1966)</f>
        <v>22228.44</v>
      </c>
      <c r="AD231" s="7" cm="1">
        <f t="array" ref="AD231">INDEX(GMWQ!$A$2:$LR$60,MATCH(1,(GMWQ!$LQ$2:$LQ$60=AD$3)*(GMWQ!$LP$2:$LP$60=AD$4)*(GMWQ!$LR$2:$LR$60=AD$1),0),$B231-1966)</f>
        <v>18440.09</v>
      </c>
      <c r="AE231" s="7" cm="1">
        <f t="array" ref="AE231">INDEX(GMWQ!$A$2:$LR$60,MATCH(1,(GMWQ!$LQ$2:$LQ$60=AE$3)*(GMWQ!$LP$2:$LP$60=AE$4)*(GMWQ!$LR$2:$LR$60=AE$1),0),$B231-1966)</f>
        <v>822401.1</v>
      </c>
      <c r="AF231" s="20" cm="1">
        <f t="array" ref="AF231">INDEX(GMWQ!$A$2:$LR$60,MATCH(1,(GMWQ!$LQ$2:$LQ$60=AF$3)*(GMWQ!$LP$2:$LP$60=AF$4)*(GMWQ!$LR$2:$LR$60=AF$1),0),$B231-1966)</f>
        <v>2</v>
      </c>
      <c r="AG231" s="20" cm="1">
        <f t="array" ref="AG231">INDEX(GMWQ!$A$2:$LR$60,MATCH(1,(GMWQ!$LQ$2:$LQ$60=AG$3)*(GMWQ!$LP$2:$LP$60=AG$4)*(GMWQ!$LR$2:$LR$60=AG$1),0),$B231-1966)</f>
        <v>-6604.47</v>
      </c>
      <c r="AI231" s="23" cm="1">
        <f t="array" ref="AI231">INDEX(GMWQ!$A$2:$LR$60,MATCH(1,(GMWQ!$LQ$2:$LQ$60=AI$3)*(GMWQ!$LP$2:$LP$60=AI$4)*(GMWQ!$LR$2:$LR$60=AI$1),0),$B231-1966)</f>
        <v>539851.69999999995</v>
      </c>
      <c r="AJ231" s="23" cm="1">
        <f t="array" ref="AJ231">INDEX(GMWQ!$A$2:$LR$60,MATCH(1,(GMWQ!$LQ$2:$LQ$60=AJ$3)*(GMWQ!$LP$2:$LP$60=AJ$4)*(GMWQ!$LR$2:$LR$60=AJ$1),0),$B231-1966)</f>
        <v>133.91489999999999</v>
      </c>
      <c r="AK231" s="23" cm="1">
        <f t="array" ref="AK231">INDEX(GMWQ!$A$2:$LR$60,MATCH(1,(GMWQ!$LQ$2:$LQ$60=AK$3)*(GMWQ!$LP$2:$LP$60=AK$4)*(GMWQ!$LR$2:$LR$60=AK$1),0),$B231-1966)</f>
        <v>339194.3</v>
      </c>
      <c r="AL231" s="23" cm="1">
        <f t="array" ref="AL231">INDEX(GMWQ!$A$2:$LR$60,MATCH(1,(GMWQ!$LQ$2:$LQ$60=AL$3)*(GMWQ!$LP$2:$LP$60=AL$4)*(GMWQ!$LR$2:$LR$60=AL$1),0),$B231-1966)</f>
        <v>11296.24</v>
      </c>
      <c r="AM231" s="23" cm="1">
        <f t="array" ref="AM231">INDEX(GMWQ!$A$2:$LR$60,MATCH(1,(GMWQ!$LQ$2:$LQ$60=AM$3)*(GMWQ!$LP$2:$LP$60=AM$4)*(GMWQ!$LR$2:$LR$60=AM$1),0),$B231-1966)</f>
        <v>30027.18</v>
      </c>
      <c r="AN231" s="23" cm="1">
        <f t="array" ref="AN231">INDEX(GMWQ!$A$2:$LR$60,MATCH(1,(GMWQ!$LQ$2:$LQ$60=AN$3)*(GMWQ!$LP$2:$LP$60=AN$4)*(GMWQ!$LR$2:$LR$60=AN$1),0),$B231-1966)</f>
        <v>99516.57</v>
      </c>
      <c r="AO231" s="23" cm="1">
        <f t="array" ref="AO231">INDEX(GMWQ!$A$2:$LR$60,MATCH(1,(GMWQ!$LQ$2:$LQ$60=AO$3)*(GMWQ!$LP$2:$LP$60=AO$4)*(GMWQ!$LR$2:$LR$60=AO$1),0),$B231-1966)</f>
        <v>22810.81</v>
      </c>
      <c r="AP231" s="23" cm="1">
        <f t="array" ref="AP231">INDEX(GMWQ!$A$2:$LR$60,MATCH(1,(GMWQ!$LQ$2:$LQ$60=AP$3)*(GMWQ!$LP$2:$LP$60=AP$4)*(GMWQ!$LR$2:$LR$60=AP$1),0),$B231-1966)</f>
        <v>-6604.47</v>
      </c>
      <c r="AQ231" s="23" cm="1">
        <f t="array" ref="AQ231">INDEX(GMWQ!$A$2:$LR$60,MATCH(1,(GMWQ!$LQ$2:$LQ$60=AQ$3)*(GMWQ!$LP$2:$LP$60=AQ$4)*(GMWQ!$LR$2:$LR$60=AQ$1),0),$B231-1966)</f>
        <v>113368.8</v>
      </c>
      <c r="AR231" s="23" cm="1">
        <f t="array" ref="AR231">INDEX(GMWQ!$A$2:$LR$60,MATCH(1,(GMWQ!$LQ$2:$LQ$60=AR$3)*(GMWQ!$LP$2:$LP$60=AR$4)*(GMWQ!$LR$2:$LR$60=AR$1),0),$B231-1966)</f>
        <v>498928.3</v>
      </c>
      <c r="AS231" s="23" cm="1">
        <f t="array" ref="AS231">INDEX(GMWQ!$A$2:$LR$60,MATCH(1,(GMWQ!$LQ$2:$LQ$60=AS$3)*(GMWQ!$LP$2:$LP$60=AS$4)*(GMWQ!$LR$2:$LR$60=AS$1),0),$B231-1966)</f>
        <v>16717.22</v>
      </c>
      <c r="AT231" s="23" cm="1">
        <f t="array" ref="AT231">INDEX(GMWQ!$A$2:$LR$60,MATCH(1,(GMWQ!$LQ$2:$LQ$60=AT$3)*(GMWQ!$LP$2:$LP$60=AT$4)*(GMWQ!$LR$2:$LR$60=AT$1),0),$B231-1966)</f>
        <v>372571.2</v>
      </c>
      <c r="AU231" s="23" cm="1">
        <f t="array" ref="AU231">INDEX(GMWQ!$A$2:$LR$60,MATCH(1,(GMWQ!$LQ$2:$LQ$60=AU$3)*(GMWQ!$LP$2:$LP$60=AU$4)*(GMWQ!$LR$2:$LR$60=AU$1),0),$B231-1966)</f>
        <v>13258.66</v>
      </c>
    </row>
    <row r="232" spans="1:47" x14ac:dyDescent="0.35">
      <c r="B232" s="7">
        <f t="shared" si="4"/>
        <v>2198</v>
      </c>
      <c r="C232" s="7" cm="1">
        <f t="array" ref="C232">INDEX(GMWQ!$A$2:$LR$60,MATCH(1,(GMWQ!$LQ$2:$LQ$60=C$3)*(GMWQ!$LP$2:$LP$60=C$4)*(GMWQ!$LR$2:$LR$60=C$1),0),$B232-1966)</f>
        <v>621375.1</v>
      </c>
      <c r="D232" s="7" cm="1">
        <f t="array" ref="D232">INDEX(GMWQ!$A$2:$LR$60,MATCH(1,(GMWQ!$LQ$2:$LQ$60=D$3)*(GMWQ!$LP$2:$LP$60=D$4)*(GMWQ!$LR$2:$LR$60=D$1),0),$B232-1966)</f>
        <v>782.053</v>
      </c>
      <c r="E232" s="7" cm="1">
        <f t="array" ref="E232">INDEX(GMWQ!$A$2:$LR$60,MATCH(1,(GMWQ!$LQ$2:$LQ$60=E$3)*(GMWQ!$LP$2:$LP$60=E$4)*(GMWQ!$LR$2:$LR$60=E$1),0),$B232-1966)</f>
        <v>147.71629999999999</v>
      </c>
      <c r="F232" s="7" cm="1">
        <f t="array" ref="F232">INDEX(GMWQ!$A$2:$LR$60,MATCH(1,(GMWQ!$LQ$2:$LQ$60=F$3)*(GMWQ!$LP$2:$LP$60=F$4)*(GMWQ!$LR$2:$LR$60=F$1),0),$B232-1966)</f>
        <v>342170.1</v>
      </c>
      <c r="G232" s="7" cm="1">
        <f t="array" ref="G232">INDEX(GMWQ!$A$2:$LR$60,MATCH(1,(GMWQ!$LQ$2:$LQ$60=G$3)*(GMWQ!$LP$2:$LP$60=G$4)*(GMWQ!$LR$2:$LR$60=G$1),0),$B232-1966)</f>
        <v>100178</v>
      </c>
      <c r="H232" s="7" cm="1">
        <f t="array" ref="H232">INDEX(GMWQ!$A$2:$LR$60,MATCH(1,(GMWQ!$LQ$2:$LQ$60=H$3)*(GMWQ!$LP$2:$LP$60=H$4)*(GMWQ!$LR$2:$LR$60=H$1),0),$B232-1966)</f>
        <v>23010.94</v>
      </c>
      <c r="I232" s="7" cm="1">
        <f t="array" ref="I232">INDEX(GMWQ!$A$2:$LR$60,MATCH(1,(GMWQ!$LQ$2:$LQ$60=I$3)*(GMWQ!$LP$2:$LP$60=I$4)*(GMWQ!$LR$2:$LR$60=I$1),0),$B232-1966)</f>
        <v>134.57939999999999</v>
      </c>
      <c r="J232" s="7" cm="1">
        <f t="array" ref="J232">INDEX(GMWQ!$A$2:$LR$60,MATCH(1,(GMWQ!$LQ$2:$LQ$60=J$3)*(GMWQ!$LP$2:$LP$60=J$4)*(GMWQ!$LR$2:$LR$60=J$1),0),$B232-1966)</f>
        <v>30087.45</v>
      </c>
      <c r="K232" s="7" cm="1">
        <f t="array" ref="K232">INDEX(GMWQ!$A$2:$LR$60,MATCH(1,(GMWQ!$LQ$2:$LQ$60=K$3)*(GMWQ!$LP$2:$LP$60=K$4)*(GMWQ!$LR$2:$LR$60=K$1),0),$B232-1966)</f>
        <v>2</v>
      </c>
      <c r="L232" s="7" cm="1">
        <f t="array" ref="L232">INDEX(GMWQ!$A$2:$LR$60,MATCH(1,(GMWQ!$LQ$2:$LQ$60=L$3)*(GMWQ!$LP$2:$LP$60=L$4)*(GMWQ!$LR$2:$LR$60=L$1),0),$B232-1966)</f>
        <v>3.7500879999999999</v>
      </c>
      <c r="M232" s="7" cm="1">
        <f t="array" ref="M232">INDEX(GMWQ!$A$2:$LR$60,MATCH(1,(GMWQ!$LQ$2:$LQ$60=M$3)*(GMWQ!$LP$2:$LP$60=M$4)*(GMWQ!$LR$2:$LR$60=M$1),0),$B232-1966)</f>
        <v>171.22200000000001</v>
      </c>
      <c r="N232" s="7" cm="1">
        <f t="array" ref="N232">INDEX(GMWQ!$A$2:$LR$60,MATCH(1,(GMWQ!$LQ$2:$LQ$60=N$3)*(GMWQ!$LP$2:$LP$60=N$4)*(GMWQ!$LR$2:$LR$60=N$1),0),$B232-1966)</f>
        <v>23204.06</v>
      </c>
      <c r="O232" s="7" cm="1">
        <f t="array" ref="O232">INDEX(GMWQ!$A$2:$LR$60,MATCH(1,(GMWQ!$LQ$2:$LQ$60=O$3)*(GMWQ!$LP$2:$LP$60=O$4)*(GMWQ!$LR$2:$LR$60=O$1),0),$B232-1966)</f>
        <v>16263.3</v>
      </c>
      <c r="P232" s="7" cm="1">
        <f t="array" ref="P232">INDEX(GMWQ!$A$2:$LR$60,MATCH(1,(GMWQ!$LQ$2:$LQ$60=P$3)*(GMWQ!$LP$2:$LP$60=P$4)*(GMWQ!$LR$2:$LR$60=P$1),0),$B232-1966)</f>
        <v>544211.4</v>
      </c>
      <c r="Q232" s="7" cm="1">
        <f t="array" ref="Q232">INDEX(GMWQ!$A$2:$LR$60,MATCH(1,(GMWQ!$LQ$2:$LQ$60=Q$3)*(GMWQ!$LP$2:$LP$60=Q$4)*(GMWQ!$LR$2:$LR$60=Q$1),0),$B232-1966)</f>
        <v>3.4999959999999999</v>
      </c>
      <c r="R232" s="7" cm="1">
        <f t="array" ref="R232">INDEX(GMWQ!$A$2:$LR$60,MATCH(1,(GMWQ!$LQ$2:$LQ$60=R$3)*(GMWQ!$LP$2:$LP$60=R$4)*(GMWQ!$LR$2:$LR$60=R$1),0),$B232-1966)</f>
        <v>232778</v>
      </c>
      <c r="S232" s="7" cm="1">
        <f t="array" ref="S232">INDEX(GMWQ!$A$2:$LR$60,MATCH(1,(GMWQ!$LQ$2:$LQ$60=S$3)*(GMWQ!$LP$2:$LP$60=S$4)*(GMWQ!$LR$2:$LR$60=S$1),0),$B232-1966)</f>
        <v>347.25020000000001</v>
      </c>
      <c r="T232" s="7" cm="1">
        <f t="array" ref="T232">INDEX(GMWQ!$A$2:$LR$60,MATCH(1,(GMWQ!$LQ$2:$LQ$60=T$3)*(GMWQ!$LP$2:$LP$60=T$4)*(GMWQ!$LR$2:$LR$60=T$1),0),$B232-1966)</f>
        <v>101585.8</v>
      </c>
      <c r="U232" s="7" cm="1">
        <f t="array" ref="U232">INDEX(GMWQ!$A$2:$LR$60,MATCH(1,(GMWQ!$LQ$2:$LQ$60=U$3)*(GMWQ!$LP$2:$LP$60=U$4)*(GMWQ!$LR$2:$LR$60=U$1),0),$B232-1966)</f>
        <v>24394.99</v>
      </c>
      <c r="V232" s="7" cm="1">
        <f t="array" ref="V232">INDEX(GMWQ!$A$2:$LR$60,MATCH(1,(GMWQ!$LQ$2:$LQ$60=V$3)*(GMWQ!$LP$2:$LP$60=V$4)*(GMWQ!$LR$2:$LR$60=V$1),0),$B232-1966)</f>
        <v>1.385021E-3</v>
      </c>
      <c r="W232" s="7" cm="1">
        <f t="array" ref="W232">INDEX(GMWQ!$A$2:$LR$60,MATCH(1,(GMWQ!$LQ$2:$LQ$60=W$3)*(GMWQ!$LP$2:$LP$60=W$4)*(GMWQ!$LR$2:$LR$60=W$1),0),$B232-1966)</f>
        <v>9.0125430000000009</v>
      </c>
      <c r="X232" s="7" cm="1">
        <f t="array" ref="X232">INDEX(GMWQ!$A$2:$LR$60,MATCH(1,(GMWQ!$LQ$2:$LQ$60=X$3)*(GMWQ!$LP$2:$LP$60=X$4)*(GMWQ!$LR$2:$LR$60=X$1),0),$B232-1966)</f>
        <v>6679062</v>
      </c>
      <c r="Y232" s="7" cm="1">
        <f t="array" ref="Y232">INDEX(GMWQ!$A$2:$LR$60,MATCH(1,(GMWQ!$LQ$2:$LQ$60=Y$3)*(GMWQ!$LP$2:$LP$60=Y$4)*(GMWQ!$LR$2:$LR$60=Y$1),0),$B232-1966)</f>
        <v>133.53899999999999</v>
      </c>
      <c r="Z232" s="7" cm="1">
        <f t="array" ref="Z232">INDEX(GMWQ!$A$2:$LR$60,MATCH(1,(GMWQ!$LQ$2:$LQ$60=Z$3)*(GMWQ!$LP$2:$LP$60=Z$4)*(GMWQ!$LR$2:$LR$60=Z$1),0),$B232-1966)</f>
        <v>621886.69999999995</v>
      </c>
      <c r="AA232" s="7" cm="1">
        <f t="array" ref="AA232">INDEX(GMWQ!$A$2:$LR$60,MATCH(1,(GMWQ!$LQ$2:$LQ$60=AA$3)*(GMWQ!$LP$2:$LP$60=AA$4)*(GMWQ!$LR$2:$LR$60=AA$1),0),$B232-1966)</f>
        <v>331922.5</v>
      </c>
      <c r="AB232" s="7" cm="1">
        <f t="array" ref="AB232">INDEX(GMWQ!$A$2:$LR$60,MATCH(1,(GMWQ!$LQ$2:$LQ$60=AB$3)*(GMWQ!$LP$2:$LP$60=AB$4)*(GMWQ!$LR$2:$LR$60=AB$1),0),$B232-1966)</f>
        <v>320021.09999999998</v>
      </c>
      <c r="AC232" s="7" cm="1">
        <f t="array" ref="AC232">INDEX(GMWQ!$A$2:$LR$60,MATCH(1,(GMWQ!$LQ$2:$LQ$60=AC$3)*(GMWQ!$LP$2:$LP$60=AC$4)*(GMWQ!$LR$2:$LR$60=AC$1),0),$B232-1966)</f>
        <v>10689.82</v>
      </c>
      <c r="AD232" s="7" cm="1">
        <f t="array" ref="AD232">INDEX(GMWQ!$A$2:$LR$60,MATCH(1,(GMWQ!$LQ$2:$LQ$60=AD$3)*(GMWQ!$LP$2:$LP$60=AD$4)*(GMWQ!$LR$2:$LR$60=AD$1),0),$B232-1966)</f>
        <v>19152.689999999999</v>
      </c>
      <c r="AE232" s="7" cm="1">
        <f t="array" ref="AE232">INDEX(GMWQ!$A$2:$LR$60,MATCH(1,(GMWQ!$LQ$2:$LQ$60=AE$3)*(GMWQ!$LP$2:$LP$60=AE$4)*(GMWQ!$LR$2:$LR$60=AE$1),0),$B232-1966)</f>
        <v>829777.9</v>
      </c>
      <c r="AF232" s="20" cm="1">
        <f t="array" ref="AF232">INDEX(GMWQ!$A$2:$LR$60,MATCH(1,(GMWQ!$LQ$2:$LQ$60=AF$3)*(GMWQ!$LP$2:$LP$60=AF$4)*(GMWQ!$LR$2:$LR$60=AF$1),0),$B232-1966)</f>
        <v>2</v>
      </c>
      <c r="AG232" s="20" cm="1">
        <f t="array" ref="AG232">INDEX(GMWQ!$A$2:$LR$60,MATCH(1,(GMWQ!$LQ$2:$LQ$60=AG$3)*(GMWQ!$LP$2:$LP$60=AG$4)*(GMWQ!$LR$2:$LR$60=AG$1),0),$B232-1966)</f>
        <v>-6940.7610000000004</v>
      </c>
      <c r="AI232" s="23" cm="1">
        <f t="array" ref="AI232">INDEX(GMWQ!$A$2:$LR$60,MATCH(1,(GMWQ!$LQ$2:$LQ$60=AI$3)*(GMWQ!$LP$2:$LP$60=AI$4)*(GMWQ!$LR$2:$LR$60=AI$1),0),$B232-1966)</f>
        <v>544211.4</v>
      </c>
      <c r="AJ232" s="23" cm="1">
        <f t="array" ref="AJ232">INDEX(GMWQ!$A$2:$LR$60,MATCH(1,(GMWQ!$LQ$2:$LQ$60=AJ$3)*(GMWQ!$LP$2:$LP$60=AJ$4)*(GMWQ!$LR$2:$LR$60=AJ$1),0),$B232-1966)</f>
        <v>134.57939999999999</v>
      </c>
      <c r="AK232" s="23" cm="1">
        <f t="array" ref="AK232">INDEX(GMWQ!$A$2:$LR$60,MATCH(1,(GMWQ!$LQ$2:$LQ$60=AK$3)*(GMWQ!$LP$2:$LP$60=AK$4)*(GMWQ!$LR$2:$LR$60=AK$1),0),$B232-1966)</f>
        <v>342170.1</v>
      </c>
      <c r="AL232" s="23" cm="1">
        <f t="array" ref="AL232">INDEX(GMWQ!$A$2:$LR$60,MATCH(1,(GMWQ!$LQ$2:$LQ$60=AL$3)*(GMWQ!$LP$2:$LP$60=AL$4)*(GMWQ!$LR$2:$LR$60=AL$1),0),$B232-1966)</f>
        <v>11372.52</v>
      </c>
      <c r="AM232" s="23" cm="1">
        <f t="array" ref="AM232">INDEX(GMWQ!$A$2:$LR$60,MATCH(1,(GMWQ!$LQ$2:$LQ$60=AM$3)*(GMWQ!$LP$2:$LP$60=AM$4)*(GMWQ!$LR$2:$LR$60=AM$1),0),$B232-1966)</f>
        <v>30087.45</v>
      </c>
      <c r="AN232" s="23" cm="1">
        <f t="array" ref="AN232">INDEX(GMWQ!$A$2:$LR$60,MATCH(1,(GMWQ!$LQ$2:$LQ$60=AN$3)*(GMWQ!$LP$2:$LP$60=AN$4)*(GMWQ!$LR$2:$LR$60=AN$1),0),$B232-1966)</f>
        <v>100178</v>
      </c>
      <c r="AO232" s="23" cm="1">
        <f t="array" ref="AO232">INDEX(GMWQ!$A$2:$LR$60,MATCH(1,(GMWQ!$LQ$2:$LQ$60=AO$3)*(GMWQ!$LP$2:$LP$60=AO$4)*(GMWQ!$LR$2:$LR$60=AO$1),0),$B232-1966)</f>
        <v>23010.94</v>
      </c>
      <c r="AP232" s="23" cm="1">
        <f t="array" ref="AP232">INDEX(GMWQ!$A$2:$LR$60,MATCH(1,(GMWQ!$LQ$2:$LQ$60=AP$3)*(GMWQ!$LP$2:$LP$60=AP$4)*(GMWQ!$LR$2:$LR$60=AP$1),0),$B232-1966)</f>
        <v>-6940.7610000000004</v>
      </c>
      <c r="AQ232" s="23" cm="1">
        <f t="array" ref="AQ232">INDEX(GMWQ!$A$2:$LR$60,MATCH(1,(GMWQ!$LQ$2:$LQ$60=AQ$3)*(GMWQ!$LP$2:$LP$60=AQ$4)*(GMWQ!$LR$2:$LR$60=AQ$1),0),$B232-1966)</f>
        <v>114705</v>
      </c>
      <c r="AR232" s="23" cm="1">
        <f t="array" ref="AR232">INDEX(GMWQ!$A$2:$LR$60,MATCH(1,(GMWQ!$LQ$2:$LQ$60=AR$3)*(GMWQ!$LP$2:$LP$60=AR$4)*(GMWQ!$LR$2:$LR$60=AR$1),0),$B232-1966)</f>
        <v>503309.3</v>
      </c>
      <c r="AS232" s="23" cm="1">
        <f t="array" ref="AS232">INDEX(GMWQ!$A$2:$LR$60,MATCH(1,(GMWQ!$LQ$2:$LQ$60=AS$3)*(GMWQ!$LP$2:$LP$60=AS$4)*(GMWQ!$LR$2:$LR$60=AS$1),0),$B232-1966)</f>
        <v>16873.13</v>
      </c>
      <c r="AT232" s="23" cm="1">
        <f t="array" ref="AT232">INDEX(GMWQ!$A$2:$LR$60,MATCH(1,(GMWQ!$LQ$2:$LQ$60=AT$3)*(GMWQ!$LP$2:$LP$60=AT$4)*(GMWQ!$LR$2:$LR$60=AT$1),0),$B232-1966)</f>
        <v>373986.9</v>
      </c>
      <c r="AU232" s="23" cm="1">
        <f t="array" ref="AU232">INDEX(GMWQ!$A$2:$LR$60,MATCH(1,(GMWQ!$LQ$2:$LQ$60=AU$3)*(GMWQ!$LP$2:$LP$60=AU$4)*(GMWQ!$LR$2:$LR$60=AU$1),0),$B232-1966)</f>
        <v>13309.04</v>
      </c>
    </row>
    <row r="233" spans="1:47" x14ac:dyDescent="0.35">
      <c r="B233" s="7">
        <f t="shared" si="4"/>
        <v>2199</v>
      </c>
      <c r="C233" s="7" cm="1">
        <f t="array" ref="C233">INDEX(GMWQ!$A$2:$LR$60,MATCH(1,(GMWQ!$LQ$2:$LQ$60=C$3)*(GMWQ!$LP$2:$LP$60=C$4)*(GMWQ!$LR$2:$LR$60=C$1),0),$B233-1966)</f>
        <v>623736.30000000005</v>
      </c>
      <c r="D233" s="7" cm="1">
        <f t="array" ref="D233">INDEX(GMWQ!$A$2:$LR$60,MATCH(1,(GMWQ!$LQ$2:$LQ$60=D$3)*(GMWQ!$LP$2:$LP$60=D$4)*(GMWQ!$LR$2:$LR$60=D$1),0),$B233-1966)</f>
        <v>787.36180000000002</v>
      </c>
      <c r="E233" s="7" cm="1">
        <f t="array" ref="E233">INDEX(GMWQ!$A$2:$LR$60,MATCH(1,(GMWQ!$LQ$2:$LQ$60=E$3)*(GMWQ!$LP$2:$LP$60=E$4)*(GMWQ!$LR$2:$LR$60=E$1),0),$B233-1966)</f>
        <v>148.49940000000001</v>
      </c>
      <c r="F233" s="7" cm="1">
        <f t="array" ref="F233">INDEX(GMWQ!$A$2:$LR$60,MATCH(1,(GMWQ!$LQ$2:$LQ$60=F$3)*(GMWQ!$LP$2:$LP$60=F$4)*(GMWQ!$LR$2:$LR$60=F$1),0),$B233-1966)</f>
        <v>345184.2</v>
      </c>
      <c r="G233" s="7" cm="1">
        <f t="array" ref="G233">INDEX(GMWQ!$A$2:$LR$60,MATCH(1,(GMWQ!$LQ$2:$LQ$60=G$3)*(GMWQ!$LP$2:$LP$60=G$4)*(GMWQ!$LR$2:$LR$60=G$1),0),$B233-1966)</f>
        <v>101240</v>
      </c>
      <c r="H233" s="7" cm="1">
        <f t="array" ref="H233">INDEX(GMWQ!$A$2:$LR$60,MATCH(1,(GMWQ!$LQ$2:$LQ$60=H$3)*(GMWQ!$LP$2:$LP$60=H$4)*(GMWQ!$LR$2:$LR$60=H$1),0),$B233-1966)</f>
        <v>23213.63</v>
      </c>
      <c r="I233" s="7" cm="1">
        <f t="array" ref="I233">INDEX(GMWQ!$A$2:$LR$60,MATCH(1,(GMWQ!$LQ$2:$LQ$60=I$3)*(GMWQ!$LP$2:$LP$60=I$4)*(GMWQ!$LR$2:$LR$60=I$1),0),$B233-1966)</f>
        <v>135.24719999999999</v>
      </c>
      <c r="J233" s="7" cm="1">
        <f t="array" ref="J233">INDEX(GMWQ!$A$2:$LR$60,MATCH(1,(GMWQ!$LQ$2:$LQ$60=J$3)*(GMWQ!$LP$2:$LP$60=J$4)*(GMWQ!$LR$2:$LR$60=J$1),0),$B233-1966)</f>
        <v>30147.82</v>
      </c>
      <c r="K233" s="7" cm="1">
        <f t="array" ref="K233">INDEX(GMWQ!$A$2:$LR$60,MATCH(1,(GMWQ!$LQ$2:$LQ$60=K$3)*(GMWQ!$LP$2:$LP$60=K$4)*(GMWQ!$LR$2:$LR$60=K$1),0),$B233-1966)</f>
        <v>2</v>
      </c>
      <c r="L233" s="7" cm="1">
        <f t="array" ref="L233">INDEX(GMWQ!$A$2:$LR$60,MATCH(1,(GMWQ!$LQ$2:$LQ$60=L$3)*(GMWQ!$LP$2:$LP$60=L$4)*(GMWQ!$LR$2:$LR$60=L$1),0),$B233-1966)</f>
        <v>3.7501159999999998</v>
      </c>
      <c r="M233" s="7" cm="1">
        <f t="array" ref="M233">INDEX(GMWQ!$A$2:$LR$60,MATCH(1,(GMWQ!$LQ$2:$LQ$60=M$3)*(GMWQ!$LP$2:$LP$60=M$4)*(GMWQ!$LR$2:$LR$60=M$1),0),$B233-1966)</f>
        <v>172.46600000000001</v>
      </c>
      <c r="N233" s="7" cm="1">
        <f t="array" ref="N233">INDEX(GMWQ!$A$2:$LR$60,MATCH(1,(GMWQ!$LQ$2:$LQ$60=N$3)*(GMWQ!$LP$2:$LP$60=N$4)*(GMWQ!$LR$2:$LR$60=N$1),0),$B233-1966)</f>
        <v>23372.39</v>
      </c>
      <c r="O233" s="7" cm="1">
        <f t="array" ref="O233">INDEX(GMWQ!$A$2:$LR$60,MATCH(1,(GMWQ!$LQ$2:$LQ$60=O$3)*(GMWQ!$LP$2:$LP$60=O$4)*(GMWQ!$LR$2:$LR$60=O$1),0),$B233-1966)</f>
        <v>16095.82</v>
      </c>
      <c r="P233" s="7" cm="1">
        <f t="array" ref="P233">INDEX(GMWQ!$A$2:$LR$60,MATCH(1,(GMWQ!$LQ$2:$LQ$60=P$3)*(GMWQ!$LP$2:$LP$60=P$4)*(GMWQ!$LR$2:$LR$60=P$1),0),$B233-1966)</f>
        <v>549027.80000000005</v>
      </c>
      <c r="Q233" s="7" cm="1">
        <f t="array" ref="Q233">INDEX(GMWQ!$A$2:$LR$60,MATCH(1,(GMWQ!$LQ$2:$LQ$60=Q$3)*(GMWQ!$LP$2:$LP$60=Q$4)*(GMWQ!$LR$2:$LR$60=Q$1),0),$B233-1966)</f>
        <v>3.4999959999999999</v>
      </c>
      <c r="R233" s="7" cm="1">
        <f t="array" ref="R233">INDEX(GMWQ!$A$2:$LR$60,MATCH(1,(GMWQ!$LQ$2:$LQ$60=R$3)*(GMWQ!$LP$2:$LP$60=R$4)*(GMWQ!$LR$2:$LR$60=R$1),0),$B233-1966)</f>
        <v>235170.5</v>
      </c>
      <c r="S233" s="7" cm="1">
        <f t="array" ref="S233">INDEX(GMWQ!$A$2:$LR$60,MATCH(1,(GMWQ!$LQ$2:$LQ$60=S$3)*(GMWQ!$LP$2:$LP$60=S$4)*(GMWQ!$LR$2:$LR$60=S$1),0),$B233-1966)</f>
        <v>350.81920000000002</v>
      </c>
      <c r="T233" s="7" cm="1">
        <f t="array" ref="T233">INDEX(GMWQ!$A$2:$LR$60,MATCH(1,(GMWQ!$LQ$2:$LQ$60=T$3)*(GMWQ!$LP$2:$LP$60=T$4)*(GMWQ!$LR$2:$LR$60=T$1),0),$B233-1966)</f>
        <v>102909.6</v>
      </c>
      <c r="U233" s="7" cm="1">
        <f t="array" ref="U233">INDEX(GMWQ!$A$2:$LR$60,MATCH(1,(GMWQ!$LQ$2:$LQ$60=U$3)*(GMWQ!$LP$2:$LP$60=U$4)*(GMWQ!$LR$2:$LR$60=U$1),0),$B233-1966)</f>
        <v>24767.78</v>
      </c>
      <c r="V233" s="7" cm="1">
        <f t="array" ref="V233">INDEX(GMWQ!$A$2:$LR$60,MATCH(1,(GMWQ!$LQ$2:$LQ$60=V$3)*(GMWQ!$LP$2:$LP$60=V$4)*(GMWQ!$LR$2:$LR$60=V$1),0),$B233-1966)</f>
        <v>1.382037E-3</v>
      </c>
      <c r="W233" s="7" cm="1">
        <f t="array" ref="W233">INDEX(GMWQ!$A$2:$LR$60,MATCH(1,(GMWQ!$LQ$2:$LQ$60=W$3)*(GMWQ!$LP$2:$LP$60=W$4)*(GMWQ!$LR$2:$LR$60=W$1),0),$B233-1966)</f>
        <v>9.0243420000000008</v>
      </c>
      <c r="X233" s="7" cm="1">
        <f t="array" ref="X233">INDEX(GMWQ!$A$2:$LR$60,MATCH(1,(GMWQ!$LQ$2:$LQ$60=X$3)*(GMWQ!$LP$2:$LP$60=X$4)*(GMWQ!$LR$2:$LR$60=X$1),0),$B233-1966)</f>
        <v>6751683</v>
      </c>
      <c r="Y233" s="7" cm="1">
        <f t="array" ref="Y233">INDEX(GMWQ!$A$2:$LR$60,MATCH(1,(GMWQ!$LQ$2:$LQ$60=Y$3)*(GMWQ!$LP$2:$LP$60=Y$4)*(GMWQ!$LR$2:$LR$60=Y$1),0),$B233-1966)</f>
        <v>134.23339999999999</v>
      </c>
      <c r="Z233" s="7" cm="1">
        <f t="array" ref="Z233">INDEX(GMWQ!$A$2:$LR$60,MATCH(1,(GMWQ!$LQ$2:$LQ$60=Z$3)*(GMWQ!$LP$2:$LP$60=Z$4)*(GMWQ!$LR$2:$LR$60=Z$1),0),$B233-1966)</f>
        <v>624198.69999999995</v>
      </c>
      <c r="AA233" s="7" cm="1">
        <f t="array" ref="AA233">INDEX(GMWQ!$A$2:$LR$60,MATCH(1,(GMWQ!$LQ$2:$LQ$60=AA$3)*(GMWQ!$LP$2:$LP$60=AA$4)*(GMWQ!$LR$2:$LR$60=AA$1),0),$B233-1966)</f>
        <v>348052.2</v>
      </c>
      <c r="AB233" s="7" cm="1">
        <f t="array" ref="AB233">INDEX(GMWQ!$A$2:$LR$60,MATCH(1,(GMWQ!$LQ$2:$LQ$60=AB$3)*(GMWQ!$LP$2:$LP$60=AB$4)*(GMWQ!$LR$2:$LR$60=AB$1),0),$B233-1966)</f>
        <v>322757.7</v>
      </c>
      <c r="AC233" s="7" cm="1">
        <f t="array" ref="AC233">INDEX(GMWQ!$A$2:$LR$60,MATCH(1,(GMWQ!$LQ$2:$LQ$60=AC$3)*(GMWQ!$LP$2:$LP$60=AC$4)*(GMWQ!$LR$2:$LR$60=AC$1),0),$B233-1966)</f>
        <v>12168.55</v>
      </c>
      <c r="AD233" s="7" cm="1">
        <f t="array" ref="AD233">INDEX(GMWQ!$A$2:$LR$60,MATCH(1,(GMWQ!$LQ$2:$LQ$60=AD$3)*(GMWQ!$LP$2:$LP$60=AD$4)*(GMWQ!$LR$2:$LR$60=AD$1),0),$B233-1966)</f>
        <v>19152.689999999999</v>
      </c>
      <c r="AE233" s="7" cm="1">
        <f t="array" ref="AE233">INDEX(GMWQ!$A$2:$LR$60,MATCH(1,(GMWQ!$LQ$2:$LQ$60=AE$3)*(GMWQ!$LP$2:$LP$60=AE$4)*(GMWQ!$LR$2:$LR$60=AE$1),0),$B233-1966)</f>
        <v>837262.3</v>
      </c>
      <c r="AF233" s="20" cm="1">
        <f t="array" ref="AF233">INDEX(GMWQ!$A$2:$LR$60,MATCH(1,(GMWQ!$LQ$2:$LQ$60=AF$3)*(GMWQ!$LP$2:$LP$60=AF$4)*(GMWQ!$LR$2:$LR$60=AF$1),0),$B233-1966)</f>
        <v>2</v>
      </c>
      <c r="AG233" s="20" cm="1">
        <f t="array" ref="AG233">INDEX(GMWQ!$A$2:$LR$60,MATCH(1,(GMWQ!$LQ$2:$LQ$60=AG$3)*(GMWQ!$LP$2:$LP$60=AG$4)*(GMWQ!$LR$2:$LR$60=AG$1),0),$B233-1966)</f>
        <v>-7276.567</v>
      </c>
      <c r="AI233" s="23" cm="1">
        <f t="array" ref="AI233">INDEX(GMWQ!$A$2:$LR$60,MATCH(1,(GMWQ!$LQ$2:$LQ$60=AI$3)*(GMWQ!$LP$2:$LP$60=AI$4)*(GMWQ!$LR$2:$LR$60=AI$1),0),$B233-1966)</f>
        <v>549027.80000000005</v>
      </c>
      <c r="AJ233" s="23" cm="1">
        <f t="array" ref="AJ233">INDEX(GMWQ!$A$2:$LR$60,MATCH(1,(GMWQ!$LQ$2:$LQ$60=AJ$3)*(GMWQ!$LP$2:$LP$60=AJ$4)*(GMWQ!$LR$2:$LR$60=AJ$1),0),$B233-1966)</f>
        <v>135.24719999999999</v>
      </c>
      <c r="AK233" s="23" cm="1">
        <f t="array" ref="AK233">INDEX(GMWQ!$A$2:$LR$60,MATCH(1,(GMWQ!$LQ$2:$LQ$60=AK$3)*(GMWQ!$LP$2:$LP$60=AK$4)*(GMWQ!$LR$2:$LR$60=AK$1),0),$B233-1966)</f>
        <v>345184.2</v>
      </c>
      <c r="AL233" s="23" cm="1">
        <f t="array" ref="AL233">INDEX(GMWQ!$A$2:$LR$60,MATCH(1,(GMWQ!$LQ$2:$LQ$60=AL$3)*(GMWQ!$LP$2:$LP$60=AL$4)*(GMWQ!$LR$2:$LR$60=AL$1),0),$B233-1966)</f>
        <v>11449.72</v>
      </c>
      <c r="AM233" s="23" cm="1">
        <f t="array" ref="AM233">INDEX(GMWQ!$A$2:$LR$60,MATCH(1,(GMWQ!$LQ$2:$LQ$60=AM$3)*(GMWQ!$LP$2:$LP$60=AM$4)*(GMWQ!$LR$2:$LR$60=AM$1),0),$B233-1966)</f>
        <v>30147.82</v>
      </c>
      <c r="AN233" s="23" cm="1">
        <f t="array" ref="AN233">INDEX(GMWQ!$A$2:$LR$60,MATCH(1,(GMWQ!$LQ$2:$LQ$60=AN$3)*(GMWQ!$LP$2:$LP$60=AN$4)*(GMWQ!$LR$2:$LR$60=AN$1),0),$B233-1966)</f>
        <v>101240</v>
      </c>
      <c r="AO233" s="23" cm="1">
        <f t="array" ref="AO233">INDEX(GMWQ!$A$2:$LR$60,MATCH(1,(GMWQ!$LQ$2:$LQ$60=AO$3)*(GMWQ!$LP$2:$LP$60=AO$4)*(GMWQ!$LR$2:$LR$60=AO$1),0),$B233-1966)</f>
        <v>23213.63</v>
      </c>
      <c r="AP233" s="23" cm="1">
        <f t="array" ref="AP233">INDEX(GMWQ!$A$2:$LR$60,MATCH(1,(GMWQ!$LQ$2:$LQ$60=AP$3)*(GMWQ!$LP$2:$LP$60=AP$4)*(GMWQ!$LR$2:$LR$60=AP$1),0),$B233-1966)</f>
        <v>-7276.567</v>
      </c>
      <c r="AQ233" s="23" cm="1">
        <f t="array" ref="AQ233">INDEX(GMWQ!$A$2:$LR$60,MATCH(1,(GMWQ!$LQ$2:$LQ$60=AQ$3)*(GMWQ!$LP$2:$LP$60=AQ$4)*(GMWQ!$LR$2:$LR$60=AQ$1),0),$B233-1966)</f>
        <v>116026.1</v>
      </c>
      <c r="AR233" s="23" cm="1">
        <f t="array" ref="AR233">INDEX(GMWQ!$A$2:$LR$60,MATCH(1,(GMWQ!$LQ$2:$LQ$60=AR$3)*(GMWQ!$LP$2:$LP$60=AR$4)*(GMWQ!$LR$2:$LR$60=AR$1),0),$B233-1966)</f>
        <v>507703.6</v>
      </c>
      <c r="AS233" s="23" cm="1">
        <f t="array" ref="AS233">INDEX(GMWQ!$A$2:$LR$60,MATCH(1,(GMWQ!$LQ$2:$LQ$60=AS$3)*(GMWQ!$LP$2:$LP$60=AS$4)*(GMWQ!$LR$2:$LR$60=AS$1),0),$B233-1966)</f>
        <v>17029.509999999998</v>
      </c>
      <c r="AT233" s="23" cm="1">
        <f t="array" ref="AT233">INDEX(GMWQ!$A$2:$LR$60,MATCH(1,(GMWQ!$LQ$2:$LQ$60=AT$3)*(GMWQ!$LP$2:$LP$60=AT$4)*(GMWQ!$LR$2:$LR$60=AT$1),0),$B233-1966)</f>
        <v>375389.4</v>
      </c>
      <c r="AU233" s="23" cm="1">
        <f t="array" ref="AU233">INDEX(GMWQ!$A$2:$LR$60,MATCH(1,(GMWQ!$LQ$2:$LQ$60=AU$3)*(GMWQ!$LP$2:$LP$60=AU$4)*(GMWQ!$LR$2:$LR$60=AU$1),0),$B233-1966)</f>
        <v>13358.95</v>
      </c>
    </row>
    <row r="234" spans="1:47" x14ac:dyDescent="0.35">
      <c r="B234" s="7">
        <f t="shared" si="4"/>
        <v>2200</v>
      </c>
      <c r="C234" s="7" cm="1">
        <f t="array" ref="C234">INDEX(GMWQ!$A$2:$LR$60,MATCH(1,(GMWQ!$LQ$2:$LQ$60=C$3)*(GMWQ!$LP$2:$LP$60=C$4)*(GMWQ!$LR$2:$LR$60=C$1),0),$B234-1966)</f>
        <v>626106.5</v>
      </c>
      <c r="D234" s="7" cm="1">
        <f t="array" ref="D234">INDEX(GMWQ!$A$2:$LR$60,MATCH(1,(GMWQ!$LQ$2:$LQ$60=D$3)*(GMWQ!$LP$2:$LP$60=D$4)*(GMWQ!$LR$2:$LR$60=D$1),0),$B234-1966)</f>
        <v>792.69680000000005</v>
      </c>
      <c r="E234" s="7" cm="1">
        <f t="array" ref="E234">INDEX(GMWQ!$A$2:$LR$60,MATCH(1,(GMWQ!$LQ$2:$LQ$60=E$3)*(GMWQ!$LP$2:$LP$60=E$4)*(GMWQ!$LR$2:$LR$60=E$1),0),$B234-1966)</f>
        <v>149.13579999999999</v>
      </c>
      <c r="F234" s="7" cm="1">
        <f t="array" ref="F234">INDEX(GMWQ!$A$2:$LR$60,MATCH(1,(GMWQ!$LQ$2:$LQ$60=F$3)*(GMWQ!$LP$2:$LP$60=F$4)*(GMWQ!$LR$2:$LR$60=F$1),0),$B234-1966)</f>
        <v>348220.5</v>
      </c>
      <c r="G234" s="7" cm="1">
        <f t="array" ref="G234">INDEX(GMWQ!$A$2:$LR$60,MATCH(1,(GMWQ!$LQ$2:$LQ$60=G$3)*(GMWQ!$LP$2:$LP$60=G$4)*(GMWQ!$LR$2:$LR$60=G$1),0),$B234-1966)</f>
        <v>102301.8</v>
      </c>
      <c r="H234" s="7" cm="1">
        <f t="array" ref="H234">INDEX(GMWQ!$A$2:$LR$60,MATCH(1,(GMWQ!$LQ$2:$LQ$60=H$3)*(GMWQ!$LP$2:$LP$60=H$4)*(GMWQ!$LR$2:$LR$60=H$1),0),$B234-1966)</f>
        <v>23417.83</v>
      </c>
      <c r="I234" s="7" cm="1">
        <f t="array" ref="I234">INDEX(GMWQ!$A$2:$LR$60,MATCH(1,(GMWQ!$LQ$2:$LQ$60=I$3)*(GMWQ!$LP$2:$LP$60=I$4)*(GMWQ!$LR$2:$LR$60=I$1),0),$B234-1966)</f>
        <v>135.91829999999999</v>
      </c>
      <c r="J234" s="7" cm="1">
        <f t="array" ref="J234">INDEX(GMWQ!$A$2:$LR$60,MATCH(1,(GMWQ!$LQ$2:$LQ$60=J$3)*(GMWQ!$LP$2:$LP$60=J$4)*(GMWQ!$LR$2:$LR$60=J$1),0),$B234-1966)</f>
        <v>30208.33</v>
      </c>
      <c r="K234" s="7" cm="1">
        <f t="array" ref="K234">INDEX(GMWQ!$A$2:$LR$60,MATCH(1,(GMWQ!$LQ$2:$LQ$60=K$3)*(GMWQ!$LP$2:$LP$60=K$4)*(GMWQ!$LR$2:$LR$60=K$1),0),$B234-1966)</f>
        <v>2</v>
      </c>
      <c r="L234" s="7" cm="1">
        <f t="array" ref="L234">INDEX(GMWQ!$A$2:$LR$60,MATCH(1,(GMWQ!$LQ$2:$LQ$60=L$3)*(GMWQ!$LP$2:$LP$60=L$4)*(GMWQ!$LR$2:$LR$60=L$1),0),$B234-1966)</f>
        <v>3.7501280000000001</v>
      </c>
      <c r="M234" s="7" cm="1">
        <f t="array" ref="M234">INDEX(GMWQ!$A$2:$LR$60,MATCH(1,(GMWQ!$LQ$2:$LQ$60=M$3)*(GMWQ!$LP$2:$LP$60=M$4)*(GMWQ!$LR$2:$LR$60=M$1),0),$B234-1966)</f>
        <v>173.6653</v>
      </c>
      <c r="N234" s="7" cm="1">
        <f t="array" ref="N234">INDEX(GMWQ!$A$2:$LR$60,MATCH(1,(GMWQ!$LQ$2:$LQ$60=N$3)*(GMWQ!$LP$2:$LP$60=N$4)*(GMWQ!$LR$2:$LR$60=N$1),0),$B234-1966)</f>
        <v>23547.17</v>
      </c>
      <c r="O234" s="7" cm="1">
        <f t="array" ref="O234">INDEX(GMWQ!$A$2:$LR$60,MATCH(1,(GMWQ!$LQ$2:$LQ$60=O$3)*(GMWQ!$LP$2:$LP$60=O$4)*(GMWQ!$LR$2:$LR$60=O$1),0),$B234-1966)</f>
        <v>15934.78</v>
      </c>
      <c r="P234" s="7" cm="1">
        <f t="array" ref="P234">INDEX(GMWQ!$A$2:$LR$60,MATCH(1,(GMWQ!$LQ$2:$LQ$60=P$3)*(GMWQ!$LP$2:$LP$60=P$4)*(GMWQ!$LR$2:$LR$60=P$1),0),$B234-1966)</f>
        <v>553842.6</v>
      </c>
      <c r="Q234" s="7" cm="1">
        <f t="array" ref="Q234">INDEX(GMWQ!$A$2:$LR$60,MATCH(1,(GMWQ!$LQ$2:$LQ$60=Q$3)*(GMWQ!$LP$2:$LP$60=Q$4)*(GMWQ!$LR$2:$LR$60=Q$1),0),$B234-1966)</f>
        <v>3.499997</v>
      </c>
      <c r="R234" s="7" cm="1">
        <f t="array" ref="R234">INDEX(GMWQ!$A$2:$LR$60,MATCH(1,(GMWQ!$LQ$2:$LQ$60=R$3)*(GMWQ!$LP$2:$LP$60=R$4)*(GMWQ!$LR$2:$LR$60=R$1),0),$B234-1966)</f>
        <v>237665.5</v>
      </c>
      <c r="S234" s="7" cm="1">
        <f t="array" ref="S234">INDEX(GMWQ!$A$2:$LR$60,MATCH(1,(GMWQ!$LQ$2:$LQ$60=S$3)*(GMWQ!$LP$2:$LP$60=S$4)*(GMWQ!$LR$2:$LR$60=S$1),0),$B234-1966)</f>
        <v>354.54149999999998</v>
      </c>
      <c r="T234" s="7" cm="1">
        <f t="array" ref="T234">INDEX(GMWQ!$A$2:$LR$60,MATCH(1,(GMWQ!$LQ$2:$LQ$60=T$3)*(GMWQ!$LP$2:$LP$60=T$4)*(GMWQ!$LR$2:$LR$60=T$1),0),$B234-1966)</f>
        <v>104193</v>
      </c>
      <c r="U234" s="7" cm="1">
        <f t="array" ref="U234">INDEX(GMWQ!$A$2:$LR$60,MATCH(1,(GMWQ!$LQ$2:$LQ$60=U$3)*(GMWQ!$LP$2:$LP$60=U$4)*(GMWQ!$LR$2:$LR$60=U$1),0),$B234-1966)</f>
        <v>25085.61</v>
      </c>
      <c r="V234" s="7" cm="1">
        <f t="array" ref="V234">INDEX(GMWQ!$A$2:$LR$60,MATCH(1,(GMWQ!$LQ$2:$LQ$60=V$3)*(GMWQ!$LP$2:$LP$60=V$4)*(GMWQ!$LR$2:$LR$60=V$1),0),$B234-1966)</f>
        <v>1.3809359999999999E-3</v>
      </c>
      <c r="W234" s="7" cm="1">
        <f t="array" ref="W234">INDEX(GMWQ!$A$2:$LR$60,MATCH(1,(GMWQ!$LQ$2:$LQ$60=W$3)*(GMWQ!$LP$2:$LP$60=W$4)*(GMWQ!$LR$2:$LR$60=W$1),0),$B234-1966)</f>
        <v>9.0360429999999994</v>
      </c>
      <c r="X234" s="7" cm="1">
        <f t="array" ref="X234">INDEX(GMWQ!$A$2:$LR$60,MATCH(1,(GMWQ!$LQ$2:$LQ$60=X$3)*(GMWQ!$LP$2:$LP$60=X$4)*(GMWQ!$LR$2:$LR$60=X$1),0),$B234-1966)</f>
        <v>6808803</v>
      </c>
      <c r="Y234" s="7" cm="1">
        <f t="array" ref="Y234">INDEX(GMWQ!$A$2:$LR$60,MATCH(1,(GMWQ!$LQ$2:$LQ$60=Y$3)*(GMWQ!$LP$2:$LP$60=Y$4)*(GMWQ!$LR$2:$LR$60=Y$1),0),$B234-1966)</f>
        <v>134.94479999999999</v>
      </c>
      <c r="Z234" s="7" cm="1">
        <f t="array" ref="Z234">INDEX(GMWQ!$A$2:$LR$60,MATCH(1,(GMWQ!$LQ$2:$LQ$60=Z$3)*(GMWQ!$LP$2:$LP$60=Z$4)*(GMWQ!$LR$2:$LR$60=Z$1),0),$B234-1966)</f>
        <v>626578.4</v>
      </c>
      <c r="AA234" s="7" cm="1">
        <f t="array" ref="AA234">INDEX(GMWQ!$A$2:$LR$60,MATCH(1,(GMWQ!$LQ$2:$LQ$60=AA$3)*(GMWQ!$LP$2:$LP$60=AA$4)*(GMWQ!$LR$2:$LR$60=AA$1),0),$B234-1966)</f>
        <v>334458.2</v>
      </c>
      <c r="AB234" s="7" cm="1">
        <f t="array" ref="AB234">INDEX(GMWQ!$A$2:$LR$60,MATCH(1,(GMWQ!$LQ$2:$LQ$60=AB$3)*(GMWQ!$LP$2:$LP$60=AB$4)*(GMWQ!$LR$2:$LR$60=AB$1),0),$B234-1966)</f>
        <v>325434.7</v>
      </c>
      <c r="AC234" s="7" cm="1">
        <f t="array" ref="AC234">INDEX(GMWQ!$A$2:$LR$60,MATCH(1,(GMWQ!$LQ$2:$LQ$60=AC$3)*(GMWQ!$LP$2:$LP$60=AC$4)*(GMWQ!$LR$2:$LR$60=AC$1),0),$B234-1966)</f>
        <v>12981.79</v>
      </c>
      <c r="AD234" s="7" cm="1">
        <f t="array" ref="AD234">INDEX(GMWQ!$A$2:$LR$60,MATCH(1,(GMWQ!$LQ$2:$LQ$60=AD$3)*(GMWQ!$LP$2:$LP$60=AD$4)*(GMWQ!$LR$2:$LR$60=AD$1),0),$B234-1966)</f>
        <v>19152.689999999999</v>
      </c>
      <c r="AE234" s="7" cm="1">
        <f t="array" ref="AE234">INDEX(GMWQ!$A$2:$LR$60,MATCH(1,(GMWQ!$LQ$2:$LQ$60=AE$3)*(GMWQ!$LP$2:$LP$60=AE$4)*(GMWQ!$LR$2:$LR$60=AE$1),0),$B234-1966)</f>
        <v>844898.4</v>
      </c>
      <c r="AF234" s="20" cm="1">
        <f t="array" ref="AF234">INDEX(GMWQ!$A$2:$LR$60,MATCH(1,(GMWQ!$LQ$2:$LQ$60=AF$3)*(GMWQ!$LP$2:$LP$60=AF$4)*(GMWQ!$LR$2:$LR$60=AF$1),0),$B234-1966)</f>
        <v>2</v>
      </c>
      <c r="AG234" s="20" cm="1">
        <f t="array" ref="AG234">INDEX(GMWQ!$A$2:$LR$60,MATCH(1,(GMWQ!$LQ$2:$LQ$60=AG$3)*(GMWQ!$LP$2:$LP$60=AG$4)*(GMWQ!$LR$2:$LR$60=AG$1),0),$B234-1966)</f>
        <v>-7612.3919999999998</v>
      </c>
      <c r="AI234" s="23" cm="1">
        <f t="array" ref="AI234">INDEX(GMWQ!$A$2:$LR$60,MATCH(1,(GMWQ!$LQ$2:$LQ$60=AI$3)*(GMWQ!$LP$2:$LP$60=AI$4)*(GMWQ!$LR$2:$LR$60=AI$1),0),$B234-1966)</f>
        <v>553842.6</v>
      </c>
      <c r="AJ234" s="23" cm="1">
        <f t="array" ref="AJ234">INDEX(GMWQ!$A$2:$LR$60,MATCH(1,(GMWQ!$LQ$2:$LQ$60=AJ$3)*(GMWQ!$LP$2:$LP$60=AJ$4)*(GMWQ!$LR$2:$LR$60=AJ$1),0),$B234-1966)</f>
        <v>135.91829999999999</v>
      </c>
      <c r="AK234" s="23" cm="1">
        <f t="array" ref="AK234">INDEX(GMWQ!$A$2:$LR$60,MATCH(1,(GMWQ!$LQ$2:$LQ$60=AK$3)*(GMWQ!$LP$2:$LP$60=AK$4)*(GMWQ!$LR$2:$LR$60=AK$1),0),$B234-1966)</f>
        <v>348220.5</v>
      </c>
      <c r="AL234" s="23" cm="1">
        <f t="array" ref="AL234">INDEX(GMWQ!$A$2:$LR$60,MATCH(1,(GMWQ!$LQ$2:$LQ$60=AL$3)*(GMWQ!$LP$2:$LP$60=AL$4)*(GMWQ!$LR$2:$LR$60=AL$1),0),$B234-1966)</f>
        <v>11527.3</v>
      </c>
      <c r="AM234" s="23" cm="1">
        <f t="array" ref="AM234">INDEX(GMWQ!$A$2:$LR$60,MATCH(1,(GMWQ!$LQ$2:$LQ$60=AM$3)*(GMWQ!$LP$2:$LP$60=AM$4)*(GMWQ!$LR$2:$LR$60=AM$1),0),$B234-1966)</f>
        <v>30208.33</v>
      </c>
      <c r="AN234" s="23" cm="1">
        <f t="array" ref="AN234">INDEX(GMWQ!$A$2:$LR$60,MATCH(1,(GMWQ!$LQ$2:$LQ$60=AN$3)*(GMWQ!$LP$2:$LP$60=AN$4)*(GMWQ!$LR$2:$LR$60=AN$1),0),$B234-1966)</f>
        <v>102301.8</v>
      </c>
      <c r="AO234" s="23" cm="1">
        <f t="array" ref="AO234">INDEX(GMWQ!$A$2:$LR$60,MATCH(1,(GMWQ!$LQ$2:$LQ$60=AO$3)*(GMWQ!$LP$2:$LP$60=AO$4)*(GMWQ!$LR$2:$LR$60=AO$1),0),$B234-1966)</f>
        <v>23417.83</v>
      </c>
      <c r="AP234" s="23" cm="1">
        <f t="array" ref="AP234">INDEX(GMWQ!$A$2:$LR$60,MATCH(1,(GMWQ!$LQ$2:$LQ$60=AP$3)*(GMWQ!$LP$2:$LP$60=AP$4)*(GMWQ!$LR$2:$LR$60=AP$1),0),$B234-1966)</f>
        <v>-7612.3919999999998</v>
      </c>
      <c r="AQ234" s="23" cm="1">
        <f t="array" ref="AQ234">INDEX(GMWQ!$A$2:$LR$60,MATCH(1,(GMWQ!$LQ$2:$LQ$60=AQ$3)*(GMWQ!$LP$2:$LP$60=AQ$4)*(GMWQ!$LR$2:$LR$60=AQ$1),0),$B234-1966)</f>
        <v>117339.6</v>
      </c>
      <c r="AR234" s="23" cm="1">
        <f t="array" ref="AR234">INDEX(GMWQ!$A$2:$LR$60,MATCH(1,(GMWQ!$LQ$2:$LQ$60=AR$3)*(GMWQ!$LP$2:$LP$60=AR$4)*(GMWQ!$LR$2:$LR$60=AR$1),0),$B234-1966)</f>
        <v>512123.4</v>
      </c>
      <c r="AS234" s="23" cm="1">
        <f t="array" ref="AS234">INDEX(GMWQ!$A$2:$LR$60,MATCH(1,(GMWQ!$LQ$2:$LQ$60=AS$3)*(GMWQ!$LP$2:$LP$60=AS$4)*(GMWQ!$LR$2:$LR$60=AS$1),0),$B234-1966)</f>
        <v>17186.79</v>
      </c>
      <c r="AT234" s="23" cm="1">
        <f t="array" ref="AT234">INDEX(GMWQ!$A$2:$LR$60,MATCH(1,(GMWQ!$LQ$2:$LQ$60=AT$3)*(GMWQ!$LP$2:$LP$60=AT$4)*(GMWQ!$LR$2:$LR$60=AT$1),0),$B234-1966)</f>
        <v>376787.7</v>
      </c>
      <c r="AU234" s="23" cm="1">
        <f t="array" ref="AU234">INDEX(GMWQ!$A$2:$LR$60,MATCH(1,(GMWQ!$LQ$2:$LQ$60=AU$3)*(GMWQ!$LP$2:$LP$60=AU$4)*(GMWQ!$LR$2:$LR$60=AU$1),0),$B234-1966)</f>
        <v>13408.71</v>
      </c>
    </row>
    <row r="235" spans="1:47" x14ac:dyDescent="0.35">
      <c r="A235" s="7">
        <v>2030</v>
      </c>
      <c r="B235" s="7">
        <f t="shared" si="4"/>
        <v>2201</v>
      </c>
      <c r="C235" s="7" cm="1">
        <f t="array" ref="C235">INDEX(GMWQ!$A$2:$LR$60,MATCH(1,(GMWQ!$LQ$2:$LQ$60=C$3)*(GMWQ!$LP$2:$LP$60=C$4)*(GMWQ!$LR$2:$LR$60=C$1),0),$B235-1966)</f>
        <v>628485.69999999995</v>
      </c>
      <c r="D235" s="7" cm="1">
        <f t="array" ref="D235">INDEX(GMWQ!$A$2:$LR$60,MATCH(1,(GMWQ!$LQ$2:$LQ$60=D$3)*(GMWQ!$LP$2:$LP$60=D$4)*(GMWQ!$LR$2:$LR$60=D$1),0),$B235-1966)</f>
        <v>798.08240000000001</v>
      </c>
      <c r="E235" s="7" cm="1">
        <f t="array" ref="E235">INDEX(GMWQ!$A$2:$LR$60,MATCH(1,(GMWQ!$LQ$2:$LQ$60=E$3)*(GMWQ!$LP$2:$LP$60=E$4)*(GMWQ!$LR$2:$LR$60=E$1),0),$B235-1966)</f>
        <v>149.2902</v>
      </c>
      <c r="F235" s="7" cm="1">
        <f t="array" ref="F235">INDEX(GMWQ!$A$2:$LR$60,MATCH(1,(GMWQ!$LQ$2:$LQ$60=F$3)*(GMWQ!$LP$2:$LP$60=F$4)*(GMWQ!$LR$2:$LR$60=F$1),0),$B235-1966)</f>
        <v>351254.6</v>
      </c>
      <c r="G235" s="7" cm="1">
        <f t="array" ref="G235">INDEX(GMWQ!$A$2:$LR$60,MATCH(1,(GMWQ!$LQ$2:$LQ$60=G$3)*(GMWQ!$LP$2:$LP$60=G$4)*(GMWQ!$LR$2:$LR$60=G$1),0),$B235-1966)</f>
        <v>103267.8</v>
      </c>
      <c r="H235" s="7" cm="1">
        <f t="array" ref="H235">INDEX(GMWQ!$A$2:$LR$60,MATCH(1,(GMWQ!$LQ$2:$LQ$60=H$3)*(GMWQ!$LP$2:$LP$60=H$4)*(GMWQ!$LR$2:$LR$60=H$1),0),$B235-1966)</f>
        <v>23621.87</v>
      </c>
      <c r="I235" s="7" cm="1">
        <f t="array" ref="I235">INDEX(GMWQ!$A$2:$LR$60,MATCH(1,(GMWQ!$LQ$2:$LQ$60=I$3)*(GMWQ!$LP$2:$LP$60=I$4)*(GMWQ!$LR$2:$LR$60=I$1),0),$B235-1966)</f>
        <v>136.59270000000001</v>
      </c>
      <c r="J235" s="7" cm="1">
        <f t="array" ref="J235">INDEX(GMWQ!$A$2:$LR$60,MATCH(1,(GMWQ!$LQ$2:$LQ$60=J$3)*(GMWQ!$LP$2:$LP$60=J$4)*(GMWQ!$LR$2:$LR$60=J$1),0),$B235-1966)</f>
        <v>30265.93</v>
      </c>
      <c r="K235" s="7" cm="1">
        <f t="array" ref="K235">INDEX(GMWQ!$A$2:$LR$60,MATCH(1,(GMWQ!$LQ$2:$LQ$60=K$3)*(GMWQ!$LP$2:$LP$60=K$4)*(GMWQ!$LR$2:$LR$60=K$1),0),$B235-1966)</f>
        <v>2</v>
      </c>
      <c r="L235" s="7" cm="1">
        <f t="array" ref="L235">INDEX(GMWQ!$A$2:$LR$60,MATCH(1,(GMWQ!$LQ$2:$LQ$60=L$3)*(GMWQ!$LP$2:$LP$60=L$4)*(GMWQ!$LR$2:$LR$60=L$1),0),$B235-1966)</f>
        <v>3.7501180000000001</v>
      </c>
      <c r="M235" s="7" cm="1">
        <f t="array" ref="M235">INDEX(GMWQ!$A$2:$LR$60,MATCH(1,(GMWQ!$LQ$2:$LQ$60=M$3)*(GMWQ!$LP$2:$LP$60=M$4)*(GMWQ!$LR$2:$LR$60=M$1),0),$B235-1966)</f>
        <v>174.82689999999999</v>
      </c>
      <c r="N235" s="7" cm="1">
        <f t="array" ref="N235">INDEX(GMWQ!$A$2:$LR$60,MATCH(1,(GMWQ!$LQ$2:$LQ$60=N$3)*(GMWQ!$LP$2:$LP$60=N$4)*(GMWQ!$LR$2:$LR$60=N$1),0),$B235-1966)</f>
        <v>23729.15</v>
      </c>
      <c r="O235" s="7" cm="1">
        <f t="array" ref="O235">INDEX(GMWQ!$A$2:$LR$60,MATCH(1,(GMWQ!$LQ$2:$LQ$60=O$3)*(GMWQ!$LP$2:$LP$60=O$4)*(GMWQ!$LR$2:$LR$60=O$1),0),$B235-1966)</f>
        <v>15782.82</v>
      </c>
      <c r="P235" s="7" cm="1">
        <f t="array" ref="P235">INDEX(GMWQ!$A$2:$LR$60,MATCH(1,(GMWQ!$LQ$2:$LQ$60=P$3)*(GMWQ!$LP$2:$LP$60=P$4)*(GMWQ!$LR$2:$LR$60=P$1),0),$B235-1966)</f>
        <v>559161.30000000005</v>
      </c>
      <c r="Q235" s="7" cm="1">
        <f t="array" ref="Q235">INDEX(GMWQ!$A$2:$LR$60,MATCH(1,(GMWQ!$LQ$2:$LQ$60=Q$3)*(GMWQ!$LP$2:$LP$60=Q$4)*(GMWQ!$LR$2:$LR$60=Q$1),0),$B235-1966)</f>
        <v>3.499997</v>
      </c>
      <c r="R235" s="7" cm="1">
        <f t="array" ref="R235">INDEX(GMWQ!$A$2:$LR$60,MATCH(1,(GMWQ!$LQ$2:$LQ$60=R$3)*(GMWQ!$LP$2:$LP$60=R$4)*(GMWQ!$LR$2:$LR$60=R$1),0),$B235-1966)</f>
        <v>240264.3</v>
      </c>
      <c r="S235" s="7" cm="1">
        <f t="array" ref="S235">INDEX(GMWQ!$A$2:$LR$60,MATCH(1,(GMWQ!$LQ$2:$LQ$60=S$3)*(GMWQ!$LP$2:$LP$60=S$4)*(GMWQ!$LR$2:$LR$60=S$1),0),$B235-1966)</f>
        <v>358.41809999999998</v>
      </c>
      <c r="T235" s="7" cm="1">
        <f t="array" ref="T235">INDEX(GMWQ!$A$2:$LR$60,MATCH(1,(GMWQ!$LQ$2:$LQ$60=T$3)*(GMWQ!$LP$2:$LP$60=T$4)*(GMWQ!$LR$2:$LR$60=T$1),0),$B235-1966)</f>
        <v>105547.2</v>
      </c>
      <c r="U235" s="7" cm="1">
        <f t="array" ref="U235">INDEX(GMWQ!$A$2:$LR$60,MATCH(1,(GMWQ!$LQ$2:$LQ$60=U$3)*(GMWQ!$LP$2:$LP$60=U$4)*(GMWQ!$LR$2:$LR$60=U$1),0),$B235-1966)</f>
        <v>25461.54</v>
      </c>
      <c r="V235" s="7" cm="1">
        <f t="array" ref="V235">INDEX(GMWQ!$A$2:$LR$60,MATCH(1,(GMWQ!$LQ$2:$LQ$60=V$3)*(GMWQ!$LP$2:$LP$60=V$4)*(GMWQ!$LR$2:$LR$60=V$1),0),$B235-1966)</f>
        <v>1.379545E-3</v>
      </c>
      <c r="W235" s="7" cm="1">
        <f t="array" ref="W235">INDEX(GMWQ!$A$2:$LR$60,MATCH(1,(GMWQ!$LQ$2:$LQ$60=W$3)*(GMWQ!$LP$2:$LP$60=W$4)*(GMWQ!$LR$2:$LR$60=W$1),0),$B235-1966)</f>
        <v>8.9826560000000004</v>
      </c>
      <c r="X235" s="7" cm="1">
        <f t="array" ref="X235">INDEX(GMWQ!$A$2:$LR$60,MATCH(1,(GMWQ!$LQ$2:$LQ$60=X$3)*(GMWQ!$LP$2:$LP$60=X$4)*(GMWQ!$LR$2:$LR$60=X$1),0),$B235-1966)</f>
        <v>6910307</v>
      </c>
      <c r="Y235" s="7" cm="1">
        <f t="array" ref="Y235">INDEX(GMWQ!$A$2:$LR$60,MATCH(1,(GMWQ!$LQ$2:$LQ$60=Y$3)*(GMWQ!$LP$2:$LP$60=Y$4)*(GMWQ!$LR$2:$LR$60=Y$1),0),$B235-1966)</f>
        <v>135.67080000000001</v>
      </c>
      <c r="Z235" s="7" cm="1">
        <f t="array" ref="Z235">INDEX(GMWQ!$A$2:$LR$60,MATCH(1,(GMWQ!$LQ$2:$LQ$60=Z$3)*(GMWQ!$LP$2:$LP$60=Z$4)*(GMWQ!$LR$2:$LR$60=Z$1),0),$B235-1966)</f>
        <v>628929.9</v>
      </c>
      <c r="AA235" s="7" cm="1">
        <f t="array" ref="AA235">INDEX(GMWQ!$A$2:$LR$60,MATCH(1,(GMWQ!$LQ$2:$LQ$60=AA$3)*(GMWQ!$LP$2:$LP$60=AA$4)*(GMWQ!$LR$2:$LR$60=AA$1),0),$B235-1966)</f>
        <v>388786.8</v>
      </c>
      <c r="AB235" s="7" cm="1">
        <f t="array" ref="AB235">INDEX(GMWQ!$A$2:$LR$60,MATCH(1,(GMWQ!$LQ$2:$LQ$60=AB$3)*(GMWQ!$LP$2:$LP$60=AB$4)*(GMWQ!$LR$2:$LR$60=AB$1),0),$B235-1966)</f>
        <v>324473.8</v>
      </c>
      <c r="AC235" s="7" cm="1">
        <f t="array" ref="AC235">INDEX(GMWQ!$A$2:$LR$60,MATCH(1,(GMWQ!$LQ$2:$LQ$60=AC$3)*(GMWQ!$LP$2:$LP$60=AC$4)*(GMWQ!$LR$2:$LR$60=AC$1),0),$B235-1966)</f>
        <v>23040.2</v>
      </c>
      <c r="AD235" s="7" cm="1">
        <f t="array" ref="AD235">INDEX(GMWQ!$A$2:$LR$60,MATCH(1,(GMWQ!$LQ$2:$LQ$60=AD$3)*(GMWQ!$LP$2:$LP$60=AD$4)*(GMWQ!$LR$2:$LR$60=AD$1),0),$B235-1966)</f>
        <v>19152.689999999999</v>
      </c>
      <c r="AE235" s="7" cm="1">
        <f t="array" ref="AE235">INDEX(GMWQ!$A$2:$LR$60,MATCH(1,(GMWQ!$LQ$2:$LQ$60=AE$3)*(GMWQ!$LP$2:$LP$60=AE$4)*(GMWQ!$LR$2:$LR$60=AE$1),0),$B235-1966)</f>
        <v>852671.6</v>
      </c>
      <c r="AF235" s="20" cm="1">
        <f t="array" ref="AF235">INDEX(GMWQ!$A$2:$LR$60,MATCH(1,(GMWQ!$LQ$2:$LQ$60=AF$3)*(GMWQ!$LP$2:$LP$60=AF$4)*(GMWQ!$LR$2:$LR$60=AF$1),0),$B235-1966)</f>
        <v>2</v>
      </c>
      <c r="AG235" s="20" cm="1">
        <f t="array" ref="AG235">INDEX(GMWQ!$A$2:$LR$60,MATCH(1,(GMWQ!$LQ$2:$LQ$60=AG$3)*(GMWQ!$LP$2:$LP$60=AG$4)*(GMWQ!$LR$2:$LR$60=AG$1),0),$B235-1966)</f>
        <v>-7946.3270000000002</v>
      </c>
      <c r="AI235" s="23" cm="1">
        <f t="array" ref="AI235">INDEX(GMWQ!$A$2:$LR$60,MATCH(1,(GMWQ!$LQ$2:$LQ$60=AI$3)*(GMWQ!$LP$2:$LP$60=AI$4)*(GMWQ!$LR$2:$LR$60=AI$1),0),$B235-1966)</f>
        <v>559161.30000000005</v>
      </c>
      <c r="AJ235" s="23" cm="1">
        <f t="array" ref="AJ235">INDEX(GMWQ!$A$2:$LR$60,MATCH(1,(GMWQ!$LQ$2:$LQ$60=AJ$3)*(GMWQ!$LP$2:$LP$60=AJ$4)*(GMWQ!$LR$2:$LR$60=AJ$1),0),$B235-1966)</f>
        <v>136.59270000000001</v>
      </c>
      <c r="AK235" s="23" cm="1">
        <f t="array" ref="AK235">INDEX(GMWQ!$A$2:$LR$60,MATCH(1,(GMWQ!$LQ$2:$LQ$60=AK$3)*(GMWQ!$LP$2:$LP$60=AK$4)*(GMWQ!$LR$2:$LR$60=AK$1),0),$B235-1966)</f>
        <v>351254.6</v>
      </c>
      <c r="AL235" s="23" cm="1">
        <f t="array" ref="AL235">INDEX(GMWQ!$A$2:$LR$60,MATCH(1,(GMWQ!$LQ$2:$LQ$60=AL$3)*(GMWQ!$LP$2:$LP$60=AL$4)*(GMWQ!$LR$2:$LR$60=AL$1),0),$B235-1966)</f>
        <v>11605.61</v>
      </c>
      <c r="AM235" s="23" cm="1">
        <f t="array" ref="AM235">INDEX(GMWQ!$A$2:$LR$60,MATCH(1,(GMWQ!$LQ$2:$LQ$60=AM$3)*(GMWQ!$LP$2:$LP$60=AM$4)*(GMWQ!$LR$2:$LR$60=AM$1),0),$B235-1966)</f>
        <v>30265.93</v>
      </c>
      <c r="AN235" s="23" cm="1">
        <f t="array" ref="AN235">INDEX(GMWQ!$A$2:$LR$60,MATCH(1,(GMWQ!$LQ$2:$LQ$60=AN$3)*(GMWQ!$LP$2:$LP$60=AN$4)*(GMWQ!$LR$2:$LR$60=AN$1),0),$B235-1966)</f>
        <v>103267.8</v>
      </c>
      <c r="AO235" s="23" cm="1">
        <f t="array" ref="AO235">INDEX(GMWQ!$A$2:$LR$60,MATCH(1,(GMWQ!$LQ$2:$LQ$60=AO$3)*(GMWQ!$LP$2:$LP$60=AO$4)*(GMWQ!$LR$2:$LR$60=AO$1),0),$B235-1966)</f>
        <v>23621.87</v>
      </c>
      <c r="AP235" s="23" cm="1">
        <f t="array" ref="AP235">INDEX(GMWQ!$A$2:$LR$60,MATCH(1,(GMWQ!$LQ$2:$LQ$60=AP$3)*(GMWQ!$LP$2:$LP$60=AP$4)*(GMWQ!$LR$2:$LR$60=AP$1),0),$B235-1966)</f>
        <v>-7946.3270000000002</v>
      </c>
      <c r="AQ235" s="23" cm="1">
        <f t="array" ref="AQ235">INDEX(GMWQ!$A$2:$LR$60,MATCH(1,(GMWQ!$LQ$2:$LQ$60=AQ$3)*(GMWQ!$LP$2:$LP$60=AQ$4)*(GMWQ!$LR$2:$LR$60=AQ$1),0),$B235-1966)</f>
        <v>118645.8</v>
      </c>
      <c r="AR235" s="23" cm="1">
        <f t="array" ref="AR235">INDEX(GMWQ!$A$2:$LR$60,MATCH(1,(GMWQ!$LQ$2:$LQ$60=AR$3)*(GMWQ!$LP$2:$LP$60=AR$4)*(GMWQ!$LR$2:$LR$60=AR$1),0),$B235-1966)</f>
        <v>516581.7</v>
      </c>
      <c r="AS235" s="23" cm="1">
        <f t="array" ref="AS235">INDEX(GMWQ!$A$2:$LR$60,MATCH(1,(GMWQ!$LQ$2:$LQ$60=AS$3)*(GMWQ!$LP$2:$LP$60=AS$4)*(GMWQ!$LR$2:$LR$60=AS$1),0),$B235-1966)</f>
        <v>17345.45</v>
      </c>
      <c r="AT235" s="23" cm="1">
        <f t="array" ref="AT235">INDEX(GMWQ!$A$2:$LR$60,MATCH(1,(GMWQ!$LQ$2:$LQ$60=AT$3)*(GMWQ!$LP$2:$LP$60=AT$4)*(GMWQ!$LR$2:$LR$60=AT$1),0),$B235-1966)</f>
        <v>378191.3</v>
      </c>
      <c r="AU235" s="23" cm="1">
        <f t="array" ref="AU235">INDEX(GMWQ!$A$2:$LR$60,MATCH(1,(GMWQ!$LQ$2:$LQ$60=AU$3)*(GMWQ!$LP$2:$LP$60=AU$4)*(GMWQ!$LR$2:$LR$60=AU$1),0),$B235-1966)</f>
        <v>13458.66</v>
      </c>
    </row>
    <row r="236" spans="1:47" x14ac:dyDescent="0.35">
      <c r="B236" s="7">
        <f t="shared" si="4"/>
        <v>2202</v>
      </c>
      <c r="C236" s="7" cm="1">
        <f t="array" ref="C236">INDEX(GMWQ!$A$2:$LR$60,MATCH(1,(GMWQ!$LQ$2:$LQ$60=C$3)*(GMWQ!$LP$2:$LP$60=C$4)*(GMWQ!$LR$2:$LR$60=C$1),0),$B236-1966)</f>
        <v>630873.9</v>
      </c>
      <c r="D236" s="7" cm="1">
        <f t="array" ref="D236">INDEX(GMWQ!$A$2:$LR$60,MATCH(1,(GMWQ!$LQ$2:$LQ$60=D$3)*(GMWQ!$LP$2:$LP$60=D$4)*(GMWQ!$LR$2:$LR$60=D$1),0),$B236-1966)</f>
        <v>803.53830000000005</v>
      </c>
      <c r="E236" s="7" cm="1">
        <f t="array" ref="E236">INDEX(GMWQ!$A$2:$LR$60,MATCH(1,(GMWQ!$LQ$2:$LQ$60=E$3)*(GMWQ!$LP$2:$LP$60=E$4)*(GMWQ!$LR$2:$LR$60=E$1),0),$B236-1966)</f>
        <v>150.65379999999999</v>
      </c>
      <c r="F236" s="7" cm="1">
        <f t="array" ref="F236">INDEX(GMWQ!$A$2:$LR$60,MATCH(1,(GMWQ!$LQ$2:$LQ$60=F$3)*(GMWQ!$LP$2:$LP$60=F$4)*(GMWQ!$LR$2:$LR$60=F$1),0),$B236-1966)</f>
        <v>354330.5</v>
      </c>
      <c r="G236" s="7" cm="1">
        <f t="array" ref="G236">INDEX(GMWQ!$A$2:$LR$60,MATCH(1,(GMWQ!$LQ$2:$LQ$60=G$3)*(GMWQ!$LP$2:$LP$60=G$4)*(GMWQ!$LR$2:$LR$60=G$1),0),$B236-1966)</f>
        <v>103749.7</v>
      </c>
      <c r="H236" s="7" cm="1">
        <f t="array" ref="H236">INDEX(GMWQ!$A$2:$LR$60,MATCH(1,(GMWQ!$LQ$2:$LQ$60=H$3)*(GMWQ!$LP$2:$LP$60=H$4)*(GMWQ!$LR$2:$LR$60=H$1),0),$B236-1966)</f>
        <v>23828.720000000001</v>
      </c>
      <c r="I236" s="7" cm="1">
        <f t="array" ref="I236">INDEX(GMWQ!$A$2:$LR$60,MATCH(1,(GMWQ!$LQ$2:$LQ$60=I$3)*(GMWQ!$LP$2:$LP$60=I$4)*(GMWQ!$LR$2:$LR$60=I$1),0),$B236-1966)</f>
        <v>137.2705</v>
      </c>
      <c r="J236" s="7" cm="1">
        <f t="array" ref="J236">INDEX(GMWQ!$A$2:$LR$60,MATCH(1,(GMWQ!$LQ$2:$LQ$60=J$3)*(GMWQ!$LP$2:$LP$60=J$4)*(GMWQ!$LR$2:$LR$60=J$1),0),$B236-1966)</f>
        <v>30323.64</v>
      </c>
      <c r="K236" s="7" cm="1">
        <f t="array" ref="K236">INDEX(GMWQ!$A$2:$LR$60,MATCH(1,(GMWQ!$LQ$2:$LQ$60=K$3)*(GMWQ!$LP$2:$LP$60=K$4)*(GMWQ!$LR$2:$LR$60=K$1),0),$B236-1966)</f>
        <v>2</v>
      </c>
      <c r="L236" s="7" cm="1">
        <f t="array" ref="L236">INDEX(GMWQ!$A$2:$LR$60,MATCH(1,(GMWQ!$LQ$2:$LQ$60=L$3)*(GMWQ!$LP$2:$LP$60=L$4)*(GMWQ!$LR$2:$LR$60=L$1),0),$B236-1966)</f>
        <v>3.7501250000000002</v>
      </c>
      <c r="M236" s="7" cm="1">
        <f t="array" ref="M236">INDEX(GMWQ!$A$2:$LR$60,MATCH(1,(GMWQ!$LQ$2:$LQ$60=M$3)*(GMWQ!$LP$2:$LP$60=M$4)*(GMWQ!$LR$2:$LR$60=M$1),0),$B236-1966)</f>
        <v>175.9958</v>
      </c>
      <c r="N236" s="7" cm="1">
        <f t="array" ref="N236">INDEX(GMWQ!$A$2:$LR$60,MATCH(1,(GMWQ!$LQ$2:$LQ$60=N$3)*(GMWQ!$LP$2:$LP$60=N$4)*(GMWQ!$LR$2:$LR$60=N$1),0),$B236-1966)</f>
        <v>23918.25</v>
      </c>
      <c r="O236" s="7" cm="1">
        <f t="array" ref="O236">INDEX(GMWQ!$A$2:$LR$60,MATCH(1,(GMWQ!$LQ$2:$LQ$60=O$3)*(GMWQ!$LP$2:$LP$60=O$4)*(GMWQ!$LR$2:$LR$60=O$1),0),$B236-1966)</f>
        <v>15635.2</v>
      </c>
      <c r="P236" s="7" cm="1">
        <f t="array" ref="P236">INDEX(GMWQ!$A$2:$LR$60,MATCH(1,(GMWQ!$LQ$2:$LQ$60=P$3)*(GMWQ!$LP$2:$LP$60=P$4)*(GMWQ!$LR$2:$LR$60=P$1),0),$B236-1966)</f>
        <v>563761.9</v>
      </c>
      <c r="Q236" s="7" cm="1">
        <f t="array" ref="Q236">INDEX(GMWQ!$A$2:$LR$60,MATCH(1,(GMWQ!$LQ$2:$LQ$60=Q$3)*(GMWQ!$LP$2:$LP$60=Q$4)*(GMWQ!$LR$2:$LR$60=Q$1),0),$B236-1966)</f>
        <v>3.4999980000000002</v>
      </c>
      <c r="R236" s="7" cm="1">
        <f t="array" ref="R236">INDEX(GMWQ!$A$2:$LR$60,MATCH(1,(GMWQ!$LQ$2:$LQ$60=R$3)*(GMWQ!$LP$2:$LP$60=R$4)*(GMWQ!$LR$2:$LR$60=R$1),0),$B236-1966)</f>
        <v>242859.2</v>
      </c>
      <c r="S236" s="7" cm="1">
        <f t="array" ref="S236">INDEX(GMWQ!$A$2:$LR$60,MATCH(1,(GMWQ!$LQ$2:$LQ$60=S$3)*(GMWQ!$LP$2:$LP$60=S$4)*(GMWQ!$LR$2:$LR$60=S$1),0),$B236-1966)</f>
        <v>362.28899999999999</v>
      </c>
      <c r="T236" s="7" cm="1">
        <f t="array" ref="T236">INDEX(GMWQ!$A$2:$LR$60,MATCH(1,(GMWQ!$LQ$2:$LQ$60=T$3)*(GMWQ!$LP$2:$LP$60=T$4)*(GMWQ!$LR$2:$LR$60=T$1),0),$B236-1966)</f>
        <v>106854</v>
      </c>
      <c r="U236" s="7" cm="1">
        <f t="array" ref="U236">INDEX(GMWQ!$A$2:$LR$60,MATCH(1,(GMWQ!$LQ$2:$LQ$60=U$3)*(GMWQ!$LP$2:$LP$60=U$4)*(GMWQ!$LR$2:$LR$60=U$1),0),$B236-1966)</f>
        <v>25775.33</v>
      </c>
      <c r="V236" s="7" cm="1">
        <f t="array" ref="V236">INDEX(GMWQ!$A$2:$LR$60,MATCH(1,(GMWQ!$LQ$2:$LQ$60=V$3)*(GMWQ!$LP$2:$LP$60=V$4)*(GMWQ!$LR$2:$LR$60=V$1),0),$B236-1966)</f>
        <v>1.378001E-3</v>
      </c>
      <c r="W236" s="7" cm="1">
        <f t="array" ref="W236">INDEX(GMWQ!$A$2:$LR$60,MATCH(1,(GMWQ!$LQ$2:$LQ$60=W$3)*(GMWQ!$LP$2:$LP$60=W$4)*(GMWQ!$LR$2:$LR$60=W$1),0),$B236-1966)</f>
        <v>9.0522849999999995</v>
      </c>
      <c r="X236" s="7" cm="1">
        <f t="array" ref="X236">INDEX(GMWQ!$A$2:$LR$60,MATCH(1,(GMWQ!$LQ$2:$LQ$60=X$3)*(GMWQ!$LP$2:$LP$60=X$4)*(GMWQ!$LR$2:$LR$60=X$1),0),$B236-1966)</f>
        <v>6996501</v>
      </c>
      <c r="Y236" s="7" cm="1">
        <f t="array" ref="Y236">INDEX(GMWQ!$A$2:$LR$60,MATCH(1,(GMWQ!$LQ$2:$LQ$60=Y$3)*(GMWQ!$LP$2:$LP$60=Y$4)*(GMWQ!$LR$2:$LR$60=Y$1),0),$B236-1966)</f>
        <v>136.40209999999999</v>
      </c>
      <c r="Z236" s="7" cm="1">
        <f t="array" ref="Z236">INDEX(GMWQ!$A$2:$LR$60,MATCH(1,(GMWQ!$LQ$2:$LQ$60=Z$3)*(GMWQ!$LP$2:$LP$60=Z$4)*(GMWQ!$LR$2:$LR$60=Z$1),0),$B236-1966)</f>
        <v>631298.80000000005</v>
      </c>
      <c r="AA236" s="7" cm="1">
        <f t="array" ref="AA236">INDEX(GMWQ!$A$2:$LR$60,MATCH(1,(GMWQ!$LQ$2:$LQ$60=AA$3)*(GMWQ!$LP$2:$LP$60=AA$4)*(GMWQ!$LR$2:$LR$60=AA$1),0),$B236-1966)</f>
        <v>344221.7</v>
      </c>
      <c r="AB236" s="7" cm="1">
        <f t="array" ref="AB236">INDEX(GMWQ!$A$2:$LR$60,MATCH(1,(GMWQ!$LQ$2:$LQ$60=AB$3)*(GMWQ!$LP$2:$LP$60=AB$4)*(GMWQ!$LR$2:$LR$60=AB$1),0),$B236-1966)</f>
        <v>331800.2</v>
      </c>
      <c r="AC236" s="7" cm="1">
        <f t="array" ref="AC236">INDEX(GMWQ!$A$2:$LR$60,MATCH(1,(GMWQ!$LQ$2:$LQ$60=AC$3)*(GMWQ!$LP$2:$LP$60=AC$4)*(GMWQ!$LR$2:$LR$60=AC$1),0),$B236-1966)</f>
        <v>11083.28</v>
      </c>
      <c r="AD236" s="7" cm="1">
        <f t="array" ref="AD236">INDEX(GMWQ!$A$2:$LR$60,MATCH(1,(GMWQ!$LQ$2:$LQ$60=AD$3)*(GMWQ!$LP$2:$LP$60=AD$4)*(GMWQ!$LR$2:$LR$60=AD$1),0),$B236-1966)</f>
        <v>19152.689999999999</v>
      </c>
      <c r="AE236" s="7" cm="1">
        <f t="array" ref="AE236">INDEX(GMWQ!$A$2:$LR$60,MATCH(1,(GMWQ!$LQ$2:$LQ$60=AE$3)*(GMWQ!$LP$2:$LP$60=AE$4)*(GMWQ!$LR$2:$LR$60=AE$1),0),$B236-1966)</f>
        <v>860525.1</v>
      </c>
      <c r="AF236" s="20" cm="1">
        <f t="array" ref="AF236">INDEX(GMWQ!$A$2:$LR$60,MATCH(1,(GMWQ!$LQ$2:$LQ$60=AF$3)*(GMWQ!$LP$2:$LP$60=AF$4)*(GMWQ!$LR$2:$LR$60=AF$1),0),$B236-1966)</f>
        <v>2</v>
      </c>
      <c r="AG236" s="20" cm="1">
        <f t="array" ref="AG236">INDEX(GMWQ!$A$2:$LR$60,MATCH(1,(GMWQ!$LQ$2:$LQ$60=AG$3)*(GMWQ!$LP$2:$LP$60=AG$4)*(GMWQ!$LR$2:$LR$60=AG$1),0),$B236-1966)</f>
        <v>-8283.0490000000009</v>
      </c>
      <c r="AI236" s="23" cm="1">
        <f t="array" ref="AI236">INDEX(GMWQ!$A$2:$LR$60,MATCH(1,(GMWQ!$LQ$2:$LQ$60=AI$3)*(GMWQ!$LP$2:$LP$60=AI$4)*(GMWQ!$LR$2:$LR$60=AI$1),0),$B236-1966)</f>
        <v>563761.9</v>
      </c>
      <c r="AJ236" s="23" cm="1">
        <f t="array" ref="AJ236">INDEX(GMWQ!$A$2:$LR$60,MATCH(1,(GMWQ!$LQ$2:$LQ$60=AJ$3)*(GMWQ!$LP$2:$LP$60=AJ$4)*(GMWQ!$LR$2:$LR$60=AJ$1),0),$B236-1966)</f>
        <v>137.2705</v>
      </c>
      <c r="AK236" s="23" cm="1">
        <f t="array" ref="AK236">INDEX(GMWQ!$A$2:$LR$60,MATCH(1,(GMWQ!$LQ$2:$LQ$60=AK$3)*(GMWQ!$LP$2:$LP$60=AK$4)*(GMWQ!$LR$2:$LR$60=AK$1),0),$B236-1966)</f>
        <v>354330.5</v>
      </c>
      <c r="AL236" s="23" cm="1">
        <f t="array" ref="AL236">INDEX(GMWQ!$A$2:$LR$60,MATCH(1,(GMWQ!$LQ$2:$LQ$60=AL$3)*(GMWQ!$LP$2:$LP$60=AL$4)*(GMWQ!$LR$2:$LR$60=AL$1),0),$B236-1966)</f>
        <v>11684.96</v>
      </c>
      <c r="AM236" s="23" cm="1">
        <f t="array" ref="AM236">INDEX(GMWQ!$A$2:$LR$60,MATCH(1,(GMWQ!$LQ$2:$LQ$60=AM$3)*(GMWQ!$LP$2:$LP$60=AM$4)*(GMWQ!$LR$2:$LR$60=AM$1),0),$B236-1966)</f>
        <v>30323.64</v>
      </c>
      <c r="AN236" s="23" cm="1">
        <f t="array" ref="AN236">INDEX(GMWQ!$A$2:$LR$60,MATCH(1,(GMWQ!$LQ$2:$LQ$60=AN$3)*(GMWQ!$LP$2:$LP$60=AN$4)*(GMWQ!$LR$2:$LR$60=AN$1),0),$B236-1966)</f>
        <v>103749.7</v>
      </c>
      <c r="AO236" s="23" cm="1">
        <f t="array" ref="AO236">INDEX(GMWQ!$A$2:$LR$60,MATCH(1,(GMWQ!$LQ$2:$LQ$60=AO$3)*(GMWQ!$LP$2:$LP$60=AO$4)*(GMWQ!$LR$2:$LR$60=AO$1),0),$B236-1966)</f>
        <v>23828.720000000001</v>
      </c>
      <c r="AP236" s="23" cm="1">
        <f t="array" ref="AP236">INDEX(GMWQ!$A$2:$LR$60,MATCH(1,(GMWQ!$LQ$2:$LQ$60=AP$3)*(GMWQ!$LP$2:$LP$60=AP$4)*(GMWQ!$LR$2:$LR$60=AP$1),0),$B236-1966)</f>
        <v>-8283.0490000000009</v>
      </c>
      <c r="AQ236" s="23" cm="1">
        <f t="array" ref="AQ236">INDEX(GMWQ!$A$2:$LR$60,MATCH(1,(GMWQ!$LQ$2:$LQ$60=AQ$3)*(GMWQ!$LP$2:$LP$60=AQ$4)*(GMWQ!$LR$2:$LR$60=AQ$1),0),$B236-1966)</f>
        <v>119948.8</v>
      </c>
      <c r="AR236" s="23" cm="1">
        <f t="array" ref="AR236">INDEX(GMWQ!$A$2:$LR$60,MATCH(1,(GMWQ!$LQ$2:$LQ$60=AR$3)*(GMWQ!$LP$2:$LP$60=AR$4)*(GMWQ!$LR$2:$LR$60=AR$1),0),$B236-1966)</f>
        <v>521078.8</v>
      </c>
      <c r="AS236" s="23" cm="1">
        <f t="array" ref="AS236">INDEX(GMWQ!$A$2:$LR$60,MATCH(1,(GMWQ!$LQ$2:$LQ$60=AS$3)*(GMWQ!$LP$2:$LP$60=AS$4)*(GMWQ!$LR$2:$LR$60=AS$1),0),$B236-1966)</f>
        <v>17505.490000000002</v>
      </c>
      <c r="AT236" s="23" cm="1">
        <f t="array" ref="AT236">INDEX(GMWQ!$A$2:$LR$60,MATCH(1,(GMWQ!$LQ$2:$LQ$60=AT$3)*(GMWQ!$LP$2:$LP$60=AT$4)*(GMWQ!$LR$2:$LR$60=AT$1),0),$B236-1966)</f>
        <v>379600</v>
      </c>
      <c r="AU236" s="23" cm="1">
        <f t="array" ref="AU236">INDEX(GMWQ!$A$2:$LR$60,MATCH(1,(GMWQ!$LQ$2:$LQ$60=AU$3)*(GMWQ!$LP$2:$LP$60=AU$4)*(GMWQ!$LR$2:$LR$60=AU$1),0),$B236-1966)</f>
        <v>13508.79</v>
      </c>
    </row>
    <row r="237" spans="1:47" x14ac:dyDescent="0.35">
      <c r="B237" s="7">
        <f t="shared" si="4"/>
        <v>2203</v>
      </c>
      <c r="C237" s="7" cm="1">
        <f t="array" ref="C237">INDEX(GMWQ!$A$2:$LR$60,MATCH(1,(GMWQ!$LQ$2:$LQ$60=C$3)*(GMWQ!$LP$2:$LP$60=C$4)*(GMWQ!$LR$2:$LR$60=C$1),0),$B237-1966)</f>
        <v>633271.30000000005</v>
      </c>
      <c r="D237" s="7" cm="1">
        <f t="array" ref="D237">INDEX(GMWQ!$A$2:$LR$60,MATCH(1,(GMWQ!$LQ$2:$LQ$60=D$3)*(GMWQ!$LP$2:$LP$60=D$4)*(GMWQ!$LR$2:$LR$60=D$1),0),$B237-1966)</f>
        <v>809.08640000000003</v>
      </c>
      <c r="E237" s="7" cm="1">
        <f t="array" ref="E237">INDEX(GMWQ!$A$2:$LR$60,MATCH(1,(GMWQ!$LQ$2:$LQ$60=E$3)*(GMWQ!$LP$2:$LP$60=E$4)*(GMWQ!$LR$2:$LR$60=E$1),0),$B237-1966)</f>
        <v>151.4768</v>
      </c>
      <c r="F237" s="7" cm="1">
        <f t="array" ref="F237">INDEX(GMWQ!$A$2:$LR$60,MATCH(1,(GMWQ!$LQ$2:$LQ$60=F$3)*(GMWQ!$LP$2:$LP$60=F$4)*(GMWQ!$LR$2:$LR$60=F$1),0),$B237-1966)</f>
        <v>357456.9</v>
      </c>
      <c r="G237" s="7" cm="1">
        <f t="array" ref="G237">INDEX(GMWQ!$A$2:$LR$60,MATCH(1,(GMWQ!$LQ$2:$LQ$60=G$3)*(GMWQ!$LP$2:$LP$60=G$4)*(GMWQ!$LR$2:$LR$60=G$1),0),$B237-1966)</f>
        <v>104783.8</v>
      </c>
      <c r="H237" s="7" cm="1">
        <f t="array" ref="H237">INDEX(GMWQ!$A$2:$LR$60,MATCH(1,(GMWQ!$LQ$2:$LQ$60=H$3)*(GMWQ!$LP$2:$LP$60=H$4)*(GMWQ!$LR$2:$LR$60=H$1),0),$B237-1966)</f>
        <v>24038.98</v>
      </c>
      <c r="I237" s="7" cm="1">
        <f t="array" ref="I237">INDEX(GMWQ!$A$2:$LR$60,MATCH(1,(GMWQ!$LQ$2:$LQ$60=I$3)*(GMWQ!$LP$2:$LP$60=I$4)*(GMWQ!$LR$2:$LR$60=I$1),0),$B237-1966)</f>
        <v>137.95160000000001</v>
      </c>
      <c r="J237" s="7" cm="1">
        <f t="array" ref="J237">INDEX(GMWQ!$A$2:$LR$60,MATCH(1,(GMWQ!$LQ$2:$LQ$60=J$3)*(GMWQ!$LP$2:$LP$60=J$4)*(GMWQ!$LR$2:$LR$60=J$1),0),$B237-1966)</f>
        <v>30381.45</v>
      </c>
      <c r="K237" s="7" cm="1">
        <f t="array" ref="K237">INDEX(GMWQ!$A$2:$LR$60,MATCH(1,(GMWQ!$LQ$2:$LQ$60=K$3)*(GMWQ!$LP$2:$LP$60=K$4)*(GMWQ!$LR$2:$LR$60=K$1),0),$B237-1966)</f>
        <v>2</v>
      </c>
      <c r="L237" s="7" cm="1">
        <f t="array" ref="L237">INDEX(GMWQ!$A$2:$LR$60,MATCH(1,(GMWQ!$LQ$2:$LQ$60=L$3)*(GMWQ!$LP$2:$LP$60=L$4)*(GMWQ!$LR$2:$LR$60=L$1),0),$B237-1966)</f>
        <v>3.7500990000000001</v>
      </c>
      <c r="M237" s="7" cm="1">
        <f t="array" ref="M237">INDEX(GMWQ!$A$2:$LR$60,MATCH(1,(GMWQ!$LQ$2:$LQ$60=M$3)*(GMWQ!$LP$2:$LP$60=M$4)*(GMWQ!$LR$2:$LR$60=M$1),0),$B237-1966)</f>
        <v>177.1635</v>
      </c>
      <c r="N237" s="7" cm="1">
        <f t="array" ref="N237">INDEX(GMWQ!$A$2:$LR$60,MATCH(1,(GMWQ!$LQ$2:$LQ$60=N$3)*(GMWQ!$LP$2:$LP$60=N$4)*(GMWQ!$LR$2:$LR$60=N$1),0),$B237-1966)</f>
        <v>24113.8</v>
      </c>
      <c r="O237" s="7" cm="1">
        <f t="array" ref="O237">INDEX(GMWQ!$A$2:$LR$60,MATCH(1,(GMWQ!$LQ$2:$LQ$60=O$3)*(GMWQ!$LP$2:$LP$60=O$4)*(GMWQ!$LR$2:$LR$60=O$1),0),$B237-1966)</f>
        <v>15495.14</v>
      </c>
      <c r="P237" s="7" cm="1">
        <f t="array" ref="P237">INDEX(GMWQ!$A$2:$LR$60,MATCH(1,(GMWQ!$LQ$2:$LQ$60=P$3)*(GMWQ!$LP$2:$LP$60=P$4)*(GMWQ!$LR$2:$LR$60=P$1),0),$B237-1966)</f>
        <v>568692.6</v>
      </c>
      <c r="Q237" s="7" cm="1">
        <f t="array" ref="Q237">INDEX(GMWQ!$A$2:$LR$60,MATCH(1,(GMWQ!$LQ$2:$LQ$60=Q$3)*(GMWQ!$LP$2:$LP$60=Q$4)*(GMWQ!$LR$2:$LR$60=Q$1),0),$B237-1966)</f>
        <v>3.4999989999999999</v>
      </c>
      <c r="R237" s="7" cm="1">
        <f t="array" ref="R237">INDEX(GMWQ!$A$2:$LR$60,MATCH(1,(GMWQ!$LQ$2:$LQ$60=R$3)*(GMWQ!$LP$2:$LP$60=R$4)*(GMWQ!$LR$2:$LR$60=R$1),0),$B237-1966)</f>
        <v>245479.5</v>
      </c>
      <c r="S237" s="7" cm="1">
        <f t="array" ref="S237">INDEX(GMWQ!$A$2:$LR$60,MATCH(1,(GMWQ!$LQ$2:$LQ$60=S$3)*(GMWQ!$LP$2:$LP$60=S$4)*(GMWQ!$LR$2:$LR$60=S$1),0),$B237-1966)</f>
        <v>366.1979</v>
      </c>
      <c r="T237" s="7" cm="1">
        <f t="array" ref="T237">INDEX(GMWQ!$A$2:$LR$60,MATCH(1,(GMWQ!$LQ$2:$LQ$60=T$3)*(GMWQ!$LP$2:$LP$60=T$4)*(GMWQ!$LR$2:$LR$60=T$1),0),$B237-1966)</f>
        <v>108120.8</v>
      </c>
      <c r="U237" s="7" cm="1">
        <f t="array" ref="U237">INDEX(GMWQ!$A$2:$LR$60,MATCH(1,(GMWQ!$LQ$2:$LQ$60=U$3)*(GMWQ!$LP$2:$LP$60=U$4)*(GMWQ!$LR$2:$LR$60=U$1),0),$B237-1966)</f>
        <v>26036.73</v>
      </c>
      <c r="V237" s="7" cm="1">
        <f t="array" ref="V237">INDEX(GMWQ!$A$2:$LR$60,MATCH(1,(GMWQ!$LQ$2:$LQ$60=V$3)*(GMWQ!$LP$2:$LP$60=V$4)*(GMWQ!$LR$2:$LR$60=V$1),0),$B237-1966)</f>
        <v>1.3763510000000001E-3</v>
      </c>
      <c r="W237" s="7" cm="1">
        <f t="array" ref="W237">INDEX(GMWQ!$A$2:$LR$60,MATCH(1,(GMWQ!$LQ$2:$LQ$60=W$3)*(GMWQ!$LP$2:$LP$60=W$4)*(GMWQ!$LR$2:$LR$60=W$1),0),$B237-1966)</f>
        <v>9.0491320000000002</v>
      </c>
      <c r="X237" s="7" cm="1">
        <f t="array" ref="X237">INDEX(GMWQ!$A$2:$LR$60,MATCH(1,(GMWQ!$LQ$2:$LQ$60=X$3)*(GMWQ!$LP$2:$LP$60=X$4)*(GMWQ!$LR$2:$LR$60=X$1),0),$B237-1966)</f>
        <v>7072625</v>
      </c>
      <c r="Y237" s="7" cm="1">
        <f t="array" ref="Y237">INDEX(GMWQ!$A$2:$LR$60,MATCH(1,(GMWQ!$LQ$2:$LQ$60=Y$3)*(GMWQ!$LP$2:$LP$60=Y$4)*(GMWQ!$LR$2:$LR$60=Y$1),0),$B237-1966)</f>
        <v>137.13730000000001</v>
      </c>
      <c r="Z237" s="7" cm="1">
        <f t="array" ref="Z237">INDEX(GMWQ!$A$2:$LR$60,MATCH(1,(GMWQ!$LQ$2:$LQ$60=Z$3)*(GMWQ!$LP$2:$LP$60=Z$4)*(GMWQ!$LR$2:$LR$60=Z$1),0),$B237-1966)</f>
        <v>633683.80000000005</v>
      </c>
      <c r="AA237" s="7" cm="1">
        <f t="array" ref="AA237">INDEX(GMWQ!$A$2:$LR$60,MATCH(1,(GMWQ!$LQ$2:$LQ$60=AA$3)*(GMWQ!$LP$2:$LP$60=AA$4)*(GMWQ!$LR$2:$LR$60=AA$1),0),$B237-1966)</f>
        <v>361017.5</v>
      </c>
      <c r="AB237" s="7" cm="1">
        <f t="array" ref="AB237">INDEX(GMWQ!$A$2:$LR$60,MATCH(1,(GMWQ!$LQ$2:$LQ$60=AB$3)*(GMWQ!$LP$2:$LP$60=AB$4)*(GMWQ!$LR$2:$LR$60=AB$1),0),$B237-1966)</f>
        <v>334717.3</v>
      </c>
      <c r="AC237" s="7" cm="1">
        <f t="array" ref="AC237">INDEX(GMWQ!$A$2:$LR$60,MATCH(1,(GMWQ!$LQ$2:$LQ$60=AC$3)*(GMWQ!$LP$2:$LP$60=AC$4)*(GMWQ!$LR$2:$LR$60=AC$1),0),$B237-1966)</f>
        <v>12619.45</v>
      </c>
      <c r="AD237" s="7" cm="1">
        <f t="array" ref="AD237">INDEX(GMWQ!$A$2:$LR$60,MATCH(1,(GMWQ!$LQ$2:$LQ$60=AD$3)*(GMWQ!$LP$2:$LP$60=AD$4)*(GMWQ!$LR$2:$LR$60=AD$1),0),$B237-1966)</f>
        <v>19152.689999999999</v>
      </c>
      <c r="AE237" s="7" cm="1">
        <f t="array" ref="AE237">INDEX(GMWQ!$A$2:$LR$60,MATCH(1,(GMWQ!$LQ$2:$LQ$60=AE$3)*(GMWQ!$LP$2:$LP$60=AE$4)*(GMWQ!$LR$2:$LR$60=AE$1),0),$B237-1966)</f>
        <v>868451.2</v>
      </c>
      <c r="AF237" s="20" cm="1">
        <f t="array" ref="AF237">INDEX(GMWQ!$A$2:$LR$60,MATCH(1,(GMWQ!$LQ$2:$LQ$60=AF$3)*(GMWQ!$LP$2:$LP$60=AF$4)*(GMWQ!$LR$2:$LR$60=AF$1),0),$B237-1966)</f>
        <v>2</v>
      </c>
      <c r="AG237" s="20" cm="1">
        <f t="array" ref="AG237">INDEX(GMWQ!$A$2:$LR$60,MATCH(1,(GMWQ!$LQ$2:$LQ$60=AG$3)*(GMWQ!$LP$2:$LP$60=AG$4)*(GMWQ!$LR$2:$LR$60=AG$1),0),$B237-1966)</f>
        <v>-8618.6569999999992</v>
      </c>
      <c r="AI237" s="23" cm="1">
        <f t="array" ref="AI237">INDEX(GMWQ!$A$2:$LR$60,MATCH(1,(GMWQ!$LQ$2:$LQ$60=AI$3)*(GMWQ!$LP$2:$LP$60=AI$4)*(GMWQ!$LR$2:$LR$60=AI$1),0),$B237-1966)</f>
        <v>568692.6</v>
      </c>
      <c r="AJ237" s="23" cm="1">
        <f t="array" ref="AJ237">INDEX(GMWQ!$A$2:$LR$60,MATCH(1,(GMWQ!$LQ$2:$LQ$60=AJ$3)*(GMWQ!$LP$2:$LP$60=AJ$4)*(GMWQ!$LR$2:$LR$60=AJ$1),0),$B237-1966)</f>
        <v>137.95160000000001</v>
      </c>
      <c r="AK237" s="23" cm="1">
        <f t="array" ref="AK237">INDEX(GMWQ!$A$2:$LR$60,MATCH(1,(GMWQ!$LQ$2:$LQ$60=AK$3)*(GMWQ!$LP$2:$LP$60=AK$4)*(GMWQ!$LR$2:$LR$60=AK$1),0),$B237-1966)</f>
        <v>357456.9</v>
      </c>
      <c r="AL237" s="23" cm="1">
        <f t="array" ref="AL237">INDEX(GMWQ!$A$2:$LR$60,MATCH(1,(GMWQ!$LQ$2:$LQ$60=AL$3)*(GMWQ!$LP$2:$LP$60=AL$4)*(GMWQ!$LR$2:$LR$60=AL$1),0),$B237-1966)</f>
        <v>11765.63</v>
      </c>
      <c r="AM237" s="23" cm="1">
        <f t="array" ref="AM237">INDEX(GMWQ!$A$2:$LR$60,MATCH(1,(GMWQ!$LQ$2:$LQ$60=AM$3)*(GMWQ!$LP$2:$LP$60=AM$4)*(GMWQ!$LR$2:$LR$60=AM$1),0),$B237-1966)</f>
        <v>30381.45</v>
      </c>
      <c r="AN237" s="23" cm="1">
        <f t="array" ref="AN237">INDEX(GMWQ!$A$2:$LR$60,MATCH(1,(GMWQ!$LQ$2:$LQ$60=AN$3)*(GMWQ!$LP$2:$LP$60=AN$4)*(GMWQ!$LR$2:$LR$60=AN$1),0),$B237-1966)</f>
        <v>104783.8</v>
      </c>
      <c r="AO237" s="23" cm="1">
        <f t="array" ref="AO237">INDEX(GMWQ!$A$2:$LR$60,MATCH(1,(GMWQ!$LQ$2:$LQ$60=AO$3)*(GMWQ!$LP$2:$LP$60=AO$4)*(GMWQ!$LR$2:$LR$60=AO$1),0),$B237-1966)</f>
        <v>24038.98</v>
      </c>
      <c r="AP237" s="23" cm="1">
        <f t="array" ref="AP237">INDEX(GMWQ!$A$2:$LR$60,MATCH(1,(GMWQ!$LQ$2:$LQ$60=AP$3)*(GMWQ!$LP$2:$LP$60=AP$4)*(GMWQ!$LR$2:$LR$60=AP$1),0),$B237-1966)</f>
        <v>-8618.6569999999992</v>
      </c>
      <c r="AQ237" s="23" cm="1">
        <f t="array" ref="AQ237">INDEX(GMWQ!$A$2:$LR$60,MATCH(1,(GMWQ!$LQ$2:$LQ$60=AQ$3)*(GMWQ!$LP$2:$LP$60=AQ$4)*(GMWQ!$LR$2:$LR$60=AQ$1),0),$B237-1966)</f>
        <v>121222.39999999999</v>
      </c>
      <c r="AR237" s="23" cm="1">
        <f t="array" ref="AR237">INDEX(GMWQ!$A$2:$LR$60,MATCH(1,(GMWQ!$LQ$2:$LQ$60=AR$3)*(GMWQ!$LP$2:$LP$60=AR$4)*(GMWQ!$LR$2:$LR$60=AR$1),0),$B237-1966)</f>
        <v>525628</v>
      </c>
      <c r="AS237" s="23" cm="1">
        <f t="array" ref="AS237">INDEX(GMWQ!$A$2:$LR$60,MATCH(1,(GMWQ!$LQ$2:$LQ$60=AS$3)*(GMWQ!$LP$2:$LP$60=AS$4)*(GMWQ!$LR$2:$LR$60=AS$1),0),$B237-1966)</f>
        <v>17667.38</v>
      </c>
      <c r="AT237" s="23" cm="1">
        <f t="array" ref="AT237">INDEX(GMWQ!$A$2:$LR$60,MATCH(1,(GMWQ!$LQ$2:$LQ$60=AT$3)*(GMWQ!$LP$2:$LP$60=AT$4)*(GMWQ!$LR$2:$LR$60=AT$1),0),$B237-1966)</f>
        <v>381023.5</v>
      </c>
      <c r="AU237" s="23" cm="1">
        <f t="array" ref="AU237">INDEX(GMWQ!$A$2:$LR$60,MATCH(1,(GMWQ!$LQ$2:$LQ$60=AU$3)*(GMWQ!$LP$2:$LP$60=AU$4)*(GMWQ!$LR$2:$LR$60=AU$1),0),$B237-1966)</f>
        <v>13559.45</v>
      </c>
    </row>
    <row r="238" spans="1:47" x14ac:dyDescent="0.35">
      <c r="B238" s="7">
        <f t="shared" si="4"/>
        <v>2204</v>
      </c>
      <c r="C238" s="7" cm="1">
        <f t="array" ref="C238">INDEX(GMWQ!$A$2:$LR$60,MATCH(1,(GMWQ!$LQ$2:$LQ$60=C$3)*(GMWQ!$LP$2:$LP$60=C$4)*(GMWQ!$LR$2:$LR$60=C$1),0),$B238-1966)</f>
        <v>635677.69999999995</v>
      </c>
      <c r="D238" s="7" cm="1">
        <f t="array" ref="D238">INDEX(GMWQ!$A$2:$LR$60,MATCH(1,(GMWQ!$LQ$2:$LQ$60=D$3)*(GMWQ!$LP$2:$LP$60=D$4)*(GMWQ!$LR$2:$LR$60=D$1),0),$B238-1966)</f>
        <v>814.6789</v>
      </c>
      <c r="E238" s="7" cm="1">
        <f t="array" ref="E238">INDEX(GMWQ!$A$2:$LR$60,MATCH(1,(GMWQ!$LQ$2:$LQ$60=E$3)*(GMWQ!$LP$2:$LP$60=E$4)*(GMWQ!$LR$2:$LR$60=E$1),0),$B238-1966)</f>
        <v>152.11660000000001</v>
      </c>
      <c r="F238" s="7" cm="1">
        <f t="array" ref="F238">INDEX(GMWQ!$A$2:$LR$60,MATCH(1,(GMWQ!$LQ$2:$LQ$60=F$3)*(GMWQ!$LP$2:$LP$60=F$4)*(GMWQ!$LR$2:$LR$60=F$1),0),$B238-1966)</f>
        <v>360614.1</v>
      </c>
      <c r="G238" s="7" cm="1">
        <f t="array" ref="G238">INDEX(GMWQ!$A$2:$LR$60,MATCH(1,(GMWQ!$LQ$2:$LQ$60=G$3)*(GMWQ!$LP$2:$LP$60=G$4)*(GMWQ!$LR$2:$LR$60=G$1),0),$B238-1966)</f>
        <v>105818.4</v>
      </c>
      <c r="H238" s="7" cm="1">
        <f t="array" ref="H238">INDEX(GMWQ!$A$2:$LR$60,MATCH(1,(GMWQ!$LQ$2:$LQ$60=H$3)*(GMWQ!$LP$2:$LP$60=H$4)*(GMWQ!$LR$2:$LR$60=H$1),0),$B238-1966)</f>
        <v>24251.3</v>
      </c>
      <c r="I238" s="7" cm="1">
        <f t="array" ref="I238">INDEX(GMWQ!$A$2:$LR$60,MATCH(1,(GMWQ!$LQ$2:$LQ$60=I$3)*(GMWQ!$LP$2:$LP$60=I$4)*(GMWQ!$LR$2:$LR$60=I$1),0),$B238-1966)</f>
        <v>138.6361</v>
      </c>
      <c r="J238" s="7" cm="1">
        <f t="array" ref="J238">INDEX(GMWQ!$A$2:$LR$60,MATCH(1,(GMWQ!$LQ$2:$LQ$60=J$3)*(GMWQ!$LP$2:$LP$60=J$4)*(GMWQ!$LR$2:$LR$60=J$1),0),$B238-1966)</f>
        <v>30439.38</v>
      </c>
      <c r="K238" s="7" cm="1">
        <f t="array" ref="K238">INDEX(GMWQ!$A$2:$LR$60,MATCH(1,(GMWQ!$LQ$2:$LQ$60=K$3)*(GMWQ!$LP$2:$LP$60=K$4)*(GMWQ!$LR$2:$LR$60=K$1),0),$B238-1966)</f>
        <v>2</v>
      </c>
      <c r="L238" s="7" cm="1">
        <f t="array" ref="L238">INDEX(GMWQ!$A$2:$LR$60,MATCH(1,(GMWQ!$LQ$2:$LQ$60=L$3)*(GMWQ!$LP$2:$LP$60=L$4)*(GMWQ!$LR$2:$LR$60=L$1),0),$B238-1966)</f>
        <v>3.7501220000000002</v>
      </c>
      <c r="M238" s="7" cm="1">
        <f t="array" ref="M238">INDEX(GMWQ!$A$2:$LR$60,MATCH(1,(GMWQ!$LQ$2:$LQ$60=M$3)*(GMWQ!$LP$2:$LP$60=M$4)*(GMWQ!$LR$2:$LR$60=M$1),0),$B238-1966)</f>
        <v>178.3467</v>
      </c>
      <c r="N238" s="7" cm="1">
        <f t="array" ref="N238">INDEX(GMWQ!$A$2:$LR$60,MATCH(1,(GMWQ!$LQ$2:$LQ$60=N$3)*(GMWQ!$LP$2:$LP$60=N$4)*(GMWQ!$LR$2:$LR$60=N$1),0),$B238-1966)</f>
        <v>24315.29</v>
      </c>
      <c r="O238" s="7" cm="1">
        <f t="array" ref="O238">INDEX(GMWQ!$A$2:$LR$60,MATCH(1,(GMWQ!$LQ$2:$LQ$60=O$3)*(GMWQ!$LP$2:$LP$60=O$4)*(GMWQ!$LR$2:$LR$60=O$1),0),$B238-1966)</f>
        <v>15362.4</v>
      </c>
      <c r="P238" s="7" cm="1">
        <f t="array" ref="P238">INDEX(GMWQ!$A$2:$LR$60,MATCH(1,(GMWQ!$LQ$2:$LQ$60=P$3)*(GMWQ!$LP$2:$LP$60=P$4)*(GMWQ!$LR$2:$LR$60=P$1),0),$B238-1966)</f>
        <v>573630.80000000005</v>
      </c>
      <c r="Q238" s="7" cm="1">
        <f t="array" ref="Q238">INDEX(GMWQ!$A$2:$LR$60,MATCH(1,(GMWQ!$LQ$2:$LQ$60=Q$3)*(GMWQ!$LP$2:$LP$60=Q$4)*(GMWQ!$LR$2:$LR$60=Q$1),0),$B238-1966)</f>
        <v>3.4999989999999999</v>
      </c>
      <c r="R238" s="7" cm="1">
        <f t="array" ref="R238">INDEX(GMWQ!$A$2:$LR$60,MATCH(1,(GMWQ!$LQ$2:$LQ$60=R$3)*(GMWQ!$LP$2:$LP$60=R$4)*(GMWQ!$LR$2:$LR$60=R$1),0),$B238-1966)</f>
        <v>247868</v>
      </c>
      <c r="S238" s="7" cm="1">
        <f t="array" ref="S238">INDEX(GMWQ!$A$2:$LR$60,MATCH(1,(GMWQ!$LQ$2:$LQ$60=S$3)*(GMWQ!$LP$2:$LP$60=S$4)*(GMWQ!$LR$2:$LR$60=S$1),0),$B238-1966)</f>
        <v>369.76089999999999</v>
      </c>
      <c r="T238" s="7" cm="1">
        <f t="array" ref="T238">INDEX(GMWQ!$A$2:$LR$60,MATCH(1,(GMWQ!$LQ$2:$LQ$60=T$3)*(GMWQ!$LP$2:$LP$60=T$4)*(GMWQ!$LR$2:$LR$60=T$1),0),$B238-1966)</f>
        <v>109310.1</v>
      </c>
      <c r="U238" s="7" cm="1">
        <f t="array" ref="U238">INDEX(GMWQ!$A$2:$LR$60,MATCH(1,(GMWQ!$LQ$2:$LQ$60=U$3)*(GMWQ!$LP$2:$LP$60=U$4)*(GMWQ!$LR$2:$LR$60=U$1),0),$B238-1966)</f>
        <v>26210.33</v>
      </c>
      <c r="V238" s="7" cm="1">
        <f t="array" ref="V238">INDEX(GMWQ!$A$2:$LR$60,MATCH(1,(GMWQ!$LQ$2:$LQ$60=V$3)*(GMWQ!$LP$2:$LP$60=V$4)*(GMWQ!$LR$2:$LR$60=V$1),0),$B238-1966)</f>
        <v>1.3759359999999999E-3</v>
      </c>
      <c r="W238" s="7" cm="1">
        <f t="array" ref="W238">INDEX(GMWQ!$A$2:$LR$60,MATCH(1,(GMWQ!$LQ$2:$LQ$60=W$3)*(GMWQ!$LP$2:$LP$60=W$4)*(GMWQ!$LR$2:$LR$60=W$1),0),$B238-1966)</f>
        <v>9.0453539999999997</v>
      </c>
      <c r="X238" s="7" cm="1">
        <f t="array" ref="X238">INDEX(GMWQ!$A$2:$LR$60,MATCH(1,(GMWQ!$LQ$2:$LQ$60=X$3)*(GMWQ!$LP$2:$LP$60=X$4)*(GMWQ!$LR$2:$LR$60=X$1),0),$B238-1966)</f>
        <v>7131799</v>
      </c>
      <c r="Y238" s="7" cm="1">
        <f t="array" ref="Y238">INDEX(GMWQ!$A$2:$LR$60,MATCH(1,(GMWQ!$LQ$2:$LQ$60=Y$3)*(GMWQ!$LP$2:$LP$60=Y$4)*(GMWQ!$LR$2:$LR$60=Y$1),0),$B238-1966)</f>
        <v>137.87639999999999</v>
      </c>
      <c r="Z238" s="7" cm="1">
        <f t="array" ref="Z238">INDEX(GMWQ!$A$2:$LR$60,MATCH(1,(GMWQ!$LQ$2:$LQ$60=Z$3)*(GMWQ!$LP$2:$LP$60=Z$4)*(GMWQ!$LR$2:$LR$60=Z$1),0),$B238-1966)</f>
        <v>636085.1</v>
      </c>
      <c r="AA238" s="7" cm="1">
        <f t="array" ref="AA238">INDEX(GMWQ!$A$2:$LR$60,MATCH(1,(GMWQ!$LQ$2:$LQ$60=AA$3)*(GMWQ!$LP$2:$LP$60=AA$4)*(GMWQ!$LR$2:$LR$60=AA$1),0),$B238-1966)</f>
        <v>346947.9</v>
      </c>
      <c r="AB238" s="7" cm="1">
        <f t="array" ref="AB238">INDEX(GMWQ!$A$2:$LR$60,MATCH(1,(GMWQ!$LQ$2:$LQ$60=AB$3)*(GMWQ!$LP$2:$LP$60=AB$4)*(GMWQ!$LR$2:$LR$60=AB$1),0),$B238-1966)</f>
        <v>337557.5</v>
      </c>
      <c r="AC238" s="7" cm="1">
        <f t="array" ref="AC238">INDEX(GMWQ!$A$2:$LR$60,MATCH(1,(GMWQ!$LQ$2:$LQ$60=AC$3)*(GMWQ!$LP$2:$LP$60=AC$4)*(GMWQ!$LR$2:$LR$60=AC$1),0),$B238-1966)</f>
        <v>13465.38</v>
      </c>
      <c r="AD238" s="7" cm="1">
        <f t="array" ref="AD238">INDEX(GMWQ!$A$2:$LR$60,MATCH(1,(GMWQ!$LQ$2:$LQ$60=AD$3)*(GMWQ!$LP$2:$LP$60=AD$4)*(GMWQ!$LR$2:$LR$60=AD$1),0),$B238-1966)</f>
        <v>19152.689999999999</v>
      </c>
      <c r="AE238" s="7" cm="1">
        <f t="array" ref="AE238">INDEX(GMWQ!$A$2:$LR$60,MATCH(1,(GMWQ!$LQ$2:$LQ$60=AE$3)*(GMWQ!$LP$2:$LP$60=AE$4)*(GMWQ!$LR$2:$LR$60=AE$1),0),$B238-1966)</f>
        <v>876449.6</v>
      </c>
      <c r="AF238" s="20" cm="1">
        <f t="array" ref="AF238">INDEX(GMWQ!$A$2:$LR$60,MATCH(1,(GMWQ!$LQ$2:$LQ$60=AF$3)*(GMWQ!$LP$2:$LP$60=AF$4)*(GMWQ!$LR$2:$LR$60=AF$1),0),$B238-1966)</f>
        <v>2</v>
      </c>
      <c r="AG238" s="20" cm="1">
        <f t="array" ref="AG238">INDEX(GMWQ!$A$2:$LR$60,MATCH(1,(GMWQ!$LQ$2:$LQ$60=AG$3)*(GMWQ!$LP$2:$LP$60=AG$4)*(GMWQ!$LR$2:$LR$60=AG$1),0),$B238-1966)</f>
        <v>-8952.89</v>
      </c>
      <c r="AI238" s="23" cm="1">
        <f t="array" ref="AI238">INDEX(GMWQ!$A$2:$LR$60,MATCH(1,(GMWQ!$LQ$2:$LQ$60=AI$3)*(GMWQ!$LP$2:$LP$60=AI$4)*(GMWQ!$LR$2:$LR$60=AI$1),0),$B238-1966)</f>
        <v>573630.80000000005</v>
      </c>
      <c r="AJ238" s="23" cm="1">
        <f t="array" ref="AJ238">INDEX(GMWQ!$A$2:$LR$60,MATCH(1,(GMWQ!$LQ$2:$LQ$60=AJ$3)*(GMWQ!$LP$2:$LP$60=AJ$4)*(GMWQ!$LR$2:$LR$60=AJ$1),0),$B238-1966)</f>
        <v>138.6361</v>
      </c>
      <c r="AK238" s="23" cm="1">
        <f t="array" ref="AK238">INDEX(GMWQ!$A$2:$LR$60,MATCH(1,(GMWQ!$LQ$2:$LQ$60=AK$3)*(GMWQ!$LP$2:$LP$60=AK$4)*(GMWQ!$LR$2:$LR$60=AK$1),0),$B238-1966)</f>
        <v>360614.1</v>
      </c>
      <c r="AL238" s="23" cm="1">
        <f t="array" ref="AL238">INDEX(GMWQ!$A$2:$LR$60,MATCH(1,(GMWQ!$LQ$2:$LQ$60=AL$3)*(GMWQ!$LP$2:$LP$60=AL$4)*(GMWQ!$LR$2:$LR$60=AL$1),0),$B238-1966)</f>
        <v>11846.96</v>
      </c>
      <c r="AM238" s="23" cm="1">
        <f t="array" ref="AM238">INDEX(GMWQ!$A$2:$LR$60,MATCH(1,(GMWQ!$LQ$2:$LQ$60=AM$3)*(GMWQ!$LP$2:$LP$60=AM$4)*(GMWQ!$LR$2:$LR$60=AM$1),0),$B238-1966)</f>
        <v>30439.38</v>
      </c>
      <c r="AN238" s="23" cm="1">
        <f t="array" ref="AN238">INDEX(GMWQ!$A$2:$LR$60,MATCH(1,(GMWQ!$LQ$2:$LQ$60=AN$3)*(GMWQ!$LP$2:$LP$60=AN$4)*(GMWQ!$LR$2:$LR$60=AN$1),0),$B238-1966)</f>
        <v>105818.4</v>
      </c>
      <c r="AO238" s="23" cm="1">
        <f t="array" ref="AO238">INDEX(GMWQ!$A$2:$LR$60,MATCH(1,(GMWQ!$LQ$2:$LQ$60=AO$3)*(GMWQ!$LP$2:$LP$60=AO$4)*(GMWQ!$LR$2:$LR$60=AO$1),0),$B238-1966)</f>
        <v>24251.3</v>
      </c>
      <c r="AP238" s="23" cm="1">
        <f t="array" ref="AP238">INDEX(GMWQ!$A$2:$LR$60,MATCH(1,(GMWQ!$LQ$2:$LQ$60=AP$3)*(GMWQ!$LP$2:$LP$60=AP$4)*(GMWQ!$LR$2:$LR$60=AP$1),0),$B238-1966)</f>
        <v>-8952.89</v>
      </c>
      <c r="AQ238" s="23" cm="1">
        <f t="array" ref="AQ238">INDEX(GMWQ!$A$2:$LR$60,MATCH(1,(GMWQ!$LQ$2:$LQ$60=AQ$3)*(GMWQ!$LP$2:$LP$60=AQ$4)*(GMWQ!$LR$2:$LR$60=AQ$1),0),$B238-1966)</f>
        <v>122496.1</v>
      </c>
      <c r="AR238" s="23" cm="1">
        <f t="array" ref="AR238">INDEX(GMWQ!$A$2:$LR$60,MATCH(1,(GMWQ!$LQ$2:$LQ$60=AR$3)*(GMWQ!$LP$2:$LP$60=AR$4)*(GMWQ!$LR$2:$LR$60=AR$1),0),$B238-1966)</f>
        <v>530216.9</v>
      </c>
      <c r="AS238" s="23" cm="1">
        <f t="array" ref="AS238">INDEX(GMWQ!$A$2:$LR$60,MATCH(1,(GMWQ!$LQ$2:$LQ$60=AS$3)*(GMWQ!$LP$2:$LP$60=AS$4)*(GMWQ!$LR$2:$LR$60=AS$1),0),$B238-1966)</f>
        <v>17830.689999999999</v>
      </c>
      <c r="AT238" s="23" cm="1">
        <f t="array" ref="AT238">INDEX(GMWQ!$A$2:$LR$60,MATCH(1,(GMWQ!$LQ$2:$LQ$60=AT$3)*(GMWQ!$LP$2:$LP$60=AT$4)*(GMWQ!$LR$2:$LR$60=AT$1),0),$B238-1966)</f>
        <v>382452.3</v>
      </c>
      <c r="AU238" s="23" cm="1">
        <f t="array" ref="AU238">INDEX(GMWQ!$A$2:$LR$60,MATCH(1,(GMWQ!$LQ$2:$LQ$60=AU$3)*(GMWQ!$LP$2:$LP$60=AU$4)*(GMWQ!$LR$2:$LR$60=AU$1),0),$B238-1966)</f>
        <v>13610.3</v>
      </c>
    </row>
    <row r="239" spans="1:47" x14ac:dyDescent="0.35">
      <c r="A239" s="7">
        <v>2031</v>
      </c>
      <c r="B239" s="7">
        <f t="shared" si="4"/>
        <v>2205</v>
      </c>
      <c r="C239" s="7" cm="1">
        <f t="array" ref="C239">INDEX(GMWQ!$A$2:$LR$60,MATCH(1,(GMWQ!$LQ$2:$LQ$60=C$3)*(GMWQ!$LP$2:$LP$60=C$4)*(GMWQ!$LR$2:$LR$60=C$1),0),$B239-1966)</f>
        <v>638093.30000000005</v>
      </c>
      <c r="D239" s="7" cm="1">
        <f t="array" ref="D239">INDEX(GMWQ!$A$2:$LR$60,MATCH(1,(GMWQ!$LQ$2:$LQ$60=D$3)*(GMWQ!$LP$2:$LP$60=D$4)*(GMWQ!$LR$2:$LR$60=D$1),0),$B239-1966)</f>
        <v>820.33439999999996</v>
      </c>
      <c r="E239" s="7" cm="1">
        <f t="array" ref="E239">INDEX(GMWQ!$A$2:$LR$60,MATCH(1,(GMWQ!$LQ$2:$LQ$60=E$3)*(GMWQ!$LP$2:$LP$60=E$4)*(GMWQ!$LR$2:$LR$60=E$1),0),$B239-1966)</f>
        <v>152.27600000000001</v>
      </c>
      <c r="F239" s="7" cm="1">
        <f t="array" ref="F239">INDEX(GMWQ!$A$2:$LR$60,MATCH(1,(GMWQ!$LQ$2:$LQ$60=F$3)*(GMWQ!$LP$2:$LP$60=F$4)*(GMWQ!$LR$2:$LR$60=F$1),0),$B239-1966)</f>
        <v>363773.3</v>
      </c>
      <c r="G239" s="7" cm="1">
        <f t="array" ref="G239">INDEX(GMWQ!$A$2:$LR$60,MATCH(1,(GMWQ!$LQ$2:$LQ$60=G$3)*(GMWQ!$LP$2:$LP$60=G$4)*(GMWQ!$LR$2:$LR$60=G$1),0),$B239-1966)</f>
        <v>106979.4</v>
      </c>
      <c r="H239" s="7" cm="1">
        <f t="array" ref="H239">INDEX(GMWQ!$A$2:$LR$60,MATCH(1,(GMWQ!$LQ$2:$LQ$60=H$3)*(GMWQ!$LP$2:$LP$60=H$4)*(GMWQ!$LR$2:$LR$60=H$1),0),$B239-1966)</f>
        <v>24463.75</v>
      </c>
      <c r="I239" s="7" cm="1">
        <f t="array" ref="I239">INDEX(GMWQ!$A$2:$LR$60,MATCH(1,(GMWQ!$LQ$2:$LQ$60=I$3)*(GMWQ!$LP$2:$LP$60=I$4)*(GMWQ!$LR$2:$LR$60=I$1),0),$B239-1966)</f>
        <v>139.32400000000001</v>
      </c>
      <c r="J239" s="7" cm="1">
        <f t="array" ref="J239">INDEX(GMWQ!$A$2:$LR$60,MATCH(1,(GMWQ!$LQ$2:$LQ$60=J$3)*(GMWQ!$LP$2:$LP$60=J$4)*(GMWQ!$LR$2:$LR$60=J$1),0),$B239-1966)</f>
        <v>30494.35</v>
      </c>
      <c r="K239" s="7" cm="1">
        <f t="array" ref="K239">INDEX(GMWQ!$A$2:$LR$60,MATCH(1,(GMWQ!$LQ$2:$LQ$60=K$3)*(GMWQ!$LP$2:$LP$60=K$4)*(GMWQ!$LR$2:$LR$60=K$1),0),$B239-1966)</f>
        <v>2</v>
      </c>
      <c r="L239" s="7" cm="1">
        <f t="array" ref="L239">INDEX(GMWQ!$A$2:$LR$60,MATCH(1,(GMWQ!$LQ$2:$LQ$60=L$3)*(GMWQ!$LP$2:$LP$60=L$4)*(GMWQ!$LR$2:$LR$60=L$1),0),$B239-1966)</f>
        <v>3.7501359999999999</v>
      </c>
      <c r="M239" s="7" cm="1">
        <f t="array" ref="M239">INDEX(GMWQ!$A$2:$LR$60,MATCH(1,(GMWQ!$LQ$2:$LQ$60=M$3)*(GMWQ!$LP$2:$LP$60=M$4)*(GMWQ!$LR$2:$LR$60=M$1),0),$B239-1966)</f>
        <v>179.55289999999999</v>
      </c>
      <c r="N239" s="7" cm="1">
        <f t="array" ref="N239">INDEX(GMWQ!$A$2:$LR$60,MATCH(1,(GMWQ!$LQ$2:$LQ$60=N$3)*(GMWQ!$LP$2:$LP$60=N$4)*(GMWQ!$LR$2:$LR$60=N$1),0),$B239-1966)</f>
        <v>24646.49</v>
      </c>
      <c r="O239" s="7" cm="1">
        <f t="array" ref="O239">INDEX(GMWQ!$A$2:$LR$60,MATCH(1,(GMWQ!$LQ$2:$LQ$60=O$3)*(GMWQ!$LP$2:$LP$60=O$4)*(GMWQ!$LR$2:$LR$60=O$1),0),$B239-1966)</f>
        <v>15537.22</v>
      </c>
      <c r="P239" s="7" cm="1">
        <f t="array" ref="P239">INDEX(GMWQ!$A$2:$LR$60,MATCH(1,(GMWQ!$LQ$2:$LQ$60=P$3)*(GMWQ!$LP$2:$LP$60=P$4)*(GMWQ!$LR$2:$LR$60=P$1),0),$B239-1966)</f>
        <v>579098.4</v>
      </c>
      <c r="Q239" s="7" cm="1">
        <f t="array" ref="Q239">INDEX(GMWQ!$A$2:$LR$60,MATCH(1,(GMWQ!$LQ$2:$LQ$60=Q$3)*(GMWQ!$LP$2:$LP$60=Q$4)*(GMWQ!$LR$2:$LR$60=Q$1),0),$B239-1966)</f>
        <v>3.4999989999999999</v>
      </c>
      <c r="R239" s="7" cm="1">
        <f t="array" ref="R239">INDEX(GMWQ!$A$2:$LR$60,MATCH(1,(GMWQ!$LQ$2:$LQ$60=R$3)*(GMWQ!$LP$2:$LP$60=R$4)*(GMWQ!$LR$2:$LR$60=R$1),0),$B239-1966)</f>
        <v>249952.4</v>
      </c>
      <c r="S239" s="7" cm="1">
        <f t="array" ref="S239">INDEX(GMWQ!$A$2:$LR$60,MATCH(1,(GMWQ!$LQ$2:$LQ$60=S$3)*(GMWQ!$LP$2:$LP$60=S$4)*(GMWQ!$LR$2:$LR$60=S$1),0),$B239-1966)</f>
        <v>372.87040000000002</v>
      </c>
      <c r="T239" s="7" cm="1">
        <f t="array" ref="T239">INDEX(GMWQ!$A$2:$LR$60,MATCH(1,(GMWQ!$LQ$2:$LQ$60=T$3)*(GMWQ!$LP$2:$LP$60=T$4)*(GMWQ!$LR$2:$LR$60=T$1),0),$B239-1966)</f>
        <v>110524</v>
      </c>
      <c r="U239" s="7" cm="1">
        <f t="array" ref="U239">INDEX(GMWQ!$A$2:$LR$60,MATCH(1,(GMWQ!$LQ$2:$LQ$60=U$3)*(GMWQ!$LP$2:$LP$60=U$4)*(GMWQ!$LR$2:$LR$60=U$1),0),$B239-1966)</f>
        <v>26401.8</v>
      </c>
      <c r="V239" s="7" cm="1">
        <f t="array" ref="V239">INDEX(GMWQ!$A$2:$LR$60,MATCH(1,(GMWQ!$LQ$2:$LQ$60=V$3)*(GMWQ!$LP$2:$LP$60=V$4)*(GMWQ!$LR$2:$LR$60=V$1),0),$B239-1966)</f>
        <v>1.374824E-3</v>
      </c>
      <c r="W239" s="7" cm="1">
        <f t="array" ref="W239">INDEX(GMWQ!$A$2:$LR$60,MATCH(1,(GMWQ!$LQ$2:$LQ$60=W$3)*(GMWQ!$LP$2:$LP$60=W$4)*(GMWQ!$LR$2:$LR$60=W$1),0),$B239-1966)</f>
        <v>9.0050989999999995</v>
      </c>
      <c r="X239" s="7" cm="1">
        <f t="array" ref="X239">INDEX(GMWQ!$A$2:$LR$60,MATCH(1,(GMWQ!$LQ$2:$LQ$60=X$3)*(GMWQ!$LP$2:$LP$60=X$4)*(GMWQ!$LR$2:$LR$60=X$1),0),$B239-1966)</f>
        <v>7236704</v>
      </c>
      <c r="Y239" s="7" cm="1">
        <f t="array" ref="Y239">INDEX(GMWQ!$A$2:$LR$60,MATCH(1,(GMWQ!$LQ$2:$LQ$60=Y$3)*(GMWQ!$LP$2:$LP$60=Y$4)*(GMWQ!$LR$2:$LR$60=Y$1),0),$B239-1966)</f>
        <v>138.61959999999999</v>
      </c>
      <c r="Z239" s="7" cm="1">
        <f t="array" ref="Z239">INDEX(GMWQ!$A$2:$LR$60,MATCH(1,(GMWQ!$LQ$2:$LQ$60=Z$3)*(GMWQ!$LP$2:$LP$60=Z$4)*(GMWQ!$LR$2:$LR$60=Z$1),0),$B239-1966)</f>
        <v>638460.80000000005</v>
      </c>
      <c r="AA239" s="7" cm="1">
        <f t="array" ref="AA239">INDEX(GMWQ!$A$2:$LR$60,MATCH(1,(GMWQ!$LQ$2:$LQ$60=AA$3)*(GMWQ!$LP$2:$LP$60=AA$4)*(GMWQ!$LR$2:$LR$60=AA$1),0),$B239-1966)</f>
        <v>403309.5</v>
      </c>
      <c r="AB239" s="7" cm="1">
        <f t="array" ref="AB239">INDEX(GMWQ!$A$2:$LR$60,MATCH(1,(GMWQ!$LQ$2:$LQ$60=AB$3)*(GMWQ!$LP$2:$LP$60=AB$4)*(GMWQ!$LR$2:$LR$60=AB$1),0),$B239-1966)</f>
        <v>336590.7</v>
      </c>
      <c r="AC239" s="7" cm="1">
        <f t="array" ref="AC239">INDEX(GMWQ!$A$2:$LR$60,MATCH(1,(GMWQ!$LQ$2:$LQ$60=AC$3)*(GMWQ!$LP$2:$LP$60=AC$4)*(GMWQ!$LR$2:$LR$60=AC$1),0),$B239-1966)</f>
        <v>23900.6</v>
      </c>
      <c r="AD239" s="7" cm="1">
        <f t="array" ref="AD239">INDEX(GMWQ!$A$2:$LR$60,MATCH(1,(GMWQ!$LQ$2:$LQ$60=AD$3)*(GMWQ!$LP$2:$LP$60=AD$4)*(GMWQ!$LR$2:$LR$60=AD$1),0),$B239-1966)</f>
        <v>19152.689999999999</v>
      </c>
      <c r="AE239" s="7" cm="1">
        <f t="array" ref="AE239">INDEX(GMWQ!$A$2:$LR$60,MATCH(1,(GMWQ!$LQ$2:$LQ$60=AE$3)*(GMWQ!$LP$2:$LP$60=AE$4)*(GMWQ!$LR$2:$LR$60=AE$1),0),$B239-1966)</f>
        <v>884522.2</v>
      </c>
      <c r="AF239" s="20" cm="1">
        <f t="array" ref="AF239">INDEX(GMWQ!$A$2:$LR$60,MATCH(1,(GMWQ!$LQ$2:$LQ$60=AF$3)*(GMWQ!$LP$2:$LP$60=AF$4)*(GMWQ!$LR$2:$LR$60=AF$1),0),$B239-1966)</f>
        <v>2</v>
      </c>
      <c r="AG239" s="20" cm="1">
        <f t="array" ref="AG239">INDEX(GMWQ!$A$2:$LR$60,MATCH(1,(GMWQ!$LQ$2:$LQ$60=AG$3)*(GMWQ!$LP$2:$LP$60=AG$4)*(GMWQ!$LR$2:$LR$60=AG$1),0),$B239-1966)</f>
        <v>-9109.2729999999992</v>
      </c>
      <c r="AI239" s="23" cm="1">
        <f t="array" ref="AI239">INDEX(GMWQ!$A$2:$LR$60,MATCH(1,(GMWQ!$LQ$2:$LQ$60=AI$3)*(GMWQ!$LP$2:$LP$60=AI$4)*(GMWQ!$LR$2:$LR$60=AI$1),0),$B239-1966)</f>
        <v>579098.4</v>
      </c>
      <c r="AJ239" s="23" cm="1">
        <f t="array" ref="AJ239">INDEX(GMWQ!$A$2:$LR$60,MATCH(1,(GMWQ!$LQ$2:$LQ$60=AJ$3)*(GMWQ!$LP$2:$LP$60=AJ$4)*(GMWQ!$LR$2:$LR$60=AJ$1),0),$B239-1966)</f>
        <v>139.32400000000001</v>
      </c>
      <c r="AK239" s="23" cm="1">
        <f t="array" ref="AK239">INDEX(GMWQ!$A$2:$LR$60,MATCH(1,(GMWQ!$LQ$2:$LQ$60=AK$3)*(GMWQ!$LP$2:$LP$60=AK$4)*(GMWQ!$LR$2:$LR$60=AK$1),0),$B239-1966)</f>
        <v>363773.3</v>
      </c>
      <c r="AL239" s="23" cm="1">
        <f t="array" ref="AL239">INDEX(GMWQ!$A$2:$LR$60,MATCH(1,(GMWQ!$LQ$2:$LQ$60=AL$3)*(GMWQ!$LP$2:$LP$60=AL$4)*(GMWQ!$LR$2:$LR$60=AL$1),0),$B239-1966)</f>
        <v>11929.2</v>
      </c>
      <c r="AM239" s="23" cm="1">
        <f t="array" ref="AM239">INDEX(GMWQ!$A$2:$LR$60,MATCH(1,(GMWQ!$LQ$2:$LQ$60=AM$3)*(GMWQ!$LP$2:$LP$60=AM$4)*(GMWQ!$LR$2:$LR$60=AM$1),0),$B239-1966)</f>
        <v>30494.35</v>
      </c>
      <c r="AN239" s="23" cm="1">
        <f t="array" ref="AN239">INDEX(GMWQ!$A$2:$LR$60,MATCH(1,(GMWQ!$LQ$2:$LQ$60=AN$3)*(GMWQ!$LP$2:$LP$60=AN$4)*(GMWQ!$LR$2:$LR$60=AN$1),0),$B239-1966)</f>
        <v>106979.4</v>
      </c>
      <c r="AO239" s="23" cm="1">
        <f t="array" ref="AO239">INDEX(GMWQ!$A$2:$LR$60,MATCH(1,(GMWQ!$LQ$2:$LQ$60=AO$3)*(GMWQ!$LP$2:$LP$60=AO$4)*(GMWQ!$LR$2:$LR$60=AO$1),0),$B239-1966)</f>
        <v>24463.75</v>
      </c>
      <c r="AP239" s="23" cm="1">
        <f t="array" ref="AP239">INDEX(GMWQ!$A$2:$LR$60,MATCH(1,(GMWQ!$LQ$2:$LQ$60=AP$3)*(GMWQ!$LP$2:$LP$60=AP$4)*(GMWQ!$LR$2:$LR$60=AP$1),0),$B239-1966)</f>
        <v>-9109.2729999999992</v>
      </c>
      <c r="AQ239" s="23" cm="1">
        <f t="array" ref="AQ239">INDEX(GMWQ!$A$2:$LR$60,MATCH(1,(GMWQ!$LQ$2:$LQ$60=AQ$3)*(GMWQ!$LP$2:$LP$60=AQ$4)*(GMWQ!$LR$2:$LR$60=AQ$1),0),$B239-1966)</f>
        <v>123769.7</v>
      </c>
      <c r="AR239" s="23" cm="1">
        <f t="array" ref="AR239">INDEX(GMWQ!$A$2:$LR$60,MATCH(1,(GMWQ!$LQ$2:$LQ$60=AR$3)*(GMWQ!$LP$2:$LP$60=AR$4)*(GMWQ!$LR$2:$LR$60=AR$1),0),$B239-1966)</f>
        <v>534846.1</v>
      </c>
      <c r="AS239" s="23" cm="1">
        <f t="array" ref="AS239">INDEX(GMWQ!$A$2:$LR$60,MATCH(1,(GMWQ!$LQ$2:$LQ$60=AS$3)*(GMWQ!$LP$2:$LP$60=AS$4)*(GMWQ!$LR$2:$LR$60=AS$1),0),$B239-1966)</f>
        <v>17995.43</v>
      </c>
      <c r="AT239" s="23" cm="1">
        <f t="array" ref="AT239">INDEX(GMWQ!$A$2:$LR$60,MATCH(1,(GMWQ!$LQ$2:$LQ$60=AT$3)*(GMWQ!$LP$2:$LP$60=AT$4)*(GMWQ!$LR$2:$LR$60=AT$1),0),$B239-1966)</f>
        <v>383886.6</v>
      </c>
      <c r="AU239" s="23" cm="1">
        <f t="array" ref="AU239">INDEX(GMWQ!$A$2:$LR$60,MATCH(1,(GMWQ!$LQ$2:$LQ$60=AU$3)*(GMWQ!$LP$2:$LP$60=AU$4)*(GMWQ!$LR$2:$LR$60=AU$1),0),$B239-1966)</f>
        <v>13661.34</v>
      </c>
    </row>
    <row r="240" spans="1:47" x14ac:dyDescent="0.35">
      <c r="B240" s="7">
        <f t="shared" si="4"/>
        <v>2206</v>
      </c>
      <c r="C240" s="7" cm="1">
        <f t="array" ref="C240">INDEX(GMWQ!$A$2:$LR$60,MATCH(1,(GMWQ!$LQ$2:$LQ$60=C$3)*(GMWQ!$LP$2:$LP$60=C$4)*(GMWQ!$LR$2:$LR$60=C$1),0),$B240-1966)</f>
        <v>640518</v>
      </c>
      <c r="D240" s="7" cm="1">
        <f t="array" ref="D240">INDEX(GMWQ!$A$2:$LR$60,MATCH(1,(GMWQ!$LQ$2:$LQ$60=D$3)*(GMWQ!$LP$2:$LP$60=D$4)*(GMWQ!$LR$2:$LR$60=D$1),0),$B240-1966)</f>
        <v>826.04960000000005</v>
      </c>
      <c r="E240" s="7" cm="1">
        <f t="array" ref="E240">INDEX(GMWQ!$A$2:$LR$60,MATCH(1,(GMWQ!$LQ$2:$LQ$60=E$3)*(GMWQ!$LP$2:$LP$60=E$4)*(GMWQ!$LR$2:$LR$60=E$1),0),$B240-1966)</f>
        <v>153.6669</v>
      </c>
      <c r="F240" s="7" cm="1">
        <f t="array" ref="F240">INDEX(GMWQ!$A$2:$LR$60,MATCH(1,(GMWQ!$LQ$2:$LQ$60=F$3)*(GMWQ!$LP$2:$LP$60=F$4)*(GMWQ!$LR$2:$LR$60=F$1),0),$B240-1966)</f>
        <v>366969.4</v>
      </c>
      <c r="G240" s="7" cm="1">
        <f t="array" ref="G240">INDEX(GMWQ!$A$2:$LR$60,MATCH(1,(GMWQ!$LQ$2:$LQ$60=G$3)*(GMWQ!$LP$2:$LP$60=G$4)*(GMWQ!$LR$2:$LR$60=G$1),0),$B240-1966)</f>
        <v>107550.1</v>
      </c>
      <c r="H240" s="7" cm="1">
        <f t="array" ref="H240">INDEX(GMWQ!$A$2:$LR$60,MATCH(1,(GMWQ!$LQ$2:$LQ$60=H$3)*(GMWQ!$LP$2:$LP$60=H$4)*(GMWQ!$LR$2:$LR$60=H$1),0),$B240-1966)</f>
        <v>24678.69</v>
      </c>
      <c r="I240" s="7" cm="1">
        <f t="array" ref="I240">INDEX(GMWQ!$A$2:$LR$60,MATCH(1,(GMWQ!$LQ$2:$LQ$60=I$3)*(GMWQ!$LP$2:$LP$60=I$4)*(GMWQ!$LR$2:$LR$60=I$1),0),$B240-1966)</f>
        <v>140.0154</v>
      </c>
      <c r="J240" s="7" cm="1">
        <f t="array" ref="J240">INDEX(GMWQ!$A$2:$LR$60,MATCH(1,(GMWQ!$LQ$2:$LQ$60=J$3)*(GMWQ!$LP$2:$LP$60=J$4)*(GMWQ!$LR$2:$LR$60=J$1),0),$B240-1966)</f>
        <v>30549.439999999999</v>
      </c>
      <c r="K240" s="7" cm="1">
        <f t="array" ref="K240">INDEX(GMWQ!$A$2:$LR$60,MATCH(1,(GMWQ!$LQ$2:$LQ$60=K$3)*(GMWQ!$LP$2:$LP$60=K$4)*(GMWQ!$LR$2:$LR$60=K$1),0),$B240-1966)</f>
        <v>2</v>
      </c>
      <c r="L240" s="7" cm="1">
        <f t="array" ref="L240">INDEX(GMWQ!$A$2:$LR$60,MATCH(1,(GMWQ!$LQ$2:$LQ$60=L$3)*(GMWQ!$LP$2:$LP$60=L$4)*(GMWQ!$LR$2:$LR$60=L$1),0),$B240-1966)</f>
        <v>3.7500870000000002</v>
      </c>
      <c r="M240" s="7" cm="1">
        <f t="array" ref="M240">INDEX(GMWQ!$A$2:$LR$60,MATCH(1,(GMWQ!$LQ$2:$LQ$60=M$3)*(GMWQ!$LP$2:$LP$60=M$4)*(GMWQ!$LR$2:$LR$60=M$1),0),$B240-1966)</f>
        <v>180.80779999999999</v>
      </c>
      <c r="N240" s="7" cm="1">
        <f t="array" ref="N240">INDEX(GMWQ!$A$2:$LR$60,MATCH(1,(GMWQ!$LQ$2:$LQ$60=N$3)*(GMWQ!$LP$2:$LP$60=N$4)*(GMWQ!$LR$2:$LR$60=N$1),0),$B240-1966)</f>
        <v>24979.66</v>
      </c>
      <c r="O240" s="7" cm="1">
        <f t="array" ref="O240">INDEX(GMWQ!$A$2:$LR$60,MATCH(1,(GMWQ!$LQ$2:$LQ$60=O$3)*(GMWQ!$LP$2:$LP$60=O$4)*(GMWQ!$LR$2:$LR$60=O$1),0),$B240-1966)</f>
        <v>15711.61</v>
      </c>
      <c r="P240" s="7" cm="1">
        <f t="array" ref="P240">INDEX(GMWQ!$A$2:$LR$60,MATCH(1,(GMWQ!$LQ$2:$LQ$60=P$3)*(GMWQ!$LP$2:$LP$60=P$4)*(GMWQ!$LR$2:$LR$60=P$1),0),$B240-1966)</f>
        <v>583907.1</v>
      </c>
      <c r="Q240" s="7" cm="1">
        <f t="array" ref="Q240">INDEX(GMWQ!$A$2:$LR$60,MATCH(1,(GMWQ!$LQ$2:$LQ$60=Q$3)*(GMWQ!$LP$2:$LP$60=Q$4)*(GMWQ!$LR$2:$LR$60=Q$1),0),$B240-1966)</f>
        <v>3.5</v>
      </c>
      <c r="R240" s="7" cm="1">
        <f t="array" ref="R240">INDEX(GMWQ!$A$2:$LR$60,MATCH(1,(GMWQ!$LQ$2:$LQ$60=R$3)*(GMWQ!$LP$2:$LP$60=R$4)*(GMWQ!$LR$2:$LR$60=R$1),0),$B240-1966)</f>
        <v>251623.4</v>
      </c>
      <c r="S240" s="7" cm="1">
        <f t="array" ref="S240">INDEX(GMWQ!$A$2:$LR$60,MATCH(1,(GMWQ!$LQ$2:$LQ$60=S$3)*(GMWQ!$LP$2:$LP$60=S$4)*(GMWQ!$LR$2:$LR$60=S$1),0),$B240-1966)</f>
        <v>375.36320000000001</v>
      </c>
      <c r="T240" s="7" cm="1">
        <f t="array" ref="T240">INDEX(GMWQ!$A$2:$LR$60,MATCH(1,(GMWQ!$LQ$2:$LQ$60=T$3)*(GMWQ!$LP$2:$LP$60=T$4)*(GMWQ!$LR$2:$LR$60=T$1),0),$B240-1966)</f>
        <v>111632.7</v>
      </c>
      <c r="U240" s="7" cm="1">
        <f t="array" ref="U240">INDEX(GMWQ!$A$2:$LR$60,MATCH(1,(GMWQ!$LQ$2:$LQ$60=U$3)*(GMWQ!$LP$2:$LP$60=U$4)*(GMWQ!$LR$2:$LR$60=U$1),0),$B240-1966)</f>
        <v>26480.47</v>
      </c>
      <c r="V240" s="7" cm="1">
        <f t="array" ref="V240">INDEX(GMWQ!$A$2:$LR$60,MATCH(1,(GMWQ!$LQ$2:$LQ$60=V$3)*(GMWQ!$LP$2:$LP$60=V$4)*(GMWQ!$LR$2:$LR$60=V$1),0),$B240-1966)</f>
        <v>1.373539E-3</v>
      </c>
      <c r="W240" s="7" cm="1">
        <f t="array" ref="W240">INDEX(GMWQ!$A$2:$LR$60,MATCH(1,(GMWQ!$LQ$2:$LQ$60=W$3)*(GMWQ!$LP$2:$LP$60=W$4)*(GMWQ!$LR$2:$LR$60=W$1),0),$B240-1966)</f>
        <v>9.0727650000000004</v>
      </c>
      <c r="X240" s="7" cm="1">
        <f t="array" ref="X240">INDEX(GMWQ!$A$2:$LR$60,MATCH(1,(GMWQ!$LQ$2:$LQ$60=X$3)*(GMWQ!$LP$2:$LP$60=X$4)*(GMWQ!$LR$2:$LR$60=X$1),0),$B240-1966)</f>
        <v>7325225</v>
      </c>
      <c r="Y240" s="7" cm="1">
        <f t="array" ref="Y240">INDEX(GMWQ!$A$2:$LR$60,MATCH(1,(GMWQ!$LQ$2:$LQ$60=Y$3)*(GMWQ!$LP$2:$LP$60=Y$4)*(GMWQ!$LR$2:$LR$60=Y$1),0),$B240-1966)</f>
        <v>139.36680000000001</v>
      </c>
      <c r="Z240" s="7" cm="1">
        <f t="array" ref="Z240">INDEX(GMWQ!$A$2:$LR$60,MATCH(1,(GMWQ!$LQ$2:$LQ$60=Z$3)*(GMWQ!$LP$2:$LP$60=Z$4)*(GMWQ!$LR$2:$LR$60=Z$1),0),$B240-1966)</f>
        <v>640850.30000000005</v>
      </c>
      <c r="AA240" s="7" cm="1">
        <f t="array" ref="AA240">INDEX(GMWQ!$A$2:$LR$60,MATCH(1,(GMWQ!$LQ$2:$LQ$60=AA$3)*(GMWQ!$LP$2:$LP$60=AA$4)*(GMWQ!$LR$2:$LR$60=AA$1),0),$B240-1966)</f>
        <v>357557.8</v>
      </c>
      <c r="AB240" s="7" cm="1">
        <f t="array" ref="AB240">INDEX(GMWQ!$A$2:$LR$60,MATCH(1,(GMWQ!$LQ$2:$LQ$60=AB$3)*(GMWQ!$LP$2:$LP$60=AB$4)*(GMWQ!$LR$2:$LR$60=AB$1),0),$B240-1966)</f>
        <v>344346.7</v>
      </c>
      <c r="AC240" s="7" cm="1">
        <f t="array" ref="AC240">INDEX(GMWQ!$A$2:$LR$60,MATCH(1,(GMWQ!$LQ$2:$LQ$60=AC$3)*(GMWQ!$LP$2:$LP$60=AC$4)*(GMWQ!$LR$2:$LR$60=AC$1),0),$B240-1966)</f>
        <v>11497.29</v>
      </c>
      <c r="AD240" s="7" cm="1">
        <f t="array" ref="AD240">INDEX(GMWQ!$A$2:$LR$60,MATCH(1,(GMWQ!$LQ$2:$LQ$60=AD$3)*(GMWQ!$LP$2:$LP$60=AD$4)*(GMWQ!$LR$2:$LR$60=AD$1),0),$B240-1966)</f>
        <v>19868.12</v>
      </c>
      <c r="AE240" s="7" cm="1">
        <f t="array" ref="AE240">INDEX(GMWQ!$A$2:$LR$60,MATCH(1,(GMWQ!$LQ$2:$LQ$60=AE$3)*(GMWQ!$LP$2:$LP$60=AE$4)*(GMWQ!$LR$2:$LR$60=AE$1),0),$B240-1966)</f>
        <v>892669.3</v>
      </c>
      <c r="AF240" s="20" cm="1">
        <f t="array" ref="AF240">INDEX(GMWQ!$A$2:$LR$60,MATCH(1,(GMWQ!$LQ$2:$LQ$60=AF$3)*(GMWQ!$LP$2:$LP$60=AF$4)*(GMWQ!$LR$2:$LR$60=AF$1),0),$B240-1966)</f>
        <v>2</v>
      </c>
      <c r="AG240" s="20" cm="1">
        <f t="array" ref="AG240">INDEX(GMWQ!$A$2:$LR$60,MATCH(1,(GMWQ!$LQ$2:$LQ$60=AG$3)*(GMWQ!$LP$2:$LP$60=AG$4)*(GMWQ!$LR$2:$LR$60=AG$1),0),$B240-1966)</f>
        <v>-9268.0480000000007</v>
      </c>
      <c r="AI240" s="23" cm="1">
        <f t="array" ref="AI240">INDEX(GMWQ!$A$2:$LR$60,MATCH(1,(GMWQ!$LQ$2:$LQ$60=AI$3)*(GMWQ!$LP$2:$LP$60=AI$4)*(GMWQ!$LR$2:$LR$60=AI$1),0),$B240-1966)</f>
        <v>583907.1</v>
      </c>
      <c r="AJ240" s="23" cm="1">
        <f t="array" ref="AJ240">INDEX(GMWQ!$A$2:$LR$60,MATCH(1,(GMWQ!$LQ$2:$LQ$60=AJ$3)*(GMWQ!$LP$2:$LP$60=AJ$4)*(GMWQ!$LR$2:$LR$60=AJ$1),0),$B240-1966)</f>
        <v>140.0154</v>
      </c>
      <c r="AK240" s="23" cm="1">
        <f t="array" ref="AK240">INDEX(GMWQ!$A$2:$LR$60,MATCH(1,(GMWQ!$LQ$2:$LQ$60=AK$3)*(GMWQ!$LP$2:$LP$60=AK$4)*(GMWQ!$LR$2:$LR$60=AK$1),0),$B240-1966)</f>
        <v>366969.4</v>
      </c>
      <c r="AL240" s="23" cm="1">
        <f t="array" ref="AL240">INDEX(GMWQ!$A$2:$LR$60,MATCH(1,(GMWQ!$LQ$2:$LQ$60=AL$3)*(GMWQ!$LP$2:$LP$60=AL$4)*(GMWQ!$LR$2:$LR$60=AL$1),0),$B240-1966)</f>
        <v>12012.31</v>
      </c>
      <c r="AM240" s="23" cm="1">
        <f t="array" ref="AM240">INDEX(GMWQ!$A$2:$LR$60,MATCH(1,(GMWQ!$LQ$2:$LQ$60=AM$3)*(GMWQ!$LP$2:$LP$60=AM$4)*(GMWQ!$LR$2:$LR$60=AM$1),0),$B240-1966)</f>
        <v>30549.439999999999</v>
      </c>
      <c r="AN240" s="23" cm="1">
        <f t="array" ref="AN240">INDEX(GMWQ!$A$2:$LR$60,MATCH(1,(GMWQ!$LQ$2:$LQ$60=AN$3)*(GMWQ!$LP$2:$LP$60=AN$4)*(GMWQ!$LR$2:$LR$60=AN$1),0),$B240-1966)</f>
        <v>107550.1</v>
      </c>
      <c r="AO240" s="23" cm="1">
        <f t="array" ref="AO240">INDEX(GMWQ!$A$2:$LR$60,MATCH(1,(GMWQ!$LQ$2:$LQ$60=AO$3)*(GMWQ!$LP$2:$LP$60=AO$4)*(GMWQ!$LR$2:$LR$60=AO$1),0),$B240-1966)</f>
        <v>24678.69</v>
      </c>
      <c r="AP240" s="23" cm="1">
        <f t="array" ref="AP240">INDEX(GMWQ!$A$2:$LR$60,MATCH(1,(GMWQ!$LQ$2:$LQ$60=AP$3)*(GMWQ!$LP$2:$LP$60=AP$4)*(GMWQ!$LR$2:$LR$60=AP$1),0),$B240-1966)</f>
        <v>-9268.0480000000007</v>
      </c>
      <c r="AQ240" s="23" cm="1">
        <f t="array" ref="AQ240">INDEX(GMWQ!$A$2:$LR$60,MATCH(1,(GMWQ!$LQ$2:$LQ$60=AQ$3)*(GMWQ!$LP$2:$LP$60=AQ$4)*(GMWQ!$LR$2:$LR$60=AQ$1),0),$B240-1966)</f>
        <v>125045.5</v>
      </c>
      <c r="AR240" s="23" cm="1">
        <f t="array" ref="AR240">INDEX(GMWQ!$A$2:$LR$60,MATCH(1,(GMWQ!$LQ$2:$LQ$60=AR$3)*(GMWQ!$LP$2:$LP$60=AR$4)*(GMWQ!$LR$2:$LR$60=AR$1),0),$B240-1966)</f>
        <v>539515.80000000005</v>
      </c>
      <c r="AS240" s="23" cm="1">
        <f t="array" ref="AS240">INDEX(GMWQ!$A$2:$LR$60,MATCH(1,(GMWQ!$LQ$2:$LQ$60=AS$3)*(GMWQ!$LP$2:$LP$60=AS$4)*(GMWQ!$LR$2:$LR$60=AS$1),0),$B240-1966)</f>
        <v>18161.61</v>
      </c>
      <c r="AT240" s="23" cm="1">
        <f t="array" ref="AT240">INDEX(GMWQ!$A$2:$LR$60,MATCH(1,(GMWQ!$LQ$2:$LQ$60=AT$3)*(GMWQ!$LP$2:$LP$60=AT$4)*(GMWQ!$LR$2:$LR$60=AT$1),0),$B240-1966)</f>
        <v>385326.1</v>
      </c>
      <c r="AU240" s="23" cm="1">
        <f t="array" ref="AU240">INDEX(GMWQ!$A$2:$LR$60,MATCH(1,(GMWQ!$LQ$2:$LQ$60=AU$3)*(GMWQ!$LP$2:$LP$60=AU$4)*(GMWQ!$LR$2:$LR$60=AU$1),0),$B240-1966)</f>
        <v>13712.57</v>
      </c>
    </row>
    <row r="241" spans="1:47" x14ac:dyDescent="0.35">
      <c r="B241" s="7">
        <f t="shared" ref="B241:B304" si="5">+B240+1</f>
        <v>2207</v>
      </c>
      <c r="C241" s="7" cm="1">
        <f t="array" ref="C241">INDEX(GMWQ!$A$2:$LR$60,MATCH(1,(GMWQ!$LQ$2:$LQ$60=C$3)*(GMWQ!$LP$2:$LP$60=C$4)*(GMWQ!$LR$2:$LR$60=C$1),0),$B241-1966)</f>
        <v>642952</v>
      </c>
      <c r="D241" s="7" cm="1">
        <f t="array" ref="D241">INDEX(GMWQ!$A$2:$LR$60,MATCH(1,(GMWQ!$LQ$2:$LQ$60=D$3)*(GMWQ!$LP$2:$LP$60=D$4)*(GMWQ!$LR$2:$LR$60=D$1),0),$B241-1966)</f>
        <v>831.82439999999997</v>
      </c>
      <c r="E241" s="7" cm="1">
        <f t="array" ref="E241">INDEX(GMWQ!$A$2:$LR$60,MATCH(1,(GMWQ!$LQ$2:$LQ$60=E$3)*(GMWQ!$LP$2:$LP$60=E$4)*(GMWQ!$LR$2:$LR$60=E$1),0),$B241-1966)</f>
        <v>154.50630000000001</v>
      </c>
      <c r="F241" s="7" cm="1">
        <f t="array" ref="F241">INDEX(GMWQ!$A$2:$LR$60,MATCH(1,(GMWQ!$LQ$2:$LQ$60=F$3)*(GMWQ!$LP$2:$LP$60=F$4)*(GMWQ!$LR$2:$LR$60=F$1),0),$B241-1966)</f>
        <v>370202.3</v>
      </c>
      <c r="G241" s="7" cm="1">
        <f t="array" ref="G241">INDEX(GMWQ!$A$2:$LR$60,MATCH(1,(GMWQ!$LQ$2:$LQ$60=G$3)*(GMWQ!$LP$2:$LP$60=G$4)*(GMWQ!$LR$2:$LR$60=G$1),0),$B241-1966)</f>
        <v>108646.39999999999</v>
      </c>
      <c r="H241" s="7" cm="1">
        <f t="array" ref="H241">INDEX(GMWQ!$A$2:$LR$60,MATCH(1,(GMWQ!$LQ$2:$LQ$60=H$3)*(GMWQ!$LP$2:$LP$60=H$4)*(GMWQ!$LR$2:$LR$60=H$1),0),$B241-1966)</f>
        <v>24896.11</v>
      </c>
      <c r="I241" s="7" cm="1">
        <f t="array" ref="I241">INDEX(GMWQ!$A$2:$LR$60,MATCH(1,(GMWQ!$LQ$2:$LQ$60=I$3)*(GMWQ!$LP$2:$LP$60=I$4)*(GMWQ!$LR$2:$LR$60=I$1),0),$B241-1966)</f>
        <v>140.71010000000001</v>
      </c>
      <c r="J241" s="7" cm="1">
        <f t="array" ref="J241">INDEX(GMWQ!$A$2:$LR$60,MATCH(1,(GMWQ!$LQ$2:$LQ$60=J$3)*(GMWQ!$LP$2:$LP$60=J$4)*(GMWQ!$LR$2:$LR$60=J$1),0),$B241-1966)</f>
        <v>30604.62</v>
      </c>
      <c r="K241" s="7" cm="1">
        <f t="array" ref="K241">INDEX(GMWQ!$A$2:$LR$60,MATCH(1,(GMWQ!$LQ$2:$LQ$60=K$3)*(GMWQ!$LP$2:$LP$60=K$4)*(GMWQ!$LR$2:$LR$60=K$1),0),$B241-1966)</f>
        <v>2</v>
      </c>
      <c r="L241" s="7" cm="1">
        <f t="array" ref="L241">INDEX(GMWQ!$A$2:$LR$60,MATCH(1,(GMWQ!$LQ$2:$LQ$60=L$3)*(GMWQ!$LP$2:$LP$60=L$4)*(GMWQ!$LR$2:$LR$60=L$1),0),$B241-1966)</f>
        <v>3.7501090000000001</v>
      </c>
      <c r="M241" s="7" cm="1">
        <f t="array" ref="M241">INDEX(GMWQ!$A$2:$LR$60,MATCH(1,(GMWQ!$LQ$2:$LQ$60=M$3)*(GMWQ!$LP$2:$LP$60=M$4)*(GMWQ!$LR$2:$LR$60=M$1),0),$B241-1966)</f>
        <v>182.0943</v>
      </c>
      <c r="N241" s="7" cm="1">
        <f t="array" ref="N241">INDEX(GMWQ!$A$2:$LR$60,MATCH(1,(GMWQ!$LQ$2:$LQ$60=N$3)*(GMWQ!$LP$2:$LP$60=N$4)*(GMWQ!$LR$2:$LR$60=N$1),0),$B241-1966)</f>
        <v>25313.61</v>
      </c>
      <c r="O241" s="7" cm="1">
        <f t="array" ref="O241">INDEX(GMWQ!$A$2:$LR$60,MATCH(1,(GMWQ!$LQ$2:$LQ$60=O$3)*(GMWQ!$LP$2:$LP$60=O$4)*(GMWQ!$LR$2:$LR$60=O$1),0),$B241-1966)</f>
        <v>15888.7</v>
      </c>
      <c r="P241" s="7" cm="1">
        <f t="array" ref="P241">INDEX(GMWQ!$A$2:$LR$60,MATCH(1,(GMWQ!$LQ$2:$LQ$60=P$3)*(GMWQ!$LP$2:$LP$60=P$4)*(GMWQ!$LR$2:$LR$60=P$1),0),$B241-1966)</f>
        <v>589113.59999999998</v>
      </c>
      <c r="Q241" s="7" cm="1">
        <f t="array" ref="Q241">INDEX(GMWQ!$A$2:$LR$60,MATCH(1,(GMWQ!$LQ$2:$LQ$60=Q$3)*(GMWQ!$LP$2:$LP$60=Q$4)*(GMWQ!$LR$2:$LR$60=Q$1),0),$B241-1966)</f>
        <v>3.4999989999999999</v>
      </c>
      <c r="R241" s="7" cm="1">
        <f t="array" ref="R241">INDEX(GMWQ!$A$2:$LR$60,MATCH(1,(GMWQ!$LQ$2:$LQ$60=R$3)*(GMWQ!$LP$2:$LP$60=R$4)*(GMWQ!$LR$2:$LR$60=R$1),0),$B241-1966)</f>
        <v>252948.4</v>
      </c>
      <c r="S241" s="7" cm="1">
        <f t="array" ref="S241">INDEX(GMWQ!$A$2:$LR$60,MATCH(1,(GMWQ!$LQ$2:$LQ$60=S$3)*(GMWQ!$LP$2:$LP$60=S$4)*(GMWQ!$LR$2:$LR$60=S$1),0),$B241-1966)</f>
        <v>377.33980000000003</v>
      </c>
      <c r="T241" s="7" cm="1">
        <f t="array" ref="T241">INDEX(GMWQ!$A$2:$LR$60,MATCH(1,(GMWQ!$LQ$2:$LQ$60=T$3)*(GMWQ!$LP$2:$LP$60=T$4)*(GMWQ!$LR$2:$LR$60=T$1),0),$B241-1966)</f>
        <v>112646.7</v>
      </c>
      <c r="U241" s="7" cm="1">
        <f t="array" ref="U241">INDEX(GMWQ!$A$2:$LR$60,MATCH(1,(GMWQ!$LQ$2:$LQ$60=U$3)*(GMWQ!$LP$2:$LP$60=U$4)*(GMWQ!$LR$2:$LR$60=U$1),0),$B241-1966)</f>
        <v>26461.4</v>
      </c>
      <c r="V241" s="7" cm="1">
        <f t="array" ref="V241">INDEX(GMWQ!$A$2:$LR$60,MATCH(1,(GMWQ!$LQ$2:$LQ$60=V$3)*(GMWQ!$LP$2:$LP$60=V$4)*(GMWQ!$LR$2:$LR$60=V$1),0),$B241-1966)</f>
        <v>1.3723069999999999E-3</v>
      </c>
      <c r="W241" s="7" cm="1">
        <f t="array" ref="W241">INDEX(GMWQ!$A$2:$LR$60,MATCH(1,(GMWQ!$LQ$2:$LQ$60=W$3)*(GMWQ!$LP$2:$LP$60=W$4)*(GMWQ!$LR$2:$LR$60=W$1),0),$B241-1966)</f>
        <v>9.0695739999999994</v>
      </c>
      <c r="X241" s="7" cm="1">
        <f t="array" ref="X241">INDEX(GMWQ!$A$2:$LR$60,MATCH(1,(GMWQ!$LQ$2:$LQ$60=X$3)*(GMWQ!$LP$2:$LP$60=X$4)*(GMWQ!$LR$2:$LR$60=X$1),0),$B241-1966)</f>
        <v>7403042</v>
      </c>
      <c r="Y241" s="7" cm="1">
        <f t="array" ref="Y241">INDEX(GMWQ!$A$2:$LR$60,MATCH(1,(GMWQ!$LQ$2:$LQ$60=Y$3)*(GMWQ!$LP$2:$LP$60=Y$4)*(GMWQ!$LR$2:$LR$60=Y$1),0),$B241-1966)</f>
        <v>140.11799999999999</v>
      </c>
      <c r="Z241" s="7" cm="1">
        <f t="array" ref="Z241">INDEX(GMWQ!$A$2:$LR$60,MATCH(1,(GMWQ!$LQ$2:$LQ$60=Z$3)*(GMWQ!$LP$2:$LP$60=Z$4)*(GMWQ!$LR$2:$LR$60=Z$1),0),$B241-1966)</f>
        <v>643254.80000000005</v>
      </c>
      <c r="AA241" s="7" cm="1">
        <f t="array" ref="AA241">INDEX(GMWQ!$A$2:$LR$60,MATCH(1,(GMWQ!$LQ$2:$LQ$60=AA$3)*(GMWQ!$LP$2:$LP$60=AA$4)*(GMWQ!$LR$2:$LR$60=AA$1),0),$B241-1966)</f>
        <v>374566.3</v>
      </c>
      <c r="AB241" s="7" cm="1">
        <f t="array" ref="AB241">INDEX(GMWQ!$A$2:$LR$60,MATCH(1,(GMWQ!$LQ$2:$LQ$60=AB$3)*(GMWQ!$LP$2:$LP$60=AB$4)*(GMWQ!$LR$2:$LR$60=AB$1),0),$B241-1966)</f>
        <v>347372.6</v>
      </c>
      <c r="AC241" s="7" cm="1">
        <f t="array" ref="AC241">INDEX(GMWQ!$A$2:$LR$60,MATCH(1,(GMWQ!$LQ$2:$LQ$60=AC$3)*(GMWQ!$LP$2:$LP$60=AC$4)*(GMWQ!$LR$2:$LR$60=AC$1),0),$B241-1966)</f>
        <v>13090.83</v>
      </c>
      <c r="AD241" s="7" cm="1">
        <f t="array" ref="AD241">INDEX(GMWQ!$A$2:$LR$60,MATCH(1,(GMWQ!$LQ$2:$LQ$60=AD$3)*(GMWQ!$LP$2:$LP$60=AD$4)*(GMWQ!$LR$2:$LR$60=AD$1),0),$B241-1966)</f>
        <v>19868.12</v>
      </c>
      <c r="AE241" s="7" cm="1">
        <f t="array" ref="AE241">INDEX(GMWQ!$A$2:$LR$60,MATCH(1,(GMWQ!$LQ$2:$LQ$60=AE$3)*(GMWQ!$LP$2:$LP$60=AE$4)*(GMWQ!$LR$2:$LR$60=AE$1),0),$B241-1966)</f>
        <v>900891.1</v>
      </c>
      <c r="AF241" s="20" cm="1">
        <f t="array" ref="AF241">INDEX(GMWQ!$A$2:$LR$60,MATCH(1,(GMWQ!$LQ$2:$LQ$60=AF$3)*(GMWQ!$LP$2:$LP$60=AF$4)*(GMWQ!$LR$2:$LR$60=AF$1),0),$B241-1966)</f>
        <v>2</v>
      </c>
      <c r="AG241" s="20" cm="1">
        <f t="array" ref="AG241">INDEX(GMWQ!$A$2:$LR$60,MATCH(1,(GMWQ!$LQ$2:$LQ$60=AG$3)*(GMWQ!$LP$2:$LP$60=AG$4)*(GMWQ!$LR$2:$LR$60=AG$1),0),$B241-1966)</f>
        <v>-9424.9079999999994</v>
      </c>
      <c r="AI241" s="23" cm="1">
        <f t="array" ref="AI241">INDEX(GMWQ!$A$2:$LR$60,MATCH(1,(GMWQ!$LQ$2:$LQ$60=AI$3)*(GMWQ!$LP$2:$LP$60=AI$4)*(GMWQ!$LR$2:$LR$60=AI$1),0),$B241-1966)</f>
        <v>589113.59999999998</v>
      </c>
      <c r="AJ241" s="23" cm="1">
        <f t="array" ref="AJ241">INDEX(GMWQ!$A$2:$LR$60,MATCH(1,(GMWQ!$LQ$2:$LQ$60=AJ$3)*(GMWQ!$LP$2:$LP$60=AJ$4)*(GMWQ!$LR$2:$LR$60=AJ$1),0),$B241-1966)</f>
        <v>140.71010000000001</v>
      </c>
      <c r="AK241" s="23" cm="1">
        <f t="array" ref="AK241">INDEX(GMWQ!$A$2:$LR$60,MATCH(1,(GMWQ!$LQ$2:$LQ$60=AK$3)*(GMWQ!$LP$2:$LP$60=AK$4)*(GMWQ!$LR$2:$LR$60=AK$1),0),$B241-1966)</f>
        <v>370202.3</v>
      </c>
      <c r="AL241" s="23" cm="1">
        <f t="array" ref="AL241">INDEX(GMWQ!$A$2:$LR$60,MATCH(1,(GMWQ!$LQ$2:$LQ$60=AL$3)*(GMWQ!$LP$2:$LP$60=AL$4)*(GMWQ!$LR$2:$LR$60=AL$1),0),$B241-1966)</f>
        <v>12096.29</v>
      </c>
      <c r="AM241" s="23" cm="1">
        <f t="array" ref="AM241">INDEX(GMWQ!$A$2:$LR$60,MATCH(1,(GMWQ!$LQ$2:$LQ$60=AM$3)*(GMWQ!$LP$2:$LP$60=AM$4)*(GMWQ!$LR$2:$LR$60=AM$1),0),$B241-1966)</f>
        <v>30604.62</v>
      </c>
      <c r="AN241" s="23" cm="1">
        <f t="array" ref="AN241">INDEX(GMWQ!$A$2:$LR$60,MATCH(1,(GMWQ!$LQ$2:$LQ$60=AN$3)*(GMWQ!$LP$2:$LP$60=AN$4)*(GMWQ!$LR$2:$LR$60=AN$1),0),$B241-1966)</f>
        <v>108646.39999999999</v>
      </c>
      <c r="AO241" s="23" cm="1">
        <f t="array" ref="AO241">INDEX(GMWQ!$A$2:$LR$60,MATCH(1,(GMWQ!$LQ$2:$LQ$60=AO$3)*(GMWQ!$LP$2:$LP$60=AO$4)*(GMWQ!$LR$2:$LR$60=AO$1),0),$B241-1966)</f>
        <v>24896.11</v>
      </c>
      <c r="AP241" s="23" cm="1">
        <f t="array" ref="AP241">INDEX(GMWQ!$A$2:$LR$60,MATCH(1,(GMWQ!$LQ$2:$LQ$60=AP$3)*(GMWQ!$LP$2:$LP$60=AP$4)*(GMWQ!$LR$2:$LR$60=AP$1),0),$B241-1966)</f>
        <v>-9424.9079999999994</v>
      </c>
      <c r="AQ241" s="23" cm="1">
        <f t="array" ref="AQ241">INDEX(GMWQ!$A$2:$LR$60,MATCH(1,(GMWQ!$LQ$2:$LQ$60=AQ$3)*(GMWQ!$LP$2:$LP$60=AQ$4)*(GMWQ!$LR$2:$LR$60=AQ$1),0),$B241-1966)</f>
        <v>126316.7</v>
      </c>
      <c r="AR241" s="23" cm="1">
        <f t="array" ref="AR241">INDEX(GMWQ!$A$2:$LR$60,MATCH(1,(GMWQ!$LQ$2:$LQ$60=AR$3)*(GMWQ!$LP$2:$LP$60=AR$4)*(GMWQ!$LR$2:$LR$60=AR$1),0),$B241-1966)</f>
        <v>544226</v>
      </c>
      <c r="AS241" s="23" cm="1">
        <f t="array" ref="AS241">INDEX(GMWQ!$A$2:$LR$60,MATCH(1,(GMWQ!$LQ$2:$LQ$60=AS$3)*(GMWQ!$LP$2:$LP$60=AS$4)*(GMWQ!$LR$2:$LR$60=AS$1),0),$B241-1966)</f>
        <v>18329.23</v>
      </c>
      <c r="AT241" s="23" cm="1">
        <f t="array" ref="AT241">INDEX(GMWQ!$A$2:$LR$60,MATCH(1,(GMWQ!$LQ$2:$LQ$60=AT$3)*(GMWQ!$LP$2:$LP$60=AT$4)*(GMWQ!$LR$2:$LR$60=AT$1),0),$B241-1966)</f>
        <v>386771.1</v>
      </c>
      <c r="AU241" s="23" cm="1">
        <f t="array" ref="AU241">INDEX(GMWQ!$A$2:$LR$60,MATCH(1,(GMWQ!$LQ$2:$LQ$60=AU$3)*(GMWQ!$LP$2:$LP$60=AU$4)*(GMWQ!$LR$2:$LR$60=AU$1),0),$B241-1966)</f>
        <v>13763.99</v>
      </c>
    </row>
    <row r="242" spans="1:47" x14ac:dyDescent="0.35">
      <c r="B242" s="7">
        <f t="shared" si="5"/>
        <v>2208</v>
      </c>
      <c r="C242" s="7" cm="1">
        <f t="array" ref="C242">INDEX(GMWQ!$A$2:$LR$60,MATCH(1,(GMWQ!$LQ$2:$LQ$60=C$3)*(GMWQ!$LP$2:$LP$60=C$4)*(GMWQ!$LR$2:$LR$60=C$1),0),$B242-1966)</f>
        <v>645395.19999999995</v>
      </c>
      <c r="D242" s="7" cm="1">
        <f t="array" ref="D242">INDEX(GMWQ!$A$2:$LR$60,MATCH(1,(GMWQ!$LQ$2:$LQ$60=D$3)*(GMWQ!$LP$2:$LP$60=D$4)*(GMWQ!$LR$2:$LR$60=D$1),0),$B242-1966)</f>
        <v>837.66120000000001</v>
      </c>
      <c r="E242" s="7" cm="1">
        <f t="array" ref="E242">INDEX(GMWQ!$A$2:$LR$60,MATCH(1,(GMWQ!$LQ$2:$LQ$60=E$3)*(GMWQ!$LP$2:$LP$60=E$4)*(GMWQ!$LR$2:$LR$60=E$1),0),$B242-1966)</f>
        <v>155.15889999999999</v>
      </c>
      <c r="F242" s="7" cm="1">
        <f t="array" ref="F242">INDEX(GMWQ!$A$2:$LR$60,MATCH(1,(GMWQ!$LQ$2:$LQ$60=F$3)*(GMWQ!$LP$2:$LP$60=F$4)*(GMWQ!$LR$2:$LR$60=F$1),0),$B242-1966)</f>
        <v>373473.4</v>
      </c>
      <c r="G242" s="7" cm="1">
        <f t="array" ref="G242">INDEX(GMWQ!$A$2:$LR$60,MATCH(1,(GMWQ!$LQ$2:$LQ$60=G$3)*(GMWQ!$LP$2:$LP$60=G$4)*(GMWQ!$LR$2:$LR$60=G$1),0),$B242-1966)</f>
        <v>109746.4</v>
      </c>
      <c r="H242" s="7" cm="1">
        <f t="array" ref="H242">INDEX(GMWQ!$A$2:$LR$60,MATCH(1,(GMWQ!$LQ$2:$LQ$60=H$3)*(GMWQ!$LP$2:$LP$60=H$4)*(GMWQ!$LR$2:$LR$60=H$1),0),$B242-1966)</f>
        <v>25116.09</v>
      </c>
      <c r="I242" s="7" cm="1">
        <f t="array" ref="I242">INDEX(GMWQ!$A$2:$LR$60,MATCH(1,(GMWQ!$LQ$2:$LQ$60=I$3)*(GMWQ!$LP$2:$LP$60=I$4)*(GMWQ!$LR$2:$LR$60=I$1),0),$B242-1966)</f>
        <v>141.4083</v>
      </c>
      <c r="J242" s="7" cm="1">
        <f t="array" ref="J242">INDEX(GMWQ!$A$2:$LR$60,MATCH(1,(GMWQ!$LQ$2:$LQ$60=J$3)*(GMWQ!$LP$2:$LP$60=J$4)*(GMWQ!$LR$2:$LR$60=J$1),0),$B242-1966)</f>
        <v>30659.89</v>
      </c>
      <c r="K242" s="7" cm="1">
        <f t="array" ref="K242">INDEX(GMWQ!$A$2:$LR$60,MATCH(1,(GMWQ!$LQ$2:$LQ$60=K$3)*(GMWQ!$LP$2:$LP$60=K$4)*(GMWQ!$LR$2:$LR$60=K$1),0),$B242-1966)</f>
        <v>2</v>
      </c>
      <c r="L242" s="7" cm="1">
        <f t="array" ref="L242">INDEX(GMWQ!$A$2:$LR$60,MATCH(1,(GMWQ!$LQ$2:$LQ$60=L$3)*(GMWQ!$LP$2:$LP$60=L$4)*(GMWQ!$LR$2:$LR$60=L$1),0),$B242-1966)</f>
        <v>3.750108</v>
      </c>
      <c r="M242" s="7" cm="1">
        <f t="array" ref="M242">INDEX(GMWQ!$A$2:$LR$60,MATCH(1,(GMWQ!$LQ$2:$LQ$60=M$3)*(GMWQ!$LP$2:$LP$60=M$4)*(GMWQ!$LR$2:$LR$60=M$1),0),$B242-1966)</f>
        <v>183.42189999999999</v>
      </c>
      <c r="N242" s="7" cm="1">
        <f t="array" ref="N242">INDEX(GMWQ!$A$2:$LR$60,MATCH(1,(GMWQ!$LQ$2:$LQ$60=N$3)*(GMWQ!$LP$2:$LP$60=N$4)*(GMWQ!$LR$2:$LR$60=N$1),0),$B242-1966)</f>
        <v>25647.79</v>
      </c>
      <c r="O242" s="7" cm="1">
        <f t="array" ref="O242">INDEX(GMWQ!$A$2:$LR$60,MATCH(1,(GMWQ!$LQ$2:$LQ$60=O$3)*(GMWQ!$LP$2:$LP$60=O$4)*(GMWQ!$LR$2:$LR$60=O$1),0),$B242-1966)</f>
        <v>16067.74</v>
      </c>
      <c r="P242" s="7" cm="1">
        <f t="array" ref="P242">INDEX(GMWQ!$A$2:$LR$60,MATCH(1,(GMWQ!$LQ$2:$LQ$60=P$3)*(GMWQ!$LP$2:$LP$60=P$4)*(GMWQ!$LR$2:$LR$60=P$1),0),$B242-1966)</f>
        <v>594339.69999999995</v>
      </c>
      <c r="Q242" s="7" cm="1">
        <f t="array" ref="Q242">INDEX(GMWQ!$A$2:$LR$60,MATCH(1,(GMWQ!$LQ$2:$LQ$60=Q$3)*(GMWQ!$LP$2:$LP$60=Q$4)*(GMWQ!$LR$2:$LR$60=Q$1),0),$B242-1966)</f>
        <v>3.4999989999999999</v>
      </c>
      <c r="R242" s="7" cm="1">
        <f t="array" ref="R242">INDEX(GMWQ!$A$2:$LR$60,MATCH(1,(GMWQ!$LQ$2:$LQ$60=R$3)*(GMWQ!$LP$2:$LP$60=R$4)*(GMWQ!$LR$2:$LR$60=R$1),0),$B242-1966)</f>
        <v>253966</v>
      </c>
      <c r="S242" s="7" cm="1">
        <f t="array" ref="S242">INDEX(GMWQ!$A$2:$LR$60,MATCH(1,(GMWQ!$LQ$2:$LQ$60=S$3)*(GMWQ!$LP$2:$LP$60=S$4)*(GMWQ!$LR$2:$LR$60=S$1),0),$B242-1966)</f>
        <v>378.8578</v>
      </c>
      <c r="T242" s="7" cm="1">
        <f t="array" ref="T242">INDEX(GMWQ!$A$2:$LR$60,MATCH(1,(GMWQ!$LQ$2:$LQ$60=T$3)*(GMWQ!$LP$2:$LP$60=T$4)*(GMWQ!$LR$2:$LR$60=T$1),0),$B242-1966)</f>
        <v>113577.9</v>
      </c>
      <c r="U242" s="7" cm="1">
        <f t="array" ref="U242">INDEX(GMWQ!$A$2:$LR$60,MATCH(1,(GMWQ!$LQ$2:$LQ$60=U$3)*(GMWQ!$LP$2:$LP$60=U$4)*(GMWQ!$LR$2:$LR$60=U$1),0),$B242-1966)</f>
        <v>26360.29</v>
      </c>
      <c r="V242" s="7" cm="1">
        <f t="array" ref="V242">INDEX(GMWQ!$A$2:$LR$60,MATCH(1,(GMWQ!$LQ$2:$LQ$60=V$3)*(GMWQ!$LP$2:$LP$60=V$4)*(GMWQ!$LR$2:$LR$60=V$1),0),$B242-1966)</f>
        <v>1.372058E-3</v>
      </c>
      <c r="W242" s="7" cm="1">
        <f t="array" ref="W242">INDEX(GMWQ!$A$2:$LR$60,MATCH(1,(GMWQ!$LQ$2:$LQ$60=W$3)*(GMWQ!$LP$2:$LP$60=W$4)*(GMWQ!$LR$2:$LR$60=W$1),0),$B242-1966)</f>
        <v>9.0687770000000008</v>
      </c>
      <c r="X242" s="7" cm="1">
        <f t="array" ref="X242">INDEX(GMWQ!$A$2:$LR$60,MATCH(1,(GMWQ!$LQ$2:$LQ$60=X$3)*(GMWQ!$LP$2:$LP$60=X$4)*(GMWQ!$LR$2:$LR$60=X$1),0),$B242-1966)</f>
        <v>7463190</v>
      </c>
      <c r="Y242" s="7" cm="1">
        <f t="array" ref="Y242">INDEX(GMWQ!$A$2:$LR$60,MATCH(1,(GMWQ!$LQ$2:$LQ$60=Y$3)*(GMWQ!$LP$2:$LP$60=Y$4)*(GMWQ!$LR$2:$LR$60=Y$1),0),$B242-1966)</f>
        <v>140.8732</v>
      </c>
      <c r="Z242" s="7" cm="1">
        <f t="array" ref="Z242">INDEX(GMWQ!$A$2:$LR$60,MATCH(1,(GMWQ!$LQ$2:$LQ$60=Z$3)*(GMWQ!$LP$2:$LP$60=Z$4)*(GMWQ!$LR$2:$LR$60=Z$1),0),$B242-1966)</f>
        <v>645672.69999999995</v>
      </c>
      <c r="AA242" s="7" cm="1">
        <f t="array" ref="AA242">INDEX(GMWQ!$A$2:$LR$60,MATCH(1,(GMWQ!$LQ$2:$LQ$60=AA$3)*(GMWQ!$LP$2:$LP$60=AA$4)*(GMWQ!$LR$2:$LR$60=AA$1),0),$B242-1966)</f>
        <v>360380.5</v>
      </c>
      <c r="AB242" s="7" cm="1">
        <f t="array" ref="AB242">INDEX(GMWQ!$A$2:$LR$60,MATCH(1,(GMWQ!$LQ$2:$LQ$60=AB$3)*(GMWQ!$LP$2:$LP$60=AB$4)*(GMWQ!$LR$2:$LR$60=AB$1),0),$B242-1966)</f>
        <v>350319</v>
      </c>
      <c r="AC242" s="7" cm="1">
        <f t="array" ref="AC242">INDEX(GMWQ!$A$2:$LR$60,MATCH(1,(GMWQ!$LQ$2:$LQ$60=AC$3)*(GMWQ!$LP$2:$LP$60=AC$4)*(GMWQ!$LR$2:$LR$60=AC$1),0),$B242-1966)</f>
        <v>13968.37</v>
      </c>
      <c r="AD242" s="7" cm="1">
        <f t="array" ref="AD242">INDEX(GMWQ!$A$2:$LR$60,MATCH(1,(GMWQ!$LQ$2:$LQ$60=AD$3)*(GMWQ!$LP$2:$LP$60=AD$4)*(GMWQ!$LR$2:$LR$60=AD$1),0),$B242-1966)</f>
        <v>19868.12</v>
      </c>
      <c r="AE242" s="7" cm="1">
        <f t="array" ref="AE242">INDEX(GMWQ!$A$2:$LR$60,MATCH(1,(GMWQ!$LQ$2:$LQ$60=AE$3)*(GMWQ!$LP$2:$LP$60=AE$4)*(GMWQ!$LR$2:$LR$60=AE$1),0),$B242-1966)</f>
        <v>909188.6</v>
      </c>
      <c r="AF242" s="20" cm="1">
        <f t="array" ref="AF242">INDEX(GMWQ!$A$2:$LR$60,MATCH(1,(GMWQ!$LQ$2:$LQ$60=AF$3)*(GMWQ!$LP$2:$LP$60=AF$4)*(GMWQ!$LR$2:$LR$60=AF$1),0),$B242-1966)</f>
        <v>2</v>
      </c>
      <c r="AG242" s="20" cm="1">
        <f t="array" ref="AG242">INDEX(GMWQ!$A$2:$LR$60,MATCH(1,(GMWQ!$LQ$2:$LQ$60=AG$3)*(GMWQ!$LP$2:$LP$60=AG$4)*(GMWQ!$LR$2:$LR$60=AG$1),0),$B242-1966)</f>
        <v>-9580.0480000000007</v>
      </c>
      <c r="AI242" s="23" cm="1">
        <f t="array" ref="AI242">INDEX(GMWQ!$A$2:$LR$60,MATCH(1,(GMWQ!$LQ$2:$LQ$60=AI$3)*(GMWQ!$LP$2:$LP$60=AI$4)*(GMWQ!$LR$2:$LR$60=AI$1),0),$B242-1966)</f>
        <v>594339.69999999995</v>
      </c>
      <c r="AJ242" s="23" cm="1">
        <f t="array" ref="AJ242">INDEX(GMWQ!$A$2:$LR$60,MATCH(1,(GMWQ!$LQ$2:$LQ$60=AJ$3)*(GMWQ!$LP$2:$LP$60=AJ$4)*(GMWQ!$LR$2:$LR$60=AJ$1),0),$B242-1966)</f>
        <v>141.4083</v>
      </c>
      <c r="AK242" s="23" cm="1">
        <f t="array" ref="AK242">INDEX(GMWQ!$A$2:$LR$60,MATCH(1,(GMWQ!$LQ$2:$LQ$60=AK$3)*(GMWQ!$LP$2:$LP$60=AK$4)*(GMWQ!$LR$2:$LR$60=AK$1),0),$B242-1966)</f>
        <v>373473.4</v>
      </c>
      <c r="AL242" s="23" cm="1">
        <f t="array" ref="AL242">INDEX(GMWQ!$A$2:$LR$60,MATCH(1,(GMWQ!$LQ$2:$LQ$60=AL$3)*(GMWQ!$LP$2:$LP$60=AL$4)*(GMWQ!$LR$2:$LR$60=AL$1),0),$B242-1966)</f>
        <v>12181.17</v>
      </c>
      <c r="AM242" s="23" cm="1">
        <f t="array" ref="AM242">INDEX(GMWQ!$A$2:$LR$60,MATCH(1,(GMWQ!$LQ$2:$LQ$60=AM$3)*(GMWQ!$LP$2:$LP$60=AM$4)*(GMWQ!$LR$2:$LR$60=AM$1),0),$B242-1966)</f>
        <v>30659.89</v>
      </c>
      <c r="AN242" s="23" cm="1">
        <f t="array" ref="AN242">INDEX(GMWQ!$A$2:$LR$60,MATCH(1,(GMWQ!$LQ$2:$LQ$60=AN$3)*(GMWQ!$LP$2:$LP$60=AN$4)*(GMWQ!$LR$2:$LR$60=AN$1),0),$B242-1966)</f>
        <v>109746.4</v>
      </c>
      <c r="AO242" s="23" cm="1">
        <f t="array" ref="AO242">INDEX(GMWQ!$A$2:$LR$60,MATCH(1,(GMWQ!$LQ$2:$LQ$60=AO$3)*(GMWQ!$LP$2:$LP$60=AO$4)*(GMWQ!$LR$2:$LR$60=AO$1),0),$B242-1966)</f>
        <v>25116.09</v>
      </c>
      <c r="AP242" s="23" cm="1">
        <f t="array" ref="AP242">INDEX(GMWQ!$A$2:$LR$60,MATCH(1,(GMWQ!$LQ$2:$LQ$60=AP$3)*(GMWQ!$LP$2:$LP$60=AP$4)*(GMWQ!$LR$2:$LR$60=AP$1),0),$B242-1966)</f>
        <v>-9580.0480000000007</v>
      </c>
      <c r="AQ242" s="23" cm="1">
        <f t="array" ref="AQ242">INDEX(GMWQ!$A$2:$LR$60,MATCH(1,(GMWQ!$LQ$2:$LQ$60=AQ$3)*(GMWQ!$LP$2:$LP$60=AQ$4)*(GMWQ!$LR$2:$LR$60=AQ$1),0),$B242-1966)</f>
        <v>127592.6</v>
      </c>
      <c r="AR242" s="23" cm="1">
        <f t="array" ref="AR242">INDEX(GMWQ!$A$2:$LR$60,MATCH(1,(GMWQ!$LQ$2:$LQ$60=AR$3)*(GMWQ!$LP$2:$LP$60=AR$4)*(GMWQ!$LR$2:$LR$60=AR$1),0),$B242-1966)</f>
        <v>548977.4</v>
      </c>
      <c r="AS242" s="23" cm="1">
        <f t="array" ref="AS242">INDEX(GMWQ!$A$2:$LR$60,MATCH(1,(GMWQ!$LQ$2:$LQ$60=AS$3)*(GMWQ!$LP$2:$LP$60=AS$4)*(GMWQ!$LR$2:$LR$60=AS$1),0),$B242-1966)</f>
        <v>18498.310000000001</v>
      </c>
      <c r="AT242" s="23" cm="1">
        <f t="array" ref="AT242">INDEX(GMWQ!$A$2:$LR$60,MATCH(1,(GMWQ!$LQ$2:$LQ$60=AT$3)*(GMWQ!$LP$2:$LP$60=AT$4)*(GMWQ!$LR$2:$LR$60=AT$1),0),$B242-1966)</f>
        <v>388221.5</v>
      </c>
      <c r="AU242" s="23" cm="1">
        <f t="array" ref="AU242">INDEX(GMWQ!$A$2:$LR$60,MATCH(1,(GMWQ!$LQ$2:$LQ$60=AU$3)*(GMWQ!$LP$2:$LP$60=AU$4)*(GMWQ!$LR$2:$LR$60=AU$1),0),$B242-1966)</f>
        <v>13815.6</v>
      </c>
    </row>
    <row r="243" spans="1:47" x14ac:dyDescent="0.35">
      <c r="A243" s="7">
        <v>2032</v>
      </c>
      <c r="B243" s="7">
        <f t="shared" si="5"/>
        <v>2209</v>
      </c>
      <c r="C243" s="7" cm="1">
        <f t="array" ref="C243">INDEX(GMWQ!$A$2:$LR$60,MATCH(1,(GMWQ!$LQ$2:$LQ$60=C$3)*(GMWQ!$LP$2:$LP$60=C$4)*(GMWQ!$LR$2:$LR$60=C$1),0),$B243-1966)</f>
        <v>647847.69999999995</v>
      </c>
      <c r="D243" s="7" cm="1">
        <f t="array" ref="D243">INDEX(GMWQ!$A$2:$LR$60,MATCH(1,(GMWQ!$LQ$2:$LQ$60=D$3)*(GMWQ!$LP$2:$LP$60=D$4)*(GMWQ!$LR$2:$LR$60=D$1),0),$B243-1966)</f>
        <v>843.5607</v>
      </c>
      <c r="E243" s="7" cm="1">
        <f t="array" ref="E243">INDEX(GMWQ!$A$2:$LR$60,MATCH(1,(GMWQ!$LQ$2:$LQ$60=E$3)*(GMWQ!$LP$2:$LP$60=E$4)*(GMWQ!$LR$2:$LR$60=E$1),0),$B243-1966)</f>
        <v>155.32149999999999</v>
      </c>
      <c r="F243" s="7" cm="1">
        <f t="array" ref="F243">INDEX(GMWQ!$A$2:$LR$60,MATCH(1,(GMWQ!$LQ$2:$LQ$60=F$3)*(GMWQ!$LP$2:$LP$60=F$4)*(GMWQ!$LR$2:$LR$60=F$1),0),$B243-1966)</f>
        <v>376745.1</v>
      </c>
      <c r="G243" s="7" cm="1">
        <f t="array" ref="G243">INDEX(GMWQ!$A$2:$LR$60,MATCH(1,(GMWQ!$LQ$2:$LQ$60=G$3)*(GMWQ!$LP$2:$LP$60=G$4)*(GMWQ!$LR$2:$LR$60=G$1),0),$B243-1966)</f>
        <v>110943.2</v>
      </c>
      <c r="H243" s="7" cm="1">
        <f t="array" ref="H243">INDEX(GMWQ!$A$2:$LR$60,MATCH(1,(GMWQ!$LQ$2:$LQ$60=H$3)*(GMWQ!$LP$2:$LP$60=H$4)*(GMWQ!$LR$2:$LR$60=H$1),0),$B243-1966)</f>
        <v>25336.11</v>
      </c>
      <c r="I243" s="7" cm="1">
        <f t="array" ref="I243">INDEX(GMWQ!$A$2:$LR$60,MATCH(1,(GMWQ!$LQ$2:$LQ$60=I$3)*(GMWQ!$LP$2:$LP$60=I$4)*(GMWQ!$LR$2:$LR$60=I$1),0),$B243-1966)</f>
        <v>142.11000000000001</v>
      </c>
      <c r="J243" s="7" cm="1">
        <f t="array" ref="J243">INDEX(GMWQ!$A$2:$LR$60,MATCH(1,(GMWQ!$LQ$2:$LQ$60=J$3)*(GMWQ!$LP$2:$LP$60=J$4)*(GMWQ!$LR$2:$LR$60=J$1),0),$B243-1966)</f>
        <v>30712.2</v>
      </c>
      <c r="K243" s="7" cm="1">
        <f t="array" ref="K243">INDEX(GMWQ!$A$2:$LR$60,MATCH(1,(GMWQ!$LQ$2:$LQ$60=K$3)*(GMWQ!$LP$2:$LP$60=K$4)*(GMWQ!$LR$2:$LR$60=K$1),0),$B243-1966)</f>
        <v>2</v>
      </c>
      <c r="L243" s="7" cm="1">
        <f t="array" ref="L243">INDEX(GMWQ!$A$2:$LR$60,MATCH(1,(GMWQ!$LQ$2:$LQ$60=L$3)*(GMWQ!$LP$2:$LP$60=L$4)*(GMWQ!$LR$2:$LR$60=L$1),0),$B243-1966)</f>
        <v>3.7501030000000002</v>
      </c>
      <c r="M243" s="7" cm="1">
        <f t="array" ref="M243">INDEX(GMWQ!$A$2:$LR$60,MATCH(1,(GMWQ!$LQ$2:$LQ$60=M$3)*(GMWQ!$LP$2:$LP$60=M$4)*(GMWQ!$LR$2:$LR$60=M$1),0),$B243-1966)</f>
        <v>184.8</v>
      </c>
      <c r="N243" s="7" cm="1">
        <f t="array" ref="N243">INDEX(GMWQ!$A$2:$LR$60,MATCH(1,(GMWQ!$LQ$2:$LQ$60=N$3)*(GMWQ!$LP$2:$LP$60=N$4)*(GMWQ!$LR$2:$LR$60=N$1),0),$B243-1966)</f>
        <v>25982.75</v>
      </c>
      <c r="O243" s="7" cm="1">
        <f t="array" ref="O243">INDEX(GMWQ!$A$2:$LR$60,MATCH(1,(GMWQ!$LQ$2:$LQ$60=O$3)*(GMWQ!$LP$2:$LP$60=O$4)*(GMWQ!$LR$2:$LR$60=O$1),0),$B243-1966)</f>
        <v>16250.57</v>
      </c>
      <c r="P243" s="7" cm="1">
        <f t="array" ref="P243">INDEX(GMWQ!$A$2:$LR$60,MATCH(1,(GMWQ!$LQ$2:$LQ$60=P$3)*(GMWQ!$LP$2:$LP$60=P$4)*(GMWQ!$LR$2:$LR$60=P$1),0),$B243-1966)</f>
        <v>599970.19999999995</v>
      </c>
      <c r="Q243" s="7" cm="1">
        <f t="array" ref="Q243">INDEX(GMWQ!$A$2:$LR$60,MATCH(1,(GMWQ!$LQ$2:$LQ$60=Q$3)*(GMWQ!$LP$2:$LP$60=Q$4)*(GMWQ!$LR$2:$LR$60=Q$1),0),$B243-1966)</f>
        <v>3.4999980000000002</v>
      </c>
      <c r="R243" s="7" cm="1">
        <f t="array" ref="R243">INDEX(GMWQ!$A$2:$LR$60,MATCH(1,(GMWQ!$LQ$2:$LQ$60=R$3)*(GMWQ!$LP$2:$LP$60=R$4)*(GMWQ!$LR$2:$LR$60=R$1),0),$B243-1966)</f>
        <v>254759</v>
      </c>
      <c r="S243" s="7" cm="1">
        <f t="array" ref="S243">INDEX(GMWQ!$A$2:$LR$60,MATCH(1,(GMWQ!$LQ$2:$LQ$60=S$3)*(GMWQ!$LP$2:$LP$60=S$4)*(GMWQ!$LR$2:$LR$60=S$1),0),$B243-1966)</f>
        <v>380.04079999999999</v>
      </c>
      <c r="T243" s="7" cm="1">
        <f t="array" ref="T243">INDEX(GMWQ!$A$2:$LR$60,MATCH(1,(GMWQ!$LQ$2:$LQ$60=T$3)*(GMWQ!$LP$2:$LP$60=T$4)*(GMWQ!$LR$2:$LR$60=T$1),0),$B243-1966)</f>
        <v>114559.7</v>
      </c>
      <c r="U243" s="7" cm="1">
        <f t="array" ref="U243">INDEX(GMWQ!$A$2:$LR$60,MATCH(1,(GMWQ!$LQ$2:$LQ$60=U$3)*(GMWQ!$LP$2:$LP$60=U$4)*(GMWQ!$LR$2:$LR$60=U$1),0),$B243-1966)</f>
        <v>26313.93</v>
      </c>
      <c r="V243" s="7" cm="1">
        <f t="array" ref="V243">INDEX(GMWQ!$A$2:$LR$60,MATCH(1,(GMWQ!$LQ$2:$LQ$60=V$3)*(GMWQ!$LP$2:$LP$60=V$4)*(GMWQ!$LR$2:$LR$60=V$1),0),$B243-1966)</f>
        <v>1.3711249999999999E-3</v>
      </c>
      <c r="W243" s="7" cm="1">
        <f t="array" ref="W243">INDEX(GMWQ!$A$2:$LR$60,MATCH(1,(GMWQ!$LQ$2:$LQ$60=W$3)*(GMWQ!$LP$2:$LP$60=W$4)*(GMWQ!$LR$2:$LR$60=W$1),0),$B243-1966)</f>
        <v>9.0275979999999993</v>
      </c>
      <c r="X243" s="7" cm="1">
        <f t="array" ref="X243">INDEX(GMWQ!$A$2:$LR$60,MATCH(1,(GMWQ!$LQ$2:$LQ$60=X$3)*(GMWQ!$LP$2:$LP$60=X$4)*(GMWQ!$LR$2:$LR$60=X$1),0),$B243-1966)</f>
        <v>7570980</v>
      </c>
      <c r="Y243" s="7" cm="1">
        <f t="array" ref="Y243">INDEX(GMWQ!$A$2:$LR$60,MATCH(1,(GMWQ!$LQ$2:$LQ$60=Y$3)*(GMWQ!$LP$2:$LP$60=Y$4)*(GMWQ!$LR$2:$LR$60=Y$1),0),$B243-1966)</f>
        <v>141.63390000000001</v>
      </c>
      <c r="Z243" s="7" cm="1">
        <f t="array" ref="Z243">INDEX(GMWQ!$A$2:$LR$60,MATCH(1,(GMWQ!$LQ$2:$LQ$60=Z$3)*(GMWQ!$LP$2:$LP$60=Z$4)*(GMWQ!$LR$2:$LR$60=Z$1),0),$B243-1966)</f>
        <v>648063.1</v>
      </c>
      <c r="AA243" s="7" cm="1">
        <f t="array" ref="AA243">INDEX(GMWQ!$A$2:$LR$60,MATCH(1,(GMWQ!$LQ$2:$LQ$60=AA$3)*(GMWQ!$LP$2:$LP$60=AA$4)*(GMWQ!$LR$2:$LR$60=AA$1),0),$B243-1966)</f>
        <v>417549.3</v>
      </c>
      <c r="AB243" s="7" cm="1">
        <f t="array" ref="AB243">INDEX(GMWQ!$A$2:$LR$60,MATCH(1,(GMWQ!$LQ$2:$LQ$60=AB$3)*(GMWQ!$LP$2:$LP$60=AB$4)*(GMWQ!$LR$2:$LR$60=AB$1),0),$B243-1966)</f>
        <v>349319.7</v>
      </c>
      <c r="AC243" s="7" cm="1">
        <f t="array" ref="AC243">INDEX(GMWQ!$A$2:$LR$60,MATCH(1,(GMWQ!$LQ$2:$LQ$60=AC$3)*(GMWQ!$LP$2:$LP$60=AC$4)*(GMWQ!$LR$2:$LR$60=AC$1),0),$B243-1966)</f>
        <v>24793.63</v>
      </c>
      <c r="AD243" s="7" cm="1">
        <f t="array" ref="AD243">INDEX(GMWQ!$A$2:$LR$60,MATCH(1,(GMWQ!$LQ$2:$LQ$60=AD$3)*(GMWQ!$LP$2:$LP$60=AD$4)*(GMWQ!$LR$2:$LR$60=AD$1),0),$B243-1966)</f>
        <v>19868.12</v>
      </c>
      <c r="AE243" s="7" cm="1">
        <f t="array" ref="AE243">INDEX(GMWQ!$A$2:$LR$60,MATCH(1,(GMWQ!$LQ$2:$LQ$60=AE$3)*(GMWQ!$LP$2:$LP$60=AE$4)*(GMWQ!$LR$2:$LR$60=AE$1),0),$B243-1966)</f>
        <v>917572.1</v>
      </c>
      <c r="AF243" s="20" cm="1">
        <f t="array" ref="AF243">INDEX(GMWQ!$A$2:$LR$60,MATCH(1,(GMWQ!$LQ$2:$LQ$60=AF$3)*(GMWQ!$LP$2:$LP$60=AF$4)*(GMWQ!$LR$2:$LR$60=AF$1),0),$B243-1966)</f>
        <v>2</v>
      </c>
      <c r="AG243" s="20" cm="1">
        <f t="array" ref="AG243">INDEX(GMWQ!$A$2:$LR$60,MATCH(1,(GMWQ!$LQ$2:$LQ$60=AG$3)*(GMWQ!$LP$2:$LP$60=AG$4)*(GMWQ!$LR$2:$LR$60=AG$1),0),$B243-1966)</f>
        <v>-9732.1830000000009</v>
      </c>
      <c r="AI243" s="23" cm="1">
        <f t="array" ref="AI243">INDEX(GMWQ!$A$2:$LR$60,MATCH(1,(GMWQ!$LQ$2:$LQ$60=AI$3)*(GMWQ!$LP$2:$LP$60=AI$4)*(GMWQ!$LR$2:$LR$60=AI$1),0),$B243-1966)</f>
        <v>599970.19999999995</v>
      </c>
      <c r="AJ243" s="23" cm="1">
        <f t="array" ref="AJ243">INDEX(GMWQ!$A$2:$LR$60,MATCH(1,(GMWQ!$LQ$2:$LQ$60=AJ$3)*(GMWQ!$LP$2:$LP$60=AJ$4)*(GMWQ!$LR$2:$LR$60=AJ$1),0),$B243-1966)</f>
        <v>142.11000000000001</v>
      </c>
      <c r="AK243" s="23" cm="1">
        <f t="array" ref="AK243">INDEX(GMWQ!$A$2:$LR$60,MATCH(1,(GMWQ!$LQ$2:$LQ$60=AK$3)*(GMWQ!$LP$2:$LP$60=AK$4)*(GMWQ!$LR$2:$LR$60=AK$1),0),$B243-1966)</f>
        <v>376745.1</v>
      </c>
      <c r="AL243" s="23" cm="1">
        <f t="array" ref="AL243">INDEX(GMWQ!$A$2:$LR$60,MATCH(1,(GMWQ!$LQ$2:$LQ$60=AL$3)*(GMWQ!$LP$2:$LP$60=AL$4)*(GMWQ!$LR$2:$LR$60=AL$1),0),$B243-1966)</f>
        <v>12266.95</v>
      </c>
      <c r="AM243" s="23" cm="1">
        <f t="array" ref="AM243">INDEX(GMWQ!$A$2:$LR$60,MATCH(1,(GMWQ!$LQ$2:$LQ$60=AM$3)*(GMWQ!$LP$2:$LP$60=AM$4)*(GMWQ!$LR$2:$LR$60=AM$1),0),$B243-1966)</f>
        <v>30712.2</v>
      </c>
      <c r="AN243" s="23" cm="1">
        <f t="array" ref="AN243">INDEX(GMWQ!$A$2:$LR$60,MATCH(1,(GMWQ!$LQ$2:$LQ$60=AN$3)*(GMWQ!$LP$2:$LP$60=AN$4)*(GMWQ!$LR$2:$LR$60=AN$1),0),$B243-1966)</f>
        <v>110943.2</v>
      </c>
      <c r="AO243" s="23" cm="1">
        <f t="array" ref="AO243">INDEX(GMWQ!$A$2:$LR$60,MATCH(1,(GMWQ!$LQ$2:$LQ$60=AO$3)*(GMWQ!$LP$2:$LP$60=AO$4)*(GMWQ!$LR$2:$LR$60=AO$1),0),$B243-1966)</f>
        <v>25336.11</v>
      </c>
      <c r="AP243" s="23" cm="1">
        <f t="array" ref="AP243">INDEX(GMWQ!$A$2:$LR$60,MATCH(1,(GMWQ!$LQ$2:$LQ$60=AP$3)*(GMWQ!$LP$2:$LP$60=AP$4)*(GMWQ!$LR$2:$LR$60=AP$1),0),$B243-1966)</f>
        <v>-9732.1830000000009</v>
      </c>
      <c r="AQ243" s="23" cm="1">
        <f t="array" ref="AQ243">INDEX(GMWQ!$A$2:$LR$60,MATCH(1,(GMWQ!$LQ$2:$LQ$60=AQ$3)*(GMWQ!$LP$2:$LP$60=AQ$4)*(GMWQ!$LR$2:$LR$60=AQ$1),0),$B243-1966)</f>
        <v>128872</v>
      </c>
      <c r="AR243" s="23" cm="1">
        <f t="array" ref="AR243">INDEX(GMWQ!$A$2:$LR$60,MATCH(1,(GMWQ!$LQ$2:$LQ$60=AR$3)*(GMWQ!$LP$2:$LP$60=AR$4)*(GMWQ!$LR$2:$LR$60=AR$1),0),$B243-1966)</f>
        <v>553770.4</v>
      </c>
      <c r="AS243" s="23" cm="1">
        <f t="array" ref="AS243">INDEX(GMWQ!$A$2:$LR$60,MATCH(1,(GMWQ!$LQ$2:$LQ$60=AS$3)*(GMWQ!$LP$2:$LP$60=AS$4)*(GMWQ!$LR$2:$LR$60=AS$1),0),$B243-1966)</f>
        <v>18668.88</v>
      </c>
      <c r="AT243" s="23" cm="1">
        <f t="array" ref="AT243">INDEX(GMWQ!$A$2:$LR$60,MATCH(1,(GMWQ!$LQ$2:$LQ$60=AT$3)*(GMWQ!$LP$2:$LP$60=AT$4)*(GMWQ!$LR$2:$LR$60=AT$1),0),$B243-1966)</f>
        <v>389677.3</v>
      </c>
      <c r="AU243" s="23" cm="1">
        <f t="array" ref="AU243">INDEX(GMWQ!$A$2:$LR$60,MATCH(1,(GMWQ!$LQ$2:$LQ$60=AU$3)*(GMWQ!$LP$2:$LP$60=AU$4)*(GMWQ!$LR$2:$LR$60=AU$1),0),$B243-1966)</f>
        <v>13867.41</v>
      </c>
    </row>
    <row r="244" spans="1:47" x14ac:dyDescent="0.35">
      <c r="B244" s="7">
        <f t="shared" si="5"/>
        <v>2210</v>
      </c>
      <c r="C244" s="7" cm="1">
        <f t="array" ref="C244">INDEX(GMWQ!$A$2:$LR$60,MATCH(1,(GMWQ!$LQ$2:$LQ$60=C$3)*(GMWQ!$LP$2:$LP$60=C$4)*(GMWQ!$LR$2:$LR$60=C$1),0),$B244-1966)</f>
        <v>650309.5</v>
      </c>
      <c r="D244" s="7" cm="1">
        <f t="array" ref="D244">INDEX(GMWQ!$A$2:$LR$60,MATCH(1,(GMWQ!$LQ$2:$LQ$60=D$3)*(GMWQ!$LP$2:$LP$60=D$4)*(GMWQ!$LR$2:$LR$60=D$1),0),$B244-1966)</f>
        <v>849.52189999999996</v>
      </c>
      <c r="E244" s="7" cm="1">
        <f t="array" ref="E244">INDEX(GMWQ!$A$2:$LR$60,MATCH(1,(GMWQ!$LQ$2:$LQ$60=E$3)*(GMWQ!$LP$2:$LP$60=E$4)*(GMWQ!$LR$2:$LR$60=E$1),0),$B244-1966)</f>
        <v>156.74019999999999</v>
      </c>
      <c r="F244" s="7" cm="1">
        <f t="array" ref="F244">INDEX(GMWQ!$A$2:$LR$60,MATCH(1,(GMWQ!$LQ$2:$LQ$60=F$3)*(GMWQ!$LP$2:$LP$60=F$4)*(GMWQ!$LR$2:$LR$60=F$1),0),$B244-1966)</f>
        <v>380054.6</v>
      </c>
      <c r="G244" s="7" cm="1">
        <f t="array" ref="G244">INDEX(GMWQ!$A$2:$LR$60,MATCH(1,(GMWQ!$LQ$2:$LQ$60=G$3)*(GMWQ!$LP$2:$LP$60=G$4)*(GMWQ!$LR$2:$LR$60=G$1),0),$B244-1966)</f>
        <v>111532</v>
      </c>
      <c r="H244" s="7" cm="1">
        <f t="array" ref="H244">INDEX(GMWQ!$A$2:$LR$60,MATCH(1,(GMWQ!$LQ$2:$LQ$60=H$3)*(GMWQ!$LP$2:$LP$60=H$4)*(GMWQ!$LR$2:$LR$60=H$1),0),$B244-1966)</f>
        <v>25558.67</v>
      </c>
      <c r="I244" s="7" cm="1">
        <f t="array" ref="I244">INDEX(GMWQ!$A$2:$LR$60,MATCH(1,(GMWQ!$LQ$2:$LQ$60=I$3)*(GMWQ!$LP$2:$LP$60=I$4)*(GMWQ!$LR$2:$LR$60=I$1),0),$B244-1966)</f>
        <v>142.8151</v>
      </c>
      <c r="J244" s="7" cm="1">
        <f t="array" ref="J244">INDEX(GMWQ!$A$2:$LR$60,MATCH(1,(GMWQ!$LQ$2:$LQ$60=J$3)*(GMWQ!$LP$2:$LP$60=J$4)*(GMWQ!$LR$2:$LR$60=J$1),0),$B244-1966)</f>
        <v>30764.58</v>
      </c>
      <c r="K244" s="7" cm="1">
        <f t="array" ref="K244">INDEX(GMWQ!$A$2:$LR$60,MATCH(1,(GMWQ!$LQ$2:$LQ$60=K$3)*(GMWQ!$LP$2:$LP$60=K$4)*(GMWQ!$LR$2:$LR$60=K$1),0),$B244-1966)</f>
        <v>2</v>
      </c>
      <c r="L244" s="7" cm="1">
        <f t="array" ref="L244">INDEX(GMWQ!$A$2:$LR$60,MATCH(1,(GMWQ!$LQ$2:$LQ$60=L$3)*(GMWQ!$LP$2:$LP$60=L$4)*(GMWQ!$LR$2:$LR$60=L$1),0),$B244-1966)</f>
        <v>3.7501090000000001</v>
      </c>
      <c r="M244" s="7" cm="1">
        <f t="array" ref="M244">INDEX(GMWQ!$A$2:$LR$60,MATCH(1,(GMWQ!$LQ$2:$LQ$60=M$3)*(GMWQ!$LP$2:$LP$60=M$4)*(GMWQ!$LR$2:$LR$60=M$1),0),$B244-1966)</f>
        <v>186.24629999999999</v>
      </c>
      <c r="N244" s="7" cm="1">
        <f t="array" ref="N244">INDEX(GMWQ!$A$2:$LR$60,MATCH(1,(GMWQ!$LQ$2:$LQ$60=N$3)*(GMWQ!$LP$2:$LP$60=N$4)*(GMWQ!$LR$2:$LR$60=N$1),0),$B244-1966)</f>
        <v>26318.11</v>
      </c>
      <c r="O244" s="7" cm="1">
        <f t="array" ref="O244">INDEX(GMWQ!$A$2:$LR$60,MATCH(1,(GMWQ!$LQ$2:$LQ$60=O$3)*(GMWQ!$LP$2:$LP$60=O$4)*(GMWQ!$LR$2:$LR$60=O$1),0),$B244-1966)</f>
        <v>16426.45</v>
      </c>
      <c r="P244" s="7" cm="1">
        <f t="array" ref="P244">INDEX(GMWQ!$A$2:$LR$60,MATCH(1,(GMWQ!$LQ$2:$LQ$60=P$3)*(GMWQ!$LP$2:$LP$60=P$4)*(GMWQ!$LR$2:$LR$60=P$1),0),$B244-1966)</f>
        <v>604909.19999999995</v>
      </c>
      <c r="Q244" s="7" cm="1">
        <f t="array" ref="Q244">INDEX(GMWQ!$A$2:$LR$60,MATCH(1,(GMWQ!$LQ$2:$LQ$60=Q$3)*(GMWQ!$LP$2:$LP$60=Q$4)*(GMWQ!$LR$2:$LR$60=Q$1),0),$B244-1966)</f>
        <v>3.499997</v>
      </c>
      <c r="R244" s="7" cm="1">
        <f t="array" ref="R244">INDEX(GMWQ!$A$2:$LR$60,MATCH(1,(GMWQ!$LQ$2:$LQ$60=R$3)*(GMWQ!$LP$2:$LP$60=R$4)*(GMWQ!$LR$2:$LR$60=R$1),0),$B244-1966)</f>
        <v>255302.39999999999</v>
      </c>
      <c r="S244" s="7" cm="1">
        <f t="array" ref="S244">INDEX(GMWQ!$A$2:$LR$60,MATCH(1,(GMWQ!$LQ$2:$LQ$60=S$3)*(GMWQ!$LP$2:$LP$60=S$4)*(GMWQ!$LR$2:$LR$60=S$1),0),$B244-1966)</f>
        <v>380.85129999999998</v>
      </c>
      <c r="T244" s="7" cm="1">
        <f t="array" ref="T244">INDEX(GMWQ!$A$2:$LR$60,MATCH(1,(GMWQ!$LQ$2:$LQ$60=T$3)*(GMWQ!$LP$2:$LP$60=T$4)*(GMWQ!$LR$2:$LR$60=T$1),0),$B244-1966)</f>
        <v>115470.2</v>
      </c>
      <c r="U244" s="7" cm="1">
        <f t="array" ref="U244">INDEX(GMWQ!$A$2:$LR$60,MATCH(1,(GMWQ!$LQ$2:$LQ$60=U$3)*(GMWQ!$LP$2:$LP$60=U$4)*(GMWQ!$LR$2:$LR$60=U$1),0),$B244-1966)</f>
        <v>26198.09</v>
      </c>
      <c r="V244" s="7" cm="1">
        <f t="array" ref="V244">INDEX(GMWQ!$A$2:$LR$60,MATCH(1,(GMWQ!$LQ$2:$LQ$60=V$3)*(GMWQ!$LP$2:$LP$60=V$4)*(GMWQ!$LR$2:$LR$60=V$1),0),$B244-1966)</f>
        <v>1.3700139999999999E-3</v>
      </c>
      <c r="W244" s="7" cm="1">
        <f t="array" ref="W244">INDEX(GMWQ!$A$2:$LR$60,MATCH(1,(GMWQ!$LQ$2:$LQ$60=W$3)*(GMWQ!$LP$2:$LP$60=W$4)*(GMWQ!$LR$2:$LR$60=W$1),0),$B244-1966)</f>
        <v>9.0983450000000001</v>
      </c>
      <c r="X244" s="7" cm="1">
        <f t="array" ref="X244">INDEX(GMWQ!$A$2:$LR$60,MATCH(1,(GMWQ!$LQ$2:$LQ$60=X$3)*(GMWQ!$LP$2:$LP$60=X$4)*(GMWQ!$LR$2:$LR$60=X$1),0),$B244-1966)</f>
        <v>7661899</v>
      </c>
      <c r="Y244" s="7" cm="1">
        <f t="array" ref="Y244">INDEX(GMWQ!$A$2:$LR$60,MATCH(1,(GMWQ!$LQ$2:$LQ$60=Y$3)*(GMWQ!$LP$2:$LP$60=Y$4)*(GMWQ!$LR$2:$LR$60=Y$1),0),$B244-1966)</f>
        <v>142.39869999999999</v>
      </c>
      <c r="Z244" s="7" cm="1">
        <f t="array" ref="Z244">INDEX(GMWQ!$A$2:$LR$60,MATCH(1,(GMWQ!$LQ$2:$LQ$60=Z$3)*(GMWQ!$LP$2:$LP$60=Z$4)*(GMWQ!$LR$2:$LR$60=Z$1),0),$B244-1966)</f>
        <v>650466.19999999995</v>
      </c>
      <c r="AA244" s="7" cm="1">
        <f t="array" ref="AA244">INDEX(GMWQ!$A$2:$LR$60,MATCH(1,(GMWQ!$LQ$2:$LQ$60=AA$3)*(GMWQ!$LP$2:$LP$60=AA$4)*(GMWQ!$LR$2:$LR$60=AA$1),0),$B244-1966)</f>
        <v>371399.5</v>
      </c>
      <c r="AB244" s="7" cm="1">
        <f t="array" ref="AB244">INDEX(GMWQ!$A$2:$LR$60,MATCH(1,(GMWQ!$LQ$2:$LQ$60=AB$3)*(GMWQ!$LP$2:$LP$60=AB$4)*(GMWQ!$LR$2:$LR$60=AB$1),0),$B244-1966)</f>
        <v>357368.9</v>
      </c>
      <c r="AC244" s="7" cm="1">
        <f t="array" ref="AC244">INDEX(GMWQ!$A$2:$LR$60,MATCH(1,(GMWQ!$LQ$2:$LQ$60=AC$3)*(GMWQ!$LP$2:$LP$60=AC$4)*(GMWQ!$LR$2:$LR$60=AC$1),0),$B244-1966)</f>
        <v>11927</v>
      </c>
      <c r="AD244" s="7" cm="1">
        <f t="array" ref="AD244">INDEX(GMWQ!$A$2:$LR$60,MATCH(1,(GMWQ!$LQ$2:$LQ$60=AD$3)*(GMWQ!$LP$2:$LP$60=AD$4)*(GMWQ!$LR$2:$LR$60=AD$1),0),$B244-1966)</f>
        <v>20610.68</v>
      </c>
      <c r="AE244" s="7" cm="1">
        <f t="array" ref="AE244">INDEX(GMWQ!$A$2:$LR$60,MATCH(1,(GMWQ!$LQ$2:$LQ$60=AE$3)*(GMWQ!$LP$2:$LP$60=AE$4)*(GMWQ!$LR$2:$LR$60=AE$1),0),$B244-1966)</f>
        <v>926032.3</v>
      </c>
      <c r="AF244" s="20" cm="1">
        <f t="array" ref="AF244">INDEX(GMWQ!$A$2:$LR$60,MATCH(1,(GMWQ!$LQ$2:$LQ$60=AF$3)*(GMWQ!$LP$2:$LP$60=AF$4)*(GMWQ!$LR$2:$LR$60=AF$1),0),$B244-1966)</f>
        <v>2</v>
      </c>
      <c r="AG244" s="20" cm="1">
        <f t="array" ref="AG244">INDEX(GMWQ!$A$2:$LR$60,MATCH(1,(GMWQ!$LQ$2:$LQ$60=AG$3)*(GMWQ!$LP$2:$LP$60=AG$4)*(GMWQ!$LR$2:$LR$60=AG$1),0),$B244-1966)</f>
        <v>-9891.6550000000007</v>
      </c>
      <c r="AI244" s="23" cm="1">
        <f t="array" ref="AI244">INDEX(GMWQ!$A$2:$LR$60,MATCH(1,(GMWQ!$LQ$2:$LQ$60=AI$3)*(GMWQ!$LP$2:$LP$60=AI$4)*(GMWQ!$LR$2:$LR$60=AI$1),0),$B244-1966)</f>
        <v>604909.19999999995</v>
      </c>
      <c r="AJ244" s="23" cm="1">
        <f t="array" ref="AJ244">INDEX(GMWQ!$A$2:$LR$60,MATCH(1,(GMWQ!$LQ$2:$LQ$60=AJ$3)*(GMWQ!$LP$2:$LP$60=AJ$4)*(GMWQ!$LR$2:$LR$60=AJ$1),0),$B244-1966)</f>
        <v>142.8151</v>
      </c>
      <c r="AK244" s="23" cm="1">
        <f t="array" ref="AK244">INDEX(GMWQ!$A$2:$LR$60,MATCH(1,(GMWQ!$LQ$2:$LQ$60=AK$3)*(GMWQ!$LP$2:$LP$60=AK$4)*(GMWQ!$LR$2:$LR$60=AK$1),0),$B244-1966)</f>
        <v>380054.6</v>
      </c>
      <c r="AL244" s="23" cm="1">
        <f t="array" ref="AL244">INDEX(GMWQ!$A$2:$LR$60,MATCH(1,(GMWQ!$LQ$2:$LQ$60=AL$3)*(GMWQ!$LP$2:$LP$60=AL$4)*(GMWQ!$LR$2:$LR$60=AL$1),0),$B244-1966)</f>
        <v>12353.64</v>
      </c>
      <c r="AM244" s="23" cm="1">
        <f t="array" ref="AM244">INDEX(GMWQ!$A$2:$LR$60,MATCH(1,(GMWQ!$LQ$2:$LQ$60=AM$3)*(GMWQ!$LP$2:$LP$60=AM$4)*(GMWQ!$LR$2:$LR$60=AM$1),0),$B244-1966)</f>
        <v>30764.58</v>
      </c>
      <c r="AN244" s="23" cm="1">
        <f t="array" ref="AN244">INDEX(GMWQ!$A$2:$LR$60,MATCH(1,(GMWQ!$LQ$2:$LQ$60=AN$3)*(GMWQ!$LP$2:$LP$60=AN$4)*(GMWQ!$LR$2:$LR$60=AN$1),0),$B244-1966)</f>
        <v>111532</v>
      </c>
      <c r="AO244" s="23" cm="1">
        <f t="array" ref="AO244">INDEX(GMWQ!$A$2:$LR$60,MATCH(1,(GMWQ!$LQ$2:$LQ$60=AO$3)*(GMWQ!$LP$2:$LP$60=AO$4)*(GMWQ!$LR$2:$LR$60=AO$1),0),$B244-1966)</f>
        <v>25558.67</v>
      </c>
      <c r="AP244" s="23" cm="1">
        <f t="array" ref="AP244">INDEX(GMWQ!$A$2:$LR$60,MATCH(1,(GMWQ!$LQ$2:$LQ$60=AP$3)*(GMWQ!$LP$2:$LP$60=AP$4)*(GMWQ!$LR$2:$LR$60=AP$1),0),$B244-1966)</f>
        <v>-9891.6550000000007</v>
      </c>
      <c r="AQ244" s="23" cm="1">
        <f t="array" ref="AQ244">INDEX(GMWQ!$A$2:$LR$60,MATCH(1,(GMWQ!$LQ$2:$LQ$60=AQ$3)*(GMWQ!$LP$2:$LP$60=AQ$4)*(GMWQ!$LR$2:$LR$60=AQ$1),0),$B244-1966)</f>
        <v>130157.5</v>
      </c>
      <c r="AR244" s="23" cm="1">
        <f t="array" ref="AR244">INDEX(GMWQ!$A$2:$LR$60,MATCH(1,(GMWQ!$LQ$2:$LQ$60=AR$3)*(GMWQ!$LP$2:$LP$60=AR$4)*(GMWQ!$LR$2:$LR$60=AR$1),0),$B244-1966)</f>
        <v>558604.9</v>
      </c>
      <c r="AS244" s="23" cm="1">
        <f t="array" ref="AS244">INDEX(GMWQ!$A$2:$LR$60,MATCH(1,(GMWQ!$LQ$2:$LQ$60=AS$3)*(GMWQ!$LP$2:$LP$60=AS$4)*(GMWQ!$LR$2:$LR$60=AS$1),0),$B244-1966)</f>
        <v>18840.939999999999</v>
      </c>
      <c r="AT244" s="23" cm="1">
        <f t="array" ref="AT244">INDEX(GMWQ!$A$2:$LR$60,MATCH(1,(GMWQ!$LQ$2:$LQ$60=AT$3)*(GMWQ!$LP$2:$LP$60=AT$4)*(GMWQ!$LR$2:$LR$60=AT$1),0),$B244-1966)</f>
        <v>391138.6</v>
      </c>
      <c r="AU244" s="23" cm="1">
        <f t="array" ref="AU244">INDEX(GMWQ!$A$2:$LR$60,MATCH(1,(GMWQ!$LQ$2:$LQ$60=AU$3)*(GMWQ!$LP$2:$LP$60=AU$4)*(GMWQ!$LR$2:$LR$60=AU$1),0),$B244-1966)</f>
        <v>13919.42</v>
      </c>
    </row>
    <row r="245" spans="1:47" x14ac:dyDescent="0.35">
      <c r="B245" s="7">
        <f t="shared" si="5"/>
        <v>2211</v>
      </c>
      <c r="C245" s="7" cm="1">
        <f t="array" ref="C245">INDEX(GMWQ!$A$2:$LR$60,MATCH(1,(GMWQ!$LQ$2:$LQ$60=C$3)*(GMWQ!$LP$2:$LP$60=C$4)*(GMWQ!$LR$2:$LR$60=C$1),0),$B245-1966)</f>
        <v>652715.69999999995</v>
      </c>
      <c r="D245" s="7" cm="1">
        <f t="array" ref="D245">INDEX(GMWQ!$A$2:$LR$60,MATCH(1,(GMWQ!$LQ$2:$LQ$60=D$3)*(GMWQ!$LP$2:$LP$60=D$4)*(GMWQ!$LR$2:$LR$60=D$1),0),$B245-1966)</f>
        <v>855.56769999999995</v>
      </c>
      <c r="E245" s="7" cm="1">
        <f t="array" ref="E245">INDEX(GMWQ!$A$2:$LR$60,MATCH(1,(GMWQ!$LQ$2:$LQ$60=E$3)*(GMWQ!$LP$2:$LP$60=E$4)*(GMWQ!$LR$2:$LR$60=E$1),0),$B245-1966)</f>
        <v>157.59649999999999</v>
      </c>
      <c r="F245" s="7" cm="1">
        <f t="array" ref="F245">INDEX(GMWQ!$A$2:$LR$60,MATCH(1,(GMWQ!$LQ$2:$LQ$60=F$3)*(GMWQ!$LP$2:$LP$60=F$4)*(GMWQ!$LR$2:$LR$60=F$1),0),$B245-1966)</f>
        <v>383335.6</v>
      </c>
      <c r="G245" s="7" cm="1">
        <f t="array" ref="G245">INDEX(GMWQ!$A$2:$LR$60,MATCH(1,(GMWQ!$LQ$2:$LQ$60=G$3)*(GMWQ!$LP$2:$LP$60=G$4)*(GMWQ!$LR$2:$LR$60=G$1),0),$B245-1966)</f>
        <v>112644.1</v>
      </c>
      <c r="H245" s="7" cm="1">
        <f t="array" ref="H245">INDEX(GMWQ!$A$2:$LR$60,MATCH(1,(GMWQ!$LQ$2:$LQ$60=H$3)*(GMWQ!$LP$2:$LP$60=H$4)*(GMWQ!$LR$2:$LR$60=H$1),0),$B245-1966)</f>
        <v>25779.32</v>
      </c>
      <c r="I245" s="7" cm="1">
        <f t="array" ref="I245">INDEX(GMWQ!$A$2:$LR$60,MATCH(1,(GMWQ!$LQ$2:$LQ$60=I$3)*(GMWQ!$LP$2:$LP$60=I$4)*(GMWQ!$LR$2:$LR$60=I$1),0),$B245-1966)</f>
        <v>143.52379999999999</v>
      </c>
      <c r="J245" s="7" cm="1">
        <f t="array" ref="J245">INDEX(GMWQ!$A$2:$LR$60,MATCH(1,(GMWQ!$LQ$2:$LQ$60=J$3)*(GMWQ!$LP$2:$LP$60=J$4)*(GMWQ!$LR$2:$LR$60=J$1),0),$B245-1966)</f>
        <v>30810.9</v>
      </c>
      <c r="K245" s="7" cm="1">
        <f t="array" ref="K245">INDEX(GMWQ!$A$2:$LR$60,MATCH(1,(GMWQ!$LQ$2:$LQ$60=K$3)*(GMWQ!$LP$2:$LP$60=K$4)*(GMWQ!$LR$2:$LR$60=K$1),0),$B245-1966)</f>
        <v>2</v>
      </c>
      <c r="L245" s="7" cm="1">
        <f t="array" ref="L245">INDEX(GMWQ!$A$2:$LR$60,MATCH(1,(GMWQ!$LQ$2:$LQ$60=L$3)*(GMWQ!$LP$2:$LP$60=L$4)*(GMWQ!$LR$2:$LR$60=L$1),0),$B245-1966)</f>
        <v>3.7501099999999998</v>
      </c>
      <c r="M245" s="7" cm="1">
        <f t="array" ref="M245">INDEX(GMWQ!$A$2:$LR$60,MATCH(1,(GMWQ!$LQ$2:$LQ$60=M$3)*(GMWQ!$LP$2:$LP$60=M$4)*(GMWQ!$LR$2:$LR$60=M$1),0),$B245-1966)</f>
        <v>187.7372</v>
      </c>
      <c r="N245" s="7" cm="1">
        <f t="array" ref="N245">INDEX(GMWQ!$A$2:$LR$60,MATCH(1,(GMWQ!$LQ$2:$LQ$60=N$3)*(GMWQ!$LP$2:$LP$60=N$4)*(GMWQ!$LR$2:$LR$60=N$1),0),$B245-1966)</f>
        <v>26653.01</v>
      </c>
      <c r="O245" s="7" cm="1">
        <f t="array" ref="O245">INDEX(GMWQ!$A$2:$LR$60,MATCH(1,(GMWQ!$LQ$2:$LQ$60=O$3)*(GMWQ!$LP$2:$LP$60=O$4)*(GMWQ!$LR$2:$LR$60=O$1),0),$B245-1966)</f>
        <v>16596.27</v>
      </c>
      <c r="P245" s="7" cm="1">
        <f t="array" ref="P245">INDEX(GMWQ!$A$2:$LR$60,MATCH(1,(GMWQ!$LQ$2:$LQ$60=P$3)*(GMWQ!$LP$2:$LP$60=P$4)*(GMWQ!$LR$2:$LR$60=P$1),0),$B245-1966)</f>
        <v>610164.19999999995</v>
      </c>
      <c r="Q245" s="7" cm="1">
        <f t="array" ref="Q245">INDEX(GMWQ!$A$2:$LR$60,MATCH(1,(GMWQ!$LQ$2:$LQ$60=Q$3)*(GMWQ!$LP$2:$LP$60=Q$4)*(GMWQ!$LR$2:$LR$60=Q$1),0),$B245-1966)</f>
        <v>3.4999980000000002</v>
      </c>
      <c r="R245" s="7" cm="1">
        <f t="array" ref="R245">INDEX(GMWQ!$A$2:$LR$60,MATCH(1,(GMWQ!$LQ$2:$LQ$60=R$3)*(GMWQ!$LP$2:$LP$60=R$4)*(GMWQ!$LR$2:$LR$60=R$1),0),$B245-1966)</f>
        <v>255685.6</v>
      </c>
      <c r="S245" s="7" cm="1">
        <f t="array" ref="S245">INDEX(GMWQ!$A$2:$LR$60,MATCH(1,(GMWQ!$LQ$2:$LQ$60=S$3)*(GMWQ!$LP$2:$LP$60=S$4)*(GMWQ!$LR$2:$LR$60=S$1),0),$B245-1966)</f>
        <v>381.42309999999998</v>
      </c>
      <c r="T245" s="7" cm="1">
        <f t="array" ref="T245">INDEX(GMWQ!$A$2:$LR$60,MATCH(1,(GMWQ!$LQ$2:$LQ$60=T$3)*(GMWQ!$LP$2:$LP$60=T$4)*(GMWQ!$LR$2:$LR$60=T$1),0),$B245-1966)</f>
        <v>116323.3</v>
      </c>
      <c r="U245" s="7" cm="1">
        <f t="array" ref="U245">INDEX(GMWQ!$A$2:$LR$60,MATCH(1,(GMWQ!$LQ$2:$LQ$60=U$3)*(GMWQ!$LP$2:$LP$60=U$4)*(GMWQ!$LR$2:$LR$60=U$1),0),$B245-1966)</f>
        <v>26029.439999999999</v>
      </c>
      <c r="V245" s="7" cm="1">
        <f t="array" ref="V245">INDEX(GMWQ!$A$2:$LR$60,MATCH(1,(GMWQ!$LQ$2:$LQ$60=V$3)*(GMWQ!$LP$2:$LP$60=V$4)*(GMWQ!$LR$2:$LR$60=V$1),0),$B245-1966)</f>
        <v>1.368909E-3</v>
      </c>
      <c r="W245" s="7" cm="1">
        <f t="array" ref="W245">INDEX(GMWQ!$A$2:$LR$60,MATCH(1,(GMWQ!$LQ$2:$LQ$60=W$3)*(GMWQ!$LP$2:$LP$60=W$4)*(GMWQ!$LR$2:$LR$60=W$1),0),$B245-1966)</f>
        <v>9.0946119999999997</v>
      </c>
      <c r="X245" s="7" cm="1">
        <f t="array" ref="X245">INDEX(GMWQ!$A$2:$LR$60,MATCH(1,(GMWQ!$LQ$2:$LQ$60=X$3)*(GMWQ!$LP$2:$LP$60=X$4)*(GMWQ!$LR$2:$LR$60=X$1),0),$B245-1966)</f>
        <v>7741902</v>
      </c>
      <c r="Y245" s="7" cm="1">
        <f t="array" ref="Y245">INDEX(GMWQ!$A$2:$LR$60,MATCH(1,(GMWQ!$LQ$2:$LQ$60=Y$3)*(GMWQ!$LP$2:$LP$60=Y$4)*(GMWQ!$LR$2:$LR$60=Y$1),0),$B245-1966)</f>
        <v>143.1677</v>
      </c>
      <c r="Z245" s="7" cm="1">
        <f t="array" ref="Z245">INDEX(GMWQ!$A$2:$LR$60,MATCH(1,(GMWQ!$LQ$2:$LQ$60=Z$3)*(GMWQ!$LP$2:$LP$60=Z$4)*(GMWQ!$LR$2:$LR$60=Z$1),0),$B245-1966)</f>
        <v>652827.80000000005</v>
      </c>
      <c r="AA245" s="7" cm="1">
        <f t="array" ref="AA245">INDEX(GMWQ!$A$2:$LR$60,MATCH(1,(GMWQ!$LQ$2:$LQ$60=AA$3)*(GMWQ!$LP$2:$LP$60=AA$4)*(GMWQ!$LR$2:$LR$60=AA$1),0),$B245-1966)</f>
        <v>388594.1</v>
      </c>
      <c r="AB245" s="7" cm="1">
        <f t="array" ref="AB245">INDEX(GMWQ!$A$2:$LR$60,MATCH(1,(GMWQ!$LQ$2:$LQ$60=AB$3)*(GMWQ!$LP$2:$LP$60=AB$4)*(GMWQ!$LR$2:$LR$60=AB$1),0),$B245-1966)</f>
        <v>360475.3</v>
      </c>
      <c r="AC245" s="7" cm="1">
        <f t="array" ref="AC245">INDEX(GMWQ!$A$2:$LR$60,MATCH(1,(GMWQ!$LQ$2:$LQ$60=AC$3)*(GMWQ!$LP$2:$LP$60=AC$4)*(GMWQ!$LR$2:$LR$60=AC$1),0),$B245-1966)</f>
        <v>13578.89</v>
      </c>
      <c r="AD245" s="7" cm="1">
        <f t="array" ref="AD245">INDEX(GMWQ!$A$2:$LR$60,MATCH(1,(GMWQ!$LQ$2:$LQ$60=AD$3)*(GMWQ!$LP$2:$LP$60=AD$4)*(GMWQ!$LR$2:$LR$60=AD$1),0),$B245-1966)</f>
        <v>20610.68</v>
      </c>
      <c r="AE245" s="7" cm="1">
        <f t="array" ref="AE245">INDEX(GMWQ!$A$2:$LR$60,MATCH(1,(GMWQ!$LQ$2:$LQ$60=AE$3)*(GMWQ!$LP$2:$LP$60=AE$4)*(GMWQ!$LR$2:$LR$60=AE$1),0),$B245-1966)</f>
        <v>934477.9</v>
      </c>
      <c r="AF245" s="20" cm="1">
        <f t="array" ref="AF245">INDEX(GMWQ!$A$2:$LR$60,MATCH(1,(GMWQ!$LQ$2:$LQ$60=AF$3)*(GMWQ!$LP$2:$LP$60=AF$4)*(GMWQ!$LR$2:$LR$60=AF$1),0),$B245-1966)</f>
        <v>2</v>
      </c>
      <c r="AG245" s="20" cm="1">
        <f t="array" ref="AG245">INDEX(GMWQ!$A$2:$LR$60,MATCH(1,(GMWQ!$LQ$2:$LQ$60=AG$3)*(GMWQ!$LP$2:$LP$60=AG$4)*(GMWQ!$LR$2:$LR$60=AG$1),0),$B245-1966)</f>
        <v>-10056.74</v>
      </c>
      <c r="AI245" s="23" cm="1">
        <f t="array" ref="AI245">INDEX(GMWQ!$A$2:$LR$60,MATCH(1,(GMWQ!$LQ$2:$LQ$60=AI$3)*(GMWQ!$LP$2:$LP$60=AI$4)*(GMWQ!$LR$2:$LR$60=AI$1),0),$B245-1966)</f>
        <v>610164.19999999995</v>
      </c>
      <c r="AJ245" s="23" cm="1">
        <f t="array" ref="AJ245">INDEX(GMWQ!$A$2:$LR$60,MATCH(1,(GMWQ!$LQ$2:$LQ$60=AJ$3)*(GMWQ!$LP$2:$LP$60=AJ$4)*(GMWQ!$LR$2:$LR$60=AJ$1),0),$B245-1966)</f>
        <v>143.52379999999999</v>
      </c>
      <c r="AK245" s="23" cm="1">
        <f t="array" ref="AK245">INDEX(GMWQ!$A$2:$LR$60,MATCH(1,(GMWQ!$LQ$2:$LQ$60=AK$3)*(GMWQ!$LP$2:$LP$60=AK$4)*(GMWQ!$LR$2:$LR$60=AK$1),0),$B245-1966)</f>
        <v>383335.6</v>
      </c>
      <c r="AL245" s="23" cm="1">
        <f t="array" ref="AL245">INDEX(GMWQ!$A$2:$LR$60,MATCH(1,(GMWQ!$LQ$2:$LQ$60=AL$3)*(GMWQ!$LP$2:$LP$60=AL$4)*(GMWQ!$LR$2:$LR$60=AL$1),0),$B245-1966)</f>
        <v>12441.56</v>
      </c>
      <c r="AM245" s="23" cm="1">
        <f t="array" ref="AM245">INDEX(GMWQ!$A$2:$LR$60,MATCH(1,(GMWQ!$LQ$2:$LQ$60=AM$3)*(GMWQ!$LP$2:$LP$60=AM$4)*(GMWQ!$LR$2:$LR$60=AM$1),0),$B245-1966)</f>
        <v>30810.9</v>
      </c>
      <c r="AN245" s="23" cm="1">
        <f t="array" ref="AN245">INDEX(GMWQ!$A$2:$LR$60,MATCH(1,(GMWQ!$LQ$2:$LQ$60=AN$3)*(GMWQ!$LP$2:$LP$60=AN$4)*(GMWQ!$LR$2:$LR$60=AN$1),0),$B245-1966)</f>
        <v>112644.1</v>
      </c>
      <c r="AO245" s="23" cm="1">
        <f t="array" ref="AO245">INDEX(GMWQ!$A$2:$LR$60,MATCH(1,(GMWQ!$LQ$2:$LQ$60=AO$3)*(GMWQ!$LP$2:$LP$60=AO$4)*(GMWQ!$LR$2:$LR$60=AO$1),0),$B245-1966)</f>
        <v>25779.32</v>
      </c>
      <c r="AP245" s="23" cm="1">
        <f t="array" ref="AP245">INDEX(GMWQ!$A$2:$LR$60,MATCH(1,(GMWQ!$LQ$2:$LQ$60=AP$3)*(GMWQ!$LP$2:$LP$60=AP$4)*(GMWQ!$LR$2:$LR$60=AP$1),0),$B245-1966)</f>
        <v>-10056.74</v>
      </c>
      <c r="AQ245" s="23" cm="1">
        <f t="array" ref="AQ245">INDEX(GMWQ!$A$2:$LR$60,MATCH(1,(GMWQ!$LQ$2:$LQ$60=AQ$3)*(GMWQ!$LP$2:$LP$60=AQ$4)*(GMWQ!$LR$2:$LR$60=AQ$1),0),$B245-1966)</f>
        <v>131422.9</v>
      </c>
      <c r="AR245" s="23" cm="1">
        <f t="array" ref="AR245">INDEX(GMWQ!$A$2:$LR$60,MATCH(1,(GMWQ!$LQ$2:$LQ$60=AR$3)*(GMWQ!$LP$2:$LP$60=AR$4)*(GMWQ!$LR$2:$LR$60=AR$1),0),$B245-1966)</f>
        <v>563426.1</v>
      </c>
      <c r="AS245" s="23" cm="1">
        <f t="array" ref="AS245">INDEX(GMWQ!$A$2:$LR$60,MATCH(1,(GMWQ!$LQ$2:$LQ$60=AS$3)*(GMWQ!$LP$2:$LP$60=AS$4)*(GMWQ!$LR$2:$LR$60=AS$1),0),$B245-1966)</f>
        <v>19012.490000000002</v>
      </c>
      <c r="AT245" s="23" cm="1">
        <f t="array" ref="AT245">INDEX(GMWQ!$A$2:$LR$60,MATCH(1,(GMWQ!$LQ$2:$LQ$60=AT$3)*(GMWQ!$LP$2:$LP$60=AT$4)*(GMWQ!$LR$2:$LR$60=AT$1),0),$B245-1966)</f>
        <v>392566.3</v>
      </c>
      <c r="AU245" s="23" cm="1">
        <f t="array" ref="AU245">INDEX(GMWQ!$A$2:$LR$60,MATCH(1,(GMWQ!$LQ$2:$LQ$60=AU$3)*(GMWQ!$LP$2:$LP$60=AU$4)*(GMWQ!$LR$2:$LR$60=AU$1),0),$B245-1966)</f>
        <v>13970.22</v>
      </c>
    </row>
    <row r="246" spans="1:47" x14ac:dyDescent="0.35">
      <c r="B246" s="7">
        <f t="shared" si="5"/>
        <v>2212</v>
      </c>
      <c r="C246" s="7" cm="1">
        <f t="array" ref="C246">INDEX(GMWQ!$A$2:$LR$60,MATCH(1,(GMWQ!$LQ$2:$LQ$60=C$3)*(GMWQ!$LP$2:$LP$60=C$4)*(GMWQ!$LR$2:$LR$60=C$1),0),$B246-1966)</f>
        <v>655065.4</v>
      </c>
      <c r="D246" s="7" cm="1">
        <f t="array" ref="D246">INDEX(GMWQ!$A$2:$LR$60,MATCH(1,(GMWQ!$LQ$2:$LQ$60=D$3)*(GMWQ!$LP$2:$LP$60=D$4)*(GMWQ!$LR$2:$LR$60=D$1),0),$B246-1966)</f>
        <v>861.70010000000002</v>
      </c>
      <c r="E246" s="7" cm="1">
        <f t="array" ref="E246">INDEX(GMWQ!$A$2:$LR$60,MATCH(1,(GMWQ!$LQ$2:$LQ$60=E$3)*(GMWQ!$LP$2:$LP$60=E$4)*(GMWQ!$LR$2:$LR$60=E$1),0),$B246-1966)</f>
        <v>158.2621</v>
      </c>
      <c r="F246" s="7" cm="1">
        <f t="array" ref="F246">INDEX(GMWQ!$A$2:$LR$60,MATCH(1,(GMWQ!$LQ$2:$LQ$60=F$3)*(GMWQ!$LP$2:$LP$60=F$4)*(GMWQ!$LR$2:$LR$60=F$1),0),$B246-1966)</f>
        <v>386625.4</v>
      </c>
      <c r="G246" s="7" cm="1">
        <f t="array" ref="G246">INDEX(GMWQ!$A$2:$LR$60,MATCH(1,(GMWQ!$LQ$2:$LQ$60=G$3)*(GMWQ!$LP$2:$LP$60=G$4)*(GMWQ!$LR$2:$LR$60=G$1),0),$B246-1966)</f>
        <v>113750.7</v>
      </c>
      <c r="H246" s="7" cm="1">
        <f t="array" ref="H246">INDEX(GMWQ!$A$2:$LR$60,MATCH(1,(GMWQ!$LQ$2:$LQ$60=H$3)*(GMWQ!$LP$2:$LP$60=H$4)*(GMWQ!$LR$2:$LR$60=H$1),0),$B246-1966)</f>
        <v>26000.560000000001</v>
      </c>
      <c r="I246" s="7" cm="1">
        <f t="array" ref="I246">INDEX(GMWQ!$A$2:$LR$60,MATCH(1,(GMWQ!$LQ$2:$LQ$60=I$3)*(GMWQ!$LP$2:$LP$60=I$4)*(GMWQ!$LR$2:$LR$60=I$1),0),$B246-1966)</f>
        <v>144.23589999999999</v>
      </c>
      <c r="J246" s="7" cm="1">
        <f t="array" ref="J246">INDEX(GMWQ!$A$2:$LR$60,MATCH(1,(GMWQ!$LQ$2:$LQ$60=J$3)*(GMWQ!$LP$2:$LP$60=J$4)*(GMWQ!$LR$2:$LR$60=J$1),0),$B246-1966)</f>
        <v>30854.18</v>
      </c>
      <c r="K246" s="7" cm="1">
        <f t="array" ref="K246">INDEX(GMWQ!$A$2:$LR$60,MATCH(1,(GMWQ!$LQ$2:$LQ$60=K$3)*(GMWQ!$LP$2:$LP$60=K$4)*(GMWQ!$LR$2:$LR$60=K$1),0),$B246-1966)</f>
        <v>2</v>
      </c>
      <c r="L246" s="7" cm="1">
        <f t="array" ref="L246">INDEX(GMWQ!$A$2:$LR$60,MATCH(1,(GMWQ!$LQ$2:$LQ$60=L$3)*(GMWQ!$LP$2:$LP$60=L$4)*(GMWQ!$LR$2:$LR$60=L$1),0),$B246-1966)</f>
        <v>3.7501030000000002</v>
      </c>
      <c r="M246" s="7" cm="1">
        <f t="array" ref="M246">INDEX(GMWQ!$A$2:$LR$60,MATCH(1,(GMWQ!$LQ$2:$LQ$60=M$3)*(GMWQ!$LP$2:$LP$60=M$4)*(GMWQ!$LR$2:$LR$60=M$1),0),$B246-1966)</f>
        <v>189.27340000000001</v>
      </c>
      <c r="N246" s="7" cm="1">
        <f t="array" ref="N246">INDEX(GMWQ!$A$2:$LR$60,MATCH(1,(GMWQ!$LQ$2:$LQ$60=N$3)*(GMWQ!$LP$2:$LP$60=N$4)*(GMWQ!$LR$2:$LR$60=N$1),0),$B246-1966)</f>
        <v>26987.18</v>
      </c>
      <c r="O246" s="7" cm="1">
        <f t="array" ref="O246">INDEX(GMWQ!$A$2:$LR$60,MATCH(1,(GMWQ!$LQ$2:$LQ$60=O$3)*(GMWQ!$LP$2:$LP$60=O$4)*(GMWQ!$LR$2:$LR$60=O$1),0),$B246-1966)</f>
        <v>16758.580000000002</v>
      </c>
      <c r="P246" s="7" cm="1">
        <f t="array" ref="P246">INDEX(GMWQ!$A$2:$LR$60,MATCH(1,(GMWQ!$LQ$2:$LQ$60=P$3)*(GMWQ!$LP$2:$LP$60=P$4)*(GMWQ!$LR$2:$LR$60=P$1),0),$B246-1966)</f>
        <v>615388.4</v>
      </c>
      <c r="Q246" s="7" cm="1">
        <f t="array" ref="Q246">INDEX(GMWQ!$A$2:$LR$60,MATCH(1,(GMWQ!$LQ$2:$LQ$60=Q$3)*(GMWQ!$LP$2:$LP$60=Q$4)*(GMWQ!$LR$2:$LR$60=Q$1),0),$B246-1966)</f>
        <v>3.4999980000000002</v>
      </c>
      <c r="R246" s="7" cm="1">
        <f t="array" ref="R246">INDEX(GMWQ!$A$2:$LR$60,MATCH(1,(GMWQ!$LQ$2:$LQ$60=R$3)*(GMWQ!$LP$2:$LP$60=R$4)*(GMWQ!$LR$2:$LR$60=R$1),0),$B246-1966)</f>
        <v>255943.8</v>
      </c>
      <c r="S246" s="7" cm="1">
        <f t="array" ref="S246">INDEX(GMWQ!$A$2:$LR$60,MATCH(1,(GMWQ!$LQ$2:$LQ$60=S$3)*(GMWQ!$LP$2:$LP$60=S$4)*(GMWQ!$LR$2:$LR$60=S$1),0),$B246-1966)</f>
        <v>381.80810000000002</v>
      </c>
      <c r="T246" s="7" cm="1">
        <f t="array" ref="T246">INDEX(GMWQ!$A$2:$LR$60,MATCH(1,(GMWQ!$LQ$2:$LQ$60=T$3)*(GMWQ!$LP$2:$LP$60=T$4)*(GMWQ!$LR$2:$LR$60=T$1),0),$B246-1966)</f>
        <v>117128.1</v>
      </c>
      <c r="U246" s="7" cm="1">
        <f t="array" ref="U246">INDEX(GMWQ!$A$2:$LR$60,MATCH(1,(GMWQ!$LQ$2:$LQ$60=U$3)*(GMWQ!$LP$2:$LP$60=U$4)*(GMWQ!$LR$2:$LR$60=U$1),0),$B246-1966)</f>
        <v>25819.26</v>
      </c>
      <c r="V246" s="7" cm="1">
        <f t="array" ref="V246">INDEX(GMWQ!$A$2:$LR$60,MATCH(1,(GMWQ!$LQ$2:$LQ$60=V$3)*(GMWQ!$LP$2:$LP$60=V$4)*(GMWQ!$LR$2:$LR$60=V$1),0),$B246-1966)</f>
        <v>1.368846E-3</v>
      </c>
      <c r="W246" s="7" cm="1">
        <f t="array" ref="W246">INDEX(GMWQ!$A$2:$LR$60,MATCH(1,(GMWQ!$LQ$2:$LQ$60=W$3)*(GMWQ!$LP$2:$LP$60=W$4)*(GMWQ!$LR$2:$LR$60=W$1),0),$B246-1966)</f>
        <v>9.0934550000000005</v>
      </c>
      <c r="X246" s="7" cm="1">
        <f t="array" ref="X246">INDEX(GMWQ!$A$2:$LR$60,MATCH(1,(GMWQ!$LQ$2:$LQ$60=X$3)*(GMWQ!$LP$2:$LP$60=X$4)*(GMWQ!$LR$2:$LR$60=X$1),0),$B246-1966)</f>
        <v>7803738</v>
      </c>
      <c r="Y246" s="7" cm="1">
        <f t="array" ref="Y246">INDEX(GMWQ!$A$2:$LR$60,MATCH(1,(GMWQ!$LQ$2:$LQ$60=Y$3)*(GMWQ!$LP$2:$LP$60=Y$4)*(GMWQ!$LR$2:$LR$60=Y$1),0),$B246-1966)</f>
        <v>143.9408</v>
      </c>
      <c r="Z246" s="7" cm="1">
        <f t="array" ref="Z246">INDEX(GMWQ!$A$2:$LR$60,MATCH(1,(GMWQ!$LQ$2:$LQ$60=Z$3)*(GMWQ!$LP$2:$LP$60=Z$4)*(GMWQ!$LR$2:$LR$60=Z$1),0),$B246-1966)</f>
        <v>655172.30000000005</v>
      </c>
      <c r="AA246" s="7" cm="1">
        <f t="array" ref="AA246">INDEX(GMWQ!$A$2:$LR$60,MATCH(1,(GMWQ!$LQ$2:$LQ$60=AA$3)*(GMWQ!$LP$2:$LP$60=AA$4)*(GMWQ!$LR$2:$LR$60=AA$1),0),$B246-1966)</f>
        <v>374214.5</v>
      </c>
      <c r="AB246" s="7" cm="1">
        <f t="array" ref="AB246">INDEX(GMWQ!$A$2:$LR$60,MATCH(1,(GMWQ!$LQ$2:$LQ$60=AB$3)*(GMWQ!$LP$2:$LP$60=AB$4)*(GMWQ!$LR$2:$LR$60=AB$1),0),$B246-1966)</f>
        <v>363461.9</v>
      </c>
      <c r="AC246" s="7" cm="1">
        <f t="array" ref="AC246">INDEX(GMWQ!$A$2:$LR$60,MATCH(1,(GMWQ!$LQ$2:$LQ$60=AC$3)*(GMWQ!$LP$2:$LP$60=AC$4)*(GMWQ!$LR$2:$LR$60=AC$1),0),$B246-1966)</f>
        <v>14486.39</v>
      </c>
      <c r="AD246" s="7" cm="1">
        <f t="array" ref="AD246">INDEX(GMWQ!$A$2:$LR$60,MATCH(1,(GMWQ!$LQ$2:$LQ$60=AD$3)*(GMWQ!$LP$2:$LP$60=AD$4)*(GMWQ!$LR$2:$LR$60=AD$1),0),$B246-1966)</f>
        <v>20610.68</v>
      </c>
      <c r="AE246" s="7" cm="1">
        <f t="array" ref="AE246">INDEX(GMWQ!$A$2:$LR$60,MATCH(1,(GMWQ!$LQ$2:$LQ$60=AE$3)*(GMWQ!$LP$2:$LP$60=AE$4)*(GMWQ!$LR$2:$LR$60=AE$1),0),$B246-1966)</f>
        <v>942906.2</v>
      </c>
      <c r="AF246" s="20" cm="1">
        <f t="array" ref="AF246">INDEX(GMWQ!$A$2:$LR$60,MATCH(1,(GMWQ!$LQ$2:$LQ$60=AF$3)*(GMWQ!$LP$2:$LP$60=AF$4)*(GMWQ!$LR$2:$LR$60=AF$1),0),$B246-1966)</f>
        <v>2</v>
      </c>
      <c r="AG246" s="20" cm="1">
        <f t="array" ref="AG246">INDEX(GMWQ!$A$2:$LR$60,MATCH(1,(GMWQ!$LQ$2:$LQ$60=AG$3)*(GMWQ!$LP$2:$LP$60=AG$4)*(GMWQ!$LR$2:$LR$60=AG$1),0),$B246-1966)</f>
        <v>-10228.6</v>
      </c>
      <c r="AI246" s="23" cm="1">
        <f t="array" ref="AI246">INDEX(GMWQ!$A$2:$LR$60,MATCH(1,(GMWQ!$LQ$2:$LQ$60=AI$3)*(GMWQ!$LP$2:$LP$60=AI$4)*(GMWQ!$LR$2:$LR$60=AI$1),0),$B246-1966)</f>
        <v>615388.4</v>
      </c>
      <c r="AJ246" s="23" cm="1">
        <f t="array" ref="AJ246">INDEX(GMWQ!$A$2:$LR$60,MATCH(1,(GMWQ!$LQ$2:$LQ$60=AJ$3)*(GMWQ!$LP$2:$LP$60=AJ$4)*(GMWQ!$LR$2:$LR$60=AJ$1),0),$B246-1966)</f>
        <v>144.23589999999999</v>
      </c>
      <c r="AK246" s="23" cm="1">
        <f t="array" ref="AK246">INDEX(GMWQ!$A$2:$LR$60,MATCH(1,(GMWQ!$LQ$2:$LQ$60=AK$3)*(GMWQ!$LP$2:$LP$60=AK$4)*(GMWQ!$LR$2:$LR$60=AK$1),0),$B246-1966)</f>
        <v>386625.4</v>
      </c>
      <c r="AL246" s="23" cm="1">
        <f t="array" ref="AL246">INDEX(GMWQ!$A$2:$LR$60,MATCH(1,(GMWQ!$LQ$2:$LQ$60=AL$3)*(GMWQ!$LP$2:$LP$60=AL$4)*(GMWQ!$LR$2:$LR$60=AL$1),0),$B246-1966)</f>
        <v>12530.73</v>
      </c>
      <c r="AM246" s="23" cm="1">
        <f t="array" ref="AM246">INDEX(GMWQ!$A$2:$LR$60,MATCH(1,(GMWQ!$LQ$2:$LQ$60=AM$3)*(GMWQ!$LP$2:$LP$60=AM$4)*(GMWQ!$LR$2:$LR$60=AM$1),0),$B246-1966)</f>
        <v>30854.18</v>
      </c>
      <c r="AN246" s="23" cm="1">
        <f t="array" ref="AN246">INDEX(GMWQ!$A$2:$LR$60,MATCH(1,(GMWQ!$LQ$2:$LQ$60=AN$3)*(GMWQ!$LP$2:$LP$60=AN$4)*(GMWQ!$LR$2:$LR$60=AN$1),0),$B246-1966)</f>
        <v>113750.7</v>
      </c>
      <c r="AO246" s="23" cm="1">
        <f t="array" ref="AO246">INDEX(GMWQ!$A$2:$LR$60,MATCH(1,(GMWQ!$LQ$2:$LQ$60=AO$3)*(GMWQ!$LP$2:$LP$60=AO$4)*(GMWQ!$LR$2:$LR$60=AO$1),0),$B246-1966)</f>
        <v>26000.560000000001</v>
      </c>
      <c r="AP246" s="23" cm="1">
        <f t="array" ref="AP246">INDEX(GMWQ!$A$2:$LR$60,MATCH(1,(GMWQ!$LQ$2:$LQ$60=AP$3)*(GMWQ!$LP$2:$LP$60=AP$4)*(GMWQ!$LR$2:$LR$60=AP$1),0),$B246-1966)</f>
        <v>-10228.6</v>
      </c>
      <c r="AQ246" s="23" cm="1">
        <f t="array" ref="AQ246">INDEX(GMWQ!$A$2:$LR$60,MATCH(1,(GMWQ!$LQ$2:$LQ$60=AQ$3)*(GMWQ!$LP$2:$LP$60=AQ$4)*(GMWQ!$LR$2:$LR$60=AQ$1),0),$B246-1966)</f>
        <v>132693.9</v>
      </c>
      <c r="AR246" s="23" cm="1">
        <f t="array" ref="AR246">INDEX(GMWQ!$A$2:$LR$60,MATCH(1,(GMWQ!$LQ$2:$LQ$60=AR$3)*(GMWQ!$LP$2:$LP$60=AR$4)*(GMWQ!$LR$2:$LR$60=AR$1),0),$B246-1966)</f>
        <v>568259.9</v>
      </c>
      <c r="AS246" s="23" cm="1">
        <f t="array" ref="AS246">INDEX(GMWQ!$A$2:$LR$60,MATCH(1,(GMWQ!$LQ$2:$LQ$60=AS$3)*(GMWQ!$LP$2:$LP$60=AS$4)*(GMWQ!$LR$2:$LR$60=AS$1),0),$B246-1966)</f>
        <v>19184.509999999998</v>
      </c>
      <c r="AT246" s="23" cm="1">
        <f t="array" ref="AT246">INDEX(GMWQ!$A$2:$LR$60,MATCH(1,(GMWQ!$LQ$2:$LQ$60=AT$3)*(GMWQ!$LP$2:$LP$60=AT$4)*(GMWQ!$LR$2:$LR$60=AT$1),0),$B246-1966)</f>
        <v>393979.5</v>
      </c>
      <c r="AU246" s="23" cm="1">
        <f t="array" ref="AU246">INDEX(GMWQ!$A$2:$LR$60,MATCH(1,(GMWQ!$LQ$2:$LQ$60=AU$3)*(GMWQ!$LP$2:$LP$60=AU$4)*(GMWQ!$LR$2:$LR$60=AU$1),0),$B246-1966)</f>
        <v>14020.51</v>
      </c>
    </row>
    <row r="247" spans="1:47" x14ac:dyDescent="0.35">
      <c r="A247" s="7">
        <v>2033</v>
      </c>
      <c r="B247" s="7">
        <f t="shared" si="5"/>
        <v>2213</v>
      </c>
      <c r="C247" s="7" cm="1">
        <f t="array" ref="C247">INDEX(GMWQ!$A$2:$LR$60,MATCH(1,(GMWQ!$LQ$2:$LQ$60=C$3)*(GMWQ!$LP$2:$LP$60=C$4)*(GMWQ!$LR$2:$LR$60=C$1),0),$B247-1966)</f>
        <v>657450.9</v>
      </c>
      <c r="D247" s="7" cm="1">
        <f t="array" ref="D247">INDEX(GMWQ!$A$2:$LR$60,MATCH(1,(GMWQ!$LQ$2:$LQ$60=D$3)*(GMWQ!$LP$2:$LP$60=D$4)*(GMWQ!$LR$2:$LR$60=D$1),0),$B247-1966)</f>
        <v>867.89800000000002</v>
      </c>
      <c r="E247" s="7" cm="1">
        <f t="array" ref="E247">INDEX(GMWQ!$A$2:$LR$60,MATCH(1,(GMWQ!$LQ$2:$LQ$60=E$3)*(GMWQ!$LP$2:$LP$60=E$4)*(GMWQ!$LR$2:$LR$60=E$1),0),$B247-1966)</f>
        <v>158.428</v>
      </c>
      <c r="F247" s="7" cm="1">
        <f t="array" ref="F247">INDEX(GMWQ!$A$2:$LR$60,MATCH(1,(GMWQ!$LQ$2:$LQ$60=F$3)*(GMWQ!$LP$2:$LP$60=F$4)*(GMWQ!$LR$2:$LR$60=F$1),0),$B247-1966)</f>
        <v>389969.6</v>
      </c>
      <c r="G247" s="7" cm="1">
        <f t="array" ref="G247">INDEX(GMWQ!$A$2:$LR$60,MATCH(1,(GMWQ!$LQ$2:$LQ$60=G$3)*(GMWQ!$LP$2:$LP$60=G$4)*(GMWQ!$LR$2:$LR$60=G$1),0),$B247-1966)</f>
        <v>114974</v>
      </c>
      <c r="H247" s="7" cm="1">
        <f t="array" ref="H247">INDEX(GMWQ!$A$2:$LR$60,MATCH(1,(GMWQ!$LQ$2:$LQ$60=H$3)*(GMWQ!$LP$2:$LP$60=H$4)*(GMWQ!$LR$2:$LR$60=H$1),0),$B247-1966)</f>
        <v>26225.46</v>
      </c>
      <c r="I247" s="7" cm="1">
        <f t="array" ref="I247">INDEX(GMWQ!$A$2:$LR$60,MATCH(1,(GMWQ!$LQ$2:$LQ$60=I$3)*(GMWQ!$LP$2:$LP$60=I$4)*(GMWQ!$LR$2:$LR$60=I$1),0),$B247-1966)</f>
        <v>144.95160000000001</v>
      </c>
      <c r="J247" s="7" cm="1">
        <f t="array" ref="J247">INDEX(GMWQ!$A$2:$LR$60,MATCH(1,(GMWQ!$LQ$2:$LQ$60=J$3)*(GMWQ!$LP$2:$LP$60=J$4)*(GMWQ!$LR$2:$LR$60=J$1),0),$B247-1966)</f>
        <v>30898.81</v>
      </c>
      <c r="K247" s="7" cm="1">
        <f t="array" ref="K247">INDEX(GMWQ!$A$2:$LR$60,MATCH(1,(GMWQ!$LQ$2:$LQ$60=K$3)*(GMWQ!$LP$2:$LP$60=K$4)*(GMWQ!$LR$2:$LR$60=K$1),0),$B247-1966)</f>
        <v>2</v>
      </c>
      <c r="L247" s="7" cm="1">
        <f t="array" ref="L247">INDEX(GMWQ!$A$2:$LR$60,MATCH(1,(GMWQ!$LQ$2:$LQ$60=L$3)*(GMWQ!$LP$2:$LP$60=L$4)*(GMWQ!$LR$2:$LR$60=L$1),0),$B247-1966)</f>
        <v>3.7501090000000001</v>
      </c>
      <c r="M247" s="7" cm="1">
        <f t="array" ref="M247">INDEX(GMWQ!$A$2:$LR$60,MATCH(1,(GMWQ!$LQ$2:$LQ$60=M$3)*(GMWQ!$LP$2:$LP$60=M$4)*(GMWQ!$LR$2:$LR$60=M$1),0),$B247-1966)</f>
        <v>190.84649999999999</v>
      </c>
      <c r="N247" s="7" cm="1">
        <f t="array" ref="N247">INDEX(GMWQ!$A$2:$LR$60,MATCH(1,(GMWQ!$LQ$2:$LQ$60=N$3)*(GMWQ!$LP$2:$LP$60=N$4)*(GMWQ!$LR$2:$LR$60=N$1),0),$B247-1966)</f>
        <v>27321.439999999999</v>
      </c>
      <c r="O247" s="7" cm="1">
        <f t="array" ref="O247">INDEX(GMWQ!$A$2:$LR$60,MATCH(1,(GMWQ!$LQ$2:$LQ$60=O$3)*(GMWQ!$LP$2:$LP$60=O$4)*(GMWQ!$LR$2:$LR$60=O$1),0),$B247-1966)</f>
        <v>16915.59</v>
      </c>
      <c r="P247" s="7" cm="1">
        <f t="array" ref="P247">INDEX(GMWQ!$A$2:$LR$60,MATCH(1,(GMWQ!$LQ$2:$LQ$60=P$3)*(GMWQ!$LP$2:$LP$60=P$4)*(GMWQ!$LR$2:$LR$60=P$1),0),$B247-1966)</f>
        <v>621119.9</v>
      </c>
      <c r="Q247" s="7" cm="1">
        <f t="array" ref="Q247">INDEX(GMWQ!$A$2:$LR$60,MATCH(1,(GMWQ!$LQ$2:$LQ$60=Q$3)*(GMWQ!$LP$2:$LP$60=Q$4)*(GMWQ!$LR$2:$LR$60=Q$1),0),$B247-1966)</f>
        <v>3.4999980000000002</v>
      </c>
      <c r="R247" s="7" cm="1">
        <f t="array" ref="R247">INDEX(GMWQ!$A$2:$LR$60,MATCH(1,(GMWQ!$LQ$2:$LQ$60=R$3)*(GMWQ!$LP$2:$LP$60=R$4)*(GMWQ!$LR$2:$LR$60=R$1),0),$B247-1966)</f>
        <v>256150.6</v>
      </c>
      <c r="S247" s="7" cm="1">
        <f t="array" ref="S247">INDEX(GMWQ!$A$2:$LR$60,MATCH(1,(GMWQ!$LQ$2:$LQ$60=S$3)*(GMWQ!$LP$2:$LP$60=S$4)*(GMWQ!$LR$2:$LR$60=S$1),0),$B247-1966)</f>
        <v>382.11660000000001</v>
      </c>
      <c r="T247" s="7" cm="1">
        <f t="array" ref="T247">INDEX(GMWQ!$A$2:$LR$60,MATCH(1,(GMWQ!$LQ$2:$LQ$60=T$3)*(GMWQ!$LP$2:$LP$60=T$4)*(GMWQ!$LR$2:$LR$60=T$1),0),$B247-1966)</f>
        <v>118015.9</v>
      </c>
      <c r="U247" s="7" cm="1">
        <f t="array" ref="U247">INDEX(GMWQ!$A$2:$LR$60,MATCH(1,(GMWQ!$LQ$2:$LQ$60=U$3)*(GMWQ!$LP$2:$LP$60=U$4)*(GMWQ!$LR$2:$LR$60=U$1),0),$B247-1966)</f>
        <v>25700.37</v>
      </c>
      <c r="V247" s="7" cm="1">
        <f t="array" ref="V247">INDEX(GMWQ!$A$2:$LR$60,MATCH(1,(GMWQ!$LQ$2:$LQ$60=V$3)*(GMWQ!$LP$2:$LP$60=V$4)*(GMWQ!$LR$2:$LR$60=V$1),0),$B247-1966)</f>
        <v>1.368537E-3</v>
      </c>
      <c r="W247" s="7" cm="1">
        <f t="array" ref="W247">INDEX(GMWQ!$A$2:$LR$60,MATCH(1,(GMWQ!$LQ$2:$LQ$60=W$3)*(GMWQ!$LP$2:$LP$60=W$4)*(GMWQ!$LR$2:$LR$60=W$1),0),$B247-1966)</f>
        <v>9.0512990000000002</v>
      </c>
      <c r="X247" s="7" cm="1">
        <f t="array" ref="X247">INDEX(GMWQ!$A$2:$LR$60,MATCH(1,(GMWQ!$LQ$2:$LQ$60=X$3)*(GMWQ!$LP$2:$LP$60=X$4)*(GMWQ!$LR$2:$LR$60=X$1),0),$B247-1966)</f>
        <v>7915464</v>
      </c>
      <c r="Y247" s="7" cm="1">
        <f t="array" ref="Y247">INDEX(GMWQ!$A$2:$LR$60,MATCH(1,(GMWQ!$LQ$2:$LQ$60=Y$3)*(GMWQ!$LP$2:$LP$60=Y$4)*(GMWQ!$LR$2:$LR$60=Y$1),0),$B247-1966)</f>
        <v>144.71799999999999</v>
      </c>
      <c r="Z247" s="7" cm="1">
        <f t="array" ref="Z247">INDEX(GMWQ!$A$2:$LR$60,MATCH(1,(GMWQ!$LQ$2:$LQ$60=Z$3)*(GMWQ!$LP$2:$LP$60=Z$4)*(GMWQ!$LR$2:$LR$60=Z$1),0),$B247-1966)</f>
        <v>657556.5</v>
      </c>
      <c r="AA247" s="7" cm="1">
        <f t="array" ref="AA247">INDEX(GMWQ!$A$2:$LR$60,MATCH(1,(GMWQ!$LQ$2:$LQ$60=AA$3)*(GMWQ!$LP$2:$LP$60=AA$4)*(GMWQ!$LR$2:$LR$60=AA$1),0),$B247-1966)</f>
        <v>432145.9</v>
      </c>
      <c r="AB247" s="7" cm="1">
        <f t="array" ref="AB247">INDEX(GMWQ!$A$2:$LR$60,MATCH(1,(GMWQ!$LQ$2:$LQ$60=AB$3)*(GMWQ!$LP$2:$LP$60=AB$4)*(GMWQ!$LR$2:$LR$60=AB$1),0),$B247-1966)</f>
        <v>362367.6</v>
      </c>
      <c r="AC247" s="7" cm="1">
        <f t="array" ref="AC247">INDEX(GMWQ!$A$2:$LR$60,MATCH(1,(GMWQ!$LQ$2:$LQ$60=AC$3)*(GMWQ!$LP$2:$LP$60=AC$4)*(GMWQ!$LR$2:$LR$60=AC$1),0),$B247-1966)</f>
        <v>25709.05</v>
      </c>
      <c r="AD247" s="7" cm="1">
        <f t="array" ref="AD247">INDEX(GMWQ!$A$2:$LR$60,MATCH(1,(GMWQ!$LQ$2:$LQ$60=AD$3)*(GMWQ!$LP$2:$LP$60=AD$4)*(GMWQ!$LR$2:$LR$60=AD$1),0),$B247-1966)</f>
        <v>20610.68</v>
      </c>
      <c r="AE247" s="7" cm="1">
        <f t="array" ref="AE247">INDEX(GMWQ!$A$2:$LR$60,MATCH(1,(GMWQ!$LQ$2:$LQ$60=AE$3)*(GMWQ!$LP$2:$LP$60=AE$4)*(GMWQ!$LR$2:$LR$60=AE$1),0),$B247-1966)</f>
        <v>951450.1</v>
      </c>
      <c r="AF247" s="20" cm="1">
        <f t="array" ref="AF247">INDEX(GMWQ!$A$2:$LR$60,MATCH(1,(GMWQ!$LQ$2:$LQ$60=AF$3)*(GMWQ!$LP$2:$LP$60=AF$4)*(GMWQ!$LR$2:$LR$60=AF$1),0),$B247-1966)</f>
        <v>2</v>
      </c>
      <c r="AG247" s="20" cm="1">
        <f t="array" ref="AG247">INDEX(GMWQ!$A$2:$LR$60,MATCH(1,(GMWQ!$LQ$2:$LQ$60=AG$3)*(GMWQ!$LP$2:$LP$60=AG$4)*(GMWQ!$LR$2:$LR$60=AG$1),0),$B247-1966)</f>
        <v>-10405.85</v>
      </c>
      <c r="AI247" s="23" cm="1">
        <f t="array" ref="AI247">INDEX(GMWQ!$A$2:$LR$60,MATCH(1,(GMWQ!$LQ$2:$LQ$60=AI$3)*(GMWQ!$LP$2:$LP$60=AI$4)*(GMWQ!$LR$2:$LR$60=AI$1),0),$B247-1966)</f>
        <v>621119.9</v>
      </c>
      <c r="AJ247" s="23" cm="1">
        <f t="array" ref="AJ247">INDEX(GMWQ!$A$2:$LR$60,MATCH(1,(GMWQ!$LQ$2:$LQ$60=AJ$3)*(GMWQ!$LP$2:$LP$60=AJ$4)*(GMWQ!$LR$2:$LR$60=AJ$1),0),$B247-1966)</f>
        <v>144.95160000000001</v>
      </c>
      <c r="AK247" s="23" cm="1">
        <f t="array" ref="AK247">INDEX(GMWQ!$A$2:$LR$60,MATCH(1,(GMWQ!$LQ$2:$LQ$60=AK$3)*(GMWQ!$LP$2:$LP$60=AK$4)*(GMWQ!$LR$2:$LR$60=AK$1),0),$B247-1966)</f>
        <v>389969.6</v>
      </c>
      <c r="AL247" s="23" cm="1">
        <f t="array" ref="AL247">INDEX(GMWQ!$A$2:$LR$60,MATCH(1,(GMWQ!$LQ$2:$LQ$60=AL$3)*(GMWQ!$LP$2:$LP$60=AL$4)*(GMWQ!$LR$2:$LR$60=AL$1),0),$B247-1966)</f>
        <v>12620.86</v>
      </c>
      <c r="AM247" s="23" cm="1">
        <f t="array" ref="AM247">INDEX(GMWQ!$A$2:$LR$60,MATCH(1,(GMWQ!$LQ$2:$LQ$60=AM$3)*(GMWQ!$LP$2:$LP$60=AM$4)*(GMWQ!$LR$2:$LR$60=AM$1),0),$B247-1966)</f>
        <v>30898.81</v>
      </c>
      <c r="AN247" s="23" cm="1">
        <f t="array" ref="AN247">INDEX(GMWQ!$A$2:$LR$60,MATCH(1,(GMWQ!$LQ$2:$LQ$60=AN$3)*(GMWQ!$LP$2:$LP$60=AN$4)*(GMWQ!$LR$2:$LR$60=AN$1),0),$B247-1966)</f>
        <v>114974</v>
      </c>
      <c r="AO247" s="23" cm="1">
        <f t="array" ref="AO247">INDEX(GMWQ!$A$2:$LR$60,MATCH(1,(GMWQ!$LQ$2:$LQ$60=AO$3)*(GMWQ!$LP$2:$LP$60=AO$4)*(GMWQ!$LR$2:$LR$60=AO$1),0),$B247-1966)</f>
        <v>26225.46</v>
      </c>
      <c r="AP247" s="23" cm="1">
        <f t="array" ref="AP247">INDEX(GMWQ!$A$2:$LR$60,MATCH(1,(GMWQ!$LQ$2:$LQ$60=AP$3)*(GMWQ!$LP$2:$LP$60=AP$4)*(GMWQ!$LR$2:$LR$60=AP$1),0),$B247-1966)</f>
        <v>-10405.85</v>
      </c>
      <c r="AQ247" s="23" cm="1">
        <f t="array" ref="AQ247">INDEX(GMWQ!$A$2:$LR$60,MATCH(1,(GMWQ!$LQ$2:$LQ$60=AQ$3)*(GMWQ!$LP$2:$LP$60=AQ$4)*(GMWQ!$LR$2:$LR$60=AQ$1),0),$B247-1966)</f>
        <v>133974.1</v>
      </c>
      <c r="AR247" s="23" cm="1">
        <f t="array" ref="AR247">INDEX(GMWQ!$A$2:$LR$60,MATCH(1,(GMWQ!$LQ$2:$LQ$60=AR$3)*(GMWQ!$LP$2:$LP$60=AR$4)*(GMWQ!$LR$2:$LR$60=AR$1),0),$B247-1966)</f>
        <v>573125</v>
      </c>
      <c r="AS247" s="23" cm="1">
        <f t="array" ref="AS247">INDEX(GMWQ!$A$2:$LR$60,MATCH(1,(GMWQ!$LQ$2:$LQ$60=AS$3)*(GMWQ!$LP$2:$LP$60=AS$4)*(GMWQ!$LR$2:$LR$60=AS$1),0),$B247-1966)</f>
        <v>19357.86</v>
      </c>
      <c r="AT247" s="23" cm="1">
        <f t="array" ref="AT247">INDEX(GMWQ!$A$2:$LR$60,MATCH(1,(GMWQ!$LQ$2:$LQ$60=AT$3)*(GMWQ!$LP$2:$LP$60=AT$4)*(GMWQ!$LR$2:$LR$60=AT$1),0),$B247-1966)</f>
        <v>395390.6</v>
      </c>
      <c r="AU247" s="23" cm="1">
        <f t="array" ref="AU247">INDEX(GMWQ!$A$2:$LR$60,MATCH(1,(GMWQ!$LQ$2:$LQ$60=AU$3)*(GMWQ!$LP$2:$LP$60=AU$4)*(GMWQ!$LR$2:$LR$60=AU$1),0),$B247-1966)</f>
        <v>14070.87</v>
      </c>
    </row>
    <row r="248" spans="1:47" x14ac:dyDescent="0.35">
      <c r="B248" s="7">
        <f t="shared" si="5"/>
        <v>2214</v>
      </c>
      <c r="C248" s="7" cm="1">
        <f t="array" ref="C248">INDEX(GMWQ!$A$2:$LR$60,MATCH(1,(GMWQ!$LQ$2:$LQ$60=C$3)*(GMWQ!$LP$2:$LP$60=C$4)*(GMWQ!$LR$2:$LR$60=C$1),0),$B248-1966)</f>
        <v>659812.30000000005</v>
      </c>
      <c r="D248" s="7" cm="1">
        <f t="array" ref="D248">INDEX(GMWQ!$A$2:$LR$60,MATCH(1,(GMWQ!$LQ$2:$LQ$60=D$3)*(GMWQ!$LP$2:$LP$60=D$4)*(GMWQ!$LR$2:$LR$60=D$1),0),$B248-1966)</f>
        <v>874.18290000000002</v>
      </c>
      <c r="E248" s="7" cm="1">
        <f t="array" ref="E248">INDEX(GMWQ!$A$2:$LR$60,MATCH(1,(GMWQ!$LQ$2:$LQ$60=E$3)*(GMWQ!$LP$2:$LP$60=E$4)*(GMWQ!$LR$2:$LR$60=E$1),0),$B248-1966)</f>
        <v>159.875</v>
      </c>
      <c r="F248" s="7" cm="1">
        <f t="array" ref="F248">INDEX(GMWQ!$A$2:$LR$60,MATCH(1,(GMWQ!$LQ$2:$LQ$60=F$3)*(GMWQ!$LP$2:$LP$60=F$4)*(GMWQ!$LR$2:$LR$60=F$1),0),$B248-1966)</f>
        <v>393303.6</v>
      </c>
      <c r="G248" s="7" cm="1">
        <f t="array" ref="G248">INDEX(GMWQ!$A$2:$LR$60,MATCH(1,(GMWQ!$LQ$2:$LQ$60=G$3)*(GMWQ!$LP$2:$LP$60=G$4)*(GMWQ!$LR$2:$LR$60=G$1),0),$B248-1966)</f>
        <v>115562</v>
      </c>
      <c r="H248" s="7" cm="1">
        <f t="array" ref="H248">INDEX(GMWQ!$A$2:$LR$60,MATCH(1,(GMWQ!$LQ$2:$LQ$60=H$3)*(GMWQ!$LP$2:$LP$60=H$4)*(GMWQ!$LR$2:$LR$60=H$1),0),$B248-1966)</f>
        <v>26449.67</v>
      </c>
      <c r="I248" s="7" cm="1">
        <f t="array" ref="I248">INDEX(GMWQ!$A$2:$LR$60,MATCH(1,(GMWQ!$LQ$2:$LQ$60=I$3)*(GMWQ!$LP$2:$LP$60=I$4)*(GMWQ!$LR$2:$LR$60=I$1),0),$B248-1966)</f>
        <v>145.67089999999999</v>
      </c>
      <c r="J248" s="7" cm="1">
        <f t="array" ref="J248">INDEX(GMWQ!$A$2:$LR$60,MATCH(1,(GMWQ!$LQ$2:$LQ$60=J$3)*(GMWQ!$LP$2:$LP$60=J$4)*(GMWQ!$LR$2:$LR$60=J$1),0),$B248-1966)</f>
        <v>30938.92</v>
      </c>
      <c r="K248" s="7" cm="1">
        <f t="array" ref="K248">INDEX(GMWQ!$A$2:$LR$60,MATCH(1,(GMWQ!$LQ$2:$LQ$60=K$3)*(GMWQ!$LP$2:$LP$60=K$4)*(GMWQ!$LR$2:$LR$60=K$1),0),$B248-1966)</f>
        <v>2</v>
      </c>
      <c r="L248" s="7" cm="1">
        <f t="array" ref="L248">INDEX(GMWQ!$A$2:$LR$60,MATCH(1,(GMWQ!$LQ$2:$LQ$60=L$3)*(GMWQ!$LP$2:$LP$60=L$4)*(GMWQ!$LR$2:$LR$60=L$1),0),$B248-1966)</f>
        <v>3.7501180000000001</v>
      </c>
      <c r="M248" s="7" cm="1">
        <f t="array" ref="M248">INDEX(GMWQ!$A$2:$LR$60,MATCH(1,(GMWQ!$LQ$2:$LQ$60=M$3)*(GMWQ!$LP$2:$LP$60=M$4)*(GMWQ!$LR$2:$LR$60=M$1),0),$B248-1966)</f>
        <v>192.46889999999999</v>
      </c>
      <c r="N248" s="7" cm="1">
        <f t="array" ref="N248">INDEX(GMWQ!$A$2:$LR$60,MATCH(1,(GMWQ!$LQ$2:$LQ$60=N$3)*(GMWQ!$LP$2:$LP$60=N$4)*(GMWQ!$LR$2:$LR$60=N$1),0),$B248-1966)</f>
        <v>27655.63</v>
      </c>
      <c r="O248" s="7" cm="1">
        <f t="array" ref="O248">INDEX(GMWQ!$A$2:$LR$60,MATCH(1,(GMWQ!$LQ$2:$LQ$60=O$3)*(GMWQ!$LP$2:$LP$60=O$4)*(GMWQ!$LR$2:$LR$60=O$1),0),$B248-1966)</f>
        <v>17061.87</v>
      </c>
      <c r="P248" s="7" cm="1">
        <f t="array" ref="P248">INDEX(GMWQ!$A$2:$LR$60,MATCH(1,(GMWQ!$LQ$2:$LQ$60=P$3)*(GMWQ!$LP$2:$LP$60=P$4)*(GMWQ!$LR$2:$LR$60=P$1),0),$B248-1966)</f>
        <v>626069.19999999995</v>
      </c>
      <c r="Q248" s="7" cm="1">
        <f t="array" ref="Q248">INDEX(GMWQ!$A$2:$LR$60,MATCH(1,(GMWQ!$LQ$2:$LQ$60=Q$3)*(GMWQ!$LP$2:$LP$60=Q$4)*(GMWQ!$LR$2:$LR$60=Q$1),0),$B248-1966)</f>
        <v>3.4999980000000002</v>
      </c>
      <c r="R248" s="7" cm="1">
        <f t="array" ref="R248">INDEX(GMWQ!$A$2:$LR$60,MATCH(1,(GMWQ!$LQ$2:$LQ$60=R$3)*(GMWQ!$LP$2:$LP$60=R$4)*(GMWQ!$LR$2:$LR$60=R$1),0),$B248-1966)</f>
        <v>256246.8</v>
      </c>
      <c r="S248" s="7" cm="1">
        <f t="array" ref="S248">INDEX(GMWQ!$A$2:$LR$60,MATCH(1,(GMWQ!$LQ$2:$LQ$60=S$3)*(GMWQ!$LP$2:$LP$60=S$4)*(GMWQ!$LR$2:$LR$60=S$1),0),$B248-1966)</f>
        <v>382.26029999999997</v>
      </c>
      <c r="T248" s="7" cm="1">
        <f t="array" ref="T248">INDEX(GMWQ!$A$2:$LR$60,MATCH(1,(GMWQ!$LQ$2:$LQ$60=T$3)*(GMWQ!$LP$2:$LP$60=T$4)*(GMWQ!$LR$2:$LR$60=T$1),0),$B248-1966)</f>
        <v>118854.1</v>
      </c>
      <c r="U248" s="7" cm="1">
        <f t="array" ref="U248">INDEX(GMWQ!$A$2:$LR$60,MATCH(1,(GMWQ!$LQ$2:$LQ$60=U$3)*(GMWQ!$LP$2:$LP$60=U$4)*(GMWQ!$LR$2:$LR$60=U$1),0),$B248-1966)</f>
        <v>25536.65</v>
      </c>
      <c r="V248" s="7" cm="1">
        <f t="array" ref="V248">INDEX(GMWQ!$A$2:$LR$60,MATCH(1,(GMWQ!$LQ$2:$LQ$60=V$3)*(GMWQ!$LP$2:$LP$60=V$4)*(GMWQ!$LR$2:$LR$60=V$1),0),$B248-1966)</f>
        <v>1.3684719999999999E-3</v>
      </c>
      <c r="W248" s="7" cm="1">
        <f t="array" ref="W248">INDEX(GMWQ!$A$2:$LR$60,MATCH(1,(GMWQ!$LQ$2:$LQ$60=W$3)*(GMWQ!$LP$2:$LP$60=W$4)*(GMWQ!$LR$2:$LR$60=W$1),0),$B248-1966)</f>
        <v>9.1221630000000005</v>
      </c>
      <c r="X248" s="7" cm="1">
        <f t="array" ref="X248">INDEX(GMWQ!$A$2:$LR$60,MATCH(1,(GMWQ!$LQ$2:$LQ$60=X$3)*(GMWQ!$LP$2:$LP$60=X$4)*(GMWQ!$LR$2:$LR$60=X$1),0),$B248-1966)</f>
        <v>8009819</v>
      </c>
      <c r="Y248" s="7" cm="1">
        <f t="array" ref="Y248">INDEX(GMWQ!$A$2:$LR$60,MATCH(1,(GMWQ!$LQ$2:$LQ$60=Y$3)*(GMWQ!$LP$2:$LP$60=Y$4)*(GMWQ!$LR$2:$LR$60=Y$1),0),$B248-1966)</f>
        <v>145.49950000000001</v>
      </c>
      <c r="Z248" s="7" cm="1">
        <f t="array" ref="Z248">INDEX(GMWQ!$A$2:$LR$60,MATCH(1,(GMWQ!$LQ$2:$LQ$60=Z$3)*(GMWQ!$LP$2:$LP$60=Z$4)*(GMWQ!$LR$2:$LR$60=Z$1),0),$B248-1966)</f>
        <v>659889.1</v>
      </c>
      <c r="AA248" s="7" cm="1">
        <f t="array" ref="AA248">INDEX(GMWQ!$A$2:$LR$60,MATCH(1,(GMWQ!$LQ$2:$LQ$60=AA$3)*(GMWQ!$LP$2:$LP$60=AA$4)*(GMWQ!$LR$2:$LR$60=AA$1),0),$B248-1966)</f>
        <v>385501.9</v>
      </c>
      <c r="AB248" s="7" cm="1">
        <f t="array" ref="AB248">INDEX(GMWQ!$A$2:$LR$60,MATCH(1,(GMWQ!$LQ$2:$LQ$60=AB$3)*(GMWQ!$LP$2:$LP$60=AB$4)*(GMWQ!$LR$2:$LR$60=AB$1),0),$B248-1966)</f>
        <v>370636.3</v>
      </c>
      <c r="AC248" s="7" cm="1">
        <f t="array" ref="AC248">INDEX(GMWQ!$A$2:$LR$60,MATCH(1,(GMWQ!$LQ$2:$LQ$60=AC$3)*(GMWQ!$LP$2:$LP$60=AC$4)*(GMWQ!$LR$2:$LR$60=AC$1),0),$B248-1966)</f>
        <v>12364.8</v>
      </c>
      <c r="AD248" s="7" cm="1">
        <f t="array" ref="AD248">INDEX(GMWQ!$A$2:$LR$60,MATCH(1,(GMWQ!$LQ$2:$LQ$60=AD$3)*(GMWQ!$LP$2:$LP$60=AD$4)*(GMWQ!$LR$2:$LR$60=AD$1),0),$B248-1966)</f>
        <v>21367.23</v>
      </c>
      <c r="AE248" s="7" cm="1">
        <f t="array" ref="AE248">INDEX(GMWQ!$A$2:$LR$60,MATCH(1,(GMWQ!$LQ$2:$LQ$60=AE$3)*(GMWQ!$LP$2:$LP$60=AE$4)*(GMWQ!$LR$2:$LR$60=AE$1),0),$B248-1966)</f>
        <v>960023.8</v>
      </c>
      <c r="AF248" s="20" cm="1">
        <f t="array" ref="AF248">INDEX(GMWQ!$A$2:$LR$60,MATCH(1,(GMWQ!$LQ$2:$LQ$60=AF$3)*(GMWQ!$LP$2:$LP$60=AF$4)*(GMWQ!$LR$2:$LR$60=AF$1),0),$B248-1966)</f>
        <v>2</v>
      </c>
      <c r="AG248" s="20" cm="1">
        <f t="array" ref="AG248">INDEX(GMWQ!$A$2:$LR$60,MATCH(1,(GMWQ!$LQ$2:$LQ$60=AG$3)*(GMWQ!$LP$2:$LP$60=AG$4)*(GMWQ!$LR$2:$LR$60=AG$1),0),$B248-1966)</f>
        <v>-10593.76</v>
      </c>
      <c r="AI248" s="23" cm="1">
        <f t="array" ref="AI248">INDEX(GMWQ!$A$2:$LR$60,MATCH(1,(GMWQ!$LQ$2:$LQ$60=AI$3)*(GMWQ!$LP$2:$LP$60=AI$4)*(GMWQ!$LR$2:$LR$60=AI$1),0),$B248-1966)</f>
        <v>626069.19999999995</v>
      </c>
      <c r="AJ248" s="23" cm="1">
        <f t="array" ref="AJ248">INDEX(GMWQ!$A$2:$LR$60,MATCH(1,(GMWQ!$LQ$2:$LQ$60=AJ$3)*(GMWQ!$LP$2:$LP$60=AJ$4)*(GMWQ!$LR$2:$LR$60=AJ$1),0),$B248-1966)</f>
        <v>145.67089999999999</v>
      </c>
      <c r="AK248" s="23" cm="1">
        <f t="array" ref="AK248">INDEX(GMWQ!$A$2:$LR$60,MATCH(1,(GMWQ!$LQ$2:$LQ$60=AK$3)*(GMWQ!$LP$2:$LP$60=AK$4)*(GMWQ!$LR$2:$LR$60=AK$1),0),$B248-1966)</f>
        <v>393303.6</v>
      </c>
      <c r="AL248" s="23" cm="1">
        <f t="array" ref="AL248">INDEX(GMWQ!$A$2:$LR$60,MATCH(1,(GMWQ!$LQ$2:$LQ$60=AL$3)*(GMWQ!$LP$2:$LP$60=AL$4)*(GMWQ!$LR$2:$LR$60=AL$1),0),$B248-1966)</f>
        <v>12712.26</v>
      </c>
      <c r="AM248" s="23" cm="1">
        <f t="array" ref="AM248">INDEX(GMWQ!$A$2:$LR$60,MATCH(1,(GMWQ!$LQ$2:$LQ$60=AM$3)*(GMWQ!$LP$2:$LP$60=AM$4)*(GMWQ!$LR$2:$LR$60=AM$1),0),$B248-1966)</f>
        <v>30938.92</v>
      </c>
      <c r="AN248" s="23" cm="1">
        <f t="array" ref="AN248">INDEX(GMWQ!$A$2:$LR$60,MATCH(1,(GMWQ!$LQ$2:$LQ$60=AN$3)*(GMWQ!$LP$2:$LP$60=AN$4)*(GMWQ!$LR$2:$LR$60=AN$1),0),$B248-1966)</f>
        <v>115562</v>
      </c>
      <c r="AO248" s="23" cm="1">
        <f t="array" ref="AO248">INDEX(GMWQ!$A$2:$LR$60,MATCH(1,(GMWQ!$LQ$2:$LQ$60=AO$3)*(GMWQ!$LP$2:$LP$60=AO$4)*(GMWQ!$LR$2:$LR$60=AO$1),0),$B248-1966)</f>
        <v>26449.67</v>
      </c>
      <c r="AP248" s="23" cm="1">
        <f t="array" ref="AP248">INDEX(GMWQ!$A$2:$LR$60,MATCH(1,(GMWQ!$LQ$2:$LQ$60=AP$3)*(GMWQ!$LP$2:$LP$60=AP$4)*(GMWQ!$LR$2:$LR$60=AP$1),0),$B248-1966)</f>
        <v>-10593.76</v>
      </c>
      <c r="AQ248" s="23" cm="1">
        <f t="array" ref="AQ248">INDEX(GMWQ!$A$2:$LR$60,MATCH(1,(GMWQ!$LQ$2:$LQ$60=AQ$3)*(GMWQ!$LP$2:$LP$60=AQ$4)*(GMWQ!$LR$2:$LR$60=AQ$1),0),$B248-1966)</f>
        <v>135259.70000000001</v>
      </c>
      <c r="AR248" s="23" cm="1">
        <f t="array" ref="AR248">INDEX(GMWQ!$A$2:$LR$60,MATCH(1,(GMWQ!$LQ$2:$LQ$60=AR$3)*(GMWQ!$LP$2:$LP$60=AR$4)*(GMWQ!$LR$2:$LR$60=AR$1),0),$B248-1966)</f>
        <v>578003.19999999995</v>
      </c>
      <c r="AS248" s="23" cm="1">
        <f t="array" ref="AS248">INDEX(GMWQ!$A$2:$LR$60,MATCH(1,(GMWQ!$LQ$2:$LQ$60=AS$3)*(GMWQ!$LP$2:$LP$60=AS$4)*(GMWQ!$LR$2:$LR$60=AS$1),0),$B248-1966)</f>
        <v>19531.669999999998</v>
      </c>
      <c r="AT248" s="23" cm="1">
        <f t="array" ref="AT248">INDEX(GMWQ!$A$2:$LR$60,MATCH(1,(GMWQ!$LQ$2:$LQ$60=AT$3)*(GMWQ!$LP$2:$LP$60=AT$4)*(GMWQ!$LR$2:$LR$60=AT$1),0),$B248-1966)</f>
        <v>396787</v>
      </c>
      <c r="AU248" s="23" cm="1">
        <f t="array" ref="AU248">INDEX(GMWQ!$A$2:$LR$60,MATCH(1,(GMWQ!$LQ$2:$LQ$60=AU$3)*(GMWQ!$LP$2:$LP$60=AU$4)*(GMWQ!$LR$2:$LR$60=AU$1),0),$B248-1966)</f>
        <v>14120.71</v>
      </c>
    </row>
    <row r="249" spans="1:47" x14ac:dyDescent="0.35">
      <c r="B249" s="7">
        <f t="shared" si="5"/>
        <v>2215</v>
      </c>
      <c r="C249" s="7" cm="1">
        <f t="array" ref="C249">INDEX(GMWQ!$A$2:$LR$60,MATCH(1,(GMWQ!$LQ$2:$LQ$60=C$3)*(GMWQ!$LP$2:$LP$60=C$4)*(GMWQ!$LR$2:$LR$60=C$1),0),$B249-1966)</f>
        <v>662144.69999999995</v>
      </c>
      <c r="D249" s="7" cm="1">
        <f t="array" ref="D249">INDEX(GMWQ!$A$2:$LR$60,MATCH(1,(GMWQ!$LQ$2:$LQ$60=D$3)*(GMWQ!$LP$2:$LP$60=D$4)*(GMWQ!$LR$2:$LR$60=D$1),0),$B249-1966)</f>
        <v>880.53530000000001</v>
      </c>
      <c r="E249" s="7" cm="1">
        <f t="array" ref="E249">INDEX(GMWQ!$A$2:$LR$60,MATCH(1,(GMWQ!$LQ$2:$LQ$60=E$3)*(GMWQ!$LP$2:$LP$60=E$4)*(GMWQ!$LR$2:$LR$60=E$1),0),$B249-1966)</f>
        <v>160.7484</v>
      </c>
      <c r="F249" s="7" cm="1">
        <f t="array" ref="F249">INDEX(GMWQ!$A$2:$LR$60,MATCH(1,(GMWQ!$LQ$2:$LQ$60=F$3)*(GMWQ!$LP$2:$LP$60=F$4)*(GMWQ!$LR$2:$LR$60=F$1),0),$B249-1966)</f>
        <v>396652.79999999999</v>
      </c>
      <c r="G249" s="7" cm="1">
        <f t="array" ref="G249">INDEX(GMWQ!$A$2:$LR$60,MATCH(1,(GMWQ!$LQ$2:$LQ$60=G$3)*(GMWQ!$LP$2:$LP$60=G$4)*(GMWQ!$LR$2:$LR$60=G$1),0),$B249-1966)</f>
        <v>116698.3</v>
      </c>
      <c r="H249" s="7" cm="1">
        <f t="array" ref="H249">INDEX(GMWQ!$A$2:$LR$60,MATCH(1,(GMWQ!$LQ$2:$LQ$60=H$3)*(GMWQ!$LP$2:$LP$60=H$4)*(GMWQ!$LR$2:$LR$60=H$1),0),$B249-1966)</f>
        <v>26674.9</v>
      </c>
      <c r="I249" s="7" cm="1">
        <f t="array" ref="I249">INDEX(GMWQ!$A$2:$LR$60,MATCH(1,(GMWQ!$LQ$2:$LQ$60=I$3)*(GMWQ!$LP$2:$LP$60=I$4)*(GMWQ!$LR$2:$LR$60=I$1),0),$B249-1966)</f>
        <v>146.3937</v>
      </c>
      <c r="J249" s="7" cm="1">
        <f t="array" ref="J249">INDEX(GMWQ!$A$2:$LR$60,MATCH(1,(GMWQ!$LQ$2:$LQ$60=J$3)*(GMWQ!$LP$2:$LP$60=J$4)*(GMWQ!$LR$2:$LR$60=J$1),0),$B249-1966)</f>
        <v>30977.29</v>
      </c>
      <c r="K249" s="7" cm="1">
        <f t="array" ref="K249">INDEX(GMWQ!$A$2:$LR$60,MATCH(1,(GMWQ!$LQ$2:$LQ$60=K$3)*(GMWQ!$LP$2:$LP$60=K$4)*(GMWQ!$LR$2:$LR$60=K$1),0),$B249-1966)</f>
        <v>2</v>
      </c>
      <c r="L249" s="7" cm="1">
        <f t="array" ref="L249">INDEX(GMWQ!$A$2:$LR$60,MATCH(1,(GMWQ!$LQ$2:$LQ$60=L$3)*(GMWQ!$LP$2:$LP$60=L$4)*(GMWQ!$LR$2:$LR$60=L$1),0),$B249-1966)</f>
        <v>3.750124</v>
      </c>
      <c r="M249" s="7" cm="1">
        <f t="array" ref="M249">INDEX(GMWQ!$A$2:$LR$60,MATCH(1,(GMWQ!$LQ$2:$LQ$60=M$3)*(GMWQ!$LP$2:$LP$60=M$4)*(GMWQ!$LR$2:$LR$60=M$1),0),$B249-1966)</f>
        <v>194.10810000000001</v>
      </c>
      <c r="N249" s="7" cm="1">
        <f t="array" ref="N249">INDEX(GMWQ!$A$2:$LR$60,MATCH(1,(GMWQ!$LQ$2:$LQ$60=N$3)*(GMWQ!$LP$2:$LP$60=N$4)*(GMWQ!$LR$2:$LR$60=N$1),0),$B249-1966)</f>
        <v>27988.959999999999</v>
      </c>
      <c r="O249" s="7" cm="1">
        <f t="array" ref="O249">INDEX(GMWQ!$A$2:$LR$60,MATCH(1,(GMWQ!$LQ$2:$LQ$60=O$3)*(GMWQ!$LP$2:$LP$60=O$4)*(GMWQ!$LR$2:$LR$60=O$1),0),$B249-1966)</f>
        <v>17201.28</v>
      </c>
      <c r="P249" s="7" cm="1">
        <f t="array" ref="P249">INDEX(GMWQ!$A$2:$LR$60,MATCH(1,(GMWQ!$LQ$2:$LQ$60=P$3)*(GMWQ!$LP$2:$LP$60=P$4)*(GMWQ!$LR$2:$LR$60=P$1),0),$B249-1966)</f>
        <v>631414.4</v>
      </c>
      <c r="Q249" s="7" cm="1">
        <f t="array" ref="Q249">INDEX(GMWQ!$A$2:$LR$60,MATCH(1,(GMWQ!$LQ$2:$LQ$60=Q$3)*(GMWQ!$LP$2:$LP$60=Q$4)*(GMWQ!$LR$2:$LR$60=Q$1),0),$B249-1966)</f>
        <v>3.4999989999999999</v>
      </c>
      <c r="R249" s="7" cm="1">
        <f t="array" ref="R249">INDEX(GMWQ!$A$2:$LR$60,MATCH(1,(GMWQ!$LQ$2:$LQ$60=R$3)*(GMWQ!$LP$2:$LP$60=R$4)*(GMWQ!$LR$2:$LR$60=R$1),0),$B249-1966)</f>
        <v>256301.6</v>
      </c>
      <c r="S249" s="7" cm="1">
        <f t="array" ref="S249">INDEX(GMWQ!$A$2:$LR$60,MATCH(1,(GMWQ!$LQ$2:$LQ$60=S$3)*(GMWQ!$LP$2:$LP$60=S$4)*(GMWQ!$LR$2:$LR$60=S$1),0),$B249-1966)</f>
        <v>382.34190000000001</v>
      </c>
      <c r="T249" s="7" cm="1">
        <f t="array" ref="T249">INDEX(GMWQ!$A$2:$LR$60,MATCH(1,(GMWQ!$LQ$2:$LQ$60=T$3)*(GMWQ!$LP$2:$LP$60=T$4)*(GMWQ!$LR$2:$LR$60=T$1),0),$B249-1966)</f>
        <v>119650.6</v>
      </c>
      <c r="U249" s="7" cm="1">
        <f t="array" ref="U249">INDEX(GMWQ!$A$2:$LR$60,MATCH(1,(GMWQ!$LQ$2:$LQ$60=U$3)*(GMWQ!$LP$2:$LP$60=U$4)*(GMWQ!$LR$2:$LR$60=U$1),0),$B249-1966)</f>
        <v>25337.79</v>
      </c>
      <c r="V249" s="7" cm="1">
        <f t="array" ref="V249">INDEX(GMWQ!$A$2:$LR$60,MATCH(1,(GMWQ!$LQ$2:$LQ$60=V$3)*(GMWQ!$LP$2:$LP$60=V$4)*(GMWQ!$LR$2:$LR$60=V$1),0),$B249-1966)</f>
        <v>1.368277E-3</v>
      </c>
      <c r="W249" s="7" cm="1">
        <f t="array" ref="W249">INDEX(GMWQ!$A$2:$LR$60,MATCH(1,(GMWQ!$LQ$2:$LQ$60=W$3)*(GMWQ!$LP$2:$LP$60=W$4)*(GMWQ!$LR$2:$LR$60=W$1),0),$B249-1966)</f>
        <v>9.1174820000000008</v>
      </c>
      <c r="X249" s="7" cm="1">
        <f t="array" ref="X249">INDEX(GMWQ!$A$2:$LR$60,MATCH(1,(GMWQ!$LQ$2:$LQ$60=X$3)*(GMWQ!$LP$2:$LP$60=X$4)*(GMWQ!$LR$2:$LR$60=X$1),0),$B249-1966)</f>
        <v>8092970</v>
      </c>
      <c r="Y249" s="7" cm="1">
        <f t="array" ref="Y249">INDEX(GMWQ!$A$2:$LR$60,MATCH(1,(GMWQ!$LQ$2:$LQ$60=Y$3)*(GMWQ!$LP$2:$LP$60=Y$4)*(GMWQ!$LR$2:$LR$60=Y$1),0),$B249-1966)</f>
        <v>146.2852</v>
      </c>
      <c r="Z249" s="7" cm="1">
        <f t="array" ref="Z249">INDEX(GMWQ!$A$2:$LR$60,MATCH(1,(GMWQ!$LQ$2:$LQ$60=Z$3)*(GMWQ!$LP$2:$LP$60=Z$4)*(GMWQ!$LR$2:$LR$60=Z$1),0),$B249-1966)</f>
        <v>662210.9</v>
      </c>
      <c r="AA249" s="7" cm="1">
        <f t="array" ref="AA249">INDEX(GMWQ!$A$2:$LR$60,MATCH(1,(GMWQ!$LQ$2:$LQ$60=AA$3)*(GMWQ!$LP$2:$LP$60=AA$4)*(GMWQ!$LR$2:$LR$60=AA$1),0),$B249-1966)</f>
        <v>402853.8</v>
      </c>
      <c r="AB249" s="7" cm="1">
        <f t="array" ref="AB249">INDEX(GMWQ!$A$2:$LR$60,MATCH(1,(GMWQ!$LQ$2:$LQ$60=AB$3)*(GMWQ!$LP$2:$LP$60=AB$4)*(GMWQ!$LR$2:$LR$60=AB$1),0),$B249-1966)</f>
        <v>373794.6</v>
      </c>
      <c r="AC249" s="7" cm="1">
        <f t="array" ref="AC249">INDEX(GMWQ!$A$2:$LR$60,MATCH(1,(GMWQ!$LQ$2:$LQ$60=AC$3)*(GMWQ!$LP$2:$LP$60=AC$4)*(GMWQ!$LR$2:$LR$60=AC$1),0),$B249-1966)</f>
        <v>14075</v>
      </c>
      <c r="AD249" s="7" cm="1">
        <f t="array" ref="AD249">INDEX(GMWQ!$A$2:$LR$60,MATCH(1,(GMWQ!$LQ$2:$LQ$60=AD$3)*(GMWQ!$LP$2:$LP$60=AD$4)*(GMWQ!$LR$2:$LR$60=AD$1),0),$B249-1966)</f>
        <v>21367.23</v>
      </c>
      <c r="AE249" s="7" cm="1">
        <f t="array" ref="AE249">INDEX(GMWQ!$A$2:$LR$60,MATCH(1,(GMWQ!$LQ$2:$LQ$60=AE$3)*(GMWQ!$LP$2:$LP$60=AE$4)*(GMWQ!$LR$2:$LR$60=AE$1),0),$B249-1966)</f>
        <v>968619.9</v>
      </c>
      <c r="AF249" s="20" cm="1">
        <f t="array" ref="AF249">INDEX(GMWQ!$A$2:$LR$60,MATCH(1,(GMWQ!$LQ$2:$LQ$60=AF$3)*(GMWQ!$LP$2:$LP$60=AF$4)*(GMWQ!$LR$2:$LR$60=AF$1),0),$B249-1966)</f>
        <v>2</v>
      </c>
      <c r="AG249" s="20" cm="1">
        <f t="array" ref="AG249">INDEX(GMWQ!$A$2:$LR$60,MATCH(1,(GMWQ!$LQ$2:$LQ$60=AG$3)*(GMWQ!$LP$2:$LP$60=AG$4)*(GMWQ!$LR$2:$LR$60=AG$1),0),$B249-1966)</f>
        <v>-10787.68</v>
      </c>
      <c r="AI249" s="23" cm="1">
        <f t="array" ref="AI249">INDEX(GMWQ!$A$2:$LR$60,MATCH(1,(GMWQ!$LQ$2:$LQ$60=AI$3)*(GMWQ!$LP$2:$LP$60=AI$4)*(GMWQ!$LR$2:$LR$60=AI$1),0),$B249-1966)</f>
        <v>631414.4</v>
      </c>
      <c r="AJ249" s="23" cm="1">
        <f t="array" ref="AJ249">INDEX(GMWQ!$A$2:$LR$60,MATCH(1,(GMWQ!$LQ$2:$LQ$60=AJ$3)*(GMWQ!$LP$2:$LP$60=AJ$4)*(GMWQ!$LR$2:$LR$60=AJ$1),0),$B249-1966)</f>
        <v>146.3937</v>
      </c>
      <c r="AK249" s="23" cm="1">
        <f t="array" ref="AK249">INDEX(GMWQ!$A$2:$LR$60,MATCH(1,(GMWQ!$LQ$2:$LQ$60=AK$3)*(GMWQ!$LP$2:$LP$60=AK$4)*(GMWQ!$LR$2:$LR$60=AK$1),0),$B249-1966)</f>
        <v>396652.79999999999</v>
      </c>
      <c r="AL249" s="23" cm="1">
        <f t="array" ref="AL249">INDEX(GMWQ!$A$2:$LR$60,MATCH(1,(GMWQ!$LQ$2:$LQ$60=AL$3)*(GMWQ!$LP$2:$LP$60=AL$4)*(GMWQ!$LR$2:$LR$60=AL$1),0),$B249-1966)</f>
        <v>12804.63</v>
      </c>
      <c r="AM249" s="23" cm="1">
        <f t="array" ref="AM249">INDEX(GMWQ!$A$2:$LR$60,MATCH(1,(GMWQ!$LQ$2:$LQ$60=AM$3)*(GMWQ!$LP$2:$LP$60=AM$4)*(GMWQ!$LR$2:$LR$60=AM$1),0),$B249-1966)</f>
        <v>30977.29</v>
      </c>
      <c r="AN249" s="23" cm="1">
        <f t="array" ref="AN249">INDEX(GMWQ!$A$2:$LR$60,MATCH(1,(GMWQ!$LQ$2:$LQ$60=AN$3)*(GMWQ!$LP$2:$LP$60=AN$4)*(GMWQ!$LR$2:$LR$60=AN$1),0),$B249-1966)</f>
        <v>116698.3</v>
      </c>
      <c r="AO249" s="23" cm="1">
        <f t="array" ref="AO249">INDEX(GMWQ!$A$2:$LR$60,MATCH(1,(GMWQ!$LQ$2:$LQ$60=AO$3)*(GMWQ!$LP$2:$LP$60=AO$4)*(GMWQ!$LR$2:$LR$60=AO$1),0),$B249-1966)</f>
        <v>26674.9</v>
      </c>
      <c r="AP249" s="23" cm="1">
        <f t="array" ref="AP249">INDEX(GMWQ!$A$2:$LR$60,MATCH(1,(GMWQ!$LQ$2:$LQ$60=AP$3)*(GMWQ!$LP$2:$LP$60=AP$4)*(GMWQ!$LR$2:$LR$60=AP$1),0),$B249-1966)</f>
        <v>-10787.68</v>
      </c>
      <c r="AQ249" s="23" cm="1">
        <f t="array" ref="AQ249">INDEX(GMWQ!$A$2:$LR$60,MATCH(1,(GMWQ!$LQ$2:$LQ$60=AQ$3)*(GMWQ!$LP$2:$LP$60=AQ$4)*(GMWQ!$LR$2:$LR$60=AQ$1),0),$B249-1966)</f>
        <v>136537.60000000001</v>
      </c>
      <c r="AR249" s="23" cm="1">
        <f t="array" ref="AR249">INDEX(GMWQ!$A$2:$LR$60,MATCH(1,(GMWQ!$LQ$2:$LQ$60=AR$3)*(GMWQ!$LP$2:$LP$60=AR$4)*(GMWQ!$LR$2:$LR$60=AR$1),0),$B249-1966)</f>
        <v>582889.69999999995</v>
      </c>
      <c r="AS249" s="23" cm="1">
        <f t="array" ref="AS249">INDEX(GMWQ!$A$2:$LR$60,MATCH(1,(GMWQ!$LQ$2:$LQ$60=AS$3)*(GMWQ!$LP$2:$LP$60=AS$4)*(GMWQ!$LR$2:$LR$60=AS$1),0),$B249-1966)</f>
        <v>19705.78</v>
      </c>
      <c r="AT249" s="23" cm="1">
        <f t="array" ref="AT249">INDEX(GMWQ!$A$2:$LR$60,MATCH(1,(GMWQ!$LQ$2:$LQ$60=AT$3)*(GMWQ!$LP$2:$LP$60=AT$4)*(GMWQ!$LR$2:$LR$60=AT$1),0),$B249-1966)</f>
        <v>398165.8</v>
      </c>
      <c r="AU249" s="23" cm="1">
        <f t="array" ref="AU249">INDEX(GMWQ!$A$2:$LR$60,MATCH(1,(GMWQ!$LQ$2:$LQ$60=AU$3)*(GMWQ!$LP$2:$LP$60=AU$4)*(GMWQ!$LR$2:$LR$60=AU$1),0),$B249-1966)</f>
        <v>14169.92</v>
      </c>
    </row>
    <row r="250" spans="1:47" x14ac:dyDescent="0.35">
      <c r="B250" s="7">
        <f t="shared" si="5"/>
        <v>2216</v>
      </c>
      <c r="C250" s="7" cm="1">
        <f t="array" ref="C250">INDEX(GMWQ!$A$2:$LR$60,MATCH(1,(GMWQ!$LQ$2:$LQ$60=C$3)*(GMWQ!$LP$2:$LP$60=C$4)*(GMWQ!$LR$2:$LR$60=C$1),0),$B250-1966)</f>
        <v>664492.9</v>
      </c>
      <c r="D250" s="7" cm="1">
        <f t="array" ref="D250">INDEX(GMWQ!$A$2:$LR$60,MATCH(1,(GMWQ!$LQ$2:$LQ$60=D$3)*(GMWQ!$LP$2:$LP$60=D$4)*(GMWQ!$LR$2:$LR$60=D$1),0),$B250-1966)</f>
        <v>886.96669999999995</v>
      </c>
      <c r="E250" s="7" cm="1">
        <f t="array" ref="E250">INDEX(GMWQ!$A$2:$LR$60,MATCH(1,(GMWQ!$LQ$2:$LQ$60=E$3)*(GMWQ!$LP$2:$LP$60=E$4)*(GMWQ!$LR$2:$LR$60=E$1),0),$B250-1966)</f>
        <v>161.42740000000001</v>
      </c>
      <c r="F250" s="7" cm="1">
        <f t="array" ref="F250">INDEX(GMWQ!$A$2:$LR$60,MATCH(1,(GMWQ!$LQ$2:$LQ$60=F$3)*(GMWQ!$LP$2:$LP$60=F$4)*(GMWQ!$LR$2:$LR$60=F$1),0),$B250-1966)</f>
        <v>400030.7</v>
      </c>
      <c r="G250" s="7" cm="1">
        <f t="array" ref="G250">INDEX(GMWQ!$A$2:$LR$60,MATCH(1,(GMWQ!$LQ$2:$LQ$60=G$3)*(GMWQ!$LP$2:$LP$60=G$4)*(GMWQ!$LR$2:$LR$60=G$1),0),$B250-1966)</f>
        <v>117835</v>
      </c>
      <c r="H250" s="7" cm="1">
        <f t="array" ref="H250">INDEX(GMWQ!$A$2:$LR$60,MATCH(1,(GMWQ!$LQ$2:$LQ$60=H$3)*(GMWQ!$LP$2:$LP$60=H$4)*(GMWQ!$LR$2:$LR$60=H$1),0),$B250-1966)</f>
        <v>26902.06</v>
      </c>
      <c r="I250" s="7" cm="1">
        <f t="array" ref="I250">INDEX(GMWQ!$A$2:$LR$60,MATCH(1,(GMWQ!$LQ$2:$LQ$60=I$3)*(GMWQ!$LP$2:$LP$60=I$4)*(GMWQ!$LR$2:$LR$60=I$1),0),$B250-1966)</f>
        <v>147.12010000000001</v>
      </c>
      <c r="J250" s="7" cm="1">
        <f t="array" ref="J250">INDEX(GMWQ!$A$2:$LR$60,MATCH(1,(GMWQ!$LQ$2:$LQ$60=J$3)*(GMWQ!$LP$2:$LP$60=J$4)*(GMWQ!$LR$2:$LR$60=J$1),0),$B250-1966)</f>
        <v>31014.55</v>
      </c>
      <c r="K250" s="7" cm="1">
        <f t="array" ref="K250">INDEX(GMWQ!$A$2:$LR$60,MATCH(1,(GMWQ!$LQ$2:$LQ$60=K$3)*(GMWQ!$LP$2:$LP$60=K$4)*(GMWQ!$LR$2:$LR$60=K$1),0),$B250-1966)</f>
        <v>2</v>
      </c>
      <c r="L250" s="7" cm="1">
        <f t="array" ref="L250">INDEX(GMWQ!$A$2:$LR$60,MATCH(1,(GMWQ!$LQ$2:$LQ$60=L$3)*(GMWQ!$LP$2:$LP$60=L$4)*(GMWQ!$LR$2:$LR$60=L$1),0),$B250-1966)</f>
        <v>3.750105</v>
      </c>
      <c r="M250" s="7" cm="1">
        <f t="array" ref="M250">INDEX(GMWQ!$A$2:$LR$60,MATCH(1,(GMWQ!$LQ$2:$LQ$60=M$3)*(GMWQ!$LP$2:$LP$60=M$4)*(GMWQ!$LR$2:$LR$60=M$1),0),$B250-1966)</f>
        <v>195.76429999999999</v>
      </c>
      <c r="N250" s="7" cm="1">
        <f t="array" ref="N250">INDEX(GMWQ!$A$2:$LR$60,MATCH(1,(GMWQ!$LQ$2:$LQ$60=N$3)*(GMWQ!$LP$2:$LP$60=N$4)*(GMWQ!$LR$2:$LR$60=N$1),0),$B250-1966)</f>
        <v>28321.32</v>
      </c>
      <c r="O250" s="7" cm="1">
        <f t="array" ref="O250">INDEX(GMWQ!$A$2:$LR$60,MATCH(1,(GMWQ!$LQ$2:$LQ$60=O$3)*(GMWQ!$LP$2:$LP$60=O$4)*(GMWQ!$LR$2:$LR$60=O$1),0),$B250-1966)</f>
        <v>17333.39</v>
      </c>
      <c r="P250" s="7" cm="1">
        <f t="array" ref="P250">INDEX(GMWQ!$A$2:$LR$60,MATCH(1,(GMWQ!$LQ$2:$LQ$60=P$3)*(GMWQ!$LP$2:$LP$60=P$4)*(GMWQ!$LR$2:$LR$60=P$1),0),$B250-1966)</f>
        <v>636760.80000000005</v>
      </c>
      <c r="Q250" s="7" cm="1">
        <f t="array" ref="Q250">INDEX(GMWQ!$A$2:$LR$60,MATCH(1,(GMWQ!$LQ$2:$LQ$60=Q$3)*(GMWQ!$LP$2:$LP$60=Q$4)*(GMWQ!$LR$2:$LR$60=Q$1),0),$B250-1966)</f>
        <v>3.5</v>
      </c>
      <c r="R250" s="7" cm="1">
        <f t="array" ref="R250">INDEX(GMWQ!$A$2:$LR$60,MATCH(1,(GMWQ!$LQ$2:$LQ$60=R$3)*(GMWQ!$LP$2:$LP$60=R$4)*(GMWQ!$LR$2:$LR$60=R$1),0),$B250-1966)</f>
        <v>256325.5</v>
      </c>
      <c r="S250" s="7" cm="1">
        <f t="array" ref="S250">INDEX(GMWQ!$A$2:$LR$60,MATCH(1,(GMWQ!$LQ$2:$LQ$60=S$3)*(GMWQ!$LP$2:$LP$60=S$4)*(GMWQ!$LR$2:$LR$60=S$1),0),$B250-1966)</f>
        <v>382.3777</v>
      </c>
      <c r="T250" s="7" cm="1">
        <f t="array" ref="T250">INDEX(GMWQ!$A$2:$LR$60,MATCH(1,(GMWQ!$LQ$2:$LQ$60=T$3)*(GMWQ!$LP$2:$LP$60=T$4)*(GMWQ!$LR$2:$LR$60=T$1),0),$B250-1966)</f>
        <v>120411</v>
      </c>
      <c r="U250" s="7" cm="1">
        <f t="array" ref="U250">INDEX(GMWQ!$A$2:$LR$60,MATCH(1,(GMWQ!$LQ$2:$LQ$60=U$3)*(GMWQ!$LP$2:$LP$60=U$4)*(GMWQ!$LR$2:$LR$60=U$1),0),$B250-1966)</f>
        <v>25110.720000000001</v>
      </c>
      <c r="V250" s="7" cm="1">
        <f t="array" ref="V250">INDEX(GMWQ!$A$2:$LR$60,MATCH(1,(GMWQ!$LQ$2:$LQ$60=V$3)*(GMWQ!$LP$2:$LP$60=V$4)*(GMWQ!$LR$2:$LR$60=V$1),0),$B250-1966)</f>
        <v>1.3693430000000001E-3</v>
      </c>
      <c r="W250" s="7" cm="1">
        <f t="array" ref="W250">INDEX(GMWQ!$A$2:$LR$60,MATCH(1,(GMWQ!$LQ$2:$LQ$60=W$3)*(GMWQ!$LP$2:$LP$60=W$4)*(GMWQ!$LR$2:$LR$60=W$1),0),$B250-1966)</f>
        <v>9.1151700000000009</v>
      </c>
      <c r="X250" s="7" cm="1">
        <f t="array" ref="X250">INDEX(GMWQ!$A$2:$LR$60,MATCH(1,(GMWQ!$LQ$2:$LQ$60=X$3)*(GMWQ!$LP$2:$LP$60=X$4)*(GMWQ!$LR$2:$LR$60=X$1),0),$B250-1966)</f>
        <v>8157304</v>
      </c>
      <c r="Y250" s="7" cm="1">
        <f t="array" ref="Y250">INDEX(GMWQ!$A$2:$LR$60,MATCH(1,(GMWQ!$LQ$2:$LQ$60=Y$3)*(GMWQ!$LP$2:$LP$60=Y$4)*(GMWQ!$LR$2:$LR$60=Y$1),0),$B250-1966)</f>
        <v>147.0752</v>
      </c>
      <c r="Z250" s="7" cm="1">
        <f t="array" ref="Z250">INDEX(GMWQ!$A$2:$LR$60,MATCH(1,(GMWQ!$LQ$2:$LQ$60=Z$3)*(GMWQ!$LP$2:$LP$60=Z$4)*(GMWQ!$LR$2:$LR$60=Z$1),0),$B250-1966)</f>
        <v>664527</v>
      </c>
      <c r="AA250" s="7" cm="1">
        <f t="array" ref="AA250">INDEX(GMWQ!$A$2:$LR$60,MATCH(1,(GMWQ!$LQ$2:$LQ$60=AA$3)*(GMWQ!$LP$2:$LP$60=AA$4)*(GMWQ!$LR$2:$LR$60=AA$1),0),$B250-1966)</f>
        <v>388327.7</v>
      </c>
      <c r="AB250" s="7" cm="1">
        <f t="array" ref="AB250">INDEX(GMWQ!$A$2:$LR$60,MATCH(1,(GMWQ!$LQ$2:$LQ$60=AB$3)*(GMWQ!$LP$2:$LP$60=AB$4)*(GMWQ!$LR$2:$LR$60=AB$1),0),$B250-1966)</f>
        <v>376870</v>
      </c>
      <c r="AC250" s="7" cm="1">
        <f t="array" ref="AC250">INDEX(GMWQ!$A$2:$LR$60,MATCH(1,(GMWQ!$LQ$2:$LQ$60=AC$3)*(GMWQ!$LP$2:$LP$60=AC$4)*(GMWQ!$LR$2:$LR$60=AC$1),0),$B250-1966)</f>
        <v>15014.86</v>
      </c>
      <c r="AD250" s="7" cm="1">
        <f t="array" ref="AD250">INDEX(GMWQ!$A$2:$LR$60,MATCH(1,(GMWQ!$LQ$2:$LQ$60=AD$3)*(GMWQ!$LP$2:$LP$60=AD$4)*(GMWQ!$LR$2:$LR$60=AD$1),0),$B250-1966)</f>
        <v>21367.23</v>
      </c>
      <c r="AE250" s="7" cm="1">
        <f t="array" ref="AE250">INDEX(GMWQ!$A$2:$LR$60,MATCH(1,(GMWQ!$LQ$2:$LQ$60=AE$3)*(GMWQ!$LP$2:$LP$60=AE$4)*(GMWQ!$LR$2:$LR$60=AE$1),0),$B250-1966)</f>
        <v>977304.1</v>
      </c>
      <c r="AF250" s="20" cm="1">
        <f t="array" ref="AF250">INDEX(GMWQ!$A$2:$LR$60,MATCH(1,(GMWQ!$LQ$2:$LQ$60=AF$3)*(GMWQ!$LP$2:$LP$60=AF$4)*(GMWQ!$LR$2:$LR$60=AF$1),0),$B250-1966)</f>
        <v>2</v>
      </c>
      <c r="AG250" s="20" cm="1">
        <f t="array" ref="AG250">INDEX(GMWQ!$A$2:$LR$60,MATCH(1,(GMWQ!$LQ$2:$LQ$60=AG$3)*(GMWQ!$LP$2:$LP$60=AG$4)*(GMWQ!$LR$2:$LR$60=AG$1),0),$B250-1966)</f>
        <v>-10987.93</v>
      </c>
      <c r="AI250" s="23" cm="1">
        <f t="array" ref="AI250">INDEX(GMWQ!$A$2:$LR$60,MATCH(1,(GMWQ!$LQ$2:$LQ$60=AI$3)*(GMWQ!$LP$2:$LP$60=AI$4)*(GMWQ!$LR$2:$LR$60=AI$1),0),$B250-1966)</f>
        <v>636760.80000000005</v>
      </c>
      <c r="AJ250" s="23" cm="1">
        <f t="array" ref="AJ250">INDEX(GMWQ!$A$2:$LR$60,MATCH(1,(GMWQ!$LQ$2:$LQ$60=AJ$3)*(GMWQ!$LP$2:$LP$60=AJ$4)*(GMWQ!$LR$2:$LR$60=AJ$1),0),$B250-1966)</f>
        <v>147.12010000000001</v>
      </c>
      <c r="AK250" s="23" cm="1">
        <f t="array" ref="AK250">INDEX(GMWQ!$A$2:$LR$60,MATCH(1,(GMWQ!$LQ$2:$LQ$60=AK$3)*(GMWQ!$LP$2:$LP$60=AK$4)*(GMWQ!$LR$2:$LR$60=AK$1),0),$B250-1966)</f>
        <v>400030.7</v>
      </c>
      <c r="AL250" s="23" cm="1">
        <f t="array" ref="AL250">INDEX(GMWQ!$A$2:$LR$60,MATCH(1,(GMWQ!$LQ$2:$LQ$60=AL$3)*(GMWQ!$LP$2:$LP$60=AL$4)*(GMWQ!$LR$2:$LR$60=AL$1),0),$B250-1966)</f>
        <v>12898.16</v>
      </c>
      <c r="AM250" s="23" cm="1">
        <f t="array" ref="AM250">INDEX(GMWQ!$A$2:$LR$60,MATCH(1,(GMWQ!$LQ$2:$LQ$60=AM$3)*(GMWQ!$LP$2:$LP$60=AM$4)*(GMWQ!$LR$2:$LR$60=AM$1),0),$B250-1966)</f>
        <v>31014.55</v>
      </c>
      <c r="AN250" s="23" cm="1">
        <f t="array" ref="AN250">INDEX(GMWQ!$A$2:$LR$60,MATCH(1,(GMWQ!$LQ$2:$LQ$60=AN$3)*(GMWQ!$LP$2:$LP$60=AN$4)*(GMWQ!$LR$2:$LR$60=AN$1),0),$B250-1966)</f>
        <v>117835</v>
      </c>
      <c r="AO250" s="23" cm="1">
        <f t="array" ref="AO250">INDEX(GMWQ!$A$2:$LR$60,MATCH(1,(GMWQ!$LQ$2:$LQ$60=AO$3)*(GMWQ!$LP$2:$LP$60=AO$4)*(GMWQ!$LR$2:$LR$60=AO$1),0),$B250-1966)</f>
        <v>26902.06</v>
      </c>
      <c r="AP250" s="23" cm="1">
        <f t="array" ref="AP250">INDEX(GMWQ!$A$2:$LR$60,MATCH(1,(GMWQ!$LQ$2:$LQ$60=AP$3)*(GMWQ!$LP$2:$LP$60=AP$4)*(GMWQ!$LR$2:$LR$60=AP$1),0),$B250-1966)</f>
        <v>-10987.93</v>
      </c>
      <c r="AQ250" s="23" cm="1">
        <f t="array" ref="AQ250">INDEX(GMWQ!$A$2:$LR$60,MATCH(1,(GMWQ!$LQ$2:$LQ$60=AQ$3)*(GMWQ!$LP$2:$LP$60=AQ$4)*(GMWQ!$LR$2:$LR$60=AQ$1),0),$B250-1966)</f>
        <v>137824.1</v>
      </c>
      <c r="AR250" s="23" cm="1">
        <f t="array" ref="AR250">INDEX(GMWQ!$A$2:$LR$60,MATCH(1,(GMWQ!$LQ$2:$LQ$60=AR$3)*(GMWQ!$LP$2:$LP$60=AR$4)*(GMWQ!$LR$2:$LR$60=AR$1),0),$B250-1966)</f>
        <v>587824.1</v>
      </c>
      <c r="AS250" s="23" cm="1">
        <f t="array" ref="AS250">INDEX(GMWQ!$A$2:$LR$60,MATCH(1,(GMWQ!$LQ$2:$LQ$60=AS$3)*(GMWQ!$LP$2:$LP$60=AS$4)*(GMWQ!$LR$2:$LR$60=AS$1),0),$B250-1966)</f>
        <v>19881.59</v>
      </c>
      <c r="AT250" s="23" cm="1">
        <f t="array" ref="AT250">INDEX(GMWQ!$A$2:$LR$60,MATCH(1,(GMWQ!$LQ$2:$LQ$60=AT$3)*(GMWQ!$LP$2:$LP$60=AT$4)*(GMWQ!$LR$2:$LR$60=AT$1),0),$B250-1966)</f>
        <v>399553.9</v>
      </c>
      <c r="AU250" s="23" cm="1">
        <f t="array" ref="AU250">INDEX(GMWQ!$A$2:$LR$60,MATCH(1,(GMWQ!$LQ$2:$LQ$60=AU$3)*(GMWQ!$LP$2:$LP$60=AU$4)*(GMWQ!$LR$2:$LR$60=AU$1),0),$B250-1966)</f>
        <v>14219.46</v>
      </c>
    </row>
    <row r="251" spans="1:47" x14ac:dyDescent="0.35">
      <c r="A251" s="7">
        <v>2034</v>
      </c>
      <c r="B251" s="7">
        <f t="shared" si="5"/>
        <v>2217</v>
      </c>
      <c r="C251" s="7" cm="1">
        <f t="array" ref="C251">INDEX(GMWQ!$A$2:$LR$60,MATCH(1,(GMWQ!$LQ$2:$LQ$60=C$3)*(GMWQ!$LP$2:$LP$60=C$4)*(GMWQ!$LR$2:$LR$60=C$1),0),$B251-1966)</f>
        <v>666886.80000000005</v>
      </c>
      <c r="D251" s="7" cm="1">
        <f t="array" ref="D251">INDEX(GMWQ!$A$2:$LR$60,MATCH(1,(GMWQ!$LQ$2:$LQ$60=D$3)*(GMWQ!$LP$2:$LP$60=D$4)*(GMWQ!$LR$2:$LR$60=D$1),0),$B251-1966)</f>
        <v>893.49030000000005</v>
      </c>
      <c r="E251" s="7" cm="1">
        <f t="array" ref="E251">INDEX(GMWQ!$A$2:$LR$60,MATCH(1,(GMWQ!$LQ$2:$LQ$60=E$3)*(GMWQ!$LP$2:$LP$60=E$4)*(GMWQ!$LR$2:$LR$60=E$1),0),$B251-1966)</f>
        <v>161.59649999999999</v>
      </c>
      <c r="F251" s="7" cm="1">
        <f t="array" ref="F251">INDEX(GMWQ!$A$2:$LR$60,MATCH(1,(GMWQ!$LQ$2:$LQ$60=F$3)*(GMWQ!$LP$2:$LP$60=F$4)*(GMWQ!$LR$2:$LR$60=F$1),0),$B251-1966)</f>
        <v>403459.2</v>
      </c>
      <c r="G251" s="7" cm="1">
        <f t="array" ref="G251">INDEX(GMWQ!$A$2:$LR$60,MATCH(1,(GMWQ!$LQ$2:$LQ$60=G$3)*(GMWQ!$LP$2:$LP$60=G$4)*(GMWQ!$LR$2:$LR$60=G$1),0),$B251-1966)</f>
        <v>119085.5</v>
      </c>
      <c r="H251" s="7" cm="1">
        <f t="array" ref="H251">INDEX(GMWQ!$A$2:$LR$60,MATCH(1,(GMWQ!$LQ$2:$LQ$60=H$3)*(GMWQ!$LP$2:$LP$60=H$4)*(GMWQ!$LR$2:$LR$60=H$1),0),$B251-1966)</f>
        <v>27132.63</v>
      </c>
      <c r="I251" s="7" cm="1">
        <f t="array" ref="I251">INDEX(GMWQ!$A$2:$LR$60,MATCH(1,(GMWQ!$LQ$2:$LQ$60=I$3)*(GMWQ!$LP$2:$LP$60=I$4)*(GMWQ!$LR$2:$LR$60=I$1),0),$B251-1966)</f>
        <v>147.8501</v>
      </c>
      <c r="J251" s="7" cm="1">
        <f t="array" ref="J251">INDEX(GMWQ!$A$2:$LR$60,MATCH(1,(GMWQ!$LQ$2:$LQ$60=J$3)*(GMWQ!$LP$2:$LP$60=J$4)*(GMWQ!$LR$2:$LR$60=J$1),0),$B251-1966)</f>
        <v>31051.99</v>
      </c>
      <c r="K251" s="7" cm="1">
        <f t="array" ref="K251">INDEX(GMWQ!$A$2:$LR$60,MATCH(1,(GMWQ!$LQ$2:$LQ$60=K$3)*(GMWQ!$LP$2:$LP$60=K$4)*(GMWQ!$LR$2:$LR$60=K$1),0),$B251-1966)</f>
        <v>2</v>
      </c>
      <c r="L251" s="7" cm="1">
        <f t="array" ref="L251">INDEX(GMWQ!$A$2:$LR$60,MATCH(1,(GMWQ!$LQ$2:$LQ$60=L$3)*(GMWQ!$LP$2:$LP$60=L$4)*(GMWQ!$LR$2:$LR$60=L$1),0),$B251-1966)</f>
        <v>3.7500979999999999</v>
      </c>
      <c r="M251" s="7" cm="1">
        <f t="array" ref="M251">INDEX(GMWQ!$A$2:$LR$60,MATCH(1,(GMWQ!$LQ$2:$LQ$60=M$3)*(GMWQ!$LP$2:$LP$60=M$4)*(GMWQ!$LR$2:$LR$60=M$1),0),$B251-1966)</f>
        <v>197.43</v>
      </c>
      <c r="N251" s="7" cm="1">
        <f t="array" ref="N251">INDEX(GMWQ!$A$2:$LR$60,MATCH(1,(GMWQ!$LQ$2:$LQ$60=N$3)*(GMWQ!$LP$2:$LP$60=N$4)*(GMWQ!$LR$2:$LR$60=N$1),0),$B251-1966)</f>
        <v>28653.62</v>
      </c>
      <c r="O251" s="7" cm="1">
        <f t="array" ref="O251">INDEX(GMWQ!$A$2:$LR$60,MATCH(1,(GMWQ!$LQ$2:$LQ$60=O$3)*(GMWQ!$LP$2:$LP$60=O$4)*(GMWQ!$LR$2:$LR$60=O$1),0),$B251-1966)</f>
        <v>17460.71</v>
      </c>
      <c r="P251" s="7" cm="1">
        <f t="array" ref="P251">INDEX(GMWQ!$A$2:$LR$60,MATCH(1,(GMWQ!$LQ$2:$LQ$60=P$3)*(GMWQ!$LP$2:$LP$60=P$4)*(GMWQ!$LR$2:$LR$60=P$1),0),$B251-1966)</f>
        <v>642597.4</v>
      </c>
      <c r="Q251" s="7" cm="1">
        <f t="array" ref="Q251">INDEX(GMWQ!$A$2:$LR$60,MATCH(1,(GMWQ!$LQ$2:$LQ$60=Q$3)*(GMWQ!$LP$2:$LP$60=Q$4)*(GMWQ!$LR$2:$LR$60=Q$1),0),$B251-1966)</f>
        <v>3.4999989999999999</v>
      </c>
      <c r="R251" s="7" cm="1">
        <f t="array" ref="R251">INDEX(GMWQ!$A$2:$LR$60,MATCH(1,(GMWQ!$LQ$2:$LQ$60=R$3)*(GMWQ!$LP$2:$LP$60=R$4)*(GMWQ!$LR$2:$LR$60=R$1),0),$B251-1966)</f>
        <v>256366.6</v>
      </c>
      <c r="S251" s="7" cm="1">
        <f t="array" ref="S251">INDEX(GMWQ!$A$2:$LR$60,MATCH(1,(GMWQ!$LQ$2:$LQ$60=S$3)*(GMWQ!$LP$2:$LP$60=S$4)*(GMWQ!$LR$2:$LR$60=S$1),0),$B251-1966)</f>
        <v>382.43889999999999</v>
      </c>
      <c r="T251" s="7" cm="1">
        <f t="array" ref="T251">INDEX(GMWQ!$A$2:$LR$60,MATCH(1,(GMWQ!$LQ$2:$LQ$60=T$3)*(GMWQ!$LP$2:$LP$60=T$4)*(GMWQ!$LR$2:$LR$60=T$1),0),$B251-1966)</f>
        <v>121265.4</v>
      </c>
      <c r="U251" s="7" cm="1">
        <f t="array" ref="U251">INDEX(GMWQ!$A$2:$LR$60,MATCH(1,(GMWQ!$LQ$2:$LQ$60=U$3)*(GMWQ!$LP$2:$LP$60=U$4)*(GMWQ!$LR$2:$LR$60=U$1),0),$B251-1966)</f>
        <v>24986.55</v>
      </c>
      <c r="V251" s="7" cm="1">
        <f t="array" ref="V251">INDEX(GMWQ!$A$2:$LR$60,MATCH(1,(GMWQ!$LQ$2:$LQ$60=V$3)*(GMWQ!$LP$2:$LP$60=V$4)*(GMWQ!$LR$2:$LR$60=V$1),0),$B251-1966)</f>
        <v>1.3698860000000001E-3</v>
      </c>
      <c r="W251" s="7" cm="1">
        <f t="array" ref="W251">INDEX(GMWQ!$A$2:$LR$60,MATCH(1,(GMWQ!$LQ$2:$LQ$60=W$3)*(GMWQ!$LP$2:$LP$60=W$4)*(GMWQ!$LR$2:$LR$60=W$1),0),$B251-1966)</f>
        <v>9.0715190000000003</v>
      </c>
      <c r="X251" s="7" cm="1">
        <f t="array" ref="X251">INDEX(GMWQ!$A$2:$LR$60,MATCH(1,(GMWQ!$LQ$2:$LQ$60=X$3)*(GMWQ!$LP$2:$LP$60=X$4)*(GMWQ!$LR$2:$LR$60=X$1),0),$B251-1966)</f>
        <v>8273882</v>
      </c>
      <c r="Y251" s="7" cm="1">
        <f t="array" ref="Y251">INDEX(GMWQ!$A$2:$LR$60,MATCH(1,(GMWQ!$LQ$2:$LQ$60=Y$3)*(GMWQ!$LP$2:$LP$60=Y$4)*(GMWQ!$LR$2:$LR$60=Y$1),0),$B251-1966)</f>
        <v>147.86940000000001</v>
      </c>
      <c r="Z251" s="7" cm="1">
        <f t="array" ref="Z251">INDEX(GMWQ!$A$2:$LR$60,MATCH(1,(GMWQ!$LQ$2:$LQ$60=Z$3)*(GMWQ!$LP$2:$LP$60=Z$4)*(GMWQ!$LR$2:$LR$60=Z$1),0),$B251-1966)</f>
        <v>666914.80000000005</v>
      </c>
      <c r="AA251" s="7" cm="1">
        <f t="array" ref="AA251">INDEX(GMWQ!$A$2:$LR$60,MATCH(1,(GMWQ!$LQ$2:$LQ$60=AA$3)*(GMWQ!$LP$2:$LP$60=AA$4)*(GMWQ!$LR$2:$LR$60=AA$1),0),$B251-1966)</f>
        <v>447084.3</v>
      </c>
      <c r="AB251" s="7" cm="1">
        <f t="array" ref="AB251">INDEX(GMWQ!$A$2:$LR$60,MATCH(1,(GMWQ!$LQ$2:$LQ$60=AB$3)*(GMWQ!$LP$2:$LP$60=AB$4)*(GMWQ!$LR$2:$LR$60=AB$1),0),$B251-1966)</f>
        <v>375721</v>
      </c>
      <c r="AC251" s="7" cm="1">
        <f t="array" ref="AC251">INDEX(GMWQ!$A$2:$LR$60,MATCH(1,(GMWQ!$LQ$2:$LQ$60=AC$3)*(GMWQ!$LP$2:$LP$60=AC$4)*(GMWQ!$LR$2:$LR$60=AC$1),0),$B251-1966)</f>
        <v>26645.9</v>
      </c>
      <c r="AD251" s="7" cm="1">
        <f t="array" ref="AD251">INDEX(GMWQ!$A$2:$LR$60,MATCH(1,(GMWQ!$LQ$2:$LQ$60=AD$3)*(GMWQ!$LP$2:$LP$60=AD$4)*(GMWQ!$LR$2:$LR$60=AD$1),0),$B251-1966)</f>
        <v>21367.23</v>
      </c>
      <c r="AE251" s="7" cm="1">
        <f t="array" ref="AE251">INDEX(GMWQ!$A$2:$LR$60,MATCH(1,(GMWQ!$LQ$2:$LQ$60=AE$3)*(GMWQ!$LP$2:$LP$60=AE$4)*(GMWQ!$LR$2:$LR$60=AE$1),0),$B251-1966)</f>
        <v>986121.4</v>
      </c>
      <c r="AF251" s="20" cm="1">
        <f t="array" ref="AF251">INDEX(GMWQ!$A$2:$LR$60,MATCH(1,(GMWQ!$LQ$2:$LQ$60=AF$3)*(GMWQ!$LP$2:$LP$60=AF$4)*(GMWQ!$LR$2:$LR$60=AF$1),0),$B251-1966)</f>
        <v>2</v>
      </c>
      <c r="AG251" s="20" cm="1">
        <f t="array" ref="AG251">INDEX(GMWQ!$A$2:$LR$60,MATCH(1,(GMWQ!$LQ$2:$LQ$60=AG$3)*(GMWQ!$LP$2:$LP$60=AG$4)*(GMWQ!$LR$2:$LR$60=AG$1),0),$B251-1966)</f>
        <v>-11192.91</v>
      </c>
      <c r="AI251" s="23" cm="1">
        <f t="array" ref="AI251">INDEX(GMWQ!$A$2:$LR$60,MATCH(1,(GMWQ!$LQ$2:$LQ$60=AI$3)*(GMWQ!$LP$2:$LP$60=AI$4)*(GMWQ!$LR$2:$LR$60=AI$1),0),$B251-1966)</f>
        <v>642597.4</v>
      </c>
      <c r="AJ251" s="23" cm="1">
        <f t="array" ref="AJ251">INDEX(GMWQ!$A$2:$LR$60,MATCH(1,(GMWQ!$LQ$2:$LQ$60=AJ$3)*(GMWQ!$LP$2:$LP$60=AJ$4)*(GMWQ!$LR$2:$LR$60=AJ$1),0),$B251-1966)</f>
        <v>147.8501</v>
      </c>
      <c r="AK251" s="23" cm="1">
        <f t="array" ref="AK251">INDEX(GMWQ!$A$2:$LR$60,MATCH(1,(GMWQ!$LQ$2:$LQ$60=AK$3)*(GMWQ!$LP$2:$LP$60=AK$4)*(GMWQ!$LR$2:$LR$60=AK$1),0),$B251-1966)</f>
        <v>403459.2</v>
      </c>
      <c r="AL251" s="23" cm="1">
        <f t="array" ref="AL251">INDEX(GMWQ!$A$2:$LR$60,MATCH(1,(GMWQ!$LQ$2:$LQ$60=AL$3)*(GMWQ!$LP$2:$LP$60=AL$4)*(GMWQ!$LR$2:$LR$60=AL$1),0),$B251-1966)</f>
        <v>12993.02</v>
      </c>
      <c r="AM251" s="23" cm="1">
        <f t="array" ref="AM251">INDEX(GMWQ!$A$2:$LR$60,MATCH(1,(GMWQ!$LQ$2:$LQ$60=AM$3)*(GMWQ!$LP$2:$LP$60=AM$4)*(GMWQ!$LR$2:$LR$60=AM$1),0),$B251-1966)</f>
        <v>31051.99</v>
      </c>
      <c r="AN251" s="23" cm="1">
        <f t="array" ref="AN251">INDEX(GMWQ!$A$2:$LR$60,MATCH(1,(GMWQ!$LQ$2:$LQ$60=AN$3)*(GMWQ!$LP$2:$LP$60=AN$4)*(GMWQ!$LR$2:$LR$60=AN$1),0),$B251-1966)</f>
        <v>119085.5</v>
      </c>
      <c r="AO251" s="23" cm="1">
        <f t="array" ref="AO251">INDEX(GMWQ!$A$2:$LR$60,MATCH(1,(GMWQ!$LQ$2:$LQ$60=AO$3)*(GMWQ!$LP$2:$LP$60=AO$4)*(GMWQ!$LR$2:$LR$60=AO$1),0),$B251-1966)</f>
        <v>27132.63</v>
      </c>
      <c r="AP251" s="23" cm="1">
        <f t="array" ref="AP251">INDEX(GMWQ!$A$2:$LR$60,MATCH(1,(GMWQ!$LQ$2:$LQ$60=AP$3)*(GMWQ!$LP$2:$LP$60=AP$4)*(GMWQ!$LR$2:$LR$60=AP$1),0),$B251-1966)</f>
        <v>-11192.91</v>
      </c>
      <c r="AQ251" s="23" cm="1">
        <f t="array" ref="AQ251">INDEX(GMWQ!$A$2:$LR$60,MATCH(1,(GMWQ!$LQ$2:$LQ$60=AQ$3)*(GMWQ!$LP$2:$LP$60=AQ$4)*(GMWQ!$LR$2:$LR$60=AQ$1),0),$B251-1966)</f>
        <v>139120.20000000001</v>
      </c>
      <c r="AR251" s="23" cm="1">
        <f t="array" ref="AR251">INDEX(GMWQ!$A$2:$LR$60,MATCH(1,(GMWQ!$LQ$2:$LQ$60=AR$3)*(GMWQ!$LP$2:$LP$60=AR$4)*(GMWQ!$LR$2:$LR$60=AR$1),0),$B251-1966)</f>
        <v>592833.5</v>
      </c>
      <c r="AS251" s="23" cm="1">
        <f t="array" ref="AS251">INDEX(GMWQ!$A$2:$LR$60,MATCH(1,(GMWQ!$LQ$2:$LQ$60=AS$3)*(GMWQ!$LP$2:$LP$60=AS$4)*(GMWQ!$LR$2:$LR$60=AS$1),0),$B251-1966)</f>
        <v>20060.07</v>
      </c>
      <c r="AT251" s="23" cm="1">
        <f t="array" ref="AT251">INDEX(GMWQ!$A$2:$LR$60,MATCH(1,(GMWQ!$LQ$2:$LQ$60=AT$3)*(GMWQ!$LP$2:$LP$60=AT$4)*(GMWQ!$LR$2:$LR$60=AT$1),0),$B251-1966)</f>
        <v>400969.3</v>
      </c>
      <c r="AU251" s="23" cm="1">
        <f t="array" ref="AU251">INDEX(GMWQ!$A$2:$LR$60,MATCH(1,(GMWQ!$LQ$2:$LQ$60=AU$3)*(GMWQ!$LP$2:$LP$60=AU$4)*(GMWQ!$LR$2:$LR$60=AU$1),0),$B251-1966)</f>
        <v>14269.97</v>
      </c>
    </row>
    <row r="252" spans="1:47" x14ac:dyDescent="0.35">
      <c r="B252" s="7">
        <f t="shared" si="5"/>
        <v>2218</v>
      </c>
      <c r="C252" s="7" cm="1">
        <f t="array" ref="C252">INDEX(GMWQ!$A$2:$LR$60,MATCH(1,(GMWQ!$LQ$2:$LQ$60=C$3)*(GMWQ!$LP$2:$LP$60=C$4)*(GMWQ!$LR$2:$LR$60=C$1),0),$B252-1966)</f>
        <v>669296.4</v>
      </c>
      <c r="D252" s="7" cm="1">
        <f t="array" ref="D252">INDEX(GMWQ!$A$2:$LR$60,MATCH(1,(GMWQ!$LQ$2:$LQ$60=D$3)*(GMWQ!$LP$2:$LP$60=D$4)*(GMWQ!$LR$2:$LR$60=D$1),0),$B252-1966)</f>
        <v>900.08339999999998</v>
      </c>
      <c r="E252" s="7" cm="1">
        <f t="array" ref="E252">INDEX(GMWQ!$A$2:$LR$60,MATCH(1,(GMWQ!$LQ$2:$LQ$60=E$3)*(GMWQ!$LP$2:$LP$60=E$4)*(GMWQ!$LR$2:$LR$60=E$1),0),$B252-1966)</f>
        <v>163.07249999999999</v>
      </c>
      <c r="F252" s="7" cm="1">
        <f t="array" ref="F252">INDEX(GMWQ!$A$2:$LR$60,MATCH(1,(GMWQ!$LQ$2:$LQ$60=F$3)*(GMWQ!$LP$2:$LP$60=F$4)*(GMWQ!$LR$2:$LR$60=F$1),0),$B252-1966)</f>
        <v>406931.5</v>
      </c>
      <c r="G252" s="7" cm="1">
        <f t="array" ref="G252">INDEX(GMWQ!$A$2:$LR$60,MATCH(1,(GMWQ!$LQ$2:$LQ$60=G$3)*(GMWQ!$LP$2:$LP$60=G$4)*(GMWQ!$LR$2:$LR$60=G$1),0),$B252-1966)</f>
        <v>119692.5</v>
      </c>
      <c r="H252" s="7" cm="1">
        <f t="array" ref="H252">INDEX(GMWQ!$A$2:$LR$60,MATCH(1,(GMWQ!$LQ$2:$LQ$60=H$3)*(GMWQ!$LP$2:$LP$60=H$4)*(GMWQ!$LR$2:$LR$60=H$1),0),$B252-1966)</f>
        <v>27366.14</v>
      </c>
      <c r="I252" s="7" cm="1">
        <f t="array" ref="I252">INDEX(GMWQ!$A$2:$LR$60,MATCH(1,(GMWQ!$LQ$2:$LQ$60=I$3)*(GMWQ!$LP$2:$LP$60=I$4)*(GMWQ!$LR$2:$LR$60=I$1),0),$B252-1966)</f>
        <v>148.5838</v>
      </c>
      <c r="J252" s="7" cm="1">
        <f t="array" ref="J252">INDEX(GMWQ!$A$2:$LR$60,MATCH(1,(GMWQ!$LQ$2:$LQ$60=J$3)*(GMWQ!$LP$2:$LP$60=J$4)*(GMWQ!$LR$2:$LR$60=J$1),0),$B252-1966)</f>
        <v>31089.81</v>
      </c>
      <c r="K252" s="7" cm="1">
        <f t="array" ref="K252">INDEX(GMWQ!$A$2:$LR$60,MATCH(1,(GMWQ!$LQ$2:$LQ$60=K$3)*(GMWQ!$LP$2:$LP$60=K$4)*(GMWQ!$LR$2:$LR$60=K$1),0),$B252-1966)</f>
        <v>2</v>
      </c>
      <c r="L252" s="7" cm="1">
        <f t="array" ref="L252">INDEX(GMWQ!$A$2:$LR$60,MATCH(1,(GMWQ!$LQ$2:$LQ$60=L$3)*(GMWQ!$LP$2:$LP$60=L$4)*(GMWQ!$LR$2:$LR$60=L$1),0),$B252-1966)</f>
        <v>3.7500969999999998</v>
      </c>
      <c r="M252" s="7" cm="1">
        <f t="array" ref="M252">INDEX(GMWQ!$A$2:$LR$60,MATCH(1,(GMWQ!$LQ$2:$LQ$60=M$3)*(GMWQ!$LP$2:$LP$60=M$4)*(GMWQ!$LR$2:$LR$60=M$1),0),$B252-1966)</f>
        <v>199.119</v>
      </c>
      <c r="N252" s="7" cm="1">
        <f t="array" ref="N252">INDEX(GMWQ!$A$2:$LR$60,MATCH(1,(GMWQ!$LQ$2:$LQ$60=N$3)*(GMWQ!$LP$2:$LP$60=N$4)*(GMWQ!$LR$2:$LR$60=N$1),0),$B252-1966)</f>
        <v>28985.75</v>
      </c>
      <c r="O252" s="7" cm="1">
        <f t="array" ref="O252">INDEX(GMWQ!$A$2:$LR$60,MATCH(1,(GMWQ!$LQ$2:$LQ$60=O$3)*(GMWQ!$LP$2:$LP$60=O$4)*(GMWQ!$LR$2:$LR$60=O$1),0),$B252-1966)</f>
        <v>17578.12</v>
      </c>
      <c r="P252" s="7" cm="1">
        <f t="array" ref="P252">INDEX(GMWQ!$A$2:$LR$60,MATCH(1,(GMWQ!$LQ$2:$LQ$60=P$3)*(GMWQ!$LP$2:$LP$60=P$4)*(GMWQ!$LR$2:$LR$60=P$1),0),$B252-1966)</f>
        <v>647690.30000000005</v>
      </c>
      <c r="Q252" s="7" cm="1">
        <f t="array" ref="Q252">INDEX(GMWQ!$A$2:$LR$60,MATCH(1,(GMWQ!$LQ$2:$LQ$60=Q$3)*(GMWQ!$LP$2:$LP$60=Q$4)*(GMWQ!$LR$2:$LR$60=Q$1),0),$B252-1966)</f>
        <v>3.4999980000000002</v>
      </c>
      <c r="R252" s="7" cm="1">
        <f t="array" ref="R252">INDEX(GMWQ!$A$2:$LR$60,MATCH(1,(GMWQ!$LQ$2:$LQ$60=R$3)*(GMWQ!$LP$2:$LP$60=R$4)*(GMWQ!$LR$2:$LR$60=R$1),0),$B252-1966)</f>
        <v>256352.4</v>
      </c>
      <c r="S252" s="7" cm="1">
        <f t="array" ref="S252">INDEX(GMWQ!$A$2:$LR$60,MATCH(1,(GMWQ!$LQ$2:$LQ$60=S$3)*(GMWQ!$LP$2:$LP$60=S$4)*(GMWQ!$LR$2:$LR$60=S$1),0),$B252-1966)</f>
        <v>382.4178</v>
      </c>
      <c r="T252" s="7" cm="1">
        <f t="array" ref="T252">INDEX(GMWQ!$A$2:$LR$60,MATCH(1,(GMWQ!$LQ$2:$LQ$60=T$3)*(GMWQ!$LP$2:$LP$60=T$4)*(GMWQ!$LR$2:$LR$60=T$1),0),$B252-1966)</f>
        <v>122075.2</v>
      </c>
      <c r="U252" s="7" cm="1">
        <f t="array" ref="U252">INDEX(GMWQ!$A$2:$LR$60,MATCH(1,(GMWQ!$LQ$2:$LQ$60=U$3)*(GMWQ!$LP$2:$LP$60=U$4)*(GMWQ!$LR$2:$LR$60=U$1),0),$B252-1966)</f>
        <v>24822.77</v>
      </c>
      <c r="V252" s="7" cm="1">
        <f t="array" ref="V252">INDEX(GMWQ!$A$2:$LR$60,MATCH(1,(GMWQ!$LQ$2:$LQ$60=V$3)*(GMWQ!$LP$2:$LP$60=V$4)*(GMWQ!$LR$2:$LR$60=V$1),0),$B252-1966)</f>
        <v>1.370168E-3</v>
      </c>
      <c r="W252" s="7" cm="1">
        <f t="array" ref="W252">INDEX(GMWQ!$A$2:$LR$60,MATCH(1,(GMWQ!$LQ$2:$LQ$60=W$3)*(GMWQ!$LP$2:$LP$60=W$4)*(GMWQ!$LR$2:$LR$60=W$1),0),$B252-1966)</f>
        <v>9.1424070000000004</v>
      </c>
      <c r="X252" s="7" cm="1">
        <f t="array" ref="X252">INDEX(GMWQ!$A$2:$LR$60,MATCH(1,(GMWQ!$LQ$2:$LQ$60=X$3)*(GMWQ!$LP$2:$LP$60=X$4)*(GMWQ!$LR$2:$LR$60=X$1),0),$B252-1966)</f>
        <v>8372424</v>
      </c>
      <c r="Y252" s="7" cm="1">
        <f t="array" ref="Y252">INDEX(GMWQ!$A$2:$LR$60,MATCH(1,(GMWQ!$LQ$2:$LQ$60=Y$3)*(GMWQ!$LP$2:$LP$60=Y$4)*(GMWQ!$LR$2:$LR$60=Y$1),0),$B252-1966)</f>
        <v>148.6679</v>
      </c>
      <c r="Z252" s="7" cm="1">
        <f t="array" ref="Z252">INDEX(GMWQ!$A$2:$LR$60,MATCH(1,(GMWQ!$LQ$2:$LQ$60=Z$3)*(GMWQ!$LP$2:$LP$60=Z$4)*(GMWQ!$LR$2:$LR$60=Z$1),0),$B252-1966)</f>
        <v>669318.19999999995</v>
      </c>
      <c r="AA252" s="7" cm="1">
        <f t="array" ref="AA252">INDEX(GMWQ!$A$2:$LR$60,MATCH(1,(GMWQ!$LQ$2:$LQ$60=AA$3)*(GMWQ!$LP$2:$LP$60=AA$4)*(GMWQ!$LR$2:$LR$60=AA$1),0),$B252-1966)</f>
        <v>400024.8</v>
      </c>
      <c r="AB252" s="7" cm="1">
        <f t="array" ref="AB252">INDEX(GMWQ!$A$2:$LR$60,MATCH(1,(GMWQ!$LQ$2:$LQ$60=AB$3)*(GMWQ!$LP$2:$LP$60=AB$4)*(GMWQ!$LR$2:$LR$60=AB$1),0),$B252-1966)</f>
        <v>384299.3</v>
      </c>
      <c r="AC252" s="7" cm="1">
        <f t="array" ref="AC252">INDEX(GMWQ!$A$2:$LR$60,MATCH(1,(GMWQ!$LQ$2:$LQ$60=AC$3)*(GMWQ!$LP$2:$LP$60=AC$4)*(GMWQ!$LR$2:$LR$60=AC$1),0),$B252-1966)</f>
        <v>12815.65</v>
      </c>
      <c r="AD252" s="7" cm="1">
        <f t="array" ref="AD252">INDEX(GMWQ!$A$2:$LR$60,MATCH(1,(GMWQ!$LQ$2:$LQ$60=AD$3)*(GMWQ!$LP$2:$LP$60=AD$4)*(GMWQ!$LR$2:$LR$60=AD$1),0),$B252-1966)</f>
        <v>22146.32</v>
      </c>
      <c r="AE252" s="7" cm="1">
        <f t="array" ref="AE252">INDEX(GMWQ!$A$2:$LR$60,MATCH(1,(GMWQ!$LQ$2:$LQ$60=AE$3)*(GMWQ!$LP$2:$LP$60=AE$4)*(GMWQ!$LR$2:$LR$60=AE$1),0),$B252-1966)</f>
        <v>995028.7</v>
      </c>
      <c r="AF252" s="20" cm="1">
        <f t="array" ref="AF252">INDEX(GMWQ!$A$2:$LR$60,MATCH(1,(GMWQ!$LQ$2:$LQ$60=AF$3)*(GMWQ!$LP$2:$LP$60=AF$4)*(GMWQ!$LR$2:$LR$60=AF$1),0),$B252-1966)</f>
        <v>2</v>
      </c>
      <c r="AG252" s="20" cm="1">
        <f t="array" ref="AG252">INDEX(GMWQ!$A$2:$LR$60,MATCH(1,(GMWQ!$LQ$2:$LQ$60=AG$3)*(GMWQ!$LP$2:$LP$60=AG$4)*(GMWQ!$LR$2:$LR$60=AG$1),0),$B252-1966)</f>
        <v>-11407.63</v>
      </c>
      <c r="AI252" s="23" cm="1">
        <f t="array" ref="AI252">INDEX(GMWQ!$A$2:$LR$60,MATCH(1,(GMWQ!$LQ$2:$LQ$60=AI$3)*(GMWQ!$LP$2:$LP$60=AI$4)*(GMWQ!$LR$2:$LR$60=AI$1),0),$B252-1966)</f>
        <v>647690.30000000005</v>
      </c>
      <c r="AJ252" s="23" cm="1">
        <f t="array" ref="AJ252">INDEX(GMWQ!$A$2:$LR$60,MATCH(1,(GMWQ!$LQ$2:$LQ$60=AJ$3)*(GMWQ!$LP$2:$LP$60=AJ$4)*(GMWQ!$LR$2:$LR$60=AJ$1),0),$B252-1966)</f>
        <v>148.5838</v>
      </c>
      <c r="AK252" s="23" cm="1">
        <f t="array" ref="AK252">INDEX(GMWQ!$A$2:$LR$60,MATCH(1,(GMWQ!$LQ$2:$LQ$60=AK$3)*(GMWQ!$LP$2:$LP$60=AK$4)*(GMWQ!$LR$2:$LR$60=AK$1),0),$B252-1966)</f>
        <v>406931.5</v>
      </c>
      <c r="AL252" s="23" cm="1">
        <f t="array" ref="AL252">INDEX(GMWQ!$A$2:$LR$60,MATCH(1,(GMWQ!$LQ$2:$LQ$60=AL$3)*(GMWQ!$LP$2:$LP$60=AL$4)*(GMWQ!$LR$2:$LR$60=AL$1),0),$B252-1966)</f>
        <v>13088.9</v>
      </c>
      <c r="AM252" s="23" cm="1">
        <f t="array" ref="AM252">INDEX(GMWQ!$A$2:$LR$60,MATCH(1,(GMWQ!$LQ$2:$LQ$60=AM$3)*(GMWQ!$LP$2:$LP$60=AM$4)*(GMWQ!$LR$2:$LR$60=AM$1),0),$B252-1966)</f>
        <v>31089.81</v>
      </c>
      <c r="AN252" s="23" cm="1">
        <f t="array" ref="AN252">INDEX(GMWQ!$A$2:$LR$60,MATCH(1,(GMWQ!$LQ$2:$LQ$60=AN$3)*(GMWQ!$LP$2:$LP$60=AN$4)*(GMWQ!$LR$2:$LR$60=AN$1),0),$B252-1966)</f>
        <v>119692.5</v>
      </c>
      <c r="AO252" s="23" cm="1">
        <f t="array" ref="AO252">INDEX(GMWQ!$A$2:$LR$60,MATCH(1,(GMWQ!$LQ$2:$LQ$60=AO$3)*(GMWQ!$LP$2:$LP$60=AO$4)*(GMWQ!$LR$2:$LR$60=AO$1),0),$B252-1966)</f>
        <v>27366.14</v>
      </c>
      <c r="AP252" s="23" cm="1">
        <f t="array" ref="AP252">INDEX(GMWQ!$A$2:$LR$60,MATCH(1,(GMWQ!$LQ$2:$LQ$60=AP$3)*(GMWQ!$LP$2:$LP$60=AP$4)*(GMWQ!$LR$2:$LR$60=AP$1),0),$B252-1966)</f>
        <v>-11407.63</v>
      </c>
      <c r="AQ252" s="23" cm="1">
        <f t="array" ref="AQ252">INDEX(GMWQ!$A$2:$LR$60,MATCH(1,(GMWQ!$LQ$2:$LQ$60=AQ$3)*(GMWQ!$LP$2:$LP$60=AQ$4)*(GMWQ!$LR$2:$LR$60=AQ$1),0),$B252-1966)</f>
        <v>140426.5</v>
      </c>
      <c r="AR252" s="23" cm="1">
        <f t="array" ref="AR252">INDEX(GMWQ!$A$2:$LR$60,MATCH(1,(GMWQ!$LQ$2:$LQ$60=AR$3)*(GMWQ!$LP$2:$LP$60=AR$4)*(GMWQ!$LR$2:$LR$60=AR$1),0),$B252-1966)</f>
        <v>597892.6</v>
      </c>
      <c r="AS252" s="23" cm="1">
        <f t="array" ref="AS252">INDEX(GMWQ!$A$2:$LR$60,MATCH(1,(GMWQ!$LQ$2:$LQ$60=AS$3)*(GMWQ!$LP$2:$LP$60=AS$4)*(GMWQ!$LR$2:$LR$60=AS$1),0),$B252-1966)</f>
        <v>20240.32</v>
      </c>
      <c r="AT252" s="23" cm="1">
        <f t="array" ref="AT252">INDEX(GMWQ!$A$2:$LR$60,MATCH(1,(GMWQ!$LQ$2:$LQ$60=AT$3)*(GMWQ!$LP$2:$LP$60=AT$4)*(GMWQ!$LR$2:$LR$60=AT$1),0),$B252-1966)</f>
        <v>402394.2</v>
      </c>
      <c r="AU252" s="23" cm="1">
        <f t="array" ref="AU252">INDEX(GMWQ!$A$2:$LR$60,MATCH(1,(GMWQ!$LQ$2:$LQ$60=AU$3)*(GMWQ!$LP$2:$LP$60=AU$4)*(GMWQ!$LR$2:$LR$60=AU$1),0),$B252-1966)</f>
        <v>14320.82</v>
      </c>
    </row>
    <row r="253" spans="1:47" x14ac:dyDescent="0.35">
      <c r="B253" s="7">
        <f t="shared" si="5"/>
        <v>2219</v>
      </c>
      <c r="C253" s="7" cm="1">
        <f t="array" ref="C253">INDEX(GMWQ!$A$2:$LR$60,MATCH(1,(GMWQ!$LQ$2:$LQ$60=C$3)*(GMWQ!$LP$2:$LP$60=C$4)*(GMWQ!$LR$2:$LR$60=C$1),0),$B253-1966)</f>
        <v>671631.3</v>
      </c>
      <c r="D253" s="7" cm="1">
        <f t="array" ref="D253">INDEX(GMWQ!$A$2:$LR$60,MATCH(1,(GMWQ!$LQ$2:$LQ$60=D$3)*(GMWQ!$LP$2:$LP$60=D$4)*(GMWQ!$LR$2:$LR$60=D$1),0),$B253-1966)</f>
        <v>906.77089999999998</v>
      </c>
      <c r="E253" s="7" cm="1">
        <f t="array" ref="E253">INDEX(GMWQ!$A$2:$LR$60,MATCH(1,(GMWQ!$LQ$2:$LQ$60=E$3)*(GMWQ!$LP$2:$LP$60=E$4)*(GMWQ!$LR$2:$LR$60=E$1),0),$B253-1966)</f>
        <v>163.96340000000001</v>
      </c>
      <c r="F253" s="7" cm="1">
        <f t="array" ref="F253">INDEX(GMWQ!$A$2:$LR$60,MATCH(1,(GMWQ!$LQ$2:$LQ$60=F$3)*(GMWQ!$LP$2:$LP$60=F$4)*(GMWQ!$LR$2:$LR$60=F$1),0),$B253-1966)</f>
        <v>410362.2</v>
      </c>
      <c r="G253" s="7" cm="1">
        <f t="array" ref="G253">INDEX(GMWQ!$A$2:$LR$60,MATCH(1,(GMWQ!$LQ$2:$LQ$60=G$3)*(GMWQ!$LP$2:$LP$60=G$4)*(GMWQ!$LR$2:$LR$60=G$1),0),$B253-1966)</f>
        <v>120848.1</v>
      </c>
      <c r="H253" s="7" cm="1">
        <f t="array" ref="H253">INDEX(GMWQ!$A$2:$LR$60,MATCH(1,(GMWQ!$LQ$2:$LQ$60=H$3)*(GMWQ!$LP$2:$LP$60=H$4)*(GMWQ!$LR$2:$LR$60=H$1),0),$B253-1966)</f>
        <v>27596.85</v>
      </c>
      <c r="I253" s="7" cm="1">
        <f t="array" ref="I253">INDEX(GMWQ!$A$2:$LR$60,MATCH(1,(GMWQ!$LQ$2:$LQ$60=I$3)*(GMWQ!$LP$2:$LP$60=I$4)*(GMWQ!$LR$2:$LR$60=I$1),0),$B253-1966)</f>
        <v>149.321</v>
      </c>
      <c r="J253" s="7" cm="1">
        <f t="array" ref="J253">INDEX(GMWQ!$A$2:$LR$60,MATCH(1,(GMWQ!$LQ$2:$LQ$60=J$3)*(GMWQ!$LP$2:$LP$60=J$4)*(GMWQ!$LR$2:$LR$60=J$1),0),$B253-1966)</f>
        <v>31120.69</v>
      </c>
      <c r="K253" s="7" cm="1">
        <f t="array" ref="K253">INDEX(GMWQ!$A$2:$LR$60,MATCH(1,(GMWQ!$LQ$2:$LQ$60=K$3)*(GMWQ!$LP$2:$LP$60=K$4)*(GMWQ!$LR$2:$LR$60=K$1),0),$B253-1966)</f>
        <v>2</v>
      </c>
      <c r="L253" s="7" cm="1">
        <f t="array" ref="L253">INDEX(GMWQ!$A$2:$LR$60,MATCH(1,(GMWQ!$LQ$2:$LQ$60=L$3)*(GMWQ!$LP$2:$LP$60=L$4)*(GMWQ!$LR$2:$LR$60=L$1),0),$B253-1966)</f>
        <v>3.750095</v>
      </c>
      <c r="M253" s="7" cm="1">
        <f t="array" ref="M253">INDEX(GMWQ!$A$2:$LR$60,MATCH(1,(GMWQ!$LQ$2:$LQ$60=M$3)*(GMWQ!$LP$2:$LP$60=M$4)*(GMWQ!$LR$2:$LR$60=M$1),0),$B253-1966)</f>
        <v>200.80340000000001</v>
      </c>
      <c r="N253" s="7" cm="1">
        <f t="array" ref="N253">INDEX(GMWQ!$A$2:$LR$60,MATCH(1,(GMWQ!$LQ$2:$LQ$60=N$3)*(GMWQ!$LP$2:$LP$60=N$4)*(GMWQ!$LR$2:$LR$60=N$1),0),$B253-1966)</f>
        <v>29317</v>
      </c>
      <c r="O253" s="7" cm="1">
        <f t="array" ref="O253">INDEX(GMWQ!$A$2:$LR$60,MATCH(1,(GMWQ!$LQ$2:$LQ$60=O$3)*(GMWQ!$LP$2:$LP$60=O$4)*(GMWQ!$LR$2:$LR$60=O$1),0),$B253-1966)</f>
        <v>17689.009999999998</v>
      </c>
      <c r="P253" s="7" cm="1">
        <f t="array" ref="P253">INDEX(GMWQ!$A$2:$LR$60,MATCH(1,(GMWQ!$LQ$2:$LQ$60=P$3)*(GMWQ!$LP$2:$LP$60=P$4)*(GMWQ!$LR$2:$LR$60=P$1),0),$B253-1966)</f>
        <v>653103.30000000005</v>
      </c>
      <c r="Q253" s="7" cm="1">
        <f t="array" ref="Q253">INDEX(GMWQ!$A$2:$LR$60,MATCH(1,(GMWQ!$LQ$2:$LQ$60=Q$3)*(GMWQ!$LP$2:$LP$60=Q$4)*(GMWQ!$LR$2:$LR$60=Q$1),0),$B253-1966)</f>
        <v>3.499997</v>
      </c>
      <c r="R253" s="7" cm="1">
        <f t="array" ref="R253">INDEX(GMWQ!$A$2:$LR$60,MATCH(1,(GMWQ!$LQ$2:$LQ$60=R$3)*(GMWQ!$LP$2:$LP$60=R$4)*(GMWQ!$LR$2:$LR$60=R$1),0),$B253-1966)</f>
        <v>256330</v>
      </c>
      <c r="S253" s="7" cm="1">
        <f t="array" ref="S253">INDEX(GMWQ!$A$2:$LR$60,MATCH(1,(GMWQ!$LQ$2:$LQ$60=S$3)*(GMWQ!$LP$2:$LP$60=S$4)*(GMWQ!$LR$2:$LR$60=S$1),0),$B253-1966)</f>
        <v>382.38420000000002</v>
      </c>
      <c r="T253" s="7" cm="1">
        <f t="array" ref="T253">INDEX(GMWQ!$A$2:$LR$60,MATCH(1,(GMWQ!$LQ$2:$LQ$60=T$3)*(GMWQ!$LP$2:$LP$60=T$4)*(GMWQ!$LR$2:$LR$60=T$1),0),$B253-1966)</f>
        <v>122846</v>
      </c>
      <c r="U253" s="7" cm="1">
        <f t="array" ref="U253">INDEX(GMWQ!$A$2:$LR$60,MATCH(1,(GMWQ!$LQ$2:$LQ$60=U$3)*(GMWQ!$LP$2:$LP$60=U$4)*(GMWQ!$LR$2:$LR$60=U$1),0),$B253-1966)</f>
        <v>24626.51</v>
      </c>
      <c r="V253" s="7" cm="1">
        <f t="array" ref="V253">INDEX(GMWQ!$A$2:$LR$60,MATCH(1,(GMWQ!$LQ$2:$LQ$60=V$3)*(GMWQ!$LP$2:$LP$60=V$4)*(GMWQ!$LR$2:$LR$60=V$1),0),$B253-1966)</f>
        <v>1.3702160000000001E-3</v>
      </c>
      <c r="W253" s="7" cm="1">
        <f t="array" ref="W253">INDEX(GMWQ!$A$2:$LR$60,MATCH(1,(GMWQ!$LQ$2:$LQ$60=W$3)*(GMWQ!$LP$2:$LP$60=W$4)*(GMWQ!$LR$2:$LR$60=W$1),0),$B253-1966)</f>
        <v>9.1371420000000008</v>
      </c>
      <c r="X253" s="7" cm="1">
        <f t="array" ref="X253">INDEX(GMWQ!$A$2:$LR$60,MATCH(1,(GMWQ!$LQ$2:$LQ$60=X$3)*(GMWQ!$LP$2:$LP$60=X$4)*(GMWQ!$LR$2:$LR$60=X$1),0),$B253-1966)</f>
        <v>8459348</v>
      </c>
      <c r="Y253" s="7" cm="1">
        <f t="array" ref="Y253">INDEX(GMWQ!$A$2:$LR$60,MATCH(1,(GMWQ!$LQ$2:$LQ$60=Y$3)*(GMWQ!$LP$2:$LP$60=Y$4)*(GMWQ!$LR$2:$LR$60=Y$1),0),$B253-1966)</f>
        <v>149.47059999999999</v>
      </c>
      <c r="Z253" s="7" cm="1">
        <f t="array" ref="Z253">INDEX(GMWQ!$A$2:$LR$60,MATCH(1,(GMWQ!$LQ$2:$LQ$60=Z$3)*(GMWQ!$LP$2:$LP$60=Z$4)*(GMWQ!$LR$2:$LR$60=Z$1),0),$B253-1966)</f>
        <v>671637.3</v>
      </c>
      <c r="AA253" s="7" cm="1">
        <f t="array" ref="AA253">INDEX(GMWQ!$A$2:$LR$60,MATCH(1,(GMWQ!$LQ$2:$LQ$60=AA$3)*(GMWQ!$LP$2:$LP$60=AA$4)*(GMWQ!$LR$2:$LR$60=AA$1),0),$B253-1966)</f>
        <v>417585.3</v>
      </c>
      <c r="AB253" s="7" cm="1">
        <f t="array" ref="AB253">INDEX(GMWQ!$A$2:$LR$60,MATCH(1,(GMWQ!$LQ$2:$LQ$60=AB$3)*(GMWQ!$LP$2:$LP$60=AB$4)*(GMWQ!$LR$2:$LR$60=AB$1),0),$B253-1966)</f>
        <v>387554.6</v>
      </c>
      <c r="AC253" s="7" cm="1">
        <f t="array" ref="AC253">INDEX(GMWQ!$A$2:$LR$60,MATCH(1,(GMWQ!$LQ$2:$LQ$60=AC$3)*(GMWQ!$LP$2:$LP$60=AC$4)*(GMWQ!$LR$2:$LR$60=AC$1),0),$B253-1966)</f>
        <v>14587.54</v>
      </c>
      <c r="AD253" s="7" cm="1">
        <f t="array" ref="AD253">INDEX(GMWQ!$A$2:$LR$60,MATCH(1,(GMWQ!$LQ$2:$LQ$60=AD$3)*(GMWQ!$LP$2:$LP$60=AD$4)*(GMWQ!$LR$2:$LR$60=AD$1),0),$B253-1966)</f>
        <v>22146.32</v>
      </c>
      <c r="AE253" s="7" cm="1">
        <f t="array" ref="AE253">INDEX(GMWQ!$A$2:$LR$60,MATCH(1,(GMWQ!$LQ$2:$LQ$60=AE$3)*(GMWQ!$LP$2:$LP$60=AE$4)*(GMWQ!$LR$2:$LR$60=AE$1),0),$B253-1966)</f>
        <v>1003892</v>
      </c>
      <c r="AF253" s="20" cm="1">
        <f t="array" ref="AF253">INDEX(GMWQ!$A$2:$LR$60,MATCH(1,(GMWQ!$LQ$2:$LQ$60=AF$3)*(GMWQ!$LP$2:$LP$60=AF$4)*(GMWQ!$LR$2:$LR$60=AF$1),0),$B253-1966)</f>
        <v>2</v>
      </c>
      <c r="AG253" s="20" cm="1">
        <f t="array" ref="AG253">INDEX(GMWQ!$A$2:$LR$60,MATCH(1,(GMWQ!$LQ$2:$LQ$60=AG$3)*(GMWQ!$LP$2:$LP$60=AG$4)*(GMWQ!$LR$2:$LR$60=AG$1),0),$B253-1966)</f>
        <v>-11627.99</v>
      </c>
      <c r="AI253" s="23" cm="1">
        <f t="array" ref="AI253">INDEX(GMWQ!$A$2:$LR$60,MATCH(1,(GMWQ!$LQ$2:$LQ$60=AI$3)*(GMWQ!$LP$2:$LP$60=AI$4)*(GMWQ!$LR$2:$LR$60=AI$1),0),$B253-1966)</f>
        <v>653103.30000000005</v>
      </c>
      <c r="AJ253" s="23" cm="1">
        <f t="array" ref="AJ253">INDEX(GMWQ!$A$2:$LR$60,MATCH(1,(GMWQ!$LQ$2:$LQ$60=AJ$3)*(GMWQ!$LP$2:$LP$60=AJ$4)*(GMWQ!$LR$2:$LR$60=AJ$1),0),$B253-1966)</f>
        <v>149.321</v>
      </c>
      <c r="AK253" s="23" cm="1">
        <f t="array" ref="AK253">INDEX(GMWQ!$A$2:$LR$60,MATCH(1,(GMWQ!$LQ$2:$LQ$60=AK$3)*(GMWQ!$LP$2:$LP$60=AK$4)*(GMWQ!$LR$2:$LR$60=AK$1),0),$B253-1966)</f>
        <v>410362.2</v>
      </c>
      <c r="AL253" s="23" cm="1">
        <f t="array" ref="AL253">INDEX(GMWQ!$A$2:$LR$60,MATCH(1,(GMWQ!$LQ$2:$LQ$60=AL$3)*(GMWQ!$LP$2:$LP$60=AL$4)*(GMWQ!$LR$2:$LR$60=AL$1),0),$B253-1966)</f>
        <v>13186.15</v>
      </c>
      <c r="AM253" s="23" cm="1">
        <f t="array" ref="AM253">INDEX(GMWQ!$A$2:$LR$60,MATCH(1,(GMWQ!$LQ$2:$LQ$60=AM$3)*(GMWQ!$LP$2:$LP$60=AM$4)*(GMWQ!$LR$2:$LR$60=AM$1),0),$B253-1966)</f>
        <v>31120.69</v>
      </c>
      <c r="AN253" s="23" cm="1">
        <f t="array" ref="AN253">INDEX(GMWQ!$A$2:$LR$60,MATCH(1,(GMWQ!$LQ$2:$LQ$60=AN$3)*(GMWQ!$LP$2:$LP$60=AN$4)*(GMWQ!$LR$2:$LR$60=AN$1),0),$B253-1966)</f>
        <v>120848.1</v>
      </c>
      <c r="AO253" s="23" cm="1">
        <f t="array" ref="AO253">INDEX(GMWQ!$A$2:$LR$60,MATCH(1,(GMWQ!$LQ$2:$LQ$60=AO$3)*(GMWQ!$LP$2:$LP$60=AO$4)*(GMWQ!$LR$2:$LR$60=AO$1),0),$B253-1966)</f>
        <v>27596.85</v>
      </c>
      <c r="AP253" s="23" cm="1">
        <f t="array" ref="AP253">INDEX(GMWQ!$A$2:$LR$60,MATCH(1,(GMWQ!$LQ$2:$LQ$60=AP$3)*(GMWQ!$LP$2:$LP$60=AP$4)*(GMWQ!$LR$2:$LR$60=AP$1),0),$B253-1966)</f>
        <v>-11627.99</v>
      </c>
      <c r="AQ253" s="23" cm="1">
        <f t="array" ref="AQ253">INDEX(GMWQ!$A$2:$LR$60,MATCH(1,(GMWQ!$LQ$2:$LQ$60=AQ$3)*(GMWQ!$LP$2:$LP$60=AQ$4)*(GMWQ!$LR$2:$LR$60=AQ$1),0),$B253-1966)</f>
        <v>141693.6</v>
      </c>
      <c r="AR253" s="23" cm="1">
        <f t="array" ref="AR253">INDEX(GMWQ!$A$2:$LR$60,MATCH(1,(GMWQ!$LQ$2:$LQ$60=AR$3)*(GMWQ!$LP$2:$LP$60=AR$4)*(GMWQ!$LR$2:$LR$60=AR$1),0),$B253-1966)</f>
        <v>602919.1</v>
      </c>
      <c r="AS253" s="23" cm="1">
        <f t="array" ref="AS253">INDEX(GMWQ!$A$2:$LR$60,MATCH(1,(GMWQ!$LQ$2:$LQ$60=AS$3)*(GMWQ!$LP$2:$LP$60=AS$4)*(GMWQ!$LR$2:$LR$60=AS$1),0),$B253-1966)</f>
        <v>20419.439999999999</v>
      </c>
      <c r="AT253" s="23" cm="1">
        <f t="array" ref="AT253">INDEX(GMWQ!$A$2:$LR$60,MATCH(1,(GMWQ!$LQ$2:$LQ$60=AT$3)*(GMWQ!$LP$2:$LP$60=AT$4)*(GMWQ!$LR$2:$LR$60=AT$1),0),$B253-1966)</f>
        <v>403773.8</v>
      </c>
      <c r="AU253" s="23" cm="1">
        <f t="array" ref="AU253">INDEX(GMWQ!$A$2:$LR$60,MATCH(1,(GMWQ!$LQ$2:$LQ$60=AU$3)*(GMWQ!$LP$2:$LP$60=AU$4)*(GMWQ!$LR$2:$LR$60=AU$1),0),$B253-1966)</f>
        <v>14370.07</v>
      </c>
    </row>
    <row r="254" spans="1:47" x14ac:dyDescent="0.35">
      <c r="B254" s="7">
        <f t="shared" si="5"/>
        <v>2220</v>
      </c>
      <c r="C254" s="7" cm="1">
        <f t="array" ref="C254">INDEX(GMWQ!$A$2:$LR$60,MATCH(1,(GMWQ!$LQ$2:$LQ$60=C$3)*(GMWQ!$LP$2:$LP$60=C$4)*(GMWQ!$LR$2:$LR$60=C$1),0),$B254-1966)</f>
        <v>673967.3</v>
      </c>
      <c r="D254" s="7" cm="1">
        <f t="array" ref="D254">INDEX(GMWQ!$A$2:$LR$60,MATCH(1,(GMWQ!$LQ$2:$LQ$60=D$3)*(GMWQ!$LP$2:$LP$60=D$4)*(GMWQ!$LR$2:$LR$60=D$1),0),$B254-1966)</f>
        <v>913.53859999999997</v>
      </c>
      <c r="E254" s="7" cm="1">
        <f t="array" ref="E254">INDEX(GMWQ!$A$2:$LR$60,MATCH(1,(GMWQ!$LQ$2:$LQ$60=E$3)*(GMWQ!$LP$2:$LP$60=E$4)*(GMWQ!$LR$2:$LR$60=E$1),0),$B254-1966)</f>
        <v>164.6559</v>
      </c>
      <c r="F254" s="7" cm="1">
        <f t="array" ref="F254">INDEX(GMWQ!$A$2:$LR$60,MATCH(1,(GMWQ!$LQ$2:$LQ$60=F$3)*(GMWQ!$LP$2:$LP$60=F$4)*(GMWQ!$LR$2:$LR$60=F$1),0),$B254-1966)</f>
        <v>413836.2</v>
      </c>
      <c r="G254" s="7" cm="1">
        <f t="array" ref="G254">INDEX(GMWQ!$A$2:$LR$60,MATCH(1,(GMWQ!$LQ$2:$LQ$60=G$3)*(GMWQ!$LP$2:$LP$60=G$4)*(GMWQ!$LR$2:$LR$60=G$1),0),$B254-1966)</f>
        <v>122007.3</v>
      </c>
      <c r="H254" s="7" cm="1">
        <f t="array" ref="H254">INDEX(GMWQ!$A$2:$LR$60,MATCH(1,(GMWQ!$LQ$2:$LQ$60=H$3)*(GMWQ!$LP$2:$LP$60=H$4)*(GMWQ!$LR$2:$LR$60=H$1),0),$B254-1966)</f>
        <v>27830.48</v>
      </c>
      <c r="I254" s="7" cm="1">
        <f t="array" ref="I254">INDEX(GMWQ!$A$2:$LR$60,MATCH(1,(GMWQ!$LQ$2:$LQ$60=I$3)*(GMWQ!$LP$2:$LP$60=I$4)*(GMWQ!$LR$2:$LR$60=I$1),0),$B254-1966)</f>
        <v>150.06200000000001</v>
      </c>
      <c r="J254" s="7" cm="1">
        <f t="array" ref="J254">INDEX(GMWQ!$A$2:$LR$60,MATCH(1,(GMWQ!$LQ$2:$LQ$60=J$3)*(GMWQ!$LP$2:$LP$60=J$4)*(GMWQ!$LR$2:$LR$60=J$1),0),$B254-1966)</f>
        <v>31151.67</v>
      </c>
      <c r="K254" s="7" cm="1">
        <f t="array" ref="K254">INDEX(GMWQ!$A$2:$LR$60,MATCH(1,(GMWQ!$LQ$2:$LQ$60=K$3)*(GMWQ!$LP$2:$LP$60=K$4)*(GMWQ!$LR$2:$LR$60=K$1),0),$B254-1966)</f>
        <v>2</v>
      </c>
      <c r="L254" s="7" cm="1">
        <f t="array" ref="L254">INDEX(GMWQ!$A$2:$LR$60,MATCH(1,(GMWQ!$LQ$2:$LQ$60=L$3)*(GMWQ!$LP$2:$LP$60=L$4)*(GMWQ!$LR$2:$LR$60=L$1),0),$B254-1966)</f>
        <v>3.7500100000000001</v>
      </c>
      <c r="M254" s="7" cm="1">
        <f t="array" ref="M254">INDEX(GMWQ!$A$2:$LR$60,MATCH(1,(GMWQ!$LQ$2:$LQ$60=M$3)*(GMWQ!$LP$2:$LP$60=M$4)*(GMWQ!$LR$2:$LR$60=M$1),0),$B254-1966)</f>
        <v>202.48390000000001</v>
      </c>
      <c r="N254" s="7" cm="1">
        <f t="array" ref="N254">INDEX(GMWQ!$A$2:$LR$60,MATCH(1,(GMWQ!$LQ$2:$LQ$60=N$3)*(GMWQ!$LP$2:$LP$60=N$4)*(GMWQ!$LR$2:$LR$60=N$1),0),$B254-1966)</f>
        <v>29647.25</v>
      </c>
      <c r="O254" s="7" cm="1">
        <f t="array" ref="O254">INDEX(GMWQ!$A$2:$LR$60,MATCH(1,(GMWQ!$LQ$2:$LQ$60=O$3)*(GMWQ!$LP$2:$LP$60=O$4)*(GMWQ!$LR$2:$LR$60=O$1),0),$B254-1966)</f>
        <v>17799.84</v>
      </c>
      <c r="P254" s="7" cm="1">
        <f t="array" ref="P254">INDEX(GMWQ!$A$2:$LR$60,MATCH(1,(GMWQ!$LQ$2:$LQ$60=P$3)*(GMWQ!$LP$2:$LP$60=P$4)*(GMWQ!$LR$2:$LR$60=P$1),0),$B254-1966)</f>
        <v>658538.4</v>
      </c>
      <c r="Q254" s="7" cm="1">
        <f t="array" ref="Q254">INDEX(GMWQ!$A$2:$LR$60,MATCH(1,(GMWQ!$LQ$2:$LQ$60=Q$3)*(GMWQ!$LP$2:$LP$60=Q$4)*(GMWQ!$LR$2:$LR$60=Q$1),0),$B254-1966)</f>
        <v>3.499997</v>
      </c>
      <c r="R254" s="7" cm="1">
        <f t="array" ref="R254">INDEX(GMWQ!$A$2:$LR$60,MATCH(1,(GMWQ!$LQ$2:$LQ$60=R$3)*(GMWQ!$LP$2:$LP$60=R$4)*(GMWQ!$LR$2:$LR$60=R$1),0),$B254-1966)</f>
        <v>256302.8</v>
      </c>
      <c r="S254" s="7" cm="1">
        <f t="array" ref="S254">INDEX(GMWQ!$A$2:$LR$60,MATCH(1,(GMWQ!$LQ$2:$LQ$60=S$3)*(GMWQ!$LP$2:$LP$60=S$4)*(GMWQ!$LR$2:$LR$60=S$1),0),$B254-1966)</f>
        <v>382.34379999999999</v>
      </c>
      <c r="T254" s="7" cm="1">
        <f t="array" ref="T254">INDEX(GMWQ!$A$2:$LR$60,MATCH(1,(GMWQ!$LQ$2:$LQ$60=T$3)*(GMWQ!$LP$2:$LP$60=T$4)*(GMWQ!$LR$2:$LR$60=T$1),0),$B254-1966)</f>
        <v>123581.7</v>
      </c>
      <c r="U254" s="7" cm="1">
        <f t="array" ref="U254">INDEX(GMWQ!$A$2:$LR$60,MATCH(1,(GMWQ!$LQ$2:$LQ$60=U$3)*(GMWQ!$LP$2:$LP$60=U$4)*(GMWQ!$LR$2:$LR$60=U$1),0),$B254-1966)</f>
        <v>24402.95</v>
      </c>
      <c r="V254" s="7" cm="1">
        <f t="array" ref="V254">INDEX(GMWQ!$A$2:$LR$60,MATCH(1,(GMWQ!$LQ$2:$LQ$60=V$3)*(GMWQ!$LP$2:$LP$60=V$4)*(GMWQ!$LR$2:$LR$60=V$1),0),$B254-1966)</f>
        <v>1.371309E-3</v>
      </c>
      <c r="W254" s="7" cm="1">
        <f t="array" ref="W254">INDEX(GMWQ!$A$2:$LR$60,MATCH(1,(GMWQ!$LQ$2:$LQ$60=W$3)*(GMWQ!$LP$2:$LP$60=W$4)*(GMWQ!$LR$2:$LR$60=W$1),0),$B254-1966)</f>
        <v>9.1347400000000007</v>
      </c>
      <c r="X254" s="7" cm="1">
        <f t="array" ref="X254">INDEX(GMWQ!$A$2:$LR$60,MATCH(1,(GMWQ!$LQ$2:$LQ$60=X$3)*(GMWQ!$LP$2:$LP$60=X$4)*(GMWQ!$LR$2:$LR$60=X$1),0),$B254-1966)</f>
        <v>8526662</v>
      </c>
      <c r="Y254" s="7" cm="1">
        <f t="array" ref="Y254">INDEX(GMWQ!$A$2:$LR$60,MATCH(1,(GMWQ!$LQ$2:$LQ$60=Y$3)*(GMWQ!$LP$2:$LP$60=Y$4)*(GMWQ!$LR$2:$LR$60=Y$1),0),$B254-1966)</f>
        <v>150.27780000000001</v>
      </c>
      <c r="Z254" s="7" cm="1">
        <f t="array" ref="Z254">INDEX(GMWQ!$A$2:$LR$60,MATCH(1,(GMWQ!$LQ$2:$LQ$60=Z$3)*(GMWQ!$LP$2:$LP$60=Z$4)*(GMWQ!$LR$2:$LR$60=Z$1),0),$B254-1966)</f>
        <v>673967.8</v>
      </c>
      <c r="AA254" s="7" cm="1">
        <f t="array" ref="AA254">INDEX(GMWQ!$A$2:$LR$60,MATCH(1,(GMWQ!$LQ$2:$LQ$60=AA$3)*(GMWQ!$LP$2:$LP$60=AA$4)*(GMWQ!$LR$2:$LR$60=AA$1),0),$B254-1966)</f>
        <v>402901.1</v>
      </c>
      <c r="AB254" s="7" cm="1">
        <f t="array" ref="AB254">INDEX(GMWQ!$A$2:$LR$60,MATCH(1,(GMWQ!$LQ$2:$LQ$60=AB$3)*(GMWQ!$LP$2:$LP$60=AB$4)*(GMWQ!$LR$2:$LR$60=AB$1),0),$B254-1966)</f>
        <v>390715.2</v>
      </c>
      <c r="AC254" s="7" cm="1">
        <f t="array" ref="AC254">INDEX(GMWQ!$A$2:$LR$60,MATCH(1,(GMWQ!$LQ$2:$LQ$60=AC$3)*(GMWQ!$LP$2:$LP$60=AC$4)*(GMWQ!$LR$2:$LR$60=AC$1),0),$B254-1966)</f>
        <v>15560.57</v>
      </c>
      <c r="AD254" s="7" cm="1">
        <f t="array" ref="AD254">INDEX(GMWQ!$A$2:$LR$60,MATCH(1,(GMWQ!$LQ$2:$LQ$60=AD$3)*(GMWQ!$LP$2:$LP$60=AD$4)*(GMWQ!$LR$2:$LR$60=AD$1),0),$B254-1966)</f>
        <v>22146.32</v>
      </c>
      <c r="AE254" s="7" cm="1">
        <f t="array" ref="AE254">INDEX(GMWQ!$A$2:$LR$60,MATCH(1,(GMWQ!$LQ$2:$LQ$60=AE$3)*(GMWQ!$LP$2:$LP$60=AE$4)*(GMWQ!$LR$2:$LR$60=AE$1),0),$B254-1966)</f>
        <v>1012823</v>
      </c>
      <c r="AF254" s="20" cm="1">
        <f t="array" ref="AF254">INDEX(GMWQ!$A$2:$LR$60,MATCH(1,(GMWQ!$LQ$2:$LQ$60=AF$3)*(GMWQ!$LP$2:$LP$60=AF$4)*(GMWQ!$LR$2:$LR$60=AF$1),0),$B254-1966)</f>
        <v>2</v>
      </c>
      <c r="AG254" s="20" cm="1">
        <f t="array" ref="AG254">INDEX(GMWQ!$A$2:$LR$60,MATCH(1,(GMWQ!$LQ$2:$LQ$60=AG$3)*(GMWQ!$LP$2:$LP$60=AG$4)*(GMWQ!$LR$2:$LR$60=AG$1),0),$B254-1966)</f>
        <v>-11847.41</v>
      </c>
      <c r="AI254" s="23" cm="1">
        <f t="array" ref="AI254">INDEX(GMWQ!$A$2:$LR$60,MATCH(1,(GMWQ!$LQ$2:$LQ$60=AI$3)*(GMWQ!$LP$2:$LP$60=AI$4)*(GMWQ!$LR$2:$LR$60=AI$1),0),$B254-1966)</f>
        <v>658538.4</v>
      </c>
      <c r="AJ254" s="23" cm="1">
        <f t="array" ref="AJ254">INDEX(GMWQ!$A$2:$LR$60,MATCH(1,(GMWQ!$LQ$2:$LQ$60=AJ$3)*(GMWQ!$LP$2:$LP$60=AJ$4)*(GMWQ!$LR$2:$LR$60=AJ$1),0),$B254-1966)</f>
        <v>150.06200000000001</v>
      </c>
      <c r="AK254" s="23" cm="1">
        <f t="array" ref="AK254">INDEX(GMWQ!$A$2:$LR$60,MATCH(1,(GMWQ!$LQ$2:$LQ$60=AK$3)*(GMWQ!$LP$2:$LP$60=AK$4)*(GMWQ!$LR$2:$LR$60=AK$1),0),$B254-1966)</f>
        <v>413836.2</v>
      </c>
      <c r="AL254" s="23" cm="1">
        <f t="array" ref="AL254">INDEX(GMWQ!$A$2:$LR$60,MATCH(1,(GMWQ!$LQ$2:$LQ$60=AL$3)*(GMWQ!$LP$2:$LP$60=AL$4)*(GMWQ!$LR$2:$LR$60=AL$1),0),$B254-1966)</f>
        <v>13284.56</v>
      </c>
      <c r="AM254" s="23" cm="1">
        <f t="array" ref="AM254">INDEX(GMWQ!$A$2:$LR$60,MATCH(1,(GMWQ!$LQ$2:$LQ$60=AM$3)*(GMWQ!$LP$2:$LP$60=AM$4)*(GMWQ!$LR$2:$LR$60=AM$1),0),$B254-1966)</f>
        <v>31151.67</v>
      </c>
      <c r="AN254" s="23" cm="1">
        <f t="array" ref="AN254">INDEX(GMWQ!$A$2:$LR$60,MATCH(1,(GMWQ!$LQ$2:$LQ$60=AN$3)*(GMWQ!$LP$2:$LP$60=AN$4)*(GMWQ!$LR$2:$LR$60=AN$1),0),$B254-1966)</f>
        <v>122007.3</v>
      </c>
      <c r="AO254" s="23" cm="1">
        <f t="array" ref="AO254">INDEX(GMWQ!$A$2:$LR$60,MATCH(1,(GMWQ!$LQ$2:$LQ$60=AO$3)*(GMWQ!$LP$2:$LP$60=AO$4)*(GMWQ!$LR$2:$LR$60=AO$1),0),$B254-1966)</f>
        <v>27830.48</v>
      </c>
      <c r="AP254" s="23" cm="1">
        <f t="array" ref="AP254">INDEX(GMWQ!$A$2:$LR$60,MATCH(1,(GMWQ!$LQ$2:$LQ$60=AP$3)*(GMWQ!$LP$2:$LP$60=AP$4)*(GMWQ!$LR$2:$LR$60=AP$1),0),$B254-1966)</f>
        <v>-11847.41</v>
      </c>
      <c r="AQ254" s="23" cm="1">
        <f t="array" ref="AQ254">INDEX(GMWQ!$A$2:$LR$60,MATCH(1,(GMWQ!$LQ$2:$LQ$60=AQ$3)*(GMWQ!$LP$2:$LP$60=AQ$4)*(GMWQ!$LR$2:$LR$60=AQ$1),0),$B254-1966)</f>
        <v>142971.5</v>
      </c>
      <c r="AR254" s="23" cm="1">
        <f t="array" ref="AR254">INDEX(GMWQ!$A$2:$LR$60,MATCH(1,(GMWQ!$LQ$2:$LQ$60=AR$3)*(GMWQ!$LP$2:$LP$60=AR$4)*(GMWQ!$LR$2:$LR$60=AR$1),0),$B254-1966)</f>
        <v>607982</v>
      </c>
      <c r="AS254" s="23" cm="1">
        <f t="array" ref="AS254">INDEX(GMWQ!$A$2:$LR$60,MATCH(1,(GMWQ!$LQ$2:$LQ$60=AS$3)*(GMWQ!$LP$2:$LP$60=AS$4)*(GMWQ!$LR$2:$LR$60=AS$1),0),$B254-1966)</f>
        <v>20599.84</v>
      </c>
      <c r="AT254" s="23" cm="1">
        <f t="array" ref="AT254">INDEX(GMWQ!$A$2:$LR$60,MATCH(1,(GMWQ!$LQ$2:$LQ$60=AT$3)*(GMWQ!$LP$2:$LP$60=AT$4)*(GMWQ!$LR$2:$LR$60=AT$1),0),$B254-1966)</f>
        <v>405153.9</v>
      </c>
      <c r="AU254" s="23" cm="1">
        <f t="array" ref="AU254">INDEX(GMWQ!$A$2:$LR$60,MATCH(1,(GMWQ!$LQ$2:$LQ$60=AU$3)*(GMWQ!$LP$2:$LP$60=AU$4)*(GMWQ!$LR$2:$LR$60=AU$1),0),$B254-1966)</f>
        <v>14419.33</v>
      </c>
    </row>
    <row r="255" spans="1:47" x14ac:dyDescent="0.35">
      <c r="A255" s="7">
        <v>2035</v>
      </c>
      <c r="B255" s="7">
        <f t="shared" si="5"/>
        <v>2221</v>
      </c>
      <c r="C255" s="7" cm="1">
        <f t="array" ref="C255">INDEX(GMWQ!$A$2:$LR$60,MATCH(1,(GMWQ!$LQ$2:$LQ$60=C$3)*(GMWQ!$LP$2:$LP$60=C$4)*(GMWQ!$LR$2:$LR$60=C$1),0),$B255-1966)</f>
        <v>676390.40000000002</v>
      </c>
      <c r="D255" s="7" cm="1">
        <f t="array" ref="D255">INDEX(GMWQ!$A$2:$LR$60,MATCH(1,(GMWQ!$LQ$2:$LQ$60=D$3)*(GMWQ!$LP$2:$LP$60=D$4)*(GMWQ!$LR$2:$LR$60=D$1),0),$B255-1966)</f>
        <v>920.39099999999996</v>
      </c>
      <c r="E255" s="7" cm="1">
        <f t="array" ref="E255">INDEX(GMWQ!$A$2:$LR$60,MATCH(1,(GMWQ!$LQ$2:$LQ$60=E$3)*(GMWQ!$LP$2:$LP$60=E$4)*(GMWQ!$LR$2:$LR$60=E$1),0),$B255-1966)</f>
        <v>164.82849999999999</v>
      </c>
      <c r="F255" s="7" cm="1">
        <f t="array" ref="F255">INDEX(GMWQ!$A$2:$LR$60,MATCH(1,(GMWQ!$LQ$2:$LQ$60=F$3)*(GMWQ!$LP$2:$LP$60=F$4)*(GMWQ!$LR$2:$LR$60=F$1),0),$B255-1966)</f>
        <v>417378.7</v>
      </c>
      <c r="G255" s="7" cm="1">
        <f t="array" ref="G255">INDEX(GMWQ!$A$2:$LR$60,MATCH(1,(GMWQ!$LQ$2:$LQ$60=G$3)*(GMWQ!$LP$2:$LP$60=G$4)*(GMWQ!$LR$2:$LR$60=G$1),0),$B255-1966)</f>
        <v>123293.1</v>
      </c>
      <c r="H255" s="7" cm="1">
        <f t="array" ref="H255">INDEX(GMWQ!$A$2:$LR$60,MATCH(1,(GMWQ!$LQ$2:$LQ$60=H$3)*(GMWQ!$LP$2:$LP$60=H$4)*(GMWQ!$LR$2:$LR$60=H$1),0),$B255-1966)</f>
        <v>28068.720000000001</v>
      </c>
      <c r="I255" s="7" cm="1">
        <f t="array" ref="I255">INDEX(GMWQ!$A$2:$LR$60,MATCH(1,(GMWQ!$LQ$2:$LQ$60=I$3)*(GMWQ!$LP$2:$LP$60=I$4)*(GMWQ!$LR$2:$LR$60=I$1),0),$B255-1966)</f>
        <v>150.8066</v>
      </c>
      <c r="J255" s="7" cm="1">
        <f t="array" ref="J255">INDEX(GMWQ!$A$2:$LR$60,MATCH(1,(GMWQ!$LQ$2:$LQ$60=J$3)*(GMWQ!$LP$2:$LP$60=J$4)*(GMWQ!$LR$2:$LR$60=J$1),0),$B255-1966)</f>
        <v>31184.41</v>
      </c>
      <c r="K255" s="7" cm="1">
        <f t="array" ref="K255">INDEX(GMWQ!$A$2:$LR$60,MATCH(1,(GMWQ!$LQ$2:$LQ$60=K$3)*(GMWQ!$LP$2:$LP$60=K$4)*(GMWQ!$LR$2:$LR$60=K$1),0),$B255-1966)</f>
        <v>2</v>
      </c>
      <c r="L255" s="7" cm="1">
        <f t="array" ref="L255">INDEX(GMWQ!$A$2:$LR$60,MATCH(1,(GMWQ!$LQ$2:$LQ$60=L$3)*(GMWQ!$LP$2:$LP$60=L$4)*(GMWQ!$LR$2:$LR$60=L$1),0),$B255-1966)</f>
        <v>3.7500170000000002</v>
      </c>
      <c r="M255" s="7" cm="1">
        <f t="array" ref="M255">INDEX(GMWQ!$A$2:$LR$60,MATCH(1,(GMWQ!$LQ$2:$LQ$60=M$3)*(GMWQ!$LP$2:$LP$60=M$4)*(GMWQ!$LR$2:$LR$60=M$1),0),$B255-1966)</f>
        <v>204.1566</v>
      </c>
      <c r="N255" s="7" cm="1">
        <f t="array" ref="N255">INDEX(GMWQ!$A$2:$LR$60,MATCH(1,(GMWQ!$LQ$2:$LQ$60=N$3)*(GMWQ!$LP$2:$LP$60=N$4)*(GMWQ!$LR$2:$LR$60=N$1),0),$B255-1966)</f>
        <v>29976.799999999999</v>
      </c>
      <c r="O255" s="7" cm="1">
        <f t="array" ref="O255">INDEX(GMWQ!$A$2:$LR$60,MATCH(1,(GMWQ!$LQ$2:$LQ$60=O$3)*(GMWQ!$LP$2:$LP$60=O$4)*(GMWQ!$LR$2:$LR$60=O$1),0),$B255-1966)</f>
        <v>17915.759999999998</v>
      </c>
      <c r="P255" s="7" cm="1">
        <f t="array" ref="P255">INDEX(GMWQ!$A$2:$LR$60,MATCH(1,(GMWQ!$LQ$2:$LQ$60=P$3)*(GMWQ!$LP$2:$LP$60=P$4)*(GMWQ!$LR$2:$LR$60=P$1),0),$B255-1966)</f>
        <v>664525.9</v>
      </c>
      <c r="Q255" s="7" cm="1">
        <f t="array" ref="Q255">INDEX(GMWQ!$A$2:$LR$60,MATCH(1,(GMWQ!$LQ$2:$LQ$60=Q$3)*(GMWQ!$LP$2:$LP$60=Q$4)*(GMWQ!$LR$2:$LR$60=Q$1),0),$B255-1966)</f>
        <v>3.4999980000000002</v>
      </c>
      <c r="R255" s="7" cm="1">
        <f t="array" ref="R255">INDEX(GMWQ!$A$2:$LR$60,MATCH(1,(GMWQ!$LQ$2:$LQ$60=R$3)*(GMWQ!$LP$2:$LP$60=R$4)*(GMWQ!$LR$2:$LR$60=R$1),0),$B255-1966)</f>
        <v>256315.3</v>
      </c>
      <c r="S255" s="7" cm="1">
        <f t="array" ref="S255">INDEX(GMWQ!$A$2:$LR$60,MATCH(1,(GMWQ!$LQ$2:$LQ$60=S$3)*(GMWQ!$LP$2:$LP$60=S$4)*(GMWQ!$LR$2:$LR$60=S$1),0),$B255-1966)</f>
        <v>382.3623</v>
      </c>
      <c r="T255" s="7" cm="1">
        <f t="array" ref="T255">INDEX(GMWQ!$A$2:$LR$60,MATCH(1,(GMWQ!$LQ$2:$LQ$60=T$3)*(GMWQ!$LP$2:$LP$60=T$4)*(GMWQ!$LR$2:$LR$60=T$1),0),$B255-1966)</f>
        <v>124349.7</v>
      </c>
      <c r="U255" s="7" cm="1">
        <f t="array" ref="U255">INDEX(GMWQ!$A$2:$LR$60,MATCH(1,(GMWQ!$LQ$2:$LQ$60=U$3)*(GMWQ!$LP$2:$LP$60=U$4)*(GMWQ!$LR$2:$LR$60=U$1),0),$B255-1966)</f>
        <v>24220.48</v>
      </c>
      <c r="V255" s="7" cm="1">
        <f t="array" ref="V255">INDEX(GMWQ!$A$2:$LR$60,MATCH(1,(GMWQ!$LQ$2:$LQ$60=V$3)*(GMWQ!$LP$2:$LP$60=V$4)*(GMWQ!$LR$2:$LR$60=V$1),0),$B255-1966)</f>
        <v>1.3721740000000001E-3</v>
      </c>
      <c r="W255" s="7" cm="1">
        <f t="array" ref="W255">INDEX(GMWQ!$A$2:$LR$60,MATCH(1,(GMWQ!$LQ$2:$LQ$60=W$3)*(GMWQ!$LP$2:$LP$60=W$4)*(GMWQ!$LR$2:$LR$60=W$1),0),$B255-1966)</f>
        <v>9.0915959999999991</v>
      </c>
      <c r="X255" s="7" cm="1">
        <f t="array" ref="X255">INDEX(GMWQ!$A$2:$LR$60,MATCH(1,(GMWQ!$LQ$2:$LQ$60=X$3)*(GMWQ!$LP$2:$LP$60=X$4)*(GMWQ!$LR$2:$LR$60=X$1),0),$B255-1966)</f>
        <v>8648644</v>
      </c>
      <c r="Y255" s="7" cm="1">
        <f t="array" ref="Y255">INDEX(GMWQ!$A$2:$LR$60,MATCH(1,(GMWQ!$LQ$2:$LQ$60=Y$3)*(GMWQ!$LP$2:$LP$60=Y$4)*(GMWQ!$LR$2:$LR$60=Y$1),0),$B255-1966)</f>
        <v>151.09110000000001</v>
      </c>
      <c r="Z255" s="7" cm="1">
        <f t="array" ref="Z255">INDEX(GMWQ!$A$2:$LR$60,MATCH(1,(GMWQ!$LQ$2:$LQ$60=Z$3)*(GMWQ!$LP$2:$LP$60=Z$4)*(GMWQ!$LR$2:$LR$60=Z$1),0),$B255-1966)</f>
        <v>676390.1</v>
      </c>
      <c r="AA255" s="7" cm="1">
        <f t="array" ref="AA255">INDEX(GMWQ!$A$2:$LR$60,MATCH(1,(GMWQ!$LQ$2:$LQ$60=AA$3)*(GMWQ!$LP$2:$LP$60=AA$4)*(GMWQ!$LR$2:$LR$60=AA$1),0),$B255-1966)</f>
        <v>462528.1</v>
      </c>
      <c r="AB255" s="7" cm="1">
        <f t="array" ref="AB255">INDEX(GMWQ!$A$2:$LR$60,MATCH(1,(GMWQ!$LQ$2:$LQ$60=AB$3)*(GMWQ!$LP$2:$LP$60=AB$4)*(GMWQ!$LR$2:$LR$60=AB$1),0),$B255-1966)</f>
        <v>389526.3</v>
      </c>
      <c r="AC255" s="7" cm="1">
        <f t="array" ref="AC255">INDEX(GMWQ!$A$2:$LR$60,MATCH(1,(GMWQ!$LQ$2:$LQ$60=AC$3)*(GMWQ!$LP$2:$LP$60=AC$4)*(GMWQ!$LR$2:$LR$60=AC$1),0),$B255-1966)</f>
        <v>27614.45</v>
      </c>
      <c r="AD255" s="7" cm="1">
        <f t="array" ref="AD255">INDEX(GMWQ!$A$2:$LR$60,MATCH(1,(GMWQ!$LQ$2:$LQ$60=AD$3)*(GMWQ!$LP$2:$LP$60=AD$4)*(GMWQ!$LR$2:$LR$60=AD$1),0),$B255-1966)</f>
        <v>22146.32</v>
      </c>
      <c r="AE255" s="7" cm="1">
        <f t="array" ref="AE255">INDEX(GMWQ!$A$2:$LR$60,MATCH(1,(GMWQ!$LQ$2:$LQ$60=AE$3)*(GMWQ!$LP$2:$LP$60=AE$4)*(GMWQ!$LR$2:$LR$60=AE$1),0),$B255-1966)</f>
        <v>1021966</v>
      </c>
      <c r="AF255" s="20" cm="1">
        <f t="array" ref="AF255">INDEX(GMWQ!$A$2:$LR$60,MATCH(1,(GMWQ!$LQ$2:$LQ$60=AF$3)*(GMWQ!$LP$2:$LP$60=AF$4)*(GMWQ!$LR$2:$LR$60=AF$1),0),$B255-1966)</f>
        <v>2</v>
      </c>
      <c r="AG255" s="20" cm="1">
        <f t="array" ref="AG255">INDEX(GMWQ!$A$2:$LR$60,MATCH(1,(GMWQ!$LQ$2:$LQ$60=AG$3)*(GMWQ!$LP$2:$LP$60=AG$4)*(GMWQ!$LR$2:$LR$60=AG$1),0),$B255-1966)</f>
        <v>-12061.04</v>
      </c>
      <c r="AI255" s="23" cm="1">
        <f t="array" ref="AI255">INDEX(GMWQ!$A$2:$LR$60,MATCH(1,(GMWQ!$LQ$2:$LQ$60=AI$3)*(GMWQ!$LP$2:$LP$60=AI$4)*(GMWQ!$LR$2:$LR$60=AI$1),0),$B255-1966)</f>
        <v>664525.9</v>
      </c>
      <c r="AJ255" s="23" cm="1">
        <f t="array" ref="AJ255">INDEX(GMWQ!$A$2:$LR$60,MATCH(1,(GMWQ!$LQ$2:$LQ$60=AJ$3)*(GMWQ!$LP$2:$LP$60=AJ$4)*(GMWQ!$LR$2:$LR$60=AJ$1),0),$B255-1966)</f>
        <v>150.8066</v>
      </c>
      <c r="AK255" s="23" cm="1">
        <f t="array" ref="AK255">INDEX(GMWQ!$A$2:$LR$60,MATCH(1,(GMWQ!$LQ$2:$LQ$60=AK$3)*(GMWQ!$LP$2:$LP$60=AK$4)*(GMWQ!$LR$2:$LR$60=AK$1),0),$B255-1966)</f>
        <v>417378.7</v>
      </c>
      <c r="AL255" s="23" cm="1">
        <f t="array" ref="AL255">INDEX(GMWQ!$A$2:$LR$60,MATCH(1,(GMWQ!$LQ$2:$LQ$60=AL$3)*(GMWQ!$LP$2:$LP$60=AL$4)*(GMWQ!$LR$2:$LR$60=AL$1),0),$B255-1966)</f>
        <v>13384.21</v>
      </c>
      <c r="AM255" s="23" cm="1">
        <f t="array" ref="AM255">INDEX(GMWQ!$A$2:$LR$60,MATCH(1,(GMWQ!$LQ$2:$LQ$60=AM$3)*(GMWQ!$LP$2:$LP$60=AM$4)*(GMWQ!$LR$2:$LR$60=AM$1),0),$B255-1966)</f>
        <v>31184.41</v>
      </c>
      <c r="AN255" s="23" cm="1">
        <f t="array" ref="AN255">INDEX(GMWQ!$A$2:$LR$60,MATCH(1,(GMWQ!$LQ$2:$LQ$60=AN$3)*(GMWQ!$LP$2:$LP$60=AN$4)*(GMWQ!$LR$2:$LR$60=AN$1),0),$B255-1966)</f>
        <v>123293.1</v>
      </c>
      <c r="AO255" s="23" cm="1">
        <f t="array" ref="AO255">INDEX(GMWQ!$A$2:$LR$60,MATCH(1,(GMWQ!$LQ$2:$LQ$60=AO$3)*(GMWQ!$LP$2:$LP$60=AO$4)*(GMWQ!$LR$2:$LR$60=AO$1),0),$B255-1966)</f>
        <v>28068.720000000001</v>
      </c>
      <c r="AP255" s="23" cm="1">
        <f t="array" ref="AP255">INDEX(GMWQ!$A$2:$LR$60,MATCH(1,(GMWQ!$LQ$2:$LQ$60=AP$3)*(GMWQ!$LP$2:$LP$60=AP$4)*(GMWQ!$LR$2:$LR$60=AP$1),0),$B255-1966)</f>
        <v>-12061.04</v>
      </c>
      <c r="AQ255" s="23" cm="1">
        <f t="array" ref="AQ255">INDEX(GMWQ!$A$2:$LR$60,MATCH(1,(GMWQ!$LQ$2:$LQ$60=AQ$3)*(GMWQ!$LP$2:$LP$60=AQ$4)*(GMWQ!$LR$2:$LR$60=AQ$1),0),$B255-1966)</f>
        <v>144275.4</v>
      </c>
      <c r="AR255" s="23" cm="1">
        <f t="array" ref="AR255">INDEX(GMWQ!$A$2:$LR$60,MATCH(1,(GMWQ!$LQ$2:$LQ$60=AR$3)*(GMWQ!$LP$2:$LP$60=AR$4)*(GMWQ!$LR$2:$LR$60=AR$1),0),$B255-1966)</f>
        <v>613158.9</v>
      </c>
      <c r="AS255" s="23" cm="1">
        <f t="array" ref="AS255">INDEX(GMWQ!$A$2:$LR$60,MATCH(1,(GMWQ!$LQ$2:$LQ$60=AS$3)*(GMWQ!$LP$2:$LP$60=AS$4)*(GMWQ!$LR$2:$LR$60=AS$1),0),$B255-1966)</f>
        <v>20784.3</v>
      </c>
      <c r="AT255" s="23" cm="1">
        <f t="array" ref="AT255">INDEX(GMWQ!$A$2:$LR$60,MATCH(1,(GMWQ!$LQ$2:$LQ$60=AT$3)*(GMWQ!$LP$2:$LP$60=AT$4)*(GMWQ!$LR$2:$LR$60=AT$1),0),$B255-1966)</f>
        <v>406586.3</v>
      </c>
      <c r="AU255" s="23" cm="1">
        <f t="array" ref="AU255">INDEX(GMWQ!$A$2:$LR$60,MATCH(1,(GMWQ!$LQ$2:$LQ$60=AU$3)*(GMWQ!$LP$2:$LP$60=AU$4)*(GMWQ!$LR$2:$LR$60=AU$1),0),$B255-1966)</f>
        <v>14470.45</v>
      </c>
    </row>
    <row r="256" spans="1:47" x14ac:dyDescent="0.35">
      <c r="B256" s="7">
        <f t="shared" si="5"/>
        <v>2222</v>
      </c>
      <c r="C256" s="7" cm="1">
        <f t="array" ref="C256">INDEX(GMWQ!$A$2:$LR$60,MATCH(1,(GMWQ!$LQ$2:$LQ$60=C$3)*(GMWQ!$LP$2:$LP$60=C$4)*(GMWQ!$LR$2:$LR$60=C$1),0),$B256-1966)</f>
        <v>678824.3</v>
      </c>
      <c r="D256" s="7" cm="1">
        <f t="array" ref="D256">INDEX(GMWQ!$A$2:$LR$60,MATCH(1,(GMWQ!$LQ$2:$LQ$60=D$3)*(GMWQ!$LP$2:$LP$60=D$4)*(GMWQ!$LR$2:$LR$60=D$1),0),$B256-1966)</f>
        <v>927.32929999999999</v>
      </c>
      <c r="E256" s="7" cm="1">
        <f t="array" ref="E256">INDEX(GMWQ!$A$2:$LR$60,MATCH(1,(GMWQ!$LQ$2:$LQ$60=E$3)*(GMWQ!$LP$2:$LP$60=E$4)*(GMWQ!$LR$2:$LR$60=E$1),0),$B256-1966)</f>
        <v>166.334</v>
      </c>
      <c r="F256" s="7" cm="1">
        <f t="array" ref="F256">INDEX(GMWQ!$A$2:$LR$60,MATCH(1,(GMWQ!$LQ$2:$LQ$60=F$3)*(GMWQ!$LP$2:$LP$60=F$4)*(GMWQ!$LR$2:$LR$60=F$1),0),$B256-1966)</f>
        <v>420966.8</v>
      </c>
      <c r="G256" s="7" cm="1">
        <f t="array" ref="G256">INDEX(GMWQ!$A$2:$LR$60,MATCH(1,(GMWQ!$LQ$2:$LQ$60=G$3)*(GMWQ!$LP$2:$LP$60=G$4)*(GMWQ!$LR$2:$LR$60=G$1),0),$B256-1966)</f>
        <v>123922</v>
      </c>
      <c r="H256" s="7" cm="1">
        <f t="array" ref="H256">INDEX(GMWQ!$A$2:$LR$60,MATCH(1,(GMWQ!$LQ$2:$LQ$60=H$3)*(GMWQ!$LP$2:$LP$60=H$4)*(GMWQ!$LR$2:$LR$60=H$1),0),$B256-1966)</f>
        <v>28310.02</v>
      </c>
      <c r="I256" s="7" cm="1">
        <f t="array" ref="I256">INDEX(GMWQ!$A$2:$LR$60,MATCH(1,(GMWQ!$LQ$2:$LQ$60=I$3)*(GMWQ!$LP$2:$LP$60=I$4)*(GMWQ!$LR$2:$LR$60=I$1),0),$B256-1966)</f>
        <v>151.5549</v>
      </c>
      <c r="J256" s="7" cm="1">
        <f t="array" ref="J256">INDEX(GMWQ!$A$2:$LR$60,MATCH(1,(GMWQ!$LQ$2:$LQ$60=J$3)*(GMWQ!$LP$2:$LP$60=J$4)*(GMWQ!$LR$2:$LR$60=J$1),0),$B256-1966)</f>
        <v>31217.16</v>
      </c>
      <c r="K256" s="7" cm="1">
        <f t="array" ref="K256">INDEX(GMWQ!$A$2:$LR$60,MATCH(1,(GMWQ!$LQ$2:$LQ$60=K$3)*(GMWQ!$LP$2:$LP$60=K$4)*(GMWQ!$LR$2:$LR$60=K$1),0),$B256-1966)</f>
        <v>2</v>
      </c>
      <c r="L256" s="7" cm="1">
        <f t="array" ref="L256">INDEX(GMWQ!$A$2:$LR$60,MATCH(1,(GMWQ!$LQ$2:$LQ$60=L$3)*(GMWQ!$LP$2:$LP$60=L$4)*(GMWQ!$LR$2:$LR$60=L$1),0),$B256-1966)</f>
        <v>3.7500040000000001</v>
      </c>
      <c r="M256" s="7" cm="1">
        <f t="array" ref="M256">INDEX(GMWQ!$A$2:$LR$60,MATCH(1,(GMWQ!$LQ$2:$LQ$60=M$3)*(GMWQ!$LP$2:$LP$60=M$4)*(GMWQ!$LR$2:$LR$60=M$1),0),$B256-1966)</f>
        <v>205.84139999999999</v>
      </c>
      <c r="N256" s="7" cm="1">
        <f t="array" ref="N256">INDEX(GMWQ!$A$2:$LR$60,MATCH(1,(GMWQ!$LQ$2:$LQ$60=N$3)*(GMWQ!$LP$2:$LP$60=N$4)*(GMWQ!$LR$2:$LR$60=N$1),0),$B256-1966)</f>
        <v>30305.69</v>
      </c>
      <c r="O256" s="7" cm="1">
        <f t="array" ref="O256">INDEX(GMWQ!$A$2:$LR$60,MATCH(1,(GMWQ!$LQ$2:$LQ$60=O$3)*(GMWQ!$LP$2:$LP$60=O$4)*(GMWQ!$LR$2:$LR$60=O$1),0),$B256-1966)</f>
        <v>18032.18</v>
      </c>
      <c r="P256" s="7" cm="1">
        <f t="array" ref="P256">INDEX(GMWQ!$A$2:$LR$60,MATCH(1,(GMWQ!$LQ$2:$LQ$60=P$3)*(GMWQ!$LP$2:$LP$60=P$4)*(GMWQ!$LR$2:$LR$60=P$1),0),$B256-1966)</f>
        <v>669759.19999999995</v>
      </c>
      <c r="Q256" s="7" cm="1">
        <f t="array" ref="Q256">INDEX(GMWQ!$A$2:$LR$60,MATCH(1,(GMWQ!$LQ$2:$LQ$60=Q$3)*(GMWQ!$LP$2:$LP$60=Q$4)*(GMWQ!$LR$2:$LR$60=Q$1),0),$B256-1966)</f>
        <v>3.4999989999999999</v>
      </c>
      <c r="R256" s="7" cm="1">
        <f t="array" ref="R256">INDEX(GMWQ!$A$2:$LR$60,MATCH(1,(GMWQ!$LQ$2:$LQ$60=R$3)*(GMWQ!$LP$2:$LP$60=R$4)*(GMWQ!$LR$2:$LR$60=R$1),0),$B256-1966)</f>
        <v>256289.6</v>
      </c>
      <c r="S256" s="7" cm="1">
        <f t="array" ref="S256">INDEX(GMWQ!$A$2:$LR$60,MATCH(1,(GMWQ!$LQ$2:$LQ$60=S$3)*(GMWQ!$LP$2:$LP$60=S$4)*(GMWQ!$LR$2:$LR$60=S$1),0),$B256-1966)</f>
        <v>382.32409999999999</v>
      </c>
      <c r="T256" s="7" cm="1">
        <f t="array" ref="T256">INDEX(GMWQ!$A$2:$LR$60,MATCH(1,(GMWQ!$LQ$2:$LQ$60=T$3)*(GMWQ!$LP$2:$LP$60=T$4)*(GMWQ!$LR$2:$LR$60=T$1),0),$B256-1966)</f>
        <v>125080.6</v>
      </c>
      <c r="U256" s="7" cm="1">
        <f t="array" ref="U256">INDEX(GMWQ!$A$2:$LR$60,MATCH(1,(GMWQ!$LQ$2:$LQ$60=U$3)*(GMWQ!$LP$2:$LP$60=U$4)*(GMWQ!$LR$2:$LR$60=U$1),0),$B256-1966)</f>
        <v>24008.18</v>
      </c>
      <c r="V256" s="7" cm="1">
        <f t="array" ref="V256">INDEX(GMWQ!$A$2:$LR$60,MATCH(1,(GMWQ!$LQ$2:$LQ$60=V$3)*(GMWQ!$LP$2:$LP$60=V$4)*(GMWQ!$LR$2:$LR$60=V$1),0),$B256-1966)</f>
        <v>1.3728270000000001E-3</v>
      </c>
      <c r="W256" s="7" cm="1">
        <f t="array" ref="W256">INDEX(GMWQ!$A$2:$LR$60,MATCH(1,(GMWQ!$LQ$2:$LQ$60=W$3)*(GMWQ!$LP$2:$LP$60=W$4)*(GMWQ!$LR$2:$LR$60=W$1),0),$B256-1966)</f>
        <v>9.1624490000000005</v>
      </c>
      <c r="X256" s="7" cm="1">
        <f t="array" ref="X256">INDEX(GMWQ!$A$2:$LR$60,MATCH(1,(GMWQ!$LQ$2:$LQ$60=X$3)*(GMWQ!$LP$2:$LP$60=X$4)*(GMWQ!$LR$2:$LR$60=X$1),0),$B256-1966)</f>
        <v>8751791</v>
      </c>
      <c r="Y256" s="7" cm="1">
        <f t="array" ref="Y256">INDEX(GMWQ!$A$2:$LR$60,MATCH(1,(GMWQ!$LQ$2:$LQ$60=Y$3)*(GMWQ!$LP$2:$LP$60=Y$4)*(GMWQ!$LR$2:$LR$60=Y$1),0),$B256-1966)</f>
        <v>151.90880000000001</v>
      </c>
      <c r="Z256" s="7" cm="1">
        <f t="array" ref="Z256">INDEX(GMWQ!$A$2:$LR$60,MATCH(1,(GMWQ!$LQ$2:$LQ$60=Z$3)*(GMWQ!$LP$2:$LP$60=Z$4)*(GMWQ!$LR$2:$LR$60=Z$1),0),$B256-1966)</f>
        <v>678824.4</v>
      </c>
      <c r="AA256" s="7" cm="1">
        <f t="array" ref="AA256">INDEX(GMWQ!$A$2:$LR$60,MATCH(1,(GMWQ!$LQ$2:$LQ$60=AA$3)*(GMWQ!$LP$2:$LP$60=AA$4)*(GMWQ!$LR$2:$LR$60=AA$1),0),$B256-1966)</f>
        <v>415029.2</v>
      </c>
      <c r="AB256" s="7" cm="1">
        <f t="array" ref="AB256">INDEX(GMWQ!$A$2:$LR$60,MATCH(1,(GMWQ!$LQ$2:$LQ$60=AB$3)*(GMWQ!$LP$2:$LP$60=AB$4)*(GMWQ!$LR$2:$LR$60=AB$1),0),$B256-1966)</f>
        <v>398415.4</v>
      </c>
      <c r="AC256" s="7" cm="1">
        <f t="array" ref="AC256">INDEX(GMWQ!$A$2:$LR$60,MATCH(1,(GMWQ!$LQ$2:$LQ$60=AC$3)*(GMWQ!$LP$2:$LP$60=AC$4)*(GMWQ!$LR$2:$LR$60=AC$1),0),$B256-1966)</f>
        <v>13281.45</v>
      </c>
      <c r="AD256" s="7" cm="1">
        <f t="array" ref="AD256">INDEX(GMWQ!$A$2:$LR$60,MATCH(1,(GMWQ!$LQ$2:$LQ$60=AD$3)*(GMWQ!$LP$2:$LP$60=AD$4)*(GMWQ!$LR$2:$LR$60=AD$1),0),$B256-1966)</f>
        <v>22951.27</v>
      </c>
      <c r="AE256" s="7" cm="1">
        <f t="array" ref="AE256">INDEX(GMWQ!$A$2:$LR$60,MATCH(1,(GMWQ!$LQ$2:$LQ$60=AE$3)*(GMWQ!$LP$2:$LP$60=AE$4)*(GMWQ!$LR$2:$LR$60=AE$1),0),$B256-1966)</f>
        <v>1031194</v>
      </c>
      <c r="AF256" s="20" cm="1">
        <f t="array" ref="AF256">INDEX(GMWQ!$A$2:$LR$60,MATCH(1,(GMWQ!$LQ$2:$LQ$60=AF$3)*(GMWQ!$LP$2:$LP$60=AF$4)*(GMWQ!$LR$2:$LR$60=AF$1),0),$B256-1966)</f>
        <v>2</v>
      </c>
      <c r="AG256" s="20" cm="1">
        <f t="array" ref="AG256">INDEX(GMWQ!$A$2:$LR$60,MATCH(1,(GMWQ!$LQ$2:$LQ$60=AG$3)*(GMWQ!$LP$2:$LP$60=AG$4)*(GMWQ!$LR$2:$LR$60=AG$1),0),$B256-1966)</f>
        <v>-12273.51</v>
      </c>
      <c r="AI256" s="23" cm="1">
        <f t="array" ref="AI256">INDEX(GMWQ!$A$2:$LR$60,MATCH(1,(GMWQ!$LQ$2:$LQ$60=AI$3)*(GMWQ!$LP$2:$LP$60=AI$4)*(GMWQ!$LR$2:$LR$60=AI$1),0),$B256-1966)</f>
        <v>669759.19999999995</v>
      </c>
      <c r="AJ256" s="23" cm="1">
        <f t="array" ref="AJ256">INDEX(GMWQ!$A$2:$LR$60,MATCH(1,(GMWQ!$LQ$2:$LQ$60=AJ$3)*(GMWQ!$LP$2:$LP$60=AJ$4)*(GMWQ!$LR$2:$LR$60=AJ$1),0),$B256-1966)</f>
        <v>151.5549</v>
      </c>
      <c r="AK256" s="23" cm="1">
        <f t="array" ref="AK256">INDEX(GMWQ!$A$2:$LR$60,MATCH(1,(GMWQ!$LQ$2:$LQ$60=AK$3)*(GMWQ!$LP$2:$LP$60=AK$4)*(GMWQ!$LR$2:$LR$60=AK$1),0),$B256-1966)</f>
        <v>420966.8</v>
      </c>
      <c r="AL256" s="23" cm="1">
        <f t="array" ref="AL256">INDEX(GMWQ!$A$2:$LR$60,MATCH(1,(GMWQ!$LQ$2:$LQ$60=AL$3)*(GMWQ!$LP$2:$LP$60=AL$4)*(GMWQ!$LR$2:$LR$60=AL$1),0),$B256-1966)</f>
        <v>13485.11</v>
      </c>
      <c r="AM256" s="23" cm="1">
        <f t="array" ref="AM256">INDEX(GMWQ!$A$2:$LR$60,MATCH(1,(GMWQ!$LQ$2:$LQ$60=AM$3)*(GMWQ!$LP$2:$LP$60=AM$4)*(GMWQ!$LR$2:$LR$60=AM$1),0),$B256-1966)</f>
        <v>31217.16</v>
      </c>
      <c r="AN256" s="23" cm="1">
        <f t="array" ref="AN256">INDEX(GMWQ!$A$2:$LR$60,MATCH(1,(GMWQ!$LQ$2:$LQ$60=AN$3)*(GMWQ!$LP$2:$LP$60=AN$4)*(GMWQ!$LR$2:$LR$60=AN$1),0),$B256-1966)</f>
        <v>123922</v>
      </c>
      <c r="AO256" s="23" cm="1">
        <f t="array" ref="AO256">INDEX(GMWQ!$A$2:$LR$60,MATCH(1,(GMWQ!$LQ$2:$LQ$60=AO$3)*(GMWQ!$LP$2:$LP$60=AO$4)*(GMWQ!$LR$2:$LR$60=AO$1),0),$B256-1966)</f>
        <v>28310.02</v>
      </c>
      <c r="AP256" s="23" cm="1">
        <f t="array" ref="AP256">INDEX(GMWQ!$A$2:$LR$60,MATCH(1,(GMWQ!$LQ$2:$LQ$60=AP$3)*(GMWQ!$LP$2:$LP$60=AP$4)*(GMWQ!$LR$2:$LR$60=AP$1),0),$B256-1966)</f>
        <v>-12273.51</v>
      </c>
      <c r="AQ256" s="23" cm="1">
        <f t="array" ref="AQ256">INDEX(GMWQ!$A$2:$LR$60,MATCH(1,(GMWQ!$LQ$2:$LQ$60=AQ$3)*(GMWQ!$LP$2:$LP$60=AQ$4)*(GMWQ!$LR$2:$LR$60=AQ$1),0),$B256-1966)</f>
        <v>145603</v>
      </c>
      <c r="AR256" s="23" cm="1">
        <f t="array" ref="AR256">INDEX(GMWQ!$A$2:$LR$60,MATCH(1,(GMWQ!$LQ$2:$LQ$60=AR$3)*(GMWQ!$LP$2:$LP$60=AR$4)*(GMWQ!$LR$2:$LR$60=AR$1),0),$B256-1966)</f>
        <v>618381.80000000005</v>
      </c>
      <c r="AS256" s="23" cm="1">
        <f t="array" ref="AS256">INDEX(GMWQ!$A$2:$LR$60,MATCH(1,(GMWQ!$LQ$2:$LQ$60=AS$3)*(GMWQ!$LP$2:$LP$60=AS$4)*(GMWQ!$LR$2:$LR$60=AS$1),0),$B256-1966)</f>
        <v>20970.39</v>
      </c>
      <c r="AT256" s="23" cm="1">
        <f t="array" ref="AT256">INDEX(GMWQ!$A$2:$LR$60,MATCH(1,(GMWQ!$LQ$2:$LQ$60=AT$3)*(GMWQ!$LP$2:$LP$60=AT$4)*(GMWQ!$LR$2:$LR$60=AT$1),0),$B256-1966)</f>
        <v>408024.9</v>
      </c>
      <c r="AU256" s="23" cm="1">
        <f t="array" ref="AU256">INDEX(GMWQ!$A$2:$LR$60,MATCH(1,(GMWQ!$LQ$2:$LQ$60=AU$3)*(GMWQ!$LP$2:$LP$60=AU$4)*(GMWQ!$LR$2:$LR$60=AU$1),0),$B256-1966)</f>
        <v>14521.79</v>
      </c>
    </row>
    <row r="257" spans="1:47" x14ac:dyDescent="0.35">
      <c r="B257" s="7">
        <f t="shared" si="5"/>
        <v>2223</v>
      </c>
      <c r="C257" s="7" cm="1">
        <f t="array" ref="C257">INDEX(GMWQ!$A$2:$LR$60,MATCH(1,(GMWQ!$LQ$2:$LQ$60=C$3)*(GMWQ!$LP$2:$LP$60=C$4)*(GMWQ!$LR$2:$LR$60=C$1),0),$B257-1966)</f>
        <v>681268.6</v>
      </c>
      <c r="D257" s="7" cm="1">
        <f t="array" ref="D257">INDEX(GMWQ!$A$2:$LR$60,MATCH(1,(GMWQ!$LQ$2:$LQ$60=D$3)*(GMWQ!$LP$2:$LP$60=D$4)*(GMWQ!$LR$2:$LR$60=D$1),0),$B257-1966)</f>
        <v>934.33330000000001</v>
      </c>
      <c r="E257" s="7" cm="1">
        <f t="array" ref="E257">INDEX(GMWQ!$A$2:$LR$60,MATCH(1,(GMWQ!$LQ$2:$LQ$60=E$3)*(GMWQ!$LP$2:$LP$60=E$4)*(GMWQ!$LR$2:$LR$60=E$1),0),$B257-1966)</f>
        <v>167.24260000000001</v>
      </c>
      <c r="F257" s="7" cm="1">
        <f t="array" ref="F257">INDEX(GMWQ!$A$2:$LR$60,MATCH(1,(GMWQ!$LQ$2:$LQ$60=F$3)*(GMWQ!$LP$2:$LP$60=F$4)*(GMWQ!$LR$2:$LR$60=F$1),0),$B257-1966)</f>
        <v>424591.2</v>
      </c>
      <c r="G257" s="7" cm="1">
        <f t="array" ref="G257">INDEX(GMWQ!$A$2:$LR$60,MATCH(1,(GMWQ!$LQ$2:$LQ$60=G$3)*(GMWQ!$LP$2:$LP$60=G$4)*(GMWQ!$LR$2:$LR$60=G$1),0),$B257-1966)</f>
        <v>125148.6</v>
      </c>
      <c r="H257" s="7" cm="1">
        <f t="array" ref="H257">INDEX(GMWQ!$A$2:$LR$60,MATCH(1,(GMWQ!$LQ$2:$LQ$60=H$3)*(GMWQ!$LP$2:$LP$60=H$4)*(GMWQ!$LR$2:$LR$60=H$1),0),$B257-1966)</f>
        <v>28553.75</v>
      </c>
      <c r="I257" s="7" cm="1">
        <f t="array" ref="I257">INDEX(GMWQ!$A$2:$LR$60,MATCH(1,(GMWQ!$LQ$2:$LQ$60=I$3)*(GMWQ!$LP$2:$LP$60=I$4)*(GMWQ!$LR$2:$LR$60=I$1),0),$B257-1966)</f>
        <v>152.30690000000001</v>
      </c>
      <c r="J257" s="7" cm="1">
        <f t="array" ref="J257">INDEX(GMWQ!$A$2:$LR$60,MATCH(1,(GMWQ!$LQ$2:$LQ$60=J$3)*(GMWQ!$LP$2:$LP$60=J$4)*(GMWQ!$LR$2:$LR$60=J$1),0),$B257-1966)</f>
        <v>31249.9</v>
      </c>
      <c r="K257" s="7" cm="1">
        <f t="array" ref="K257">INDEX(GMWQ!$A$2:$LR$60,MATCH(1,(GMWQ!$LQ$2:$LQ$60=K$3)*(GMWQ!$LP$2:$LP$60=K$4)*(GMWQ!$LR$2:$LR$60=K$1),0),$B257-1966)</f>
        <v>2</v>
      </c>
      <c r="L257" s="7" cm="1">
        <f t="array" ref="L257">INDEX(GMWQ!$A$2:$LR$60,MATCH(1,(GMWQ!$LQ$2:$LQ$60=L$3)*(GMWQ!$LP$2:$LP$60=L$4)*(GMWQ!$LR$2:$LR$60=L$1),0),$B257-1966)</f>
        <v>3.7499910000000001</v>
      </c>
      <c r="M257" s="7" cm="1">
        <f t="array" ref="M257">INDEX(GMWQ!$A$2:$LR$60,MATCH(1,(GMWQ!$LQ$2:$LQ$60=M$3)*(GMWQ!$LP$2:$LP$60=M$4)*(GMWQ!$LR$2:$LR$60=M$1),0),$B257-1966)</f>
        <v>207.51439999999999</v>
      </c>
      <c r="N257" s="7" cm="1">
        <f t="array" ref="N257">INDEX(GMWQ!$A$2:$LR$60,MATCH(1,(GMWQ!$LQ$2:$LQ$60=N$3)*(GMWQ!$LP$2:$LP$60=N$4)*(GMWQ!$LR$2:$LR$60=N$1),0),$B257-1966)</f>
        <v>30633.32</v>
      </c>
      <c r="O257" s="7" cm="1">
        <f t="array" ref="O257">INDEX(GMWQ!$A$2:$LR$60,MATCH(1,(GMWQ!$LQ$2:$LQ$60=O$3)*(GMWQ!$LP$2:$LP$60=O$4)*(GMWQ!$LR$2:$LR$60=O$1),0),$B257-1966)</f>
        <v>18153.599999999999</v>
      </c>
      <c r="P257" s="7" cm="1">
        <f t="array" ref="P257">INDEX(GMWQ!$A$2:$LR$60,MATCH(1,(GMWQ!$LQ$2:$LQ$60=P$3)*(GMWQ!$LP$2:$LP$60=P$4)*(GMWQ!$LR$2:$LR$60=P$1),0),$B257-1966)</f>
        <v>675506</v>
      </c>
      <c r="Q257" s="7" cm="1">
        <f t="array" ref="Q257">INDEX(GMWQ!$A$2:$LR$60,MATCH(1,(GMWQ!$LQ$2:$LQ$60=Q$3)*(GMWQ!$LP$2:$LP$60=Q$4)*(GMWQ!$LR$2:$LR$60=Q$1),0),$B257-1966)</f>
        <v>3.4999989999999999</v>
      </c>
      <c r="R257" s="7" cm="1">
        <f t="array" ref="R257">INDEX(GMWQ!$A$2:$LR$60,MATCH(1,(GMWQ!$LQ$2:$LQ$60=R$3)*(GMWQ!$LP$2:$LP$60=R$4)*(GMWQ!$LR$2:$LR$60=R$1),0),$B257-1966)</f>
        <v>256280.6</v>
      </c>
      <c r="S257" s="7" cm="1">
        <f t="array" ref="S257">INDEX(GMWQ!$A$2:$LR$60,MATCH(1,(GMWQ!$LQ$2:$LQ$60=S$3)*(GMWQ!$LP$2:$LP$60=S$4)*(GMWQ!$LR$2:$LR$60=S$1),0),$B257-1966)</f>
        <v>382.31060000000002</v>
      </c>
      <c r="T257" s="7" cm="1">
        <f t="array" ref="T257">INDEX(GMWQ!$A$2:$LR$60,MATCH(1,(GMWQ!$LQ$2:$LQ$60=T$3)*(GMWQ!$LP$2:$LP$60=T$4)*(GMWQ!$LR$2:$LR$60=T$1),0),$B257-1966)</f>
        <v>125782.3</v>
      </c>
      <c r="U257" s="7" cm="1">
        <f t="array" ref="U257">INDEX(GMWQ!$A$2:$LR$60,MATCH(1,(GMWQ!$LQ$2:$LQ$60=U$3)*(GMWQ!$LP$2:$LP$60=U$4)*(GMWQ!$LR$2:$LR$60=U$1),0),$B257-1966)</f>
        <v>23775.11</v>
      </c>
      <c r="V257" s="7" cm="1">
        <f t="array" ref="V257">INDEX(GMWQ!$A$2:$LR$60,MATCH(1,(GMWQ!$LQ$2:$LQ$60=V$3)*(GMWQ!$LP$2:$LP$60=V$4)*(GMWQ!$LR$2:$LR$60=V$1),0),$B257-1966)</f>
        <v>1.372989E-3</v>
      </c>
      <c r="W257" s="7" cm="1">
        <f t="array" ref="W257">INDEX(GMWQ!$A$2:$LR$60,MATCH(1,(GMWQ!$LQ$2:$LQ$60=W$3)*(GMWQ!$LP$2:$LP$60=W$4)*(GMWQ!$LR$2:$LR$60=W$1),0),$B257-1966)</f>
        <v>9.1586800000000004</v>
      </c>
      <c r="X257" s="7" cm="1">
        <f t="array" ref="X257">INDEX(GMWQ!$A$2:$LR$60,MATCH(1,(GMWQ!$LQ$2:$LQ$60=X$3)*(GMWQ!$LP$2:$LP$60=X$4)*(GMWQ!$LR$2:$LR$60=X$1),0),$B257-1966)</f>
        <v>8842798</v>
      </c>
      <c r="Y257" s="7" cm="1">
        <f t="array" ref="Y257">INDEX(GMWQ!$A$2:$LR$60,MATCH(1,(GMWQ!$LQ$2:$LQ$60=Y$3)*(GMWQ!$LP$2:$LP$60=Y$4)*(GMWQ!$LR$2:$LR$60=Y$1),0),$B257-1966)</f>
        <v>152.73099999999999</v>
      </c>
      <c r="Z257" s="7" cm="1">
        <f t="array" ref="Z257">INDEX(GMWQ!$A$2:$LR$60,MATCH(1,(GMWQ!$LQ$2:$LQ$60=Z$3)*(GMWQ!$LP$2:$LP$60=Z$4)*(GMWQ!$LR$2:$LR$60=Z$1),0),$B257-1966)</f>
        <v>681268.1</v>
      </c>
      <c r="AA257" s="7" cm="1">
        <f t="array" ref="AA257">INDEX(GMWQ!$A$2:$LR$60,MATCH(1,(GMWQ!$LQ$2:$LQ$60=AA$3)*(GMWQ!$LP$2:$LP$60=AA$4)*(GMWQ!$LR$2:$LR$60=AA$1),0),$B257-1966)</f>
        <v>432878.5</v>
      </c>
      <c r="AB257" s="7" cm="1">
        <f t="array" ref="AB257">INDEX(GMWQ!$A$2:$LR$60,MATCH(1,(GMWQ!$LQ$2:$LQ$60=AB$3)*(GMWQ!$LP$2:$LP$60=AB$4)*(GMWQ!$LR$2:$LR$60=AB$1),0),$B257-1966)</f>
        <v>401839.2</v>
      </c>
      <c r="AC257" s="7" cm="1">
        <f t="array" ref="AC257">INDEX(GMWQ!$A$2:$LR$60,MATCH(1,(GMWQ!$LQ$2:$LQ$60=AC$3)*(GMWQ!$LP$2:$LP$60=AC$4)*(GMWQ!$LR$2:$LR$60=AC$1),0),$B257-1966)</f>
        <v>15119.61</v>
      </c>
      <c r="AD257" s="7" cm="1">
        <f t="array" ref="AD257">INDEX(GMWQ!$A$2:$LR$60,MATCH(1,(GMWQ!$LQ$2:$LQ$60=AD$3)*(GMWQ!$LP$2:$LP$60=AD$4)*(GMWQ!$LR$2:$LR$60=AD$1),0),$B257-1966)</f>
        <v>22951.27</v>
      </c>
      <c r="AE257" s="7" cm="1">
        <f t="array" ref="AE257">INDEX(GMWQ!$A$2:$LR$60,MATCH(1,(GMWQ!$LQ$2:$LQ$60=AE$3)*(GMWQ!$LP$2:$LP$60=AE$4)*(GMWQ!$LR$2:$LR$60=AE$1),0),$B257-1966)</f>
        <v>1040508</v>
      </c>
      <c r="AF257" s="20" cm="1">
        <f t="array" ref="AF257">INDEX(GMWQ!$A$2:$LR$60,MATCH(1,(GMWQ!$LQ$2:$LQ$60=AF$3)*(GMWQ!$LP$2:$LP$60=AF$4)*(GMWQ!$LR$2:$LR$60=AF$1),0),$B257-1966)</f>
        <v>2</v>
      </c>
      <c r="AG257" s="20" cm="1">
        <f t="array" ref="AG257">INDEX(GMWQ!$A$2:$LR$60,MATCH(1,(GMWQ!$LQ$2:$LQ$60=AG$3)*(GMWQ!$LP$2:$LP$60=AG$4)*(GMWQ!$LR$2:$LR$60=AG$1),0),$B257-1966)</f>
        <v>-12479.72</v>
      </c>
      <c r="AI257" s="23" cm="1">
        <f t="array" ref="AI257">INDEX(GMWQ!$A$2:$LR$60,MATCH(1,(GMWQ!$LQ$2:$LQ$60=AI$3)*(GMWQ!$LP$2:$LP$60=AI$4)*(GMWQ!$LR$2:$LR$60=AI$1),0),$B257-1966)</f>
        <v>675506</v>
      </c>
      <c r="AJ257" s="23" cm="1">
        <f t="array" ref="AJ257">INDEX(GMWQ!$A$2:$LR$60,MATCH(1,(GMWQ!$LQ$2:$LQ$60=AJ$3)*(GMWQ!$LP$2:$LP$60=AJ$4)*(GMWQ!$LR$2:$LR$60=AJ$1),0),$B257-1966)</f>
        <v>152.30690000000001</v>
      </c>
      <c r="AK257" s="23" cm="1">
        <f t="array" ref="AK257">INDEX(GMWQ!$A$2:$LR$60,MATCH(1,(GMWQ!$LQ$2:$LQ$60=AK$3)*(GMWQ!$LP$2:$LP$60=AK$4)*(GMWQ!$LR$2:$LR$60=AK$1),0),$B257-1966)</f>
        <v>424591.2</v>
      </c>
      <c r="AL257" s="23" cm="1">
        <f t="array" ref="AL257">INDEX(GMWQ!$A$2:$LR$60,MATCH(1,(GMWQ!$LQ$2:$LQ$60=AL$3)*(GMWQ!$LP$2:$LP$60=AL$4)*(GMWQ!$LR$2:$LR$60=AL$1),0),$B257-1966)</f>
        <v>13586.96</v>
      </c>
      <c r="AM257" s="23" cm="1">
        <f t="array" ref="AM257">INDEX(GMWQ!$A$2:$LR$60,MATCH(1,(GMWQ!$LQ$2:$LQ$60=AM$3)*(GMWQ!$LP$2:$LP$60=AM$4)*(GMWQ!$LR$2:$LR$60=AM$1),0),$B257-1966)</f>
        <v>31249.9</v>
      </c>
      <c r="AN257" s="23" cm="1">
        <f t="array" ref="AN257">INDEX(GMWQ!$A$2:$LR$60,MATCH(1,(GMWQ!$LQ$2:$LQ$60=AN$3)*(GMWQ!$LP$2:$LP$60=AN$4)*(GMWQ!$LR$2:$LR$60=AN$1),0),$B257-1966)</f>
        <v>125148.6</v>
      </c>
      <c r="AO257" s="23" cm="1">
        <f t="array" ref="AO257">INDEX(GMWQ!$A$2:$LR$60,MATCH(1,(GMWQ!$LQ$2:$LQ$60=AO$3)*(GMWQ!$LP$2:$LP$60=AO$4)*(GMWQ!$LR$2:$LR$60=AO$1),0),$B257-1966)</f>
        <v>28553.75</v>
      </c>
      <c r="AP257" s="23" cm="1">
        <f t="array" ref="AP257">INDEX(GMWQ!$A$2:$LR$60,MATCH(1,(GMWQ!$LQ$2:$LQ$60=AP$3)*(GMWQ!$LP$2:$LP$60=AP$4)*(GMWQ!$LR$2:$LR$60=AP$1),0),$B257-1966)</f>
        <v>-12479.72</v>
      </c>
      <c r="AQ257" s="23" cm="1">
        <f t="array" ref="AQ257">INDEX(GMWQ!$A$2:$LR$60,MATCH(1,(GMWQ!$LQ$2:$LQ$60=AQ$3)*(GMWQ!$LP$2:$LP$60=AQ$4)*(GMWQ!$LR$2:$LR$60=AQ$1),0),$B257-1966)</f>
        <v>146974</v>
      </c>
      <c r="AR257" s="23" cm="1">
        <f t="array" ref="AR257">INDEX(GMWQ!$A$2:$LR$60,MATCH(1,(GMWQ!$LQ$2:$LQ$60=AR$3)*(GMWQ!$LP$2:$LP$60=AR$4)*(GMWQ!$LR$2:$LR$60=AR$1),0),$B257-1966)</f>
        <v>623650.4</v>
      </c>
      <c r="AS257" s="23" cm="1">
        <f t="array" ref="AS257">INDEX(GMWQ!$A$2:$LR$60,MATCH(1,(GMWQ!$LQ$2:$LQ$60=AS$3)*(GMWQ!$LP$2:$LP$60=AS$4)*(GMWQ!$LR$2:$LR$60=AS$1),0),$B257-1966)</f>
        <v>21158.14</v>
      </c>
      <c r="AT257" s="23" cm="1">
        <f t="array" ref="AT257">INDEX(GMWQ!$A$2:$LR$60,MATCH(1,(GMWQ!$LQ$2:$LQ$60=AT$3)*(GMWQ!$LP$2:$LP$60=AT$4)*(GMWQ!$LR$2:$LR$60=AT$1),0),$B257-1966)</f>
        <v>409469.6</v>
      </c>
      <c r="AU257" s="23" cm="1">
        <f t="array" ref="AU257">INDEX(GMWQ!$A$2:$LR$60,MATCH(1,(GMWQ!$LQ$2:$LQ$60=AU$3)*(GMWQ!$LP$2:$LP$60=AU$4)*(GMWQ!$LR$2:$LR$60=AU$1),0),$B257-1966)</f>
        <v>14573.36</v>
      </c>
    </row>
    <row r="258" spans="1:47" x14ac:dyDescent="0.35">
      <c r="B258" s="7">
        <f t="shared" si="5"/>
        <v>2224</v>
      </c>
      <c r="C258" s="7" cm="1">
        <f t="array" ref="C258">INDEX(GMWQ!$A$2:$LR$60,MATCH(1,(GMWQ!$LQ$2:$LQ$60=C$3)*(GMWQ!$LP$2:$LP$60=C$4)*(GMWQ!$LR$2:$LR$60=C$1),0),$B258-1966)</f>
        <v>683723.3</v>
      </c>
      <c r="D258" s="7" cm="1">
        <f t="array" ref="D258">INDEX(GMWQ!$A$2:$LR$60,MATCH(1,(GMWQ!$LQ$2:$LQ$60=D$3)*(GMWQ!$LP$2:$LP$60=D$4)*(GMWQ!$LR$2:$LR$60=D$1),0),$B258-1966)</f>
        <v>941.40729999999996</v>
      </c>
      <c r="E258" s="7" cm="1">
        <f t="array" ref="E258">INDEX(GMWQ!$A$2:$LR$60,MATCH(1,(GMWQ!$LQ$2:$LQ$60=E$3)*(GMWQ!$LP$2:$LP$60=E$4)*(GMWQ!$LR$2:$LR$60=E$1),0),$B258-1966)</f>
        <v>167.94900000000001</v>
      </c>
      <c r="F258" s="7" cm="1">
        <f t="array" ref="F258">INDEX(GMWQ!$A$2:$LR$60,MATCH(1,(GMWQ!$LQ$2:$LQ$60=F$3)*(GMWQ!$LP$2:$LP$60=F$4)*(GMWQ!$LR$2:$LR$60=F$1),0),$B258-1966)</f>
        <v>428254.1</v>
      </c>
      <c r="G258" s="7" cm="1">
        <f t="array" ref="G258">INDEX(GMWQ!$A$2:$LR$60,MATCH(1,(GMWQ!$LQ$2:$LQ$60=G$3)*(GMWQ!$LP$2:$LP$60=G$4)*(GMWQ!$LR$2:$LR$60=G$1),0),$B258-1966)</f>
        <v>126381.8</v>
      </c>
      <c r="H258" s="7" cm="1">
        <f t="array" ref="H258">INDEX(GMWQ!$A$2:$LR$60,MATCH(1,(GMWQ!$LQ$2:$LQ$60=H$3)*(GMWQ!$LP$2:$LP$60=H$4)*(GMWQ!$LR$2:$LR$60=H$1),0),$B258-1966)</f>
        <v>28800.09</v>
      </c>
      <c r="I258" s="7" cm="1">
        <f t="array" ref="I258">INDEX(GMWQ!$A$2:$LR$60,MATCH(1,(GMWQ!$LQ$2:$LQ$60=I$3)*(GMWQ!$LP$2:$LP$60=I$4)*(GMWQ!$LR$2:$LR$60=I$1),0),$B258-1966)</f>
        <v>153.0626</v>
      </c>
      <c r="J258" s="7" cm="1">
        <f t="array" ref="J258">INDEX(GMWQ!$A$2:$LR$60,MATCH(1,(GMWQ!$LQ$2:$LQ$60=J$3)*(GMWQ!$LP$2:$LP$60=J$4)*(GMWQ!$LR$2:$LR$60=J$1),0),$B258-1966)</f>
        <v>31282.639999999999</v>
      </c>
      <c r="K258" s="7" cm="1">
        <f t="array" ref="K258">INDEX(GMWQ!$A$2:$LR$60,MATCH(1,(GMWQ!$LQ$2:$LQ$60=K$3)*(GMWQ!$LP$2:$LP$60=K$4)*(GMWQ!$LR$2:$LR$60=K$1),0),$B258-1966)</f>
        <v>2</v>
      </c>
      <c r="L258" s="7" cm="1">
        <f t="array" ref="L258">INDEX(GMWQ!$A$2:$LR$60,MATCH(1,(GMWQ!$LQ$2:$LQ$60=L$3)*(GMWQ!$LP$2:$LP$60=L$4)*(GMWQ!$LR$2:$LR$60=L$1),0),$B258-1966)</f>
        <v>3.7500079999999998</v>
      </c>
      <c r="M258" s="7" cm="1">
        <f t="array" ref="M258">INDEX(GMWQ!$A$2:$LR$60,MATCH(1,(GMWQ!$LQ$2:$LQ$60=M$3)*(GMWQ!$LP$2:$LP$60=M$4)*(GMWQ!$LR$2:$LR$60=M$1),0),$B258-1966)</f>
        <v>209.18799999999999</v>
      </c>
      <c r="N258" s="7" cm="1">
        <f t="array" ref="N258">INDEX(GMWQ!$A$2:$LR$60,MATCH(1,(GMWQ!$LQ$2:$LQ$60=N$3)*(GMWQ!$LP$2:$LP$60=N$4)*(GMWQ!$LR$2:$LR$60=N$1),0),$B258-1966)</f>
        <v>30959.759999999998</v>
      </c>
      <c r="O258" s="7" cm="1">
        <f t="array" ref="O258">INDEX(GMWQ!$A$2:$LR$60,MATCH(1,(GMWQ!$LQ$2:$LQ$60=O$3)*(GMWQ!$LP$2:$LP$60=O$4)*(GMWQ!$LR$2:$LR$60=O$1),0),$B258-1966)</f>
        <v>18279.2</v>
      </c>
      <c r="P258" s="7" cm="1">
        <f t="array" ref="P258">INDEX(GMWQ!$A$2:$LR$60,MATCH(1,(GMWQ!$LQ$2:$LQ$60=P$3)*(GMWQ!$LP$2:$LP$60=P$4)*(GMWQ!$LR$2:$LR$60=P$1),0),$B258-1966)</f>
        <v>681286.3</v>
      </c>
      <c r="Q258" s="7" cm="1">
        <f t="array" ref="Q258">INDEX(GMWQ!$A$2:$LR$60,MATCH(1,(GMWQ!$LQ$2:$LQ$60=Q$3)*(GMWQ!$LP$2:$LP$60=Q$4)*(GMWQ!$LR$2:$LR$60=Q$1),0),$B258-1966)</f>
        <v>3.4999989999999999</v>
      </c>
      <c r="R258" s="7" cm="1">
        <f t="array" ref="R258">INDEX(GMWQ!$A$2:$LR$60,MATCH(1,(GMWQ!$LQ$2:$LQ$60=R$3)*(GMWQ!$LP$2:$LP$60=R$4)*(GMWQ!$LR$2:$LR$60=R$1),0),$B258-1966)</f>
        <v>256282.3</v>
      </c>
      <c r="S258" s="7" cm="1">
        <f t="array" ref="S258">INDEX(GMWQ!$A$2:$LR$60,MATCH(1,(GMWQ!$LQ$2:$LQ$60=S$3)*(GMWQ!$LP$2:$LP$60=S$4)*(GMWQ!$LR$2:$LR$60=S$1),0),$B258-1966)</f>
        <v>382.31310000000002</v>
      </c>
      <c r="T258" s="7" cm="1">
        <f t="array" ref="T258">INDEX(GMWQ!$A$2:$LR$60,MATCH(1,(GMWQ!$LQ$2:$LQ$60=T$3)*(GMWQ!$LP$2:$LP$60=T$4)*(GMWQ!$LR$2:$LR$60=T$1),0),$B258-1966)</f>
        <v>126459.1</v>
      </c>
      <c r="U258" s="7" cm="1">
        <f t="array" ref="U258">INDEX(GMWQ!$A$2:$LR$60,MATCH(1,(GMWQ!$LQ$2:$LQ$60=U$3)*(GMWQ!$LP$2:$LP$60=U$4)*(GMWQ!$LR$2:$LR$60=U$1),0),$B258-1966)</f>
        <v>23526.400000000001</v>
      </c>
      <c r="V258" s="7" cm="1">
        <f t="array" ref="V258">INDEX(GMWQ!$A$2:$LR$60,MATCH(1,(GMWQ!$LQ$2:$LQ$60=V$3)*(GMWQ!$LP$2:$LP$60=V$4)*(GMWQ!$LR$2:$LR$60=V$1),0),$B258-1966)</f>
        <v>1.3741420000000001E-3</v>
      </c>
      <c r="W258" s="7" cm="1">
        <f t="array" ref="W258">INDEX(GMWQ!$A$2:$LR$60,MATCH(1,(GMWQ!$LQ$2:$LQ$60=W$3)*(GMWQ!$LP$2:$LP$60=W$4)*(GMWQ!$LR$2:$LR$60=W$1),0),$B258-1966)</f>
        <v>9.1543989999999997</v>
      </c>
      <c r="X258" s="7" cm="1">
        <f t="array" ref="X258">INDEX(GMWQ!$A$2:$LR$60,MATCH(1,(GMWQ!$LQ$2:$LQ$60=X$3)*(GMWQ!$LP$2:$LP$60=X$4)*(GMWQ!$LR$2:$LR$60=X$1),0),$B258-1966)</f>
        <v>8913306</v>
      </c>
      <c r="Y258" s="7" cm="1">
        <f t="array" ref="Y258">INDEX(GMWQ!$A$2:$LR$60,MATCH(1,(GMWQ!$LQ$2:$LQ$60=Y$3)*(GMWQ!$LP$2:$LP$60=Y$4)*(GMWQ!$LR$2:$LR$60=Y$1),0),$B258-1966)</f>
        <v>153.5575</v>
      </c>
      <c r="Z258" s="7" cm="1">
        <f t="array" ref="Z258">INDEX(GMWQ!$A$2:$LR$60,MATCH(1,(GMWQ!$LQ$2:$LQ$60=Z$3)*(GMWQ!$LP$2:$LP$60=Z$4)*(GMWQ!$LR$2:$LR$60=Z$1),0),$B258-1966)</f>
        <v>683722.6</v>
      </c>
      <c r="AA258" s="7" cm="1">
        <f t="array" ref="AA258">INDEX(GMWQ!$A$2:$LR$60,MATCH(1,(GMWQ!$LQ$2:$LQ$60=AA$3)*(GMWQ!$LP$2:$LP$60=AA$4)*(GMWQ!$LR$2:$LR$60=AA$1),0),$B258-1966)</f>
        <v>418116.8</v>
      </c>
      <c r="AB258" s="7" cm="1">
        <f t="array" ref="AB258">INDEX(GMWQ!$A$2:$LR$60,MATCH(1,(GMWQ!$LQ$2:$LQ$60=AB$3)*(GMWQ!$LP$2:$LP$60=AB$4)*(GMWQ!$LR$2:$LR$60=AB$1),0),$B258-1966)</f>
        <v>405170.8</v>
      </c>
      <c r="AC258" s="7" cm="1">
        <f t="array" ref="AC258">INDEX(GMWQ!$A$2:$LR$60,MATCH(1,(GMWQ!$LQ$2:$LQ$60=AC$3)*(GMWQ!$LP$2:$LP$60=AC$4)*(GMWQ!$LR$2:$LR$60=AC$1),0),$B258-1966)</f>
        <v>16130.33</v>
      </c>
      <c r="AD258" s="7" cm="1">
        <f t="array" ref="AD258">INDEX(GMWQ!$A$2:$LR$60,MATCH(1,(GMWQ!$LQ$2:$LQ$60=AD$3)*(GMWQ!$LP$2:$LP$60=AD$4)*(GMWQ!$LR$2:$LR$60=AD$1),0),$B258-1966)</f>
        <v>22951.27</v>
      </c>
      <c r="AE258" s="7" cm="1">
        <f t="array" ref="AE258">INDEX(GMWQ!$A$2:$LR$60,MATCH(1,(GMWQ!$LQ$2:$LQ$60=AE$3)*(GMWQ!$LP$2:$LP$60=AE$4)*(GMWQ!$LR$2:$LR$60=AE$1),0),$B258-1966)</f>
        <v>1049909</v>
      </c>
      <c r="AF258" s="20" cm="1">
        <f t="array" ref="AF258">INDEX(GMWQ!$A$2:$LR$60,MATCH(1,(GMWQ!$LQ$2:$LQ$60=AF$3)*(GMWQ!$LP$2:$LP$60=AF$4)*(GMWQ!$LR$2:$LR$60=AF$1),0),$B258-1966)</f>
        <v>2</v>
      </c>
      <c r="AG258" s="20" cm="1">
        <f t="array" ref="AG258">INDEX(GMWQ!$A$2:$LR$60,MATCH(1,(GMWQ!$LQ$2:$LQ$60=AG$3)*(GMWQ!$LP$2:$LP$60=AG$4)*(GMWQ!$LR$2:$LR$60=AG$1),0),$B258-1966)</f>
        <v>-12680.56</v>
      </c>
      <c r="AI258" s="23" cm="1">
        <f t="array" ref="AI258">INDEX(GMWQ!$A$2:$LR$60,MATCH(1,(GMWQ!$LQ$2:$LQ$60=AI$3)*(GMWQ!$LP$2:$LP$60=AI$4)*(GMWQ!$LR$2:$LR$60=AI$1),0),$B258-1966)</f>
        <v>681286.3</v>
      </c>
      <c r="AJ258" s="23" cm="1">
        <f t="array" ref="AJ258">INDEX(GMWQ!$A$2:$LR$60,MATCH(1,(GMWQ!$LQ$2:$LQ$60=AJ$3)*(GMWQ!$LP$2:$LP$60=AJ$4)*(GMWQ!$LR$2:$LR$60=AJ$1),0),$B258-1966)</f>
        <v>153.0626</v>
      </c>
      <c r="AK258" s="23" cm="1">
        <f t="array" ref="AK258">INDEX(GMWQ!$A$2:$LR$60,MATCH(1,(GMWQ!$LQ$2:$LQ$60=AK$3)*(GMWQ!$LP$2:$LP$60=AK$4)*(GMWQ!$LR$2:$LR$60=AK$1),0),$B258-1966)</f>
        <v>428254.1</v>
      </c>
      <c r="AL258" s="23" cm="1">
        <f t="array" ref="AL258">INDEX(GMWQ!$A$2:$LR$60,MATCH(1,(GMWQ!$LQ$2:$LQ$60=AL$3)*(GMWQ!$LP$2:$LP$60=AL$4)*(GMWQ!$LR$2:$LR$60=AL$1),0),$B258-1966)</f>
        <v>13689.83</v>
      </c>
      <c r="AM258" s="23" cm="1">
        <f t="array" ref="AM258">INDEX(GMWQ!$A$2:$LR$60,MATCH(1,(GMWQ!$LQ$2:$LQ$60=AM$3)*(GMWQ!$LP$2:$LP$60=AM$4)*(GMWQ!$LR$2:$LR$60=AM$1),0),$B258-1966)</f>
        <v>31282.639999999999</v>
      </c>
      <c r="AN258" s="23" cm="1">
        <f t="array" ref="AN258">INDEX(GMWQ!$A$2:$LR$60,MATCH(1,(GMWQ!$LQ$2:$LQ$60=AN$3)*(GMWQ!$LP$2:$LP$60=AN$4)*(GMWQ!$LR$2:$LR$60=AN$1),0),$B258-1966)</f>
        <v>126381.8</v>
      </c>
      <c r="AO258" s="23" cm="1">
        <f t="array" ref="AO258">INDEX(GMWQ!$A$2:$LR$60,MATCH(1,(GMWQ!$LQ$2:$LQ$60=AO$3)*(GMWQ!$LP$2:$LP$60=AO$4)*(GMWQ!$LR$2:$LR$60=AO$1),0),$B258-1966)</f>
        <v>28800.09</v>
      </c>
      <c r="AP258" s="23" cm="1">
        <f t="array" ref="AP258">INDEX(GMWQ!$A$2:$LR$60,MATCH(1,(GMWQ!$LQ$2:$LQ$60=AP$3)*(GMWQ!$LP$2:$LP$60=AP$4)*(GMWQ!$LR$2:$LR$60=AP$1),0),$B258-1966)</f>
        <v>-12680.56</v>
      </c>
      <c r="AQ258" s="23" cm="1">
        <f t="array" ref="AQ258">INDEX(GMWQ!$A$2:$LR$60,MATCH(1,(GMWQ!$LQ$2:$LQ$60=AQ$3)*(GMWQ!$LP$2:$LP$60=AQ$4)*(GMWQ!$LR$2:$LR$60=AQ$1),0),$B258-1966)</f>
        <v>148366.6</v>
      </c>
      <c r="AR258" s="23" cm="1">
        <f t="array" ref="AR258">INDEX(GMWQ!$A$2:$LR$60,MATCH(1,(GMWQ!$LQ$2:$LQ$60=AR$3)*(GMWQ!$LP$2:$LP$60=AR$4)*(GMWQ!$LR$2:$LR$60=AR$1),0),$B258-1966)</f>
        <v>628965.4</v>
      </c>
      <c r="AS258" s="23" cm="1">
        <f t="array" ref="AS258">INDEX(GMWQ!$A$2:$LR$60,MATCH(1,(GMWQ!$LQ$2:$LQ$60=AS$3)*(GMWQ!$LP$2:$LP$60=AS$4)*(GMWQ!$LR$2:$LR$60=AS$1),0),$B258-1966)</f>
        <v>21347.52</v>
      </c>
      <c r="AT258" s="23" cm="1">
        <f t="array" ref="AT258">INDEX(GMWQ!$A$2:$LR$60,MATCH(1,(GMWQ!$LQ$2:$LQ$60=AT$3)*(GMWQ!$LP$2:$LP$60=AT$4)*(GMWQ!$LR$2:$LR$60=AT$1),0),$B258-1966)</f>
        <v>410920.4</v>
      </c>
      <c r="AU258" s="23" cm="1">
        <f t="array" ref="AU258">INDEX(GMWQ!$A$2:$LR$60,MATCH(1,(GMWQ!$LQ$2:$LQ$60=AU$3)*(GMWQ!$LP$2:$LP$60=AU$4)*(GMWQ!$LR$2:$LR$60=AU$1),0),$B258-1966)</f>
        <v>14625.14</v>
      </c>
    </row>
    <row r="259" spans="1:47" x14ac:dyDescent="0.35">
      <c r="A259" s="7">
        <v>2036</v>
      </c>
      <c r="B259" s="7">
        <f t="shared" si="5"/>
        <v>2225</v>
      </c>
      <c r="C259" s="7" cm="1">
        <f t="array" ref="C259">INDEX(GMWQ!$A$2:$LR$60,MATCH(1,(GMWQ!$LQ$2:$LQ$60=C$3)*(GMWQ!$LP$2:$LP$60=C$4)*(GMWQ!$LR$2:$LR$60=C$1),0),$B259-1966)</f>
        <v>686249.7</v>
      </c>
      <c r="D259" s="7" cm="1">
        <f t="array" ref="D259">INDEX(GMWQ!$A$2:$LR$60,MATCH(1,(GMWQ!$LQ$2:$LQ$60=D$3)*(GMWQ!$LP$2:$LP$60=D$4)*(GMWQ!$LR$2:$LR$60=D$1),0),$B259-1966)</f>
        <v>948.56010000000003</v>
      </c>
      <c r="E259" s="7" cm="1">
        <f t="array" ref="E259">INDEX(GMWQ!$A$2:$LR$60,MATCH(1,(GMWQ!$LQ$2:$LQ$60=E$3)*(GMWQ!$LP$2:$LP$60=E$4)*(GMWQ!$LR$2:$LR$60=E$1),0),$B259-1966)</f>
        <v>168.125</v>
      </c>
      <c r="F259" s="7" cm="1">
        <f t="array" ref="F259">INDEX(GMWQ!$A$2:$LR$60,MATCH(1,(GMWQ!$LQ$2:$LQ$60=F$3)*(GMWQ!$LP$2:$LP$60=F$4)*(GMWQ!$LR$2:$LR$60=F$1),0),$B259-1966)</f>
        <v>431959.3</v>
      </c>
      <c r="G259" s="7" cm="1">
        <f t="array" ref="G259">INDEX(GMWQ!$A$2:$LR$60,MATCH(1,(GMWQ!$LQ$2:$LQ$60=G$3)*(GMWQ!$LP$2:$LP$60=G$4)*(GMWQ!$LR$2:$LR$60=G$1),0),$B259-1966)</f>
        <v>127622.6</v>
      </c>
      <c r="H259" s="7" cm="1">
        <f t="array" ref="H259">INDEX(GMWQ!$A$2:$LR$60,MATCH(1,(GMWQ!$LQ$2:$LQ$60=H$3)*(GMWQ!$LP$2:$LP$60=H$4)*(GMWQ!$LR$2:$LR$60=H$1),0),$B259-1966)</f>
        <v>29049.27</v>
      </c>
      <c r="I259" s="7" cm="1">
        <f t="array" ref="I259">INDEX(GMWQ!$A$2:$LR$60,MATCH(1,(GMWQ!$LQ$2:$LQ$60=I$3)*(GMWQ!$LP$2:$LP$60=I$4)*(GMWQ!$LR$2:$LR$60=I$1),0),$B259-1966)</f>
        <v>153.82210000000001</v>
      </c>
      <c r="J259" s="7" cm="1">
        <f t="array" ref="J259">INDEX(GMWQ!$A$2:$LR$60,MATCH(1,(GMWQ!$LQ$2:$LQ$60=J$3)*(GMWQ!$LP$2:$LP$60=J$4)*(GMWQ!$LR$2:$LR$60=J$1),0),$B259-1966)</f>
        <v>31315.38</v>
      </c>
      <c r="K259" s="7" cm="1">
        <f t="array" ref="K259">INDEX(GMWQ!$A$2:$LR$60,MATCH(1,(GMWQ!$LQ$2:$LQ$60=K$3)*(GMWQ!$LP$2:$LP$60=K$4)*(GMWQ!$LR$2:$LR$60=K$1),0),$B259-1966)</f>
        <v>2</v>
      </c>
      <c r="L259" s="7" cm="1">
        <f t="array" ref="L259">INDEX(GMWQ!$A$2:$LR$60,MATCH(1,(GMWQ!$LQ$2:$LQ$60=L$3)*(GMWQ!$LP$2:$LP$60=L$4)*(GMWQ!$LR$2:$LR$60=L$1),0),$B259-1966)</f>
        <v>3.7500149999999999</v>
      </c>
      <c r="M259" s="7" cm="1">
        <f t="array" ref="M259">INDEX(GMWQ!$A$2:$LR$60,MATCH(1,(GMWQ!$LQ$2:$LQ$60=M$3)*(GMWQ!$LP$2:$LP$60=M$4)*(GMWQ!$LR$2:$LR$60=M$1),0),$B259-1966)</f>
        <v>210.97810000000001</v>
      </c>
      <c r="N259" s="7" cm="1">
        <f t="array" ref="N259">INDEX(GMWQ!$A$2:$LR$60,MATCH(1,(GMWQ!$LQ$2:$LQ$60=N$3)*(GMWQ!$LP$2:$LP$60=N$4)*(GMWQ!$LR$2:$LR$60=N$1),0),$B259-1966)</f>
        <v>31285.17</v>
      </c>
      <c r="O259" s="7" cm="1">
        <f t="array" ref="O259">INDEX(GMWQ!$A$2:$LR$60,MATCH(1,(GMWQ!$LQ$2:$LQ$60=O$3)*(GMWQ!$LP$2:$LP$60=O$4)*(GMWQ!$LR$2:$LR$60=O$1),0),$B259-1966)</f>
        <v>18408.79</v>
      </c>
      <c r="P259" s="7" cm="1">
        <f t="array" ref="P259">INDEX(GMWQ!$A$2:$LR$60,MATCH(1,(GMWQ!$LQ$2:$LQ$60=P$3)*(GMWQ!$LP$2:$LP$60=P$4)*(GMWQ!$LR$2:$LR$60=P$1),0),$B259-1966)</f>
        <v>687102.1</v>
      </c>
      <c r="Q259" s="7" cm="1">
        <f t="array" ref="Q259">INDEX(GMWQ!$A$2:$LR$60,MATCH(1,(GMWQ!$LQ$2:$LQ$60=Q$3)*(GMWQ!$LP$2:$LP$60=Q$4)*(GMWQ!$LR$2:$LR$60=Q$1),0),$B259-1966)</f>
        <v>3.5</v>
      </c>
      <c r="R259" s="7" cm="1">
        <f t="array" ref="R259">INDEX(GMWQ!$A$2:$LR$60,MATCH(1,(GMWQ!$LQ$2:$LQ$60=R$3)*(GMWQ!$LP$2:$LP$60=R$4)*(GMWQ!$LR$2:$LR$60=R$1),0),$B259-1966)</f>
        <v>256290.8</v>
      </c>
      <c r="S259" s="7" cm="1">
        <f t="array" ref="S259">INDEX(GMWQ!$A$2:$LR$60,MATCH(1,(GMWQ!$LQ$2:$LQ$60=S$3)*(GMWQ!$LP$2:$LP$60=S$4)*(GMWQ!$LR$2:$LR$60=S$1),0),$B259-1966)</f>
        <v>382.32589999999999</v>
      </c>
      <c r="T259" s="7" cm="1">
        <f t="array" ref="T259">INDEX(GMWQ!$A$2:$LR$60,MATCH(1,(GMWQ!$LQ$2:$LQ$60=T$3)*(GMWQ!$LP$2:$LP$60=T$4)*(GMWQ!$LR$2:$LR$60=T$1),0),$B259-1966)</f>
        <v>127141.1</v>
      </c>
      <c r="U259" s="7" cm="1">
        <f t="array" ref="U259">INDEX(GMWQ!$A$2:$LR$60,MATCH(1,(GMWQ!$LQ$2:$LQ$60=U$3)*(GMWQ!$LP$2:$LP$60=U$4)*(GMWQ!$LR$2:$LR$60=U$1),0),$B259-1966)</f>
        <v>23292.799999999999</v>
      </c>
      <c r="V259" s="7" cm="1">
        <f t="array" ref="V259">INDEX(GMWQ!$A$2:$LR$60,MATCH(1,(GMWQ!$LQ$2:$LQ$60=V$3)*(GMWQ!$LP$2:$LP$60=V$4)*(GMWQ!$LR$2:$LR$60=V$1),0),$B259-1966)</f>
        <v>1.374517E-3</v>
      </c>
      <c r="W259" s="7" cm="1">
        <f t="array" ref="W259">INDEX(GMWQ!$A$2:$LR$60,MATCH(1,(GMWQ!$LQ$2:$LQ$60=W$3)*(GMWQ!$LP$2:$LP$60=W$4)*(GMWQ!$LR$2:$LR$60=W$1),0),$B259-1966)</f>
        <v>9.1093209999999996</v>
      </c>
      <c r="X259" s="7" cm="1">
        <f t="array" ref="X259">INDEX(GMWQ!$A$2:$LR$60,MATCH(1,(GMWQ!$LQ$2:$LQ$60=X$3)*(GMWQ!$LP$2:$LP$60=X$4)*(GMWQ!$LR$2:$LR$60=X$1),0),$B259-1966)</f>
        <v>9041002</v>
      </c>
      <c r="Y259" s="7" cm="1">
        <f t="array" ref="Y259">INDEX(GMWQ!$A$2:$LR$60,MATCH(1,(GMWQ!$LQ$2:$LQ$60=Y$3)*(GMWQ!$LP$2:$LP$60=Y$4)*(GMWQ!$LR$2:$LR$60=Y$1),0),$B259-1966)</f>
        <v>154.3886</v>
      </c>
      <c r="Z259" s="7" cm="1">
        <f t="array" ref="Z259">INDEX(GMWQ!$A$2:$LR$60,MATCH(1,(GMWQ!$LQ$2:$LQ$60=Z$3)*(GMWQ!$LP$2:$LP$60=Z$4)*(GMWQ!$LR$2:$LR$60=Z$1),0),$B259-1966)</f>
        <v>686250</v>
      </c>
      <c r="AA259" s="7" cm="1">
        <f t="array" ref="AA259">INDEX(GMWQ!$A$2:$LR$60,MATCH(1,(GMWQ!$LQ$2:$LQ$60=AA$3)*(GMWQ!$LP$2:$LP$60=AA$4)*(GMWQ!$LR$2:$LR$60=AA$1),0),$B259-1966)</f>
        <v>478696.1</v>
      </c>
      <c r="AB259" s="7" cm="1">
        <f t="array" ref="AB259">INDEX(GMWQ!$A$2:$LR$60,MATCH(1,(GMWQ!$LQ$2:$LQ$60=AB$3)*(GMWQ!$LP$2:$LP$60=AB$4)*(GMWQ!$LR$2:$LR$60=AB$1),0),$B259-1966)</f>
        <v>403978.9</v>
      </c>
      <c r="AC259" s="7" cm="1">
        <f t="array" ref="AC259">INDEX(GMWQ!$A$2:$LR$60,MATCH(1,(GMWQ!$LQ$2:$LQ$60=AC$3)*(GMWQ!$LP$2:$LP$60=AC$4)*(GMWQ!$LR$2:$LR$60=AC$1),0),$B259-1966)</f>
        <v>28628.42</v>
      </c>
      <c r="AD259" s="7" cm="1">
        <f t="array" ref="AD259">INDEX(GMWQ!$A$2:$LR$60,MATCH(1,(GMWQ!$LQ$2:$LQ$60=AD$3)*(GMWQ!$LP$2:$LP$60=AD$4)*(GMWQ!$LR$2:$LR$60=AD$1),0),$B259-1966)</f>
        <v>22951.27</v>
      </c>
      <c r="AE259" s="7" cm="1">
        <f t="array" ref="AE259">INDEX(GMWQ!$A$2:$LR$60,MATCH(1,(GMWQ!$LQ$2:$LQ$60=AE$3)*(GMWQ!$LP$2:$LP$60=AE$4)*(GMWQ!$LR$2:$LR$60=AE$1),0),$B259-1966)</f>
        <v>1059491</v>
      </c>
      <c r="AF259" s="20" cm="1">
        <f t="array" ref="AF259">INDEX(GMWQ!$A$2:$LR$60,MATCH(1,(GMWQ!$LQ$2:$LQ$60=AF$3)*(GMWQ!$LP$2:$LP$60=AF$4)*(GMWQ!$LR$2:$LR$60=AF$1),0),$B259-1966)</f>
        <v>2</v>
      </c>
      <c r="AG259" s="20" cm="1">
        <f t="array" ref="AG259">INDEX(GMWQ!$A$2:$LR$60,MATCH(1,(GMWQ!$LQ$2:$LQ$60=AG$3)*(GMWQ!$LP$2:$LP$60=AG$4)*(GMWQ!$LR$2:$LR$60=AG$1),0),$B259-1966)</f>
        <v>-12876.38</v>
      </c>
      <c r="AI259" s="23" cm="1">
        <f t="array" ref="AI259">INDEX(GMWQ!$A$2:$LR$60,MATCH(1,(GMWQ!$LQ$2:$LQ$60=AI$3)*(GMWQ!$LP$2:$LP$60=AI$4)*(GMWQ!$LR$2:$LR$60=AI$1),0),$B259-1966)</f>
        <v>687102.1</v>
      </c>
      <c r="AJ259" s="23" cm="1">
        <f t="array" ref="AJ259">INDEX(GMWQ!$A$2:$LR$60,MATCH(1,(GMWQ!$LQ$2:$LQ$60=AJ$3)*(GMWQ!$LP$2:$LP$60=AJ$4)*(GMWQ!$LR$2:$LR$60=AJ$1),0),$B259-1966)</f>
        <v>153.82210000000001</v>
      </c>
      <c r="AK259" s="23" cm="1">
        <f t="array" ref="AK259">INDEX(GMWQ!$A$2:$LR$60,MATCH(1,(GMWQ!$LQ$2:$LQ$60=AK$3)*(GMWQ!$LP$2:$LP$60=AK$4)*(GMWQ!$LR$2:$LR$60=AK$1),0),$B259-1966)</f>
        <v>431959.3</v>
      </c>
      <c r="AL259" s="23" cm="1">
        <f t="array" ref="AL259">INDEX(GMWQ!$A$2:$LR$60,MATCH(1,(GMWQ!$LQ$2:$LQ$60=AL$3)*(GMWQ!$LP$2:$LP$60=AL$4)*(GMWQ!$LR$2:$LR$60=AL$1),0),$B259-1966)</f>
        <v>13793.84</v>
      </c>
      <c r="AM259" s="23" cm="1">
        <f t="array" ref="AM259">INDEX(GMWQ!$A$2:$LR$60,MATCH(1,(GMWQ!$LQ$2:$LQ$60=AM$3)*(GMWQ!$LP$2:$LP$60=AM$4)*(GMWQ!$LR$2:$LR$60=AM$1),0),$B259-1966)</f>
        <v>31315.38</v>
      </c>
      <c r="AN259" s="23" cm="1">
        <f t="array" ref="AN259">INDEX(GMWQ!$A$2:$LR$60,MATCH(1,(GMWQ!$LQ$2:$LQ$60=AN$3)*(GMWQ!$LP$2:$LP$60=AN$4)*(GMWQ!$LR$2:$LR$60=AN$1),0),$B259-1966)</f>
        <v>127622.6</v>
      </c>
      <c r="AO259" s="23" cm="1">
        <f t="array" ref="AO259">INDEX(GMWQ!$A$2:$LR$60,MATCH(1,(GMWQ!$LQ$2:$LQ$60=AO$3)*(GMWQ!$LP$2:$LP$60=AO$4)*(GMWQ!$LR$2:$LR$60=AO$1),0),$B259-1966)</f>
        <v>29049.27</v>
      </c>
      <c r="AP259" s="23" cm="1">
        <f t="array" ref="AP259">INDEX(GMWQ!$A$2:$LR$60,MATCH(1,(GMWQ!$LQ$2:$LQ$60=AP$3)*(GMWQ!$LP$2:$LP$60=AP$4)*(GMWQ!$LR$2:$LR$60=AP$1),0),$B259-1966)</f>
        <v>-12876.38</v>
      </c>
      <c r="AQ259" s="23" cm="1">
        <f t="array" ref="AQ259">INDEX(GMWQ!$A$2:$LR$60,MATCH(1,(GMWQ!$LQ$2:$LQ$60=AQ$3)*(GMWQ!$LP$2:$LP$60=AQ$4)*(GMWQ!$LR$2:$LR$60=AQ$1),0),$B259-1966)</f>
        <v>149779.20000000001</v>
      </c>
      <c r="AR259" s="23" cm="1">
        <f t="array" ref="AR259">INDEX(GMWQ!$A$2:$LR$60,MATCH(1,(GMWQ!$LQ$2:$LQ$60=AR$3)*(GMWQ!$LP$2:$LP$60=AR$4)*(GMWQ!$LR$2:$LR$60=AR$1),0),$B259-1966)</f>
        <v>634384</v>
      </c>
      <c r="AS259" s="23" cm="1">
        <f t="array" ref="AS259">INDEX(GMWQ!$A$2:$LR$60,MATCH(1,(GMWQ!$LQ$2:$LQ$60=AS$3)*(GMWQ!$LP$2:$LP$60=AS$4)*(GMWQ!$LR$2:$LR$60=AS$1),0),$B259-1966)</f>
        <v>21540.61</v>
      </c>
      <c r="AT259" s="23" cm="1">
        <f t="array" ref="AT259">INDEX(GMWQ!$A$2:$LR$60,MATCH(1,(GMWQ!$LQ$2:$LQ$60=AT$3)*(GMWQ!$LP$2:$LP$60=AT$4)*(GMWQ!$LR$2:$LR$60=AT$1),0),$B259-1966)</f>
        <v>412414.1</v>
      </c>
      <c r="AU259" s="23" cm="1">
        <f t="array" ref="AU259">INDEX(GMWQ!$A$2:$LR$60,MATCH(1,(GMWQ!$LQ$2:$LQ$60=AU$3)*(GMWQ!$LP$2:$LP$60=AU$4)*(GMWQ!$LR$2:$LR$60=AU$1),0),$B259-1966)</f>
        <v>14678.45</v>
      </c>
    </row>
    <row r="260" spans="1:47" x14ac:dyDescent="0.35">
      <c r="B260" s="7">
        <f t="shared" si="5"/>
        <v>2226</v>
      </c>
      <c r="C260" s="7" cm="1">
        <f t="array" ref="C260">INDEX(GMWQ!$A$2:$LR$60,MATCH(1,(GMWQ!$LQ$2:$LQ$60=C$3)*(GMWQ!$LP$2:$LP$60=C$4)*(GMWQ!$LR$2:$LR$60=C$1),0),$B260-1966)</f>
        <v>688789.5</v>
      </c>
      <c r="D260" s="7" cm="1">
        <f t="array" ref="D260">INDEX(GMWQ!$A$2:$LR$60,MATCH(1,(GMWQ!$LQ$2:$LQ$60=D$3)*(GMWQ!$LP$2:$LP$60=D$4)*(GMWQ!$LR$2:$LR$60=D$1),0),$B260-1966)</f>
        <v>955.79190000000006</v>
      </c>
      <c r="E260" s="7" cm="1">
        <f t="array" ref="E260">INDEX(GMWQ!$A$2:$LR$60,MATCH(1,(GMWQ!$LQ$2:$LQ$60=E$3)*(GMWQ!$LP$2:$LP$60=E$4)*(GMWQ!$LR$2:$LR$60=E$1),0),$B260-1966)</f>
        <v>169.66059999999999</v>
      </c>
      <c r="F260" s="7" cm="1">
        <f t="array" ref="F260">INDEX(GMWQ!$A$2:$LR$60,MATCH(1,(GMWQ!$LQ$2:$LQ$60=F$3)*(GMWQ!$LP$2:$LP$60=F$4)*(GMWQ!$LR$2:$LR$60=F$1),0),$B260-1966)</f>
        <v>435707.9</v>
      </c>
      <c r="G260" s="7" cm="1">
        <f t="array" ref="G260">INDEX(GMWQ!$A$2:$LR$60,MATCH(1,(GMWQ!$LQ$2:$LQ$60=G$3)*(GMWQ!$LP$2:$LP$60=G$4)*(GMWQ!$LR$2:$LR$60=G$1),0),$B260-1966)</f>
        <v>128397.5</v>
      </c>
      <c r="H260" s="7" cm="1">
        <f t="array" ref="H260">INDEX(GMWQ!$A$2:$LR$60,MATCH(1,(GMWQ!$LQ$2:$LQ$60=H$3)*(GMWQ!$LP$2:$LP$60=H$4)*(GMWQ!$LR$2:$LR$60=H$1),0),$B260-1966)</f>
        <v>29301.35</v>
      </c>
      <c r="I260" s="7" cm="1">
        <f t="array" ref="I260">INDEX(GMWQ!$A$2:$LR$60,MATCH(1,(GMWQ!$LQ$2:$LQ$60=I$3)*(GMWQ!$LP$2:$LP$60=I$4)*(GMWQ!$LR$2:$LR$60=I$1),0),$B260-1966)</f>
        <v>154.58539999999999</v>
      </c>
      <c r="J260" s="7" cm="1">
        <f t="array" ref="J260">INDEX(GMWQ!$A$2:$LR$60,MATCH(1,(GMWQ!$LQ$2:$LQ$60=J$3)*(GMWQ!$LP$2:$LP$60=J$4)*(GMWQ!$LR$2:$LR$60=J$1),0),$B260-1966)</f>
        <v>31348.12</v>
      </c>
      <c r="K260" s="7" cm="1">
        <f t="array" ref="K260">INDEX(GMWQ!$A$2:$LR$60,MATCH(1,(GMWQ!$LQ$2:$LQ$60=K$3)*(GMWQ!$LP$2:$LP$60=K$4)*(GMWQ!$LR$2:$LR$60=K$1),0),$B260-1966)</f>
        <v>2</v>
      </c>
      <c r="L260" s="7" cm="1">
        <f t="array" ref="L260">INDEX(GMWQ!$A$2:$LR$60,MATCH(1,(GMWQ!$LQ$2:$LQ$60=L$3)*(GMWQ!$LP$2:$LP$60=L$4)*(GMWQ!$LR$2:$LR$60=L$1),0),$B260-1966)</f>
        <v>3.7500019999999998</v>
      </c>
      <c r="M260" s="7" cm="1">
        <f t="array" ref="M260">INDEX(GMWQ!$A$2:$LR$60,MATCH(1,(GMWQ!$LQ$2:$LQ$60=M$3)*(GMWQ!$LP$2:$LP$60=M$4)*(GMWQ!$LR$2:$LR$60=M$1),0),$B260-1966)</f>
        <v>212.7791</v>
      </c>
      <c r="N260" s="7" cm="1">
        <f t="array" ref="N260">INDEX(GMWQ!$A$2:$LR$60,MATCH(1,(GMWQ!$LQ$2:$LQ$60=N$3)*(GMWQ!$LP$2:$LP$60=N$4)*(GMWQ!$LR$2:$LR$60=N$1),0),$B260-1966)</f>
        <v>31609.49</v>
      </c>
      <c r="O260" s="7" cm="1">
        <f t="array" ref="O260">INDEX(GMWQ!$A$2:$LR$60,MATCH(1,(GMWQ!$LQ$2:$LQ$60=O$3)*(GMWQ!$LP$2:$LP$60=O$4)*(GMWQ!$LR$2:$LR$60=O$1),0),$B260-1966)</f>
        <v>18543.5</v>
      </c>
      <c r="P260" s="7" cm="1">
        <f t="array" ref="P260">INDEX(GMWQ!$A$2:$LR$60,MATCH(1,(GMWQ!$LQ$2:$LQ$60=P$3)*(GMWQ!$LP$2:$LP$60=P$4)*(GMWQ!$LR$2:$LR$60=P$1),0),$B260-1966)</f>
        <v>693031.3</v>
      </c>
      <c r="Q260" s="7" cm="1">
        <f t="array" ref="Q260">INDEX(GMWQ!$A$2:$LR$60,MATCH(1,(GMWQ!$LQ$2:$LQ$60=Q$3)*(GMWQ!$LP$2:$LP$60=Q$4)*(GMWQ!$LR$2:$LR$60=Q$1),0),$B260-1966)</f>
        <v>3.5</v>
      </c>
      <c r="R260" s="7" cm="1">
        <f t="array" ref="R260">INDEX(GMWQ!$A$2:$LR$60,MATCH(1,(GMWQ!$LQ$2:$LQ$60=R$3)*(GMWQ!$LP$2:$LP$60=R$4)*(GMWQ!$LR$2:$LR$60=R$1),0),$B260-1966)</f>
        <v>256306.7</v>
      </c>
      <c r="S260" s="7" cm="1">
        <f t="array" ref="S260">INDEX(GMWQ!$A$2:$LR$60,MATCH(1,(GMWQ!$LQ$2:$LQ$60=S$3)*(GMWQ!$LP$2:$LP$60=S$4)*(GMWQ!$LR$2:$LR$60=S$1),0),$B260-1966)</f>
        <v>382.34960000000001</v>
      </c>
      <c r="T260" s="7" cm="1">
        <f t="array" ref="T260">INDEX(GMWQ!$A$2:$LR$60,MATCH(1,(GMWQ!$LQ$2:$LQ$60=T$3)*(GMWQ!$LP$2:$LP$60=T$4)*(GMWQ!$LR$2:$LR$60=T$1),0),$B260-1966)</f>
        <v>127805.1</v>
      </c>
      <c r="U260" s="7" cm="1">
        <f t="array" ref="U260">INDEX(GMWQ!$A$2:$LR$60,MATCH(1,(GMWQ!$LQ$2:$LQ$60=U$3)*(GMWQ!$LP$2:$LP$60=U$4)*(GMWQ!$LR$2:$LR$60=U$1),0),$B260-1966)</f>
        <v>23050.46</v>
      </c>
      <c r="V260" s="7" cm="1">
        <f t="array" ref="V260">INDEX(GMWQ!$A$2:$LR$60,MATCH(1,(GMWQ!$LQ$2:$LQ$60=V$3)*(GMWQ!$LP$2:$LP$60=V$4)*(GMWQ!$LR$2:$LR$60=V$1),0),$B260-1966)</f>
        <v>1.3745750000000001E-3</v>
      </c>
      <c r="W260" s="7" cm="1">
        <f t="array" ref="W260">INDEX(GMWQ!$A$2:$LR$60,MATCH(1,(GMWQ!$LQ$2:$LQ$60=W$3)*(GMWQ!$LP$2:$LP$60=W$4)*(GMWQ!$LR$2:$LR$60=W$1),0),$B260-1966)</f>
        <v>9.1825379999999992</v>
      </c>
      <c r="X260" s="7" cm="1">
        <f t="array" ref="X260">INDEX(GMWQ!$A$2:$LR$60,MATCH(1,(GMWQ!$LQ$2:$LQ$60=X$3)*(GMWQ!$LP$2:$LP$60=X$4)*(GMWQ!$LR$2:$LR$60=X$1),0),$B260-1966)</f>
        <v>9149006</v>
      </c>
      <c r="Y260" s="7" cm="1">
        <f t="array" ref="Y260">INDEX(GMWQ!$A$2:$LR$60,MATCH(1,(GMWQ!$LQ$2:$LQ$60=Y$3)*(GMWQ!$LP$2:$LP$60=Y$4)*(GMWQ!$LR$2:$LR$60=Y$1),0),$B260-1966)</f>
        <v>155.22409999999999</v>
      </c>
      <c r="Z260" s="7" cm="1">
        <f t="array" ref="Z260">INDEX(GMWQ!$A$2:$LR$60,MATCH(1,(GMWQ!$LQ$2:$LQ$60=Z$3)*(GMWQ!$LP$2:$LP$60=Z$4)*(GMWQ!$LR$2:$LR$60=Z$1),0),$B260-1966)</f>
        <v>688789.4</v>
      </c>
      <c r="AA260" s="7" cm="1">
        <f t="array" ref="AA260">INDEX(GMWQ!$A$2:$LR$60,MATCH(1,(GMWQ!$LQ$2:$LQ$60=AA$3)*(GMWQ!$LP$2:$LP$60=AA$4)*(GMWQ!$LR$2:$LR$60=AA$1),0),$B260-1966)</f>
        <v>430783.6</v>
      </c>
      <c r="AB260" s="7" cm="1">
        <f t="array" ref="AB260">INDEX(GMWQ!$A$2:$LR$60,MATCH(1,(GMWQ!$LQ$2:$LQ$60=AB$3)*(GMWQ!$LP$2:$LP$60=AB$4)*(GMWQ!$LR$2:$LR$60=AB$1),0),$B260-1966)</f>
        <v>413237</v>
      </c>
      <c r="AC260" s="7" cm="1">
        <f t="array" ref="AC260">INDEX(GMWQ!$A$2:$LR$60,MATCH(1,(GMWQ!$LQ$2:$LQ$60=AC$3)*(GMWQ!$LP$2:$LP$60=AC$4)*(GMWQ!$LR$2:$LR$60=AC$1),0),$B260-1966)</f>
        <v>13770.53</v>
      </c>
      <c r="AD260" s="7" cm="1">
        <f t="array" ref="AD260">INDEX(GMWQ!$A$2:$LR$60,MATCH(1,(GMWQ!$LQ$2:$LQ$60=AD$3)*(GMWQ!$LP$2:$LP$60=AD$4)*(GMWQ!$LR$2:$LR$60=AD$1),0),$B260-1966)</f>
        <v>23796.43</v>
      </c>
      <c r="AE260" s="7" cm="1">
        <f t="array" ref="AE260">INDEX(GMWQ!$A$2:$LR$60,MATCH(1,(GMWQ!$LQ$2:$LQ$60=AE$3)*(GMWQ!$LP$2:$LP$60=AE$4)*(GMWQ!$LR$2:$LR$60=AE$1),0),$B260-1966)</f>
        <v>1069167</v>
      </c>
      <c r="AF260" s="20" cm="1">
        <f t="array" ref="AF260">INDEX(GMWQ!$A$2:$LR$60,MATCH(1,(GMWQ!$LQ$2:$LQ$60=AF$3)*(GMWQ!$LP$2:$LP$60=AF$4)*(GMWQ!$LR$2:$LR$60=AF$1),0),$B260-1966)</f>
        <v>2</v>
      </c>
      <c r="AG260" s="20" cm="1">
        <f t="array" ref="AG260">INDEX(GMWQ!$A$2:$LR$60,MATCH(1,(GMWQ!$LQ$2:$LQ$60=AG$3)*(GMWQ!$LP$2:$LP$60=AG$4)*(GMWQ!$LR$2:$LR$60=AG$1),0),$B260-1966)</f>
        <v>-13065.99</v>
      </c>
      <c r="AI260" s="23" cm="1">
        <f t="array" ref="AI260">INDEX(GMWQ!$A$2:$LR$60,MATCH(1,(GMWQ!$LQ$2:$LQ$60=AI$3)*(GMWQ!$LP$2:$LP$60=AI$4)*(GMWQ!$LR$2:$LR$60=AI$1),0),$B260-1966)</f>
        <v>693031.3</v>
      </c>
      <c r="AJ260" s="23" cm="1">
        <f t="array" ref="AJ260">INDEX(GMWQ!$A$2:$LR$60,MATCH(1,(GMWQ!$LQ$2:$LQ$60=AJ$3)*(GMWQ!$LP$2:$LP$60=AJ$4)*(GMWQ!$LR$2:$LR$60=AJ$1),0),$B260-1966)</f>
        <v>154.58539999999999</v>
      </c>
      <c r="AK260" s="23" cm="1">
        <f t="array" ref="AK260">INDEX(GMWQ!$A$2:$LR$60,MATCH(1,(GMWQ!$LQ$2:$LQ$60=AK$3)*(GMWQ!$LP$2:$LP$60=AK$4)*(GMWQ!$LR$2:$LR$60=AK$1),0),$B260-1966)</f>
        <v>435707.9</v>
      </c>
      <c r="AL260" s="23" cm="1">
        <f t="array" ref="AL260">INDEX(GMWQ!$A$2:$LR$60,MATCH(1,(GMWQ!$LQ$2:$LQ$60=AL$3)*(GMWQ!$LP$2:$LP$60=AL$4)*(GMWQ!$LR$2:$LR$60=AL$1),0),$B260-1966)</f>
        <v>13899.01</v>
      </c>
      <c r="AM260" s="23" cm="1">
        <f t="array" ref="AM260">INDEX(GMWQ!$A$2:$LR$60,MATCH(1,(GMWQ!$LQ$2:$LQ$60=AM$3)*(GMWQ!$LP$2:$LP$60=AM$4)*(GMWQ!$LR$2:$LR$60=AM$1),0),$B260-1966)</f>
        <v>31348.12</v>
      </c>
      <c r="AN260" s="23" cm="1">
        <f t="array" ref="AN260">INDEX(GMWQ!$A$2:$LR$60,MATCH(1,(GMWQ!$LQ$2:$LQ$60=AN$3)*(GMWQ!$LP$2:$LP$60=AN$4)*(GMWQ!$LR$2:$LR$60=AN$1),0),$B260-1966)</f>
        <v>128397.5</v>
      </c>
      <c r="AO260" s="23" cm="1">
        <f t="array" ref="AO260">INDEX(GMWQ!$A$2:$LR$60,MATCH(1,(GMWQ!$LQ$2:$LQ$60=AO$3)*(GMWQ!$LP$2:$LP$60=AO$4)*(GMWQ!$LR$2:$LR$60=AO$1),0),$B260-1966)</f>
        <v>29301.35</v>
      </c>
      <c r="AP260" s="23" cm="1">
        <f t="array" ref="AP260">INDEX(GMWQ!$A$2:$LR$60,MATCH(1,(GMWQ!$LQ$2:$LQ$60=AP$3)*(GMWQ!$LP$2:$LP$60=AP$4)*(GMWQ!$LR$2:$LR$60=AP$1),0),$B260-1966)</f>
        <v>-13065.99</v>
      </c>
      <c r="AQ260" s="23" cm="1">
        <f t="array" ref="AQ260">INDEX(GMWQ!$A$2:$LR$60,MATCH(1,(GMWQ!$LQ$2:$LQ$60=AQ$3)*(GMWQ!$LP$2:$LP$60=AQ$4)*(GMWQ!$LR$2:$LR$60=AQ$1),0),$B260-1966)</f>
        <v>151211.70000000001</v>
      </c>
      <c r="AR260" s="23" cm="1">
        <f t="array" ref="AR260">INDEX(GMWQ!$A$2:$LR$60,MATCH(1,(GMWQ!$LQ$2:$LQ$60=AR$3)*(GMWQ!$LP$2:$LP$60=AR$4)*(GMWQ!$LR$2:$LR$60=AR$1),0),$B260-1966)</f>
        <v>639853.4</v>
      </c>
      <c r="AS260" s="23" cm="1">
        <f t="array" ref="AS260">INDEX(GMWQ!$A$2:$LR$60,MATCH(1,(GMWQ!$LQ$2:$LQ$60=AS$3)*(GMWQ!$LP$2:$LP$60=AS$4)*(GMWQ!$LR$2:$LR$60=AS$1),0),$B260-1966)</f>
        <v>21735.49</v>
      </c>
      <c r="AT260" s="23" cm="1">
        <f t="array" ref="AT260">INDEX(GMWQ!$A$2:$LR$60,MATCH(1,(GMWQ!$LQ$2:$LQ$60=AT$3)*(GMWQ!$LP$2:$LP$60=AT$4)*(GMWQ!$LR$2:$LR$60=AT$1),0),$B260-1966)</f>
        <v>413915.8</v>
      </c>
      <c r="AU260" s="23" cm="1">
        <f t="array" ref="AU260">INDEX(GMWQ!$A$2:$LR$60,MATCH(1,(GMWQ!$LQ$2:$LQ$60=AU$3)*(GMWQ!$LP$2:$LP$60=AU$4)*(GMWQ!$LR$2:$LR$60=AU$1),0),$B260-1966)</f>
        <v>14732.04</v>
      </c>
    </row>
    <row r="261" spans="1:47" x14ac:dyDescent="0.35">
      <c r="B261" s="7">
        <f t="shared" si="5"/>
        <v>2227</v>
      </c>
      <c r="C261" s="7" cm="1">
        <f t="array" ref="C261">INDEX(GMWQ!$A$2:$LR$60,MATCH(1,(GMWQ!$LQ$2:$LQ$60=C$3)*(GMWQ!$LP$2:$LP$60=C$4)*(GMWQ!$LR$2:$LR$60=C$1),0),$B261-1966)</f>
        <v>691343</v>
      </c>
      <c r="D261" s="7" cm="1">
        <f t="array" ref="D261">INDEX(GMWQ!$A$2:$LR$60,MATCH(1,(GMWQ!$LQ$2:$LQ$60=D$3)*(GMWQ!$LP$2:$LP$60=D$4)*(GMWQ!$LR$2:$LR$60=D$1),0),$B261-1966)</f>
        <v>963.10640000000001</v>
      </c>
      <c r="E261" s="7" cm="1">
        <f t="array" ref="E261">INDEX(GMWQ!$A$2:$LR$60,MATCH(1,(GMWQ!$LQ$2:$LQ$60=E$3)*(GMWQ!$LP$2:$LP$60=E$4)*(GMWQ!$LR$2:$LR$60=E$1),0),$B261-1966)</f>
        <v>170.58750000000001</v>
      </c>
      <c r="F261" s="7" cm="1">
        <f t="array" ref="F261">INDEX(GMWQ!$A$2:$LR$60,MATCH(1,(GMWQ!$LQ$2:$LQ$60=F$3)*(GMWQ!$LP$2:$LP$60=F$4)*(GMWQ!$LR$2:$LR$60=F$1),0),$B261-1966)</f>
        <v>439500.9</v>
      </c>
      <c r="G261" s="7" cm="1">
        <f t="array" ref="G261">INDEX(GMWQ!$A$2:$LR$60,MATCH(1,(GMWQ!$LQ$2:$LQ$60=G$3)*(GMWQ!$LP$2:$LP$60=G$4)*(GMWQ!$LR$2:$LR$60=G$1),0),$B261-1966)</f>
        <v>129674.9</v>
      </c>
      <c r="H261" s="7" cm="1">
        <f t="array" ref="H261">INDEX(GMWQ!$A$2:$LR$60,MATCH(1,(GMWQ!$LQ$2:$LQ$60=H$3)*(GMWQ!$LP$2:$LP$60=H$4)*(GMWQ!$LR$2:$LR$60=H$1),0),$B261-1966)</f>
        <v>29556.44</v>
      </c>
      <c r="I261" s="7" cm="1">
        <f t="array" ref="I261">INDEX(GMWQ!$A$2:$LR$60,MATCH(1,(GMWQ!$LQ$2:$LQ$60=I$3)*(GMWQ!$LP$2:$LP$60=I$4)*(GMWQ!$LR$2:$LR$60=I$1),0),$B261-1966)</f>
        <v>155.35249999999999</v>
      </c>
      <c r="J261" s="7" cm="1">
        <f t="array" ref="J261">INDEX(GMWQ!$A$2:$LR$60,MATCH(1,(GMWQ!$LQ$2:$LQ$60=J$3)*(GMWQ!$LP$2:$LP$60=J$4)*(GMWQ!$LR$2:$LR$60=J$1),0),$B261-1966)</f>
        <v>31380.87</v>
      </c>
      <c r="K261" s="7" cm="1">
        <f t="array" ref="K261">INDEX(GMWQ!$A$2:$LR$60,MATCH(1,(GMWQ!$LQ$2:$LQ$60=K$3)*(GMWQ!$LP$2:$LP$60=K$4)*(GMWQ!$LR$2:$LR$60=K$1),0),$B261-1966)</f>
        <v>2</v>
      </c>
      <c r="L261" s="7" cm="1">
        <f t="array" ref="L261">INDEX(GMWQ!$A$2:$LR$60,MATCH(1,(GMWQ!$LQ$2:$LQ$60=L$3)*(GMWQ!$LP$2:$LP$60=L$4)*(GMWQ!$LR$2:$LR$60=L$1),0),$B261-1966)</f>
        <v>3.750019</v>
      </c>
      <c r="M261" s="7" cm="1">
        <f t="array" ref="M261">INDEX(GMWQ!$A$2:$LR$60,MATCH(1,(GMWQ!$LQ$2:$LQ$60=M$3)*(GMWQ!$LP$2:$LP$60=M$4)*(GMWQ!$LR$2:$LR$60=M$1),0),$B261-1966)</f>
        <v>214.61519999999999</v>
      </c>
      <c r="N261" s="7" cm="1">
        <f t="array" ref="N261">INDEX(GMWQ!$A$2:$LR$60,MATCH(1,(GMWQ!$LQ$2:$LQ$60=N$3)*(GMWQ!$LP$2:$LP$60=N$4)*(GMWQ!$LR$2:$LR$60=N$1),0),$B261-1966)</f>
        <v>31932.73</v>
      </c>
      <c r="O261" s="7" cm="1">
        <f t="array" ref="O261">INDEX(GMWQ!$A$2:$LR$60,MATCH(1,(GMWQ!$LQ$2:$LQ$60=O$3)*(GMWQ!$LP$2:$LP$60=O$4)*(GMWQ!$LR$2:$LR$60=O$1),0),$B261-1966)</f>
        <v>18683.439999999999</v>
      </c>
      <c r="P261" s="7" cm="1">
        <f t="array" ref="P261">INDEX(GMWQ!$A$2:$LR$60,MATCH(1,(GMWQ!$LQ$2:$LQ$60=P$3)*(GMWQ!$LP$2:$LP$60=P$4)*(GMWQ!$LR$2:$LR$60=P$1),0),$B261-1966)</f>
        <v>699016</v>
      </c>
      <c r="Q261" s="7" cm="1">
        <f t="array" ref="Q261">INDEX(GMWQ!$A$2:$LR$60,MATCH(1,(GMWQ!$LQ$2:$LQ$60=Q$3)*(GMWQ!$LP$2:$LP$60=Q$4)*(GMWQ!$LR$2:$LR$60=Q$1),0),$B261-1966)</f>
        <v>3.5</v>
      </c>
      <c r="R261" s="7" cm="1">
        <f t="array" ref="R261">INDEX(GMWQ!$A$2:$LR$60,MATCH(1,(GMWQ!$LQ$2:$LQ$60=R$3)*(GMWQ!$LP$2:$LP$60=R$4)*(GMWQ!$LR$2:$LR$60=R$1),0),$B261-1966)</f>
        <v>256325.5</v>
      </c>
      <c r="S261" s="7" cm="1">
        <f t="array" ref="S261">INDEX(GMWQ!$A$2:$LR$60,MATCH(1,(GMWQ!$LQ$2:$LQ$60=S$3)*(GMWQ!$LP$2:$LP$60=S$4)*(GMWQ!$LR$2:$LR$60=S$1),0),$B261-1966)</f>
        <v>382.3777</v>
      </c>
      <c r="T261" s="7" cm="1">
        <f t="array" ref="T261">INDEX(GMWQ!$A$2:$LR$60,MATCH(1,(GMWQ!$LQ$2:$LQ$60=T$3)*(GMWQ!$LP$2:$LP$60=T$4)*(GMWQ!$LR$2:$LR$60=T$1),0),$B261-1966)</f>
        <v>128457.9</v>
      </c>
      <c r="U261" s="7" cm="1">
        <f t="array" ref="U261">INDEX(GMWQ!$A$2:$LR$60,MATCH(1,(GMWQ!$LQ$2:$LQ$60=U$3)*(GMWQ!$LP$2:$LP$60=U$4)*(GMWQ!$LR$2:$LR$60=U$1),0),$B261-1966)</f>
        <v>22806.45</v>
      </c>
      <c r="V261" s="7" cm="1">
        <f t="array" ref="V261">INDEX(GMWQ!$A$2:$LR$60,MATCH(1,(GMWQ!$LQ$2:$LQ$60=V$3)*(GMWQ!$LP$2:$LP$60=V$4)*(GMWQ!$LR$2:$LR$60=V$1),0),$B261-1966)</f>
        <v>1.3742260000000001E-3</v>
      </c>
      <c r="W261" s="7" cm="1">
        <f t="array" ref="W261">INDEX(GMWQ!$A$2:$LR$60,MATCH(1,(GMWQ!$LQ$2:$LQ$60=W$3)*(GMWQ!$LP$2:$LP$60=W$4)*(GMWQ!$LR$2:$LR$60=W$1),0),$B261-1966)</f>
        <v>9.1788889999999999</v>
      </c>
      <c r="X261" s="7" cm="1">
        <f t="array" ref="X261">INDEX(GMWQ!$A$2:$LR$60,MATCH(1,(GMWQ!$LQ$2:$LQ$60=X$3)*(GMWQ!$LP$2:$LP$60=X$4)*(GMWQ!$LR$2:$LR$60=X$1),0),$B261-1966)</f>
        <v>9244319</v>
      </c>
      <c r="Y261" s="7" cm="1">
        <f t="array" ref="Y261">INDEX(GMWQ!$A$2:$LR$60,MATCH(1,(GMWQ!$LQ$2:$LQ$60=Y$3)*(GMWQ!$LP$2:$LP$60=Y$4)*(GMWQ!$LR$2:$LR$60=Y$1),0),$B261-1966)</f>
        <v>156.0642</v>
      </c>
      <c r="Z261" s="7" cm="1">
        <f t="array" ref="Z261">INDEX(GMWQ!$A$2:$LR$60,MATCH(1,(GMWQ!$LQ$2:$LQ$60=Z$3)*(GMWQ!$LP$2:$LP$60=Z$4)*(GMWQ!$LR$2:$LR$60=Z$1),0),$B261-1966)</f>
        <v>691342.8</v>
      </c>
      <c r="AA261" s="7" cm="1">
        <f t="array" ref="AA261">INDEX(GMWQ!$A$2:$LR$60,MATCH(1,(GMWQ!$LQ$2:$LQ$60=AA$3)*(GMWQ!$LP$2:$LP$60=AA$4)*(GMWQ!$LR$2:$LR$60=AA$1),0),$B261-1966)</f>
        <v>448929.4</v>
      </c>
      <c r="AB261" s="7" cm="1">
        <f t="array" ref="AB261">INDEX(GMWQ!$A$2:$LR$60,MATCH(1,(GMWQ!$LQ$2:$LQ$60=AB$3)*(GMWQ!$LP$2:$LP$60=AB$4)*(GMWQ!$LR$2:$LR$60=AB$1),0),$B261-1966)</f>
        <v>416831.6</v>
      </c>
      <c r="AC261" s="7" cm="1">
        <f t="array" ref="AC261">INDEX(GMWQ!$A$2:$LR$60,MATCH(1,(GMWQ!$LQ$2:$LQ$60=AC$3)*(GMWQ!$LP$2:$LP$60=AC$4)*(GMWQ!$LR$2:$LR$60=AC$1),0),$B261-1966)</f>
        <v>15678.05</v>
      </c>
      <c r="AD261" s="7" cm="1">
        <f t="array" ref="AD261">INDEX(GMWQ!$A$2:$LR$60,MATCH(1,(GMWQ!$LQ$2:$LQ$60=AD$3)*(GMWQ!$LP$2:$LP$60=AD$4)*(GMWQ!$LR$2:$LR$60=AD$1),0),$B261-1966)</f>
        <v>23796.43</v>
      </c>
      <c r="AE261" s="7" cm="1">
        <f t="array" ref="AE261">INDEX(GMWQ!$A$2:$LR$60,MATCH(1,(GMWQ!$LQ$2:$LQ$60=AE$3)*(GMWQ!$LP$2:$LP$60=AE$4)*(GMWQ!$LR$2:$LR$60=AE$1),0),$B261-1966)</f>
        <v>1078939</v>
      </c>
      <c r="AF261" s="20" cm="1">
        <f t="array" ref="AF261">INDEX(GMWQ!$A$2:$LR$60,MATCH(1,(GMWQ!$LQ$2:$LQ$60=AF$3)*(GMWQ!$LP$2:$LP$60=AF$4)*(GMWQ!$LR$2:$LR$60=AF$1),0),$B261-1966)</f>
        <v>2</v>
      </c>
      <c r="AG261" s="20" cm="1">
        <f t="array" ref="AG261">INDEX(GMWQ!$A$2:$LR$60,MATCH(1,(GMWQ!$LQ$2:$LQ$60=AG$3)*(GMWQ!$LP$2:$LP$60=AG$4)*(GMWQ!$LR$2:$LR$60=AG$1),0),$B261-1966)</f>
        <v>-13249.29</v>
      </c>
      <c r="AI261" s="23" cm="1">
        <f t="array" ref="AI261">INDEX(GMWQ!$A$2:$LR$60,MATCH(1,(GMWQ!$LQ$2:$LQ$60=AI$3)*(GMWQ!$LP$2:$LP$60=AI$4)*(GMWQ!$LR$2:$LR$60=AI$1),0),$B261-1966)</f>
        <v>699016</v>
      </c>
      <c r="AJ261" s="23" cm="1">
        <f t="array" ref="AJ261">INDEX(GMWQ!$A$2:$LR$60,MATCH(1,(GMWQ!$LQ$2:$LQ$60=AJ$3)*(GMWQ!$LP$2:$LP$60=AJ$4)*(GMWQ!$LR$2:$LR$60=AJ$1),0),$B261-1966)</f>
        <v>155.35249999999999</v>
      </c>
      <c r="AK261" s="23" cm="1">
        <f t="array" ref="AK261">INDEX(GMWQ!$A$2:$LR$60,MATCH(1,(GMWQ!$LQ$2:$LQ$60=AK$3)*(GMWQ!$LP$2:$LP$60=AK$4)*(GMWQ!$LR$2:$LR$60=AK$1),0),$B261-1966)</f>
        <v>439500.9</v>
      </c>
      <c r="AL261" s="23" cm="1">
        <f t="array" ref="AL261">INDEX(GMWQ!$A$2:$LR$60,MATCH(1,(GMWQ!$LQ$2:$LQ$60=AL$3)*(GMWQ!$LP$2:$LP$60=AL$4)*(GMWQ!$LR$2:$LR$60=AL$1),0),$B261-1966)</f>
        <v>14005.38</v>
      </c>
      <c r="AM261" s="23" cm="1">
        <f t="array" ref="AM261">INDEX(GMWQ!$A$2:$LR$60,MATCH(1,(GMWQ!$LQ$2:$LQ$60=AM$3)*(GMWQ!$LP$2:$LP$60=AM$4)*(GMWQ!$LR$2:$LR$60=AM$1),0),$B261-1966)</f>
        <v>31380.87</v>
      </c>
      <c r="AN261" s="23" cm="1">
        <f t="array" ref="AN261">INDEX(GMWQ!$A$2:$LR$60,MATCH(1,(GMWQ!$LQ$2:$LQ$60=AN$3)*(GMWQ!$LP$2:$LP$60=AN$4)*(GMWQ!$LR$2:$LR$60=AN$1),0),$B261-1966)</f>
        <v>129674.9</v>
      </c>
      <c r="AO261" s="23" cm="1">
        <f t="array" ref="AO261">INDEX(GMWQ!$A$2:$LR$60,MATCH(1,(GMWQ!$LQ$2:$LQ$60=AO$3)*(GMWQ!$LP$2:$LP$60=AO$4)*(GMWQ!$LR$2:$LR$60=AO$1),0),$B261-1966)</f>
        <v>29556.44</v>
      </c>
      <c r="AP261" s="23" cm="1">
        <f t="array" ref="AP261">INDEX(GMWQ!$A$2:$LR$60,MATCH(1,(GMWQ!$LQ$2:$LQ$60=AP$3)*(GMWQ!$LP$2:$LP$60=AP$4)*(GMWQ!$LR$2:$LR$60=AP$1),0),$B261-1966)</f>
        <v>-13249.29</v>
      </c>
      <c r="AQ261" s="23" cm="1">
        <f t="array" ref="AQ261">INDEX(GMWQ!$A$2:$LR$60,MATCH(1,(GMWQ!$LQ$2:$LQ$60=AQ$3)*(GMWQ!$LP$2:$LP$60=AQ$4)*(GMWQ!$LR$2:$LR$60=AQ$1),0),$B261-1966)</f>
        <v>152596.6</v>
      </c>
      <c r="AR261" s="23" cm="1">
        <f t="array" ref="AR261">INDEX(GMWQ!$A$2:$LR$60,MATCH(1,(GMWQ!$LQ$2:$LQ$60=AR$3)*(GMWQ!$LP$2:$LP$60=AR$4)*(GMWQ!$LR$2:$LR$60=AR$1),0),$B261-1966)</f>
        <v>645373.69999999995</v>
      </c>
      <c r="AS261" s="23" cm="1">
        <f t="array" ref="AS261">INDEX(GMWQ!$A$2:$LR$60,MATCH(1,(GMWQ!$LQ$2:$LQ$60=AS$3)*(GMWQ!$LP$2:$LP$60=AS$4)*(GMWQ!$LR$2:$LR$60=AS$1),0),$B261-1966)</f>
        <v>21932.2</v>
      </c>
      <c r="AT261" s="23" cm="1">
        <f t="array" ref="AT261">INDEX(GMWQ!$A$2:$LR$60,MATCH(1,(GMWQ!$LQ$2:$LQ$60=AT$3)*(GMWQ!$LP$2:$LP$60=AT$4)*(GMWQ!$LR$2:$LR$60=AT$1),0),$B261-1966)</f>
        <v>415425.4</v>
      </c>
      <c r="AU261" s="23" cm="1">
        <f t="array" ref="AU261">INDEX(GMWQ!$A$2:$LR$60,MATCH(1,(GMWQ!$LQ$2:$LQ$60=AU$3)*(GMWQ!$LP$2:$LP$60=AU$4)*(GMWQ!$LR$2:$LR$60=AU$1),0),$B261-1966)</f>
        <v>14785.92</v>
      </c>
    </row>
    <row r="262" spans="1:47" x14ac:dyDescent="0.35">
      <c r="B262" s="7">
        <f t="shared" si="5"/>
        <v>2228</v>
      </c>
      <c r="C262" s="7" cm="1">
        <f t="array" ref="C262">INDEX(GMWQ!$A$2:$LR$60,MATCH(1,(GMWQ!$LQ$2:$LQ$60=C$3)*(GMWQ!$LP$2:$LP$60=C$4)*(GMWQ!$LR$2:$LR$60=C$1),0),$B262-1966)</f>
        <v>693909.7</v>
      </c>
      <c r="D262" s="7" cm="1">
        <f t="array" ref="D262">INDEX(GMWQ!$A$2:$LR$60,MATCH(1,(GMWQ!$LQ$2:$LQ$60=D$3)*(GMWQ!$LP$2:$LP$60=D$4)*(GMWQ!$LR$2:$LR$60=D$1),0),$B262-1966)</f>
        <v>970.50459999999998</v>
      </c>
      <c r="E262" s="7" cm="1">
        <f t="array" ref="E262">INDEX(GMWQ!$A$2:$LR$60,MATCH(1,(GMWQ!$LQ$2:$LQ$60=E$3)*(GMWQ!$LP$2:$LP$60=E$4)*(GMWQ!$LR$2:$LR$60=E$1),0),$B262-1966)</f>
        <v>171.30799999999999</v>
      </c>
      <c r="F262" s="7" cm="1">
        <f t="array" ref="F262">INDEX(GMWQ!$A$2:$LR$60,MATCH(1,(GMWQ!$LQ$2:$LQ$60=F$3)*(GMWQ!$LP$2:$LP$60=F$4)*(GMWQ!$LR$2:$LR$60=F$1),0),$B262-1966)</f>
        <v>443339.1</v>
      </c>
      <c r="G262" s="7" cm="1">
        <f t="array" ref="G262">INDEX(GMWQ!$A$2:$LR$60,MATCH(1,(GMWQ!$LQ$2:$LQ$60=G$3)*(GMWQ!$LP$2:$LP$60=G$4)*(GMWQ!$LR$2:$LR$60=G$1),0),$B262-1966)</f>
        <v>130963.9</v>
      </c>
      <c r="H262" s="7" cm="1">
        <f t="array" ref="H262">INDEX(GMWQ!$A$2:$LR$60,MATCH(1,(GMWQ!$LQ$2:$LQ$60=H$3)*(GMWQ!$LP$2:$LP$60=H$4)*(GMWQ!$LR$2:$LR$60=H$1),0),$B262-1966)</f>
        <v>29814.55</v>
      </c>
      <c r="I262" s="7" cm="1">
        <f t="array" ref="I262">INDEX(GMWQ!$A$2:$LR$60,MATCH(1,(GMWQ!$LQ$2:$LQ$60=I$3)*(GMWQ!$LP$2:$LP$60=I$4)*(GMWQ!$LR$2:$LR$60=I$1),0),$B262-1966)</f>
        <v>156.1233</v>
      </c>
      <c r="J262" s="7" cm="1">
        <f t="array" ref="J262">INDEX(GMWQ!$A$2:$LR$60,MATCH(1,(GMWQ!$LQ$2:$LQ$60=J$3)*(GMWQ!$LP$2:$LP$60=J$4)*(GMWQ!$LR$2:$LR$60=J$1),0),$B262-1966)</f>
        <v>31413.61</v>
      </c>
      <c r="K262" s="7" cm="1">
        <f t="array" ref="K262">INDEX(GMWQ!$A$2:$LR$60,MATCH(1,(GMWQ!$LQ$2:$LQ$60=K$3)*(GMWQ!$LP$2:$LP$60=K$4)*(GMWQ!$LR$2:$LR$60=K$1),0),$B262-1966)</f>
        <v>2</v>
      </c>
      <c r="L262" s="7" cm="1">
        <f t="array" ref="L262">INDEX(GMWQ!$A$2:$LR$60,MATCH(1,(GMWQ!$LQ$2:$LQ$60=L$3)*(GMWQ!$LP$2:$LP$60=L$4)*(GMWQ!$LR$2:$LR$60=L$1),0),$B262-1966)</f>
        <v>3.7499959999999999</v>
      </c>
      <c r="M262" s="7" cm="1">
        <f t="array" ref="M262">INDEX(GMWQ!$A$2:$LR$60,MATCH(1,(GMWQ!$LQ$2:$LQ$60=M$3)*(GMWQ!$LP$2:$LP$60=M$4)*(GMWQ!$LR$2:$LR$60=M$1),0),$B262-1966)</f>
        <v>216.46860000000001</v>
      </c>
      <c r="N262" s="7" cm="1">
        <f t="array" ref="N262">INDEX(GMWQ!$A$2:$LR$60,MATCH(1,(GMWQ!$LQ$2:$LQ$60=N$3)*(GMWQ!$LP$2:$LP$60=N$4)*(GMWQ!$LR$2:$LR$60=N$1),0),$B262-1966)</f>
        <v>32254.9</v>
      </c>
      <c r="O262" s="7" cm="1">
        <f t="array" ref="O262">INDEX(GMWQ!$A$2:$LR$60,MATCH(1,(GMWQ!$LQ$2:$LQ$60=O$3)*(GMWQ!$LP$2:$LP$60=O$4)*(GMWQ!$LR$2:$LR$60=O$1),0),$B262-1966)</f>
        <v>18828.689999999999</v>
      </c>
      <c r="P262" s="7" cm="1">
        <f t="array" ref="P262">INDEX(GMWQ!$A$2:$LR$60,MATCH(1,(GMWQ!$LQ$2:$LQ$60=P$3)*(GMWQ!$LP$2:$LP$60=P$4)*(GMWQ!$LR$2:$LR$60=P$1),0),$B262-1966)</f>
        <v>705056.4</v>
      </c>
      <c r="Q262" s="7" cm="1">
        <f t="array" ref="Q262">INDEX(GMWQ!$A$2:$LR$60,MATCH(1,(GMWQ!$LQ$2:$LQ$60=Q$3)*(GMWQ!$LP$2:$LP$60=Q$4)*(GMWQ!$LR$2:$LR$60=Q$1),0),$B262-1966)</f>
        <v>3.5</v>
      </c>
      <c r="R262" s="7" cm="1">
        <f t="array" ref="R262">INDEX(GMWQ!$A$2:$LR$60,MATCH(1,(GMWQ!$LQ$2:$LQ$60=R$3)*(GMWQ!$LP$2:$LP$60=R$4)*(GMWQ!$LR$2:$LR$60=R$1),0),$B262-1966)</f>
        <v>256344.4</v>
      </c>
      <c r="S262" s="7" cm="1">
        <f t="array" ref="S262">INDEX(GMWQ!$A$2:$LR$60,MATCH(1,(GMWQ!$LQ$2:$LQ$60=S$3)*(GMWQ!$LP$2:$LP$60=S$4)*(GMWQ!$LR$2:$LR$60=S$1),0),$B262-1966)</f>
        <v>382.40570000000002</v>
      </c>
      <c r="T262" s="7" cm="1">
        <f t="array" ref="T262">INDEX(GMWQ!$A$2:$LR$60,MATCH(1,(GMWQ!$LQ$2:$LQ$60=T$3)*(GMWQ!$LP$2:$LP$60=T$4)*(GMWQ!$LR$2:$LR$60=T$1),0),$B262-1966)</f>
        <v>129096.7</v>
      </c>
      <c r="U262" s="7" cm="1">
        <f t="array" ref="U262">INDEX(GMWQ!$A$2:$LR$60,MATCH(1,(GMWQ!$LQ$2:$LQ$60=U$3)*(GMWQ!$LP$2:$LP$60=U$4)*(GMWQ!$LR$2:$LR$60=U$1),0),$B262-1966)</f>
        <v>22558.22</v>
      </c>
      <c r="V262" s="7" cm="1">
        <f t="array" ref="V262">INDEX(GMWQ!$A$2:$LR$60,MATCH(1,(GMWQ!$LQ$2:$LQ$60=V$3)*(GMWQ!$LP$2:$LP$60=V$4)*(GMWQ!$LR$2:$LR$60=V$1),0),$B262-1966)</f>
        <v>1.3748790000000001E-3</v>
      </c>
      <c r="W262" s="7" cm="1">
        <f t="array" ref="W262">INDEX(GMWQ!$A$2:$LR$60,MATCH(1,(GMWQ!$LQ$2:$LQ$60=W$3)*(GMWQ!$LP$2:$LP$60=W$4)*(GMWQ!$LR$2:$LR$60=W$1),0),$B262-1966)</f>
        <v>9.1745590000000004</v>
      </c>
      <c r="X262" s="7" cm="1">
        <f t="array" ref="X262">INDEX(GMWQ!$A$2:$LR$60,MATCH(1,(GMWQ!$LQ$2:$LQ$60=X$3)*(GMWQ!$LP$2:$LP$60=X$4)*(GMWQ!$LR$2:$LR$60=X$1),0),$B262-1966)</f>
        <v>9318192</v>
      </c>
      <c r="Y262" s="7" cm="1">
        <f t="array" ref="Y262">INDEX(GMWQ!$A$2:$LR$60,MATCH(1,(GMWQ!$LQ$2:$LQ$60=Y$3)*(GMWQ!$LP$2:$LP$60=Y$4)*(GMWQ!$LR$2:$LR$60=Y$1),0),$B262-1966)</f>
        <v>156.90880000000001</v>
      </c>
      <c r="Z262" s="7" cm="1">
        <f t="array" ref="Z262">INDEX(GMWQ!$A$2:$LR$60,MATCH(1,(GMWQ!$LQ$2:$LQ$60=Z$3)*(GMWQ!$LP$2:$LP$60=Z$4)*(GMWQ!$LR$2:$LR$60=Z$1),0),$B262-1966)</f>
        <v>693909.7</v>
      </c>
      <c r="AA262" s="7" cm="1">
        <f t="array" ref="AA262">INDEX(GMWQ!$A$2:$LR$60,MATCH(1,(GMWQ!$LQ$2:$LQ$60=AA$3)*(GMWQ!$LP$2:$LP$60=AA$4)*(GMWQ!$LR$2:$LR$60=AA$1),0),$B262-1966)</f>
        <v>434076</v>
      </c>
      <c r="AB262" s="7" cm="1">
        <f t="array" ref="AB262">INDEX(GMWQ!$A$2:$LR$60,MATCH(1,(GMWQ!$LQ$2:$LQ$60=AB$3)*(GMWQ!$LP$2:$LP$60=AB$4)*(GMWQ!$LR$2:$LR$60=AB$1),0),$B262-1966)</f>
        <v>420332.6</v>
      </c>
      <c r="AC262" s="7" cm="1">
        <f t="array" ref="AC262">INDEX(GMWQ!$A$2:$LR$60,MATCH(1,(GMWQ!$LQ$2:$LQ$60=AC$3)*(GMWQ!$LP$2:$LP$60=AC$4)*(GMWQ!$LR$2:$LR$60=AC$1),0),$B262-1966)</f>
        <v>16727.919999999998</v>
      </c>
      <c r="AD262" s="7" cm="1">
        <f t="array" ref="AD262">INDEX(GMWQ!$A$2:$LR$60,MATCH(1,(GMWQ!$LQ$2:$LQ$60=AD$3)*(GMWQ!$LP$2:$LP$60=AD$4)*(GMWQ!$LR$2:$LR$60=AD$1),0),$B262-1966)</f>
        <v>23796.43</v>
      </c>
      <c r="AE262" s="7" cm="1">
        <f t="array" ref="AE262">INDEX(GMWQ!$A$2:$LR$60,MATCH(1,(GMWQ!$LQ$2:$LQ$60=AE$3)*(GMWQ!$LP$2:$LP$60=AE$4)*(GMWQ!$LR$2:$LR$60=AE$1),0),$B262-1966)</f>
        <v>1088806</v>
      </c>
      <c r="AF262" s="20" cm="1">
        <f t="array" ref="AF262">INDEX(GMWQ!$A$2:$LR$60,MATCH(1,(GMWQ!$LQ$2:$LQ$60=AF$3)*(GMWQ!$LP$2:$LP$60=AF$4)*(GMWQ!$LR$2:$LR$60=AF$1),0),$B262-1966)</f>
        <v>2</v>
      </c>
      <c r="AG262" s="20" cm="1">
        <f t="array" ref="AG262">INDEX(GMWQ!$A$2:$LR$60,MATCH(1,(GMWQ!$LQ$2:$LQ$60=AG$3)*(GMWQ!$LP$2:$LP$60=AG$4)*(GMWQ!$LR$2:$LR$60=AG$1),0),$B262-1966)</f>
        <v>-13426.21</v>
      </c>
      <c r="AI262" s="23" cm="1">
        <f t="array" ref="AI262">INDEX(GMWQ!$A$2:$LR$60,MATCH(1,(GMWQ!$LQ$2:$LQ$60=AI$3)*(GMWQ!$LP$2:$LP$60=AI$4)*(GMWQ!$LR$2:$LR$60=AI$1),0),$B262-1966)</f>
        <v>705056.4</v>
      </c>
      <c r="AJ262" s="23" cm="1">
        <f t="array" ref="AJ262">INDEX(GMWQ!$A$2:$LR$60,MATCH(1,(GMWQ!$LQ$2:$LQ$60=AJ$3)*(GMWQ!$LP$2:$LP$60=AJ$4)*(GMWQ!$LR$2:$LR$60=AJ$1),0),$B262-1966)</f>
        <v>156.1233</v>
      </c>
      <c r="AK262" s="23" cm="1">
        <f t="array" ref="AK262">INDEX(GMWQ!$A$2:$LR$60,MATCH(1,(GMWQ!$LQ$2:$LQ$60=AK$3)*(GMWQ!$LP$2:$LP$60=AK$4)*(GMWQ!$LR$2:$LR$60=AK$1),0),$B262-1966)</f>
        <v>443339.1</v>
      </c>
      <c r="AL262" s="23" cm="1">
        <f t="array" ref="AL262">INDEX(GMWQ!$A$2:$LR$60,MATCH(1,(GMWQ!$LQ$2:$LQ$60=AL$3)*(GMWQ!$LP$2:$LP$60=AL$4)*(GMWQ!$LR$2:$LR$60=AL$1),0),$B262-1966)</f>
        <v>14112.96</v>
      </c>
      <c r="AM262" s="23" cm="1">
        <f t="array" ref="AM262">INDEX(GMWQ!$A$2:$LR$60,MATCH(1,(GMWQ!$LQ$2:$LQ$60=AM$3)*(GMWQ!$LP$2:$LP$60=AM$4)*(GMWQ!$LR$2:$LR$60=AM$1),0),$B262-1966)</f>
        <v>31413.61</v>
      </c>
      <c r="AN262" s="23" cm="1">
        <f t="array" ref="AN262">INDEX(GMWQ!$A$2:$LR$60,MATCH(1,(GMWQ!$LQ$2:$LQ$60=AN$3)*(GMWQ!$LP$2:$LP$60=AN$4)*(GMWQ!$LR$2:$LR$60=AN$1),0),$B262-1966)</f>
        <v>130963.9</v>
      </c>
      <c r="AO262" s="23" cm="1">
        <f t="array" ref="AO262">INDEX(GMWQ!$A$2:$LR$60,MATCH(1,(GMWQ!$LQ$2:$LQ$60=AO$3)*(GMWQ!$LP$2:$LP$60=AO$4)*(GMWQ!$LR$2:$LR$60=AO$1),0),$B262-1966)</f>
        <v>29814.55</v>
      </c>
      <c r="AP262" s="23" cm="1">
        <f t="array" ref="AP262">INDEX(GMWQ!$A$2:$LR$60,MATCH(1,(GMWQ!$LQ$2:$LQ$60=AP$3)*(GMWQ!$LP$2:$LP$60=AP$4)*(GMWQ!$LR$2:$LR$60=AP$1),0),$B262-1966)</f>
        <v>-13426.21</v>
      </c>
      <c r="AQ262" s="23" cm="1">
        <f t="array" ref="AQ262">INDEX(GMWQ!$A$2:$LR$60,MATCH(1,(GMWQ!$LQ$2:$LQ$60=AQ$3)*(GMWQ!$LP$2:$LP$60=AQ$4)*(GMWQ!$LR$2:$LR$60=AQ$1),0),$B262-1966)</f>
        <v>154000.5</v>
      </c>
      <c r="AR262" s="23" cm="1">
        <f t="array" ref="AR262">INDEX(GMWQ!$A$2:$LR$60,MATCH(1,(GMWQ!$LQ$2:$LQ$60=AR$3)*(GMWQ!$LP$2:$LP$60=AR$4)*(GMWQ!$LR$2:$LR$60=AR$1),0),$B262-1966)</f>
        <v>650944.9</v>
      </c>
      <c r="AS262" s="23" cm="1">
        <f t="array" ref="AS262">INDEX(GMWQ!$A$2:$LR$60,MATCH(1,(GMWQ!$LQ$2:$LQ$60=AS$3)*(GMWQ!$LP$2:$LP$60=AS$4)*(GMWQ!$LR$2:$LR$60=AS$1),0),$B262-1966)</f>
        <v>22130.71</v>
      </c>
      <c r="AT262" s="23" cm="1">
        <f t="array" ref="AT262">INDEX(GMWQ!$A$2:$LR$60,MATCH(1,(GMWQ!$LQ$2:$LQ$60=AT$3)*(GMWQ!$LP$2:$LP$60=AT$4)*(GMWQ!$LR$2:$LR$60=AT$1),0),$B262-1966)</f>
        <v>416942.8</v>
      </c>
      <c r="AU262" s="23" cm="1">
        <f t="array" ref="AU262">INDEX(GMWQ!$A$2:$LR$60,MATCH(1,(GMWQ!$LQ$2:$LQ$60=AU$3)*(GMWQ!$LP$2:$LP$60=AU$4)*(GMWQ!$LR$2:$LR$60=AU$1),0),$B262-1966)</f>
        <v>14840.07</v>
      </c>
    </row>
    <row r="263" spans="1:47" x14ac:dyDescent="0.35">
      <c r="A263" s="7">
        <v>2037</v>
      </c>
      <c r="B263" s="7">
        <f t="shared" si="5"/>
        <v>2229</v>
      </c>
      <c r="C263" s="7" cm="1">
        <f t="array" ref="C263">INDEX(GMWQ!$A$2:$LR$60,MATCH(1,(GMWQ!$LQ$2:$LQ$60=C$3)*(GMWQ!$LP$2:$LP$60=C$4)*(GMWQ!$LR$2:$LR$60=C$1),0),$B263-1966)</f>
        <v>696489.8</v>
      </c>
      <c r="D263" s="7" cm="1">
        <f t="array" ref="D263">INDEX(GMWQ!$A$2:$LR$60,MATCH(1,(GMWQ!$LQ$2:$LQ$60=D$3)*(GMWQ!$LP$2:$LP$60=D$4)*(GMWQ!$LR$2:$LR$60=D$1),0),$B263-1966)</f>
        <v>977.96619999999996</v>
      </c>
      <c r="E263" s="7" cm="1">
        <f t="array" ref="E263">INDEX(GMWQ!$A$2:$LR$60,MATCH(1,(GMWQ!$LQ$2:$LQ$60=E$3)*(GMWQ!$LP$2:$LP$60=E$4)*(GMWQ!$LR$2:$LR$60=E$1),0),$B263-1966)</f>
        <v>171.48750000000001</v>
      </c>
      <c r="F263" s="7" cm="1">
        <f t="array" ref="F263">INDEX(GMWQ!$A$2:$LR$60,MATCH(1,(GMWQ!$LQ$2:$LQ$60=F$3)*(GMWQ!$LP$2:$LP$60=F$4)*(GMWQ!$LR$2:$LR$60=F$1),0),$B263-1966)</f>
        <v>447213.4</v>
      </c>
      <c r="G263" s="7" cm="1">
        <f t="array" ref="G263">INDEX(GMWQ!$A$2:$LR$60,MATCH(1,(GMWQ!$LQ$2:$LQ$60=G$3)*(GMWQ!$LP$2:$LP$60=G$4)*(GMWQ!$LR$2:$LR$60=G$1),0),$B263-1966)</f>
        <v>132265.1</v>
      </c>
      <c r="H263" s="7" cm="1">
        <f t="array" ref="H263">INDEX(GMWQ!$A$2:$LR$60,MATCH(1,(GMWQ!$LQ$2:$LQ$60=H$3)*(GMWQ!$LP$2:$LP$60=H$4)*(GMWQ!$LR$2:$LR$60=H$1),0),$B263-1966)</f>
        <v>30075.1</v>
      </c>
      <c r="I263" s="7" cm="1">
        <f t="array" ref="I263">INDEX(GMWQ!$A$2:$LR$60,MATCH(1,(GMWQ!$LQ$2:$LQ$60=I$3)*(GMWQ!$LP$2:$LP$60=I$4)*(GMWQ!$LR$2:$LR$60=I$1),0),$B263-1966)</f>
        <v>156.898</v>
      </c>
      <c r="J263" s="7" cm="1">
        <f t="array" ref="J263">INDEX(GMWQ!$A$2:$LR$60,MATCH(1,(GMWQ!$LQ$2:$LQ$60=J$3)*(GMWQ!$LP$2:$LP$60=J$4)*(GMWQ!$LR$2:$LR$60=J$1),0),$B263-1966)</f>
        <v>31446.35</v>
      </c>
      <c r="K263" s="7" cm="1">
        <f t="array" ref="K263">INDEX(GMWQ!$A$2:$LR$60,MATCH(1,(GMWQ!$LQ$2:$LQ$60=K$3)*(GMWQ!$LP$2:$LP$60=K$4)*(GMWQ!$LR$2:$LR$60=K$1),0),$B263-1966)</f>
        <v>2</v>
      </c>
      <c r="L263" s="7" cm="1">
        <f t="array" ref="L263">INDEX(GMWQ!$A$2:$LR$60,MATCH(1,(GMWQ!$LQ$2:$LQ$60=L$3)*(GMWQ!$LP$2:$LP$60=L$4)*(GMWQ!$LR$2:$LR$60=L$1),0),$B263-1966)</f>
        <v>3.749984</v>
      </c>
      <c r="M263" s="7" cm="1">
        <f t="array" ref="M263">INDEX(GMWQ!$A$2:$LR$60,MATCH(1,(GMWQ!$LQ$2:$LQ$60=M$3)*(GMWQ!$LP$2:$LP$60=M$4)*(GMWQ!$LR$2:$LR$60=M$1),0),$B263-1966)</f>
        <v>218.3391</v>
      </c>
      <c r="N263" s="7" cm="1">
        <f t="array" ref="N263">INDEX(GMWQ!$A$2:$LR$60,MATCH(1,(GMWQ!$LQ$2:$LQ$60=N$3)*(GMWQ!$LP$2:$LP$60=N$4)*(GMWQ!$LR$2:$LR$60=N$1),0),$B263-1966)</f>
        <v>32575.97</v>
      </c>
      <c r="O263" s="7" cm="1">
        <f t="array" ref="O263">INDEX(GMWQ!$A$2:$LR$60,MATCH(1,(GMWQ!$LQ$2:$LQ$60=O$3)*(GMWQ!$LP$2:$LP$60=O$4)*(GMWQ!$LR$2:$LR$60=O$1),0),$B263-1966)</f>
        <v>18979.18</v>
      </c>
      <c r="P263" s="7" cm="1">
        <f t="array" ref="P263">INDEX(GMWQ!$A$2:$LR$60,MATCH(1,(GMWQ!$LQ$2:$LQ$60=P$3)*(GMWQ!$LP$2:$LP$60=P$4)*(GMWQ!$LR$2:$LR$60=P$1),0),$B263-1966)</f>
        <v>711152.4</v>
      </c>
      <c r="Q263" s="7" cm="1">
        <f t="array" ref="Q263">INDEX(GMWQ!$A$2:$LR$60,MATCH(1,(GMWQ!$LQ$2:$LQ$60=Q$3)*(GMWQ!$LP$2:$LP$60=Q$4)*(GMWQ!$LR$2:$LR$60=Q$1),0),$B263-1966)</f>
        <v>3.5</v>
      </c>
      <c r="R263" s="7" cm="1">
        <f t="array" ref="R263">INDEX(GMWQ!$A$2:$LR$60,MATCH(1,(GMWQ!$LQ$2:$LQ$60=R$3)*(GMWQ!$LP$2:$LP$60=R$4)*(GMWQ!$LR$2:$LR$60=R$1),0),$B263-1966)</f>
        <v>256361.7</v>
      </c>
      <c r="S263" s="7" cm="1">
        <f t="array" ref="S263">INDEX(GMWQ!$A$2:$LR$60,MATCH(1,(GMWQ!$LQ$2:$LQ$60=S$3)*(GMWQ!$LP$2:$LP$60=S$4)*(GMWQ!$LR$2:$LR$60=S$1),0),$B263-1966)</f>
        <v>382.4316</v>
      </c>
      <c r="T263" s="7" cm="1">
        <f t="array" ref="T263">INDEX(GMWQ!$A$2:$LR$60,MATCH(1,(GMWQ!$LQ$2:$LQ$60=T$3)*(GMWQ!$LP$2:$LP$60=T$4)*(GMWQ!$LR$2:$LR$60=T$1),0),$B263-1966)</f>
        <v>129722.7</v>
      </c>
      <c r="U263" s="7" cm="1">
        <f t="array" ref="U263">INDEX(GMWQ!$A$2:$LR$60,MATCH(1,(GMWQ!$LQ$2:$LQ$60=U$3)*(GMWQ!$LP$2:$LP$60=U$4)*(GMWQ!$LR$2:$LR$60=U$1),0),$B263-1966)</f>
        <v>22306.880000000001</v>
      </c>
      <c r="V263" s="7" cm="1">
        <f t="array" ref="V263">INDEX(GMWQ!$A$2:$LR$60,MATCH(1,(GMWQ!$LQ$2:$LQ$60=V$3)*(GMWQ!$LP$2:$LP$60=V$4)*(GMWQ!$LR$2:$LR$60=V$1),0),$B263-1966)</f>
        <v>1.3746909999999999E-3</v>
      </c>
      <c r="W263" s="7" cm="1">
        <f t="array" ref="W263">INDEX(GMWQ!$A$2:$LR$60,MATCH(1,(GMWQ!$LQ$2:$LQ$60=W$3)*(GMWQ!$LP$2:$LP$60=W$4)*(GMWQ!$LR$2:$LR$60=W$1),0),$B263-1966)</f>
        <v>9.1305390000000006</v>
      </c>
      <c r="X263" s="7" cm="1">
        <f t="array" ref="X263">INDEX(GMWQ!$A$2:$LR$60,MATCH(1,(GMWQ!$LQ$2:$LQ$60=X$3)*(GMWQ!$LP$2:$LP$60=X$4)*(GMWQ!$LR$2:$LR$60=X$1),0),$B263-1966)</f>
        <v>9451879</v>
      </c>
      <c r="Y263" s="7" cm="1">
        <f t="array" ref="Y263">INDEX(GMWQ!$A$2:$LR$60,MATCH(1,(GMWQ!$LQ$2:$LQ$60=Y$3)*(GMWQ!$LP$2:$LP$60=Y$4)*(GMWQ!$LR$2:$LR$60=Y$1),0),$B263-1966)</f>
        <v>157.75800000000001</v>
      </c>
      <c r="Z263" s="7" cm="1">
        <f t="array" ref="Z263">INDEX(GMWQ!$A$2:$LR$60,MATCH(1,(GMWQ!$LQ$2:$LQ$60=Z$3)*(GMWQ!$LP$2:$LP$60=Z$4)*(GMWQ!$LR$2:$LR$60=Z$1),0),$B263-1966)</f>
        <v>696489.4</v>
      </c>
      <c r="AA263" s="7" cm="1">
        <f t="array" ref="AA263">INDEX(GMWQ!$A$2:$LR$60,MATCH(1,(GMWQ!$LQ$2:$LQ$60=AA$3)*(GMWQ!$LP$2:$LP$60=AA$4)*(GMWQ!$LR$2:$LR$60=AA$1),0),$B263-1966)</f>
        <v>495619</v>
      </c>
      <c r="AB263" s="7" cm="1">
        <f t="array" ref="AB263">INDEX(GMWQ!$A$2:$LR$60,MATCH(1,(GMWQ!$LQ$2:$LQ$60=AB$3)*(GMWQ!$LP$2:$LP$60=AB$4)*(GMWQ!$LR$2:$LR$60=AB$1),0),$B263-1966)</f>
        <v>419106.3</v>
      </c>
      <c r="AC263" s="7" cm="1">
        <f t="array" ref="AC263">INDEX(GMWQ!$A$2:$LR$60,MATCH(1,(GMWQ!$LQ$2:$LQ$60=AC$3)*(GMWQ!$LP$2:$LP$60=AC$4)*(GMWQ!$LR$2:$LR$60=AC$1),0),$B263-1966)</f>
        <v>29689.73</v>
      </c>
      <c r="AD263" s="7" cm="1">
        <f t="array" ref="AD263">INDEX(GMWQ!$A$2:$LR$60,MATCH(1,(GMWQ!$LQ$2:$LQ$60=AD$3)*(GMWQ!$LP$2:$LP$60=AD$4)*(GMWQ!$LR$2:$LR$60=AD$1),0),$B263-1966)</f>
        <v>23796.43</v>
      </c>
      <c r="AE263" s="7" cm="1">
        <f t="array" ref="AE263">INDEX(GMWQ!$A$2:$LR$60,MATCH(1,(GMWQ!$LQ$2:$LQ$60=AE$3)*(GMWQ!$LP$2:$LP$60=AE$4)*(GMWQ!$LR$2:$LR$60=AE$1),0),$B263-1966)</f>
        <v>1098769</v>
      </c>
      <c r="AF263" s="20" cm="1">
        <f t="array" ref="AF263">INDEX(GMWQ!$A$2:$LR$60,MATCH(1,(GMWQ!$LQ$2:$LQ$60=AF$3)*(GMWQ!$LP$2:$LP$60=AF$4)*(GMWQ!$LR$2:$LR$60=AF$1),0),$B263-1966)</f>
        <v>2</v>
      </c>
      <c r="AG263" s="20" cm="1">
        <f t="array" ref="AG263">INDEX(GMWQ!$A$2:$LR$60,MATCH(1,(GMWQ!$LQ$2:$LQ$60=AG$3)*(GMWQ!$LP$2:$LP$60=AG$4)*(GMWQ!$LR$2:$LR$60=AG$1),0),$B263-1966)</f>
        <v>-13596.79</v>
      </c>
      <c r="AI263" s="23" cm="1">
        <f t="array" ref="AI263">INDEX(GMWQ!$A$2:$LR$60,MATCH(1,(GMWQ!$LQ$2:$LQ$60=AI$3)*(GMWQ!$LP$2:$LP$60=AI$4)*(GMWQ!$LR$2:$LR$60=AI$1),0),$B263-1966)</f>
        <v>711152.4</v>
      </c>
      <c r="AJ263" s="23" cm="1">
        <f t="array" ref="AJ263">INDEX(GMWQ!$A$2:$LR$60,MATCH(1,(GMWQ!$LQ$2:$LQ$60=AJ$3)*(GMWQ!$LP$2:$LP$60=AJ$4)*(GMWQ!$LR$2:$LR$60=AJ$1),0),$B263-1966)</f>
        <v>156.898</v>
      </c>
      <c r="AK263" s="23" cm="1">
        <f t="array" ref="AK263">INDEX(GMWQ!$A$2:$LR$60,MATCH(1,(GMWQ!$LQ$2:$LQ$60=AK$3)*(GMWQ!$LP$2:$LP$60=AK$4)*(GMWQ!$LR$2:$LR$60=AK$1),0),$B263-1966)</f>
        <v>447213.4</v>
      </c>
      <c r="AL263" s="23" cm="1">
        <f t="array" ref="AL263">INDEX(GMWQ!$A$2:$LR$60,MATCH(1,(GMWQ!$LQ$2:$LQ$60=AL$3)*(GMWQ!$LP$2:$LP$60=AL$4)*(GMWQ!$LR$2:$LR$60=AL$1),0),$B263-1966)</f>
        <v>14221.47</v>
      </c>
      <c r="AM263" s="23" cm="1">
        <f t="array" ref="AM263">INDEX(GMWQ!$A$2:$LR$60,MATCH(1,(GMWQ!$LQ$2:$LQ$60=AM$3)*(GMWQ!$LP$2:$LP$60=AM$4)*(GMWQ!$LR$2:$LR$60=AM$1),0),$B263-1966)</f>
        <v>31446.35</v>
      </c>
      <c r="AN263" s="23" cm="1">
        <f t="array" ref="AN263">INDEX(GMWQ!$A$2:$LR$60,MATCH(1,(GMWQ!$LQ$2:$LQ$60=AN$3)*(GMWQ!$LP$2:$LP$60=AN$4)*(GMWQ!$LR$2:$LR$60=AN$1),0),$B263-1966)</f>
        <v>132265.1</v>
      </c>
      <c r="AO263" s="23" cm="1">
        <f t="array" ref="AO263">INDEX(GMWQ!$A$2:$LR$60,MATCH(1,(GMWQ!$LQ$2:$LQ$60=AO$3)*(GMWQ!$LP$2:$LP$60=AO$4)*(GMWQ!$LR$2:$LR$60=AO$1),0),$B263-1966)</f>
        <v>30075.1</v>
      </c>
      <c r="AP263" s="23" cm="1">
        <f t="array" ref="AP263">INDEX(GMWQ!$A$2:$LR$60,MATCH(1,(GMWQ!$LQ$2:$LQ$60=AP$3)*(GMWQ!$LP$2:$LP$60=AP$4)*(GMWQ!$LR$2:$LR$60=AP$1),0),$B263-1966)</f>
        <v>-13596.79</v>
      </c>
      <c r="AQ263" s="23" cm="1">
        <f t="array" ref="AQ263">INDEX(GMWQ!$A$2:$LR$60,MATCH(1,(GMWQ!$LQ$2:$LQ$60=AQ$3)*(GMWQ!$LP$2:$LP$60=AQ$4)*(GMWQ!$LR$2:$LR$60=AQ$1),0),$B263-1966)</f>
        <v>155422.5</v>
      </c>
      <c r="AR263" s="23" cm="1">
        <f t="array" ref="AR263">INDEX(GMWQ!$A$2:$LR$60,MATCH(1,(GMWQ!$LQ$2:$LQ$60=AR$3)*(GMWQ!$LP$2:$LP$60=AR$4)*(GMWQ!$LR$2:$LR$60=AR$1),0),$B263-1966)</f>
        <v>656567.9</v>
      </c>
      <c r="AS263" s="23" cm="1">
        <f t="array" ref="AS263">INDEX(GMWQ!$A$2:$LR$60,MATCH(1,(GMWQ!$LQ$2:$LQ$60=AS$3)*(GMWQ!$LP$2:$LP$60=AS$4)*(GMWQ!$LR$2:$LR$60=AS$1),0),$B263-1966)</f>
        <v>22331.09</v>
      </c>
      <c r="AT263" s="23" cm="1">
        <f t="array" ref="AT263">INDEX(GMWQ!$A$2:$LR$60,MATCH(1,(GMWQ!$LQ$2:$LQ$60=AT$3)*(GMWQ!$LP$2:$LP$60=AT$4)*(GMWQ!$LR$2:$LR$60=AT$1),0),$B263-1966)</f>
        <v>418468</v>
      </c>
      <c r="AU263" s="23" cm="1">
        <f t="array" ref="AU263">INDEX(GMWQ!$A$2:$LR$60,MATCH(1,(GMWQ!$LQ$2:$LQ$60=AU$3)*(GMWQ!$LP$2:$LP$60=AU$4)*(GMWQ!$LR$2:$LR$60=AU$1),0),$B263-1966)</f>
        <v>14894.51</v>
      </c>
    </row>
    <row r="264" spans="1:47" x14ac:dyDescent="0.35">
      <c r="B264" s="7">
        <f t="shared" si="5"/>
        <v>2230</v>
      </c>
      <c r="C264" s="7" cm="1">
        <f t="array" ref="C264">INDEX(GMWQ!$A$2:$LR$60,MATCH(1,(GMWQ!$LQ$2:$LQ$60=C$3)*(GMWQ!$LP$2:$LP$60=C$4)*(GMWQ!$LR$2:$LR$60=C$1),0),$B264-1966)</f>
        <v>699083.3</v>
      </c>
      <c r="D264" s="7" cm="1">
        <f t="array" ref="D264">INDEX(GMWQ!$A$2:$LR$60,MATCH(1,(GMWQ!$LQ$2:$LQ$60=D$3)*(GMWQ!$LP$2:$LP$60=D$4)*(GMWQ!$LR$2:$LR$60=D$1),0),$B264-1966)</f>
        <v>985.49270000000001</v>
      </c>
      <c r="E264" s="7" cm="1">
        <f t="array" ref="E264">INDEX(GMWQ!$A$2:$LR$60,MATCH(1,(GMWQ!$LQ$2:$LQ$60=E$3)*(GMWQ!$LP$2:$LP$60=E$4)*(GMWQ!$LR$2:$LR$60=E$1),0),$B264-1966)</f>
        <v>173.0539</v>
      </c>
      <c r="F264" s="7" cm="1">
        <f t="array" ref="F264">INDEX(GMWQ!$A$2:$LR$60,MATCH(1,(GMWQ!$LQ$2:$LQ$60=F$3)*(GMWQ!$LP$2:$LP$60=F$4)*(GMWQ!$LR$2:$LR$60=F$1),0),$B264-1966)</f>
        <v>451124.2</v>
      </c>
      <c r="G264" s="7" cm="1">
        <f t="array" ref="G264">INDEX(GMWQ!$A$2:$LR$60,MATCH(1,(GMWQ!$LQ$2:$LQ$60=G$3)*(GMWQ!$LP$2:$LP$60=G$4)*(GMWQ!$LR$2:$LR$60=G$1),0),$B264-1966)</f>
        <v>133076.70000000001</v>
      </c>
      <c r="H264" s="7" cm="1">
        <f t="array" ref="H264">INDEX(GMWQ!$A$2:$LR$60,MATCH(1,(GMWQ!$LQ$2:$LQ$60=H$3)*(GMWQ!$LP$2:$LP$60=H$4)*(GMWQ!$LR$2:$LR$60=H$1),0),$B264-1966)</f>
        <v>30338.1</v>
      </c>
      <c r="I264" s="7" cm="1">
        <f t="array" ref="I264">INDEX(GMWQ!$A$2:$LR$60,MATCH(1,(GMWQ!$LQ$2:$LQ$60=I$3)*(GMWQ!$LP$2:$LP$60=I$4)*(GMWQ!$LR$2:$LR$60=I$1),0),$B264-1966)</f>
        <v>157.6765</v>
      </c>
      <c r="J264" s="7" cm="1">
        <f t="array" ref="J264">INDEX(GMWQ!$A$2:$LR$60,MATCH(1,(GMWQ!$LQ$2:$LQ$60=J$3)*(GMWQ!$LP$2:$LP$60=J$4)*(GMWQ!$LR$2:$LR$60=J$1),0),$B264-1966)</f>
        <v>31479.1</v>
      </c>
      <c r="K264" s="7" cm="1">
        <f t="array" ref="K264">INDEX(GMWQ!$A$2:$LR$60,MATCH(1,(GMWQ!$LQ$2:$LQ$60=K$3)*(GMWQ!$LP$2:$LP$60=K$4)*(GMWQ!$LR$2:$LR$60=K$1),0),$B264-1966)</f>
        <v>2</v>
      </c>
      <c r="L264" s="7" cm="1">
        <f t="array" ref="L264">INDEX(GMWQ!$A$2:$LR$60,MATCH(1,(GMWQ!$LQ$2:$LQ$60=L$3)*(GMWQ!$LP$2:$LP$60=L$4)*(GMWQ!$LR$2:$LR$60=L$1),0),$B264-1966)</f>
        <v>3.75</v>
      </c>
      <c r="M264" s="7" cm="1">
        <f t="array" ref="M264">INDEX(GMWQ!$A$2:$LR$60,MATCH(1,(GMWQ!$LQ$2:$LQ$60=M$3)*(GMWQ!$LP$2:$LP$60=M$4)*(GMWQ!$LR$2:$LR$60=M$1),0),$B264-1966)</f>
        <v>220.2269</v>
      </c>
      <c r="N264" s="7" cm="1">
        <f t="array" ref="N264">INDEX(GMWQ!$A$2:$LR$60,MATCH(1,(GMWQ!$LQ$2:$LQ$60=N$3)*(GMWQ!$LP$2:$LP$60=N$4)*(GMWQ!$LR$2:$LR$60=N$1),0),$B264-1966)</f>
        <v>32895.94</v>
      </c>
      <c r="O264" s="7" cm="1">
        <f t="array" ref="O264">INDEX(GMWQ!$A$2:$LR$60,MATCH(1,(GMWQ!$LQ$2:$LQ$60=O$3)*(GMWQ!$LP$2:$LP$60=O$4)*(GMWQ!$LR$2:$LR$60=O$1),0),$B264-1966)</f>
        <v>19134.75</v>
      </c>
      <c r="P264" s="7" cm="1">
        <f t="array" ref="P264">INDEX(GMWQ!$A$2:$LR$60,MATCH(1,(GMWQ!$LQ$2:$LQ$60=P$3)*(GMWQ!$LP$2:$LP$60=P$4)*(GMWQ!$LR$2:$LR$60=P$1),0),$B264-1966)</f>
        <v>717305.3</v>
      </c>
      <c r="Q264" s="7" cm="1">
        <f t="array" ref="Q264">INDEX(GMWQ!$A$2:$LR$60,MATCH(1,(GMWQ!$LQ$2:$LQ$60=Q$3)*(GMWQ!$LP$2:$LP$60=Q$4)*(GMWQ!$LR$2:$LR$60=Q$1),0),$B264-1966)</f>
        <v>3.5</v>
      </c>
      <c r="R264" s="7" cm="1">
        <f t="array" ref="R264">INDEX(GMWQ!$A$2:$LR$60,MATCH(1,(GMWQ!$LQ$2:$LQ$60=R$3)*(GMWQ!$LP$2:$LP$60=R$4)*(GMWQ!$LR$2:$LR$60=R$1),0),$B264-1966)</f>
        <v>256377.1</v>
      </c>
      <c r="S264" s="7" cm="1">
        <f t="array" ref="S264">INDEX(GMWQ!$A$2:$LR$60,MATCH(1,(GMWQ!$LQ$2:$LQ$60=S$3)*(GMWQ!$LP$2:$LP$60=S$4)*(GMWQ!$LR$2:$LR$60=S$1),0),$B264-1966)</f>
        <v>382.45460000000003</v>
      </c>
      <c r="T264" s="7" cm="1">
        <f t="array" ref="T264">INDEX(GMWQ!$A$2:$LR$60,MATCH(1,(GMWQ!$LQ$2:$LQ$60=T$3)*(GMWQ!$LP$2:$LP$60=T$4)*(GMWQ!$LR$2:$LR$60=T$1),0),$B264-1966)</f>
        <v>130337.2</v>
      </c>
      <c r="U264" s="7" cm="1">
        <f t="array" ref="U264">INDEX(GMWQ!$A$2:$LR$60,MATCH(1,(GMWQ!$LQ$2:$LQ$60=U$3)*(GMWQ!$LP$2:$LP$60=U$4)*(GMWQ!$LR$2:$LR$60=U$1),0),$B264-1966)</f>
        <v>22053.98</v>
      </c>
      <c r="V264" s="7" cm="1">
        <f t="array" ref="V264">INDEX(GMWQ!$A$2:$LR$60,MATCH(1,(GMWQ!$LQ$2:$LQ$60=V$3)*(GMWQ!$LP$2:$LP$60=V$4)*(GMWQ!$LR$2:$LR$60=V$1),0),$B264-1966)</f>
        <v>1.374255E-3</v>
      </c>
      <c r="W264" s="7" cm="1">
        <f t="array" ref="W264">INDEX(GMWQ!$A$2:$LR$60,MATCH(1,(GMWQ!$LQ$2:$LQ$60=W$3)*(GMWQ!$LP$2:$LP$60=W$4)*(GMWQ!$LR$2:$LR$60=W$1),0),$B264-1966)</f>
        <v>9.2047080000000001</v>
      </c>
      <c r="X264" s="7" cm="1">
        <f t="array" ref="X264">INDEX(GMWQ!$A$2:$LR$60,MATCH(1,(GMWQ!$LQ$2:$LQ$60=X$3)*(GMWQ!$LP$2:$LP$60=X$4)*(GMWQ!$LR$2:$LR$60=X$1),0),$B264-1966)</f>
        <v>9564965</v>
      </c>
      <c r="Y264" s="7" cm="1">
        <f t="array" ref="Y264">INDEX(GMWQ!$A$2:$LR$60,MATCH(1,(GMWQ!$LQ$2:$LQ$60=Y$3)*(GMWQ!$LP$2:$LP$60=Y$4)*(GMWQ!$LR$2:$LR$60=Y$1),0),$B264-1966)</f>
        <v>158.61179999999999</v>
      </c>
      <c r="Z264" s="7" cm="1">
        <f t="array" ref="Z264">INDEX(GMWQ!$A$2:$LR$60,MATCH(1,(GMWQ!$LQ$2:$LQ$60=Z$3)*(GMWQ!$LP$2:$LP$60=Z$4)*(GMWQ!$LR$2:$LR$60=Z$1),0),$B264-1966)</f>
        <v>699082.7</v>
      </c>
      <c r="AA264" s="7" cm="1">
        <f t="array" ref="AA264">INDEX(GMWQ!$A$2:$LR$60,MATCH(1,(GMWQ!$LQ$2:$LQ$60=AA$3)*(GMWQ!$LP$2:$LP$60=AA$4)*(GMWQ!$LR$2:$LR$60=AA$1),0),$B264-1966)</f>
        <v>447238.3</v>
      </c>
      <c r="AB264" s="7" cm="1">
        <f t="array" ref="AB264">INDEX(GMWQ!$A$2:$LR$60,MATCH(1,(GMWQ!$LQ$2:$LQ$60=AB$3)*(GMWQ!$LP$2:$LP$60=AB$4)*(GMWQ!$LR$2:$LR$60=AB$1),0),$B264-1966)</f>
        <v>428717.5</v>
      </c>
      <c r="AC264" s="7" cm="1">
        <f t="array" ref="AC264">INDEX(GMWQ!$A$2:$LR$60,MATCH(1,(GMWQ!$LQ$2:$LQ$60=AC$3)*(GMWQ!$LP$2:$LP$60=AC$4)*(GMWQ!$LR$2:$LR$60=AC$1),0),$B264-1966)</f>
        <v>14281.36</v>
      </c>
      <c r="AD264" s="7" cm="1">
        <f t="array" ref="AD264">INDEX(GMWQ!$A$2:$LR$60,MATCH(1,(GMWQ!$LQ$2:$LQ$60=AD$3)*(GMWQ!$LP$2:$LP$60=AD$4)*(GMWQ!$LR$2:$LR$60=AD$1),0),$B264-1966)</f>
        <v>24679.17</v>
      </c>
      <c r="AE264" s="7" cm="1">
        <f t="array" ref="AE264">INDEX(GMWQ!$A$2:$LR$60,MATCH(1,(GMWQ!$LQ$2:$LQ$60=AE$3)*(GMWQ!$LP$2:$LP$60=AE$4)*(GMWQ!$LR$2:$LR$60=AE$1),0),$B264-1966)</f>
        <v>1108829</v>
      </c>
      <c r="AF264" s="20" cm="1">
        <f t="array" ref="AF264">INDEX(GMWQ!$A$2:$LR$60,MATCH(1,(GMWQ!$LQ$2:$LQ$60=AF$3)*(GMWQ!$LP$2:$LP$60=AF$4)*(GMWQ!$LR$2:$LR$60=AF$1),0),$B264-1966)</f>
        <v>2</v>
      </c>
      <c r="AG264" s="20" cm="1">
        <f t="array" ref="AG264">INDEX(GMWQ!$A$2:$LR$60,MATCH(1,(GMWQ!$LQ$2:$LQ$60=AG$3)*(GMWQ!$LP$2:$LP$60=AG$4)*(GMWQ!$LR$2:$LR$60=AG$1),0),$B264-1966)</f>
        <v>-13761.19</v>
      </c>
      <c r="AI264" s="23" cm="1">
        <f t="array" ref="AI264">INDEX(GMWQ!$A$2:$LR$60,MATCH(1,(GMWQ!$LQ$2:$LQ$60=AI$3)*(GMWQ!$LP$2:$LP$60=AI$4)*(GMWQ!$LR$2:$LR$60=AI$1),0),$B264-1966)</f>
        <v>717305.3</v>
      </c>
      <c r="AJ264" s="23" cm="1">
        <f t="array" ref="AJ264">INDEX(GMWQ!$A$2:$LR$60,MATCH(1,(GMWQ!$LQ$2:$LQ$60=AJ$3)*(GMWQ!$LP$2:$LP$60=AJ$4)*(GMWQ!$LR$2:$LR$60=AJ$1),0),$B264-1966)</f>
        <v>157.6765</v>
      </c>
      <c r="AK264" s="23" cm="1">
        <f t="array" ref="AK264">INDEX(GMWQ!$A$2:$LR$60,MATCH(1,(GMWQ!$LQ$2:$LQ$60=AK$3)*(GMWQ!$LP$2:$LP$60=AK$4)*(GMWQ!$LR$2:$LR$60=AK$1),0),$B264-1966)</f>
        <v>451124.2</v>
      </c>
      <c r="AL264" s="23" cm="1">
        <f t="array" ref="AL264">INDEX(GMWQ!$A$2:$LR$60,MATCH(1,(GMWQ!$LQ$2:$LQ$60=AL$3)*(GMWQ!$LP$2:$LP$60=AL$4)*(GMWQ!$LR$2:$LR$60=AL$1),0),$B264-1966)</f>
        <v>14330.91</v>
      </c>
      <c r="AM264" s="23" cm="1">
        <f t="array" ref="AM264">INDEX(GMWQ!$A$2:$LR$60,MATCH(1,(GMWQ!$LQ$2:$LQ$60=AM$3)*(GMWQ!$LP$2:$LP$60=AM$4)*(GMWQ!$LR$2:$LR$60=AM$1),0),$B264-1966)</f>
        <v>31479.1</v>
      </c>
      <c r="AN264" s="23" cm="1">
        <f t="array" ref="AN264">INDEX(GMWQ!$A$2:$LR$60,MATCH(1,(GMWQ!$LQ$2:$LQ$60=AN$3)*(GMWQ!$LP$2:$LP$60=AN$4)*(GMWQ!$LR$2:$LR$60=AN$1),0),$B264-1966)</f>
        <v>133076.70000000001</v>
      </c>
      <c r="AO264" s="23" cm="1">
        <f t="array" ref="AO264">INDEX(GMWQ!$A$2:$LR$60,MATCH(1,(GMWQ!$LQ$2:$LQ$60=AO$3)*(GMWQ!$LP$2:$LP$60=AO$4)*(GMWQ!$LR$2:$LR$60=AO$1),0),$B264-1966)</f>
        <v>30338.1</v>
      </c>
      <c r="AP264" s="23" cm="1">
        <f t="array" ref="AP264">INDEX(GMWQ!$A$2:$LR$60,MATCH(1,(GMWQ!$LQ$2:$LQ$60=AP$3)*(GMWQ!$LP$2:$LP$60=AP$4)*(GMWQ!$LR$2:$LR$60=AP$1),0),$B264-1966)</f>
        <v>-13761.19</v>
      </c>
      <c r="AQ264" s="23" cm="1">
        <f t="array" ref="AQ264">INDEX(GMWQ!$A$2:$LR$60,MATCH(1,(GMWQ!$LQ$2:$LQ$60=AQ$3)*(GMWQ!$LP$2:$LP$60=AQ$4)*(GMWQ!$LR$2:$LR$60=AQ$1),0),$B264-1966)</f>
        <v>156862.5</v>
      </c>
      <c r="AR264" s="23" cm="1">
        <f t="array" ref="AR264">INDEX(GMWQ!$A$2:$LR$60,MATCH(1,(GMWQ!$LQ$2:$LQ$60=AR$3)*(GMWQ!$LP$2:$LP$60=AR$4)*(GMWQ!$LR$2:$LR$60=AR$1),0),$B264-1966)</f>
        <v>662243</v>
      </c>
      <c r="AS264" s="23" cm="1">
        <f t="array" ref="AS264">INDEX(GMWQ!$A$2:$LR$60,MATCH(1,(GMWQ!$LQ$2:$LQ$60=AS$3)*(GMWQ!$LP$2:$LP$60=AS$4)*(GMWQ!$LR$2:$LR$60=AS$1),0),$B264-1966)</f>
        <v>22533.33</v>
      </c>
      <c r="AT264" s="23" cm="1">
        <f t="array" ref="AT264">INDEX(GMWQ!$A$2:$LR$60,MATCH(1,(GMWQ!$LQ$2:$LQ$60=AT$3)*(GMWQ!$LP$2:$LP$60=AT$4)*(GMWQ!$LR$2:$LR$60=AT$1),0),$B264-1966)</f>
        <v>420001.1</v>
      </c>
      <c r="AU264" s="23" cm="1">
        <f t="array" ref="AU264">INDEX(GMWQ!$A$2:$LR$60,MATCH(1,(GMWQ!$LQ$2:$LQ$60=AU$3)*(GMWQ!$LP$2:$LP$60=AU$4)*(GMWQ!$LR$2:$LR$60=AU$1),0),$B264-1966)</f>
        <v>14949.23</v>
      </c>
    </row>
    <row r="265" spans="1:47" x14ac:dyDescent="0.35">
      <c r="B265" s="7">
        <f t="shared" si="5"/>
        <v>2231</v>
      </c>
      <c r="C265" s="7" cm="1">
        <f t="array" ref="C265">INDEX(GMWQ!$A$2:$LR$60,MATCH(1,(GMWQ!$LQ$2:$LQ$60=C$3)*(GMWQ!$LP$2:$LP$60=C$4)*(GMWQ!$LR$2:$LR$60=C$1),0),$B265-1966)</f>
        <v>701690.1</v>
      </c>
      <c r="D265" s="7" cm="1">
        <f t="array" ref="D265">INDEX(GMWQ!$A$2:$LR$60,MATCH(1,(GMWQ!$LQ$2:$LQ$60=D$3)*(GMWQ!$LP$2:$LP$60=D$4)*(GMWQ!$LR$2:$LR$60=D$1),0),$B265-1966)</f>
        <v>993.08280000000002</v>
      </c>
      <c r="E265" s="7" cm="1">
        <f t="array" ref="E265">INDEX(GMWQ!$A$2:$LR$60,MATCH(1,(GMWQ!$LQ$2:$LQ$60=E$3)*(GMWQ!$LP$2:$LP$60=E$4)*(GMWQ!$LR$2:$LR$60=E$1),0),$B265-1966)</f>
        <v>173.99930000000001</v>
      </c>
      <c r="F265" s="7" cm="1">
        <f t="array" ref="F265">INDEX(GMWQ!$A$2:$LR$60,MATCH(1,(GMWQ!$LQ$2:$LQ$60=F$3)*(GMWQ!$LP$2:$LP$60=F$4)*(GMWQ!$LR$2:$LR$60=F$1),0),$B265-1966)</f>
        <v>455071.3</v>
      </c>
      <c r="G265" s="7" cm="1">
        <f t="array" ref="G265">INDEX(GMWQ!$A$2:$LR$60,MATCH(1,(GMWQ!$LQ$2:$LQ$60=G$3)*(GMWQ!$LP$2:$LP$60=G$4)*(GMWQ!$LR$2:$LR$60=G$1),0),$B265-1966)</f>
        <v>134401.60000000001</v>
      </c>
      <c r="H265" s="7" cm="1">
        <f t="array" ref="H265">INDEX(GMWQ!$A$2:$LR$60,MATCH(1,(GMWQ!$LQ$2:$LQ$60=H$3)*(GMWQ!$LP$2:$LP$60=H$4)*(GMWQ!$LR$2:$LR$60=H$1),0),$B265-1966)</f>
        <v>30603.54</v>
      </c>
      <c r="I265" s="7" cm="1">
        <f t="array" ref="I265">INDEX(GMWQ!$A$2:$LR$60,MATCH(1,(GMWQ!$LQ$2:$LQ$60=I$3)*(GMWQ!$LP$2:$LP$60=I$4)*(GMWQ!$LR$2:$LR$60=I$1),0),$B265-1966)</f>
        <v>158.4589</v>
      </c>
      <c r="J265" s="7" cm="1">
        <f t="array" ref="J265">INDEX(GMWQ!$A$2:$LR$60,MATCH(1,(GMWQ!$LQ$2:$LQ$60=J$3)*(GMWQ!$LP$2:$LP$60=J$4)*(GMWQ!$LR$2:$LR$60=J$1),0),$B265-1966)</f>
        <v>31511.84</v>
      </c>
      <c r="K265" s="7" cm="1">
        <f t="array" ref="K265">INDEX(GMWQ!$A$2:$LR$60,MATCH(1,(GMWQ!$LQ$2:$LQ$60=K$3)*(GMWQ!$LP$2:$LP$60=K$4)*(GMWQ!$LR$2:$LR$60=K$1),0),$B265-1966)</f>
        <v>2</v>
      </c>
      <c r="L265" s="7" cm="1">
        <f t="array" ref="L265">INDEX(GMWQ!$A$2:$LR$60,MATCH(1,(GMWQ!$LQ$2:$LQ$60=L$3)*(GMWQ!$LP$2:$LP$60=L$4)*(GMWQ!$LR$2:$LR$60=L$1),0),$B265-1966)</f>
        <v>3.7500079999999998</v>
      </c>
      <c r="M265" s="7" cm="1">
        <f t="array" ref="M265">INDEX(GMWQ!$A$2:$LR$60,MATCH(1,(GMWQ!$LQ$2:$LQ$60=M$3)*(GMWQ!$LP$2:$LP$60=M$4)*(GMWQ!$LR$2:$LR$60=M$1),0),$B265-1966)</f>
        <v>222.13229999999999</v>
      </c>
      <c r="N265" s="7" cm="1">
        <f t="array" ref="N265">INDEX(GMWQ!$A$2:$LR$60,MATCH(1,(GMWQ!$LQ$2:$LQ$60=N$3)*(GMWQ!$LP$2:$LP$60=N$4)*(GMWQ!$LR$2:$LR$60=N$1),0),$B265-1966)</f>
        <v>33214.82</v>
      </c>
      <c r="O265" s="7" cm="1">
        <f t="array" ref="O265">INDEX(GMWQ!$A$2:$LR$60,MATCH(1,(GMWQ!$LQ$2:$LQ$60=O$3)*(GMWQ!$LP$2:$LP$60=O$4)*(GMWQ!$LR$2:$LR$60=O$1),0),$B265-1966)</f>
        <v>19295.34</v>
      </c>
      <c r="P265" s="7" cm="1">
        <f t="array" ref="P265">INDEX(GMWQ!$A$2:$LR$60,MATCH(1,(GMWQ!$LQ$2:$LQ$60=P$3)*(GMWQ!$LP$2:$LP$60=P$4)*(GMWQ!$LR$2:$LR$60=P$1),0),$B265-1966)</f>
        <v>723515.1</v>
      </c>
      <c r="Q265" s="7" cm="1">
        <f t="array" ref="Q265">INDEX(GMWQ!$A$2:$LR$60,MATCH(1,(GMWQ!$LQ$2:$LQ$60=Q$3)*(GMWQ!$LP$2:$LP$60=Q$4)*(GMWQ!$LR$2:$LR$60=Q$1),0),$B265-1966)</f>
        <v>3.5</v>
      </c>
      <c r="R265" s="7" cm="1">
        <f t="array" ref="R265">INDEX(GMWQ!$A$2:$LR$60,MATCH(1,(GMWQ!$LQ$2:$LQ$60=R$3)*(GMWQ!$LP$2:$LP$60=R$4)*(GMWQ!$LR$2:$LR$60=R$1),0),$B265-1966)</f>
        <v>256390.1</v>
      </c>
      <c r="S265" s="7" cm="1">
        <f t="array" ref="S265">INDEX(GMWQ!$A$2:$LR$60,MATCH(1,(GMWQ!$LQ$2:$LQ$60=S$3)*(GMWQ!$LP$2:$LP$60=S$4)*(GMWQ!$LR$2:$LR$60=S$1),0),$B265-1966)</f>
        <v>382.47390000000001</v>
      </c>
      <c r="T265" s="7" cm="1">
        <f t="array" ref="T265">INDEX(GMWQ!$A$2:$LR$60,MATCH(1,(GMWQ!$LQ$2:$LQ$60=T$3)*(GMWQ!$LP$2:$LP$60=T$4)*(GMWQ!$LR$2:$LR$60=T$1),0),$B265-1966)</f>
        <v>130941.4</v>
      </c>
      <c r="U265" s="7" cm="1">
        <f t="array" ref="U265">INDEX(GMWQ!$A$2:$LR$60,MATCH(1,(GMWQ!$LQ$2:$LQ$60=U$3)*(GMWQ!$LP$2:$LP$60=U$4)*(GMWQ!$LR$2:$LR$60=U$1),0),$B265-1966)</f>
        <v>21800.92</v>
      </c>
      <c r="V265" s="7" cm="1">
        <f t="array" ref="V265">INDEX(GMWQ!$A$2:$LR$60,MATCH(1,(GMWQ!$LQ$2:$LQ$60=V$3)*(GMWQ!$LP$2:$LP$60=V$4)*(GMWQ!$LR$2:$LR$60=V$1),0),$B265-1966)</f>
        <v>1.373804E-3</v>
      </c>
      <c r="W265" s="7" cm="1">
        <f t="array" ref="W265">INDEX(GMWQ!$A$2:$LR$60,MATCH(1,(GMWQ!$LQ$2:$LQ$60=W$3)*(GMWQ!$LP$2:$LP$60=W$4)*(GMWQ!$LR$2:$LR$60=W$1),0),$B265-1966)</f>
        <v>9.2019540000000006</v>
      </c>
      <c r="X265" s="7" cm="1">
        <f t="array" ref="X265">INDEX(GMWQ!$A$2:$LR$60,MATCH(1,(GMWQ!$LQ$2:$LQ$60=X$3)*(GMWQ!$LP$2:$LP$60=X$4)*(GMWQ!$LR$2:$LR$60=X$1),0),$B265-1966)</f>
        <v>9664762</v>
      </c>
      <c r="Y265" s="7" cm="1">
        <f t="array" ref="Y265">INDEX(GMWQ!$A$2:$LR$60,MATCH(1,(GMWQ!$LQ$2:$LQ$60=Y$3)*(GMWQ!$LP$2:$LP$60=Y$4)*(GMWQ!$LR$2:$LR$60=Y$1),0),$B265-1966)</f>
        <v>159.47020000000001</v>
      </c>
      <c r="Z265" s="7" cm="1">
        <f t="array" ref="Z265">INDEX(GMWQ!$A$2:$LR$60,MATCH(1,(GMWQ!$LQ$2:$LQ$60=Z$3)*(GMWQ!$LP$2:$LP$60=Z$4)*(GMWQ!$LR$2:$LR$60=Z$1),0),$B265-1966)</f>
        <v>701689.6</v>
      </c>
      <c r="AA265" s="7" cm="1">
        <f t="array" ref="AA265">INDEX(GMWQ!$A$2:$LR$60,MATCH(1,(GMWQ!$LQ$2:$LQ$60=AA$3)*(GMWQ!$LP$2:$LP$60=AA$4)*(GMWQ!$LR$2:$LR$60=AA$1),0),$B265-1966)</f>
        <v>465655.5</v>
      </c>
      <c r="AB265" s="7" cm="1">
        <f t="array" ref="AB265">INDEX(GMWQ!$A$2:$LR$60,MATCH(1,(GMWQ!$LQ$2:$LQ$60=AB$3)*(GMWQ!$LP$2:$LP$60=AB$4)*(GMWQ!$LR$2:$LR$60=AB$1),0),$B265-1966)</f>
        <v>432454.7</v>
      </c>
      <c r="AC265" s="7" cm="1">
        <f t="array" ref="AC265">INDEX(GMWQ!$A$2:$LR$60,MATCH(1,(GMWQ!$LQ$2:$LQ$60=AC$3)*(GMWQ!$LP$2:$LP$60=AC$4)*(GMWQ!$LR$2:$LR$60=AC$1),0),$B265-1966)</f>
        <v>16259.98</v>
      </c>
      <c r="AD265" s="7" cm="1">
        <f t="array" ref="AD265">INDEX(GMWQ!$A$2:$LR$60,MATCH(1,(GMWQ!$LQ$2:$LQ$60=AD$3)*(GMWQ!$LP$2:$LP$60=AD$4)*(GMWQ!$LR$2:$LR$60=AD$1),0),$B265-1966)</f>
        <v>24679.17</v>
      </c>
      <c r="AE265" s="7" cm="1">
        <f t="array" ref="AE265">INDEX(GMWQ!$A$2:$LR$60,MATCH(1,(GMWQ!$LQ$2:$LQ$60=AE$3)*(GMWQ!$LP$2:$LP$60=AE$4)*(GMWQ!$LR$2:$LR$60=AE$1),0),$B265-1966)</f>
        <v>1118987</v>
      </c>
      <c r="AF265" s="20" cm="1">
        <f t="array" ref="AF265">INDEX(GMWQ!$A$2:$LR$60,MATCH(1,(GMWQ!$LQ$2:$LQ$60=AF$3)*(GMWQ!$LP$2:$LP$60=AF$4)*(GMWQ!$LR$2:$LR$60=AF$1),0),$B265-1966)</f>
        <v>2</v>
      </c>
      <c r="AG265" s="20" cm="1">
        <f t="array" ref="AG265">INDEX(GMWQ!$A$2:$LR$60,MATCH(1,(GMWQ!$LQ$2:$LQ$60=AG$3)*(GMWQ!$LP$2:$LP$60=AG$4)*(GMWQ!$LR$2:$LR$60=AG$1),0),$B265-1966)</f>
        <v>-13919.48</v>
      </c>
      <c r="AI265" s="23" cm="1">
        <f t="array" ref="AI265">INDEX(GMWQ!$A$2:$LR$60,MATCH(1,(GMWQ!$LQ$2:$LQ$60=AI$3)*(GMWQ!$LP$2:$LP$60=AI$4)*(GMWQ!$LR$2:$LR$60=AI$1),0),$B265-1966)</f>
        <v>723515.1</v>
      </c>
      <c r="AJ265" s="23" cm="1">
        <f t="array" ref="AJ265">INDEX(GMWQ!$A$2:$LR$60,MATCH(1,(GMWQ!$LQ$2:$LQ$60=AJ$3)*(GMWQ!$LP$2:$LP$60=AJ$4)*(GMWQ!$LR$2:$LR$60=AJ$1),0),$B265-1966)</f>
        <v>158.4589</v>
      </c>
      <c r="AK265" s="23" cm="1">
        <f t="array" ref="AK265">INDEX(GMWQ!$A$2:$LR$60,MATCH(1,(GMWQ!$LQ$2:$LQ$60=AK$3)*(GMWQ!$LP$2:$LP$60=AK$4)*(GMWQ!$LR$2:$LR$60=AK$1),0),$B265-1966)</f>
        <v>455071.3</v>
      </c>
      <c r="AL265" s="23" cm="1">
        <f t="array" ref="AL265">INDEX(GMWQ!$A$2:$LR$60,MATCH(1,(GMWQ!$LQ$2:$LQ$60=AL$3)*(GMWQ!$LP$2:$LP$60=AL$4)*(GMWQ!$LR$2:$LR$60=AL$1),0),$B265-1966)</f>
        <v>14441.28</v>
      </c>
      <c r="AM265" s="23" cm="1">
        <f t="array" ref="AM265">INDEX(GMWQ!$A$2:$LR$60,MATCH(1,(GMWQ!$LQ$2:$LQ$60=AM$3)*(GMWQ!$LP$2:$LP$60=AM$4)*(GMWQ!$LR$2:$LR$60=AM$1),0),$B265-1966)</f>
        <v>31511.84</v>
      </c>
      <c r="AN265" s="23" cm="1">
        <f t="array" ref="AN265">INDEX(GMWQ!$A$2:$LR$60,MATCH(1,(GMWQ!$LQ$2:$LQ$60=AN$3)*(GMWQ!$LP$2:$LP$60=AN$4)*(GMWQ!$LR$2:$LR$60=AN$1),0),$B265-1966)</f>
        <v>134401.60000000001</v>
      </c>
      <c r="AO265" s="23" cm="1">
        <f t="array" ref="AO265">INDEX(GMWQ!$A$2:$LR$60,MATCH(1,(GMWQ!$LQ$2:$LQ$60=AO$3)*(GMWQ!$LP$2:$LP$60=AO$4)*(GMWQ!$LR$2:$LR$60=AO$1),0),$B265-1966)</f>
        <v>30603.54</v>
      </c>
      <c r="AP265" s="23" cm="1">
        <f t="array" ref="AP265">INDEX(GMWQ!$A$2:$LR$60,MATCH(1,(GMWQ!$LQ$2:$LQ$60=AP$3)*(GMWQ!$LP$2:$LP$60=AP$4)*(GMWQ!$LR$2:$LR$60=AP$1),0),$B265-1966)</f>
        <v>-13919.48</v>
      </c>
      <c r="AQ265" s="23" cm="1">
        <f t="array" ref="AQ265">INDEX(GMWQ!$A$2:$LR$60,MATCH(1,(GMWQ!$LQ$2:$LQ$60=AQ$3)*(GMWQ!$LP$2:$LP$60=AQ$4)*(GMWQ!$LR$2:$LR$60=AQ$1),0),$B265-1966)</f>
        <v>158261</v>
      </c>
      <c r="AR265" s="23" cm="1">
        <f t="array" ref="AR265">INDEX(GMWQ!$A$2:$LR$60,MATCH(1,(GMWQ!$LQ$2:$LQ$60=AR$3)*(GMWQ!$LP$2:$LP$60=AR$4)*(GMWQ!$LR$2:$LR$60=AR$1),0),$B265-1966)</f>
        <v>667970.9</v>
      </c>
      <c r="AS265" s="23" cm="1">
        <f t="array" ref="AS265">INDEX(GMWQ!$A$2:$LR$60,MATCH(1,(GMWQ!$LQ$2:$LQ$60=AS$3)*(GMWQ!$LP$2:$LP$60=AS$4)*(GMWQ!$LR$2:$LR$60=AS$1),0),$B265-1966)</f>
        <v>22737.42</v>
      </c>
      <c r="AT265" s="23" cm="1">
        <f t="array" ref="AT265">INDEX(GMWQ!$A$2:$LR$60,MATCH(1,(GMWQ!$LQ$2:$LQ$60=AT$3)*(GMWQ!$LP$2:$LP$60=AT$4)*(GMWQ!$LR$2:$LR$60=AT$1),0),$B265-1966)</f>
        <v>421542.1</v>
      </c>
      <c r="AU265" s="23" cm="1">
        <f t="array" ref="AU265">INDEX(GMWQ!$A$2:$LR$60,MATCH(1,(GMWQ!$LQ$2:$LQ$60=AU$3)*(GMWQ!$LP$2:$LP$60=AU$4)*(GMWQ!$LR$2:$LR$60=AU$1),0),$B265-1966)</f>
        <v>15004.22</v>
      </c>
    </row>
    <row r="266" spans="1:47" x14ac:dyDescent="0.35">
      <c r="B266" s="7">
        <f t="shared" si="5"/>
        <v>2232</v>
      </c>
      <c r="C266" s="7" cm="1">
        <f t="array" ref="C266">INDEX(GMWQ!$A$2:$LR$60,MATCH(1,(GMWQ!$LQ$2:$LQ$60=C$3)*(GMWQ!$LP$2:$LP$60=C$4)*(GMWQ!$LR$2:$LR$60=C$1),0),$B266-1966)</f>
        <v>704310.4</v>
      </c>
      <c r="D266" s="7" cm="1">
        <f t="array" ref="D266">INDEX(GMWQ!$A$2:$LR$60,MATCH(1,(GMWQ!$LQ$2:$LQ$60=D$3)*(GMWQ!$LP$2:$LP$60=D$4)*(GMWQ!$LR$2:$LR$60=D$1),0),$B266-1966)</f>
        <v>1000.737</v>
      </c>
      <c r="E266" s="7" cm="1">
        <f t="array" ref="E266">INDEX(GMWQ!$A$2:$LR$60,MATCH(1,(GMWQ!$LQ$2:$LQ$60=E$3)*(GMWQ!$LP$2:$LP$60=E$4)*(GMWQ!$LR$2:$LR$60=E$1),0),$B266-1966)</f>
        <v>174.73419999999999</v>
      </c>
      <c r="F266" s="7" cm="1">
        <f t="array" ref="F266">INDEX(GMWQ!$A$2:$LR$60,MATCH(1,(GMWQ!$LQ$2:$LQ$60=F$3)*(GMWQ!$LP$2:$LP$60=F$4)*(GMWQ!$LR$2:$LR$60=F$1),0),$B266-1966)</f>
        <v>459055.6</v>
      </c>
      <c r="G266" s="7" cm="1">
        <f t="array" ref="G266">INDEX(GMWQ!$A$2:$LR$60,MATCH(1,(GMWQ!$LQ$2:$LQ$60=G$3)*(GMWQ!$LP$2:$LP$60=G$4)*(GMWQ!$LR$2:$LR$60=G$1),0),$B266-1966)</f>
        <v>135738.9</v>
      </c>
      <c r="H266" s="7" cm="1">
        <f t="array" ref="H266">INDEX(GMWQ!$A$2:$LR$60,MATCH(1,(GMWQ!$LQ$2:$LQ$60=H$3)*(GMWQ!$LP$2:$LP$60=H$4)*(GMWQ!$LR$2:$LR$60=H$1),0),$B266-1966)</f>
        <v>30871.49</v>
      </c>
      <c r="I266" s="7" cm="1">
        <f t="array" ref="I266">INDEX(GMWQ!$A$2:$LR$60,MATCH(1,(GMWQ!$LQ$2:$LQ$60=I$3)*(GMWQ!$LP$2:$LP$60=I$4)*(GMWQ!$LR$2:$LR$60=I$1),0),$B266-1966)</f>
        <v>159.24520000000001</v>
      </c>
      <c r="J266" s="7" cm="1">
        <f t="array" ref="J266">INDEX(GMWQ!$A$2:$LR$60,MATCH(1,(GMWQ!$LQ$2:$LQ$60=J$3)*(GMWQ!$LP$2:$LP$60=J$4)*(GMWQ!$LR$2:$LR$60=J$1),0),$B266-1966)</f>
        <v>31544.58</v>
      </c>
      <c r="K266" s="7" cm="1">
        <f t="array" ref="K266">INDEX(GMWQ!$A$2:$LR$60,MATCH(1,(GMWQ!$LQ$2:$LQ$60=K$3)*(GMWQ!$LP$2:$LP$60=K$4)*(GMWQ!$LR$2:$LR$60=K$1),0),$B266-1966)</f>
        <v>2</v>
      </c>
      <c r="L266" s="7" cm="1">
        <f t="array" ref="L266">INDEX(GMWQ!$A$2:$LR$60,MATCH(1,(GMWQ!$LQ$2:$LQ$60=L$3)*(GMWQ!$LP$2:$LP$60=L$4)*(GMWQ!$LR$2:$LR$60=L$1),0),$B266-1966)</f>
        <v>3.7499950000000002</v>
      </c>
      <c r="M266" s="7" cm="1">
        <f t="array" ref="M266">INDEX(GMWQ!$A$2:$LR$60,MATCH(1,(GMWQ!$LQ$2:$LQ$60=M$3)*(GMWQ!$LP$2:$LP$60=M$4)*(GMWQ!$LR$2:$LR$60=M$1),0),$B266-1966)</f>
        <v>224.05539999999999</v>
      </c>
      <c r="N266" s="7" cm="1">
        <f t="array" ref="N266">INDEX(GMWQ!$A$2:$LR$60,MATCH(1,(GMWQ!$LQ$2:$LQ$60=N$3)*(GMWQ!$LP$2:$LP$60=N$4)*(GMWQ!$LR$2:$LR$60=N$1),0),$B266-1966)</f>
        <v>33532.65</v>
      </c>
      <c r="O266" s="7" cm="1">
        <f t="array" ref="O266">INDEX(GMWQ!$A$2:$LR$60,MATCH(1,(GMWQ!$LQ$2:$LQ$60=O$3)*(GMWQ!$LP$2:$LP$60=O$4)*(GMWQ!$LR$2:$LR$60=O$1),0),$B266-1966)</f>
        <v>19460.939999999999</v>
      </c>
      <c r="P266" s="7" cm="1">
        <f t="array" ref="P266">INDEX(GMWQ!$A$2:$LR$60,MATCH(1,(GMWQ!$LQ$2:$LQ$60=P$3)*(GMWQ!$LP$2:$LP$60=P$4)*(GMWQ!$LR$2:$LR$60=P$1),0),$B266-1966)</f>
        <v>729782.7</v>
      </c>
      <c r="Q266" s="7" cm="1">
        <f t="array" ref="Q266">INDEX(GMWQ!$A$2:$LR$60,MATCH(1,(GMWQ!$LQ$2:$LQ$60=Q$3)*(GMWQ!$LP$2:$LP$60=Q$4)*(GMWQ!$LR$2:$LR$60=Q$1),0),$B266-1966)</f>
        <v>3.5</v>
      </c>
      <c r="R266" s="7" cm="1">
        <f t="array" ref="R266">INDEX(GMWQ!$A$2:$LR$60,MATCH(1,(GMWQ!$LQ$2:$LQ$60=R$3)*(GMWQ!$LP$2:$LP$60=R$4)*(GMWQ!$LR$2:$LR$60=R$1),0),$B266-1966)</f>
        <v>256400.6</v>
      </c>
      <c r="S266" s="7" cm="1">
        <f t="array" ref="S266">INDEX(GMWQ!$A$2:$LR$60,MATCH(1,(GMWQ!$LQ$2:$LQ$60=S$3)*(GMWQ!$LP$2:$LP$60=S$4)*(GMWQ!$LR$2:$LR$60=S$1),0),$B266-1966)</f>
        <v>382.4896</v>
      </c>
      <c r="T266" s="7" cm="1">
        <f t="array" ref="T266">INDEX(GMWQ!$A$2:$LR$60,MATCH(1,(GMWQ!$LQ$2:$LQ$60=T$3)*(GMWQ!$LP$2:$LP$60=T$4)*(GMWQ!$LR$2:$LR$60=T$1),0),$B266-1966)</f>
        <v>131536.70000000001</v>
      </c>
      <c r="U266" s="7" cm="1">
        <f t="array" ref="U266">INDEX(GMWQ!$A$2:$LR$60,MATCH(1,(GMWQ!$LQ$2:$LQ$60=U$3)*(GMWQ!$LP$2:$LP$60=U$4)*(GMWQ!$LR$2:$LR$60=U$1),0),$B266-1966)</f>
        <v>21548.9</v>
      </c>
      <c r="V266" s="7" cm="1">
        <f t="array" ref="V266">INDEX(GMWQ!$A$2:$LR$60,MATCH(1,(GMWQ!$LQ$2:$LQ$60=V$3)*(GMWQ!$LP$2:$LP$60=V$4)*(GMWQ!$LR$2:$LR$60=V$1),0),$B266-1966)</f>
        <v>1.3743609999999999E-3</v>
      </c>
      <c r="W266" s="7" cm="1">
        <f t="array" ref="W266">INDEX(GMWQ!$A$2:$LR$60,MATCH(1,(GMWQ!$LQ$2:$LQ$60=W$3)*(GMWQ!$LP$2:$LP$60=W$4)*(GMWQ!$LR$2:$LR$60=W$1),0),$B266-1966)</f>
        <v>9.1985449999999993</v>
      </c>
      <c r="X266" s="7" cm="1">
        <f t="array" ref="X266">INDEX(GMWQ!$A$2:$LR$60,MATCH(1,(GMWQ!$LQ$2:$LQ$60=X$3)*(GMWQ!$LP$2:$LP$60=X$4)*(GMWQ!$LR$2:$LR$60=X$1),0),$B266-1966)</f>
        <v>9742120</v>
      </c>
      <c r="Y266" s="7" cm="1">
        <f t="array" ref="Y266">INDEX(GMWQ!$A$2:$LR$60,MATCH(1,(GMWQ!$LQ$2:$LQ$60=Y$3)*(GMWQ!$LP$2:$LP$60=Y$4)*(GMWQ!$LR$2:$LR$60=Y$1),0),$B266-1966)</f>
        <v>160.33330000000001</v>
      </c>
      <c r="Z266" s="7" cm="1">
        <f t="array" ref="Z266">INDEX(GMWQ!$A$2:$LR$60,MATCH(1,(GMWQ!$LQ$2:$LQ$60=Z$3)*(GMWQ!$LP$2:$LP$60=Z$4)*(GMWQ!$LR$2:$LR$60=Z$1),0),$B266-1966)</f>
        <v>704309.7</v>
      </c>
      <c r="AA266" s="7" cm="1">
        <f t="array" ref="AA266">INDEX(GMWQ!$A$2:$LR$60,MATCH(1,(GMWQ!$LQ$2:$LQ$60=AA$3)*(GMWQ!$LP$2:$LP$60=AA$4)*(GMWQ!$LR$2:$LR$60=AA$1),0),$B266-1966)</f>
        <v>450667.6</v>
      </c>
      <c r="AB266" s="7" cm="1">
        <f t="array" ref="AB266">INDEX(GMWQ!$A$2:$LR$60,MATCH(1,(GMWQ!$LQ$2:$LQ$60=AB$3)*(GMWQ!$LP$2:$LP$60=AB$4)*(GMWQ!$LR$2:$LR$60=AB$1),0),$B266-1966)</f>
        <v>436095.4</v>
      </c>
      <c r="AC266" s="7" cm="1">
        <f t="array" ref="AC266">INDEX(GMWQ!$A$2:$LR$60,MATCH(1,(GMWQ!$LQ$2:$LQ$60=AC$3)*(GMWQ!$LP$2:$LP$60=AC$4)*(GMWQ!$LR$2:$LR$60=AC$1),0),$B266-1966)</f>
        <v>17349.2</v>
      </c>
      <c r="AD266" s="7" cm="1">
        <f t="array" ref="AD266">INDEX(GMWQ!$A$2:$LR$60,MATCH(1,(GMWQ!$LQ$2:$LQ$60=AD$3)*(GMWQ!$LP$2:$LP$60=AD$4)*(GMWQ!$LR$2:$LR$60=AD$1),0),$B266-1966)</f>
        <v>24679.17</v>
      </c>
      <c r="AE266" s="7" cm="1">
        <f t="array" ref="AE266">INDEX(GMWQ!$A$2:$LR$60,MATCH(1,(GMWQ!$LQ$2:$LQ$60=AE$3)*(GMWQ!$LP$2:$LP$60=AE$4)*(GMWQ!$LR$2:$LR$60=AE$1),0),$B266-1966)</f>
        <v>1129244</v>
      </c>
      <c r="AF266" s="20" cm="1">
        <f t="array" ref="AF266">INDEX(GMWQ!$A$2:$LR$60,MATCH(1,(GMWQ!$LQ$2:$LQ$60=AF$3)*(GMWQ!$LP$2:$LP$60=AF$4)*(GMWQ!$LR$2:$LR$60=AF$1),0),$B266-1966)</f>
        <v>2</v>
      </c>
      <c r="AG266" s="20" cm="1">
        <f t="array" ref="AG266">INDEX(GMWQ!$A$2:$LR$60,MATCH(1,(GMWQ!$LQ$2:$LQ$60=AG$3)*(GMWQ!$LP$2:$LP$60=AG$4)*(GMWQ!$LR$2:$LR$60=AG$1),0),$B266-1966)</f>
        <v>-14071.71</v>
      </c>
      <c r="AI266" s="23" cm="1">
        <f t="array" ref="AI266">INDEX(GMWQ!$A$2:$LR$60,MATCH(1,(GMWQ!$LQ$2:$LQ$60=AI$3)*(GMWQ!$LP$2:$LP$60=AI$4)*(GMWQ!$LR$2:$LR$60=AI$1),0),$B266-1966)</f>
        <v>729782.7</v>
      </c>
      <c r="AJ266" s="23" cm="1">
        <f t="array" ref="AJ266">INDEX(GMWQ!$A$2:$LR$60,MATCH(1,(GMWQ!$LQ$2:$LQ$60=AJ$3)*(GMWQ!$LP$2:$LP$60=AJ$4)*(GMWQ!$LR$2:$LR$60=AJ$1),0),$B266-1966)</f>
        <v>159.24520000000001</v>
      </c>
      <c r="AK266" s="23" cm="1">
        <f t="array" ref="AK266">INDEX(GMWQ!$A$2:$LR$60,MATCH(1,(GMWQ!$LQ$2:$LQ$60=AK$3)*(GMWQ!$LP$2:$LP$60=AK$4)*(GMWQ!$LR$2:$LR$60=AK$1),0),$B266-1966)</f>
        <v>459055.6</v>
      </c>
      <c r="AL266" s="23" cm="1">
        <f t="array" ref="AL266">INDEX(GMWQ!$A$2:$LR$60,MATCH(1,(GMWQ!$LQ$2:$LQ$60=AL$3)*(GMWQ!$LP$2:$LP$60=AL$4)*(GMWQ!$LR$2:$LR$60=AL$1),0),$B266-1966)</f>
        <v>14552.6</v>
      </c>
      <c r="AM266" s="23" cm="1">
        <f t="array" ref="AM266">INDEX(GMWQ!$A$2:$LR$60,MATCH(1,(GMWQ!$LQ$2:$LQ$60=AM$3)*(GMWQ!$LP$2:$LP$60=AM$4)*(GMWQ!$LR$2:$LR$60=AM$1),0),$B266-1966)</f>
        <v>31544.58</v>
      </c>
      <c r="AN266" s="23" cm="1">
        <f t="array" ref="AN266">INDEX(GMWQ!$A$2:$LR$60,MATCH(1,(GMWQ!$LQ$2:$LQ$60=AN$3)*(GMWQ!$LP$2:$LP$60=AN$4)*(GMWQ!$LR$2:$LR$60=AN$1),0),$B266-1966)</f>
        <v>135738.9</v>
      </c>
      <c r="AO266" s="23" cm="1">
        <f t="array" ref="AO266">INDEX(GMWQ!$A$2:$LR$60,MATCH(1,(GMWQ!$LQ$2:$LQ$60=AO$3)*(GMWQ!$LP$2:$LP$60=AO$4)*(GMWQ!$LR$2:$LR$60=AO$1),0),$B266-1966)</f>
        <v>30871.49</v>
      </c>
      <c r="AP266" s="23" cm="1">
        <f t="array" ref="AP266">INDEX(GMWQ!$A$2:$LR$60,MATCH(1,(GMWQ!$LQ$2:$LQ$60=AP$3)*(GMWQ!$LP$2:$LP$60=AP$4)*(GMWQ!$LR$2:$LR$60=AP$1),0),$B266-1966)</f>
        <v>-14071.71</v>
      </c>
      <c r="AQ266" s="23" cm="1">
        <f t="array" ref="AQ266">INDEX(GMWQ!$A$2:$LR$60,MATCH(1,(GMWQ!$LQ$2:$LQ$60=AQ$3)*(GMWQ!$LP$2:$LP$60=AQ$4)*(GMWQ!$LR$2:$LR$60=AQ$1),0),$B266-1966)</f>
        <v>159676.79999999999</v>
      </c>
      <c r="AR266" s="23" cm="1">
        <f t="array" ref="AR266">INDEX(GMWQ!$A$2:$LR$60,MATCH(1,(GMWQ!$LQ$2:$LQ$60=AR$3)*(GMWQ!$LP$2:$LP$60=AR$4)*(GMWQ!$LR$2:$LR$60=AR$1),0),$B266-1966)</f>
        <v>673752.1</v>
      </c>
      <c r="AS266" s="23" cm="1">
        <f t="array" ref="AS266">INDEX(GMWQ!$A$2:$LR$60,MATCH(1,(GMWQ!$LQ$2:$LQ$60=AS$3)*(GMWQ!$LP$2:$LP$60=AS$4)*(GMWQ!$LR$2:$LR$60=AS$1),0),$B266-1966)</f>
        <v>22943.43</v>
      </c>
      <c r="AT266" s="23" cm="1">
        <f t="array" ref="AT266">INDEX(GMWQ!$A$2:$LR$60,MATCH(1,(GMWQ!$LQ$2:$LQ$60=AT$3)*(GMWQ!$LP$2:$LP$60=AT$4)*(GMWQ!$LR$2:$LR$60=AT$1),0),$B266-1966)</f>
        <v>423091</v>
      </c>
      <c r="AU266" s="23" cm="1">
        <f t="array" ref="AU266">INDEX(GMWQ!$A$2:$LR$60,MATCH(1,(GMWQ!$LQ$2:$LQ$60=AU$3)*(GMWQ!$LP$2:$LP$60=AU$4)*(GMWQ!$LR$2:$LR$60=AU$1),0),$B266-1966)</f>
        <v>15059.5</v>
      </c>
    </row>
    <row r="267" spans="1:47" x14ac:dyDescent="0.35">
      <c r="A267" s="7">
        <v>2038</v>
      </c>
      <c r="B267" s="7">
        <f t="shared" si="5"/>
        <v>2233</v>
      </c>
      <c r="C267" s="7" cm="1">
        <f t="array" ref="C267">INDEX(GMWQ!$A$2:$LR$60,MATCH(1,(GMWQ!$LQ$2:$LQ$60=C$3)*(GMWQ!$LP$2:$LP$60=C$4)*(GMWQ!$LR$2:$LR$60=C$1),0),$B267-1966)</f>
        <v>707005.1</v>
      </c>
      <c r="D267" s="7" cm="1">
        <f t="array" ref="D267">INDEX(GMWQ!$A$2:$LR$60,MATCH(1,(GMWQ!$LQ$2:$LQ$60=D$3)*(GMWQ!$LP$2:$LP$60=D$4)*(GMWQ!$LR$2:$LR$60=D$1),0),$B267-1966)</f>
        <v>1008.48</v>
      </c>
      <c r="E267" s="7" cm="1">
        <f t="array" ref="E267">INDEX(GMWQ!$A$2:$LR$60,MATCH(1,(GMWQ!$LQ$2:$LQ$60=E$3)*(GMWQ!$LP$2:$LP$60=E$4)*(GMWQ!$LR$2:$LR$60=E$1),0),$B267-1966)</f>
        <v>174.91730000000001</v>
      </c>
      <c r="F267" s="7" cm="1">
        <f t="array" ref="F267">INDEX(GMWQ!$A$2:$LR$60,MATCH(1,(GMWQ!$LQ$2:$LQ$60=F$3)*(GMWQ!$LP$2:$LP$60=F$4)*(GMWQ!$LR$2:$LR$60=F$1),0),$B267-1966)</f>
        <v>463087.5</v>
      </c>
      <c r="G267" s="7" cm="1">
        <f t="array" ref="G267">INDEX(GMWQ!$A$2:$LR$60,MATCH(1,(GMWQ!$LQ$2:$LQ$60=G$3)*(GMWQ!$LP$2:$LP$60=G$4)*(GMWQ!$LR$2:$LR$60=G$1),0),$B267-1966)</f>
        <v>137088.5</v>
      </c>
      <c r="H267" s="7" cm="1">
        <f t="array" ref="H267">INDEX(GMWQ!$A$2:$LR$60,MATCH(1,(GMWQ!$LQ$2:$LQ$60=H$3)*(GMWQ!$LP$2:$LP$60=H$4)*(GMWQ!$LR$2:$LR$60=H$1),0),$B267-1966)</f>
        <v>31142.63</v>
      </c>
      <c r="I267" s="7" cm="1">
        <f t="array" ref="I267">INDEX(GMWQ!$A$2:$LR$60,MATCH(1,(GMWQ!$LQ$2:$LQ$60=I$3)*(GMWQ!$LP$2:$LP$60=I$4)*(GMWQ!$LR$2:$LR$60=I$1),0),$B267-1966)</f>
        <v>160.03540000000001</v>
      </c>
      <c r="J267" s="7" cm="1">
        <f t="array" ref="J267">INDEX(GMWQ!$A$2:$LR$60,MATCH(1,(GMWQ!$LQ$2:$LQ$60=J$3)*(GMWQ!$LP$2:$LP$60=J$4)*(GMWQ!$LR$2:$LR$60=J$1),0),$B267-1966)</f>
        <v>31577.32</v>
      </c>
      <c r="K267" s="7" cm="1">
        <f t="array" ref="K267">INDEX(GMWQ!$A$2:$LR$60,MATCH(1,(GMWQ!$LQ$2:$LQ$60=K$3)*(GMWQ!$LP$2:$LP$60=K$4)*(GMWQ!$LR$2:$LR$60=K$1),0),$B267-1966)</f>
        <v>2</v>
      </c>
      <c r="L267" s="7" cm="1">
        <f t="array" ref="L267">INDEX(GMWQ!$A$2:$LR$60,MATCH(1,(GMWQ!$LQ$2:$LQ$60=L$3)*(GMWQ!$LP$2:$LP$60=L$4)*(GMWQ!$LR$2:$LR$60=L$1),0),$B267-1966)</f>
        <v>3.7500019999999998</v>
      </c>
      <c r="M267" s="7" cm="1">
        <f t="array" ref="M267">INDEX(GMWQ!$A$2:$LR$60,MATCH(1,(GMWQ!$LQ$2:$LQ$60=M$3)*(GMWQ!$LP$2:$LP$60=M$4)*(GMWQ!$LR$2:$LR$60=M$1),0),$B267-1966)</f>
        <v>225.99629999999999</v>
      </c>
      <c r="N267" s="7" cm="1">
        <f t="array" ref="N267">INDEX(GMWQ!$A$2:$LR$60,MATCH(1,(GMWQ!$LQ$2:$LQ$60=N$3)*(GMWQ!$LP$2:$LP$60=N$4)*(GMWQ!$LR$2:$LR$60=N$1),0),$B267-1966)</f>
        <v>33849.440000000002</v>
      </c>
      <c r="O267" s="7" cm="1">
        <f t="array" ref="O267">INDEX(GMWQ!$A$2:$LR$60,MATCH(1,(GMWQ!$LQ$2:$LQ$60=O$3)*(GMWQ!$LP$2:$LP$60=O$4)*(GMWQ!$LR$2:$LR$60=O$1),0),$B267-1966)</f>
        <v>19631.41</v>
      </c>
      <c r="P267" s="7" cm="1">
        <f t="array" ref="P267">INDEX(GMWQ!$A$2:$LR$60,MATCH(1,(GMWQ!$LQ$2:$LQ$60=P$3)*(GMWQ!$LP$2:$LP$60=P$4)*(GMWQ!$LR$2:$LR$60=P$1),0),$B267-1966)</f>
        <v>736108.6</v>
      </c>
      <c r="Q267" s="7" cm="1">
        <f t="array" ref="Q267">INDEX(GMWQ!$A$2:$LR$60,MATCH(1,(GMWQ!$LQ$2:$LQ$60=Q$3)*(GMWQ!$LP$2:$LP$60=Q$4)*(GMWQ!$LR$2:$LR$60=Q$1),0),$B267-1966)</f>
        <v>3.5</v>
      </c>
      <c r="R267" s="7" cm="1">
        <f t="array" ref="R267">INDEX(GMWQ!$A$2:$LR$60,MATCH(1,(GMWQ!$LQ$2:$LQ$60=R$3)*(GMWQ!$LP$2:$LP$60=R$4)*(GMWQ!$LR$2:$LR$60=R$1),0),$B267-1966)</f>
        <v>256409.2</v>
      </c>
      <c r="S267" s="7" cm="1">
        <f t="array" ref="S267">INDEX(GMWQ!$A$2:$LR$60,MATCH(1,(GMWQ!$LQ$2:$LQ$60=S$3)*(GMWQ!$LP$2:$LP$60=S$4)*(GMWQ!$LR$2:$LR$60=S$1),0),$B267-1966)</f>
        <v>382.50240000000002</v>
      </c>
      <c r="T267" s="7" cm="1">
        <f t="array" ref="T267">INDEX(GMWQ!$A$2:$LR$60,MATCH(1,(GMWQ!$LQ$2:$LQ$60=T$3)*(GMWQ!$LP$2:$LP$60=T$4)*(GMWQ!$LR$2:$LR$60=T$1),0),$B267-1966)</f>
        <v>132124</v>
      </c>
      <c r="U267" s="7" cm="1">
        <f t="array" ref="U267">INDEX(GMWQ!$A$2:$LR$60,MATCH(1,(GMWQ!$LQ$2:$LQ$60=U$3)*(GMWQ!$LP$2:$LP$60=U$4)*(GMWQ!$LR$2:$LR$60=U$1),0),$B267-1966)</f>
        <v>21298.959999999999</v>
      </c>
      <c r="V267" s="7" cm="1">
        <f t="array" ref="V267">INDEX(GMWQ!$A$2:$LR$60,MATCH(1,(GMWQ!$LQ$2:$LQ$60=V$3)*(GMWQ!$LP$2:$LP$60=V$4)*(GMWQ!$LR$2:$LR$60=V$1),0),$B267-1966)</f>
        <v>1.3740810000000001E-3</v>
      </c>
      <c r="W267" s="7" cm="1">
        <f t="array" ref="W267">INDEX(GMWQ!$A$2:$LR$60,MATCH(1,(GMWQ!$LQ$2:$LQ$60=W$3)*(GMWQ!$LP$2:$LP$60=W$4)*(GMWQ!$LR$2:$LR$60=W$1),0),$B267-1966)</f>
        <v>9.1531090000000006</v>
      </c>
      <c r="X267" s="7" cm="1">
        <f t="array" ref="X267">INDEX(GMWQ!$A$2:$LR$60,MATCH(1,(GMWQ!$LQ$2:$LQ$60=X$3)*(GMWQ!$LP$2:$LP$60=X$4)*(GMWQ!$LR$2:$LR$60=X$1),0),$B267-1966)</f>
        <v>9882016</v>
      </c>
      <c r="Y267" s="7" cm="1">
        <f t="array" ref="Y267">INDEX(GMWQ!$A$2:$LR$60,MATCH(1,(GMWQ!$LQ$2:$LQ$60=Y$3)*(GMWQ!$LP$2:$LP$60=Y$4)*(GMWQ!$LR$2:$LR$60=Y$1),0),$B267-1966)</f>
        <v>161.20230000000001</v>
      </c>
      <c r="Z267" s="7" cm="1">
        <f t="array" ref="Z267">INDEX(GMWQ!$A$2:$LR$60,MATCH(1,(GMWQ!$LQ$2:$LQ$60=Z$3)*(GMWQ!$LP$2:$LP$60=Z$4)*(GMWQ!$LR$2:$LR$60=Z$1),0),$B267-1966)</f>
        <v>707004.3</v>
      </c>
      <c r="AA267" s="7" cm="1">
        <f t="array" ref="AA267">INDEX(GMWQ!$A$2:$LR$60,MATCH(1,(GMWQ!$LQ$2:$LQ$60=AA$3)*(GMWQ!$LP$2:$LP$60=AA$4)*(GMWQ!$LR$2:$LR$60=AA$1),0),$B267-1966)</f>
        <v>513258.3</v>
      </c>
      <c r="AB267" s="7" cm="1">
        <f t="array" ref="AB267">INDEX(GMWQ!$A$2:$LR$60,MATCH(1,(GMWQ!$LQ$2:$LQ$60=AB$3)*(GMWQ!$LP$2:$LP$60=AB$4)*(GMWQ!$LR$2:$LR$60=AB$1),0),$B267-1966)</f>
        <v>434874.2</v>
      </c>
      <c r="AC267" s="7" cm="1">
        <f t="array" ref="AC267">INDEX(GMWQ!$A$2:$LR$60,MATCH(1,(GMWQ!$LQ$2:$LQ$60=AC$3)*(GMWQ!$LP$2:$LP$60=AC$4)*(GMWQ!$LR$2:$LR$60=AC$1),0),$B267-1966)</f>
        <v>30795.96</v>
      </c>
      <c r="AD267" s="7" cm="1">
        <f t="array" ref="AD267">INDEX(GMWQ!$A$2:$LR$60,MATCH(1,(GMWQ!$LQ$2:$LQ$60=AD$3)*(GMWQ!$LP$2:$LP$60=AD$4)*(GMWQ!$LR$2:$LR$60=AD$1),0),$B267-1966)</f>
        <v>24679.17</v>
      </c>
      <c r="AE267" s="7" cm="1">
        <f t="array" ref="AE267">INDEX(GMWQ!$A$2:$LR$60,MATCH(1,(GMWQ!$LQ$2:$LQ$60=AE$3)*(GMWQ!$LP$2:$LP$60=AE$4)*(GMWQ!$LR$2:$LR$60=AE$1),0),$B267-1966)</f>
        <v>1139709</v>
      </c>
      <c r="AF267" s="20" cm="1">
        <f t="array" ref="AF267">INDEX(GMWQ!$A$2:$LR$60,MATCH(1,(GMWQ!$LQ$2:$LQ$60=AF$3)*(GMWQ!$LP$2:$LP$60=AF$4)*(GMWQ!$LR$2:$LR$60=AF$1),0),$B267-1966)</f>
        <v>2</v>
      </c>
      <c r="AG267" s="20" cm="1">
        <f t="array" ref="AG267">INDEX(GMWQ!$A$2:$LR$60,MATCH(1,(GMWQ!$LQ$2:$LQ$60=AG$3)*(GMWQ!$LP$2:$LP$60=AG$4)*(GMWQ!$LR$2:$LR$60=AG$1),0),$B267-1966)</f>
        <v>-14218.03</v>
      </c>
      <c r="AI267" s="23" cm="1">
        <f t="array" ref="AI267">INDEX(GMWQ!$A$2:$LR$60,MATCH(1,(GMWQ!$LQ$2:$LQ$60=AI$3)*(GMWQ!$LP$2:$LP$60=AI$4)*(GMWQ!$LR$2:$LR$60=AI$1),0),$B267-1966)</f>
        <v>736108.6</v>
      </c>
      <c r="AJ267" s="23" cm="1">
        <f t="array" ref="AJ267">INDEX(GMWQ!$A$2:$LR$60,MATCH(1,(GMWQ!$LQ$2:$LQ$60=AJ$3)*(GMWQ!$LP$2:$LP$60=AJ$4)*(GMWQ!$LR$2:$LR$60=AJ$1),0),$B267-1966)</f>
        <v>160.03540000000001</v>
      </c>
      <c r="AK267" s="23" cm="1">
        <f t="array" ref="AK267">INDEX(GMWQ!$A$2:$LR$60,MATCH(1,(GMWQ!$LQ$2:$LQ$60=AK$3)*(GMWQ!$LP$2:$LP$60=AK$4)*(GMWQ!$LR$2:$LR$60=AK$1),0),$B267-1966)</f>
        <v>463087.5</v>
      </c>
      <c r="AL267" s="23" cm="1">
        <f t="array" ref="AL267">INDEX(GMWQ!$A$2:$LR$60,MATCH(1,(GMWQ!$LQ$2:$LQ$60=AL$3)*(GMWQ!$LP$2:$LP$60=AL$4)*(GMWQ!$LR$2:$LR$60=AL$1),0),$B267-1966)</f>
        <v>14665.19</v>
      </c>
      <c r="AM267" s="23" cm="1">
        <f t="array" ref="AM267">INDEX(GMWQ!$A$2:$LR$60,MATCH(1,(GMWQ!$LQ$2:$LQ$60=AM$3)*(GMWQ!$LP$2:$LP$60=AM$4)*(GMWQ!$LR$2:$LR$60=AM$1),0),$B267-1966)</f>
        <v>31577.32</v>
      </c>
      <c r="AN267" s="23" cm="1">
        <f t="array" ref="AN267">INDEX(GMWQ!$A$2:$LR$60,MATCH(1,(GMWQ!$LQ$2:$LQ$60=AN$3)*(GMWQ!$LP$2:$LP$60=AN$4)*(GMWQ!$LR$2:$LR$60=AN$1),0),$B267-1966)</f>
        <v>137088.5</v>
      </c>
      <c r="AO267" s="23" cm="1">
        <f t="array" ref="AO267">INDEX(GMWQ!$A$2:$LR$60,MATCH(1,(GMWQ!$LQ$2:$LQ$60=AO$3)*(GMWQ!$LP$2:$LP$60=AO$4)*(GMWQ!$LR$2:$LR$60=AO$1),0),$B267-1966)</f>
        <v>31142.63</v>
      </c>
      <c r="AP267" s="23" cm="1">
        <f t="array" ref="AP267">INDEX(GMWQ!$A$2:$LR$60,MATCH(1,(GMWQ!$LQ$2:$LQ$60=AP$3)*(GMWQ!$LP$2:$LP$60=AP$4)*(GMWQ!$LR$2:$LR$60=AP$1),0),$B267-1966)</f>
        <v>-14218.03</v>
      </c>
      <c r="AQ267" s="23" cm="1">
        <f t="array" ref="AQ267">INDEX(GMWQ!$A$2:$LR$60,MATCH(1,(GMWQ!$LQ$2:$LQ$60=AQ$3)*(GMWQ!$LP$2:$LP$60=AQ$4)*(GMWQ!$LR$2:$LR$60=AQ$1),0),$B267-1966)</f>
        <v>161117.6</v>
      </c>
      <c r="AR267" s="23" cm="1">
        <f t="array" ref="AR267">INDEX(GMWQ!$A$2:$LR$60,MATCH(1,(GMWQ!$LQ$2:$LQ$60=AR$3)*(GMWQ!$LP$2:$LP$60=AR$4)*(GMWQ!$LR$2:$LR$60=AR$1),0),$B267-1966)</f>
        <v>679645.2</v>
      </c>
      <c r="AS267" s="23" cm="1">
        <f t="array" ref="AS267">INDEX(GMWQ!$A$2:$LR$60,MATCH(1,(GMWQ!$LQ$2:$LQ$60=AS$3)*(GMWQ!$LP$2:$LP$60=AS$4)*(GMWQ!$LR$2:$LR$60=AS$1),0),$B267-1966)</f>
        <v>23153.45</v>
      </c>
      <c r="AT267" s="23" cm="1">
        <f t="array" ref="AT267">INDEX(GMWQ!$A$2:$LR$60,MATCH(1,(GMWQ!$LQ$2:$LQ$60=AT$3)*(GMWQ!$LP$2:$LP$60=AT$4)*(GMWQ!$LR$2:$LR$60=AT$1),0),$B267-1966)</f>
        <v>424684.3</v>
      </c>
      <c r="AU267" s="23" cm="1">
        <f t="array" ref="AU267">INDEX(GMWQ!$A$2:$LR$60,MATCH(1,(GMWQ!$LQ$2:$LQ$60=AU$3)*(GMWQ!$LP$2:$LP$60=AU$4)*(GMWQ!$LR$2:$LR$60=AU$1),0),$B267-1966)</f>
        <v>15116.37</v>
      </c>
    </row>
    <row r="268" spans="1:47" x14ac:dyDescent="0.35">
      <c r="B268" s="7">
        <f t="shared" si="5"/>
        <v>2234</v>
      </c>
      <c r="C268" s="7" cm="1">
        <f t="array" ref="C268">INDEX(GMWQ!$A$2:$LR$60,MATCH(1,(GMWQ!$LQ$2:$LQ$60=C$3)*(GMWQ!$LP$2:$LP$60=C$4)*(GMWQ!$LR$2:$LR$60=C$1),0),$B268-1966)</f>
        <v>709714.1</v>
      </c>
      <c r="D268" s="7" cm="1">
        <f t="array" ref="D268">INDEX(GMWQ!$A$2:$LR$60,MATCH(1,(GMWQ!$LQ$2:$LQ$60=D$3)*(GMWQ!$LP$2:$LP$60=D$4)*(GMWQ!$LR$2:$LR$60=D$1),0),$B268-1966)</f>
        <v>1016.31</v>
      </c>
      <c r="E268" s="7" cm="1">
        <f t="array" ref="E268">INDEX(GMWQ!$A$2:$LR$60,MATCH(1,(GMWQ!$LQ$2:$LQ$60=E$3)*(GMWQ!$LP$2:$LP$60=E$4)*(GMWQ!$LR$2:$LR$60=E$1),0),$B268-1966)</f>
        <v>176.51490000000001</v>
      </c>
      <c r="F268" s="7" cm="1">
        <f t="array" ref="F268">INDEX(GMWQ!$A$2:$LR$60,MATCH(1,(GMWQ!$LQ$2:$LQ$60=F$3)*(GMWQ!$LP$2:$LP$60=F$4)*(GMWQ!$LR$2:$LR$60=F$1),0),$B268-1966)</f>
        <v>467167.1</v>
      </c>
      <c r="G268" s="7" cm="1">
        <f t="array" ref="G268">INDEX(GMWQ!$A$2:$LR$60,MATCH(1,(GMWQ!$LQ$2:$LQ$60=G$3)*(GMWQ!$LP$2:$LP$60=G$4)*(GMWQ!$LR$2:$LR$60=G$1),0),$B268-1966)</f>
        <v>137952</v>
      </c>
      <c r="H268" s="7" cm="1">
        <f t="array" ref="H268">INDEX(GMWQ!$A$2:$LR$60,MATCH(1,(GMWQ!$LQ$2:$LQ$60=H$3)*(GMWQ!$LP$2:$LP$60=H$4)*(GMWQ!$LR$2:$LR$60=H$1),0),$B268-1966)</f>
        <v>31416.98</v>
      </c>
      <c r="I268" s="7" cm="1">
        <f t="array" ref="I268">INDEX(GMWQ!$A$2:$LR$60,MATCH(1,(GMWQ!$LQ$2:$LQ$60=I$3)*(GMWQ!$LP$2:$LP$60=I$4)*(GMWQ!$LR$2:$LR$60=I$1),0),$B268-1966)</f>
        <v>160.8295</v>
      </c>
      <c r="J268" s="7" cm="1">
        <f t="array" ref="J268">INDEX(GMWQ!$A$2:$LR$60,MATCH(1,(GMWQ!$LQ$2:$LQ$60=J$3)*(GMWQ!$LP$2:$LP$60=J$4)*(GMWQ!$LR$2:$LR$60=J$1),0),$B268-1966)</f>
        <v>31610.07</v>
      </c>
      <c r="K268" s="7" cm="1">
        <f t="array" ref="K268">INDEX(GMWQ!$A$2:$LR$60,MATCH(1,(GMWQ!$LQ$2:$LQ$60=K$3)*(GMWQ!$LP$2:$LP$60=K$4)*(GMWQ!$LR$2:$LR$60=K$1),0),$B268-1966)</f>
        <v>2</v>
      </c>
      <c r="L268" s="7" cm="1">
        <f t="array" ref="L268">INDEX(GMWQ!$A$2:$LR$60,MATCH(1,(GMWQ!$LQ$2:$LQ$60=L$3)*(GMWQ!$LP$2:$LP$60=L$4)*(GMWQ!$LR$2:$LR$60=L$1),0),$B268-1966)</f>
        <v>3.7499889999999998</v>
      </c>
      <c r="M268" s="7" cm="1">
        <f t="array" ref="M268">INDEX(GMWQ!$A$2:$LR$60,MATCH(1,(GMWQ!$LQ$2:$LQ$60=M$3)*(GMWQ!$LP$2:$LP$60=M$4)*(GMWQ!$LR$2:$LR$60=M$1),0),$B268-1966)</f>
        <v>227.95529999999999</v>
      </c>
      <c r="N268" s="7" cm="1">
        <f t="array" ref="N268">INDEX(GMWQ!$A$2:$LR$60,MATCH(1,(GMWQ!$LQ$2:$LQ$60=N$3)*(GMWQ!$LP$2:$LP$60=N$4)*(GMWQ!$LR$2:$LR$60=N$1),0),$B268-1966)</f>
        <v>34165.25</v>
      </c>
      <c r="O268" s="7" cm="1">
        <f t="array" ref="O268">INDEX(GMWQ!$A$2:$LR$60,MATCH(1,(GMWQ!$LQ$2:$LQ$60=O$3)*(GMWQ!$LP$2:$LP$60=O$4)*(GMWQ!$LR$2:$LR$60=O$1),0),$B268-1966)</f>
        <v>19806.990000000002</v>
      </c>
      <c r="P268" s="7" cm="1">
        <f t="array" ref="P268">INDEX(GMWQ!$A$2:$LR$60,MATCH(1,(GMWQ!$LQ$2:$LQ$60=P$3)*(GMWQ!$LP$2:$LP$60=P$4)*(GMWQ!$LR$2:$LR$60=P$1),0),$B268-1966)</f>
        <v>742556.9</v>
      </c>
      <c r="Q268" s="7" cm="1">
        <f t="array" ref="Q268">INDEX(GMWQ!$A$2:$LR$60,MATCH(1,(GMWQ!$LQ$2:$LQ$60=Q$3)*(GMWQ!$LP$2:$LP$60=Q$4)*(GMWQ!$LR$2:$LR$60=Q$1),0),$B268-1966)</f>
        <v>3.5</v>
      </c>
      <c r="R268" s="7" cm="1">
        <f t="array" ref="R268">INDEX(GMWQ!$A$2:$LR$60,MATCH(1,(GMWQ!$LQ$2:$LQ$60=R$3)*(GMWQ!$LP$2:$LP$60=R$4)*(GMWQ!$LR$2:$LR$60=R$1),0),$B268-1966)</f>
        <v>256420.7</v>
      </c>
      <c r="S268" s="7" cm="1">
        <f t="array" ref="S268">INDEX(GMWQ!$A$2:$LR$60,MATCH(1,(GMWQ!$LQ$2:$LQ$60=S$3)*(GMWQ!$LP$2:$LP$60=S$4)*(GMWQ!$LR$2:$LR$60=S$1),0),$B268-1966)</f>
        <v>382.51949999999999</v>
      </c>
      <c r="T268" s="7" cm="1">
        <f t="array" ref="T268">INDEX(GMWQ!$A$2:$LR$60,MATCH(1,(GMWQ!$LQ$2:$LQ$60=T$3)*(GMWQ!$LP$2:$LP$60=T$4)*(GMWQ!$LR$2:$LR$60=T$1),0),$B268-1966)</f>
        <v>132705.4</v>
      </c>
      <c r="U268" s="7" cm="1">
        <f t="array" ref="U268">INDEX(GMWQ!$A$2:$LR$60,MATCH(1,(GMWQ!$LQ$2:$LQ$60=U$3)*(GMWQ!$LP$2:$LP$60=U$4)*(GMWQ!$LR$2:$LR$60=U$1),0),$B268-1966)</f>
        <v>21052.95</v>
      </c>
      <c r="V268" s="7" cm="1">
        <f t="array" ref="V268">INDEX(GMWQ!$A$2:$LR$60,MATCH(1,(GMWQ!$LQ$2:$LQ$60=V$3)*(GMWQ!$LP$2:$LP$60=V$4)*(GMWQ!$LR$2:$LR$60=V$1),0),$B268-1966)</f>
        <v>1.373446E-3</v>
      </c>
      <c r="W268" s="7" cm="1">
        <f t="array" ref="W268">INDEX(GMWQ!$A$2:$LR$60,MATCH(1,(GMWQ!$LQ$2:$LQ$60=W$3)*(GMWQ!$LP$2:$LP$60=W$4)*(GMWQ!$LR$2:$LR$60=W$1),0),$B268-1966)</f>
        <v>9.2269500000000004</v>
      </c>
      <c r="X268" s="7" cm="1">
        <f t="array" ref="X268">INDEX(GMWQ!$A$2:$LR$60,MATCH(1,(GMWQ!$LQ$2:$LQ$60=X$3)*(GMWQ!$LP$2:$LP$60=X$4)*(GMWQ!$LR$2:$LR$60=X$1),0),$B268-1966)</f>
        <v>10000360</v>
      </c>
      <c r="Y268" s="7" cm="1">
        <f t="array" ref="Y268">INDEX(GMWQ!$A$2:$LR$60,MATCH(1,(GMWQ!$LQ$2:$LQ$60=Y$3)*(GMWQ!$LP$2:$LP$60=Y$4)*(GMWQ!$LR$2:$LR$60=Y$1),0),$B268-1966)</f>
        <v>162.07599999999999</v>
      </c>
      <c r="Z268" s="7" cm="1">
        <f t="array" ref="Z268">INDEX(GMWQ!$A$2:$LR$60,MATCH(1,(GMWQ!$LQ$2:$LQ$60=Z$3)*(GMWQ!$LP$2:$LP$60=Z$4)*(GMWQ!$LR$2:$LR$60=Z$1),0),$B268-1966)</f>
        <v>709713.2</v>
      </c>
      <c r="AA268" s="7" cm="1">
        <f t="array" ref="AA268">INDEX(GMWQ!$A$2:$LR$60,MATCH(1,(GMWQ!$LQ$2:$LQ$60=AA$3)*(GMWQ!$LP$2:$LP$60=AA$4)*(GMWQ!$LR$2:$LR$60=AA$1),0),$B268-1966)</f>
        <v>464434.1</v>
      </c>
      <c r="AB268" s="7" cm="1">
        <f t="array" ref="AB268">INDEX(GMWQ!$A$2:$LR$60,MATCH(1,(GMWQ!$LQ$2:$LQ$60=AB$3)*(GMWQ!$LP$2:$LP$60=AB$4)*(GMWQ!$LR$2:$LR$60=AB$1),0),$B268-1966)</f>
        <v>444895.1</v>
      </c>
      <c r="AC268" s="7" cm="1">
        <f t="array" ref="AC268">INDEX(GMWQ!$A$2:$LR$60,MATCH(1,(GMWQ!$LQ$2:$LQ$60=AC$3)*(GMWQ!$LP$2:$LP$60=AC$4)*(GMWQ!$LR$2:$LR$60=AC$1),0),$B268-1966)</f>
        <v>14815.18</v>
      </c>
      <c r="AD268" s="7" cm="1">
        <f t="array" ref="AD268">INDEX(GMWQ!$A$2:$LR$60,MATCH(1,(GMWQ!$LQ$2:$LQ$60=AD$3)*(GMWQ!$LP$2:$LP$60=AD$4)*(GMWQ!$LR$2:$LR$60=AD$1),0),$B268-1966)</f>
        <v>25601.67</v>
      </c>
      <c r="AE268" s="7" cm="1">
        <f t="array" ref="AE268">INDEX(GMWQ!$A$2:$LR$60,MATCH(1,(GMWQ!$LQ$2:$LQ$60=AE$3)*(GMWQ!$LP$2:$LP$60=AE$4)*(GMWQ!$LR$2:$LR$60=AE$1),0),$B268-1966)</f>
        <v>1150276</v>
      </c>
      <c r="AF268" s="20" cm="1">
        <f t="array" ref="AF268">INDEX(GMWQ!$A$2:$LR$60,MATCH(1,(GMWQ!$LQ$2:$LQ$60=AF$3)*(GMWQ!$LP$2:$LP$60=AF$4)*(GMWQ!$LR$2:$LR$60=AF$1),0),$B268-1966)</f>
        <v>2</v>
      </c>
      <c r="AG268" s="20" cm="1">
        <f t="array" ref="AG268">INDEX(GMWQ!$A$2:$LR$60,MATCH(1,(GMWQ!$LQ$2:$LQ$60=AG$3)*(GMWQ!$LP$2:$LP$60=AG$4)*(GMWQ!$LR$2:$LR$60=AG$1),0),$B268-1966)</f>
        <v>-14358.26</v>
      </c>
      <c r="AI268" s="23" cm="1">
        <f t="array" ref="AI268">INDEX(GMWQ!$A$2:$LR$60,MATCH(1,(GMWQ!$LQ$2:$LQ$60=AI$3)*(GMWQ!$LP$2:$LP$60=AI$4)*(GMWQ!$LR$2:$LR$60=AI$1),0),$B268-1966)</f>
        <v>742556.9</v>
      </c>
      <c r="AJ268" s="23" cm="1">
        <f t="array" ref="AJ268">INDEX(GMWQ!$A$2:$LR$60,MATCH(1,(GMWQ!$LQ$2:$LQ$60=AJ$3)*(GMWQ!$LP$2:$LP$60=AJ$4)*(GMWQ!$LR$2:$LR$60=AJ$1),0),$B268-1966)</f>
        <v>160.8295</v>
      </c>
      <c r="AK268" s="23" cm="1">
        <f t="array" ref="AK268">INDEX(GMWQ!$A$2:$LR$60,MATCH(1,(GMWQ!$LQ$2:$LQ$60=AK$3)*(GMWQ!$LP$2:$LP$60=AK$4)*(GMWQ!$LR$2:$LR$60=AK$1),0),$B268-1966)</f>
        <v>467167.1</v>
      </c>
      <c r="AL268" s="23" cm="1">
        <f t="array" ref="AL268">INDEX(GMWQ!$A$2:$LR$60,MATCH(1,(GMWQ!$LQ$2:$LQ$60=AL$3)*(GMWQ!$LP$2:$LP$60=AL$4)*(GMWQ!$LR$2:$LR$60=AL$1),0),$B268-1966)</f>
        <v>14779.06</v>
      </c>
      <c r="AM268" s="23" cm="1">
        <f t="array" ref="AM268">INDEX(GMWQ!$A$2:$LR$60,MATCH(1,(GMWQ!$LQ$2:$LQ$60=AM$3)*(GMWQ!$LP$2:$LP$60=AM$4)*(GMWQ!$LR$2:$LR$60=AM$1),0),$B268-1966)</f>
        <v>31610.07</v>
      </c>
      <c r="AN268" s="23" cm="1">
        <f t="array" ref="AN268">INDEX(GMWQ!$A$2:$LR$60,MATCH(1,(GMWQ!$LQ$2:$LQ$60=AN$3)*(GMWQ!$LP$2:$LP$60=AN$4)*(GMWQ!$LR$2:$LR$60=AN$1),0),$B268-1966)</f>
        <v>137952</v>
      </c>
      <c r="AO268" s="23" cm="1">
        <f t="array" ref="AO268">INDEX(GMWQ!$A$2:$LR$60,MATCH(1,(GMWQ!$LQ$2:$LQ$60=AO$3)*(GMWQ!$LP$2:$LP$60=AO$4)*(GMWQ!$LR$2:$LR$60=AO$1),0),$B268-1966)</f>
        <v>31416.98</v>
      </c>
      <c r="AP268" s="23" cm="1">
        <f t="array" ref="AP268">INDEX(GMWQ!$A$2:$LR$60,MATCH(1,(GMWQ!$LQ$2:$LQ$60=AP$3)*(GMWQ!$LP$2:$LP$60=AP$4)*(GMWQ!$LR$2:$LR$60=AP$1),0),$B268-1966)</f>
        <v>-14358.26</v>
      </c>
      <c r="AQ268" s="23" cm="1">
        <f t="array" ref="AQ268">INDEX(GMWQ!$A$2:$LR$60,MATCH(1,(GMWQ!$LQ$2:$LQ$60=AQ$3)*(GMWQ!$LP$2:$LP$60=AQ$4)*(GMWQ!$LR$2:$LR$60=AQ$1),0),$B268-1966)</f>
        <v>162581.70000000001</v>
      </c>
      <c r="AR268" s="23" cm="1">
        <f t="array" ref="AR268">INDEX(GMWQ!$A$2:$LR$60,MATCH(1,(GMWQ!$LQ$2:$LQ$60=AR$3)*(GMWQ!$LP$2:$LP$60=AR$4)*(GMWQ!$LR$2:$LR$60=AR$1),0),$B268-1966)</f>
        <v>685593.8</v>
      </c>
      <c r="AS268" s="23" cm="1">
        <f t="array" ref="AS268">INDEX(GMWQ!$A$2:$LR$60,MATCH(1,(GMWQ!$LQ$2:$LQ$60=AS$3)*(GMWQ!$LP$2:$LP$60=AS$4)*(GMWQ!$LR$2:$LR$60=AS$1),0),$B268-1966)</f>
        <v>23365.42</v>
      </c>
      <c r="AT268" s="23" cm="1">
        <f t="array" ref="AT268">INDEX(GMWQ!$A$2:$LR$60,MATCH(1,(GMWQ!$LQ$2:$LQ$60=AT$3)*(GMWQ!$LP$2:$LP$60=AT$4)*(GMWQ!$LR$2:$LR$60=AT$1),0),$B268-1966)</f>
        <v>426286.1</v>
      </c>
      <c r="AU268" s="23" cm="1">
        <f t="array" ref="AU268">INDEX(GMWQ!$A$2:$LR$60,MATCH(1,(GMWQ!$LQ$2:$LQ$60=AU$3)*(GMWQ!$LP$2:$LP$60=AU$4)*(GMWQ!$LR$2:$LR$60=AU$1),0),$B268-1966)</f>
        <v>15173.53</v>
      </c>
    </row>
    <row r="269" spans="1:47" x14ac:dyDescent="0.35">
      <c r="B269" s="7">
        <f t="shared" si="5"/>
        <v>2235</v>
      </c>
      <c r="C269" s="7" cm="1">
        <f t="array" ref="C269">INDEX(GMWQ!$A$2:$LR$60,MATCH(1,(GMWQ!$LQ$2:$LQ$60=C$3)*(GMWQ!$LP$2:$LP$60=C$4)*(GMWQ!$LR$2:$LR$60=C$1),0),$B269-1966)</f>
        <v>712437.9</v>
      </c>
      <c r="D269" s="7" cm="1">
        <f t="array" ref="D269">INDEX(GMWQ!$A$2:$LR$60,MATCH(1,(GMWQ!$LQ$2:$LQ$60=D$3)*(GMWQ!$LP$2:$LP$60=D$4)*(GMWQ!$LR$2:$LR$60=D$1),0),$B269-1966)</f>
        <v>1024.231</v>
      </c>
      <c r="E269" s="7" cm="1">
        <f t="array" ref="E269">INDEX(GMWQ!$A$2:$LR$60,MATCH(1,(GMWQ!$LQ$2:$LQ$60=E$3)*(GMWQ!$LP$2:$LP$60=E$4)*(GMWQ!$LR$2:$LR$60=E$1),0),$B269-1966)</f>
        <v>177.47919999999999</v>
      </c>
      <c r="F269" s="7" cm="1">
        <f t="array" ref="F269">INDEX(GMWQ!$A$2:$LR$60,MATCH(1,(GMWQ!$LQ$2:$LQ$60=F$3)*(GMWQ!$LP$2:$LP$60=F$4)*(GMWQ!$LR$2:$LR$60=F$1),0),$B269-1966)</f>
        <v>471295.6</v>
      </c>
      <c r="G269" s="7" cm="1">
        <f t="array" ref="G269">INDEX(GMWQ!$A$2:$LR$60,MATCH(1,(GMWQ!$LQ$2:$LQ$60=G$3)*(GMWQ!$LP$2:$LP$60=G$4)*(GMWQ!$LR$2:$LR$60=G$1),0),$B269-1966)</f>
        <v>139341.5</v>
      </c>
      <c r="H269" s="7" cm="1">
        <f t="array" ref="H269">INDEX(GMWQ!$A$2:$LR$60,MATCH(1,(GMWQ!$LQ$2:$LQ$60=H$3)*(GMWQ!$LP$2:$LP$60=H$4)*(GMWQ!$LR$2:$LR$60=H$1),0),$B269-1966)</f>
        <v>31694.63</v>
      </c>
      <c r="I269" s="7" cm="1">
        <f t="array" ref="I269">INDEX(GMWQ!$A$2:$LR$60,MATCH(1,(GMWQ!$LQ$2:$LQ$60=I$3)*(GMWQ!$LP$2:$LP$60=I$4)*(GMWQ!$LR$2:$LR$60=I$1),0),$B269-1966)</f>
        <v>161.6275</v>
      </c>
      <c r="J269" s="7" cm="1">
        <f t="array" ref="J269">INDEX(GMWQ!$A$2:$LR$60,MATCH(1,(GMWQ!$LQ$2:$LQ$60=J$3)*(GMWQ!$LP$2:$LP$60=J$4)*(GMWQ!$LR$2:$LR$60=J$1),0),$B269-1966)</f>
        <v>31642.81</v>
      </c>
      <c r="K269" s="7" cm="1">
        <f t="array" ref="K269">INDEX(GMWQ!$A$2:$LR$60,MATCH(1,(GMWQ!$LQ$2:$LQ$60=K$3)*(GMWQ!$LP$2:$LP$60=K$4)*(GMWQ!$LR$2:$LR$60=K$1),0),$B269-1966)</f>
        <v>2</v>
      </c>
      <c r="L269" s="7" cm="1">
        <f t="array" ref="L269">INDEX(GMWQ!$A$2:$LR$60,MATCH(1,(GMWQ!$LQ$2:$LQ$60=L$3)*(GMWQ!$LP$2:$LP$60=L$4)*(GMWQ!$LR$2:$LR$60=L$1),0),$B269-1966)</f>
        <v>3.7499760000000002</v>
      </c>
      <c r="M269" s="7" cm="1">
        <f t="array" ref="M269">INDEX(GMWQ!$A$2:$LR$60,MATCH(1,(GMWQ!$LQ$2:$LQ$60=M$3)*(GMWQ!$LP$2:$LP$60=M$4)*(GMWQ!$LR$2:$LR$60=M$1),0),$B269-1966)</f>
        <v>229.9522</v>
      </c>
      <c r="N269" s="7" cm="1">
        <f t="array" ref="N269">INDEX(GMWQ!$A$2:$LR$60,MATCH(1,(GMWQ!$LQ$2:$LQ$60=N$3)*(GMWQ!$LP$2:$LP$60=N$4)*(GMWQ!$LR$2:$LR$60=N$1),0),$B269-1966)</f>
        <v>34480.21</v>
      </c>
      <c r="O269" s="7" cm="1">
        <f t="array" ref="O269">INDEX(GMWQ!$A$2:$LR$60,MATCH(1,(GMWQ!$LQ$2:$LQ$60=O$3)*(GMWQ!$LP$2:$LP$60=O$4)*(GMWQ!$LR$2:$LR$60=O$1),0),$B269-1966)</f>
        <v>19987.46</v>
      </c>
      <c r="P269" s="7" cm="1">
        <f t="array" ref="P269">INDEX(GMWQ!$A$2:$LR$60,MATCH(1,(GMWQ!$LQ$2:$LQ$60=P$3)*(GMWQ!$LP$2:$LP$60=P$4)*(GMWQ!$LR$2:$LR$60=P$1),0),$B269-1966)</f>
        <v>749066.1</v>
      </c>
      <c r="Q269" s="7" cm="1">
        <f t="array" ref="Q269">INDEX(GMWQ!$A$2:$LR$60,MATCH(1,(GMWQ!$LQ$2:$LQ$60=Q$3)*(GMWQ!$LP$2:$LP$60=Q$4)*(GMWQ!$LR$2:$LR$60=Q$1),0),$B269-1966)</f>
        <v>3.5</v>
      </c>
      <c r="R269" s="7" cm="1">
        <f t="array" ref="R269">INDEX(GMWQ!$A$2:$LR$60,MATCH(1,(GMWQ!$LQ$2:$LQ$60=R$3)*(GMWQ!$LP$2:$LP$60=R$4)*(GMWQ!$LR$2:$LR$60=R$1),0),$B269-1966)</f>
        <v>256433.1</v>
      </c>
      <c r="S269" s="7" cm="1">
        <f t="array" ref="S269">INDEX(GMWQ!$A$2:$LR$60,MATCH(1,(GMWQ!$LQ$2:$LQ$60=S$3)*(GMWQ!$LP$2:$LP$60=S$4)*(GMWQ!$LR$2:$LR$60=S$1),0),$B269-1966)</f>
        <v>382.53809999999999</v>
      </c>
      <c r="T269" s="7" cm="1">
        <f t="array" ref="T269">INDEX(GMWQ!$A$2:$LR$60,MATCH(1,(GMWQ!$LQ$2:$LQ$60=T$3)*(GMWQ!$LP$2:$LP$60=T$4)*(GMWQ!$LR$2:$LR$60=T$1),0),$B269-1966)</f>
        <v>133286.1</v>
      </c>
      <c r="U269" s="7" cm="1">
        <f t="array" ref="U269">INDEX(GMWQ!$A$2:$LR$60,MATCH(1,(GMWQ!$LQ$2:$LQ$60=U$3)*(GMWQ!$LP$2:$LP$60=U$4)*(GMWQ!$LR$2:$LR$60=U$1),0),$B269-1966)</f>
        <v>20815.900000000001</v>
      </c>
      <c r="V269" s="7" cm="1">
        <f t="array" ref="V269">INDEX(GMWQ!$A$2:$LR$60,MATCH(1,(GMWQ!$LQ$2:$LQ$60=V$3)*(GMWQ!$LP$2:$LP$60=V$4)*(GMWQ!$LR$2:$LR$60=V$1),0),$B269-1966)</f>
        <v>1.372383E-3</v>
      </c>
      <c r="W269" s="7" cm="1">
        <f t="array" ref="W269">INDEX(GMWQ!$A$2:$LR$60,MATCH(1,(GMWQ!$LQ$2:$LQ$60=W$3)*(GMWQ!$LP$2:$LP$60=W$4)*(GMWQ!$LR$2:$LR$60=W$1),0),$B269-1966)</f>
        <v>9.2231179999999995</v>
      </c>
      <c r="X269" s="7" cm="1">
        <f t="array" ref="X269">INDEX(GMWQ!$A$2:$LR$60,MATCH(1,(GMWQ!$LQ$2:$LQ$60=X$3)*(GMWQ!$LP$2:$LP$60=X$4)*(GMWQ!$LR$2:$LR$60=X$1),0),$B269-1966)</f>
        <v>10104800</v>
      </c>
      <c r="Y269" s="7" cm="1">
        <f t="array" ref="Y269">INDEX(GMWQ!$A$2:$LR$60,MATCH(1,(GMWQ!$LQ$2:$LQ$60=Y$3)*(GMWQ!$LP$2:$LP$60=Y$4)*(GMWQ!$LR$2:$LR$60=Y$1),0),$B269-1966)</f>
        <v>162.95439999999999</v>
      </c>
      <c r="Z269" s="7" cm="1">
        <f t="array" ref="Z269">INDEX(GMWQ!$A$2:$LR$60,MATCH(1,(GMWQ!$LQ$2:$LQ$60=Z$3)*(GMWQ!$LP$2:$LP$60=Z$4)*(GMWQ!$LR$2:$LR$60=Z$1),0),$B269-1966)</f>
        <v>712438.6</v>
      </c>
      <c r="AA269" s="7" cm="1">
        <f t="array" ref="AA269">INDEX(GMWQ!$A$2:$LR$60,MATCH(1,(GMWQ!$LQ$2:$LQ$60=AA$3)*(GMWQ!$LP$2:$LP$60=AA$4)*(GMWQ!$LR$2:$LR$60=AA$1),0),$B269-1966)</f>
        <v>483181.5</v>
      </c>
      <c r="AB269" s="7" cm="1">
        <f t="array" ref="AB269">INDEX(GMWQ!$A$2:$LR$60,MATCH(1,(GMWQ!$LQ$2:$LQ$60=AB$3)*(GMWQ!$LP$2:$LP$60=AB$4)*(GMWQ!$LR$2:$LR$60=AB$1),0),$B269-1966)</f>
        <v>448824.9</v>
      </c>
      <c r="AC269" s="7" cm="1">
        <f t="array" ref="AC269">INDEX(GMWQ!$A$2:$LR$60,MATCH(1,(GMWQ!$LQ$2:$LQ$60=AC$3)*(GMWQ!$LP$2:$LP$60=AC$4)*(GMWQ!$LR$2:$LR$60=AC$1),0),$B269-1966)</f>
        <v>16869.73</v>
      </c>
      <c r="AD269" s="7" cm="1">
        <f t="array" ref="AD269">INDEX(GMWQ!$A$2:$LR$60,MATCH(1,(GMWQ!$LQ$2:$LQ$60=AD$3)*(GMWQ!$LP$2:$LP$60=AD$4)*(GMWQ!$LR$2:$LR$60=AD$1),0),$B269-1966)</f>
        <v>25601.67</v>
      </c>
      <c r="AE269" s="7" cm="1">
        <f t="array" ref="AE269">INDEX(GMWQ!$A$2:$LR$60,MATCH(1,(GMWQ!$LQ$2:$LQ$60=AE$3)*(GMWQ!$LP$2:$LP$60=AE$4)*(GMWQ!$LR$2:$LR$60=AE$1),0),$B269-1966)</f>
        <v>1160949</v>
      </c>
      <c r="AF269" s="20" cm="1">
        <f t="array" ref="AF269">INDEX(GMWQ!$A$2:$LR$60,MATCH(1,(GMWQ!$LQ$2:$LQ$60=AF$3)*(GMWQ!$LP$2:$LP$60=AF$4)*(GMWQ!$LR$2:$LR$60=AF$1),0),$B269-1966)</f>
        <v>2</v>
      </c>
      <c r="AG269" s="20" cm="1">
        <f t="array" ref="AG269">INDEX(GMWQ!$A$2:$LR$60,MATCH(1,(GMWQ!$LQ$2:$LQ$60=AG$3)*(GMWQ!$LP$2:$LP$60=AG$4)*(GMWQ!$LR$2:$LR$60=AG$1),0),$B269-1966)</f>
        <v>-14492.75</v>
      </c>
      <c r="AI269" s="23" cm="1">
        <f t="array" ref="AI269">INDEX(GMWQ!$A$2:$LR$60,MATCH(1,(GMWQ!$LQ$2:$LQ$60=AI$3)*(GMWQ!$LP$2:$LP$60=AI$4)*(GMWQ!$LR$2:$LR$60=AI$1),0),$B269-1966)</f>
        <v>749066.1</v>
      </c>
      <c r="AJ269" s="23" cm="1">
        <f t="array" ref="AJ269">INDEX(GMWQ!$A$2:$LR$60,MATCH(1,(GMWQ!$LQ$2:$LQ$60=AJ$3)*(GMWQ!$LP$2:$LP$60=AJ$4)*(GMWQ!$LR$2:$LR$60=AJ$1),0),$B269-1966)</f>
        <v>161.6275</v>
      </c>
      <c r="AK269" s="23" cm="1">
        <f t="array" ref="AK269">INDEX(GMWQ!$A$2:$LR$60,MATCH(1,(GMWQ!$LQ$2:$LQ$60=AK$3)*(GMWQ!$LP$2:$LP$60=AK$4)*(GMWQ!$LR$2:$LR$60=AK$1),0),$B269-1966)</f>
        <v>471295.6</v>
      </c>
      <c r="AL269" s="23" cm="1">
        <f t="array" ref="AL269">INDEX(GMWQ!$A$2:$LR$60,MATCH(1,(GMWQ!$LQ$2:$LQ$60=AL$3)*(GMWQ!$LP$2:$LP$60=AL$4)*(GMWQ!$LR$2:$LR$60=AL$1),0),$B269-1966)</f>
        <v>14894.24</v>
      </c>
      <c r="AM269" s="23" cm="1">
        <f t="array" ref="AM269">INDEX(GMWQ!$A$2:$LR$60,MATCH(1,(GMWQ!$LQ$2:$LQ$60=AM$3)*(GMWQ!$LP$2:$LP$60=AM$4)*(GMWQ!$LR$2:$LR$60=AM$1),0),$B269-1966)</f>
        <v>31642.81</v>
      </c>
      <c r="AN269" s="23" cm="1">
        <f t="array" ref="AN269">INDEX(GMWQ!$A$2:$LR$60,MATCH(1,(GMWQ!$LQ$2:$LQ$60=AN$3)*(GMWQ!$LP$2:$LP$60=AN$4)*(GMWQ!$LR$2:$LR$60=AN$1),0),$B269-1966)</f>
        <v>139341.5</v>
      </c>
      <c r="AO269" s="23" cm="1">
        <f t="array" ref="AO269">INDEX(GMWQ!$A$2:$LR$60,MATCH(1,(GMWQ!$LQ$2:$LQ$60=AO$3)*(GMWQ!$LP$2:$LP$60=AO$4)*(GMWQ!$LR$2:$LR$60=AO$1),0),$B269-1966)</f>
        <v>31694.63</v>
      </c>
      <c r="AP269" s="23" cm="1">
        <f t="array" ref="AP269">INDEX(GMWQ!$A$2:$LR$60,MATCH(1,(GMWQ!$LQ$2:$LQ$60=AP$3)*(GMWQ!$LP$2:$LP$60=AP$4)*(GMWQ!$LR$2:$LR$60=AP$1),0),$B269-1966)</f>
        <v>-14492.75</v>
      </c>
      <c r="AQ269" s="23" cm="1">
        <f t="array" ref="AQ269">INDEX(GMWQ!$A$2:$LR$60,MATCH(1,(GMWQ!$LQ$2:$LQ$60=AQ$3)*(GMWQ!$LP$2:$LP$60=AQ$4)*(GMWQ!$LR$2:$LR$60=AQ$1),0),$B269-1966)</f>
        <v>163995.29999999999</v>
      </c>
      <c r="AR269" s="23" cm="1">
        <f t="array" ref="AR269">INDEX(GMWQ!$A$2:$LR$60,MATCH(1,(GMWQ!$LQ$2:$LQ$60=AR$3)*(GMWQ!$LP$2:$LP$60=AR$4)*(GMWQ!$LR$2:$LR$60=AR$1),0),$B269-1966)</f>
        <v>691598.4</v>
      </c>
      <c r="AS269" s="23" cm="1">
        <f t="array" ref="AS269">INDEX(GMWQ!$A$2:$LR$60,MATCH(1,(GMWQ!$LQ$2:$LQ$60=AS$3)*(GMWQ!$LP$2:$LP$60=AS$4)*(GMWQ!$LR$2:$LR$60=AS$1),0),$B269-1966)</f>
        <v>23579.4</v>
      </c>
      <c r="AT269" s="23" cm="1">
        <f t="array" ref="AT269">INDEX(GMWQ!$A$2:$LR$60,MATCH(1,(GMWQ!$LQ$2:$LQ$60=AT$3)*(GMWQ!$LP$2:$LP$60=AT$4)*(GMWQ!$LR$2:$LR$60=AT$1),0),$B269-1966)</f>
        <v>427896.5</v>
      </c>
      <c r="AU269" s="23" cm="1">
        <f t="array" ref="AU269">INDEX(GMWQ!$A$2:$LR$60,MATCH(1,(GMWQ!$LQ$2:$LQ$60=AU$3)*(GMWQ!$LP$2:$LP$60=AU$4)*(GMWQ!$LR$2:$LR$60=AU$1),0),$B269-1966)</f>
        <v>15231.01</v>
      </c>
    </row>
    <row r="270" spans="1:47" x14ac:dyDescent="0.35">
      <c r="B270" s="7">
        <f t="shared" si="5"/>
        <v>2236</v>
      </c>
      <c r="C270" s="7" cm="1">
        <f t="array" ref="C270">INDEX(GMWQ!$A$2:$LR$60,MATCH(1,(GMWQ!$LQ$2:$LQ$60=C$3)*(GMWQ!$LP$2:$LP$60=C$4)*(GMWQ!$LR$2:$LR$60=C$1),0),$B270-1966)</f>
        <v>715176.8</v>
      </c>
      <c r="D270" s="7" cm="1">
        <f t="array" ref="D270">INDEX(GMWQ!$A$2:$LR$60,MATCH(1,(GMWQ!$LQ$2:$LQ$60=D$3)*(GMWQ!$LP$2:$LP$60=D$4)*(GMWQ!$LR$2:$LR$60=D$1),0),$B270-1966)</f>
        <v>1032.2429999999999</v>
      </c>
      <c r="E270" s="7" cm="1">
        <f t="array" ref="E270">INDEX(GMWQ!$A$2:$LR$60,MATCH(1,(GMWQ!$LQ$2:$LQ$60=E$3)*(GMWQ!$LP$2:$LP$60=E$4)*(GMWQ!$LR$2:$LR$60=E$1),0),$B270-1966)</f>
        <v>178.22890000000001</v>
      </c>
      <c r="F270" s="7" cm="1">
        <f t="array" ref="F270">INDEX(GMWQ!$A$2:$LR$60,MATCH(1,(GMWQ!$LQ$2:$LQ$60=F$3)*(GMWQ!$LP$2:$LP$60=F$4)*(GMWQ!$LR$2:$LR$60=F$1),0),$B270-1966)</f>
        <v>475473.8</v>
      </c>
      <c r="G270" s="7" cm="1">
        <f t="array" ref="G270">INDEX(GMWQ!$A$2:$LR$60,MATCH(1,(GMWQ!$LQ$2:$LQ$60=G$3)*(GMWQ!$LP$2:$LP$60=G$4)*(GMWQ!$LR$2:$LR$60=G$1),0),$B270-1966)</f>
        <v>140744.20000000001</v>
      </c>
      <c r="H270" s="7" cm="1">
        <f t="array" ref="H270">INDEX(GMWQ!$A$2:$LR$60,MATCH(1,(GMWQ!$LQ$2:$LQ$60=H$3)*(GMWQ!$LP$2:$LP$60=H$4)*(GMWQ!$LR$2:$LR$60=H$1),0),$B270-1966)</f>
        <v>31975.61</v>
      </c>
      <c r="I270" s="7" cm="1">
        <f t="array" ref="I270">INDEX(GMWQ!$A$2:$LR$60,MATCH(1,(GMWQ!$LQ$2:$LQ$60=I$3)*(GMWQ!$LP$2:$LP$60=I$4)*(GMWQ!$LR$2:$LR$60=I$1),0),$B270-1966)</f>
        <v>162.42949999999999</v>
      </c>
      <c r="J270" s="7" cm="1">
        <f t="array" ref="J270">INDEX(GMWQ!$A$2:$LR$60,MATCH(1,(GMWQ!$LQ$2:$LQ$60=J$3)*(GMWQ!$LP$2:$LP$60=J$4)*(GMWQ!$LR$2:$LR$60=J$1),0),$B270-1966)</f>
        <v>31675.55</v>
      </c>
      <c r="K270" s="7" cm="1">
        <f t="array" ref="K270">INDEX(GMWQ!$A$2:$LR$60,MATCH(1,(GMWQ!$LQ$2:$LQ$60=K$3)*(GMWQ!$LP$2:$LP$60=K$4)*(GMWQ!$LR$2:$LR$60=K$1),0),$B270-1966)</f>
        <v>2</v>
      </c>
      <c r="L270" s="7" cm="1">
        <f t="array" ref="L270">INDEX(GMWQ!$A$2:$LR$60,MATCH(1,(GMWQ!$LQ$2:$LQ$60=L$3)*(GMWQ!$LP$2:$LP$60=L$4)*(GMWQ!$LR$2:$LR$60=L$1),0),$B270-1966)</f>
        <v>3.750013</v>
      </c>
      <c r="M270" s="7" cm="1">
        <f t="array" ref="M270">INDEX(GMWQ!$A$2:$LR$60,MATCH(1,(GMWQ!$LQ$2:$LQ$60=M$3)*(GMWQ!$LP$2:$LP$60=M$4)*(GMWQ!$LR$2:$LR$60=M$1),0),$B270-1966)</f>
        <v>231.96789999999999</v>
      </c>
      <c r="N270" s="7" cm="1">
        <f t="array" ref="N270">INDEX(GMWQ!$A$2:$LR$60,MATCH(1,(GMWQ!$LQ$2:$LQ$60=N$3)*(GMWQ!$LP$2:$LP$60=N$4)*(GMWQ!$LR$2:$LR$60=N$1),0),$B270-1966)</f>
        <v>34794.370000000003</v>
      </c>
      <c r="O270" s="7" cm="1">
        <f t="array" ref="O270">INDEX(GMWQ!$A$2:$LR$60,MATCH(1,(GMWQ!$LQ$2:$LQ$60=O$3)*(GMWQ!$LP$2:$LP$60=O$4)*(GMWQ!$LR$2:$LR$60=O$1),0),$B270-1966)</f>
        <v>20172.77</v>
      </c>
      <c r="P270" s="7" cm="1">
        <f t="array" ref="P270">INDEX(GMWQ!$A$2:$LR$60,MATCH(1,(GMWQ!$LQ$2:$LQ$60=P$3)*(GMWQ!$LP$2:$LP$60=P$4)*(GMWQ!$LR$2:$LR$60=P$1),0),$B270-1966)</f>
        <v>755636.4</v>
      </c>
      <c r="Q270" s="7" cm="1">
        <f t="array" ref="Q270">INDEX(GMWQ!$A$2:$LR$60,MATCH(1,(GMWQ!$LQ$2:$LQ$60=Q$3)*(GMWQ!$LP$2:$LP$60=Q$4)*(GMWQ!$LR$2:$LR$60=Q$1),0),$B270-1966)</f>
        <v>3.5</v>
      </c>
      <c r="R270" s="7" cm="1">
        <f t="array" ref="R270">INDEX(GMWQ!$A$2:$LR$60,MATCH(1,(GMWQ!$LQ$2:$LQ$60=R$3)*(GMWQ!$LP$2:$LP$60=R$4)*(GMWQ!$LR$2:$LR$60=R$1),0),$B270-1966)</f>
        <v>256445.4</v>
      </c>
      <c r="S270" s="7" cm="1">
        <f t="array" ref="S270">INDEX(GMWQ!$A$2:$LR$60,MATCH(1,(GMWQ!$LQ$2:$LQ$60=S$3)*(GMWQ!$LP$2:$LP$60=S$4)*(GMWQ!$LR$2:$LR$60=S$1),0),$B270-1966)</f>
        <v>382.5564</v>
      </c>
      <c r="T270" s="7" cm="1">
        <f t="array" ref="T270">INDEX(GMWQ!$A$2:$LR$60,MATCH(1,(GMWQ!$LQ$2:$LQ$60=T$3)*(GMWQ!$LP$2:$LP$60=T$4)*(GMWQ!$LR$2:$LR$60=T$1),0),$B270-1966)</f>
        <v>133862.1</v>
      </c>
      <c r="U270" s="7" cm="1">
        <f t="array" ref="U270">INDEX(GMWQ!$A$2:$LR$60,MATCH(1,(GMWQ!$LQ$2:$LQ$60=U$3)*(GMWQ!$LP$2:$LP$60=U$4)*(GMWQ!$LR$2:$LR$60=U$1),0),$B270-1966)</f>
        <v>20583.57</v>
      </c>
      <c r="V270" s="7" cm="1">
        <f t="array" ref="V270">INDEX(GMWQ!$A$2:$LR$60,MATCH(1,(GMWQ!$LQ$2:$LQ$60=V$3)*(GMWQ!$LP$2:$LP$60=V$4)*(GMWQ!$LR$2:$LR$60=V$1),0),$B270-1966)</f>
        <v>1.3723089999999999E-3</v>
      </c>
      <c r="W270" s="7" cm="1">
        <f t="array" ref="W270">INDEX(GMWQ!$A$2:$LR$60,MATCH(1,(GMWQ!$LQ$2:$LQ$60=W$3)*(GMWQ!$LP$2:$LP$60=W$4)*(GMWQ!$LR$2:$LR$60=W$1),0),$B270-1966)</f>
        <v>9.2187319999999993</v>
      </c>
      <c r="X270" s="7" cm="1">
        <f t="array" ref="X270">INDEX(GMWQ!$A$2:$LR$60,MATCH(1,(GMWQ!$LQ$2:$LQ$60=X$3)*(GMWQ!$LP$2:$LP$60=X$4)*(GMWQ!$LR$2:$LR$60=X$1),0),$B270-1966)</f>
        <v>10185780</v>
      </c>
      <c r="Y270" s="7" cm="1">
        <f t="array" ref="Y270">INDEX(GMWQ!$A$2:$LR$60,MATCH(1,(GMWQ!$LQ$2:$LQ$60=Y$3)*(GMWQ!$LP$2:$LP$60=Y$4)*(GMWQ!$LR$2:$LR$60=Y$1),0),$B270-1966)</f>
        <v>163.83770000000001</v>
      </c>
      <c r="Z270" s="7" cm="1">
        <f t="array" ref="Z270">INDEX(GMWQ!$A$2:$LR$60,MATCH(1,(GMWQ!$LQ$2:$LQ$60=Z$3)*(GMWQ!$LP$2:$LP$60=Z$4)*(GMWQ!$LR$2:$LR$60=Z$1),0),$B270-1966)</f>
        <v>715175.9</v>
      </c>
      <c r="AA270" s="7" cm="1">
        <f t="array" ref="AA270">INDEX(GMWQ!$A$2:$LR$60,MATCH(1,(GMWQ!$LQ$2:$LQ$60=AA$3)*(GMWQ!$LP$2:$LP$60=AA$4)*(GMWQ!$LR$2:$LR$60=AA$1),0),$B270-1966)</f>
        <v>468098.9</v>
      </c>
      <c r="AB270" s="7" cm="1">
        <f t="array" ref="AB270">INDEX(GMWQ!$A$2:$LR$60,MATCH(1,(GMWQ!$LQ$2:$LQ$60=AB$3)*(GMWQ!$LP$2:$LP$60=AB$4)*(GMWQ!$LR$2:$LR$60=AB$1),0),$B270-1966)</f>
        <v>452655.8</v>
      </c>
      <c r="AC270" s="7" cm="1">
        <f t="array" ref="AC270">INDEX(GMWQ!$A$2:$LR$60,MATCH(1,(GMWQ!$LQ$2:$LQ$60=AC$3)*(GMWQ!$LP$2:$LP$60=AC$4)*(GMWQ!$LR$2:$LR$60=AC$1),0),$B270-1966)</f>
        <v>18001.919999999998</v>
      </c>
      <c r="AD270" s="7" cm="1">
        <f t="array" ref="AD270">INDEX(GMWQ!$A$2:$LR$60,MATCH(1,(GMWQ!$LQ$2:$LQ$60=AD$3)*(GMWQ!$LP$2:$LP$60=AD$4)*(GMWQ!$LR$2:$LR$60=AD$1),0),$B270-1966)</f>
        <v>25601.67</v>
      </c>
      <c r="AE270" s="7" cm="1">
        <f t="array" ref="AE270">INDEX(GMWQ!$A$2:$LR$60,MATCH(1,(GMWQ!$LQ$2:$LQ$60=AE$3)*(GMWQ!$LP$2:$LP$60=AE$4)*(GMWQ!$LR$2:$LR$60=AE$1),0),$B270-1966)</f>
        <v>1171729</v>
      </c>
      <c r="AF270" s="20" cm="1">
        <f t="array" ref="AF270">INDEX(GMWQ!$A$2:$LR$60,MATCH(1,(GMWQ!$LQ$2:$LQ$60=AF$3)*(GMWQ!$LP$2:$LP$60=AF$4)*(GMWQ!$LR$2:$LR$60=AF$1),0),$B270-1966)</f>
        <v>2</v>
      </c>
      <c r="AG270" s="20" cm="1">
        <f t="array" ref="AG270">INDEX(GMWQ!$A$2:$LR$60,MATCH(1,(GMWQ!$LQ$2:$LQ$60=AG$3)*(GMWQ!$LP$2:$LP$60=AG$4)*(GMWQ!$LR$2:$LR$60=AG$1),0),$B270-1966)</f>
        <v>-14621.6</v>
      </c>
      <c r="AI270" s="23" cm="1">
        <f t="array" ref="AI270">INDEX(GMWQ!$A$2:$LR$60,MATCH(1,(GMWQ!$LQ$2:$LQ$60=AI$3)*(GMWQ!$LP$2:$LP$60=AI$4)*(GMWQ!$LR$2:$LR$60=AI$1),0),$B270-1966)</f>
        <v>755636.4</v>
      </c>
      <c r="AJ270" s="23" cm="1">
        <f t="array" ref="AJ270">INDEX(GMWQ!$A$2:$LR$60,MATCH(1,(GMWQ!$LQ$2:$LQ$60=AJ$3)*(GMWQ!$LP$2:$LP$60=AJ$4)*(GMWQ!$LR$2:$LR$60=AJ$1),0),$B270-1966)</f>
        <v>162.42949999999999</v>
      </c>
      <c r="AK270" s="23" cm="1">
        <f t="array" ref="AK270">INDEX(GMWQ!$A$2:$LR$60,MATCH(1,(GMWQ!$LQ$2:$LQ$60=AK$3)*(GMWQ!$LP$2:$LP$60=AK$4)*(GMWQ!$LR$2:$LR$60=AK$1),0),$B270-1966)</f>
        <v>475473.8</v>
      </c>
      <c r="AL270" s="23" cm="1">
        <f t="array" ref="AL270">INDEX(GMWQ!$A$2:$LR$60,MATCH(1,(GMWQ!$LQ$2:$LQ$60=AL$3)*(GMWQ!$LP$2:$LP$60=AL$4)*(GMWQ!$LR$2:$LR$60=AL$1),0),$B270-1966)</f>
        <v>15010.75</v>
      </c>
      <c r="AM270" s="23" cm="1">
        <f t="array" ref="AM270">INDEX(GMWQ!$A$2:$LR$60,MATCH(1,(GMWQ!$LQ$2:$LQ$60=AM$3)*(GMWQ!$LP$2:$LP$60=AM$4)*(GMWQ!$LR$2:$LR$60=AM$1),0),$B270-1966)</f>
        <v>31675.55</v>
      </c>
      <c r="AN270" s="23" cm="1">
        <f t="array" ref="AN270">INDEX(GMWQ!$A$2:$LR$60,MATCH(1,(GMWQ!$LQ$2:$LQ$60=AN$3)*(GMWQ!$LP$2:$LP$60=AN$4)*(GMWQ!$LR$2:$LR$60=AN$1),0),$B270-1966)</f>
        <v>140744.20000000001</v>
      </c>
      <c r="AO270" s="23" cm="1">
        <f t="array" ref="AO270">INDEX(GMWQ!$A$2:$LR$60,MATCH(1,(GMWQ!$LQ$2:$LQ$60=AO$3)*(GMWQ!$LP$2:$LP$60=AO$4)*(GMWQ!$LR$2:$LR$60=AO$1),0),$B270-1966)</f>
        <v>31975.61</v>
      </c>
      <c r="AP270" s="23" cm="1">
        <f t="array" ref="AP270">INDEX(GMWQ!$A$2:$LR$60,MATCH(1,(GMWQ!$LQ$2:$LQ$60=AP$3)*(GMWQ!$LP$2:$LP$60=AP$4)*(GMWQ!$LR$2:$LR$60=AP$1),0),$B270-1966)</f>
        <v>-14621.6</v>
      </c>
      <c r="AQ270" s="23" cm="1">
        <f t="array" ref="AQ270">INDEX(GMWQ!$A$2:$LR$60,MATCH(1,(GMWQ!$LQ$2:$LQ$60=AQ$3)*(GMWQ!$LP$2:$LP$60=AQ$4)*(GMWQ!$LR$2:$LR$60=AQ$1),0),$B270-1966)</f>
        <v>165431.20000000001</v>
      </c>
      <c r="AR270" s="23" cm="1">
        <f t="array" ref="AR270">INDEX(GMWQ!$A$2:$LR$60,MATCH(1,(GMWQ!$LQ$2:$LQ$60=AR$3)*(GMWQ!$LP$2:$LP$60=AR$4)*(GMWQ!$LR$2:$LR$60=AR$1),0),$B270-1966)</f>
        <v>697660.6</v>
      </c>
      <c r="AS270" s="23" cm="1">
        <f t="array" ref="AS270">INDEX(GMWQ!$A$2:$LR$60,MATCH(1,(GMWQ!$LQ$2:$LQ$60=AS$3)*(GMWQ!$LP$2:$LP$60=AS$4)*(GMWQ!$LR$2:$LR$60=AS$1),0),$B270-1966)</f>
        <v>23795.43</v>
      </c>
      <c r="AT270" s="23" cm="1">
        <f t="array" ref="AT270">INDEX(GMWQ!$A$2:$LR$60,MATCH(1,(GMWQ!$LQ$2:$LQ$60=AT$3)*(GMWQ!$LP$2:$LP$60=AT$4)*(GMWQ!$LR$2:$LR$60=AT$1),0),$B270-1966)</f>
        <v>429515.9</v>
      </c>
      <c r="AU270" s="23" cm="1">
        <f t="array" ref="AU270">INDEX(GMWQ!$A$2:$LR$60,MATCH(1,(GMWQ!$LQ$2:$LQ$60=AU$3)*(GMWQ!$LP$2:$LP$60=AU$4)*(GMWQ!$LR$2:$LR$60=AU$1),0),$B270-1966)</f>
        <v>15288.8</v>
      </c>
    </row>
    <row r="271" spans="1:47" x14ac:dyDescent="0.35">
      <c r="A271" s="7">
        <v>2039</v>
      </c>
      <c r="B271" s="7">
        <f t="shared" si="5"/>
        <v>2237</v>
      </c>
      <c r="C271" s="7" cm="1">
        <f t="array" ref="C271">INDEX(GMWQ!$A$2:$LR$60,MATCH(1,(GMWQ!$LQ$2:$LQ$60=C$3)*(GMWQ!$LP$2:$LP$60=C$4)*(GMWQ!$LR$2:$LR$60=C$1),0),$B271-1966)</f>
        <v>717930.4</v>
      </c>
      <c r="D271" s="7" cm="1">
        <f t="array" ref="D271">INDEX(GMWQ!$A$2:$LR$60,MATCH(1,(GMWQ!$LQ$2:$LQ$60=D$3)*(GMWQ!$LP$2:$LP$60=D$4)*(GMWQ!$LR$2:$LR$60=D$1),0),$B271-1966)</f>
        <v>1040.326</v>
      </c>
      <c r="E271" s="7" cm="1">
        <f t="array" ref="E271">INDEX(GMWQ!$A$2:$LR$60,MATCH(1,(GMWQ!$LQ$2:$LQ$60=E$3)*(GMWQ!$LP$2:$LP$60=E$4)*(GMWQ!$LR$2:$LR$60=E$1),0),$B271-1966)</f>
        <v>178.41560000000001</v>
      </c>
      <c r="F271" s="7" cm="1">
        <f t="array" ref="F271">INDEX(GMWQ!$A$2:$LR$60,MATCH(1,(GMWQ!$LQ$2:$LQ$60=F$3)*(GMWQ!$LP$2:$LP$60=F$4)*(GMWQ!$LR$2:$LR$60=F$1),0),$B271-1966)</f>
        <v>479692.3</v>
      </c>
      <c r="G271" s="7" cm="1">
        <f t="array" ref="G271">INDEX(GMWQ!$A$2:$LR$60,MATCH(1,(GMWQ!$LQ$2:$LQ$60=G$3)*(GMWQ!$LP$2:$LP$60=G$4)*(GMWQ!$LR$2:$LR$60=G$1),0),$B271-1966)</f>
        <v>142160.20000000001</v>
      </c>
      <c r="H271" s="7" cm="1">
        <f t="array" ref="H271">INDEX(GMWQ!$A$2:$LR$60,MATCH(1,(GMWQ!$LQ$2:$LQ$60=H$3)*(GMWQ!$LP$2:$LP$60=H$4)*(GMWQ!$LR$2:$LR$60=H$1),0),$B271-1966)</f>
        <v>32259.3</v>
      </c>
      <c r="I271" s="7" cm="1">
        <f t="array" ref="I271">INDEX(GMWQ!$A$2:$LR$60,MATCH(1,(GMWQ!$LQ$2:$LQ$60=I$3)*(GMWQ!$LP$2:$LP$60=I$4)*(GMWQ!$LR$2:$LR$60=I$1),0),$B271-1966)</f>
        <v>163.2355</v>
      </c>
      <c r="J271" s="7" cm="1">
        <f t="array" ref="J271">INDEX(GMWQ!$A$2:$LR$60,MATCH(1,(GMWQ!$LQ$2:$LQ$60=J$3)*(GMWQ!$LP$2:$LP$60=J$4)*(GMWQ!$LR$2:$LR$60=J$1),0),$B271-1966)</f>
        <v>31708.29</v>
      </c>
      <c r="K271" s="7" cm="1">
        <f t="array" ref="K271">INDEX(GMWQ!$A$2:$LR$60,MATCH(1,(GMWQ!$LQ$2:$LQ$60=K$3)*(GMWQ!$LP$2:$LP$60=K$4)*(GMWQ!$LR$2:$LR$60=K$1),0),$B271-1966)</f>
        <v>2</v>
      </c>
      <c r="L271" s="7" cm="1">
        <f t="array" ref="L271">INDEX(GMWQ!$A$2:$LR$60,MATCH(1,(GMWQ!$LQ$2:$LQ$60=L$3)*(GMWQ!$LP$2:$LP$60=L$4)*(GMWQ!$LR$2:$LR$60=L$1),0),$B271-1966)</f>
        <v>3.75</v>
      </c>
      <c r="M271" s="7" cm="1">
        <f t="array" ref="M271">INDEX(GMWQ!$A$2:$LR$60,MATCH(1,(GMWQ!$LQ$2:$LQ$60=M$3)*(GMWQ!$LP$2:$LP$60=M$4)*(GMWQ!$LR$2:$LR$60=M$1),0),$B271-1966)</f>
        <v>234.0026</v>
      </c>
      <c r="N271" s="7" cm="1">
        <f t="array" ref="N271">INDEX(GMWQ!$A$2:$LR$60,MATCH(1,(GMWQ!$LQ$2:$LQ$60=N$3)*(GMWQ!$LP$2:$LP$60=N$4)*(GMWQ!$LR$2:$LR$60=N$1),0),$B271-1966)</f>
        <v>35107.81</v>
      </c>
      <c r="O271" s="7" cm="1">
        <f t="array" ref="O271">INDEX(GMWQ!$A$2:$LR$60,MATCH(1,(GMWQ!$LQ$2:$LQ$60=O$3)*(GMWQ!$LP$2:$LP$60=O$4)*(GMWQ!$LR$2:$LR$60=O$1),0),$B271-1966)</f>
        <v>20362.79</v>
      </c>
      <c r="P271" s="7" cm="1">
        <f t="array" ref="P271">INDEX(GMWQ!$A$2:$LR$60,MATCH(1,(GMWQ!$LQ$2:$LQ$60=P$3)*(GMWQ!$LP$2:$LP$60=P$4)*(GMWQ!$LR$2:$LR$60=P$1),0),$B271-1966)</f>
        <v>762269.8</v>
      </c>
      <c r="Q271" s="7" cm="1">
        <f t="array" ref="Q271">INDEX(GMWQ!$A$2:$LR$60,MATCH(1,(GMWQ!$LQ$2:$LQ$60=Q$3)*(GMWQ!$LP$2:$LP$60=Q$4)*(GMWQ!$LR$2:$LR$60=Q$1),0),$B271-1966)</f>
        <v>3.5</v>
      </c>
      <c r="R271" s="7" cm="1">
        <f t="array" ref="R271">INDEX(GMWQ!$A$2:$LR$60,MATCH(1,(GMWQ!$LQ$2:$LQ$60=R$3)*(GMWQ!$LP$2:$LP$60=R$4)*(GMWQ!$LR$2:$LR$60=R$1),0),$B271-1966)</f>
        <v>256456.4</v>
      </c>
      <c r="S271" s="7" cm="1">
        <f t="array" ref="S271">INDEX(GMWQ!$A$2:$LR$60,MATCH(1,(GMWQ!$LQ$2:$LQ$60=S$3)*(GMWQ!$LP$2:$LP$60=S$4)*(GMWQ!$LR$2:$LR$60=S$1),0),$B271-1966)</f>
        <v>382.57279999999997</v>
      </c>
      <c r="T271" s="7" cm="1">
        <f t="array" ref="T271">INDEX(GMWQ!$A$2:$LR$60,MATCH(1,(GMWQ!$LQ$2:$LQ$60=T$3)*(GMWQ!$LP$2:$LP$60=T$4)*(GMWQ!$LR$2:$LR$60=T$1),0),$B271-1966)</f>
        <v>134434</v>
      </c>
      <c r="U271" s="7" cm="1">
        <f t="array" ref="U271">INDEX(GMWQ!$A$2:$LR$60,MATCH(1,(GMWQ!$LQ$2:$LQ$60=U$3)*(GMWQ!$LP$2:$LP$60=U$4)*(GMWQ!$LR$2:$LR$60=U$1),0),$B271-1966)</f>
        <v>20356.36</v>
      </c>
      <c r="V271" s="7" cm="1">
        <f t="array" ref="V271">INDEX(GMWQ!$A$2:$LR$60,MATCH(1,(GMWQ!$LQ$2:$LQ$60=V$3)*(GMWQ!$LP$2:$LP$60=V$4)*(GMWQ!$LR$2:$LR$60=V$1),0),$B271-1966)</f>
        <v>1.3713760000000001E-3</v>
      </c>
      <c r="W271" s="7" cm="1">
        <f t="array" ref="W271">INDEX(GMWQ!$A$2:$LR$60,MATCH(1,(GMWQ!$LQ$2:$LQ$60=W$3)*(GMWQ!$LP$2:$LP$60=W$4)*(GMWQ!$LR$2:$LR$60=W$1),0),$B271-1966)</f>
        <v>9.1722370000000009</v>
      </c>
      <c r="X271" s="7" cm="1">
        <f t="array" ref="X271">INDEX(GMWQ!$A$2:$LR$60,MATCH(1,(GMWQ!$LQ$2:$LQ$60=X$3)*(GMWQ!$LP$2:$LP$60=X$4)*(GMWQ!$LR$2:$LR$60=X$1),0),$B271-1966)</f>
        <v>10332170</v>
      </c>
      <c r="Y271" s="7" cm="1">
        <f t="array" ref="Y271">INDEX(GMWQ!$A$2:$LR$60,MATCH(1,(GMWQ!$LQ$2:$LQ$60=Y$3)*(GMWQ!$LP$2:$LP$60=Y$4)*(GMWQ!$LR$2:$LR$60=Y$1),0),$B271-1966)</f>
        <v>164.72569999999999</v>
      </c>
      <c r="Z271" s="7" cm="1">
        <f t="array" ref="Z271">INDEX(GMWQ!$A$2:$LR$60,MATCH(1,(GMWQ!$LQ$2:$LQ$60=Z$3)*(GMWQ!$LP$2:$LP$60=Z$4)*(GMWQ!$LR$2:$LR$60=Z$1),0),$B271-1966)</f>
        <v>717930.4</v>
      </c>
      <c r="AA271" s="7" cm="1">
        <f t="array" ref="AA271">INDEX(GMWQ!$A$2:$LR$60,MATCH(1,(GMWQ!$LQ$2:$LQ$60=AA$3)*(GMWQ!$LP$2:$LP$60=AA$4)*(GMWQ!$LR$2:$LR$60=AA$1),0),$B271-1966)</f>
        <v>531745.1</v>
      </c>
      <c r="AB271" s="7" cm="1">
        <f t="array" ref="AB271">INDEX(GMWQ!$A$2:$LR$60,MATCH(1,(GMWQ!$LQ$2:$LQ$60=AB$3)*(GMWQ!$LP$2:$LP$60=AB$4)*(GMWQ!$LR$2:$LR$60=AB$1),0),$B271-1966)</f>
        <v>451399.6</v>
      </c>
      <c r="AC271" s="7" cm="1">
        <f t="array" ref="AC271">INDEX(GMWQ!$A$2:$LR$60,MATCH(1,(GMWQ!$LQ$2:$LQ$60=AC$3)*(GMWQ!$LP$2:$LP$60=AC$4)*(GMWQ!$LR$2:$LR$60=AC$1),0),$B271-1966)</f>
        <v>31955.35</v>
      </c>
      <c r="AD271" s="7" cm="1">
        <f t="array" ref="AD271">INDEX(GMWQ!$A$2:$LR$60,MATCH(1,(GMWQ!$LQ$2:$LQ$60=AD$3)*(GMWQ!$LP$2:$LP$60=AD$4)*(GMWQ!$LR$2:$LR$60=AD$1),0),$B271-1966)</f>
        <v>25601.67</v>
      </c>
      <c r="AE271" s="7" cm="1">
        <f t="array" ref="AE271">INDEX(GMWQ!$A$2:$LR$60,MATCH(1,(GMWQ!$LQ$2:$LQ$60=AE$3)*(GMWQ!$LP$2:$LP$60=AE$4)*(GMWQ!$LR$2:$LR$60=AE$1),0),$B271-1966)</f>
        <v>1182616</v>
      </c>
      <c r="AF271" s="20" cm="1">
        <f t="array" ref="AF271">INDEX(GMWQ!$A$2:$LR$60,MATCH(1,(GMWQ!$LQ$2:$LQ$60=AF$3)*(GMWQ!$LP$2:$LP$60=AF$4)*(GMWQ!$LR$2:$LR$60=AF$1),0),$B271-1966)</f>
        <v>2</v>
      </c>
      <c r="AG271" s="20" cm="1">
        <f t="array" ref="AG271">INDEX(GMWQ!$A$2:$LR$60,MATCH(1,(GMWQ!$LQ$2:$LQ$60=AG$3)*(GMWQ!$LP$2:$LP$60=AG$4)*(GMWQ!$LR$2:$LR$60=AG$1),0),$B271-1966)</f>
        <v>-14745.02</v>
      </c>
      <c r="AI271" s="23" cm="1">
        <f t="array" ref="AI271">INDEX(GMWQ!$A$2:$LR$60,MATCH(1,(GMWQ!$LQ$2:$LQ$60=AI$3)*(GMWQ!$LP$2:$LP$60=AI$4)*(GMWQ!$LR$2:$LR$60=AI$1),0),$B271-1966)</f>
        <v>762269.8</v>
      </c>
      <c r="AJ271" s="23" cm="1">
        <f t="array" ref="AJ271">INDEX(GMWQ!$A$2:$LR$60,MATCH(1,(GMWQ!$LQ$2:$LQ$60=AJ$3)*(GMWQ!$LP$2:$LP$60=AJ$4)*(GMWQ!$LR$2:$LR$60=AJ$1),0),$B271-1966)</f>
        <v>163.2355</v>
      </c>
      <c r="AK271" s="23" cm="1">
        <f t="array" ref="AK271">INDEX(GMWQ!$A$2:$LR$60,MATCH(1,(GMWQ!$LQ$2:$LQ$60=AK$3)*(GMWQ!$LP$2:$LP$60=AK$4)*(GMWQ!$LR$2:$LR$60=AK$1),0),$B271-1966)</f>
        <v>479692.3</v>
      </c>
      <c r="AL271" s="23" cm="1">
        <f t="array" ref="AL271">INDEX(GMWQ!$A$2:$LR$60,MATCH(1,(GMWQ!$LQ$2:$LQ$60=AL$3)*(GMWQ!$LP$2:$LP$60=AL$4)*(GMWQ!$LR$2:$LR$60=AL$1),0),$B271-1966)</f>
        <v>15128.29</v>
      </c>
      <c r="AM271" s="23" cm="1">
        <f t="array" ref="AM271">INDEX(GMWQ!$A$2:$LR$60,MATCH(1,(GMWQ!$LQ$2:$LQ$60=AM$3)*(GMWQ!$LP$2:$LP$60=AM$4)*(GMWQ!$LR$2:$LR$60=AM$1),0),$B271-1966)</f>
        <v>31708.29</v>
      </c>
      <c r="AN271" s="23" cm="1">
        <f t="array" ref="AN271">INDEX(GMWQ!$A$2:$LR$60,MATCH(1,(GMWQ!$LQ$2:$LQ$60=AN$3)*(GMWQ!$LP$2:$LP$60=AN$4)*(GMWQ!$LR$2:$LR$60=AN$1),0),$B271-1966)</f>
        <v>142160.20000000001</v>
      </c>
      <c r="AO271" s="23" cm="1">
        <f t="array" ref="AO271">INDEX(GMWQ!$A$2:$LR$60,MATCH(1,(GMWQ!$LQ$2:$LQ$60=AO$3)*(GMWQ!$LP$2:$LP$60=AO$4)*(GMWQ!$LR$2:$LR$60=AO$1),0),$B271-1966)</f>
        <v>32259.3</v>
      </c>
      <c r="AP271" s="23" cm="1">
        <f t="array" ref="AP271">INDEX(GMWQ!$A$2:$LR$60,MATCH(1,(GMWQ!$LQ$2:$LQ$60=AP$3)*(GMWQ!$LP$2:$LP$60=AP$4)*(GMWQ!$LR$2:$LR$60=AP$1),0),$B271-1966)</f>
        <v>-14745.02</v>
      </c>
      <c r="AQ271" s="23" cm="1">
        <f t="array" ref="AQ271">INDEX(GMWQ!$A$2:$LR$60,MATCH(1,(GMWQ!$LQ$2:$LQ$60=AQ$3)*(GMWQ!$LP$2:$LP$60=AQ$4)*(GMWQ!$LR$2:$LR$60=AQ$1),0),$B271-1966)</f>
        <v>166888.29999999999</v>
      </c>
      <c r="AR271" s="23" cm="1">
        <f t="array" ref="AR271">INDEX(GMWQ!$A$2:$LR$60,MATCH(1,(GMWQ!$LQ$2:$LQ$60=AR$3)*(GMWQ!$LP$2:$LP$60=AR$4)*(GMWQ!$LR$2:$LR$60=AR$1),0),$B271-1966)</f>
        <v>703779.9</v>
      </c>
      <c r="AS271" s="23" cm="1">
        <f t="array" ref="AS271">INDEX(GMWQ!$A$2:$LR$60,MATCH(1,(GMWQ!$LQ$2:$LQ$60=AS$3)*(GMWQ!$LP$2:$LP$60=AS$4)*(GMWQ!$LR$2:$LR$60=AS$1),0),$B271-1966)</f>
        <v>24013.49</v>
      </c>
      <c r="AT271" s="23" cm="1">
        <f t="array" ref="AT271">INDEX(GMWQ!$A$2:$LR$60,MATCH(1,(GMWQ!$LQ$2:$LQ$60=AT$3)*(GMWQ!$LP$2:$LP$60=AT$4)*(GMWQ!$LR$2:$LR$60=AT$1),0),$B271-1966)</f>
        <v>431143.9</v>
      </c>
      <c r="AU271" s="23" cm="1">
        <f t="array" ref="AU271">INDEX(GMWQ!$A$2:$LR$60,MATCH(1,(GMWQ!$LQ$2:$LQ$60=AU$3)*(GMWQ!$LP$2:$LP$60=AU$4)*(GMWQ!$LR$2:$LR$60=AU$1),0),$B271-1966)</f>
        <v>15346.9</v>
      </c>
    </row>
    <row r="272" spans="1:47" x14ac:dyDescent="0.35">
      <c r="B272" s="7">
        <f t="shared" si="5"/>
        <v>2238</v>
      </c>
      <c r="C272" s="7" cm="1">
        <f t="array" ref="C272">INDEX(GMWQ!$A$2:$LR$60,MATCH(1,(GMWQ!$LQ$2:$LQ$60=C$3)*(GMWQ!$LP$2:$LP$60=C$4)*(GMWQ!$LR$2:$LR$60=C$1),0),$B272-1966)</f>
        <v>720698.9</v>
      </c>
      <c r="D272" s="7" cm="1">
        <f t="array" ref="D272">INDEX(GMWQ!$A$2:$LR$60,MATCH(1,(GMWQ!$LQ$2:$LQ$60=D$3)*(GMWQ!$LP$2:$LP$60=D$4)*(GMWQ!$LR$2:$LR$60=D$1),0),$B272-1966)</f>
        <v>1048.4780000000001</v>
      </c>
      <c r="E272" s="7" cm="1">
        <f t="array" ref="E272">INDEX(GMWQ!$A$2:$LR$60,MATCH(1,(GMWQ!$LQ$2:$LQ$60=E$3)*(GMWQ!$LP$2:$LP$60=E$4)*(GMWQ!$LR$2:$LR$60=E$1),0),$B272-1966)</f>
        <v>180.04519999999999</v>
      </c>
      <c r="F272" s="7" cm="1">
        <f t="array" ref="F272">INDEX(GMWQ!$A$2:$LR$60,MATCH(1,(GMWQ!$LQ$2:$LQ$60=F$3)*(GMWQ!$LP$2:$LP$60=F$4)*(GMWQ!$LR$2:$LR$60=F$1),0),$B272-1966)</f>
        <v>483950.8</v>
      </c>
      <c r="G272" s="7" cm="1">
        <f t="array" ref="G272">INDEX(GMWQ!$A$2:$LR$60,MATCH(1,(GMWQ!$LQ$2:$LQ$60=G$3)*(GMWQ!$LP$2:$LP$60=G$4)*(GMWQ!$LR$2:$LR$60=G$1),0),$B272-1966)</f>
        <v>143064</v>
      </c>
      <c r="H272" s="7" cm="1">
        <f t="array" ref="H272">INDEX(GMWQ!$A$2:$LR$60,MATCH(1,(GMWQ!$LQ$2:$LQ$60=H$3)*(GMWQ!$LP$2:$LP$60=H$4)*(GMWQ!$LR$2:$LR$60=H$1),0),$B272-1966)</f>
        <v>32545.69</v>
      </c>
      <c r="I272" s="7" cm="1">
        <f t="array" ref="I272">INDEX(GMWQ!$A$2:$LR$60,MATCH(1,(GMWQ!$LQ$2:$LQ$60=I$3)*(GMWQ!$LP$2:$LP$60=I$4)*(GMWQ!$LR$2:$LR$60=I$1),0),$B272-1966)</f>
        <v>164.0454</v>
      </c>
      <c r="J272" s="7" cm="1">
        <f t="array" ref="J272">INDEX(GMWQ!$A$2:$LR$60,MATCH(1,(GMWQ!$LQ$2:$LQ$60=J$3)*(GMWQ!$LP$2:$LP$60=J$4)*(GMWQ!$LR$2:$LR$60=J$1),0),$B272-1966)</f>
        <v>31741.040000000001</v>
      </c>
      <c r="K272" s="7" cm="1">
        <f t="array" ref="K272">INDEX(GMWQ!$A$2:$LR$60,MATCH(1,(GMWQ!$LQ$2:$LQ$60=K$3)*(GMWQ!$LP$2:$LP$60=K$4)*(GMWQ!$LR$2:$LR$60=K$1),0),$B272-1966)</f>
        <v>2</v>
      </c>
      <c r="L272" s="7" cm="1">
        <f t="array" ref="L272">INDEX(GMWQ!$A$2:$LR$60,MATCH(1,(GMWQ!$LQ$2:$LQ$60=L$3)*(GMWQ!$LP$2:$LP$60=L$4)*(GMWQ!$LR$2:$LR$60=L$1),0),$B272-1966)</f>
        <v>3.7500170000000002</v>
      </c>
      <c r="M272" s="7" cm="1">
        <f t="array" ref="M272">INDEX(GMWQ!$A$2:$LR$60,MATCH(1,(GMWQ!$LQ$2:$LQ$60=M$3)*(GMWQ!$LP$2:$LP$60=M$4)*(GMWQ!$LR$2:$LR$60=M$1),0),$B272-1966)</f>
        <v>236.05680000000001</v>
      </c>
      <c r="N272" s="7" cm="1">
        <f t="array" ref="N272">INDEX(GMWQ!$A$2:$LR$60,MATCH(1,(GMWQ!$LQ$2:$LQ$60=N$3)*(GMWQ!$LP$2:$LP$60=N$4)*(GMWQ!$LR$2:$LR$60=N$1),0),$B272-1966)</f>
        <v>35420.57</v>
      </c>
      <c r="O272" s="7" cm="1">
        <f t="array" ref="O272">INDEX(GMWQ!$A$2:$LR$60,MATCH(1,(GMWQ!$LQ$2:$LQ$60=O$3)*(GMWQ!$LP$2:$LP$60=O$4)*(GMWQ!$LR$2:$LR$60=O$1),0),$B272-1966)</f>
        <v>20557.47</v>
      </c>
      <c r="P272" s="7" cm="1">
        <f t="array" ref="P272">INDEX(GMWQ!$A$2:$LR$60,MATCH(1,(GMWQ!$LQ$2:$LQ$60=P$3)*(GMWQ!$LP$2:$LP$60=P$4)*(GMWQ!$LR$2:$LR$60=P$1),0),$B272-1966)</f>
        <v>768965.7</v>
      </c>
      <c r="Q272" s="7" cm="1">
        <f t="array" ref="Q272">INDEX(GMWQ!$A$2:$LR$60,MATCH(1,(GMWQ!$LQ$2:$LQ$60=Q$3)*(GMWQ!$LP$2:$LP$60=Q$4)*(GMWQ!$LR$2:$LR$60=Q$1),0),$B272-1966)</f>
        <v>3.5</v>
      </c>
      <c r="R272" s="7" cm="1">
        <f t="array" ref="R272">INDEX(GMWQ!$A$2:$LR$60,MATCH(1,(GMWQ!$LQ$2:$LQ$60=R$3)*(GMWQ!$LP$2:$LP$60=R$4)*(GMWQ!$LR$2:$LR$60=R$1),0),$B272-1966)</f>
        <v>256466.2</v>
      </c>
      <c r="S272" s="7" cm="1">
        <f t="array" ref="S272">INDEX(GMWQ!$A$2:$LR$60,MATCH(1,(GMWQ!$LQ$2:$LQ$60=S$3)*(GMWQ!$LP$2:$LP$60=S$4)*(GMWQ!$LR$2:$LR$60=S$1),0),$B272-1966)</f>
        <v>382.5874</v>
      </c>
      <c r="T272" s="7" cm="1">
        <f t="array" ref="T272">INDEX(GMWQ!$A$2:$LR$60,MATCH(1,(GMWQ!$LQ$2:$LQ$60=T$3)*(GMWQ!$LP$2:$LP$60=T$4)*(GMWQ!$LR$2:$LR$60=T$1),0),$B272-1966)</f>
        <v>135002.20000000001</v>
      </c>
      <c r="U272" s="7" cm="1">
        <f t="array" ref="U272">INDEX(GMWQ!$A$2:$LR$60,MATCH(1,(GMWQ!$LQ$2:$LQ$60=U$3)*(GMWQ!$LP$2:$LP$60=U$4)*(GMWQ!$LR$2:$LR$60=U$1),0),$B272-1966)</f>
        <v>20134.48</v>
      </c>
      <c r="V272" s="7" cm="1">
        <f t="array" ref="V272">INDEX(GMWQ!$A$2:$LR$60,MATCH(1,(GMWQ!$LQ$2:$LQ$60=V$3)*(GMWQ!$LP$2:$LP$60=V$4)*(GMWQ!$LR$2:$LR$60=V$1),0),$B272-1966)</f>
        <v>1.3701729999999999E-3</v>
      </c>
      <c r="W272" s="7" cm="1">
        <f t="array" ref="W272">INDEX(GMWQ!$A$2:$LR$60,MATCH(1,(GMWQ!$LQ$2:$LQ$60=W$3)*(GMWQ!$LP$2:$LP$60=W$4)*(GMWQ!$LR$2:$LR$60=W$1),0),$B272-1966)</f>
        <v>9.24648</v>
      </c>
      <c r="X272" s="7" cm="1">
        <f t="array" ref="X272">INDEX(GMWQ!$A$2:$LR$60,MATCH(1,(GMWQ!$LQ$2:$LQ$60=X$3)*(GMWQ!$LP$2:$LP$60=X$4)*(GMWQ!$LR$2:$LR$60=X$1),0),$B272-1966)</f>
        <v>10456020</v>
      </c>
      <c r="Y272" s="7" cm="1">
        <f t="array" ref="Y272">INDEX(GMWQ!$A$2:$LR$60,MATCH(1,(GMWQ!$LQ$2:$LQ$60=Y$3)*(GMWQ!$LP$2:$LP$60=Y$4)*(GMWQ!$LR$2:$LR$60=Y$1),0),$B272-1966)</f>
        <v>165.61850000000001</v>
      </c>
      <c r="Z272" s="7" cm="1">
        <f t="array" ref="Z272">INDEX(GMWQ!$A$2:$LR$60,MATCH(1,(GMWQ!$LQ$2:$LQ$60=Z$3)*(GMWQ!$LP$2:$LP$60=Z$4)*(GMWQ!$LR$2:$LR$60=Z$1),0),$B272-1966)</f>
        <v>720699.1</v>
      </c>
      <c r="AA272" s="7" cm="1">
        <f t="array" ref="AA272">INDEX(GMWQ!$A$2:$LR$60,MATCH(1,(GMWQ!$LQ$2:$LQ$60=AA$3)*(GMWQ!$LP$2:$LP$60=AA$4)*(GMWQ!$LR$2:$LR$60=AA$1),0),$B272-1966)</f>
        <v>482412.7</v>
      </c>
      <c r="AB272" s="7" cm="1">
        <f t="array" ref="AB272">INDEX(GMWQ!$A$2:$LR$60,MATCH(1,(GMWQ!$LQ$2:$LQ$60=AB$3)*(GMWQ!$LP$2:$LP$60=AB$4)*(GMWQ!$LR$2:$LR$60=AB$1),0),$B272-1966)</f>
        <v>461809.3</v>
      </c>
      <c r="AC272" s="7" cm="1">
        <f t="array" ref="AC272">INDEX(GMWQ!$A$2:$LR$60,MATCH(1,(GMWQ!$LQ$2:$LQ$60=AC$3)*(GMWQ!$LP$2:$LP$60=AC$4)*(GMWQ!$LR$2:$LR$60=AC$1),0),$B272-1966)</f>
        <v>15373.32</v>
      </c>
      <c r="AD272" s="7" cm="1">
        <f t="array" ref="AD272">INDEX(GMWQ!$A$2:$LR$60,MATCH(1,(GMWQ!$LQ$2:$LQ$60=AD$3)*(GMWQ!$LP$2:$LP$60=AD$4)*(GMWQ!$LR$2:$LR$60=AD$1),0),$B272-1966)</f>
        <v>26566.16</v>
      </c>
      <c r="AE272" s="7" cm="1">
        <f t="array" ref="AE272">INDEX(GMWQ!$A$2:$LR$60,MATCH(1,(GMWQ!$LQ$2:$LQ$60=AE$3)*(GMWQ!$LP$2:$LP$60=AE$4)*(GMWQ!$LR$2:$LR$60=AE$1),0),$B272-1966)</f>
        <v>1193611</v>
      </c>
      <c r="AF272" s="20" cm="1">
        <f t="array" ref="AF272">INDEX(GMWQ!$A$2:$LR$60,MATCH(1,(GMWQ!$LQ$2:$LQ$60=AF$3)*(GMWQ!$LP$2:$LP$60=AF$4)*(GMWQ!$LR$2:$LR$60=AF$1),0),$B272-1966)</f>
        <v>2</v>
      </c>
      <c r="AG272" s="20" cm="1">
        <f t="array" ref="AG272">INDEX(GMWQ!$A$2:$LR$60,MATCH(1,(GMWQ!$LQ$2:$LQ$60=AG$3)*(GMWQ!$LP$2:$LP$60=AG$4)*(GMWQ!$LR$2:$LR$60=AG$1),0),$B272-1966)</f>
        <v>-14863.1</v>
      </c>
      <c r="AI272" s="23" cm="1">
        <f t="array" ref="AI272">INDEX(GMWQ!$A$2:$LR$60,MATCH(1,(GMWQ!$LQ$2:$LQ$60=AI$3)*(GMWQ!$LP$2:$LP$60=AI$4)*(GMWQ!$LR$2:$LR$60=AI$1),0),$B272-1966)</f>
        <v>768965.7</v>
      </c>
      <c r="AJ272" s="23" cm="1">
        <f t="array" ref="AJ272">INDEX(GMWQ!$A$2:$LR$60,MATCH(1,(GMWQ!$LQ$2:$LQ$60=AJ$3)*(GMWQ!$LP$2:$LP$60=AJ$4)*(GMWQ!$LR$2:$LR$60=AJ$1),0),$B272-1966)</f>
        <v>164.0454</v>
      </c>
      <c r="AK272" s="23" cm="1">
        <f t="array" ref="AK272">INDEX(GMWQ!$A$2:$LR$60,MATCH(1,(GMWQ!$LQ$2:$LQ$60=AK$3)*(GMWQ!$LP$2:$LP$60=AK$4)*(GMWQ!$LR$2:$LR$60=AK$1),0),$B272-1966)</f>
        <v>483950.8</v>
      </c>
      <c r="AL272" s="23" cm="1">
        <f t="array" ref="AL272">INDEX(GMWQ!$A$2:$LR$60,MATCH(1,(GMWQ!$LQ$2:$LQ$60=AL$3)*(GMWQ!$LP$2:$LP$60=AL$4)*(GMWQ!$LR$2:$LR$60=AL$1),0),$B272-1966)</f>
        <v>15246.85</v>
      </c>
      <c r="AM272" s="23" cm="1">
        <f t="array" ref="AM272">INDEX(GMWQ!$A$2:$LR$60,MATCH(1,(GMWQ!$LQ$2:$LQ$60=AM$3)*(GMWQ!$LP$2:$LP$60=AM$4)*(GMWQ!$LR$2:$LR$60=AM$1),0),$B272-1966)</f>
        <v>31741.040000000001</v>
      </c>
      <c r="AN272" s="23" cm="1">
        <f t="array" ref="AN272">INDEX(GMWQ!$A$2:$LR$60,MATCH(1,(GMWQ!$LQ$2:$LQ$60=AN$3)*(GMWQ!$LP$2:$LP$60=AN$4)*(GMWQ!$LR$2:$LR$60=AN$1),0),$B272-1966)</f>
        <v>143064</v>
      </c>
      <c r="AO272" s="23" cm="1">
        <f t="array" ref="AO272">INDEX(GMWQ!$A$2:$LR$60,MATCH(1,(GMWQ!$LQ$2:$LQ$60=AO$3)*(GMWQ!$LP$2:$LP$60=AO$4)*(GMWQ!$LR$2:$LR$60=AO$1),0),$B272-1966)</f>
        <v>32545.69</v>
      </c>
      <c r="AP272" s="23" cm="1">
        <f t="array" ref="AP272">INDEX(GMWQ!$A$2:$LR$60,MATCH(1,(GMWQ!$LQ$2:$LQ$60=AP$3)*(GMWQ!$LP$2:$LP$60=AP$4)*(GMWQ!$LR$2:$LR$60=AP$1),0),$B272-1966)</f>
        <v>-14863.1</v>
      </c>
      <c r="AQ272" s="23" cm="1">
        <f t="array" ref="AQ272">INDEX(GMWQ!$A$2:$LR$60,MATCH(1,(GMWQ!$LQ$2:$LQ$60=AQ$3)*(GMWQ!$LP$2:$LP$60=AQ$4)*(GMWQ!$LR$2:$LR$60=AQ$1),0),$B272-1966)</f>
        <v>168365.2</v>
      </c>
      <c r="AR272" s="23" cm="1">
        <f t="array" ref="AR272">INDEX(GMWQ!$A$2:$LR$60,MATCH(1,(GMWQ!$LQ$2:$LQ$60=AR$3)*(GMWQ!$LP$2:$LP$60=AR$4)*(GMWQ!$LR$2:$LR$60=AR$1),0),$B272-1966)</f>
        <v>709956.6</v>
      </c>
      <c r="AS272" s="23" cm="1">
        <f t="array" ref="AS272">INDEX(GMWQ!$A$2:$LR$60,MATCH(1,(GMWQ!$LQ$2:$LQ$60=AS$3)*(GMWQ!$LP$2:$LP$60=AS$4)*(GMWQ!$LR$2:$LR$60=AS$1),0),$B272-1966)</f>
        <v>24233.62</v>
      </c>
      <c r="AT272" s="23" cm="1">
        <f t="array" ref="AT272">INDEX(GMWQ!$A$2:$LR$60,MATCH(1,(GMWQ!$LQ$2:$LQ$60=AT$3)*(GMWQ!$LP$2:$LP$60=AT$4)*(GMWQ!$LR$2:$LR$60=AT$1),0),$B272-1966)</f>
        <v>432780.6</v>
      </c>
      <c r="AU272" s="23" cm="1">
        <f t="array" ref="AU272">INDEX(GMWQ!$A$2:$LR$60,MATCH(1,(GMWQ!$LQ$2:$LQ$60=AU$3)*(GMWQ!$LP$2:$LP$60=AU$4)*(GMWQ!$LR$2:$LR$60=AU$1),0),$B272-1966)</f>
        <v>15405.32</v>
      </c>
    </row>
    <row r="273" spans="1:47" x14ac:dyDescent="0.35">
      <c r="B273" s="7">
        <f t="shared" si="5"/>
        <v>2239</v>
      </c>
      <c r="C273" s="7" cm="1">
        <f t="array" ref="C273">INDEX(GMWQ!$A$2:$LR$60,MATCH(1,(GMWQ!$LQ$2:$LQ$60=C$3)*(GMWQ!$LP$2:$LP$60=C$4)*(GMWQ!$LR$2:$LR$60=C$1),0),$B273-1966)</f>
        <v>723482.5</v>
      </c>
      <c r="D273" s="7" cm="1">
        <f t="array" ref="D273">INDEX(GMWQ!$A$2:$LR$60,MATCH(1,(GMWQ!$LQ$2:$LQ$60=D$3)*(GMWQ!$LP$2:$LP$60=D$4)*(GMWQ!$LR$2:$LR$60=D$1),0),$B273-1966)</f>
        <v>1056.704</v>
      </c>
      <c r="E273" s="7" cm="1">
        <f t="array" ref="E273">INDEX(GMWQ!$A$2:$LR$60,MATCH(1,(GMWQ!$LQ$2:$LQ$60=E$3)*(GMWQ!$LP$2:$LP$60=E$4)*(GMWQ!$LR$2:$LR$60=E$1),0),$B273-1966)</f>
        <v>181.02879999999999</v>
      </c>
      <c r="F273" s="7" cm="1">
        <f t="array" ref="F273">INDEX(GMWQ!$A$2:$LR$60,MATCH(1,(GMWQ!$LQ$2:$LQ$60=F$3)*(GMWQ!$LP$2:$LP$60=F$4)*(GMWQ!$LR$2:$LR$60=F$1),0),$B273-1966)</f>
        <v>488250.3</v>
      </c>
      <c r="G273" s="7" cm="1">
        <f t="array" ref="G273">INDEX(GMWQ!$A$2:$LR$60,MATCH(1,(GMWQ!$LQ$2:$LQ$60=G$3)*(GMWQ!$LP$2:$LP$60=G$4)*(GMWQ!$LR$2:$LR$60=G$1),0),$B273-1966)</f>
        <v>144506.20000000001</v>
      </c>
      <c r="H273" s="7" cm="1">
        <f t="array" ref="H273">INDEX(GMWQ!$A$2:$LR$60,MATCH(1,(GMWQ!$LQ$2:$LQ$60=H$3)*(GMWQ!$LP$2:$LP$60=H$4)*(GMWQ!$LR$2:$LR$60=H$1),0),$B273-1966)</f>
        <v>32834.83</v>
      </c>
      <c r="I273" s="7" cm="1">
        <f t="array" ref="I273">INDEX(GMWQ!$A$2:$LR$60,MATCH(1,(GMWQ!$LQ$2:$LQ$60=I$3)*(GMWQ!$LP$2:$LP$60=I$4)*(GMWQ!$LR$2:$LR$60=I$1),0),$B273-1966)</f>
        <v>164.85939999999999</v>
      </c>
      <c r="J273" s="7" cm="1">
        <f t="array" ref="J273">INDEX(GMWQ!$A$2:$LR$60,MATCH(1,(GMWQ!$LQ$2:$LQ$60=J$3)*(GMWQ!$LP$2:$LP$60=J$4)*(GMWQ!$LR$2:$LR$60=J$1),0),$B273-1966)</f>
        <v>31773.78</v>
      </c>
      <c r="K273" s="7" cm="1">
        <f t="array" ref="K273">INDEX(GMWQ!$A$2:$LR$60,MATCH(1,(GMWQ!$LQ$2:$LQ$60=K$3)*(GMWQ!$LP$2:$LP$60=K$4)*(GMWQ!$LR$2:$LR$60=K$1),0),$B273-1966)</f>
        <v>2</v>
      </c>
      <c r="L273" s="7" cm="1">
        <f t="array" ref="L273">INDEX(GMWQ!$A$2:$LR$60,MATCH(1,(GMWQ!$LQ$2:$LQ$60=L$3)*(GMWQ!$LP$2:$LP$60=L$4)*(GMWQ!$LR$2:$LR$60=L$1),0),$B273-1966)</f>
        <v>3.749994</v>
      </c>
      <c r="M273" s="7" cm="1">
        <f t="array" ref="M273">INDEX(GMWQ!$A$2:$LR$60,MATCH(1,(GMWQ!$LQ$2:$LQ$60=M$3)*(GMWQ!$LP$2:$LP$60=M$4)*(GMWQ!$LR$2:$LR$60=M$1),0),$B273-1966)</f>
        <v>238.13040000000001</v>
      </c>
      <c r="N273" s="7" cm="1">
        <f t="array" ref="N273">INDEX(GMWQ!$A$2:$LR$60,MATCH(1,(GMWQ!$LQ$2:$LQ$60=N$3)*(GMWQ!$LP$2:$LP$60=N$4)*(GMWQ!$LR$2:$LR$60=N$1),0),$B273-1966)</f>
        <v>35732.76</v>
      </c>
      <c r="O273" s="7" cm="1">
        <f t="array" ref="O273">INDEX(GMWQ!$A$2:$LR$60,MATCH(1,(GMWQ!$LQ$2:$LQ$60=O$3)*(GMWQ!$LP$2:$LP$60=O$4)*(GMWQ!$LR$2:$LR$60=O$1),0),$B273-1966)</f>
        <v>20756.72</v>
      </c>
      <c r="P273" s="7" cm="1">
        <f t="array" ref="P273">INDEX(GMWQ!$A$2:$LR$60,MATCH(1,(GMWQ!$LQ$2:$LQ$60=P$3)*(GMWQ!$LP$2:$LP$60=P$4)*(GMWQ!$LR$2:$LR$60=P$1),0),$B273-1966)</f>
        <v>775724.4</v>
      </c>
      <c r="Q273" s="7" cm="1">
        <f t="array" ref="Q273">INDEX(GMWQ!$A$2:$LR$60,MATCH(1,(GMWQ!$LQ$2:$LQ$60=Q$3)*(GMWQ!$LP$2:$LP$60=Q$4)*(GMWQ!$LR$2:$LR$60=Q$1),0),$B273-1966)</f>
        <v>3.5</v>
      </c>
      <c r="R273" s="7" cm="1">
        <f t="array" ref="R273">INDEX(GMWQ!$A$2:$LR$60,MATCH(1,(GMWQ!$LQ$2:$LQ$60=R$3)*(GMWQ!$LP$2:$LP$60=R$4)*(GMWQ!$LR$2:$LR$60=R$1),0),$B273-1966)</f>
        <v>256474.5</v>
      </c>
      <c r="S273" s="7" cm="1">
        <f t="array" ref="S273">INDEX(GMWQ!$A$2:$LR$60,MATCH(1,(GMWQ!$LQ$2:$LQ$60=S$3)*(GMWQ!$LP$2:$LP$60=S$4)*(GMWQ!$LR$2:$LR$60=S$1),0),$B273-1966)</f>
        <v>382.59980000000002</v>
      </c>
      <c r="T273" s="7" cm="1">
        <f t="array" ref="T273">INDEX(GMWQ!$A$2:$LR$60,MATCH(1,(GMWQ!$LQ$2:$LQ$60=T$3)*(GMWQ!$LP$2:$LP$60=T$4)*(GMWQ!$LR$2:$LR$60=T$1),0),$B273-1966)</f>
        <v>135567.5</v>
      </c>
      <c r="U273" s="7" cm="1">
        <f t="array" ref="U273">INDEX(GMWQ!$A$2:$LR$60,MATCH(1,(GMWQ!$LQ$2:$LQ$60=U$3)*(GMWQ!$LP$2:$LP$60=U$4)*(GMWQ!$LR$2:$LR$60=U$1),0),$B273-1966)</f>
        <v>19918.37</v>
      </c>
      <c r="V273" s="7" cm="1">
        <f t="array" ref="V273">INDEX(GMWQ!$A$2:$LR$60,MATCH(1,(GMWQ!$LQ$2:$LQ$60=V$3)*(GMWQ!$LP$2:$LP$60=V$4)*(GMWQ!$LR$2:$LR$60=V$1),0),$B273-1966)</f>
        <v>1.3689209999999999E-3</v>
      </c>
      <c r="W273" s="7" cm="1">
        <f t="array" ref="W273">INDEX(GMWQ!$A$2:$LR$60,MATCH(1,(GMWQ!$LQ$2:$LQ$60=W$3)*(GMWQ!$LP$2:$LP$60=W$4)*(GMWQ!$LR$2:$LR$60=W$1),0),$B273-1966)</f>
        <v>9.2423909999999996</v>
      </c>
      <c r="X273" s="7" cm="1">
        <f t="array" ref="X273">INDEX(GMWQ!$A$2:$LR$60,MATCH(1,(GMWQ!$LQ$2:$LQ$60=X$3)*(GMWQ!$LP$2:$LP$60=X$4)*(GMWQ!$LR$2:$LR$60=X$1),0),$B273-1966)</f>
        <v>10565340</v>
      </c>
      <c r="Y273" s="7" cm="1">
        <f t="array" ref="Y273">INDEX(GMWQ!$A$2:$LR$60,MATCH(1,(GMWQ!$LQ$2:$LQ$60=Y$3)*(GMWQ!$LP$2:$LP$60=Y$4)*(GMWQ!$LR$2:$LR$60=Y$1),0),$B273-1966)</f>
        <v>166.51609999999999</v>
      </c>
      <c r="Z273" s="7" cm="1">
        <f t="array" ref="Z273">INDEX(GMWQ!$A$2:$LR$60,MATCH(1,(GMWQ!$LQ$2:$LQ$60=Z$3)*(GMWQ!$LP$2:$LP$60=Z$4)*(GMWQ!$LR$2:$LR$60=Z$1),0),$B273-1966)</f>
        <v>723481.9</v>
      </c>
      <c r="AA273" s="7" cm="1">
        <f t="array" ref="AA273">INDEX(GMWQ!$A$2:$LR$60,MATCH(1,(GMWQ!$LQ$2:$LQ$60=AA$3)*(GMWQ!$LP$2:$LP$60=AA$4)*(GMWQ!$LR$2:$LR$60=AA$1),0),$B273-1966)</f>
        <v>501460.7</v>
      </c>
      <c r="AB273" s="7" cm="1">
        <f t="array" ref="AB273">INDEX(GMWQ!$A$2:$LR$60,MATCH(1,(GMWQ!$LQ$2:$LQ$60=AB$3)*(GMWQ!$LP$2:$LP$60=AB$4)*(GMWQ!$LR$2:$LR$60=AB$1),0),$B273-1966)</f>
        <v>465898.5</v>
      </c>
      <c r="AC273" s="7" cm="1">
        <f t="array" ref="AC273">INDEX(GMWQ!$A$2:$LR$60,MATCH(1,(GMWQ!$LQ$2:$LQ$60=AC$3)*(GMWQ!$LP$2:$LP$60=AC$4)*(GMWQ!$LR$2:$LR$60=AC$1),0),$B273-1966)</f>
        <v>17505.7</v>
      </c>
      <c r="AD273" s="7" cm="1">
        <f t="array" ref="AD273">INDEX(GMWQ!$A$2:$LR$60,MATCH(1,(GMWQ!$LQ$2:$LQ$60=AD$3)*(GMWQ!$LP$2:$LP$60=AD$4)*(GMWQ!$LR$2:$LR$60=AD$1),0),$B273-1966)</f>
        <v>26566.16</v>
      </c>
      <c r="AE273" s="7" cm="1">
        <f t="array" ref="AE273">INDEX(GMWQ!$A$2:$LR$60,MATCH(1,(GMWQ!$LQ$2:$LQ$60=AE$3)*(GMWQ!$LP$2:$LP$60=AE$4)*(GMWQ!$LR$2:$LR$60=AE$1),0),$B273-1966)</f>
        <v>1204715</v>
      </c>
      <c r="AF273" s="20" cm="1">
        <f t="array" ref="AF273">INDEX(GMWQ!$A$2:$LR$60,MATCH(1,(GMWQ!$LQ$2:$LQ$60=AF$3)*(GMWQ!$LP$2:$LP$60=AF$4)*(GMWQ!$LR$2:$LR$60=AF$1),0),$B273-1966)</f>
        <v>2</v>
      </c>
      <c r="AG273" s="20" cm="1">
        <f t="array" ref="AG273">INDEX(GMWQ!$A$2:$LR$60,MATCH(1,(GMWQ!$LQ$2:$LQ$60=AG$3)*(GMWQ!$LP$2:$LP$60=AG$4)*(GMWQ!$LR$2:$LR$60=AG$1),0),$B273-1966)</f>
        <v>-14976.04</v>
      </c>
      <c r="AI273" s="23" cm="1">
        <f t="array" ref="AI273">INDEX(GMWQ!$A$2:$LR$60,MATCH(1,(GMWQ!$LQ$2:$LQ$60=AI$3)*(GMWQ!$LP$2:$LP$60=AI$4)*(GMWQ!$LR$2:$LR$60=AI$1),0),$B273-1966)</f>
        <v>775724.4</v>
      </c>
      <c r="AJ273" s="23" cm="1">
        <f t="array" ref="AJ273">INDEX(GMWQ!$A$2:$LR$60,MATCH(1,(GMWQ!$LQ$2:$LQ$60=AJ$3)*(GMWQ!$LP$2:$LP$60=AJ$4)*(GMWQ!$LR$2:$LR$60=AJ$1),0),$B273-1966)</f>
        <v>164.85939999999999</v>
      </c>
      <c r="AK273" s="23" cm="1">
        <f t="array" ref="AK273">INDEX(GMWQ!$A$2:$LR$60,MATCH(1,(GMWQ!$LQ$2:$LQ$60=AK$3)*(GMWQ!$LP$2:$LP$60=AK$4)*(GMWQ!$LR$2:$LR$60=AK$1),0),$B273-1966)</f>
        <v>488250.3</v>
      </c>
      <c r="AL273" s="23" cm="1">
        <f t="array" ref="AL273">INDEX(GMWQ!$A$2:$LR$60,MATCH(1,(GMWQ!$LQ$2:$LQ$60=AL$3)*(GMWQ!$LP$2:$LP$60=AL$4)*(GMWQ!$LR$2:$LR$60=AL$1),0),$B273-1966)</f>
        <v>15366.45</v>
      </c>
      <c r="AM273" s="23" cm="1">
        <f t="array" ref="AM273">INDEX(GMWQ!$A$2:$LR$60,MATCH(1,(GMWQ!$LQ$2:$LQ$60=AM$3)*(GMWQ!$LP$2:$LP$60=AM$4)*(GMWQ!$LR$2:$LR$60=AM$1),0),$B273-1966)</f>
        <v>31773.78</v>
      </c>
      <c r="AN273" s="23" cm="1">
        <f t="array" ref="AN273">INDEX(GMWQ!$A$2:$LR$60,MATCH(1,(GMWQ!$LQ$2:$LQ$60=AN$3)*(GMWQ!$LP$2:$LP$60=AN$4)*(GMWQ!$LR$2:$LR$60=AN$1),0),$B273-1966)</f>
        <v>144506.20000000001</v>
      </c>
      <c r="AO273" s="23" cm="1">
        <f t="array" ref="AO273">INDEX(GMWQ!$A$2:$LR$60,MATCH(1,(GMWQ!$LQ$2:$LQ$60=AO$3)*(GMWQ!$LP$2:$LP$60=AO$4)*(GMWQ!$LR$2:$LR$60=AO$1),0),$B273-1966)</f>
        <v>32834.83</v>
      </c>
      <c r="AP273" s="23" cm="1">
        <f t="array" ref="AP273">INDEX(GMWQ!$A$2:$LR$60,MATCH(1,(GMWQ!$LQ$2:$LQ$60=AP$3)*(GMWQ!$LP$2:$LP$60=AP$4)*(GMWQ!$LR$2:$LR$60=AP$1),0),$B273-1966)</f>
        <v>-14976.04</v>
      </c>
      <c r="AQ273" s="23" cm="1">
        <f t="array" ref="AQ273">INDEX(GMWQ!$A$2:$LR$60,MATCH(1,(GMWQ!$LQ$2:$LQ$60=AQ$3)*(GMWQ!$LP$2:$LP$60=AQ$4)*(GMWQ!$LR$2:$LR$60=AQ$1),0),$B273-1966)</f>
        <v>169846</v>
      </c>
      <c r="AR273" s="23" cm="1">
        <f t="array" ref="AR273">INDEX(GMWQ!$A$2:$LR$60,MATCH(1,(GMWQ!$LQ$2:$LQ$60=AR$3)*(GMWQ!$LP$2:$LP$60=AR$4)*(GMWQ!$LR$2:$LR$60=AR$1),0),$B273-1966)</f>
        <v>716192.4</v>
      </c>
      <c r="AS273" s="23" cm="1">
        <f t="array" ref="AS273">INDEX(GMWQ!$A$2:$LR$60,MATCH(1,(GMWQ!$LQ$2:$LQ$60=AS$3)*(GMWQ!$LP$2:$LP$60=AS$4)*(GMWQ!$LR$2:$LR$60=AS$1),0),$B273-1966)</f>
        <v>24455.84</v>
      </c>
      <c r="AT273" s="23" cm="1">
        <f t="array" ref="AT273">INDEX(GMWQ!$A$2:$LR$60,MATCH(1,(GMWQ!$LQ$2:$LQ$60=AT$3)*(GMWQ!$LP$2:$LP$60=AT$4)*(GMWQ!$LR$2:$LR$60=AT$1),0),$B273-1966)</f>
        <v>434426.2</v>
      </c>
      <c r="AU273" s="23" cm="1">
        <f t="array" ref="AU273">INDEX(GMWQ!$A$2:$LR$60,MATCH(1,(GMWQ!$LQ$2:$LQ$60=AU$3)*(GMWQ!$LP$2:$LP$60=AU$4)*(GMWQ!$LR$2:$LR$60=AU$1),0),$B273-1966)</f>
        <v>15464.05</v>
      </c>
    </row>
    <row r="274" spans="1:47" x14ac:dyDescent="0.35">
      <c r="B274" s="7">
        <f t="shared" si="5"/>
        <v>2240</v>
      </c>
      <c r="C274" s="7" cm="1">
        <f t="array" ref="C274">INDEX(GMWQ!$A$2:$LR$60,MATCH(1,(GMWQ!$LQ$2:$LQ$60=C$3)*(GMWQ!$LP$2:$LP$60=C$4)*(GMWQ!$LR$2:$LR$60=C$1),0),$B274-1966)</f>
        <v>726281.1</v>
      </c>
      <c r="D274" s="7" cm="1">
        <f t="array" ref="D274">INDEX(GMWQ!$A$2:$LR$60,MATCH(1,(GMWQ!$LQ$2:$LQ$60=D$3)*(GMWQ!$LP$2:$LP$60=D$4)*(GMWQ!$LR$2:$LR$60=D$1),0),$B274-1966)</f>
        <v>1065</v>
      </c>
      <c r="E274" s="7" cm="1">
        <f t="array" ref="E274">INDEX(GMWQ!$A$2:$LR$60,MATCH(1,(GMWQ!$LQ$2:$LQ$60=E$3)*(GMWQ!$LP$2:$LP$60=E$4)*(GMWQ!$LR$2:$LR$60=E$1),0),$B274-1966)</f>
        <v>181.79339999999999</v>
      </c>
      <c r="F274" s="7" cm="1">
        <f t="array" ref="F274">INDEX(GMWQ!$A$2:$LR$60,MATCH(1,(GMWQ!$LQ$2:$LQ$60=F$3)*(GMWQ!$LP$2:$LP$60=F$4)*(GMWQ!$LR$2:$LR$60=F$1),0),$B274-1966)</f>
        <v>492590.5</v>
      </c>
      <c r="G274" s="7" cm="1">
        <f t="array" ref="G274">INDEX(GMWQ!$A$2:$LR$60,MATCH(1,(GMWQ!$LQ$2:$LQ$60=G$3)*(GMWQ!$LP$2:$LP$60=G$4)*(GMWQ!$LR$2:$LR$60=G$1),0),$B274-1966)</f>
        <v>145962.4</v>
      </c>
      <c r="H274" s="7" cm="1">
        <f t="array" ref="H274">INDEX(GMWQ!$A$2:$LR$60,MATCH(1,(GMWQ!$LQ$2:$LQ$60=H$3)*(GMWQ!$LP$2:$LP$60=H$4)*(GMWQ!$LR$2:$LR$60=H$1),0),$B274-1966)</f>
        <v>33126.71</v>
      </c>
      <c r="I274" s="7" cm="1">
        <f t="array" ref="I274">INDEX(GMWQ!$A$2:$LR$60,MATCH(1,(GMWQ!$LQ$2:$LQ$60=I$3)*(GMWQ!$LP$2:$LP$60=I$4)*(GMWQ!$LR$2:$LR$60=I$1),0),$B274-1966)</f>
        <v>165.67750000000001</v>
      </c>
      <c r="J274" s="7" cm="1">
        <f t="array" ref="J274">INDEX(GMWQ!$A$2:$LR$60,MATCH(1,(GMWQ!$LQ$2:$LQ$60=J$3)*(GMWQ!$LP$2:$LP$60=J$4)*(GMWQ!$LR$2:$LR$60=J$1),0),$B274-1966)</f>
        <v>31806.52</v>
      </c>
      <c r="K274" s="7" cm="1">
        <f t="array" ref="K274">INDEX(GMWQ!$A$2:$LR$60,MATCH(1,(GMWQ!$LQ$2:$LQ$60=K$3)*(GMWQ!$LP$2:$LP$60=K$4)*(GMWQ!$LR$2:$LR$60=K$1),0),$B274-1966)</f>
        <v>2</v>
      </c>
      <c r="L274" s="7" cm="1">
        <f t="array" ref="L274">INDEX(GMWQ!$A$2:$LR$60,MATCH(1,(GMWQ!$LQ$2:$LQ$60=L$3)*(GMWQ!$LP$2:$LP$60=L$4)*(GMWQ!$LR$2:$LR$60=L$1),0),$B274-1966)</f>
        <v>3.7499820000000001</v>
      </c>
      <c r="M274" s="7" cm="1">
        <f t="array" ref="M274">INDEX(GMWQ!$A$2:$LR$60,MATCH(1,(GMWQ!$LQ$2:$LQ$60=M$3)*(GMWQ!$LP$2:$LP$60=M$4)*(GMWQ!$LR$2:$LR$60=M$1),0),$B274-1966)</f>
        <v>240.2234</v>
      </c>
      <c r="N274" s="7" cm="1">
        <f t="array" ref="N274">INDEX(GMWQ!$A$2:$LR$60,MATCH(1,(GMWQ!$LQ$2:$LQ$60=N$3)*(GMWQ!$LP$2:$LP$60=N$4)*(GMWQ!$LR$2:$LR$60=N$1),0),$B274-1966)</f>
        <v>36044.42</v>
      </c>
      <c r="O274" s="7" cm="1">
        <f t="array" ref="O274">INDEX(GMWQ!$A$2:$LR$60,MATCH(1,(GMWQ!$LQ$2:$LQ$60=O$3)*(GMWQ!$LP$2:$LP$60=O$4)*(GMWQ!$LR$2:$LR$60=O$1),0),$B274-1966)</f>
        <v>20960.61</v>
      </c>
      <c r="P274" s="7" cm="1">
        <f t="array" ref="P274">INDEX(GMWQ!$A$2:$LR$60,MATCH(1,(GMWQ!$LQ$2:$LQ$60=P$3)*(GMWQ!$LP$2:$LP$60=P$4)*(GMWQ!$LR$2:$LR$60=P$1),0),$B274-1966)</f>
        <v>782547.8</v>
      </c>
      <c r="Q274" s="7" cm="1">
        <f t="array" ref="Q274">INDEX(GMWQ!$A$2:$LR$60,MATCH(1,(GMWQ!$LQ$2:$LQ$60=Q$3)*(GMWQ!$LP$2:$LP$60=Q$4)*(GMWQ!$LR$2:$LR$60=Q$1),0),$B274-1966)</f>
        <v>3.5</v>
      </c>
      <c r="R274" s="7" cm="1">
        <f t="array" ref="R274">INDEX(GMWQ!$A$2:$LR$60,MATCH(1,(GMWQ!$LQ$2:$LQ$60=R$3)*(GMWQ!$LP$2:$LP$60=R$4)*(GMWQ!$LR$2:$LR$60=R$1),0),$B274-1966)</f>
        <v>256481.8</v>
      </c>
      <c r="S274" s="7" cm="1">
        <f t="array" ref="S274">INDEX(GMWQ!$A$2:$LR$60,MATCH(1,(GMWQ!$LQ$2:$LQ$60=S$3)*(GMWQ!$LP$2:$LP$60=S$4)*(GMWQ!$LR$2:$LR$60=S$1),0),$B274-1966)</f>
        <v>382.61070000000001</v>
      </c>
      <c r="T274" s="7" cm="1">
        <f t="array" ref="T274">INDEX(GMWQ!$A$2:$LR$60,MATCH(1,(GMWQ!$LQ$2:$LQ$60=T$3)*(GMWQ!$LP$2:$LP$60=T$4)*(GMWQ!$LR$2:$LR$60=T$1),0),$B274-1966)</f>
        <v>136130.1</v>
      </c>
      <c r="U274" s="7" cm="1">
        <f t="array" ref="U274">INDEX(GMWQ!$A$2:$LR$60,MATCH(1,(GMWQ!$LQ$2:$LQ$60=U$3)*(GMWQ!$LP$2:$LP$60=U$4)*(GMWQ!$LR$2:$LR$60=U$1),0),$B274-1966)</f>
        <v>19708.2</v>
      </c>
      <c r="V274" s="7" cm="1">
        <f t="array" ref="V274">INDEX(GMWQ!$A$2:$LR$60,MATCH(1,(GMWQ!$LQ$2:$LQ$60=V$3)*(GMWQ!$LP$2:$LP$60=V$4)*(GMWQ!$LR$2:$LR$60=V$1),0),$B274-1966)</f>
        <v>1.3686810000000001E-3</v>
      </c>
      <c r="W274" s="7" cm="1">
        <f t="array" ref="W274">INDEX(GMWQ!$A$2:$LR$60,MATCH(1,(GMWQ!$LQ$2:$LQ$60=W$3)*(GMWQ!$LP$2:$LP$60=W$4)*(GMWQ!$LR$2:$LR$60=W$1),0),$B274-1966)</f>
        <v>9.2377780000000005</v>
      </c>
      <c r="X274" s="7" cm="1">
        <f t="array" ref="X274">INDEX(GMWQ!$A$2:$LR$60,MATCH(1,(GMWQ!$LQ$2:$LQ$60=X$3)*(GMWQ!$LP$2:$LP$60=X$4)*(GMWQ!$LR$2:$LR$60=X$1),0),$B274-1966)</f>
        <v>10650110</v>
      </c>
      <c r="Y274" s="7" cm="1">
        <f t="array" ref="Y274">INDEX(GMWQ!$A$2:$LR$60,MATCH(1,(GMWQ!$LQ$2:$LQ$60=Y$3)*(GMWQ!$LP$2:$LP$60=Y$4)*(GMWQ!$LR$2:$LR$60=Y$1),0),$B274-1966)</f>
        <v>167.4187</v>
      </c>
      <c r="Z274" s="7" cm="1">
        <f t="array" ref="Z274">INDEX(GMWQ!$A$2:$LR$60,MATCH(1,(GMWQ!$LQ$2:$LQ$60=Z$3)*(GMWQ!$LP$2:$LP$60=Z$4)*(GMWQ!$LR$2:$LR$60=Z$1),0),$B274-1966)</f>
        <v>726280.3</v>
      </c>
      <c r="AA274" s="7" cm="1">
        <f t="array" ref="AA274">INDEX(GMWQ!$A$2:$LR$60,MATCH(1,(GMWQ!$LQ$2:$LQ$60=AA$3)*(GMWQ!$LP$2:$LP$60=AA$4)*(GMWQ!$LR$2:$LR$60=AA$1),0),$B274-1966)</f>
        <v>486234.3</v>
      </c>
      <c r="AB274" s="7" cm="1">
        <f t="array" ref="AB274">INDEX(GMWQ!$A$2:$LR$60,MATCH(1,(GMWQ!$LQ$2:$LQ$60=AB$3)*(GMWQ!$LP$2:$LP$60=AB$4)*(GMWQ!$LR$2:$LR$60=AB$1),0),$B274-1966)</f>
        <v>469885.1</v>
      </c>
      <c r="AC274" s="7" cm="1">
        <f t="array" ref="AC274">INDEX(GMWQ!$A$2:$LR$60,MATCH(1,(GMWQ!$LQ$2:$LQ$60=AC$3)*(GMWQ!$LP$2:$LP$60=AC$4)*(GMWQ!$LR$2:$LR$60=AC$1),0),$B274-1966)</f>
        <v>18681.009999999998</v>
      </c>
      <c r="AD274" s="7" cm="1">
        <f t="array" ref="AD274">INDEX(GMWQ!$A$2:$LR$60,MATCH(1,(GMWQ!$LQ$2:$LQ$60=AD$3)*(GMWQ!$LP$2:$LP$60=AD$4)*(GMWQ!$LR$2:$LR$60=AD$1),0),$B274-1966)</f>
        <v>26566.16</v>
      </c>
      <c r="AE274" s="7" cm="1">
        <f t="array" ref="AE274">INDEX(GMWQ!$A$2:$LR$60,MATCH(1,(GMWQ!$LQ$2:$LQ$60=AE$3)*(GMWQ!$LP$2:$LP$60=AE$4)*(GMWQ!$LR$2:$LR$60=AE$1),0),$B274-1966)</f>
        <v>1215930</v>
      </c>
      <c r="AF274" s="20" cm="1">
        <f t="array" ref="AF274">INDEX(GMWQ!$A$2:$LR$60,MATCH(1,(GMWQ!$LQ$2:$LQ$60=AF$3)*(GMWQ!$LP$2:$LP$60=AF$4)*(GMWQ!$LR$2:$LR$60=AF$1),0),$B274-1966)</f>
        <v>2</v>
      </c>
      <c r="AG274" s="20" cm="1">
        <f t="array" ref="AG274">INDEX(GMWQ!$A$2:$LR$60,MATCH(1,(GMWQ!$LQ$2:$LQ$60=AG$3)*(GMWQ!$LP$2:$LP$60=AG$4)*(GMWQ!$LR$2:$LR$60=AG$1),0),$B274-1966)</f>
        <v>-15083.81</v>
      </c>
      <c r="AI274" s="23" cm="1">
        <f t="array" ref="AI274">INDEX(GMWQ!$A$2:$LR$60,MATCH(1,(GMWQ!$LQ$2:$LQ$60=AI$3)*(GMWQ!$LP$2:$LP$60=AI$4)*(GMWQ!$LR$2:$LR$60=AI$1),0),$B274-1966)</f>
        <v>782547.8</v>
      </c>
      <c r="AJ274" s="23" cm="1">
        <f t="array" ref="AJ274">INDEX(GMWQ!$A$2:$LR$60,MATCH(1,(GMWQ!$LQ$2:$LQ$60=AJ$3)*(GMWQ!$LP$2:$LP$60=AJ$4)*(GMWQ!$LR$2:$LR$60=AJ$1),0),$B274-1966)</f>
        <v>165.67750000000001</v>
      </c>
      <c r="AK274" s="23" cm="1">
        <f t="array" ref="AK274">INDEX(GMWQ!$A$2:$LR$60,MATCH(1,(GMWQ!$LQ$2:$LQ$60=AK$3)*(GMWQ!$LP$2:$LP$60=AK$4)*(GMWQ!$LR$2:$LR$60=AK$1),0),$B274-1966)</f>
        <v>492590.5</v>
      </c>
      <c r="AL274" s="23" cm="1">
        <f t="array" ref="AL274">INDEX(GMWQ!$A$2:$LR$60,MATCH(1,(GMWQ!$LQ$2:$LQ$60=AL$3)*(GMWQ!$LP$2:$LP$60=AL$4)*(GMWQ!$LR$2:$LR$60=AL$1),0),$B274-1966)</f>
        <v>15487.09</v>
      </c>
      <c r="AM274" s="23" cm="1">
        <f t="array" ref="AM274">INDEX(GMWQ!$A$2:$LR$60,MATCH(1,(GMWQ!$LQ$2:$LQ$60=AM$3)*(GMWQ!$LP$2:$LP$60=AM$4)*(GMWQ!$LR$2:$LR$60=AM$1),0),$B274-1966)</f>
        <v>31806.52</v>
      </c>
      <c r="AN274" s="23" cm="1">
        <f t="array" ref="AN274">INDEX(GMWQ!$A$2:$LR$60,MATCH(1,(GMWQ!$LQ$2:$LQ$60=AN$3)*(GMWQ!$LP$2:$LP$60=AN$4)*(GMWQ!$LR$2:$LR$60=AN$1),0),$B274-1966)</f>
        <v>145962.4</v>
      </c>
      <c r="AO274" s="23" cm="1">
        <f t="array" ref="AO274">INDEX(GMWQ!$A$2:$LR$60,MATCH(1,(GMWQ!$LQ$2:$LQ$60=AO$3)*(GMWQ!$LP$2:$LP$60=AO$4)*(GMWQ!$LR$2:$LR$60=AO$1),0),$B274-1966)</f>
        <v>33126.71</v>
      </c>
      <c r="AP274" s="23" cm="1">
        <f t="array" ref="AP274">INDEX(GMWQ!$A$2:$LR$60,MATCH(1,(GMWQ!$LQ$2:$LQ$60=AP$3)*(GMWQ!$LP$2:$LP$60=AP$4)*(GMWQ!$LR$2:$LR$60=AP$1),0),$B274-1966)</f>
        <v>-15083.81</v>
      </c>
      <c r="AQ274" s="23" cm="1">
        <f t="array" ref="AQ274">INDEX(GMWQ!$A$2:$LR$60,MATCH(1,(GMWQ!$LQ$2:$LQ$60=AQ$3)*(GMWQ!$LP$2:$LP$60=AQ$4)*(GMWQ!$LR$2:$LR$60=AQ$1),0),$B274-1966)</f>
        <v>171345.9</v>
      </c>
      <c r="AR274" s="23" cm="1">
        <f t="array" ref="AR274">INDEX(GMWQ!$A$2:$LR$60,MATCH(1,(GMWQ!$LQ$2:$LQ$60=AR$3)*(GMWQ!$LP$2:$LP$60=AR$4)*(GMWQ!$LR$2:$LR$60=AR$1),0),$B274-1966)</f>
        <v>722508.9</v>
      </c>
      <c r="AS274" s="23" cm="1">
        <f t="array" ref="AS274">INDEX(GMWQ!$A$2:$LR$60,MATCH(1,(GMWQ!$LQ$2:$LQ$60=AS$3)*(GMWQ!$LP$2:$LP$60=AS$4)*(GMWQ!$LR$2:$LR$60=AS$1),0),$B274-1966)</f>
        <v>24680.17</v>
      </c>
      <c r="AT274" s="23" cm="1">
        <f t="array" ref="AT274">INDEX(GMWQ!$A$2:$LR$60,MATCH(1,(GMWQ!$LQ$2:$LQ$60=AT$3)*(GMWQ!$LP$2:$LP$60=AT$4)*(GMWQ!$LR$2:$LR$60=AT$1),0),$B274-1966)</f>
        <v>436093.6</v>
      </c>
      <c r="AU274" s="23" cm="1">
        <f t="array" ref="AU274">INDEX(GMWQ!$A$2:$LR$60,MATCH(1,(GMWQ!$LQ$2:$LQ$60=AU$3)*(GMWQ!$LP$2:$LP$60=AU$4)*(GMWQ!$LR$2:$LR$60=AU$1),0),$B274-1966)</f>
        <v>15523.09</v>
      </c>
    </row>
    <row r="275" spans="1:47" x14ac:dyDescent="0.35">
      <c r="A275" s="7">
        <v>2040</v>
      </c>
      <c r="B275" s="7">
        <f t="shared" si="5"/>
        <v>2241</v>
      </c>
      <c r="C275" s="7" cm="1">
        <f t="array" ref="C275">INDEX(GMWQ!$A$2:$LR$60,MATCH(1,(GMWQ!$LQ$2:$LQ$60=C$3)*(GMWQ!$LP$2:$LP$60=C$4)*(GMWQ!$LR$2:$LR$60=C$1),0),$B275-1966)</f>
        <v>729094.9</v>
      </c>
      <c r="D275" s="7" cm="1">
        <f t="array" ref="D275">INDEX(GMWQ!$A$2:$LR$60,MATCH(1,(GMWQ!$LQ$2:$LQ$60=D$3)*(GMWQ!$LP$2:$LP$60=D$4)*(GMWQ!$LR$2:$LR$60=D$1),0),$B275-1966)</f>
        <v>1073.3689999999999</v>
      </c>
      <c r="E275" s="7" cm="1">
        <f t="array" ref="E275">INDEX(GMWQ!$A$2:$LR$60,MATCH(1,(GMWQ!$LQ$2:$LQ$60=E$3)*(GMWQ!$LP$2:$LP$60=E$4)*(GMWQ!$LR$2:$LR$60=E$1),0),$B275-1966)</f>
        <v>181.98400000000001</v>
      </c>
      <c r="F275" s="7" cm="1">
        <f t="array" ref="F275">INDEX(GMWQ!$A$2:$LR$60,MATCH(1,(GMWQ!$LQ$2:$LQ$60=F$3)*(GMWQ!$LP$2:$LP$60=F$4)*(GMWQ!$LR$2:$LR$60=F$1),0),$B275-1966)</f>
        <v>496972.79999999999</v>
      </c>
      <c r="G275" s="7" cm="1">
        <f t="array" ref="G275">INDEX(GMWQ!$A$2:$LR$60,MATCH(1,(GMWQ!$LQ$2:$LQ$60=G$3)*(GMWQ!$LP$2:$LP$60=G$4)*(GMWQ!$LR$2:$LR$60=G$1),0),$B275-1966)</f>
        <v>147437.79999999999</v>
      </c>
      <c r="H275" s="7" cm="1">
        <f t="array" ref="H275">INDEX(GMWQ!$A$2:$LR$60,MATCH(1,(GMWQ!$LQ$2:$LQ$60=H$3)*(GMWQ!$LP$2:$LP$60=H$4)*(GMWQ!$LR$2:$LR$60=H$1),0),$B275-1966)</f>
        <v>33421.42</v>
      </c>
      <c r="I275" s="7" cm="1">
        <f t="array" ref="I275">INDEX(GMWQ!$A$2:$LR$60,MATCH(1,(GMWQ!$LQ$2:$LQ$60=I$3)*(GMWQ!$LP$2:$LP$60=I$4)*(GMWQ!$LR$2:$LR$60=I$1),0),$B275-1966)</f>
        <v>166.49959999999999</v>
      </c>
      <c r="J275" s="7" cm="1">
        <f t="array" ref="J275">INDEX(GMWQ!$A$2:$LR$60,MATCH(1,(GMWQ!$LQ$2:$LQ$60=J$3)*(GMWQ!$LP$2:$LP$60=J$4)*(GMWQ!$LR$2:$LR$60=J$1),0),$B275-1966)</f>
        <v>31839.27</v>
      </c>
      <c r="K275" s="7" cm="1">
        <f t="array" ref="K275">INDEX(GMWQ!$A$2:$LR$60,MATCH(1,(GMWQ!$LQ$2:$LQ$60=K$3)*(GMWQ!$LP$2:$LP$60=K$4)*(GMWQ!$LR$2:$LR$60=K$1),0),$B275-1966)</f>
        <v>2</v>
      </c>
      <c r="L275" s="7" cm="1">
        <f t="array" ref="L275">INDEX(GMWQ!$A$2:$LR$60,MATCH(1,(GMWQ!$LQ$2:$LQ$60=L$3)*(GMWQ!$LP$2:$LP$60=L$4)*(GMWQ!$LR$2:$LR$60=L$1),0),$B275-1966)</f>
        <v>3.7499980000000002</v>
      </c>
      <c r="M275" s="7" cm="1">
        <f t="array" ref="M275">INDEX(GMWQ!$A$2:$LR$60,MATCH(1,(GMWQ!$LQ$2:$LQ$60=M$3)*(GMWQ!$LP$2:$LP$60=M$4)*(GMWQ!$LR$2:$LR$60=M$1),0),$B275-1966)</f>
        <v>242.3364</v>
      </c>
      <c r="N275" s="7" cm="1">
        <f t="array" ref="N275">INDEX(GMWQ!$A$2:$LR$60,MATCH(1,(GMWQ!$LQ$2:$LQ$60=N$3)*(GMWQ!$LP$2:$LP$60=N$4)*(GMWQ!$LR$2:$LR$60=N$1),0),$B275-1966)</f>
        <v>36355.620000000003</v>
      </c>
      <c r="O275" s="7" cm="1">
        <f t="array" ref="O275">INDEX(GMWQ!$A$2:$LR$60,MATCH(1,(GMWQ!$LQ$2:$LQ$60=O$3)*(GMWQ!$LP$2:$LP$60=O$4)*(GMWQ!$LR$2:$LR$60=O$1),0),$B275-1966)</f>
        <v>21153.13</v>
      </c>
      <c r="P275" s="7" cm="1">
        <f t="array" ref="P275">INDEX(GMWQ!$A$2:$LR$60,MATCH(1,(GMWQ!$LQ$2:$LQ$60=P$3)*(GMWQ!$LP$2:$LP$60=P$4)*(GMWQ!$LR$2:$LR$60=P$1),0),$B275-1966)</f>
        <v>789458.7</v>
      </c>
      <c r="Q275" s="7" cm="1">
        <f t="array" ref="Q275">INDEX(GMWQ!$A$2:$LR$60,MATCH(1,(GMWQ!$LQ$2:$LQ$60=Q$3)*(GMWQ!$LP$2:$LP$60=Q$4)*(GMWQ!$LR$2:$LR$60=Q$1),0),$B275-1966)</f>
        <v>3.5</v>
      </c>
      <c r="R275" s="7" cm="1">
        <f t="array" ref="R275">INDEX(GMWQ!$A$2:$LR$60,MATCH(1,(GMWQ!$LQ$2:$LQ$60=R$3)*(GMWQ!$LP$2:$LP$60=R$4)*(GMWQ!$LR$2:$LR$60=R$1),0),$B275-1966)</f>
        <v>256489.60000000001</v>
      </c>
      <c r="S275" s="7" cm="1">
        <f t="array" ref="S275">INDEX(GMWQ!$A$2:$LR$60,MATCH(1,(GMWQ!$LQ$2:$LQ$60=S$3)*(GMWQ!$LP$2:$LP$60=S$4)*(GMWQ!$LR$2:$LR$60=S$1),0),$B275-1966)</f>
        <v>382.62240000000003</v>
      </c>
      <c r="T275" s="7" cm="1">
        <f t="array" ref="T275">INDEX(GMWQ!$A$2:$LR$60,MATCH(1,(GMWQ!$LQ$2:$LQ$60=T$3)*(GMWQ!$LP$2:$LP$60=T$4)*(GMWQ!$LR$2:$LR$60=T$1),0),$B275-1966)</f>
        <v>136691.29999999999</v>
      </c>
      <c r="U275" s="7" cm="1">
        <f t="array" ref="U275">INDEX(GMWQ!$A$2:$LR$60,MATCH(1,(GMWQ!$LQ$2:$LQ$60=U$3)*(GMWQ!$LP$2:$LP$60=U$4)*(GMWQ!$LR$2:$LR$60=U$1),0),$B275-1966)</f>
        <v>19504.900000000001</v>
      </c>
      <c r="V275" s="7" cm="1">
        <f t="array" ref="V275">INDEX(GMWQ!$A$2:$LR$60,MATCH(1,(GMWQ!$LQ$2:$LQ$60=V$3)*(GMWQ!$LP$2:$LP$60=V$4)*(GMWQ!$LR$2:$LR$60=V$1),0),$B275-1966)</f>
        <v>1.3675849999999999E-3</v>
      </c>
      <c r="W275" s="7" cm="1">
        <f t="array" ref="W275">INDEX(GMWQ!$A$2:$LR$60,MATCH(1,(GMWQ!$LQ$2:$LQ$60=W$3)*(GMWQ!$LP$2:$LP$60=W$4)*(GMWQ!$LR$2:$LR$60=W$1),0),$B275-1966)</f>
        <v>9.1901430000000008</v>
      </c>
      <c r="X275" s="7" cm="1">
        <f t="array" ref="X275">INDEX(GMWQ!$A$2:$LR$60,MATCH(1,(GMWQ!$LQ$2:$LQ$60=X$3)*(GMWQ!$LP$2:$LP$60=X$4)*(GMWQ!$LR$2:$LR$60=X$1),0),$B275-1966)</f>
        <v>10803270</v>
      </c>
      <c r="Y275" s="7" cm="1">
        <f t="array" ref="Y275">INDEX(GMWQ!$A$2:$LR$60,MATCH(1,(GMWQ!$LQ$2:$LQ$60=Y$3)*(GMWQ!$LP$2:$LP$60=Y$4)*(GMWQ!$LR$2:$LR$60=Y$1),0),$B275-1966)</f>
        <v>168.3261</v>
      </c>
      <c r="Z275" s="7" cm="1">
        <f t="array" ref="Z275">INDEX(GMWQ!$A$2:$LR$60,MATCH(1,(GMWQ!$LQ$2:$LQ$60=Z$3)*(GMWQ!$LP$2:$LP$60=Z$4)*(GMWQ!$LR$2:$LR$60=Z$1),0),$B275-1966)</f>
        <v>729095.1</v>
      </c>
      <c r="AA275" s="7" cm="1">
        <f t="array" ref="AA275">INDEX(GMWQ!$A$2:$LR$60,MATCH(1,(GMWQ!$LQ$2:$LQ$60=AA$3)*(GMWQ!$LP$2:$LP$60=AA$4)*(GMWQ!$LR$2:$LR$60=AA$1),0),$B275-1966)</f>
        <v>550978.9</v>
      </c>
      <c r="AB275" s="7" cm="1">
        <f t="array" ref="AB275">INDEX(GMWQ!$A$2:$LR$60,MATCH(1,(GMWQ!$LQ$2:$LQ$60=AB$3)*(GMWQ!$LP$2:$LP$60=AB$4)*(GMWQ!$LR$2:$LR$60=AB$1),0),$B275-1966)</f>
        <v>468592.8</v>
      </c>
      <c r="AC275" s="7" cm="1">
        <f t="array" ref="AC275">INDEX(GMWQ!$A$2:$LR$60,MATCH(1,(GMWQ!$LQ$2:$LQ$60=AC$3)*(GMWQ!$LP$2:$LP$60=AC$4)*(GMWQ!$LR$2:$LR$60=AC$1),0),$B275-1966)</f>
        <v>33161.599999999999</v>
      </c>
      <c r="AD275" s="7" cm="1">
        <f t="array" ref="AD275">INDEX(GMWQ!$A$2:$LR$60,MATCH(1,(GMWQ!$LQ$2:$LQ$60=AD$3)*(GMWQ!$LP$2:$LP$60=AD$4)*(GMWQ!$LR$2:$LR$60=AD$1),0),$B275-1966)</f>
        <v>26566.16</v>
      </c>
      <c r="AE275" s="7" cm="1">
        <f t="array" ref="AE275">INDEX(GMWQ!$A$2:$LR$60,MATCH(1,(GMWQ!$LQ$2:$LQ$60=AE$3)*(GMWQ!$LP$2:$LP$60=AE$4)*(GMWQ!$LR$2:$LR$60=AE$1),0),$B275-1966)</f>
        <v>1227257</v>
      </c>
      <c r="AF275" s="20" cm="1">
        <f t="array" ref="AF275">INDEX(GMWQ!$A$2:$LR$60,MATCH(1,(GMWQ!$LQ$2:$LQ$60=AF$3)*(GMWQ!$LP$2:$LP$60=AF$4)*(GMWQ!$LR$2:$LR$60=AF$1),0),$B275-1966)</f>
        <v>2</v>
      </c>
      <c r="AG275" s="20" cm="1">
        <f t="array" ref="AG275">INDEX(GMWQ!$A$2:$LR$60,MATCH(1,(GMWQ!$LQ$2:$LQ$60=AG$3)*(GMWQ!$LP$2:$LP$60=AG$4)*(GMWQ!$LR$2:$LR$60=AG$1),0),$B275-1966)</f>
        <v>-15202.49</v>
      </c>
      <c r="AI275" s="23" cm="1">
        <f t="array" ref="AI275">INDEX(GMWQ!$A$2:$LR$60,MATCH(1,(GMWQ!$LQ$2:$LQ$60=AI$3)*(GMWQ!$LP$2:$LP$60=AI$4)*(GMWQ!$LR$2:$LR$60=AI$1),0),$B275-1966)</f>
        <v>789458.7</v>
      </c>
      <c r="AJ275" s="23" cm="1">
        <f t="array" ref="AJ275">INDEX(GMWQ!$A$2:$LR$60,MATCH(1,(GMWQ!$LQ$2:$LQ$60=AJ$3)*(GMWQ!$LP$2:$LP$60=AJ$4)*(GMWQ!$LR$2:$LR$60=AJ$1),0),$B275-1966)</f>
        <v>166.49959999999999</v>
      </c>
      <c r="AK275" s="23" cm="1">
        <f t="array" ref="AK275">INDEX(GMWQ!$A$2:$LR$60,MATCH(1,(GMWQ!$LQ$2:$LQ$60=AK$3)*(GMWQ!$LP$2:$LP$60=AK$4)*(GMWQ!$LR$2:$LR$60=AK$1),0),$B275-1966)</f>
        <v>496972.79999999999</v>
      </c>
      <c r="AL275" s="23" cm="1">
        <f t="array" ref="AL275">INDEX(GMWQ!$A$2:$LR$60,MATCH(1,(GMWQ!$LQ$2:$LQ$60=AL$3)*(GMWQ!$LP$2:$LP$60=AL$4)*(GMWQ!$LR$2:$LR$60=AL$1),0),$B275-1966)</f>
        <v>15608.8</v>
      </c>
      <c r="AM275" s="23" cm="1">
        <f t="array" ref="AM275">INDEX(GMWQ!$A$2:$LR$60,MATCH(1,(GMWQ!$LQ$2:$LQ$60=AM$3)*(GMWQ!$LP$2:$LP$60=AM$4)*(GMWQ!$LR$2:$LR$60=AM$1),0),$B275-1966)</f>
        <v>31839.27</v>
      </c>
      <c r="AN275" s="23" cm="1">
        <f t="array" ref="AN275">INDEX(GMWQ!$A$2:$LR$60,MATCH(1,(GMWQ!$LQ$2:$LQ$60=AN$3)*(GMWQ!$LP$2:$LP$60=AN$4)*(GMWQ!$LR$2:$LR$60=AN$1),0),$B275-1966)</f>
        <v>147437.79999999999</v>
      </c>
      <c r="AO275" s="23" cm="1">
        <f t="array" ref="AO275">INDEX(GMWQ!$A$2:$LR$60,MATCH(1,(GMWQ!$LQ$2:$LQ$60=AO$3)*(GMWQ!$LP$2:$LP$60=AO$4)*(GMWQ!$LR$2:$LR$60=AO$1),0),$B275-1966)</f>
        <v>33421.42</v>
      </c>
      <c r="AP275" s="23" cm="1">
        <f t="array" ref="AP275">INDEX(GMWQ!$A$2:$LR$60,MATCH(1,(GMWQ!$LQ$2:$LQ$60=AP$3)*(GMWQ!$LP$2:$LP$60=AP$4)*(GMWQ!$LR$2:$LR$60=AP$1),0),$B275-1966)</f>
        <v>-15202.49</v>
      </c>
      <c r="AQ275" s="23" cm="1">
        <f t="array" ref="AQ275">INDEX(GMWQ!$A$2:$LR$60,MATCH(1,(GMWQ!$LQ$2:$LQ$60=AQ$3)*(GMWQ!$LP$2:$LP$60=AQ$4)*(GMWQ!$LR$2:$LR$60=AQ$1),0),$B275-1966)</f>
        <v>172864.2</v>
      </c>
      <c r="AR275" s="23" cm="1">
        <f t="array" ref="AR275">INDEX(GMWQ!$A$2:$LR$60,MATCH(1,(GMWQ!$LQ$2:$LQ$60=AR$3)*(GMWQ!$LP$2:$LP$60=AR$4)*(GMWQ!$LR$2:$LR$60=AR$1),0),$B275-1966)</f>
        <v>728910.8</v>
      </c>
      <c r="AS275" s="23" cm="1">
        <f t="array" ref="AS275">INDEX(GMWQ!$A$2:$LR$60,MATCH(1,(GMWQ!$LQ$2:$LQ$60=AS$3)*(GMWQ!$LP$2:$LP$60=AS$4)*(GMWQ!$LR$2:$LR$60=AS$1),0),$B275-1966)</f>
        <v>24906.639999999999</v>
      </c>
      <c r="AT275" s="23" cm="1">
        <f t="array" ref="AT275">INDEX(GMWQ!$A$2:$LR$60,MATCH(1,(GMWQ!$LQ$2:$LQ$60=AT$3)*(GMWQ!$LP$2:$LP$60=AT$4)*(GMWQ!$LR$2:$LR$60=AT$1),0),$B275-1966)</f>
        <v>437785.3</v>
      </c>
      <c r="AU275" s="23" cm="1">
        <f t="array" ref="AU275">INDEX(GMWQ!$A$2:$LR$60,MATCH(1,(GMWQ!$LQ$2:$LQ$60=AU$3)*(GMWQ!$LP$2:$LP$60=AU$4)*(GMWQ!$LR$2:$LR$60=AU$1),0),$B275-1966)</f>
        <v>15582.46</v>
      </c>
    </row>
    <row r="276" spans="1:47" x14ac:dyDescent="0.35">
      <c r="B276" s="7">
        <f t="shared" si="5"/>
        <v>2242</v>
      </c>
      <c r="C276" s="7" cm="1">
        <f t="array" ref="C276">INDEX(GMWQ!$A$2:$LR$60,MATCH(1,(GMWQ!$LQ$2:$LQ$60=C$3)*(GMWQ!$LP$2:$LP$60=C$4)*(GMWQ!$LR$2:$LR$60=C$1),0),$B276-1966)</f>
        <v>731917.6</v>
      </c>
      <c r="D276" s="7" cm="1">
        <f t="array" ref="D276">INDEX(GMWQ!$A$2:$LR$60,MATCH(1,(GMWQ!$LQ$2:$LQ$60=D$3)*(GMWQ!$LP$2:$LP$60=D$4)*(GMWQ!$LR$2:$LR$60=D$1),0),$B276-1966)</f>
        <v>1081.809</v>
      </c>
      <c r="E276" s="7" cm="1">
        <f t="array" ref="E276">INDEX(GMWQ!$A$2:$LR$60,MATCH(1,(GMWQ!$LQ$2:$LQ$60=E$3)*(GMWQ!$LP$2:$LP$60=E$4)*(GMWQ!$LR$2:$LR$60=E$1),0),$B276-1966)</f>
        <v>183.64609999999999</v>
      </c>
      <c r="F276" s="7" cm="1">
        <f t="array" ref="F276">INDEX(GMWQ!$A$2:$LR$60,MATCH(1,(GMWQ!$LQ$2:$LQ$60=F$3)*(GMWQ!$LP$2:$LP$60=F$4)*(GMWQ!$LR$2:$LR$60=F$1),0),$B276-1966)</f>
        <v>501395.7</v>
      </c>
      <c r="G276" s="7" cm="1">
        <f t="array" ref="G276">INDEX(GMWQ!$A$2:$LR$60,MATCH(1,(GMWQ!$LQ$2:$LQ$60=G$3)*(GMWQ!$LP$2:$LP$60=G$4)*(GMWQ!$LR$2:$LR$60=G$1),0),$B276-1966)</f>
        <v>148395.6</v>
      </c>
      <c r="H276" s="7" cm="1">
        <f t="array" ref="H276">INDEX(GMWQ!$A$2:$LR$60,MATCH(1,(GMWQ!$LQ$2:$LQ$60=H$3)*(GMWQ!$LP$2:$LP$60=H$4)*(GMWQ!$LR$2:$LR$60=H$1),0),$B276-1966)</f>
        <v>33718.86</v>
      </c>
      <c r="I276" s="7" cm="1">
        <f t="array" ref="I276">INDEX(GMWQ!$A$2:$LR$60,MATCH(1,(GMWQ!$LQ$2:$LQ$60=I$3)*(GMWQ!$LP$2:$LP$60=I$4)*(GMWQ!$LR$2:$LR$60=I$1),0),$B276-1966)</f>
        <v>167.32570000000001</v>
      </c>
      <c r="J276" s="7" cm="1">
        <f t="array" ref="J276">INDEX(GMWQ!$A$2:$LR$60,MATCH(1,(GMWQ!$LQ$2:$LQ$60=J$3)*(GMWQ!$LP$2:$LP$60=J$4)*(GMWQ!$LR$2:$LR$60=J$1),0),$B276-1966)</f>
        <v>31872</v>
      </c>
      <c r="K276" s="7" cm="1">
        <f t="array" ref="K276">INDEX(GMWQ!$A$2:$LR$60,MATCH(1,(GMWQ!$LQ$2:$LQ$60=K$3)*(GMWQ!$LP$2:$LP$60=K$4)*(GMWQ!$LR$2:$LR$60=K$1),0),$B276-1966)</f>
        <v>2</v>
      </c>
      <c r="L276" s="7" cm="1">
        <f t="array" ref="L276">INDEX(GMWQ!$A$2:$LR$60,MATCH(1,(GMWQ!$LQ$2:$LQ$60=L$3)*(GMWQ!$LP$2:$LP$60=L$4)*(GMWQ!$LR$2:$LR$60=L$1),0),$B276-1966)</f>
        <v>3.750006</v>
      </c>
      <c r="M276" s="7" cm="1">
        <f t="array" ref="M276">INDEX(GMWQ!$A$2:$LR$60,MATCH(1,(GMWQ!$LQ$2:$LQ$60=M$3)*(GMWQ!$LP$2:$LP$60=M$4)*(GMWQ!$LR$2:$LR$60=M$1),0),$B276-1966)</f>
        <v>244.47659999999999</v>
      </c>
      <c r="N276" s="7" cm="1">
        <f t="array" ref="N276">INDEX(GMWQ!$A$2:$LR$60,MATCH(1,(GMWQ!$LQ$2:$LQ$60=N$3)*(GMWQ!$LP$2:$LP$60=N$4)*(GMWQ!$LR$2:$LR$60=N$1),0),$B276-1966)</f>
        <v>36666.480000000003</v>
      </c>
      <c r="O276" s="7" cm="1">
        <f t="array" ref="O276">INDEX(GMWQ!$A$2:$LR$60,MATCH(1,(GMWQ!$LQ$2:$LQ$60=O$3)*(GMWQ!$LP$2:$LP$60=O$4)*(GMWQ!$LR$2:$LR$60=O$1),0),$B276-1966)</f>
        <v>21328.35</v>
      </c>
      <c r="P276" s="7" cm="1">
        <f t="array" ref="P276">INDEX(GMWQ!$A$2:$LR$60,MATCH(1,(GMWQ!$LQ$2:$LQ$60=P$3)*(GMWQ!$LP$2:$LP$60=P$4)*(GMWQ!$LR$2:$LR$60=P$1),0),$B276-1966)</f>
        <v>796461.9</v>
      </c>
      <c r="Q276" s="7" cm="1">
        <f t="array" ref="Q276">INDEX(GMWQ!$A$2:$LR$60,MATCH(1,(GMWQ!$LQ$2:$LQ$60=Q$3)*(GMWQ!$LP$2:$LP$60=Q$4)*(GMWQ!$LR$2:$LR$60=Q$1),0),$B276-1966)</f>
        <v>3.5</v>
      </c>
      <c r="R276" s="7" cm="1">
        <f t="array" ref="R276">INDEX(GMWQ!$A$2:$LR$60,MATCH(1,(GMWQ!$LQ$2:$LQ$60=R$3)*(GMWQ!$LP$2:$LP$60=R$4)*(GMWQ!$LR$2:$LR$60=R$1),0),$B276-1966)</f>
        <v>256498.9</v>
      </c>
      <c r="S276" s="7" cm="1">
        <f t="array" ref="S276">INDEX(GMWQ!$A$2:$LR$60,MATCH(1,(GMWQ!$LQ$2:$LQ$60=S$3)*(GMWQ!$LP$2:$LP$60=S$4)*(GMWQ!$LR$2:$LR$60=S$1),0),$B276-1966)</f>
        <v>382.63630000000001</v>
      </c>
      <c r="T276" s="7" cm="1">
        <f t="array" ref="T276">INDEX(GMWQ!$A$2:$LR$60,MATCH(1,(GMWQ!$LQ$2:$LQ$60=T$3)*(GMWQ!$LP$2:$LP$60=T$4)*(GMWQ!$LR$2:$LR$60=T$1),0),$B276-1966)</f>
        <v>137253</v>
      </c>
      <c r="U276" s="7" cm="1">
        <f t="array" ref="U276">INDEX(GMWQ!$A$2:$LR$60,MATCH(1,(GMWQ!$LQ$2:$LQ$60=U$3)*(GMWQ!$LP$2:$LP$60=U$4)*(GMWQ!$LR$2:$LR$60=U$1),0),$B276-1966)</f>
        <v>19310.14</v>
      </c>
      <c r="V276" s="7" cm="1">
        <f t="array" ref="V276">INDEX(GMWQ!$A$2:$LR$60,MATCH(1,(GMWQ!$LQ$2:$LQ$60=V$3)*(GMWQ!$LP$2:$LP$60=V$4)*(GMWQ!$LR$2:$LR$60=V$1),0),$B276-1966)</f>
        <v>1.366218E-3</v>
      </c>
      <c r="W276" s="7" cm="1">
        <f t="array" ref="W276">INDEX(GMWQ!$A$2:$LR$60,MATCH(1,(GMWQ!$LQ$2:$LQ$60=W$3)*(GMWQ!$LP$2:$LP$60=W$4)*(GMWQ!$LR$2:$LR$60=W$1),0),$B276-1966)</f>
        <v>9.2643819999999995</v>
      </c>
      <c r="X276" s="7" cm="1">
        <f t="array" ref="X276">INDEX(GMWQ!$A$2:$LR$60,MATCH(1,(GMWQ!$LQ$2:$LQ$60=X$3)*(GMWQ!$LP$2:$LP$60=X$4)*(GMWQ!$LR$2:$LR$60=X$1),0),$B276-1966)</f>
        <v>10932850</v>
      </c>
      <c r="Y276" s="7" cm="1">
        <f t="array" ref="Y276">INDEX(GMWQ!$A$2:$LR$60,MATCH(1,(GMWQ!$LQ$2:$LQ$60=Y$3)*(GMWQ!$LP$2:$LP$60=Y$4)*(GMWQ!$LR$2:$LR$60=Y$1),0),$B276-1966)</f>
        <v>169.23830000000001</v>
      </c>
      <c r="Z276" s="7" cm="1">
        <f t="array" ref="Z276">INDEX(GMWQ!$A$2:$LR$60,MATCH(1,(GMWQ!$LQ$2:$LQ$60=Z$3)*(GMWQ!$LP$2:$LP$60=Z$4)*(GMWQ!$LR$2:$LR$60=Z$1),0),$B276-1966)</f>
        <v>731917.3</v>
      </c>
      <c r="AA276" s="7" cm="1">
        <f t="array" ref="AA276">INDEX(GMWQ!$A$2:$LR$60,MATCH(1,(GMWQ!$LQ$2:$LQ$60=AA$3)*(GMWQ!$LP$2:$LP$60=AA$4)*(GMWQ!$LR$2:$LR$60=AA$1),0),$B276-1966)</f>
        <v>501113.4</v>
      </c>
      <c r="AB276" s="7" cm="1">
        <f t="array" ref="AB276">INDEX(GMWQ!$A$2:$LR$60,MATCH(1,(GMWQ!$LQ$2:$LQ$60=AB$3)*(GMWQ!$LP$2:$LP$60=AB$4)*(GMWQ!$LR$2:$LR$60=AB$1),0),$B276-1966)</f>
        <v>479402.7</v>
      </c>
      <c r="AC276" s="7" cm="1">
        <f t="array" ref="AC276">INDEX(GMWQ!$A$2:$LR$60,MATCH(1,(GMWQ!$LQ$2:$LQ$60=AC$3)*(GMWQ!$LP$2:$LP$60=AC$4)*(GMWQ!$LR$2:$LR$60=AC$1),0),$B276-1966)</f>
        <v>15953.87</v>
      </c>
      <c r="AD276" s="7" cm="1">
        <f t="array" ref="AD276">INDEX(GMWQ!$A$2:$LR$60,MATCH(1,(GMWQ!$LQ$2:$LQ$60=AD$3)*(GMWQ!$LP$2:$LP$60=AD$4)*(GMWQ!$LR$2:$LR$60=AD$1),0),$B276-1966)</f>
        <v>27569.38</v>
      </c>
      <c r="AE276" s="7" cm="1">
        <f t="array" ref="AE276">INDEX(GMWQ!$A$2:$LR$60,MATCH(1,(GMWQ!$LQ$2:$LQ$60=AE$3)*(GMWQ!$LP$2:$LP$60=AE$4)*(GMWQ!$LR$2:$LR$60=AE$1),0),$B276-1966)</f>
        <v>1238685</v>
      </c>
      <c r="AF276" s="20" cm="1">
        <f t="array" ref="AF276">INDEX(GMWQ!$A$2:$LR$60,MATCH(1,(GMWQ!$LQ$2:$LQ$60=AF$3)*(GMWQ!$LP$2:$LP$60=AF$4)*(GMWQ!$LR$2:$LR$60=AF$1),0),$B276-1966)</f>
        <v>2</v>
      </c>
      <c r="AG276" s="20" cm="1">
        <f t="array" ref="AG276">INDEX(GMWQ!$A$2:$LR$60,MATCH(1,(GMWQ!$LQ$2:$LQ$60=AG$3)*(GMWQ!$LP$2:$LP$60=AG$4)*(GMWQ!$LR$2:$LR$60=AG$1),0),$B276-1966)</f>
        <v>-15338.13</v>
      </c>
      <c r="AI276" s="23" cm="1">
        <f t="array" ref="AI276">INDEX(GMWQ!$A$2:$LR$60,MATCH(1,(GMWQ!$LQ$2:$LQ$60=AI$3)*(GMWQ!$LP$2:$LP$60=AI$4)*(GMWQ!$LR$2:$LR$60=AI$1),0),$B276-1966)</f>
        <v>796461.9</v>
      </c>
      <c r="AJ276" s="23" cm="1">
        <f t="array" ref="AJ276">INDEX(GMWQ!$A$2:$LR$60,MATCH(1,(GMWQ!$LQ$2:$LQ$60=AJ$3)*(GMWQ!$LP$2:$LP$60=AJ$4)*(GMWQ!$LR$2:$LR$60=AJ$1),0),$B276-1966)</f>
        <v>167.32570000000001</v>
      </c>
      <c r="AK276" s="23" cm="1">
        <f t="array" ref="AK276">INDEX(GMWQ!$A$2:$LR$60,MATCH(1,(GMWQ!$LQ$2:$LQ$60=AK$3)*(GMWQ!$LP$2:$LP$60=AK$4)*(GMWQ!$LR$2:$LR$60=AK$1),0),$B276-1966)</f>
        <v>501395.7</v>
      </c>
      <c r="AL276" s="23" cm="1">
        <f t="array" ref="AL276">INDEX(GMWQ!$A$2:$LR$60,MATCH(1,(GMWQ!$LQ$2:$LQ$60=AL$3)*(GMWQ!$LP$2:$LP$60=AL$4)*(GMWQ!$LR$2:$LR$60=AL$1),0),$B276-1966)</f>
        <v>15731.54</v>
      </c>
      <c r="AM276" s="23" cm="1">
        <f t="array" ref="AM276">INDEX(GMWQ!$A$2:$LR$60,MATCH(1,(GMWQ!$LQ$2:$LQ$60=AM$3)*(GMWQ!$LP$2:$LP$60=AM$4)*(GMWQ!$LR$2:$LR$60=AM$1),0),$B276-1966)</f>
        <v>31872</v>
      </c>
      <c r="AN276" s="23" cm="1">
        <f t="array" ref="AN276">INDEX(GMWQ!$A$2:$LR$60,MATCH(1,(GMWQ!$LQ$2:$LQ$60=AN$3)*(GMWQ!$LP$2:$LP$60=AN$4)*(GMWQ!$LR$2:$LR$60=AN$1),0),$B276-1966)</f>
        <v>148395.6</v>
      </c>
      <c r="AO276" s="23" cm="1">
        <f t="array" ref="AO276">INDEX(GMWQ!$A$2:$LR$60,MATCH(1,(GMWQ!$LQ$2:$LQ$60=AO$3)*(GMWQ!$LP$2:$LP$60=AO$4)*(GMWQ!$LR$2:$LR$60=AO$1),0),$B276-1966)</f>
        <v>33718.86</v>
      </c>
      <c r="AP276" s="23" cm="1">
        <f t="array" ref="AP276">INDEX(GMWQ!$A$2:$LR$60,MATCH(1,(GMWQ!$LQ$2:$LQ$60=AP$3)*(GMWQ!$LP$2:$LP$60=AP$4)*(GMWQ!$LR$2:$LR$60=AP$1),0),$B276-1966)</f>
        <v>-15338.13</v>
      </c>
      <c r="AQ276" s="23" cm="1">
        <f t="array" ref="AQ276">INDEX(GMWQ!$A$2:$LR$60,MATCH(1,(GMWQ!$LQ$2:$LQ$60=AQ$3)*(GMWQ!$LP$2:$LP$60=AQ$4)*(GMWQ!$LR$2:$LR$60=AQ$1),0),$B276-1966)</f>
        <v>174400.9</v>
      </c>
      <c r="AR276" s="23" cm="1">
        <f t="array" ref="AR276">INDEX(GMWQ!$A$2:$LR$60,MATCH(1,(GMWQ!$LQ$2:$LQ$60=AR$3)*(GMWQ!$LP$2:$LP$60=AR$4)*(GMWQ!$LR$2:$LR$60=AR$1),0),$B276-1966)</f>
        <v>735367</v>
      </c>
      <c r="AS276" s="23" cm="1">
        <f t="array" ref="AS276">INDEX(GMWQ!$A$2:$LR$60,MATCH(1,(GMWQ!$LQ$2:$LQ$60=AS$3)*(GMWQ!$LP$2:$LP$60=AS$4)*(GMWQ!$LR$2:$LR$60=AS$1),0),$B276-1966)</f>
        <v>25136.29</v>
      </c>
      <c r="AT276" s="23" cm="1">
        <f t="array" ref="AT276">INDEX(GMWQ!$A$2:$LR$60,MATCH(1,(GMWQ!$LQ$2:$LQ$60=AT$3)*(GMWQ!$LP$2:$LP$60=AT$4)*(GMWQ!$LR$2:$LR$60=AT$1),0),$B276-1966)</f>
        <v>439482.4</v>
      </c>
      <c r="AU276" s="23" cm="1">
        <f t="array" ref="AU276">INDEX(GMWQ!$A$2:$LR$60,MATCH(1,(GMWQ!$LQ$2:$LQ$60=AU$3)*(GMWQ!$LP$2:$LP$60=AU$4)*(GMWQ!$LR$2:$LR$60=AU$1),0),$B276-1966)</f>
        <v>15642.78</v>
      </c>
    </row>
    <row r="277" spans="1:47" x14ac:dyDescent="0.35">
      <c r="B277" s="7">
        <f t="shared" si="5"/>
        <v>2243</v>
      </c>
      <c r="C277" s="7" cm="1">
        <f t="array" ref="C277">INDEX(GMWQ!$A$2:$LR$60,MATCH(1,(GMWQ!$LQ$2:$LQ$60=C$3)*(GMWQ!$LP$2:$LP$60=C$4)*(GMWQ!$LR$2:$LR$60=C$1),0),$B277-1966)</f>
        <v>734749.6</v>
      </c>
      <c r="D277" s="7" cm="1">
        <f t="array" ref="D277">INDEX(GMWQ!$A$2:$LR$60,MATCH(1,(GMWQ!$LQ$2:$LQ$60=D$3)*(GMWQ!$LP$2:$LP$60=D$4)*(GMWQ!$LR$2:$LR$60=D$1),0),$B277-1966)</f>
        <v>1090.32</v>
      </c>
      <c r="E277" s="7" cm="1">
        <f t="array" ref="E277">INDEX(GMWQ!$A$2:$LR$60,MATCH(1,(GMWQ!$LQ$2:$LQ$60=E$3)*(GMWQ!$LP$2:$LP$60=E$4)*(GMWQ!$LR$2:$LR$60=E$1),0),$B277-1966)</f>
        <v>184.64940000000001</v>
      </c>
      <c r="F277" s="7" cm="1">
        <f t="array" ref="F277">INDEX(GMWQ!$A$2:$LR$60,MATCH(1,(GMWQ!$LQ$2:$LQ$60=F$3)*(GMWQ!$LP$2:$LP$60=F$4)*(GMWQ!$LR$2:$LR$60=F$1),0),$B277-1966)</f>
        <v>505859</v>
      </c>
      <c r="G277" s="7" cm="1">
        <f t="array" ref="G277">INDEX(GMWQ!$A$2:$LR$60,MATCH(1,(GMWQ!$LQ$2:$LQ$60=G$3)*(GMWQ!$LP$2:$LP$60=G$4)*(GMWQ!$LR$2:$LR$60=G$1),0),$B277-1966)</f>
        <v>149903.6</v>
      </c>
      <c r="H277" s="7" cm="1">
        <f t="array" ref="H277">INDEX(GMWQ!$A$2:$LR$60,MATCH(1,(GMWQ!$LQ$2:$LQ$60=H$3)*(GMWQ!$LP$2:$LP$60=H$4)*(GMWQ!$LR$2:$LR$60=H$1),0),$B277-1966)</f>
        <v>34019.019999999997</v>
      </c>
      <c r="I277" s="7" cm="1">
        <f t="array" ref="I277">INDEX(GMWQ!$A$2:$LR$60,MATCH(1,(GMWQ!$LQ$2:$LQ$60=I$3)*(GMWQ!$LP$2:$LP$60=I$4)*(GMWQ!$LR$2:$LR$60=I$1),0),$B277-1966)</f>
        <v>168.15600000000001</v>
      </c>
      <c r="J277" s="7" cm="1">
        <f t="array" ref="J277">INDEX(GMWQ!$A$2:$LR$60,MATCH(1,(GMWQ!$LQ$2:$LQ$60=J$3)*(GMWQ!$LP$2:$LP$60=J$4)*(GMWQ!$LR$2:$LR$60=J$1),0),$B277-1966)</f>
        <v>31904.75</v>
      </c>
      <c r="K277" s="7" cm="1">
        <f t="array" ref="K277">INDEX(GMWQ!$A$2:$LR$60,MATCH(1,(GMWQ!$LQ$2:$LQ$60=K$3)*(GMWQ!$LP$2:$LP$60=K$4)*(GMWQ!$LR$2:$LR$60=K$1),0),$B277-1966)</f>
        <v>2</v>
      </c>
      <c r="L277" s="7" cm="1">
        <f t="array" ref="L277">INDEX(GMWQ!$A$2:$LR$60,MATCH(1,(GMWQ!$LQ$2:$LQ$60=L$3)*(GMWQ!$LP$2:$LP$60=L$4)*(GMWQ!$LR$2:$LR$60=L$1),0),$B277-1966)</f>
        <v>3.7499929999999999</v>
      </c>
      <c r="M277" s="7" cm="1">
        <f t="array" ref="M277">INDEX(GMWQ!$A$2:$LR$60,MATCH(1,(GMWQ!$LQ$2:$LQ$60=M$3)*(GMWQ!$LP$2:$LP$60=M$4)*(GMWQ!$LR$2:$LR$60=M$1),0),$B277-1966)</f>
        <v>246.64529999999999</v>
      </c>
      <c r="N277" s="7" cm="1">
        <f t="array" ref="N277">INDEX(GMWQ!$A$2:$LR$60,MATCH(1,(GMWQ!$LQ$2:$LQ$60=N$3)*(GMWQ!$LP$2:$LP$60=N$4)*(GMWQ!$LR$2:$LR$60=N$1),0),$B277-1966)</f>
        <v>36977.089999999997</v>
      </c>
      <c r="O277" s="7" cm="1">
        <f t="array" ref="O277">INDEX(GMWQ!$A$2:$LR$60,MATCH(1,(GMWQ!$LQ$2:$LQ$60=O$3)*(GMWQ!$LP$2:$LP$60=O$4)*(GMWQ!$LR$2:$LR$60=O$1),0),$B277-1966)</f>
        <v>21484.12</v>
      </c>
      <c r="P277" s="7" cm="1">
        <f t="array" ref="P277">INDEX(GMWQ!$A$2:$LR$60,MATCH(1,(GMWQ!$LQ$2:$LQ$60=P$3)*(GMWQ!$LP$2:$LP$60=P$4)*(GMWQ!$LR$2:$LR$60=P$1),0),$B277-1966)</f>
        <v>803526.1</v>
      </c>
      <c r="Q277" s="7" cm="1">
        <f t="array" ref="Q277">INDEX(GMWQ!$A$2:$LR$60,MATCH(1,(GMWQ!$LQ$2:$LQ$60=Q$3)*(GMWQ!$LP$2:$LP$60=Q$4)*(GMWQ!$LR$2:$LR$60=Q$1),0),$B277-1966)</f>
        <v>3.5</v>
      </c>
      <c r="R277" s="7" cm="1">
        <f t="array" ref="R277">INDEX(GMWQ!$A$2:$LR$60,MATCH(1,(GMWQ!$LQ$2:$LQ$60=R$3)*(GMWQ!$LP$2:$LP$60=R$4)*(GMWQ!$LR$2:$LR$60=R$1),0),$B277-1966)</f>
        <v>256508.5</v>
      </c>
      <c r="S277" s="7" cm="1">
        <f t="array" ref="S277">INDEX(GMWQ!$A$2:$LR$60,MATCH(1,(GMWQ!$LQ$2:$LQ$60=S$3)*(GMWQ!$LP$2:$LP$60=S$4)*(GMWQ!$LR$2:$LR$60=S$1),0),$B277-1966)</f>
        <v>382.65050000000002</v>
      </c>
      <c r="T277" s="7" cm="1">
        <f t="array" ref="T277">INDEX(GMWQ!$A$2:$LR$60,MATCH(1,(GMWQ!$LQ$2:$LQ$60=T$3)*(GMWQ!$LP$2:$LP$60=T$4)*(GMWQ!$LR$2:$LR$60=T$1),0),$B277-1966)</f>
        <v>137815.9</v>
      </c>
      <c r="U277" s="7" cm="1">
        <f t="array" ref="U277">INDEX(GMWQ!$A$2:$LR$60,MATCH(1,(GMWQ!$LQ$2:$LQ$60=U$3)*(GMWQ!$LP$2:$LP$60=U$4)*(GMWQ!$LR$2:$LR$60=U$1),0),$B277-1966)</f>
        <v>19124.22</v>
      </c>
      <c r="V277" s="7" cm="1">
        <f t="array" ref="V277">INDEX(GMWQ!$A$2:$LR$60,MATCH(1,(GMWQ!$LQ$2:$LQ$60=V$3)*(GMWQ!$LP$2:$LP$60=V$4)*(GMWQ!$LR$2:$LR$60=V$1),0),$B277-1966)</f>
        <v>1.364805E-3</v>
      </c>
      <c r="W277" s="7" cm="1">
        <f t="array" ref="W277">INDEX(GMWQ!$A$2:$LR$60,MATCH(1,(GMWQ!$LQ$2:$LQ$60=W$3)*(GMWQ!$LP$2:$LP$60=W$4)*(GMWQ!$LR$2:$LR$60=W$1),0),$B277-1966)</f>
        <v>9.2596520000000009</v>
      </c>
      <c r="X277" s="7" cm="1">
        <f t="array" ref="X277">INDEX(GMWQ!$A$2:$LR$60,MATCH(1,(GMWQ!$LQ$2:$LQ$60=X$3)*(GMWQ!$LP$2:$LP$60=X$4)*(GMWQ!$LR$2:$LR$60=X$1),0),$B277-1966)</f>
        <v>11047220</v>
      </c>
      <c r="Y277" s="7" cm="1">
        <f t="array" ref="Y277">INDEX(GMWQ!$A$2:$LR$60,MATCH(1,(GMWQ!$LQ$2:$LQ$60=Y$3)*(GMWQ!$LP$2:$LP$60=Y$4)*(GMWQ!$LR$2:$LR$60=Y$1),0),$B277-1966)</f>
        <v>170.15559999999999</v>
      </c>
      <c r="Z277" s="7" cm="1">
        <f t="array" ref="Z277">INDEX(GMWQ!$A$2:$LR$60,MATCH(1,(GMWQ!$LQ$2:$LQ$60=Z$3)*(GMWQ!$LP$2:$LP$60=Z$4)*(GMWQ!$LR$2:$LR$60=Z$1),0),$B277-1966)</f>
        <v>734748.9</v>
      </c>
      <c r="AA277" s="7" cm="1">
        <f t="array" ref="AA277">INDEX(GMWQ!$A$2:$LR$60,MATCH(1,(GMWQ!$LQ$2:$LQ$60=AA$3)*(GMWQ!$LP$2:$LP$60=AA$4)*(GMWQ!$LR$2:$LR$60=AA$1),0),$B277-1966)</f>
        <v>520465.3</v>
      </c>
      <c r="AB277" s="7" cm="1">
        <f t="array" ref="AB277">INDEX(GMWQ!$A$2:$LR$60,MATCH(1,(GMWQ!$LQ$2:$LQ$60=AB$3)*(GMWQ!$LP$2:$LP$60=AB$4)*(GMWQ!$LR$2:$LR$60=AB$1),0),$B277-1966)</f>
        <v>483649.8</v>
      </c>
      <c r="AC277" s="7" cm="1">
        <f t="array" ref="AC277">INDEX(GMWQ!$A$2:$LR$60,MATCH(1,(GMWQ!$LQ$2:$LQ$60=AC$3)*(GMWQ!$LP$2:$LP$60=AC$4)*(GMWQ!$LR$2:$LR$60=AC$1),0),$B277-1966)</f>
        <v>18166.900000000001</v>
      </c>
      <c r="AD277" s="7" cm="1">
        <f t="array" ref="AD277">INDEX(GMWQ!$A$2:$LR$60,MATCH(1,(GMWQ!$LQ$2:$LQ$60=AD$3)*(GMWQ!$LP$2:$LP$60=AD$4)*(GMWQ!$LR$2:$LR$60=AD$1),0),$B277-1966)</f>
        <v>27569.38</v>
      </c>
      <c r="AE277" s="7" cm="1">
        <f t="array" ref="AE277">INDEX(GMWQ!$A$2:$LR$60,MATCH(1,(GMWQ!$LQ$2:$LQ$60=AE$3)*(GMWQ!$LP$2:$LP$60=AE$4)*(GMWQ!$LR$2:$LR$60=AE$1),0),$B277-1966)</f>
        <v>1250218</v>
      </c>
      <c r="AF277" s="20" cm="1">
        <f t="array" ref="AF277">INDEX(GMWQ!$A$2:$LR$60,MATCH(1,(GMWQ!$LQ$2:$LQ$60=AF$3)*(GMWQ!$LP$2:$LP$60=AF$4)*(GMWQ!$LR$2:$LR$60=AF$1),0),$B277-1966)</f>
        <v>2</v>
      </c>
      <c r="AG277" s="20" cm="1">
        <f t="array" ref="AG277">INDEX(GMWQ!$A$2:$LR$60,MATCH(1,(GMWQ!$LQ$2:$LQ$60=AG$3)*(GMWQ!$LP$2:$LP$60=AG$4)*(GMWQ!$LR$2:$LR$60=AG$1),0),$B277-1966)</f>
        <v>-15492.97</v>
      </c>
      <c r="AI277" s="23" cm="1">
        <f t="array" ref="AI277">INDEX(GMWQ!$A$2:$LR$60,MATCH(1,(GMWQ!$LQ$2:$LQ$60=AI$3)*(GMWQ!$LP$2:$LP$60=AI$4)*(GMWQ!$LR$2:$LR$60=AI$1),0),$B277-1966)</f>
        <v>803526.1</v>
      </c>
      <c r="AJ277" s="23" cm="1">
        <f t="array" ref="AJ277">INDEX(GMWQ!$A$2:$LR$60,MATCH(1,(GMWQ!$LQ$2:$LQ$60=AJ$3)*(GMWQ!$LP$2:$LP$60=AJ$4)*(GMWQ!$LR$2:$LR$60=AJ$1),0),$B277-1966)</f>
        <v>168.15600000000001</v>
      </c>
      <c r="AK277" s="23" cm="1">
        <f t="array" ref="AK277">INDEX(GMWQ!$A$2:$LR$60,MATCH(1,(GMWQ!$LQ$2:$LQ$60=AK$3)*(GMWQ!$LP$2:$LP$60=AK$4)*(GMWQ!$LR$2:$LR$60=AK$1),0),$B277-1966)</f>
        <v>505859</v>
      </c>
      <c r="AL277" s="23" cm="1">
        <f t="array" ref="AL277">INDEX(GMWQ!$A$2:$LR$60,MATCH(1,(GMWQ!$LQ$2:$LQ$60=AL$3)*(GMWQ!$LP$2:$LP$60=AL$4)*(GMWQ!$LR$2:$LR$60=AL$1),0),$B277-1966)</f>
        <v>15855.29</v>
      </c>
      <c r="AM277" s="23" cm="1">
        <f t="array" ref="AM277">INDEX(GMWQ!$A$2:$LR$60,MATCH(1,(GMWQ!$LQ$2:$LQ$60=AM$3)*(GMWQ!$LP$2:$LP$60=AM$4)*(GMWQ!$LR$2:$LR$60=AM$1),0),$B277-1966)</f>
        <v>31904.75</v>
      </c>
      <c r="AN277" s="23" cm="1">
        <f t="array" ref="AN277">INDEX(GMWQ!$A$2:$LR$60,MATCH(1,(GMWQ!$LQ$2:$LQ$60=AN$3)*(GMWQ!$LP$2:$LP$60=AN$4)*(GMWQ!$LR$2:$LR$60=AN$1),0),$B277-1966)</f>
        <v>149903.6</v>
      </c>
      <c r="AO277" s="23" cm="1">
        <f t="array" ref="AO277">INDEX(GMWQ!$A$2:$LR$60,MATCH(1,(GMWQ!$LQ$2:$LQ$60=AO$3)*(GMWQ!$LP$2:$LP$60=AO$4)*(GMWQ!$LR$2:$LR$60=AO$1),0),$B277-1966)</f>
        <v>34019.019999999997</v>
      </c>
      <c r="AP277" s="23" cm="1">
        <f t="array" ref="AP277">INDEX(GMWQ!$A$2:$LR$60,MATCH(1,(GMWQ!$LQ$2:$LQ$60=AP$3)*(GMWQ!$LP$2:$LP$60=AP$4)*(GMWQ!$LR$2:$LR$60=AP$1),0),$B277-1966)</f>
        <v>-15492.97</v>
      </c>
      <c r="AQ277" s="23" cm="1">
        <f t="array" ref="AQ277">INDEX(GMWQ!$A$2:$LR$60,MATCH(1,(GMWQ!$LQ$2:$LQ$60=AQ$3)*(GMWQ!$LP$2:$LP$60=AQ$4)*(GMWQ!$LR$2:$LR$60=AQ$1),0),$B277-1966)</f>
        <v>175927</v>
      </c>
      <c r="AR277" s="23" cm="1">
        <f t="array" ref="AR277">INDEX(GMWQ!$A$2:$LR$60,MATCH(1,(GMWQ!$LQ$2:$LQ$60=AR$3)*(GMWQ!$LP$2:$LP$60=AR$4)*(GMWQ!$LR$2:$LR$60=AR$1),0),$B277-1966)</f>
        <v>741879.2</v>
      </c>
      <c r="AS277" s="23" cm="1">
        <f t="array" ref="AS277">INDEX(GMWQ!$A$2:$LR$60,MATCH(1,(GMWQ!$LQ$2:$LQ$60=AS$3)*(GMWQ!$LP$2:$LP$60=AS$4)*(GMWQ!$LR$2:$LR$60=AS$1),0),$B277-1966)</f>
        <v>25367.96</v>
      </c>
      <c r="AT277" s="23" cm="1">
        <f t="array" ref="AT277">INDEX(GMWQ!$A$2:$LR$60,MATCH(1,(GMWQ!$LQ$2:$LQ$60=AT$3)*(GMWQ!$LP$2:$LP$60=AT$4)*(GMWQ!$LR$2:$LR$60=AT$1),0),$B277-1966)</f>
        <v>441185.1</v>
      </c>
      <c r="AU277" s="23" cm="1">
        <f t="array" ref="AU277">INDEX(GMWQ!$A$2:$LR$60,MATCH(1,(GMWQ!$LQ$2:$LQ$60=AU$3)*(GMWQ!$LP$2:$LP$60=AU$4)*(GMWQ!$LR$2:$LR$60=AU$1),0),$B277-1966)</f>
        <v>15703.31</v>
      </c>
    </row>
    <row r="278" spans="1:47" x14ac:dyDescent="0.35">
      <c r="B278" s="7">
        <f t="shared" si="5"/>
        <v>2244</v>
      </c>
      <c r="C278" s="7" cm="1">
        <f t="array" ref="C278">INDEX(GMWQ!$A$2:$LR$60,MATCH(1,(GMWQ!$LQ$2:$LQ$60=C$3)*(GMWQ!$LP$2:$LP$60=C$4)*(GMWQ!$LR$2:$LR$60=C$1),0),$B278-1966)</f>
        <v>737591.1</v>
      </c>
      <c r="D278" s="7" cm="1">
        <f t="array" ref="D278">INDEX(GMWQ!$A$2:$LR$60,MATCH(1,(GMWQ!$LQ$2:$LQ$60=D$3)*(GMWQ!$LP$2:$LP$60=D$4)*(GMWQ!$LR$2:$LR$60=D$1),0),$B278-1966)</f>
        <v>1098.8979999999999</v>
      </c>
      <c r="E278" s="7" cm="1">
        <f t="array" ref="E278">INDEX(GMWQ!$A$2:$LR$60,MATCH(1,(GMWQ!$LQ$2:$LQ$60=E$3)*(GMWQ!$LP$2:$LP$60=E$4)*(GMWQ!$LR$2:$LR$60=E$1),0),$B278-1966)</f>
        <v>185.42930000000001</v>
      </c>
      <c r="F278" s="7" cm="1">
        <f t="array" ref="F278">INDEX(GMWQ!$A$2:$LR$60,MATCH(1,(GMWQ!$LQ$2:$LQ$60=F$3)*(GMWQ!$LP$2:$LP$60=F$4)*(GMWQ!$LR$2:$LR$60=F$1),0),$B278-1966)</f>
        <v>510362.1</v>
      </c>
      <c r="G278" s="7" cm="1">
        <f t="array" ref="G278">INDEX(GMWQ!$A$2:$LR$60,MATCH(1,(GMWQ!$LQ$2:$LQ$60=G$3)*(GMWQ!$LP$2:$LP$60=G$4)*(GMWQ!$LR$2:$LR$60=G$1),0),$B278-1966)</f>
        <v>151424.70000000001</v>
      </c>
      <c r="H278" s="7" cm="1">
        <f t="array" ref="H278">INDEX(GMWQ!$A$2:$LR$60,MATCH(1,(GMWQ!$LQ$2:$LQ$60=H$3)*(GMWQ!$LP$2:$LP$60=H$4)*(GMWQ!$LR$2:$LR$60=H$1),0),$B278-1966)</f>
        <v>34321.85</v>
      </c>
      <c r="I278" s="7" cm="1">
        <f t="array" ref="I278">INDEX(GMWQ!$A$2:$LR$60,MATCH(1,(GMWQ!$LQ$2:$LQ$60=I$3)*(GMWQ!$LP$2:$LP$60=I$4)*(GMWQ!$LR$2:$LR$60=I$1),0),$B278-1966)</f>
        <v>168.99039999999999</v>
      </c>
      <c r="J278" s="7" cm="1">
        <f t="array" ref="J278">INDEX(GMWQ!$A$2:$LR$60,MATCH(1,(GMWQ!$LQ$2:$LQ$60=J$3)*(GMWQ!$LP$2:$LP$60=J$4)*(GMWQ!$LR$2:$LR$60=J$1),0),$B278-1966)</f>
        <v>31937.49</v>
      </c>
      <c r="K278" s="7" cm="1">
        <f t="array" ref="K278">INDEX(GMWQ!$A$2:$LR$60,MATCH(1,(GMWQ!$LQ$2:$LQ$60=K$3)*(GMWQ!$LP$2:$LP$60=K$4)*(GMWQ!$LR$2:$LR$60=K$1),0),$B278-1966)</f>
        <v>2</v>
      </c>
      <c r="L278" s="7" cm="1">
        <f t="array" ref="L278">INDEX(GMWQ!$A$2:$LR$60,MATCH(1,(GMWQ!$LQ$2:$LQ$60=L$3)*(GMWQ!$LP$2:$LP$60=L$4)*(GMWQ!$LR$2:$LR$60=L$1),0),$B278-1966)</f>
        <v>3.75</v>
      </c>
      <c r="M278" s="7" cm="1">
        <f t="array" ref="M278">INDEX(GMWQ!$A$2:$LR$60,MATCH(1,(GMWQ!$LQ$2:$LQ$60=M$3)*(GMWQ!$LP$2:$LP$60=M$4)*(GMWQ!$LR$2:$LR$60=M$1),0),$B278-1966)</f>
        <v>248.8329</v>
      </c>
      <c r="N278" s="7" cm="1">
        <f t="array" ref="N278">INDEX(GMWQ!$A$2:$LR$60,MATCH(1,(GMWQ!$LQ$2:$LQ$60=N$3)*(GMWQ!$LP$2:$LP$60=N$4)*(GMWQ!$LR$2:$LR$60=N$1),0),$B278-1966)</f>
        <v>37287.550000000003</v>
      </c>
      <c r="O278" s="7" cm="1">
        <f t="array" ref="O278">INDEX(GMWQ!$A$2:$LR$60,MATCH(1,(GMWQ!$LQ$2:$LQ$60=O$3)*(GMWQ!$LP$2:$LP$60=O$4)*(GMWQ!$LR$2:$LR$60=O$1),0),$B278-1966)</f>
        <v>21620.07</v>
      </c>
      <c r="P278" s="7" cm="1">
        <f t="array" ref="P278">INDEX(GMWQ!$A$2:$LR$60,MATCH(1,(GMWQ!$LQ$2:$LQ$60=P$3)*(GMWQ!$LP$2:$LP$60=P$4)*(GMWQ!$LR$2:$LR$60=P$1),0),$B278-1966)</f>
        <v>810651.4</v>
      </c>
      <c r="Q278" s="7" cm="1">
        <f t="array" ref="Q278">INDEX(GMWQ!$A$2:$LR$60,MATCH(1,(GMWQ!$LQ$2:$LQ$60=Q$3)*(GMWQ!$LP$2:$LP$60=Q$4)*(GMWQ!$LR$2:$LR$60=Q$1),0),$B278-1966)</f>
        <v>3.5</v>
      </c>
      <c r="R278" s="7" cm="1">
        <f t="array" ref="R278">INDEX(GMWQ!$A$2:$LR$60,MATCH(1,(GMWQ!$LQ$2:$LQ$60=R$3)*(GMWQ!$LP$2:$LP$60=R$4)*(GMWQ!$LR$2:$LR$60=R$1),0),$B278-1966)</f>
        <v>256517</v>
      </c>
      <c r="S278" s="7" cm="1">
        <f t="array" ref="S278">INDEX(GMWQ!$A$2:$LR$60,MATCH(1,(GMWQ!$LQ$2:$LQ$60=S$3)*(GMWQ!$LP$2:$LP$60=S$4)*(GMWQ!$LR$2:$LR$60=S$1),0),$B278-1966)</f>
        <v>382.66329999999999</v>
      </c>
      <c r="T278" s="7" cm="1">
        <f t="array" ref="T278">INDEX(GMWQ!$A$2:$LR$60,MATCH(1,(GMWQ!$LQ$2:$LQ$60=T$3)*(GMWQ!$LP$2:$LP$60=T$4)*(GMWQ!$LR$2:$LR$60=T$1),0),$B278-1966)</f>
        <v>138377.5</v>
      </c>
      <c r="U278" s="7" cm="1">
        <f t="array" ref="U278">INDEX(GMWQ!$A$2:$LR$60,MATCH(1,(GMWQ!$LQ$2:$LQ$60=U$3)*(GMWQ!$LP$2:$LP$60=U$4)*(GMWQ!$LR$2:$LR$60=U$1),0),$B278-1966)</f>
        <v>18944.5</v>
      </c>
      <c r="V278" s="7" cm="1">
        <f t="array" ref="V278">INDEX(GMWQ!$A$2:$LR$60,MATCH(1,(GMWQ!$LQ$2:$LQ$60=V$3)*(GMWQ!$LP$2:$LP$60=V$4)*(GMWQ!$LR$2:$LR$60=V$1),0),$B278-1966)</f>
        <v>1.3644589999999999E-3</v>
      </c>
      <c r="W278" s="7" cm="1">
        <f t="array" ref="W278">INDEX(GMWQ!$A$2:$LR$60,MATCH(1,(GMWQ!$LQ$2:$LQ$60=W$3)*(GMWQ!$LP$2:$LP$60=W$4)*(GMWQ!$LR$2:$LR$60=W$1),0),$B278-1966)</f>
        <v>9.254429</v>
      </c>
      <c r="X278" s="7" cm="1">
        <f t="array" ref="X278">INDEX(GMWQ!$A$2:$LR$60,MATCH(1,(GMWQ!$LQ$2:$LQ$60=X$3)*(GMWQ!$LP$2:$LP$60=X$4)*(GMWQ!$LR$2:$LR$60=X$1),0),$B278-1966)</f>
        <v>11135920</v>
      </c>
      <c r="Y278" s="7" cm="1">
        <f t="array" ref="Y278">INDEX(GMWQ!$A$2:$LR$60,MATCH(1,(GMWQ!$LQ$2:$LQ$60=Y$3)*(GMWQ!$LP$2:$LP$60=Y$4)*(GMWQ!$LR$2:$LR$60=Y$1),0),$B278-1966)</f>
        <v>171.0779</v>
      </c>
      <c r="Z278" s="7" cm="1">
        <f t="array" ref="Z278">INDEX(GMWQ!$A$2:$LR$60,MATCH(1,(GMWQ!$LQ$2:$LQ$60=Z$3)*(GMWQ!$LP$2:$LP$60=Z$4)*(GMWQ!$LR$2:$LR$60=Z$1),0),$B278-1966)</f>
        <v>737590.9</v>
      </c>
      <c r="AA278" s="7" cm="1">
        <f t="array" ref="AA278">INDEX(GMWQ!$A$2:$LR$60,MATCH(1,(GMWQ!$LQ$2:$LQ$60=AA$3)*(GMWQ!$LP$2:$LP$60=AA$4)*(GMWQ!$LR$2:$LR$60=AA$1),0),$B278-1966)</f>
        <v>505077</v>
      </c>
      <c r="AB278" s="7" cm="1">
        <f t="array" ref="AB278">INDEX(GMWQ!$A$2:$LR$60,MATCH(1,(GMWQ!$LQ$2:$LQ$60=AB$3)*(GMWQ!$LP$2:$LP$60=AB$4)*(GMWQ!$LR$2:$LR$60=AB$1),0),$B278-1966)</f>
        <v>487786.5</v>
      </c>
      <c r="AC278" s="7" cm="1">
        <f t="array" ref="AC278">INDEX(GMWQ!$A$2:$LR$60,MATCH(1,(GMWQ!$LQ$2:$LQ$60=AC$3)*(GMWQ!$LP$2:$LP$60=AC$4)*(GMWQ!$LR$2:$LR$60=AC$1),0),$B278-1966)</f>
        <v>19386.580000000002</v>
      </c>
      <c r="AD278" s="7" cm="1">
        <f t="array" ref="AD278">INDEX(GMWQ!$A$2:$LR$60,MATCH(1,(GMWQ!$LQ$2:$LQ$60=AD$3)*(GMWQ!$LP$2:$LP$60=AD$4)*(GMWQ!$LR$2:$LR$60=AD$1),0),$B278-1966)</f>
        <v>27569.38</v>
      </c>
      <c r="AE278" s="7" cm="1">
        <f t="array" ref="AE278">INDEX(GMWQ!$A$2:$LR$60,MATCH(1,(GMWQ!$LQ$2:$LQ$60=AE$3)*(GMWQ!$LP$2:$LP$60=AE$4)*(GMWQ!$LR$2:$LR$60=AE$1),0),$B278-1966)</f>
        <v>1261855</v>
      </c>
      <c r="AF278" s="20" cm="1">
        <f t="array" ref="AF278">INDEX(GMWQ!$A$2:$LR$60,MATCH(1,(GMWQ!$LQ$2:$LQ$60=AF$3)*(GMWQ!$LP$2:$LP$60=AF$4)*(GMWQ!$LR$2:$LR$60=AF$1),0),$B278-1966)</f>
        <v>2</v>
      </c>
      <c r="AG278" s="20" cm="1">
        <f t="array" ref="AG278">INDEX(GMWQ!$A$2:$LR$60,MATCH(1,(GMWQ!$LQ$2:$LQ$60=AG$3)*(GMWQ!$LP$2:$LP$60=AG$4)*(GMWQ!$LR$2:$LR$60=AG$1),0),$B278-1966)</f>
        <v>-15667.48</v>
      </c>
      <c r="AI278" s="23" cm="1">
        <f t="array" ref="AI278">INDEX(GMWQ!$A$2:$LR$60,MATCH(1,(GMWQ!$LQ$2:$LQ$60=AI$3)*(GMWQ!$LP$2:$LP$60=AI$4)*(GMWQ!$LR$2:$LR$60=AI$1),0),$B278-1966)</f>
        <v>810651.4</v>
      </c>
      <c r="AJ278" s="23" cm="1">
        <f t="array" ref="AJ278">INDEX(GMWQ!$A$2:$LR$60,MATCH(1,(GMWQ!$LQ$2:$LQ$60=AJ$3)*(GMWQ!$LP$2:$LP$60=AJ$4)*(GMWQ!$LR$2:$LR$60=AJ$1),0),$B278-1966)</f>
        <v>168.99039999999999</v>
      </c>
      <c r="AK278" s="23" cm="1">
        <f t="array" ref="AK278">INDEX(GMWQ!$A$2:$LR$60,MATCH(1,(GMWQ!$LQ$2:$LQ$60=AK$3)*(GMWQ!$LP$2:$LP$60=AK$4)*(GMWQ!$LR$2:$LR$60=AK$1),0),$B278-1966)</f>
        <v>510362.1</v>
      </c>
      <c r="AL278" s="23" cm="1">
        <f t="array" ref="AL278">INDEX(GMWQ!$A$2:$LR$60,MATCH(1,(GMWQ!$LQ$2:$LQ$60=AL$3)*(GMWQ!$LP$2:$LP$60=AL$4)*(GMWQ!$LR$2:$LR$60=AL$1),0),$B278-1966)</f>
        <v>15980.03</v>
      </c>
      <c r="AM278" s="23" cm="1">
        <f t="array" ref="AM278">INDEX(GMWQ!$A$2:$LR$60,MATCH(1,(GMWQ!$LQ$2:$LQ$60=AM$3)*(GMWQ!$LP$2:$LP$60=AM$4)*(GMWQ!$LR$2:$LR$60=AM$1),0),$B278-1966)</f>
        <v>31937.49</v>
      </c>
      <c r="AN278" s="23" cm="1">
        <f t="array" ref="AN278">INDEX(GMWQ!$A$2:$LR$60,MATCH(1,(GMWQ!$LQ$2:$LQ$60=AN$3)*(GMWQ!$LP$2:$LP$60=AN$4)*(GMWQ!$LR$2:$LR$60=AN$1),0),$B278-1966)</f>
        <v>151424.70000000001</v>
      </c>
      <c r="AO278" s="23" cm="1">
        <f t="array" ref="AO278">INDEX(GMWQ!$A$2:$LR$60,MATCH(1,(GMWQ!$LQ$2:$LQ$60=AO$3)*(GMWQ!$LP$2:$LP$60=AO$4)*(GMWQ!$LR$2:$LR$60=AO$1),0),$B278-1966)</f>
        <v>34321.85</v>
      </c>
      <c r="AP278" s="23" cm="1">
        <f t="array" ref="AP278">INDEX(GMWQ!$A$2:$LR$60,MATCH(1,(GMWQ!$LQ$2:$LQ$60=AP$3)*(GMWQ!$LP$2:$LP$60=AP$4)*(GMWQ!$LR$2:$LR$60=AP$1),0),$B278-1966)</f>
        <v>-15667.48</v>
      </c>
      <c r="AQ278" s="23" cm="1">
        <f t="array" ref="AQ278">INDEX(GMWQ!$A$2:$LR$60,MATCH(1,(GMWQ!$LQ$2:$LQ$60=AQ$3)*(GMWQ!$LP$2:$LP$60=AQ$4)*(GMWQ!$LR$2:$LR$60=AQ$1),0),$B278-1966)</f>
        <v>177470.3</v>
      </c>
      <c r="AR278" s="23" cm="1">
        <f t="array" ref="AR278">INDEX(GMWQ!$A$2:$LR$60,MATCH(1,(GMWQ!$LQ$2:$LQ$60=AR$3)*(GMWQ!$LP$2:$LP$60=AR$4)*(GMWQ!$LR$2:$LR$60=AR$1),0),$B278-1966)</f>
        <v>748447.3</v>
      </c>
      <c r="AS278" s="23" cm="1">
        <f t="array" ref="AS278">INDEX(GMWQ!$A$2:$LR$60,MATCH(1,(GMWQ!$LQ$2:$LQ$60=AS$3)*(GMWQ!$LP$2:$LP$60=AS$4)*(GMWQ!$LR$2:$LR$60=AS$1),0),$B278-1966)</f>
        <v>25601.62</v>
      </c>
      <c r="AT278" s="23" cm="1">
        <f t="array" ref="AT278">INDEX(GMWQ!$A$2:$LR$60,MATCH(1,(GMWQ!$LQ$2:$LQ$60=AT$3)*(GMWQ!$LP$2:$LP$60=AT$4)*(GMWQ!$LR$2:$LR$60=AT$1),0),$B278-1966)</f>
        <v>442893.4</v>
      </c>
      <c r="AU278" s="23" cm="1">
        <f t="array" ref="AU278">INDEX(GMWQ!$A$2:$LR$60,MATCH(1,(GMWQ!$LQ$2:$LQ$60=AU$3)*(GMWQ!$LP$2:$LP$60=AU$4)*(GMWQ!$LR$2:$LR$60=AU$1),0),$B278-1966)</f>
        <v>15764.04</v>
      </c>
    </row>
    <row r="279" spans="1:47" x14ac:dyDescent="0.35">
      <c r="A279" s="7">
        <v>2041</v>
      </c>
      <c r="B279" s="7">
        <f t="shared" si="5"/>
        <v>2245</v>
      </c>
      <c r="C279" s="7" cm="1">
        <f t="array" ref="C279">INDEX(GMWQ!$A$2:$LR$60,MATCH(1,(GMWQ!$LQ$2:$LQ$60=C$3)*(GMWQ!$LP$2:$LP$60=C$4)*(GMWQ!$LR$2:$LR$60=C$1),0),$B279-1966)</f>
        <v>740390.9</v>
      </c>
      <c r="D279" s="7" cm="1">
        <f t="array" ref="D279">INDEX(GMWQ!$A$2:$LR$60,MATCH(1,(GMWQ!$LQ$2:$LQ$60=D$3)*(GMWQ!$LP$2:$LP$60=D$4)*(GMWQ!$LR$2:$LR$60=D$1),0),$B279-1966)</f>
        <v>1107.549</v>
      </c>
      <c r="E279" s="7" cm="1">
        <f t="array" ref="E279">INDEX(GMWQ!$A$2:$LR$60,MATCH(1,(GMWQ!$LQ$2:$LQ$60=E$3)*(GMWQ!$LP$2:$LP$60=E$4)*(GMWQ!$LR$2:$LR$60=E$1),0),$B279-1966)</f>
        <v>185.62360000000001</v>
      </c>
      <c r="F279" s="7" cm="1">
        <f t="array" ref="F279">INDEX(GMWQ!$A$2:$LR$60,MATCH(1,(GMWQ!$LQ$2:$LQ$60=F$3)*(GMWQ!$LP$2:$LP$60=F$4)*(GMWQ!$LR$2:$LR$60=F$1),0),$B279-1966)</f>
        <v>514855.9</v>
      </c>
      <c r="G279" s="7" cm="1">
        <f t="array" ref="G279">INDEX(GMWQ!$A$2:$LR$60,MATCH(1,(GMWQ!$LQ$2:$LQ$60=G$3)*(GMWQ!$LP$2:$LP$60=G$4)*(GMWQ!$LR$2:$LR$60=G$1),0),$B279-1966)</f>
        <v>152963</v>
      </c>
      <c r="H279" s="7" cm="1">
        <f t="array" ref="H279">INDEX(GMWQ!$A$2:$LR$60,MATCH(1,(GMWQ!$LQ$2:$LQ$60=H$3)*(GMWQ!$LP$2:$LP$60=H$4)*(GMWQ!$LR$2:$LR$60=H$1),0),$B279-1966)</f>
        <v>34624.06</v>
      </c>
      <c r="I279" s="7" cm="1">
        <f t="array" ref="I279">INDEX(GMWQ!$A$2:$LR$60,MATCH(1,(GMWQ!$LQ$2:$LQ$60=I$3)*(GMWQ!$LP$2:$LP$60=I$4)*(GMWQ!$LR$2:$LR$60=I$1),0),$B279-1966)</f>
        <v>169.8289</v>
      </c>
      <c r="J279" s="7" cm="1">
        <f t="array" ref="J279">INDEX(GMWQ!$A$2:$LR$60,MATCH(1,(GMWQ!$LQ$2:$LQ$60=J$3)*(GMWQ!$LP$2:$LP$60=J$4)*(GMWQ!$LR$2:$LR$60=J$1),0),$B279-1966)</f>
        <v>31967.03</v>
      </c>
      <c r="K279" s="7" cm="1">
        <f t="array" ref="K279">INDEX(GMWQ!$A$2:$LR$60,MATCH(1,(GMWQ!$LQ$2:$LQ$60=K$3)*(GMWQ!$LP$2:$LP$60=K$4)*(GMWQ!$LR$2:$LR$60=K$1),0),$B279-1966)</f>
        <v>2</v>
      </c>
      <c r="L279" s="7" cm="1">
        <f t="array" ref="L279">INDEX(GMWQ!$A$2:$LR$60,MATCH(1,(GMWQ!$LQ$2:$LQ$60=L$3)*(GMWQ!$LP$2:$LP$60=L$4)*(GMWQ!$LR$2:$LR$60=L$1),0),$B279-1966)</f>
        <v>3.7499989999999999</v>
      </c>
      <c r="M279" s="7" cm="1">
        <f t="array" ref="M279">INDEX(GMWQ!$A$2:$LR$60,MATCH(1,(GMWQ!$LQ$2:$LQ$60=M$3)*(GMWQ!$LP$2:$LP$60=M$4)*(GMWQ!$LR$2:$LR$60=M$1),0),$B279-1966)</f>
        <v>251.0394</v>
      </c>
      <c r="N279" s="7" cm="1">
        <f t="array" ref="N279">INDEX(GMWQ!$A$2:$LR$60,MATCH(1,(GMWQ!$LQ$2:$LQ$60=N$3)*(GMWQ!$LP$2:$LP$60=N$4)*(GMWQ!$LR$2:$LR$60=N$1),0),$B279-1966)</f>
        <v>37597.910000000003</v>
      </c>
      <c r="O279" s="7" cm="1">
        <f t="array" ref="O279">INDEX(GMWQ!$A$2:$LR$60,MATCH(1,(GMWQ!$LQ$2:$LQ$60=O$3)*(GMWQ!$LP$2:$LP$60=O$4)*(GMWQ!$LR$2:$LR$60=O$1),0),$B279-1966)</f>
        <v>21736.3</v>
      </c>
      <c r="P279" s="7" cm="1">
        <f t="array" ref="P279">INDEX(GMWQ!$A$2:$LR$60,MATCH(1,(GMWQ!$LQ$2:$LQ$60=P$3)*(GMWQ!$LP$2:$LP$60=P$4)*(GMWQ!$LR$2:$LR$60=P$1),0),$B279-1966)</f>
        <v>817837.9</v>
      </c>
      <c r="Q279" s="7" cm="1">
        <f t="array" ref="Q279">INDEX(GMWQ!$A$2:$LR$60,MATCH(1,(GMWQ!$LQ$2:$LQ$60=Q$3)*(GMWQ!$LP$2:$LP$60=Q$4)*(GMWQ!$LR$2:$LR$60=Q$1),0),$B279-1966)</f>
        <v>3.5</v>
      </c>
      <c r="R279" s="7" cm="1">
        <f t="array" ref="R279">INDEX(GMWQ!$A$2:$LR$60,MATCH(1,(GMWQ!$LQ$2:$LQ$60=R$3)*(GMWQ!$LP$2:$LP$60=R$4)*(GMWQ!$LR$2:$LR$60=R$1),0),$B279-1966)</f>
        <v>256524.1</v>
      </c>
      <c r="S279" s="7" cm="1">
        <f t="array" ref="S279">INDEX(GMWQ!$A$2:$LR$60,MATCH(1,(GMWQ!$LQ$2:$LQ$60=S$3)*(GMWQ!$LP$2:$LP$60=S$4)*(GMWQ!$LR$2:$LR$60=S$1),0),$B279-1966)</f>
        <v>382.6739</v>
      </c>
      <c r="T279" s="7" cm="1">
        <f t="array" ref="T279">INDEX(GMWQ!$A$2:$LR$60,MATCH(1,(GMWQ!$LQ$2:$LQ$60=T$3)*(GMWQ!$LP$2:$LP$60=T$4)*(GMWQ!$LR$2:$LR$60=T$1),0),$B279-1966)</f>
        <v>138938.1</v>
      </c>
      <c r="U279" s="7" cm="1">
        <f t="array" ref="U279">INDEX(GMWQ!$A$2:$LR$60,MATCH(1,(GMWQ!$LQ$2:$LQ$60=U$3)*(GMWQ!$LP$2:$LP$60=U$4)*(GMWQ!$LR$2:$LR$60=U$1),0),$B279-1966)</f>
        <v>18770.72</v>
      </c>
      <c r="V279" s="7" cm="1">
        <f t="array" ref="V279">INDEX(GMWQ!$A$2:$LR$60,MATCH(1,(GMWQ!$LQ$2:$LQ$60=V$3)*(GMWQ!$LP$2:$LP$60=V$4)*(GMWQ!$LR$2:$LR$60=V$1),0),$B279-1966)</f>
        <v>1.3633009999999999E-3</v>
      </c>
      <c r="W279" s="7" cm="1">
        <f t="array" ref="W279">INDEX(GMWQ!$A$2:$LR$60,MATCH(1,(GMWQ!$LQ$2:$LQ$60=W$3)*(GMWQ!$LP$2:$LP$60=W$4)*(GMWQ!$LR$2:$LR$60=W$1),0),$B279-1966)</f>
        <v>9.2059239999999996</v>
      </c>
      <c r="X279" s="7" cm="1">
        <f t="array" ref="X279">INDEX(GMWQ!$A$2:$LR$60,MATCH(1,(GMWQ!$LQ$2:$LQ$60=X$3)*(GMWQ!$LP$2:$LP$60=X$4)*(GMWQ!$LR$2:$LR$60=X$1),0),$B279-1966)</f>
        <v>11296110</v>
      </c>
      <c r="Y279" s="7" cm="1">
        <f t="array" ref="Y279">INDEX(GMWQ!$A$2:$LR$60,MATCH(1,(GMWQ!$LQ$2:$LQ$60=Y$3)*(GMWQ!$LP$2:$LP$60=Y$4)*(GMWQ!$LR$2:$LR$60=Y$1),0),$B279-1966)</f>
        <v>172.0052</v>
      </c>
      <c r="Z279" s="7" cm="1">
        <f t="array" ref="Z279">INDEX(GMWQ!$A$2:$LR$60,MATCH(1,(GMWQ!$LQ$2:$LQ$60=Z$3)*(GMWQ!$LP$2:$LP$60=Z$4)*(GMWQ!$LR$2:$LR$60=Z$1),0),$B279-1966)</f>
        <v>740390.9</v>
      </c>
      <c r="AA279" s="7" cm="1">
        <f t="array" ref="AA279">INDEX(GMWQ!$A$2:$LR$60,MATCH(1,(GMWQ!$LQ$2:$LQ$60=AA$3)*(GMWQ!$LP$2:$LP$60=AA$4)*(GMWQ!$LR$2:$LR$60=AA$1),0),$B279-1966)</f>
        <v>570907.80000000005</v>
      </c>
      <c r="AB279" s="7" cm="1">
        <f t="array" ref="AB279">INDEX(GMWQ!$A$2:$LR$60,MATCH(1,(GMWQ!$LQ$2:$LQ$60=AB$3)*(GMWQ!$LP$2:$LP$60=AB$4)*(GMWQ!$LR$2:$LR$60=AB$1),0),$B279-1966)</f>
        <v>486407.2</v>
      </c>
      <c r="AC279" s="7" cm="1">
        <f t="array" ref="AC279">INDEX(GMWQ!$A$2:$LR$60,MATCH(1,(GMWQ!$LQ$2:$LQ$60=AC$3)*(GMWQ!$LP$2:$LP$60=AC$4)*(GMWQ!$LR$2:$LR$60=AC$1),0),$B279-1966)</f>
        <v>34411.410000000003</v>
      </c>
      <c r="AD279" s="7" cm="1">
        <f t="array" ref="AD279">INDEX(GMWQ!$A$2:$LR$60,MATCH(1,(GMWQ!$LQ$2:$LQ$60=AD$3)*(GMWQ!$LP$2:$LP$60=AD$4)*(GMWQ!$LR$2:$LR$60=AD$1),0),$B279-1966)</f>
        <v>27569.38</v>
      </c>
      <c r="AE279" s="7" cm="1">
        <f t="array" ref="AE279">INDEX(GMWQ!$A$2:$LR$60,MATCH(1,(GMWQ!$LQ$2:$LQ$60=AE$3)*(GMWQ!$LP$2:$LP$60=AE$4)*(GMWQ!$LR$2:$LR$60=AE$1),0),$B279-1966)</f>
        <v>1273511</v>
      </c>
      <c r="AF279" s="20" cm="1">
        <f t="array" ref="AF279">INDEX(GMWQ!$A$2:$LR$60,MATCH(1,(GMWQ!$LQ$2:$LQ$60=AF$3)*(GMWQ!$LP$2:$LP$60=AF$4)*(GMWQ!$LR$2:$LR$60=AF$1),0),$B279-1966)</f>
        <v>2</v>
      </c>
      <c r="AG279" s="20" cm="1">
        <f t="array" ref="AG279">INDEX(GMWQ!$A$2:$LR$60,MATCH(1,(GMWQ!$LQ$2:$LQ$60=AG$3)*(GMWQ!$LP$2:$LP$60=AG$4)*(GMWQ!$LR$2:$LR$60=AG$1),0),$B279-1966)</f>
        <v>-15861.61</v>
      </c>
      <c r="AI279" s="23" cm="1">
        <f t="array" ref="AI279">INDEX(GMWQ!$A$2:$LR$60,MATCH(1,(GMWQ!$LQ$2:$LQ$60=AI$3)*(GMWQ!$LP$2:$LP$60=AI$4)*(GMWQ!$LR$2:$LR$60=AI$1),0),$B279-1966)</f>
        <v>817837.9</v>
      </c>
      <c r="AJ279" s="23" cm="1">
        <f t="array" ref="AJ279">INDEX(GMWQ!$A$2:$LR$60,MATCH(1,(GMWQ!$LQ$2:$LQ$60=AJ$3)*(GMWQ!$LP$2:$LP$60=AJ$4)*(GMWQ!$LR$2:$LR$60=AJ$1),0),$B279-1966)</f>
        <v>169.8289</v>
      </c>
      <c r="AK279" s="23" cm="1">
        <f t="array" ref="AK279">INDEX(GMWQ!$A$2:$LR$60,MATCH(1,(GMWQ!$LQ$2:$LQ$60=AK$3)*(GMWQ!$LP$2:$LP$60=AK$4)*(GMWQ!$LR$2:$LR$60=AK$1),0),$B279-1966)</f>
        <v>514855.9</v>
      </c>
      <c r="AL279" s="23" cm="1">
        <f t="array" ref="AL279">INDEX(GMWQ!$A$2:$LR$60,MATCH(1,(GMWQ!$LQ$2:$LQ$60=AL$3)*(GMWQ!$LP$2:$LP$60=AL$4)*(GMWQ!$LR$2:$LR$60=AL$1),0),$B279-1966)</f>
        <v>16105.84</v>
      </c>
      <c r="AM279" s="23" cm="1">
        <f t="array" ref="AM279">INDEX(GMWQ!$A$2:$LR$60,MATCH(1,(GMWQ!$LQ$2:$LQ$60=AM$3)*(GMWQ!$LP$2:$LP$60=AM$4)*(GMWQ!$LR$2:$LR$60=AM$1),0),$B279-1966)</f>
        <v>31967.03</v>
      </c>
      <c r="AN279" s="23" cm="1">
        <f t="array" ref="AN279">INDEX(GMWQ!$A$2:$LR$60,MATCH(1,(GMWQ!$LQ$2:$LQ$60=AN$3)*(GMWQ!$LP$2:$LP$60=AN$4)*(GMWQ!$LR$2:$LR$60=AN$1),0),$B279-1966)</f>
        <v>152963</v>
      </c>
      <c r="AO279" s="23" cm="1">
        <f t="array" ref="AO279">INDEX(GMWQ!$A$2:$LR$60,MATCH(1,(GMWQ!$LQ$2:$LQ$60=AO$3)*(GMWQ!$LP$2:$LP$60=AO$4)*(GMWQ!$LR$2:$LR$60=AO$1),0),$B279-1966)</f>
        <v>34624.06</v>
      </c>
      <c r="AP279" s="23" cm="1">
        <f t="array" ref="AP279">INDEX(GMWQ!$A$2:$LR$60,MATCH(1,(GMWQ!$LQ$2:$LQ$60=AP$3)*(GMWQ!$LP$2:$LP$60=AP$4)*(GMWQ!$LR$2:$LR$60=AP$1),0),$B279-1966)</f>
        <v>-15861.61</v>
      </c>
      <c r="AQ279" s="23" cm="1">
        <f t="array" ref="AQ279">INDEX(GMWQ!$A$2:$LR$60,MATCH(1,(GMWQ!$LQ$2:$LQ$60=AQ$3)*(GMWQ!$LP$2:$LP$60=AQ$4)*(GMWQ!$LR$2:$LR$60=AQ$1),0),$B279-1966)</f>
        <v>179019.7</v>
      </c>
      <c r="AR279" s="23" cm="1">
        <f t="array" ref="AR279">INDEX(GMWQ!$A$2:$LR$60,MATCH(1,(GMWQ!$LQ$2:$LQ$60=AR$3)*(GMWQ!$LP$2:$LP$60=AR$4)*(GMWQ!$LR$2:$LR$60=AR$1),0),$B279-1966)</f>
        <v>755020.1</v>
      </c>
      <c r="AS279" s="23" cm="1">
        <f t="array" ref="AS279">INDEX(GMWQ!$A$2:$LR$60,MATCH(1,(GMWQ!$LQ$2:$LQ$60=AS$3)*(GMWQ!$LP$2:$LP$60=AS$4)*(GMWQ!$LR$2:$LR$60=AS$1),0),$B279-1966)</f>
        <v>25835.43</v>
      </c>
      <c r="AT279" s="23" cm="1">
        <f t="array" ref="AT279">INDEX(GMWQ!$A$2:$LR$60,MATCH(1,(GMWQ!$LQ$2:$LQ$60=AT$3)*(GMWQ!$LP$2:$LP$60=AT$4)*(GMWQ!$LR$2:$LR$60=AT$1),0),$B279-1966)</f>
        <v>444576.9</v>
      </c>
      <c r="AU279" s="23" cm="1">
        <f t="array" ref="AU279">INDEX(GMWQ!$A$2:$LR$60,MATCH(1,(GMWQ!$LQ$2:$LQ$60=AU$3)*(GMWQ!$LP$2:$LP$60=AU$4)*(GMWQ!$LR$2:$LR$60=AU$1),0),$B279-1966)</f>
        <v>15823.88</v>
      </c>
    </row>
    <row r="280" spans="1:47" x14ac:dyDescent="0.35">
      <c r="B280" s="7">
        <f t="shared" si="5"/>
        <v>2246</v>
      </c>
      <c r="C280" s="7" cm="1">
        <f t="array" ref="C280">INDEX(GMWQ!$A$2:$LR$60,MATCH(1,(GMWQ!$LQ$2:$LQ$60=C$3)*(GMWQ!$LP$2:$LP$60=C$4)*(GMWQ!$LR$2:$LR$60=C$1),0),$B280-1966)</f>
        <v>743199.4</v>
      </c>
      <c r="D280" s="7" cm="1">
        <f t="array" ref="D280">INDEX(GMWQ!$A$2:$LR$60,MATCH(1,(GMWQ!$LQ$2:$LQ$60=D$3)*(GMWQ!$LP$2:$LP$60=D$4)*(GMWQ!$LR$2:$LR$60=D$1),0),$B280-1966)</f>
        <v>1116.2760000000001</v>
      </c>
      <c r="E280" s="7" cm="1">
        <f t="array" ref="E280">INDEX(GMWQ!$A$2:$LR$60,MATCH(1,(GMWQ!$LQ$2:$LQ$60=E$3)*(GMWQ!$LP$2:$LP$60=E$4)*(GMWQ!$LR$2:$LR$60=E$1),0),$B280-1966)</f>
        <v>187.31909999999999</v>
      </c>
      <c r="F280" s="7" cm="1">
        <f t="array" ref="F280">INDEX(GMWQ!$A$2:$LR$60,MATCH(1,(GMWQ!$LQ$2:$LQ$60=F$3)*(GMWQ!$LP$2:$LP$60=F$4)*(GMWQ!$LR$2:$LR$60=F$1),0),$B280-1966)</f>
        <v>519392.4</v>
      </c>
      <c r="G280" s="7" cm="1">
        <f t="array" ref="G280">INDEX(GMWQ!$A$2:$LR$60,MATCH(1,(GMWQ!$LQ$2:$LQ$60=G$3)*(GMWQ!$LP$2:$LP$60=G$4)*(GMWQ!$LR$2:$LR$60=G$1),0),$B280-1966)</f>
        <v>153950.20000000001</v>
      </c>
      <c r="H280" s="7" cm="1">
        <f t="array" ref="H280">INDEX(GMWQ!$A$2:$LR$60,MATCH(1,(GMWQ!$LQ$2:$LQ$60=H$3)*(GMWQ!$LP$2:$LP$60=H$4)*(GMWQ!$LR$2:$LR$60=H$1),0),$B280-1966)</f>
        <v>34929.14</v>
      </c>
      <c r="I280" s="7" cm="1">
        <f t="array" ref="I280">INDEX(GMWQ!$A$2:$LR$60,MATCH(1,(GMWQ!$LQ$2:$LQ$60=I$3)*(GMWQ!$LP$2:$LP$60=I$4)*(GMWQ!$LR$2:$LR$60=I$1),0),$B280-1966)</f>
        <v>170.67160000000001</v>
      </c>
      <c r="J280" s="7" cm="1">
        <f t="array" ref="J280">INDEX(GMWQ!$A$2:$LR$60,MATCH(1,(GMWQ!$LQ$2:$LQ$60=J$3)*(GMWQ!$LP$2:$LP$60=J$4)*(GMWQ!$LR$2:$LR$60=J$1),0),$B280-1966)</f>
        <v>31996.57</v>
      </c>
      <c r="K280" s="7" cm="1">
        <f t="array" ref="K280">INDEX(GMWQ!$A$2:$LR$60,MATCH(1,(GMWQ!$LQ$2:$LQ$60=K$3)*(GMWQ!$LP$2:$LP$60=K$4)*(GMWQ!$LR$2:$LR$60=K$1),0),$B280-1966)</f>
        <v>2</v>
      </c>
      <c r="L280" s="7" cm="1">
        <f t="array" ref="L280">INDEX(GMWQ!$A$2:$LR$60,MATCH(1,(GMWQ!$LQ$2:$LQ$60=L$3)*(GMWQ!$LP$2:$LP$60=L$4)*(GMWQ!$LR$2:$LR$60=L$1),0),$B280-1966)</f>
        <v>3.7500270000000002</v>
      </c>
      <c r="M280" s="7" cm="1">
        <f t="array" ref="M280">INDEX(GMWQ!$A$2:$LR$60,MATCH(1,(GMWQ!$LQ$2:$LQ$60=M$3)*(GMWQ!$LP$2:$LP$60=M$4)*(GMWQ!$LR$2:$LR$60=M$1),0),$B280-1966)</f>
        <v>253.26499999999999</v>
      </c>
      <c r="N280" s="7" cm="1">
        <f t="array" ref="N280">INDEX(GMWQ!$A$2:$LR$60,MATCH(1,(GMWQ!$LQ$2:$LQ$60=N$3)*(GMWQ!$LP$2:$LP$60=N$4)*(GMWQ!$LR$2:$LR$60=N$1),0),$B280-1966)</f>
        <v>37908.22</v>
      </c>
      <c r="O280" s="7" cm="1">
        <f t="array" ref="O280">INDEX(GMWQ!$A$2:$LR$60,MATCH(1,(GMWQ!$LQ$2:$LQ$60=O$3)*(GMWQ!$LP$2:$LP$60=O$4)*(GMWQ!$LR$2:$LR$60=O$1),0),$B280-1966)</f>
        <v>21849.59</v>
      </c>
      <c r="P280" s="7" cm="1">
        <f t="array" ref="P280">INDEX(GMWQ!$A$2:$LR$60,MATCH(1,(GMWQ!$LQ$2:$LQ$60=P$3)*(GMWQ!$LP$2:$LP$60=P$4)*(GMWQ!$LR$2:$LR$60=P$1),0),$B280-1966)</f>
        <v>825029.6</v>
      </c>
      <c r="Q280" s="7" cm="1">
        <f t="array" ref="Q280">INDEX(GMWQ!$A$2:$LR$60,MATCH(1,(GMWQ!$LQ$2:$LQ$60=Q$3)*(GMWQ!$LP$2:$LP$60=Q$4)*(GMWQ!$LR$2:$LR$60=Q$1),0),$B280-1966)</f>
        <v>3.5</v>
      </c>
      <c r="R280" s="7" cm="1">
        <f t="array" ref="R280">INDEX(GMWQ!$A$2:$LR$60,MATCH(1,(GMWQ!$LQ$2:$LQ$60=R$3)*(GMWQ!$LP$2:$LP$60=R$4)*(GMWQ!$LR$2:$LR$60=R$1),0),$B280-1966)</f>
        <v>256526.1</v>
      </c>
      <c r="S280" s="7" cm="1">
        <f t="array" ref="S280">INDEX(GMWQ!$A$2:$LR$60,MATCH(1,(GMWQ!$LQ$2:$LQ$60=S$3)*(GMWQ!$LP$2:$LP$60=S$4)*(GMWQ!$LR$2:$LR$60=S$1),0),$B280-1966)</f>
        <v>382.67680000000001</v>
      </c>
      <c r="T280" s="7" cm="1">
        <f t="array" ref="T280">INDEX(GMWQ!$A$2:$LR$60,MATCH(1,(GMWQ!$LQ$2:$LQ$60=T$3)*(GMWQ!$LP$2:$LP$60=T$4)*(GMWQ!$LR$2:$LR$60=T$1),0),$B280-1966)</f>
        <v>139497.20000000001</v>
      </c>
      <c r="U280" s="7" cm="1">
        <f t="array" ref="U280">INDEX(GMWQ!$A$2:$LR$60,MATCH(1,(GMWQ!$LQ$2:$LQ$60=U$3)*(GMWQ!$LP$2:$LP$60=U$4)*(GMWQ!$LR$2:$LR$60=U$1),0),$B280-1966)</f>
        <v>18602.36</v>
      </c>
      <c r="V280" s="7" cm="1">
        <f t="array" ref="V280">INDEX(GMWQ!$A$2:$LR$60,MATCH(1,(GMWQ!$LQ$2:$LQ$60=V$3)*(GMWQ!$LP$2:$LP$60=V$4)*(GMWQ!$LR$2:$LR$60=V$1),0),$B280-1966)</f>
        <v>1.3619649999999999E-3</v>
      </c>
      <c r="W280" s="7" cm="1">
        <f t="array" ref="W280">INDEX(GMWQ!$A$2:$LR$60,MATCH(1,(GMWQ!$LQ$2:$LQ$60=W$3)*(GMWQ!$LP$2:$LP$60=W$4)*(GMWQ!$LR$2:$LR$60=W$1),0),$B280-1966)</f>
        <v>9.2803470000000008</v>
      </c>
      <c r="X280" s="7" cm="1">
        <f t="array" ref="X280">INDEX(GMWQ!$A$2:$LR$60,MATCH(1,(GMWQ!$LQ$2:$LQ$60=X$3)*(GMWQ!$LP$2:$LP$60=X$4)*(GMWQ!$LR$2:$LR$60=X$1),0),$B280-1966)</f>
        <v>11431630</v>
      </c>
      <c r="Y280" s="7" cm="1">
        <f t="array" ref="Y280">INDEX(GMWQ!$A$2:$LR$60,MATCH(1,(GMWQ!$LQ$2:$LQ$60=Y$3)*(GMWQ!$LP$2:$LP$60=Y$4)*(GMWQ!$LR$2:$LR$60=Y$1),0),$B280-1966)</f>
        <v>172.9374</v>
      </c>
      <c r="Z280" s="7" cm="1">
        <f t="array" ref="Z280">INDEX(GMWQ!$A$2:$LR$60,MATCH(1,(GMWQ!$LQ$2:$LQ$60=Z$3)*(GMWQ!$LP$2:$LP$60=Z$4)*(GMWQ!$LR$2:$LR$60=Z$1),0),$B280-1966)</f>
        <v>743198.7</v>
      </c>
      <c r="AA280" s="7" cm="1">
        <f t="array" ref="AA280">INDEX(GMWQ!$A$2:$LR$60,MATCH(1,(GMWQ!$LQ$2:$LQ$60=AA$3)*(GMWQ!$LP$2:$LP$60=AA$4)*(GMWQ!$LR$2:$LR$60=AA$1),0),$B280-1966)</f>
        <v>520440.4</v>
      </c>
      <c r="AB280" s="7" cm="1">
        <f t="array" ref="AB280">INDEX(GMWQ!$A$2:$LR$60,MATCH(1,(GMWQ!$LQ$2:$LQ$60=AB$3)*(GMWQ!$LP$2:$LP$60=AB$4)*(GMWQ!$LR$2:$LR$60=AB$1),0),$B280-1966)</f>
        <v>497585.4</v>
      </c>
      <c r="AC280" s="7" cm="1">
        <f t="array" ref="AC280">INDEX(GMWQ!$A$2:$LR$60,MATCH(1,(GMWQ!$LQ$2:$LQ$60=AC$3)*(GMWQ!$LP$2:$LP$60=AC$4)*(GMWQ!$LR$2:$LR$60=AC$1),0),$B280-1966)</f>
        <v>16553.86</v>
      </c>
      <c r="AD280" s="7" cm="1">
        <f t="array" ref="AD280">INDEX(GMWQ!$A$2:$LR$60,MATCH(1,(GMWQ!$LQ$2:$LQ$60=AD$3)*(GMWQ!$LP$2:$LP$60=AD$4)*(GMWQ!$LR$2:$LR$60=AD$1),0),$B280-1966)</f>
        <v>28606.21</v>
      </c>
      <c r="AE280" s="7" cm="1">
        <f t="array" ref="AE280">INDEX(GMWQ!$A$2:$LR$60,MATCH(1,(GMWQ!$LQ$2:$LQ$60=AE$3)*(GMWQ!$LP$2:$LP$60=AE$4)*(GMWQ!$LR$2:$LR$60=AE$1),0),$B280-1966)</f>
        <v>1285270</v>
      </c>
      <c r="AF280" s="20" cm="1">
        <f t="array" ref="AF280">INDEX(GMWQ!$A$2:$LR$60,MATCH(1,(GMWQ!$LQ$2:$LQ$60=AF$3)*(GMWQ!$LP$2:$LP$60=AF$4)*(GMWQ!$LR$2:$LR$60=AF$1),0),$B280-1966)</f>
        <v>2</v>
      </c>
      <c r="AG280" s="20" cm="1">
        <f t="array" ref="AG280">INDEX(GMWQ!$A$2:$LR$60,MATCH(1,(GMWQ!$LQ$2:$LQ$60=AG$3)*(GMWQ!$LP$2:$LP$60=AG$4)*(GMWQ!$LR$2:$LR$60=AG$1),0),$B280-1966)</f>
        <v>-16058.63</v>
      </c>
      <c r="AI280" s="23" cm="1">
        <f t="array" ref="AI280">INDEX(GMWQ!$A$2:$LR$60,MATCH(1,(GMWQ!$LQ$2:$LQ$60=AI$3)*(GMWQ!$LP$2:$LP$60=AI$4)*(GMWQ!$LR$2:$LR$60=AI$1),0),$B280-1966)</f>
        <v>825029.6</v>
      </c>
      <c r="AJ280" s="23" cm="1">
        <f t="array" ref="AJ280">INDEX(GMWQ!$A$2:$LR$60,MATCH(1,(GMWQ!$LQ$2:$LQ$60=AJ$3)*(GMWQ!$LP$2:$LP$60=AJ$4)*(GMWQ!$LR$2:$LR$60=AJ$1),0),$B280-1966)</f>
        <v>170.67160000000001</v>
      </c>
      <c r="AK280" s="23" cm="1">
        <f t="array" ref="AK280">INDEX(GMWQ!$A$2:$LR$60,MATCH(1,(GMWQ!$LQ$2:$LQ$60=AK$3)*(GMWQ!$LP$2:$LP$60=AK$4)*(GMWQ!$LR$2:$LR$60=AK$1),0),$B280-1966)</f>
        <v>519392.4</v>
      </c>
      <c r="AL280" s="23" cm="1">
        <f t="array" ref="AL280">INDEX(GMWQ!$A$2:$LR$60,MATCH(1,(GMWQ!$LQ$2:$LQ$60=AL$3)*(GMWQ!$LP$2:$LP$60=AL$4)*(GMWQ!$LR$2:$LR$60=AL$1),0),$B280-1966)</f>
        <v>16232.75</v>
      </c>
      <c r="AM280" s="23" cm="1">
        <f t="array" ref="AM280">INDEX(GMWQ!$A$2:$LR$60,MATCH(1,(GMWQ!$LQ$2:$LQ$60=AM$3)*(GMWQ!$LP$2:$LP$60=AM$4)*(GMWQ!$LR$2:$LR$60=AM$1),0),$B280-1966)</f>
        <v>31996.57</v>
      </c>
      <c r="AN280" s="23" cm="1">
        <f t="array" ref="AN280">INDEX(GMWQ!$A$2:$LR$60,MATCH(1,(GMWQ!$LQ$2:$LQ$60=AN$3)*(GMWQ!$LP$2:$LP$60=AN$4)*(GMWQ!$LR$2:$LR$60=AN$1),0),$B280-1966)</f>
        <v>153950.20000000001</v>
      </c>
      <c r="AO280" s="23" cm="1">
        <f t="array" ref="AO280">INDEX(GMWQ!$A$2:$LR$60,MATCH(1,(GMWQ!$LQ$2:$LQ$60=AO$3)*(GMWQ!$LP$2:$LP$60=AO$4)*(GMWQ!$LR$2:$LR$60=AO$1),0),$B280-1966)</f>
        <v>34929.14</v>
      </c>
      <c r="AP280" s="23" cm="1">
        <f t="array" ref="AP280">INDEX(GMWQ!$A$2:$LR$60,MATCH(1,(GMWQ!$LQ$2:$LQ$60=AP$3)*(GMWQ!$LP$2:$LP$60=AP$4)*(GMWQ!$LR$2:$LR$60=AP$1),0),$B280-1966)</f>
        <v>-16058.63</v>
      </c>
      <c r="AQ280" s="23" cm="1">
        <f t="array" ref="AQ280">INDEX(GMWQ!$A$2:$LR$60,MATCH(1,(GMWQ!$LQ$2:$LQ$60=AQ$3)*(GMWQ!$LP$2:$LP$60=AQ$4)*(GMWQ!$LR$2:$LR$60=AQ$1),0),$B280-1966)</f>
        <v>180578.1</v>
      </c>
      <c r="AR280" s="23" cm="1">
        <f t="array" ref="AR280">INDEX(GMWQ!$A$2:$LR$60,MATCH(1,(GMWQ!$LQ$2:$LQ$60=AR$3)*(GMWQ!$LP$2:$LP$60=AR$4)*(GMWQ!$LR$2:$LR$60=AR$1),0),$B280-1966)</f>
        <v>761648.4</v>
      </c>
      <c r="AS280" s="23" cm="1">
        <f t="array" ref="AS280">INDEX(GMWQ!$A$2:$LR$60,MATCH(1,(GMWQ!$LQ$2:$LQ$60=AS$3)*(GMWQ!$LP$2:$LP$60=AS$4)*(GMWQ!$LR$2:$LR$60=AS$1),0),$B280-1966)</f>
        <v>26071.21</v>
      </c>
      <c r="AT280" s="23" cm="1">
        <f t="array" ref="AT280">INDEX(GMWQ!$A$2:$LR$60,MATCH(1,(GMWQ!$LQ$2:$LQ$60=AT$3)*(GMWQ!$LP$2:$LP$60=AT$4)*(GMWQ!$LR$2:$LR$60=AT$1),0),$B280-1966)</f>
        <v>446265.5</v>
      </c>
      <c r="AU280" s="23" cm="1">
        <f t="array" ref="AU280">INDEX(GMWQ!$A$2:$LR$60,MATCH(1,(GMWQ!$LQ$2:$LQ$60=AU$3)*(GMWQ!$LP$2:$LP$60=AU$4)*(GMWQ!$LR$2:$LR$60=AU$1),0),$B280-1966)</f>
        <v>15883.9</v>
      </c>
    </row>
    <row r="281" spans="1:47" x14ac:dyDescent="0.35">
      <c r="B281" s="7">
        <f t="shared" si="5"/>
        <v>2247</v>
      </c>
      <c r="C281" s="7" cm="1">
        <f t="array" ref="C281">INDEX(GMWQ!$A$2:$LR$60,MATCH(1,(GMWQ!$LQ$2:$LQ$60=C$3)*(GMWQ!$LP$2:$LP$60=C$4)*(GMWQ!$LR$2:$LR$60=C$1),0),$B281-1966)</f>
        <v>746016.2</v>
      </c>
      <c r="D281" s="7" cm="1">
        <f t="array" ref="D281">INDEX(GMWQ!$A$2:$LR$60,MATCH(1,(GMWQ!$LQ$2:$LQ$60=D$3)*(GMWQ!$LP$2:$LP$60=D$4)*(GMWQ!$LR$2:$LR$60=D$1),0),$B281-1966)</f>
        <v>1125.08</v>
      </c>
      <c r="E281" s="7" cm="1">
        <f t="array" ref="E281">INDEX(GMWQ!$A$2:$LR$60,MATCH(1,(GMWQ!$LQ$2:$LQ$60=E$3)*(GMWQ!$LP$2:$LP$60=E$4)*(GMWQ!$LR$2:$LR$60=E$1),0),$B281-1966)</f>
        <v>188.3424</v>
      </c>
      <c r="F281" s="7" cm="1">
        <f t="array" ref="F281">INDEX(GMWQ!$A$2:$LR$60,MATCH(1,(GMWQ!$LQ$2:$LQ$60=F$3)*(GMWQ!$LP$2:$LP$60=F$4)*(GMWQ!$LR$2:$LR$60=F$1),0),$B281-1966)</f>
        <v>523971.7</v>
      </c>
      <c r="G281" s="7" cm="1">
        <f t="array" ref="G281">INDEX(GMWQ!$A$2:$LR$60,MATCH(1,(GMWQ!$LQ$2:$LQ$60=G$3)*(GMWQ!$LP$2:$LP$60=G$4)*(GMWQ!$LR$2:$LR$60=G$1),0),$B281-1966)</f>
        <v>155500.5</v>
      </c>
      <c r="H281" s="7" cm="1">
        <f t="array" ref="H281">INDEX(GMWQ!$A$2:$LR$60,MATCH(1,(GMWQ!$LQ$2:$LQ$60=H$3)*(GMWQ!$LP$2:$LP$60=H$4)*(GMWQ!$LR$2:$LR$60=H$1),0),$B281-1966)</f>
        <v>35237.1</v>
      </c>
      <c r="I281" s="7" cm="1">
        <f t="array" ref="I281">INDEX(GMWQ!$A$2:$LR$60,MATCH(1,(GMWQ!$LQ$2:$LQ$60=I$3)*(GMWQ!$LP$2:$LP$60=I$4)*(GMWQ!$LR$2:$LR$60=I$1),0),$B281-1966)</f>
        <v>171.51849999999999</v>
      </c>
      <c r="J281" s="7" cm="1">
        <f t="array" ref="J281">INDEX(GMWQ!$A$2:$LR$60,MATCH(1,(GMWQ!$LQ$2:$LQ$60=J$3)*(GMWQ!$LP$2:$LP$60=J$4)*(GMWQ!$LR$2:$LR$60=J$1),0),$B281-1966)</f>
        <v>32026.12</v>
      </c>
      <c r="K281" s="7" cm="1">
        <f t="array" ref="K281">INDEX(GMWQ!$A$2:$LR$60,MATCH(1,(GMWQ!$LQ$2:$LQ$60=K$3)*(GMWQ!$LP$2:$LP$60=K$4)*(GMWQ!$LR$2:$LR$60=K$1),0),$B281-1966)</f>
        <v>2</v>
      </c>
      <c r="L281" s="7" cm="1">
        <f t="array" ref="L281">INDEX(GMWQ!$A$2:$LR$60,MATCH(1,(GMWQ!$LQ$2:$LQ$60=L$3)*(GMWQ!$LP$2:$LP$60=L$4)*(GMWQ!$LR$2:$LR$60=L$1),0),$B281-1966)</f>
        <v>3.7500049999999998</v>
      </c>
      <c r="M281" s="7" cm="1">
        <f t="array" ref="M281">INDEX(GMWQ!$A$2:$LR$60,MATCH(1,(GMWQ!$LQ$2:$LQ$60=M$3)*(GMWQ!$LP$2:$LP$60=M$4)*(GMWQ!$LR$2:$LR$60=M$1),0),$B281-1966)</f>
        <v>255.49199999999999</v>
      </c>
      <c r="N281" s="7" cm="1">
        <f t="array" ref="N281">INDEX(GMWQ!$A$2:$LR$60,MATCH(1,(GMWQ!$LQ$2:$LQ$60=N$3)*(GMWQ!$LP$2:$LP$60=N$4)*(GMWQ!$LR$2:$LR$60=N$1),0),$B281-1966)</f>
        <v>38218.5</v>
      </c>
      <c r="O281" s="7" cm="1">
        <f t="array" ref="O281">INDEX(GMWQ!$A$2:$LR$60,MATCH(1,(GMWQ!$LQ$2:$LQ$60=O$3)*(GMWQ!$LP$2:$LP$60=O$4)*(GMWQ!$LR$2:$LR$60=O$1),0),$B281-1966)</f>
        <v>21966.52</v>
      </c>
      <c r="P281" s="7" cm="1">
        <f t="array" ref="P281">INDEX(GMWQ!$A$2:$LR$60,MATCH(1,(GMWQ!$LQ$2:$LQ$60=P$3)*(GMWQ!$LP$2:$LP$60=P$4)*(GMWQ!$LR$2:$LR$60=P$1),0),$B281-1966)</f>
        <v>832282</v>
      </c>
      <c r="Q281" s="7" cm="1">
        <f t="array" ref="Q281">INDEX(GMWQ!$A$2:$LR$60,MATCH(1,(GMWQ!$LQ$2:$LQ$60=Q$3)*(GMWQ!$LP$2:$LP$60=Q$4)*(GMWQ!$LR$2:$LR$60=Q$1),0),$B281-1966)</f>
        <v>3.5</v>
      </c>
      <c r="R281" s="7" cm="1">
        <f t="array" ref="R281">INDEX(GMWQ!$A$2:$LR$60,MATCH(1,(GMWQ!$LQ$2:$LQ$60=R$3)*(GMWQ!$LP$2:$LP$60=R$4)*(GMWQ!$LR$2:$LR$60=R$1),0),$B281-1966)</f>
        <v>256524.4</v>
      </c>
      <c r="S281" s="7" cm="1">
        <f t="array" ref="S281">INDEX(GMWQ!$A$2:$LR$60,MATCH(1,(GMWQ!$LQ$2:$LQ$60=S$3)*(GMWQ!$LP$2:$LP$60=S$4)*(GMWQ!$LR$2:$LR$60=S$1),0),$B281-1966)</f>
        <v>382.67430000000002</v>
      </c>
      <c r="T281" s="7" cm="1">
        <f t="array" ref="T281">INDEX(GMWQ!$A$2:$LR$60,MATCH(1,(GMWQ!$LQ$2:$LQ$60=T$3)*(GMWQ!$LP$2:$LP$60=T$4)*(GMWQ!$LR$2:$LR$60=T$1),0),$B281-1966)</f>
        <v>140051.6</v>
      </c>
      <c r="U281" s="7" cm="1">
        <f t="array" ref="U281">INDEX(GMWQ!$A$2:$LR$60,MATCH(1,(GMWQ!$LQ$2:$LQ$60=U$3)*(GMWQ!$LP$2:$LP$60=U$4)*(GMWQ!$LR$2:$LR$60=U$1),0),$B281-1966)</f>
        <v>18436.02</v>
      </c>
      <c r="V281" s="7" cm="1">
        <f t="array" ref="V281">INDEX(GMWQ!$A$2:$LR$60,MATCH(1,(GMWQ!$LQ$2:$LQ$60=V$3)*(GMWQ!$LP$2:$LP$60=V$4)*(GMWQ!$LR$2:$LR$60=V$1),0),$B281-1966)</f>
        <v>1.3609119999999999E-3</v>
      </c>
      <c r="W281" s="7" cm="1">
        <f t="array" ref="W281">INDEX(GMWQ!$A$2:$LR$60,MATCH(1,(GMWQ!$LQ$2:$LQ$60=W$3)*(GMWQ!$LP$2:$LP$60=W$4)*(GMWQ!$LR$2:$LR$60=W$1),0),$B281-1966)</f>
        <v>9.2751470000000005</v>
      </c>
      <c r="X281" s="7" cm="1">
        <f t="array" ref="X281">INDEX(GMWQ!$A$2:$LR$60,MATCH(1,(GMWQ!$LQ$2:$LQ$60=X$3)*(GMWQ!$LP$2:$LP$60=X$4)*(GMWQ!$LR$2:$LR$60=X$1),0),$B281-1966)</f>
        <v>11551210</v>
      </c>
      <c r="Y281" s="7" cm="1">
        <f t="array" ref="Y281">INDEX(GMWQ!$A$2:$LR$60,MATCH(1,(GMWQ!$LQ$2:$LQ$60=Y$3)*(GMWQ!$LP$2:$LP$60=Y$4)*(GMWQ!$LR$2:$LR$60=Y$1),0),$B281-1966)</f>
        <v>173.87469999999999</v>
      </c>
      <c r="Z281" s="7" cm="1">
        <f t="array" ref="Z281">INDEX(GMWQ!$A$2:$LR$60,MATCH(1,(GMWQ!$LQ$2:$LQ$60=Z$3)*(GMWQ!$LP$2:$LP$60=Z$4)*(GMWQ!$LR$2:$LR$60=Z$1),0),$B281-1966)</f>
        <v>746015</v>
      </c>
      <c r="AA281" s="7" cm="1">
        <f t="array" ref="AA281">INDEX(GMWQ!$A$2:$LR$60,MATCH(1,(GMWQ!$LQ$2:$LQ$60=AA$3)*(GMWQ!$LP$2:$LP$60=AA$4)*(GMWQ!$LR$2:$LR$60=AA$1),0),$B281-1966)</f>
        <v>540060.1</v>
      </c>
      <c r="AB281" s="7" cm="1">
        <f t="array" ref="AB281">INDEX(GMWQ!$A$2:$LR$60,MATCH(1,(GMWQ!$LQ$2:$LQ$60=AB$3)*(GMWQ!$LP$2:$LP$60=AB$4)*(GMWQ!$LR$2:$LR$60=AB$1),0),$B281-1966)</f>
        <v>501952.4</v>
      </c>
      <c r="AC281" s="7" cm="1">
        <f t="array" ref="AC281">INDEX(GMWQ!$A$2:$LR$60,MATCH(1,(GMWQ!$LQ$2:$LQ$60=AC$3)*(GMWQ!$LP$2:$LP$60=AC$4)*(GMWQ!$LR$2:$LR$60=AC$1),0),$B281-1966)</f>
        <v>18848.63</v>
      </c>
      <c r="AD281" s="7" cm="1">
        <f t="array" ref="AD281">INDEX(GMWQ!$A$2:$LR$60,MATCH(1,(GMWQ!$LQ$2:$LQ$60=AD$3)*(GMWQ!$LP$2:$LP$60=AD$4)*(GMWQ!$LR$2:$LR$60=AD$1),0),$B281-1966)</f>
        <v>28606.21</v>
      </c>
      <c r="AE281" s="7" cm="1">
        <f t="array" ref="AE281">INDEX(GMWQ!$A$2:$LR$60,MATCH(1,(GMWQ!$LQ$2:$LQ$60=AE$3)*(GMWQ!$LP$2:$LP$60=AE$4)*(GMWQ!$LR$2:$LR$60=AE$1),0),$B281-1966)</f>
        <v>1297134</v>
      </c>
      <c r="AF281" s="20" cm="1">
        <f t="array" ref="AF281">INDEX(GMWQ!$A$2:$LR$60,MATCH(1,(GMWQ!$LQ$2:$LQ$60=AF$3)*(GMWQ!$LP$2:$LP$60=AF$4)*(GMWQ!$LR$2:$LR$60=AF$1),0),$B281-1966)</f>
        <v>2</v>
      </c>
      <c r="AG281" s="20" cm="1">
        <f t="array" ref="AG281">INDEX(GMWQ!$A$2:$LR$60,MATCH(1,(GMWQ!$LQ$2:$LQ$60=AG$3)*(GMWQ!$LP$2:$LP$60=AG$4)*(GMWQ!$LR$2:$LR$60=AG$1),0),$B281-1966)</f>
        <v>-16251.98</v>
      </c>
      <c r="AI281" s="23" cm="1">
        <f t="array" ref="AI281">INDEX(GMWQ!$A$2:$LR$60,MATCH(1,(GMWQ!$LQ$2:$LQ$60=AI$3)*(GMWQ!$LP$2:$LP$60=AI$4)*(GMWQ!$LR$2:$LR$60=AI$1),0),$B281-1966)</f>
        <v>832282</v>
      </c>
      <c r="AJ281" s="23" cm="1">
        <f t="array" ref="AJ281">INDEX(GMWQ!$A$2:$LR$60,MATCH(1,(GMWQ!$LQ$2:$LQ$60=AJ$3)*(GMWQ!$LP$2:$LP$60=AJ$4)*(GMWQ!$LR$2:$LR$60=AJ$1),0),$B281-1966)</f>
        <v>171.51849999999999</v>
      </c>
      <c r="AK281" s="23" cm="1">
        <f t="array" ref="AK281">INDEX(GMWQ!$A$2:$LR$60,MATCH(1,(GMWQ!$LQ$2:$LQ$60=AK$3)*(GMWQ!$LP$2:$LP$60=AK$4)*(GMWQ!$LR$2:$LR$60=AK$1),0),$B281-1966)</f>
        <v>523971.7</v>
      </c>
      <c r="AL281" s="23" cm="1">
        <f t="array" ref="AL281">INDEX(GMWQ!$A$2:$LR$60,MATCH(1,(GMWQ!$LQ$2:$LQ$60=AL$3)*(GMWQ!$LP$2:$LP$60=AL$4)*(GMWQ!$LR$2:$LR$60=AL$1),0),$B281-1966)</f>
        <v>16360.76</v>
      </c>
      <c r="AM281" s="23" cm="1">
        <f t="array" ref="AM281">INDEX(GMWQ!$A$2:$LR$60,MATCH(1,(GMWQ!$LQ$2:$LQ$60=AM$3)*(GMWQ!$LP$2:$LP$60=AM$4)*(GMWQ!$LR$2:$LR$60=AM$1),0),$B281-1966)</f>
        <v>32026.12</v>
      </c>
      <c r="AN281" s="23" cm="1">
        <f t="array" ref="AN281">INDEX(GMWQ!$A$2:$LR$60,MATCH(1,(GMWQ!$LQ$2:$LQ$60=AN$3)*(GMWQ!$LP$2:$LP$60=AN$4)*(GMWQ!$LR$2:$LR$60=AN$1),0),$B281-1966)</f>
        <v>155500.5</v>
      </c>
      <c r="AO281" s="23" cm="1">
        <f t="array" ref="AO281">INDEX(GMWQ!$A$2:$LR$60,MATCH(1,(GMWQ!$LQ$2:$LQ$60=AO$3)*(GMWQ!$LP$2:$LP$60=AO$4)*(GMWQ!$LR$2:$LR$60=AO$1),0),$B281-1966)</f>
        <v>35237.1</v>
      </c>
      <c r="AP281" s="23" cm="1">
        <f t="array" ref="AP281">INDEX(GMWQ!$A$2:$LR$60,MATCH(1,(GMWQ!$LQ$2:$LQ$60=AP$3)*(GMWQ!$LP$2:$LP$60=AP$4)*(GMWQ!$LR$2:$LR$60=AP$1),0),$B281-1966)</f>
        <v>-16251.98</v>
      </c>
      <c r="AQ281" s="23" cm="1">
        <f t="array" ref="AQ281">INDEX(GMWQ!$A$2:$LR$60,MATCH(1,(GMWQ!$LQ$2:$LQ$60=AQ$3)*(GMWQ!$LP$2:$LP$60=AQ$4)*(GMWQ!$LR$2:$LR$60=AQ$1),0),$B281-1966)</f>
        <v>182109.4</v>
      </c>
      <c r="AR281" s="23" cm="1">
        <f t="array" ref="AR281">INDEX(GMWQ!$A$2:$LR$60,MATCH(1,(GMWQ!$LQ$2:$LQ$60=AR$3)*(GMWQ!$LP$2:$LP$60=AR$4)*(GMWQ!$LR$2:$LR$60=AR$1),0),$B281-1966)</f>
        <v>768332.7</v>
      </c>
      <c r="AS281" s="23" cm="1">
        <f t="array" ref="AS281">INDEX(GMWQ!$A$2:$LR$60,MATCH(1,(GMWQ!$LQ$2:$LQ$60=AS$3)*(GMWQ!$LP$2:$LP$60=AS$4)*(GMWQ!$LR$2:$LR$60=AS$1),0),$B281-1966)</f>
        <v>26308.98</v>
      </c>
      <c r="AT281" s="23" cm="1">
        <f t="array" ref="AT281">INDEX(GMWQ!$A$2:$LR$60,MATCH(1,(GMWQ!$LQ$2:$LQ$60=AT$3)*(GMWQ!$LP$2:$LP$60=AT$4)*(GMWQ!$LR$2:$LR$60=AT$1),0),$B281-1966)</f>
        <v>447959.1</v>
      </c>
      <c r="AU281" s="23" cm="1">
        <f t="array" ref="AU281">INDEX(GMWQ!$A$2:$LR$60,MATCH(1,(GMWQ!$LQ$2:$LQ$60=AU$3)*(GMWQ!$LP$2:$LP$60=AU$4)*(GMWQ!$LR$2:$LR$60=AU$1),0),$B281-1966)</f>
        <v>15944.1</v>
      </c>
    </row>
    <row r="282" spans="1:47" x14ac:dyDescent="0.35">
      <c r="B282" s="7">
        <f t="shared" si="5"/>
        <v>2248</v>
      </c>
      <c r="C282" s="7" cm="1">
        <f t="array" ref="C282">INDEX(GMWQ!$A$2:$LR$60,MATCH(1,(GMWQ!$LQ$2:$LQ$60=C$3)*(GMWQ!$LP$2:$LP$60=C$4)*(GMWQ!$LR$2:$LR$60=C$1),0),$B282-1966)</f>
        <v>748841.4</v>
      </c>
      <c r="D282" s="7" cm="1">
        <f t="array" ref="D282">INDEX(GMWQ!$A$2:$LR$60,MATCH(1,(GMWQ!$LQ$2:$LQ$60=D$3)*(GMWQ!$LP$2:$LP$60=D$4)*(GMWQ!$LR$2:$LR$60=D$1),0),$B282-1966)</f>
        <v>1133.9570000000001</v>
      </c>
      <c r="E282" s="7" cm="1">
        <f t="array" ref="E282">INDEX(GMWQ!$A$2:$LR$60,MATCH(1,(GMWQ!$LQ$2:$LQ$60=E$3)*(GMWQ!$LP$2:$LP$60=E$4)*(GMWQ!$LR$2:$LR$60=E$1),0),$B282-1966)</f>
        <v>189.1379</v>
      </c>
      <c r="F282" s="7" cm="1">
        <f t="array" ref="F282">INDEX(GMWQ!$A$2:$LR$60,MATCH(1,(GMWQ!$LQ$2:$LQ$60=F$3)*(GMWQ!$LP$2:$LP$60=F$4)*(GMWQ!$LR$2:$LR$60=F$1),0),$B282-1966)</f>
        <v>528593.4</v>
      </c>
      <c r="G282" s="7" cm="1">
        <f t="array" ref="G282">INDEX(GMWQ!$A$2:$LR$60,MATCH(1,(GMWQ!$LQ$2:$LQ$60=G$3)*(GMWQ!$LP$2:$LP$60=G$4)*(GMWQ!$LR$2:$LR$60=G$1),0),$B282-1966)</f>
        <v>157063.9</v>
      </c>
      <c r="H282" s="7" cm="1">
        <f t="array" ref="H282">INDEX(GMWQ!$A$2:$LR$60,MATCH(1,(GMWQ!$LQ$2:$LQ$60=H$3)*(GMWQ!$LP$2:$LP$60=H$4)*(GMWQ!$LR$2:$LR$60=H$1),0),$B282-1966)</f>
        <v>35547.910000000003</v>
      </c>
      <c r="I282" s="7" cm="1">
        <f t="array" ref="I282">INDEX(GMWQ!$A$2:$LR$60,MATCH(1,(GMWQ!$LQ$2:$LQ$60=I$3)*(GMWQ!$LP$2:$LP$60=I$4)*(GMWQ!$LR$2:$LR$60=I$1),0),$B282-1966)</f>
        <v>172.36959999999999</v>
      </c>
      <c r="J282" s="7" cm="1">
        <f t="array" ref="J282">INDEX(GMWQ!$A$2:$LR$60,MATCH(1,(GMWQ!$LQ$2:$LQ$60=J$3)*(GMWQ!$LP$2:$LP$60=J$4)*(GMWQ!$LR$2:$LR$60=J$1),0),$B282-1966)</f>
        <v>32055.66</v>
      </c>
      <c r="K282" s="7" cm="1">
        <f t="array" ref="K282">INDEX(GMWQ!$A$2:$LR$60,MATCH(1,(GMWQ!$LQ$2:$LQ$60=K$3)*(GMWQ!$LP$2:$LP$60=K$4)*(GMWQ!$LR$2:$LR$60=K$1),0),$B282-1966)</f>
        <v>2</v>
      </c>
      <c r="L282" s="7" cm="1">
        <f t="array" ref="L282">INDEX(GMWQ!$A$2:$LR$60,MATCH(1,(GMWQ!$LQ$2:$LQ$60=L$3)*(GMWQ!$LP$2:$LP$60=L$4)*(GMWQ!$LR$2:$LR$60=L$1),0),$B282-1966)</f>
        <v>3.7499950000000002</v>
      </c>
      <c r="M282" s="7" cm="1">
        <f t="array" ref="M282">INDEX(GMWQ!$A$2:$LR$60,MATCH(1,(GMWQ!$LQ$2:$LQ$60=M$3)*(GMWQ!$LP$2:$LP$60=M$4)*(GMWQ!$LR$2:$LR$60=M$1),0),$B282-1966)</f>
        <v>257.73790000000002</v>
      </c>
      <c r="N282" s="7" cm="1">
        <f t="array" ref="N282">INDEX(GMWQ!$A$2:$LR$60,MATCH(1,(GMWQ!$LQ$2:$LQ$60=N$3)*(GMWQ!$LP$2:$LP$60=N$4)*(GMWQ!$LR$2:$LR$60=N$1),0),$B282-1966)</f>
        <v>38528.78</v>
      </c>
      <c r="O282" s="7" cm="1">
        <f t="array" ref="O282">INDEX(GMWQ!$A$2:$LR$60,MATCH(1,(GMWQ!$LQ$2:$LQ$60=O$3)*(GMWQ!$LP$2:$LP$60=O$4)*(GMWQ!$LR$2:$LR$60=O$1),0),$B282-1966)</f>
        <v>22089.49</v>
      </c>
      <c r="P282" s="7" cm="1">
        <f t="array" ref="P282">INDEX(GMWQ!$A$2:$LR$60,MATCH(1,(GMWQ!$LQ$2:$LQ$60=P$3)*(GMWQ!$LP$2:$LP$60=P$4)*(GMWQ!$LR$2:$LR$60=P$1),0),$B282-1966)</f>
        <v>839595.7</v>
      </c>
      <c r="Q282" s="7" cm="1">
        <f t="array" ref="Q282">INDEX(GMWQ!$A$2:$LR$60,MATCH(1,(GMWQ!$LQ$2:$LQ$60=Q$3)*(GMWQ!$LP$2:$LP$60=Q$4)*(GMWQ!$LR$2:$LR$60=Q$1),0),$B282-1966)</f>
        <v>3.5</v>
      </c>
      <c r="R282" s="7" cm="1">
        <f t="array" ref="R282">INDEX(GMWQ!$A$2:$LR$60,MATCH(1,(GMWQ!$LQ$2:$LQ$60=R$3)*(GMWQ!$LP$2:$LP$60=R$4)*(GMWQ!$LR$2:$LR$60=R$1),0),$B282-1966)</f>
        <v>256520.9</v>
      </c>
      <c r="S282" s="7" cm="1">
        <f t="array" ref="S282">INDEX(GMWQ!$A$2:$LR$60,MATCH(1,(GMWQ!$LQ$2:$LQ$60=S$3)*(GMWQ!$LP$2:$LP$60=S$4)*(GMWQ!$LR$2:$LR$60=S$1),0),$B282-1966)</f>
        <v>382.66910000000001</v>
      </c>
      <c r="T282" s="7" cm="1">
        <f t="array" ref="T282">INDEX(GMWQ!$A$2:$LR$60,MATCH(1,(GMWQ!$LQ$2:$LQ$60=T$3)*(GMWQ!$LP$2:$LP$60=T$4)*(GMWQ!$LR$2:$LR$60=T$1),0),$B282-1966)</f>
        <v>140605.29999999999</v>
      </c>
      <c r="U282" s="7" cm="1">
        <f t="array" ref="U282">INDEX(GMWQ!$A$2:$LR$60,MATCH(1,(GMWQ!$LQ$2:$LQ$60=U$3)*(GMWQ!$LP$2:$LP$60=U$4)*(GMWQ!$LR$2:$LR$60=U$1),0),$B282-1966)</f>
        <v>18275.560000000001</v>
      </c>
      <c r="V282" s="7" cm="1">
        <f t="array" ref="V282">INDEX(GMWQ!$A$2:$LR$60,MATCH(1,(GMWQ!$LQ$2:$LQ$60=V$3)*(GMWQ!$LP$2:$LP$60=V$4)*(GMWQ!$LR$2:$LR$60=V$1),0),$B282-1966)</f>
        <v>1.3609430000000001E-3</v>
      </c>
      <c r="W282" s="7" cm="1">
        <f t="array" ref="W282">INDEX(GMWQ!$A$2:$LR$60,MATCH(1,(GMWQ!$LQ$2:$LQ$60=W$3)*(GMWQ!$LP$2:$LP$60=W$4)*(GMWQ!$LR$2:$LR$60=W$1),0),$B282-1966)</f>
        <v>9.2693809999999992</v>
      </c>
      <c r="X282" s="7" cm="1">
        <f t="array" ref="X282">INDEX(GMWQ!$A$2:$LR$60,MATCH(1,(GMWQ!$LQ$2:$LQ$60=X$3)*(GMWQ!$LP$2:$LP$60=X$4)*(GMWQ!$LR$2:$LR$60=X$1),0),$B282-1966)</f>
        <v>11643930</v>
      </c>
      <c r="Y282" s="7" cm="1">
        <f t="array" ref="Y282">INDEX(GMWQ!$A$2:$LR$60,MATCH(1,(GMWQ!$LQ$2:$LQ$60=Y$3)*(GMWQ!$LP$2:$LP$60=Y$4)*(GMWQ!$LR$2:$LR$60=Y$1),0),$B282-1966)</f>
        <v>174.81710000000001</v>
      </c>
      <c r="Z282" s="7" cm="1">
        <f t="array" ref="Z282">INDEX(GMWQ!$A$2:$LR$60,MATCH(1,(GMWQ!$LQ$2:$LQ$60=Z$3)*(GMWQ!$LP$2:$LP$60=Z$4)*(GMWQ!$LR$2:$LR$60=Z$1),0),$B282-1966)</f>
        <v>748840.6</v>
      </c>
      <c r="AA282" s="7" cm="1">
        <f t="array" ref="AA282">INDEX(GMWQ!$A$2:$LR$60,MATCH(1,(GMWQ!$LQ$2:$LQ$60=AA$3)*(GMWQ!$LP$2:$LP$60=AA$4)*(GMWQ!$LR$2:$LR$60=AA$1),0),$B282-1966)</f>
        <v>524462.4</v>
      </c>
      <c r="AB282" s="7" cm="1">
        <f t="array" ref="AB282">INDEX(GMWQ!$A$2:$LR$60,MATCH(1,(GMWQ!$LQ$2:$LQ$60=AB$3)*(GMWQ!$LP$2:$LP$60=AB$4)*(GMWQ!$LR$2:$LR$60=AB$1),0),$B282-1966)</f>
        <v>506203.3</v>
      </c>
      <c r="AC282" s="7" cm="1">
        <f t="array" ref="AC282">INDEX(GMWQ!$A$2:$LR$60,MATCH(1,(GMWQ!$LQ$2:$LQ$60=AC$3)*(GMWQ!$LP$2:$LP$60=AC$4)*(GMWQ!$LR$2:$LR$60=AC$1),0),$B282-1966)</f>
        <v>20112.47</v>
      </c>
      <c r="AD282" s="7" cm="1">
        <f t="array" ref="AD282">INDEX(GMWQ!$A$2:$LR$60,MATCH(1,(GMWQ!$LQ$2:$LQ$60=AD$3)*(GMWQ!$LP$2:$LP$60=AD$4)*(GMWQ!$LR$2:$LR$60=AD$1),0),$B282-1966)</f>
        <v>28606.21</v>
      </c>
      <c r="AE282" s="7" cm="1">
        <f t="array" ref="AE282">INDEX(GMWQ!$A$2:$LR$60,MATCH(1,(GMWQ!$LQ$2:$LQ$60=AE$3)*(GMWQ!$LP$2:$LP$60=AE$4)*(GMWQ!$LR$2:$LR$60=AE$1),0),$B282-1966)</f>
        <v>1309103</v>
      </c>
      <c r="AF282" s="20" cm="1">
        <f t="array" ref="AF282">INDEX(GMWQ!$A$2:$LR$60,MATCH(1,(GMWQ!$LQ$2:$LQ$60=AF$3)*(GMWQ!$LP$2:$LP$60=AF$4)*(GMWQ!$LR$2:$LR$60=AF$1),0),$B282-1966)</f>
        <v>2</v>
      </c>
      <c r="AG282" s="20" cm="1">
        <f t="array" ref="AG282">INDEX(GMWQ!$A$2:$LR$60,MATCH(1,(GMWQ!$LQ$2:$LQ$60=AG$3)*(GMWQ!$LP$2:$LP$60=AG$4)*(GMWQ!$LR$2:$LR$60=AG$1),0),$B282-1966)</f>
        <v>-16439.29</v>
      </c>
      <c r="AI282" s="23" cm="1">
        <f t="array" ref="AI282">INDEX(GMWQ!$A$2:$LR$60,MATCH(1,(GMWQ!$LQ$2:$LQ$60=AI$3)*(GMWQ!$LP$2:$LP$60=AI$4)*(GMWQ!$LR$2:$LR$60=AI$1),0),$B282-1966)</f>
        <v>839595.7</v>
      </c>
      <c r="AJ282" s="23" cm="1">
        <f t="array" ref="AJ282">INDEX(GMWQ!$A$2:$LR$60,MATCH(1,(GMWQ!$LQ$2:$LQ$60=AJ$3)*(GMWQ!$LP$2:$LP$60=AJ$4)*(GMWQ!$LR$2:$LR$60=AJ$1),0),$B282-1966)</f>
        <v>172.36959999999999</v>
      </c>
      <c r="AK282" s="23" cm="1">
        <f t="array" ref="AK282">INDEX(GMWQ!$A$2:$LR$60,MATCH(1,(GMWQ!$LQ$2:$LQ$60=AK$3)*(GMWQ!$LP$2:$LP$60=AK$4)*(GMWQ!$LR$2:$LR$60=AK$1),0),$B282-1966)</f>
        <v>528593.4</v>
      </c>
      <c r="AL282" s="23" cm="1">
        <f t="array" ref="AL282">INDEX(GMWQ!$A$2:$LR$60,MATCH(1,(GMWQ!$LQ$2:$LQ$60=AL$3)*(GMWQ!$LP$2:$LP$60=AL$4)*(GMWQ!$LR$2:$LR$60=AL$1),0),$B282-1966)</f>
        <v>16489.86</v>
      </c>
      <c r="AM282" s="23" cm="1">
        <f t="array" ref="AM282">INDEX(GMWQ!$A$2:$LR$60,MATCH(1,(GMWQ!$LQ$2:$LQ$60=AM$3)*(GMWQ!$LP$2:$LP$60=AM$4)*(GMWQ!$LR$2:$LR$60=AM$1),0),$B282-1966)</f>
        <v>32055.66</v>
      </c>
      <c r="AN282" s="23" cm="1">
        <f t="array" ref="AN282">INDEX(GMWQ!$A$2:$LR$60,MATCH(1,(GMWQ!$LQ$2:$LQ$60=AN$3)*(GMWQ!$LP$2:$LP$60=AN$4)*(GMWQ!$LR$2:$LR$60=AN$1),0),$B282-1966)</f>
        <v>157063.9</v>
      </c>
      <c r="AO282" s="23" cm="1">
        <f t="array" ref="AO282">INDEX(GMWQ!$A$2:$LR$60,MATCH(1,(GMWQ!$LQ$2:$LQ$60=AO$3)*(GMWQ!$LP$2:$LP$60=AO$4)*(GMWQ!$LR$2:$LR$60=AO$1),0),$B282-1966)</f>
        <v>35547.910000000003</v>
      </c>
      <c r="AP282" s="23" cm="1">
        <f t="array" ref="AP282">INDEX(GMWQ!$A$2:$LR$60,MATCH(1,(GMWQ!$LQ$2:$LQ$60=AP$3)*(GMWQ!$LP$2:$LP$60=AP$4)*(GMWQ!$LR$2:$LR$60=AP$1),0),$B282-1966)</f>
        <v>-16439.29</v>
      </c>
      <c r="AQ282" s="23" cm="1">
        <f t="array" ref="AQ282">INDEX(GMWQ!$A$2:$LR$60,MATCH(1,(GMWQ!$LQ$2:$LQ$60=AQ$3)*(GMWQ!$LP$2:$LP$60=AQ$4)*(GMWQ!$LR$2:$LR$60=AQ$1),0),$B282-1966)</f>
        <v>183650.9</v>
      </c>
      <c r="AR282" s="23" cm="1">
        <f t="array" ref="AR282">INDEX(GMWQ!$A$2:$LR$60,MATCH(1,(GMWQ!$LQ$2:$LQ$60=AR$3)*(GMWQ!$LP$2:$LP$60=AR$4)*(GMWQ!$LR$2:$LR$60=AR$1),0),$B282-1966)</f>
        <v>775073.3</v>
      </c>
      <c r="AS282" s="23" cm="1">
        <f t="array" ref="AS282">INDEX(GMWQ!$A$2:$LR$60,MATCH(1,(GMWQ!$LQ$2:$LQ$60=AS$3)*(GMWQ!$LP$2:$LP$60=AS$4)*(GMWQ!$LR$2:$LR$60=AS$1),0),$B282-1966)</f>
        <v>26548.78</v>
      </c>
      <c r="AT282" s="23" cm="1">
        <f t="array" ref="AT282">INDEX(GMWQ!$A$2:$LR$60,MATCH(1,(GMWQ!$LQ$2:$LQ$60=AT$3)*(GMWQ!$LP$2:$LP$60=AT$4)*(GMWQ!$LR$2:$LR$60=AT$1),0),$B282-1966)</f>
        <v>449657.8</v>
      </c>
      <c r="AU282" s="23" cm="1">
        <f t="array" ref="AU282">INDEX(GMWQ!$A$2:$LR$60,MATCH(1,(GMWQ!$LQ$2:$LQ$60=AU$3)*(GMWQ!$LP$2:$LP$60=AU$4)*(GMWQ!$LR$2:$LR$60=AU$1),0),$B282-1966)</f>
        <v>16004.49</v>
      </c>
    </row>
    <row r="283" spans="1:47" x14ac:dyDescent="0.35">
      <c r="A283" s="7">
        <v>2042</v>
      </c>
      <c r="B283" s="7">
        <f t="shared" si="5"/>
        <v>2249</v>
      </c>
      <c r="C283" s="7" cm="1">
        <f t="array" ref="C283">INDEX(GMWQ!$A$2:$LR$60,MATCH(1,(GMWQ!$LQ$2:$LQ$60=C$3)*(GMWQ!$LP$2:$LP$60=C$4)*(GMWQ!$LR$2:$LR$60=C$1),0),$B283-1966)</f>
        <v>751675.3</v>
      </c>
      <c r="D283" s="7" cm="1">
        <f t="array" ref="D283">INDEX(GMWQ!$A$2:$LR$60,MATCH(1,(GMWQ!$LQ$2:$LQ$60=D$3)*(GMWQ!$LP$2:$LP$60=D$4)*(GMWQ!$LR$2:$LR$60=D$1),0),$B283-1966)</f>
        <v>1142.903</v>
      </c>
      <c r="E283" s="7" cm="1">
        <f t="array" ref="E283">INDEX(GMWQ!$A$2:$LR$60,MATCH(1,(GMWQ!$LQ$2:$LQ$60=E$3)*(GMWQ!$LP$2:$LP$60=E$4)*(GMWQ!$LR$2:$LR$60=E$1),0),$B283-1966)</f>
        <v>189.33609999999999</v>
      </c>
      <c r="F283" s="7" cm="1">
        <f t="array" ref="F283">INDEX(GMWQ!$A$2:$LR$60,MATCH(1,(GMWQ!$LQ$2:$LQ$60=F$3)*(GMWQ!$LP$2:$LP$60=F$4)*(GMWQ!$LR$2:$LR$60=F$1),0),$B283-1966)</f>
        <v>533254.40000000002</v>
      </c>
      <c r="G283" s="7" cm="1">
        <f t="array" ref="G283">INDEX(GMWQ!$A$2:$LR$60,MATCH(1,(GMWQ!$LQ$2:$LQ$60=G$3)*(GMWQ!$LP$2:$LP$60=G$4)*(GMWQ!$LR$2:$LR$60=G$1),0),$B283-1966)</f>
        <v>158640.6</v>
      </c>
      <c r="H283" s="7" cm="1">
        <f t="array" ref="H283">INDEX(GMWQ!$A$2:$LR$60,MATCH(1,(GMWQ!$LQ$2:$LQ$60=H$3)*(GMWQ!$LP$2:$LP$60=H$4)*(GMWQ!$LR$2:$LR$60=H$1),0),$B283-1966)</f>
        <v>35861.360000000001</v>
      </c>
      <c r="I283" s="7" cm="1">
        <f t="array" ref="I283">INDEX(GMWQ!$A$2:$LR$60,MATCH(1,(GMWQ!$LQ$2:$LQ$60=I$3)*(GMWQ!$LP$2:$LP$60=I$4)*(GMWQ!$LR$2:$LR$60=I$1),0),$B283-1966)</f>
        <v>173.22489999999999</v>
      </c>
      <c r="J283" s="7" cm="1">
        <f t="array" ref="J283">INDEX(GMWQ!$A$2:$LR$60,MATCH(1,(GMWQ!$LQ$2:$LQ$60=J$3)*(GMWQ!$LP$2:$LP$60=J$4)*(GMWQ!$LR$2:$LR$60=J$1),0),$B283-1966)</f>
        <v>32085.200000000001</v>
      </c>
      <c r="K283" s="7" cm="1">
        <f t="array" ref="K283">INDEX(GMWQ!$A$2:$LR$60,MATCH(1,(GMWQ!$LQ$2:$LQ$60=K$3)*(GMWQ!$LP$2:$LP$60=K$4)*(GMWQ!$LR$2:$LR$60=K$1),0),$B283-1966)</f>
        <v>2</v>
      </c>
      <c r="L283" s="7" cm="1">
        <f t="array" ref="L283">INDEX(GMWQ!$A$2:$LR$60,MATCH(1,(GMWQ!$LQ$2:$LQ$60=L$3)*(GMWQ!$LP$2:$LP$60=L$4)*(GMWQ!$LR$2:$LR$60=L$1),0),$B283-1966)</f>
        <v>3.7500230000000001</v>
      </c>
      <c r="M283" s="7" cm="1">
        <f t="array" ref="M283">INDEX(GMWQ!$A$2:$LR$60,MATCH(1,(GMWQ!$LQ$2:$LQ$60=M$3)*(GMWQ!$LP$2:$LP$60=M$4)*(GMWQ!$LR$2:$LR$60=M$1),0),$B283-1966)</f>
        <v>260.00279999999998</v>
      </c>
      <c r="N283" s="7" cm="1">
        <f t="array" ref="N283">INDEX(GMWQ!$A$2:$LR$60,MATCH(1,(GMWQ!$LQ$2:$LQ$60=N$3)*(GMWQ!$LP$2:$LP$60=N$4)*(GMWQ!$LR$2:$LR$60=N$1),0),$B283-1966)</f>
        <v>38839.11</v>
      </c>
      <c r="O283" s="7" cm="1">
        <f t="array" ref="O283">INDEX(GMWQ!$A$2:$LR$60,MATCH(1,(GMWQ!$LQ$2:$LQ$60=O$3)*(GMWQ!$LP$2:$LP$60=O$4)*(GMWQ!$LR$2:$LR$60=O$1),0),$B283-1966)</f>
        <v>22219.24</v>
      </c>
      <c r="P283" s="7" cm="1">
        <f t="array" ref="P283">INDEX(GMWQ!$A$2:$LR$60,MATCH(1,(GMWQ!$LQ$2:$LQ$60=P$3)*(GMWQ!$LP$2:$LP$60=P$4)*(GMWQ!$LR$2:$LR$60=P$1),0),$B283-1966)</f>
        <v>846970.9</v>
      </c>
      <c r="Q283" s="7" cm="1">
        <f t="array" ref="Q283">INDEX(GMWQ!$A$2:$LR$60,MATCH(1,(GMWQ!$LQ$2:$LQ$60=Q$3)*(GMWQ!$LP$2:$LP$60=Q$4)*(GMWQ!$LR$2:$LR$60=Q$1),0),$B283-1966)</f>
        <v>3.5</v>
      </c>
      <c r="R283" s="7" cm="1">
        <f t="array" ref="R283">INDEX(GMWQ!$A$2:$LR$60,MATCH(1,(GMWQ!$LQ$2:$LQ$60=R$3)*(GMWQ!$LP$2:$LP$60=R$4)*(GMWQ!$LR$2:$LR$60=R$1),0),$B283-1966)</f>
        <v>256516.8</v>
      </c>
      <c r="S283" s="7" cm="1">
        <f t="array" ref="S283">INDEX(GMWQ!$A$2:$LR$60,MATCH(1,(GMWQ!$LQ$2:$LQ$60=S$3)*(GMWQ!$LP$2:$LP$60=S$4)*(GMWQ!$LR$2:$LR$60=S$1),0),$B283-1966)</f>
        <v>382.66289999999998</v>
      </c>
      <c r="T283" s="7" cm="1">
        <f t="array" ref="T283">INDEX(GMWQ!$A$2:$LR$60,MATCH(1,(GMWQ!$LQ$2:$LQ$60=T$3)*(GMWQ!$LP$2:$LP$60=T$4)*(GMWQ!$LR$2:$LR$60=T$1),0),$B283-1966)</f>
        <v>141159.20000000001</v>
      </c>
      <c r="U283" s="7" cm="1">
        <f t="array" ref="U283">INDEX(GMWQ!$A$2:$LR$60,MATCH(1,(GMWQ!$LQ$2:$LQ$60=U$3)*(GMWQ!$LP$2:$LP$60=U$4)*(GMWQ!$LR$2:$LR$60=U$1),0),$B283-1966)</f>
        <v>18121.48</v>
      </c>
      <c r="V283" s="7" cm="1">
        <f t="array" ref="V283">INDEX(GMWQ!$A$2:$LR$60,MATCH(1,(GMWQ!$LQ$2:$LQ$60=V$3)*(GMWQ!$LP$2:$LP$60=V$4)*(GMWQ!$LR$2:$LR$60=V$1),0),$B283-1966)</f>
        <v>1.3601710000000001E-3</v>
      </c>
      <c r="W283" s="7" cm="1">
        <f t="array" ref="W283">INDEX(GMWQ!$A$2:$LR$60,MATCH(1,(GMWQ!$LQ$2:$LQ$60=W$3)*(GMWQ!$LP$2:$LP$60=W$4)*(GMWQ!$LR$2:$LR$60=W$1),0),$B283-1966)</f>
        <v>9.2199880000000007</v>
      </c>
      <c r="X283" s="7" cm="1">
        <f t="array" ref="X283">INDEX(GMWQ!$A$2:$LR$60,MATCH(1,(GMWQ!$LQ$2:$LQ$60=X$3)*(GMWQ!$LP$2:$LP$60=X$4)*(GMWQ!$LR$2:$LR$60=X$1),0),$B283-1966)</f>
        <v>11811360</v>
      </c>
      <c r="Y283" s="7" cm="1">
        <f t="array" ref="Y283">INDEX(GMWQ!$A$2:$LR$60,MATCH(1,(GMWQ!$LQ$2:$LQ$60=Y$3)*(GMWQ!$LP$2:$LP$60=Y$4)*(GMWQ!$LR$2:$LR$60=Y$1),0),$B283-1966)</f>
        <v>175.7646</v>
      </c>
      <c r="Z283" s="7" cm="1">
        <f t="array" ref="Z283">INDEX(GMWQ!$A$2:$LR$60,MATCH(1,(GMWQ!$LQ$2:$LQ$60=Z$3)*(GMWQ!$LP$2:$LP$60=Z$4)*(GMWQ!$LR$2:$LR$60=Z$1),0),$B283-1966)</f>
        <v>751675.4</v>
      </c>
      <c r="AA283" s="7" cm="1">
        <f t="array" ref="AA283">INDEX(GMWQ!$A$2:$LR$60,MATCH(1,(GMWQ!$LQ$2:$LQ$60=AA$3)*(GMWQ!$LP$2:$LP$60=AA$4)*(GMWQ!$LR$2:$LR$60=AA$1),0),$B283-1966)</f>
        <v>591446.30000000005</v>
      </c>
      <c r="AB283" s="7" cm="1">
        <f t="array" ref="AB283">INDEX(GMWQ!$A$2:$LR$60,MATCH(1,(GMWQ!$LQ$2:$LQ$60=AB$3)*(GMWQ!$LP$2:$LP$60=AB$4)*(GMWQ!$LR$2:$LR$60=AB$1),0),$B283-1966)</f>
        <v>504766.6</v>
      </c>
      <c r="AC283" s="7" cm="1">
        <f t="array" ref="AC283">INDEX(GMWQ!$A$2:$LR$60,MATCH(1,(GMWQ!$LQ$2:$LQ$60=AC$3)*(GMWQ!$LP$2:$LP$60=AC$4)*(GMWQ!$LR$2:$LR$60=AC$1),0),$B283-1966)</f>
        <v>35699.47</v>
      </c>
      <c r="AD283" s="7" cm="1">
        <f t="array" ref="AD283">INDEX(GMWQ!$A$2:$LR$60,MATCH(1,(GMWQ!$LQ$2:$LQ$60=AD$3)*(GMWQ!$LP$2:$LP$60=AD$4)*(GMWQ!$LR$2:$LR$60=AD$1),0),$B283-1966)</f>
        <v>28606.21</v>
      </c>
      <c r="AE283" s="7" cm="1">
        <f t="array" ref="AE283">INDEX(GMWQ!$A$2:$LR$60,MATCH(1,(GMWQ!$LQ$2:$LQ$60=AE$3)*(GMWQ!$LP$2:$LP$60=AE$4)*(GMWQ!$LR$2:$LR$60=AE$1),0),$B283-1966)</f>
        <v>1321180</v>
      </c>
      <c r="AF283" s="20" cm="1">
        <f t="array" ref="AF283">INDEX(GMWQ!$A$2:$LR$60,MATCH(1,(GMWQ!$LQ$2:$LQ$60=AF$3)*(GMWQ!$LP$2:$LP$60=AF$4)*(GMWQ!$LR$2:$LR$60=AF$1),0),$B283-1966)</f>
        <v>2</v>
      </c>
      <c r="AG283" s="20" cm="1">
        <f t="array" ref="AG283">INDEX(GMWQ!$A$2:$LR$60,MATCH(1,(GMWQ!$LQ$2:$LQ$60=AG$3)*(GMWQ!$LP$2:$LP$60=AG$4)*(GMWQ!$LR$2:$LR$60=AG$1),0),$B283-1966)</f>
        <v>-16619.87</v>
      </c>
      <c r="AI283" s="23" cm="1">
        <f t="array" ref="AI283">INDEX(GMWQ!$A$2:$LR$60,MATCH(1,(GMWQ!$LQ$2:$LQ$60=AI$3)*(GMWQ!$LP$2:$LP$60=AI$4)*(GMWQ!$LR$2:$LR$60=AI$1),0),$B283-1966)</f>
        <v>846970.9</v>
      </c>
      <c r="AJ283" s="23" cm="1">
        <f t="array" ref="AJ283">INDEX(GMWQ!$A$2:$LR$60,MATCH(1,(GMWQ!$LQ$2:$LQ$60=AJ$3)*(GMWQ!$LP$2:$LP$60=AJ$4)*(GMWQ!$LR$2:$LR$60=AJ$1),0),$B283-1966)</f>
        <v>173.22489999999999</v>
      </c>
      <c r="AK283" s="23" cm="1">
        <f t="array" ref="AK283">INDEX(GMWQ!$A$2:$LR$60,MATCH(1,(GMWQ!$LQ$2:$LQ$60=AK$3)*(GMWQ!$LP$2:$LP$60=AK$4)*(GMWQ!$LR$2:$LR$60=AK$1),0),$B283-1966)</f>
        <v>533254.40000000002</v>
      </c>
      <c r="AL283" s="23" cm="1">
        <f t="array" ref="AL283">INDEX(GMWQ!$A$2:$LR$60,MATCH(1,(GMWQ!$LQ$2:$LQ$60=AL$3)*(GMWQ!$LP$2:$LP$60=AL$4)*(GMWQ!$LR$2:$LR$60=AL$1),0),$B283-1966)</f>
        <v>16619.95</v>
      </c>
      <c r="AM283" s="23" cm="1">
        <f t="array" ref="AM283">INDEX(GMWQ!$A$2:$LR$60,MATCH(1,(GMWQ!$LQ$2:$LQ$60=AM$3)*(GMWQ!$LP$2:$LP$60=AM$4)*(GMWQ!$LR$2:$LR$60=AM$1),0),$B283-1966)</f>
        <v>32085.200000000001</v>
      </c>
      <c r="AN283" s="23" cm="1">
        <f t="array" ref="AN283">INDEX(GMWQ!$A$2:$LR$60,MATCH(1,(GMWQ!$LQ$2:$LQ$60=AN$3)*(GMWQ!$LP$2:$LP$60=AN$4)*(GMWQ!$LR$2:$LR$60=AN$1),0),$B283-1966)</f>
        <v>158640.6</v>
      </c>
      <c r="AO283" s="23" cm="1">
        <f t="array" ref="AO283">INDEX(GMWQ!$A$2:$LR$60,MATCH(1,(GMWQ!$LQ$2:$LQ$60=AO$3)*(GMWQ!$LP$2:$LP$60=AO$4)*(GMWQ!$LR$2:$LR$60=AO$1),0),$B283-1966)</f>
        <v>35861.360000000001</v>
      </c>
      <c r="AP283" s="23" cm="1">
        <f t="array" ref="AP283">INDEX(GMWQ!$A$2:$LR$60,MATCH(1,(GMWQ!$LQ$2:$LQ$60=AP$3)*(GMWQ!$LP$2:$LP$60=AP$4)*(GMWQ!$LR$2:$LR$60=AP$1),0),$B283-1966)</f>
        <v>-16619.87</v>
      </c>
      <c r="AQ283" s="23" cm="1">
        <f t="array" ref="AQ283">INDEX(GMWQ!$A$2:$LR$60,MATCH(1,(GMWQ!$LQ$2:$LQ$60=AQ$3)*(GMWQ!$LP$2:$LP$60=AQ$4)*(GMWQ!$LR$2:$LR$60=AQ$1),0),$B283-1966)</f>
        <v>185203.3</v>
      </c>
      <c r="AR283" s="23" cm="1">
        <f t="array" ref="AR283">INDEX(GMWQ!$A$2:$LR$60,MATCH(1,(GMWQ!$LQ$2:$LQ$60=AR$3)*(GMWQ!$LP$2:$LP$60=AR$4)*(GMWQ!$LR$2:$LR$60=AR$1),0),$B283-1966)</f>
        <v>781870.8</v>
      </c>
      <c r="AS283" s="23" cm="1">
        <f t="array" ref="AS283">INDEX(GMWQ!$A$2:$LR$60,MATCH(1,(GMWQ!$LQ$2:$LQ$60=AS$3)*(GMWQ!$LP$2:$LP$60=AS$4)*(GMWQ!$LR$2:$LR$60=AS$1),0),$B283-1966)</f>
        <v>26790.57</v>
      </c>
      <c r="AT283" s="23" cm="1">
        <f t="array" ref="AT283">INDEX(GMWQ!$A$2:$LR$60,MATCH(1,(GMWQ!$LQ$2:$LQ$60=AT$3)*(GMWQ!$LP$2:$LP$60=AT$4)*(GMWQ!$LR$2:$LR$60=AT$1),0),$B283-1966)</f>
        <v>451361.7</v>
      </c>
      <c r="AU283" s="23" cm="1">
        <f t="array" ref="AU283">INDEX(GMWQ!$A$2:$LR$60,MATCH(1,(GMWQ!$LQ$2:$LQ$60=AU$3)*(GMWQ!$LP$2:$LP$60=AU$4)*(GMWQ!$LR$2:$LR$60=AU$1),0),$B283-1966)</f>
        <v>16065.05</v>
      </c>
    </row>
    <row r="284" spans="1:47" x14ac:dyDescent="0.35">
      <c r="B284" s="7">
        <f t="shared" si="5"/>
        <v>2250</v>
      </c>
      <c r="C284" s="7" cm="1">
        <f t="array" ref="C284">INDEX(GMWQ!$A$2:$LR$60,MATCH(1,(GMWQ!$LQ$2:$LQ$60=C$3)*(GMWQ!$LP$2:$LP$60=C$4)*(GMWQ!$LR$2:$LR$60=C$1),0),$B284-1966)</f>
        <v>754517.5</v>
      </c>
      <c r="D284" s="7" cm="1">
        <f t="array" ref="D284">INDEX(GMWQ!$A$2:$LR$60,MATCH(1,(GMWQ!$LQ$2:$LQ$60=D$3)*(GMWQ!$LP$2:$LP$60=D$4)*(GMWQ!$LR$2:$LR$60=D$1),0),$B284-1966)</f>
        <v>1151.9169999999999</v>
      </c>
      <c r="E284" s="7" cm="1">
        <f t="array" ref="E284">INDEX(GMWQ!$A$2:$LR$60,MATCH(1,(GMWQ!$LQ$2:$LQ$60=E$3)*(GMWQ!$LP$2:$LP$60=E$4)*(GMWQ!$LR$2:$LR$60=E$1),0),$B284-1966)</f>
        <v>191.06540000000001</v>
      </c>
      <c r="F284" s="7" cm="1">
        <f t="array" ref="F284">INDEX(GMWQ!$A$2:$LR$60,MATCH(1,(GMWQ!$LQ$2:$LQ$60=F$3)*(GMWQ!$LP$2:$LP$60=F$4)*(GMWQ!$LR$2:$LR$60=F$1),0),$B284-1966)</f>
        <v>537955.30000000005</v>
      </c>
      <c r="G284" s="7" cm="1">
        <f t="array" ref="G284">INDEX(GMWQ!$A$2:$LR$60,MATCH(1,(GMWQ!$LQ$2:$LQ$60=G$3)*(GMWQ!$LP$2:$LP$60=G$4)*(GMWQ!$LR$2:$LR$60=G$1),0),$B284-1966)</f>
        <v>159666.29999999999</v>
      </c>
      <c r="H284" s="7" cm="1">
        <f t="array" ref="H284">INDEX(GMWQ!$A$2:$LR$60,MATCH(1,(GMWQ!$LQ$2:$LQ$60=H$3)*(GMWQ!$LP$2:$LP$60=H$4)*(GMWQ!$LR$2:$LR$60=H$1),0),$B284-1966)</f>
        <v>36177.49</v>
      </c>
      <c r="I284" s="7" cm="1">
        <f t="array" ref="I284">INDEX(GMWQ!$A$2:$LR$60,MATCH(1,(GMWQ!$LQ$2:$LQ$60=I$3)*(GMWQ!$LP$2:$LP$60=I$4)*(GMWQ!$LR$2:$LR$60=I$1),0),$B284-1966)</f>
        <v>174.08439999999999</v>
      </c>
      <c r="J284" s="7" cm="1">
        <f t="array" ref="J284">INDEX(GMWQ!$A$2:$LR$60,MATCH(1,(GMWQ!$LQ$2:$LQ$60=J$3)*(GMWQ!$LP$2:$LP$60=J$4)*(GMWQ!$LR$2:$LR$60=J$1),0),$B284-1966)</f>
        <v>32114.75</v>
      </c>
      <c r="K284" s="7" cm="1">
        <f t="array" ref="K284">INDEX(GMWQ!$A$2:$LR$60,MATCH(1,(GMWQ!$LQ$2:$LQ$60=K$3)*(GMWQ!$LP$2:$LP$60=K$4)*(GMWQ!$LR$2:$LR$60=K$1),0),$B284-1966)</f>
        <v>2</v>
      </c>
      <c r="L284" s="7" cm="1">
        <f t="array" ref="L284">INDEX(GMWQ!$A$2:$LR$60,MATCH(1,(GMWQ!$LQ$2:$LQ$60=L$3)*(GMWQ!$LP$2:$LP$60=L$4)*(GMWQ!$LR$2:$LR$60=L$1),0),$B284-1966)</f>
        <v>3.7499920000000002</v>
      </c>
      <c r="M284" s="7" cm="1">
        <f t="array" ref="M284">INDEX(GMWQ!$A$2:$LR$60,MATCH(1,(GMWQ!$LQ$2:$LQ$60=M$3)*(GMWQ!$LP$2:$LP$60=M$4)*(GMWQ!$LR$2:$LR$60=M$1),0),$B284-1966)</f>
        <v>262.2867</v>
      </c>
      <c r="N284" s="7" cm="1">
        <f t="array" ref="N284">INDEX(GMWQ!$A$2:$LR$60,MATCH(1,(GMWQ!$LQ$2:$LQ$60=N$3)*(GMWQ!$LP$2:$LP$60=N$4)*(GMWQ!$LR$2:$LR$60=N$1),0),$B284-1966)</f>
        <v>39149.589999999997</v>
      </c>
      <c r="O284" s="7" cm="1">
        <f t="array" ref="O284">INDEX(GMWQ!$A$2:$LR$60,MATCH(1,(GMWQ!$LQ$2:$LQ$60=O$3)*(GMWQ!$LP$2:$LP$60=O$4)*(GMWQ!$LR$2:$LR$60=O$1),0),$B284-1966)</f>
        <v>22355.91</v>
      </c>
      <c r="P284" s="7" cm="1">
        <f t="array" ref="P284">INDEX(GMWQ!$A$2:$LR$60,MATCH(1,(GMWQ!$LQ$2:$LQ$60=P$3)*(GMWQ!$LP$2:$LP$60=P$4)*(GMWQ!$LR$2:$LR$60=P$1),0),$B284-1966)</f>
        <v>854408.4</v>
      </c>
      <c r="Q284" s="7" cm="1">
        <f t="array" ref="Q284">INDEX(GMWQ!$A$2:$LR$60,MATCH(1,(GMWQ!$LQ$2:$LQ$60=Q$3)*(GMWQ!$LP$2:$LP$60=Q$4)*(GMWQ!$LR$2:$LR$60=Q$1),0),$B284-1966)</f>
        <v>3.5</v>
      </c>
      <c r="R284" s="7" cm="1">
        <f t="array" ref="R284">INDEX(GMWQ!$A$2:$LR$60,MATCH(1,(GMWQ!$LQ$2:$LQ$60=R$3)*(GMWQ!$LP$2:$LP$60=R$4)*(GMWQ!$LR$2:$LR$60=R$1),0),$B284-1966)</f>
        <v>256512.4</v>
      </c>
      <c r="S284" s="7" cm="1">
        <f t="array" ref="S284">INDEX(GMWQ!$A$2:$LR$60,MATCH(1,(GMWQ!$LQ$2:$LQ$60=S$3)*(GMWQ!$LP$2:$LP$60=S$4)*(GMWQ!$LR$2:$LR$60=S$1),0),$B284-1966)</f>
        <v>382.65640000000002</v>
      </c>
      <c r="T284" s="7" cm="1">
        <f t="array" ref="T284">INDEX(GMWQ!$A$2:$LR$60,MATCH(1,(GMWQ!$LQ$2:$LQ$60=T$3)*(GMWQ!$LP$2:$LP$60=T$4)*(GMWQ!$LR$2:$LR$60=T$1),0),$B284-1966)</f>
        <v>141713.29999999999</v>
      </c>
      <c r="U284" s="7" cm="1">
        <f t="array" ref="U284">INDEX(GMWQ!$A$2:$LR$60,MATCH(1,(GMWQ!$LQ$2:$LQ$60=U$3)*(GMWQ!$LP$2:$LP$60=U$4)*(GMWQ!$LR$2:$LR$60=U$1),0),$B284-1966)</f>
        <v>17973.830000000002</v>
      </c>
      <c r="V284" s="7" cm="1">
        <f t="array" ref="V284">INDEX(GMWQ!$A$2:$LR$60,MATCH(1,(GMWQ!$LQ$2:$LQ$60=V$3)*(GMWQ!$LP$2:$LP$60=V$4)*(GMWQ!$LR$2:$LR$60=V$1),0),$B284-1966)</f>
        <v>1.359191E-3</v>
      </c>
      <c r="W284" s="7" cm="1">
        <f t="array" ref="W284">INDEX(GMWQ!$A$2:$LR$60,MATCH(1,(GMWQ!$LQ$2:$LQ$60=W$3)*(GMWQ!$LP$2:$LP$60=W$4)*(GMWQ!$LR$2:$LR$60=W$1),0),$B284-1966)</f>
        <v>9.2941400000000005</v>
      </c>
      <c r="X284" s="7" cm="1">
        <f t="array" ref="X284">INDEX(GMWQ!$A$2:$LR$60,MATCH(1,(GMWQ!$LQ$2:$LQ$60=X$3)*(GMWQ!$LP$2:$LP$60=X$4)*(GMWQ!$LR$2:$LR$60=X$1),0),$B284-1966)</f>
        <v>11952970</v>
      </c>
      <c r="Y284" s="7" cm="1">
        <f t="array" ref="Y284">INDEX(GMWQ!$A$2:$LR$60,MATCH(1,(GMWQ!$LQ$2:$LQ$60=Y$3)*(GMWQ!$LP$2:$LP$60=Y$4)*(GMWQ!$LR$2:$LR$60=Y$1),0),$B284-1966)</f>
        <v>176.71729999999999</v>
      </c>
      <c r="Z284" s="7" cm="1">
        <f t="array" ref="Z284">INDEX(GMWQ!$A$2:$LR$60,MATCH(1,(GMWQ!$LQ$2:$LQ$60=Z$3)*(GMWQ!$LP$2:$LP$60=Z$4)*(GMWQ!$LR$2:$LR$60=Z$1),0),$B284-1966)</f>
        <v>754516.6</v>
      </c>
      <c r="AA284" s="7" cm="1">
        <f t="array" ref="AA284">INDEX(GMWQ!$A$2:$LR$60,MATCH(1,(GMWQ!$LQ$2:$LQ$60=AA$3)*(GMWQ!$LP$2:$LP$60=AA$4)*(GMWQ!$LR$2:$LR$60=AA$1),0),$B284-1966)</f>
        <v>540393.4</v>
      </c>
      <c r="AB284" s="7" cm="1">
        <f t="array" ref="AB284">INDEX(GMWQ!$A$2:$LR$60,MATCH(1,(GMWQ!$LQ$2:$LQ$60=AB$3)*(GMWQ!$LP$2:$LP$60=AB$4)*(GMWQ!$LR$2:$LR$60=AB$1),0),$B284-1966)</f>
        <v>516357</v>
      </c>
      <c r="AC284" s="7" cm="1">
        <f t="array" ref="AC284">INDEX(GMWQ!$A$2:$LR$60,MATCH(1,(GMWQ!$LQ$2:$LQ$60=AC$3)*(GMWQ!$LP$2:$LP$60=AC$4)*(GMWQ!$LR$2:$LR$60=AC$1),0),$B284-1966)</f>
        <v>17173.28</v>
      </c>
      <c r="AD284" s="7" cm="1">
        <f t="array" ref="AD284">INDEX(GMWQ!$A$2:$LR$60,MATCH(1,(GMWQ!$LQ$2:$LQ$60=AD$3)*(GMWQ!$LP$2:$LP$60=AD$4)*(GMWQ!$LR$2:$LR$60=AD$1),0),$B284-1966)</f>
        <v>29676.62</v>
      </c>
      <c r="AE284" s="7" cm="1">
        <f t="array" ref="AE284">INDEX(GMWQ!$A$2:$LR$60,MATCH(1,(GMWQ!$LQ$2:$LQ$60=AE$3)*(GMWQ!$LP$2:$LP$60=AE$4)*(GMWQ!$LR$2:$LR$60=AE$1),0),$B284-1966)</f>
        <v>1333363</v>
      </c>
      <c r="AF284" s="20" cm="1">
        <f t="array" ref="AF284">INDEX(GMWQ!$A$2:$LR$60,MATCH(1,(GMWQ!$LQ$2:$LQ$60=AF$3)*(GMWQ!$LP$2:$LP$60=AF$4)*(GMWQ!$LR$2:$LR$60=AF$1),0),$B284-1966)</f>
        <v>2</v>
      </c>
      <c r="AG284" s="20" cm="1">
        <f t="array" ref="AG284">INDEX(GMWQ!$A$2:$LR$60,MATCH(1,(GMWQ!$LQ$2:$LQ$60=AG$3)*(GMWQ!$LP$2:$LP$60=AG$4)*(GMWQ!$LR$2:$LR$60=AG$1),0),$B284-1966)</f>
        <v>-16793.68</v>
      </c>
      <c r="AI284" s="23" cm="1">
        <f t="array" ref="AI284">INDEX(GMWQ!$A$2:$LR$60,MATCH(1,(GMWQ!$LQ$2:$LQ$60=AI$3)*(GMWQ!$LP$2:$LP$60=AI$4)*(GMWQ!$LR$2:$LR$60=AI$1),0),$B284-1966)</f>
        <v>854408.4</v>
      </c>
      <c r="AJ284" s="23" cm="1">
        <f t="array" ref="AJ284">INDEX(GMWQ!$A$2:$LR$60,MATCH(1,(GMWQ!$LQ$2:$LQ$60=AJ$3)*(GMWQ!$LP$2:$LP$60=AJ$4)*(GMWQ!$LR$2:$LR$60=AJ$1),0),$B284-1966)</f>
        <v>174.08439999999999</v>
      </c>
      <c r="AK284" s="23" cm="1">
        <f t="array" ref="AK284">INDEX(GMWQ!$A$2:$LR$60,MATCH(1,(GMWQ!$LQ$2:$LQ$60=AK$3)*(GMWQ!$LP$2:$LP$60=AK$4)*(GMWQ!$LR$2:$LR$60=AK$1),0),$B284-1966)</f>
        <v>537955.30000000005</v>
      </c>
      <c r="AL284" s="23" cm="1">
        <f t="array" ref="AL284">INDEX(GMWQ!$A$2:$LR$60,MATCH(1,(GMWQ!$LQ$2:$LQ$60=AL$3)*(GMWQ!$LP$2:$LP$60=AL$4)*(GMWQ!$LR$2:$LR$60=AL$1),0),$B284-1966)</f>
        <v>16751.03</v>
      </c>
      <c r="AM284" s="23" cm="1">
        <f t="array" ref="AM284">INDEX(GMWQ!$A$2:$LR$60,MATCH(1,(GMWQ!$LQ$2:$LQ$60=AM$3)*(GMWQ!$LP$2:$LP$60=AM$4)*(GMWQ!$LR$2:$LR$60=AM$1),0),$B284-1966)</f>
        <v>32114.75</v>
      </c>
      <c r="AN284" s="23" cm="1">
        <f t="array" ref="AN284">INDEX(GMWQ!$A$2:$LR$60,MATCH(1,(GMWQ!$LQ$2:$LQ$60=AN$3)*(GMWQ!$LP$2:$LP$60=AN$4)*(GMWQ!$LR$2:$LR$60=AN$1),0),$B284-1966)</f>
        <v>159666.29999999999</v>
      </c>
      <c r="AO284" s="23" cm="1">
        <f t="array" ref="AO284">INDEX(GMWQ!$A$2:$LR$60,MATCH(1,(GMWQ!$LQ$2:$LQ$60=AO$3)*(GMWQ!$LP$2:$LP$60=AO$4)*(GMWQ!$LR$2:$LR$60=AO$1),0),$B284-1966)</f>
        <v>36177.49</v>
      </c>
      <c r="AP284" s="23" cm="1">
        <f t="array" ref="AP284">INDEX(GMWQ!$A$2:$LR$60,MATCH(1,(GMWQ!$LQ$2:$LQ$60=AP$3)*(GMWQ!$LP$2:$LP$60=AP$4)*(GMWQ!$LR$2:$LR$60=AP$1),0),$B284-1966)</f>
        <v>-16793.68</v>
      </c>
      <c r="AQ284" s="23" cm="1">
        <f t="array" ref="AQ284">INDEX(GMWQ!$A$2:$LR$60,MATCH(1,(GMWQ!$LQ$2:$LQ$60=AQ$3)*(GMWQ!$LP$2:$LP$60=AQ$4)*(GMWQ!$LR$2:$LR$60=AQ$1),0),$B284-1966)</f>
        <v>186767</v>
      </c>
      <c r="AR284" s="23" cm="1">
        <f t="array" ref="AR284">INDEX(GMWQ!$A$2:$LR$60,MATCH(1,(GMWQ!$LQ$2:$LQ$60=AR$3)*(GMWQ!$LP$2:$LP$60=AR$4)*(GMWQ!$LR$2:$LR$60=AR$1),0),$B284-1966)</f>
        <v>788725.2</v>
      </c>
      <c r="AS284" s="23" cm="1">
        <f t="array" ref="AS284">INDEX(GMWQ!$A$2:$LR$60,MATCH(1,(GMWQ!$LQ$2:$LQ$60=AS$3)*(GMWQ!$LP$2:$LP$60=AS$4)*(GMWQ!$LR$2:$LR$60=AS$1),0),$B284-1966)</f>
        <v>27034.400000000001</v>
      </c>
      <c r="AT284" s="23" cm="1">
        <f t="array" ref="AT284">INDEX(GMWQ!$A$2:$LR$60,MATCH(1,(GMWQ!$LQ$2:$LQ$60=AT$3)*(GMWQ!$LP$2:$LP$60=AT$4)*(GMWQ!$LR$2:$LR$60=AT$1),0),$B284-1966)</f>
        <v>453070.6</v>
      </c>
      <c r="AU284" s="23" cm="1">
        <f t="array" ref="AU284">INDEX(GMWQ!$A$2:$LR$60,MATCH(1,(GMWQ!$LQ$2:$LQ$60=AU$3)*(GMWQ!$LP$2:$LP$60=AU$4)*(GMWQ!$LR$2:$LR$60=AU$1),0),$B284-1966)</f>
        <v>16125.8</v>
      </c>
    </row>
    <row r="285" spans="1:47" x14ac:dyDescent="0.35">
      <c r="B285" s="7">
        <f t="shared" si="5"/>
        <v>2251</v>
      </c>
      <c r="C285" s="7" cm="1">
        <f t="array" ref="C285">INDEX(GMWQ!$A$2:$LR$60,MATCH(1,(GMWQ!$LQ$2:$LQ$60=C$3)*(GMWQ!$LP$2:$LP$60=C$4)*(GMWQ!$LR$2:$LR$60=C$1),0),$B285-1966)</f>
        <v>757368.2</v>
      </c>
      <c r="D285" s="7" cm="1">
        <f t="array" ref="D285">INDEX(GMWQ!$A$2:$LR$60,MATCH(1,(GMWQ!$LQ$2:$LQ$60=D$3)*(GMWQ!$LP$2:$LP$60=D$4)*(GMWQ!$LR$2:$LR$60=D$1),0),$B285-1966)</f>
        <v>1160.999</v>
      </c>
      <c r="E285" s="7" cm="1">
        <f t="array" ref="E285">INDEX(GMWQ!$A$2:$LR$60,MATCH(1,(GMWQ!$LQ$2:$LQ$60=E$3)*(GMWQ!$LP$2:$LP$60=E$4)*(GMWQ!$LR$2:$LR$60=E$1),0),$B285-1966)</f>
        <v>192.10919999999999</v>
      </c>
      <c r="F285" s="7" cm="1">
        <f t="array" ref="F285">INDEX(GMWQ!$A$2:$LR$60,MATCH(1,(GMWQ!$LQ$2:$LQ$60=F$3)*(GMWQ!$LP$2:$LP$60=F$4)*(GMWQ!$LR$2:$LR$60=F$1),0),$B285-1966)</f>
        <v>542695.6</v>
      </c>
      <c r="G285" s="7" cm="1">
        <f t="array" ref="G285">INDEX(GMWQ!$A$2:$LR$60,MATCH(1,(GMWQ!$LQ$2:$LQ$60=G$3)*(GMWQ!$LP$2:$LP$60=G$4)*(GMWQ!$LR$2:$LR$60=G$1),0),$B285-1966)</f>
        <v>161268.9</v>
      </c>
      <c r="H285" s="7" cm="1">
        <f t="array" ref="H285">INDEX(GMWQ!$A$2:$LR$60,MATCH(1,(GMWQ!$LQ$2:$LQ$60=H$3)*(GMWQ!$LP$2:$LP$60=H$4)*(GMWQ!$LR$2:$LR$60=H$1),0),$B285-1966)</f>
        <v>36496.28</v>
      </c>
      <c r="I285" s="7" cm="1">
        <f t="array" ref="I285">INDEX(GMWQ!$A$2:$LR$60,MATCH(1,(GMWQ!$LQ$2:$LQ$60=I$3)*(GMWQ!$LP$2:$LP$60=I$4)*(GMWQ!$LR$2:$LR$60=I$1),0),$B285-1966)</f>
        <v>174.94820000000001</v>
      </c>
      <c r="J285" s="7" cm="1">
        <f t="array" ref="J285">INDEX(GMWQ!$A$2:$LR$60,MATCH(1,(GMWQ!$LQ$2:$LQ$60=J$3)*(GMWQ!$LP$2:$LP$60=J$4)*(GMWQ!$LR$2:$LR$60=J$1),0),$B285-1966)</f>
        <v>32144.29</v>
      </c>
      <c r="K285" s="7" cm="1">
        <f t="array" ref="K285">INDEX(GMWQ!$A$2:$LR$60,MATCH(1,(GMWQ!$LQ$2:$LQ$60=K$3)*(GMWQ!$LP$2:$LP$60=K$4)*(GMWQ!$LR$2:$LR$60=K$1),0),$B285-1966)</f>
        <v>2</v>
      </c>
      <c r="L285" s="7" cm="1">
        <f t="array" ref="L285">INDEX(GMWQ!$A$2:$LR$60,MATCH(1,(GMWQ!$LQ$2:$LQ$60=L$3)*(GMWQ!$LP$2:$LP$60=L$4)*(GMWQ!$LR$2:$LR$60=L$1),0),$B285-1966)</f>
        <v>3.75</v>
      </c>
      <c r="M285" s="7" cm="1">
        <f t="array" ref="M285">INDEX(GMWQ!$A$2:$LR$60,MATCH(1,(GMWQ!$LQ$2:$LQ$60=M$3)*(GMWQ!$LP$2:$LP$60=M$4)*(GMWQ!$LR$2:$LR$60=M$1),0),$B285-1966)</f>
        <v>264.58999999999997</v>
      </c>
      <c r="N285" s="7" cm="1">
        <f t="array" ref="N285">INDEX(GMWQ!$A$2:$LR$60,MATCH(1,(GMWQ!$LQ$2:$LQ$60=N$3)*(GMWQ!$LP$2:$LP$60=N$4)*(GMWQ!$LR$2:$LR$60=N$1),0),$B285-1966)</f>
        <v>39460.26</v>
      </c>
      <c r="O285" s="7" cm="1">
        <f t="array" ref="O285">INDEX(GMWQ!$A$2:$LR$60,MATCH(1,(GMWQ!$LQ$2:$LQ$60=O$3)*(GMWQ!$LP$2:$LP$60=O$4)*(GMWQ!$LR$2:$LR$60=O$1),0),$B285-1966)</f>
        <v>22499.46</v>
      </c>
      <c r="P285" s="7" cm="1">
        <f t="array" ref="P285">INDEX(GMWQ!$A$2:$LR$60,MATCH(1,(GMWQ!$LQ$2:$LQ$60=P$3)*(GMWQ!$LP$2:$LP$60=P$4)*(GMWQ!$LR$2:$LR$60=P$1),0),$B285-1966)</f>
        <v>861908.2</v>
      </c>
      <c r="Q285" s="7" cm="1">
        <f t="array" ref="Q285">INDEX(GMWQ!$A$2:$LR$60,MATCH(1,(GMWQ!$LQ$2:$LQ$60=Q$3)*(GMWQ!$LP$2:$LP$60=Q$4)*(GMWQ!$LR$2:$LR$60=Q$1),0),$B285-1966)</f>
        <v>3.5</v>
      </c>
      <c r="R285" s="7" cm="1">
        <f t="array" ref="R285">INDEX(GMWQ!$A$2:$LR$60,MATCH(1,(GMWQ!$LQ$2:$LQ$60=R$3)*(GMWQ!$LP$2:$LP$60=R$4)*(GMWQ!$LR$2:$LR$60=R$1),0),$B285-1966)</f>
        <v>256508.2</v>
      </c>
      <c r="S285" s="7" cm="1">
        <f t="array" ref="S285">INDEX(GMWQ!$A$2:$LR$60,MATCH(1,(GMWQ!$LQ$2:$LQ$60=S$3)*(GMWQ!$LP$2:$LP$60=S$4)*(GMWQ!$LR$2:$LR$60=S$1),0),$B285-1966)</f>
        <v>382.65010000000001</v>
      </c>
      <c r="T285" s="7" cm="1">
        <f t="array" ref="T285">INDEX(GMWQ!$A$2:$LR$60,MATCH(1,(GMWQ!$LQ$2:$LQ$60=T$3)*(GMWQ!$LP$2:$LP$60=T$4)*(GMWQ!$LR$2:$LR$60=T$1),0),$B285-1966)</f>
        <v>142267.9</v>
      </c>
      <c r="U285" s="7" cm="1">
        <f t="array" ref="U285">INDEX(GMWQ!$A$2:$LR$60,MATCH(1,(GMWQ!$LQ$2:$LQ$60=U$3)*(GMWQ!$LP$2:$LP$60=U$4)*(GMWQ!$LR$2:$LR$60=U$1),0),$B285-1966)</f>
        <v>17832.47</v>
      </c>
      <c r="V285" s="7" cm="1">
        <f t="array" ref="V285">INDEX(GMWQ!$A$2:$LR$60,MATCH(1,(GMWQ!$LQ$2:$LQ$60=V$3)*(GMWQ!$LP$2:$LP$60=V$4)*(GMWQ!$LR$2:$LR$60=V$1),0),$B285-1966)</f>
        <v>1.358216E-3</v>
      </c>
      <c r="W285" s="7" cm="1">
        <f t="array" ref="W285">INDEX(GMWQ!$A$2:$LR$60,MATCH(1,(GMWQ!$LQ$2:$LQ$60=W$3)*(GMWQ!$LP$2:$LP$60=W$4)*(GMWQ!$LR$2:$LR$60=W$1),0),$B285-1966)</f>
        <v>9.2881450000000001</v>
      </c>
      <c r="X285" s="7" cm="1">
        <f t="array" ref="X285">INDEX(GMWQ!$A$2:$LR$60,MATCH(1,(GMWQ!$LQ$2:$LQ$60=X$3)*(GMWQ!$LP$2:$LP$60=X$4)*(GMWQ!$LR$2:$LR$60=X$1),0),$B285-1966)</f>
        <v>12077920</v>
      </c>
      <c r="Y285" s="7" cm="1">
        <f t="array" ref="Y285">INDEX(GMWQ!$A$2:$LR$60,MATCH(1,(GMWQ!$LQ$2:$LQ$60=Y$3)*(GMWQ!$LP$2:$LP$60=Y$4)*(GMWQ!$LR$2:$LR$60=Y$1),0),$B285-1966)</f>
        <v>177.67509999999999</v>
      </c>
      <c r="Z285" s="7" cm="1">
        <f t="array" ref="Z285">INDEX(GMWQ!$A$2:$LR$60,MATCH(1,(GMWQ!$LQ$2:$LQ$60=Z$3)*(GMWQ!$LP$2:$LP$60=Z$4)*(GMWQ!$LR$2:$LR$60=Z$1),0),$B285-1966)</f>
        <v>757368.6</v>
      </c>
      <c r="AA285" s="7" cm="1">
        <f t="array" ref="AA285">INDEX(GMWQ!$A$2:$LR$60,MATCH(1,(GMWQ!$LQ$2:$LQ$60=AA$3)*(GMWQ!$LP$2:$LP$60=AA$4)*(GMWQ!$LR$2:$LR$60=AA$1),0),$B285-1966)</f>
        <v>560325.1</v>
      </c>
      <c r="AB285" s="7" cm="1">
        <f t="array" ref="AB285">INDEX(GMWQ!$A$2:$LR$60,MATCH(1,(GMWQ!$LQ$2:$LQ$60=AB$3)*(GMWQ!$LP$2:$LP$60=AB$4)*(GMWQ!$LR$2:$LR$60=AB$1),0),$B285-1966)</f>
        <v>520881</v>
      </c>
      <c r="AC285" s="7" cm="1">
        <f t="array" ref="AC285">INDEX(GMWQ!$A$2:$LR$60,MATCH(1,(GMWQ!$LQ$2:$LQ$60=AC$3)*(GMWQ!$LP$2:$LP$60=AC$4)*(GMWQ!$LR$2:$LR$60=AC$1),0),$B285-1966)</f>
        <v>19553.689999999999</v>
      </c>
      <c r="AD285" s="7" cm="1">
        <f t="array" ref="AD285">INDEX(GMWQ!$A$2:$LR$60,MATCH(1,(GMWQ!$LQ$2:$LQ$60=AD$3)*(GMWQ!$LP$2:$LP$60=AD$4)*(GMWQ!$LR$2:$LR$60=AD$1),0),$B285-1966)</f>
        <v>29676.62</v>
      </c>
      <c r="AE285" s="7" cm="1">
        <f t="array" ref="AE285">INDEX(GMWQ!$A$2:$LR$60,MATCH(1,(GMWQ!$LQ$2:$LQ$60=AE$3)*(GMWQ!$LP$2:$LP$60=AE$4)*(GMWQ!$LR$2:$LR$60=AE$1),0),$B285-1966)</f>
        <v>1345655</v>
      </c>
      <c r="AF285" s="20" cm="1">
        <f t="array" ref="AF285">INDEX(GMWQ!$A$2:$LR$60,MATCH(1,(GMWQ!$LQ$2:$LQ$60=AF$3)*(GMWQ!$LP$2:$LP$60=AF$4)*(GMWQ!$LR$2:$LR$60=AF$1),0),$B285-1966)</f>
        <v>2</v>
      </c>
      <c r="AG285" s="20" cm="1">
        <f t="array" ref="AG285">INDEX(GMWQ!$A$2:$LR$60,MATCH(1,(GMWQ!$LQ$2:$LQ$60=AG$3)*(GMWQ!$LP$2:$LP$60=AG$4)*(GMWQ!$LR$2:$LR$60=AG$1),0),$B285-1966)</f>
        <v>-16960.8</v>
      </c>
      <c r="AI285" s="23" cm="1">
        <f t="array" ref="AI285">INDEX(GMWQ!$A$2:$LR$60,MATCH(1,(GMWQ!$LQ$2:$LQ$60=AI$3)*(GMWQ!$LP$2:$LP$60=AI$4)*(GMWQ!$LR$2:$LR$60=AI$1),0),$B285-1966)</f>
        <v>861908.2</v>
      </c>
      <c r="AJ285" s="23" cm="1">
        <f t="array" ref="AJ285">INDEX(GMWQ!$A$2:$LR$60,MATCH(1,(GMWQ!$LQ$2:$LQ$60=AJ$3)*(GMWQ!$LP$2:$LP$60=AJ$4)*(GMWQ!$LR$2:$LR$60=AJ$1),0),$B285-1966)</f>
        <v>174.94820000000001</v>
      </c>
      <c r="AK285" s="23" cm="1">
        <f t="array" ref="AK285">INDEX(GMWQ!$A$2:$LR$60,MATCH(1,(GMWQ!$LQ$2:$LQ$60=AK$3)*(GMWQ!$LP$2:$LP$60=AK$4)*(GMWQ!$LR$2:$LR$60=AK$1),0),$B285-1966)</f>
        <v>542695.6</v>
      </c>
      <c r="AL285" s="23" cm="1">
        <f t="array" ref="AL285">INDEX(GMWQ!$A$2:$LR$60,MATCH(1,(GMWQ!$LQ$2:$LQ$60=AL$3)*(GMWQ!$LP$2:$LP$60=AL$4)*(GMWQ!$LR$2:$LR$60=AL$1),0),$B285-1966)</f>
        <v>16883.11</v>
      </c>
      <c r="AM285" s="23" cm="1">
        <f t="array" ref="AM285">INDEX(GMWQ!$A$2:$LR$60,MATCH(1,(GMWQ!$LQ$2:$LQ$60=AM$3)*(GMWQ!$LP$2:$LP$60=AM$4)*(GMWQ!$LR$2:$LR$60=AM$1),0),$B285-1966)</f>
        <v>32144.29</v>
      </c>
      <c r="AN285" s="23" cm="1">
        <f t="array" ref="AN285">INDEX(GMWQ!$A$2:$LR$60,MATCH(1,(GMWQ!$LQ$2:$LQ$60=AN$3)*(GMWQ!$LP$2:$LP$60=AN$4)*(GMWQ!$LR$2:$LR$60=AN$1),0),$B285-1966)</f>
        <v>161268.9</v>
      </c>
      <c r="AO285" s="23" cm="1">
        <f t="array" ref="AO285">INDEX(GMWQ!$A$2:$LR$60,MATCH(1,(GMWQ!$LQ$2:$LQ$60=AO$3)*(GMWQ!$LP$2:$LP$60=AO$4)*(GMWQ!$LR$2:$LR$60=AO$1),0),$B285-1966)</f>
        <v>36496.28</v>
      </c>
      <c r="AP285" s="23" cm="1">
        <f t="array" ref="AP285">INDEX(GMWQ!$A$2:$LR$60,MATCH(1,(GMWQ!$LQ$2:$LQ$60=AP$3)*(GMWQ!$LP$2:$LP$60=AP$4)*(GMWQ!$LR$2:$LR$60=AP$1),0),$B285-1966)</f>
        <v>-16960.8</v>
      </c>
      <c r="AQ285" s="23" cm="1">
        <f t="array" ref="AQ285">INDEX(GMWQ!$A$2:$LR$60,MATCH(1,(GMWQ!$LQ$2:$LQ$60=AQ$3)*(GMWQ!$LP$2:$LP$60=AQ$4)*(GMWQ!$LR$2:$LR$60=AQ$1),0),$B285-1966)</f>
        <v>188365.3</v>
      </c>
      <c r="AR285" s="23" cm="1">
        <f t="array" ref="AR285">INDEX(GMWQ!$A$2:$LR$60,MATCH(1,(GMWQ!$LQ$2:$LQ$60=AR$3)*(GMWQ!$LP$2:$LP$60=AR$4)*(GMWQ!$LR$2:$LR$60=AR$1),0),$B285-1966)</f>
        <v>795637.6</v>
      </c>
      <c r="AS285" s="23" cm="1">
        <f t="array" ref="AS285">INDEX(GMWQ!$A$2:$LR$60,MATCH(1,(GMWQ!$LQ$2:$LQ$60=AS$3)*(GMWQ!$LP$2:$LP$60=AS$4)*(GMWQ!$LR$2:$LR$60=AS$1),0),$B285-1966)</f>
        <v>27280.28</v>
      </c>
      <c r="AT285" s="23" cm="1">
        <f t="array" ref="AT285">INDEX(GMWQ!$A$2:$LR$60,MATCH(1,(GMWQ!$LQ$2:$LQ$60=AT$3)*(GMWQ!$LP$2:$LP$60=AT$4)*(GMWQ!$LR$2:$LR$60=AT$1),0),$B285-1966)</f>
        <v>454784.7</v>
      </c>
      <c r="AU285" s="23" cm="1">
        <f t="array" ref="AU285">INDEX(GMWQ!$A$2:$LR$60,MATCH(1,(GMWQ!$LQ$2:$LQ$60=AU$3)*(GMWQ!$LP$2:$LP$60=AU$4)*(GMWQ!$LR$2:$LR$60=AU$1),0),$B285-1966)</f>
        <v>16186.72</v>
      </c>
    </row>
    <row r="286" spans="1:47" x14ac:dyDescent="0.35">
      <c r="B286" s="7">
        <f t="shared" si="5"/>
        <v>2252</v>
      </c>
      <c r="C286" s="7" cm="1">
        <f t="array" ref="C286">INDEX(GMWQ!$A$2:$LR$60,MATCH(1,(GMWQ!$LQ$2:$LQ$60=C$3)*(GMWQ!$LP$2:$LP$60=C$4)*(GMWQ!$LR$2:$LR$60=C$1),0),$B286-1966)</f>
        <v>760227.3</v>
      </c>
      <c r="D286" s="7" cm="1">
        <f t="array" ref="D286">INDEX(GMWQ!$A$2:$LR$60,MATCH(1,(GMWQ!$LQ$2:$LQ$60=D$3)*(GMWQ!$LP$2:$LP$60=D$4)*(GMWQ!$LR$2:$LR$60=D$1),0),$B286-1966)</f>
        <v>1170.1510000000001</v>
      </c>
      <c r="E286" s="7" cm="1">
        <f t="array" ref="E286">INDEX(GMWQ!$A$2:$LR$60,MATCH(1,(GMWQ!$LQ$2:$LQ$60=E$3)*(GMWQ!$LP$2:$LP$60=E$4)*(GMWQ!$LR$2:$LR$60=E$1),0),$B286-1966)</f>
        <v>192.92060000000001</v>
      </c>
      <c r="F286" s="7" cm="1">
        <f t="array" ref="F286">INDEX(GMWQ!$A$2:$LR$60,MATCH(1,(GMWQ!$LQ$2:$LQ$60=F$3)*(GMWQ!$LP$2:$LP$60=F$4)*(GMWQ!$LR$2:$LR$60=F$1),0),$B286-1966)</f>
        <v>547476.1</v>
      </c>
      <c r="G286" s="7" cm="1">
        <f t="array" ref="G286">INDEX(GMWQ!$A$2:$LR$60,MATCH(1,(GMWQ!$LQ$2:$LQ$60=G$3)*(GMWQ!$LP$2:$LP$60=G$4)*(GMWQ!$LR$2:$LR$60=G$1),0),$B286-1966)</f>
        <v>162884.6</v>
      </c>
      <c r="H286" s="7" cm="1">
        <f t="array" ref="H286">INDEX(GMWQ!$A$2:$LR$60,MATCH(1,(GMWQ!$LQ$2:$LQ$60=H$3)*(GMWQ!$LP$2:$LP$60=H$4)*(GMWQ!$LR$2:$LR$60=H$1),0),$B286-1966)</f>
        <v>36817.769999999997</v>
      </c>
      <c r="I286" s="7" cm="1">
        <f t="array" ref="I286">INDEX(GMWQ!$A$2:$LR$60,MATCH(1,(GMWQ!$LQ$2:$LQ$60=I$3)*(GMWQ!$LP$2:$LP$60=I$4)*(GMWQ!$LR$2:$LR$60=I$1),0),$B286-1966)</f>
        <v>175.81630000000001</v>
      </c>
      <c r="J286" s="7" cm="1">
        <f t="array" ref="J286">INDEX(GMWQ!$A$2:$LR$60,MATCH(1,(GMWQ!$LQ$2:$LQ$60=J$3)*(GMWQ!$LP$2:$LP$60=J$4)*(GMWQ!$LR$2:$LR$60=J$1),0),$B286-1966)</f>
        <v>32173.84</v>
      </c>
      <c r="K286" s="7" cm="1">
        <f t="array" ref="K286">INDEX(GMWQ!$A$2:$LR$60,MATCH(1,(GMWQ!$LQ$2:$LQ$60=K$3)*(GMWQ!$LP$2:$LP$60=K$4)*(GMWQ!$LR$2:$LR$60=K$1),0),$B286-1966)</f>
        <v>2</v>
      </c>
      <c r="L286" s="7" cm="1">
        <f t="array" ref="L286">INDEX(GMWQ!$A$2:$LR$60,MATCH(1,(GMWQ!$LQ$2:$LQ$60=L$3)*(GMWQ!$LP$2:$LP$60=L$4)*(GMWQ!$LR$2:$LR$60=L$1),0),$B286-1966)</f>
        <v>3.750019</v>
      </c>
      <c r="M286" s="7" cm="1">
        <f t="array" ref="M286">INDEX(GMWQ!$A$2:$LR$60,MATCH(1,(GMWQ!$LQ$2:$LQ$60=M$3)*(GMWQ!$LP$2:$LP$60=M$4)*(GMWQ!$LR$2:$LR$60=M$1),0),$B286-1966)</f>
        <v>266.91239999999999</v>
      </c>
      <c r="N286" s="7" cm="1">
        <f t="array" ref="N286">INDEX(GMWQ!$A$2:$LR$60,MATCH(1,(GMWQ!$LQ$2:$LQ$60=N$3)*(GMWQ!$LP$2:$LP$60=N$4)*(GMWQ!$LR$2:$LR$60=N$1),0),$B286-1966)</f>
        <v>39771.18</v>
      </c>
      <c r="O286" s="7" cm="1">
        <f t="array" ref="O286">INDEX(GMWQ!$A$2:$LR$60,MATCH(1,(GMWQ!$LQ$2:$LQ$60=O$3)*(GMWQ!$LP$2:$LP$60=O$4)*(GMWQ!$LR$2:$LR$60=O$1),0),$B286-1966)</f>
        <v>22649.73</v>
      </c>
      <c r="P286" s="7" cm="1">
        <f t="array" ref="P286">INDEX(GMWQ!$A$2:$LR$60,MATCH(1,(GMWQ!$LQ$2:$LQ$60=P$3)*(GMWQ!$LP$2:$LP$60=P$4)*(GMWQ!$LR$2:$LR$60=P$1),0),$B286-1966)</f>
        <v>869471.4</v>
      </c>
      <c r="Q286" s="7" cm="1">
        <f t="array" ref="Q286">INDEX(GMWQ!$A$2:$LR$60,MATCH(1,(GMWQ!$LQ$2:$LQ$60=Q$3)*(GMWQ!$LP$2:$LP$60=Q$4)*(GMWQ!$LR$2:$LR$60=Q$1),0),$B286-1966)</f>
        <v>3.5</v>
      </c>
      <c r="R286" s="7" cm="1">
        <f t="array" ref="R286">INDEX(GMWQ!$A$2:$LR$60,MATCH(1,(GMWQ!$LQ$2:$LQ$60=R$3)*(GMWQ!$LP$2:$LP$60=R$4)*(GMWQ!$LR$2:$LR$60=R$1),0),$B286-1966)</f>
        <v>256504.3</v>
      </c>
      <c r="S286" s="7" cm="1">
        <f t="array" ref="S286">INDEX(GMWQ!$A$2:$LR$60,MATCH(1,(GMWQ!$LQ$2:$LQ$60=S$3)*(GMWQ!$LP$2:$LP$60=S$4)*(GMWQ!$LR$2:$LR$60=S$1),0),$B286-1966)</f>
        <v>382.64429999999999</v>
      </c>
      <c r="T286" s="7" cm="1">
        <f t="array" ref="T286">INDEX(GMWQ!$A$2:$LR$60,MATCH(1,(GMWQ!$LQ$2:$LQ$60=T$3)*(GMWQ!$LP$2:$LP$60=T$4)*(GMWQ!$LR$2:$LR$60=T$1),0),$B286-1966)</f>
        <v>142823.1</v>
      </c>
      <c r="U286" s="7" cm="1">
        <f t="array" ref="U286">INDEX(GMWQ!$A$2:$LR$60,MATCH(1,(GMWQ!$LQ$2:$LQ$60=U$3)*(GMWQ!$LP$2:$LP$60=U$4)*(GMWQ!$LR$2:$LR$60=U$1),0),$B286-1966)</f>
        <v>17697.28</v>
      </c>
      <c r="V286" s="7" cm="1">
        <f t="array" ref="V286">INDEX(GMWQ!$A$2:$LR$60,MATCH(1,(GMWQ!$LQ$2:$LQ$60=V$3)*(GMWQ!$LP$2:$LP$60=V$4)*(GMWQ!$LR$2:$LR$60=V$1),0),$B286-1966)</f>
        <v>1.358328E-3</v>
      </c>
      <c r="W286" s="7" cm="1">
        <f t="array" ref="W286">INDEX(GMWQ!$A$2:$LR$60,MATCH(1,(GMWQ!$LQ$2:$LQ$60=W$3)*(GMWQ!$LP$2:$LP$60=W$4)*(GMWQ!$LR$2:$LR$60=W$1),0),$B286-1966)</f>
        <v>9.2816089999999996</v>
      </c>
      <c r="X286" s="7" cm="1">
        <f t="array" ref="X286">INDEX(GMWQ!$A$2:$LR$60,MATCH(1,(GMWQ!$LQ$2:$LQ$60=X$3)*(GMWQ!$LP$2:$LP$60=X$4)*(GMWQ!$LR$2:$LR$60=X$1),0),$B286-1966)</f>
        <v>12174760</v>
      </c>
      <c r="Y286" s="7" cm="1">
        <f t="array" ref="Y286">INDEX(GMWQ!$A$2:$LR$60,MATCH(1,(GMWQ!$LQ$2:$LQ$60=Y$3)*(GMWQ!$LP$2:$LP$60=Y$4)*(GMWQ!$LR$2:$LR$60=Y$1),0),$B286-1966)</f>
        <v>178.63810000000001</v>
      </c>
      <c r="Z286" s="7" cm="1">
        <f t="array" ref="Z286">INDEX(GMWQ!$A$2:$LR$60,MATCH(1,(GMWQ!$LQ$2:$LQ$60=Z$3)*(GMWQ!$LP$2:$LP$60=Z$4)*(GMWQ!$LR$2:$LR$60=Z$1),0),$B286-1966)</f>
        <v>760226.9</v>
      </c>
      <c r="AA286" s="7" cm="1">
        <f t="array" ref="AA286">INDEX(GMWQ!$A$2:$LR$60,MATCH(1,(GMWQ!$LQ$2:$LQ$60=AA$3)*(GMWQ!$LP$2:$LP$60=AA$4)*(GMWQ!$LR$2:$LR$60=AA$1),0),$B286-1966)</f>
        <v>544547.30000000005</v>
      </c>
      <c r="AB286" s="7" cm="1">
        <f t="array" ref="AB286">INDEX(GMWQ!$A$2:$LR$60,MATCH(1,(GMWQ!$LQ$2:$LQ$60=AB$3)*(GMWQ!$LP$2:$LP$60=AB$4)*(GMWQ!$LR$2:$LR$60=AB$1),0),$B286-1966)</f>
        <v>525284.80000000005</v>
      </c>
      <c r="AC286" s="7" cm="1">
        <f t="array" ref="AC286">INDEX(GMWQ!$A$2:$LR$60,MATCH(1,(GMWQ!$LQ$2:$LQ$60=AC$3)*(GMWQ!$LP$2:$LP$60=AC$4)*(GMWQ!$LR$2:$LR$60=AC$1),0),$B286-1966)</f>
        <v>20864.560000000001</v>
      </c>
      <c r="AD286" s="7" cm="1">
        <f t="array" ref="AD286">INDEX(GMWQ!$A$2:$LR$60,MATCH(1,(GMWQ!$LQ$2:$LQ$60=AD$3)*(GMWQ!$LP$2:$LP$60=AD$4)*(GMWQ!$LR$2:$LR$60=AD$1),0),$B286-1966)</f>
        <v>29676.62</v>
      </c>
      <c r="AE286" s="7" cm="1">
        <f t="array" ref="AE286">INDEX(GMWQ!$A$2:$LR$60,MATCH(1,(GMWQ!$LQ$2:$LQ$60=AE$3)*(GMWQ!$LP$2:$LP$60=AE$4)*(GMWQ!$LR$2:$LR$60=AE$1),0),$B286-1966)</f>
        <v>1358056</v>
      </c>
      <c r="AF286" s="20" cm="1">
        <f t="array" ref="AF286">INDEX(GMWQ!$A$2:$LR$60,MATCH(1,(GMWQ!$LQ$2:$LQ$60=AF$3)*(GMWQ!$LP$2:$LP$60=AF$4)*(GMWQ!$LR$2:$LR$60=AF$1),0),$B286-1966)</f>
        <v>2</v>
      </c>
      <c r="AG286" s="20" cm="1">
        <f t="array" ref="AG286">INDEX(GMWQ!$A$2:$LR$60,MATCH(1,(GMWQ!$LQ$2:$LQ$60=AG$3)*(GMWQ!$LP$2:$LP$60=AG$4)*(GMWQ!$LR$2:$LR$60=AG$1),0),$B286-1966)</f>
        <v>-17121.45</v>
      </c>
      <c r="AI286" s="23" cm="1">
        <f t="array" ref="AI286">INDEX(GMWQ!$A$2:$LR$60,MATCH(1,(GMWQ!$LQ$2:$LQ$60=AI$3)*(GMWQ!$LP$2:$LP$60=AI$4)*(GMWQ!$LR$2:$LR$60=AI$1),0),$B286-1966)</f>
        <v>869471.4</v>
      </c>
      <c r="AJ286" s="23" cm="1">
        <f t="array" ref="AJ286">INDEX(GMWQ!$A$2:$LR$60,MATCH(1,(GMWQ!$LQ$2:$LQ$60=AJ$3)*(GMWQ!$LP$2:$LP$60=AJ$4)*(GMWQ!$LR$2:$LR$60=AJ$1),0),$B286-1966)</f>
        <v>175.81630000000001</v>
      </c>
      <c r="AK286" s="23" cm="1">
        <f t="array" ref="AK286">INDEX(GMWQ!$A$2:$LR$60,MATCH(1,(GMWQ!$LQ$2:$LQ$60=AK$3)*(GMWQ!$LP$2:$LP$60=AK$4)*(GMWQ!$LR$2:$LR$60=AK$1),0),$B286-1966)</f>
        <v>547476.1</v>
      </c>
      <c r="AL286" s="23" cm="1">
        <f t="array" ref="AL286">INDEX(GMWQ!$A$2:$LR$60,MATCH(1,(GMWQ!$LQ$2:$LQ$60=AL$3)*(GMWQ!$LP$2:$LP$60=AL$4)*(GMWQ!$LR$2:$LR$60=AL$1),0),$B286-1966)</f>
        <v>17016.189999999999</v>
      </c>
      <c r="AM286" s="23" cm="1">
        <f t="array" ref="AM286">INDEX(GMWQ!$A$2:$LR$60,MATCH(1,(GMWQ!$LQ$2:$LQ$60=AM$3)*(GMWQ!$LP$2:$LP$60=AM$4)*(GMWQ!$LR$2:$LR$60=AM$1),0),$B286-1966)</f>
        <v>32173.84</v>
      </c>
      <c r="AN286" s="23" cm="1">
        <f t="array" ref="AN286">INDEX(GMWQ!$A$2:$LR$60,MATCH(1,(GMWQ!$LQ$2:$LQ$60=AN$3)*(GMWQ!$LP$2:$LP$60=AN$4)*(GMWQ!$LR$2:$LR$60=AN$1),0),$B286-1966)</f>
        <v>162884.6</v>
      </c>
      <c r="AO286" s="23" cm="1">
        <f t="array" ref="AO286">INDEX(GMWQ!$A$2:$LR$60,MATCH(1,(GMWQ!$LQ$2:$LQ$60=AO$3)*(GMWQ!$LP$2:$LP$60=AO$4)*(GMWQ!$LR$2:$LR$60=AO$1),0),$B286-1966)</f>
        <v>36817.769999999997</v>
      </c>
      <c r="AP286" s="23" cm="1">
        <f t="array" ref="AP286">INDEX(GMWQ!$A$2:$LR$60,MATCH(1,(GMWQ!$LQ$2:$LQ$60=AP$3)*(GMWQ!$LP$2:$LP$60=AP$4)*(GMWQ!$LR$2:$LR$60=AP$1),0),$B286-1966)</f>
        <v>-17121.45</v>
      </c>
      <c r="AQ286" s="23" cm="1">
        <f t="array" ref="AQ286">INDEX(GMWQ!$A$2:$LR$60,MATCH(1,(GMWQ!$LQ$2:$LQ$60=AQ$3)*(GMWQ!$LP$2:$LP$60=AQ$4)*(GMWQ!$LR$2:$LR$60=AQ$1),0),$B286-1966)</f>
        <v>189975.2</v>
      </c>
      <c r="AR286" s="23" cm="1">
        <f t="array" ref="AR286">INDEX(GMWQ!$A$2:$LR$60,MATCH(1,(GMWQ!$LQ$2:$LQ$60=AR$3)*(GMWQ!$LP$2:$LP$60=AR$4)*(GMWQ!$LR$2:$LR$60=AR$1),0),$B286-1966)</f>
        <v>802608.1</v>
      </c>
      <c r="AS286" s="23" cm="1">
        <f t="array" ref="AS286">INDEX(GMWQ!$A$2:$LR$60,MATCH(1,(GMWQ!$LQ$2:$LQ$60=AS$3)*(GMWQ!$LP$2:$LP$60=AS$4)*(GMWQ!$LR$2:$LR$60=AS$1),0),$B286-1966)</f>
        <v>27528.240000000002</v>
      </c>
      <c r="AT286" s="23" cm="1">
        <f t="array" ref="AT286">INDEX(GMWQ!$A$2:$LR$60,MATCH(1,(GMWQ!$LQ$2:$LQ$60=AT$3)*(GMWQ!$LP$2:$LP$60=AT$4)*(GMWQ!$LR$2:$LR$60=AT$1),0),$B286-1966)</f>
        <v>456503.8</v>
      </c>
      <c r="AU286" s="23" cm="1">
        <f t="array" ref="AU286">INDEX(GMWQ!$A$2:$LR$60,MATCH(1,(GMWQ!$LQ$2:$LQ$60=AU$3)*(GMWQ!$LP$2:$LP$60=AU$4)*(GMWQ!$LR$2:$LR$60=AU$1),0),$B286-1966)</f>
        <v>16247.83</v>
      </c>
    </row>
    <row r="287" spans="1:47" x14ac:dyDescent="0.35">
      <c r="A287" s="7">
        <v>2043</v>
      </c>
      <c r="B287" s="7">
        <f t="shared" si="5"/>
        <v>2253</v>
      </c>
      <c r="C287" s="7" cm="1">
        <f t="array" ref="C287">INDEX(GMWQ!$A$2:$LR$60,MATCH(1,(GMWQ!$LQ$2:$LQ$60=C$3)*(GMWQ!$LP$2:$LP$60=C$4)*(GMWQ!$LR$2:$LR$60=C$1),0),$B287-1966)</f>
        <v>763094.8</v>
      </c>
      <c r="D287" s="7" cm="1">
        <f t="array" ref="D287">INDEX(GMWQ!$A$2:$LR$60,MATCH(1,(GMWQ!$LQ$2:$LQ$60=D$3)*(GMWQ!$LP$2:$LP$60=D$4)*(GMWQ!$LR$2:$LR$60=D$1),0),$B287-1966)</f>
        <v>1179.3720000000001</v>
      </c>
      <c r="E287" s="7" cm="1">
        <f t="array" ref="E287">INDEX(GMWQ!$A$2:$LR$60,MATCH(1,(GMWQ!$LQ$2:$LQ$60=E$3)*(GMWQ!$LP$2:$LP$60=E$4)*(GMWQ!$LR$2:$LR$60=E$1),0),$B287-1966)</f>
        <v>193.12280000000001</v>
      </c>
      <c r="F287" s="7" cm="1">
        <f t="array" ref="F287">INDEX(GMWQ!$A$2:$LR$60,MATCH(1,(GMWQ!$LQ$2:$LQ$60=F$3)*(GMWQ!$LP$2:$LP$60=F$4)*(GMWQ!$LR$2:$LR$60=F$1),0),$B287-1966)</f>
        <v>552297.1</v>
      </c>
      <c r="G287" s="7" cm="1">
        <f t="array" ref="G287">INDEX(GMWQ!$A$2:$LR$60,MATCH(1,(GMWQ!$LQ$2:$LQ$60=G$3)*(GMWQ!$LP$2:$LP$60=G$4)*(GMWQ!$LR$2:$LR$60=G$1),0),$B287-1966)</f>
        <v>164514.1</v>
      </c>
      <c r="H287" s="7" cm="1">
        <f t="array" ref="H287">INDEX(GMWQ!$A$2:$LR$60,MATCH(1,(GMWQ!$LQ$2:$LQ$60=H$3)*(GMWQ!$LP$2:$LP$60=H$4)*(GMWQ!$LR$2:$LR$60=H$1),0),$B287-1966)</f>
        <v>37141.980000000003</v>
      </c>
      <c r="I287" s="7" cm="1">
        <f t="array" ref="I287">INDEX(GMWQ!$A$2:$LR$60,MATCH(1,(GMWQ!$LQ$2:$LQ$60=I$3)*(GMWQ!$LP$2:$LP$60=I$4)*(GMWQ!$LR$2:$LR$60=I$1),0),$B287-1966)</f>
        <v>176.68870000000001</v>
      </c>
      <c r="J287" s="7" cm="1">
        <f t="array" ref="J287">INDEX(GMWQ!$A$2:$LR$60,MATCH(1,(GMWQ!$LQ$2:$LQ$60=J$3)*(GMWQ!$LP$2:$LP$60=J$4)*(GMWQ!$LR$2:$LR$60=J$1),0),$B287-1966)</f>
        <v>32203.39</v>
      </c>
      <c r="K287" s="7" cm="1">
        <f t="array" ref="K287">INDEX(GMWQ!$A$2:$LR$60,MATCH(1,(GMWQ!$LQ$2:$LQ$60=K$3)*(GMWQ!$LP$2:$LP$60=K$4)*(GMWQ!$LR$2:$LR$60=K$1),0),$B287-1966)</f>
        <v>2</v>
      </c>
      <c r="L287" s="7" cm="1">
        <f t="array" ref="L287">INDEX(GMWQ!$A$2:$LR$60,MATCH(1,(GMWQ!$LQ$2:$LQ$60=L$3)*(GMWQ!$LP$2:$LP$60=L$4)*(GMWQ!$LR$2:$LR$60=L$1),0),$B287-1966)</f>
        <v>3.7499880000000001</v>
      </c>
      <c r="M287" s="7" cm="1">
        <f t="array" ref="M287">INDEX(GMWQ!$A$2:$LR$60,MATCH(1,(GMWQ!$LQ$2:$LQ$60=M$3)*(GMWQ!$LP$2:$LP$60=M$4)*(GMWQ!$LR$2:$LR$60=M$1),0),$B287-1966)</f>
        <v>269.25459999999998</v>
      </c>
      <c r="N287" s="7" cm="1">
        <f t="array" ref="N287">INDEX(GMWQ!$A$2:$LR$60,MATCH(1,(GMWQ!$LQ$2:$LQ$60=N$3)*(GMWQ!$LP$2:$LP$60=N$4)*(GMWQ!$LR$2:$LR$60=N$1),0),$B287-1966)</f>
        <v>40082.42</v>
      </c>
      <c r="O287" s="7" cm="1">
        <f t="array" ref="O287">INDEX(GMWQ!$A$2:$LR$60,MATCH(1,(GMWQ!$LQ$2:$LQ$60=O$3)*(GMWQ!$LP$2:$LP$60=O$4)*(GMWQ!$LR$2:$LR$60=O$1),0),$B287-1966)</f>
        <v>22806.639999999999</v>
      </c>
      <c r="P287" s="7" cm="1">
        <f t="array" ref="P287">INDEX(GMWQ!$A$2:$LR$60,MATCH(1,(GMWQ!$LQ$2:$LQ$60=P$3)*(GMWQ!$LP$2:$LP$60=P$4)*(GMWQ!$LR$2:$LR$60=P$1),0),$B287-1966)</f>
        <v>877098.3</v>
      </c>
      <c r="Q287" s="7" cm="1">
        <f t="array" ref="Q287">INDEX(GMWQ!$A$2:$LR$60,MATCH(1,(GMWQ!$LQ$2:$LQ$60=Q$3)*(GMWQ!$LP$2:$LP$60=Q$4)*(GMWQ!$LR$2:$LR$60=Q$1),0),$B287-1966)</f>
        <v>3.5</v>
      </c>
      <c r="R287" s="7" cm="1">
        <f t="array" ref="R287">INDEX(GMWQ!$A$2:$LR$60,MATCH(1,(GMWQ!$LQ$2:$LQ$60=R$3)*(GMWQ!$LP$2:$LP$60=R$4)*(GMWQ!$LR$2:$LR$60=R$1),0),$B287-1966)</f>
        <v>256500.9</v>
      </c>
      <c r="S287" s="7" cm="1">
        <f t="array" ref="S287">INDEX(GMWQ!$A$2:$LR$60,MATCH(1,(GMWQ!$LQ$2:$LQ$60=S$3)*(GMWQ!$LP$2:$LP$60=S$4)*(GMWQ!$LR$2:$LR$60=S$1),0),$B287-1966)</f>
        <v>382.63920000000002</v>
      </c>
      <c r="T287" s="7" cm="1">
        <f t="array" ref="T287">INDEX(GMWQ!$A$2:$LR$60,MATCH(1,(GMWQ!$LQ$2:$LQ$60=T$3)*(GMWQ!$LP$2:$LP$60=T$4)*(GMWQ!$LR$2:$LR$60=T$1),0),$B287-1966)</f>
        <v>143379.20000000001</v>
      </c>
      <c r="U287" s="7" cm="1">
        <f t="array" ref="U287">INDEX(GMWQ!$A$2:$LR$60,MATCH(1,(GMWQ!$LQ$2:$LQ$60=U$3)*(GMWQ!$LP$2:$LP$60=U$4)*(GMWQ!$LR$2:$LR$60=U$1),0),$B287-1966)</f>
        <v>17568.38</v>
      </c>
      <c r="V287" s="7" cm="1">
        <f t="array" ref="V287">INDEX(GMWQ!$A$2:$LR$60,MATCH(1,(GMWQ!$LQ$2:$LQ$60=V$3)*(GMWQ!$LP$2:$LP$60=V$4)*(GMWQ!$LR$2:$LR$60=V$1),0),$B287-1966)</f>
        <v>1.357631E-3</v>
      </c>
      <c r="W287" s="7" cm="1">
        <f t="array" ref="W287">INDEX(GMWQ!$A$2:$LR$60,MATCH(1,(GMWQ!$LQ$2:$LQ$60=W$3)*(GMWQ!$LP$2:$LP$60=W$4)*(GMWQ!$LR$2:$LR$60=W$1),0),$B287-1966)</f>
        <v>9.2317149999999994</v>
      </c>
      <c r="X287" s="7" cm="1">
        <f t="array" ref="X287">INDEX(GMWQ!$A$2:$LR$60,MATCH(1,(GMWQ!$LQ$2:$LQ$60=X$3)*(GMWQ!$LP$2:$LP$60=X$4)*(GMWQ!$LR$2:$LR$60=X$1),0),$B287-1966)</f>
        <v>12349690</v>
      </c>
      <c r="Y287" s="7" cm="1">
        <f t="array" ref="Y287">INDEX(GMWQ!$A$2:$LR$60,MATCH(1,(GMWQ!$LQ$2:$LQ$60=Y$3)*(GMWQ!$LP$2:$LP$60=Y$4)*(GMWQ!$LR$2:$LR$60=Y$1),0),$B287-1966)</f>
        <v>179.60720000000001</v>
      </c>
      <c r="Z287" s="7" cm="1">
        <f t="array" ref="Z287">INDEX(GMWQ!$A$2:$LR$60,MATCH(1,(GMWQ!$LQ$2:$LQ$60=Z$3)*(GMWQ!$LP$2:$LP$60=Z$4)*(GMWQ!$LR$2:$LR$60=Z$1),0),$B287-1966)</f>
        <v>763094.7</v>
      </c>
      <c r="AA287" s="7" cm="1">
        <f t="array" ref="AA287">INDEX(GMWQ!$A$2:$LR$60,MATCH(1,(GMWQ!$LQ$2:$LQ$60=AA$3)*(GMWQ!$LP$2:$LP$60=AA$4)*(GMWQ!$LR$2:$LR$60=AA$1),0),$B287-1966)</f>
        <v>612727.9</v>
      </c>
      <c r="AB287" s="7" cm="1">
        <f t="array" ref="AB287">INDEX(GMWQ!$A$2:$LR$60,MATCH(1,(GMWQ!$LQ$2:$LQ$60=AB$3)*(GMWQ!$LP$2:$LP$60=AB$4)*(GMWQ!$LR$2:$LR$60=AB$1),0),$B287-1966)</f>
        <v>523790.2</v>
      </c>
      <c r="AC287" s="7" cm="1">
        <f t="array" ref="AC287">INDEX(GMWQ!$A$2:$LR$60,MATCH(1,(GMWQ!$LQ$2:$LQ$60=AC$3)*(GMWQ!$LP$2:$LP$60=AC$4)*(GMWQ!$LR$2:$LR$60=AC$1),0),$B287-1966)</f>
        <v>37034.14</v>
      </c>
      <c r="AD287" s="7" cm="1">
        <f t="array" ref="AD287">INDEX(GMWQ!$A$2:$LR$60,MATCH(1,(GMWQ!$LQ$2:$LQ$60=AD$3)*(GMWQ!$LP$2:$LP$60=AD$4)*(GMWQ!$LR$2:$LR$60=AD$1),0),$B287-1966)</f>
        <v>29676.62</v>
      </c>
      <c r="AE287" s="7" cm="1">
        <f t="array" ref="AE287">INDEX(GMWQ!$A$2:$LR$60,MATCH(1,(GMWQ!$LQ$2:$LQ$60=AE$3)*(GMWQ!$LP$2:$LP$60=AE$4)*(GMWQ!$LR$2:$LR$60=AE$1),0),$B287-1966)</f>
        <v>1370573</v>
      </c>
      <c r="AF287" s="20" cm="1">
        <f t="array" ref="AF287">INDEX(GMWQ!$A$2:$LR$60,MATCH(1,(GMWQ!$LQ$2:$LQ$60=AF$3)*(GMWQ!$LP$2:$LP$60=AF$4)*(GMWQ!$LR$2:$LR$60=AF$1),0),$B287-1966)</f>
        <v>2</v>
      </c>
      <c r="AG287" s="20" cm="1">
        <f t="array" ref="AG287">INDEX(GMWQ!$A$2:$LR$60,MATCH(1,(GMWQ!$LQ$2:$LQ$60=AG$3)*(GMWQ!$LP$2:$LP$60=AG$4)*(GMWQ!$LR$2:$LR$60=AG$1),0),$B287-1966)</f>
        <v>-17275.78</v>
      </c>
      <c r="AI287" s="23" cm="1">
        <f t="array" ref="AI287">INDEX(GMWQ!$A$2:$LR$60,MATCH(1,(GMWQ!$LQ$2:$LQ$60=AI$3)*(GMWQ!$LP$2:$LP$60=AI$4)*(GMWQ!$LR$2:$LR$60=AI$1),0),$B287-1966)</f>
        <v>877098.3</v>
      </c>
      <c r="AJ287" s="23" cm="1">
        <f t="array" ref="AJ287">INDEX(GMWQ!$A$2:$LR$60,MATCH(1,(GMWQ!$LQ$2:$LQ$60=AJ$3)*(GMWQ!$LP$2:$LP$60=AJ$4)*(GMWQ!$LR$2:$LR$60=AJ$1),0),$B287-1966)</f>
        <v>176.68870000000001</v>
      </c>
      <c r="AK287" s="23" cm="1">
        <f t="array" ref="AK287">INDEX(GMWQ!$A$2:$LR$60,MATCH(1,(GMWQ!$LQ$2:$LQ$60=AK$3)*(GMWQ!$LP$2:$LP$60=AK$4)*(GMWQ!$LR$2:$LR$60=AK$1),0),$B287-1966)</f>
        <v>552297.1</v>
      </c>
      <c r="AL287" s="23" cm="1">
        <f t="array" ref="AL287">INDEX(GMWQ!$A$2:$LR$60,MATCH(1,(GMWQ!$LQ$2:$LQ$60=AL$3)*(GMWQ!$LP$2:$LP$60=AL$4)*(GMWQ!$LR$2:$LR$60=AL$1),0),$B287-1966)</f>
        <v>17150.28</v>
      </c>
      <c r="AM287" s="23" cm="1">
        <f t="array" ref="AM287">INDEX(GMWQ!$A$2:$LR$60,MATCH(1,(GMWQ!$LQ$2:$LQ$60=AM$3)*(GMWQ!$LP$2:$LP$60=AM$4)*(GMWQ!$LR$2:$LR$60=AM$1),0),$B287-1966)</f>
        <v>32203.39</v>
      </c>
      <c r="AN287" s="23" cm="1">
        <f t="array" ref="AN287">INDEX(GMWQ!$A$2:$LR$60,MATCH(1,(GMWQ!$LQ$2:$LQ$60=AN$3)*(GMWQ!$LP$2:$LP$60=AN$4)*(GMWQ!$LR$2:$LR$60=AN$1),0),$B287-1966)</f>
        <v>164514.1</v>
      </c>
      <c r="AO287" s="23" cm="1">
        <f t="array" ref="AO287">INDEX(GMWQ!$A$2:$LR$60,MATCH(1,(GMWQ!$LQ$2:$LQ$60=AO$3)*(GMWQ!$LP$2:$LP$60=AO$4)*(GMWQ!$LR$2:$LR$60=AO$1),0),$B287-1966)</f>
        <v>37141.980000000003</v>
      </c>
      <c r="AP287" s="23" cm="1">
        <f t="array" ref="AP287">INDEX(GMWQ!$A$2:$LR$60,MATCH(1,(GMWQ!$LQ$2:$LQ$60=AP$3)*(GMWQ!$LP$2:$LP$60=AP$4)*(GMWQ!$LR$2:$LR$60=AP$1),0),$B287-1966)</f>
        <v>-17275.78</v>
      </c>
      <c r="AQ287" s="23" cm="1">
        <f t="array" ref="AQ287">INDEX(GMWQ!$A$2:$LR$60,MATCH(1,(GMWQ!$LQ$2:$LQ$60=AQ$3)*(GMWQ!$LP$2:$LP$60=AQ$4)*(GMWQ!$LR$2:$LR$60=AQ$1),0),$B287-1966)</f>
        <v>191597</v>
      </c>
      <c r="AR287" s="23" cm="1">
        <f t="array" ref="AR287">INDEX(GMWQ!$A$2:$LR$60,MATCH(1,(GMWQ!$LQ$2:$LQ$60=AR$3)*(GMWQ!$LP$2:$LP$60=AR$4)*(GMWQ!$LR$2:$LR$60=AR$1),0),$B287-1966)</f>
        <v>809636.9</v>
      </c>
      <c r="AS287" s="23" cm="1">
        <f t="array" ref="AS287">INDEX(GMWQ!$A$2:$LR$60,MATCH(1,(GMWQ!$LQ$2:$LQ$60=AS$3)*(GMWQ!$LP$2:$LP$60=AS$4)*(GMWQ!$LR$2:$LR$60=AS$1),0),$B287-1966)</f>
        <v>27778.26</v>
      </c>
      <c r="AT287" s="23" cm="1">
        <f t="array" ref="AT287">INDEX(GMWQ!$A$2:$LR$60,MATCH(1,(GMWQ!$LQ$2:$LQ$60=AT$3)*(GMWQ!$LP$2:$LP$60=AT$4)*(GMWQ!$LR$2:$LR$60=AT$1),0),$B287-1966)</f>
        <v>458227.9</v>
      </c>
      <c r="AU287" s="23" cm="1">
        <f t="array" ref="AU287">INDEX(GMWQ!$A$2:$LR$60,MATCH(1,(GMWQ!$LQ$2:$LQ$60=AU$3)*(GMWQ!$LP$2:$LP$60=AU$4)*(GMWQ!$LR$2:$LR$60=AU$1),0),$B287-1966)</f>
        <v>16309.11</v>
      </c>
    </row>
    <row r="288" spans="1:47" x14ac:dyDescent="0.35">
      <c r="B288" s="7">
        <f t="shared" si="5"/>
        <v>2254</v>
      </c>
      <c r="C288" s="7" cm="1">
        <f t="array" ref="C288">INDEX(GMWQ!$A$2:$LR$60,MATCH(1,(GMWQ!$LQ$2:$LQ$60=C$3)*(GMWQ!$LP$2:$LP$60=C$4)*(GMWQ!$LR$2:$LR$60=C$1),0),$B288-1966)</f>
        <v>765970.4</v>
      </c>
      <c r="D288" s="7" cm="1">
        <f t="array" ref="D288">INDEX(GMWQ!$A$2:$LR$60,MATCH(1,(GMWQ!$LQ$2:$LQ$60=D$3)*(GMWQ!$LP$2:$LP$60=D$4)*(GMWQ!$LR$2:$LR$60=D$1),0),$B288-1966)</f>
        <v>1188.663</v>
      </c>
      <c r="E288" s="7" cm="1">
        <f t="array" ref="E288">INDEX(GMWQ!$A$2:$LR$60,MATCH(1,(GMWQ!$LQ$2:$LQ$60=E$3)*(GMWQ!$LP$2:$LP$60=E$4)*(GMWQ!$LR$2:$LR$60=E$1),0),$B288-1966)</f>
        <v>194.88679999999999</v>
      </c>
      <c r="F288" s="7" cm="1">
        <f t="array" ref="F288">INDEX(GMWQ!$A$2:$LR$60,MATCH(1,(GMWQ!$LQ$2:$LQ$60=F$3)*(GMWQ!$LP$2:$LP$60=F$4)*(GMWQ!$LR$2:$LR$60=F$1),0),$B288-1966)</f>
        <v>557158.80000000005</v>
      </c>
      <c r="G288" s="7" cm="1">
        <f t="array" ref="G288">INDEX(GMWQ!$A$2:$LR$60,MATCH(1,(GMWQ!$LQ$2:$LQ$60=G$3)*(GMWQ!$LP$2:$LP$60=G$4)*(GMWQ!$LR$2:$LR$60=G$1),0),$B288-1966)</f>
        <v>165580</v>
      </c>
      <c r="H288" s="7" cm="1">
        <f t="array" ref="H288">INDEX(GMWQ!$A$2:$LR$60,MATCH(1,(GMWQ!$LQ$2:$LQ$60=H$3)*(GMWQ!$LP$2:$LP$60=H$4)*(GMWQ!$LR$2:$LR$60=H$1),0),$B288-1966)</f>
        <v>37468.93</v>
      </c>
      <c r="I288" s="7" cm="1">
        <f t="array" ref="I288">INDEX(GMWQ!$A$2:$LR$60,MATCH(1,(GMWQ!$LQ$2:$LQ$60=I$3)*(GMWQ!$LP$2:$LP$60=I$4)*(GMWQ!$LR$2:$LR$60=I$1),0),$B288-1966)</f>
        <v>177.56540000000001</v>
      </c>
      <c r="J288" s="7" cm="1">
        <f t="array" ref="J288">INDEX(GMWQ!$A$2:$LR$60,MATCH(1,(GMWQ!$LQ$2:$LQ$60=J$3)*(GMWQ!$LP$2:$LP$60=J$4)*(GMWQ!$LR$2:$LR$60=J$1),0),$B288-1966)</f>
        <v>32232.93</v>
      </c>
      <c r="K288" s="7" cm="1">
        <f t="array" ref="K288">INDEX(GMWQ!$A$2:$LR$60,MATCH(1,(GMWQ!$LQ$2:$LQ$60=K$3)*(GMWQ!$LP$2:$LP$60=K$4)*(GMWQ!$LR$2:$LR$60=K$1),0),$B288-1966)</f>
        <v>2</v>
      </c>
      <c r="L288" s="7" cm="1">
        <f t="array" ref="L288">INDEX(GMWQ!$A$2:$LR$60,MATCH(1,(GMWQ!$LQ$2:$LQ$60=L$3)*(GMWQ!$LP$2:$LP$60=L$4)*(GMWQ!$LR$2:$LR$60=L$1),0),$B288-1966)</f>
        <v>3.7500149999999999</v>
      </c>
      <c r="M288" s="7" cm="1">
        <f t="array" ref="M288">INDEX(GMWQ!$A$2:$LR$60,MATCH(1,(GMWQ!$LQ$2:$LQ$60=M$3)*(GMWQ!$LP$2:$LP$60=M$4)*(GMWQ!$LR$2:$LR$60=M$1),0),$B288-1966)</f>
        <v>271.61649999999997</v>
      </c>
      <c r="N288" s="7" cm="1">
        <f t="array" ref="N288">INDEX(GMWQ!$A$2:$LR$60,MATCH(1,(GMWQ!$LQ$2:$LQ$60=N$3)*(GMWQ!$LP$2:$LP$60=N$4)*(GMWQ!$LR$2:$LR$60=N$1),0),$B288-1966)</f>
        <v>40394.03</v>
      </c>
      <c r="O288" s="7" cm="1">
        <f t="array" ref="O288">INDEX(GMWQ!$A$2:$LR$60,MATCH(1,(GMWQ!$LQ$2:$LQ$60=O$3)*(GMWQ!$LP$2:$LP$60=O$4)*(GMWQ!$LR$2:$LR$60=O$1),0),$B288-1966)</f>
        <v>22970.04</v>
      </c>
      <c r="P288" s="7" cm="1">
        <f t="array" ref="P288">INDEX(GMWQ!$A$2:$LR$60,MATCH(1,(GMWQ!$LQ$2:$LQ$60=P$3)*(GMWQ!$LP$2:$LP$60=P$4)*(GMWQ!$LR$2:$LR$60=P$1),0),$B288-1966)</f>
        <v>884788.9</v>
      </c>
      <c r="Q288" s="7" cm="1">
        <f t="array" ref="Q288">INDEX(GMWQ!$A$2:$LR$60,MATCH(1,(GMWQ!$LQ$2:$LQ$60=Q$3)*(GMWQ!$LP$2:$LP$60=Q$4)*(GMWQ!$LR$2:$LR$60=Q$1),0),$B288-1966)</f>
        <v>3.5</v>
      </c>
      <c r="R288" s="7" cm="1">
        <f t="array" ref="R288">INDEX(GMWQ!$A$2:$LR$60,MATCH(1,(GMWQ!$LQ$2:$LQ$60=R$3)*(GMWQ!$LP$2:$LP$60=R$4)*(GMWQ!$LR$2:$LR$60=R$1),0),$B288-1966)</f>
        <v>256498</v>
      </c>
      <c r="S288" s="7" cm="1">
        <f t="array" ref="S288">INDEX(GMWQ!$A$2:$LR$60,MATCH(1,(GMWQ!$LQ$2:$LQ$60=S$3)*(GMWQ!$LP$2:$LP$60=S$4)*(GMWQ!$LR$2:$LR$60=S$1),0),$B288-1966)</f>
        <v>382.63479999999998</v>
      </c>
      <c r="T288" s="7" cm="1">
        <f t="array" ref="T288">INDEX(GMWQ!$A$2:$LR$60,MATCH(1,(GMWQ!$LQ$2:$LQ$60=T$3)*(GMWQ!$LP$2:$LP$60=T$4)*(GMWQ!$LR$2:$LR$60=T$1),0),$B288-1966)</f>
        <v>143936.29999999999</v>
      </c>
      <c r="U288" s="7" cm="1">
        <f t="array" ref="U288">INDEX(GMWQ!$A$2:$LR$60,MATCH(1,(GMWQ!$LQ$2:$LQ$60=U$3)*(GMWQ!$LP$2:$LP$60=U$4)*(GMWQ!$LR$2:$LR$60=U$1),0),$B288-1966)</f>
        <v>17445.439999999999</v>
      </c>
      <c r="V288" s="7" cm="1">
        <f t="array" ref="V288">INDEX(GMWQ!$A$2:$LR$60,MATCH(1,(GMWQ!$LQ$2:$LQ$60=V$3)*(GMWQ!$LP$2:$LP$60=V$4)*(GMWQ!$LR$2:$LR$60=V$1),0),$B288-1966)</f>
        <v>1.356721E-3</v>
      </c>
      <c r="W288" s="7" cm="1">
        <f t="array" ref="W288">INDEX(GMWQ!$A$2:$LR$60,MATCH(1,(GMWQ!$LQ$2:$LQ$60=W$3)*(GMWQ!$LP$2:$LP$60=W$4)*(GMWQ!$LR$2:$LR$60=W$1),0),$B288-1966)</f>
        <v>9.3060930000000006</v>
      </c>
      <c r="X288" s="7" cm="1">
        <f t="array" ref="X288">INDEX(GMWQ!$A$2:$LR$60,MATCH(1,(GMWQ!$LQ$2:$LQ$60=X$3)*(GMWQ!$LP$2:$LP$60=X$4)*(GMWQ!$LR$2:$LR$60=X$1),0),$B288-1966)</f>
        <v>12497630</v>
      </c>
      <c r="Y288" s="7" cm="1">
        <f t="array" ref="Y288">INDEX(GMWQ!$A$2:$LR$60,MATCH(1,(GMWQ!$LQ$2:$LQ$60=Y$3)*(GMWQ!$LP$2:$LP$60=Y$4)*(GMWQ!$LR$2:$LR$60=Y$1),0),$B288-1966)</f>
        <v>180.58150000000001</v>
      </c>
      <c r="Z288" s="7" cm="1">
        <f t="array" ref="Z288">INDEX(GMWQ!$A$2:$LR$60,MATCH(1,(GMWQ!$LQ$2:$LQ$60=Z$3)*(GMWQ!$LP$2:$LP$60=Z$4)*(GMWQ!$LR$2:$LR$60=Z$1),0),$B288-1966)</f>
        <v>765971.1</v>
      </c>
      <c r="AA288" s="7" cm="1">
        <f t="array" ref="AA288">INDEX(GMWQ!$A$2:$LR$60,MATCH(1,(GMWQ!$LQ$2:$LQ$60=AA$3)*(GMWQ!$LP$2:$LP$60=AA$4)*(GMWQ!$LR$2:$LR$60=AA$1),0),$B288-1966)</f>
        <v>561070.30000000005</v>
      </c>
      <c r="AB288" s="7" cm="1">
        <f t="array" ref="AB288">INDEX(GMWQ!$A$2:$LR$60,MATCH(1,(GMWQ!$LQ$2:$LQ$60=AB$3)*(GMWQ!$LP$2:$LP$60=AB$4)*(GMWQ!$LR$2:$LR$60=AB$1),0),$B288-1966)</f>
        <v>535809.69999999995</v>
      </c>
      <c r="AC288" s="7" cm="1">
        <f t="array" ref="AC288">INDEX(GMWQ!$A$2:$LR$60,MATCH(1,(GMWQ!$LQ$2:$LQ$60=AC$3)*(GMWQ!$LP$2:$LP$60=AC$4)*(GMWQ!$LR$2:$LR$60=AC$1),0),$B288-1966)</f>
        <v>17815.18</v>
      </c>
      <c r="AD288" s="7" cm="1">
        <f t="array" ref="AD288">INDEX(GMWQ!$A$2:$LR$60,MATCH(1,(GMWQ!$LQ$2:$LQ$60=AD$3)*(GMWQ!$LP$2:$LP$60=AD$4)*(GMWQ!$LR$2:$LR$60=AD$1),0),$B288-1966)</f>
        <v>30785.87</v>
      </c>
      <c r="AE288" s="7" cm="1">
        <f t="array" ref="AE288">INDEX(GMWQ!$A$2:$LR$60,MATCH(1,(GMWQ!$LQ$2:$LQ$60=AE$3)*(GMWQ!$LP$2:$LP$60=AE$4)*(GMWQ!$LR$2:$LR$60=AE$1),0),$B288-1966)</f>
        <v>1383201</v>
      </c>
      <c r="AF288" s="20" cm="1">
        <f t="array" ref="AF288">INDEX(GMWQ!$A$2:$LR$60,MATCH(1,(GMWQ!$LQ$2:$LQ$60=AF$3)*(GMWQ!$LP$2:$LP$60=AF$4)*(GMWQ!$LR$2:$LR$60=AF$1),0),$B288-1966)</f>
        <v>2</v>
      </c>
      <c r="AG288" s="20" cm="1">
        <f t="array" ref="AG288">INDEX(GMWQ!$A$2:$LR$60,MATCH(1,(GMWQ!$LQ$2:$LQ$60=AG$3)*(GMWQ!$LP$2:$LP$60=AG$4)*(GMWQ!$LR$2:$LR$60=AG$1),0),$B288-1966)</f>
        <v>-17423.990000000002</v>
      </c>
      <c r="AI288" s="23" cm="1">
        <f t="array" ref="AI288">INDEX(GMWQ!$A$2:$LR$60,MATCH(1,(GMWQ!$LQ$2:$LQ$60=AI$3)*(GMWQ!$LP$2:$LP$60=AI$4)*(GMWQ!$LR$2:$LR$60=AI$1),0),$B288-1966)</f>
        <v>884788.9</v>
      </c>
      <c r="AJ288" s="23" cm="1">
        <f t="array" ref="AJ288">INDEX(GMWQ!$A$2:$LR$60,MATCH(1,(GMWQ!$LQ$2:$LQ$60=AJ$3)*(GMWQ!$LP$2:$LP$60=AJ$4)*(GMWQ!$LR$2:$LR$60=AJ$1),0),$B288-1966)</f>
        <v>177.56540000000001</v>
      </c>
      <c r="AK288" s="23" cm="1">
        <f t="array" ref="AK288">INDEX(GMWQ!$A$2:$LR$60,MATCH(1,(GMWQ!$LQ$2:$LQ$60=AK$3)*(GMWQ!$LP$2:$LP$60=AK$4)*(GMWQ!$LR$2:$LR$60=AK$1),0),$B288-1966)</f>
        <v>557158.80000000005</v>
      </c>
      <c r="AL288" s="23" cm="1">
        <f t="array" ref="AL288">INDEX(GMWQ!$A$2:$LR$60,MATCH(1,(GMWQ!$LQ$2:$LQ$60=AL$3)*(GMWQ!$LP$2:$LP$60=AL$4)*(GMWQ!$LR$2:$LR$60=AL$1),0),$B288-1966)</f>
        <v>17285.39</v>
      </c>
      <c r="AM288" s="23" cm="1">
        <f t="array" ref="AM288">INDEX(GMWQ!$A$2:$LR$60,MATCH(1,(GMWQ!$LQ$2:$LQ$60=AM$3)*(GMWQ!$LP$2:$LP$60=AM$4)*(GMWQ!$LR$2:$LR$60=AM$1),0),$B288-1966)</f>
        <v>32232.93</v>
      </c>
      <c r="AN288" s="23" cm="1">
        <f t="array" ref="AN288">INDEX(GMWQ!$A$2:$LR$60,MATCH(1,(GMWQ!$LQ$2:$LQ$60=AN$3)*(GMWQ!$LP$2:$LP$60=AN$4)*(GMWQ!$LR$2:$LR$60=AN$1),0),$B288-1966)</f>
        <v>165580</v>
      </c>
      <c r="AO288" s="23" cm="1">
        <f t="array" ref="AO288">INDEX(GMWQ!$A$2:$LR$60,MATCH(1,(GMWQ!$LQ$2:$LQ$60=AO$3)*(GMWQ!$LP$2:$LP$60=AO$4)*(GMWQ!$LR$2:$LR$60=AO$1),0),$B288-1966)</f>
        <v>37468.93</v>
      </c>
      <c r="AP288" s="23" cm="1">
        <f t="array" ref="AP288">INDEX(GMWQ!$A$2:$LR$60,MATCH(1,(GMWQ!$LQ$2:$LQ$60=AP$3)*(GMWQ!$LP$2:$LP$60=AP$4)*(GMWQ!$LR$2:$LR$60=AP$1),0),$B288-1966)</f>
        <v>-17423.990000000002</v>
      </c>
      <c r="AQ288" s="23" cm="1">
        <f t="array" ref="AQ288">INDEX(GMWQ!$A$2:$LR$60,MATCH(1,(GMWQ!$LQ$2:$LQ$60=AQ$3)*(GMWQ!$LP$2:$LP$60=AQ$4)*(GMWQ!$LR$2:$LR$60=AQ$1),0),$B288-1966)</f>
        <v>193230.7</v>
      </c>
      <c r="AR288" s="23" cm="1">
        <f t="array" ref="AR288">INDEX(GMWQ!$A$2:$LR$60,MATCH(1,(GMWQ!$LQ$2:$LQ$60=AR$3)*(GMWQ!$LP$2:$LP$60=AR$4)*(GMWQ!$LR$2:$LR$60=AR$1),0),$B288-1966)</f>
        <v>816724.4</v>
      </c>
      <c r="AS288" s="23" cm="1">
        <f t="array" ref="AS288">INDEX(GMWQ!$A$2:$LR$60,MATCH(1,(GMWQ!$LQ$2:$LQ$60=AS$3)*(GMWQ!$LP$2:$LP$60=AS$4)*(GMWQ!$LR$2:$LR$60=AS$1),0),$B288-1966)</f>
        <v>28030.37</v>
      </c>
      <c r="AT288" s="23" cm="1">
        <f t="array" ref="AT288">INDEX(GMWQ!$A$2:$LR$60,MATCH(1,(GMWQ!$LQ$2:$LQ$60=AT$3)*(GMWQ!$LP$2:$LP$60=AT$4)*(GMWQ!$LR$2:$LR$60=AT$1),0),$B288-1966)</f>
        <v>459957</v>
      </c>
      <c r="AU288" s="23" cm="1">
        <f t="array" ref="AU288">INDEX(GMWQ!$A$2:$LR$60,MATCH(1,(GMWQ!$LQ$2:$LQ$60=AU$3)*(GMWQ!$LP$2:$LP$60=AU$4)*(GMWQ!$LR$2:$LR$60=AU$1),0),$B288-1966)</f>
        <v>16370.57</v>
      </c>
    </row>
    <row r="289" spans="1:47" x14ac:dyDescent="0.35">
      <c r="B289" s="7">
        <f t="shared" si="5"/>
        <v>2255</v>
      </c>
      <c r="C289" s="7" cm="1">
        <f t="array" ref="C289">INDEX(GMWQ!$A$2:$LR$60,MATCH(1,(GMWQ!$LQ$2:$LQ$60=C$3)*(GMWQ!$LP$2:$LP$60=C$4)*(GMWQ!$LR$2:$LR$60=C$1),0),$B289-1966)</f>
        <v>768853.7</v>
      </c>
      <c r="D289" s="7" cm="1">
        <f t="array" ref="D289">INDEX(GMWQ!$A$2:$LR$60,MATCH(1,(GMWQ!$LQ$2:$LQ$60=D$3)*(GMWQ!$LP$2:$LP$60=D$4)*(GMWQ!$LR$2:$LR$60=D$1),0),$B289-1966)</f>
        <v>1198.0250000000001</v>
      </c>
      <c r="E289" s="7" cm="1">
        <f t="array" ref="E289">INDEX(GMWQ!$A$2:$LR$60,MATCH(1,(GMWQ!$LQ$2:$LQ$60=E$3)*(GMWQ!$LP$2:$LP$60=E$4)*(GMWQ!$LR$2:$LR$60=E$1),0),$B289-1966)</f>
        <v>195.95140000000001</v>
      </c>
      <c r="F289" s="7" cm="1">
        <f t="array" ref="F289">INDEX(GMWQ!$A$2:$LR$60,MATCH(1,(GMWQ!$LQ$2:$LQ$60=F$3)*(GMWQ!$LP$2:$LP$60=F$4)*(GMWQ!$LR$2:$LR$60=F$1),0),$B289-1966)</f>
        <v>562061.30000000005</v>
      </c>
      <c r="G289" s="7" cm="1">
        <f t="array" ref="G289">INDEX(GMWQ!$A$2:$LR$60,MATCH(1,(GMWQ!$LQ$2:$LQ$60=G$3)*(GMWQ!$LP$2:$LP$60=G$4)*(GMWQ!$LR$2:$LR$60=G$1),0),$B289-1966)</f>
        <v>167235.9</v>
      </c>
      <c r="H289" s="7" cm="1">
        <f t="array" ref="H289">INDEX(GMWQ!$A$2:$LR$60,MATCH(1,(GMWQ!$LQ$2:$LQ$60=H$3)*(GMWQ!$LP$2:$LP$60=H$4)*(GMWQ!$LR$2:$LR$60=H$1),0),$B289-1966)</f>
        <v>37798.620000000003</v>
      </c>
      <c r="I289" s="7" cm="1">
        <f t="array" ref="I289">INDEX(GMWQ!$A$2:$LR$60,MATCH(1,(GMWQ!$LQ$2:$LQ$60=I$3)*(GMWQ!$LP$2:$LP$60=I$4)*(GMWQ!$LR$2:$LR$60=I$1),0),$B289-1966)</f>
        <v>178.44649999999999</v>
      </c>
      <c r="J289" s="7" cm="1">
        <f t="array" ref="J289">INDEX(GMWQ!$A$2:$LR$60,MATCH(1,(GMWQ!$LQ$2:$LQ$60=J$3)*(GMWQ!$LP$2:$LP$60=J$4)*(GMWQ!$LR$2:$LR$60=J$1),0),$B289-1966)</f>
        <v>32262.47</v>
      </c>
      <c r="K289" s="7" cm="1">
        <f t="array" ref="K289">INDEX(GMWQ!$A$2:$LR$60,MATCH(1,(GMWQ!$LQ$2:$LQ$60=K$3)*(GMWQ!$LP$2:$LP$60=K$4)*(GMWQ!$LR$2:$LR$60=K$1),0),$B289-1966)</f>
        <v>2</v>
      </c>
      <c r="L289" s="7" cm="1">
        <f t="array" ref="L289">INDEX(GMWQ!$A$2:$LR$60,MATCH(1,(GMWQ!$LQ$2:$LQ$60=L$3)*(GMWQ!$LP$2:$LP$60=L$4)*(GMWQ!$LR$2:$LR$60=L$1),0),$B289-1966)</f>
        <v>3.7500140000000002</v>
      </c>
      <c r="M289" s="7" cm="1">
        <f t="array" ref="M289">INDEX(GMWQ!$A$2:$LR$60,MATCH(1,(GMWQ!$LQ$2:$LQ$60=M$3)*(GMWQ!$LP$2:$LP$60=M$4)*(GMWQ!$LR$2:$LR$60=M$1),0),$B289-1966)</f>
        <v>273.99810000000002</v>
      </c>
      <c r="N289" s="7" cm="1">
        <f t="array" ref="N289">INDEX(GMWQ!$A$2:$LR$60,MATCH(1,(GMWQ!$LQ$2:$LQ$60=N$3)*(GMWQ!$LP$2:$LP$60=N$4)*(GMWQ!$LR$2:$LR$60=N$1),0),$B289-1966)</f>
        <v>40706.089999999997</v>
      </c>
      <c r="O289" s="7" cm="1">
        <f t="array" ref="O289">INDEX(GMWQ!$A$2:$LR$60,MATCH(1,(GMWQ!$LQ$2:$LQ$60=O$3)*(GMWQ!$LP$2:$LP$60=O$4)*(GMWQ!$LR$2:$LR$60=O$1),0),$B289-1966)</f>
        <v>23139.82</v>
      </c>
      <c r="P289" s="7" cm="1">
        <f t="array" ref="P289">INDEX(GMWQ!$A$2:$LR$60,MATCH(1,(GMWQ!$LQ$2:$LQ$60=P$3)*(GMWQ!$LP$2:$LP$60=P$4)*(GMWQ!$LR$2:$LR$60=P$1),0),$B289-1966)</f>
        <v>892543.8</v>
      </c>
      <c r="Q289" s="7" cm="1">
        <f t="array" ref="Q289">INDEX(GMWQ!$A$2:$LR$60,MATCH(1,(GMWQ!$LQ$2:$LQ$60=Q$3)*(GMWQ!$LP$2:$LP$60=Q$4)*(GMWQ!$LR$2:$LR$60=Q$1),0),$B289-1966)</f>
        <v>3.5</v>
      </c>
      <c r="R289" s="7" cm="1">
        <f t="array" ref="R289">INDEX(GMWQ!$A$2:$LR$60,MATCH(1,(GMWQ!$LQ$2:$LQ$60=R$3)*(GMWQ!$LP$2:$LP$60=R$4)*(GMWQ!$LR$2:$LR$60=R$1),0),$B289-1966)</f>
        <v>256495</v>
      </c>
      <c r="S289" s="7" cm="1">
        <f t="array" ref="S289">INDEX(GMWQ!$A$2:$LR$60,MATCH(1,(GMWQ!$LQ$2:$LQ$60=S$3)*(GMWQ!$LP$2:$LP$60=S$4)*(GMWQ!$LR$2:$LR$60=S$1),0),$B289-1966)</f>
        <v>382.63049999999998</v>
      </c>
      <c r="T289" s="7" cm="1">
        <f t="array" ref="T289">INDEX(GMWQ!$A$2:$LR$60,MATCH(1,(GMWQ!$LQ$2:$LQ$60=T$3)*(GMWQ!$LP$2:$LP$60=T$4)*(GMWQ!$LR$2:$LR$60=T$1),0),$B289-1966)</f>
        <v>144494.29999999999</v>
      </c>
      <c r="U289" s="7" cm="1">
        <f t="array" ref="U289">INDEX(GMWQ!$A$2:$LR$60,MATCH(1,(GMWQ!$LQ$2:$LQ$60=U$3)*(GMWQ!$LP$2:$LP$60=U$4)*(GMWQ!$LR$2:$LR$60=U$1),0),$B289-1966)</f>
        <v>17328.349999999999</v>
      </c>
      <c r="V289" s="7" cm="1">
        <f t="array" ref="V289">INDEX(GMWQ!$A$2:$LR$60,MATCH(1,(GMWQ!$LQ$2:$LQ$60=V$3)*(GMWQ!$LP$2:$LP$60=V$4)*(GMWQ!$LR$2:$LR$60=V$1),0),$B289-1966)</f>
        <v>1.355818E-3</v>
      </c>
      <c r="W289" s="7" cm="1">
        <f t="array" ref="W289">INDEX(GMWQ!$A$2:$LR$60,MATCH(1,(GMWQ!$LQ$2:$LQ$60=W$3)*(GMWQ!$LP$2:$LP$60=W$4)*(GMWQ!$LR$2:$LR$60=W$1),0),$B289-1966)</f>
        <v>9.2999270000000003</v>
      </c>
      <c r="X289" s="7" cm="1">
        <f t="array" ref="X289">INDEX(GMWQ!$A$2:$LR$60,MATCH(1,(GMWQ!$LQ$2:$LQ$60=X$3)*(GMWQ!$LP$2:$LP$60=X$4)*(GMWQ!$LR$2:$LR$60=X$1),0),$B289-1966)</f>
        <v>12628140</v>
      </c>
      <c r="Y289" s="7" cm="1">
        <f t="array" ref="Y289">INDEX(GMWQ!$A$2:$LR$60,MATCH(1,(GMWQ!$LQ$2:$LQ$60=Y$3)*(GMWQ!$LP$2:$LP$60=Y$4)*(GMWQ!$LR$2:$LR$60=Y$1),0),$B289-1966)</f>
        <v>181.56120000000001</v>
      </c>
      <c r="Z289" s="7" cm="1">
        <f t="array" ref="Z289">INDEX(GMWQ!$A$2:$LR$60,MATCH(1,(GMWQ!$LQ$2:$LQ$60=Z$3)*(GMWQ!$LP$2:$LP$60=Z$4)*(GMWQ!$LR$2:$LR$60=Z$1),0),$B289-1966)</f>
        <v>768853.1</v>
      </c>
      <c r="AA289" s="7" cm="1">
        <f t="array" ref="AA289">INDEX(GMWQ!$A$2:$LR$60,MATCH(1,(GMWQ!$LQ$2:$LQ$60=AA$3)*(GMWQ!$LP$2:$LP$60=AA$4)*(GMWQ!$LR$2:$LR$60=AA$1),0),$B289-1966)</f>
        <v>581327.4</v>
      </c>
      <c r="AB289" s="7" cm="1">
        <f t="array" ref="AB289">INDEX(GMWQ!$A$2:$LR$60,MATCH(1,(GMWQ!$LQ$2:$LQ$60=AB$3)*(GMWQ!$LP$2:$LP$60=AB$4)*(GMWQ!$LR$2:$LR$60=AB$1),0),$B289-1966)</f>
        <v>540498.19999999995</v>
      </c>
      <c r="AC289" s="7" cm="1">
        <f t="array" ref="AC289">INDEX(GMWQ!$A$2:$LR$60,MATCH(1,(GMWQ!$LQ$2:$LQ$60=AC$3)*(GMWQ!$LP$2:$LP$60=AC$4)*(GMWQ!$LR$2:$LR$60=AC$1),0),$B289-1966)</f>
        <v>20284.39</v>
      </c>
      <c r="AD289" s="7" cm="1">
        <f t="array" ref="AD289">INDEX(GMWQ!$A$2:$LR$60,MATCH(1,(GMWQ!$LQ$2:$LQ$60=AD$3)*(GMWQ!$LP$2:$LP$60=AD$4)*(GMWQ!$LR$2:$LR$60=AD$1),0),$B289-1966)</f>
        <v>30785.87</v>
      </c>
      <c r="AE289" s="7" cm="1">
        <f t="array" ref="AE289">INDEX(GMWQ!$A$2:$LR$60,MATCH(1,(GMWQ!$LQ$2:$LQ$60=AE$3)*(GMWQ!$LP$2:$LP$60=AE$4)*(GMWQ!$LR$2:$LR$60=AE$1),0),$B289-1966)</f>
        <v>1395940</v>
      </c>
      <c r="AF289" s="20" cm="1">
        <f t="array" ref="AF289">INDEX(GMWQ!$A$2:$LR$60,MATCH(1,(GMWQ!$LQ$2:$LQ$60=AF$3)*(GMWQ!$LP$2:$LP$60=AF$4)*(GMWQ!$LR$2:$LR$60=AF$1),0),$B289-1966)</f>
        <v>2</v>
      </c>
      <c r="AG289" s="20" cm="1">
        <f t="array" ref="AG289">INDEX(GMWQ!$A$2:$LR$60,MATCH(1,(GMWQ!$LQ$2:$LQ$60=AG$3)*(GMWQ!$LP$2:$LP$60=AG$4)*(GMWQ!$LR$2:$LR$60=AG$1),0),$B289-1966)</f>
        <v>-17566.27</v>
      </c>
      <c r="AI289" s="23" cm="1">
        <f t="array" ref="AI289">INDEX(GMWQ!$A$2:$LR$60,MATCH(1,(GMWQ!$LQ$2:$LQ$60=AI$3)*(GMWQ!$LP$2:$LP$60=AI$4)*(GMWQ!$LR$2:$LR$60=AI$1),0),$B289-1966)</f>
        <v>892543.8</v>
      </c>
      <c r="AJ289" s="23" cm="1">
        <f t="array" ref="AJ289">INDEX(GMWQ!$A$2:$LR$60,MATCH(1,(GMWQ!$LQ$2:$LQ$60=AJ$3)*(GMWQ!$LP$2:$LP$60=AJ$4)*(GMWQ!$LR$2:$LR$60=AJ$1),0),$B289-1966)</f>
        <v>178.44649999999999</v>
      </c>
      <c r="AK289" s="23" cm="1">
        <f t="array" ref="AK289">INDEX(GMWQ!$A$2:$LR$60,MATCH(1,(GMWQ!$LQ$2:$LQ$60=AK$3)*(GMWQ!$LP$2:$LP$60=AK$4)*(GMWQ!$LR$2:$LR$60=AK$1),0),$B289-1966)</f>
        <v>562061.30000000005</v>
      </c>
      <c r="AL289" s="23" cm="1">
        <f t="array" ref="AL289">INDEX(GMWQ!$A$2:$LR$60,MATCH(1,(GMWQ!$LQ$2:$LQ$60=AL$3)*(GMWQ!$LP$2:$LP$60=AL$4)*(GMWQ!$LR$2:$LR$60=AL$1),0),$B289-1966)</f>
        <v>17421.52</v>
      </c>
      <c r="AM289" s="23" cm="1">
        <f t="array" ref="AM289">INDEX(GMWQ!$A$2:$LR$60,MATCH(1,(GMWQ!$LQ$2:$LQ$60=AM$3)*(GMWQ!$LP$2:$LP$60=AM$4)*(GMWQ!$LR$2:$LR$60=AM$1),0),$B289-1966)</f>
        <v>32262.47</v>
      </c>
      <c r="AN289" s="23" cm="1">
        <f t="array" ref="AN289">INDEX(GMWQ!$A$2:$LR$60,MATCH(1,(GMWQ!$LQ$2:$LQ$60=AN$3)*(GMWQ!$LP$2:$LP$60=AN$4)*(GMWQ!$LR$2:$LR$60=AN$1),0),$B289-1966)</f>
        <v>167235.9</v>
      </c>
      <c r="AO289" s="23" cm="1">
        <f t="array" ref="AO289">INDEX(GMWQ!$A$2:$LR$60,MATCH(1,(GMWQ!$LQ$2:$LQ$60=AO$3)*(GMWQ!$LP$2:$LP$60=AO$4)*(GMWQ!$LR$2:$LR$60=AO$1),0),$B289-1966)</f>
        <v>37798.620000000003</v>
      </c>
      <c r="AP289" s="23" cm="1">
        <f t="array" ref="AP289">INDEX(GMWQ!$A$2:$LR$60,MATCH(1,(GMWQ!$LQ$2:$LQ$60=AP$3)*(GMWQ!$LP$2:$LP$60=AP$4)*(GMWQ!$LR$2:$LR$60=AP$1),0),$B289-1966)</f>
        <v>-17566.27</v>
      </c>
      <c r="AQ289" s="23" cm="1">
        <f t="array" ref="AQ289">INDEX(GMWQ!$A$2:$LR$60,MATCH(1,(GMWQ!$LQ$2:$LQ$60=AQ$3)*(GMWQ!$LP$2:$LP$60=AQ$4)*(GMWQ!$LR$2:$LR$60=AQ$1),0),$B289-1966)</f>
        <v>195005.3</v>
      </c>
      <c r="AR289" s="23" cm="1">
        <f t="array" ref="AR289">INDEX(GMWQ!$A$2:$LR$60,MATCH(1,(GMWQ!$LQ$2:$LQ$60=AR$3)*(GMWQ!$LP$2:$LP$60=AR$4)*(GMWQ!$LR$2:$LR$60=AR$1),0),$B289-1966)</f>
        <v>823870.9</v>
      </c>
      <c r="AS289" s="23" cm="1">
        <f t="array" ref="AS289">INDEX(GMWQ!$A$2:$LR$60,MATCH(1,(GMWQ!$LQ$2:$LQ$60=AS$3)*(GMWQ!$LP$2:$LP$60=AS$4)*(GMWQ!$LR$2:$LR$60=AS$1),0),$B289-1966)</f>
        <v>28284.57</v>
      </c>
      <c r="AT289" s="23" cm="1">
        <f t="array" ref="AT289">INDEX(GMWQ!$A$2:$LR$60,MATCH(1,(GMWQ!$LQ$2:$LQ$60=AT$3)*(GMWQ!$LP$2:$LP$60=AT$4)*(GMWQ!$LR$2:$LR$60=AT$1),0),$B289-1966)</f>
        <v>461690.7</v>
      </c>
      <c r="AU289" s="23" cm="1">
        <f t="array" ref="AU289">INDEX(GMWQ!$A$2:$LR$60,MATCH(1,(GMWQ!$LQ$2:$LQ$60=AU$3)*(GMWQ!$LP$2:$LP$60=AU$4)*(GMWQ!$LR$2:$LR$60=AU$1),0),$B289-1966)</f>
        <v>16432.189999999999</v>
      </c>
    </row>
    <row r="290" spans="1:47" x14ac:dyDescent="0.35">
      <c r="B290" s="7">
        <f t="shared" si="5"/>
        <v>2256</v>
      </c>
      <c r="C290" s="7" cm="1">
        <f t="array" ref="C290">INDEX(GMWQ!$A$2:$LR$60,MATCH(1,(GMWQ!$LQ$2:$LQ$60=C$3)*(GMWQ!$LP$2:$LP$60=C$4)*(GMWQ!$LR$2:$LR$60=C$1),0),$B290-1966)</f>
        <v>771744.7</v>
      </c>
      <c r="D290" s="7" cm="1">
        <f t="array" ref="D290">INDEX(GMWQ!$A$2:$LR$60,MATCH(1,(GMWQ!$LQ$2:$LQ$60=D$3)*(GMWQ!$LP$2:$LP$60=D$4)*(GMWQ!$LR$2:$LR$60=D$1),0),$B290-1966)</f>
        <v>1207.4559999999999</v>
      </c>
      <c r="E290" s="7" cm="1">
        <f t="array" ref="E290">INDEX(GMWQ!$A$2:$LR$60,MATCH(1,(GMWQ!$LQ$2:$LQ$60=E$3)*(GMWQ!$LP$2:$LP$60=E$4)*(GMWQ!$LR$2:$LR$60=E$1),0),$B290-1966)</f>
        <v>196.7791</v>
      </c>
      <c r="F290" s="7" cm="1">
        <f t="array" ref="F290">INDEX(GMWQ!$A$2:$LR$60,MATCH(1,(GMWQ!$LQ$2:$LQ$60=F$3)*(GMWQ!$LP$2:$LP$60=F$4)*(GMWQ!$LR$2:$LR$60=F$1),0),$B290-1966)</f>
        <v>567004.6</v>
      </c>
      <c r="G290" s="7" cm="1">
        <f t="array" ref="G290">INDEX(GMWQ!$A$2:$LR$60,MATCH(1,(GMWQ!$LQ$2:$LQ$60=G$3)*(GMWQ!$LP$2:$LP$60=G$4)*(GMWQ!$LR$2:$LR$60=G$1),0),$B290-1966)</f>
        <v>168905.7</v>
      </c>
      <c r="H290" s="7" cm="1">
        <f t="array" ref="H290">INDEX(GMWQ!$A$2:$LR$60,MATCH(1,(GMWQ!$LQ$2:$LQ$60=H$3)*(GMWQ!$LP$2:$LP$60=H$4)*(GMWQ!$LR$2:$LR$60=H$1),0),$B290-1966)</f>
        <v>38131.06</v>
      </c>
      <c r="I290" s="7" cm="1">
        <f t="array" ref="I290">INDEX(GMWQ!$A$2:$LR$60,MATCH(1,(GMWQ!$LQ$2:$LQ$60=I$3)*(GMWQ!$LP$2:$LP$60=I$4)*(GMWQ!$LR$2:$LR$60=I$1),0),$B290-1966)</f>
        <v>179.33199999999999</v>
      </c>
      <c r="J290" s="7" cm="1">
        <f t="array" ref="J290">INDEX(GMWQ!$A$2:$LR$60,MATCH(1,(GMWQ!$LQ$2:$LQ$60=J$3)*(GMWQ!$LP$2:$LP$60=J$4)*(GMWQ!$LR$2:$LR$60=J$1),0),$B290-1966)</f>
        <v>32292.02</v>
      </c>
      <c r="K290" s="7" cm="1">
        <f t="array" ref="K290">INDEX(GMWQ!$A$2:$LR$60,MATCH(1,(GMWQ!$LQ$2:$LQ$60=K$3)*(GMWQ!$LP$2:$LP$60=K$4)*(GMWQ!$LR$2:$LR$60=K$1),0),$B290-1966)</f>
        <v>2</v>
      </c>
      <c r="L290" s="7" cm="1">
        <f t="array" ref="L290">INDEX(GMWQ!$A$2:$LR$60,MATCH(1,(GMWQ!$LQ$2:$LQ$60=L$3)*(GMWQ!$LP$2:$LP$60=L$4)*(GMWQ!$LR$2:$LR$60=L$1),0),$B290-1966)</f>
        <v>3.749984</v>
      </c>
      <c r="M290" s="7" cm="1">
        <f t="array" ref="M290">INDEX(GMWQ!$A$2:$LR$60,MATCH(1,(GMWQ!$LQ$2:$LQ$60=M$3)*(GMWQ!$LP$2:$LP$60=M$4)*(GMWQ!$LR$2:$LR$60=M$1),0),$B290-1966)</f>
        <v>276.39949999999999</v>
      </c>
      <c r="N290" s="7" cm="1">
        <f t="array" ref="N290">INDEX(GMWQ!$A$2:$LR$60,MATCH(1,(GMWQ!$LQ$2:$LQ$60=N$3)*(GMWQ!$LP$2:$LP$60=N$4)*(GMWQ!$LR$2:$LR$60=N$1),0),$B290-1966)</f>
        <v>41018.65</v>
      </c>
      <c r="O290" s="7" cm="1">
        <f t="array" ref="O290">INDEX(GMWQ!$A$2:$LR$60,MATCH(1,(GMWQ!$LQ$2:$LQ$60=O$3)*(GMWQ!$LP$2:$LP$60=O$4)*(GMWQ!$LR$2:$LR$60=O$1),0),$B290-1966)</f>
        <v>23315.82</v>
      </c>
      <c r="P290" s="7" cm="1">
        <f t="array" ref="P290">INDEX(GMWQ!$A$2:$LR$60,MATCH(1,(GMWQ!$LQ$2:$LQ$60=P$3)*(GMWQ!$LP$2:$LP$60=P$4)*(GMWQ!$LR$2:$LR$60=P$1),0),$B290-1966)</f>
        <v>900363</v>
      </c>
      <c r="Q290" s="7" cm="1">
        <f t="array" ref="Q290">INDEX(GMWQ!$A$2:$LR$60,MATCH(1,(GMWQ!$LQ$2:$LQ$60=Q$3)*(GMWQ!$LP$2:$LP$60=Q$4)*(GMWQ!$LR$2:$LR$60=Q$1),0),$B290-1966)</f>
        <v>3.5</v>
      </c>
      <c r="R290" s="7" cm="1">
        <f t="array" ref="R290">INDEX(GMWQ!$A$2:$LR$60,MATCH(1,(GMWQ!$LQ$2:$LQ$60=R$3)*(GMWQ!$LP$2:$LP$60=R$4)*(GMWQ!$LR$2:$LR$60=R$1),0),$B290-1966)</f>
        <v>256492.3</v>
      </c>
      <c r="S290" s="7" cm="1">
        <f t="array" ref="S290">INDEX(GMWQ!$A$2:$LR$60,MATCH(1,(GMWQ!$LQ$2:$LQ$60=S$3)*(GMWQ!$LP$2:$LP$60=S$4)*(GMWQ!$LR$2:$LR$60=S$1),0),$B290-1966)</f>
        <v>382.62639999999999</v>
      </c>
      <c r="T290" s="7" cm="1">
        <f t="array" ref="T290">INDEX(GMWQ!$A$2:$LR$60,MATCH(1,(GMWQ!$LQ$2:$LQ$60=T$3)*(GMWQ!$LP$2:$LP$60=T$4)*(GMWQ!$LR$2:$LR$60=T$1),0),$B290-1966)</f>
        <v>145053.4</v>
      </c>
      <c r="U290" s="7" cm="1">
        <f t="array" ref="U290">INDEX(GMWQ!$A$2:$LR$60,MATCH(1,(GMWQ!$LQ$2:$LQ$60=U$3)*(GMWQ!$LP$2:$LP$60=U$4)*(GMWQ!$LR$2:$LR$60=U$1),0),$B290-1966)</f>
        <v>17217.05</v>
      </c>
      <c r="V290" s="7" cm="1">
        <f t="array" ref="V290">INDEX(GMWQ!$A$2:$LR$60,MATCH(1,(GMWQ!$LQ$2:$LQ$60=V$3)*(GMWQ!$LP$2:$LP$60=V$4)*(GMWQ!$LR$2:$LR$60=V$1),0),$B290-1966)</f>
        <v>1.3560079999999999E-3</v>
      </c>
      <c r="W290" s="7" cm="1">
        <f t="array" ref="W290">INDEX(GMWQ!$A$2:$LR$60,MATCH(1,(GMWQ!$LQ$2:$LQ$60=W$3)*(GMWQ!$LP$2:$LP$60=W$4)*(GMWQ!$LR$2:$LR$60=W$1),0),$B290-1966)</f>
        <v>9.2932430000000004</v>
      </c>
      <c r="X290" s="7" cm="1">
        <f t="array" ref="X290">INDEX(GMWQ!$A$2:$LR$60,MATCH(1,(GMWQ!$LQ$2:$LQ$60=X$3)*(GMWQ!$LP$2:$LP$60=X$4)*(GMWQ!$LR$2:$LR$60=X$1),0),$B290-1966)</f>
        <v>12729280</v>
      </c>
      <c r="Y290" s="7" cm="1">
        <f t="array" ref="Y290">INDEX(GMWQ!$A$2:$LR$60,MATCH(1,(GMWQ!$LQ$2:$LQ$60=Y$3)*(GMWQ!$LP$2:$LP$60=Y$4)*(GMWQ!$LR$2:$LR$60=Y$1),0),$B290-1966)</f>
        <v>182.5462</v>
      </c>
      <c r="Z290" s="7" cm="1">
        <f t="array" ref="Z290">INDEX(GMWQ!$A$2:$LR$60,MATCH(1,(GMWQ!$LQ$2:$LQ$60=Z$3)*(GMWQ!$LP$2:$LP$60=Z$4)*(GMWQ!$LR$2:$LR$60=Z$1),0),$B290-1966)</f>
        <v>771743.8</v>
      </c>
      <c r="AA290" s="7" cm="1">
        <f t="array" ref="AA290">INDEX(GMWQ!$A$2:$LR$60,MATCH(1,(GMWQ!$LQ$2:$LQ$60=AA$3)*(GMWQ!$LP$2:$LP$60=AA$4)*(GMWQ!$LR$2:$LR$60=AA$1),0),$B290-1966)</f>
        <v>565363.6</v>
      </c>
      <c r="AB290" s="7" cm="1">
        <f t="array" ref="AB290">INDEX(GMWQ!$A$2:$LR$60,MATCH(1,(GMWQ!$LQ$2:$LQ$60=AB$3)*(GMWQ!$LP$2:$LP$60=AB$4)*(GMWQ!$LR$2:$LR$60=AB$1),0),$B290-1966)</f>
        <v>545061.1</v>
      </c>
      <c r="AC290" s="7" cm="1">
        <f t="array" ref="AC290">INDEX(GMWQ!$A$2:$LR$60,MATCH(1,(GMWQ!$LQ$2:$LQ$60=AC$3)*(GMWQ!$LP$2:$LP$60=AC$4)*(GMWQ!$LR$2:$LR$60=AC$1),0),$B290-1966)</f>
        <v>21644.03</v>
      </c>
      <c r="AD290" s="7" cm="1">
        <f t="array" ref="AD290">INDEX(GMWQ!$A$2:$LR$60,MATCH(1,(GMWQ!$LQ$2:$LQ$60=AD$3)*(GMWQ!$LP$2:$LP$60=AD$4)*(GMWQ!$LR$2:$LR$60=AD$1),0),$B290-1966)</f>
        <v>30785.87</v>
      </c>
      <c r="AE290" s="7" cm="1">
        <f t="array" ref="AE290">INDEX(GMWQ!$A$2:$LR$60,MATCH(1,(GMWQ!$LQ$2:$LQ$60=AE$3)*(GMWQ!$LP$2:$LP$60=AE$4)*(GMWQ!$LR$2:$LR$60=AE$1),0),$B290-1966)</f>
        <v>1408791</v>
      </c>
      <c r="AF290" s="20" cm="1">
        <f t="array" ref="AF290">INDEX(GMWQ!$A$2:$LR$60,MATCH(1,(GMWQ!$LQ$2:$LQ$60=AF$3)*(GMWQ!$LP$2:$LP$60=AF$4)*(GMWQ!$LR$2:$LR$60=AF$1),0),$B290-1966)</f>
        <v>2</v>
      </c>
      <c r="AG290" s="20" cm="1">
        <f t="array" ref="AG290">INDEX(GMWQ!$A$2:$LR$60,MATCH(1,(GMWQ!$LQ$2:$LQ$60=AG$3)*(GMWQ!$LP$2:$LP$60=AG$4)*(GMWQ!$LR$2:$LR$60=AG$1),0),$B290-1966)</f>
        <v>-17702.830000000002</v>
      </c>
      <c r="AI290" s="23" cm="1">
        <f t="array" ref="AI290">INDEX(GMWQ!$A$2:$LR$60,MATCH(1,(GMWQ!$LQ$2:$LQ$60=AI$3)*(GMWQ!$LP$2:$LP$60=AI$4)*(GMWQ!$LR$2:$LR$60=AI$1),0),$B290-1966)</f>
        <v>900363</v>
      </c>
      <c r="AJ290" s="23" cm="1">
        <f t="array" ref="AJ290">INDEX(GMWQ!$A$2:$LR$60,MATCH(1,(GMWQ!$LQ$2:$LQ$60=AJ$3)*(GMWQ!$LP$2:$LP$60=AJ$4)*(GMWQ!$LR$2:$LR$60=AJ$1),0),$B290-1966)</f>
        <v>179.33199999999999</v>
      </c>
      <c r="AK290" s="23" cm="1">
        <f t="array" ref="AK290">INDEX(GMWQ!$A$2:$LR$60,MATCH(1,(GMWQ!$LQ$2:$LQ$60=AK$3)*(GMWQ!$LP$2:$LP$60=AK$4)*(GMWQ!$LR$2:$LR$60=AK$1),0),$B290-1966)</f>
        <v>567004.6</v>
      </c>
      <c r="AL290" s="23" cm="1">
        <f t="array" ref="AL290">INDEX(GMWQ!$A$2:$LR$60,MATCH(1,(GMWQ!$LQ$2:$LQ$60=AL$3)*(GMWQ!$LP$2:$LP$60=AL$4)*(GMWQ!$LR$2:$LR$60=AL$1),0),$B290-1966)</f>
        <v>17558.66</v>
      </c>
      <c r="AM290" s="23" cm="1">
        <f t="array" ref="AM290">INDEX(GMWQ!$A$2:$LR$60,MATCH(1,(GMWQ!$LQ$2:$LQ$60=AM$3)*(GMWQ!$LP$2:$LP$60=AM$4)*(GMWQ!$LR$2:$LR$60=AM$1),0),$B290-1966)</f>
        <v>32292.02</v>
      </c>
      <c r="AN290" s="23" cm="1">
        <f t="array" ref="AN290">INDEX(GMWQ!$A$2:$LR$60,MATCH(1,(GMWQ!$LQ$2:$LQ$60=AN$3)*(GMWQ!$LP$2:$LP$60=AN$4)*(GMWQ!$LR$2:$LR$60=AN$1),0),$B290-1966)</f>
        <v>168905.7</v>
      </c>
      <c r="AO290" s="23" cm="1">
        <f t="array" ref="AO290">INDEX(GMWQ!$A$2:$LR$60,MATCH(1,(GMWQ!$LQ$2:$LQ$60=AO$3)*(GMWQ!$LP$2:$LP$60=AO$4)*(GMWQ!$LR$2:$LR$60=AO$1),0),$B290-1966)</f>
        <v>38131.06</v>
      </c>
      <c r="AP290" s="23" cm="1">
        <f t="array" ref="AP290">INDEX(GMWQ!$A$2:$LR$60,MATCH(1,(GMWQ!$LQ$2:$LQ$60=AP$3)*(GMWQ!$LP$2:$LP$60=AP$4)*(GMWQ!$LR$2:$LR$60=AP$1),0),$B290-1966)</f>
        <v>-17702.830000000002</v>
      </c>
      <c r="AQ290" s="23" cm="1">
        <f t="array" ref="AQ290">INDEX(GMWQ!$A$2:$LR$60,MATCH(1,(GMWQ!$LQ$2:$LQ$60=AQ$3)*(GMWQ!$LP$2:$LP$60=AQ$4)*(GMWQ!$LR$2:$LR$60=AQ$1),0),$B290-1966)</f>
        <v>196791.4</v>
      </c>
      <c r="AR290" s="23" cm="1">
        <f t="array" ref="AR290">INDEX(GMWQ!$A$2:$LR$60,MATCH(1,(GMWQ!$LQ$2:$LQ$60=AR$3)*(GMWQ!$LP$2:$LP$60=AR$4)*(GMWQ!$LR$2:$LR$60=AR$1),0),$B290-1966)</f>
        <v>831076.4</v>
      </c>
      <c r="AS290" s="23" cm="1">
        <f t="array" ref="AS290">INDEX(GMWQ!$A$2:$LR$60,MATCH(1,(GMWQ!$LQ$2:$LQ$60=AS$3)*(GMWQ!$LP$2:$LP$60=AS$4)*(GMWQ!$LR$2:$LR$60=AS$1),0),$B290-1966)</f>
        <v>28540.89</v>
      </c>
      <c r="AT290" s="23" cm="1">
        <f t="array" ref="AT290">INDEX(GMWQ!$A$2:$LR$60,MATCH(1,(GMWQ!$LQ$2:$LQ$60=AT$3)*(GMWQ!$LP$2:$LP$60=AT$4)*(GMWQ!$LR$2:$LR$60=AT$1),0),$B290-1966)</f>
        <v>463429</v>
      </c>
      <c r="AU290" s="23" cm="1">
        <f t="array" ref="AU290">INDEX(GMWQ!$A$2:$LR$60,MATCH(1,(GMWQ!$LQ$2:$LQ$60=AU$3)*(GMWQ!$LP$2:$LP$60=AU$4)*(GMWQ!$LR$2:$LR$60=AU$1),0),$B290-1966)</f>
        <v>16493.98</v>
      </c>
    </row>
    <row r="291" spans="1:47" x14ac:dyDescent="0.35">
      <c r="A291" s="7">
        <v>2044</v>
      </c>
      <c r="B291" s="7">
        <f t="shared" si="5"/>
        <v>2257</v>
      </c>
      <c r="C291" s="7" cm="1">
        <f t="array" ref="C291">INDEX(GMWQ!$A$2:$LR$60,MATCH(1,(GMWQ!$LQ$2:$LQ$60=C$3)*(GMWQ!$LP$2:$LP$60=C$4)*(GMWQ!$LR$2:$LR$60=C$1),0),$B291-1966)</f>
        <v>774643.6</v>
      </c>
      <c r="D291" s="7" cm="1">
        <f t="array" ref="D291">INDEX(GMWQ!$A$2:$LR$60,MATCH(1,(GMWQ!$LQ$2:$LQ$60=D$3)*(GMWQ!$LP$2:$LP$60=D$4)*(GMWQ!$LR$2:$LR$60=D$1),0),$B291-1966)</f>
        <v>1216.9570000000001</v>
      </c>
      <c r="E291" s="7" cm="1">
        <f t="array" ref="E291">INDEX(GMWQ!$A$2:$LR$60,MATCH(1,(GMWQ!$LQ$2:$LQ$60=E$3)*(GMWQ!$LP$2:$LP$60=E$4)*(GMWQ!$LR$2:$LR$60=E$1),0),$B291-1966)</f>
        <v>196.9853</v>
      </c>
      <c r="F291" s="7" cm="1">
        <f t="array" ref="F291">INDEX(GMWQ!$A$2:$LR$60,MATCH(1,(GMWQ!$LQ$2:$LQ$60=F$3)*(GMWQ!$LP$2:$LP$60=F$4)*(GMWQ!$LR$2:$LR$60=F$1),0),$B291-1966)</f>
        <v>571989.1</v>
      </c>
      <c r="G291" s="7" cm="1">
        <f t="array" ref="G291">INDEX(GMWQ!$A$2:$LR$60,MATCH(1,(GMWQ!$LQ$2:$LQ$60=G$3)*(GMWQ!$LP$2:$LP$60=G$4)*(GMWQ!$LR$2:$LR$60=G$1),0),$B291-1966)</f>
        <v>170589.1</v>
      </c>
      <c r="H291" s="7" cm="1">
        <f t="array" ref="H291">INDEX(GMWQ!$A$2:$LR$60,MATCH(1,(GMWQ!$LQ$2:$LQ$60=H$3)*(GMWQ!$LP$2:$LP$60=H$4)*(GMWQ!$LR$2:$LR$60=H$1),0),$B291-1966)</f>
        <v>38466.269999999997</v>
      </c>
      <c r="I291" s="7" cm="1">
        <f t="array" ref="I291">INDEX(GMWQ!$A$2:$LR$60,MATCH(1,(GMWQ!$LQ$2:$LQ$60=I$3)*(GMWQ!$LP$2:$LP$60=I$4)*(GMWQ!$LR$2:$LR$60=I$1),0),$B291-1966)</f>
        <v>180.2218</v>
      </c>
      <c r="J291" s="7" cm="1">
        <f t="array" ref="J291">INDEX(GMWQ!$A$2:$LR$60,MATCH(1,(GMWQ!$LQ$2:$LQ$60=J$3)*(GMWQ!$LP$2:$LP$60=J$4)*(GMWQ!$LR$2:$LR$60=J$1),0),$B291-1966)</f>
        <v>32321.56</v>
      </c>
      <c r="K291" s="7" cm="1">
        <f t="array" ref="K291">INDEX(GMWQ!$A$2:$LR$60,MATCH(1,(GMWQ!$LQ$2:$LQ$60=K$3)*(GMWQ!$LP$2:$LP$60=K$4)*(GMWQ!$LR$2:$LR$60=K$1),0),$B291-1966)</f>
        <v>2</v>
      </c>
      <c r="L291" s="7" cm="1">
        <f t="array" ref="L291">INDEX(GMWQ!$A$2:$LR$60,MATCH(1,(GMWQ!$LQ$2:$LQ$60=L$3)*(GMWQ!$LP$2:$LP$60=L$4)*(GMWQ!$LR$2:$LR$60=L$1),0),$B291-1966)</f>
        <v>3.7500110000000002</v>
      </c>
      <c r="M291" s="7" cm="1">
        <f t="array" ref="M291">INDEX(GMWQ!$A$2:$LR$60,MATCH(1,(GMWQ!$LQ$2:$LQ$60=M$3)*(GMWQ!$LP$2:$LP$60=M$4)*(GMWQ!$LR$2:$LR$60=M$1),0),$B291-1966)</f>
        <v>278.82100000000003</v>
      </c>
      <c r="N291" s="7" cm="1">
        <f t="array" ref="N291">INDEX(GMWQ!$A$2:$LR$60,MATCH(1,(GMWQ!$LQ$2:$LQ$60=N$3)*(GMWQ!$LP$2:$LP$60=N$4)*(GMWQ!$LR$2:$LR$60=N$1),0),$B291-1966)</f>
        <v>41331.760000000002</v>
      </c>
      <c r="O291" s="7" cm="1">
        <f t="array" ref="O291">INDEX(GMWQ!$A$2:$LR$60,MATCH(1,(GMWQ!$LQ$2:$LQ$60=O$3)*(GMWQ!$LP$2:$LP$60=O$4)*(GMWQ!$LR$2:$LR$60=O$1),0),$B291-1966)</f>
        <v>23497.96</v>
      </c>
      <c r="P291" s="7" cm="1">
        <f t="array" ref="P291">INDEX(GMWQ!$A$2:$LR$60,MATCH(1,(GMWQ!$LQ$2:$LQ$60=P$3)*(GMWQ!$LP$2:$LP$60=P$4)*(GMWQ!$LR$2:$LR$60=P$1),0),$B291-1966)</f>
        <v>908247.1</v>
      </c>
      <c r="Q291" s="7" cm="1">
        <f t="array" ref="Q291">INDEX(GMWQ!$A$2:$LR$60,MATCH(1,(GMWQ!$LQ$2:$LQ$60=Q$3)*(GMWQ!$LP$2:$LP$60=Q$4)*(GMWQ!$LR$2:$LR$60=Q$1),0),$B291-1966)</f>
        <v>3.5</v>
      </c>
      <c r="R291" s="7" cm="1">
        <f t="array" ref="R291">INDEX(GMWQ!$A$2:$LR$60,MATCH(1,(GMWQ!$LQ$2:$LQ$60=R$3)*(GMWQ!$LP$2:$LP$60=R$4)*(GMWQ!$LR$2:$LR$60=R$1),0),$B291-1966)</f>
        <v>256489.9</v>
      </c>
      <c r="S291" s="7" cm="1">
        <f t="array" ref="S291">INDEX(GMWQ!$A$2:$LR$60,MATCH(1,(GMWQ!$LQ$2:$LQ$60=S$3)*(GMWQ!$LP$2:$LP$60=S$4)*(GMWQ!$LR$2:$LR$60=S$1),0),$B291-1966)</f>
        <v>382.62279999999998</v>
      </c>
      <c r="T291" s="7" cm="1">
        <f t="array" ref="T291">INDEX(GMWQ!$A$2:$LR$60,MATCH(1,(GMWQ!$LQ$2:$LQ$60=T$3)*(GMWQ!$LP$2:$LP$60=T$4)*(GMWQ!$LR$2:$LR$60=T$1),0),$B291-1966)</f>
        <v>145613.6</v>
      </c>
      <c r="U291" s="7" cm="1">
        <f t="array" ref="U291">INDEX(GMWQ!$A$2:$LR$60,MATCH(1,(GMWQ!$LQ$2:$LQ$60=U$3)*(GMWQ!$LP$2:$LP$60=U$4)*(GMWQ!$LR$2:$LR$60=U$1),0),$B291-1966)</f>
        <v>17111.13</v>
      </c>
      <c r="V291" s="7" cm="1">
        <f t="array" ref="V291">INDEX(GMWQ!$A$2:$LR$60,MATCH(1,(GMWQ!$LQ$2:$LQ$60=V$3)*(GMWQ!$LP$2:$LP$60=V$4)*(GMWQ!$LR$2:$LR$60=V$1),0),$B291-1966)</f>
        <v>1.3553899999999999E-3</v>
      </c>
      <c r="W291" s="7" cm="1">
        <f t="array" ref="W291">INDEX(GMWQ!$A$2:$LR$60,MATCH(1,(GMWQ!$LQ$2:$LQ$60=W$3)*(GMWQ!$LP$2:$LP$60=W$4)*(GMWQ!$LR$2:$LR$60=W$1),0),$B291-1966)</f>
        <v>9.2430040000000009</v>
      </c>
      <c r="X291" s="7" cm="1">
        <f t="array" ref="X291">INDEX(GMWQ!$A$2:$LR$60,MATCH(1,(GMWQ!$LQ$2:$LQ$60=X$3)*(GMWQ!$LP$2:$LP$60=X$4)*(GMWQ!$LR$2:$LR$60=X$1),0),$B291-1966)</f>
        <v>12912030</v>
      </c>
      <c r="Y291" s="7" cm="1">
        <f t="array" ref="Y291">INDEX(GMWQ!$A$2:$LR$60,MATCH(1,(GMWQ!$LQ$2:$LQ$60=Y$3)*(GMWQ!$LP$2:$LP$60=Y$4)*(GMWQ!$LR$2:$LR$60=Y$1),0),$B291-1966)</f>
        <v>183.53649999999999</v>
      </c>
      <c r="Z291" s="7" cm="1">
        <f t="array" ref="Z291">INDEX(GMWQ!$A$2:$LR$60,MATCH(1,(GMWQ!$LQ$2:$LQ$60=Z$3)*(GMWQ!$LP$2:$LP$60=Z$4)*(GMWQ!$LR$2:$LR$60=Z$1),0),$B291-1966)</f>
        <v>774643.19999999995</v>
      </c>
      <c r="AA291" s="7" cm="1">
        <f t="array" ref="AA291">INDEX(GMWQ!$A$2:$LR$60,MATCH(1,(GMWQ!$LQ$2:$LQ$60=AA$3)*(GMWQ!$LP$2:$LP$60=AA$4)*(GMWQ!$LR$2:$LR$60=AA$1),0),$B291-1966)</f>
        <v>634779.4</v>
      </c>
      <c r="AB291" s="7" cm="1">
        <f t="array" ref="AB291">INDEX(GMWQ!$A$2:$LR$60,MATCH(1,(GMWQ!$LQ$2:$LQ$60=AB$3)*(GMWQ!$LP$2:$LP$60=AB$4)*(GMWQ!$LR$2:$LR$60=AB$1),0),$B291-1966)</f>
        <v>543502.19999999995</v>
      </c>
      <c r="AC291" s="7" cm="1">
        <f t="array" ref="AC291">INDEX(GMWQ!$A$2:$LR$60,MATCH(1,(GMWQ!$LQ$2:$LQ$60=AC$3)*(GMWQ!$LP$2:$LP$60=AC$4)*(GMWQ!$LR$2:$LR$60=AC$1),0),$B291-1966)</f>
        <v>38417.08</v>
      </c>
      <c r="AD291" s="7" cm="1">
        <f t="array" ref="AD291">INDEX(GMWQ!$A$2:$LR$60,MATCH(1,(GMWQ!$LQ$2:$LQ$60=AD$3)*(GMWQ!$LP$2:$LP$60=AD$4)*(GMWQ!$LR$2:$LR$60=AD$1),0),$B291-1966)</f>
        <v>30785.87</v>
      </c>
      <c r="AE291" s="7" cm="1">
        <f t="array" ref="AE291">INDEX(GMWQ!$A$2:$LR$60,MATCH(1,(GMWQ!$LQ$2:$LQ$60=AE$3)*(GMWQ!$LP$2:$LP$60=AE$4)*(GMWQ!$LR$2:$LR$60=AE$1),0),$B291-1966)</f>
        <v>1421754</v>
      </c>
      <c r="AF291" s="20" cm="1">
        <f t="array" ref="AF291">INDEX(GMWQ!$A$2:$LR$60,MATCH(1,(GMWQ!$LQ$2:$LQ$60=AF$3)*(GMWQ!$LP$2:$LP$60=AF$4)*(GMWQ!$LR$2:$LR$60=AF$1),0),$B291-1966)</f>
        <v>2</v>
      </c>
      <c r="AG291" s="20" cm="1">
        <f t="array" ref="AG291">INDEX(GMWQ!$A$2:$LR$60,MATCH(1,(GMWQ!$LQ$2:$LQ$60=AG$3)*(GMWQ!$LP$2:$LP$60=AG$4)*(GMWQ!$LR$2:$LR$60=AG$1),0),$B291-1966)</f>
        <v>-17833.8</v>
      </c>
      <c r="AI291" s="23" cm="1">
        <f t="array" ref="AI291">INDEX(GMWQ!$A$2:$LR$60,MATCH(1,(GMWQ!$LQ$2:$LQ$60=AI$3)*(GMWQ!$LP$2:$LP$60=AI$4)*(GMWQ!$LR$2:$LR$60=AI$1),0),$B291-1966)</f>
        <v>908247.1</v>
      </c>
      <c r="AJ291" s="23" cm="1">
        <f t="array" ref="AJ291">INDEX(GMWQ!$A$2:$LR$60,MATCH(1,(GMWQ!$LQ$2:$LQ$60=AJ$3)*(GMWQ!$LP$2:$LP$60=AJ$4)*(GMWQ!$LR$2:$LR$60=AJ$1),0),$B291-1966)</f>
        <v>180.2218</v>
      </c>
      <c r="AK291" s="23" cm="1">
        <f t="array" ref="AK291">INDEX(GMWQ!$A$2:$LR$60,MATCH(1,(GMWQ!$LQ$2:$LQ$60=AK$3)*(GMWQ!$LP$2:$LP$60=AK$4)*(GMWQ!$LR$2:$LR$60=AK$1),0),$B291-1966)</f>
        <v>571989.1</v>
      </c>
      <c r="AL291" s="23" cm="1">
        <f t="array" ref="AL291">INDEX(GMWQ!$A$2:$LR$60,MATCH(1,(GMWQ!$LQ$2:$LQ$60=AL$3)*(GMWQ!$LP$2:$LP$60=AL$4)*(GMWQ!$LR$2:$LR$60=AL$1),0),$B291-1966)</f>
        <v>17696.830000000002</v>
      </c>
      <c r="AM291" s="23" cm="1">
        <f t="array" ref="AM291">INDEX(GMWQ!$A$2:$LR$60,MATCH(1,(GMWQ!$LQ$2:$LQ$60=AM$3)*(GMWQ!$LP$2:$LP$60=AM$4)*(GMWQ!$LR$2:$LR$60=AM$1),0),$B291-1966)</f>
        <v>32321.56</v>
      </c>
      <c r="AN291" s="23" cm="1">
        <f t="array" ref="AN291">INDEX(GMWQ!$A$2:$LR$60,MATCH(1,(GMWQ!$LQ$2:$LQ$60=AN$3)*(GMWQ!$LP$2:$LP$60=AN$4)*(GMWQ!$LR$2:$LR$60=AN$1),0),$B291-1966)</f>
        <v>170589.1</v>
      </c>
      <c r="AO291" s="23" cm="1">
        <f t="array" ref="AO291">INDEX(GMWQ!$A$2:$LR$60,MATCH(1,(GMWQ!$LQ$2:$LQ$60=AO$3)*(GMWQ!$LP$2:$LP$60=AO$4)*(GMWQ!$LR$2:$LR$60=AO$1),0),$B291-1966)</f>
        <v>38466.269999999997</v>
      </c>
      <c r="AP291" s="23" cm="1">
        <f t="array" ref="AP291">INDEX(GMWQ!$A$2:$LR$60,MATCH(1,(GMWQ!$LQ$2:$LQ$60=AP$3)*(GMWQ!$LP$2:$LP$60=AP$4)*(GMWQ!$LR$2:$LR$60=AP$1),0),$B291-1966)</f>
        <v>-17833.8</v>
      </c>
      <c r="AQ291" s="23" cm="1">
        <f t="array" ref="AQ291">INDEX(GMWQ!$A$2:$LR$60,MATCH(1,(GMWQ!$LQ$2:$LQ$60=AQ$3)*(GMWQ!$LP$2:$LP$60=AQ$4)*(GMWQ!$LR$2:$LR$60=AQ$1),0),$B291-1966)</f>
        <v>198590.1</v>
      </c>
      <c r="AR291" s="23" cm="1">
        <f t="array" ref="AR291">INDEX(GMWQ!$A$2:$LR$60,MATCH(1,(GMWQ!$LQ$2:$LQ$60=AR$3)*(GMWQ!$LP$2:$LP$60=AR$4)*(GMWQ!$LR$2:$LR$60=AR$1),0),$B291-1966)</f>
        <v>838341.5</v>
      </c>
      <c r="AS291" s="23" cm="1">
        <f t="array" ref="AS291">INDEX(GMWQ!$A$2:$LR$60,MATCH(1,(GMWQ!$LQ$2:$LQ$60=AS$3)*(GMWQ!$LP$2:$LP$60=AS$4)*(GMWQ!$LR$2:$LR$60=AS$1),0),$B291-1966)</f>
        <v>28799.32</v>
      </c>
      <c r="AT291" s="23" cm="1">
        <f t="array" ref="AT291">INDEX(GMWQ!$A$2:$LR$60,MATCH(1,(GMWQ!$LQ$2:$LQ$60=AT$3)*(GMWQ!$LP$2:$LP$60=AT$4)*(GMWQ!$LR$2:$LR$60=AT$1),0),$B291-1966)</f>
        <v>465172.1</v>
      </c>
      <c r="AU291" s="23" cm="1">
        <f t="array" ref="AU291">INDEX(GMWQ!$A$2:$LR$60,MATCH(1,(GMWQ!$LQ$2:$LQ$60=AU$3)*(GMWQ!$LP$2:$LP$60=AU$4)*(GMWQ!$LR$2:$LR$60=AU$1),0),$B291-1966)</f>
        <v>16555.939999999999</v>
      </c>
    </row>
    <row r="292" spans="1:47" x14ac:dyDescent="0.35">
      <c r="B292" s="7">
        <f t="shared" si="5"/>
        <v>2258</v>
      </c>
      <c r="C292" s="7" cm="1">
        <f t="array" ref="C292">INDEX(GMWQ!$A$2:$LR$60,MATCH(1,(GMWQ!$LQ$2:$LQ$60=C$3)*(GMWQ!$LP$2:$LP$60=C$4)*(GMWQ!$LR$2:$LR$60=C$1),0),$B292-1966)</f>
        <v>777550.1</v>
      </c>
      <c r="D292" s="7" cm="1">
        <f t="array" ref="D292">INDEX(GMWQ!$A$2:$LR$60,MATCH(1,(GMWQ!$LQ$2:$LQ$60=D$3)*(GMWQ!$LP$2:$LP$60=D$4)*(GMWQ!$LR$2:$LR$60=D$1),0),$B292-1966)</f>
        <v>1226.53</v>
      </c>
      <c r="E292" s="7" cm="1">
        <f t="array" ref="E292">INDEX(GMWQ!$A$2:$LR$60,MATCH(1,(GMWQ!$LQ$2:$LQ$60=E$3)*(GMWQ!$LP$2:$LP$60=E$4)*(GMWQ!$LR$2:$LR$60=E$1),0),$B292-1966)</f>
        <v>198.78450000000001</v>
      </c>
      <c r="F292" s="7" cm="1">
        <f t="array" ref="F292">INDEX(GMWQ!$A$2:$LR$60,MATCH(1,(GMWQ!$LQ$2:$LQ$60=F$3)*(GMWQ!$LP$2:$LP$60=F$4)*(GMWQ!$LR$2:$LR$60=F$1),0),$B292-1966)</f>
        <v>577015.5</v>
      </c>
      <c r="G292" s="7" cm="1">
        <f t="array" ref="G292">INDEX(GMWQ!$A$2:$LR$60,MATCH(1,(GMWQ!$LQ$2:$LQ$60=G$3)*(GMWQ!$LP$2:$LP$60=G$4)*(GMWQ!$LR$2:$LR$60=G$1),0),$B292-1966)</f>
        <v>171695.7</v>
      </c>
      <c r="H292" s="7" cm="1">
        <f t="array" ref="H292">INDEX(GMWQ!$A$2:$LR$60,MATCH(1,(GMWQ!$LQ$2:$LQ$60=H$3)*(GMWQ!$LP$2:$LP$60=H$4)*(GMWQ!$LR$2:$LR$60=H$1),0),$B292-1966)</f>
        <v>38804.29</v>
      </c>
      <c r="I292" s="7" cm="1">
        <f t="array" ref="I292">INDEX(GMWQ!$A$2:$LR$60,MATCH(1,(GMWQ!$LQ$2:$LQ$60=I$3)*(GMWQ!$LP$2:$LP$60=I$4)*(GMWQ!$LR$2:$LR$60=I$1),0),$B292-1966)</f>
        <v>181.11609999999999</v>
      </c>
      <c r="J292" s="7" cm="1">
        <f t="array" ref="J292">INDEX(GMWQ!$A$2:$LR$60,MATCH(1,(GMWQ!$LQ$2:$LQ$60=J$3)*(GMWQ!$LP$2:$LP$60=J$4)*(GMWQ!$LR$2:$LR$60=J$1),0),$B292-1966)</f>
        <v>32351.1</v>
      </c>
      <c r="K292" s="7" cm="1">
        <f t="array" ref="K292">INDEX(GMWQ!$A$2:$LR$60,MATCH(1,(GMWQ!$LQ$2:$LQ$60=K$3)*(GMWQ!$LP$2:$LP$60=K$4)*(GMWQ!$LR$2:$LR$60=K$1),0),$B292-1966)</f>
        <v>2</v>
      </c>
      <c r="L292" s="7" cm="1">
        <f t="array" ref="L292">INDEX(GMWQ!$A$2:$LR$60,MATCH(1,(GMWQ!$LQ$2:$LQ$60=L$3)*(GMWQ!$LP$2:$LP$60=L$4)*(GMWQ!$LR$2:$LR$60=L$1),0),$B292-1966)</f>
        <v>3.7500200000000001</v>
      </c>
      <c r="M292" s="7" cm="1">
        <f t="array" ref="M292">INDEX(GMWQ!$A$2:$LR$60,MATCH(1,(GMWQ!$LQ$2:$LQ$60=M$3)*(GMWQ!$LP$2:$LP$60=M$4)*(GMWQ!$LR$2:$LR$60=M$1),0),$B292-1966)</f>
        <v>281.26249999999999</v>
      </c>
      <c r="N292" s="7" cm="1">
        <f t="array" ref="N292">INDEX(GMWQ!$A$2:$LR$60,MATCH(1,(GMWQ!$LQ$2:$LQ$60=N$3)*(GMWQ!$LP$2:$LP$60=N$4)*(GMWQ!$LR$2:$LR$60=N$1),0),$B292-1966)</f>
        <v>41645.49</v>
      </c>
      <c r="O292" s="7" cm="1">
        <f t="array" ref="O292">INDEX(GMWQ!$A$2:$LR$60,MATCH(1,(GMWQ!$LQ$2:$LQ$60=O$3)*(GMWQ!$LP$2:$LP$60=O$4)*(GMWQ!$LR$2:$LR$60=O$1),0),$B292-1966)</f>
        <v>23686.15</v>
      </c>
      <c r="P292" s="7" cm="1">
        <f t="array" ref="P292">INDEX(GMWQ!$A$2:$LR$60,MATCH(1,(GMWQ!$LQ$2:$LQ$60=P$3)*(GMWQ!$LP$2:$LP$60=P$4)*(GMWQ!$LR$2:$LR$60=P$1),0),$B292-1966)</f>
        <v>916196.1</v>
      </c>
      <c r="Q292" s="7" cm="1">
        <f t="array" ref="Q292">INDEX(GMWQ!$A$2:$LR$60,MATCH(1,(GMWQ!$LQ$2:$LQ$60=Q$3)*(GMWQ!$LP$2:$LP$60=Q$4)*(GMWQ!$LR$2:$LR$60=Q$1),0),$B292-1966)</f>
        <v>3.5</v>
      </c>
      <c r="R292" s="7" cm="1">
        <f t="array" ref="R292">INDEX(GMWQ!$A$2:$LR$60,MATCH(1,(GMWQ!$LQ$2:$LQ$60=R$3)*(GMWQ!$LP$2:$LP$60=R$4)*(GMWQ!$LR$2:$LR$60=R$1),0),$B292-1966)</f>
        <v>256487.4</v>
      </c>
      <c r="S292" s="7" cm="1">
        <f t="array" ref="S292">INDEX(GMWQ!$A$2:$LR$60,MATCH(1,(GMWQ!$LQ$2:$LQ$60=S$3)*(GMWQ!$LP$2:$LP$60=S$4)*(GMWQ!$LR$2:$LR$60=S$1),0),$B292-1966)</f>
        <v>382.6191</v>
      </c>
      <c r="T292" s="7" cm="1">
        <f t="array" ref="T292">INDEX(GMWQ!$A$2:$LR$60,MATCH(1,(GMWQ!$LQ$2:$LQ$60=T$3)*(GMWQ!$LP$2:$LP$60=T$4)*(GMWQ!$LR$2:$LR$60=T$1),0),$B292-1966)</f>
        <v>146175.29999999999</v>
      </c>
      <c r="U292" s="7" cm="1">
        <f t="array" ref="U292">INDEX(GMWQ!$A$2:$LR$60,MATCH(1,(GMWQ!$LQ$2:$LQ$60=U$3)*(GMWQ!$LP$2:$LP$60=U$4)*(GMWQ!$LR$2:$LR$60=U$1),0),$B292-1966)</f>
        <v>17010.919999999998</v>
      </c>
      <c r="V292" s="7" cm="1">
        <f t="array" ref="V292">INDEX(GMWQ!$A$2:$LR$60,MATCH(1,(GMWQ!$LQ$2:$LQ$60=V$3)*(GMWQ!$LP$2:$LP$60=V$4)*(GMWQ!$LR$2:$LR$60=V$1),0),$B292-1966)</f>
        <v>1.354566E-3</v>
      </c>
      <c r="W292" s="7" cm="1">
        <f t="array" ref="W292">INDEX(GMWQ!$A$2:$LR$60,MATCH(1,(GMWQ!$LQ$2:$LQ$60=W$3)*(GMWQ!$LP$2:$LP$60=W$4)*(GMWQ!$LR$2:$LR$60=W$1),0),$B292-1966)</f>
        <v>9.3177459999999996</v>
      </c>
      <c r="X292" s="7" cm="1">
        <f t="array" ref="X292">INDEX(GMWQ!$A$2:$LR$60,MATCH(1,(GMWQ!$LQ$2:$LQ$60=X$3)*(GMWQ!$LP$2:$LP$60=X$4)*(GMWQ!$LR$2:$LR$60=X$1),0),$B292-1966)</f>
        <v>13066570</v>
      </c>
      <c r="Y292" s="7" cm="1">
        <f t="array" ref="Y292">INDEX(GMWQ!$A$2:$LR$60,MATCH(1,(GMWQ!$LQ$2:$LQ$60=Y$3)*(GMWQ!$LP$2:$LP$60=Y$4)*(GMWQ!$LR$2:$LR$60=Y$1),0),$B292-1966)</f>
        <v>184.53219999999999</v>
      </c>
      <c r="Z292" s="7" cm="1">
        <f t="array" ref="Z292">INDEX(GMWQ!$A$2:$LR$60,MATCH(1,(GMWQ!$LQ$2:$LQ$60=Z$3)*(GMWQ!$LP$2:$LP$60=Z$4)*(GMWQ!$LR$2:$LR$60=Z$1),0),$B292-1966)</f>
        <v>777550.4</v>
      </c>
      <c r="AA292" s="7" cm="1">
        <f t="array" ref="AA292">INDEX(GMWQ!$A$2:$LR$60,MATCH(1,(GMWQ!$LQ$2:$LQ$60=AA$3)*(GMWQ!$LP$2:$LP$60=AA$4)*(GMWQ!$LR$2:$LR$60=AA$1),0),$B292-1966)</f>
        <v>582490.4</v>
      </c>
      <c r="AB292" s="7" cm="1">
        <f t="array" ref="AB292">INDEX(GMWQ!$A$2:$LR$60,MATCH(1,(GMWQ!$LQ$2:$LQ$60=AB$3)*(GMWQ!$LP$2:$LP$60=AB$4)*(GMWQ!$LR$2:$LR$60=AB$1),0),$B292-1966)</f>
        <v>555961.59999999998</v>
      </c>
      <c r="AC292" s="7" cm="1">
        <f t="array" ref="AC292">INDEX(GMWQ!$A$2:$LR$60,MATCH(1,(GMWQ!$LQ$2:$LQ$60=AC$3)*(GMWQ!$LP$2:$LP$60=AC$4)*(GMWQ!$LR$2:$LR$60=AC$1),0),$B292-1966)</f>
        <v>18480.150000000001</v>
      </c>
      <c r="AD292" s="7" cm="1">
        <f t="array" ref="AD292">INDEX(GMWQ!$A$2:$LR$60,MATCH(1,(GMWQ!$LQ$2:$LQ$60=AD$3)*(GMWQ!$LP$2:$LP$60=AD$4)*(GMWQ!$LR$2:$LR$60=AD$1),0),$B292-1966)</f>
        <v>31934.99</v>
      </c>
      <c r="AE292" s="7" cm="1">
        <f t="array" ref="AE292">INDEX(GMWQ!$A$2:$LR$60,MATCH(1,(GMWQ!$LQ$2:$LQ$60=AE$3)*(GMWQ!$LP$2:$LP$60=AE$4)*(GMWQ!$LR$2:$LR$60=AE$1),0),$B292-1966)</f>
        <v>1434831</v>
      </c>
      <c r="AF292" s="20" cm="1">
        <f t="array" ref="AF292">INDEX(GMWQ!$A$2:$LR$60,MATCH(1,(GMWQ!$LQ$2:$LQ$60=AF$3)*(GMWQ!$LP$2:$LP$60=AF$4)*(GMWQ!$LR$2:$LR$60=AF$1),0),$B292-1966)</f>
        <v>2</v>
      </c>
      <c r="AG292" s="20" cm="1">
        <f t="array" ref="AG292">INDEX(GMWQ!$A$2:$LR$60,MATCH(1,(GMWQ!$LQ$2:$LQ$60=AG$3)*(GMWQ!$LP$2:$LP$60=AG$4)*(GMWQ!$LR$2:$LR$60=AG$1),0),$B292-1966)</f>
        <v>-17959.34</v>
      </c>
      <c r="AI292" s="23" cm="1">
        <f t="array" ref="AI292">INDEX(GMWQ!$A$2:$LR$60,MATCH(1,(GMWQ!$LQ$2:$LQ$60=AI$3)*(GMWQ!$LP$2:$LP$60=AI$4)*(GMWQ!$LR$2:$LR$60=AI$1),0),$B292-1966)</f>
        <v>916196.1</v>
      </c>
      <c r="AJ292" s="23" cm="1">
        <f t="array" ref="AJ292">INDEX(GMWQ!$A$2:$LR$60,MATCH(1,(GMWQ!$LQ$2:$LQ$60=AJ$3)*(GMWQ!$LP$2:$LP$60=AJ$4)*(GMWQ!$LR$2:$LR$60=AJ$1),0),$B292-1966)</f>
        <v>181.11609999999999</v>
      </c>
      <c r="AK292" s="23" cm="1">
        <f t="array" ref="AK292">INDEX(GMWQ!$A$2:$LR$60,MATCH(1,(GMWQ!$LQ$2:$LQ$60=AK$3)*(GMWQ!$LP$2:$LP$60=AK$4)*(GMWQ!$LR$2:$LR$60=AK$1),0),$B292-1966)</f>
        <v>577015.5</v>
      </c>
      <c r="AL292" s="23" cm="1">
        <f t="array" ref="AL292">INDEX(GMWQ!$A$2:$LR$60,MATCH(1,(GMWQ!$LQ$2:$LQ$60=AL$3)*(GMWQ!$LP$2:$LP$60=AL$4)*(GMWQ!$LR$2:$LR$60=AL$1),0),$B292-1966)</f>
        <v>17836.04</v>
      </c>
      <c r="AM292" s="23" cm="1">
        <f t="array" ref="AM292">INDEX(GMWQ!$A$2:$LR$60,MATCH(1,(GMWQ!$LQ$2:$LQ$60=AM$3)*(GMWQ!$LP$2:$LP$60=AM$4)*(GMWQ!$LR$2:$LR$60=AM$1),0),$B292-1966)</f>
        <v>32351.1</v>
      </c>
      <c r="AN292" s="23" cm="1">
        <f t="array" ref="AN292">INDEX(GMWQ!$A$2:$LR$60,MATCH(1,(GMWQ!$LQ$2:$LQ$60=AN$3)*(GMWQ!$LP$2:$LP$60=AN$4)*(GMWQ!$LR$2:$LR$60=AN$1),0),$B292-1966)</f>
        <v>171695.7</v>
      </c>
      <c r="AO292" s="23" cm="1">
        <f t="array" ref="AO292">INDEX(GMWQ!$A$2:$LR$60,MATCH(1,(GMWQ!$LQ$2:$LQ$60=AO$3)*(GMWQ!$LP$2:$LP$60=AO$4)*(GMWQ!$LR$2:$LR$60=AO$1),0),$B292-1966)</f>
        <v>38804.29</v>
      </c>
      <c r="AP292" s="23" cm="1">
        <f t="array" ref="AP292">INDEX(GMWQ!$A$2:$LR$60,MATCH(1,(GMWQ!$LQ$2:$LQ$60=AP$3)*(GMWQ!$LP$2:$LP$60=AP$4)*(GMWQ!$LR$2:$LR$60=AP$1),0),$B292-1966)</f>
        <v>-17959.34</v>
      </c>
      <c r="AQ292" s="23" cm="1">
        <f t="array" ref="AQ292">INDEX(GMWQ!$A$2:$LR$60,MATCH(1,(GMWQ!$LQ$2:$LQ$60=AQ$3)*(GMWQ!$LP$2:$LP$60=AQ$4)*(GMWQ!$LR$2:$LR$60=AQ$1),0),$B292-1966)</f>
        <v>200402.5</v>
      </c>
      <c r="AR292" s="23" cm="1">
        <f t="array" ref="AR292">INDEX(GMWQ!$A$2:$LR$60,MATCH(1,(GMWQ!$LQ$2:$LQ$60=AR$3)*(GMWQ!$LP$2:$LP$60=AR$4)*(GMWQ!$LR$2:$LR$60=AR$1),0),$B292-1966)</f>
        <v>845666.9</v>
      </c>
      <c r="AS292" s="23" cm="1">
        <f t="array" ref="AS292">INDEX(GMWQ!$A$2:$LR$60,MATCH(1,(GMWQ!$LQ$2:$LQ$60=AS$3)*(GMWQ!$LP$2:$LP$60=AS$4)*(GMWQ!$LR$2:$LR$60=AS$1),0),$B292-1966)</f>
        <v>29059.89</v>
      </c>
      <c r="AT292" s="23" cm="1">
        <f t="array" ref="AT292">INDEX(GMWQ!$A$2:$LR$60,MATCH(1,(GMWQ!$LQ$2:$LQ$60=AT$3)*(GMWQ!$LP$2:$LP$60=AT$4)*(GMWQ!$LR$2:$LR$60=AT$1),0),$B292-1966)</f>
        <v>466919.8</v>
      </c>
      <c r="AU292" s="23" cm="1">
        <f t="array" ref="AU292">INDEX(GMWQ!$A$2:$LR$60,MATCH(1,(GMWQ!$LQ$2:$LQ$60=AU$3)*(GMWQ!$LP$2:$LP$60=AU$4)*(GMWQ!$LR$2:$LR$60=AU$1),0),$B292-1966)</f>
        <v>16618.060000000001</v>
      </c>
    </row>
    <row r="293" spans="1:47" x14ac:dyDescent="0.35">
      <c r="B293" s="7">
        <f t="shared" si="5"/>
        <v>2259</v>
      </c>
      <c r="C293" s="7" cm="1">
        <f t="array" ref="C293">INDEX(GMWQ!$A$2:$LR$60,MATCH(1,(GMWQ!$LQ$2:$LQ$60=C$3)*(GMWQ!$LP$2:$LP$60=C$4)*(GMWQ!$LR$2:$LR$60=C$1),0),$B293-1966)</f>
        <v>780464.3</v>
      </c>
      <c r="D293" s="7" cm="1">
        <f t="array" ref="D293">INDEX(GMWQ!$A$2:$LR$60,MATCH(1,(GMWQ!$LQ$2:$LQ$60=D$3)*(GMWQ!$LP$2:$LP$60=D$4)*(GMWQ!$LR$2:$LR$60=D$1),0),$B293-1966)</f>
        <v>1236.173</v>
      </c>
      <c r="E293" s="7" cm="1">
        <f t="array" ref="E293">INDEX(GMWQ!$A$2:$LR$60,MATCH(1,(GMWQ!$LQ$2:$LQ$60=E$3)*(GMWQ!$LP$2:$LP$60=E$4)*(GMWQ!$LR$2:$LR$60=E$1),0),$B293-1966)</f>
        <v>199.87039999999999</v>
      </c>
      <c r="F293" s="7" cm="1">
        <f t="array" ref="F293">INDEX(GMWQ!$A$2:$LR$60,MATCH(1,(GMWQ!$LQ$2:$LQ$60=F$3)*(GMWQ!$LP$2:$LP$60=F$4)*(GMWQ!$LR$2:$LR$60=F$1),0),$B293-1966)</f>
        <v>582083.19999999995</v>
      </c>
      <c r="G293" s="7" cm="1">
        <f t="array" ref="G293">INDEX(GMWQ!$A$2:$LR$60,MATCH(1,(GMWQ!$LQ$2:$LQ$60=G$3)*(GMWQ!$LP$2:$LP$60=G$4)*(GMWQ!$LR$2:$LR$60=G$1),0),$B293-1966)</f>
        <v>173406.2</v>
      </c>
      <c r="H293" s="7" cm="1">
        <f t="array" ref="H293">INDEX(GMWQ!$A$2:$LR$60,MATCH(1,(GMWQ!$LQ$2:$LQ$60=H$3)*(GMWQ!$LP$2:$LP$60=H$4)*(GMWQ!$LR$2:$LR$60=H$1),0),$B293-1966)</f>
        <v>39145.089999999997</v>
      </c>
      <c r="I293" s="7" cm="1">
        <f t="array" ref="I293">INDEX(GMWQ!$A$2:$LR$60,MATCH(1,(GMWQ!$LQ$2:$LQ$60=I$3)*(GMWQ!$LP$2:$LP$60=I$4)*(GMWQ!$LR$2:$LR$60=I$1),0),$B293-1966)</f>
        <v>182.01480000000001</v>
      </c>
      <c r="J293" s="7" cm="1">
        <f t="array" ref="J293">INDEX(GMWQ!$A$2:$LR$60,MATCH(1,(GMWQ!$LQ$2:$LQ$60=J$3)*(GMWQ!$LP$2:$LP$60=J$4)*(GMWQ!$LR$2:$LR$60=J$1),0),$B293-1966)</f>
        <v>32380.639999999999</v>
      </c>
      <c r="K293" s="7" cm="1">
        <f t="array" ref="K293">INDEX(GMWQ!$A$2:$LR$60,MATCH(1,(GMWQ!$LQ$2:$LQ$60=K$3)*(GMWQ!$LP$2:$LP$60=K$4)*(GMWQ!$LR$2:$LR$60=K$1),0),$B293-1966)</f>
        <v>2</v>
      </c>
      <c r="L293" s="7" cm="1">
        <f t="array" ref="L293">INDEX(GMWQ!$A$2:$LR$60,MATCH(1,(GMWQ!$LQ$2:$LQ$60=L$3)*(GMWQ!$LP$2:$LP$60=L$4)*(GMWQ!$LR$2:$LR$60=L$1),0),$B293-1966)</f>
        <v>3.7500089999999999</v>
      </c>
      <c r="M293" s="7" cm="1">
        <f t="array" ref="M293">INDEX(GMWQ!$A$2:$LR$60,MATCH(1,(GMWQ!$LQ$2:$LQ$60=M$3)*(GMWQ!$LP$2:$LP$60=M$4)*(GMWQ!$LR$2:$LR$60=M$1),0),$B293-1966)</f>
        <v>283.72410000000002</v>
      </c>
      <c r="N293" s="7" cm="1">
        <f t="array" ref="N293">INDEX(GMWQ!$A$2:$LR$60,MATCH(1,(GMWQ!$LQ$2:$LQ$60=N$3)*(GMWQ!$LP$2:$LP$60=N$4)*(GMWQ!$LR$2:$LR$60=N$1),0),$B293-1966)</f>
        <v>41959.88</v>
      </c>
      <c r="O293" s="7" cm="1">
        <f t="array" ref="O293">INDEX(GMWQ!$A$2:$LR$60,MATCH(1,(GMWQ!$LQ$2:$LQ$60=O$3)*(GMWQ!$LP$2:$LP$60=O$4)*(GMWQ!$LR$2:$LR$60=O$1),0),$B293-1966)</f>
        <v>23880.3</v>
      </c>
      <c r="P293" s="7" cm="1">
        <f t="array" ref="P293">INDEX(GMWQ!$A$2:$LR$60,MATCH(1,(GMWQ!$LQ$2:$LQ$60=P$3)*(GMWQ!$LP$2:$LP$60=P$4)*(GMWQ!$LR$2:$LR$60=P$1),0),$B293-1966)</f>
        <v>924211.3</v>
      </c>
      <c r="Q293" s="7" cm="1">
        <f t="array" ref="Q293">INDEX(GMWQ!$A$2:$LR$60,MATCH(1,(GMWQ!$LQ$2:$LQ$60=Q$3)*(GMWQ!$LP$2:$LP$60=Q$4)*(GMWQ!$LR$2:$LR$60=Q$1),0),$B293-1966)</f>
        <v>3.5</v>
      </c>
      <c r="R293" s="7" cm="1">
        <f t="array" ref="R293">INDEX(GMWQ!$A$2:$LR$60,MATCH(1,(GMWQ!$LQ$2:$LQ$60=R$3)*(GMWQ!$LP$2:$LP$60=R$4)*(GMWQ!$LR$2:$LR$60=R$1),0),$B293-1966)</f>
        <v>256485</v>
      </c>
      <c r="S293" s="7" cm="1">
        <f t="array" ref="S293">INDEX(GMWQ!$A$2:$LR$60,MATCH(1,(GMWQ!$LQ$2:$LQ$60=S$3)*(GMWQ!$LP$2:$LP$60=S$4)*(GMWQ!$LR$2:$LR$60=S$1),0),$B293-1966)</f>
        <v>382.6155</v>
      </c>
      <c r="T293" s="7" cm="1">
        <f t="array" ref="T293">INDEX(GMWQ!$A$2:$LR$60,MATCH(1,(GMWQ!$LQ$2:$LQ$60=T$3)*(GMWQ!$LP$2:$LP$60=T$4)*(GMWQ!$LR$2:$LR$60=T$1),0),$B293-1966)</f>
        <v>146738.1</v>
      </c>
      <c r="U293" s="7" cm="1">
        <f t="array" ref="U293">INDEX(GMWQ!$A$2:$LR$60,MATCH(1,(GMWQ!$LQ$2:$LQ$60=U$3)*(GMWQ!$LP$2:$LP$60=U$4)*(GMWQ!$LR$2:$LR$60=U$1),0),$B293-1966)</f>
        <v>16915.740000000002</v>
      </c>
      <c r="V293" s="7" cm="1">
        <f t="array" ref="V293">INDEX(GMWQ!$A$2:$LR$60,MATCH(1,(GMWQ!$LQ$2:$LQ$60=V$3)*(GMWQ!$LP$2:$LP$60=V$4)*(GMWQ!$LR$2:$LR$60=V$1),0),$B293-1966)</f>
        <v>1.353751E-3</v>
      </c>
      <c r="W293" s="7" cm="1">
        <f t="array" ref="W293">INDEX(GMWQ!$A$2:$LR$60,MATCH(1,(GMWQ!$LQ$2:$LQ$60=W$3)*(GMWQ!$LP$2:$LP$60=W$4)*(GMWQ!$LR$2:$LR$60=W$1),0),$B293-1966)</f>
        <v>9.3115360000000003</v>
      </c>
      <c r="X293" s="7" cm="1">
        <f t="array" ref="X293">INDEX(GMWQ!$A$2:$LR$60,MATCH(1,(GMWQ!$LQ$2:$LQ$60=X$3)*(GMWQ!$LP$2:$LP$60=X$4)*(GMWQ!$LR$2:$LR$60=X$1),0),$B293-1966)</f>
        <v>13202880</v>
      </c>
      <c r="Y293" s="7" cm="1">
        <f t="array" ref="Y293">INDEX(GMWQ!$A$2:$LR$60,MATCH(1,(GMWQ!$LQ$2:$LQ$60=Y$3)*(GMWQ!$LP$2:$LP$60=Y$4)*(GMWQ!$LR$2:$LR$60=Y$1),0),$B293-1966)</f>
        <v>185.5333</v>
      </c>
      <c r="Z293" s="7" cm="1">
        <f t="array" ref="Z293">INDEX(GMWQ!$A$2:$LR$60,MATCH(1,(GMWQ!$LQ$2:$LQ$60=Z$3)*(GMWQ!$LP$2:$LP$60=Z$4)*(GMWQ!$LR$2:$LR$60=Z$1),0),$B293-1966)</f>
        <v>780462.7</v>
      </c>
      <c r="AA293" s="7" cm="1">
        <f t="array" ref="AA293">INDEX(GMWQ!$A$2:$LR$60,MATCH(1,(GMWQ!$LQ$2:$LQ$60=AA$3)*(GMWQ!$LP$2:$LP$60=AA$4)*(GMWQ!$LR$2:$LR$60=AA$1),0),$B293-1966)</f>
        <v>603079.4</v>
      </c>
      <c r="AB293" s="7" cm="1">
        <f t="array" ref="AB293">INDEX(GMWQ!$A$2:$LR$60,MATCH(1,(GMWQ!$LQ$2:$LQ$60=AB$3)*(GMWQ!$LP$2:$LP$60=AB$4)*(GMWQ!$LR$2:$LR$60=AB$1),0),$B293-1966)</f>
        <v>560815.6</v>
      </c>
      <c r="AC293" s="7" cm="1">
        <f t="array" ref="AC293">INDEX(GMWQ!$A$2:$LR$60,MATCH(1,(GMWQ!$LQ$2:$LQ$60=AC$3)*(GMWQ!$LP$2:$LP$60=AC$4)*(GMWQ!$LR$2:$LR$60=AC$1),0),$B293-1966)</f>
        <v>21041.17</v>
      </c>
      <c r="AD293" s="7" cm="1">
        <f t="array" ref="AD293">INDEX(GMWQ!$A$2:$LR$60,MATCH(1,(GMWQ!$LQ$2:$LQ$60=AD$3)*(GMWQ!$LP$2:$LP$60=AD$4)*(GMWQ!$LR$2:$LR$60=AD$1),0),$B293-1966)</f>
        <v>31934.99</v>
      </c>
      <c r="AE293" s="7" cm="1">
        <f t="array" ref="AE293">INDEX(GMWQ!$A$2:$LR$60,MATCH(1,(GMWQ!$LQ$2:$LQ$60=AE$3)*(GMWQ!$LP$2:$LP$60=AE$4)*(GMWQ!$LR$2:$LR$60=AE$1),0),$B293-1966)</f>
        <v>1448021</v>
      </c>
      <c r="AF293" s="20" cm="1">
        <f t="array" ref="AF293">INDEX(GMWQ!$A$2:$LR$60,MATCH(1,(GMWQ!$LQ$2:$LQ$60=AF$3)*(GMWQ!$LP$2:$LP$60=AF$4)*(GMWQ!$LR$2:$LR$60=AF$1),0),$B293-1966)</f>
        <v>2</v>
      </c>
      <c r="AG293" s="20" cm="1">
        <f t="array" ref="AG293">INDEX(GMWQ!$A$2:$LR$60,MATCH(1,(GMWQ!$LQ$2:$LQ$60=AG$3)*(GMWQ!$LP$2:$LP$60=AG$4)*(GMWQ!$LR$2:$LR$60=AG$1),0),$B293-1966)</f>
        <v>-18079.580000000002</v>
      </c>
      <c r="AI293" s="23" cm="1">
        <f t="array" ref="AI293">INDEX(GMWQ!$A$2:$LR$60,MATCH(1,(GMWQ!$LQ$2:$LQ$60=AI$3)*(GMWQ!$LP$2:$LP$60=AI$4)*(GMWQ!$LR$2:$LR$60=AI$1),0),$B293-1966)</f>
        <v>924211.3</v>
      </c>
      <c r="AJ293" s="23" cm="1">
        <f t="array" ref="AJ293">INDEX(GMWQ!$A$2:$LR$60,MATCH(1,(GMWQ!$LQ$2:$LQ$60=AJ$3)*(GMWQ!$LP$2:$LP$60=AJ$4)*(GMWQ!$LR$2:$LR$60=AJ$1),0),$B293-1966)</f>
        <v>182.01480000000001</v>
      </c>
      <c r="AK293" s="23" cm="1">
        <f t="array" ref="AK293">INDEX(GMWQ!$A$2:$LR$60,MATCH(1,(GMWQ!$LQ$2:$LQ$60=AK$3)*(GMWQ!$LP$2:$LP$60=AK$4)*(GMWQ!$LR$2:$LR$60=AK$1),0),$B293-1966)</f>
        <v>582083.19999999995</v>
      </c>
      <c r="AL293" s="23" cm="1">
        <f t="array" ref="AL293">INDEX(GMWQ!$A$2:$LR$60,MATCH(1,(GMWQ!$LQ$2:$LQ$60=AL$3)*(GMWQ!$LP$2:$LP$60=AL$4)*(GMWQ!$LR$2:$LR$60=AL$1),0),$B293-1966)</f>
        <v>17976.27</v>
      </c>
      <c r="AM293" s="23" cm="1">
        <f t="array" ref="AM293">INDEX(GMWQ!$A$2:$LR$60,MATCH(1,(GMWQ!$LQ$2:$LQ$60=AM$3)*(GMWQ!$LP$2:$LP$60=AM$4)*(GMWQ!$LR$2:$LR$60=AM$1),0),$B293-1966)</f>
        <v>32380.639999999999</v>
      </c>
      <c r="AN293" s="23" cm="1">
        <f t="array" ref="AN293">INDEX(GMWQ!$A$2:$LR$60,MATCH(1,(GMWQ!$LQ$2:$LQ$60=AN$3)*(GMWQ!$LP$2:$LP$60=AN$4)*(GMWQ!$LR$2:$LR$60=AN$1),0),$B293-1966)</f>
        <v>173406.2</v>
      </c>
      <c r="AO293" s="23" cm="1">
        <f t="array" ref="AO293">INDEX(GMWQ!$A$2:$LR$60,MATCH(1,(GMWQ!$LQ$2:$LQ$60=AO$3)*(GMWQ!$LP$2:$LP$60=AO$4)*(GMWQ!$LR$2:$LR$60=AO$1),0),$B293-1966)</f>
        <v>39145.089999999997</v>
      </c>
      <c r="AP293" s="23" cm="1">
        <f t="array" ref="AP293">INDEX(GMWQ!$A$2:$LR$60,MATCH(1,(GMWQ!$LQ$2:$LQ$60=AP$3)*(GMWQ!$LP$2:$LP$60=AP$4)*(GMWQ!$LR$2:$LR$60=AP$1),0),$B293-1966)</f>
        <v>-18079.580000000002</v>
      </c>
      <c r="AQ293" s="23" cm="1">
        <f t="array" ref="AQ293">INDEX(GMWQ!$A$2:$LR$60,MATCH(1,(GMWQ!$LQ$2:$LQ$60=AQ$3)*(GMWQ!$LP$2:$LP$60=AQ$4)*(GMWQ!$LR$2:$LR$60=AQ$1),0),$B293-1966)</f>
        <v>202339.9</v>
      </c>
      <c r="AR293" s="23" cm="1">
        <f t="array" ref="AR293">INDEX(GMWQ!$A$2:$LR$60,MATCH(1,(GMWQ!$LQ$2:$LQ$60=AR$3)*(GMWQ!$LP$2:$LP$60=AR$4)*(GMWQ!$LR$2:$LR$60=AR$1),0),$B293-1966)</f>
        <v>853052.6</v>
      </c>
      <c r="AS293" s="23" cm="1">
        <f t="array" ref="AS293">INDEX(GMWQ!$A$2:$LR$60,MATCH(1,(GMWQ!$LQ$2:$LQ$60=AS$3)*(GMWQ!$LP$2:$LP$60=AS$4)*(GMWQ!$LR$2:$LR$60=AS$1),0),$B293-1966)</f>
        <v>29322.59</v>
      </c>
      <c r="AT293" s="23" cm="1">
        <f t="array" ref="AT293">INDEX(GMWQ!$A$2:$LR$60,MATCH(1,(GMWQ!$LQ$2:$LQ$60=AT$3)*(GMWQ!$LP$2:$LP$60=AT$4)*(GMWQ!$LR$2:$LR$60=AT$1),0),$B293-1966)</f>
        <v>468672.1</v>
      </c>
      <c r="AU293" s="23" cm="1">
        <f t="array" ref="AU293">INDEX(GMWQ!$A$2:$LR$60,MATCH(1,(GMWQ!$LQ$2:$LQ$60=AU$3)*(GMWQ!$LP$2:$LP$60=AU$4)*(GMWQ!$LR$2:$LR$60=AU$1),0),$B293-1966)</f>
        <v>16680.34</v>
      </c>
    </row>
    <row r="294" spans="1:47" x14ac:dyDescent="0.35">
      <c r="B294" s="7">
        <f t="shared" si="5"/>
        <v>2260</v>
      </c>
      <c r="C294" s="7" cm="1">
        <f t="array" ref="C294">INDEX(GMWQ!$A$2:$LR$60,MATCH(1,(GMWQ!$LQ$2:$LQ$60=C$3)*(GMWQ!$LP$2:$LP$60=C$4)*(GMWQ!$LR$2:$LR$60=C$1),0),$B294-1966)</f>
        <v>783386.3</v>
      </c>
      <c r="D294" s="7" cm="1">
        <f t="array" ref="D294">INDEX(GMWQ!$A$2:$LR$60,MATCH(1,(GMWQ!$LQ$2:$LQ$60=D$3)*(GMWQ!$LP$2:$LP$60=D$4)*(GMWQ!$LR$2:$LR$60=D$1),0),$B294-1966)</f>
        <v>1245.8879999999999</v>
      </c>
      <c r="E294" s="7" cm="1">
        <f t="array" ref="E294">INDEX(GMWQ!$A$2:$LR$60,MATCH(1,(GMWQ!$LQ$2:$LQ$60=E$3)*(GMWQ!$LP$2:$LP$60=E$4)*(GMWQ!$LR$2:$LR$60=E$1),0),$B294-1966)</f>
        <v>200.71459999999999</v>
      </c>
      <c r="F294" s="7" cm="1">
        <f t="array" ref="F294">INDEX(GMWQ!$A$2:$LR$60,MATCH(1,(GMWQ!$LQ$2:$LQ$60=F$3)*(GMWQ!$LP$2:$LP$60=F$4)*(GMWQ!$LR$2:$LR$60=F$1),0),$B294-1966)</f>
        <v>587193.30000000005</v>
      </c>
      <c r="G294" s="7" cm="1">
        <f t="array" ref="G294">INDEX(GMWQ!$A$2:$LR$60,MATCH(1,(GMWQ!$LQ$2:$LQ$60=G$3)*(GMWQ!$LP$2:$LP$60=G$4)*(GMWQ!$LR$2:$LR$60=G$1),0),$B294-1966)</f>
        <v>175131.1</v>
      </c>
      <c r="H294" s="7" cm="1">
        <f t="array" ref="H294">INDEX(GMWQ!$A$2:$LR$60,MATCH(1,(GMWQ!$LQ$2:$LQ$60=H$3)*(GMWQ!$LP$2:$LP$60=H$4)*(GMWQ!$LR$2:$LR$60=H$1),0),$B294-1966)</f>
        <v>39488.75</v>
      </c>
      <c r="I294" s="7" cm="1">
        <f t="array" ref="I294">INDEX(GMWQ!$A$2:$LR$60,MATCH(1,(GMWQ!$LQ$2:$LQ$60=I$3)*(GMWQ!$LP$2:$LP$60=I$4)*(GMWQ!$LR$2:$LR$60=I$1),0),$B294-1966)</f>
        <v>182.9179</v>
      </c>
      <c r="J294" s="7" cm="1">
        <f t="array" ref="J294">INDEX(GMWQ!$A$2:$LR$60,MATCH(1,(GMWQ!$LQ$2:$LQ$60=J$3)*(GMWQ!$LP$2:$LP$60=J$4)*(GMWQ!$LR$2:$LR$60=J$1),0),$B294-1966)</f>
        <v>32410.19</v>
      </c>
      <c r="K294" s="7" cm="1">
        <f t="array" ref="K294">INDEX(GMWQ!$A$2:$LR$60,MATCH(1,(GMWQ!$LQ$2:$LQ$60=K$3)*(GMWQ!$LP$2:$LP$60=K$4)*(GMWQ!$LR$2:$LR$60=K$1),0),$B294-1966)</f>
        <v>2</v>
      </c>
      <c r="L294" s="7" cm="1">
        <f t="array" ref="L294">INDEX(GMWQ!$A$2:$LR$60,MATCH(1,(GMWQ!$LQ$2:$LQ$60=L$3)*(GMWQ!$LP$2:$LP$60=L$4)*(GMWQ!$LR$2:$LR$60=L$1),0),$B294-1966)</f>
        <v>3.7500070000000001</v>
      </c>
      <c r="M294" s="7" cm="1">
        <f t="array" ref="M294">INDEX(GMWQ!$A$2:$LR$60,MATCH(1,(GMWQ!$LQ$2:$LQ$60=M$3)*(GMWQ!$LP$2:$LP$60=M$4)*(GMWQ!$LR$2:$LR$60=M$1),0),$B294-1966)</f>
        <v>286.20620000000002</v>
      </c>
      <c r="N294" s="7" cm="1">
        <f t="array" ref="N294">INDEX(GMWQ!$A$2:$LR$60,MATCH(1,(GMWQ!$LQ$2:$LQ$60=N$3)*(GMWQ!$LP$2:$LP$60=N$4)*(GMWQ!$LR$2:$LR$60=N$1),0),$B294-1966)</f>
        <v>42275</v>
      </c>
      <c r="O294" s="7" cm="1">
        <f t="array" ref="O294">INDEX(GMWQ!$A$2:$LR$60,MATCH(1,(GMWQ!$LQ$2:$LQ$60=O$3)*(GMWQ!$LP$2:$LP$60=O$4)*(GMWQ!$LR$2:$LR$60=O$1),0),$B294-1966)</f>
        <v>24080.560000000001</v>
      </c>
      <c r="P294" s="7" cm="1">
        <f t="array" ref="P294">INDEX(GMWQ!$A$2:$LR$60,MATCH(1,(GMWQ!$LQ$2:$LQ$60=P$3)*(GMWQ!$LP$2:$LP$60=P$4)*(GMWQ!$LR$2:$LR$60=P$1),0),$B294-1966)</f>
        <v>932292.3</v>
      </c>
      <c r="Q294" s="7" cm="1">
        <f t="array" ref="Q294">INDEX(GMWQ!$A$2:$LR$60,MATCH(1,(GMWQ!$LQ$2:$LQ$60=Q$3)*(GMWQ!$LP$2:$LP$60=Q$4)*(GMWQ!$LR$2:$LR$60=Q$1),0),$B294-1966)</f>
        <v>3.5</v>
      </c>
      <c r="R294" s="7" cm="1">
        <f t="array" ref="R294">INDEX(GMWQ!$A$2:$LR$60,MATCH(1,(GMWQ!$LQ$2:$LQ$60=R$3)*(GMWQ!$LP$2:$LP$60=R$4)*(GMWQ!$LR$2:$LR$60=R$1),0),$B294-1966)</f>
        <v>256482.8</v>
      </c>
      <c r="S294" s="7" cm="1">
        <f t="array" ref="S294">INDEX(GMWQ!$A$2:$LR$60,MATCH(1,(GMWQ!$LQ$2:$LQ$60=S$3)*(GMWQ!$LP$2:$LP$60=S$4)*(GMWQ!$LR$2:$LR$60=S$1),0),$B294-1966)</f>
        <v>382.61219999999997</v>
      </c>
      <c r="T294" s="7" cm="1">
        <f t="array" ref="T294">INDEX(GMWQ!$A$2:$LR$60,MATCH(1,(GMWQ!$LQ$2:$LQ$60=T$3)*(GMWQ!$LP$2:$LP$60=T$4)*(GMWQ!$LR$2:$LR$60=T$1),0),$B294-1966)</f>
        <v>147302.29999999999</v>
      </c>
      <c r="U294" s="7" cm="1">
        <f t="array" ref="U294">INDEX(GMWQ!$A$2:$LR$60,MATCH(1,(GMWQ!$LQ$2:$LQ$60=U$3)*(GMWQ!$LP$2:$LP$60=U$4)*(GMWQ!$LR$2:$LR$60=U$1),0),$B294-1966)</f>
        <v>16825.71</v>
      </c>
      <c r="V294" s="7" cm="1">
        <f t="array" ref="V294">INDEX(GMWQ!$A$2:$LR$60,MATCH(1,(GMWQ!$LQ$2:$LQ$60=V$3)*(GMWQ!$LP$2:$LP$60=V$4)*(GMWQ!$LR$2:$LR$60=V$1),0),$B294-1966)</f>
        <v>1.354039E-3</v>
      </c>
      <c r="W294" s="7" cm="1">
        <f t="array" ref="W294">INDEX(GMWQ!$A$2:$LR$60,MATCH(1,(GMWQ!$LQ$2:$LQ$60=W$3)*(GMWQ!$LP$2:$LP$60=W$4)*(GMWQ!$LR$2:$LR$60=W$1),0),$B294-1966)</f>
        <v>9.3048230000000007</v>
      </c>
      <c r="X294" s="7" cm="1">
        <f t="array" ref="X294">INDEX(GMWQ!$A$2:$LR$60,MATCH(1,(GMWQ!$LQ$2:$LQ$60=X$3)*(GMWQ!$LP$2:$LP$60=X$4)*(GMWQ!$LR$2:$LR$60=X$1),0),$B294-1966)</f>
        <v>13308490</v>
      </c>
      <c r="Y294" s="7" cm="1">
        <f t="array" ref="Y294">INDEX(GMWQ!$A$2:$LR$60,MATCH(1,(GMWQ!$LQ$2:$LQ$60=Y$3)*(GMWQ!$LP$2:$LP$60=Y$4)*(GMWQ!$LR$2:$LR$60=Y$1),0),$B294-1966)</f>
        <v>186.53980000000001</v>
      </c>
      <c r="Z294" s="7" cm="1">
        <f t="array" ref="Z294">INDEX(GMWQ!$A$2:$LR$60,MATCH(1,(GMWQ!$LQ$2:$LQ$60=Z$3)*(GMWQ!$LP$2:$LP$60=Z$4)*(GMWQ!$LR$2:$LR$60=Z$1),0),$B294-1966)</f>
        <v>783385.8</v>
      </c>
      <c r="AA294" s="7" cm="1">
        <f t="array" ref="AA294">INDEX(GMWQ!$A$2:$LR$60,MATCH(1,(GMWQ!$LQ$2:$LQ$60=AA$3)*(GMWQ!$LP$2:$LP$60=AA$4)*(GMWQ!$LR$2:$LR$60=AA$1),0),$B294-1966)</f>
        <v>586918.69999999995</v>
      </c>
      <c r="AB294" s="7" cm="1">
        <f t="array" ref="AB294">INDEX(GMWQ!$A$2:$LR$60,MATCH(1,(GMWQ!$LQ$2:$LQ$60=AB$3)*(GMWQ!$LP$2:$LP$60=AB$4)*(GMWQ!$LR$2:$LR$60=AB$1),0),$B294-1966)</f>
        <v>565539.4</v>
      </c>
      <c r="AC294" s="7" cm="1">
        <f t="array" ref="AC294">INDEX(GMWQ!$A$2:$LR$60,MATCH(1,(GMWQ!$LQ$2:$LQ$60=AC$3)*(GMWQ!$LP$2:$LP$60=AC$4)*(GMWQ!$LR$2:$LR$60=AC$1),0),$B294-1966)</f>
        <v>22451.18</v>
      </c>
      <c r="AD294" s="7" cm="1">
        <f t="array" ref="AD294">INDEX(GMWQ!$A$2:$LR$60,MATCH(1,(GMWQ!$LQ$2:$LQ$60=AD$3)*(GMWQ!$LP$2:$LP$60=AD$4)*(GMWQ!$LR$2:$LR$60=AD$1),0),$B294-1966)</f>
        <v>31934.99</v>
      </c>
      <c r="AE294" s="7" cm="1">
        <f t="array" ref="AE294">INDEX(GMWQ!$A$2:$LR$60,MATCH(1,(GMWQ!$LQ$2:$LQ$60=AE$3)*(GMWQ!$LP$2:$LP$60=AE$4)*(GMWQ!$LR$2:$LR$60=AE$1),0),$B294-1966)</f>
        <v>1461327</v>
      </c>
      <c r="AF294" s="20" cm="1">
        <f t="array" ref="AF294">INDEX(GMWQ!$A$2:$LR$60,MATCH(1,(GMWQ!$LQ$2:$LQ$60=AF$3)*(GMWQ!$LP$2:$LP$60=AF$4)*(GMWQ!$LR$2:$LR$60=AF$1),0),$B294-1966)</f>
        <v>2</v>
      </c>
      <c r="AG294" s="20" cm="1">
        <f t="array" ref="AG294">INDEX(GMWQ!$A$2:$LR$60,MATCH(1,(GMWQ!$LQ$2:$LQ$60=AG$3)*(GMWQ!$LP$2:$LP$60=AG$4)*(GMWQ!$LR$2:$LR$60=AG$1),0),$B294-1966)</f>
        <v>-18194.439999999999</v>
      </c>
      <c r="AI294" s="23" cm="1">
        <f t="array" ref="AI294">INDEX(GMWQ!$A$2:$LR$60,MATCH(1,(GMWQ!$LQ$2:$LQ$60=AI$3)*(GMWQ!$LP$2:$LP$60=AI$4)*(GMWQ!$LR$2:$LR$60=AI$1),0),$B294-1966)</f>
        <v>932292.3</v>
      </c>
      <c r="AJ294" s="23" cm="1">
        <f t="array" ref="AJ294">INDEX(GMWQ!$A$2:$LR$60,MATCH(1,(GMWQ!$LQ$2:$LQ$60=AJ$3)*(GMWQ!$LP$2:$LP$60=AJ$4)*(GMWQ!$LR$2:$LR$60=AJ$1),0),$B294-1966)</f>
        <v>182.9179</v>
      </c>
      <c r="AK294" s="23" cm="1">
        <f t="array" ref="AK294">INDEX(GMWQ!$A$2:$LR$60,MATCH(1,(GMWQ!$LQ$2:$LQ$60=AK$3)*(GMWQ!$LP$2:$LP$60=AK$4)*(GMWQ!$LR$2:$LR$60=AK$1),0),$B294-1966)</f>
        <v>587193.30000000005</v>
      </c>
      <c r="AL294" s="23" cm="1">
        <f t="array" ref="AL294">INDEX(GMWQ!$A$2:$LR$60,MATCH(1,(GMWQ!$LQ$2:$LQ$60=AL$3)*(GMWQ!$LP$2:$LP$60=AL$4)*(GMWQ!$LR$2:$LR$60=AL$1),0),$B294-1966)</f>
        <v>18117.55</v>
      </c>
      <c r="AM294" s="23" cm="1">
        <f t="array" ref="AM294">INDEX(GMWQ!$A$2:$LR$60,MATCH(1,(GMWQ!$LQ$2:$LQ$60=AM$3)*(GMWQ!$LP$2:$LP$60=AM$4)*(GMWQ!$LR$2:$LR$60=AM$1),0),$B294-1966)</f>
        <v>32410.19</v>
      </c>
      <c r="AN294" s="23" cm="1">
        <f t="array" ref="AN294">INDEX(GMWQ!$A$2:$LR$60,MATCH(1,(GMWQ!$LQ$2:$LQ$60=AN$3)*(GMWQ!$LP$2:$LP$60=AN$4)*(GMWQ!$LR$2:$LR$60=AN$1),0),$B294-1966)</f>
        <v>175131.1</v>
      </c>
      <c r="AO294" s="23" cm="1">
        <f t="array" ref="AO294">INDEX(GMWQ!$A$2:$LR$60,MATCH(1,(GMWQ!$LQ$2:$LQ$60=AO$3)*(GMWQ!$LP$2:$LP$60=AO$4)*(GMWQ!$LR$2:$LR$60=AO$1),0),$B294-1966)</f>
        <v>39488.75</v>
      </c>
      <c r="AP294" s="23" cm="1">
        <f t="array" ref="AP294">INDEX(GMWQ!$A$2:$LR$60,MATCH(1,(GMWQ!$LQ$2:$LQ$60=AP$3)*(GMWQ!$LP$2:$LP$60=AP$4)*(GMWQ!$LR$2:$LR$60=AP$1),0),$B294-1966)</f>
        <v>-18194.439999999999</v>
      </c>
      <c r="AQ294" s="23" cm="1">
        <f t="array" ref="AQ294">INDEX(GMWQ!$A$2:$LR$60,MATCH(1,(GMWQ!$LQ$2:$LQ$60=AQ$3)*(GMWQ!$LP$2:$LP$60=AQ$4)*(GMWQ!$LR$2:$LR$60=AQ$1),0),$B294-1966)</f>
        <v>204291.20000000001</v>
      </c>
      <c r="AR294" s="23" cm="1">
        <f t="array" ref="AR294">INDEX(GMWQ!$A$2:$LR$60,MATCH(1,(GMWQ!$LQ$2:$LQ$60=AR$3)*(GMWQ!$LP$2:$LP$60=AR$4)*(GMWQ!$LR$2:$LR$60=AR$1),0),$B294-1966)</f>
        <v>860498.9</v>
      </c>
      <c r="AS294" s="23" cm="1">
        <f t="array" ref="AS294">INDEX(GMWQ!$A$2:$LR$60,MATCH(1,(GMWQ!$LQ$2:$LQ$60=AS$3)*(GMWQ!$LP$2:$LP$60=AS$4)*(GMWQ!$LR$2:$LR$60=AS$1),0),$B294-1966)</f>
        <v>29587.46</v>
      </c>
      <c r="AT294" s="23" cm="1">
        <f t="array" ref="AT294">INDEX(GMWQ!$A$2:$LR$60,MATCH(1,(GMWQ!$LQ$2:$LQ$60=AT$3)*(GMWQ!$LP$2:$LP$60=AT$4)*(GMWQ!$LR$2:$LR$60=AT$1),0),$B294-1966)</f>
        <v>470429.1</v>
      </c>
      <c r="AU294" s="23" cm="1">
        <f t="array" ref="AU294">INDEX(GMWQ!$A$2:$LR$60,MATCH(1,(GMWQ!$LQ$2:$LQ$60=AU$3)*(GMWQ!$LP$2:$LP$60=AU$4)*(GMWQ!$LR$2:$LR$60=AU$1),0),$B294-1966)</f>
        <v>16742.79</v>
      </c>
    </row>
    <row r="295" spans="1:47" x14ac:dyDescent="0.35">
      <c r="A295" s="7">
        <v>2045</v>
      </c>
      <c r="B295" s="7">
        <f t="shared" si="5"/>
        <v>2261</v>
      </c>
      <c r="C295" s="7" cm="1">
        <f t="array" ref="C295">INDEX(GMWQ!$A$2:$LR$60,MATCH(1,(GMWQ!$LQ$2:$LQ$60=C$3)*(GMWQ!$LP$2:$LP$60=C$4)*(GMWQ!$LR$2:$LR$60=C$1),0),$B295-1966)</f>
        <v>786315.9</v>
      </c>
      <c r="D295" s="7" cm="1">
        <f t="array" ref="D295">INDEX(GMWQ!$A$2:$LR$60,MATCH(1,(GMWQ!$LQ$2:$LQ$60=D$3)*(GMWQ!$LP$2:$LP$60=D$4)*(GMWQ!$LR$2:$LR$60=D$1),0),$B295-1966)</f>
        <v>1255.6759999999999</v>
      </c>
      <c r="E295" s="7" cm="1">
        <f t="array" ref="E295">INDEX(GMWQ!$A$2:$LR$60,MATCH(1,(GMWQ!$LQ$2:$LQ$60=E$3)*(GMWQ!$LP$2:$LP$60=E$4)*(GMWQ!$LR$2:$LR$60=E$1),0),$B295-1966)</f>
        <v>200.92500000000001</v>
      </c>
      <c r="F295" s="7" cm="1">
        <f t="array" ref="F295">INDEX(GMWQ!$A$2:$LR$60,MATCH(1,(GMWQ!$LQ$2:$LQ$60=F$3)*(GMWQ!$LP$2:$LP$60=F$4)*(GMWQ!$LR$2:$LR$60=F$1),0),$B295-1966)</f>
        <v>592345.59999999998</v>
      </c>
      <c r="G295" s="7" cm="1">
        <f t="array" ref="G295">INDEX(GMWQ!$A$2:$LR$60,MATCH(1,(GMWQ!$LQ$2:$LQ$60=G$3)*(GMWQ!$LP$2:$LP$60=G$4)*(GMWQ!$LR$2:$LR$60=G$1),0),$B295-1966)</f>
        <v>176869.7</v>
      </c>
      <c r="H295" s="7" cm="1">
        <f t="array" ref="H295">INDEX(GMWQ!$A$2:$LR$60,MATCH(1,(GMWQ!$LQ$2:$LQ$60=H$3)*(GMWQ!$LP$2:$LP$60=H$4)*(GMWQ!$LR$2:$LR$60=H$1),0),$B295-1966)</f>
        <v>39835.24</v>
      </c>
      <c r="I295" s="7" cm="1">
        <f t="array" ref="I295">INDEX(GMWQ!$A$2:$LR$60,MATCH(1,(GMWQ!$LQ$2:$LQ$60=I$3)*(GMWQ!$LP$2:$LP$60=I$4)*(GMWQ!$LR$2:$LR$60=I$1),0),$B295-1966)</f>
        <v>183.82560000000001</v>
      </c>
      <c r="J295" s="7" cm="1">
        <f t="array" ref="J295">INDEX(GMWQ!$A$2:$LR$60,MATCH(1,(GMWQ!$LQ$2:$LQ$60=J$3)*(GMWQ!$LP$2:$LP$60=J$4)*(GMWQ!$LR$2:$LR$60=J$1),0),$B295-1966)</f>
        <v>32439.73</v>
      </c>
      <c r="K295" s="7" cm="1">
        <f t="array" ref="K295">INDEX(GMWQ!$A$2:$LR$60,MATCH(1,(GMWQ!$LQ$2:$LQ$60=K$3)*(GMWQ!$LP$2:$LP$60=K$4)*(GMWQ!$LR$2:$LR$60=K$1),0),$B295-1966)</f>
        <v>2</v>
      </c>
      <c r="L295" s="7" cm="1">
        <f t="array" ref="L295">INDEX(GMWQ!$A$2:$LR$60,MATCH(1,(GMWQ!$LQ$2:$LQ$60=L$3)*(GMWQ!$LP$2:$LP$60=L$4)*(GMWQ!$LR$2:$LR$60=L$1),0),$B295-1966)</f>
        <v>3.750006</v>
      </c>
      <c r="M295" s="7" cm="1">
        <f t="array" ref="M295">INDEX(GMWQ!$A$2:$LR$60,MATCH(1,(GMWQ!$LQ$2:$LQ$60=M$3)*(GMWQ!$LP$2:$LP$60=M$4)*(GMWQ!$LR$2:$LR$60=M$1),0),$B295-1966)</f>
        <v>288.70870000000002</v>
      </c>
      <c r="N295" s="7" cm="1">
        <f t="array" ref="N295">INDEX(GMWQ!$A$2:$LR$60,MATCH(1,(GMWQ!$LQ$2:$LQ$60=N$3)*(GMWQ!$LP$2:$LP$60=N$4)*(GMWQ!$LR$2:$LR$60=N$1),0),$B295-1966)</f>
        <v>42590.89</v>
      </c>
      <c r="O295" s="7" cm="1">
        <f t="array" ref="O295">INDEX(GMWQ!$A$2:$LR$60,MATCH(1,(GMWQ!$LQ$2:$LQ$60=O$3)*(GMWQ!$LP$2:$LP$60=O$4)*(GMWQ!$LR$2:$LR$60=O$1),0),$B295-1966)</f>
        <v>24268.17</v>
      </c>
      <c r="P295" s="7" cm="1">
        <f t="array" ref="P295">INDEX(GMWQ!$A$2:$LR$60,MATCH(1,(GMWQ!$LQ$2:$LQ$60=P$3)*(GMWQ!$LP$2:$LP$60=P$4)*(GMWQ!$LR$2:$LR$60=P$1),0),$B295-1966)</f>
        <v>940439.8</v>
      </c>
      <c r="Q295" s="7" cm="1">
        <f t="array" ref="Q295">INDEX(GMWQ!$A$2:$LR$60,MATCH(1,(GMWQ!$LQ$2:$LQ$60=Q$3)*(GMWQ!$LP$2:$LP$60=Q$4)*(GMWQ!$LR$2:$LR$60=Q$1),0),$B295-1966)</f>
        <v>3.5</v>
      </c>
      <c r="R295" s="7" cm="1">
        <f t="array" ref="R295">INDEX(GMWQ!$A$2:$LR$60,MATCH(1,(GMWQ!$LQ$2:$LQ$60=R$3)*(GMWQ!$LP$2:$LP$60=R$4)*(GMWQ!$LR$2:$LR$60=R$1),0),$B295-1966)</f>
        <v>256480.6</v>
      </c>
      <c r="S295" s="7" cm="1">
        <f t="array" ref="S295">INDEX(GMWQ!$A$2:$LR$60,MATCH(1,(GMWQ!$LQ$2:$LQ$60=S$3)*(GMWQ!$LP$2:$LP$60=S$4)*(GMWQ!$LR$2:$LR$60=S$1),0),$B295-1966)</f>
        <v>382.60890000000001</v>
      </c>
      <c r="T295" s="7" cm="1">
        <f t="array" ref="T295">INDEX(GMWQ!$A$2:$LR$60,MATCH(1,(GMWQ!$LQ$2:$LQ$60=T$3)*(GMWQ!$LP$2:$LP$60=T$4)*(GMWQ!$LR$2:$LR$60=T$1),0),$B295-1966)</f>
        <v>147867.79999999999</v>
      </c>
      <c r="U295" s="7" cm="1">
        <f t="array" ref="U295">INDEX(GMWQ!$A$2:$LR$60,MATCH(1,(GMWQ!$LQ$2:$LQ$60=U$3)*(GMWQ!$LP$2:$LP$60=U$4)*(GMWQ!$LR$2:$LR$60=U$1),0),$B295-1966)</f>
        <v>16740.560000000001</v>
      </c>
      <c r="V295" s="7" cm="1">
        <f t="array" ref="V295">INDEX(GMWQ!$A$2:$LR$60,MATCH(1,(GMWQ!$LQ$2:$LQ$60=V$3)*(GMWQ!$LP$2:$LP$60=V$4)*(GMWQ!$LR$2:$LR$60=V$1),0),$B295-1966)</f>
        <v>1.35352E-3</v>
      </c>
      <c r="W295" s="7" cm="1">
        <f t="array" ref="W295">INDEX(GMWQ!$A$2:$LR$60,MATCH(1,(GMWQ!$LQ$2:$LQ$60=W$3)*(GMWQ!$LP$2:$LP$60=W$4)*(GMWQ!$LR$2:$LR$60=W$1),0),$B295-1966)</f>
        <v>9.2543249999999997</v>
      </c>
      <c r="X295" s="7" cm="1">
        <f t="array" ref="X295">INDEX(GMWQ!$A$2:$LR$60,MATCH(1,(GMWQ!$LQ$2:$LQ$60=X$3)*(GMWQ!$LP$2:$LP$60=X$4)*(GMWQ!$LR$2:$LR$60=X$1),0),$B295-1966)</f>
        <v>13499400</v>
      </c>
      <c r="Y295" s="7" cm="1">
        <f t="array" ref="Y295">INDEX(GMWQ!$A$2:$LR$60,MATCH(1,(GMWQ!$LQ$2:$LQ$60=Y$3)*(GMWQ!$LP$2:$LP$60=Y$4)*(GMWQ!$LR$2:$LR$60=Y$1),0),$B295-1966)</f>
        <v>187.55179999999999</v>
      </c>
      <c r="Z295" s="7" cm="1">
        <f t="array" ref="Z295">INDEX(GMWQ!$A$2:$LR$60,MATCH(1,(GMWQ!$LQ$2:$LQ$60=Z$3)*(GMWQ!$LP$2:$LP$60=Z$4)*(GMWQ!$LR$2:$LR$60=Z$1),0),$B295-1966)</f>
        <v>786316.9</v>
      </c>
      <c r="AA295" s="7" cm="1">
        <f t="array" ref="AA295">INDEX(GMWQ!$A$2:$LR$60,MATCH(1,(GMWQ!$LQ$2:$LQ$60=AA$3)*(GMWQ!$LP$2:$LP$60=AA$4)*(GMWQ!$LR$2:$LR$60=AA$1),0),$B295-1966)</f>
        <v>657612.9</v>
      </c>
      <c r="AB295" s="7" cm="1">
        <f t="array" ref="AB295">INDEX(GMWQ!$A$2:$LR$60,MATCH(1,(GMWQ!$LQ$2:$LQ$60=AB$3)*(GMWQ!$LP$2:$LP$60=AB$4)*(GMWQ!$LR$2:$LR$60=AB$1),0),$B295-1966)</f>
        <v>563913.19999999995</v>
      </c>
      <c r="AC295" s="7" cm="1">
        <f t="array" ref="AC295">INDEX(GMWQ!$A$2:$LR$60,MATCH(1,(GMWQ!$LQ$2:$LQ$60=AC$3)*(GMWQ!$LP$2:$LP$60=AC$4)*(GMWQ!$LR$2:$LR$60=AC$1),0),$B295-1966)</f>
        <v>39849.07</v>
      </c>
      <c r="AD295" s="7" cm="1">
        <f t="array" ref="AD295">INDEX(GMWQ!$A$2:$LR$60,MATCH(1,(GMWQ!$LQ$2:$LQ$60=AD$3)*(GMWQ!$LP$2:$LP$60=AD$4)*(GMWQ!$LR$2:$LR$60=AD$1),0),$B295-1966)</f>
        <v>31934.99</v>
      </c>
      <c r="AE295" s="7" cm="1">
        <f t="array" ref="AE295">INDEX(GMWQ!$A$2:$LR$60,MATCH(1,(GMWQ!$LQ$2:$LQ$60=AE$3)*(GMWQ!$LP$2:$LP$60=AE$4)*(GMWQ!$LR$2:$LR$60=AE$1),0),$B295-1966)</f>
        <v>1474750</v>
      </c>
      <c r="AF295" s="20" cm="1">
        <f t="array" ref="AF295">INDEX(GMWQ!$A$2:$LR$60,MATCH(1,(GMWQ!$LQ$2:$LQ$60=AF$3)*(GMWQ!$LP$2:$LP$60=AF$4)*(GMWQ!$LR$2:$LR$60=AF$1),0),$B295-1966)</f>
        <v>2</v>
      </c>
      <c r="AG295" s="20" cm="1">
        <f t="array" ref="AG295">INDEX(GMWQ!$A$2:$LR$60,MATCH(1,(GMWQ!$LQ$2:$LQ$60=AG$3)*(GMWQ!$LP$2:$LP$60=AG$4)*(GMWQ!$LR$2:$LR$60=AG$1),0),$B295-1966)</f>
        <v>-18322.72</v>
      </c>
      <c r="AI295" s="23" cm="1">
        <f t="array" ref="AI295">INDEX(GMWQ!$A$2:$LR$60,MATCH(1,(GMWQ!$LQ$2:$LQ$60=AI$3)*(GMWQ!$LP$2:$LP$60=AI$4)*(GMWQ!$LR$2:$LR$60=AI$1),0),$B295-1966)</f>
        <v>940439.8</v>
      </c>
      <c r="AJ295" s="23" cm="1">
        <f t="array" ref="AJ295">INDEX(GMWQ!$A$2:$LR$60,MATCH(1,(GMWQ!$LQ$2:$LQ$60=AJ$3)*(GMWQ!$LP$2:$LP$60=AJ$4)*(GMWQ!$LR$2:$LR$60=AJ$1),0),$B295-1966)</f>
        <v>183.82560000000001</v>
      </c>
      <c r="AK295" s="23" cm="1">
        <f t="array" ref="AK295">INDEX(GMWQ!$A$2:$LR$60,MATCH(1,(GMWQ!$LQ$2:$LQ$60=AK$3)*(GMWQ!$LP$2:$LP$60=AK$4)*(GMWQ!$LR$2:$LR$60=AK$1),0),$B295-1966)</f>
        <v>592345.59999999998</v>
      </c>
      <c r="AL295" s="23" cm="1">
        <f t="array" ref="AL295">INDEX(GMWQ!$A$2:$LR$60,MATCH(1,(GMWQ!$LQ$2:$LQ$60=AL$3)*(GMWQ!$LP$2:$LP$60=AL$4)*(GMWQ!$LR$2:$LR$60=AL$1),0),$B295-1966)</f>
        <v>18259.88</v>
      </c>
      <c r="AM295" s="23" cm="1">
        <f t="array" ref="AM295">INDEX(GMWQ!$A$2:$LR$60,MATCH(1,(GMWQ!$LQ$2:$LQ$60=AM$3)*(GMWQ!$LP$2:$LP$60=AM$4)*(GMWQ!$LR$2:$LR$60=AM$1),0),$B295-1966)</f>
        <v>32439.73</v>
      </c>
      <c r="AN295" s="23" cm="1">
        <f t="array" ref="AN295">INDEX(GMWQ!$A$2:$LR$60,MATCH(1,(GMWQ!$LQ$2:$LQ$60=AN$3)*(GMWQ!$LP$2:$LP$60=AN$4)*(GMWQ!$LR$2:$LR$60=AN$1),0),$B295-1966)</f>
        <v>176869.7</v>
      </c>
      <c r="AO295" s="23" cm="1">
        <f t="array" ref="AO295">INDEX(GMWQ!$A$2:$LR$60,MATCH(1,(GMWQ!$LQ$2:$LQ$60=AO$3)*(GMWQ!$LP$2:$LP$60=AO$4)*(GMWQ!$LR$2:$LR$60=AO$1),0),$B295-1966)</f>
        <v>39835.24</v>
      </c>
      <c r="AP295" s="23" cm="1">
        <f t="array" ref="AP295">INDEX(GMWQ!$A$2:$LR$60,MATCH(1,(GMWQ!$LQ$2:$LQ$60=AP$3)*(GMWQ!$LP$2:$LP$60=AP$4)*(GMWQ!$LR$2:$LR$60=AP$1),0),$B295-1966)</f>
        <v>-18322.72</v>
      </c>
      <c r="AQ295" s="23" cm="1">
        <f t="array" ref="AQ295">INDEX(GMWQ!$A$2:$LR$60,MATCH(1,(GMWQ!$LQ$2:$LQ$60=AQ$3)*(GMWQ!$LP$2:$LP$60=AQ$4)*(GMWQ!$LR$2:$LR$60=AQ$1),0),$B295-1966)</f>
        <v>206256</v>
      </c>
      <c r="AR295" s="23" cm="1">
        <f t="array" ref="AR295">INDEX(GMWQ!$A$2:$LR$60,MATCH(1,(GMWQ!$LQ$2:$LQ$60=AR$3)*(GMWQ!$LP$2:$LP$60=AR$4)*(GMWQ!$LR$2:$LR$60=AR$1),0),$B295-1966)</f>
        <v>868007.3</v>
      </c>
      <c r="AS295" s="23" cm="1">
        <f t="array" ref="AS295">INDEX(GMWQ!$A$2:$LR$60,MATCH(1,(GMWQ!$LQ$2:$LQ$60=AS$3)*(GMWQ!$LP$2:$LP$60=AS$4)*(GMWQ!$LR$2:$LR$60=AS$1),0),$B295-1966)</f>
        <v>29854.53</v>
      </c>
      <c r="AT295" s="23" cm="1">
        <f t="array" ref="AT295">INDEX(GMWQ!$A$2:$LR$60,MATCH(1,(GMWQ!$LQ$2:$LQ$60=AT$3)*(GMWQ!$LP$2:$LP$60=AT$4)*(GMWQ!$LR$2:$LR$60=AT$1),0),$B295-1966)</f>
        <v>472190.7</v>
      </c>
      <c r="AU295" s="23" cm="1">
        <f t="array" ref="AU295">INDEX(GMWQ!$A$2:$LR$60,MATCH(1,(GMWQ!$LQ$2:$LQ$60=AU$3)*(GMWQ!$LP$2:$LP$60=AU$4)*(GMWQ!$LR$2:$LR$60=AU$1),0),$B295-1966)</f>
        <v>16805.400000000001</v>
      </c>
    </row>
    <row r="296" spans="1:47" x14ac:dyDescent="0.35">
      <c r="B296" s="7">
        <f t="shared" si="5"/>
        <v>2262</v>
      </c>
      <c r="C296" s="7" cm="1">
        <f t="array" ref="C296">INDEX(GMWQ!$A$2:$LR$60,MATCH(1,(GMWQ!$LQ$2:$LQ$60=C$3)*(GMWQ!$LP$2:$LP$60=C$4)*(GMWQ!$LR$2:$LR$60=C$1),0),$B296-1966)</f>
        <v>789253.3</v>
      </c>
      <c r="D296" s="7" cm="1">
        <f t="array" ref="D296">INDEX(GMWQ!$A$2:$LR$60,MATCH(1,(GMWQ!$LQ$2:$LQ$60=D$3)*(GMWQ!$LP$2:$LP$60=D$4)*(GMWQ!$LR$2:$LR$60=D$1),0),$B296-1966)</f>
        <v>1265.5360000000001</v>
      </c>
      <c r="E296" s="7" cm="1">
        <f t="array" ref="E296">INDEX(GMWQ!$A$2:$LR$60,MATCH(1,(GMWQ!$LQ$2:$LQ$60=E$3)*(GMWQ!$LP$2:$LP$60=E$4)*(GMWQ!$LR$2:$LR$60=E$1),0),$B296-1966)</f>
        <v>202.7602</v>
      </c>
      <c r="F296" s="7" cm="1">
        <f t="array" ref="F296">INDEX(GMWQ!$A$2:$LR$60,MATCH(1,(GMWQ!$LQ$2:$LQ$60=F$3)*(GMWQ!$LP$2:$LP$60=F$4)*(GMWQ!$LR$2:$LR$60=F$1),0),$B296-1966)</f>
        <v>597540.9</v>
      </c>
      <c r="G296" s="7" cm="1">
        <f t="array" ref="G296">INDEX(GMWQ!$A$2:$LR$60,MATCH(1,(GMWQ!$LQ$2:$LQ$60=G$3)*(GMWQ!$LP$2:$LP$60=G$4)*(GMWQ!$LR$2:$LR$60=G$1),0),$B296-1966)</f>
        <v>178018.2</v>
      </c>
      <c r="H296" s="7" cm="1">
        <f t="array" ref="H296">INDEX(GMWQ!$A$2:$LR$60,MATCH(1,(GMWQ!$LQ$2:$LQ$60=H$3)*(GMWQ!$LP$2:$LP$60=H$4)*(GMWQ!$LR$2:$LR$60=H$1),0),$B296-1966)</f>
        <v>40184.629999999997</v>
      </c>
      <c r="I296" s="7" cm="1">
        <f t="array" ref="I296">INDEX(GMWQ!$A$2:$LR$60,MATCH(1,(GMWQ!$LQ$2:$LQ$60=I$3)*(GMWQ!$LP$2:$LP$60=I$4)*(GMWQ!$LR$2:$LR$60=I$1),0),$B296-1966)</f>
        <v>184.73769999999999</v>
      </c>
      <c r="J296" s="7" cm="1">
        <f t="array" ref="J296">INDEX(GMWQ!$A$2:$LR$60,MATCH(1,(GMWQ!$LQ$2:$LQ$60=J$3)*(GMWQ!$LP$2:$LP$60=J$4)*(GMWQ!$LR$2:$LR$60=J$1),0),$B296-1966)</f>
        <v>32469.279999999999</v>
      </c>
      <c r="K296" s="7" cm="1">
        <f t="array" ref="K296">INDEX(GMWQ!$A$2:$LR$60,MATCH(1,(GMWQ!$LQ$2:$LQ$60=K$3)*(GMWQ!$LP$2:$LP$60=K$4)*(GMWQ!$LR$2:$LR$60=K$1),0),$B296-1966)</f>
        <v>2</v>
      </c>
      <c r="L296" s="7" cm="1">
        <f t="array" ref="L296">INDEX(GMWQ!$A$2:$LR$60,MATCH(1,(GMWQ!$LQ$2:$LQ$60=L$3)*(GMWQ!$LP$2:$LP$60=L$4)*(GMWQ!$LR$2:$LR$60=L$1),0),$B296-1966)</f>
        <v>3.7499850000000001</v>
      </c>
      <c r="M296" s="7" cm="1">
        <f t="array" ref="M296">INDEX(GMWQ!$A$2:$LR$60,MATCH(1,(GMWQ!$LQ$2:$LQ$60=M$3)*(GMWQ!$LP$2:$LP$60=M$4)*(GMWQ!$LR$2:$LR$60=M$1),0),$B296-1966)</f>
        <v>291.23180000000002</v>
      </c>
      <c r="N296" s="7" cm="1">
        <f t="array" ref="N296">INDEX(GMWQ!$A$2:$LR$60,MATCH(1,(GMWQ!$LQ$2:$LQ$60=N$3)*(GMWQ!$LP$2:$LP$60=N$4)*(GMWQ!$LR$2:$LR$60=N$1),0),$B296-1966)</f>
        <v>42907.62</v>
      </c>
      <c r="O296" s="7" cm="1">
        <f t="array" ref="O296">INDEX(GMWQ!$A$2:$LR$60,MATCH(1,(GMWQ!$LQ$2:$LQ$60=O$3)*(GMWQ!$LP$2:$LP$60=O$4)*(GMWQ!$LR$2:$LR$60=O$1),0),$B296-1966)</f>
        <v>24436.26</v>
      </c>
      <c r="P296" s="7" cm="1">
        <f t="array" ref="P296">INDEX(GMWQ!$A$2:$LR$60,MATCH(1,(GMWQ!$LQ$2:$LQ$60=P$3)*(GMWQ!$LP$2:$LP$60=P$4)*(GMWQ!$LR$2:$LR$60=P$1),0),$B296-1966)</f>
        <v>948655.2</v>
      </c>
      <c r="Q296" s="7" cm="1">
        <f t="array" ref="Q296">INDEX(GMWQ!$A$2:$LR$60,MATCH(1,(GMWQ!$LQ$2:$LQ$60=Q$3)*(GMWQ!$LP$2:$LP$60=Q$4)*(GMWQ!$LR$2:$LR$60=Q$1),0),$B296-1966)</f>
        <v>3.5</v>
      </c>
      <c r="R296" s="7" cm="1">
        <f t="array" ref="R296">INDEX(GMWQ!$A$2:$LR$60,MATCH(1,(GMWQ!$LQ$2:$LQ$60=R$3)*(GMWQ!$LP$2:$LP$60=R$4)*(GMWQ!$LR$2:$LR$60=R$1),0),$B296-1966)</f>
        <v>256478.4</v>
      </c>
      <c r="S296" s="7" cm="1">
        <f t="array" ref="S296">INDEX(GMWQ!$A$2:$LR$60,MATCH(1,(GMWQ!$LQ$2:$LQ$60=S$3)*(GMWQ!$LP$2:$LP$60=S$4)*(GMWQ!$LR$2:$LR$60=S$1),0),$B296-1966)</f>
        <v>382.60570000000001</v>
      </c>
      <c r="T296" s="7" cm="1">
        <f t="array" ref="T296">INDEX(GMWQ!$A$2:$LR$60,MATCH(1,(GMWQ!$LQ$2:$LQ$60=T$3)*(GMWQ!$LP$2:$LP$60=T$4)*(GMWQ!$LR$2:$LR$60=T$1),0),$B296-1966)</f>
        <v>148434.79999999999</v>
      </c>
      <c r="U296" s="7" cm="1">
        <f t="array" ref="U296">INDEX(GMWQ!$A$2:$LR$60,MATCH(1,(GMWQ!$LQ$2:$LQ$60=U$3)*(GMWQ!$LP$2:$LP$60=U$4)*(GMWQ!$LR$2:$LR$60=U$1),0),$B296-1966)</f>
        <v>16660.22</v>
      </c>
      <c r="V296" s="7" cm="1">
        <f t="array" ref="V296">INDEX(GMWQ!$A$2:$LR$60,MATCH(1,(GMWQ!$LQ$2:$LQ$60=V$3)*(GMWQ!$LP$2:$LP$60=V$4)*(GMWQ!$LR$2:$LR$60=V$1),0),$B296-1966)</f>
        <v>1.35279E-3</v>
      </c>
      <c r="W296" s="7" cm="1">
        <f t="array" ref="W296">INDEX(GMWQ!$A$2:$LR$60,MATCH(1,(GMWQ!$LQ$2:$LQ$60=W$3)*(GMWQ!$LP$2:$LP$60=W$4)*(GMWQ!$LR$2:$LR$60=W$1),0),$B296-1966)</f>
        <v>9.329504</v>
      </c>
      <c r="X296" s="7" cm="1">
        <f t="array" ref="X296">INDEX(GMWQ!$A$2:$LR$60,MATCH(1,(GMWQ!$LQ$2:$LQ$60=X$3)*(GMWQ!$LP$2:$LP$60=X$4)*(GMWQ!$LR$2:$LR$60=X$1),0),$B296-1966)</f>
        <v>13660800</v>
      </c>
      <c r="Y296" s="7" cm="1">
        <f t="array" ref="Y296">INDEX(GMWQ!$A$2:$LR$60,MATCH(1,(GMWQ!$LQ$2:$LQ$60=Y$3)*(GMWQ!$LP$2:$LP$60=Y$4)*(GMWQ!$LR$2:$LR$60=Y$1),0),$B296-1966)</f>
        <v>188.5693</v>
      </c>
      <c r="Z296" s="7" cm="1">
        <f t="array" ref="Z296">INDEX(GMWQ!$A$2:$LR$60,MATCH(1,(GMWQ!$LQ$2:$LQ$60=Z$3)*(GMWQ!$LP$2:$LP$60=Z$4)*(GMWQ!$LR$2:$LR$60=Z$1),0),$B296-1966)</f>
        <v>789252.2</v>
      </c>
      <c r="AA296" s="7" cm="1">
        <f t="array" ref="AA296">INDEX(GMWQ!$A$2:$LR$60,MATCH(1,(GMWQ!$LQ$2:$LQ$60=AA$3)*(GMWQ!$LP$2:$LP$60=AA$4)*(GMWQ!$LR$2:$LR$60=AA$1),0),$B296-1966)</f>
        <v>604669.4</v>
      </c>
      <c r="AB296" s="7" cm="1">
        <f t="array" ref="AB296">INDEX(GMWQ!$A$2:$LR$60,MATCH(1,(GMWQ!$LQ$2:$LQ$60=AB$3)*(GMWQ!$LP$2:$LP$60=AB$4)*(GMWQ!$LR$2:$LR$60=AB$1),0),$B296-1966)</f>
        <v>576827.5</v>
      </c>
      <c r="AC296" s="7" cm="1">
        <f t="array" ref="AC296">INDEX(GMWQ!$A$2:$LR$60,MATCH(1,(GMWQ!$LQ$2:$LQ$60=AC$3)*(GMWQ!$LP$2:$LP$60=AC$4)*(GMWQ!$LR$2:$LR$60=AC$1),0),$B296-1966)</f>
        <v>19168.68</v>
      </c>
      <c r="AD296" s="7" cm="1">
        <f t="array" ref="AD296">INDEX(GMWQ!$A$2:$LR$60,MATCH(1,(GMWQ!$LQ$2:$LQ$60=AD$3)*(GMWQ!$LP$2:$LP$60=AD$4)*(GMWQ!$LR$2:$LR$60=AD$1),0),$B296-1966)</f>
        <v>33124.82</v>
      </c>
      <c r="AE296" s="7" cm="1">
        <f t="array" ref="AE296">INDEX(GMWQ!$A$2:$LR$60,MATCH(1,(GMWQ!$LQ$2:$LQ$60=AE$3)*(GMWQ!$LP$2:$LP$60=AE$4)*(GMWQ!$LR$2:$LR$60=AE$1),0),$B296-1966)</f>
        <v>1488289</v>
      </c>
      <c r="AF296" s="20" cm="1">
        <f t="array" ref="AF296">INDEX(GMWQ!$A$2:$LR$60,MATCH(1,(GMWQ!$LQ$2:$LQ$60=AF$3)*(GMWQ!$LP$2:$LP$60=AF$4)*(GMWQ!$LR$2:$LR$60=AF$1),0),$B296-1966)</f>
        <v>2</v>
      </c>
      <c r="AG296" s="20" cm="1">
        <f t="array" ref="AG296">INDEX(GMWQ!$A$2:$LR$60,MATCH(1,(GMWQ!$LQ$2:$LQ$60=AG$3)*(GMWQ!$LP$2:$LP$60=AG$4)*(GMWQ!$LR$2:$LR$60=AG$1),0),$B296-1966)</f>
        <v>-18471.36</v>
      </c>
      <c r="AI296" s="23" cm="1">
        <f t="array" ref="AI296">INDEX(GMWQ!$A$2:$LR$60,MATCH(1,(GMWQ!$LQ$2:$LQ$60=AI$3)*(GMWQ!$LP$2:$LP$60=AI$4)*(GMWQ!$LR$2:$LR$60=AI$1),0),$B296-1966)</f>
        <v>948655.2</v>
      </c>
      <c r="AJ296" s="23" cm="1">
        <f t="array" ref="AJ296">INDEX(GMWQ!$A$2:$LR$60,MATCH(1,(GMWQ!$LQ$2:$LQ$60=AJ$3)*(GMWQ!$LP$2:$LP$60=AJ$4)*(GMWQ!$LR$2:$LR$60=AJ$1),0),$B296-1966)</f>
        <v>184.73769999999999</v>
      </c>
      <c r="AK296" s="23" cm="1">
        <f t="array" ref="AK296">INDEX(GMWQ!$A$2:$LR$60,MATCH(1,(GMWQ!$LQ$2:$LQ$60=AK$3)*(GMWQ!$LP$2:$LP$60=AK$4)*(GMWQ!$LR$2:$LR$60=AK$1),0),$B296-1966)</f>
        <v>597540.9</v>
      </c>
      <c r="AL296" s="23" cm="1">
        <f t="array" ref="AL296">INDEX(GMWQ!$A$2:$LR$60,MATCH(1,(GMWQ!$LQ$2:$LQ$60=AL$3)*(GMWQ!$LP$2:$LP$60=AL$4)*(GMWQ!$LR$2:$LR$60=AL$1),0),$B296-1966)</f>
        <v>18403.27</v>
      </c>
      <c r="AM296" s="23" cm="1">
        <f t="array" ref="AM296">INDEX(GMWQ!$A$2:$LR$60,MATCH(1,(GMWQ!$LQ$2:$LQ$60=AM$3)*(GMWQ!$LP$2:$LP$60=AM$4)*(GMWQ!$LR$2:$LR$60=AM$1),0),$B296-1966)</f>
        <v>32469.279999999999</v>
      </c>
      <c r="AN296" s="23" cm="1">
        <f t="array" ref="AN296">INDEX(GMWQ!$A$2:$LR$60,MATCH(1,(GMWQ!$LQ$2:$LQ$60=AN$3)*(GMWQ!$LP$2:$LP$60=AN$4)*(GMWQ!$LR$2:$LR$60=AN$1),0),$B296-1966)</f>
        <v>178018.2</v>
      </c>
      <c r="AO296" s="23" cm="1">
        <f t="array" ref="AO296">INDEX(GMWQ!$A$2:$LR$60,MATCH(1,(GMWQ!$LQ$2:$LQ$60=AO$3)*(GMWQ!$LP$2:$LP$60=AO$4)*(GMWQ!$LR$2:$LR$60=AO$1),0),$B296-1966)</f>
        <v>40184.629999999997</v>
      </c>
      <c r="AP296" s="23" cm="1">
        <f t="array" ref="AP296">INDEX(GMWQ!$A$2:$LR$60,MATCH(1,(GMWQ!$LQ$2:$LQ$60=AP$3)*(GMWQ!$LP$2:$LP$60=AP$4)*(GMWQ!$LR$2:$LR$60=AP$1),0),$B296-1966)</f>
        <v>-18471.36</v>
      </c>
      <c r="AQ296" s="23" cm="1">
        <f t="array" ref="AQ296">INDEX(GMWQ!$A$2:$LR$60,MATCH(1,(GMWQ!$LQ$2:$LQ$60=AQ$3)*(GMWQ!$LP$2:$LP$60=AQ$4)*(GMWQ!$LR$2:$LR$60=AQ$1),0),$B296-1966)</f>
        <v>208235.9</v>
      </c>
      <c r="AR296" s="23" cm="1">
        <f t="array" ref="AR296">INDEX(GMWQ!$A$2:$LR$60,MATCH(1,(GMWQ!$LQ$2:$LQ$60=AR$3)*(GMWQ!$LP$2:$LP$60=AR$4)*(GMWQ!$LR$2:$LR$60=AR$1),0),$B296-1966)</f>
        <v>875577.3</v>
      </c>
      <c r="AS296" s="23" cm="1">
        <f t="array" ref="AS296">INDEX(GMWQ!$A$2:$LR$60,MATCH(1,(GMWQ!$LQ$2:$LQ$60=AS$3)*(GMWQ!$LP$2:$LP$60=AS$4)*(GMWQ!$LR$2:$LR$60=AS$1),0),$B296-1966)</f>
        <v>30123.79</v>
      </c>
      <c r="AT296" s="23" cm="1">
        <f t="array" ref="AT296">INDEX(GMWQ!$A$2:$LR$60,MATCH(1,(GMWQ!$LQ$2:$LQ$60=AT$3)*(GMWQ!$LP$2:$LP$60=AT$4)*(GMWQ!$LR$2:$LR$60=AT$1),0),$B296-1966)</f>
        <v>473957</v>
      </c>
      <c r="AU296" s="23" cm="1">
        <f t="array" ref="AU296">INDEX(GMWQ!$A$2:$LR$60,MATCH(1,(GMWQ!$LQ$2:$LQ$60=AU$3)*(GMWQ!$LP$2:$LP$60=AU$4)*(GMWQ!$LR$2:$LR$60=AU$1),0),$B296-1966)</f>
        <v>16868.18</v>
      </c>
    </row>
    <row r="297" spans="1:47" x14ac:dyDescent="0.35">
      <c r="B297" s="7">
        <f t="shared" si="5"/>
        <v>2263</v>
      </c>
      <c r="C297" s="7" cm="1">
        <f t="array" ref="C297">INDEX(GMWQ!$A$2:$LR$60,MATCH(1,(GMWQ!$LQ$2:$LQ$60=C$3)*(GMWQ!$LP$2:$LP$60=C$4)*(GMWQ!$LR$2:$LR$60=C$1),0),$B297-1966)</f>
        <v>792198.5</v>
      </c>
      <c r="D297" s="7" cm="1">
        <f t="array" ref="D297">INDEX(GMWQ!$A$2:$LR$60,MATCH(1,(GMWQ!$LQ$2:$LQ$60=D$3)*(GMWQ!$LP$2:$LP$60=D$4)*(GMWQ!$LR$2:$LR$60=D$1),0),$B297-1966)</f>
        <v>1275.4690000000001</v>
      </c>
      <c r="E297" s="7" cm="1">
        <f t="array" ref="E297">INDEX(GMWQ!$A$2:$LR$60,MATCH(1,(GMWQ!$LQ$2:$LQ$60=E$3)*(GMWQ!$LP$2:$LP$60=E$4)*(GMWQ!$LR$2:$LR$60=E$1),0),$B297-1966)</f>
        <v>203.86789999999999</v>
      </c>
      <c r="F297" s="7" cm="1">
        <f t="array" ref="F297">INDEX(GMWQ!$A$2:$LR$60,MATCH(1,(GMWQ!$LQ$2:$LQ$60=F$3)*(GMWQ!$LP$2:$LP$60=F$4)*(GMWQ!$LR$2:$LR$60=F$1),0),$B297-1966)</f>
        <v>602779.1</v>
      </c>
      <c r="G297" s="7" cm="1">
        <f t="array" ref="G297">INDEX(GMWQ!$A$2:$LR$60,MATCH(1,(GMWQ!$LQ$2:$LQ$60=G$3)*(GMWQ!$LP$2:$LP$60=G$4)*(GMWQ!$LR$2:$LR$60=G$1),0),$B297-1966)</f>
        <v>179784.9</v>
      </c>
      <c r="H297" s="7" cm="1">
        <f t="array" ref="H297">INDEX(GMWQ!$A$2:$LR$60,MATCH(1,(GMWQ!$LQ$2:$LQ$60=H$3)*(GMWQ!$LP$2:$LP$60=H$4)*(GMWQ!$LR$2:$LR$60=H$1),0),$B297-1966)</f>
        <v>40536.89</v>
      </c>
      <c r="I297" s="7" cm="1">
        <f t="array" ref="I297">INDEX(GMWQ!$A$2:$LR$60,MATCH(1,(GMWQ!$LQ$2:$LQ$60=I$3)*(GMWQ!$LP$2:$LP$60=I$4)*(GMWQ!$LR$2:$LR$60=I$1),0),$B297-1966)</f>
        <v>185.65440000000001</v>
      </c>
      <c r="J297" s="7" cm="1">
        <f t="array" ref="J297">INDEX(GMWQ!$A$2:$LR$60,MATCH(1,(GMWQ!$LQ$2:$LQ$60=J$3)*(GMWQ!$LP$2:$LP$60=J$4)*(GMWQ!$LR$2:$LR$60=J$1),0),$B297-1966)</f>
        <v>32498.82</v>
      </c>
      <c r="K297" s="7" cm="1">
        <f t="array" ref="K297">INDEX(GMWQ!$A$2:$LR$60,MATCH(1,(GMWQ!$LQ$2:$LQ$60=K$3)*(GMWQ!$LP$2:$LP$60=K$4)*(GMWQ!$LR$2:$LR$60=K$1),0),$B297-1966)</f>
        <v>2</v>
      </c>
      <c r="L297" s="7" cm="1">
        <f t="array" ref="L297">INDEX(GMWQ!$A$2:$LR$60,MATCH(1,(GMWQ!$LQ$2:$LQ$60=L$3)*(GMWQ!$LP$2:$LP$60=L$4)*(GMWQ!$LR$2:$LR$60=L$1),0),$B297-1966)</f>
        <v>3.750013</v>
      </c>
      <c r="M297" s="7" cm="1">
        <f t="array" ref="M297">INDEX(GMWQ!$A$2:$LR$60,MATCH(1,(GMWQ!$LQ$2:$LQ$60=M$3)*(GMWQ!$LP$2:$LP$60=M$4)*(GMWQ!$LR$2:$LR$60=M$1),0),$B297-1966)</f>
        <v>293.77589999999998</v>
      </c>
      <c r="N297" s="7" cm="1">
        <f t="array" ref="N297">INDEX(GMWQ!$A$2:$LR$60,MATCH(1,(GMWQ!$LQ$2:$LQ$60=N$3)*(GMWQ!$LP$2:$LP$60=N$4)*(GMWQ!$LR$2:$LR$60=N$1),0),$B297-1966)</f>
        <v>43225.21</v>
      </c>
      <c r="O297" s="7" cm="1">
        <f t="array" ref="O297">INDEX(GMWQ!$A$2:$LR$60,MATCH(1,(GMWQ!$LQ$2:$LQ$60=O$3)*(GMWQ!$LP$2:$LP$60=O$4)*(GMWQ!$LR$2:$LR$60=O$1),0),$B297-1966)</f>
        <v>24582.63</v>
      </c>
      <c r="P297" s="7" cm="1">
        <f t="array" ref="P297">INDEX(GMWQ!$A$2:$LR$60,MATCH(1,(GMWQ!$LQ$2:$LQ$60=P$3)*(GMWQ!$LP$2:$LP$60=P$4)*(GMWQ!$LR$2:$LR$60=P$1),0),$B297-1966)</f>
        <v>956937.9</v>
      </c>
      <c r="Q297" s="7" cm="1">
        <f t="array" ref="Q297">INDEX(GMWQ!$A$2:$LR$60,MATCH(1,(GMWQ!$LQ$2:$LQ$60=Q$3)*(GMWQ!$LP$2:$LP$60=Q$4)*(GMWQ!$LR$2:$LR$60=Q$1),0),$B297-1966)</f>
        <v>3.5</v>
      </c>
      <c r="R297" s="7" cm="1">
        <f t="array" ref="R297">INDEX(GMWQ!$A$2:$LR$60,MATCH(1,(GMWQ!$LQ$2:$LQ$60=R$3)*(GMWQ!$LP$2:$LP$60=R$4)*(GMWQ!$LR$2:$LR$60=R$1),0),$B297-1966)</f>
        <v>256476.2</v>
      </c>
      <c r="S297" s="7" cm="1">
        <f t="array" ref="S297">INDEX(GMWQ!$A$2:$LR$60,MATCH(1,(GMWQ!$LQ$2:$LQ$60=S$3)*(GMWQ!$LP$2:$LP$60=S$4)*(GMWQ!$LR$2:$LR$60=S$1),0),$B297-1966)</f>
        <v>382.60239999999999</v>
      </c>
      <c r="T297" s="7" cm="1">
        <f t="array" ref="T297">INDEX(GMWQ!$A$2:$LR$60,MATCH(1,(GMWQ!$LQ$2:$LQ$60=T$3)*(GMWQ!$LP$2:$LP$60=T$4)*(GMWQ!$LR$2:$LR$60=T$1),0),$B297-1966)</f>
        <v>149003.20000000001</v>
      </c>
      <c r="U297" s="7" cm="1">
        <f t="array" ref="U297">INDEX(GMWQ!$A$2:$LR$60,MATCH(1,(GMWQ!$LQ$2:$LQ$60=U$3)*(GMWQ!$LP$2:$LP$60=U$4)*(GMWQ!$LR$2:$LR$60=U$1),0),$B297-1966)</f>
        <v>16584.5</v>
      </c>
      <c r="V297" s="7" cm="1">
        <f t="array" ref="V297">INDEX(GMWQ!$A$2:$LR$60,MATCH(1,(GMWQ!$LQ$2:$LQ$60=V$3)*(GMWQ!$LP$2:$LP$60=V$4)*(GMWQ!$LR$2:$LR$60=V$1),0),$B297-1966)</f>
        <v>1.352076E-3</v>
      </c>
      <c r="W297" s="7" cm="1">
        <f t="array" ref="W297">INDEX(GMWQ!$A$2:$LR$60,MATCH(1,(GMWQ!$LQ$2:$LQ$60=W$3)*(GMWQ!$LP$2:$LP$60=W$4)*(GMWQ!$LR$2:$LR$60=W$1),0),$B297-1966)</f>
        <v>9.3233069999999998</v>
      </c>
      <c r="X297" s="7" cm="1">
        <f t="array" ref="X297">INDEX(GMWQ!$A$2:$LR$60,MATCH(1,(GMWQ!$LQ$2:$LQ$60=X$3)*(GMWQ!$LP$2:$LP$60=X$4)*(GMWQ!$LR$2:$LR$60=X$1),0),$B297-1966)</f>
        <v>13803150</v>
      </c>
      <c r="Y297" s="7" cm="1">
        <f t="array" ref="Y297">INDEX(GMWQ!$A$2:$LR$60,MATCH(1,(GMWQ!$LQ$2:$LQ$60=Y$3)*(GMWQ!$LP$2:$LP$60=Y$4)*(GMWQ!$LR$2:$LR$60=Y$1),0),$B297-1966)</f>
        <v>189.59229999999999</v>
      </c>
      <c r="Z297" s="7" cm="1">
        <f t="array" ref="Z297">INDEX(GMWQ!$A$2:$LR$60,MATCH(1,(GMWQ!$LQ$2:$LQ$60=Z$3)*(GMWQ!$LP$2:$LP$60=Z$4)*(GMWQ!$LR$2:$LR$60=Z$1),0),$B297-1966)</f>
        <v>792198.4</v>
      </c>
      <c r="AA297" s="7" cm="1">
        <f t="array" ref="AA297">INDEX(GMWQ!$A$2:$LR$60,MATCH(1,(GMWQ!$LQ$2:$LQ$60=AA$3)*(GMWQ!$LP$2:$LP$60=AA$4)*(GMWQ!$LR$2:$LR$60=AA$1),0),$B297-1966)</f>
        <v>625601.9</v>
      </c>
      <c r="AB297" s="7" cm="1">
        <f t="array" ref="AB297">INDEX(GMWQ!$A$2:$LR$60,MATCH(1,(GMWQ!$LQ$2:$LQ$60=AB$3)*(GMWQ!$LP$2:$LP$60=AB$4)*(GMWQ!$LR$2:$LR$60=AB$1),0),$B297-1966)</f>
        <v>581852.9</v>
      </c>
      <c r="AC297" s="7" cm="1">
        <f t="array" ref="AC297">INDEX(GMWQ!$A$2:$LR$60,MATCH(1,(GMWQ!$LQ$2:$LQ$60=AC$3)*(GMWQ!$LP$2:$LP$60=AC$4)*(GMWQ!$LR$2:$LR$60=AC$1),0),$B297-1966)</f>
        <v>21824.77</v>
      </c>
      <c r="AD297" s="7" cm="1">
        <f t="array" ref="AD297">INDEX(GMWQ!$A$2:$LR$60,MATCH(1,(GMWQ!$LQ$2:$LQ$60=AD$3)*(GMWQ!$LP$2:$LP$60=AD$4)*(GMWQ!$LR$2:$LR$60=AD$1),0),$B297-1966)</f>
        <v>33124.82</v>
      </c>
      <c r="AE297" s="7" cm="1">
        <f t="array" ref="AE297">INDEX(GMWQ!$A$2:$LR$60,MATCH(1,(GMWQ!$LQ$2:$LQ$60=AE$3)*(GMWQ!$LP$2:$LP$60=AE$4)*(GMWQ!$LR$2:$LR$60=AE$1),0),$B297-1966)</f>
        <v>1501947</v>
      </c>
      <c r="AF297" s="20" cm="1">
        <f t="array" ref="AF297">INDEX(GMWQ!$A$2:$LR$60,MATCH(1,(GMWQ!$LQ$2:$LQ$60=AF$3)*(GMWQ!$LP$2:$LP$60=AF$4)*(GMWQ!$LR$2:$LR$60=AF$1),0),$B297-1966)</f>
        <v>2</v>
      </c>
      <c r="AG297" s="20" cm="1">
        <f t="array" ref="AG297">INDEX(GMWQ!$A$2:$LR$60,MATCH(1,(GMWQ!$LQ$2:$LQ$60=AG$3)*(GMWQ!$LP$2:$LP$60=AG$4)*(GMWQ!$LR$2:$LR$60=AG$1),0),$B297-1966)</f>
        <v>-18642.580000000002</v>
      </c>
      <c r="AI297" s="23" cm="1">
        <f t="array" ref="AI297">INDEX(GMWQ!$A$2:$LR$60,MATCH(1,(GMWQ!$LQ$2:$LQ$60=AI$3)*(GMWQ!$LP$2:$LP$60=AI$4)*(GMWQ!$LR$2:$LR$60=AI$1),0),$B297-1966)</f>
        <v>956937.9</v>
      </c>
      <c r="AJ297" s="23" cm="1">
        <f t="array" ref="AJ297">INDEX(GMWQ!$A$2:$LR$60,MATCH(1,(GMWQ!$LQ$2:$LQ$60=AJ$3)*(GMWQ!$LP$2:$LP$60=AJ$4)*(GMWQ!$LR$2:$LR$60=AJ$1),0),$B297-1966)</f>
        <v>185.65440000000001</v>
      </c>
      <c r="AK297" s="23" cm="1">
        <f t="array" ref="AK297">INDEX(GMWQ!$A$2:$LR$60,MATCH(1,(GMWQ!$LQ$2:$LQ$60=AK$3)*(GMWQ!$LP$2:$LP$60=AK$4)*(GMWQ!$LR$2:$LR$60=AK$1),0),$B297-1966)</f>
        <v>602779.1</v>
      </c>
      <c r="AL297" s="23" cm="1">
        <f t="array" ref="AL297">INDEX(GMWQ!$A$2:$LR$60,MATCH(1,(GMWQ!$LQ$2:$LQ$60=AL$3)*(GMWQ!$LP$2:$LP$60=AL$4)*(GMWQ!$LR$2:$LR$60=AL$1),0),$B297-1966)</f>
        <v>18547.72</v>
      </c>
      <c r="AM297" s="23" cm="1">
        <f t="array" ref="AM297">INDEX(GMWQ!$A$2:$LR$60,MATCH(1,(GMWQ!$LQ$2:$LQ$60=AM$3)*(GMWQ!$LP$2:$LP$60=AM$4)*(GMWQ!$LR$2:$LR$60=AM$1),0),$B297-1966)</f>
        <v>32498.82</v>
      </c>
      <c r="AN297" s="23" cm="1">
        <f t="array" ref="AN297">INDEX(GMWQ!$A$2:$LR$60,MATCH(1,(GMWQ!$LQ$2:$LQ$60=AN$3)*(GMWQ!$LP$2:$LP$60=AN$4)*(GMWQ!$LR$2:$LR$60=AN$1),0),$B297-1966)</f>
        <v>179784.9</v>
      </c>
      <c r="AO297" s="23" cm="1">
        <f t="array" ref="AO297">INDEX(GMWQ!$A$2:$LR$60,MATCH(1,(GMWQ!$LQ$2:$LQ$60=AO$3)*(GMWQ!$LP$2:$LP$60=AO$4)*(GMWQ!$LR$2:$LR$60=AO$1),0),$B297-1966)</f>
        <v>40536.89</v>
      </c>
      <c r="AP297" s="23" cm="1">
        <f t="array" ref="AP297">INDEX(GMWQ!$A$2:$LR$60,MATCH(1,(GMWQ!$LQ$2:$LQ$60=AP$3)*(GMWQ!$LP$2:$LP$60=AP$4)*(GMWQ!$LR$2:$LR$60=AP$1),0),$B297-1966)</f>
        <v>-18642.580000000002</v>
      </c>
      <c r="AQ297" s="23" cm="1">
        <f t="array" ref="AQ297">INDEX(GMWQ!$A$2:$LR$60,MATCH(1,(GMWQ!$LQ$2:$LQ$60=AQ$3)*(GMWQ!$LP$2:$LP$60=AQ$4)*(GMWQ!$LR$2:$LR$60=AQ$1),0),$B297-1966)</f>
        <v>210198.39999999999</v>
      </c>
      <c r="AR297" s="23" cm="1">
        <f t="array" ref="AR297">INDEX(GMWQ!$A$2:$LR$60,MATCH(1,(GMWQ!$LQ$2:$LQ$60=AR$3)*(GMWQ!$LP$2:$LP$60=AR$4)*(GMWQ!$LR$2:$LR$60=AR$1),0),$B297-1966)</f>
        <v>883210</v>
      </c>
      <c r="AS297" s="23" cm="1">
        <f t="array" ref="AS297">INDEX(GMWQ!$A$2:$LR$60,MATCH(1,(GMWQ!$LQ$2:$LQ$60=AS$3)*(GMWQ!$LP$2:$LP$60=AS$4)*(GMWQ!$LR$2:$LR$60=AS$1),0),$B297-1966)</f>
        <v>30395.29</v>
      </c>
      <c r="AT297" s="23" cm="1">
        <f t="array" ref="AT297">INDEX(GMWQ!$A$2:$LR$60,MATCH(1,(GMWQ!$LQ$2:$LQ$60=AT$3)*(GMWQ!$LP$2:$LP$60=AT$4)*(GMWQ!$LR$2:$LR$60=AT$1),0),$B297-1966)</f>
        <v>475728</v>
      </c>
      <c r="AU297" s="23" cm="1">
        <f t="array" ref="AU297">INDEX(GMWQ!$A$2:$LR$60,MATCH(1,(GMWQ!$LQ$2:$LQ$60=AU$3)*(GMWQ!$LP$2:$LP$60=AU$4)*(GMWQ!$LR$2:$LR$60=AU$1),0),$B297-1966)</f>
        <v>16931.13</v>
      </c>
    </row>
    <row r="298" spans="1:47" x14ac:dyDescent="0.35">
      <c r="B298" s="7">
        <f t="shared" si="5"/>
        <v>2264</v>
      </c>
      <c r="C298" s="7" cm="1">
        <f t="array" ref="C298">INDEX(GMWQ!$A$2:$LR$60,MATCH(1,(GMWQ!$LQ$2:$LQ$60=C$3)*(GMWQ!$LP$2:$LP$60=C$4)*(GMWQ!$LR$2:$LR$60=C$1),0),$B298-1966)</f>
        <v>795151.3</v>
      </c>
      <c r="D298" s="7" cm="1">
        <f t="array" ref="D298">INDEX(GMWQ!$A$2:$LR$60,MATCH(1,(GMWQ!$LQ$2:$LQ$60=D$3)*(GMWQ!$LP$2:$LP$60=D$4)*(GMWQ!$LR$2:$LR$60=D$1),0),$B298-1966)</f>
        <v>1285.4770000000001</v>
      </c>
      <c r="E298" s="7" cm="1">
        <f t="array" ref="E298">INDEX(GMWQ!$A$2:$LR$60,MATCH(1,(GMWQ!$LQ$2:$LQ$60=E$3)*(GMWQ!$LP$2:$LP$60=E$4)*(GMWQ!$LR$2:$LR$60=E$1),0),$B298-1966)</f>
        <v>204.72890000000001</v>
      </c>
      <c r="F298" s="7" cm="1">
        <f t="array" ref="F298">INDEX(GMWQ!$A$2:$LR$60,MATCH(1,(GMWQ!$LQ$2:$LQ$60=F$3)*(GMWQ!$LP$2:$LP$60=F$4)*(GMWQ!$LR$2:$LR$60=F$1),0),$B298-1966)</f>
        <v>608060.5</v>
      </c>
      <c r="G298" s="7" cm="1">
        <f t="array" ref="G298">INDEX(GMWQ!$A$2:$LR$60,MATCH(1,(GMWQ!$LQ$2:$LQ$60=G$3)*(GMWQ!$LP$2:$LP$60=G$4)*(GMWQ!$LR$2:$LR$60=G$1),0),$B298-1966)</f>
        <v>181566.3</v>
      </c>
      <c r="H298" s="7" cm="1">
        <f t="array" ref="H298">INDEX(GMWQ!$A$2:$LR$60,MATCH(1,(GMWQ!$LQ$2:$LQ$60=H$3)*(GMWQ!$LP$2:$LP$60=H$4)*(GMWQ!$LR$2:$LR$60=H$1),0),$B298-1966)</f>
        <v>40892.07</v>
      </c>
      <c r="I298" s="7" cm="1">
        <f t="array" ref="I298">INDEX(GMWQ!$A$2:$LR$60,MATCH(1,(GMWQ!$LQ$2:$LQ$60=I$3)*(GMWQ!$LP$2:$LP$60=I$4)*(GMWQ!$LR$2:$LR$60=I$1),0),$B298-1966)</f>
        <v>186.57560000000001</v>
      </c>
      <c r="J298" s="7" cm="1">
        <f t="array" ref="J298">INDEX(GMWQ!$A$2:$LR$60,MATCH(1,(GMWQ!$LQ$2:$LQ$60=J$3)*(GMWQ!$LP$2:$LP$60=J$4)*(GMWQ!$LR$2:$LR$60=J$1),0),$B298-1966)</f>
        <v>32528.36</v>
      </c>
      <c r="K298" s="7" cm="1">
        <f t="array" ref="K298">INDEX(GMWQ!$A$2:$LR$60,MATCH(1,(GMWQ!$LQ$2:$LQ$60=K$3)*(GMWQ!$LP$2:$LP$60=K$4)*(GMWQ!$LR$2:$LR$60=K$1),0),$B298-1966)</f>
        <v>2</v>
      </c>
      <c r="L298" s="7" cm="1">
        <f t="array" ref="L298">INDEX(GMWQ!$A$2:$LR$60,MATCH(1,(GMWQ!$LQ$2:$LQ$60=L$3)*(GMWQ!$LP$2:$LP$60=L$4)*(GMWQ!$LR$2:$LR$60=L$1),0),$B298-1966)</f>
        <v>3.7500019999999998</v>
      </c>
      <c r="M298" s="7" cm="1">
        <f t="array" ref="M298">INDEX(GMWQ!$A$2:$LR$60,MATCH(1,(GMWQ!$LQ$2:$LQ$60=M$3)*(GMWQ!$LP$2:$LP$60=M$4)*(GMWQ!$LR$2:$LR$60=M$1),0),$B298-1966)</f>
        <v>296.34089999999998</v>
      </c>
      <c r="N298" s="7" cm="1">
        <f t="array" ref="N298">INDEX(GMWQ!$A$2:$LR$60,MATCH(1,(GMWQ!$LQ$2:$LQ$60=N$3)*(GMWQ!$LP$2:$LP$60=N$4)*(GMWQ!$LR$2:$LR$60=N$1),0),$B298-1966)</f>
        <v>43543.72</v>
      </c>
      <c r="O298" s="7" cm="1">
        <f t="array" ref="O298">INDEX(GMWQ!$A$2:$LR$60,MATCH(1,(GMWQ!$LQ$2:$LQ$60=O$3)*(GMWQ!$LP$2:$LP$60=O$4)*(GMWQ!$LR$2:$LR$60=O$1),0),$B298-1966)</f>
        <v>24706.74</v>
      </c>
      <c r="P298" s="7" cm="1">
        <f t="array" ref="P298">INDEX(GMWQ!$A$2:$LR$60,MATCH(1,(GMWQ!$LQ$2:$LQ$60=P$3)*(GMWQ!$LP$2:$LP$60=P$4)*(GMWQ!$LR$2:$LR$60=P$1),0),$B298-1966)</f>
        <v>965289.3</v>
      </c>
      <c r="Q298" s="7" cm="1">
        <f t="array" ref="Q298">INDEX(GMWQ!$A$2:$LR$60,MATCH(1,(GMWQ!$LQ$2:$LQ$60=Q$3)*(GMWQ!$LP$2:$LP$60=Q$4)*(GMWQ!$LR$2:$LR$60=Q$1),0),$B298-1966)</f>
        <v>3.5</v>
      </c>
      <c r="R298" s="7" cm="1">
        <f t="array" ref="R298">INDEX(GMWQ!$A$2:$LR$60,MATCH(1,(GMWQ!$LQ$2:$LQ$60=R$3)*(GMWQ!$LP$2:$LP$60=R$4)*(GMWQ!$LR$2:$LR$60=R$1),0),$B298-1966)</f>
        <v>256473.7</v>
      </c>
      <c r="S298" s="7" cm="1">
        <f t="array" ref="S298">INDEX(GMWQ!$A$2:$LR$60,MATCH(1,(GMWQ!$LQ$2:$LQ$60=S$3)*(GMWQ!$LP$2:$LP$60=S$4)*(GMWQ!$LR$2:$LR$60=S$1),0),$B298-1966)</f>
        <v>382.59870000000001</v>
      </c>
      <c r="T298" s="7" cm="1">
        <f t="array" ref="T298">INDEX(GMWQ!$A$2:$LR$60,MATCH(1,(GMWQ!$LQ$2:$LQ$60=T$3)*(GMWQ!$LP$2:$LP$60=T$4)*(GMWQ!$LR$2:$LR$60=T$1),0),$B298-1966)</f>
        <v>149573.4</v>
      </c>
      <c r="U298" s="7" cm="1">
        <f t="array" ref="U298">INDEX(GMWQ!$A$2:$LR$60,MATCH(1,(GMWQ!$LQ$2:$LQ$60=U$3)*(GMWQ!$LP$2:$LP$60=U$4)*(GMWQ!$LR$2:$LR$60=U$1),0),$B298-1966)</f>
        <v>16513.560000000001</v>
      </c>
      <c r="V298" s="7" cm="1">
        <f t="array" ref="V298">INDEX(GMWQ!$A$2:$LR$60,MATCH(1,(GMWQ!$LQ$2:$LQ$60=V$3)*(GMWQ!$LP$2:$LP$60=V$4)*(GMWQ!$LR$2:$LR$60=V$1),0),$B298-1966)</f>
        <v>1.352469E-3</v>
      </c>
      <c r="W298" s="7" cm="1">
        <f t="array" ref="W298">INDEX(GMWQ!$A$2:$LR$60,MATCH(1,(GMWQ!$LQ$2:$LQ$60=W$3)*(GMWQ!$LP$2:$LP$60=W$4)*(GMWQ!$LR$2:$LR$60=W$1),0),$B298-1966)</f>
        <v>9.3166180000000001</v>
      </c>
      <c r="X298" s="7" cm="1">
        <f t="array" ref="X298">INDEX(GMWQ!$A$2:$LR$60,MATCH(1,(GMWQ!$LQ$2:$LQ$60=X$3)*(GMWQ!$LP$2:$LP$60=X$4)*(GMWQ!$LR$2:$LR$60=X$1),0),$B298-1966)</f>
        <v>13913410</v>
      </c>
      <c r="Y298" s="7" cm="1">
        <f t="array" ref="Y298">INDEX(GMWQ!$A$2:$LR$60,MATCH(1,(GMWQ!$LQ$2:$LQ$60=Y$3)*(GMWQ!$LP$2:$LP$60=Y$4)*(GMWQ!$LR$2:$LR$60=Y$1),0),$B298-1966)</f>
        <v>190.6207</v>
      </c>
      <c r="Z298" s="7" cm="1">
        <f t="array" ref="Z298">INDEX(GMWQ!$A$2:$LR$60,MATCH(1,(GMWQ!$LQ$2:$LQ$60=Z$3)*(GMWQ!$LP$2:$LP$60=Z$4)*(GMWQ!$LR$2:$LR$60=Z$1),0),$B298-1966)</f>
        <v>795151.1</v>
      </c>
      <c r="AA298" s="7" cm="1">
        <f t="array" ref="AA298">INDEX(GMWQ!$A$2:$LR$60,MATCH(1,(GMWQ!$LQ$2:$LQ$60=AA$3)*(GMWQ!$LP$2:$LP$60=AA$4)*(GMWQ!$LR$2:$LR$60=AA$1),0),$B298-1966)</f>
        <v>609237.1</v>
      </c>
      <c r="AB298" s="7" cm="1">
        <f t="array" ref="AB298">INDEX(GMWQ!$A$2:$LR$60,MATCH(1,(GMWQ!$LQ$2:$LQ$60=AB$3)*(GMWQ!$LP$2:$LP$60=AB$4)*(GMWQ!$LR$2:$LR$60=AB$1),0),$B298-1966)</f>
        <v>586742.80000000005</v>
      </c>
      <c r="AC298" s="7" cm="1">
        <f t="array" ref="AC298">INDEX(GMWQ!$A$2:$LR$60,MATCH(1,(GMWQ!$LQ$2:$LQ$60=AC$3)*(GMWQ!$LP$2:$LP$60=AC$4)*(GMWQ!$LR$2:$LR$60=AC$1),0),$B298-1966)</f>
        <v>23286.9</v>
      </c>
      <c r="AD298" s="7" cm="1">
        <f t="array" ref="AD298">INDEX(GMWQ!$A$2:$LR$60,MATCH(1,(GMWQ!$LQ$2:$LQ$60=AD$3)*(GMWQ!$LP$2:$LP$60=AD$4)*(GMWQ!$LR$2:$LR$60=AD$1),0),$B298-1966)</f>
        <v>33124.82</v>
      </c>
      <c r="AE298" s="7" cm="1">
        <f t="array" ref="AE298">INDEX(GMWQ!$A$2:$LR$60,MATCH(1,(GMWQ!$LQ$2:$LQ$60=AE$3)*(GMWQ!$LP$2:$LP$60=AE$4)*(GMWQ!$LR$2:$LR$60=AE$1),0),$B298-1966)</f>
        <v>1515723</v>
      </c>
      <c r="AF298" s="20" cm="1">
        <f t="array" ref="AF298">INDEX(GMWQ!$A$2:$LR$60,MATCH(1,(GMWQ!$LQ$2:$LQ$60=AF$3)*(GMWQ!$LP$2:$LP$60=AF$4)*(GMWQ!$LR$2:$LR$60=AF$1),0),$B298-1966)</f>
        <v>2</v>
      </c>
      <c r="AG298" s="20" cm="1">
        <f t="array" ref="AG298">INDEX(GMWQ!$A$2:$LR$60,MATCH(1,(GMWQ!$LQ$2:$LQ$60=AG$3)*(GMWQ!$LP$2:$LP$60=AG$4)*(GMWQ!$LR$2:$LR$60=AG$1),0),$B298-1966)</f>
        <v>-18836.98</v>
      </c>
      <c r="AI298" s="23" cm="1">
        <f t="array" ref="AI298">INDEX(GMWQ!$A$2:$LR$60,MATCH(1,(GMWQ!$LQ$2:$LQ$60=AI$3)*(GMWQ!$LP$2:$LP$60=AI$4)*(GMWQ!$LR$2:$LR$60=AI$1),0),$B298-1966)</f>
        <v>965289.3</v>
      </c>
      <c r="AJ298" s="23" cm="1">
        <f t="array" ref="AJ298">INDEX(GMWQ!$A$2:$LR$60,MATCH(1,(GMWQ!$LQ$2:$LQ$60=AJ$3)*(GMWQ!$LP$2:$LP$60=AJ$4)*(GMWQ!$LR$2:$LR$60=AJ$1),0),$B298-1966)</f>
        <v>186.57560000000001</v>
      </c>
      <c r="AK298" s="23" cm="1">
        <f t="array" ref="AK298">INDEX(GMWQ!$A$2:$LR$60,MATCH(1,(GMWQ!$LQ$2:$LQ$60=AK$3)*(GMWQ!$LP$2:$LP$60=AK$4)*(GMWQ!$LR$2:$LR$60=AK$1),0),$B298-1966)</f>
        <v>608060.5</v>
      </c>
      <c r="AL298" s="23" cm="1">
        <f t="array" ref="AL298">INDEX(GMWQ!$A$2:$LR$60,MATCH(1,(GMWQ!$LQ$2:$LQ$60=AL$3)*(GMWQ!$LP$2:$LP$60=AL$4)*(GMWQ!$LR$2:$LR$60=AL$1),0),$B298-1966)</f>
        <v>18693.240000000002</v>
      </c>
      <c r="AM298" s="23" cm="1">
        <f t="array" ref="AM298">INDEX(GMWQ!$A$2:$LR$60,MATCH(1,(GMWQ!$LQ$2:$LQ$60=AM$3)*(GMWQ!$LP$2:$LP$60=AM$4)*(GMWQ!$LR$2:$LR$60=AM$1),0),$B298-1966)</f>
        <v>32528.36</v>
      </c>
      <c r="AN298" s="23" cm="1">
        <f t="array" ref="AN298">INDEX(GMWQ!$A$2:$LR$60,MATCH(1,(GMWQ!$LQ$2:$LQ$60=AN$3)*(GMWQ!$LP$2:$LP$60=AN$4)*(GMWQ!$LR$2:$LR$60=AN$1),0),$B298-1966)</f>
        <v>181566.3</v>
      </c>
      <c r="AO298" s="23" cm="1">
        <f t="array" ref="AO298">INDEX(GMWQ!$A$2:$LR$60,MATCH(1,(GMWQ!$LQ$2:$LQ$60=AO$3)*(GMWQ!$LP$2:$LP$60=AO$4)*(GMWQ!$LR$2:$LR$60=AO$1),0),$B298-1966)</f>
        <v>40892.07</v>
      </c>
      <c r="AP298" s="23" cm="1">
        <f t="array" ref="AP298">INDEX(GMWQ!$A$2:$LR$60,MATCH(1,(GMWQ!$LQ$2:$LQ$60=AP$3)*(GMWQ!$LP$2:$LP$60=AP$4)*(GMWQ!$LR$2:$LR$60=AP$1),0),$B298-1966)</f>
        <v>-18836.98</v>
      </c>
      <c r="AQ298" s="23" cm="1">
        <f t="array" ref="AQ298">INDEX(GMWQ!$A$2:$LR$60,MATCH(1,(GMWQ!$LQ$2:$LQ$60=AQ$3)*(GMWQ!$LP$2:$LP$60=AQ$4)*(GMWQ!$LR$2:$LR$60=AQ$1),0),$B298-1966)</f>
        <v>212177</v>
      </c>
      <c r="AR298" s="23" cm="1">
        <f t="array" ref="AR298">INDEX(GMWQ!$A$2:$LR$60,MATCH(1,(GMWQ!$LQ$2:$LQ$60=AR$3)*(GMWQ!$LP$2:$LP$60=AR$4)*(GMWQ!$LR$2:$LR$60=AR$1),0),$B298-1966)</f>
        <v>890905.2</v>
      </c>
      <c r="AS298" s="23" cm="1">
        <f t="array" ref="AS298">INDEX(GMWQ!$A$2:$LR$60,MATCH(1,(GMWQ!$LQ$2:$LQ$60=AS$3)*(GMWQ!$LP$2:$LP$60=AS$4)*(GMWQ!$LR$2:$LR$60=AS$1),0),$B298-1966)</f>
        <v>30669.01</v>
      </c>
      <c r="AT298" s="23" cm="1">
        <f t="array" ref="AT298">INDEX(GMWQ!$A$2:$LR$60,MATCH(1,(GMWQ!$LQ$2:$LQ$60=AT$3)*(GMWQ!$LP$2:$LP$60=AT$4)*(GMWQ!$LR$2:$LR$60=AT$1),0),$B298-1966)</f>
        <v>477503.6</v>
      </c>
      <c r="AU298" s="23" cm="1">
        <f t="array" ref="AU298">INDEX(GMWQ!$A$2:$LR$60,MATCH(1,(GMWQ!$LQ$2:$LQ$60=AU$3)*(GMWQ!$LP$2:$LP$60=AU$4)*(GMWQ!$LR$2:$LR$60=AU$1),0),$B298-1966)</f>
        <v>16994.240000000002</v>
      </c>
    </row>
    <row r="299" spans="1:47" x14ac:dyDescent="0.35">
      <c r="A299" s="7">
        <v>2046</v>
      </c>
      <c r="B299" s="7">
        <f t="shared" si="5"/>
        <v>2265</v>
      </c>
      <c r="C299" s="7" cm="1">
        <f t="array" ref="C299">INDEX(GMWQ!$A$2:$LR$60,MATCH(1,(GMWQ!$LQ$2:$LQ$60=C$3)*(GMWQ!$LP$2:$LP$60=C$4)*(GMWQ!$LR$2:$LR$60=C$1),0),$B299-1966)</f>
        <v>798112</v>
      </c>
      <c r="D299" s="7" cm="1">
        <f t="array" ref="D299">INDEX(GMWQ!$A$2:$LR$60,MATCH(1,(GMWQ!$LQ$2:$LQ$60=D$3)*(GMWQ!$LP$2:$LP$60=D$4)*(GMWQ!$LR$2:$LR$60=D$1),0),$B299-1966)</f>
        <v>1295.559</v>
      </c>
      <c r="E299" s="7" cm="1">
        <f t="array" ref="E299">INDEX(GMWQ!$A$2:$LR$60,MATCH(1,(GMWQ!$LQ$2:$LQ$60=E$3)*(GMWQ!$LP$2:$LP$60=E$4)*(GMWQ!$LR$2:$LR$60=E$1),0),$B299-1966)</f>
        <v>204.9435</v>
      </c>
      <c r="F299" s="7" cm="1">
        <f t="array" ref="F299">INDEX(GMWQ!$A$2:$LR$60,MATCH(1,(GMWQ!$LQ$2:$LQ$60=F$3)*(GMWQ!$LP$2:$LP$60=F$4)*(GMWQ!$LR$2:$LR$60=F$1),0),$B299-1966)</f>
        <v>613386.19999999995</v>
      </c>
      <c r="G299" s="7" cm="1">
        <f t="array" ref="G299">INDEX(GMWQ!$A$2:$LR$60,MATCH(1,(GMWQ!$LQ$2:$LQ$60=G$3)*(GMWQ!$LP$2:$LP$60=G$4)*(GMWQ!$LR$2:$LR$60=G$1),0),$B299-1966)</f>
        <v>183362</v>
      </c>
      <c r="H299" s="7" cm="1">
        <f t="array" ref="H299">INDEX(GMWQ!$A$2:$LR$60,MATCH(1,(GMWQ!$LQ$2:$LQ$60=H$3)*(GMWQ!$LP$2:$LP$60=H$4)*(GMWQ!$LR$2:$LR$60=H$1),0),$B299-1966)</f>
        <v>41250.22</v>
      </c>
      <c r="I299" s="7" cm="1">
        <f t="array" ref="I299">INDEX(GMWQ!$A$2:$LR$60,MATCH(1,(GMWQ!$LQ$2:$LQ$60=I$3)*(GMWQ!$LP$2:$LP$60=I$4)*(GMWQ!$LR$2:$LR$60=I$1),0),$B299-1966)</f>
        <v>187.50139999999999</v>
      </c>
      <c r="J299" s="7" cm="1">
        <f t="array" ref="J299">INDEX(GMWQ!$A$2:$LR$60,MATCH(1,(GMWQ!$LQ$2:$LQ$60=J$3)*(GMWQ!$LP$2:$LP$60=J$4)*(GMWQ!$LR$2:$LR$60=J$1),0),$B299-1966)</f>
        <v>32557.91</v>
      </c>
      <c r="K299" s="7" cm="1">
        <f t="array" ref="K299">INDEX(GMWQ!$A$2:$LR$60,MATCH(1,(GMWQ!$LQ$2:$LQ$60=K$3)*(GMWQ!$LP$2:$LP$60=K$4)*(GMWQ!$LR$2:$LR$60=K$1),0),$B299-1966)</f>
        <v>2</v>
      </c>
      <c r="L299" s="7" cm="1">
        <f t="array" ref="L299">INDEX(GMWQ!$A$2:$LR$60,MATCH(1,(GMWQ!$LQ$2:$LQ$60=L$3)*(GMWQ!$LP$2:$LP$60=L$4)*(GMWQ!$LR$2:$LR$60=L$1),0),$B299-1966)</f>
        <v>3.749981</v>
      </c>
      <c r="M299" s="7" cm="1">
        <f t="array" ref="M299">INDEX(GMWQ!$A$2:$LR$60,MATCH(1,(GMWQ!$LQ$2:$LQ$60=M$3)*(GMWQ!$LP$2:$LP$60=M$4)*(GMWQ!$LR$2:$LR$60=M$1),0),$B299-1966)</f>
        <v>298.92700000000002</v>
      </c>
      <c r="N299" s="7" cm="1">
        <f t="array" ref="N299">INDEX(GMWQ!$A$2:$LR$60,MATCH(1,(GMWQ!$LQ$2:$LQ$60=N$3)*(GMWQ!$LP$2:$LP$60=N$4)*(GMWQ!$LR$2:$LR$60=N$1),0),$B299-1966)</f>
        <v>43863.23</v>
      </c>
      <c r="O299" s="7" cm="1">
        <f t="array" ref="O299">INDEX(GMWQ!$A$2:$LR$60,MATCH(1,(GMWQ!$LQ$2:$LQ$60=O$3)*(GMWQ!$LP$2:$LP$60=O$4)*(GMWQ!$LR$2:$LR$60=O$1),0),$B299-1966)</f>
        <v>24809.01</v>
      </c>
      <c r="P299" s="7" cm="1">
        <f t="array" ref="P299">INDEX(GMWQ!$A$2:$LR$60,MATCH(1,(GMWQ!$LQ$2:$LQ$60=P$3)*(GMWQ!$LP$2:$LP$60=P$4)*(GMWQ!$LR$2:$LR$60=P$1),0),$B299-1966)</f>
        <v>973709</v>
      </c>
      <c r="Q299" s="7" cm="1">
        <f t="array" ref="Q299">INDEX(GMWQ!$A$2:$LR$60,MATCH(1,(GMWQ!$LQ$2:$LQ$60=Q$3)*(GMWQ!$LP$2:$LP$60=Q$4)*(GMWQ!$LR$2:$LR$60=Q$1),0),$B299-1966)</f>
        <v>3.5</v>
      </c>
      <c r="R299" s="7" cm="1">
        <f t="array" ref="R299">INDEX(GMWQ!$A$2:$LR$60,MATCH(1,(GMWQ!$LQ$2:$LQ$60=R$3)*(GMWQ!$LP$2:$LP$60=R$4)*(GMWQ!$LR$2:$LR$60=R$1),0),$B299-1966)</f>
        <v>256471.3</v>
      </c>
      <c r="S299" s="7" cm="1">
        <f t="array" ref="S299">INDEX(GMWQ!$A$2:$LR$60,MATCH(1,(GMWQ!$LQ$2:$LQ$60=S$3)*(GMWQ!$LP$2:$LP$60=S$4)*(GMWQ!$LR$2:$LR$60=S$1),0),$B299-1966)</f>
        <v>382.5951</v>
      </c>
      <c r="T299" s="7" cm="1">
        <f t="array" ref="T299">INDEX(GMWQ!$A$2:$LR$60,MATCH(1,(GMWQ!$LQ$2:$LQ$60=T$3)*(GMWQ!$LP$2:$LP$60=T$4)*(GMWQ!$LR$2:$LR$60=T$1),0),$B299-1966)</f>
        <v>150145</v>
      </c>
      <c r="U299" s="7" cm="1">
        <f t="array" ref="U299">INDEX(GMWQ!$A$2:$LR$60,MATCH(1,(GMWQ!$LQ$2:$LQ$60=U$3)*(GMWQ!$LP$2:$LP$60=U$4)*(GMWQ!$LR$2:$LR$60=U$1),0),$B299-1966)</f>
        <v>16446.72</v>
      </c>
      <c r="V299" s="7" cm="1">
        <f t="array" ref="V299">INDEX(GMWQ!$A$2:$LR$60,MATCH(1,(GMWQ!$LQ$2:$LQ$60=V$3)*(GMWQ!$LP$2:$LP$60=V$4)*(GMWQ!$LR$2:$LR$60=V$1),0),$B299-1966)</f>
        <v>1.3520439999999999E-3</v>
      </c>
      <c r="W299" s="7" cm="1">
        <f t="array" ref="W299">INDEX(GMWQ!$A$2:$LR$60,MATCH(1,(GMWQ!$LQ$2:$LQ$60=W$3)*(GMWQ!$LP$2:$LP$60=W$4)*(GMWQ!$LR$2:$LR$60=W$1),0),$B299-1966)</f>
        <v>9.2659029999999998</v>
      </c>
      <c r="X299" s="7" cm="1">
        <f t="array" ref="X299">INDEX(GMWQ!$A$2:$LR$60,MATCH(1,(GMWQ!$LQ$2:$LQ$60=X$3)*(GMWQ!$LP$2:$LP$60=X$4)*(GMWQ!$LR$2:$LR$60=X$1),0),$B299-1966)</f>
        <v>14112790</v>
      </c>
      <c r="Y299" s="7" cm="1">
        <f t="array" ref="Y299">INDEX(GMWQ!$A$2:$LR$60,MATCH(1,(GMWQ!$LQ$2:$LQ$60=Y$3)*(GMWQ!$LP$2:$LP$60=Y$4)*(GMWQ!$LR$2:$LR$60=Y$1),0),$B299-1966)</f>
        <v>191.6549</v>
      </c>
      <c r="Z299" s="7" cm="1">
        <f t="array" ref="Z299">INDEX(GMWQ!$A$2:$LR$60,MATCH(1,(GMWQ!$LQ$2:$LQ$60=Z$3)*(GMWQ!$LP$2:$LP$60=Z$4)*(GMWQ!$LR$2:$LR$60=Z$1),0),$B299-1966)</f>
        <v>798111.1</v>
      </c>
      <c r="AA299" s="7" cm="1">
        <f t="array" ref="AA299">INDEX(GMWQ!$A$2:$LR$60,MATCH(1,(GMWQ!$LQ$2:$LQ$60=AA$3)*(GMWQ!$LP$2:$LP$60=AA$4)*(GMWQ!$LR$2:$LR$60=AA$1),0),$B299-1966)</f>
        <v>681254.7</v>
      </c>
      <c r="AB299" s="7" cm="1">
        <f t="array" ref="AB299">INDEX(GMWQ!$A$2:$LR$60,MATCH(1,(GMWQ!$LQ$2:$LQ$60=AB$3)*(GMWQ!$LP$2:$LP$60=AB$4)*(GMWQ!$LR$2:$LR$60=AB$1),0),$B299-1966)</f>
        <v>585046.5</v>
      </c>
      <c r="AC299" s="7" cm="1">
        <f t="array" ref="AC299">INDEX(GMWQ!$A$2:$LR$60,MATCH(1,(GMWQ!$LQ$2:$LQ$60=AC$3)*(GMWQ!$LP$2:$LP$60=AC$4)*(GMWQ!$LR$2:$LR$60=AC$1),0),$B299-1966)</f>
        <v>41331.75</v>
      </c>
      <c r="AD299" s="7" cm="1">
        <f t="array" ref="AD299">INDEX(GMWQ!$A$2:$LR$60,MATCH(1,(GMWQ!$LQ$2:$LQ$60=AD$3)*(GMWQ!$LP$2:$LP$60=AD$4)*(GMWQ!$LR$2:$LR$60=AD$1),0),$B299-1966)</f>
        <v>33124.82</v>
      </c>
      <c r="AE299" s="7" cm="1">
        <f t="array" ref="AE299">INDEX(GMWQ!$A$2:$LR$60,MATCH(1,(GMWQ!$LQ$2:$LQ$60=AE$3)*(GMWQ!$LP$2:$LP$60=AE$4)*(GMWQ!$LR$2:$LR$60=AE$1),0),$B299-1966)</f>
        <v>1529621</v>
      </c>
      <c r="AF299" s="20" cm="1">
        <f t="array" ref="AF299">INDEX(GMWQ!$A$2:$LR$60,MATCH(1,(GMWQ!$LQ$2:$LQ$60=AF$3)*(GMWQ!$LP$2:$LP$60=AF$4)*(GMWQ!$LR$2:$LR$60=AF$1),0),$B299-1966)</f>
        <v>2</v>
      </c>
      <c r="AG299" s="20" cm="1">
        <f t="array" ref="AG299">INDEX(GMWQ!$A$2:$LR$60,MATCH(1,(GMWQ!$LQ$2:$LQ$60=AG$3)*(GMWQ!$LP$2:$LP$60=AG$4)*(GMWQ!$LR$2:$LR$60=AG$1),0),$B299-1966)</f>
        <v>-19054.22</v>
      </c>
      <c r="AI299" s="23" cm="1">
        <f t="array" ref="AI299">INDEX(GMWQ!$A$2:$LR$60,MATCH(1,(GMWQ!$LQ$2:$LQ$60=AI$3)*(GMWQ!$LP$2:$LP$60=AI$4)*(GMWQ!$LR$2:$LR$60=AI$1),0),$B299-1966)</f>
        <v>973709</v>
      </c>
      <c r="AJ299" s="23" cm="1">
        <f t="array" ref="AJ299">INDEX(GMWQ!$A$2:$LR$60,MATCH(1,(GMWQ!$LQ$2:$LQ$60=AJ$3)*(GMWQ!$LP$2:$LP$60=AJ$4)*(GMWQ!$LR$2:$LR$60=AJ$1),0),$B299-1966)</f>
        <v>187.50139999999999</v>
      </c>
      <c r="AK299" s="23" cm="1">
        <f t="array" ref="AK299">INDEX(GMWQ!$A$2:$LR$60,MATCH(1,(GMWQ!$LQ$2:$LQ$60=AK$3)*(GMWQ!$LP$2:$LP$60=AK$4)*(GMWQ!$LR$2:$LR$60=AK$1),0),$B299-1966)</f>
        <v>613386.19999999995</v>
      </c>
      <c r="AL299" s="23" cm="1">
        <f t="array" ref="AL299">INDEX(GMWQ!$A$2:$LR$60,MATCH(1,(GMWQ!$LQ$2:$LQ$60=AL$3)*(GMWQ!$LP$2:$LP$60=AL$4)*(GMWQ!$LR$2:$LR$60=AL$1),0),$B299-1966)</f>
        <v>18839.849999999999</v>
      </c>
      <c r="AM299" s="23" cm="1">
        <f t="array" ref="AM299">INDEX(GMWQ!$A$2:$LR$60,MATCH(1,(GMWQ!$LQ$2:$LQ$60=AM$3)*(GMWQ!$LP$2:$LP$60=AM$4)*(GMWQ!$LR$2:$LR$60=AM$1),0),$B299-1966)</f>
        <v>32557.91</v>
      </c>
      <c r="AN299" s="23" cm="1">
        <f t="array" ref="AN299">INDEX(GMWQ!$A$2:$LR$60,MATCH(1,(GMWQ!$LQ$2:$LQ$60=AN$3)*(GMWQ!$LP$2:$LP$60=AN$4)*(GMWQ!$LR$2:$LR$60=AN$1),0),$B299-1966)</f>
        <v>183362</v>
      </c>
      <c r="AO299" s="23" cm="1">
        <f t="array" ref="AO299">INDEX(GMWQ!$A$2:$LR$60,MATCH(1,(GMWQ!$LQ$2:$LQ$60=AO$3)*(GMWQ!$LP$2:$LP$60=AO$4)*(GMWQ!$LR$2:$LR$60=AO$1),0),$B299-1966)</f>
        <v>41250.22</v>
      </c>
      <c r="AP299" s="23" cm="1">
        <f t="array" ref="AP299">INDEX(GMWQ!$A$2:$LR$60,MATCH(1,(GMWQ!$LQ$2:$LQ$60=AP$3)*(GMWQ!$LP$2:$LP$60=AP$4)*(GMWQ!$LR$2:$LR$60=AP$1),0),$B299-1966)</f>
        <v>-19054.22</v>
      </c>
      <c r="AQ299" s="23" cm="1">
        <f t="array" ref="AQ299">INDEX(GMWQ!$A$2:$LR$60,MATCH(1,(GMWQ!$LQ$2:$LQ$60=AQ$3)*(GMWQ!$LP$2:$LP$60=AQ$4)*(GMWQ!$LR$2:$LR$60=AQ$1),0),$B299-1966)</f>
        <v>214171.5</v>
      </c>
      <c r="AR299" s="23" cm="1">
        <f t="array" ref="AR299">INDEX(GMWQ!$A$2:$LR$60,MATCH(1,(GMWQ!$LQ$2:$LQ$60=AR$3)*(GMWQ!$LP$2:$LP$60=AR$4)*(GMWQ!$LR$2:$LR$60=AR$1),0),$B299-1966)</f>
        <v>898664.1</v>
      </c>
      <c r="AS299" s="23" cm="1">
        <f t="array" ref="AS299">INDEX(GMWQ!$A$2:$LR$60,MATCH(1,(GMWQ!$LQ$2:$LQ$60=AS$3)*(GMWQ!$LP$2:$LP$60=AS$4)*(GMWQ!$LR$2:$LR$60=AS$1),0),$B299-1966)</f>
        <v>30944.97</v>
      </c>
      <c r="AT299" s="23" cm="1">
        <f t="array" ref="AT299">INDEX(GMWQ!$A$2:$LR$60,MATCH(1,(GMWQ!$LQ$2:$LQ$60=AT$3)*(GMWQ!$LP$2:$LP$60=AT$4)*(GMWQ!$LR$2:$LR$60=AT$1),0),$B299-1966)</f>
        <v>479283.9</v>
      </c>
      <c r="AU299" s="23" cm="1">
        <f t="array" ref="AU299">INDEX(GMWQ!$A$2:$LR$60,MATCH(1,(GMWQ!$LQ$2:$LQ$60=AU$3)*(GMWQ!$LP$2:$LP$60=AU$4)*(GMWQ!$LR$2:$LR$60=AU$1),0),$B299-1966)</f>
        <v>17057.509999999998</v>
      </c>
    </row>
    <row r="300" spans="1:47" x14ac:dyDescent="0.35">
      <c r="B300" s="7">
        <f t="shared" si="5"/>
        <v>2266</v>
      </c>
      <c r="C300" s="7" cm="1">
        <f t="array" ref="C300">INDEX(GMWQ!$A$2:$LR$60,MATCH(1,(GMWQ!$LQ$2:$LQ$60=C$3)*(GMWQ!$LP$2:$LP$60=C$4)*(GMWQ!$LR$2:$LR$60=C$1),0),$B300-1966)</f>
        <v>801080.5</v>
      </c>
      <c r="D300" s="7" cm="1">
        <f t="array" ref="D300">INDEX(GMWQ!$A$2:$LR$60,MATCH(1,(GMWQ!$LQ$2:$LQ$60=D$3)*(GMWQ!$LP$2:$LP$60=D$4)*(GMWQ!$LR$2:$LR$60=D$1),0),$B300-1966)</f>
        <v>1305.7149999999999</v>
      </c>
      <c r="E300" s="7" cm="1">
        <f t="array" ref="E300">INDEX(GMWQ!$A$2:$LR$60,MATCH(1,(GMWQ!$LQ$2:$LQ$60=E$3)*(GMWQ!$LP$2:$LP$60=E$4)*(GMWQ!$LR$2:$LR$60=E$1),0),$B300-1966)</f>
        <v>206.81540000000001</v>
      </c>
      <c r="F300" s="7" cm="1">
        <f t="array" ref="F300">INDEX(GMWQ!$A$2:$LR$60,MATCH(1,(GMWQ!$LQ$2:$LQ$60=F$3)*(GMWQ!$LP$2:$LP$60=F$4)*(GMWQ!$LR$2:$LR$60=F$1),0),$B300-1966)</f>
        <v>618755.6</v>
      </c>
      <c r="G300" s="7" cm="1">
        <f t="array" ref="G300">INDEX(GMWQ!$A$2:$LR$60,MATCH(1,(GMWQ!$LQ$2:$LQ$60=G$3)*(GMWQ!$LP$2:$LP$60=G$4)*(GMWQ!$LR$2:$LR$60=G$1),0),$B300-1966)</f>
        <v>184554</v>
      </c>
      <c r="H300" s="7" cm="1">
        <f t="array" ref="H300">INDEX(GMWQ!$A$2:$LR$60,MATCH(1,(GMWQ!$LQ$2:$LQ$60=H$3)*(GMWQ!$LP$2:$LP$60=H$4)*(GMWQ!$LR$2:$LR$60=H$1),0),$B300-1966)</f>
        <v>41611.31</v>
      </c>
      <c r="I300" s="7" cm="1">
        <f t="array" ref="I300">INDEX(GMWQ!$A$2:$LR$60,MATCH(1,(GMWQ!$LQ$2:$LQ$60=I$3)*(GMWQ!$LP$2:$LP$60=I$4)*(GMWQ!$LR$2:$LR$60=I$1),0),$B300-1966)</f>
        <v>188.43180000000001</v>
      </c>
      <c r="J300" s="7" cm="1">
        <f t="array" ref="J300">INDEX(GMWQ!$A$2:$LR$60,MATCH(1,(GMWQ!$LQ$2:$LQ$60=J$3)*(GMWQ!$LP$2:$LP$60=J$4)*(GMWQ!$LR$2:$LR$60=J$1),0),$B300-1966)</f>
        <v>32587.45</v>
      </c>
      <c r="K300" s="7" cm="1">
        <f t="array" ref="K300">INDEX(GMWQ!$A$2:$LR$60,MATCH(1,(GMWQ!$LQ$2:$LQ$60=K$3)*(GMWQ!$LP$2:$LP$60=K$4)*(GMWQ!$LR$2:$LR$60=K$1),0),$B300-1966)</f>
        <v>2</v>
      </c>
      <c r="L300" s="7" cm="1">
        <f t="array" ref="L300">INDEX(GMWQ!$A$2:$LR$60,MATCH(1,(GMWQ!$LQ$2:$LQ$60=L$3)*(GMWQ!$LP$2:$LP$60=L$4)*(GMWQ!$LR$2:$LR$60=L$1),0),$B300-1966)</f>
        <v>3.7500089999999999</v>
      </c>
      <c r="M300" s="7" cm="1">
        <f t="array" ref="M300">INDEX(GMWQ!$A$2:$LR$60,MATCH(1,(GMWQ!$LQ$2:$LQ$60=M$3)*(GMWQ!$LP$2:$LP$60=M$4)*(GMWQ!$LR$2:$LR$60=M$1),0),$B300-1966)</f>
        <v>301.53440000000001</v>
      </c>
      <c r="N300" s="7" cm="1">
        <f t="array" ref="N300">INDEX(GMWQ!$A$2:$LR$60,MATCH(1,(GMWQ!$LQ$2:$LQ$60=N$3)*(GMWQ!$LP$2:$LP$60=N$4)*(GMWQ!$LR$2:$LR$60=N$1),0),$B300-1966)</f>
        <v>44183.74</v>
      </c>
      <c r="O300" s="7" cm="1">
        <f t="array" ref="O300">INDEX(GMWQ!$A$2:$LR$60,MATCH(1,(GMWQ!$LQ$2:$LQ$60=O$3)*(GMWQ!$LP$2:$LP$60=O$4)*(GMWQ!$LR$2:$LR$60=O$1),0),$B300-1966)</f>
        <v>24909.21</v>
      </c>
      <c r="P300" s="7" cm="1">
        <f t="array" ref="P300">INDEX(GMWQ!$A$2:$LR$60,MATCH(1,(GMWQ!$LQ$2:$LQ$60=P$3)*(GMWQ!$LP$2:$LP$60=P$4)*(GMWQ!$LR$2:$LR$60=P$1),0),$B300-1966)</f>
        <v>982198.4</v>
      </c>
      <c r="Q300" s="7" cm="1">
        <f t="array" ref="Q300">INDEX(GMWQ!$A$2:$LR$60,MATCH(1,(GMWQ!$LQ$2:$LQ$60=Q$3)*(GMWQ!$LP$2:$LP$60=Q$4)*(GMWQ!$LR$2:$LR$60=Q$1),0),$B300-1966)</f>
        <v>3.5</v>
      </c>
      <c r="R300" s="7" cm="1">
        <f t="array" ref="R300">INDEX(GMWQ!$A$2:$LR$60,MATCH(1,(GMWQ!$LQ$2:$LQ$60=R$3)*(GMWQ!$LP$2:$LP$60=R$4)*(GMWQ!$LR$2:$LR$60=R$1),0),$B300-1966)</f>
        <v>256468.8</v>
      </c>
      <c r="S300" s="7" cm="1">
        <f t="array" ref="S300">INDEX(GMWQ!$A$2:$LR$60,MATCH(1,(GMWQ!$LQ$2:$LQ$60=S$3)*(GMWQ!$LP$2:$LP$60=S$4)*(GMWQ!$LR$2:$LR$60=S$1),0),$B300-1966)</f>
        <v>382.59140000000002</v>
      </c>
      <c r="T300" s="7" cm="1">
        <f t="array" ref="T300">INDEX(GMWQ!$A$2:$LR$60,MATCH(1,(GMWQ!$LQ$2:$LQ$60=T$3)*(GMWQ!$LP$2:$LP$60=T$4)*(GMWQ!$LR$2:$LR$60=T$1),0),$B300-1966)</f>
        <v>150718.1</v>
      </c>
      <c r="U300" s="7" cm="1">
        <f t="array" ref="U300">INDEX(GMWQ!$A$2:$LR$60,MATCH(1,(GMWQ!$LQ$2:$LQ$60=U$3)*(GMWQ!$LP$2:$LP$60=U$4)*(GMWQ!$LR$2:$LR$60=U$1),0),$B300-1966)</f>
        <v>16384.03</v>
      </c>
      <c r="V300" s="7" cm="1">
        <f t="array" ref="V300">INDEX(GMWQ!$A$2:$LR$60,MATCH(1,(GMWQ!$LQ$2:$LQ$60=V$3)*(GMWQ!$LP$2:$LP$60=V$4)*(GMWQ!$LR$2:$LR$60=V$1),0),$B300-1966)</f>
        <v>1.3514149999999999E-3</v>
      </c>
      <c r="W300" s="7" cm="1">
        <f t="array" ref="W300">INDEX(GMWQ!$A$2:$LR$60,MATCH(1,(GMWQ!$LQ$2:$LQ$60=W$3)*(GMWQ!$LP$2:$LP$60=W$4)*(GMWQ!$LR$2:$LR$60=W$1),0),$B300-1966)</f>
        <v>9.3415730000000003</v>
      </c>
      <c r="X300" s="7" cm="1">
        <f t="array" ref="X300">INDEX(GMWQ!$A$2:$LR$60,MATCH(1,(GMWQ!$LQ$2:$LQ$60=X$3)*(GMWQ!$LP$2:$LP$60=X$4)*(GMWQ!$LR$2:$LR$60=X$1),0),$B300-1966)</f>
        <v>14281330</v>
      </c>
      <c r="Y300" s="7" cm="1">
        <f t="array" ref="Y300">INDEX(GMWQ!$A$2:$LR$60,MATCH(1,(GMWQ!$LQ$2:$LQ$60=Y$3)*(GMWQ!$LP$2:$LP$60=Y$4)*(GMWQ!$LR$2:$LR$60=Y$1),0),$B300-1966)</f>
        <v>192.69470000000001</v>
      </c>
      <c r="Z300" s="7" cm="1">
        <f t="array" ref="Z300">INDEX(GMWQ!$A$2:$LR$60,MATCH(1,(GMWQ!$LQ$2:$LQ$60=Z$3)*(GMWQ!$LP$2:$LP$60=Z$4)*(GMWQ!$LR$2:$LR$60=Z$1),0),$B300-1966)</f>
        <v>801080.4</v>
      </c>
      <c r="AA300" s="7" cm="1">
        <f t="array" ref="AA300">INDEX(GMWQ!$A$2:$LR$60,MATCH(1,(GMWQ!$LQ$2:$LQ$60=AA$3)*(GMWQ!$LP$2:$LP$60=AA$4)*(GMWQ!$LR$2:$LR$60=AA$1),0),$B300-1966)</f>
        <v>627633.19999999995</v>
      </c>
      <c r="AB300" s="7" cm="1">
        <f t="array" ref="AB300">INDEX(GMWQ!$A$2:$LR$60,MATCH(1,(GMWQ!$LQ$2:$LQ$60=AB$3)*(GMWQ!$LP$2:$LP$60=AB$4)*(GMWQ!$LR$2:$LR$60=AB$1),0),$B300-1966)</f>
        <v>598431.6</v>
      </c>
      <c r="AC300" s="7" cm="1">
        <f t="array" ref="AC300">INDEX(GMWQ!$A$2:$LR$60,MATCH(1,(GMWQ!$LQ$2:$LQ$60=AC$3)*(GMWQ!$LP$2:$LP$60=AC$4)*(GMWQ!$LR$2:$LR$60=AC$1),0),$B300-1966)</f>
        <v>19881.580000000002</v>
      </c>
      <c r="AD300" s="7" cm="1">
        <f t="array" ref="AD300">INDEX(GMWQ!$A$2:$LR$60,MATCH(1,(GMWQ!$LQ$2:$LQ$60=AD$3)*(GMWQ!$LP$2:$LP$60=AD$4)*(GMWQ!$LR$2:$LR$60=AD$1),0),$B300-1966)</f>
        <v>34356.74</v>
      </c>
      <c r="AE300" s="7" cm="1">
        <f t="array" ref="AE300">INDEX(GMWQ!$A$2:$LR$60,MATCH(1,(GMWQ!$LQ$2:$LQ$60=AE$3)*(GMWQ!$LP$2:$LP$60=AE$4)*(GMWQ!$LR$2:$LR$60=AE$1),0),$B300-1966)</f>
        <v>1543639</v>
      </c>
      <c r="AF300" s="20" cm="1">
        <f t="array" ref="AF300">INDEX(GMWQ!$A$2:$LR$60,MATCH(1,(GMWQ!$LQ$2:$LQ$60=AF$3)*(GMWQ!$LP$2:$LP$60=AF$4)*(GMWQ!$LR$2:$LR$60=AF$1),0),$B300-1966)</f>
        <v>2</v>
      </c>
      <c r="AG300" s="20" cm="1">
        <f t="array" ref="AG300">INDEX(GMWQ!$A$2:$LR$60,MATCH(1,(GMWQ!$LQ$2:$LQ$60=AG$3)*(GMWQ!$LP$2:$LP$60=AG$4)*(GMWQ!$LR$2:$LR$60=AG$1),0),$B300-1966)</f>
        <v>-19274.53</v>
      </c>
      <c r="AI300" s="23" cm="1">
        <f t="array" ref="AI300">INDEX(GMWQ!$A$2:$LR$60,MATCH(1,(GMWQ!$LQ$2:$LQ$60=AI$3)*(GMWQ!$LP$2:$LP$60=AI$4)*(GMWQ!$LR$2:$LR$60=AI$1),0),$B300-1966)</f>
        <v>982198.4</v>
      </c>
      <c r="AJ300" s="23" cm="1">
        <f t="array" ref="AJ300">INDEX(GMWQ!$A$2:$LR$60,MATCH(1,(GMWQ!$LQ$2:$LQ$60=AJ$3)*(GMWQ!$LP$2:$LP$60=AJ$4)*(GMWQ!$LR$2:$LR$60=AJ$1),0),$B300-1966)</f>
        <v>188.43180000000001</v>
      </c>
      <c r="AK300" s="23" cm="1">
        <f t="array" ref="AK300">INDEX(GMWQ!$A$2:$LR$60,MATCH(1,(GMWQ!$LQ$2:$LQ$60=AK$3)*(GMWQ!$LP$2:$LP$60=AK$4)*(GMWQ!$LR$2:$LR$60=AK$1),0),$B300-1966)</f>
        <v>618755.6</v>
      </c>
      <c r="AL300" s="23" cm="1">
        <f t="array" ref="AL300">INDEX(GMWQ!$A$2:$LR$60,MATCH(1,(GMWQ!$LQ$2:$LQ$60=AL$3)*(GMWQ!$LP$2:$LP$60=AL$4)*(GMWQ!$LR$2:$LR$60=AL$1),0),$B300-1966)</f>
        <v>18987.54</v>
      </c>
      <c r="AM300" s="23" cm="1">
        <f t="array" ref="AM300">INDEX(GMWQ!$A$2:$LR$60,MATCH(1,(GMWQ!$LQ$2:$LQ$60=AM$3)*(GMWQ!$LP$2:$LP$60=AM$4)*(GMWQ!$LR$2:$LR$60=AM$1),0),$B300-1966)</f>
        <v>32587.45</v>
      </c>
      <c r="AN300" s="23" cm="1">
        <f t="array" ref="AN300">INDEX(GMWQ!$A$2:$LR$60,MATCH(1,(GMWQ!$LQ$2:$LQ$60=AN$3)*(GMWQ!$LP$2:$LP$60=AN$4)*(GMWQ!$LR$2:$LR$60=AN$1),0),$B300-1966)</f>
        <v>184554</v>
      </c>
      <c r="AO300" s="23" cm="1">
        <f t="array" ref="AO300">INDEX(GMWQ!$A$2:$LR$60,MATCH(1,(GMWQ!$LQ$2:$LQ$60=AO$3)*(GMWQ!$LP$2:$LP$60=AO$4)*(GMWQ!$LR$2:$LR$60=AO$1),0),$B300-1966)</f>
        <v>41611.31</v>
      </c>
      <c r="AP300" s="23" cm="1">
        <f t="array" ref="AP300">INDEX(GMWQ!$A$2:$LR$60,MATCH(1,(GMWQ!$LQ$2:$LQ$60=AP$3)*(GMWQ!$LP$2:$LP$60=AP$4)*(GMWQ!$LR$2:$LR$60=AP$1),0),$B300-1966)</f>
        <v>-19274.53</v>
      </c>
      <c r="AQ300" s="23" cm="1">
        <f t="array" ref="AQ300">INDEX(GMWQ!$A$2:$LR$60,MATCH(1,(GMWQ!$LQ$2:$LQ$60=AQ$3)*(GMWQ!$LP$2:$LP$60=AQ$4)*(GMWQ!$LR$2:$LR$60=AQ$1),0),$B300-1966)</f>
        <v>216182.7</v>
      </c>
      <c r="AR300" s="23" cm="1">
        <f t="array" ref="AR300">INDEX(GMWQ!$A$2:$LR$60,MATCH(1,(GMWQ!$LQ$2:$LQ$60=AR$3)*(GMWQ!$LP$2:$LP$60=AR$4)*(GMWQ!$LR$2:$LR$60=AR$1),0),$B300-1966)</f>
        <v>906486.9</v>
      </c>
      <c r="AS300" s="23" cm="1">
        <f t="array" ref="AS300">INDEX(GMWQ!$A$2:$LR$60,MATCH(1,(GMWQ!$LQ$2:$LQ$60=AS$3)*(GMWQ!$LP$2:$LP$60=AS$4)*(GMWQ!$LR$2:$LR$60=AS$1),0),$B300-1966)</f>
        <v>31223.24</v>
      </c>
      <c r="AT300" s="23" cm="1">
        <f t="array" ref="AT300">INDEX(GMWQ!$A$2:$LR$60,MATCH(1,(GMWQ!$LQ$2:$LQ$60=AT$3)*(GMWQ!$LP$2:$LP$60=AT$4)*(GMWQ!$LR$2:$LR$60=AT$1),0),$B300-1966)</f>
        <v>481069</v>
      </c>
      <c r="AU300" s="23" cm="1">
        <f t="array" ref="AU300">INDEX(GMWQ!$A$2:$LR$60,MATCH(1,(GMWQ!$LQ$2:$LQ$60=AU$3)*(GMWQ!$LP$2:$LP$60=AU$4)*(GMWQ!$LR$2:$LR$60=AU$1),0),$B300-1966)</f>
        <v>17120.96</v>
      </c>
    </row>
    <row r="301" spans="1:47" x14ac:dyDescent="0.35">
      <c r="B301" s="7">
        <f t="shared" si="5"/>
        <v>2267</v>
      </c>
      <c r="C301" s="7" cm="1">
        <f t="array" ref="C301">INDEX(GMWQ!$A$2:$LR$60,MATCH(1,(GMWQ!$LQ$2:$LQ$60=C$3)*(GMWQ!$LP$2:$LP$60=C$4)*(GMWQ!$LR$2:$LR$60=C$1),0),$B301-1966)</f>
        <v>804056.8</v>
      </c>
      <c r="D301" s="7" cm="1">
        <f t="array" ref="D301">INDEX(GMWQ!$A$2:$LR$60,MATCH(1,(GMWQ!$LQ$2:$LQ$60=D$3)*(GMWQ!$LP$2:$LP$60=D$4)*(GMWQ!$LR$2:$LR$60=D$1),0),$B301-1966)</f>
        <v>1315.9459999999999</v>
      </c>
      <c r="E301" s="7" cm="1">
        <f t="array" ref="E301">INDEX(GMWQ!$A$2:$LR$60,MATCH(1,(GMWQ!$LQ$2:$LQ$60=E$3)*(GMWQ!$LP$2:$LP$60=E$4)*(GMWQ!$LR$2:$LR$60=E$1),0),$B301-1966)</f>
        <v>207.9452</v>
      </c>
      <c r="F301" s="7" cm="1">
        <f t="array" ref="F301">INDEX(GMWQ!$A$2:$LR$60,MATCH(1,(GMWQ!$LQ$2:$LQ$60=F$3)*(GMWQ!$LP$2:$LP$60=F$4)*(GMWQ!$LR$2:$LR$60=F$1),0),$B301-1966)</f>
        <v>624169.6</v>
      </c>
      <c r="G301" s="7" cm="1">
        <f t="array" ref="G301">INDEX(GMWQ!$A$2:$LR$60,MATCH(1,(GMWQ!$LQ$2:$LQ$60=G$3)*(GMWQ!$LP$2:$LP$60=G$4)*(GMWQ!$LR$2:$LR$60=G$1),0),$B301-1966)</f>
        <v>186378.6</v>
      </c>
      <c r="H301" s="7" cm="1">
        <f t="array" ref="H301">INDEX(GMWQ!$A$2:$LR$60,MATCH(1,(GMWQ!$LQ$2:$LQ$60=H$3)*(GMWQ!$LP$2:$LP$60=H$4)*(GMWQ!$LR$2:$LR$60=H$1),0),$B301-1966)</f>
        <v>41975.41</v>
      </c>
      <c r="I301" s="7" cm="1">
        <f t="array" ref="I301">INDEX(GMWQ!$A$2:$LR$60,MATCH(1,(GMWQ!$LQ$2:$LQ$60=I$3)*(GMWQ!$LP$2:$LP$60=I$4)*(GMWQ!$LR$2:$LR$60=I$1),0),$B301-1966)</f>
        <v>189.36680000000001</v>
      </c>
      <c r="J301" s="7" cm="1">
        <f t="array" ref="J301">INDEX(GMWQ!$A$2:$LR$60,MATCH(1,(GMWQ!$LQ$2:$LQ$60=J$3)*(GMWQ!$LP$2:$LP$60=J$4)*(GMWQ!$LR$2:$LR$60=J$1),0),$B301-1966)</f>
        <v>32617</v>
      </c>
      <c r="K301" s="7" cm="1">
        <f t="array" ref="K301">INDEX(GMWQ!$A$2:$LR$60,MATCH(1,(GMWQ!$LQ$2:$LQ$60=K$3)*(GMWQ!$LP$2:$LP$60=K$4)*(GMWQ!$LR$2:$LR$60=K$1),0),$B301-1966)</f>
        <v>2</v>
      </c>
      <c r="L301" s="7" cm="1">
        <f t="array" ref="L301">INDEX(GMWQ!$A$2:$LR$60,MATCH(1,(GMWQ!$LQ$2:$LQ$60=L$3)*(GMWQ!$LP$2:$LP$60=L$4)*(GMWQ!$LR$2:$LR$60=L$1),0),$B301-1966)</f>
        <v>3.7499980000000002</v>
      </c>
      <c r="M301" s="7" cm="1">
        <f t="array" ref="M301">INDEX(GMWQ!$A$2:$LR$60,MATCH(1,(GMWQ!$LQ$2:$LQ$60=M$3)*(GMWQ!$LP$2:$LP$60=M$4)*(GMWQ!$LR$2:$LR$60=M$1),0),$B301-1966)</f>
        <v>304.16340000000002</v>
      </c>
      <c r="N301" s="7" cm="1">
        <f t="array" ref="N301">INDEX(GMWQ!$A$2:$LR$60,MATCH(1,(GMWQ!$LQ$2:$LQ$60=N$3)*(GMWQ!$LP$2:$LP$60=N$4)*(GMWQ!$LR$2:$LR$60=N$1),0),$B301-1966)</f>
        <v>44505.33</v>
      </c>
      <c r="O301" s="7" cm="1">
        <f t="array" ref="O301">INDEX(GMWQ!$A$2:$LR$60,MATCH(1,(GMWQ!$LQ$2:$LQ$60=O$3)*(GMWQ!$LP$2:$LP$60=O$4)*(GMWQ!$LR$2:$LR$60=O$1),0),$B301-1966)</f>
        <v>25014.68</v>
      </c>
      <c r="P301" s="7" cm="1">
        <f t="array" ref="P301">INDEX(GMWQ!$A$2:$LR$60,MATCH(1,(GMWQ!$LQ$2:$LQ$60=P$3)*(GMWQ!$LP$2:$LP$60=P$4)*(GMWQ!$LR$2:$LR$60=P$1),0),$B301-1966)</f>
        <v>990757.8</v>
      </c>
      <c r="Q301" s="7" cm="1">
        <f t="array" ref="Q301">INDEX(GMWQ!$A$2:$LR$60,MATCH(1,(GMWQ!$LQ$2:$LQ$60=Q$3)*(GMWQ!$LP$2:$LP$60=Q$4)*(GMWQ!$LR$2:$LR$60=Q$1),0),$B301-1966)</f>
        <v>3.5</v>
      </c>
      <c r="R301" s="7" cm="1">
        <f t="array" ref="R301">INDEX(GMWQ!$A$2:$LR$60,MATCH(1,(GMWQ!$LQ$2:$LQ$60=R$3)*(GMWQ!$LP$2:$LP$60=R$4)*(GMWQ!$LR$2:$LR$60=R$1),0),$B301-1966)</f>
        <v>256466.6</v>
      </c>
      <c r="S301" s="7" cm="1">
        <f t="array" ref="S301">INDEX(GMWQ!$A$2:$LR$60,MATCH(1,(GMWQ!$LQ$2:$LQ$60=S$3)*(GMWQ!$LP$2:$LP$60=S$4)*(GMWQ!$LR$2:$LR$60=S$1),0),$B301-1966)</f>
        <v>382.5881</v>
      </c>
      <c r="T301" s="7" cm="1">
        <f t="array" ref="T301">INDEX(GMWQ!$A$2:$LR$60,MATCH(1,(GMWQ!$LQ$2:$LQ$60=T$3)*(GMWQ!$LP$2:$LP$60=T$4)*(GMWQ!$LR$2:$LR$60=T$1),0),$B301-1966)</f>
        <v>151293.1</v>
      </c>
      <c r="U301" s="7" cm="1">
        <f t="array" ref="U301">INDEX(GMWQ!$A$2:$LR$60,MATCH(1,(GMWQ!$LQ$2:$LQ$60=U$3)*(GMWQ!$LP$2:$LP$60=U$4)*(GMWQ!$LR$2:$LR$60=U$1),0),$B301-1966)</f>
        <v>16325.8</v>
      </c>
      <c r="V301" s="7" cm="1">
        <f t="array" ref="V301">INDEX(GMWQ!$A$2:$LR$60,MATCH(1,(GMWQ!$LQ$2:$LQ$60=V$3)*(GMWQ!$LP$2:$LP$60=V$4)*(GMWQ!$LR$2:$LR$60=V$1),0),$B301-1966)</f>
        <v>1.3507980000000001E-3</v>
      </c>
      <c r="W301" s="7" cm="1">
        <f t="array" ref="W301">INDEX(GMWQ!$A$2:$LR$60,MATCH(1,(GMWQ!$LQ$2:$LQ$60=W$3)*(GMWQ!$LP$2:$LP$60=W$4)*(GMWQ!$LR$2:$LR$60=W$1),0),$B301-1966)</f>
        <v>9.3354269999999993</v>
      </c>
      <c r="X301" s="7" cm="1">
        <f t="array" ref="X301">INDEX(GMWQ!$A$2:$LR$60,MATCH(1,(GMWQ!$LQ$2:$LQ$60=X$3)*(GMWQ!$LP$2:$LP$60=X$4)*(GMWQ!$LR$2:$LR$60=X$1),0),$B301-1966)</f>
        <v>14429940</v>
      </c>
      <c r="Y301" s="7" cm="1">
        <f t="array" ref="Y301">INDEX(GMWQ!$A$2:$LR$60,MATCH(1,(GMWQ!$LQ$2:$LQ$60=Y$3)*(GMWQ!$LP$2:$LP$60=Y$4)*(GMWQ!$LR$2:$LR$60=Y$1),0),$B301-1966)</f>
        <v>193.74</v>
      </c>
      <c r="Z301" s="7" cm="1">
        <f t="array" ref="Z301">INDEX(GMWQ!$A$2:$LR$60,MATCH(1,(GMWQ!$LQ$2:$LQ$60=Z$3)*(GMWQ!$LP$2:$LP$60=Z$4)*(GMWQ!$LR$2:$LR$60=Z$1),0),$B301-1966)</f>
        <v>804056.3</v>
      </c>
      <c r="AA301" s="7" cm="1">
        <f t="array" ref="AA301">INDEX(GMWQ!$A$2:$LR$60,MATCH(1,(GMWQ!$LQ$2:$LQ$60=AA$3)*(GMWQ!$LP$2:$LP$60=AA$4)*(GMWQ!$LR$2:$LR$60=AA$1),0),$B301-1966)</f>
        <v>648921.1</v>
      </c>
      <c r="AB301" s="7" cm="1">
        <f t="array" ref="AB301">INDEX(GMWQ!$A$2:$LR$60,MATCH(1,(GMWQ!$LQ$2:$LQ$60=AB$3)*(GMWQ!$LP$2:$LP$60=AB$4)*(GMWQ!$LR$2:$LR$60=AB$1),0),$B301-1966)</f>
        <v>603634.1</v>
      </c>
      <c r="AC301" s="7" cm="1">
        <f t="array" ref="AC301">INDEX(GMWQ!$A$2:$LR$60,MATCH(1,(GMWQ!$LQ$2:$LQ$60=AC$3)*(GMWQ!$LP$2:$LP$60=AC$4)*(GMWQ!$LR$2:$LR$60=AC$1),0),$B301-1966)</f>
        <v>22636.080000000002</v>
      </c>
      <c r="AD301" s="7" cm="1">
        <f t="array" ref="AD301">INDEX(GMWQ!$A$2:$LR$60,MATCH(1,(GMWQ!$LQ$2:$LQ$60=AD$3)*(GMWQ!$LP$2:$LP$60=AD$4)*(GMWQ!$LR$2:$LR$60=AD$1),0),$B301-1966)</f>
        <v>34356.74</v>
      </c>
      <c r="AE301" s="7" cm="1">
        <f t="array" ref="AE301">INDEX(GMWQ!$A$2:$LR$60,MATCH(1,(GMWQ!$LQ$2:$LQ$60=AE$3)*(GMWQ!$LP$2:$LP$60=AE$4)*(GMWQ!$LR$2:$LR$60=AE$1),0),$B301-1966)</f>
        <v>1557780</v>
      </c>
      <c r="AF301" s="20" cm="1">
        <f t="array" ref="AF301">INDEX(GMWQ!$A$2:$LR$60,MATCH(1,(GMWQ!$LQ$2:$LQ$60=AF$3)*(GMWQ!$LP$2:$LP$60=AF$4)*(GMWQ!$LR$2:$LR$60=AF$1),0),$B301-1966)</f>
        <v>2</v>
      </c>
      <c r="AG301" s="20" cm="1">
        <f t="array" ref="AG301">INDEX(GMWQ!$A$2:$LR$60,MATCH(1,(GMWQ!$LQ$2:$LQ$60=AG$3)*(GMWQ!$LP$2:$LP$60=AG$4)*(GMWQ!$LR$2:$LR$60=AG$1),0),$B301-1966)</f>
        <v>-19490.650000000001</v>
      </c>
      <c r="AI301" s="23" cm="1">
        <f t="array" ref="AI301">INDEX(GMWQ!$A$2:$LR$60,MATCH(1,(GMWQ!$LQ$2:$LQ$60=AI$3)*(GMWQ!$LP$2:$LP$60=AI$4)*(GMWQ!$LR$2:$LR$60=AI$1),0),$B301-1966)</f>
        <v>990757.8</v>
      </c>
      <c r="AJ301" s="23" cm="1">
        <f t="array" ref="AJ301">INDEX(GMWQ!$A$2:$LR$60,MATCH(1,(GMWQ!$LQ$2:$LQ$60=AJ$3)*(GMWQ!$LP$2:$LP$60=AJ$4)*(GMWQ!$LR$2:$LR$60=AJ$1),0),$B301-1966)</f>
        <v>189.36680000000001</v>
      </c>
      <c r="AK301" s="23" cm="1">
        <f t="array" ref="AK301">INDEX(GMWQ!$A$2:$LR$60,MATCH(1,(GMWQ!$LQ$2:$LQ$60=AK$3)*(GMWQ!$LP$2:$LP$60=AK$4)*(GMWQ!$LR$2:$LR$60=AK$1),0),$B301-1966)</f>
        <v>624169.6</v>
      </c>
      <c r="AL301" s="23" cm="1">
        <f t="array" ref="AL301">INDEX(GMWQ!$A$2:$LR$60,MATCH(1,(GMWQ!$LQ$2:$LQ$60=AL$3)*(GMWQ!$LP$2:$LP$60=AL$4)*(GMWQ!$LR$2:$LR$60=AL$1),0),$B301-1966)</f>
        <v>19136.330000000002</v>
      </c>
      <c r="AM301" s="23" cm="1">
        <f t="array" ref="AM301">INDEX(GMWQ!$A$2:$LR$60,MATCH(1,(GMWQ!$LQ$2:$LQ$60=AM$3)*(GMWQ!$LP$2:$LP$60=AM$4)*(GMWQ!$LR$2:$LR$60=AM$1),0),$B301-1966)</f>
        <v>32617</v>
      </c>
      <c r="AN301" s="23" cm="1">
        <f t="array" ref="AN301">INDEX(GMWQ!$A$2:$LR$60,MATCH(1,(GMWQ!$LQ$2:$LQ$60=AN$3)*(GMWQ!$LP$2:$LP$60=AN$4)*(GMWQ!$LR$2:$LR$60=AN$1),0),$B301-1966)</f>
        <v>186378.6</v>
      </c>
      <c r="AO301" s="23" cm="1">
        <f t="array" ref="AO301">INDEX(GMWQ!$A$2:$LR$60,MATCH(1,(GMWQ!$LQ$2:$LQ$60=AO$3)*(GMWQ!$LP$2:$LP$60=AO$4)*(GMWQ!$LR$2:$LR$60=AO$1),0),$B301-1966)</f>
        <v>41975.41</v>
      </c>
      <c r="AP301" s="23" cm="1">
        <f t="array" ref="AP301">INDEX(GMWQ!$A$2:$LR$60,MATCH(1,(GMWQ!$LQ$2:$LQ$60=AP$3)*(GMWQ!$LP$2:$LP$60=AP$4)*(GMWQ!$LR$2:$LR$60=AP$1),0),$B301-1966)</f>
        <v>-19490.650000000001</v>
      </c>
      <c r="AQ301" s="23" cm="1">
        <f t="array" ref="AQ301">INDEX(GMWQ!$A$2:$LR$60,MATCH(1,(GMWQ!$LQ$2:$LQ$60=AQ$3)*(GMWQ!$LP$2:$LP$60=AQ$4)*(GMWQ!$LR$2:$LR$60=AQ$1),0),$B301-1966)</f>
        <v>218124.79999999999</v>
      </c>
      <c r="AR301" s="23" cm="1">
        <f t="array" ref="AR301">INDEX(GMWQ!$A$2:$LR$60,MATCH(1,(GMWQ!$LQ$2:$LQ$60=AR$3)*(GMWQ!$LP$2:$LP$60=AR$4)*(GMWQ!$LR$2:$LR$60=AR$1),0),$B301-1966)</f>
        <v>914374.1</v>
      </c>
      <c r="AS301" s="23" cm="1">
        <f t="array" ref="AS301">INDEX(GMWQ!$A$2:$LR$60,MATCH(1,(GMWQ!$LQ$2:$LQ$60=AS$3)*(GMWQ!$LP$2:$LP$60=AS$4)*(GMWQ!$LR$2:$LR$60=AS$1),0),$B301-1966)</f>
        <v>31503.759999999998</v>
      </c>
      <c r="AT301" s="23" cm="1">
        <f t="array" ref="AT301">INDEX(GMWQ!$A$2:$LR$60,MATCH(1,(GMWQ!$LQ$2:$LQ$60=AT$3)*(GMWQ!$LP$2:$LP$60=AT$4)*(GMWQ!$LR$2:$LR$60=AT$1),0),$B301-1966)</f>
        <v>482858.7</v>
      </c>
      <c r="AU301" s="23" cm="1">
        <f t="array" ref="AU301">INDEX(GMWQ!$A$2:$LR$60,MATCH(1,(GMWQ!$LQ$2:$LQ$60=AU$3)*(GMWQ!$LP$2:$LP$60=AU$4)*(GMWQ!$LR$2:$LR$60=AU$1),0),$B301-1966)</f>
        <v>17184.560000000001</v>
      </c>
    </row>
    <row r="302" spans="1:47" x14ac:dyDescent="0.35">
      <c r="B302" s="7">
        <f t="shared" si="5"/>
        <v>2268</v>
      </c>
      <c r="C302" s="7" cm="1">
        <f t="array" ref="C302">INDEX(GMWQ!$A$2:$LR$60,MATCH(1,(GMWQ!$LQ$2:$LQ$60=C$3)*(GMWQ!$LP$2:$LP$60=C$4)*(GMWQ!$LR$2:$LR$60=C$1),0),$B302-1966)</f>
        <v>807041</v>
      </c>
      <c r="D302" s="7" cm="1">
        <f t="array" ref="D302">INDEX(GMWQ!$A$2:$LR$60,MATCH(1,(GMWQ!$LQ$2:$LQ$60=D$3)*(GMWQ!$LP$2:$LP$60=D$4)*(GMWQ!$LR$2:$LR$60=D$1),0),$B302-1966)</f>
        <v>1326.2539999999999</v>
      </c>
      <c r="E302" s="7" cm="1">
        <f t="array" ref="E302">INDEX(GMWQ!$A$2:$LR$60,MATCH(1,(GMWQ!$LQ$2:$LQ$60=E$3)*(GMWQ!$LP$2:$LP$60=E$4)*(GMWQ!$LR$2:$LR$60=E$1),0),$B302-1966)</f>
        <v>208.8235</v>
      </c>
      <c r="F302" s="7" cm="1">
        <f t="array" ref="F302">INDEX(GMWQ!$A$2:$LR$60,MATCH(1,(GMWQ!$LQ$2:$LQ$60=F$3)*(GMWQ!$LP$2:$LP$60=F$4)*(GMWQ!$LR$2:$LR$60=F$1),0),$B302-1966)</f>
        <v>629628.30000000005</v>
      </c>
      <c r="G302" s="7" cm="1">
        <f t="array" ref="G302">INDEX(GMWQ!$A$2:$LR$60,MATCH(1,(GMWQ!$LQ$2:$LQ$60=G$3)*(GMWQ!$LP$2:$LP$60=G$4)*(GMWQ!$LR$2:$LR$60=G$1),0),$B302-1966)</f>
        <v>188218</v>
      </c>
      <c r="H302" s="7" cm="1">
        <f t="array" ref="H302">INDEX(GMWQ!$A$2:$LR$60,MATCH(1,(GMWQ!$LQ$2:$LQ$60=H$3)*(GMWQ!$LP$2:$LP$60=H$4)*(GMWQ!$LR$2:$LR$60=H$1),0),$B302-1966)</f>
        <v>42342.5</v>
      </c>
      <c r="I302" s="7" cm="1">
        <f t="array" ref="I302">INDEX(GMWQ!$A$2:$LR$60,MATCH(1,(GMWQ!$LQ$2:$LQ$60=I$3)*(GMWQ!$LP$2:$LP$60=I$4)*(GMWQ!$LR$2:$LR$60=I$1),0),$B302-1966)</f>
        <v>190.3064</v>
      </c>
      <c r="J302" s="7" cm="1">
        <f t="array" ref="J302">INDEX(GMWQ!$A$2:$LR$60,MATCH(1,(GMWQ!$LQ$2:$LQ$60=J$3)*(GMWQ!$LP$2:$LP$60=J$4)*(GMWQ!$LR$2:$LR$60=J$1),0),$B302-1966)</f>
        <v>32646.54</v>
      </c>
      <c r="K302" s="7" cm="1">
        <f t="array" ref="K302">INDEX(GMWQ!$A$2:$LR$60,MATCH(1,(GMWQ!$LQ$2:$LQ$60=K$3)*(GMWQ!$LP$2:$LP$60=K$4)*(GMWQ!$LR$2:$LR$60=K$1),0),$B302-1966)</f>
        <v>2</v>
      </c>
      <c r="L302" s="7" cm="1">
        <f t="array" ref="L302">INDEX(GMWQ!$A$2:$LR$60,MATCH(1,(GMWQ!$LQ$2:$LQ$60=L$3)*(GMWQ!$LP$2:$LP$60=L$4)*(GMWQ!$LR$2:$LR$60=L$1),0),$B302-1966)</f>
        <v>3.7500260000000001</v>
      </c>
      <c r="M302" s="7" cm="1">
        <f t="array" ref="M302">INDEX(GMWQ!$A$2:$LR$60,MATCH(1,(GMWQ!$LQ$2:$LQ$60=M$3)*(GMWQ!$LP$2:$LP$60=M$4)*(GMWQ!$LR$2:$LR$60=M$1),0),$B302-1966)</f>
        <v>306.81400000000002</v>
      </c>
      <c r="N302" s="7" cm="1">
        <f t="array" ref="N302">INDEX(GMWQ!$A$2:$LR$60,MATCH(1,(GMWQ!$LQ$2:$LQ$60=N$3)*(GMWQ!$LP$2:$LP$60=N$4)*(GMWQ!$LR$2:$LR$60=N$1),0),$B302-1966)</f>
        <v>44828.04</v>
      </c>
      <c r="O302" s="7" cm="1">
        <f t="array" ref="O302">INDEX(GMWQ!$A$2:$LR$60,MATCH(1,(GMWQ!$LQ$2:$LQ$60=O$3)*(GMWQ!$LP$2:$LP$60=O$4)*(GMWQ!$LR$2:$LR$60=O$1),0),$B302-1966)</f>
        <v>25127.61</v>
      </c>
      <c r="P302" s="7" cm="1">
        <f t="array" ref="P302">INDEX(GMWQ!$A$2:$LR$60,MATCH(1,(GMWQ!$LQ$2:$LQ$60=P$3)*(GMWQ!$LP$2:$LP$60=P$4)*(GMWQ!$LR$2:$LR$60=P$1),0),$B302-1966)</f>
        <v>999387.5</v>
      </c>
      <c r="Q302" s="7" cm="1">
        <f t="array" ref="Q302">INDEX(GMWQ!$A$2:$LR$60,MATCH(1,(GMWQ!$LQ$2:$LQ$60=Q$3)*(GMWQ!$LP$2:$LP$60=Q$4)*(GMWQ!$LR$2:$LR$60=Q$1),0),$B302-1966)</f>
        <v>3.5</v>
      </c>
      <c r="R302" s="7" cm="1">
        <f t="array" ref="R302">INDEX(GMWQ!$A$2:$LR$60,MATCH(1,(GMWQ!$LQ$2:$LQ$60=R$3)*(GMWQ!$LP$2:$LP$60=R$4)*(GMWQ!$LR$2:$LR$60=R$1),0),$B302-1966)</f>
        <v>256464.4</v>
      </c>
      <c r="S302" s="7" cm="1">
        <f t="array" ref="S302">INDEX(GMWQ!$A$2:$LR$60,MATCH(1,(GMWQ!$LQ$2:$LQ$60=S$3)*(GMWQ!$LP$2:$LP$60=S$4)*(GMWQ!$LR$2:$LR$60=S$1),0),$B302-1966)</f>
        <v>382.58479999999997</v>
      </c>
      <c r="T302" s="7" cm="1">
        <f t="array" ref="T302">INDEX(GMWQ!$A$2:$LR$60,MATCH(1,(GMWQ!$LQ$2:$LQ$60=T$3)*(GMWQ!$LP$2:$LP$60=T$4)*(GMWQ!$LR$2:$LR$60=T$1),0),$B302-1966)</f>
        <v>151869.6</v>
      </c>
      <c r="U302" s="7" cm="1">
        <f t="array" ref="U302">INDEX(GMWQ!$A$2:$LR$60,MATCH(1,(GMWQ!$LQ$2:$LQ$60=U$3)*(GMWQ!$LP$2:$LP$60=U$4)*(GMWQ!$LR$2:$LR$60=U$1),0),$B302-1966)</f>
        <v>16271.33</v>
      </c>
      <c r="V302" s="7" cm="1">
        <f t="array" ref="V302">INDEX(GMWQ!$A$2:$LR$60,MATCH(1,(GMWQ!$LQ$2:$LQ$60=V$3)*(GMWQ!$LP$2:$LP$60=V$4)*(GMWQ!$LR$2:$LR$60=V$1),0),$B302-1966)</f>
        <v>1.3512890000000001E-3</v>
      </c>
      <c r="W302" s="7" cm="1">
        <f t="array" ref="W302">INDEX(GMWQ!$A$2:$LR$60,MATCH(1,(GMWQ!$LQ$2:$LQ$60=W$3)*(GMWQ!$LP$2:$LP$60=W$4)*(GMWQ!$LR$2:$LR$60=W$1),0),$B302-1966)</f>
        <v>9.3287890000000004</v>
      </c>
      <c r="X302" s="7" cm="1">
        <f t="array" ref="X302">INDEX(GMWQ!$A$2:$LR$60,MATCH(1,(GMWQ!$LQ$2:$LQ$60=X$3)*(GMWQ!$LP$2:$LP$60=X$4)*(GMWQ!$LR$2:$LR$60=X$1),0),$B302-1966)</f>
        <v>14545000</v>
      </c>
      <c r="Y302" s="7" cm="1">
        <f t="array" ref="Y302">INDEX(GMWQ!$A$2:$LR$60,MATCH(1,(GMWQ!$LQ$2:$LQ$60=Y$3)*(GMWQ!$LP$2:$LP$60=Y$4)*(GMWQ!$LR$2:$LR$60=Y$1),0),$B302-1966)</f>
        <v>194.791</v>
      </c>
      <c r="Z302" s="7" cm="1">
        <f t="array" ref="Z302">INDEX(GMWQ!$A$2:$LR$60,MATCH(1,(GMWQ!$LQ$2:$LQ$60=Z$3)*(GMWQ!$LP$2:$LP$60=Z$4)*(GMWQ!$LR$2:$LR$60=Z$1),0),$B302-1966)</f>
        <v>807040.8</v>
      </c>
      <c r="AA302" s="7" cm="1">
        <f t="array" ref="AA302">INDEX(GMWQ!$A$2:$LR$60,MATCH(1,(GMWQ!$LQ$2:$LQ$60=AA$3)*(GMWQ!$LP$2:$LP$60=AA$4)*(GMWQ!$LR$2:$LR$60=AA$1),0),$B302-1966)</f>
        <v>632344.9</v>
      </c>
      <c r="AB302" s="7" cm="1">
        <f t="array" ref="AB302">INDEX(GMWQ!$A$2:$LR$60,MATCH(1,(GMWQ!$LQ$2:$LQ$60=AB$3)*(GMWQ!$LP$2:$LP$60=AB$4)*(GMWQ!$LR$2:$LR$60=AB$1),0),$B302-1966)</f>
        <v>608696.1</v>
      </c>
      <c r="AC302" s="7" cm="1">
        <f t="array" ref="AC302">INDEX(GMWQ!$A$2:$LR$60,MATCH(1,(GMWQ!$LQ$2:$LQ$60=AC$3)*(GMWQ!$LP$2:$LP$60=AC$4)*(GMWQ!$LR$2:$LR$60=AC$1),0),$B302-1966)</f>
        <v>24152.17</v>
      </c>
      <c r="AD302" s="7" cm="1">
        <f t="array" ref="AD302">INDEX(GMWQ!$A$2:$LR$60,MATCH(1,(GMWQ!$LQ$2:$LQ$60=AD$3)*(GMWQ!$LP$2:$LP$60=AD$4)*(GMWQ!$LR$2:$LR$60=AD$1),0),$B302-1966)</f>
        <v>34356.74</v>
      </c>
      <c r="AE302" s="7" cm="1">
        <f t="array" ref="AE302">INDEX(GMWQ!$A$2:$LR$60,MATCH(1,(GMWQ!$LQ$2:$LQ$60=AE$3)*(GMWQ!$LP$2:$LP$60=AE$4)*(GMWQ!$LR$2:$LR$60=AE$1),0),$B302-1966)</f>
        <v>1572044</v>
      </c>
      <c r="AF302" s="20" cm="1">
        <f t="array" ref="AF302">INDEX(GMWQ!$A$2:$LR$60,MATCH(1,(GMWQ!$LQ$2:$LQ$60=AF$3)*(GMWQ!$LP$2:$LP$60=AF$4)*(GMWQ!$LR$2:$LR$60=AF$1),0),$B302-1966)</f>
        <v>2</v>
      </c>
      <c r="AG302" s="20" cm="1">
        <f t="array" ref="AG302">INDEX(GMWQ!$A$2:$LR$60,MATCH(1,(GMWQ!$LQ$2:$LQ$60=AG$3)*(GMWQ!$LP$2:$LP$60=AG$4)*(GMWQ!$LR$2:$LR$60=AG$1),0),$B302-1966)</f>
        <v>-19700.43</v>
      </c>
      <c r="AI302" s="23" cm="1">
        <f t="array" ref="AI302">INDEX(GMWQ!$A$2:$LR$60,MATCH(1,(GMWQ!$LQ$2:$LQ$60=AI$3)*(GMWQ!$LP$2:$LP$60=AI$4)*(GMWQ!$LR$2:$LR$60=AI$1),0),$B302-1966)</f>
        <v>999387.5</v>
      </c>
      <c r="AJ302" s="23" cm="1">
        <f t="array" ref="AJ302">INDEX(GMWQ!$A$2:$LR$60,MATCH(1,(GMWQ!$LQ$2:$LQ$60=AJ$3)*(GMWQ!$LP$2:$LP$60=AJ$4)*(GMWQ!$LR$2:$LR$60=AJ$1),0),$B302-1966)</f>
        <v>190.3064</v>
      </c>
      <c r="AK302" s="23" cm="1">
        <f t="array" ref="AK302">INDEX(GMWQ!$A$2:$LR$60,MATCH(1,(GMWQ!$LQ$2:$LQ$60=AK$3)*(GMWQ!$LP$2:$LP$60=AK$4)*(GMWQ!$LR$2:$LR$60=AK$1),0),$B302-1966)</f>
        <v>629628.30000000005</v>
      </c>
      <c r="AL302" s="23" cm="1">
        <f t="array" ref="AL302">INDEX(GMWQ!$A$2:$LR$60,MATCH(1,(GMWQ!$LQ$2:$LQ$60=AL$3)*(GMWQ!$LP$2:$LP$60=AL$4)*(GMWQ!$LR$2:$LR$60=AL$1),0),$B302-1966)</f>
        <v>19286.22</v>
      </c>
      <c r="AM302" s="23" cm="1">
        <f t="array" ref="AM302">INDEX(GMWQ!$A$2:$LR$60,MATCH(1,(GMWQ!$LQ$2:$LQ$60=AM$3)*(GMWQ!$LP$2:$LP$60=AM$4)*(GMWQ!$LR$2:$LR$60=AM$1),0),$B302-1966)</f>
        <v>32646.54</v>
      </c>
      <c r="AN302" s="23" cm="1">
        <f t="array" ref="AN302">INDEX(GMWQ!$A$2:$LR$60,MATCH(1,(GMWQ!$LQ$2:$LQ$60=AN$3)*(GMWQ!$LP$2:$LP$60=AN$4)*(GMWQ!$LR$2:$LR$60=AN$1),0),$B302-1966)</f>
        <v>188218</v>
      </c>
      <c r="AO302" s="23" cm="1">
        <f t="array" ref="AO302">INDEX(GMWQ!$A$2:$LR$60,MATCH(1,(GMWQ!$LQ$2:$LQ$60=AO$3)*(GMWQ!$LP$2:$LP$60=AO$4)*(GMWQ!$LR$2:$LR$60=AO$1),0),$B302-1966)</f>
        <v>42342.5</v>
      </c>
      <c r="AP302" s="23" cm="1">
        <f t="array" ref="AP302">INDEX(GMWQ!$A$2:$LR$60,MATCH(1,(GMWQ!$LQ$2:$LQ$60=AP$3)*(GMWQ!$LP$2:$LP$60=AP$4)*(GMWQ!$LR$2:$LR$60=AP$1),0),$B302-1966)</f>
        <v>-19700.43</v>
      </c>
      <c r="AQ302" s="23" cm="1">
        <f t="array" ref="AQ302">INDEX(GMWQ!$A$2:$LR$60,MATCH(1,(GMWQ!$LQ$2:$LQ$60=AQ$3)*(GMWQ!$LP$2:$LP$60=AQ$4)*(GMWQ!$LR$2:$LR$60=AQ$1),0),$B302-1966)</f>
        <v>220084.1</v>
      </c>
      <c r="AR302" s="23" cm="1">
        <f t="array" ref="AR302">INDEX(GMWQ!$A$2:$LR$60,MATCH(1,(GMWQ!$LQ$2:$LQ$60=AR$3)*(GMWQ!$LP$2:$LP$60=AR$4)*(GMWQ!$LR$2:$LR$60=AR$1),0),$B302-1966)</f>
        <v>922326.3</v>
      </c>
      <c r="AS302" s="23" cm="1">
        <f t="array" ref="AS302">INDEX(GMWQ!$A$2:$LR$60,MATCH(1,(GMWQ!$LQ$2:$LQ$60=AS$3)*(GMWQ!$LP$2:$LP$60=AS$4)*(GMWQ!$LR$2:$LR$60=AS$1),0),$B302-1966)</f>
        <v>31786.62</v>
      </c>
      <c r="AT302" s="23" cm="1">
        <f t="array" ref="AT302">INDEX(GMWQ!$A$2:$LR$60,MATCH(1,(GMWQ!$LQ$2:$LQ$60=AT$3)*(GMWQ!$LP$2:$LP$60=AT$4)*(GMWQ!$LR$2:$LR$60=AT$1),0),$B302-1966)</f>
        <v>484653.3</v>
      </c>
      <c r="AU302" s="23" cm="1">
        <f t="array" ref="AU302">INDEX(GMWQ!$A$2:$LR$60,MATCH(1,(GMWQ!$LQ$2:$LQ$60=AU$3)*(GMWQ!$LP$2:$LP$60=AU$4)*(GMWQ!$LR$2:$LR$60=AU$1),0),$B302-1966)</f>
        <v>17248.349999999999</v>
      </c>
    </row>
    <row r="303" spans="1:47" x14ac:dyDescent="0.35">
      <c r="A303" s="7">
        <v>2047</v>
      </c>
      <c r="B303" s="7">
        <f t="shared" si="5"/>
        <v>2269</v>
      </c>
      <c r="C303" s="7" cm="1">
        <f t="array" ref="C303">INDEX(GMWQ!$A$2:$LR$60,MATCH(1,(GMWQ!$LQ$2:$LQ$60=C$3)*(GMWQ!$LP$2:$LP$60=C$4)*(GMWQ!$LR$2:$LR$60=C$1),0),$B303-1966)</f>
        <v>810033</v>
      </c>
      <c r="D303" s="7" cm="1">
        <f t="array" ref="D303">INDEX(GMWQ!$A$2:$LR$60,MATCH(1,(GMWQ!$LQ$2:$LQ$60=D$3)*(GMWQ!$LP$2:$LP$60=D$4)*(GMWQ!$LR$2:$LR$60=D$1),0),$B303-1966)</f>
        <v>1336.6389999999999</v>
      </c>
      <c r="E303" s="7" cm="1">
        <f t="array" ref="E303">INDEX(GMWQ!$A$2:$LR$60,MATCH(1,(GMWQ!$LQ$2:$LQ$60=E$3)*(GMWQ!$LP$2:$LP$60=E$4)*(GMWQ!$LR$2:$LR$60=E$1),0),$B303-1966)</f>
        <v>209.04239999999999</v>
      </c>
      <c r="F303" s="7" cm="1">
        <f t="array" ref="F303">INDEX(GMWQ!$A$2:$LR$60,MATCH(1,(GMWQ!$LQ$2:$LQ$60=F$3)*(GMWQ!$LP$2:$LP$60=F$4)*(GMWQ!$LR$2:$LR$60=F$1),0),$B303-1966)</f>
        <v>635132.6</v>
      </c>
      <c r="G303" s="7" cm="1">
        <f t="array" ref="G303">INDEX(GMWQ!$A$2:$LR$60,MATCH(1,(GMWQ!$LQ$2:$LQ$60=G$3)*(GMWQ!$LP$2:$LP$60=G$4)*(GMWQ!$LR$2:$LR$60=G$1),0),$B303-1966)</f>
        <v>190072.6</v>
      </c>
      <c r="H303" s="7" cm="1">
        <f t="array" ref="H303">INDEX(GMWQ!$A$2:$LR$60,MATCH(1,(GMWQ!$LQ$2:$LQ$60=H$3)*(GMWQ!$LP$2:$LP$60=H$4)*(GMWQ!$LR$2:$LR$60=H$1),0),$B303-1966)</f>
        <v>42712.66</v>
      </c>
      <c r="I303" s="7" cm="1">
        <f t="array" ref="I303">INDEX(GMWQ!$A$2:$LR$60,MATCH(1,(GMWQ!$LQ$2:$LQ$60=I$3)*(GMWQ!$LP$2:$LP$60=I$4)*(GMWQ!$LR$2:$LR$60=I$1),0),$B303-1966)</f>
        <v>191.25069999999999</v>
      </c>
      <c r="J303" s="7" cm="1">
        <f t="array" ref="J303">INDEX(GMWQ!$A$2:$LR$60,MATCH(1,(GMWQ!$LQ$2:$LQ$60=J$3)*(GMWQ!$LP$2:$LP$60=J$4)*(GMWQ!$LR$2:$LR$60=J$1),0),$B303-1966)</f>
        <v>32676.080000000002</v>
      </c>
      <c r="K303" s="7" cm="1">
        <f t="array" ref="K303">INDEX(GMWQ!$A$2:$LR$60,MATCH(1,(GMWQ!$LQ$2:$LQ$60=K$3)*(GMWQ!$LP$2:$LP$60=K$4)*(GMWQ!$LR$2:$LR$60=K$1),0),$B303-1966)</f>
        <v>2</v>
      </c>
      <c r="L303" s="7" cm="1">
        <f t="array" ref="L303">INDEX(GMWQ!$A$2:$LR$60,MATCH(1,(GMWQ!$LQ$2:$LQ$60=L$3)*(GMWQ!$LP$2:$LP$60=L$4)*(GMWQ!$LR$2:$LR$60=L$1),0),$B303-1966)</f>
        <v>3.7500049999999998</v>
      </c>
      <c r="M303" s="7" cm="1">
        <f t="array" ref="M303">INDEX(GMWQ!$A$2:$LR$60,MATCH(1,(GMWQ!$LQ$2:$LQ$60=M$3)*(GMWQ!$LP$2:$LP$60=M$4)*(GMWQ!$LR$2:$LR$60=M$1),0),$B303-1966)</f>
        <v>309.48649999999998</v>
      </c>
      <c r="N303" s="7" cm="1">
        <f t="array" ref="N303">INDEX(GMWQ!$A$2:$LR$60,MATCH(1,(GMWQ!$LQ$2:$LQ$60=N$3)*(GMWQ!$LP$2:$LP$60=N$4)*(GMWQ!$LR$2:$LR$60=N$1),0),$B303-1966)</f>
        <v>45151.91</v>
      </c>
      <c r="O303" s="7" cm="1">
        <f t="array" ref="O303">INDEX(GMWQ!$A$2:$LR$60,MATCH(1,(GMWQ!$LQ$2:$LQ$60=O$3)*(GMWQ!$LP$2:$LP$60=O$4)*(GMWQ!$LR$2:$LR$60=O$1),0),$B303-1966)</f>
        <v>25249.08</v>
      </c>
      <c r="P303" s="7" cm="1">
        <f t="array" ref="P303">INDEX(GMWQ!$A$2:$LR$60,MATCH(1,(GMWQ!$LQ$2:$LQ$60=P$3)*(GMWQ!$LP$2:$LP$60=P$4)*(GMWQ!$LR$2:$LR$60=P$1),0),$B303-1966)</f>
        <v>1008088</v>
      </c>
      <c r="Q303" s="7" cm="1">
        <f t="array" ref="Q303">INDEX(GMWQ!$A$2:$LR$60,MATCH(1,(GMWQ!$LQ$2:$LQ$60=Q$3)*(GMWQ!$LP$2:$LP$60=Q$4)*(GMWQ!$LR$2:$LR$60=Q$1),0),$B303-1966)</f>
        <v>3.5</v>
      </c>
      <c r="R303" s="7" cm="1">
        <f t="array" ref="R303">INDEX(GMWQ!$A$2:$LR$60,MATCH(1,(GMWQ!$LQ$2:$LQ$60=R$3)*(GMWQ!$LP$2:$LP$60=R$4)*(GMWQ!$LR$2:$LR$60=R$1),0),$B303-1966)</f>
        <v>256462</v>
      </c>
      <c r="S303" s="7" cm="1">
        <f t="array" ref="S303">INDEX(GMWQ!$A$2:$LR$60,MATCH(1,(GMWQ!$LQ$2:$LQ$60=S$3)*(GMWQ!$LP$2:$LP$60=S$4)*(GMWQ!$LR$2:$LR$60=S$1),0),$B303-1966)</f>
        <v>382.58120000000002</v>
      </c>
      <c r="T303" s="7" cm="1">
        <f t="array" ref="T303">INDEX(GMWQ!$A$2:$LR$60,MATCH(1,(GMWQ!$LQ$2:$LQ$60=T$3)*(GMWQ!$LP$2:$LP$60=T$4)*(GMWQ!$LR$2:$LR$60=T$1),0),$B303-1966)</f>
        <v>152447.9</v>
      </c>
      <c r="U303" s="7" cm="1">
        <f t="array" ref="U303">INDEX(GMWQ!$A$2:$LR$60,MATCH(1,(GMWQ!$LQ$2:$LQ$60=U$3)*(GMWQ!$LP$2:$LP$60=U$4)*(GMWQ!$LR$2:$LR$60=U$1),0),$B303-1966)</f>
        <v>16220.73</v>
      </c>
      <c r="V303" s="7" cm="1">
        <f t="array" ref="V303">INDEX(GMWQ!$A$2:$LR$60,MATCH(1,(GMWQ!$LQ$2:$LQ$60=V$3)*(GMWQ!$LP$2:$LP$60=V$4)*(GMWQ!$LR$2:$LR$60=V$1),0),$B303-1966)</f>
        <v>1.3509629999999999E-3</v>
      </c>
      <c r="W303" s="7" cm="1">
        <f t="array" ref="W303">INDEX(GMWQ!$A$2:$LR$60,MATCH(1,(GMWQ!$LQ$2:$LQ$60=W$3)*(GMWQ!$LP$2:$LP$60=W$4)*(GMWQ!$LR$2:$LR$60=W$1),0),$B303-1966)</f>
        <v>9.2778720000000003</v>
      </c>
      <c r="X303" s="7" cm="1">
        <f t="array" ref="X303">INDEX(GMWQ!$A$2:$LR$60,MATCH(1,(GMWQ!$LQ$2:$LQ$60=X$3)*(GMWQ!$LP$2:$LP$60=X$4)*(GMWQ!$LR$2:$LR$60=X$1),0),$B303-1966)</f>
        <v>14753180</v>
      </c>
      <c r="Y303" s="7" cm="1">
        <f t="array" ref="Y303">INDEX(GMWQ!$A$2:$LR$60,MATCH(1,(GMWQ!$LQ$2:$LQ$60=Y$3)*(GMWQ!$LP$2:$LP$60=Y$4)*(GMWQ!$LR$2:$LR$60=Y$1),0),$B303-1966)</f>
        <v>195.84780000000001</v>
      </c>
      <c r="Z303" s="7" cm="1">
        <f t="array" ref="Z303">INDEX(GMWQ!$A$2:$LR$60,MATCH(1,(GMWQ!$LQ$2:$LQ$60=Z$3)*(GMWQ!$LP$2:$LP$60=Z$4)*(GMWQ!$LR$2:$LR$60=Z$1),0),$B303-1966)</f>
        <v>810032.6</v>
      </c>
      <c r="AA303" s="7" cm="1">
        <f t="array" ref="AA303">INDEX(GMWQ!$A$2:$LR$60,MATCH(1,(GMWQ!$LQ$2:$LQ$60=AA$3)*(GMWQ!$LP$2:$LP$60=AA$4)*(GMWQ!$LR$2:$LR$60=AA$1),0),$B303-1966)</f>
        <v>705731.9</v>
      </c>
      <c r="AB303" s="7" cm="1">
        <f t="array" ref="AB303">INDEX(GMWQ!$A$2:$LR$60,MATCH(1,(GMWQ!$LQ$2:$LQ$60=AB$3)*(GMWQ!$LP$2:$LP$60=AB$4)*(GMWQ!$LR$2:$LR$60=AB$1),0),$B303-1966)</f>
        <v>606926.80000000005</v>
      </c>
      <c r="AC303" s="7" cm="1">
        <f t="array" ref="AC303">INDEX(GMWQ!$A$2:$LR$60,MATCH(1,(GMWQ!$LQ$2:$LQ$60=AC$3)*(GMWQ!$LP$2:$LP$60=AC$4)*(GMWQ!$LR$2:$LR$60=AC$1),0),$B303-1966)</f>
        <v>42866.82</v>
      </c>
      <c r="AD303" s="7" cm="1">
        <f t="array" ref="AD303">INDEX(GMWQ!$A$2:$LR$60,MATCH(1,(GMWQ!$LQ$2:$LQ$60=AD$3)*(GMWQ!$LP$2:$LP$60=AD$4)*(GMWQ!$LR$2:$LR$60=AD$1),0),$B303-1966)</f>
        <v>34356.74</v>
      </c>
      <c r="AE303" s="7" cm="1">
        <f t="array" ref="AE303">INDEX(GMWQ!$A$2:$LR$60,MATCH(1,(GMWQ!$LQ$2:$LQ$60=AE$3)*(GMWQ!$LP$2:$LP$60=AE$4)*(GMWQ!$LR$2:$LR$60=AE$1),0),$B303-1966)</f>
        <v>1586432</v>
      </c>
      <c r="AF303" s="20" cm="1">
        <f t="array" ref="AF303">INDEX(GMWQ!$A$2:$LR$60,MATCH(1,(GMWQ!$LQ$2:$LQ$60=AF$3)*(GMWQ!$LP$2:$LP$60=AF$4)*(GMWQ!$LR$2:$LR$60=AF$1),0),$B303-1966)</f>
        <v>2</v>
      </c>
      <c r="AG303" s="20" cm="1">
        <f t="array" ref="AG303">INDEX(GMWQ!$A$2:$LR$60,MATCH(1,(GMWQ!$LQ$2:$LQ$60=AG$3)*(GMWQ!$LP$2:$LP$60=AG$4)*(GMWQ!$LR$2:$LR$60=AG$1),0),$B303-1966)</f>
        <v>-19902.830000000002</v>
      </c>
      <c r="AI303" s="23" cm="1">
        <f t="array" ref="AI303">INDEX(GMWQ!$A$2:$LR$60,MATCH(1,(GMWQ!$LQ$2:$LQ$60=AI$3)*(GMWQ!$LP$2:$LP$60=AI$4)*(GMWQ!$LR$2:$LR$60=AI$1),0),$B303-1966)</f>
        <v>1008088</v>
      </c>
      <c r="AJ303" s="23" cm="1">
        <f t="array" ref="AJ303">INDEX(GMWQ!$A$2:$LR$60,MATCH(1,(GMWQ!$LQ$2:$LQ$60=AJ$3)*(GMWQ!$LP$2:$LP$60=AJ$4)*(GMWQ!$LR$2:$LR$60=AJ$1),0),$B303-1966)</f>
        <v>191.25069999999999</v>
      </c>
      <c r="AK303" s="23" cm="1">
        <f t="array" ref="AK303">INDEX(GMWQ!$A$2:$LR$60,MATCH(1,(GMWQ!$LQ$2:$LQ$60=AK$3)*(GMWQ!$LP$2:$LP$60=AK$4)*(GMWQ!$LR$2:$LR$60=AK$1),0),$B303-1966)</f>
        <v>635132.6</v>
      </c>
      <c r="AL303" s="23" cm="1">
        <f t="array" ref="AL303">INDEX(GMWQ!$A$2:$LR$60,MATCH(1,(GMWQ!$LQ$2:$LQ$60=AL$3)*(GMWQ!$LP$2:$LP$60=AL$4)*(GMWQ!$LR$2:$LR$60=AL$1),0),$B303-1966)</f>
        <v>19437.23</v>
      </c>
      <c r="AM303" s="23" cm="1">
        <f t="array" ref="AM303">INDEX(GMWQ!$A$2:$LR$60,MATCH(1,(GMWQ!$LQ$2:$LQ$60=AM$3)*(GMWQ!$LP$2:$LP$60=AM$4)*(GMWQ!$LR$2:$LR$60=AM$1),0),$B303-1966)</f>
        <v>32676.080000000002</v>
      </c>
      <c r="AN303" s="23" cm="1">
        <f t="array" ref="AN303">INDEX(GMWQ!$A$2:$LR$60,MATCH(1,(GMWQ!$LQ$2:$LQ$60=AN$3)*(GMWQ!$LP$2:$LP$60=AN$4)*(GMWQ!$LR$2:$LR$60=AN$1),0),$B303-1966)</f>
        <v>190072.6</v>
      </c>
      <c r="AO303" s="23" cm="1">
        <f t="array" ref="AO303">INDEX(GMWQ!$A$2:$LR$60,MATCH(1,(GMWQ!$LQ$2:$LQ$60=AO$3)*(GMWQ!$LP$2:$LP$60=AO$4)*(GMWQ!$LR$2:$LR$60=AO$1),0),$B303-1966)</f>
        <v>42712.66</v>
      </c>
      <c r="AP303" s="23" cm="1">
        <f t="array" ref="AP303">INDEX(GMWQ!$A$2:$LR$60,MATCH(1,(GMWQ!$LQ$2:$LQ$60=AP$3)*(GMWQ!$LP$2:$LP$60=AP$4)*(GMWQ!$LR$2:$LR$60=AP$1),0),$B303-1966)</f>
        <v>-19902.830000000002</v>
      </c>
      <c r="AQ303" s="23" cm="1">
        <f t="array" ref="AQ303">INDEX(GMWQ!$A$2:$LR$60,MATCH(1,(GMWQ!$LQ$2:$LQ$60=AQ$3)*(GMWQ!$LP$2:$LP$60=AQ$4)*(GMWQ!$LR$2:$LR$60=AQ$1),0),$B303-1966)</f>
        <v>222061.3</v>
      </c>
      <c r="AR303" s="23" cm="1">
        <f t="array" ref="AR303">INDEX(GMWQ!$A$2:$LR$60,MATCH(1,(GMWQ!$LQ$2:$LQ$60=AR$3)*(GMWQ!$LP$2:$LP$60=AR$4)*(GMWQ!$LR$2:$LR$60=AR$1),0),$B303-1966)</f>
        <v>930343.8</v>
      </c>
      <c r="AS303" s="23" cm="1">
        <f t="array" ref="AS303">INDEX(GMWQ!$A$2:$LR$60,MATCH(1,(GMWQ!$LQ$2:$LQ$60=AS$3)*(GMWQ!$LP$2:$LP$60=AS$4)*(GMWQ!$LR$2:$LR$60=AS$1),0),$B303-1966)</f>
        <v>32071.78</v>
      </c>
      <c r="AT303" s="23" cm="1">
        <f t="array" ref="AT303">INDEX(GMWQ!$A$2:$LR$60,MATCH(1,(GMWQ!$LQ$2:$LQ$60=AT$3)*(GMWQ!$LP$2:$LP$60=AT$4)*(GMWQ!$LR$2:$LR$60=AT$1),0),$B303-1966)</f>
        <v>486452.5</v>
      </c>
      <c r="AU303" s="23" cm="1">
        <f t="array" ref="AU303">INDEX(GMWQ!$A$2:$LR$60,MATCH(1,(GMWQ!$LQ$2:$LQ$60=AU$3)*(GMWQ!$LP$2:$LP$60=AU$4)*(GMWQ!$LR$2:$LR$60=AU$1),0),$B303-1966)</f>
        <v>17312.29</v>
      </c>
    </row>
    <row r="304" spans="1:47" x14ac:dyDescent="0.35">
      <c r="B304" s="7">
        <f t="shared" si="5"/>
        <v>2270</v>
      </c>
      <c r="C304" s="7" cm="1">
        <f t="array" ref="C304">INDEX(GMWQ!$A$2:$LR$60,MATCH(1,(GMWQ!$LQ$2:$LQ$60=C$3)*(GMWQ!$LP$2:$LP$60=C$4)*(GMWQ!$LR$2:$LR$60=C$1),0),$B304-1966)</f>
        <v>813032.9</v>
      </c>
      <c r="D304" s="7" cm="1">
        <f t="array" ref="D304">INDEX(GMWQ!$A$2:$LR$60,MATCH(1,(GMWQ!$LQ$2:$LQ$60=D$3)*(GMWQ!$LP$2:$LP$60=D$4)*(GMWQ!$LR$2:$LR$60=D$1),0),$B304-1966)</f>
        <v>1347.0989999999999</v>
      </c>
      <c r="E304" s="7" cm="1">
        <f t="array" ref="E304">INDEX(GMWQ!$A$2:$LR$60,MATCH(1,(GMWQ!$LQ$2:$LQ$60=E$3)*(GMWQ!$LP$2:$LP$60=E$4)*(GMWQ!$LR$2:$LR$60=E$1),0),$B304-1966)</f>
        <v>210.95169999999999</v>
      </c>
      <c r="F304" s="7" cm="1">
        <f t="array" ref="F304">INDEX(GMWQ!$A$2:$LR$60,MATCH(1,(GMWQ!$LQ$2:$LQ$60=F$3)*(GMWQ!$LP$2:$LP$60=F$4)*(GMWQ!$LR$2:$LR$60=F$1),0),$B304-1966)</f>
        <v>640681.9</v>
      </c>
      <c r="G304" s="7" cm="1">
        <f t="array" ref="G304">INDEX(GMWQ!$A$2:$LR$60,MATCH(1,(GMWQ!$LQ$2:$LQ$60=G$3)*(GMWQ!$LP$2:$LP$60=G$4)*(GMWQ!$LR$2:$LR$60=G$1),0),$B304-1966)</f>
        <v>191309.2</v>
      </c>
      <c r="H304" s="7" cm="1">
        <f t="array" ref="H304">INDEX(GMWQ!$A$2:$LR$60,MATCH(1,(GMWQ!$LQ$2:$LQ$60=H$3)*(GMWQ!$LP$2:$LP$60=H$4)*(GMWQ!$LR$2:$LR$60=H$1),0),$B304-1966)</f>
        <v>43085.86</v>
      </c>
      <c r="I304" s="7" cm="1">
        <f t="array" ref="I304">INDEX(GMWQ!$A$2:$LR$60,MATCH(1,(GMWQ!$LQ$2:$LQ$60=I$3)*(GMWQ!$LP$2:$LP$60=I$4)*(GMWQ!$LR$2:$LR$60=I$1),0),$B304-1966)</f>
        <v>192.19970000000001</v>
      </c>
      <c r="J304" s="7" cm="1">
        <f t="array" ref="J304">INDEX(GMWQ!$A$2:$LR$60,MATCH(1,(GMWQ!$LQ$2:$LQ$60=J$3)*(GMWQ!$LP$2:$LP$60=J$4)*(GMWQ!$LR$2:$LR$60=J$1),0),$B304-1966)</f>
        <v>32705.63</v>
      </c>
      <c r="K304" s="7" cm="1">
        <f t="array" ref="K304">INDEX(GMWQ!$A$2:$LR$60,MATCH(1,(GMWQ!$LQ$2:$LQ$60=K$3)*(GMWQ!$LP$2:$LP$60=K$4)*(GMWQ!$LR$2:$LR$60=K$1),0),$B304-1966)</f>
        <v>2</v>
      </c>
      <c r="L304" s="7" cm="1">
        <f t="array" ref="L304">INDEX(GMWQ!$A$2:$LR$60,MATCH(1,(GMWQ!$LQ$2:$LQ$60=L$3)*(GMWQ!$LP$2:$LP$60=L$4)*(GMWQ!$LR$2:$LR$60=L$1),0),$B304-1966)</f>
        <v>3.7500040000000001</v>
      </c>
      <c r="M304" s="7" cm="1">
        <f t="array" ref="M304">INDEX(GMWQ!$A$2:$LR$60,MATCH(1,(GMWQ!$LQ$2:$LQ$60=M$3)*(GMWQ!$LP$2:$LP$60=M$4)*(GMWQ!$LR$2:$LR$60=M$1),0),$B304-1966)</f>
        <v>312.18090000000001</v>
      </c>
      <c r="N304" s="7" cm="1">
        <f t="array" ref="N304">INDEX(GMWQ!$A$2:$LR$60,MATCH(1,(GMWQ!$LQ$2:$LQ$60=N$3)*(GMWQ!$LP$2:$LP$60=N$4)*(GMWQ!$LR$2:$LR$60=N$1),0),$B304-1966)</f>
        <v>45476.99</v>
      </c>
      <c r="O304" s="7" cm="1">
        <f t="array" ref="O304">INDEX(GMWQ!$A$2:$LR$60,MATCH(1,(GMWQ!$LQ$2:$LQ$60=O$3)*(GMWQ!$LP$2:$LP$60=O$4)*(GMWQ!$LR$2:$LR$60=O$1),0),$B304-1966)</f>
        <v>25379.4</v>
      </c>
      <c r="P304" s="7" cm="1">
        <f t="array" ref="P304">INDEX(GMWQ!$A$2:$LR$60,MATCH(1,(GMWQ!$LQ$2:$LQ$60=P$3)*(GMWQ!$LP$2:$LP$60=P$4)*(GMWQ!$LR$2:$LR$60=P$1),0),$B304-1966)</f>
        <v>1016861</v>
      </c>
      <c r="Q304" s="7" cm="1">
        <f t="array" ref="Q304">INDEX(GMWQ!$A$2:$LR$60,MATCH(1,(GMWQ!$LQ$2:$LQ$60=Q$3)*(GMWQ!$LP$2:$LP$60=Q$4)*(GMWQ!$LR$2:$LR$60=Q$1),0),$B304-1966)</f>
        <v>3.5</v>
      </c>
      <c r="R304" s="7" cm="1">
        <f t="array" ref="R304">INDEX(GMWQ!$A$2:$LR$60,MATCH(1,(GMWQ!$LQ$2:$LQ$60=R$3)*(GMWQ!$LP$2:$LP$60=R$4)*(GMWQ!$LR$2:$LR$60=R$1),0),$B304-1966)</f>
        <v>256459.5</v>
      </c>
      <c r="S304" s="7" cm="1">
        <f t="array" ref="S304">INDEX(GMWQ!$A$2:$LR$60,MATCH(1,(GMWQ!$LQ$2:$LQ$60=S$3)*(GMWQ!$LP$2:$LP$60=S$4)*(GMWQ!$LR$2:$LR$60=S$1),0),$B304-1966)</f>
        <v>382.57749999999999</v>
      </c>
      <c r="T304" s="7" cm="1">
        <f t="array" ref="T304">INDEX(GMWQ!$A$2:$LR$60,MATCH(1,(GMWQ!$LQ$2:$LQ$60=T$3)*(GMWQ!$LP$2:$LP$60=T$4)*(GMWQ!$LR$2:$LR$60=T$1),0),$B304-1966)</f>
        <v>153027.79999999999</v>
      </c>
      <c r="U304" s="7" cm="1">
        <f t="array" ref="U304">INDEX(GMWQ!$A$2:$LR$60,MATCH(1,(GMWQ!$LQ$2:$LQ$60=U$3)*(GMWQ!$LP$2:$LP$60=U$4)*(GMWQ!$LR$2:$LR$60=U$1),0),$B304-1966)</f>
        <v>16173.73</v>
      </c>
      <c r="V304" s="7" cm="1">
        <f t="array" ref="V304">INDEX(GMWQ!$A$2:$LR$60,MATCH(1,(GMWQ!$LQ$2:$LQ$60=V$3)*(GMWQ!$LP$2:$LP$60=V$4)*(GMWQ!$LR$2:$LR$60=V$1),0),$B304-1966)</f>
        <v>1.350431E-3</v>
      </c>
      <c r="W304" s="7" cm="1">
        <f t="array" ref="W304">INDEX(GMWQ!$A$2:$LR$60,MATCH(1,(GMWQ!$LQ$2:$LQ$60=W$3)*(GMWQ!$LP$2:$LP$60=W$4)*(GMWQ!$LR$2:$LR$60=W$1),0),$B304-1966)</f>
        <v>9.3540749999999999</v>
      </c>
      <c r="X304" s="7" cm="1">
        <f t="array" ref="X304">INDEX(GMWQ!$A$2:$LR$60,MATCH(1,(GMWQ!$LQ$2:$LQ$60=X$3)*(GMWQ!$LP$2:$LP$60=X$4)*(GMWQ!$LR$2:$LR$60=X$1),0),$B304-1966)</f>
        <v>14929120</v>
      </c>
      <c r="Y304" s="7" cm="1">
        <f t="array" ref="Y304">INDEX(GMWQ!$A$2:$LR$60,MATCH(1,(GMWQ!$LQ$2:$LQ$60=Y$3)*(GMWQ!$LP$2:$LP$60=Y$4)*(GMWQ!$LR$2:$LR$60=Y$1),0),$B304-1966)</f>
        <v>196.91030000000001</v>
      </c>
      <c r="Z304" s="7" cm="1">
        <f t="array" ref="Z304">INDEX(GMWQ!$A$2:$LR$60,MATCH(1,(GMWQ!$LQ$2:$LQ$60=Z$3)*(GMWQ!$LP$2:$LP$60=Z$4)*(GMWQ!$LR$2:$LR$60=Z$1),0),$B304-1966)</f>
        <v>813033.2</v>
      </c>
      <c r="AA304" s="7" cm="1">
        <f t="array" ref="AA304">INDEX(GMWQ!$A$2:$LR$60,MATCH(1,(GMWQ!$LQ$2:$LQ$60=AA$3)*(GMWQ!$LP$2:$LP$60=AA$4)*(GMWQ!$LR$2:$LR$60=AA$1),0),$B304-1966)</f>
        <v>651408.4</v>
      </c>
      <c r="AB304" s="7" cm="1">
        <f t="array" ref="AB304">INDEX(GMWQ!$A$2:$LR$60,MATCH(1,(GMWQ!$LQ$2:$LQ$60=AB$3)*(GMWQ!$LP$2:$LP$60=AB$4)*(GMWQ!$LR$2:$LR$60=AB$1),0),$B304-1966)</f>
        <v>620799.1</v>
      </c>
      <c r="AC304" s="7" cm="1">
        <f t="array" ref="AC304">INDEX(GMWQ!$A$2:$LR$60,MATCH(1,(GMWQ!$LQ$2:$LQ$60=AC$3)*(GMWQ!$LP$2:$LP$60=AC$4)*(GMWQ!$LR$2:$LR$60=AC$1),0),$B304-1966)</f>
        <v>20619.66</v>
      </c>
      <c r="AD304" s="7" cm="1">
        <f t="array" ref="AD304">INDEX(GMWQ!$A$2:$LR$60,MATCH(1,(GMWQ!$LQ$2:$LQ$60=AD$3)*(GMWQ!$LP$2:$LP$60=AD$4)*(GMWQ!$LR$2:$LR$60=AD$1),0),$B304-1966)</f>
        <v>35632.199999999997</v>
      </c>
      <c r="AE304" s="7" cm="1">
        <f t="array" ref="AE304">INDEX(GMWQ!$A$2:$LR$60,MATCH(1,(GMWQ!$LQ$2:$LQ$60=AE$3)*(GMWQ!$LP$2:$LP$60=AE$4)*(GMWQ!$LR$2:$LR$60=AE$1),0),$B304-1966)</f>
        <v>1600945</v>
      </c>
      <c r="AF304" s="20" cm="1">
        <f t="array" ref="AF304">INDEX(GMWQ!$A$2:$LR$60,MATCH(1,(GMWQ!$LQ$2:$LQ$60=AF$3)*(GMWQ!$LP$2:$LP$60=AF$4)*(GMWQ!$LR$2:$LR$60=AF$1),0),$B304-1966)</f>
        <v>2</v>
      </c>
      <c r="AG304" s="20" cm="1">
        <f t="array" ref="AG304">INDEX(GMWQ!$A$2:$LR$60,MATCH(1,(GMWQ!$LQ$2:$LQ$60=AG$3)*(GMWQ!$LP$2:$LP$60=AG$4)*(GMWQ!$LR$2:$LR$60=AG$1),0),$B304-1966)</f>
        <v>-20097.59</v>
      </c>
      <c r="AI304" s="23" cm="1">
        <f t="array" ref="AI304">INDEX(GMWQ!$A$2:$LR$60,MATCH(1,(GMWQ!$LQ$2:$LQ$60=AI$3)*(GMWQ!$LP$2:$LP$60=AI$4)*(GMWQ!$LR$2:$LR$60=AI$1),0),$B304-1966)</f>
        <v>1016861</v>
      </c>
      <c r="AJ304" s="23" cm="1">
        <f t="array" ref="AJ304">INDEX(GMWQ!$A$2:$LR$60,MATCH(1,(GMWQ!$LQ$2:$LQ$60=AJ$3)*(GMWQ!$LP$2:$LP$60=AJ$4)*(GMWQ!$LR$2:$LR$60=AJ$1),0),$B304-1966)</f>
        <v>192.19970000000001</v>
      </c>
      <c r="AK304" s="23" cm="1">
        <f t="array" ref="AK304">INDEX(GMWQ!$A$2:$LR$60,MATCH(1,(GMWQ!$LQ$2:$LQ$60=AK$3)*(GMWQ!$LP$2:$LP$60=AK$4)*(GMWQ!$LR$2:$LR$60=AK$1),0),$B304-1966)</f>
        <v>640681.9</v>
      </c>
      <c r="AL304" s="23" cm="1">
        <f t="array" ref="AL304">INDEX(GMWQ!$A$2:$LR$60,MATCH(1,(GMWQ!$LQ$2:$LQ$60=AL$3)*(GMWQ!$LP$2:$LP$60=AL$4)*(GMWQ!$LR$2:$LR$60=AL$1),0),$B304-1966)</f>
        <v>19589.349999999999</v>
      </c>
      <c r="AM304" s="23" cm="1">
        <f t="array" ref="AM304">INDEX(GMWQ!$A$2:$LR$60,MATCH(1,(GMWQ!$LQ$2:$LQ$60=AM$3)*(GMWQ!$LP$2:$LP$60=AM$4)*(GMWQ!$LR$2:$LR$60=AM$1),0),$B304-1966)</f>
        <v>32705.63</v>
      </c>
      <c r="AN304" s="23" cm="1">
        <f t="array" ref="AN304">INDEX(GMWQ!$A$2:$LR$60,MATCH(1,(GMWQ!$LQ$2:$LQ$60=AN$3)*(GMWQ!$LP$2:$LP$60=AN$4)*(GMWQ!$LR$2:$LR$60=AN$1),0),$B304-1966)</f>
        <v>191309.2</v>
      </c>
      <c r="AO304" s="23" cm="1">
        <f t="array" ref="AO304">INDEX(GMWQ!$A$2:$LR$60,MATCH(1,(GMWQ!$LQ$2:$LQ$60=AO$3)*(GMWQ!$LP$2:$LP$60=AO$4)*(GMWQ!$LR$2:$LR$60=AO$1),0),$B304-1966)</f>
        <v>43085.86</v>
      </c>
      <c r="AP304" s="23" cm="1">
        <f t="array" ref="AP304">INDEX(GMWQ!$A$2:$LR$60,MATCH(1,(GMWQ!$LQ$2:$LQ$60=AP$3)*(GMWQ!$LP$2:$LP$60=AP$4)*(GMWQ!$LR$2:$LR$60=AP$1),0),$B304-1966)</f>
        <v>-20097.59</v>
      </c>
      <c r="AQ304" s="23" cm="1">
        <f t="array" ref="AQ304">INDEX(GMWQ!$A$2:$LR$60,MATCH(1,(GMWQ!$LQ$2:$LQ$60=AQ$3)*(GMWQ!$LP$2:$LP$60=AQ$4)*(GMWQ!$LR$2:$LR$60=AQ$1),0),$B304-1966)</f>
        <v>224056</v>
      </c>
      <c r="AR304" s="23" cm="1">
        <f t="array" ref="AR304">INDEX(GMWQ!$A$2:$LR$60,MATCH(1,(GMWQ!$LQ$2:$LQ$60=AR$3)*(GMWQ!$LP$2:$LP$60=AR$4)*(GMWQ!$LR$2:$LR$60=AR$1),0),$B304-1966)</f>
        <v>938427.3</v>
      </c>
      <c r="AS304" s="23" cm="1">
        <f t="array" ref="AS304">INDEX(GMWQ!$A$2:$LR$60,MATCH(1,(GMWQ!$LQ$2:$LQ$60=AS$3)*(GMWQ!$LP$2:$LP$60=AS$4)*(GMWQ!$LR$2:$LR$60=AS$1),0),$B304-1966)</f>
        <v>32359.31</v>
      </c>
      <c r="AT304" s="23" cm="1">
        <f t="array" ref="AT304">INDEX(GMWQ!$A$2:$LR$60,MATCH(1,(GMWQ!$LQ$2:$LQ$60=AT$3)*(GMWQ!$LP$2:$LP$60=AT$4)*(GMWQ!$LR$2:$LR$60=AT$1),0),$B304-1966)</f>
        <v>488256.4</v>
      </c>
      <c r="AU304" s="23" cm="1">
        <f t="array" ref="AU304">INDEX(GMWQ!$A$2:$LR$60,MATCH(1,(GMWQ!$LQ$2:$LQ$60=AU$3)*(GMWQ!$LP$2:$LP$60=AU$4)*(GMWQ!$LR$2:$LR$60=AU$1),0),$B304-1966)</f>
        <v>17376.41</v>
      </c>
    </row>
    <row r="305" spans="1:47" x14ac:dyDescent="0.35">
      <c r="B305" s="7">
        <f t="shared" ref="B305:B318" si="6">+B304+1</f>
        <v>2271</v>
      </c>
      <c r="C305" s="7" cm="1">
        <f t="array" ref="C305">INDEX(GMWQ!$A$2:$LR$60,MATCH(1,(GMWQ!$LQ$2:$LQ$60=C$3)*(GMWQ!$LP$2:$LP$60=C$4)*(GMWQ!$LR$2:$LR$60=C$1),0),$B305-1966)</f>
        <v>816040.9</v>
      </c>
      <c r="D305" s="7" cm="1">
        <f t="array" ref="D305">INDEX(GMWQ!$A$2:$LR$60,MATCH(1,(GMWQ!$LQ$2:$LQ$60=D$3)*(GMWQ!$LP$2:$LP$60=D$4)*(GMWQ!$LR$2:$LR$60=D$1),0),$B305-1966)</f>
        <v>1357.6379999999999</v>
      </c>
      <c r="E305" s="7" cm="1">
        <f t="array" ref="E305">INDEX(GMWQ!$A$2:$LR$60,MATCH(1,(GMWQ!$LQ$2:$LQ$60=E$3)*(GMWQ!$LP$2:$LP$60=E$4)*(GMWQ!$LR$2:$LR$60=E$1),0),$B305-1966)</f>
        <v>212.10409999999999</v>
      </c>
      <c r="F305" s="7" cm="1">
        <f t="array" ref="F305">INDEX(GMWQ!$A$2:$LR$60,MATCH(1,(GMWQ!$LQ$2:$LQ$60=F$3)*(GMWQ!$LP$2:$LP$60=F$4)*(GMWQ!$LR$2:$LR$60=F$1),0),$B305-1966)</f>
        <v>646277.30000000005</v>
      </c>
      <c r="G305" s="7" cm="1">
        <f t="array" ref="G305">INDEX(GMWQ!$A$2:$LR$60,MATCH(1,(GMWQ!$LQ$2:$LQ$60=G$3)*(GMWQ!$LP$2:$LP$60=G$4)*(GMWQ!$LR$2:$LR$60=G$1),0),$B305-1966)</f>
        <v>193193.8</v>
      </c>
      <c r="H305" s="7" cm="1">
        <f t="array" ref="H305">INDEX(GMWQ!$A$2:$LR$60,MATCH(1,(GMWQ!$LQ$2:$LQ$60=H$3)*(GMWQ!$LP$2:$LP$60=H$4)*(GMWQ!$LR$2:$LR$60=H$1),0),$B305-1966)</f>
        <v>43462.15</v>
      </c>
      <c r="I305" s="7" cm="1">
        <f t="array" ref="I305">INDEX(GMWQ!$A$2:$LR$60,MATCH(1,(GMWQ!$LQ$2:$LQ$60=I$3)*(GMWQ!$LP$2:$LP$60=I$4)*(GMWQ!$LR$2:$LR$60=I$1),0),$B305-1966)</f>
        <v>193.1534</v>
      </c>
      <c r="J305" s="7" cm="1">
        <f t="array" ref="J305">INDEX(GMWQ!$A$2:$LR$60,MATCH(1,(GMWQ!$LQ$2:$LQ$60=J$3)*(GMWQ!$LP$2:$LP$60=J$4)*(GMWQ!$LR$2:$LR$60=J$1),0),$B305-1966)</f>
        <v>32735.17</v>
      </c>
      <c r="K305" s="7" cm="1">
        <f t="array" ref="K305">INDEX(GMWQ!$A$2:$LR$60,MATCH(1,(GMWQ!$LQ$2:$LQ$60=K$3)*(GMWQ!$LP$2:$LP$60=K$4)*(GMWQ!$LR$2:$LR$60=K$1),0),$B305-1966)</f>
        <v>2</v>
      </c>
      <c r="L305" s="7" cm="1">
        <f t="array" ref="L305">INDEX(GMWQ!$A$2:$LR$60,MATCH(1,(GMWQ!$LQ$2:$LQ$60=L$3)*(GMWQ!$LP$2:$LP$60=L$4)*(GMWQ!$LR$2:$LR$60=L$1),0),$B305-1966)</f>
        <v>3.750022</v>
      </c>
      <c r="M305" s="7" cm="1">
        <f t="array" ref="M305">INDEX(GMWQ!$A$2:$LR$60,MATCH(1,(GMWQ!$LQ$2:$LQ$60=M$3)*(GMWQ!$LP$2:$LP$60=M$4)*(GMWQ!$LR$2:$LR$60=M$1),0),$B305-1966)</f>
        <v>314.89760000000001</v>
      </c>
      <c r="N305" s="7" cm="1">
        <f t="array" ref="N305">INDEX(GMWQ!$A$2:$LR$60,MATCH(1,(GMWQ!$LQ$2:$LQ$60=N$3)*(GMWQ!$LP$2:$LP$60=N$4)*(GMWQ!$LR$2:$LR$60=N$1),0),$B305-1966)</f>
        <v>45803.31</v>
      </c>
      <c r="O305" s="7" cm="1">
        <f t="array" ref="O305">INDEX(GMWQ!$A$2:$LR$60,MATCH(1,(GMWQ!$LQ$2:$LQ$60=O$3)*(GMWQ!$LP$2:$LP$60=O$4)*(GMWQ!$LR$2:$LR$60=O$1),0),$B305-1966)</f>
        <v>25518.52</v>
      </c>
      <c r="P305" s="7" cm="1">
        <f t="array" ref="P305">INDEX(GMWQ!$A$2:$LR$60,MATCH(1,(GMWQ!$LQ$2:$LQ$60=P$3)*(GMWQ!$LP$2:$LP$60=P$4)*(GMWQ!$LR$2:$LR$60=P$1),0),$B305-1966)</f>
        <v>1025706</v>
      </c>
      <c r="Q305" s="7" cm="1">
        <f t="array" ref="Q305">INDEX(GMWQ!$A$2:$LR$60,MATCH(1,(GMWQ!$LQ$2:$LQ$60=Q$3)*(GMWQ!$LP$2:$LP$60=Q$4)*(GMWQ!$LR$2:$LR$60=Q$1),0),$B305-1966)</f>
        <v>3.5</v>
      </c>
      <c r="R305" s="7" cm="1">
        <f t="array" ref="R305">INDEX(GMWQ!$A$2:$LR$60,MATCH(1,(GMWQ!$LQ$2:$LQ$60=R$3)*(GMWQ!$LP$2:$LP$60=R$4)*(GMWQ!$LR$2:$LR$60=R$1),0),$B305-1966)</f>
        <v>256457.1</v>
      </c>
      <c r="S305" s="7" cm="1">
        <f t="array" ref="S305">INDEX(GMWQ!$A$2:$LR$60,MATCH(1,(GMWQ!$LQ$2:$LQ$60=S$3)*(GMWQ!$LP$2:$LP$60=S$4)*(GMWQ!$LR$2:$LR$60=S$1),0),$B305-1966)</f>
        <v>382.57389999999998</v>
      </c>
      <c r="T305" s="7" cm="1">
        <f t="array" ref="T305">INDEX(GMWQ!$A$2:$LR$60,MATCH(1,(GMWQ!$LQ$2:$LQ$60=T$3)*(GMWQ!$LP$2:$LP$60=T$4)*(GMWQ!$LR$2:$LR$60=T$1),0),$B305-1966)</f>
        <v>153609.4</v>
      </c>
      <c r="U305" s="7" cm="1">
        <f t="array" ref="U305">INDEX(GMWQ!$A$2:$LR$60,MATCH(1,(GMWQ!$LQ$2:$LQ$60=U$3)*(GMWQ!$LP$2:$LP$60=U$4)*(GMWQ!$LR$2:$LR$60=U$1),0),$B305-1966)</f>
        <v>16130.36</v>
      </c>
      <c r="V305" s="7" cm="1">
        <f t="array" ref="V305">INDEX(GMWQ!$A$2:$LR$60,MATCH(1,(GMWQ!$LQ$2:$LQ$60=V$3)*(GMWQ!$LP$2:$LP$60=V$4)*(GMWQ!$LR$2:$LR$60=V$1),0),$B305-1966)</f>
        <v>1.3499079999999999E-3</v>
      </c>
      <c r="W305" s="7" cm="1">
        <f t="array" ref="W305">INDEX(GMWQ!$A$2:$LR$60,MATCH(1,(GMWQ!$LQ$2:$LQ$60=W$3)*(GMWQ!$LP$2:$LP$60=W$4)*(GMWQ!$LR$2:$LR$60=W$1),0),$B305-1966)</f>
        <v>9.3479980000000005</v>
      </c>
      <c r="X305" s="7" cm="1">
        <f t="array" ref="X305">INDEX(GMWQ!$A$2:$LR$60,MATCH(1,(GMWQ!$LQ$2:$LQ$60=X$3)*(GMWQ!$LP$2:$LP$60=X$4)*(GMWQ!$LR$2:$LR$60=X$1),0),$B305-1966)</f>
        <v>15084230</v>
      </c>
      <c r="Y305" s="7" cm="1">
        <f t="array" ref="Y305">INDEX(GMWQ!$A$2:$LR$60,MATCH(1,(GMWQ!$LQ$2:$LQ$60=Y$3)*(GMWQ!$LP$2:$LP$60=Y$4)*(GMWQ!$LR$2:$LR$60=Y$1),0),$B305-1966)</f>
        <v>197.9785</v>
      </c>
      <c r="Z305" s="7" cm="1">
        <f t="array" ref="Z305">INDEX(GMWQ!$A$2:$LR$60,MATCH(1,(GMWQ!$LQ$2:$LQ$60=Z$3)*(GMWQ!$LP$2:$LP$60=Z$4)*(GMWQ!$LR$2:$LR$60=Z$1),0),$B305-1966)</f>
        <v>816038.6</v>
      </c>
      <c r="AA305" s="7" cm="1">
        <f t="array" ref="AA305">INDEX(GMWQ!$A$2:$LR$60,MATCH(1,(GMWQ!$LQ$2:$LQ$60=AA$3)*(GMWQ!$LP$2:$LP$60=AA$4)*(GMWQ!$LR$2:$LR$60=AA$1),0),$B305-1966)</f>
        <v>673063.9</v>
      </c>
      <c r="AB305" s="7" cm="1">
        <f t="array" ref="AB305">INDEX(GMWQ!$A$2:$LR$60,MATCH(1,(GMWQ!$LQ$2:$LQ$60=AB$3)*(GMWQ!$LP$2:$LP$60=AB$4)*(GMWQ!$LR$2:$LR$60=AB$1),0),$B305-1966)</f>
        <v>626184.80000000005</v>
      </c>
      <c r="AC305" s="7" cm="1">
        <f t="array" ref="AC305">INDEX(GMWQ!$A$2:$LR$60,MATCH(1,(GMWQ!$LQ$2:$LQ$60=AC$3)*(GMWQ!$LP$2:$LP$60=AC$4)*(GMWQ!$LR$2:$LR$60=AC$1),0),$B305-1966)</f>
        <v>23476.04</v>
      </c>
      <c r="AD305" s="7" cm="1">
        <f t="array" ref="AD305">INDEX(GMWQ!$A$2:$LR$60,MATCH(1,(GMWQ!$LQ$2:$LQ$60=AD$3)*(GMWQ!$LP$2:$LP$60=AD$4)*(GMWQ!$LR$2:$LR$60=AD$1),0),$B305-1966)</f>
        <v>35632.199999999997</v>
      </c>
      <c r="AE305" s="7" cm="1">
        <f t="array" ref="AE305">INDEX(GMWQ!$A$2:$LR$60,MATCH(1,(GMWQ!$LQ$2:$LQ$60=AE$3)*(GMWQ!$LP$2:$LP$60=AE$4)*(GMWQ!$LR$2:$LR$60=AE$1),0),$B305-1966)</f>
        <v>1615585</v>
      </c>
      <c r="AF305" s="20" cm="1">
        <f t="array" ref="AF305">INDEX(GMWQ!$A$2:$LR$60,MATCH(1,(GMWQ!$LQ$2:$LQ$60=AF$3)*(GMWQ!$LP$2:$LP$60=AF$4)*(GMWQ!$LR$2:$LR$60=AF$1),0),$B305-1966)</f>
        <v>2</v>
      </c>
      <c r="AG305" s="20" cm="1">
        <f t="array" ref="AG305">INDEX(GMWQ!$A$2:$LR$60,MATCH(1,(GMWQ!$LQ$2:$LQ$60=AG$3)*(GMWQ!$LP$2:$LP$60=AG$4)*(GMWQ!$LR$2:$LR$60=AG$1),0),$B305-1966)</f>
        <v>-20284.79</v>
      </c>
      <c r="AI305" s="23" cm="1">
        <f t="array" ref="AI305">INDEX(GMWQ!$A$2:$LR$60,MATCH(1,(GMWQ!$LQ$2:$LQ$60=AI$3)*(GMWQ!$LP$2:$LP$60=AI$4)*(GMWQ!$LR$2:$LR$60=AI$1),0),$B305-1966)</f>
        <v>1025706</v>
      </c>
      <c r="AJ305" s="23" cm="1">
        <f t="array" ref="AJ305">INDEX(GMWQ!$A$2:$LR$60,MATCH(1,(GMWQ!$LQ$2:$LQ$60=AJ$3)*(GMWQ!$LP$2:$LP$60=AJ$4)*(GMWQ!$LR$2:$LR$60=AJ$1),0),$B305-1966)</f>
        <v>193.1534</v>
      </c>
      <c r="AK305" s="23" cm="1">
        <f t="array" ref="AK305">INDEX(GMWQ!$A$2:$LR$60,MATCH(1,(GMWQ!$LQ$2:$LQ$60=AK$3)*(GMWQ!$LP$2:$LP$60=AK$4)*(GMWQ!$LR$2:$LR$60=AK$1),0),$B305-1966)</f>
        <v>646277.30000000005</v>
      </c>
      <c r="AL305" s="23" cm="1">
        <f t="array" ref="AL305">INDEX(GMWQ!$A$2:$LR$60,MATCH(1,(GMWQ!$LQ$2:$LQ$60=AL$3)*(GMWQ!$LP$2:$LP$60=AL$4)*(GMWQ!$LR$2:$LR$60=AL$1),0),$B305-1966)</f>
        <v>19742.599999999999</v>
      </c>
      <c r="AM305" s="23" cm="1">
        <f t="array" ref="AM305">INDEX(GMWQ!$A$2:$LR$60,MATCH(1,(GMWQ!$LQ$2:$LQ$60=AM$3)*(GMWQ!$LP$2:$LP$60=AM$4)*(GMWQ!$LR$2:$LR$60=AM$1),0),$B305-1966)</f>
        <v>32735.17</v>
      </c>
      <c r="AN305" s="23" cm="1">
        <f t="array" ref="AN305">INDEX(GMWQ!$A$2:$LR$60,MATCH(1,(GMWQ!$LQ$2:$LQ$60=AN$3)*(GMWQ!$LP$2:$LP$60=AN$4)*(GMWQ!$LR$2:$LR$60=AN$1),0),$B305-1966)</f>
        <v>193193.8</v>
      </c>
      <c r="AO305" s="23" cm="1">
        <f t="array" ref="AO305">INDEX(GMWQ!$A$2:$LR$60,MATCH(1,(GMWQ!$LQ$2:$LQ$60=AO$3)*(GMWQ!$LP$2:$LP$60=AO$4)*(GMWQ!$LR$2:$LR$60=AO$1),0),$B305-1966)</f>
        <v>43462.15</v>
      </c>
      <c r="AP305" s="23" cm="1">
        <f t="array" ref="AP305">INDEX(GMWQ!$A$2:$LR$60,MATCH(1,(GMWQ!$LQ$2:$LQ$60=AP$3)*(GMWQ!$LP$2:$LP$60=AP$4)*(GMWQ!$LR$2:$LR$60=AP$1),0),$B305-1966)</f>
        <v>-20284.79</v>
      </c>
      <c r="AQ305" s="23" cm="1">
        <f t="array" ref="AQ305">INDEX(GMWQ!$A$2:$LR$60,MATCH(1,(GMWQ!$LQ$2:$LQ$60=AQ$3)*(GMWQ!$LP$2:$LP$60=AQ$4)*(GMWQ!$LR$2:$LR$60=AQ$1),0),$B305-1966)</f>
        <v>226064.7</v>
      </c>
      <c r="AR305" s="23" cm="1">
        <f t="array" ref="AR305">INDEX(GMWQ!$A$2:$LR$60,MATCH(1,(GMWQ!$LQ$2:$LQ$60=AR$3)*(GMWQ!$LP$2:$LP$60=AR$4)*(GMWQ!$LR$2:$LR$60=AR$1),0),$B305-1966)</f>
        <v>946577.8</v>
      </c>
      <c r="AS305" s="23" cm="1">
        <f t="array" ref="AS305">INDEX(GMWQ!$A$2:$LR$60,MATCH(1,(GMWQ!$LQ$2:$LQ$60=AS$3)*(GMWQ!$LP$2:$LP$60=AS$4)*(GMWQ!$LR$2:$LR$60=AS$1),0),$B305-1966)</f>
        <v>32649.21</v>
      </c>
      <c r="AT305" s="23" cm="1">
        <f t="array" ref="AT305">INDEX(GMWQ!$A$2:$LR$60,MATCH(1,(GMWQ!$LQ$2:$LQ$60=AT$3)*(GMWQ!$LP$2:$LP$60=AT$4)*(GMWQ!$LR$2:$LR$60=AT$1),0),$B305-1966)</f>
        <v>490065.3</v>
      </c>
      <c r="AU305" s="23" cm="1">
        <f t="array" ref="AU305">INDEX(GMWQ!$A$2:$LR$60,MATCH(1,(GMWQ!$LQ$2:$LQ$60=AU$3)*(GMWQ!$LP$2:$LP$60=AU$4)*(GMWQ!$LR$2:$LR$60=AU$1),0),$B305-1966)</f>
        <v>17440.7</v>
      </c>
    </row>
    <row r="306" spans="1:47" x14ac:dyDescent="0.35">
      <c r="B306" s="7">
        <f t="shared" si="6"/>
        <v>2272</v>
      </c>
      <c r="C306" s="7" cm="1">
        <f t="array" ref="C306">INDEX(GMWQ!$A$2:$LR$60,MATCH(1,(GMWQ!$LQ$2:$LQ$60=C$3)*(GMWQ!$LP$2:$LP$60=C$4)*(GMWQ!$LR$2:$LR$60=C$1),0),$B306-1966)</f>
        <v>819056.9</v>
      </c>
      <c r="D306" s="7" cm="1">
        <f t="array" ref="D306">INDEX(GMWQ!$A$2:$LR$60,MATCH(1,(GMWQ!$LQ$2:$LQ$60=D$3)*(GMWQ!$LP$2:$LP$60=D$4)*(GMWQ!$LR$2:$LR$60=D$1),0),$B306-1966)</f>
        <v>1368.2550000000001</v>
      </c>
      <c r="E306" s="7" cm="1">
        <f t="array" ref="E306">INDEX(GMWQ!$A$2:$LR$60,MATCH(1,(GMWQ!$LQ$2:$LQ$60=E$3)*(GMWQ!$LP$2:$LP$60=E$4)*(GMWQ!$LR$2:$LR$60=E$1),0),$B306-1966)</f>
        <v>213</v>
      </c>
      <c r="F306" s="7" cm="1">
        <f t="array" ref="F306">INDEX(GMWQ!$A$2:$LR$60,MATCH(1,(GMWQ!$LQ$2:$LQ$60=F$3)*(GMWQ!$LP$2:$LP$60=F$4)*(GMWQ!$LR$2:$LR$60=F$1),0),$B306-1966)</f>
        <v>651919.30000000005</v>
      </c>
      <c r="G306" s="7" cm="1">
        <f t="array" ref="G306">INDEX(GMWQ!$A$2:$LR$60,MATCH(1,(GMWQ!$LQ$2:$LQ$60=G$3)*(GMWQ!$LP$2:$LP$60=G$4)*(GMWQ!$LR$2:$LR$60=G$1),0),$B306-1966)</f>
        <v>195093.6</v>
      </c>
      <c r="H306" s="7" cm="1">
        <f t="array" ref="H306">INDEX(GMWQ!$A$2:$LR$60,MATCH(1,(GMWQ!$LQ$2:$LQ$60=H$3)*(GMWQ!$LP$2:$LP$60=H$4)*(GMWQ!$LR$2:$LR$60=H$1),0),$B306-1966)</f>
        <v>43841.57</v>
      </c>
      <c r="I306" s="7" cm="1">
        <f t="array" ref="I306">INDEX(GMWQ!$A$2:$LR$60,MATCH(1,(GMWQ!$LQ$2:$LQ$60=I$3)*(GMWQ!$LP$2:$LP$60=I$4)*(GMWQ!$LR$2:$LR$60=I$1),0),$B306-1966)</f>
        <v>194.11179999999999</v>
      </c>
      <c r="J306" s="7" cm="1">
        <f t="array" ref="J306">INDEX(GMWQ!$A$2:$LR$60,MATCH(1,(GMWQ!$LQ$2:$LQ$60=J$3)*(GMWQ!$LP$2:$LP$60=J$4)*(GMWQ!$LR$2:$LR$60=J$1),0),$B306-1966)</f>
        <v>32764.720000000001</v>
      </c>
      <c r="K306" s="7" cm="1">
        <f t="array" ref="K306">INDEX(GMWQ!$A$2:$LR$60,MATCH(1,(GMWQ!$LQ$2:$LQ$60=K$3)*(GMWQ!$LP$2:$LP$60=K$4)*(GMWQ!$LR$2:$LR$60=K$1),0),$B306-1966)</f>
        <v>2</v>
      </c>
      <c r="L306" s="7" cm="1">
        <f t="array" ref="L306">INDEX(GMWQ!$A$2:$LR$60,MATCH(1,(GMWQ!$LQ$2:$LQ$60=L$3)*(GMWQ!$LP$2:$LP$60=L$4)*(GMWQ!$LR$2:$LR$60=L$1),0),$B306-1966)</f>
        <v>3.7500010000000001</v>
      </c>
      <c r="M306" s="7" cm="1">
        <f t="array" ref="M306">INDEX(GMWQ!$A$2:$LR$60,MATCH(1,(GMWQ!$LQ$2:$LQ$60=M$3)*(GMWQ!$LP$2:$LP$60=M$4)*(GMWQ!$LR$2:$LR$60=M$1),0),$B306-1966)</f>
        <v>317.63650000000001</v>
      </c>
      <c r="N306" s="7" cm="1">
        <f t="array" ref="N306">INDEX(GMWQ!$A$2:$LR$60,MATCH(1,(GMWQ!$LQ$2:$LQ$60=N$3)*(GMWQ!$LP$2:$LP$60=N$4)*(GMWQ!$LR$2:$LR$60=N$1),0),$B306-1966)</f>
        <v>46130.93</v>
      </c>
      <c r="O306" s="7" cm="1">
        <f t="array" ref="O306">INDEX(GMWQ!$A$2:$LR$60,MATCH(1,(GMWQ!$LQ$2:$LQ$60=O$3)*(GMWQ!$LP$2:$LP$60=O$4)*(GMWQ!$LR$2:$LR$60=O$1),0),$B306-1966)</f>
        <v>25666.23</v>
      </c>
      <c r="P306" s="7" cm="1">
        <f t="array" ref="P306">INDEX(GMWQ!$A$2:$LR$60,MATCH(1,(GMWQ!$LQ$2:$LQ$60=P$3)*(GMWQ!$LP$2:$LP$60=P$4)*(GMWQ!$LR$2:$LR$60=P$1),0),$B306-1966)</f>
        <v>1034623</v>
      </c>
      <c r="Q306" s="7" cm="1">
        <f t="array" ref="Q306">INDEX(GMWQ!$A$2:$LR$60,MATCH(1,(GMWQ!$LQ$2:$LQ$60=Q$3)*(GMWQ!$LP$2:$LP$60=Q$4)*(GMWQ!$LR$2:$LR$60=Q$1),0),$B306-1966)</f>
        <v>3.5</v>
      </c>
      <c r="R306" s="7" cm="1">
        <f t="array" ref="R306">INDEX(GMWQ!$A$2:$LR$60,MATCH(1,(GMWQ!$LQ$2:$LQ$60=R$3)*(GMWQ!$LP$2:$LP$60=R$4)*(GMWQ!$LR$2:$LR$60=R$1),0),$B306-1966)</f>
        <v>256454.9</v>
      </c>
      <c r="S306" s="7" cm="1">
        <f t="array" ref="S306">INDEX(GMWQ!$A$2:$LR$60,MATCH(1,(GMWQ!$LQ$2:$LQ$60=S$3)*(GMWQ!$LP$2:$LP$60=S$4)*(GMWQ!$LR$2:$LR$60=S$1),0),$B306-1966)</f>
        <v>382.57060000000001</v>
      </c>
      <c r="T306" s="7" cm="1">
        <f t="array" ref="T306">INDEX(GMWQ!$A$2:$LR$60,MATCH(1,(GMWQ!$LQ$2:$LQ$60=T$3)*(GMWQ!$LP$2:$LP$60=T$4)*(GMWQ!$LR$2:$LR$60=T$1),0),$B306-1966)</f>
        <v>154193</v>
      </c>
      <c r="U306" s="7" cm="1">
        <f t="array" ref="U306">INDEX(GMWQ!$A$2:$LR$60,MATCH(1,(GMWQ!$LQ$2:$LQ$60=U$3)*(GMWQ!$LP$2:$LP$60=U$4)*(GMWQ!$LR$2:$LR$60=U$1),0),$B306-1966)</f>
        <v>16090.63</v>
      </c>
      <c r="V306" s="7" cm="1">
        <f t="array" ref="V306">INDEX(GMWQ!$A$2:$LR$60,MATCH(1,(GMWQ!$LQ$2:$LQ$60=V$3)*(GMWQ!$LP$2:$LP$60=V$4)*(GMWQ!$LR$2:$LR$60=V$1),0),$B306-1966)</f>
        <v>1.350502E-3</v>
      </c>
      <c r="W306" s="7" cm="1">
        <f t="array" ref="W306">INDEX(GMWQ!$A$2:$LR$60,MATCH(1,(GMWQ!$LQ$2:$LQ$60=W$3)*(GMWQ!$LP$2:$LP$60=W$4)*(GMWQ!$LR$2:$LR$60=W$1),0),$B306-1966)</f>
        <v>9.3414230000000007</v>
      </c>
      <c r="X306" s="7" cm="1">
        <f t="array" ref="X306">INDEX(GMWQ!$A$2:$LR$60,MATCH(1,(GMWQ!$LQ$2:$LQ$60=X$3)*(GMWQ!$LP$2:$LP$60=X$4)*(GMWQ!$LR$2:$LR$60=X$1),0),$B306-1966)</f>
        <v>15204260</v>
      </c>
      <c r="Y306" s="7" cm="1">
        <f t="array" ref="Y306">INDEX(GMWQ!$A$2:$LR$60,MATCH(1,(GMWQ!$LQ$2:$LQ$60=Y$3)*(GMWQ!$LP$2:$LP$60=Y$4)*(GMWQ!$LR$2:$LR$60=Y$1),0),$B306-1966)</f>
        <v>199.05250000000001</v>
      </c>
      <c r="Z306" s="7" cm="1">
        <f t="array" ref="Z306">INDEX(GMWQ!$A$2:$LR$60,MATCH(1,(GMWQ!$LQ$2:$LQ$60=Z$3)*(GMWQ!$LP$2:$LP$60=Z$4)*(GMWQ!$LR$2:$LR$60=Z$1),0),$B306-1966)</f>
        <v>819056.8</v>
      </c>
      <c r="AA306" s="7" cm="1">
        <f t="array" ref="AA306">INDEX(GMWQ!$A$2:$LR$60,MATCH(1,(GMWQ!$LQ$2:$LQ$60=AA$3)*(GMWQ!$LP$2:$LP$60=AA$4)*(GMWQ!$LR$2:$LR$60=AA$1),0),$B306-1966)</f>
        <v>656269</v>
      </c>
      <c r="AB306" s="7" cm="1">
        <f t="array" ref="AB306">INDEX(GMWQ!$A$2:$LR$60,MATCH(1,(GMWQ!$LQ$2:$LQ$60=AB$3)*(GMWQ!$LP$2:$LP$60=AB$4)*(GMWQ!$LR$2:$LR$60=AB$1),0),$B306-1966)</f>
        <v>631424.9</v>
      </c>
      <c r="AC306" s="7" cm="1">
        <f t="array" ref="AC306">INDEX(GMWQ!$A$2:$LR$60,MATCH(1,(GMWQ!$LQ$2:$LQ$60=AC$3)*(GMWQ!$LP$2:$LP$60=AC$4)*(GMWQ!$LR$2:$LR$60=AC$1),0),$B306-1966)</f>
        <v>25048.02</v>
      </c>
      <c r="AD306" s="7" cm="1">
        <f t="array" ref="AD306">INDEX(GMWQ!$A$2:$LR$60,MATCH(1,(GMWQ!$LQ$2:$LQ$60=AD$3)*(GMWQ!$LP$2:$LP$60=AD$4)*(GMWQ!$LR$2:$LR$60=AD$1),0),$B306-1966)</f>
        <v>35632.199999999997</v>
      </c>
      <c r="AE306" s="7" cm="1">
        <f t="array" ref="AE306">INDEX(GMWQ!$A$2:$LR$60,MATCH(1,(GMWQ!$LQ$2:$LQ$60=AE$3)*(GMWQ!$LP$2:$LP$60=AE$4)*(GMWQ!$LR$2:$LR$60=AE$1),0),$B306-1966)</f>
        <v>1630353</v>
      </c>
      <c r="AF306" s="20" cm="1">
        <f t="array" ref="AF306">INDEX(GMWQ!$A$2:$LR$60,MATCH(1,(GMWQ!$LQ$2:$LQ$60=AF$3)*(GMWQ!$LP$2:$LP$60=AF$4)*(GMWQ!$LR$2:$LR$60=AF$1),0),$B306-1966)</f>
        <v>2</v>
      </c>
      <c r="AG306" s="20" cm="1">
        <f t="array" ref="AG306">INDEX(GMWQ!$A$2:$LR$60,MATCH(1,(GMWQ!$LQ$2:$LQ$60=AG$3)*(GMWQ!$LP$2:$LP$60=AG$4)*(GMWQ!$LR$2:$LR$60=AG$1),0),$B306-1966)</f>
        <v>-20464.7</v>
      </c>
      <c r="AI306" s="23" cm="1">
        <f t="array" ref="AI306">INDEX(GMWQ!$A$2:$LR$60,MATCH(1,(GMWQ!$LQ$2:$LQ$60=AI$3)*(GMWQ!$LP$2:$LP$60=AI$4)*(GMWQ!$LR$2:$LR$60=AI$1),0),$B306-1966)</f>
        <v>1034623</v>
      </c>
      <c r="AJ306" s="23" cm="1">
        <f t="array" ref="AJ306">INDEX(GMWQ!$A$2:$LR$60,MATCH(1,(GMWQ!$LQ$2:$LQ$60=AJ$3)*(GMWQ!$LP$2:$LP$60=AJ$4)*(GMWQ!$LR$2:$LR$60=AJ$1),0),$B306-1966)</f>
        <v>194.11179999999999</v>
      </c>
      <c r="AK306" s="23" cm="1">
        <f t="array" ref="AK306">INDEX(GMWQ!$A$2:$LR$60,MATCH(1,(GMWQ!$LQ$2:$LQ$60=AK$3)*(GMWQ!$LP$2:$LP$60=AK$4)*(GMWQ!$LR$2:$LR$60=AK$1),0),$B306-1966)</f>
        <v>651919.30000000005</v>
      </c>
      <c r="AL306" s="23" cm="1">
        <f t="array" ref="AL306">INDEX(GMWQ!$A$2:$LR$60,MATCH(1,(GMWQ!$LQ$2:$LQ$60=AL$3)*(GMWQ!$LP$2:$LP$60=AL$4)*(GMWQ!$LR$2:$LR$60=AL$1),0),$B306-1966)</f>
        <v>19896.990000000002</v>
      </c>
      <c r="AM306" s="23" cm="1">
        <f t="array" ref="AM306">INDEX(GMWQ!$A$2:$LR$60,MATCH(1,(GMWQ!$LQ$2:$LQ$60=AM$3)*(GMWQ!$LP$2:$LP$60=AM$4)*(GMWQ!$LR$2:$LR$60=AM$1),0),$B306-1966)</f>
        <v>32764.720000000001</v>
      </c>
      <c r="AN306" s="23" cm="1">
        <f t="array" ref="AN306">INDEX(GMWQ!$A$2:$LR$60,MATCH(1,(GMWQ!$LQ$2:$LQ$60=AN$3)*(GMWQ!$LP$2:$LP$60=AN$4)*(GMWQ!$LR$2:$LR$60=AN$1),0),$B306-1966)</f>
        <v>195093.6</v>
      </c>
      <c r="AO306" s="23" cm="1">
        <f t="array" ref="AO306">INDEX(GMWQ!$A$2:$LR$60,MATCH(1,(GMWQ!$LQ$2:$LQ$60=AO$3)*(GMWQ!$LP$2:$LP$60=AO$4)*(GMWQ!$LR$2:$LR$60=AO$1),0),$B306-1966)</f>
        <v>43841.57</v>
      </c>
      <c r="AP306" s="23" cm="1">
        <f t="array" ref="AP306">INDEX(GMWQ!$A$2:$LR$60,MATCH(1,(GMWQ!$LQ$2:$LQ$60=AP$3)*(GMWQ!$LP$2:$LP$60=AP$4)*(GMWQ!$LR$2:$LR$60=AP$1),0),$B306-1966)</f>
        <v>-20464.7</v>
      </c>
      <c r="AQ306" s="23" cm="1">
        <f t="array" ref="AQ306">INDEX(GMWQ!$A$2:$LR$60,MATCH(1,(GMWQ!$LQ$2:$LQ$60=AQ$3)*(GMWQ!$LP$2:$LP$60=AQ$4)*(GMWQ!$LR$2:$LR$60=AQ$1),0),$B306-1966)</f>
        <v>228091.1</v>
      </c>
      <c r="AR306" s="23" cm="1">
        <f t="array" ref="AR306">INDEX(GMWQ!$A$2:$LR$60,MATCH(1,(GMWQ!$LQ$2:$LQ$60=AR$3)*(GMWQ!$LP$2:$LP$60=AR$4)*(GMWQ!$LR$2:$LR$60=AR$1),0),$B306-1966)</f>
        <v>954795.2</v>
      </c>
      <c r="AS306" s="23" cm="1">
        <f t="array" ref="AS306">INDEX(GMWQ!$A$2:$LR$60,MATCH(1,(GMWQ!$LQ$2:$LQ$60=AS$3)*(GMWQ!$LP$2:$LP$60=AS$4)*(GMWQ!$LR$2:$LR$60=AS$1),0),$B306-1966)</f>
        <v>32941.46</v>
      </c>
      <c r="AT306" s="23" cm="1">
        <f t="array" ref="AT306">INDEX(GMWQ!$A$2:$LR$60,MATCH(1,(GMWQ!$LQ$2:$LQ$60=AT$3)*(GMWQ!$LP$2:$LP$60=AT$4)*(GMWQ!$LR$2:$LR$60=AT$1),0),$B306-1966)</f>
        <v>491879</v>
      </c>
      <c r="AU306" s="23" cm="1">
        <f t="array" ref="AU306">INDEX(GMWQ!$A$2:$LR$60,MATCH(1,(GMWQ!$LQ$2:$LQ$60=AU$3)*(GMWQ!$LP$2:$LP$60=AU$4)*(GMWQ!$LR$2:$LR$60=AU$1),0),$B306-1966)</f>
        <v>17505.150000000001</v>
      </c>
    </row>
    <row r="307" spans="1:47" x14ac:dyDescent="0.35">
      <c r="A307" s="7">
        <v>2048</v>
      </c>
      <c r="B307" s="7">
        <f t="shared" si="6"/>
        <v>2273</v>
      </c>
      <c r="C307" s="7" cm="1">
        <f t="array" ref="C307">INDEX(GMWQ!$A$2:$LR$60,MATCH(1,(GMWQ!$LQ$2:$LQ$60=C$3)*(GMWQ!$LP$2:$LP$60=C$4)*(GMWQ!$LR$2:$LR$60=C$1),0),$B307-1966)</f>
        <v>822080.9</v>
      </c>
      <c r="D307" s="7" cm="1">
        <f t="array" ref="D307">INDEX(GMWQ!$A$2:$LR$60,MATCH(1,(GMWQ!$LQ$2:$LQ$60=D$3)*(GMWQ!$LP$2:$LP$60=D$4)*(GMWQ!$LR$2:$LR$60=D$1),0),$B307-1966)</f>
        <v>1378.951</v>
      </c>
      <c r="E307" s="7" cm="1">
        <f t="array" ref="E307">INDEX(GMWQ!$A$2:$LR$60,MATCH(1,(GMWQ!$LQ$2:$LQ$60=E$3)*(GMWQ!$LP$2:$LP$60=E$4)*(GMWQ!$LR$2:$LR$60=E$1),0),$B307-1966)</f>
        <v>213.22319999999999</v>
      </c>
      <c r="F307" s="7" cm="1">
        <f t="array" ref="F307">INDEX(GMWQ!$A$2:$LR$60,MATCH(1,(GMWQ!$LQ$2:$LQ$60=F$3)*(GMWQ!$LP$2:$LP$60=F$4)*(GMWQ!$LR$2:$LR$60=F$1),0),$B307-1966)</f>
        <v>657607.80000000005</v>
      </c>
      <c r="G307" s="7" cm="1">
        <f t="array" ref="G307">INDEX(GMWQ!$A$2:$LR$60,MATCH(1,(GMWQ!$LQ$2:$LQ$60=G$3)*(GMWQ!$LP$2:$LP$60=G$4)*(GMWQ!$LR$2:$LR$60=G$1),0),$B307-1966)</f>
        <v>197008.7</v>
      </c>
      <c r="H307" s="7" cm="1">
        <f t="array" ref="H307">INDEX(GMWQ!$A$2:$LR$60,MATCH(1,(GMWQ!$LQ$2:$LQ$60=H$3)*(GMWQ!$LP$2:$LP$60=H$4)*(GMWQ!$LR$2:$LR$60=H$1),0),$B307-1966)</f>
        <v>44224.13</v>
      </c>
      <c r="I307" s="7" cm="1">
        <f t="array" ref="I307">INDEX(GMWQ!$A$2:$LR$60,MATCH(1,(GMWQ!$LQ$2:$LQ$60=I$3)*(GMWQ!$LP$2:$LP$60=I$4)*(GMWQ!$LR$2:$LR$60=I$1),0),$B307-1966)</f>
        <v>195.07499999999999</v>
      </c>
      <c r="J307" s="7" cm="1">
        <f t="array" ref="J307">INDEX(GMWQ!$A$2:$LR$60,MATCH(1,(GMWQ!$LQ$2:$LQ$60=J$3)*(GMWQ!$LP$2:$LP$60=J$4)*(GMWQ!$LR$2:$LR$60=J$1),0),$B307-1966)</f>
        <v>32794.26</v>
      </c>
      <c r="K307" s="7" cm="1">
        <f t="array" ref="K307">INDEX(GMWQ!$A$2:$LR$60,MATCH(1,(GMWQ!$LQ$2:$LQ$60=K$3)*(GMWQ!$LP$2:$LP$60=K$4)*(GMWQ!$LR$2:$LR$60=K$1),0),$B307-1966)</f>
        <v>2</v>
      </c>
      <c r="L307" s="7" cm="1">
        <f t="array" ref="L307">INDEX(GMWQ!$A$2:$LR$60,MATCH(1,(GMWQ!$LQ$2:$LQ$60=L$3)*(GMWQ!$LP$2:$LP$60=L$4)*(GMWQ!$LR$2:$LR$60=L$1),0),$B307-1966)</f>
        <v>3.75</v>
      </c>
      <c r="M307" s="7" cm="1">
        <f t="array" ref="M307">INDEX(GMWQ!$A$2:$LR$60,MATCH(1,(GMWQ!$LQ$2:$LQ$60=M$3)*(GMWQ!$LP$2:$LP$60=M$4)*(GMWQ!$LR$2:$LR$60=M$1),0),$B307-1966)</f>
        <v>320.3981</v>
      </c>
      <c r="N307" s="7" cm="1">
        <f t="array" ref="N307">INDEX(GMWQ!$A$2:$LR$60,MATCH(1,(GMWQ!$LQ$2:$LQ$60=N$3)*(GMWQ!$LP$2:$LP$60=N$4)*(GMWQ!$LR$2:$LR$60=N$1),0),$B307-1966)</f>
        <v>46459.89</v>
      </c>
      <c r="O307" s="7" cm="1">
        <f t="array" ref="O307">INDEX(GMWQ!$A$2:$LR$60,MATCH(1,(GMWQ!$LQ$2:$LQ$60=O$3)*(GMWQ!$LP$2:$LP$60=O$4)*(GMWQ!$LR$2:$LR$60=O$1),0),$B307-1966)</f>
        <v>25822.41</v>
      </c>
      <c r="P307" s="7" cm="1">
        <f t="array" ref="P307">INDEX(GMWQ!$A$2:$LR$60,MATCH(1,(GMWQ!$LQ$2:$LQ$60=P$3)*(GMWQ!$LP$2:$LP$60=P$4)*(GMWQ!$LR$2:$LR$60=P$1),0),$B307-1966)</f>
        <v>1043614</v>
      </c>
      <c r="Q307" s="7" cm="1">
        <f t="array" ref="Q307">INDEX(GMWQ!$A$2:$LR$60,MATCH(1,(GMWQ!$LQ$2:$LQ$60=Q$3)*(GMWQ!$LP$2:$LP$60=Q$4)*(GMWQ!$LR$2:$LR$60=Q$1),0),$B307-1966)</f>
        <v>3.5</v>
      </c>
      <c r="R307" s="7" cm="1">
        <f t="array" ref="R307">INDEX(GMWQ!$A$2:$LR$60,MATCH(1,(GMWQ!$LQ$2:$LQ$60=R$3)*(GMWQ!$LP$2:$LP$60=R$4)*(GMWQ!$LR$2:$LR$60=R$1),0),$B307-1966)</f>
        <v>256452.7</v>
      </c>
      <c r="S307" s="7" cm="1">
        <f t="array" ref="S307">INDEX(GMWQ!$A$2:$LR$60,MATCH(1,(GMWQ!$LQ$2:$LQ$60=S$3)*(GMWQ!$LP$2:$LP$60=S$4)*(GMWQ!$LR$2:$LR$60=S$1),0),$B307-1966)</f>
        <v>382.56729999999999</v>
      </c>
      <c r="T307" s="7" cm="1">
        <f t="array" ref="T307">INDEX(GMWQ!$A$2:$LR$60,MATCH(1,(GMWQ!$LQ$2:$LQ$60=T$3)*(GMWQ!$LP$2:$LP$60=T$4)*(GMWQ!$LR$2:$LR$60=T$1),0),$B307-1966)</f>
        <v>154778.29999999999</v>
      </c>
      <c r="U307" s="7" cm="1">
        <f t="array" ref="U307">INDEX(GMWQ!$A$2:$LR$60,MATCH(1,(GMWQ!$LQ$2:$LQ$60=U$3)*(GMWQ!$LP$2:$LP$60=U$4)*(GMWQ!$LR$2:$LR$60=U$1),0),$B307-1966)</f>
        <v>16054.13</v>
      </c>
      <c r="V307" s="7" cm="1">
        <f t="array" ref="V307">INDEX(GMWQ!$A$2:$LR$60,MATCH(1,(GMWQ!$LQ$2:$LQ$60=V$3)*(GMWQ!$LP$2:$LP$60=V$4)*(GMWQ!$LR$2:$LR$60=V$1),0),$B307-1966)</f>
        <v>1.350275E-3</v>
      </c>
      <c r="W307" s="7" cm="1">
        <f t="array" ref="W307">INDEX(GMWQ!$A$2:$LR$60,MATCH(1,(GMWQ!$LQ$2:$LQ$60=W$3)*(GMWQ!$LP$2:$LP$60=W$4)*(GMWQ!$LR$2:$LR$60=W$1),0),$B307-1966)</f>
        <v>9.2903079999999996</v>
      </c>
      <c r="X307" s="7" cm="1">
        <f t="array" ref="X307">INDEX(GMWQ!$A$2:$LR$60,MATCH(1,(GMWQ!$LQ$2:$LQ$60=X$3)*(GMWQ!$LP$2:$LP$60=X$4)*(GMWQ!$LR$2:$LR$60=X$1),0),$B307-1966)</f>
        <v>15421580</v>
      </c>
      <c r="Y307" s="7" cm="1">
        <f t="array" ref="Y307">INDEX(GMWQ!$A$2:$LR$60,MATCH(1,(GMWQ!$LQ$2:$LQ$60=Y$3)*(GMWQ!$LP$2:$LP$60=Y$4)*(GMWQ!$LR$2:$LR$60=Y$1),0),$B307-1966)</f>
        <v>200.13239999999999</v>
      </c>
      <c r="Z307" s="7" cm="1">
        <f t="array" ref="Z307">INDEX(GMWQ!$A$2:$LR$60,MATCH(1,(GMWQ!$LQ$2:$LQ$60=Z$3)*(GMWQ!$LP$2:$LP$60=Z$4)*(GMWQ!$LR$2:$LR$60=Z$1),0),$B307-1966)</f>
        <v>822080.5</v>
      </c>
      <c r="AA307" s="7" cm="1">
        <f t="array" ref="AA307">INDEX(GMWQ!$A$2:$LR$60,MATCH(1,(GMWQ!$LQ$2:$LQ$60=AA$3)*(GMWQ!$LP$2:$LP$60=AA$4)*(GMWQ!$LR$2:$LR$60=AA$1),0),$B307-1966)</f>
        <v>731074.4</v>
      </c>
      <c r="AB307" s="7" cm="1">
        <f t="array" ref="AB307">INDEX(GMWQ!$A$2:$LR$60,MATCH(1,(GMWQ!$LQ$2:$LQ$60=AB$3)*(GMWQ!$LP$2:$LP$60=AB$4)*(GMWQ!$LR$2:$LR$60=AB$1),0),$B307-1966)</f>
        <v>629580.5</v>
      </c>
      <c r="AC307" s="7" cm="1">
        <f t="array" ref="AC307">INDEX(GMWQ!$A$2:$LR$60,MATCH(1,(GMWQ!$LQ$2:$LQ$60=AC$3)*(GMWQ!$LP$2:$LP$60=AC$4)*(GMWQ!$LR$2:$LR$60=AC$1),0),$B307-1966)</f>
        <v>44456.160000000003</v>
      </c>
      <c r="AD307" s="7" cm="1">
        <f t="array" ref="AD307">INDEX(GMWQ!$A$2:$LR$60,MATCH(1,(GMWQ!$LQ$2:$LQ$60=AD$3)*(GMWQ!$LP$2:$LP$60=AD$4)*(GMWQ!$LR$2:$LR$60=AD$1),0),$B307-1966)</f>
        <v>35632.199999999997</v>
      </c>
      <c r="AE307" s="7" cm="1">
        <f t="array" ref="AE307">INDEX(GMWQ!$A$2:$LR$60,MATCH(1,(GMWQ!$LQ$2:$LQ$60=AE$3)*(GMWQ!$LP$2:$LP$60=AE$4)*(GMWQ!$LR$2:$LR$60=AE$1),0),$B307-1966)</f>
        <v>1645250</v>
      </c>
      <c r="AF307" s="20" cm="1">
        <f t="array" ref="AF307">INDEX(GMWQ!$A$2:$LR$60,MATCH(1,(GMWQ!$LQ$2:$LQ$60=AF$3)*(GMWQ!$LP$2:$LP$60=AF$4)*(GMWQ!$LR$2:$LR$60=AF$1),0),$B307-1966)</f>
        <v>2</v>
      </c>
      <c r="AG307" s="20" cm="1">
        <f t="array" ref="AG307">INDEX(GMWQ!$A$2:$LR$60,MATCH(1,(GMWQ!$LQ$2:$LQ$60=AG$3)*(GMWQ!$LP$2:$LP$60=AG$4)*(GMWQ!$LR$2:$LR$60=AG$1),0),$B307-1966)</f>
        <v>-20637.48</v>
      </c>
      <c r="AI307" s="23" cm="1">
        <f t="array" ref="AI307">INDEX(GMWQ!$A$2:$LR$60,MATCH(1,(GMWQ!$LQ$2:$LQ$60=AI$3)*(GMWQ!$LP$2:$LP$60=AI$4)*(GMWQ!$LR$2:$LR$60=AI$1),0),$B307-1966)</f>
        <v>1043614</v>
      </c>
      <c r="AJ307" s="23" cm="1">
        <f t="array" ref="AJ307">INDEX(GMWQ!$A$2:$LR$60,MATCH(1,(GMWQ!$LQ$2:$LQ$60=AJ$3)*(GMWQ!$LP$2:$LP$60=AJ$4)*(GMWQ!$LR$2:$LR$60=AJ$1),0),$B307-1966)</f>
        <v>195.07499999999999</v>
      </c>
      <c r="AK307" s="23" cm="1">
        <f t="array" ref="AK307">INDEX(GMWQ!$A$2:$LR$60,MATCH(1,(GMWQ!$LQ$2:$LQ$60=AK$3)*(GMWQ!$LP$2:$LP$60=AK$4)*(GMWQ!$LR$2:$LR$60=AK$1),0),$B307-1966)</f>
        <v>657607.80000000005</v>
      </c>
      <c r="AL307" s="23" cm="1">
        <f t="array" ref="AL307">INDEX(GMWQ!$A$2:$LR$60,MATCH(1,(GMWQ!$LQ$2:$LQ$60=AL$3)*(GMWQ!$LP$2:$LP$60=AL$4)*(GMWQ!$LR$2:$LR$60=AL$1),0),$B307-1966)</f>
        <v>20052.53</v>
      </c>
      <c r="AM307" s="23" cm="1">
        <f t="array" ref="AM307">INDEX(GMWQ!$A$2:$LR$60,MATCH(1,(GMWQ!$LQ$2:$LQ$60=AM$3)*(GMWQ!$LP$2:$LP$60=AM$4)*(GMWQ!$LR$2:$LR$60=AM$1),0),$B307-1966)</f>
        <v>32794.26</v>
      </c>
      <c r="AN307" s="23" cm="1">
        <f t="array" ref="AN307">INDEX(GMWQ!$A$2:$LR$60,MATCH(1,(GMWQ!$LQ$2:$LQ$60=AN$3)*(GMWQ!$LP$2:$LP$60=AN$4)*(GMWQ!$LR$2:$LR$60=AN$1),0),$B307-1966)</f>
        <v>197008.7</v>
      </c>
      <c r="AO307" s="23" cm="1">
        <f t="array" ref="AO307">INDEX(GMWQ!$A$2:$LR$60,MATCH(1,(GMWQ!$LQ$2:$LQ$60=AO$3)*(GMWQ!$LP$2:$LP$60=AO$4)*(GMWQ!$LR$2:$LR$60=AO$1),0),$B307-1966)</f>
        <v>44224.13</v>
      </c>
      <c r="AP307" s="23" cm="1">
        <f t="array" ref="AP307">INDEX(GMWQ!$A$2:$LR$60,MATCH(1,(GMWQ!$LQ$2:$LQ$60=AP$3)*(GMWQ!$LP$2:$LP$60=AP$4)*(GMWQ!$LR$2:$LR$60=AP$1),0),$B307-1966)</f>
        <v>-20637.48</v>
      </c>
      <c r="AQ307" s="23" cm="1">
        <f t="array" ref="AQ307">INDEX(GMWQ!$A$2:$LR$60,MATCH(1,(GMWQ!$LQ$2:$LQ$60=AQ$3)*(GMWQ!$LP$2:$LP$60=AQ$4)*(GMWQ!$LR$2:$LR$60=AQ$1),0),$B307-1966)</f>
        <v>230135.5</v>
      </c>
      <c r="AR307" s="23" cm="1">
        <f t="array" ref="AR307">INDEX(GMWQ!$A$2:$LR$60,MATCH(1,(GMWQ!$LQ$2:$LQ$60=AR$3)*(GMWQ!$LP$2:$LP$60=AR$4)*(GMWQ!$LR$2:$LR$60=AR$1),0),$B307-1966)</f>
        <v>963080.4</v>
      </c>
      <c r="AS307" s="23" cm="1">
        <f t="array" ref="AS307">INDEX(GMWQ!$A$2:$LR$60,MATCH(1,(GMWQ!$LQ$2:$LQ$60=AS$3)*(GMWQ!$LP$2:$LP$60=AS$4)*(GMWQ!$LR$2:$LR$60=AS$1),0),$B307-1966)</f>
        <v>33236.15</v>
      </c>
      <c r="AT307" s="23" cm="1">
        <f t="array" ref="AT307">INDEX(GMWQ!$A$2:$LR$60,MATCH(1,(GMWQ!$LQ$2:$LQ$60=AT$3)*(GMWQ!$LP$2:$LP$60=AT$4)*(GMWQ!$LR$2:$LR$60=AT$1),0),$B307-1966)</f>
        <v>493697.5</v>
      </c>
      <c r="AU307" s="23" cm="1">
        <f t="array" ref="AU307">INDEX(GMWQ!$A$2:$LR$60,MATCH(1,(GMWQ!$LQ$2:$LQ$60=AU$3)*(GMWQ!$LP$2:$LP$60=AU$4)*(GMWQ!$LR$2:$LR$60=AU$1),0),$B307-1966)</f>
        <v>17569.78</v>
      </c>
    </row>
    <row r="308" spans="1:47" x14ac:dyDescent="0.35">
      <c r="B308" s="7">
        <f t="shared" si="6"/>
        <v>2274</v>
      </c>
      <c r="C308" s="7" cm="1">
        <f t="array" ref="C308">INDEX(GMWQ!$A$2:$LR$60,MATCH(1,(GMWQ!$LQ$2:$LQ$60=C$3)*(GMWQ!$LP$2:$LP$60=C$4)*(GMWQ!$LR$2:$LR$60=C$1),0),$B308-1966)</f>
        <v>825113</v>
      </c>
      <c r="D308" s="7" cm="1">
        <f t="array" ref="D308">INDEX(GMWQ!$A$2:$LR$60,MATCH(1,(GMWQ!$LQ$2:$LQ$60=D$3)*(GMWQ!$LP$2:$LP$60=D$4)*(GMWQ!$LR$2:$LR$60=D$1),0),$B308-1966)</f>
        <v>1389.7260000000001</v>
      </c>
      <c r="E308" s="7" cm="1">
        <f t="array" ref="E308">INDEX(GMWQ!$A$2:$LR$60,MATCH(1,(GMWQ!$LQ$2:$LQ$60=E$3)*(GMWQ!$LP$2:$LP$60=E$4)*(GMWQ!$LR$2:$LR$60=E$1),0),$B308-1966)</f>
        <v>215.17070000000001</v>
      </c>
      <c r="F308" s="7" cm="1">
        <f t="array" ref="F308">INDEX(GMWQ!$A$2:$LR$60,MATCH(1,(GMWQ!$LQ$2:$LQ$60=F$3)*(GMWQ!$LP$2:$LP$60=F$4)*(GMWQ!$LR$2:$LR$60=F$1),0),$B308-1966)</f>
        <v>663343.6</v>
      </c>
      <c r="G308" s="7" cm="1">
        <f t="array" ref="G308">INDEX(GMWQ!$A$2:$LR$60,MATCH(1,(GMWQ!$LQ$2:$LQ$60=G$3)*(GMWQ!$LP$2:$LP$60=G$4)*(GMWQ!$LR$2:$LR$60=G$1),0),$B308-1966)</f>
        <v>198291.9</v>
      </c>
      <c r="H308" s="7" cm="1">
        <f t="array" ref="H308">INDEX(GMWQ!$A$2:$LR$60,MATCH(1,(GMWQ!$LQ$2:$LQ$60=H$3)*(GMWQ!$LP$2:$LP$60=H$4)*(GMWQ!$LR$2:$LR$60=H$1),0),$B308-1966)</f>
        <v>44609.86</v>
      </c>
      <c r="I308" s="7" cm="1">
        <f t="array" ref="I308">INDEX(GMWQ!$A$2:$LR$60,MATCH(1,(GMWQ!$LQ$2:$LQ$60=I$3)*(GMWQ!$LP$2:$LP$60=I$4)*(GMWQ!$LR$2:$LR$60=I$1),0),$B308-1966)</f>
        <v>196.04300000000001</v>
      </c>
      <c r="J308" s="7" cm="1">
        <f t="array" ref="J308">INDEX(GMWQ!$A$2:$LR$60,MATCH(1,(GMWQ!$LQ$2:$LQ$60=J$3)*(GMWQ!$LP$2:$LP$60=J$4)*(GMWQ!$LR$2:$LR$60=J$1),0),$B308-1966)</f>
        <v>32823.81</v>
      </c>
      <c r="K308" s="7" cm="1">
        <f t="array" ref="K308">INDEX(GMWQ!$A$2:$LR$60,MATCH(1,(GMWQ!$LQ$2:$LQ$60=K$3)*(GMWQ!$LP$2:$LP$60=K$4)*(GMWQ!$LR$2:$LR$60=K$1),0),$B308-1966)</f>
        <v>2</v>
      </c>
      <c r="L308" s="7" cm="1">
        <f t="array" ref="L308">INDEX(GMWQ!$A$2:$LR$60,MATCH(1,(GMWQ!$LQ$2:$LQ$60=L$3)*(GMWQ!$LP$2:$LP$60=L$4)*(GMWQ!$LR$2:$LR$60=L$1),0),$B308-1966)</f>
        <v>3.7499980000000002</v>
      </c>
      <c r="M308" s="7" cm="1">
        <f t="array" ref="M308">INDEX(GMWQ!$A$2:$LR$60,MATCH(1,(GMWQ!$LQ$2:$LQ$60=M$3)*(GMWQ!$LP$2:$LP$60=M$4)*(GMWQ!$LR$2:$LR$60=M$1),0),$B308-1966)</f>
        <v>323.1825</v>
      </c>
      <c r="N308" s="7" cm="1">
        <f t="array" ref="N308">INDEX(GMWQ!$A$2:$LR$60,MATCH(1,(GMWQ!$LQ$2:$LQ$60=N$3)*(GMWQ!$LP$2:$LP$60=N$4)*(GMWQ!$LR$2:$LR$60=N$1),0),$B308-1966)</f>
        <v>46790.22</v>
      </c>
      <c r="O308" s="7" cm="1">
        <f t="array" ref="O308">INDEX(GMWQ!$A$2:$LR$60,MATCH(1,(GMWQ!$LQ$2:$LQ$60=O$3)*(GMWQ!$LP$2:$LP$60=O$4)*(GMWQ!$LR$2:$LR$60=O$1),0),$B308-1966)</f>
        <v>25986.89</v>
      </c>
      <c r="P308" s="7" cm="1">
        <f t="array" ref="P308">INDEX(GMWQ!$A$2:$LR$60,MATCH(1,(GMWQ!$LQ$2:$LQ$60=P$3)*(GMWQ!$LP$2:$LP$60=P$4)*(GMWQ!$LR$2:$LR$60=P$1),0),$B308-1966)</f>
        <v>1052680</v>
      </c>
      <c r="Q308" s="7" cm="1">
        <f t="array" ref="Q308">INDEX(GMWQ!$A$2:$LR$60,MATCH(1,(GMWQ!$LQ$2:$LQ$60=Q$3)*(GMWQ!$LP$2:$LP$60=Q$4)*(GMWQ!$LR$2:$LR$60=Q$1),0),$B308-1966)</f>
        <v>3.5</v>
      </c>
      <c r="R308" s="7" cm="1">
        <f t="array" ref="R308">INDEX(GMWQ!$A$2:$LR$60,MATCH(1,(GMWQ!$LQ$2:$LQ$60=R$3)*(GMWQ!$LP$2:$LP$60=R$4)*(GMWQ!$LR$2:$LR$60=R$1),0),$B308-1966)</f>
        <v>256450.5</v>
      </c>
      <c r="S308" s="7" cm="1">
        <f t="array" ref="S308">INDEX(GMWQ!$A$2:$LR$60,MATCH(1,(GMWQ!$LQ$2:$LQ$60=S$3)*(GMWQ!$LP$2:$LP$60=S$4)*(GMWQ!$LR$2:$LR$60=S$1),0),$B308-1966)</f>
        <v>382.5641</v>
      </c>
      <c r="T308" s="7" cm="1">
        <f t="array" ref="T308">INDEX(GMWQ!$A$2:$LR$60,MATCH(1,(GMWQ!$LQ$2:$LQ$60=T$3)*(GMWQ!$LP$2:$LP$60=T$4)*(GMWQ!$LR$2:$LR$60=T$1),0),$B308-1966)</f>
        <v>155365.6</v>
      </c>
      <c r="U308" s="7" cm="1">
        <f t="array" ref="U308">INDEX(GMWQ!$A$2:$LR$60,MATCH(1,(GMWQ!$LQ$2:$LQ$60=U$3)*(GMWQ!$LP$2:$LP$60=U$4)*(GMWQ!$LR$2:$LR$60=U$1),0),$B308-1966)</f>
        <v>16021.02</v>
      </c>
      <c r="V308" s="7" cm="1">
        <f t="array" ref="V308">INDEX(GMWQ!$A$2:$LR$60,MATCH(1,(GMWQ!$LQ$2:$LQ$60=V$3)*(GMWQ!$LP$2:$LP$60=V$4)*(GMWQ!$LR$2:$LR$60=V$1),0),$B308-1966)</f>
        <v>1.3498379999999999E-3</v>
      </c>
      <c r="W308" s="7" cm="1">
        <f t="array" ref="W308">INDEX(GMWQ!$A$2:$LR$60,MATCH(1,(GMWQ!$LQ$2:$LQ$60=W$3)*(GMWQ!$LP$2:$LP$60=W$4)*(GMWQ!$LR$2:$LR$60=W$1),0),$B308-1966)</f>
        <v>9.3670770000000001</v>
      </c>
      <c r="X308" s="7" cm="1">
        <f t="array" ref="X308">INDEX(GMWQ!$A$2:$LR$60,MATCH(1,(GMWQ!$LQ$2:$LQ$60=X$3)*(GMWQ!$LP$2:$LP$60=X$4)*(GMWQ!$LR$2:$LR$60=X$1),0),$B308-1966)</f>
        <v>15605200</v>
      </c>
      <c r="Y308" s="7" cm="1">
        <f t="array" ref="Y308">INDEX(GMWQ!$A$2:$LR$60,MATCH(1,(GMWQ!$LQ$2:$LQ$60=Y$3)*(GMWQ!$LP$2:$LP$60=Y$4)*(GMWQ!$LR$2:$LR$60=Y$1),0),$B308-1966)</f>
        <v>201.21809999999999</v>
      </c>
      <c r="Z308" s="7" cm="1">
        <f t="array" ref="Z308">INDEX(GMWQ!$A$2:$LR$60,MATCH(1,(GMWQ!$LQ$2:$LQ$60=Z$3)*(GMWQ!$LP$2:$LP$60=Z$4)*(GMWQ!$LR$2:$LR$60=Z$1),0),$B308-1966)</f>
        <v>825113.1</v>
      </c>
      <c r="AA308" s="7" cm="1">
        <f t="array" ref="AA308">INDEX(GMWQ!$A$2:$LR$60,MATCH(1,(GMWQ!$LQ$2:$LQ$60=AA$3)*(GMWQ!$LP$2:$LP$60=AA$4)*(GMWQ!$LR$2:$LR$60=AA$1),0),$B308-1966)</f>
        <v>676024</v>
      </c>
      <c r="AB308" s="7" cm="1">
        <f t="array" ref="AB308">INDEX(GMWQ!$A$2:$LR$60,MATCH(1,(GMWQ!$LQ$2:$LQ$60=AB$3)*(GMWQ!$LP$2:$LP$60=AB$4)*(GMWQ!$LR$2:$LR$60=AB$1),0),$B308-1966)</f>
        <v>643957.19999999995</v>
      </c>
      <c r="AC308" s="7" cm="1">
        <f t="array" ref="AC308">INDEX(GMWQ!$A$2:$LR$60,MATCH(1,(GMWQ!$LQ$2:$LQ$60=AC$3)*(GMWQ!$LP$2:$LP$60=AC$4)*(GMWQ!$LR$2:$LR$60=AC$1),0),$B308-1966)</f>
        <v>21383.83</v>
      </c>
      <c r="AD308" s="7" cm="1">
        <f t="array" ref="AD308">INDEX(GMWQ!$A$2:$LR$60,MATCH(1,(GMWQ!$LQ$2:$LQ$60=AD$3)*(GMWQ!$LP$2:$LP$60=AD$4)*(GMWQ!$LR$2:$LR$60=AD$1),0),$B308-1966)</f>
        <v>36952.74</v>
      </c>
      <c r="AE308" s="7" cm="1">
        <f t="array" ref="AE308">INDEX(GMWQ!$A$2:$LR$60,MATCH(1,(GMWQ!$LQ$2:$LQ$60=AE$3)*(GMWQ!$LP$2:$LP$60=AE$4)*(GMWQ!$LR$2:$LR$60=AE$1),0),$B308-1966)</f>
        <v>1660277</v>
      </c>
      <c r="AF308" s="20" cm="1">
        <f t="array" ref="AF308">INDEX(GMWQ!$A$2:$LR$60,MATCH(1,(GMWQ!$LQ$2:$LQ$60=AF$3)*(GMWQ!$LP$2:$LP$60=AF$4)*(GMWQ!$LR$2:$LR$60=AF$1),0),$B308-1966)</f>
        <v>2</v>
      </c>
      <c r="AG308" s="20" cm="1">
        <f t="array" ref="AG308">INDEX(GMWQ!$A$2:$LR$60,MATCH(1,(GMWQ!$LQ$2:$LQ$60=AG$3)*(GMWQ!$LP$2:$LP$60=AG$4)*(GMWQ!$LR$2:$LR$60=AG$1),0),$B308-1966)</f>
        <v>-20803.330000000002</v>
      </c>
      <c r="AI308" s="23" cm="1">
        <f t="array" ref="AI308">INDEX(GMWQ!$A$2:$LR$60,MATCH(1,(GMWQ!$LQ$2:$LQ$60=AI$3)*(GMWQ!$LP$2:$LP$60=AI$4)*(GMWQ!$LR$2:$LR$60=AI$1),0),$B308-1966)</f>
        <v>1052680</v>
      </c>
      <c r="AJ308" s="23" cm="1">
        <f t="array" ref="AJ308">INDEX(GMWQ!$A$2:$LR$60,MATCH(1,(GMWQ!$LQ$2:$LQ$60=AJ$3)*(GMWQ!$LP$2:$LP$60=AJ$4)*(GMWQ!$LR$2:$LR$60=AJ$1),0),$B308-1966)</f>
        <v>196.04300000000001</v>
      </c>
      <c r="AK308" s="23" cm="1">
        <f t="array" ref="AK308">INDEX(GMWQ!$A$2:$LR$60,MATCH(1,(GMWQ!$LQ$2:$LQ$60=AK$3)*(GMWQ!$LP$2:$LP$60=AK$4)*(GMWQ!$LR$2:$LR$60=AK$1),0),$B308-1966)</f>
        <v>663343.6</v>
      </c>
      <c r="AL308" s="23" cm="1">
        <f t="array" ref="AL308">INDEX(GMWQ!$A$2:$LR$60,MATCH(1,(GMWQ!$LQ$2:$LQ$60=AL$3)*(GMWQ!$LP$2:$LP$60=AL$4)*(GMWQ!$LR$2:$LR$60=AL$1),0),$B308-1966)</f>
        <v>20209.22</v>
      </c>
      <c r="AM308" s="23" cm="1">
        <f t="array" ref="AM308">INDEX(GMWQ!$A$2:$LR$60,MATCH(1,(GMWQ!$LQ$2:$LQ$60=AM$3)*(GMWQ!$LP$2:$LP$60=AM$4)*(GMWQ!$LR$2:$LR$60=AM$1),0),$B308-1966)</f>
        <v>32823.81</v>
      </c>
      <c r="AN308" s="23" cm="1">
        <f t="array" ref="AN308">INDEX(GMWQ!$A$2:$LR$60,MATCH(1,(GMWQ!$LQ$2:$LQ$60=AN$3)*(GMWQ!$LP$2:$LP$60=AN$4)*(GMWQ!$LR$2:$LR$60=AN$1),0),$B308-1966)</f>
        <v>198291.9</v>
      </c>
      <c r="AO308" s="23" cm="1">
        <f t="array" ref="AO308">INDEX(GMWQ!$A$2:$LR$60,MATCH(1,(GMWQ!$LQ$2:$LQ$60=AO$3)*(GMWQ!$LP$2:$LP$60=AO$4)*(GMWQ!$LR$2:$LR$60=AO$1),0),$B308-1966)</f>
        <v>44609.86</v>
      </c>
      <c r="AP308" s="23" cm="1">
        <f t="array" ref="AP308">INDEX(GMWQ!$A$2:$LR$60,MATCH(1,(GMWQ!$LQ$2:$LQ$60=AP$3)*(GMWQ!$LP$2:$LP$60=AP$4)*(GMWQ!$LR$2:$LR$60=AP$1),0),$B308-1966)</f>
        <v>-20803.330000000002</v>
      </c>
      <c r="AQ308" s="23" cm="1">
        <f t="array" ref="AQ308">INDEX(GMWQ!$A$2:$LR$60,MATCH(1,(GMWQ!$LQ$2:$LQ$60=AQ$3)*(GMWQ!$LP$2:$LP$60=AQ$4)*(GMWQ!$LR$2:$LR$60=AQ$1),0),$B308-1966)</f>
        <v>232198.5</v>
      </c>
      <c r="AR308" s="23" cm="1">
        <f t="array" ref="AR308">INDEX(GMWQ!$A$2:$LR$60,MATCH(1,(GMWQ!$LQ$2:$LQ$60=AR$3)*(GMWQ!$LP$2:$LP$60=AR$4)*(GMWQ!$LR$2:$LR$60=AR$1),0),$B308-1966)</f>
        <v>971434.1</v>
      </c>
      <c r="AS308" s="23" cm="1">
        <f t="array" ref="AS308">INDEX(GMWQ!$A$2:$LR$60,MATCH(1,(GMWQ!$LQ$2:$LQ$60=AS$3)*(GMWQ!$LP$2:$LP$60=AS$4)*(GMWQ!$LR$2:$LR$60=AS$1),0),$B308-1966)</f>
        <v>33533.279999999999</v>
      </c>
      <c r="AT308" s="23" cm="1">
        <f t="array" ref="AT308">INDEX(GMWQ!$A$2:$LR$60,MATCH(1,(GMWQ!$LQ$2:$LQ$60=AT$3)*(GMWQ!$LP$2:$LP$60=AT$4)*(GMWQ!$LR$2:$LR$60=AT$1),0),$B308-1966)</f>
        <v>495520.9</v>
      </c>
      <c r="AU308" s="23" cm="1">
        <f t="array" ref="AU308">INDEX(GMWQ!$A$2:$LR$60,MATCH(1,(GMWQ!$LQ$2:$LQ$60=AU$3)*(GMWQ!$LP$2:$LP$60=AU$4)*(GMWQ!$LR$2:$LR$60=AU$1),0),$B308-1966)</f>
        <v>17634.59</v>
      </c>
    </row>
    <row r="309" spans="1:47" x14ac:dyDescent="0.35">
      <c r="B309" s="7">
        <f t="shared" si="6"/>
        <v>2275</v>
      </c>
      <c r="C309" s="7" cm="1">
        <f t="array" ref="C309">INDEX(GMWQ!$A$2:$LR$60,MATCH(1,(GMWQ!$LQ$2:$LQ$60=C$3)*(GMWQ!$LP$2:$LP$60=C$4)*(GMWQ!$LR$2:$LR$60=C$1),0),$B309-1966)</f>
        <v>828152.9</v>
      </c>
      <c r="D309" s="7" cm="1">
        <f t="array" ref="D309">INDEX(GMWQ!$A$2:$LR$60,MATCH(1,(GMWQ!$LQ$2:$LQ$60=D$3)*(GMWQ!$LP$2:$LP$60=D$4)*(GMWQ!$LR$2:$LR$60=D$1),0),$B309-1966)</f>
        <v>1400.5809999999999</v>
      </c>
      <c r="E309" s="7" cm="1">
        <f t="array" ref="E309">INDEX(GMWQ!$A$2:$LR$60,MATCH(1,(GMWQ!$LQ$2:$LQ$60=E$3)*(GMWQ!$LP$2:$LP$60=E$4)*(GMWQ!$LR$2:$LR$60=E$1),0),$B309-1966)</f>
        <v>216.34620000000001</v>
      </c>
      <c r="F309" s="7" cm="1">
        <f t="array" ref="F309">INDEX(GMWQ!$A$2:$LR$60,MATCH(1,(GMWQ!$LQ$2:$LQ$60=F$3)*(GMWQ!$LP$2:$LP$60=F$4)*(GMWQ!$LR$2:$LR$60=F$1),0),$B309-1966)</f>
        <v>669126.6</v>
      </c>
      <c r="G309" s="7" cm="1">
        <f t="array" ref="G309">INDEX(GMWQ!$A$2:$LR$60,MATCH(1,(GMWQ!$LQ$2:$LQ$60=G$3)*(GMWQ!$LP$2:$LP$60=G$4)*(GMWQ!$LR$2:$LR$60=G$1),0),$B309-1966)</f>
        <v>200238.1</v>
      </c>
      <c r="H309" s="7" cm="1">
        <f t="array" ref="H309">INDEX(GMWQ!$A$2:$LR$60,MATCH(1,(GMWQ!$LQ$2:$LQ$60=H$3)*(GMWQ!$LP$2:$LP$60=H$4)*(GMWQ!$LR$2:$LR$60=H$1),0),$B309-1966)</f>
        <v>44998.76</v>
      </c>
      <c r="I309" s="7" cm="1">
        <f t="array" ref="I309">INDEX(GMWQ!$A$2:$LR$60,MATCH(1,(GMWQ!$LQ$2:$LQ$60=I$3)*(GMWQ!$LP$2:$LP$60=I$4)*(GMWQ!$LR$2:$LR$60=I$1),0),$B309-1966)</f>
        <v>197.01570000000001</v>
      </c>
      <c r="J309" s="7" cm="1">
        <f t="array" ref="J309">INDEX(GMWQ!$A$2:$LR$60,MATCH(1,(GMWQ!$LQ$2:$LQ$60=J$3)*(GMWQ!$LP$2:$LP$60=J$4)*(GMWQ!$LR$2:$LR$60=J$1),0),$B309-1966)</f>
        <v>32853.35</v>
      </c>
      <c r="K309" s="7" cm="1">
        <f t="array" ref="K309">INDEX(GMWQ!$A$2:$LR$60,MATCH(1,(GMWQ!$LQ$2:$LQ$60=K$3)*(GMWQ!$LP$2:$LP$60=K$4)*(GMWQ!$LR$2:$LR$60=K$1),0),$B309-1966)</f>
        <v>2</v>
      </c>
      <c r="L309" s="7" cm="1">
        <f t="array" ref="L309">INDEX(GMWQ!$A$2:$LR$60,MATCH(1,(GMWQ!$LQ$2:$LQ$60=L$3)*(GMWQ!$LP$2:$LP$60=L$4)*(GMWQ!$LR$2:$LR$60=L$1),0),$B309-1966)</f>
        <v>3.749987</v>
      </c>
      <c r="M309" s="7" cm="1">
        <f t="array" ref="M309">INDEX(GMWQ!$A$2:$LR$60,MATCH(1,(GMWQ!$LQ$2:$LQ$60=M$3)*(GMWQ!$LP$2:$LP$60=M$4)*(GMWQ!$LR$2:$LR$60=M$1),0),$B309-1966)</f>
        <v>325.98970000000003</v>
      </c>
      <c r="N309" s="7" cm="1">
        <f t="array" ref="N309">INDEX(GMWQ!$A$2:$LR$60,MATCH(1,(GMWQ!$LQ$2:$LQ$60=N$3)*(GMWQ!$LP$2:$LP$60=N$4)*(GMWQ!$LR$2:$LR$60=N$1),0),$B309-1966)</f>
        <v>47121.97</v>
      </c>
      <c r="O309" s="7" cm="1">
        <f t="array" ref="O309">INDEX(GMWQ!$A$2:$LR$60,MATCH(1,(GMWQ!$LQ$2:$LQ$60=O$3)*(GMWQ!$LP$2:$LP$60=O$4)*(GMWQ!$LR$2:$LR$60=O$1),0),$B309-1966)</f>
        <v>26159.53</v>
      </c>
      <c r="P309" s="7" cm="1">
        <f t="array" ref="P309">INDEX(GMWQ!$A$2:$LR$60,MATCH(1,(GMWQ!$LQ$2:$LQ$60=P$3)*(GMWQ!$LP$2:$LP$60=P$4)*(GMWQ!$LR$2:$LR$60=P$1),0),$B309-1966)</f>
        <v>1061820</v>
      </c>
      <c r="Q309" s="7" cm="1">
        <f t="array" ref="Q309">INDEX(GMWQ!$A$2:$LR$60,MATCH(1,(GMWQ!$LQ$2:$LQ$60=Q$3)*(GMWQ!$LP$2:$LP$60=Q$4)*(GMWQ!$LR$2:$LR$60=Q$1),0),$B309-1966)</f>
        <v>3.5</v>
      </c>
      <c r="R309" s="7" cm="1">
        <f t="array" ref="R309">INDEX(GMWQ!$A$2:$LR$60,MATCH(1,(GMWQ!$LQ$2:$LQ$60=R$3)*(GMWQ!$LP$2:$LP$60=R$4)*(GMWQ!$LR$2:$LR$60=R$1),0),$B309-1966)</f>
        <v>256448.3</v>
      </c>
      <c r="S309" s="7" cm="1">
        <f t="array" ref="S309">INDEX(GMWQ!$A$2:$LR$60,MATCH(1,(GMWQ!$LQ$2:$LQ$60=S$3)*(GMWQ!$LP$2:$LP$60=S$4)*(GMWQ!$LR$2:$LR$60=S$1),0),$B309-1966)</f>
        <v>382.56079999999997</v>
      </c>
      <c r="T309" s="7" cm="1">
        <f t="array" ref="T309">INDEX(GMWQ!$A$2:$LR$60,MATCH(1,(GMWQ!$LQ$2:$LQ$60=T$3)*(GMWQ!$LP$2:$LP$60=T$4)*(GMWQ!$LR$2:$LR$60=T$1),0),$B309-1966)</f>
        <v>155954.5</v>
      </c>
      <c r="U309" s="7" cm="1">
        <f t="array" ref="U309">INDEX(GMWQ!$A$2:$LR$60,MATCH(1,(GMWQ!$LQ$2:$LQ$60=U$3)*(GMWQ!$LP$2:$LP$60=U$4)*(GMWQ!$LR$2:$LR$60=U$1),0),$B309-1966)</f>
        <v>15990.84</v>
      </c>
      <c r="V309" s="7" cm="1">
        <f t="array" ref="V309">INDEX(GMWQ!$A$2:$LR$60,MATCH(1,(GMWQ!$LQ$2:$LQ$60=V$3)*(GMWQ!$LP$2:$LP$60=V$4)*(GMWQ!$LR$2:$LR$60=V$1),0),$B309-1966)</f>
        <v>1.349413E-3</v>
      </c>
      <c r="W309" s="7" cm="1">
        <f t="array" ref="W309">INDEX(GMWQ!$A$2:$LR$60,MATCH(1,(GMWQ!$LQ$2:$LQ$60=W$3)*(GMWQ!$LP$2:$LP$60=W$4)*(GMWQ!$LR$2:$LR$60=W$1),0),$B309-1966)</f>
        <v>9.3610729999999993</v>
      </c>
      <c r="X309" s="7" cm="1">
        <f t="array" ref="X309">INDEX(GMWQ!$A$2:$LR$60,MATCH(1,(GMWQ!$LQ$2:$LQ$60=X$3)*(GMWQ!$LP$2:$LP$60=X$4)*(GMWQ!$LR$2:$LR$60=X$1),0),$B309-1966)</f>
        <v>15767030</v>
      </c>
      <c r="Y309" s="7" cm="1">
        <f t="array" ref="Y309">INDEX(GMWQ!$A$2:$LR$60,MATCH(1,(GMWQ!$LQ$2:$LQ$60=Y$3)*(GMWQ!$LP$2:$LP$60=Y$4)*(GMWQ!$LR$2:$LR$60=Y$1),0),$B309-1966)</f>
        <v>202.30969999999999</v>
      </c>
      <c r="Z309" s="7" cm="1">
        <f t="array" ref="Z309">INDEX(GMWQ!$A$2:$LR$60,MATCH(1,(GMWQ!$LQ$2:$LQ$60=Z$3)*(GMWQ!$LP$2:$LP$60=Z$4)*(GMWQ!$LR$2:$LR$60=Z$1),0),$B309-1966)</f>
        <v>828152.9</v>
      </c>
      <c r="AA309" s="7" cm="1">
        <f t="array" ref="AA309">INDEX(GMWQ!$A$2:$LR$60,MATCH(1,(GMWQ!$LQ$2:$LQ$60=AA$3)*(GMWQ!$LP$2:$LP$60=AA$4)*(GMWQ!$LR$2:$LR$60=AA$1),0),$B309-1966)</f>
        <v>698059.9</v>
      </c>
      <c r="AB309" s="7" cm="1">
        <f t="array" ref="AB309">INDEX(GMWQ!$A$2:$LR$60,MATCH(1,(GMWQ!$LQ$2:$LQ$60=AB$3)*(GMWQ!$LP$2:$LP$60=AB$4)*(GMWQ!$LR$2:$LR$60=AB$1),0),$B309-1966)</f>
        <v>649532.4</v>
      </c>
      <c r="AC309" s="7" cm="1">
        <f t="array" ref="AC309">INDEX(GMWQ!$A$2:$LR$60,MATCH(1,(GMWQ!$LQ$2:$LQ$60=AC$3)*(GMWQ!$LP$2:$LP$60=AC$4)*(GMWQ!$LR$2:$LR$60=AC$1),0),$B309-1966)</f>
        <v>24345.7</v>
      </c>
      <c r="AD309" s="7" cm="1">
        <f t="array" ref="AD309">INDEX(GMWQ!$A$2:$LR$60,MATCH(1,(GMWQ!$LQ$2:$LQ$60=AD$3)*(GMWQ!$LP$2:$LP$60=AD$4)*(GMWQ!$LR$2:$LR$60=AD$1),0),$B309-1966)</f>
        <v>36952.74</v>
      </c>
      <c r="AE309" s="7" cm="1">
        <f t="array" ref="AE309">INDEX(GMWQ!$A$2:$LR$60,MATCH(1,(GMWQ!$LQ$2:$LQ$60=AE$3)*(GMWQ!$LP$2:$LP$60=AE$4)*(GMWQ!$LR$2:$LR$60=AE$1),0),$B309-1966)</f>
        <v>1675434</v>
      </c>
      <c r="AF309" s="20" cm="1">
        <f t="array" ref="AF309">INDEX(GMWQ!$A$2:$LR$60,MATCH(1,(GMWQ!$LQ$2:$LQ$60=AF$3)*(GMWQ!$LP$2:$LP$60=AF$4)*(GMWQ!$LR$2:$LR$60=AF$1),0),$B309-1966)</f>
        <v>2</v>
      </c>
      <c r="AG309" s="20" cm="1">
        <f t="array" ref="AG309">INDEX(GMWQ!$A$2:$LR$60,MATCH(1,(GMWQ!$LQ$2:$LQ$60=AG$3)*(GMWQ!$LP$2:$LP$60=AG$4)*(GMWQ!$LR$2:$LR$60=AG$1),0),$B309-1966)</f>
        <v>-20962.439999999999</v>
      </c>
      <c r="AI309" s="23" cm="1">
        <f t="array" ref="AI309">INDEX(GMWQ!$A$2:$LR$60,MATCH(1,(GMWQ!$LQ$2:$LQ$60=AI$3)*(GMWQ!$LP$2:$LP$60=AI$4)*(GMWQ!$LR$2:$LR$60=AI$1),0),$B309-1966)</f>
        <v>1061820</v>
      </c>
      <c r="AJ309" s="23" cm="1">
        <f t="array" ref="AJ309">INDEX(GMWQ!$A$2:$LR$60,MATCH(1,(GMWQ!$LQ$2:$LQ$60=AJ$3)*(GMWQ!$LP$2:$LP$60=AJ$4)*(GMWQ!$LR$2:$LR$60=AJ$1),0),$B309-1966)</f>
        <v>197.01570000000001</v>
      </c>
      <c r="AK309" s="23" cm="1">
        <f t="array" ref="AK309">INDEX(GMWQ!$A$2:$LR$60,MATCH(1,(GMWQ!$LQ$2:$LQ$60=AK$3)*(GMWQ!$LP$2:$LP$60=AK$4)*(GMWQ!$LR$2:$LR$60=AK$1),0),$B309-1966)</f>
        <v>669126.6</v>
      </c>
      <c r="AL309" s="23" cm="1">
        <f t="array" ref="AL309">INDEX(GMWQ!$A$2:$LR$60,MATCH(1,(GMWQ!$LQ$2:$LQ$60=AL$3)*(GMWQ!$LP$2:$LP$60=AL$4)*(GMWQ!$LR$2:$LR$60=AL$1),0),$B309-1966)</f>
        <v>20367.07</v>
      </c>
      <c r="AM309" s="23" cm="1">
        <f t="array" ref="AM309">INDEX(GMWQ!$A$2:$LR$60,MATCH(1,(GMWQ!$LQ$2:$LQ$60=AM$3)*(GMWQ!$LP$2:$LP$60=AM$4)*(GMWQ!$LR$2:$LR$60=AM$1),0),$B309-1966)</f>
        <v>32853.35</v>
      </c>
      <c r="AN309" s="23" cm="1">
        <f t="array" ref="AN309">INDEX(GMWQ!$A$2:$LR$60,MATCH(1,(GMWQ!$LQ$2:$LQ$60=AN$3)*(GMWQ!$LP$2:$LP$60=AN$4)*(GMWQ!$LR$2:$LR$60=AN$1),0),$B309-1966)</f>
        <v>200238.1</v>
      </c>
      <c r="AO309" s="23" cm="1">
        <f t="array" ref="AO309">INDEX(GMWQ!$A$2:$LR$60,MATCH(1,(GMWQ!$LQ$2:$LQ$60=AO$3)*(GMWQ!$LP$2:$LP$60=AO$4)*(GMWQ!$LR$2:$LR$60=AO$1),0),$B309-1966)</f>
        <v>44998.76</v>
      </c>
      <c r="AP309" s="23" cm="1">
        <f t="array" ref="AP309">INDEX(GMWQ!$A$2:$LR$60,MATCH(1,(GMWQ!$LQ$2:$LQ$60=AP$3)*(GMWQ!$LP$2:$LP$60=AP$4)*(GMWQ!$LR$2:$LR$60=AP$1),0),$B309-1966)</f>
        <v>-20962.439999999999</v>
      </c>
      <c r="AQ309" s="23" cm="1">
        <f t="array" ref="AQ309">INDEX(GMWQ!$A$2:$LR$60,MATCH(1,(GMWQ!$LQ$2:$LQ$60=AQ$3)*(GMWQ!$LP$2:$LP$60=AQ$4)*(GMWQ!$LR$2:$LR$60=AQ$1),0),$B309-1966)</f>
        <v>234275</v>
      </c>
      <c r="AR309" s="23" cm="1">
        <f t="array" ref="AR309">INDEX(GMWQ!$A$2:$LR$60,MATCH(1,(GMWQ!$LQ$2:$LQ$60=AR$3)*(GMWQ!$LP$2:$LP$60=AR$4)*(GMWQ!$LR$2:$LR$60=AR$1),0),$B309-1966)</f>
        <v>979855.6</v>
      </c>
      <c r="AS309" s="23" cm="1">
        <f t="array" ref="AS309">INDEX(GMWQ!$A$2:$LR$60,MATCH(1,(GMWQ!$LQ$2:$LQ$60=AS$3)*(GMWQ!$LP$2:$LP$60=AS$4)*(GMWQ!$LR$2:$LR$60=AS$1),0),$B309-1966)</f>
        <v>33832.82</v>
      </c>
      <c r="AT309" s="23" cm="1">
        <f t="array" ref="AT309">INDEX(GMWQ!$A$2:$LR$60,MATCH(1,(GMWQ!$LQ$2:$LQ$60=AT$3)*(GMWQ!$LP$2:$LP$60=AT$4)*(GMWQ!$LR$2:$LR$60=AT$1),0),$B309-1966)</f>
        <v>497349</v>
      </c>
      <c r="AU309" s="23" cm="1">
        <f t="array" ref="AU309">INDEX(GMWQ!$A$2:$LR$60,MATCH(1,(GMWQ!$LQ$2:$LQ$60=AU$3)*(GMWQ!$LP$2:$LP$60=AU$4)*(GMWQ!$LR$2:$LR$60=AU$1),0),$B309-1966)</f>
        <v>17699.560000000001</v>
      </c>
    </row>
    <row r="310" spans="1:47" x14ac:dyDescent="0.35">
      <c r="B310" s="7">
        <f t="shared" si="6"/>
        <v>2276</v>
      </c>
      <c r="C310" s="7" cm="1">
        <f t="array" ref="C310">INDEX(GMWQ!$A$2:$LR$60,MATCH(1,(GMWQ!$LQ$2:$LQ$60=C$3)*(GMWQ!$LP$2:$LP$60=C$4)*(GMWQ!$LR$2:$LR$60=C$1),0),$B310-1966)</f>
        <v>831200.9</v>
      </c>
      <c r="D310" s="7" cm="1">
        <f t="array" ref="D310">INDEX(GMWQ!$A$2:$LR$60,MATCH(1,(GMWQ!$LQ$2:$LQ$60=D$3)*(GMWQ!$LP$2:$LP$60=D$4)*(GMWQ!$LR$2:$LR$60=D$1),0),$B310-1966)</f>
        <v>1411.5170000000001</v>
      </c>
      <c r="E310" s="7" cm="1">
        <f t="array" ref="E310">INDEX(GMWQ!$A$2:$LR$60,MATCH(1,(GMWQ!$LQ$2:$LQ$60=E$3)*(GMWQ!$LP$2:$LP$60=E$4)*(GMWQ!$LR$2:$LR$60=E$1),0),$B310-1966)</f>
        <v>217.26</v>
      </c>
      <c r="F310" s="7" cm="1">
        <f t="array" ref="F310">INDEX(GMWQ!$A$2:$LR$60,MATCH(1,(GMWQ!$LQ$2:$LQ$60=F$3)*(GMWQ!$LP$2:$LP$60=F$4)*(GMWQ!$LR$2:$LR$60=F$1),0),$B310-1966)</f>
        <v>674957.6</v>
      </c>
      <c r="G310" s="7" cm="1">
        <f t="array" ref="G310">INDEX(GMWQ!$A$2:$LR$60,MATCH(1,(GMWQ!$LQ$2:$LQ$60=G$3)*(GMWQ!$LP$2:$LP$60=G$4)*(GMWQ!$LR$2:$LR$60=G$1),0),$B310-1966)</f>
        <v>202199.9</v>
      </c>
      <c r="H310" s="7" cm="1">
        <f t="array" ref="H310">INDEX(GMWQ!$A$2:$LR$60,MATCH(1,(GMWQ!$LQ$2:$LQ$60=H$3)*(GMWQ!$LP$2:$LP$60=H$4)*(GMWQ!$LR$2:$LR$60=H$1),0),$B310-1966)</f>
        <v>45390.89</v>
      </c>
      <c r="I310" s="7" cm="1">
        <f t="array" ref="I310">INDEX(GMWQ!$A$2:$LR$60,MATCH(1,(GMWQ!$LQ$2:$LQ$60=I$3)*(GMWQ!$LP$2:$LP$60=I$4)*(GMWQ!$LR$2:$LR$60=I$1),0),$B310-1966)</f>
        <v>197.9933</v>
      </c>
      <c r="J310" s="7" cm="1">
        <f t="array" ref="J310">INDEX(GMWQ!$A$2:$LR$60,MATCH(1,(GMWQ!$LQ$2:$LQ$60=J$3)*(GMWQ!$LP$2:$LP$60=J$4)*(GMWQ!$LR$2:$LR$60=J$1),0),$B310-1966)</f>
        <v>32882.89</v>
      </c>
      <c r="K310" s="7" cm="1">
        <f t="array" ref="K310">INDEX(GMWQ!$A$2:$LR$60,MATCH(1,(GMWQ!$LQ$2:$LQ$60=K$3)*(GMWQ!$LP$2:$LP$60=K$4)*(GMWQ!$LR$2:$LR$60=K$1),0),$B310-1966)</f>
        <v>2</v>
      </c>
      <c r="L310" s="7" cm="1">
        <f t="array" ref="L310">INDEX(GMWQ!$A$2:$LR$60,MATCH(1,(GMWQ!$LQ$2:$LQ$60=L$3)*(GMWQ!$LP$2:$LP$60=L$4)*(GMWQ!$LR$2:$LR$60=L$1),0),$B310-1966)</f>
        <v>3.7499959999999999</v>
      </c>
      <c r="M310" s="7" cm="1">
        <f t="array" ref="M310">INDEX(GMWQ!$A$2:$LR$60,MATCH(1,(GMWQ!$LQ$2:$LQ$60=M$3)*(GMWQ!$LP$2:$LP$60=M$4)*(GMWQ!$LR$2:$LR$60=M$1),0),$B310-1966)</f>
        <v>328.82029999999997</v>
      </c>
      <c r="N310" s="7" cm="1">
        <f t="array" ref="N310">INDEX(GMWQ!$A$2:$LR$60,MATCH(1,(GMWQ!$LQ$2:$LQ$60=N$3)*(GMWQ!$LP$2:$LP$60=N$4)*(GMWQ!$LR$2:$LR$60=N$1),0),$B310-1966)</f>
        <v>47455.16</v>
      </c>
      <c r="O310" s="7" cm="1">
        <f t="array" ref="O310">INDEX(GMWQ!$A$2:$LR$60,MATCH(1,(GMWQ!$LQ$2:$LQ$60=O$3)*(GMWQ!$LP$2:$LP$60=O$4)*(GMWQ!$LR$2:$LR$60=O$1),0),$B310-1966)</f>
        <v>26340.13</v>
      </c>
      <c r="P310" s="7" cm="1">
        <f t="array" ref="P310">INDEX(GMWQ!$A$2:$LR$60,MATCH(1,(GMWQ!$LQ$2:$LQ$60=P$3)*(GMWQ!$LP$2:$LP$60=P$4)*(GMWQ!$LR$2:$LR$60=P$1),0),$B310-1966)</f>
        <v>1071034</v>
      </c>
      <c r="Q310" s="7" cm="1">
        <f t="array" ref="Q310">INDEX(GMWQ!$A$2:$LR$60,MATCH(1,(GMWQ!$LQ$2:$LQ$60=Q$3)*(GMWQ!$LP$2:$LP$60=Q$4)*(GMWQ!$LR$2:$LR$60=Q$1),0),$B310-1966)</f>
        <v>3.5</v>
      </c>
      <c r="R310" s="7" cm="1">
        <f t="array" ref="R310">INDEX(GMWQ!$A$2:$LR$60,MATCH(1,(GMWQ!$LQ$2:$LQ$60=R$3)*(GMWQ!$LP$2:$LP$60=R$4)*(GMWQ!$LR$2:$LR$60=R$1),0),$B310-1966)</f>
        <v>256446.1</v>
      </c>
      <c r="S310" s="7" cm="1">
        <f t="array" ref="S310">INDEX(GMWQ!$A$2:$LR$60,MATCH(1,(GMWQ!$LQ$2:$LQ$60=S$3)*(GMWQ!$LP$2:$LP$60=S$4)*(GMWQ!$LR$2:$LR$60=S$1),0),$B310-1966)</f>
        <v>382.5575</v>
      </c>
      <c r="T310" s="7" cm="1">
        <f t="array" ref="T310">INDEX(GMWQ!$A$2:$LR$60,MATCH(1,(GMWQ!$LQ$2:$LQ$60=T$3)*(GMWQ!$LP$2:$LP$60=T$4)*(GMWQ!$LR$2:$LR$60=T$1),0),$B310-1966)</f>
        <v>156545.5</v>
      </c>
      <c r="U310" s="7" cm="1">
        <f t="array" ref="U310">INDEX(GMWQ!$A$2:$LR$60,MATCH(1,(GMWQ!$LQ$2:$LQ$60=U$3)*(GMWQ!$LP$2:$LP$60=U$4)*(GMWQ!$LR$2:$LR$60=U$1),0),$B310-1966)</f>
        <v>15963.89</v>
      </c>
      <c r="V310" s="7" cm="1">
        <f t="array" ref="V310">INDEX(GMWQ!$A$2:$LR$60,MATCH(1,(GMWQ!$LQ$2:$LQ$60=V$3)*(GMWQ!$LP$2:$LP$60=V$4)*(GMWQ!$LR$2:$LR$60=V$1),0),$B310-1966)</f>
        <v>1.350104E-3</v>
      </c>
      <c r="W310" s="7" cm="1">
        <f t="array" ref="W310">INDEX(GMWQ!$A$2:$LR$60,MATCH(1,(GMWQ!$LQ$2:$LQ$60=W$3)*(GMWQ!$LP$2:$LP$60=W$4)*(GMWQ!$LR$2:$LR$60=W$1),0),$B310-1966)</f>
        <v>9.3545759999999998</v>
      </c>
      <c r="X310" s="7" cm="1">
        <f t="array" ref="X310">INDEX(GMWQ!$A$2:$LR$60,MATCH(1,(GMWQ!$LQ$2:$LQ$60=X$3)*(GMWQ!$LP$2:$LP$60=X$4)*(GMWQ!$LR$2:$LR$60=X$1),0),$B310-1966)</f>
        <v>15892210</v>
      </c>
      <c r="Y310" s="7" cm="1">
        <f t="array" ref="Y310">INDEX(GMWQ!$A$2:$LR$60,MATCH(1,(GMWQ!$LQ$2:$LQ$60=Y$3)*(GMWQ!$LP$2:$LP$60=Y$4)*(GMWQ!$LR$2:$LR$60=Y$1),0),$B310-1966)</f>
        <v>203.40719999999999</v>
      </c>
      <c r="Z310" s="7" cm="1">
        <f t="array" ref="Z310">INDEX(GMWQ!$A$2:$LR$60,MATCH(1,(GMWQ!$LQ$2:$LQ$60=Z$3)*(GMWQ!$LP$2:$LP$60=Z$4)*(GMWQ!$LR$2:$LR$60=Z$1),0),$B310-1966)</f>
        <v>831200.8</v>
      </c>
      <c r="AA310" s="7" cm="1">
        <f t="array" ref="AA310">INDEX(GMWQ!$A$2:$LR$60,MATCH(1,(GMWQ!$LQ$2:$LQ$60=AA$3)*(GMWQ!$LP$2:$LP$60=AA$4)*(GMWQ!$LR$2:$LR$60=AA$1),0),$B310-1966)</f>
        <v>681038.1</v>
      </c>
      <c r="AB310" s="7" cm="1">
        <f t="array" ref="AB310">INDEX(GMWQ!$A$2:$LR$60,MATCH(1,(GMWQ!$LQ$2:$LQ$60=AB$3)*(GMWQ!$LP$2:$LP$60=AB$4)*(GMWQ!$LR$2:$LR$60=AB$1),0),$B310-1966)</f>
        <v>654956.6</v>
      </c>
      <c r="AC310" s="7" cm="1">
        <f t="array" ref="AC310">INDEX(GMWQ!$A$2:$LR$60,MATCH(1,(GMWQ!$LQ$2:$LQ$60=AC$3)*(GMWQ!$LP$2:$LP$60=AC$4)*(GMWQ!$LR$2:$LR$60=AC$1),0),$B310-1966)</f>
        <v>25975.51</v>
      </c>
      <c r="AD310" s="7" cm="1">
        <f t="array" ref="AD310">INDEX(GMWQ!$A$2:$LR$60,MATCH(1,(GMWQ!$LQ$2:$LQ$60=AD$3)*(GMWQ!$LP$2:$LP$60=AD$4)*(GMWQ!$LR$2:$LR$60=AD$1),0),$B310-1966)</f>
        <v>36952.74</v>
      </c>
      <c r="AE310" s="7" cm="1">
        <f t="array" ref="AE310">INDEX(GMWQ!$A$2:$LR$60,MATCH(1,(GMWQ!$LQ$2:$LQ$60=AE$3)*(GMWQ!$LP$2:$LP$60=AE$4)*(GMWQ!$LR$2:$LR$60=AE$1),0),$B310-1966)</f>
        <v>1690723</v>
      </c>
      <c r="AF310" s="20" cm="1">
        <f t="array" ref="AF310">INDEX(GMWQ!$A$2:$LR$60,MATCH(1,(GMWQ!$LQ$2:$LQ$60=AF$3)*(GMWQ!$LP$2:$LP$60=AF$4)*(GMWQ!$LR$2:$LR$60=AF$1),0),$B310-1966)</f>
        <v>2</v>
      </c>
      <c r="AG310" s="20" cm="1">
        <f t="array" ref="AG310">INDEX(GMWQ!$A$2:$LR$60,MATCH(1,(GMWQ!$LQ$2:$LQ$60=AG$3)*(GMWQ!$LP$2:$LP$60=AG$4)*(GMWQ!$LR$2:$LR$60=AG$1),0),$B310-1966)</f>
        <v>-21115.03</v>
      </c>
      <c r="AI310" s="23" cm="1">
        <f t="array" ref="AI310">INDEX(GMWQ!$A$2:$LR$60,MATCH(1,(GMWQ!$LQ$2:$LQ$60=AI$3)*(GMWQ!$LP$2:$LP$60=AI$4)*(GMWQ!$LR$2:$LR$60=AI$1),0),$B310-1966)</f>
        <v>1071034</v>
      </c>
      <c r="AJ310" s="23" cm="1">
        <f t="array" ref="AJ310">INDEX(GMWQ!$A$2:$LR$60,MATCH(1,(GMWQ!$LQ$2:$LQ$60=AJ$3)*(GMWQ!$LP$2:$LP$60=AJ$4)*(GMWQ!$LR$2:$LR$60=AJ$1),0),$B310-1966)</f>
        <v>197.9933</v>
      </c>
      <c r="AK310" s="23" cm="1">
        <f t="array" ref="AK310">INDEX(GMWQ!$A$2:$LR$60,MATCH(1,(GMWQ!$LQ$2:$LQ$60=AK$3)*(GMWQ!$LP$2:$LP$60=AK$4)*(GMWQ!$LR$2:$LR$60=AK$1),0),$B310-1966)</f>
        <v>674957.6</v>
      </c>
      <c r="AL310" s="23" cm="1">
        <f t="array" ref="AL310">INDEX(GMWQ!$A$2:$LR$60,MATCH(1,(GMWQ!$LQ$2:$LQ$60=AL$3)*(GMWQ!$LP$2:$LP$60=AL$4)*(GMWQ!$LR$2:$LR$60=AL$1),0),$B310-1966)</f>
        <v>20526.099999999999</v>
      </c>
      <c r="AM310" s="23" cm="1">
        <f t="array" ref="AM310">INDEX(GMWQ!$A$2:$LR$60,MATCH(1,(GMWQ!$LQ$2:$LQ$60=AM$3)*(GMWQ!$LP$2:$LP$60=AM$4)*(GMWQ!$LR$2:$LR$60=AM$1),0),$B310-1966)</f>
        <v>32882.89</v>
      </c>
      <c r="AN310" s="23" cm="1">
        <f t="array" ref="AN310">INDEX(GMWQ!$A$2:$LR$60,MATCH(1,(GMWQ!$LQ$2:$LQ$60=AN$3)*(GMWQ!$LP$2:$LP$60=AN$4)*(GMWQ!$LR$2:$LR$60=AN$1),0),$B310-1966)</f>
        <v>202199.9</v>
      </c>
      <c r="AO310" s="23" cm="1">
        <f t="array" ref="AO310">INDEX(GMWQ!$A$2:$LR$60,MATCH(1,(GMWQ!$LQ$2:$LQ$60=AO$3)*(GMWQ!$LP$2:$LP$60=AO$4)*(GMWQ!$LR$2:$LR$60=AO$1),0),$B310-1966)</f>
        <v>45390.89</v>
      </c>
      <c r="AP310" s="23" cm="1">
        <f t="array" ref="AP310">INDEX(GMWQ!$A$2:$LR$60,MATCH(1,(GMWQ!$LQ$2:$LQ$60=AP$3)*(GMWQ!$LP$2:$LP$60=AP$4)*(GMWQ!$LR$2:$LR$60=AP$1),0),$B310-1966)</f>
        <v>-21115.03</v>
      </c>
      <c r="AQ310" s="23" cm="1">
        <f t="array" ref="AQ310">INDEX(GMWQ!$A$2:$LR$60,MATCH(1,(GMWQ!$LQ$2:$LQ$60=AQ$3)*(GMWQ!$LP$2:$LP$60=AQ$4)*(GMWQ!$LR$2:$LR$60=AQ$1),0),$B310-1966)</f>
        <v>236370.2</v>
      </c>
      <c r="AR310" s="23" cm="1">
        <f t="array" ref="AR310">INDEX(GMWQ!$A$2:$LR$60,MATCH(1,(GMWQ!$LQ$2:$LQ$60=AR$3)*(GMWQ!$LP$2:$LP$60=AR$4)*(GMWQ!$LR$2:$LR$60=AR$1),0),$B310-1966)</f>
        <v>988346.7</v>
      </c>
      <c r="AS310" s="23" cm="1">
        <f t="array" ref="AS310">INDEX(GMWQ!$A$2:$LR$60,MATCH(1,(GMWQ!$LQ$2:$LQ$60=AS$3)*(GMWQ!$LP$2:$LP$60=AS$4)*(GMWQ!$LR$2:$LR$60=AS$1),0),$B310-1966)</f>
        <v>34134.82</v>
      </c>
      <c r="AT310" s="23" cm="1">
        <f t="array" ref="AT310">INDEX(GMWQ!$A$2:$LR$60,MATCH(1,(GMWQ!$LQ$2:$LQ$60=AT$3)*(GMWQ!$LP$2:$LP$60=AT$4)*(GMWQ!$LR$2:$LR$60=AT$1),0),$B310-1966)</f>
        <v>499181.9</v>
      </c>
      <c r="AU310" s="23" cm="1">
        <f t="array" ref="AU310">INDEX(GMWQ!$A$2:$LR$60,MATCH(1,(GMWQ!$LQ$2:$LQ$60=AU$3)*(GMWQ!$LP$2:$LP$60=AU$4)*(GMWQ!$LR$2:$LR$60=AU$1),0),$B310-1966)</f>
        <v>17764.7</v>
      </c>
    </row>
    <row r="311" spans="1:47" x14ac:dyDescent="0.35">
      <c r="A311" s="7">
        <v>2049</v>
      </c>
      <c r="B311" s="7">
        <f t="shared" si="6"/>
        <v>2277</v>
      </c>
      <c r="C311" s="7" cm="1">
        <f t="array" ref="C311">INDEX(GMWQ!$A$2:$LR$60,MATCH(1,(GMWQ!$LQ$2:$LQ$60=C$3)*(GMWQ!$LP$2:$LP$60=C$4)*(GMWQ!$LR$2:$LR$60=C$1),0),$B311-1966)</f>
        <v>834257.1</v>
      </c>
      <c r="D311" s="7" cm="1">
        <f t="array" ref="D311">INDEX(GMWQ!$A$2:$LR$60,MATCH(1,(GMWQ!$LQ$2:$LQ$60=D$3)*(GMWQ!$LP$2:$LP$60=D$4)*(GMWQ!$LR$2:$LR$60=D$1),0),$B311-1966)</f>
        <v>1422.5340000000001</v>
      </c>
      <c r="E311" s="7" cm="1">
        <f t="array" ref="E311">INDEX(GMWQ!$A$2:$LR$60,MATCH(1,(GMWQ!$LQ$2:$LQ$60=E$3)*(GMWQ!$LP$2:$LP$60=E$4)*(GMWQ!$LR$2:$LR$60=E$1),0),$B311-1966)</f>
        <v>217.48769999999999</v>
      </c>
      <c r="F311" s="7" cm="1">
        <f t="array" ref="F311">INDEX(GMWQ!$A$2:$LR$60,MATCH(1,(GMWQ!$LQ$2:$LQ$60=F$3)*(GMWQ!$LP$2:$LP$60=F$4)*(GMWQ!$LR$2:$LR$60=F$1),0),$B311-1966)</f>
        <v>680836.4</v>
      </c>
      <c r="G311" s="7" cm="1">
        <f t="array" ref="G311">INDEX(GMWQ!$A$2:$LR$60,MATCH(1,(GMWQ!$LQ$2:$LQ$60=G$3)*(GMWQ!$LP$2:$LP$60=G$4)*(GMWQ!$LR$2:$LR$60=G$1),0),$B311-1966)</f>
        <v>204177.8</v>
      </c>
      <c r="H311" s="7" cm="1">
        <f t="array" ref="H311">INDEX(GMWQ!$A$2:$LR$60,MATCH(1,(GMWQ!$LQ$2:$LQ$60=H$3)*(GMWQ!$LP$2:$LP$60=H$4)*(GMWQ!$LR$2:$LR$60=H$1),0),$B311-1966)</f>
        <v>45786.25</v>
      </c>
      <c r="I311" s="7" cm="1">
        <f t="array" ref="I311">INDEX(GMWQ!$A$2:$LR$60,MATCH(1,(GMWQ!$LQ$2:$LQ$60=I$3)*(GMWQ!$LP$2:$LP$60=I$4)*(GMWQ!$LR$2:$LR$60=I$1),0),$B311-1966)</f>
        <v>198.97579999999999</v>
      </c>
      <c r="J311" s="7" cm="1">
        <f t="array" ref="J311">INDEX(GMWQ!$A$2:$LR$60,MATCH(1,(GMWQ!$LQ$2:$LQ$60=J$3)*(GMWQ!$LP$2:$LP$60=J$4)*(GMWQ!$LR$2:$LR$60=J$1),0),$B311-1966)</f>
        <v>32912.43</v>
      </c>
      <c r="K311" s="7" cm="1">
        <f t="array" ref="K311">INDEX(GMWQ!$A$2:$LR$60,MATCH(1,(GMWQ!$LQ$2:$LQ$60=K$3)*(GMWQ!$LP$2:$LP$60=K$4)*(GMWQ!$LR$2:$LR$60=K$1),0),$B311-1966)</f>
        <v>2</v>
      </c>
      <c r="L311" s="7" cm="1">
        <f t="array" ref="L311">INDEX(GMWQ!$A$2:$LR$60,MATCH(1,(GMWQ!$LQ$2:$LQ$60=L$3)*(GMWQ!$LP$2:$LP$60=L$4)*(GMWQ!$LR$2:$LR$60=L$1),0),$B311-1966)</f>
        <v>3.7500230000000001</v>
      </c>
      <c r="M311" s="7" cm="1">
        <f t="array" ref="M311">INDEX(GMWQ!$A$2:$LR$60,MATCH(1,(GMWQ!$LQ$2:$LQ$60=M$3)*(GMWQ!$LP$2:$LP$60=M$4)*(GMWQ!$LR$2:$LR$60=M$1),0),$B311-1966)</f>
        <v>331.67380000000003</v>
      </c>
      <c r="N311" s="7" cm="1">
        <f t="array" ref="N311">INDEX(GMWQ!$A$2:$LR$60,MATCH(1,(GMWQ!$LQ$2:$LQ$60=N$3)*(GMWQ!$LP$2:$LP$60=N$4)*(GMWQ!$LR$2:$LR$60=N$1),0),$B311-1966)</f>
        <v>47789.84</v>
      </c>
      <c r="O311" s="7" cm="1">
        <f t="array" ref="O311">INDEX(GMWQ!$A$2:$LR$60,MATCH(1,(GMWQ!$LQ$2:$LQ$60=O$3)*(GMWQ!$LP$2:$LP$60=O$4)*(GMWQ!$LR$2:$LR$60=O$1),0),$B311-1966)</f>
        <v>26528.59</v>
      </c>
      <c r="P311" s="7" cm="1">
        <f t="array" ref="P311">INDEX(GMWQ!$A$2:$LR$60,MATCH(1,(GMWQ!$LQ$2:$LQ$60=P$3)*(GMWQ!$LP$2:$LP$60=P$4)*(GMWQ!$LR$2:$LR$60=P$1),0),$B311-1966)</f>
        <v>1080325</v>
      </c>
      <c r="Q311" s="7" cm="1">
        <f t="array" ref="Q311">INDEX(GMWQ!$A$2:$LR$60,MATCH(1,(GMWQ!$LQ$2:$LQ$60=Q$3)*(GMWQ!$LP$2:$LP$60=Q$4)*(GMWQ!$LR$2:$LR$60=Q$1),0),$B311-1966)</f>
        <v>3.5</v>
      </c>
      <c r="R311" s="7" cm="1">
        <f t="array" ref="R311">INDEX(GMWQ!$A$2:$LR$60,MATCH(1,(GMWQ!$LQ$2:$LQ$60=R$3)*(GMWQ!$LP$2:$LP$60=R$4)*(GMWQ!$LR$2:$LR$60=R$1),0),$B311-1966)</f>
        <v>256443.9</v>
      </c>
      <c r="S311" s="7" cm="1">
        <f t="array" ref="S311">INDEX(GMWQ!$A$2:$LR$60,MATCH(1,(GMWQ!$LQ$2:$LQ$60=S$3)*(GMWQ!$LP$2:$LP$60=S$4)*(GMWQ!$LR$2:$LR$60=S$1),0),$B311-1966)</f>
        <v>382.55419999999998</v>
      </c>
      <c r="T311" s="7" cm="1">
        <f t="array" ref="T311">INDEX(GMWQ!$A$2:$LR$60,MATCH(1,(GMWQ!$LQ$2:$LQ$60=T$3)*(GMWQ!$LP$2:$LP$60=T$4)*(GMWQ!$LR$2:$LR$60=T$1),0),$B311-1966)</f>
        <v>157138.1</v>
      </c>
      <c r="U311" s="7" cm="1">
        <f t="array" ref="U311">INDEX(GMWQ!$A$2:$LR$60,MATCH(1,(GMWQ!$LQ$2:$LQ$60=U$3)*(GMWQ!$LP$2:$LP$60=U$4)*(GMWQ!$LR$2:$LR$60=U$1),0),$B311-1966)</f>
        <v>15939.67</v>
      </c>
      <c r="V311" s="7" cm="1">
        <f t="array" ref="V311">INDEX(GMWQ!$A$2:$LR$60,MATCH(1,(GMWQ!$LQ$2:$LQ$60=V$3)*(GMWQ!$LP$2:$LP$60=V$4)*(GMWQ!$LR$2:$LR$60=V$1),0),$B311-1966)</f>
        <v>1.3499720000000001E-3</v>
      </c>
      <c r="W311" s="7" cm="1">
        <f t="array" ref="W311">INDEX(GMWQ!$A$2:$LR$60,MATCH(1,(GMWQ!$LQ$2:$LQ$60=W$3)*(GMWQ!$LP$2:$LP$60=W$4)*(GMWQ!$LR$2:$LR$60=W$1),0),$B311-1966)</f>
        <v>9.3032559999999993</v>
      </c>
      <c r="X311" s="7" cm="1">
        <f t="array" ref="X311">INDEX(GMWQ!$A$2:$LR$60,MATCH(1,(GMWQ!$LQ$2:$LQ$60=X$3)*(GMWQ!$LP$2:$LP$60=X$4)*(GMWQ!$LR$2:$LR$60=X$1),0),$B311-1966)</f>
        <v>16119010</v>
      </c>
      <c r="Y311" s="7" cm="1">
        <f t="array" ref="Y311">INDEX(GMWQ!$A$2:$LR$60,MATCH(1,(GMWQ!$LQ$2:$LQ$60=Y$3)*(GMWQ!$LP$2:$LP$60=Y$4)*(GMWQ!$LR$2:$LR$60=Y$1),0),$B311-1966)</f>
        <v>204.51070000000001</v>
      </c>
      <c r="Z311" s="7" cm="1">
        <f t="array" ref="Z311">INDEX(GMWQ!$A$2:$LR$60,MATCH(1,(GMWQ!$LQ$2:$LQ$60=Z$3)*(GMWQ!$LP$2:$LP$60=Z$4)*(GMWQ!$LR$2:$LR$60=Z$1),0),$B311-1966)</f>
        <v>834255.9</v>
      </c>
      <c r="AA311" s="7" cm="1">
        <f t="array" ref="AA311">INDEX(GMWQ!$A$2:$LR$60,MATCH(1,(GMWQ!$LQ$2:$LQ$60=AA$3)*(GMWQ!$LP$2:$LP$60=AA$4)*(GMWQ!$LR$2:$LR$60=AA$1),0),$B311-1966)</f>
        <v>757311.4</v>
      </c>
      <c r="AB311" s="7" cm="1">
        <f t="array" ref="AB311">INDEX(GMWQ!$A$2:$LR$60,MATCH(1,(GMWQ!$LQ$2:$LQ$60=AB$3)*(GMWQ!$LP$2:$LP$60=AB$4)*(GMWQ!$LR$2:$LR$60=AB$1),0),$B311-1966)</f>
        <v>653033.69999999995</v>
      </c>
      <c r="AC311" s="7" cm="1">
        <f t="array" ref="AC311">INDEX(GMWQ!$A$2:$LR$60,MATCH(1,(GMWQ!$LQ$2:$LQ$60=AC$3)*(GMWQ!$LP$2:$LP$60=AC$4)*(GMWQ!$LR$2:$LR$60=AC$1),0),$B311-1966)</f>
        <v>46101.599999999999</v>
      </c>
      <c r="AD311" s="7" cm="1">
        <f t="array" ref="AD311">INDEX(GMWQ!$A$2:$LR$60,MATCH(1,(GMWQ!$LQ$2:$LQ$60=AD$3)*(GMWQ!$LP$2:$LP$60=AD$4)*(GMWQ!$LR$2:$LR$60=AD$1),0),$B311-1966)</f>
        <v>36952.74</v>
      </c>
      <c r="AE311" s="7" cm="1">
        <f t="array" ref="AE311">INDEX(GMWQ!$A$2:$LR$60,MATCH(1,(GMWQ!$LQ$2:$LQ$60=AE$3)*(GMWQ!$LP$2:$LP$60=AE$4)*(GMWQ!$LR$2:$LR$60=AE$1),0),$B311-1966)</f>
        <v>1706145</v>
      </c>
      <c r="AF311" s="20" cm="1">
        <f t="array" ref="AF311">INDEX(GMWQ!$A$2:$LR$60,MATCH(1,(GMWQ!$LQ$2:$LQ$60=AF$3)*(GMWQ!$LP$2:$LP$60=AF$4)*(GMWQ!$LR$2:$LR$60=AF$1),0),$B311-1966)</f>
        <v>2</v>
      </c>
      <c r="AG311" s="20" cm="1">
        <f t="array" ref="AG311">INDEX(GMWQ!$A$2:$LR$60,MATCH(1,(GMWQ!$LQ$2:$LQ$60=AG$3)*(GMWQ!$LP$2:$LP$60=AG$4)*(GMWQ!$LR$2:$LR$60=AG$1),0),$B311-1966)</f>
        <v>-21261.25</v>
      </c>
      <c r="AI311" s="23" cm="1">
        <f t="array" ref="AI311">INDEX(GMWQ!$A$2:$LR$60,MATCH(1,(GMWQ!$LQ$2:$LQ$60=AI$3)*(GMWQ!$LP$2:$LP$60=AI$4)*(GMWQ!$LR$2:$LR$60=AI$1),0),$B311-1966)</f>
        <v>1080325</v>
      </c>
      <c r="AJ311" s="23" cm="1">
        <f t="array" ref="AJ311">INDEX(GMWQ!$A$2:$LR$60,MATCH(1,(GMWQ!$LQ$2:$LQ$60=AJ$3)*(GMWQ!$LP$2:$LP$60=AJ$4)*(GMWQ!$LR$2:$LR$60=AJ$1),0),$B311-1966)</f>
        <v>198.97579999999999</v>
      </c>
      <c r="AK311" s="23" cm="1">
        <f t="array" ref="AK311">INDEX(GMWQ!$A$2:$LR$60,MATCH(1,(GMWQ!$LQ$2:$LQ$60=AK$3)*(GMWQ!$LP$2:$LP$60=AK$4)*(GMWQ!$LR$2:$LR$60=AK$1),0),$B311-1966)</f>
        <v>680836.4</v>
      </c>
      <c r="AL311" s="23" cm="1">
        <f t="array" ref="AL311">INDEX(GMWQ!$A$2:$LR$60,MATCH(1,(GMWQ!$LQ$2:$LQ$60=AL$3)*(GMWQ!$LP$2:$LP$60=AL$4)*(GMWQ!$LR$2:$LR$60=AL$1),0),$B311-1966)</f>
        <v>20686.3</v>
      </c>
      <c r="AM311" s="23" cm="1">
        <f t="array" ref="AM311">INDEX(GMWQ!$A$2:$LR$60,MATCH(1,(GMWQ!$LQ$2:$LQ$60=AM$3)*(GMWQ!$LP$2:$LP$60=AM$4)*(GMWQ!$LR$2:$LR$60=AM$1),0),$B311-1966)</f>
        <v>32912.43</v>
      </c>
      <c r="AN311" s="23" cm="1">
        <f t="array" ref="AN311">INDEX(GMWQ!$A$2:$LR$60,MATCH(1,(GMWQ!$LQ$2:$LQ$60=AN$3)*(GMWQ!$LP$2:$LP$60=AN$4)*(GMWQ!$LR$2:$LR$60=AN$1),0),$B311-1966)</f>
        <v>204177.8</v>
      </c>
      <c r="AO311" s="23" cm="1">
        <f t="array" ref="AO311">INDEX(GMWQ!$A$2:$LR$60,MATCH(1,(GMWQ!$LQ$2:$LQ$60=AO$3)*(GMWQ!$LP$2:$LP$60=AO$4)*(GMWQ!$LR$2:$LR$60=AO$1),0),$B311-1966)</f>
        <v>45786.25</v>
      </c>
      <c r="AP311" s="23" cm="1">
        <f t="array" ref="AP311">INDEX(GMWQ!$A$2:$LR$60,MATCH(1,(GMWQ!$LQ$2:$LQ$60=AP$3)*(GMWQ!$LP$2:$LP$60=AP$4)*(GMWQ!$LR$2:$LR$60=AP$1),0),$B311-1966)</f>
        <v>-21261.25</v>
      </c>
      <c r="AQ311" s="23" cm="1">
        <f t="array" ref="AQ311">INDEX(GMWQ!$A$2:$LR$60,MATCH(1,(GMWQ!$LQ$2:$LQ$60=AQ$3)*(GMWQ!$LP$2:$LP$60=AQ$4)*(GMWQ!$LR$2:$LR$60=AQ$1),0),$B311-1966)</f>
        <v>238484</v>
      </c>
      <c r="AR311" s="23" cm="1">
        <f t="array" ref="AR311">INDEX(GMWQ!$A$2:$LR$60,MATCH(1,(GMWQ!$LQ$2:$LQ$60=AR$3)*(GMWQ!$LP$2:$LP$60=AR$4)*(GMWQ!$LR$2:$LR$60=AR$1),0),$B311-1966)</f>
        <v>996908.1</v>
      </c>
      <c r="AS311" s="23" cm="1">
        <f t="array" ref="AS311">INDEX(GMWQ!$A$2:$LR$60,MATCH(1,(GMWQ!$LQ$2:$LQ$60=AS$3)*(GMWQ!$LP$2:$LP$60=AS$4)*(GMWQ!$LR$2:$LR$60=AS$1),0),$B311-1966)</f>
        <v>34439.32</v>
      </c>
      <c r="AT311" s="23" cm="1">
        <f t="array" ref="AT311">INDEX(GMWQ!$A$2:$LR$60,MATCH(1,(GMWQ!$LQ$2:$LQ$60=AT$3)*(GMWQ!$LP$2:$LP$60=AT$4)*(GMWQ!$LR$2:$LR$60=AT$1),0),$B311-1966)</f>
        <v>501019.8</v>
      </c>
      <c r="AU311" s="23" cm="1">
        <f t="array" ref="AU311">INDEX(GMWQ!$A$2:$LR$60,MATCH(1,(GMWQ!$LQ$2:$LQ$60=AU$3)*(GMWQ!$LP$2:$LP$60=AU$4)*(GMWQ!$LR$2:$LR$60=AU$1),0),$B311-1966)</f>
        <v>17830.02</v>
      </c>
    </row>
    <row r="312" spans="1:47" x14ac:dyDescent="0.35">
      <c r="B312" s="7">
        <f t="shared" si="6"/>
        <v>2278</v>
      </c>
      <c r="C312" s="7" cm="1">
        <f t="array" ref="C312">INDEX(GMWQ!$A$2:$LR$60,MATCH(1,(GMWQ!$LQ$2:$LQ$60=C$3)*(GMWQ!$LP$2:$LP$60=C$4)*(GMWQ!$LR$2:$LR$60=C$1),0),$B312-1966)</f>
        <v>837320.9</v>
      </c>
      <c r="D312" s="7" cm="1">
        <f t="array" ref="D312">INDEX(GMWQ!$A$2:$LR$60,MATCH(1,(GMWQ!$LQ$2:$LQ$60=D$3)*(GMWQ!$LP$2:$LP$60=D$4)*(GMWQ!$LR$2:$LR$60=D$1),0),$B312-1966)</f>
        <v>1433.6320000000001</v>
      </c>
      <c r="E312" s="7" cm="1">
        <f t="array" ref="E312">INDEX(GMWQ!$A$2:$LR$60,MATCH(1,(GMWQ!$LQ$2:$LQ$60=E$3)*(GMWQ!$LP$2:$LP$60=E$4)*(GMWQ!$LR$2:$LR$60=E$1),0),$B312-1966)</f>
        <v>219.47409999999999</v>
      </c>
      <c r="F312" s="7" cm="1">
        <f t="array" ref="F312">INDEX(GMWQ!$A$2:$LR$60,MATCH(1,(GMWQ!$LQ$2:$LQ$60=F$3)*(GMWQ!$LP$2:$LP$60=F$4)*(GMWQ!$LR$2:$LR$60=F$1),0),$B312-1966)</f>
        <v>686764.1</v>
      </c>
      <c r="G312" s="7" cm="1">
        <f t="array" ref="G312">INDEX(GMWQ!$A$2:$LR$60,MATCH(1,(GMWQ!$LQ$2:$LQ$60=G$3)*(GMWQ!$LP$2:$LP$60=G$4)*(GMWQ!$LR$2:$LR$60=G$1),0),$B312-1966)</f>
        <v>205509.1</v>
      </c>
      <c r="H312" s="7" cm="1">
        <f t="array" ref="H312">INDEX(GMWQ!$A$2:$LR$60,MATCH(1,(GMWQ!$LQ$2:$LQ$60=H$3)*(GMWQ!$LP$2:$LP$60=H$4)*(GMWQ!$LR$2:$LR$60=H$1),0),$B312-1966)</f>
        <v>46184.89</v>
      </c>
      <c r="I312" s="7" cm="1">
        <f t="array" ref="I312">INDEX(GMWQ!$A$2:$LR$60,MATCH(1,(GMWQ!$LQ$2:$LQ$60=I$3)*(GMWQ!$LP$2:$LP$60=I$4)*(GMWQ!$LR$2:$LR$60=I$1),0),$B312-1966)</f>
        <v>199.9631</v>
      </c>
      <c r="J312" s="7" cm="1">
        <f t="array" ref="J312">INDEX(GMWQ!$A$2:$LR$60,MATCH(1,(GMWQ!$LQ$2:$LQ$60=J$3)*(GMWQ!$LP$2:$LP$60=J$4)*(GMWQ!$LR$2:$LR$60=J$1),0),$B312-1966)</f>
        <v>32941.980000000003</v>
      </c>
      <c r="K312" s="7" cm="1">
        <f t="array" ref="K312">INDEX(GMWQ!$A$2:$LR$60,MATCH(1,(GMWQ!$LQ$2:$LQ$60=K$3)*(GMWQ!$LP$2:$LP$60=K$4)*(GMWQ!$LR$2:$LR$60=K$1),0),$B312-1966)</f>
        <v>2</v>
      </c>
      <c r="L312" s="7" cm="1">
        <f t="array" ref="L312">INDEX(GMWQ!$A$2:$LR$60,MATCH(1,(GMWQ!$LQ$2:$LQ$60=L$3)*(GMWQ!$LP$2:$LP$60=L$4)*(GMWQ!$LR$2:$LR$60=L$1),0),$B312-1966)</f>
        <v>3.7499929999999999</v>
      </c>
      <c r="M312" s="7" cm="1">
        <f t="array" ref="M312">INDEX(GMWQ!$A$2:$LR$60,MATCH(1,(GMWQ!$LQ$2:$LQ$60=M$3)*(GMWQ!$LP$2:$LP$60=M$4)*(GMWQ!$LR$2:$LR$60=M$1),0),$B312-1966)</f>
        <v>334.55090000000001</v>
      </c>
      <c r="N312" s="7" cm="1">
        <f t="array" ref="N312">INDEX(GMWQ!$A$2:$LR$60,MATCH(1,(GMWQ!$LQ$2:$LQ$60=N$3)*(GMWQ!$LP$2:$LP$60=N$4)*(GMWQ!$LR$2:$LR$60=N$1),0),$B312-1966)</f>
        <v>48126.07</v>
      </c>
      <c r="O312" s="7" cm="1">
        <f t="array" ref="O312">INDEX(GMWQ!$A$2:$LR$60,MATCH(1,(GMWQ!$LQ$2:$LQ$60=O$3)*(GMWQ!$LP$2:$LP$60=O$4)*(GMWQ!$LR$2:$LR$60=O$1),0),$B312-1966)</f>
        <v>26724.77</v>
      </c>
      <c r="P312" s="7" cm="1">
        <f t="array" ref="P312">INDEX(GMWQ!$A$2:$LR$60,MATCH(1,(GMWQ!$LQ$2:$LQ$60=P$3)*(GMWQ!$LP$2:$LP$60=P$4)*(GMWQ!$LR$2:$LR$60=P$1),0),$B312-1966)</f>
        <v>1089692</v>
      </c>
      <c r="Q312" s="7" cm="1">
        <f t="array" ref="Q312">INDEX(GMWQ!$A$2:$LR$60,MATCH(1,(GMWQ!$LQ$2:$LQ$60=Q$3)*(GMWQ!$LP$2:$LP$60=Q$4)*(GMWQ!$LR$2:$LR$60=Q$1),0),$B312-1966)</f>
        <v>3.5</v>
      </c>
      <c r="R312" s="7" cm="1">
        <f t="array" ref="R312">INDEX(GMWQ!$A$2:$LR$60,MATCH(1,(GMWQ!$LQ$2:$LQ$60=R$3)*(GMWQ!$LP$2:$LP$60=R$4)*(GMWQ!$LR$2:$LR$60=R$1),0),$B312-1966)</f>
        <v>256441.7</v>
      </c>
      <c r="S312" s="7" cm="1">
        <f t="array" ref="S312">INDEX(GMWQ!$A$2:$LR$60,MATCH(1,(GMWQ!$LQ$2:$LQ$60=S$3)*(GMWQ!$LP$2:$LP$60=S$4)*(GMWQ!$LR$2:$LR$60=S$1),0),$B312-1966)</f>
        <v>382.55090000000001</v>
      </c>
      <c r="T312" s="7" cm="1">
        <f t="array" ref="T312">INDEX(GMWQ!$A$2:$LR$60,MATCH(1,(GMWQ!$LQ$2:$LQ$60=T$3)*(GMWQ!$LP$2:$LP$60=T$4)*(GMWQ!$LR$2:$LR$60=T$1),0),$B312-1966)</f>
        <v>157732.79999999999</v>
      </c>
      <c r="U312" s="7" cm="1">
        <f t="array" ref="U312">INDEX(GMWQ!$A$2:$LR$60,MATCH(1,(GMWQ!$LQ$2:$LQ$60=U$3)*(GMWQ!$LP$2:$LP$60=U$4)*(GMWQ!$LR$2:$LR$60=U$1),0),$B312-1966)</f>
        <v>15918.52</v>
      </c>
      <c r="V312" s="7" cm="1">
        <f t="array" ref="V312">INDEX(GMWQ!$A$2:$LR$60,MATCH(1,(GMWQ!$LQ$2:$LQ$60=V$3)*(GMWQ!$LP$2:$LP$60=V$4)*(GMWQ!$LR$2:$LR$60=V$1),0),$B312-1966)</f>
        <v>1.3496280000000001E-3</v>
      </c>
      <c r="W312" s="7" cm="1">
        <f t="array" ref="W312">INDEX(GMWQ!$A$2:$LR$60,MATCH(1,(GMWQ!$LQ$2:$LQ$60=W$3)*(GMWQ!$LP$2:$LP$60=W$4)*(GMWQ!$LR$2:$LR$60=W$1),0),$B312-1966)</f>
        <v>9.3806209999999997</v>
      </c>
      <c r="X312" s="7" cm="1">
        <f t="array" ref="X312">INDEX(GMWQ!$A$2:$LR$60,MATCH(1,(GMWQ!$LQ$2:$LQ$60=X$3)*(GMWQ!$LP$2:$LP$60=X$4)*(GMWQ!$LR$2:$LR$60=X$1),0),$B312-1966)</f>
        <v>16310580</v>
      </c>
      <c r="Y312" s="7" cm="1">
        <f t="array" ref="Y312">INDEX(GMWQ!$A$2:$LR$60,MATCH(1,(GMWQ!$LQ$2:$LQ$60=Y$3)*(GMWQ!$LP$2:$LP$60=Y$4)*(GMWQ!$LR$2:$LR$60=Y$1),0),$B312-1966)</f>
        <v>205.62020000000001</v>
      </c>
      <c r="Z312" s="7" cm="1">
        <f t="array" ref="Z312">INDEX(GMWQ!$A$2:$LR$60,MATCH(1,(GMWQ!$LQ$2:$LQ$60=Z$3)*(GMWQ!$LP$2:$LP$60=Z$4)*(GMWQ!$LR$2:$LR$60=Z$1),0),$B312-1966)</f>
        <v>837321.4</v>
      </c>
      <c r="AA312" s="7" cm="1">
        <f t="array" ref="AA312">INDEX(GMWQ!$A$2:$LR$60,MATCH(1,(GMWQ!$LQ$2:$LQ$60=AA$3)*(GMWQ!$LP$2:$LP$60=AA$4)*(GMWQ!$LR$2:$LR$60=AA$1),0),$B312-1966)</f>
        <v>701507.7</v>
      </c>
      <c r="AB312" s="7" cm="1">
        <f t="array" ref="AB312">INDEX(GMWQ!$A$2:$LR$60,MATCH(1,(GMWQ!$LQ$2:$LQ$60=AB$3)*(GMWQ!$LP$2:$LP$60=AB$4)*(GMWQ!$LR$2:$LR$60=AB$1),0),$B312-1966)</f>
        <v>667932.19999999995</v>
      </c>
      <c r="AC312" s="7" cm="1">
        <f t="array" ref="AC312">INDEX(GMWQ!$A$2:$LR$60,MATCH(1,(GMWQ!$LQ$2:$LQ$60=AC$3)*(GMWQ!$LP$2:$LP$60=AC$4)*(GMWQ!$LR$2:$LR$60=AC$1),0),$B312-1966)</f>
        <v>22174.95</v>
      </c>
      <c r="AD312" s="7" cm="1">
        <f t="array" ref="AD312">INDEX(GMWQ!$A$2:$LR$60,MATCH(1,(GMWQ!$LQ$2:$LQ$60=AD$3)*(GMWQ!$LP$2:$LP$60=AD$4)*(GMWQ!$LR$2:$LR$60=AD$1),0),$B312-1966)</f>
        <v>38319.86</v>
      </c>
      <c r="AE312" s="7" cm="1">
        <f t="array" ref="AE312">INDEX(GMWQ!$A$2:$LR$60,MATCH(1,(GMWQ!$LQ$2:$LQ$60=AE$3)*(GMWQ!$LP$2:$LP$60=AE$4)*(GMWQ!$LR$2:$LR$60=AE$1),0),$B312-1966)</f>
        <v>1721701</v>
      </c>
      <c r="AF312" s="20" cm="1">
        <f t="array" ref="AF312">INDEX(GMWQ!$A$2:$LR$60,MATCH(1,(GMWQ!$LQ$2:$LQ$60=AF$3)*(GMWQ!$LP$2:$LP$60=AF$4)*(GMWQ!$LR$2:$LR$60=AF$1),0),$B312-1966)</f>
        <v>2</v>
      </c>
      <c r="AG312" s="20" cm="1">
        <f t="array" ref="AG312">INDEX(GMWQ!$A$2:$LR$60,MATCH(1,(GMWQ!$LQ$2:$LQ$60=AG$3)*(GMWQ!$LP$2:$LP$60=AG$4)*(GMWQ!$LR$2:$LR$60=AG$1),0),$B312-1966)</f>
        <v>-21401.3</v>
      </c>
      <c r="AI312" s="23" cm="1">
        <f t="array" ref="AI312">INDEX(GMWQ!$A$2:$LR$60,MATCH(1,(GMWQ!$LQ$2:$LQ$60=AI$3)*(GMWQ!$LP$2:$LP$60=AI$4)*(GMWQ!$LR$2:$LR$60=AI$1),0),$B312-1966)</f>
        <v>1089692</v>
      </c>
      <c r="AJ312" s="23" cm="1">
        <f t="array" ref="AJ312">INDEX(GMWQ!$A$2:$LR$60,MATCH(1,(GMWQ!$LQ$2:$LQ$60=AJ$3)*(GMWQ!$LP$2:$LP$60=AJ$4)*(GMWQ!$LR$2:$LR$60=AJ$1),0),$B312-1966)</f>
        <v>199.9631</v>
      </c>
      <c r="AK312" s="23" cm="1">
        <f t="array" ref="AK312">INDEX(GMWQ!$A$2:$LR$60,MATCH(1,(GMWQ!$LQ$2:$LQ$60=AK$3)*(GMWQ!$LP$2:$LP$60=AK$4)*(GMWQ!$LR$2:$LR$60=AK$1),0),$B312-1966)</f>
        <v>686764.1</v>
      </c>
      <c r="AL312" s="23" cm="1">
        <f t="array" ref="AL312">INDEX(GMWQ!$A$2:$LR$60,MATCH(1,(GMWQ!$LQ$2:$LQ$60=AL$3)*(GMWQ!$LP$2:$LP$60=AL$4)*(GMWQ!$LR$2:$LR$60=AL$1),0),$B312-1966)</f>
        <v>20847.689999999999</v>
      </c>
      <c r="AM312" s="23" cm="1">
        <f t="array" ref="AM312">INDEX(GMWQ!$A$2:$LR$60,MATCH(1,(GMWQ!$LQ$2:$LQ$60=AM$3)*(GMWQ!$LP$2:$LP$60=AM$4)*(GMWQ!$LR$2:$LR$60=AM$1),0),$B312-1966)</f>
        <v>32941.980000000003</v>
      </c>
      <c r="AN312" s="23" cm="1">
        <f t="array" ref="AN312">INDEX(GMWQ!$A$2:$LR$60,MATCH(1,(GMWQ!$LQ$2:$LQ$60=AN$3)*(GMWQ!$LP$2:$LP$60=AN$4)*(GMWQ!$LR$2:$LR$60=AN$1),0),$B312-1966)</f>
        <v>205509.1</v>
      </c>
      <c r="AO312" s="23" cm="1">
        <f t="array" ref="AO312">INDEX(GMWQ!$A$2:$LR$60,MATCH(1,(GMWQ!$LQ$2:$LQ$60=AO$3)*(GMWQ!$LP$2:$LP$60=AO$4)*(GMWQ!$LR$2:$LR$60=AO$1),0),$B312-1966)</f>
        <v>46184.89</v>
      </c>
      <c r="AP312" s="23" cm="1">
        <f t="array" ref="AP312">INDEX(GMWQ!$A$2:$LR$60,MATCH(1,(GMWQ!$LQ$2:$LQ$60=AP$3)*(GMWQ!$LP$2:$LP$60=AP$4)*(GMWQ!$LR$2:$LR$60=AP$1),0),$B312-1966)</f>
        <v>-21401.3</v>
      </c>
      <c r="AQ312" s="23" cm="1">
        <f t="array" ref="AQ312">INDEX(GMWQ!$A$2:$LR$60,MATCH(1,(GMWQ!$LQ$2:$LQ$60=AQ$3)*(GMWQ!$LP$2:$LP$60=AQ$4)*(GMWQ!$LR$2:$LR$60=AQ$1),0),$B312-1966)</f>
        <v>240616.8</v>
      </c>
      <c r="AR312" s="23" cm="1">
        <f t="array" ref="AR312">INDEX(GMWQ!$A$2:$LR$60,MATCH(1,(GMWQ!$LQ$2:$LQ$60=AR$3)*(GMWQ!$LP$2:$LP$60=AR$4)*(GMWQ!$LR$2:$LR$60=AR$1),0),$B312-1966)</f>
        <v>1005539</v>
      </c>
      <c r="AS312" s="23" cm="1">
        <f t="array" ref="AS312">INDEX(GMWQ!$A$2:$LR$60,MATCH(1,(GMWQ!$LQ$2:$LQ$60=AS$3)*(GMWQ!$LP$2:$LP$60=AS$4)*(GMWQ!$LR$2:$LR$60=AS$1),0),$B312-1966)</f>
        <v>34746.300000000003</v>
      </c>
      <c r="AT312" s="23" cm="1">
        <f t="array" ref="AT312">INDEX(GMWQ!$A$2:$LR$60,MATCH(1,(GMWQ!$LQ$2:$LQ$60=AT$3)*(GMWQ!$LP$2:$LP$60=AT$4)*(GMWQ!$LR$2:$LR$60=AT$1),0),$B312-1966)</f>
        <v>502862.3</v>
      </c>
      <c r="AU312" s="23" cm="1">
        <f t="array" ref="AU312">INDEX(GMWQ!$A$2:$LR$60,MATCH(1,(GMWQ!$LQ$2:$LQ$60=AU$3)*(GMWQ!$LP$2:$LP$60=AU$4)*(GMWQ!$LR$2:$LR$60=AU$1),0),$B312-1966)</f>
        <v>17895.5</v>
      </c>
    </row>
    <row r="313" spans="1:47" x14ac:dyDescent="0.35">
      <c r="B313" s="7">
        <f t="shared" si="6"/>
        <v>2279</v>
      </c>
      <c r="C313" s="7" cm="1">
        <f t="array" ref="C313">INDEX(GMWQ!$A$2:$LR$60,MATCH(1,(GMWQ!$LQ$2:$LQ$60=C$3)*(GMWQ!$LP$2:$LP$60=C$4)*(GMWQ!$LR$2:$LR$60=C$1),0),$B313-1966)</f>
        <v>840392.8</v>
      </c>
      <c r="D313" s="7" cm="1">
        <f t="array" ref="D313">INDEX(GMWQ!$A$2:$LR$60,MATCH(1,(GMWQ!$LQ$2:$LQ$60=D$3)*(GMWQ!$LP$2:$LP$60=D$4)*(GMWQ!$LR$2:$LR$60=D$1),0),$B313-1966)</f>
        <v>1444.8109999999999</v>
      </c>
      <c r="E313" s="7" cm="1">
        <f t="array" ref="E313">INDEX(GMWQ!$A$2:$LR$60,MATCH(1,(GMWQ!$LQ$2:$LQ$60=E$3)*(GMWQ!$LP$2:$LP$60=E$4)*(GMWQ!$LR$2:$LR$60=E$1),0),$B313-1966)</f>
        <v>220.67310000000001</v>
      </c>
      <c r="F313" s="7" cm="1">
        <f t="array" ref="F313">INDEX(GMWQ!$A$2:$LR$60,MATCH(1,(GMWQ!$LQ$2:$LQ$60=F$3)*(GMWQ!$LP$2:$LP$60=F$4)*(GMWQ!$LR$2:$LR$60=F$1),0),$B313-1966)</f>
        <v>692740.6</v>
      </c>
      <c r="G313" s="7" cm="1">
        <f t="array" ref="G313">INDEX(GMWQ!$A$2:$LR$60,MATCH(1,(GMWQ!$LQ$2:$LQ$60=G$3)*(GMWQ!$LP$2:$LP$60=G$4)*(GMWQ!$LR$2:$LR$60=G$1),0),$B313-1966)</f>
        <v>207518.6</v>
      </c>
      <c r="H313" s="7" cm="1">
        <f t="array" ref="H313">INDEX(GMWQ!$A$2:$LR$60,MATCH(1,(GMWQ!$LQ$2:$LQ$60=H$3)*(GMWQ!$LP$2:$LP$60=H$4)*(GMWQ!$LR$2:$LR$60=H$1),0),$B313-1966)</f>
        <v>46586.8</v>
      </c>
      <c r="I313" s="7" cm="1">
        <f t="array" ref="I313">INDEX(GMWQ!$A$2:$LR$60,MATCH(1,(GMWQ!$LQ$2:$LQ$60=I$3)*(GMWQ!$LP$2:$LP$60=I$4)*(GMWQ!$LR$2:$LR$60=I$1),0),$B313-1966)</f>
        <v>200.95529999999999</v>
      </c>
      <c r="J313" s="7" cm="1">
        <f t="array" ref="J313">INDEX(GMWQ!$A$2:$LR$60,MATCH(1,(GMWQ!$LQ$2:$LQ$60=J$3)*(GMWQ!$LP$2:$LP$60=J$4)*(GMWQ!$LR$2:$LR$60=J$1),0),$B313-1966)</f>
        <v>32971.519999999997</v>
      </c>
      <c r="K313" s="7" cm="1">
        <f t="array" ref="K313">INDEX(GMWQ!$A$2:$LR$60,MATCH(1,(GMWQ!$LQ$2:$LQ$60=K$3)*(GMWQ!$LP$2:$LP$60=K$4)*(GMWQ!$LR$2:$LR$60=K$1),0),$B313-1966)</f>
        <v>2</v>
      </c>
      <c r="L313" s="7" cm="1">
        <f t="array" ref="L313">INDEX(GMWQ!$A$2:$LR$60,MATCH(1,(GMWQ!$LQ$2:$LQ$60=L$3)*(GMWQ!$LP$2:$LP$60=L$4)*(GMWQ!$LR$2:$LR$60=L$1),0),$B313-1966)</f>
        <v>3.7499920000000002</v>
      </c>
      <c r="M313" s="7" cm="1">
        <f t="array" ref="M313">INDEX(GMWQ!$A$2:$LR$60,MATCH(1,(GMWQ!$LQ$2:$LQ$60=M$3)*(GMWQ!$LP$2:$LP$60=M$4)*(GMWQ!$LR$2:$LR$60=M$1),0),$B313-1966)</f>
        <v>337.45179999999999</v>
      </c>
      <c r="N313" s="7" cm="1">
        <f t="array" ref="N313">INDEX(GMWQ!$A$2:$LR$60,MATCH(1,(GMWQ!$LQ$2:$LQ$60=N$3)*(GMWQ!$LP$2:$LP$60=N$4)*(GMWQ!$LR$2:$LR$60=N$1),0),$B313-1966)</f>
        <v>48463.86</v>
      </c>
      <c r="O313" s="7" cm="1">
        <f t="array" ref="O313">INDEX(GMWQ!$A$2:$LR$60,MATCH(1,(GMWQ!$LQ$2:$LQ$60=O$3)*(GMWQ!$LP$2:$LP$60=O$4)*(GMWQ!$LR$2:$LR$60=O$1),0),$B313-1966)</f>
        <v>26928.5</v>
      </c>
      <c r="P313" s="7" cm="1">
        <f t="array" ref="P313">INDEX(GMWQ!$A$2:$LR$60,MATCH(1,(GMWQ!$LQ$2:$LQ$60=P$3)*(GMWQ!$LP$2:$LP$60=P$4)*(GMWQ!$LR$2:$LR$60=P$1),0),$B313-1966)</f>
        <v>1099136</v>
      </c>
      <c r="Q313" s="7" cm="1">
        <f t="array" ref="Q313">INDEX(GMWQ!$A$2:$LR$60,MATCH(1,(GMWQ!$LQ$2:$LQ$60=Q$3)*(GMWQ!$LP$2:$LP$60=Q$4)*(GMWQ!$LR$2:$LR$60=Q$1),0),$B313-1966)</f>
        <v>3.5</v>
      </c>
      <c r="R313" s="7" cm="1">
        <f t="array" ref="R313">INDEX(GMWQ!$A$2:$LR$60,MATCH(1,(GMWQ!$LQ$2:$LQ$60=R$3)*(GMWQ!$LP$2:$LP$60=R$4)*(GMWQ!$LR$2:$LR$60=R$1),0),$B313-1966)</f>
        <v>256439.5</v>
      </c>
      <c r="S313" s="7" cm="1">
        <f t="array" ref="S313">INDEX(GMWQ!$A$2:$LR$60,MATCH(1,(GMWQ!$LQ$2:$LQ$60=S$3)*(GMWQ!$LP$2:$LP$60=S$4)*(GMWQ!$LR$2:$LR$60=S$1),0),$B313-1966)</f>
        <v>382.54759999999999</v>
      </c>
      <c r="T313" s="7" cm="1">
        <f t="array" ref="T313">INDEX(GMWQ!$A$2:$LR$60,MATCH(1,(GMWQ!$LQ$2:$LQ$60=T$3)*(GMWQ!$LP$2:$LP$60=T$4)*(GMWQ!$LR$2:$LR$60=T$1),0),$B313-1966)</f>
        <v>158329.4</v>
      </c>
      <c r="U313" s="7" cm="1">
        <f t="array" ref="U313">INDEX(GMWQ!$A$2:$LR$60,MATCH(1,(GMWQ!$LQ$2:$LQ$60=U$3)*(GMWQ!$LP$2:$LP$60=U$4)*(GMWQ!$LR$2:$LR$60=U$1),0),$B313-1966)</f>
        <v>15900.05</v>
      </c>
      <c r="V313" s="7" cm="1">
        <f t="array" ref="V313">INDEX(GMWQ!$A$2:$LR$60,MATCH(1,(GMWQ!$LQ$2:$LQ$60=V$3)*(GMWQ!$LP$2:$LP$60=V$4)*(GMWQ!$LR$2:$LR$60=V$1),0),$B313-1966)</f>
        <v>1.349294E-3</v>
      </c>
      <c r="W313" s="7" cm="1">
        <f t="array" ref="W313">INDEX(GMWQ!$A$2:$LR$60,MATCH(1,(GMWQ!$LQ$2:$LQ$60=W$3)*(GMWQ!$LP$2:$LP$60=W$4)*(GMWQ!$LR$2:$LR$60=W$1),0),$B313-1966)</f>
        <v>9.3747039999999995</v>
      </c>
      <c r="X313" s="7" cm="1">
        <f t="array" ref="X313">INDEX(GMWQ!$A$2:$LR$60,MATCH(1,(GMWQ!$LQ$2:$LQ$60=X$3)*(GMWQ!$LP$2:$LP$60=X$4)*(GMWQ!$LR$2:$LR$60=X$1),0),$B313-1966)</f>
        <v>16479380</v>
      </c>
      <c r="Y313" s="7" cm="1">
        <f t="array" ref="Y313">INDEX(GMWQ!$A$2:$LR$60,MATCH(1,(GMWQ!$LQ$2:$LQ$60=Y$3)*(GMWQ!$LP$2:$LP$60=Y$4)*(GMWQ!$LR$2:$LR$60=Y$1),0),$B313-1966)</f>
        <v>206.73570000000001</v>
      </c>
      <c r="Z313" s="7" cm="1">
        <f t="array" ref="Z313">INDEX(GMWQ!$A$2:$LR$60,MATCH(1,(GMWQ!$LQ$2:$LQ$60=Z$3)*(GMWQ!$LP$2:$LP$60=Z$4)*(GMWQ!$LR$2:$LR$60=Z$1),0),$B313-1966)</f>
        <v>840392.6</v>
      </c>
      <c r="AA313" s="7" cm="1">
        <f t="array" ref="AA313">INDEX(GMWQ!$A$2:$LR$60,MATCH(1,(GMWQ!$LQ$2:$LQ$60=AA$3)*(GMWQ!$LP$2:$LP$60=AA$4)*(GMWQ!$LR$2:$LR$60=AA$1),0),$B313-1966)</f>
        <v>723937.3</v>
      </c>
      <c r="AB313" s="7" cm="1">
        <f t="array" ref="AB313">INDEX(GMWQ!$A$2:$LR$60,MATCH(1,(GMWQ!$LQ$2:$LQ$60=AB$3)*(GMWQ!$LP$2:$LP$60=AB$4)*(GMWQ!$LR$2:$LR$60=AB$1),0),$B313-1966)</f>
        <v>673703.1</v>
      </c>
      <c r="AC313" s="7" cm="1">
        <f t="array" ref="AC313">INDEX(GMWQ!$A$2:$LR$60,MATCH(1,(GMWQ!$LQ$2:$LQ$60=AC$3)*(GMWQ!$LP$2:$LP$60=AC$4)*(GMWQ!$LR$2:$LR$60=AC$1),0),$B313-1966)</f>
        <v>25246.01</v>
      </c>
      <c r="AD313" s="7" cm="1">
        <f t="array" ref="AD313">INDEX(GMWQ!$A$2:$LR$60,MATCH(1,(GMWQ!$LQ$2:$LQ$60=AD$3)*(GMWQ!$LP$2:$LP$60=AD$4)*(GMWQ!$LR$2:$LR$60=AD$1),0),$B313-1966)</f>
        <v>38319.86</v>
      </c>
      <c r="AE313" s="7" cm="1">
        <f t="array" ref="AE313">INDEX(GMWQ!$A$2:$LR$60,MATCH(1,(GMWQ!$LQ$2:$LQ$60=AE$3)*(GMWQ!$LP$2:$LP$60=AE$4)*(GMWQ!$LR$2:$LR$60=AE$1),0),$B313-1966)</f>
        <v>1737392</v>
      </c>
      <c r="AF313" s="20" cm="1">
        <f t="array" ref="AF313">INDEX(GMWQ!$A$2:$LR$60,MATCH(1,(GMWQ!$LQ$2:$LQ$60=AF$3)*(GMWQ!$LP$2:$LP$60=AF$4)*(GMWQ!$LR$2:$LR$60=AF$1),0),$B313-1966)</f>
        <v>2</v>
      </c>
      <c r="AG313" s="20" cm="1">
        <f t="array" ref="AG313">INDEX(GMWQ!$A$2:$LR$60,MATCH(1,(GMWQ!$LQ$2:$LQ$60=AG$3)*(GMWQ!$LP$2:$LP$60=AG$4)*(GMWQ!$LR$2:$LR$60=AG$1),0),$B313-1966)</f>
        <v>-21535.360000000001</v>
      </c>
      <c r="AI313" s="23" cm="1">
        <f t="array" ref="AI313">INDEX(GMWQ!$A$2:$LR$60,MATCH(1,(GMWQ!$LQ$2:$LQ$60=AI$3)*(GMWQ!$LP$2:$LP$60=AI$4)*(GMWQ!$LR$2:$LR$60=AI$1),0),$B313-1966)</f>
        <v>1099136</v>
      </c>
      <c r="AJ313" s="23" cm="1">
        <f t="array" ref="AJ313">INDEX(GMWQ!$A$2:$LR$60,MATCH(1,(GMWQ!$LQ$2:$LQ$60=AJ$3)*(GMWQ!$LP$2:$LP$60=AJ$4)*(GMWQ!$LR$2:$LR$60=AJ$1),0),$B313-1966)</f>
        <v>200.95529999999999</v>
      </c>
      <c r="AK313" s="23" cm="1">
        <f t="array" ref="AK313">INDEX(GMWQ!$A$2:$LR$60,MATCH(1,(GMWQ!$LQ$2:$LQ$60=AK$3)*(GMWQ!$LP$2:$LP$60=AK$4)*(GMWQ!$LR$2:$LR$60=AK$1),0),$B313-1966)</f>
        <v>692740.6</v>
      </c>
      <c r="AL313" s="23" cm="1">
        <f t="array" ref="AL313">INDEX(GMWQ!$A$2:$LR$60,MATCH(1,(GMWQ!$LQ$2:$LQ$60=AL$3)*(GMWQ!$LP$2:$LP$60=AL$4)*(GMWQ!$LR$2:$LR$60=AL$1),0),$B313-1966)</f>
        <v>21010.27</v>
      </c>
      <c r="AM313" s="23" cm="1">
        <f t="array" ref="AM313">INDEX(GMWQ!$A$2:$LR$60,MATCH(1,(GMWQ!$LQ$2:$LQ$60=AM$3)*(GMWQ!$LP$2:$LP$60=AM$4)*(GMWQ!$LR$2:$LR$60=AM$1),0),$B313-1966)</f>
        <v>32971.519999999997</v>
      </c>
      <c r="AN313" s="23" cm="1">
        <f t="array" ref="AN313">INDEX(GMWQ!$A$2:$LR$60,MATCH(1,(GMWQ!$LQ$2:$LQ$60=AN$3)*(GMWQ!$LP$2:$LP$60=AN$4)*(GMWQ!$LR$2:$LR$60=AN$1),0),$B313-1966)</f>
        <v>207518.6</v>
      </c>
      <c r="AO313" s="23" cm="1">
        <f t="array" ref="AO313">INDEX(GMWQ!$A$2:$LR$60,MATCH(1,(GMWQ!$LQ$2:$LQ$60=AO$3)*(GMWQ!$LP$2:$LP$60=AO$4)*(GMWQ!$LR$2:$LR$60=AO$1),0),$B313-1966)</f>
        <v>46586.8</v>
      </c>
      <c r="AP313" s="23" cm="1">
        <f t="array" ref="AP313">INDEX(GMWQ!$A$2:$LR$60,MATCH(1,(GMWQ!$LQ$2:$LQ$60=AP$3)*(GMWQ!$LP$2:$LP$60=AP$4)*(GMWQ!$LR$2:$LR$60=AP$1),0),$B313-1966)</f>
        <v>-21535.360000000001</v>
      </c>
      <c r="AQ313" s="23" cm="1">
        <f t="array" ref="AQ313">INDEX(GMWQ!$A$2:$LR$60,MATCH(1,(GMWQ!$LQ$2:$LQ$60=AQ$3)*(GMWQ!$LP$2:$LP$60=AQ$4)*(GMWQ!$LR$2:$LR$60=AQ$1),0),$B313-1966)</f>
        <v>242830.7</v>
      </c>
      <c r="AR313" s="23" cm="1">
        <f t="array" ref="AR313">INDEX(GMWQ!$A$2:$LR$60,MATCH(1,(GMWQ!$LQ$2:$LQ$60=AR$3)*(GMWQ!$LP$2:$LP$60=AR$4)*(GMWQ!$LR$2:$LR$60=AR$1),0),$B313-1966)</f>
        <v>1014241</v>
      </c>
      <c r="AS313" s="23" cm="1">
        <f t="array" ref="AS313">INDEX(GMWQ!$A$2:$LR$60,MATCH(1,(GMWQ!$LQ$2:$LQ$60=AS$3)*(GMWQ!$LP$2:$LP$60=AS$4)*(GMWQ!$LR$2:$LR$60=AS$1),0),$B313-1966)</f>
        <v>35055.79</v>
      </c>
      <c r="AT313" s="23" cm="1">
        <f t="array" ref="AT313">INDEX(GMWQ!$A$2:$LR$60,MATCH(1,(GMWQ!$LQ$2:$LQ$60=AT$3)*(GMWQ!$LP$2:$LP$60=AT$4)*(GMWQ!$LR$2:$LR$60=AT$1),0),$B313-1966)</f>
        <v>504709.7</v>
      </c>
      <c r="AU313" s="23" cm="1">
        <f t="array" ref="AU313">INDEX(GMWQ!$A$2:$LR$60,MATCH(1,(GMWQ!$LQ$2:$LQ$60=AU$3)*(GMWQ!$LP$2:$LP$60=AU$4)*(GMWQ!$LR$2:$LR$60=AU$1),0),$B313-1966)</f>
        <v>17961.150000000001</v>
      </c>
    </row>
    <row r="314" spans="1:47" x14ac:dyDescent="0.35">
      <c r="B314" s="7">
        <f t="shared" si="6"/>
        <v>2280</v>
      </c>
      <c r="C314" s="7" cm="1">
        <f t="array" ref="C314">INDEX(GMWQ!$A$2:$LR$60,MATCH(1,(GMWQ!$LQ$2:$LQ$60=C$3)*(GMWQ!$LP$2:$LP$60=C$4)*(GMWQ!$LR$2:$LR$60=C$1),0),$B314-1966)</f>
        <v>843472.7</v>
      </c>
      <c r="D314" s="7" cm="1">
        <f t="array" ref="D314">INDEX(GMWQ!$A$2:$LR$60,MATCH(1,(GMWQ!$LQ$2:$LQ$60=D$3)*(GMWQ!$LP$2:$LP$60=D$4)*(GMWQ!$LR$2:$LR$60=D$1),0),$B314-1966)</f>
        <v>1456.075</v>
      </c>
      <c r="E314" s="7" cm="1">
        <f t="array" ref="E314">INDEX(GMWQ!$A$2:$LR$60,MATCH(1,(GMWQ!$LQ$2:$LQ$60=E$3)*(GMWQ!$LP$2:$LP$60=E$4)*(GMWQ!$LR$2:$LR$60=E$1),0),$B314-1966)</f>
        <v>221.6052</v>
      </c>
      <c r="F314" s="7" cm="1">
        <f t="array" ref="F314">INDEX(GMWQ!$A$2:$LR$60,MATCH(1,(GMWQ!$LQ$2:$LQ$60=F$3)*(GMWQ!$LP$2:$LP$60=F$4)*(GMWQ!$LR$2:$LR$60=F$1),0),$B314-1966)</f>
        <v>698766.5</v>
      </c>
      <c r="G314" s="7" cm="1">
        <f t="array" ref="G314">INDEX(GMWQ!$A$2:$LR$60,MATCH(1,(GMWQ!$LQ$2:$LQ$60=G$3)*(GMWQ!$LP$2:$LP$60=G$4)*(GMWQ!$LR$2:$LR$60=G$1),0),$B314-1966)</f>
        <v>209544.4</v>
      </c>
      <c r="H314" s="7" cm="1">
        <f t="array" ref="H314">INDEX(GMWQ!$A$2:$LR$60,MATCH(1,(GMWQ!$LQ$2:$LQ$60=H$3)*(GMWQ!$LP$2:$LP$60=H$4)*(GMWQ!$LR$2:$LR$60=H$1),0),$B314-1966)</f>
        <v>46992.05</v>
      </c>
      <c r="I314" s="7" cm="1">
        <f t="array" ref="I314">INDEX(GMWQ!$A$2:$LR$60,MATCH(1,(GMWQ!$LQ$2:$LQ$60=I$3)*(GMWQ!$LP$2:$LP$60=I$4)*(GMWQ!$LR$2:$LR$60=I$1),0),$B314-1966)</f>
        <v>201.95240000000001</v>
      </c>
      <c r="J314" s="7" cm="1">
        <f t="array" ref="J314">INDEX(GMWQ!$A$2:$LR$60,MATCH(1,(GMWQ!$LQ$2:$LQ$60=J$3)*(GMWQ!$LP$2:$LP$60=J$4)*(GMWQ!$LR$2:$LR$60=J$1),0),$B314-1966)</f>
        <v>33001.06</v>
      </c>
      <c r="K314" s="7" cm="1">
        <f t="array" ref="K314">INDEX(GMWQ!$A$2:$LR$60,MATCH(1,(GMWQ!$LQ$2:$LQ$60=K$3)*(GMWQ!$LP$2:$LP$60=K$4)*(GMWQ!$LR$2:$LR$60=K$1),0),$B314-1966)</f>
        <v>2</v>
      </c>
      <c r="L314" s="7" cm="1">
        <f t="array" ref="L314">INDEX(GMWQ!$A$2:$LR$60,MATCH(1,(GMWQ!$LQ$2:$LQ$60=L$3)*(GMWQ!$LP$2:$LP$60=L$4)*(GMWQ!$LR$2:$LR$60=L$1),0),$B314-1966)</f>
        <v>3.750019</v>
      </c>
      <c r="M314" s="7" cm="1">
        <f t="array" ref="M314">INDEX(GMWQ!$A$2:$LR$60,MATCH(1,(GMWQ!$LQ$2:$LQ$60=M$3)*(GMWQ!$LP$2:$LP$60=M$4)*(GMWQ!$LR$2:$LR$60=M$1),0),$B314-1966)</f>
        <v>340.37630000000001</v>
      </c>
      <c r="N314" s="7" cm="1">
        <f t="array" ref="N314">INDEX(GMWQ!$A$2:$LR$60,MATCH(1,(GMWQ!$LQ$2:$LQ$60=N$3)*(GMWQ!$LP$2:$LP$60=N$4)*(GMWQ!$LR$2:$LR$60=N$1),0),$B314-1966)</f>
        <v>48803.24</v>
      </c>
      <c r="O314" s="7" cm="1">
        <f t="array" ref="O314">INDEX(GMWQ!$A$2:$LR$60,MATCH(1,(GMWQ!$LQ$2:$LQ$60=O$3)*(GMWQ!$LP$2:$LP$60=O$4)*(GMWQ!$LR$2:$LR$60=O$1),0),$B314-1966)</f>
        <v>27139.55</v>
      </c>
      <c r="P314" s="7" cm="1">
        <f t="array" ref="P314">INDEX(GMWQ!$A$2:$LR$60,MATCH(1,(GMWQ!$LQ$2:$LQ$60=P$3)*(GMWQ!$LP$2:$LP$60=P$4)*(GMWQ!$LR$2:$LR$60=P$1),0),$B314-1966)</f>
        <v>1108657</v>
      </c>
      <c r="Q314" s="7" cm="1">
        <f t="array" ref="Q314">INDEX(GMWQ!$A$2:$LR$60,MATCH(1,(GMWQ!$LQ$2:$LQ$60=Q$3)*(GMWQ!$LP$2:$LP$60=Q$4)*(GMWQ!$LR$2:$LR$60=Q$1),0),$B314-1966)</f>
        <v>3.5</v>
      </c>
      <c r="R314" s="7" cm="1">
        <f t="array" ref="R314">INDEX(GMWQ!$A$2:$LR$60,MATCH(1,(GMWQ!$LQ$2:$LQ$60=R$3)*(GMWQ!$LP$2:$LP$60=R$4)*(GMWQ!$LR$2:$LR$60=R$1),0),$B314-1966)</f>
        <v>256437.3</v>
      </c>
      <c r="S314" s="7" cm="1">
        <f t="array" ref="S314">INDEX(GMWQ!$A$2:$LR$60,MATCH(1,(GMWQ!$LQ$2:$LQ$60=S$3)*(GMWQ!$LP$2:$LP$60=S$4)*(GMWQ!$LR$2:$LR$60=S$1),0),$B314-1966)</f>
        <v>382.54430000000002</v>
      </c>
      <c r="T314" s="7" cm="1">
        <f t="array" ref="T314">INDEX(GMWQ!$A$2:$LR$60,MATCH(1,(GMWQ!$LQ$2:$LQ$60=T$3)*(GMWQ!$LP$2:$LP$60=T$4)*(GMWQ!$LR$2:$LR$60=T$1),0),$B314-1966)</f>
        <v>158927.79999999999</v>
      </c>
      <c r="U314" s="7" cm="1">
        <f t="array" ref="U314">INDEX(GMWQ!$A$2:$LR$60,MATCH(1,(GMWQ!$LQ$2:$LQ$60=U$3)*(GMWQ!$LP$2:$LP$60=U$4)*(GMWQ!$LR$2:$LR$60=U$1),0),$B314-1966)</f>
        <v>15883.95</v>
      </c>
      <c r="V314" s="7" cm="1">
        <f t="array" ref="V314">INDEX(GMWQ!$A$2:$LR$60,MATCH(1,(GMWQ!$LQ$2:$LQ$60=V$3)*(GMWQ!$LP$2:$LP$60=V$4)*(GMWQ!$LR$2:$LR$60=V$1),0),$B314-1966)</f>
        <v>1.350094E-3</v>
      </c>
      <c r="W314" s="7" cm="1">
        <f t="array" ref="W314">INDEX(GMWQ!$A$2:$LR$60,MATCH(1,(GMWQ!$LQ$2:$LQ$60=W$3)*(GMWQ!$LP$2:$LP$60=W$4)*(GMWQ!$LR$2:$LR$60=W$1),0),$B314-1966)</f>
        <v>9.3682839999999992</v>
      </c>
      <c r="X314" s="7" cm="1">
        <f t="array" ref="X314">INDEX(GMWQ!$A$2:$LR$60,MATCH(1,(GMWQ!$LQ$2:$LQ$60=X$3)*(GMWQ!$LP$2:$LP$60=X$4)*(GMWQ!$LR$2:$LR$60=X$1),0),$B314-1966)</f>
        <v>16609880</v>
      </c>
      <c r="Y314" s="7" cm="1">
        <f t="array" ref="Y314">INDEX(GMWQ!$A$2:$LR$60,MATCH(1,(GMWQ!$LQ$2:$LQ$60=Y$3)*(GMWQ!$LP$2:$LP$60=Y$4)*(GMWQ!$LR$2:$LR$60=Y$1),0),$B314-1966)</f>
        <v>207.85720000000001</v>
      </c>
      <c r="Z314" s="7" cm="1">
        <f t="array" ref="Z314">INDEX(GMWQ!$A$2:$LR$60,MATCH(1,(GMWQ!$LQ$2:$LQ$60=Z$3)*(GMWQ!$LP$2:$LP$60=Z$4)*(GMWQ!$LR$2:$LR$60=Z$1),0),$B314-1966)</f>
        <v>843472.6</v>
      </c>
      <c r="AA314" s="7" cm="1">
        <f t="array" ref="AA314">INDEX(GMWQ!$A$2:$LR$60,MATCH(1,(GMWQ!$LQ$2:$LQ$60=AA$3)*(GMWQ!$LP$2:$LP$60=AA$4)*(GMWQ!$LR$2:$LR$60=AA$1),0),$B314-1966)</f>
        <v>706679.7</v>
      </c>
      <c r="AB314" s="7" cm="1">
        <f t="array" ref="AB314">INDEX(GMWQ!$A$2:$LR$60,MATCH(1,(GMWQ!$LQ$2:$LQ$60=AB$3)*(GMWQ!$LP$2:$LP$60=AB$4)*(GMWQ!$LR$2:$LR$60=AB$1),0),$B314-1966)</f>
        <v>679317.1</v>
      </c>
      <c r="AC314" s="7" cm="1">
        <f t="array" ref="AC314">INDEX(GMWQ!$A$2:$LR$60,MATCH(1,(GMWQ!$LQ$2:$LQ$60=AC$3)*(GMWQ!$LP$2:$LP$60=AC$4)*(GMWQ!$LR$2:$LR$60=AC$1),0),$B314-1966)</f>
        <v>26935.67</v>
      </c>
      <c r="AD314" s="7" cm="1">
        <f t="array" ref="AD314">INDEX(GMWQ!$A$2:$LR$60,MATCH(1,(GMWQ!$LQ$2:$LQ$60=AD$3)*(GMWQ!$LP$2:$LP$60=AD$4)*(GMWQ!$LR$2:$LR$60=AD$1),0),$B314-1966)</f>
        <v>38319.86</v>
      </c>
      <c r="AE314" s="7" cm="1">
        <f t="array" ref="AE314">INDEX(GMWQ!$A$2:$LR$60,MATCH(1,(GMWQ!$LQ$2:$LQ$60=AE$3)*(GMWQ!$LP$2:$LP$60=AE$4)*(GMWQ!$LR$2:$LR$60=AE$1),0),$B314-1966)</f>
        <v>1753219</v>
      </c>
      <c r="AF314" s="20" cm="1">
        <f t="array" ref="AF314">INDEX(GMWQ!$A$2:$LR$60,MATCH(1,(GMWQ!$LQ$2:$LQ$60=AF$3)*(GMWQ!$LP$2:$LP$60=AF$4)*(GMWQ!$LR$2:$LR$60=AF$1),0),$B314-1966)</f>
        <v>2</v>
      </c>
      <c r="AG314" s="20" cm="1">
        <f t="array" ref="AG314">INDEX(GMWQ!$A$2:$LR$60,MATCH(1,(GMWQ!$LQ$2:$LQ$60=AG$3)*(GMWQ!$LP$2:$LP$60=AG$4)*(GMWQ!$LR$2:$LR$60=AG$1),0),$B314-1966)</f>
        <v>-21663.69</v>
      </c>
      <c r="AI314" s="23" cm="1">
        <f t="array" ref="AI314">INDEX(GMWQ!$A$2:$LR$60,MATCH(1,(GMWQ!$LQ$2:$LQ$60=AI$3)*(GMWQ!$LP$2:$LP$60=AI$4)*(GMWQ!$LR$2:$LR$60=AI$1),0),$B314-1966)</f>
        <v>1108657</v>
      </c>
      <c r="AJ314" s="23" cm="1">
        <f t="array" ref="AJ314">INDEX(GMWQ!$A$2:$LR$60,MATCH(1,(GMWQ!$LQ$2:$LQ$60=AJ$3)*(GMWQ!$LP$2:$LP$60=AJ$4)*(GMWQ!$LR$2:$LR$60=AJ$1),0),$B314-1966)</f>
        <v>201.95240000000001</v>
      </c>
      <c r="AK314" s="23" cm="1">
        <f t="array" ref="AK314">INDEX(GMWQ!$A$2:$LR$60,MATCH(1,(GMWQ!$LQ$2:$LQ$60=AK$3)*(GMWQ!$LP$2:$LP$60=AK$4)*(GMWQ!$LR$2:$LR$60=AK$1),0),$B314-1966)</f>
        <v>698766.5</v>
      </c>
      <c r="AL314" s="23" cm="1">
        <f t="array" ref="AL314">INDEX(GMWQ!$A$2:$LR$60,MATCH(1,(GMWQ!$LQ$2:$LQ$60=AL$3)*(GMWQ!$LP$2:$LP$60=AL$4)*(GMWQ!$LR$2:$LR$60=AL$1),0),$B314-1966)</f>
        <v>21174.06</v>
      </c>
      <c r="AM314" s="23" cm="1">
        <f t="array" ref="AM314">INDEX(GMWQ!$A$2:$LR$60,MATCH(1,(GMWQ!$LQ$2:$LQ$60=AM$3)*(GMWQ!$LP$2:$LP$60=AM$4)*(GMWQ!$LR$2:$LR$60=AM$1),0),$B314-1966)</f>
        <v>33001.06</v>
      </c>
      <c r="AN314" s="23" cm="1">
        <f t="array" ref="AN314">INDEX(GMWQ!$A$2:$LR$60,MATCH(1,(GMWQ!$LQ$2:$LQ$60=AN$3)*(GMWQ!$LP$2:$LP$60=AN$4)*(GMWQ!$LR$2:$LR$60=AN$1),0),$B314-1966)</f>
        <v>209544.4</v>
      </c>
      <c r="AO314" s="23" cm="1">
        <f t="array" ref="AO314">INDEX(GMWQ!$A$2:$LR$60,MATCH(1,(GMWQ!$LQ$2:$LQ$60=AO$3)*(GMWQ!$LP$2:$LP$60=AO$4)*(GMWQ!$LR$2:$LR$60=AO$1),0),$B314-1966)</f>
        <v>46992.05</v>
      </c>
      <c r="AP314" s="23" cm="1">
        <f t="array" ref="AP314">INDEX(GMWQ!$A$2:$LR$60,MATCH(1,(GMWQ!$LQ$2:$LQ$60=AP$3)*(GMWQ!$LP$2:$LP$60=AP$4)*(GMWQ!$LR$2:$LR$60=AP$1),0),$B314-1966)</f>
        <v>-21663.69</v>
      </c>
      <c r="AQ314" s="23" cm="1">
        <f t="array" ref="AQ314">INDEX(GMWQ!$A$2:$LR$60,MATCH(1,(GMWQ!$LQ$2:$LQ$60=AQ$3)*(GMWQ!$LP$2:$LP$60=AQ$4)*(GMWQ!$LR$2:$LR$60=AQ$1),0),$B314-1966)</f>
        <v>245063.9</v>
      </c>
      <c r="AR314" s="23" cm="1">
        <f t="array" ref="AR314">INDEX(GMWQ!$A$2:$LR$60,MATCH(1,(GMWQ!$LQ$2:$LQ$60=AR$3)*(GMWQ!$LP$2:$LP$60=AR$4)*(GMWQ!$LR$2:$LR$60=AR$1),0),$B314-1966)</f>
        <v>1023014</v>
      </c>
      <c r="AS314" s="23" cm="1">
        <f t="array" ref="AS314">INDEX(GMWQ!$A$2:$LR$60,MATCH(1,(GMWQ!$LQ$2:$LQ$60=AS$3)*(GMWQ!$LP$2:$LP$60=AS$4)*(GMWQ!$LR$2:$LR$60=AS$1),0),$B314-1966)</f>
        <v>35367.800000000003</v>
      </c>
      <c r="AT314" s="23" cm="1">
        <f t="array" ref="AT314">INDEX(GMWQ!$A$2:$LR$60,MATCH(1,(GMWQ!$LQ$2:$LQ$60=AT$3)*(GMWQ!$LP$2:$LP$60=AT$4)*(GMWQ!$LR$2:$LR$60=AT$1),0),$B314-1966)</f>
        <v>506561.9</v>
      </c>
      <c r="AU314" s="23" cm="1">
        <f t="array" ref="AU314">INDEX(GMWQ!$A$2:$LR$60,MATCH(1,(GMWQ!$LQ$2:$LQ$60=AU$3)*(GMWQ!$LP$2:$LP$60=AU$4)*(GMWQ!$LR$2:$LR$60=AU$1),0),$B314-1966)</f>
        <v>18026.97</v>
      </c>
    </row>
    <row r="315" spans="1:47" x14ac:dyDescent="0.35">
      <c r="A315" s="7">
        <v>2050</v>
      </c>
      <c r="B315" s="7">
        <f t="shared" si="6"/>
        <v>2281</v>
      </c>
      <c r="C315" s="7" cm="1">
        <f t="array" ref="C315">INDEX(GMWQ!$A$2:$LR$60,MATCH(1,(GMWQ!$LQ$2:$LQ$60=C$3)*(GMWQ!$LP$2:$LP$60=C$4)*(GMWQ!$LR$2:$LR$60=C$1),0),$B315-1966)</f>
        <v>846560.2</v>
      </c>
      <c r="D315" s="7" cm="1">
        <f t="array" ref="D315">INDEX(GMWQ!$A$2:$LR$60,MATCH(1,(GMWQ!$LQ$2:$LQ$60=D$3)*(GMWQ!$LP$2:$LP$60=D$4)*(GMWQ!$LR$2:$LR$60=D$1),0),$B315-1966)</f>
        <v>1467.42</v>
      </c>
      <c r="E315" s="7" cm="1">
        <f t="array" ref="E315">INDEX(GMWQ!$A$2:$LR$60,MATCH(1,(GMWQ!$LQ$2:$LQ$60=E$3)*(GMWQ!$LP$2:$LP$60=E$4)*(GMWQ!$LR$2:$LR$60=E$1),0),$B315-1966)</f>
        <v>221.8374</v>
      </c>
      <c r="F315" s="7" cm="1">
        <f t="array" ref="F315">INDEX(GMWQ!$A$2:$LR$60,MATCH(1,(GMWQ!$LQ$2:$LQ$60=F$3)*(GMWQ!$LP$2:$LP$60=F$4)*(GMWQ!$LR$2:$LR$60=F$1),0),$B315-1966)</f>
        <v>704841.5</v>
      </c>
      <c r="G315" s="7" cm="1">
        <f t="array" ref="G315">INDEX(GMWQ!$A$2:$LR$60,MATCH(1,(GMWQ!$LQ$2:$LQ$60=G$3)*(GMWQ!$LP$2:$LP$60=G$4)*(GMWQ!$LR$2:$LR$60=G$1),0),$B315-1966)</f>
        <v>211586.7</v>
      </c>
      <c r="H315" s="7" cm="1">
        <f t="array" ref="H315">INDEX(GMWQ!$A$2:$LR$60,MATCH(1,(GMWQ!$LQ$2:$LQ$60=H$3)*(GMWQ!$LP$2:$LP$60=H$4)*(GMWQ!$LR$2:$LR$60=H$1),0),$B315-1966)</f>
        <v>47400.59</v>
      </c>
      <c r="I315" s="7" cm="1">
        <f t="array" ref="I315">INDEX(GMWQ!$A$2:$LR$60,MATCH(1,(GMWQ!$LQ$2:$LQ$60=I$3)*(GMWQ!$LP$2:$LP$60=I$4)*(GMWQ!$LR$2:$LR$60=I$1),0),$B315-1966)</f>
        <v>202.9545</v>
      </c>
      <c r="J315" s="7" cm="1">
        <f t="array" ref="J315">INDEX(GMWQ!$A$2:$LR$60,MATCH(1,(GMWQ!$LQ$2:$LQ$60=J$3)*(GMWQ!$LP$2:$LP$60=J$4)*(GMWQ!$LR$2:$LR$60=J$1),0),$B315-1966)</f>
        <v>33030.61</v>
      </c>
      <c r="K315" s="7" cm="1">
        <f t="array" ref="K315">INDEX(GMWQ!$A$2:$LR$60,MATCH(1,(GMWQ!$LQ$2:$LQ$60=K$3)*(GMWQ!$LP$2:$LP$60=K$4)*(GMWQ!$LR$2:$LR$60=K$1),0),$B315-1966)</f>
        <v>2</v>
      </c>
      <c r="L315" s="7" cm="1">
        <f t="array" ref="L315">INDEX(GMWQ!$A$2:$LR$60,MATCH(1,(GMWQ!$LQ$2:$LQ$60=L$3)*(GMWQ!$LP$2:$LP$60=L$4)*(GMWQ!$LR$2:$LR$60=L$1),0),$B315-1966)</f>
        <v>3.7499889999999998</v>
      </c>
      <c r="M315" s="7" cm="1">
        <f t="array" ref="M315">INDEX(GMWQ!$A$2:$LR$60,MATCH(1,(GMWQ!$LQ$2:$LQ$60=M$3)*(GMWQ!$LP$2:$LP$60=M$4)*(GMWQ!$LR$2:$LR$60=M$1),0),$B315-1966)</f>
        <v>343.32470000000001</v>
      </c>
      <c r="N315" s="7" cm="1">
        <f t="array" ref="N315">INDEX(GMWQ!$A$2:$LR$60,MATCH(1,(GMWQ!$LQ$2:$LQ$60=N$3)*(GMWQ!$LP$2:$LP$60=N$4)*(GMWQ!$LR$2:$LR$60=N$1),0),$B315-1966)</f>
        <v>49144.28</v>
      </c>
      <c r="O315" s="7" cm="1">
        <f t="array" ref="O315">INDEX(GMWQ!$A$2:$LR$60,MATCH(1,(GMWQ!$LQ$2:$LQ$60=O$3)*(GMWQ!$LP$2:$LP$60=O$4)*(GMWQ!$LR$2:$LR$60=O$1),0),$B315-1966)</f>
        <v>27357.89</v>
      </c>
      <c r="P315" s="7" cm="1">
        <f t="array" ref="P315">INDEX(GMWQ!$A$2:$LR$60,MATCH(1,(GMWQ!$LQ$2:$LQ$60=P$3)*(GMWQ!$LP$2:$LP$60=P$4)*(GMWQ!$LR$2:$LR$60=P$1),0),$B315-1966)</f>
        <v>1118256</v>
      </c>
      <c r="Q315" s="7" cm="1">
        <f t="array" ref="Q315">INDEX(GMWQ!$A$2:$LR$60,MATCH(1,(GMWQ!$LQ$2:$LQ$60=Q$3)*(GMWQ!$LP$2:$LP$60=Q$4)*(GMWQ!$LR$2:$LR$60=Q$1),0),$B315-1966)</f>
        <v>3.5</v>
      </c>
      <c r="R315" s="7" cm="1">
        <f t="array" ref="R315">INDEX(GMWQ!$A$2:$LR$60,MATCH(1,(GMWQ!$LQ$2:$LQ$60=R$3)*(GMWQ!$LP$2:$LP$60=R$4)*(GMWQ!$LR$2:$LR$60=R$1),0),$B315-1966)</f>
        <v>256435.1</v>
      </c>
      <c r="S315" s="7" cm="1">
        <f t="array" ref="S315">INDEX(GMWQ!$A$2:$LR$60,MATCH(1,(GMWQ!$LQ$2:$LQ$60=S$3)*(GMWQ!$LP$2:$LP$60=S$4)*(GMWQ!$LR$2:$LR$60=S$1),0),$B315-1966)</f>
        <v>382.541</v>
      </c>
      <c r="T315" s="7" cm="1">
        <f t="array" ref="T315">INDEX(GMWQ!$A$2:$LR$60,MATCH(1,(GMWQ!$LQ$2:$LQ$60=T$3)*(GMWQ!$LP$2:$LP$60=T$4)*(GMWQ!$LR$2:$LR$60=T$1),0),$B315-1966)</f>
        <v>159528.20000000001</v>
      </c>
      <c r="U315" s="7" cm="1">
        <f t="array" ref="U315">INDEX(GMWQ!$A$2:$LR$60,MATCH(1,(GMWQ!$LQ$2:$LQ$60=U$3)*(GMWQ!$LP$2:$LP$60=U$4)*(GMWQ!$LR$2:$LR$60=U$1),0),$B315-1966)</f>
        <v>15870.67</v>
      </c>
      <c r="V315" s="7" cm="1">
        <f t="array" ref="V315">INDEX(GMWQ!$A$2:$LR$60,MATCH(1,(GMWQ!$LQ$2:$LQ$60=V$3)*(GMWQ!$LP$2:$LP$60=V$4)*(GMWQ!$LR$2:$LR$60=V$1),0),$B315-1966)</f>
        <v>1.3500599999999999E-3</v>
      </c>
      <c r="W315" s="7" cm="1">
        <f t="array" ref="W315">INDEX(GMWQ!$A$2:$LR$60,MATCH(1,(GMWQ!$LQ$2:$LQ$60=W$3)*(GMWQ!$LP$2:$LP$60=W$4)*(GMWQ!$LR$2:$LR$60=W$1),0),$B315-1966)</f>
        <v>9.3167550000000006</v>
      </c>
      <c r="X315" s="7" cm="1">
        <f t="array" ref="X315">INDEX(GMWQ!$A$2:$LR$60,MATCH(1,(GMWQ!$LQ$2:$LQ$60=X$3)*(GMWQ!$LP$2:$LP$60=X$4)*(GMWQ!$LR$2:$LR$60=X$1),0),$B315-1966)</f>
        <v>16846510</v>
      </c>
      <c r="Y315" s="7" cm="1">
        <f t="array" ref="Y315">INDEX(GMWQ!$A$2:$LR$60,MATCH(1,(GMWQ!$LQ$2:$LQ$60=Y$3)*(GMWQ!$LP$2:$LP$60=Y$4)*(GMWQ!$LR$2:$LR$60=Y$1),0),$B315-1966)</f>
        <v>208.98480000000001</v>
      </c>
      <c r="Z315" s="7" cm="1">
        <f t="array" ref="Z315">INDEX(GMWQ!$A$2:$LR$60,MATCH(1,(GMWQ!$LQ$2:$LQ$60=Z$3)*(GMWQ!$LP$2:$LP$60=Z$4)*(GMWQ!$LR$2:$LR$60=Z$1),0),$B315-1966)</f>
        <v>846559.9</v>
      </c>
      <c r="AA315" s="7" cm="1">
        <f t="array" ref="AA315">INDEX(GMWQ!$A$2:$LR$60,MATCH(1,(GMWQ!$LQ$2:$LQ$60=AA$3)*(GMWQ!$LP$2:$LP$60=AA$4)*(GMWQ!$LR$2:$LR$60=AA$1),0),$B315-1966)</f>
        <v>784471.4</v>
      </c>
      <c r="AB315" s="7" cm="1">
        <f t="array" ref="AB315">INDEX(GMWQ!$A$2:$LR$60,MATCH(1,(GMWQ!$LQ$2:$LQ$60=AB$3)*(GMWQ!$LP$2:$LP$60=AB$4)*(GMWQ!$LR$2:$LR$60=AB$1),0),$B315-1966)</f>
        <v>677312.1</v>
      </c>
      <c r="AC315" s="7" cm="1">
        <f t="array" ref="AC315">INDEX(GMWQ!$A$2:$LR$60,MATCH(1,(GMWQ!$LQ$2:$LQ$60=AC$3)*(GMWQ!$LP$2:$LP$60=AC$4)*(GMWQ!$LR$2:$LR$60=AC$1),0),$B315-1966)</f>
        <v>47804.92</v>
      </c>
      <c r="AD315" s="7" cm="1">
        <f t="array" ref="AD315">INDEX(GMWQ!$A$2:$LR$60,MATCH(1,(GMWQ!$LQ$2:$LQ$60=AD$3)*(GMWQ!$LP$2:$LP$60=AD$4)*(GMWQ!$LR$2:$LR$60=AD$1),0),$B315-1966)</f>
        <v>38319.86</v>
      </c>
      <c r="AE315" s="7" cm="1">
        <f t="array" ref="AE315">INDEX(GMWQ!$A$2:$LR$60,MATCH(1,(GMWQ!$LQ$2:$LQ$60=AE$3)*(GMWQ!$LP$2:$LP$60=AE$4)*(GMWQ!$LR$2:$LR$60=AE$1),0),$B315-1966)</f>
        <v>1769182</v>
      </c>
      <c r="AF315" s="20" cm="1">
        <f t="array" ref="AF315">INDEX(GMWQ!$A$2:$LR$60,MATCH(1,(GMWQ!$LQ$2:$LQ$60=AF$3)*(GMWQ!$LP$2:$LP$60=AF$4)*(GMWQ!$LR$2:$LR$60=AF$1),0),$B315-1966)</f>
        <v>2</v>
      </c>
      <c r="AG315" s="20" cm="1">
        <f t="array" ref="AG315">INDEX(GMWQ!$A$2:$LR$60,MATCH(1,(GMWQ!$LQ$2:$LQ$60=AG$3)*(GMWQ!$LP$2:$LP$60=AG$4)*(GMWQ!$LR$2:$LR$60=AG$1),0),$B315-1966)</f>
        <v>-21786.39</v>
      </c>
      <c r="AI315" s="23" cm="1">
        <f t="array" ref="AI315">INDEX(GMWQ!$A$2:$LR$60,MATCH(1,(GMWQ!$LQ$2:$LQ$60=AI$3)*(GMWQ!$LP$2:$LP$60=AI$4)*(GMWQ!$LR$2:$LR$60=AI$1),0),$B315-1966)</f>
        <v>1118256</v>
      </c>
      <c r="AJ315" s="23" cm="1">
        <f t="array" ref="AJ315">INDEX(GMWQ!$A$2:$LR$60,MATCH(1,(GMWQ!$LQ$2:$LQ$60=AJ$3)*(GMWQ!$LP$2:$LP$60=AJ$4)*(GMWQ!$LR$2:$LR$60=AJ$1),0),$B315-1966)</f>
        <v>202.9545</v>
      </c>
      <c r="AK315" s="23" cm="1">
        <f t="array" ref="AK315">INDEX(GMWQ!$A$2:$LR$60,MATCH(1,(GMWQ!$LQ$2:$LQ$60=AK$3)*(GMWQ!$LP$2:$LP$60=AK$4)*(GMWQ!$LR$2:$LR$60=AK$1),0),$B315-1966)</f>
        <v>704841.5</v>
      </c>
      <c r="AL315" s="23" cm="1">
        <f t="array" ref="AL315">INDEX(GMWQ!$A$2:$LR$60,MATCH(1,(GMWQ!$LQ$2:$LQ$60=AL$3)*(GMWQ!$LP$2:$LP$60=AL$4)*(GMWQ!$LR$2:$LR$60=AL$1),0),$B315-1966)</f>
        <v>21339.040000000001</v>
      </c>
      <c r="AM315" s="23" cm="1">
        <f t="array" ref="AM315">INDEX(GMWQ!$A$2:$LR$60,MATCH(1,(GMWQ!$LQ$2:$LQ$60=AM$3)*(GMWQ!$LP$2:$LP$60=AM$4)*(GMWQ!$LR$2:$LR$60=AM$1),0),$B315-1966)</f>
        <v>33030.61</v>
      </c>
      <c r="AN315" s="23" cm="1">
        <f t="array" ref="AN315">INDEX(GMWQ!$A$2:$LR$60,MATCH(1,(GMWQ!$LQ$2:$LQ$60=AN$3)*(GMWQ!$LP$2:$LP$60=AN$4)*(GMWQ!$LR$2:$LR$60=AN$1),0),$B315-1966)</f>
        <v>211586.7</v>
      </c>
      <c r="AO315" s="23" cm="1">
        <f t="array" ref="AO315">INDEX(GMWQ!$A$2:$LR$60,MATCH(1,(GMWQ!$LQ$2:$LQ$60=AO$3)*(GMWQ!$LP$2:$LP$60=AO$4)*(GMWQ!$LR$2:$LR$60=AO$1),0),$B315-1966)</f>
        <v>47400.59</v>
      </c>
      <c r="AP315" s="23" cm="1">
        <f t="array" ref="AP315">INDEX(GMWQ!$A$2:$LR$60,MATCH(1,(GMWQ!$LQ$2:$LQ$60=AP$3)*(GMWQ!$LP$2:$LP$60=AP$4)*(GMWQ!$LR$2:$LR$60=AP$1),0),$B315-1966)</f>
        <v>-21786.39</v>
      </c>
      <c r="AQ315" s="23" cm="1">
        <f t="array" ref="AQ315">INDEX(GMWQ!$A$2:$LR$60,MATCH(1,(GMWQ!$LQ$2:$LQ$60=AQ$3)*(GMWQ!$LP$2:$LP$60=AQ$4)*(GMWQ!$LR$2:$LR$60=AQ$1),0),$B315-1966)</f>
        <v>247316.2</v>
      </c>
      <c r="AR315" s="23" cm="1">
        <f t="array" ref="AR315">INDEX(GMWQ!$A$2:$LR$60,MATCH(1,(GMWQ!$LQ$2:$LQ$60=AR$3)*(GMWQ!$LP$2:$LP$60=AR$4)*(GMWQ!$LR$2:$LR$60=AR$1),0),$B315-1966)</f>
        <v>1031859</v>
      </c>
      <c r="AS315" s="23" cm="1">
        <f t="array" ref="AS315">INDEX(GMWQ!$A$2:$LR$60,MATCH(1,(GMWQ!$LQ$2:$LQ$60=AS$3)*(GMWQ!$LP$2:$LP$60=AS$4)*(GMWQ!$LR$2:$LR$60=AS$1),0),$B315-1966)</f>
        <v>35682.379999999997</v>
      </c>
      <c r="AT315" s="23" cm="1">
        <f t="array" ref="AT315">INDEX(GMWQ!$A$2:$LR$60,MATCH(1,(GMWQ!$LQ$2:$LQ$60=AT$3)*(GMWQ!$LP$2:$LP$60=AT$4)*(GMWQ!$LR$2:$LR$60=AT$1),0),$B315-1966)</f>
        <v>508418.7</v>
      </c>
      <c r="AU315" s="23" cm="1">
        <f t="array" ref="AU315">INDEX(GMWQ!$A$2:$LR$60,MATCH(1,(GMWQ!$LQ$2:$LQ$60=AU$3)*(GMWQ!$LP$2:$LP$60=AU$4)*(GMWQ!$LR$2:$LR$60=AU$1),0),$B315-1966)</f>
        <v>18092.96</v>
      </c>
    </row>
    <row r="316" spans="1:47" x14ac:dyDescent="0.35">
      <c r="B316" s="7">
        <f t="shared" si="6"/>
        <v>2282</v>
      </c>
      <c r="C316" s="7" cm="1">
        <f t="array" ref="C316">INDEX(GMWQ!$A$2:$LR$60,MATCH(1,(GMWQ!$LQ$2:$LQ$60=C$3)*(GMWQ!$LP$2:$LP$60=C$4)*(GMWQ!$LR$2:$LR$60=C$1),0),$B316-1966)</f>
        <v>849655.8</v>
      </c>
      <c r="D316" s="7" cm="1">
        <f t="array" ref="D316">INDEX(GMWQ!$A$2:$LR$60,MATCH(1,(GMWQ!$LQ$2:$LQ$60=D$3)*(GMWQ!$LP$2:$LP$60=D$4)*(GMWQ!$LR$2:$LR$60=D$1),0),$B316-1966)</f>
        <v>1478.85</v>
      </c>
      <c r="E316" s="7" cm="1">
        <f t="array" ref="E316">INDEX(GMWQ!$A$2:$LR$60,MATCH(1,(GMWQ!$LQ$2:$LQ$60=E$3)*(GMWQ!$LP$2:$LP$60=E$4)*(GMWQ!$LR$2:$LR$60=E$1),0),$B316-1966)</f>
        <v>223.86359999999999</v>
      </c>
      <c r="F316" s="7" cm="1">
        <f t="array" ref="F316">INDEX(GMWQ!$A$2:$LR$60,MATCH(1,(GMWQ!$LQ$2:$LQ$60=F$3)*(GMWQ!$LP$2:$LP$60=F$4)*(GMWQ!$LR$2:$LR$60=F$1),0),$B316-1966)</f>
        <v>710966.8</v>
      </c>
      <c r="G316" s="7" cm="1">
        <f t="array" ref="G316">INDEX(GMWQ!$A$2:$LR$60,MATCH(1,(GMWQ!$LQ$2:$LQ$60=G$3)*(GMWQ!$LP$2:$LP$60=G$4)*(GMWQ!$LR$2:$LR$60=G$1),0),$B316-1966)</f>
        <v>212967.3</v>
      </c>
      <c r="H316" s="7" cm="1">
        <f t="array" ref="H316">INDEX(GMWQ!$A$2:$LR$60,MATCH(1,(GMWQ!$LQ$2:$LQ$60=H$3)*(GMWQ!$LP$2:$LP$60=H$4)*(GMWQ!$LR$2:$LR$60=H$1),0),$B316-1966)</f>
        <v>47812.52</v>
      </c>
      <c r="I316" s="7" cm="1">
        <f t="array" ref="I316">INDEX(GMWQ!$A$2:$LR$60,MATCH(1,(GMWQ!$LQ$2:$LQ$60=I$3)*(GMWQ!$LP$2:$LP$60=I$4)*(GMWQ!$LR$2:$LR$60=I$1),0),$B316-1966)</f>
        <v>203.9616</v>
      </c>
      <c r="J316" s="7" cm="1">
        <f t="array" ref="J316">INDEX(GMWQ!$A$2:$LR$60,MATCH(1,(GMWQ!$LQ$2:$LQ$60=J$3)*(GMWQ!$LP$2:$LP$60=J$4)*(GMWQ!$LR$2:$LR$60=J$1),0),$B316-1966)</f>
        <v>33060.15</v>
      </c>
      <c r="K316" s="7" cm="1">
        <f t="array" ref="K316">INDEX(GMWQ!$A$2:$LR$60,MATCH(1,(GMWQ!$LQ$2:$LQ$60=K$3)*(GMWQ!$LP$2:$LP$60=K$4)*(GMWQ!$LR$2:$LR$60=K$1),0),$B316-1966)</f>
        <v>2</v>
      </c>
      <c r="L316" s="7" cm="1">
        <f t="array" ref="L316">INDEX(GMWQ!$A$2:$LR$60,MATCH(1,(GMWQ!$LQ$2:$LQ$60=L$3)*(GMWQ!$LP$2:$LP$60=L$4)*(GMWQ!$LR$2:$LR$60=L$1),0),$B316-1966)</f>
        <v>3.750016</v>
      </c>
      <c r="M316" s="7" cm="1">
        <f t="array" ref="M316">INDEX(GMWQ!$A$2:$LR$60,MATCH(1,(GMWQ!$LQ$2:$LQ$60=M$3)*(GMWQ!$LP$2:$LP$60=M$4)*(GMWQ!$LR$2:$LR$60=M$1),0),$B316-1966)</f>
        <v>346.29719999999998</v>
      </c>
      <c r="N316" s="7" cm="1">
        <f t="array" ref="N316">INDEX(GMWQ!$A$2:$LR$60,MATCH(1,(GMWQ!$LQ$2:$LQ$60=N$3)*(GMWQ!$LP$2:$LP$60=N$4)*(GMWQ!$LR$2:$LR$60=N$1),0),$B316-1966)</f>
        <v>49486.97</v>
      </c>
      <c r="O316" s="7" cm="1">
        <f t="array" ref="O316">INDEX(GMWQ!$A$2:$LR$60,MATCH(1,(GMWQ!$LQ$2:$LQ$60=O$3)*(GMWQ!$LP$2:$LP$60=O$4)*(GMWQ!$LR$2:$LR$60=O$1),0),$B316-1966)</f>
        <v>27583.46</v>
      </c>
      <c r="P316" s="7" cm="1">
        <f t="array" ref="P316">INDEX(GMWQ!$A$2:$LR$60,MATCH(1,(GMWQ!$LQ$2:$LQ$60=P$3)*(GMWQ!$LP$2:$LP$60=P$4)*(GMWQ!$LR$2:$LR$60=P$1),0),$B316-1966)</f>
        <v>1127934</v>
      </c>
      <c r="Q316" s="7" cm="1">
        <f t="array" ref="Q316">INDEX(GMWQ!$A$2:$LR$60,MATCH(1,(GMWQ!$LQ$2:$LQ$60=Q$3)*(GMWQ!$LP$2:$LP$60=Q$4)*(GMWQ!$LR$2:$LR$60=Q$1),0),$B316-1966)</f>
        <v>3.5</v>
      </c>
      <c r="R316" s="7" cm="1">
        <f t="array" ref="R316">INDEX(GMWQ!$A$2:$LR$60,MATCH(1,(GMWQ!$LQ$2:$LQ$60=R$3)*(GMWQ!$LP$2:$LP$60=R$4)*(GMWQ!$LR$2:$LR$60=R$1),0),$B316-1966)</f>
        <v>256432.9</v>
      </c>
      <c r="S316" s="7" cm="1">
        <f t="array" ref="S316">INDEX(GMWQ!$A$2:$LR$60,MATCH(1,(GMWQ!$LQ$2:$LQ$60=S$3)*(GMWQ!$LP$2:$LP$60=S$4)*(GMWQ!$LR$2:$LR$60=S$1),0),$B316-1966)</f>
        <v>382.5378</v>
      </c>
      <c r="T316" s="7" cm="1">
        <f t="array" ref="T316">INDEX(GMWQ!$A$2:$LR$60,MATCH(1,(GMWQ!$LQ$2:$LQ$60=T$3)*(GMWQ!$LP$2:$LP$60=T$4)*(GMWQ!$LR$2:$LR$60=T$1),0),$B316-1966)</f>
        <v>160130.6</v>
      </c>
      <c r="U316" s="7" cm="1">
        <f t="array" ref="U316">INDEX(GMWQ!$A$2:$LR$60,MATCH(1,(GMWQ!$LQ$2:$LQ$60=U$3)*(GMWQ!$LP$2:$LP$60=U$4)*(GMWQ!$LR$2:$LR$60=U$1),0),$B316-1966)</f>
        <v>15859.75</v>
      </c>
      <c r="V316" s="7" cm="1">
        <f t="array" ref="V316">INDEX(GMWQ!$A$2:$LR$60,MATCH(1,(GMWQ!$LQ$2:$LQ$60=V$3)*(GMWQ!$LP$2:$LP$60=V$4)*(GMWQ!$LR$2:$LR$60=V$1),0),$B316-1966)</f>
        <v>1.3498130000000001E-3</v>
      </c>
      <c r="W316" s="7" cm="1">
        <f t="array" ref="W316">INDEX(GMWQ!$A$2:$LR$60,MATCH(1,(GMWQ!$LQ$2:$LQ$60=W$3)*(GMWQ!$LP$2:$LP$60=W$4)*(GMWQ!$LR$2:$LR$60=W$1),0),$B316-1966)</f>
        <v>9.3947509999999994</v>
      </c>
      <c r="X316" s="7" cm="1">
        <f t="array" ref="X316">INDEX(GMWQ!$A$2:$LR$60,MATCH(1,(GMWQ!$LQ$2:$LQ$60=X$3)*(GMWQ!$LP$2:$LP$60=X$4)*(GMWQ!$LR$2:$LR$60=X$1),0),$B316-1966)</f>
        <v>17046330</v>
      </c>
      <c r="Y316" s="7" cm="1">
        <f t="array" ref="Y316">INDEX(GMWQ!$A$2:$LR$60,MATCH(1,(GMWQ!$LQ$2:$LQ$60=Y$3)*(GMWQ!$LP$2:$LP$60=Y$4)*(GMWQ!$LR$2:$LR$60=Y$1),0),$B316-1966)</f>
        <v>210.11859999999999</v>
      </c>
      <c r="Z316" s="7" cm="1">
        <f t="array" ref="Z316">INDEX(GMWQ!$A$2:$LR$60,MATCH(1,(GMWQ!$LQ$2:$LQ$60=Z$3)*(GMWQ!$LP$2:$LP$60=Z$4)*(GMWQ!$LR$2:$LR$60=Z$1),0),$B316-1966)</f>
        <v>849654.4</v>
      </c>
      <c r="AA316" s="7" cm="1">
        <f t="array" ref="AA316">INDEX(GMWQ!$A$2:$LR$60,MATCH(1,(GMWQ!$LQ$2:$LQ$60=AA$3)*(GMWQ!$LP$2:$LP$60=AA$4)*(GMWQ!$LR$2:$LR$60=AA$1),0),$B316-1966)</f>
        <v>727887.6</v>
      </c>
      <c r="AB316" s="7" cm="1">
        <f t="array" ref="AB316">INDEX(GMWQ!$A$2:$LR$60,MATCH(1,(GMWQ!$LQ$2:$LQ$60=AB$3)*(GMWQ!$LP$2:$LP$60=AB$4)*(GMWQ!$LR$2:$LR$60=AB$1),0),$B316-1966)</f>
        <v>692750.1</v>
      </c>
      <c r="AC316" s="7" cm="1">
        <f t="array" ref="AC316">INDEX(GMWQ!$A$2:$LR$60,MATCH(1,(GMWQ!$LQ$2:$LQ$60=AC$3)*(GMWQ!$LP$2:$LP$60=AC$4)*(GMWQ!$LR$2:$LR$60=AC$1),0),$B316-1966)</f>
        <v>22993.89</v>
      </c>
      <c r="AD316" s="7" cm="1">
        <f t="array" ref="AD316">INDEX(GMWQ!$A$2:$LR$60,MATCH(1,(GMWQ!$LQ$2:$LQ$60=AD$3)*(GMWQ!$LP$2:$LP$60=AD$4)*(GMWQ!$LR$2:$LR$60=AD$1),0),$B316-1966)</f>
        <v>39735.040000000001</v>
      </c>
      <c r="AE316" s="7" cm="1">
        <f t="array" ref="AE316">INDEX(GMWQ!$A$2:$LR$60,MATCH(1,(GMWQ!$LQ$2:$LQ$60=AE$3)*(GMWQ!$LP$2:$LP$60=AE$4)*(GMWQ!$LR$2:$LR$60=AE$1),0),$B316-1966)</f>
        <v>1785285</v>
      </c>
      <c r="AF316" s="20" cm="1">
        <f t="array" ref="AF316">INDEX(GMWQ!$A$2:$LR$60,MATCH(1,(GMWQ!$LQ$2:$LQ$60=AF$3)*(GMWQ!$LP$2:$LP$60=AF$4)*(GMWQ!$LR$2:$LR$60=AF$1),0),$B316-1966)</f>
        <v>2</v>
      </c>
      <c r="AG316" s="20" cm="1">
        <f t="array" ref="AG316">INDEX(GMWQ!$A$2:$LR$60,MATCH(1,(GMWQ!$LQ$2:$LQ$60=AG$3)*(GMWQ!$LP$2:$LP$60=AG$4)*(GMWQ!$LR$2:$LR$60=AG$1),0),$B316-1966)</f>
        <v>-21903.51</v>
      </c>
      <c r="AI316" s="23" cm="1">
        <f t="array" ref="AI316">INDEX(GMWQ!$A$2:$LR$60,MATCH(1,(GMWQ!$LQ$2:$LQ$60=AI$3)*(GMWQ!$LP$2:$LP$60=AI$4)*(GMWQ!$LR$2:$LR$60=AI$1),0),$B316-1966)</f>
        <v>1127934</v>
      </c>
      <c r="AJ316" s="23" cm="1">
        <f t="array" ref="AJ316">INDEX(GMWQ!$A$2:$LR$60,MATCH(1,(GMWQ!$LQ$2:$LQ$60=AJ$3)*(GMWQ!$LP$2:$LP$60=AJ$4)*(GMWQ!$LR$2:$LR$60=AJ$1),0),$B316-1966)</f>
        <v>203.9616</v>
      </c>
      <c r="AK316" s="23" cm="1">
        <f t="array" ref="AK316">INDEX(GMWQ!$A$2:$LR$60,MATCH(1,(GMWQ!$LQ$2:$LQ$60=AK$3)*(GMWQ!$LP$2:$LP$60=AK$4)*(GMWQ!$LR$2:$LR$60=AK$1),0),$B316-1966)</f>
        <v>710966.8</v>
      </c>
      <c r="AL316" s="23" cm="1">
        <f t="array" ref="AL316">INDEX(GMWQ!$A$2:$LR$60,MATCH(1,(GMWQ!$LQ$2:$LQ$60=AL$3)*(GMWQ!$LP$2:$LP$60=AL$4)*(GMWQ!$LR$2:$LR$60=AL$1),0),$B316-1966)</f>
        <v>21505.25</v>
      </c>
      <c r="AM316" s="23" cm="1">
        <f t="array" ref="AM316">INDEX(GMWQ!$A$2:$LR$60,MATCH(1,(GMWQ!$LQ$2:$LQ$60=AM$3)*(GMWQ!$LP$2:$LP$60=AM$4)*(GMWQ!$LR$2:$LR$60=AM$1),0),$B316-1966)</f>
        <v>33060.15</v>
      </c>
      <c r="AN316" s="23" cm="1">
        <f t="array" ref="AN316">INDEX(GMWQ!$A$2:$LR$60,MATCH(1,(GMWQ!$LQ$2:$LQ$60=AN$3)*(GMWQ!$LP$2:$LP$60=AN$4)*(GMWQ!$LR$2:$LR$60=AN$1),0),$B316-1966)</f>
        <v>212967.3</v>
      </c>
      <c r="AO316" s="23" cm="1">
        <f t="array" ref="AO316">INDEX(GMWQ!$A$2:$LR$60,MATCH(1,(GMWQ!$LQ$2:$LQ$60=AO$3)*(GMWQ!$LP$2:$LP$60=AO$4)*(GMWQ!$LR$2:$LR$60=AO$1),0),$B316-1966)</f>
        <v>47812.52</v>
      </c>
      <c r="AP316" s="23" cm="1">
        <f t="array" ref="AP316">INDEX(GMWQ!$A$2:$LR$60,MATCH(1,(GMWQ!$LQ$2:$LQ$60=AP$3)*(GMWQ!$LP$2:$LP$60=AP$4)*(GMWQ!$LR$2:$LR$60=AP$1),0),$B316-1966)</f>
        <v>-21903.51</v>
      </c>
      <c r="AQ316" s="23" cm="1">
        <f t="array" ref="AQ316">INDEX(GMWQ!$A$2:$LR$60,MATCH(1,(GMWQ!$LQ$2:$LQ$60=AQ$3)*(GMWQ!$LP$2:$LP$60=AQ$4)*(GMWQ!$LR$2:$LR$60=AQ$1),0),$B316-1966)</f>
        <v>249587.20000000001</v>
      </c>
      <c r="AR316" s="23" cm="1">
        <f t="array" ref="AR316">INDEX(GMWQ!$A$2:$LR$60,MATCH(1,(GMWQ!$LQ$2:$LQ$60=AR$3)*(GMWQ!$LP$2:$LP$60=AR$4)*(GMWQ!$LR$2:$LR$60=AR$1),0),$B316-1966)</f>
        <v>1040776</v>
      </c>
      <c r="AS316" s="23" cm="1">
        <f t="array" ref="AS316">INDEX(GMWQ!$A$2:$LR$60,MATCH(1,(GMWQ!$LQ$2:$LQ$60=AS$3)*(GMWQ!$LP$2:$LP$60=AS$4)*(GMWQ!$LR$2:$LR$60=AS$1),0),$B316-1966)</f>
        <v>35999.53</v>
      </c>
      <c r="AT316" s="23" cm="1">
        <f t="array" ref="AT316">INDEX(GMWQ!$A$2:$LR$60,MATCH(1,(GMWQ!$LQ$2:$LQ$60=AT$3)*(GMWQ!$LP$2:$LP$60=AT$4)*(GMWQ!$LR$2:$LR$60=AT$1),0),$B316-1966)</f>
        <v>510280.3</v>
      </c>
      <c r="AU316" s="23" cm="1">
        <f t="array" ref="AU316">INDEX(GMWQ!$A$2:$LR$60,MATCH(1,(GMWQ!$LQ$2:$LQ$60=AU$3)*(GMWQ!$LP$2:$LP$60=AU$4)*(GMWQ!$LR$2:$LR$60=AU$1),0),$B316-1966)</f>
        <v>18159.12</v>
      </c>
    </row>
    <row r="317" spans="1:47" x14ac:dyDescent="0.35">
      <c r="B317" s="7">
        <f t="shared" si="6"/>
        <v>2283</v>
      </c>
      <c r="C317" s="7" cm="1">
        <f t="array" ref="C317">INDEX(GMWQ!$A$2:$LR$60,MATCH(1,(GMWQ!$LQ$2:$LQ$60=C$3)*(GMWQ!$LP$2:$LP$60=C$4)*(GMWQ!$LR$2:$LR$60=C$1),0),$B317-1966)</f>
        <v>852759.1</v>
      </c>
      <c r="D317" s="7" cm="1">
        <f t="array" ref="D317">INDEX(GMWQ!$A$2:$LR$60,MATCH(1,(GMWQ!$LQ$2:$LQ$60=D$3)*(GMWQ!$LP$2:$LP$60=D$4)*(GMWQ!$LR$2:$LR$60=D$1),0),$B317-1966)</f>
        <v>1490.3630000000001</v>
      </c>
      <c r="E317" s="7" cm="1">
        <f t="array" ref="E317">INDEX(GMWQ!$A$2:$LR$60,MATCH(1,(GMWQ!$LQ$2:$LQ$60=E$3)*(GMWQ!$LP$2:$LP$60=E$4)*(GMWQ!$LR$2:$LR$60=E$1),0),$B317-1966)</f>
        <v>225.0866</v>
      </c>
      <c r="F317" s="7" cm="1">
        <f t="array" ref="F317">INDEX(GMWQ!$A$2:$LR$60,MATCH(1,(GMWQ!$LQ$2:$LQ$60=F$3)*(GMWQ!$LP$2:$LP$60=F$4)*(GMWQ!$LR$2:$LR$60=F$1),0),$B317-1966)</f>
        <v>717142.4</v>
      </c>
      <c r="G317" s="7" cm="1">
        <f t="array" ref="G317">INDEX(GMWQ!$A$2:$LR$60,MATCH(1,(GMWQ!$LQ$2:$LQ$60=G$3)*(GMWQ!$LP$2:$LP$60=G$4)*(GMWQ!$LR$2:$LR$60=G$1),0),$B317-1966)</f>
        <v>215042.5</v>
      </c>
      <c r="H317" s="7" cm="1">
        <f t="array" ref="H317">INDEX(GMWQ!$A$2:$LR$60,MATCH(1,(GMWQ!$LQ$2:$LQ$60=H$3)*(GMWQ!$LP$2:$LP$60=H$4)*(GMWQ!$LR$2:$LR$60=H$1),0),$B317-1966)</f>
        <v>48227.82</v>
      </c>
      <c r="I317" s="7" cm="1">
        <f t="array" ref="I317">INDEX(GMWQ!$A$2:$LR$60,MATCH(1,(GMWQ!$LQ$2:$LQ$60=I$3)*(GMWQ!$LP$2:$LP$60=I$4)*(GMWQ!$LR$2:$LR$60=I$1),0),$B317-1966)</f>
        <v>204.9736</v>
      </c>
      <c r="J317" s="7" cm="1">
        <f t="array" ref="J317">INDEX(GMWQ!$A$2:$LR$60,MATCH(1,(GMWQ!$LQ$2:$LQ$60=J$3)*(GMWQ!$LP$2:$LP$60=J$4)*(GMWQ!$LR$2:$LR$60=J$1),0),$B317-1966)</f>
        <v>33089.699999999997</v>
      </c>
      <c r="K317" s="7" cm="1">
        <f t="array" ref="K317">INDEX(GMWQ!$A$2:$LR$60,MATCH(1,(GMWQ!$LQ$2:$LQ$60=K$3)*(GMWQ!$LP$2:$LP$60=K$4)*(GMWQ!$LR$2:$LR$60=K$1),0),$B317-1966)</f>
        <v>2</v>
      </c>
      <c r="L317" s="7" cm="1">
        <f t="array" ref="L317">INDEX(GMWQ!$A$2:$LR$60,MATCH(1,(GMWQ!$LQ$2:$LQ$60=L$3)*(GMWQ!$LP$2:$LP$60=L$4)*(GMWQ!$LR$2:$LR$60=L$1),0),$B317-1966)</f>
        <v>3.7500149999999999</v>
      </c>
      <c r="M317" s="7" cm="1">
        <f t="array" ref="M317">INDEX(GMWQ!$A$2:$LR$60,MATCH(1,(GMWQ!$LQ$2:$LQ$60=M$3)*(GMWQ!$LP$2:$LP$60=M$4)*(GMWQ!$LR$2:$LR$60=M$1),0),$B317-1966)</f>
        <v>349.29410000000001</v>
      </c>
      <c r="N317" s="7" cm="1">
        <f t="array" ref="N317">INDEX(GMWQ!$A$2:$LR$60,MATCH(1,(GMWQ!$LQ$2:$LQ$60=N$3)*(GMWQ!$LP$2:$LP$60=N$4)*(GMWQ!$LR$2:$LR$60=N$1),0),$B317-1966)</f>
        <v>49831.38</v>
      </c>
      <c r="O317" s="7" cm="1">
        <f t="array" ref="O317">INDEX(GMWQ!$A$2:$LR$60,MATCH(1,(GMWQ!$LQ$2:$LQ$60=O$3)*(GMWQ!$LP$2:$LP$60=O$4)*(GMWQ!$LR$2:$LR$60=O$1),0),$B317-1966)</f>
        <v>27816.18</v>
      </c>
      <c r="P317" s="7" cm="1">
        <f t="array" ref="P317">INDEX(GMWQ!$A$2:$LR$60,MATCH(1,(GMWQ!$LQ$2:$LQ$60=P$3)*(GMWQ!$LP$2:$LP$60=P$4)*(GMWQ!$LR$2:$LR$60=P$1),0),$B317-1966)</f>
        <v>1137690</v>
      </c>
      <c r="Q317" s="7" cm="1">
        <f t="array" ref="Q317">INDEX(GMWQ!$A$2:$LR$60,MATCH(1,(GMWQ!$LQ$2:$LQ$60=Q$3)*(GMWQ!$LP$2:$LP$60=Q$4)*(GMWQ!$LR$2:$LR$60=Q$1),0),$B317-1966)</f>
        <v>3.5</v>
      </c>
      <c r="R317" s="7" cm="1">
        <f t="array" ref="R317">INDEX(GMWQ!$A$2:$LR$60,MATCH(1,(GMWQ!$LQ$2:$LQ$60=R$3)*(GMWQ!$LP$2:$LP$60=R$4)*(GMWQ!$LR$2:$LR$60=R$1),0),$B317-1966)</f>
        <v>256430.4</v>
      </c>
      <c r="S317" s="7" cm="1">
        <f t="array" ref="S317">INDEX(GMWQ!$A$2:$LR$60,MATCH(1,(GMWQ!$LQ$2:$LQ$60=S$3)*(GMWQ!$LP$2:$LP$60=S$4)*(GMWQ!$LR$2:$LR$60=S$1),0),$B317-1966)</f>
        <v>382.53410000000002</v>
      </c>
      <c r="T317" s="7" cm="1">
        <f t="array" ref="T317">INDEX(GMWQ!$A$2:$LR$60,MATCH(1,(GMWQ!$LQ$2:$LQ$60=T$3)*(GMWQ!$LP$2:$LP$60=T$4)*(GMWQ!$LR$2:$LR$60=T$1),0),$B317-1966)</f>
        <v>160734.79999999999</v>
      </c>
      <c r="U317" s="7" cm="1">
        <f t="array" ref="U317">INDEX(GMWQ!$A$2:$LR$60,MATCH(1,(GMWQ!$LQ$2:$LQ$60=U$3)*(GMWQ!$LP$2:$LP$60=U$4)*(GMWQ!$LR$2:$LR$60=U$1),0),$B317-1966)</f>
        <v>15851.14</v>
      </c>
      <c r="V317" s="7" cm="1">
        <f t="array" ref="V317">INDEX(GMWQ!$A$2:$LR$60,MATCH(1,(GMWQ!$LQ$2:$LQ$60=V$3)*(GMWQ!$LP$2:$LP$60=V$4)*(GMWQ!$LR$2:$LR$60=V$1),0),$B317-1966)</f>
        <v>1.349582E-3</v>
      </c>
      <c r="W317" s="7" cm="1">
        <f t="array" ref="W317">INDEX(GMWQ!$A$2:$LR$60,MATCH(1,(GMWQ!$LQ$2:$LQ$60=W$3)*(GMWQ!$LP$2:$LP$60=W$4)*(GMWQ!$LR$2:$LR$60=W$1),0),$B317-1966)</f>
        <v>9.3889150000000008</v>
      </c>
      <c r="X317" s="7" cm="1">
        <f t="array" ref="X317">INDEX(GMWQ!$A$2:$LR$60,MATCH(1,(GMWQ!$LQ$2:$LQ$60=X$3)*(GMWQ!$LP$2:$LP$60=X$4)*(GMWQ!$LR$2:$LR$60=X$1),0),$B317-1966)</f>
        <v>17222340</v>
      </c>
      <c r="Y317" s="7" cm="1">
        <f t="array" ref="Y317">INDEX(GMWQ!$A$2:$LR$60,MATCH(1,(GMWQ!$LQ$2:$LQ$60=Y$3)*(GMWQ!$LP$2:$LP$60=Y$4)*(GMWQ!$LR$2:$LR$60=Y$1),0),$B317-1966)</f>
        <v>211.25839999999999</v>
      </c>
      <c r="Z317" s="7" cm="1">
        <f t="array" ref="Z317">INDEX(GMWQ!$A$2:$LR$60,MATCH(1,(GMWQ!$LQ$2:$LQ$60=Z$3)*(GMWQ!$LP$2:$LP$60=Z$4)*(GMWQ!$LR$2:$LR$60=Z$1),0),$B317-1966)</f>
        <v>852759.5</v>
      </c>
      <c r="AA317" s="7" cm="1">
        <f t="array" ref="AA317">INDEX(GMWQ!$A$2:$LR$60,MATCH(1,(GMWQ!$LQ$2:$LQ$60=AA$3)*(GMWQ!$LP$2:$LP$60=AA$4)*(GMWQ!$LR$2:$LR$60=AA$1),0),$B317-1966)</f>
        <v>750723.4</v>
      </c>
      <c r="AB317" s="7" cm="1">
        <f t="array" ref="AB317">INDEX(GMWQ!$A$2:$LR$60,MATCH(1,(GMWQ!$LQ$2:$LQ$60=AB$3)*(GMWQ!$LP$2:$LP$60=AB$4)*(GMWQ!$LR$2:$LR$60=AB$1),0),$B317-1966)</f>
        <v>698722.7</v>
      </c>
      <c r="AC317" s="7" cm="1">
        <f t="array" ref="AC317">INDEX(GMWQ!$A$2:$LR$60,MATCH(1,(GMWQ!$LQ$2:$LQ$60=AC$3)*(GMWQ!$LP$2:$LP$60=AC$4)*(GMWQ!$LR$2:$LR$60=AC$1),0),$B317-1966)</f>
        <v>26177.95</v>
      </c>
      <c r="AD317" s="7" cm="1">
        <f t="array" ref="AD317">INDEX(GMWQ!$A$2:$LR$60,MATCH(1,(GMWQ!$LQ$2:$LQ$60=AD$3)*(GMWQ!$LP$2:$LP$60=AD$4)*(GMWQ!$LR$2:$LR$60=AD$1),0),$B317-1966)</f>
        <v>39735.040000000001</v>
      </c>
      <c r="AE317" s="7" cm="1">
        <f t="array" ref="AE317">INDEX(GMWQ!$A$2:$LR$60,MATCH(1,(GMWQ!$LQ$2:$LQ$60=AE$3)*(GMWQ!$LP$2:$LP$60=AE$4)*(GMWQ!$LR$2:$LR$60=AE$1),0),$B317-1966)</f>
        <v>1801526</v>
      </c>
      <c r="AF317" s="20" cm="1">
        <f t="array" ref="AF317">INDEX(GMWQ!$A$2:$LR$60,MATCH(1,(GMWQ!$LQ$2:$LQ$60=AF$3)*(GMWQ!$LP$2:$LP$60=AF$4)*(GMWQ!$LR$2:$LR$60=AF$1),0),$B317-1966)</f>
        <v>2</v>
      </c>
      <c r="AG317" s="20" cm="1">
        <f t="array" ref="AG317">INDEX(GMWQ!$A$2:$LR$60,MATCH(1,(GMWQ!$LQ$2:$LQ$60=AG$3)*(GMWQ!$LP$2:$LP$60=AG$4)*(GMWQ!$LR$2:$LR$60=AG$1),0),$B317-1966)</f>
        <v>-22015.200000000001</v>
      </c>
      <c r="AI317" s="23" cm="1">
        <f t="array" ref="AI317">INDEX(GMWQ!$A$2:$LR$60,MATCH(1,(GMWQ!$LQ$2:$LQ$60=AI$3)*(GMWQ!$LP$2:$LP$60=AI$4)*(GMWQ!$LR$2:$LR$60=AI$1),0),$B317-1966)</f>
        <v>1137690</v>
      </c>
      <c r="AJ317" s="23" cm="1">
        <f t="array" ref="AJ317">INDEX(GMWQ!$A$2:$LR$60,MATCH(1,(GMWQ!$LQ$2:$LQ$60=AJ$3)*(GMWQ!$LP$2:$LP$60=AJ$4)*(GMWQ!$LR$2:$LR$60=AJ$1),0),$B317-1966)</f>
        <v>204.9736</v>
      </c>
      <c r="AK317" s="23" cm="1">
        <f t="array" ref="AK317">INDEX(GMWQ!$A$2:$LR$60,MATCH(1,(GMWQ!$LQ$2:$LQ$60=AK$3)*(GMWQ!$LP$2:$LP$60=AK$4)*(GMWQ!$LR$2:$LR$60=AK$1),0),$B317-1966)</f>
        <v>717142.4</v>
      </c>
      <c r="AL317" s="23" cm="1">
        <f t="array" ref="AL317">INDEX(GMWQ!$A$2:$LR$60,MATCH(1,(GMWQ!$LQ$2:$LQ$60=AL$3)*(GMWQ!$LP$2:$LP$60=AL$4)*(GMWQ!$LR$2:$LR$60=AL$1),0),$B317-1966)</f>
        <v>21672.68</v>
      </c>
      <c r="AM317" s="23" cm="1">
        <f t="array" ref="AM317">INDEX(GMWQ!$A$2:$LR$60,MATCH(1,(GMWQ!$LQ$2:$LQ$60=AM$3)*(GMWQ!$LP$2:$LP$60=AM$4)*(GMWQ!$LR$2:$LR$60=AM$1),0),$B317-1966)</f>
        <v>33089.699999999997</v>
      </c>
      <c r="AN317" s="23" cm="1">
        <f t="array" ref="AN317">INDEX(GMWQ!$A$2:$LR$60,MATCH(1,(GMWQ!$LQ$2:$LQ$60=AN$3)*(GMWQ!$LP$2:$LP$60=AN$4)*(GMWQ!$LR$2:$LR$60=AN$1),0),$B317-1966)</f>
        <v>215042.5</v>
      </c>
      <c r="AO317" s="23" cm="1">
        <f t="array" ref="AO317">INDEX(GMWQ!$A$2:$LR$60,MATCH(1,(GMWQ!$LQ$2:$LQ$60=AO$3)*(GMWQ!$LP$2:$LP$60=AO$4)*(GMWQ!$LR$2:$LR$60=AO$1),0),$B317-1966)</f>
        <v>48227.82</v>
      </c>
      <c r="AP317" s="23" cm="1">
        <f t="array" ref="AP317">INDEX(GMWQ!$A$2:$LR$60,MATCH(1,(GMWQ!$LQ$2:$LQ$60=AP$3)*(GMWQ!$LP$2:$LP$60=AP$4)*(GMWQ!$LR$2:$LR$60=AP$1),0),$B317-1966)</f>
        <v>-22015.200000000001</v>
      </c>
      <c r="AQ317" s="23" cm="1">
        <f t="array" ref="AQ317">INDEX(GMWQ!$A$2:$LR$60,MATCH(1,(GMWQ!$LQ$2:$LQ$60=AQ$3)*(GMWQ!$LP$2:$LP$60=AQ$4)*(GMWQ!$LR$2:$LR$60=AQ$1),0),$B317-1966)</f>
        <v>251885.9</v>
      </c>
      <c r="AR317" s="23" cm="1">
        <f t="array" ref="AR317">INDEX(GMWQ!$A$2:$LR$60,MATCH(1,(GMWQ!$LQ$2:$LQ$60=AR$3)*(GMWQ!$LP$2:$LP$60=AR$4)*(GMWQ!$LR$2:$LR$60=AR$1),0),$B317-1966)</f>
        <v>1049766</v>
      </c>
      <c r="AS317" s="23" cm="1">
        <f t="array" ref="AS317">INDEX(GMWQ!$A$2:$LR$60,MATCH(1,(GMWQ!$LQ$2:$LQ$60=AS$3)*(GMWQ!$LP$2:$LP$60=AS$4)*(GMWQ!$LR$2:$LR$60=AS$1),0),$B317-1966)</f>
        <v>36319.26</v>
      </c>
      <c r="AT317" s="23" cm="1">
        <f t="array" ref="AT317">INDEX(GMWQ!$A$2:$LR$60,MATCH(1,(GMWQ!$LQ$2:$LQ$60=AT$3)*(GMWQ!$LP$2:$LP$60=AT$4)*(GMWQ!$LR$2:$LR$60=AT$1),0),$B317-1966)</f>
        <v>512146.7</v>
      </c>
      <c r="AU317" s="23" cm="1">
        <f t="array" ref="AU317">INDEX(GMWQ!$A$2:$LR$60,MATCH(1,(GMWQ!$LQ$2:$LQ$60=AU$3)*(GMWQ!$LP$2:$LP$60=AU$4)*(GMWQ!$LR$2:$LR$60=AU$1),0),$B317-1966)</f>
        <v>18225.45</v>
      </c>
    </row>
    <row r="318" spans="1:47" x14ac:dyDescent="0.35">
      <c r="B318" s="7">
        <f t="shared" si="6"/>
        <v>2284</v>
      </c>
      <c r="C318" s="7" cm="1">
        <f t="array" ref="C318">INDEX(GMWQ!$A$2:$LR$60,MATCH(1,(GMWQ!$LQ$2:$LQ$60=C$3)*(GMWQ!$LP$2:$LP$60=C$4)*(GMWQ!$LR$2:$LR$60=C$1),0),$B318-1966)</f>
        <v>855870.4</v>
      </c>
      <c r="D318" s="7" cm="1">
        <f t="array" ref="D318">INDEX(GMWQ!$A$2:$LR$60,MATCH(1,(GMWQ!$LQ$2:$LQ$60=D$3)*(GMWQ!$LP$2:$LP$60=D$4)*(GMWQ!$LR$2:$LR$60=D$1),0),$B318-1966)</f>
        <v>1501.962</v>
      </c>
      <c r="E318" s="7" cm="1">
        <f t="array" ref="E318">INDEX(GMWQ!$A$2:$LR$60,MATCH(1,(GMWQ!$LQ$2:$LQ$60=E$3)*(GMWQ!$LP$2:$LP$60=E$4)*(GMWQ!$LR$2:$LR$60=E$1),0),$B318-1966)</f>
        <v>226.03729999999999</v>
      </c>
      <c r="F318" s="7" cm="1">
        <f t="array" ref="F318">INDEX(GMWQ!$A$2:$LR$60,MATCH(1,(GMWQ!$LQ$2:$LQ$60=F$3)*(GMWQ!$LP$2:$LP$60=F$4)*(GMWQ!$LR$2:$LR$60=F$1),0),$B318-1966)</f>
        <v>723368.7</v>
      </c>
      <c r="G318" s="7" cm="1">
        <f t="array" ref="G318">INDEX(GMWQ!$A$2:$LR$60,MATCH(1,(GMWQ!$LQ$2:$LQ$60=G$3)*(GMWQ!$LP$2:$LP$60=G$4)*(GMWQ!$LR$2:$LR$60=G$1),0),$B318-1966)</f>
        <v>217133.8</v>
      </c>
      <c r="H318" s="7" cm="1">
        <f t="array" ref="H318">INDEX(GMWQ!$A$2:$LR$60,MATCH(1,(GMWQ!$LQ$2:$LQ$60=H$3)*(GMWQ!$LP$2:$LP$60=H$4)*(GMWQ!$LR$2:$LR$60=H$1),0),$B318-1966)</f>
        <v>48646.54</v>
      </c>
      <c r="I318" s="7" cm="1">
        <f t="array" ref="I318">INDEX(GMWQ!$A$2:$LR$60,MATCH(1,(GMWQ!$LQ$2:$LQ$60=I$3)*(GMWQ!$LP$2:$LP$60=I$4)*(GMWQ!$LR$2:$LR$60=I$1),0),$B318-1966)</f>
        <v>205.9907</v>
      </c>
      <c r="J318" s="7" cm="1">
        <f t="array" ref="J318">INDEX(GMWQ!$A$2:$LR$60,MATCH(1,(GMWQ!$LQ$2:$LQ$60=J$3)*(GMWQ!$LP$2:$LP$60=J$4)*(GMWQ!$LR$2:$LR$60=J$1),0),$B318-1966)</f>
        <v>33119.24</v>
      </c>
      <c r="K318" s="7" cm="1">
        <f t="array" ref="K318">INDEX(GMWQ!$A$2:$LR$60,MATCH(1,(GMWQ!$LQ$2:$LQ$60=K$3)*(GMWQ!$LP$2:$LP$60=K$4)*(GMWQ!$LR$2:$LR$60=K$1),0),$B318-1966)</f>
        <v>2</v>
      </c>
      <c r="L318" s="7" cm="1">
        <f t="array" ref="L318">INDEX(GMWQ!$A$2:$LR$60,MATCH(1,(GMWQ!$LQ$2:$LQ$60=L$3)*(GMWQ!$LP$2:$LP$60=L$4)*(GMWQ!$LR$2:$LR$60=L$1),0),$B318-1966)</f>
        <v>3.7499850000000001</v>
      </c>
      <c r="M318" s="7" cm="1">
        <f t="array" ref="M318">INDEX(GMWQ!$A$2:$LR$60,MATCH(1,(GMWQ!$LQ$2:$LQ$60=M$3)*(GMWQ!$LP$2:$LP$60=M$4)*(GMWQ!$LR$2:$LR$60=M$1),0),$B318-1966)</f>
        <v>352.31560000000002</v>
      </c>
      <c r="N318" s="7" cm="1">
        <f t="array" ref="N318">INDEX(GMWQ!$A$2:$LR$60,MATCH(1,(GMWQ!$LQ$2:$LQ$60=N$3)*(GMWQ!$LP$2:$LP$60=N$4)*(GMWQ!$LR$2:$LR$60=N$1),0),$B318-1966)</f>
        <v>50177.54</v>
      </c>
      <c r="O318" s="7" cm="1">
        <f t="array" ref="O318">INDEX(GMWQ!$A$2:$LR$60,MATCH(1,(GMWQ!$LQ$2:$LQ$60=O$3)*(GMWQ!$LP$2:$LP$60=O$4)*(GMWQ!$LR$2:$LR$60=O$1),0),$B318-1966)</f>
        <v>28055.94</v>
      </c>
      <c r="P318" s="7" cm="1">
        <f t="array" ref="P318">INDEX(GMWQ!$A$2:$LR$60,MATCH(1,(GMWQ!$LQ$2:$LQ$60=P$3)*(GMWQ!$LP$2:$LP$60=P$4)*(GMWQ!$LR$2:$LR$60=P$1),0),$B318-1966)</f>
        <v>1147526</v>
      </c>
      <c r="Q318" s="7" cm="1">
        <f t="array" ref="Q318">INDEX(GMWQ!$A$2:$LR$60,MATCH(1,(GMWQ!$LQ$2:$LQ$60=Q$3)*(GMWQ!$LP$2:$LP$60=Q$4)*(GMWQ!$LR$2:$LR$60=Q$1),0),$B318-1966)</f>
        <v>3.5</v>
      </c>
      <c r="R318" s="7" cm="1">
        <f t="array" ref="R318">INDEX(GMWQ!$A$2:$LR$60,MATCH(1,(GMWQ!$LQ$2:$LQ$60=R$3)*(GMWQ!$LP$2:$LP$60=R$4)*(GMWQ!$LR$2:$LR$60=R$1),0),$B318-1966)</f>
        <v>256428</v>
      </c>
      <c r="S318" s="7" cm="1">
        <f t="array" ref="S318">INDEX(GMWQ!$A$2:$LR$60,MATCH(1,(GMWQ!$LQ$2:$LQ$60=S$3)*(GMWQ!$LP$2:$LP$60=S$4)*(GMWQ!$LR$2:$LR$60=S$1),0),$B318-1966)</f>
        <v>382.53050000000002</v>
      </c>
      <c r="T318" s="7" cm="1">
        <f t="array" ref="T318">INDEX(GMWQ!$A$2:$LR$60,MATCH(1,(GMWQ!$LQ$2:$LQ$60=T$3)*(GMWQ!$LP$2:$LP$60=T$4)*(GMWQ!$LR$2:$LR$60=T$1),0),$B318-1966)</f>
        <v>161340.9</v>
      </c>
      <c r="U318" s="7" cm="1">
        <f t="array" ref="U318">INDEX(GMWQ!$A$2:$LR$60,MATCH(1,(GMWQ!$LQ$2:$LQ$60=U$3)*(GMWQ!$LP$2:$LP$60=U$4)*(GMWQ!$LR$2:$LR$60=U$1),0),$B318-1966)</f>
        <v>15844.77</v>
      </c>
      <c r="V318" s="7" cm="1">
        <f t="array" ref="V318">INDEX(GMWQ!$A$2:$LR$60,MATCH(1,(GMWQ!$LQ$2:$LQ$60=V$3)*(GMWQ!$LP$2:$LP$60=V$4)*(GMWQ!$LR$2:$LR$60=V$1),0),$B318-1966)</f>
        <v>1.3504820000000001E-3</v>
      </c>
      <c r="W318" s="7" cm="1">
        <f t="array" ref="W318">INDEX(GMWQ!$A$2:$LR$60,MATCH(1,(GMWQ!$LQ$2:$LQ$60=W$3)*(GMWQ!$LP$2:$LP$60=W$4)*(GMWQ!$LR$2:$LR$60=W$1),0),$B318-1966)</f>
        <v>9.3825839999999996</v>
      </c>
      <c r="X318" s="7" cm="1">
        <f t="array" ref="X318">INDEX(GMWQ!$A$2:$LR$60,MATCH(1,(GMWQ!$LQ$2:$LQ$60=X$3)*(GMWQ!$LP$2:$LP$60=X$4)*(GMWQ!$LR$2:$LR$60=X$1),0),$B318-1966)</f>
        <v>17358320</v>
      </c>
      <c r="Y318" s="7" cm="1">
        <f t="array" ref="Y318">INDEX(GMWQ!$A$2:$LR$60,MATCH(1,(GMWQ!$LQ$2:$LQ$60=Y$3)*(GMWQ!$LP$2:$LP$60=Y$4)*(GMWQ!$LR$2:$LR$60=Y$1),0),$B318-1966)</f>
        <v>212.40459999999999</v>
      </c>
      <c r="Z318" s="7" cm="1">
        <f t="array" ref="Z318">INDEX(GMWQ!$A$2:$LR$60,MATCH(1,(GMWQ!$LQ$2:$LQ$60=Z$3)*(GMWQ!$LP$2:$LP$60=Z$4)*(GMWQ!$LR$2:$LR$60=Z$1),0),$B318-1966)</f>
        <v>855869.4</v>
      </c>
      <c r="AA318" s="7" cm="1">
        <f t="array" ref="AA318">INDEX(GMWQ!$A$2:$LR$60,MATCH(1,(GMWQ!$LQ$2:$LQ$60=AA$3)*(GMWQ!$LP$2:$LP$60=AA$4)*(GMWQ!$LR$2:$LR$60=AA$1),0),$B318-1966)</f>
        <v>733221.1</v>
      </c>
      <c r="AB318" s="7" cm="1">
        <f t="array" ref="AB318">INDEX(GMWQ!$A$2:$LR$60,MATCH(1,(GMWQ!$LQ$2:$LQ$60=AB$3)*(GMWQ!$LP$2:$LP$60=AB$4)*(GMWQ!$LR$2:$LR$60=AB$1),0),$B318-1966)</f>
        <v>704532.5</v>
      </c>
      <c r="AC318" s="7" cm="1">
        <f t="array" ref="AC318">INDEX(GMWQ!$A$2:$LR$60,MATCH(1,(GMWQ!$LQ$2:$LQ$60=AC$3)*(GMWQ!$LP$2:$LP$60=AC$4)*(GMWQ!$LR$2:$LR$60=AC$1),0),$B318-1966)</f>
        <v>27929.52</v>
      </c>
      <c r="AD318" s="7" cm="1">
        <f t="array" ref="AD318">INDEX(GMWQ!$A$2:$LR$60,MATCH(1,(GMWQ!$LQ$2:$LQ$60=AD$3)*(GMWQ!$LP$2:$LP$60=AD$4)*(GMWQ!$LR$2:$LR$60=AD$1),0),$B318-1966)</f>
        <v>39735.040000000001</v>
      </c>
      <c r="AE318" s="7" cm="1">
        <f t="array" ref="AE318">INDEX(GMWQ!$A$2:$LR$60,MATCH(1,(GMWQ!$LQ$2:$LQ$60=AE$3)*(GMWQ!$LP$2:$LP$60=AE$4)*(GMWQ!$LR$2:$LR$60=AE$1),0),$B318-1966)</f>
        <v>1817908</v>
      </c>
      <c r="AF318" s="20" cm="1">
        <f t="array" ref="AF318">INDEX(GMWQ!$A$2:$LR$60,MATCH(1,(GMWQ!$LQ$2:$LQ$60=AF$3)*(GMWQ!$LP$2:$LP$60=AF$4)*(GMWQ!$LR$2:$LR$60=AF$1),0),$B318-1966)</f>
        <v>2</v>
      </c>
      <c r="AG318" s="20" cm="1">
        <f t="array" ref="AG318">INDEX(GMWQ!$A$2:$LR$60,MATCH(1,(GMWQ!$LQ$2:$LQ$60=AG$3)*(GMWQ!$LP$2:$LP$60=AG$4)*(GMWQ!$LR$2:$LR$60=AG$1),0),$B318-1966)</f>
        <v>-22121.599999999999</v>
      </c>
      <c r="AI318" s="23" cm="1">
        <f t="array" ref="AI318">INDEX(GMWQ!$A$2:$LR$60,MATCH(1,(GMWQ!$LQ$2:$LQ$60=AI$3)*(GMWQ!$LP$2:$LP$60=AI$4)*(GMWQ!$LR$2:$LR$60=AI$1),0),$B318-1966)</f>
        <v>1147526</v>
      </c>
      <c r="AJ318" s="23" cm="1">
        <f t="array" ref="AJ318">INDEX(GMWQ!$A$2:$LR$60,MATCH(1,(GMWQ!$LQ$2:$LQ$60=AJ$3)*(GMWQ!$LP$2:$LP$60=AJ$4)*(GMWQ!$LR$2:$LR$60=AJ$1),0),$B318-1966)</f>
        <v>205.9907</v>
      </c>
      <c r="AK318" s="23" cm="1">
        <f t="array" ref="AK318">INDEX(GMWQ!$A$2:$LR$60,MATCH(1,(GMWQ!$LQ$2:$LQ$60=AK$3)*(GMWQ!$LP$2:$LP$60=AK$4)*(GMWQ!$LR$2:$LR$60=AK$1),0),$B318-1966)</f>
        <v>723368.7</v>
      </c>
      <c r="AL318" s="23" cm="1">
        <f t="array" ref="AL318">INDEX(GMWQ!$A$2:$LR$60,MATCH(1,(GMWQ!$LQ$2:$LQ$60=AL$3)*(GMWQ!$LP$2:$LP$60=AL$4)*(GMWQ!$LR$2:$LR$60=AL$1),0),$B318-1966)</f>
        <v>21841.34</v>
      </c>
      <c r="AM318" s="23" cm="1">
        <f t="array" ref="AM318">INDEX(GMWQ!$A$2:$LR$60,MATCH(1,(GMWQ!$LQ$2:$LQ$60=AM$3)*(GMWQ!$LP$2:$LP$60=AM$4)*(GMWQ!$LR$2:$LR$60=AM$1),0),$B318-1966)</f>
        <v>33119.24</v>
      </c>
      <c r="AN318" s="23" cm="1">
        <f t="array" ref="AN318">INDEX(GMWQ!$A$2:$LR$60,MATCH(1,(GMWQ!$LQ$2:$LQ$60=AN$3)*(GMWQ!$LP$2:$LP$60=AN$4)*(GMWQ!$LR$2:$LR$60=AN$1),0),$B318-1966)</f>
        <v>217133.8</v>
      </c>
      <c r="AO318" s="23" cm="1">
        <f t="array" ref="AO318">INDEX(GMWQ!$A$2:$LR$60,MATCH(1,(GMWQ!$LQ$2:$LQ$60=AO$3)*(GMWQ!$LP$2:$LP$60=AO$4)*(GMWQ!$LR$2:$LR$60=AO$1),0),$B318-1966)</f>
        <v>48646.54</v>
      </c>
      <c r="AP318" s="23" cm="1">
        <f t="array" ref="AP318">INDEX(GMWQ!$A$2:$LR$60,MATCH(1,(GMWQ!$LQ$2:$LQ$60=AP$3)*(GMWQ!$LP$2:$LP$60=AP$4)*(GMWQ!$LR$2:$LR$60=AP$1),0),$B318-1966)</f>
        <v>-22121.599999999999</v>
      </c>
      <c r="AQ318" s="23" cm="1">
        <f t="array" ref="AQ318">INDEX(GMWQ!$A$2:$LR$60,MATCH(1,(GMWQ!$LQ$2:$LQ$60=AQ$3)*(GMWQ!$LP$2:$LP$60=AQ$4)*(GMWQ!$LR$2:$LR$60=AQ$1),0),$B318-1966)</f>
        <v>254204.1</v>
      </c>
      <c r="AR318" s="23" cm="1">
        <f t="array" ref="AR318">INDEX(GMWQ!$A$2:$LR$60,MATCH(1,(GMWQ!$LQ$2:$LQ$60=AR$3)*(GMWQ!$LP$2:$LP$60=AR$4)*(GMWQ!$LR$2:$LR$60=AR$1),0),$B318-1966)</f>
        <v>1058829</v>
      </c>
      <c r="AS318" s="23" cm="1">
        <f t="array" ref="AS318">INDEX(GMWQ!$A$2:$LR$60,MATCH(1,(GMWQ!$LQ$2:$LQ$60=AS$3)*(GMWQ!$LP$2:$LP$60=AS$4)*(GMWQ!$LR$2:$LR$60=AS$1),0),$B318-1966)</f>
        <v>36641.599999999999</v>
      </c>
      <c r="AT318" s="23" cm="1">
        <f t="array" ref="AT318">INDEX(GMWQ!$A$2:$LR$60,MATCH(1,(GMWQ!$LQ$2:$LQ$60=AT$3)*(GMWQ!$LP$2:$LP$60=AT$4)*(GMWQ!$LR$2:$LR$60=AT$1),0),$B318-1966)</f>
        <v>514017.8</v>
      </c>
      <c r="AU318" s="23" cm="1">
        <f t="array" ref="AU318">INDEX(GMWQ!$A$2:$LR$60,MATCH(1,(GMWQ!$LQ$2:$LQ$60=AU$3)*(GMWQ!$LP$2:$LP$60=AU$4)*(GMWQ!$LR$2:$LR$60=AU$1),0),$B318-1966)</f>
        <v>18291.939999999999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9627-3A4C-459F-B9F7-71C1B1F7B442}">
  <dimension ref="A1:M84"/>
  <sheetViews>
    <sheetView workbookViewId="0">
      <pane xSplit="1" ySplit="6" topLeftCell="B40" activePane="bottomRight" state="frozen"/>
      <selection pane="topRight" activeCell="C1" sqref="C1"/>
      <selection pane="bottomLeft" activeCell="A7" sqref="A7"/>
      <selection pane="bottomRight" activeCell="F54" sqref="F54"/>
    </sheetView>
  </sheetViews>
  <sheetFormatPr defaultColWidth="9.1796875" defaultRowHeight="14.5" x14ac:dyDescent="0.35"/>
  <cols>
    <col min="1" max="1" width="9.1796875" style="7"/>
    <col min="2" max="13" width="17.54296875" style="7" bestFit="1" customWidth="1"/>
    <col min="14" max="16384" width="9.1796875" style="7"/>
  </cols>
  <sheetData>
    <row r="1" spans="1:13" x14ac:dyDescent="0.35">
      <c r="B1" s="8" t="str">
        <f>GMWA!$CR$2</f>
        <v>FEB016J.db</v>
      </c>
      <c r="C1" s="8" t="str">
        <f t="shared" ref="C1:M1" si="0">$B$1</f>
        <v>FEB016J.db</v>
      </c>
      <c r="D1" s="8" t="str">
        <f t="shared" si="0"/>
        <v>FEB016J.db</v>
      </c>
      <c r="E1" s="8" t="str">
        <f>$B$1</f>
        <v>FEB016J.db</v>
      </c>
      <c r="F1" s="8" t="str">
        <f t="shared" si="0"/>
        <v>FEB016J.db</v>
      </c>
      <c r="G1" s="8" t="str">
        <f t="shared" si="0"/>
        <v>FEB016J.db</v>
      </c>
      <c r="H1" s="8" t="str">
        <f t="shared" si="0"/>
        <v>FEB016J.db</v>
      </c>
      <c r="I1" s="8" t="str">
        <f t="shared" si="0"/>
        <v>FEB016J.db</v>
      </c>
      <c r="J1" s="8" t="str">
        <f t="shared" si="0"/>
        <v>FEB016J.db</v>
      </c>
      <c r="K1" s="8" t="str">
        <f t="shared" si="0"/>
        <v>FEB016J.db</v>
      </c>
      <c r="L1" s="8" t="str">
        <f t="shared" si="0"/>
        <v>FEB016J.db</v>
      </c>
      <c r="M1" s="8" t="str">
        <f t="shared" si="0"/>
        <v>FEB016J.db</v>
      </c>
    </row>
    <row r="2" spans="1:13" x14ac:dyDescent="0.35">
      <c r="B2" s="7" t="s">
        <v>429</v>
      </c>
      <c r="C2" s="7" t="s">
        <v>429</v>
      </c>
      <c r="D2" s="7" t="s">
        <v>429</v>
      </c>
      <c r="E2" s="7" t="s">
        <v>429</v>
      </c>
      <c r="F2" s="7" t="s">
        <v>429</v>
      </c>
      <c r="G2" s="7" t="s">
        <v>429</v>
      </c>
      <c r="H2" s="7" t="s">
        <v>429</v>
      </c>
      <c r="I2" s="7" t="s">
        <v>429</v>
      </c>
      <c r="J2" s="7" t="s">
        <v>429</v>
      </c>
      <c r="K2" s="7" t="s">
        <v>429</v>
      </c>
      <c r="L2" s="7" t="s">
        <v>429</v>
      </c>
      <c r="M2" s="7" t="s">
        <v>429</v>
      </c>
    </row>
    <row r="3" spans="1:13" x14ac:dyDescent="0.35">
      <c r="B3" s="7" t="s">
        <v>394</v>
      </c>
      <c r="C3" s="7" t="s">
        <v>517</v>
      </c>
      <c r="D3" s="7" t="s">
        <v>513</v>
      </c>
      <c r="E3" s="7" t="s">
        <v>532</v>
      </c>
      <c r="F3" s="7" t="s">
        <v>525</v>
      </c>
      <c r="G3" s="7" t="s">
        <v>529</v>
      </c>
      <c r="H3" s="7" t="s">
        <v>521</v>
      </c>
      <c r="I3" s="7" t="s">
        <v>390</v>
      </c>
      <c r="J3" s="7" t="s">
        <v>554</v>
      </c>
      <c r="K3" s="7" t="s">
        <v>558</v>
      </c>
      <c r="L3" s="7" t="s">
        <v>562</v>
      </c>
      <c r="M3" s="7" t="s">
        <v>566</v>
      </c>
    </row>
    <row r="4" spans="1:13" x14ac:dyDescent="0.35">
      <c r="B4" s="7" t="s">
        <v>343</v>
      </c>
      <c r="C4" s="7" t="s">
        <v>343</v>
      </c>
      <c r="D4" s="7" t="s">
        <v>343</v>
      </c>
      <c r="E4" s="7" t="s">
        <v>343</v>
      </c>
      <c r="F4" s="7" t="s">
        <v>343</v>
      </c>
      <c r="G4" s="7" t="s">
        <v>343</v>
      </c>
      <c r="H4" s="7" t="s">
        <v>343</v>
      </c>
      <c r="I4" s="7" t="s">
        <v>343</v>
      </c>
      <c r="J4" s="7" t="s">
        <v>343</v>
      </c>
      <c r="K4" s="7" t="s">
        <v>343</v>
      </c>
      <c r="L4" s="7" t="s">
        <v>343</v>
      </c>
      <c r="M4" s="7" t="s">
        <v>343</v>
      </c>
    </row>
    <row r="5" spans="1:13" x14ac:dyDescent="0.35">
      <c r="B5" s="7" t="s">
        <v>430</v>
      </c>
      <c r="C5" s="7" t="s">
        <v>430</v>
      </c>
      <c r="D5" s="7" t="s">
        <v>430</v>
      </c>
      <c r="E5" s="7" t="s">
        <v>430</v>
      </c>
      <c r="F5" s="7" t="s">
        <v>430</v>
      </c>
      <c r="G5" s="7" t="s">
        <v>430</v>
      </c>
      <c r="H5" s="7" t="s">
        <v>430</v>
      </c>
      <c r="I5" s="7" t="s">
        <v>430</v>
      </c>
      <c r="J5" s="7" t="s">
        <v>430</v>
      </c>
      <c r="K5" s="7" t="s">
        <v>430</v>
      </c>
      <c r="L5" s="7" t="s">
        <v>430</v>
      </c>
      <c r="M5" s="7" t="s">
        <v>430</v>
      </c>
    </row>
    <row r="6" spans="1:13" x14ac:dyDescent="0.35">
      <c r="A6" s="7">
        <f>A84+5</f>
        <v>2055</v>
      </c>
      <c r="B6" s="9" t="str" cm="1">
        <f t="array" ref="B6">_xlfn.CONCAT(INDEX(GMWA!$A$2:$CR$60,MATCH(1,(GMWA!$CQ$2:$CQ$60=B$3)*(GMWA!$CP$2:$CP$60=B$4)*(GMWA!$CR$2:$CR$60=B$1),0),$A6-1966),"0",(INDEX(GMWA!$A$2:$LR$60,MATCH(1,(GMWA!$CQ$2:$CQ$60=B$3)*(GMWA!$CP$2:$CP$60=B$4)*(GMWA!$CR$2:$CR$60=B$1),0),$A6-1965)))</f>
        <v>202303</v>
      </c>
      <c r="C6" s="9" t="str" cm="1">
        <f t="array" ref="C6">_xlfn.CONCAT(INDEX(GMWA!$A$2:$CR$60,MATCH(1,(GMWA!$CQ$2:$CQ$60=C$3)*(GMWA!$CP$2:$CP$60=C$4)*(GMWA!$CR$2:$CR$60=C$1),0),$A6-1966),"0",(INDEX(GMWA!$A$2:$LR$60,MATCH(1,(GMWA!$CQ$2:$CQ$60=C$3)*(GMWA!$CP$2:$CP$60=C$4)*(GMWA!$CR$2:$CR$60=C$1),0),$A6-1965)))</f>
        <v>202303</v>
      </c>
      <c r="D6" s="9" t="str" cm="1">
        <f t="array" ref="D6">_xlfn.CONCAT(INDEX(GMWA!$A$2:$CR$60,MATCH(1,(GMWA!$CQ$2:$CQ$60=D$3)*(GMWA!$CP$2:$CP$60=D$4)*(GMWA!$CR$2:$CR$60=D$1),0),$A6-1966),"0",(INDEX(GMWA!$A$2:$LR$60,MATCH(1,(GMWA!$CQ$2:$CQ$60=D$3)*(GMWA!$CP$2:$CP$60=D$4)*(GMWA!$CR$2:$CR$60=D$1),0),$A6-1965)))</f>
        <v>202304</v>
      </c>
      <c r="E6" s="9" t="str" cm="1">
        <f t="array" ref="E6">_xlfn.CONCAT(INDEX(GMWA!$A$2:$CR$60,MATCH(1,(GMWA!$CQ$2:$CQ$60=E$3)*(GMWA!$CP$2:$CP$60=E$4)*(GMWA!$CR$2:$CR$60=E$1),0),$A6-1966),"0",(INDEX(GMWA!$A$2:$LR$60,MATCH(1,(GMWA!$CQ$2:$CQ$60=E$3)*(GMWA!$CP$2:$CP$60=E$4)*(GMWA!$CR$2:$CR$60=E$1),0),$A6-1965)))</f>
        <v>202304</v>
      </c>
      <c r="F6" s="9" t="str" cm="1">
        <f t="array" ref="F6">_xlfn.CONCAT(INDEX(GMWA!$A$2:$CR$60,MATCH(1,(GMWA!$CQ$2:$CQ$60=F$3)*(GMWA!$CP$2:$CP$60=F$4)*(GMWA!$CR$2:$CR$60=F$1),0),$A6-1966),"0",(INDEX(GMWA!$A$2:$LR$60,MATCH(1,(GMWA!$CQ$2:$CQ$60=F$3)*(GMWA!$CP$2:$CP$60=F$4)*(GMWA!$CR$2:$CR$60=F$1),0),$A6-1965)))</f>
        <v>202303</v>
      </c>
      <c r="G6" s="9" t="str" cm="1">
        <f t="array" ref="G6">_xlfn.CONCAT(INDEX(GMWA!$A$2:$CR$60,MATCH(1,(GMWA!$CQ$2:$CQ$60=G$3)*(GMWA!$CP$2:$CP$60=G$4)*(GMWA!$CR$2:$CR$60=G$1),0),$A6-1966),"0",(INDEX(GMWA!$A$2:$LR$60,MATCH(1,(GMWA!$CQ$2:$CQ$60=G$3)*(GMWA!$CP$2:$CP$60=G$4)*(GMWA!$CR$2:$CR$60=G$1),0),$A6-1965)))</f>
        <v>202303</v>
      </c>
      <c r="H6" s="9" t="str" cm="1">
        <f t="array" ref="H6">_xlfn.CONCAT(INDEX(GMWA!$A$2:$CR$60,MATCH(1,(GMWA!$CQ$2:$CQ$60=H$3)*(GMWA!$CP$2:$CP$60=H$4)*(GMWA!$CR$2:$CR$60=H$1),0),$A6-1966),"0",(INDEX(GMWA!$A$2:$LR$60,MATCH(1,(GMWA!$CQ$2:$CQ$60=H$3)*(GMWA!$CP$2:$CP$60=H$4)*(GMWA!$CR$2:$CR$60=H$1),0),$A6-1965)))</f>
        <v>202303</v>
      </c>
      <c r="I6" s="9" t="str" cm="1">
        <f t="array" ref="I6">_xlfn.CONCAT(INDEX(GMWA!$A$2:$CR$60,MATCH(1,(GMWA!$CQ$2:$CQ$60=I$3)*(GMWA!$CP$2:$CP$60=I$4)*(GMWA!$CR$2:$CR$60=I$1),0),$A6-1966),"0",(INDEX(GMWA!$A$2:$LR$60,MATCH(1,(GMWA!$CQ$2:$CQ$60=I$3)*(GMWA!$CP$2:$CP$60=I$4)*(GMWA!$CR$2:$CR$60=I$1),0),$A6-1965)))</f>
        <v>202303</v>
      </c>
      <c r="J6" s="9" t="str" cm="1">
        <f t="array" ref="J6">_xlfn.CONCAT(INDEX(GMWA!$A$2:$CR$60,MATCH(1,(GMWA!$CQ$2:$CQ$60=J$3)*(GMWA!$CP$2:$CP$60=J$4)*(GMWA!$CR$2:$CR$60=J$1),0),$A6-1966),"0",(INDEX(GMWA!$A$2:$LR$60,MATCH(1,(GMWA!$CQ$2:$CQ$60=J$3)*(GMWA!$CP$2:$CP$60=J$4)*(GMWA!$CR$2:$CR$60=J$1),0),$A6-1965)))</f>
        <v>202304</v>
      </c>
      <c r="K6" s="9" t="str" cm="1">
        <f t="array" ref="K6">_xlfn.CONCAT(INDEX(GMWA!$A$2:$CR$60,MATCH(1,(GMWA!$CQ$2:$CQ$60=K$3)*(GMWA!$CP$2:$CP$60=K$4)*(GMWA!$CR$2:$CR$60=K$1),0),$A6-1966),"0",(INDEX(GMWA!$A$2:$LR$60,MATCH(1,(GMWA!$CQ$2:$CQ$60=K$3)*(GMWA!$CP$2:$CP$60=K$4)*(GMWA!$CR$2:$CR$60=K$1),0),$A6-1965)))</f>
        <v>202304</v>
      </c>
      <c r="L6" s="9" t="str" cm="1">
        <f t="array" ref="L6">_xlfn.CONCAT(INDEX(GMWA!$A$2:$CR$60,MATCH(1,(GMWA!$CQ$2:$CQ$60=L$3)*(GMWA!$CP$2:$CP$60=L$4)*(GMWA!$CR$2:$CR$60=L$1),0),$A6-1966),"0",(INDEX(GMWA!$A$2:$LR$60,MATCH(1,(GMWA!$CQ$2:$CQ$60=L$3)*(GMWA!$CP$2:$CP$60=L$4)*(GMWA!$CR$2:$CR$60=L$1),0),$A6-1965)))</f>
        <v>202304</v>
      </c>
      <c r="M6" s="9" t="str" cm="1">
        <f t="array" ref="M6">_xlfn.CONCAT(INDEX(GMWA!$A$2:$CR$60,MATCH(1,(GMWA!$CQ$2:$CQ$60=M$3)*(GMWA!$CP$2:$CP$60=M$4)*(GMWA!$CR$2:$CR$60=M$1),0),$A6-1966),"0",(INDEX(GMWA!$A$2:$LR$60,MATCH(1,(GMWA!$CQ$2:$CQ$60=M$3)*(GMWA!$CP$2:$CP$60=M$4)*(GMWA!$CR$2:$CR$60=M$1),0),$A6-1965)))</f>
        <v>202304</v>
      </c>
    </row>
    <row r="7" spans="1:13" x14ac:dyDescent="0.35">
      <c r="A7" s="7">
        <v>1973</v>
      </c>
      <c r="B7" s="7" cm="1">
        <f t="array" ref="B7">INDEX(GMWA!$A$2:$CR$60,MATCH(1,(GMWA!$CQ$2:$CQ$60=B$3)*(GMWA!$CP$2:$CP$60=B$4)*(GMWA!$CR$2:$CR$60=B$1),0),$A7-1966)</f>
        <v>52432</v>
      </c>
      <c r="C7" s="7" cm="1">
        <f t="array" ref="C7">INDEX(GMWA!$A$2:$CR$60,MATCH(1,(GMWA!$CQ$2:$CQ$60=C$3)*(GMWA!$CP$2:$CP$60=C$4)*(GMWA!$CR$2:$CR$60=C$1),0),$A7-1966)</f>
        <v>39478</v>
      </c>
      <c r="D7" s="7" cm="1">
        <f t="array" ref="D7">INDEX(GMWA!$A$2:$CR$60,MATCH(1,(GMWA!$CQ$2:$CQ$60=D$3)*(GMWA!$CP$2:$CP$60=D$4)*(GMWA!$CR$2:$CR$60=D$1),0),$A7-1966)</f>
        <v>22199.919999999998</v>
      </c>
      <c r="E7" s="7" cm="1">
        <f t="array" ref="E7">INDEX(GMWA!$A$2:$CR$60,MATCH(1,(GMWA!$CQ$2:$CQ$60=E$3)*(GMWA!$CP$2:$CP$60=E$4)*(GMWA!$CR$2:$CR$60=E$1),0),$A7-1966)</f>
        <v>10.60624</v>
      </c>
      <c r="F7" s="7" cm="1">
        <f t="array" ref="F7">INDEX(GMWA!$A$2:$CR$60,MATCH(1,(GMWA!$CQ$2:$CQ$60=F$3)*(GMWA!$CP$2:$CP$60=F$4)*(GMWA!$CR$2:$CR$60=F$1),0),$A7-1966)</f>
        <v>7641.5309999999999</v>
      </c>
      <c r="G7" s="7" cm="1">
        <f t="array" ref="G7">INDEX(GMWA!$A$2:$CR$60,MATCH(1,(GMWA!$CQ$2:$CQ$60=G$3)*(GMWA!$CP$2:$CP$60=G$4)*(GMWA!$CR$2:$CR$60=G$1),0),$A7-1966)</f>
        <v>1988.171</v>
      </c>
      <c r="H7" s="7" cm="1">
        <f t="array" ref="H7">INDEX(GMWA!$A$2:$CR$60,MATCH(1,(GMWA!$CQ$2:$CQ$60=H$3)*(GMWA!$CP$2:$CP$60=H$4)*(GMWA!$CR$2:$CR$60=H$1),0),$A7-1966)</f>
        <v>6360.9690000000001</v>
      </c>
      <c r="I7" s="7" cm="1">
        <f t="array" ref="I7">INDEX(GMWA!$A$2:$CR$60,MATCH(1,(GMWA!$CQ$2:$CQ$60=I$3)*(GMWA!$CP$2:$CP$60=I$4)*(GMWA!$CR$2:$CR$60=I$1),0),$A7-1966)</f>
        <v>-487.0847</v>
      </c>
      <c r="J7" s="7" cm="1">
        <f t="array" ref="J7">INDEX(GMWA!$A$2:$CR$60,MATCH(1,(GMWA!$CQ$2:$CQ$60=J$3)*(GMWA!$CP$2:$CP$60=J$4)*(GMWA!$CR$2:$CR$60=J$1),0),$A7-1966)</f>
        <v>48988</v>
      </c>
      <c r="K7" s="7" cm="1">
        <f t="array" ref="K7">INDEX(GMWA!$A$2:$CR$60,MATCH(1,(GMWA!$CQ$2:$CQ$60=K$3)*(GMWA!$CP$2:$CP$60=K$4)*(GMWA!$CR$2:$CR$60=K$1),0),$A7-1966)</f>
        <v>758</v>
      </c>
      <c r="L7" s="7" cm="1">
        <f t="array" ref="L7">INDEX(GMWA!$A$2:$CR$60,MATCH(1,(GMWA!$CQ$2:$CQ$60=L$3)*(GMWA!$CP$2:$CP$60=L$4)*(GMWA!$CR$2:$CR$60=L$1),0),$A7-1966)</f>
        <v>461905</v>
      </c>
      <c r="M7" s="7" cm="1">
        <f t="array" ref="M7">INDEX(GMWA!$A$2:$CR$60,MATCH(1,(GMWA!$CQ$2:$CQ$60=M$3)*(GMWA!$CP$2:$CP$60=M$4)*(GMWA!$CR$2:$CR$60=M$1),0),$A7-1966)</f>
        <v>14404</v>
      </c>
    </row>
    <row r="8" spans="1:13" x14ac:dyDescent="0.35">
      <c r="A8" s="7">
        <f>+A7+1</f>
        <v>1974</v>
      </c>
      <c r="B8" s="7" cm="1">
        <f t="array" ref="B8">INDEX(GMWA!$A$2:$CR$60,MATCH(1,(GMWA!$CQ$2:$CQ$60=B$3)*(GMWA!$CP$2:$CP$60=B$4)*(GMWA!$CR$2:$CR$60=B$1),0),$A8-1966)</f>
        <v>61570</v>
      </c>
      <c r="C8" s="7" cm="1">
        <f t="array" ref="C8">INDEX(GMWA!$A$2:$CR$60,MATCH(1,(GMWA!$CQ$2:$CQ$60=C$3)*(GMWA!$CP$2:$CP$60=C$4)*(GMWA!$CR$2:$CR$60=C$1),0),$A8-1966)</f>
        <v>46712</v>
      </c>
      <c r="D8" s="7" cm="1">
        <f t="array" ref="D8">INDEX(GMWA!$A$2:$CR$60,MATCH(1,(GMWA!$CQ$2:$CQ$60=D$3)*(GMWA!$CP$2:$CP$60=D$4)*(GMWA!$CR$2:$CR$60=D$1),0),$A8-1966)</f>
        <v>22306.49</v>
      </c>
      <c r="E8" s="7" cm="1">
        <f t="array" ref="E8">INDEX(GMWA!$A$2:$CR$60,MATCH(1,(GMWA!$CQ$2:$CQ$60=E$3)*(GMWA!$CP$2:$CP$60=E$4)*(GMWA!$CR$2:$CR$60=E$1),0),$A8-1966)</f>
        <v>12.54654</v>
      </c>
      <c r="F8" s="7" cm="1">
        <f t="array" ref="F8">INDEX(GMWA!$A$2:$CR$60,MATCH(1,(GMWA!$CQ$2:$CQ$60=F$3)*(GMWA!$CP$2:$CP$60=F$4)*(GMWA!$CR$2:$CR$60=F$1),0),$A8-1966)</f>
        <v>10304.1</v>
      </c>
      <c r="G8" s="7" cm="1">
        <f t="array" ref="G8">INDEX(GMWA!$A$2:$CR$60,MATCH(1,(GMWA!$CQ$2:$CQ$60=G$3)*(GMWA!$CP$2:$CP$60=G$4)*(GMWA!$CR$2:$CR$60=G$1),0),$A8-1966)</f>
        <v>2332.3789999999999</v>
      </c>
      <c r="H8" s="7" cm="1">
        <f t="array" ref="H8">INDEX(GMWA!$A$2:$CR$60,MATCH(1,(GMWA!$CQ$2:$CQ$60=H$3)*(GMWA!$CP$2:$CP$60=H$4)*(GMWA!$CR$2:$CR$60=H$1),0),$A8-1966)</f>
        <v>7803.6729999999998</v>
      </c>
      <c r="I8" s="7" cm="1">
        <f t="array" ref="I8">INDEX(GMWA!$A$2:$CR$60,MATCH(1,(GMWA!$CQ$2:$CQ$60=I$3)*(GMWA!$CP$2:$CP$60=I$4)*(GMWA!$CR$2:$CR$60=I$1),0),$A8-1966)</f>
        <v>-720.22310000000004</v>
      </c>
      <c r="J8" s="7" cm="1">
        <f t="array" ref="J8">INDEX(GMWA!$A$2:$CR$60,MATCH(1,(GMWA!$CQ$2:$CQ$60=J$3)*(GMWA!$CP$2:$CP$60=J$4)*(GMWA!$CR$2:$CR$60=J$1),0),$A8-1966)</f>
        <v>57233</v>
      </c>
      <c r="K8" s="7" cm="1">
        <f t="array" ref="K8">INDEX(GMWA!$A$2:$CR$60,MATCH(1,(GMWA!$CQ$2:$CQ$60=K$3)*(GMWA!$CP$2:$CP$60=K$4)*(GMWA!$CR$2:$CR$60=K$1),0),$A8-1966)</f>
        <v>929</v>
      </c>
      <c r="L8" s="7" cm="1">
        <f t="array" ref="L8">INDEX(GMWA!$A$2:$CR$60,MATCH(1,(GMWA!$CQ$2:$CQ$60=L$3)*(GMWA!$CP$2:$CP$60=L$4)*(GMWA!$CR$2:$CR$60=L$1),0),$A8-1966)</f>
        <v>456007</v>
      </c>
      <c r="M8" s="7" cm="1">
        <f t="array" ref="M8">INDEX(GMWA!$A$2:$CR$60,MATCH(1,(GMWA!$CQ$2:$CQ$60=M$3)*(GMWA!$CP$2:$CP$60=M$4)*(GMWA!$CR$2:$CR$60=M$1),0),$A8-1966)</f>
        <v>14220</v>
      </c>
    </row>
    <row r="9" spans="1:13" x14ac:dyDescent="0.35">
      <c r="A9" s="7">
        <f t="shared" ref="A9:A47" si="1">+A8+1</f>
        <v>1975</v>
      </c>
      <c r="B9" s="7" cm="1">
        <f t="array" ref="B9">INDEX(GMWA!$A$2:$CR$60,MATCH(1,(GMWA!$CQ$2:$CQ$60=B$3)*(GMWA!$CP$2:$CP$60=B$4)*(GMWA!$CR$2:$CR$60=B$1),0),$A9-1966)</f>
        <v>76602</v>
      </c>
      <c r="C9" s="7" cm="1">
        <f t="array" ref="C9">INDEX(GMWA!$A$2:$CR$60,MATCH(1,(GMWA!$CQ$2:$CQ$60=C$3)*(GMWA!$CP$2:$CP$60=C$4)*(GMWA!$CR$2:$CR$60=C$1),0),$A9-1966)</f>
        <v>60461</v>
      </c>
      <c r="D9" s="7" cm="1">
        <f t="array" ref="D9">INDEX(GMWA!$A$2:$CR$60,MATCH(1,(GMWA!$CQ$2:$CQ$60=D$3)*(GMWA!$CP$2:$CP$60=D$4)*(GMWA!$CR$2:$CR$60=D$1),0),$A9-1966)</f>
        <v>22183.06</v>
      </c>
      <c r="E9" s="7" cm="1">
        <f t="array" ref="E9">INDEX(GMWA!$A$2:$CR$60,MATCH(1,(GMWA!$CQ$2:$CQ$60=E$3)*(GMWA!$CP$2:$CP$60=E$4)*(GMWA!$CR$2:$CR$60=E$1),0),$A9-1966)</f>
        <v>15.48086</v>
      </c>
      <c r="F9" s="7" cm="1">
        <f t="array" ref="F9">INDEX(GMWA!$A$2:$CR$60,MATCH(1,(GMWA!$CQ$2:$CQ$60=F$3)*(GMWA!$CP$2:$CP$60=F$4)*(GMWA!$CR$2:$CR$60=F$1),0),$A9-1966)</f>
        <v>14877.54</v>
      </c>
      <c r="G9" s="7" cm="1">
        <f t="array" ref="G9">INDEX(GMWA!$A$2:$CR$60,MATCH(1,(GMWA!$CQ$2:$CQ$60=G$3)*(GMWA!$CP$2:$CP$60=G$4)*(GMWA!$CR$2:$CR$60=G$1),0),$A9-1966)</f>
        <v>2935.27</v>
      </c>
      <c r="H9" s="7" cm="1">
        <f t="array" ref="H9">INDEX(GMWA!$A$2:$CR$60,MATCH(1,(GMWA!$CQ$2:$CQ$60=H$3)*(GMWA!$CP$2:$CP$60=H$4)*(GMWA!$CR$2:$CR$60=H$1),0),$A9-1966)</f>
        <v>10283.92</v>
      </c>
      <c r="I9" s="7" cm="1">
        <f t="array" ref="I9">INDEX(GMWA!$A$2:$CR$60,MATCH(1,(GMWA!$CQ$2:$CQ$60=I$3)*(GMWA!$CP$2:$CP$60=I$4)*(GMWA!$CR$2:$CR$60=I$1),0),$A9-1966)</f>
        <v>-599.21860000000004</v>
      </c>
      <c r="J9" s="7" cm="1">
        <f t="array" ref="J9">INDEX(GMWA!$A$2:$CR$60,MATCH(1,(GMWA!$CQ$2:$CQ$60=J$3)*(GMWA!$CP$2:$CP$60=J$4)*(GMWA!$CR$2:$CR$60=J$1),0),$A9-1966)</f>
        <v>70474</v>
      </c>
      <c r="K9" s="7" cm="1">
        <f t="array" ref="K9">INDEX(GMWA!$A$2:$CR$60,MATCH(1,(GMWA!$CQ$2:$CQ$60=K$3)*(GMWA!$CP$2:$CP$60=K$4)*(GMWA!$CR$2:$CR$60=K$1),0),$A9-1966)</f>
        <v>1166</v>
      </c>
      <c r="L9" s="7" cm="1">
        <f t="array" ref="L9">INDEX(GMWA!$A$2:$CR$60,MATCH(1,(GMWA!$CQ$2:$CQ$60=L$3)*(GMWA!$CP$2:$CP$60=L$4)*(GMWA!$CR$2:$CR$60=L$1),0),$A9-1966)</f>
        <v>455397</v>
      </c>
      <c r="M9" s="7" cm="1">
        <f t="array" ref="M9">INDEX(GMWA!$A$2:$CR$60,MATCH(1,(GMWA!$CQ$2:$CQ$60=M$3)*(GMWA!$CP$2:$CP$60=M$4)*(GMWA!$CR$2:$CR$60=M$1),0),$A9-1966)</f>
        <v>13971</v>
      </c>
    </row>
    <row r="10" spans="1:13" x14ac:dyDescent="0.35">
      <c r="A10" s="7">
        <f t="shared" si="1"/>
        <v>1976</v>
      </c>
      <c r="B10" s="7" cm="1">
        <f t="array" ref="B10">INDEX(GMWA!$A$2:$CR$60,MATCH(1,(GMWA!$CQ$2:$CQ$60=B$3)*(GMWA!$CP$2:$CP$60=B$4)*(GMWA!$CR$2:$CR$60=B$1),0),$A10-1966)</f>
        <v>89189</v>
      </c>
      <c r="C10" s="7" cm="1">
        <f t="array" ref="C10">INDEX(GMWA!$A$2:$CR$60,MATCH(1,(GMWA!$CQ$2:$CQ$60=C$3)*(GMWA!$CP$2:$CP$60=C$4)*(GMWA!$CR$2:$CR$60=C$1),0),$A10-1966)</f>
        <v>67888</v>
      </c>
      <c r="D10" s="7" cm="1">
        <f t="array" ref="D10">INDEX(GMWA!$A$2:$CR$60,MATCH(1,(GMWA!$CQ$2:$CQ$60=D$3)*(GMWA!$CP$2:$CP$60=D$4)*(GMWA!$CR$2:$CR$60=D$1),0),$A10-1966)</f>
        <v>22055.72</v>
      </c>
      <c r="E10" s="7" cm="1">
        <f t="array" ref="E10">INDEX(GMWA!$A$2:$CR$60,MATCH(1,(GMWA!$CQ$2:$CQ$60=E$3)*(GMWA!$CP$2:$CP$60=E$4)*(GMWA!$CR$2:$CR$60=E$1),0),$A10-1966)</f>
        <v>18.026679999999999</v>
      </c>
      <c r="F10" s="7" cm="1">
        <f t="array" ref="F10">INDEX(GMWA!$A$2:$CR$60,MATCH(1,(GMWA!$CQ$2:$CQ$60=F$3)*(GMWA!$CP$2:$CP$60=F$4)*(GMWA!$CR$2:$CR$60=F$1),0),$A10-1966)</f>
        <v>17231.52</v>
      </c>
      <c r="G10" s="7" cm="1">
        <f t="array" ref="G10">INDEX(GMWA!$A$2:$CR$60,MATCH(1,(GMWA!$CQ$2:$CQ$60=G$3)*(GMWA!$CP$2:$CP$60=G$4)*(GMWA!$CR$2:$CR$60=G$1),0),$A10-1966)</f>
        <v>3544.4969999999998</v>
      </c>
      <c r="H10" s="7" cm="1">
        <f t="array" ref="H10">INDEX(GMWA!$A$2:$CR$60,MATCH(1,(GMWA!$CQ$2:$CQ$60=H$3)*(GMWA!$CP$2:$CP$60=H$4)*(GMWA!$CR$2:$CR$60=H$1),0),$A10-1966)</f>
        <v>12746.07</v>
      </c>
      <c r="I10" s="7" cm="1">
        <f t="array" ref="I10">INDEX(GMWA!$A$2:$CR$60,MATCH(1,(GMWA!$CQ$2:$CQ$60=I$3)*(GMWA!$CP$2:$CP$60=I$4)*(GMWA!$CR$2:$CR$60=I$1),0),$A10-1966)</f>
        <v>-725.32090000000005</v>
      </c>
      <c r="J10" s="7" cm="1">
        <f t="array" ref="J10">INDEX(GMWA!$A$2:$CR$60,MATCH(1,(GMWA!$CQ$2:$CQ$60=J$3)*(GMWA!$CP$2:$CP$60=J$4)*(GMWA!$CR$2:$CR$60=J$1),0),$A10-1966)</f>
        <v>82570</v>
      </c>
      <c r="K10" s="7" cm="1">
        <f t="array" ref="K10">INDEX(GMWA!$A$2:$CR$60,MATCH(1,(GMWA!$CQ$2:$CQ$60=K$3)*(GMWA!$CP$2:$CP$60=K$4)*(GMWA!$CR$2:$CR$60=K$1),0),$A10-1966)</f>
        <v>1422</v>
      </c>
      <c r="L10" s="7" cm="1">
        <f t="array" ref="L10">INDEX(GMWA!$A$2:$CR$60,MATCH(1,(GMWA!$CQ$2:$CQ$60=L$3)*(GMWA!$CP$2:$CP$60=L$4)*(GMWA!$CR$2:$CR$60=L$1),0),$A10-1966)</f>
        <v>457926</v>
      </c>
      <c r="M10" s="7" cm="1">
        <f t="array" ref="M10">INDEX(GMWA!$A$2:$CR$60,MATCH(1,(GMWA!$CQ$2:$CQ$60=M$3)*(GMWA!$CP$2:$CP$60=M$4)*(GMWA!$CR$2:$CR$60=M$1),0),$A10-1966)</f>
        <v>14076</v>
      </c>
    </row>
    <row r="11" spans="1:13" x14ac:dyDescent="0.35">
      <c r="A11" s="7">
        <f t="shared" si="1"/>
        <v>1977</v>
      </c>
      <c r="B11" s="7" cm="1">
        <f t="array" ref="B11">INDEX(GMWA!$A$2:$CR$60,MATCH(1,(GMWA!$CQ$2:$CQ$60=B$3)*(GMWA!$CP$2:$CP$60=B$4)*(GMWA!$CR$2:$CR$60=B$1),0),$A11-1966)</f>
        <v>100772</v>
      </c>
      <c r="C11" s="7" cm="1">
        <f t="array" ref="C11">INDEX(GMWA!$A$2:$CR$60,MATCH(1,(GMWA!$CQ$2:$CQ$60=C$3)*(GMWA!$CP$2:$CP$60=C$4)*(GMWA!$CR$2:$CR$60=C$1),0),$A11-1966)</f>
        <v>75102</v>
      </c>
      <c r="D11" s="7" cm="1">
        <f t="array" ref="D11">INDEX(GMWA!$A$2:$CR$60,MATCH(1,(GMWA!$CQ$2:$CQ$60=D$3)*(GMWA!$CP$2:$CP$60=D$4)*(GMWA!$CR$2:$CR$60=D$1),0),$A11-1966)</f>
        <v>22120.98</v>
      </c>
      <c r="E11" s="7" cm="1">
        <f t="array" ref="E11">INDEX(GMWA!$A$2:$CR$60,MATCH(1,(GMWA!$CQ$2:$CQ$60=E$3)*(GMWA!$CP$2:$CP$60=E$4)*(GMWA!$CR$2:$CR$60=E$1),0),$A11-1966)</f>
        <v>20.745059999999999</v>
      </c>
      <c r="F11" s="7" cm="1">
        <f t="array" ref="F11">INDEX(GMWA!$A$2:$CR$60,MATCH(1,(GMWA!$CQ$2:$CQ$60=F$3)*(GMWA!$CP$2:$CP$60=F$4)*(GMWA!$CR$2:$CR$60=F$1),0),$A11-1966)</f>
        <v>17950.57</v>
      </c>
      <c r="G11" s="7" cm="1">
        <f t="array" ref="G11">INDEX(GMWA!$A$2:$CR$60,MATCH(1,(GMWA!$CQ$2:$CQ$60=G$3)*(GMWA!$CP$2:$CP$60=G$4)*(GMWA!$CR$2:$CR$60=G$1),0),$A11-1966)</f>
        <v>4021.7429999999999</v>
      </c>
      <c r="H11" s="7" cm="1">
        <f t="array" ref="H11">INDEX(GMWA!$A$2:$CR$60,MATCH(1,(GMWA!$CQ$2:$CQ$60=H$3)*(GMWA!$CP$2:$CP$60=H$4)*(GMWA!$CR$2:$CR$60=H$1),0),$A11-1966)</f>
        <v>15092.6</v>
      </c>
      <c r="I11" s="7" cm="1">
        <f t="array" ref="I11">INDEX(GMWA!$A$2:$CR$60,MATCH(1,(GMWA!$CQ$2:$CQ$60=I$3)*(GMWA!$CP$2:$CP$60=I$4)*(GMWA!$CR$2:$CR$60=I$1),0),$A11-1966)</f>
        <v>-604.05579999999998</v>
      </c>
      <c r="J11" s="7" cm="1">
        <f t="array" ref="J11">INDEX(GMWA!$A$2:$CR$60,MATCH(1,(GMWA!$CQ$2:$CQ$60=J$3)*(GMWA!$CP$2:$CP$60=J$4)*(GMWA!$CR$2:$CR$60=J$1),0),$A11-1966)</f>
        <v>94811</v>
      </c>
      <c r="K11" s="7" cm="1">
        <f t="array" ref="K11">INDEX(GMWA!$A$2:$CR$60,MATCH(1,(GMWA!$CQ$2:$CQ$60=K$3)*(GMWA!$CP$2:$CP$60=K$4)*(GMWA!$CR$2:$CR$60=K$1),0),$A11-1966)</f>
        <v>1570</v>
      </c>
      <c r="L11" s="7" cm="1">
        <f t="array" ref="L11">INDEX(GMWA!$A$2:$CR$60,MATCH(1,(GMWA!$CQ$2:$CQ$60=L$3)*(GMWA!$CP$2:$CP$60=L$4)*(GMWA!$CR$2:$CR$60=L$1),0),$A11-1966)</f>
        <v>456906</v>
      </c>
      <c r="M11" s="7" cm="1">
        <f t="array" ref="M11">INDEX(GMWA!$A$2:$CR$60,MATCH(1,(GMWA!$CQ$2:$CQ$60=M$3)*(GMWA!$CP$2:$CP$60=M$4)*(GMWA!$CR$2:$CR$60=M$1),0),$A11-1966)</f>
        <v>13478</v>
      </c>
    </row>
    <row r="12" spans="1:13" x14ac:dyDescent="0.35">
      <c r="A12" s="7">
        <f t="shared" si="1"/>
        <v>1978</v>
      </c>
      <c r="B12" s="7" cm="1">
        <f t="array" ref="B12">INDEX(GMWA!$A$2:$CR$60,MATCH(1,(GMWA!$CQ$2:$CQ$60=B$3)*(GMWA!$CP$2:$CP$60=B$4)*(GMWA!$CR$2:$CR$60=B$1),0),$A12-1966)</f>
        <v>118869</v>
      </c>
      <c r="C12" s="7" cm="1">
        <f t="array" ref="C12">INDEX(GMWA!$A$2:$CR$60,MATCH(1,(GMWA!$CQ$2:$CQ$60=C$3)*(GMWA!$CP$2:$CP$60=C$4)*(GMWA!$CR$2:$CR$60=C$1),0),$A12-1966)</f>
        <v>85868</v>
      </c>
      <c r="D12" s="7" cm="1">
        <f t="array" ref="D12">INDEX(GMWA!$A$2:$CR$60,MATCH(1,(GMWA!$CQ$2:$CQ$60=D$3)*(GMWA!$CP$2:$CP$60=D$4)*(GMWA!$CR$2:$CR$60=D$1),0),$A12-1966)</f>
        <v>22268.12</v>
      </c>
      <c r="E12" s="7" cm="1">
        <f t="array" ref="E12">INDEX(GMWA!$A$2:$CR$60,MATCH(1,(GMWA!$CQ$2:$CQ$60=E$3)*(GMWA!$CP$2:$CP$60=E$4)*(GMWA!$CR$2:$CR$60=E$1),0),$A12-1966)</f>
        <v>22.821459999999998</v>
      </c>
      <c r="F12" s="7" cm="1">
        <f t="array" ref="F12">INDEX(GMWA!$A$2:$CR$60,MATCH(1,(GMWA!$CQ$2:$CQ$60=F$3)*(GMWA!$CP$2:$CP$60=F$4)*(GMWA!$CR$2:$CR$60=F$1),0),$A12-1966)</f>
        <v>19247.240000000002</v>
      </c>
      <c r="G12" s="7" cm="1">
        <f t="array" ref="G12">INDEX(GMWA!$A$2:$CR$60,MATCH(1,(GMWA!$CQ$2:$CQ$60=G$3)*(GMWA!$CP$2:$CP$60=G$4)*(GMWA!$CR$2:$CR$60=G$1),0),$A12-1966)</f>
        <v>4257.1980000000003</v>
      </c>
      <c r="H12" s="7" cm="1">
        <f t="array" ref="H12">INDEX(GMWA!$A$2:$CR$60,MATCH(1,(GMWA!$CQ$2:$CQ$60=H$3)*(GMWA!$CP$2:$CP$60=H$4)*(GMWA!$CR$2:$CR$60=H$1),0),$A12-1966)</f>
        <v>17959.91</v>
      </c>
      <c r="I12" s="7" cm="1">
        <f t="array" ref="I12">INDEX(GMWA!$A$2:$CR$60,MATCH(1,(GMWA!$CQ$2:$CQ$60=I$3)*(GMWA!$CP$2:$CP$60=I$4)*(GMWA!$CR$2:$CR$60=I$1),0),$A12-1966)</f>
        <v>-1021.3579999999999</v>
      </c>
      <c r="J12" s="7" cm="1">
        <f t="array" ref="J12">INDEX(GMWA!$A$2:$CR$60,MATCH(1,(GMWA!$CQ$2:$CQ$60=J$3)*(GMWA!$CP$2:$CP$60=J$4)*(GMWA!$CR$2:$CR$60=J$1),0),$A12-1966)</f>
        <v>109917</v>
      </c>
      <c r="K12" s="7" cm="1">
        <f t="array" ref="K12">INDEX(GMWA!$A$2:$CR$60,MATCH(1,(GMWA!$CQ$2:$CQ$60=K$3)*(GMWA!$CP$2:$CP$60=K$4)*(GMWA!$CR$2:$CR$60=K$1),0),$A12-1966)</f>
        <v>1702</v>
      </c>
      <c r="L12" s="7" cm="1">
        <f t="array" ref="L12">INDEX(GMWA!$A$2:$CR$60,MATCH(1,(GMWA!$CQ$2:$CQ$60=L$3)*(GMWA!$CP$2:$CP$60=L$4)*(GMWA!$CR$2:$CR$60=L$1),0),$A12-1966)</f>
        <v>481558</v>
      </c>
      <c r="M12" s="7" cm="1">
        <f t="array" ref="M12">INDEX(GMWA!$A$2:$CR$60,MATCH(1,(GMWA!$CQ$2:$CQ$60=M$3)*(GMWA!$CP$2:$CP$60=M$4)*(GMWA!$CR$2:$CR$60=M$1),0),$A12-1966)</f>
        <v>13811</v>
      </c>
    </row>
    <row r="13" spans="1:13" x14ac:dyDescent="0.35">
      <c r="A13" s="7">
        <f t="shared" si="1"/>
        <v>1979</v>
      </c>
      <c r="B13" s="7" cm="1">
        <f t="array" ref="B13">INDEX(GMWA!$A$2:$CR$60,MATCH(1,(GMWA!$CQ$2:$CQ$60=B$3)*(GMWA!$CP$2:$CP$60=B$4)*(GMWA!$CR$2:$CR$60=B$1),0),$A13-1966)</f>
        <v>143321</v>
      </c>
      <c r="C13" s="7" cm="1">
        <f t="array" ref="C13">INDEX(GMWA!$A$2:$CR$60,MATCH(1,(GMWA!$CQ$2:$CQ$60=C$3)*(GMWA!$CP$2:$CP$60=C$4)*(GMWA!$CR$2:$CR$60=C$1),0),$A13-1966)</f>
        <v>100636</v>
      </c>
      <c r="D13" s="7" cm="1">
        <f t="array" ref="D13">INDEX(GMWA!$A$2:$CR$60,MATCH(1,(GMWA!$CQ$2:$CQ$60=D$3)*(GMWA!$CP$2:$CP$60=D$4)*(GMWA!$CR$2:$CR$60=D$1),0),$A13-1966)</f>
        <v>22552.86</v>
      </c>
      <c r="E13" s="7" cm="1">
        <f t="array" ref="E13">INDEX(GMWA!$A$2:$CR$60,MATCH(1,(GMWA!$CQ$2:$CQ$60=E$3)*(GMWA!$CP$2:$CP$60=E$4)*(GMWA!$CR$2:$CR$60=E$1),0),$A13-1966)</f>
        <v>25.969390000000001</v>
      </c>
      <c r="F13" s="7" cm="1">
        <f t="array" ref="F13">INDEX(GMWA!$A$2:$CR$60,MATCH(1,(GMWA!$CQ$2:$CQ$60=F$3)*(GMWA!$CP$2:$CP$60=F$4)*(GMWA!$CR$2:$CR$60=F$1),0),$A13-1966)</f>
        <v>21350</v>
      </c>
      <c r="G13" s="7" cm="1">
        <f t="array" ref="G13">INDEX(GMWA!$A$2:$CR$60,MATCH(1,(GMWA!$CQ$2:$CQ$60=G$3)*(GMWA!$CP$2:$CP$60=G$4)*(GMWA!$CR$2:$CR$60=G$1),0),$A13-1966)</f>
        <v>4895.9880000000003</v>
      </c>
      <c r="H13" s="7" cm="1">
        <f t="array" ref="H13">INDEX(GMWA!$A$2:$CR$60,MATCH(1,(GMWA!$CQ$2:$CQ$60=H$3)*(GMWA!$CP$2:$CP$60=H$4)*(GMWA!$CR$2:$CR$60=H$1),0),$A13-1966)</f>
        <v>21383.19</v>
      </c>
      <c r="I13" s="7" cm="1">
        <f t="array" ref="I13">INDEX(GMWA!$A$2:$CR$60,MATCH(1,(GMWA!$CQ$2:$CQ$60=I$3)*(GMWA!$CP$2:$CP$60=I$4)*(GMWA!$CR$2:$CR$60=I$1),0),$A13-1966)</f>
        <v>-1336.26</v>
      </c>
      <c r="J13" s="7" cm="1">
        <f t="array" ref="J13">INDEX(GMWA!$A$2:$CR$60,MATCH(1,(GMWA!$CQ$2:$CQ$60=J$3)*(GMWA!$CP$2:$CP$60=J$4)*(GMWA!$CR$2:$CR$60=J$1),0),$A13-1966)</f>
        <v>130985</v>
      </c>
      <c r="K13" s="7" cm="1">
        <f t="array" ref="K13">INDEX(GMWA!$A$2:$CR$60,MATCH(1,(GMWA!$CQ$2:$CQ$60=K$3)*(GMWA!$CP$2:$CP$60=K$4)*(GMWA!$CR$2:$CR$60=K$1),0),$A13-1966)</f>
        <v>1952</v>
      </c>
      <c r="L13" s="7" cm="1">
        <f t="array" ref="L13">INDEX(GMWA!$A$2:$CR$60,MATCH(1,(GMWA!$CQ$2:$CQ$60=L$3)*(GMWA!$CP$2:$CP$60=L$4)*(GMWA!$CR$2:$CR$60=L$1),0),$A13-1966)</f>
        <v>504380</v>
      </c>
      <c r="M13" s="7" cm="1">
        <f t="array" ref="M13">INDEX(GMWA!$A$2:$CR$60,MATCH(1,(GMWA!$CQ$2:$CQ$60=M$3)*(GMWA!$CP$2:$CP$60=M$4)*(GMWA!$CR$2:$CR$60=M$1),0),$A13-1966)</f>
        <v>14032</v>
      </c>
    </row>
    <row r="14" spans="1:13" x14ac:dyDescent="0.35">
      <c r="A14" s="7">
        <f t="shared" si="1"/>
        <v>1980</v>
      </c>
      <c r="B14" s="7" cm="1">
        <f t="array" ref="B14">INDEX(GMWA!$A$2:$CR$60,MATCH(1,(GMWA!$CQ$2:$CQ$60=B$3)*(GMWA!$CP$2:$CP$60=B$4)*(GMWA!$CR$2:$CR$60=B$1),0),$A14-1966)</f>
        <v>170405</v>
      </c>
      <c r="C14" s="7" cm="1">
        <f t="array" ref="C14">INDEX(GMWA!$A$2:$CR$60,MATCH(1,(GMWA!$CQ$2:$CQ$60=C$3)*(GMWA!$CP$2:$CP$60=C$4)*(GMWA!$CR$2:$CR$60=C$1),0),$A14-1966)</f>
        <v>119333</v>
      </c>
      <c r="D14" s="7" cm="1">
        <f t="array" ref="D14">INDEX(GMWA!$A$2:$CR$60,MATCH(1,(GMWA!$CQ$2:$CQ$60=D$3)*(GMWA!$CP$2:$CP$60=D$4)*(GMWA!$CR$2:$CR$60=D$1),0),$A14-1966)</f>
        <v>22215.99</v>
      </c>
      <c r="E14" s="7" cm="1">
        <f t="array" ref="E14">INDEX(GMWA!$A$2:$CR$60,MATCH(1,(GMWA!$CQ$2:$CQ$60=E$3)*(GMWA!$CP$2:$CP$60=E$4)*(GMWA!$CR$2:$CR$60=E$1),0),$A14-1966)</f>
        <v>30.355029999999999</v>
      </c>
      <c r="F14" s="7" cm="1">
        <f t="array" ref="F14">INDEX(GMWA!$A$2:$CR$60,MATCH(1,(GMWA!$CQ$2:$CQ$60=F$3)*(GMWA!$CP$2:$CP$60=F$4)*(GMWA!$CR$2:$CR$60=F$1),0),$A14-1966)</f>
        <v>25402.2</v>
      </c>
      <c r="G14" s="7" cm="1">
        <f t="array" ref="G14">INDEX(GMWA!$A$2:$CR$60,MATCH(1,(GMWA!$CQ$2:$CQ$60=G$3)*(GMWA!$CP$2:$CP$60=G$4)*(GMWA!$CR$2:$CR$60=G$1),0),$A14-1966)</f>
        <v>6048.98</v>
      </c>
      <c r="H14" s="7" cm="1">
        <f t="array" ref="H14">INDEX(GMWA!$A$2:$CR$60,MATCH(1,(GMWA!$CQ$2:$CQ$60=H$3)*(GMWA!$CP$2:$CP$60=H$4)*(GMWA!$CR$2:$CR$60=H$1),0),$A14-1966)</f>
        <v>26158.69</v>
      </c>
      <c r="I14" s="7" cm="1">
        <f t="array" ref="I14">INDEX(GMWA!$A$2:$CR$60,MATCH(1,(GMWA!$CQ$2:$CQ$60=I$3)*(GMWA!$CP$2:$CP$60=I$4)*(GMWA!$CR$2:$CR$60=I$1),0),$A14-1966)</f>
        <v>-1503.6279999999999</v>
      </c>
      <c r="J14" s="7" cm="1">
        <f t="array" ref="J14">INDEX(GMWA!$A$2:$CR$60,MATCH(1,(GMWA!$CQ$2:$CQ$60=J$3)*(GMWA!$CP$2:$CP$60=J$4)*(GMWA!$CR$2:$CR$60=J$1),0),$A14-1966)</f>
        <v>153233</v>
      </c>
      <c r="K14" s="7" cm="1">
        <f t="array" ref="K14">INDEX(GMWA!$A$2:$CR$60,MATCH(1,(GMWA!$CQ$2:$CQ$60=K$3)*(GMWA!$CP$2:$CP$60=K$4)*(GMWA!$CR$2:$CR$60=K$1),0),$A14-1966)</f>
        <v>2429</v>
      </c>
      <c r="L14" s="7" cm="1">
        <f t="array" ref="L14">INDEX(GMWA!$A$2:$CR$60,MATCH(1,(GMWA!$CQ$2:$CQ$60=L$3)*(GMWA!$CP$2:$CP$60=L$4)*(GMWA!$CR$2:$CR$60=L$1),0),$A14-1966)</f>
        <v>504992</v>
      </c>
      <c r="M14" s="7" cm="1">
        <f t="array" ref="M14">INDEX(GMWA!$A$2:$CR$60,MATCH(1,(GMWA!$CQ$2:$CQ$60=M$3)*(GMWA!$CP$2:$CP$60=M$4)*(GMWA!$CR$2:$CR$60=M$1),0),$A14-1966)</f>
        <v>14117</v>
      </c>
    </row>
    <row r="15" spans="1:13" x14ac:dyDescent="0.35">
      <c r="A15" s="7">
        <f t="shared" si="1"/>
        <v>1981</v>
      </c>
      <c r="B15" s="7" cm="1">
        <f t="array" ref="B15">INDEX(GMWA!$A$2:$CR$60,MATCH(1,(GMWA!$CQ$2:$CQ$60=B$3)*(GMWA!$CP$2:$CP$60=B$4)*(GMWA!$CR$2:$CR$60=B$1),0),$A15-1966)</f>
        <v>191355</v>
      </c>
      <c r="C15" s="7" cm="1">
        <f t="array" ref="C15">INDEX(GMWA!$A$2:$CR$60,MATCH(1,(GMWA!$CQ$2:$CQ$60=C$3)*(GMWA!$CP$2:$CP$60=C$4)*(GMWA!$CR$2:$CR$60=C$1),0),$A15-1966)</f>
        <v>127973</v>
      </c>
      <c r="D15" s="7" cm="1">
        <f t="array" ref="D15">INDEX(GMWA!$A$2:$CR$60,MATCH(1,(GMWA!$CQ$2:$CQ$60=D$3)*(GMWA!$CP$2:$CP$60=D$4)*(GMWA!$CR$2:$CR$60=D$1),0),$A15-1966)</f>
        <v>21309.56</v>
      </c>
      <c r="E15" s="7" cm="1">
        <f t="array" ref="E15">INDEX(GMWA!$A$2:$CR$60,MATCH(1,(GMWA!$CQ$2:$CQ$60=E$3)*(GMWA!$CP$2:$CP$60=E$4)*(GMWA!$CR$2:$CR$60=E$1),0),$A15-1966)</f>
        <v>34.106720000000003</v>
      </c>
      <c r="F15" s="7" cm="1">
        <f t="array" ref="F15">INDEX(GMWA!$A$2:$CR$60,MATCH(1,(GMWA!$CQ$2:$CQ$60=F$3)*(GMWA!$CP$2:$CP$60=F$4)*(GMWA!$CR$2:$CR$60=F$1),0),$A15-1966)</f>
        <v>28632.5</v>
      </c>
      <c r="G15" s="7" cm="1">
        <f t="array" ref="G15">INDEX(GMWA!$A$2:$CR$60,MATCH(1,(GMWA!$CQ$2:$CQ$60=G$3)*(GMWA!$CP$2:$CP$60=G$4)*(GMWA!$CR$2:$CR$60=G$1),0),$A15-1966)</f>
        <v>7498.6660000000002</v>
      </c>
      <c r="H15" s="7" cm="1">
        <f t="array" ref="H15">INDEX(GMWA!$A$2:$CR$60,MATCH(1,(GMWA!$CQ$2:$CQ$60=H$3)*(GMWA!$CP$2:$CP$60=H$4)*(GMWA!$CR$2:$CR$60=H$1),0),$A15-1966)</f>
        <v>32390.98</v>
      </c>
      <c r="I15" s="7" cm="1">
        <f t="array" ref="I15">INDEX(GMWA!$A$2:$CR$60,MATCH(1,(GMWA!$CQ$2:$CQ$60=I$3)*(GMWA!$CP$2:$CP$60=I$4)*(GMWA!$CR$2:$CR$60=I$1),0),$A15-1966)</f>
        <v>-2041.972</v>
      </c>
      <c r="J15" s="7" cm="1">
        <f t="array" ref="J15">INDEX(GMWA!$A$2:$CR$60,MATCH(1,(GMWA!$CQ$2:$CQ$60=J$3)*(GMWA!$CP$2:$CP$60=J$4)*(GMWA!$CR$2:$CR$60=J$1),0),$A15-1966)</f>
        <v>172721</v>
      </c>
      <c r="K15" s="7" cm="1">
        <f t="array" ref="K15">INDEX(GMWA!$A$2:$CR$60,MATCH(1,(GMWA!$CQ$2:$CQ$60=K$3)*(GMWA!$CP$2:$CP$60=K$4)*(GMWA!$CR$2:$CR$60=K$1),0),$A15-1966)</f>
        <v>2836</v>
      </c>
      <c r="L15" s="7" cm="1">
        <f t="array" ref="L15">INDEX(GMWA!$A$2:$CR$60,MATCH(1,(GMWA!$CQ$2:$CQ$60=L$3)*(GMWA!$CP$2:$CP$60=L$4)*(GMWA!$CR$2:$CR$60=L$1),0),$A15-1966)</f>
        <v>506426</v>
      </c>
      <c r="M15" s="7" cm="1">
        <f t="array" ref="M15">INDEX(GMWA!$A$2:$CR$60,MATCH(1,(GMWA!$CQ$2:$CQ$60=M$3)*(GMWA!$CP$2:$CP$60=M$4)*(GMWA!$CR$2:$CR$60=M$1),0),$A15-1966)</f>
        <v>14870</v>
      </c>
    </row>
    <row r="16" spans="1:13" x14ac:dyDescent="0.35">
      <c r="A16" s="7">
        <f t="shared" si="1"/>
        <v>1982</v>
      </c>
      <c r="B16" s="7" cm="1">
        <f t="array" ref="B16">INDEX(GMWA!$A$2:$CR$60,MATCH(1,(GMWA!$CQ$2:$CQ$60=B$3)*(GMWA!$CP$2:$CP$60=B$4)*(GMWA!$CR$2:$CR$60=B$1),0),$A16-1966)</f>
        <v>209792</v>
      </c>
      <c r="C16" s="7" cm="1">
        <f t="array" ref="C16">INDEX(GMWA!$A$2:$CR$60,MATCH(1,(GMWA!$CQ$2:$CQ$60=C$3)*(GMWA!$CP$2:$CP$60=C$4)*(GMWA!$CR$2:$CR$60=C$1),0),$A16-1966)</f>
        <v>136108</v>
      </c>
      <c r="D16" s="7" cm="1">
        <f t="array" ref="D16">INDEX(GMWA!$A$2:$CR$60,MATCH(1,(GMWA!$CQ$2:$CQ$60=D$3)*(GMWA!$CP$2:$CP$60=D$4)*(GMWA!$CR$2:$CR$60=D$1),0),$A16-1966)</f>
        <v>20834.97</v>
      </c>
      <c r="E16" s="7" cm="1">
        <f t="array" ref="E16">INDEX(GMWA!$A$2:$CR$60,MATCH(1,(GMWA!$CQ$2:$CQ$60=E$3)*(GMWA!$CP$2:$CP$60=E$4)*(GMWA!$CR$2:$CR$60=E$1),0),$A16-1966)</f>
        <v>37.254219999999997</v>
      </c>
      <c r="F16" s="7" cm="1">
        <f t="array" ref="F16">INDEX(GMWA!$A$2:$CR$60,MATCH(1,(GMWA!$CQ$2:$CQ$60=F$3)*(GMWA!$CP$2:$CP$60=F$4)*(GMWA!$CR$2:$CR$60=F$1),0),$A16-1966)</f>
        <v>31023.07</v>
      </c>
      <c r="G16" s="7" cm="1">
        <f t="array" ref="G16">INDEX(GMWA!$A$2:$CR$60,MATCH(1,(GMWA!$CQ$2:$CQ$60=G$3)*(GMWA!$CP$2:$CP$60=G$4)*(GMWA!$CR$2:$CR$60=G$1),0),$A16-1966)</f>
        <v>9239.7659999999996</v>
      </c>
      <c r="H16" s="7" cm="1">
        <f t="array" ref="H16">INDEX(GMWA!$A$2:$CR$60,MATCH(1,(GMWA!$CQ$2:$CQ$60=H$3)*(GMWA!$CP$2:$CP$60=H$4)*(GMWA!$CR$2:$CR$60=H$1),0),$A16-1966)</f>
        <v>37756.629999999997</v>
      </c>
      <c r="I16" s="7" cm="1">
        <f t="array" ref="I16">INDEX(GMWA!$A$2:$CR$60,MATCH(1,(GMWA!$CQ$2:$CQ$60=I$3)*(GMWA!$CP$2:$CP$60=I$4)*(GMWA!$CR$2:$CR$60=I$1),0),$A16-1966)</f>
        <v>-2267.163</v>
      </c>
      <c r="J16" s="7" cm="1">
        <f t="array" ref="J16">INDEX(GMWA!$A$2:$CR$60,MATCH(1,(GMWA!$CQ$2:$CQ$60=J$3)*(GMWA!$CP$2:$CP$60=J$4)*(GMWA!$CR$2:$CR$60=J$1),0),$A16-1966)</f>
        <v>190883</v>
      </c>
      <c r="K16" s="7" cm="1">
        <f t="array" ref="K16">INDEX(GMWA!$A$2:$CR$60,MATCH(1,(GMWA!$CQ$2:$CQ$60=K$3)*(GMWA!$CP$2:$CP$60=K$4)*(GMWA!$CR$2:$CR$60=K$1),0),$A16-1966)</f>
        <v>3162</v>
      </c>
      <c r="L16" s="7" cm="1">
        <f t="array" ref="L16">INDEX(GMWA!$A$2:$CR$60,MATCH(1,(GMWA!$CQ$2:$CQ$60=L$3)*(GMWA!$CP$2:$CP$60=L$4)*(GMWA!$CR$2:$CR$60=L$1),0),$A16-1966)</f>
        <v>512285</v>
      </c>
      <c r="M16" s="7" cm="1">
        <f t="array" ref="M16">INDEX(GMWA!$A$2:$CR$60,MATCH(1,(GMWA!$CQ$2:$CQ$60=M$3)*(GMWA!$CP$2:$CP$60=M$4)*(GMWA!$CR$2:$CR$60=M$1),0),$A16-1966)</f>
        <v>15806</v>
      </c>
    </row>
    <row r="17" spans="1:13" x14ac:dyDescent="0.35">
      <c r="A17" s="7">
        <f t="shared" si="1"/>
        <v>1983</v>
      </c>
      <c r="B17" s="7" cm="1">
        <f t="array" ref="B17">INDEX(GMWA!$A$2:$CR$60,MATCH(1,(GMWA!$CQ$2:$CQ$60=B$3)*(GMWA!$CP$2:$CP$60=B$4)*(GMWA!$CR$2:$CR$60=B$1),0),$A17-1966)</f>
        <v>226975</v>
      </c>
      <c r="C17" s="7" cm="1">
        <f t="array" ref="C17">INDEX(GMWA!$A$2:$CR$60,MATCH(1,(GMWA!$CQ$2:$CQ$60=C$3)*(GMWA!$CP$2:$CP$60=C$4)*(GMWA!$CR$2:$CR$60=C$1),0),$A17-1966)</f>
        <v>145939</v>
      </c>
      <c r="D17" s="7" cm="1">
        <f t="array" ref="D17">INDEX(GMWA!$A$2:$CR$60,MATCH(1,(GMWA!$CQ$2:$CQ$60=D$3)*(GMWA!$CP$2:$CP$60=D$4)*(GMWA!$CR$2:$CR$60=D$1),0),$A17-1966)</f>
        <v>20623.89</v>
      </c>
      <c r="E17" s="7" cm="1">
        <f t="array" ref="E17">INDEX(GMWA!$A$2:$CR$60,MATCH(1,(GMWA!$CQ$2:$CQ$60=E$3)*(GMWA!$CP$2:$CP$60=E$4)*(GMWA!$CR$2:$CR$60=E$1),0),$A17-1966)</f>
        <v>39.421100000000003</v>
      </c>
      <c r="F17" s="7" cm="1">
        <f t="array" ref="F17">INDEX(GMWA!$A$2:$CR$60,MATCH(1,(GMWA!$CQ$2:$CQ$60=F$3)*(GMWA!$CP$2:$CP$60=F$4)*(GMWA!$CR$2:$CR$60=F$1),0),$A17-1966)</f>
        <v>32817.24</v>
      </c>
      <c r="G17" s="7" cm="1">
        <f t="array" ref="G17">INDEX(GMWA!$A$2:$CR$60,MATCH(1,(GMWA!$CQ$2:$CQ$60=G$3)*(GMWA!$CP$2:$CP$60=G$4)*(GMWA!$CR$2:$CR$60=G$1),0),$A17-1966)</f>
        <v>10816.16</v>
      </c>
      <c r="H17" s="7" cm="1">
        <f t="array" ref="H17">INDEX(GMWA!$A$2:$CR$60,MATCH(1,(GMWA!$CQ$2:$CQ$60=H$3)*(GMWA!$CP$2:$CP$60=H$4)*(GMWA!$CR$2:$CR$60=H$1),0),$A17-1966)</f>
        <v>39197.33</v>
      </c>
      <c r="I17" s="7" cm="1">
        <f t="array" ref="I17">INDEX(GMWA!$A$2:$CR$60,MATCH(1,(GMWA!$CQ$2:$CQ$60=I$3)*(GMWA!$CP$2:$CP$60=I$4)*(GMWA!$CR$2:$CR$60=I$1),0),$A17-1966)</f>
        <v>-2161.116</v>
      </c>
      <c r="J17" s="7" cm="1">
        <f t="array" ref="J17">INDEX(GMWA!$A$2:$CR$60,MATCH(1,(GMWA!$CQ$2:$CQ$60=J$3)*(GMWA!$CP$2:$CP$60=J$4)*(GMWA!$CR$2:$CR$60=J$1),0),$A17-1966)</f>
        <v>210722</v>
      </c>
      <c r="K17" s="7" cm="1">
        <f t="array" ref="K17">INDEX(GMWA!$A$2:$CR$60,MATCH(1,(GMWA!$CQ$2:$CQ$60=K$3)*(GMWA!$CP$2:$CP$60=K$4)*(GMWA!$CR$2:$CR$60=K$1),0),$A17-1966)</f>
        <v>3539</v>
      </c>
      <c r="L17" s="7" cm="1">
        <f t="array" ref="L17">INDEX(GMWA!$A$2:$CR$60,MATCH(1,(GMWA!$CQ$2:$CQ$60=L$3)*(GMWA!$CP$2:$CP$60=L$4)*(GMWA!$CR$2:$CR$60=L$1),0),$A17-1966)</f>
        <v>534478</v>
      </c>
      <c r="M17" s="7" cm="1">
        <f t="array" ref="M17">INDEX(GMWA!$A$2:$CR$60,MATCH(1,(GMWA!$CQ$2:$CQ$60=M$3)*(GMWA!$CP$2:$CP$60=M$4)*(GMWA!$CR$2:$CR$60=M$1),0),$A17-1966)</f>
        <v>16555</v>
      </c>
    </row>
    <row r="18" spans="1:13" x14ac:dyDescent="0.35">
      <c r="A18" s="7">
        <f t="shared" si="1"/>
        <v>1984</v>
      </c>
      <c r="B18" s="7" cm="1">
        <f t="array" ref="B18">INDEX(GMWA!$A$2:$CR$60,MATCH(1,(GMWA!$CQ$2:$CQ$60=B$3)*(GMWA!$CP$2:$CP$60=B$4)*(GMWA!$CR$2:$CR$60=B$1),0),$A18-1966)</f>
        <v>247782</v>
      </c>
      <c r="C18" s="7" cm="1">
        <f t="array" ref="C18">INDEX(GMWA!$A$2:$CR$60,MATCH(1,(GMWA!$CQ$2:$CQ$60=C$3)*(GMWA!$CP$2:$CP$60=C$4)*(GMWA!$CR$2:$CR$60=C$1),0),$A18-1966)</f>
        <v>156357</v>
      </c>
      <c r="D18" s="7" cm="1">
        <f t="array" ref="D18">INDEX(GMWA!$A$2:$CR$60,MATCH(1,(GMWA!$CQ$2:$CQ$60=D$3)*(GMWA!$CP$2:$CP$60=D$4)*(GMWA!$CR$2:$CR$60=D$1),0),$A18-1966)</f>
        <v>20830.25</v>
      </c>
      <c r="E18" s="7" cm="1">
        <f t="array" ref="E18">INDEX(GMWA!$A$2:$CR$60,MATCH(1,(GMWA!$CQ$2:$CQ$60=E$3)*(GMWA!$CP$2:$CP$60=E$4)*(GMWA!$CR$2:$CR$60=E$1),0),$A18-1966)</f>
        <v>41.516489999999997</v>
      </c>
      <c r="F18" s="7" cm="1">
        <f t="array" ref="F18">INDEX(GMWA!$A$2:$CR$60,MATCH(1,(GMWA!$CQ$2:$CQ$60=F$3)*(GMWA!$CP$2:$CP$60=F$4)*(GMWA!$CR$2:$CR$60=F$1),0),$A18-1966)</f>
        <v>34356.22</v>
      </c>
      <c r="G18" s="7" cm="1">
        <f t="array" ref="G18">INDEX(GMWA!$A$2:$CR$60,MATCH(1,(GMWA!$CQ$2:$CQ$60=G$3)*(GMWA!$CP$2:$CP$60=G$4)*(GMWA!$CR$2:$CR$60=G$1),0),$A18-1966)</f>
        <v>11670.34</v>
      </c>
      <c r="H18" s="7" cm="1">
        <f t="array" ref="H18">INDEX(GMWA!$A$2:$CR$60,MATCH(1,(GMWA!$CQ$2:$CQ$60=H$3)*(GMWA!$CP$2:$CP$60=H$4)*(GMWA!$CR$2:$CR$60=H$1),0),$A18-1966)</f>
        <v>41956.05</v>
      </c>
      <c r="I18" s="7" cm="1">
        <f t="array" ref="I18">INDEX(GMWA!$A$2:$CR$60,MATCH(1,(GMWA!$CQ$2:$CQ$60=I$3)*(GMWA!$CP$2:$CP$60=I$4)*(GMWA!$CR$2:$CR$60=I$1),0),$A18-1966)</f>
        <v>-2225.4879999999998</v>
      </c>
      <c r="J18" s="7" cm="1">
        <f t="array" ref="J18">INDEX(GMWA!$A$2:$CR$60,MATCH(1,(GMWA!$CQ$2:$CQ$60=J$3)*(GMWA!$CP$2:$CP$60=J$4)*(GMWA!$CR$2:$CR$60=J$1),0),$A18-1966)</f>
        <v>227316</v>
      </c>
      <c r="K18" s="7" cm="1">
        <f t="array" ref="K18">INDEX(GMWA!$A$2:$CR$60,MATCH(1,(GMWA!$CQ$2:$CQ$60=K$3)*(GMWA!$CP$2:$CP$60=K$4)*(GMWA!$CR$2:$CR$60=K$1),0),$A18-1966)</f>
        <v>3940</v>
      </c>
      <c r="L18" s="7" cm="1">
        <f t="array" ref="L18">INDEX(GMWA!$A$2:$CR$60,MATCH(1,(GMWA!$CQ$2:$CQ$60=L$3)*(GMWA!$CP$2:$CP$60=L$4)*(GMWA!$CR$2:$CR$60=L$1),0),$A18-1966)</f>
        <v>547479</v>
      </c>
      <c r="M18" s="7" cm="1">
        <f t="array" ref="M18">INDEX(GMWA!$A$2:$CR$60,MATCH(1,(GMWA!$CQ$2:$CQ$60=M$3)*(GMWA!$CP$2:$CP$60=M$4)*(GMWA!$CR$2:$CR$60=M$1),0),$A18-1966)</f>
        <v>17436</v>
      </c>
    </row>
    <row r="19" spans="1:13" x14ac:dyDescent="0.35">
      <c r="A19" s="7">
        <f t="shared" si="1"/>
        <v>1985</v>
      </c>
      <c r="B19" s="7" cm="1">
        <f t="array" ref="B19">INDEX(GMWA!$A$2:$CR$60,MATCH(1,(GMWA!$CQ$2:$CQ$60=B$3)*(GMWA!$CP$2:$CP$60=B$4)*(GMWA!$CR$2:$CR$60=B$1),0),$A19-1966)</f>
        <v>268993</v>
      </c>
      <c r="C19" s="7" cm="1">
        <f t="array" ref="C19">INDEX(GMWA!$A$2:$CR$60,MATCH(1,(GMWA!$CQ$2:$CQ$60=C$3)*(GMWA!$CP$2:$CP$60=C$4)*(GMWA!$CR$2:$CR$60=C$1),0),$A19-1966)</f>
        <v>170977</v>
      </c>
      <c r="D19" s="7" cm="1">
        <f t="array" ref="D19">INDEX(GMWA!$A$2:$CR$60,MATCH(1,(GMWA!$CQ$2:$CQ$60=D$3)*(GMWA!$CP$2:$CP$60=D$4)*(GMWA!$CR$2:$CR$60=D$1),0),$A19-1966)</f>
        <v>20981.69</v>
      </c>
      <c r="E19" s="7" cm="1">
        <f t="array" ref="E19">INDEX(GMWA!$A$2:$CR$60,MATCH(1,(GMWA!$CQ$2:$CQ$60=E$3)*(GMWA!$CP$2:$CP$60=E$4)*(GMWA!$CR$2:$CR$60=E$1),0),$A19-1966)</f>
        <v>43.2333</v>
      </c>
      <c r="F19" s="7" cm="1">
        <f t="array" ref="F19">INDEX(GMWA!$A$2:$CR$60,MATCH(1,(GMWA!$CQ$2:$CQ$60=F$3)*(GMWA!$CP$2:$CP$60=F$4)*(GMWA!$CR$2:$CR$60=F$1),0),$A19-1966)</f>
        <v>37361.01</v>
      </c>
      <c r="G19" s="7" cm="1">
        <f t="array" ref="G19">INDEX(GMWA!$A$2:$CR$60,MATCH(1,(GMWA!$CQ$2:$CQ$60=G$3)*(GMWA!$CP$2:$CP$60=G$4)*(GMWA!$CR$2:$CR$60=G$1),0),$A19-1966)</f>
        <v>12633.28</v>
      </c>
      <c r="H19" s="7" cm="1">
        <f t="array" ref="H19">INDEX(GMWA!$A$2:$CR$60,MATCH(1,(GMWA!$CQ$2:$CQ$60=H$3)*(GMWA!$CP$2:$CP$60=H$4)*(GMWA!$CR$2:$CR$60=H$1),0),$A19-1966)</f>
        <v>45767.41</v>
      </c>
      <c r="I19" s="7" cm="1">
        <f t="array" ref="I19">INDEX(GMWA!$A$2:$CR$60,MATCH(1,(GMWA!$CQ$2:$CQ$60=I$3)*(GMWA!$CP$2:$CP$60=I$4)*(GMWA!$CR$2:$CR$60=I$1),0),$A19-1966)</f>
        <v>-2291.721</v>
      </c>
      <c r="J19" s="7" cm="1">
        <f t="array" ref="J19">INDEX(GMWA!$A$2:$CR$60,MATCH(1,(GMWA!$CQ$2:$CQ$60=J$3)*(GMWA!$CP$2:$CP$60=J$4)*(GMWA!$CR$2:$CR$60=J$1),0),$A19-1966)</f>
        <v>248664</v>
      </c>
      <c r="K19" s="7" cm="1">
        <f t="array" ref="K19">INDEX(GMWA!$A$2:$CR$60,MATCH(1,(GMWA!$CQ$2:$CQ$60=K$3)*(GMWA!$CP$2:$CP$60=K$4)*(GMWA!$CR$2:$CR$60=K$1),0),$A19-1966)</f>
        <v>4414</v>
      </c>
      <c r="L19" s="7" cm="1">
        <f t="array" ref="L19">INDEX(GMWA!$A$2:$CR$60,MATCH(1,(GMWA!$CQ$2:$CQ$60=L$3)*(GMWA!$CP$2:$CP$60=L$4)*(GMWA!$CR$2:$CR$60=L$1),0),$A19-1966)</f>
        <v>575061</v>
      </c>
      <c r="M19" s="7" cm="1">
        <f t="array" ref="M19">INDEX(GMWA!$A$2:$CR$60,MATCH(1,(GMWA!$CQ$2:$CQ$60=M$3)*(GMWA!$CP$2:$CP$60=M$4)*(GMWA!$CR$2:$CR$60=M$1),0),$A19-1966)</f>
        <v>18459</v>
      </c>
    </row>
    <row r="20" spans="1:13" x14ac:dyDescent="0.35">
      <c r="A20" s="7">
        <f t="shared" si="1"/>
        <v>1986</v>
      </c>
      <c r="B20" s="7" cm="1">
        <f t="array" ref="B20">INDEX(GMWA!$A$2:$CR$60,MATCH(1,(GMWA!$CQ$2:$CQ$60=B$3)*(GMWA!$CP$2:$CP$60=B$4)*(GMWA!$CR$2:$CR$60=B$1),0),$A20-1966)</f>
        <v>292036</v>
      </c>
      <c r="C20" s="7" cm="1">
        <f t="array" ref="C20">INDEX(GMWA!$A$2:$CR$60,MATCH(1,(GMWA!$CQ$2:$CQ$60=C$3)*(GMWA!$CP$2:$CP$60=C$4)*(GMWA!$CR$2:$CR$60=C$1),0),$A20-1966)</f>
        <v>184468</v>
      </c>
      <c r="D20" s="7" cm="1">
        <f t="array" ref="D20">INDEX(GMWA!$A$2:$CR$60,MATCH(1,(GMWA!$CQ$2:$CQ$60=D$3)*(GMWA!$CP$2:$CP$60=D$4)*(GMWA!$CR$2:$CR$60=D$1),0),$A20-1966)</f>
        <v>20961.89</v>
      </c>
      <c r="E20" s="7" cm="1">
        <f t="array" ref="E20">INDEX(GMWA!$A$2:$CR$60,MATCH(1,(GMWA!$CQ$2:$CQ$60=E$3)*(GMWA!$CP$2:$CP$60=E$4)*(GMWA!$CR$2:$CR$60=E$1),0),$A20-1966)</f>
        <v>45.00638</v>
      </c>
      <c r="F20" s="7" cm="1">
        <f t="array" ref="F20">INDEX(GMWA!$A$2:$CR$60,MATCH(1,(GMWA!$CQ$2:$CQ$60=F$3)*(GMWA!$CP$2:$CP$60=F$4)*(GMWA!$CR$2:$CR$60=F$1),0),$A20-1966)</f>
        <v>40358.879999999997</v>
      </c>
      <c r="G20" s="7" cm="1">
        <f t="array" ref="G20">INDEX(GMWA!$A$2:$CR$60,MATCH(1,(GMWA!$CQ$2:$CQ$60=G$3)*(GMWA!$CP$2:$CP$60=G$4)*(GMWA!$CR$2:$CR$60=G$1),0),$A20-1966)</f>
        <v>13330.14</v>
      </c>
      <c r="H20" s="7" cm="1">
        <f t="array" ref="H20">INDEX(GMWA!$A$2:$CR$60,MATCH(1,(GMWA!$CQ$2:$CQ$60=H$3)*(GMWA!$CP$2:$CP$60=H$4)*(GMWA!$CR$2:$CR$60=H$1),0),$A20-1966)</f>
        <v>49662.21</v>
      </c>
      <c r="I20" s="7" cm="1">
        <f t="array" ref="I20">INDEX(GMWA!$A$2:$CR$60,MATCH(1,(GMWA!$CQ$2:$CQ$60=I$3)*(GMWA!$CP$2:$CP$60=I$4)*(GMWA!$CR$2:$CR$60=I$1),0),$A20-1966)</f>
        <v>-1515.163</v>
      </c>
      <c r="J20" s="7" cm="1">
        <f t="array" ref="J20">INDEX(GMWA!$A$2:$CR$60,MATCH(1,(GMWA!$CQ$2:$CQ$60=J$3)*(GMWA!$CP$2:$CP$60=J$4)*(GMWA!$CR$2:$CR$60=J$1),0),$A20-1966)</f>
        <v>274186</v>
      </c>
      <c r="K20" s="7" cm="1">
        <f t="array" ref="K20">INDEX(GMWA!$A$2:$CR$60,MATCH(1,(GMWA!$CQ$2:$CQ$60=K$3)*(GMWA!$CP$2:$CP$60=K$4)*(GMWA!$CR$2:$CR$60=K$1),0),$A20-1966)</f>
        <v>5071</v>
      </c>
      <c r="L20" s="7" cm="1">
        <f t="array" ref="L20">INDEX(GMWA!$A$2:$CR$60,MATCH(1,(GMWA!$CQ$2:$CQ$60=L$3)*(GMWA!$CP$2:$CP$60=L$4)*(GMWA!$CR$2:$CR$60=L$1),0),$A20-1966)</f>
        <v>609143</v>
      </c>
      <c r="M20" s="7" cm="1">
        <f t="array" ref="M20">INDEX(GMWA!$A$2:$CR$60,MATCH(1,(GMWA!$CQ$2:$CQ$60=M$3)*(GMWA!$CP$2:$CP$60=M$4)*(GMWA!$CR$2:$CR$60=M$1),0),$A20-1966)</f>
        <v>18406</v>
      </c>
    </row>
    <row r="21" spans="1:13" x14ac:dyDescent="0.35">
      <c r="A21" s="7">
        <f t="shared" si="1"/>
        <v>1987</v>
      </c>
      <c r="B21" s="7" cm="1">
        <f t="array" ref="B21">INDEX(GMWA!$A$2:$CR$60,MATCH(1,(GMWA!$CQ$2:$CQ$60=B$3)*(GMWA!$CP$2:$CP$60=B$4)*(GMWA!$CR$2:$CR$60=B$1),0),$A21-1966)</f>
        <v>308812</v>
      </c>
      <c r="C21" s="7" cm="1">
        <f t="array" ref="C21">INDEX(GMWA!$A$2:$CR$60,MATCH(1,(GMWA!$CQ$2:$CQ$60=C$3)*(GMWA!$CP$2:$CP$60=C$4)*(GMWA!$CR$2:$CR$60=C$1),0),$A21-1966)</f>
        <v>199714</v>
      </c>
      <c r="D21" s="7" cm="1">
        <f t="array" ref="D21">INDEX(GMWA!$A$2:$CR$60,MATCH(1,(GMWA!$CQ$2:$CQ$60=D$3)*(GMWA!$CP$2:$CP$60=D$4)*(GMWA!$CR$2:$CR$60=D$1),0),$A21-1966)</f>
        <v>21257.8</v>
      </c>
      <c r="E21" s="7" cm="1">
        <f t="array" ref="E21">INDEX(GMWA!$A$2:$CR$60,MATCH(1,(GMWA!$CQ$2:$CQ$60=E$3)*(GMWA!$CP$2:$CP$60=E$4)*(GMWA!$CR$2:$CR$60=E$1),0),$A21-1966)</f>
        <v>46.958669999999998</v>
      </c>
      <c r="F21" s="7" cm="1">
        <f t="array" ref="F21">INDEX(GMWA!$A$2:$CR$60,MATCH(1,(GMWA!$CQ$2:$CQ$60=F$3)*(GMWA!$CP$2:$CP$60=F$4)*(GMWA!$CR$2:$CR$60=F$1),0),$A21-1966)</f>
        <v>43468</v>
      </c>
      <c r="G21" s="7" cm="1">
        <f t="array" ref="G21">INDEX(GMWA!$A$2:$CR$60,MATCH(1,(GMWA!$CQ$2:$CQ$60=G$3)*(GMWA!$CP$2:$CP$60=G$4)*(GMWA!$CR$2:$CR$60=G$1),0),$A21-1966)</f>
        <v>14539</v>
      </c>
      <c r="H21" s="7" cm="1">
        <f t="array" ref="H21">INDEX(GMWA!$A$2:$CR$60,MATCH(1,(GMWA!$CQ$2:$CQ$60=H$3)*(GMWA!$CP$2:$CP$60=H$4)*(GMWA!$CR$2:$CR$60=H$1),0),$A21-1966)</f>
        <v>51541</v>
      </c>
      <c r="I21" s="7" cm="1">
        <f t="array" ref="I21">INDEX(GMWA!$A$2:$CR$60,MATCH(1,(GMWA!$CQ$2:$CQ$60=I$3)*(GMWA!$CP$2:$CP$60=I$4)*(GMWA!$CR$2:$CR$60=I$1),0),$A21-1966)</f>
        <v>2331</v>
      </c>
      <c r="J21" s="7" cm="1">
        <f t="array" ref="J21">INDEX(GMWA!$A$2:$CR$60,MATCH(1,(GMWA!$CQ$2:$CQ$60=J$3)*(GMWA!$CP$2:$CP$60=J$4)*(GMWA!$CR$2:$CR$60=J$1),0),$A21-1966)</f>
        <v>301124</v>
      </c>
      <c r="K21" s="7" cm="1">
        <f t="array" ref="K21">INDEX(GMWA!$A$2:$CR$60,MATCH(1,(GMWA!$CQ$2:$CQ$60=K$3)*(GMWA!$CP$2:$CP$60=K$4)*(GMWA!$CR$2:$CR$60=K$1),0),$A21-1966)</f>
        <v>5726</v>
      </c>
      <c r="L21" s="7" cm="1">
        <f t="array" ref="L21">INDEX(GMWA!$A$2:$CR$60,MATCH(1,(GMWA!$CQ$2:$CQ$60=L$3)*(GMWA!$CP$2:$CP$60=L$4)*(GMWA!$CR$2:$CR$60=L$1),0),$A21-1966)</f>
        <v>641086</v>
      </c>
      <c r="M21" s="7" cm="1">
        <f t="array" ref="M21">INDEX(GMWA!$A$2:$CR$60,MATCH(1,(GMWA!$CQ$2:$CQ$60=M$3)*(GMWA!$CP$2:$CP$60=M$4)*(GMWA!$CR$2:$CR$60=M$1),0),$A21-1966)</f>
        <v>19424</v>
      </c>
    </row>
    <row r="22" spans="1:13" x14ac:dyDescent="0.35">
      <c r="A22" s="7">
        <f t="shared" si="1"/>
        <v>1988</v>
      </c>
      <c r="B22" s="7" cm="1">
        <f t="array" ref="B22">INDEX(GMWA!$A$2:$CR$60,MATCH(1,(GMWA!$CQ$2:$CQ$60=B$3)*(GMWA!$CP$2:$CP$60=B$4)*(GMWA!$CR$2:$CR$60=B$1),0),$A22-1966)</f>
        <v>341898</v>
      </c>
      <c r="C22" s="7" cm="1">
        <f t="array" ref="C22">INDEX(GMWA!$A$2:$CR$60,MATCH(1,(GMWA!$CQ$2:$CQ$60=C$3)*(GMWA!$CP$2:$CP$60=C$4)*(GMWA!$CR$2:$CR$60=C$1),0),$A22-1966)</f>
        <v>223421</v>
      </c>
      <c r="D22" s="7" cm="1">
        <f t="array" ref="D22">INDEX(GMWA!$A$2:$CR$60,MATCH(1,(GMWA!$CQ$2:$CQ$60=D$3)*(GMWA!$CP$2:$CP$60=D$4)*(GMWA!$CR$2:$CR$60=D$1),0),$A22-1966)</f>
        <v>21912.65</v>
      </c>
      <c r="E22" s="7" cm="1">
        <f t="array" ref="E22">INDEX(GMWA!$A$2:$CR$60,MATCH(1,(GMWA!$CQ$2:$CQ$60=E$3)*(GMWA!$CP$2:$CP$60=E$4)*(GMWA!$CR$2:$CR$60=E$1),0),$A22-1966)</f>
        <v>49.315049999999999</v>
      </c>
      <c r="F22" s="7" cm="1">
        <f t="array" ref="F22">INDEX(GMWA!$A$2:$CR$60,MATCH(1,(GMWA!$CQ$2:$CQ$60=F$3)*(GMWA!$CP$2:$CP$60=F$4)*(GMWA!$CR$2:$CR$60=F$1),0),$A22-1966)</f>
        <v>48427</v>
      </c>
      <c r="G22" s="7" cm="1">
        <f t="array" ref="G22">INDEX(GMWA!$A$2:$CR$60,MATCH(1,(GMWA!$CQ$2:$CQ$60=G$3)*(GMWA!$CP$2:$CP$60=G$4)*(GMWA!$CR$2:$CR$60=G$1),0),$A22-1966)</f>
        <v>15941</v>
      </c>
      <c r="H22" s="7" cm="1">
        <f t="array" ref="H22">INDEX(GMWA!$A$2:$CR$60,MATCH(1,(GMWA!$CQ$2:$CQ$60=H$3)*(GMWA!$CP$2:$CP$60=H$4)*(GMWA!$CR$2:$CR$60=H$1),0),$A22-1966)</f>
        <v>53010</v>
      </c>
      <c r="I22" s="7" cm="1">
        <f t="array" ref="I22">INDEX(GMWA!$A$2:$CR$60,MATCH(1,(GMWA!$CQ$2:$CQ$60=I$3)*(GMWA!$CP$2:$CP$60=I$4)*(GMWA!$CR$2:$CR$60=I$1),0),$A22-1966)</f>
        <v>1172</v>
      </c>
      <c r="J22" s="7" cm="1">
        <f t="array" ref="J22">INDEX(GMWA!$A$2:$CR$60,MATCH(1,(GMWA!$CQ$2:$CQ$60=J$3)*(GMWA!$CP$2:$CP$60=J$4)*(GMWA!$CR$2:$CR$60=J$1),0),$A22-1966)</f>
        <v>338673</v>
      </c>
      <c r="K22" s="7" cm="1">
        <f t="array" ref="K22">INDEX(GMWA!$A$2:$CR$60,MATCH(1,(GMWA!$CQ$2:$CQ$60=K$3)*(GMWA!$CP$2:$CP$60=K$4)*(GMWA!$CR$2:$CR$60=K$1),0),$A22-1966)</f>
        <v>6482</v>
      </c>
      <c r="L22" s="7" cm="1">
        <f t="array" ref="L22">INDEX(GMWA!$A$2:$CR$60,MATCH(1,(GMWA!$CQ$2:$CQ$60=L$3)*(GMWA!$CP$2:$CP$60=L$4)*(GMWA!$CR$2:$CR$60=L$1),0),$A22-1966)</f>
        <v>686594</v>
      </c>
      <c r="M22" s="7" cm="1">
        <f t="array" ref="M22">INDEX(GMWA!$A$2:$CR$60,MATCH(1,(GMWA!$CQ$2:$CQ$60=M$3)*(GMWA!$CP$2:$CP$60=M$4)*(GMWA!$CR$2:$CR$60=M$1),0),$A22-1966)</f>
        <v>20867</v>
      </c>
    </row>
    <row r="23" spans="1:13" x14ac:dyDescent="0.35">
      <c r="A23" s="7">
        <f t="shared" si="1"/>
        <v>1989</v>
      </c>
      <c r="B23" s="7" cm="1">
        <f t="array" ref="B23">INDEX(GMWA!$A$2:$CR$60,MATCH(1,(GMWA!$CQ$2:$CQ$60=B$3)*(GMWA!$CP$2:$CP$60=B$4)*(GMWA!$CR$2:$CR$60=B$1),0),$A23-1966)</f>
        <v>379762</v>
      </c>
      <c r="C23" s="7" cm="1">
        <f t="array" ref="C23">INDEX(GMWA!$A$2:$CR$60,MATCH(1,(GMWA!$CQ$2:$CQ$60=C$3)*(GMWA!$CP$2:$CP$60=C$4)*(GMWA!$CR$2:$CR$60=C$1),0),$A23-1966)</f>
        <v>249240</v>
      </c>
      <c r="D23" s="7" cm="1">
        <f t="array" ref="D23">INDEX(GMWA!$A$2:$CR$60,MATCH(1,(GMWA!$CQ$2:$CQ$60=D$3)*(GMWA!$CP$2:$CP$60=D$4)*(GMWA!$CR$2:$CR$60=D$1),0),$A23-1966)</f>
        <v>22345.16</v>
      </c>
      <c r="E23" s="7" cm="1">
        <f t="array" ref="E23">INDEX(GMWA!$A$2:$CR$60,MATCH(1,(GMWA!$CQ$2:$CQ$60=E$3)*(GMWA!$CP$2:$CP$60=E$4)*(GMWA!$CR$2:$CR$60=E$1),0),$A23-1966)</f>
        <v>52.019159999999999</v>
      </c>
      <c r="F23" s="7" cm="1">
        <f t="array" ref="F23">INDEX(GMWA!$A$2:$CR$60,MATCH(1,(GMWA!$CQ$2:$CQ$60=F$3)*(GMWA!$CP$2:$CP$60=F$4)*(GMWA!$CR$2:$CR$60=F$1),0),$A23-1966)</f>
        <v>52575</v>
      </c>
      <c r="G23" s="7" cm="1">
        <f t="array" ref="G23">INDEX(GMWA!$A$2:$CR$60,MATCH(1,(GMWA!$CQ$2:$CQ$60=G$3)*(GMWA!$CP$2:$CP$60=G$4)*(GMWA!$CR$2:$CR$60=G$1),0),$A23-1966)</f>
        <v>16732</v>
      </c>
      <c r="H23" s="7" cm="1">
        <f t="array" ref="H23">INDEX(GMWA!$A$2:$CR$60,MATCH(1,(GMWA!$CQ$2:$CQ$60=H$3)*(GMWA!$CP$2:$CP$60=H$4)*(GMWA!$CR$2:$CR$60=H$1),0),$A23-1966)</f>
        <v>55060</v>
      </c>
      <c r="I23" s="7" cm="1">
        <f t="array" ref="I23">INDEX(GMWA!$A$2:$CR$60,MATCH(1,(GMWA!$CQ$2:$CQ$60=I$3)*(GMWA!$CP$2:$CP$60=I$4)*(GMWA!$CR$2:$CR$60=I$1),0),$A23-1966)</f>
        <v>-1723</v>
      </c>
      <c r="J23" s="7" cm="1">
        <f t="array" ref="J23">INDEX(GMWA!$A$2:$CR$60,MATCH(1,(GMWA!$CQ$2:$CQ$60=J$3)*(GMWA!$CP$2:$CP$60=J$4)*(GMWA!$CR$2:$CR$60=J$1),0),$A23-1966)</f>
        <v>370725</v>
      </c>
      <c r="K23" s="7" cm="1">
        <f t="array" ref="K23">INDEX(GMWA!$A$2:$CR$60,MATCH(1,(GMWA!$CQ$2:$CQ$60=K$3)*(GMWA!$CP$2:$CP$60=K$4)*(GMWA!$CR$2:$CR$60=K$1),0),$A23-1966)</f>
        <v>7446</v>
      </c>
      <c r="L23" s="7" cm="1">
        <f t="array" ref="L23">INDEX(GMWA!$A$2:$CR$60,MATCH(1,(GMWA!$CQ$2:$CQ$60=L$3)*(GMWA!$CP$2:$CP$60=L$4)*(GMWA!$CR$2:$CR$60=L$1),0),$A23-1966)</f>
        <v>712618</v>
      </c>
      <c r="M23" s="7" cm="1">
        <f t="array" ref="M23">INDEX(GMWA!$A$2:$CR$60,MATCH(1,(GMWA!$CQ$2:$CQ$60=M$3)*(GMWA!$CP$2:$CP$60=M$4)*(GMWA!$CR$2:$CR$60=M$1),0),$A23-1966)</f>
        <v>21449</v>
      </c>
    </row>
    <row r="24" spans="1:13" x14ac:dyDescent="0.35">
      <c r="A24" s="7">
        <f t="shared" si="1"/>
        <v>1990</v>
      </c>
      <c r="B24" s="7" cm="1">
        <f t="array" ref="B24">INDEX(GMWA!$A$2:$CR$60,MATCH(1,(GMWA!$CQ$2:$CQ$60=B$3)*(GMWA!$CP$2:$CP$60=B$4)*(GMWA!$CR$2:$CR$60=B$1),0),$A24-1966)</f>
        <v>424495</v>
      </c>
      <c r="C24" s="7" cm="1">
        <f t="array" ref="C24">INDEX(GMWA!$A$2:$CR$60,MATCH(1,(GMWA!$CQ$2:$CQ$60=C$3)*(GMWA!$CP$2:$CP$60=C$4)*(GMWA!$CR$2:$CR$60=C$1),0),$A24-1966)</f>
        <v>275637</v>
      </c>
      <c r="D24" s="7" cm="1">
        <f t="array" ref="D24">INDEX(GMWA!$A$2:$CR$60,MATCH(1,(GMWA!$CQ$2:$CQ$60=D$3)*(GMWA!$CP$2:$CP$60=D$4)*(GMWA!$CR$2:$CR$60=D$1),0),$A24-1966)</f>
        <v>22483.78</v>
      </c>
      <c r="E24" s="7" cm="1">
        <f t="array" ref="E24">INDEX(GMWA!$A$2:$CR$60,MATCH(1,(GMWA!$CQ$2:$CQ$60=E$3)*(GMWA!$CP$2:$CP$60=E$4)*(GMWA!$CR$2:$CR$60=E$1),0),$A24-1966)</f>
        <v>55.985590000000002</v>
      </c>
      <c r="F24" s="7" cm="1">
        <f t="array" ref="F24">INDEX(GMWA!$A$2:$CR$60,MATCH(1,(GMWA!$CQ$2:$CQ$60=F$3)*(GMWA!$CP$2:$CP$60=F$4)*(GMWA!$CR$2:$CR$60=F$1),0),$A24-1966)</f>
        <v>59428</v>
      </c>
      <c r="G24" s="7" cm="1">
        <f t="array" ref="G24">INDEX(GMWA!$A$2:$CR$60,MATCH(1,(GMWA!$CQ$2:$CQ$60=G$3)*(GMWA!$CP$2:$CP$60=G$4)*(GMWA!$CR$2:$CR$60=G$1),0),$A24-1966)</f>
        <v>16087</v>
      </c>
      <c r="H24" s="7" cm="1">
        <f t="array" ref="H24">INDEX(GMWA!$A$2:$CR$60,MATCH(1,(GMWA!$CQ$2:$CQ$60=H$3)*(GMWA!$CP$2:$CP$60=H$4)*(GMWA!$CR$2:$CR$60=H$1),0),$A24-1966)</f>
        <v>60163</v>
      </c>
      <c r="I24" s="7" cm="1">
        <f t="array" ref="I24">INDEX(GMWA!$A$2:$CR$60,MATCH(1,(GMWA!$CQ$2:$CQ$60=I$3)*(GMWA!$CP$2:$CP$60=I$4)*(GMWA!$CR$2:$CR$60=I$1),0),$A24-1966)</f>
        <v>-3237</v>
      </c>
      <c r="J24" s="7" cm="1">
        <f t="array" ref="J24">INDEX(GMWA!$A$2:$CR$60,MATCH(1,(GMWA!$CQ$2:$CQ$60=J$3)*(GMWA!$CP$2:$CP$60=J$4)*(GMWA!$CR$2:$CR$60=J$1),0),$A24-1966)</f>
        <v>404573</v>
      </c>
      <c r="K24" s="7" cm="1">
        <f t="array" ref="K24">INDEX(GMWA!$A$2:$CR$60,MATCH(1,(GMWA!$CQ$2:$CQ$60=K$3)*(GMWA!$CP$2:$CP$60=K$4)*(GMWA!$CR$2:$CR$60=K$1),0),$A24-1966)</f>
        <v>8293</v>
      </c>
      <c r="L24" s="7" cm="1">
        <f t="array" ref="L24">INDEX(GMWA!$A$2:$CR$60,MATCH(1,(GMWA!$CQ$2:$CQ$60=L$3)*(GMWA!$CP$2:$CP$60=L$4)*(GMWA!$CR$2:$CR$60=L$1),0),$A24-1966)</f>
        <v>722670</v>
      </c>
      <c r="M24" s="7" cm="1">
        <f t="array" ref="M24">INDEX(GMWA!$A$2:$CR$60,MATCH(1,(GMWA!$CQ$2:$CQ$60=M$3)*(GMWA!$CP$2:$CP$60=M$4)*(GMWA!$CR$2:$CR$60=M$1),0),$A24-1966)</f>
        <v>22718</v>
      </c>
    </row>
    <row r="25" spans="1:13" x14ac:dyDescent="0.35">
      <c r="A25" s="7">
        <f t="shared" si="1"/>
        <v>1991</v>
      </c>
      <c r="B25" s="7" cm="1">
        <f t="array" ref="B25">INDEX(GMWA!$A$2:$CR$60,MATCH(1,(GMWA!$CQ$2:$CQ$60=B$3)*(GMWA!$CP$2:$CP$60=B$4)*(GMWA!$CR$2:$CR$60=B$1),0),$A25-1966)</f>
        <v>465426</v>
      </c>
      <c r="C25" s="7" cm="1">
        <f t="array" ref="C25">INDEX(GMWA!$A$2:$CR$60,MATCH(1,(GMWA!$CQ$2:$CQ$60=C$3)*(GMWA!$CP$2:$CP$60=C$4)*(GMWA!$CR$2:$CR$60=C$1),0),$A25-1966)</f>
        <v>291596</v>
      </c>
      <c r="D25" s="7" cm="1">
        <f t="array" ref="D25">INDEX(GMWA!$A$2:$CR$60,MATCH(1,(GMWA!$CQ$2:$CQ$60=D$3)*(GMWA!$CP$2:$CP$60=D$4)*(GMWA!$CR$2:$CR$60=D$1),0),$A25-1966)</f>
        <v>21889.919999999998</v>
      </c>
      <c r="E25" s="7" cm="1">
        <f t="array" ref="E25">INDEX(GMWA!$A$2:$CR$60,MATCH(1,(GMWA!$CQ$2:$CQ$60=E$3)*(GMWA!$CP$2:$CP$60=E$4)*(GMWA!$CR$2:$CR$60=E$1),0),$A25-1966)</f>
        <v>60.29027</v>
      </c>
      <c r="F25" s="7" cm="1">
        <f t="array" ref="F25">INDEX(GMWA!$A$2:$CR$60,MATCH(1,(GMWA!$CQ$2:$CQ$60=F$3)*(GMWA!$CP$2:$CP$60=F$4)*(GMWA!$CR$2:$CR$60=F$1),0),$A25-1966)</f>
        <v>64309</v>
      </c>
      <c r="G25" s="7" cm="1">
        <f t="array" ref="G25">INDEX(GMWA!$A$2:$CR$60,MATCH(1,(GMWA!$CQ$2:$CQ$60=G$3)*(GMWA!$CP$2:$CP$60=G$4)*(GMWA!$CR$2:$CR$60=G$1),0),$A25-1966)</f>
        <v>16809</v>
      </c>
      <c r="H25" s="7" cm="1">
        <f t="array" ref="H25">INDEX(GMWA!$A$2:$CR$60,MATCH(1,(GMWA!$CQ$2:$CQ$60=H$3)*(GMWA!$CP$2:$CP$60=H$4)*(GMWA!$CR$2:$CR$60=H$1),0),$A25-1966)</f>
        <v>74094</v>
      </c>
      <c r="I25" s="7" cm="1">
        <f t="array" ref="I25">INDEX(GMWA!$A$2:$CR$60,MATCH(1,(GMWA!$CQ$2:$CQ$60=I$3)*(GMWA!$CP$2:$CP$60=I$4)*(GMWA!$CR$2:$CR$60=I$1),0),$A25-1966)</f>
        <v>-2437</v>
      </c>
      <c r="J25" s="7" cm="1">
        <f t="array" ref="J25">INDEX(GMWA!$A$2:$CR$60,MATCH(1,(GMWA!$CQ$2:$CQ$60=J$3)*(GMWA!$CP$2:$CP$60=J$4)*(GMWA!$CR$2:$CR$60=J$1),0),$A25-1966)</f>
        <v>431907</v>
      </c>
      <c r="K25" s="7" cm="1">
        <f t="array" ref="K25">INDEX(GMWA!$A$2:$CR$60,MATCH(1,(GMWA!$CQ$2:$CQ$60=K$3)*(GMWA!$CP$2:$CP$60=K$4)*(GMWA!$CR$2:$CR$60=K$1),0),$A25-1966)</f>
        <v>7649</v>
      </c>
      <c r="L25" s="7" cm="1">
        <f t="array" ref="L25">INDEX(GMWA!$A$2:$CR$60,MATCH(1,(GMWA!$CQ$2:$CQ$60=L$3)*(GMWA!$CP$2:$CP$60=L$4)*(GMWA!$CR$2:$CR$60=L$1),0),$A25-1966)</f>
        <v>716404</v>
      </c>
      <c r="M25" s="7" cm="1">
        <f t="array" ref="M25">INDEX(GMWA!$A$2:$CR$60,MATCH(1,(GMWA!$CQ$2:$CQ$60=M$3)*(GMWA!$CP$2:$CP$60=M$4)*(GMWA!$CR$2:$CR$60=M$1),0),$A25-1966)</f>
        <v>21983</v>
      </c>
    </row>
    <row r="26" spans="1:13" x14ac:dyDescent="0.35">
      <c r="A26" s="7">
        <f t="shared" si="1"/>
        <v>1992</v>
      </c>
      <c r="B26" s="7" cm="1">
        <f t="array" ref="B26">INDEX(GMWA!$A$2:$CR$60,MATCH(1,(GMWA!$CQ$2:$CQ$60=B$3)*(GMWA!$CP$2:$CP$60=B$4)*(GMWA!$CR$2:$CR$60=B$1),0),$A26-1966)</f>
        <v>497175</v>
      </c>
      <c r="C26" s="7" cm="1">
        <f t="array" ref="C26">INDEX(GMWA!$A$2:$CR$60,MATCH(1,(GMWA!$CQ$2:$CQ$60=C$3)*(GMWA!$CP$2:$CP$60=C$4)*(GMWA!$CR$2:$CR$60=C$1),0),$A26-1966)</f>
        <v>300913</v>
      </c>
      <c r="D26" s="7" cm="1">
        <f t="array" ref="D26">INDEX(GMWA!$A$2:$CR$60,MATCH(1,(GMWA!$CQ$2:$CQ$60=D$3)*(GMWA!$CP$2:$CP$60=D$4)*(GMWA!$CR$2:$CR$60=D$1),0),$A26-1966)</f>
        <v>21560.68</v>
      </c>
      <c r="E26" s="7" cm="1">
        <f t="array" ref="E26">INDEX(GMWA!$A$2:$CR$60,MATCH(1,(GMWA!$CQ$2:$CQ$60=E$3)*(GMWA!$CP$2:$CP$60=E$4)*(GMWA!$CR$2:$CR$60=E$1),0),$A26-1966)</f>
        <v>62.768259999999998</v>
      </c>
      <c r="F26" s="7" cm="1">
        <f t="array" ref="F26">INDEX(GMWA!$A$2:$CR$60,MATCH(1,(GMWA!$CQ$2:$CQ$60=F$3)*(GMWA!$CP$2:$CP$60=F$4)*(GMWA!$CR$2:$CR$60=F$1),0),$A26-1966)</f>
        <v>66881</v>
      </c>
      <c r="G26" s="7" cm="1">
        <f t="array" ref="G26">INDEX(GMWA!$A$2:$CR$60,MATCH(1,(GMWA!$CQ$2:$CQ$60=G$3)*(GMWA!$CP$2:$CP$60=G$4)*(GMWA!$CR$2:$CR$60=G$1),0),$A26-1966)</f>
        <v>17345</v>
      </c>
      <c r="H26" s="7" cm="1">
        <f t="array" ref="H26">INDEX(GMWA!$A$2:$CR$60,MATCH(1,(GMWA!$CQ$2:$CQ$60=H$3)*(GMWA!$CP$2:$CP$60=H$4)*(GMWA!$CR$2:$CR$60=H$1),0),$A26-1966)</f>
        <v>83953</v>
      </c>
      <c r="I26" s="7" cm="1">
        <f t="array" ref="I26">INDEX(GMWA!$A$2:$CR$60,MATCH(1,(GMWA!$CQ$2:$CQ$60=I$3)*(GMWA!$CP$2:$CP$60=I$4)*(GMWA!$CR$2:$CR$60=I$1),0),$A26-1966)</f>
        <v>-2421</v>
      </c>
      <c r="J26" s="7" cm="1">
        <f t="array" ref="J26">INDEX(GMWA!$A$2:$CR$60,MATCH(1,(GMWA!$CQ$2:$CQ$60=J$3)*(GMWA!$CP$2:$CP$60=J$4)*(GMWA!$CR$2:$CR$60=J$1),0),$A26-1966)</f>
        <v>454001</v>
      </c>
      <c r="K26" s="7" cm="1">
        <f t="array" ref="K26">INDEX(GMWA!$A$2:$CR$60,MATCH(1,(GMWA!$CQ$2:$CQ$60=K$3)*(GMWA!$CP$2:$CP$60=K$4)*(GMWA!$CR$2:$CR$60=K$1),0),$A26-1966)</f>
        <v>7290</v>
      </c>
      <c r="L26" s="7" cm="1">
        <f t="array" ref="L26">INDEX(GMWA!$A$2:$CR$60,MATCH(1,(GMWA!$CQ$2:$CQ$60=L$3)*(GMWA!$CP$2:$CP$60=L$4)*(GMWA!$CR$2:$CR$60=L$1),0),$A26-1966)</f>
        <v>723261</v>
      </c>
      <c r="M26" s="7" cm="1">
        <f t="array" ref="M26">INDEX(GMWA!$A$2:$CR$60,MATCH(1,(GMWA!$CQ$2:$CQ$60=M$3)*(GMWA!$CP$2:$CP$60=M$4)*(GMWA!$CR$2:$CR$60=M$1),0),$A26-1966)</f>
        <v>21383</v>
      </c>
    </row>
    <row r="27" spans="1:13" x14ac:dyDescent="0.35">
      <c r="A27" s="7">
        <f t="shared" si="1"/>
        <v>1993</v>
      </c>
      <c r="B27" s="7" cm="1">
        <f t="array" ref="B27">INDEX(GMWA!$A$2:$CR$60,MATCH(1,(GMWA!$CQ$2:$CQ$60=B$3)*(GMWA!$CP$2:$CP$60=B$4)*(GMWA!$CR$2:$CR$60=B$1),0),$A27-1966)</f>
        <v>527497</v>
      </c>
      <c r="C27" s="7" cm="1">
        <f t="array" ref="C27">INDEX(GMWA!$A$2:$CR$60,MATCH(1,(GMWA!$CQ$2:$CQ$60=C$3)*(GMWA!$CP$2:$CP$60=C$4)*(GMWA!$CR$2:$CR$60=C$1),0),$A27-1966)</f>
        <v>308445</v>
      </c>
      <c r="D27" s="7" cm="1">
        <f t="array" ref="D27">INDEX(GMWA!$A$2:$CR$60,MATCH(1,(GMWA!$CQ$2:$CQ$60=D$3)*(GMWA!$CP$2:$CP$60=D$4)*(GMWA!$CR$2:$CR$60=D$1),0),$A27-1966)</f>
        <v>21402.75</v>
      </c>
      <c r="E27" s="7" cm="1">
        <f t="array" ref="E27">INDEX(GMWA!$A$2:$CR$60,MATCH(1,(GMWA!$CQ$2:$CQ$60=E$3)*(GMWA!$CP$2:$CP$60=E$4)*(GMWA!$CR$2:$CR$60=E$1),0),$A27-1966)</f>
        <v>64.749039999999994</v>
      </c>
      <c r="F27" s="7" cm="1">
        <f t="array" ref="F27">INDEX(GMWA!$A$2:$CR$60,MATCH(1,(GMWA!$CQ$2:$CQ$60=F$3)*(GMWA!$CP$2:$CP$60=F$4)*(GMWA!$CR$2:$CR$60=F$1),0),$A27-1966)</f>
        <v>65381</v>
      </c>
      <c r="G27" s="7" cm="1">
        <f t="array" ref="G27">INDEX(GMWA!$A$2:$CR$60,MATCH(1,(GMWA!$CQ$2:$CQ$60=G$3)*(GMWA!$CP$2:$CP$60=G$4)*(GMWA!$CR$2:$CR$60=G$1),0),$A27-1966)</f>
        <v>18236</v>
      </c>
      <c r="H27" s="7" cm="1">
        <f t="array" ref="H27">INDEX(GMWA!$A$2:$CR$60,MATCH(1,(GMWA!$CQ$2:$CQ$60=H$3)*(GMWA!$CP$2:$CP$60=H$4)*(GMWA!$CR$2:$CR$60=H$1),0),$A27-1966)</f>
        <v>89524</v>
      </c>
      <c r="I27" s="7" cm="1">
        <f t="array" ref="I27">INDEX(GMWA!$A$2:$CR$60,MATCH(1,(GMWA!$CQ$2:$CQ$60=I$3)*(GMWA!$CP$2:$CP$60=I$4)*(GMWA!$CR$2:$CR$60=I$1),0),$A27-1966)</f>
        <v>-1115</v>
      </c>
      <c r="J27" s="7" cm="1">
        <f t="array" ref="J27">INDEX(GMWA!$A$2:$CR$60,MATCH(1,(GMWA!$CQ$2:$CQ$60=J$3)*(GMWA!$CP$2:$CP$60=J$4)*(GMWA!$CR$2:$CR$60=J$1),0),$A27-1966)</f>
        <v>481553</v>
      </c>
      <c r="K27" s="7" cm="1">
        <f t="array" ref="K27">INDEX(GMWA!$A$2:$CR$60,MATCH(1,(GMWA!$CQ$2:$CQ$60=K$3)*(GMWA!$CP$2:$CP$60=K$4)*(GMWA!$CR$2:$CR$60=K$1),0),$A27-1966)</f>
        <v>9537</v>
      </c>
      <c r="L27" s="7" cm="1">
        <f t="array" ref="L27">INDEX(GMWA!$A$2:$CR$60,MATCH(1,(GMWA!$CQ$2:$CQ$60=L$3)*(GMWA!$CP$2:$CP$60=L$4)*(GMWA!$CR$2:$CR$60=L$1),0),$A27-1966)</f>
        <v>743665</v>
      </c>
      <c r="M27" s="7" cm="1">
        <f t="array" ref="M27">INDEX(GMWA!$A$2:$CR$60,MATCH(1,(GMWA!$CQ$2:$CQ$60=M$3)*(GMWA!$CP$2:$CP$60=M$4)*(GMWA!$CR$2:$CR$60=M$1),0),$A27-1966)</f>
        <v>24152</v>
      </c>
    </row>
    <row r="28" spans="1:13" x14ac:dyDescent="0.35">
      <c r="A28" s="7">
        <f t="shared" si="1"/>
        <v>1994</v>
      </c>
      <c r="B28" s="7" cm="1">
        <f t="array" ref="B28">INDEX(GMWA!$A$2:$CR$60,MATCH(1,(GMWA!$CQ$2:$CQ$60=B$3)*(GMWA!$CP$2:$CP$60=B$4)*(GMWA!$CR$2:$CR$60=B$1),0),$A28-1966)</f>
        <v>546344</v>
      </c>
      <c r="C28" s="7" cm="1">
        <f t="array" ref="C28">INDEX(GMWA!$A$2:$CR$60,MATCH(1,(GMWA!$CQ$2:$CQ$60=C$3)*(GMWA!$CP$2:$CP$60=C$4)*(GMWA!$CR$2:$CR$60=C$1),0),$A28-1966)</f>
        <v>319860</v>
      </c>
      <c r="D28" s="7" cm="1">
        <f t="array" ref="D28">INDEX(GMWA!$A$2:$CR$60,MATCH(1,(GMWA!$CQ$2:$CQ$60=D$3)*(GMWA!$CP$2:$CP$60=D$4)*(GMWA!$CR$2:$CR$60=D$1),0),$A28-1966)</f>
        <v>21525.75</v>
      </c>
      <c r="E28" s="7" cm="1">
        <f t="array" ref="E28">INDEX(GMWA!$A$2:$CR$60,MATCH(1,(GMWA!$CQ$2:$CQ$60=E$3)*(GMWA!$CP$2:$CP$60=E$4)*(GMWA!$CR$2:$CR$60=E$1),0),$A28-1966)</f>
        <v>65.851929999999996</v>
      </c>
      <c r="F28" s="7" cm="1">
        <f t="array" ref="F28">INDEX(GMWA!$A$2:$CR$60,MATCH(1,(GMWA!$CQ$2:$CQ$60=F$3)*(GMWA!$CP$2:$CP$60=F$4)*(GMWA!$CR$2:$CR$60=F$1),0),$A28-1966)</f>
        <v>69515</v>
      </c>
      <c r="G28" s="7" cm="1">
        <f t="array" ref="G28">INDEX(GMWA!$A$2:$CR$60,MATCH(1,(GMWA!$CQ$2:$CQ$60=G$3)*(GMWA!$CP$2:$CP$60=G$4)*(GMWA!$CR$2:$CR$60=G$1),0),$A28-1966)</f>
        <v>20640</v>
      </c>
      <c r="H28" s="7" cm="1">
        <f t="array" ref="H28">INDEX(GMWA!$A$2:$CR$60,MATCH(1,(GMWA!$CQ$2:$CQ$60=H$3)*(GMWA!$CP$2:$CP$60=H$4)*(GMWA!$CR$2:$CR$60=H$1),0),$A28-1966)</f>
        <v>91610</v>
      </c>
      <c r="I28" s="7" cm="1">
        <f t="array" ref="I28">INDEX(GMWA!$A$2:$CR$60,MATCH(1,(GMWA!$CQ$2:$CQ$60=I$3)*(GMWA!$CP$2:$CP$60=I$4)*(GMWA!$CR$2:$CR$60=I$1),0),$A28-1966)</f>
        <v>-3328</v>
      </c>
      <c r="J28" s="7" cm="1">
        <f t="array" ref="J28">INDEX(GMWA!$A$2:$CR$60,MATCH(1,(GMWA!$CQ$2:$CQ$60=J$3)*(GMWA!$CP$2:$CP$60=J$4)*(GMWA!$CR$2:$CR$60=J$1),0),$A28-1966)</f>
        <v>505649</v>
      </c>
      <c r="K28" s="7" cm="1">
        <f t="array" ref="K28">INDEX(GMWA!$A$2:$CR$60,MATCH(1,(GMWA!$CQ$2:$CQ$60=K$3)*(GMWA!$CP$2:$CP$60=K$4)*(GMWA!$CR$2:$CR$60=K$1),0),$A28-1966)</f>
        <v>10127</v>
      </c>
      <c r="L28" s="7" cm="1">
        <f t="array" ref="L28">INDEX(GMWA!$A$2:$CR$60,MATCH(1,(GMWA!$CQ$2:$CQ$60=L$3)*(GMWA!$CP$2:$CP$60=L$4)*(GMWA!$CR$2:$CR$60=L$1),0),$A28-1966)</f>
        <v>767829</v>
      </c>
      <c r="M28" s="7" cm="1">
        <f t="array" ref="M28">INDEX(GMWA!$A$2:$CR$60,MATCH(1,(GMWA!$CQ$2:$CQ$60=M$3)*(GMWA!$CP$2:$CP$60=M$4)*(GMWA!$CR$2:$CR$60=M$1),0),$A28-1966)</f>
        <v>25248</v>
      </c>
    </row>
    <row r="29" spans="1:13" x14ac:dyDescent="0.35">
      <c r="A29" s="7">
        <f t="shared" si="1"/>
        <v>1995</v>
      </c>
      <c r="B29" s="7" cm="1">
        <f t="array" ref="B29">INDEX(GMWA!$A$2:$CR$60,MATCH(1,(GMWA!$CQ$2:$CQ$60=B$3)*(GMWA!$CP$2:$CP$60=B$4)*(GMWA!$CR$2:$CR$60=B$1),0),$A29-1966)</f>
        <v>579299</v>
      </c>
      <c r="C29" s="7" cm="1">
        <f t="array" ref="C29">INDEX(GMWA!$A$2:$CR$60,MATCH(1,(GMWA!$CQ$2:$CQ$60=C$3)*(GMWA!$CP$2:$CP$60=C$4)*(GMWA!$CR$2:$CR$60=C$1),0),$A29-1966)</f>
        <v>334384</v>
      </c>
      <c r="D29" s="7" cm="1">
        <f t="array" ref="D29">INDEX(GMWA!$A$2:$CR$60,MATCH(1,(GMWA!$CQ$2:$CQ$60=D$3)*(GMWA!$CP$2:$CP$60=D$4)*(GMWA!$CR$2:$CR$60=D$1),0),$A29-1966)</f>
        <v>21863.25</v>
      </c>
      <c r="E29" s="7" cm="1">
        <f t="array" ref="E29">INDEX(GMWA!$A$2:$CR$60,MATCH(1,(GMWA!$CQ$2:$CQ$60=E$3)*(GMWA!$CP$2:$CP$60=E$4)*(GMWA!$CR$2:$CR$60=E$1),0),$A29-1966)</f>
        <v>67.788640000000001</v>
      </c>
      <c r="F29" s="7" cm="1">
        <f t="array" ref="F29">INDEX(GMWA!$A$2:$CR$60,MATCH(1,(GMWA!$CQ$2:$CQ$60=F$3)*(GMWA!$CP$2:$CP$60=F$4)*(GMWA!$CR$2:$CR$60=F$1),0),$A29-1966)</f>
        <v>74361</v>
      </c>
      <c r="G29" s="7" cm="1">
        <f t="array" ref="G29">INDEX(GMWA!$A$2:$CR$60,MATCH(1,(GMWA!$CQ$2:$CQ$60=G$3)*(GMWA!$CP$2:$CP$60=G$4)*(GMWA!$CR$2:$CR$60=G$1),0),$A29-1966)</f>
        <v>22139</v>
      </c>
      <c r="H29" s="7" cm="1">
        <f t="array" ref="H29">INDEX(GMWA!$A$2:$CR$60,MATCH(1,(GMWA!$CQ$2:$CQ$60=H$3)*(GMWA!$CP$2:$CP$60=H$4)*(GMWA!$CR$2:$CR$60=H$1),0),$A29-1966)</f>
        <v>95233</v>
      </c>
      <c r="I29" s="7" cm="1">
        <f t="array" ref="I29">INDEX(GMWA!$A$2:$CR$60,MATCH(1,(GMWA!$CQ$2:$CQ$60=I$3)*(GMWA!$CP$2:$CP$60=I$4)*(GMWA!$CR$2:$CR$60=I$1),0),$A29-1966)</f>
        <v>-1889</v>
      </c>
      <c r="J29" s="7" cm="1">
        <f t="array" ref="J29">INDEX(GMWA!$A$2:$CR$60,MATCH(1,(GMWA!$CQ$2:$CQ$60=J$3)*(GMWA!$CP$2:$CP$60=J$4)*(GMWA!$CR$2:$CR$60=J$1),0),$A29-1966)</f>
        <v>531475</v>
      </c>
      <c r="K29" s="7" cm="1">
        <f t="array" ref="K29">INDEX(GMWA!$A$2:$CR$60,MATCH(1,(GMWA!$CQ$2:$CQ$60=K$3)*(GMWA!$CP$2:$CP$60=K$4)*(GMWA!$CR$2:$CR$60=K$1),0),$A29-1966)</f>
        <v>11206</v>
      </c>
      <c r="L29" s="7" cm="1">
        <f t="array" ref="L29">INDEX(GMWA!$A$2:$CR$60,MATCH(1,(GMWA!$CQ$2:$CQ$60=L$3)*(GMWA!$CP$2:$CP$60=L$4)*(GMWA!$CR$2:$CR$60=L$1),0),$A29-1966)</f>
        <v>783954</v>
      </c>
      <c r="M29" s="7" cm="1">
        <f t="array" ref="M29">INDEX(GMWA!$A$2:$CR$60,MATCH(1,(GMWA!$CQ$2:$CQ$60=M$3)*(GMWA!$CP$2:$CP$60=M$4)*(GMWA!$CR$2:$CR$60=M$1),0),$A29-1966)</f>
        <v>27033</v>
      </c>
    </row>
    <row r="30" spans="1:13" x14ac:dyDescent="0.35">
      <c r="A30" s="7">
        <f t="shared" si="1"/>
        <v>1996</v>
      </c>
      <c r="B30" s="7" cm="1">
        <f t="array" ref="B30">INDEX(GMWA!$A$2:$CR$60,MATCH(1,(GMWA!$CQ$2:$CQ$60=B$3)*(GMWA!$CP$2:$CP$60=B$4)*(GMWA!$CR$2:$CR$60=B$1),0),$A30-1966)</f>
        <v>615723</v>
      </c>
      <c r="C30" s="7" cm="1">
        <f t="array" ref="C30">INDEX(GMWA!$A$2:$CR$60,MATCH(1,(GMWA!$CQ$2:$CQ$60=C$3)*(GMWA!$CP$2:$CP$60=C$4)*(GMWA!$CR$2:$CR$60=C$1),0),$A30-1966)</f>
        <v>349453</v>
      </c>
      <c r="D30" s="7" cm="1">
        <f t="array" ref="D30">INDEX(GMWA!$A$2:$CR$60,MATCH(1,(GMWA!$CQ$2:$CQ$60=D$3)*(GMWA!$CP$2:$CP$60=D$4)*(GMWA!$CR$2:$CR$60=D$1),0),$A30-1966)</f>
        <v>22196.25</v>
      </c>
      <c r="E30" s="7" cm="1">
        <f t="array" ref="E30">INDEX(GMWA!$A$2:$CR$60,MATCH(1,(GMWA!$CQ$2:$CQ$60=E$3)*(GMWA!$CP$2:$CP$60=E$4)*(GMWA!$CR$2:$CR$60=E$1),0),$A30-1966)</f>
        <v>70.088589999999996</v>
      </c>
      <c r="F30" s="7" cm="1">
        <f t="array" ref="F30">INDEX(GMWA!$A$2:$CR$60,MATCH(1,(GMWA!$CQ$2:$CQ$60=F$3)*(GMWA!$CP$2:$CP$60=F$4)*(GMWA!$CR$2:$CR$60=F$1),0),$A30-1966)</f>
        <v>74213</v>
      </c>
      <c r="G30" s="7" cm="1">
        <f t="array" ref="G30">INDEX(GMWA!$A$2:$CR$60,MATCH(1,(GMWA!$CQ$2:$CQ$60=G$3)*(GMWA!$CP$2:$CP$60=G$4)*(GMWA!$CR$2:$CR$60=G$1),0),$A30-1966)</f>
        <v>22935</v>
      </c>
      <c r="H30" s="7" cm="1">
        <f t="array" ref="H30">INDEX(GMWA!$A$2:$CR$60,MATCH(1,(GMWA!$CQ$2:$CQ$60=H$3)*(GMWA!$CP$2:$CP$60=H$4)*(GMWA!$CR$2:$CR$60=H$1),0),$A30-1966)</f>
        <v>98487</v>
      </c>
      <c r="I30" s="7" cm="1">
        <f t="array" ref="I30">INDEX(GMWA!$A$2:$CR$60,MATCH(1,(GMWA!$CQ$2:$CQ$60=I$3)*(GMWA!$CP$2:$CP$60=I$4)*(GMWA!$CR$2:$CR$60=I$1),0),$A30-1966)</f>
        <v>-744</v>
      </c>
      <c r="J30" s="7" cm="1">
        <f t="array" ref="J30">INDEX(GMWA!$A$2:$CR$60,MATCH(1,(GMWA!$CQ$2:$CQ$60=J$3)*(GMWA!$CP$2:$CP$60=J$4)*(GMWA!$CR$2:$CR$60=J$1),0),$A30-1966)</f>
        <v>569993</v>
      </c>
      <c r="K30" s="7" cm="1">
        <f t="array" ref="K30">INDEX(GMWA!$A$2:$CR$60,MATCH(1,(GMWA!$CQ$2:$CQ$60=K$3)*(GMWA!$CP$2:$CP$60=K$4)*(GMWA!$CR$2:$CR$60=K$1),0),$A30-1966)</f>
        <v>12796</v>
      </c>
      <c r="L30" s="7" cm="1">
        <f t="array" ref="L30">INDEX(GMWA!$A$2:$CR$60,MATCH(1,(GMWA!$CQ$2:$CQ$60=L$3)*(GMWA!$CP$2:$CP$60=L$4)*(GMWA!$CR$2:$CR$60=L$1),0),$A30-1966)</f>
        <v>813173</v>
      </c>
      <c r="M30" s="7" cm="1">
        <f t="array" ref="M30">INDEX(GMWA!$A$2:$CR$60,MATCH(1,(GMWA!$CQ$2:$CQ$60=M$3)*(GMWA!$CP$2:$CP$60=M$4)*(GMWA!$CR$2:$CR$60=M$1),0),$A30-1966)</f>
        <v>28115</v>
      </c>
    </row>
    <row r="31" spans="1:13" x14ac:dyDescent="0.35">
      <c r="A31" s="7">
        <f t="shared" si="1"/>
        <v>1997</v>
      </c>
      <c r="B31" s="7" cm="1">
        <f t="array" ref="B31">INDEX(GMWA!$A$2:$CR$60,MATCH(1,(GMWA!$CQ$2:$CQ$60=B$3)*(GMWA!$CP$2:$CP$60=B$4)*(GMWA!$CR$2:$CR$60=B$1),0),$A31-1966)</f>
        <v>638971</v>
      </c>
      <c r="C31" s="7" cm="1">
        <f t="array" ref="C31">INDEX(GMWA!$A$2:$CR$60,MATCH(1,(GMWA!$CQ$2:$CQ$60=C$3)*(GMWA!$CP$2:$CP$60=C$4)*(GMWA!$CR$2:$CR$60=C$1),0),$A31-1966)</f>
        <v>378908</v>
      </c>
      <c r="D31" s="7" cm="1">
        <f t="array" ref="D31">INDEX(GMWA!$A$2:$CR$60,MATCH(1,(GMWA!$CQ$2:$CQ$60=D$3)*(GMWA!$CP$2:$CP$60=D$4)*(GMWA!$CR$2:$CR$60=D$1),0),$A31-1966)</f>
        <v>22742.75</v>
      </c>
      <c r="E31" s="7" cm="1">
        <f t="array" ref="E31">INDEX(GMWA!$A$2:$CR$60,MATCH(1,(GMWA!$CQ$2:$CQ$60=E$3)*(GMWA!$CP$2:$CP$60=E$4)*(GMWA!$CR$2:$CR$60=E$1),0),$A31-1966)</f>
        <v>71.528679999999994</v>
      </c>
      <c r="F31" s="7" cm="1">
        <f t="array" ref="F31">INDEX(GMWA!$A$2:$CR$60,MATCH(1,(GMWA!$CQ$2:$CQ$60=F$3)*(GMWA!$CP$2:$CP$60=F$4)*(GMWA!$CR$2:$CR$60=F$1),0),$A31-1966)</f>
        <v>75259</v>
      </c>
      <c r="G31" s="7" cm="1">
        <f t="array" ref="G31">INDEX(GMWA!$A$2:$CR$60,MATCH(1,(GMWA!$CQ$2:$CQ$60=G$3)*(GMWA!$CP$2:$CP$60=G$4)*(GMWA!$CR$2:$CR$60=G$1),0),$A31-1966)</f>
        <v>25451</v>
      </c>
      <c r="H31" s="7" cm="1">
        <f t="array" ref="H31">INDEX(GMWA!$A$2:$CR$60,MATCH(1,(GMWA!$CQ$2:$CQ$60=H$3)*(GMWA!$CP$2:$CP$60=H$4)*(GMWA!$CR$2:$CR$60=H$1),0),$A31-1966)</f>
        <v>101294</v>
      </c>
      <c r="I31" s="7" cm="1">
        <f t="array" ref="I31">INDEX(GMWA!$A$2:$CR$60,MATCH(1,(GMWA!$CQ$2:$CQ$60=I$3)*(GMWA!$CP$2:$CP$60=I$4)*(GMWA!$CR$2:$CR$60=I$1),0),$A31-1966)</f>
        <v>-444</v>
      </c>
      <c r="J31" s="7" cm="1">
        <f t="array" ref="J31">INDEX(GMWA!$A$2:$CR$60,MATCH(1,(GMWA!$CQ$2:$CQ$60=J$3)*(GMWA!$CP$2:$CP$60=J$4)*(GMWA!$CR$2:$CR$60=J$1),0),$A31-1966)</f>
        <v>610414</v>
      </c>
      <c r="K31" s="7" cm="1">
        <f t="array" ref="K31">INDEX(GMWA!$A$2:$CR$60,MATCH(1,(GMWA!$CQ$2:$CQ$60=K$3)*(GMWA!$CP$2:$CP$60=K$4)*(GMWA!$CR$2:$CR$60=K$1),0),$A31-1966)</f>
        <v>15555</v>
      </c>
      <c r="L31" s="7" cm="1">
        <f t="array" ref="L31">INDEX(GMWA!$A$2:$CR$60,MATCH(1,(GMWA!$CQ$2:$CQ$60=L$3)*(GMWA!$CP$2:$CP$60=L$4)*(GMWA!$CR$2:$CR$60=L$1),0),$A31-1966)</f>
        <v>853341</v>
      </c>
      <c r="M31" s="7" cm="1">
        <f t="array" ref="M31">INDEX(GMWA!$A$2:$CR$60,MATCH(1,(GMWA!$CQ$2:$CQ$60=M$3)*(GMWA!$CP$2:$CP$60=M$4)*(GMWA!$CR$2:$CR$60=M$1),0),$A31-1966)</f>
        <v>35509</v>
      </c>
    </row>
    <row r="32" spans="1:13" x14ac:dyDescent="0.35">
      <c r="A32" s="7">
        <f t="shared" si="1"/>
        <v>1998</v>
      </c>
      <c r="B32" s="7" cm="1">
        <f t="array" ref="B32">INDEX(GMWA!$A$2:$CR$60,MATCH(1,(GMWA!$CQ$2:$CQ$60=B$3)*(GMWA!$CP$2:$CP$60=B$4)*(GMWA!$CR$2:$CR$60=B$1),0),$A32-1966)</f>
        <v>653785</v>
      </c>
      <c r="C32" s="7" cm="1">
        <f t="array" ref="C32">INDEX(GMWA!$A$2:$CR$60,MATCH(1,(GMWA!$CQ$2:$CQ$60=C$3)*(GMWA!$CP$2:$CP$60=C$4)*(GMWA!$CR$2:$CR$60=C$1),0),$A32-1966)</f>
        <v>397409</v>
      </c>
      <c r="D32" s="7" cm="1">
        <f t="array" ref="D32">INDEX(GMWA!$A$2:$CR$60,MATCH(1,(GMWA!$CQ$2:$CQ$60=D$3)*(GMWA!$CP$2:$CP$60=D$4)*(GMWA!$CR$2:$CR$60=D$1),0),$A32-1966)</f>
        <v>23182.25</v>
      </c>
      <c r="E32" s="7" cm="1">
        <f t="array" ref="E32">INDEX(GMWA!$A$2:$CR$60,MATCH(1,(GMWA!$CQ$2:$CQ$60=E$3)*(GMWA!$CP$2:$CP$60=E$4)*(GMWA!$CR$2:$CR$60=E$1),0),$A32-1966)</f>
        <v>72.484189999999998</v>
      </c>
      <c r="F32" s="7" cm="1">
        <f t="array" ref="F32">INDEX(GMWA!$A$2:$CR$60,MATCH(1,(GMWA!$CQ$2:$CQ$60=F$3)*(GMWA!$CP$2:$CP$60=F$4)*(GMWA!$CR$2:$CR$60=F$1),0),$A32-1966)</f>
        <v>89276</v>
      </c>
      <c r="G32" s="7" cm="1">
        <f t="array" ref="G32">INDEX(GMWA!$A$2:$CR$60,MATCH(1,(GMWA!$CQ$2:$CQ$60=G$3)*(GMWA!$CP$2:$CP$60=G$4)*(GMWA!$CR$2:$CR$60=G$1),0),$A32-1966)</f>
        <v>26412</v>
      </c>
      <c r="H32" s="7" cm="1">
        <f t="array" ref="H32">INDEX(GMWA!$A$2:$CR$60,MATCH(1,(GMWA!$CQ$2:$CQ$60=H$3)*(GMWA!$CP$2:$CP$60=H$4)*(GMWA!$CR$2:$CR$60=H$1),0),$A32-1966)</f>
        <v>102123</v>
      </c>
      <c r="I32" s="7" cm="1">
        <f t="array" ref="I32">INDEX(GMWA!$A$2:$CR$60,MATCH(1,(GMWA!$CQ$2:$CQ$60=I$3)*(GMWA!$CP$2:$CP$60=I$4)*(GMWA!$CR$2:$CR$60=I$1),0),$A32-1966)</f>
        <v>-148</v>
      </c>
      <c r="J32" s="7" cm="1">
        <f t="array" ref="J32">INDEX(GMWA!$A$2:$CR$60,MATCH(1,(GMWA!$CQ$2:$CQ$60=J$3)*(GMWA!$CP$2:$CP$60=J$4)*(GMWA!$CR$2:$CR$60=J$1),0),$A32-1966)</f>
        <v>644608</v>
      </c>
      <c r="K32" s="7" cm="1">
        <f t="array" ref="K32">INDEX(GMWA!$A$2:$CR$60,MATCH(1,(GMWA!$CQ$2:$CQ$60=K$3)*(GMWA!$CP$2:$CP$60=K$4)*(GMWA!$CR$2:$CR$60=K$1),0),$A32-1966)</f>
        <v>16192</v>
      </c>
      <c r="L32" s="7" cm="1">
        <f t="array" ref="L32">INDEX(GMWA!$A$2:$CR$60,MATCH(1,(GMWA!$CQ$2:$CQ$60=L$3)*(GMWA!$CP$2:$CP$60=L$4)*(GMWA!$CR$2:$CR$60=L$1),0),$A32-1966)</f>
        <v>889254</v>
      </c>
      <c r="M32" s="7" cm="1">
        <f t="array" ref="M32">INDEX(GMWA!$A$2:$CR$60,MATCH(1,(GMWA!$CQ$2:$CQ$60=M$3)*(GMWA!$CP$2:$CP$60=M$4)*(GMWA!$CR$2:$CR$60=M$1),0),$A32-1966)</f>
        <v>35790</v>
      </c>
    </row>
    <row r="33" spans="1:13" x14ac:dyDescent="0.35">
      <c r="A33" s="7">
        <f t="shared" si="1"/>
        <v>1999</v>
      </c>
      <c r="B33" s="7" cm="1">
        <f t="array" ref="B33">INDEX(GMWA!$A$2:$CR$60,MATCH(1,(GMWA!$CQ$2:$CQ$60=B$3)*(GMWA!$CP$2:$CP$60=B$4)*(GMWA!$CR$2:$CR$60=B$1),0),$A33-1966)</f>
        <v>687177</v>
      </c>
      <c r="C33" s="7" cm="1">
        <f t="array" ref="C33">INDEX(GMWA!$A$2:$CR$60,MATCH(1,(GMWA!$CQ$2:$CQ$60=C$3)*(GMWA!$CP$2:$CP$60=C$4)*(GMWA!$CR$2:$CR$60=C$1),0),$A33-1966)</f>
        <v>428583</v>
      </c>
      <c r="D33" s="7" cm="1">
        <f t="array" ref="D33">INDEX(GMWA!$A$2:$CR$60,MATCH(1,(GMWA!$CQ$2:$CQ$60=D$3)*(GMWA!$CP$2:$CP$60=D$4)*(GMWA!$CR$2:$CR$60=D$1),0),$A33-1966)</f>
        <v>23604.25</v>
      </c>
      <c r="E33" s="7" cm="1">
        <f t="array" ref="E33">INDEX(GMWA!$A$2:$CR$60,MATCH(1,(GMWA!$CQ$2:$CQ$60=E$3)*(GMWA!$CP$2:$CP$60=E$4)*(GMWA!$CR$2:$CR$60=E$1),0),$A33-1966)</f>
        <v>72.954790000000003</v>
      </c>
      <c r="F33" s="7" cm="1">
        <f t="array" ref="F33">INDEX(GMWA!$A$2:$CR$60,MATCH(1,(GMWA!$CQ$2:$CQ$60=F$3)*(GMWA!$CP$2:$CP$60=F$4)*(GMWA!$CR$2:$CR$60=F$1),0),$A33-1966)</f>
        <v>96527</v>
      </c>
      <c r="G33" s="7" cm="1">
        <f t="array" ref="G33">INDEX(GMWA!$A$2:$CR$60,MATCH(1,(GMWA!$CQ$2:$CQ$60=G$3)*(GMWA!$CP$2:$CP$60=G$4)*(GMWA!$CR$2:$CR$60=G$1),0),$A33-1966)</f>
        <v>28043</v>
      </c>
      <c r="H33" s="7" cm="1">
        <f t="array" ref="H33">INDEX(GMWA!$A$2:$CR$60,MATCH(1,(GMWA!$CQ$2:$CQ$60=H$3)*(GMWA!$CP$2:$CP$60=H$4)*(GMWA!$CR$2:$CR$60=H$1),0),$A33-1966)</f>
        <v>104082</v>
      </c>
      <c r="I33" s="7" cm="1">
        <f t="array" ref="I33">INDEX(GMWA!$A$2:$CR$60,MATCH(1,(GMWA!$CQ$2:$CQ$60=I$3)*(GMWA!$CP$2:$CP$60=I$4)*(GMWA!$CR$2:$CR$60=I$1),0),$A33-1966)</f>
        <v>-4357</v>
      </c>
      <c r="J33" s="7" cm="1">
        <f t="array" ref="J33">INDEX(GMWA!$A$2:$CR$60,MATCH(1,(GMWA!$CQ$2:$CQ$60=J$3)*(GMWA!$CP$2:$CP$60=J$4)*(GMWA!$CR$2:$CR$60=J$1),0),$A33-1966)</f>
        <v>676602</v>
      </c>
      <c r="K33" s="7" cm="1">
        <f t="array" ref="K33">INDEX(GMWA!$A$2:$CR$60,MATCH(1,(GMWA!$CQ$2:$CQ$60=K$3)*(GMWA!$CP$2:$CP$60=K$4)*(GMWA!$CR$2:$CR$60=K$1),0),$A33-1966)</f>
        <v>17134</v>
      </c>
      <c r="L33" s="7" cm="1">
        <f t="array" ref="L33">INDEX(GMWA!$A$2:$CR$60,MATCH(1,(GMWA!$CQ$2:$CQ$60=L$3)*(GMWA!$CP$2:$CP$60=L$4)*(GMWA!$CR$2:$CR$60=L$1),0),$A33-1966)</f>
        <v>927454</v>
      </c>
      <c r="M33" s="7" cm="1">
        <f t="array" ref="M33">INDEX(GMWA!$A$2:$CR$60,MATCH(1,(GMWA!$CQ$2:$CQ$60=M$3)*(GMWA!$CP$2:$CP$60=M$4)*(GMWA!$CR$2:$CR$60=M$1),0),$A33-1966)</f>
        <v>36411</v>
      </c>
    </row>
    <row r="34" spans="1:13" x14ac:dyDescent="0.35">
      <c r="A34" s="7">
        <f t="shared" si="1"/>
        <v>2000</v>
      </c>
      <c r="B34" s="7" cm="1">
        <f t="array" ref="B34">INDEX(GMWA!$A$2:$CR$60,MATCH(1,(GMWA!$CQ$2:$CQ$60=B$3)*(GMWA!$CP$2:$CP$60=B$4)*(GMWA!$CR$2:$CR$60=B$1),0),$A34-1966)</f>
        <v>727610</v>
      </c>
      <c r="C34" s="7" cm="1">
        <f t="array" ref="C34">INDEX(GMWA!$A$2:$CR$60,MATCH(1,(GMWA!$CQ$2:$CQ$60=C$3)*(GMWA!$CP$2:$CP$60=C$4)*(GMWA!$CR$2:$CR$60=C$1),0),$A34-1966)</f>
        <v>456373</v>
      </c>
      <c r="D34" s="7" cm="1">
        <f t="array" ref="D34">INDEX(GMWA!$A$2:$CR$60,MATCH(1,(GMWA!$CQ$2:$CQ$60=D$3)*(GMWA!$CP$2:$CP$60=D$4)*(GMWA!$CR$2:$CR$60=D$1),0),$A34-1966)</f>
        <v>23976.75</v>
      </c>
      <c r="E34" s="7" cm="1">
        <f t="array" ref="E34">INDEX(GMWA!$A$2:$CR$60,MATCH(1,(GMWA!$CQ$2:$CQ$60=E$3)*(GMWA!$CP$2:$CP$60=E$4)*(GMWA!$CR$2:$CR$60=E$1),0),$A34-1966)</f>
        <v>73.054919999999996</v>
      </c>
      <c r="F34" s="7" cm="1">
        <f t="array" ref="F34">INDEX(GMWA!$A$2:$CR$60,MATCH(1,(GMWA!$CQ$2:$CQ$60=F$3)*(GMWA!$CP$2:$CP$60=F$4)*(GMWA!$CR$2:$CR$60=F$1),0),$A34-1966)</f>
        <v>105299</v>
      </c>
      <c r="G34" s="7" cm="1">
        <f t="array" ref="G34">INDEX(GMWA!$A$2:$CR$60,MATCH(1,(GMWA!$CQ$2:$CQ$60=G$3)*(GMWA!$CP$2:$CP$60=G$4)*(GMWA!$CR$2:$CR$60=G$1),0),$A34-1966)</f>
        <v>29184</v>
      </c>
      <c r="H34" s="7" cm="1">
        <f t="array" ref="H34">INDEX(GMWA!$A$2:$CR$60,MATCH(1,(GMWA!$CQ$2:$CQ$60=H$3)*(GMWA!$CP$2:$CP$60=H$4)*(GMWA!$CR$2:$CR$60=H$1),0),$A34-1966)</f>
        <v>107870</v>
      </c>
      <c r="I34" s="7" cm="1">
        <f t="array" ref="I34">INDEX(GMWA!$A$2:$CR$60,MATCH(1,(GMWA!$CQ$2:$CQ$60=I$3)*(GMWA!$CP$2:$CP$60=I$4)*(GMWA!$CR$2:$CR$60=I$1),0),$A34-1966)</f>
        <v>-4710</v>
      </c>
      <c r="J34" s="7" cm="1">
        <f t="array" ref="J34">INDEX(GMWA!$A$2:$CR$60,MATCH(1,(GMWA!$CQ$2:$CQ$60=J$3)*(GMWA!$CP$2:$CP$60=J$4)*(GMWA!$CR$2:$CR$60=J$1),0),$A34-1966)</f>
        <v>709394</v>
      </c>
      <c r="K34" s="7" cm="1">
        <f t="array" ref="K34">INDEX(GMWA!$A$2:$CR$60,MATCH(1,(GMWA!$CQ$2:$CQ$60=K$3)*(GMWA!$CP$2:$CP$60=K$4)*(GMWA!$CR$2:$CR$60=K$1),0),$A34-1966)</f>
        <v>18671</v>
      </c>
      <c r="L34" s="7" cm="1">
        <f t="array" ref="L34">INDEX(GMWA!$A$2:$CR$60,MATCH(1,(GMWA!$CQ$2:$CQ$60=L$3)*(GMWA!$CP$2:$CP$60=L$4)*(GMWA!$CR$2:$CR$60=L$1),0),$A34-1966)</f>
        <v>971050</v>
      </c>
      <c r="M34" s="7" cm="1">
        <f t="array" ref="M34">INDEX(GMWA!$A$2:$CR$60,MATCH(1,(GMWA!$CQ$2:$CQ$60=M$3)*(GMWA!$CP$2:$CP$60=M$4)*(GMWA!$CR$2:$CR$60=M$1),0),$A34-1966)</f>
        <v>37788</v>
      </c>
    </row>
    <row r="35" spans="1:13" x14ac:dyDescent="0.35">
      <c r="A35" s="7">
        <f t="shared" si="1"/>
        <v>2001</v>
      </c>
      <c r="B35" s="7" cm="1">
        <f t="array" ref="B35">INDEX(GMWA!$A$2:$CR$60,MATCH(1,(GMWA!$CQ$2:$CQ$60=B$3)*(GMWA!$CP$2:$CP$60=B$4)*(GMWA!$CR$2:$CR$60=B$1),0),$A35-1966)</f>
        <v>760114</v>
      </c>
      <c r="C35" s="7" cm="1">
        <f t="array" ref="C35">INDEX(GMWA!$A$2:$CR$60,MATCH(1,(GMWA!$CQ$2:$CQ$60=C$3)*(GMWA!$CP$2:$CP$60=C$4)*(GMWA!$CR$2:$CR$60=C$1),0),$A35-1966)</f>
        <v>485948</v>
      </c>
      <c r="D35" s="7" cm="1">
        <f t="array" ref="D35">INDEX(GMWA!$A$2:$CR$60,MATCH(1,(GMWA!$CQ$2:$CQ$60=D$3)*(GMWA!$CP$2:$CP$60=D$4)*(GMWA!$CR$2:$CR$60=D$1),0),$A35-1966)</f>
        <v>24186.25</v>
      </c>
      <c r="E35" s="7" cm="1">
        <f t="array" ref="E35">INDEX(GMWA!$A$2:$CR$60,MATCH(1,(GMWA!$CQ$2:$CQ$60=E$3)*(GMWA!$CP$2:$CP$60=E$4)*(GMWA!$CR$2:$CR$60=E$1),0),$A35-1966)</f>
        <v>73.601849999999999</v>
      </c>
      <c r="F35" s="7" cm="1">
        <f t="array" ref="F35">INDEX(GMWA!$A$2:$CR$60,MATCH(1,(GMWA!$CQ$2:$CQ$60=F$3)*(GMWA!$CP$2:$CP$60=F$4)*(GMWA!$CR$2:$CR$60=F$1),0),$A35-1966)</f>
        <v>111887</v>
      </c>
      <c r="G35" s="7" cm="1">
        <f t="array" ref="G35">INDEX(GMWA!$A$2:$CR$60,MATCH(1,(GMWA!$CQ$2:$CQ$60=G$3)*(GMWA!$CP$2:$CP$60=G$4)*(GMWA!$CR$2:$CR$60=G$1),0),$A35-1966)</f>
        <v>31509</v>
      </c>
      <c r="H35" s="7" cm="1">
        <f t="array" ref="H35">INDEX(GMWA!$A$2:$CR$60,MATCH(1,(GMWA!$CQ$2:$CQ$60=H$3)*(GMWA!$CP$2:$CP$60=H$4)*(GMWA!$CR$2:$CR$60=H$1),0),$A35-1966)</f>
        <v>116202</v>
      </c>
      <c r="I35" s="7" cm="1">
        <f t="array" ref="I35">INDEX(GMWA!$A$2:$CR$60,MATCH(1,(GMWA!$CQ$2:$CQ$60=I$3)*(GMWA!$CP$2:$CP$60=I$4)*(GMWA!$CR$2:$CR$60=I$1),0),$A35-1966)</f>
        <v>-7868</v>
      </c>
      <c r="J35" s="7" cm="1">
        <f t="array" ref="J35">INDEX(GMWA!$A$2:$CR$60,MATCH(1,(GMWA!$CQ$2:$CQ$60=J$3)*(GMWA!$CP$2:$CP$60=J$4)*(GMWA!$CR$2:$CR$60=J$1),0),$A35-1966)</f>
        <v>737854</v>
      </c>
      <c r="K35" s="7" cm="1">
        <f t="array" ref="K35">INDEX(GMWA!$A$2:$CR$60,MATCH(1,(GMWA!$CQ$2:$CQ$60=K$3)*(GMWA!$CP$2:$CP$60=K$4)*(GMWA!$CR$2:$CR$60=K$1),0),$A35-1966)</f>
        <v>20503</v>
      </c>
      <c r="L35" s="7" cm="1">
        <f t="array" ref="L35">INDEX(GMWA!$A$2:$CR$60,MATCH(1,(GMWA!$CQ$2:$CQ$60=L$3)*(GMWA!$CP$2:$CP$60=L$4)*(GMWA!$CR$2:$CR$60=L$1),0),$A35-1966)</f>
        <v>1002536</v>
      </c>
      <c r="M35" s="7" cm="1">
        <f t="array" ref="M35">INDEX(GMWA!$A$2:$CR$60,MATCH(1,(GMWA!$CQ$2:$CQ$60=M$3)*(GMWA!$CP$2:$CP$60=M$4)*(GMWA!$CR$2:$CR$60=M$1),0),$A35-1966)</f>
        <v>38709</v>
      </c>
    </row>
    <row r="36" spans="1:13" x14ac:dyDescent="0.35">
      <c r="A36" s="7">
        <f t="shared" si="1"/>
        <v>2002</v>
      </c>
      <c r="B36" s="7" cm="1">
        <f t="array" ref="B36">INDEX(GMWA!$A$2:$CR$60,MATCH(1,(GMWA!$CQ$2:$CQ$60=B$3)*(GMWA!$CP$2:$CP$60=B$4)*(GMWA!$CR$2:$CR$60=B$1),0),$A36-1966)</f>
        <v>785298</v>
      </c>
      <c r="C36" s="7" cm="1">
        <f t="array" ref="C36">INDEX(GMWA!$A$2:$CR$60,MATCH(1,(GMWA!$CQ$2:$CQ$60=C$3)*(GMWA!$CP$2:$CP$60=C$4)*(GMWA!$CR$2:$CR$60=C$1),0),$A36-1966)</f>
        <v>498707</v>
      </c>
      <c r="D36" s="7" cm="1">
        <f t="array" ref="D36">INDEX(GMWA!$A$2:$CR$60,MATCH(1,(GMWA!$CQ$2:$CQ$60=D$3)*(GMWA!$CP$2:$CP$60=D$4)*(GMWA!$CR$2:$CR$60=D$1),0),$A36-1966)</f>
        <v>24407</v>
      </c>
      <c r="E36" s="7" cm="1">
        <f t="array" ref="E36">INDEX(GMWA!$A$2:$CR$60,MATCH(1,(GMWA!$CQ$2:$CQ$60=E$3)*(GMWA!$CP$2:$CP$60=E$4)*(GMWA!$CR$2:$CR$60=E$1),0),$A36-1966)</f>
        <v>74.068619999999996</v>
      </c>
      <c r="F36" s="7" cm="1">
        <f t="array" ref="F36">INDEX(GMWA!$A$2:$CR$60,MATCH(1,(GMWA!$CQ$2:$CQ$60=F$3)*(GMWA!$CP$2:$CP$60=F$4)*(GMWA!$CR$2:$CR$60=F$1),0),$A36-1966)</f>
        <v>112170</v>
      </c>
      <c r="G36" s="7" cm="1">
        <f t="array" ref="G36">INDEX(GMWA!$A$2:$CR$60,MATCH(1,(GMWA!$CQ$2:$CQ$60=G$3)*(GMWA!$CP$2:$CP$60=G$4)*(GMWA!$CR$2:$CR$60=G$1),0),$A36-1966)</f>
        <v>32332</v>
      </c>
      <c r="H36" s="7" cm="1">
        <f t="array" ref="H36">INDEX(GMWA!$A$2:$CR$60,MATCH(1,(GMWA!$CQ$2:$CQ$60=H$3)*(GMWA!$CP$2:$CP$60=H$4)*(GMWA!$CR$2:$CR$60=H$1),0),$A36-1966)</f>
        <v>121564</v>
      </c>
      <c r="I36" s="7" cm="1">
        <f t="array" ref="I36">INDEX(GMWA!$A$2:$CR$60,MATCH(1,(GMWA!$CQ$2:$CQ$60=I$3)*(GMWA!$CP$2:$CP$60=I$4)*(GMWA!$CR$2:$CR$60=I$1),0),$A36-1966)</f>
        <v>-9991</v>
      </c>
      <c r="J36" s="7" cm="1">
        <f t="array" ref="J36">INDEX(GMWA!$A$2:$CR$60,MATCH(1,(GMWA!$CQ$2:$CQ$60=J$3)*(GMWA!$CP$2:$CP$60=J$4)*(GMWA!$CR$2:$CR$60=J$1),0),$A36-1966)</f>
        <v>762175</v>
      </c>
      <c r="K36" s="7" cm="1">
        <f t="array" ref="K36">INDEX(GMWA!$A$2:$CR$60,MATCH(1,(GMWA!$CQ$2:$CQ$60=K$3)*(GMWA!$CP$2:$CP$60=K$4)*(GMWA!$CR$2:$CR$60=K$1),0),$A36-1966)</f>
        <v>22597</v>
      </c>
      <c r="L36" s="7" cm="1">
        <f t="array" ref="L36">INDEX(GMWA!$A$2:$CR$60,MATCH(1,(GMWA!$CQ$2:$CQ$60=L$3)*(GMWA!$CP$2:$CP$60=L$4)*(GMWA!$CR$2:$CR$60=L$1),0),$A36-1966)</f>
        <v>1028983</v>
      </c>
      <c r="M36" s="7" cm="1">
        <f t="array" ref="M36">INDEX(GMWA!$A$2:$CR$60,MATCH(1,(GMWA!$CQ$2:$CQ$60=M$3)*(GMWA!$CP$2:$CP$60=M$4)*(GMWA!$CR$2:$CR$60=M$1),0),$A36-1966)</f>
        <v>39962</v>
      </c>
    </row>
    <row r="37" spans="1:13" x14ac:dyDescent="0.35">
      <c r="A37" s="7">
        <f t="shared" si="1"/>
        <v>2003</v>
      </c>
      <c r="B37" s="7" cm="1">
        <f t="array" ref="B37">INDEX(GMWA!$A$2:$CR$60,MATCH(1,(GMWA!$CQ$2:$CQ$60=B$3)*(GMWA!$CP$2:$CP$60=B$4)*(GMWA!$CR$2:$CR$60=B$1),0),$A37-1966)</f>
        <v>813613</v>
      </c>
      <c r="C37" s="7" cm="1">
        <f t="array" ref="C37">INDEX(GMWA!$A$2:$CR$60,MATCH(1,(GMWA!$CQ$2:$CQ$60=C$3)*(GMWA!$CP$2:$CP$60=C$4)*(GMWA!$CR$2:$CR$60=C$1),0),$A37-1966)</f>
        <v>521700</v>
      </c>
      <c r="D37" s="7" cm="1">
        <f t="array" ref="D37">INDEX(GMWA!$A$2:$CR$60,MATCH(1,(GMWA!$CQ$2:$CQ$60=D$3)*(GMWA!$CP$2:$CP$60=D$4)*(GMWA!$CR$2:$CR$60=D$1),0),$A37-1966)</f>
        <v>24458.75</v>
      </c>
      <c r="E37" s="7" cm="1">
        <f t="array" ref="E37">INDEX(GMWA!$A$2:$CR$60,MATCH(1,(GMWA!$CQ$2:$CQ$60=E$3)*(GMWA!$CP$2:$CP$60=E$4)*(GMWA!$CR$2:$CR$60=E$1),0),$A37-1966)</f>
        <v>74.989009999999993</v>
      </c>
      <c r="F37" s="7" cm="1">
        <f t="array" ref="F37">INDEX(GMWA!$A$2:$CR$60,MATCH(1,(GMWA!$CQ$2:$CQ$60=F$3)*(GMWA!$CP$2:$CP$60=F$4)*(GMWA!$CR$2:$CR$60=F$1),0),$A37-1966)</f>
        <v>115973</v>
      </c>
      <c r="G37" s="7" cm="1">
        <f t="array" ref="G37">INDEX(GMWA!$A$2:$CR$60,MATCH(1,(GMWA!$CQ$2:$CQ$60=G$3)*(GMWA!$CP$2:$CP$60=G$4)*(GMWA!$CR$2:$CR$60=G$1),0),$A37-1966)</f>
        <v>38095</v>
      </c>
      <c r="H37" s="7" cm="1">
        <f t="array" ref="H37">INDEX(GMWA!$A$2:$CR$60,MATCH(1,(GMWA!$CQ$2:$CQ$60=H$3)*(GMWA!$CP$2:$CP$60=H$4)*(GMWA!$CR$2:$CR$60=H$1),0),$A37-1966)</f>
        <v>132461</v>
      </c>
      <c r="I37" s="7" cm="1">
        <f t="array" ref="I37">INDEX(GMWA!$A$2:$CR$60,MATCH(1,(GMWA!$CQ$2:$CQ$60=I$3)*(GMWA!$CP$2:$CP$60=I$4)*(GMWA!$CR$2:$CR$60=I$1),0),$A37-1966)</f>
        <v>-9887</v>
      </c>
      <c r="J37" s="7" cm="1">
        <f t="array" ref="J37">INDEX(GMWA!$A$2:$CR$60,MATCH(1,(GMWA!$CQ$2:$CQ$60=J$3)*(GMWA!$CP$2:$CP$60=J$4)*(GMWA!$CR$2:$CR$60=J$1),0),$A37-1966)</f>
        <v>797482</v>
      </c>
      <c r="K37" s="7" cm="1">
        <f t="array" ref="K37">INDEX(GMWA!$A$2:$CR$60,MATCH(1,(GMWA!$CQ$2:$CQ$60=K$3)*(GMWA!$CP$2:$CP$60=K$4)*(GMWA!$CR$2:$CR$60=K$1),0),$A37-1966)</f>
        <v>24835</v>
      </c>
      <c r="L37" s="7" cm="1">
        <f t="array" ref="L37">INDEX(GMWA!$A$2:$CR$60,MATCH(1,(GMWA!$CQ$2:$CQ$60=L$3)*(GMWA!$CP$2:$CP$60=L$4)*(GMWA!$CR$2:$CR$60=L$1),0),$A37-1966)</f>
        <v>1063424</v>
      </c>
      <c r="M37" s="7" cm="1">
        <f t="array" ref="M37">INDEX(GMWA!$A$2:$CR$60,MATCH(1,(GMWA!$CQ$2:$CQ$60=M$3)*(GMWA!$CP$2:$CP$60=M$4)*(GMWA!$CR$2:$CR$60=M$1),0),$A37-1966)</f>
        <v>41478</v>
      </c>
    </row>
    <row r="38" spans="1:13" x14ac:dyDescent="0.35">
      <c r="A38" s="7">
        <f t="shared" si="1"/>
        <v>2004</v>
      </c>
      <c r="B38" s="7" cm="1">
        <f t="array" ref="B38">INDEX(GMWA!$A$2:$CR$60,MATCH(1,(GMWA!$CQ$2:$CQ$60=B$3)*(GMWA!$CP$2:$CP$60=B$4)*(GMWA!$CR$2:$CR$60=B$1),0),$A38-1966)</f>
        <v>852800</v>
      </c>
      <c r="C38" s="7" cm="1">
        <f t="array" ref="C38">INDEX(GMWA!$A$2:$CR$60,MATCH(1,(GMWA!$CQ$2:$CQ$60=C$3)*(GMWA!$CP$2:$CP$60=C$4)*(GMWA!$CR$2:$CR$60=C$1),0),$A38-1966)</f>
        <v>552686</v>
      </c>
      <c r="D38" s="7" cm="1">
        <f t="array" ref="D38">INDEX(GMWA!$A$2:$CR$60,MATCH(1,(GMWA!$CQ$2:$CQ$60=D$3)*(GMWA!$CP$2:$CP$60=D$4)*(GMWA!$CR$2:$CR$60=D$1),0),$A38-1966)</f>
        <v>24686.75</v>
      </c>
      <c r="E38" s="7" cm="1">
        <f t="array" ref="E38">INDEX(GMWA!$A$2:$CR$60,MATCH(1,(GMWA!$CQ$2:$CQ$60=E$3)*(GMWA!$CP$2:$CP$60=E$4)*(GMWA!$CR$2:$CR$60=E$1),0),$A38-1966)</f>
        <v>76.383399999999995</v>
      </c>
      <c r="F38" s="7" cm="1">
        <f t="array" ref="F38">INDEX(GMWA!$A$2:$CR$60,MATCH(1,(GMWA!$CQ$2:$CQ$60=F$3)*(GMWA!$CP$2:$CP$60=F$4)*(GMWA!$CR$2:$CR$60=F$1),0),$A38-1966)</f>
        <v>123898</v>
      </c>
      <c r="G38" s="7" cm="1">
        <f t="array" ref="G38">INDEX(GMWA!$A$2:$CR$60,MATCH(1,(GMWA!$CQ$2:$CQ$60=G$3)*(GMWA!$CP$2:$CP$60=G$4)*(GMWA!$CR$2:$CR$60=G$1),0),$A38-1966)</f>
        <v>41782</v>
      </c>
      <c r="H38" s="7" cm="1">
        <f t="array" ref="H38">INDEX(GMWA!$A$2:$CR$60,MATCH(1,(GMWA!$CQ$2:$CQ$60=H$3)*(GMWA!$CP$2:$CP$60=H$4)*(GMWA!$CR$2:$CR$60=H$1),0),$A38-1966)</f>
        <v>142261</v>
      </c>
      <c r="I38" s="7" cm="1">
        <f t="array" ref="I38">INDEX(GMWA!$A$2:$CR$60,MATCH(1,(GMWA!$CQ$2:$CQ$60=I$3)*(GMWA!$CP$2:$CP$60=I$4)*(GMWA!$CR$2:$CR$60=I$1),0),$A38-1966)</f>
        <v>-11638</v>
      </c>
      <c r="J38" s="7" cm="1">
        <f t="array" ref="J38">INDEX(GMWA!$A$2:$CR$60,MATCH(1,(GMWA!$CQ$2:$CQ$60=J$3)*(GMWA!$CP$2:$CP$60=J$4)*(GMWA!$CR$2:$CR$60=J$1),0),$A38-1966)</f>
        <v>834786</v>
      </c>
      <c r="K38" s="7" cm="1">
        <f t="array" ref="K38">INDEX(GMWA!$A$2:$CR$60,MATCH(1,(GMWA!$CQ$2:$CQ$60=K$3)*(GMWA!$CP$2:$CP$60=K$4)*(GMWA!$CR$2:$CR$60=K$1),0),$A38-1966)</f>
        <v>26685</v>
      </c>
      <c r="L38" s="7" cm="1">
        <f t="array" ref="L38">INDEX(GMWA!$A$2:$CR$60,MATCH(1,(GMWA!$CQ$2:$CQ$60=L$3)*(GMWA!$CP$2:$CP$60=L$4)*(GMWA!$CR$2:$CR$60=L$1),0),$A38-1966)</f>
        <v>1092834</v>
      </c>
      <c r="M38" s="7" cm="1">
        <f t="array" ref="M38">INDEX(GMWA!$A$2:$CR$60,MATCH(1,(GMWA!$CQ$2:$CQ$60=M$3)*(GMWA!$CP$2:$CP$60=M$4)*(GMWA!$CR$2:$CR$60=M$1),0),$A38-1966)</f>
        <v>42808</v>
      </c>
    </row>
    <row r="39" spans="1:13" x14ac:dyDescent="0.35">
      <c r="A39" s="7">
        <f t="shared" si="1"/>
        <v>2005</v>
      </c>
      <c r="B39" s="7" cm="1">
        <f t="array" ref="B39">INDEX(GMWA!$A$2:$CR$60,MATCH(1,(GMWA!$CQ$2:$CQ$60=B$3)*(GMWA!$CP$2:$CP$60=B$4)*(GMWA!$CR$2:$CR$60=B$1),0),$A39-1966)</f>
        <v>891024</v>
      </c>
      <c r="C39" s="7" cm="1">
        <f t="array" ref="C39">INDEX(GMWA!$A$2:$CR$60,MATCH(1,(GMWA!$CQ$2:$CQ$60=C$3)*(GMWA!$CP$2:$CP$60=C$4)*(GMWA!$CR$2:$CR$60=C$1),0),$A39-1966)</f>
        <v>578425</v>
      </c>
      <c r="D39" s="7" cm="1">
        <f t="array" ref="D39">INDEX(GMWA!$A$2:$CR$60,MATCH(1,(GMWA!$CQ$2:$CQ$60=D$3)*(GMWA!$CP$2:$CP$60=D$4)*(GMWA!$CR$2:$CR$60=D$1),0),$A39-1966)</f>
        <v>24997</v>
      </c>
      <c r="E39" s="7" cm="1">
        <f t="array" ref="E39">INDEX(GMWA!$A$2:$CR$60,MATCH(1,(GMWA!$CQ$2:$CQ$60=E$3)*(GMWA!$CP$2:$CP$60=E$4)*(GMWA!$CR$2:$CR$60=E$1),0),$A39-1966)</f>
        <v>77.778729999999996</v>
      </c>
      <c r="F39" s="7" cm="1">
        <f t="array" ref="F39">INDEX(GMWA!$A$2:$CR$60,MATCH(1,(GMWA!$CQ$2:$CQ$60=F$3)*(GMWA!$CP$2:$CP$60=F$4)*(GMWA!$CR$2:$CR$60=F$1),0),$A39-1966)</f>
        <v>134381</v>
      </c>
      <c r="G39" s="7" cm="1">
        <f t="array" ref="G39">INDEX(GMWA!$A$2:$CR$60,MATCH(1,(GMWA!$CQ$2:$CQ$60=G$3)*(GMWA!$CP$2:$CP$60=G$4)*(GMWA!$CR$2:$CR$60=G$1),0),$A39-1966)</f>
        <v>44252</v>
      </c>
      <c r="H39" s="7" cm="1">
        <f t="array" ref="H39">INDEX(GMWA!$A$2:$CR$60,MATCH(1,(GMWA!$CQ$2:$CQ$60=H$3)*(GMWA!$CP$2:$CP$60=H$4)*(GMWA!$CR$2:$CR$60=H$1),0),$A39-1966)</f>
        <v>148357</v>
      </c>
      <c r="I39" s="7" cm="1">
        <f t="array" ref="I39">INDEX(GMWA!$A$2:$CR$60,MATCH(1,(GMWA!$CQ$2:$CQ$60=I$3)*(GMWA!$CP$2:$CP$60=I$4)*(GMWA!$CR$2:$CR$60=I$1),0),$A39-1966)</f>
        <v>-15160</v>
      </c>
      <c r="J39" s="7" cm="1">
        <f t="array" ref="J39">INDEX(GMWA!$A$2:$CR$60,MATCH(1,(GMWA!$CQ$2:$CQ$60=J$3)*(GMWA!$CP$2:$CP$60=J$4)*(GMWA!$CR$2:$CR$60=J$1),0),$A39-1966)</f>
        <v>874142</v>
      </c>
      <c r="K39" s="7" cm="1">
        <f t="array" ref="K39">INDEX(GMWA!$A$2:$CR$60,MATCH(1,(GMWA!$CQ$2:$CQ$60=K$3)*(GMWA!$CP$2:$CP$60=K$4)*(GMWA!$CR$2:$CR$60=K$1),0),$A39-1966)</f>
        <v>28683</v>
      </c>
      <c r="L39" s="7" cm="1">
        <f t="array" ref="L39">INDEX(GMWA!$A$2:$CR$60,MATCH(1,(GMWA!$CQ$2:$CQ$60=L$3)*(GMWA!$CP$2:$CP$60=L$4)*(GMWA!$CR$2:$CR$60=L$1),0),$A39-1966)</f>
        <v>1123830</v>
      </c>
      <c r="M39" s="7" cm="1">
        <f t="array" ref="M39">INDEX(GMWA!$A$2:$CR$60,MATCH(1,(GMWA!$CQ$2:$CQ$60=M$3)*(GMWA!$CP$2:$CP$60=M$4)*(GMWA!$CR$2:$CR$60=M$1),0),$A39-1966)</f>
        <v>43428</v>
      </c>
    </row>
    <row r="40" spans="1:13" x14ac:dyDescent="0.35">
      <c r="A40" s="7">
        <f t="shared" si="1"/>
        <v>2006</v>
      </c>
      <c r="B40" s="7" cm="1">
        <f t="array" ref="B40">INDEX(GMWA!$A$2:$CR$60,MATCH(1,(GMWA!$CQ$2:$CQ$60=B$3)*(GMWA!$CP$2:$CP$60=B$4)*(GMWA!$CR$2:$CR$60=B$1),0),$A40-1966)</f>
        <v>935159</v>
      </c>
      <c r="C40" s="7" cm="1">
        <f t="array" ref="C40">INDEX(GMWA!$A$2:$CR$60,MATCH(1,(GMWA!$CQ$2:$CQ$60=C$3)*(GMWA!$CP$2:$CP$60=C$4)*(GMWA!$CR$2:$CR$60=C$1),0),$A40-1966)</f>
        <v>610443</v>
      </c>
      <c r="D40" s="7" cm="1">
        <f t="array" ref="D40">INDEX(GMWA!$A$2:$CR$60,MATCH(1,(GMWA!$CQ$2:$CQ$60=D$3)*(GMWA!$CP$2:$CP$60=D$4)*(GMWA!$CR$2:$CR$60=D$1),0),$A40-1966)</f>
        <v>25195.25</v>
      </c>
      <c r="E40" s="7" cm="1">
        <f t="array" ref="E40">INDEX(GMWA!$A$2:$CR$60,MATCH(1,(GMWA!$CQ$2:$CQ$60=E$3)*(GMWA!$CP$2:$CP$60=E$4)*(GMWA!$CR$2:$CR$60=E$1),0),$A40-1966)</f>
        <v>80.080759999999998</v>
      </c>
      <c r="F40" s="7" cm="1">
        <f t="array" ref="F40">INDEX(GMWA!$A$2:$CR$60,MATCH(1,(GMWA!$CQ$2:$CQ$60=F$3)*(GMWA!$CP$2:$CP$60=F$4)*(GMWA!$CR$2:$CR$60=F$1),0),$A40-1966)</f>
        <v>143582</v>
      </c>
      <c r="G40" s="7" cm="1">
        <f t="array" ref="G40">INDEX(GMWA!$A$2:$CR$60,MATCH(1,(GMWA!$CQ$2:$CQ$60=G$3)*(GMWA!$CP$2:$CP$60=G$4)*(GMWA!$CR$2:$CR$60=G$1),0),$A40-1966)</f>
        <v>46524</v>
      </c>
      <c r="H40" s="7" cm="1">
        <f t="array" ref="H40">INDEX(GMWA!$A$2:$CR$60,MATCH(1,(GMWA!$CQ$2:$CQ$60=H$3)*(GMWA!$CP$2:$CP$60=H$4)*(GMWA!$CR$2:$CR$60=H$1),0),$A40-1966)</f>
        <v>152949</v>
      </c>
      <c r="I40" s="7" cm="1">
        <f t="array" ref="I40">INDEX(GMWA!$A$2:$CR$60,MATCH(1,(GMWA!$CQ$2:$CQ$60=I$3)*(GMWA!$CP$2:$CP$60=I$4)*(GMWA!$CR$2:$CR$60=I$1),0),$A40-1966)</f>
        <v>-16719</v>
      </c>
      <c r="J40" s="7" cm="1">
        <f t="array" ref="J40">INDEX(GMWA!$A$2:$CR$60,MATCH(1,(GMWA!$CQ$2:$CQ$60=J$3)*(GMWA!$CP$2:$CP$60=J$4)*(GMWA!$CR$2:$CR$60=J$1),0),$A40-1966)</f>
        <v>907535</v>
      </c>
      <c r="K40" s="7" cm="1">
        <f t="array" ref="K40">INDEX(GMWA!$A$2:$CR$60,MATCH(1,(GMWA!$CQ$2:$CQ$60=K$3)*(GMWA!$CP$2:$CP$60=K$4)*(GMWA!$CR$2:$CR$60=K$1),0),$A40-1966)</f>
        <v>30335</v>
      </c>
      <c r="L40" s="7" cm="1">
        <f t="array" ref="L40">INDEX(GMWA!$A$2:$CR$60,MATCH(1,(GMWA!$CQ$2:$CQ$60=L$3)*(GMWA!$CP$2:$CP$60=L$4)*(GMWA!$CR$2:$CR$60=L$1),0),$A40-1966)</f>
        <v>1133245</v>
      </c>
      <c r="M40" s="7" cm="1">
        <f t="array" ref="M40">INDEX(GMWA!$A$2:$CR$60,MATCH(1,(GMWA!$CQ$2:$CQ$60=M$3)*(GMWA!$CP$2:$CP$60=M$4)*(GMWA!$CR$2:$CR$60=M$1),0),$A40-1966)</f>
        <v>42302</v>
      </c>
    </row>
    <row r="41" spans="1:13" x14ac:dyDescent="0.35">
      <c r="A41" s="7">
        <f t="shared" si="1"/>
        <v>2007</v>
      </c>
      <c r="B41" s="7" cm="1">
        <f t="array" ref="B41">INDEX(GMWA!$A$2:$CR$60,MATCH(1,(GMWA!$CQ$2:$CQ$60=B$3)*(GMWA!$CP$2:$CP$60=B$4)*(GMWA!$CR$2:$CR$60=B$1),0),$A41-1966)</f>
        <v>986363</v>
      </c>
      <c r="C41" s="7" cm="1">
        <f t="array" ref="C41">INDEX(GMWA!$A$2:$CR$60,MATCH(1,(GMWA!$CQ$2:$CQ$60=C$3)*(GMWA!$CP$2:$CP$60=C$4)*(GMWA!$CR$2:$CR$60=C$1),0),$A41-1966)</f>
        <v>651314</v>
      </c>
      <c r="D41" s="7" cm="1">
        <f t="array" ref="D41">INDEX(GMWA!$A$2:$CR$60,MATCH(1,(GMWA!$CQ$2:$CQ$60=D$3)*(GMWA!$CP$2:$CP$60=D$4)*(GMWA!$CR$2:$CR$60=D$1),0),$A41-1966)</f>
        <v>25345</v>
      </c>
      <c r="E41" s="7" cm="1">
        <f t="array" ref="E41">INDEX(GMWA!$A$2:$CR$60,MATCH(1,(GMWA!$CQ$2:$CQ$60=E$3)*(GMWA!$CP$2:$CP$60=E$4)*(GMWA!$CR$2:$CR$60=E$1),0),$A41-1966)</f>
        <v>81.190579999999997</v>
      </c>
      <c r="F41" s="7" cm="1">
        <f t="array" ref="F41">INDEX(GMWA!$A$2:$CR$60,MATCH(1,(GMWA!$CQ$2:$CQ$60=F$3)*(GMWA!$CP$2:$CP$60=F$4)*(GMWA!$CR$2:$CR$60=F$1),0),$A41-1966)</f>
        <v>155326</v>
      </c>
      <c r="G41" s="7" cm="1">
        <f t="array" ref="G41">INDEX(GMWA!$A$2:$CR$60,MATCH(1,(GMWA!$CQ$2:$CQ$60=G$3)*(GMWA!$CP$2:$CP$60=G$4)*(GMWA!$CR$2:$CR$60=G$1),0),$A41-1966)</f>
        <v>46150</v>
      </c>
      <c r="H41" s="7" cm="1">
        <f t="array" ref="H41">INDEX(GMWA!$A$2:$CR$60,MATCH(1,(GMWA!$CQ$2:$CQ$60=H$3)*(GMWA!$CP$2:$CP$60=H$4)*(GMWA!$CR$2:$CR$60=H$1),0),$A41-1966)</f>
        <v>163192</v>
      </c>
      <c r="I41" s="7" cm="1">
        <f t="array" ref="I41">INDEX(GMWA!$A$2:$CR$60,MATCH(1,(GMWA!$CQ$2:$CQ$60=I$3)*(GMWA!$CP$2:$CP$60=I$4)*(GMWA!$CR$2:$CR$60=I$1),0),$A41-1966)</f>
        <v>-22405</v>
      </c>
      <c r="J41" s="7" cm="1">
        <f t="array" ref="J41">INDEX(GMWA!$A$2:$CR$60,MATCH(1,(GMWA!$CQ$2:$CQ$60=J$3)*(GMWA!$CP$2:$CP$60=J$4)*(GMWA!$CR$2:$CR$60=J$1),0),$A41-1966)</f>
        <v>951491</v>
      </c>
      <c r="K41" s="7" cm="1">
        <f t="array" ref="K41">INDEX(GMWA!$A$2:$CR$60,MATCH(1,(GMWA!$CQ$2:$CQ$60=K$3)*(GMWA!$CP$2:$CP$60=K$4)*(GMWA!$CR$2:$CR$60=K$1),0),$A41-1966)</f>
        <v>31108</v>
      </c>
      <c r="L41" s="7" cm="1">
        <f t="array" ref="L41">INDEX(GMWA!$A$2:$CR$60,MATCH(1,(GMWA!$CQ$2:$CQ$60=L$3)*(GMWA!$CP$2:$CP$60=L$4)*(GMWA!$CR$2:$CR$60=L$1),0),$A41-1966)</f>
        <v>1171806</v>
      </c>
      <c r="M41" s="7" cm="1">
        <f t="array" ref="M41">INDEX(GMWA!$A$2:$CR$60,MATCH(1,(GMWA!$CQ$2:$CQ$60=M$3)*(GMWA!$CP$2:$CP$60=M$4)*(GMWA!$CR$2:$CR$60=M$1),0),$A41-1966)</f>
        <v>40906</v>
      </c>
    </row>
    <row r="42" spans="1:13" x14ac:dyDescent="0.35">
      <c r="A42" s="7">
        <f t="shared" si="1"/>
        <v>2008</v>
      </c>
      <c r="B42" s="7" cm="1">
        <f t="array" ref="B42">INDEX(GMWA!$A$2:$CR$60,MATCH(1,(GMWA!$CQ$2:$CQ$60=B$3)*(GMWA!$CP$2:$CP$60=B$4)*(GMWA!$CR$2:$CR$60=B$1),0),$A42-1966)</f>
        <v>1021020</v>
      </c>
      <c r="C42" s="7" cm="1">
        <f t="array" ref="C42">INDEX(GMWA!$A$2:$CR$60,MATCH(1,(GMWA!$CQ$2:$CQ$60=C$3)*(GMWA!$CP$2:$CP$60=C$4)*(GMWA!$CR$2:$CR$60=C$1),0),$A42-1966)</f>
        <v>665400</v>
      </c>
      <c r="D42" s="7" cm="1">
        <f t="array" ref="D42">INDEX(GMWA!$A$2:$CR$60,MATCH(1,(GMWA!$CQ$2:$CQ$60=D$3)*(GMWA!$CP$2:$CP$60=D$4)*(GMWA!$CR$2:$CR$60=D$1),0),$A42-1966)</f>
        <v>25574</v>
      </c>
      <c r="E42" s="7" cm="1">
        <f t="array" ref="E42">INDEX(GMWA!$A$2:$CR$60,MATCH(1,(GMWA!$CQ$2:$CQ$60=E$3)*(GMWA!$CP$2:$CP$60=E$4)*(GMWA!$CR$2:$CR$60=E$1),0),$A42-1966)</f>
        <v>84.437839999999994</v>
      </c>
      <c r="F42" s="7" cm="1">
        <f t="array" ref="F42">INDEX(GMWA!$A$2:$CR$60,MATCH(1,(GMWA!$CQ$2:$CQ$60=F$3)*(GMWA!$CP$2:$CP$60=F$4)*(GMWA!$CR$2:$CR$60=F$1),0),$A42-1966)</f>
        <v>159860</v>
      </c>
      <c r="G42" s="7" cm="1">
        <f t="array" ref="G42">INDEX(GMWA!$A$2:$CR$60,MATCH(1,(GMWA!$CQ$2:$CQ$60=G$3)*(GMWA!$CP$2:$CP$60=G$4)*(GMWA!$CR$2:$CR$60=G$1),0),$A42-1966)</f>
        <v>47871</v>
      </c>
      <c r="H42" s="7" cm="1">
        <f t="array" ref="H42">INDEX(GMWA!$A$2:$CR$60,MATCH(1,(GMWA!$CQ$2:$CQ$60=H$3)*(GMWA!$CP$2:$CP$60=H$4)*(GMWA!$CR$2:$CR$60=H$1),0),$A42-1966)</f>
        <v>174405</v>
      </c>
      <c r="I42" s="7" cm="1">
        <f t="array" ref="I42">INDEX(GMWA!$A$2:$CR$60,MATCH(1,(GMWA!$CQ$2:$CQ$60=I$3)*(GMWA!$CP$2:$CP$60=I$4)*(GMWA!$CR$2:$CR$60=I$1),0),$A42-1966)</f>
        <v>-24623</v>
      </c>
      <c r="J42" s="7" cm="1">
        <f t="array" ref="J42">INDEX(GMWA!$A$2:$CR$60,MATCH(1,(GMWA!$CQ$2:$CQ$60=J$3)*(GMWA!$CP$2:$CP$60=J$4)*(GMWA!$CR$2:$CR$60=J$1),0),$A42-1966)</f>
        <v>981077</v>
      </c>
      <c r="K42" s="7" cm="1">
        <f t="array" ref="K42">INDEX(GMWA!$A$2:$CR$60,MATCH(1,(GMWA!$CQ$2:$CQ$60=K$3)*(GMWA!$CP$2:$CP$60=K$4)*(GMWA!$CR$2:$CR$60=K$1),0),$A42-1966)</f>
        <v>34245</v>
      </c>
      <c r="L42" s="7" cm="1">
        <f t="array" ref="L42">INDEX(GMWA!$A$2:$CR$60,MATCH(1,(GMWA!$CQ$2:$CQ$60=L$3)*(GMWA!$CP$2:$CP$60=L$4)*(GMWA!$CR$2:$CR$60=L$1),0),$A42-1966)</f>
        <v>1162090</v>
      </c>
      <c r="M42" s="7" cm="1">
        <f t="array" ref="M42">INDEX(GMWA!$A$2:$CR$60,MATCH(1,(GMWA!$CQ$2:$CQ$60=M$3)*(GMWA!$CP$2:$CP$60=M$4)*(GMWA!$CR$2:$CR$60=M$1),0),$A42-1966)</f>
        <v>42514</v>
      </c>
    </row>
    <row r="43" spans="1:13" x14ac:dyDescent="0.35">
      <c r="A43" s="7">
        <f t="shared" si="1"/>
        <v>2009</v>
      </c>
      <c r="B43" s="7" cm="1">
        <f t="array" ref="B43">INDEX(GMWA!$A$2:$CR$60,MATCH(1,(GMWA!$CQ$2:$CQ$60=B$3)*(GMWA!$CP$2:$CP$60=B$4)*(GMWA!$CR$2:$CR$60=B$1),0),$A43-1966)</f>
        <v>1047182</v>
      </c>
      <c r="C43" s="7" cm="1">
        <f t="array" ref="C43">INDEX(GMWA!$A$2:$CR$60,MATCH(1,(GMWA!$CQ$2:$CQ$60=C$3)*(GMWA!$CP$2:$CP$60=C$4)*(GMWA!$CR$2:$CR$60=C$1),0),$A43-1966)</f>
        <v>654141</v>
      </c>
      <c r="D43" s="7" cm="1">
        <f t="array" ref="D43">INDEX(GMWA!$A$2:$CR$60,MATCH(1,(GMWA!$CQ$2:$CQ$60=D$3)*(GMWA!$CP$2:$CP$60=D$4)*(GMWA!$CR$2:$CR$60=D$1),0),$A43-1966)</f>
        <v>25092</v>
      </c>
      <c r="E43" s="7" cm="1">
        <f t="array" ref="E43">INDEX(GMWA!$A$2:$CR$60,MATCH(1,(GMWA!$CQ$2:$CQ$60=E$3)*(GMWA!$CP$2:$CP$60=E$4)*(GMWA!$CR$2:$CR$60=E$1),0),$A43-1966)</f>
        <v>85.121629999999996</v>
      </c>
      <c r="F43" s="7" cm="1">
        <f t="array" ref="F43">INDEX(GMWA!$A$2:$CR$60,MATCH(1,(GMWA!$CQ$2:$CQ$60=F$3)*(GMWA!$CP$2:$CP$60=F$4)*(GMWA!$CR$2:$CR$60=F$1),0),$A43-1966)</f>
        <v>151348</v>
      </c>
      <c r="G43" s="7" cm="1">
        <f t="array" ref="G43">INDEX(GMWA!$A$2:$CR$60,MATCH(1,(GMWA!$CQ$2:$CQ$60=G$3)*(GMWA!$CP$2:$CP$60=G$4)*(GMWA!$CR$2:$CR$60=G$1),0),$A43-1966)</f>
        <v>46193</v>
      </c>
      <c r="H43" s="7" cm="1">
        <f t="array" ref="H43">INDEX(GMWA!$A$2:$CR$60,MATCH(1,(GMWA!$CQ$2:$CQ$60=H$3)*(GMWA!$CP$2:$CP$60=H$4)*(GMWA!$CR$2:$CR$60=H$1),0),$A43-1966)</f>
        <v>192693</v>
      </c>
      <c r="I43" s="7" cm="1">
        <f t="array" ref="I43">INDEX(GMWA!$A$2:$CR$60,MATCH(1,(GMWA!$CQ$2:$CQ$60=I$3)*(GMWA!$CP$2:$CP$60=I$4)*(GMWA!$CR$2:$CR$60=I$1),0),$A43-1966)</f>
        <v>-13168</v>
      </c>
      <c r="J43" s="7" cm="1">
        <f t="array" ref="J43">INDEX(GMWA!$A$2:$CR$60,MATCH(1,(GMWA!$CQ$2:$CQ$60=J$3)*(GMWA!$CP$2:$CP$60=J$4)*(GMWA!$CR$2:$CR$60=J$1),0),$A43-1966)</f>
        <v>957048</v>
      </c>
      <c r="K43" s="7" cm="1">
        <f t="array" ref="K43">INDEX(GMWA!$A$2:$CR$60,MATCH(1,(GMWA!$CQ$2:$CQ$60=K$3)*(GMWA!$CP$2:$CP$60=K$4)*(GMWA!$CR$2:$CR$60=K$1),0),$A43-1966)</f>
        <v>38616</v>
      </c>
      <c r="L43" s="7" cm="1">
        <f t="array" ref="L43">INDEX(GMWA!$A$2:$CR$60,MATCH(1,(GMWA!$CQ$2:$CQ$60=L$3)*(GMWA!$CP$2:$CP$60=L$4)*(GMWA!$CR$2:$CR$60=L$1),0),$A43-1966)</f>
        <v>1124339</v>
      </c>
      <c r="M43" s="7" cm="1">
        <f t="array" ref="M43">INDEX(GMWA!$A$2:$CR$60,MATCH(1,(GMWA!$CQ$2:$CQ$60=M$3)*(GMWA!$CP$2:$CP$60=M$4)*(GMWA!$CR$2:$CR$60=M$1),0),$A43-1966)</f>
        <v>45696</v>
      </c>
    </row>
    <row r="44" spans="1:13" x14ac:dyDescent="0.35">
      <c r="A44" s="7">
        <f t="shared" si="1"/>
        <v>2010</v>
      </c>
      <c r="B44" s="7" cm="1">
        <f t="array" ref="B44">INDEX(GMWA!$A$2:$CR$60,MATCH(1,(GMWA!$CQ$2:$CQ$60=B$3)*(GMWA!$CP$2:$CP$60=B$4)*(GMWA!$CR$2:$CR$60=B$1),0),$A44-1966)</f>
        <v>1067630</v>
      </c>
      <c r="C44" s="7" cm="1">
        <f t="array" ref="C44">INDEX(GMWA!$A$2:$CR$60,MATCH(1,(GMWA!$CQ$2:$CQ$60=C$3)*(GMWA!$CP$2:$CP$60=C$4)*(GMWA!$CR$2:$CR$60=C$1),0),$A44-1966)</f>
        <v>659695</v>
      </c>
      <c r="D44" s="7" cm="1">
        <f t="array" ref="D44">INDEX(GMWA!$A$2:$CR$60,MATCH(1,(GMWA!$CQ$2:$CQ$60=D$3)*(GMWA!$CP$2:$CP$60=D$4)*(GMWA!$CR$2:$CR$60=D$1),0),$A44-1966)</f>
        <v>25016.75</v>
      </c>
      <c r="E44" s="7" cm="1">
        <f t="array" ref="E44">INDEX(GMWA!$A$2:$CR$60,MATCH(1,(GMWA!$CQ$2:$CQ$60=E$3)*(GMWA!$CP$2:$CP$60=E$4)*(GMWA!$CR$2:$CR$60=E$1),0),$A44-1966)</f>
        <v>85.910420000000002</v>
      </c>
      <c r="F44" s="7" cm="1">
        <f t="array" ref="F44">INDEX(GMWA!$A$2:$CR$60,MATCH(1,(GMWA!$CQ$2:$CQ$60=F$3)*(GMWA!$CP$2:$CP$60=F$4)*(GMWA!$CR$2:$CR$60=F$1),0),$A44-1966)</f>
        <v>152420</v>
      </c>
      <c r="G44" s="7" cm="1">
        <f t="array" ref="G44">INDEX(GMWA!$A$2:$CR$60,MATCH(1,(GMWA!$CQ$2:$CQ$60=G$3)*(GMWA!$CP$2:$CP$60=G$4)*(GMWA!$CR$2:$CR$60=G$1),0),$A44-1966)</f>
        <v>47029</v>
      </c>
      <c r="H44" s="7" cm="1">
        <f t="array" ref="H44">INDEX(GMWA!$A$2:$CR$60,MATCH(1,(GMWA!$CQ$2:$CQ$60=H$3)*(GMWA!$CP$2:$CP$60=H$4)*(GMWA!$CR$2:$CR$60=H$1),0),$A44-1966)</f>
        <v>200560</v>
      </c>
      <c r="I44" s="7" cm="1">
        <f t="array" ref="I44">INDEX(GMWA!$A$2:$CR$60,MATCH(1,(GMWA!$CQ$2:$CQ$60=I$3)*(GMWA!$CP$2:$CP$60=I$4)*(GMWA!$CR$2:$CR$60=I$1),0),$A44-1966)</f>
        <v>-3570</v>
      </c>
      <c r="J44" s="7" cm="1">
        <f t="array" ref="J44">INDEX(GMWA!$A$2:$CR$60,MATCH(1,(GMWA!$CQ$2:$CQ$60=J$3)*(GMWA!$CP$2:$CP$60=J$4)*(GMWA!$CR$2:$CR$60=J$1),0),$A44-1966)</f>
        <v>987020</v>
      </c>
      <c r="K44" s="7" cm="1">
        <f t="array" ref="K44">INDEX(GMWA!$A$2:$CR$60,MATCH(1,(GMWA!$CQ$2:$CQ$60=K$3)*(GMWA!$CP$2:$CP$60=K$4)*(GMWA!$CR$2:$CR$60=K$1),0),$A44-1966)</f>
        <v>40096</v>
      </c>
      <c r="L44" s="7" cm="1">
        <f t="array" ref="L44">INDEX(GMWA!$A$2:$CR$60,MATCH(1,(GMWA!$CQ$2:$CQ$60=L$3)*(GMWA!$CP$2:$CP$60=L$4)*(GMWA!$CR$2:$CR$60=L$1),0),$A44-1966)</f>
        <v>1148808</v>
      </c>
      <c r="M44" s="7" cm="1">
        <f t="array" ref="M44">INDEX(GMWA!$A$2:$CR$60,MATCH(1,(GMWA!$CQ$2:$CQ$60=M$3)*(GMWA!$CP$2:$CP$60=M$4)*(GMWA!$CR$2:$CR$60=M$1),0),$A44-1966)</f>
        <v>46432</v>
      </c>
    </row>
    <row r="45" spans="1:13" x14ac:dyDescent="0.35">
      <c r="A45" s="7">
        <f t="shared" si="1"/>
        <v>2011</v>
      </c>
      <c r="B45" s="7" cm="1">
        <f t="array" ref="B45">INDEX(GMWA!$A$2:$CR$60,MATCH(1,(GMWA!$CQ$2:$CQ$60=B$3)*(GMWA!$CP$2:$CP$60=B$4)*(GMWA!$CR$2:$CR$60=B$1),0),$A45-1966)</f>
        <v>1083670</v>
      </c>
      <c r="C45" s="7" cm="1">
        <f t="array" ref="C45">INDEX(GMWA!$A$2:$CR$60,MATCH(1,(GMWA!$CQ$2:$CQ$60=C$3)*(GMWA!$CP$2:$CP$60=C$4)*(GMWA!$CR$2:$CR$60=C$1),0),$A45-1966)</f>
        <v>676035</v>
      </c>
      <c r="D45" s="7" cm="1">
        <f t="array" ref="D45">INDEX(GMWA!$A$2:$CR$60,MATCH(1,(GMWA!$CQ$2:$CQ$60=D$3)*(GMWA!$CP$2:$CP$60=D$4)*(GMWA!$CR$2:$CR$60=D$1),0),$A45-1966)</f>
        <v>25117.5</v>
      </c>
      <c r="E45" s="7" cm="1">
        <f t="array" ref="E45">INDEX(GMWA!$A$2:$CR$60,MATCH(1,(GMWA!$CQ$2:$CQ$60=E$3)*(GMWA!$CP$2:$CP$60=E$4)*(GMWA!$CR$2:$CR$60=E$1),0),$A45-1966)</f>
        <v>89.341049999999996</v>
      </c>
      <c r="F45" s="7" cm="1">
        <f t="array" ref="F45">INDEX(GMWA!$A$2:$CR$60,MATCH(1,(GMWA!$CQ$2:$CQ$60=F$3)*(GMWA!$CP$2:$CP$60=F$4)*(GMWA!$CR$2:$CR$60=F$1),0),$A45-1966)</f>
        <v>157594</v>
      </c>
      <c r="G45" s="7" cm="1">
        <f t="array" ref="G45">INDEX(GMWA!$A$2:$CR$60,MATCH(1,(GMWA!$CQ$2:$CQ$60=G$3)*(GMWA!$CP$2:$CP$60=G$4)*(GMWA!$CR$2:$CR$60=G$1),0),$A45-1966)</f>
        <v>49399</v>
      </c>
      <c r="H45" s="7" cm="1">
        <f t="array" ref="H45">INDEX(GMWA!$A$2:$CR$60,MATCH(1,(GMWA!$CQ$2:$CQ$60=H$3)*(GMWA!$CP$2:$CP$60=H$4)*(GMWA!$CR$2:$CR$60=H$1),0),$A45-1966)</f>
        <v>206318</v>
      </c>
      <c r="I45" s="7" cm="1">
        <f t="array" ref="I45">INDEX(GMWA!$A$2:$CR$60,MATCH(1,(GMWA!$CQ$2:$CQ$60=I$3)*(GMWA!$CP$2:$CP$60=I$4)*(GMWA!$CR$2:$CR$60=I$1),0),$A45-1966)</f>
        <v>-2690</v>
      </c>
      <c r="J45" s="7" cm="1">
        <f t="array" ref="J45">INDEX(GMWA!$A$2:$CR$60,MATCH(1,(GMWA!$CQ$2:$CQ$60=J$3)*(GMWA!$CP$2:$CP$60=J$4)*(GMWA!$CR$2:$CR$60=J$1),0),$A45-1966)</f>
        <v>1022611</v>
      </c>
      <c r="K45" s="7" cm="1">
        <f t="array" ref="K45">INDEX(GMWA!$A$2:$CR$60,MATCH(1,(GMWA!$CQ$2:$CQ$60=K$3)*(GMWA!$CP$2:$CP$60=K$4)*(GMWA!$CR$2:$CR$60=K$1),0),$A45-1966)</f>
        <v>40855</v>
      </c>
      <c r="L45" s="7" cm="1">
        <f t="array" ref="L45">INDEX(GMWA!$A$2:$CR$60,MATCH(1,(GMWA!$CQ$2:$CQ$60=L$3)*(GMWA!$CP$2:$CP$60=L$4)*(GMWA!$CR$2:$CR$60=L$1),0),$A45-1966)</f>
        <v>1144605</v>
      </c>
      <c r="M45" s="7" cm="1">
        <f t="array" ref="M45">INDEX(GMWA!$A$2:$CR$60,MATCH(1,(GMWA!$CQ$2:$CQ$60=M$3)*(GMWA!$CP$2:$CP$60=M$4)*(GMWA!$CR$2:$CR$60=M$1),0),$A45-1966)</f>
        <v>46665</v>
      </c>
    </row>
    <row r="46" spans="1:13" x14ac:dyDescent="0.35">
      <c r="A46" s="7">
        <f t="shared" si="1"/>
        <v>2012</v>
      </c>
      <c r="B46" s="7" cm="1">
        <f t="array" ref="B46">INDEX(GMWA!$A$2:$CR$60,MATCH(1,(GMWA!$CQ$2:$CQ$60=B$3)*(GMWA!$CP$2:$CP$60=B$4)*(GMWA!$CR$2:$CR$60=B$1),0),$A46-1966)</f>
        <v>1128936</v>
      </c>
      <c r="C46" s="7" cm="1">
        <f t="array" ref="C46">INDEX(GMWA!$A$2:$CR$60,MATCH(1,(GMWA!$CQ$2:$CQ$60=C$3)*(GMWA!$CP$2:$CP$60=C$4)*(GMWA!$CR$2:$CR$60=C$1),0),$A46-1966)</f>
        <v>685315</v>
      </c>
      <c r="D46" s="7" cm="1">
        <f t="array" ref="D46">INDEX(GMWA!$A$2:$CR$60,MATCH(1,(GMWA!$CQ$2:$CQ$60=D$3)*(GMWA!$CP$2:$CP$60=D$4)*(GMWA!$CR$2:$CR$60=D$1),0),$A46-1966)</f>
        <v>25213.25</v>
      </c>
      <c r="E46" s="7" cm="1">
        <f t="array" ref="E46">INDEX(GMWA!$A$2:$CR$60,MATCH(1,(GMWA!$CQ$2:$CQ$60=E$3)*(GMWA!$CP$2:$CP$60=E$4)*(GMWA!$CR$2:$CR$60=E$1),0),$A46-1966)</f>
        <v>90.837100000000007</v>
      </c>
      <c r="F46" s="7" cm="1">
        <f t="array" ref="F46">INDEX(GMWA!$A$2:$CR$60,MATCH(1,(GMWA!$CQ$2:$CQ$60=F$3)*(GMWA!$CP$2:$CP$60=F$4)*(GMWA!$CR$2:$CR$60=F$1),0),$A46-1966)</f>
        <v>153730</v>
      </c>
      <c r="G46" s="7" cm="1">
        <f t="array" ref="G46">INDEX(GMWA!$A$2:$CR$60,MATCH(1,(GMWA!$CQ$2:$CQ$60=G$3)*(GMWA!$CP$2:$CP$60=G$4)*(GMWA!$CR$2:$CR$60=G$1),0),$A46-1966)</f>
        <v>49960</v>
      </c>
      <c r="H46" s="7" cm="1">
        <f t="array" ref="H46">INDEX(GMWA!$A$2:$CR$60,MATCH(1,(GMWA!$CQ$2:$CQ$60=H$3)*(GMWA!$CP$2:$CP$60=H$4)*(GMWA!$CR$2:$CR$60=H$1),0),$A46-1966)</f>
        <v>215584</v>
      </c>
      <c r="I46" s="7" cm="1">
        <f t="array" ref="I46">INDEX(GMWA!$A$2:$CR$60,MATCH(1,(GMWA!$CQ$2:$CQ$60=I$3)*(GMWA!$CP$2:$CP$60=I$4)*(GMWA!$CR$2:$CR$60=I$1),0),$A46-1966)</f>
        <v>-3300</v>
      </c>
      <c r="J46" s="7" cm="1">
        <f t="array" ref="J46">INDEX(GMWA!$A$2:$CR$60,MATCH(1,(GMWA!$CQ$2:$CQ$60=J$3)*(GMWA!$CP$2:$CP$60=J$4)*(GMWA!$CR$2:$CR$60=J$1),0),$A46-1966)</f>
        <v>1058134</v>
      </c>
      <c r="K46" s="7" cm="1">
        <f t="array" ref="K46">INDEX(GMWA!$A$2:$CR$60,MATCH(1,(GMWA!$CQ$2:$CQ$60=K$3)*(GMWA!$CP$2:$CP$60=K$4)*(GMWA!$CR$2:$CR$60=K$1),0),$A46-1966)</f>
        <v>41917</v>
      </c>
      <c r="L46" s="7" cm="1">
        <f t="array" ref="L46">INDEX(GMWA!$A$2:$CR$60,MATCH(1,(GMWA!$CQ$2:$CQ$60=L$3)*(GMWA!$CP$2:$CP$60=L$4)*(GMWA!$CR$2:$CR$60=L$1),0),$A46-1966)</f>
        <v>1164814</v>
      </c>
      <c r="M46" s="7" cm="1">
        <f t="array" ref="M46">INDEX(GMWA!$A$2:$CR$60,MATCH(1,(GMWA!$CQ$2:$CQ$60=M$3)*(GMWA!$CP$2:$CP$60=M$4)*(GMWA!$CR$2:$CR$60=M$1),0),$A46-1966)</f>
        <v>46993</v>
      </c>
    </row>
    <row r="47" spans="1:13" x14ac:dyDescent="0.35">
      <c r="A47" s="7">
        <f t="shared" si="1"/>
        <v>2013</v>
      </c>
      <c r="B47" s="7" cm="1">
        <f t="array" ref="B47">INDEX(GMWA!$A$2:$CR$60,MATCH(1,(GMWA!$CQ$2:$CQ$60=B$3)*(GMWA!$CP$2:$CP$60=B$4)*(GMWA!$CR$2:$CR$60=B$1),0),$A47-1966)</f>
        <v>1175806</v>
      </c>
      <c r="C47" s="7" cm="1">
        <f t="array" ref="C47">INDEX(GMWA!$A$2:$CR$60,MATCH(1,(GMWA!$CQ$2:$CQ$60=C$3)*(GMWA!$CP$2:$CP$60=C$4)*(GMWA!$CR$2:$CR$60=C$1),0),$A47-1966)</f>
        <v>717568</v>
      </c>
      <c r="D47" s="7" cm="1">
        <f t="array" ref="D47">INDEX(GMWA!$A$2:$CR$60,MATCH(1,(GMWA!$CQ$2:$CQ$60=D$3)*(GMWA!$CP$2:$CP$60=D$4)*(GMWA!$CR$2:$CR$60=D$1),0),$A47-1966)</f>
        <v>25513.5</v>
      </c>
      <c r="E47" s="7" cm="1">
        <f t="array" ref="E47">INDEX(GMWA!$A$2:$CR$60,MATCH(1,(GMWA!$CQ$2:$CQ$60=E$3)*(GMWA!$CP$2:$CP$60=E$4)*(GMWA!$CR$2:$CR$60=E$1),0),$A47-1966)</f>
        <v>92.856070000000003</v>
      </c>
      <c r="F47" s="7" cm="1">
        <f t="array" ref="F47">INDEX(GMWA!$A$2:$CR$60,MATCH(1,(GMWA!$CQ$2:$CQ$60=F$3)*(GMWA!$CP$2:$CP$60=F$4)*(GMWA!$CR$2:$CR$60=F$1),0),$A47-1966)</f>
        <v>158986</v>
      </c>
      <c r="G47" s="7" cm="1">
        <f t="array" ref="G47">INDEX(GMWA!$A$2:$CR$60,MATCH(1,(GMWA!$CQ$2:$CQ$60=G$3)*(GMWA!$CP$2:$CP$60=G$4)*(GMWA!$CR$2:$CR$60=G$1),0),$A47-1966)</f>
        <v>51670</v>
      </c>
      <c r="H47" s="7" cm="1">
        <f t="array" ref="H47">INDEX(GMWA!$A$2:$CR$60,MATCH(1,(GMWA!$CQ$2:$CQ$60=H$3)*(GMWA!$CP$2:$CP$60=H$4)*(GMWA!$CR$2:$CR$60=H$1),0),$A47-1966)</f>
        <v>219182</v>
      </c>
      <c r="I47" s="7" cm="1">
        <f t="array" ref="I47">INDEX(GMWA!$A$2:$CR$60,MATCH(1,(GMWA!$CQ$2:$CQ$60=I$3)*(GMWA!$CP$2:$CP$60=I$4)*(GMWA!$CR$2:$CR$60=I$1),0),$A47-1966)</f>
        <v>-3345</v>
      </c>
      <c r="J47" s="7" cm="1">
        <f t="array" ref="J47">INDEX(GMWA!$A$2:$CR$60,MATCH(1,(GMWA!$CQ$2:$CQ$60=J$3)*(GMWA!$CP$2:$CP$60=J$4)*(GMWA!$CR$2:$CR$60=J$1),0),$A47-1966)</f>
        <v>1112232</v>
      </c>
      <c r="K47" s="7" cm="1">
        <f t="array" ref="K47">INDEX(GMWA!$A$2:$CR$60,MATCH(1,(GMWA!$CQ$2:$CQ$60=K$3)*(GMWA!$CP$2:$CP$60=K$4)*(GMWA!$CR$2:$CR$60=K$1),0),$A47-1966)</f>
        <v>40860</v>
      </c>
      <c r="L47" s="7" cm="1">
        <f t="array" ref="L47">INDEX(GMWA!$A$2:$CR$60,MATCH(1,(GMWA!$CQ$2:$CQ$60=L$3)*(GMWA!$CP$2:$CP$60=L$4)*(GMWA!$CR$2:$CR$60=L$1),0),$A47-1966)</f>
        <v>1197761</v>
      </c>
      <c r="M47" s="7" cm="1">
        <f t="array" ref="M47">INDEX(GMWA!$A$2:$CR$60,MATCH(1,(GMWA!$CQ$2:$CQ$60=M$3)*(GMWA!$CP$2:$CP$60=M$4)*(GMWA!$CR$2:$CR$60=M$1),0),$A47-1966)</f>
        <v>44687</v>
      </c>
    </row>
    <row r="48" spans="1:13" x14ac:dyDescent="0.35">
      <c r="A48" s="7">
        <f>+A47+1</f>
        <v>2014</v>
      </c>
      <c r="B48" s="7" cm="1">
        <f t="array" ref="B48">INDEX(GMWA!$A$2:$CR$60,MATCH(1,(GMWA!$CQ$2:$CQ$60=B$3)*(GMWA!$CP$2:$CP$60=B$4)*(GMWA!$CR$2:$CR$60=B$1),0),$A48-1966)</f>
        <v>1216953</v>
      </c>
      <c r="C48" s="7" cm="1">
        <f t="array" ref="C48">INDEX(GMWA!$A$2:$CR$60,MATCH(1,(GMWA!$CQ$2:$CQ$60=C$3)*(GMWA!$CP$2:$CP$60=C$4)*(GMWA!$CR$2:$CR$60=C$1),0),$A48-1966)</f>
        <v>744077</v>
      </c>
      <c r="D48" s="7" cm="1">
        <f t="array" ref="D48">INDEX(GMWA!$A$2:$CR$60,MATCH(1,(GMWA!$CQ$2:$CQ$60=D$3)*(GMWA!$CP$2:$CP$60=D$4)*(GMWA!$CR$2:$CR$60=D$1),0),$A48-1966)</f>
        <v>25959.5</v>
      </c>
      <c r="E48" s="7" cm="1">
        <f t="array" ref="E48">INDEX(GMWA!$A$2:$CR$60,MATCH(1,(GMWA!$CQ$2:$CQ$60=E$3)*(GMWA!$CP$2:$CP$60=E$4)*(GMWA!$CR$2:$CR$60=E$1),0),$A48-1966)</f>
        <v>93.923580000000001</v>
      </c>
      <c r="F48" s="7" cm="1">
        <f t="array" ref="F48">INDEX(GMWA!$A$2:$CR$60,MATCH(1,(GMWA!$CQ$2:$CQ$60=F$3)*(GMWA!$CP$2:$CP$60=F$4)*(GMWA!$CR$2:$CR$60=F$1),0),$A48-1966)</f>
        <v>162609</v>
      </c>
      <c r="G48" s="7" cm="1">
        <f t="array" ref="G48">INDEX(GMWA!$A$2:$CR$60,MATCH(1,(GMWA!$CQ$2:$CQ$60=G$3)*(GMWA!$CP$2:$CP$60=G$4)*(GMWA!$CR$2:$CR$60=G$1),0),$A48-1966)</f>
        <v>53315</v>
      </c>
      <c r="H48" s="7" cm="1">
        <f t="array" ref="H48">INDEX(GMWA!$A$2:$CR$60,MATCH(1,(GMWA!$CQ$2:$CQ$60=H$3)*(GMWA!$CP$2:$CP$60=H$4)*(GMWA!$CR$2:$CR$60=H$1),0),$A48-1966)</f>
        <v>224042</v>
      </c>
      <c r="I48" s="7" cm="1">
        <f t="array" ref="I48">INDEX(GMWA!$A$2:$CR$60,MATCH(1,(GMWA!$CQ$2:$CQ$60=I$3)*(GMWA!$CP$2:$CP$60=I$4)*(GMWA!$CR$2:$CR$60=I$1),0),$A48-1966)</f>
        <v>-3748</v>
      </c>
      <c r="J48" s="7" cm="1">
        <f t="array" ref="J48">INDEX(GMWA!$A$2:$CR$60,MATCH(1,(GMWA!$CQ$2:$CQ$60=J$3)*(GMWA!$CP$2:$CP$60=J$4)*(GMWA!$CR$2:$CR$60=J$1),0),$A48-1966)</f>
        <v>1158972</v>
      </c>
      <c r="K48" s="7" cm="1">
        <f t="array" ref="K48">INDEX(GMWA!$A$2:$CR$60,MATCH(1,(GMWA!$CQ$2:$CQ$60=K$3)*(GMWA!$CP$2:$CP$60=K$4)*(GMWA!$CR$2:$CR$60=K$1),0),$A48-1966)</f>
        <v>39713</v>
      </c>
      <c r="L48" s="7" cm="1">
        <f t="array" ref="L48">INDEX(GMWA!$A$2:$CR$60,MATCH(1,(GMWA!$CQ$2:$CQ$60=L$3)*(GMWA!$CP$2:$CP$60=L$4)*(GMWA!$CR$2:$CR$60=L$1),0),$A48-1966)</f>
        <v>1233950</v>
      </c>
      <c r="M48" s="7" cm="1">
        <f t="array" ref="M48">INDEX(GMWA!$A$2:$CR$60,MATCH(1,(GMWA!$CQ$2:$CQ$60=M$3)*(GMWA!$CP$2:$CP$60=M$4)*(GMWA!$CR$2:$CR$60=M$1),0),$A48-1966)</f>
        <v>42147</v>
      </c>
    </row>
    <row r="49" spans="1:13" x14ac:dyDescent="0.35">
      <c r="A49" s="7">
        <f t="shared" ref="A49:A84" si="2">+A48+1</f>
        <v>2015</v>
      </c>
      <c r="B49" s="7" cm="1">
        <f t="array" ref="B49">INDEX(GMWA!$A$2:$CR$60,MATCH(1,(GMWA!$CQ$2:$CQ$60=B$3)*(GMWA!$CP$2:$CP$60=B$4)*(GMWA!$CR$2:$CR$60=B$1),0),$A49-1966)</f>
        <v>1286210</v>
      </c>
      <c r="C49" s="7" cm="1">
        <f t="array" ref="C49">INDEX(GMWA!$A$2:$CR$60,MATCH(1,(GMWA!$CQ$2:$CQ$60=C$3)*(GMWA!$CP$2:$CP$60=C$4)*(GMWA!$CR$2:$CR$60=C$1),0),$A49-1966)</f>
        <v>768925</v>
      </c>
      <c r="D49" s="7" cm="1">
        <f t="array" ref="D49">INDEX(GMWA!$A$2:$CR$60,MATCH(1,(GMWA!$CQ$2:$CQ$60=D$3)*(GMWA!$CP$2:$CP$60=D$4)*(GMWA!$CR$2:$CR$60=D$1),0),$A49-1966)</f>
        <v>26503.5</v>
      </c>
      <c r="E49" s="7" cm="1">
        <f t="array" ref="E49">INDEX(GMWA!$A$2:$CR$60,MATCH(1,(GMWA!$CQ$2:$CQ$60=E$3)*(GMWA!$CP$2:$CP$60=E$4)*(GMWA!$CR$2:$CR$60=E$1),0),$A49-1966)</f>
        <v>93.576769999999996</v>
      </c>
      <c r="F49" s="7" cm="1">
        <f t="array" ref="F49">INDEX(GMWA!$A$2:$CR$60,MATCH(1,(GMWA!$CQ$2:$CQ$60=F$3)*(GMWA!$CP$2:$CP$60=F$4)*(GMWA!$CR$2:$CR$60=F$1),0),$A49-1966)</f>
        <v>171392</v>
      </c>
      <c r="G49" s="7" cm="1">
        <f t="array" ref="G49">INDEX(GMWA!$A$2:$CR$60,MATCH(1,(GMWA!$CQ$2:$CQ$60=G$3)*(GMWA!$CP$2:$CP$60=G$4)*(GMWA!$CR$2:$CR$60=G$1),0),$A49-1966)</f>
        <v>55969</v>
      </c>
      <c r="H49" s="7" cm="1">
        <f t="array" ref="H49">INDEX(GMWA!$A$2:$CR$60,MATCH(1,(GMWA!$CQ$2:$CQ$60=H$3)*(GMWA!$CP$2:$CP$60=H$4)*(GMWA!$CR$2:$CR$60=H$1),0),$A49-1966)</f>
        <v>228890</v>
      </c>
      <c r="I49" s="7" cm="1">
        <f t="array" ref="I49">INDEX(GMWA!$A$2:$CR$60,MATCH(1,(GMWA!$CQ$2:$CQ$60=I$3)*(GMWA!$CP$2:$CP$60=I$4)*(GMWA!$CR$2:$CR$60=I$1),0),$A49-1966)</f>
        <v>-2819</v>
      </c>
      <c r="J49" s="7" cm="1">
        <f t="array" ref="J49">INDEX(GMWA!$A$2:$CR$60,MATCH(1,(GMWA!$CQ$2:$CQ$60=J$3)*(GMWA!$CP$2:$CP$60=J$4)*(GMWA!$CR$2:$CR$60=J$1),0),$A49-1966)</f>
        <v>1188031</v>
      </c>
      <c r="K49" s="7" cm="1">
        <f t="array" ref="K49">INDEX(GMWA!$A$2:$CR$60,MATCH(1,(GMWA!$CQ$2:$CQ$60=K$3)*(GMWA!$CP$2:$CP$60=K$4)*(GMWA!$CR$2:$CR$60=K$1),0),$A49-1966)</f>
        <v>40294</v>
      </c>
      <c r="L49" s="7" cm="1">
        <f t="array" ref="L49">INDEX(GMWA!$A$2:$CR$60,MATCH(1,(GMWA!$CQ$2:$CQ$60=L$3)*(GMWA!$CP$2:$CP$60=L$4)*(GMWA!$CR$2:$CR$60=L$1),0),$A49-1966)</f>
        <v>1269559</v>
      </c>
      <c r="M49" s="7" cm="1">
        <f t="array" ref="M49">INDEX(GMWA!$A$2:$CR$60,MATCH(1,(GMWA!$CQ$2:$CQ$60=M$3)*(GMWA!$CP$2:$CP$60=M$4)*(GMWA!$CR$2:$CR$60=M$1),0),$A49-1966)</f>
        <v>42654</v>
      </c>
    </row>
    <row r="50" spans="1:13" x14ac:dyDescent="0.35">
      <c r="A50" s="7">
        <f t="shared" si="2"/>
        <v>2016</v>
      </c>
      <c r="B50" s="7" cm="1">
        <f t="array" ref="B50">INDEX(GMWA!$A$2:$CR$60,MATCH(1,(GMWA!$CQ$2:$CQ$60=B$3)*(GMWA!$CP$2:$CP$60=B$4)*(GMWA!$CR$2:$CR$60=B$1),0),$A50-1966)</f>
        <v>1311367</v>
      </c>
      <c r="C50" s="7" cm="1">
        <f t="array" ref="C50">INDEX(GMWA!$A$2:$CR$60,MATCH(1,(GMWA!$CQ$2:$CQ$60=C$3)*(GMWA!$CP$2:$CP$60=C$4)*(GMWA!$CR$2:$CR$60=C$1),0),$A50-1966)</f>
        <v>795227</v>
      </c>
      <c r="D50" s="7" cm="1">
        <f t="array" ref="D50">INDEX(GMWA!$A$2:$CR$60,MATCH(1,(GMWA!$CQ$2:$CQ$60=D$3)*(GMWA!$CP$2:$CP$60=D$4)*(GMWA!$CR$2:$CR$60=D$1),0),$A50-1966)</f>
        <v>26771</v>
      </c>
      <c r="E50" s="7" cm="1">
        <f t="array" ref="E50">INDEX(GMWA!$A$2:$CR$60,MATCH(1,(GMWA!$CQ$2:$CQ$60=E$3)*(GMWA!$CP$2:$CP$60=E$4)*(GMWA!$CR$2:$CR$60=E$1),0),$A50-1966)</f>
        <v>94.760909999999996</v>
      </c>
      <c r="F50" s="7" cm="1">
        <f t="array" ref="F50">INDEX(GMWA!$A$2:$CR$60,MATCH(1,(GMWA!$CQ$2:$CQ$60=F$3)*(GMWA!$CP$2:$CP$60=F$4)*(GMWA!$CR$2:$CR$60=F$1),0),$A50-1966)</f>
        <v>178455</v>
      </c>
      <c r="G50" s="7" cm="1">
        <f t="array" ref="G50">INDEX(GMWA!$A$2:$CR$60,MATCH(1,(GMWA!$CQ$2:$CQ$60=G$3)*(GMWA!$CP$2:$CP$60=G$4)*(GMWA!$CR$2:$CR$60=G$1),0),$A50-1966)</f>
        <v>59056</v>
      </c>
      <c r="H50" s="7" cm="1">
        <f t="array" ref="H50">INDEX(GMWA!$A$2:$CR$60,MATCH(1,(GMWA!$CQ$2:$CQ$60=H$3)*(GMWA!$CP$2:$CP$60=H$4)*(GMWA!$CR$2:$CR$60=H$1),0),$A50-1966)</f>
        <v>231999</v>
      </c>
      <c r="I50" s="7" cm="1">
        <f t="array" ref="I50">INDEX(GMWA!$A$2:$CR$60,MATCH(1,(GMWA!$CQ$2:$CQ$60=I$3)*(GMWA!$CP$2:$CP$60=I$4)*(GMWA!$CR$2:$CR$60=I$1),0),$A50-1966)</f>
        <v>-3762</v>
      </c>
      <c r="J50" s="7" cm="1">
        <f t="array" ref="J50">INDEX(GMWA!$A$2:$CR$60,MATCH(1,(GMWA!$CQ$2:$CQ$60=J$3)*(GMWA!$CP$2:$CP$60=J$4)*(GMWA!$CR$2:$CR$60=J$1),0),$A50-1966)</f>
        <v>1249345</v>
      </c>
      <c r="K50" s="7" cm="1">
        <f t="array" ref="K50">INDEX(GMWA!$A$2:$CR$60,MATCH(1,(GMWA!$CQ$2:$CQ$60=K$3)*(GMWA!$CP$2:$CP$60=K$4)*(GMWA!$CR$2:$CR$60=K$1),0),$A50-1966)</f>
        <v>40100</v>
      </c>
      <c r="L50" s="7" cm="1">
        <f t="array" ref="L50">INDEX(GMWA!$A$2:$CR$60,MATCH(1,(GMWA!$CQ$2:$CQ$60=L$3)*(GMWA!$CP$2:$CP$60=L$4)*(GMWA!$CR$2:$CR$60=L$1),0),$A50-1966)</f>
        <v>1318358</v>
      </c>
      <c r="M50" s="7" cm="1">
        <f t="array" ref="M50">INDEX(GMWA!$A$2:$CR$60,MATCH(1,(GMWA!$CQ$2:$CQ$60=M$3)*(GMWA!$CP$2:$CP$60=M$4)*(GMWA!$CR$2:$CR$60=M$1),0),$A50-1966)</f>
        <v>42146</v>
      </c>
    </row>
    <row r="51" spans="1:13" x14ac:dyDescent="0.35">
      <c r="A51" s="7">
        <f t="shared" si="2"/>
        <v>2017</v>
      </c>
      <c r="B51" s="7" cm="1">
        <f t="array" ref="B51">INDEX(GMWA!$A$2:$CR$60,MATCH(1,(GMWA!$CQ$2:$CQ$60=B$3)*(GMWA!$CP$2:$CP$60=B$4)*(GMWA!$CR$2:$CR$60=B$1),0),$A51-1966)</f>
        <v>1347073</v>
      </c>
      <c r="C51" s="7" cm="1">
        <f t="array" ref="C51">INDEX(GMWA!$A$2:$CR$60,MATCH(1,(GMWA!$CQ$2:$CQ$60=C$3)*(GMWA!$CP$2:$CP$60=C$4)*(GMWA!$CR$2:$CR$60=C$1),0),$A51-1966)</f>
        <v>827282</v>
      </c>
      <c r="D51" s="7" cm="1">
        <f t="array" ref="D51">INDEX(GMWA!$A$2:$CR$60,MATCH(1,(GMWA!$CQ$2:$CQ$60=D$3)*(GMWA!$CP$2:$CP$60=D$4)*(GMWA!$CR$2:$CR$60=D$1),0),$A51-1966)</f>
        <v>27065</v>
      </c>
      <c r="E51" s="7" cm="1">
        <f t="array" ref="E51">INDEX(GMWA!$A$2:$CR$60,MATCH(1,(GMWA!$CQ$2:$CQ$60=E$3)*(GMWA!$CP$2:$CP$60=E$4)*(GMWA!$CR$2:$CR$60=E$1),0),$A51-1966)</f>
        <v>96.519199999999998</v>
      </c>
      <c r="F51" s="7" cm="1">
        <f t="array" ref="F51">INDEX(GMWA!$A$2:$CR$60,MATCH(1,(GMWA!$CQ$2:$CQ$60=F$3)*(GMWA!$CP$2:$CP$60=F$4)*(GMWA!$CR$2:$CR$60=F$1),0),$A51-1966)</f>
        <v>188174</v>
      </c>
      <c r="G51" s="7" cm="1">
        <f t="array" ref="G51">INDEX(GMWA!$A$2:$CR$60,MATCH(1,(GMWA!$CQ$2:$CQ$60=G$3)*(GMWA!$CP$2:$CP$60=G$4)*(GMWA!$CR$2:$CR$60=G$1),0),$A51-1966)</f>
        <v>62484</v>
      </c>
      <c r="H51" s="7" cm="1">
        <f t="array" ref="H51">INDEX(GMWA!$A$2:$CR$60,MATCH(1,(GMWA!$CQ$2:$CQ$60=H$3)*(GMWA!$CP$2:$CP$60=H$4)*(GMWA!$CR$2:$CR$60=H$1),0),$A51-1966)</f>
        <v>234279</v>
      </c>
      <c r="I51" s="7" cm="1">
        <f t="array" ref="I51">INDEX(GMWA!$A$2:$CR$60,MATCH(1,(GMWA!$CQ$2:$CQ$60=I$3)*(GMWA!$CP$2:$CP$60=I$4)*(GMWA!$CR$2:$CR$60=I$1),0),$A51-1966)</f>
        <v>-3803</v>
      </c>
      <c r="J51" s="7" cm="1">
        <f t="array" ref="J51">INDEX(GMWA!$A$2:$CR$60,MATCH(1,(GMWA!$CQ$2:$CQ$60=J$3)*(GMWA!$CP$2:$CP$60=J$4)*(GMWA!$CR$2:$CR$60=J$1),0),$A51-1966)</f>
        <v>1294569</v>
      </c>
      <c r="K51" s="7" cm="1">
        <f t="array" ref="K51">INDEX(GMWA!$A$2:$CR$60,MATCH(1,(GMWA!$CQ$2:$CQ$60=K$3)*(GMWA!$CP$2:$CP$60=K$4)*(GMWA!$CR$2:$CR$60=K$1),0),$A51-1966)</f>
        <v>42352</v>
      </c>
      <c r="L51" s="7" cm="1">
        <f t="array" ref="L51">INDEX(GMWA!$A$2:$CR$60,MATCH(1,(GMWA!$CQ$2:$CQ$60=L$3)*(GMWA!$CP$2:$CP$60=L$4)*(GMWA!$CR$2:$CR$60=L$1),0),$A51-1966)</f>
        <v>1341219</v>
      </c>
      <c r="M51" s="7" cm="1">
        <f t="array" ref="M51">INDEX(GMWA!$A$2:$CR$60,MATCH(1,(GMWA!$CQ$2:$CQ$60=M$3)*(GMWA!$CP$2:$CP$60=M$4)*(GMWA!$CR$2:$CR$60=M$1),0),$A51-1966)</f>
        <v>44159</v>
      </c>
    </row>
    <row r="52" spans="1:13" x14ac:dyDescent="0.35">
      <c r="A52" s="7">
        <f t="shared" si="2"/>
        <v>2018</v>
      </c>
      <c r="B52" s="7" cm="1">
        <f t="array" ref="B52">INDEX(GMWA!$A$2:$CR$60,MATCH(1,(GMWA!$CQ$2:$CQ$60=B$3)*(GMWA!$CP$2:$CP$60=B$4)*(GMWA!$CR$2:$CR$60=B$1),0),$A52-1966)</f>
        <v>1402439</v>
      </c>
      <c r="C52" s="7" cm="1">
        <f t="array" ref="C52">INDEX(GMWA!$A$2:$CR$60,MATCH(1,(GMWA!$CQ$2:$CQ$60=C$3)*(GMWA!$CP$2:$CP$60=C$4)*(GMWA!$CR$2:$CR$60=C$1),0),$A52-1966)</f>
        <v>862510</v>
      </c>
      <c r="D52" s="7" cm="1">
        <f t="array" ref="D52">INDEX(GMWA!$A$2:$CR$60,MATCH(1,(GMWA!$CQ$2:$CQ$60=D$3)*(GMWA!$CP$2:$CP$60=D$4)*(GMWA!$CR$2:$CR$60=D$1),0),$A52-1966)</f>
        <v>27494.25</v>
      </c>
      <c r="E52" s="7" cm="1">
        <f t="array" ref="E52">INDEX(GMWA!$A$2:$CR$60,MATCH(1,(GMWA!$CQ$2:$CQ$60=E$3)*(GMWA!$CP$2:$CP$60=E$4)*(GMWA!$CR$2:$CR$60=E$1),0),$A52-1966)</f>
        <v>98.551439999999999</v>
      </c>
      <c r="F52" s="7" cm="1">
        <f t="array" ref="F52">INDEX(GMWA!$A$2:$CR$60,MATCH(1,(GMWA!$CQ$2:$CQ$60=F$3)*(GMWA!$CP$2:$CP$60=F$4)*(GMWA!$CR$2:$CR$60=F$1),0),$A52-1966)</f>
        <v>194691</v>
      </c>
      <c r="G52" s="7" cm="1">
        <f t="array" ref="G52">INDEX(GMWA!$A$2:$CR$60,MATCH(1,(GMWA!$CQ$2:$CQ$60=G$3)*(GMWA!$CP$2:$CP$60=G$4)*(GMWA!$CR$2:$CR$60=G$1),0),$A52-1966)</f>
        <v>64888</v>
      </c>
      <c r="H52" s="7" cm="1">
        <f t="array" ref="H52">INDEX(GMWA!$A$2:$CR$60,MATCH(1,(GMWA!$CQ$2:$CQ$60=H$3)*(GMWA!$CP$2:$CP$60=H$4)*(GMWA!$CR$2:$CR$60=H$1),0),$A52-1966)</f>
        <v>241344</v>
      </c>
      <c r="I52" s="7" cm="1">
        <f t="array" ref="I52">INDEX(GMWA!$A$2:$CR$60,MATCH(1,(GMWA!$CQ$2:$CQ$60=I$3)*(GMWA!$CP$2:$CP$60=I$4)*(GMWA!$CR$2:$CR$60=I$1),0),$A52-1966)</f>
        <v>-4062</v>
      </c>
      <c r="J52" s="7" cm="1">
        <f t="array" ref="J52">INDEX(GMWA!$A$2:$CR$60,MATCH(1,(GMWA!$CQ$2:$CQ$60=J$3)*(GMWA!$CP$2:$CP$60=J$4)*(GMWA!$CR$2:$CR$60=J$1),0),$A52-1966)</f>
        <v>1343731</v>
      </c>
      <c r="K52" s="7" cm="1">
        <f t="array" ref="K52">INDEX(GMWA!$A$2:$CR$60,MATCH(1,(GMWA!$CQ$2:$CQ$60=K$3)*(GMWA!$CP$2:$CP$60=K$4)*(GMWA!$CR$2:$CR$60=K$1),0),$A52-1966)</f>
        <v>47942</v>
      </c>
      <c r="L52" s="7" cm="1">
        <f t="array" ref="L52">INDEX(GMWA!$A$2:$CR$60,MATCH(1,(GMWA!$CQ$2:$CQ$60=L$3)*(GMWA!$CP$2:$CP$60=L$4)*(GMWA!$CR$2:$CR$60=L$1),0),$A52-1966)</f>
        <v>1363436</v>
      </c>
      <c r="M52" s="7" cm="1">
        <f t="array" ref="M52">INDEX(GMWA!$A$2:$CR$60,MATCH(1,(GMWA!$CQ$2:$CQ$60=M$3)*(GMWA!$CP$2:$CP$60=M$4)*(GMWA!$CR$2:$CR$60=M$1),0),$A52-1966)</f>
        <v>49164</v>
      </c>
    </row>
    <row r="53" spans="1:13" x14ac:dyDescent="0.35">
      <c r="A53" s="7">
        <f t="shared" si="2"/>
        <v>2019</v>
      </c>
      <c r="B53" s="7" cm="1">
        <f t="array" ref="B53">INDEX(GMWA!$A$2:$CR$60,MATCH(1,(GMWA!$CQ$2:$CQ$60=B$3)*(GMWA!$CP$2:$CP$60=B$4)*(GMWA!$CR$2:$CR$60=B$1),0),$A53-1966)</f>
        <v>1452962</v>
      </c>
      <c r="C53" s="7" cm="1">
        <f t="array" ref="C53">INDEX(GMWA!$A$2:$CR$60,MATCH(1,(GMWA!$CQ$2:$CQ$60=C$3)*(GMWA!$CP$2:$CP$60=C$4)*(GMWA!$CR$2:$CR$60=C$1),0),$A53-1966)</f>
        <v>892362</v>
      </c>
      <c r="D53" s="7" cm="1">
        <f t="array" ref="D53">INDEX(GMWA!$A$2:$CR$60,MATCH(1,(GMWA!$CQ$2:$CQ$60=D$3)*(GMWA!$CP$2:$CP$60=D$4)*(GMWA!$CR$2:$CR$60=D$1),0),$A53-1966)</f>
        <v>27652</v>
      </c>
      <c r="E53" s="7" cm="1">
        <f t="array" ref="E53">INDEX(GMWA!$A$2:$CR$60,MATCH(1,(GMWA!$CQ$2:$CQ$60=E$3)*(GMWA!$CP$2:$CP$60=E$4)*(GMWA!$CR$2:$CR$60=E$1),0),$A53-1966)</f>
        <v>99.999859999999998</v>
      </c>
      <c r="F53" s="7" cm="1">
        <f t="array" ref="F53">INDEX(GMWA!$A$2:$CR$60,MATCH(1,(GMWA!$CQ$2:$CQ$60=F$3)*(GMWA!$CP$2:$CP$60=F$4)*(GMWA!$CR$2:$CR$60=F$1),0),$A53-1966)</f>
        <v>199912</v>
      </c>
      <c r="G53" s="7" cm="1">
        <f t="array" ref="G53">INDEX(GMWA!$A$2:$CR$60,MATCH(1,(GMWA!$CQ$2:$CQ$60=G$3)*(GMWA!$CP$2:$CP$60=G$4)*(GMWA!$CR$2:$CR$60=G$1),0),$A53-1966)</f>
        <v>70534</v>
      </c>
      <c r="H53" s="7" cm="1">
        <f t="array" ref="H53">INDEX(GMWA!$A$2:$CR$60,MATCH(1,(GMWA!$CQ$2:$CQ$60=H$3)*(GMWA!$CP$2:$CP$60=H$4)*(GMWA!$CR$2:$CR$60=H$1),0),$A53-1966)</f>
        <v>248526</v>
      </c>
      <c r="I53" s="7" cm="1">
        <f t="array" ref="I53">INDEX(GMWA!$A$2:$CR$60,MATCH(1,(GMWA!$CQ$2:$CQ$60=I$3)*(GMWA!$CP$2:$CP$60=I$4)*(GMWA!$CR$2:$CR$60=I$1),0),$A53-1966)</f>
        <v>-4022</v>
      </c>
      <c r="J53" s="7" cm="1">
        <f t="array" ref="J53">INDEX(GMWA!$A$2:$CR$60,MATCH(1,(GMWA!$CQ$2:$CQ$60=J$3)*(GMWA!$CP$2:$CP$60=J$4)*(GMWA!$CR$2:$CR$60=J$1),0),$A53-1966)</f>
        <v>1378649</v>
      </c>
      <c r="K53" s="7" cm="1">
        <f t="array" ref="K53">INDEX(GMWA!$A$2:$CR$60,MATCH(1,(GMWA!$CQ$2:$CQ$60=K$3)*(GMWA!$CP$2:$CP$60=K$4)*(GMWA!$CR$2:$CR$60=K$1),0),$A53-1966)</f>
        <v>49291</v>
      </c>
      <c r="L53" s="7" cm="1">
        <f t="array" ref="L53">INDEX(GMWA!$A$2:$CR$60,MATCH(1,(GMWA!$CQ$2:$CQ$60=L$3)*(GMWA!$CP$2:$CP$60=L$4)*(GMWA!$CR$2:$CR$60=L$1),0),$A53-1966)</f>
        <v>1378649</v>
      </c>
      <c r="M53" s="7" cm="1">
        <f t="array" ref="M53">INDEX(GMWA!$A$2:$CR$60,MATCH(1,(GMWA!$CQ$2:$CQ$60=M$3)*(GMWA!$CP$2:$CP$60=M$4)*(GMWA!$CR$2:$CR$60=M$1),0),$A53-1966)</f>
        <v>49291</v>
      </c>
    </row>
    <row r="54" spans="1:13" x14ac:dyDescent="0.35">
      <c r="A54" s="7">
        <f t="shared" si="2"/>
        <v>2020</v>
      </c>
      <c r="B54" s="7" cm="1">
        <f t="array" ref="B54">INDEX(GMWA!$A$2:$CR$60,MATCH(1,(GMWA!$CQ$2:$CQ$60=B$3)*(GMWA!$CP$2:$CP$60=B$4)*(GMWA!$CR$2:$CR$60=B$1),0),$A54-1966)</f>
        <v>1453866</v>
      </c>
      <c r="C54" s="7" cm="1">
        <f t="array" ref="C54">INDEX(GMWA!$A$2:$CR$60,MATCH(1,(GMWA!$CQ$2:$CQ$60=C$3)*(GMWA!$CP$2:$CP$60=C$4)*(GMWA!$CR$2:$CR$60=C$1),0),$A54-1966)</f>
        <v>894361</v>
      </c>
      <c r="D54" s="7" cm="1">
        <f t="array" ref="D54">INDEX(GMWA!$A$2:$CR$60,MATCH(1,(GMWA!$CQ$2:$CQ$60=D$3)*(GMWA!$CP$2:$CP$60=D$4)*(GMWA!$CR$2:$CR$60=D$1),0),$A54-1966)</f>
        <v>27752</v>
      </c>
      <c r="E54" s="7" cm="1">
        <f t="array" ref="E54">INDEX(GMWA!$A$2:$CR$60,MATCH(1,(GMWA!$CQ$2:$CQ$60=E$3)*(GMWA!$CP$2:$CP$60=E$4)*(GMWA!$CR$2:$CR$60=E$1),0),$A54-1966)</f>
        <v>100.1557</v>
      </c>
      <c r="F54" s="7" cm="1">
        <f t="array" ref="F54">INDEX(GMWA!$A$2:$CR$60,MATCH(1,(GMWA!$CQ$2:$CQ$60=F$3)*(GMWA!$CP$2:$CP$60=F$4)*(GMWA!$CR$2:$CR$60=F$1),0),$A54-1966)</f>
        <v>199452</v>
      </c>
      <c r="G54" s="7" cm="1">
        <f t="array" ref="G54">INDEX(GMWA!$A$2:$CR$60,MATCH(1,(GMWA!$CQ$2:$CQ$60=G$3)*(GMWA!$CP$2:$CP$60=G$4)*(GMWA!$CR$2:$CR$60=G$1),0),$A54-1966)</f>
        <v>70370</v>
      </c>
      <c r="H54" s="7" cm="1">
        <f t="array" ref="H54">INDEX(GMWA!$A$2:$CR$60,MATCH(1,(GMWA!$CQ$2:$CQ$60=H$3)*(GMWA!$CP$2:$CP$60=H$4)*(GMWA!$CR$2:$CR$60=H$1),0),$A54-1966)</f>
        <v>269857</v>
      </c>
      <c r="I54" s="7" cm="1">
        <f t="array" ref="I54">INDEX(GMWA!$A$2:$CR$60,MATCH(1,(GMWA!$CQ$2:$CQ$60=I$3)*(GMWA!$CP$2:$CP$60=I$4)*(GMWA!$CR$2:$CR$60=I$1),0),$A54-1966)</f>
        <v>-2866</v>
      </c>
      <c r="J54" s="7" cm="1">
        <f t="array" ref="J54">INDEX(GMWA!$A$2:$CR$60,MATCH(1,(GMWA!$CQ$2:$CQ$60=J$3)*(GMWA!$CP$2:$CP$60=J$4)*(GMWA!$CR$2:$CR$60=J$1),0),$A54-1966)</f>
        <v>1201787</v>
      </c>
      <c r="K54" s="7" cm="1">
        <f t="array" ref="K54">INDEX(GMWA!$A$2:$CR$60,MATCH(1,(GMWA!$CQ$2:$CQ$60=K$3)*(GMWA!$CP$2:$CP$60=K$4)*(GMWA!$CR$2:$CR$60=K$1),0),$A54-1966)</f>
        <v>44286</v>
      </c>
      <c r="L54" s="7" cm="1">
        <f t="array" ref="L54">INDEX(GMWA!$A$2:$CR$60,MATCH(1,(GMWA!$CQ$2:$CQ$60=L$3)*(GMWA!$CP$2:$CP$60=L$4)*(GMWA!$CR$2:$CR$60=L$1),0),$A54-1966)</f>
        <v>1199896</v>
      </c>
      <c r="M54" s="7" cm="1">
        <f t="array" ref="M54">INDEX(GMWA!$A$2:$CR$60,MATCH(1,(GMWA!$CQ$2:$CQ$60=M$3)*(GMWA!$CP$2:$CP$60=M$4)*(GMWA!$CR$2:$CR$60=M$1),0),$A54-1966)</f>
        <v>39044</v>
      </c>
    </row>
    <row r="55" spans="1:13" x14ac:dyDescent="0.35">
      <c r="A55" s="7">
        <f t="shared" si="2"/>
        <v>2021</v>
      </c>
      <c r="B55" s="7" cm="1">
        <f t="array" ref="B55">INDEX(GMWA!$A$2:$CR$60,MATCH(1,(GMWA!$CQ$2:$CQ$60=B$3)*(GMWA!$CP$2:$CP$60=B$4)*(GMWA!$CR$2:$CR$60=B$1),0),$A55-1966)</f>
        <v>1508219</v>
      </c>
      <c r="C55" s="7" cm="1">
        <f t="array" ref="C55">INDEX(GMWA!$A$2:$CR$60,MATCH(1,(GMWA!$CQ$2:$CQ$60=C$3)*(GMWA!$CP$2:$CP$60=C$4)*(GMWA!$CR$2:$CR$60=C$1),0),$A55-1966)</f>
        <v>949714</v>
      </c>
      <c r="D55" s="7" cm="1">
        <f t="array" ref="D55">INDEX(GMWA!$A$2:$CR$60,MATCH(1,(GMWA!$CQ$2:$CQ$60=D$3)*(GMWA!$CP$2:$CP$60=D$4)*(GMWA!$CR$2:$CR$60=D$1),0),$A55-1966)</f>
        <v>28023</v>
      </c>
      <c r="E55" s="7" cm="1">
        <f t="array" ref="E55">INDEX(GMWA!$A$2:$CR$60,MATCH(1,(GMWA!$CQ$2:$CQ$60=E$3)*(GMWA!$CP$2:$CP$60=E$4)*(GMWA!$CR$2:$CR$60=E$1),0),$A55-1966)</f>
        <v>102.5639</v>
      </c>
      <c r="F55" s="7" cm="1">
        <f t="array" ref="F55">INDEX(GMWA!$A$2:$CR$60,MATCH(1,(GMWA!$CQ$2:$CQ$60=F$3)*(GMWA!$CP$2:$CP$60=F$4)*(GMWA!$CR$2:$CR$60=F$1),0),$A55-1966)</f>
        <v>228516</v>
      </c>
      <c r="G55" s="7" cm="1">
        <f t="array" ref="G55">INDEX(GMWA!$A$2:$CR$60,MATCH(1,(GMWA!$CQ$2:$CQ$60=G$3)*(GMWA!$CP$2:$CP$60=G$4)*(GMWA!$CR$2:$CR$60=G$1),0),$A55-1966)</f>
        <v>74968</v>
      </c>
      <c r="H55" s="7" cm="1">
        <f t="array" ref="H55">INDEX(GMWA!$A$2:$CR$60,MATCH(1,(GMWA!$CQ$2:$CQ$60=H$3)*(GMWA!$CP$2:$CP$60=H$4)*(GMWA!$CR$2:$CR$60=H$1),0),$A55-1966)</f>
        <v>277447</v>
      </c>
      <c r="I55" s="7" cm="1">
        <f t="array" ref="I55">INDEX(GMWA!$A$2:$CR$60,MATCH(1,(GMWA!$CQ$2:$CQ$60=I$3)*(GMWA!$CP$2:$CP$60=I$4)*(GMWA!$CR$2:$CR$60=I$1),0),$A55-1966)</f>
        <v>-1268</v>
      </c>
      <c r="J55" s="7" cm="1">
        <f t="array" ref="J55">INDEX(GMWA!$A$2:$CR$60,MATCH(1,(GMWA!$CQ$2:$CQ$60=J$3)*(GMWA!$CP$2:$CP$60=J$4)*(GMWA!$CR$2:$CR$60=J$1),0),$A55-1966)</f>
        <v>1322966</v>
      </c>
      <c r="K55" s="7" cm="1">
        <f t="array" ref="K55">INDEX(GMWA!$A$2:$CR$60,MATCH(1,(GMWA!$CQ$2:$CQ$60=K$3)*(GMWA!$CP$2:$CP$60=K$4)*(GMWA!$CR$2:$CR$60=K$1),0),$A55-1966)</f>
        <v>46370</v>
      </c>
      <c r="L55" s="7" cm="1">
        <f t="array" ref="L55">INDEX(GMWA!$A$2:$CR$60,MATCH(1,(GMWA!$CQ$2:$CQ$60=L$3)*(GMWA!$CP$2:$CP$60=L$4)*(GMWA!$CR$2:$CR$60=L$1),0),$A55-1966)</f>
        <v>1289290</v>
      </c>
      <c r="M55" s="7" cm="1">
        <f t="array" ref="M55">INDEX(GMWA!$A$2:$CR$60,MATCH(1,(GMWA!$CQ$2:$CQ$60=M$3)*(GMWA!$CP$2:$CP$60=M$4)*(GMWA!$CR$2:$CR$60=M$1),0),$A55-1966)</f>
        <v>41815</v>
      </c>
    </row>
    <row r="56" spans="1:13" x14ac:dyDescent="0.35">
      <c r="A56" s="7">
        <f t="shared" si="2"/>
        <v>2022</v>
      </c>
      <c r="B56" s="7" cm="1">
        <f t="array" ref="B56">INDEX(GMWA!$A$2:$CR$60,MATCH(1,(GMWA!$CQ$2:$CQ$60=B$3)*(GMWA!$CP$2:$CP$60=B$4)*(GMWA!$CR$2:$CR$60=B$1),0),$A56-1966)</f>
        <v>1604077</v>
      </c>
      <c r="C56" s="7" cm="1">
        <f t="array" ref="C56">INDEX(GMWA!$A$2:$CR$60,MATCH(1,(GMWA!$CQ$2:$CQ$60=C$3)*(GMWA!$CP$2:$CP$60=C$4)*(GMWA!$CR$2:$CR$60=C$1),0),$A56-1966)</f>
        <v>1019622</v>
      </c>
      <c r="D56" s="7" cm="1">
        <f t="array" ref="D56">INDEX(GMWA!$A$2:$CR$60,MATCH(1,(GMWA!$CQ$2:$CQ$60=D$3)*(GMWA!$CP$2:$CP$60=D$4)*(GMWA!$CR$2:$CR$60=D$1),0),$A56-1966)</f>
        <v>28446.75</v>
      </c>
      <c r="E56" s="7" cm="1">
        <f t="array" ref="E56">INDEX(GMWA!$A$2:$CR$60,MATCH(1,(GMWA!$CQ$2:$CQ$60=E$3)*(GMWA!$CP$2:$CP$60=E$4)*(GMWA!$CR$2:$CR$60=E$1),0),$A56-1966)</f>
        <v>111.1069</v>
      </c>
      <c r="F56" s="7" cm="1">
        <f t="array" ref="F56">INDEX(GMWA!$A$2:$CR$60,MATCH(1,(GMWA!$CQ$2:$CQ$60=F$3)*(GMWA!$CP$2:$CP$60=F$4)*(GMWA!$CR$2:$CR$60=F$1),0),$A56-1966)</f>
        <v>253907</v>
      </c>
      <c r="G56" s="7" cm="1">
        <f t="array" ref="G56">INDEX(GMWA!$A$2:$CR$60,MATCH(1,(GMWA!$CQ$2:$CQ$60=G$3)*(GMWA!$CP$2:$CP$60=G$4)*(GMWA!$CR$2:$CR$60=G$1),0),$A56-1966)</f>
        <v>81830</v>
      </c>
      <c r="H56" s="7" cm="1">
        <f t="array" ref="H56">INDEX(GMWA!$A$2:$CR$60,MATCH(1,(GMWA!$CQ$2:$CQ$60=H$3)*(GMWA!$CP$2:$CP$60=H$4)*(GMWA!$CR$2:$CR$60=H$1),0),$A56-1966)</f>
        <v>294889</v>
      </c>
      <c r="I56" s="7" cm="1">
        <f t="array" ref="I56">INDEX(GMWA!$A$2:$CR$60,MATCH(1,(GMWA!$CQ$2:$CQ$60=I$3)*(GMWA!$CP$2:$CP$60=I$4)*(GMWA!$CR$2:$CR$60=I$1),0),$A56-1966)</f>
        <v>1523</v>
      </c>
      <c r="J56" s="7" cm="1">
        <f t="array" ref="J56">INDEX(GMWA!$A$2:$CR$60,MATCH(1,(GMWA!$CQ$2:$CQ$60=J$3)*(GMWA!$CP$2:$CP$60=J$4)*(GMWA!$CR$2:$CR$60=J$1),0),$A56-1966)</f>
        <v>1500399</v>
      </c>
      <c r="K56" s="7" cm="1">
        <f t="array" ref="K56">INDEX(GMWA!$A$2:$CR$60,MATCH(1,(GMWA!$CQ$2:$CQ$60=K$3)*(GMWA!$CP$2:$CP$60=K$4)*(GMWA!$CR$2:$CR$60=K$1),0),$A56-1966)</f>
        <v>49867</v>
      </c>
      <c r="L56" s="7" cm="1">
        <f t="array" ref="L56">INDEX(GMWA!$A$2:$CR$60,MATCH(1,(GMWA!$CQ$2:$CQ$60=L$3)*(GMWA!$CP$2:$CP$60=L$4)*(GMWA!$CR$2:$CR$60=L$1),0),$A56-1966)</f>
        <v>1350539</v>
      </c>
      <c r="M56" s="7" cm="1">
        <f t="array" ref="M56">INDEX(GMWA!$A$2:$CR$60,MATCH(1,(GMWA!$CQ$2:$CQ$60=M$3)*(GMWA!$CP$2:$CP$60=M$4)*(GMWA!$CR$2:$CR$60=M$1),0),$A56-1966)</f>
        <v>46933</v>
      </c>
    </row>
    <row r="57" spans="1:13" x14ac:dyDescent="0.35">
      <c r="A57" s="7">
        <f t="shared" si="2"/>
        <v>2023</v>
      </c>
      <c r="B57" s="7" cm="1">
        <f t="array" ref="B57">INDEX(GMWA!$A$2:$CR$60,MATCH(1,(GMWA!$CQ$2:$CQ$60=B$3)*(GMWA!$CP$2:$CP$60=B$4)*(GMWA!$CR$2:$CR$60=B$1),0),$A57-1966)</f>
        <v>1745927</v>
      </c>
      <c r="C57" s="7" cm="1">
        <f t="array" ref="C57">INDEX(GMWA!$A$2:$CR$60,MATCH(1,(GMWA!$CQ$2:$CQ$60=C$3)*(GMWA!$CP$2:$CP$60=C$4)*(GMWA!$CR$2:$CR$60=C$1),0),$A57-1966)</f>
        <v>1096781</v>
      </c>
      <c r="D57" s="7" cm="1">
        <f t="array" ref="D57">INDEX(GMWA!$A$2:$CR$60,MATCH(1,(GMWA!$CQ$2:$CQ$60=D$3)*(GMWA!$CP$2:$CP$60=D$4)*(GMWA!$CR$2:$CR$60=D$1),0),$A57-1966)</f>
        <v>28666.25</v>
      </c>
      <c r="E57" s="7" cm="1">
        <f t="array" ref="E57">INDEX(GMWA!$A$2:$CR$60,MATCH(1,(GMWA!$CQ$2:$CQ$60=E$3)*(GMWA!$CP$2:$CP$60=E$4)*(GMWA!$CR$2:$CR$60=E$1),0),$A57-1966)</f>
        <v>119.0202</v>
      </c>
      <c r="F57" s="7" cm="1">
        <f t="array" ref="F57">INDEX(GMWA!$A$2:$CR$60,MATCH(1,(GMWA!$CQ$2:$CQ$60=F$3)*(GMWA!$CP$2:$CP$60=F$4)*(GMWA!$CR$2:$CR$60=F$1),0),$A57-1966)</f>
        <v>282621.7</v>
      </c>
      <c r="G57" s="7" cm="1">
        <f t="array" ref="G57">INDEX(GMWA!$A$2:$CR$60,MATCH(1,(GMWA!$CQ$2:$CQ$60=G$3)*(GMWA!$CP$2:$CP$60=G$4)*(GMWA!$CR$2:$CR$60=G$1),0),$A57-1966)</f>
        <v>81058.78</v>
      </c>
      <c r="H57" s="7" cm="1">
        <f t="array" ref="H57">INDEX(GMWA!$A$2:$CR$60,MATCH(1,(GMWA!$CQ$2:$CQ$60=H$3)*(GMWA!$CP$2:$CP$60=H$4)*(GMWA!$CR$2:$CR$60=H$1),0),$A57-1966)</f>
        <v>323502.90000000002</v>
      </c>
      <c r="I57" s="7" cm="1">
        <f t="array" ref="I57">INDEX(GMWA!$A$2:$CR$60,MATCH(1,(GMWA!$CQ$2:$CQ$60=I$3)*(GMWA!$CP$2:$CP$60=I$4)*(GMWA!$CR$2:$CR$60=I$1),0),$A57-1966)</f>
        <v>5719.4459999999999</v>
      </c>
      <c r="J57" s="7" cm="1">
        <f t="array" ref="J57">INDEX(GMWA!$A$2:$CR$60,MATCH(1,(GMWA!$CQ$2:$CQ$60=J$3)*(GMWA!$CP$2:$CP$60=J$4)*(GMWA!$CR$2:$CR$60=J$1),0),$A57-1966)</f>
        <v>1612540</v>
      </c>
      <c r="K57" s="7" cm="1">
        <f t="array" ref="K57">INDEX(GMWA!$A$2:$CR$60,MATCH(1,(GMWA!$CQ$2:$CQ$60=K$3)*(GMWA!$CP$2:$CP$60=K$4)*(GMWA!$CR$2:$CR$60=K$1),0),$A57-1966)</f>
        <v>52853</v>
      </c>
      <c r="L57" s="7" cm="1">
        <f t="array" ref="L57">INDEX(GMWA!$A$2:$CR$60,MATCH(1,(GMWA!$CQ$2:$CQ$60=L$3)*(GMWA!$CP$2:$CP$60=L$4)*(GMWA!$CR$2:$CR$60=L$1),0),$A57-1966)</f>
        <v>1354872</v>
      </c>
      <c r="M57" s="7" cm="1">
        <f t="array" ref="M57">INDEX(GMWA!$A$2:$CR$60,MATCH(1,(GMWA!$CQ$2:$CQ$60=M$3)*(GMWA!$CP$2:$CP$60=M$4)*(GMWA!$CR$2:$CR$60=M$1),0),$A57-1966)</f>
        <v>47926</v>
      </c>
    </row>
    <row r="58" spans="1:13" x14ac:dyDescent="0.35">
      <c r="A58" s="7">
        <f t="shared" si="2"/>
        <v>2024</v>
      </c>
      <c r="B58" s="7" cm="1">
        <f t="array" ref="B58">INDEX(GMWA!$A$2:$CR$60,MATCH(1,(GMWA!$CQ$2:$CQ$60=B$3)*(GMWA!$CP$2:$CP$60=B$4)*(GMWA!$CR$2:$CR$60=B$1),0),$A58-1966)</f>
        <v>1803227</v>
      </c>
      <c r="C58" s="7" cm="1">
        <f t="array" ref="C58">INDEX(GMWA!$A$2:$CR$60,MATCH(1,(GMWA!$CQ$2:$CQ$60=C$3)*(GMWA!$CP$2:$CP$60=C$4)*(GMWA!$CR$2:$CR$60=C$1),0),$A58-1966)</f>
        <v>1143331</v>
      </c>
      <c r="D58" s="7" cm="1">
        <f t="array" ref="D58">INDEX(GMWA!$A$2:$CR$60,MATCH(1,(GMWA!$CQ$2:$CQ$60=D$3)*(GMWA!$CP$2:$CP$60=D$4)*(GMWA!$CR$2:$CR$60=D$1),0),$A58-1966)</f>
        <v>28700.01</v>
      </c>
      <c r="E58" s="7" cm="1">
        <f t="array" ref="E58">INDEX(GMWA!$A$2:$CR$60,MATCH(1,(GMWA!$CQ$2:$CQ$60=E$3)*(GMWA!$CP$2:$CP$60=E$4)*(GMWA!$CR$2:$CR$60=E$1),0),$A58-1966)</f>
        <v>121.60129999999999</v>
      </c>
      <c r="F58" s="7" cm="1">
        <f t="array" ref="F58">INDEX(GMWA!$A$2:$CR$60,MATCH(1,(GMWA!$CQ$2:$CQ$60=F$3)*(GMWA!$CP$2:$CP$60=F$4)*(GMWA!$CR$2:$CR$60=F$1),0),$A58-1966)</f>
        <v>305790.09999999998</v>
      </c>
      <c r="G58" s="7" cm="1">
        <f t="array" ref="G58">INDEX(GMWA!$A$2:$CR$60,MATCH(1,(GMWA!$CQ$2:$CQ$60=G$3)*(GMWA!$CP$2:$CP$60=G$4)*(GMWA!$CR$2:$CR$60=G$1),0),$A58-1966)</f>
        <v>76020.479999999996</v>
      </c>
      <c r="H58" s="7" cm="1">
        <f t="array" ref="H58">INDEX(GMWA!$A$2:$CR$60,MATCH(1,(GMWA!$CQ$2:$CQ$60=H$3)*(GMWA!$CP$2:$CP$60=H$4)*(GMWA!$CR$2:$CR$60=H$1),0),$A58-1966)</f>
        <v>351779.5</v>
      </c>
      <c r="I58" s="7" cm="1">
        <f t="array" ref="I58">INDEX(GMWA!$A$2:$CR$60,MATCH(1,(GMWA!$CQ$2:$CQ$60=I$3)*(GMWA!$CP$2:$CP$60=I$4)*(GMWA!$CR$2:$CR$60=I$1),0),$A58-1966)</f>
        <v>-3064.0189999999998</v>
      </c>
      <c r="J58" s="7" cm="1">
        <f t="array" ref="J58">INDEX(GMWA!$A$2:$CR$60,MATCH(1,(GMWA!$CQ$2:$CQ$60=J$3)*(GMWA!$CP$2:$CP$60=J$4)*(GMWA!$CR$2:$CR$60=J$1),0),$A58-1966)</f>
        <v>1657450</v>
      </c>
      <c r="K58" s="7" cm="1">
        <f t="array" ref="K58">INDEX(GMWA!$A$2:$CR$60,MATCH(1,(GMWA!$CQ$2:$CQ$60=K$3)*(GMWA!$CP$2:$CP$60=K$4)*(GMWA!$CR$2:$CR$60=K$1),0),$A58-1966)</f>
        <v>54819.77</v>
      </c>
      <c r="L58" s="7" cm="1">
        <f t="array" ref="L58">INDEX(GMWA!$A$2:$CR$60,MATCH(1,(GMWA!$CQ$2:$CQ$60=L$3)*(GMWA!$CP$2:$CP$60=L$4)*(GMWA!$CR$2:$CR$60=L$1),0),$A58-1966)</f>
        <v>1362988</v>
      </c>
      <c r="M58" s="7" cm="1">
        <f t="array" ref="M58">INDEX(GMWA!$A$2:$CR$60,MATCH(1,(GMWA!$CQ$2:$CQ$60=M$3)*(GMWA!$CP$2:$CP$60=M$4)*(GMWA!$CR$2:$CR$60=M$1),0),$A58-1966)</f>
        <v>48504.53</v>
      </c>
    </row>
    <row r="59" spans="1:13" x14ac:dyDescent="0.35">
      <c r="A59" s="7">
        <f t="shared" si="2"/>
        <v>2025</v>
      </c>
      <c r="B59" s="7" cm="1">
        <f t="array" ref="B59">INDEX(GMWA!$A$2:$CR$60,MATCH(1,(GMWA!$CQ$2:$CQ$60=B$3)*(GMWA!$CP$2:$CP$60=B$4)*(GMWA!$CR$2:$CR$60=B$1),0),$A59-1966)</f>
        <v>1876999</v>
      </c>
      <c r="C59" s="7" cm="1">
        <f t="array" ref="C59">INDEX(GMWA!$A$2:$CR$60,MATCH(1,(GMWA!$CQ$2:$CQ$60=C$3)*(GMWA!$CP$2:$CP$60=C$4)*(GMWA!$CR$2:$CR$60=C$1),0),$A59-1966)</f>
        <v>1187426</v>
      </c>
      <c r="D59" s="7" cm="1">
        <f t="array" ref="D59">INDEX(GMWA!$A$2:$CR$60,MATCH(1,(GMWA!$CQ$2:$CQ$60=D$3)*(GMWA!$CP$2:$CP$60=D$4)*(GMWA!$CR$2:$CR$60=D$1),0),$A59-1966)</f>
        <v>28993.279999999999</v>
      </c>
      <c r="E59" s="7" cm="1">
        <f t="array" ref="E59">INDEX(GMWA!$A$2:$CR$60,MATCH(1,(GMWA!$CQ$2:$CQ$60=E$3)*(GMWA!$CP$2:$CP$60=E$4)*(GMWA!$CR$2:$CR$60=E$1),0),$A59-1966)</f>
        <v>124.16030000000001</v>
      </c>
      <c r="F59" s="7" cm="1">
        <f t="array" ref="F59">INDEX(GMWA!$A$2:$CR$60,MATCH(1,(GMWA!$CQ$2:$CQ$60=F$3)*(GMWA!$CP$2:$CP$60=F$4)*(GMWA!$CR$2:$CR$60=F$1),0),$A59-1966)</f>
        <v>325753.3</v>
      </c>
      <c r="G59" s="7" cm="1">
        <f t="array" ref="G59">INDEX(GMWA!$A$2:$CR$60,MATCH(1,(GMWA!$CQ$2:$CQ$60=G$3)*(GMWA!$CP$2:$CP$60=G$4)*(GMWA!$CR$2:$CR$60=G$1),0),$A59-1966)</f>
        <v>78370.09</v>
      </c>
      <c r="H59" s="7" cm="1">
        <f t="array" ref="H59">INDEX(GMWA!$A$2:$CR$60,MATCH(1,(GMWA!$CQ$2:$CQ$60=H$3)*(GMWA!$CP$2:$CP$60=H$4)*(GMWA!$CR$2:$CR$60=H$1),0),$A59-1966)</f>
        <v>372598.6</v>
      </c>
      <c r="I59" s="7" cm="1">
        <f t="array" ref="I59">INDEX(GMWA!$A$2:$CR$60,MATCH(1,(GMWA!$CQ$2:$CQ$60=I$3)*(GMWA!$CP$2:$CP$60=I$4)*(GMWA!$CR$2:$CR$60=I$1),0),$A59-1966)</f>
        <v>-9981.5300000000007</v>
      </c>
      <c r="J59" s="7" cm="1">
        <f t="array" ref="J59">INDEX(GMWA!$A$2:$CR$60,MATCH(1,(GMWA!$CQ$2:$CQ$60=J$3)*(GMWA!$CP$2:$CP$60=J$4)*(GMWA!$CR$2:$CR$60=J$1),0),$A59-1966)</f>
        <v>1729171</v>
      </c>
      <c r="K59" s="7" cm="1">
        <f t="array" ref="K59">INDEX(GMWA!$A$2:$CR$60,MATCH(1,(GMWA!$CQ$2:$CQ$60=K$3)*(GMWA!$CP$2:$CP$60=K$4)*(GMWA!$CR$2:$CR$60=K$1),0),$A59-1966)</f>
        <v>57380.93</v>
      </c>
      <c r="L59" s="7" cm="1">
        <f t="array" ref="L59">INDEX(GMWA!$A$2:$CR$60,MATCH(1,(GMWA!$CQ$2:$CQ$60=L$3)*(GMWA!$CP$2:$CP$60=L$4)*(GMWA!$CR$2:$CR$60=L$1),0),$A59-1966)</f>
        <v>1392630</v>
      </c>
      <c r="M59" s="7" cm="1">
        <f t="array" ref="M59">INDEX(GMWA!$A$2:$CR$60,MATCH(1,(GMWA!$CQ$2:$CQ$60=M$3)*(GMWA!$CP$2:$CP$60=M$4)*(GMWA!$CR$2:$CR$60=M$1),0),$A59-1966)</f>
        <v>49559.4</v>
      </c>
    </row>
    <row r="60" spans="1:13" x14ac:dyDescent="0.35">
      <c r="A60" s="7">
        <f t="shared" si="2"/>
        <v>2026</v>
      </c>
      <c r="B60" s="7" cm="1">
        <f t="array" ref="B60">INDEX(GMWA!$A$2:$CR$60,MATCH(1,(GMWA!$CQ$2:$CQ$60=B$3)*(GMWA!$CP$2:$CP$60=B$4)*(GMWA!$CR$2:$CR$60=B$1),0),$A60-1966)</f>
        <v>1955175</v>
      </c>
      <c r="C60" s="7" cm="1">
        <f t="array" ref="C60">INDEX(GMWA!$A$2:$CR$60,MATCH(1,(GMWA!$CQ$2:$CQ$60=C$3)*(GMWA!$CP$2:$CP$60=C$4)*(GMWA!$CR$2:$CR$60=C$1),0),$A60-1966)</f>
        <v>1231471</v>
      </c>
      <c r="D60" s="7" cm="1">
        <f t="array" ref="D60">INDEX(GMWA!$A$2:$CR$60,MATCH(1,(GMWA!$CQ$2:$CQ$60=D$3)*(GMWA!$CP$2:$CP$60=D$4)*(GMWA!$CR$2:$CR$60=D$1),0),$A60-1966)</f>
        <v>29275.24</v>
      </c>
      <c r="E60" s="7" cm="1">
        <f t="array" ref="E60">INDEX(GMWA!$A$2:$CR$60,MATCH(1,(GMWA!$CQ$2:$CQ$60=E$3)*(GMWA!$CP$2:$CP$60=E$4)*(GMWA!$CR$2:$CR$60=E$1),0),$A60-1966)</f>
        <v>126.89060000000001</v>
      </c>
      <c r="F60" s="7" cm="1">
        <f t="array" ref="F60">INDEX(GMWA!$A$2:$CR$60,MATCH(1,(GMWA!$CQ$2:$CQ$60=F$3)*(GMWA!$CP$2:$CP$60=F$4)*(GMWA!$CR$2:$CR$60=F$1),0),$A60-1966)</f>
        <v>344511.8</v>
      </c>
      <c r="G60" s="7" cm="1">
        <f t="array" ref="G60">INDEX(GMWA!$A$2:$CR$60,MATCH(1,(GMWA!$CQ$2:$CQ$60=G$3)*(GMWA!$CP$2:$CP$60=G$4)*(GMWA!$CR$2:$CR$60=G$1),0),$A60-1966)</f>
        <v>81649.38</v>
      </c>
      <c r="H60" s="7" cm="1">
        <f t="array" ref="H60">INDEX(GMWA!$A$2:$CR$60,MATCH(1,(GMWA!$CQ$2:$CQ$60=H$3)*(GMWA!$CP$2:$CP$60=H$4)*(GMWA!$CR$2:$CR$60=H$1),0),$A60-1966)</f>
        <v>392610.8</v>
      </c>
      <c r="I60" s="7" cm="1">
        <f t="array" ref="I60">INDEX(GMWA!$A$2:$CR$60,MATCH(1,(GMWA!$CQ$2:$CQ$60=I$3)*(GMWA!$CP$2:$CP$60=I$4)*(GMWA!$CR$2:$CR$60=I$1),0),$A60-1966)</f>
        <v>-17300.8</v>
      </c>
      <c r="J60" s="7" cm="1">
        <f t="array" ref="J60">INDEX(GMWA!$A$2:$CR$60,MATCH(1,(GMWA!$CQ$2:$CQ$60=J$3)*(GMWA!$CP$2:$CP$60=J$4)*(GMWA!$CR$2:$CR$60=J$1),0),$A60-1966)</f>
        <v>1806587</v>
      </c>
      <c r="K60" s="7" cm="1">
        <f t="array" ref="K60">INDEX(GMWA!$A$2:$CR$60,MATCH(1,(GMWA!$CQ$2:$CQ$60=K$3)*(GMWA!$CP$2:$CP$60=K$4)*(GMWA!$CR$2:$CR$60=K$1),0),$A60-1966)</f>
        <v>60138</v>
      </c>
      <c r="L60" s="7" cm="1">
        <f t="array" ref="L60">INDEX(GMWA!$A$2:$CR$60,MATCH(1,(GMWA!$CQ$2:$CQ$60=L$3)*(GMWA!$CP$2:$CP$60=L$4)*(GMWA!$CR$2:$CR$60=L$1),0),$A60-1966)</f>
        <v>1423694</v>
      </c>
      <c r="M60" s="7" cm="1">
        <f t="array" ref="M60">INDEX(GMWA!$A$2:$CR$60,MATCH(1,(GMWA!$CQ$2:$CQ$60=M$3)*(GMWA!$CP$2:$CP$60=M$4)*(GMWA!$CR$2:$CR$60=M$1),0),$A60-1966)</f>
        <v>50664.86</v>
      </c>
    </row>
    <row r="61" spans="1:13" x14ac:dyDescent="0.35">
      <c r="A61" s="7">
        <f t="shared" si="2"/>
        <v>2027</v>
      </c>
      <c r="B61" s="7" cm="1">
        <f t="array" ref="B61">INDEX(GMWA!$A$2:$CR$60,MATCH(1,(GMWA!$CQ$2:$CQ$60=B$3)*(GMWA!$CP$2:$CP$60=B$4)*(GMWA!$CR$2:$CR$60=B$1),0),$A61-1966)</f>
        <v>2030453</v>
      </c>
      <c r="C61" s="7" cm="1">
        <f t="array" ref="C61">INDEX(GMWA!$A$2:$CR$60,MATCH(1,(GMWA!$CQ$2:$CQ$60=C$3)*(GMWA!$CP$2:$CP$60=C$4)*(GMWA!$CR$2:$CR$60=C$1),0),$A61-1966)</f>
        <v>1278679</v>
      </c>
      <c r="D61" s="7" cm="1">
        <f t="array" ref="D61">INDEX(GMWA!$A$2:$CR$60,MATCH(1,(GMWA!$CQ$2:$CQ$60=D$3)*(GMWA!$CP$2:$CP$60=D$4)*(GMWA!$CR$2:$CR$60=D$1),0),$A61-1966)</f>
        <v>29575.66</v>
      </c>
      <c r="E61" s="7" cm="1">
        <f t="array" ref="E61">INDEX(GMWA!$A$2:$CR$60,MATCH(1,(GMWA!$CQ$2:$CQ$60=E$3)*(GMWA!$CP$2:$CP$60=E$4)*(GMWA!$CR$2:$CR$60=E$1),0),$A61-1966)</f>
        <v>129.58430000000001</v>
      </c>
      <c r="F61" s="7" cm="1">
        <f t="array" ref="F61">INDEX(GMWA!$A$2:$CR$60,MATCH(1,(GMWA!$CQ$2:$CQ$60=F$3)*(GMWA!$CP$2:$CP$60=F$4)*(GMWA!$CR$2:$CR$60=F$1),0),$A61-1966)</f>
        <v>365114.7</v>
      </c>
      <c r="G61" s="7" cm="1">
        <f t="array" ref="G61">INDEX(GMWA!$A$2:$CR$60,MATCH(1,(GMWA!$CQ$2:$CQ$60=G$3)*(GMWA!$CP$2:$CP$60=G$4)*(GMWA!$CR$2:$CR$60=G$1),0),$A61-1966)</f>
        <v>85592.84</v>
      </c>
      <c r="H61" s="7" cm="1">
        <f t="array" ref="H61">INDEX(GMWA!$A$2:$CR$60,MATCH(1,(GMWA!$CQ$2:$CQ$60=H$3)*(GMWA!$CP$2:$CP$60=H$4)*(GMWA!$CR$2:$CR$60=H$1),0),$A61-1966)</f>
        <v>416313.2</v>
      </c>
      <c r="I61" s="7" cm="1">
        <f t="array" ref="I61">INDEX(GMWA!$A$2:$CR$60,MATCH(1,(GMWA!$CQ$2:$CQ$60=I$3)*(GMWA!$CP$2:$CP$60=I$4)*(GMWA!$CR$2:$CR$60=I$1),0),$A61-1966)</f>
        <v>-23657.13</v>
      </c>
      <c r="J61" s="7" cm="1">
        <f t="array" ref="J61">INDEX(GMWA!$A$2:$CR$60,MATCH(1,(GMWA!$CQ$2:$CQ$60=J$3)*(GMWA!$CP$2:$CP$60=J$4)*(GMWA!$CR$2:$CR$60=J$1),0),$A61-1966)</f>
        <v>1878632</v>
      </c>
      <c r="K61" s="7" cm="1">
        <f t="array" ref="K61">INDEX(GMWA!$A$2:$CR$60,MATCH(1,(GMWA!$CQ$2:$CQ$60=K$3)*(GMWA!$CP$2:$CP$60=K$4)*(GMWA!$CR$2:$CR$60=K$1),0),$A61-1966)</f>
        <v>62702.23</v>
      </c>
      <c r="L61" s="7" cm="1">
        <f t="array" ref="L61">INDEX(GMWA!$A$2:$CR$60,MATCH(1,(GMWA!$CQ$2:$CQ$60=L$3)*(GMWA!$CP$2:$CP$60=L$4)*(GMWA!$CR$2:$CR$60=L$1),0),$A61-1966)</f>
        <v>1449693</v>
      </c>
      <c r="M61" s="7" cm="1">
        <f t="array" ref="M61">INDEX(GMWA!$A$2:$CR$60,MATCH(1,(GMWA!$CQ$2:$CQ$60=M$3)*(GMWA!$CP$2:$CP$60=M$4)*(GMWA!$CR$2:$CR$60=M$1),0),$A61-1966)</f>
        <v>51590.1</v>
      </c>
    </row>
    <row r="62" spans="1:13" x14ac:dyDescent="0.35">
      <c r="A62" s="7">
        <f t="shared" si="2"/>
        <v>2028</v>
      </c>
      <c r="B62" s="7" cm="1">
        <f t="array" ref="B62">INDEX(GMWA!$A$2:$CR$60,MATCH(1,(GMWA!$CQ$2:$CQ$60=B$3)*(GMWA!$CP$2:$CP$60=B$4)*(GMWA!$CR$2:$CR$60=B$1),0),$A62-1966)</f>
        <v>2109735</v>
      </c>
      <c r="C62" s="7" cm="1">
        <f t="array" ref="C62">INDEX(GMWA!$A$2:$CR$60,MATCH(1,(GMWA!$CQ$2:$CQ$60=C$3)*(GMWA!$CP$2:$CP$60=C$4)*(GMWA!$CR$2:$CR$60=C$1),0),$A62-1966)</f>
        <v>1326828</v>
      </c>
      <c r="D62" s="7" cm="1">
        <f t="array" ref="D62">INDEX(GMWA!$A$2:$CR$60,MATCH(1,(GMWA!$CQ$2:$CQ$60=D$3)*(GMWA!$CP$2:$CP$60=D$4)*(GMWA!$CR$2:$CR$60=D$1),0),$A62-1966)</f>
        <v>29862.83</v>
      </c>
      <c r="E62" s="7" cm="1">
        <f t="array" ref="E62">INDEX(GMWA!$A$2:$CR$60,MATCH(1,(GMWA!$CQ$2:$CQ$60=E$3)*(GMWA!$CP$2:$CP$60=E$4)*(GMWA!$CR$2:$CR$60=E$1),0),$A62-1966)</f>
        <v>132.27010000000001</v>
      </c>
      <c r="F62" s="7" cm="1">
        <f t="array" ref="F62">INDEX(GMWA!$A$2:$CR$60,MATCH(1,(GMWA!$CQ$2:$CQ$60=F$3)*(GMWA!$CP$2:$CP$60=F$4)*(GMWA!$CR$2:$CR$60=F$1),0),$A62-1966)</f>
        <v>385778.2</v>
      </c>
      <c r="G62" s="7" cm="1">
        <f t="array" ref="G62">INDEX(GMWA!$A$2:$CR$60,MATCH(1,(GMWA!$CQ$2:$CQ$60=G$3)*(GMWA!$CP$2:$CP$60=G$4)*(GMWA!$CR$2:$CR$60=G$1),0),$A62-1966)</f>
        <v>89130.38</v>
      </c>
      <c r="H62" s="7" cm="1">
        <f t="array" ref="H62">INDEX(GMWA!$A$2:$CR$60,MATCH(1,(GMWA!$CQ$2:$CQ$60=H$3)*(GMWA!$CP$2:$CP$60=H$4)*(GMWA!$CR$2:$CR$60=H$1),0),$A62-1966)</f>
        <v>439735.9</v>
      </c>
      <c r="I62" s="7" cm="1">
        <f t="array" ref="I62">INDEX(GMWA!$A$2:$CR$60,MATCH(1,(GMWA!$CQ$2:$CQ$60=I$3)*(GMWA!$CP$2:$CP$60=I$4)*(GMWA!$CR$2:$CR$60=I$1),0),$A62-1966)</f>
        <v>-24888.59</v>
      </c>
      <c r="J62" s="7" cm="1">
        <f t="array" ref="J62">INDEX(GMWA!$A$2:$CR$60,MATCH(1,(GMWA!$CQ$2:$CQ$60=J$3)*(GMWA!$CP$2:$CP$60=J$4)*(GMWA!$CR$2:$CR$60=J$1),0),$A62-1966)</f>
        <v>1951187</v>
      </c>
      <c r="K62" s="7" cm="1">
        <f t="array" ref="K62">INDEX(GMWA!$A$2:$CR$60,MATCH(1,(GMWA!$CQ$2:$CQ$60=K$3)*(GMWA!$CP$2:$CP$60=K$4)*(GMWA!$CR$2:$CR$60=K$1),0),$A62-1966)</f>
        <v>65284.32</v>
      </c>
      <c r="L62" s="7" cm="1">
        <f t="array" ref="L62">INDEX(GMWA!$A$2:$CR$60,MATCH(1,(GMWA!$CQ$2:$CQ$60=L$3)*(GMWA!$CP$2:$CP$60=L$4)*(GMWA!$CR$2:$CR$60=L$1),0),$A62-1966)</f>
        <v>1475116</v>
      </c>
      <c r="M62" s="7" cm="1">
        <f t="array" ref="M62">INDEX(GMWA!$A$2:$CR$60,MATCH(1,(GMWA!$CQ$2:$CQ$60=M$3)*(GMWA!$CP$2:$CP$60=M$4)*(GMWA!$CR$2:$CR$60=M$1),0),$A62-1966)</f>
        <v>52494.82</v>
      </c>
    </row>
    <row r="63" spans="1:13" x14ac:dyDescent="0.35">
      <c r="A63" s="7">
        <f t="shared" si="2"/>
        <v>2029</v>
      </c>
      <c r="B63" s="7" cm="1">
        <f t="array" ref="B63">INDEX(GMWA!$A$2:$CR$60,MATCH(1,(GMWA!$CQ$2:$CQ$60=B$3)*(GMWA!$CP$2:$CP$60=B$4)*(GMWA!$CR$2:$CR$60=B$1),0),$A63-1966)</f>
        <v>2186934</v>
      </c>
      <c r="C63" s="7" cm="1">
        <f t="array" ref="C63">INDEX(GMWA!$A$2:$CR$60,MATCH(1,(GMWA!$CQ$2:$CQ$60=C$3)*(GMWA!$CP$2:$CP$60=C$4)*(GMWA!$CR$2:$CR$60=C$1),0),$A63-1966)</f>
        <v>1374769</v>
      </c>
      <c r="D63" s="7" cm="1">
        <f t="array" ref="D63">INDEX(GMWA!$A$2:$CR$60,MATCH(1,(GMWA!$CQ$2:$CQ$60=D$3)*(GMWA!$CP$2:$CP$60=D$4)*(GMWA!$CR$2:$CR$60=D$1),0),$A63-1966)</f>
        <v>30117.7</v>
      </c>
      <c r="E63" s="7" cm="1">
        <f t="array" ref="E63">INDEX(GMWA!$A$2:$CR$60,MATCH(1,(GMWA!$CQ$2:$CQ$60=E$3)*(GMWA!$CP$2:$CP$60=E$4)*(GMWA!$CR$2:$CR$60=E$1),0),$A63-1966)</f>
        <v>134.91489999999999</v>
      </c>
      <c r="F63" s="7" cm="1">
        <f t="array" ref="F63">INDEX(GMWA!$A$2:$CR$60,MATCH(1,(GMWA!$CQ$2:$CQ$60=F$3)*(GMWA!$CP$2:$CP$60=F$4)*(GMWA!$CR$2:$CR$60=F$1),0),$A63-1966)</f>
        <v>403236.4</v>
      </c>
      <c r="G63" s="7" cm="1">
        <f t="array" ref="G63">INDEX(GMWA!$A$2:$CR$60,MATCH(1,(GMWA!$CQ$2:$CQ$60=G$3)*(GMWA!$CP$2:$CP$60=G$4)*(GMWA!$CR$2:$CR$60=G$1),0),$A63-1966)</f>
        <v>92453.22</v>
      </c>
      <c r="H63" s="7" cm="1">
        <f t="array" ref="H63">INDEX(GMWA!$A$2:$CR$60,MATCH(1,(GMWA!$CQ$2:$CQ$60=H$3)*(GMWA!$CP$2:$CP$60=H$4)*(GMWA!$CR$2:$CR$60=H$1),0),$A63-1966)</f>
        <v>461439.4</v>
      </c>
      <c r="I63" s="7" cm="1">
        <f t="array" ref="I63">INDEX(GMWA!$A$2:$CR$60,MATCH(1,(GMWA!$CQ$2:$CQ$60=I$3)*(GMWA!$CP$2:$CP$60=I$4)*(GMWA!$CR$2:$CR$60=I$1),0),$A63-1966)</f>
        <v>-28434.19</v>
      </c>
      <c r="J63" s="7" cm="1">
        <f t="array" ref="J63">INDEX(GMWA!$A$2:$CR$60,MATCH(1,(GMWA!$CQ$2:$CQ$60=J$3)*(GMWA!$CP$2:$CP$60=J$4)*(GMWA!$CR$2:$CR$60=J$1),0),$A63-1966)</f>
        <v>2022065</v>
      </c>
      <c r="K63" s="7" cm="1">
        <f t="array" ref="K63">INDEX(GMWA!$A$2:$CR$60,MATCH(1,(GMWA!$CQ$2:$CQ$60=K$3)*(GMWA!$CP$2:$CP$60=K$4)*(GMWA!$CR$2:$CR$60=K$1),0),$A63-1966)</f>
        <v>67806.66</v>
      </c>
      <c r="L63" s="7" cm="1">
        <f t="array" ref="L63">INDEX(GMWA!$A$2:$CR$60,MATCH(1,(GMWA!$CQ$2:$CQ$60=L$3)*(GMWA!$CP$2:$CP$60=L$4)*(GMWA!$CR$2:$CR$60=L$1),0),$A63-1966)</f>
        <v>1498735</v>
      </c>
      <c r="M63" s="7" cm="1">
        <f t="array" ref="M63">INDEX(GMWA!$A$2:$CR$60,MATCH(1,(GMWA!$CQ$2:$CQ$60=M$3)*(GMWA!$CP$2:$CP$60=M$4)*(GMWA!$CR$2:$CR$60=M$1),0),$A63-1966)</f>
        <v>53335.360000000001</v>
      </c>
    </row>
    <row r="64" spans="1:13" x14ac:dyDescent="0.35">
      <c r="A64" s="7">
        <f t="shared" si="2"/>
        <v>2030</v>
      </c>
      <c r="B64" s="7" cm="1">
        <f t="array" ref="B64">INDEX(GMWA!$A$2:$CR$60,MATCH(1,(GMWA!$CQ$2:$CQ$60=B$3)*(GMWA!$CP$2:$CP$60=B$4)*(GMWA!$CR$2:$CR$60=B$1),0),$A64-1966)</f>
        <v>2265247</v>
      </c>
      <c r="C64" s="7" cm="1">
        <f t="array" ref="C64">INDEX(GMWA!$A$2:$CR$60,MATCH(1,(GMWA!$CQ$2:$CQ$60=C$3)*(GMWA!$CP$2:$CP$60=C$4)*(GMWA!$CR$2:$CR$60=C$1),0),$A64-1966)</f>
        <v>1423656</v>
      </c>
      <c r="D64" s="7" cm="1">
        <f t="array" ref="D64">INDEX(GMWA!$A$2:$CR$60,MATCH(1,(GMWA!$CQ$2:$CQ$60=D$3)*(GMWA!$CP$2:$CP$60=D$4)*(GMWA!$CR$2:$CR$60=D$1),0),$A64-1966)</f>
        <v>30352.6</v>
      </c>
      <c r="E64" s="7" cm="1">
        <f t="array" ref="E64">INDEX(GMWA!$A$2:$CR$60,MATCH(1,(GMWA!$CQ$2:$CQ$60=E$3)*(GMWA!$CP$2:$CP$60=E$4)*(GMWA!$CR$2:$CR$60=E$1),0),$A64-1966)</f>
        <v>137.61269999999999</v>
      </c>
      <c r="F64" s="7" cm="1">
        <f t="array" ref="F64">INDEX(GMWA!$A$2:$CR$60,MATCH(1,(GMWA!$CQ$2:$CQ$60=F$3)*(GMWA!$CP$2:$CP$60=F$4)*(GMWA!$CR$2:$CR$60=F$1),0),$A64-1966)</f>
        <v>417619.7</v>
      </c>
      <c r="G64" s="7" cm="1">
        <f t="array" ref="G64">INDEX(GMWA!$A$2:$CR$60,MATCH(1,(GMWA!$CQ$2:$CQ$60=G$3)*(GMWA!$CP$2:$CP$60=G$4)*(GMWA!$CR$2:$CR$60=G$1),0),$A64-1966)</f>
        <v>95740.87</v>
      </c>
      <c r="H64" s="7" cm="1">
        <f t="array" ref="H64">INDEX(GMWA!$A$2:$CR$60,MATCH(1,(GMWA!$CQ$2:$CQ$60=H$3)*(GMWA!$CP$2:$CP$60=H$4)*(GMWA!$CR$2:$CR$60=H$1),0),$A64-1966)</f>
        <v>482313.1</v>
      </c>
      <c r="I64" s="7" cm="1">
        <f t="array" ref="I64">INDEX(GMWA!$A$2:$CR$60,MATCH(1,(GMWA!$CQ$2:$CQ$60=I$3)*(GMWA!$CP$2:$CP$60=I$4)*(GMWA!$CR$2:$CR$60=I$1),0),$A64-1966)</f>
        <v>-33800.92</v>
      </c>
      <c r="J64" s="7" cm="1">
        <f t="array" ref="J64">INDEX(GMWA!$A$2:$CR$60,MATCH(1,(GMWA!$CQ$2:$CQ$60=J$3)*(GMWA!$CP$2:$CP$60=J$4)*(GMWA!$CR$2:$CR$60=J$1),0),$A64-1966)</f>
        <v>2093506</v>
      </c>
      <c r="K64" s="7" cm="1">
        <f t="array" ref="K64">INDEX(GMWA!$A$2:$CR$60,MATCH(1,(GMWA!$CQ$2:$CQ$60=K$3)*(GMWA!$CP$2:$CP$60=K$4)*(GMWA!$CR$2:$CR$60=K$1),0),$A64-1966)</f>
        <v>70349.02</v>
      </c>
      <c r="L64" s="7" cm="1">
        <f t="array" ref="L64">INDEX(GMWA!$A$2:$CR$60,MATCH(1,(GMWA!$CQ$2:$CQ$60=L$3)*(GMWA!$CP$2:$CP$60=L$4)*(GMWA!$CR$2:$CR$60=L$1),0),$A64-1966)</f>
        <v>1521267</v>
      </c>
      <c r="M64" s="7" cm="1">
        <f t="array" ref="M64">INDEX(GMWA!$A$2:$CR$60,MATCH(1,(GMWA!$CQ$2:$CQ$60=M$3)*(GMWA!$CP$2:$CP$60=M$4)*(GMWA!$CR$2:$CR$60=M$1),0),$A64-1966)</f>
        <v>54137.2</v>
      </c>
    </row>
    <row r="65" spans="1:13" x14ac:dyDescent="0.35">
      <c r="A65" s="7">
        <f t="shared" si="2"/>
        <v>2031</v>
      </c>
      <c r="B65" s="7" cm="1">
        <f t="array" ref="B65">INDEX(GMWA!$A$2:$CR$60,MATCH(1,(GMWA!$CQ$2:$CQ$60=B$3)*(GMWA!$CP$2:$CP$60=B$4)*(GMWA!$CR$2:$CR$60=B$1),0),$A65-1966)</f>
        <v>2346459</v>
      </c>
      <c r="C65" s="7" cm="1">
        <f t="array" ref="C65">INDEX(GMWA!$A$2:$CR$60,MATCH(1,(GMWA!$CQ$2:$CQ$60=C$3)*(GMWA!$CP$2:$CP$60=C$4)*(GMWA!$CR$2:$CR$60=C$1),0),$A65-1966)</f>
        <v>1474418</v>
      </c>
      <c r="D65" s="7" cm="1">
        <f t="array" ref="D65">INDEX(GMWA!$A$2:$CR$60,MATCH(1,(GMWA!$CQ$2:$CQ$60=D$3)*(GMWA!$CP$2:$CP$60=D$4)*(GMWA!$CR$2:$CR$60=D$1),0),$A65-1966)</f>
        <v>30577.08</v>
      </c>
      <c r="E65" s="7" cm="1">
        <f t="array" ref="E65">INDEX(GMWA!$A$2:$CR$60,MATCH(1,(GMWA!$CQ$2:$CQ$60=E$3)*(GMWA!$CP$2:$CP$60=E$4)*(GMWA!$CR$2:$CR$60=E$1),0),$A65-1966)</f>
        <v>140.36439999999999</v>
      </c>
      <c r="F65" s="7" cm="1">
        <f t="array" ref="F65">INDEX(GMWA!$A$2:$CR$60,MATCH(1,(GMWA!$CQ$2:$CQ$60=F$3)*(GMWA!$CP$2:$CP$60=F$4)*(GMWA!$CR$2:$CR$60=F$1),0),$A65-1966)</f>
        <v>432922.3</v>
      </c>
      <c r="G65" s="7" cm="1">
        <f t="array" ref="G65">INDEX(GMWA!$A$2:$CR$60,MATCH(1,(GMWA!$CQ$2:$CQ$60=G$3)*(GMWA!$CP$2:$CP$60=G$4)*(GMWA!$CR$2:$CR$60=G$1),0),$A65-1966)</f>
        <v>99154.63</v>
      </c>
      <c r="H65" s="7" cm="1">
        <f t="array" ref="H65">INDEX(GMWA!$A$2:$CR$60,MATCH(1,(GMWA!$CQ$2:$CQ$60=H$3)*(GMWA!$CP$2:$CP$60=H$4)*(GMWA!$CR$2:$CR$60=H$1),0),$A65-1966)</f>
        <v>502724.5</v>
      </c>
      <c r="I65" s="7" cm="1">
        <f t="array" ref="I65">INDEX(GMWA!$A$2:$CR$60,MATCH(1,(GMWA!$CQ$2:$CQ$60=I$3)*(GMWA!$CP$2:$CP$60=I$4)*(GMWA!$CR$2:$CR$60=I$1),0),$A65-1966)</f>
        <v>-37382.28</v>
      </c>
      <c r="J65" s="7" cm="1">
        <f t="array" ref="J65">INDEX(GMWA!$A$2:$CR$60,MATCH(1,(GMWA!$CQ$2:$CQ$60=J$3)*(GMWA!$CP$2:$CP$60=J$4)*(GMWA!$CR$2:$CR$60=J$1),0),$A65-1966)</f>
        <v>2167566</v>
      </c>
      <c r="K65" s="7" cm="1">
        <f t="array" ref="K65">INDEX(GMWA!$A$2:$CR$60,MATCH(1,(GMWA!$CQ$2:$CQ$60=K$3)*(GMWA!$CP$2:$CP$60=K$4)*(GMWA!$CR$2:$CR$60=K$1),0),$A65-1966)</f>
        <v>72984.58</v>
      </c>
      <c r="L65" s="7" cm="1">
        <f t="array" ref="L65">INDEX(GMWA!$A$2:$CR$60,MATCH(1,(GMWA!$CQ$2:$CQ$60=L$3)*(GMWA!$CP$2:$CP$60=L$4)*(GMWA!$CR$2:$CR$60=L$1),0),$A65-1966)</f>
        <v>1544205</v>
      </c>
      <c r="M65" s="7" cm="1">
        <f t="array" ref="M65">INDEX(GMWA!$A$2:$CR$60,MATCH(1,(GMWA!$CQ$2:$CQ$60=M$3)*(GMWA!$CP$2:$CP$60=M$4)*(GMWA!$CR$2:$CR$60=M$1),0),$A65-1966)</f>
        <v>54953.5</v>
      </c>
    </row>
    <row r="66" spans="1:13" x14ac:dyDescent="0.35">
      <c r="A66" s="7">
        <f t="shared" si="2"/>
        <v>2032</v>
      </c>
      <c r="B66" s="7" cm="1">
        <f t="array" ref="B66">INDEX(GMWA!$A$2:$CR$60,MATCH(1,(GMWA!$CQ$2:$CQ$60=B$3)*(GMWA!$CP$2:$CP$60=B$4)*(GMWA!$CR$2:$CR$60=B$1),0),$A66-1966)</f>
        <v>2430432</v>
      </c>
      <c r="C66" s="7" cm="1">
        <f t="array" ref="C66">INDEX(GMWA!$A$2:$CR$60,MATCH(1,(GMWA!$CQ$2:$CQ$60=C$3)*(GMWA!$CP$2:$CP$60=C$4)*(GMWA!$CR$2:$CR$60=C$1),0),$A66-1966)</f>
        <v>1526761</v>
      </c>
      <c r="D66" s="7" cm="1">
        <f t="array" ref="D66">INDEX(GMWA!$A$2:$CR$60,MATCH(1,(GMWA!$CQ$2:$CQ$60=D$3)*(GMWA!$CP$2:$CP$60=D$4)*(GMWA!$CR$2:$CR$60=D$1),0),$A66-1966)</f>
        <v>30785.46</v>
      </c>
      <c r="E66" s="7" cm="1">
        <f t="array" ref="E66">INDEX(GMWA!$A$2:$CR$60,MATCH(1,(GMWA!$CQ$2:$CQ$60=E$3)*(GMWA!$CP$2:$CP$60=E$4)*(GMWA!$CR$2:$CR$60=E$1),0),$A66-1966)</f>
        <v>143.1712</v>
      </c>
      <c r="F66" s="7" cm="1">
        <f t="array" ref="F66">INDEX(GMWA!$A$2:$CR$60,MATCH(1,(GMWA!$CQ$2:$CQ$60=F$3)*(GMWA!$CP$2:$CP$60=F$4)*(GMWA!$CR$2:$CR$60=F$1),0),$A66-1966)</f>
        <v>448870.1</v>
      </c>
      <c r="G66" s="7" cm="1">
        <f t="array" ref="G66">INDEX(GMWA!$A$2:$CR$60,MATCH(1,(GMWA!$CQ$2:$CQ$60=G$3)*(GMWA!$CP$2:$CP$60=G$4)*(GMWA!$CR$2:$CR$60=G$1),0),$A66-1966)</f>
        <v>102674.7</v>
      </c>
      <c r="H66" s="7" cm="1">
        <f t="array" ref="H66">INDEX(GMWA!$A$2:$CR$60,MATCH(1,(GMWA!$CQ$2:$CQ$60=H$3)*(GMWA!$CP$2:$CP$60=H$4)*(GMWA!$CR$2:$CR$60=H$1),0),$A66-1966)</f>
        <v>523146.3</v>
      </c>
      <c r="I66" s="7" cm="1">
        <f t="array" ref="I66">INDEX(GMWA!$A$2:$CR$60,MATCH(1,(GMWA!$CQ$2:$CQ$60=I$3)*(GMWA!$CP$2:$CP$60=I$4)*(GMWA!$CR$2:$CR$60=I$1),0),$A66-1966)</f>
        <v>-39909.18</v>
      </c>
      <c r="J66" s="7" cm="1">
        <f t="array" ref="J66">INDEX(GMWA!$A$2:$CR$60,MATCH(1,(GMWA!$CQ$2:$CQ$60=J$3)*(GMWA!$CP$2:$CP$60=J$4)*(GMWA!$CR$2:$CR$60=J$1),0),$A66-1966)</f>
        <v>2244062</v>
      </c>
      <c r="K66" s="7" cm="1">
        <f t="array" ref="K66">INDEX(GMWA!$A$2:$CR$60,MATCH(1,(GMWA!$CQ$2:$CQ$60=K$3)*(GMWA!$CP$2:$CP$60=K$4)*(GMWA!$CR$2:$CR$60=K$1),0),$A66-1966)</f>
        <v>75706.83</v>
      </c>
      <c r="L66" s="7" cm="1">
        <f t="array" ref="L66">INDEX(GMWA!$A$2:$CR$60,MATCH(1,(GMWA!$CQ$2:$CQ$60=L$3)*(GMWA!$CP$2:$CP$60=L$4)*(GMWA!$CR$2:$CR$60=L$1),0),$A66-1966)</f>
        <v>1567362</v>
      </c>
      <c r="M66" s="7" cm="1">
        <f t="array" ref="M66">INDEX(GMWA!$A$2:$CR$60,MATCH(1,(GMWA!$CQ$2:$CQ$60=M$3)*(GMWA!$CP$2:$CP$60=M$4)*(GMWA!$CR$2:$CR$60=M$1),0),$A66-1966)</f>
        <v>55777.56</v>
      </c>
    </row>
    <row r="67" spans="1:13" x14ac:dyDescent="0.35">
      <c r="A67" s="7">
        <f t="shared" si="2"/>
        <v>2033</v>
      </c>
      <c r="B67" s="7" cm="1">
        <f t="array" ref="B67">INDEX(GMWA!$A$2:$CR$60,MATCH(1,(GMWA!$CQ$2:$CQ$60=B$3)*(GMWA!$CP$2:$CP$60=B$4)*(GMWA!$CR$2:$CR$60=B$1),0),$A67-1966)</f>
        <v>2515364</v>
      </c>
      <c r="C67" s="7" cm="1">
        <f t="array" ref="C67">INDEX(GMWA!$A$2:$CR$60,MATCH(1,(GMWA!$CQ$2:$CQ$60=C$3)*(GMWA!$CP$2:$CP$60=C$4)*(GMWA!$CR$2:$CR$60=C$1),0),$A67-1966)</f>
        <v>1579957</v>
      </c>
      <c r="D67" s="7" cm="1">
        <f t="array" ref="D67">INDEX(GMWA!$A$2:$CR$60,MATCH(1,(GMWA!$CQ$2:$CQ$60=D$3)*(GMWA!$CP$2:$CP$60=D$4)*(GMWA!$CR$2:$CR$60=D$1),0),$A67-1966)</f>
        <v>30957.39</v>
      </c>
      <c r="E67" s="7" cm="1">
        <f t="array" ref="E67">INDEX(GMWA!$A$2:$CR$60,MATCH(1,(GMWA!$CQ$2:$CQ$60=E$3)*(GMWA!$CP$2:$CP$60=E$4)*(GMWA!$CR$2:$CR$60=E$1),0),$A67-1966)</f>
        <v>146.0341</v>
      </c>
      <c r="F67" s="7" cm="1">
        <f t="array" ref="F67">INDEX(GMWA!$A$2:$CR$60,MATCH(1,(GMWA!$CQ$2:$CQ$60=F$3)*(GMWA!$CP$2:$CP$60=F$4)*(GMWA!$CR$2:$CR$60=F$1),0),$A67-1966)</f>
        <v>465069.3</v>
      </c>
      <c r="G67" s="7" cm="1">
        <f t="array" ref="G67">INDEX(GMWA!$A$2:$CR$60,MATCH(1,(GMWA!$CQ$2:$CQ$60=G$3)*(GMWA!$CP$2:$CP$60=G$4)*(GMWA!$CR$2:$CR$60=G$1),0),$A67-1966)</f>
        <v>106252.1</v>
      </c>
      <c r="H67" s="7" cm="1">
        <f t="array" ref="H67">INDEX(GMWA!$A$2:$CR$60,MATCH(1,(GMWA!$CQ$2:$CQ$60=H$3)*(GMWA!$CP$2:$CP$60=H$4)*(GMWA!$CR$2:$CR$60=H$1),0),$A67-1966)</f>
        <v>543595.4</v>
      </c>
      <c r="I67" s="7" cm="1">
        <f t="array" ref="I67">INDEX(GMWA!$A$2:$CR$60,MATCH(1,(GMWA!$CQ$2:$CQ$60=I$3)*(GMWA!$CP$2:$CP$60=I$4)*(GMWA!$CR$2:$CR$60=I$1),0),$A67-1966)</f>
        <v>-42775.22</v>
      </c>
      <c r="J67" s="7" cm="1">
        <f t="array" ref="J67">INDEX(GMWA!$A$2:$CR$60,MATCH(1,(GMWA!$CQ$2:$CQ$60=J$3)*(GMWA!$CP$2:$CP$60=J$4)*(GMWA!$CR$2:$CR$60=J$1),0),$A67-1966)</f>
        <v>2321842</v>
      </c>
      <c r="K67" s="7" cm="1">
        <f t="array" ref="K67">INDEX(GMWA!$A$2:$CR$60,MATCH(1,(GMWA!$CQ$2:$CQ$60=K$3)*(GMWA!$CP$2:$CP$60=K$4)*(GMWA!$CR$2:$CR$60=K$1),0),$A67-1966)</f>
        <v>78476.88</v>
      </c>
      <c r="L67" s="7" cm="1">
        <f t="array" ref="L67">INDEX(GMWA!$A$2:$CR$60,MATCH(1,(GMWA!$CQ$2:$CQ$60=L$3)*(GMWA!$CP$2:$CP$60=L$4)*(GMWA!$CR$2:$CR$60=L$1),0),$A67-1966)</f>
        <v>1589897</v>
      </c>
      <c r="M67" s="7" cm="1">
        <f t="array" ref="M67">INDEX(GMWA!$A$2:$CR$60,MATCH(1,(GMWA!$CQ$2:$CQ$60=M$3)*(GMWA!$CP$2:$CP$60=M$4)*(GMWA!$CR$2:$CR$60=M$1),0),$A67-1966)</f>
        <v>56580.959999999999</v>
      </c>
    </row>
    <row r="68" spans="1:13" x14ac:dyDescent="0.35">
      <c r="A68" s="7">
        <f t="shared" si="2"/>
        <v>2034</v>
      </c>
      <c r="B68" s="7" cm="1">
        <f t="array" ref="B68">INDEX(GMWA!$A$2:$CR$60,MATCH(1,(GMWA!$CQ$2:$CQ$60=B$3)*(GMWA!$CP$2:$CP$60=B$4)*(GMWA!$CR$2:$CR$60=B$1),0),$A68-1966)</f>
        <v>2601930</v>
      </c>
      <c r="C68" s="7" cm="1">
        <f t="array" ref="C68">INDEX(GMWA!$A$2:$CR$60,MATCH(1,(GMWA!$CQ$2:$CQ$60=C$3)*(GMWA!$CP$2:$CP$60=C$4)*(GMWA!$CR$2:$CR$60=C$1),0),$A68-1966)</f>
        <v>1634589</v>
      </c>
      <c r="D68" s="7" cm="1">
        <f t="array" ref="D68">INDEX(GMWA!$A$2:$CR$60,MATCH(1,(GMWA!$CQ$2:$CQ$60=D$3)*(GMWA!$CP$2:$CP$60=D$4)*(GMWA!$CR$2:$CR$60=D$1),0),$A68-1966)</f>
        <v>31103.54</v>
      </c>
      <c r="E68" s="7" cm="1">
        <f t="array" ref="E68">INDEX(GMWA!$A$2:$CR$60,MATCH(1,(GMWA!$CQ$2:$CQ$60=E$3)*(GMWA!$CP$2:$CP$60=E$4)*(GMWA!$CR$2:$CR$60=E$1),0),$A68-1966)</f>
        <v>148.95419999999999</v>
      </c>
      <c r="F68" s="7" cm="1">
        <f t="array" ref="F68">INDEX(GMWA!$A$2:$CR$60,MATCH(1,(GMWA!$CQ$2:$CQ$60=F$3)*(GMWA!$CP$2:$CP$60=F$4)*(GMWA!$CR$2:$CR$60=F$1),0),$A68-1966)</f>
        <v>481633.4</v>
      </c>
      <c r="G68" s="7" cm="1">
        <f t="array" ref="G68">INDEX(GMWA!$A$2:$CR$60,MATCH(1,(GMWA!$CQ$2:$CQ$60=G$3)*(GMWA!$CP$2:$CP$60=G$4)*(GMWA!$CR$2:$CR$60=G$1),0),$A68-1966)</f>
        <v>109926.1</v>
      </c>
      <c r="H68" s="7" cm="1">
        <f t="array" ref="H68">INDEX(GMWA!$A$2:$CR$60,MATCH(1,(GMWA!$CQ$2:$CQ$60=H$3)*(GMWA!$CP$2:$CP$60=H$4)*(GMWA!$CR$2:$CR$60=H$1),0),$A68-1966)</f>
        <v>564211.80000000005</v>
      </c>
      <c r="I68" s="7" cm="1">
        <f t="array" ref="I68">INDEX(GMWA!$A$2:$CR$60,MATCH(1,(GMWA!$CQ$2:$CQ$60=I$3)*(GMWA!$CP$2:$CP$60=I$4)*(GMWA!$CR$2:$CR$60=I$1),0),$A68-1966)</f>
        <v>-46075.94</v>
      </c>
      <c r="J68" s="7" cm="1">
        <f t="array" ref="J68">INDEX(GMWA!$A$2:$CR$60,MATCH(1,(GMWA!$CQ$2:$CQ$60=J$3)*(GMWA!$CP$2:$CP$60=J$4)*(GMWA!$CR$2:$CR$60=J$1),0),$A68-1966)</f>
        <v>2401627</v>
      </c>
      <c r="K68" s="7" cm="1">
        <f t="array" ref="K68">INDEX(GMWA!$A$2:$CR$60,MATCH(1,(GMWA!$CQ$2:$CQ$60=K$3)*(GMWA!$CP$2:$CP$60=K$4)*(GMWA!$CR$2:$CR$60=K$1),0),$A68-1966)</f>
        <v>81319.66</v>
      </c>
      <c r="L68" s="7" cm="1">
        <f t="array" ref="L68">INDEX(GMWA!$A$2:$CR$60,MATCH(1,(GMWA!$CQ$2:$CQ$60=L$3)*(GMWA!$CP$2:$CP$60=L$4)*(GMWA!$CR$2:$CR$60=L$1),0),$A68-1966)</f>
        <v>1612291</v>
      </c>
      <c r="M68" s="7" cm="1">
        <f t="array" ref="M68">INDEX(GMWA!$A$2:$CR$60,MATCH(1,(GMWA!$CQ$2:$CQ$60=M$3)*(GMWA!$CP$2:$CP$60=M$4)*(GMWA!$CR$2:$CR$60=M$1),0),$A68-1966)</f>
        <v>57380.19</v>
      </c>
    </row>
    <row r="69" spans="1:13" x14ac:dyDescent="0.35">
      <c r="A69" s="7">
        <f t="shared" si="2"/>
        <v>2035</v>
      </c>
      <c r="B69" s="7" cm="1">
        <f t="array" ref="B69">INDEX(GMWA!$A$2:$CR$60,MATCH(1,(GMWA!$CQ$2:$CQ$60=B$3)*(GMWA!$CP$2:$CP$60=B$4)*(GMWA!$CR$2:$CR$60=B$1),0),$A69-1966)</f>
        <v>2691077</v>
      </c>
      <c r="C69" s="7" cm="1">
        <f t="array" ref="C69">INDEX(GMWA!$A$2:$CR$60,MATCH(1,(GMWA!$CQ$2:$CQ$60=C$3)*(GMWA!$CP$2:$CP$60=C$4)*(GMWA!$CR$2:$CR$60=C$1),0),$A69-1966)</f>
        <v>1691191</v>
      </c>
      <c r="D69" s="7" cm="1">
        <f t="array" ref="D69">INDEX(GMWA!$A$2:$CR$60,MATCH(1,(GMWA!$CQ$2:$CQ$60=D$3)*(GMWA!$CP$2:$CP$60=D$4)*(GMWA!$CR$2:$CR$60=D$1),0),$A69-1966)</f>
        <v>31233.53</v>
      </c>
      <c r="E69" s="7" cm="1">
        <f t="array" ref="E69">INDEX(GMWA!$A$2:$CR$60,MATCH(1,(GMWA!$CQ$2:$CQ$60=E$3)*(GMWA!$CP$2:$CP$60=E$4)*(GMWA!$CR$2:$CR$60=E$1),0),$A69-1966)</f>
        <v>151.93279999999999</v>
      </c>
      <c r="F69" s="7" cm="1">
        <f t="array" ref="F69">INDEX(GMWA!$A$2:$CR$60,MATCH(1,(GMWA!$CQ$2:$CQ$60=F$3)*(GMWA!$CP$2:$CP$60=F$4)*(GMWA!$CR$2:$CR$60=F$1),0),$A69-1966)</f>
        <v>498745.4</v>
      </c>
      <c r="G69" s="7" cm="1">
        <f t="array" ref="G69">INDEX(GMWA!$A$2:$CR$60,MATCH(1,(GMWA!$CQ$2:$CQ$60=G$3)*(GMWA!$CP$2:$CP$60=G$4)*(GMWA!$CR$2:$CR$60=G$1),0),$A69-1966)</f>
        <v>113732.6</v>
      </c>
      <c r="H69" s="7" cm="1">
        <f t="array" ref="H69">INDEX(GMWA!$A$2:$CR$60,MATCH(1,(GMWA!$CQ$2:$CQ$60=H$3)*(GMWA!$CP$2:$CP$60=H$4)*(GMWA!$CR$2:$CR$60=H$1),0),$A69-1966)</f>
        <v>585218.9</v>
      </c>
      <c r="I69" s="7" cm="1">
        <f t="array" ref="I69">INDEX(GMWA!$A$2:$CR$60,MATCH(1,(GMWA!$CQ$2:$CQ$60=I$3)*(GMWA!$CP$2:$CP$60=I$4)*(GMWA!$CR$2:$CR$60=I$1),0),$A69-1966)</f>
        <v>-49494.83</v>
      </c>
      <c r="J69" s="7" cm="1">
        <f t="array" ref="J69">INDEX(GMWA!$A$2:$CR$60,MATCH(1,(GMWA!$CQ$2:$CQ$60=J$3)*(GMWA!$CP$2:$CP$60=J$4)*(GMWA!$CR$2:$CR$60=J$1),0),$A69-1966)</f>
        <v>2484157</v>
      </c>
      <c r="K69" s="7" cm="1">
        <f t="array" ref="K69">INDEX(GMWA!$A$2:$CR$60,MATCH(1,(GMWA!$CQ$2:$CQ$60=K$3)*(GMWA!$CP$2:$CP$60=K$4)*(GMWA!$CR$2:$CR$60=K$1),0),$A69-1966)</f>
        <v>84260.35</v>
      </c>
      <c r="L69" s="7" cm="1">
        <f t="array" ref="L69">INDEX(GMWA!$A$2:$CR$60,MATCH(1,(GMWA!$CQ$2:$CQ$60=L$3)*(GMWA!$CP$2:$CP$60=L$4)*(GMWA!$CR$2:$CR$60=L$1),0),$A69-1966)</f>
        <v>1635001</v>
      </c>
      <c r="M69" s="7" cm="1">
        <f t="array" ref="M69">INDEX(GMWA!$A$2:$CR$60,MATCH(1,(GMWA!$CQ$2:$CQ$60=M$3)*(GMWA!$CP$2:$CP$60=M$4)*(GMWA!$CR$2:$CR$60=M$1),0),$A69-1966)</f>
        <v>58190.74</v>
      </c>
    </row>
    <row r="70" spans="1:13" x14ac:dyDescent="0.35">
      <c r="A70" s="7">
        <f t="shared" si="2"/>
        <v>2036</v>
      </c>
      <c r="B70" s="7" cm="1">
        <f t="array" ref="B70">INDEX(GMWA!$A$2:$CR$60,MATCH(1,(GMWA!$CQ$2:$CQ$60=B$3)*(GMWA!$CP$2:$CP$60=B$4)*(GMWA!$CR$2:$CR$60=B$1),0),$A70-1966)</f>
        <v>2784206</v>
      </c>
      <c r="C70" s="7" cm="1">
        <f t="array" ref="C70">INDEX(GMWA!$A$2:$CR$60,MATCH(1,(GMWA!$CQ$2:$CQ$60=C$3)*(GMWA!$CP$2:$CP$60=C$4)*(GMWA!$CR$2:$CR$60=C$1),0),$A70-1966)</f>
        <v>1750507</v>
      </c>
      <c r="D70" s="7" cm="1">
        <f t="array" ref="D70">INDEX(GMWA!$A$2:$CR$60,MATCH(1,(GMWA!$CQ$2:$CQ$60=D$3)*(GMWA!$CP$2:$CP$60=D$4)*(GMWA!$CR$2:$CR$60=D$1),0),$A70-1966)</f>
        <v>31364.49</v>
      </c>
      <c r="E70" s="7" cm="1">
        <f t="array" ref="E70">INDEX(GMWA!$A$2:$CR$60,MATCH(1,(GMWA!$CQ$2:$CQ$60=E$3)*(GMWA!$CP$2:$CP$60=E$4)*(GMWA!$CR$2:$CR$60=E$1),0),$A70-1966)</f>
        <v>154.9708</v>
      </c>
      <c r="F70" s="7" cm="1">
        <f t="array" ref="F70">INDEX(GMWA!$A$2:$CR$60,MATCH(1,(GMWA!$CQ$2:$CQ$60=F$3)*(GMWA!$CP$2:$CP$60=F$4)*(GMWA!$CR$2:$CR$60=F$1),0),$A70-1966)</f>
        <v>516658.8</v>
      </c>
      <c r="G70" s="7" cm="1">
        <f t="array" ref="G70">INDEX(GMWA!$A$2:$CR$60,MATCH(1,(GMWA!$CQ$2:$CQ$60=G$3)*(GMWA!$CP$2:$CP$60=G$4)*(GMWA!$CR$2:$CR$60=G$1),0),$A70-1966)</f>
        <v>117721.60000000001</v>
      </c>
      <c r="H70" s="7" cm="1">
        <f t="array" ref="H70">INDEX(GMWA!$A$2:$CR$60,MATCH(1,(GMWA!$CQ$2:$CQ$60=H$3)*(GMWA!$CP$2:$CP$60=H$4)*(GMWA!$CR$2:$CR$60=H$1),0),$A70-1966)</f>
        <v>607588</v>
      </c>
      <c r="I70" s="7" cm="1">
        <f t="array" ref="I70">INDEX(GMWA!$A$2:$CR$60,MATCH(1,(GMWA!$CQ$2:$CQ$60=I$3)*(GMWA!$CP$2:$CP$60=I$4)*(GMWA!$CR$2:$CR$60=I$1),0),$A70-1966)</f>
        <v>-52617.87</v>
      </c>
      <c r="J70" s="7" cm="1">
        <f t="array" ref="J70">INDEX(GMWA!$A$2:$CR$60,MATCH(1,(GMWA!$CQ$2:$CQ$60=J$3)*(GMWA!$CP$2:$CP$60=J$4)*(GMWA!$CR$2:$CR$60=J$1),0),$A70-1966)</f>
        <v>2570556</v>
      </c>
      <c r="K70" s="7" cm="1">
        <f t="array" ref="K70">INDEX(GMWA!$A$2:$CR$60,MATCH(1,(GMWA!$CQ$2:$CQ$60=K$3)*(GMWA!$CP$2:$CP$60=K$4)*(GMWA!$CR$2:$CR$60=K$1),0),$A70-1966)</f>
        <v>87339.01</v>
      </c>
      <c r="L70" s="7" cm="1">
        <f t="array" ref="L70">INDEX(GMWA!$A$2:$CR$60,MATCH(1,(GMWA!$CQ$2:$CQ$60=L$3)*(GMWA!$CP$2:$CP$60=L$4)*(GMWA!$CR$2:$CR$60=L$1),0),$A70-1966)</f>
        <v>1658698</v>
      </c>
      <c r="M70" s="7" cm="1">
        <f t="array" ref="M70">INDEX(GMWA!$A$2:$CR$60,MATCH(1,(GMWA!$CQ$2:$CQ$60=M$3)*(GMWA!$CP$2:$CP$60=M$4)*(GMWA!$CR$2:$CR$60=M$1),0),$A70-1966)</f>
        <v>59036.480000000003</v>
      </c>
    </row>
    <row r="71" spans="1:13" x14ac:dyDescent="0.35">
      <c r="A71" s="7">
        <f t="shared" si="2"/>
        <v>2037</v>
      </c>
      <c r="B71" s="7" cm="1">
        <f t="array" ref="B71">INDEX(GMWA!$A$2:$CR$60,MATCH(1,(GMWA!$CQ$2:$CQ$60=B$3)*(GMWA!$CP$2:$CP$60=B$4)*(GMWA!$CR$2:$CR$60=B$1),0),$A71-1966)</f>
        <v>2881756</v>
      </c>
      <c r="C71" s="7" cm="1">
        <f t="array" ref="C71">INDEX(GMWA!$A$2:$CR$60,MATCH(1,(GMWA!$CQ$2:$CQ$60=C$3)*(GMWA!$CP$2:$CP$60=C$4)*(GMWA!$CR$2:$CR$60=C$1),0),$A71-1966)</f>
        <v>1812465</v>
      </c>
      <c r="D71" s="7" cm="1">
        <f t="array" ref="D71">INDEX(GMWA!$A$2:$CR$60,MATCH(1,(GMWA!$CQ$2:$CQ$60=D$3)*(GMWA!$CP$2:$CP$60=D$4)*(GMWA!$CR$2:$CR$60=D$1),0),$A71-1966)</f>
        <v>31495.47</v>
      </c>
      <c r="E71" s="7" cm="1">
        <f t="array" ref="E71">INDEX(GMWA!$A$2:$CR$60,MATCH(1,(GMWA!$CQ$2:$CQ$60=E$3)*(GMWA!$CP$2:$CP$60=E$4)*(GMWA!$CR$2:$CR$60=E$1),0),$A71-1966)</f>
        <v>158.06960000000001</v>
      </c>
      <c r="F71" s="7" cm="1">
        <f t="array" ref="F71">INDEX(GMWA!$A$2:$CR$60,MATCH(1,(GMWA!$CQ$2:$CQ$60=F$3)*(GMWA!$CP$2:$CP$60=F$4)*(GMWA!$CR$2:$CR$60=F$1),0),$A71-1966)</f>
        <v>535482.30000000005</v>
      </c>
      <c r="G71" s="7" cm="1">
        <f t="array" ref="G71">INDEX(GMWA!$A$2:$CR$60,MATCH(1,(GMWA!$CQ$2:$CQ$60=G$3)*(GMWA!$CP$2:$CP$60=G$4)*(GMWA!$CR$2:$CR$60=G$1),0),$A71-1966)</f>
        <v>121888.2</v>
      </c>
      <c r="H71" s="7" cm="1">
        <f t="array" ref="H71">INDEX(GMWA!$A$2:$CR$60,MATCH(1,(GMWA!$CQ$2:$CQ$60=H$3)*(GMWA!$CP$2:$CP$60=H$4)*(GMWA!$CR$2:$CR$60=H$1),0),$A71-1966)</f>
        <v>630222.80000000005</v>
      </c>
      <c r="I71" s="7" cm="1">
        <f t="array" ref="I71">INDEX(GMWA!$A$2:$CR$60,MATCH(1,(GMWA!$CQ$2:$CQ$60=I$3)*(GMWA!$CP$2:$CP$60=I$4)*(GMWA!$CR$2:$CR$60=I$1),0),$A71-1966)</f>
        <v>-55349.17</v>
      </c>
      <c r="J71" s="7" cm="1">
        <f t="array" ref="J71">INDEX(GMWA!$A$2:$CR$60,MATCH(1,(GMWA!$CQ$2:$CQ$60=J$3)*(GMWA!$CP$2:$CP$60=J$4)*(GMWA!$CR$2:$CR$60=J$1),0),$A71-1966)</f>
        <v>2660534</v>
      </c>
      <c r="K71" s="7" cm="1">
        <f t="array" ref="K71">INDEX(GMWA!$A$2:$CR$60,MATCH(1,(GMWA!$CQ$2:$CQ$60=K$3)*(GMWA!$CP$2:$CP$60=K$4)*(GMWA!$CR$2:$CR$60=K$1),0),$A71-1966)</f>
        <v>90545.27</v>
      </c>
      <c r="L71" s="7" cm="1">
        <f t="array" ref="L71">INDEX(GMWA!$A$2:$CR$60,MATCH(1,(GMWA!$CQ$2:$CQ$60=L$3)*(GMWA!$CP$2:$CP$60=L$4)*(GMWA!$CR$2:$CR$60=L$1),0),$A71-1966)</f>
        <v>1683102</v>
      </c>
      <c r="M71" s="7" cm="1">
        <f t="array" ref="M71">INDEX(GMWA!$A$2:$CR$60,MATCH(1,(GMWA!$CQ$2:$CQ$60=M$3)*(GMWA!$CP$2:$CP$60=M$4)*(GMWA!$CR$2:$CR$60=M$1),0),$A71-1966)</f>
        <v>59907.46</v>
      </c>
    </row>
    <row r="72" spans="1:13" x14ac:dyDescent="0.35">
      <c r="A72" s="7">
        <f t="shared" si="2"/>
        <v>2038</v>
      </c>
      <c r="B72" s="7" cm="1">
        <f t="array" ref="B72">INDEX(GMWA!$A$2:$CR$60,MATCH(1,(GMWA!$CQ$2:$CQ$60=B$3)*(GMWA!$CP$2:$CP$60=B$4)*(GMWA!$CR$2:$CR$60=B$1),0),$A72-1966)</f>
        <v>2983368</v>
      </c>
      <c r="C72" s="7" cm="1">
        <f t="array" ref="C72">INDEX(GMWA!$A$2:$CR$60,MATCH(1,(GMWA!$CQ$2:$CQ$60=C$3)*(GMWA!$CP$2:$CP$60=C$4)*(GMWA!$CR$2:$CR$60=C$1),0),$A72-1966)</f>
        <v>1877024</v>
      </c>
      <c r="D72" s="7" cm="1">
        <f t="array" ref="D72">INDEX(GMWA!$A$2:$CR$60,MATCH(1,(GMWA!$CQ$2:$CQ$60=D$3)*(GMWA!$CP$2:$CP$60=D$4)*(GMWA!$CR$2:$CR$60=D$1),0),$A72-1966)</f>
        <v>31626.44</v>
      </c>
      <c r="E72" s="7" cm="1">
        <f t="array" ref="E72">INDEX(GMWA!$A$2:$CR$60,MATCH(1,(GMWA!$CQ$2:$CQ$60=E$3)*(GMWA!$CP$2:$CP$60=E$4)*(GMWA!$CR$2:$CR$60=E$1),0),$A72-1966)</f>
        <v>161.23050000000001</v>
      </c>
      <c r="F72" s="7" cm="1">
        <f t="array" ref="F72">INDEX(GMWA!$A$2:$CR$60,MATCH(1,(GMWA!$CQ$2:$CQ$60=F$3)*(GMWA!$CP$2:$CP$60=F$4)*(GMWA!$CR$2:$CR$60=F$1),0),$A72-1966)</f>
        <v>555126.1</v>
      </c>
      <c r="G72" s="7" cm="1">
        <f t="array" ref="G72">INDEX(GMWA!$A$2:$CR$60,MATCH(1,(GMWA!$CQ$2:$CQ$60=G$3)*(GMWA!$CP$2:$CP$60=G$4)*(GMWA!$CR$2:$CR$60=G$1),0),$A72-1966)</f>
        <v>126229.9</v>
      </c>
      <c r="H72" s="7" cm="1">
        <f t="array" ref="H72">INDEX(GMWA!$A$2:$CR$60,MATCH(1,(GMWA!$CQ$2:$CQ$60=H$3)*(GMWA!$CP$2:$CP$60=H$4)*(GMWA!$CR$2:$CR$60=H$1),0),$A72-1966)</f>
        <v>653125.80000000005</v>
      </c>
      <c r="I72" s="7" cm="1">
        <f t="array" ref="I72">INDEX(GMWA!$A$2:$CR$60,MATCH(1,(GMWA!$CQ$2:$CQ$60=I$3)*(GMWA!$CP$2:$CP$60=I$4)*(GMWA!$CR$2:$CR$60=I$1),0),$A72-1966)</f>
        <v>-57690.64</v>
      </c>
      <c r="J72" s="7" cm="1">
        <f t="array" ref="J72">INDEX(GMWA!$A$2:$CR$60,MATCH(1,(GMWA!$CQ$2:$CQ$60=J$3)*(GMWA!$CP$2:$CP$60=J$4)*(GMWA!$CR$2:$CR$60=J$1),0),$A72-1966)</f>
        <v>2754498</v>
      </c>
      <c r="K72" s="7" cm="1">
        <f t="array" ref="K72">INDEX(GMWA!$A$2:$CR$60,MATCH(1,(GMWA!$CQ$2:$CQ$60=K$3)*(GMWA!$CP$2:$CP$60=K$4)*(GMWA!$CR$2:$CR$60=K$1),0),$A72-1966)</f>
        <v>93893.69</v>
      </c>
      <c r="L72" s="7" cm="1">
        <f t="array" ref="L72">INDEX(GMWA!$A$2:$CR$60,MATCH(1,(GMWA!$CQ$2:$CQ$60=L$3)*(GMWA!$CP$2:$CP$60=L$4)*(GMWA!$CR$2:$CR$60=L$1),0),$A72-1966)</f>
        <v>1708383</v>
      </c>
      <c r="M72" s="7" cm="1">
        <f t="array" ref="M72">INDEX(GMWA!$A$2:$CR$60,MATCH(1,(GMWA!$CQ$2:$CQ$60=M$3)*(GMWA!$CP$2:$CP$60=M$4)*(GMWA!$CR$2:$CR$60=M$1),0),$A72-1966)</f>
        <v>60809.71</v>
      </c>
    </row>
    <row r="73" spans="1:13" x14ac:dyDescent="0.35">
      <c r="A73" s="7">
        <f t="shared" si="2"/>
        <v>2039</v>
      </c>
      <c r="B73" s="7" cm="1">
        <f t="array" ref="B73">INDEX(GMWA!$A$2:$CR$60,MATCH(1,(GMWA!$CQ$2:$CQ$60=B$3)*(GMWA!$CP$2:$CP$60=B$4)*(GMWA!$CR$2:$CR$60=B$1),0),$A73-1966)</f>
        <v>3089508</v>
      </c>
      <c r="C73" s="7" cm="1">
        <f t="array" ref="C73">INDEX(GMWA!$A$2:$CR$60,MATCH(1,(GMWA!$CQ$2:$CQ$60=C$3)*(GMWA!$CP$2:$CP$60=C$4)*(GMWA!$CR$2:$CR$60=C$1),0),$A73-1966)</f>
        <v>1944484</v>
      </c>
      <c r="D73" s="7" cm="1">
        <f t="array" ref="D73">INDEX(GMWA!$A$2:$CR$60,MATCH(1,(GMWA!$CQ$2:$CQ$60=D$3)*(GMWA!$CP$2:$CP$60=D$4)*(GMWA!$CR$2:$CR$60=D$1),0),$A73-1966)</f>
        <v>31757.41</v>
      </c>
      <c r="E73" s="7" cm="1">
        <f t="array" ref="E73">INDEX(GMWA!$A$2:$CR$60,MATCH(1,(GMWA!$CQ$2:$CQ$60=E$3)*(GMWA!$CP$2:$CP$60=E$4)*(GMWA!$CR$2:$CR$60=E$1),0),$A73-1966)</f>
        <v>164.4545</v>
      </c>
      <c r="F73" s="7" cm="1">
        <f t="array" ref="F73">INDEX(GMWA!$A$2:$CR$60,MATCH(1,(GMWA!$CQ$2:$CQ$60=F$3)*(GMWA!$CP$2:$CP$60=F$4)*(GMWA!$CR$2:$CR$60=F$1),0),$A73-1966)</f>
        <v>575692.80000000005</v>
      </c>
      <c r="G73" s="7" cm="1">
        <f t="array" ref="G73">INDEX(GMWA!$A$2:$CR$60,MATCH(1,(GMWA!$CQ$2:$CQ$60=G$3)*(GMWA!$CP$2:$CP$60=G$4)*(GMWA!$CR$2:$CR$60=G$1),0),$A73-1966)</f>
        <v>130766.5</v>
      </c>
      <c r="H73" s="7" cm="1">
        <f t="array" ref="H73">INDEX(GMWA!$A$2:$CR$60,MATCH(1,(GMWA!$CQ$2:$CQ$60=H$3)*(GMWA!$CP$2:$CP$60=H$4)*(GMWA!$CR$2:$CR$60=H$1),0),$A73-1966)</f>
        <v>676445.4</v>
      </c>
      <c r="I73" s="7" cm="1">
        <f t="array" ref="I73">INDEX(GMWA!$A$2:$CR$60,MATCH(1,(GMWA!$CQ$2:$CQ$60=I$3)*(GMWA!$CP$2:$CP$60=I$4)*(GMWA!$CR$2:$CR$60=I$1),0),$A73-1966)</f>
        <v>-59667.97</v>
      </c>
      <c r="J73" s="7" cm="1">
        <f t="array" ref="J73">INDEX(GMWA!$A$2:$CR$60,MATCH(1,(GMWA!$CQ$2:$CQ$60=J$3)*(GMWA!$CP$2:$CP$60=J$4)*(GMWA!$CR$2:$CR$60=J$1),0),$A73-1966)</f>
        <v>2852438</v>
      </c>
      <c r="K73" s="7" cm="1">
        <f t="array" ref="K73">INDEX(GMWA!$A$2:$CR$60,MATCH(1,(GMWA!$CQ$2:$CQ$60=K$3)*(GMWA!$CP$2:$CP$60=K$4)*(GMWA!$CR$2:$CR$60=K$1),0),$A73-1966)</f>
        <v>97383.13</v>
      </c>
      <c r="L73" s="7" cm="1">
        <f t="array" ref="L73">INDEX(GMWA!$A$2:$CR$60,MATCH(1,(GMWA!$CQ$2:$CQ$60=L$3)*(GMWA!$CP$2:$CP$60=L$4)*(GMWA!$CR$2:$CR$60=L$1),0),$A73-1966)</f>
        <v>1734444</v>
      </c>
      <c r="M73" s="7" cm="1">
        <f t="array" ref="M73">INDEX(GMWA!$A$2:$CR$60,MATCH(1,(GMWA!$CQ$2:$CQ$60=M$3)*(GMWA!$CP$2:$CP$60=M$4)*(GMWA!$CR$2:$CR$60=M$1),0),$A73-1966)</f>
        <v>61739.360000000001</v>
      </c>
    </row>
    <row r="74" spans="1:13" x14ac:dyDescent="0.35">
      <c r="A74" s="7">
        <f t="shared" si="2"/>
        <v>2040</v>
      </c>
      <c r="B74" s="7" cm="1">
        <f t="array" ref="B74">INDEX(GMWA!$A$2:$CR$60,MATCH(1,(GMWA!$CQ$2:$CQ$60=B$3)*(GMWA!$CP$2:$CP$60=B$4)*(GMWA!$CR$2:$CR$60=B$1),0),$A74-1966)</f>
        <v>3200098</v>
      </c>
      <c r="C74" s="7" cm="1">
        <f t="array" ref="C74">INDEX(GMWA!$A$2:$CR$60,MATCH(1,(GMWA!$CQ$2:$CQ$60=C$3)*(GMWA!$CP$2:$CP$60=C$4)*(GMWA!$CR$2:$CR$60=C$1),0),$A74-1966)</f>
        <v>2014590</v>
      </c>
      <c r="D74" s="7" cm="1">
        <f t="array" ref="D74">INDEX(GMWA!$A$2:$CR$60,MATCH(1,(GMWA!$CQ$2:$CQ$60=D$3)*(GMWA!$CP$2:$CP$60=D$4)*(GMWA!$CR$2:$CR$60=D$1),0),$A74-1966)</f>
        <v>31888.38</v>
      </c>
      <c r="E74" s="7" cm="1">
        <f t="array" ref="E74">INDEX(GMWA!$A$2:$CR$60,MATCH(1,(GMWA!$CQ$2:$CQ$60=E$3)*(GMWA!$CP$2:$CP$60=E$4)*(GMWA!$CR$2:$CR$60=E$1),0),$A74-1966)</f>
        <v>167.74289999999999</v>
      </c>
      <c r="F74" s="7" cm="1">
        <f t="array" ref="F74">INDEX(GMWA!$A$2:$CR$60,MATCH(1,(GMWA!$CQ$2:$CQ$60=F$3)*(GMWA!$CP$2:$CP$60=F$4)*(GMWA!$CR$2:$CR$60=F$1),0),$A74-1966)</f>
        <v>597161.80000000005</v>
      </c>
      <c r="G74" s="7" cm="1">
        <f t="array" ref="G74">INDEX(GMWA!$A$2:$CR$60,MATCH(1,(GMWA!$CQ$2:$CQ$60=G$3)*(GMWA!$CP$2:$CP$60=G$4)*(GMWA!$CR$2:$CR$60=G$1),0),$A74-1966)</f>
        <v>135481.20000000001</v>
      </c>
      <c r="H74" s="7" cm="1">
        <f t="array" ref="H74">INDEX(GMWA!$A$2:$CR$60,MATCH(1,(GMWA!$CQ$2:$CQ$60=H$3)*(GMWA!$CP$2:$CP$60=H$4)*(GMWA!$CR$2:$CR$60=H$1),0),$A74-1966)</f>
        <v>700662.3</v>
      </c>
      <c r="I74" s="7" cm="1">
        <f t="array" ref="I74">INDEX(GMWA!$A$2:$CR$60,MATCH(1,(GMWA!$CQ$2:$CQ$60=I$3)*(GMWA!$CP$2:$CP$60=I$4)*(GMWA!$CR$2:$CR$60=I$1),0),$A74-1966)</f>
        <v>-61701.07</v>
      </c>
      <c r="J74" s="7" cm="1">
        <f t="array" ref="J74">INDEX(GMWA!$A$2:$CR$60,MATCH(1,(GMWA!$CQ$2:$CQ$60=J$3)*(GMWA!$CP$2:$CP$60=J$4)*(GMWA!$CR$2:$CR$60=J$1),0),$A74-1966)</f>
        <v>2954604</v>
      </c>
      <c r="K74" s="7" cm="1">
        <f t="array" ref="K74">INDEX(GMWA!$A$2:$CR$60,MATCH(1,(GMWA!$CQ$2:$CQ$60=K$3)*(GMWA!$CP$2:$CP$60=K$4)*(GMWA!$CR$2:$CR$60=K$1),0),$A74-1966)</f>
        <v>101012.5</v>
      </c>
      <c r="L74" s="7" cm="1">
        <f t="array" ref="L74">INDEX(GMWA!$A$2:$CR$60,MATCH(1,(GMWA!$CQ$2:$CQ$60=L$3)*(GMWA!$CP$2:$CP$60=L$4)*(GMWA!$CR$2:$CR$60=L$1),0),$A74-1966)</f>
        <v>1761346</v>
      </c>
      <c r="M74" s="7" cm="1">
        <f t="array" ref="M74">INDEX(GMWA!$A$2:$CR$60,MATCH(1,(GMWA!$CQ$2:$CQ$60=M$3)*(GMWA!$CP$2:$CP$60=M$4)*(GMWA!$CR$2:$CR$60=M$1),0),$A74-1966)</f>
        <v>62692.59</v>
      </c>
    </row>
    <row r="75" spans="1:13" x14ac:dyDescent="0.35">
      <c r="A75" s="7">
        <f t="shared" si="2"/>
        <v>2041</v>
      </c>
      <c r="B75" s="7" cm="1">
        <f t="array" ref="B75">INDEX(GMWA!$A$2:$CR$60,MATCH(1,(GMWA!$CQ$2:$CQ$60=B$3)*(GMWA!$CP$2:$CP$60=B$4)*(GMWA!$CR$2:$CR$60=B$1),0),$A75-1966)</f>
        <v>3314745</v>
      </c>
      <c r="C75" s="7" cm="1">
        <f t="array" ref="C75">INDEX(GMWA!$A$2:$CR$60,MATCH(1,(GMWA!$CQ$2:$CQ$60=C$3)*(GMWA!$CP$2:$CP$60=C$4)*(GMWA!$CR$2:$CR$60=C$1),0),$A75-1966)</f>
        <v>2086814</v>
      </c>
      <c r="D75" s="7" cm="1">
        <f t="array" ref="D75">INDEX(GMWA!$A$2:$CR$60,MATCH(1,(GMWA!$CQ$2:$CQ$60=D$3)*(GMWA!$CP$2:$CP$60=D$4)*(GMWA!$CR$2:$CR$60=D$1),0),$A75-1966)</f>
        <v>32011.35</v>
      </c>
      <c r="E75" s="7" cm="1">
        <f t="array" ref="E75">INDEX(GMWA!$A$2:$CR$60,MATCH(1,(GMWA!$CQ$2:$CQ$60=E$3)*(GMWA!$CP$2:$CP$60=E$4)*(GMWA!$CR$2:$CR$60=E$1),0),$A75-1966)</f>
        <v>171.09710000000001</v>
      </c>
      <c r="F75" s="7" cm="1">
        <f t="array" ref="F75">INDEX(GMWA!$A$2:$CR$60,MATCH(1,(GMWA!$CQ$2:$CQ$60=F$3)*(GMWA!$CP$2:$CP$60=F$4)*(GMWA!$CR$2:$CR$60=F$1),0),$A75-1966)</f>
        <v>619477.6</v>
      </c>
      <c r="G75" s="7" cm="1">
        <f t="array" ref="G75">INDEX(GMWA!$A$2:$CR$60,MATCH(1,(GMWA!$CQ$2:$CQ$60=G$3)*(GMWA!$CP$2:$CP$60=G$4)*(GMWA!$CR$2:$CR$60=G$1),0),$A75-1966)</f>
        <v>140338.20000000001</v>
      </c>
      <c r="H75" s="7" cm="1">
        <f t="array" ref="H75">INDEX(GMWA!$A$2:$CR$60,MATCH(1,(GMWA!$CQ$2:$CQ$60=H$3)*(GMWA!$CP$2:$CP$60=H$4)*(GMWA!$CR$2:$CR$60=H$1),0),$A75-1966)</f>
        <v>725358</v>
      </c>
      <c r="I75" s="7" cm="1">
        <f t="array" ref="I75">INDEX(GMWA!$A$2:$CR$60,MATCH(1,(GMWA!$CQ$2:$CQ$60=I$3)*(GMWA!$CP$2:$CP$60=I$4)*(GMWA!$CR$2:$CR$60=I$1),0),$A75-1966)</f>
        <v>-64611.51</v>
      </c>
      <c r="J75" s="7" cm="1">
        <f t="array" ref="J75">INDEX(GMWA!$A$2:$CR$60,MATCH(1,(GMWA!$CQ$2:$CQ$60=J$3)*(GMWA!$CP$2:$CP$60=J$4)*(GMWA!$CR$2:$CR$60=J$1),0),$A75-1966)</f>
        <v>3060075</v>
      </c>
      <c r="K75" s="7" cm="1">
        <f t="array" ref="K75">INDEX(GMWA!$A$2:$CR$60,MATCH(1,(GMWA!$CQ$2:$CQ$60=K$3)*(GMWA!$CP$2:$CP$60=K$4)*(GMWA!$CR$2:$CR$60=K$1),0),$A75-1966)</f>
        <v>104764.4</v>
      </c>
      <c r="L75" s="7" cm="1">
        <f t="array" ref="L75">INDEX(GMWA!$A$2:$CR$60,MATCH(1,(GMWA!$CQ$2:$CQ$60=L$3)*(GMWA!$CP$2:$CP$60=L$4)*(GMWA!$CR$2:$CR$60=L$1),0),$A75-1966)</f>
        <v>1788459</v>
      </c>
      <c r="M75" s="7" cm="1">
        <f t="array" ref="M75">INDEX(GMWA!$A$2:$CR$60,MATCH(1,(GMWA!$CQ$2:$CQ$60=M$3)*(GMWA!$CP$2:$CP$60=M$4)*(GMWA!$CR$2:$CR$60=M$1),0),$A75-1966)</f>
        <v>63656.38</v>
      </c>
    </row>
    <row r="76" spans="1:13" x14ac:dyDescent="0.35">
      <c r="A76" s="7">
        <f t="shared" si="2"/>
        <v>2042</v>
      </c>
      <c r="B76" s="7" cm="1">
        <f t="array" ref="B76">INDEX(GMWA!$A$2:$CR$60,MATCH(1,(GMWA!$CQ$2:$CQ$60=B$3)*(GMWA!$CP$2:$CP$60=B$4)*(GMWA!$CR$2:$CR$60=B$1),0),$A76-1966)</f>
        <v>3432759</v>
      </c>
      <c r="C76" s="7" cm="1">
        <f t="array" ref="C76">INDEX(GMWA!$A$2:$CR$60,MATCH(1,(GMWA!$CQ$2:$CQ$60=C$3)*(GMWA!$CP$2:$CP$60=C$4)*(GMWA!$CR$2:$CR$60=C$1),0),$A76-1966)</f>
        <v>2161382</v>
      </c>
      <c r="D76" s="7" cm="1">
        <f t="array" ref="D76">INDEX(GMWA!$A$2:$CR$60,MATCH(1,(GMWA!$CQ$2:$CQ$60=D$3)*(GMWA!$CP$2:$CP$60=D$4)*(GMWA!$CR$2:$CR$60=D$1),0),$A76-1966)</f>
        <v>32129.52</v>
      </c>
      <c r="E76" s="7" cm="1">
        <f t="array" ref="E76">INDEX(GMWA!$A$2:$CR$60,MATCH(1,(GMWA!$CQ$2:$CQ$60=E$3)*(GMWA!$CP$2:$CP$60=E$4)*(GMWA!$CR$2:$CR$60=E$1),0),$A76-1966)</f>
        <v>174.51840000000001</v>
      </c>
      <c r="F76" s="7" cm="1">
        <f t="array" ref="F76">INDEX(GMWA!$A$2:$CR$60,MATCH(1,(GMWA!$CQ$2:$CQ$60=F$3)*(GMWA!$CP$2:$CP$60=F$4)*(GMWA!$CR$2:$CR$60=F$1),0),$A76-1966)</f>
        <v>642460.4</v>
      </c>
      <c r="G76" s="7" cm="1">
        <f t="array" ref="G76">INDEX(GMWA!$A$2:$CR$60,MATCH(1,(GMWA!$CQ$2:$CQ$60=G$3)*(GMWA!$CP$2:$CP$60=G$4)*(GMWA!$CR$2:$CR$60=G$1),0),$A76-1966)</f>
        <v>145352.9</v>
      </c>
      <c r="H76" s="7" cm="1">
        <f t="array" ref="H76">INDEX(GMWA!$A$2:$CR$60,MATCH(1,(GMWA!$CQ$2:$CQ$60=H$3)*(GMWA!$CP$2:$CP$60=H$4)*(GMWA!$CR$2:$CR$60=H$1),0),$A76-1966)</f>
        <v>750310.7</v>
      </c>
      <c r="I76" s="7" cm="1">
        <f t="array" ref="I76">INDEX(GMWA!$A$2:$CR$60,MATCH(1,(GMWA!$CQ$2:$CQ$60=I$3)*(GMWA!$CP$2:$CP$60=I$4)*(GMWA!$CR$2:$CR$60=I$1),0),$A76-1966)</f>
        <v>-67495.8</v>
      </c>
      <c r="J76" s="7" cm="1">
        <f t="array" ref="J76">INDEX(GMWA!$A$2:$CR$60,MATCH(1,(GMWA!$CQ$2:$CQ$60=J$3)*(GMWA!$CP$2:$CP$60=J$4)*(GMWA!$CR$2:$CR$60=J$1),0),$A76-1966)</f>
        <v>3168842</v>
      </c>
      <c r="K76" s="7" cm="1">
        <f t="array" ref="K76">INDEX(GMWA!$A$2:$CR$60,MATCH(1,(GMWA!$CQ$2:$CQ$60=K$3)*(GMWA!$CP$2:$CP$60=K$4)*(GMWA!$CR$2:$CR$60=K$1),0),$A76-1966)</f>
        <v>108633.5</v>
      </c>
      <c r="L76" s="7" cm="1">
        <f t="array" ref="L76">INDEX(GMWA!$A$2:$CR$60,MATCH(1,(GMWA!$CQ$2:$CQ$60=L$3)*(GMWA!$CP$2:$CP$60=L$4)*(GMWA!$CR$2:$CR$60=L$1),0),$A76-1966)</f>
        <v>1815721</v>
      </c>
      <c r="M76" s="7" cm="1">
        <f t="array" ref="M76">INDEX(GMWA!$A$2:$CR$60,MATCH(1,(GMWA!$CQ$2:$CQ$60=M$3)*(GMWA!$CP$2:$CP$60=M$4)*(GMWA!$CR$2:$CR$60=M$1),0),$A76-1966)</f>
        <v>64625.4</v>
      </c>
    </row>
    <row r="77" spans="1:13" x14ac:dyDescent="0.35">
      <c r="A77" s="7">
        <f t="shared" si="2"/>
        <v>2043</v>
      </c>
      <c r="B77" s="7" cm="1">
        <f t="array" ref="B77">INDEX(GMWA!$A$2:$CR$60,MATCH(1,(GMWA!$CQ$2:$CQ$60=B$3)*(GMWA!$CP$2:$CP$60=B$4)*(GMWA!$CR$2:$CR$60=B$1),0),$A77-1966)</f>
        <v>3554794</v>
      </c>
      <c r="C77" s="7" cm="1">
        <f t="array" ref="C77">INDEX(GMWA!$A$2:$CR$60,MATCH(1,(GMWA!$CQ$2:$CQ$60=C$3)*(GMWA!$CP$2:$CP$60=C$4)*(GMWA!$CR$2:$CR$60=C$1),0),$A77-1966)</f>
        <v>2238522</v>
      </c>
      <c r="D77" s="7" cm="1">
        <f t="array" ref="D77">INDEX(GMWA!$A$2:$CR$60,MATCH(1,(GMWA!$CQ$2:$CQ$60=D$3)*(GMWA!$CP$2:$CP$60=D$4)*(GMWA!$CR$2:$CR$60=D$1),0),$A77-1966)</f>
        <v>32247.7</v>
      </c>
      <c r="E77" s="7" cm="1">
        <f t="array" ref="E77">INDEX(GMWA!$A$2:$CR$60,MATCH(1,(GMWA!$CQ$2:$CQ$60=E$3)*(GMWA!$CP$2:$CP$60=E$4)*(GMWA!$CR$2:$CR$60=E$1),0),$A77-1966)</f>
        <v>178.00810000000001</v>
      </c>
      <c r="F77" s="7" cm="1">
        <f t="array" ref="F77">INDEX(GMWA!$A$2:$CR$60,MATCH(1,(GMWA!$CQ$2:$CQ$60=F$3)*(GMWA!$CP$2:$CP$60=F$4)*(GMWA!$CR$2:$CR$60=F$1),0),$A77-1966)</f>
        <v>666235.69999999995</v>
      </c>
      <c r="G77" s="7" cm="1">
        <f t="array" ref="G77">INDEX(GMWA!$A$2:$CR$60,MATCH(1,(GMWA!$CQ$2:$CQ$60=G$3)*(GMWA!$CP$2:$CP$60=G$4)*(GMWA!$CR$2:$CR$60=G$1),0),$A77-1966)</f>
        <v>150540.6</v>
      </c>
      <c r="H77" s="7" cm="1">
        <f t="array" ref="H77">INDEX(GMWA!$A$2:$CR$60,MATCH(1,(GMWA!$CQ$2:$CQ$60=H$3)*(GMWA!$CP$2:$CP$60=H$4)*(GMWA!$CR$2:$CR$60=H$1),0),$A77-1966)</f>
        <v>776624.4</v>
      </c>
      <c r="I77" s="7" cm="1">
        <f t="array" ref="I77">INDEX(GMWA!$A$2:$CR$60,MATCH(1,(GMWA!$CQ$2:$CQ$60=I$3)*(GMWA!$CP$2:$CP$60=I$4)*(GMWA!$CR$2:$CR$60=I$1),0),$A77-1966)</f>
        <v>-69968.87</v>
      </c>
      <c r="J77" s="7" cm="1">
        <f t="array" ref="J77">INDEX(GMWA!$A$2:$CR$60,MATCH(1,(GMWA!$CQ$2:$CQ$60=J$3)*(GMWA!$CP$2:$CP$60=J$4)*(GMWA!$CR$2:$CR$60=J$1),0),$A77-1966)</f>
        <v>3281309</v>
      </c>
      <c r="K77" s="7" cm="1">
        <f t="array" ref="K77">INDEX(GMWA!$A$2:$CR$60,MATCH(1,(GMWA!$CQ$2:$CQ$60=K$3)*(GMWA!$CP$2:$CP$60=K$4)*(GMWA!$CR$2:$CR$60=K$1),0),$A77-1966)</f>
        <v>112634.1</v>
      </c>
      <c r="L77" s="7" cm="1">
        <f t="array" ref="L77">INDEX(GMWA!$A$2:$CR$60,MATCH(1,(GMWA!$CQ$2:$CQ$60=L$3)*(GMWA!$CP$2:$CP$60=L$4)*(GMWA!$CR$2:$CR$60=L$1),0),$A77-1966)</f>
        <v>1843305</v>
      </c>
      <c r="M77" s="7" cm="1">
        <f t="array" ref="M77">INDEX(GMWA!$A$2:$CR$60,MATCH(1,(GMWA!$CQ$2:$CQ$60=M$3)*(GMWA!$CP$2:$CP$60=M$4)*(GMWA!$CR$2:$CR$60=M$1),0),$A77-1966)</f>
        <v>65605.84</v>
      </c>
    </row>
    <row r="78" spans="1:13" x14ac:dyDescent="0.35">
      <c r="A78" s="7">
        <f t="shared" si="2"/>
        <v>2044</v>
      </c>
      <c r="B78" s="7" cm="1">
        <f t="array" ref="B78">INDEX(GMWA!$A$2:$CR$60,MATCH(1,(GMWA!$CQ$2:$CQ$60=B$3)*(GMWA!$CP$2:$CP$60=B$4)*(GMWA!$CR$2:$CR$60=B$1),0),$A78-1966)</f>
        <v>3680947</v>
      </c>
      <c r="C78" s="7" cm="1">
        <f t="array" ref="C78">INDEX(GMWA!$A$2:$CR$60,MATCH(1,(GMWA!$CQ$2:$CQ$60=C$3)*(GMWA!$CP$2:$CP$60=C$4)*(GMWA!$CR$2:$CR$60=C$1),0),$A78-1966)</f>
        <v>2318281</v>
      </c>
      <c r="D78" s="7" cm="1">
        <f t="array" ref="D78">INDEX(GMWA!$A$2:$CR$60,MATCH(1,(GMWA!$CQ$2:$CQ$60=D$3)*(GMWA!$CP$2:$CP$60=D$4)*(GMWA!$CR$2:$CR$60=D$1),0),$A78-1966)</f>
        <v>32365.87</v>
      </c>
      <c r="E78" s="7" cm="1">
        <f t="array" ref="E78">INDEX(GMWA!$A$2:$CR$60,MATCH(1,(GMWA!$CQ$2:$CQ$60=E$3)*(GMWA!$CP$2:$CP$60=E$4)*(GMWA!$CR$2:$CR$60=E$1),0),$A78-1966)</f>
        <v>181.5676</v>
      </c>
      <c r="F78" s="7" cm="1">
        <f t="array" ref="F78">INDEX(GMWA!$A$2:$CR$60,MATCH(1,(GMWA!$CQ$2:$CQ$60=F$3)*(GMWA!$CP$2:$CP$60=F$4)*(GMWA!$CR$2:$CR$60=F$1),0),$A78-1966)</f>
        <v>690822.1</v>
      </c>
      <c r="G78" s="7" cm="1">
        <f t="array" ref="G78">INDEX(GMWA!$A$2:$CR$60,MATCH(1,(GMWA!$CQ$2:$CQ$60=G$3)*(GMWA!$CP$2:$CP$60=G$4)*(GMWA!$CR$2:$CR$60=G$1),0),$A78-1966)</f>
        <v>155904.4</v>
      </c>
      <c r="H78" s="7" cm="1">
        <f t="array" ref="H78">INDEX(GMWA!$A$2:$CR$60,MATCH(1,(GMWA!$CQ$2:$CQ$60=H$3)*(GMWA!$CP$2:$CP$60=H$4)*(GMWA!$CR$2:$CR$60=H$1),0),$A78-1966)</f>
        <v>805623.8</v>
      </c>
      <c r="I78" s="7" cm="1">
        <f t="array" ref="I78">INDEX(GMWA!$A$2:$CR$60,MATCH(1,(GMWA!$CQ$2:$CQ$60=I$3)*(GMWA!$CP$2:$CP$60=I$4)*(GMWA!$CR$2:$CR$60=I$1),0),$A78-1966)</f>
        <v>-72067.16</v>
      </c>
      <c r="J78" s="7" cm="1">
        <f t="array" ref="J78">INDEX(GMWA!$A$2:$CR$60,MATCH(1,(GMWA!$CQ$2:$CQ$60=J$3)*(GMWA!$CP$2:$CP$60=J$4)*(GMWA!$CR$2:$CR$60=J$1),0),$A78-1966)</f>
        <v>3397560</v>
      </c>
      <c r="K78" s="7" cm="1">
        <f t="array" ref="K78">INDEX(GMWA!$A$2:$CR$60,MATCH(1,(GMWA!$CQ$2:$CQ$60=K$3)*(GMWA!$CP$2:$CP$60=K$4)*(GMWA!$CR$2:$CR$60=K$1),0),$A78-1966)</f>
        <v>116769.3</v>
      </c>
      <c r="L78" s="7" cm="1">
        <f t="array" ref="L78">INDEX(GMWA!$A$2:$CR$60,MATCH(1,(GMWA!$CQ$2:$CQ$60=L$3)*(GMWA!$CP$2:$CP$60=L$4)*(GMWA!$CR$2:$CR$60=L$1),0),$A78-1966)</f>
        <v>1871193</v>
      </c>
      <c r="M78" s="7" cm="1">
        <f t="array" ref="M78">INDEX(GMWA!$A$2:$CR$60,MATCH(1,(GMWA!$CQ$2:$CQ$60=M$3)*(GMWA!$CP$2:$CP$60=M$4)*(GMWA!$CR$2:$CR$60=M$1),0),$A78-1966)</f>
        <v>66597.13</v>
      </c>
    </row>
    <row r="79" spans="1:13" x14ac:dyDescent="0.35">
      <c r="A79" s="7">
        <f t="shared" si="2"/>
        <v>2045</v>
      </c>
      <c r="B79" s="7" cm="1">
        <f t="array" ref="B79">INDEX(GMWA!$A$2:$CR$60,MATCH(1,(GMWA!$CQ$2:$CQ$60=B$3)*(GMWA!$CP$2:$CP$60=B$4)*(GMWA!$CR$2:$CR$60=B$1),0),$A79-1966)</f>
        <v>3811322</v>
      </c>
      <c r="C79" s="7" cm="1">
        <f t="array" ref="C79">INDEX(GMWA!$A$2:$CR$60,MATCH(1,(GMWA!$CQ$2:$CQ$60=C$3)*(GMWA!$CP$2:$CP$60=C$4)*(GMWA!$CR$2:$CR$60=C$1),0),$A79-1966)</f>
        <v>2400726</v>
      </c>
      <c r="D79" s="7" cm="1">
        <f t="array" ref="D79">INDEX(GMWA!$A$2:$CR$60,MATCH(1,(GMWA!$CQ$2:$CQ$60=D$3)*(GMWA!$CP$2:$CP$60=D$4)*(GMWA!$CR$2:$CR$60=D$1),0),$A79-1966)</f>
        <v>32484.05</v>
      </c>
      <c r="E79" s="7" cm="1">
        <f t="array" ref="E79">INDEX(GMWA!$A$2:$CR$60,MATCH(1,(GMWA!$CQ$2:$CQ$60=E$3)*(GMWA!$CP$2:$CP$60=E$4)*(GMWA!$CR$2:$CR$60=E$1),0),$A79-1966)</f>
        <v>185.19829999999999</v>
      </c>
      <c r="F79" s="7" cm="1">
        <f t="array" ref="F79">INDEX(GMWA!$A$2:$CR$60,MATCH(1,(GMWA!$CQ$2:$CQ$60=F$3)*(GMWA!$CP$2:$CP$60=F$4)*(GMWA!$CR$2:$CR$60=F$1),0),$A79-1966)</f>
        <v>716239</v>
      </c>
      <c r="G79" s="7" cm="1">
        <f t="array" ref="G79">INDEX(GMWA!$A$2:$CR$60,MATCH(1,(GMWA!$CQ$2:$CQ$60=G$3)*(GMWA!$CP$2:$CP$60=G$4)*(GMWA!$CR$2:$CR$60=G$1),0),$A79-1966)</f>
        <v>161448.79999999999</v>
      </c>
      <c r="H79" s="7" cm="1">
        <f t="array" ref="H79">INDEX(GMWA!$A$2:$CR$60,MATCH(1,(GMWA!$CQ$2:$CQ$60=H$3)*(GMWA!$CP$2:$CP$60=H$4)*(GMWA!$CR$2:$CR$60=H$1),0),$A79-1966)</f>
        <v>836867.4</v>
      </c>
      <c r="I79" s="7" cm="1">
        <f t="array" ref="I79">INDEX(GMWA!$A$2:$CR$60,MATCH(1,(GMWA!$CQ$2:$CQ$60=I$3)*(GMWA!$CP$2:$CP$60=I$4)*(GMWA!$CR$2:$CR$60=I$1),0),$A79-1966)</f>
        <v>-74273.64</v>
      </c>
      <c r="J79" s="7" cm="1">
        <f t="array" ref="J79">INDEX(GMWA!$A$2:$CR$60,MATCH(1,(GMWA!$CQ$2:$CQ$60=J$3)*(GMWA!$CP$2:$CP$60=J$4)*(GMWA!$CR$2:$CR$60=J$1),0),$A79-1966)</f>
        <v>3517700</v>
      </c>
      <c r="K79" s="7" cm="1">
        <f t="array" ref="K79">INDEX(GMWA!$A$2:$CR$60,MATCH(1,(GMWA!$CQ$2:$CQ$60=K$3)*(GMWA!$CP$2:$CP$60=K$4)*(GMWA!$CR$2:$CR$60=K$1),0),$A79-1966)</f>
        <v>121042.6</v>
      </c>
      <c r="L79" s="7" cm="1">
        <f t="array" ref="L79">INDEX(GMWA!$A$2:$CR$60,MATCH(1,(GMWA!$CQ$2:$CQ$60=L$3)*(GMWA!$CP$2:$CP$60=L$4)*(GMWA!$CR$2:$CR$60=L$1),0),$A79-1966)</f>
        <v>1899379</v>
      </c>
      <c r="M79" s="7" cm="1">
        <f t="array" ref="M79">INDEX(GMWA!$A$2:$CR$60,MATCH(1,(GMWA!$CQ$2:$CQ$60=M$3)*(GMWA!$CP$2:$CP$60=M$4)*(GMWA!$CR$2:$CR$60=M$1),0),$A79-1966)</f>
        <v>67598.95</v>
      </c>
    </row>
    <row r="80" spans="1:13" x14ac:dyDescent="0.35">
      <c r="A80" s="7">
        <f t="shared" si="2"/>
        <v>2046</v>
      </c>
      <c r="B80" s="7" cm="1">
        <f t="array" ref="B80">INDEX(GMWA!$A$2:$CR$60,MATCH(1,(GMWA!$CQ$2:$CQ$60=B$3)*(GMWA!$CP$2:$CP$60=B$4)*(GMWA!$CR$2:$CR$60=B$1),0),$A80-1966)</f>
        <v>3946053</v>
      </c>
      <c r="C80" s="7" cm="1">
        <f t="array" ref="C80">INDEX(GMWA!$A$2:$CR$60,MATCH(1,(GMWA!$CQ$2:$CQ$60=C$3)*(GMWA!$CP$2:$CP$60=C$4)*(GMWA!$CR$2:$CR$60=C$1),0),$A80-1966)</f>
        <v>2485940</v>
      </c>
      <c r="D80" s="7" cm="1">
        <f t="array" ref="D80">INDEX(GMWA!$A$2:$CR$60,MATCH(1,(GMWA!$CQ$2:$CQ$60=D$3)*(GMWA!$CP$2:$CP$60=D$4)*(GMWA!$CR$2:$CR$60=D$1),0),$A80-1966)</f>
        <v>32602.22</v>
      </c>
      <c r="E80" s="7" cm="1">
        <f t="array" ref="E80">INDEX(GMWA!$A$2:$CR$60,MATCH(1,(GMWA!$CQ$2:$CQ$60=E$3)*(GMWA!$CP$2:$CP$60=E$4)*(GMWA!$CR$2:$CR$60=E$1),0),$A80-1966)</f>
        <v>188.9016</v>
      </c>
      <c r="F80" s="7" cm="1">
        <f t="array" ref="F80">INDEX(GMWA!$A$2:$CR$60,MATCH(1,(GMWA!$CQ$2:$CQ$60=F$3)*(GMWA!$CP$2:$CP$60=F$4)*(GMWA!$CR$2:$CR$60=F$1),0),$A80-1966)</f>
        <v>742512.5</v>
      </c>
      <c r="G80" s="7" cm="1">
        <f t="array" ref="G80">INDEX(GMWA!$A$2:$CR$60,MATCH(1,(GMWA!$CQ$2:$CQ$60=G$3)*(GMWA!$CP$2:$CP$60=G$4)*(GMWA!$CR$2:$CR$60=G$1),0),$A80-1966)</f>
        <v>167179.4</v>
      </c>
      <c r="H80" s="7" cm="1">
        <f t="array" ref="H80">INDEX(GMWA!$A$2:$CR$60,MATCH(1,(GMWA!$CQ$2:$CQ$60=H$3)*(GMWA!$CP$2:$CP$60=H$4)*(GMWA!$CR$2:$CR$60=H$1),0),$A80-1966)</f>
        <v>868563.1</v>
      </c>
      <c r="I80" s="7" cm="1">
        <f t="array" ref="I80">INDEX(GMWA!$A$2:$CR$60,MATCH(1,(GMWA!$CQ$2:$CQ$60=I$3)*(GMWA!$CP$2:$CP$60=I$4)*(GMWA!$CR$2:$CR$60=I$1),0),$A80-1966)</f>
        <v>-77519.83</v>
      </c>
      <c r="J80" s="7" cm="1">
        <f t="array" ref="J80">INDEX(GMWA!$A$2:$CR$60,MATCH(1,(GMWA!$CQ$2:$CQ$60=J$3)*(GMWA!$CP$2:$CP$60=J$4)*(GMWA!$CR$2:$CR$60=J$1),0),$A80-1966)</f>
        <v>3641851</v>
      </c>
      <c r="K80" s="7" cm="1">
        <f t="array" ref="K80">INDEX(GMWA!$A$2:$CR$60,MATCH(1,(GMWA!$CQ$2:$CQ$60=K$3)*(GMWA!$CP$2:$CP$60=K$4)*(GMWA!$CR$2:$CR$60=K$1),0),$A80-1966)</f>
        <v>125458.6</v>
      </c>
      <c r="L80" s="7" cm="1">
        <f t="array" ref="L80">INDEX(GMWA!$A$2:$CR$60,MATCH(1,(GMWA!$CQ$2:$CQ$60=L$3)*(GMWA!$CP$2:$CP$60=L$4)*(GMWA!$CR$2:$CR$60=L$1),0),$A80-1966)</f>
        <v>1927865</v>
      </c>
      <c r="M80" s="7" cm="1">
        <f t="array" ref="M80">INDEX(GMWA!$A$2:$CR$60,MATCH(1,(GMWA!$CQ$2:$CQ$60=M$3)*(GMWA!$CP$2:$CP$60=M$4)*(GMWA!$CR$2:$CR$60=M$1),0),$A80-1966)</f>
        <v>68611.38</v>
      </c>
    </row>
    <row r="81" spans="1:13" x14ac:dyDescent="0.35">
      <c r="A81" s="7">
        <f t="shared" si="2"/>
        <v>2047</v>
      </c>
      <c r="B81" s="7" cm="1">
        <f t="array" ref="B81">INDEX(GMWA!$A$2:$CR$60,MATCH(1,(GMWA!$CQ$2:$CQ$60=B$3)*(GMWA!$CP$2:$CP$60=B$4)*(GMWA!$CR$2:$CR$60=B$1),0),$A81-1966)</f>
        <v>4085278</v>
      </c>
      <c r="C81" s="7" cm="1">
        <f t="array" ref="C81">INDEX(GMWA!$A$2:$CR$60,MATCH(1,(GMWA!$CQ$2:$CQ$60=C$3)*(GMWA!$CP$2:$CP$60=C$4)*(GMWA!$CR$2:$CR$60=C$1),0),$A81-1966)</f>
        <v>2574011</v>
      </c>
      <c r="D81" s="7" cm="1">
        <f t="array" ref="D81">INDEX(GMWA!$A$2:$CR$60,MATCH(1,(GMWA!$CQ$2:$CQ$60=D$3)*(GMWA!$CP$2:$CP$60=D$4)*(GMWA!$CR$2:$CR$60=D$1),0),$A81-1966)</f>
        <v>32720.400000000001</v>
      </c>
      <c r="E81" s="7" cm="1">
        <f t="array" ref="E81">INDEX(GMWA!$A$2:$CR$60,MATCH(1,(GMWA!$CQ$2:$CQ$60=E$3)*(GMWA!$CP$2:$CP$60=E$4)*(GMWA!$CR$2:$CR$60=E$1),0),$A81-1966)</f>
        <v>192.6789</v>
      </c>
      <c r="F81" s="7" cm="1">
        <f t="array" ref="F81">INDEX(GMWA!$A$2:$CR$60,MATCH(1,(GMWA!$CQ$2:$CQ$60=F$3)*(GMWA!$CP$2:$CP$60=F$4)*(GMWA!$CR$2:$CR$60=F$1),0),$A81-1966)</f>
        <v>769669.3</v>
      </c>
      <c r="G81" s="7" cm="1">
        <f t="array" ref="G81">INDEX(GMWA!$A$2:$CR$60,MATCH(1,(GMWA!$CQ$2:$CQ$60=G$3)*(GMWA!$CP$2:$CP$60=G$4)*(GMWA!$CR$2:$CR$60=G$1),0),$A81-1966)</f>
        <v>173102.3</v>
      </c>
      <c r="H81" s="7" cm="1">
        <f t="array" ref="H81">INDEX(GMWA!$A$2:$CR$60,MATCH(1,(GMWA!$CQ$2:$CQ$60=H$3)*(GMWA!$CP$2:$CP$60=H$4)*(GMWA!$CR$2:$CR$60=H$1),0),$A81-1966)</f>
        <v>900273.1</v>
      </c>
      <c r="I81" s="7" cm="1">
        <f t="array" ref="I81">INDEX(GMWA!$A$2:$CR$60,MATCH(1,(GMWA!$CQ$2:$CQ$60=I$3)*(GMWA!$CP$2:$CP$60=I$4)*(GMWA!$CR$2:$CR$60=I$1),0),$A81-1966)</f>
        <v>-80749.91</v>
      </c>
      <c r="J81" s="7" cm="1">
        <f t="array" ref="J81">INDEX(GMWA!$A$2:$CR$60,MATCH(1,(GMWA!$CQ$2:$CQ$60=J$3)*(GMWA!$CP$2:$CP$60=J$4)*(GMWA!$CR$2:$CR$60=J$1),0),$A81-1966)</f>
        <v>3770144</v>
      </c>
      <c r="K81" s="7" cm="1">
        <f t="array" ref="K81">INDEX(GMWA!$A$2:$CR$60,MATCH(1,(GMWA!$CQ$2:$CQ$60=K$3)*(GMWA!$CP$2:$CP$60=K$4)*(GMWA!$CR$2:$CR$60=K$1),0),$A81-1966)</f>
        <v>130021.8</v>
      </c>
      <c r="L81" s="7" cm="1">
        <f t="array" ref="L81">INDEX(GMWA!$A$2:$CR$60,MATCH(1,(GMWA!$CQ$2:$CQ$60=L$3)*(GMWA!$CP$2:$CP$60=L$4)*(GMWA!$CR$2:$CR$60=L$1),0),$A81-1966)</f>
        <v>1956653</v>
      </c>
      <c r="M81" s="7" cm="1">
        <f t="array" ref="M81">INDEX(GMWA!$A$2:$CR$60,MATCH(1,(GMWA!$CQ$2:$CQ$60=M$3)*(GMWA!$CP$2:$CP$60=M$4)*(GMWA!$CR$2:$CR$60=M$1),0),$A81-1966)</f>
        <v>69634.55</v>
      </c>
    </row>
    <row r="82" spans="1:13" x14ac:dyDescent="0.35">
      <c r="A82" s="7">
        <f t="shared" si="2"/>
        <v>2048</v>
      </c>
      <c r="B82" s="7" cm="1">
        <f t="array" ref="B82">INDEX(GMWA!$A$2:$CR$60,MATCH(1,(GMWA!$CQ$2:$CQ$60=B$3)*(GMWA!$CP$2:$CP$60=B$4)*(GMWA!$CR$2:$CR$60=B$1),0),$A82-1966)</f>
        <v>4229148</v>
      </c>
      <c r="C82" s="7" cm="1">
        <f t="array" ref="C82">INDEX(GMWA!$A$2:$CR$60,MATCH(1,(GMWA!$CQ$2:$CQ$60=C$3)*(GMWA!$CP$2:$CP$60=C$4)*(GMWA!$CR$2:$CR$60=C$1),0),$A82-1966)</f>
        <v>2665036</v>
      </c>
      <c r="D82" s="7" cm="1">
        <f t="array" ref="D82">INDEX(GMWA!$A$2:$CR$60,MATCH(1,(GMWA!$CQ$2:$CQ$60=D$3)*(GMWA!$CP$2:$CP$60=D$4)*(GMWA!$CR$2:$CR$60=D$1),0),$A82-1966)</f>
        <v>32838.58</v>
      </c>
      <c r="E82" s="7" cm="1">
        <f t="array" ref="E82">INDEX(GMWA!$A$2:$CR$60,MATCH(1,(GMWA!$CQ$2:$CQ$60=E$3)*(GMWA!$CP$2:$CP$60=E$4)*(GMWA!$CR$2:$CR$60=E$1),0),$A82-1966)</f>
        <v>196.5317</v>
      </c>
      <c r="F82" s="7" cm="1">
        <f t="array" ref="F82">INDEX(GMWA!$A$2:$CR$60,MATCH(1,(GMWA!$CQ$2:$CQ$60=F$3)*(GMWA!$CP$2:$CP$60=F$4)*(GMWA!$CR$2:$CR$60=F$1),0),$A82-1966)</f>
        <v>797738.6</v>
      </c>
      <c r="G82" s="7" cm="1">
        <f t="array" ref="G82">INDEX(GMWA!$A$2:$CR$60,MATCH(1,(GMWA!$CQ$2:$CQ$60=G$3)*(GMWA!$CP$2:$CP$60=G$4)*(GMWA!$CR$2:$CR$60=G$1),0),$A82-1966)</f>
        <v>179223.6</v>
      </c>
      <c r="H82" s="7" cm="1">
        <f t="array" ref="H82">INDEX(GMWA!$A$2:$CR$60,MATCH(1,(GMWA!$CQ$2:$CQ$60=H$3)*(GMWA!$CP$2:$CP$60=H$4)*(GMWA!$CR$2:$CR$60=H$1),0),$A82-1966)</f>
        <v>932979.3</v>
      </c>
      <c r="I82" s="7" cm="1">
        <f t="array" ref="I82">INDEX(GMWA!$A$2:$CR$60,MATCH(1,(GMWA!$CQ$2:$CQ$60=I$3)*(GMWA!$CP$2:$CP$60=I$4)*(GMWA!$CR$2:$CR$60=I$1),0),$A82-1966)</f>
        <v>-83518.28</v>
      </c>
      <c r="J82" s="7" cm="1">
        <f t="array" ref="J82">INDEX(GMWA!$A$2:$CR$60,MATCH(1,(GMWA!$CQ$2:$CQ$60=J$3)*(GMWA!$CP$2:$CP$60=J$4)*(GMWA!$CR$2:$CR$60=J$1),0),$A82-1966)</f>
        <v>3902717</v>
      </c>
      <c r="K82" s="7" cm="1">
        <f t="array" ref="K82">INDEX(GMWA!$A$2:$CR$60,MATCH(1,(GMWA!$CQ$2:$CQ$60=K$3)*(GMWA!$CP$2:$CP$60=K$4)*(GMWA!$CR$2:$CR$60=K$1),0),$A82-1966)</f>
        <v>134737.1</v>
      </c>
      <c r="L82" s="7" cm="1">
        <f t="array" ref="L82">INDEX(GMWA!$A$2:$CR$60,MATCH(1,(GMWA!$CQ$2:$CQ$60=L$3)*(GMWA!$CP$2:$CP$60=L$4)*(GMWA!$CR$2:$CR$60=L$1),0),$A82-1966)</f>
        <v>1985749</v>
      </c>
      <c r="M82" s="7" cm="1">
        <f t="array" ref="M82">INDEX(GMWA!$A$2:$CR$60,MATCH(1,(GMWA!$CQ$2:$CQ$60=M$3)*(GMWA!$CP$2:$CP$60=M$4)*(GMWA!$CR$2:$CR$60=M$1),0),$A82-1966)</f>
        <v>70668.63</v>
      </c>
    </row>
    <row r="83" spans="1:13" x14ac:dyDescent="0.35">
      <c r="A83" s="7">
        <f t="shared" si="2"/>
        <v>2049</v>
      </c>
      <c r="B83" s="7" cm="1">
        <f t="array" ref="B83">INDEX(GMWA!$A$2:$CR$60,MATCH(1,(GMWA!$CQ$2:$CQ$60=B$3)*(GMWA!$CP$2:$CP$60=B$4)*(GMWA!$CR$2:$CR$60=B$1),0),$A83-1966)</f>
        <v>4377810</v>
      </c>
      <c r="C83" s="7" cm="1">
        <f t="array" ref="C83">INDEX(GMWA!$A$2:$CR$60,MATCH(1,(GMWA!$CQ$2:$CQ$60=C$3)*(GMWA!$CP$2:$CP$60=C$4)*(GMWA!$CR$2:$CR$60=C$1),0),$A83-1966)</f>
        <v>2759108</v>
      </c>
      <c r="D83" s="7" cm="1">
        <f t="array" ref="D83">INDEX(GMWA!$A$2:$CR$60,MATCH(1,(GMWA!$CQ$2:$CQ$60=D$3)*(GMWA!$CP$2:$CP$60=D$4)*(GMWA!$CR$2:$CR$60=D$1),0),$A83-1966)</f>
        <v>32956.75</v>
      </c>
      <c r="E83" s="7" cm="1">
        <f t="array" ref="E83">INDEX(GMWA!$A$2:$CR$60,MATCH(1,(GMWA!$CQ$2:$CQ$60=E$3)*(GMWA!$CP$2:$CP$60=E$4)*(GMWA!$CR$2:$CR$60=E$1),0),$A83-1966)</f>
        <v>200.46170000000001</v>
      </c>
      <c r="F83" s="7" cm="1">
        <f t="array" ref="F83">INDEX(GMWA!$A$2:$CR$60,MATCH(1,(GMWA!$CQ$2:$CQ$60=F$3)*(GMWA!$CP$2:$CP$60=F$4)*(GMWA!$CR$2:$CR$60=F$1),0),$A83-1966)</f>
        <v>826749.8</v>
      </c>
      <c r="G83" s="7" cm="1">
        <f t="array" ref="G83">INDEX(GMWA!$A$2:$CR$60,MATCH(1,(GMWA!$CQ$2:$CQ$60=G$3)*(GMWA!$CP$2:$CP$60=G$4)*(GMWA!$CR$2:$CR$60=G$1),0),$A83-1966)</f>
        <v>185550</v>
      </c>
      <c r="H83" s="7" cm="1">
        <f t="array" ref="H83">INDEX(GMWA!$A$2:$CR$60,MATCH(1,(GMWA!$CQ$2:$CQ$60=H$3)*(GMWA!$CP$2:$CP$60=H$4)*(GMWA!$CR$2:$CR$60=H$1),0),$A83-1966)</f>
        <v>966995.4</v>
      </c>
      <c r="I83" s="7" cm="1">
        <f t="array" ref="I83">INDEX(GMWA!$A$2:$CR$60,MATCH(1,(GMWA!$CQ$2:$CQ$60=I$3)*(GMWA!$CP$2:$CP$60=I$4)*(GMWA!$CR$2:$CR$60=I$1),0),$A83-1966)</f>
        <v>-85861.59</v>
      </c>
      <c r="J83" s="7" cm="1">
        <f t="array" ref="J83">INDEX(GMWA!$A$2:$CR$60,MATCH(1,(GMWA!$CQ$2:$CQ$60=J$3)*(GMWA!$CP$2:$CP$60=J$4)*(GMWA!$CR$2:$CR$60=J$1),0),$A83-1966)</f>
        <v>4039702</v>
      </c>
      <c r="K83" s="7" cm="1">
        <f t="array" ref="K83">INDEX(GMWA!$A$2:$CR$60,MATCH(1,(GMWA!$CQ$2:$CQ$60=K$3)*(GMWA!$CP$2:$CP$60=K$4)*(GMWA!$CR$2:$CR$60=K$1),0),$A83-1966)</f>
        <v>139609.20000000001</v>
      </c>
      <c r="L83" s="7" cm="1">
        <f t="array" ref="L83">INDEX(GMWA!$A$2:$CR$60,MATCH(1,(GMWA!$CQ$2:$CQ$60=L$3)*(GMWA!$CP$2:$CP$60=L$4)*(GMWA!$CR$2:$CR$60=L$1),0),$A83-1966)</f>
        <v>2015154</v>
      </c>
      <c r="M83" s="7" cm="1">
        <f t="array" ref="M83">INDEX(GMWA!$A$2:$CR$60,MATCH(1,(GMWA!$CQ$2:$CQ$60=M$3)*(GMWA!$CP$2:$CP$60=M$4)*(GMWA!$CR$2:$CR$60=M$1),0),$A83-1966)</f>
        <v>71713.64</v>
      </c>
    </row>
    <row r="84" spans="1:13" x14ac:dyDescent="0.35">
      <c r="A84" s="7">
        <f t="shared" si="2"/>
        <v>2050</v>
      </c>
      <c r="B84" s="7" cm="1">
        <f t="array" ref="B84">INDEX(GMWA!$A$2:$CR$60,MATCH(1,(GMWA!$CQ$2:$CQ$60=B$3)*(GMWA!$CP$2:$CP$60=B$4)*(GMWA!$CR$2:$CR$60=B$1),0),$A84-1966)</f>
        <v>4531406</v>
      </c>
      <c r="C84" s="7" cm="1">
        <f t="array" ref="C84">INDEX(GMWA!$A$2:$CR$60,MATCH(1,(GMWA!$CQ$2:$CQ$60=C$3)*(GMWA!$CP$2:$CP$60=C$4)*(GMWA!$CR$2:$CR$60=C$1),0),$A84-1966)</f>
        <v>2856319</v>
      </c>
      <c r="D84" s="7" cm="1">
        <f t="array" ref="D84">INDEX(GMWA!$A$2:$CR$60,MATCH(1,(GMWA!$CQ$2:$CQ$60=D$3)*(GMWA!$CP$2:$CP$60=D$4)*(GMWA!$CR$2:$CR$60=D$1),0),$A84-1966)</f>
        <v>33074.92</v>
      </c>
      <c r="E84" s="7" cm="1">
        <f t="array" ref="E84">INDEX(GMWA!$A$2:$CR$60,MATCH(1,(GMWA!$CQ$2:$CQ$60=E$3)*(GMWA!$CP$2:$CP$60=E$4)*(GMWA!$CR$2:$CR$60=E$1),0),$A84-1966)</f>
        <v>204.4701</v>
      </c>
      <c r="F84" s="7" cm="1">
        <f t="array" ref="F84">INDEX(GMWA!$A$2:$CR$60,MATCH(1,(GMWA!$CQ$2:$CQ$60=F$3)*(GMWA!$CP$2:$CP$60=F$4)*(GMWA!$CR$2:$CR$60=F$1),0),$A84-1966)</f>
        <v>856730.2</v>
      </c>
      <c r="G84" s="7" cm="1">
        <f t="array" ref="G84">INDEX(GMWA!$A$2:$CR$60,MATCH(1,(GMWA!$CQ$2:$CQ$60=G$3)*(GMWA!$CP$2:$CP$60=G$4)*(GMWA!$CR$2:$CR$60=G$1),0),$A84-1966)</f>
        <v>192087.5</v>
      </c>
      <c r="H84" s="7" cm="1">
        <f t="array" ref="H84">INDEX(GMWA!$A$2:$CR$60,MATCH(1,(GMWA!$CQ$2:$CQ$60=H$3)*(GMWA!$CP$2:$CP$60=H$4)*(GMWA!$CR$2:$CR$60=H$1),0),$A84-1966)</f>
        <v>1002993</v>
      </c>
      <c r="I84" s="7" cm="1">
        <f t="array" ref="I84">INDEX(GMWA!$A$2:$CR$60,MATCH(1,(GMWA!$CQ$2:$CQ$60=I$3)*(GMWA!$CP$2:$CP$60=I$4)*(GMWA!$CR$2:$CR$60=I$1),0),$A84-1966)</f>
        <v>-87826.7</v>
      </c>
      <c r="J84" s="7" cm="1">
        <f t="array" ref="J84">INDEX(GMWA!$A$2:$CR$60,MATCH(1,(GMWA!$CQ$2:$CQ$60=J$3)*(GMWA!$CP$2:$CP$60=J$4)*(GMWA!$CR$2:$CR$60=J$1),0),$A84-1966)</f>
        <v>4181229</v>
      </c>
      <c r="K84" s="7" cm="1">
        <f t="array" ref="K84">INDEX(GMWA!$A$2:$CR$60,MATCH(1,(GMWA!$CQ$2:$CQ$60=K$3)*(GMWA!$CP$2:$CP$60=K$4)*(GMWA!$CR$2:$CR$60=K$1),0),$A84-1966)</f>
        <v>144642.79999999999</v>
      </c>
      <c r="L84" s="7" cm="1">
        <f t="array" ref="L84">INDEX(GMWA!$A$2:$CR$60,MATCH(1,(GMWA!$CQ$2:$CQ$60=L$3)*(GMWA!$CP$2:$CP$60=L$4)*(GMWA!$CR$2:$CR$60=L$1),0),$A84-1966)</f>
        <v>2044864</v>
      </c>
      <c r="M84" s="7" cm="1">
        <f t="array" ref="M84">INDEX(GMWA!$A$2:$CR$60,MATCH(1,(GMWA!$CQ$2:$CQ$60=M$3)*(GMWA!$CP$2:$CP$60=M$4)*(GMWA!$CR$2:$CR$60=M$1),0),$A84-1966)</f>
        <v>72769.47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AD23-D608-4D90-89FA-6832C552DFEE}">
  <dimension ref="A1:LX58"/>
  <sheetViews>
    <sheetView workbookViewId="0">
      <pane xSplit="6" ySplit="1" topLeftCell="LN11" activePane="bottomRight" state="frozen"/>
      <selection pane="topRight" activeCell="G1" sqref="G1"/>
      <selection pane="bottomLeft" activeCell="A2" sqref="A2"/>
      <selection pane="bottomRight" activeCell="LQ42" sqref="LQ42:LQ45"/>
    </sheetView>
  </sheetViews>
  <sheetFormatPr defaultColWidth="9.1796875" defaultRowHeight="14.5" x14ac:dyDescent="0.35"/>
  <cols>
    <col min="1" max="1" width="15.7265625" style="1" customWidth="1"/>
    <col min="2" max="3" width="20.7265625" style="1" customWidth="1"/>
    <col min="4" max="5" width="10.7265625" style="1" customWidth="1"/>
    <col min="6" max="6" width="15.7265625" style="1" customWidth="1"/>
    <col min="7" max="319" width="10.7265625" style="1" customWidth="1"/>
    <col min="320" max="320" width="20.7265625" style="1" customWidth="1"/>
    <col min="321" max="322" width="15.7265625" style="1" customWidth="1"/>
    <col min="323" max="324" width="20.7265625" style="1" customWidth="1"/>
    <col min="325" max="325" width="18.7265625" style="1" customWidth="1"/>
    <col min="326" max="327" width="22.7265625" style="1" customWidth="1"/>
    <col min="328" max="328" width="13.7265625" style="1" customWidth="1"/>
    <col min="329" max="329" width="14.7265625" style="1" customWidth="1"/>
    <col min="330" max="330" width="10.7265625" style="1" customWidth="1"/>
    <col min="331" max="16384" width="9.1796875" style="1"/>
  </cols>
  <sheetData>
    <row r="1" spans="1:336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/>
      <c r="LT1"/>
      <c r="LU1"/>
      <c r="LV1"/>
      <c r="LW1"/>
      <c r="LX1"/>
    </row>
    <row r="2" spans="1:336" x14ac:dyDescent="0.35">
      <c r="A2" s="2" t="s">
        <v>330</v>
      </c>
      <c r="B2" s="2" t="s">
        <v>331</v>
      </c>
      <c r="C2" s="4" t="s">
        <v>658</v>
      </c>
      <c r="D2" s="2" t="s">
        <v>332</v>
      </c>
      <c r="E2" s="2" t="s">
        <v>333</v>
      </c>
      <c r="F2" s="2" t="s">
        <v>334</v>
      </c>
      <c r="G2" s="5">
        <v>223780</v>
      </c>
      <c r="H2" s="5">
        <v>224213</v>
      </c>
      <c r="I2" s="5">
        <v>222122</v>
      </c>
      <c r="J2" s="5">
        <v>221266</v>
      </c>
      <c r="K2" s="5">
        <v>215122</v>
      </c>
      <c r="L2" s="5">
        <v>218215</v>
      </c>
      <c r="M2" s="5">
        <v>219517</v>
      </c>
      <c r="N2" s="5">
        <v>216301</v>
      </c>
      <c r="O2" s="5">
        <v>216390</v>
      </c>
      <c r="P2" s="5">
        <v>212882</v>
      </c>
      <c r="Q2" s="5">
        <v>212192</v>
      </c>
      <c r="R2" s="5">
        <v>214585</v>
      </c>
      <c r="S2" s="5">
        <v>218180</v>
      </c>
      <c r="T2" s="5">
        <v>217883</v>
      </c>
      <c r="U2" s="5">
        <v>220587</v>
      </c>
      <c r="V2" s="5">
        <v>225228</v>
      </c>
      <c r="W2" s="5">
        <v>225362</v>
      </c>
      <c r="X2" s="5">
        <v>223815</v>
      </c>
      <c r="Y2" s="5">
        <v>225295</v>
      </c>
      <c r="Z2" s="5">
        <v>229115</v>
      </c>
      <c r="AA2" s="5">
        <v>231258</v>
      </c>
      <c r="AB2" s="5">
        <v>233910</v>
      </c>
      <c r="AC2" s="5">
        <v>237107</v>
      </c>
      <c r="AD2" s="5">
        <v>239186</v>
      </c>
      <c r="AE2" s="5">
        <v>238472</v>
      </c>
      <c r="AF2" s="5">
        <v>248867</v>
      </c>
      <c r="AG2" s="5">
        <v>243369</v>
      </c>
      <c r="AH2" s="5">
        <v>245858</v>
      </c>
      <c r="AI2" s="5">
        <v>243513</v>
      </c>
      <c r="AJ2" s="5">
        <v>238722</v>
      </c>
      <c r="AK2" s="5">
        <v>238432</v>
      </c>
      <c r="AL2" s="5">
        <v>235866</v>
      </c>
      <c r="AM2" s="5">
        <v>235712</v>
      </c>
      <c r="AN2" s="5">
        <v>236272</v>
      </c>
      <c r="AO2" s="5">
        <v>238846</v>
      </c>
      <c r="AP2" s="5">
        <v>239131</v>
      </c>
      <c r="AQ2" s="5">
        <v>239578</v>
      </c>
      <c r="AR2" s="5">
        <v>242095</v>
      </c>
      <c r="AS2" s="5">
        <v>242639</v>
      </c>
      <c r="AT2" s="5">
        <v>244317</v>
      </c>
      <c r="AU2" s="5">
        <v>249032</v>
      </c>
      <c r="AV2" s="5">
        <v>250761</v>
      </c>
      <c r="AW2" s="5">
        <v>253655</v>
      </c>
      <c r="AX2" s="5">
        <v>255533</v>
      </c>
      <c r="AY2" s="5">
        <v>257683</v>
      </c>
      <c r="AZ2" s="5">
        <v>255100</v>
      </c>
      <c r="BA2" s="5">
        <v>256975</v>
      </c>
      <c r="BB2" s="5">
        <v>261627</v>
      </c>
      <c r="BC2" s="5">
        <v>264127</v>
      </c>
      <c r="BD2" s="5">
        <v>269787</v>
      </c>
      <c r="BE2" s="5">
        <v>269737</v>
      </c>
      <c r="BF2" s="5">
        <v>269896</v>
      </c>
      <c r="BG2" s="5">
        <v>272720</v>
      </c>
      <c r="BH2" s="5">
        <v>275136</v>
      </c>
      <c r="BI2" s="5">
        <v>276863</v>
      </c>
      <c r="BJ2" s="5">
        <v>282193</v>
      </c>
      <c r="BK2" s="5">
        <v>284172</v>
      </c>
      <c r="BL2" s="5">
        <v>288385</v>
      </c>
      <c r="BM2" s="5">
        <v>295493</v>
      </c>
      <c r="BN2" s="5">
        <v>298855</v>
      </c>
      <c r="BO2" s="5">
        <v>303698</v>
      </c>
      <c r="BP2" s="5">
        <v>305281</v>
      </c>
      <c r="BQ2" s="5">
        <v>309097</v>
      </c>
      <c r="BR2" s="5">
        <v>311574</v>
      </c>
      <c r="BS2" s="5">
        <v>313083</v>
      </c>
      <c r="BT2" s="5">
        <v>315039</v>
      </c>
      <c r="BU2" s="5">
        <v>315554</v>
      </c>
      <c r="BV2" s="5">
        <v>315515</v>
      </c>
      <c r="BW2" s="5">
        <v>317117</v>
      </c>
      <c r="BX2" s="5">
        <v>319239</v>
      </c>
      <c r="BY2" s="5">
        <v>315744</v>
      </c>
      <c r="BZ2" s="5">
        <v>314148</v>
      </c>
      <c r="CA2" s="5">
        <v>312596</v>
      </c>
      <c r="CB2" s="5">
        <v>312235</v>
      </c>
      <c r="CC2" s="5">
        <v>311624</v>
      </c>
      <c r="CD2" s="5">
        <v>312006</v>
      </c>
      <c r="CE2" s="5">
        <v>311904</v>
      </c>
      <c r="CF2" s="5">
        <v>311418</v>
      </c>
      <c r="CG2" s="5">
        <v>312896</v>
      </c>
      <c r="CH2" s="5">
        <v>315307</v>
      </c>
      <c r="CI2" s="5">
        <v>316882</v>
      </c>
      <c r="CJ2" s="5">
        <v>318302</v>
      </c>
      <c r="CK2" s="5">
        <v>321218</v>
      </c>
      <c r="CL2" s="5">
        <v>323400</v>
      </c>
      <c r="CM2" s="5">
        <v>326585</v>
      </c>
      <c r="CN2" s="5">
        <v>329584</v>
      </c>
      <c r="CO2" s="5">
        <v>332911</v>
      </c>
      <c r="CP2" s="5">
        <v>334363</v>
      </c>
      <c r="CQ2" s="5">
        <v>336090</v>
      </c>
      <c r="CR2" s="5">
        <v>336789</v>
      </c>
      <c r="CS2" s="5">
        <v>340542</v>
      </c>
      <c r="CT2" s="5">
        <v>341602</v>
      </c>
      <c r="CU2" s="5">
        <v>343859</v>
      </c>
      <c r="CV2" s="5">
        <v>344979</v>
      </c>
      <c r="CW2" s="5">
        <v>348214</v>
      </c>
      <c r="CX2" s="5">
        <v>352958</v>
      </c>
      <c r="CY2" s="5">
        <v>358611</v>
      </c>
      <c r="CZ2" s="5">
        <v>362573</v>
      </c>
      <c r="DA2" s="5">
        <v>365942</v>
      </c>
      <c r="DB2" s="5">
        <v>371341</v>
      </c>
      <c r="DC2" s="5">
        <v>374037</v>
      </c>
      <c r="DD2" s="5">
        <v>376421</v>
      </c>
      <c r="DE2" s="5">
        <v>377650</v>
      </c>
      <c r="DF2" s="5">
        <v>380155</v>
      </c>
      <c r="DG2" s="5">
        <v>382789</v>
      </c>
      <c r="DH2" s="5">
        <v>384605</v>
      </c>
      <c r="DI2" s="5">
        <v>390758</v>
      </c>
      <c r="DJ2" s="5">
        <v>396357</v>
      </c>
      <c r="DK2" s="5">
        <v>401242</v>
      </c>
      <c r="DL2" s="5">
        <v>404196</v>
      </c>
      <c r="DM2" s="5">
        <v>406795</v>
      </c>
      <c r="DN2" s="5">
        <v>409411</v>
      </c>
      <c r="DO2" s="5">
        <v>413054</v>
      </c>
      <c r="DP2" s="5">
        <v>414878</v>
      </c>
      <c r="DQ2" s="5">
        <v>417085</v>
      </c>
      <c r="DR2" s="5">
        <v>418445</v>
      </c>
      <c r="DS2" s="5">
        <v>419534</v>
      </c>
      <c r="DT2" s="5">
        <v>421587</v>
      </c>
      <c r="DU2" s="5">
        <v>424425</v>
      </c>
      <c r="DV2" s="5">
        <v>427725</v>
      </c>
      <c r="DW2" s="5">
        <v>430832</v>
      </c>
      <c r="DX2" s="5">
        <v>434837</v>
      </c>
      <c r="DY2" s="5">
        <v>438710</v>
      </c>
      <c r="DZ2" s="5">
        <v>442172</v>
      </c>
      <c r="EA2" s="5">
        <v>443853</v>
      </c>
      <c r="EB2" s="5">
        <v>446443</v>
      </c>
      <c r="EC2" s="5">
        <v>448171</v>
      </c>
      <c r="ED2" s="5">
        <v>450464</v>
      </c>
      <c r="EE2" s="5">
        <v>453784</v>
      </c>
      <c r="EF2" s="5">
        <v>457557</v>
      </c>
      <c r="EG2" s="5">
        <v>461135</v>
      </c>
      <c r="EH2" s="5">
        <v>465451</v>
      </c>
      <c r="EI2" s="5">
        <v>467840</v>
      </c>
      <c r="EJ2" s="5">
        <v>469655</v>
      </c>
      <c r="EK2" s="5">
        <v>470918</v>
      </c>
      <c r="EL2" s="5">
        <v>473372</v>
      </c>
      <c r="EM2" s="5">
        <v>477823</v>
      </c>
      <c r="EN2" s="5">
        <v>481314</v>
      </c>
      <c r="EO2" s="5">
        <v>484544</v>
      </c>
      <c r="EP2" s="5">
        <v>487413</v>
      </c>
      <c r="EQ2" s="5">
        <v>489783</v>
      </c>
      <c r="ER2" s="5">
        <v>487386</v>
      </c>
      <c r="ES2" s="5">
        <v>479872</v>
      </c>
      <c r="ET2" s="5">
        <v>469694</v>
      </c>
      <c r="EU2" s="5">
        <v>460105</v>
      </c>
      <c r="EV2" s="5">
        <v>458599</v>
      </c>
      <c r="EW2" s="5">
        <v>458875</v>
      </c>
      <c r="EX2" s="5">
        <v>460238</v>
      </c>
      <c r="EY2" s="5">
        <v>464543</v>
      </c>
      <c r="EZ2" s="5">
        <v>469606</v>
      </c>
      <c r="FA2" s="5">
        <v>472199</v>
      </c>
      <c r="FB2" s="5">
        <v>472612</v>
      </c>
      <c r="FC2" s="5">
        <v>473819</v>
      </c>
      <c r="FD2" s="5">
        <v>474365</v>
      </c>
      <c r="FE2" s="5">
        <v>475813</v>
      </c>
      <c r="FF2" s="5">
        <v>476479</v>
      </c>
      <c r="FG2" s="5">
        <v>480632</v>
      </c>
      <c r="FH2" s="5">
        <v>479979</v>
      </c>
      <c r="FI2" s="5">
        <v>484579</v>
      </c>
      <c r="FJ2" s="5">
        <v>484039</v>
      </c>
      <c r="FK2" s="5">
        <v>485409</v>
      </c>
      <c r="FL2" s="5">
        <v>488930</v>
      </c>
      <c r="FM2" s="5">
        <v>493002</v>
      </c>
      <c r="FN2" s="5">
        <v>496466</v>
      </c>
      <c r="FO2" s="5">
        <v>500552</v>
      </c>
      <c r="FP2" s="5">
        <v>504939</v>
      </c>
      <c r="FQ2" s="5">
        <v>508741</v>
      </c>
      <c r="FR2" s="5">
        <v>512334</v>
      </c>
      <c r="FS2" s="5">
        <v>513850</v>
      </c>
      <c r="FT2" s="5">
        <v>516876</v>
      </c>
      <c r="FU2" s="5">
        <v>518915</v>
      </c>
      <c r="FV2" s="5">
        <v>521920</v>
      </c>
      <c r="FW2" s="5">
        <v>523813</v>
      </c>
      <c r="FX2" s="5">
        <v>526750</v>
      </c>
      <c r="FY2" s="5">
        <v>528712</v>
      </c>
      <c r="FZ2" s="5">
        <v>532082</v>
      </c>
      <c r="GA2" s="5">
        <v>536566</v>
      </c>
      <c r="GB2" s="5">
        <v>540020</v>
      </c>
      <c r="GC2" s="5">
        <v>543452</v>
      </c>
      <c r="GD2" s="5">
        <v>547377</v>
      </c>
      <c r="GE2" s="5">
        <v>547688</v>
      </c>
      <c r="GF2" s="5">
        <v>548600</v>
      </c>
      <c r="GG2" s="5">
        <v>550425</v>
      </c>
      <c r="GH2" s="5">
        <v>551128</v>
      </c>
      <c r="GI2" s="5">
        <v>555141</v>
      </c>
      <c r="GJ2" s="5">
        <v>556932</v>
      </c>
      <c r="GK2" s="5">
        <v>560987</v>
      </c>
      <c r="GL2" s="5">
        <v>560861</v>
      </c>
      <c r="GM2" s="5">
        <v>545597</v>
      </c>
      <c r="GN2" s="5">
        <v>434718</v>
      </c>
      <c r="GO2" s="5">
        <v>507643</v>
      </c>
      <c r="GP2" s="5">
        <v>514531</v>
      </c>
      <c r="GQ2" s="5">
        <v>509261</v>
      </c>
      <c r="GR2" s="5">
        <v>546579</v>
      </c>
      <c r="GS2" s="5">
        <v>555956</v>
      </c>
      <c r="GT2" s="5">
        <v>564407</v>
      </c>
      <c r="GU2" s="5">
        <v>567396</v>
      </c>
      <c r="GV2" s="5">
        <v>567889</v>
      </c>
      <c r="GW2" s="5">
        <v>567445</v>
      </c>
      <c r="GX2" s="5">
        <v>568034</v>
      </c>
      <c r="GY2" s="5">
        <v>569336</v>
      </c>
      <c r="GZ2" s="5">
        <v>569364</v>
      </c>
      <c r="HA2" s="5">
        <v>568655</v>
      </c>
      <c r="HB2" s="5">
        <v>566695</v>
      </c>
      <c r="HC2" s="6">
        <v>568298.30000000005</v>
      </c>
      <c r="HD2" s="6">
        <v>569712.9</v>
      </c>
      <c r="HE2" s="6">
        <v>571261.5</v>
      </c>
      <c r="HF2" s="6">
        <v>573464.30000000005</v>
      </c>
      <c r="HG2" s="6">
        <v>576141.9</v>
      </c>
      <c r="HH2" s="6">
        <v>579397.69999999995</v>
      </c>
      <c r="HI2" s="6">
        <v>582671.4</v>
      </c>
      <c r="HJ2" s="6">
        <v>585963.30000000005</v>
      </c>
      <c r="HK2" s="6">
        <v>588893.1</v>
      </c>
      <c r="HL2" s="6">
        <v>591426.19999999995</v>
      </c>
      <c r="HM2" s="6">
        <v>593969.30000000005</v>
      </c>
      <c r="HN2" s="6">
        <v>596523.30000000005</v>
      </c>
      <c r="HO2" s="6">
        <v>599088.4</v>
      </c>
      <c r="HP2" s="6">
        <v>601664.4</v>
      </c>
      <c r="HQ2" s="6">
        <v>604251.6</v>
      </c>
      <c r="HR2" s="6">
        <v>606849.9</v>
      </c>
      <c r="HS2" s="6">
        <v>609277.4</v>
      </c>
      <c r="HT2" s="6">
        <v>611714.4</v>
      </c>
      <c r="HU2" s="6">
        <v>614161.30000000005</v>
      </c>
      <c r="HV2" s="6">
        <v>616618</v>
      </c>
      <c r="HW2" s="6">
        <v>619022.80000000005</v>
      </c>
      <c r="HX2" s="6">
        <v>621375.1</v>
      </c>
      <c r="HY2" s="6">
        <v>623736.30000000005</v>
      </c>
      <c r="HZ2" s="6">
        <v>626106.5</v>
      </c>
      <c r="IA2" s="6">
        <v>628485.69999999995</v>
      </c>
      <c r="IB2" s="6">
        <v>630873.9</v>
      </c>
      <c r="IC2" s="6">
        <v>633271.30000000005</v>
      </c>
      <c r="ID2" s="6">
        <v>635677.69999999995</v>
      </c>
      <c r="IE2" s="6">
        <v>638093.30000000005</v>
      </c>
      <c r="IF2" s="6">
        <v>640518</v>
      </c>
      <c r="IG2" s="6">
        <v>642952</v>
      </c>
      <c r="IH2" s="6">
        <v>645395.19999999995</v>
      </c>
      <c r="II2" s="6">
        <v>647847.69999999995</v>
      </c>
      <c r="IJ2" s="6">
        <v>650309.5</v>
      </c>
      <c r="IK2" s="6">
        <v>652715.69999999995</v>
      </c>
      <c r="IL2" s="6">
        <v>655065.4</v>
      </c>
      <c r="IM2" s="6">
        <v>657450.9</v>
      </c>
      <c r="IN2" s="6">
        <v>659812.30000000005</v>
      </c>
      <c r="IO2" s="6">
        <v>662144.69999999995</v>
      </c>
      <c r="IP2" s="6">
        <v>664492.9</v>
      </c>
      <c r="IQ2" s="6">
        <v>666886.80000000005</v>
      </c>
      <c r="IR2" s="6">
        <v>669296.4</v>
      </c>
      <c r="IS2" s="6">
        <v>671631.3</v>
      </c>
      <c r="IT2" s="6">
        <v>673967.3</v>
      </c>
      <c r="IU2" s="6">
        <v>676390.40000000002</v>
      </c>
      <c r="IV2" s="6">
        <v>678824.3</v>
      </c>
      <c r="IW2" s="6">
        <v>681268.6</v>
      </c>
      <c r="IX2" s="6">
        <v>683723.3</v>
      </c>
      <c r="IY2" s="6">
        <v>686249.7</v>
      </c>
      <c r="IZ2" s="6">
        <v>688789.5</v>
      </c>
      <c r="JA2" s="6">
        <v>691343</v>
      </c>
      <c r="JB2" s="6">
        <v>693909.7</v>
      </c>
      <c r="JC2" s="6">
        <v>696489.8</v>
      </c>
      <c r="JD2" s="6">
        <v>699083.3</v>
      </c>
      <c r="JE2" s="6">
        <v>701690.1</v>
      </c>
      <c r="JF2" s="6">
        <v>704310.4</v>
      </c>
      <c r="JG2" s="6">
        <v>707005.1</v>
      </c>
      <c r="JH2" s="6">
        <v>709714.1</v>
      </c>
      <c r="JI2" s="6">
        <v>712437.9</v>
      </c>
      <c r="JJ2" s="6">
        <v>715176.8</v>
      </c>
      <c r="JK2" s="6">
        <v>717930.4</v>
      </c>
      <c r="JL2" s="6">
        <v>720698.9</v>
      </c>
      <c r="JM2" s="6">
        <v>723482.5</v>
      </c>
      <c r="JN2" s="6">
        <v>726281.1</v>
      </c>
      <c r="JO2" s="6">
        <v>729094.9</v>
      </c>
      <c r="JP2" s="6">
        <v>731917.6</v>
      </c>
      <c r="JQ2" s="6">
        <v>734749.6</v>
      </c>
      <c r="JR2" s="6">
        <v>737591.1</v>
      </c>
      <c r="JS2" s="6">
        <v>740390.9</v>
      </c>
      <c r="JT2" s="6">
        <v>743199.4</v>
      </c>
      <c r="JU2" s="6">
        <v>746016.2</v>
      </c>
      <c r="JV2" s="6">
        <v>748841.4</v>
      </c>
      <c r="JW2" s="6">
        <v>751675.3</v>
      </c>
      <c r="JX2" s="6">
        <v>754517.5</v>
      </c>
      <c r="JY2" s="6">
        <v>757368.2</v>
      </c>
      <c r="JZ2" s="6">
        <v>760227.3</v>
      </c>
      <c r="KA2" s="6">
        <v>763094.8</v>
      </c>
      <c r="KB2" s="6">
        <v>765970.4</v>
      </c>
      <c r="KC2" s="6">
        <v>768853.7</v>
      </c>
      <c r="KD2" s="6">
        <v>771744.7</v>
      </c>
      <c r="KE2" s="6">
        <v>774643.6</v>
      </c>
      <c r="KF2" s="6">
        <v>777550.1</v>
      </c>
      <c r="KG2" s="6">
        <v>780464.3</v>
      </c>
      <c r="KH2" s="6">
        <v>783386.3</v>
      </c>
      <c r="KI2" s="6">
        <v>786315.9</v>
      </c>
      <c r="KJ2" s="6">
        <v>789253.3</v>
      </c>
      <c r="KK2" s="6">
        <v>792198.5</v>
      </c>
      <c r="KL2" s="6">
        <v>795151.3</v>
      </c>
      <c r="KM2" s="6">
        <v>798112</v>
      </c>
      <c r="KN2" s="6">
        <v>801080.5</v>
      </c>
      <c r="KO2" s="6">
        <v>804056.8</v>
      </c>
      <c r="KP2" s="6">
        <v>807041</v>
      </c>
      <c r="KQ2" s="6">
        <v>810033</v>
      </c>
      <c r="KR2" s="6">
        <v>813032.9</v>
      </c>
      <c r="KS2" s="6">
        <v>816040.9</v>
      </c>
      <c r="KT2" s="6">
        <v>819056.9</v>
      </c>
      <c r="KU2" s="6">
        <v>822080.9</v>
      </c>
      <c r="KV2" s="6">
        <v>825113</v>
      </c>
      <c r="KW2" s="6">
        <v>828152.9</v>
      </c>
      <c r="KX2" s="6">
        <v>831200.9</v>
      </c>
      <c r="KY2" s="6">
        <v>834257.1</v>
      </c>
      <c r="KZ2" s="6">
        <v>837320.9</v>
      </c>
      <c r="LA2" s="6">
        <v>840392.8</v>
      </c>
      <c r="LB2" s="6">
        <v>843472.7</v>
      </c>
      <c r="LC2" s="6">
        <v>846560.2</v>
      </c>
      <c r="LD2" s="6">
        <v>849655.8</v>
      </c>
      <c r="LE2" s="6">
        <v>852759.1</v>
      </c>
      <c r="LF2" s="6">
        <v>855870.4</v>
      </c>
      <c r="LG2" s="2" t="s">
        <v>335</v>
      </c>
      <c r="LH2" s="2" t="s">
        <v>336</v>
      </c>
      <c r="LI2" s="4" t="s">
        <v>337</v>
      </c>
      <c r="LJ2" s="2" t="s">
        <v>338</v>
      </c>
      <c r="LK2" s="2" t="s">
        <v>339</v>
      </c>
      <c r="LL2" s="2" t="s">
        <v>623</v>
      </c>
      <c r="LM2" s="2" t="s">
        <v>338</v>
      </c>
      <c r="LN2" s="2" t="s">
        <v>341</v>
      </c>
      <c r="LO2" s="4" t="s">
        <v>342</v>
      </c>
      <c r="LP2" s="2" t="s">
        <v>343</v>
      </c>
      <c r="LQ2" s="2" t="s">
        <v>344</v>
      </c>
      <c r="LR2" s="4" t="s">
        <v>659</v>
      </c>
      <c r="LS2"/>
      <c r="LT2"/>
      <c r="LU2"/>
      <c r="LV2"/>
      <c r="LW2"/>
      <c r="LX2"/>
    </row>
    <row r="3" spans="1:336" x14ac:dyDescent="0.35">
      <c r="A3" s="2" t="s">
        <v>330</v>
      </c>
      <c r="B3" s="2" t="s">
        <v>345</v>
      </c>
      <c r="C3" s="4" t="s">
        <v>658</v>
      </c>
      <c r="D3" s="2" t="s">
        <v>346</v>
      </c>
      <c r="E3" s="2" t="s">
        <v>338</v>
      </c>
      <c r="F3" s="2" t="s">
        <v>334</v>
      </c>
      <c r="G3" s="5">
        <v>8.5</v>
      </c>
      <c r="H3" s="5">
        <v>7.5</v>
      </c>
      <c r="I3" s="5">
        <v>11.5</v>
      </c>
      <c r="J3" s="5">
        <v>13</v>
      </c>
      <c r="K3" s="5">
        <v>12.5</v>
      </c>
      <c r="L3" s="5">
        <v>11.75</v>
      </c>
      <c r="M3" s="5">
        <v>11.5</v>
      </c>
      <c r="N3" s="5">
        <v>11.5</v>
      </c>
      <c r="O3" s="5">
        <v>10</v>
      </c>
      <c r="P3" s="5">
        <v>10</v>
      </c>
      <c r="Q3" s="5">
        <v>11</v>
      </c>
      <c r="R3" s="5">
        <v>11.25</v>
      </c>
      <c r="S3" s="5">
        <v>9</v>
      </c>
      <c r="T3" s="5">
        <v>11.5</v>
      </c>
      <c r="U3" s="5">
        <v>13</v>
      </c>
      <c r="V3" s="5">
        <v>14.25</v>
      </c>
      <c r="W3" s="5">
        <v>9.5</v>
      </c>
      <c r="X3" s="5">
        <v>8</v>
      </c>
      <c r="Y3" s="5">
        <v>6</v>
      </c>
      <c r="Z3" s="5">
        <v>7</v>
      </c>
      <c r="AA3" s="5">
        <v>6.5</v>
      </c>
      <c r="AB3" s="5">
        <v>10</v>
      </c>
      <c r="AC3" s="5">
        <v>10</v>
      </c>
      <c r="AD3" s="5">
        <v>12.5</v>
      </c>
      <c r="AE3" s="5">
        <v>13</v>
      </c>
      <c r="AF3" s="5">
        <v>14</v>
      </c>
      <c r="AG3" s="5">
        <v>14</v>
      </c>
      <c r="AH3" s="5">
        <v>17</v>
      </c>
      <c r="AI3" s="5">
        <v>17</v>
      </c>
      <c r="AJ3" s="5">
        <v>17</v>
      </c>
      <c r="AK3" s="5">
        <v>16</v>
      </c>
      <c r="AL3" s="5">
        <v>14</v>
      </c>
      <c r="AM3" s="5">
        <v>12</v>
      </c>
      <c r="AN3" s="5">
        <v>12</v>
      </c>
      <c r="AO3" s="5">
        <v>14</v>
      </c>
      <c r="AP3" s="5">
        <v>14.375</v>
      </c>
      <c r="AQ3" s="5">
        <v>13.25</v>
      </c>
      <c r="AR3" s="5">
        <v>12.625</v>
      </c>
      <c r="AS3" s="5">
        <v>10.125</v>
      </c>
      <c r="AT3" s="5">
        <v>10</v>
      </c>
      <c r="AU3" s="5">
        <v>10.5625</v>
      </c>
      <c r="AV3" s="5">
        <v>9.5625</v>
      </c>
      <c r="AW3" s="5">
        <v>9.5625</v>
      </c>
      <c r="AX3" s="5">
        <v>9.0625</v>
      </c>
      <c r="AY3" s="5">
        <v>8.5625</v>
      </c>
      <c r="AZ3" s="5">
        <v>8.875</v>
      </c>
      <c r="BA3" s="5">
        <v>10.5</v>
      </c>
      <c r="BB3" s="5">
        <v>9.5</v>
      </c>
      <c r="BC3" s="5">
        <v>12.875</v>
      </c>
      <c r="BD3" s="5">
        <v>12.375</v>
      </c>
      <c r="BE3" s="5">
        <v>11.375</v>
      </c>
      <c r="BF3" s="5">
        <v>11.375</v>
      </c>
      <c r="BG3" s="5">
        <v>11.375</v>
      </c>
      <c r="BH3" s="5">
        <v>9.875</v>
      </c>
      <c r="BI3" s="5">
        <v>9.875</v>
      </c>
      <c r="BJ3" s="5">
        <v>10.875</v>
      </c>
      <c r="BK3" s="5">
        <v>9.875</v>
      </c>
      <c r="BL3" s="5">
        <v>8.875</v>
      </c>
      <c r="BM3" s="5">
        <v>9.875</v>
      </c>
      <c r="BN3" s="5">
        <v>8.375</v>
      </c>
      <c r="BO3" s="5">
        <v>8.375</v>
      </c>
      <c r="BP3" s="5">
        <v>8.875</v>
      </c>
      <c r="BQ3" s="5">
        <v>11.875</v>
      </c>
      <c r="BR3" s="5">
        <v>12.875</v>
      </c>
      <c r="BS3" s="5">
        <v>12.875</v>
      </c>
      <c r="BT3" s="5">
        <v>13.75</v>
      </c>
      <c r="BU3" s="5">
        <v>13.75</v>
      </c>
      <c r="BV3" s="5">
        <v>14.875</v>
      </c>
      <c r="BW3" s="5">
        <v>14.875</v>
      </c>
      <c r="BX3" s="5">
        <v>14.875</v>
      </c>
      <c r="BY3" s="5">
        <v>14.875</v>
      </c>
      <c r="BZ3" s="5">
        <v>13.875</v>
      </c>
      <c r="CA3" s="5">
        <v>12.375</v>
      </c>
      <c r="CB3" s="5">
        <v>11.375</v>
      </c>
      <c r="CC3" s="5">
        <v>10.375</v>
      </c>
      <c r="CD3" s="5">
        <v>10.375</v>
      </c>
      <c r="CE3" s="5">
        <v>10.375</v>
      </c>
      <c r="CF3" s="5">
        <v>9.875</v>
      </c>
      <c r="CG3" s="5">
        <v>8.875</v>
      </c>
      <c r="CH3" s="5">
        <v>6.875</v>
      </c>
      <c r="CI3" s="5">
        <v>5.875</v>
      </c>
      <c r="CJ3" s="5">
        <v>5.875</v>
      </c>
      <c r="CK3" s="5">
        <v>5.875</v>
      </c>
      <c r="CL3" s="5">
        <v>5.375</v>
      </c>
      <c r="CM3" s="5">
        <v>5.125</v>
      </c>
      <c r="CN3" s="5">
        <v>5.125</v>
      </c>
      <c r="CO3" s="5">
        <v>5.625</v>
      </c>
      <c r="CP3" s="5">
        <v>6.125</v>
      </c>
      <c r="CQ3" s="5">
        <v>6.625</v>
      </c>
      <c r="CR3" s="5">
        <v>6.625</v>
      </c>
      <c r="CS3" s="5">
        <v>6.625</v>
      </c>
      <c r="CT3" s="5">
        <v>6.375</v>
      </c>
      <c r="CU3" s="5">
        <v>5.9375</v>
      </c>
      <c r="CV3" s="5">
        <v>5.6875</v>
      </c>
      <c r="CW3" s="5">
        <v>5.6875</v>
      </c>
      <c r="CX3" s="5">
        <v>5.9375</v>
      </c>
      <c r="CY3" s="5">
        <v>5.9375</v>
      </c>
      <c r="CZ3" s="5">
        <v>6.5</v>
      </c>
      <c r="DA3" s="5">
        <v>7</v>
      </c>
      <c r="DB3" s="5">
        <v>7.25</v>
      </c>
      <c r="DC3" s="5">
        <v>7.25</v>
      </c>
      <c r="DD3" s="5">
        <v>7.5</v>
      </c>
      <c r="DE3" s="5">
        <v>7.5</v>
      </c>
      <c r="DF3" s="5">
        <v>6.25</v>
      </c>
      <c r="DG3" s="5">
        <v>5.5</v>
      </c>
      <c r="DH3" s="5">
        <v>5</v>
      </c>
      <c r="DI3" s="5">
        <v>5.25</v>
      </c>
      <c r="DJ3" s="5">
        <v>5.5</v>
      </c>
      <c r="DK3" s="5">
        <v>6</v>
      </c>
      <c r="DL3" s="5">
        <v>6</v>
      </c>
      <c r="DM3" s="5">
        <v>6</v>
      </c>
      <c r="DN3" s="5">
        <v>6</v>
      </c>
      <c r="DO3" s="5">
        <v>5.75</v>
      </c>
      <c r="DP3" s="5">
        <v>5.25</v>
      </c>
      <c r="DQ3" s="5">
        <v>4.75</v>
      </c>
      <c r="DR3" s="5">
        <v>4</v>
      </c>
      <c r="DS3" s="5">
        <v>4</v>
      </c>
      <c r="DT3" s="5">
        <v>4</v>
      </c>
      <c r="DU3" s="5">
        <v>4</v>
      </c>
      <c r="DV3" s="5">
        <v>4</v>
      </c>
      <c r="DW3" s="5">
        <v>3.75</v>
      </c>
      <c r="DX3" s="5">
        <v>3.75</v>
      </c>
      <c r="DY3" s="5">
        <v>3.5</v>
      </c>
      <c r="DZ3" s="5">
        <v>3.75</v>
      </c>
      <c r="EA3" s="5">
        <v>4</v>
      </c>
      <c r="EB3" s="5">
        <v>4.5</v>
      </c>
      <c r="EC3" s="5">
        <v>4.75</v>
      </c>
      <c r="ED3" s="5">
        <v>4.75</v>
      </c>
      <c r="EE3" s="5">
        <v>4.75</v>
      </c>
      <c r="EF3" s="5">
        <v>4.75</v>
      </c>
      <c r="EG3" s="5">
        <v>4.5</v>
      </c>
      <c r="EH3" s="5">
        <v>4.5</v>
      </c>
      <c r="EI3" s="5">
        <v>4.5</v>
      </c>
      <c r="EJ3" s="5">
        <v>4.5</v>
      </c>
      <c r="EK3" s="5">
        <v>4.75</v>
      </c>
      <c r="EL3" s="5">
        <v>5</v>
      </c>
      <c r="EM3" s="5">
        <v>5.25</v>
      </c>
      <c r="EN3" s="5">
        <v>5.5</v>
      </c>
      <c r="EO3" s="5">
        <v>5.75</v>
      </c>
      <c r="EP3" s="5">
        <v>5.5</v>
      </c>
      <c r="EQ3" s="5">
        <v>5.25</v>
      </c>
      <c r="ER3" s="5">
        <v>5</v>
      </c>
      <c r="ES3" s="5">
        <v>5</v>
      </c>
      <c r="ET3" s="5">
        <v>2</v>
      </c>
      <c r="EU3" s="5">
        <v>0.5</v>
      </c>
      <c r="EV3" s="5">
        <v>0.5</v>
      </c>
      <c r="EW3" s="5">
        <v>0.5</v>
      </c>
      <c r="EX3" s="5">
        <v>0.5</v>
      </c>
      <c r="EY3" s="5">
        <v>0.5</v>
      </c>
      <c r="EZ3" s="5">
        <v>0.5</v>
      </c>
      <c r="FA3" s="5">
        <v>0.5</v>
      </c>
      <c r="FB3" s="5">
        <v>0.5</v>
      </c>
      <c r="FC3" s="5">
        <v>0.5</v>
      </c>
      <c r="FD3" s="5">
        <v>0.5</v>
      </c>
      <c r="FE3" s="5">
        <v>0.5</v>
      </c>
      <c r="FF3" s="5">
        <v>0.5</v>
      </c>
      <c r="FG3" s="5">
        <v>0.5</v>
      </c>
      <c r="FH3" s="5">
        <v>0.5</v>
      </c>
      <c r="FI3" s="5">
        <v>0.5</v>
      </c>
      <c r="FJ3" s="5">
        <v>0.5</v>
      </c>
      <c r="FK3" s="5">
        <v>0.5</v>
      </c>
      <c r="FL3" s="5">
        <v>0.5</v>
      </c>
      <c r="FM3" s="5">
        <v>0.5</v>
      </c>
      <c r="FN3" s="5">
        <v>0.5</v>
      </c>
      <c r="FO3" s="5">
        <v>0.5</v>
      </c>
      <c r="FP3" s="5">
        <v>0.5</v>
      </c>
      <c r="FQ3" s="5">
        <v>0.5</v>
      </c>
      <c r="FR3" s="5">
        <v>0.5</v>
      </c>
      <c r="FS3" s="5">
        <v>0.5</v>
      </c>
      <c r="FT3" s="5">
        <v>0.5</v>
      </c>
      <c r="FU3" s="5">
        <v>0.5</v>
      </c>
      <c r="FV3" s="5">
        <v>0.5</v>
      </c>
      <c r="FW3" s="5">
        <v>0.5</v>
      </c>
      <c r="FX3" s="5">
        <v>0.5</v>
      </c>
      <c r="FY3" s="5">
        <v>0.25</v>
      </c>
      <c r="FZ3" s="5">
        <v>0.25</v>
      </c>
      <c r="GA3" s="5">
        <v>0.25</v>
      </c>
      <c r="GB3" s="5">
        <v>0.25</v>
      </c>
      <c r="GC3" s="5">
        <v>0.25</v>
      </c>
      <c r="GD3" s="5">
        <v>0.5</v>
      </c>
      <c r="GE3" s="5">
        <v>0.5</v>
      </c>
      <c r="GF3" s="5">
        <v>0.5</v>
      </c>
      <c r="GG3" s="5">
        <v>0.75</v>
      </c>
      <c r="GH3" s="5">
        <v>0.75</v>
      </c>
      <c r="GI3" s="5">
        <v>0.75</v>
      </c>
      <c r="GJ3" s="5">
        <v>0.75</v>
      </c>
      <c r="GK3" s="5">
        <v>0.75</v>
      </c>
      <c r="GL3" s="5">
        <v>0.75</v>
      </c>
      <c r="GM3" s="5">
        <v>0.1</v>
      </c>
      <c r="GN3" s="5">
        <v>0.1</v>
      </c>
      <c r="GO3" s="5">
        <v>0.1</v>
      </c>
      <c r="GP3" s="5">
        <v>0.1</v>
      </c>
      <c r="GQ3" s="5">
        <v>0.1</v>
      </c>
      <c r="GR3" s="5">
        <v>0.1</v>
      </c>
      <c r="GS3" s="5">
        <v>0.1</v>
      </c>
      <c r="GT3" s="5">
        <v>0.25</v>
      </c>
      <c r="GU3" s="5">
        <v>0.75</v>
      </c>
      <c r="GV3" s="5">
        <v>1.25</v>
      </c>
      <c r="GW3" s="5">
        <v>2.25</v>
      </c>
      <c r="GX3" s="5">
        <v>3.5</v>
      </c>
      <c r="GY3" s="5">
        <v>4.25</v>
      </c>
      <c r="GZ3" s="5">
        <v>5</v>
      </c>
      <c r="HA3" s="5">
        <v>5.25</v>
      </c>
      <c r="HB3" s="5">
        <v>5.25</v>
      </c>
      <c r="HC3" s="6">
        <v>5.25</v>
      </c>
      <c r="HD3" s="6">
        <v>5</v>
      </c>
      <c r="HE3" s="6">
        <v>4.75</v>
      </c>
      <c r="HF3" s="6">
        <v>4.5</v>
      </c>
      <c r="HG3" s="6">
        <v>4.25</v>
      </c>
      <c r="HH3" s="6">
        <v>4</v>
      </c>
      <c r="HI3" s="6">
        <v>3.75</v>
      </c>
      <c r="HJ3" s="6">
        <v>3.5</v>
      </c>
      <c r="HK3" s="6">
        <v>3.25</v>
      </c>
      <c r="HL3" s="6">
        <v>3</v>
      </c>
      <c r="HM3" s="6">
        <v>2.75</v>
      </c>
      <c r="HN3" s="6">
        <v>2.5</v>
      </c>
      <c r="HO3" s="6">
        <v>2.25</v>
      </c>
      <c r="HP3" s="6">
        <v>2</v>
      </c>
      <c r="HQ3" s="6">
        <v>2</v>
      </c>
      <c r="HR3" s="6">
        <v>2</v>
      </c>
      <c r="HS3" s="6">
        <v>2</v>
      </c>
      <c r="HT3" s="6">
        <v>2</v>
      </c>
      <c r="HU3" s="6">
        <v>2</v>
      </c>
      <c r="HV3" s="6">
        <v>2</v>
      </c>
      <c r="HW3" s="6">
        <v>2</v>
      </c>
      <c r="HX3" s="6">
        <v>2</v>
      </c>
      <c r="HY3" s="6">
        <v>2</v>
      </c>
      <c r="HZ3" s="6">
        <v>2</v>
      </c>
      <c r="IA3" s="6">
        <v>2</v>
      </c>
      <c r="IB3" s="6">
        <v>2</v>
      </c>
      <c r="IC3" s="6">
        <v>2</v>
      </c>
      <c r="ID3" s="6">
        <v>2</v>
      </c>
      <c r="IE3" s="6">
        <v>2</v>
      </c>
      <c r="IF3" s="6">
        <v>2</v>
      </c>
      <c r="IG3" s="6">
        <v>2</v>
      </c>
      <c r="IH3" s="6">
        <v>2</v>
      </c>
      <c r="II3" s="6">
        <v>2</v>
      </c>
      <c r="IJ3" s="6">
        <v>2</v>
      </c>
      <c r="IK3" s="6">
        <v>2</v>
      </c>
      <c r="IL3" s="6">
        <v>2</v>
      </c>
      <c r="IM3" s="6">
        <v>2</v>
      </c>
      <c r="IN3" s="6">
        <v>2</v>
      </c>
      <c r="IO3" s="6">
        <v>2</v>
      </c>
      <c r="IP3" s="6">
        <v>2</v>
      </c>
      <c r="IQ3" s="6">
        <v>2</v>
      </c>
      <c r="IR3" s="6">
        <v>2</v>
      </c>
      <c r="IS3" s="6">
        <v>2</v>
      </c>
      <c r="IT3" s="6">
        <v>2</v>
      </c>
      <c r="IU3" s="6">
        <v>2</v>
      </c>
      <c r="IV3" s="6">
        <v>2</v>
      </c>
      <c r="IW3" s="6">
        <v>2</v>
      </c>
      <c r="IX3" s="6">
        <v>2</v>
      </c>
      <c r="IY3" s="6">
        <v>2</v>
      </c>
      <c r="IZ3" s="6">
        <v>2</v>
      </c>
      <c r="JA3" s="6">
        <v>2</v>
      </c>
      <c r="JB3" s="6">
        <v>2</v>
      </c>
      <c r="JC3" s="6">
        <v>2</v>
      </c>
      <c r="JD3" s="6">
        <v>2</v>
      </c>
      <c r="JE3" s="6">
        <v>2</v>
      </c>
      <c r="JF3" s="6">
        <v>2</v>
      </c>
      <c r="JG3" s="6">
        <v>2</v>
      </c>
      <c r="JH3" s="6">
        <v>2</v>
      </c>
      <c r="JI3" s="6">
        <v>2</v>
      </c>
      <c r="JJ3" s="6">
        <v>2</v>
      </c>
      <c r="JK3" s="6">
        <v>2</v>
      </c>
      <c r="JL3" s="6">
        <v>2</v>
      </c>
      <c r="JM3" s="6">
        <v>2</v>
      </c>
      <c r="JN3" s="6">
        <v>2</v>
      </c>
      <c r="JO3" s="6">
        <v>2</v>
      </c>
      <c r="JP3" s="6">
        <v>2</v>
      </c>
      <c r="JQ3" s="6">
        <v>2</v>
      </c>
      <c r="JR3" s="6">
        <v>2</v>
      </c>
      <c r="JS3" s="6">
        <v>2</v>
      </c>
      <c r="JT3" s="6">
        <v>2</v>
      </c>
      <c r="JU3" s="6">
        <v>2</v>
      </c>
      <c r="JV3" s="6">
        <v>2</v>
      </c>
      <c r="JW3" s="6">
        <v>2</v>
      </c>
      <c r="JX3" s="6">
        <v>2</v>
      </c>
      <c r="JY3" s="6">
        <v>2</v>
      </c>
      <c r="JZ3" s="6">
        <v>2</v>
      </c>
      <c r="KA3" s="6">
        <v>2</v>
      </c>
      <c r="KB3" s="6">
        <v>2</v>
      </c>
      <c r="KC3" s="6">
        <v>2</v>
      </c>
      <c r="KD3" s="6">
        <v>2</v>
      </c>
      <c r="KE3" s="6">
        <v>2</v>
      </c>
      <c r="KF3" s="6">
        <v>2</v>
      </c>
      <c r="KG3" s="6">
        <v>2</v>
      </c>
      <c r="KH3" s="6">
        <v>2</v>
      </c>
      <c r="KI3" s="6">
        <v>2</v>
      </c>
      <c r="KJ3" s="6">
        <v>2</v>
      </c>
      <c r="KK3" s="6">
        <v>2</v>
      </c>
      <c r="KL3" s="6">
        <v>2</v>
      </c>
      <c r="KM3" s="6">
        <v>2</v>
      </c>
      <c r="KN3" s="6">
        <v>2</v>
      </c>
      <c r="KO3" s="6">
        <v>2</v>
      </c>
      <c r="KP3" s="6">
        <v>2</v>
      </c>
      <c r="KQ3" s="6">
        <v>2</v>
      </c>
      <c r="KR3" s="6">
        <v>2</v>
      </c>
      <c r="KS3" s="6">
        <v>2</v>
      </c>
      <c r="KT3" s="6">
        <v>2</v>
      </c>
      <c r="KU3" s="6">
        <v>2</v>
      </c>
      <c r="KV3" s="6">
        <v>2</v>
      </c>
      <c r="KW3" s="6">
        <v>2</v>
      </c>
      <c r="KX3" s="6">
        <v>2</v>
      </c>
      <c r="KY3" s="6">
        <v>2</v>
      </c>
      <c r="KZ3" s="6">
        <v>2</v>
      </c>
      <c r="LA3" s="6">
        <v>2</v>
      </c>
      <c r="LB3" s="6">
        <v>2</v>
      </c>
      <c r="LC3" s="6">
        <v>2</v>
      </c>
      <c r="LD3" s="6">
        <v>2</v>
      </c>
      <c r="LE3" s="6">
        <v>2</v>
      </c>
      <c r="LF3" s="6">
        <v>2</v>
      </c>
      <c r="LG3" s="2" t="s">
        <v>347</v>
      </c>
      <c r="LH3" s="2" t="s">
        <v>348</v>
      </c>
      <c r="LI3" s="2" t="s">
        <v>338</v>
      </c>
      <c r="LJ3" s="2" t="s">
        <v>338</v>
      </c>
      <c r="LK3" s="2" t="s">
        <v>339</v>
      </c>
      <c r="LL3" s="2" t="s">
        <v>623</v>
      </c>
      <c r="LM3" s="2" t="s">
        <v>338</v>
      </c>
      <c r="LN3" s="4" t="s">
        <v>350</v>
      </c>
      <c r="LO3" s="2" t="s">
        <v>351</v>
      </c>
      <c r="LP3" s="2" t="s">
        <v>343</v>
      </c>
      <c r="LQ3" s="2" t="s">
        <v>352</v>
      </c>
      <c r="LR3" s="4" t="s">
        <v>659</v>
      </c>
      <c r="LS3"/>
      <c r="LT3"/>
      <c r="LU3"/>
      <c r="LV3"/>
      <c r="LW3"/>
      <c r="LX3"/>
    </row>
    <row r="4" spans="1:336" x14ac:dyDescent="0.35">
      <c r="A4" s="2" t="s">
        <v>330</v>
      </c>
      <c r="B4" s="2" t="s">
        <v>624</v>
      </c>
      <c r="C4" s="4" t="s">
        <v>658</v>
      </c>
      <c r="D4" s="2" t="s">
        <v>346</v>
      </c>
      <c r="E4" s="2" t="s">
        <v>338</v>
      </c>
      <c r="F4" s="2" t="s">
        <v>334</v>
      </c>
      <c r="G4" s="5">
        <v>8.7884620000000009</v>
      </c>
      <c r="H4" s="5">
        <v>7.9961539999999998</v>
      </c>
      <c r="I4" s="5">
        <v>10.38461</v>
      </c>
      <c r="J4" s="5">
        <v>12.23485</v>
      </c>
      <c r="K4" s="5">
        <v>12.60938</v>
      </c>
      <c r="L4" s="5">
        <v>11.96923</v>
      </c>
      <c r="M4" s="5">
        <v>11.727270000000001</v>
      </c>
      <c r="N4" s="5">
        <v>11.5</v>
      </c>
      <c r="O4" s="5">
        <v>10.773440000000001</v>
      </c>
      <c r="P4" s="5">
        <v>9.9615379999999991</v>
      </c>
      <c r="Q4" s="5">
        <v>10.712120000000001</v>
      </c>
      <c r="R4" s="5">
        <v>11.731059999999999</v>
      </c>
      <c r="S4" s="5">
        <v>9.8384619999999998</v>
      </c>
      <c r="T4" s="5">
        <v>10.538460000000001</v>
      </c>
      <c r="U4" s="5">
        <v>11.81818</v>
      </c>
      <c r="V4" s="5">
        <v>14.715909999999999</v>
      </c>
      <c r="W4" s="5">
        <v>12.26172</v>
      </c>
      <c r="X4" s="5">
        <v>8.4115380000000002</v>
      </c>
      <c r="Y4" s="5">
        <v>7.2424239999999998</v>
      </c>
      <c r="Z4" s="5">
        <v>5.8846150000000002</v>
      </c>
      <c r="AA4" s="5">
        <v>6.538462</v>
      </c>
      <c r="AB4" s="5">
        <v>8.5576930000000004</v>
      </c>
      <c r="AC4" s="5">
        <v>10</v>
      </c>
      <c r="AD4" s="5">
        <v>11.423080000000001</v>
      </c>
      <c r="AE4" s="5">
        <v>13.01538</v>
      </c>
      <c r="AF4" s="5">
        <v>12.446149999999999</v>
      </c>
      <c r="AG4" s="5">
        <v>14</v>
      </c>
      <c r="AH4" s="5">
        <v>15.5</v>
      </c>
      <c r="AI4" s="5">
        <v>17</v>
      </c>
      <c r="AJ4" s="5">
        <v>17</v>
      </c>
      <c r="AK4" s="5">
        <v>16.0303</v>
      </c>
      <c r="AL4" s="5">
        <v>15.18182</v>
      </c>
      <c r="AM4" s="5">
        <v>13.53125</v>
      </c>
      <c r="AN4" s="5">
        <v>12</v>
      </c>
      <c r="AO4" s="5">
        <v>12.51989</v>
      </c>
      <c r="AP4" s="5">
        <v>14.60417</v>
      </c>
      <c r="AQ4" s="5">
        <v>13.785159999999999</v>
      </c>
      <c r="AR4" s="5">
        <v>13.01346</v>
      </c>
      <c r="AS4" s="5">
        <v>11.3428</v>
      </c>
      <c r="AT4" s="5">
        <v>9.6856059999999999</v>
      </c>
      <c r="AU4" s="5">
        <v>10.80176</v>
      </c>
      <c r="AV4" s="5">
        <v>10.024039999999999</v>
      </c>
      <c r="AW4" s="5">
        <v>9.5606059999999999</v>
      </c>
      <c r="AX4" s="5">
        <v>9.0625</v>
      </c>
      <c r="AY4" s="5">
        <v>8.9432690000000008</v>
      </c>
      <c r="AZ4" s="5">
        <v>8.8442310000000006</v>
      </c>
      <c r="BA4" s="5">
        <v>10.89615</v>
      </c>
      <c r="BB4" s="5">
        <v>9.969697</v>
      </c>
      <c r="BC4" s="5">
        <v>12.86914</v>
      </c>
      <c r="BD4" s="5">
        <v>12.48269</v>
      </c>
      <c r="BE4" s="5">
        <v>11.579549999999999</v>
      </c>
      <c r="BF4" s="5">
        <v>11.375</v>
      </c>
      <c r="BG4" s="5">
        <v>12.07813</v>
      </c>
      <c r="BH4" s="5">
        <v>10.328849999999999</v>
      </c>
      <c r="BI4" s="5">
        <v>9.875</v>
      </c>
      <c r="BJ4" s="5">
        <v>10.72348</v>
      </c>
      <c r="BK4" s="5">
        <v>10.664059999999999</v>
      </c>
      <c r="BL4" s="5">
        <v>9.228847</v>
      </c>
      <c r="BM4" s="5">
        <v>9.4810610000000004</v>
      </c>
      <c r="BN4" s="5">
        <v>9.0189389999999996</v>
      </c>
      <c r="BO4" s="5">
        <v>8.6288459999999993</v>
      </c>
      <c r="BP4" s="5">
        <v>7.9673080000000001</v>
      </c>
      <c r="BQ4" s="5">
        <v>10.920450000000001</v>
      </c>
      <c r="BR4" s="5">
        <v>12.275</v>
      </c>
      <c r="BS4" s="5">
        <v>12.875</v>
      </c>
      <c r="BT4" s="5">
        <v>13.23846</v>
      </c>
      <c r="BU4" s="5">
        <v>13.760579999999999</v>
      </c>
      <c r="BV4" s="5">
        <v>14.805770000000001</v>
      </c>
      <c r="BW4" s="5">
        <v>14.875</v>
      </c>
      <c r="BX4" s="5">
        <v>14.875</v>
      </c>
      <c r="BY4" s="5">
        <v>14.875</v>
      </c>
      <c r="BZ4" s="5">
        <v>13.950760000000001</v>
      </c>
      <c r="CA4" s="5">
        <v>13.39063</v>
      </c>
      <c r="CB4" s="5">
        <v>11.74423</v>
      </c>
      <c r="CC4" s="5">
        <v>10.799239999999999</v>
      </c>
      <c r="CD4" s="5">
        <v>10.375</v>
      </c>
      <c r="CE4" s="5">
        <v>10.375</v>
      </c>
      <c r="CF4" s="5">
        <v>10.059620000000001</v>
      </c>
      <c r="CG4" s="5">
        <v>9.7689389999999996</v>
      </c>
      <c r="CH4" s="5">
        <v>7.5113640000000004</v>
      </c>
      <c r="CI4" s="5">
        <v>6.140625</v>
      </c>
      <c r="CJ4" s="5">
        <v>5.875</v>
      </c>
      <c r="CK4" s="5">
        <v>5.875</v>
      </c>
      <c r="CL4" s="5">
        <v>5.655303</v>
      </c>
      <c r="CM4" s="5">
        <v>5.2265629999999996</v>
      </c>
      <c r="CN4" s="5">
        <v>5.125</v>
      </c>
      <c r="CO4" s="5">
        <v>5.2386359999999996</v>
      </c>
      <c r="CP4" s="5">
        <v>5.7634619999999996</v>
      </c>
      <c r="CQ4" s="5">
        <v>6.4480769999999996</v>
      </c>
      <c r="CR4" s="5">
        <v>6.625</v>
      </c>
      <c r="CS4" s="5">
        <v>6.625</v>
      </c>
      <c r="CT4" s="5">
        <v>6.5750000000000002</v>
      </c>
      <c r="CU4" s="5">
        <v>6.1288460000000002</v>
      </c>
      <c r="CV4" s="5">
        <v>5.8721160000000001</v>
      </c>
      <c r="CW4" s="5">
        <v>5.6875</v>
      </c>
      <c r="CX4" s="5">
        <v>5.8579549999999996</v>
      </c>
      <c r="CY4" s="5">
        <v>5.9375</v>
      </c>
      <c r="CZ4" s="5">
        <v>6.1951919999999996</v>
      </c>
      <c r="DA4" s="5">
        <v>6.8712119999999999</v>
      </c>
      <c r="DB4" s="5">
        <v>7.1515149999999998</v>
      </c>
      <c r="DC4" s="5">
        <v>7.25</v>
      </c>
      <c r="DD4" s="5">
        <v>7.3230769999999996</v>
      </c>
      <c r="DE4" s="5">
        <v>7.5</v>
      </c>
      <c r="DF4" s="5">
        <v>6.8371209999999998</v>
      </c>
      <c r="DG4" s="5">
        <v>5.703125</v>
      </c>
      <c r="DH4" s="5">
        <v>5.211538</v>
      </c>
      <c r="DI4" s="5">
        <v>5.0643940000000001</v>
      </c>
      <c r="DJ4" s="5">
        <v>5.4090910000000001</v>
      </c>
      <c r="DK4" s="5">
        <v>5.8615380000000004</v>
      </c>
      <c r="DL4" s="5">
        <v>6</v>
      </c>
      <c r="DM4" s="5">
        <v>6</v>
      </c>
      <c r="DN4" s="5">
        <v>6</v>
      </c>
      <c r="DO4" s="5">
        <v>5.8576920000000001</v>
      </c>
      <c r="DP4" s="5">
        <v>5.3692310000000001</v>
      </c>
      <c r="DQ4" s="5">
        <v>5.0538460000000001</v>
      </c>
      <c r="DR4" s="5">
        <v>4.2234850000000002</v>
      </c>
      <c r="DS4" s="5">
        <v>4</v>
      </c>
      <c r="DT4" s="5">
        <v>4</v>
      </c>
      <c r="DU4" s="5">
        <v>4</v>
      </c>
      <c r="DV4" s="5">
        <v>4</v>
      </c>
      <c r="DW4" s="5">
        <v>3.8515630000000001</v>
      </c>
      <c r="DX4" s="5">
        <v>3.75</v>
      </c>
      <c r="DY4" s="5">
        <v>3.5265149999999998</v>
      </c>
      <c r="DZ4" s="5">
        <v>3.6515149999999998</v>
      </c>
      <c r="EA4" s="5">
        <v>3.9038460000000001</v>
      </c>
      <c r="EB4" s="5">
        <v>4.211538</v>
      </c>
      <c r="EC4" s="5">
        <v>4.655303</v>
      </c>
      <c r="ED4" s="5">
        <v>4.75</v>
      </c>
      <c r="EE4" s="5">
        <v>4.75</v>
      </c>
      <c r="EF4" s="5">
        <v>4.75</v>
      </c>
      <c r="EG4" s="5">
        <v>4.5909089999999999</v>
      </c>
      <c r="EH4" s="5">
        <v>4.5</v>
      </c>
      <c r="EI4" s="5">
        <v>4.5</v>
      </c>
      <c r="EJ4" s="5">
        <v>4.5</v>
      </c>
      <c r="EK4" s="5">
        <v>4.6615390000000003</v>
      </c>
      <c r="EL4" s="5">
        <v>4.8923079999999999</v>
      </c>
      <c r="EM4" s="5">
        <v>5.2192309999999997</v>
      </c>
      <c r="EN4" s="5">
        <v>5.3923079999999999</v>
      </c>
      <c r="EO4" s="5">
        <v>5.738461</v>
      </c>
      <c r="EP4" s="5">
        <v>5.6818179999999998</v>
      </c>
      <c r="EQ4" s="5">
        <v>5.3538459999999999</v>
      </c>
      <c r="ER4" s="5">
        <v>5.026923</v>
      </c>
      <c r="ES4" s="5">
        <v>5</v>
      </c>
      <c r="ET4" s="5">
        <v>3.325758</v>
      </c>
      <c r="EU4" s="5">
        <v>1.0859380000000001</v>
      </c>
      <c r="EV4" s="5">
        <v>0.5</v>
      </c>
      <c r="EW4" s="5">
        <v>0.5</v>
      </c>
      <c r="EX4" s="5">
        <v>0.5</v>
      </c>
      <c r="EY4" s="5">
        <v>0.5</v>
      </c>
      <c r="EZ4" s="5">
        <v>0.5</v>
      </c>
      <c r="FA4" s="5">
        <v>0.5</v>
      </c>
      <c r="FB4" s="5">
        <v>0.5</v>
      </c>
      <c r="FC4" s="5">
        <v>0.5</v>
      </c>
      <c r="FD4" s="5">
        <v>0.5</v>
      </c>
      <c r="FE4" s="5">
        <v>0.5</v>
      </c>
      <c r="FF4" s="5">
        <v>0.5</v>
      </c>
      <c r="FG4" s="5">
        <v>0.5</v>
      </c>
      <c r="FH4" s="5">
        <v>0.5</v>
      </c>
      <c r="FI4" s="5">
        <v>0.5</v>
      </c>
      <c r="FJ4" s="5">
        <v>0.5</v>
      </c>
      <c r="FK4" s="5">
        <v>0.5</v>
      </c>
      <c r="FL4" s="5">
        <v>0.5</v>
      </c>
      <c r="FM4" s="5">
        <v>0.5</v>
      </c>
      <c r="FN4" s="5">
        <v>0.5</v>
      </c>
      <c r="FO4" s="5">
        <v>0.5</v>
      </c>
      <c r="FP4" s="5">
        <v>0.5</v>
      </c>
      <c r="FQ4" s="5">
        <v>0.5</v>
      </c>
      <c r="FR4" s="5">
        <v>0.5</v>
      </c>
      <c r="FS4" s="5">
        <v>0.5</v>
      </c>
      <c r="FT4" s="5">
        <v>0.5</v>
      </c>
      <c r="FU4" s="5">
        <v>0.5</v>
      </c>
      <c r="FV4" s="5">
        <v>0.5</v>
      </c>
      <c r="FW4" s="5">
        <v>0.5</v>
      </c>
      <c r="FX4" s="5">
        <v>0.5</v>
      </c>
      <c r="FY4" s="5">
        <v>0.34090910000000002</v>
      </c>
      <c r="FZ4" s="5">
        <v>0.25</v>
      </c>
      <c r="GA4" s="5">
        <v>0.25</v>
      </c>
      <c r="GB4" s="5">
        <v>0.25</v>
      </c>
      <c r="GC4" s="5">
        <v>0.25</v>
      </c>
      <c r="GD4" s="5">
        <v>0.41153849999999997</v>
      </c>
      <c r="GE4" s="5">
        <v>0.5</v>
      </c>
      <c r="GF4" s="5">
        <v>0.5</v>
      </c>
      <c r="GG4" s="5">
        <v>0.66153850000000003</v>
      </c>
      <c r="GH4" s="5">
        <v>0.75</v>
      </c>
      <c r="GI4" s="5">
        <v>0.75</v>
      </c>
      <c r="GJ4" s="5">
        <v>0.75</v>
      </c>
      <c r="GK4" s="5">
        <v>0.75</v>
      </c>
      <c r="GL4" s="5">
        <v>0.75</v>
      </c>
      <c r="GM4" s="5">
        <v>0.61384620000000001</v>
      </c>
      <c r="GN4" s="5">
        <v>0.1</v>
      </c>
      <c r="GO4" s="5">
        <v>0.1</v>
      </c>
      <c r="GP4" s="5">
        <v>0.1</v>
      </c>
      <c r="GQ4" s="5">
        <v>0.1</v>
      </c>
      <c r="GR4" s="5">
        <v>0.1</v>
      </c>
      <c r="GS4" s="5">
        <v>0.1</v>
      </c>
      <c r="GT4" s="5">
        <v>0.12727269999999999</v>
      </c>
      <c r="GU4" s="5">
        <v>0.453125</v>
      </c>
      <c r="GV4" s="5">
        <v>0.95</v>
      </c>
      <c r="GW4" s="5">
        <v>1.6212120000000001</v>
      </c>
      <c r="GX4" s="5">
        <v>2.8269229999999999</v>
      </c>
      <c r="GY4" s="5">
        <v>3.85</v>
      </c>
      <c r="GZ4" s="5">
        <v>4.4461539999999999</v>
      </c>
      <c r="HA4" s="5">
        <v>5.1615390000000003</v>
      </c>
      <c r="HB4" s="5">
        <v>5.25</v>
      </c>
      <c r="HC4" s="6">
        <v>5.25</v>
      </c>
      <c r="HD4" s="6">
        <v>5.223077</v>
      </c>
      <c r="HE4" s="6">
        <v>4.8371209999999998</v>
      </c>
      <c r="HF4" s="6">
        <v>4.6022730000000003</v>
      </c>
      <c r="HG4" s="6">
        <v>4.3515629999999996</v>
      </c>
      <c r="HH4" s="6">
        <v>4.0846150000000003</v>
      </c>
      <c r="HI4" s="6">
        <v>3.8522729999999998</v>
      </c>
      <c r="HJ4" s="6">
        <v>3.5984850000000002</v>
      </c>
      <c r="HK4" s="6">
        <v>3.3476560000000002</v>
      </c>
      <c r="HL4" s="6">
        <v>3.1</v>
      </c>
      <c r="HM4" s="6">
        <v>2.8484850000000002</v>
      </c>
      <c r="HN4" s="6">
        <v>2.594697</v>
      </c>
      <c r="HO4" s="6">
        <v>2.34375</v>
      </c>
      <c r="HP4" s="6">
        <v>2.0961539999999999</v>
      </c>
      <c r="HQ4" s="6">
        <v>2</v>
      </c>
      <c r="HR4" s="6">
        <v>2</v>
      </c>
      <c r="HS4" s="6">
        <v>2</v>
      </c>
      <c r="HT4" s="6">
        <v>2</v>
      </c>
      <c r="HU4" s="6">
        <v>2</v>
      </c>
      <c r="HV4" s="6">
        <v>2</v>
      </c>
      <c r="HW4" s="6">
        <v>2</v>
      </c>
      <c r="HX4" s="6">
        <v>2</v>
      </c>
      <c r="HY4" s="6">
        <v>2</v>
      </c>
      <c r="HZ4" s="6">
        <v>2</v>
      </c>
      <c r="IA4" s="6">
        <v>2</v>
      </c>
      <c r="IB4" s="6">
        <v>2</v>
      </c>
      <c r="IC4" s="6">
        <v>2</v>
      </c>
      <c r="ID4" s="6">
        <v>2</v>
      </c>
      <c r="IE4" s="6">
        <v>2</v>
      </c>
      <c r="IF4" s="6">
        <v>2</v>
      </c>
      <c r="IG4" s="6">
        <v>2</v>
      </c>
      <c r="IH4" s="6">
        <v>2</v>
      </c>
      <c r="II4" s="6">
        <v>2</v>
      </c>
      <c r="IJ4" s="6">
        <v>2</v>
      </c>
      <c r="IK4" s="6">
        <v>2</v>
      </c>
      <c r="IL4" s="6">
        <v>2</v>
      </c>
      <c r="IM4" s="6">
        <v>2</v>
      </c>
      <c r="IN4" s="6">
        <v>2</v>
      </c>
      <c r="IO4" s="6">
        <v>2</v>
      </c>
      <c r="IP4" s="6">
        <v>2</v>
      </c>
      <c r="IQ4" s="6">
        <v>2</v>
      </c>
      <c r="IR4" s="6">
        <v>2</v>
      </c>
      <c r="IS4" s="6">
        <v>2</v>
      </c>
      <c r="IT4" s="6">
        <v>2</v>
      </c>
      <c r="IU4" s="6">
        <v>2</v>
      </c>
      <c r="IV4" s="6">
        <v>2</v>
      </c>
      <c r="IW4" s="6">
        <v>2</v>
      </c>
      <c r="IX4" s="6">
        <v>2</v>
      </c>
      <c r="IY4" s="6">
        <v>2</v>
      </c>
      <c r="IZ4" s="6">
        <v>2</v>
      </c>
      <c r="JA4" s="6">
        <v>2</v>
      </c>
      <c r="JB4" s="6">
        <v>2</v>
      </c>
      <c r="JC4" s="6">
        <v>2</v>
      </c>
      <c r="JD4" s="6">
        <v>2</v>
      </c>
      <c r="JE4" s="6">
        <v>2</v>
      </c>
      <c r="JF4" s="6">
        <v>2</v>
      </c>
      <c r="JG4" s="6">
        <v>2</v>
      </c>
      <c r="JH4" s="6">
        <v>2</v>
      </c>
      <c r="JI4" s="6">
        <v>2</v>
      </c>
      <c r="JJ4" s="6">
        <v>2</v>
      </c>
      <c r="JK4" s="6">
        <v>2</v>
      </c>
      <c r="JL4" s="6">
        <v>2</v>
      </c>
      <c r="JM4" s="6">
        <v>2</v>
      </c>
      <c r="JN4" s="6">
        <v>2</v>
      </c>
      <c r="JO4" s="6">
        <v>2</v>
      </c>
      <c r="JP4" s="6">
        <v>2</v>
      </c>
      <c r="JQ4" s="6">
        <v>2</v>
      </c>
      <c r="JR4" s="6">
        <v>2</v>
      </c>
      <c r="JS4" s="6">
        <v>2</v>
      </c>
      <c r="JT4" s="6">
        <v>2</v>
      </c>
      <c r="JU4" s="6">
        <v>2</v>
      </c>
      <c r="JV4" s="6">
        <v>2</v>
      </c>
      <c r="JW4" s="6">
        <v>2</v>
      </c>
      <c r="JX4" s="6">
        <v>2</v>
      </c>
      <c r="JY4" s="6">
        <v>2</v>
      </c>
      <c r="JZ4" s="6">
        <v>2</v>
      </c>
      <c r="KA4" s="6">
        <v>2</v>
      </c>
      <c r="KB4" s="6">
        <v>2</v>
      </c>
      <c r="KC4" s="6">
        <v>2</v>
      </c>
      <c r="KD4" s="6">
        <v>2</v>
      </c>
      <c r="KE4" s="6">
        <v>2</v>
      </c>
      <c r="KF4" s="6">
        <v>2</v>
      </c>
      <c r="KG4" s="6">
        <v>2</v>
      </c>
      <c r="KH4" s="6">
        <v>2</v>
      </c>
      <c r="KI4" s="6">
        <v>2</v>
      </c>
      <c r="KJ4" s="6">
        <v>2</v>
      </c>
      <c r="KK4" s="6">
        <v>2</v>
      </c>
      <c r="KL4" s="6">
        <v>2</v>
      </c>
      <c r="KM4" s="6">
        <v>2</v>
      </c>
      <c r="KN4" s="6">
        <v>2</v>
      </c>
      <c r="KO4" s="6">
        <v>2</v>
      </c>
      <c r="KP4" s="6">
        <v>2</v>
      </c>
      <c r="KQ4" s="6">
        <v>2</v>
      </c>
      <c r="KR4" s="6">
        <v>2</v>
      </c>
      <c r="KS4" s="6">
        <v>2</v>
      </c>
      <c r="KT4" s="6">
        <v>2</v>
      </c>
      <c r="KU4" s="6">
        <v>2</v>
      </c>
      <c r="KV4" s="6">
        <v>2</v>
      </c>
      <c r="KW4" s="6">
        <v>2</v>
      </c>
      <c r="KX4" s="6">
        <v>2</v>
      </c>
      <c r="KY4" s="6">
        <v>2</v>
      </c>
      <c r="KZ4" s="6">
        <v>2</v>
      </c>
      <c r="LA4" s="6">
        <v>2</v>
      </c>
      <c r="LB4" s="6">
        <v>2</v>
      </c>
      <c r="LC4" s="6">
        <v>2</v>
      </c>
      <c r="LD4" s="6">
        <v>2</v>
      </c>
      <c r="LE4" s="6">
        <v>2</v>
      </c>
      <c r="LF4" s="6">
        <v>2</v>
      </c>
      <c r="LG4" s="2" t="s">
        <v>347</v>
      </c>
      <c r="LH4" s="2" t="s">
        <v>348</v>
      </c>
      <c r="LI4" s="2" t="s">
        <v>338</v>
      </c>
      <c r="LJ4" s="2" t="s">
        <v>338</v>
      </c>
      <c r="LK4" s="2" t="s">
        <v>339</v>
      </c>
      <c r="LL4" s="2" t="s">
        <v>623</v>
      </c>
      <c r="LM4" s="2" t="s">
        <v>338</v>
      </c>
      <c r="LN4" s="4" t="s">
        <v>625</v>
      </c>
      <c r="LO4" s="2" t="s">
        <v>626</v>
      </c>
      <c r="LP4" s="2" t="s">
        <v>343</v>
      </c>
      <c r="LQ4" s="2" t="s">
        <v>627</v>
      </c>
      <c r="LR4" s="4" t="s">
        <v>659</v>
      </c>
      <c r="LS4"/>
      <c r="LT4"/>
      <c r="LU4"/>
      <c r="LV4"/>
      <c r="LW4"/>
      <c r="LX4"/>
    </row>
    <row r="5" spans="1:336" x14ac:dyDescent="0.35">
      <c r="A5" s="2" t="s">
        <v>330</v>
      </c>
      <c r="B5" s="4" t="s">
        <v>353</v>
      </c>
      <c r="C5" s="4" t="s">
        <v>658</v>
      </c>
      <c r="D5" s="2" t="s">
        <v>346</v>
      </c>
      <c r="E5" s="2" t="s">
        <v>338</v>
      </c>
      <c r="F5" s="2" t="s">
        <v>334</v>
      </c>
      <c r="G5" s="5">
        <v>1E-3</v>
      </c>
      <c r="H5" s="5">
        <v>1E-3</v>
      </c>
      <c r="I5" s="5">
        <v>1E-3</v>
      </c>
      <c r="J5" s="5">
        <v>1E-3</v>
      </c>
      <c r="K5" s="5">
        <v>1E-3</v>
      </c>
      <c r="L5" s="5">
        <v>1E-3</v>
      </c>
      <c r="M5" s="5">
        <v>1E-3</v>
      </c>
      <c r="N5" s="5">
        <v>1E-3</v>
      </c>
      <c r="O5" s="5">
        <v>1E-3</v>
      </c>
      <c r="P5" s="5">
        <v>1E-3</v>
      </c>
      <c r="Q5" s="5">
        <v>1E-3</v>
      </c>
      <c r="R5" s="5">
        <v>1E-3</v>
      </c>
      <c r="S5" s="5">
        <v>1E-3</v>
      </c>
      <c r="T5" s="5">
        <v>1E-3</v>
      </c>
      <c r="U5" s="5">
        <v>1E-3</v>
      </c>
      <c r="V5" s="5">
        <v>1E-3</v>
      </c>
      <c r="W5" s="5">
        <v>1E-3</v>
      </c>
      <c r="X5" s="5">
        <v>1E-3</v>
      </c>
      <c r="Y5" s="5">
        <v>1E-3</v>
      </c>
      <c r="Z5" s="5">
        <v>1E-3</v>
      </c>
      <c r="AA5" s="5">
        <v>1E-3</v>
      </c>
      <c r="AB5" s="5">
        <v>1E-3</v>
      </c>
      <c r="AC5" s="5">
        <v>1E-3</v>
      </c>
      <c r="AD5" s="5">
        <v>1E-3</v>
      </c>
      <c r="AE5" s="5">
        <v>1E-3</v>
      </c>
      <c r="AF5" s="5">
        <v>1E-3</v>
      </c>
      <c r="AG5" s="5">
        <v>1E-3</v>
      </c>
      <c r="AH5" s="5">
        <v>1E-3</v>
      </c>
      <c r="AI5" s="5">
        <v>1E-3</v>
      </c>
      <c r="AJ5" s="5">
        <v>1E-3</v>
      </c>
      <c r="AK5" s="5">
        <v>1E-3</v>
      </c>
      <c r="AL5" s="5">
        <v>1E-3</v>
      </c>
      <c r="AM5" s="5">
        <v>1E-3</v>
      </c>
      <c r="AN5" s="5">
        <v>1E-3</v>
      </c>
      <c r="AO5" s="5">
        <v>1E-3</v>
      </c>
      <c r="AP5" s="5">
        <v>1E-3</v>
      </c>
      <c r="AQ5" s="5">
        <v>1E-3</v>
      </c>
      <c r="AR5" s="5">
        <v>1E-3</v>
      </c>
      <c r="AS5" s="5">
        <v>1E-3</v>
      </c>
      <c r="AT5" s="5">
        <v>1E-3</v>
      </c>
      <c r="AU5" s="5">
        <v>1E-3</v>
      </c>
      <c r="AV5" s="5">
        <v>1E-3</v>
      </c>
      <c r="AW5" s="5">
        <v>1E-3</v>
      </c>
      <c r="AX5" s="5">
        <v>1E-3</v>
      </c>
      <c r="AY5" s="5">
        <v>10.65</v>
      </c>
      <c r="AZ5" s="5">
        <v>11.7</v>
      </c>
      <c r="BA5" s="5">
        <v>11.03</v>
      </c>
      <c r="BB5" s="5">
        <v>11.07</v>
      </c>
      <c r="BC5" s="5">
        <v>11.09</v>
      </c>
      <c r="BD5" s="5">
        <v>11.05</v>
      </c>
      <c r="BE5" s="5">
        <v>10.55</v>
      </c>
      <c r="BF5" s="5">
        <v>10.83</v>
      </c>
      <c r="BG5" s="5">
        <v>9.14</v>
      </c>
      <c r="BH5" s="5">
        <v>9.5500000000000007</v>
      </c>
      <c r="BI5" s="5">
        <v>10.86</v>
      </c>
      <c r="BJ5" s="5">
        <v>10.57</v>
      </c>
      <c r="BK5" s="5">
        <v>9.18</v>
      </c>
      <c r="BL5" s="5">
        <v>9.1999999999999993</v>
      </c>
      <c r="BM5" s="5">
        <v>10.26</v>
      </c>
      <c r="BN5" s="5">
        <v>9.61</v>
      </c>
      <c r="BO5" s="5">
        <v>9.09</v>
      </c>
      <c r="BP5" s="5">
        <v>9.8000000000000007</v>
      </c>
      <c r="BQ5" s="5">
        <v>9.8800000000000008</v>
      </c>
      <c r="BR5" s="5">
        <v>10.11</v>
      </c>
      <c r="BS5" s="5">
        <v>10</v>
      </c>
      <c r="BT5" s="5">
        <v>10.41</v>
      </c>
      <c r="BU5" s="5">
        <v>10.46</v>
      </c>
      <c r="BV5" s="5">
        <v>10.41</v>
      </c>
      <c r="BW5" s="5">
        <v>12.52</v>
      </c>
      <c r="BX5" s="5">
        <v>11.65</v>
      </c>
      <c r="BY5" s="5">
        <v>12.14</v>
      </c>
      <c r="BZ5" s="5">
        <v>11.04</v>
      </c>
      <c r="CA5" s="5">
        <v>10.14</v>
      </c>
      <c r="CB5" s="5">
        <v>10.56</v>
      </c>
      <c r="CC5" s="5">
        <v>9.58</v>
      </c>
      <c r="CD5" s="5">
        <v>9.73</v>
      </c>
      <c r="CE5" s="5">
        <v>9.9</v>
      </c>
      <c r="CF5" s="5">
        <v>9.11</v>
      </c>
      <c r="CG5" s="5">
        <v>8.9600000000000009</v>
      </c>
      <c r="CH5" s="5">
        <v>8.17</v>
      </c>
      <c r="CI5" s="5">
        <v>7.8</v>
      </c>
      <c r="CJ5" s="5">
        <v>7.7</v>
      </c>
      <c r="CK5" s="5">
        <v>6.96</v>
      </c>
      <c r="CL5" s="5">
        <v>6.2390999999999996</v>
      </c>
      <c r="CM5" s="5">
        <v>7.5</v>
      </c>
      <c r="CN5" s="5">
        <v>8.59</v>
      </c>
      <c r="CO5" s="5">
        <v>8.8000000000000007</v>
      </c>
      <c r="CP5" s="5">
        <v>8.6999999999999993</v>
      </c>
      <c r="CQ5" s="5">
        <v>8.49</v>
      </c>
      <c r="CR5" s="5">
        <v>8.48</v>
      </c>
      <c r="CS5" s="5">
        <v>8.1199999999999992</v>
      </c>
      <c r="CT5" s="5">
        <v>7.43</v>
      </c>
      <c r="CU5" s="5">
        <v>8.15</v>
      </c>
      <c r="CV5" s="5">
        <v>7.88</v>
      </c>
      <c r="CW5" s="5">
        <v>7.65</v>
      </c>
      <c r="CX5" s="5">
        <v>7.51</v>
      </c>
      <c r="CY5" s="5">
        <v>7.62</v>
      </c>
      <c r="CZ5" s="5">
        <v>7.09</v>
      </c>
      <c r="DA5" s="5">
        <v>6.44</v>
      </c>
      <c r="DB5" s="5">
        <v>6.29</v>
      </c>
      <c r="DC5" s="5">
        <v>5.9</v>
      </c>
      <c r="DD5" s="5">
        <v>5.84</v>
      </c>
      <c r="DE5" s="5">
        <v>4.8899999999999997</v>
      </c>
      <c r="DF5" s="5">
        <v>4.3600000000000003</v>
      </c>
      <c r="DG5" s="5">
        <v>4.58</v>
      </c>
      <c r="DH5" s="5">
        <v>5.0599999999999996</v>
      </c>
      <c r="DI5" s="5">
        <v>5.62</v>
      </c>
      <c r="DJ5" s="5">
        <v>5.48</v>
      </c>
      <c r="DK5" s="5">
        <v>5.25</v>
      </c>
      <c r="DL5" s="5">
        <v>5.17</v>
      </c>
      <c r="DM5" s="5">
        <v>5.2</v>
      </c>
      <c r="DN5" s="5">
        <v>4.8899999999999997</v>
      </c>
      <c r="DO5" s="5">
        <v>4.87</v>
      </c>
      <c r="DP5" s="5">
        <v>5.29</v>
      </c>
      <c r="DQ5" s="5">
        <v>4.88</v>
      </c>
      <c r="DR5" s="5">
        <v>5.07</v>
      </c>
      <c r="DS5" s="5">
        <v>5.3</v>
      </c>
      <c r="DT5" s="5">
        <v>5.0199999999999996</v>
      </c>
      <c r="DU5" s="5">
        <v>4.3899999999999997</v>
      </c>
      <c r="DV5" s="5">
        <v>4.38</v>
      </c>
      <c r="DW5" s="5">
        <v>4.29</v>
      </c>
      <c r="DX5" s="5">
        <v>4.17</v>
      </c>
      <c r="DY5" s="5">
        <v>4.54</v>
      </c>
      <c r="DZ5" s="5">
        <v>4.7699999999999996</v>
      </c>
      <c r="EA5" s="5">
        <v>4.75</v>
      </c>
      <c r="EB5" s="5">
        <v>5.0999999999999996</v>
      </c>
      <c r="EC5" s="5">
        <v>4.83</v>
      </c>
      <c r="ED5" s="5">
        <v>4.54</v>
      </c>
      <c r="EE5" s="5">
        <v>4.6900000000000004</v>
      </c>
      <c r="EF5" s="5">
        <v>4.17</v>
      </c>
      <c r="EG5" s="5">
        <v>4.29</v>
      </c>
      <c r="EH5" s="5">
        <v>4.09</v>
      </c>
      <c r="EI5" s="5">
        <v>4.4000000000000004</v>
      </c>
      <c r="EJ5" s="5">
        <v>4.7</v>
      </c>
      <c r="EK5" s="5">
        <v>4.5199999999999996</v>
      </c>
      <c r="EL5" s="5">
        <v>4.74</v>
      </c>
      <c r="EM5" s="5">
        <v>4.9400000000000004</v>
      </c>
      <c r="EN5" s="5">
        <v>5.46</v>
      </c>
      <c r="EO5" s="5">
        <v>5.04</v>
      </c>
      <c r="EP5" s="5">
        <v>4.57</v>
      </c>
      <c r="EQ5" s="5">
        <v>4.3499999999999996</v>
      </c>
      <c r="ER5" s="5">
        <v>5.13</v>
      </c>
      <c r="ES5" s="5">
        <v>4.45</v>
      </c>
      <c r="ET5" s="5">
        <v>3.02</v>
      </c>
      <c r="EU5" s="5">
        <v>3.16</v>
      </c>
      <c r="EV5" s="5">
        <v>3.69</v>
      </c>
      <c r="EW5" s="5">
        <v>3.59</v>
      </c>
      <c r="EX5" s="5">
        <v>4.01</v>
      </c>
      <c r="EY5" s="5">
        <v>3.95</v>
      </c>
      <c r="EZ5" s="5">
        <v>3.36</v>
      </c>
      <c r="FA5" s="5">
        <v>2.95</v>
      </c>
      <c r="FB5" s="5">
        <v>3.4</v>
      </c>
      <c r="FC5" s="5">
        <v>3.69</v>
      </c>
      <c r="FD5" s="5">
        <v>3.39</v>
      </c>
      <c r="FE5" s="5">
        <v>2.42</v>
      </c>
      <c r="FF5" s="5">
        <v>1.98</v>
      </c>
      <c r="FG5" s="5">
        <v>2.2000000000000002</v>
      </c>
      <c r="FH5" s="5">
        <v>1.73</v>
      </c>
      <c r="FI5" s="5">
        <v>1.72</v>
      </c>
      <c r="FJ5" s="5">
        <v>1.85</v>
      </c>
      <c r="FK5" s="5">
        <v>1.78</v>
      </c>
      <c r="FL5" s="5">
        <v>2.44</v>
      </c>
      <c r="FM5" s="5">
        <v>2.73</v>
      </c>
      <c r="FN5" s="5">
        <v>3.04</v>
      </c>
      <c r="FO5" s="5">
        <v>2.73</v>
      </c>
      <c r="FP5" s="5">
        <v>2.68</v>
      </c>
      <c r="FQ5" s="5">
        <v>2.4300000000000002</v>
      </c>
      <c r="FR5" s="5">
        <v>1.76</v>
      </c>
      <c r="FS5" s="5">
        <v>1.58</v>
      </c>
      <c r="FT5" s="5">
        <v>2.0099999999999998</v>
      </c>
      <c r="FU5" s="5">
        <v>1.76</v>
      </c>
      <c r="FV5" s="5">
        <v>1.96</v>
      </c>
      <c r="FW5" s="5">
        <v>1.43</v>
      </c>
      <c r="FX5" s="5">
        <v>0.89</v>
      </c>
      <c r="FY5" s="5">
        <v>0.76</v>
      </c>
      <c r="FZ5" s="5">
        <v>1.24</v>
      </c>
      <c r="GA5" s="5">
        <v>1.1399999999999999</v>
      </c>
      <c r="GB5" s="5">
        <v>1.26</v>
      </c>
      <c r="GC5" s="5">
        <v>1.38</v>
      </c>
      <c r="GD5" s="5">
        <v>1.19</v>
      </c>
      <c r="GE5" s="5">
        <v>1.34</v>
      </c>
      <c r="GF5" s="5">
        <v>1.28</v>
      </c>
      <c r="GG5" s="5">
        <v>1.57</v>
      </c>
      <c r="GH5" s="5">
        <v>1.27</v>
      </c>
      <c r="GI5" s="5">
        <v>0.99</v>
      </c>
      <c r="GJ5" s="5">
        <v>0.84</v>
      </c>
      <c r="GK5" s="5">
        <v>0.49</v>
      </c>
      <c r="GL5" s="5">
        <v>0.83</v>
      </c>
      <c r="GM5" s="5">
        <v>0.34</v>
      </c>
      <c r="GN5" s="5">
        <v>0.17</v>
      </c>
      <c r="GO5" s="5">
        <v>0.23</v>
      </c>
      <c r="GP5" s="5">
        <v>0.2</v>
      </c>
      <c r="GQ5" s="5">
        <v>0.85</v>
      </c>
      <c r="GR5" s="5">
        <v>0.72</v>
      </c>
      <c r="GS5" s="5">
        <v>1.02</v>
      </c>
      <c r="GT5" s="5">
        <v>0.97</v>
      </c>
      <c r="GU5" s="5">
        <v>1.6</v>
      </c>
      <c r="GV5" s="5">
        <v>2.2200000000000002</v>
      </c>
      <c r="GW5" s="5">
        <v>4.08</v>
      </c>
      <c r="GX5" s="5">
        <v>3.67</v>
      </c>
      <c r="GY5" s="5">
        <v>3.47</v>
      </c>
      <c r="GZ5" s="5">
        <v>4.3899999999999997</v>
      </c>
      <c r="HA5" s="5">
        <v>4.46</v>
      </c>
      <c r="HB5" s="5">
        <v>3.54</v>
      </c>
      <c r="HC5" s="6">
        <v>4</v>
      </c>
      <c r="HD5" s="6">
        <v>3.8592179999999998</v>
      </c>
      <c r="HE5" s="6">
        <v>3.807321</v>
      </c>
      <c r="HF5" s="6">
        <v>3.7595559999999999</v>
      </c>
      <c r="HG5" s="6">
        <v>3.7017389999999999</v>
      </c>
      <c r="HH5" s="6">
        <v>3.631793</v>
      </c>
      <c r="HI5" s="6">
        <v>3.5499420000000002</v>
      </c>
      <c r="HJ5" s="6">
        <v>3.4584269999999999</v>
      </c>
      <c r="HK5" s="6">
        <v>3.352643</v>
      </c>
      <c r="HL5" s="6">
        <v>3.2371050000000001</v>
      </c>
      <c r="HM5" s="6">
        <v>3.122576</v>
      </c>
      <c r="HN5" s="6">
        <v>3.0151910000000002</v>
      </c>
      <c r="HO5" s="6">
        <v>2.9278490000000001</v>
      </c>
      <c r="HP5" s="6">
        <v>2.8707790000000002</v>
      </c>
      <c r="HQ5" s="6">
        <v>2.85</v>
      </c>
      <c r="HR5" s="6">
        <v>2.85</v>
      </c>
      <c r="HS5" s="6">
        <v>2.85</v>
      </c>
      <c r="HT5" s="6">
        <v>2.85</v>
      </c>
      <c r="HU5" s="6">
        <v>2.85</v>
      </c>
      <c r="HV5" s="6">
        <v>2.85</v>
      </c>
      <c r="HW5" s="6">
        <v>2.85</v>
      </c>
      <c r="HX5" s="6">
        <v>2.85</v>
      </c>
      <c r="HY5" s="6">
        <v>2.85</v>
      </c>
      <c r="HZ5" s="6">
        <v>2.85</v>
      </c>
      <c r="IA5" s="6">
        <v>2.85</v>
      </c>
      <c r="IB5" s="6">
        <v>2.85</v>
      </c>
      <c r="IC5" s="6">
        <v>2.85</v>
      </c>
      <c r="ID5" s="6">
        <v>2.85</v>
      </c>
      <c r="IE5" s="6">
        <v>2.85</v>
      </c>
      <c r="IF5" s="6">
        <v>2.85</v>
      </c>
      <c r="IG5" s="6">
        <v>2.85</v>
      </c>
      <c r="IH5" s="6">
        <v>2.85</v>
      </c>
      <c r="II5" s="6">
        <v>2.85</v>
      </c>
      <c r="IJ5" s="6">
        <v>2.85</v>
      </c>
      <c r="IK5" s="6">
        <v>2.85</v>
      </c>
      <c r="IL5" s="6">
        <v>2.85</v>
      </c>
      <c r="IM5" s="6">
        <v>2.85</v>
      </c>
      <c r="IN5" s="6">
        <v>2.85</v>
      </c>
      <c r="IO5" s="6">
        <v>2.85</v>
      </c>
      <c r="IP5" s="6">
        <v>2.85</v>
      </c>
      <c r="IQ5" s="6">
        <v>2.85</v>
      </c>
      <c r="IR5" s="6">
        <v>2.85</v>
      </c>
      <c r="IS5" s="6">
        <v>2.85</v>
      </c>
      <c r="IT5" s="6">
        <v>2.85</v>
      </c>
      <c r="IU5" s="6">
        <v>2.85</v>
      </c>
      <c r="IV5" s="6">
        <v>2.85</v>
      </c>
      <c r="IW5" s="6">
        <v>2.85</v>
      </c>
      <c r="IX5" s="6">
        <v>2.85</v>
      </c>
      <c r="IY5" s="6">
        <v>2.85</v>
      </c>
      <c r="IZ5" s="6">
        <v>2.85</v>
      </c>
      <c r="JA5" s="6">
        <v>2.85</v>
      </c>
      <c r="JB5" s="6">
        <v>2.85</v>
      </c>
      <c r="JC5" s="6">
        <v>2.85</v>
      </c>
      <c r="JD5" s="6">
        <v>2.85</v>
      </c>
      <c r="JE5" s="6">
        <v>2.85</v>
      </c>
      <c r="JF5" s="6">
        <v>2.85</v>
      </c>
      <c r="JG5" s="6">
        <v>2.85</v>
      </c>
      <c r="JH5" s="6">
        <v>2.85</v>
      </c>
      <c r="JI5" s="6">
        <v>2.85</v>
      </c>
      <c r="JJ5" s="6">
        <v>2.85</v>
      </c>
      <c r="JK5" s="6">
        <v>2.85</v>
      </c>
      <c r="JL5" s="6">
        <v>2.85</v>
      </c>
      <c r="JM5" s="6">
        <v>2.85</v>
      </c>
      <c r="JN5" s="6">
        <v>2.85</v>
      </c>
      <c r="JO5" s="6">
        <v>2.85</v>
      </c>
      <c r="JP5" s="6">
        <v>2.85</v>
      </c>
      <c r="JQ5" s="6">
        <v>2.85</v>
      </c>
      <c r="JR5" s="6">
        <v>2.85</v>
      </c>
      <c r="JS5" s="6">
        <v>2.85</v>
      </c>
      <c r="JT5" s="6">
        <v>2.85</v>
      </c>
      <c r="JU5" s="6">
        <v>2.85</v>
      </c>
      <c r="JV5" s="6">
        <v>2.85</v>
      </c>
      <c r="JW5" s="6">
        <v>2.85</v>
      </c>
      <c r="JX5" s="6">
        <v>2.85</v>
      </c>
      <c r="JY5" s="6">
        <v>2.85</v>
      </c>
      <c r="JZ5" s="6">
        <v>2.85</v>
      </c>
      <c r="KA5" s="6">
        <v>2.85</v>
      </c>
      <c r="KB5" s="6">
        <v>2.85</v>
      </c>
      <c r="KC5" s="6">
        <v>2.85</v>
      </c>
      <c r="KD5" s="6">
        <v>2.85</v>
      </c>
      <c r="KE5" s="6">
        <v>2.85</v>
      </c>
      <c r="KF5" s="6">
        <v>2.85</v>
      </c>
      <c r="KG5" s="6">
        <v>2.85</v>
      </c>
      <c r="KH5" s="6">
        <v>2.85</v>
      </c>
      <c r="KI5" s="6">
        <v>2.85</v>
      </c>
      <c r="KJ5" s="6">
        <v>2.85</v>
      </c>
      <c r="KK5" s="6">
        <v>2.85</v>
      </c>
      <c r="KL5" s="6">
        <v>2.85</v>
      </c>
      <c r="KM5" s="6">
        <v>2.85</v>
      </c>
      <c r="KN5" s="6">
        <v>2.85</v>
      </c>
      <c r="KO5" s="6">
        <v>2.85</v>
      </c>
      <c r="KP5" s="6">
        <v>2.85</v>
      </c>
      <c r="KQ5" s="6">
        <v>2.85</v>
      </c>
      <c r="KR5" s="6">
        <v>2.85</v>
      </c>
      <c r="KS5" s="6">
        <v>2.85</v>
      </c>
      <c r="KT5" s="6">
        <v>2.85</v>
      </c>
      <c r="KU5" s="6">
        <v>2.85</v>
      </c>
      <c r="KV5" s="6">
        <v>2.85</v>
      </c>
      <c r="KW5" s="6">
        <v>2.85</v>
      </c>
      <c r="KX5" s="6">
        <v>2.85</v>
      </c>
      <c r="KY5" s="6">
        <v>2.85</v>
      </c>
      <c r="KZ5" s="6">
        <v>2.85</v>
      </c>
      <c r="LA5" s="6">
        <v>2.85</v>
      </c>
      <c r="LB5" s="6">
        <v>2.85</v>
      </c>
      <c r="LC5" s="6">
        <v>2.85</v>
      </c>
      <c r="LD5" s="6">
        <v>2.85</v>
      </c>
      <c r="LE5" s="6">
        <v>2.85</v>
      </c>
      <c r="LF5" s="6">
        <v>2.85</v>
      </c>
      <c r="LG5" s="2" t="s">
        <v>354</v>
      </c>
      <c r="LH5" s="2" t="s">
        <v>348</v>
      </c>
      <c r="LI5" s="2" t="s">
        <v>338</v>
      </c>
      <c r="LJ5" s="2" t="s">
        <v>338</v>
      </c>
      <c r="LK5" s="2" t="s">
        <v>339</v>
      </c>
      <c r="LL5" s="2" t="s">
        <v>623</v>
      </c>
      <c r="LM5" s="2" t="s">
        <v>338</v>
      </c>
      <c r="LN5" s="4" t="s">
        <v>355</v>
      </c>
      <c r="LO5" s="4" t="s">
        <v>356</v>
      </c>
      <c r="LP5" s="2" t="s">
        <v>343</v>
      </c>
      <c r="LQ5" s="2" t="s">
        <v>357</v>
      </c>
      <c r="LR5" s="4" t="s">
        <v>659</v>
      </c>
      <c r="LS5"/>
      <c r="LT5"/>
      <c r="LU5"/>
      <c r="LV5"/>
      <c r="LW5"/>
      <c r="LX5"/>
    </row>
    <row r="6" spans="1:336" x14ac:dyDescent="0.35">
      <c r="A6" s="2" t="s">
        <v>330</v>
      </c>
      <c r="B6" s="2" t="s">
        <v>358</v>
      </c>
      <c r="C6" s="4" t="s">
        <v>658</v>
      </c>
      <c r="D6" s="2" t="s">
        <v>628</v>
      </c>
      <c r="E6" s="2" t="s">
        <v>338</v>
      </c>
      <c r="F6" s="2" t="s">
        <v>334</v>
      </c>
      <c r="G6" s="5">
        <v>4.0956760000000001</v>
      </c>
      <c r="H6" s="5">
        <v>4.3417680000000001</v>
      </c>
      <c r="I6" s="5">
        <v>4.5713980000000003</v>
      </c>
      <c r="J6" s="5">
        <v>4.6966960000000002</v>
      </c>
      <c r="K6" s="5">
        <v>4.6806450000000002</v>
      </c>
      <c r="L6" s="5">
        <v>4.7066619999999997</v>
      </c>
      <c r="M6" s="5">
        <v>4.7429509999999997</v>
      </c>
      <c r="N6" s="5">
        <v>4.8544809999999998</v>
      </c>
      <c r="O6" s="5">
        <v>4.8416680000000003</v>
      </c>
      <c r="P6" s="5">
        <v>4.9661150000000003</v>
      </c>
      <c r="Q6" s="5">
        <v>5.1278969999999999</v>
      </c>
      <c r="R6" s="5">
        <v>5.2242139999999999</v>
      </c>
      <c r="S6" s="5">
        <v>5.2710780000000002</v>
      </c>
      <c r="T6" s="5">
        <v>5.4414579999999999</v>
      </c>
      <c r="U6" s="5">
        <v>5.5631519999999997</v>
      </c>
      <c r="V6" s="5">
        <v>5.7009790000000002</v>
      </c>
      <c r="W6" s="5">
        <v>5.6489529999999997</v>
      </c>
      <c r="X6" s="5">
        <v>5.7596030000000003</v>
      </c>
      <c r="Y6" s="5">
        <v>5.9392490000000002</v>
      </c>
      <c r="Z6" s="5">
        <v>6.1796239999999996</v>
      </c>
      <c r="AA6" s="5">
        <v>6.2426409999999999</v>
      </c>
      <c r="AB6" s="5">
        <v>6.5583939999999998</v>
      </c>
      <c r="AC6" s="5">
        <v>7.0022460000000004</v>
      </c>
      <c r="AD6" s="5">
        <v>7.5792190000000002</v>
      </c>
      <c r="AE6" s="5">
        <v>7.9047140000000002</v>
      </c>
      <c r="AF6" s="5">
        <v>8.5300609999999999</v>
      </c>
      <c r="AG6" s="5">
        <v>9.1774819999999995</v>
      </c>
      <c r="AH6" s="5">
        <v>9.8489500000000003</v>
      </c>
      <c r="AI6" s="5">
        <v>10.20975</v>
      </c>
      <c r="AJ6" s="5">
        <v>10.553699999999999</v>
      </c>
      <c r="AK6" s="5">
        <v>10.967919999999999</v>
      </c>
      <c r="AL6" s="5">
        <v>11.161519999999999</v>
      </c>
      <c r="AM6" s="5">
        <v>11.06818</v>
      </c>
      <c r="AN6" s="5">
        <v>11.35285</v>
      </c>
      <c r="AO6" s="5">
        <v>11.48035</v>
      </c>
      <c r="AP6" s="5">
        <v>11.4465</v>
      </c>
      <c r="AQ6" s="5">
        <v>11.072089999999999</v>
      </c>
      <c r="AR6" s="5">
        <v>11.508710000000001</v>
      </c>
      <c r="AS6" s="5">
        <v>11.7407</v>
      </c>
      <c r="AT6" s="5">
        <v>12.09703</v>
      </c>
      <c r="AU6" s="5">
        <v>12.358409999999999</v>
      </c>
      <c r="AV6" s="5">
        <v>12.73169</v>
      </c>
      <c r="AW6" s="5">
        <v>13.23485</v>
      </c>
      <c r="AX6" s="5">
        <v>13.548249999999999</v>
      </c>
      <c r="AY6" s="5">
        <v>13.53342</v>
      </c>
      <c r="AZ6" s="5">
        <v>13.900460000000001</v>
      </c>
      <c r="BA6" s="5">
        <v>14.426830000000001</v>
      </c>
      <c r="BB6" s="5">
        <v>14.823119999999999</v>
      </c>
      <c r="BC6" s="5">
        <v>14.70458</v>
      </c>
      <c r="BD6" s="5">
        <v>15.187799999999999</v>
      </c>
      <c r="BE6" s="5">
        <v>15.511990000000001</v>
      </c>
      <c r="BF6" s="5">
        <v>16.195550000000001</v>
      </c>
      <c r="BG6" s="5">
        <v>16.462869999999999</v>
      </c>
      <c r="BH6" s="5">
        <v>17.18394</v>
      </c>
      <c r="BI6" s="5">
        <v>17.80274</v>
      </c>
      <c r="BJ6" s="5">
        <v>18.496500000000001</v>
      </c>
      <c r="BK6" s="5">
        <v>19.03265</v>
      </c>
      <c r="BL6" s="5">
        <v>19.867149999999999</v>
      </c>
      <c r="BM6" s="5">
        <v>20.66235</v>
      </c>
      <c r="BN6" s="5">
        <v>22.15681</v>
      </c>
      <c r="BO6" s="5">
        <v>23.035340000000001</v>
      </c>
      <c r="BP6" s="5">
        <v>24.43553</v>
      </c>
      <c r="BQ6" s="5">
        <v>27.391359999999999</v>
      </c>
      <c r="BR6" s="5">
        <v>29.425149999999999</v>
      </c>
      <c r="BS6" s="5">
        <v>29.96565</v>
      </c>
      <c r="BT6" s="5">
        <v>31.108170000000001</v>
      </c>
      <c r="BU6" s="5">
        <v>31.819970000000001</v>
      </c>
      <c r="BV6" s="5">
        <v>31.62332</v>
      </c>
      <c r="BW6" s="5">
        <v>30.782879999999999</v>
      </c>
      <c r="BX6" s="5">
        <v>30.629629999999999</v>
      </c>
      <c r="BY6" s="5">
        <v>30.787610000000001</v>
      </c>
      <c r="BZ6" s="5">
        <v>30.833729999999999</v>
      </c>
      <c r="CA6" s="5">
        <v>30.101220000000001</v>
      </c>
      <c r="CB6" s="5">
        <v>30.12707</v>
      </c>
      <c r="CC6" s="5">
        <v>30.356829999999999</v>
      </c>
      <c r="CD6" s="5">
        <v>30.68695</v>
      </c>
      <c r="CE6" s="5">
        <v>29.806560000000001</v>
      </c>
      <c r="CF6" s="5">
        <v>29.166979999999999</v>
      </c>
      <c r="CG6" s="5">
        <v>28.998950000000001</v>
      </c>
      <c r="CH6" s="5">
        <v>28.464929999999999</v>
      </c>
      <c r="CI6" s="5">
        <v>28.185040000000001</v>
      </c>
      <c r="CJ6" s="5">
        <v>28.488659999999999</v>
      </c>
      <c r="CK6" s="5">
        <v>28.858630000000002</v>
      </c>
      <c r="CL6" s="5">
        <v>28.91638</v>
      </c>
      <c r="CM6" s="5">
        <v>28.776340000000001</v>
      </c>
      <c r="CN6" s="5">
        <v>29.208600000000001</v>
      </c>
      <c r="CO6" s="5">
        <v>29.544540000000001</v>
      </c>
      <c r="CP6" s="5">
        <v>29.962070000000001</v>
      </c>
      <c r="CQ6" s="5">
        <v>29.21951</v>
      </c>
      <c r="CR6" s="5">
        <v>29.566659999999999</v>
      </c>
      <c r="CS6" s="5">
        <v>29.634460000000001</v>
      </c>
      <c r="CT6" s="5">
        <v>29.850180000000002</v>
      </c>
      <c r="CU6" s="5">
        <v>29.84769</v>
      </c>
      <c r="CV6" s="5">
        <v>29.874479999999998</v>
      </c>
      <c r="CW6" s="5">
        <v>30.82396</v>
      </c>
      <c r="CX6" s="5">
        <v>32.068919999999999</v>
      </c>
      <c r="CY6" s="5">
        <v>32.086570000000002</v>
      </c>
      <c r="CZ6" s="5">
        <v>32.626959999999997</v>
      </c>
      <c r="DA6" s="5">
        <v>34.040210000000002</v>
      </c>
      <c r="DB6" s="5">
        <v>34.590009999999999</v>
      </c>
      <c r="DC6" s="5">
        <v>35.097290000000001</v>
      </c>
      <c r="DD6" s="5">
        <v>36.751449999999998</v>
      </c>
      <c r="DE6" s="5">
        <v>38.096260000000001</v>
      </c>
      <c r="DF6" s="5">
        <v>38.749830000000003</v>
      </c>
      <c r="DG6" s="5">
        <v>38.705910000000003</v>
      </c>
      <c r="DH6" s="5">
        <v>39.933010000000003</v>
      </c>
      <c r="DI6" s="5">
        <v>42.095329999999997</v>
      </c>
      <c r="DJ6" s="5">
        <v>44.121920000000003</v>
      </c>
      <c r="DK6" s="5">
        <v>44.941789999999997</v>
      </c>
      <c r="DL6" s="5">
        <v>46.839759999999998</v>
      </c>
      <c r="DM6" s="5">
        <v>47.651899999999998</v>
      </c>
      <c r="DN6" s="5">
        <v>49.97213</v>
      </c>
      <c r="DO6" s="5">
        <v>49.541910000000001</v>
      </c>
      <c r="DP6" s="5">
        <v>50.618899999999996</v>
      </c>
      <c r="DQ6" s="5">
        <v>52.453980000000001</v>
      </c>
      <c r="DR6" s="5">
        <v>52.232030000000002</v>
      </c>
      <c r="DS6" s="5">
        <v>54.687869999999997</v>
      </c>
      <c r="DT6" s="5">
        <v>57.799529999999997</v>
      </c>
      <c r="DU6" s="5">
        <v>61.268039999999999</v>
      </c>
      <c r="DV6" s="5">
        <v>65.462400000000002</v>
      </c>
      <c r="DW6" s="5">
        <v>66.087800000000001</v>
      </c>
      <c r="DX6" s="5">
        <v>67.731319999999997</v>
      </c>
      <c r="DY6" s="5">
        <v>69.416820000000001</v>
      </c>
      <c r="DZ6" s="5">
        <v>72.053659999999994</v>
      </c>
      <c r="EA6" s="5">
        <v>72.034809999999993</v>
      </c>
      <c r="EB6" s="5">
        <v>75.889589999999998</v>
      </c>
      <c r="EC6" s="5">
        <v>79.087900000000005</v>
      </c>
      <c r="ED6" s="5">
        <v>80.968069999999997</v>
      </c>
      <c r="EE6" s="5">
        <v>79.623000000000005</v>
      </c>
      <c r="EF6" s="5">
        <v>80.642669999999995</v>
      </c>
      <c r="EG6" s="5">
        <v>81.702669999999998</v>
      </c>
      <c r="EH6" s="5">
        <v>82.840999999999994</v>
      </c>
      <c r="EI6" s="5">
        <v>84.706999999999994</v>
      </c>
      <c r="EJ6" s="5">
        <v>86.472660000000005</v>
      </c>
      <c r="EK6" s="5">
        <v>88.194000000000003</v>
      </c>
      <c r="EL6" s="5">
        <v>90.938999999999993</v>
      </c>
      <c r="EM6" s="5">
        <v>93.665660000000003</v>
      </c>
      <c r="EN6" s="5">
        <v>95.677999999999997</v>
      </c>
      <c r="EO6" s="5">
        <v>97.266999999999996</v>
      </c>
      <c r="EP6" s="5">
        <v>98.388339999999999</v>
      </c>
      <c r="EQ6" s="5">
        <v>97.202330000000003</v>
      </c>
      <c r="ER6" s="5">
        <v>95.079669999999993</v>
      </c>
      <c r="ES6" s="5">
        <v>90.24033</v>
      </c>
      <c r="ET6" s="5">
        <v>85.281329999999997</v>
      </c>
      <c r="EU6" s="5">
        <v>82.117000000000004</v>
      </c>
      <c r="EV6" s="5">
        <v>81.979330000000004</v>
      </c>
      <c r="EW6" s="5">
        <v>84.096999999999994</v>
      </c>
      <c r="EX6" s="5">
        <v>86.843000000000004</v>
      </c>
      <c r="EY6" s="5">
        <v>88.432659999999998</v>
      </c>
      <c r="EZ6" s="5">
        <v>88.789000000000001</v>
      </c>
      <c r="FA6" s="5">
        <v>88.889660000000006</v>
      </c>
      <c r="FB6" s="5">
        <v>88.122669999999999</v>
      </c>
      <c r="FC6" s="5">
        <v>87.697000000000003</v>
      </c>
      <c r="FD6" s="5">
        <v>87.230329999999995</v>
      </c>
      <c r="FE6" s="5">
        <v>87.120999999999995</v>
      </c>
      <c r="FF6" s="5">
        <v>87.061670000000007</v>
      </c>
      <c r="FG6" s="5">
        <v>87.269329999999997</v>
      </c>
      <c r="FH6" s="5">
        <v>87.739329999999995</v>
      </c>
      <c r="FI6" s="5">
        <v>87.581999999999994</v>
      </c>
      <c r="FJ6" s="5">
        <v>87.890339999999995</v>
      </c>
      <c r="FK6" s="5">
        <v>88.392669999999995</v>
      </c>
      <c r="FL6" s="5">
        <v>89.126999999999995</v>
      </c>
      <c r="FM6" s="5">
        <v>90.148669999999996</v>
      </c>
      <c r="FN6" s="5">
        <v>91.802329999999998</v>
      </c>
      <c r="FO6" s="5">
        <v>94.063000000000002</v>
      </c>
      <c r="FP6" s="5">
        <v>96.391670000000005</v>
      </c>
      <c r="FQ6" s="5">
        <v>98.209000000000003</v>
      </c>
      <c r="FR6" s="5">
        <v>99.566329999999994</v>
      </c>
      <c r="FS6" s="5">
        <v>100.4063</v>
      </c>
      <c r="FT6" s="5">
        <v>101.486</v>
      </c>
      <c r="FU6" s="5">
        <v>103.59399999999999</v>
      </c>
      <c r="FV6" s="5">
        <v>106.041</v>
      </c>
      <c r="FW6" s="5">
        <v>108.3227</v>
      </c>
      <c r="FX6" s="5">
        <v>109.63500000000001</v>
      </c>
      <c r="FY6" s="5">
        <v>110.5617</v>
      </c>
      <c r="FZ6" s="5">
        <v>111.7123</v>
      </c>
      <c r="GA6" s="5">
        <v>113.07470000000001</v>
      </c>
      <c r="GB6" s="5">
        <v>114.4267</v>
      </c>
      <c r="GC6" s="5">
        <v>115.84529999999999</v>
      </c>
      <c r="GD6" s="5">
        <v>116.88</v>
      </c>
      <c r="GE6" s="5">
        <v>117.80670000000001</v>
      </c>
      <c r="GF6" s="5">
        <v>118.479</v>
      </c>
      <c r="GG6" s="5">
        <v>119.28830000000001</v>
      </c>
      <c r="GH6" s="5">
        <v>119.72369999999999</v>
      </c>
      <c r="GI6" s="5">
        <v>119.6083</v>
      </c>
      <c r="GJ6" s="5">
        <v>119.61669999999999</v>
      </c>
      <c r="GK6" s="5">
        <v>120.208</v>
      </c>
      <c r="GL6" s="5">
        <v>120.376</v>
      </c>
      <c r="GM6" s="5">
        <v>121.501</v>
      </c>
      <c r="GN6" s="5">
        <v>121.1477</v>
      </c>
      <c r="GO6" s="5">
        <v>123.2433</v>
      </c>
      <c r="GP6" s="5">
        <v>127.54730000000001</v>
      </c>
      <c r="GQ6" s="5">
        <v>131.52770000000001</v>
      </c>
      <c r="GR6" s="5">
        <v>133.13630000000001</v>
      </c>
      <c r="GS6" s="5">
        <v>134.34829999999999</v>
      </c>
      <c r="GT6" s="5">
        <v>138.09100000000001</v>
      </c>
      <c r="GU6" s="5">
        <v>143.06030000000001</v>
      </c>
      <c r="GV6" s="5">
        <v>146.4</v>
      </c>
      <c r="GW6" s="5">
        <v>149.39830000000001</v>
      </c>
      <c r="GX6" s="5">
        <v>150.30000000000001</v>
      </c>
      <c r="GY6" s="5">
        <v>148.26669999999999</v>
      </c>
      <c r="GZ6" s="5">
        <v>147.6</v>
      </c>
      <c r="HA6" s="5">
        <v>148.19999999999999</v>
      </c>
      <c r="HB6" s="5">
        <v>147.73330000000001</v>
      </c>
      <c r="HC6" s="6">
        <v>147.10830000000001</v>
      </c>
      <c r="HD6" s="6">
        <v>146.46610000000001</v>
      </c>
      <c r="HE6" s="6">
        <v>146.0412</v>
      </c>
      <c r="HF6" s="6">
        <v>145.81489999999999</v>
      </c>
      <c r="HG6" s="6">
        <v>148.1773</v>
      </c>
      <c r="HH6" s="6">
        <v>147.6806</v>
      </c>
      <c r="HI6" s="6">
        <v>148.46039999999999</v>
      </c>
      <c r="HJ6" s="6">
        <v>149.55250000000001</v>
      </c>
      <c r="HK6" s="6">
        <v>150.94290000000001</v>
      </c>
      <c r="HL6" s="6">
        <v>152.57910000000001</v>
      </c>
      <c r="HM6" s="6">
        <v>154.3493</v>
      </c>
      <c r="HN6" s="6">
        <v>156.18639999999999</v>
      </c>
      <c r="HO6" s="6">
        <v>158.03399999999999</v>
      </c>
      <c r="HP6" s="6">
        <v>159.88239999999999</v>
      </c>
      <c r="HQ6" s="6">
        <v>161.51570000000001</v>
      </c>
      <c r="HR6" s="6">
        <v>163.04169999999999</v>
      </c>
      <c r="HS6" s="6">
        <v>164.50960000000001</v>
      </c>
      <c r="HT6" s="6">
        <v>165.93219999999999</v>
      </c>
      <c r="HU6" s="6">
        <v>167.2938</v>
      </c>
      <c r="HV6" s="6">
        <v>168.62289999999999</v>
      </c>
      <c r="HW6" s="6">
        <v>169.93279999999999</v>
      </c>
      <c r="HX6" s="6">
        <v>171.22200000000001</v>
      </c>
      <c r="HY6" s="6">
        <v>172.46600000000001</v>
      </c>
      <c r="HZ6" s="6">
        <v>173.6653</v>
      </c>
      <c r="IA6" s="6">
        <v>174.82689999999999</v>
      </c>
      <c r="IB6" s="6">
        <v>175.9958</v>
      </c>
      <c r="IC6" s="6">
        <v>177.1635</v>
      </c>
      <c r="ID6" s="6">
        <v>178.3467</v>
      </c>
      <c r="IE6" s="6">
        <v>179.55289999999999</v>
      </c>
      <c r="IF6" s="6">
        <v>180.80779999999999</v>
      </c>
      <c r="IG6" s="6">
        <v>182.0943</v>
      </c>
      <c r="IH6" s="6">
        <v>183.42189999999999</v>
      </c>
      <c r="II6" s="6">
        <v>184.8</v>
      </c>
      <c r="IJ6" s="6">
        <v>186.24629999999999</v>
      </c>
      <c r="IK6" s="6">
        <v>187.7372</v>
      </c>
      <c r="IL6" s="6">
        <v>189.27340000000001</v>
      </c>
      <c r="IM6" s="6">
        <v>190.84649999999999</v>
      </c>
      <c r="IN6" s="6">
        <v>192.46889999999999</v>
      </c>
      <c r="IO6" s="6">
        <v>194.10810000000001</v>
      </c>
      <c r="IP6" s="6">
        <v>195.76429999999999</v>
      </c>
      <c r="IQ6" s="6">
        <v>197.43</v>
      </c>
      <c r="IR6" s="6">
        <v>199.119</v>
      </c>
      <c r="IS6" s="6">
        <v>200.80340000000001</v>
      </c>
      <c r="IT6" s="6">
        <v>202.48390000000001</v>
      </c>
      <c r="IU6" s="6">
        <v>204.1566</v>
      </c>
      <c r="IV6" s="6">
        <v>205.84139999999999</v>
      </c>
      <c r="IW6" s="6">
        <v>207.51439999999999</v>
      </c>
      <c r="IX6" s="6">
        <v>209.18799999999999</v>
      </c>
      <c r="IY6" s="6">
        <v>210.97810000000001</v>
      </c>
      <c r="IZ6" s="6">
        <v>212.7791</v>
      </c>
      <c r="JA6" s="6">
        <v>214.61519999999999</v>
      </c>
      <c r="JB6" s="6">
        <v>216.46860000000001</v>
      </c>
      <c r="JC6" s="6">
        <v>218.3391</v>
      </c>
      <c r="JD6" s="6">
        <v>220.2269</v>
      </c>
      <c r="JE6" s="6">
        <v>222.13229999999999</v>
      </c>
      <c r="JF6" s="6">
        <v>224.05539999999999</v>
      </c>
      <c r="JG6" s="6">
        <v>225.99629999999999</v>
      </c>
      <c r="JH6" s="6">
        <v>227.95529999999999</v>
      </c>
      <c r="JI6" s="6">
        <v>229.9522</v>
      </c>
      <c r="JJ6" s="6">
        <v>231.96789999999999</v>
      </c>
      <c r="JK6" s="6">
        <v>234.0026</v>
      </c>
      <c r="JL6" s="6">
        <v>236.05680000000001</v>
      </c>
      <c r="JM6" s="6">
        <v>238.13040000000001</v>
      </c>
      <c r="JN6" s="6">
        <v>240.2234</v>
      </c>
      <c r="JO6" s="6">
        <v>242.3364</v>
      </c>
      <c r="JP6" s="6">
        <v>244.47659999999999</v>
      </c>
      <c r="JQ6" s="6">
        <v>246.64529999999999</v>
      </c>
      <c r="JR6" s="6">
        <v>248.8329</v>
      </c>
      <c r="JS6" s="6">
        <v>251.0394</v>
      </c>
      <c r="JT6" s="6">
        <v>253.26499999999999</v>
      </c>
      <c r="JU6" s="6">
        <v>255.49199999999999</v>
      </c>
      <c r="JV6" s="6">
        <v>257.73790000000002</v>
      </c>
      <c r="JW6" s="6">
        <v>260.00279999999998</v>
      </c>
      <c r="JX6" s="6">
        <v>262.2867</v>
      </c>
      <c r="JY6" s="6">
        <v>264.58999999999997</v>
      </c>
      <c r="JZ6" s="6">
        <v>266.91239999999999</v>
      </c>
      <c r="KA6" s="6">
        <v>269.25459999999998</v>
      </c>
      <c r="KB6" s="6">
        <v>271.61649999999997</v>
      </c>
      <c r="KC6" s="6">
        <v>273.99810000000002</v>
      </c>
      <c r="KD6" s="6">
        <v>276.39949999999999</v>
      </c>
      <c r="KE6" s="6">
        <v>278.82100000000003</v>
      </c>
      <c r="KF6" s="6">
        <v>281.26249999999999</v>
      </c>
      <c r="KG6" s="6">
        <v>283.72410000000002</v>
      </c>
      <c r="KH6" s="6">
        <v>286.20620000000002</v>
      </c>
      <c r="KI6" s="6">
        <v>288.70870000000002</v>
      </c>
      <c r="KJ6" s="6">
        <v>291.23180000000002</v>
      </c>
      <c r="KK6" s="6">
        <v>293.77589999999998</v>
      </c>
      <c r="KL6" s="6">
        <v>296.34089999999998</v>
      </c>
      <c r="KM6" s="6">
        <v>298.92700000000002</v>
      </c>
      <c r="KN6" s="6">
        <v>301.53440000000001</v>
      </c>
      <c r="KO6" s="6">
        <v>304.16340000000002</v>
      </c>
      <c r="KP6" s="6">
        <v>306.81400000000002</v>
      </c>
      <c r="KQ6" s="6">
        <v>309.48649999999998</v>
      </c>
      <c r="KR6" s="6">
        <v>312.18090000000001</v>
      </c>
      <c r="KS6" s="6">
        <v>314.89760000000001</v>
      </c>
      <c r="KT6" s="6">
        <v>317.63650000000001</v>
      </c>
      <c r="KU6" s="6">
        <v>320.3981</v>
      </c>
      <c r="KV6" s="6">
        <v>323.1825</v>
      </c>
      <c r="KW6" s="6">
        <v>325.98970000000003</v>
      </c>
      <c r="KX6" s="6">
        <v>328.82029999999997</v>
      </c>
      <c r="KY6" s="6">
        <v>331.67380000000003</v>
      </c>
      <c r="KZ6" s="6">
        <v>334.55090000000001</v>
      </c>
      <c r="LA6" s="6">
        <v>337.45179999999999</v>
      </c>
      <c r="LB6" s="6">
        <v>340.37630000000001</v>
      </c>
      <c r="LC6" s="6">
        <v>343.32470000000001</v>
      </c>
      <c r="LD6" s="6">
        <v>346.29719999999998</v>
      </c>
      <c r="LE6" s="6">
        <v>349.29410000000001</v>
      </c>
      <c r="LF6" s="6">
        <v>352.31560000000002</v>
      </c>
      <c r="LG6" s="4" t="s">
        <v>359</v>
      </c>
      <c r="LH6" s="2" t="s">
        <v>336</v>
      </c>
      <c r="LI6" s="2" t="s">
        <v>338</v>
      </c>
      <c r="LJ6" s="4" t="s">
        <v>360</v>
      </c>
      <c r="LK6" s="2" t="s">
        <v>339</v>
      </c>
      <c r="LL6" s="2" t="s">
        <v>623</v>
      </c>
      <c r="LM6" s="2" t="s">
        <v>338</v>
      </c>
      <c r="LN6" s="2" t="s">
        <v>361</v>
      </c>
      <c r="LO6" s="4" t="s">
        <v>362</v>
      </c>
      <c r="LP6" s="2" t="s">
        <v>343</v>
      </c>
      <c r="LQ6" s="2" t="s">
        <v>363</v>
      </c>
      <c r="LR6" s="4" t="s">
        <v>659</v>
      </c>
      <c r="LS6"/>
      <c r="LT6"/>
      <c r="LU6"/>
      <c r="LV6"/>
      <c r="LW6"/>
      <c r="LX6"/>
    </row>
    <row r="7" spans="1:336" x14ac:dyDescent="0.35">
      <c r="A7" s="2" t="s">
        <v>330</v>
      </c>
      <c r="B7" s="2" t="s">
        <v>364</v>
      </c>
      <c r="C7" s="4" t="s">
        <v>658</v>
      </c>
      <c r="D7" s="2" t="s">
        <v>346</v>
      </c>
      <c r="E7" s="2" t="s">
        <v>338</v>
      </c>
      <c r="F7" s="2" t="s">
        <v>334</v>
      </c>
      <c r="G7" s="5">
        <v>3.9</v>
      </c>
      <c r="H7" s="5">
        <v>3.7</v>
      </c>
      <c r="I7" s="5">
        <v>3.6</v>
      </c>
      <c r="J7" s="5">
        <v>3.4</v>
      </c>
      <c r="K7" s="5">
        <v>3.6</v>
      </c>
      <c r="L7" s="5">
        <v>3.6</v>
      </c>
      <c r="M7" s="5">
        <v>3.7</v>
      </c>
      <c r="N7" s="5">
        <v>3.7</v>
      </c>
      <c r="O7" s="5">
        <v>4</v>
      </c>
      <c r="P7" s="5">
        <v>4.3</v>
      </c>
      <c r="Q7" s="5">
        <v>4.7</v>
      </c>
      <c r="R7" s="5">
        <v>5</v>
      </c>
      <c r="S7" s="5">
        <v>5.3</v>
      </c>
      <c r="T7" s="5">
        <v>5.4</v>
      </c>
      <c r="U7" s="5">
        <v>5.5</v>
      </c>
      <c r="V7" s="5">
        <v>5.5</v>
      </c>
      <c r="W7" s="5">
        <v>5.5</v>
      </c>
      <c r="X7" s="5">
        <v>5.5</v>
      </c>
      <c r="Y7" s="5">
        <v>5.7</v>
      </c>
      <c r="Z7" s="5">
        <v>5.7</v>
      </c>
      <c r="AA7" s="5">
        <v>5.6</v>
      </c>
      <c r="AB7" s="5">
        <v>5.6</v>
      </c>
      <c r="AC7" s="5">
        <v>5.5</v>
      </c>
      <c r="AD7" s="5">
        <v>5.4</v>
      </c>
      <c r="AE7" s="5">
        <v>5.4</v>
      </c>
      <c r="AF7" s="5">
        <v>5.3</v>
      </c>
      <c r="AG7" s="5">
        <v>5.4</v>
      </c>
      <c r="AH7" s="5">
        <v>5.5</v>
      </c>
      <c r="AI7" s="5">
        <v>5.8</v>
      </c>
      <c r="AJ7" s="5">
        <v>6.3</v>
      </c>
      <c r="AK7" s="5">
        <v>7.1</v>
      </c>
      <c r="AL7" s="5">
        <v>8</v>
      </c>
      <c r="AM7" s="5">
        <v>8.9</v>
      </c>
      <c r="AN7" s="5">
        <v>9.6</v>
      </c>
      <c r="AO7" s="5">
        <v>9.9</v>
      </c>
      <c r="AP7" s="5">
        <v>10.199999999999999</v>
      </c>
      <c r="AQ7" s="5">
        <v>10.4</v>
      </c>
      <c r="AR7" s="5">
        <v>10.6</v>
      </c>
      <c r="AS7" s="5">
        <v>10.8</v>
      </c>
      <c r="AT7" s="5">
        <v>11.1</v>
      </c>
      <c r="AU7" s="5">
        <v>11.3</v>
      </c>
      <c r="AV7" s="5">
        <v>11.4</v>
      </c>
      <c r="AW7" s="5">
        <v>11.5</v>
      </c>
      <c r="AX7" s="5">
        <v>11.7</v>
      </c>
      <c r="AY7" s="5">
        <v>11.8</v>
      </c>
      <c r="AZ7" s="5">
        <v>11.9</v>
      </c>
      <c r="BA7" s="5">
        <v>11.7</v>
      </c>
      <c r="BB7" s="5">
        <v>11.6</v>
      </c>
      <c r="BC7" s="5">
        <v>11.5</v>
      </c>
      <c r="BD7" s="5">
        <v>11.4</v>
      </c>
      <c r="BE7" s="5">
        <v>11.3</v>
      </c>
      <c r="BF7" s="5">
        <v>11.3</v>
      </c>
      <c r="BG7" s="5">
        <v>11.3</v>
      </c>
      <c r="BH7" s="5">
        <v>11.3</v>
      </c>
      <c r="BI7" s="5">
        <v>11.4</v>
      </c>
      <c r="BJ7" s="5">
        <v>11.3</v>
      </c>
      <c r="BK7" s="5">
        <v>11.1</v>
      </c>
      <c r="BL7" s="5">
        <v>10.7</v>
      </c>
      <c r="BM7" s="5">
        <v>10.199999999999999</v>
      </c>
      <c r="BN7" s="5">
        <v>9.6999999999999993</v>
      </c>
      <c r="BO7" s="5">
        <v>9.1999999999999993</v>
      </c>
      <c r="BP7" s="5">
        <v>8.6999999999999993</v>
      </c>
      <c r="BQ7" s="5">
        <v>8.4</v>
      </c>
      <c r="BR7" s="5">
        <v>8</v>
      </c>
      <c r="BS7" s="5">
        <v>7.6</v>
      </c>
      <c r="BT7" s="5">
        <v>7.2</v>
      </c>
      <c r="BU7" s="5">
        <v>7.1</v>
      </c>
      <c r="BV7" s="5">
        <v>7</v>
      </c>
      <c r="BW7" s="5">
        <v>6.9</v>
      </c>
      <c r="BX7" s="5">
        <v>6.9</v>
      </c>
      <c r="BY7" s="5">
        <v>7.1</v>
      </c>
      <c r="BZ7" s="5">
        <v>7.5</v>
      </c>
      <c r="CA7" s="5">
        <v>8</v>
      </c>
      <c r="CB7" s="5">
        <v>8.6999999999999993</v>
      </c>
      <c r="CC7" s="5">
        <v>9.1999999999999993</v>
      </c>
      <c r="CD7" s="5">
        <v>9.5</v>
      </c>
      <c r="CE7" s="5">
        <v>9.6999999999999993</v>
      </c>
      <c r="CF7" s="5">
        <v>9.8000000000000007</v>
      </c>
      <c r="CG7" s="5">
        <v>9.9</v>
      </c>
      <c r="CH7" s="5">
        <v>10.4</v>
      </c>
      <c r="CI7" s="5">
        <v>10.6</v>
      </c>
      <c r="CJ7" s="5">
        <v>10.4</v>
      </c>
      <c r="CK7" s="5">
        <v>10.199999999999999</v>
      </c>
      <c r="CL7" s="5">
        <v>10.3</v>
      </c>
      <c r="CM7" s="5">
        <v>9.9</v>
      </c>
      <c r="CN7" s="5">
        <v>9.6999999999999993</v>
      </c>
      <c r="CO7" s="5">
        <v>9.4</v>
      </c>
      <c r="CP7" s="5">
        <v>9</v>
      </c>
      <c r="CQ7" s="5">
        <v>8.9</v>
      </c>
      <c r="CR7" s="5">
        <v>8.6999999999999993</v>
      </c>
      <c r="CS7" s="5">
        <v>8.6</v>
      </c>
      <c r="CT7" s="5">
        <v>8.3000000000000007</v>
      </c>
      <c r="CU7" s="5">
        <v>8.1999999999999993</v>
      </c>
      <c r="CV7" s="5">
        <v>8.3000000000000007</v>
      </c>
      <c r="CW7" s="5">
        <v>8.1</v>
      </c>
      <c r="CX7" s="5">
        <v>7.8</v>
      </c>
      <c r="CY7" s="5">
        <v>7.3</v>
      </c>
      <c r="CZ7" s="5">
        <v>7.2</v>
      </c>
      <c r="DA7" s="5">
        <v>6.8</v>
      </c>
      <c r="DB7" s="5">
        <v>6.5</v>
      </c>
      <c r="DC7" s="5">
        <v>6.4</v>
      </c>
      <c r="DD7" s="5">
        <v>6.3</v>
      </c>
      <c r="DE7" s="5">
        <v>6.2</v>
      </c>
      <c r="DF7" s="5">
        <v>6.1</v>
      </c>
      <c r="DG7" s="5">
        <v>6.2</v>
      </c>
      <c r="DH7" s="5">
        <v>6</v>
      </c>
      <c r="DI7" s="5">
        <v>5.9</v>
      </c>
      <c r="DJ7" s="5">
        <v>5.8</v>
      </c>
      <c r="DK7" s="5">
        <v>5.8</v>
      </c>
      <c r="DL7" s="5">
        <v>5.5</v>
      </c>
      <c r="DM7" s="5">
        <v>5.3</v>
      </c>
      <c r="DN7" s="5">
        <v>5.2</v>
      </c>
      <c r="DO7" s="5">
        <v>5.0999999999999996</v>
      </c>
      <c r="DP7" s="5">
        <v>5</v>
      </c>
      <c r="DQ7" s="5">
        <v>5.0999999999999996</v>
      </c>
      <c r="DR7" s="5">
        <v>5.2</v>
      </c>
      <c r="DS7" s="5">
        <v>5.2</v>
      </c>
      <c r="DT7" s="5">
        <v>5.2</v>
      </c>
      <c r="DU7" s="5">
        <v>5.3</v>
      </c>
      <c r="DV7" s="5">
        <v>5.0999999999999996</v>
      </c>
      <c r="DW7" s="5">
        <v>5.2</v>
      </c>
      <c r="DX7" s="5">
        <v>4.9000000000000004</v>
      </c>
      <c r="DY7" s="5">
        <v>5</v>
      </c>
      <c r="DZ7" s="5">
        <v>4.9000000000000004</v>
      </c>
      <c r="EA7" s="5">
        <v>4.8</v>
      </c>
      <c r="EB7" s="5">
        <v>4.8</v>
      </c>
      <c r="EC7" s="5">
        <v>4.7</v>
      </c>
      <c r="ED7" s="5">
        <v>4.7</v>
      </c>
      <c r="EE7" s="5">
        <v>4.7</v>
      </c>
      <c r="EF7" s="5">
        <v>4.8</v>
      </c>
      <c r="EG7" s="5">
        <v>4.7</v>
      </c>
      <c r="EH7" s="5">
        <v>5.0999999999999996</v>
      </c>
      <c r="EI7" s="5">
        <v>5.2</v>
      </c>
      <c r="EJ7" s="5">
        <v>5.5</v>
      </c>
      <c r="EK7" s="5">
        <v>5.5</v>
      </c>
      <c r="EL7" s="5">
        <v>5.5</v>
      </c>
      <c r="EM7" s="5">
        <v>5.5</v>
      </c>
      <c r="EN7" s="5">
        <v>5.4</v>
      </c>
      <c r="EO7" s="5">
        <v>5.3</v>
      </c>
      <c r="EP7" s="5">
        <v>5.2</v>
      </c>
      <c r="EQ7" s="5">
        <v>5.2</v>
      </c>
      <c r="ER7" s="5">
        <v>5.4</v>
      </c>
      <c r="ES7" s="5">
        <v>5.9</v>
      </c>
      <c r="ET7" s="5">
        <v>6.4</v>
      </c>
      <c r="EU7" s="5">
        <v>7.1</v>
      </c>
      <c r="EV7" s="5">
        <v>7.8</v>
      </c>
      <c r="EW7" s="5">
        <v>7.8</v>
      </c>
      <c r="EX7" s="5">
        <v>7.8</v>
      </c>
      <c r="EY7" s="5">
        <v>8</v>
      </c>
      <c r="EZ7" s="5">
        <v>7.9</v>
      </c>
      <c r="FA7" s="5">
        <v>7.8</v>
      </c>
      <c r="FB7" s="5">
        <v>7.9</v>
      </c>
      <c r="FC7" s="5">
        <v>7.8</v>
      </c>
      <c r="FD7" s="5">
        <v>7.9</v>
      </c>
      <c r="FE7" s="5">
        <v>8.3000000000000007</v>
      </c>
      <c r="FF7" s="5">
        <v>8.4</v>
      </c>
      <c r="FG7" s="5">
        <v>8.1999999999999993</v>
      </c>
      <c r="FH7" s="5">
        <v>8</v>
      </c>
      <c r="FI7" s="5">
        <v>7.9</v>
      </c>
      <c r="FJ7" s="5">
        <v>7.8</v>
      </c>
      <c r="FK7" s="5">
        <v>7.9</v>
      </c>
      <c r="FL7" s="5">
        <v>7.8</v>
      </c>
      <c r="FM7" s="5">
        <v>7.6</v>
      </c>
      <c r="FN7" s="5">
        <v>7.2</v>
      </c>
      <c r="FO7" s="5">
        <v>6.8</v>
      </c>
      <c r="FP7" s="5">
        <v>6.3</v>
      </c>
      <c r="FQ7" s="5">
        <v>6</v>
      </c>
      <c r="FR7" s="5">
        <v>5.7</v>
      </c>
      <c r="FS7" s="5">
        <v>5.6</v>
      </c>
      <c r="FT7" s="5">
        <v>5.6</v>
      </c>
      <c r="FU7" s="5">
        <v>5.4</v>
      </c>
      <c r="FV7" s="5">
        <v>5.0999999999999996</v>
      </c>
      <c r="FW7" s="5">
        <v>5.0999999999999996</v>
      </c>
      <c r="FX7" s="5">
        <v>4.9000000000000004</v>
      </c>
      <c r="FY7" s="5">
        <v>4.9000000000000004</v>
      </c>
      <c r="FZ7" s="5">
        <v>4.8</v>
      </c>
      <c r="GA7" s="5">
        <v>4.5999999999999996</v>
      </c>
      <c r="GB7" s="5">
        <v>4.5</v>
      </c>
      <c r="GC7" s="5">
        <v>4.3</v>
      </c>
      <c r="GD7" s="5">
        <v>4.4000000000000004</v>
      </c>
      <c r="GE7" s="5">
        <v>4.3</v>
      </c>
      <c r="GF7" s="5">
        <v>4.0999999999999996</v>
      </c>
      <c r="GG7" s="5">
        <v>4.2</v>
      </c>
      <c r="GH7" s="5">
        <v>4.0999999999999996</v>
      </c>
      <c r="GI7" s="5">
        <v>3.9</v>
      </c>
      <c r="GJ7" s="5">
        <v>3.9</v>
      </c>
      <c r="GK7" s="5">
        <v>3.9</v>
      </c>
      <c r="GL7" s="5">
        <v>3.9</v>
      </c>
      <c r="GM7" s="5">
        <v>4.0999999999999996</v>
      </c>
      <c r="GN7" s="5">
        <v>4.2</v>
      </c>
      <c r="GO7" s="5">
        <v>4.9000000000000004</v>
      </c>
      <c r="GP7" s="5">
        <v>5.3</v>
      </c>
      <c r="GQ7" s="5">
        <v>5.0999999999999996</v>
      </c>
      <c r="GR7" s="5">
        <v>4.8</v>
      </c>
      <c r="GS7" s="5">
        <v>4.4000000000000004</v>
      </c>
      <c r="GT7" s="5">
        <v>4.2</v>
      </c>
      <c r="GU7" s="5">
        <v>3.9</v>
      </c>
      <c r="GV7" s="5">
        <v>3.9</v>
      </c>
      <c r="GW7" s="5">
        <v>3.8</v>
      </c>
      <c r="GX7" s="5">
        <v>3.9</v>
      </c>
      <c r="GY7" s="5">
        <v>3.9</v>
      </c>
      <c r="GZ7" s="5">
        <v>4.2</v>
      </c>
      <c r="HA7" s="5">
        <v>4.0999999999999996</v>
      </c>
      <c r="HB7" s="5">
        <v>3.8</v>
      </c>
      <c r="HC7" s="6">
        <v>3.9471409999999998</v>
      </c>
      <c r="HD7" s="6">
        <v>4.0429279999999999</v>
      </c>
      <c r="HE7" s="6">
        <v>4.0907939999999998</v>
      </c>
      <c r="HF7" s="6">
        <v>4.100346</v>
      </c>
      <c r="HG7" s="6">
        <v>4.0716679999999998</v>
      </c>
      <c r="HH7" s="6">
        <v>3.9856569999999998</v>
      </c>
      <c r="HI7" s="6">
        <v>3.8899970000000001</v>
      </c>
      <c r="HJ7" s="6">
        <v>3.8134039999999998</v>
      </c>
      <c r="HK7" s="6">
        <v>3.7596959999999999</v>
      </c>
      <c r="HL7" s="6">
        <v>3.7549190000000001</v>
      </c>
      <c r="HM7" s="6">
        <v>3.7501250000000002</v>
      </c>
      <c r="HN7" s="6">
        <v>3.750127</v>
      </c>
      <c r="HO7" s="6">
        <v>3.7501220000000002</v>
      </c>
      <c r="HP7" s="6">
        <v>3.7501129999999998</v>
      </c>
      <c r="HQ7" s="6">
        <v>3.7500879999999999</v>
      </c>
      <c r="HR7" s="6">
        <v>3.7500900000000001</v>
      </c>
      <c r="HS7" s="6">
        <v>3.7501220000000002</v>
      </c>
      <c r="HT7" s="6">
        <v>3.7501030000000002</v>
      </c>
      <c r="HU7" s="6">
        <v>3.7501180000000001</v>
      </c>
      <c r="HV7" s="6">
        <v>3.750092</v>
      </c>
      <c r="HW7" s="6">
        <v>3.7500979999999999</v>
      </c>
      <c r="HX7" s="6">
        <v>3.7500879999999999</v>
      </c>
      <c r="HY7" s="6">
        <v>3.7501159999999998</v>
      </c>
      <c r="HZ7" s="6">
        <v>3.7501280000000001</v>
      </c>
      <c r="IA7" s="6">
        <v>3.7501180000000001</v>
      </c>
      <c r="IB7" s="6">
        <v>3.7501250000000002</v>
      </c>
      <c r="IC7" s="6">
        <v>3.7500990000000001</v>
      </c>
      <c r="ID7" s="6">
        <v>3.7501220000000002</v>
      </c>
      <c r="IE7" s="6">
        <v>3.7501359999999999</v>
      </c>
      <c r="IF7" s="6">
        <v>3.7500870000000002</v>
      </c>
      <c r="IG7" s="6">
        <v>3.7501090000000001</v>
      </c>
      <c r="IH7" s="6">
        <v>3.750108</v>
      </c>
      <c r="II7" s="6">
        <v>3.7501030000000002</v>
      </c>
      <c r="IJ7" s="6">
        <v>3.7501090000000001</v>
      </c>
      <c r="IK7" s="6">
        <v>3.7501099999999998</v>
      </c>
      <c r="IL7" s="6">
        <v>3.7501030000000002</v>
      </c>
      <c r="IM7" s="6">
        <v>3.7501090000000001</v>
      </c>
      <c r="IN7" s="6">
        <v>3.7501180000000001</v>
      </c>
      <c r="IO7" s="6">
        <v>3.750124</v>
      </c>
      <c r="IP7" s="6">
        <v>3.750105</v>
      </c>
      <c r="IQ7" s="6">
        <v>3.7500979999999999</v>
      </c>
      <c r="IR7" s="6">
        <v>3.7500969999999998</v>
      </c>
      <c r="IS7" s="6">
        <v>3.750095</v>
      </c>
      <c r="IT7" s="6">
        <v>3.7500100000000001</v>
      </c>
      <c r="IU7" s="6">
        <v>3.7500170000000002</v>
      </c>
      <c r="IV7" s="6">
        <v>3.7500040000000001</v>
      </c>
      <c r="IW7" s="6">
        <v>3.7499910000000001</v>
      </c>
      <c r="IX7" s="6">
        <v>3.7500079999999998</v>
      </c>
      <c r="IY7" s="6">
        <v>3.7500149999999999</v>
      </c>
      <c r="IZ7" s="6">
        <v>3.7500019999999998</v>
      </c>
      <c r="JA7" s="6">
        <v>3.750019</v>
      </c>
      <c r="JB7" s="6">
        <v>3.7499959999999999</v>
      </c>
      <c r="JC7" s="6">
        <v>3.749984</v>
      </c>
      <c r="JD7" s="6">
        <v>3.75</v>
      </c>
      <c r="JE7" s="6">
        <v>3.7500079999999998</v>
      </c>
      <c r="JF7" s="6">
        <v>3.7499950000000002</v>
      </c>
      <c r="JG7" s="6">
        <v>3.7500019999999998</v>
      </c>
      <c r="JH7" s="6">
        <v>3.7499889999999998</v>
      </c>
      <c r="JI7" s="6">
        <v>3.7499760000000002</v>
      </c>
      <c r="JJ7" s="6">
        <v>3.750013</v>
      </c>
      <c r="JK7" s="6">
        <v>3.75</v>
      </c>
      <c r="JL7" s="6">
        <v>3.7500170000000002</v>
      </c>
      <c r="JM7" s="6">
        <v>3.749994</v>
      </c>
      <c r="JN7" s="6">
        <v>3.7499820000000001</v>
      </c>
      <c r="JO7" s="6">
        <v>3.7499980000000002</v>
      </c>
      <c r="JP7" s="6">
        <v>3.750006</v>
      </c>
      <c r="JQ7" s="6">
        <v>3.7499929999999999</v>
      </c>
      <c r="JR7" s="6">
        <v>3.75</v>
      </c>
      <c r="JS7" s="6">
        <v>3.7499989999999999</v>
      </c>
      <c r="JT7" s="6">
        <v>3.7500270000000002</v>
      </c>
      <c r="JU7" s="6">
        <v>3.7500049999999998</v>
      </c>
      <c r="JV7" s="6">
        <v>3.7499950000000002</v>
      </c>
      <c r="JW7" s="6">
        <v>3.7500230000000001</v>
      </c>
      <c r="JX7" s="6">
        <v>3.7499920000000002</v>
      </c>
      <c r="JY7" s="6">
        <v>3.75</v>
      </c>
      <c r="JZ7" s="6">
        <v>3.750019</v>
      </c>
      <c r="KA7" s="6">
        <v>3.7499880000000001</v>
      </c>
      <c r="KB7" s="6">
        <v>3.7500149999999999</v>
      </c>
      <c r="KC7" s="6">
        <v>3.7500140000000002</v>
      </c>
      <c r="KD7" s="6">
        <v>3.749984</v>
      </c>
      <c r="KE7" s="6">
        <v>3.7500110000000002</v>
      </c>
      <c r="KF7" s="6">
        <v>3.7500200000000001</v>
      </c>
      <c r="KG7" s="6">
        <v>3.7500089999999999</v>
      </c>
      <c r="KH7" s="6">
        <v>3.7500070000000001</v>
      </c>
      <c r="KI7" s="6">
        <v>3.750006</v>
      </c>
      <c r="KJ7" s="6">
        <v>3.7499850000000001</v>
      </c>
      <c r="KK7" s="6">
        <v>3.750013</v>
      </c>
      <c r="KL7" s="6">
        <v>3.7500019999999998</v>
      </c>
      <c r="KM7" s="6">
        <v>3.749981</v>
      </c>
      <c r="KN7" s="6">
        <v>3.7500089999999999</v>
      </c>
      <c r="KO7" s="6">
        <v>3.7499980000000002</v>
      </c>
      <c r="KP7" s="6">
        <v>3.7500260000000001</v>
      </c>
      <c r="KQ7" s="6">
        <v>3.7500049999999998</v>
      </c>
      <c r="KR7" s="6">
        <v>3.7500040000000001</v>
      </c>
      <c r="KS7" s="6">
        <v>3.750022</v>
      </c>
      <c r="KT7" s="6">
        <v>3.7500010000000001</v>
      </c>
      <c r="KU7" s="6">
        <v>3.75</v>
      </c>
      <c r="KV7" s="6">
        <v>3.7499980000000002</v>
      </c>
      <c r="KW7" s="6">
        <v>3.749987</v>
      </c>
      <c r="KX7" s="6">
        <v>3.7499959999999999</v>
      </c>
      <c r="KY7" s="6">
        <v>3.7500230000000001</v>
      </c>
      <c r="KZ7" s="6">
        <v>3.7499929999999999</v>
      </c>
      <c r="LA7" s="6">
        <v>3.7499920000000002</v>
      </c>
      <c r="LB7" s="6">
        <v>3.750019</v>
      </c>
      <c r="LC7" s="6">
        <v>3.7499889999999998</v>
      </c>
      <c r="LD7" s="6">
        <v>3.750016</v>
      </c>
      <c r="LE7" s="6">
        <v>3.7500149999999999</v>
      </c>
      <c r="LF7" s="6">
        <v>3.7499850000000001</v>
      </c>
      <c r="LG7" s="2" t="s">
        <v>335</v>
      </c>
      <c r="LH7" s="2" t="s">
        <v>336</v>
      </c>
      <c r="LI7" s="2" t="s">
        <v>338</v>
      </c>
      <c r="LJ7" s="2" t="s">
        <v>338</v>
      </c>
      <c r="LK7" s="2" t="s">
        <v>339</v>
      </c>
      <c r="LL7" s="2" t="s">
        <v>623</v>
      </c>
      <c r="LM7" s="2" t="s">
        <v>338</v>
      </c>
      <c r="LN7" s="2" t="s">
        <v>365</v>
      </c>
      <c r="LO7" s="4" t="s">
        <v>366</v>
      </c>
      <c r="LP7" s="2" t="s">
        <v>343</v>
      </c>
      <c r="LQ7" s="2" t="s">
        <v>367</v>
      </c>
      <c r="LR7" s="4" t="s">
        <v>659</v>
      </c>
      <c r="LS7"/>
      <c r="LT7"/>
      <c r="LU7"/>
      <c r="LV7"/>
      <c r="LW7"/>
      <c r="LX7"/>
    </row>
    <row r="8" spans="1:336" x14ac:dyDescent="0.35">
      <c r="A8" s="2" t="s">
        <v>330</v>
      </c>
      <c r="B8" s="2" t="s">
        <v>368</v>
      </c>
      <c r="C8" s="4" t="s">
        <v>658</v>
      </c>
      <c r="D8" s="2" t="s">
        <v>628</v>
      </c>
      <c r="E8" s="2" t="s">
        <v>338</v>
      </c>
      <c r="F8" s="2" t="s">
        <v>334</v>
      </c>
      <c r="G8" s="5">
        <v>11.88749</v>
      </c>
      <c r="H8" s="5">
        <v>12.304600000000001</v>
      </c>
      <c r="I8" s="5">
        <v>12.51315</v>
      </c>
      <c r="J8" s="5">
        <v>13.008459999999999</v>
      </c>
      <c r="K8" s="5">
        <v>13.47771</v>
      </c>
      <c r="L8" s="5">
        <v>14.23371</v>
      </c>
      <c r="M8" s="5">
        <v>14.572609999999999</v>
      </c>
      <c r="N8" s="5">
        <v>15.250400000000001</v>
      </c>
      <c r="O8" s="5">
        <v>16.058540000000001</v>
      </c>
      <c r="P8" s="5">
        <v>17.466270000000002</v>
      </c>
      <c r="Q8" s="5">
        <v>18.222280000000001</v>
      </c>
      <c r="R8" s="5">
        <v>18.847930000000002</v>
      </c>
      <c r="S8" s="5">
        <v>19.42145</v>
      </c>
      <c r="T8" s="5">
        <v>20.125319999999999</v>
      </c>
      <c r="U8" s="5">
        <v>20.594560000000001</v>
      </c>
      <c r="V8" s="5">
        <v>21.506979999999999</v>
      </c>
      <c r="W8" s="5">
        <v>22.471530000000001</v>
      </c>
      <c r="X8" s="5">
        <v>23.410019999999999</v>
      </c>
      <c r="Y8" s="5">
        <v>23.82713</v>
      </c>
      <c r="Z8" s="5">
        <v>24.139949999999999</v>
      </c>
      <c r="AA8" s="5">
        <v>24.452780000000001</v>
      </c>
      <c r="AB8" s="5">
        <v>25.078440000000001</v>
      </c>
      <c r="AC8" s="5">
        <v>25.469480000000001</v>
      </c>
      <c r="AD8" s="5">
        <v>25.860510000000001</v>
      </c>
      <c r="AE8" s="5">
        <v>26.43403</v>
      </c>
      <c r="AF8" s="5">
        <v>27.268239999999999</v>
      </c>
      <c r="AG8" s="5">
        <v>28.910589999999999</v>
      </c>
      <c r="AH8" s="5">
        <v>29.718730000000001</v>
      </c>
      <c r="AI8" s="5">
        <v>30.605080000000001</v>
      </c>
      <c r="AJ8" s="5">
        <v>32.247430000000001</v>
      </c>
      <c r="AK8" s="5">
        <v>32.951300000000003</v>
      </c>
      <c r="AL8" s="5">
        <v>33.550879999999999</v>
      </c>
      <c r="AM8" s="5">
        <v>34.385100000000001</v>
      </c>
      <c r="AN8" s="5">
        <v>36.079590000000003</v>
      </c>
      <c r="AO8" s="5">
        <v>36.731310000000001</v>
      </c>
      <c r="AP8" s="5">
        <v>37.435180000000003</v>
      </c>
      <c r="AQ8" s="5">
        <v>37.878349999999998</v>
      </c>
      <c r="AR8" s="5">
        <v>39.181800000000003</v>
      </c>
      <c r="AS8" s="5">
        <v>39.416420000000002</v>
      </c>
      <c r="AT8" s="5">
        <v>39.885669999999998</v>
      </c>
      <c r="AU8" s="5">
        <v>40.172429999999999</v>
      </c>
      <c r="AV8" s="5">
        <v>40.85022</v>
      </c>
      <c r="AW8" s="5">
        <v>41.293399999999998</v>
      </c>
      <c r="AX8" s="5">
        <v>41.762639999999998</v>
      </c>
      <c r="AY8" s="5">
        <v>41.86692</v>
      </c>
      <c r="AZ8" s="5">
        <v>42.779339999999998</v>
      </c>
      <c r="BA8" s="5">
        <v>42.98789</v>
      </c>
      <c r="BB8" s="5">
        <v>43.431060000000002</v>
      </c>
      <c r="BC8" s="5">
        <v>43.874229999999997</v>
      </c>
      <c r="BD8" s="5">
        <v>44.995199999999997</v>
      </c>
      <c r="BE8" s="5">
        <v>45.125549999999997</v>
      </c>
      <c r="BF8" s="5">
        <v>45.490519999999997</v>
      </c>
      <c r="BG8" s="5">
        <v>45.646929999999998</v>
      </c>
      <c r="BH8" s="5">
        <v>46.3508</v>
      </c>
      <c r="BI8" s="5">
        <v>46.533279999999998</v>
      </c>
      <c r="BJ8" s="5">
        <v>46.924320000000002</v>
      </c>
      <c r="BK8" s="5">
        <v>47.237139999999997</v>
      </c>
      <c r="BL8" s="5">
        <v>47.836730000000003</v>
      </c>
      <c r="BM8" s="5">
        <v>47.888869999999997</v>
      </c>
      <c r="BN8" s="5">
        <v>48.436320000000002</v>
      </c>
      <c r="BO8" s="5">
        <v>48.566670000000002</v>
      </c>
      <c r="BP8" s="5">
        <v>49.5</v>
      </c>
      <c r="BQ8" s="5">
        <v>49.9</v>
      </c>
      <c r="BR8" s="5">
        <v>50.466670000000001</v>
      </c>
      <c r="BS8" s="5">
        <v>51</v>
      </c>
      <c r="BT8" s="5">
        <v>52.133339999999997</v>
      </c>
      <c r="BU8" s="5">
        <v>52.466670000000001</v>
      </c>
      <c r="BV8" s="5">
        <v>53.266669999999998</v>
      </c>
      <c r="BW8" s="5">
        <v>53.933329999999998</v>
      </c>
      <c r="BX8" s="5">
        <v>55.6</v>
      </c>
      <c r="BY8" s="5">
        <v>56.4</v>
      </c>
      <c r="BZ8" s="5">
        <v>57.466670000000001</v>
      </c>
      <c r="CA8" s="5">
        <v>57.666670000000003</v>
      </c>
      <c r="CB8" s="5">
        <v>60.266669999999998</v>
      </c>
      <c r="CC8" s="5">
        <v>60.833329999999997</v>
      </c>
      <c r="CD8" s="5">
        <v>61.466670000000001</v>
      </c>
      <c r="CE8" s="5">
        <v>61.7</v>
      </c>
      <c r="CF8" s="5">
        <v>62.833329999999997</v>
      </c>
      <c r="CG8" s="5">
        <v>62.733330000000002</v>
      </c>
      <c r="CH8" s="5">
        <v>63.133339999999997</v>
      </c>
      <c r="CI8" s="5">
        <v>63.2</v>
      </c>
      <c r="CJ8" s="5">
        <v>64.433329999999998</v>
      </c>
      <c r="CK8" s="5">
        <v>64.5</v>
      </c>
      <c r="CL8" s="5">
        <v>64.666659999999993</v>
      </c>
      <c r="CM8" s="5">
        <v>64.766670000000005</v>
      </c>
      <c r="CN8" s="5">
        <v>65.7</v>
      </c>
      <c r="CO8" s="5">
        <v>65.633330000000001</v>
      </c>
      <c r="CP8" s="5">
        <v>65.8</v>
      </c>
      <c r="CQ8" s="5">
        <v>66.333340000000007</v>
      </c>
      <c r="CR8" s="5">
        <v>67.266670000000005</v>
      </c>
      <c r="CS8" s="5">
        <v>67.400000000000006</v>
      </c>
      <c r="CT8" s="5">
        <v>67.733329999999995</v>
      </c>
      <c r="CU8" s="5">
        <v>68.099999999999994</v>
      </c>
      <c r="CV8" s="5">
        <v>68.866669999999999</v>
      </c>
      <c r="CW8" s="5">
        <v>68.933329999999998</v>
      </c>
      <c r="CX8" s="5">
        <v>69.366669999999999</v>
      </c>
      <c r="CY8" s="5">
        <v>69.366669999999999</v>
      </c>
      <c r="CZ8" s="5">
        <v>70</v>
      </c>
      <c r="DA8" s="5">
        <v>70.266670000000005</v>
      </c>
      <c r="DB8" s="5">
        <v>70.633330000000001</v>
      </c>
      <c r="DC8" s="5">
        <v>70.5</v>
      </c>
      <c r="DD8" s="5">
        <v>71.266670000000005</v>
      </c>
      <c r="DE8" s="5">
        <v>71.233329999999995</v>
      </c>
      <c r="DF8" s="5">
        <v>71.633330000000001</v>
      </c>
      <c r="DG8" s="5">
        <v>71.599999999999994</v>
      </c>
      <c r="DH8" s="5">
        <v>72.3</v>
      </c>
      <c r="DI8" s="5">
        <v>72.133330000000001</v>
      </c>
      <c r="DJ8" s="5">
        <v>72.433329999999998</v>
      </c>
      <c r="DK8" s="5">
        <v>72.133330000000001</v>
      </c>
      <c r="DL8" s="5">
        <v>72.766670000000005</v>
      </c>
      <c r="DM8" s="5">
        <v>72.7</v>
      </c>
      <c r="DN8" s="5">
        <v>73.166659999999993</v>
      </c>
      <c r="DO8" s="5">
        <v>72.766670000000005</v>
      </c>
      <c r="DP8" s="5">
        <v>73.833340000000007</v>
      </c>
      <c r="DQ8" s="5">
        <v>73.866669999999999</v>
      </c>
      <c r="DR8" s="5">
        <v>73.900000000000006</v>
      </c>
      <c r="DS8" s="5">
        <v>73.866669999999999</v>
      </c>
      <c r="DT8" s="5">
        <v>74.533330000000007</v>
      </c>
      <c r="DU8" s="5">
        <v>74.599999999999994</v>
      </c>
      <c r="DV8" s="5">
        <v>75</v>
      </c>
      <c r="DW8" s="5">
        <v>75</v>
      </c>
      <c r="DX8" s="5">
        <v>75.466669999999993</v>
      </c>
      <c r="DY8" s="5">
        <v>75.599999999999994</v>
      </c>
      <c r="DZ8" s="5">
        <v>76.033330000000007</v>
      </c>
      <c r="EA8" s="5">
        <v>75.966669999999993</v>
      </c>
      <c r="EB8" s="5">
        <v>76.533330000000007</v>
      </c>
      <c r="EC8" s="5">
        <v>76.566670000000002</v>
      </c>
      <c r="ED8" s="5">
        <v>77.099999999999994</v>
      </c>
      <c r="EE8" s="5">
        <v>77.233329999999995</v>
      </c>
      <c r="EF8" s="5">
        <v>78</v>
      </c>
      <c r="EG8" s="5">
        <v>78.400000000000006</v>
      </c>
      <c r="EH8" s="5">
        <v>78.766670000000005</v>
      </c>
      <c r="EI8" s="5">
        <v>78.733329999999995</v>
      </c>
      <c r="EJ8" s="5">
        <v>79.8</v>
      </c>
      <c r="EK8" s="5">
        <v>80.3</v>
      </c>
      <c r="EL8" s="5">
        <v>80.900000000000006</v>
      </c>
      <c r="EM8" s="5">
        <v>81</v>
      </c>
      <c r="EN8" s="5">
        <v>81.8</v>
      </c>
      <c r="EO8" s="5">
        <v>81.733329999999995</v>
      </c>
      <c r="EP8" s="5">
        <v>82.6</v>
      </c>
      <c r="EQ8" s="5">
        <v>82.933329999999998</v>
      </c>
      <c r="ER8" s="5">
        <v>84.6</v>
      </c>
      <c r="ES8" s="5">
        <v>85.633330000000001</v>
      </c>
      <c r="ET8" s="5">
        <v>85.733329999999995</v>
      </c>
      <c r="EU8" s="5">
        <v>85.433329999999998</v>
      </c>
      <c r="EV8" s="5">
        <v>86.366669999999999</v>
      </c>
      <c r="EW8" s="5">
        <v>86.933329999999998</v>
      </c>
      <c r="EX8" s="5">
        <v>87.566670000000002</v>
      </c>
      <c r="EY8" s="5">
        <v>88.233329999999995</v>
      </c>
      <c r="EZ8" s="5">
        <v>89.366669999999999</v>
      </c>
      <c r="FA8" s="5">
        <v>89.633330000000001</v>
      </c>
      <c r="FB8" s="5">
        <v>90.5</v>
      </c>
      <c r="FC8" s="5">
        <v>91.833340000000007</v>
      </c>
      <c r="FD8" s="5">
        <v>93.3</v>
      </c>
      <c r="FE8" s="5">
        <v>93.833340000000007</v>
      </c>
      <c r="FF8" s="5">
        <v>94.733329999999995</v>
      </c>
      <c r="FG8" s="5">
        <v>95.033330000000007</v>
      </c>
      <c r="FH8" s="5">
        <v>95.8</v>
      </c>
      <c r="FI8" s="5">
        <v>96.066670000000002</v>
      </c>
      <c r="FJ8" s="5">
        <v>97.266670000000005</v>
      </c>
      <c r="FK8" s="5">
        <v>97.666659999999993</v>
      </c>
      <c r="FL8" s="5">
        <v>98.366669999999999</v>
      </c>
      <c r="FM8" s="5">
        <v>98.7</v>
      </c>
      <c r="FN8" s="5">
        <v>99.3</v>
      </c>
      <c r="FO8" s="5">
        <v>99.4</v>
      </c>
      <c r="FP8" s="5">
        <v>100.1</v>
      </c>
      <c r="FQ8" s="5">
        <v>100.13330000000001</v>
      </c>
      <c r="FR8" s="5">
        <v>100.2</v>
      </c>
      <c r="FS8" s="5">
        <v>99.5</v>
      </c>
      <c r="FT8" s="5">
        <v>100.0667</v>
      </c>
      <c r="FU8" s="5">
        <v>100.16670000000001</v>
      </c>
      <c r="FV8" s="5">
        <v>100.3</v>
      </c>
      <c r="FW8" s="5">
        <v>99.833340000000007</v>
      </c>
      <c r="FX8" s="5">
        <v>100.4</v>
      </c>
      <c r="FY8" s="5">
        <v>100.86669999999999</v>
      </c>
      <c r="FZ8" s="5">
        <v>101.5</v>
      </c>
      <c r="GA8" s="5">
        <v>102</v>
      </c>
      <c r="GB8" s="5">
        <v>103.16670000000001</v>
      </c>
      <c r="GC8" s="5">
        <v>103.7</v>
      </c>
      <c r="GD8" s="5">
        <v>104.5667</v>
      </c>
      <c r="GE8" s="5">
        <v>104.7667</v>
      </c>
      <c r="GF8" s="5">
        <v>105.66670000000001</v>
      </c>
      <c r="GG8" s="5">
        <v>106.3</v>
      </c>
      <c r="GH8" s="5">
        <v>106.9333</v>
      </c>
      <c r="GI8" s="5">
        <v>106.7</v>
      </c>
      <c r="GJ8" s="5">
        <v>107.8</v>
      </c>
      <c r="GK8" s="5">
        <v>108.2667</v>
      </c>
      <c r="GL8" s="5">
        <v>108.4333</v>
      </c>
      <c r="GM8" s="5">
        <v>108.4667</v>
      </c>
      <c r="GN8" s="5">
        <v>108.5333</v>
      </c>
      <c r="GO8" s="5">
        <v>108.9333</v>
      </c>
      <c r="GP8" s="5">
        <v>109.0667</v>
      </c>
      <c r="GQ8" s="5">
        <v>109.16670000000001</v>
      </c>
      <c r="GR8" s="5">
        <v>110.7333</v>
      </c>
      <c r="GS8" s="5">
        <v>111.9333</v>
      </c>
      <c r="GT8" s="5">
        <v>114.4</v>
      </c>
      <c r="GU8" s="5">
        <v>115.9333</v>
      </c>
      <c r="GV8" s="5">
        <v>120.86669999999999</v>
      </c>
      <c r="GW8" s="5">
        <v>123.13330000000001</v>
      </c>
      <c r="GX8" s="5">
        <v>126.7</v>
      </c>
      <c r="GY8" s="5">
        <v>127.7333</v>
      </c>
      <c r="GZ8" s="5">
        <v>131.0667</v>
      </c>
      <c r="HA8" s="5">
        <v>131.4</v>
      </c>
      <c r="HB8" s="5">
        <v>131.9667</v>
      </c>
      <c r="HC8" s="6">
        <v>132.10210000000001</v>
      </c>
      <c r="HD8" s="6">
        <v>133.14169999999999</v>
      </c>
      <c r="HE8" s="6">
        <v>133.72</v>
      </c>
      <c r="HF8" s="6">
        <v>134.38079999999999</v>
      </c>
      <c r="HG8" s="6">
        <v>134.56129999999999</v>
      </c>
      <c r="HH8" s="6">
        <v>135.92660000000001</v>
      </c>
      <c r="HI8" s="6">
        <v>136.68369999999999</v>
      </c>
      <c r="HJ8" s="6">
        <v>137.44370000000001</v>
      </c>
      <c r="HK8" s="6">
        <v>137.66970000000001</v>
      </c>
      <c r="HL8" s="6">
        <v>138.96539999999999</v>
      </c>
      <c r="HM8" s="6">
        <v>139.70320000000001</v>
      </c>
      <c r="HN8" s="6">
        <v>140.39699999999999</v>
      </c>
      <c r="HO8" s="6">
        <v>140.58320000000001</v>
      </c>
      <c r="HP8" s="6">
        <v>141.89920000000001</v>
      </c>
      <c r="HQ8" s="6">
        <v>142.6619</v>
      </c>
      <c r="HR8" s="6">
        <v>143.33930000000001</v>
      </c>
      <c r="HS8" s="6">
        <v>143.51669999999999</v>
      </c>
      <c r="HT8" s="6">
        <v>144.82749999999999</v>
      </c>
      <c r="HU8" s="6">
        <v>145.58920000000001</v>
      </c>
      <c r="HV8" s="6">
        <v>146.23480000000001</v>
      </c>
      <c r="HW8" s="6">
        <v>146.3903</v>
      </c>
      <c r="HX8" s="6">
        <v>147.71629999999999</v>
      </c>
      <c r="HY8" s="6">
        <v>148.49940000000001</v>
      </c>
      <c r="HZ8" s="6">
        <v>149.13579999999999</v>
      </c>
      <c r="IA8" s="6">
        <v>149.2902</v>
      </c>
      <c r="IB8" s="6">
        <v>150.65379999999999</v>
      </c>
      <c r="IC8" s="6">
        <v>151.4768</v>
      </c>
      <c r="ID8" s="6">
        <v>152.11660000000001</v>
      </c>
      <c r="IE8" s="6">
        <v>152.27600000000001</v>
      </c>
      <c r="IF8" s="6">
        <v>153.6669</v>
      </c>
      <c r="IG8" s="6">
        <v>154.50630000000001</v>
      </c>
      <c r="IH8" s="6">
        <v>155.15889999999999</v>
      </c>
      <c r="II8" s="6">
        <v>155.32149999999999</v>
      </c>
      <c r="IJ8" s="6">
        <v>156.74019999999999</v>
      </c>
      <c r="IK8" s="6">
        <v>157.59649999999999</v>
      </c>
      <c r="IL8" s="6">
        <v>158.2621</v>
      </c>
      <c r="IM8" s="6">
        <v>158.428</v>
      </c>
      <c r="IN8" s="6">
        <v>159.875</v>
      </c>
      <c r="IO8" s="6">
        <v>160.7484</v>
      </c>
      <c r="IP8" s="6">
        <v>161.42740000000001</v>
      </c>
      <c r="IQ8" s="6">
        <v>161.59649999999999</v>
      </c>
      <c r="IR8" s="6">
        <v>163.07249999999999</v>
      </c>
      <c r="IS8" s="6">
        <v>163.96340000000001</v>
      </c>
      <c r="IT8" s="6">
        <v>164.6559</v>
      </c>
      <c r="IU8" s="6">
        <v>164.82849999999999</v>
      </c>
      <c r="IV8" s="6">
        <v>166.334</v>
      </c>
      <c r="IW8" s="6">
        <v>167.24260000000001</v>
      </c>
      <c r="IX8" s="6">
        <v>167.94900000000001</v>
      </c>
      <c r="IY8" s="6">
        <v>168.125</v>
      </c>
      <c r="IZ8" s="6">
        <v>169.66059999999999</v>
      </c>
      <c r="JA8" s="6">
        <v>170.58750000000001</v>
      </c>
      <c r="JB8" s="6">
        <v>171.30799999999999</v>
      </c>
      <c r="JC8" s="6">
        <v>171.48750000000001</v>
      </c>
      <c r="JD8" s="6">
        <v>173.0539</v>
      </c>
      <c r="JE8" s="6">
        <v>173.99930000000001</v>
      </c>
      <c r="JF8" s="6">
        <v>174.73419999999999</v>
      </c>
      <c r="JG8" s="6">
        <v>174.91730000000001</v>
      </c>
      <c r="JH8" s="6">
        <v>176.51490000000001</v>
      </c>
      <c r="JI8" s="6">
        <v>177.47919999999999</v>
      </c>
      <c r="JJ8" s="6">
        <v>178.22890000000001</v>
      </c>
      <c r="JK8" s="6">
        <v>178.41560000000001</v>
      </c>
      <c r="JL8" s="6">
        <v>180.04519999999999</v>
      </c>
      <c r="JM8" s="6">
        <v>181.02879999999999</v>
      </c>
      <c r="JN8" s="6">
        <v>181.79339999999999</v>
      </c>
      <c r="JO8" s="6">
        <v>181.98400000000001</v>
      </c>
      <c r="JP8" s="6">
        <v>183.64609999999999</v>
      </c>
      <c r="JQ8" s="6">
        <v>184.64940000000001</v>
      </c>
      <c r="JR8" s="6">
        <v>185.42930000000001</v>
      </c>
      <c r="JS8" s="6">
        <v>185.62360000000001</v>
      </c>
      <c r="JT8" s="6">
        <v>187.31909999999999</v>
      </c>
      <c r="JU8" s="6">
        <v>188.3424</v>
      </c>
      <c r="JV8" s="6">
        <v>189.1379</v>
      </c>
      <c r="JW8" s="6">
        <v>189.33609999999999</v>
      </c>
      <c r="JX8" s="6">
        <v>191.06540000000001</v>
      </c>
      <c r="JY8" s="6">
        <v>192.10919999999999</v>
      </c>
      <c r="JZ8" s="6">
        <v>192.92060000000001</v>
      </c>
      <c r="KA8" s="6">
        <v>193.12280000000001</v>
      </c>
      <c r="KB8" s="6">
        <v>194.88679999999999</v>
      </c>
      <c r="KC8" s="6">
        <v>195.95140000000001</v>
      </c>
      <c r="KD8" s="6">
        <v>196.7791</v>
      </c>
      <c r="KE8" s="6">
        <v>196.9853</v>
      </c>
      <c r="KF8" s="6">
        <v>198.78450000000001</v>
      </c>
      <c r="KG8" s="6">
        <v>199.87039999999999</v>
      </c>
      <c r="KH8" s="6">
        <v>200.71459999999999</v>
      </c>
      <c r="KI8" s="6">
        <v>200.92500000000001</v>
      </c>
      <c r="KJ8" s="6">
        <v>202.7602</v>
      </c>
      <c r="KK8" s="6">
        <v>203.86789999999999</v>
      </c>
      <c r="KL8" s="6">
        <v>204.72890000000001</v>
      </c>
      <c r="KM8" s="6">
        <v>204.9435</v>
      </c>
      <c r="KN8" s="6">
        <v>206.81540000000001</v>
      </c>
      <c r="KO8" s="6">
        <v>207.9452</v>
      </c>
      <c r="KP8" s="6">
        <v>208.8235</v>
      </c>
      <c r="KQ8" s="6">
        <v>209.04239999999999</v>
      </c>
      <c r="KR8" s="6">
        <v>210.95169999999999</v>
      </c>
      <c r="KS8" s="6">
        <v>212.10409999999999</v>
      </c>
      <c r="KT8" s="6">
        <v>213</v>
      </c>
      <c r="KU8" s="6">
        <v>213.22319999999999</v>
      </c>
      <c r="KV8" s="6">
        <v>215.17070000000001</v>
      </c>
      <c r="KW8" s="6">
        <v>216.34620000000001</v>
      </c>
      <c r="KX8" s="6">
        <v>217.26</v>
      </c>
      <c r="KY8" s="6">
        <v>217.48769999999999</v>
      </c>
      <c r="KZ8" s="6">
        <v>219.47409999999999</v>
      </c>
      <c r="LA8" s="6">
        <v>220.67310000000001</v>
      </c>
      <c r="LB8" s="6">
        <v>221.6052</v>
      </c>
      <c r="LC8" s="6">
        <v>221.8374</v>
      </c>
      <c r="LD8" s="6">
        <v>223.86359999999999</v>
      </c>
      <c r="LE8" s="6">
        <v>225.0866</v>
      </c>
      <c r="LF8" s="6">
        <v>226.03729999999999</v>
      </c>
      <c r="LG8" s="2" t="s">
        <v>335</v>
      </c>
      <c r="LH8" s="2" t="s">
        <v>348</v>
      </c>
      <c r="LI8" s="2" t="s">
        <v>338</v>
      </c>
      <c r="LJ8" s="2" t="s">
        <v>369</v>
      </c>
      <c r="LK8" s="2" t="s">
        <v>339</v>
      </c>
      <c r="LL8" s="2" t="s">
        <v>623</v>
      </c>
      <c r="LM8" s="2" t="s">
        <v>338</v>
      </c>
      <c r="LN8" s="4" t="s">
        <v>370</v>
      </c>
      <c r="LO8" s="4" t="s">
        <v>371</v>
      </c>
      <c r="LP8" s="2" t="s">
        <v>343</v>
      </c>
      <c r="LQ8" s="2" t="s">
        <v>372</v>
      </c>
      <c r="LR8" s="4" t="s">
        <v>659</v>
      </c>
      <c r="LS8"/>
      <c r="LT8"/>
      <c r="LU8"/>
      <c r="LV8"/>
      <c r="LW8"/>
      <c r="LX8"/>
    </row>
    <row r="9" spans="1:336" x14ac:dyDescent="0.35">
      <c r="A9" s="2" t="s">
        <v>330</v>
      </c>
      <c r="B9" s="2" t="s">
        <v>373</v>
      </c>
      <c r="C9" s="4" t="s">
        <v>658</v>
      </c>
      <c r="D9" s="2" t="s">
        <v>346</v>
      </c>
      <c r="E9" s="2" t="s">
        <v>338</v>
      </c>
      <c r="F9" s="2" t="s">
        <v>334</v>
      </c>
      <c r="G9" s="5">
        <v>8.5</v>
      </c>
      <c r="H9" s="5">
        <v>9.5</v>
      </c>
      <c r="I9" s="5">
        <v>10</v>
      </c>
      <c r="J9" s="5">
        <v>11</v>
      </c>
      <c r="K9" s="5">
        <v>11</v>
      </c>
      <c r="L9" s="5">
        <v>11</v>
      </c>
      <c r="M9" s="5">
        <v>11</v>
      </c>
      <c r="N9" s="5">
        <v>11</v>
      </c>
      <c r="O9" s="5">
        <v>11</v>
      </c>
      <c r="P9" s="5">
        <v>11</v>
      </c>
      <c r="Q9" s="5">
        <v>11</v>
      </c>
      <c r="R9" s="5">
        <v>11</v>
      </c>
      <c r="S9" s="5">
        <v>11</v>
      </c>
      <c r="T9" s="5">
        <v>10.5</v>
      </c>
      <c r="U9" s="5">
        <v>10.5</v>
      </c>
      <c r="V9" s="5">
        <v>12.25</v>
      </c>
      <c r="W9" s="5">
        <v>12.25</v>
      </c>
      <c r="X9" s="5">
        <v>11.25</v>
      </c>
      <c r="Y9" s="5">
        <v>10.5</v>
      </c>
      <c r="Z9" s="5">
        <v>9.5</v>
      </c>
      <c r="AA9" s="5">
        <v>8.5</v>
      </c>
      <c r="AB9" s="5">
        <v>8.5</v>
      </c>
      <c r="AC9" s="5">
        <v>9.75</v>
      </c>
      <c r="AD9" s="5">
        <v>10.42</v>
      </c>
      <c r="AE9" s="5">
        <v>11.75</v>
      </c>
      <c r="AF9" s="5">
        <v>11.246</v>
      </c>
      <c r="AG9" s="5">
        <v>11.75</v>
      </c>
      <c r="AH9" s="5">
        <v>13.38</v>
      </c>
      <c r="AI9" s="5">
        <v>14.7821</v>
      </c>
      <c r="AJ9" s="5">
        <v>14.875500000000001</v>
      </c>
      <c r="AK9" s="5">
        <v>14.887600000000001</v>
      </c>
      <c r="AL9" s="5">
        <v>14.9682</v>
      </c>
      <c r="AM9" s="5">
        <v>13.8888</v>
      </c>
      <c r="AN9" s="5">
        <v>13.0457</v>
      </c>
      <c r="AO9" s="5">
        <v>12.624599999999999</v>
      </c>
      <c r="AP9" s="5">
        <v>14.7041</v>
      </c>
      <c r="AQ9" s="5">
        <v>14.5939</v>
      </c>
      <c r="AR9" s="5">
        <v>13.457599999999999</v>
      </c>
      <c r="AS9" s="5">
        <v>12.612399999999999</v>
      </c>
      <c r="AT9" s="5">
        <v>10.9634</v>
      </c>
      <c r="AU9" s="5">
        <v>9.9275400000000005</v>
      </c>
      <c r="AV9" s="5">
        <v>10.075900000000001</v>
      </c>
      <c r="AW9" s="5">
        <v>11.2349</v>
      </c>
      <c r="AX9" s="5">
        <v>11.254099999999999</v>
      </c>
      <c r="AY9" s="5">
        <v>11.47</v>
      </c>
      <c r="AZ9" s="5">
        <v>10.51</v>
      </c>
      <c r="BA9" s="5">
        <v>13.08</v>
      </c>
      <c r="BB9" s="5">
        <v>12.19</v>
      </c>
      <c r="BC9" s="5">
        <v>13.25</v>
      </c>
      <c r="BD9" s="5">
        <v>14.26</v>
      </c>
      <c r="BE9" s="5">
        <v>13.06</v>
      </c>
      <c r="BF9" s="5">
        <v>13.01</v>
      </c>
      <c r="BG9" s="5">
        <v>13</v>
      </c>
      <c r="BH9" s="5">
        <v>11.06</v>
      </c>
      <c r="BI9" s="5">
        <v>11.04</v>
      </c>
      <c r="BJ9" s="5">
        <v>12.32</v>
      </c>
      <c r="BK9" s="5">
        <v>12.32</v>
      </c>
      <c r="BL9" s="5">
        <v>11.28</v>
      </c>
      <c r="BM9" s="5">
        <v>11.28</v>
      </c>
      <c r="BN9" s="5">
        <v>10.34</v>
      </c>
      <c r="BO9" s="5">
        <v>10.26</v>
      </c>
      <c r="BP9" s="5">
        <v>9.7799999999999994</v>
      </c>
      <c r="BQ9" s="5">
        <v>11.54</v>
      </c>
      <c r="BR9" s="5">
        <v>12.75</v>
      </c>
      <c r="BS9" s="5">
        <v>13.46</v>
      </c>
      <c r="BT9" s="5">
        <v>13.43</v>
      </c>
      <c r="BU9" s="5">
        <v>13.48</v>
      </c>
      <c r="BV9" s="5">
        <v>14.44</v>
      </c>
      <c r="BW9" s="5">
        <v>15.24</v>
      </c>
      <c r="BX9" s="5">
        <v>15.25</v>
      </c>
      <c r="BY9" s="5">
        <v>15.25</v>
      </c>
      <c r="BZ9" s="5">
        <v>14.34</v>
      </c>
      <c r="CA9" s="5">
        <v>14.24</v>
      </c>
      <c r="CB9" s="5">
        <v>12.75</v>
      </c>
      <c r="CC9" s="5">
        <v>11.82</v>
      </c>
      <c r="CD9" s="5">
        <v>11.39</v>
      </c>
      <c r="CE9" s="5">
        <v>10.96</v>
      </c>
      <c r="CF9" s="5">
        <v>10.82</v>
      </c>
      <c r="CG9" s="5">
        <v>10.6</v>
      </c>
      <c r="CH9" s="5">
        <v>8.98</v>
      </c>
      <c r="CI9" s="5">
        <v>8.0399999999999991</v>
      </c>
      <c r="CJ9" s="5">
        <v>8.01</v>
      </c>
      <c r="CK9" s="5">
        <v>8</v>
      </c>
      <c r="CL9" s="5">
        <v>7.94</v>
      </c>
      <c r="CM9" s="5">
        <v>7.66</v>
      </c>
      <c r="CN9" s="5">
        <v>7.61</v>
      </c>
      <c r="CO9" s="5">
        <v>7.57</v>
      </c>
      <c r="CP9" s="5">
        <v>7.84</v>
      </c>
      <c r="CQ9" s="5">
        <v>8</v>
      </c>
      <c r="CR9" s="5">
        <v>7.95</v>
      </c>
      <c r="CS9" s="5">
        <v>7.9</v>
      </c>
      <c r="CT9" s="5">
        <v>7.48</v>
      </c>
      <c r="CU9" s="5">
        <v>7.03</v>
      </c>
      <c r="CV9" s="5">
        <v>6.71</v>
      </c>
      <c r="CW9" s="5">
        <v>6.45</v>
      </c>
      <c r="CX9" s="5">
        <v>6.51</v>
      </c>
      <c r="CY9" s="5">
        <v>6.66</v>
      </c>
      <c r="CZ9" s="5">
        <v>6.98</v>
      </c>
      <c r="DA9" s="5">
        <v>7.5</v>
      </c>
      <c r="DB9" s="5">
        <v>7.58</v>
      </c>
      <c r="DC9" s="5">
        <v>7.77</v>
      </c>
      <c r="DD9" s="5">
        <v>7.78</v>
      </c>
      <c r="DE9" s="5">
        <v>7.99</v>
      </c>
      <c r="DF9" s="5">
        <v>7.29</v>
      </c>
      <c r="DG9" s="5">
        <v>7.17</v>
      </c>
      <c r="DH9" s="5">
        <v>6.74</v>
      </c>
      <c r="DI9" s="5">
        <v>6.6166669999999996</v>
      </c>
      <c r="DJ9" s="5">
        <v>6.7566670000000002</v>
      </c>
      <c r="DK9" s="5">
        <v>7.056667</v>
      </c>
      <c r="DL9" s="5">
        <v>7.1433330000000002</v>
      </c>
      <c r="DM9" s="5">
        <v>7.1133329999999999</v>
      </c>
      <c r="DN9" s="5">
        <v>7.056667</v>
      </c>
      <c r="DO9" s="5">
        <v>6.9366659999999998</v>
      </c>
      <c r="DP9" s="5">
        <v>6.6133329999999999</v>
      </c>
      <c r="DQ9" s="5">
        <v>6.35</v>
      </c>
      <c r="DR9" s="5">
        <v>5.8466670000000001</v>
      </c>
      <c r="DS9" s="5">
        <v>5.5133330000000003</v>
      </c>
      <c r="DT9" s="5">
        <v>5.4366659999999998</v>
      </c>
      <c r="DU9" s="5">
        <v>5.3133340000000002</v>
      </c>
      <c r="DV9" s="5">
        <v>5.2966670000000002</v>
      </c>
      <c r="DW9" s="5">
        <v>5.1733330000000004</v>
      </c>
      <c r="DX9" s="5">
        <v>5.01</v>
      </c>
      <c r="DY9" s="5">
        <v>4.8499999999999996</v>
      </c>
      <c r="DZ9" s="5">
        <v>4.806667</v>
      </c>
      <c r="EA9" s="5">
        <v>4.983333</v>
      </c>
      <c r="EB9" s="5">
        <v>5.1033330000000001</v>
      </c>
      <c r="EC9" s="5">
        <v>5.4633330000000004</v>
      </c>
      <c r="ED9" s="5">
        <v>5.5733329999999999</v>
      </c>
      <c r="EE9" s="5">
        <v>5.53</v>
      </c>
      <c r="EF9" s="5">
        <v>5.5033339999999997</v>
      </c>
      <c r="EG9" s="5">
        <v>5.4766659999999998</v>
      </c>
      <c r="EH9" s="5">
        <v>5.35</v>
      </c>
      <c r="EI9" s="5">
        <v>5.3266669999999996</v>
      </c>
      <c r="EJ9" s="5">
        <v>5.31</v>
      </c>
      <c r="EK9" s="5">
        <v>5.33</v>
      </c>
      <c r="EL9" s="5">
        <v>5.45</v>
      </c>
      <c r="EM9" s="5">
        <v>5.6233329999999997</v>
      </c>
      <c r="EN9" s="5">
        <v>5.7033329999999998</v>
      </c>
      <c r="EO9" s="5">
        <v>5.8833330000000004</v>
      </c>
      <c r="EP9" s="5">
        <v>5.95</v>
      </c>
      <c r="EQ9" s="5">
        <v>5.8566669999999998</v>
      </c>
      <c r="ER9" s="5">
        <v>5.7633330000000003</v>
      </c>
      <c r="ES9" s="5">
        <v>5.7966670000000002</v>
      </c>
      <c r="ET9" s="5">
        <v>5.3866670000000001</v>
      </c>
      <c r="EU9" s="5">
        <v>4.0833329999999997</v>
      </c>
      <c r="EV9" s="5">
        <v>3.6</v>
      </c>
      <c r="EW9" s="5">
        <v>3.576667</v>
      </c>
      <c r="EX9" s="5">
        <v>3.5733329999999999</v>
      </c>
      <c r="EY9" s="5">
        <v>3.6666669999999999</v>
      </c>
      <c r="EZ9" s="5">
        <v>3.66</v>
      </c>
      <c r="FA9" s="5">
        <v>3.57</v>
      </c>
      <c r="FB9" s="5">
        <v>3.5066670000000002</v>
      </c>
      <c r="FC9" s="5">
        <v>3.496667</v>
      </c>
      <c r="FD9" s="5">
        <v>3.47</v>
      </c>
      <c r="FE9" s="5">
        <v>3.4</v>
      </c>
      <c r="FF9" s="5">
        <v>3.3666670000000001</v>
      </c>
      <c r="FG9" s="5">
        <v>3.3666670000000001</v>
      </c>
      <c r="FH9" s="5">
        <v>3.38</v>
      </c>
      <c r="FI9" s="5">
        <v>3.3733330000000001</v>
      </c>
      <c r="FJ9" s="5">
        <v>3.38</v>
      </c>
      <c r="FK9" s="5">
        <v>3.3666670000000001</v>
      </c>
      <c r="FL9" s="5">
        <v>3.3433329999999999</v>
      </c>
      <c r="FM9" s="5">
        <v>3.3166669999999998</v>
      </c>
      <c r="FN9" s="5">
        <v>3.28</v>
      </c>
      <c r="FO9" s="5">
        <v>3.25</v>
      </c>
      <c r="FP9" s="5">
        <v>3.233333</v>
      </c>
      <c r="FQ9" s="5">
        <v>3.213333</v>
      </c>
      <c r="FR9" s="5">
        <v>3.1866669999999999</v>
      </c>
      <c r="FS9" s="5">
        <v>3.1533329999999999</v>
      </c>
      <c r="FT9" s="5">
        <v>3.1066669999999998</v>
      </c>
      <c r="FU9" s="5">
        <v>3.056667</v>
      </c>
      <c r="FV9" s="5">
        <v>3.01</v>
      </c>
      <c r="FW9" s="5">
        <v>2.95</v>
      </c>
      <c r="FX9" s="5">
        <v>2.9033329999999999</v>
      </c>
      <c r="FY9" s="5">
        <v>2.82</v>
      </c>
      <c r="FZ9" s="5">
        <v>2.6866669999999999</v>
      </c>
      <c r="GA9" s="5">
        <v>2.6266669999999999</v>
      </c>
      <c r="GB9" s="5">
        <v>2.5866669999999998</v>
      </c>
      <c r="GC9" s="5">
        <v>2.5333329999999998</v>
      </c>
      <c r="GD9" s="5">
        <v>2.516667</v>
      </c>
      <c r="GE9" s="5">
        <v>2.52</v>
      </c>
      <c r="GF9" s="5">
        <v>2.483333</v>
      </c>
      <c r="GG9" s="5">
        <v>2.48</v>
      </c>
      <c r="GH9" s="5">
        <v>2.4933329999999998</v>
      </c>
      <c r="GI9" s="5">
        <v>2.463333</v>
      </c>
      <c r="GJ9" s="5">
        <v>2.4366669999999999</v>
      </c>
      <c r="GK9" s="5">
        <v>2.4133330000000002</v>
      </c>
      <c r="GL9" s="5">
        <v>2.3866670000000001</v>
      </c>
      <c r="GM9" s="5">
        <v>2.3566669999999998</v>
      </c>
      <c r="GN9" s="5">
        <v>2.1833330000000002</v>
      </c>
      <c r="GO9" s="5">
        <v>2.1433330000000002</v>
      </c>
      <c r="GP9" s="5">
        <v>2.12</v>
      </c>
      <c r="GQ9" s="5">
        <v>2.09</v>
      </c>
      <c r="GR9" s="5">
        <v>2.0733329999999999</v>
      </c>
      <c r="GS9" s="5">
        <v>2.0533329999999999</v>
      </c>
      <c r="GT9" s="5">
        <v>2.02</v>
      </c>
      <c r="GU9" s="5">
        <v>2.0266670000000002</v>
      </c>
      <c r="GV9" s="5">
        <v>2.0833330000000001</v>
      </c>
      <c r="GW9" s="5">
        <v>2.1866669999999999</v>
      </c>
      <c r="GX9" s="5">
        <v>2.3966669999999999</v>
      </c>
      <c r="GY9" s="5">
        <v>2.65</v>
      </c>
      <c r="GZ9" s="5">
        <v>2.84</v>
      </c>
      <c r="HA9" s="5">
        <v>3.07</v>
      </c>
      <c r="HB9" s="5">
        <v>3.29</v>
      </c>
      <c r="HC9" s="6">
        <v>3.46</v>
      </c>
      <c r="HD9" s="6">
        <v>3.6101890000000001</v>
      </c>
      <c r="HE9" s="6">
        <v>3.681047</v>
      </c>
      <c r="HF9" s="6">
        <v>3.7117300000000002</v>
      </c>
      <c r="HG9" s="6">
        <v>3.7662070000000001</v>
      </c>
      <c r="HH9" s="6">
        <v>3.8124989999999999</v>
      </c>
      <c r="HI9" s="6">
        <v>3.820055</v>
      </c>
      <c r="HJ9" s="6">
        <v>3.8346840000000002</v>
      </c>
      <c r="HK9" s="6">
        <v>3.8621639999999999</v>
      </c>
      <c r="HL9" s="6">
        <v>3.8892669999999998</v>
      </c>
      <c r="HM9" s="6">
        <v>3.9174799999999999</v>
      </c>
      <c r="HN9" s="6">
        <v>3.93405</v>
      </c>
      <c r="HO9" s="6">
        <v>3.928801</v>
      </c>
      <c r="HP9" s="6">
        <v>3.894015</v>
      </c>
      <c r="HQ9" s="6">
        <v>3.8438910000000002</v>
      </c>
      <c r="HR9" s="6">
        <v>3.7494489999999998</v>
      </c>
      <c r="HS9" s="6">
        <v>3.690334</v>
      </c>
      <c r="HT9" s="6">
        <v>3.6352950000000002</v>
      </c>
      <c r="HU9" s="6">
        <v>3.5545049999999998</v>
      </c>
      <c r="HV9" s="6">
        <v>3.499997</v>
      </c>
      <c r="HW9" s="6">
        <v>3.499997</v>
      </c>
      <c r="HX9" s="6">
        <v>3.4999959999999999</v>
      </c>
      <c r="HY9" s="6">
        <v>3.4999959999999999</v>
      </c>
      <c r="HZ9" s="6">
        <v>3.499997</v>
      </c>
      <c r="IA9" s="6">
        <v>3.499997</v>
      </c>
      <c r="IB9" s="6">
        <v>3.4999980000000002</v>
      </c>
      <c r="IC9" s="6">
        <v>3.4999989999999999</v>
      </c>
      <c r="ID9" s="6">
        <v>3.4999989999999999</v>
      </c>
      <c r="IE9" s="6">
        <v>3.4999989999999999</v>
      </c>
      <c r="IF9" s="6">
        <v>3.5</v>
      </c>
      <c r="IG9" s="6">
        <v>3.4999989999999999</v>
      </c>
      <c r="IH9" s="6">
        <v>3.4999989999999999</v>
      </c>
      <c r="II9" s="6">
        <v>3.4999980000000002</v>
      </c>
      <c r="IJ9" s="6">
        <v>3.499997</v>
      </c>
      <c r="IK9" s="6">
        <v>3.4999980000000002</v>
      </c>
      <c r="IL9" s="6">
        <v>3.4999980000000002</v>
      </c>
      <c r="IM9" s="6">
        <v>3.4999980000000002</v>
      </c>
      <c r="IN9" s="6">
        <v>3.4999980000000002</v>
      </c>
      <c r="IO9" s="6">
        <v>3.4999989999999999</v>
      </c>
      <c r="IP9" s="6">
        <v>3.5</v>
      </c>
      <c r="IQ9" s="6">
        <v>3.4999989999999999</v>
      </c>
      <c r="IR9" s="6">
        <v>3.4999980000000002</v>
      </c>
      <c r="IS9" s="6">
        <v>3.499997</v>
      </c>
      <c r="IT9" s="6">
        <v>3.499997</v>
      </c>
      <c r="IU9" s="6">
        <v>3.4999980000000002</v>
      </c>
      <c r="IV9" s="6">
        <v>3.4999989999999999</v>
      </c>
      <c r="IW9" s="6">
        <v>3.4999989999999999</v>
      </c>
      <c r="IX9" s="6">
        <v>3.4999989999999999</v>
      </c>
      <c r="IY9" s="6">
        <v>3.5</v>
      </c>
      <c r="IZ9" s="6">
        <v>3.5</v>
      </c>
      <c r="JA9" s="6">
        <v>3.5</v>
      </c>
      <c r="JB9" s="6">
        <v>3.5</v>
      </c>
      <c r="JC9" s="6">
        <v>3.5</v>
      </c>
      <c r="JD9" s="6">
        <v>3.5</v>
      </c>
      <c r="JE9" s="6">
        <v>3.5</v>
      </c>
      <c r="JF9" s="6">
        <v>3.5</v>
      </c>
      <c r="JG9" s="6">
        <v>3.5</v>
      </c>
      <c r="JH9" s="6">
        <v>3.5</v>
      </c>
      <c r="JI9" s="6">
        <v>3.5</v>
      </c>
      <c r="JJ9" s="6">
        <v>3.5</v>
      </c>
      <c r="JK9" s="6">
        <v>3.5</v>
      </c>
      <c r="JL9" s="6">
        <v>3.5</v>
      </c>
      <c r="JM9" s="6">
        <v>3.5</v>
      </c>
      <c r="JN9" s="6">
        <v>3.5</v>
      </c>
      <c r="JO9" s="6">
        <v>3.5</v>
      </c>
      <c r="JP9" s="6">
        <v>3.5</v>
      </c>
      <c r="JQ9" s="6">
        <v>3.5</v>
      </c>
      <c r="JR9" s="6">
        <v>3.5</v>
      </c>
      <c r="JS9" s="6">
        <v>3.5</v>
      </c>
      <c r="JT9" s="6">
        <v>3.5</v>
      </c>
      <c r="JU9" s="6">
        <v>3.5</v>
      </c>
      <c r="JV9" s="6">
        <v>3.5</v>
      </c>
      <c r="JW9" s="6">
        <v>3.5</v>
      </c>
      <c r="JX9" s="6">
        <v>3.5</v>
      </c>
      <c r="JY9" s="6">
        <v>3.5</v>
      </c>
      <c r="JZ9" s="6">
        <v>3.5</v>
      </c>
      <c r="KA9" s="6">
        <v>3.5</v>
      </c>
      <c r="KB9" s="6">
        <v>3.5</v>
      </c>
      <c r="KC9" s="6">
        <v>3.5</v>
      </c>
      <c r="KD9" s="6">
        <v>3.5</v>
      </c>
      <c r="KE9" s="6">
        <v>3.5</v>
      </c>
      <c r="KF9" s="6">
        <v>3.5</v>
      </c>
      <c r="KG9" s="6">
        <v>3.5</v>
      </c>
      <c r="KH9" s="6">
        <v>3.5</v>
      </c>
      <c r="KI9" s="6">
        <v>3.5</v>
      </c>
      <c r="KJ9" s="6">
        <v>3.5</v>
      </c>
      <c r="KK9" s="6">
        <v>3.5</v>
      </c>
      <c r="KL9" s="6">
        <v>3.5</v>
      </c>
      <c r="KM9" s="6">
        <v>3.5</v>
      </c>
      <c r="KN9" s="6">
        <v>3.5</v>
      </c>
      <c r="KO9" s="6">
        <v>3.5</v>
      </c>
      <c r="KP9" s="6">
        <v>3.5</v>
      </c>
      <c r="KQ9" s="6">
        <v>3.5</v>
      </c>
      <c r="KR9" s="6">
        <v>3.5</v>
      </c>
      <c r="KS9" s="6">
        <v>3.5</v>
      </c>
      <c r="KT9" s="6">
        <v>3.5</v>
      </c>
      <c r="KU9" s="6">
        <v>3.5</v>
      </c>
      <c r="KV9" s="6">
        <v>3.5</v>
      </c>
      <c r="KW9" s="6">
        <v>3.5</v>
      </c>
      <c r="KX9" s="6">
        <v>3.5</v>
      </c>
      <c r="KY9" s="6">
        <v>3.5</v>
      </c>
      <c r="KZ9" s="6">
        <v>3.5</v>
      </c>
      <c r="LA9" s="6">
        <v>3.5</v>
      </c>
      <c r="LB9" s="6">
        <v>3.5</v>
      </c>
      <c r="LC9" s="6">
        <v>3.5</v>
      </c>
      <c r="LD9" s="6">
        <v>3.5</v>
      </c>
      <c r="LE9" s="6">
        <v>3.5</v>
      </c>
      <c r="LF9" s="6">
        <v>3.5</v>
      </c>
      <c r="LG9" s="2" t="s">
        <v>374</v>
      </c>
      <c r="LH9" s="2" t="s">
        <v>348</v>
      </c>
      <c r="LI9" s="2" t="s">
        <v>338</v>
      </c>
      <c r="LJ9" s="2" t="s">
        <v>338</v>
      </c>
      <c r="LK9" s="2" t="s">
        <v>339</v>
      </c>
      <c r="LL9" s="2" t="s">
        <v>623</v>
      </c>
      <c r="LM9" s="2" t="s">
        <v>338</v>
      </c>
      <c r="LN9" s="2" t="s">
        <v>375</v>
      </c>
      <c r="LO9" s="2" t="s">
        <v>376</v>
      </c>
      <c r="LP9" s="2" t="s">
        <v>343</v>
      </c>
      <c r="LQ9" s="2" t="s">
        <v>377</v>
      </c>
      <c r="LR9" s="4" t="s">
        <v>659</v>
      </c>
      <c r="LS9"/>
      <c r="LT9"/>
      <c r="LU9"/>
      <c r="LV9"/>
      <c r="LW9"/>
      <c r="LX9"/>
    </row>
    <row r="10" spans="1:336" x14ac:dyDescent="0.35">
      <c r="A10" s="2" t="s">
        <v>330</v>
      </c>
      <c r="B10" s="2" t="s">
        <v>378</v>
      </c>
      <c r="C10" s="4" t="s">
        <v>658</v>
      </c>
      <c r="D10" s="2" t="s">
        <v>332</v>
      </c>
      <c r="E10" s="2" t="s">
        <v>333</v>
      </c>
      <c r="F10" s="2" t="s">
        <v>334</v>
      </c>
      <c r="G10" s="5">
        <v>1E-3</v>
      </c>
      <c r="H10" s="5">
        <v>1E-3</v>
      </c>
      <c r="I10" s="5">
        <v>1E-3</v>
      </c>
      <c r="J10" s="5">
        <v>1E-3</v>
      </c>
      <c r="K10" s="5">
        <v>1E-3</v>
      </c>
      <c r="L10" s="5">
        <v>1E-3</v>
      </c>
      <c r="M10" s="5">
        <v>1E-3</v>
      </c>
      <c r="N10" s="5">
        <v>1E-3</v>
      </c>
      <c r="O10" s="5">
        <v>1E-3</v>
      </c>
      <c r="P10" s="5">
        <v>1E-3</v>
      </c>
      <c r="Q10" s="5">
        <v>1E-3</v>
      </c>
      <c r="R10" s="5">
        <v>1E-3</v>
      </c>
      <c r="S10" s="5">
        <v>1E-3</v>
      </c>
      <c r="T10" s="5">
        <v>1E-3</v>
      </c>
      <c r="U10" s="5">
        <v>1E-3</v>
      </c>
      <c r="V10" s="5">
        <v>1E-3</v>
      </c>
      <c r="W10" s="5">
        <v>1E-3</v>
      </c>
      <c r="X10" s="5">
        <v>1E-3</v>
      </c>
      <c r="Y10" s="5">
        <v>1E-3</v>
      </c>
      <c r="Z10" s="5">
        <v>1E-3</v>
      </c>
      <c r="AA10" s="5">
        <v>1E-3</v>
      </c>
      <c r="AB10" s="5">
        <v>1E-3</v>
      </c>
      <c r="AC10" s="5">
        <v>1E-3</v>
      </c>
      <c r="AD10" s="5">
        <v>1E-3</v>
      </c>
      <c r="AE10" s="5">
        <v>1E-3</v>
      </c>
      <c r="AF10" s="5">
        <v>1E-3</v>
      </c>
      <c r="AG10" s="5">
        <v>1E-3</v>
      </c>
      <c r="AH10" s="5">
        <v>1E-3</v>
      </c>
      <c r="AI10" s="5">
        <v>1E-3</v>
      </c>
      <c r="AJ10" s="5">
        <v>1E-3</v>
      </c>
      <c r="AK10" s="5">
        <v>1E-3</v>
      </c>
      <c r="AL10" s="5">
        <v>1E-3</v>
      </c>
      <c r="AM10" s="5">
        <v>1E-3</v>
      </c>
      <c r="AN10" s="5">
        <v>1E-3</v>
      </c>
      <c r="AO10" s="5">
        <v>1E-3</v>
      </c>
      <c r="AP10" s="5">
        <v>1E-3</v>
      </c>
      <c r="AQ10" s="5">
        <v>1E-3</v>
      </c>
      <c r="AR10" s="5">
        <v>1E-3</v>
      </c>
      <c r="AS10" s="5">
        <v>1E-3</v>
      </c>
      <c r="AT10" s="5">
        <v>1E-3</v>
      </c>
      <c r="AU10" s="5">
        <v>1E-3</v>
      </c>
      <c r="AV10" s="5">
        <v>1E-3</v>
      </c>
      <c r="AW10" s="5">
        <v>1E-3</v>
      </c>
      <c r="AX10" s="5">
        <v>1E-3</v>
      </c>
      <c r="AY10" s="5">
        <v>1E-3</v>
      </c>
      <c r="AZ10" s="5">
        <v>1E-3</v>
      </c>
      <c r="BA10" s="5">
        <v>1E-3</v>
      </c>
      <c r="BB10" s="5">
        <v>1E-3</v>
      </c>
      <c r="BC10" s="5">
        <v>1E-3</v>
      </c>
      <c r="BD10" s="5">
        <v>1E-3</v>
      </c>
      <c r="BE10" s="5">
        <v>1E-3</v>
      </c>
      <c r="BF10" s="5">
        <v>1E-3</v>
      </c>
      <c r="BG10" s="5">
        <v>1E-3</v>
      </c>
      <c r="BH10" s="5">
        <v>1E-3</v>
      </c>
      <c r="BI10" s="5">
        <v>1E-3</v>
      </c>
      <c r="BJ10" s="5">
        <v>1E-3</v>
      </c>
      <c r="BK10" s="5">
        <v>5414</v>
      </c>
      <c r="BL10" s="5">
        <v>5168</v>
      </c>
      <c r="BM10" s="5">
        <v>5394</v>
      </c>
      <c r="BN10" s="5">
        <v>5967</v>
      </c>
      <c r="BO10" s="5">
        <v>5380</v>
      </c>
      <c r="BP10" s="5">
        <v>5508</v>
      </c>
      <c r="BQ10" s="5">
        <v>6312</v>
      </c>
      <c r="BR10" s="5">
        <v>7269</v>
      </c>
      <c r="BS10" s="5">
        <v>8124</v>
      </c>
      <c r="BT10" s="5">
        <v>9068</v>
      </c>
      <c r="BU10" s="5">
        <v>9245</v>
      </c>
      <c r="BV10" s="5">
        <v>9778</v>
      </c>
      <c r="BW10" s="5">
        <v>10584</v>
      </c>
      <c r="BX10" s="5">
        <v>11491</v>
      </c>
      <c r="BY10" s="5">
        <v>11880</v>
      </c>
      <c r="BZ10" s="5">
        <v>11492</v>
      </c>
      <c r="CA10" s="5">
        <v>11454</v>
      </c>
      <c r="CB10" s="5">
        <v>10793</v>
      </c>
      <c r="CC10" s="5">
        <v>10251</v>
      </c>
      <c r="CD10" s="5">
        <v>9965</v>
      </c>
      <c r="CE10" s="5">
        <v>11073</v>
      </c>
      <c r="CF10" s="5">
        <v>10082</v>
      </c>
      <c r="CG10" s="5">
        <v>9682</v>
      </c>
      <c r="CH10" s="5">
        <v>8436</v>
      </c>
      <c r="CI10" s="5">
        <v>7548</v>
      </c>
      <c r="CJ10" s="5">
        <v>7324</v>
      </c>
      <c r="CK10" s="5">
        <v>7370</v>
      </c>
      <c r="CL10" s="5">
        <v>7335</v>
      </c>
      <c r="CM10" s="5">
        <v>7287</v>
      </c>
      <c r="CN10" s="5">
        <v>7722</v>
      </c>
      <c r="CO10" s="5">
        <v>7486</v>
      </c>
      <c r="CP10" s="5">
        <v>7720</v>
      </c>
      <c r="CQ10" s="5">
        <v>8283</v>
      </c>
      <c r="CR10" s="5">
        <v>8575</v>
      </c>
      <c r="CS10" s="5">
        <v>8424</v>
      </c>
      <c r="CT10" s="5">
        <v>8145</v>
      </c>
      <c r="CU10" s="5">
        <v>8006</v>
      </c>
      <c r="CV10" s="5">
        <v>7771</v>
      </c>
      <c r="CW10" s="5">
        <v>7586</v>
      </c>
      <c r="CX10" s="5">
        <v>7442</v>
      </c>
      <c r="CY10" s="5">
        <v>7781</v>
      </c>
      <c r="CZ10" s="5">
        <v>7909</v>
      </c>
      <c r="DA10" s="5">
        <v>8573</v>
      </c>
      <c r="DB10" s="5">
        <v>9169</v>
      </c>
      <c r="DC10" s="5">
        <v>8674</v>
      </c>
      <c r="DD10" s="5">
        <v>9114</v>
      </c>
      <c r="DE10" s="5">
        <v>9639</v>
      </c>
      <c r="DF10" s="5">
        <v>9753</v>
      </c>
      <c r="DG10" s="5">
        <v>9125</v>
      </c>
      <c r="DH10" s="5">
        <v>9047</v>
      </c>
      <c r="DI10" s="5">
        <v>8088</v>
      </c>
      <c r="DJ10" s="5">
        <v>9059</v>
      </c>
      <c r="DK10" s="5">
        <v>10298</v>
      </c>
      <c r="DL10" s="5">
        <v>10689</v>
      </c>
      <c r="DM10" s="5">
        <v>10597</v>
      </c>
      <c r="DN10" s="5">
        <v>10710</v>
      </c>
      <c r="DO10" s="5">
        <v>10931</v>
      </c>
      <c r="DP10" s="5">
        <v>10414</v>
      </c>
      <c r="DQ10" s="5">
        <v>9903</v>
      </c>
      <c r="DR10" s="5">
        <v>8883</v>
      </c>
      <c r="DS10" s="5">
        <v>8870</v>
      </c>
      <c r="DT10" s="5">
        <v>9185</v>
      </c>
      <c r="DU10" s="5">
        <v>9390</v>
      </c>
      <c r="DV10" s="5">
        <v>9666</v>
      </c>
      <c r="DW10" s="5">
        <v>9784</v>
      </c>
      <c r="DX10" s="5">
        <v>9684</v>
      </c>
      <c r="DY10" s="5">
        <v>9380</v>
      </c>
      <c r="DZ10" s="5">
        <v>9775</v>
      </c>
      <c r="EA10" s="5">
        <v>10894</v>
      </c>
      <c r="EB10" s="5">
        <v>11971</v>
      </c>
      <c r="EC10" s="5">
        <v>13529</v>
      </c>
      <c r="ED10" s="5">
        <v>13990</v>
      </c>
      <c r="EE10" s="5">
        <v>13857</v>
      </c>
      <c r="EF10" s="5">
        <v>14773</v>
      </c>
      <c r="EG10" s="5">
        <v>14855</v>
      </c>
      <c r="EH10" s="5">
        <v>14941</v>
      </c>
      <c r="EI10" s="5">
        <v>15220</v>
      </c>
      <c r="EJ10" s="5">
        <v>15524</v>
      </c>
      <c r="EK10" s="5">
        <v>16260</v>
      </c>
      <c r="EL10" s="5">
        <v>17326</v>
      </c>
      <c r="EM10" s="5">
        <v>18384</v>
      </c>
      <c r="EN10" s="5">
        <v>19517</v>
      </c>
      <c r="EO10" s="5">
        <v>20341</v>
      </c>
      <c r="EP10" s="5">
        <v>22182</v>
      </c>
      <c r="EQ10" s="5">
        <v>23242</v>
      </c>
      <c r="ER10" s="5">
        <v>22783</v>
      </c>
      <c r="ES10" s="5">
        <v>22781</v>
      </c>
      <c r="ET10" s="5">
        <v>22014</v>
      </c>
      <c r="EU10" s="5">
        <v>11906</v>
      </c>
      <c r="EV10" s="5">
        <v>9052</v>
      </c>
      <c r="EW10" s="5">
        <v>7918</v>
      </c>
      <c r="EX10" s="5">
        <v>7280</v>
      </c>
      <c r="EY10" s="5">
        <v>5085</v>
      </c>
      <c r="EZ10" s="5">
        <v>5424</v>
      </c>
      <c r="FA10" s="5">
        <v>5343</v>
      </c>
      <c r="FB10" s="5">
        <v>6028</v>
      </c>
      <c r="FC10" s="5">
        <v>5826</v>
      </c>
      <c r="FD10" s="5">
        <v>5763</v>
      </c>
      <c r="FE10" s="5">
        <v>5861</v>
      </c>
      <c r="FF10" s="5">
        <v>6476</v>
      </c>
      <c r="FG10" s="5">
        <v>7193</v>
      </c>
      <c r="FH10" s="5">
        <v>6804</v>
      </c>
      <c r="FI10" s="5">
        <v>5953</v>
      </c>
      <c r="FJ10" s="5">
        <v>5693</v>
      </c>
      <c r="FK10" s="5">
        <v>6178</v>
      </c>
      <c r="FL10" s="5">
        <v>5858</v>
      </c>
      <c r="FM10" s="5">
        <v>5553</v>
      </c>
      <c r="FN10" s="5">
        <v>5022</v>
      </c>
      <c r="FO10" s="5">
        <v>6155</v>
      </c>
      <c r="FP10" s="5">
        <v>7290</v>
      </c>
      <c r="FQ10" s="5">
        <v>7392</v>
      </c>
      <c r="FR10" s="5">
        <v>7329</v>
      </c>
      <c r="FS10" s="5">
        <v>6863</v>
      </c>
      <c r="FT10" s="5">
        <v>7106</v>
      </c>
      <c r="FU10" s="5">
        <v>6985</v>
      </c>
      <c r="FV10" s="5">
        <v>7177</v>
      </c>
      <c r="FW10" s="5">
        <v>6857</v>
      </c>
      <c r="FX10" s="5">
        <v>7374</v>
      </c>
      <c r="FY10" s="5">
        <v>7319</v>
      </c>
      <c r="FZ10" s="5">
        <v>7133</v>
      </c>
      <c r="GA10" s="5">
        <v>6112</v>
      </c>
      <c r="GB10" s="5">
        <v>6094</v>
      </c>
      <c r="GC10" s="5">
        <v>5494</v>
      </c>
      <c r="GD10" s="5">
        <v>6078</v>
      </c>
      <c r="GE10" s="5">
        <v>6785</v>
      </c>
      <c r="GF10" s="5">
        <v>7435</v>
      </c>
      <c r="GG10" s="5">
        <v>7727</v>
      </c>
      <c r="GH10" s="5">
        <v>8289</v>
      </c>
      <c r="GI10" s="5">
        <v>7881</v>
      </c>
      <c r="GJ10" s="5">
        <v>6858</v>
      </c>
      <c r="GK10" s="5">
        <v>6618</v>
      </c>
      <c r="GL10" s="5">
        <v>6349</v>
      </c>
      <c r="GM10" s="5">
        <v>5796</v>
      </c>
      <c r="GN10" s="5">
        <v>4304</v>
      </c>
      <c r="GO10" s="5">
        <v>4478</v>
      </c>
      <c r="GP10" s="5">
        <v>4797</v>
      </c>
      <c r="GQ10" s="5">
        <v>5445</v>
      </c>
      <c r="GR10" s="5">
        <v>5313</v>
      </c>
      <c r="GS10" s="5">
        <v>5047</v>
      </c>
      <c r="GT10" s="5">
        <v>5674</v>
      </c>
      <c r="GU10" s="5">
        <v>7346</v>
      </c>
      <c r="GV10" s="5">
        <v>9257</v>
      </c>
      <c r="GW10" s="5">
        <v>11352</v>
      </c>
      <c r="GX10" s="5">
        <v>15198</v>
      </c>
      <c r="GY10" s="5">
        <v>20267</v>
      </c>
      <c r="GZ10" s="5">
        <v>21278</v>
      </c>
      <c r="HA10" s="5">
        <v>23614</v>
      </c>
      <c r="HB10" s="6">
        <v>24767.39</v>
      </c>
      <c r="HC10" s="6">
        <v>25584.71</v>
      </c>
      <c r="HD10" s="6">
        <v>25981.85</v>
      </c>
      <c r="HE10" s="6">
        <v>25734.18</v>
      </c>
      <c r="HF10" s="6">
        <v>25587.35</v>
      </c>
      <c r="HG10" s="6">
        <v>25596.37</v>
      </c>
      <c r="HH10" s="6">
        <v>25496.240000000002</v>
      </c>
      <c r="HI10" s="6">
        <v>25295.15</v>
      </c>
      <c r="HJ10" s="6">
        <v>25101.24</v>
      </c>
      <c r="HK10" s="6">
        <v>24946.76</v>
      </c>
      <c r="HL10" s="6">
        <v>24812.04</v>
      </c>
      <c r="HM10" s="6">
        <v>24693.33</v>
      </c>
      <c r="HN10" s="6">
        <v>24540.22</v>
      </c>
      <c r="HO10" s="6">
        <v>24310.73</v>
      </c>
      <c r="HP10" s="6">
        <v>23970.880000000001</v>
      </c>
      <c r="HQ10" s="6">
        <v>23763.13</v>
      </c>
      <c r="HR10" s="6">
        <v>23477.78</v>
      </c>
      <c r="HS10" s="6">
        <v>23349.86</v>
      </c>
      <c r="HT10" s="6">
        <v>23238.99</v>
      </c>
      <c r="HU10" s="6">
        <v>23002.07</v>
      </c>
      <c r="HV10" s="6">
        <v>22887.51</v>
      </c>
      <c r="HW10" s="6">
        <v>23042.240000000002</v>
      </c>
      <c r="HX10" s="6">
        <v>23204.06</v>
      </c>
      <c r="HY10" s="6">
        <v>23372.39</v>
      </c>
      <c r="HZ10" s="6">
        <v>23547.17</v>
      </c>
      <c r="IA10" s="6">
        <v>23729.15</v>
      </c>
      <c r="IB10" s="6">
        <v>23918.25</v>
      </c>
      <c r="IC10" s="6">
        <v>24113.8</v>
      </c>
      <c r="ID10" s="6">
        <v>24315.29</v>
      </c>
      <c r="IE10" s="6">
        <v>24646.49</v>
      </c>
      <c r="IF10" s="6">
        <v>24979.66</v>
      </c>
      <c r="IG10" s="6">
        <v>25313.61</v>
      </c>
      <c r="IH10" s="6">
        <v>25647.79</v>
      </c>
      <c r="II10" s="6">
        <v>25982.75</v>
      </c>
      <c r="IJ10" s="6">
        <v>26318.11</v>
      </c>
      <c r="IK10" s="6">
        <v>26653.01</v>
      </c>
      <c r="IL10" s="6">
        <v>26987.18</v>
      </c>
      <c r="IM10" s="6">
        <v>27321.439999999999</v>
      </c>
      <c r="IN10" s="6">
        <v>27655.63</v>
      </c>
      <c r="IO10" s="6">
        <v>27988.959999999999</v>
      </c>
      <c r="IP10" s="6">
        <v>28321.32</v>
      </c>
      <c r="IQ10" s="6">
        <v>28653.62</v>
      </c>
      <c r="IR10" s="6">
        <v>28985.75</v>
      </c>
      <c r="IS10" s="6">
        <v>29317</v>
      </c>
      <c r="IT10" s="6">
        <v>29647.25</v>
      </c>
      <c r="IU10" s="6">
        <v>29976.799999999999</v>
      </c>
      <c r="IV10" s="6">
        <v>30305.69</v>
      </c>
      <c r="IW10" s="6">
        <v>30633.32</v>
      </c>
      <c r="IX10" s="6">
        <v>30959.759999999998</v>
      </c>
      <c r="IY10" s="6">
        <v>31285.17</v>
      </c>
      <c r="IZ10" s="6">
        <v>31609.49</v>
      </c>
      <c r="JA10" s="6">
        <v>31932.73</v>
      </c>
      <c r="JB10" s="6">
        <v>32254.9</v>
      </c>
      <c r="JC10" s="6">
        <v>32575.97</v>
      </c>
      <c r="JD10" s="6">
        <v>32895.94</v>
      </c>
      <c r="JE10" s="6">
        <v>33214.82</v>
      </c>
      <c r="JF10" s="6">
        <v>33532.65</v>
      </c>
      <c r="JG10" s="6">
        <v>33849.440000000002</v>
      </c>
      <c r="JH10" s="6">
        <v>34165.25</v>
      </c>
      <c r="JI10" s="6">
        <v>34480.21</v>
      </c>
      <c r="JJ10" s="6">
        <v>34794.370000000003</v>
      </c>
      <c r="JK10" s="6">
        <v>35107.81</v>
      </c>
      <c r="JL10" s="6">
        <v>35420.57</v>
      </c>
      <c r="JM10" s="6">
        <v>35732.76</v>
      </c>
      <c r="JN10" s="6">
        <v>36044.42</v>
      </c>
      <c r="JO10" s="6">
        <v>36355.620000000003</v>
      </c>
      <c r="JP10" s="6">
        <v>36666.480000000003</v>
      </c>
      <c r="JQ10" s="6">
        <v>36977.089999999997</v>
      </c>
      <c r="JR10" s="6">
        <v>37287.550000000003</v>
      </c>
      <c r="JS10" s="6">
        <v>37597.910000000003</v>
      </c>
      <c r="JT10" s="6">
        <v>37908.22</v>
      </c>
      <c r="JU10" s="6">
        <v>38218.5</v>
      </c>
      <c r="JV10" s="6">
        <v>38528.78</v>
      </c>
      <c r="JW10" s="6">
        <v>38839.11</v>
      </c>
      <c r="JX10" s="6">
        <v>39149.589999999997</v>
      </c>
      <c r="JY10" s="6">
        <v>39460.26</v>
      </c>
      <c r="JZ10" s="6">
        <v>39771.18</v>
      </c>
      <c r="KA10" s="6">
        <v>40082.42</v>
      </c>
      <c r="KB10" s="6">
        <v>40394.03</v>
      </c>
      <c r="KC10" s="6">
        <v>40706.089999999997</v>
      </c>
      <c r="KD10" s="6">
        <v>41018.65</v>
      </c>
      <c r="KE10" s="6">
        <v>41331.760000000002</v>
      </c>
      <c r="KF10" s="6">
        <v>41645.49</v>
      </c>
      <c r="KG10" s="6">
        <v>41959.88</v>
      </c>
      <c r="KH10" s="6">
        <v>42275</v>
      </c>
      <c r="KI10" s="6">
        <v>42590.89</v>
      </c>
      <c r="KJ10" s="6">
        <v>42907.62</v>
      </c>
      <c r="KK10" s="6">
        <v>43225.21</v>
      </c>
      <c r="KL10" s="6">
        <v>43543.72</v>
      </c>
      <c r="KM10" s="6">
        <v>43863.23</v>
      </c>
      <c r="KN10" s="6">
        <v>44183.74</v>
      </c>
      <c r="KO10" s="6">
        <v>44505.33</v>
      </c>
      <c r="KP10" s="6">
        <v>44828.04</v>
      </c>
      <c r="KQ10" s="6">
        <v>45151.91</v>
      </c>
      <c r="KR10" s="6">
        <v>45476.99</v>
      </c>
      <c r="KS10" s="6">
        <v>45803.31</v>
      </c>
      <c r="KT10" s="6">
        <v>46130.93</v>
      </c>
      <c r="KU10" s="6">
        <v>46459.89</v>
      </c>
      <c r="KV10" s="6">
        <v>46790.22</v>
      </c>
      <c r="KW10" s="6">
        <v>47121.97</v>
      </c>
      <c r="KX10" s="6">
        <v>47455.16</v>
      </c>
      <c r="KY10" s="6">
        <v>47789.84</v>
      </c>
      <c r="KZ10" s="6">
        <v>48126.07</v>
      </c>
      <c r="LA10" s="6">
        <v>48463.86</v>
      </c>
      <c r="LB10" s="6">
        <v>48803.24</v>
      </c>
      <c r="LC10" s="6">
        <v>49144.28</v>
      </c>
      <c r="LD10" s="6">
        <v>49486.97</v>
      </c>
      <c r="LE10" s="6">
        <v>49831.38</v>
      </c>
      <c r="LF10" s="6">
        <v>50177.54</v>
      </c>
      <c r="LG10" s="2" t="s">
        <v>335</v>
      </c>
      <c r="LH10" s="2" t="s">
        <v>336</v>
      </c>
      <c r="LI10" s="2" t="s">
        <v>338</v>
      </c>
      <c r="LJ10" s="2" t="s">
        <v>338</v>
      </c>
      <c r="LK10" s="2" t="s">
        <v>339</v>
      </c>
      <c r="LL10" s="2" t="s">
        <v>349</v>
      </c>
      <c r="LM10" s="2" t="s">
        <v>338</v>
      </c>
      <c r="LN10" s="2" t="s">
        <v>379</v>
      </c>
      <c r="LO10" s="2" t="s">
        <v>380</v>
      </c>
      <c r="LP10" s="2" t="s">
        <v>343</v>
      </c>
      <c r="LQ10" s="2" t="s">
        <v>381</v>
      </c>
      <c r="LR10" s="4" t="s">
        <v>659</v>
      </c>
      <c r="LS10"/>
      <c r="LT10"/>
      <c r="LU10"/>
      <c r="LV10"/>
      <c r="LW10"/>
      <c r="LX10"/>
    </row>
    <row r="11" spans="1:336" x14ac:dyDescent="0.35">
      <c r="A11" s="2" t="s">
        <v>330</v>
      </c>
      <c r="B11" s="2" t="s">
        <v>382</v>
      </c>
      <c r="C11" s="4" t="s">
        <v>658</v>
      </c>
      <c r="D11" s="2" t="s">
        <v>332</v>
      </c>
      <c r="E11" s="2" t="s">
        <v>333</v>
      </c>
      <c r="F11" s="2" t="s">
        <v>334</v>
      </c>
      <c r="G11" s="5">
        <v>1E-3</v>
      </c>
      <c r="H11" s="5">
        <v>1E-3</v>
      </c>
      <c r="I11" s="5">
        <v>1E-3</v>
      </c>
      <c r="J11" s="5">
        <v>1E-3</v>
      </c>
      <c r="K11" s="5">
        <v>1E-3</v>
      </c>
      <c r="L11" s="5">
        <v>1E-3</v>
      </c>
      <c r="M11" s="5">
        <v>1E-3</v>
      </c>
      <c r="N11" s="5">
        <v>1E-3</v>
      </c>
      <c r="O11" s="5">
        <v>1E-3</v>
      </c>
      <c r="P11" s="5">
        <v>1E-3</v>
      </c>
      <c r="Q11" s="5">
        <v>1E-3</v>
      </c>
      <c r="R11" s="5">
        <v>1E-3</v>
      </c>
      <c r="S11" s="5">
        <v>1E-3</v>
      </c>
      <c r="T11" s="5">
        <v>1E-3</v>
      </c>
      <c r="U11" s="5">
        <v>1E-3</v>
      </c>
      <c r="V11" s="5">
        <v>1E-3</v>
      </c>
      <c r="W11" s="5">
        <v>1E-3</v>
      </c>
      <c r="X11" s="5">
        <v>1E-3</v>
      </c>
      <c r="Y11" s="5">
        <v>1E-3</v>
      </c>
      <c r="Z11" s="5">
        <v>1E-3</v>
      </c>
      <c r="AA11" s="5">
        <v>1E-3</v>
      </c>
      <c r="AB11" s="5">
        <v>1E-3</v>
      </c>
      <c r="AC11" s="5">
        <v>1E-3</v>
      </c>
      <c r="AD11" s="5">
        <v>1E-3</v>
      </c>
      <c r="AE11" s="5">
        <v>1E-3</v>
      </c>
      <c r="AF11" s="5">
        <v>1E-3</v>
      </c>
      <c r="AG11" s="5">
        <v>1E-3</v>
      </c>
      <c r="AH11" s="5">
        <v>1E-3</v>
      </c>
      <c r="AI11" s="5">
        <v>1E-3</v>
      </c>
      <c r="AJ11" s="5">
        <v>1E-3</v>
      </c>
      <c r="AK11" s="5">
        <v>1E-3</v>
      </c>
      <c r="AL11" s="5">
        <v>1E-3</v>
      </c>
      <c r="AM11" s="5">
        <v>1E-3</v>
      </c>
      <c r="AN11" s="5">
        <v>1E-3</v>
      </c>
      <c r="AO11" s="5">
        <v>1E-3</v>
      </c>
      <c r="AP11" s="5">
        <v>1E-3</v>
      </c>
      <c r="AQ11" s="5">
        <v>1E-3</v>
      </c>
      <c r="AR11" s="5">
        <v>1E-3</v>
      </c>
      <c r="AS11" s="5">
        <v>1E-3</v>
      </c>
      <c r="AT11" s="5">
        <v>1E-3</v>
      </c>
      <c r="AU11" s="5">
        <v>1E-3</v>
      </c>
      <c r="AV11" s="5">
        <v>1E-3</v>
      </c>
      <c r="AW11" s="5">
        <v>1E-3</v>
      </c>
      <c r="AX11" s="5">
        <v>1E-3</v>
      </c>
      <c r="AY11" s="5">
        <v>1E-3</v>
      </c>
      <c r="AZ11" s="5">
        <v>1E-3</v>
      </c>
      <c r="BA11" s="5">
        <v>1E-3</v>
      </c>
      <c r="BB11" s="5">
        <v>1E-3</v>
      </c>
      <c r="BC11" s="5">
        <v>1E-3</v>
      </c>
      <c r="BD11" s="5">
        <v>1E-3</v>
      </c>
      <c r="BE11" s="5">
        <v>1E-3</v>
      </c>
      <c r="BF11" s="5">
        <v>1E-3</v>
      </c>
      <c r="BG11" s="5">
        <v>1E-3</v>
      </c>
      <c r="BH11" s="5">
        <v>1E-3</v>
      </c>
      <c r="BI11" s="5">
        <v>1E-3</v>
      </c>
      <c r="BJ11" s="5">
        <v>1E-3</v>
      </c>
      <c r="BK11" s="5">
        <v>5926</v>
      </c>
      <c r="BL11" s="5">
        <v>6196</v>
      </c>
      <c r="BM11" s="5">
        <v>6307</v>
      </c>
      <c r="BN11" s="5">
        <v>5845</v>
      </c>
      <c r="BO11" s="5">
        <v>6039</v>
      </c>
      <c r="BP11" s="5">
        <v>6114</v>
      </c>
      <c r="BQ11" s="5">
        <v>6260</v>
      </c>
      <c r="BR11" s="5">
        <v>7228</v>
      </c>
      <c r="BS11" s="5">
        <v>7786</v>
      </c>
      <c r="BT11" s="5">
        <v>8510</v>
      </c>
      <c r="BU11" s="5">
        <v>8743</v>
      </c>
      <c r="BV11" s="5">
        <v>9453</v>
      </c>
      <c r="BW11" s="5">
        <v>9831</v>
      </c>
      <c r="BX11" s="5">
        <v>10412</v>
      </c>
      <c r="BY11" s="5">
        <v>11123</v>
      </c>
      <c r="BZ11" s="5">
        <v>10844</v>
      </c>
      <c r="CA11" s="5">
        <v>11404</v>
      </c>
      <c r="CB11" s="5">
        <v>9829</v>
      </c>
      <c r="CC11" s="5">
        <v>9917</v>
      </c>
      <c r="CD11" s="5">
        <v>8876</v>
      </c>
      <c r="CE11" s="5">
        <v>11087</v>
      </c>
      <c r="CF11" s="5">
        <v>8884</v>
      </c>
      <c r="CG11" s="5">
        <v>8875</v>
      </c>
      <c r="CH11" s="5">
        <v>8006</v>
      </c>
      <c r="CI11" s="5">
        <v>7122</v>
      </c>
      <c r="CJ11" s="5">
        <v>7185</v>
      </c>
      <c r="CK11" s="5">
        <v>7013</v>
      </c>
      <c r="CL11" s="5">
        <v>7142</v>
      </c>
      <c r="CM11" s="5">
        <v>6591</v>
      </c>
      <c r="CN11" s="5">
        <v>6903</v>
      </c>
      <c r="CO11" s="5">
        <v>6484</v>
      </c>
      <c r="CP11" s="5">
        <v>6909</v>
      </c>
      <c r="CQ11" s="5">
        <v>7697</v>
      </c>
      <c r="CR11" s="5">
        <v>7947</v>
      </c>
      <c r="CS11" s="5">
        <v>7881</v>
      </c>
      <c r="CT11" s="5">
        <v>8013</v>
      </c>
      <c r="CU11" s="5">
        <v>7475</v>
      </c>
      <c r="CV11" s="5">
        <v>7528</v>
      </c>
      <c r="CW11" s="5">
        <v>7628</v>
      </c>
      <c r="CX11" s="5">
        <v>7430</v>
      </c>
      <c r="CY11" s="5">
        <v>7773</v>
      </c>
      <c r="CZ11" s="5">
        <v>7737</v>
      </c>
      <c r="DA11" s="5">
        <v>8674</v>
      </c>
      <c r="DB11" s="5">
        <v>8804</v>
      </c>
      <c r="DC11" s="5">
        <v>8941</v>
      </c>
      <c r="DD11" s="5">
        <v>9250</v>
      </c>
      <c r="DE11" s="5">
        <v>9430</v>
      </c>
      <c r="DF11" s="5">
        <v>9411</v>
      </c>
      <c r="DG11" s="5">
        <v>8810</v>
      </c>
      <c r="DH11" s="5">
        <v>8042</v>
      </c>
      <c r="DI11" s="5">
        <v>6539</v>
      </c>
      <c r="DJ11" s="5">
        <v>7571</v>
      </c>
      <c r="DK11" s="5">
        <v>9566</v>
      </c>
      <c r="DL11" s="5">
        <v>9791</v>
      </c>
      <c r="DM11" s="5">
        <v>9748</v>
      </c>
      <c r="DN11" s="5">
        <v>8479</v>
      </c>
      <c r="DO11" s="5">
        <v>9876</v>
      </c>
      <c r="DP11" s="5">
        <v>8483</v>
      </c>
      <c r="DQ11" s="5">
        <v>7979</v>
      </c>
      <c r="DR11" s="5">
        <v>5925</v>
      </c>
      <c r="DS11" s="5">
        <v>6380</v>
      </c>
      <c r="DT11" s="5">
        <v>6744</v>
      </c>
      <c r="DU11" s="5">
        <v>6946</v>
      </c>
      <c r="DV11" s="5">
        <v>7050</v>
      </c>
      <c r="DW11" s="5">
        <v>7180</v>
      </c>
      <c r="DX11" s="5">
        <v>7243</v>
      </c>
      <c r="DY11" s="5">
        <v>6828</v>
      </c>
      <c r="DZ11" s="5">
        <v>7485</v>
      </c>
      <c r="EA11" s="5">
        <v>7981</v>
      </c>
      <c r="EB11" s="5">
        <v>9101</v>
      </c>
      <c r="EC11" s="5">
        <v>10667</v>
      </c>
      <c r="ED11" s="5">
        <v>10997</v>
      </c>
      <c r="EE11" s="5">
        <v>10251</v>
      </c>
      <c r="EF11" s="5">
        <v>10807</v>
      </c>
      <c r="EG11" s="5">
        <v>11365</v>
      </c>
      <c r="EH11" s="5">
        <v>10843</v>
      </c>
      <c r="EI11" s="5">
        <v>10985</v>
      </c>
      <c r="EJ11" s="5">
        <v>11014</v>
      </c>
      <c r="EK11" s="5">
        <v>12487</v>
      </c>
      <c r="EL11" s="5">
        <v>13125</v>
      </c>
      <c r="EM11" s="5">
        <v>13155</v>
      </c>
      <c r="EN11" s="5">
        <v>14046</v>
      </c>
      <c r="EO11" s="5">
        <v>15565</v>
      </c>
      <c r="EP11" s="5">
        <v>15253</v>
      </c>
      <c r="EQ11" s="5">
        <v>16861</v>
      </c>
      <c r="ER11" s="5">
        <v>16569</v>
      </c>
      <c r="ES11" s="5">
        <v>17025</v>
      </c>
      <c r="ET11" s="5">
        <v>15742</v>
      </c>
      <c r="EU11" s="5">
        <v>7548</v>
      </c>
      <c r="EV11" s="5">
        <v>5833</v>
      </c>
      <c r="EW11" s="5">
        <v>4933</v>
      </c>
      <c r="EX11" s="5">
        <v>4674</v>
      </c>
      <c r="EY11" s="5">
        <v>4077</v>
      </c>
      <c r="EZ11" s="5">
        <v>4523</v>
      </c>
      <c r="FA11" s="5">
        <v>4600</v>
      </c>
      <c r="FB11" s="5">
        <v>5110</v>
      </c>
      <c r="FC11" s="5">
        <v>5228</v>
      </c>
      <c r="FD11" s="5">
        <v>5091</v>
      </c>
      <c r="FE11" s="5">
        <v>5137</v>
      </c>
      <c r="FF11" s="5">
        <v>5780</v>
      </c>
      <c r="FG11" s="5">
        <v>6134</v>
      </c>
      <c r="FH11" s="5">
        <v>5954</v>
      </c>
      <c r="FI11" s="5">
        <v>5120</v>
      </c>
      <c r="FJ11" s="5">
        <v>5135</v>
      </c>
      <c r="FK11" s="5">
        <v>5275</v>
      </c>
      <c r="FL11" s="5">
        <v>5048</v>
      </c>
      <c r="FM11" s="5">
        <v>4705</v>
      </c>
      <c r="FN11" s="5">
        <v>4238</v>
      </c>
      <c r="FO11" s="5">
        <v>5163</v>
      </c>
      <c r="FP11" s="5">
        <v>6251</v>
      </c>
      <c r="FQ11" s="5">
        <v>6521</v>
      </c>
      <c r="FR11" s="5">
        <v>6483</v>
      </c>
      <c r="FS11" s="5">
        <v>5961</v>
      </c>
      <c r="FT11" s="5">
        <v>6394</v>
      </c>
      <c r="FU11" s="5">
        <v>6475</v>
      </c>
      <c r="FV11" s="5">
        <v>6482</v>
      </c>
      <c r="FW11" s="5">
        <v>5930</v>
      </c>
      <c r="FX11" s="5">
        <v>6468</v>
      </c>
      <c r="FY11" s="5">
        <v>6460</v>
      </c>
      <c r="FZ11" s="5">
        <v>6063</v>
      </c>
      <c r="GA11" s="5">
        <v>5213</v>
      </c>
      <c r="GB11" s="5">
        <v>5033</v>
      </c>
      <c r="GC11" s="5">
        <v>4710</v>
      </c>
      <c r="GD11" s="5">
        <v>5019</v>
      </c>
      <c r="GE11" s="5">
        <v>5851</v>
      </c>
      <c r="GF11" s="5">
        <v>6255</v>
      </c>
      <c r="GG11" s="5">
        <v>6793</v>
      </c>
      <c r="GH11" s="5">
        <v>7275</v>
      </c>
      <c r="GI11" s="5">
        <v>6589</v>
      </c>
      <c r="GJ11" s="5">
        <v>5840</v>
      </c>
      <c r="GK11" s="5">
        <v>5652</v>
      </c>
      <c r="GL11" s="5">
        <v>5603</v>
      </c>
      <c r="GM11" s="5">
        <v>4889</v>
      </c>
      <c r="GN11" s="5">
        <v>3597</v>
      </c>
      <c r="GO11" s="5">
        <v>4028</v>
      </c>
      <c r="GP11" s="5">
        <v>3995</v>
      </c>
      <c r="GQ11" s="5">
        <v>4695</v>
      </c>
      <c r="GR11" s="5">
        <v>4950</v>
      </c>
      <c r="GS11" s="5">
        <v>4927</v>
      </c>
      <c r="GT11" s="5">
        <v>5639</v>
      </c>
      <c r="GU11" s="5">
        <v>7430</v>
      </c>
      <c r="GV11" s="5">
        <v>9336</v>
      </c>
      <c r="GW11" s="5">
        <v>11497</v>
      </c>
      <c r="GX11" s="5">
        <v>16413</v>
      </c>
      <c r="GY11" s="5">
        <v>21609</v>
      </c>
      <c r="GZ11" s="5">
        <v>22478</v>
      </c>
      <c r="HA11" s="5">
        <v>25323</v>
      </c>
      <c r="HB11" s="6">
        <v>26235.84</v>
      </c>
      <c r="HC11" s="6">
        <v>25594.63</v>
      </c>
      <c r="HD11" s="6">
        <v>25320.79</v>
      </c>
      <c r="HE11" s="6">
        <v>24669.21</v>
      </c>
      <c r="HF11" s="6">
        <v>24239.439999999999</v>
      </c>
      <c r="HG11" s="6">
        <v>23786.13</v>
      </c>
      <c r="HH11" s="6">
        <v>23120.09</v>
      </c>
      <c r="HI11" s="6">
        <v>22610.43</v>
      </c>
      <c r="HJ11" s="6">
        <v>21990.82</v>
      </c>
      <c r="HK11" s="6">
        <v>21376.07</v>
      </c>
      <c r="HL11" s="6">
        <v>20759.84</v>
      </c>
      <c r="HM11" s="6">
        <v>20113.509999999998</v>
      </c>
      <c r="HN11" s="6">
        <v>19442.13</v>
      </c>
      <c r="HO11" s="6">
        <v>18774.84</v>
      </c>
      <c r="HP11" s="6">
        <v>18109.009999999998</v>
      </c>
      <c r="HQ11" s="6">
        <v>17595.38</v>
      </c>
      <c r="HR11" s="6">
        <v>17386.150000000001</v>
      </c>
      <c r="HS11" s="6">
        <v>17185.57</v>
      </c>
      <c r="HT11" s="6">
        <v>16989.03</v>
      </c>
      <c r="HU11" s="6">
        <v>16799.82</v>
      </c>
      <c r="HV11" s="6">
        <v>16615.41</v>
      </c>
      <c r="HW11" s="6">
        <v>16437.77</v>
      </c>
      <c r="HX11" s="6">
        <v>16263.3</v>
      </c>
      <c r="HY11" s="6">
        <v>16095.82</v>
      </c>
      <c r="HZ11" s="6">
        <v>15934.78</v>
      </c>
      <c r="IA11" s="6">
        <v>15782.82</v>
      </c>
      <c r="IB11" s="6">
        <v>15635.2</v>
      </c>
      <c r="IC11" s="6">
        <v>15495.14</v>
      </c>
      <c r="ID11" s="6">
        <v>15362.4</v>
      </c>
      <c r="IE11" s="6">
        <v>15537.22</v>
      </c>
      <c r="IF11" s="6">
        <v>15711.61</v>
      </c>
      <c r="IG11" s="6">
        <v>15888.7</v>
      </c>
      <c r="IH11" s="6">
        <v>16067.74</v>
      </c>
      <c r="II11" s="6">
        <v>16250.57</v>
      </c>
      <c r="IJ11" s="6">
        <v>16426.45</v>
      </c>
      <c r="IK11" s="6">
        <v>16596.27</v>
      </c>
      <c r="IL11" s="6">
        <v>16758.580000000002</v>
      </c>
      <c r="IM11" s="6">
        <v>16915.59</v>
      </c>
      <c r="IN11" s="6">
        <v>17061.87</v>
      </c>
      <c r="IO11" s="6">
        <v>17201.28</v>
      </c>
      <c r="IP11" s="6">
        <v>17333.39</v>
      </c>
      <c r="IQ11" s="6">
        <v>17460.71</v>
      </c>
      <c r="IR11" s="6">
        <v>17578.12</v>
      </c>
      <c r="IS11" s="6">
        <v>17689.009999999998</v>
      </c>
      <c r="IT11" s="6">
        <v>17799.84</v>
      </c>
      <c r="IU11" s="6">
        <v>17915.759999999998</v>
      </c>
      <c r="IV11" s="6">
        <v>18032.18</v>
      </c>
      <c r="IW11" s="6">
        <v>18153.599999999999</v>
      </c>
      <c r="IX11" s="6">
        <v>18279.2</v>
      </c>
      <c r="IY11" s="6">
        <v>18408.79</v>
      </c>
      <c r="IZ11" s="6">
        <v>18543.5</v>
      </c>
      <c r="JA11" s="6">
        <v>18683.439999999999</v>
      </c>
      <c r="JB11" s="6">
        <v>18828.689999999999</v>
      </c>
      <c r="JC11" s="6">
        <v>18979.18</v>
      </c>
      <c r="JD11" s="6">
        <v>19134.75</v>
      </c>
      <c r="JE11" s="6">
        <v>19295.34</v>
      </c>
      <c r="JF11" s="6">
        <v>19460.939999999999</v>
      </c>
      <c r="JG11" s="6">
        <v>19631.41</v>
      </c>
      <c r="JH11" s="6">
        <v>19806.990000000002</v>
      </c>
      <c r="JI11" s="6">
        <v>19987.46</v>
      </c>
      <c r="JJ11" s="6">
        <v>20172.77</v>
      </c>
      <c r="JK11" s="6">
        <v>20362.79</v>
      </c>
      <c r="JL11" s="6">
        <v>20557.47</v>
      </c>
      <c r="JM11" s="6">
        <v>20756.72</v>
      </c>
      <c r="JN11" s="6">
        <v>20960.61</v>
      </c>
      <c r="JO11" s="6">
        <v>21153.13</v>
      </c>
      <c r="JP11" s="6">
        <v>21328.35</v>
      </c>
      <c r="JQ11" s="6">
        <v>21484.12</v>
      </c>
      <c r="JR11" s="6">
        <v>21620.07</v>
      </c>
      <c r="JS11" s="6">
        <v>21736.3</v>
      </c>
      <c r="JT11" s="6">
        <v>21849.59</v>
      </c>
      <c r="JU11" s="6">
        <v>21966.52</v>
      </c>
      <c r="JV11" s="6">
        <v>22089.49</v>
      </c>
      <c r="JW11" s="6">
        <v>22219.24</v>
      </c>
      <c r="JX11" s="6">
        <v>22355.91</v>
      </c>
      <c r="JY11" s="6">
        <v>22499.46</v>
      </c>
      <c r="JZ11" s="6">
        <v>22649.73</v>
      </c>
      <c r="KA11" s="6">
        <v>22806.639999999999</v>
      </c>
      <c r="KB11" s="6">
        <v>22970.04</v>
      </c>
      <c r="KC11" s="6">
        <v>23139.82</v>
      </c>
      <c r="KD11" s="6">
        <v>23315.82</v>
      </c>
      <c r="KE11" s="6">
        <v>23497.96</v>
      </c>
      <c r="KF11" s="6">
        <v>23686.15</v>
      </c>
      <c r="KG11" s="6">
        <v>23880.3</v>
      </c>
      <c r="KH11" s="6">
        <v>24080.560000000001</v>
      </c>
      <c r="KI11" s="6">
        <v>24268.17</v>
      </c>
      <c r="KJ11" s="6">
        <v>24436.26</v>
      </c>
      <c r="KK11" s="6">
        <v>24582.63</v>
      </c>
      <c r="KL11" s="6">
        <v>24706.74</v>
      </c>
      <c r="KM11" s="6">
        <v>24809.01</v>
      </c>
      <c r="KN11" s="6">
        <v>24909.21</v>
      </c>
      <c r="KO11" s="6">
        <v>25014.68</v>
      </c>
      <c r="KP11" s="6">
        <v>25127.61</v>
      </c>
      <c r="KQ11" s="6">
        <v>25249.08</v>
      </c>
      <c r="KR11" s="6">
        <v>25379.4</v>
      </c>
      <c r="KS11" s="6">
        <v>25518.52</v>
      </c>
      <c r="KT11" s="6">
        <v>25666.23</v>
      </c>
      <c r="KU11" s="6">
        <v>25822.41</v>
      </c>
      <c r="KV11" s="6">
        <v>25986.89</v>
      </c>
      <c r="KW11" s="6">
        <v>26159.53</v>
      </c>
      <c r="KX11" s="6">
        <v>26340.13</v>
      </c>
      <c r="KY11" s="6">
        <v>26528.59</v>
      </c>
      <c r="KZ11" s="6">
        <v>26724.77</v>
      </c>
      <c r="LA11" s="6">
        <v>26928.5</v>
      </c>
      <c r="LB11" s="6">
        <v>27139.55</v>
      </c>
      <c r="LC11" s="6">
        <v>27357.89</v>
      </c>
      <c r="LD11" s="6">
        <v>27583.46</v>
      </c>
      <c r="LE11" s="6">
        <v>27816.18</v>
      </c>
      <c r="LF11" s="6">
        <v>28055.94</v>
      </c>
      <c r="LG11" s="4" t="s">
        <v>383</v>
      </c>
      <c r="LH11" s="2" t="s">
        <v>336</v>
      </c>
      <c r="LI11" s="2" t="s">
        <v>338</v>
      </c>
      <c r="LJ11" s="2" t="s">
        <v>338</v>
      </c>
      <c r="LK11" s="2" t="s">
        <v>339</v>
      </c>
      <c r="LL11" s="2" t="s">
        <v>349</v>
      </c>
      <c r="LM11" s="2" t="s">
        <v>338</v>
      </c>
      <c r="LN11" s="2" t="s">
        <v>384</v>
      </c>
      <c r="LO11" s="2" t="s">
        <v>385</v>
      </c>
      <c r="LP11" s="2" t="s">
        <v>343</v>
      </c>
      <c r="LQ11" s="2" t="s">
        <v>386</v>
      </c>
      <c r="LR11" s="4" t="s">
        <v>659</v>
      </c>
      <c r="LS11"/>
      <c r="LT11"/>
      <c r="LU11"/>
      <c r="LV11"/>
      <c r="LW11"/>
      <c r="LX11"/>
    </row>
    <row r="12" spans="1:336" x14ac:dyDescent="0.35">
      <c r="A12" s="2" t="s">
        <v>330</v>
      </c>
      <c r="B12" s="2" t="s">
        <v>387</v>
      </c>
      <c r="C12" s="4" t="s">
        <v>658</v>
      </c>
      <c r="D12" s="2" t="s">
        <v>332</v>
      </c>
      <c r="E12" s="2" t="s">
        <v>333</v>
      </c>
      <c r="F12" s="2" t="s">
        <v>334</v>
      </c>
      <c r="G12" s="5">
        <v>-77.030709999999999</v>
      </c>
      <c r="H12" s="5">
        <v>-108.96</v>
      </c>
      <c r="I12" s="5">
        <v>-122.34050000000001</v>
      </c>
      <c r="J12" s="5">
        <v>-178.7535</v>
      </c>
      <c r="K12" s="5">
        <v>-154.5488</v>
      </c>
      <c r="L12" s="5">
        <v>-159.6465</v>
      </c>
      <c r="M12" s="5">
        <v>-184.50229999999999</v>
      </c>
      <c r="N12" s="5">
        <v>-221.5256</v>
      </c>
      <c r="O12" s="5">
        <v>-126.2512</v>
      </c>
      <c r="P12" s="5">
        <v>-125.76739999999999</v>
      </c>
      <c r="Q12" s="5">
        <v>-168.8186</v>
      </c>
      <c r="R12" s="5">
        <v>-178.38140000000001</v>
      </c>
      <c r="S12" s="5">
        <v>-181.1721</v>
      </c>
      <c r="T12" s="5">
        <v>-112.8186</v>
      </c>
      <c r="U12" s="5">
        <v>-186.08369999999999</v>
      </c>
      <c r="V12" s="5">
        <v>-245.2465</v>
      </c>
      <c r="W12" s="5">
        <v>-136.4837</v>
      </c>
      <c r="X12" s="5">
        <v>-132.01859999999999</v>
      </c>
      <c r="Y12" s="5">
        <v>-130.4186</v>
      </c>
      <c r="Z12" s="5">
        <v>-205.13489999999999</v>
      </c>
      <c r="AA12" s="5">
        <v>-166.36279999999999</v>
      </c>
      <c r="AB12" s="5">
        <v>-305.786</v>
      </c>
      <c r="AC12" s="5">
        <v>-244.94880000000001</v>
      </c>
      <c r="AD12" s="5">
        <v>-304.26049999999998</v>
      </c>
      <c r="AE12" s="5">
        <v>-272</v>
      </c>
      <c r="AF12" s="5">
        <v>-314.45580000000001</v>
      </c>
      <c r="AG12" s="5">
        <v>-339.01389999999998</v>
      </c>
      <c r="AH12" s="5">
        <v>-410.79070000000002</v>
      </c>
      <c r="AI12" s="5">
        <v>-373.95350000000002</v>
      </c>
      <c r="AJ12" s="5">
        <v>-549.95360000000005</v>
      </c>
      <c r="AK12" s="5">
        <v>-447.62790000000001</v>
      </c>
      <c r="AL12" s="5">
        <v>-132.09299999999999</v>
      </c>
      <c r="AM12" s="5">
        <v>-440.26049999999998</v>
      </c>
      <c r="AN12" s="5">
        <v>-510.21409999999997</v>
      </c>
      <c r="AO12" s="5">
        <v>-453.6558</v>
      </c>
      <c r="AP12" s="5">
        <v>-637.84190000000001</v>
      </c>
      <c r="AQ12" s="5">
        <v>-414.32560000000001</v>
      </c>
      <c r="AR12" s="5">
        <v>-734.32569999999998</v>
      </c>
      <c r="AS12" s="5">
        <v>-513.30229999999995</v>
      </c>
      <c r="AT12" s="5">
        <v>-605.20929999999998</v>
      </c>
      <c r="AU12" s="5">
        <v>-551.06979999999999</v>
      </c>
      <c r="AV12" s="5">
        <v>-639.25580000000002</v>
      </c>
      <c r="AW12" s="5">
        <v>-439.8141</v>
      </c>
      <c r="AX12" s="5">
        <v>-530.97670000000005</v>
      </c>
      <c r="AY12" s="5">
        <v>-452.8372</v>
      </c>
      <c r="AZ12" s="5">
        <v>-545.8605</v>
      </c>
      <c r="BA12" s="5">
        <v>-464.37209999999999</v>
      </c>
      <c r="BB12" s="5">
        <v>-762.41859999999997</v>
      </c>
      <c r="BC12" s="5">
        <v>-437.20929999999998</v>
      </c>
      <c r="BD12" s="5">
        <v>-784.74419999999998</v>
      </c>
      <c r="BE12" s="5">
        <v>-470.6977</v>
      </c>
      <c r="BF12" s="5">
        <v>-599.06979999999999</v>
      </c>
      <c r="BG12" s="5">
        <v>-411.53489999999999</v>
      </c>
      <c r="BH12" s="5">
        <v>-409.3023</v>
      </c>
      <c r="BI12" s="5">
        <v>-389.20929999999998</v>
      </c>
      <c r="BJ12" s="5">
        <v>-305.11630000000002</v>
      </c>
      <c r="BK12" s="5">
        <v>512</v>
      </c>
      <c r="BL12" s="5">
        <v>1028</v>
      </c>
      <c r="BM12" s="5">
        <v>913</v>
      </c>
      <c r="BN12" s="5">
        <v>-122</v>
      </c>
      <c r="BO12" s="5">
        <v>659</v>
      </c>
      <c r="BP12" s="5">
        <v>606</v>
      </c>
      <c r="BQ12" s="5">
        <v>-52</v>
      </c>
      <c r="BR12" s="5">
        <v>-41</v>
      </c>
      <c r="BS12" s="5">
        <v>-338</v>
      </c>
      <c r="BT12" s="5">
        <v>-558</v>
      </c>
      <c r="BU12" s="5">
        <v>-502</v>
      </c>
      <c r="BV12" s="5">
        <v>-325</v>
      </c>
      <c r="BW12" s="5">
        <v>-753</v>
      </c>
      <c r="BX12" s="5">
        <v>-1079</v>
      </c>
      <c r="BY12" s="5">
        <v>-757</v>
      </c>
      <c r="BZ12" s="5">
        <v>-648</v>
      </c>
      <c r="CA12" s="5">
        <v>-50</v>
      </c>
      <c r="CB12" s="5">
        <v>-963.99990000000003</v>
      </c>
      <c r="CC12" s="5">
        <v>-334</v>
      </c>
      <c r="CD12" s="5">
        <v>-1089</v>
      </c>
      <c r="CE12" s="5">
        <v>14</v>
      </c>
      <c r="CF12" s="5">
        <v>-1198</v>
      </c>
      <c r="CG12" s="5">
        <v>-807</v>
      </c>
      <c r="CH12" s="5">
        <v>-430</v>
      </c>
      <c r="CI12" s="5">
        <v>-426</v>
      </c>
      <c r="CJ12" s="5">
        <v>-139</v>
      </c>
      <c r="CK12" s="5">
        <v>-357</v>
      </c>
      <c r="CL12" s="5">
        <v>-193</v>
      </c>
      <c r="CM12" s="5">
        <v>-696</v>
      </c>
      <c r="CN12" s="5">
        <v>-819</v>
      </c>
      <c r="CO12" s="5">
        <v>-1002</v>
      </c>
      <c r="CP12" s="5">
        <v>-811</v>
      </c>
      <c r="CQ12" s="5">
        <v>-586</v>
      </c>
      <c r="CR12" s="5">
        <v>-628</v>
      </c>
      <c r="CS12" s="5">
        <v>-543</v>
      </c>
      <c r="CT12" s="5">
        <v>-132</v>
      </c>
      <c r="CU12" s="5">
        <v>-531</v>
      </c>
      <c r="CV12" s="5">
        <v>-243</v>
      </c>
      <c r="CW12" s="5">
        <v>42</v>
      </c>
      <c r="CX12" s="5">
        <v>-12</v>
      </c>
      <c r="CY12" s="5">
        <v>-8</v>
      </c>
      <c r="CZ12" s="5">
        <v>-172</v>
      </c>
      <c r="DA12" s="5">
        <v>101</v>
      </c>
      <c r="DB12" s="5">
        <v>-365</v>
      </c>
      <c r="DC12" s="5">
        <v>267</v>
      </c>
      <c r="DD12" s="5">
        <v>136</v>
      </c>
      <c r="DE12" s="5">
        <v>-209</v>
      </c>
      <c r="DF12" s="5">
        <v>-342</v>
      </c>
      <c r="DG12" s="5">
        <v>-315</v>
      </c>
      <c r="DH12" s="5">
        <v>-1005</v>
      </c>
      <c r="DI12" s="5">
        <v>-1549</v>
      </c>
      <c r="DJ12" s="5">
        <v>-1488</v>
      </c>
      <c r="DK12" s="5">
        <v>-732</v>
      </c>
      <c r="DL12" s="5">
        <v>-898</v>
      </c>
      <c r="DM12" s="5">
        <v>-849</v>
      </c>
      <c r="DN12" s="5">
        <v>-2231</v>
      </c>
      <c r="DO12" s="5">
        <v>-1055</v>
      </c>
      <c r="DP12" s="5">
        <v>-1931</v>
      </c>
      <c r="DQ12" s="5">
        <v>-1924</v>
      </c>
      <c r="DR12" s="5">
        <v>-2958</v>
      </c>
      <c r="DS12" s="5">
        <v>-2490</v>
      </c>
      <c r="DT12" s="5">
        <v>-2441</v>
      </c>
      <c r="DU12" s="5">
        <v>-2444</v>
      </c>
      <c r="DV12" s="5">
        <v>-2616</v>
      </c>
      <c r="DW12" s="5">
        <v>-2604</v>
      </c>
      <c r="DX12" s="5">
        <v>-2441</v>
      </c>
      <c r="DY12" s="5">
        <v>-2552</v>
      </c>
      <c r="DZ12" s="5">
        <v>-2290</v>
      </c>
      <c r="EA12" s="5">
        <v>-2913</v>
      </c>
      <c r="EB12" s="5">
        <v>-2870</v>
      </c>
      <c r="EC12" s="5">
        <v>-2862</v>
      </c>
      <c r="ED12" s="5">
        <v>-2993</v>
      </c>
      <c r="EE12" s="5">
        <v>-3606</v>
      </c>
      <c r="EF12" s="5">
        <v>-3966</v>
      </c>
      <c r="EG12" s="5">
        <v>-3490</v>
      </c>
      <c r="EH12" s="5">
        <v>-4098</v>
      </c>
      <c r="EI12" s="5">
        <v>-4235</v>
      </c>
      <c r="EJ12" s="5">
        <v>-4510</v>
      </c>
      <c r="EK12" s="5">
        <v>-3773</v>
      </c>
      <c r="EL12" s="5">
        <v>-4201</v>
      </c>
      <c r="EM12" s="5">
        <v>-5229</v>
      </c>
      <c r="EN12" s="5">
        <v>-5471</v>
      </c>
      <c r="EO12" s="5">
        <v>-4776</v>
      </c>
      <c r="EP12" s="5">
        <v>-6928.9989999999998</v>
      </c>
      <c r="EQ12" s="5">
        <v>-6381</v>
      </c>
      <c r="ER12" s="5">
        <v>-6214</v>
      </c>
      <c r="ES12" s="5">
        <v>-5756</v>
      </c>
      <c r="ET12" s="5">
        <v>-6272</v>
      </c>
      <c r="EU12" s="5">
        <v>-4358</v>
      </c>
      <c r="EV12" s="5">
        <v>-3219</v>
      </c>
      <c r="EW12" s="5">
        <v>-2985</v>
      </c>
      <c r="EX12" s="5">
        <v>-2606</v>
      </c>
      <c r="EY12" s="5">
        <v>-1008</v>
      </c>
      <c r="EZ12" s="5">
        <v>-901</v>
      </c>
      <c r="FA12" s="5">
        <v>-743</v>
      </c>
      <c r="FB12" s="5">
        <v>-918</v>
      </c>
      <c r="FC12" s="5">
        <v>-598</v>
      </c>
      <c r="FD12" s="5">
        <v>-672</v>
      </c>
      <c r="FE12" s="5">
        <v>-724</v>
      </c>
      <c r="FF12" s="5">
        <v>-696</v>
      </c>
      <c r="FG12" s="5">
        <v>-1059</v>
      </c>
      <c r="FH12" s="5">
        <v>-850</v>
      </c>
      <c r="FI12" s="5">
        <v>-833</v>
      </c>
      <c r="FJ12" s="5">
        <v>-558</v>
      </c>
      <c r="FK12" s="5">
        <v>-902.99990000000003</v>
      </c>
      <c r="FL12" s="5">
        <v>-810</v>
      </c>
      <c r="FM12" s="5">
        <v>-848</v>
      </c>
      <c r="FN12" s="5">
        <v>-784</v>
      </c>
      <c r="FO12" s="5">
        <v>-992</v>
      </c>
      <c r="FP12" s="5">
        <v>-1039</v>
      </c>
      <c r="FQ12" s="5">
        <v>-870.99990000000003</v>
      </c>
      <c r="FR12" s="5">
        <v>-846</v>
      </c>
      <c r="FS12" s="5">
        <v>-902</v>
      </c>
      <c r="FT12" s="5">
        <v>-712</v>
      </c>
      <c r="FU12" s="5">
        <v>-510</v>
      </c>
      <c r="FV12" s="5">
        <v>-695</v>
      </c>
      <c r="FW12" s="5">
        <v>-926.99990000000003</v>
      </c>
      <c r="FX12" s="5">
        <v>-906</v>
      </c>
      <c r="FY12" s="5">
        <v>-859</v>
      </c>
      <c r="FZ12" s="5">
        <v>-1070</v>
      </c>
      <c r="GA12" s="5">
        <v>-899</v>
      </c>
      <c r="GB12" s="5">
        <v>-1061</v>
      </c>
      <c r="GC12" s="5">
        <v>-784</v>
      </c>
      <c r="GD12" s="5">
        <v>-1059</v>
      </c>
      <c r="GE12" s="5">
        <v>-934</v>
      </c>
      <c r="GF12" s="5">
        <v>-1180</v>
      </c>
      <c r="GG12" s="5">
        <v>-934</v>
      </c>
      <c r="GH12" s="5">
        <v>-1014</v>
      </c>
      <c r="GI12" s="5">
        <v>-1292</v>
      </c>
      <c r="GJ12" s="5">
        <v>-1018</v>
      </c>
      <c r="GK12" s="5">
        <v>-966</v>
      </c>
      <c r="GL12" s="5">
        <v>-746</v>
      </c>
      <c r="GM12" s="5">
        <v>-907</v>
      </c>
      <c r="GN12" s="5">
        <v>-707</v>
      </c>
      <c r="GO12" s="5">
        <v>-450</v>
      </c>
      <c r="GP12" s="5">
        <v>-802</v>
      </c>
      <c r="GQ12" s="5">
        <v>-750</v>
      </c>
      <c r="GR12" s="5">
        <v>-363</v>
      </c>
      <c r="GS12" s="5">
        <v>-120</v>
      </c>
      <c r="GT12" s="5">
        <v>-35</v>
      </c>
      <c r="GU12" s="5">
        <v>84</v>
      </c>
      <c r="GV12" s="5">
        <v>79</v>
      </c>
      <c r="GW12" s="5">
        <v>145</v>
      </c>
      <c r="GX12" s="5">
        <v>1215</v>
      </c>
      <c r="GY12" s="5">
        <v>1342</v>
      </c>
      <c r="GZ12" s="5">
        <v>1200</v>
      </c>
      <c r="HA12" s="5">
        <v>1709</v>
      </c>
      <c r="HB12" s="6">
        <v>1468.4459999999999</v>
      </c>
      <c r="HC12" s="6">
        <v>9.9158670000000004</v>
      </c>
      <c r="HD12" s="6">
        <v>-661.05420000000004</v>
      </c>
      <c r="HE12" s="6">
        <v>-1064.97</v>
      </c>
      <c r="HF12" s="6">
        <v>-1347.91</v>
      </c>
      <c r="HG12" s="6">
        <v>-1810.2349999999999</v>
      </c>
      <c r="HH12" s="6">
        <v>-2376.1550000000002</v>
      </c>
      <c r="HI12" s="6">
        <v>-2684.723</v>
      </c>
      <c r="HJ12" s="6">
        <v>-3110.4169999999999</v>
      </c>
      <c r="HK12" s="6">
        <v>-3570.6860000000001</v>
      </c>
      <c r="HL12" s="6">
        <v>-4052.1950000000002</v>
      </c>
      <c r="HM12" s="6">
        <v>-4579.82</v>
      </c>
      <c r="HN12" s="6">
        <v>-5098.0950000000003</v>
      </c>
      <c r="HO12" s="6">
        <v>-5535.8879999999999</v>
      </c>
      <c r="HP12" s="6">
        <v>-5861.87</v>
      </c>
      <c r="HQ12" s="6">
        <v>-6167.7479999999996</v>
      </c>
      <c r="HR12" s="6">
        <v>-6091.6279999999997</v>
      </c>
      <c r="HS12" s="6">
        <v>-6164.29</v>
      </c>
      <c r="HT12" s="6">
        <v>-6249.9579999999996</v>
      </c>
      <c r="HU12" s="6">
        <v>-6202.2460000000001</v>
      </c>
      <c r="HV12" s="6">
        <v>-6272.0969999999998</v>
      </c>
      <c r="HW12" s="6">
        <v>-6604.47</v>
      </c>
      <c r="HX12" s="6">
        <v>-6940.7610000000004</v>
      </c>
      <c r="HY12" s="6">
        <v>-7276.567</v>
      </c>
      <c r="HZ12" s="6">
        <v>-7612.3919999999998</v>
      </c>
      <c r="IA12" s="6">
        <v>-7946.3270000000002</v>
      </c>
      <c r="IB12" s="6">
        <v>-8283.0490000000009</v>
      </c>
      <c r="IC12" s="6">
        <v>-8618.6569999999992</v>
      </c>
      <c r="ID12" s="6">
        <v>-8952.89</v>
      </c>
      <c r="IE12" s="6">
        <v>-9109.2729999999992</v>
      </c>
      <c r="IF12" s="6">
        <v>-9268.0480000000007</v>
      </c>
      <c r="IG12" s="6">
        <v>-9424.9079999999994</v>
      </c>
      <c r="IH12" s="6">
        <v>-9580.0480000000007</v>
      </c>
      <c r="II12" s="6">
        <v>-9732.1830000000009</v>
      </c>
      <c r="IJ12" s="6">
        <v>-9891.6550000000007</v>
      </c>
      <c r="IK12" s="6">
        <v>-10056.74</v>
      </c>
      <c r="IL12" s="6">
        <v>-10228.6</v>
      </c>
      <c r="IM12" s="6">
        <v>-10405.85</v>
      </c>
      <c r="IN12" s="6">
        <v>-10593.76</v>
      </c>
      <c r="IO12" s="6">
        <v>-10787.68</v>
      </c>
      <c r="IP12" s="6">
        <v>-10987.93</v>
      </c>
      <c r="IQ12" s="6">
        <v>-11192.91</v>
      </c>
      <c r="IR12" s="6">
        <v>-11407.63</v>
      </c>
      <c r="IS12" s="6">
        <v>-11627.99</v>
      </c>
      <c r="IT12" s="6">
        <v>-11847.41</v>
      </c>
      <c r="IU12" s="6">
        <v>-12061.04</v>
      </c>
      <c r="IV12" s="6">
        <v>-12273.51</v>
      </c>
      <c r="IW12" s="6">
        <v>-12479.72</v>
      </c>
      <c r="IX12" s="6">
        <v>-12680.56</v>
      </c>
      <c r="IY12" s="6">
        <v>-12876.38</v>
      </c>
      <c r="IZ12" s="6">
        <v>-13065.99</v>
      </c>
      <c r="JA12" s="6">
        <v>-13249.29</v>
      </c>
      <c r="JB12" s="6">
        <v>-13426.21</v>
      </c>
      <c r="JC12" s="6">
        <v>-13596.79</v>
      </c>
      <c r="JD12" s="6">
        <v>-13761.19</v>
      </c>
      <c r="JE12" s="6">
        <v>-13919.48</v>
      </c>
      <c r="JF12" s="6">
        <v>-14071.71</v>
      </c>
      <c r="JG12" s="6">
        <v>-14218.03</v>
      </c>
      <c r="JH12" s="6">
        <v>-14358.26</v>
      </c>
      <c r="JI12" s="6">
        <v>-14492.75</v>
      </c>
      <c r="JJ12" s="6">
        <v>-14621.6</v>
      </c>
      <c r="JK12" s="6">
        <v>-14745.02</v>
      </c>
      <c r="JL12" s="6">
        <v>-14863.1</v>
      </c>
      <c r="JM12" s="6">
        <v>-14976.04</v>
      </c>
      <c r="JN12" s="6">
        <v>-15083.81</v>
      </c>
      <c r="JO12" s="6">
        <v>-15202.49</v>
      </c>
      <c r="JP12" s="6">
        <v>-15338.13</v>
      </c>
      <c r="JQ12" s="6">
        <v>-15492.97</v>
      </c>
      <c r="JR12" s="6">
        <v>-15667.48</v>
      </c>
      <c r="JS12" s="6">
        <v>-15861.61</v>
      </c>
      <c r="JT12" s="6">
        <v>-16058.63</v>
      </c>
      <c r="JU12" s="6">
        <v>-16251.98</v>
      </c>
      <c r="JV12" s="6">
        <v>-16439.29</v>
      </c>
      <c r="JW12" s="6">
        <v>-16619.87</v>
      </c>
      <c r="JX12" s="6">
        <v>-16793.68</v>
      </c>
      <c r="JY12" s="6">
        <v>-16960.8</v>
      </c>
      <c r="JZ12" s="6">
        <v>-17121.45</v>
      </c>
      <c r="KA12" s="6">
        <v>-17275.78</v>
      </c>
      <c r="KB12" s="6">
        <v>-17423.990000000002</v>
      </c>
      <c r="KC12" s="6">
        <v>-17566.27</v>
      </c>
      <c r="KD12" s="6">
        <v>-17702.830000000002</v>
      </c>
      <c r="KE12" s="6">
        <v>-17833.8</v>
      </c>
      <c r="KF12" s="6">
        <v>-17959.34</v>
      </c>
      <c r="KG12" s="6">
        <v>-18079.580000000002</v>
      </c>
      <c r="KH12" s="6">
        <v>-18194.439999999999</v>
      </c>
      <c r="KI12" s="6">
        <v>-18322.72</v>
      </c>
      <c r="KJ12" s="6">
        <v>-18471.36</v>
      </c>
      <c r="KK12" s="6">
        <v>-18642.580000000002</v>
      </c>
      <c r="KL12" s="6">
        <v>-18836.98</v>
      </c>
      <c r="KM12" s="6">
        <v>-19054.22</v>
      </c>
      <c r="KN12" s="6">
        <v>-19274.53</v>
      </c>
      <c r="KO12" s="6">
        <v>-19490.650000000001</v>
      </c>
      <c r="KP12" s="6">
        <v>-19700.43</v>
      </c>
      <c r="KQ12" s="6">
        <v>-19902.830000000002</v>
      </c>
      <c r="KR12" s="6">
        <v>-20097.59</v>
      </c>
      <c r="KS12" s="6">
        <v>-20284.79</v>
      </c>
      <c r="KT12" s="6">
        <v>-20464.7</v>
      </c>
      <c r="KU12" s="6">
        <v>-20637.48</v>
      </c>
      <c r="KV12" s="6">
        <v>-20803.330000000002</v>
      </c>
      <c r="KW12" s="6">
        <v>-20962.439999999999</v>
      </c>
      <c r="KX12" s="6">
        <v>-21115.03</v>
      </c>
      <c r="KY12" s="6">
        <v>-21261.25</v>
      </c>
      <c r="KZ12" s="6">
        <v>-21401.3</v>
      </c>
      <c r="LA12" s="6">
        <v>-21535.360000000001</v>
      </c>
      <c r="LB12" s="6">
        <v>-21663.69</v>
      </c>
      <c r="LC12" s="6">
        <v>-21786.39</v>
      </c>
      <c r="LD12" s="6">
        <v>-21903.51</v>
      </c>
      <c r="LE12" s="6">
        <v>-22015.200000000001</v>
      </c>
      <c r="LF12" s="6">
        <v>-22121.599999999999</v>
      </c>
      <c r="LG12" s="2" t="s">
        <v>388</v>
      </c>
      <c r="LH12" s="2" t="s">
        <v>336</v>
      </c>
      <c r="LI12" s="2" t="s">
        <v>338</v>
      </c>
      <c r="LJ12" s="2" t="s">
        <v>338</v>
      </c>
      <c r="LK12" s="2" t="s">
        <v>339</v>
      </c>
      <c r="LL12" s="2" t="s">
        <v>349</v>
      </c>
      <c r="LM12" s="2" t="s">
        <v>338</v>
      </c>
      <c r="LN12" s="4" t="s">
        <v>389</v>
      </c>
      <c r="LO12" s="2" t="s">
        <v>338</v>
      </c>
      <c r="LP12" s="2" t="s">
        <v>343</v>
      </c>
      <c r="LQ12" s="2" t="s">
        <v>390</v>
      </c>
      <c r="LR12" s="4" t="s">
        <v>659</v>
      </c>
      <c r="LS12"/>
      <c r="LT12"/>
      <c r="LU12"/>
      <c r="LV12"/>
      <c r="LW12"/>
      <c r="LX12"/>
    </row>
    <row r="13" spans="1:336" x14ac:dyDescent="0.35">
      <c r="A13" s="2" t="s">
        <v>330</v>
      </c>
      <c r="B13" s="2" t="s">
        <v>391</v>
      </c>
      <c r="C13" s="4" t="s">
        <v>658</v>
      </c>
      <c r="D13" s="2" t="s">
        <v>332</v>
      </c>
      <c r="E13" s="2" t="s">
        <v>333</v>
      </c>
      <c r="F13" s="2" t="s">
        <v>334</v>
      </c>
      <c r="G13" s="5">
        <v>12419</v>
      </c>
      <c r="H13" s="5">
        <v>12849</v>
      </c>
      <c r="I13" s="5">
        <v>13247</v>
      </c>
      <c r="J13" s="5">
        <v>13917</v>
      </c>
      <c r="K13" s="5">
        <v>14267</v>
      </c>
      <c r="L13" s="5">
        <v>14694</v>
      </c>
      <c r="M13" s="5">
        <v>15881</v>
      </c>
      <c r="N13" s="5">
        <v>16728</v>
      </c>
      <c r="O13" s="5">
        <v>18231</v>
      </c>
      <c r="P13" s="5">
        <v>18613</v>
      </c>
      <c r="Q13" s="5">
        <v>19564</v>
      </c>
      <c r="R13" s="5">
        <v>20194</v>
      </c>
      <c r="S13" s="5">
        <v>21295</v>
      </c>
      <c r="T13" s="5">
        <v>21568</v>
      </c>
      <c r="U13" s="5">
        <v>22876</v>
      </c>
      <c r="V13" s="5">
        <v>23450</v>
      </c>
      <c r="W13" s="5">
        <v>23884</v>
      </c>
      <c r="X13" s="5">
        <v>24509</v>
      </c>
      <c r="Y13" s="5">
        <v>25439</v>
      </c>
      <c r="Z13" s="5">
        <v>26940</v>
      </c>
      <c r="AA13" s="5">
        <v>27797</v>
      </c>
      <c r="AB13" s="5">
        <v>29144</v>
      </c>
      <c r="AC13" s="5">
        <v>30465</v>
      </c>
      <c r="AD13" s="5">
        <v>31463</v>
      </c>
      <c r="AE13" s="5">
        <v>32879</v>
      </c>
      <c r="AF13" s="5">
        <v>34157</v>
      </c>
      <c r="AG13" s="5">
        <v>36483</v>
      </c>
      <c r="AH13" s="5">
        <v>39802</v>
      </c>
      <c r="AI13" s="5">
        <v>40290</v>
      </c>
      <c r="AJ13" s="5">
        <v>41818</v>
      </c>
      <c r="AK13" s="5">
        <v>43433</v>
      </c>
      <c r="AL13" s="5">
        <v>44864</v>
      </c>
      <c r="AM13" s="5">
        <v>46552</v>
      </c>
      <c r="AN13" s="5">
        <v>47036</v>
      </c>
      <c r="AO13" s="5">
        <v>47924</v>
      </c>
      <c r="AP13" s="5">
        <v>49843</v>
      </c>
      <c r="AQ13" s="5">
        <v>50837</v>
      </c>
      <c r="AR13" s="5">
        <v>52380</v>
      </c>
      <c r="AS13" s="5">
        <v>52615</v>
      </c>
      <c r="AT13" s="5">
        <v>53960</v>
      </c>
      <c r="AU13" s="5">
        <v>54514</v>
      </c>
      <c r="AV13" s="5">
        <v>57136</v>
      </c>
      <c r="AW13" s="5">
        <v>57119</v>
      </c>
      <c r="AX13" s="5">
        <v>58206</v>
      </c>
      <c r="AY13" s="5">
        <v>59961</v>
      </c>
      <c r="AZ13" s="5">
        <v>60260</v>
      </c>
      <c r="BA13" s="5">
        <v>62678</v>
      </c>
      <c r="BB13" s="5">
        <v>64883</v>
      </c>
      <c r="BC13" s="5">
        <v>65471</v>
      </c>
      <c r="BD13" s="5">
        <v>66622</v>
      </c>
      <c r="BE13" s="5">
        <v>67715</v>
      </c>
      <c r="BF13" s="5">
        <v>69185</v>
      </c>
      <c r="BG13" s="5">
        <v>70501</v>
      </c>
      <c r="BH13" s="5">
        <v>73909</v>
      </c>
      <c r="BI13" s="5">
        <v>73297</v>
      </c>
      <c r="BJ13" s="5">
        <v>74329</v>
      </c>
      <c r="BK13" s="5">
        <v>74158</v>
      </c>
      <c r="BL13" s="5">
        <v>76563</v>
      </c>
      <c r="BM13" s="5">
        <v>78295</v>
      </c>
      <c r="BN13" s="5">
        <v>79796</v>
      </c>
      <c r="BO13" s="5">
        <v>82285</v>
      </c>
      <c r="BP13" s="5">
        <v>84810</v>
      </c>
      <c r="BQ13" s="5">
        <v>86563</v>
      </c>
      <c r="BR13" s="5">
        <v>88240</v>
      </c>
      <c r="BS13" s="5">
        <v>90548</v>
      </c>
      <c r="BT13" s="5">
        <v>93363</v>
      </c>
      <c r="BU13" s="5">
        <v>97490</v>
      </c>
      <c r="BV13" s="5">
        <v>98361</v>
      </c>
      <c r="BW13" s="5">
        <v>102928</v>
      </c>
      <c r="BX13" s="5">
        <v>103890</v>
      </c>
      <c r="BY13" s="5">
        <v>107142</v>
      </c>
      <c r="BZ13" s="5">
        <v>110535</v>
      </c>
      <c r="CA13" s="5">
        <v>113229</v>
      </c>
      <c r="CB13" s="5">
        <v>113790</v>
      </c>
      <c r="CC13" s="5">
        <v>118607</v>
      </c>
      <c r="CD13" s="5">
        <v>119800</v>
      </c>
      <c r="CE13" s="5">
        <v>121876</v>
      </c>
      <c r="CF13" s="5">
        <v>123668</v>
      </c>
      <c r="CG13" s="5">
        <v>125292</v>
      </c>
      <c r="CH13" s="5">
        <v>126339</v>
      </c>
      <c r="CI13" s="5">
        <v>127313</v>
      </c>
      <c r="CJ13" s="5">
        <v>131724</v>
      </c>
      <c r="CK13" s="5">
        <v>133457</v>
      </c>
      <c r="CL13" s="5">
        <v>135003</v>
      </c>
      <c r="CM13" s="5">
        <v>134597</v>
      </c>
      <c r="CN13" s="5">
        <v>135173</v>
      </c>
      <c r="CO13" s="5">
        <v>138183</v>
      </c>
      <c r="CP13" s="5">
        <v>138391</v>
      </c>
      <c r="CQ13" s="5">
        <v>141861</v>
      </c>
      <c r="CR13" s="5">
        <v>143287</v>
      </c>
      <c r="CS13" s="5">
        <v>146426</v>
      </c>
      <c r="CT13" s="5">
        <v>147725</v>
      </c>
      <c r="CU13" s="5">
        <v>151630</v>
      </c>
      <c r="CV13" s="5">
        <v>153565</v>
      </c>
      <c r="CW13" s="5">
        <v>156382</v>
      </c>
      <c r="CX13" s="5">
        <v>154146</v>
      </c>
      <c r="CY13" s="5">
        <v>156649</v>
      </c>
      <c r="CZ13" s="5">
        <v>159714</v>
      </c>
      <c r="DA13" s="5">
        <v>162073</v>
      </c>
      <c r="DB13" s="5">
        <v>160535</v>
      </c>
      <c r="DC13" s="5">
        <v>161552</v>
      </c>
      <c r="DD13" s="5">
        <v>163217</v>
      </c>
      <c r="DE13" s="5">
        <v>163185</v>
      </c>
      <c r="DF13" s="5">
        <v>165831</v>
      </c>
      <c r="DG13" s="5">
        <v>165059</v>
      </c>
      <c r="DH13" s="5">
        <v>172659</v>
      </c>
      <c r="DI13" s="5">
        <v>172290</v>
      </c>
      <c r="DJ13" s="5">
        <v>177169</v>
      </c>
      <c r="DK13" s="5">
        <v>178188</v>
      </c>
      <c r="DL13" s="5">
        <v>179736</v>
      </c>
      <c r="DM13" s="5">
        <v>183422</v>
      </c>
      <c r="DN13" s="5">
        <v>186264</v>
      </c>
      <c r="DO13" s="5">
        <v>189728</v>
      </c>
      <c r="DP13" s="5">
        <v>188958</v>
      </c>
      <c r="DQ13" s="5">
        <v>190041</v>
      </c>
      <c r="DR13" s="5">
        <v>191387</v>
      </c>
      <c r="DS13" s="5">
        <v>194407</v>
      </c>
      <c r="DT13" s="5">
        <v>196471</v>
      </c>
      <c r="DU13" s="5">
        <v>196135</v>
      </c>
      <c r="DV13" s="5">
        <v>198285</v>
      </c>
      <c r="DW13" s="5">
        <v>200308</v>
      </c>
      <c r="DX13" s="5">
        <v>201618</v>
      </c>
      <c r="DY13" s="5">
        <v>204036</v>
      </c>
      <c r="DZ13" s="5">
        <v>207651</v>
      </c>
      <c r="EA13" s="5">
        <v>209034</v>
      </c>
      <c r="EB13" s="5">
        <v>212233</v>
      </c>
      <c r="EC13" s="5">
        <v>214761</v>
      </c>
      <c r="ED13" s="5">
        <v>216772</v>
      </c>
      <c r="EE13" s="5">
        <v>218821</v>
      </c>
      <c r="EF13" s="5">
        <v>221457</v>
      </c>
      <c r="EG13" s="5">
        <v>224293</v>
      </c>
      <c r="EH13" s="5">
        <v>226453</v>
      </c>
      <c r="EI13" s="5">
        <v>229762</v>
      </c>
      <c r="EJ13" s="5">
        <v>231843</v>
      </c>
      <c r="EK13" s="5">
        <v>236024</v>
      </c>
      <c r="EL13" s="5">
        <v>237530</v>
      </c>
      <c r="EM13" s="5">
        <v>243130</v>
      </c>
      <c r="EN13" s="5">
        <v>244499</v>
      </c>
      <c r="EO13" s="5">
        <v>249052</v>
      </c>
      <c r="EP13" s="5">
        <v>249682</v>
      </c>
      <c r="EQ13" s="5">
        <v>249993</v>
      </c>
      <c r="ER13" s="5">
        <v>256308</v>
      </c>
      <c r="ES13" s="5">
        <v>255855</v>
      </c>
      <c r="ET13" s="5">
        <v>258864</v>
      </c>
      <c r="EU13" s="5">
        <v>256359</v>
      </c>
      <c r="EV13" s="5">
        <v>264017</v>
      </c>
      <c r="EW13" s="5">
        <v>262855</v>
      </c>
      <c r="EX13" s="5">
        <v>263951</v>
      </c>
      <c r="EY13" s="5">
        <v>264214</v>
      </c>
      <c r="EZ13" s="5">
        <v>267286</v>
      </c>
      <c r="FA13" s="5">
        <v>267899</v>
      </c>
      <c r="FB13" s="5">
        <v>268231</v>
      </c>
      <c r="FC13" s="5">
        <v>265775</v>
      </c>
      <c r="FD13" s="5">
        <v>271291</v>
      </c>
      <c r="FE13" s="5">
        <v>273259</v>
      </c>
      <c r="FF13" s="5">
        <v>273345</v>
      </c>
      <c r="FG13" s="5">
        <v>279363</v>
      </c>
      <c r="FH13" s="5">
        <v>283663</v>
      </c>
      <c r="FI13" s="5">
        <v>282088</v>
      </c>
      <c r="FJ13" s="5">
        <v>283822</v>
      </c>
      <c r="FK13" s="5">
        <v>284174</v>
      </c>
      <c r="FL13" s="5">
        <v>292340</v>
      </c>
      <c r="FM13" s="5">
        <v>298413</v>
      </c>
      <c r="FN13" s="5">
        <v>300879</v>
      </c>
      <c r="FO13" s="5">
        <v>301521</v>
      </c>
      <c r="FP13" s="5">
        <v>304324</v>
      </c>
      <c r="FQ13" s="5">
        <v>303832</v>
      </c>
      <c r="FR13" s="5">
        <v>307276</v>
      </c>
      <c r="FS13" s="5">
        <v>311837</v>
      </c>
      <c r="FT13" s="5">
        <v>319722</v>
      </c>
      <c r="FU13" s="5">
        <v>327229</v>
      </c>
      <c r="FV13" s="5">
        <v>327422</v>
      </c>
      <c r="FW13" s="5">
        <v>326430</v>
      </c>
      <c r="FX13" s="5">
        <v>328384</v>
      </c>
      <c r="FY13" s="5">
        <v>328661</v>
      </c>
      <c r="FZ13" s="5">
        <v>327892</v>
      </c>
      <c r="GA13" s="5">
        <v>328000</v>
      </c>
      <c r="GB13" s="5">
        <v>337442</v>
      </c>
      <c r="GC13" s="5">
        <v>339739</v>
      </c>
      <c r="GD13" s="5">
        <v>341892</v>
      </c>
      <c r="GE13" s="5">
        <v>347741</v>
      </c>
      <c r="GF13" s="5">
        <v>347414</v>
      </c>
      <c r="GG13" s="5">
        <v>350680</v>
      </c>
      <c r="GH13" s="5">
        <v>356604</v>
      </c>
      <c r="GI13" s="5">
        <v>356179</v>
      </c>
      <c r="GJ13" s="5">
        <v>363586</v>
      </c>
      <c r="GK13" s="5">
        <v>365234</v>
      </c>
      <c r="GL13" s="5">
        <v>367963</v>
      </c>
      <c r="GM13" s="5">
        <v>362113</v>
      </c>
      <c r="GN13" s="5">
        <v>356204</v>
      </c>
      <c r="GO13" s="5">
        <v>367296</v>
      </c>
      <c r="GP13" s="5">
        <v>368253</v>
      </c>
      <c r="GQ13" s="5">
        <v>373719</v>
      </c>
      <c r="GR13" s="5">
        <v>375577</v>
      </c>
      <c r="GS13" s="5">
        <v>378192</v>
      </c>
      <c r="GT13" s="5">
        <v>380731</v>
      </c>
      <c r="GU13" s="5">
        <v>388396</v>
      </c>
      <c r="GV13" s="5">
        <v>394881</v>
      </c>
      <c r="GW13" s="5">
        <v>402360</v>
      </c>
      <c r="GX13" s="5">
        <v>418440</v>
      </c>
      <c r="GY13" s="5">
        <v>423908</v>
      </c>
      <c r="GZ13" s="5">
        <v>438392</v>
      </c>
      <c r="HA13" s="5">
        <v>443068</v>
      </c>
      <c r="HB13" s="6">
        <v>440558.9</v>
      </c>
      <c r="HC13" s="6">
        <v>442566</v>
      </c>
      <c r="HD13" s="6">
        <v>450578.2</v>
      </c>
      <c r="HE13" s="6">
        <v>453016.9</v>
      </c>
      <c r="HF13" s="6">
        <v>457065.9</v>
      </c>
      <c r="HG13" s="6">
        <v>461989.3</v>
      </c>
      <c r="HH13" s="6">
        <v>466438.3</v>
      </c>
      <c r="HI13" s="6">
        <v>471700.1</v>
      </c>
      <c r="HJ13" s="6">
        <v>476871.3</v>
      </c>
      <c r="HK13" s="6">
        <v>482301.3</v>
      </c>
      <c r="HL13" s="6">
        <v>486304.1</v>
      </c>
      <c r="HM13" s="6">
        <v>490999.1</v>
      </c>
      <c r="HN13" s="6">
        <v>495570.5</v>
      </c>
      <c r="HO13" s="6">
        <v>500725.4</v>
      </c>
      <c r="HP13" s="6">
        <v>504910.6</v>
      </c>
      <c r="HQ13" s="6">
        <v>509808.7</v>
      </c>
      <c r="HR13" s="6">
        <v>515007.9</v>
      </c>
      <c r="HS13" s="6">
        <v>520247.5</v>
      </c>
      <c r="HT13" s="6">
        <v>524811.5</v>
      </c>
      <c r="HU13" s="6">
        <v>529871</v>
      </c>
      <c r="HV13" s="6">
        <v>534804.6</v>
      </c>
      <c r="HW13" s="6">
        <v>539851.69999999995</v>
      </c>
      <c r="HX13" s="6">
        <v>544211.4</v>
      </c>
      <c r="HY13" s="6">
        <v>549027.80000000005</v>
      </c>
      <c r="HZ13" s="6">
        <v>553842.6</v>
      </c>
      <c r="IA13" s="6">
        <v>559161.30000000005</v>
      </c>
      <c r="IB13" s="6">
        <v>563761.9</v>
      </c>
      <c r="IC13" s="6">
        <v>568692.6</v>
      </c>
      <c r="ID13" s="6">
        <v>573630.80000000005</v>
      </c>
      <c r="IE13" s="6">
        <v>579098.4</v>
      </c>
      <c r="IF13" s="6">
        <v>583907.1</v>
      </c>
      <c r="IG13" s="6">
        <v>589113.59999999998</v>
      </c>
      <c r="IH13" s="6">
        <v>594339.69999999995</v>
      </c>
      <c r="II13" s="6">
        <v>599970.19999999995</v>
      </c>
      <c r="IJ13" s="6">
        <v>604909.19999999995</v>
      </c>
      <c r="IK13" s="6">
        <v>610164.19999999995</v>
      </c>
      <c r="IL13" s="6">
        <v>615388.4</v>
      </c>
      <c r="IM13" s="6">
        <v>621119.9</v>
      </c>
      <c r="IN13" s="6">
        <v>626069.19999999995</v>
      </c>
      <c r="IO13" s="6">
        <v>631414.4</v>
      </c>
      <c r="IP13" s="6">
        <v>636760.80000000005</v>
      </c>
      <c r="IQ13" s="6">
        <v>642597.4</v>
      </c>
      <c r="IR13" s="6">
        <v>647690.30000000005</v>
      </c>
      <c r="IS13" s="6">
        <v>653103.30000000005</v>
      </c>
      <c r="IT13" s="6">
        <v>658538.4</v>
      </c>
      <c r="IU13" s="6">
        <v>664525.9</v>
      </c>
      <c r="IV13" s="6">
        <v>669759.19999999995</v>
      </c>
      <c r="IW13" s="6">
        <v>675506</v>
      </c>
      <c r="IX13" s="6">
        <v>681286.3</v>
      </c>
      <c r="IY13" s="6">
        <v>687102.1</v>
      </c>
      <c r="IZ13" s="6">
        <v>693031.3</v>
      </c>
      <c r="JA13" s="6">
        <v>699016</v>
      </c>
      <c r="JB13" s="6">
        <v>705056.4</v>
      </c>
      <c r="JC13" s="6">
        <v>711152.4</v>
      </c>
      <c r="JD13" s="6">
        <v>717305.3</v>
      </c>
      <c r="JE13" s="6">
        <v>723515.1</v>
      </c>
      <c r="JF13" s="6">
        <v>729782.7</v>
      </c>
      <c r="JG13" s="6">
        <v>736108.6</v>
      </c>
      <c r="JH13" s="6">
        <v>742556.9</v>
      </c>
      <c r="JI13" s="6">
        <v>749066.1</v>
      </c>
      <c r="JJ13" s="6">
        <v>755636.4</v>
      </c>
      <c r="JK13" s="6">
        <v>762269.8</v>
      </c>
      <c r="JL13" s="6">
        <v>768965.7</v>
      </c>
      <c r="JM13" s="6">
        <v>775724.4</v>
      </c>
      <c r="JN13" s="6">
        <v>782547.8</v>
      </c>
      <c r="JO13" s="6">
        <v>789458.7</v>
      </c>
      <c r="JP13" s="6">
        <v>796461.9</v>
      </c>
      <c r="JQ13" s="6">
        <v>803526.1</v>
      </c>
      <c r="JR13" s="6">
        <v>810651.4</v>
      </c>
      <c r="JS13" s="6">
        <v>817837.9</v>
      </c>
      <c r="JT13" s="6">
        <v>825029.6</v>
      </c>
      <c r="JU13" s="6">
        <v>832282</v>
      </c>
      <c r="JV13" s="6">
        <v>839595.7</v>
      </c>
      <c r="JW13" s="6">
        <v>846970.9</v>
      </c>
      <c r="JX13" s="6">
        <v>854408.4</v>
      </c>
      <c r="JY13" s="6">
        <v>861908.2</v>
      </c>
      <c r="JZ13" s="6">
        <v>869471.4</v>
      </c>
      <c r="KA13" s="6">
        <v>877098.3</v>
      </c>
      <c r="KB13" s="6">
        <v>884788.9</v>
      </c>
      <c r="KC13" s="6">
        <v>892543.8</v>
      </c>
      <c r="KD13" s="6">
        <v>900363</v>
      </c>
      <c r="KE13" s="6">
        <v>908247.1</v>
      </c>
      <c r="KF13" s="6">
        <v>916196.1</v>
      </c>
      <c r="KG13" s="6">
        <v>924211.3</v>
      </c>
      <c r="KH13" s="6">
        <v>932292.3</v>
      </c>
      <c r="KI13" s="6">
        <v>940439.8</v>
      </c>
      <c r="KJ13" s="6">
        <v>948655.2</v>
      </c>
      <c r="KK13" s="6">
        <v>956937.9</v>
      </c>
      <c r="KL13" s="6">
        <v>965289.3</v>
      </c>
      <c r="KM13" s="6">
        <v>973709</v>
      </c>
      <c r="KN13" s="6">
        <v>982198.4</v>
      </c>
      <c r="KO13" s="6">
        <v>990757.8</v>
      </c>
      <c r="KP13" s="6">
        <v>999387.5</v>
      </c>
      <c r="KQ13" s="6">
        <v>1008088</v>
      </c>
      <c r="KR13" s="6">
        <v>1016861</v>
      </c>
      <c r="KS13" s="6">
        <v>1025706</v>
      </c>
      <c r="KT13" s="6">
        <v>1034623</v>
      </c>
      <c r="KU13" s="6">
        <v>1043614</v>
      </c>
      <c r="KV13" s="6">
        <v>1052680</v>
      </c>
      <c r="KW13" s="6">
        <v>1061820</v>
      </c>
      <c r="KX13" s="6">
        <v>1071034</v>
      </c>
      <c r="KY13" s="6">
        <v>1080325</v>
      </c>
      <c r="KZ13" s="6">
        <v>1089692</v>
      </c>
      <c r="LA13" s="6">
        <v>1099136</v>
      </c>
      <c r="LB13" s="6">
        <v>1108657</v>
      </c>
      <c r="LC13" s="6">
        <v>1118256</v>
      </c>
      <c r="LD13" s="6">
        <v>1127934</v>
      </c>
      <c r="LE13" s="6">
        <v>1137690</v>
      </c>
      <c r="LF13" s="6">
        <v>1147526</v>
      </c>
      <c r="LG13" s="2" t="s">
        <v>335</v>
      </c>
      <c r="LH13" s="2" t="s">
        <v>336</v>
      </c>
      <c r="LI13" s="2" t="s">
        <v>338</v>
      </c>
      <c r="LJ13" s="2" t="s">
        <v>338</v>
      </c>
      <c r="LK13" s="2" t="s">
        <v>339</v>
      </c>
      <c r="LL13" s="2" t="s">
        <v>349</v>
      </c>
      <c r="LM13" s="2" t="s">
        <v>338</v>
      </c>
      <c r="LN13" s="2" t="s">
        <v>392</v>
      </c>
      <c r="LO13" s="2" t="s">
        <v>393</v>
      </c>
      <c r="LP13" s="2" t="s">
        <v>343</v>
      </c>
      <c r="LQ13" s="2" t="s">
        <v>394</v>
      </c>
      <c r="LR13" s="4" t="s">
        <v>659</v>
      </c>
      <c r="LS13"/>
      <c r="LT13"/>
      <c r="LU13"/>
      <c r="LV13"/>
      <c r="LW13"/>
      <c r="LX13"/>
    </row>
    <row r="14" spans="1:336" x14ac:dyDescent="0.35">
      <c r="A14" s="2" t="s">
        <v>330</v>
      </c>
      <c r="B14" s="4" t="s">
        <v>395</v>
      </c>
      <c r="C14" s="4" t="s">
        <v>658</v>
      </c>
      <c r="D14" s="2" t="s">
        <v>346</v>
      </c>
      <c r="E14" s="2" t="s">
        <v>338</v>
      </c>
      <c r="F14" s="2" t="s">
        <v>334</v>
      </c>
      <c r="G14" s="5">
        <v>1E-3</v>
      </c>
      <c r="H14" s="5">
        <v>1E-3</v>
      </c>
      <c r="I14" s="5">
        <v>1E-3</v>
      </c>
      <c r="J14" s="5">
        <v>1E-3</v>
      </c>
      <c r="K14" s="5">
        <v>1E-3</v>
      </c>
      <c r="L14" s="5">
        <v>1E-3</v>
      </c>
      <c r="M14" s="5">
        <v>1E-3</v>
      </c>
      <c r="N14" s="5">
        <v>1E-3</v>
      </c>
      <c r="O14" s="5">
        <v>1E-3</v>
      </c>
      <c r="P14" s="5">
        <v>1E-3</v>
      </c>
      <c r="Q14" s="5">
        <v>1E-3</v>
      </c>
      <c r="R14" s="5">
        <v>1E-3</v>
      </c>
      <c r="S14" s="5">
        <v>1E-3</v>
      </c>
      <c r="T14" s="5">
        <v>1E-3</v>
      </c>
      <c r="U14" s="5">
        <v>1E-3</v>
      </c>
      <c r="V14" s="5">
        <v>1E-3</v>
      </c>
      <c r="W14" s="5">
        <v>1E-3</v>
      </c>
      <c r="X14" s="5">
        <v>1E-3</v>
      </c>
      <c r="Y14" s="5">
        <v>1E-3</v>
      </c>
      <c r="Z14" s="5">
        <v>1E-3</v>
      </c>
      <c r="AA14" s="5">
        <v>1E-3</v>
      </c>
      <c r="AB14" s="5">
        <v>1E-3</v>
      </c>
      <c r="AC14" s="5">
        <v>1E-3</v>
      </c>
      <c r="AD14" s="5">
        <v>1E-3</v>
      </c>
      <c r="AE14" s="5">
        <v>1E-3</v>
      </c>
      <c r="AF14" s="5">
        <v>1E-3</v>
      </c>
      <c r="AG14" s="5">
        <v>1E-3</v>
      </c>
      <c r="AH14" s="5">
        <v>1E-3</v>
      </c>
      <c r="AI14" s="5">
        <v>1E-3</v>
      </c>
      <c r="AJ14" s="5">
        <v>1E-3</v>
      </c>
      <c r="AK14" s="5">
        <v>1E-3</v>
      </c>
      <c r="AL14" s="5">
        <v>1E-3</v>
      </c>
      <c r="AM14" s="5">
        <v>1E-3</v>
      </c>
      <c r="AN14" s="5">
        <v>1E-3</v>
      </c>
      <c r="AO14" s="5">
        <v>1E-3</v>
      </c>
      <c r="AP14" s="5">
        <v>1E-3</v>
      </c>
      <c r="AQ14" s="5">
        <v>1E-3</v>
      </c>
      <c r="AR14" s="5">
        <v>1E-3</v>
      </c>
      <c r="AS14" s="5">
        <v>1E-3</v>
      </c>
      <c r="AT14" s="5">
        <v>1E-3</v>
      </c>
      <c r="AU14" s="5">
        <v>1E-3</v>
      </c>
      <c r="AV14" s="5">
        <v>1E-3</v>
      </c>
      <c r="AW14" s="5">
        <v>1E-3</v>
      </c>
      <c r="AX14" s="5">
        <v>1E-3</v>
      </c>
      <c r="AY14" s="5">
        <v>1E-3</v>
      </c>
      <c r="AZ14" s="5">
        <v>1E-3</v>
      </c>
      <c r="BA14" s="5">
        <v>1E-3</v>
      </c>
      <c r="BB14" s="5">
        <v>1E-3</v>
      </c>
      <c r="BC14" s="5">
        <v>1E-3</v>
      </c>
      <c r="BD14" s="5">
        <v>1E-3</v>
      </c>
      <c r="BE14" s="5">
        <v>1E-3</v>
      </c>
      <c r="BF14" s="5">
        <v>1E-3</v>
      </c>
      <c r="BG14" s="5">
        <v>1E-3</v>
      </c>
      <c r="BH14" s="5">
        <v>1E-3</v>
      </c>
      <c r="BI14" s="5">
        <v>1E-3</v>
      </c>
      <c r="BJ14" s="5">
        <v>1E-3</v>
      </c>
      <c r="BK14" s="5">
        <v>1E-3</v>
      </c>
      <c r="BL14" s="5">
        <v>1E-3</v>
      </c>
      <c r="BM14" s="5">
        <v>1E-3</v>
      </c>
      <c r="BN14" s="5">
        <v>1E-3</v>
      </c>
      <c r="BO14" s="5">
        <v>1E-3</v>
      </c>
      <c r="BP14" s="5">
        <v>1E-3</v>
      </c>
      <c r="BQ14" s="5">
        <v>1E-3</v>
      </c>
      <c r="BR14" s="5">
        <v>1E-3</v>
      </c>
      <c r="BS14" s="5">
        <v>1E-3</v>
      </c>
      <c r="BT14" s="5">
        <v>1E-3</v>
      </c>
      <c r="BU14" s="5">
        <v>1E-3</v>
      </c>
      <c r="BV14" s="5">
        <v>1E-3</v>
      </c>
      <c r="BW14" s="5">
        <v>1E-3</v>
      </c>
      <c r="BX14" s="5">
        <v>1E-3</v>
      </c>
      <c r="BY14" s="5">
        <v>1E-3</v>
      </c>
      <c r="BZ14" s="5">
        <v>1E-3</v>
      </c>
      <c r="CA14" s="5">
        <v>1E-3</v>
      </c>
      <c r="CB14" s="5">
        <v>1E-3</v>
      </c>
      <c r="CC14" s="5">
        <v>1E-3</v>
      </c>
      <c r="CD14" s="5">
        <v>1E-3</v>
      </c>
      <c r="CE14" s="5">
        <v>1E-3</v>
      </c>
      <c r="CF14" s="5">
        <v>1E-3</v>
      </c>
      <c r="CG14" s="5">
        <v>1E-3</v>
      </c>
      <c r="CH14" s="5">
        <v>1E-3</v>
      </c>
      <c r="CI14" s="5">
        <v>1E-3</v>
      </c>
      <c r="CJ14" s="5">
        <v>1E-3</v>
      </c>
      <c r="CK14" s="5">
        <v>1E-3</v>
      </c>
      <c r="CL14" s="5">
        <v>1E-3</v>
      </c>
      <c r="CM14" s="5">
        <v>1E-3</v>
      </c>
      <c r="CN14" s="5">
        <v>1E-3</v>
      </c>
      <c r="CO14" s="5">
        <v>1E-3</v>
      </c>
      <c r="CP14" s="5">
        <v>1E-3</v>
      </c>
      <c r="CQ14" s="5">
        <v>1E-3</v>
      </c>
      <c r="CR14" s="5">
        <v>1E-3</v>
      </c>
      <c r="CS14" s="5">
        <v>1E-3</v>
      </c>
      <c r="CT14" s="5">
        <v>1E-3</v>
      </c>
      <c r="CU14" s="5">
        <v>1E-3</v>
      </c>
      <c r="CV14" s="5">
        <v>1E-3</v>
      </c>
      <c r="CW14" s="5">
        <v>1E-3</v>
      </c>
      <c r="CX14" s="5">
        <v>1E-3</v>
      </c>
      <c r="CY14" s="5">
        <v>1E-3</v>
      </c>
      <c r="CZ14" s="5">
        <v>1E-3</v>
      </c>
      <c r="DA14" s="5">
        <v>1E-3</v>
      </c>
      <c r="DB14" s="5">
        <v>1E-3</v>
      </c>
      <c r="DC14" s="5">
        <v>1E-3</v>
      </c>
      <c r="DD14" s="5">
        <v>1E-3</v>
      </c>
      <c r="DE14" s="5">
        <v>1E-3</v>
      </c>
      <c r="DF14" s="5">
        <v>1E-3</v>
      </c>
      <c r="DG14" s="5">
        <v>1E-3</v>
      </c>
      <c r="DH14" s="5">
        <v>1E-3</v>
      </c>
      <c r="DI14" s="5">
        <v>1E-3</v>
      </c>
      <c r="DJ14" s="5">
        <v>1E-3</v>
      </c>
      <c r="DK14" s="5">
        <v>1E-3</v>
      </c>
      <c r="DL14" s="5">
        <v>1E-3</v>
      </c>
      <c r="DM14" s="5">
        <v>1E-3</v>
      </c>
      <c r="DN14" s="5">
        <v>1E-3</v>
      </c>
      <c r="DO14" s="5">
        <v>1E-3</v>
      </c>
      <c r="DP14" s="5">
        <v>1E-3</v>
      </c>
      <c r="DQ14" s="5">
        <v>1E-3</v>
      </c>
      <c r="DR14" s="5">
        <v>1E-3</v>
      </c>
      <c r="DS14" s="5">
        <v>1E-3</v>
      </c>
      <c r="DT14" s="5">
        <v>1E-3</v>
      </c>
      <c r="DU14" s="5">
        <v>1E-3</v>
      </c>
      <c r="DV14" s="5">
        <v>1E-3</v>
      </c>
      <c r="DW14" s="5">
        <v>1E-3</v>
      </c>
      <c r="DX14" s="5">
        <v>1E-3</v>
      </c>
      <c r="DY14" s="5">
        <v>1E-3</v>
      </c>
      <c r="DZ14" s="5">
        <v>1E-3</v>
      </c>
      <c r="EA14" s="5">
        <v>1E-3</v>
      </c>
      <c r="EB14" s="5">
        <v>1E-3</v>
      </c>
      <c r="EC14" s="5">
        <v>1E-3</v>
      </c>
      <c r="ED14" s="5">
        <v>1E-3</v>
      </c>
      <c r="EE14" s="5">
        <v>1E-3</v>
      </c>
      <c r="EF14" s="5">
        <v>1E-3</v>
      </c>
      <c r="EG14" s="5">
        <v>1E-3</v>
      </c>
      <c r="EH14" s="5">
        <v>1E-3</v>
      </c>
      <c r="EI14" s="5">
        <v>1E-3</v>
      </c>
      <c r="EJ14" s="5">
        <v>1E-3</v>
      </c>
      <c r="EK14" s="5">
        <v>1E-3</v>
      </c>
      <c r="EL14" s="5">
        <v>1E-3</v>
      </c>
      <c r="EM14" s="5">
        <v>1E-3</v>
      </c>
      <c r="EN14" s="5">
        <v>1E-3</v>
      </c>
      <c r="EO14" s="5">
        <v>5.8152499999999998</v>
      </c>
      <c r="EP14" s="5">
        <v>5.2973499999999998</v>
      </c>
      <c r="EQ14" s="5">
        <v>4.6163600000000002</v>
      </c>
      <c r="ER14" s="5">
        <v>5.0938999999999997</v>
      </c>
      <c r="ES14" s="5">
        <v>4.8330099999999998</v>
      </c>
      <c r="ET14" s="5">
        <v>2.4878399999999998</v>
      </c>
      <c r="EU14" s="5">
        <v>1.10701</v>
      </c>
      <c r="EV14" s="5">
        <v>1.3100099999999999</v>
      </c>
      <c r="EW14" s="5">
        <v>1.5602100000000001</v>
      </c>
      <c r="EX14" s="5">
        <v>1.43008</v>
      </c>
      <c r="EY14" s="5">
        <v>1.2319599999999999</v>
      </c>
      <c r="EZ14" s="5">
        <v>1.0097</v>
      </c>
      <c r="FA14" s="5">
        <v>0.80574999999999997</v>
      </c>
      <c r="FB14" s="5">
        <v>0.83750999999999998</v>
      </c>
      <c r="FC14" s="5">
        <v>1.29715</v>
      </c>
      <c r="FD14" s="5">
        <v>1.0484800000000001</v>
      </c>
      <c r="FE14" s="5">
        <v>0.57726999999999995</v>
      </c>
      <c r="FF14" s="5">
        <v>0.50926000000000005</v>
      </c>
      <c r="FG14" s="5">
        <v>0.52205000000000001</v>
      </c>
      <c r="FH14" s="5">
        <v>0.48254999999999998</v>
      </c>
      <c r="FI14" s="5">
        <v>0.318</v>
      </c>
      <c r="FJ14" s="5">
        <v>0.36262</v>
      </c>
      <c r="FK14" s="5">
        <v>0.37408999999999998</v>
      </c>
      <c r="FL14" s="5">
        <v>0.39413999999999999</v>
      </c>
      <c r="FM14" s="5">
        <v>0.50270000000000004</v>
      </c>
      <c r="FN14" s="5">
        <v>0.58128000000000002</v>
      </c>
      <c r="FO14" s="5">
        <v>0.72972999999999999</v>
      </c>
      <c r="FP14" s="5">
        <v>0.90747999999999995</v>
      </c>
      <c r="FQ14" s="5">
        <v>0.97910770000000003</v>
      </c>
      <c r="FR14" s="5">
        <v>0.77225880000000002</v>
      </c>
      <c r="FS14" s="5">
        <v>0.65256449999999999</v>
      </c>
      <c r="FT14" s="5">
        <v>0.72182809999999997</v>
      </c>
      <c r="FU14" s="5">
        <v>0.79340460000000002</v>
      </c>
      <c r="FV14" s="5">
        <v>0.70783030000000002</v>
      </c>
      <c r="FW14" s="5">
        <v>0.4868692</v>
      </c>
      <c r="FX14" s="5">
        <v>0.42560619999999999</v>
      </c>
      <c r="FY14" s="5">
        <v>0.1208545</v>
      </c>
      <c r="FZ14" s="5">
        <v>0.25840619999999997</v>
      </c>
      <c r="GA14" s="5">
        <v>0.31564920000000002</v>
      </c>
      <c r="GB14" s="5">
        <v>0.3102123</v>
      </c>
      <c r="GC14" s="5">
        <v>0.44710460000000002</v>
      </c>
      <c r="GD14" s="5">
        <v>0.67998899999999995</v>
      </c>
      <c r="GE14" s="5">
        <v>0.83303119999999997</v>
      </c>
      <c r="GF14" s="5">
        <v>0.81829079999999998</v>
      </c>
      <c r="GG14" s="5">
        <v>0.87234769999999995</v>
      </c>
      <c r="GH14" s="5">
        <v>0.91356660000000001</v>
      </c>
      <c r="GI14" s="5">
        <v>0.83282659999999997</v>
      </c>
      <c r="GJ14" s="5">
        <v>0.73666160000000003</v>
      </c>
      <c r="GK14" s="5">
        <v>0.50933790000000001</v>
      </c>
      <c r="GL14" s="5">
        <v>0.56899089999999997</v>
      </c>
      <c r="GM14" s="5">
        <v>0.40063850000000001</v>
      </c>
      <c r="GN14" s="5">
        <v>4.8140000000000002E-2</v>
      </c>
      <c r="GO14" s="5">
        <v>-4.6777300000000001E-2</v>
      </c>
      <c r="GP14" s="5">
        <v>-3.1698499999999998E-2</v>
      </c>
      <c r="GQ14" s="5">
        <v>2.943438E-2</v>
      </c>
      <c r="GR14" s="5">
        <v>0.14078309999999999</v>
      </c>
      <c r="GS14" s="5">
        <v>0.27432119999999999</v>
      </c>
      <c r="GT14" s="5">
        <v>0.86002880000000004</v>
      </c>
      <c r="GU14" s="5">
        <v>1.562864</v>
      </c>
      <c r="GV14" s="5">
        <v>2.3736320000000002</v>
      </c>
      <c r="GW14" s="5">
        <v>3.443794</v>
      </c>
      <c r="GX14" s="5">
        <v>4.5538879999999997</v>
      </c>
      <c r="GY14" s="5">
        <v>4.2135749999999996</v>
      </c>
      <c r="GZ14" s="5">
        <v>4.8666429999999998</v>
      </c>
      <c r="HA14" s="5">
        <v>5.5906320000000003</v>
      </c>
      <c r="HB14" s="5">
        <v>4.760923</v>
      </c>
      <c r="HC14" s="6">
        <v>4.3923019999999999</v>
      </c>
      <c r="HD14" s="6">
        <v>4.3043209999999998</v>
      </c>
      <c r="HE14" s="6">
        <v>4.2107760000000001</v>
      </c>
      <c r="HF14" s="6">
        <v>4.084956</v>
      </c>
      <c r="HG14" s="6">
        <v>3.9433880000000001</v>
      </c>
      <c r="HH14" s="6">
        <v>3.767509</v>
      </c>
      <c r="HI14" s="6">
        <v>3.6042649999999998</v>
      </c>
      <c r="HJ14" s="6">
        <v>3.4418570000000002</v>
      </c>
      <c r="HK14" s="6">
        <v>3.2300819999999999</v>
      </c>
      <c r="HL14" s="6">
        <v>2.9999410000000002</v>
      </c>
      <c r="HM14" s="6">
        <v>2.7719719999999999</v>
      </c>
      <c r="HN14" s="6">
        <v>2.549874</v>
      </c>
      <c r="HO14" s="6">
        <v>2.3171409999999999</v>
      </c>
      <c r="HP14" s="6">
        <v>2.1531880000000001</v>
      </c>
      <c r="HQ14" s="6">
        <v>2.1064639999999999</v>
      </c>
      <c r="HR14" s="6">
        <v>2.1064639999999999</v>
      </c>
      <c r="HS14" s="6">
        <v>2.1064639999999999</v>
      </c>
      <c r="HT14" s="6">
        <v>2.1064639999999999</v>
      </c>
      <c r="HU14" s="6">
        <v>2.1064639999999999</v>
      </c>
      <c r="HV14" s="6">
        <v>2.1064639999999999</v>
      </c>
      <c r="HW14" s="6">
        <v>2.1064639999999999</v>
      </c>
      <c r="HX14" s="6">
        <v>2.1064639999999999</v>
      </c>
      <c r="HY14" s="6">
        <v>2.1064639999999999</v>
      </c>
      <c r="HZ14" s="6">
        <v>2.1064639999999999</v>
      </c>
      <c r="IA14" s="6">
        <v>2.1064639999999999</v>
      </c>
      <c r="IB14" s="6">
        <v>2.1064639999999999</v>
      </c>
      <c r="IC14" s="6">
        <v>2.1064639999999999</v>
      </c>
      <c r="ID14" s="6">
        <v>2.1064639999999999</v>
      </c>
      <c r="IE14" s="6">
        <v>2.1064639999999999</v>
      </c>
      <c r="IF14" s="6">
        <v>2.1064639999999999</v>
      </c>
      <c r="IG14" s="6">
        <v>2.1064639999999999</v>
      </c>
      <c r="IH14" s="6">
        <v>2.1064639999999999</v>
      </c>
      <c r="II14" s="6">
        <v>2.1064639999999999</v>
      </c>
      <c r="IJ14" s="6">
        <v>2.1064639999999999</v>
      </c>
      <c r="IK14" s="6">
        <v>2.1064639999999999</v>
      </c>
      <c r="IL14" s="6">
        <v>2.1064639999999999</v>
      </c>
      <c r="IM14" s="6">
        <v>2.1064639999999999</v>
      </c>
      <c r="IN14" s="6">
        <v>2.1064639999999999</v>
      </c>
      <c r="IO14" s="6">
        <v>2.1064639999999999</v>
      </c>
      <c r="IP14" s="6">
        <v>2.1064639999999999</v>
      </c>
      <c r="IQ14" s="6">
        <v>2.1064639999999999</v>
      </c>
      <c r="IR14" s="6">
        <v>2.1064639999999999</v>
      </c>
      <c r="IS14" s="6">
        <v>2.1064639999999999</v>
      </c>
      <c r="IT14" s="6">
        <v>2.1064639999999999</v>
      </c>
      <c r="IU14" s="6">
        <v>2.1064639999999999</v>
      </c>
      <c r="IV14" s="6">
        <v>2.1064639999999999</v>
      </c>
      <c r="IW14" s="6">
        <v>2.1064639999999999</v>
      </c>
      <c r="IX14" s="6">
        <v>2.1064639999999999</v>
      </c>
      <c r="IY14" s="6">
        <v>2.1064639999999999</v>
      </c>
      <c r="IZ14" s="6">
        <v>2.1064639999999999</v>
      </c>
      <c r="JA14" s="6">
        <v>2.1064639999999999</v>
      </c>
      <c r="JB14" s="6">
        <v>2.1064639999999999</v>
      </c>
      <c r="JC14" s="6">
        <v>2.1064639999999999</v>
      </c>
      <c r="JD14" s="6">
        <v>2.1064639999999999</v>
      </c>
      <c r="JE14" s="6">
        <v>2.1064639999999999</v>
      </c>
      <c r="JF14" s="6">
        <v>2.1064639999999999</v>
      </c>
      <c r="JG14" s="6">
        <v>2.1064639999999999</v>
      </c>
      <c r="JH14" s="6">
        <v>2.1064639999999999</v>
      </c>
      <c r="JI14" s="6">
        <v>2.1064639999999999</v>
      </c>
      <c r="JJ14" s="6">
        <v>2.1064639999999999</v>
      </c>
      <c r="JK14" s="6">
        <v>2.1064639999999999</v>
      </c>
      <c r="JL14" s="6">
        <v>2.1064639999999999</v>
      </c>
      <c r="JM14" s="6">
        <v>2.1064639999999999</v>
      </c>
      <c r="JN14" s="6">
        <v>2.1064639999999999</v>
      </c>
      <c r="JO14" s="6">
        <v>2.1064639999999999</v>
      </c>
      <c r="JP14" s="6">
        <v>2.1064639999999999</v>
      </c>
      <c r="JQ14" s="6">
        <v>2.1064639999999999</v>
      </c>
      <c r="JR14" s="6">
        <v>2.1064639999999999</v>
      </c>
      <c r="JS14" s="6">
        <v>2.1064639999999999</v>
      </c>
      <c r="JT14" s="6">
        <v>2.1064639999999999</v>
      </c>
      <c r="JU14" s="6">
        <v>2.1064639999999999</v>
      </c>
      <c r="JV14" s="6">
        <v>2.1064639999999999</v>
      </c>
      <c r="JW14" s="6">
        <v>2.1064639999999999</v>
      </c>
      <c r="JX14" s="6">
        <v>2.1064639999999999</v>
      </c>
      <c r="JY14" s="6">
        <v>2.1064639999999999</v>
      </c>
      <c r="JZ14" s="6">
        <v>2.1064639999999999</v>
      </c>
      <c r="KA14" s="6">
        <v>2.1064639999999999</v>
      </c>
      <c r="KB14" s="6">
        <v>2.1064639999999999</v>
      </c>
      <c r="KC14" s="6">
        <v>2.1064639999999999</v>
      </c>
      <c r="KD14" s="6">
        <v>2.1064639999999999</v>
      </c>
      <c r="KE14" s="6">
        <v>2.1064639999999999</v>
      </c>
      <c r="KF14" s="6">
        <v>2.1064639999999999</v>
      </c>
      <c r="KG14" s="6">
        <v>2.1064639999999999</v>
      </c>
      <c r="KH14" s="6">
        <v>2.1064639999999999</v>
      </c>
      <c r="KI14" s="6">
        <v>2.1064639999999999</v>
      </c>
      <c r="KJ14" s="6">
        <v>2.1064639999999999</v>
      </c>
      <c r="KK14" s="6">
        <v>2.1064639999999999</v>
      </c>
      <c r="KL14" s="6">
        <v>2.1064639999999999</v>
      </c>
      <c r="KM14" s="6">
        <v>2.1064639999999999</v>
      </c>
      <c r="KN14" s="6">
        <v>2.1064639999999999</v>
      </c>
      <c r="KO14" s="6">
        <v>2.1064639999999999</v>
      </c>
      <c r="KP14" s="6">
        <v>2.1064639999999999</v>
      </c>
      <c r="KQ14" s="6">
        <v>2.1064639999999999</v>
      </c>
      <c r="KR14" s="6">
        <v>2.1064639999999999</v>
      </c>
      <c r="KS14" s="6">
        <v>2.1064639999999999</v>
      </c>
      <c r="KT14" s="6">
        <v>2.1064639999999999</v>
      </c>
      <c r="KU14" s="6">
        <v>2.1064639999999999</v>
      </c>
      <c r="KV14" s="6">
        <v>2.1064639999999999</v>
      </c>
      <c r="KW14" s="6">
        <v>2.1064639999999999</v>
      </c>
      <c r="KX14" s="6">
        <v>2.1064639999999999</v>
      </c>
      <c r="KY14" s="6">
        <v>2.1064639999999999</v>
      </c>
      <c r="KZ14" s="6">
        <v>2.1064639999999999</v>
      </c>
      <c r="LA14" s="6">
        <v>2.1064639999999999</v>
      </c>
      <c r="LB14" s="6">
        <v>2.1064639999999999</v>
      </c>
      <c r="LC14" s="6">
        <v>2.1064639999999999</v>
      </c>
      <c r="LD14" s="6">
        <v>2.1064639999999999</v>
      </c>
      <c r="LE14" s="6">
        <v>2.1064639999999999</v>
      </c>
      <c r="LF14" s="6">
        <v>2.1064639999999999</v>
      </c>
      <c r="LG14" s="4" t="s">
        <v>396</v>
      </c>
      <c r="LH14" s="2" t="s">
        <v>348</v>
      </c>
      <c r="LI14" s="2" t="s">
        <v>338</v>
      </c>
      <c r="LJ14" s="2" t="s">
        <v>338</v>
      </c>
      <c r="LK14" s="2" t="s">
        <v>339</v>
      </c>
      <c r="LL14" s="2" t="s">
        <v>623</v>
      </c>
      <c r="LM14" s="2" t="s">
        <v>338</v>
      </c>
      <c r="LN14" s="4" t="s">
        <v>397</v>
      </c>
      <c r="LO14" s="4" t="s">
        <v>398</v>
      </c>
      <c r="LP14" s="2" t="s">
        <v>343</v>
      </c>
      <c r="LQ14" s="4" t="s">
        <v>399</v>
      </c>
      <c r="LR14" s="4" t="s">
        <v>659</v>
      </c>
      <c r="LS14"/>
      <c r="LT14"/>
      <c r="LU14"/>
      <c r="LV14"/>
      <c r="LW14"/>
      <c r="LX14"/>
    </row>
    <row r="15" spans="1:336" x14ac:dyDescent="0.35">
      <c r="A15" s="2" t="s">
        <v>330</v>
      </c>
      <c r="B15" s="4" t="s">
        <v>400</v>
      </c>
      <c r="C15" s="4" t="s">
        <v>658</v>
      </c>
      <c r="D15" s="2" t="s">
        <v>346</v>
      </c>
      <c r="E15" s="2" t="s">
        <v>338</v>
      </c>
      <c r="F15" s="2" t="s">
        <v>334</v>
      </c>
      <c r="G15" s="5">
        <v>1E-3</v>
      </c>
      <c r="H15" s="5">
        <v>1E-3</v>
      </c>
      <c r="I15" s="5">
        <v>1E-3</v>
      </c>
      <c r="J15" s="5">
        <v>1E-3</v>
      </c>
      <c r="K15" s="5">
        <v>1E-3</v>
      </c>
      <c r="L15" s="5">
        <v>1E-3</v>
      </c>
      <c r="M15" s="5">
        <v>1E-3</v>
      </c>
      <c r="N15" s="5">
        <v>1E-3</v>
      </c>
      <c r="O15" s="5">
        <v>1E-3</v>
      </c>
      <c r="P15" s="5">
        <v>1E-3</v>
      </c>
      <c r="Q15" s="5">
        <v>1E-3</v>
      </c>
      <c r="R15" s="5">
        <v>1E-3</v>
      </c>
      <c r="S15" s="5">
        <v>1E-3</v>
      </c>
      <c r="T15" s="5">
        <v>1E-3</v>
      </c>
      <c r="U15" s="5">
        <v>1E-3</v>
      </c>
      <c r="V15" s="5">
        <v>1E-3</v>
      </c>
      <c r="W15" s="5">
        <v>1E-3</v>
      </c>
      <c r="X15" s="5">
        <v>1E-3</v>
      </c>
      <c r="Y15" s="5">
        <v>1E-3</v>
      </c>
      <c r="Z15" s="5">
        <v>1E-3</v>
      </c>
      <c r="AA15" s="5">
        <v>1E-3</v>
      </c>
      <c r="AB15" s="5">
        <v>1E-3</v>
      </c>
      <c r="AC15" s="5">
        <v>1E-3</v>
      </c>
      <c r="AD15" s="5">
        <v>1E-3</v>
      </c>
      <c r="AE15" s="5">
        <v>1E-3</v>
      </c>
      <c r="AF15" s="5">
        <v>1E-3</v>
      </c>
      <c r="AG15" s="5">
        <v>1E-3</v>
      </c>
      <c r="AH15" s="5">
        <v>1E-3</v>
      </c>
      <c r="AI15" s="5">
        <v>1E-3</v>
      </c>
      <c r="AJ15" s="5">
        <v>1E-3</v>
      </c>
      <c r="AK15" s="5">
        <v>1E-3</v>
      </c>
      <c r="AL15" s="5">
        <v>1E-3</v>
      </c>
      <c r="AM15" s="5">
        <v>1E-3</v>
      </c>
      <c r="AN15" s="5">
        <v>1E-3</v>
      </c>
      <c r="AO15" s="5">
        <v>1E-3</v>
      </c>
      <c r="AP15" s="5">
        <v>1E-3</v>
      </c>
      <c r="AQ15" s="5">
        <v>1E-3</v>
      </c>
      <c r="AR15" s="5">
        <v>1E-3</v>
      </c>
      <c r="AS15" s="5">
        <v>1E-3</v>
      </c>
      <c r="AT15" s="5">
        <v>1E-3</v>
      </c>
      <c r="AU15" s="5">
        <v>1E-3</v>
      </c>
      <c r="AV15" s="5">
        <v>1E-3</v>
      </c>
      <c r="AW15" s="5">
        <v>1E-3</v>
      </c>
      <c r="AX15" s="5">
        <v>1E-3</v>
      </c>
      <c r="AY15" s="5">
        <v>1E-3</v>
      </c>
      <c r="AZ15" s="5">
        <v>1E-3</v>
      </c>
      <c r="BA15" s="5">
        <v>1E-3</v>
      </c>
      <c r="BB15" s="5">
        <v>1E-3</v>
      </c>
      <c r="BC15" s="5">
        <v>1E-3</v>
      </c>
      <c r="BD15" s="5">
        <v>1E-3</v>
      </c>
      <c r="BE15" s="5">
        <v>1E-3</v>
      </c>
      <c r="BF15" s="5">
        <v>1E-3</v>
      </c>
      <c r="BG15" s="5">
        <v>1E-3</v>
      </c>
      <c r="BH15" s="5">
        <v>1E-3</v>
      </c>
      <c r="BI15" s="5">
        <v>1E-3</v>
      </c>
      <c r="BJ15" s="5">
        <v>1E-3</v>
      </c>
      <c r="BK15" s="5">
        <v>1E-3</v>
      </c>
      <c r="BL15" s="5">
        <v>1E-3</v>
      </c>
      <c r="BM15" s="5">
        <v>1E-3</v>
      </c>
      <c r="BN15" s="5">
        <v>1E-3</v>
      </c>
      <c r="BO15" s="5">
        <v>1E-3</v>
      </c>
      <c r="BP15" s="5">
        <v>1E-3</v>
      </c>
      <c r="BQ15" s="5">
        <v>1E-3</v>
      </c>
      <c r="BR15" s="5">
        <v>1E-3</v>
      </c>
      <c r="BS15" s="5">
        <v>1E-3</v>
      </c>
      <c r="BT15" s="5">
        <v>1E-3</v>
      </c>
      <c r="BU15" s="5">
        <v>1E-3</v>
      </c>
      <c r="BV15" s="5">
        <v>1E-3</v>
      </c>
      <c r="BW15" s="5">
        <v>1E-3</v>
      </c>
      <c r="BX15" s="5">
        <v>1E-3</v>
      </c>
      <c r="BY15" s="5">
        <v>1E-3</v>
      </c>
      <c r="BZ15" s="5">
        <v>1E-3</v>
      </c>
      <c r="CA15" s="5">
        <v>1E-3</v>
      </c>
      <c r="CB15" s="5">
        <v>1E-3</v>
      </c>
      <c r="CC15" s="5">
        <v>1E-3</v>
      </c>
      <c r="CD15" s="5">
        <v>1E-3</v>
      </c>
      <c r="CE15" s="5">
        <v>1E-3</v>
      </c>
      <c r="CF15" s="5">
        <v>1E-3</v>
      </c>
      <c r="CG15" s="5">
        <v>1E-3</v>
      </c>
      <c r="CH15" s="5">
        <v>1E-3</v>
      </c>
      <c r="CI15" s="5">
        <v>1E-3</v>
      </c>
      <c r="CJ15" s="5">
        <v>1E-3</v>
      </c>
      <c r="CK15" s="5">
        <v>1E-3</v>
      </c>
      <c r="CL15" s="5">
        <v>1E-3</v>
      </c>
      <c r="CM15" s="5">
        <v>1E-3</v>
      </c>
      <c r="CN15" s="5">
        <v>1E-3</v>
      </c>
      <c r="CO15" s="5">
        <v>1E-3</v>
      </c>
      <c r="CP15" s="5">
        <v>1E-3</v>
      </c>
      <c r="CQ15" s="5">
        <v>1E-3</v>
      </c>
      <c r="CR15" s="5">
        <v>1E-3</v>
      </c>
      <c r="CS15" s="5">
        <v>1E-3</v>
      </c>
      <c r="CT15" s="5">
        <v>1E-3</v>
      </c>
      <c r="CU15" s="5">
        <v>1E-3</v>
      </c>
      <c r="CV15" s="5">
        <v>1E-3</v>
      </c>
      <c r="CW15" s="5">
        <v>1E-3</v>
      </c>
      <c r="CX15" s="5">
        <v>1E-3</v>
      </c>
      <c r="CY15" s="5">
        <v>1E-3</v>
      </c>
      <c r="CZ15" s="5">
        <v>1E-3</v>
      </c>
      <c r="DA15" s="5">
        <v>1E-3</v>
      </c>
      <c r="DB15" s="5">
        <v>1E-3</v>
      </c>
      <c r="DC15" s="5">
        <v>1E-3</v>
      </c>
      <c r="DD15" s="5">
        <v>1E-3</v>
      </c>
      <c r="DE15" s="5">
        <v>1E-3</v>
      </c>
      <c r="DF15" s="5">
        <v>1E-3</v>
      </c>
      <c r="DG15" s="5">
        <v>1E-3</v>
      </c>
      <c r="DH15" s="5">
        <v>1E-3</v>
      </c>
      <c r="DI15" s="5">
        <v>1E-3</v>
      </c>
      <c r="DJ15" s="5">
        <v>1E-3</v>
      </c>
      <c r="DK15" s="5">
        <v>1E-3</v>
      </c>
      <c r="DL15" s="5">
        <v>1E-3</v>
      </c>
      <c r="DM15" s="5">
        <v>1E-3</v>
      </c>
      <c r="DN15" s="5">
        <v>1E-3</v>
      </c>
      <c r="DO15" s="5">
        <v>1E-3</v>
      </c>
      <c r="DP15" s="5">
        <v>1E-3</v>
      </c>
      <c r="DQ15" s="5">
        <v>1E-3</v>
      </c>
      <c r="DR15" s="5">
        <v>1E-3</v>
      </c>
      <c r="DS15" s="5">
        <v>1E-3</v>
      </c>
      <c r="DT15" s="5">
        <v>1E-3</v>
      </c>
      <c r="DU15" s="5">
        <v>1E-3</v>
      </c>
      <c r="DV15" s="5">
        <v>1E-3</v>
      </c>
      <c r="DW15" s="5">
        <v>1E-3</v>
      </c>
      <c r="DX15" s="5">
        <v>1E-3</v>
      </c>
      <c r="DY15" s="5">
        <v>1E-3</v>
      </c>
      <c r="DZ15" s="5">
        <v>1E-3</v>
      </c>
      <c r="EA15" s="5">
        <v>1E-3</v>
      </c>
      <c r="EB15" s="5">
        <v>1E-3</v>
      </c>
      <c r="EC15" s="5">
        <v>1E-3</v>
      </c>
      <c r="ED15" s="5">
        <v>1E-3</v>
      </c>
      <c r="EE15" s="5">
        <v>1E-3</v>
      </c>
      <c r="EF15" s="5">
        <v>1E-3</v>
      </c>
      <c r="EG15" s="5">
        <v>1E-3</v>
      </c>
      <c r="EH15" s="5">
        <v>1E-3</v>
      </c>
      <c r="EI15" s="5">
        <v>1E-3</v>
      </c>
      <c r="EJ15" s="5">
        <v>1E-3</v>
      </c>
      <c r="EK15" s="5">
        <v>1E-3</v>
      </c>
      <c r="EL15" s="5">
        <v>1E-3</v>
      </c>
      <c r="EM15" s="5">
        <v>1E-3</v>
      </c>
      <c r="EN15" s="5">
        <v>1E-3</v>
      </c>
      <c r="EO15" s="5">
        <v>1E-3</v>
      </c>
      <c r="EP15" s="5">
        <v>1E-3</v>
      </c>
      <c r="EQ15" s="5">
        <v>1E-3</v>
      </c>
      <c r="ER15" s="5">
        <v>1E-3</v>
      </c>
      <c r="ES15" s="5">
        <v>1E-3</v>
      </c>
      <c r="ET15" s="5">
        <v>1E-3</v>
      </c>
      <c r="EU15" s="5">
        <v>1E-3</v>
      </c>
      <c r="EV15" s="5">
        <v>1E-3</v>
      </c>
      <c r="EW15" s="5">
        <v>1E-3</v>
      </c>
      <c r="EX15" s="5">
        <v>1E-3</v>
      </c>
      <c r="EY15" s="5">
        <v>1E-3</v>
      </c>
      <c r="EZ15" s="5">
        <v>1E-3</v>
      </c>
      <c r="FA15" s="5">
        <v>1E-3</v>
      </c>
      <c r="FB15" s="5">
        <v>1E-3</v>
      </c>
      <c r="FC15" s="5">
        <v>1E-3</v>
      </c>
      <c r="FD15" s="5">
        <v>1E-3</v>
      </c>
      <c r="FE15" s="5">
        <v>1E-3</v>
      </c>
      <c r="FF15" s="5">
        <v>1E-3</v>
      </c>
      <c r="FG15" s="5">
        <v>1E-3</v>
      </c>
      <c r="FH15" s="5">
        <v>1E-3</v>
      </c>
      <c r="FI15" s="5">
        <v>1E-3</v>
      </c>
      <c r="FJ15" s="5">
        <v>1E-3</v>
      </c>
      <c r="FK15" s="5">
        <v>1E-3</v>
      </c>
      <c r="FL15" s="5">
        <v>1E-3</v>
      </c>
      <c r="FM15" s="5">
        <v>1E-3</v>
      </c>
      <c r="FN15" s="5">
        <v>1E-3</v>
      </c>
      <c r="FO15" s="5">
        <v>1E-3</v>
      </c>
      <c r="FP15" s="5">
        <v>1E-3</v>
      </c>
      <c r="FQ15" s="5">
        <v>1.6628039999999999</v>
      </c>
      <c r="FR15" s="5">
        <v>1.3238080000000001</v>
      </c>
      <c r="FS15" s="5">
        <v>1.0758099999999999</v>
      </c>
      <c r="FT15" s="5">
        <v>1.2271669999999999</v>
      </c>
      <c r="FU15" s="5">
        <v>1.3077449999999999</v>
      </c>
      <c r="FV15" s="5">
        <v>1.1407590000000001</v>
      </c>
      <c r="FW15" s="5">
        <v>0.7460831</v>
      </c>
      <c r="FX15" s="5">
        <v>0.61635689999999999</v>
      </c>
      <c r="FY15" s="5">
        <v>0.20009389999999999</v>
      </c>
      <c r="FZ15" s="5">
        <v>0.51158150000000002</v>
      </c>
      <c r="GA15" s="5">
        <v>0.5734416</v>
      </c>
      <c r="GB15" s="5">
        <v>0.51767390000000002</v>
      </c>
      <c r="GC15" s="5">
        <v>0.67274920000000005</v>
      </c>
      <c r="GD15" s="5">
        <v>0.89198120000000003</v>
      </c>
      <c r="GE15" s="5">
        <v>1.092973</v>
      </c>
      <c r="GF15" s="5">
        <v>1.0622720000000001</v>
      </c>
      <c r="GG15" s="5">
        <v>1.0784629999999999</v>
      </c>
      <c r="GH15" s="5">
        <v>1.117405</v>
      </c>
      <c r="GI15" s="5">
        <v>0.98093589999999997</v>
      </c>
      <c r="GJ15" s="5">
        <v>0.83509840000000002</v>
      </c>
      <c r="GK15" s="5">
        <v>0.48114400000000002</v>
      </c>
      <c r="GL15" s="5">
        <v>0.57794239999999997</v>
      </c>
      <c r="GM15" s="5">
        <v>0.43880459999999999</v>
      </c>
      <c r="GN15" s="5">
        <v>0.1120569</v>
      </c>
      <c r="GO15" s="5">
        <v>-2.2577300000000002E-2</v>
      </c>
      <c r="GP15" s="5">
        <v>2.346061E-2</v>
      </c>
      <c r="GQ15" s="5">
        <v>0.2252266</v>
      </c>
      <c r="GR15" s="5">
        <v>0.45630769999999998</v>
      </c>
      <c r="GS15" s="5">
        <v>0.47962579999999999</v>
      </c>
      <c r="GT15" s="5">
        <v>0.94125300000000001</v>
      </c>
      <c r="GU15" s="5">
        <v>1.5181469999999999</v>
      </c>
      <c r="GV15" s="5">
        <v>2.2661720000000001</v>
      </c>
      <c r="GW15" s="5">
        <v>3.0635319999999999</v>
      </c>
      <c r="GX15" s="5">
        <v>4.1811449999999999</v>
      </c>
      <c r="GY15" s="5">
        <v>3.7578680000000002</v>
      </c>
      <c r="GZ15" s="5">
        <v>4.2907570000000002</v>
      </c>
      <c r="HA15" s="5">
        <v>4.8693939999999998</v>
      </c>
      <c r="HB15" s="5">
        <v>4.2015229999999999</v>
      </c>
      <c r="HC15" s="6">
        <v>3.8185210000000001</v>
      </c>
      <c r="HD15" s="6">
        <v>3.808001</v>
      </c>
      <c r="HE15" s="6">
        <v>3.7355879999999999</v>
      </c>
      <c r="HF15" s="6">
        <v>3.671713</v>
      </c>
      <c r="HG15" s="6">
        <v>3.6422099999999999</v>
      </c>
      <c r="HH15" s="6">
        <v>3.5811269999999999</v>
      </c>
      <c r="HI15" s="6">
        <v>3.5143520000000001</v>
      </c>
      <c r="HJ15" s="6">
        <v>3.3982739999999998</v>
      </c>
      <c r="HK15" s="6">
        <v>3.2376610000000001</v>
      </c>
      <c r="HL15" s="6">
        <v>3.057115</v>
      </c>
      <c r="HM15" s="6">
        <v>2.8741569999999999</v>
      </c>
      <c r="HN15" s="6">
        <v>2.7033489999999998</v>
      </c>
      <c r="HO15" s="6">
        <v>2.559761</v>
      </c>
      <c r="HP15" s="6">
        <v>2.4788779999999999</v>
      </c>
      <c r="HQ15" s="6">
        <v>2.4334720000000001</v>
      </c>
      <c r="HR15" s="6">
        <v>2.4334739999999999</v>
      </c>
      <c r="HS15" s="6">
        <v>2.4334739999999999</v>
      </c>
      <c r="HT15" s="6">
        <v>2.4334739999999999</v>
      </c>
      <c r="HU15" s="6">
        <v>2.4334739999999999</v>
      </c>
      <c r="HV15" s="6">
        <v>2.4334739999999999</v>
      </c>
      <c r="HW15" s="6">
        <v>2.4334739999999999</v>
      </c>
      <c r="HX15" s="6">
        <v>2.4334739999999999</v>
      </c>
      <c r="HY15" s="6">
        <v>2.4334739999999999</v>
      </c>
      <c r="HZ15" s="6">
        <v>2.4334739999999999</v>
      </c>
      <c r="IA15" s="6">
        <v>2.4334739999999999</v>
      </c>
      <c r="IB15" s="6">
        <v>2.4334739999999999</v>
      </c>
      <c r="IC15" s="6">
        <v>2.4334739999999999</v>
      </c>
      <c r="ID15" s="6">
        <v>2.4334739999999999</v>
      </c>
      <c r="IE15" s="6">
        <v>2.4334739999999999</v>
      </c>
      <c r="IF15" s="6">
        <v>2.4334739999999999</v>
      </c>
      <c r="IG15" s="6">
        <v>2.4334739999999999</v>
      </c>
      <c r="IH15" s="6">
        <v>2.4334739999999999</v>
      </c>
      <c r="II15" s="6">
        <v>2.4334739999999999</v>
      </c>
      <c r="IJ15" s="6">
        <v>2.4334739999999999</v>
      </c>
      <c r="IK15" s="6">
        <v>2.4334739999999999</v>
      </c>
      <c r="IL15" s="6">
        <v>2.4334739999999999</v>
      </c>
      <c r="IM15" s="6">
        <v>2.4334739999999999</v>
      </c>
      <c r="IN15" s="6">
        <v>2.4334739999999999</v>
      </c>
      <c r="IO15" s="6">
        <v>2.4334739999999999</v>
      </c>
      <c r="IP15" s="6">
        <v>2.4334739999999999</v>
      </c>
      <c r="IQ15" s="6">
        <v>2.4334739999999999</v>
      </c>
      <c r="IR15" s="6">
        <v>2.4334739999999999</v>
      </c>
      <c r="IS15" s="6">
        <v>2.4334739999999999</v>
      </c>
      <c r="IT15" s="6">
        <v>2.4334739999999999</v>
      </c>
      <c r="IU15" s="6">
        <v>2.4334739999999999</v>
      </c>
      <c r="IV15" s="6">
        <v>2.4334739999999999</v>
      </c>
      <c r="IW15" s="6">
        <v>2.4334739999999999</v>
      </c>
      <c r="IX15" s="6">
        <v>2.4334739999999999</v>
      </c>
      <c r="IY15" s="6">
        <v>2.4334739999999999</v>
      </c>
      <c r="IZ15" s="6">
        <v>2.4334739999999999</v>
      </c>
      <c r="JA15" s="6">
        <v>2.4334739999999999</v>
      </c>
      <c r="JB15" s="6">
        <v>2.4334739999999999</v>
      </c>
      <c r="JC15" s="6">
        <v>2.4334739999999999</v>
      </c>
      <c r="JD15" s="6">
        <v>2.4334739999999999</v>
      </c>
      <c r="JE15" s="6">
        <v>2.4334739999999999</v>
      </c>
      <c r="JF15" s="6">
        <v>2.4334739999999999</v>
      </c>
      <c r="JG15" s="6">
        <v>2.4334739999999999</v>
      </c>
      <c r="JH15" s="6">
        <v>2.4334739999999999</v>
      </c>
      <c r="JI15" s="6">
        <v>2.4334739999999999</v>
      </c>
      <c r="JJ15" s="6">
        <v>2.4334739999999999</v>
      </c>
      <c r="JK15" s="6">
        <v>2.4334739999999999</v>
      </c>
      <c r="JL15" s="6">
        <v>2.4334739999999999</v>
      </c>
      <c r="JM15" s="6">
        <v>2.4334739999999999</v>
      </c>
      <c r="JN15" s="6">
        <v>2.4334739999999999</v>
      </c>
      <c r="JO15" s="6">
        <v>2.4334739999999999</v>
      </c>
      <c r="JP15" s="6">
        <v>2.4334739999999999</v>
      </c>
      <c r="JQ15" s="6">
        <v>2.4334739999999999</v>
      </c>
      <c r="JR15" s="6">
        <v>2.4334739999999999</v>
      </c>
      <c r="JS15" s="6">
        <v>2.4334739999999999</v>
      </c>
      <c r="JT15" s="6">
        <v>2.4334739999999999</v>
      </c>
      <c r="JU15" s="6">
        <v>2.4334739999999999</v>
      </c>
      <c r="JV15" s="6">
        <v>2.4334739999999999</v>
      </c>
      <c r="JW15" s="6">
        <v>2.4334739999999999</v>
      </c>
      <c r="JX15" s="6">
        <v>2.4334739999999999</v>
      </c>
      <c r="JY15" s="6">
        <v>2.4334739999999999</v>
      </c>
      <c r="JZ15" s="6">
        <v>2.4334739999999999</v>
      </c>
      <c r="KA15" s="6">
        <v>2.4334739999999999</v>
      </c>
      <c r="KB15" s="6">
        <v>2.4334739999999999</v>
      </c>
      <c r="KC15" s="6">
        <v>2.4334739999999999</v>
      </c>
      <c r="KD15" s="6">
        <v>2.4334739999999999</v>
      </c>
      <c r="KE15" s="6">
        <v>2.4334739999999999</v>
      </c>
      <c r="KF15" s="6">
        <v>2.4334739999999999</v>
      </c>
      <c r="KG15" s="6">
        <v>2.4334739999999999</v>
      </c>
      <c r="KH15" s="6">
        <v>2.4334739999999999</v>
      </c>
      <c r="KI15" s="6">
        <v>2.4334739999999999</v>
      </c>
      <c r="KJ15" s="6">
        <v>2.4334739999999999</v>
      </c>
      <c r="KK15" s="6">
        <v>2.4334739999999999</v>
      </c>
      <c r="KL15" s="6">
        <v>2.4334739999999999</v>
      </c>
      <c r="KM15" s="6">
        <v>2.4334739999999999</v>
      </c>
      <c r="KN15" s="6">
        <v>2.4334739999999999</v>
      </c>
      <c r="KO15" s="6">
        <v>2.4334739999999999</v>
      </c>
      <c r="KP15" s="6">
        <v>2.4334739999999999</v>
      </c>
      <c r="KQ15" s="6">
        <v>2.4334739999999999</v>
      </c>
      <c r="KR15" s="6">
        <v>2.4334739999999999</v>
      </c>
      <c r="KS15" s="6">
        <v>2.4334739999999999</v>
      </c>
      <c r="KT15" s="6">
        <v>2.4334739999999999</v>
      </c>
      <c r="KU15" s="6">
        <v>2.4334739999999999</v>
      </c>
      <c r="KV15" s="6">
        <v>2.4334739999999999</v>
      </c>
      <c r="KW15" s="6">
        <v>2.4334739999999999</v>
      </c>
      <c r="KX15" s="6">
        <v>2.4334739999999999</v>
      </c>
      <c r="KY15" s="6">
        <v>2.4334739999999999</v>
      </c>
      <c r="KZ15" s="6">
        <v>2.4334739999999999</v>
      </c>
      <c r="LA15" s="6">
        <v>2.4334739999999999</v>
      </c>
      <c r="LB15" s="6">
        <v>2.4334739999999999</v>
      </c>
      <c r="LC15" s="6">
        <v>2.4334739999999999</v>
      </c>
      <c r="LD15" s="6">
        <v>2.4334739999999999</v>
      </c>
      <c r="LE15" s="6">
        <v>2.4334739999999999</v>
      </c>
      <c r="LF15" s="6">
        <v>2.4334739999999999</v>
      </c>
      <c r="LG15" s="4" t="s">
        <v>401</v>
      </c>
      <c r="LH15" s="2" t="s">
        <v>348</v>
      </c>
      <c r="LI15" s="2" t="s">
        <v>338</v>
      </c>
      <c r="LJ15" s="2" t="s">
        <v>338</v>
      </c>
      <c r="LK15" s="2" t="s">
        <v>339</v>
      </c>
      <c r="LL15" s="2" t="s">
        <v>623</v>
      </c>
      <c r="LM15" s="2" t="s">
        <v>338</v>
      </c>
      <c r="LN15" s="4" t="s">
        <v>402</v>
      </c>
      <c r="LO15" s="4" t="s">
        <v>403</v>
      </c>
      <c r="LP15" s="2" t="s">
        <v>343</v>
      </c>
      <c r="LQ15" s="4" t="s">
        <v>404</v>
      </c>
      <c r="LR15" s="4" t="s">
        <v>659</v>
      </c>
      <c r="LS15"/>
      <c r="LT15"/>
      <c r="LU15"/>
      <c r="LV15"/>
      <c r="LW15"/>
      <c r="LX15"/>
    </row>
    <row r="16" spans="1:336" x14ac:dyDescent="0.35">
      <c r="A16" s="2" t="s">
        <v>330</v>
      </c>
      <c r="B16" s="2" t="s">
        <v>405</v>
      </c>
      <c r="C16" s="4" t="s">
        <v>658</v>
      </c>
      <c r="D16" s="2" t="s">
        <v>406</v>
      </c>
      <c r="E16" s="2" t="s">
        <v>338</v>
      </c>
      <c r="F16" s="2" t="s">
        <v>334</v>
      </c>
      <c r="G16" s="5">
        <v>1E-3</v>
      </c>
      <c r="H16" s="5">
        <v>1E-3</v>
      </c>
      <c r="I16" s="5">
        <v>1E-3</v>
      </c>
      <c r="J16" s="5">
        <v>1E-3</v>
      </c>
      <c r="K16" s="5">
        <v>1E-3</v>
      </c>
      <c r="L16" s="5">
        <v>1E-3</v>
      </c>
      <c r="M16" s="5">
        <v>1E-3</v>
      </c>
      <c r="N16" s="5">
        <v>1E-3</v>
      </c>
      <c r="O16" s="5">
        <v>1E-3</v>
      </c>
      <c r="P16" s="5">
        <v>1E-3</v>
      </c>
      <c r="Q16" s="5">
        <v>1E-3</v>
      </c>
      <c r="R16" s="5">
        <v>1E-3</v>
      </c>
      <c r="S16" s="5">
        <v>1E-3</v>
      </c>
      <c r="T16" s="5">
        <v>1E-3</v>
      </c>
      <c r="U16" s="5">
        <v>1E-3</v>
      </c>
      <c r="V16" s="5">
        <v>1E-3</v>
      </c>
      <c r="W16" s="5">
        <v>1E-3</v>
      </c>
      <c r="X16" s="5">
        <v>1E-3</v>
      </c>
      <c r="Y16" s="5">
        <v>1E-3</v>
      </c>
      <c r="Z16" s="5">
        <v>1E-3</v>
      </c>
      <c r="AA16" s="5">
        <v>1E-3</v>
      </c>
      <c r="AB16" s="5">
        <v>1E-3</v>
      </c>
      <c r="AC16" s="5">
        <v>1E-3</v>
      </c>
      <c r="AD16" s="5">
        <v>1E-3</v>
      </c>
      <c r="AE16" s="5">
        <v>1E-3</v>
      </c>
      <c r="AF16" s="5">
        <v>1E-3</v>
      </c>
      <c r="AG16" s="5">
        <v>1E-3</v>
      </c>
      <c r="AH16" s="5">
        <v>1E-3</v>
      </c>
      <c r="AI16" s="5">
        <v>1E-3</v>
      </c>
      <c r="AJ16" s="5">
        <v>1E-3</v>
      </c>
      <c r="AK16" s="5">
        <v>1E-3</v>
      </c>
      <c r="AL16" s="5">
        <v>1E-3</v>
      </c>
      <c r="AM16" s="5">
        <v>1E-3</v>
      </c>
      <c r="AN16" s="5">
        <v>1E-3</v>
      </c>
      <c r="AO16" s="5">
        <v>1E-3</v>
      </c>
      <c r="AP16" s="5">
        <v>1E-3</v>
      </c>
      <c r="AQ16" s="5">
        <v>1E-3</v>
      </c>
      <c r="AR16" s="5">
        <v>1E-3</v>
      </c>
      <c r="AS16" s="5">
        <v>1E-3</v>
      </c>
      <c r="AT16" s="5">
        <v>1E-3</v>
      </c>
      <c r="AU16" s="5">
        <v>1E-3</v>
      </c>
      <c r="AV16" s="5">
        <v>1E-3</v>
      </c>
      <c r="AW16" s="5">
        <v>1E-3</v>
      </c>
      <c r="AX16" s="5">
        <v>1E-3</v>
      </c>
      <c r="AY16" s="5">
        <v>1E-3</v>
      </c>
      <c r="AZ16" s="5">
        <v>1E-3</v>
      </c>
      <c r="BA16" s="5">
        <v>1E-3</v>
      </c>
      <c r="BB16" s="5">
        <v>1E-3</v>
      </c>
      <c r="BC16" s="5">
        <v>1E-3</v>
      </c>
      <c r="BD16" s="5">
        <v>1E-3</v>
      </c>
      <c r="BE16" s="5">
        <v>1E-3</v>
      </c>
      <c r="BF16" s="5">
        <v>1E-3</v>
      </c>
      <c r="BG16" s="5">
        <v>1E-3</v>
      </c>
      <c r="BH16" s="5">
        <v>1E-3</v>
      </c>
      <c r="BI16" s="5">
        <v>1E-3</v>
      </c>
      <c r="BJ16" s="5">
        <v>1E-3</v>
      </c>
      <c r="BK16" s="5">
        <v>1E-3</v>
      </c>
      <c r="BL16" s="5">
        <v>1E-3</v>
      </c>
      <c r="BM16" s="5">
        <v>1E-3</v>
      </c>
      <c r="BN16" s="5">
        <v>1E-3</v>
      </c>
      <c r="BO16" s="5">
        <v>1E-3</v>
      </c>
      <c r="BP16" s="5">
        <v>1E-3</v>
      </c>
      <c r="BQ16" s="5">
        <v>1E-3</v>
      </c>
      <c r="BR16" s="5">
        <v>1E-3</v>
      </c>
      <c r="BS16" s="5">
        <v>1E-3</v>
      </c>
      <c r="BT16" s="5">
        <v>1E-3</v>
      </c>
      <c r="BU16" s="5">
        <v>1E-3</v>
      </c>
      <c r="BV16" s="5">
        <v>1E-3</v>
      </c>
      <c r="BW16" s="5">
        <v>1E-3</v>
      </c>
      <c r="BX16" s="5">
        <v>1E-3</v>
      </c>
      <c r="BY16" s="5">
        <v>1E-3</v>
      </c>
      <c r="BZ16" s="5">
        <v>1E-3</v>
      </c>
      <c r="CA16" s="5">
        <v>1E-3</v>
      </c>
      <c r="CB16" s="5">
        <v>1E-3</v>
      </c>
      <c r="CC16" s="5">
        <v>1E-3</v>
      </c>
      <c r="CD16" s="5">
        <v>1E-3</v>
      </c>
      <c r="CE16" s="5">
        <v>1E-3</v>
      </c>
      <c r="CF16" s="5">
        <v>1E-3</v>
      </c>
      <c r="CG16" s="5">
        <v>1E-3</v>
      </c>
      <c r="CH16" s="5">
        <v>1E-3</v>
      </c>
      <c r="CI16" s="5">
        <v>1E-3</v>
      </c>
      <c r="CJ16" s="5">
        <v>259234</v>
      </c>
      <c r="CK16" s="5">
        <v>247281</v>
      </c>
      <c r="CL16" s="5">
        <v>243765</v>
      </c>
      <c r="CM16" s="5">
        <v>267142</v>
      </c>
      <c r="CN16" s="5">
        <v>258580</v>
      </c>
      <c r="CO16" s="5">
        <v>241551</v>
      </c>
      <c r="CP16" s="5">
        <v>249571</v>
      </c>
      <c r="CQ16" s="5">
        <v>234503</v>
      </c>
      <c r="CR16" s="5">
        <v>214794</v>
      </c>
      <c r="CS16" s="5">
        <v>222805</v>
      </c>
      <c r="CT16" s="5">
        <v>244673</v>
      </c>
      <c r="CU16" s="5">
        <v>248007</v>
      </c>
      <c r="CV16" s="5">
        <v>254939</v>
      </c>
      <c r="CW16" s="5">
        <v>277901</v>
      </c>
      <c r="CX16" s="5">
        <v>303086</v>
      </c>
      <c r="CY16" s="5">
        <v>300150</v>
      </c>
      <c r="CZ16" s="5">
        <v>310441</v>
      </c>
      <c r="DA16" s="5">
        <v>296962</v>
      </c>
      <c r="DB16" s="5">
        <v>256333</v>
      </c>
      <c r="DC16" s="5">
        <v>264532</v>
      </c>
      <c r="DD16" s="5">
        <v>261133</v>
      </c>
      <c r="DE16" s="5">
        <v>259135</v>
      </c>
      <c r="DF16" s="5">
        <v>250412</v>
      </c>
      <c r="DG16" s="5">
        <v>263161</v>
      </c>
      <c r="DH16" s="5">
        <v>291448</v>
      </c>
      <c r="DI16" s="5">
        <v>294783</v>
      </c>
      <c r="DJ16" s="5">
        <v>285887</v>
      </c>
      <c r="DK16" s="5">
        <v>275207</v>
      </c>
      <c r="DL16" s="5">
        <v>284349</v>
      </c>
      <c r="DM16" s="5">
        <v>272049</v>
      </c>
      <c r="DN16" s="5">
        <v>290480</v>
      </c>
      <c r="DO16" s="5">
        <v>298730</v>
      </c>
      <c r="DP16" s="5">
        <v>320220</v>
      </c>
      <c r="DQ16" s="5">
        <v>328489</v>
      </c>
      <c r="DR16" s="5">
        <v>309070</v>
      </c>
      <c r="DS16" s="5">
        <v>369041</v>
      </c>
      <c r="DT16" s="5">
        <v>357221</v>
      </c>
      <c r="DU16" s="5">
        <v>343218</v>
      </c>
      <c r="DV16" s="5">
        <v>352353</v>
      </c>
      <c r="DW16" s="5">
        <v>304500</v>
      </c>
      <c r="DX16" s="5">
        <v>307009</v>
      </c>
      <c r="DY16" s="5">
        <v>366218</v>
      </c>
      <c r="DZ16" s="5">
        <v>393184</v>
      </c>
      <c r="EA16" s="5">
        <v>377619</v>
      </c>
      <c r="EB16" s="5">
        <v>352569</v>
      </c>
      <c r="EC16" s="5">
        <v>278916</v>
      </c>
      <c r="ED16" s="5">
        <v>243217</v>
      </c>
      <c r="EE16" s="5">
        <v>259587</v>
      </c>
      <c r="EF16" s="5">
        <v>287701</v>
      </c>
      <c r="EG16" s="5">
        <v>305251</v>
      </c>
      <c r="EH16" s="5">
        <v>344850</v>
      </c>
      <c r="EI16" s="5">
        <v>351301</v>
      </c>
      <c r="EJ16" s="5">
        <v>344579</v>
      </c>
      <c r="EK16" s="5">
        <v>359392</v>
      </c>
      <c r="EL16" s="5">
        <v>373528</v>
      </c>
      <c r="EM16" s="5">
        <v>352164</v>
      </c>
      <c r="EN16" s="5">
        <v>337763</v>
      </c>
      <c r="EO16" s="5">
        <v>319824</v>
      </c>
      <c r="EP16" s="5">
        <v>240093</v>
      </c>
      <c r="EQ16" s="5">
        <v>202743</v>
      </c>
      <c r="ER16" s="5">
        <v>133074</v>
      </c>
      <c r="ES16" s="5">
        <v>97961</v>
      </c>
      <c r="ET16" s="5">
        <v>89583</v>
      </c>
      <c r="EU16" s="5">
        <v>115332</v>
      </c>
      <c r="EV16" s="5">
        <v>143511</v>
      </c>
      <c r="EW16" s="5">
        <v>161546</v>
      </c>
      <c r="EX16" s="5">
        <v>171407</v>
      </c>
      <c r="EY16" s="5">
        <v>143448</v>
      </c>
      <c r="EZ16" s="5">
        <v>149684</v>
      </c>
      <c r="FA16" s="5">
        <v>142902</v>
      </c>
      <c r="FB16" s="5">
        <v>134730</v>
      </c>
      <c r="FC16" s="5">
        <v>138805</v>
      </c>
      <c r="FD16" s="5">
        <v>142437</v>
      </c>
      <c r="FE16" s="5">
        <v>154652</v>
      </c>
      <c r="FF16" s="5">
        <v>155575</v>
      </c>
      <c r="FG16" s="5">
        <v>157261</v>
      </c>
      <c r="FH16" s="5">
        <v>148959</v>
      </c>
      <c r="FI16" s="5">
        <v>145721</v>
      </c>
      <c r="FJ16" s="5">
        <v>160055</v>
      </c>
      <c r="FK16" s="5">
        <v>159279</v>
      </c>
      <c r="FL16" s="5">
        <v>173857</v>
      </c>
      <c r="FM16" s="5">
        <v>190946</v>
      </c>
      <c r="FN16" s="5">
        <v>210997</v>
      </c>
      <c r="FO16" s="5">
        <v>212494</v>
      </c>
      <c r="FP16" s="5">
        <v>194776</v>
      </c>
      <c r="FQ16" s="5">
        <v>194505</v>
      </c>
      <c r="FR16" s="5">
        <v>180171</v>
      </c>
      <c r="FS16" s="5">
        <v>183379</v>
      </c>
      <c r="FT16" s="5">
        <v>202094</v>
      </c>
      <c r="FU16" s="5">
        <v>214414</v>
      </c>
      <c r="FV16" s="5">
        <v>212052</v>
      </c>
      <c r="FW16" s="5">
        <v>215056</v>
      </c>
      <c r="FX16" s="5">
        <v>201863</v>
      </c>
      <c r="FY16" s="5">
        <v>188488</v>
      </c>
      <c r="FZ16" s="5">
        <v>204631</v>
      </c>
      <c r="GA16" s="5">
        <v>204249</v>
      </c>
      <c r="GB16" s="5">
        <v>198138</v>
      </c>
      <c r="GC16" s="5">
        <v>202157</v>
      </c>
      <c r="GD16" s="5">
        <v>192998</v>
      </c>
      <c r="GE16" s="5">
        <v>191910</v>
      </c>
      <c r="GF16" s="5">
        <v>194126</v>
      </c>
      <c r="GG16" s="5">
        <v>197998</v>
      </c>
      <c r="GH16" s="5">
        <v>197121</v>
      </c>
      <c r="GI16" s="5">
        <v>191671</v>
      </c>
      <c r="GJ16" s="5">
        <v>197749</v>
      </c>
      <c r="GK16" s="5">
        <v>200081</v>
      </c>
      <c r="GL16" s="5">
        <v>199536</v>
      </c>
      <c r="GM16" s="5">
        <v>197813</v>
      </c>
      <c r="GN16" s="5">
        <v>65521</v>
      </c>
      <c r="GO16" s="5">
        <v>245183</v>
      </c>
      <c r="GP16" s="5">
        <v>309609</v>
      </c>
      <c r="GQ16" s="5">
        <v>263645</v>
      </c>
      <c r="GR16" s="5">
        <v>250072</v>
      </c>
      <c r="GS16" s="5">
        <v>215202</v>
      </c>
      <c r="GT16" s="5">
        <v>207726</v>
      </c>
      <c r="GU16" s="5">
        <v>212829</v>
      </c>
      <c r="GV16" s="5">
        <v>194527</v>
      </c>
      <c r="GW16" s="5">
        <v>200726</v>
      </c>
      <c r="GX16" s="5">
        <v>143888</v>
      </c>
      <c r="GY16" s="5">
        <v>135399</v>
      </c>
      <c r="GZ16" s="5">
        <v>153613</v>
      </c>
      <c r="HA16" s="5">
        <v>139366</v>
      </c>
      <c r="HB16" s="5">
        <v>147900</v>
      </c>
      <c r="HC16" s="6">
        <v>156339.6</v>
      </c>
      <c r="HD16" s="6">
        <v>162831.20000000001</v>
      </c>
      <c r="HE16" s="6">
        <v>167694.5</v>
      </c>
      <c r="HF16" s="6">
        <v>190458.7</v>
      </c>
      <c r="HG16" s="6">
        <v>183166.7</v>
      </c>
      <c r="HH16" s="6">
        <v>170413.8</v>
      </c>
      <c r="HI16" s="6">
        <v>193793.8</v>
      </c>
      <c r="HJ16" s="6">
        <v>199542.39999999999</v>
      </c>
      <c r="HK16" s="6">
        <v>203074.4</v>
      </c>
      <c r="HL16" s="6">
        <v>206160.5</v>
      </c>
      <c r="HM16" s="6">
        <v>209803.3</v>
      </c>
      <c r="HN16" s="6">
        <v>213374.5</v>
      </c>
      <c r="HO16" s="6">
        <v>216573.5</v>
      </c>
      <c r="HP16" s="6">
        <v>219151.4</v>
      </c>
      <c r="HQ16" s="6">
        <v>221195.5</v>
      </c>
      <c r="HR16" s="6">
        <v>222813</v>
      </c>
      <c r="HS16" s="6">
        <v>224103.2</v>
      </c>
      <c r="HT16" s="6">
        <v>225369.1</v>
      </c>
      <c r="HU16" s="6">
        <v>226833.1</v>
      </c>
      <c r="HV16" s="6">
        <v>228544.1</v>
      </c>
      <c r="HW16" s="6">
        <v>230556.7</v>
      </c>
      <c r="HX16" s="6">
        <v>232778</v>
      </c>
      <c r="HY16" s="6">
        <v>235170.5</v>
      </c>
      <c r="HZ16" s="6">
        <v>237665.5</v>
      </c>
      <c r="IA16" s="6">
        <v>240264.3</v>
      </c>
      <c r="IB16" s="6">
        <v>242859.2</v>
      </c>
      <c r="IC16" s="6">
        <v>245479.5</v>
      </c>
      <c r="ID16" s="6">
        <v>247868</v>
      </c>
      <c r="IE16" s="6">
        <v>249952.4</v>
      </c>
      <c r="IF16" s="6">
        <v>251623.4</v>
      </c>
      <c r="IG16" s="6">
        <v>252948.4</v>
      </c>
      <c r="IH16" s="6">
        <v>253966</v>
      </c>
      <c r="II16" s="6">
        <v>254759</v>
      </c>
      <c r="IJ16" s="6">
        <v>255302.39999999999</v>
      </c>
      <c r="IK16" s="6">
        <v>255685.6</v>
      </c>
      <c r="IL16" s="6">
        <v>255943.8</v>
      </c>
      <c r="IM16" s="6">
        <v>256150.6</v>
      </c>
      <c r="IN16" s="6">
        <v>256246.8</v>
      </c>
      <c r="IO16" s="6">
        <v>256301.6</v>
      </c>
      <c r="IP16" s="6">
        <v>256325.5</v>
      </c>
      <c r="IQ16" s="6">
        <v>256366.6</v>
      </c>
      <c r="IR16" s="6">
        <v>256352.4</v>
      </c>
      <c r="IS16" s="6">
        <v>256330</v>
      </c>
      <c r="IT16" s="6">
        <v>256302.8</v>
      </c>
      <c r="IU16" s="6">
        <v>256315.3</v>
      </c>
      <c r="IV16" s="6">
        <v>256289.6</v>
      </c>
      <c r="IW16" s="6">
        <v>256280.6</v>
      </c>
      <c r="IX16" s="6">
        <v>256282.3</v>
      </c>
      <c r="IY16" s="6">
        <v>256290.8</v>
      </c>
      <c r="IZ16" s="6">
        <v>256306.7</v>
      </c>
      <c r="JA16" s="6">
        <v>256325.5</v>
      </c>
      <c r="JB16" s="6">
        <v>256344.4</v>
      </c>
      <c r="JC16" s="6">
        <v>256361.7</v>
      </c>
      <c r="JD16" s="6">
        <v>256377.1</v>
      </c>
      <c r="JE16" s="6">
        <v>256390.1</v>
      </c>
      <c r="JF16" s="6">
        <v>256400.6</v>
      </c>
      <c r="JG16" s="6">
        <v>256409.2</v>
      </c>
      <c r="JH16" s="6">
        <v>256420.7</v>
      </c>
      <c r="JI16" s="6">
        <v>256433.1</v>
      </c>
      <c r="JJ16" s="6">
        <v>256445.4</v>
      </c>
      <c r="JK16" s="6">
        <v>256456.4</v>
      </c>
      <c r="JL16" s="6">
        <v>256466.2</v>
      </c>
      <c r="JM16" s="6">
        <v>256474.5</v>
      </c>
      <c r="JN16" s="6">
        <v>256481.8</v>
      </c>
      <c r="JO16" s="6">
        <v>256489.60000000001</v>
      </c>
      <c r="JP16" s="6">
        <v>256498.9</v>
      </c>
      <c r="JQ16" s="6">
        <v>256508.5</v>
      </c>
      <c r="JR16" s="6">
        <v>256517</v>
      </c>
      <c r="JS16" s="6">
        <v>256524.1</v>
      </c>
      <c r="JT16" s="6">
        <v>256526.1</v>
      </c>
      <c r="JU16" s="6">
        <v>256524.4</v>
      </c>
      <c r="JV16" s="6">
        <v>256520.9</v>
      </c>
      <c r="JW16" s="6">
        <v>256516.8</v>
      </c>
      <c r="JX16" s="6">
        <v>256512.4</v>
      </c>
      <c r="JY16" s="6">
        <v>256508.2</v>
      </c>
      <c r="JZ16" s="6">
        <v>256504.3</v>
      </c>
      <c r="KA16" s="6">
        <v>256500.9</v>
      </c>
      <c r="KB16" s="6">
        <v>256498</v>
      </c>
      <c r="KC16" s="6">
        <v>256495</v>
      </c>
      <c r="KD16" s="6">
        <v>256492.3</v>
      </c>
      <c r="KE16" s="6">
        <v>256489.9</v>
      </c>
      <c r="KF16" s="6">
        <v>256487.4</v>
      </c>
      <c r="KG16" s="6">
        <v>256485</v>
      </c>
      <c r="KH16" s="6">
        <v>256482.8</v>
      </c>
      <c r="KI16" s="6">
        <v>256480.6</v>
      </c>
      <c r="KJ16" s="6">
        <v>256478.4</v>
      </c>
      <c r="KK16" s="6">
        <v>256476.2</v>
      </c>
      <c r="KL16" s="6">
        <v>256473.7</v>
      </c>
      <c r="KM16" s="6">
        <v>256471.3</v>
      </c>
      <c r="KN16" s="6">
        <v>256468.8</v>
      </c>
      <c r="KO16" s="6">
        <v>256466.6</v>
      </c>
      <c r="KP16" s="6">
        <v>256464.4</v>
      </c>
      <c r="KQ16" s="6">
        <v>256462</v>
      </c>
      <c r="KR16" s="6">
        <v>256459.5</v>
      </c>
      <c r="KS16" s="6">
        <v>256457.1</v>
      </c>
      <c r="KT16" s="6">
        <v>256454.9</v>
      </c>
      <c r="KU16" s="6">
        <v>256452.7</v>
      </c>
      <c r="KV16" s="6">
        <v>256450.5</v>
      </c>
      <c r="KW16" s="6">
        <v>256448.3</v>
      </c>
      <c r="KX16" s="6">
        <v>256446.1</v>
      </c>
      <c r="KY16" s="6">
        <v>256443.9</v>
      </c>
      <c r="KZ16" s="6">
        <v>256441.7</v>
      </c>
      <c r="LA16" s="6">
        <v>256439.5</v>
      </c>
      <c r="LB16" s="6">
        <v>256437.3</v>
      </c>
      <c r="LC16" s="6">
        <v>256435.1</v>
      </c>
      <c r="LD16" s="6">
        <v>256432.9</v>
      </c>
      <c r="LE16" s="6">
        <v>256430.4</v>
      </c>
      <c r="LF16" s="6">
        <v>256428</v>
      </c>
      <c r="LG16" s="2" t="s">
        <v>374</v>
      </c>
      <c r="LH16" s="2" t="s">
        <v>336</v>
      </c>
      <c r="LI16" s="2" t="s">
        <v>338</v>
      </c>
      <c r="LJ16" s="2" t="s">
        <v>338</v>
      </c>
      <c r="LK16" s="2" t="s">
        <v>339</v>
      </c>
      <c r="LL16" s="2" t="s">
        <v>623</v>
      </c>
      <c r="LM16" s="2" t="s">
        <v>338</v>
      </c>
      <c r="LN16" s="2" t="s">
        <v>407</v>
      </c>
      <c r="LO16" s="2" t="s">
        <v>408</v>
      </c>
      <c r="LP16" s="2" t="s">
        <v>343</v>
      </c>
      <c r="LQ16" s="2" t="s">
        <v>409</v>
      </c>
      <c r="LR16" s="4" t="s">
        <v>659</v>
      </c>
      <c r="LS16"/>
      <c r="LT16"/>
      <c r="LU16"/>
      <c r="LV16"/>
      <c r="LW16"/>
      <c r="LX16"/>
    </row>
    <row r="17" spans="1:336" x14ac:dyDescent="0.35">
      <c r="A17" s="2" t="s">
        <v>330</v>
      </c>
      <c r="B17" s="2" t="s">
        <v>410</v>
      </c>
      <c r="C17" s="4" t="s">
        <v>658</v>
      </c>
      <c r="D17" s="2" t="s">
        <v>406</v>
      </c>
      <c r="E17" s="2" t="s">
        <v>411</v>
      </c>
      <c r="F17" s="2" t="s">
        <v>334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306</v>
      </c>
      <c r="Y17" s="5">
        <v>322</v>
      </c>
      <c r="Z17" s="5">
        <v>332</v>
      </c>
      <c r="AA17" s="5">
        <v>351</v>
      </c>
      <c r="AB17" s="5">
        <v>356</v>
      </c>
      <c r="AC17" s="5">
        <v>338</v>
      </c>
      <c r="AD17" s="5">
        <v>320</v>
      </c>
      <c r="AE17" s="5">
        <v>326</v>
      </c>
      <c r="AF17" s="5">
        <v>319</v>
      </c>
      <c r="AG17" s="5">
        <v>333</v>
      </c>
      <c r="AH17" s="5">
        <v>325</v>
      </c>
      <c r="AI17" s="5">
        <v>333</v>
      </c>
      <c r="AJ17" s="5">
        <v>334</v>
      </c>
      <c r="AK17" s="5">
        <v>296</v>
      </c>
      <c r="AL17" s="5">
        <v>307</v>
      </c>
      <c r="AM17" s="5">
        <v>308</v>
      </c>
      <c r="AN17" s="5">
        <v>335</v>
      </c>
      <c r="AO17" s="5">
        <v>338</v>
      </c>
      <c r="AP17" s="5">
        <v>367</v>
      </c>
      <c r="AQ17" s="5">
        <v>343</v>
      </c>
      <c r="AR17" s="5">
        <v>377</v>
      </c>
      <c r="AS17" s="5">
        <v>407</v>
      </c>
      <c r="AT17" s="5">
        <v>412</v>
      </c>
      <c r="AU17" s="5">
        <v>431</v>
      </c>
      <c r="AV17" s="5">
        <v>422</v>
      </c>
      <c r="AW17" s="5">
        <v>411</v>
      </c>
      <c r="AX17" s="5">
        <v>409</v>
      </c>
      <c r="AY17" s="5">
        <v>454</v>
      </c>
      <c r="AZ17" s="5">
        <v>439</v>
      </c>
      <c r="BA17" s="5">
        <v>433</v>
      </c>
      <c r="BB17" s="5">
        <v>435</v>
      </c>
      <c r="BC17" s="5">
        <v>432</v>
      </c>
      <c r="BD17" s="5">
        <v>451</v>
      </c>
      <c r="BE17" s="5">
        <v>435</v>
      </c>
      <c r="BF17" s="5">
        <v>425</v>
      </c>
      <c r="BG17" s="5">
        <v>418</v>
      </c>
      <c r="BH17" s="5">
        <v>433</v>
      </c>
      <c r="BI17" s="5">
        <v>469</v>
      </c>
      <c r="BJ17" s="5">
        <v>475</v>
      </c>
      <c r="BK17" s="5">
        <v>462</v>
      </c>
      <c r="BL17" s="5">
        <v>452</v>
      </c>
      <c r="BM17" s="5">
        <v>502</v>
      </c>
      <c r="BN17" s="5">
        <v>515</v>
      </c>
      <c r="BO17" s="5">
        <v>530</v>
      </c>
      <c r="BP17" s="5">
        <v>528</v>
      </c>
      <c r="BQ17" s="5">
        <v>583</v>
      </c>
      <c r="BR17" s="5">
        <v>505</v>
      </c>
      <c r="BS17" s="5">
        <v>440</v>
      </c>
      <c r="BT17" s="5">
        <v>410</v>
      </c>
      <c r="BU17" s="5">
        <v>372</v>
      </c>
      <c r="BV17" s="5">
        <v>364</v>
      </c>
      <c r="BW17" s="5">
        <v>372</v>
      </c>
      <c r="BX17" s="5">
        <v>359</v>
      </c>
      <c r="BY17" s="5">
        <v>334</v>
      </c>
      <c r="BZ17" s="5">
        <v>335</v>
      </c>
      <c r="CA17" s="5">
        <v>342</v>
      </c>
      <c r="CB17" s="5">
        <v>333</v>
      </c>
      <c r="CC17" s="5">
        <v>322</v>
      </c>
      <c r="CD17" s="5">
        <v>303</v>
      </c>
      <c r="CE17" s="5">
        <v>266</v>
      </c>
      <c r="CF17" s="5">
        <v>271</v>
      </c>
      <c r="CG17" s="5">
        <v>333</v>
      </c>
      <c r="CH17" s="5">
        <v>258</v>
      </c>
      <c r="CI17" s="5">
        <v>263</v>
      </c>
      <c r="CJ17" s="5">
        <v>286</v>
      </c>
      <c r="CK17" s="5">
        <v>317</v>
      </c>
      <c r="CL17" s="5">
        <v>325</v>
      </c>
      <c r="CM17" s="5">
        <v>325</v>
      </c>
      <c r="CN17" s="5">
        <v>321</v>
      </c>
      <c r="CO17" s="5">
        <v>317</v>
      </c>
      <c r="CP17" s="5">
        <v>316</v>
      </c>
      <c r="CQ17" s="5">
        <v>308</v>
      </c>
      <c r="CR17" s="5">
        <v>289</v>
      </c>
      <c r="CS17" s="5">
        <v>275</v>
      </c>
      <c r="CT17" s="5">
        <v>265</v>
      </c>
      <c r="CU17" s="5">
        <v>280</v>
      </c>
      <c r="CV17" s="5">
        <v>299</v>
      </c>
      <c r="CW17" s="5">
        <v>313</v>
      </c>
      <c r="CX17" s="5">
        <v>351</v>
      </c>
      <c r="CY17" s="5">
        <v>359</v>
      </c>
      <c r="CZ17" s="5">
        <v>361</v>
      </c>
      <c r="DA17" s="5">
        <v>354</v>
      </c>
      <c r="DB17" s="5">
        <v>366</v>
      </c>
      <c r="DC17" s="5">
        <v>344</v>
      </c>
      <c r="DD17" s="5">
        <v>332</v>
      </c>
      <c r="DE17" s="5">
        <v>345</v>
      </c>
      <c r="DF17" s="5">
        <v>326</v>
      </c>
      <c r="DG17" s="5">
        <v>346</v>
      </c>
      <c r="DH17" s="5">
        <v>358</v>
      </c>
      <c r="DI17" s="5">
        <v>379</v>
      </c>
      <c r="DJ17" s="5">
        <v>387</v>
      </c>
      <c r="DK17" s="5">
        <v>392</v>
      </c>
      <c r="DL17" s="5">
        <v>356</v>
      </c>
      <c r="DM17" s="5">
        <v>346</v>
      </c>
      <c r="DN17" s="5">
        <v>337</v>
      </c>
      <c r="DO17" s="5">
        <v>347</v>
      </c>
      <c r="DP17" s="5">
        <v>358</v>
      </c>
      <c r="DQ17" s="5">
        <v>368</v>
      </c>
      <c r="DR17" s="5">
        <v>385</v>
      </c>
      <c r="DS17" s="5">
        <v>376</v>
      </c>
      <c r="DT17" s="5">
        <v>404</v>
      </c>
      <c r="DU17" s="5">
        <v>416</v>
      </c>
      <c r="DV17" s="5">
        <v>392</v>
      </c>
      <c r="DW17" s="5">
        <v>363</v>
      </c>
      <c r="DX17" s="5">
        <v>318</v>
      </c>
      <c r="DY17" s="5">
        <v>325</v>
      </c>
      <c r="DZ17" s="5">
        <v>339</v>
      </c>
      <c r="EA17" s="5">
        <v>477</v>
      </c>
      <c r="EB17" s="5">
        <v>470</v>
      </c>
      <c r="EC17" s="5">
        <v>447</v>
      </c>
      <c r="ED17" s="5">
        <v>399</v>
      </c>
      <c r="EE17" s="5">
        <v>337</v>
      </c>
      <c r="EF17" s="5">
        <v>362</v>
      </c>
      <c r="EG17" s="5">
        <v>406</v>
      </c>
      <c r="EH17" s="5">
        <v>414</v>
      </c>
      <c r="EI17" s="5">
        <v>437</v>
      </c>
      <c r="EJ17" s="5">
        <v>449</v>
      </c>
      <c r="EK17" s="5">
        <v>441</v>
      </c>
      <c r="EL17" s="5">
        <v>451</v>
      </c>
      <c r="EM17" s="5">
        <v>477</v>
      </c>
      <c r="EN17" s="5">
        <v>470</v>
      </c>
      <c r="EO17" s="5">
        <v>445</v>
      </c>
      <c r="EP17" s="5">
        <v>402</v>
      </c>
      <c r="EQ17" s="5">
        <v>294.88</v>
      </c>
      <c r="ER17" s="5">
        <v>259.33</v>
      </c>
      <c r="ES17" s="5">
        <v>187.81</v>
      </c>
      <c r="ET17" s="5">
        <v>174.9</v>
      </c>
      <c r="EU17" s="5">
        <v>170.84</v>
      </c>
      <c r="EV17" s="5">
        <v>193.27</v>
      </c>
      <c r="EW17" s="5">
        <v>223.68</v>
      </c>
      <c r="EX17" s="5">
        <v>259.75</v>
      </c>
      <c r="EY17" s="5">
        <v>216.23</v>
      </c>
      <c r="EZ17" s="5">
        <v>230.19</v>
      </c>
      <c r="FA17" s="5">
        <v>226.9</v>
      </c>
      <c r="FB17" s="5">
        <v>210.74</v>
      </c>
      <c r="FC17" s="5">
        <v>208.63</v>
      </c>
      <c r="FD17" s="5">
        <v>216.59</v>
      </c>
      <c r="FE17" s="5">
        <v>227.58</v>
      </c>
      <c r="FF17" s="5">
        <v>229.89</v>
      </c>
      <c r="FG17" s="5">
        <v>241.84</v>
      </c>
      <c r="FH17" s="5">
        <v>225.82</v>
      </c>
      <c r="FI17" s="5">
        <v>228.31</v>
      </c>
      <c r="FJ17" s="5">
        <v>235.27</v>
      </c>
      <c r="FK17" s="5">
        <v>239.08</v>
      </c>
      <c r="FL17" s="5">
        <v>259.76</v>
      </c>
      <c r="FM17" s="5">
        <v>274.05</v>
      </c>
      <c r="FN17" s="5">
        <v>294.04000000000002</v>
      </c>
      <c r="FO17" s="5">
        <v>311.14</v>
      </c>
      <c r="FP17" s="5">
        <v>311.61</v>
      </c>
      <c r="FQ17" s="5">
        <v>304.08999999999997</v>
      </c>
      <c r="FR17" s="5">
        <v>296.29000000000002</v>
      </c>
      <c r="FS17" s="5">
        <v>287.35000000000002</v>
      </c>
      <c r="FT17" s="5">
        <v>304.64</v>
      </c>
      <c r="FU17" s="5">
        <v>314.89</v>
      </c>
      <c r="FV17" s="5">
        <v>319.06</v>
      </c>
      <c r="FW17" s="5">
        <v>385.89</v>
      </c>
      <c r="FX17" s="5">
        <v>265.73</v>
      </c>
      <c r="FY17" s="5">
        <v>289.8</v>
      </c>
      <c r="FZ17" s="5">
        <v>290.58999999999997</v>
      </c>
      <c r="GA17" s="5">
        <v>306.35000000000002</v>
      </c>
      <c r="GB17" s="5">
        <v>309.75</v>
      </c>
      <c r="GC17" s="5">
        <v>306.64999999999998</v>
      </c>
      <c r="GD17" s="5">
        <v>300.39</v>
      </c>
      <c r="GE17" s="5">
        <v>289.99</v>
      </c>
      <c r="GF17" s="5">
        <v>302.5</v>
      </c>
      <c r="GG17" s="5">
        <v>298.51</v>
      </c>
      <c r="GH17" s="5">
        <v>298.58</v>
      </c>
      <c r="GI17" s="5">
        <v>291.25</v>
      </c>
      <c r="GJ17" s="5">
        <v>297.01</v>
      </c>
      <c r="GK17" s="5">
        <v>294.17</v>
      </c>
      <c r="GL17" s="5">
        <v>294.11</v>
      </c>
      <c r="GM17" s="5">
        <v>284.66000000000003</v>
      </c>
      <c r="GN17" s="5">
        <v>156.06</v>
      </c>
      <c r="GO17" s="5">
        <v>248.8</v>
      </c>
      <c r="GP17" s="5">
        <v>346.75</v>
      </c>
      <c r="GQ17" s="5">
        <v>436.03</v>
      </c>
      <c r="GR17" s="5">
        <v>447.42</v>
      </c>
      <c r="GS17" s="5">
        <v>332.84</v>
      </c>
      <c r="GT17" s="5">
        <v>267.39</v>
      </c>
      <c r="GU17" s="5">
        <v>329.68</v>
      </c>
      <c r="GV17" s="5">
        <v>322.73</v>
      </c>
      <c r="GW17" s="5">
        <v>307.49</v>
      </c>
      <c r="GX17" s="5">
        <v>305.42</v>
      </c>
      <c r="GY17" s="5">
        <v>272.95999999999998</v>
      </c>
      <c r="GZ17" s="5">
        <v>250.11</v>
      </c>
      <c r="HA17" s="5">
        <v>256.02999999999997</v>
      </c>
      <c r="HB17" s="5">
        <v>243.72</v>
      </c>
      <c r="HC17" s="6">
        <v>250.5986</v>
      </c>
      <c r="HD17" s="6">
        <v>255.78380000000001</v>
      </c>
      <c r="HE17" s="6">
        <v>258.15480000000002</v>
      </c>
      <c r="HF17" s="6">
        <v>275.6071</v>
      </c>
      <c r="HG17" s="6">
        <v>318.0659</v>
      </c>
      <c r="HH17" s="6">
        <v>263.36930000000001</v>
      </c>
      <c r="HI17" s="6">
        <v>292.01510000000002</v>
      </c>
      <c r="HJ17" s="6">
        <v>297.6705</v>
      </c>
      <c r="HK17" s="6">
        <v>302.93950000000001</v>
      </c>
      <c r="HL17" s="6">
        <v>307.54309999999998</v>
      </c>
      <c r="HM17" s="6">
        <v>312.97719999999998</v>
      </c>
      <c r="HN17" s="6">
        <v>318.30450000000002</v>
      </c>
      <c r="HO17" s="6">
        <v>323.07670000000002</v>
      </c>
      <c r="HP17" s="6">
        <v>326.92239999999998</v>
      </c>
      <c r="HQ17" s="6">
        <v>329.9717</v>
      </c>
      <c r="HR17" s="6">
        <v>332.38470000000001</v>
      </c>
      <c r="HS17" s="6">
        <v>334.30930000000001</v>
      </c>
      <c r="HT17" s="6">
        <v>336.1979</v>
      </c>
      <c r="HU17" s="6">
        <v>338.38200000000001</v>
      </c>
      <c r="HV17" s="6">
        <v>340.9341</v>
      </c>
      <c r="HW17" s="6">
        <v>343.9366</v>
      </c>
      <c r="HX17" s="6">
        <v>347.25020000000001</v>
      </c>
      <c r="HY17" s="6">
        <v>350.81920000000002</v>
      </c>
      <c r="HZ17" s="6">
        <v>354.54149999999998</v>
      </c>
      <c r="IA17" s="6">
        <v>358.41809999999998</v>
      </c>
      <c r="IB17" s="6">
        <v>362.28899999999999</v>
      </c>
      <c r="IC17" s="6">
        <v>366.1979</v>
      </c>
      <c r="ID17" s="6">
        <v>369.76089999999999</v>
      </c>
      <c r="IE17" s="6">
        <v>372.87040000000002</v>
      </c>
      <c r="IF17" s="6">
        <v>375.36320000000001</v>
      </c>
      <c r="IG17" s="6">
        <v>377.33980000000003</v>
      </c>
      <c r="IH17" s="6">
        <v>378.8578</v>
      </c>
      <c r="II17" s="6">
        <v>380.04079999999999</v>
      </c>
      <c r="IJ17" s="6">
        <v>380.85129999999998</v>
      </c>
      <c r="IK17" s="6">
        <v>381.42309999999998</v>
      </c>
      <c r="IL17" s="6">
        <v>381.80810000000002</v>
      </c>
      <c r="IM17" s="6">
        <v>382.11660000000001</v>
      </c>
      <c r="IN17" s="6">
        <v>382.26029999999997</v>
      </c>
      <c r="IO17" s="6">
        <v>382.34190000000001</v>
      </c>
      <c r="IP17" s="6">
        <v>382.3777</v>
      </c>
      <c r="IQ17" s="6">
        <v>382.43889999999999</v>
      </c>
      <c r="IR17" s="6">
        <v>382.4178</v>
      </c>
      <c r="IS17" s="6">
        <v>382.38420000000002</v>
      </c>
      <c r="IT17" s="6">
        <v>382.34379999999999</v>
      </c>
      <c r="IU17" s="6">
        <v>382.3623</v>
      </c>
      <c r="IV17" s="6">
        <v>382.32409999999999</v>
      </c>
      <c r="IW17" s="6">
        <v>382.31060000000002</v>
      </c>
      <c r="IX17" s="6">
        <v>382.31310000000002</v>
      </c>
      <c r="IY17" s="6">
        <v>382.32589999999999</v>
      </c>
      <c r="IZ17" s="6">
        <v>382.34960000000001</v>
      </c>
      <c r="JA17" s="6">
        <v>382.3777</v>
      </c>
      <c r="JB17" s="6">
        <v>382.40570000000002</v>
      </c>
      <c r="JC17" s="6">
        <v>382.4316</v>
      </c>
      <c r="JD17" s="6">
        <v>382.45460000000003</v>
      </c>
      <c r="JE17" s="6">
        <v>382.47390000000001</v>
      </c>
      <c r="JF17" s="6">
        <v>382.4896</v>
      </c>
      <c r="JG17" s="6">
        <v>382.50240000000002</v>
      </c>
      <c r="JH17" s="6">
        <v>382.51949999999999</v>
      </c>
      <c r="JI17" s="6">
        <v>382.53809999999999</v>
      </c>
      <c r="JJ17" s="6">
        <v>382.5564</v>
      </c>
      <c r="JK17" s="6">
        <v>382.57279999999997</v>
      </c>
      <c r="JL17" s="6">
        <v>382.5874</v>
      </c>
      <c r="JM17" s="6">
        <v>382.59980000000002</v>
      </c>
      <c r="JN17" s="6">
        <v>382.61070000000001</v>
      </c>
      <c r="JO17" s="6">
        <v>382.62240000000003</v>
      </c>
      <c r="JP17" s="6">
        <v>382.63630000000001</v>
      </c>
      <c r="JQ17" s="6">
        <v>382.65050000000002</v>
      </c>
      <c r="JR17" s="6">
        <v>382.66329999999999</v>
      </c>
      <c r="JS17" s="6">
        <v>382.6739</v>
      </c>
      <c r="JT17" s="6">
        <v>382.67680000000001</v>
      </c>
      <c r="JU17" s="6">
        <v>382.67430000000002</v>
      </c>
      <c r="JV17" s="6">
        <v>382.66910000000001</v>
      </c>
      <c r="JW17" s="6">
        <v>382.66289999999998</v>
      </c>
      <c r="JX17" s="6">
        <v>382.65640000000002</v>
      </c>
      <c r="JY17" s="6">
        <v>382.65010000000001</v>
      </c>
      <c r="JZ17" s="6">
        <v>382.64429999999999</v>
      </c>
      <c r="KA17" s="6">
        <v>382.63920000000002</v>
      </c>
      <c r="KB17" s="6">
        <v>382.63479999999998</v>
      </c>
      <c r="KC17" s="6">
        <v>382.63049999999998</v>
      </c>
      <c r="KD17" s="6">
        <v>382.62639999999999</v>
      </c>
      <c r="KE17" s="6">
        <v>382.62279999999998</v>
      </c>
      <c r="KF17" s="6">
        <v>382.6191</v>
      </c>
      <c r="KG17" s="6">
        <v>382.6155</v>
      </c>
      <c r="KH17" s="6">
        <v>382.61219999999997</v>
      </c>
      <c r="KI17" s="6">
        <v>382.60890000000001</v>
      </c>
      <c r="KJ17" s="6">
        <v>382.60570000000001</v>
      </c>
      <c r="KK17" s="6">
        <v>382.60239999999999</v>
      </c>
      <c r="KL17" s="6">
        <v>382.59870000000001</v>
      </c>
      <c r="KM17" s="6">
        <v>382.5951</v>
      </c>
      <c r="KN17" s="6">
        <v>382.59140000000002</v>
      </c>
      <c r="KO17" s="6">
        <v>382.5881</v>
      </c>
      <c r="KP17" s="6">
        <v>382.58479999999997</v>
      </c>
      <c r="KQ17" s="6">
        <v>382.58120000000002</v>
      </c>
      <c r="KR17" s="6">
        <v>382.57749999999999</v>
      </c>
      <c r="KS17" s="6">
        <v>382.57389999999998</v>
      </c>
      <c r="KT17" s="6">
        <v>382.57060000000001</v>
      </c>
      <c r="KU17" s="6">
        <v>382.56729999999999</v>
      </c>
      <c r="KV17" s="6">
        <v>382.5641</v>
      </c>
      <c r="KW17" s="6">
        <v>382.56079999999997</v>
      </c>
      <c r="KX17" s="6">
        <v>382.5575</v>
      </c>
      <c r="KY17" s="6">
        <v>382.55419999999998</v>
      </c>
      <c r="KZ17" s="6">
        <v>382.55090000000001</v>
      </c>
      <c r="LA17" s="6">
        <v>382.54759999999999</v>
      </c>
      <c r="LB17" s="6">
        <v>382.54430000000002</v>
      </c>
      <c r="LC17" s="6">
        <v>382.541</v>
      </c>
      <c r="LD17" s="6">
        <v>382.5378</v>
      </c>
      <c r="LE17" s="6">
        <v>382.53410000000002</v>
      </c>
      <c r="LF17" s="6">
        <v>382.53050000000002</v>
      </c>
      <c r="LG17" s="2" t="s">
        <v>412</v>
      </c>
      <c r="LH17" s="2" t="s">
        <v>336</v>
      </c>
      <c r="LI17" s="2" t="s">
        <v>338</v>
      </c>
      <c r="LJ17" s="2" t="s">
        <v>338</v>
      </c>
      <c r="LK17" s="2" t="s">
        <v>339</v>
      </c>
      <c r="LL17" s="2" t="s">
        <v>623</v>
      </c>
      <c r="LM17" s="2" t="s">
        <v>338</v>
      </c>
      <c r="LN17" s="4" t="s">
        <v>413</v>
      </c>
      <c r="LO17" s="4" t="s">
        <v>414</v>
      </c>
      <c r="LP17" s="2" t="s">
        <v>343</v>
      </c>
      <c r="LQ17" s="2" t="s">
        <v>415</v>
      </c>
      <c r="LR17" s="4" t="s">
        <v>659</v>
      </c>
      <c r="LS17"/>
      <c r="LT17"/>
      <c r="LU17"/>
      <c r="LV17"/>
      <c r="LW17"/>
      <c r="LX17"/>
    </row>
    <row r="18" spans="1:336" x14ac:dyDescent="0.35">
      <c r="A18" s="2" t="s">
        <v>330</v>
      </c>
      <c r="B18" s="2" t="s">
        <v>416</v>
      </c>
      <c r="C18" s="4" t="s">
        <v>658</v>
      </c>
      <c r="D18" s="2" t="s">
        <v>332</v>
      </c>
      <c r="E18" s="2" t="s">
        <v>333</v>
      </c>
      <c r="F18" s="2" t="s">
        <v>334</v>
      </c>
      <c r="G18" s="5">
        <v>1E-3</v>
      </c>
      <c r="H18" s="5">
        <v>1E-3</v>
      </c>
      <c r="I18" s="5">
        <v>1E-3</v>
      </c>
      <c r="J18" s="5">
        <v>1E-3</v>
      </c>
      <c r="K18" s="5">
        <v>1E-3</v>
      </c>
      <c r="L18" s="5">
        <v>1E-3</v>
      </c>
      <c r="M18" s="5">
        <v>1E-3</v>
      </c>
      <c r="N18" s="5">
        <v>1E-3</v>
      </c>
      <c r="O18" s="5">
        <v>1E-3</v>
      </c>
      <c r="P18" s="5">
        <v>1E-3</v>
      </c>
      <c r="Q18" s="5">
        <v>1E-3</v>
      </c>
      <c r="R18" s="5">
        <v>1E-3</v>
      </c>
      <c r="S18" s="5">
        <v>1E-3</v>
      </c>
      <c r="T18" s="5">
        <v>1E-3</v>
      </c>
      <c r="U18" s="5">
        <v>1E-3</v>
      </c>
      <c r="V18" s="5">
        <v>1E-3</v>
      </c>
      <c r="W18" s="5">
        <v>1E-3</v>
      </c>
      <c r="X18" s="5">
        <v>1E-3</v>
      </c>
      <c r="Y18" s="5">
        <v>1E-3</v>
      </c>
      <c r="Z18" s="5">
        <v>1E-3</v>
      </c>
      <c r="AA18" s="5">
        <v>1E-3</v>
      </c>
      <c r="AB18" s="5">
        <v>1E-3</v>
      </c>
      <c r="AC18" s="5">
        <v>1E-3</v>
      </c>
      <c r="AD18" s="5">
        <v>1E-3</v>
      </c>
      <c r="AE18" s="5">
        <v>1E-3</v>
      </c>
      <c r="AF18" s="5">
        <v>1E-3</v>
      </c>
      <c r="AG18" s="5">
        <v>1E-3</v>
      </c>
      <c r="AH18" s="5">
        <v>1E-3</v>
      </c>
      <c r="AI18" s="5">
        <v>1E-3</v>
      </c>
      <c r="AJ18" s="5">
        <v>1E-3</v>
      </c>
      <c r="AK18" s="5">
        <v>1E-3</v>
      </c>
      <c r="AL18" s="5">
        <v>1E-3</v>
      </c>
      <c r="AM18" s="5">
        <v>1E-3</v>
      </c>
      <c r="AN18" s="5">
        <v>1E-3</v>
      </c>
      <c r="AO18" s="5">
        <v>1E-3</v>
      </c>
      <c r="AP18" s="5">
        <v>1E-3</v>
      </c>
      <c r="AQ18" s="5">
        <v>1E-3</v>
      </c>
      <c r="AR18" s="5">
        <v>1E-3</v>
      </c>
      <c r="AS18" s="5">
        <v>1E-3</v>
      </c>
      <c r="AT18" s="5">
        <v>1E-3</v>
      </c>
      <c r="AU18" s="5">
        <v>1E-3</v>
      </c>
      <c r="AV18" s="5">
        <v>1E-3</v>
      </c>
      <c r="AW18" s="5">
        <v>1E-3</v>
      </c>
      <c r="AX18" s="5">
        <v>1E-3</v>
      </c>
      <c r="AY18" s="5">
        <v>1E-3</v>
      </c>
      <c r="AZ18" s="5">
        <v>1E-3</v>
      </c>
      <c r="BA18" s="5">
        <v>1E-3</v>
      </c>
      <c r="BB18" s="5">
        <v>1E-3</v>
      </c>
      <c r="BC18" s="5">
        <v>1E-3</v>
      </c>
      <c r="BD18" s="5">
        <v>1E-3</v>
      </c>
      <c r="BE18" s="5">
        <v>1E-3</v>
      </c>
      <c r="BF18" s="5">
        <v>1E-3</v>
      </c>
      <c r="BG18" s="5">
        <v>1E-3</v>
      </c>
      <c r="BH18" s="5">
        <v>1E-3</v>
      </c>
      <c r="BI18" s="5">
        <v>1E-3</v>
      </c>
      <c r="BJ18" s="5">
        <v>1E-3</v>
      </c>
      <c r="BK18" s="5">
        <v>1E-3</v>
      </c>
      <c r="BL18" s="5">
        <v>1E-3</v>
      </c>
      <c r="BM18" s="5">
        <v>1E-3</v>
      </c>
      <c r="BN18" s="5">
        <v>1E-3</v>
      </c>
      <c r="BO18" s="5">
        <v>1E-3</v>
      </c>
      <c r="BP18" s="5">
        <v>1E-3</v>
      </c>
      <c r="BQ18" s="5">
        <v>1E-3</v>
      </c>
      <c r="BR18" s="5">
        <v>1E-3</v>
      </c>
      <c r="BS18" s="5">
        <v>1E-3</v>
      </c>
      <c r="BT18" s="5">
        <v>1E-3</v>
      </c>
      <c r="BU18" s="5">
        <v>1E-3</v>
      </c>
      <c r="BV18" s="5">
        <v>1E-3</v>
      </c>
      <c r="BW18" s="5">
        <v>1E-3</v>
      </c>
      <c r="BX18" s="5">
        <v>1E-3</v>
      </c>
      <c r="BY18" s="5">
        <v>1E-3</v>
      </c>
      <c r="BZ18" s="5">
        <v>1E-3</v>
      </c>
      <c r="CA18" s="5">
        <v>1E-3</v>
      </c>
      <c r="CB18" s="5">
        <v>1E-3</v>
      </c>
      <c r="CC18" s="5">
        <v>1E-3</v>
      </c>
      <c r="CD18" s="5">
        <v>1E-3</v>
      </c>
      <c r="CE18" s="5">
        <v>1E-3</v>
      </c>
      <c r="CF18" s="5">
        <v>1E-3</v>
      </c>
      <c r="CG18" s="5">
        <v>1E-3</v>
      </c>
      <c r="CH18" s="5">
        <v>1E-3</v>
      </c>
      <c r="CI18" s="5">
        <v>1E-3</v>
      </c>
      <c r="CJ18" s="5">
        <v>13542</v>
      </c>
      <c r="CK18" s="5">
        <v>13190</v>
      </c>
      <c r="CL18" s="5">
        <v>13159</v>
      </c>
      <c r="CM18" s="5">
        <v>14173</v>
      </c>
      <c r="CN18" s="5">
        <v>14472</v>
      </c>
      <c r="CO18" s="5">
        <v>14392</v>
      </c>
      <c r="CP18" s="5">
        <v>14098</v>
      </c>
      <c r="CQ18" s="5">
        <v>14020</v>
      </c>
      <c r="CR18" s="5">
        <v>13937</v>
      </c>
      <c r="CS18" s="5">
        <v>13804</v>
      </c>
      <c r="CT18" s="5">
        <v>14619</v>
      </c>
      <c r="CU18" s="5">
        <v>16170</v>
      </c>
      <c r="CV18" s="5">
        <v>16910</v>
      </c>
      <c r="CW18" s="5">
        <v>17770</v>
      </c>
      <c r="CX18" s="5">
        <v>19316</v>
      </c>
      <c r="CY18" s="5">
        <v>18744</v>
      </c>
      <c r="CZ18" s="5">
        <v>18487</v>
      </c>
      <c r="DA18" s="5">
        <v>19190</v>
      </c>
      <c r="DB18" s="5">
        <v>19393</v>
      </c>
      <c r="DC18" s="5">
        <v>20152</v>
      </c>
      <c r="DD18" s="5">
        <v>21565</v>
      </c>
      <c r="DE18" s="5">
        <v>23041</v>
      </c>
      <c r="DF18" s="5">
        <v>23012</v>
      </c>
      <c r="DG18" s="5">
        <v>24315</v>
      </c>
      <c r="DH18" s="5">
        <v>27787</v>
      </c>
      <c r="DI18" s="5">
        <v>29774</v>
      </c>
      <c r="DJ18" s="5">
        <v>30120</v>
      </c>
      <c r="DK18" s="5">
        <v>29128</v>
      </c>
      <c r="DL18" s="5">
        <v>29740</v>
      </c>
      <c r="DM18" s="5">
        <v>28625</v>
      </c>
      <c r="DN18" s="5">
        <v>30575</v>
      </c>
      <c r="DO18" s="5">
        <v>34611</v>
      </c>
      <c r="DP18" s="5">
        <v>38366</v>
      </c>
      <c r="DQ18" s="5">
        <v>41169</v>
      </c>
      <c r="DR18" s="5">
        <v>42687</v>
      </c>
      <c r="DS18" s="5">
        <v>49008</v>
      </c>
      <c r="DT18" s="5">
        <v>52165</v>
      </c>
      <c r="DU18" s="5">
        <v>55437</v>
      </c>
      <c r="DV18" s="5">
        <v>60581</v>
      </c>
      <c r="DW18" s="5">
        <v>65289</v>
      </c>
      <c r="DX18" s="5">
        <v>64136</v>
      </c>
      <c r="DY18" s="5">
        <v>68813</v>
      </c>
      <c r="DZ18" s="5">
        <v>76526</v>
      </c>
      <c r="EA18" s="5">
        <v>75314</v>
      </c>
      <c r="EB18" s="5">
        <v>75415</v>
      </c>
      <c r="EC18" s="5">
        <v>72627</v>
      </c>
      <c r="ED18" s="5">
        <v>64246</v>
      </c>
      <c r="EE18" s="5">
        <v>63773</v>
      </c>
      <c r="EF18" s="5">
        <v>67316</v>
      </c>
      <c r="EG18" s="5">
        <v>71837</v>
      </c>
      <c r="EH18" s="5">
        <v>80294</v>
      </c>
      <c r="EI18" s="5">
        <v>81348</v>
      </c>
      <c r="EJ18" s="5">
        <v>83224</v>
      </c>
      <c r="EK18" s="5">
        <v>85030</v>
      </c>
      <c r="EL18" s="5">
        <v>91702</v>
      </c>
      <c r="EM18" s="5">
        <v>91858</v>
      </c>
      <c r="EN18" s="5">
        <v>91429</v>
      </c>
      <c r="EO18" s="5">
        <v>90149</v>
      </c>
      <c r="EP18" s="5">
        <v>83128</v>
      </c>
      <c r="EQ18" s="5">
        <v>81126</v>
      </c>
      <c r="ER18" s="5">
        <v>70661</v>
      </c>
      <c r="ES18" s="5">
        <v>54015</v>
      </c>
      <c r="ET18" s="5">
        <v>43609</v>
      </c>
      <c r="EU18" s="5">
        <v>35348</v>
      </c>
      <c r="EV18" s="5">
        <v>32062</v>
      </c>
      <c r="EW18" s="5">
        <v>34940</v>
      </c>
      <c r="EX18" s="5">
        <v>38267</v>
      </c>
      <c r="EY18" s="5">
        <v>32644</v>
      </c>
      <c r="EZ18" s="5">
        <v>33710</v>
      </c>
      <c r="FA18" s="5">
        <v>34183</v>
      </c>
      <c r="FB18" s="5">
        <v>32802</v>
      </c>
      <c r="FC18" s="5">
        <v>33141</v>
      </c>
      <c r="FD18" s="5">
        <v>33069</v>
      </c>
      <c r="FE18" s="5">
        <v>35450</v>
      </c>
      <c r="FF18" s="5">
        <v>36399</v>
      </c>
      <c r="FG18" s="5">
        <v>37200</v>
      </c>
      <c r="FH18" s="5">
        <v>35603</v>
      </c>
      <c r="FI18" s="5">
        <v>35061</v>
      </c>
      <c r="FJ18" s="5">
        <v>36613</v>
      </c>
      <c r="FK18" s="5">
        <v>38131</v>
      </c>
      <c r="FL18" s="5">
        <v>42794</v>
      </c>
      <c r="FM18" s="5">
        <v>46190</v>
      </c>
      <c r="FN18" s="5">
        <v>49533</v>
      </c>
      <c r="FO18" s="5">
        <v>51420</v>
      </c>
      <c r="FP18" s="5">
        <v>52754</v>
      </c>
      <c r="FQ18" s="5">
        <v>50773</v>
      </c>
      <c r="FR18" s="5">
        <v>48657</v>
      </c>
      <c r="FS18" s="5">
        <v>49717</v>
      </c>
      <c r="FT18" s="5">
        <v>53948</v>
      </c>
      <c r="FU18" s="5">
        <v>57257</v>
      </c>
      <c r="FV18" s="5">
        <v>59541</v>
      </c>
      <c r="FW18" s="5">
        <v>69067</v>
      </c>
      <c r="FX18" s="5">
        <v>58624</v>
      </c>
      <c r="FY18" s="5">
        <v>59257</v>
      </c>
      <c r="FZ18" s="5">
        <v>59727</v>
      </c>
      <c r="GA18" s="5">
        <v>64918</v>
      </c>
      <c r="GB18" s="5">
        <v>64298</v>
      </c>
      <c r="GC18" s="5">
        <v>65222</v>
      </c>
      <c r="GD18" s="5">
        <v>65832</v>
      </c>
      <c r="GE18" s="5">
        <v>66773</v>
      </c>
      <c r="GF18" s="5">
        <v>67409</v>
      </c>
      <c r="GG18" s="5">
        <v>67666</v>
      </c>
      <c r="GH18" s="5">
        <v>66683</v>
      </c>
      <c r="GI18" s="5">
        <v>67512</v>
      </c>
      <c r="GJ18" s="5">
        <v>67633</v>
      </c>
      <c r="GK18" s="5">
        <v>66380</v>
      </c>
      <c r="GL18" s="5">
        <v>67192</v>
      </c>
      <c r="GM18" s="5">
        <v>69750</v>
      </c>
      <c r="GN18" s="5">
        <v>46197</v>
      </c>
      <c r="GO18" s="5">
        <v>57194</v>
      </c>
      <c r="GP18" s="5">
        <v>70663</v>
      </c>
      <c r="GQ18" s="5">
        <v>90623</v>
      </c>
      <c r="GR18" s="5">
        <v>90213</v>
      </c>
      <c r="GS18" s="5">
        <v>65949</v>
      </c>
      <c r="GT18" s="5">
        <v>63118</v>
      </c>
      <c r="GU18" s="5">
        <v>81900</v>
      </c>
      <c r="GV18" s="5">
        <v>82935</v>
      </c>
      <c r="GW18" s="5">
        <v>76267</v>
      </c>
      <c r="GX18" s="5">
        <v>73879</v>
      </c>
      <c r="GY18" s="5">
        <v>63513</v>
      </c>
      <c r="GZ18" s="5">
        <v>55476</v>
      </c>
      <c r="HA18" s="5">
        <v>56261</v>
      </c>
      <c r="HB18" s="5">
        <v>49448</v>
      </c>
      <c r="HC18" s="6">
        <v>55250.879999999997</v>
      </c>
      <c r="HD18" s="6">
        <v>58309.22</v>
      </c>
      <c r="HE18" s="6">
        <v>61576.93</v>
      </c>
      <c r="HF18" s="6">
        <v>67294.34</v>
      </c>
      <c r="HG18" s="6">
        <v>75168.22</v>
      </c>
      <c r="HH18" s="6">
        <v>68256.94</v>
      </c>
      <c r="HI18" s="6">
        <v>73661.48</v>
      </c>
      <c r="HJ18" s="6">
        <v>76379.460000000006</v>
      </c>
      <c r="HK18" s="6">
        <v>78791.759999999995</v>
      </c>
      <c r="HL18" s="6">
        <v>81142.38</v>
      </c>
      <c r="HM18" s="6">
        <v>83552.53</v>
      </c>
      <c r="HN18" s="6">
        <v>85876.31</v>
      </c>
      <c r="HO18" s="6">
        <v>88057.47</v>
      </c>
      <c r="HP18" s="6">
        <v>90051.69</v>
      </c>
      <c r="HQ18" s="6">
        <v>91825.79</v>
      </c>
      <c r="HR18" s="6">
        <v>93423.27</v>
      </c>
      <c r="HS18" s="6">
        <v>94874.73</v>
      </c>
      <c r="HT18" s="6">
        <v>96238.66</v>
      </c>
      <c r="HU18" s="6">
        <v>97555.18</v>
      </c>
      <c r="HV18" s="6">
        <v>98845.77</v>
      </c>
      <c r="HW18" s="6">
        <v>100228.7</v>
      </c>
      <c r="HX18" s="6">
        <v>101585.8</v>
      </c>
      <c r="HY18" s="6">
        <v>102909.6</v>
      </c>
      <c r="HZ18" s="6">
        <v>104193</v>
      </c>
      <c r="IA18" s="6">
        <v>105547.2</v>
      </c>
      <c r="IB18" s="6">
        <v>106854</v>
      </c>
      <c r="IC18" s="6">
        <v>108120.8</v>
      </c>
      <c r="ID18" s="6">
        <v>109310.1</v>
      </c>
      <c r="IE18" s="6">
        <v>110524</v>
      </c>
      <c r="IF18" s="6">
        <v>111632.7</v>
      </c>
      <c r="IG18" s="6">
        <v>112646.7</v>
      </c>
      <c r="IH18" s="6">
        <v>113577.9</v>
      </c>
      <c r="II18" s="6">
        <v>114559.7</v>
      </c>
      <c r="IJ18" s="6">
        <v>115470.2</v>
      </c>
      <c r="IK18" s="6">
        <v>116323.3</v>
      </c>
      <c r="IL18" s="6">
        <v>117128.1</v>
      </c>
      <c r="IM18" s="6">
        <v>118015.9</v>
      </c>
      <c r="IN18" s="6">
        <v>118854.1</v>
      </c>
      <c r="IO18" s="6">
        <v>119650.6</v>
      </c>
      <c r="IP18" s="6">
        <v>120411</v>
      </c>
      <c r="IQ18" s="6">
        <v>121265.4</v>
      </c>
      <c r="IR18" s="6">
        <v>122075.2</v>
      </c>
      <c r="IS18" s="6">
        <v>122846</v>
      </c>
      <c r="IT18" s="6">
        <v>123581.7</v>
      </c>
      <c r="IU18" s="6">
        <v>124349.7</v>
      </c>
      <c r="IV18" s="6">
        <v>125080.6</v>
      </c>
      <c r="IW18" s="6">
        <v>125782.3</v>
      </c>
      <c r="IX18" s="6">
        <v>126459.1</v>
      </c>
      <c r="IY18" s="6">
        <v>127141.1</v>
      </c>
      <c r="IZ18" s="6">
        <v>127805.1</v>
      </c>
      <c r="JA18" s="6">
        <v>128457.9</v>
      </c>
      <c r="JB18" s="6">
        <v>129096.7</v>
      </c>
      <c r="JC18" s="6">
        <v>129722.7</v>
      </c>
      <c r="JD18" s="6">
        <v>130337.2</v>
      </c>
      <c r="JE18" s="6">
        <v>130941.4</v>
      </c>
      <c r="JF18" s="6">
        <v>131536.70000000001</v>
      </c>
      <c r="JG18" s="6">
        <v>132124</v>
      </c>
      <c r="JH18" s="6">
        <v>132705.4</v>
      </c>
      <c r="JI18" s="6">
        <v>133286.1</v>
      </c>
      <c r="JJ18" s="6">
        <v>133862.1</v>
      </c>
      <c r="JK18" s="6">
        <v>134434</v>
      </c>
      <c r="JL18" s="6">
        <v>135002.20000000001</v>
      </c>
      <c r="JM18" s="6">
        <v>135567.5</v>
      </c>
      <c r="JN18" s="6">
        <v>136130.1</v>
      </c>
      <c r="JO18" s="6">
        <v>136691.29999999999</v>
      </c>
      <c r="JP18" s="6">
        <v>137253</v>
      </c>
      <c r="JQ18" s="6">
        <v>137815.9</v>
      </c>
      <c r="JR18" s="6">
        <v>138377.5</v>
      </c>
      <c r="JS18" s="6">
        <v>138938.1</v>
      </c>
      <c r="JT18" s="6">
        <v>139497.20000000001</v>
      </c>
      <c r="JU18" s="6">
        <v>140051.6</v>
      </c>
      <c r="JV18" s="6">
        <v>140605.29999999999</v>
      </c>
      <c r="JW18" s="6">
        <v>141159.20000000001</v>
      </c>
      <c r="JX18" s="6">
        <v>141713.29999999999</v>
      </c>
      <c r="JY18" s="6">
        <v>142267.9</v>
      </c>
      <c r="JZ18" s="6">
        <v>142823.1</v>
      </c>
      <c r="KA18" s="6">
        <v>143379.20000000001</v>
      </c>
      <c r="KB18" s="6">
        <v>143936.29999999999</v>
      </c>
      <c r="KC18" s="6">
        <v>144494.29999999999</v>
      </c>
      <c r="KD18" s="6">
        <v>145053.4</v>
      </c>
      <c r="KE18" s="6">
        <v>145613.6</v>
      </c>
      <c r="KF18" s="6">
        <v>146175.29999999999</v>
      </c>
      <c r="KG18" s="6">
        <v>146738.1</v>
      </c>
      <c r="KH18" s="6">
        <v>147302.29999999999</v>
      </c>
      <c r="KI18" s="6">
        <v>147867.79999999999</v>
      </c>
      <c r="KJ18" s="6">
        <v>148434.79999999999</v>
      </c>
      <c r="KK18" s="6">
        <v>149003.20000000001</v>
      </c>
      <c r="KL18" s="6">
        <v>149573.4</v>
      </c>
      <c r="KM18" s="6">
        <v>150145</v>
      </c>
      <c r="KN18" s="6">
        <v>150718.1</v>
      </c>
      <c r="KO18" s="6">
        <v>151293.1</v>
      </c>
      <c r="KP18" s="6">
        <v>151869.6</v>
      </c>
      <c r="KQ18" s="6">
        <v>152447.9</v>
      </c>
      <c r="KR18" s="6">
        <v>153027.79999999999</v>
      </c>
      <c r="KS18" s="6">
        <v>153609.4</v>
      </c>
      <c r="KT18" s="6">
        <v>154193</v>
      </c>
      <c r="KU18" s="6">
        <v>154778.29999999999</v>
      </c>
      <c r="KV18" s="6">
        <v>155365.6</v>
      </c>
      <c r="KW18" s="6">
        <v>155954.5</v>
      </c>
      <c r="KX18" s="6">
        <v>156545.5</v>
      </c>
      <c r="KY18" s="6">
        <v>157138.1</v>
      </c>
      <c r="KZ18" s="6">
        <v>157732.79999999999</v>
      </c>
      <c r="LA18" s="6">
        <v>158329.4</v>
      </c>
      <c r="LB18" s="6">
        <v>158927.79999999999</v>
      </c>
      <c r="LC18" s="6">
        <v>159528.20000000001</v>
      </c>
      <c r="LD18" s="6">
        <v>160130.6</v>
      </c>
      <c r="LE18" s="6">
        <v>160734.79999999999</v>
      </c>
      <c r="LF18" s="6">
        <v>161340.9</v>
      </c>
      <c r="LG18" s="2" t="s">
        <v>374</v>
      </c>
      <c r="LH18" s="2" t="s">
        <v>336</v>
      </c>
      <c r="LI18" s="2" t="s">
        <v>338</v>
      </c>
      <c r="LJ18" s="2" t="s">
        <v>338</v>
      </c>
      <c r="LK18" s="2" t="s">
        <v>339</v>
      </c>
      <c r="LL18" s="2" t="s">
        <v>623</v>
      </c>
      <c r="LM18" s="2" t="s">
        <v>338</v>
      </c>
      <c r="LN18" s="2" t="s">
        <v>417</v>
      </c>
      <c r="LO18" s="2" t="s">
        <v>418</v>
      </c>
      <c r="LP18" s="2" t="s">
        <v>343</v>
      </c>
      <c r="LQ18" s="2" t="s">
        <v>419</v>
      </c>
      <c r="LR18" s="4" t="s">
        <v>659</v>
      </c>
      <c r="LS18"/>
      <c r="LT18"/>
      <c r="LU18"/>
      <c r="LV18"/>
      <c r="LW18"/>
      <c r="LX18"/>
    </row>
    <row r="19" spans="1:336" x14ac:dyDescent="0.35">
      <c r="A19" s="2" t="s">
        <v>330</v>
      </c>
      <c r="B19" s="2" t="s">
        <v>420</v>
      </c>
      <c r="C19" s="4" t="s">
        <v>658</v>
      </c>
      <c r="D19" s="2" t="s">
        <v>332</v>
      </c>
      <c r="E19" s="2" t="s">
        <v>333</v>
      </c>
      <c r="F19" s="2" t="s">
        <v>334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1377.6559999999999</v>
      </c>
      <c r="AJ19" s="5">
        <v>1533.8489999999999</v>
      </c>
      <c r="AK19" s="5">
        <v>1732.162</v>
      </c>
      <c r="AL19" s="5">
        <v>1821.665</v>
      </c>
      <c r="AM19" s="5">
        <v>1756.731</v>
      </c>
      <c r="AN19" s="5">
        <v>2145.4580000000001</v>
      </c>
      <c r="AO19" s="5">
        <v>2241.982</v>
      </c>
      <c r="AP19" s="5">
        <v>2639.4839999999999</v>
      </c>
      <c r="AQ19" s="5">
        <v>2102.462</v>
      </c>
      <c r="AR19" s="5">
        <v>3111.5729999999999</v>
      </c>
      <c r="AS19" s="5">
        <v>3376.5740000000001</v>
      </c>
      <c r="AT19" s="5">
        <v>3546.8069999999998</v>
      </c>
      <c r="AU19" s="5">
        <v>3201.9540000000002</v>
      </c>
      <c r="AV19" s="5">
        <v>3252.8490000000002</v>
      </c>
      <c r="AW19" s="5">
        <v>3635.433</v>
      </c>
      <c r="AX19" s="5">
        <v>3181.7719999999999</v>
      </c>
      <c r="AY19" s="5">
        <v>2782.5149999999999</v>
      </c>
      <c r="AZ19" s="5">
        <v>4003.1010000000001</v>
      </c>
      <c r="BA19" s="5">
        <v>3996.9580000000001</v>
      </c>
      <c r="BB19" s="5">
        <v>3955.7170000000001</v>
      </c>
      <c r="BC19" s="5">
        <v>3346.74</v>
      </c>
      <c r="BD19" s="5">
        <v>3985.5509999999999</v>
      </c>
      <c r="BE19" s="5">
        <v>4640.1570000000002</v>
      </c>
      <c r="BF19" s="5">
        <v>4788.4530000000004</v>
      </c>
      <c r="BG19" s="5">
        <v>4072.4229999999998</v>
      </c>
      <c r="BH19" s="5">
        <v>5716.835</v>
      </c>
      <c r="BI19" s="5">
        <v>7111.1639999999998</v>
      </c>
      <c r="BJ19" s="5">
        <v>6676.8069999999998</v>
      </c>
      <c r="BK19" s="5">
        <v>4940.2579999999998</v>
      </c>
      <c r="BL19" s="5">
        <v>5272.826</v>
      </c>
      <c r="BM19" s="5">
        <v>5682.5249999999996</v>
      </c>
      <c r="BN19" s="5">
        <v>6112.5829999999996</v>
      </c>
      <c r="BO19" s="5">
        <v>6995.335</v>
      </c>
      <c r="BP19" s="5">
        <v>7897.4809999999998</v>
      </c>
      <c r="BQ19" s="5">
        <v>8771.3709999999992</v>
      </c>
      <c r="BR19" s="5">
        <v>6786.4930000000004</v>
      </c>
      <c r="BS19" s="5">
        <v>6650.4830000000002</v>
      </c>
      <c r="BT19" s="5">
        <v>6618.63</v>
      </c>
      <c r="BU19" s="5">
        <v>7183.1180000000004</v>
      </c>
      <c r="BV19" s="5">
        <v>7862.2939999999999</v>
      </c>
      <c r="BW19" s="5">
        <v>7776.3</v>
      </c>
      <c r="BX19" s="5">
        <v>7453.384</v>
      </c>
      <c r="BY19" s="5">
        <v>6968.0460000000003</v>
      </c>
      <c r="BZ19" s="5">
        <v>7092.7370000000001</v>
      </c>
      <c r="CA19" s="5">
        <v>6453.0479999999998</v>
      </c>
      <c r="CB19" s="5">
        <v>5955.5119999999997</v>
      </c>
      <c r="CC19" s="5">
        <v>5562.4849999999997</v>
      </c>
      <c r="CD19" s="5">
        <v>4941.1360000000004</v>
      </c>
      <c r="CE19" s="5">
        <v>4836.7150000000001</v>
      </c>
      <c r="CF19" s="5">
        <v>4261.0829999999996</v>
      </c>
      <c r="CG19" s="5">
        <v>4218.1729999999998</v>
      </c>
      <c r="CH19" s="5">
        <v>2879.9160000000002</v>
      </c>
      <c r="CI19" s="5">
        <v>2917.56</v>
      </c>
      <c r="CJ19" s="5">
        <v>3703</v>
      </c>
      <c r="CK19" s="5">
        <v>4211</v>
      </c>
      <c r="CL19" s="5">
        <v>4626</v>
      </c>
      <c r="CM19" s="5">
        <v>4481</v>
      </c>
      <c r="CN19" s="5">
        <v>4821</v>
      </c>
      <c r="CO19" s="5">
        <v>4796</v>
      </c>
      <c r="CP19" s="5">
        <v>4467</v>
      </c>
      <c r="CQ19" s="5">
        <v>4208</v>
      </c>
      <c r="CR19" s="5">
        <v>3696</v>
      </c>
      <c r="CS19" s="5">
        <v>3271</v>
      </c>
      <c r="CT19" s="5">
        <v>3262</v>
      </c>
      <c r="CU19" s="5">
        <v>4048</v>
      </c>
      <c r="CV19" s="5">
        <v>4330</v>
      </c>
      <c r="CW19" s="5">
        <v>4325</v>
      </c>
      <c r="CX19" s="5">
        <v>5617</v>
      </c>
      <c r="CY19" s="5">
        <v>5826</v>
      </c>
      <c r="CZ19" s="5">
        <v>5616</v>
      </c>
      <c r="DA19" s="5">
        <v>5410</v>
      </c>
      <c r="DB19" s="5">
        <v>5497</v>
      </c>
      <c r="DC19" s="5">
        <v>5648</v>
      </c>
      <c r="DD19" s="5">
        <v>5963</v>
      </c>
      <c r="DE19" s="5">
        <v>6300</v>
      </c>
      <c r="DF19" s="5">
        <v>6127</v>
      </c>
      <c r="DG19" s="5">
        <v>7657</v>
      </c>
      <c r="DH19" s="5">
        <v>8788</v>
      </c>
      <c r="DI19" s="5">
        <v>9710</v>
      </c>
      <c r="DJ19" s="5">
        <v>9949</v>
      </c>
      <c r="DK19" s="5">
        <v>9813</v>
      </c>
      <c r="DL19" s="5">
        <v>10212</v>
      </c>
      <c r="DM19" s="5">
        <v>8864</v>
      </c>
      <c r="DN19" s="5">
        <v>9956</v>
      </c>
      <c r="DO19" s="5">
        <v>11208</v>
      </c>
      <c r="DP19" s="5">
        <v>12522</v>
      </c>
      <c r="DQ19" s="5">
        <v>13823</v>
      </c>
      <c r="DR19" s="5">
        <v>14063</v>
      </c>
      <c r="DS19" s="5">
        <v>15969</v>
      </c>
      <c r="DT19" s="5">
        <v>18644</v>
      </c>
      <c r="DU19" s="5">
        <v>19859</v>
      </c>
      <c r="DV19" s="5">
        <v>22304</v>
      </c>
      <c r="DW19" s="5">
        <v>22387</v>
      </c>
      <c r="DX19" s="5">
        <v>22562</v>
      </c>
      <c r="DY19" s="5">
        <v>25944</v>
      </c>
      <c r="DZ19" s="5">
        <v>28110</v>
      </c>
      <c r="EA19" s="5">
        <v>27080</v>
      </c>
      <c r="EB19" s="5">
        <v>26581</v>
      </c>
      <c r="EC19" s="5">
        <v>24286</v>
      </c>
      <c r="ED19" s="5">
        <v>21242</v>
      </c>
      <c r="EE19" s="5">
        <v>19782</v>
      </c>
      <c r="EF19" s="5">
        <v>21957</v>
      </c>
      <c r="EG19" s="5">
        <v>21754</v>
      </c>
      <c r="EH19" s="5">
        <v>23363</v>
      </c>
      <c r="EI19" s="5">
        <v>24451</v>
      </c>
      <c r="EJ19" s="5">
        <v>26113</v>
      </c>
      <c r="EK19" s="5">
        <v>27133</v>
      </c>
      <c r="EL19" s="5">
        <v>29852</v>
      </c>
      <c r="EM19" s="5">
        <v>27580</v>
      </c>
      <c r="EN19" s="5">
        <v>26828</v>
      </c>
      <c r="EO19" s="5">
        <v>28111</v>
      </c>
      <c r="EP19" s="5">
        <v>21817</v>
      </c>
      <c r="EQ19" s="5">
        <v>18061</v>
      </c>
      <c r="ER19" s="5">
        <v>11042</v>
      </c>
      <c r="ES19" s="5">
        <v>4449</v>
      </c>
      <c r="ET19" s="5">
        <v>1754</v>
      </c>
      <c r="EU19" s="5">
        <v>1669</v>
      </c>
      <c r="EV19" s="5">
        <v>1414</v>
      </c>
      <c r="EW19" s="5">
        <v>2159</v>
      </c>
      <c r="EX19" s="5">
        <v>3520</v>
      </c>
      <c r="EY19" s="5">
        <v>2417</v>
      </c>
      <c r="EZ19" s="5">
        <v>1408</v>
      </c>
      <c r="FA19" s="5">
        <v>1323</v>
      </c>
      <c r="FB19" s="5">
        <v>715</v>
      </c>
      <c r="FC19" s="5">
        <v>2079</v>
      </c>
      <c r="FD19" s="5">
        <v>1411</v>
      </c>
      <c r="FE19" s="5">
        <v>1733</v>
      </c>
      <c r="FF19" s="5">
        <v>1782</v>
      </c>
      <c r="FG19" s="5">
        <v>3986</v>
      </c>
      <c r="FH19" s="5">
        <v>2426</v>
      </c>
      <c r="FI19" s="5">
        <v>2159</v>
      </c>
      <c r="FJ19" s="5">
        <v>2263</v>
      </c>
      <c r="FK19" s="5">
        <v>2051</v>
      </c>
      <c r="FL19" s="5">
        <v>2969</v>
      </c>
      <c r="FM19" s="5">
        <v>4045</v>
      </c>
      <c r="FN19" s="5">
        <v>4646</v>
      </c>
      <c r="FO19" s="5">
        <v>5761</v>
      </c>
      <c r="FP19" s="5">
        <v>6740</v>
      </c>
      <c r="FQ19" s="5">
        <v>5368</v>
      </c>
      <c r="FR19" s="5">
        <v>5250</v>
      </c>
      <c r="FS19" s="5">
        <v>5738</v>
      </c>
      <c r="FT19" s="5">
        <v>7677</v>
      </c>
      <c r="FU19" s="5">
        <v>10515</v>
      </c>
      <c r="FV19" s="5">
        <v>11042</v>
      </c>
      <c r="FW19" s="5">
        <v>14544</v>
      </c>
      <c r="FX19" s="5">
        <v>6735</v>
      </c>
      <c r="FY19" s="5">
        <v>9088</v>
      </c>
      <c r="FZ19" s="5">
        <v>10002</v>
      </c>
      <c r="GA19" s="5">
        <v>11299</v>
      </c>
      <c r="GB19" s="5">
        <v>11359</v>
      </c>
      <c r="GC19" s="5">
        <v>11809</v>
      </c>
      <c r="GD19" s="5">
        <v>11318</v>
      </c>
      <c r="GE19" s="5">
        <v>10812</v>
      </c>
      <c r="GF19" s="5">
        <v>11630</v>
      </c>
      <c r="GG19" s="5">
        <v>11321</v>
      </c>
      <c r="GH19" s="5">
        <v>10983</v>
      </c>
      <c r="GI19" s="5">
        <v>11179</v>
      </c>
      <c r="GJ19" s="5">
        <v>11221</v>
      </c>
      <c r="GK19" s="5">
        <v>13286</v>
      </c>
      <c r="GL19" s="5">
        <v>13754</v>
      </c>
      <c r="GM19" s="5">
        <v>13839</v>
      </c>
      <c r="GN19" s="5">
        <v>2248</v>
      </c>
      <c r="GO19" s="5">
        <v>11375</v>
      </c>
      <c r="GP19" s="5">
        <v>18691</v>
      </c>
      <c r="GQ19" s="5">
        <v>25448</v>
      </c>
      <c r="GR19" s="5">
        <v>24650</v>
      </c>
      <c r="GS19" s="5">
        <v>12445</v>
      </c>
      <c r="GT19" s="5">
        <v>9344</v>
      </c>
      <c r="GU19" s="5">
        <v>18478</v>
      </c>
      <c r="GV19" s="5">
        <v>15503</v>
      </c>
      <c r="GW19" s="5">
        <v>15489</v>
      </c>
      <c r="GX19" s="5">
        <v>8348</v>
      </c>
      <c r="GY19" s="5">
        <v>2368</v>
      </c>
      <c r="GZ19" s="5">
        <v>-1826</v>
      </c>
      <c r="HA19" s="5">
        <v>295</v>
      </c>
      <c r="HB19" s="5">
        <v>-801</v>
      </c>
      <c r="HC19" s="6">
        <v>4193.7299999999996</v>
      </c>
      <c r="HD19" s="6">
        <v>6313.2849999999999</v>
      </c>
      <c r="HE19" s="6">
        <v>8900.7970000000005</v>
      </c>
      <c r="HF19" s="6">
        <v>14235.73</v>
      </c>
      <c r="HG19" s="6">
        <v>19985.71</v>
      </c>
      <c r="HH19" s="6">
        <v>10227.91</v>
      </c>
      <c r="HI19" s="6">
        <v>12892.2</v>
      </c>
      <c r="HJ19" s="6">
        <v>12675.82</v>
      </c>
      <c r="HK19" s="6">
        <v>12462.88</v>
      </c>
      <c r="HL19" s="6">
        <v>13657.5</v>
      </c>
      <c r="HM19" s="6">
        <v>15337.27</v>
      </c>
      <c r="HN19" s="6">
        <v>17003.68</v>
      </c>
      <c r="HO19" s="6">
        <v>18506.89</v>
      </c>
      <c r="HP19" s="6">
        <v>19777.13</v>
      </c>
      <c r="HQ19" s="6">
        <v>20781</v>
      </c>
      <c r="HR19" s="6">
        <v>21569.73</v>
      </c>
      <c r="HS19" s="6">
        <v>22181.65</v>
      </c>
      <c r="HT19" s="6">
        <v>22681.97</v>
      </c>
      <c r="HU19" s="6">
        <v>23115.119999999999</v>
      </c>
      <c r="HV19" s="6">
        <v>23505.24</v>
      </c>
      <c r="HW19" s="6">
        <v>23972.28</v>
      </c>
      <c r="HX19" s="6">
        <v>24394.99</v>
      </c>
      <c r="HY19" s="6">
        <v>24767.78</v>
      </c>
      <c r="HZ19" s="6">
        <v>25085.61</v>
      </c>
      <c r="IA19" s="6">
        <v>25461.54</v>
      </c>
      <c r="IB19" s="6">
        <v>25775.33</v>
      </c>
      <c r="IC19" s="6">
        <v>26036.73</v>
      </c>
      <c r="ID19" s="6">
        <v>26210.33</v>
      </c>
      <c r="IE19" s="6">
        <v>26401.8</v>
      </c>
      <c r="IF19" s="6">
        <v>26480.47</v>
      </c>
      <c r="IG19" s="6">
        <v>26461.4</v>
      </c>
      <c r="IH19" s="6">
        <v>26360.29</v>
      </c>
      <c r="II19" s="6">
        <v>26313.93</v>
      </c>
      <c r="IJ19" s="6">
        <v>26198.09</v>
      </c>
      <c r="IK19" s="6">
        <v>26029.439999999999</v>
      </c>
      <c r="IL19" s="6">
        <v>25819.26</v>
      </c>
      <c r="IM19" s="6">
        <v>25700.37</v>
      </c>
      <c r="IN19" s="6">
        <v>25536.65</v>
      </c>
      <c r="IO19" s="6">
        <v>25337.79</v>
      </c>
      <c r="IP19" s="6">
        <v>25110.720000000001</v>
      </c>
      <c r="IQ19" s="6">
        <v>24986.55</v>
      </c>
      <c r="IR19" s="6">
        <v>24822.77</v>
      </c>
      <c r="IS19" s="6">
        <v>24626.51</v>
      </c>
      <c r="IT19" s="6">
        <v>24402.95</v>
      </c>
      <c r="IU19" s="6">
        <v>24220.48</v>
      </c>
      <c r="IV19" s="6">
        <v>24008.18</v>
      </c>
      <c r="IW19" s="6">
        <v>23775.11</v>
      </c>
      <c r="IX19" s="6">
        <v>23526.400000000001</v>
      </c>
      <c r="IY19" s="6">
        <v>23292.799999999999</v>
      </c>
      <c r="IZ19" s="6">
        <v>23050.46</v>
      </c>
      <c r="JA19" s="6">
        <v>22806.45</v>
      </c>
      <c r="JB19" s="6">
        <v>22558.22</v>
      </c>
      <c r="JC19" s="6">
        <v>22306.880000000001</v>
      </c>
      <c r="JD19" s="6">
        <v>22053.98</v>
      </c>
      <c r="JE19" s="6">
        <v>21800.92</v>
      </c>
      <c r="JF19" s="6">
        <v>21548.9</v>
      </c>
      <c r="JG19" s="6">
        <v>21298.959999999999</v>
      </c>
      <c r="JH19" s="6">
        <v>21052.95</v>
      </c>
      <c r="JI19" s="6">
        <v>20815.900000000001</v>
      </c>
      <c r="JJ19" s="6">
        <v>20583.57</v>
      </c>
      <c r="JK19" s="6">
        <v>20356.36</v>
      </c>
      <c r="JL19" s="6">
        <v>20134.48</v>
      </c>
      <c r="JM19" s="6">
        <v>19918.37</v>
      </c>
      <c r="JN19" s="6">
        <v>19708.2</v>
      </c>
      <c r="JO19" s="6">
        <v>19504.900000000001</v>
      </c>
      <c r="JP19" s="6">
        <v>19310.14</v>
      </c>
      <c r="JQ19" s="6">
        <v>19124.22</v>
      </c>
      <c r="JR19" s="6">
        <v>18944.5</v>
      </c>
      <c r="JS19" s="6">
        <v>18770.72</v>
      </c>
      <c r="JT19" s="6">
        <v>18602.36</v>
      </c>
      <c r="JU19" s="6">
        <v>18436.02</v>
      </c>
      <c r="JV19" s="6">
        <v>18275.560000000001</v>
      </c>
      <c r="JW19" s="6">
        <v>18121.48</v>
      </c>
      <c r="JX19" s="6">
        <v>17973.830000000002</v>
      </c>
      <c r="JY19" s="6">
        <v>17832.47</v>
      </c>
      <c r="JZ19" s="6">
        <v>17697.28</v>
      </c>
      <c r="KA19" s="6">
        <v>17568.38</v>
      </c>
      <c r="KB19" s="6">
        <v>17445.439999999999</v>
      </c>
      <c r="KC19" s="6">
        <v>17328.349999999999</v>
      </c>
      <c r="KD19" s="6">
        <v>17217.05</v>
      </c>
      <c r="KE19" s="6">
        <v>17111.13</v>
      </c>
      <c r="KF19" s="6">
        <v>17010.919999999998</v>
      </c>
      <c r="KG19" s="6">
        <v>16915.740000000002</v>
      </c>
      <c r="KH19" s="6">
        <v>16825.71</v>
      </c>
      <c r="KI19" s="6">
        <v>16740.560000000001</v>
      </c>
      <c r="KJ19" s="6">
        <v>16660.22</v>
      </c>
      <c r="KK19" s="6">
        <v>16584.5</v>
      </c>
      <c r="KL19" s="6">
        <v>16513.560000000001</v>
      </c>
      <c r="KM19" s="6">
        <v>16446.72</v>
      </c>
      <c r="KN19" s="6">
        <v>16384.03</v>
      </c>
      <c r="KO19" s="6">
        <v>16325.8</v>
      </c>
      <c r="KP19" s="6">
        <v>16271.33</v>
      </c>
      <c r="KQ19" s="6">
        <v>16220.73</v>
      </c>
      <c r="KR19" s="6">
        <v>16173.73</v>
      </c>
      <c r="KS19" s="6">
        <v>16130.36</v>
      </c>
      <c r="KT19" s="6">
        <v>16090.63</v>
      </c>
      <c r="KU19" s="6">
        <v>16054.13</v>
      </c>
      <c r="KV19" s="6">
        <v>16021.02</v>
      </c>
      <c r="KW19" s="6">
        <v>15990.84</v>
      </c>
      <c r="KX19" s="6">
        <v>15963.89</v>
      </c>
      <c r="KY19" s="6">
        <v>15939.67</v>
      </c>
      <c r="KZ19" s="6">
        <v>15918.52</v>
      </c>
      <c r="LA19" s="6">
        <v>15900.05</v>
      </c>
      <c r="LB19" s="6">
        <v>15883.95</v>
      </c>
      <c r="LC19" s="6">
        <v>15870.67</v>
      </c>
      <c r="LD19" s="6">
        <v>15859.75</v>
      </c>
      <c r="LE19" s="6">
        <v>15851.14</v>
      </c>
      <c r="LF19" s="6">
        <v>15844.77</v>
      </c>
      <c r="LG19" s="2" t="s">
        <v>374</v>
      </c>
      <c r="LH19" s="2" t="s">
        <v>336</v>
      </c>
      <c r="LI19" s="2" t="s">
        <v>338</v>
      </c>
      <c r="LJ19" s="2" t="s">
        <v>338</v>
      </c>
      <c r="LK19" s="2" t="s">
        <v>339</v>
      </c>
      <c r="LL19" s="2" t="s">
        <v>623</v>
      </c>
      <c r="LM19" s="2" t="s">
        <v>338</v>
      </c>
      <c r="LN19" s="2" t="s">
        <v>421</v>
      </c>
      <c r="LO19" s="2" t="s">
        <v>422</v>
      </c>
      <c r="LP19" s="2" t="s">
        <v>343</v>
      </c>
      <c r="LQ19" s="2" t="s">
        <v>423</v>
      </c>
      <c r="LR19" s="4" t="s">
        <v>659</v>
      </c>
      <c r="LS19"/>
      <c r="LT19"/>
      <c r="LU19"/>
      <c r="LV19"/>
      <c r="LW19"/>
      <c r="LX19"/>
    </row>
    <row r="20" spans="1:336" x14ac:dyDescent="0.35">
      <c r="A20" s="2" t="s">
        <v>330</v>
      </c>
      <c r="B20" s="2" t="s">
        <v>424</v>
      </c>
      <c r="C20" s="4" t="s">
        <v>658</v>
      </c>
      <c r="D20" s="2" t="s">
        <v>425</v>
      </c>
      <c r="E20" s="2" t="s">
        <v>338</v>
      </c>
      <c r="F20" s="2" t="s">
        <v>334</v>
      </c>
      <c r="G20" s="5">
        <v>14.851150000000001</v>
      </c>
      <c r="H20" s="5">
        <v>15.597429999999999</v>
      </c>
      <c r="I20" s="5">
        <v>16.407070000000001</v>
      </c>
      <c r="J20" s="5">
        <v>16.907609999999998</v>
      </c>
      <c r="K20" s="5">
        <v>16.780860000000001</v>
      </c>
      <c r="L20" s="5">
        <v>18.253409999999999</v>
      </c>
      <c r="M20" s="5">
        <v>20.242899999999999</v>
      </c>
      <c r="N20" s="5">
        <v>21.924240000000001</v>
      </c>
      <c r="O20" s="5">
        <v>23.39659</v>
      </c>
      <c r="P20" s="5">
        <v>24.964189999999999</v>
      </c>
      <c r="Q20" s="5">
        <v>27.02938</v>
      </c>
      <c r="R20" s="5">
        <v>28.37567</v>
      </c>
      <c r="S20" s="5">
        <v>29.357140000000001</v>
      </c>
      <c r="T20" s="5">
        <v>30.793579999999999</v>
      </c>
      <c r="U20" s="5">
        <v>32.301470000000002</v>
      </c>
      <c r="V20" s="5">
        <v>33.18535</v>
      </c>
      <c r="W20" s="5">
        <v>33.540489999999998</v>
      </c>
      <c r="X20" s="5">
        <v>34.543460000000003</v>
      </c>
      <c r="Y20" s="5">
        <v>35.597639999999998</v>
      </c>
      <c r="Z20" s="5">
        <v>36.685519999999997</v>
      </c>
      <c r="AA20" s="5">
        <v>37.643259999999998</v>
      </c>
      <c r="AB20" s="5">
        <v>39.864730000000002</v>
      </c>
      <c r="AC20" s="5">
        <v>42.09901</v>
      </c>
      <c r="AD20" s="5">
        <v>43.30621</v>
      </c>
      <c r="AE20" s="5">
        <v>43.965009999999999</v>
      </c>
      <c r="AF20" s="5">
        <v>46.838419999999999</v>
      </c>
      <c r="AG20" s="5">
        <v>50.12706</v>
      </c>
      <c r="AH20" s="5">
        <v>52.644150000000003</v>
      </c>
      <c r="AI20" s="5">
        <v>54.906700000000001</v>
      </c>
      <c r="AJ20" s="5">
        <v>59.170099999999998</v>
      </c>
      <c r="AK20" s="5">
        <v>63.642139999999998</v>
      </c>
      <c r="AL20" s="5">
        <v>66.771739999999994</v>
      </c>
      <c r="AM20" s="5">
        <v>67.327690000000004</v>
      </c>
      <c r="AN20" s="5">
        <v>69.614490000000004</v>
      </c>
      <c r="AO20" s="5">
        <v>73.352940000000004</v>
      </c>
      <c r="AP20" s="5">
        <v>76.177090000000007</v>
      </c>
      <c r="AQ20" s="5">
        <v>76.586519999999993</v>
      </c>
      <c r="AR20" s="5">
        <v>78.919120000000007</v>
      </c>
      <c r="AS20" s="5">
        <v>82.158659999999998</v>
      </c>
      <c r="AT20" s="5">
        <v>83.439229999999995</v>
      </c>
      <c r="AU20" s="5">
        <v>84.922520000000006</v>
      </c>
      <c r="AV20" s="5">
        <v>88.039339999999996</v>
      </c>
      <c r="AW20" s="5">
        <v>90.437579999999997</v>
      </c>
      <c r="AX20" s="5">
        <v>91.531840000000003</v>
      </c>
      <c r="AY20" s="5">
        <v>92.079539999999994</v>
      </c>
      <c r="AZ20" s="5">
        <v>94.127579999999995</v>
      </c>
      <c r="BA20" s="5">
        <v>96.732339999999994</v>
      </c>
      <c r="BB20" s="5">
        <v>99.446349999999995</v>
      </c>
      <c r="BC20" s="5">
        <v>100.12390000000001</v>
      </c>
      <c r="BD20" s="5">
        <v>104.4909</v>
      </c>
      <c r="BE20" s="5">
        <v>107.6677</v>
      </c>
      <c r="BF20" s="5">
        <v>109.6371</v>
      </c>
      <c r="BG20" s="5">
        <v>110.8912</v>
      </c>
      <c r="BH20" s="5">
        <v>115.3305</v>
      </c>
      <c r="BI20" s="5">
        <v>118.2911</v>
      </c>
      <c r="BJ20" s="5">
        <v>120.3198</v>
      </c>
      <c r="BK20" s="5">
        <v>121.41079999999999</v>
      </c>
      <c r="BL20" s="5">
        <v>125.7916</v>
      </c>
      <c r="BM20" s="5">
        <v>130.0642</v>
      </c>
      <c r="BN20" s="5">
        <v>132.7039</v>
      </c>
      <c r="BO20" s="5">
        <v>134.46860000000001</v>
      </c>
      <c r="BP20" s="5">
        <v>139.05330000000001</v>
      </c>
      <c r="BQ20" s="5">
        <v>144.16399999999999</v>
      </c>
      <c r="BR20" s="5">
        <v>148.042</v>
      </c>
      <c r="BS20" s="5">
        <v>150.62790000000001</v>
      </c>
      <c r="BT20" s="5">
        <v>155.5334</v>
      </c>
      <c r="BU20" s="5">
        <v>160.64189999999999</v>
      </c>
      <c r="BV20" s="5">
        <v>165.39500000000001</v>
      </c>
      <c r="BW20" s="5">
        <v>167.1534</v>
      </c>
      <c r="BX20" s="5">
        <v>174.4332</v>
      </c>
      <c r="BY20" s="5">
        <v>181.6447</v>
      </c>
      <c r="BZ20" s="5">
        <v>185.41390000000001</v>
      </c>
      <c r="CA20" s="5">
        <v>187.09540000000001</v>
      </c>
      <c r="CB20" s="5">
        <v>192.89080000000001</v>
      </c>
      <c r="CC20" s="5">
        <v>198.7286</v>
      </c>
      <c r="CD20" s="5">
        <v>202.2243</v>
      </c>
      <c r="CE20" s="5">
        <v>203.99180000000001</v>
      </c>
      <c r="CF20" s="5">
        <v>209.3937</v>
      </c>
      <c r="CG20" s="5">
        <v>213.14080000000001</v>
      </c>
      <c r="CH20" s="5">
        <v>215.0164</v>
      </c>
      <c r="CI20" s="5">
        <v>213.95429999999999</v>
      </c>
      <c r="CJ20" s="5">
        <v>217.78450000000001</v>
      </c>
      <c r="CK20" s="5">
        <v>221.5908</v>
      </c>
      <c r="CL20" s="5">
        <v>222.90620000000001</v>
      </c>
      <c r="CM20" s="5">
        <v>222.8023</v>
      </c>
      <c r="CN20" s="5">
        <v>227.5204</v>
      </c>
      <c r="CO20" s="5">
        <v>232.0582</v>
      </c>
      <c r="CP20" s="5">
        <v>233.2474</v>
      </c>
      <c r="CQ20" s="5">
        <v>232.66929999999999</v>
      </c>
      <c r="CR20" s="5">
        <v>237.69069999999999</v>
      </c>
      <c r="CS20" s="5">
        <v>240.27940000000001</v>
      </c>
      <c r="CT20" s="5">
        <v>241.90459999999999</v>
      </c>
      <c r="CU20" s="5">
        <v>241.40309999999999</v>
      </c>
      <c r="CV20" s="5">
        <v>247.31559999999999</v>
      </c>
      <c r="CW20" s="5">
        <v>251.52930000000001</v>
      </c>
      <c r="CX20" s="5">
        <v>253.94390000000001</v>
      </c>
      <c r="CY20" s="5">
        <v>253.93029999999999</v>
      </c>
      <c r="CZ20" s="5">
        <v>259.93700000000001</v>
      </c>
      <c r="DA20" s="5">
        <v>264.79160000000002</v>
      </c>
      <c r="DB20" s="5">
        <v>268.61829999999998</v>
      </c>
      <c r="DC20" s="5">
        <v>269.56689999999998</v>
      </c>
      <c r="DD20" s="5">
        <v>278.03019999999998</v>
      </c>
      <c r="DE20" s="5">
        <v>282.88189999999997</v>
      </c>
      <c r="DF20" s="5">
        <v>285.15710000000001</v>
      </c>
      <c r="DG20" s="5">
        <v>284.69069999999999</v>
      </c>
      <c r="DH20" s="5">
        <v>293.50729999999999</v>
      </c>
      <c r="DI20" s="5">
        <v>299.82389999999998</v>
      </c>
      <c r="DJ20" s="5">
        <v>303.68020000000001</v>
      </c>
      <c r="DK20" s="5">
        <v>305.33330000000001</v>
      </c>
      <c r="DL20" s="5">
        <v>310.33330000000001</v>
      </c>
      <c r="DM20" s="5">
        <v>315</v>
      </c>
      <c r="DN20" s="5">
        <v>320.33330000000001</v>
      </c>
      <c r="DO20" s="5">
        <v>324</v>
      </c>
      <c r="DP20" s="5">
        <v>327</v>
      </c>
      <c r="DQ20" s="5">
        <v>330</v>
      </c>
      <c r="DR20" s="5">
        <v>333.66669999999999</v>
      </c>
      <c r="DS20" s="5">
        <v>333.66669999999999</v>
      </c>
      <c r="DT20" s="5">
        <v>339</v>
      </c>
      <c r="DU20" s="5">
        <v>341.33330000000001</v>
      </c>
      <c r="DV20" s="5">
        <v>342.66669999999999</v>
      </c>
      <c r="DW20" s="5">
        <v>343</v>
      </c>
      <c r="DX20" s="5">
        <v>348</v>
      </c>
      <c r="DY20" s="5">
        <v>352.66669999999999</v>
      </c>
      <c r="DZ20" s="5">
        <v>357</v>
      </c>
      <c r="EA20" s="5">
        <v>359</v>
      </c>
      <c r="EB20" s="5">
        <v>363</v>
      </c>
      <c r="EC20" s="5">
        <v>367</v>
      </c>
      <c r="ED20" s="5">
        <v>372.33330000000001</v>
      </c>
      <c r="EE20" s="5">
        <v>375.33330000000001</v>
      </c>
      <c r="EF20" s="5">
        <v>379.66669999999999</v>
      </c>
      <c r="EG20" s="5">
        <v>385.33330000000001</v>
      </c>
      <c r="EH20" s="5">
        <v>389.33330000000001</v>
      </c>
      <c r="EI20" s="5">
        <v>393.66669999999999</v>
      </c>
      <c r="EJ20" s="5">
        <v>397.66669999999999</v>
      </c>
      <c r="EK20" s="5">
        <v>401.33330000000001</v>
      </c>
      <c r="EL20" s="5">
        <v>408</v>
      </c>
      <c r="EM20" s="5">
        <v>417</v>
      </c>
      <c r="EN20" s="5">
        <v>415.33330000000001</v>
      </c>
      <c r="EO20" s="5">
        <v>422</v>
      </c>
      <c r="EP20" s="5">
        <v>425</v>
      </c>
      <c r="EQ20" s="5">
        <v>433.66669999999999</v>
      </c>
      <c r="ER20" s="5">
        <v>433</v>
      </c>
      <c r="ES20" s="5">
        <v>434.66669999999999</v>
      </c>
      <c r="ET20" s="5">
        <v>436.33330000000001</v>
      </c>
      <c r="EU20" s="5">
        <v>421</v>
      </c>
      <c r="EV20" s="5">
        <v>437.66669999999999</v>
      </c>
      <c r="EW20" s="5">
        <v>438</v>
      </c>
      <c r="EX20" s="5">
        <v>439.66669999999999</v>
      </c>
      <c r="EY20" s="5">
        <v>442</v>
      </c>
      <c r="EZ20" s="5">
        <v>442</v>
      </c>
      <c r="FA20" s="5">
        <v>444.66669999999999</v>
      </c>
      <c r="FB20" s="5">
        <v>448</v>
      </c>
      <c r="FC20" s="5">
        <v>454.66669999999999</v>
      </c>
      <c r="FD20" s="5">
        <v>453.33330000000001</v>
      </c>
      <c r="FE20" s="5">
        <v>454.66669999999999</v>
      </c>
      <c r="FF20" s="5">
        <v>456.66669999999999</v>
      </c>
      <c r="FG20" s="5">
        <v>457</v>
      </c>
      <c r="FH20" s="5">
        <v>460.66669999999999</v>
      </c>
      <c r="FI20" s="5">
        <v>463</v>
      </c>
      <c r="FJ20" s="5">
        <v>462</v>
      </c>
      <c r="FK20" s="5">
        <v>459.33330000000001</v>
      </c>
      <c r="FL20" s="5">
        <v>470.33330000000001</v>
      </c>
      <c r="FM20" s="5">
        <v>466</v>
      </c>
      <c r="FN20" s="5">
        <v>466.66669999999999</v>
      </c>
      <c r="FO20" s="5">
        <v>467.33330000000001</v>
      </c>
      <c r="FP20" s="5">
        <v>469.33330000000001</v>
      </c>
      <c r="FQ20" s="5">
        <v>470</v>
      </c>
      <c r="FR20" s="5">
        <v>476</v>
      </c>
      <c r="FS20" s="5">
        <v>478</v>
      </c>
      <c r="FT20" s="5">
        <v>481.33330000000001</v>
      </c>
      <c r="FU20" s="5">
        <v>483.66669999999999</v>
      </c>
      <c r="FV20" s="5">
        <v>485</v>
      </c>
      <c r="FW20" s="5">
        <v>488.33330000000001</v>
      </c>
      <c r="FX20" s="5">
        <v>493.66669999999999</v>
      </c>
      <c r="FY20" s="5">
        <v>495</v>
      </c>
      <c r="FZ20" s="5">
        <v>497</v>
      </c>
      <c r="GA20" s="5">
        <v>499</v>
      </c>
      <c r="GB20" s="5">
        <v>504.33330000000001</v>
      </c>
      <c r="GC20" s="5">
        <v>506.66669999999999</v>
      </c>
      <c r="GD20" s="5">
        <v>510.33330000000001</v>
      </c>
      <c r="GE20" s="5">
        <v>512</v>
      </c>
      <c r="GF20" s="5">
        <v>516.66669999999999</v>
      </c>
      <c r="GG20" s="5">
        <v>522.33330000000001</v>
      </c>
      <c r="GH20" s="5">
        <v>528</v>
      </c>
      <c r="GI20" s="5">
        <v>528.66669999999999</v>
      </c>
      <c r="GJ20" s="5">
        <v>537</v>
      </c>
      <c r="GK20" s="5">
        <v>542.33330000000001</v>
      </c>
      <c r="GL20" s="5">
        <v>542.33330000000001</v>
      </c>
      <c r="GM20" s="5">
        <v>540.33330000000001</v>
      </c>
      <c r="GN20" s="5">
        <v>531</v>
      </c>
      <c r="GO20" s="5">
        <v>550.33330000000001</v>
      </c>
      <c r="GP20" s="5">
        <v>567</v>
      </c>
      <c r="GQ20" s="5">
        <v>563</v>
      </c>
      <c r="GR20" s="5">
        <v>578</v>
      </c>
      <c r="GS20" s="5">
        <v>583.66669999999999</v>
      </c>
      <c r="GT20" s="5">
        <v>592.66669999999999</v>
      </c>
      <c r="GU20" s="5">
        <v>602.33330000000001</v>
      </c>
      <c r="GV20" s="5">
        <v>607.66669999999999</v>
      </c>
      <c r="GW20" s="5">
        <v>618</v>
      </c>
      <c r="GX20" s="5">
        <v>630.66669999999999</v>
      </c>
      <c r="GY20" s="5">
        <v>639.66669999999999</v>
      </c>
      <c r="GZ20" s="5">
        <v>658.66669999999999</v>
      </c>
      <c r="HA20" s="5">
        <v>667.33330000000001</v>
      </c>
      <c r="HB20" s="5">
        <v>666.66669999999999</v>
      </c>
      <c r="HC20" s="6">
        <v>673.76250000000005</v>
      </c>
      <c r="HD20" s="6">
        <v>683.86890000000005</v>
      </c>
      <c r="HE20" s="6">
        <v>688.65570000000002</v>
      </c>
      <c r="HF20" s="6">
        <v>693.13210000000004</v>
      </c>
      <c r="HG20" s="6">
        <v>697.49869999999999</v>
      </c>
      <c r="HH20" s="6">
        <v>701.7106</v>
      </c>
      <c r="HI20" s="6">
        <v>706.20330000000001</v>
      </c>
      <c r="HJ20" s="6">
        <v>710.89009999999996</v>
      </c>
      <c r="HK20" s="6">
        <v>715.76020000000005</v>
      </c>
      <c r="HL20" s="6">
        <v>720.64859999999999</v>
      </c>
      <c r="HM20" s="6">
        <v>725.62009999999998</v>
      </c>
      <c r="HN20" s="6">
        <v>730.6078</v>
      </c>
      <c r="HO20" s="6">
        <v>735.61789999999996</v>
      </c>
      <c r="HP20" s="6">
        <v>740.6807</v>
      </c>
      <c r="HQ20" s="6">
        <v>745.79970000000003</v>
      </c>
      <c r="HR20" s="6">
        <v>750.91330000000005</v>
      </c>
      <c r="HS20" s="6">
        <v>756.0634</v>
      </c>
      <c r="HT20" s="6">
        <v>761.22329999999999</v>
      </c>
      <c r="HU20" s="6">
        <v>766.41629999999998</v>
      </c>
      <c r="HV20" s="6">
        <v>771.60209999999995</v>
      </c>
      <c r="HW20" s="6">
        <v>776.80740000000003</v>
      </c>
      <c r="HX20" s="6">
        <v>782.053</v>
      </c>
      <c r="HY20" s="6">
        <v>787.36180000000002</v>
      </c>
      <c r="HZ20" s="6">
        <v>792.69680000000005</v>
      </c>
      <c r="IA20" s="6">
        <v>798.08240000000001</v>
      </c>
      <c r="IB20" s="6">
        <v>803.53830000000005</v>
      </c>
      <c r="IC20" s="6">
        <v>809.08640000000003</v>
      </c>
      <c r="ID20" s="6">
        <v>814.6789</v>
      </c>
      <c r="IE20" s="6">
        <v>820.33439999999996</v>
      </c>
      <c r="IF20" s="6">
        <v>826.04960000000005</v>
      </c>
      <c r="IG20" s="6">
        <v>831.82439999999997</v>
      </c>
      <c r="IH20" s="6">
        <v>837.66120000000001</v>
      </c>
      <c r="II20" s="6">
        <v>843.5607</v>
      </c>
      <c r="IJ20" s="6">
        <v>849.52189999999996</v>
      </c>
      <c r="IK20" s="6">
        <v>855.56769999999995</v>
      </c>
      <c r="IL20" s="6">
        <v>861.70010000000002</v>
      </c>
      <c r="IM20" s="6">
        <v>867.89800000000002</v>
      </c>
      <c r="IN20" s="6">
        <v>874.18290000000002</v>
      </c>
      <c r="IO20" s="6">
        <v>880.53530000000001</v>
      </c>
      <c r="IP20" s="6">
        <v>886.96669999999995</v>
      </c>
      <c r="IQ20" s="6">
        <v>893.49030000000005</v>
      </c>
      <c r="IR20" s="6">
        <v>900.08339999999998</v>
      </c>
      <c r="IS20" s="6">
        <v>906.77089999999998</v>
      </c>
      <c r="IT20" s="6">
        <v>913.53859999999997</v>
      </c>
      <c r="IU20" s="6">
        <v>920.39099999999996</v>
      </c>
      <c r="IV20" s="6">
        <v>927.32929999999999</v>
      </c>
      <c r="IW20" s="6">
        <v>934.33330000000001</v>
      </c>
      <c r="IX20" s="6">
        <v>941.40729999999996</v>
      </c>
      <c r="IY20" s="6">
        <v>948.56010000000003</v>
      </c>
      <c r="IZ20" s="6">
        <v>955.79190000000006</v>
      </c>
      <c r="JA20" s="6">
        <v>963.10640000000001</v>
      </c>
      <c r="JB20" s="6">
        <v>970.50459999999998</v>
      </c>
      <c r="JC20" s="6">
        <v>977.96619999999996</v>
      </c>
      <c r="JD20" s="6">
        <v>985.49270000000001</v>
      </c>
      <c r="JE20" s="6">
        <v>993.08280000000002</v>
      </c>
      <c r="JF20" s="6">
        <v>1000.737</v>
      </c>
      <c r="JG20" s="6">
        <v>1008.48</v>
      </c>
      <c r="JH20" s="6">
        <v>1016.31</v>
      </c>
      <c r="JI20" s="6">
        <v>1024.231</v>
      </c>
      <c r="JJ20" s="6">
        <v>1032.2429999999999</v>
      </c>
      <c r="JK20" s="6">
        <v>1040.326</v>
      </c>
      <c r="JL20" s="6">
        <v>1048.4780000000001</v>
      </c>
      <c r="JM20" s="6">
        <v>1056.704</v>
      </c>
      <c r="JN20" s="6">
        <v>1065</v>
      </c>
      <c r="JO20" s="6">
        <v>1073.3689999999999</v>
      </c>
      <c r="JP20" s="6">
        <v>1081.809</v>
      </c>
      <c r="JQ20" s="6">
        <v>1090.32</v>
      </c>
      <c r="JR20" s="6">
        <v>1098.8979999999999</v>
      </c>
      <c r="JS20" s="6">
        <v>1107.549</v>
      </c>
      <c r="JT20" s="6">
        <v>1116.2760000000001</v>
      </c>
      <c r="JU20" s="6">
        <v>1125.08</v>
      </c>
      <c r="JV20" s="6">
        <v>1133.9570000000001</v>
      </c>
      <c r="JW20" s="6">
        <v>1142.903</v>
      </c>
      <c r="JX20" s="6">
        <v>1151.9169999999999</v>
      </c>
      <c r="JY20" s="6">
        <v>1160.999</v>
      </c>
      <c r="JZ20" s="6">
        <v>1170.1510000000001</v>
      </c>
      <c r="KA20" s="6">
        <v>1179.3720000000001</v>
      </c>
      <c r="KB20" s="6">
        <v>1188.663</v>
      </c>
      <c r="KC20" s="6">
        <v>1198.0250000000001</v>
      </c>
      <c r="KD20" s="6">
        <v>1207.4559999999999</v>
      </c>
      <c r="KE20" s="6">
        <v>1216.9570000000001</v>
      </c>
      <c r="KF20" s="6">
        <v>1226.53</v>
      </c>
      <c r="KG20" s="6">
        <v>1236.173</v>
      </c>
      <c r="KH20" s="6">
        <v>1245.8879999999999</v>
      </c>
      <c r="KI20" s="6">
        <v>1255.6759999999999</v>
      </c>
      <c r="KJ20" s="6">
        <v>1265.5360000000001</v>
      </c>
      <c r="KK20" s="6">
        <v>1275.4690000000001</v>
      </c>
      <c r="KL20" s="6">
        <v>1285.4770000000001</v>
      </c>
      <c r="KM20" s="6">
        <v>1295.559</v>
      </c>
      <c r="KN20" s="6">
        <v>1305.7149999999999</v>
      </c>
      <c r="KO20" s="6">
        <v>1315.9459999999999</v>
      </c>
      <c r="KP20" s="6">
        <v>1326.2539999999999</v>
      </c>
      <c r="KQ20" s="6">
        <v>1336.6389999999999</v>
      </c>
      <c r="KR20" s="6">
        <v>1347.0989999999999</v>
      </c>
      <c r="KS20" s="6">
        <v>1357.6379999999999</v>
      </c>
      <c r="KT20" s="6">
        <v>1368.2550000000001</v>
      </c>
      <c r="KU20" s="6">
        <v>1378.951</v>
      </c>
      <c r="KV20" s="6">
        <v>1389.7260000000001</v>
      </c>
      <c r="KW20" s="6">
        <v>1400.5809999999999</v>
      </c>
      <c r="KX20" s="6">
        <v>1411.5170000000001</v>
      </c>
      <c r="KY20" s="6">
        <v>1422.5340000000001</v>
      </c>
      <c r="KZ20" s="6">
        <v>1433.6320000000001</v>
      </c>
      <c r="LA20" s="6">
        <v>1444.8109999999999</v>
      </c>
      <c r="LB20" s="6">
        <v>1456.075</v>
      </c>
      <c r="LC20" s="6">
        <v>1467.42</v>
      </c>
      <c r="LD20" s="6">
        <v>1478.85</v>
      </c>
      <c r="LE20" s="6">
        <v>1490.3630000000001</v>
      </c>
      <c r="LF20" s="6">
        <v>1501.962</v>
      </c>
      <c r="LG20" s="2" t="s">
        <v>335</v>
      </c>
      <c r="LH20" s="2" t="s">
        <v>336</v>
      </c>
      <c r="LI20" s="2" t="s">
        <v>338</v>
      </c>
      <c r="LJ20" s="2" t="s">
        <v>338</v>
      </c>
      <c r="LK20" s="2" t="s">
        <v>339</v>
      </c>
      <c r="LL20" s="2" t="s">
        <v>623</v>
      </c>
      <c r="LM20" s="2" t="s">
        <v>338</v>
      </c>
      <c r="LN20" s="4" t="s">
        <v>426</v>
      </c>
      <c r="LO20" s="2" t="s">
        <v>427</v>
      </c>
      <c r="LP20" s="2" t="s">
        <v>343</v>
      </c>
      <c r="LQ20" s="2" t="s">
        <v>428</v>
      </c>
      <c r="LR20" s="4" t="s">
        <v>659</v>
      </c>
      <c r="LS20"/>
      <c r="LT20"/>
      <c r="LU20"/>
      <c r="LV20"/>
      <c r="LW20"/>
      <c r="LX20"/>
    </row>
    <row r="21" spans="1:336" x14ac:dyDescent="0.35">
      <c r="A21" s="2" t="s">
        <v>330</v>
      </c>
      <c r="B21" s="2" t="s">
        <v>514</v>
      </c>
      <c r="C21" s="4" t="s">
        <v>658</v>
      </c>
      <c r="D21" s="2" t="s">
        <v>332</v>
      </c>
      <c r="E21" s="2" t="s">
        <v>333</v>
      </c>
      <c r="F21" s="2" t="s">
        <v>334</v>
      </c>
      <c r="G21" s="5">
        <v>9375</v>
      </c>
      <c r="H21" s="5">
        <v>9711</v>
      </c>
      <c r="I21" s="5">
        <v>10012</v>
      </c>
      <c r="J21" s="5">
        <v>10380</v>
      </c>
      <c r="K21" s="5">
        <v>10596</v>
      </c>
      <c r="L21" s="5">
        <v>11121</v>
      </c>
      <c r="M21" s="5">
        <v>12083</v>
      </c>
      <c r="N21" s="5">
        <v>12912</v>
      </c>
      <c r="O21" s="5">
        <v>14391</v>
      </c>
      <c r="P21" s="5">
        <v>14659</v>
      </c>
      <c r="Q21" s="5">
        <v>15563</v>
      </c>
      <c r="R21" s="5">
        <v>15848</v>
      </c>
      <c r="S21" s="5">
        <v>16278</v>
      </c>
      <c r="T21" s="5">
        <v>16723</v>
      </c>
      <c r="U21" s="5">
        <v>17202</v>
      </c>
      <c r="V21" s="5">
        <v>17685</v>
      </c>
      <c r="W21" s="5">
        <v>18192</v>
      </c>
      <c r="X21" s="5">
        <v>18494</v>
      </c>
      <c r="Y21" s="5">
        <v>18884</v>
      </c>
      <c r="Z21" s="5">
        <v>19532</v>
      </c>
      <c r="AA21" s="5">
        <v>20334</v>
      </c>
      <c r="AB21" s="5">
        <v>21257</v>
      </c>
      <c r="AC21" s="5">
        <v>21798</v>
      </c>
      <c r="AD21" s="5">
        <v>22479</v>
      </c>
      <c r="AE21" s="5">
        <v>23365</v>
      </c>
      <c r="AF21" s="5">
        <v>24427</v>
      </c>
      <c r="AG21" s="5">
        <v>25749</v>
      </c>
      <c r="AH21" s="5">
        <v>27095</v>
      </c>
      <c r="AI21" s="5">
        <v>28290</v>
      </c>
      <c r="AJ21" s="5">
        <v>29578</v>
      </c>
      <c r="AK21" s="5">
        <v>30485</v>
      </c>
      <c r="AL21" s="5">
        <v>30980</v>
      </c>
      <c r="AM21" s="5">
        <v>31183</v>
      </c>
      <c r="AN21" s="5">
        <v>31633</v>
      </c>
      <c r="AO21" s="5">
        <v>32287</v>
      </c>
      <c r="AP21" s="5">
        <v>32870</v>
      </c>
      <c r="AQ21" s="5">
        <v>33383</v>
      </c>
      <c r="AR21" s="5">
        <v>33923</v>
      </c>
      <c r="AS21" s="5">
        <v>34218</v>
      </c>
      <c r="AT21" s="5">
        <v>34584</v>
      </c>
      <c r="AU21" s="5">
        <v>35662</v>
      </c>
      <c r="AV21" s="5">
        <v>36167</v>
      </c>
      <c r="AW21" s="5">
        <v>36728</v>
      </c>
      <c r="AX21" s="5">
        <v>37382</v>
      </c>
      <c r="AY21" s="5">
        <v>38028</v>
      </c>
      <c r="AZ21" s="5">
        <v>38664</v>
      </c>
      <c r="BA21" s="5">
        <v>39158</v>
      </c>
      <c r="BB21" s="5">
        <v>40507</v>
      </c>
      <c r="BC21" s="5">
        <v>41815</v>
      </c>
      <c r="BD21" s="5">
        <v>42291</v>
      </c>
      <c r="BE21" s="5">
        <v>42933</v>
      </c>
      <c r="BF21" s="5">
        <v>43938</v>
      </c>
      <c r="BG21" s="5">
        <v>44894</v>
      </c>
      <c r="BH21" s="5">
        <v>45788</v>
      </c>
      <c r="BI21" s="5">
        <v>46565</v>
      </c>
      <c r="BJ21" s="5">
        <v>47221</v>
      </c>
      <c r="BK21" s="5">
        <v>47918</v>
      </c>
      <c r="BL21" s="5">
        <v>49142</v>
      </c>
      <c r="BM21" s="5">
        <v>50573</v>
      </c>
      <c r="BN21" s="5">
        <v>52081</v>
      </c>
      <c r="BO21" s="5">
        <v>53600</v>
      </c>
      <c r="BP21" s="5">
        <v>54866</v>
      </c>
      <c r="BQ21" s="5">
        <v>56587</v>
      </c>
      <c r="BR21" s="5">
        <v>58368</v>
      </c>
      <c r="BS21" s="5">
        <v>59745</v>
      </c>
      <c r="BT21" s="5">
        <v>61400</v>
      </c>
      <c r="BU21" s="5">
        <v>63022</v>
      </c>
      <c r="BV21" s="5">
        <v>65073</v>
      </c>
      <c r="BW21" s="5">
        <v>67024</v>
      </c>
      <c r="BX21" s="5">
        <v>68633</v>
      </c>
      <c r="BY21" s="5">
        <v>69705</v>
      </c>
      <c r="BZ21" s="5">
        <v>70275</v>
      </c>
      <c r="CA21" s="5">
        <v>71362</v>
      </c>
      <c r="CB21" s="5">
        <v>72227</v>
      </c>
      <c r="CC21" s="5">
        <v>73567</v>
      </c>
      <c r="CD21" s="5">
        <v>74440</v>
      </c>
      <c r="CE21" s="5">
        <v>75209</v>
      </c>
      <c r="CF21" s="5">
        <v>75152</v>
      </c>
      <c r="CG21" s="5">
        <v>75133</v>
      </c>
      <c r="CH21" s="5">
        <v>75419</v>
      </c>
      <c r="CI21" s="5">
        <v>75569</v>
      </c>
      <c r="CJ21" s="5">
        <v>76688</v>
      </c>
      <c r="CK21" s="5">
        <v>77806</v>
      </c>
      <c r="CL21" s="5">
        <v>78382</v>
      </c>
      <c r="CM21" s="5">
        <v>78938</v>
      </c>
      <c r="CN21" s="5">
        <v>79168</v>
      </c>
      <c r="CO21" s="5">
        <v>80425</v>
      </c>
      <c r="CP21" s="5">
        <v>81329</v>
      </c>
      <c r="CQ21" s="5">
        <v>82018</v>
      </c>
      <c r="CR21" s="5">
        <v>83079</v>
      </c>
      <c r="CS21" s="5">
        <v>83880</v>
      </c>
      <c r="CT21" s="5">
        <v>85407</v>
      </c>
      <c r="CU21" s="5">
        <v>85835</v>
      </c>
      <c r="CV21" s="5">
        <v>86705</v>
      </c>
      <c r="CW21" s="5">
        <v>88031</v>
      </c>
      <c r="CX21" s="5">
        <v>88882</v>
      </c>
      <c r="CY21" s="5">
        <v>92102</v>
      </c>
      <c r="CZ21" s="5">
        <v>94136</v>
      </c>
      <c r="DA21" s="5">
        <v>95889</v>
      </c>
      <c r="DB21" s="5">
        <v>96781</v>
      </c>
      <c r="DC21" s="5">
        <v>97162</v>
      </c>
      <c r="DD21" s="5">
        <v>98670</v>
      </c>
      <c r="DE21" s="5">
        <v>100519</v>
      </c>
      <c r="DF21" s="5">
        <v>101058</v>
      </c>
      <c r="DG21" s="5">
        <v>103815</v>
      </c>
      <c r="DH21" s="5">
        <v>106514</v>
      </c>
      <c r="DI21" s="5">
        <v>108335</v>
      </c>
      <c r="DJ21" s="5">
        <v>109919</v>
      </c>
      <c r="DK21" s="5">
        <v>110532</v>
      </c>
      <c r="DL21" s="5">
        <v>112629</v>
      </c>
      <c r="DM21" s="5">
        <v>115403</v>
      </c>
      <c r="DN21" s="5">
        <v>117809</v>
      </c>
      <c r="DO21" s="5">
        <v>120543</v>
      </c>
      <c r="DP21" s="5">
        <v>121007</v>
      </c>
      <c r="DQ21" s="5">
        <v>121622</v>
      </c>
      <c r="DR21" s="5">
        <v>122776</v>
      </c>
      <c r="DS21" s="5">
        <v>123527</v>
      </c>
      <c r="DT21" s="5">
        <v>123778</v>
      </c>
      <c r="DU21" s="5">
        <v>125016</v>
      </c>
      <c r="DV21" s="5">
        <v>126386</v>
      </c>
      <c r="DW21" s="5">
        <v>127744</v>
      </c>
      <c r="DX21" s="5">
        <v>129189</v>
      </c>
      <c r="DY21" s="5">
        <v>131275</v>
      </c>
      <c r="DZ21" s="5">
        <v>133492</v>
      </c>
      <c r="EA21" s="5">
        <v>135940</v>
      </c>
      <c r="EB21" s="5">
        <v>136348</v>
      </c>
      <c r="EC21" s="5">
        <v>139004</v>
      </c>
      <c r="ED21" s="5">
        <v>141394</v>
      </c>
      <c r="EE21" s="5">
        <v>144176</v>
      </c>
      <c r="EF21" s="5">
        <v>143428</v>
      </c>
      <c r="EG21" s="5">
        <v>145595</v>
      </c>
      <c r="EH21" s="5">
        <v>145226</v>
      </c>
      <c r="EI21" s="5">
        <v>150695</v>
      </c>
      <c r="EJ21" s="5">
        <v>151290</v>
      </c>
      <c r="EK21" s="5">
        <v>152963</v>
      </c>
      <c r="EL21" s="5">
        <v>155495</v>
      </c>
      <c r="EM21" s="5">
        <v>161456</v>
      </c>
      <c r="EN21" s="5">
        <v>160452</v>
      </c>
      <c r="EO21" s="5">
        <v>164131</v>
      </c>
      <c r="EP21" s="5">
        <v>165275</v>
      </c>
      <c r="EQ21" s="5">
        <v>168351</v>
      </c>
      <c r="ER21" s="5">
        <v>166617</v>
      </c>
      <c r="ES21" s="5">
        <v>166080</v>
      </c>
      <c r="ET21" s="5">
        <v>164352</v>
      </c>
      <c r="EU21" s="5">
        <v>161431</v>
      </c>
      <c r="EV21" s="5">
        <v>164197</v>
      </c>
      <c r="EW21" s="5">
        <v>164164</v>
      </c>
      <c r="EX21" s="5">
        <v>164349</v>
      </c>
      <c r="EY21" s="5">
        <v>164017</v>
      </c>
      <c r="EZ21" s="5">
        <v>163805</v>
      </c>
      <c r="FA21" s="5">
        <v>165789</v>
      </c>
      <c r="FB21" s="5">
        <v>166084</v>
      </c>
      <c r="FC21" s="5">
        <v>170699</v>
      </c>
      <c r="FD21" s="5">
        <v>168973</v>
      </c>
      <c r="FE21" s="5">
        <v>168143</v>
      </c>
      <c r="FF21" s="5">
        <v>168220</v>
      </c>
      <c r="FG21" s="5">
        <v>170232</v>
      </c>
      <c r="FH21" s="5">
        <v>171221</v>
      </c>
      <c r="FI21" s="5">
        <v>171212</v>
      </c>
      <c r="FJ21" s="5">
        <v>172650</v>
      </c>
      <c r="FK21" s="5">
        <v>173499</v>
      </c>
      <c r="FL21" s="5">
        <v>179878</v>
      </c>
      <c r="FM21" s="5">
        <v>180937</v>
      </c>
      <c r="FN21" s="5">
        <v>183254</v>
      </c>
      <c r="FO21" s="5">
        <v>185644</v>
      </c>
      <c r="FP21" s="5">
        <v>185557</v>
      </c>
      <c r="FQ21" s="5">
        <v>185399</v>
      </c>
      <c r="FR21" s="5">
        <v>187477</v>
      </c>
      <c r="FS21" s="5">
        <v>190040</v>
      </c>
      <c r="FT21" s="5">
        <v>190920</v>
      </c>
      <c r="FU21" s="5">
        <v>193493</v>
      </c>
      <c r="FV21" s="5">
        <v>194472</v>
      </c>
      <c r="FW21" s="5">
        <v>196738</v>
      </c>
      <c r="FX21" s="5">
        <v>198487</v>
      </c>
      <c r="FY21" s="5">
        <v>199991</v>
      </c>
      <c r="FZ21" s="5">
        <v>200011</v>
      </c>
      <c r="GA21" s="5">
        <v>203434</v>
      </c>
      <c r="GB21" s="5">
        <v>206362</v>
      </c>
      <c r="GC21" s="5">
        <v>207984</v>
      </c>
      <c r="GD21" s="5">
        <v>209502</v>
      </c>
      <c r="GE21" s="5">
        <v>213466</v>
      </c>
      <c r="GF21" s="5">
        <v>212838</v>
      </c>
      <c r="GG21" s="5">
        <v>216683</v>
      </c>
      <c r="GH21" s="5">
        <v>219523</v>
      </c>
      <c r="GI21" s="5">
        <v>220691</v>
      </c>
      <c r="GJ21" s="5">
        <v>224186</v>
      </c>
      <c r="GK21" s="5">
        <v>223552</v>
      </c>
      <c r="GL21" s="5">
        <v>223933</v>
      </c>
      <c r="GM21" s="5">
        <v>225247</v>
      </c>
      <c r="GN21" s="5">
        <v>217590</v>
      </c>
      <c r="GO21" s="5">
        <v>222584</v>
      </c>
      <c r="GP21" s="5">
        <v>228940</v>
      </c>
      <c r="GQ21" s="5">
        <v>229686</v>
      </c>
      <c r="GR21" s="5">
        <v>236557</v>
      </c>
      <c r="GS21" s="5">
        <v>239832</v>
      </c>
      <c r="GT21" s="5">
        <v>243639</v>
      </c>
      <c r="GU21" s="5">
        <v>249547</v>
      </c>
      <c r="GV21" s="5">
        <v>251707</v>
      </c>
      <c r="GW21" s="5">
        <v>256301</v>
      </c>
      <c r="GX21" s="5">
        <v>262067</v>
      </c>
      <c r="GY21" s="5">
        <v>267415</v>
      </c>
      <c r="GZ21" s="5">
        <v>272996</v>
      </c>
      <c r="HA21" s="5">
        <v>277619</v>
      </c>
      <c r="HB21" s="6">
        <v>278750.5</v>
      </c>
      <c r="HC21" s="6">
        <v>280314.90000000002</v>
      </c>
      <c r="HD21" s="6">
        <v>285058.59999999998</v>
      </c>
      <c r="HE21" s="6">
        <v>287605.8</v>
      </c>
      <c r="HF21" s="6">
        <v>290351.7</v>
      </c>
      <c r="HG21" s="6">
        <v>292877</v>
      </c>
      <c r="HH21" s="6">
        <v>295450.8</v>
      </c>
      <c r="HI21" s="6">
        <v>298180.7</v>
      </c>
      <c r="HJ21" s="6">
        <v>300917.3</v>
      </c>
      <c r="HK21" s="6">
        <v>303597.5</v>
      </c>
      <c r="HL21" s="6">
        <v>306410.2</v>
      </c>
      <c r="HM21" s="6">
        <v>309269.8</v>
      </c>
      <c r="HN21" s="6">
        <v>312193.2</v>
      </c>
      <c r="HO21" s="6">
        <v>315139.3</v>
      </c>
      <c r="HP21" s="6">
        <v>318126</v>
      </c>
      <c r="HQ21" s="6">
        <v>321173.2</v>
      </c>
      <c r="HR21" s="6">
        <v>324240.2</v>
      </c>
      <c r="HS21" s="6">
        <v>327210.09999999998</v>
      </c>
      <c r="HT21" s="6">
        <v>330193.59999999998</v>
      </c>
      <c r="HU21" s="6">
        <v>333202.8</v>
      </c>
      <c r="HV21" s="6">
        <v>336221</v>
      </c>
      <c r="HW21" s="6">
        <v>339194.3</v>
      </c>
      <c r="HX21" s="6">
        <v>342170.1</v>
      </c>
      <c r="HY21" s="6">
        <v>345184.2</v>
      </c>
      <c r="HZ21" s="6">
        <v>348220.5</v>
      </c>
      <c r="IA21" s="6">
        <v>351254.6</v>
      </c>
      <c r="IB21" s="6">
        <v>354330.5</v>
      </c>
      <c r="IC21" s="6">
        <v>357456.9</v>
      </c>
      <c r="ID21" s="6">
        <v>360614.1</v>
      </c>
      <c r="IE21" s="6">
        <v>363773.3</v>
      </c>
      <c r="IF21" s="6">
        <v>366969.4</v>
      </c>
      <c r="IG21" s="6">
        <v>370202.3</v>
      </c>
      <c r="IH21" s="6">
        <v>373473.4</v>
      </c>
      <c r="II21" s="6">
        <v>376745.1</v>
      </c>
      <c r="IJ21" s="6">
        <v>380054.6</v>
      </c>
      <c r="IK21" s="6">
        <v>383335.6</v>
      </c>
      <c r="IL21" s="6">
        <v>386625.4</v>
      </c>
      <c r="IM21" s="6">
        <v>389969.6</v>
      </c>
      <c r="IN21" s="6">
        <v>393303.6</v>
      </c>
      <c r="IO21" s="6">
        <v>396652.79999999999</v>
      </c>
      <c r="IP21" s="6">
        <v>400030.7</v>
      </c>
      <c r="IQ21" s="6">
        <v>403459.2</v>
      </c>
      <c r="IR21" s="6">
        <v>406931.5</v>
      </c>
      <c r="IS21" s="6">
        <v>410362.2</v>
      </c>
      <c r="IT21" s="6">
        <v>413836.2</v>
      </c>
      <c r="IU21" s="6">
        <v>417378.7</v>
      </c>
      <c r="IV21" s="6">
        <v>420966.8</v>
      </c>
      <c r="IW21" s="6">
        <v>424591.2</v>
      </c>
      <c r="IX21" s="6">
        <v>428254.1</v>
      </c>
      <c r="IY21" s="6">
        <v>431959.3</v>
      </c>
      <c r="IZ21" s="6">
        <v>435707.9</v>
      </c>
      <c r="JA21" s="6">
        <v>439500.9</v>
      </c>
      <c r="JB21" s="6">
        <v>443339.1</v>
      </c>
      <c r="JC21" s="6">
        <v>447213.4</v>
      </c>
      <c r="JD21" s="6">
        <v>451124.2</v>
      </c>
      <c r="JE21" s="6">
        <v>455071.3</v>
      </c>
      <c r="JF21" s="6">
        <v>459055.6</v>
      </c>
      <c r="JG21" s="6">
        <v>463087.5</v>
      </c>
      <c r="JH21" s="6">
        <v>467167.1</v>
      </c>
      <c r="JI21" s="6">
        <v>471295.6</v>
      </c>
      <c r="JJ21" s="6">
        <v>475473.8</v>
      </c>
      <c r="JK21" s="6">
        <v>479692.3</v>
      </c>
      <c r="JL21" s="6">
        <v>483950.8</v>
      </c>
      <c r="JM21" s="6">
        <v>488250.3</v>
      </c>
      <c r="JN21" s="6">
        <v>492590.5</v>
      </c>
      <c r="JO21" s="6">
        <v>496972.79999999999</v>
      </c>
      <c r="JP21" s="6">
        <v>501395.7</v>
      </c>
      <c r="JQ21" s="6">
        <v>505859</v>
      </c>
      <c r="JR21" s="6">
        <v>510362.1</v>
      </c>
      <c r="JS21" s="6">
        <v>514855.9</v>
      </c>
      <c r="JT21" s="6">
        <v>519392.4</v>
      </c>
      <c r="JU21" s="6">
        <v>523971.7</v>
      </c>
      <c r="JV21" s="6">
        <v>528593.4</v>
      </c>
      <c r="JW21" s="6">
        <v>533254.40000000002</v>
      </c>
      <c r="JX21" s="6">
        <v>537955.30000000005</v>
      </c>
      <c r="JY21" s="6">
        <v>542695.6</v>
      </c>
      <c r="JZ21" s="6">
        <v>547476.1</v>
      </c>
      <c r="KA21" s="6">
        <v>552297.1</v>
      </c>
      <c r="KB21" s="6">
        <v>557158.80000000005</v>
      </c>
      <c r="KC21" s="6">
        <v>562061.30000000005</v>
      </c>
      <c r="KD21" s="6">
        <v>567004.6</v>
      </c>
      <c r="KE21" s="6">
        <v>571989.1</v>
      </c>
      <c r="KF21" s="6">
        <v>577015.5</v>
      </c>
      <c r="KG21" s="6">
        <v>582083.19999999995</v>
      </c>
      <c r="KH21" s="6">
        <v>587193.30000000005</v>
      </c>
      <c r="KI21" s="6">
        <v>592345.59999999998</v>
      </c>
      <c r="KJ21" s="6">
        <v>597540.9</v>
      </c>
      <c r="KK21" s="6">
        <v>602779.1</v>
      </c>
      <c r="KL21" s="6">
        <v>608060.5</v>
      </c>
      <c r="KM21" s="6">
        <v>613386.19999999995</v>
      </c>
      <c r="KN21" s="6">
        <v>618755.6</v>
      </c>
      <c r="KO21" s="6">
        <v>624169.6</v>
      </c>
      <c r="KP21" s="6">
        <v>629628.30000000005</v>
      </c>
      <c r="KQ21" s="6">
        <v>635132.6</v>
      </c>
      <c r="KR21" s="6">
        <v>640681.9</v>
      </c>
      <c r="KS21" s="6">
        <v>646277.30000000005</v>
      </c>
      <c r="KT21" s="6">
        <v>651919.30000000005</v>
      </c>
      <c r="KU21" s="6">
        <v>657607.80000000005</v>
      </c>
      <c r="KV21" s="6">
        <v>663343.6</v>
      </c>
      <c r="KW21" s="6">
        <v>669126.6</v>
      </c>
      <c r="KX21" s="6">
        <v>674957.6</v>
      </c>
      <c r="KY21" s="6">
        <v>680836.4</v>
      </c>
      <c r="KZ21" s="6">
        <v>686764.1</v>
      </c>
      <c r="LA21" s="6">
        <v>692740.6</v>
      </c>
      <c r="LB21" s="6">
        <v>698766.5</v>
      </c>
      <c r="LC21" s="6">
        <v>704841.5</v>
      </c>
      <c r="LD21" s="6">
        <v>710966.8</v>
      </c>
      <c r="LE21" s="6">
        <v>717142.4</v>
      </c>
      <c r="LF21" s="6">
        <v>723368.7</v>
      </c>
      <c r="LG21" s="2" t="s">
        <v>335</v>
      </c>
      <c r="LH21" s="2" t="s">
        <v>336</v>
      </c>
      <c r="LI21" s="2" t="s">
        <v>338</v>
      </c>
      <c r="LJ21" s="2" t="s">
        <v>338</v>
      </c>
      <c r="LK21" s="2" t="s">
        <v>339</v>
      </c>
      <c r="LL21" s="2" t="s">
        <v>349</v>
      </c>
      <c r="LM21" s="2" t="s">
        <v>338</v>
      </c>
      <c r="LN21" s="2" t="s">
        <v>515</v>
      </c>
      <c r="LO21" s="2" t="s">
        <v>516</v>
      </c>
      <c r="LP21" s="2" t="s">
        <v>343</v>
      </c>
      <c r="LQ21" s="2" t="s">
        <v>517</v>
      </c>
      <c r="LR21" s="4" t="s">
        <v>659</v>
      </c>
      <c r="LS21"/>
      <c r="LT21"/>
      <c r="LU21"/>
      <c r="LV21"/>
      <c r="LW21"/>
      <c r="LX21"/>
    </row>
    <row r="22" spans="1:336" x14ac:dyDescent="0.35">
      <c r="A22" s="2" t="s">
        <v>330</v>
      </c>
      <c r="B22" s="2" t="s">
        <v>507</v>
      </c>
      <c r="C22" s="4" t="s">
        <v>658</v>
      </c>
      <c r="D22" s="2" t="s">
        <v>425</v>
      </c>
      <c r="E22" s="2" t="s">
        <v>338</v>
      </c>
      <c r="F22" s="2" t="s">
        <v>334</v>
      </c>
      <c r="G22" s="5">
        <v>422.94130000000001</v>
      </c>
      <c r="H22" s="5">
        <v>437.9837</v>
      </c>
      <c r="I22" s="5">
        <v>450.7047</v>
      </c>
      <c r="J22" s="5">
        <v>466.57260000000002</v>
      </c>
      <c r="K22" s="5">
        <v>477.0573</v>
      </c>
      <c r="L22" s="5">
        <v>498.78399999999999</v>
      </c>
      <c r="M22" s="5">
        <v>539.79989999999998</v>
      </c>
      <c r="N22" s="5">
        <v>578.12270000000001</v>
      </c>
      <c r="O22" s="5">
        <v>647.09130000000005</v>
      </c>
      <c r="P22" s="5">
        <v>659.83810000000005</v>
      </c>
      <c r="Q22" s="5">
        <v>702.04330000000004</v>
      </c>
      <c r="R22" s="5">
        <v>716.82809999999995</v>
      </c>
      <c r="S22" s="5">
        <v>738.07280000000003</v>
      </c>
      <c r="T22" s="5">
        <v>758.95640000000003</v>
      </c>
      <c r="U22" s="5">
        <v>780.03769999999997</v>
      </c>
      <c r="V22" s="5">
        <v>800.90989999999999</v>
      </c>
      <c r="W22" s="5">
        <v>823.06899999999996</v>
      </c>
      <c r="X22" s="5">
        <v>836.28859999999997</v>
      </c>
      <c r="Y22" s="5">
        <v>853.28279999999995</v>
      </c>
      <c r="Z22" s="5">
        <v>882.3682</v>
      </c>
      <c r="AA22" s="5">
        <v>915.48540000000003</v>
      </c>
      <c r="AB22" s="5">
        <v>958.6979</v>
      </c>
      <c r="AC22" s="5">
        <v>979.16189999999995</v>
      </c>
      <c r="AD22" s="5">
        <v>1002.336</v>
      </c>
      <c r="AE22" s="5">
        <v>1040.548</v>
      </c>
      <c r="AF22" s="5">
        <v>1083.067</v>
      </c>
      <c r="AG22" s="5">
        <v>1139.682</v>
      </c>
      <c r="AH22" s="5">
        <v>1198.3510000000001</v>
      </c>
      <c r="AI22" s="5">
        <v>1256.6559999999999</v>
      </c>
      <c r="AJ22" s="5">
        <v>1320.788</v>
      </c>
      <c r="AK22" s="5">
        <v>1377.7919999999999</v>
      </c>
      <c r="AL22" s="5">
        <v>1419.0419999999999</v>
      </c>
      <c r="AM22" s="5">
        <v>1445.7460000000001</v>
      </c>
      <c r="AN22" s="5">
        <v>1481.0730000000001</v>
      </c>
      <c r="AO22" s="5">
        <v>1519.57</v>
      </c>
      <c r="AP22" s="5">
        <v>1560.4949999999999</v>
      </c>
      <c r="AQ22" s="5">
        <v>1588.7190000000001</v>
      </c>
      <c r="AR22" s="5">
        <v>1621.8520000000001</v>
      </c>
      <c r="AS22" s="5">
        <v>1645.3019999999999</v>
      </c>
      <c r="AT22" s="5">
        <v>1677.7139999999999</v>
      </c>
      <c r="AU22" s="5">
        <v>1735.998</v>
      </c>
      <c r="AV22" s="5">
        <v>1757.346</v>
      </c>
      <c r="AW22" s="5">
        <v>1777.221</v>
      </c>
      <c r="AX22" s="5">
        <v>1805.329</v>
      </c>
      <c r="AY22" s="5">
        <v>1833.021</v>
      </c>
      <c r="AZ22" s="5">
        <v>1859.9649999999999</v>
      </c>
      <c r="BA22" s="5">
        <v>1876.902</v>
      </c>
      <c r="BB22" s="5">
        <v>1935.8820000000001</v>
      </c>
      <c r="BC22" s="5">
        <v>1996.2460000000001</v>
      </c>
      <c r="BD22" s="5">
        <v>2015.9390000000001</v>
      </c>
      <c r="BE22" s="5">
        <v>2043.298</v>
      </c>
      <c r="BF22" s="5">
        <v>2093.2809999999999</v>
      </c>
      <c r="BG22" s="5">
        <v>2142.5929999999998</v>
      </c>
      <c r="BH22" s="5">
        <v>2185.8229999999999</v>
      </c>
      <c r="BI22" s="5">
        <v>2220.4349999999999</v>
      </c>
      <c r="BJ22" s="5">
        <v>2251.2330000000002</v>
      </c>
      <c r="BK22" s="5">
        <v>2282.895</v>
      </c>
      <c r="BL22" s="5">
        <v>2321.7919999999999</v>
      </c>
      <c r="BM22" s="5">
        <v>2369.9499999999998</v>
      </c>
      <c r="BN22" s="5">
        <v>2418.279</v>
      </c>
      <c r="BO22" s="5">
        <v>2470.636</v>
      </c>
      <c r="BP22" s="5">
        <v>2512.3130000000001</v>
      </c>
      <c r="BQ22" s="5">
        <v>2569.6179999999999</v>
      </c>
      <c r="BR22" s="5">
        <v>2641.6390000000001</v>
      </c>
      <c r="BS22" s="5">
        <v>2684.4940000000001</v>
      </c>
      <c r="BT22" s="5">
        <v>2756.2930000000001</v>
      </c>
      <c r="BU22" s="5">
        <v>2816.473</v>
      </c>
      <c r="BV22" s="5">
        <v>2895.6689999999999</v>
      </c>
      <c r="BW22" s="5">
        <v>2978.6680000000001</v>
      </c>
      <c r="BX22" s="5">
        <v>3042.386</v>
      </c>
      <c r="BY22" s="5">
        <v>3096.3310000000001</v>
      </c>
      <c r="BZ22" s="5">
        <v>3142.5079999999998</v>
      </c>
      <c r="CA22" s="5">
        <v>3224.9960000000001</v>
      </c>
      <c r="CB22" s="5">
        <v>3293.2919999999999</v>
      </c>
      <c r="CC22" s="5">
        <v>3373.0810000000001</v>
      </c>
      <c r="CD22" s="5">
        <v>3431.9459999999999</v>
      </c>
      <c r="CE22" s="5">
        <v>3467.9760000000001</v>
      </c>
      <c r="CF22" s="5">
        <v>3483.1289999999999</v>
      </c>
      <c r="CG22" s="5">
        <v>3486.288</v>
      </c>
      <c r="CH22" s="5">
        <v>3519.4830000000002</v>
      </c>
      <c r="CI22" s="5">
        <v>3533.2429999999999</v>
      </c>
      <c r="CJ22" s="5">
        <v>3585.3939999999998</v>
      </c>
      <c r="CK22" s="5">
        <v>3630.5349999999999</v>
      </c>
      <c r="CL22" s="5">
        <v>3662.1970000000001</v>
      </c>
      <c r="CM22" s="5">
        <v>3681.2950000000001</v>
      </c>
      <c r="CN22" s="5">
        <v>3682.5749999999998</v>
      </c>
      <c r="CO22" s="5">
        <v>3730.634</v>
      </c>
      <c r="CP22" s="5">
        <v>3764.5340000000001</v>
      </c>
      <c r="CQ22" s="5">
        <v>3784.6889999999999</v>
      </c>
      <c r="CR22" s="5">
        <v>3813.2370000000001</v>
      </c>
      <c r="CS22" s="5">
        <v>3825.77</v>
      </c>
      <c r="CT22" s="5">
        <v>3869.8229999999999</v>
      </c>
      <c r="CU22" s="5">
        <v>3882.18</v>
      </c>
      <c r="CV22" s="5">
        <v>3914.6239999999998</v>
      </c>
      <c r="CW22" s="5">
        <v>3968.22</v>
      </c>
      <c r="CX22" s="5">
        <v>3978.2469999999998</v>
      </c>
      <c r="CY22" s="5">
        <v>4081.9929999999999</v>
      </c>
      <c r="CZ22" s="5">
        <v>4143.857</v>
      </c>
      <c r="DA22" s="5">
        <v>4207.8729999999996</v>
      </c>
      <c r="DB22" s="5">
        <v>4225.6909999999998</v>
      </c>
      <c r="DC22" s="5">
        <v>4229.5839999999998</v>
      </c>
      <c r="DD22" s="5">
        <v>4273.2780000000002</v>
      </c>
      <c r="DE22" s="5">
        <v>4319.6819999999998</v>
      </c>
      <c r="DF22" s="5">
        <v>4319.2709999999997</v>
      </c>
      <c r="DG22" s="5">
        <v>4422.741</v>
      </c>
      <c r="DH22" s="5">
        <v>4529.62</v>
      </c>
      <c r="DI22" s="5">
        <v>4579.0190000000002</v>
      </c>
      <c r="DJ22" s="5">
        <v>4624.2740000000003</v>
      </c>
      <c r="DK22" s="5">
        <v>4637.7709999999997</v>
      </c>
      <c r="DL22" s="5">
        <v>4701.4949999999999</v>
      </c>
      <c r="DM22" s="5">
        <v>4802.4549999999999</v>
      </c>
      <c r="DN22" s="5">
        <v>4890.7749999999996</v>
      </c>
      <c r="DO22" s="5">
        <v>5001.3689999999997</v>
      </c>
      <c r="DP22" s="5">
        <v>5002.7700000000004</v>
      </c>
      <c r="DQ22" s="5">
        <v>5029.6509999999998</v>
      </c>
      <c r="DR22" s="5">
        <v>5057.9219999999996</v>
      </c>
      <c r="DS22" s="5">
        <v>5089.49</v>
      </c>
      <c r="DT22" s="5">
        <v>5073.9089999999997</v>
      </c>
      <c r="DU22" s="5">
        <v>5126.5479999999998</v>
      </c>
      <c r="DV22" s="5">
        <v>5142.66</v>
      </c>
      <c r="DW22" s="5">
        <v>5215.1049999999996</v>
      </c>
      <c r="DX22" s="5">
        <v>5274.7430000000004</v>
      </c>
      <c r="DY22" s="5">
        <v>5382.1080000000002</v>
      </c>
      <c r="DZ22" s="5">
        <v>5458.2330000000002</v>
      </c>
      <c r="EA22" s="5">
        <v>5521.0789999999997</v>
      </c>
      <c r="EB22" s="5">
        <v>5546.8860000000004</v>
      </c>
      <c r="EC22" s="5">
        <v>5624.5039999999999</v>
      </c>
      <c r="ED22" s="5">
        <v>5694.482</v>
      </c>
      <c r="EE22" s="5">
        <v>5778.8289999999997</v>
      </c>
      <c r="EF22" s="5">
        <v>5743.0929999999998</v>
      </c>
      <c r="EG22" s="5">
        <v>5808.4660000000003</v>
      </c>
      <c r="EH22" s="5">
        <v>5809.2719999999999</v>
      </c>
      <c r="EI22" s="5">
        <v>5993.5169999999998</v>
      </c>
      <c r="EJ22" s="5">
        <v>6001.19</v>
      </c>
      <c r="EK22" s="5">
        <v>6067.3119999999999</v>
      </c>
      <c r="EL22" s="5">
        <v>6166.277</v>
      </c>
      <c r="EM22" s="5">
        <v>6414.875</v>
      </c>
      <c r="EN22" s="5">
        <v>6339.4709999999995</v>
      </c>
      <c r="EO22" s="5">
        <v>6466.942</v>
      </c>
      <c r="EP22" s="5">
        <v>6476.04</v>
      </c>
      <c r="EQ22" s="5">
        <v>6580.8379999999997</v>
      </c>
      <c r="ER22" s="5">
        <v>6498.0690000000004</v>
      </c>
      <c r="ES22" s="5">
        <v>6496.1270000000004</v>
      </c>
      <c r="ET22" s="5">
        <v>6443.4080000000004</v>
      </c>
      <c r="EU22" s="5">
        <v>6371.857</v>
      </c>
      <c r="EV22" s="5">
        <v>6556.6030000000001</v>
      </c>
      <c r="EW22" s="5">
        <v>6566.0349999999999</v>
      </c>
      <c r="EX22" s="5">
        <v>6577.1170000000002</v>
      </c>
      <c r="EY22" s="5">
        <v>6601.875</v>
      </c>
      <c r="EZ22" s="5">
        <v>6547.2240000000002</v>
      </c>
      <c r="FA22" s="5">
        <v>6603.5609999999997</v>
      </c>
      <c r="FB22" s="5">
        <v>6617.42</v>
      </c>
      <c r="FC22" s="5">
        <v>6764.375</v>
      </c>
      <c r="FD22" s="5">
        <v>6692.7950000000001</v>
      </c>
      <c r="FE22" s="5">
        <v>6733.2610000000004</v>
      </c>
      <c r="FF22" s="5">
        <v>6724.4960000000001</v>
      </c>
      <c r="FG22" s="5">
        <v>6797.8590000000004</v>
      </c>
      <c r="FH22" s="5">
        <v>6797.991</v>
      </c>
      <c r="FI22" s="5">
        <v>6779.3310000000001</v>
      </c>
      <c r="FJ22" s="5">
        <v>6805.55</v>
      </c>
      <c r="FK22" s="5">
        <v>6831.2070000000003</v>
      </c>
      <c r="FL22" s="5">
        <v>7064.567</v>
      </c>
      <c r="FM22" s="5">
        <v>7073.6540000000005</v>
      </c>
      <c r="FN22" s="5">
        <v>7154.1670000000004</v>
      </c>
      <c r="FO22" s="5">
        <v>7221.8159999999998</v>
      </c>
      <c r="FP22" s="5">
        <v>7176</v>
      </c>
      <c r="FQ22" s="5">
        <v>7114.8590000000004</v>
      </c>
      <c r="FR22" s="5">
        <v>7151.2439999999997</v>
      </c>
      <c r="FS22" s="5">
        <v>7196.0320000000002</v>
      </c>
      <c r="FT22" s="5">
        <v>7235.93</v>
      </c>
      <c r="FU22" s="5">
        <v>7286.7740000000003</v>
      </c>
      <c r="FV22" s="5">
        <v>7292.8819999999996</v>
      </c>
      <c r="FW22" s="5">
        <v>7378.1360000000004</v>
      </c>
      <c r="FX22" s="5">
        <v>7418.134</v>
      </c>
      <c r="FY22" s="5">
        <v>7455.1180000000004</v>
      </c>
      <c r="FZ22" s="5">
        <v>7453.085</v>
      </c>
      <c r="GA22" s="5">
        <v>7552.2139999999999</v>
      </c>
      <c r="GB22" s="5">
        <v>7621.8649999999998</v>
      </c>
      <c r="GC22" s="5">
        <v>7682.0569999999998</v>
      </c>
      <c r="GD22" s="5">
        <v>7709.6490000000003</v>
      </c>
      <c r="GE22" s="5">
        <v>7783.6279999999997</v>
      </c>
      <c r="GF22" s="5">
        <v>7753.0959999999995</v>
      </c>
      <c r="GG22" s="5">
        <v>7876.518</v>
      </c>
      <c r="GH22" s="5">
        <v>7956.6149999999998</v>
      </c>
      <c r="GI22" s="5">
        <v>7998.0789999999997</v>
      </c>
      <c r="GJ22" s="5">
        <v>8102.4250000000002</v>
      </c>
      <c r="GK22" s="5">
        <v>8093.8450000000003</v>
      </c>
      <c r="GL22" s="5">
        <v>8076.643</v>
      </c>
      <c r="GM22" s="5">
        <v>8091.6409999999996</v>
      </c>
      <c r="GN22" s="5">
        <v>7847.585</v>
      </c>
      <c r="GO22" s="5">
        <v>8025.9620000000004</v>
      </c>
      <c r="GP22" s="5">
        <v>8261.7009999999991</v>
      </c>
      <c r="GQ22" s="5">
        <v>8270.7139999999999</v>
      </c>
      <c r="GR22" s="5">
        <v>8477.8340000000007</v>
      </c>
      <c r="GS22" s="5">
        <v>8512.8310000000001</v>
      </c>
      <c r="GT22" s="5">
        <v>8625.9159999999993</v>
      </c>
      <c r="GU22" s="5">
        <v>8834.7729999999992</v>
      </c>
      <c r="GV22" s="5">
        <v>8870.4189999999999</v>
      </c>
      <c r="GW22" s="5">
        <v>8982.9320000000007</v>
      </c>
      <c r="GX22" s="5">
        <v>9152.6209999999992</v>
      </c>
      <c r="GY22" s="5">
        <v>9328.6470000000008</v>
      </c>
      <c r="GZ22" s="5">
        <v>9516.0339999999997</v>
      </c>
      <c r="HA22" s="5">
        <v>9695.7710000000006</v>
      </c>
      <c r="HB22" s="6">
        <v>9720.0110000000004</v>
      </c>
      <c r="HC22" s="6">
        <v>9797.7710000000006</v>
      </c>
      <c r="HD22" s="6">
        <v>9944.7369999999992</v>
      </c>
      <c r="HE22" s="6">
        <v>10014.35</v>
      </c>
      <c r="HF22" s="6">
        <v>10079.44</v>
      </c>
      <c r="HG22" s="6">
        <v>10142.94</v>
      </c>
      <c r="HH22" s="6">
        <v>10204.19</v>
      </c>
      <c r="HI22" s="6">
        <v>10269.52</v>
      </c>
      <c r="HJ22" s="6">
        <v>10337.68</v>
      </c>
      <c r="HK22" s="6">
        <v>10408.5</v>
      </c>
      <c r="HL22" s="6">
        <v>10479.58</v>
      </c>
      <c r="HM22" s="6">
        <v>10551.88</v>
      </c>
      <c r="HN22" s="6">
        <v>10624.41</v>
      </c>
      <c r="HO22" s="6">
        <v>10697.27</v>
      </c>
      <c r="HP22" s="6">
        <v>10770.89</v>
      </c>
      <c r="HQ22" s="6">
        <v>10845.33</v>
      </c>
      <c r="HR22" s="6">
        <v>10919.69</v>
      </c>
      <c r="HS22" s="6">
        <v>10994.58</v>
      </c>
      <c r="HT22" s="6">
        <v>11069.62</v>
      </c>
      <c r="HU22" s="6">
        <v>11145.13</v>
      </c>
      <c r="HV22" s="6">
        <v>11220.54</v>
      </c>
      <c r="HW22" s="6">
        <v>11296.24</v>
      </c>
      <c r="HX22" s="6">
        <v>11372.52</v>
      </c>
      <c r="HY22" s="6">
        <v>11449.72</v>
      </c>
      <c r="HZ22" s="6">
        <v>11527.3</v>
      </c>
      <c r="IA22" s="6">
        <v>11605.61</v>
      </c>
      <c r="IB22" s="6">
        <v>11684.96</v>
      </c>
      <c r="IC22" s="6">
        <v>11765.63</v>
      </c>
      <c r="ID22" s="6">
        <v>11846.96</v>
      </c>
      <c r="IE22" s="6">
        <v>11929.2</v>
      </c>
      <c r="IF22" s="6">
        <v>12012.31</v>
      </c>
      <c r="IG22" s="6">
        <v>12096.29</v>
      </c>
      <c r="IH22" s="6">
        <v>12181.17</v>
      </c>
      <c r="II22" s="6">
        <v>12266.95</v>
      </c>
      <c r="IJ22" s="6">
        <v>12353.64</v>
      </c>
      <c r="IK22" s="6">
        <v>12441.56</v>
      </c>
      <c r="IL22" s="6">
        <v>12530.73</v>
      </c>
      <c r="IM22" s="6">
        <v>12620.86</v>
      </c>
      <c r="IN22" s="6">
        <v>12712.26</v>
      </c>
      <c r="IO22" s="6">
        <v>12804.63</v>
      </c>
      <c r="IP22" s="6">
        <v>12898.16</v>
      </c>
      <c r="IQ22" s="6">
        <v>12993.02</v>
      </c>
      <c r="IR22" s="6">
        <v>13088.9</v>
      </c>
      <c r="IS22" s="6">
        <v>13186.15</v>
      </c>
      <c r="IT22" s="6">
        <v>13284.56</v>
      </c>
      <c r="IU22" s="6">
        <v>13384.21</v>
      </c>
      <c r="IV22" s="6">
        <v>13485.11</v>
      </c>
      <c r="IW22" s="6">
        <v>13586.96</v>
      </c>
      <c r="IX22" s="6">
        <v>13689.83</v>
      </c>
      <c r="IY22" s="6">
        <v>13793.84</v>
      </c>
      <c r="IZ22" s="6">
        <v>13899.01</v>
      </c>
      <c r="JA22" s="6">
        <v>14005.38</v>
      </c>
      <c r="JB22" s="6">
        <v>14112.96</v>
      </c>
      <c r="JC22" s="6">
        <v>14221.47</v>
      </c>
      <c r="JD22" s="6">
        <v>14330.91</v>
      </c>
      <c r="JE22" s="6">
        <v>14441.28</v>
      </c>
      <c r="JF22" s="6">
        <v>14552.6</v>
      </c>
      <c r="JG22" s="6">
        <v>14665.19</v>
      </c>
      <c r="JH22" s="6">
        <v>14779.06</v>
      </c>
      <c r="JI22" s="6">
        <v>14894.24</v>
      </c>
      <c r="JJ22" s="6">
        <v>15010.75</v>
      </c>
      <c r="JK22" s="6">
        <v>15128.29</v>
      </c>
      <c r="JL22" s="6">
        <v>15246.85</v>
      </c>
      <c r="JM22" s="6">
        <v>15366.45</v>
      </c>
      <c r="JN22" s="6">
        <v>15487.09</v>
      </c>
      <c r="JO22" s="6">
        <v>15608.8</v>
      </c>
      <c r="JP22" s="6">
        <v>15731.54</v>
      </c>
      <c r="JQ22" s="6">
        <v>15855.29</v>
      </c>
      <c r="JR22" s="6">
        <v>15980.03</v>
      </c>
      <c r="JS22" s="6">
        <v>16105.84</v>
      </c>
      <c r="JT22" s="6">
        <v>16232.75</v>
      </c>
      <c r="JU22" s="6">
        <v>16360.76</v>
      </c>
      <c r="JV22" s="6">
        <v>16489.86</v>
      </c>
      <c r="JW22" s="6">
        <v>16619.95</v>
      </c>
      <c r="JX22" s="6">
        <v>16751.03</v>
      </c>
      <c r="JY22" s="6">
        <v>16883.11</v>
      </c>
      <c r="JZ22" s="6">
        <v>17016.189999999999</v>
      </c>
      <c r="KA22" s="6">
        <v>17150.28</v>
      </c>
      <c r="KB22" s="6">
        <v>17285.39</v>
      </c>
      <c r="KC22" s="6">
        <v>17421.52</v>
      </c>
      <c r="KD22" s="6">
        <v>17558.66</v>
      </c>
      <c r="KE22" s="6">
        <v>17696.830000000002</v>
      </c>
      <c r="KF22" s="6">
        <v>17836.04</v>
      </c>
      <c r="KG22" s="6">
        <v>17976.27</v>
      </c>
      <c r="KH22" s="6">
        <v>18117.55</v>
      </c>
      <c r="KI22" s="6">
        <v>18259.88</v>
      </c>
      <c r="KJ22" s="6">
        <v>18403.27</v>
      </c>
      <c r="KK22" s="6">
        <v>18547.72</v>
      </c>
      <c r="KL22" s="6">
        <v>18693.240000000002</v>
      </c>
      <c r="KM22" s="6">
        <v>18839.849999999999</v>
      </c>
      <c r="KN22" s="6">
        <v>18987.54</v>
      </c>
      <c r="KO22" s="6">
        <v>19136.330000000002</v>
      </c>
      <c r="KP22" s="6">
        <v>19286.22</v>
      </c>
      <c r="KQ22" s="6">
        <v>19437.23</v>
      </c>
      <c r="KR22" s="6">
        <v>19589.349999999999</v>
      </c>
      <c r="KS22" s="6">
        <v>19742.599999999999</v>
      </c>
      <c r="KT22" s="6">
        <v>19896.990000000002</v>
      </c>
      <c r="KU22" s="6">
        <v>20052.53</v>
      </c>
      <c r="KV22" s="6">
        <v>20209.22</v>
      </c>
      <c r="KW22" s="6">
        <v>20367.07</v>
      </c>
      <c r="KX22" s="6">
        <v>20526.099999999999</v>
      </c>
      <c r="KY22" s="6">
        <v>20686.3</v>
      </c>
      <c r="KZ22" s="6">
        <v>20847.689999999999</v>
      </c>
      <c r="LA22" s="6">
        <v>21010.27</v>
      </c>
      <c r="LB22" s="6">
        <v>21174.06</v>
      </c>
      <c r="LC22" s="6">
        <v>21339.040000000001</v>
      </c>
      <c r="LD22" s="6">
        <v>21505.25</v>
      </c>
      <c r="LE22" s="6">
        <v>21672.68</v>
      </c>
      <c r="LF22" s="6">
        <v>21841.34</v>
      </c>
      <c r="LG22" s="2" t="s">
        <v>508</v>
      </c>
      <c r="LH22" s="2" t="s">
        <v>336</v>
      </c>
      <c r="LI22" s="2" t="s">
        <v>338</v>
      </c>
      <c r="LJ22" s="2" t="s">
        <v>338</v>
      </c>
      <c r="LK22" s="2" t="s">
        <v>339</v>
      </c>
      <c r="LL22" s="2" t="s">
        <v>349</v>
      </c>
      <c r="LM22" s="2" t="s">
        <v>338</v>
      </c>
      <c r="LN22" s="2" t="s">
        <v>508</v>
      </c>
      <c r="LO22" s="2" t="s">
        <v>338</v>
      </c>
      <c r="LP22" s="2" t="s">
        <v>343</v>
      </c>
      <c r="LQ22" s="2" t="s">
        <v>509</v>
      </c>
      <c r="LR22" s="4" t="s">
        <v>659</v>
      </c>
      <c r="LS22"/>
      <c r="LT22"/>
      <c r="LU22"/>
      <c r="LV22"/>
      <c r="LW22"/>
      <c r="LX22"/>
    </row>
    <row r="23" spans="1:336" x14ac:dyDescent="0.35">
      <c r="A23" s="2" t="s">
        <v>330</v>
      </c>
      <c r="B23" s="2" t="s">
        <v>510</v>
      </c>
      <c r="C23" s="4" t="s">
        <v>658</v>
      </c>
      <c r="D23" s="2" t="s">
        <v>629</v>
      </c>
      <c r="E23" s="2" t="s">
        <v>411</v>
      </c>
      <c r="F23" s="2" t="s">
        <v>334</v>
      </c>
      <c r="G23" s="5">
        <v>22166.19</v>
      </c>
      <c r="H23" s="5">
        <v>22172.06</v>
      </c>
      <c r="I23" s="5">
        <v>22214.1</v>
      </c>
      <c r="J23" s="5">
        <v>22247.34</v>
      </c>
      <c r="K23" s="5">
        <v>22211.17</v>
      </c>
      <c r="L23" s="5">
        <v>22296.23</v>
      </c>
      <c r="M23" s="5">
        <v>22384.22</v>
      </c>
      <c r="N23" s="5">
        <v>22334.36</v>
      </c>
      <c r="O23" s="5">
        <v>22239.52</v>
      </c>
      <c r="P23" s="5">
        <v>22216.06</v>
      </c>
      <c r="Q23" s="5">
        <v>22168.15</v>
      </c>
      <c r="R23" s="5">
        <v>22108.51</v>
      </c>
      <c r="S23" s="5">
        <v>22054.74</v>
      </c>
      <c r="T23" s="5">
        <v>22034.21</v>
      </c>
      <c r="U23" s="5">
        <v>22052.78</v>
      </c>
      <c r="V23" s="5">
        <v>22081.13</v>
      </c>
      <c r="W23" s="5">
        <v>22102.639999999999</v>
      </c>
      <c r="X23" s="5">
        <v>22114.38</v>
      </c>
      <c r="Y23" s="5">
        <v>22131</v>
      </c>
      <c r="Z23" s="5">
        <v>22135.88</v>
      </c>
      <c r="AA23" s="5">
        <v>22211.17</v>
      </c>
      <c r="AB23" s="5">
        <v>22172.78</v>
      </c>
      <c r="AC23" s="5">
        <v>22261.89</v>
      </c>
      <c r="AD23" s="5">
        <v>22426.62</v>
      </c>
      <c r="AE23" s="5">
        <v>22454.52</v>
      </c>
      <c r="AF23" s="5">
        <v>22553.54</v>
      </c>
      <c r="AG23" s="5">
        <v>22593.14</v>
      </c>
      <c r="AH23" s="5">
        <v>22610.240000000002</v>
      </c>
      <c r="AI23" s="5">
        <v>22512.13</v>
      </c>
      <c r="AJ23" s="5">
        <v>22394.21</v>
      </c>
      <c r="AK23" s="5">
        <v>22125.98</v>
      </c>
      <c r="AL23" s="5">
        <v>21831.63</v>
      </c>
      <c r="AM23" s="5">
        <v>21568.799999999999</v>
      </c>
      <c r="AN23" s="5">
        <v>21358.17</v>
      </c>
      <c r="AO23" s="5">
        <v>21247.46</v>
      </c>
      <c r="AP23" s="5">
        <v>21063.83</v>
      </c>
      <c r="AQ23" s="5">
        <v>21012.52</v>
      </c>
      <c r="AR23" s="5">
        <v>20916.21</v>
      </c>
      <c r="AS23" s="5">
        <v>20797.39</v>
      </c>
      <c r="AT23" s="5">
        <v>20613.77</v>
      </c>
      <c r="AU23" s="5">
        <v>20542.66</v>
      </c>
      <c r="AV23" s="5">
        <v>20580.46</v>
      </c>
      <c r="AW23" s="5">
        <v>20665.97</v>
      </c>
      <c r="AX23" s="5">
        <v>20706.48</v>
      </c>
      <c r="AY23" s="5">
        <v>20746.080000000002</v>
      </c>
      <c r="AZ23" s="5">
        <v>20787.490000000002</v>
      </c>
      <c r="BA23" s="5">
        <v>20863.099999999999</v>
      </c>
      <c r="BB23" s="5">
        <v>20924.310000000001</v>
      </c>
      <c r="BC23" s="5">
        <v>20946.810000000001</v>
      </c>
      <c r="BD23" s="5">
        <v>20978.32</v>
      </c>
      <c r="BE23" s="5">
        <v>21011.62</v>
      </c>
      <c r="BF23" s="5">
        <v>20990.02</v>
      </c>
      <c r="BG23" s="5">
        <v>20953.11</v>
      </c>
      <c r="BH23" s="5">
        <v>20947.71</v>
      </c>
      <c r="BI23" s="5">
        <v>20971.12</v>
      </c>
      <c r="BJ23" s="5">
        <v>20975.62</v>
      </c>
      <c r="BK23" s="5">
        <v>20990.02</v>
      </c>
      <c r="BL23" s="5">
        <v>21165.54</v>
      </c>
      <c r="BM23" s="5">
        <v>21339.27</v>
      </c>
      <c r="BN23" s="5">
        <v>21536.39</v>
      </c>
      <c r="BO23" s="5">
        <v>21694.82</v>
      </c>
      <c r="BP23" s="5">
        <v>21838.84</v>
      </c>
      <c r="BQ23" s="5">
        <v>22021.56</v>
      </c>
      <c r="BR23" s="5">
        <v>22095.37</v>
      </c>
      <c r="BS23" s="5">
        <v>22255.59</v>
      </c>
      <c r="BT23" s="5">
        <v>22276.3</v>
      </c>
      <c r="BU23" s="5">
        <v>22376.21</v>
      </c>
      <c r="BV23" s="5">
        <v>22472.53</v>
      </c>
      <c r="BW23" s="5">
        <v>22501.33</v>
      </c>
      <c r="BX23" s="5">
        <v>22558.94</v>
      </c>
      <c r="BY23" s="5">
        <v>22512.13</v>
      </c>
      <c r="BZ23" s="5">
        <v>22362.71</v>
      </c>
      <c r="CA23" s="5">
        <v>22127.78</v>
      </c>
      <c r="CB23" s="5">
        <v>21931.55</v>
      </c>
      <c r="CC23" s="5">
        <v>21810.03</v>
      </c>
      <c r="CD23" s="5">
        <v>21690.32</v>
      </c>
      <c r="CE23" s="5">
        <v>21686.71</v>
      </c>
      <c r="CF23" s="5">
        <v>21576</v>
      </c>
      <c r="CG23" s="5">
        <v>21551</v>
      </c>
      <c r="CH23" s="5">
        <v>21429</v>
      </c>
      <c r="CI23" s="5">
        <v>21388</v>
      </c>
      <c r="CJ23" s="5">
        <v>21389</v>
      </c>
      <c r="CK23" s="5">
        <v>21431</v>
      </c>
      <c r="CL23" s="5">
        <v>21403</v>
      </c>
      <c r="CM23" s="5">
        <v>21443</v>
      </c>
      <c r="CN23" s="5">
        <v>21498</v>
      </c>
      <c r="CO23" s="5">
        <v>21558</v>
      </c>
      <c r="CP23" s="5">
        <v>21604</v>
      </c>
      <c r="CQ23" s="5">
        <v>21671</v>
      </c>
      <c r="CR23" s="5">
        <v>21787</v>
      </c>
      <c r="CS23" s="5">
        <v>21925</v>
      </c>
      <c r="CT23" s="5">
        <v>22070</v>
      </c>
      <c r="CU23" s="5">
        <v>22110</v>
      </c>
      <c r="CV23" s="5">
        <v>22149</v>
      </c>
      <c r="CW23" s="5">
        <v>22184</v>
      </c>
      <c r="CX23" s="5">
        <v>22342</v>
      </c>
      <c r="CY23" s="5">
        <v>22563</v>
      </c>
      <c r="CZ23" s="5">
        <v>22717</v>
      </c>
      <c r="DA23" s="5">
        <v>22788</v>
      </c>
      <c r="DB23" s="5">
        <v>22903</v>
      </c>
      <c r="DC23" s="5">
        <v>22972</v>
      </c>
      <c r="DD23" s="5">
        <v>23090</v>
      </c>
      <c r="DE23" s="5">
        <v>23270</v>
      </c>
      <c r="DF23" s="5">
        <v>23397</v>
      </c>
      <c r="DG23" s="5">
        <v>23473</v>
      </c>
      <c r="DH23" s="5">
        <v>23515</v>
      </c>
      <c r="DI23" s="5">
        <v>23659</v>
      </c>
      <c r="DJ23" s="5">
        <v>23770</v>
      </c>
      <c r="DK23" s="5">
        <v>23833</v>
      </c>
      <c r="DL23" s="5">
        <v>23956</v>
      </c>
      <c r="DM23" s="5">
        <v>24030</v>
      </c>
      <c r="DN23" s="5">
        <v>24088</v>
      </c>
      <c r="DO23" s="5">
        <v>24102</v>
      </c>
      <c r="DP23" s="5">
        <v>24188</v>
      </c>
      <c r="DQ23" s="5">
        <v>24181</v>
      </c>
      <c r="DR23" s="5">
        <v>24274</v>
      </c>
      <c r="DS23" s="5">
        <v>24271</v>
      </c>
      <c r="DT23" s="5">
        <v>24395</v>
      </c>
      <c r="DU23" s="5">
        <v>24386</v>
      </c>
      <c r="DV23" s="5">
        <v>24576</v>
      </c>
      <c r="DW23" s="5">
        <v>24495</v>
      </c>
      <c r="DX23" s="5">
        <v>24492</v>
      </c>
      <c r="DY23" s="5">
        <v>24391</v>
      </c>
      <c r="DZ23" s="5">
        <v>24457</v>
      </c>
      <c r="EA23" s="5">
        <v>24622</v>
      </c>
      <c r="EB23" s="5">
        <v>24581</v>
      </c>
      <c r="EC23" s="5">
        <v>24714</v>
      </c>
      <c r="ED23" s="5">
        <v>24830</v>
      </c>
      <c r="EE23" s="5">
        <v>24949</v>
      </c>
      <c r="EF23" s="5">
        <v>24974</v>
      </c>
      <c r="EG23" s="5">
        <v>25066</v>
      </c>
      <c r="EH23" s="5">
        <v>24999</v>
      </c>
      <c r="EI23" s="5">
        <v>25143</v>
      </c>
      <c r="EJ23" s="5">
        <v>25210</v>
      </c>
      <c r="EK23" s="5">
        <v>25211</v>
      </c>
      <c r="EL23" s="5">
        <v>25217</v>
      </c>
      <c r="EM23" s="5">
        <v>25169</v>
      </c>
      <c r="EN23" s="5">
        <v>25310</v>
      </c>
      <c r="EO23" s="5">
        <v>25380</v>
      </c>
      <c r="EP23" s="5">
        <v>25521</v>
      </c>
      <c r="EQ23" s="5">
        <v>25582</v>
      </c>
      <c r="ER23" s="5">
        <v>25641</v>
      </c>
      <c r="ES23" s="5">
        <v>25566</v>
      </c>
      <c r="ET23" s="5">
        <v>25507</v>
      </c>
      <c r="EU23" s="5">
        <v>25335</v>
      </c>
      <c r="EV23" s="5">
        <v>25043</v>
      </c>
      <c r="EW23" s="5">
        <v>25002</v>
      </c>
      <c r="EX23" s="5">
        <v>24988</v>
      </c>
      <c r="EY23" s="5">
        <v>24844</v>
      </c>
      <c r="EZ23" s="5">
        <v>25019</v>
      </c>
      <c r="FA23" s="5">
        <v>25106</v>
      </c>
      <c r="FB23" s="5">
        <v>25098</v>
      </c>
      <c r="FC23" s="5">
        <v>25235</v>
      </c>
      <c r="FD23" s="5">
        <v>25247</v>
      </c>
      <c r="FE23" s="5">
        <v>24972</v>
      </c>
      <c r="FF23" s="5">
        <v>25016</v>
      </c>
      <c r="FG23" s="5">
        <v>25042</v>
      </c>
      <c r="FH23" s="5">
        <v>25187</v>
      </c>
      <c r="FI23" s="5">
        <v>25255</v>
      </c>
      <c r="FJ23" s="5">
        <v>25369</v>
      </c>
      <c r="FK23" s="5">
        <v>25398</v>
      </c>
      <c r="FL23" s="5">
        <v>25462</v>
      </c>
      <c r="FM23" s="5">
        <v>25579</v>
      </c>
      <c r="FN23" s="5">
        <v>25615</v>
      </c>
      <c r="FO23" s="5">
        <v>25706</v>
      </c>
      <c r="FP23" s="5">
        <v>25858</v>
      </c>
      <c r="FQ23" s="5">
        <v>26058</v>
      </c>
      <c r="FR23" s="5">
        <v>26216</v>
      </c>
      <c r="FS23" s="5">
        <v>26409</v>
      </c>
      <c r="FT23" s="5">
        <v>26385</v>
      </c>
      <c r="FU23" s="5">
        <v>26554</v>
      </c>
      <c r="FV23" s="5">
        <v>26666</v>
      </c>
      <c r="FW23" s="5">
        <v>26665</v>
      </c>
      <c r="FX23" s="5">
        <v>26757</v>
      </c>
      <c r="FY23" s="5">
        <v>26826</v>
      </c>
      <c r="FZ23" s="5">
        <v>26836</v>
      </c>
      <c r="GA23" s="5">
        <v>26937</v>
      </c>
      <c r="GB23" s="5">
        <v>27075</v>
      </c>
      <c r="GC23" s="5">
        <v>27074</v>
      </c>
      <c r="GD23" s="5">
        <v>27174</v>
      </c>
      <c r="GE23" s="5">
        <v>27425</v>
      </c>
      <c r="GF23" s="5">
        <v>27452</v>
      </c>
      <c r="GG23" s="5">
        <v>27510</v>
      </c>
      <c r="GH23" s="5">
        <v>27590</v>
      </c>
      <c r="GI23" s="5">
        <v>27593</v>
      </c>
      <c r="GJ23" s="5">
        <v>27669</v>
      </c>
      <c r="GK23" s="5">
        <v>27620</v>
      </c>
      <c r="GL23" s="5">
        <v>27726</v>
      </c>
      <c r="GM23" s="5">
        <v>27837</v>
      </c>
      <c r="GN23" s="5">
        <v>27727</v>
      </c>
      <c r="GO23" s="5">
        <v>27733</v>
      </c>
      <c r="GP23" s="5">
        <v>27711</v>
      </c>
      <c r="GQ23" s="5">
        <v>27771</v>
      </c>
      <c r="GR23" s="5">
        <v>27903</v>
      </c>
      <c r="GS23" s="5">
        <v>28173</v>
      </c>
      <c r="GT23" s="5">
        <v>28245</v>
      </c>
      <c r="GU23" s="5">
        <v>28246</v>
      </c>
      <c r="GV23" s="5">
        <v>28376</v>
      </c>
      <c r="GW23" s="5">
        <v>28532</v>
      </c>
      <c r="GX23" s="5">
        <v>28633</v>
      </c>
      <c r="GY23" s="5">
        <v>28666</v>
      </c>
      <c r="GZ23" s="5">
        <v>28688</v>
      </c>
      <c r="HA23" s="5">
        <v>28633</v>
      </c>
      <c r="HB23" s="5">
        <v>28678</v>
      </c>
      <c r="HC23" s="6">
        <v>28610.07</v>
      </c>
      <c r="HD23" s="6">
        <v>28664.26</v>
      </c>
      <c r="HE23" s="6">
        <v>28719.37</v>
      </c>
      <c r="HF23" s="6">
        <v>28806.33</v>
      </c>
      <c r="HG23" s="6">
        <v>28874.959999999999</v>
      </c>
      <c r="HH23" s="6">
        <v>28953.87</v>
      </c>
      <c r="HI23" s="6">
        <v>29035.5</v>
      </c>
      <c r="HJ23" s="6">
        <v>29108.78</v>
      </c>
      <c r="HK23" s="6">
        <v>29168.22</v>
      </c>
      <c r="HL23" s="6">
        <v>29238.78</v>
      </c>
      <c r="HM23" s="6">
        <v>29309.45</v>
      </c>
      <c r="HN23" s="6">
        <v>29384.52</v>
      </c>
      <c r="HO23" s="6">
        <v>29459.79</v>
      </c>
      <c r="HP23" s="6">
        <v>29535.72</v>
      </c>
      <c r="HQ23" s="6">
        <v>29613.96</v>
      </c>
      <c r="HR23" s="6">
        <v>29693.16</v>
      </c>
      <c r="HS23" s="6">
        <v>29761.040000000001</v>
      </c>
      <c r="HT23" s="6">
        <v>29828.799999999999</v>
      </c>
      <c r="HU23" s="6">
        <v>29896.71</v>
      </c>
      <c r="HV23" s="6">
        <v>29964.78</v>
      </c>
      <c r="HW23" s="6">
        <v>30027.18</v>
      </c>
      <c r="HX23" s="6">
        <v>30087.45</v>
      </c>
      <c r="HY23" s="6">
        <v>30147.82</v>
      </c>
      <c r="HZ23" s="6">
        <v>30208.33</v>
      </c>
      <c r="IA23" s="6">
        <v>30265.93</v>
      </c>
      <c r="IB23" s="6">
        <v>30323.64</v>
      </c>
      <c r="IC23" s="6">
        <v>30381.45</v>
      </c>
      <c r="ID23" s="6">
        <v>30439.38</v>
      </c>
      <c r="IE23" s="6">
        <v>30494.35</v>
      </c>
      <c r="IF23" s="6">
        <v>30549.439999999999</v>
      </c>
      <c r="IG23" s="6">
        <v>30604.62</v>
      </c>
      <c r="IH23" s="6">
        <v>30659.89</v>
      </c>
      <c r="II23" s="6">
        <v>30712.2</v>
      </c>
      <c r="IJ23" s="6">
        <v>30764.58</v>
      </c>
      <c r="IK23" s="6">
        <v>30810.9</v>
      </c>
      <c r="IL23" s="6">
        <v>30854.18</v>
      </c>
      <c r="IM23" s="6">
        <v>30898.81</v>
      </c>
      <c r="IN23" s="6">
        <v>30938.92</v>
      </c>
      <c r="IO23" s="6">
        <v>30977.29</v>
      </c>
      <c r="IP23" s="6">
        <v>31014.55</v>
      </c>
      <c r="IQ23" s="6">
        <v>31051.99</v>
      </c>
      <c r="IR23" s="6">
        <v>31089.81</v>
      </c>
      <c r="IS23" s="6">
        <v>31120.69</v>
      </c>
      <c r="IT23" s="6">
        <v>31151.67</v>
      </c>
      <c r="IU23" s="6">
        <v>31184.41</v>
      </c>
      <c r="IV23" s="6">
        <v>31217.16</v>
      </c>
      <c r="IW23" s="6">
        <v>31249.9</v>
      </c>
      <c r="IX23" s="6">
        <v>31282.639999999999</v>
      </c>
      <c r="IY23" s="6">
        <v>31315.38</v>
      </c>
      <c r="IZ23" s="6">
        <v>31348.12</v>
      </c>
      <c r="JA23" s="6">
        <v>31380.87</v>
      </c>
      <c r="JB23" s="6">
        <v>31413.61</v>
      </c>
      <c r="JC23" s="6">
        <v>31446.35</v>
      </c>
      <c r="JD23" s="6">
        <v>31479.1</v>
      </c>
      <c r="JE23" s="6">
        <v>31511.84</v>
      </c>
      <c r="JF23" s="6">
        <v>31544.58</v>
      </c>
      <c r="JG23" s="6">
        <v>31577.32</v>
      </c>
      <c r="JH23" s="6">
        <v>31610.07</v>
      </c>
      <c r="JI23" s="6">
        <v>31642.81</v>
      </c>
      <c r="JJ23" s="6">
        <v>31675.55</v>
      </c>
      <c r="JK23" s="6">
        <v>31708.29</v>
      </c>
      <c r="JL23" s="6">
        <v>31741.040000000001</v>
      </c>
      <c r="JM23" s="6">
        <v>31773.78</v>
      </c>
      <c r="JN23" s="6">
        <v>31806.52</v>
      </c>
      <c r="JO23" s="6">
        <v>31839.27</v>
      </c>
      <c r="JP23" s="6">
        <v>31872</v>
      </c>
      <c r="JQ23" s="6">
        <v>31904.75</v>
      </c>
      <c r="JR23" s="6">
        <v>31937.49</v>
      </c>
      <c r="JS23" s="6">
        <v>31967.03</v>
      </c>
      <c r="JT23" s="6">
        <v>31996.57</v>
      </c>
      <c r="JU23" s="6">
        <v>32026.12</v>
      </c>
      <c r="JV23" s="6">
        <v>32055.66</v>
      </c>
      <c r="JW23" s="6">
        <v>32085.200000000001</v>
      </c>
      <c r="JX23" s="6">
        <v>32114.75</v>
      </c>
      <c r="JY23" s="6">
        <v>32144.29</v>
      </c>
      <c r="JZ23" s="6">
        <v>32173.84</v>
      </c>
      <c r="KA23" s="6">
        <v>32203.39</v>
      </c>
      <c r="KB23" s="6">
        <v>32232.93</v>
      </c>
      <c r="KC23" s="6">
        <v>32262.47</v>
      </c>
      <c r="KD23" s="6">
        <v>32292.02</v>
      </c>
      <c r="KE23" s="6">
        <v>32321.56</v>
      </c>
      <c r="KF23" s="6">
        <v>32351.1</v>
      </c>
      <c r="KG23" s="6">
        <v>32380.639999999999</v>
      </c>
      <c r="KH23" s="6">
        <v>32410.19</v>
      </c>
      <c r="KI23" s="6">
        <v>32439.73</v>
      </c>
      <c r="KJ23" s="6">
        <v>32469.279999999999</v>
      </c>
      <c r="KK23" s="6">
        <v>32498.82</v>
      </c>
      <c r="KL23" s="6">
        <v>32528.36</v>
      </c>
      <c r="KM23" s="6">
        <v>32557.91</v>
      </c>
      <c r="KN23" s="6">
        <v>32587.45</v>
      </c>
      <c r="KO23" s="6">
        <v>32617</v>
      </c>
      <c r="KP23" s="6">
        <v>32646.54</v>
      </c>
      <c r="KQ23" s="6">
        <v>32676.080000000002</v>
      </c>
      <c r="KR23" s="6">
        <v>32705.63</v>
      </c>
      <c r="KS23" s="6">
        <v>32735.17</v>
      </c>
      <c r="KT23" s="6">
        <v>32764.720000000001</v>
      </c>
      <c r="KU23" s="6">
        <v>32794.26</v>
      </c>
      <c r="KV23" s="6">
        <v>32823.81</v>
      </c>
      <c r="KW23" s="6">
        <v>32853.35</v>
      </c>
      <c r="KX23" s="6">
        <v>32882.89</v>
      </c>
      <c r="KY23" s="6">
        <v>32912.43</v>
      </c>
      <c r="KZ23" s="6">
        <v>32941.980000000003</v>
      </c>
      <c r="LA23" s="6">
        <v>32971.519999999997</v>
      </c>
      <c r="LB23" s="6">
        <v>33001.06</v>
      </c>
      <c r="LC23" s="6">
        <v>33030.61</v>
      </c>
      <c r="LD23" s="6">
        <v>33060.15</v>
      </c>
      <c r="LE23" s="6">
        <v>33089.699999999997</v>
      </c>
      <c r="LF23" s="6">
        <v>33119.24</v>
      </c>
      <c r="LG23" s="2" t="s">
        <v>335</v>
      </c>
      <c r="LH23" s="2" t="s">
        <v>336</v>
      </c>
      <c r="LI23" s="2" t="s">
        <v>338</v>
      </c>
      <c r="LJ23" s="2" t="s">
        <v>338</v>
      </c>
      <c r="LK23" s="2" t="s">
        <v>339</v>
      </c>
      <c r="LL23" s="2" t="s">
        <v>623</v>
      </c>
      <c r="LM23" s="2" t="s">
        <v>338</v>
      </c>
      <c r="LN23" s="2" t="s">
        <v>511</v>
      </c>
      <c r="LO23" s="2" t="s">
        <v>512</v>
      </c>
      <c r="LP23" s="2" t="s">
        <v>343</v>
      </c>
      <c r="LQ23" s="2" t="s">
        <v>513</v>
      </c>
      <c r="LR23" s="4" t="s">
        <v>659</v>
      </c>
      <c r="LS23"/>
      <c r="LT23"/>
      <c r="LU23"/>
      <c r="LV23"/>
      <c r="LW23"/>
      <c r="LX23"/>
    </row>
    <row r="24" spans="1:336" x14ac:dyDescent="0.35">
      <c r="A24" s="2" t="s">
        <v>330</v>
      </c>
      <c r="B24" s="2" t="s">
        <v>522</v>
      </c>
      <c r="C24" s="4" t="s">
        <v>658</v>
      </c>
      <c r="D24" s="2" t="s">
        <v>332</v>
      </c>
      <c r="E24" s="2" t="s">
        <v>333</v>
      </c>
      <c r="F24" s="2" t="s">
        <v>334</v>
      </c>
      <c r="G24" s="5">
        <v>1814.9380000000001</v>
      </c>
      <c r="H24" s="5">
        <v>1958.3520000000001</v>
      </c>
      <c r="I24" s="5">
        <v>1917.8009999999999</v>
      </c>
      <c r="J24" s="5">
        <v>1950.44</v>
      </c>
      <c r="K24" s="5">
        <v>2131.4389999999999</v>
      </c>
      <c r="L24" s="5">
        <v>2461.7869999999998</v>
      </c>
      <c r="M24" s="5">
        <v>2713.01</v>
      </c>
      <c r="N24" s="5">
        <v>2997.8620000000001</v>
      </c>
      <c r="O24" s="5">
        <v>3275.7890000000002</v>
      </c>
      <c r="P24" s="5">
        <v>3594.2689999999998</v>
      </c>
      <c r="Q24" s="5">
        <v>3998.797</v>
      </c>
      <c r="R24" s="5">
        <v>4008.6880000000001</v>
      </c>
      <c r="S24" s="5">
        <v>4188.6980000000003</v>
      </c>
      <c r="T24" s="5">
        <v>4475.527</v>
      </c>
      <c r="U24" s="5">
        <v>4155.07</v>
      </c>
      <c r="V24" s="5">
        <v>4412.2269999999999</v>
      </c>
      <c r="W24" s="5">
        <v>4594.2150000000001</v>
      </c>
      <c r="X24" s="5">
        <v>4792.0290000000005</v>
      </c>
      <c r="Y24" s="5">
        <v>4454.7569999999996</v>
      </c>
      <c r="Z24" s="5">
        <v>4109.5730000000003</v>
      </c>
      <c r="AA24" s="5">
        <v>4647.625</v>
      </c>
      <c r="AB24" s="5">
        <v>5305.3540000000003</v>
      </c>
      <c r="AC24" s="5">
        <v>4553.6639999999998</v>
      </c>
      <c r="AD24" s="5">
        <v>4740.5969999999998</v>
      </c>
      <c r="AE24" s="5">
        <v>5114.4650000000001</v>
      </c>
      <c r="AF24" s="5">
        <v>5656.473</v>
      </c>
      <c r="AG24" s="5">
        <v>5382.5020000000004</v>
      </c>
      <c r="AH24" s="5">
        <v>5196.5569999999998</v>
      </c>
      <c r="AI24" s="5">
        <v>5988.8</v>
      </c>
      <c r="AJ24" s="5">
        <v>6311.2349999999997</v>
      </c>
      <c r="AK24" s="5">
        <v>6455.6390000000001</v>
      </c>
      <c r="AL24" s="5">
        <v>6646.5290000000005</v>
      </c>
      <c r="AM24" s="5">
        <v>6531.7969999999996</v>
      </c>
      <c r="AN24" s="5">
        <v>7261.7290000000003</v>
      </c>
      <c r="AO24" s="5">
        <v>7530.7550000000001</v>
      </c>
      <c r="AP24" s="5">
        <v>7308.2150000000001</v>
      </c>
      <c r="AQ24" s="5">
        <v>7852.2020000000002</v>
      </c>
      <c r="AR24" s="5">
        <v>7675.1589999999997</v>
      </c>
      <c r="AS24" s="5">
        <v>7761.2079999999996</v>
      </c>
      <c r="AT24" s="5">
        <v>7734.5029999999997</v>
      </c>
      <c r="AU24" s="5">
        <v>8154.8559999999998</v>
      </c>
      <c r="AV24" s="5">
        <v>7994.6270000000004</v>
      </c>
      <c r="AW24" s="5">
        <v>8210.2440000000006</v>
      </c>
      <c r="AX24" s="5">
        <v>8457.5110000000004</v>
      </c>
      <c r="AY24" s="5">
        <v>8213.2109999999993</v>
      </c>
      <c r="AZ24" s="5">
        <v>8823.4650000000001</v>
      </c>
      <c r="BA24" s="5">
        <v>8509.9310000000005</v>
      </c>
      <c r="BB24" s="5">
        <v>8809.6180000000004</v>
      </c>
      <c r="BC24" s="5">
        <v>8869.9509999999991</v>
      </c>
      <c r="BD24" s="5">
        <v>9245.7970000000005</v>
      </c>
      <c r="BE24" s="5">
        <v>9578.1229999999996</v>
      </c>
      <c r="BF24" s="5">
        <v>9667.14</v>
      </c>
      <c r="BG24" s="5">
        <v>9926.2739999999994</v>
      </c>
      <c r="BH24" s="5">
        <v>9601.8610000000008</v>
      </c>
      <c r="BI24" s="5">
        <v>10327.84</v>
      </c>
      <c r="BJ24" s="5">
        <v>10502.9</v>
      </c>
      <c r="BK24" s="5">
        <v>10313</v>
      </c>
      <c r="BL24" s="5">
        <v>10986</v>
      </c>
      <c r="BM24" s="5">
        <v>11080</v>
      </c>
      <c r="BN24" s="5">
        <v>11089</v>
      </c>
      <c r="BO24" s="5">
        <v>11894</v>
      </c>
      <c r="BP24" s="5">
        <v>11882</v>
      </c>
      <c r="BQ24" s="5">
        <v>12054</v>
      </c>
      <c r="BR24" s="5">
        <v>12597</v>
      </c>
      <c r="BS24" s="5">
        <v>12242</v>
      </c>
      <c r="BT24" s="5">
        <v>13062</v>
      </c>
      <c r="BU24" s="5">
        <v>13297</v>
      </c>
      <c r="BV24" s="5">
        <v>13974</v>
      </c>
      <c r="BW24" s="5">
        <v>14209</v>
      </c>
      <c r="BX24" s="5">
        <v>14687</v>
      </c>
      <c r="BY24" s="5">
        <v>15343</v>
      </c>
      <c r="BZ24" s="5">
        <v>15189</v>
      </c>
      <c r="CA24" s="5">
        <v>14845</v>
      </c>
      <c r="CB24" s="5">
        <v>16626</v>
      </c>
      <c r="CC24" s="5">
        <v>16532</v>
      </c>
      <c r="CD24" s="5">
        <v>16306</v>
      </c>
      <c r="CE24" s="5">
        <v>17953</v>
      </c>
      <c r="CF24" s="5">
        <v>16233</v>
      </c>
      <c r="CG24" s="5">
        <v>16345</v>
      </c>
      <c r="CH24" s="5">
        <v>16350</v>
      </c>
      <c r="CI24" s="5">
        <v>16265</v>
      </c>
      <c r="CJ24" s="5">
        <v>16206</v>
      </c>
      <c r="CK24" s="5">
        <v>16207</v>
      </c>
      <c r="CL24" s="5">
        <v>16703</v>
      </c>
      <c r="CM24" s="5">
        <v>16672</v>
      </c>
      <c r="CN24" s="5">
        <v>17317</v>
      </c>
      <c r="CO24" s="5">
        <v>17672</v>
      </c>
      <c r="CP24" s="5">
        <v>17854</v>
      </c>
      <c r="CQ24" s="5">
        <v>17256</v>
      </c>
      <c r="CR24" s="5">
        <v>18791</v>
      </c>
      <c r="CS24" s="5">
        <v>18221</v>
      </c>
      <c r="CT24" s="5">
        <v>20093</v>
      </c>
      <c r="CU24" s="5">
        <v>17479</v>
      </c>
      <c r="CV24" s="5">
        <v>18718</v>
      </c>
      <c r="CW24" s="5">
        <v>17783</v>
      </c>
      <c r="CX24" s="5">
        <v>20233</v>
      </c>
      <c r="CY24" s="5">
        <v>17829</v>
      </c>
      <c r="CZ24" s="5">
        <v>19013</v>
      </c>
      <c r="DA24" s="5">
        <v>18047</v>
      </c>
      <c r="DB24" s="5">
        <v>20370</v>
      </c>
      <c r="DC24" s="5">
        <v>21235</v>
      </c>
      <c r="DD24" s="5">
        <v>21935</v>
      </c>
      <c r="DE24" s="5">
        <v>22356</v>
      </c>
      <c r="DF24" s="5">
        <v>23750</v>
      </c>
      <c r="DG24" s="5">
        <v>23118</v>
      </c>
      <c r="DH24" s="5">
        <v>23904</v>
      </c>
      <c r="DI24" s="5">
        <v>25239</v>
      </c>
      <c r="DJ24" s="5">
        <v>24266</v>
      </c>
      <c r="DK24" s="5">
        <v>24795</v>
      </c>
      <c r="DL24" s="5">
        <v>25999</v>
      </c>
      <c r="DM24" s="5">
        <v>27033</v>
      </c>
      <c r="DN24" s="5">
        <v>27472</v>
      </c>
      <c r="DO24" s="5">
        <v>28310</v>
      </c>
      <c r="DP24" s="5">
        <v>27759</v>
      </c>
      <c r="DQ24" s="5">
        <v>27731</v>
      </c>
      <c r="DR24" s="5">
        <v>28087</v>
      </c>
      <c r="DS24" s="5">
        <v>28114</v>
      </c>
      <c r="DT24" s="5">
        <v>27740</v>
      </c>
      <c r="DU24" s="5">
        <v>28054</v>
      </c>
      <c r="DV24" s="5">
        <v>28262</v>
      </c>
      <c r="DW24" s="5">
        <v>28345</v>
      </c>
      <c r="DX24" s="5">
        <v>28931</v>
      </c>
      <c r="DY24" s="5">
        <v>28946</v>
      </c>
      <c r="DZ24" s="5">
        <v>29751</v>
      </c>
      <c r="EA24" s="5">
        <v>29760</v>
      </c>
      <c r="EB24" s="5">
        <v>30352</v>
      </c>
      <c r="EC24" s="5">
        <v>31264</v>
      </c>
      <c r="ED24" s="5">
        <v>32522</v>
      </c>
      <c r="EE24" s="5">
        <v>32797</v>
      </c>
      <c r="EF24" s="5">
        <v>33262</v>
      </c>
      <c r="EG24" s="5">
        <v>33700</v>
      </c>
      <c r="EH24" s="5">
        <v>34622</v>
      </c>
      <c r="EI24" s="5">
        <v>34855</v>
      </c>
      <c r="EJ24" s="5">
        <v>35485</v>
      </c>
      <c r="EK24" s="5">
        <v>36442</v>
      </c>
      <c r="EL24" s="5">
        <v>36800</v>
      </c>
      <c r="EM24" s="5">
        <v>38087</v>
      </c>
      <c r="EN24" s="5">
        <v>37850</v>
      </c>
      <c r="EO24" s="5">
        <v>39119</v>
      </c>
      <c r="EP24" s="5">
        <v>40270</v>
      </c>
      <c r="EQ24" s="5">
        <v>41393</v>
      </c>
      <c r="ER24" s="5">
        <v>38197</v>
      </c>
      <c r="ES24" s="5">
        <v>40676</v>
      </c>
      <c r="ET24" s="5">
        <v>39594</v>
      </c>
      <c r="EU24" s="5">
        <v>37527</v>
      </c>
      <c r="EV24" s="5">
        <v>38224</v>
      </c>
      <c r="EW24" s="5">
        <v>37782</v>
      </c>
      <c r="EX24" s="5">
        <v>37815</v>
      </c>
      <c r="EY24" s="5">
        <v>37909</v>
      </c>
      <c r="EZ24" s="5">
        <v>37551</v>
      </c>
      <c r="FA24" s="5">
        <v>38437</v>
      </c>
      <c r="FB24" s="5">
        <v>38523</v>
      </c>
      <c r="FC24" s="5">
        <v>39836</v>
      </c>
      <c r="FD24" s="5">
        <v>38897</v>
      </c>
      <c r="FE24" s="5">
        <v>38901</v>
      </c>
      <c r="FF24" s="5">
        <v>39960</v>
      </c>
      <c r="FG24" s="5">
        <v>37374</v>
      </c>
      <c r="FH24" s="5">
        <v>38679</v>
      </c>
      <c r="FI24" s="5">
        <v>38877</v>
      </c>
      <c r="FJ24" s="5">
        <v>38800</v>
      </c>
      <c r="FK24" s="5">
        <v>38449</v>
      </c>
      <c r="FL24" s="5">
        <v>41201</v>
      </c>
      <c r="FM24" s="5">
        <v>39250</v>
      </c>
      <c r="FN24" s="5">
        <v>40086</v>
      </c>
      <c r="FO24" s="5">
        <v>38762</v>
      </c>
      <c r="FP24" s="5">
        <v>40378</v>
      </c>
      <c r="FQ24" s="5">
        <v>41358</v>
      </c>
      <c r="FR24" s="5">
        <v>42111</v>
      </c>
      <c r="FS24" s="5">
        <v>42221</v>
      </c>
      <c r="FT24" s="5">
        <v>42890</v>
      </c>
      <c r="FU24" s="5">
        <v>42852</v>
      </c>
      <c r="FV24" s="5">
        <v>43429</v>
      </c>
      <c r="FW24" s="5">
        <v>43807</v>
      </c>
      <c r="FX24" s="5">
        <v>44215</v>
      </c>
      <c r="FY24" s="5">
        <v>45100</v>
      </c>
      <c r="FZ24" s="5">
        <v>45333</v>
      </c>
      <c r="GA24" s="5">
        <v>47808</v>
      </c>
      <c r="GB24" s="5">
        <v>46068</v>
      </c>
      <c r="GC24" s="5">
        <v>46163</v>
      </c>
      <c r="GD24" s="5">
        <v>48135</v>
      </c>
      <c r="GE24" s="5">
        <v>46517</v>
      </c>
      <c r="GF24" s="5">
        <v>47804</v>
      </c>
      <c r="GG24" s="5">
        <v>49498</v>
      </c>
      <c r="GH24" s="5">
        <v>50872</v>
      </c>
      <c r="GI24" s="5">
        <v>50633</v>
      </c>
      <c r="GJ24" s="5">
        <v>50046</v>
      </c>
      <c r="GK24" s="5">
        <v>50027</v>
      </c>
      <c r="GL24" s="5">
        <v>49206</v>
      </c>
      <c r="GM24" s="5">
        <v>50913</v>
      </c>
      <c r="GN24" s="5">
        <v>47172</v>
      </c>
      <c r="GO24" s="5">
        <v>47131</v>
      </c>
      <c r="GP24" s="5">
        <v>54236</v>
      </c>
      <c r="GQ24" s="5">
        <v>54675</v>
      </c>
      <c r="GR24" s="5">
        <v>56943</v>
      </c>
      <c r="GS24" s="5">
        <v>57322</v>
      </c>
      <c r="GT24" s="5">
        <v>59576</v>
      </c>
      <c r="GU24" s="5">
        <v>61372</v>
      </c>
      <c r="GV24" s="5">
        <v>61544</v>
      </c>
      <c r="GW24" s="5">
        <v>64504</v>
      </c>
      <c r="GX24" s="5">
        <v>66487</v>
      </c>
      <c r="GY24" s="5">
        <v>71481</v>
      </c>
      <c r="GZ24" s="5">
        <v>68067</v>
      </c>
      <c r="HA24" s="5">
        <v>70982</v>
      </c>
      <c r="HB24" s="6">
        <v>72091.710000000006</v>
      </c>
      <c r="HC24" s="6">
        <v>73901.7</v>
      </c>
      <c r="HD24" s="6">
        <v>76285.16</v>
      </c>
      <c r="HE24" s="6">
        <v>77183.399999999994</v>
      </c>
      <c r="HF24" s="6">
        <v>78419.850000000006</v>
      </c>
      <c r="HG24" s="6">
        <v>79845.350000000006</v>
      </c>
      <c r="HH24" s="6">
        <v>80801.16</v>
      </c>
      <c r="HI24" s="6">
        <v>81944.53</v>
      </c>
      <c r="HJ24" s="6">
        <v>83162.23</v>
      </c>
      <c r="HK24" s="6">
        <v>84464.19</v>
      </c>
      <c r="HL24" s="6">
        <v>85479.67</v>
      </c>
      <c r="HM24" s="6">
        <v>86658.38</v>
      </c>
      <c r="HN24" s="6">
        <v>87909.54</v>
      </c>
      <c r="HO24" s="6">
        <v>89302.31</v>
      </c>
      <c r="HP24" s="6">
        <v>90569.93</v>
      </c>
      <c r="HQ24" s="6">
        <v>91913.04</v>
      </c>
      <c r="HR24" s="6">
        <v>93329.45</v>
      </c>
      <c r="HS24" s="6">
        <v>94776.26</v>
      </c>
      <c r="HT24" s="6">
        <v>95694.23</v>
      </c>
      <c r="HU24" s="6">
        <v>97008.77</v>
      </c>
      <c r="HV24" s="6">
        <v>98298.87</v>
      </c>
      <c r="HW24" s="6">
        <v>99516.57</v>
      </c>
      <c r="HX24" s="6">
        <v>100178</v>
      </c>
      <c r="HY24" s="6">
        <v>101240</v>
      </c>
      <c r="HZ24" s="6">
        <v>102301.8</v>
      </c>
      <c r="IA24" s="6">
        <v>103267.8</v>
      </c>
      <c r="IB24" s="6">
        <v>103749.7</v>
      </c>
      <c r="IC24" s="6">
        <v>104783.8</v>
      </c>
      <c r="ID24" s="6">
        <v>105818.4</v>
      </c>
      <c r="IE24" s="6">
        <v>106979.4</v>
      </c>
      <c r="IF24" s="6">
        <v>107550.1</v>
      </c>
      <c r="IG24" s="6">
        <v>108646.39999999999</v>
      </c>
      <c r="IH24" s="6">
        <v>109746.4</v>
      </c>
      <c r="II24" s="6">
        <v>110943.2</v>
      </c>
      <c r="IJ24" s="6">
        <v>111532</v>
      </c>
      <c r="IK24" s="6">
        <v>112644.1</v>
      </c>
      <c r="IL24" s="6">
        <v>113750.7</v>
      </c>
      <c r="IM24" s="6">
        <v>114974</v>
      </c>
      <c r="IN24" s="6">
        <v>115562</v>
      </c>
      <c r="IO24" s="6">
        <v>116698.3</v>
      </c>
      <c r="IP24" s="6">
        <v>117835</v>
      </c>
      <c r="IQ24" s="6">
        <v>119085.5</v>
      </c>
      <c r="IR24" s="6">
        <v>119692.5</v>
      </c>
      <c r="IS24" s="6">
        <v>120848.1</v>
      </c>
      <c r="IT24" s="6">
        <v>122007.3</v>
      </c>
      <c r="IU24" s="6">
        <v>123293.1</v>
      </c>
      <c r="IV24" s="6">
        <v>123922</v>
      </c>
      <c r="IW24" s="6">
        <v>125148.6</v>
      </c>
      <c r="IX24" s="6">
        <v>126381.8</v>
      </c>
      <c r="IY24" s="6">
        <v>127622.6</v>
      </c>
      <c r="IZ24" s="6">
        <v>128397.5</v>
      </c>
      <c r="JA24" s="6">
        <v>129674.9</v>
      </c>
      <c r="JB24" s="6">
        <v>130963.9</v>
      </c>
      <c r="JC24" s="6">
        <v>132265.1</v>
      </c>
      <c r="JD24" s="6">
        <v>133076.70000000001</v>
      </c>
      <c r="JE24" s="6">
        <v>134401.60000000001</v>
      </c>
      <c r="JF24" s="6">
        <v>135738.9</v>
      </c>
      <c r="JG24" s="6">
        <v>137088.5</v>
      </c>
      <c r="JH24" s="6">
        <v>137952</v>
      </c>
      <c r="JI24" s="6">
        <v>139341.5</v>
      </c>
      <c r="JJ24" s="6">
        <v>140744.20000000001</v>
      </c>
      <c r="JK24" s="6">
        <v>142160.20000000001</v>
      </c>
      <c r="JL24" s="6">
        <v>143064</v>
      </c>
      <c r="JM24" s="6">
        <v>144506.20000000001</v>
      </c>
      <c r="JN24" s="6">
        <v>145962.4</v>
      </c>
      <c r="JO24" s="6">
        <v>147437.79999999999</v>
      </c>
      <c r="JP24" s="6">
        <v>148395.6</v>
      </c>
      <c r="JQ24" s="6">
        <v>149903.6</v>
      </c>
      <c r="JR24" s="6">
        <v>151424.70000000001</v>
      </c>
      <c r="JS24" s="6">
        <v>152963</v>
      </c>
      <c r="JT24" s="6">
        <v>153950.20000000001</v>
      </c>
      <c r="JU24" s="6">
        <v>155500.5</v>
      </c>
      <c r="JV24" s="6">
        <v>157063.9</v>
      </c>
      <c r="JW24" s="6">
        <v>158640.6</v>
      </c>
      <c r="JX24" s="6">
        <v>159666.29999999999</v>
      </c>
      <c r="JY24" s="6">
        <v>161268.9</v>
      </c>
      <c r="JZ24" s="6">
        <v>162884.6</v>
      </c>
      <c r="KA24" s="6">
        <v>164514.1</v>
      </c>
      <c r="KB24" s="6">
        <v>165580</v>
      </c>
      <c r="KC24" s="6">
        <v>167235.9</v>
      </c>
      <c r="KD24" s="6">
        <v>168905.7</v>
      </c>
      <c r="KE24" s="6">
        <v>170589.1</v>
      </c>
      <c r="KF24" s="6">
        <v>171695.7</v>
      </c>
      <c r="KG24" s="6">
        <v>173406.2</v>
      </c>
      <c r="KH24" s="6">
        <v>175131.1</v>
      </c>
      <c r="KI24" s="6">
        <v>176869.7</v>
      </c>
      <c r="KJ24" s="6">
        <v>178018.2</v>
      </c>
      <c r="KK24" s="6">
        <v>179784.9</v>
      </c>
      <c r="KL24" s="6">
        <v>181566.3</v>
      </c>
      <c r="KM24" s="6">
        <v>183362</v>
      </c>
      <c r="KN24" s="6">
        <v>184554</v>
      </c>
      <c r="KO24" s="6">
        <v>186378.6</v>
      </c>
      <c r="KP24" s="6">
        <v>188218</v>
      </c>
      <c r="KQ24" s="6">
        <v>190072.6</v>
      </c>
      <c r="KR24" s="6">
        <v>191309.2</v>
      </c>
      <c r="KS24" s="6">
        <v>193193.8</v>
      </c>
      <c r="KT24" s="6">
        <v>195093.6</v>
      </c>
      <c r="KU24" s="6">
        <v>197008.7</v>
      </c>
      <c r="KV24" s="6">
        <v>198291.9</v>
      </c>
      <c r="KW24" s="6">
        <v>200238.1</v>
      </c>
      <c r="KX24" s="6">
        <v>202199.9</v>
      </c>
      <c r="KY24" s="6">
        <v>204177.8</v>
      </c>
      <c r="KZ24" s="6">
        <v>205509.1</v>
      </c>
      <c r="LA24" s="6">
        <v>207518.6</v>
      </c>
      <c r="LB24" s="6">
        <v>209544.4</v>
      </c>
      <c r="LC24" s="6">
        <v>211586.7</v>
      </c>
      <c r="LD24" s="6">
        <v>212967.3</v>
      </c>
      <c r="LE24" s="6">
        <v>215042.5</v>
      </c>
      <c r="LF24" s="6">
        <v>217133.8</v>
      </c>
      <c r="LG24" s="2" t="s">
        <v>335</v>
      </c>
      <c r="LH24" s="2" t="s">
        <v>336</v>
      </c>
      <c r="LI24" s="2" t="s">
        <v>338</v>
      </c>
      <c r="LJ24" s="2" t="s">
        <v>338</v>
      </c>
      <c r="LK24" s="2" t="s">
        <v>339</v>
      </c>
      <c r="LL24" s="2" t="s">
        <v>349</v>
      </c>
      <c r="LM24" s="2" t="s">
        <v>338</v>
      </c>
      <c r="LN24" s="2" t="s">
        <v>523</v>
      </c>
      <c r="LO24" s="2" t="s">
        <v>524</v>
      </c>
      <c r="LP24" s="2" t="s">
        <v>343</v>
      </c>
      <c r="LQ24" s="2" t="s">
        <v>525</v>
      </c>
      <c r="LR24" s="4" t="s">
        <v>659</v>
      </c>
      <c r="LS24"/>
      <c r="LT24"/>
      <c r="LU24"/>
      <c r="LV24"/>
      <c r="LW24"/>
      <c r="LX24"/>
    </row>
    <row r="25" spans="1:336" x14ac:dyDescent="0.35">
      <c r="A25" s="2" t="s">
        <v>330</v>
      </c>
      <c r="B25" s="2" t="s">
        <v>526</v>
      </c>
      <c r="C25" s="4" t="s">
        <v>658</v>
      </c>
      <c r="D25" s="2" t="s">
        <v>332</v>
      </c>
      <c r="E25" s="2" t="s">
        <v>333</v>
      </c>
      <c r="F25" s="2" t="s">
        <v>334</v>
      </c>
      <c r="G25" s="5">
        <v>481.46879999999999</v>
      </c>
      <c r="H25" s="5">
        <v>483.58049999999997</v>
      </c>
      <c r="I25" s="5">
        <v>509.97680000000003</v>
      </c>
      <c r="J25" s="5">
        <v>513.14440000000002</v>
      </c>
      <c r="K25" s="5">
        <v>541.65239999999994</v>
      </c>
      <c r="L25" s="5">
        <v>544.81989999999996</v>
      </c>
      <c r="M25" s="5">
        <v>594.44510000000002</v>
      </c>
      <c r="N25" s="5">
        <v>651.46109999999999</v>
      </c>
      <c r="O25" s="5">
        <v>693.6952</v>
      </c>
      <c r="P25" s="5">
        <v>713.75639999999999</v>
      </c>
      <c r="Q25" s="5">
        <v>752.8229</v>
      </c>
      <c r="R25" s="5">
        <v>774.99580000000003</v>
      </c>
      <c r="S25" s="5">
        <v>767.60490000000004</v>
      </c>
      <c r="T25" s="5">
        <v>895.36300000000006</v>
      </c>
      <c r="U25" s="5">
        <v>928.09450000000004</v>
      </c>
      <c r="V25" s="5">
        <v>953.43489999999997</v>
      </c>
      <c r="W25" s="5">
        <v>958.71420000000001</v>
      </c>
      <c r="X25" s="5">
        <v>992.50149999999996</v>
      </c>
      <c r="Y25" s="5">
        <v>1017.842</v>
      </c>
      <c r="Z25" s="5">
        <v>1052.6849999999999</v>
      </c>
      <c r="AA25" s="5">
        <v>1074.8579999999999</v>
      </c>
      <c r="AB25" s="5">
        <v>1004.116</v>
      </c>
      <c r="AC25" s="5">
        <v>1063.2439999999999</v>
      </c>
      <c r="AD25" s="5">
        <v>1114.98</v>
      </c>
      <c r="AE25" s="5">
        <v>1131.874</v>
      </c>
      <c r="AF25" s="5">
        <v>1176.22</v>
      </c>
      <c r="AG25" s="5">
        <v>1258.576</v>
      </c>
      <c r="AH25" s="5">
        <v>1329.318</v>
      </c>
      <c r="AI25" s="5">
        <v>1354.6590000000001</v>
      </c>
      <c r="AJ25" s="5">
        <v>1520.4280000000001</v>
      </c>
      <c r="AK25" s="5">
        <v>1585.8910000000001</v>
      </c>
      <c r="AL25" s="5">
        <v>1588.002</v>
      </c>
      <c r="AM25" s="5">
        <v>1571.1089999999999</v>
      </c>
      <c r="AN25" s="5">
        <v>1901.5909999999999</v>
      </c>
      <c r="AO25" s="5">
        <v>1979.7239999999999</v>
      </c>
      <c r="AP25" s="5">
        <v>2046.242</v>
      </c>
      <c r="AQ25" s="5">
        <v>2010.3430000000001</v>
      </c>
      <c r="AR25" s="5">
        <v>2374.6129999999998</v>
      </c>
      <c r="AS25" s="5">
        <v>2407.3440000000001</v>
      </c>
      <c r="AT25" s="5">
        <v>2447.4659999999999</v>
      </c>
      <c r="AU25" s="5">
        <v>2488.645</v>
      </c>
      <c r="AV25" s="5">
        <v>2727.2669999999998</v>
      </c>
      <c r="AW25" s="5">
        <v>2783.2280000000001</v>
      </c>
      <c r="AX25" s="5">
        <v>2817.0149999999999</v>
      </c>
      <c r="AY25" s="5">
        <v>2870.8629999999998</v>
      </c>
      <c r="AZ25" s="5">
        <v>2838.1320000000001</v>
      </c>
      <c r="BA25" s="5">
        <v>2929.991</v>
      </c>
      <c r="BB25" s="5">
        <v>3031.3530000000001</v>
      </c>
      <c r="BC25" s="5">
        <v>3061.973</v>
      </c>
      <c r="BD25" s="5">
        <v>3126.38</v>
      </c>
      <c r="BE25" s="5">
        <v>3263.6410000000001</v>
      </c>
      <c r="BF25" s="5">
        <v>3181.2840000000001</v>
      </c>
      <c r="BG25" s="5">
        <v>3255.194</v>
      </c>
      <c r="BH25" s="5">
        <v>3302.7069999999999</v>
      </c>
      <c r="BI25" s="5">
        <v>3358.6669999999999</v>
      </c>
      <c r="BJ25" s="5">
        <v>3413.5720000000001</v>
      </c>
      <c r="BK25" s="5">
        <v>3554</v>
      </c>
      <c r="BL25" s="5">
        <v>3564</v>
      </c>
      <c r="BM25" s="5">
        <v>3664</v>
      </c>
      <c r="BN25" s="5">
        <v>3757</v>
      </c>
      <c r="BO25" s="5">
        <v>3799</v>
      </c>
      <c r="BP25" s="5">
        <v>3950</v>
      </c>
      <c r="BQ25" s="5">
        <v>4056</v>
      </c>
      <c r="BR25" s="5">
        <v>4136</v>
      </c>
      <c r="BS25" s="5">
        <v>4140</v>
      </c>
      <c r="BT25" s="5">
        <v>4325</v>
      </c>
      <c r="BU25" s="5">
        <v>4403</v>
      </c>
      <c r="BV25" s="5">
        <v>3864</v>
      </c>
      <c r="BW25" s="5">
        <v>3863</v>
      </c>
      <c r="BX25" s="5">
        <v>4014</v>
      </c>
      <c r="BY25" s="5">
        <v>4093</v>
      </c>
      <c r="BZ25" s="5">
        <v>4117</v>
      </c>
      <c r="CA25" s="5">
        <v>4098</v>
      </c>
      <c r="CB25" s="5">
        <v>4140</v>
      </c>
      <c r="CC25" s="5">
        <v>4170</v>
      </c>
      <c r="CD25" s="5">
        <v>4401</v>
      </c>
      <c r="CE25" s="5">
        <v>4397</v>
      </c>
      <c r="CF25" s="5">
        <v>4257</v>
      </c>
      <c r="CG25" s="5">
        <v>4235</v>
      </c>
      <c r="CH25" s="5">
        <v>4456</v>
      </c>
      <c r="CI25" s="5">
        <v>4467</v>
      </c>
      <c r="CJ25" s="5">
        <v>4588</v>
      </c>
      <c r="CK25" s="5">
        <v>4593</v>
      </c>
      <c r="CL25" s="5">
        <v>4588</v>
      </c>
      <c r="CM25" s="5">
        <v>4729</v>
      </c>
      <c r="CN25" s="5">
        <v>5180</v>
      </c>
      <c r="CO25" s="5">
        <v>5365</v>
      </c>
      <c r="CP25" s="5">
        <v>5366</v>
      </c>
      <c r="CQ25" s="5">
        <v>5440</v>
      </c>
      <c r="CR25" s="5">
        <v>5557</v>
      </c>
      <c r="CS25" s="5">
        <v>5561</v>
      </c>
      <c r="CT25" s="5">
        <v>5581</v>
      </c>
      <c r="CU25" s="5">
        <v>5674</v>
      </c>
      <c r="CV25" s="5">
        <v>5586</v>
      </c>
      <c r="CW25" s="5">
        <v>5755</v>
      </c>
      <c r="CX25" s="5">
        <v>5920</v>
      </c>
      <c r="CY25" s="5">
        <v>5950</v>
      </c>
      <c r="CZ25" s="5">
        <v>6448</v>
      </c>
      <c r="DA25" s="5">
        <v>6487</v>
      </c>
      <c r="DB25" s="5">
        <v>6566</v>
      </c>
      <c r="DC25" s="5">
        <v>6468</v>
      </c>
      <c r="DD25" s="5">
        <v>6458</v>
      </c>
      <c r="DE25" s="5">
        <v>6701</v>
      </c>
      <c r="DF25" s="5">
        <v>6785</v>
      </c>
      <c r="DG25" s="5">
        <v>7194</v>
      </c>
      <c r="DH25" s="5">
        <v>6756</v>
      </c>
      <c r="DI25" s="5">
        <v>7067</v>
      </c>
      <c r="DJ25" s="5">
        <v>7026</v>
      </c>
      <c r="DK25" s="5">
        <v>7064</v>
      </c>
      <c r="DL25" s="5">
        <v>7317</v>
      </c>
      <c r="DM25" s="5">
        <v>7178</v>
      </c>
      <c r="DN25" s="5">
        <v>7625</v>
      </c>
      <c r="DO25" s="5">
        <v>7427</v>
      </c>
      <c r="DP25" s="5">
        <v>7908</v>
      </c>
      <c r="DQ25" s="5">
        <v>8057</v>
      </c>
      <c r="DR25" s="5">
        <v>8117</v>
      </c>
      <c r="DS25" s="5">
        <v>8004</v>
      </c>
      <c r="DT25" s="5">
        <v>7826</v>
      </c>
      <c r="DU25" s="5">
        <v>8269</v>
      </c>
      <c r="DV25" s="5">
        <v>8233</v>
      </c>
      <c r="DW25" s="5">
        <v>8512</v>
      </c>
      <c r="DX25" s="5">
        <v>9652</v>
      </c>
      <c r="DY25" s="5">
        <v>9960</v>
      </c>
      <c r="DZ25" s="5">
        <v>9971</v>
      </c>
      <c r="EA25" s="5">
        <v>10440</v>
      </c>
      <c r="EB25" s="5">
        <v>10116</v>
      </c>
      <c r="EC25" s="5">
        <v>10385</v>
      </c>
      <c r="ED25" s="5">
        <v>10841</v>
      </c>
      <c r="EE25" s="5">
        <v>11035</v>
      </c>
      <c r="EF25" s="5">
        <v>10994</v>
      </c>
      <c r="EG25" s="5">
        <v>10966</v>
      </c>
      <c r="EH25" s="5">
        <v>11257</v>
      </c>
      <c r="EI25" s="5">
        <v>11441</v>
      </c>
      <c r="EJ25" s="5">
        <v>11497</v>
      </c>
      <c r="EK25" s="5">
        <v>11554</v>
      </c>
      <c r="EL25" s="5">
        <v>12032</v>
      </c>
      <c r="EM25" s="5">
        <v>12120</v>
      </c>
      <c r="EN25" s="5">
        <v>11136</v>
      </c>
      <c r="EO25" s="5">
        <v>11442</v>
      </c>
      <c r="EP25" s="5">
        <v>11452</v>
      </c>
      <c r="EQ25" s="5">
        <v>11886</v>
      </c>
      <c r="ER25" s="5">
        <v>11924</v>
      </c>
      <c r="ES25" s="5">
        <v>12128</v>
      </c>
      <c r="ET25" s="5">
        <v>11933</v>
      </c>
      <c r="EU25" s="5">
        <v>11472</v>
      </c>
      <c r="EV25" s="5">
        <v>11522</v>
      </c>
      <c r="EW25" s="5">
        <v>11497</v>
      </c>
      <c r="EX25" s="5">
        <v>11702</v>
      </c>
      <c r="EY25" s="5">
        <v>11759</v>
      </c>
      <c r="EZ25" s="5">
        <v>11641</v>
      </c>
      <c r="FA25" s="5">
        <v>11760</v>
      </c>
      <c r="FB25" s="5">
        <v>11869</v>
      </c>
      <c r="FC25" s="5">
        <v>12578</v>
      </c>
      <c r="FD25" s="5">
        <v>12252</v>
      </c>
      <c r="FE25" s="5">
        <v>12295</v>
      </c>
      <c r="FF25" s="5">
        <v>12274</v>
      </c>
      <c r="FG25" s="5">
        <v>12389</v>
      </c>
      <c r="FH25" s="5">
        <v>12537</v>
      </c>
      <c r="FI25" s="5">
        <v>12552</v>
      </c>
      <c r="FJ25" s="5">
        <v>12482</v>
      </c>
      <c r="FK25" s="5">
        <v>12713</v>
      </c>
      <c r="FL25" s="5">
        <v>13151</v>
      </c>
      <c r="FM25" s="5">
        <v>12796</v>
      </c>
      <c r="FN25" s="5">
        <v>13010</v>
      </c>
      <c r="FO25" s="5">
        <v>13133</v>
      </c>
      <c r="FP25" s="5">
        <v>13215</v>
      </c>
      <c r="FQ25" s="5">
        <v>13411</v>
      </c>
      <c r="FR25" s="5">
        <v>13556</v>
      </c>
      <c r="FS25" s="5">
        <v>13812</v>
      </c>
      <c r="FT25" s="5">
        <v>14017</v>
      </c>
      <c r="FU25" s="5">
        <v>14022</v>
      </c>
      <c r="FV25" s="5">
        <v>14118</v>
      </c>
      <c r="FW25" s="5">
        <v>14025</v>
      </c>
      <c r="FX25" s="5">
        <v>14857</v>
      </c>
      <c r="FY25" s="5">
        <v>15042</v>
      </c>
      <c r="FZ25" s="5">
        <v>15132</v>
      </c>
      <c r="GA25" s="5">
        <v>15358</v>
      </c>
      <c r="GB25" s="5">
        <v>15622</v>
      </c>
      <c r="GC25" s="5">
        <v>15614</v>
      </c>
      <c r="GD25" s="5">
        <v>15890</v>
      </c>
      <c r="GE25" s="5">
        <v>16041</v>
      </c>
      <c r="GF25" s="5">
        <v>16155</v>
      </c>
      <c r="GG25" s="5">
        <v>16281</v>
      </c>
      <c r="GH25" s="5">
        <v>16411</v>
      </c>
      <c r="GI25" s="5">
        <v>17014</v>
      </c>
      <c r="GJ25" s="5">
        <v>17574</v>
      </c>
      <c r="GK25" s="5">
        <v>17896</v>
      </c>
      <c r="GL25" s="5">
        <v>18050</v>
      </c>
      <c r="GM25" s="5">
        <v>17679</v>
      </c>
      <c r="GN25" s="5">
        <v>16929</v>
      </c>
      <c r="GO25" s="5">
        <v>17627</v>
      </c>
      <c r="GP25" s="5">
        <v>18135</v>
      </c>
      <c r="GQ25" s="5">
        <v>17849</v>
      </c>
      <c r="GR25" s="5">
        <v>18575</v>
      </c>
      <c r="GS25" s="5">
        <v>19016</v>
      </c>
      <c r="GT25" s="5">
        <v>19528</v>
      </c>
      <c r="GU25" s="5">
        <v>20273</v>
      </c>
      <c r="GV25" s="5">
        <v>20582</v>
      </c>
      <c r="GW25" s="5">
        <v>20698</v>
      </c>
      <c r="GX25" s="5">
        <v>20277</v>
      </c>
      <c r="GY25" s="5">
        <v>20303</v>
      </c>
      <c r="GZ25" s="5">
        <v>20163</v>
      </c>
      <c r="HA25" s="5">
        <v>20244</v>
      </c>
      <c r="HB25" s="6">
        <v>20348.78</v>
      </c>
      <c r="HC25" s="6">
        <v>19061.419999999998</v>
      </c>
      <c r="HD25" s="6">
        <v>18813.87</v>
      </c>
      <c r="HE25" s="6">
        <v>18981.98</v>
      </c>
      <c r="HF25" s="6">
        <v>19163.21</v>
      </c>
      <c r="HG25" s="6">
        <v>19329.88</v>
      </c>
      <c r="HH25" s="6">
        <v>19499.75</v>
      </c>
      <c r="HI25" s="6">
        <v>19679.93</v>
      </c>
      <c r="HJ25" s="6">
        <v>19860.54</v>
      </c>
      <c r="HK25" s="6">
        <v>20037.439999999999</v>
      </c>
      <c r="HL25" s="6">
        <v>20284.349999999999</v>
      </c>
      <c r="HM25" s="6">
        <v>20535.52</v>
      </c>
      <c r="HN25" s="6">
        <v>20792.07</v>
      </c>
      <c r="HO25" s="6">
        <v>21051.3</v>
      </c>
      <c r="HP25" s="6">
        <v>21282.63</v>
      </c>
      <c r="HQ25" s="6">
        <v>21518.61</v>
      </c>
      <c r="HR25" s="6">
        <v>21740.3</v>
      </c>
      <c r="HS25" s="6">
        <v>21955.8</v>
      </c>
      <c r="HT25" s="6">
        <v>22172.5</v>
      </c>
      <c r="HU25" s="6">
        <v>22391.22</v>
      </c>
      <c r="HV25" s="6">
        <v>22610.86</v>
      </c>
      <c r="HW25" s="6">
        <v>22810.81</v>
      </c>
      <c r="HX25" s="6">
        <v>23010.94</v>
      </c>
      <c r="HY25" s="6">
        <v>23213.63</v>
      </c>
      <c r="HZ25" s="6">
        <v>23417.83</v>
      </c>
      <c r="IA25" s="6">
        <v>23621.87</v>
      </c>
      <c r="IB25" s="6">
        <v>23828.720000000001</v>
      </c>
      <c r="IC25" s="6">
        <v>24038.98</v>
      </c>
      <c r="ID25" s="6">
        <v>24251.3</v>
      </c>
      <c r="IE25" s="6">
        <v>24463.75</v>
      </c>
      <c r="IF25" s="6">
        <v>24678.69</v>
      </c>
      <c r="IG25" s="6">
        <v>24896.11</v>
      </c>
      <c r="IH25" s="6">
        <v>25116.09</v>
      </c>
      <c r="II25" s="6">
        <v>25336.11</v>
      </c>
      <c r="IJ25" s="6">
        <v>25558.67</v>
      </c>
      <c r="IK25" s="6">
        <v>25779.32</v>
      </c>
      <c r="IL25" s="6">
        <v>26000.560000000001</v>
      </c>
      <c r="IM25" s="6">
        <v>26225.46</v>
      </c>
      <c r="IN25" s="6">
        <v>26449.67</v>
      </c>
      <c r="IO25" s="6">
        <v>26674.9</v>
      </c>
      <c r="IP25" s="6">
        <v>26902.06</v>
      </c>
      <c r="IQ25" s="6">
        <v>27132.63</v>
      </c>
      <c r="IR25" s="6">
        <v>27366.14</v>
      </c>
      <c r="IS25" s="6">
        <v>27596.85</v>
      </c>
      <c r="IT25" s="6">
        <v>27830.48</v>
      </c>
      <c r="IU25" s="6">
        <v>28068.720000000001</v>
      </c>
      <c r="IV25" s="6">
        <v>28310.02</v>
      </c>
      <c r="IW25" s="6">
        <v>28553.75</v>
      </c>
      <c r="IX25" s="6">
        <v>28800.09</v>
      </c>
      <c r="IY25" s="6">
        <v>29049.27</v>
      </c>
      <c r="IZ25" s="6">
        <v>29301.35</v>
      </c>
      <c r="JA25" s="6">
        <v>29556.44</v>
      </c>
      <c r="JB25" s="6">
        <v>29814.55</v>
      </c>
      <c r="JC25" s="6">
        <v>30075.1</v>
      </c>
      <c r="JD25" s="6">
        <v>30338.1</v>
      </c>
      <c r="JE25" s="6">
        <v>30603.54</v>
      </c>
      <c r="JF25" s="6">
        <v>30871.49</v>
      </c>
      <c r="JG25" s="6">
        <v>31142.63</v>
      </c>
      <c r="JH25" s="6">
        <v>31416.98</v>
      </c>
      <c r="JI25" s="6">
        <v>31694.63</v>
      </c>
      <c r="JJ25" s="6">
        <v>31975.61</v>
      </c>
      <c r="JK25" s="6">
        <v>32259.3</v>
      </c>
      <c r="JL25" s="6">
        <v>32545.69</v>
      </c>
      <c r="JM25" s="6">
        <v>32834.83</v>
      </c>
      <c r="JN25" s="6">
        <v>33126.71</v>
      </c>
      <c r="JO25" s="6">
        <v>33421.42</v>
      </c>
      <c r="JP25" s="6">
        <v>33718.86</v>
      </c>
      <c r="JQ25" s="6">
        <v>34019.019999999997</v>
      </c>
      <c r="JR25" s="6">
        <v>34321.85</v>
      </c>
      <c r="JS25" s="6">
        <v>34624.06</v>
      </c>
      <c r="JT25" s="6">
        <v>34929.14</v>
      </c>
      <c r="JU25" s="6">
        <v>35237.1</v>
      </c>
      <c r="JV25" s="6">
        <v>35547.910000000003</v>
      </c>
      <c r="JW25" s="6">
        <v>35861.360000000001</v>
      </c>
      <c r="JX25" s="6">
        <v>36177.49</v>
      </c>
      <c r="JY25" s="6">
        <v>36496.28</v>
      </c>
      <c r="JZ25" s="6">
        <v>36817.769999999997</v>
      </c>
      <c r="KA25" s="6">
        <v>37141.980000000003</v>
      </c>
      <c r="KB25" s="6">
        <v>37468.93</v>
      </c>
      <c r="KC25" s="6">
        <v>37798.620000000003</v>
      </c>
      <c r="KD25" s="6">
        <v>38131.06</v>
      </c>
      <c r="KE25" s="6">
        <v>38466.269999999997</v>
      </c>
      <c r="KF25" s="6">
        <v>38804.29</v>
      </c>
      <c r="KG25" s="6">
        <v>39145.089999999997</v>
      </c>
      <c r="KH25" s="6">
        <v>39488.75</v>
      </c>
      <c r="KI25" s="6">
        <v>39835.24</v>
      </c>
      <c r="KJ25" s="6">
        <v>40184.629999999997</v>
      </c>
      <c r="KK25" s="6">
        <v>40536.89</v>
      </c>
      <c r="KL25" s="6">
        <v>40892.07</v>
      </c>
      <c r="KM25" s="6">
        <v>41250.22</v>
      </c>
      <c r="KN25" s="6">
        <v>41611.31</v>
      </c>
      <c r="KO25" s="6">
        <v>41975.41</v>
      </c>
      <c r="KP25" s="6">
        <v>42342.5</v>
      </c>
      <c r="KQ25" s="6">
        <v>42712.66</v>
      </c>
      <c r="KR25" s="6">
        <v>43085.86</v>
      </c>
      <c r="KS25" s="6">
        <v>43462.15</v>
      </c>
      <c r="KT25" s="6">
        <v>43841.57</v>
      </c>
      <c r="KU25" s="6">
        <v>44224.13</v>
      </c>
      <c r="KV25" s="6">
        <v>44609.86</v>
      </c>
      <c r="KW25" s="6">
        <v>44998.76</v>
      </c>
      <c r="KX25" s="6">
        <v>45390.89</v>
      </c>
      <c r="KY25" s="6">
        <v>45786.25</v>
      </c>
      <c r="KZ25" s="6">
        <v>46184.89</v>
      </c>
      <c r="LA25" s="6">
        <v>46586.8</v>
      </c>
      <c r="LB25" s="6">
        <v>46992.05</v>
      </c>
      <c r="LC25" s="6">
        <v>47400.59</v>
      </c>
      <c r="LD25" s="6">
        <v>47812.52</v>
      </c>
      <c r="LE25" s="6">
        <v>48227.82</v>
      </c>
      <c r="LF25" s="6">
        <v>48646.54</v>
      </c>
      <c r="LG25" s="2" t="s">
        <v>335</v>
      </c>
      <c r="LH25" s="2" t="s">
        <v>336</v>
      </c>
      <c r="LI25" s="2" t="s">
        <v>338</v>
      </c>
      <c r="LJ25" s="2" t="s">
        <v>338</v>
      </c>
      <c r="LK25" s="2" t="s">
        <v>339</v>
      </c>
      <c r="LL25" s="2" t="s">
        <v>349</v>
      </c>
      <c r="LM25" s="2" t="s">
        <v>338</v>
      </c>
      <c r="LN25" s="4" t="s">
        <v>527</v>
      </c>
      <c r="LO25" s="2" t="s">
        <v>528</v>
      </c>
      <c r="LP25" s="2" t="s">
        <v>343</v>
      </c>
      <c r="LQ25" s="2" t="s">
        <v>529</v>
      </c>
      <c r="LR25" s="4" t="s">
        <v>659</v>
      </c>
      <c r="LS25"/>
      <c r="LT25"/>
      <c r="LU25"/>
      <c r="LV25"/>
      <c r="LW25"/>
      <c r="LX25"/>
    </row>
    <row r="26" spans="1:336" x14ac:dyDescent="0.35">
      <c r="A26" s="2" t="s">
        <v>330</v>
      </c>
      <c r="B26" s="2" t="s">
        <v>530</v>
      </c>
      <c r="C26" s="4" t="s">
        <v>658</v>
      </c>
      <c r="D26" s="2" t="s">
        <v>628</v>
      </c>
      <c r="E26" s="2" t="s">
        <v>338</v>
      </c>
      <c r="F26" s="2" t="s">
        <v>334</v>
      </c>
      <c r="G26" s="5">
        <v>10.263450000000001</v>
      </c>
      <c r="H26" s="5">
        <v>10.39237</v>
      </c>
      <c r="I26" s="5">
        <v>10.631640000000001</v>
      </c>
      <c r="J26" s="5">
        <v>11.13748</v>
      </c>
      <c r="K26" s="5">
        <v>11.73601</v>
      </c>
      <c r="L26" s="5">
        <v>12.213190000000001</v>
      </c>
      <c r="M26" s="5">
        <v>12.76206</v>
      </c>
      <c r="N26" s="5">
        <v>13.47489</v>
      </c>
      <c r="O26" s="5">
        <v>14.38688</v>
      </c>
      <c r="P26" s="5">
        <v>15.16818</v>
      </c>
      <c r="Q26" s="5">
        <v>15.7707</v>
      </c>
      <c r="R26" s="5">
        <v>16.597670000000001</v>
      </c>
      <c r="S26" s="5">
        <v>17.22878</v>
      </c>
      <c r="T26" s="5">
        <v>17.65541</v>
      </c>
      <c r="U26" s="5">
        <v>18.13524</v>
      </c>
      <c r="V26" s="5">
        <v>19.08728</v>
      </c>
      <c r="W26" s="5">
        <v>19.988499999999998</v>
      </c>
      <c r="X26" s="5">
        <v>20.629760000000001</v>
      </c>
      <c r="Y26" s="5">
        <v>21.00216</v>
      </c>
      <c r="Z26" s="5">
        <v>21.35981</v>
      </c>
      <c r="AA26" s="5">
        <v>22.043700000000001</v>
      </c>
      <c r="AB26" s="5">
        <v>22.540009999999999</v>
      </c>
      <c r="AC26" s="5">
        <v>22.957049999999999</v>
      </c>
      <c r="AD26" s="5">
        <v>23.745080000000002</v>
      </c>
      <c r="AE26" s="5">
        <v>24.391529999999999</v>
      </c>
      <c r="AF26" s="5">
        <v>24.95965</v>
      </c>
      <c r="AG26" s="5">
        <v>26.698799999999999</v>
      </c>
      <c r="AH26" s="5">
        <v>27.827580000000001</v>
      </c>
      <c r="AI26" s="5">
        <v>28.8795</v>
      </c>
      <c r="AJ26" s="5">
        <v>29.975079999999998</v>
      </c>
      <c r="AK26" s="5">
        <v>30.613</v>
      </c>
      <c r="AL26" s="5">
        <v>31.952549999999999</v>
      </c>
      <c r="AM26" s="5">
        <v>32.74662</v>
      </c>
      <c r="AN26" s="5">
        <v>33.662889999999997</v>
      </c>
      <c r="AO26" s="5">
        <v>34.452309999999997</v>
      </c>
      <c r="AP26" s="5">
        <v>35.565069999999999</v>
      </c>
      <c r="AQ26" s="5">
        <v>36.358040000000003</v>
      </c>
      <c r="AR26" s="5">
        <v>36.982959999999999</v>
      </c>
      <c r="AS26" s="5">
        <v>37.402979999999999</v>
      </c>
      <c r="AT26" s="5">
        <v>38.272869999999998</v>
      </c>
      <c r="AU26" s="5">
        <v>38.772509999999997</v>
      </c>
      <c r="AV26" s="5">
        <v>39.189529999999998</v>
      </c>
      <c r="AW26" s="5">
        <v>39.55536</v>
      </c>
      <c r="AX26" s="5">
        <v>40.167029999999997</v>
      </c>
      <c r="AY26" s="5">
        <v>40.681139999999999</v>
      </c>
      <c r="AZ26" s="5">
        <v>41.299869999999999</v>
      </c>
      <c r="BA26" s="5">
        <v>41.773049999999998</v>
      </c>
      <c r="BB26" s="5">
        <v>42.311909999999997</v>
      </c>
      <c r="BC26" s="5">
        <v>42.206699999999998</v>
      </c>
      <c r="BD26" s="5">
        <v>42.924439999999997</v>
      </c>
      <c r="BE26" s="5">
        <v>43.571120000000001</v>
      </c>
      <c r="BF26" s="5">
        <v>44.230939999999997</v>
      </c>
      <c r="BG26" s="5">
        <v>44.291530000000002</v>
      </c>
      <c r="BH26" s="5">
        <v>44.722819999999999</v>
      </c>
      <c r="BI26" s="5">
        <v>45.208739999999999</v>
      </c>
      <c r="BJ26" s="5">
        <v>45.80245</v>
      </c>
      <c r="BK26" s="5">
        <v>46.23227</v>
      </c>
      <c r="BL26" s="5">
        <v>46.712580000000003</v>
      </c>
      <c r="BM26" s="5">
        <v>47.151769999999999</v>
      </c>
      <c r="BN26" s="5">
        <v>47.738059999999997</v>
      </c>
      <c r="BO26" s="5">
        <v>48.404339999999998</v>
      </c>
      <c r="BP26" s="5">
        <v>49.115569999999998</v>
      </c>
      <c r="BQ26" s="5">
        <v>49.580060000000003</v>
      </c>
      <c r="BR26" s="5">
        <v>50.160209999999999</v>
      </c>
      <c r="BS26" s="5">
        <v>50.730069999999998</v>
      </c>
      <c r="BT26" s="5">
        <v>51.546840000000003</v>
      </c>
      <c r="BU26" s="5">
        <v>52.410020000000003</v>
      </c>
      <c r="BV26" s="5">
        <v>53.389719999999997</v>
      </c>
      <c r="BW26" s="5">
        <v>54.273580000000003</v>
      </c>
      <c r="BX26" s="5">
        <v>55.451689999999999</v>
      </c>
      <c r="BY26" s="5">
        <v>56.655149999999999</v>
      </c>
      <c r="BZ26" s="5">
        <v>57.561950000000003</v>
      </c>
      <c r="CA26" s="5">
        <v>58.720329999999997</v>
      </c>
      <c r="CB26" s="5">
        <v>60.072189999999999</v>
      </c>
      <c r="CC26" s="5">
        <v>60.836930000000002</v>
      </c>
      <c r="CD26" s="5">
        <v>61.531619999999997</v>
      </c>
      <c r="CE26" s="5">
        <v>62.24044</v>
      </c>
      <c r="CF26" s="5">
        <v>62.541759999999996</v>
      </c>
      <c r="CG26" s="5">
        <v>62.890149999999998</v>
      </c>
      <c r="CH26" s="5">
        <v>63.400700000000001</v>
      </c>
      <c r="CI26" s="5">
        <v>64.123589999999993</v>
      </c>
      <c r="CJ26" s="5">
        <v>64.574389999999994</v>
      </c>
      <c r="CK26" s="5">
        <v>64.921199999999999</v>
      </c>
      <c r="CL26" s="5">
        <v>65.37697</v>
      </c>
      <c r="CM26" s="5">
        <v>65.392229999999998</v>
      </c>
      <c r="CN26" s="5">
        <v>65.696920000000006</v>
      </c>
      <c r="CO26" s="5">
        <v>65.941760000000002</v>
      </c>
      <c r="CP26" s="5">
        <v>66.376800000000003</v>
      </c>
      <c r="CQ26" s="5">
        <v>66.745040000000003</v>
      </c>
      <c r="CR26" s="5">
        <v>67.408619999999999</v>
      </c>
      <c r="CS26" s="5">
        <v>68.489069999999998</v>
      </c>
      <c r="CT26" s="5">
        <v>68.511840000000007</v>
      </c>
      <c r="CU26" s="5">
        <v>69.165459999999996</v>
      </c>
      <c r="CV26" s="5">
        <v>69.953450000000004</v>
      </c>
      <c r="CW26" s="5">
        <v>70.510670000000005</v>
      </c>
      <c r="CX26" s="5">
        <v>70.724800000000002</v>
      </c>
      <c r="CY26" s="5">
        <v>70.883269999999996</v>
      </c>
      <c r="CZ26" s="5">
        <v>71.657399999999996</v>
      </c>
      <c r="DA26" s="5">
        <v>72.024780000000007</v>
      </c>
      <c r="DB26" s="5">
        <v>71.549260000000004</v>
      </c>
      <c r="DC26" s="5">
        <v>71.921589999999995</v>
      </c>
      <c r="DD26" s="5">
        <v>72.326040000000006</v>
      </c>
      <c r="DE26" s="5">
        <v>72.765659999999997</v>
      </c>
      <c r="DF26" s="5">
        <v>72.923450000000003</v>
      </c>
      <c r="DG26" s="5">
        <v>73.199129999999997</v>
      </c>
      <c r="DH26" s="5">
        <v>73.069820000000007</v>
      </c>
      <c r="DI26" s="5">
        <v>72.650260000000003</v>
      </c>
      <c r="DJ26" s="5">
        <v>72.899950000000004</v>
      </c>
      <c r="DK26" s="5">
        <v>73.154949999999999</v>
      </c>
      <c r="DL26" s="5">
        <v>73.001140000000007</v>
      </c>
      <c r="DM26" s="5">
        <v>73.088419999999999</v>
      </c>
      <c r="DN26" s="5">
        <v>72.975189999999998</v>
      </c>
      <c r="DO26" s="5">
        <v>73.79271</v>
      </c>
      <c r="DP26" s="5">
        <v>73.798649999999995</v>
      </c>
      <c r="DQ26" s="5">
        <v>73.873530000000002</v>
      </c>
      <c r="DR26" s="5">
        <v>72.942499999999995</v>
      </c>
      <c r="DS26" s="5">
        <v>73.815539999999999</v>
      </c>
      <c r="DT26" s="5">
        <v>73.949520000000007</v>
      </c>
      <c r="DU26" s="5">
        <v>74.030460000000005</v>
      </c>
      <c r="DV26" s="5">
        <v>74.478980000000007</v>
      </c>
      <c r="DW26" s="5">
        <v>74.640739999999994</v>
      </c>
      <c r="DX26" s="5">
        <v>74.648349999999994</v>
      </c>
      <c r="DY26" s="5">
        <v>75.182749999999999</v>
      </c>
      <c r="DZ26" s="5">
        <v>75.484229999999997</v>
      </c>
      <c r="EA26" s="5">
        <v>75.759270000000001</v>
      </c>
      <c r="EB26" s="5">
        <v>76.151560000000003</v>
      </c>
      <c r="EC26" s="5">
        <v>76.527389999999997</v>
      </c>
      <c r="ED26" s="5">
        <v>77.095380000000006</v>
      </c>
      <c r="EE26" s="5">
        <v>77.340789999999998</v>
      </c>
      <c r="EF26" s="5">
        <v>77.314869999999999</v>
      </c>
      <c r="EG26" s="5">
        <v>77.879019999999997</v>
      </c>
      <c r="EH26" s="5">
        <v>78.580240000000003</v>
      </c>
      <c r="EI26" s="5">
        <v>79.083129999999997</v>
      </c>
      <c r="EJ26" s="5">
        <v>79.985619999999997</v>
      </c>
      <c r="EK26" s="5">
        <v>80.548259999999999</v>
      </c>
      <c r="EL26" s="5">
        <v>80.706029999999998</v>
      </c>
      <c r="EM26" s="5">
        <v>80.061509999999998</v>
      </c>
      <c r="EN26" s="5">
        <v>81.258380000000002</v>
      </c>
      <c r="EO26" s="5">
        <v>81.610349999999997</v>
      </c>
      <c r="EP26" s="5">
        <v>81.83211</v>
      </c>
      <c r="EQ26" s="5">
        <v>83.038089999999997</v>
      </c>
      <c r="ER26" s="5">
        <v>84.276949999999999</v>
      </c>
      <c r="ES26" s="5">
        <v>85.554150000000007</v>
      </c>
      <c r="ET26" s="5">
        <v>84.882189999999994</v>
      </c>
      <c r="EU26" s="5">
        <v>85.118340000000003</v>
      </c>
      <c r="EV26" s="5">
        <v>85.265249999999995</v>
      </c>
      <c r="EW26" s="5">
        <v>85.249570000000006</v>
      </c>
      <c r="EX26" s="5">
        <v>84.853359999999995</v>
      </c>
      <c r="EY26" s="5">
        <v>84.842129999999997</v>
      </c>
      <c r="EZ26" s="5">
        <v>85.638739999999999</v>
      </c>
      <c r="FA26" s="5">
        <v>86.208730000000003</v>
      </c>
      <c r="FB26" s="5">
        <v>86.952079999999995</v>
      </c>
      <c r="FC26" s="5">
        <v>88.543300000000002</v>
      </c>
      <c r="FD26" s="5">
        <v>88.917760000000001</v>
      </c>
      <c r="FE26" s="5">
        <v>89.611599999999996</v>
      </c>
      <c r="FF26" s="5">
        <v>90.291550000000001</v>
      </c>
      <c r="FG26" s="5">
        <v>90.333550000000002</v>
      </c>
      <c r="FH26" s="5">
        <v>90.853989999999996</v>
      </c>
      <c r="FI26" s="5">
        <v>90.754710000000003</v>
      </c>
      <c r="FJ26" s="5">
        <v>91.406149999999997</v>
      </c>
      <c r="FK26" s="5">
        <v>92.330849999999998</v>
      </c>
      <c r="FL26" s="5">
        <v>92.874179999999996</v>
      </c>
      <c r="FM26" s="5">
        <v>93.098309999999998</v>
      </c>
      <c r="FN26" s="5">
        <v>93.120930000000001</v>
      </c>
      <c r="FO26" s="5">
        <v>93.561639999999997</v>
      </c>
      <c r="FP26" s="5">
        <v>94.314890000000005</v>
      </c>
      <c r="FQ26" s="5">
        <v>94.050190000000001</v>
      </c>
      <c r="FR26" s="5">
        <v>93.767589999999998</v>
      </c>
      <c r="FS26" s="5">
        <v>93.265320000000003</v>
      </c>
      <c r="FT26" s="5">
        <v>93.483069999999998</v>
      </c>
      <c r="FU26" s="5">
        <v>93.725009999999997</v>
      </c>
      <c r="FV26" s="5">
        <v>93.833690000000004</v>
      </c>
      <c r="FW26" s="5">
        <v>93.95232</v>
      </c>
      <c r="FX26" s="5">
        <v>94.382239999999996</v>
      </c>
      <c r="FY26" s="5">
        <v>95.12321</v>
      </c>
      <c r="FZ26" s="5">
        <v>95.585890000000006</v>
      </c>
      <c r="GA26" s="5">
        <v>95.606250000000003</v>
      </c>
      <c r="GB26" s="5">
        <v>96.339359999999999</v>
      </c>
      <c r="GC26" s="5">
        <v>96.769130000000004</v>
      </c>
      <c r="GD26" s="5">
        <v>97.362049999999996</v>
      </c>
      <c r="GE26" s="5">
        <v>97.900419999999997</v>
      </c>
      <c r="GF26" s="5">
        <v>98.200059999999993</v>
      </c>
      <c r="GG26" s="5">
        <v>98.765559999999994</v>
      </c>
      <c r="GH26" s="5">
        <v>99.339740000000006</v>
      </c>
      <c r="GI26" s="5">
        <v>99.424490000000006</v>
      </c>
      <c r="GJ26" s="5">
        <v>99.882140000000007</v>
      </c>
      <c r="GK26" s="5">
        <v>100.2658</v>
      </c>
      <c r="GL26" s="5">
        <v>100.42700000000001</v>
      </c>
      <c r="GM26" s="5">
        <v>99.87527</v>
      </c>
      <c r="GN26" s="5">
        <v>99.928330000000003</v>
      </c>
      <c r="GO26" s="5">
        <v>100.37860000000001</v>
      </c>
      <c r="GP26" s="5">
        <v>100.4406</v>
      </c>
      <c r="GQ26" s="5">
        <v>101.3843</v>
      </c>
      <c r="GR26" s="5">
        <v>101.64579999999999</v>
      </c>
      <c r="GS26" s="5">
        <v>102.9081</v>
      </c>
      <c r="GT26" s="5">
        <v>104.3175</v>
      </c>
      <c r="GU26" s="5">
        <v>106.7436</v>
      </c>
      <c r="GV26" s="5">
        <v>109.9444</v>
      </c>
      <c r="GW26" s="5">
        <v>112.5467</v>
      </c>
      <c r="GX26" s="5">
        <v>115.193</v>
      </c>
      <c r="GY26" s="5">
        <v>117.3306</v>
      </c>
      <c r="GZ26" s="5">
        <v>118.8955</v>
      </c>
      <c r="HA26" s="5">
        <v>119.6271</v>
      </c>
      <c r="HB26" s="5">
        <v>120.2274</v>
      </c>
      <c r="HC26" s="6">
        <v>120.7684</v>
      </c>
      <c r="HD26" s="6">
        <v>121.31189999999999</v>
      </c>
      <c r="HE26" s="6">
        <v>121.8578</v>
      </c>
      <c r="HF26" s="6">
        <v>122.4671</v>
      </c>
      <c r="HG26" s="6">
        <v>123.14060000000001</v>
      </c>
      <c r="HH26" s="6">
        <v>123.81789999999999</v>
      </c>
      <c r="HI26" s="6">
        <v>124.49890000000001</v>
      </c>
      <c r="HJ26" s="6">
        <v>125.1837</v>
      </c>
      <c r="HK26" s="6">
        <v>125.87220000000001</v>
      </c>
      <c r="HL26" s="6">
        <v>126.5645</v>
      </c>
      <c r="HM26" s="6">
        <v>127.2289</v>
      </c>
      <c r="HN26" s="6">
        <v>127.8969</v>
      </c>
      <c r="HO26" s="6">
        <v>128.56829999999999</v>
      </c>
      <c r="HP26" s="6">
        <v>129.2433</v>
      </c>
      <c r="HQ26" s="6">
        <v>129.92179999999999</v>
      </c>
      <c r="HR26" s="6">
        <v>130.60390000000001</v>
      </c>
      <c r="HS26" s="6">
        <v>131.28960000000001</v>
      </c>
      <c r="HT26" s="6">
        <v>131.94110000000001</v>
      </c>
      <c r="HU26" s="6">
        <v>132.5958</v>
      </c>
      <c r="HV26" s="6">
        <v>133.25370000000001</v>
      </c>
      <c r="HW26" s="6">
        <v>133.91489999999999</v>
      </c>
      <c r="HX26" s="6">
        <v>134.57939999999999</v>
      </c>
      <c r="HY26" s="6">
        <v>135.24719999999999</v>
      </c>
      <c r="HZ26" s="6">
        <v>135.91829999999999</v>
      </c>
      <c r="IA26" s="6">
        <v>136.59270000000001</v>
      </c>
      <c r="IB26" s="6">
        <v>137.2705</v>
      </c>
      <c r="IC26" s="6">
        <v>137.95160000000001</v>
      </c>
      <c r="ID26" s="6">
        <v>138.6361</v>
      </c>
      <c r="IE26" s="6">
        <v>139.32400000000001</v>
      </c>
      <c r="IF26" s="6">
        <v>140.0154</v>
      </c>
      <c r="IG26" s="6">
        <v>140.71010000000001</v>
      </c>
      <c r="IH26" s="6">
        <v>141.4083</v>
      </c>
      <c r="II26" s="6">
        <v>142.11000000000001</v>
      </c>
      <c r="IJ26" s="6">
        <v>142.8151</v>
      </c>
      <c r="IK26" s="6">
        <v>143.52379999999999</v>
      </c>
      <c r="IL26" s="6">
        <v>144.23589999999999</v>
      </c>
      <c r="IM26" s="6">
        <v>144.95160000000001</v>
      </c>
      <c r="IN26" s="6">
        <v>145.67089999999999</v>
      </c>
      <c r="IO26" s="6">
        <v>146.3937</v>
      </c>
      <c r="IP26" s="6">
        <v>147.12010000000001</v>
      </c>
      <c r="IQ26" s="6">
        <v>147.8501</v>
      </c>
      <c r="IR26" s="6">
        <v>148.5838</v>
      </c>
      <c r="IS26" s="6">
        <v>149.321</v>
      </c>
      <c r="IT26" s="6">
        <v>150.06200000000001</v>
      </c>
      <c r="IU26" s="6">
        <v>150.8066</v>
      </c>
      <c r="IV26" s="6">
        <v>151.5549</v>
      </c>
      <c r="IW26" s="6">
        <v>152.30690000000001</v>
      </c>
      <c r="IX26" s="6">
        <v>153.0626</v>
      </c>
      <c r="IY26" s="6">
        <v>153.82210000000001</v>
      </c>
      <c r="IZ26" s="6">
        <v>154.58539999999999</v>
      </c>
      <c r="JA26" s="6">
        <v>155.35249999999999</v>
      </c>
      <c r="JB26" s="6">
        <v>156.1233</v>
      </c>
      <c r="JC26" s="6">
        <v>156.898</v>
      </c>
      <c r="JD26" s="6">
        <v>157.6765</v>
      </c>
      <c r="JE26" s="6">
        <v>158.4589</v>
      </c>
      <c r="JF26" s="6">
        <v>159.24520000000001</v>
      </c>
      <c r="JG26" s="6">
        <v>160.03540000000001</v>
      </c>
      <c r="JH26" s="6">
        <v>160.8295</v>
      </c>
      <c r="JI26" s="6">
        <v>161.6275</v>
      </c>
      <c r="JJ26" s="6">
        <v>162.42949999999999</v>
      </c>
      <c r="JK26" s="6">
        <v>163.2355</v>
      </c>
      <c r="JL26" s="6">
        <v>164.0454</v>
      </c>
      <c r="JM26" s="6">
        <v>164.85939999999999</v>
      </c>
      <c r="JN26" s="6">
        <v>165.67750000000001</v>
      </c>
      <c r="JO26" s="6">
        <v>166.49959999999999</v>
      </c>
      <c r="JP26" s="6">
        <v>167.32570000000001</v>
      </c>
      <c r="JQ26" s="6">
        <v>168.15600000000001</v>
      </c>
      <c r="JR26" s="6">
        <v>168.99039999999999</v>
      </c>
      <c r="JS26" s="6">
        <v>169.8289</v>
      </c>
      <c r="JT26" s="6">
        <v>170.67160000000001</v>
      </c>
      <c r="JU26" s="6">
        <v>171.51849999999999</v>
      </c>
      <c r="JV26" s="6">
        <v>172.36959999999999</v>
      </c>
      <c r="JW26" s="6">
        <v>173.22489999999999</v>
      </c>
      <c r="JX26" s="6">
        <v>174.08439999999999</v>
      </c>
      <c r="JY26" s="6">
        <v>174.94820000000001</v>
      </c>
      <c r="JZ26" s="6">
        <v>175.81630000000001</v>
      </c>
      <c r="KA26" s="6">
        <v>176.68870000000001</v>
      </c>
      <c r="KB26" s="6">
        <v>177.56540000000001</v>
      </c>
      <c r="KC26" s="6">
        <v>178.44649999999999</v>
      </c>
      <c r="KD26" s="6">
        <v>179.33199999999999</v>
      </c>
      <c r="KE26" s="6">
        <v>180.2218</v>
      </c>
      <c r="KF26" s="6">
        <v>181.11609999999999</v>
      </c>
      <c r="KG26" s="6">
        <v>182.01480000000001</v>
      </c>
      <c r="KH26" s="6">
        <v>182.9179</v>
      </c>
      <c r="KI26" s="6">
        <v>183.82560000000001</v>
      </c>
      <c r="KJ26" s="6">
        <v>184.73769999999999</v>
      </c>
      <c r="KK26" s="6">
        <v>185.65440000000001</v>
      </c>
      <c r="KL26" s="6">
        <v>186.57560000000001</v>
      </c>
      <c r="KM26" s="6">
        <v>187.50139999999999</v>
      </c>
      <c r="KN26" s="6">
        <v>188.43180000000001</v>
      </c>
      <c r="KO26" s="6">
        <v>189.36680000000001</v>
      </c>
      <c r="KP26" s="6">
        <v>190.3064</v>
      </c>
      <c r="KQ26" s="6">
        <v>191.25069999999999</v>
      </c>
      <c r="KR26" s="6">
        <v>192.19970000000001</v>
      </c>
      <c r="KS26" s="6">
        <v>193.1534</v>
      </c>
      <c r="KT26" s="6">
        <v>194.11179999999999</v>
      </c>
      <c r="KU26" s="6">
        <v>195.07499999999999</v>
      </c>
      <c r="KV26" s="6">
        <v>196.04300000000001</v>
      </c>
      <c r="KW26" s="6">
        <v>197.01570000000001</v>
      </c>
      <c r="KX26" s="6">
        <v>197.9933</v>
      </c>
      <c r="KY26" s="6">
        <v>198.97579999999999</v>
      </c>
      <c r="KZ26" s="6">
        <v>199.9631</v>
      </c>
      <c r="LA26" s="6">
        <v>200.95529999999999</v>
      </c>
      <c r="LB26" s="6">
        <v>201.95240000000001</v>
      </c>
      <c r="LC26" s="6">
        <v>202.9545</v>
      </c>
      <c r="LD26" s="6">
        <v>203.9616</v>
      </c>
      <c r="LE26" s="6">
        <v>204.9736</v>
      </c>
      <c r="LF26" s="6">
        <v>205.9907</v>
      </c>
      <c r="LG26" s="2" t="s">
        <v>335</v>
      </c>
      <c r="LH26" s="2" t="s">
        <v>336</v>
      </c>
      <c r="LI26" s="2" t="s">
        <v>338</v>
      </c>
      <c r="LJ26" s="2" t="s">
        <v>476</v>
      </c>
      <c r="LK26" s="2" t="s">
        <v>339</v>
      </c>
      <c r="LL26" s="2" t="s">
        <v>623</v>
      </c>
      <c r="LM26" s="2" t="s">
        <v>338</v>
      </c>
      <c r="LN26" s="4" t="s">
        <v>531</v>
      </c>
      <c r="LO26" s="2" t="s">
        <v>338</v>
      </c>
      <c r="LP26" s="2" t="s">
        <v>343</v>
      </c>
      <c r="LQ26" s="2" t="s">
        <v>532</v>
      </c>
      <c r="LR26" s="4" t="s">
        <v>659</v>
      </c>
      <c r="LS26"/>
      <c r="LT26"/>
      <c r="LU26"/>
      <c r="LV26"/>
      <c r="LW26"/>
      <c r="LX26"/>
    </row>
    <row r="27" spans="1:336" x14ac:dyDescent="0.35">
      <c r="A27" s="2" t="s">
        <v>330</v>
      </c>
      <c r="B27" s="2" t="s">
        <v>533</v>
      </c>
      <c r="C27" s="4" t="s">
        <v>658</v>
      </c>
      <c r="D27" s="2" t="s">
        <v>332</v>
      </c>
      <c r="E27" s="2" t="s">
        <v>333</v>
      </c>
      <c r="F27" s="2" t="s">
        <v>334</v>
      </c>
      <c r="G27" s="5">
        <v>123343</v>
      </c>
      <c r="H27" s="5">
        <v>125849</v>
      </c>
      <c r="I27" s="5">
        <v>126868</v>
      </c>
      <c r="J27" s="5">
        <v>127167</v>
      </c>
      <c r="K27" s="5">
        <v>123642</v>
      </c>
      <c r="L27" s="5">
        <v>122222</v>
      </c>
      <c r="M27" s="5">
        <v>126694</v>
      </c>
      <c r="N27" s="5">
        <v>126404</v>
      </c>
      <c r="O27" s="5">
        <v>128758</v>
      </c>
      <c r="P27" s="5">
        <v>124675</v>
      </c>
      <c r="Q27" s="5">
        <v>126001</v>
      </c>
      <c r="R27" s="5">
        <v>123750</v>
      </c>
      <c r="S27" s="5">
        <v>125485</v>
      </c>
      <c r="T27" s="5">
        <v>124068</v>
      </c>
      <c r="U27" s="5">
        <v>128107</v>
      </c>
      <c r="V27" s="5">
        <v>124838</v>
      </c>
      <c r="W27" s="5">
        <v>121535</v>
      </c>
      <c r="X27" s="5">
        <v>120668</v>
      </c>
      <c r="Y27" s="5">
        <v>123029</v>
      </c>
      <c r="Z27" s="5">
        <v>128108</v>
      </c>
      <c r="AA27" s="5">
        <v>127968</v>
      </c>
      <c r="AB27" s="5">
        <v>131563</v>
      </c>
      <c r="AC27" s="5">
        <v>134961</v>
      </c>
      <c r="AD27" s="5">
        <v>134870</v>
      </c>
      <c r="AE27" s="5">
        <v>136853</v>
      </c>
      <c r="AF27" s="5">
        <v>139258</v>
      </c>
      <c r="AG27" s="5">
        <v>139310</v>
      </c>
      <c r="AH27" s="5">
        <v>145621</v>
      </c>
      <c r="AI27" s="5">
        <v>141669</v>
      </c>
      <c r="AJ27" s="5">
        <v>141955</v>
      </c>
      <c r="AK27" s="5">
        <v>144073</v>
      </c>
      <c r="AL27" s="5">
        <v>142716</v>
      </c>
      <c r="AM27" s="5">
        <v>144110</v>
      </c>
      <c r="AN27" s="5">
        <v>141992</v>
      </c>
      <c r="AO27" s="5">
        <v>141511</v>
      </c>
      <c r="AP27" s="5">
        <v>142399</v>
      </c>
      <c r="AQ27" s="5">
        <v>141625</v>
      </c>
      <c r="AR27" s="5">
        <v>144108</v>
      </c>
      <c r="AS27" s="5">
        <v>143101</v>
      </c>
      <c r="AT27" s="5">
        <v>143569</v>
      </c>
      <c r="AU27" s="5">
        <v>142649</v>
      </c>
      <c r="AV27" s="5">
        <v>148264</v>
      </c>
      <c r="AW27" s="5">
        <v>146835</v>
      </c>
      <c r="AX27" s="5">
        <v>147440</v>
      </c>
      <c r="AY27" s="5">
        <v>150039</v>
      </c>
      <c r="AZ27" s="5">
        <v>148263</v>
      </c>
      <c r="BA27" s="5">
        <v>152446</v>
      </c>
      <c r="BB27" s="5">
        <v>155816</v>
      </c>
      <c r="BC27" s="5">
        <v>157330</v>
      </c>
      <c r="BD27" s="5">
        <v>157696</v>
      </c>
      <c r="BE27" s="5">
        <v>157997</v>
      </c>
      <c r="BF27" s="5">
        <v>159085</v>
      </c>
      <c r="BG27" s="5">
        <v>161393</v>
      </c>
      <c r="BH27" s="5">
        <v>167611</v>
      </c>
      <c r="BI27" s="5">
        <v>164430</v>
      </c>
      <c r="BJ27" s="5">
        <v>164675</v>
      </c>
      <c r="BK27" s="5">
        <v>162448</v>
      </c>
      <c r="BL27" s="5">
        <v>166144</v>
      </c>
      <c r="BM27" s="5">
        <v>168411</v>
      </c>
      <c r="BN27" s="5">
        <v>169575</v>
      </c>
      <c r="BO27" s="5">
        <v>172149</v>
      </c>
      <c r="BP27" s="5">
        <v>175050</v>
      </c>
      <c r="BQ27" s="5">
        <v>177054</v>
      </c>
      <c r="BR27" s="5">
        <v>178454</v>
      </c>
      <c r="BS27" s="5">
        <v>180728</v>
      </c>
      <c r="BT27" s="5">
        <v>183345</v>
      </c>
      <c r="BU27" s="5">
        <v>188456</v>
      </c>
      <c r="BV27" s="5">
        <v>186727</v>
      </c>
      <c r="BW27" s="5">
        <v>192047</v>
      </c>
      <c r="BX27" s="5">
        <v>189815</v>
      </c>
      <c r="BY27" s="5">
        <v>191679</v>
      </c>
      <c r="BZ27" s="5">
        <v>194700</v>
      </c>
      <c r="CA27" s="5">
        <v>195867</v>
      </c>
      <c r="CB27" s="5">
        <v>192321</v>
      </c>
      <c r="CC27" s="5">
        <v>198060</v>
      </c>
      <c r="CD27" s="5">
        <v>197687</v>
      </c>
      <c r="CE27" s="5">
        <v>198982</v>
      </c>
      <c r="CF27" s="5">
        <v>200949</v>
      </c>
      <c r="CG27" s="5">
        <v>202605</v>
      </c>
      <c r="CH27" s="5">
        <v>202543</v>
      </c>
      <c r="CI27" s="5">
        <v>201155</v>
      </c>
      <c r="CJ27" s="5">
        <v>206784</v>
      </c>
      <c r="CK27" s="5">
        <v>208744</v>
      </c>
      <c r="CL27" s="5">
        <v>209586</v>
      </c>
      <c r="CM27" s="5">
        <v>208814</v>
      </c>
      <c r="CN27" s="5">
        <v>208484</v>
      </c>
      <c r="CO27" s="5">
        <v>212698</v>
      </c>
      <c r="CP27" s="5">
        <v>211516</v>
      </c>
      <c r="CQ27" s="5">
        <v>215218</v>
      </c>
      <c r="CR27" s="5">
        <v>215459</v>
      </c>
      <c r="CS27" s="5">
        <v>217415</v>
      </c>
      <c r="CT27" s="5">
        <v>218578</v>
      </c>
      <c r="CU27" s="5">
        <v>222327</v>
      </c>
      <c r="CV27" s="5">
        <v>222188</v>
      </c>
      <c r="CW27" s="5">
        <v>224546</v>
      </c>
      <c r="CX27" s="5">
        <v>220727</v>
      </c>
      <c r="CY27" s="5">
        <v>224117</v>
      </c>
      <c r="CZ27" s="5">
        <v>226091</v>
      </c>
      <c r="DA27" s="5">
        <v>228369</v>
      </c>
      <c r="DB27" s="5">
        <v>227608</v>
      </c>
      <c r="DC27" s="5">
        <v>227861</v>
      </c>
      <c r="DD27" s="5">
        <v>228880</v>
      </c>
      <c r="DE27" s="5">
        <v>227370</v>
      </c>
      <c r="DF27" s="5">
        <v>230430</v>
      </c>
      <c r="DG27" s="5">
        <v>228499</v>
      </c>
      <c r="DH27" s="5">
        <v>239457</v>
      </c>
      <c r="DI27" s="5">
        <v>240266</v>
      </c>
      <c r="DJ27" s="5">
        <v>246151</v>
      </c>
      <c r="DK27" s="5">
        <v>246676</v>
      </c>
      <c r="DL27" s="5">
        <v>249186</v>
      </c>
      <c r="DM27" s="5">
        <v>253929</v>
      </c>
      <c r="DN27" s="5">
        <v>258132</v>
      </c>
      <c r="DO27" s="5">
        <v>260021</v>
      </c>
      <c r="DP27" s="5">
        <v>258701</v>
      </c>
      <c r="DQ27" s="5">
        <v>259878</v>
      </c>
      <c r="DR27" s="5">
        <v>264858</v>
      </c>
      <c r="DS27" s="5">
        <v>265809</v>
      </c>
      <c r="DT27" s="5">
        <v>267970</v>
      </c>
      <c r="DU27" s="5">
        <v>267210</v>
      </c>
      <c r="DV27" s="5">
        <v>268404</v>
      </c>
      <c r="DW27" s="5">
        <v>270414</v>
      </c>
      <c r="DX27" s="5">
        <v>272016</v>
      </c>
      <c r="DY27" s="5">
        <v>273401</v>
      </c>
      <c r="DZ27" s="5">
        <v>277062</v>
      </c>
      <c r="EA27" s="5">
        <v>277926</v>
      </c>
      <c r="EB27" s="5">
        <v>280489</v>
      </c>
      <c r="EC27" s="5">
        <v>282458</v>
      </c>
      <c r="ED27" s="5">
        <v>282979</v>
      </c>
      <c r="EE27" s="5">
        <v>284680</v>
      </c>
      <c r="EF27" s="5">
        <v>287881</v>
      </c>
      <c r="EG27" s="5">
        <v>289515</v>
      </c>
      <c r="EH27" s="5">
        <v>289662</v>
      </c>
      <c r="EI27" s="5">
        <v>291876</v>
      </c>
      <c r="EJ27" s="5">
        <v>290889</v>
      </c>
      <c r="EK27" s="5">
        <v>294125</v>
      </c>
      <c r="EL27" s="5">
        <v>295208</v>
      </c>
      <c r="EM27" s="5">
        <v>304480</v>
      </c>
      <c r="EN27" s="5">
        <v>301584</v>
      </c>
      <c r="EO27" s="5">
        <v>305911</v>
      </c>
      <c r="EP27" s="5">
        <v>305617</v>
      </c>
      <c r="EQ27" s="5">
        <v>301633</v>
      </c>
      <c r="ER27" s="5">
        <v>304787</v>
      </c>
      <c r="ES27" s="5">
        <v>299747</v>
      </c>
      <c r="ET27" s="5">
        <v>305312</v>
      </c>
      <c r="EU27" s="5">
        <v>301465</v>
      </c>
      <c r="EV27" s="5">
        <v>309725</v>
      </c>
      <c r="EW27" s="5">
        <v>308388</v>
      </c>
      <c r="EX27" s="5">
        <v>310902</v>
      </c>
      <c r="EY27" s="5">
        <v>311141</v>
      </c>
      <c r="EZ27" s="5">
        <v>312019</v>
      </c>
      <c r="FA27" s="5">
        <v>310699</v>
      </c>
      <c r="FB27" s="5">
        <v>308430</v>
      </c>
      <c r="FC27" s="5">
        <v>300149</v>
      </c>
      <c r="FD27" s="5">
        <v>305414</v>
      </c>
      <c r="FE27" s="5">
        <v>305242</v>
      </c>
      <c r="FF27" s="5">
        <v>303004</v>
      </c>
      <c r="FG27" s="5">
        <v>309413</v>
      </c>
      <c r="FH27" s="5">
        <v>312490</v>
      </c>
      <c r="FI27" s="5">
        <v>311276</v>
      </c>
      <c r="FJ27" s="5">
        <v>310363</v>
      </c>
      <c r="FK27" s="5">
        <v>307903</v>
      </c>
      <c r="FL27" s="5">
        <v>314957</v>
      </c>
      <c r="FM27" s="5">
        <v>320838</v>
      </c>
      <c r="FN27" s="5">
        <v>323203</v>
      </c>
      <c r="FO27" s="5">
        <v>322407</v>
      </c>
      <c r="FP27" s="5">
        <v>322681</v>
      </c>
      <c r="FQ27" s="5">
        <v>323040</v>
      </c>
      <c r="FR27" s="5">
        <v>327453</v>
      </c>
      <c r="FS27" s="5">
        <v>334121</v>
      </c>
      <c r="FT27" s="5">
        <v>342067</v>
      </c>
      <c r="FU27" s="5">
        <v>349084</v>
      </c>
      <c r="FV27" s="5">
        <v>348817</v>
      </c>
      <c r="FW27" s="5">
        <v>347340</v>
      </c>
      <c r="FX27" s="5">
        <v>347893</v>
      </c>
      <c r="FY27" s="5">
        <v>345457</v>
      </c>
      <c r="FZ27" s="5">
        <v>342959</v>
      </c>
      <c r="GA27" s="5">
        <v>343071</v>
      </c>
      <c r="GB27" s="5">
        <v>350444</v>
      </c>
      <c r="GC27" s="5">
        <v>351162</v>
      </c>
      <c r="GD27" s="5">
        <v>351244</v>
      </c>
      <c r="GE27" s="5">
        <v>355312</v>
      </c>
      <c r="GF27" s="5">
        <v>353912</v>
      </c>
      <c r="GG27" s="5">
        <v>355143</v>
      </c>
      <c r="GH27" s="5">
        <v>359158</v>
      </c>
      <c r="GI27" s="5">
        <v>358490</v>
      </c>
      <c r="GJ27" s="5">
        <v>364023</v>
      </c>
      <c r="GK27" s="5">
        <v>364207</v>
      </c>
      <c r="GL27" s="5">
        <v>366242</v>
      </c>
      <c r="GM27" s="5">
        <v>361792</v>
      </c>
      <c r="GN27" s="5">
        <v>353366</v>
      </c>
      <c r="GO27" s="5">
        <v>364743</v>
      </c>
      <c r="GP27" s="5">
        <v>365643</v>
      </c>
      <c r="GQ27" s="5">
        <v>366851</v>
      </c>
      <c r="GR27" s="5">
        <v>368506</v>
      </c>
      <c r="GS27" s="5">
        <v>366601</v>
      </c>
      <c r="GT27" s="5">
        <v>364151</v>
      </c>
      <c r="GU27" s="5">
        <v>363913</v>
      </c>
      <c r="GV27" s="5">
        <v>359723</v>
      </c>
      <c r="GW27" s="5">
        <v>358206</v>
      </c>
      <c r="GX27" s="5">
        <v>364138</v>
      </c>
      <c r="GY27" s="5">
        <v>362128</v>
      </c>
      <c r="GZ27" s="5">
        <v>370084</v>
      </c>
      <c r="HA27" s="5">
        <v>371448</v>
      </c>
      <c r="HB27" s="6">
        <v>367308.4</v>
      </c>
      <c r="HC27" s="6">
        <v>367367</v>
      </c>
      <c r="HD27" s="6">
        <v>372333.8</v>
      </c>
      <c r="HE27" s="6">
        <v>372655.8</v>
      </c>
      <c r="HF27" s="6">
        <v>374103</v>
      </c>
      <c r="HG27" s="6">
        <v>376062.7</v>
      </c>
      <c r="HH27" s="6">
        <v>377595.1</v>
      </c>
      <c r="HI27" s="6">
        <v>379753.6</v>
      </c>
      <c r="HJ27" s="6">
        <v>381806.2</v>
      </c>
      <c r="HK27" s="6">
        <v>384033</v>
      </c>
      <c r="HL27" s="6">
        <v>385093.1</v>
      </c>
      <c r="HM27" s="6">
        <v>386772.1</v>
      </c>
      <c r="HN27" s="6">
        <v>388326</v>
      </c>
      <c r="HO27" s="6">
        <v>390308.2</v>
      </c>
      <c r="HP27" s="6">
        <v>391506.5</v>
      </c>
      <c r="HQ27" s="6">
        <v>393231.8</v>
      </c>
      <c r="HR27" s="6">
        <v>395159.2</v>
      </c>
      <c r="HS27" s="6">
        <v>397086.8</v>
      </c>
      <c r="HT27" s="6">
        <v>398584.8</v>
      </c>
      <c r="HU27" s="6">
        <v>400432.8</v>
      </c>
      <c r="HV27" s="6">
        <v>402158.4</v>
      </c>
      <c r="HW27" s="6">
        <v>403942</v>
      </c>
      <c r="HX27" s="6">
        <v>405186.4</v>
      </c>
      <c r="HY27" s="6">
        <v>406747.1</v>
      </c>
      <c r="HZ27" s="6">
        <v>408281.1</v>
      </c>
      <c r="IA27" s="6">
        <v>410159.8</v>
      </c>
      <c r="IB27" s="6">
        <v>411485.8</v>
      </c>
      <c r="IC27" s="6">
        <v>413028.4</v>
      </c>
      <c r="ID27" s="6">
        <v>414551.1</v>
      </c>
      <c r="IE27" s="6">
        <v>416429.2</v>
      </c>
      <c r="IF27" s="6">
        <v>417806.9</v>
      </c>
      <c r="IG27" s="6">
        <v>419444.4</v>
      </c>
      <c r="IH27" s="6">
        <v>421069.3</v>
      </c>
      <c r="II27" s="6">
        <v>422952.8</v>
      </c>
      <c r="IJ27" s="6">
        <v>424322.6</v>
      </c>
      <c r="IK27" s="6">
        <v>425888.7</v>
      </c>
      <c r="IL27" s="6">
        <v>427408</v>
      </c>
      <c r="IM27" s="6">
        <v>429252.4</v>
      </c>
      <c r="IN27" s="6">
        <v>430530</v>
      </c>
      <c r="IO27" s="6">
        <v>432055.5</v>
      </c>
      <c r="IP27" s="6">
        <v>433556.4</v>
      </c>
      <c r="IQ27" s="6">
        <v>435363.8</v>
      </c>
      <c r="IR27" s="6">
        <v>436641.2</v>
      </c>
      <c r="IS27" s="6">
        <v>438110.5</v>
      </c>
      <c r="IT27" s="6">
        <v>439569</v>
      </c>
      <c r="IU27" s="6">
        <v>441369.3</v>
      </c>
      <c r="IV27" s="6">
        <v>442642.7</v>
      </c>
      <c r="IW27" s="6">
        <v>444230.40000000002</v>
      </c>
      <c r="IX27" s="6">
        <v>445813.6</v>
      </c>
      <c r="IY27" s="6">
        <v>447393.1</v>
      </c>
      <c r="IZ27" s="6">
        <v>449019.5</v>
      </c>
      <c r="JA27" s="6">
        <v>450654.8</v>
      </c>
      <c r="JB27" s="6">
        <v>452298.8</v>
      </c>
      <c r="JC27" s="6">
        <v>453950.9</v>
      </c>
      <c r="JD27" s="6">
        <v>455611.8</v>
      </c>
      <c r="JE27" s="6">
        <v>457281.1</v>
      </c>
      <c r="JF27" s="6">
        <v>458959</v>
      </c>
      <c r="JG27" s="6">
        <v>460645.5</v>
      </c>
      <c r="JH27" s="6">
        <v>462380.5</v>
      </c>
      <c r="JI27" s="6">
        <v>464124.8</v>
      </c>
      <c r="JJ27" s="6">
        <v>465878.2</v>
      </c>
      <c r="JK27" s="6">
        <v>467641.59999999998</v>
      </c>
      <c r="JL27" s="6">
        <v>469414.6</v>
      </c>
      <c r="JM27" s="6">
        <v>471196.5</v>
      </c>
      <c r="JN27" s="6">
        <v>472988.2</v>
      </c>
      <c r="JO27" s="6">
        <v>474803.5</v>
      </c>
      <c r="JP27" s="6">
        <v>476644.7</v>
      </c>
      <c r="JQ27" s="6">
        <v>478492.2</v>
      </c>
      <c r="JR27" s="6">
        <v>480345.9</v>
      </c>
      <c r="JS27" s="6">
        <v>482206</v>
      </c>
      <c r="JT27" s="6">
        <v>484038.9</v>
      </c>
      <c r="JU27" s="6">
        <v>485877.2</v>
      </c>
      <c r="JV27" s="6">
        <v>487721.2</v>
      </c>
      <c r="JW27" s="6">
        <v>489570.7</v>
      </c>
      <c r="JX27" s="6">
        <v>491425.9</v>
      </c>
      <c r="JY27" s="6">
        <v>493286.3</v>
      </c>
      <c r="JZ27" s="6">
        <v>495152.5</v>
      </c>
      <c r="KA27" s="6">
        <v>497024.2</v>
      </c>
      <c r="KB27" s="6">
        <v>498901.4</v>
      </c>
      <c r="KC27" s="6">
        <v>500783.7</v>
      </c>
      <c r="KD27" s="6">
        <v>502671.2</v>
      </c>
      <c r="KE27" s="6">
        <v>504564</v>
      </c>
      <c r="KF27" s="6">
        <v>506461.6</v>
      </c>
      <c r="KG27" s="6">
        <v>508364.5</v>
      </c>
      <c r="KH27" s="6">
        <v>510272.5</v>
      </c>
      <c r="KI27" s="6">
        <v>512185</v>
      </c>
      <c r="KJ27" s="6">
        <v>514103.3</v>
      </c>
      <c r="KK27" s="6">
        <v>516026.1</v>
      </c>
      <c r="KL27" s="6">
        <v>517954.5</v>
      </c>
      <c r="KM27" s="6">
        <v>519887.5</v>
      </c>
      <c r="KN27" s="6">
        <v>521825.8</v>
      </c>
      <c r="KO27" s="6">
        <v>523769.3</v>
      </c>
      <c r="KP27" s="6">
        <v>525717.9</v>
      </c>
      <c r="KQ27" s="6">
        <v>527671.69999999995</v>
      </c>
      <c r="KR27" s="6">
        <v>529630.6</v>
      </c>
      <c r="KS27" s="6">
        <v>531594.6</v>
      </c>
      <c r="KT27" s="6">
        <v>533564</v>
      </c>
      <c r="KU27" s="6">
        <v>535538.6</v>
      </c>
      <c r="KV27" s="6">
        <v>537518.30000000005</v>
      </c>
      <c r="KW27" s="6">
        <v>539503.9</v>
      </c>
      <c r="KX27" s="6">
        <v>541493.9</v>
      </c>
      <c r="KY27" s="6">
        <v>543489.4</v>
      </c>
      <c r="KZ27" s="6">
        <v>545490.5</v>
      </c>
      <c r="LA27" s="6">
        <v>547496.6</v>
      </c>
      <c r="LB27" s="6">
        <v>549507.9</v>
      </c>
      <c r="LC27" s="6">
        <v>551524.30000000005</v>
      </c>
      <c r="LD27" s="6">
        <v>553545.80000000005</v>
      </c>
      <c r="LE27" s="6">
        <v>555572.9</v>
      </c>
      <c r="LF27" s="6">
        <v>557604.6</v>
      </c>
      <c r="LG27" s="2" t="s">
        <v>335</v>
      </c>
      <c r="LH27" s="2" t="s">
        <v>336</v>
      </c>
      <c r="LI27" s="4" t="s">
        <v>337</v>
      </c>
      <c r="LJ27" s="2" t="s">
        <v>338</v>
      </c>
      <c r="LK27" s="2" t="s">
        <v>339</v>
      </c>
      <c r="LL27" s="2" t="s">
        <v>349</v>
      </c>
      <c r="LM27" s="2" t="s">
        <v>338</v>
      </c>
      <c r="LN27" s="2" t="s">
        <v>534</v>
      </c>
      <c r="LO27" s="4" t="s">
        <v>535</v>
      </c>
      <c r="LP27" s="2" t="s">
        <v>343</v>
      </c>
      <c r="LQ27" s="2" t="s">
        <v>536</v>
      </c>
      <c r="LR27" s="4" t="s">
        <v>659</v>
      </c>
      <c r="LS27"/>
      <c r="LT27"/>
      <c r="LU27"/>
      <c r="LV27"/>
      <c r="LW27"/>
      <c r="LX27"/>
    </row>
    <row r="28" spans="1:336" x14ac:dyDescent="0.35">
      <c r="A28" s="2" t="s">
        <v>330</v>
      </c>
      <c r="B28" s="2" t="s">
        <v>571</v>
      </c>
      <c r="C28" s="4" t="s">
        <v>658</v>
      </c>
      <c r="D28" s="2" t="s">
        <v>406</v>
      </c>
      <c r="E28" s="2" t="s">
        <v>411</v>
      </c>
      <c r="F28" s="2" t="s">
        <v>334</v>
      </c>
      <c r="G28" s="5">
        <v>1E-3</v>
      </c>
      <c r="H28" s="5">
        <v>1E-3</v>
      </c>
      <c r="I28" s="5">
        <v>1E-3</v>
      </c>
      <c r="J28" s="5">
        <v>1E-3</v>
      </c>
      <c r="K28" s="5">
        <v>1E-3</v>
      </c>
      <c r="L28" s="5">
        <v>1E-3</v>
      </c>
      <c r="M28" s="5">
        <v>1E-3</v>
      </c>
      <c r="N28" s="5">
        <v>1E-3</v>
      </c>
      <c r="O28" s="5">
        <v>1E-3</v>
      </c>
      <c r="P28" s="5">
        <v>1E-3</v>
      </c>
      <c r="Q28" s="5">
        <v>1E-3</v>
      </c>
      <c r="R28" s="5">
        <v>1E-3</v>
      </c>
      <c r="S28" s="5">
        <v>1E-3</v>
      </c>
      <c r="T28" s="5">
        <v>1E-3</v>
      </c>
      <c r="U28" s="5">
        <v>1E-3</v>
      </c>
      <c r="V28" s="5">
        <v>1E-3</v>
      </c>
      <c r="W28" s="5">
        <v>1E-3</v>
      </c>
      <c r="X28" s="5">
        <v>1E-3</v>
      </c>
      <c r="Y28" s="5">
        <v>1E-3</v>
      </c>
      <c r="Z28" s="5">
        <v>1E-3</v>
      </c>
      <c r="AA28" s="5">
        <v>1E-3</v>
      </c>
      <c r="AB28" s="5">
        <v>1E-3</v>
      </c>
      <c r="AC28" s="5">
        <v>1E-3</v>
      </c>
      <c r="AD28" s="5">
        <v>1E-3</v>
      </c>
      <c r="AE28" s="5">
        <v>1E-3</v>
      </c>
      <c r="AF28" s="5">
        <v>1E-3</v>
      </c>
      <c r="AG28" s="5">
        <v>1E-3</v>
      </c>
      <c r="AH28" s="5">
        <v>1E-3</v>
      </c>
      <c r="AI28" s="5">
        <v>1E-3</v>
      </c>
      <c r="AJ28" s="5">
        <v>1E-3</v>
      </c>
      <c r="AK28" s="5">
        <v>1E-3</v>
      </c>
      <c r="AL28" s="5">
        <v>1E-3</v>
      </c>
      <c r="AM28" s="5">
        <v>1E-3</v>
      </c>
      <c r="AN28" s="5">
        <v>1E-3</v>
      </c>
      <c r="AO28" s="5">
        <v>1E-3</v>
      </c>
      <c r="AP28" s="5">
        <v>1E-3</v>
      </c>
      <c r="AQ28" s="5">
        <v>1E-3</v>
      </c>
      <c r="AR28" s="5">
        <v>1E-3</v>
      </c>
      <c r="AS28" s="5">
        <v>1E-3</v>
      </c>
      <c r="AT28" s="5">
        <v>1E-3</v>
      </c>
      <c r="AU28" s="5">
        <v>1E-3</v>
      </c>
      <c r="AV28" s="5">
        <v>1E-3</v>
      </c>
      <c r="AW28" s="5">
        <v>1E-3</v>
      </c>
      <c r="AX28" s="5">
        <v>1E-3</v>
      </c>
      <c r="AY28" s="5">
        <v>1E-3</v>
      </c>
      <c r="AZ28" s="5">
        <v>1E-3</v>
      </c>
      <c r="BA28" s="5">
        <v>1E-3</v>
      </c>
      <c r="BB28" s="5">
        <v>1E-3</v>
      </c>
      <c r="BC28" s="5">
        <v>1E-3</v>
      </c>
      <c r="BD28" s="5">
        <v>1E-3</v>
      </c>
      <c r="BE28" s="5">
        <v>1E-3</v>
      </c>
      <c r="BF28" s="5">
        <v>1E-3</v>
      </c>
      <c r="BG28" s="5">
        <v>1E-3</v>
      </c>
      <c r="BH28" s="5">
        <v>1E-3</v>
      </c>
      <c r="BI28" s="5">
        <v>1E-3</v>
      </c>
      <c r="BJ28" s="5">
        <v>1E-3</v>
      </c>
      <c r="BK28" s="5">
        <v>1E-3</v>
      </c>
      <c r="BL28" s="5">
        <v>1E-3</v>
      </c>
      <c r="BM28" s="5">
        <v>1E-3</v>
      </c>
      <c r="BN28" s="5">
        <v>1E-3</v>
      </c>
      <c r="BO28" s="5">
        <v>1E-3</v>
      </c>
      <c r="BP28" s="5">
        <v>1E-3</v>
      </c>
      <c r="BQ28" s="5">
        <v>1E-3</v>
      </c>
      <c r="BR28" s="5">
        <v>1E-3</v>
      </c>
      <c r="BS28" s="5">
        <v>1E-3</v>
      </c>
      <c r="BT28" s="5">
        <v>1E-3</v>
      </c>
      <c r="BU28" s="5">
        <v>1E-3</v>
      </c>
      <c r="BV28" s="5">
        <v>1E-3</v>
      </c>
      <c r="BW28" s="5">
        <v>1E-3</v>
      </c>
      <c r="BX28" s="5">
        <v>1E-3</v>
      </c>
      <c r="BY28" s="5">
        <v>1E-3</v>
      </c>
      <c r="BZ28" s="5">
        <v>1E-3</v>
      </c>
      <c r="CA28" s="5">
        <v>1E-3</v>
      </c>
      <c r="CB28" s="5">
        <v>1E-3</v>
      </c>
      <c r="CC28" s="5">
        <v>1E-3</v>
      </c>
      <c r="CD28" s="5">
        <v>1E-3</v>
      </c>
      <c r="CE28" s="5">
        <v>1E-3</v>
      </c>
      <c r="CF28" s="5">
        <v>1E-3</v>
      </c>
      <c r="CG28" s="5">
        <v>1E-3</v>
      </c>
      <c r="CH28" s="5">
        <v>1E-3</v>
      </c>
      <c r="CI28" s="5">
        <v>1E-3</v>
      </c>
      <c r="CJ28" s="5">
        <v>1E-3</v>
      </c>
      <c r="CK28" s="5">
        <v>1E-3</v>
      </c>
      <c r="CL28" s="5">
        <v>1E-3</v>
      </c>
      <c r="CM28" s="5">
        <v>1E-3</v>
      </c>
      <c r="CN28" s="5">
        <v>1E-3</v>
      </c>
      <c r="CO28" s="5">
        <v>1E-3</v>
      </c>
      <c r="CP28" s="5">
        <v>1E-3</v>
      </c>
      <c r="CQ28" s="5">
        <v>1E-3</v>
      </c>
      <c r="CR28" s="5">
        <v>1E-3</v>
      </c>
      <c r="CS28" s="5">
        <v>1E-3</v>
      </c>
      <c r="CT28" s="5">
        <v>1E-3</v>
      </c>
      <c r="CU28" s="5">
        <v>1E-3</v>
      </c>
      <c r="CV28" s="5">
        <v>1E-3</v>
      </c>
      <c r="CW28" s="5">
        <v>1E-3</v>
      </c>
      <c r="CX28" s="5">
        <v>1E-3</v>
      </c>
      <c r="CY28" s="5">
        <v>1E-3</v>
      </c>
      <c r="CZ28" s="5">
        <v>1E-3</v>
      </c>
      <c r="DA28" s="5">
        <v>1E-3</v>
      </c>
      <c r="DB28" s="5">
        <v>1E-3</v>
      </c>
      <c r="DC28" s="5">
        <v>6.915</v>
      </c>
      <c r="DD28" s="5">
        <v>7.0010000000000003</v>
      </c>
      <c r="DE28" s="5">
        <v>7.702</v>
      </c>
      <c r="DF28" s="5">
        <v>7.641</v>
      </c>
      <c r="DG28" s="5">
        <v>8.26</v>
      </c>
      <c r="DH28" s="5">
        <v>8.48</v>
      </c>
      <c r="DI28" s="5">
        <v>9.0340000000000007</v>
      </c>
      <c r="DJ28" s="5">
        <v>8.6280000000000001</v>
      </c>
      <c r="DK28" s="5">
        <v>9.3879999999999999</v>
      </c>
      <c r="DL28" s="5">
        <v>9.1289999999999996</v>
      </c>
      <c r="DM28" s="5">
        <v>9.0139999999999993</v>
      </c>
      <c r="DN28" s="5">
        <v>8.3439999999999994</v>
      </c>
      <c r="DO28" s="5">
        <v>9.3360000000000003</v>
      </c>
      <c r="DP28" s="5">
        <v>9.3539999999999992</v>
      </c>
      <c r="DQ28" s="5">
        <v>9.3170000000000002</v>
      </c>
      <c r="DR28" s="5">
        <v>8.8369999999999997</v>
      </c>
      <c r="DS28" s="5">
        <v>9.2230000000000008</v>
      </c>
      <c r="DT28" s="5">
        <v>9.84</v>
      </c>
      <c r="DU28" s="5">
        <v>10.170999999999999</v>
      </c>
      <c r="DV28" s="5">
        <v>9.7910000000000004</v>
      </c>
      <c r="DW28" s="5">
        <v>10.73</v>
      </c>
      <c r="DX28" s="5">
        <v>11.05</v>
      </c>
      <c r="DY28" s="5">
        <v>11.699</v>
      </c>
      <c r="DZ28" s="5">
        <v>11.57</v>
      </c>
      <c r="EA28" s="5">
        <v>13.138999999999999</v>
      </c>
      <c r="EB28" s="5">
        <v>13.944000000000001</v>
      </c>
      <c r="EC28" s="5">
        <v>14.669</v>
      </c>
      <c r="ED28" s="5">
        <v>14.95</v>
      </c>
      <c r="EE28" s="5">
        <v>16.05</v>
      </c>
      <c r="EF28" s="5">
        <v>19.637</v>
      </c>
      <c r="EG28" s="5">
        <v>21.305</v>
      </c>
      <c r="EH28" s="5">
        <v>23.459</v>
      </c>
      <c r="EI28" s="5">
        <v>27.283000000000001</v>
      </c>
      <c r="EJ28" s="5">
        <v>30.317</v>
      </c>
      <c r="EK28" s="5">
        <v>32.076999999999998</v>
      </c>
      <c r="EL28" s="5">
        <v>32.530999999999999</v>
      </c>
      <c r="EM28" s="5">
        <v>33.258000000000003</v>
      </c>
      <c r="EN28" s="5">
        <v>31.251000000000001</v>
      </c>
      <c r="EO28" s="5">
        <v>30.088000000000001</v>
      </c>
      <c r="EP28" s="5">
        <v>27.695</v>
      </c>
      <c r="EQ28" s="5">
        <v>28.256</v>
      </c>
      <c r="ER28" s="5">
        <v>29.62</v>
      </c>
      <c r="ES28" s="5">
        <v>32.780999999999999</v>
      </c>
      <c r="ET28" s="5">
        <v>34.877000000000002</v>
      </c>
      <c r="EU28" s="5">
        <v>36.529000000000003</v>
      </c>
      <c r="EV28" s="5">
        <v>39.262</v>
      </c>
      <c r="EW28" s="5">
        <v>42.13</v>
      </c>
      <c r="EX28" s="5">
        <v>41.73</v>
      </c>
      <c r="EY28" s="5">
        <v>41.948</v>
      </c>
      <c r="EZ28" s="5">
        <v>40.497</v>
      </c>
      <c r="FA28" s="5">
        <v>39.954999999999998</v>
      </c>
      <c r="FB28" s="5">
        <v>36.411000000000001</v>
      </c>
      <c r="FC28" s="5">
        <v>35.149000000000001</v>
      </c>
      <c r="FD28" s="5">
        <v>36.540999999999997</v>
      </c>
      <c r="FE28" s="5">
        <v>36.213000000000001</v>
      </c>
      <c r="FF28" s="5">
        <v>34.493000000000002</v>
      </c>
      <c r="FG28" s="5">
        <v>34.334000000000003</v>
      </c>
      <c r="FH28" s="5">
        <v>33.744</v>
      </c>
      <c r="FI28" s="5">
        <v>32.962000000000003</v>
      </c>
      <c r="FJ28" s="5">
        <v>30.047000000000001</v>
      </c>
      <c r="FK28" s="5">
        <v>29.308</v>
      </c>
      <c r="FL28" s="5">
        <v>30.591000000000001</v>
      </c>
      <c r="FM28" s="5">
        <v>30.239000000000001</v>
      </c>
      <c r="FN28" s="5">
        <v>28.474</v>
      </c>
      <c r="FO28" s="5">
        <v>28.782</v>
      </c>
      <c r="FP28" s="5">
        <v>30.478000000000002</v>
      </c>
      <c r="FQ28" s="5">
        <v>28.242000000000001</v>
      </c>
      <c r="FR28" s="5">
        <v>25.658999999999999</v>
      </c>
      <c r="FS28" s="5">
        <v>23.349</v>
      </c>
      <c r="FT28" s="5">
        <v>20.914999999999999</v>
      </c>
      <c r="FU28" s="5">
        <v>23.747</v>
      </c>
      <c r="FV28" s="5">
        <v>23.495000000000001</v>
      </c>
      <c r="FW28" s="5">
        <v>23.021000000000001</v>
      </c>
      <c r="FX28" s="5">
        <v>25.885999999999999</v>
      </c>
      <c r="FY28" s="5">
        <v>28.228999999999999</v>
      </c>
      <c r="FZ28" s="5">
        <v>25.734999999999999</v>
      </c>
      <c r="GA28" s="5">
        <v>27.462</v>
      </c>
      <c r="GB28" s="5">
        <v>26.071999999999999</v>
      </c>
      <c r="GC28" s="5">
        <v>30.974</v>
      </c>
      <c r="GD28" s="5">
        <v>28.05</v>
      </c>
      <c r="GE28" s="5">
        <v>29.391999999999999</v>
      </c>
      <c r="GF28" s="5">
        <v>32.268000000000001</v>
      </c>
      <c r="GG28" s="5">
        <v>30.637</v>
      </c>
      <c r="GH28" s="5">
        <v>37.121000000000002</v>
      </c>
      <c r="GI28" s="5">
        <v>34.101999999999997</v>
      </c>
      <c r="GJ28" s="5">
        <v>34.68</v>
      </c>
      <c r="GK28" s="5">
        <v>37.631999999999998</v>
      </c>
      <c r="GL28" s="5">
        <v>32.057000000000002</v>
      </c>
      <c r="GM28" s="5">
        <v>30.704000000000001</v>
      </c>
      <c r="GN28" s="5">
        <v>34.984000000000002</v>
      </c>
      <c r="GO28" s="5">
        <v>23.366</v>
      </c>
      <c r="GP28" s="5">
        <v>33.344999999999999</v>
      </c>
      <c r="GQ28" s="5">
        <v>28.225000000000001</v>
      </c>
      <c r="GR28" s="5">
        <v>30.687999999999999</v>
      </c>
      <c r="GS28" s="5">
        <v>30.507999999999999</v>
      </c>
      <c r="GT28" s="5">
        <v>29.969000000000001</v>
      </c>
      <c r="GU28" s="5">
        <v>32.206000000000003</v>
      </c>
      <c r="GV28" s="5">
        <v>33.299999999999997</v>
      </c>
      <c r="GW28" s="5">
        <v>31.318999999999999</v>
      </c>
      <c r="GX28" s="5">
        <v>31.666</v>
      </c>
      <c r="GY28" s="5">
        <v>29.741</v>
      </c>
      <c r="GZ28" s="5">
        <v>29.707000000000001</v>
      </c>
      <c r="HA28" s="5">
        <v>26.591000000000001</v>
      </c>
      <c r="HB28" s="5">
        <v>27.067</v>
      </c>
      <c r="HC28" s="6">
        <v>29.374359999999999</v>
      </c>
      <c r="HD28" s="6">
        <v>31.398530000000001</v>
      </c>
      <c r="HE28" s="6">
        <v>33.215449999999997</v>
      </c>
      <c r="HF28" s="6">
        <v>34.863909999999997</v>
      </c>
      <c r="HG28" s="6">
        <v>35.734900000000003</v>
      </c>
      <c r="HH28" s="6">
        <v>36.128889999999998</v>
      </c>
      <c r="HI28" s="6">
        <v>36.178249999999998</v>
      </c>
      <c r="HJ28" s="6">
        <v>34.750500000000002</v>
      </c>
      <c r="HK28" s="6">
        <v>33.933250000000001</v>
      </c>
      <c r="HL28" s="6">
        <v>32.20702</v>
      </c>
      <c r="HM28" s="6">
        <v>31.369949999999999</v>
      </c>
      <c r="HN28" s="6">
        <v>30.95251</v>
      </c>
      <c r="HO28" s="6">
        <v>30.74587</v>
      </c>
      <c r="HP28" s="6">
        <v>30.643070000000002</v>
      </c>
      <c r="HQ28" s="6">
        <v>30.59178</v>
      </c>
      <c r="HR28" s="6">
        <v>30.566130000000001</v>
      </c>
      <c r="HS28" s="6">
        <v>30.553319999999999</v>
      </c>
      <c r="HT28" s="6">
        <v>30.546959999999999</v>
      </c>
      <c r="HU28" s="6">
        <v>30.543749999999999</v>
      </c>
      <c r="HV28" s="6">
        <v>30.542169999999999</v>
      </c>
      <c r="HW28" s="6">
        <v>30.541340000000002</v>
      </c>
      <c r="HX28" s="6">
        <v>30.540929999999999</v>
      </c>
      <c r="HY28" s="6">
        <v>30.540710000000001</v>
      </c>
      <c r="HZ28" s="6">
        <v>30.54064</v>
      </c>
      <c r="IA28" s="6">
        <v>30.54063</v>
      </c>
      <c r="IB28" s="6">
        <v>30.540610000000001</v>
      </c>
      <c r="IC28" s="6">
        <v>30.540610000000001</v>
      </c>
      <c r="ID28" s="6">
        <v>30.540579999999999</v>
      </c>
      <c r="IE28" s="6">
        <v>30.540590000000002</v>
      </c>
      <c r="IF28" s="6">
        <v>30.540620000000001</v>
      </c>
      <c r="IG28" s="6">
        <v>30.540559999999999</v>
      </c>
      <c r="IH28" s="6">
        <v>30.540559999999999</v>
      </c>
      <c r="II28" s="6">
        <v>30.540559999999999</v>
      </c>
      <c r="IJ28" s="6">
        <v>30.54055</v>
      </c>
      <c r="IK28" s="6">
        <v>30.540559999999999</v>
      </c>
      <c r="IL28" s="6">
        <v>30.540559999999999</v>
      </c>
      <c r="IM28" s="6">
        <v>30.54055</v>
      </c>
      <c r="IN28" s="6">
        <v>30.540559999999999</v>
      </c>
      <c r="IO28" s="6">
        <v>30.540569999999999</v>
      </c>
      <c r="IP28" s="6">
        <v>30.540590000000002</v>
      </c>
      <c r="IQ28" s="6">
        <v>30.540569999999999</v>
      </c>
      <c r="IR28" s="6">
        <v>30.54055</v>
      </c>
      <c r="IS28" s="6">
        <v>30.54053</v>
      </c>
      <c r="IT28" s="6">
        <v>30.54053</v>
      </c>
      <c r="IU28" s="6">
        <v>30.540400000000002</v>
      </c>
      <c r="IV28" s="6">
        <v>30.54035</v>
      </c>
      <c r="IW28" s="6">
        <v>30.540299999999998</v>
      </c>
      <c r="IX28" s="6">
        <v>30.54026</v>
      </c>
      <c r="IY28" s="6">
        <v>30.54026</v>
      </c>
      <c r="IZ28" s="6">
        <v>30.54027</v>
      </c>
      <c r="JA28" s="6">
        <v>30.54026</v>
      </c>
      <c r="JB28" s="6">
        <v>30.540279999999999</v>
      </c>
      <c r="JC28" s="6">
        <v>30.54026</v>
      </c>
      <c r="JD28" s="6">
        <v>30.540230000000001</v>
      </c>
      <c r="JE28" s="6">
        <v>30.540240000000001</v>
      </c>
      <c r="JF28" s="6">
        <v>30.54025</v>
      </c>
      <c r="JG28" s="6">
        <v>30.54025</v>
      </c>
      <c r="JH28" s="6">
        <v>30.54025</v>
      </c>
      <c r="JI28" s="6">
        <v>30.540230000000001</v>
      </c>
      <c r="JJ28" s="6">
        <v>30.540199999999999</v>
      </c>
      <c r="JK28" s="6">
        <v>30.54025</v>
      </c>
      <c r="JL28" s="6">
        <v>30.54025</v>
      </c>
      <c r="JM28" s="6">
        <v>30.54027</v>
      </c>
      <c r="JN28" s="6">
        <v>30.54025</v>
      </c>
      <c r="JO28" s="6">
        <v>30.540230000000001</v>
      </c>
      <c r="JP28" s="6">
        <v>30.540230000000001</v>
      </c>
      <c r="JQ28" s="6">
        <v>30.54025</v>
      </c>
      <c r="JR28" s="6">
        <v>30.540230000000001</v>
      </c>
      <c r="JS28" s="6">
        <v>30.540240000000001</v>
      </c>
      <c r="JT28" s="6">
        <v>30.540240000000001</v>
      </c>
      <c r="JU28" s="6">
        <v>30.540279999999999</v>
      </c>
      <c r="JV28" s="6">
        <v>30.54027</v>
      </c>
      <c r="JW28" s="6">
        <v>30.54025</v>
      </c>
      <c r="JX28" s="6">
        <v>30.540289999999999</v>
      </c>
      <c r="JY28" s="6">
        <v>30.54026</v>
      </c>
      <c r="JZ28" s="6">
        <v>30.54025</v>
      </c>
      <c r="KA28" s="6">
        <v>30.54027</v>
      </c>
      <c r="KB28" s="6">
        <v>30.54025</v>
      </c>
      <c r="KC28" s="6">
        <v>30.54027</v>
      </c>
      <c r="KD28" s="6">
        <v>30.54027</v>
      </c>
      <c r="KE28" s="6">
        <v>30.540230000000001</v>
      </c>
      <c r="KF28" s="6">
        <v>30.54026</v>
      </c>
      <c r="KG28" s="6">
        <v>30.540279999999999</v>
      </c>
      <c r="KH28" s="6">
        <v>30.54027</v>
      </c>
      <c r="KI28" s="6">
        <v>30.54027</v>
      </c>
      <c r="KJ28" s="6">
        <v>30.54027</v>
      </c>
      <c r="KK28" s="6">
        <v>30.540240000000001</v>
      </c>
      <c r="KL28" s="6">
        <v>30.54026</v>
      </c>
      <c r="KM28" s="6">
        <v>30.54026</v>
      </c>
      <c r="KN28" s="6">
        <v>30.540220000000001</v>
      </c>
      <c r="KO28" s="6">
        <v>30.54025</v>
      </c>
      <c r="KP28" s="6">
        <v>30.54025</v>
      </c>
      <c r="KQ28" s="6">
        <v>30.540279999999999</v>
      </c>
      <c r="KR28" s="6">
        <v>30.54027</v>
      </c>
      <c r="KS28" s="6">
        <v>30.54027</v>
      </c>
      <c r="KT28" s="6">
        <v>30.540289999999999</v>
      </c>
      <c r="KU28" s="6">
        <v>30.54027</v>
      </c>
      <c r="KV28" s="6">
        <v>30.54026</v>
      </c>
      <c r="KW28" s="6">
        <v>30.54025</v>
      </c>
      <c r="KX28" s="6">
        <v>30.540230000000001</v>
      </c>
      <c r="KY28" s="6">
        <v>30.540230000000001</v>
      </c>
      <c r="KZ28" s="6">
        <v>30.54027</v>
      </c>
      <c r="LA28" s="6">
        <v>30.54025</v>
      </c>
      <c r="LB28" s="6">
        <v>30.540230000000001</v>
      </c>
      <c r="LC28" s="6">
        <v>30.54027</v>
      </c>
      <c r="LD28" s="6">
        <v>30.54025</v>
      </c>
      <c r="LE28" s="6">
        <v>30.54027</v>
      </c>
      <c r="LF28" s="6">
        <v>30.540279999999999</v>
      </c>
      <c r="LG28" s="2" t="s">
        <v>572</v>
      </c>
      <c r="LH28" s="2" t="s">
        <v>348</v>
      </c>
      <c r="LI28" s="2" t="s">
        <v>338</v>
      </c>
      <c r="LJ28" s="2" t="s">
        <v>338</v>
      </c>
      <c r="LK28" s="2" t="s">
        <v>339</v>
      </c>
      <c r="LL28" s="2" t="s">
        <v>623</v>
      </c>
      <c r="LM28" s="2" t="s">
        <v>338</v>
      </c>
      <c r="LN28" s="4" t="s">
        <v>573</v>
      </c>
      <c r="LO28" s="2" t="s">
        <v>338</v>
      </c>
      <c r="LP28" s="2" t="s">
        <v>343</v>
      </c>
      <c r="LQ28" s="2" t="s">
        <v>574</v>
      </c>
      <c r="LR28" s="4" t="s">
        <v>659</v>
      </c>
      <c r="LS28"/>
      <c r="LT28"/>
      <c r="LU28"/>
      <c r="LV28"/>
      <c r="LW28"/>
      <c r="LX28"/>
    </row>
    <row r="29" spans="1:336" x14ac:dyDescent="0.35">
      <c r="A29" s="2" t="s">
        <v>330</v>
      </c>
      <c r="B29" s="2" t="s">
        <v>575</v>
      </c>
      <c r="C29" s="4" t="s">
        <v>658</v>
      </c>
      <c r="D29" s="2" t="s">
        <v>406</v>
      </c>
      <c r="E29" s="2" t="s">
        <v>411</v>
      </c>
      <c r="F29" s="2" t="s">
        <v>334</v>
      </c>
      <c r="G29" s="5">
        <v>0</v>
      </c>
      <c r="H29" s="5">
        <v>8.8798149999999992E-3</v>
      </c>
      <c r="I29" s="5">
        <v>1.0984429999999999E-3</v>
      </c>
      <c r="J29" s="5">
        <v>1.0563650000000001E-10</v>
      </c>
      <c r="K29" s="5">
        <v>3.1188839999999998E-8</v>
      </c>
      <c r="L29" s="5">
        <v>2.9881959999999998E-11</v>
      </c>
      <c r="M29" s="5">
        <v>1.709798E-10</v>
      </c>
      <c r="N29" s="5">
        <v>7.6147560000000007E-12</v>
      </c>
      <c r="O29" s="5">
        <v>1.0611919999999999E-11</v>
      </c>
      <c r="P29" s="5">
        <v>2.3662790000000001E-12</v>
      </c>
      <c r="Q29" s="5">
        <v>2.3553649999999998E-12</v>
      </c>
      <c r="R29" s="5">
        <v>1.1575710000000001E-12</v>
      </c>
      <c r="S29" s="5">
        <v>9.9485050000000003E-13</v>
      </c>
      <c r="T29" s="5">
        <v>6.8581939999999996E-13</v>
      </c>
      <c r="U29" s="5">
        <v>6.1918629999999999E-13</v>
      </c>
      <c r="V29" s="5">
        <v>4.9332270000000001E-13</v>
      </c>
      <c r="W29" s="5">
        <v>4.4316780000000001E-13</v>
      </c>
      <c r="X29" s="5">
        <v>4.0207560000000002E-13</v>
      </c>
      <c r="Y29" s="5">
        <v>3.7073200000000002E-13</v>
      </c>
      <c r="Z29" s="5">
        <v>3.4292509999999998E-13</v>
      </c>
      <c r="AA29" s="5">
        <v>3.1196850000000003E-13</v>
      </c>
      <c r="AB29" s="5">
        <v>2.871152E-13</v>
      </c>
      <c r="AC29" s="5">
        <v>2.5192809999999998E-13</v>
      </c>
      <c r="AD29" s="5">
        <v>2.1190030000000001E-13</v>
      </c>
      <c r="AE29" s="5">
        <v>1.814538E-13</v>
      </c>
      <c r="AF29" s="5">
        <v>1.4824079999999999E-13</v>
      </c>
      <c r="AG29" s="5">
        <v>1.2152169999999999E-13</v>
      </c>
      <c r="AH29" s="5">
        <v>1.017085E-13</v>
      </c>
      <c r="AI29" s="5">
        <v>0.79</v>
      </c>
      <c r="AJ29" s="5">
        <v>0.79</v>
      </c>
      <c r="AK29" s="5">
        <v>0.90824199999999999</v>
      </c>
      <c r="AL29" s="5">
        <v>0.99175800000000003</v>
      </c>
      <c r="AM29" s="5">
        <v>1.0868</v>
      </c>
      <c r="AN29" s="5">
        <v>1.1832</v>
      </c>
      <c r="AO29" s="5">
        <v>1.2574000000000001</v>
      </c>
      <c r="AP29" s="5">
        <v>1.3426</v>
      </c>
      <c r="AQ29" s="5">
        <v>1.4739</v>
      </c>
      <c r="AR29" s="5">
        <v>1.5961000000000001</v>
      </c>
      <c r="AS29" s="5">
        <v>1.8005</v>
      </c>
      <c r="AT29" s="5">
        <v>1.9895</v>
      </c>
      <c r="AU29" s="5">
        <v>1.9361999999999999</v>
      </c>
      <c r="AV29" s="5">
        <v>1.9638</v>
      </c>
      <c r="AW29" s="5">
        <v>2.1833999999999998</v>
      </c>
      <c r="AX29" s="5">
        <v>2.3466</v>
      </c>
      <c r="AY29" s="5">
        <v>2.7646000000000002</v>
      </c>
      <c r="AZ29" s="5">
        <v>3.1254</v>
      </c>
      <c r="BA29" s="5">
        <v>3.1756000000000002</v>
      </c>
      <c r="BB29" s="5">
        <v>3.3344</v>
      </c>
      <c r="BC29" s="5">
        <v>3.9822000000000002</v>
      </c>
      <c r="BD29" s="5">
        <v>4.5077999999999996</v>
      </c>
      <c r="BE29" s="5">
        <v>5.0986000000000002</v>
      </c>
      <c r="BF29" s="5">
        <v>5.7114000000000003</v>
      </c>
      <c r="BG29" s="5">
        <v>5.9248000000000003</v>
      </c>
      <c r="BH29" s="5">
        <v>6.2851999999999997</v>
      </c>
      <c r="BI29" s="5">
        <v>5.9809999999999999</v>
      </c>
      <c r="BJ29" s="5">
        <v>5.899</v>
      </c>
      <c r="BK29" s="5">
        <v>6.5301999999999998</v>
      </c>
      <c r="BL29" s="5">
        <v>6.9398</v>
      </c>
      <c r="BM29" s="5">
        <v>6.5279999999999996</v>
      </c>
      <c r="BN29" s="5">
        <v>6.3920000000000003</v>
      </c>
      <c r="BO29" s="5">
        <v>5.8224</v>
      </c>
      <c r="BP29" s="5">
        <v>5.4176000000000002</v>
      </c>
      <c r="BQ29" s="5">
        <v>4.0716000000000001</v>
      </c>
      <c r="BR29" s="5">
        <v>3.1983999999999999</v>
      </c>
      <c r="BS29" s="5">
        <v>3.65</v>
      </c>
      <c r="BT29" s="5">
        <v>3.66</v>
      </c>
      <c r="BU29" s="5">
        <v>4.0959000000000003</v>
      </c>
      <c r="BV29" s="5">
        <v>4.4040999999999997</v>
      </c>
      <c r="BW29" s="5">
        <v>7.1329000000000002</v>
      </c>
      <c r="BX29" s="5">
        <v>9.4270999999999994</v>
      </c>
      <c r="BY29" s="5">
        <v>12.172000000000001</v>
      </c>
      <c r="BZ29" s="5">
        <v>15.157999999999999</v>
      </c>
      <c r="CA29" s="5">
        <v>17.067</v>
      </c>
      <c r="CB29" s="5">
        <v>19.542999999999999</v>
      </c>
      <c r="CC29" s="5">
        <v>19.170999999999999</v>
      </c>
      <c r="CD29" s="5">
        <v>19.759</v>
      </c>
      <c r="CE29" s="5">
        <v>18.263999999999999</v>
      </c>
      <c r="CF29" s="5">
        <v>17.486000000000001</v>
      </c>
      <c r="CG29" s="5">
        <v>16.757000000000001</v>
      </c>
      <c r="CH29" s="5">
        <v>16.033000000000001</v>
      </c>
      <c r="CI29" s="5">
        <v>16.015000000000001</v>
      </c>
      <c r="CJ29" s="5">
        <v>15.765000000000001</v>
      </c>
      <c r="CK29" s="5">
        <v>13.978999999999999</v>
      </c>
      <c r="CL29" s="5">
        <v>12.781000000000001</v>
      </c>
      <c r="CM29" s="5">
        <v>12.724</v>
      </c>
      <c r="CN29" s="5">
        <v>12.295999999999999</v>
      </c>
      <c r="CO29" s="5">
        <v>12.198</v>
      </c>
      <c r="CP29" s="5">
        <v>11.992000000000001</v>
      </c>
      <c r="CQ29" s="5">
        <v>12.472</v>
      </c>
      <c r="CR29" s="5">
        <v>12.728</v>
      </c>
      <c r="CS29" s="5">
        <v>12.227</v>
      </c>
      <c r="CT29" s="5">
        <v>11.983000000000001</v>
      </c>
      <c r="CU29" s="5">
        <v>12.064</v>
      </c>
      <c r="CV29" s="5">
        <v>12.036</v>
      </c>
      <c r="CW29" s="5">
        <v>9.8849999999999998</v>
      </c>
      <c r="CX29" s="5">
        <v>8.5749999999999993</v>
      </c>
      <c r="CY29" s="5">
        <v>8.6710999999999991</v>
      </c>
      <c r="CZ29" s="5">
        <v>8.3088999999999995</v>
      </c>
      <c r="DA29" s="5">
        <v>8.0410000000000004</v>
      </c>
      <c r="DB29" s="5">
        <v>7.7489999999999997</v>
      </c>
      <c r="DC29" s="5">
        <v>8.4606999999999992</v>
      </c>
      <c r="DD29" s="5">
        <v>8.8492999999999995</v>
      </c>
      <c r="DE29" s="5">
        <v>8.3537999999999997</v>
      </c>
      <c r="DF29" s="5">
        <v>8.1562000000000001</v>
      </c>
      <c r="DG29" s="5">
        <v>8.2174999999999994</v>
      </c>
      <c r="DH29" s="5">
        <v>8.1925000000000008</v>
      </c>
      <c r="DI29" s="5">
        <v>7.1417999999999999</v>
      </c>
      <c r="DJ29" s="5">
        <v>6.4782000000000002</v>
      </c>
      <c r="DK29" s="5">
        <v>6.3259999999999996</v>
      </c>
      <c r="DL29" s="5">
        <v>6.0140000000000002</v>
      </c>
      <c r="DM29" s="5">
        <v>5.5647000000000002</v>
      </c>
      <c r="DN29" s="5">
        <v>5.0552999999999999</v>
      </c>
      <c r="DO29" s="5">
        <v>5.15</v>
      </c>
      <c r="DP29" s="5">
        <v>5.25</v>
      </c>
      <c r="DQ29" s="5">
        <v>3.9</v>
      </c>
      <c r="DR29" s="5">
        <v>3.9</v>
      </c>
      <c r="DS29" s="5">
        <v>3.45</v>
      </c>
      <c r="DT29" s="5">
        <v>3.45</v>
      </c>
      <c r="DU29" s="5">
        <v>2.5499999999999998</v>
      </c>
      <c r="DV29" s="5">
        <v>2.5499999999999998</v>
      </c>
      <c r="DW29" s="5">
        <v>2.2999999999999998</v>
      </c>
      <c r="DX29" s="5">
        <v>2.2999999999999998</v>
      </c>
      <c r="DY29" s="5">
        <v>2.15</v>
      </c>
      <c r="DZ29" s="5">
        <v>2.15</v>
      </c>
      <c r="EA29" s="5">
        <v>1.95</v>
      </c>
      <c r="EB29" s="5">
        <v>1.95</v>
      </c>
      <c r="EC29" s="5">
        <v>2.15</v>
      </c>
      <c r="ED29" s="5">
        <v>2.15</v>
      </c>
      <c r="EE29" s="5">
        <v>3.55</v>
      </c>
      <c r="EF29" s="5">
        <v>3.55</v>
      </c>
      <c r="EG29" s="5">
        <v>3.75</v>
      </c>
      <c r="EH29" s="5">
        <v>3.75</v>
      </c>
      <c r="EI29" s="5">
        <v>5</v>
      </c>
      <c r="EJ29" s="5">
        <v>5</v>
      </c>
      <c r="EK29" s="5">
        <v>5.45</v>
      </c>
      <c r="EL29" s="5">
        <v>5.45</v>
      </c>
      <c r="EM29" s="5">
        <v>6.4</v>
      </c>
      <c r="EN29" s="5">
        <v>6.4</v>
      </c>
      <c r="EO29" s="5">
        <v>6.7</v>
      </c>
      <c r="EP29" s="5">
        <v>6.7</v>
      </c>
      <c r="EQ29" s="5">
        <v>8.5</v>
      </c>
      <c r="ER29" s="5">
        <v>10</v>
      </c>
      <c r="ES29" s="5">
        <v>11.1</v>
      </c>
      <c r="ET29" s="5">
        <v>10.4</v>
      </c>
      <c r="EU29" s="5">
        <v>13.2</v>
      </c>
      <c r="EV29" s="5">
        <v>12.2</v>
      </c>
      <c r="EW29" s="5">
        <v>12.5</v>
      </c>
      <c r="EX29" s="5">
        <v>11</v>
      </c>
      <c r="EY29" s="5">
        <v>10.9</v>
      </c>
      <c r="EZ29" s="5">
        <v>9.9</v>
      </c>
      <c r="FA29" s="5">
        <v>9.4</v>
      </c>
      <c r="FB29" s="5">
        <v>8.3000000000000007</v>
      </c>
      <c r="FC29" s="5">
        <v>9.6</v>
      </c>
      <c r="FD29" s="5">
        <v>9.3000000000000007</v>
      </c>
      <c r="FE29" s="5">
        <v>9.6</v>
      </c>
      <c r="FF29" s="5">
        <v>8.8000000000000007</v>
      </c>
      <c r="FG29" s="5">
        <v>9.6</v>
      </c>
      <c r="FH29" s="5">
        <v>8.4</v>
      </c>
      <c r="FI29" s="5">
        <v>8.1999999999999993</v>
      </c>
      <c r="FJ29" s="5">
        <v>7.7</v>
      </c>
      <c r="FK29" s="5">
        <v>8</v>
      </c>
      <c r="FL29" s="5">
        <v>7.6</v>
      </c>
      <c r="FM29" s="5">
        <v>7.2</v>
      </c>
      <c r="FN29" s="5">
        <v>6.1</v>
      </c>
      <c r="FO29" s="5">
        <v>6.4</v>
      </c>
      <c r="FP29" s="5">
        <v>5.36</v>
      </c>
      <c r="FQ29" s="5">
        <v>4.95</v>
      </c>
      <c r="FR29" s="5">
        <v>4.1399999999999997</v>
      </c>
      <c r="FS29" s="5">
        <v>3.01</v>
      </c>
      <c r="FT29" s="5">
        <v>2.5</v>
      </c>
      <c r="FU29" s="5">
        <v>2.4900000000000002</v>
      </c>
      <c r="FV29" s="5">
        <v>2.17</v>
      </c>
      <c r="FW29" s="5">
        <v>2.11</v>
      </c>
      <c r="FX29" s="5">
        <v>1.89</v>
      </c>
      <c r="FY29" s="5">
        <v>1.86</v>
      </c>
      <c r="FZ29" s="5">
        <v>1.8</v>
      </c>
      <c r="GA29" s="5">
        <v>1.88</v>
      </c>
      <c r="GB29" s="5">
        <v>1.8</v>
      </c>
      <c r="GC29" s="5">
        <v>1.95</v>
      </c>
      <c r="GD29" s="5">
        <v>1.79</v>
      </c>
      <c r="GE29" s="5">
        <v>1.91</v>
      </c>
      <c r="GF29" s="5">
        <v>1.68</v>
      </c>
      <c r="GG29" s="5">
        <v>1.69</v>
      </c>
      <c r="GH29" s="5">
        <v>1.69</v>
      </c>
      <c r="GI29" s="5">
        <v>1.98</v>
      </c>
      <c r="GJ29" s="5">
        <v>1.92</v>
      </c>
      <c r="GK29" s="5">
        <v>2.13</v>
      </c>
      <c r="GL29" s="5">
        <v>1.99</v>
      </c>
      <c r="GM29" s="5">
        <v>1.71</v>
      </c>
      <c r="GN29" s="5">
        <v>0.22</v>
      </c>
      <c r="GO29" s="5">
        <v>0.37</v>
      </c>
      <c r="GP29" s="5">
        <v>0.33</v>
      </c>
      <c r="GQ29" s="5">
        <v>0.38</v>
      </c>
      <c r="GR29" s="5">
        <v>0.45</v>
      </c>
      <c r="GS29" s="5">
        <v>0.73</v>
      </c>
      <c r="GT29" s="5">
        <v>0.71</v>
      </c>
      <c r="GU29" s="5">
        <v>0.98</v>
      </c>
      <c r="GV29" s="5">
        <v>0.96</v>
      </c>
      <c r="GW29" s="5">
        <v>1.1000000000000001</v>
      </c>
      <c r="GX29" s="5">
        <v>0.82</v>
      </c>
      <c r="GY29" s="5">
        <v>1.1599999999999999</v>
      </c>
      <c r="GZ29" s="5">
        <v>1.05</v>
      </c>
      <c r="HA29" s="6">
        <v>1.982726</v>
      </c>
      <c r="HB29" s="6">
        <v>2.147872</v>
      </c>
      <c r="HC29" s="6">
        <v>3.5227170000000001</v>
      </c>
      <c r="HD29" s="6">
        <v>3.649546</v>
      </c>
      <c r="HE29" s="6">
        <v>4.9384439999999996</v>
      </c>
      <c r="HF29" s="6">
        <v>5.3346229999999997</v>
      </c>
      <c r="HG29" s="6">
        <v>5.8131449999999996</v>
      </c>
      <c r="HH29" s="6">
        <v>6.0581339999999999</v>
      </c>
      <c r="HI29" s="6">
        <v>6.2313999999999998</v>
      </c>
      <c r="HJ29" s="6">
        <v>6.2316279999999997</v>
      </c>
      <c r="HK29" s="6">
        <v>6.139087</v>
      </c>
      <c r="HL29" s="6">
        <v>6.026732</v>
      </c>
      <c r="HM29" s="6">
        <v>5.8720660000000002</v>
      </c>
      <c r="HN29" s="6">
        <v>5.7482449999999998</v>
      </c>
      <c r="HO29" s="6">
        <v>5.608975</v>
      </c>
      <c r="HP29" s="6">
        <v>5.4932889999999999</v>
      </c>
      <c r="HQ29" s="6">
        <v>5.3228689999999999</v>
      </c>
      <c r="HR29" s="6">
        <v>5.1788480000000003</v>
      </c>
      <c r="HS29" s="6">
        <v>5.0065309999999998</v>
      </c>
      <c r="HT29" s="6">
        <v>4.8238620000000001</v>
      </c>
      <c r="HU29" s="6">
        <v>4.6893969999999996</v>
      </c>
      <c r="HV29" s="6">
        <v>4.5546559999999996</v>
      </c>
      <c r="HW29" s="6">
        <v>4.4453459999999998</v>
      </c>
      <c r="HX29" s="6">
        <v>4.3058129999999997</v>
      </c>
      <c r="HY29" s="6">
        <v>4.2541799999999999</v>
      </c>
      <c r="HZ29" s="6">
        <v>4.2075560000000003</v>
      </c>
      <c r="IA29" s="6">
        <v>4.2008999999999999</v>
      </c>
      <c r="IB29" s="6">
        <v>4.189095</v>
      </c>
      <c r="IC29" s="6">
        <v>4.2090800000000002</v>
      </c>
      <c r="ID29" s="6">
        <v>4.2328989999999997</v>
      </c>
      <c r="IE29" s="6">
        <v>4.2686950000000001</v>
      </c>
      <c r="IF29" s="6">
        <v>4.3153790000000001</v>
      </c>
      <c r="IG29" s="6">
        <v>4.3770490000000004</v>
      </c>
      <c r="IH29" s="6">
        <v>4.4455200000000001</v>
      </c>
      <c r="II29" s="6">
        <v>4.5331349999999997</v>
      </c>
      <c r="IJ29" s="6">
        <v>4.6216340000000002</v>
      </c>
      <c r="IK29" s="6">
        <v>4.7232019999999997</v>
      </c>
      <c r="IL29" s="6">
        <v>4.826803</v>
      </c>
      <c r="IM29" s="6">
        <v>4.931114</v>
      </c>
      <c r="IN29" s="6">
        <v>5.0370699999999999</v>
      </c>
      <c r="IO29" s="6">
        <v>5.1469950000000004</v>
      </c>
      <c r="IP29" s="6">
        <v>5.2465859999999997</v>
      </c>
      <c r="IQ29" s="6">
        <v>5.3551789999999997</v>
      </c>
      <c r="IR29" s="6">
        <v>5.4456369999999996</v>
      </c>
      <c r="IS29" s="6">
        <v>5.5470879999999996</v>
      </c>
      <c r="IT29" s="6">
        <v>5.634951</v>
      </c>
      <c r="IU29" s="6">
        <v>5.7251690000000002</v>
      </c>
      <c r="IV29" s="6">
        <v>5.8162130000000003</v>
      </c>
      <c r="IW29" s="6">
        <v>5.9023649999999996</v>
      </c>
      <c r="IX29" s="6">
        <v>5.9795220000000002</v>
      </c>
      <c r="IY29" s="6">
        <v>6.0495299999999999</v>
      </c>
      <c r="IZ29" s="6">
        <v>6.1085219999999998</v>
      </c>
      <c r="JA29" s="6">
        <v>6.1636540000000002</v>
      </c>
      <c r="JB29" s="6">
        <v>6.2093730000000003</v>
      </c>
      <c r="JC29" s="6">
        <v>6.2271619999999999</v>
      </c>
      <c r="JD29" s="6">
        <v>6.2326680000000003</v>
      </c>
      <c r="JE29" s="6">
        <v>6.2231030000000001</v>
      </c>
      <c r="JF29" s="6">
        <v>6.2022029999999999</v>
      </c>
      <c r="JG29" s="6">
        <v>6.1704540000000003</v>
      </c>
      <c r="JH29" s="6">
        <v>6.1276820000000001</v>
      </c>
      <c r="JI29" s="6">
        <v>6.0787680000000002</v>
      </c>
      <c r="JJ29" s="6">
        <v>6.0211269999999999</v>
      </c>
      <c r="JK29" s="6">
        <v>5.9579659999999999</v>
      </c>
      <c r="JL29" s="6">
        <v>5.888325</v>
      </c>
      <c r="JM29" s="6">
        <v>5.8155279999999996</v>
      </c>
      <c r="JN29" s="6">
        <v>5.7371410000000003</v>
      </c>
      <c r="JO29" s="6">
        <v>5.6555819999999999</v>
      </c>
      <c r="JP29" s="6">
        <v>5.5918150000000004</v>
      </c>
      <c r="JQ29" s="6">
        <v>5.5068960000000002</v>
      </c>
      <c r="JR29" s="6">
        <v>5.4258040000000003</v>
      </c>
      <c r="JS29" s="6">
        <v>5.3350600000000004</v>
      </c>
      <c r="JT29" s="6">
        <v>5.2542730000000004</v>
      </c>
      <c r="JU29" s="6">
        <v>5.162064</v>
      </c>
      <c r="JV29" s="6">
        <v>5.0767730000000002</v>
      </c>
      <c r="JW29" s="6">
        <v>4.9820140000000004</v>
      </c>
      <c r="JX29" s="6">
        <v>4.8916979999999999</v>
      </c>
      <c r="JY29" s="6">
        <v>4.7960450000000003</v>
      </c>
      <c r="JZ29" s="6">
        <v>4.700958</v>
      </c>
      <c r="KA29" s="6">
        <v>4.6036830000000002</v>
      </c>
      <c r="KB29" s="6">
        <v>4.509665</v>
      </c>
      <c r="KC29" s="6">
        <v>4.4131770000000001</v>
      </c>
      <c r="KD29" s="6">
        <v>4.3173510000000004</v>
      </c>
      <c r="KE29" s="6">
        <v>4.2209859999999999</v>
      </c>
      <c r="KF29" s="6">
        <v>4.1525889999999999</v>
      </c>
      <c r="KG29" s="6">
        <v>4.0611930000000003</v>
      </c>
      <c r="KH29" s="6">
        <v>3.9791910000000001</v>
      </c>
      <c r="KI29" s="6">
        <v>3.8884650000000001</v>
      </c>
      <c r="KJ29" s="6">
        <v>3.8495659999999998</v>
      </c>
      <c r="KK29" s="6">
        <v>3.7657600000000002</v>
      </c>
      <c r="KL29" s="6">
        <v>3.6994910000000001</v>
      </c>
      <c r="KM29" s="6">
        <v>3.6154700000000002</v>
      </c>
      <c r="KN29" s="6">
        <v>3.517379</v>
      </c>
      <c r="KO29" s="6">
        <v>3.4312520000000002</v>
      </c>
      <c r="KP29" s="6">
        <v>3.340433</v>
      </c>
      <c r="KQ29" s="6">
        <v>3.2551589999999999</v>
      </c>
      <c r="KR29" s="6">
        <v>3.1185160000000001</v>
      </c>
      <c r="KS29" s="6">
        <v>3.0304709999999999</v>
      </c>
      <c r="KT29" s="6">
        <v>2.9262769999999998</v>
      </c>
      <c r="KU29" s="6">
        <v>2.84239</v>
      </c>
      <c r="KV29" s="6">
        <v>2.7495059999999998</v>
      </c>
      <c r="KW29" s="6">
        <v>2.6709969999999998</v>
      </c>
      <c r="KX29" s="6">
        <v>2.5906090000000002</v>
      </c>
      <c r="KY29" s="6">
        <v>2.5171269999999999</v>
      </c>
      <c r="KZ29" s="6">
        <v>2.4441350000000002</v>
      </c>
      <c r="LA29" s="6">
        <v>2.375661</v>
      </c>
      <c r="LB29" s="6">
        <v>2.3082120000000002</v>
      </c>
      <c r="LC29" s="6">
        <v>2.2436180000000001</v>
      </c>
      <c r="LD29" s="6">
        <v>2.1807210000000001</v>
      </c>
      <c r="LE29" s="6">
        <v>2.1200830000000002</v>
      </c>
      <c r="LF29" s="6">
        <v>2.0606939999999998</v>
      </c>
      <c r="LG29" s="2" t="s">
        <v>576</v>
      </c>
      <c r="LH29" s="2" t="s">
        <v>348</v>
      </c>
      <c r="LI29" s="2" t="s">
        <v>338</v>
      </c>
      <c r="LJ29" s="2" t="s">
        <v>338</v>
      </c>
      <c r="LK29" s="2" t="s">
        <v>339</v>
      </c>
      <c r="LL29" s="2" t="s">
        <v>340</v>
      </c>
      <c r="LM29" s="2" t="s">
        <v>338</v>
      </c>
      <c r="LN29" s="4" t="s">
        <v>630</v>
      </c>
      <c r="LO29" s="2" t="s">
        <v>575</v>
      </c>
      <c r="LP29" s="2" t="s">
        <v>343</v>
      </c>
      <c r="LQ29" s="2" t="s">
        <v>577</v>
      </c>
      <c r="LR29" s="4" t="s">
        <v>659</v>
      </c>
      <c r="LS29"/>
      <c r="LT29"/>
      <c r="LU29"/>
      <c r="LV29"/>
      <c r="LW29"/>
      <c r="LX29"/>
    </row>
    <row r="30" spans="1:336" x14ac:dyDescent="0.35">
      <c r="A30" s="2" t="s">
        <v>330</v>
      </c>
      <c r="B30" s="4" t="s">
        <v>578</v>
      </c>
      <c r="C30" s="4" t="s">
        <v>658</v>
      </c>
      <c r="D30" s="2" t="s">
        <v>346</v>
      </c>
      <c r="E30" s="2" t="s">
        <v>338</v>
      </c>
      <c r="F30" s="2" t="s">
        <v>334</v>
      </c>
      <c r="G30" s="5">
        <v>1E-3</v>
      </c>
      <c r="H30" s="5">
        <v>1E-3</v>
      </c>
      <c r="I30" s="5">
        <v>1E-3</v>
      </c>
      <c r="J30" s="5">
        <v>1E-3</v>
      </c>
      <c r="K30" s="5">
        <v>1E-3</v>
      </c>
      <c r="L30" s="5">
        <v>1E-3</v>
      </c>
      <c r="M30" s="5">
        <v>1E-3</v>
      </c>
      <c r="N30" s="5">
        <v>1E-3</v>
      </c>
      <c r="O30" s="5">
        <v>1E-3</v>
      </c>
      <c r="P30" s="5">
        <v>1E-3</v>
      </c>
      <c r="Q30" s="5">
        <v>1E-3</v>
      </c>
      <c r="R30" s="5">
        <v>1E-3</v>
      </c>
      <c r="S30" s="5">
        <v>1E-3</v>
      </c>
      <c r="T30" s="5">
        <v>1E-3</v>
      </c>
      <c r="U30" s="5">
        <v>1E-3</v>
      </c>
      <c r="V30" s="5">
        <v>1E-3</v>
      </c>
      <c r="W30" s="5">
        <v>1E-3</v>
      </c>
      <c r="X30" s="5">
        <v>1E-3</v>
      </c>
      <c r="Y30" s="5">
        <v>1E-3</v>
      </c>
      <c r="Z30" s="5">
        <v>1E-3</v>
      </c>
      <c r="AA30" s="5">
        <v>1E-3</v>
      </c>
      <c r="AB30" s="5">
        <v>1E-3</v>
      </c>
      <c r="AC30" s="5">
        <v>1E-3</v>
      </c>
      <c r="AD30" s="5">
        <v>1E-3</v>
      </c>
      <c r="AE30" s="5">
        <v>1E-3</v>
      </c>
      <c r="AF30" s="5">
        <v>1E-3</v>
      </c>
      <c r="AG30" s="5">
        <v>1E-3</v>
      </c>
      <c r="AH30" s="5">
        <v>1E-3</v>
      </c>
      <c r="AI30" s="5">
        <v>1E-3</v>
      </c>
      <c r="AJ30" s="5">
        <v>1E-3</v>
      </c>
      <c r="AK30" s="5">
        <v>1E-3</v>
      </c>
      <c r="AL30" s="5">
        <v>1E-3</v>
      </c>
      <c r="AM30" s="5">
        <v>1E-3</v>
      </c>
      <c r="AN30" s="5">
        <v>1E-3</v>
      </c>
      <c r="AO30" s="5">
        <v>1E-3</v>
      </c>
      <c r="AP30" s="5">
        <v>1E-3</v>
      </c>
      <c r="AQ30" s="5">
        <v>1E-3</v>
      </c>
      <c r="AR30" s="5">
        <v>1E-3</v>
      </c>
      <c r="AS30" s="5">
        <v>1E-3</v>
      </c>
      <c r="AT30" s="5">
        <v>1E-3</v>
      </c>
      <c r="AU30" s="5">
        <v>1E-3</v>
      </c>
      <c r="AV30" s="5">
        <v>1E-3</v>
      </c>
      <c r="AW30" s="5">
        <v>1E-3</v>
      </c>
      <c r="AX30" s="5">
        <v>1E-3</v>
      </c>
      <c r="AY30" s="5">
        <v>1E-3</v>
      </c>
      <c r="AZ30" s="5">
        <v>1E-3</v>
      </c>
      <c r="BA30" s="5">
        <v>1E-3</v>
      </c>
      <c r="BB30" s="5">
        <v>1E-3</v>
      </c>
      <c r="BC30" s="5">
        <v>1E-3</v>
      </c>
      <c r="BD30" s="5">
        <v>1E-3</v>
      </c>
      <c r="BE30" s="5">
        <v>1E-3</v>
      </c>
      <c r="BF30" s="5">
        <v>1E-3</v>
      </c>
      <c r="BG30" s="5">
        <v>1E-3</v>
      </c>
      <c r="BH30" s="5">
        <v>1E-3</v>
      </c>
      <c r="BI30" s="5">
        <v>1E-3</v>
      </c>
      <c r="BJ30" s="5">
        <v>1E-3</v>
      </c>
      <c r="BK30" s="5">
        <v>1E-3</v>
      </c>
      <c r="BL30" s="5">
        <v>1E-3</v>
      </c>
      <c r="BM30" s="5">
        <v>1E-3</v>
      </c>
      <c r="BN30" s="5">
        <v>1E-3</v>
      </c>
      <c r="BO30" s="5">
        <v>1E-3</v>
      </c>
      <c r="BP30" s="5">
        <v>1E-3</v>
      </c>
      <c r="BQ30" s="5">
        <v>1E-3</v>
      </c>
      <c r="BR30" s="5">
        <v>1E-3</v>
      </c>
      <c r="BS30" s="5">
        <v>1E-3</v>
      </c>
      <c r="BT30" s="5">
        <v>1E-3</v>
      </c>
      <c r="BU30" s="5">
        <v>1E-3</v>
      </c>
      <c r="BV30" s="5">
        <v>1E-3</v>
      </c>
      <c r="BW30" s="5">
        <v>1E-3</v>
      </c>
      <c r="BX30" s="5">
        <v>1E-3</v>
      </c>
      <c r="BY30" s="5">
        <v>1E-3</v>
      </c>
      <c r="BZ30" s="5">
        <v>1E-3</v>
      </c>
      <c r="CA30" s="5">
        <v>1E-3</v>
      </c>
      <c r="CB30" s="5">
        <v>1E-3</v>
      </c>
      <c r="CC30" s="5">
        <v>1E-3</v>
      </c>
      <c r="CD30" s="5">
        <v>1E-3</v>
      </c>
      <c r="CE30" s="5">
        <v>1E-3</v>
      </c>
      <c r="CF30" s="5">
        <v>1E-3</v>
      </c>
      <c r="CG30" s="5">
        <v>1E-3</v>
      </c>
      <c r="CH30" s="5">
        <v>1E-3</v>
      </c>
      <c r="CI30" s="5">
        <v>1.354499E-2</v>
      </c>
      <c r="CJ30" s="5">
        <v>2.1314050000000001E-2</v>
      </c>
      <c r="CK30" s="5">
        <v>2.4290579999999999E-2</v>
      </c>
      <c r="CL30" s="5">
        <v>2.115295E-2</v>
      </c>
      <c r="CM30" s="5">
        <v>2.710448E-2</v>
      </c>
      <c r="CN30" s="5">
        <v>1.394836E-2</v>
      </c>
      <c r="CO30" s="5">
        <v>1.790856E-2</v>
      </c>
      <c r="CP30" s="5">
        <v>1.388261E-2</v>
      </c>
      <c r="CQ30" s="5">
        <v>8.8772439999999994E-3</v>
      </c>
      <c r="CR30" s="5">
        <v>5.5890009999999997E-3</v>
      </c>
      <c r="CS30" s="5">
        <v>1.2124340000000001E-2</v>
      </c>
      <c r="CT30" s="5">
        <v>1.0958819999999999E-2</v>
      </c>
      <c r="CU30" s="5">
        <v>1.011715E-2</v>
      </c>
      <c r="CV30" s="5">
        <v>1.001762E-2</v>
      </c>
      <c r="CW30" s="5">
        <v>7.6155659999999998E-3</v>
      </c>
      <c r="CX30" s="5">
        <v>1.029215E-2</v>
      </c>
      <c r="CY30" s="5">
        <v>8.1681549999999999E-3</v>
      </c>
      <c r="CZ30" s="5">
        <v>9.2723179999999999E-3</v>
      </c>
      <c r="DA30" s="5">
        <v>1.4474539999999999E-2</v>
      </c>
      <c r="DB30" s="5">
        <v>2.4854580000000001E-2</v>
      </c>
      <c r="DC30" s="5">
        <v>1.6983740000000001E-2</v>
      </c>
      <c r="DD30" s="5">
        <v>9.3264880000000008E-3</v>
      </c>
      <c r="DE30" s="5">
        <v>1.104314E-2</v>
      </c>
      <c r="DF30" s="5">
        <v>1.746868E-2</v>
      </c>
      <c r="DG30" s="5">
        <v>9.5956219999999998E-3</v>
      </c>
      <c r="DH30" s="5">
        <v>1.248729E-2</v>
      </c>
      <c r="DI30" s="5">
        <v>1.311797E-2</v>
      </c>
      <c r="DJ30" s="5">
        <v>1.2218349999999999E-2</v>
      </c>
      <c r="DK30" s="5">
        <v>7.6360300000000002E-3</v>
      </c>
      <c r="DL30" s="5">
        <v>6.6642699999999999E-3</v>
      </c>
      <c r="DM30" s="5">
        <v>6.726999E-3</v>
      </c>
      <c r="DN30" s="5">
        <v>7.193489E-3</v>
      </c>
      <c r="DO30" s="5">
        <v>4.3850369999999996E-3</v>
      </c>
      <c r="DP30" s="5">
        <v>4.6645269999999999E-3</v>
      </c>
      <c r="DQ30" s="5">
        <v>4.5559830000000004E-3</v>
      </c>
      <c r="DR30" s="5">
        <v>5.6885759999999999E-3</v>
      </c>
      <c r="DS30" s="5">
        <v>2.4281989999999998E-3</v>
      </c>
      <c r="DT30" s="5">
        <v>1.6860169999999999E-3</v>
      </c>
      <c r="DU30" s="5">
        <v>1.9614609999999998E-3</v>
      </c>
      <c r="DV30" s="5">
        <v>2.3588620000000002E-3</v>
      </c>
      <c r="DW30" s="5">
        <v>2.5822879999999999E-3</v>
      </c>
      <c r="DX30" s="5">
        <v>4.8468970000000002E-3</v>
      </c>
      <c r="DY30" s="5">
        <v>3.8445269999999999E-3</v>
      </c>
      <c r="DZ30" s="5">
        <v>2.474244E-3</v>
      </c>
      <c r="EA30" s="5">
        <v>7.9410030000000005E-4</v>
      </c>
      <c r="EB30" s="5">
        <v>6.3834869999999998E-4</v>
      </c>
      <c r="EC30" s="5">
        <v>4.9452679999999996E-4</v>
      </c>
      <c r="ED30" s="5">
        <v>6.0015000000000003E-4</v>
      </c>
      <c r="EE30" s="5">
        <v>8.167208E-4</v>
      </c>
      <c r="EF30" s="5">
        <v>9.1378019999999996E-4</v>
      </c>
      <c r="EG30" s="5">
        <v>1.5601339999999999E-3</v>
      </c>
      <c r="EH30" s="5">
        <v>1.524322E-3</v>
      </c>
      <c r="EI30" s="5">
        <v>2.6540660000000001E-3</v>
      </c>
      <c r="EJ30" s="5">
        <v>4.2448249999999998E-3</v>
      </c>
      <c r="EK30" s="5">
        <v>4.4414479999999998E-3</v>
      </c>
      <c r="EL30" s="5">
        <v>5.1922660000000001E-3</v>
      </c>
      <c r="EM30" s="5">
        <v>5.4245830000000002E-3</v>
      </c>
      <c r="EN30" s="5">
        <v>3.533858E-3</v>
      </c>
      <c r="EO30" s="5">
        <v>3.7182949999999999E-3</v>
      </c>
      <c r="EP30" s="5">
        <v>2.5548210000000001E-3</v>
      </c>
      <c r="EQ30" s="5">
        <v>3.029674E-3</v>
      </c>
      <c r="ER30" s="5">
        <v>4.8114890000000004E-3</v>
      </c>
      <c r="ES30" s="5">
        <v>9.6127910000000007E-3</v>
      </c>
      <c r="ET30" s="5">
        <v>1.7248739999999999E-2</v>
      </c>
      <c r="EU30" s="5">
        <v>2.076279E-2</v>
      </c>
      <c r="EV30" s="5">
        <v>2.276508E-2</v>
      </c>
      <c r="EW30" s="5">
        <v>2.2171119999999999E-2</v>
      </c>
      <c r="EX30" s="5">
        <v>1.7252509999999999E-2</v>
      </c>
      <c r="EY30" s="5">
        <v>1.3769E-2</v>
      </c>
      <c r="EZ30" s="5">
        <v>1.582184E-2</v>
      </c>
      <c r="FA30" s="5">
        <v>1.1466570000000001E-2</v>
      </c>
      <c r="FB30" s="5">
        <v>1.4045800000000001E-2</v>
      </c>
      <c r="FC30" s="5">
        <v>1.303296E-2</v>
      </c>
      <c r="FD30" s="5">
        <v>1.2355140000000001E-2</v>
      </c>
      <c r="FE30" s="5">
        <v>1.134568E-2</v>
      </c>
      <c r="FF30" s="5">
        <v>1.2416969999999999E-2</v>
      </c>
      <c r="FG30" s="5">
        <v>1.0987129999999999E-2</v>
      </c>
      <c r="FH30" s="5">
        <v>1.184898E-2</v>
      </c>
      <c r="FI30" s="5">
        <v>1.016064E-2</v>
      </c>
      <c r="FJ30" s="5">
        <v>1.2105090000000001E-2</v>
      </c>
      <c r="FK30" s="5">
        <v>1.045425E-2</v>
      </c>
      <c r="FL30" s="5">
        <v>1.060789E-2</v>
      </c>
      <c r="FM30" s="5">
        <v>1.091463E-2</v>
      </c>
      <c r="FN30" s="5">
        <v>2.210316E-2</v>
      </c>
      <c r="FO30" s="5">
        <v>1.100287E-2</v>
      </c>
      <c r="FP30" s="5">
        <v>9.0178949999999997E-3</v>
      </c>
      <c r="FQ30" s="5">
        <v>9.6147760000000002E-3</v>
      </c>
      <c r="FR30" s="5">
        <v>8.4606560000000004E-3</v>
      </c>
      <c r="FS30" s="5">
        <v>6.5332189999999998E-3</v>
      </c>
      <c r="FT30" s="5">
        <v>4.9133780000000004E-3</v>
      </c>
      <c r="FU30" s="5">
        <v>4.4141340000000001E-3</v>
      </c>
      <c r="FV30" s="5">
        <v>1.8253189999999999E-2</v>
      </c>
      <c r="FW30" s="5">
        <v>3.4963110000000002E-3</v>
      </c>
      <c r="FX30" s="5">
        <v>2.688705E-3</v>
      </c>
      <c r="FY30" s="5">
        <v>2.677657E-3</v>
      </c>
      <c r="FZ30" s="5">
        <v>7.5959390000000001E-4</v>
      </c>
      <c r="GA30" s="5">
        <v>3.0241969999999997E-4</v>
      </c>
      <c r="GB30" s="5">
        <v>2.0981070000000001E-3</v>
      </c>
      <c r="GC30" s="5">
        <v>2.2283229999999999E-3</v>
      </c>
      <c r="GD30" s="5">
        <v>2.7997230000000001E-3</v>
      </c>
      <c r="GE30" s="5">
        <v>1.535514E-3</v>
      </c>
      <c r="GF30" s="5">
        <v>2.395196E-3</v>
      </c>
      <c r="GG30" s="5">
        <v>2.6759240000000001E-3</v>
      </c>
      <c r="GH30" s="5">
        <v>2.7996549999999999E-3</v>
      </c>
      <c r="GI30" s="5">
        <v>2.9129870000000001E-3</v>
      </c>
      <c r="GJ30" s="5">
        <v>3.8866899999999999E-3</v>
      </c>
      <c r="GK30" s="5">
        <v>3.0162589999999999E-3</v>
      </c>
      <c r="GL30" s="5">
        <v>3.4089569999999998E-3</v>
      </c>
      <c r="GM30" s="5">
        <v>2.5468550000000002E-3</v>
      </c>
      <c r="GN30" s="5">
        <v>2.0454510000000002E-3</v>
      </c>
      <c r="GO30" s="5">
        <v>1.1572220000000001E-3</v>
      </c>
      <c r="GP30" s="5">
        <v>1.824244E-3</v>
      </c>
      <c r="GQ30" s="5">
        <v>1.3340520000000001E-3</v>
      </c>
      <c r="GR30" s="5">
        <v>1.1181139999999999E-3</v>
      </c>
      <c r="GS30" s="5">
        <v>1.1646689999999999E-3</v>
      </c>
      <c r="GT30" s="5">
        <v>1.094844E-3</v>
      </c>
      <c r="GU30" s="5">
        <v>1.9201489999999999E-4</v>
      </c>
      <c r="GV30" s="5">
        <v>7.5887980000000001E-4</v>
      </c>
      <c r="GW30" s="5">
        <v>1.0022690000000001E-3</v>
      </c>
      <c r="GX30" s="5">
        <v>-3.1060000000000001E-4</v>
      </c>
      <c r="GY30" s="5">
        <v>8.0310020000000002E-4</v>
      </c>
      <c r="GZ30" s="5">
        <v>8.0263070000000005E-4</v>
      </c>
      <c r="HA30" s="5">
        <v>5.5614019999999996E-4</v>
      </c>
      <c r="HB30" s="6">
        <v>1.6972070000000001E-3</v>
      </c>
      <c r="HC30" s="6">
        <v>1.458467E-3</v>
      </c>
      <c r="HD30" s="6">
        <v>2.4951639999999998E-3</v>
      </c>
      <c r="HE30" s="6">
        <v>3.2942280000000002E-3</v>
      </c>
      <c r="HF30" s="6">
        <v>3.913138E-3</v>
      </c>
      <c r="HG30" s="6">
        <v>4.4227859999999997E-3</v>
      </c>
      <c r="HH30" s="6">
        <v>4.7874479999999997E-3</v>
      </c>
      <c r="HI30" s="6">
        <v>4.6243120000000002E-3</v>
      </c>
      <c r="HJ30" s="6">
        <v>4.2790190000000002E-3</v>
      </c>
      <c r="HK30" s="6">
        <v>3.9852289999999999E-3</v>
      </c>
      <c r="HL30" s="6">
        <v>3.7571449999999999E-3</v>
      </c>
      <c r="HM30" s="6">
        <v>3.684568E-3</v>
      </c>
      <c r="HN30" s="6">
        <v>3.6110650000000001E-3</v>
      </c>
      <c r="HO30" s="6">
        <v>3.5503700000000002E-3</v>
      </c>
      <c r="HP30" s="6">
        <v>3.4793100000000002E-3</v>
      </c>
      <c r="HQ30" s="6">
        <v>3.4020980000000001E-3</v>
      </c>
      <c r="HR30" s="6">
        <v>3.3430449999999998E-3</v>
      </c>
      <c r="HS30" s="6">
        <v>3.275666E-3</v>
      </c>
      <c r="HT30" s="6">
        <v>3.2301209999999999E-3</v>
      </c>
      <c r="HU30" s="6">
        <v>3.1919019999999999E-3</v>
      </c>
      <c r="HV30" s="6">
        <v>3.1367669999999999E-3</v>
      </c>
      <c r="HW30" s="6">
        <v>3.0991080000000002E-3</v>
      </c>
      <c r="HX30" s="6">
        <v>3.0971879999999999E-3</v>
      </c>
      <c r="HY30" s="6">
        <v>3.1005719999999998E-3</v>
      </c>
      <c r="HZ30" s="6">
        <v>3.1039689999999998E-3</v>
      </c>
      <c r="IA30" s="6">
        <v>3.1091389999999999E-3</v>
      </c>
      <c r="IB30" s="6">
        <v>3.1133829999999999E-3</v>
      </c>
      <c r="IC30" s="6">
        <v>3.122171E-3</v>
      </c>
      <c r="ID30" s="6">
        <v>3.1304420000000002E-3</v>
      </c>
      <c r="IE30" s="6">
        <v>3.139204E-3</v>
      </c>
      <c r="IF30" s="6">
        <v>3.1606030000000001E-3</v>
      </c>
      <c r="IG30" s="6">
        <v>3.1838600000000002E-3</v>
      </c>
      <c r="IH30" s="6">
        <v>3.2046639999999999E-3</v>
      </c>
      <c r="II30" s="6">
        <v>3.2239080000000002E-3</v>
      </c>
      <c r="IJ30" s="6">
        <v>3.2397799999999998E-3</v>
      </c>
      <c r="IK30" s="6">
        <v>3.2571089999999998E-3</v>
      </c>
      <c r="IL30" s="6">
        <v>3.2718199999999999E-3</v>
      </c>
      <c r="IM30" s="6">
        <v>3.2850959999999999E-3</v>
      </c>
      <c r="IN30" s="6">
        <v>3.2948259999999998E-3</v>
      </c>
      <c r="IO30" s="6">
        <v>3.3066599999999999E-3</v>
      </c>
      <c r="IP30" s="6">
        <v>3.316056E-3</v>
      </c>
      <c r="IQ30" s="6">
        <v>3.3243510000000001E-3</v>
      </c>
      <c r="IR30" s="6">
        <v>3.32979E-3</v>
      </c>
      <c r="IS30" s="6">
        <v>3.3375459999999998E-3</v>
      </c>
      <c r="IT30" s="6">
        <v>3.3437129999999999E-3</v>
      </c>
      <c r="IU30" s="6">
        <v>3.3489150000000001E-3</v>
      </c>
      <c r="IV30" s="6">
        <v>3.3514959999999998E-3</v>
      </c>
      <c r="IW30" s="6">
        <v>3.3563949999999999E-3</v>
      </c>
      <c r="IX30" s="6">
        <v>3.3589929999999998E-3</v>
      </c>
      <c r="IY30" s="6">
        <v>3.360886E-3</v>
      </c>
      <c r="IZ30" s="6">
        <v>3.3604250000000002E-3</v>
      </c>
      <c r="JA30" s="6">
        <v>3.3584320000000002E-3</v>
      </c>
      <c r="JB30" s="6">
        <v>3.3557370000000001E-3</v>
      </c>
      <c r="JC30" s="6">
        <v>3.351939E-3</v>
      </c>
      <c r="JD30" s="6">
        <v>3.3472710000000002E-3</v>
      </c>
      <c r="JE30" s="6">
        <v>3.341475E-3</v>
      </c>
      <c r="JF30" s="6">
        <v>3.3351869999999999E-3</v>
      </c>
      <c r="JG30" s="6">
        <v>3.3279249999999998E-3</v>
      </c>
      <c r="JH30" s="6">
        <v>3.3199039999999998E-3</v>
      </c>
      <c r="JI30" s="6">
        <v>3.3104330000000002E-3</v>
      </c>
      <c r="JJ30" s="6">
        <v>3.3003419999999999E-3</v>
      </c>
      <c r="JK30" s="6">
        <v>3.2895889999999999E-3</v>
      </c>
      <c r="JL30" s="6">
        <v>3.2779749999999998E-3</v>
      </c>
      <c r="JM30" s="6">
        <v>3.265422E-3</v>
      </c>
      <c r="JN30" s="6">
        <v>3.2524839999999999E-3</v>
      </c>
      <c r="JO30" s="6">
        <v>3.2388590000000002E-3</v>
      </c>
      <c r="JP30" s="6">
        <v>3.2246200000000001E-3</v>
      </c>
      <c r="JQ30" s="6">
        <v>3.2092459999999998E-3</v>
      </c>
      <c r="JR30" s="6">
        <v>3.1935599999999998E-3</v>
      </c>
      <c r="JS30" s="6">
        <v>3.1773539999999999E-3</v>
      </c>
      <c r="JT30" s="6">
        <v>3.1606669999999998E-3</v>
      </c>
      <c r="JU30" s="6">
        <v>3.1434810000000001E-3</v>
      </c>
      <c r="JV30" s="6">
        <v>3.126303E-3</v>
      </c>
      <c r="JW30" s="6">
        <v>3.1086500000000001E-3</v>
      </c>
      <c r="JX30" s="6">
        <v>3.0907220000000002E-3</v>
      </c>
      <c r="JY30" s="6">
        <v>3.0718949999999998E-3</v>
      </c>
      <c r="JZ30" s="6">
        <v>3.0532039999999999E-3</v>
      </c>
      <c r="KA30" s="6">
        <v>3.034106E-3</v>
      </c>
      <c r="KB30" s="6">
        <v>3.0145369999999999E-3</v>
      </c>
      <c r="KC30" s="6">
        <v>2.994488E-3</v>
      </c>
      <c r="KD30" s="6">
        <v>2.974436E-3</v>
      </c>
      <c r="KE30" s="6">
        <v>2.9539190000000002E-3</v>
      </c>
      <c r="KF30" s="6">
        <v>2.9333219999999999E-3</v>
      </c>
      <c r="KG30" s="6">
        <v>2.9120750000000001E-3</v>
      </c>
      <c r="KH30" s="6">
        <v>2.8909069999999999E-3</v>
      </c>
      <c r="KI30" s="6">
        <v>2.8694430000000002E-3</v>
      </c>
      <c r="KJ30" s="6">
        <v>2.8477810000000002E-3</v>
      </c>
      <c r="KK30" s="6">
        <v>2.8255120000000001E-3</v>
      </c>
      <c r="KL30" s="6">
        <v>2.8035690000000001E-3</v>
      </c>
      <c r="KM30" s="6">
        <v>2.7812240000000001E-3</v>
      </c>
      <c r="KN30" s="6">
        <v>2.7586949999999998E-3</v>
      </c>
      <c r="KO30" s="6">
        <v>2.7358059999999999E-3</v>
      </c>
      <c r="KP30" s="6">
        <v>2.7130190000000001E-3</v>
      </c>
      <c r="KQ30" s="6">
        <v>2.6901E-3</v>
      </c>
      <c r="KR30" s="6">
        <v>2.6669150000000002E-3</v>
      </c>
      <c r="KS30" s="6">
        <v>2.6433149999999998E-3</v>
      </c>
      <c r="KT30" s="6">
        <v>2.620018E-3</v>
      </c>
      <c r="KU30" s="6">
        <v>2.5963900000000001E-3</v>
      </c>
      <c r="KV30" s="6">
        <v>2.5727300000000001E-3</v>
      </c>
      <c r="KW30" s="6">
        <v>2.548621E-3</v>
      </c>
      <c r="KX30" s="6">
        <v>2.5247619999999998E-3</v>
      </c>
      <c r="KY30" s="6">
        <v>2.5007620000000001E-3</v>
      </c>
      <c r="KZ30" s="6">
        <v>2.4767610000000001E-3</v>
      </c>
      <c r="LA30" s="6">
        <v>2.4521690000000001E-3</v>
      </c>
      <c r="LB30" s="6">
        <v>2.4279530000000001E-3</v>
      </c>
      <c r="LC30" s="6">
        <v>2.4036510000000001E-3</v>
      </c>
      <c r="LD30" s="6">
        <v>2.379141E-3</v>
      </c>
      <c r="LE30" s="6">
        <v>2.3544019999999998E-3</v>
      </c>
      <c r="LF30" s="6">
        <v>2.3298920000000001E-3</v>
      </c>
      <c r="LG30" s="2" t="s">
        <v>347</v>
      </c>
      <c r="LH30" s="2" t="s">
        <v>348</v>
      </c>
      <c r="LI30" s="2" t="s">
        <v>338</v>
      </c>
      <c r="LJ30" s="2" t="s">
        <v>338</v>
      </c>
      <c r="LK30" s="2" t="s">
        <v>339</v>
      </c>
      <c r="LL30" s="2" t="s">
        <v>349</v>
      </c>
      <c r="LM30" s="2" t="s">
        <v>338</v>
      </c>
      <c r="LN30" s="4" t="s">
        <v>579</v>
      </c>
      <c r="LO30" s="4" t="s">
        <v>580</v>
      </c>
      <c r="LP30" s="2" t="s">
        <v>343</v>
      </c>
      <c r="LQ30" s="2" t="s">
        <v>581</v>
      </c>
      <c r="LR30" s="4" t="s">
        <v>659</v>
      </c>
      <c r="LS30"/>
      <c r="LT30"/>
      <c r="LU30"/>
      <c r="LV30"/>
      <c r="LW30"/>
      <c r="LX30"/>
    </row>
    <row r="31" spans="1:336" x14ac:dyDescent="0.35">
      <c r="A31" s="2" t="s">
        <v>330</v>
      </c>
      <c r="B31" s="2" t="s">
        <v>582</v>
      </c>
      <c r="C31" s="4" t="s">
        <v>658</v>
      </c>
      <c r="D31" s="4" t="s">
        <v>631</v>
      </c>
      <c r="E31" s="2" t="s">
        <v>338</v>
      </c>
      <c r="F31" s="2" t="s">
        <v>334</v>
      </c>
      <c r="G31" s="5">
        <v>1E-3</v>
      </c>
      <c r="H31" s="5">
        <v>1E-3</v>
      </c>
      <c r="I31" s="5">
        <v>1E-3</v>
      </c>
      <c r="J31" s="5">
        <v>1E-3</v>
      </c>
      <c r="K31" s="5">
        <v>1E-3</v>
      </c>
      <c r="L31" s="5">
        <v>1E-3</v>
      </c>
      <c r="M31" s="5">
        <v>1E-3</v>
      </c>
      <c r="N31" s="5">
        <v>1E-3</v>
      </c>
      <c r="O31" s="5">
        <v>1E-3</v>
      </c>
      <c r="P31" s="5">
        <v>1E-3</v>
      </c>
      <c r="Q31" s="5">
        <v>1E-3</v>
      </c>
      <c r="R31" s="5">
        <v>1E-3</v>
      </c>
      <c r="S31" s="5">
        <v>1E-3</v>
      </c>
      <c r="T31" s="5">
        <v>1E-3</v>
      </c>
      <c r="U31" s="5">
        <v>1E-3</v>
      </c>
      <c r="V31" s="5">
        <v>1E-3</v>
      </c>
      <c r="W31" s="5">
        <v>1E-3</v>
      </c>
      <c r="X31" s="5">
        <v>1E-3</v>
      </c>
      <c r="Y31" s="5">
        <v>1E-3</v>
      </c>
      <c r="Z31" s="5">
        <v>1E-3</v>
      </c>
      <c r="AA31" s="5">
        <v>1E-3</v>
      </c>
      <c r="AB31" s="5">
        <v>1E-3</v>
      </c>
      <c r="AC31" s="5">
        <v>1E-3</v>
      </c>
      <c r="AD31" s="5">
        <v>1E-3</v>
      </c>
      <c r="AE31" s="5">
        <v>1E-3</v>
      </c>
      <c r="AF31" s="5">
        <v>1E-3</v>
      </c>
      <c r="AG31" s="5">
        <v>1E-3</v>
      </c>
      <c r="AH31" s="5">
        <v>1E-3</v>
      </c>
      <c r="AI31" s="5">
        <v>1E-3</v>
      </c>
      <c r="AJ31" s="5">
        <v>1E-3</v>
      </c>
      <c r="AK31" s="5">
        <v>1E-3</v>
      </c>
      <c r="AL31" s="5">
        <v>1E-3</v>
      </c>
      <c r="AM31" s="5">
        <v>1E-3</v>
      </c>
      <c r="AN31" s="5">
        <v>1E-3</v>
      </c>
      <c r="AO31" s="5">
        <v>1E-3</v>
      </c>
      <c r="AP31" s="5">
        <v>1E-3</v>
      </c>
      <c r="AQ31" s="5">
        <v>1E-3</v>
      </c>
      <c r="AR31" s="5">
        <v>1E-3</v>
      </c>
      <c r="AS31" s="5">
        <v>1E-3</v>
      </c>
      <c r="AT31" s="5">
        <v>1E-3</v>
      </c>
      <c r="AU31" s="5">
        <v>1E-3</v>
      </c>
      <c r="AV31" s="5">
        <v>1E-3</v>
      </c>
      <c r="AW31" s="5">
        <v>1E-3</v>
      </c>
      <c r="AX31" s="5">
        <v>1E-3</v>
      </c>
      <c r="AY31" s="5">
        <v>1E-3</v>
      </c>
      <c r="AZ31" s="5">
        <v>1E-3</v>
      </c>
      <c r="BA31" s="5">
        <v>1E-3</v>
      </c>
      <c r="BB31" s="5">
        <v>1E-3</v>
      </c>
      <c r="BC31" s="5">
        <v>1E-3</v>
      </c>
      <c r="BD31" s="5">
        <v>1E-3</v>
      </c>
      <c r="BE31" s="5">
        <v>1E-3</v>
      </c>
      <c r="BF31" s="5">
        <v>1E-3</v>
      </c>
      <c r="BG31" s="5">
        <v>1E-3</v>
      </c>
      <c r="BH31" s="5">
        <v>1E-3</v>
      </c>
      <c r="BI31" s="5">
        <v>1E-3</v>
      </c>
      <c r="BJ31" s="5">
        <v>1E-3</v>
      </c>
      <c r="BK31" s="5">
        <v>1E-3</v>
      </c>
      <c r="BL31" s="5">
        <v>1E-3</v>
      </c>
      <c r="BM31" s="5">
        <v>1E-3</v>
      </c>
      <c r="BN31" s="5">
        <v>1E-3</v>
      </c>
      <c r="BO31" s="5">
        <v>1E-3</v>
      </c>
      <c r="BP31" s="5">
        <v>1E-3</v>
      </c>
      <c r="BQ31" s="5">
        <v>1E-3</v>
      </c>
      <c r="BR31" s="5">
        <v>1E-3</v>
      </c>
      <c r="BS31" s="5">
        <v>1E-3</v>
      </c>
      <c r="BT31" s="5">
        <v>1E-3</v>
      </c>
      <c r="BU31" s="5">
        <v>1E-3</v>
      </c>
      <c r="BV31" s="5">
        <v>1E-3</v>
      </c>
      <c r="BW31" s="5">
        <v>1E-3</v>
      </c>
      <c r="BX31" s="5">
        <v>1E-3</v>
      </c>
      <c r="BY31" s="5">
        <v>1E-3</v>
      </c>
      <c r="BZ31" s="5">
        <v>1E-3</v>
      </c>
      <c r="CA31" s="5">
        <v>1E-3</v>
      </c>
      <c r="CB31" s="5">
        <v>1E-3</v>
      </c>
      <c r="CC31" s="5">
        <v>1E-3</v>
      </c>
      <c r="CD31" s="5">
        <v>1E-3</v>
      </c>
      <c r="CE31" s="5">
        <v>1E-3</v>
      </c>
      <c r="CF31" s="5">
        <v>1E-3</v>
      </c>
      <c r="CG31" s="5">
        <v>1E-3</v>
      </c>
      <c r="CH31" s="5">
        <v>1E-3</v>
      </c>
      <c r="CI31" s="5">
        <v>6.1070760000000003E-3</v>
      </c>
      <c r="CJ31" s="5">
        <v>5.7271910000000004E-3</v>
      </c>
      <c r="CK31" s="5">
        <v>5.2977659999999998E-3</v>
      </c>
      <c r="CL31" s="5">
        <v>4.9857299999999998E-3</v>
      </c>
      <c r="CM31" s="5">
        <v>5.0259459999999999E-3</v>
      </c>
      <c r="CN31" s="5">
        <v>4.4409230000000003E-3</v>
      </c>
      <c r="CO31" s="5">
        <v>4.315981E-3</v>
      </c>
      <c r="CP31" s="5">
        <v>4.0919249999999997E-3</v>
      </c>
      <c r="CQ31" s="5">
        <v>3.8604199999999998E-3</v>
      </c>
      <c r="CR31" s="5">
        <v>3.5749559999999998E-3</v>
      </c>
      <c r="CS31" s="5">
        <v>3.7787820000000001E-3</v>
      </c>
      <c r="CT31" s="5">
        <v>3.8560489999999998E-3</v>
      </c>
      <c r="CU31" s="5">
        <v>3.410354E-3</v>
      </c>
      <c r="CV31" s="5">
        <v>3.3517579999999998E-3</v>
      </c>
      <c r="CW31" s="5">
        <v>3.246114E-3</v>
      </c>
      <c r="CX31" s="5">
        <v>3.2049370000000002E-3</v>
      </c>
      <c r="CY31" s="5">
        <v>2.9040950000000002E-3</v>
      </c>
      <c r="CZ31" s="5">
        <v>2.9869179999999999E-3</v>
      </c>
      <c r="DA31" s="5">
        <v>2.9197509999999999E-3</v>
      </c>
      <c r="DB31" s="5">
        <v>2.8746990000000001E-3</v>
      </c>
      <c r="DC31" s="5">
        <v>2.7823079999999998E-3</v>
      </c>
      <c r="DD31" s="5">
        <v>2.8460429999999999E-3</v>
      </c>
      <c r="DE31" s="5">
        <v>2.8844600000000001E-3</v>
      </c>
      <c r="DF31" s="5">
        <v>2.9076729999999999E-3</v>
      </c>
      <c r="DG31" s="5">
        <v>3.0705609999999999E-3</v>
      </c>
      <c r="DH31" s="5">
        <v>2.9165300000000001E-3</v>
      </c>
      <c r="DI31" s="5">
        <v>2.7577119999999998E-3</v>
      </c>
      <c r="DJ31" s="5">
        <v>2.7439959999999998E-3</v>
      </c>
      <c r="DK31" s="5">
        <v>2.913321E-3</v>
      </c>
      <c r="DL31" s="5">
        <v>2.9111369999999998E-3</v>
      </c>
      <c r="DM31" s="5">
        <v>2.8522859999999999E-3</v>
      </c>
      <c r="DN31" s="5">
        <v>2.8766220000000001E-3</v>
      </c>
      <c r="DO31" s="5">
        <v>2.9623850000000001E-3</v>
      </c>
      <c r="DP31" s="5">
        <v>2.9773740000000001E-3</v>
      </c>
      <c r="DQ31" s="5">
        <v>2.6505209999999999E-3</v>
      </c>
      <c r="DR31" s="5">
        <v>2.973996E-3</v>
      </c>
      <c r="DS31" s="5">
        <v>3.1005809999999998E-3</v>
      </c>
      <c r="DT31" s="5">
        <v>3.1356880000000002E-3</v>
      </c>
      <c r="DU31" s="5">
        <v>2.9405070000000002E-3</v>
      </c>
      <c r="DV31" s="5">
        <v>3.0997099999999999E-3</v>
      </c>
      <c r="DW31" s="5">
        <v>2.712969E-3</v>
      </c>
      <c r="DX31" s="5">
        <v>2.6837470000000002E-3</v>
      </c>
      <c r="DY31" s="5">
        <v>2.3358810000000002E-3</v>
      </c>
      <c r="DZ31" s="5">
        <v>2.2284539999999999E-3</v>
      </c>
      <c r="EA31" s="5">
        <v>2.2004680000000001E-3</v>
      </c>
      <c r="EB31" s="5">
        <v>2.1131869999999999E-3</v>
      </c>
      <c r="EC31" s="5">
        <v>1.978488E-3</v>
      </c>
      <c r="ED31" s="5">
        <v>2.023712E-3</v>
      </c>
      <c r="EE31" s="5">
        <v>1.9546289999999998E-3</v>
      </c>
      <c r="EF31" s="5">
        <v>2.1885419999999999E-3</v>
      </c>
      <c r="EG31" s="5">
        <v>2.1625379999999999E-3</v>
      </c>
      <c r="EH31" s="5">
        <v>2.0245409999999999E-3</v>
      </c>
      <c r="EI31" s="5">
        <v>2.162654E-3</v>
      </c>
      <c r="EJ31" s="5">
        <v>1.8501959999999999E-3</v>
      </c>
      <c r="EK31" s="5">
        <v>1.8381199999999999E-3</v>
      </c>
      <c r="EL31" s="5">
        <v>2.30999E-3</v>
      </c>
      <c r="EM31" s="5">
        <v>1.799651E-3</v>
      </c>
      <c r="EN31" s="5">
        <v>1.7471609999999999E-3</v>
      </c>
      <c r="EO31" s="5">
        <v>1.7393580000000001E-3</v>
      </c>
      <c r="EP31" s="5">
        <v>1.6269120000000001E-3</v>
      </c>
      <c r="EQ31" s="5">
        <v>1.8023550000000001E-3</v>
      </c>
      <c r="ER31" s="5">
        <v>1.9619220000000001E-3</v>
      </c>
      <c r="ES31" s="5">
        <v>2.2690190000000002E-3</v>
      </c>
      <c r="ET31" s="5">
        <v>3.0234810000000002E-3</v>
      </c>
      <c r="EU31" s="5">
        <v>2.8911520000000001E-3</v>
      </c>
      <c r="EV31" s="5">
        <v>2.8904719999999998E-3</v>
      </c>
      <c r="EW31" s="5">
        <v>2.592998E-3</v>
      </c>
      <c r="EX31" s="5">
        <v>2.5058200000000002E-3</v>
      </c>
      <c r="EY31" s="5">
        <v>2.3679420000000001E-3</v>
      </c>
      <c r="EZ31" s="5">
        <v>2.274042E-3</v>
      </c>
      <c r="FA31" s="5">
        <v>2.115614E-3</v>
      </c>
      <c r="FB31" s="5">
        <v>2.136892E-3</v>
      </c>
      <c r="FC31" s="5">
        <v>2.1588599999999999E-3</v>
      </c>
      <c r="FD31" s="5">
        <v>2.2807510000000001E-3</v>
      </c>
      <c r="FE31" s="5">
        <v>2.1827859999999999E-3</v>
      </c>
      <c r="FF31" s="5">
        <v>2.1767879999999998E-3</v>
      </c>
      <c r="FG31" s="5">
        <v>2.2151670000000001E-3</v>
      </c>
      <c r="FH31" s="5">
        <v>2.0902389999999998E-3</v>
      </c>
      <c r="FI31" s="5">
        <v>1.8655360000000001E-3</v>
      </c>
      <c r="FJ31" s="5">
        <v>1.7618149999999999E-3</v>
      </c>
      <c r="FK31" s="5">
        <v>1.645503E-3</v>
      </c>
      <c r="FL31" s="5">
        <v>1.749072E-3</v>
      </c>
      <c r="FM31" s="5">
        <v>1.7053490000000001E-3</v>
      </c>
      <c r="FN31" s="5">
        <v>1.5131400000000001E-3</v>
      </c>
      <c r="FO31" s="5">
        <v>1.5763050000000001E-3</v>
      </c>
      <c r="FP31" s="5">
        <v>1.441456E-3</v>
      </c>
      <c r="FQ31" s="5">
        <v>1.3632220000000001E-3</v>
      </c>
      <c r="FR31" s="5">
        <v>1.34369E-3</v>
      </c>
      <c r="FS31" s="5">
        <v>1.2516879999999999E-3</v>
      </c>
      <c r="FT31" s="5">
        <v>1.235054E-3</v>
      </c>
      <c r="FU31" s="5">
        <v>1.1525820000000001E-3</v>
      </c>
      <c r="FV31" s="5">
        <v>1.149497E-3</v>
      </c>
      <c r="FW31" s="5">
        <v>1.1551479999999999E-3</v>
      </c>
      <c r="FX31" s="5">
        <v>1.141041E-3</v>
      </c>
      <c r="FY31" s="5">
        <v>1.090976E-3</v>
      </c>
      <c r="FZ31" s="5">
        <v>1.137739E-3</v>
      </c>
      <c r="GA31" s="5">
        <v>1.13547E-3</v>
      </c>
      <c r="GB31" s="5">
        <v>1.0529669999999999E-3</v>
      </c>
      <c r="GC31" s="5">
        <v>1.041394E-3</v>
      </c>
      <c r="GD31" s="5">
        <v>1.0144489999999999E-3</v>
      </c>
      <c r="GE31" s="5">
        <v>1.1304869999999999E-3</v>
      </c>
      <c r="GF31" s="5">
        <v>1.119299E-3</v>
      </c>
      <c r="GG31" s="5">
        <v>1.195113E-3</v>
      </c>
      <c r="GH31" s="5">
        <v>1.076275E-3</v>
      </c>
      <c r="GI31" s="5">
        <v>1.156116E-3</v>
      </c>
      <c r="GJ31" s="5">
        <v>1.185581E-3</v>
      </c>
      <c r="GK31" s="5">
        <v>1.178536E-3</v>
      </c>
      <c r="GL31" s="5">
        <v>1.1199929999999999E-3</v>
      </c>
      <c r="GM31" s="5">
        <v>1.0253840000000001E-3</v>
      </c>
      <c r="GN31" s="5">
        <v>7.6567530000000005E-4</v>
      </c>
      <c r="GO31" s="5">
        <v>6.9565100000000004E-4</v>
      </c>
      <c r="GP31" s="5">
        <v>7.4597620000000004E-4</v>
      </c>
      <c r="GQ31" s="5">
        <v>5.6745579999999997E-4</v>
      </c>
      <c r="GR31" s="5">
        <v>7.4298319999999997E-4</v>
      </c>
      <c r="GS31" s="5">
        <v>9.769682E-4</v>
      </c>
      <c r="GT31" s="5">
        <v>1.103981E-3</v>
      </c>
      <c r="GU31" s="5">
        <v>1.156221E-3</v>
      </c>
      <c r="GV31" s="5">
        <v>1.3052490000000001E-3</v>
      </c>
      <c r="GW31" s="5">
        <v>1.3245819999999999E-3</v>
      </c>
      <c r="GX31" s="5">
        <v>1.3900379999999999E-3</v>
      </c>
      <c r="GY31" s="5">
        <v>1.332703E-3</v>
      </c>
      <c r="GZ31" s="5">
        <v>1.435237E-3</v>
      </c>
      <c r="HA31" s="5">
        <v>1.4025820000000001E-3</v>
      </c>
      <c r="HB31" s="5">
        <v>1.5053620000000001E-3</v>
      </c>
      <c r="HC31" s="6">
        <v>1.624962E-3</v>
      </c>
      <c r="HD31" s="6">
        <v>1.690953E-3</v>
      </c>
      <c r="HE31" s="6">
        <v>1.684762E-3</v>
      </c>
      <c r="HF31" s="6">
        <v>1.674395E-3</v>
      </c>
      <c r="HG31" s="6">
        <v>1.649803E-3</v>
      </c>
      <c r="HH31" s="6">
        <v>1.6218000000000001E-3</v>
      </c>
      <c r="HI31" s="6">
        <v>1.591259E-3</v>
      </c>
      <c r="HJ31" s="6">
        <v>1.5616530000000001E-3</v>
      </c>
      <c r="HK31" s="6">
        <v>1.532879E-3</v>
      </c>
      <c r="HL31" s="6">
        <v>1.5062820000000001E-3</v>
      </c>
      <c r="HM31" s="6">
        <v>1.4847300000000001E-3</v>
      </c>
      <c r="HN31" s="6">
        <v>1.4706179999999999E-3</v>
      </c>
      <c r="HO31" s="6">
        <v>1.456658E-3</v>
      </c>
      <c r="HP31" s="6">
        <v>1.443092E-3</v>
      </c>
      <c r="HQ31" s="6">
        <v>1.429633E-3</v>
      </c>
      <c r="HR31" s="6">
        <v>1.4187819999999999E-3</v>
      </c>
      <c r="HS31" s="6">
        <v>1.4097490000000001E-3</v>
      </c>
      <c r="HT31" s="6">
        <v>1.4021680000000001E-3</v>
      </c>
      <c r="HU31" s="6">
        <v>1.396399E-3</v>
      </c>
      <c r="HV31" s="6">
        <v>1.392477E-3</v>
      </c>
      <c r="HW31" s="6">
        <v>1.3886160000000001E-3</v>
      </c>
      <c r="HX31" s="6">
        <v>1.385021E-3</v>
      </c>
      <c r="HY31" s="6">
        <v>1.382037E-3</v>
      </c>
      <c r="HZ31" s="6">
        <v>1.3809359999999999E-3</v>
      </c>
      <c r="IA31" s="6">
        <v>1.379545E-3</v>
      </c>
      <c r="IB31" s="6">
        <v>1.378001E-3</v>
      </c>
      <c r="IC31" s="6">
        <v>1.3763510000000001E-3</v>
      </c>
      <c r="ID31" s="6">
        <v>1.3759359999999999E-3</v>
      </c>
      <c r="IE31" s="6">
        <v>1.374824E-3</v>
      </c>
      <c r="IF31" s="6">
        <v>1.373539E-3</v>
      </c>
      <c r="IG31" s="6">
        <v>1.3723069999999999E-3</v>
      </c>
      <c r="IH31" s="6">
        <v>1.372058E-3</v>
      </c>
      <c r="II31" s="6">
        <v>1.3711249999999999E-3</v>
      </c>
      <c r="IJ31" s="6">
        <v>1.3700139999999999E-3</v>
      </c>
      <c r="IK31" s="6">
        <v>1.368909E-3</v>
      </c>
      <c r="IL31" s="6">
        <v>1.368846E-3</v>
      </c>
      <c r="IM31" s="6">
        <v>1.368537E-3</v>
      </c>
      <c r="IN31" s="6">
        <v>1.3684719999999999E-3</v>
      </c>
      <c r="IO31" s="6">
        <v>1.368277E-3</v>
      </c>
      <c r="IP31" s="6">
        <v>1.3693430000000001E-3</v>
      </c>
      <c r="IQ31" s="6">
        <v>1.3698860000000001E-3</v>
      </c>
      <c r="IR31" s="6">
        <v>1.370168E-3</v>
      </c>
      <c r="IS31" s="6">
        <v>1.3702160000000001E-3</v>
      </c>
      <c r="IT31" s="6">
        <v>1.371309E-3</v>
      </c>
      <c r="IU31" s="6">
        <v>1.3721740000000001E-3</v>
      </c>
      <c r="IV31" s="6">
        <v>1.3728270000000001E-3</v>
      </c>
      <c r="IW31" s="6">
        <v>1.372989E-3</v>
      </c>
      <c r="IX31" s="6">
        <v>1.3741420000000001E-3</v>
      </c>
      <c r="IY31" s="6">
        <v>1.374517E-3</v>
      </c>
      <c r="IZ31" s="6">
        <v>1.3745750000000001E-3</v>
      </c>
      <c r="JA31" s="6">
        <v>1.3742260000000001E-3</v>
      </c>
      <c r="JB31" s="6">
        <v>1.3748790000000001E-3</v>
      </c>
      <c r="JC31" s="6">
        <v>1.3746909999999999E-3</v>
      </c>
      <c r="JD31" s="6">
        <v>1.374255E-3</v>
      </c>
      <c r="JE31" s="6">
        <v>1.373804E-3</v>
      </c>
      <c r="JF31" s="6">
        <v>1.3743609999999999E-3</v>
      </c>
      <c r="JG31" s="6">
        <v>1.3740810000000001E-3</v>
      </c>
      <c r="JH31" s="6">
        <v>1.373446E-3</v>
      </c>
      <c r="JI31" s="6">
        <v>1.372383E-3</v>
      </c>
      <c r="JJ31" s="6">
        <v>1.3723089999999999E-3</v>
      </c>
      <c r="JK31" s="6">
        <v>1.3713760000000001E-3</v>
      </c>
      <c r="JL31" s="6">
        <v>1.3701729999999999E-3</v>
      </c>
      <c r="JM31" s="6">
        <v>1.3689209999999999E-3</v>
      </c>
      <c r="JN31" s="6">
        <v>1.3686810000000001E-3</v>
      </c>
      <c r="JO31" s="6">
        <v>1.3675849999999999E-3</v>
      </c>
      <c r="JP31" s="6">
        <v>1.366218E-3</v>
      </c>
      <c r="JQ31" s="6">
        <v>1.364805E-3</v>
      </c>
      <c r="JR31" s="6">
        <v>1.3644589999999999E-3</v>
      </c>
      <c r="JS31" s="6">
        <v>1.3633009999999999E-3</v>
      </c>
      <c r="JT31" s="6">
        <v>1.3619649999999999E-3</v>
      </c>
      <c r="JU31" s="6">
        <v>1.3609119999999999E-3</v>
      </c>
      <c r="JV31" s="6">
        <v>1.3609430000000001E-3</v>
      </c>
      <c r="JW31" s="6">
        <v>1.3601710000000001E-3</v>
      </c>
      <c r="JX31" s="6">
        <v>1.359191E-3</v>
      </c>
      <c r="JY31" s="6">
        <v>1.358216E-3</v>
      </c>
      <c r="JZ31" s="6">
        <v>1.358328E-3</v>
      </c>
      <c r="KA31" s="6">
        <v>1.357631E-3</v>
      </c>
      <c r="KB31" s="6">
        <v>1.356721E-3</v>
      </c>
      <c r="KC31" s="6">
        <v>1.355818E-3</v>
      </c>
      <c r="KD31" s="6">
        <v>1.3560079999999999E-3</v>
      </c>
      <c r="KE31" s="6">
        <v>1.3553899999999999E-3</v>
      </c>
      <c r="KF31" s="6">
        <v>1.354566E-3</v>
      </c>
      <c r="KG31" s="6">
        <v>1.353751E-3</v>
      </c>
      <c r="KH31" s="6">
        <v>1.354039E-3</v>
      </c>
      <c r="KI31" s="6">
        <v>1.35352E-3</v>
      </c>
      <c r="KJ31" s="6">
        <v>1.35279E-3</v>
      </c>
      <c r="KK31" s="6">
        <v>1.352076E-3</v>
      </c>
      <c r="KL31" s="6">
        <v>1.352469E-3</v>
      </c>
      <c r="KM31" s="6">
        <v>1.3520439999999999E-3</v>
      </c>
      <c r="KN31" s="6">
        <v>1.3514149999999999E-3</v>
      </c>
      <c r="KO31" s="6">
        <v>1.3507980000000001E-3</v>
      </c>
      <c r="KP31" s="6">
        <v>1.3512890000000001E-3</v>
      </c>
      <c r="KQ31" s="6">
        <v>1.3509629999999999E-3</v>
      </c>
      <c r="KR31" s="6">
        <v>1.350431E-3</v>
      </c>
      <c r="KS31" s="6">
        <v>1.3499079999999999E-3</v>
      </c>
      <c r="KT31" s="6">
        <v>1.350502E-3</v>
      </c>
      <c r="KU31" s="6">
        <v>1.350275E-3</v>
      </c>
      <c r="KV31" s="6">
        <v>1.3498379999999999E-3</v>
      </c>
      <c r="KW31" s="6">
        <v>1.349413E-3</v>
      </c>
      <c r="KX31" s="6">
        <v>1.350104E-3</v>
      </c>
      <c r="KY31" s="6">
        <v>1.3499720000000001E-3</v>
      </c>
      <c r="KZ31" s="6">
        <v>1.3496280000000001E-3</v>
      </c>
      <c r="LA31" s="6">
        <v>1.349294E-3</v>
      </c>
      <c r="LB31" s="6">
        <v>1.350094E-3</v>
      </c>
      <c r="LC31" s="6">
        <v>1.3500599999999999E-3</v>
      </c>
      <c r="LD31" s="6">
        <v>1.3498130000000001E-3</v>
      </c>
      <c r="LE31" s="6">
        <v>1.349582E-3</v>
      </c>
      <c r="LF31" s="6">
        <v>1.3504820000000001E-3</v>
      </c>
      <c r="LG31" s="2" t="s">
        <v>572</v>
      </c>
      <c r="LH31" s="2" t="s">
        <v>348</v>
      </c>
      <c r="LI31" s="2" t="s">
        <v>338</v>
      </c>
      <c r="LJ31" s="2" t="s">
        <v>338</v>
      </c>
      <c r="LK31" s="2" t="s">
        <v>339</v>
      </c>
      <c r="LL31" s="2" t="s">
        <v>623</v>
      </c>
      <c r="LM31" s="2" t="s">
        <v>338</v>
      </c>
      <c r="LN31" s="4" t="s">
        <v>583</v>
      </c>
      <c r="LO31" s="2" t="s">
        <v>338</v>
      </c>
      <c r="LP31" s="2" t="s">
        <v>343</v>
      </c>
      <c r="LQ31" s="2" t="s">
        <v>584</v>
      </c>
      <c r="LR31" s="4" t="s">
        <v>659</v>
      </c>
      <c r="LS31"/>
      <c r="LT31"/>
      <c r="LU31"/>
      <c r="LV31"/>
      <c r="LW31"/>
      <c r="LX31"/>
    </row>
    <row r="32" spans="1:336" x14ac:dyDescent="0.35">
      <c r="A32" s="2" t="s">
        <v>330</v>
      </c>
      <c r="B32" s="2" t="s">
        <v>585</v>
      </c>
      <c r="C32" s="4" t="s">
        <v>658</v>
      </c>
      <c r="D32" s="2" t="s">
        <v>346</v>
      </c>
      <c r="E32" s="2" t="s">
        <v>338</v>
      </c>
      <c r="F32" s="2" t="s">
        <v>334</v>
      </c>
      <c r="G32" s="5">
        <v>6.1169979999999997</v>
      </c>
      <c r="H32" s="5">
        <v>6.1190639999999998</v>
      </c>
      <c r="I32" s="5">
        <v>9.2245159999999995</v>
      </c>
      <c r="J32" s="5">
        <v>11.81353</v>
      </c>
      <c r="K32" s="5">
        <v>16.048850000000002</v>
      </c>
      <c r="L32" s="5">
        <v>12.85718</v>
      </c>
      <c r="M32" s="5">
        <v>13.06794</v>
      </c>
      <c r="N32" s="5">
        <v>13.025090000000001</v>
      </c>
      <c r="O32" s="5">
        <v>12.40734</v>
      </c>
      <c r="P32" s="5">
        <v>9.3632639999999991</v>
      </c>
      <c r="Q32" s="5">
        <v>9.7154430000000005</v>
      </c>
      <c r="R32" s="5">
        <v>9.1201939999999997</v>
      </c>
      <c r="S32" s="5">
        <v>7.3021149999999997</v>
      </c>
      <c r="T32" s="5">
        <v>8.475994</v>
      </c>
      <c r="U32" s="5">
        <v>9.3130590000000009</v>
      </c>
      <c r="V32" s="5">
        <v>10.359690000000001</v>
      </c>
      <c r="W32" s="5">
        <v>7.6417809999999999</v>
      </c>
      <c r="X32" s="5">
        <v>4.9681990000000003</v>
      </c>
      <c r="Y32" s="5">
        <v>4.2187539999999997</v>
      </c>
      <c r="Z32" s="5">
        <v>3.3463959999999999</v>
      </c>
      <c r="AA32" s="5">
        <v>3.6544479999999999</v>
      </c>
      <c r="AB32" s="5">
        <v>5.1189629999999999</v>
      </c>
      <c r="AC32" s="5">
        <v>5.3099350000000003</v>
      </c>
      <c r="AD32" s="5">
        <v>6.4699989999999996</v>
      </c>
      <c r="AE32" s="5">
        <v>7.2590170000000001</v>
      </c>
      <c r="AF32" s="5">
        <v>6.6247119999999997</v>
      </c>
      <c r="AG32" s="5">
        <v>7.6913289999999996</v>
      </c>
      <c r="AH32" s="5">
        <v>8.2681730000000009</v>
      </c>
      <c r="AI32" s="5">
        <v>9.5942100000000003</v>
      </c>
      <c r="AJ32" s="5">
        <v>9.879054</v>
      </c>
      <c r="AK32" s="5">
        <v>10.1753</v>
      </c>
      <c r="AL32" s="5">
        <v>9.294924</v>
      </c>
      <c r="AM32" s="5">
        <v>8.2465519999999994</v>
      </c>
      <c r="AN32" s="5">
        <v>7.1851580000000004</v>
      </c>
      <c r="AO32" s="5">
        <v>7.7312419999999999</v>
      </c>
      <c r="AP32" s="5">
        <v>9.2393839999999994</v>
      </c>
      <c r="AQ32" s="5">
        <v>9.5001700000000007</v>
      </c>
      <c r="AR32" s="5">
        <v>8.1415450000000007</v>
      </c>
      <c r="AS32" s="5">
        <v>7.218642</v>
      </c>
      <c r="AT32" s="5">
        <v>5.9808919999999999</v>
      </c>
      <c r="AU32" s="5">
        <v>6.3284099999999999</v>
      </c>
      <c r="AV32" s="5">
        <v>5.8343939999999996</v>
      </c>
      <c r="AW32" s="5">
        <v>5.3487299999999998</v>
      </c>
      <c r="AX32" s="5">
        <v>5.0324949999999999</v>
      </c>
      <c r="AY32" s="5">
        <v>5.3480449999999999</v>
      </c>
      <c r="AZ32" s="5">
        <v>5.2703569999999997</v>
      </c>
      <c r="BA32" s="5">
        <v>6.6046199999999997</v>
      </c>
      <c r="BB32" s="5">
        <v>5.7642049999999996</v>
      </c>
      <c r="BC32" s="5">
        <v>7.8576240000000004</v>
      </c>
      <c r="BD32" s="5">
        <v>6.7878939999999997</v>
      </c>
      <c r="BE32" s="5">
        <v>6.5390199999999998</v>
      </c>
      <c r="BF32" s="5">
        <v>6.3565860000000001</v>
      </c>
      <c r="BG32" s="5">
        <v>7.1555720000000003</v>
      </c>
      <c r="BH32" s="5">
        <v>6.1142260000000004</v>
      </c>
      <c r="BI32" s="5">
        <v>6.2407760000000003</v>
      </c>
      <c r="BJ32" s="5">
        <v>6.9198630000000003</v>
      </c>
      <c r="BK32" s="5">
        <v>8.4434889999999996</v>
      </c>
      <c r="BL32" s="5">
        <v>7.5696870000000001</v>
      </c>
      <c r="BM32" s="5">
        <v>8.1797369999999994</v>
      </c>
      <c r="BN32" s="5">
        <v>12.610060000000001</v>
      </c>
      <c r="BO32" s="5">
        <v>8.431108</v>
      </c>
      <c r="BP32" s="5">
        <v>9.6200189999999992</v>
      </c>
      <c r="BQ32" s="5">
        <v>11.284269999999999</v>
      </c>
      <c r="BR32" s="5">
        <v>12.579040000000001</v>
      </c>
      <c r="BS32" s="5">
        <v>12.94354</v>
      </c>
      <c r="BT32" s="5">
        <v>15.43281</v>
      </c>
      <c r="BU32" s="5">
        <v>16.336469999999998</v>
      </c>
      <c r="BV32" s="5">
        <v>17.63449</v>
      </c>
      <c r="BW32" s="5">
        <v>18.593070000000001</v>
      </c>
      <c r="BX32" s="5">
        <v>20.025770000000001</v>
      </c>
      <c r="BY32" s="5">
        <v>20.106919999999999</v>
      </c>
      <c r="BZ32" s="5">
        <v>18.468170000000001</v>
      </c>
      <c r="CA32" s="5">
        <v>21.139530000000001</v>
      </c>
      <c r="CB32" s="5">
        <v>21.656300000000002</v>
      </c>
      <c r="CC32" s="5">
        <v>21.63072</v>
      </c>
      <c r="CD32" s="5">
        <v>20.342780000000001</v>
      </c>
      <c r="CE32" s="5">
        <v>27.600519999999999</v>
      </c>
      <c r="CF32" s="5">
        <v>18.392289999999999</v>
      </c>
      <c r="CG32" s="5">
        <v>14.79189</v>
      </c>
      <c r="CH32" s="5">
        <v>13.787559999999999</v>
      </c>
      <c r="CI32" s="5">
        <v>12.71598</v>
      </c>
      <c r="CJ32" s="5">
        <v>12.803330000000001</v>
      </c>
      <c r="CK32" s="5">
        <v>12.96149</v>
      </c>
      <c r="CL32" s="5">
        <v>12.126480000000001</v>
      </c>
      <c r="CM32" s="5">
        <v>11.065250000000001</v>
      </c>
      <c r="CN32" s="5">
        <v>11.06339</v>
      </c>
      <c r="CO32" s="5">
        <v>11.47864</v>
      </c>
      <c r="CP32" s="5">
        <v>11.418329999999999</v>
      </c>
      <c r="CQ32" s="5">
        <v>12.31757</v>
      </c>
      <c r="CR32" s="5">
        <v>13.644729999999999</v>
      </c>
      <c r="CS32" s="5">
        <v>12.81485</v>
      </c>
      <c r="CT32" s="5">
        <v>13.047840000000001</v>
      </c>
      <c r="CU32" s="5">
        <v>11.515140000000001</v>
      </c>
      <c r="CV32" s="5">
        <v>11.161099999999999</v>
      </c>
      <c r="CW32" s="5">
        <v>10.891859999999999</v>
      </c>
      <c r="CX32" s="5">
        <v>10.227600000000001</v>
      </c>
      <c r="CY32" s="5">
        <v>12.28341</v>
      </c>
      <c r="CZ32" s="5">
        <v>13.978680000000001</v>
      </c>
      <c r="DA32" s="5">
        <v>13.20388</v>
      </c>
      <c r="DB32" s="5">
        <v>15.68005</v>
      </c>
      <c r="DC32" s="5">
        <v>15.23254</v>
      </c>
      <c r="DD32" s="5">
        <v>15.34304</v>
      </c>
      <c r="DE32" s="5">
        <v>16.115749999999998</v>
      </c>
      <c r="DF32" s="5">
        <v>14.91188</v>
      </c>
      <c r="DG32" s="5">
        <v>16.551559999999998</v>
      </c>
      <c r="DH32" s="5">
        <v>17.112919999999999</v>
      </c>
      <c r="DI32" s="5">
        <v>16.655609999999999</v>
      </c>
      <c r="DJ32" s="5">
        <v>17.337800000000001</v>
      </c>
      <c r="DK32" s="5">
        <v>17.419989999999999</v>
      </c>
      <c r="DL32" s="5">
        <v>19.699839999999998</v>
      </c>
      <c r="DM32" s="5">
        <v>20.997479999999999</v>
      </c>
      <c r="DN32" s="5">
        <v>21.606310000000001</v>
      </c>
      <c r="DO32" s="5">
        <v>22.732130000000002</v>
      </c>
      <c r="DP32" s="5">
        <v>19.999210000000001</v>
      </c>
      <c r="DQ32" s="5">
        <v>20.054819999999999</v>
      </c>
      <c r="DR32" s="5">
        <v>17.89631</v>
      </c>
      <c r="DS32" s="5">
        <v>18.8735</v>
      </c>
      <c r="DT32" s="5">
        <v>17.87567</v>
      </c>
      <c r="DU32" s="5">
        <v>17.524570000000001</v>
      </c>
      <c r="DV32" s="5">
        <v>16.848929999999999</v>
      </c>
      <c r="DW32" s="5">
        <v>16.53473</v>
      </c>
      <c r="DX32" s="5">
        <v>15.269159999999999</v>
      </c>
      <c r="DY32" s="5">
        <v>15.22888</v>
      </c>
      <c r="DZ32" s="5">
        <v>16.341180000000001</v>
      </c>
      <c r="EA32" s="5">
        <v>18.369630000000001</v>
      </c>
      <c r="EB32" s="5">
        <v>17.207360000000001</v>
      </c>
      <c r="EC32" s="5">
        <v>18.103300000000001</v>
      </c>
      <c r="ED32" s="5">
        <v>17.976700000000001</v>
      </c>
      <c r="EE32" s="5">
        <v>18.582429999999999</v>
      </c>
      <c r="EF32" s="5">
        <v>18.902439999999999</v>
      </c>
      <c r="EG32" s="5">
        <v>18.831790000000002</v>
      </c>
      <c r="EH32" s="5">
        <v>19.0244</v>
      </c>
      <c r="EI32" s="5">
        <v>20.312930000000001</v>
      </c>
      <c r="EJ32" s="5">
        <v>19.269300000000001</v>
      </c>
      <c r="EK32" s="5">
        <v>21.085439999999998</v>
      </c>
      <c r="EL32" s="5">
        <v>23.85811</v>
      </c>
      <c r="EM32" s="5">
        <v>24.429790000000001</v>
      </c>
      <c r="EN32" s="5">
        <v>22.241050000000001</v>
      </c>
      <c r="EO32" s="5">
        <v>24.668230000000001</v>
      </c>
      <c r="EP32" s="5">
        <v>24.72569</v>
      </c>
      <c r="EQ32" s="5">
        <v>24.597750000000001</v>
      </c>
      <c r="ER32" s="5">
        <v>23.56495</v>
      </c>
      <c r="ES32" s="5">
        <v>22.342839999999999</v>
      </c>
      <c r="ET32" s="5">
        <v>24.110759999999999</v>
      </c>
      <c r="EU32" s="5">
        <v>15.67357</v>
      </c>
      <c r="EV32" s="5">
        <v>14.25109</v>
      </c>
      <c r="EW32" s="5">
        <v>12.54365</v>
      </c>
      <c r="EX32" s="5">
        <v>13.05902</v>
      </c>
      <c r="EY32" s="5">
        <v>10.32108</v>
      </c>
      <c r="EZ32" s="5">
        <v>10.529540000000001</v>
      </c>
      <c r="FA32" s="5">
        <v>9.1340199999999996</v>
      </c>
      <c r="FB32" s="5">
        <v>10.415570000000001</v>
      </c>
      <c r="FC32" s="5">
        <v>8.5397809999999996</v>
      </c>
      <c r="FD32" s="5">
        <v>9.9523820000000001</v>
      </c>
      <c r="FE32" s="5">
        <v>9.7531300000000005</v>
      </c>
      <c r="FF32" s="5">
        <v>9.0651139999999995</v>
      </c>
      <c r="FG32" s="5">
        <v>10.222429999999999</v>
      </c>
      <c r="FH32" s="5">
        <v>10.178050000000001</v>
      </c>
      <c r="FI32" s="5">
        <v>9.6325280000000006</v>
      </c>
      <c r="FJ32" s="5">
        <v>9.0033919999999998</v>
      </c>
      <c r="FK32" s="5">
        <v>9.7664089999999995</v>
      </c>
      <c r="FL32" s="5">
        <v>9.4534970000000005</v>
      </c>
      <c r="FM32" s="5">
        <v>8.8791960000000003</v>
      </c>
      <c r="FN32" s="5">
        <v>9.0376650000000005</v>
      </c>
      <c r="FO32" s="5">
        <v>8.8180230000000002</v>
      </c>
      <c r="FP32" s="5">
        <v>8.6613500000000005</v>
      </c>
      <c r="FQ32" s="5">
        <v>8.1039180000000002</v>
      </c>
      <c r="FR32" s="5">
        <v>9.0928649999999998</v>
      </c>
      <c r="FS32" s="5">
        <v>7.2093759999999998</v>
      </c>
      <c r="FT32" s="5">
        <v>7.2404780000000004</v>
      </c>
      <c r="FU32" s="5">
        <v>7.5082459999999998</v>
      </c>
      <c r="FV32" s="5">
        <v>7.5275020000000001</v>
      </c>
      <c r="FW32" s="5">
        <v>7.5171710000000003</v>
      </c>
      <c r="FX32" s="5">
        <v>7.5128709999999996</v>
      </c>
      <c r="FY32" s="5">
        <v>6.9394970000000002</v>
      </c>
      <c r="FZ32" s="5">
        <v>7.9631400000000001</v>
      </c>
      <c r="GA32" s="5">
        <v>6.2077369999999998</v>
      </c>
      <c r="GB32" s="5">
        <v>6.5015340000000004</v>
      </c>
      <c r="GC32" s="5">
        <v>6.6792300000000004</v>
      </c>
      <c r="GD32" s="5">
        <v>6.390568</v>
      </c>
      <c r="GE32" s="5">
        <v>8.1078440000000001</v>
      </c>
      <c r="GF32" s="5">
        <v>7.3568210000000001</v>
      </c>
      <c r="GG32" s="5">
        <v>7.7851970000000001</v>
      </c>
      <c r="GH32" s="5">
        <v>8.2575509999999994</v>
      </c>
      <c r="GI32" s="5">
        <v>7.9601829999999998</v>
      </c>
      <c r="GJ32" s="5">
        <v>7.8265320000000003</v>
      </c>
      <c r="GK32" s="5">
        <v>7.6796540000000002</v>
      </c>
      <c r="GL32" s="5">
        <v>6.7608490000000003</v>
      </c>
      <c r="GM32" s="5">
        <v>7.3369450000000001</v>
      </c>
      <c r="GN32" s="5">
        <v>6.9096479999999998</v>
      </c>
      <c r="GO32" s="5">
        <v>6.1197739999999996</v>
      </c>
      <c r="GP32" s="5">
        <v>6.4458029999999997</v>
      </c>
      <c r="GQ32" s="5">
        <v>6.5445169999999999</v>
      </c>
      <c r="GR32" s="5">
        <v>5.9279970000000004</v>
      </c>
      <c r="GS32" s="5">
        <v>5.7623829999999998</v>
      </c>
      <c r="GT32" s="5">
        <v>5.7356930000000004</v>
      </c>
      <c r="GU32" s="5">
        <v>5.4026820000000004</v>
      </c>
      <c r="GV32" s="5">
        <v>5.3384749999999999</v>
      </c>
      <c r="GW32" s="5">
        <v>6.3185560000000001</v>
      </c>
      <c r="GX32" s="5">
        <v>7.0693049999999999</v>
      </c>
      <c r="GY32" s="5">
        <v>8.5229250000000008</v>
      </c>
      <c r="GZ32" s="5">
        <v>9.973058</v>
      </c>
      <c r="HA32" s="5">
        <v>11.479520000000001</v>
      </c>
      <c r="HB32" s="6">
        <v>11.51282</v>
      </c>
      <c r="HC32" s="6">
        <v>11.130269999999999</v>
      </c>
      <c r="HD32" s="6">
        <v>11.12528</v>
      </c>
      <c r="HE32" s="6">
        <v>10.93641</v>
      </c>
      <c r="HF32" s="6">
        <v>10.741020000000001</v>
      </c>
      <c r="HG32" s="6">
        <v>10.42374</v>
      </c>
      <c r="HH32" s="6">
        <v>10.384</v>
      </c>
      <c r="HI32" s="6">
        <v>10.223890000000001</v>
      </c>
      <c r="HJ32" s="6">
        <v>10.07047</v>
      </c>
      <c r="HK32" s="6">
        <v>9.7794399999999992</v>
      </c>
      <c r="HL32" s="6">
        <v>9.6992569999999994</v>
      </c>
      <c r="HM32" s="6">
        <v>9.5388750000000009</v>
      </c>
      <c r="HN32" s="6">
        <v>9.3813340000000007</v>
      </c>
      <c r="HO32" s="6">
        <v>9.1277120000000007</v>
      </c>
      <c r="HP32" s="6">
        <v>9.0109829999999995</v>
      </c>
      <c r="HQ32" s="6">
        <v>8.9580230000000007</v>
      </c>
      <c r="HR32" s="6">
        <v>8.9680759999999999</v>
      </c>
      <c r="HS32" s="6">
        <v>8.9145520000000005</v>
      </c>
      <c r="HT32" s="6">
        <v>8.9781359999999992</v>
      </c>
      <c r="HU32" s="6">
        <v>8.9885540000000006</v>
      </c>
      <c r="HV32" s="6">
        <v>9.0001259999999998</v>
      </c>
      <c r="HW32" s="6">
        <v>8.9468879999999995</v>
      </c>
      <c r="HX32" s="6">
        <v>9.0125430000000009</v>
      </c>
      <c r="HY32" s="6">
        <v>9.0243420000000008</v>
      </c>
      <c r="HZ32" s="6">
        <v>9.0360429999999994</v>
      </c>
      <c r="IA32" s="6">
        <v>8.9826560000000004</v>
      </c>
      <c r="IB32" s="6">
        <v>9.0522849999999995</v>
      </c>
      <c r="IC32" s="6">
        <v>9.0491320000000002</v>
      </c>
      <c r="ID32" s="6">
        <v>9.0453539999999997</v>
      </c>
      <c r="IE32" s="6">
        <v>9.0050989999999995</v>
      </c>
      <c r="IF32" s="6">
        <v>9.0727650000000004</v>
      </c>
      <c r="IG32" s="6">
        <v>9.0695739999999994</v>
      </c>
      <c r="IH32" s="6">
        <v>9.0687770000000008</v>
      </c>
      <c r="II32" s="6">
        <v>9.0275979999999993</v>
      </c>
      <c r="IJ32" s="6">
        <v>9.0983450000000001</v>
      </c>
      <c r="IK32" s="6">
        <v>9.0946119999999997</v>
      </c>
      <c r="IL32" s="6">
        <v>9.0934550000000005</v>
      </c>
      <c r="IM32" s="6">
        <v>9.0512990000000002</v>
      </c>
      <c r="IN32" s="6">
        <v>9.1221630000000005</v>
      </c>
      <c r="IO32" s="6">
        <v>9.1174820000000008</v>
      </c>
      <c r="IP32" s="6">
        <v>9.1151700000000009</v>
      </c>
      <c r="IQ32" s="6">
        <v>9.0715190000000003</v>
      </c>
      <c r="IR32" s="6">
        <v>9.1424070000000004</v>
      </c>
      <c r="IS32" s="6">
        <v>9.1371420000000008</v>
      </c>
      <c r="IT32" s="6">
        <v>9.1347400000000007</v>
      </c>
      <c r="IU32" s="6">
        <v>9.0915959999999991</v>
      </c>
      <c r="IV32" s="6">
        <v>9.1624490000000005</v>
      </c>
      <c r="IW32" s="6">
        <v>9.1586800000000004</v>
      </c>
      <c r="IX32" s="6">
        <v>9.1543989999999997</v>
      </c>
      <c r="IY32" s="6">
        <v>9.1093209999999996</v>
      </c>
      <c r="IZ32" s="6">
        <v>9.1825379999999992</v>
      </c>
      <c r="JA32" s="6">
        <v>9.1788889999999999</v>
      </c>
      <c r="JB32" s="6">
        <v>9.1745590000000004</v>
      </c>
      <c r="JC32" s="6">
        <v>9.1305390000000006</v>
      </c>
      <c r="JD32" s="6">
        <v>9.2047080000000001</v>
      </c>
      <c r="JE32" s="6">
        <v>9.2019540000000006</v>
      </c>
      <c r="JF32" s="6">
        <v>9.1985449999999993</v>
      </c>
      <c r="JG32" s="6">
        <v>9.1531090000000006</v>
      </c>
      <c r="JH32" s="6">
        <v>9.2269500000000004</v>
      </c>
      <c r="JI32" s="6">
        <v>9.2231179999999995</v>
      </c>
      <c r="JJ32" s="6">
        <v>9.2187319999999993</v>
      </c>
      <c r="JK32" s="6">
        <v>9.1722370000000009</v>
      </c>
      <c r="JL32" s="6">
        <v>9.24648</v>
      </c>
      <c r="JM32" s="6">
        <v>9.2423909999999996</v>
      </c>
      <c r="JN32" s="6">
        <v>9.2377780000000005</v>
      </c>
      <c r="JO32" s="6">
        <v>9.1901430000000008</v>
      </c>
      <c r="JP32" s="6">
        <v>9.2643819999999995</v>
      </c>
      <c r="JQ32" s="6">
        <v>9.2596520000000009</v>
      </c>
      <c r="JR32" s="6">
        <v>9.254429</v>
      </c>
      <c r="JS32" s="6">
        <v>9.2059239999999996</v>
      </c>
      <c r="JT32" s="6">
        <v>9.2803470000000008</v>
      </c>
      <c r="JU32" s="6">
        <v>9.2751470000000005</v>
      </c>
      <c r="JV32" s="6">
        <v>9.2693809999999992</v>
      </c>
      <c r="JW32" s="6">
        <v>9.2199880000000007</v>
      </c>
      <c r="JX32" s="6">
        <v>9.2941400000000005</v>
      </c>
      <c r="JY32" s="6">
        <v>9.2881450000000001</v>
      </c>
      <c r="JZ32" s="6">
        <v>9.2816089999999996</v>
      </c>
      <c r="KA32" s="6">
        <v>9.2317149999999994</v>
      </c>
      <c r="KB32" s="6">
        <v>9.3060930000000006</v>
      </c>
      <c r="KC32" s="6">
        <v>9.2999270000000003</v>
      </c>
      <c r="KD32" s="6">
        <v>9.2932430000000004</v>
      </c>
      <c r="KE32" s="6">
        <v>9.2430040000000009</v>
      </c>
      <c r="KF32" s="6">
        <v>9.3177459999999996</v>
      </c>
      <c r="KG32" s="6">
        <v>9.3115360000000003</v>
      </c>
      <c r="KH32" s="6">
        <v>9.3048230000000007</v>
      </c>
      <c r="KI32" s="6">
        <v>9.2543249999999997</v>
      </c>
      <c r="KJ32" s="6">
        <v>9.329504</v>
      </c>
      <c r="KK32" s="6">
        <v>9.3233069999999998</v>
      </c>
      <c r="KL32" s="6">
        <v>9.3166180000000001</v>
      </c>
      <c r="KM32" s="6">
        <v>9.2659029999999998</v>
      </c>
      <c r="KN32" s="6">
        <v>9.3415730000000003</v>
      </c>
      <c r="KO32" s="6">
        <v>9.3354269999999993</v>
      </c>
      <c r="KP32" s="6">
        <v>9.3287890000000004</v>
      </c>
      <c r="KQ32" s="6">
        <v>9.2778720000000003</v>
      </c>
      <c r="KR32" s="6">
        <v>9.3540749999999999</v>
      </c>
      <c r="KS32" s="6">
        <v>9.3479980000000005</v>
      </c>
      <c r="KT32" s="6">
        <v>9.3414230000000007</v>
      </c>
      <c r="KU32" s="6">
        <v>9.2903079999999996</v>
      </c>
      <c r="KV32" s="6">
        <v>9.3670770000000001</v>
      </c>
      <c r="KW32" s="6">
        <v>9.3610729999999993</v>
      </c>
      <c r="KX32" s="6">
        <v>9.3545759999999998</v>
      </c>
      <c r="KY32" s="6">
        <v>9.3032559999999993</v>
      </c>
      <c r="KZ32" s="6">
        <v>9.3806209999999997</v>
      </c>
      <c r="LA32" s="6">
        <v>9.3747039999999995</v>
      </c>
      <c r="LB32" s="6">
        <v>9.3682839999999992</v>
      </c>
      <c r="LC32" s="6">
        <v>9.3167550000000006</v>
      </c>
      <c r="LD32" s="6">
        <v>9.3947509999999994</v>
      </c>
      <c r="LE32" s="6">
        <v>9.3889150000000008</v>
      </c>
      <c r="LF32" s="6">
        <v>9.3825839999999996</v>
      </c>
      <c r="LG32" s="2" t="s">
        <v>335</v>
      </c>
      <c r="LH32" s="2" t="s">
        <v>336</v>
      </c>
      <c r="LI32" s="2" t="s">
        <v>338</v>
      </c>
      <c r="LJ32" s="2" t="s">
        <v>338</v>
      </c>
      <c r="LK32" s="2" t="s">
        <v>339</v>
      </c>
      <c r="LL32" s="2" t="s">
        <v>349</v>
      </c>
      <c r="LM32" s="2" t="s">
        <v>338</v>
      </c>
      <c r="LN32" s="4" t="s">
        <v>586</v>
      </c>
      <c r="LO32" s="4" t="s">
        <v>587</v>
      </c>
      <c r="LP32" s="2" t="s">
        <v>343</v>
      </c>
      <c r="LQ32" s="2" t="s">
        <v>588</v>
      </c>
      <c r="LR32" s="4" t="s">
        <v>659</v>
      </c>
      <c r="LS32"/>
      <c r="LT32"/>
      <c r="LU32"/>
      <c r="LV32"/>
      <c r="LW32"/>
      <c r="LX32"/>
    </row>
    <row r="33" spans="1:336" x14ac:dyDescent="0.35">
      <c r="A33" s="2" t="s">
        <v>330</v>
      </c>
      <c r="B33" s="2" t="s">
        <v>589</v>
      </c>
      <c r="C33" s="4" t="s">
        <v>658</v>
      </c>
      <c r="D33" s="2" t="s">
        <v>406</v>
      </c>
      <c r="E33" s="2" t="s">
        <v>338</v>
      </c>
      <c r="F33" s="2" t="s">
        <v>334</v>
      </c>
      <c r="G33" s="5">
        <v>633012.6</v>
      </c>
      <c r="H33" s="5">
        <v>649616.80000000005</v>
      </c>
      <c r="I33" s="5">
        <v>666220.9</v>
      </c>
      <c r="J33" s="5">
        <v>682823.9</v>
      </c>
      <c r="K33" s="5">
        <v>699428</v>
      </c>
      <c r="L33" s="5">
        <v>699100.2</v>
      </c>
      <c r="M33" s="5">
        <v>698771.2</v>
      </c>
      <c r="N33" s="5">
        <v>698443.3</v>
      </c>
      <c r="O33" s="5">
        <v>698114.3</v>
      </c>
      <c r="P33" s="5">
        <v>696324.6</v>
      </c>
      <c r="Q33" s="5">
        <v>694534.9</v>
      </c>
      <c r="R33" s="5">
        <v>692745.3</v>
      </c>
      <c r="S33" s="5">
        <v>690955.6</v>
      </c>
      <c r="T33" s="5">
        <v>699542.3</v>
      </c>
      <c r="U33" s="5">
        <v>708129.1</v>
      </c>
      <c r="V33" s="5">
        <v>716715.8</v>
      </c>
      <c r="W33" s="5">
        <v>725302.6</v>
      </c>
      <c r="X33" s="5">
        <v>726910.3</v>
      </c>
      <c r="Y33" s="5">
        <v>728517.9</v>
      </c>
      <c r="Z33" s="5">
        <v>730125.6</v>
      </c>
      <c r="AA33" s="5">
        <v>731733.3</v>
      </c>
      <c r="AB33" s="5">
        <v>750688.3</v>
      </c>
      <c r="AC33" s="5">
        <v>769643.3</v>
      </c>
      <c r="AD33" s="5">
        <v>788598.2</v>
      </c>
      <c r="AE33" s="5">
        <v>807553.2</v>
      </c>
      <c r="AF33" s="5">
        <v>817614.6</v>
      </c>
      <c r="AG33" s="5">
        <v>827674.9</v>
      </c>
      <c r="AH33" s="5">
        <v>837736.3</v>
      </c>
      <c r="AI33" s="5">
        <v>847796.5</v>
      </c>
      <c r="AJ33" s="5">
        <v>857750.6</v>
      </c>
      <c r="AK33" s="5">
        <v>867704.7</v>
      </c>
      <c r="AL33" s="5">
        <v>877658.8</v>
      </c>
      <c r="AM33" s="5">
        <v>887612.8</v>
      </c>
      <c r="AN33" s="5">
        <v>895791.2</v>
      </c>
      <c r="AO33" s="5">
        <v>903970.8</v>
      </c>
      <c r="AP33" s="5">
        <v>912149.2</v>
      </c>
      <c r="AQ33" s="5">
        <v>920327.6</v>
      </c>
      <c r="AR33" s="5">
        <v>925861.1</v>
      </c>
      <c r="AS33" s="5">
        <v>931394.7</v>
      </c>
      <c r="AT33" s="5">
        <v>936927.1</v>
      </c>
      <c r="AU33" s="5">
        <v>942460.6</v>
      </c>
      <c r="AV33" s="5">
        <v>956456</v>
      </c>
      <c r="AW33" s="5">
        <v>970451.4</v>
      </c>
      <c r="AX33" s="5">
        <v>984445.8</v>
      </c>
      <c r="AY33" s="5">
        <v>968681.6</v>
      </c>
      <c r="AZ33" s="5">
        <v>986321.8</v>
      </c>
      <c r="BA33" s="5">
        <v>1009445</v>
      </c>
      <c r="BB33" s="5">
        <v>1030161</v>
      </c>
      <c r="BC33" s="5">
        <v>994203.8</v>
      </c>
      <c r="BD33" s="5">
        <v>974898.8</v>
      </c>
      <c r="BE33" s="5">
        <v>961132.1</v>
      </c>
      <c r="BF33" s="5">
        <v>979749.9</v>
      </c>
      <c r="BG33" s="5">
        <v>932132</v>
      </c>
      <c r="BH33" s="5">
        <v>911838.8</v>
      </c>
      <c r="BI33" s="5">
        <v>923373.8</v>
      </c>
      <c r="BJ33" s="5">
        <v>951327.3</v>
      </c>
      <c r="BK33" s="5">
        <v>959999.3</v>
      </c>
      <c r="BL33" s="5">
        <v>954459.8</v>
      </c>
      <c r="BM33" s="5">
        <v>966882.6</v>
      </c>
      <c r="BN33" s="5">
        <v>1001648</v>
      </c>
      <c r="BO33" s="5">
        <v>1020053</v>
      </c>
      <c r="BP33" s="5">
        <v>1029759</v>
      </c>
      <c r="BQ33" s="5">
        <v>1038479</v>
      </c>
      <c r="BR33" s="5">
        <v>1065414</v>
      </c>
      <c r="BS33" s="5">
        <v>1082342</v>
      </c>
      <c r="BT33" s="5">
        <v>1084234</v>
      </c>
      <c r="BU33" s="5">
        <v>1109908</v>
      </c>
      <c r="BV33" s="5">
        <v>1122428</v>
      </c>
      <c r="BW33" s="5">
        <v>1128570</v>
      </c>
      <c r="BX33" s="5">
        <v>1112252</v>
      </c>
      <c r="BY33" s="5">
        <v>1140950</v>
      </c>
      <c r="BZ33" s="5">
        <v>1157949</v>
      </c>
      <c r="CA33" s="5">
        <v>1161971</v>
      </c>
      <c r="CB33" s="5">
        <v>1110906</v>
      </c>
      <c r="CC33" s="5">
        <v>1111841</v>
      </c>
      <c r="CD33" s="5">
        <v>1128075</v>
      </c>
      <c r="CE33" s="5">
        <v>1113301</v>
      </c>
      <c r="CF33" s="5">
        <v>1084548</v>
      </c>
      <c r="CG33" s="5">
        <v>1081996</v>
      </c>
      <c r="CH33" s="5">
        <v>1079645</v>
      </c>
      <c r="CI33" s="5">
        <v>1071457</v>
      </c>
      <c r="CJ33" s="5">
        <v>1063104</v>
      </c>
      <c r="CK33" s="5">
        <v>1064463</v>
      </c>
      <c r="CL33" s="5">
        <v>1065885</v>
      </c>
      <c r="CM33" s="5">
        <v>1060446</v>
      </c>
      <c r="CN33" s="5">
        <v>1061492</v>
      </c>
      <c r="CO33" s="5">
        <v>1067287</v>
      </c>
      <c r="CP33" s="5">
        <v>1075297</v>
      </c>
      <c r="CQ33" s="5">
        <v>1085465</v>
      </c>
      <c r="CR33" s="5">
        <v>1093936</v>
      </c>
      <c r="CS33" s="5">
        <v>1107742</v>
      </c>
      <c r="CT33" s="5">
        <v>1122948</v>
      </c>
      <c r="CU33" s="5">
        <v>1136325</v>
      </c>
      <c r="CV33" s="5">
        <v>1160162</v>
      </c>
      <c r="CW33" s="5">
        <v>1183565</v>
      </c>
      <c r="CX33" s="5">
        <v>1191502</v>
      </c>
      <c r="CY33" s="5">
        <v>1200707</v>
      </c>
      <c r="CZ33" s="5">
        <v>1228699</v>
      </c>
      <c r="DA33" s="5">
        <v>1258865</v>
      </c>
      <c r="DB33" s="5">
        <v>1282453</v>
      </c>
      <c r="DC33" s="5">
        <v>1303905</v>
      </c>
      <c r="DD33" s="5">
        <v>1333957</v>
      </c>
      <c r="DE33" s="5">
        <v>1360423</v>
      </c>
      <c r="DF33" s="5">
        <v>1384284</v>
      </c>
      <c r="DG33" s="5">
        <v>1406237</v>
      </c>
      <c r="DH33" s="5">
        <v>1434096</v>
      </c>
      <c r="DI33" s="5">
        <v>1453525</v>
      </c>
      <c r="DJ33" s="5">
        <v>1475346</v>
      </c>
      <c r="DK33" s="5">
        <v>1524406</v>
      </c>
      <c r="DL33" s="5">
        <v>1524406</v>
      </c>
      <c r="DM33" s="5">
        <v>1551192</v>
      </c>
      <c r="DN33" s="5">
        <v>1570851</v>
      </c>
      <c r="DO33" s="5">
        <v>1598029</v>
      </c>
      <c r="DP33" s="5">
        <v>1604143</v>
      </c>
      <c r="DQ33" s="5">
        <v>1616533</v>
      </c>
      <c r="DR33" s="5">
        <v>1630214</v>
      </c>
      <c r="DS33" s="5">
        <v>1643809</v>
      </c>
      <c r="DT33" s="5">
        <v>1667508</v>
      </c>
      <c r="DU33" s="5">
        <v>1700092</v>
      </c>
      <c r="DV33" s="5">
        <v>1744130</v>
      </c>
      <c r="DW33" s="5">
        <v>1787882</v>
      </c>
      <c r="DX33" s="5">
        <v>1852822</v>
      </c>
      <c r="DY33" s="5">
        <v>1919294</v>
      </c>
      <c r="DZ33" s="5">
        <v>2021775</v>
      </c>
      <c r="EA33" s="5">
        <v>2021775</v>
      </c>
      <c r="EB33" s="5">
        <v>2063280</v>
      </c>
      <c r="EC33" s="5">
        <v>2099452</v>
      </c>
      <c r="ED33" s="5">
        <v>2135316</v>
      </c>
      <c r="EE33" s="5">
        <v>2172188</v>
      </c>
      <c r="EF33" s="5">
        <v>2213259</v>
      </c>
      <c r="EG33" s="5">
        <v>2252698</v>
      </c>
      <c r="EH33" s="5">
        <v>2292264</v>
      </c>
      <c r="EI33" s="5">
        <v>2330553</v>
      </c>
      <c r="EJ33" s="5">
        <v>2498672</v>
      </c>
      <c r="EK33" s="5">
        <v>2539230</v>
      </c>
      <c r="EL33" s="5">
        <v>2470554</v>
      </c>
      <c r="EM33" s="5">
        <v>2536176</v>
      </c>
      <c r="EN33" s="5">
        <v>2620625</v>
      </c>
      <c r="EO33" s="5">
        <v>2645138</v>
      </c>
      <c r="EP33" s="5">
        <v>2666343</v>
      </c>
      <c r="EQ33" s="5">
        <v>2672102</v>
      </c>
      <c r="ER33" s="5">
        <v>2732427</v>
      </c>
      <c r="ES33" s="5">
        <v>2733724</v>
      </c>
      <c r="ET33" s="5">
        <v>2657020</v>
      </c>
      <c r="EU33" s="5">
        <v>2567961</v>
      </c>
      <c r="EV33" s="5">
        <v>2534404</v>
      </c>
      <c r="EW33" s="5">
        <v>2557317</v>
      </c>
      <c r="EX33" s="5">
        <v>2561722</v>
      </c>
      <c r="EY33" s="5">
        <v>2570325</v>
      </c>
      <c r="EZ33" s="5">
        <v>2606206</v>
      </c>
      <c r="FA33" s="5">
        <v>2620453</v>
      </c>
      <c r="FB33" s="5">
        <v>2644201</v>
      </c>
      <c r="FC33" s="5">
        <v>2686157</v>
      </c>
      <c r="FD33" s="5">
        <v>2724390</v>
      </c>
      <c r="FE33" s="5">
        <v>2767825</v>
      </c>
      <c r="FF33" s="5">
        <v>2798979</v>
      </c>
      <c r="FG33" s="5">
        <v>2857254</v>
      </c>
      <c r="FH33" s="5">
        <v>2897824</v>
      </c>
      <c r="FI33" s="5">
        <v>2938878</v>
      </c>
      <c r="FJ33" s="5">
        <v>2994716</v>
      </c>
      <c r="FK33" s="5">
        <v>3044710</v>
      </c>
      <c r="FL33" s="5">
        <v>3102781</v>
      </c>
      <c r="FM33" s="5">
        <v>3147503</v>
      </c>
      <c r="FN33" s="5">
        <v>3182693</v>
      </c>
      <c r="FO33" s="5">
        <v>3250510</v>
      </c>
      <c r="FP33" s="5">
        <v>3307118</v>
      </c>
      <c r="FQ33" s="5">
        <v>3348517</v>
      </c>
      <c r="FR33" s="5">
        <v>3394007</v>
      </c>
      <c r="FS33" s="5">
        <v>3464155</v>
      </c>
      <c r="FT33" s="5">
        <v>3533346</v>
      </c>
      <c r="FU33" s="5">
        <v>3588482</v>
      </c>
      <c r="FV33" s="5">
        <v>3639289</v>
      </c>
      <c r="FW33" s="5">
        <v>3678860</v>
      </c>
      <c r="FX33" s="5">
        <v>3741883</v>
      </c>
      <c r="FY33" s="5">
        <v>3795682</v>
      </c>
      <c r="FZ33" s="5">
        <v>3833469</v>
      </c>
      <c r="GA33" s="5">
        <v>3896755</v>
      </c>
      <c r="GB33" s="5">
        <v>3936403</v>
      </c>
      <c r="GC33" s="5">
        <v>3961786</v>
      </c>
      <c r="GD33" s="5">
        <v>3993232</v>
      </c>
      <c r="GE33" s="5">
        <v>4033355</v>
      </c>
      <c r="GF33" s="5">
        <v>4075891</v>
      </c>
      <c r="GG33" s="5">
        <v>4111057</v>
      </c>
      <c r="GH33" s="5">
        <v>4159466</v>
      </c>
      <c r="GI33" s="5">
        <v>4202044</v>
      </c>
      <c r="GJ33" s="5">
        <v>4237994</v>
      </c>
      <c r="GK33" s="5">
        <v>4279972</v>
      </c>
      <c r="GL33" s="5">
        <v>4316395</v>
      </c>
      <c r="GM33" s="5">
        <v>4350913</v>
      </c>
      <c r="GN33" s="5">
        <v>4513392</v>
      </c>
      <c r="GO33" s="5">
        <v>4633649</v>
      </c>
      <c r="GP33" s="5">
        <v>4674672</v>
      </c>
      <c r="GQ33" s="5">
        <v>4716126</v>
      </c>
      <c r="GR33" s="5">
        <v>4792548</v>
      </c>
      <c r="GS33" s="5">
        <v>4816823</v>
      </c>
      <c r="GT33" s="5">
        <v>4837908</v>
      </c>
      <c r="GU33" s="5">
        <v>4894356</v>
      </c>
      <c r="GV33" s="5">
        <v>4942454</v>
      </c>
      <c r="GW33" s="5">
        <v>4988861</v>
      </c>
      <c r="GX33" s="5">
        <v>5053281</v>
      </c>
      <c r="GY33" s="5">
        <v>5116743</v>
      </c>
      <c r="GZ33" s="5">
        <v>5154835</v>
      </c>
      <c r="HA33" s="5">
        <v>5213416</v>
      </c>
      <c r="HB33" s="5">
        <v>5267187</v>
      </c>
      <c r="HC33" s="6">
        <v>5361409</v>
      </c>
      <c r="HD33" s="6">
        <v>5441301</v>
      </c>
      <c r="HE33" s="6">
        <v>5509174</v>
      </c>
      <c r="HF33" s="6">
        <v>5558060</v>
      </c>
      <c r="HG33" s="6">
        <v>5638123</v>
      </c>
      <c r="HH33" s="6">
        <v>5700941</v>
      </c>
      <c r="HI33" s="6">
        <v>5752197</v>
      </c>
      <c r="HJ33" s="6">
        <v>5787848</v>
      </c>
      <c r="HK33" s="6">
        <v>5857285</v>
      </c>
      <c r="HL33" s="6">
        <v>5913473</v>
      </c>
      <c r="HM33" s="6">
        <v>5961537</v>
      </c>
      <c r="HN33" s="6">
        <v>5996719</v>
      </c>
      <c r="HO33" s="6">
        <v>6069570</v>
      </c>
      <c r="HP33" s="6">
        <v>6131217</v>
      </c>
      <c r="HQ33" s="6">
        <v>6186367</v>
      </c>
      <c r="HR33" s="6">
        <v>6229397</v>
      </c>
      <c r="HS33" s="6">
        <v>6313440</v>
      </c>
      <c r="HT33" s="6">
        <v>6385837</v>
      </c>
      <c r="HU33" s="6">
        <v>6451129</v>
      </c>
      <c r="HV33" s="6">
        <v>6502879</v>
      </c>
      <c r="HW33" s="6">
        <v>6597724</v>
      </c>
      <c r="HX33" s="6">
        <v>6679062</v>
      </c>
      <c r="HY33" s="6">
        <v>6751683</v>
      </c>
      <c r="HZ33" s="6">
        <v>6808803</v>
      </c>
      <c r="IA33" s="6">
        <v>6910307</v>
      </c>
      <c r="IB33" s="6">
        <v>6996501</v>
      </c>
      <c r="IC33" s="6">
        <v>7072625</v>
      </c>
      <c r="ID33" s="6">
        <v>7131799</v>
      </c>
      <c r="IE33" s="6">
        <v>7236704</v>
      </c>
      <c r="IF33" s="6">
        <v>7325225</v>
      </c>
      <c r="IG33" s="6">
        <v>7403042</v>
      </c>
      <c r="IH33" s="6">
        <v>7463190</v>
      </c>
      <c r="II33" s="6">
        <v>7570980</v>
      </c>
      <c r="IJ33" s="6">
        <v>7661899</v>
      </c>
      <c r="IK33" s="6">
        <v>7741902</v>
      </c>
      <c r="IL33" s="6">
        <v>7803738</v>
      </c>
      <c r="IM33" s="6">
        <v>7915464</v>
      </c>
      <c r="IN33" s="6">
        <v>8009819</v>
      </c>
      <c r="IO33" s="6">
        <v>8092970</v>
      </c>
      <c r="IP33" s="6">
        <v>8157304</v>
      </c>
      <c r="IQ33" s="6">
        <v>8273882</v>
      </c>
      <c r="IR33" s="6">
        <v>8372424</v>
      </c>
      <c r="IS33" s="6">
        <v>8459348</v>
      </c>
      <c r="IT33" s="6">
        <v>8526662</v>
      </c>
      <c r="IU33" s="6">
        <v>8648644</v>
      </c>
      <c r="IV33" s="6">
        <v>8751791</v>
      </c>
      <c r="IW33" s="6">
        <v>8842798</v>
      </c>
      <c r="IX33" s="6">
        <v>8913306</v>
      </c>
      <c r="IY33" s="6">
        <v>9041002</v>
      </c>
      <c r="IZ33" s="6">
        <v>9149006</v>
      </c>
      <c r="JA33" s="6">
        <v>9244319</v>
      </c>
      <c r="JB33" s="6">
        <v>9318192</v>
      </c>
      <c r="JC33" s="6">
        <v>9451879</v>
      </c>
      <c r="JD33" s="6">
        <v>9564965</v>
      </c>
      <c r="JE33" s="6">
        <v>9664762</v>
      </c>
      <c r="JF33" s="6">
        <v>9742120</v>
      </c>
      <c r="JG33" s="6">
        <v>9882016</v>
      </c>
      <c r="JH33" s="6">
        <v>10000360</v>
      </c>
      <c r="JI33" s="6">
        <v>10104800</v>
      </c>
      <c r="JJ33" s="6">
        <v>10185780</v>
      </c>
      <c r="JK33" s="6">
        <v>10332170</v>
      </c>
      <c r="JL33" s="6">
        <v>10456020</v>
      </c>
      <c r="JM33" s="6">
        <v>10565340</v>
      </c>
      <c r="JN33" s="6">
        <v>10650110</v>
      </c>
      <c r="JO33" s="6">
        <v>10803270</v>
      </c>
      <c r="JP33" s="6">
        <v>10932850</v>
      </c>
      <c r="JQ33" s="6">
        <v>11047220</v>
      </c>
      <c r="JR33" s="6">
        <v>11135920</v>
      </c>
      <c r="JS33" s="6">
        <v>11296110</v>
      </c>
      <c r="JT33" s="6">
        <v>11431630</v>
      </c>
      <c r="JU33" s="6">
        <v>11551210</v>
      </c>
      <c r="JV33" s="6">
        <v>11643930</v>
      </c>
      <c r="JW33" s="6">
        <v>11811360</v>
      </c>
      <c r="JX33" s="6">
        <v>11952970</v>
      </c>
      <c r="JY33" s="6">
        <v>12077920</v>
      </c>
      <c r="JZ33" s="6">
        <v>12174760</v>
      </c>
      <c r="KA33" s="6">
        <v>12349690</v>
      </c>
      <c r="KB33" s="6">
        <v>12497630</v>
      </c>
      <c r="KC33" s="6">
        <v>12628140</v>
      </c>
      <c r="KD33" s="6">
        <v>12729280</v>
      </c>
      <c r="KE33" s="6">
        <v>12912030</v>
      </c>
      <c r="KF33" s="6">
        <v>13066570</v>
      </c>
      <c r="KG33" s="6">
        <v>13202880</v>
      </c>
      <c r="KH33" s="6">
        <v>13308490</v>
      </c>
      <c r="KI33" s="6">
        <v>13499400</v>
      </c>
      <c r="KJ33" s="6">
        <v>13660800</v>
      </c>
      <c r="KK33" s="6">
        <v>13803150</v>
      </c>
      <c r="KL33" s="6">
        <v>13913410</v>
      </c>
      <c r="KM33" s="6">
        <v>14112790</v>
      </c>
      <c r="KN33" s="6">
        <v>14281330</v>
      </c>
      <c r="KO33" s="6">
        <v>14429940</v>
      </c>
      <c r="KP33" s="6">
        <v>14545000</v>
      </c>
      <c r="KQ33" s="6">
        <v>14753180</v>
      </c>
      <c r="KR33" s="6">
        <v>14929120</v>
      </c>
      <c r="KS33" s="6">
        <v>15084230</v>
      </c>
      <c r="KT33" s="6">
        <v>15204260</v>
      </c>
      <c r="KU33" s="6">
        <v>15421580</v>
      </c>
      <c r="KV33" s="6">
        <v>15605200</v>
      </c>
      <c r="KW33" s="6">
        <v>15767030</v>
      </c>
      <c r="KX33" s="6">
        <v>15892210</v>
      </c>
      <c r="KY33" s="6">
        <v>16119010</v>
      </c>
      <c r="KZ33" s="6">
        <v>16310580</v>
      </c>
      <c r="LA33" s="6">
        <v>16479380</v>
      </c>
      <c r="LB33" s="6">
        <v>16609880</v>
      </c>
      <c r="LC33" s="6">
        <v>16846510</v>
      </c>
      <c r="LD33" s="6">
        <v>17046330</v>
      </c>
      <c r="LE33" s="6">
        <v>17222340</v>
      </c>
      <c r="LF33" s="6">
        <v>17358320</v>
      </c>
      <c r="LG33" s="2" t="s">
        <v>572</v>
      </c>
      <c r="LH33" s="2" t="s">
        <v>348</v>
      </c>
      <c r="LI33" s="2" t="s">
        <v>338</v>
      </c>
      <c r="LJ33" s="2" t="s">
        <v>338</v>
      </c>
      <c r="LK33" s="2" t="s">
        <v>339</v>
      </c>
      <c r="LL33" s="2" t="s">
        <v>623</v>
      </c>
      <c r="LM33" s="2" t="s">
        <v>338</v>
      </c>
      <c r="LN33" s="2" t="s">
        <v>590</v>
      </c>
      <c r="LO33" s="2" t="s">
        <v>338</v>
      </c>
      <c r="LP33" s="2" t="s">
        <v>343</v>
      </c>
      <c r="LQ33" s="2" t="s">
        <v>591</v>
      </c>
      <c r="LR33" s="4" t="s">
        <v>659</v>
      </c>
      <c r="LS33"/>
      <c r="LT33"/>
      <c r="LU33"/>
      <c r="LV33"/>
      <c r="LW33"/>
      <c r="LX33"/>
    </row>
    <row r="34" spans="1:336" x14ac:dyDescent="0.35">
      <c r="A34" s="2" t="s">
        <v>330</v>
      </c>
      <c r="B34" s="2" t="s">
        <v>592</v>
      </c>
      <c r="C34" s="4" t="s">
        <v>658</v>
      </c>
      <c r="D34" s="2" t="s">
        <v>332</v>
      </c>
      <c r="E34" s="2" t="s">
        <v>333</v>
      </c>
      <c r="F34" s="2" t="s">
        <v>334</v>
      </c>
      <c r="G34" s="5">
        <v>727</v>
      </c>
      <c r="H34" s="5">
        <v>761</v>
      </c>
      <c r="I34" s="5">
        <v>804</v>
      </c>
      <c r="J34" s="5">
        <v>865</v>
      </c>
      <c r="K34" s="5">
        <v>898</v>
      </c>
      <c r="L34" s="5">
        <v>969</v>
      </c>
      <c r="M34" s="5">
        <v>1042</v>
      </c>
      <c r="N34" s="5">
        <v>1129</v>
      </c>
      <c r="O34" s="5">
        <v>1190</v>
      </c>
      <c r="P34" s="5">
        <v>1262</v>
      </c>
      <c r="Q34" s="5">
        <v>1342</v>
      </c>
      <c r="R34" s="5">
        <v>1422</v>
      </c>
      <c r="S34" s="5">
        <v>1467</v>
      </c>
      <c r="T34" s="5">
        <v>1525</v>
      </c>
      <c r="U34" s="5">
        <v>1585</v>
      </c>
      <c r="V34" s="5">
        <v>1652</v>
      </c>
      <c r="W34" s="5">
        <v>1705</v>
      </c>
      <c r="X34" s="5">
        <v>1760</v>
      </c>
      <c r="Y34" s="5">
        <v>1824</v>
      </c>
      <c r="Z34" s="5">
        <v>1885</v>
      </c>
      <c r="AA34" s="5">
        <v>1926</v>
      </c>
      <c r="AB34" s="5">
        <v>1987</v>
      </c>
      <c r="AC34" s="5">
        <v>2054</v>
      </c>
      <c r="AD34" s="5">
        <v>2123</v>
      </c>
      <c r="AE34" s="5">
        <v>2191</v>
      </c>
      <c r="AF34" s="5">
        <v>2279</v>
      </c>
      <c r="AG34" s="5">
        <v>2390</v>
      </c>
      <c r="AH34" s="5">
        <v>2531</v>
      </c>
      <c r="AI34" s="5">
        <v>2656</v>
      </c>
      <c r="AJ34" s="5">
        <v>2802</v>
      </c>
      <c r="AK34" s="5">
        <v>2939</v>
      </c>
      <c r="AL34" s="5">
        <v>3037</v>
      </c>
      <c r="AM34" s="5">
        <v>3089</v>
      </c>
      <c r="AN34" s="5">
        <v>3163</v>
      </c>
      <c r="AO34" s="5">
        <v>3223</v>
      </c>
      <c r="AP34" s="5">
        <v>3274</v>
      </c>
      <c r="AQ34" s="5">
        <v>3306</v>
      </c>
      <c r="AR34" s="5">
        <v>3350</v>
      </c>
      <c r="AS34" s="5">
        <v>3397</v>
      </c>
      <c r="AT34" s="5">
        <v>3447</v>
      </c>
      <c r="AU34" s="5">
        <v>3454</v>
      </c>
      <c r="AV34" s="5">
        <v>3494</v>
      </c>
      <c r="AW34" s="5">
        <v>3549</v>
      </c>
      <c r="AX34" s="5">
        <v>3619</v>
      </c>
      <c r="AY34" s="5">
        <v>3644</v>
      </c>
      <c r="AZ34" s="5">
        <v>3709</v>
      </c>
      <c r="BA34" s="5">
        <v>3776</v>
      </c>
      <c r="BB34" s="5">
        <v>3688</v>
      </c>
      <c r="BC34" s="5">
        <v>3440</v>
      </c>
      <c r="BD34" s="5">
        <v>3502</v>
      </c>
      <c r="BE34" s="5">
        <v>3568</v>
      </c>
      <c r="BF34" s="5">
        <v>3630</v>
      </c>
      <c r="BG34" s="5">
        <v>3687</v>
      </c>
      <c r="BH34" s="5">
        <v>3755</v>
      </c>
      <c r="BI34" s="5">
        <v>3823</v>
      </c>
      <c r="BJ34" s="5">
        <v>3846</v>
      </c>
      <c r="BK34" s="5">
        <v>4436</v>
      </c>
      <c r="BL34" s="5">
        <v>4531</v>
      </c>
      <c r="BM34" s="5">
        <v>4594</v>
      </c>
      <c r="BN34" s="5">
        <v>4658</v>
      </c>
      <c r="BO34" s="5">
        <v>4703</v>
      </c>
      <c r="BP34" s="5">
        <v>4771</v>
      </c>
      <c r="BQ34" s="5">
        <v>4875</v>
      </c>
      <c r="BR34" s="5">
        <v>5007</v>
      </c>
      <c r="BS34" s="5">
        <v>5136</v>
      </c>
      <c r="BT34" s="5">
        <v>5275</v>
      </c>
      <c r="BU34" s="5">
        <v>5404</v>
      </c>
      <c r="BV34" s="5">
        <v>5431</v>
      </c>
      <c r="BW34" s="5">
        <v>5512</v>
      </c>
      <c r="BX34" s="5">
        <v>5587</v>
      </c>
      <c r="BY34" s="5">
        <v>5651</v>
      </c>
      <c r="BZ34" s="5">
        <v>5079</v>
      </c>
      <c r="CA34" s="5">
        <v>5112</v>
      </c>
      <c r="CB34" s="5">
        <v>5135</v>
      </c>
      <c r="CC34" s="5">
        <v>5163</v>
      </c>
      <c r="CD34" s="5">
        <v>5180</v>
      </c>
      <c r="CE34" s="5">
        <v>5178</v>
      </c>
      <c r="CF34" s="5">
        <v>5184</v>
      </c>
      <c r="CG34" s="5">
        <v>5202</v>
      </c>
      <c r="CH34" s="5">
        <v>5230</v>
      </c>
      <c r="CI34" s="5">
        <v>5233</v>
      </c>
      <c r="CJ34" s="5">
        <v>5249</v>
      </c>
      <c r="CK34" s="5">
        <v>5284</v>
      </c>
      <c r="CL34" s="5">
        <v>5333</v>
      </c>
      <c r="CM34" s="5">
        <v>5371</v>
      </c>
      <c r="CN34" s="5">
        <v>5368</v>
      </c>
      <c r="CO34" s="5">
        <v>5433</v>
      </c>
      <c r="CP34" s="5">
        <v>5283</v>
      </c>
      <c r="CQ34" s="5">
        <v>5317</v>
      </c>
      <c r="CR34" s="5">
        <v>5388</v>
      </c>
      <c r="CS34" s="5">
        <v>5455</v>
      </c>
      <c r="CT34" s="5">
        <v>5523</v>
      </c>
      <c r="CU34" s="5">
        <v>5570</v>
      </c>
      <c r="CV34" s="5">
        <v>5403</v>
      </c>
      <c r="CW34" s="5">
        <v>5401</v>
      </c>
      <c r="CX34" s="5">
        <v>5409</v>
      </c>
      <c r="CY34" s="5">
        <v>5456</v>
      </c>
      <c r="CZ34" s="5">
        <v>5466</v>
      </c>
      <c r="DA34" s="5">
        <v>5510</v>
      </c>
      <c r="DB34" s="5">
        <v>5570</v>
      </c>
      <c r="DC34" s="5">
        <v>5801</v>
      </c>
      <c r="DD34" s="5">
        <v>5651</v>
      </c>
      <c r="DE34" s="5">
        <v>5709</v>
      </c>
      <c r="DF34" s="5">
        <v>5775</v>
      </c>
      <c r="DG34" s="5">
        <v>5876</v>
      </c>
      <c r="DH34" s="5">
        <v>5954</v>
      </c>
      <c r="DI34" s="5">
        <v>6024</v>
      </c>
      <c r="DJ34" s="5">
        <v>6057</v>
      </c>
      <c r="DK34" s="5">
        <v>6156</v>
      </c>
      <c r="DL34" s="5">
        <v>6192</v>
      </c>
      <c r="DM34" s="5">
        <v>6246</v>
      </c>
      <c r="DN34" s="5">
        <v>6328</v>
      </c>
      <c r="DO34" s="5">
        <v>6420</v>
      </c>
      <c r="DP34" s="5">
        <v>6473</v>
      </c>
      <c r="DQ34" s="5">
        <v>6525</v>
      </c>
      <c r="DR34" s="5">
        <v>6608</v>
      </c>
      <c r="DS34" s="5">
        <v>6724</v>
      </c>
      <c r="DT34" s="5">
        <v>6794</v>
      </c>
      <c r="DU34" s="5">
        <v>6891</v>
      </c>
      <c r="DV34" s="5">
        <v>6924</v>
      </c>
      <c r="DW34" s="5">
        <v>7583</v>
      </c>
      <c r="DX34" s="5">
        <v>6927</v>
      </c>
      <c r="DY34" s="5">
        <v>7020</v>
      </c>
      <c r="DZ34" s="5">
        <v>7117</v>
      </c>
      <c r="EA34" s="5">
        <v>7311</v>
      </c>
      <c r="EB34" s="5">
        <v>7313</v>
      </c>
      <c r="EC34" s="5">
        <v>7361</v>
      </c>
      <c r="ED34" s="5">
        <v>7437</v>
      </c>
      <c r="EE34" s="5">
        <v>7733</v>
      </c>
      <c r="EF34" s="5">
        <v>7811</v>
      </c>
      <c r="EG34" s="5">
        <v>7958</v>
      </c>
      <c r="EH34" s="5">
        <v>8091</v>
      </c>
      <c r="EI34" s="5">
        <v>8343</v>
      </c>
      <c r="EJ34" s="5">
        <v>8407</v>
      </c>
      <c r="EK34" s="5">
        <v>8481</v>
      </c>
      <c r="EL34" s="5">
        <v>8569</v>
      </c>
      <c r="EM34" s="5">
        <v>8752</v>
      </c>
      <c r="EN34" s="5">
        <v>8872</v>
      </c>
      <c r="EO34" s="5">
        <v>8991</v>
      </c>
      <c r="EP34" s="5">
        <v>9183</v>
      </c>
      <c r="EQ34" s="5">
        <v>9463</v>
      </c>
      <c r="ER34" s="5">
        <v>9584</v>
      </c>
      <c r="ES34" s="5">
        <v>9907</v>
      </c>
      <c r="ET34" s="5">
        <v>10050</v>
      </c>
      <c r="EU34" s="5">
        <v>10390</v>
      </c>
      <c r="EV34" s="5">
        <v>10403</v>
      </c>
      <c r="EW34" s="5">
        <v>10421</v>
      </c>
      <c r="EX34" s="5">
        <v>10423</v>
      </c>
      <c r="EY34" s="5">
        <v>10509</v>
      </c>
      <c r="EZ34" s="5">
        <v>10480</v>
      </c>
      <c r="FA34" s="5">
        <v>10466</v>
      </c>
      <c r="FB34" s="5">
        <v>10463</v>
      </c>
      <c r="FC34" s="5">
        <v>10757</v>
      </c>
      <c r="FD34" s="5">
        <v>10709</v>
      </c>
      <c r="FE34" s="5">
        <v>10761</v>
      </c>
      <c r="FF34" s="5">
        <v>10853</v>
      </c>
      <c r="FG34" s="5">
        <v>11180</v>
      </c>
      <c r="FH34" s="5">
        <v>11081</v>
      </c>
      <c r="FI34" s="5">
        <v>11113</v>
      </c>
      <c r="FJ34" s="5">
        <v>11181</v>
      </c>
      <c r="FK34" s="5">
        <v>11330</v>
      </c>
      <c r="FL34" s="5">
        <v>11388</v>
      </c>
      <c r="FM34" s="5">
        <v>11398</v>
      </c>
      <c r="FN34" s="5">
        <v>11464</v>
      </c>
      <c r="FO34" s="5">
        <v>11681</v>
      </c>
      <c r="FP34" s="5">
        <v>11722</v>
      </c>
      <c r="FQ34" s="5">
        <v>11693</v>
      </c>
      <c r="FR34" s="5">
        <v>11754</v>
      </c>
      <c r="FS34" s="5">
        <v>11896</v>
      </c>
      <c r="FT34" s="5">
        <v>11958</v>
      </c>
      <c r="FU34" s="5">
        <v>11966</v>
      </c>
      <c r="FV34" s="5">
        <v>12004</v>
      </c>
      <c r="FW34" s="5">
        <v>12149</v>
      </c>
      <c r="FX34" s="5">
        <v>12252</v>
      </c>
      <c r="FY34" s="5">
        <v>12298</v>
      </c>
      <c r="FZ34" s="5">
        <v>12445</v>
      </c>
      <c r="GA34" s="5">
        <v>12605</v>
      </c>
      <c r="GB34" s="5">
        <v>12626</v>
      </c>
      <c r="GC34" s="5">
        <v>12647</v>
      </c>
      <c r="GD34" s="5">
        <v>12507</v>
      </c>
      <c r="GE34" s="5">
        <v>12595</v>
      </c>
      <c r="GF34" s="5">
        <v>12592</v>
      </c>
      <c r="GG34" s="5">
        <v>12687</v>
      </c>
      <c r="GH34" s="5">
        <v>12759</v>
      </c>
      <c r="GI34" s="5">
        <v>12962</v>
      </c>
      <c r="GJ34" s="5">
        <v>12988</v>
      </c>
      <c r="GK34" s="5">
        <v>13097</v>
      </c>
      <c r="GL34" s="5">
        <v>13228</v>
      </c>
      <c r="GM34" s="5">
        <v>13256</v>
      </c>
      <c r="GN34" s="5">
        <v>13278</v>
      </c>
      <c r="GO34" s="5">
        <v>13359</v>
      </c>
      <c r="GP34" s="5">
        <v>13425</v>
      </c>
      <c r="GQ34" s="5">
        <v>13582</v>
      </c>
      <c r="GR34" s="5">
        <v>13551</v>
      </c>
      <c r="GS34" s="5">
        <v>13604</v>
      </c>
      <c r="GT34" s="5">
        <v>13784</v>
      </c>
      <c r="GU34" s="5">
        <v>14334</v>
      </c>
      <c r="GV34" s="5">
        <v>14548</v>
      </c>
      <c r="GW34" s="5">
        <v>14941</v>
      </c>
      <c r="GX34" s="5">
        <v>15180</v>
      </c>
      <c r="GY34" s="5">
        <v>15735</v>
      </c>
      <c r="GZ34" s="5">
        <v>16000</v>
      </c>
      <c r="HA34" s="5">
        <v>16182</v>
      </c>
      <c r="HB34" s="5">
        <v>16286</v>
      </c>
      <c r="HC34" s="6">
        <v>12732.5</v>
      </c>
      <c r="HD34" s="6">
        <v>16078.43</v>
      </c>
      <c r="HE34" s="6">
        <v>16078.43</v>
      </c>
      <c r="HF34" s="6">
        <v>16078.43</v>
      </c>
      <c r="HG34" s="6">
        <v>16078.43</v>
      </c>
      <c r="HH34" s="6">
        <v>16664.330000000002</v>
      </c>
      <c r="HI34" s="6">
        <v>16664.330000000002</v>
      </c>
      <c r="HJ34" s="6">
        <v>16664.330000000002</v>
      </c>
      <c r="HK34" s="6">
        <v>16664.330000000002</v>
      </c>
      <c r="HL34" s="6">
        <v>17250.73</v>
      </c>
      <c r="HM34" s="6">
        <v>17250.73</v>
      </c>
      <c r="HN34" s="6">
        <v>17250.73</v>
      </c>
      <c r="HO34" s="6">
        <v>17250.73</v>
      </c>
      <c r="HP34" s="6">
        <v>17866.849999999999</v>
      </c>
      <c r="HQ34" s="6">
        <v>17866.849999999999</v>
      </c>
      <c r="HR34" s="6">
        <v>17866.849999999999</v>
      </c>
      <c r="HS34" s="6">
        <v>17866.849999999999</v>
      </c>
      <c r="HT34" s="6">
        <v>18440.09</v>
      </c>
      <c r="HU34" s="6">
        <v>18440.09</v>
      </c>
      <c r="HV34" s="6">
        <v>18440.09</v>
      </c>
      <c r="HW34" s="6">
        <v>18440.09</v>
      </c>
      <c r="HX34" s="6">
        <v>19152.689999999999</v>
      </c>
      <c r="HY34" s="6">
        <v>19152.689999999999</v>
      </c>
      <c r="HZ34" s="6">
        <v>19152.689999999999</v>
      </c>
      <c r="IA34" s="6">
        <v>19152.689999999999</v>
      </c>
      <c r="IB34" s="6">
        <v>19152.689999999999</v>
      </c>
      <c r="IC34" s="6">
        <v>19152.689999999999</v>
      </c>
      <c r="ID34" s="6">
        <v>19152.689999999999</v>
      </c>
      <c r="IE34" s="6">
        <v>19152.689999999999</v>
      </c>
      <c r="IF34" s="6">
        <v>19868.12</v>
      </c>
      <c r="IG34" s="6">
        <v>19868.12</v>
      </c>
      <c r="IH34" s="6">
        <v>19868.12</v>
      </c>
      <c r="II34" s="6">
        <v>19868.12</v>
      </c>
      <c r="IJ34" s="6">
        <v>20610.68</v>
      </c>
      <c r="IK34" s="6">
        <v>20610.68</v>
      </c>
      <c r="IL34" s="6">
        <v>20610.68</v>
      </c>
      <c r="IM34" s="6">
        <v>20610.68</v>
      </c>
      <c r="IN34" s="6">
        <v>21367.23</v>
      </c>
      <c r="IO34" s="6">
        <v>21367.23</v>
      </c>
      <c r="IP34" s="6">
        <v>21367.23</v>
      </c>
      <c r="IQ34" s="6">
        <v>21367.23</v>
      </c>
      <c r="IR34" s="6">
        <v>22146.32</v>
      </c>
      <c r="IS34" s="6">
        <v>22146.32</v>
      </c>
      <c r="IT34" s="6">
        <v>22146.32</v>
      </c>
      <c r="IU34" s="6">
        <v>22146.32</v>
      </c>
      <c r="IV34" s="6">
        <v>22951.27</v>
      </c>
      <c r="IW34" s="6">
        <v>22951.27</v>
      </c>
      <c r="IX34" s="6">
        <v>22951.27</v>
      </c>
      <c r="IY34" s="6">
        <v>22951.27</v>
      </c>
      <c r="IZ34" s="6">
        <v>23796.43</v>
      </c>
      <c r="JA34" s="6">
        <v>23796.43</v>
      </c>
      <c r="JB34" s="6">
        <v>23796.43</v>
      </c>
      <c r="JC34" s="6">
        <v>23796.43</v>
      </c>
      <c r="JD34" s="6">
        <v>24679.17</v>
      </c>
      <c r="JE34" s="6">
        <v>24679.17</v>
      </c>
      <c r="JF34" s="6">
        <v>24679.17</v>
      </c>
      <c r="JG34" s="6">
        <v>24679.17</v>
      </c>
      <c r="JH34" s="6">
        <v>25601.67</v>
      </c>
      <c r="JI34" s="6">
        <v>25601.67</v>
      </c>
      <c r="JJ34" s="6">
        <v>25601.67</v>
      </c>
      <c r="JK34" s="6">
        <v>25601.67</v>
      </c>
      <c r="JL34" s="6">
        <v>26566.16</v>
      </c>
      <c r="JM34" s="6">
        <v>26566.16</v>
      </c>
      <c r="JN34" s="6">
        <v>26566.16</v>
      </c>
      <c r="JO34" s="6">
        <v>26566.16</v>
      </c>
      <c r="JP34" s="6">
        <v>27569.38</v>
      </c>
      <c r="JQ34" s="6">
        <v>27569.38</v>
      </c>
      <c r="JR34" s="6">
        <v>27569.38</v>
      </c>
      <c r="JS34" s="6">
        <v>27569.38</v>
      </c>
      <c r="JT34" s="6">
        <v>28606.21</v>
      </c>
      <c r="JU34" s="6">
        <v>28606.21</v>
      </c>
      <c r="JV34" s="6">
        <v>28606.21</v>
      </c>
      <c r="JW34" s="6">
        <v>28606.21</v>
      </c>
      <c r="JX34" s="6">
        <v>29676.62</v>
      </c>
      <c r="JY34" s="6">
        <v>29676.62</v>
      </c>
      <c r="JZ34" s="6">
        <v>29676.62</v>
      </c>
      <c r="KA34" s="6">
        <v>29676.62</v>
      </c>
      <c r="KB34" s="6">
        <v>30785.87</v>
      </c>
      <c r="KC34" s="6">
        <v>30785.87</v>
      </c>
      <c r="KD34" s="6">
        <v>30785.87</v>
      </c>
      <c r="KE34" s="6">
        <v>30785.87</v>
      </c>
      <c r="KF34" s="6">
        <v>31934.99</v>
      </c>
      <c r="KG34" s="6">
        <v>31934.99</v>
      </c>
      <c r="KH34" s="6">
        <v>31934.99</v>
      </c>
      <c r="KI34" s="6">
        <v>31934.99</v>
      </c>
      <c r="KJ34" s="6">
        <v>33124.82</v>
      </c>
      <c r="KK34" s="6">
        <v>33124.82</v>
      </c>
      <c r="KL34" s="6">
        <v>33124.82</v>
      </c>
      <c r="KM34" s="6">
        <v>33124.82</v>
      </c>
      <c r="KN34" s="6">
        <v>34356.74</v>
      </c>
      <c r="KO34" s="6">
        <v>34356.74</v>
      </c>
      <c r="KP34" s="6">
        <v>34356.74</v>
      </c>
      <c r="KQ34" s="6">
        <v>34356.74</v>
      </c>
      <c r="KR34" s="6">
        <v>35632.199999999997</v>
      </c>
      <c r="KS34" s="6">
        <v>35632.199999999997</v>
      </c>
      <c r="KT34" s="6">
        <v>35632.199999999997</v>
      </c>
      <c r="KU34" s="6">
        <v>35632.199999999997</v>
      </c>
      <c r="KV34" s="6">
        <v>36952.74</v>
      </c>
      <c r="KW34" s="6">
        <v>36952.74</v>
      </c>
      <c r="KX34" s="6">
        <v>36952.74</v>
      </c>
      <c r="KY34" s="6">
        <v>36952.74</v>
      </c>
      <c r="KZ34" s="6">
        <v>38319.86</v>
      </c>
      <c r="LA34" s="6">
        <v>38319.86</v>
      </c>
      <c r="LB34" s="6">
        <v>38319.86</v>
      </c>
      <c r="LC34" s="6">
        <v>38319.86</v>
      </c>
      <c r="LD34" s="6">
        <v>39735.040000000001</v>
      </c>
      <c r="LE34" s="6">
        <v>39735.040000000001</v>
      </c>
      <c r="LF34" s="6">
        <v>39735.040000000001</v>
      </c>
      <c r="LG34" s="2" t="s">
        <v>335</v>
      </c>
      <c r="LH34" s="2" t="s">
        <v>348</v>
      </c>
      <c r="LI34" s="2" t="s">
        <v>338</v>
      </c>
      <c r="LJ34" s="2" t="s">
        <v>338</v>
      </c>
      <c r="LK34" s="2" t="s">
        <v>339</v>
      </c>
      <c r="LL34" s="2" t="s">
        <v>623</v>
      </c>
      <c r="LM34" s="2" t="s">
        <v>338</v>
      </c>
      <c r="LN34" s="4" t="s">
        <v>593</v>
      </c>
      <c r="LO34" s="2" t="s">
        <v>594</v>
      </c>
      <c r="LP34" s="2" t="s">
        <v>343</v>
      </c>
      <c r="LQ34" s="2" t="s">
        <v>595</v>
      </c>
      <c r="LR34" s="4" t="s">
        <v>659</v>
      </c>
      <c r="LS34"/>
      <c r="LT34"/>
      <c r="LU34"/>
      <c r="LV34"/>
      <c r="LW34"/>
      <c r="LX34"/>
    </row>
    <row r="35" spans="1:336" x14ac:dyDescent="0.35">
      <c r="A35" s="2" t="s">
        <v>330</v>
      </c>
      <c r="B35" s="2" t="s">
        <v>596</v>
      </c>
      <c r="C35" s="4" t="s">
        <v>658</v>
      </c>
      <c r="D35" s="2" t="s">
        <v>628</v>
      </c>
      <c r="E35" s="2" t="s">
        <v>338</v>
      </c>
      <c r="F35" s="2" t="s">
        <v>334</v>
      </c>
      <c r="G35" s="5">
        <v>8.9579050000000002</v>
      </c>
      <c r="H35" s="5">
        <v>8.8638929999999991</v>
      </c>
      <c r="I35" s="5">
        <v>9.255274</v>
      </c>
      <c r="J35" s="5">
        <v>9.6332020000000007</v>
      </c>
      <c r="K35" s="5">
        <v>9.8232630000000007</v>
      </c>
      <c r="L35" s="5">
        <v>10.380129999999999</v>
      </c>
      <c r="M35" s="5">
        <v>10.885719999999999</v>
      </c>
      <c r="N35" s="5">
        <v>11.55519</v>
      </c>
      <c r="O35" s="5">
        <v>12.39152</v>
      </c>
      <c r="P35" s="5">
        <v>13.213419999999999</v>
      </c>
      <c r="Q35" s="5">
        <v>13.789400000000001</v>
      </c>
      <c r="R35" s="5">
        <v>14.39523</v>
      </c>
      <c r="S35" s="5">
        <v>14.872579999999999</v>
      </c>
      <c r="T35" s="5">
        <v>15.293530000000001</v>
      </c>
      <c r="U35" s="5">
        <v>15.662750000000001</v>
      </c>
      <c r="V35" s="5">
        <v>16.284829999999999</v>
      </c>
      <c r="W35" s="5">
        <v>16.878620000000002</v>
      </c>
      <c r="X35" s="5">
        <v>17.534120000000001</v>
      </c>
      <c r="Y35" s="5">
        <v>17.904969999999999</v>
      </c>
      <c r="Z35" s="5">
        <v>18.403420000000001</v>
      </c>
      <c r="AA35" s="5">
        <v>19.08691</v>
      </c>
      <c r="AB35" s="5">
        <v>19.625070000000001</v>
      </c>
      <c r="AC35" s="5">
        <v>19.909579999999998</v>
      </c>
      <c r="AD35" s="5">
        <v>20.446850000000001</v>
      </c>
      <c r="AE35" s="5">
        <v>21.159300000000002</v>
      </c>
      <c r="AF35" s="5">
        <v>21.68468</v>
      </c>
      <c r="AG35" s="5">
        <v>23.325489999999999</v>
      </c>
      <c r="AH35" s="5">
        <v>24.31851</v>
      </c>
      <c r="AI35" s="5">
        <v>25.50459</v>
      </c>
      <c r="AJ35" s="5">
        <v>26.68543</v>
      </c>
      <c r="AK35" s="5">
        <v>27.68966</v>
      </c>
      <c r="AL35" s="5">
        <v>28.888439999999999</v>
      </c>
      <c r="AM35" s="5">
        <v>29.671379999999999</v>
      </c>
      <c r="AN35" s="5">
        <v>30.191469999999999</v>
      </c>
      <c r="AO35" s="5">
        <v>30.69342</v>
      </c>
      <c r="AP35" s="5">
        <v>31.613219999999998</v>
      </c>
      <c r="AQ35" s="5">
        <v>32.335189999999997</v>
      </c>
      <c r="AR35" s="5">
        <v>32.628929999999997</v>
      </c>
      <c r="AS35" s="5">
        <v>33.148009999999999</v>
      </c>
      <c r="AT35" s="5">
        <v>33.83596</v>
      </c>
      <c r="AU35" s="5">
        <v>34.42409</v>
      </c>
      <c r="AV35" s="5">
        <v>34.410449999999997</v>
      </c>
      <c r="AW35" s="5">
        <v>34.943919999999999</v>
      </c>
      <c r="AX35" s="5">
        <v>35.49248</v>
      </c>
      <c r="AY35" s="5">
        <v>35.572000000000003</v>
      </c>
      <c r="AZ35" s="5">
        <v>36.62603</v>
      </c>
      <c r="BA35" s="5">
        <v>36.914879999999997</v>
      </c>
      <c r="BB35" s="5">
        <v>37.443379999999998</v>
      </c>
      <c r="BC35" s="5">
        <v>37.637949999999996</v>
      </c>
      <c r="BD35" s="5">
        <v>38.255360000000003</v>
      </c>
      <c r="BE35" s="5">
        <v>38.989460000000001</v>
      </c>
      <c r="BF35" s="5">
        <v>39.585990000000002</v>
      </c>
      <c r="BG35" s="5">
        <v>39.877160000000003</v>
      </c>
      <c r="BH35" s="5">
        <v>40.008940000000003</v>
      </c>
      <c r="BI35" s="5">
        <v>40.449249999999999</v>
      </c>
      <c r="BJ35" s="5">
        <v>41.028309999999998</v>
      </c>
      <c r="BK35" s="5">
        <v>41.572009999999999</v>
      </c>
      <c r="BL35" s="5">
        <v>42.21405</v>
      </c>
      <c r="BM35" s="5">
        <v>43.019289999999998</v>
      </c>
      <c r="BN35" s="5">
        <v>43.437449999999998</v>
      </c>
      <c r="BO35" s="5">
        <v>43.886690000000002</v>
      </c>
      <c r="BP35" s="5">
        <v>44.755159999999997</v>
      </c>
      <c r="BQ35" s="5">
        <v>45.552689999999998</v>
      </c>
      <c r="BR35" s="5">
        <v>46.527949999999997</v>
      </c>
      <c r="BS35" s="5">
        <v>47.470799999999997</v>
      </c>
      <c r="BT35" s="5">
        <v>48.013739999999999</v>
      </c>
      <c r="BU35" s="5">
        <v>49.237209999999997</v>
      </c>
      <c r="BV35" s="5">
        <v>50.512970000000003</v>
      </c>
      <c r="BW35" s="5">
        <v>51.41825</v>
      </c>
      <c r="BX35" s="5">
        <v>52.223880000000001</v>
      </c>
      <c r="BY35" s="5">
        <v>53.86262</v>
      </c>
      <c r="BZ35" s="5">
        <v>54.418300000000002</v>
      </c>
      <c r="CA35" s="5">
        <v>55.404420000000002</v>
      </c>
      <c r="CB35" s="5">
        <v>56.310470000000002</v>
      </c>
      <c r="CC35" s="5">
        <v>56.889389999999999</v>
      </c>
      <c r="CD35" s="5">
        <v>57.55979</v>
      </c>
      <c r="CE35" s="5">
        <v>58.171100000000003</v>
      </c>
      <c r="CF35" s="5">
        <v>58.406709999999997</v>
      </c>
      <c r="CG35" s="5">
        <v>58.344630000000002</v>
      </c>
      <c r="CH35" s="5">
        <v>58.669490000000003</v>
      </c>
      <c r="CI35" s="5">
        <v>59.826369999999997</v>
      </c>
      <c r="CJ35" s="5">
        <v>59.629849999999998</v>
      </c>
      <c r="CK35" s="5">
        <v>60.255650000000003</v>
      </c>
      <c r="CL35" s="5">
        <v>60.89085</v>
      </c>
      <c r="CM35" s="5">
        <v>61.177639999999997</v>
      </c>
      <c r="CN35" s="5">
        <v>60.891910000000003</v>
      </c>
      <c r="CO35" s="5">
        <v>61.064970000000002</v>
      </c>
      <c r="CP35" s="5">
        <v>61.913249999999998</v>
      </c>
      <c r="CQ35" s="5">
        <v>62.083669999999998</v>
      </c>
      <c r="CR35" s="5">
        <v>62.575679999999998</v>
      </c>
      <c r="CS35" s="5">
        <v>63.021889999999999</v>
      </c>
      <c r="CT35" s="5">
        <v>63.765430000000002</v>
      </c>
      <c r="CU35" s="5">
        <v>64.396450000000002</v>
      </c>
      <c r="CV35" s="5">
        <v>65.565439999999995</v>
      </c>
      <c r="CW35" s="5">
        <v>66.026349999999994</v>
      </c>
      <c r="CX35" s="5">
        <v>65.860529999999997</v>
      </c>
      <c r="CY35" s="5">
        <v>64.89734</v>
      </c>
      <c r="CZ35" s="5">
        <v>65.08372</v>
      </c>
      <c r="DA35" s="5">
        <v>66.525019999999998</v>
      </c>
      <c r="DB35" s="5">
        <v>64.969120000000004</v>
      </c>
      <c r="DC35" s="5">
        <v>65.727189999999993</v>
      </c>
      <c r="DD35" s="5">
        <v>65.898290000000003</v>
      </c>
      <c r="DE35" s="5">
        <v>66.407780000000002</v>
      </c>
      <c r="DF35" s="5">
        <v>66.765659999999997</v>
      </c>
      <c r="DG35" s="5">
        <v>66.818280000000001</v>
      </c>
      <c r="DH35" s="5">
        <v>67.156170000000003</v>
      </c>
      <c r="DI35" s="5">
        <v>66.921729999999997</v>
      </c>
      <c r="DJ35" s="5">
        <v>67.536839999999998</v>
      </c>
      <c r="DK35" s="5">
        <v>67.822659999999999</v>
      </c>
      <c r="DL35" s="5">
        <v>67.776769999999999</v>
      </c>
      <c r="DM35" s="5">
        <v>67.91283</v>
      </c>
      <c r="DN35" s="5">
        <v>68.000619999999998</v>
      </c>
      <c r="DO35" s="5">
        <v>68.496610000000004</v>
      </c>
      <c r="DP35" s="5">
        <v>69.092359999999999</v>
      </c>
      <c r="DQ35" s="5">
        <v>69.114450000000005</v>
      </c>
      <c r="DR35" s="5">
        <v>68.896029999999996</v>
      </c>
      <c r="DS35" s="5">
        <v>69.703999999999994</v>
      </c>
      <c r="DT35" s="5">
        <v>70.150880000000001</v>
      </c>
      <c r="DU35" s="5">
        <v>70.491839999999996</v>
      </c>
      <c r="DV35" s="5">
        <v>71.091239999999999</v>
      </c>
      <c r="DW35" s="5">
        <v>71.363079999999997</v>
      </c>
      <c r="DX35" s="5">
        <v>72.004459999999995</v>
      </c>
      <c r="DY35" s="5">
        <v>72.369219999999999</v>
      </c>
      <c r="DZ35" s="5">
        <v>72.434709999999995</v>
      </c>
      <c r="EA35" s="5">
        <v>72.724530000000001</v>
      </c>
      <c r="EB35" s="5">
        <v>73.842349999999996</v>
      </c>
      <c r="EC35" s="5">
        <v>73.973550000000003</v>
      </c>
      <c r="ED35" s="5">
        <v>75.179150000000007</v>
      </c>
      <c r="EE35" s="5">
        <v>75.232050000000001</v>
      </c>
      <c r="EF35" s="5">
        <v>76.194220000000001</v>
      </c>
      <c r="EG35" s="5">
        <v>76.32038</v>
      </c>
      <c r="EH35" s="5">
        <v>76.653819999999996</v>
      </c>
      <c r="EI35" s="5">
        <v>77.220420000000004</v>
      </c>
      <c r="EJ35" s="5">
        <v>78.150989999999993</v>
      </c>
      <c r="EK35" s="5">
        <v>78.757450000000006</v>
      </c>
      <c r="EL35" s="5">
        <v>78.764060000000001</v>
      </c>
      <c r="EM35" s="5">
        <v>78.909769999999995</v>
      </c>
      <c r="EN35" s="5">
        <v>80.262150000000005</v>
      </c>
      <c r="EO35" s="5">
        <v>80.328720000000004</v>
      </c>
      <c r="EP35" s="5">
        <v>80.434250000000006</v>
      </c>
      <c r="EQ35" s="5">
        <v>81.168189999999996</v>
      </c>
      <c r="ER35" s="5">
        <v>82.251239999999996</v>
      </c>
      <c r="ES35" s="5">
        <v>83.349310000000003</v>
      </c>
      <c r="ET35" s="5">
        <v>84.140100000000004</v>
      </c>
      <c r="EU35" s="5">
        <v>84.054509999999993</v>
      </c>
      <c r="EV35" s="5">
        <v>84.292370000000005</v>
      </c>
      <c r="EW35" s="5">
        <v>84.690610000000007</v>
      </c>
      <c r="EX35" s="5">
        <v>84.05977</v>
      </c>
      <c r="EY35" s="5">
        <v>85.269390000000001</v>
      </c>
      <c r="EZ35" s="5">
        <v>85.456950000000006</v>
      </c>
      <c r="FA35" s="5">
        <v>85.599289999999996</v>
      </c>
      <c r="FB35" s="5">
        <v>86.102339999999998</v>
      </c>
      <c r="FC35" s="5">
        <v>87.529619999999994</v>
      </c>
      <c r="FD35" s="5">
        <v>86.930109999999999</v>
      </c>
      <c r="FE35" s="5">
        <v>87.439610000000002</v>
      </c>
      <c r="FF35" s="5">
        <v>88.029690000000002</v>
      </c>
      <c r="FG35" s="5">
        <v>88.363659999999996</v>
      </c>
      <c r="FH35" s="5">
        <v>88.546999999999997</v>
      </c>
      <c r="FI35" s="5">
        <v>88.930180000000007</v>
      </c>
      <c r="FJ35" s="5">
        <v>89.469440000000006</v>
      </c>
      <c r="FK35" s="5">
        <v>90.254400000000004</v>
      </c>
      <c r="FL35" s="5">
        <v>90.459370000000007</v>
      </c>
      <c r="FM35" s="5">
        <v>91.019310000000004</v>
      </c>
      <c r="FN35" s="5">
        <v>91.093440000000001</v>
      </c>
      <c r="FO35" s="5">
        <v>91.497380000000007</v>
      </c>
      <c r="FP35" s="5">
        <v>91.420150000000007</v>
      </c>
      <c r="FQ35" s="5">
        <v>92.474170000000001</v>
      </c>
      <c r="FR35" s="5">
        <v>92.215620000000001</v>
      </c>
      <c r="FS35" s="5">
        <v>92.388440000000003</v>
      </c>
      <c r="FT35" s="5">
        <v>92.204319999999996</v>
      </c>
      <c r="FU35" s="5">
        <v>92.478539999999995</v>
      </c>
      <c r="FV35" s="5">
        <v>92.973249999999993</v>
      </c>
      <c r="FW35" s="5">
        <v>93.493290000000002</v>
      </c>
      <c r="FX35" s="5">
        <v>93.771429999999995</v>
      </c>
      <c r="FY35" s="5">
        <v>94.69238</v>
      </c>
      <c r="FZ35" s="5">
        <v>95.346950000000007</v>
      </c>
      <c r="GA35" s="5">
        <v>95.78058</v>
      </c>
      <c r="GB35" s="5">
        <v>95.841819999999998</v>
      </c>
      <c r="GC35" s="5">
        <v>95.908929999999998</v>
      </c>
      <c r="GD35" s="5">
        <v>96.783749999999998</v>
      </c>
      <c r="GE35" s="5">
        <v>97.001580000000004</v>
      </c>
      <c r="GF35" s="5">
        <v>97.631789999999995</v>
      </c>
      <c r="GG35" s="5">
        <v>98.128360000000001</v>
      </c>
      <c r="GH35" s="5">
        <v>98.943799999999996</v>
      </c>
      <c r="GI35" s="5">
        <v>98.964770000000001</v>
      </c>
      <c r="GJ35" s="5">
        <v>99.823319999999995</v>
      </c>
      <c r="GK35" s="5">
        <v>100.3214</v>
      </c>
      <c r="GL35" s="5">
        <v>100.87860000000001</v>
      </c>
      <c r="GM35" s="5">
        <v>101.9395</v>
      </c>
      <c r="GN35" s="5">
        <v>109.43810000000001</v>
      </c>
      <c r="GO35" s="5">
        <v>105.1266</v>
      </c>
      <c r="GP35" s="5">
        <v>104.6961</v>
      </c>
      <c r="GQ35" s="5">
        <v>105.6456</v>
      </c>
      <c r="GR35" s="5">
        <v>103.8984</v>
      </c>
      <c r="GS35" s="5">
        <v>104.59569999999999</v>
      </c>
      <c r="GT35" s="5">
        <v>105.717</v>
      </c>
      <c r="GU35" s="5">
        <v>107.21420000000001</v>
      </c>
      <c r="GV35" s="5">
        <v>109.4003</v>
      </c>
      <c r="GW35" s="5">
        <v>111.1253</v>
      </c>
      <c r="GX35" s="5">
        <v>113.6913</v>
      </c>
      <c r="GY35" s="5">
        <v>115.6705</v>
      </c>
      <c r="GZ35" s="5">
        <v>118.42529999999999</v>
      </c>
      <c r="HA35" s="5">
        <v>119.43940000000001</v>
      </c>
      <c r="HB35" s="5">
        <v>119.6324</v>
      </c>
      <c r="HC35" s="6">
        <v>120.44589999999999</v>
      </c>
      <c r="HD35" s="6">
        <v>120.8073</v>
      </c>
      <c r="HE35" s="6">
        <v>121.23009999999999</v>
      </c>
      <c r="HF35" s="6">
        <v>121.7756</v>
      </c>
      <c r="HG35" s="6">
        <v>122.3844</v>
      </c>
      <c r="HH35" s="6">
        <v>122.99639999999999</v>
      </c>
      <c r="HI35" s="6">
        <v>123.636</v>
      </c>
      <c r="HJ35" s="6">
        <v>124.3036</v>
      </c>
      <c r="HK35" s="6">
        <v>124.95</v>
      </c>
      <c r="HL35" s="6">
        <v>125.6123</v>
      </c>
      <c r="HM35" s="6">
        <v>126.25279999999999</v>
      </c>
      <c r="HN35" s="6">
        <v>126.8968</v>
      </c>
      <c r="HO35" s="6">
        <v>127.5566</v>
      </c>
      <c r="HP35" s="6">
        <v>128.2199</v>
      </c>
      <c r="HQ35" s="6">
        <v>128.87379999999999</v>
      </c>
      <c r="HR35" s="6">
        <v>129.54390000000001</v>
      </c>
      <c r="HS35" s="6">
        <v>130.2176</v>
      </c>
      <c r="HT35" s="6">
        <v>130.8817</v>
      </c>
      <c r="HU35" s="6">
        <v>131.5361</v>
      </c>
      <c r="HV35" s="6">
        <v>132.19380000000001</v>
      </c>
      <c r="HW35" s="6">
        <v>132.85470000000001</v>
      </c>
      <c r="HX35" s="6">
        <v>133.53899999999999</v>
      </c>
      <c r="HY35" s="6">
        <v>134.23339999999999</v>
      </c>
      <c r="HZ35" s="6">
        <v>134.94479999999999</v>
      </c>
      <c r="IA35" s="6">
        <v>135.67080000000001</v>
      </c>
      <c r="IB35" s="6">
        <v>136.40209999999999</v>
      </c>
      <c r="IC35" s="6">
        <v>137.13730000000001</v>
      </c>
      <c r="ID35" s="6">
        <v>137.87639999999999</v>
      </c>
      <c r="IE35" s="6">
        <v>138.61959999999999</v>
      </c>
      <c r="IF35" s="6">
        <v>139.36680000000001</v>
      </c>
      <c r="IG35" s="6">
        <v>140.11799999999999</v>
      </c>
      <c r="IH35" s="6">
        <v>140.8732</v>
      </c>
      <c r="II35" s="6">
        <v>141.63390000000001</v>
      </c>
      <c r="IJ35" s="6">
        <v>142.39869999999999</v>
      </c>
      <c r="IK35" s="6">
        <v>143.1677</v>
      </c>
      <c r="IL35" s="6">
        <v>143.9408</v>
      </c>
      <c r="IM35" s="6">
        <v>144.71799999999999</v>
      </c>
      <c r="IN35" s="6">
        <v>145.49950000000001</v>
      </c>
      <c r="IO35" s="6">
        <v>146.2852</v>
      </c>
      <c r="IP35" s="6">
        <v>147.0752</v>
      </c>
      <c r="IQ35" s="6">
        <v>147.86940000000001</v>
      </c>
      <c r="IR35" s="6">
        <v>148.6679</v>
      </c>
      <c r="IS35" s="6">
        <v>149.47059999999999</v>
      </c>
      <c r="IT35" s="6">
        <v>150.27780000000001</v>
      </c>
      <c r="IU35" s="6">
        <v>151.09110000000001</v>
      </c>
      <c r="IV35" s="6">
        <v>151.90880000000001</v>
      </c>
      <c r="IW35" s="6">
        <v>152.73099999999999</v>
      </c>
      <c r="IX35" s="6">
        <v>153.5575</v>
      </c>
      <c r="IY35" s="6">
        <v>154.3886</v>
      </c>
      <c r="IZ35" s="6">
        <v>155.22409999999999</v>
      </c>
      <c r="JA35" s="6">
        <v>156.0642</v>
      </c>
      <c r="JB35" s="6">
        <v>156.90880000000001</v>
      </c>
      <c r="JC35" s="6">
        <v>157.75800000000001</v>
      </c>
      <c r="JD35" s="6">
        <v>158.61179999999999</v>
      </c>
      <c r="JE35" s="6">
        <v>159.47020000000001</v>
      </c>
      <c r="JF35" s="6">
        <v>160.33330000000001</v>
      </c>
      <c r="JG35" s="6">
        <v>161.20230000000001</v>
      </c>
      <c r="JH35" s="6">
        <v>162.07599999999999</v>
      </c>
      <c r="JI35" s="6">
        <v>162.95439999999999</v>
      </c>
      <c r="JJ35" s="6">
        <v>163.83770000000001</v>
      </c>
      <c r="JK35" s="6">
        <v>164.72569999999999</v>
      </c>
      <c r="JL35" s="6">
        <v>165.61850000000001</v>
      </c>
      <c r="JM35" s="6">
        <v>166.51609999999999</v>
      </c>
      <c r="JN35" s="6">
        <v>167.4187</v>
      </c>
      <c r="JO35" s="6">
        <v>168.3261</v>
      </c>
      <c r="JP35" s="6">
        <v>169.23830000000001</v>
      </c>
      <c r="JQ35" s="6">
        <v>170.15559999999999</v>
      </c>
      <c r="JR35" s="6">
        <v>171.0779</v>
      </c>
      <c r="JS35" s="6">
        <v>172.0052</v>
      </c>
      <c r="JT35" s="6">
        <v>172.9374</v>
      </c>
      <c r="JU35" s="6">
        <v>173.87469999999999</v>
      </c>
      <c r="JV35" s="6">
        <v>174.81710000000001</v>
      </c>
      <c r="JW35" s="6">
        <v>175.7646</v>
      </c>
      <c r="JX35" s="6">
        <v>176.71729999999999</v>
      </c>
      <c r="JY35" s="6">
        <v>177.67509999999999</v>
      </c>
      <c r="JZ35" s="6">
        <v>178.63810000000001</v>
      </c>
      <c r="KA35" s="6">
        <v>179.60720000000001</v>
      </c>
      <c r="KB35" s="6">
        <v>180.58150000000001</v>
      </c>
      <c r="KC35" s="6">
        <v>181.56120000000001</v>
      </c>
      <c r="KD35" s="6">
        <v>182.5462</v>
      </c>
      <c r="KE35" s="6">
        <v>183.53649999999999</v>
      </c>
      <c r="KF35" s="6">
        <v>184.53219999999999</v>
      </c>
      <c r="KG35" s="6">
        <v>185.5333</v>
      </c>
      <c r="KH35" s="6">
        <v>186.53980000000001</v>
      </c>
      <c r="KI35" s="6">
        <v>187.55179999999999</v>
      </c>
      <c r="KJ35" s="6">
        <v>188.5693</v>
      </c>
      <c r="KK35" s="6">
        <v>189.59229999999999</v>
      </c>
      <c r="KL35" s="6">
        <v>190.6207</v>
      </c>
      <c r="KM35" s="6">
        <v>191.6549</v>
      </c>
      <c r="KN35" s="6">
        <v>192.69470000000001</v>
      </c>
      <c r="KO35" s="6">
        <v>193.74</v>
      </c>
      <c r="KP35" s="6">
        <v>194.791</v>
      </c>
      <c r="KQ35" s="6">
        <v>195.84780000000001</v>
      </c>
      <c r="KR35" s="6">
        <v>196.91030000000001</v>
      </c>
      <c r="KS35" s="6">
        <v>197.9785</v>
      </c>
      <c r="KT35" s="6">
        <v>199.05250000000001</v>
      </c>
      <c r="KU35" s="6">
        <v>200.13239999999999</v>
      </c>
      <c r="KV35" s="6">
        <v>201.21809999999999</v>
      </c>
      <c r="KW35" s="6">
        <v>202.30969999999999</v>
      </c>
      <c r="KX35" s="6">
        <v>203.40719999999999</v>
      </c>
      <c r="KY35" s="6">
        <v>204.51070000000001</v>
      </c>
      <c r="KZ35" s="6">
        <v>205.62020000000001</v>
      </c>
      <c r="LA35" s="6">
        <v>206.73570000000001</v>
      </c>
      <c r="LB35" s="6">
        <v>207.85720000000001</v>
      </c>
      <c r="LC35" s="6">
        <v>208.98480000000001</v>
      </c>
      <c r="LD35" s="6">
        <v>210.11859999999999</v>
      </c>
      <c r="LE35" s="6">
        <v>211.25839999999999</v>
      </c>
      <c r="LF35" s="6">
        <v>212.40459999999999</v>
      </c>
      <c r="LG35" s="2" t="s">
        <v>335</v>
      </c>
      <c r="LH35" s="2" t="s">
        <v>336</v>
      </c>
      <c r="LI35" s="2" t="s">
        <v>338</v>
      </c>
      <c r="LJ35" s="2" t="s">
        <v>476</v>
      </c>
      <c r="LK35" s="2" t="s">
        <v>339</v>
      </c>
      <c r="LL35" s="2" t="s">
        <v>623</v>
      </c>
      <c r="LM35" s="2" t="s">
        <v>338</v>
      </c>
      <c r="LN35" s="4" t="s">
        <v>597</v>
      </c>
      <c r="LO35" s="2" t="s">
        <v>338</v>
      </c>
      <c r="LP35" s="2" t="s">
        <v>343</v>
      </c>
      <c r="LQ35" s="2" t="s">
        <v>598</v>
      </c>
      <c r="LR35" s="4" t="s">
        <v>659</v>
      </c>
      <c r="LS35"/>
      <c r="LT35"/>
      <c r="LU35"/>
      <c r="LV35"/>
      <c r="LW35"/>
      <c r="LX35"/>
    </row>
    <row r="36" spans="1:336" x14ac:dyDescent="0.35">
      <c r="A36" s="2" t="s">
        <v>330</v>
      </c>
      <c r="B36" s="2" t="s">
        <v>599</v>
      </c>
      <c r="C36" s="4" t="s">
        <v>658</v>
      </c>
      <c r="D36" s="2" t="s">
        <v>332</v>
      </c>
      <c r="E36" s="2" t="s">
        <v>333</v>
      </c>
      <c r="F36" s="2" t="s">
        <v>334</v>
      </c>
      <c r="G36" s="5">
        <v>223780</v>
      </c>
      <c r="H36" s="5">
        <v>224569.9</v>
      </c>
      <c r="I36" s="5">
        <v>224928.5</v>
      </c>
      <c r="J36" s="5">
        <v>225524.8</v>
      </c>
      <c r="K36" s="5">
        <v>226301</v>
      </c>
      <c r="L36" s="5">
        <v>226971</v>
      </c>
      <c r="M36" s="5">
        <v>227938.4</v>
      </c>
      <c r="N36" s="5">
        <v>228507.5</v>
      </c>
      <c r="O36" s="5">
        <v>228582</v>
      </c>
      <c r="P36" s="5">
        <v>229052.6</v>
      </c>
      <c r="Q36" s="5">
        <v>229513.2</v>
      </c>
      <c r="R36" s="5">
        <v>229872.4</v>
      </c>
      <c r="S36" s="5">
        <v>230010.2</v>
      </c>
      <c r="T36" s="5">
        <v>230264.6</v>
      </c>
      <c r="U36" s="5">
        <v>230433</v>
      </c>
      <c r="V36" s="5">
        <v>230676.3</v>
      </c>
      <c r="W36" s="5">
        <v>230899.9</v>
      </c>
      <c r="X36" s="5">
        <v>231063</v>
      </c>
      <c r="Y36" s="5">
        <v>231251.7</v>
      </c>
      <c r="Z36" s="5">
        <v>231270.1</v>
      </c>
      <c r="AA36" s="5">
        <v>231258</v>
      </c>
      <c r="AB36" s="5">
        <v>232352.4</v>
      </c>
      <c r="AC36" s="5">
        <v>233500.5</v>
      </c>
      <c r="AD36" s="5">
        <v>234937</v>
      </c>
      <c r="AE36" s="5">
        <v>236186.7</v>
      </c>
      <c r="AF36" s="5">
        <v>237190</v>
      </c>
      <c r="AG36" s="5">
        <v>238584.2</v>
      </c>
      <c r="AH36" s="5">
        <v>239987</v>
      </c>
      <c r="AI36" s="5">
        <v>242116</v>
      </c>
      <c r="AJ36" s="5">
        <v>243373.2</v>
      </c>
      <c r="AK36" s="5">
        <v>244536.3</v>
      </c>
      <c r="AL36" s="5">
        <v>245736.5</v>
      </c>
      <c r="AM36" s="5">
        <v>246765.5</v>
      </c>
      <c r="AN36" s="5">
        <v>247498.8</v>
      </c>
      <c r="AO36" s="5">
        <v>247831.7</v>
      </c>
      <c r="AP36" s="5">
        <v>248016</v>
      </c>
      <c r="AQ36" s="5">
        <v>248324.8</v>
      </c>
      <c r="AR36" s="5">
        <v>248808.1</v>
      </c>
      <c r="AS36" s="5">
        <v>249190.5</v>
      </c>
      <c r="AT36" s="5">
        <v>249681.5</v>
      </c>
      <c r="AU36" s="5">
        <v>250267</v>
      </c>
      <c r="AV36" s="5">
        <v>251576.8</v>
      </c>
      <c r="AW36" s="5">
        <v>253997</v>
      </c>
      <c r="AX36" s="5">
        <v>256574.8</v>
      </c>
      <c r="AY36" s="5">
        <v>258931.4</v>
      </c>
      <c r="AZ36" s="5">
        <v>261085.8</v>
      </c>
      <c r="BA36" s="5">
        <v>262927.59999999998</v>
      </c>
      <c r="BB36" s="5">
        <v>264904.2</v>
      </c>
      <c r="BC36" s="5">
        <v>266649.3</v>
      </c>
      <c r="BD36" s="5">
        <v>268323.20000000001</v>
      </c>
      <c r="BE36" s="5">
        <v>270105.2</v>
      </c>
      <c r="BF36" s="5">
        <v>271890.2</v>
      </c>
      <c r="BG36" s="5">
        <v>273617.40000000002</v>
      </c>
      <c r="BH36" s="5">
        <v>275136</v>
      </c>
      <c r="BI36" s="5">
        <v>276998.5</v>
      </c>
      <c r="BJ36" s="5">
        <v>278739.90000000002</v>
      </c>
      <c r="BK36" s="5">
        <v>280362.8</v>
      </c>
      <c r="BL36" s="5">
        <v>282599</v>
      </c>
      <c r="BM36" s="5">
        <v>284973.59999999998</v>
      </c>
      <c r="BN36" s="5">
        <v>287348.7</v>
      </c>
      <c r="BO36" s="5">
        <v>290054.3</v>
      </c>
      <c r="BP36" s="5">
        <v>292498.90000000002</v>
      </c>
      <c r="BQ36" s="5">
        <v>295165.7</v>
      </c>
      <c r="BR36" s="5">
        <v>297934.09999999998</v>
      </c>
      <c r="BS36" s="5">
        <v>300970</v>
      </c>
      <c r="BT36" s="5">
        <v>303412.3</v>
      </c>
      <c r="BU36" s="5">
        <v>305623.40000000002</v>
      </c>
      <c r="BV36" s="5">
        <v>307957.8</v>
      </c>
      <c r="BW36" s="5">
        <v>309812.3</v>
      </c>
      <c r="BX36" s="5">
        <v>311908.2</v>
      </c>
      <c r="BY36" s="5">
        <v>313765.7</v>
      </c>
      <c r="BZ36" s="5">
        <v>315123</v>
      </c>
      <c r="CA36" s="5">
        <v>315521.8</v>
      </c>
      <c r="CB36" s="5">
        <v>316584</v>
      </c>
      <c r="CC36" s="5">
        <v>317441</v>
      </c>
      <c r="CD36" s="5">
        <v>318334.90000000002</v>
      </c>
      <c r="CE36" s="5">
        <v>320508.90000000002</v>
      </c>
      <c r="CF36" s="5">
        <v>321487.8</v>
      </c>
      <c r="CG36" s="5">
        <v>321430.8</v>
      </c>
      <c r="CH36" s="5">
        <v>322001.7</v>
      </c>
      <c r="CI36" s="5">
        <v>324398.90000000002</v>
      </c>
      <c r="CJ36" s="5">
        <v>325578.5</v>
      </c>
      <c r="CK36" s="5">
        <v>327266.8</v>
      </c>
      <c r="CL36" s="5">
        <v>329133</v>
      </c>
      <c r="CM36" s="5">
        <v>331628.79999999999</v>
      </c>
      <c r="CN36" s="5">
        <v>333365.5</v>
      </c>
      <c r="CO36" s="5">
        <v>336031.5</v>
      </c>
      <c r="CP36" s="5">
        <v>339336.2</v>
      </c>
      <c r="CQ36" s="5">
        <v>340333.9</v>
      </c>
      <c r="CR36" s="5">
        <v>342766.9</v>
      </c>
      <c r="CS36" s="5">
        <v>344755.8</v>
      </c>
      <c r="CT36" s="5">
        <v>346989</v>
      </c>
      <c r="CU36" s="5">
        <v>348932</v>
      </c>
      <c r="CV36" s="5">
        <v>352285.2</v>
      </c>
      <c r="CW36" s="5">
        <v>353855.3</v>
      </c>
      <c r="CX36" s="5">
        <v>356731.5</v>
      </c>
      <c r="CY36" s="5">
        <v>359278.3</v>
      </c>
      <c r="CZ36" s="5">
        <v>362573</v>
      </c>
      <c r="DA36" s="5">
        <v>364139.1</v>
      </c>
      <c r="DB36" s="5">
        <v>365162.1</v>
      </c>
      <c r="DC36" s="5">
        <v>367688.5</v>
      </c>
      <c r="DD36" s="5">
        <v>369716.7</v>
      </c>
      <c r="DE36" s="5">
        <v>371966.7</v>
      </c>
      <c r="DF36" s="5">
        <v>372701.1</v>
      </c>
      <c r="DG36" s="5">
        <v>376298</v>
      </c>
      <c r="DH36" s="5">
        <v>378911</v>
      </c>
      <c r="DI36" s="5">
        <v>382213.9</v>
      </c>
      <c r="DJ36" s="5">
        <v>385736.1</v>
      </c>
      <c r="DK36" s="5">
        <v>384894.8</v>
      </c>
      <c r="DL36" s="5">
        <v>388988.2</v>
      </c>
      <c r="DM36" s="5">
        <v>391913.2</v>
      </c>
      <c r="DN36" s="5">
        <v>396055.9</v>
      </c>
      <c r="DO36" s="5">
        <v>398377.2</v>
      </c>
      <c r="DP36" s="5">
        <v>402395.3</v>
      </c>
      <c r="DQ36" s="5">
        <v>404360.1</v>
      </c>
      <c r="DR36" s="5">
        <v>406556.1</v>
      </c>
      <c r="DS36" s="5">
        <v>409142</v>
      </c>
      <c r="DT36" s="5">
        <v>410328.9</v>
      </c>
      <c r="DU36" s="5">
        <v>414893.7</v>
      </c>
      <c r="DV36" s="5">
        <v>416920.6</v>
      </c>
      <c r="DW36" s="5">
        <v>419524.9</v>
      </c>
      <c r="DX36" s="5">
        <v>422474.7</v>
      </c>
      <c r="DY36" s="5">
        <v>425418.3</v>
      </c>
      <c r="DZ36" s="5">
        <v>426029.8</v>
      </c>
      <c r="EA36" s="5">
        <v>430496.5</v>
      </c>
      <c r="EB36" s="5">
        <v>432205.5</v>
      </c>
      <c r="EC36" s="5">
        <v>434624.2</v>
      </c>
      <c r="ED36" s="5">
        <v>440243.20000000001</v>
      </c>
      <c r="EE36" s="5">
        <v>443517.6</v>
      </c>
      <c r="EF36" s="5">
        <v>445312.1</v>
      </c>
      <c r="EG36" s="5">
        <v>449660</v>
      </c>
      <c r="EH36" s="5">
        <v>452553</v>
      </c>
      <c r="EI36" s="5">
        <v>455746.1</v>
      </c>
      <c r="EJ36" s="5">
        <v>458481.7</v>
      </c>
      <c r="EK36" s="5">
        <v>461565.5</v>
      </c>
      <c r="EL36" s="5">
        <v>465088</v>
      </c>
      <c r="EM36" s="5">
        <v>466765.4</v>
      </c>
      <c r="EN36" s="5">
        <v>470626.3</v>
      </c>
      <c r="EO36" s="5">
        <v>472594</v>
      </c>
      <c r="EP36" s="5">
        <v>473750.9</v>
      </c>
      <c r="EQ36" s="5">
        <v>479765.7</v>
      </c>
      <c r="ER36" s="5">
        <v>478400.9</v>
      </c>
      <c r="ES36" s="5">
        <v>481938.3</v>
      </c>
      <c r="ET36" s="5">
        <v>483379.8</v>
      </c>
      <c r="EU36" s="5">
        <v>481505.9</v>
      </c>
      <c r="EV36" s="5">
        <v>483616.3</v>
      </c>
      <c r="EW36" s="5">
        <v>482466.7</v>
      </c>
      <c r="EX36" s="5">
        <v>483250.2</v>
      </c>
      <c r="EY36" s="5">
        <v>484560.9</v>
      </c>
      <c r="EZ36" s="5">
        <v>486604.3</v>
      </c>
      <c r="FA36" s="5">
        <v>488989.2</v>
      </c>
      <c r="FB36" s="5">
        <v>491360.7</v>
      </c>
      <c r="FC36" s="5">
        <v>491965.9</v>
      </c>
      <c r="FD36" s="5">
        <v>489144</v>
      </c>
      <c r="FE36" s="5">
        <v>493543.6</v>
      </c>
      <c r="FF36" s="5">
        <v>494235.9</v>
      </c>
      <c r="FG36" s="5">
        <v>496627.3</v>
      </c>
      <c r="FH36" s="5">
        <v>498978.9</v>
      </c>
      <c r="FI36" s="5">
        <v>503396.8</v>
      </c>
      <c r="FJ36" s="5">
        <v>504652.79999999999</v>
      </c>
      <c r="FK36" s="5">
        <v>505855.9</v>
      </c>
      <c r="FL36" s="5">
        <v>507633.1</v>
      </c>
      <c r="FM36" s="5">
        <v>512068.4</v>
      </c>
      <c r="FN36" s="5">
        <v>511581.5</v>
      </c>
      <c r="FO36" s="5">
        <v>514571.8</v>
      </c>
      <c r="FP36" s="5">
        <v>516954.8</v>
      </c>
      <c r="FQ36" s="5">
        <v>518502.2</v>
      </c>
      <c r="FR36" s="5">
        <v>519944.8</v>
      </c>
      <c r="FS36" s="5">
        <v>522021.7</v>
      </c>
      <c r="FT36" s="5">
        <v>523438.9</v>
      </c>
      <c r="FU36" s="5">
        <v>524180.8</v>
      </c>
      <c r="FV36" s="5">
        <v>531364.1</v>
      </c>
      <c r="FW36" s="5">
        <v>531067.1</v>
      </c>
      <c r="FX36" s="5">
        <v>532997.1</v>
      </c>
      <c r="FY36" s="5">
        <v>535039.80000000005</v>
      </c>
      <c r="FZ36" s="5">
        <v>537784.5</v>
      </c>
      <c r="GA36" s="5">
        <v>540971.19999999995</v>
      </c>
      <c r="GB36" s="5">
        <v>544475.6</v>
      </c>
      <c r="GC36" s="5">
        <v>542133.1</v>
      </c>
      <c r="GD36" s="5">
        <v>543884.1</v>
      </c>
      <c r="GE36" s="5">
        <v>546927.9</v>
      </c>
      <c r="GF36" s="5">
        <v>548131.9</v>
      </c>
      <c r="GG36" s="5">
        <v>553398.9</v>
      </c>
      <c r="GH36" s="5">
        <v>554103.30000000005</v>
      </c>
      <c r="GI36" s="5">
        <v>558039.9</v>
      </c>
      <c r="GJ36" s="5">
        <v>559788.19999999995</v>
      </c>
      <c r="GK36" s="5">
        <v>560171.19999999995</v>
      </c>
      <c r="GL36" s="5">
        <v>560861.30000000005</v>
      </c>
      <c r="GM36" s="5">
        <v>556070.69999999995</v>
      </c>
      <c r="GN36" s="5">
        <v>488723.4</v>
      </c>
      <c r="GO36" s="5">
        <v>514774.8</v>
      </c>
      <c r="GP36" s="5">
        <v>535065.80000000005</v>
      </c>
      <c r="GQ36" s="5">
        <v>528395.30000000005</v>
      </c>
      <c r="GR36" s="5">
        <v>546929</v>
      </c>
      <c r="GS36" s="6">
        <v>555203.9</v>
      </c>
      <c r="GT36" s="6">
        <v>555234.69999999995</v>
      </c>
      <c r="GU36" s="6">
        <v>560207.30000000005</v>
      </c>
      <c r="GV36" s="6">
        <v>561273</v>
      </c>
      <c r="GW36" s="6">
        <v>559946.6</v>
      </c>
      <c r="GX36" s="6">
        <v>563073.30000000005</v>
      </c>
      <c r="GY36" s="6">
        <v>567181.19999999995</v>
      </c>
      <c r="GZ36" s="6">
        <v>566456.30000000005</v>
      </c>
      <c r="HA36" s="6">
        <v>564048.30000000005</v>
      </c>
      <c r="HB36" s="6">
        <v>566096.6</v>
      </c>
      <c r="HC36" s="6">
        <v>567932.4</v>
      </c>
      <c r="HD36" s="6">
        <v>570463.69999999995</v>
      </c>
      <c r="HE36" s="6">
        <v>572738.4</v>
      </c>
      <c r="HF36" s="6">
        <v>575230.80000000005</v>
      </c>
      <c r="HG36" s="6">
        <v>577889.80000000005</v>
      </c>
      <c r="HH36" s="6">
        <v>580698.5</v>
      </c>
      <c r="HI36" s="6">
        <v>583434.1</v>
      </c>
      <c r="HJ36" s="6">
        <v>586222.1</v>
      </c>
      <c r="HK36" s="6">
        <v>588943.30000000005</v>
      </c>
      <c r="HL36" s="6">
        <v>591626.30000000005</v>
      </c>
      <c r="HM36" s="6">
        <v>594342.9</v>
      </c>
      <c r="HN36" s="6">
        <v>597132.5</v>
      </c>
      <c r="HO36" s="6">
        <v>599547.4</v>
      </c>
      <c r="HP36" s="6">
        <v>602025.4</v>
      </c>
      <c r="HQ36" s="6">
        <v>604562.69999999995</v>
      </c>
      <c r="HR36" s="6">
        <v>607108.9</v>
      </c>
      <c r="HS36" s="6">
        <v>609556</v>
      </c>
      <c r="HT36" s="6">
        <v>612007.1</v>
      </c>
      <c r="HU36" s="6">
        <v>614519</v>
      </c>
      <c r="HV36" s="6">
        <v>617034.80000000005</v>
      </c>
      <c r="HW36" s="6">
        <v>619477.6</v>
      </c>
      <c r="HX36" s="6">
        <v>621886.69999999995</v>
      </c>
      <c r="HY36" s="6">
        <v>624198.69999999995</v>
      </c>
      <c r="HZ36" s="6">
        <v>626578.4</v>
      </c>
      <c r="IA36" s="6">
        <v>628929.9</v>
      </c>
      <c r="IB36" s="6">
        <v>631298.80000000005</v>
      </c>
      <c r="IC36" s="6">
        <v>633683.80000000005</v>
      </c>
      <c r="ID36" s="6">
        <v>636085.1</v>
      </c>
      <c r="IE36" s="6">
        <v>638460.80000000005</v>
      </c>
      <c r="IF36" s="6">
        <v>640850.30000000005</v>
      </c>
      <c r="IG36" s="6">
        <v>643254.80000000005</v>
      </c>
      <c r="IH36" s="6">
        <v>645672.69999999995</v>
      </c>
      <c r="II36" s="6">
        <v>648063.1</v>
      </c>
      <c r="IJ36" s="6">
        <v>650466.19999999995</v>
      </c>
      <c r="IK36" s="6">
        <v>652827.80000000005</v>
      </c>
      <c r="IL36" s="6">
        <v>655172.30000000005</v>
      </c>
      <c r="IM36" s="6">
        <v>657556.5</v>
      </c>
      <c r="IN36" s="6">
        <v>659889.1</v>
      </c>
      <c r="IO36" s="6">
        <v>662210.9</v>
      </c>
      <c r="IP36" s="6">
        <v>664527</v>
      </c>
      <c r="IQ36" s="6">
        <v>666914.80000000005</v>
      </c>
      <c r="IR36" s="6">
        <v>669318.19999999995</v>
      </c>
      <c r="IS36" s="6">
        <v>671637.3</v>
      </c>
      <c r="IT36" s="6">
        <v>673967.8</v>
      </c>
      <c r="IU36" s="6">
        <v>676390.1</v>
      </c>
      <c r="IV36" s="6">
        <v>678824.4</v>
      </c>
      <c r="IW36" s="6">
        <v>681268.1</v>
      </c>
      <c r="IX36" s="6">
        <v>683722.6</v>
      </c>
      <c r="IY36" s="6">
        <v>686250</v>
      </c>
      <c r="IZ36" s="6">
        <v>688789.4</v>
      </c>
      <c r="JA36" s="6">
        <v>691342.8</v>
      </c>
      <c r="JB36" s="6">
        <v>693909.7</v>
      </c>
      <c r="JC36" s="6">
        <v>696489.4</v>
      </c>
      <c r="JD36" s="6">
        <v>699082.7</v>
      </c>
      <c r="JE36" s="6">
        <v>701689.6</v>
      </c>
      <c r="JF36" s="6">
        <v>704309.7</v>
      </c>
      <c r="JG36" s="6">
        <v>707004.3</v>
      </c>
      <c r="JH36" s="6">
        <v>709713.2</v>
      </c>
      <c r="JI36" s="6">
        <v>712438.6</v>
      </c>
      <c r="JJ36" s="6">
        <v>715175.9</v>
      </c>
      <c r="JK36" s="6">
        <v>717930.4</v>
      </c>
      <c r="JL36" s="6">
        <v>720699.1</v>
      </c>
      <c r="JM36" s="6">
        <v>723481.9</v>
      </c>
      <c r="JN36" s="6">
        <v>726280.3</v>
      </c>
      <c r="JO36" s="6">
        <v>729095.1</v>
      </c>
      <c r="JP36" s="6">
        <v>731917.3</v>
      </c>
      <c r="JQ36" s="6">
        <v>734748.9</v>
      </c>
      <c r="JR36" s="6">
        <v>737590.9</v>
      </c>
      <c r="JS36" s="6">
        <v>740390.9</v>
      </c>
      <c r="JT36" s="6">
        <v>743198.7</v>
      </c>
      <c r="JU36" s="6">
        <v>746015</v>
      </c>
      <c r="JV36" s="6">
        <v>748840.6</v>
      </c>
      <c r="JW36" s="6">
        <v>751675.4</v>
      </c>
      <c r="JX36" s="6">
        <v>754516.6</v>
      </c>
      <c r="JY36" s="6">
        <v>757368.6</v>
      </c>
      <c r="JZ36" s="6">
        <v>760226.9</v>
      </c>
      <c r="KA36" s="6">
        <v>763094.7</v>
      </c>
      <c r="KB36" s="6">
        <v>765971.1</v>
      </c>
      <c r="KC36" s="6">
        <v>768853.1</v>
      </c>
      <c r="KD36" s="6">
        <v>771743.8</v>
      </c>
      <c r="KE36" s="6">
        <v>774643.19999999995</v>
      </c>
      <c r="KF36" s="6">
        <v>777550.4</v>
      </c>
      <c r="KG36" s="6">
        <v>780462.7</v>
      </c>
      <c r="KH36" s="6">
        <v>783385.8</v>
      </c>
      <c r="KI36" s="6">
        <v>786316.9</v>
      </c>
      <c r="KJ36" s="6">
        <v>789252.2</v>
      </c>
      <c r="KK36" s="6">
        <v>792198.4</v>
      </c>
      <c r="KL36" s="6">
        <v>795151.1</v>
      </c>
      <c r="KM36" s="6">
        <v>798111.1</v>
      </c>
      <c r="KN36" s="6">
        <v>801080.4</v>
      </c>
      <c r="KO36" s="6">
        <v>804056.3</v>
      </c>
      <c r="KP36" s="6">
        <v>807040.8</v>
      </c>
      <c r="KQ36" s="6">
        <v>810032.6</v>
      </c>
      <c r="KR36" s="6">
        <v>813033.2</v>
      </c>
      <c r="KS36" s="6">
        <v>816038.6</v>
      </c>
      <c r="KT36" s="6">
        <v>819056.8</v>
      </c>
      <c r="KU36" s="6">
        <v>822080.5</v>
      </c>
      <c r="KV36" s="6">
        <v>825113.1</v>
      </c>
      <c r="KW36" s="6">
        <v>828152.9</v>
      </c>
      <c r="KX36" s="6">
        <v>831200.8</v>
      </c>
      <c r="KY36" s="6">
        <v>834255.9</v>
      </c>
      <c r="KZ36" s="6">
        <v>837321.4</v>
      </c>
      <c r="LA36" s="6">
        <v>840392.6</v>
      </c>
      <c r="LB36" s="6">
        <v>843472.6</v>
      </c>
      <c r="LC36" s="6">
        <v>846559.9</v>
      </c>
      <c r="LD36" s="6">
        <v>849654.4</v>
      </c>
      <c r="LE36" s="6">
        <v>852759.5</v>
      </c>
      <c r="LF36" s="6">
        <v>855869.4</v>
      </c>
      <c r="LG36" s="2" t="s">
        <v>600</v>
      </c>
      <c r="LH36" s="2" t="s">
        <v>348</v>
      </c>
      <c r="LI36" s="4" t="s">
        <v>337</v>
      </c>
      <c r="LJ36" s="2" t="s">
        <v>338</v>
      </c>
      <c r="LK36" s="2" t="s">
        <v>478</v>
      </c>
      <c r="LL36" s="2" t="s">
        <v>340</v>
      </c>
      <c r="LM36" s="2" t="s">
        <v>338</v>
      </c>
      <c r="LN36" s="2" t="s">
        <v>601</v>
      </c>
      <c r="LO36" s="2" t="s">
        <v>338</v>
      </c>
      <c r="LP36" s="2" t="s">
        <v>343</v>
      </c>
      <c r="LQ36" s="2" t="s">
        <v>602</v>
      </c>
      <c r="LR36" s="4" t="s">
        <v>659</v>
      </c>
      <c r="LS36"/>
      <c r="LT36"/>
      <c r="LU36"/>
      <c r="LV36"/>
      <c r="LW36"/>
      <c r="LX36"/>
    </row>
    <row r="37" spans="1:336" x14ac:dyDescent="0.35">
      <c r="A37" s="2" t="s">
        <v>330</v>
      </c>
      <c r="B37" s="2" t="s">
        <v>603</v>
      </c>
      <c r="C37" s="4" t="s">
        <v>658</v>
      </c>
      <c r="D37" s="2" t="s">
        <v>332</v>
      </c>
      <c r="E37" s="2" t="s">
        <v>333</v>
      </c>
      <c r="F37" s="2" t="s">
        <v>334</v>
      </c>
      <c r="G37" s="5">
        <v>5903</v>
      </c>
      <c r="H37" s="5">
        <v>5685</v>
      </c>
      <c r="I37" s="5">
        <v>6117</v>
      </c>
      <c r="J37" s="5">
        <v>6558</v>
      </c>
      <c r="K37" s="5">
        <v>7324</v>
      </c>
      <c r="L37" s="5">
        <v>6969</v>
      </c>
      <c r="M37" s="5">
        <v>8197</v>
      </c>
      <c r="N37" s="5">
        <v>9003</v>
      </c>
      <c r="O37" s="5">
        <v>9970</v>
      </c>
      <c r="P37" s="5">
        <v>9857</v>
      </c>
      <c r="Q37" s="5">
        <v>10748</v>
      </c>
      <c r="R37" s="5">
        <v>11248</v>
      </c>
      <c r="S37" s="5">
        <v>12067</v>
      </c>
      <c r="T37" s="5">
        <v>12029</v>
      </c>
      <c r="U37" s="5">
        <v>12744</v>
      </c>
      <c r="V37" s="5">
        <v>12843</v>
      </c>
      <c r="W37" s="5">
        <v>13650</v>
      </c>
      <c r="X37" s="5">
        <v>13432</v>
      </c>
      <c r="Y37" s="5">
        <v>14052</v>
      </c>
      <c r="Z37" s="5">
        <v>14415</v>
      </c>
      <c r="AA37" s="5">
        <v>15656</v>
      </c>
      <c r="AB37" s="5">
        <v>15424</v>
      </c>
      <c r="AC37" s="5">
        <v>16062</v>
      </c>
      <c r="AD37" s="5">
        <v>16711</v>
      </c>
      <c r="AE37" s="5">
        <v>17874</v>
      </c>
      <c r="AF37" s="5">
        <v>18173</v>
      </c>
      <c r="AG37" s="5">
        <v>19068</v>
      </c>
      <c r="AH37" s="5">
        <v>20021</v>
      </c>
      <c r="AI37" s="5">
        <v>22229</v>
      </c>
      <c r="AJ37" s="5">
        <v>22146</v>
      </c>
      <c r="AK37" s="5">
        <v>23935</v>
      </c>
      <c r="AL37" s="5">
        <v>24175</v>
      </c>
      <c r="AM37" s="5">
        <v>26380</v>
      </c>
      <c r="AN37" s="5">
        <v>26203</v>
      </c>
      <c r="AO37" s="5">
        <v>27949</v>
      </c>
      <c r="AP37" s="5">
        <v>26934</v>
      </c>
      <c r="AQ37" s="5">
        <v>29501</v>
      </c>
      <c r="AR37" s="5">
        <v>28856</v>
      </c>
      <c r="AS37" s="5">
        <v>30155</v>
      </c>
      <c r="AT37" s="5">
        <v>30212</v>
      </c>
      <c r="AU37" s="5">
        <v>32213</v>
      </c>
      <c r="AV37" s="5">
        <v>31312</v>
      </c>
      <c r="AW37" s="5">
        <v>32277</v>
      </c>
      <c r="AX37" s="5">
        <v>32618</v>
      </c>
      <c r="AY37" s="5">
        <v>34820</v>
      </c>
      <c r="AZ37" s="5">
        <v>33897</v>
      </c>
      <c r="BA37" s="5">
        <v>34360</v>
      </c>
      <c r="BB37" s="5">
        <v>35416</v>
      </c>
      <c r="BC37" s="5">
        <v>38146</v>
      </c>
      <c r="BD37" s="5">
        <v>36578</v>
      </c>
      <c r="BE37" s="5">
        <v>36810</v>
      </c>
      <c r="BF37" s="5">
        <v>37959</v>
      </c>
      <c r="BG37" s="5">
        <v>39214</v>
      </c>
      <c r="BH37" s="5">
        <v>38256</v>
      </c>
      <c r="BI37" s="5">
        <v>39466</v>
      </c>
      <c r="BJ37" s="5">
        <v>40118</v>
      </c>
      <c r="BK37" s="5">
        <v>41050</v>
      </c>
      <c r="BL37" s="5">
        <v>41027</v>
      </c>
      <c r="BM37" s="5">
        <v>41984</v>
      </c>
      <c r="BN37" s="5">
        <v>43205</v>
      </c>
      <c r="BO37" s="5">
        <v>43943</v>
      </c>
      <c r="BP37" s="5">
        <v>42650</v>
      </c>
      <c r="BQ37" s="5">
        <v>42939</v>
      </c>
      <c r="BR37" s="5">
        <v>45986</v>
      </c>
      <c r="BS37" s="5">
        <v>45476</v>
      </c>
      <c r="BT37" s="5">
        <v>46109</v>
      </c>
      <c r="BU37" s="5">
        <v>47795</v>
      </c>
      <c r="BV37" s="5">
        <v>48829</v>
      </c>
      <c r="BW37" s="5">
        <v>49490</v>
      </c>
      <c r="BX37" s="5">
        <v>50774</v>
      </c>
      <c r="BY37" s="5">
        <v>51384</v>
      </c>
      <c r="BZ37" s="5">
        <v>54213</v>
      </c>
      <c r="CA37" s="5">
        <v>53218</v>
      </c>
      <c r="CB37" s="5">
        <v>56325</v>
      </c>
      <c r="CC37" s="5">
        <v>57414</v>
      </c>
      <c r="CD37" s="5">
        <v>58776</v>
      </c>
      <c r="CE37" s="5">
        <v>61160</v>
      </c>
      <c r="CF37" s="5">
        <v>62589</v>
      </c>
      <c r="CG37" s="5">
        <v>63100</v>
      </c>
      <c r="CH37" s="5">
        <v>63819</v>
      </c>
      <c r="CI37" s="5">
        <v>65076</v>
      </c>
      <c r="CJ37" s="5">
        <v>65931</v>
      </c>
      <c r="CK37" s="5">
        <v>65848</v>
      </c>
      <c r="CL37" s="5">
        <v>67902</v>
      </c>
      <c r="CM37" s="5">
        <v>68979</v>
      </c>
      <c r="CN37" s="5">
        <v>69162</v>
      </c>
      <c r="CO37" s="5">
        <v>69279</v>
      </c>
      <c r="CP37" s="5">
        <v>70104</v>
      </c>
      <c r="CQ37" s="5">
        <v>71811</v>
      </c>
      <c r="CR37" s="5">
        <v>72213</v>
      </c>
      <c r="CS37" s="5">
        <v>73076</v>
      </c>
      <c r="CT37" s="5">
        <v>75411</v>
      </c>
      <c r="CU37" s="5">
        <v>73589</v>
      </c>
      <c r="CV37" s="5">
        <v>75205</v>
      </c>
      <c r="CW37" s="5">
        <v>74908</v>
      </c>
      <c r="CX37" s="5">
        <v>76551</v>
      </c>
      <c r="CY37" s="5">
        <v>76803</v>
      </c>
      <c r="CZ37" s="5">
        <v>77805</v>
      </c>
      <c r="DA37" s="5">
        <v>79110</v>
      </c>
      <c r="DB37" s="5">
        <v>79646</v>
      </c>
      <c r="DC37" s="5">
        <v>80807</v>
      </c>
      <c r="DD37" s="5">
        <v>80338</v>
      </c>
      <c r="DE37" s="5">
        <v>81050</v>
      </c>
      <c r="DF37" s="5">
        <v>83837</v>
      </c>
      <c r="DG37" s="5">
        <v>81870</v>
      </c>
      <c r="DH37" s="5">
        <v>82734</v>
      </c>
      <c r="DI37" s="5">
        <v>84995</v>
      </c>
      <c r="DJ37" s="5">
        <v>86162</v>
      </c>
      <c r="DK37" s="5">
        <v>84891</v>
      </c>
      <c r="DL37" s="5">
        <v>87812</v>
      </c>
      <c r="DM37" s="5">
        <v>90514</v>
      </c>
      <c r="DN37" s="5">
        <v>92093</v>
      </c>
      <c r="DO37" s="5">
        <v>90828</v>
      </c>
      <c r="DP37" s="5">
        <v>92592</v>
      </c>
      <c r="DQ37" s="5">
        <v>93272</v>
      </c>
      <c r="DR37" s="5">
        <v>96828</v>
      </c>
      <c r="DS37" s="5">
        <v>97177</v>
      </c>
      <c r="DT37" s="5">
        <v>100920</v>
      </c>
      <c r="DU37" s="5">
        <v>101072</v>
      </c>
      <c r="DV37" s="5">
        <v>102757</v>
      </c>
      <c r="DW37" s="5">
        <v>103583</v>
      </c>
      <c r="DX37" s="5">
        <v>110393</v>
      </c>
      <c r="DY37" s="5">
        <v>111462</v>
      </c>
      <c r="DZ37" s="5">
        <v>111913</v>
      </c>
      <c r="EA37" s="5">
        <v>111771</v>
      </c>
      <c r="EB37" s="5">
        <v>116645</v>
      </c>
      <c r="EC37" s="5">
        <v>120227</v>
      </c>
      <c r="ED37" s="5">
        <v>120776</v>
      </c>
      <c r="EE37" s="5">
        <v>121084</v>
      </c>
      <c r="EF37" s="5">
        <v>122925</v>
      </c>
      <c r="EG37" s="5">
        <v>127446</v>
      </c>
      <c r="EH37" s="5">
        <v>128401</v>
      </c>
      <c r="EI37" s="5">
        <v>129288</v>
      </c>
      <c r="EJ37" s="5">
        <v>129229</v>
      </c>
      <c r="EK37" s="5">
        <v>134375</v>
      </c>
      <c r="EL37" s="5">
        <v>133717</v>
      </c>
      <c r="EM37" s="5">
        <v>134890</v>
      </c>
      <c r="EN37" s="5">
        <v>137035</v>
      </c>
      <c r="EO37" s="5">
        <v>141796</v>
      </c>
      <c r="EP37" s="5">
        <v>142266</v>
      </c>
      <c r="EQ37" s="5">
        <v>144671</v>
      </c>
      <c r="ER37" s="5">
        <v>145613</v>
      </c>
      <c r="ES37" s="5">
        <v>150789</v>
      </c>
      <c r="ET37" s="5">
        <v>151011</v>
      </c>
      <c r="EU37" s="5">
        <v>152999</v>
      </c>
      <c r="EV37" s="5">
        <v>155491</v>
      </c>
      <c r="EW37" s="5">
        <v>156731</v>
      </c>
      <c r="EX37" s="5">
        <v>159125</v>
      </c>
      <c r="EY37" s="5">
        <v>163454</v>
      </c>
      <c r="EZ37" s="5">
        <v>162430</v>
      </c>
      <c r="FA37" s="5">
        <v>164687</v>
      </c>
      <c r="FB37" s="5">
        <v>167607</v>
      </c>
      <c r="FC37" s="5">
        <v>167856</v>
      </c>
      <c r="FD37" s="5">
        <v>164810</v>
      </c>
      <c r="FE37" s="5">
        <v>167303</v>
      </c>
      <c r="FF37" s="5">
        <v>168985</v>
      </c>
      <c r="FG37" s="5">
        <v>170159</v>
      </c>
      <c r="FH37" s="5">
        <v>169647</v>
      </c>
      <c r="FI37" s="5">
        <v>169078</v>
      </c>
      <c r="FJ37" s="5">
        <v>173453</v>
      </c>
      <c r="FK37" s="5">
        <v>170781</v>
      </c>
      <c r="FL37" s="5">
        <v>173261</v>
      </c>
      <c r="FM37" s="5">
        <v>172168</v>
      </c>
      <c r="FN37" s="5">
        <v>175507</v>
      </c>
      <c r="FO37" s="5">
        <v>173688</v>
      </c>
      <c r="FP37" s="5">
        <v>175400</v>
      </c>
      <c r="FQ37" s="5">
        <v>176946</v>
      </c>
      <c r="FR37" s="5">
        <v>179147</v>
      </c>
      <c r="FS37" s="5">
        <v>173655</v>
      </c>
      <c r="FT37" s="5">
        <v>177942</v>
      </c>
      <c r="FU37" s="5">
        <v>179267</v>
      </c>
      <c r="FV37" s="5">
        <v>179616</v>
      </c>
      <c r="FW37" s="5">
        <v>179117</v>
      </c>
      <c r="FX37" s="5">
        <v>181333</v>
      </c>
      <c r="FY37" s="5">
        <v>184200</v>
      </c>
      <c r="FZ37" s="5">
        <v>181589</v>
      </c>
      <c r="GA37" s="5">
        <v>180339</v>
      </c>
      <c r="GB37" s="5">
        <v>188040</v>
      </c>
      <c r="GC37" s="5">
        <v>185694</v>
      </c>
      <c r="GD37" s="5">
        <v>185073</v>
      </c>
      <c r="GE37" s="5">
        <v>184986</v>
      </c>
      <c r="GF37" s="5">
        <v>188487</v>
      </c>
      <c r="GG37" s="5">
        <v>191210</v>
      </c>
      <c r="GH37" s="5">
        <v>192223</v>
      </c>
      <c r="GI37" s="5">
        <v>189288</v>
      </c>
      <c r="GJ37" s="5">
        <v>198147</v>
      </c>
      <c r="GK37" s="5">
        <v>196701</v>
      </c>
      <c r="GL37" s="5">
        <v>197932</v>
      </c>
      <c r="GM37" s="5">
        <v>200180</v>
      </c>
      <c r="GN37" s="5">
        <v>266834</v>
      </c>
      <c r="GO37" s="5">
        <v>235675</v>
      </c>
      <c r="GP37" s="5">
        <v>236417</v>
      </c>
      <c r="GQ37" s="5">
        <v>242350</v>
      </c>
      <c r="GR37" s="5">
        <v>239827</v>
      </c>
      <c r="GS37" s="5">
        <v>231201</v>
      </c>
      <c r="GT37" s="5">
        <v>229516</v>
      </c>
      <c r="GU37" s="5">
        <v>236136</v>
      </c>
      <c r="GV37" s="5">
        <v>252934</v>
      </c>
      <c r="GW37" s="5">
        <v>251086</v>
      </c>
      <c r="GX37" s="5">
        <v>276099</v>
      </c>
      <c r="GY37" s="5">
        <v>270953</v>
      </c>
      <c r="GZ37" s="5">
        <v>278033</v>
      </c>
      <c r="HA37" s="5">
        <v>262911</v>
      </c>
      <c r="HB37" s="5">
        <v>268241</v>
      </c>
      <c r="HC37" s="6">
        <v>276139.09999999998</v>
      </c>
      <c r="HD37" s="6">
        <v>272847.3</v>
      </c>
      <c r="HE37" s="6">
        <v>275221.7</v>
      </c>
      <c r="HF37" s="6">
        <v>277504.5</v>
      </c>
      <c r="HG37" s="6">
        <v>276657.59999999998</v>
      </c>
      <c r="HH37" s="6">
        <v>281061.90000000002</v>
      </c>
      <c r="HI37" s="6">
        <v>283507.7</v>
      </c>
      <c r="HJ37" s="6">
        <v>285859.3</v>
      </c>
      <c r="HK37" s="6">
        <v>284986.8</v>
      </c>
      <c r="HL37" s="6">
        <v>290600.2</v>
      </c>
      <c r="HM37" s="6">
        <v>293129</v>
      </c>
      <c r="HN37" s="6">
        <v>295560.3</v>
      </c>
      <c r="HO37" s="6">
        <v>294658.3</v>
      </c>
      <c r="HP37" s="6">
        <v>298858.2</v>
      </c>
      <c r="HQ37" s="6">
        <v>301458.8</v>
      </c>
      <c r="HR37" s="6">
        <v>303959.3</v>
      </c>
      <c r="HS37" s="6">
        <v>303031.59999999998</v>
      </c>
      <c r="HT37" s="6">
        <v>308730.5</v>
      </c>
      <c r="HU37" s="6">
        <v>311417.09999999998</v>
      </c>
      <c r="HV37" s="6">
        <v>314000.2</v>
      </c>
      <c r="HW37" s="6">
        <v>313041.8</v>
      </c>
      <c r="HX37" s="6">
        <v>320021.09999999998</v>
      </c>
      <c r="HY37" s="6">
        <v>322757.7</v>
      </c>
      <c r="HZ37" s="6">
        <v>325434.7</v>
      </c>
      <c r="IA37" s="6">
        <v>324473.8</v>
      </c>
      <c r="IB37" s="6">
        <v>331800.2</v>
      </c>
      <c r="IC37" s="6">
        <v>334717.3</v>
      </c>
      <c r="ID37" s="6">
        <v>337557.5</v>
      </c>
      <c r="IE37" s="6">
        <v>336590.7</v>
      </c>
      <c r="IF37" s="6">
        <v>344346.7</v>
      </c>
      <c r="IG37" s="6">
        <v>347372.6</v>
      </c>
      <c r="IH37" s="6">
        <v>350319</v>
      </c>
      <c r="II37" s="6">
        <v>349319.7</v>
      </c>
      <c r="IJ37" s="6">
        <v>357368.9</v>
      </c>
      <c r="IK37" s="6">
        <v>360475.3</v>
      </c>
      <c r="IL37" s="6">
        <v>363461.9</v>
      </c>
      <c r="IM37" s="6">
        <v>362367.6</v>
      </c>
      <c r="IN37" s="6">
        <v>370636.3</v>
      </c>
      <c r="IO37" s="6">
        <v>373794.6</v>
      </c>
      <c r="IP37" s="6">
        <v>376870</v>
      </c>
      <c r="IQ37" s="6">
        <v>375721</v>
      </c>
      <c r="IR37" s="6">
        <v>384299.3</v>
      </c>
      <c r="IS37" s="6">
        <v>387554.6</v>
      </c>
      <c r="IT37" s="6">
        <v>390715.2</v>
      </c>
      <c r="IU37" s="6">
        <v>389526.3</v>
      </c>
      <c r="IV37" s="6">
        <v>398415.4</v>
      </c>
      <c r="IW37" s="6">
        <v>401839.2</v>
      </c>
      <c r="IX37" s="6">
        <v>405170.8</v>
      </c>
      <c r="IY37" s="6">
        <v>403978.9</v>
      </c>
      <c r="IZ37" s="6">
        <v>413237</v>
      </c>
      <c r="JA37" s="6">
        <v>416831.6</v>
      </c>
      <c r="JB37" s="6">
        <v>420332.6</v>
      </c>
      <c r="JC37" s="6">
        <v>419106.3</v>
      </c>
      <c r="JD37" s="6">
        <v>428717.5</v>
      </c>
      <c r="JE37" s="6">
        <v>432454.7</v>
      </c>
      <c r="JF37" s="6">
        <v>436095.4</v>
      </c>
      <c r="JG37" s="6">
        <v>434874.2</v>
      </c>
      <c r="JH37" s="6">
        <v>444895.1</v>
      </c>
      <c r="JI37" s="6">
        <v>448824.9</v>
      </c>
      <c r="JJ37" s="6">
        <v>452655.8</v>
      </c>
      <c r="JK37" s="6">
        <v>451399.6</v>
      </c>
      <c r="JL37" s="6">
        <v>461809.3</v>
      </c>
      <c r="JM37" s="6">
        <v>465898.5</v>
      </c>
      <c r="JN37" s="6">
        <v>469885.1</v>
      </c>
      <c r="JO37" s="6">
        <v>468592.8</v>
      </c>
      <c r="JP37" s="6">
        <v>479402.7</v>
      </c>
      <c r="JQ37" s="6">
        <v>483649.8</v>
      </c>
      <c r="JR37" s="6">
        <v>487786.5</v>
      </c>
      <c r="JS37" s="6">
        <v>486407.2</v>
      </c>
      <c r="JT37" s="6">
        <v>497585.4</v>
      </c>
      <c r="JU37" s="6">
        <v>501952.4</v>
      </c>
      <c r="JV37" s="6">
        <v>506203.3</v>
      </c>
      <c r="JW37" s="6">
        <v>504766.6</v>
      </c>
      <c r="JX37" s="6">
        <v>516357</v>
      </c>
      <c r="JY37" s="6">
        <v>520881</v>
      </c>
      <c r="JZ37" s="6">
        <v>525284.80000000005</v>
      </c>
      <c r="KA37" s="6">
        <v>523790.2</v>
      </c>
      <c r="KB37" s="6">
        <v>535809.69999999995</v>
      </c>
      <c r="KC37" s="6">
        <v>540498.19999999995</v>
      </c>
      <c r="KD37" s="6">
        <v>545061.1</v>
      </c>
      <c r="KE37" s="6">
        <v>543502.19999999995</v>
      </c>
      <c r="KF37" s="6">
        <v>555961.59999999998</v>
      </c>
      <c r="KG37" s="6">
        <v>560815.6</v>
      </c>
      <c r="KH37" s="6">
        <v>565539.4</v>
      </c>
      <c r="KI37" s="6">
        <v>563913.19999999995</v>
      </c>
      <c r="KJ37" s="6">
        <v>576827.5</v>
      </c>
      <c r="KK37" s="6">
        <v>581852.9</v>
      </c>
      <c r="KL37" s="6">
        <v>586742.80000000005</v>
      </c>
      <c r="KM37" s="6">
        <v>585046.5</v>
      </c>
      <c r="KN37" s="6">
        <v>598431.6</v>
      </c>
      <c r="KO37" s="6">
        <v>603634.1</v>
      </c>
      <c r="KP37" s="6">
        <v>608696.1</v>
      </c>
      <c r="KQ37" s="6">
        <v>606926.80000000005</v>
      </c>
      <c r="KR37" s="6">
        <v>620799.1</v>
      </c>
      <c r="KS37" s="6">
        <v>626184.80000000005</v>
      </c>
      <c r="KT37" s="6">
        <v>631424.9</v>
      </c>
      <c r="KU37" s="6">
        <v>629580.5</v>
      </c>
      <c r="KV37" s="6">
        <v>643957.19999999995</v>
      </c>
      <c r="KW37" s="6">
        <v>649532.4</v>
      </c>
      <c r="KX37" s="6">
        <v>654956.6</v>
      </c>
      <c r="KY37" s="6">
        <v>653033.69999999995</v>
      </c>
      <c r="KZ37" s="6">
        <v>667932.19999999995</v>
      </c>
      <c r="LA37" s="6">
        <v>673703.1</v>
      </c>
      <c r="LB37" s="6">
        <v>679317.1</v>
      </c>
      <c r="LC37" s="6">
        <v>677312.1</v>
      </c>
      <c r="LD37" s="6">
        <v>692750.1</v>
      </c>
      <c r="LE37" s="6">
        <v>698722.7</v>
      </c>
      <c r="LF37" s="6">
        <v>704532.5</v>
      </c>
      <c r="LG37" s="2" t="s">
        <v>335</v>
      </c>
      <c r="LH37" s="2" t="s">
        <v>348</v>
      </c>
      <c r="LI37" s="2" t="s">
        <v>338</v>
      </c>
      <c r="LJ37" s="2" t="s">
        <v>338</v>
      </c>
      <c r="LK37" s="2" t="s">
        <v>339</v>
      </c>
      <c r="LL37" s="2" t="s">
        <v>623</v>
      </c>
      <c r="LM37" s="2" t="s">
        <v>338</v>
      </c>
      <c r="LN37" s="4" t="s">
        <v>604</v>
      </c>
      <c r="LO37" s="2" t="s">
        <v>605</v>
      </c>
      <c r="LP37" s="2" t="s">
        <v>343</v>
      </c>
      <c r="LQ37" s="2" t="s">
        <v>606</v>
      </c>
      <c r="LR37" s="4" t="s">
        <v>659</v>
      </c>
      <c r="LS37"/>
      <c r="LT37"/>
      <c r="LU37"/>
      <c r="LV37"/>
      <c r="LW37"/>
      <c r="LX37"/>
    </row>
    <row r="38" spans="1:336" x14ac:dyDescent="0.35">
      <c r="A38" s="2" t="s">
        <v>330</v>
      </c>
      <c r="B38" s="2" t="s">
        <v>607</v>
      </c>
      <c r="C38" s="4" t="s">
        <v>658</v>
      </c>
      <c r="D38" s="2" t="s">
        <v>332</v>
      </c>
      <c r="E38" s="2" t="s">
        <v>333</v>
      </c>
      <c r="F38" s="2" t="s">
        <v>334</v>
      </c>
      <c r="G38" s="5">
        <v>7751</v>
      </c>
      <c r="H38" s="5">
        <v>6155</v>
      </c>
      <c r="I38" s="5">
        <v>7311</v>
      </c>
      <c r="J38" s="5">
        <v>7697</v>
      </c>
      <c r="K38" s="5">
        <v>8811</v>
      </c>
      <c r="L38" s="5">
        <v>8234</v>
      </c>
      <c r="M38" s="5">
        <v>9232</v>
      </c>
      <c r="N38" s="5">
        <v>9972</v>
      </c>
      <c r="O38" s="5">
        <v>10865</v>
      </c>
      <c r="P38" s="5">
        <v>10738</v>
      </c>
      <c r="Q38" s="5">
        <v>11743</v>
      </c>
      <c r="R38" s="5">
        <v>12800</v>
      </c>
      <c r="S38" s="5">
        <v>13201</v>
      </c>
      <c r="T38" s="5">
        <v>13130</v>
      </c>
      <c r="U38" s="5">
        <v>13474</v>
      </c>
      <c r="V38" s="5">
        <v>15062</v>
      </c>
      <c r="W38" s="5">
        <v>15462</v>
      </c>
      <c r="X38" s="5">
        <v>15013</v>
      </c>
      <c r="Y38" s="5">
        <v>15459</v>
      </c>
      <c r="Z38" s="5">
        <v>16198</v>
      </c>
      <c r="AA38" s="5">
        <v>17089</v>
      </c>
      <c r="AB38" s="5">
        <v>16564</v>
      </c>
      <c r="AC38" s="5">
        <v>16684</v>
      </c>
      <c r="AD38" s="5">
        <v>18562</v>
      </c>
      <c r="AE38" s="5">
        <v>19174</v>
      </c>
      <c r="AF38" s="5">
        <v>19318</v>
      </c>
      <c r="AG38" s="5">
        <v>20016</v>
      </c>
      <c r="AH38" s="5">
        <v>22156</v>
      </c>
      <c r="AI38" s="5">
        <v>25187</v>
      </c>
      <c r="AJ38" s="5">
        <v>22584</v>
      </c>
      <c r="AK38" s="5">
        <v>25347</v>
      </c>
      <c r="AL38" s="5">
        <v>26916</v>
      </c>
      <c r="AM38" s="5">
        <v>28137</v>
      </c>
      <c r="AN38" s="5">
        <v>26402</v>
      </c>
      <c r="AO38" s="5">
        <v>29199</v>
      </c>
      <c r="AP38" s="5">
        <v>32063</v>
      </c>
      <c r="AQ38" s="5">
        <v>34258</v>
      </c>
      <c r="AR38" s="5">
        <v>29926</v>
      </c>
      <c r="AS38" s="5">
        <v>32417</v>
      </c>
      <c r="AT38" s="5">
        <v>33404</v>
      </c>
      <c r="AU38" s="5">
        <v>37132</v>
      </c>
      <c r="AV38" s="5">
        <v>32007</v>
      </c>
      <c r="AW38" s="5">
        <v>33564</v>
      </c>
      <c r="AX38" s="5">
        <v>37257</v>
      </c>
      <c r="AY38" s="5">
        <v>38533</v>
      </c>
      <c r="AZ38" s="5">
        <v>33550</v>
      </c>
      <c r="BA38" s="5">
        <v>36801</v>
      </c>
      <c r="BB38" s="5">
        <v>39278</v>
      </c>
      <c r="BC38" s="5">
        <v>41736</v>
      </c>
      <c r="BD38" s="5">
        <v>35896</v>
      </c>
      <c r="BE38" s="5">
        <v>40482</v>
      </c>
      <c r="BF38" s="5">
        <v>41772</v>
      </c>
      <c r="BG38" s="5">
        <v>44095</v>
      </c>
      <c r="BH38" s="5">
        <v>39137</v>
      </c>
      <c r="BI38" s="5">
        <v>40389</v>
      </c>
      <c r="BJ38" s="5">
        <v>44482</v>
      </c>
      <c r="BK38" s="5">
        <v>46249</v>
      </c>
      <c r="BL38" s="5">
        <v>40445</v>
      </c>
      <c r="BM38" s="5">
        <v>44904</v>
      </c>
      <c r="BN38" s="5">
        <v>47949</v>
      </c>
      <c r="BO38" s="5">
        <v>51770</v>
      </c>
      <c r="BP38" s="5">
        <v>44886</v>
      </c>
      <c r="BQ38" s="5">
        <v>48508</v>
      </c>
      <c r="BR38" s="5">
        <v>53051</v>
      </c>
      <c r="BS38" s="5">
        <v>56240</v>
      </c>
      <c r="BT38" s="5">
        <v>48841</v>
      </c>
      <c r="BU38" s="5">
        <v>52802</v>
      </c>
      <c r="BV38" s="5">
        <v>58013</v>
      </c>
      <c r="BW38" s="5">
        <v>58974</v>
      </c>
      <c r="BX38" s="5">
        <v>53125</v>
      </c>
      <c r="BY38" s="5">
        <v>56892</v>
      </c>
      <c r="BZ38" s="5">
        <v>60105</v>
      </c>
      <c r="CA38" s="5">
        <v>60255</v>
      </c>
      <c r="CB38" s="5">
        <v>55016</v>
      </c>
      <c r="CC38" s="5">
        <v>58618</v>
      </c>
      <c r="CD38" s="5">
        <v>61820</v>
      </c>
      <c r="CE38" s="5">
        <v>64179</v>
      </c>
      <c r="CF38" s="5">
        <v>54879</v>
      </c>
      <c r="CG38" s="5">
        <v>58369</v>
      </c>
      <c r="CH38" s="5">
        <v>61468</v>
      </c>
      <c r="CI38" s="5">
        <v>62189</v>
      </c>
      <c r="CJ38" s="5">
        <v>56316</v>
      </c>
      <c r="CK38" s="5">
        <v>59845</v>
      </c>
      <c r="CL38" s="5">
        <v>63458</v>
      </c>
      <c r="CM38" s="5">
        <v>65089</v>
      </c>
      <c r="CN38" s="5">
        <v>60227</v>
      </c>
      <c r="CO38" s="5">
        <v>64783</v>
      </c>
      <c r="CP38" s="5">
        <v>68985</v>
      </c>
      <c r="CQ38" s="5">
        <v>70558</v>
      </c>
      <c r="CR38" s="5">
        <v>66026</v>
      </c>
      <c r="CS38" s="5">
        <v>69368</v>
      </c>
      <c r="CT38" s="5">
        <v>75774</v>
      </c>
      <c r="CU38" s="5">
        <v>76132</v>
      </c>
      <c r="CV38" s="5">
        <v>66604</v>
      </c>
      <c r="CW38" s="5">
        <v>72083</v>
      </c>
      <c r="CX38" s="5">
        <v>80203</v>
      </c>
      <c r="CY38" s="5">
        <v>80621</v>
      </c>
      <c r="CZ38" s="5">
        <v>72148</v>
      </c>
      <c r="DA38" s="5">
        <v>79312</v>
      </c>
      <c r="DB38" s="5">
        <v>88244</v>
      </c>
      <c r="DC38" s="5">
        <v>94402</v>
      </c>
      <c r="DD38" s="5">
        <v>76789</v>
      </c>
      <c r="DE38" s="5">
        <v>86404</v>
      </c>
      <c r="DF38" s="5">
        <v>93285</v>
      </c>
      <c r="DG38" s="5">
        <v>99039</v>
      </c>
      <c r="DH38" s="5">
        <v>82431</v>
      </c>
      <c r="DI38" s="5">
        <v>93591</v>
      </c>
      <c r="DJ38" s="5">
        <v>97300</v>
      </c>
      <c r="DK38" s="5">
        <v>106394</v>
      </c>
      <c r="DL38" s="5">
        <v>97084</v>
      </c>
      <c r="DM38" s="5">
        <v>101374</v>
      </c>
      <c r="DN38" s="5">
        <v>95613</v>
      </c>
      <c r="DO38" s="5">
        <v>112379</v>
      </c>
      <c r="DP38" s="5">
        <v>99911</v>
      </c>
      <c r="DQ38" s="5">
        <v>103710</v>
      </c>
      <c r="DR38" s="5">
        <v>96904</v>
      </c>
      <c r="DS38" s="5">
        <v>111725</v>
      </c>
      <c r="DT38" s="5">
        <v>99650</v>
      </c>
      <c r="DU38" s="5">
        <v>104987</v>
      </c>
      <c r="DV38" s="5">
        <v>99620</v>
      </c>
      <c r="DW38" s="5">
        <v>113546</v>
      </c>
      <c r="DX38" s="5">
        <v>106998</v>
      </c>
      <c r="DY38" s="5">
        <v>111206</v>
      </c>
      <c r="DZ38" s="5">
        <v>108749</v>
      </c>
      <c r="EA38" s="5">
        <v>125106</v>
      </c>
      <c r="EB38" s="5">
        <v>112380</v>
      </c>
      <c r="EC38" s="5">
        <v>119739</v>
      </c>
      <c r="ED38" s="5">
        <v>117734</v>
      </c>
      <c r="EE38" s="5">
        <v>134471</v>
      </c>
      <c r="EF38" s="5">
        <v>120756</v>
      </c>
      <c r="EG38" s="5">
        <v>130049</v>
      </c>
      <c r="EH38" s="5">
        <v>125423</v>
      </c>
      <c r="EI38" s="5">
        <v>145287</v>
      </c>
      <c r="EJ38" s="5">
        <v>128490</v>
      </c>
      <c r="EK38" s="5">
        <v>136390</v>
      </c>
      <c r="EL38" s="5">
        <v>131915</v>
      </c>
      <c r="EM38" s="5">
        <v>155389</v>
      </c>
      <c r="EN38" s="5">
        <v>135115</v>
      </c>
      <c r="EO38" s="5">
        <v>144289</v>
      </c>
      <c r="EP38" s="5">
        <v>139318</v>
      </c>
      <c r="EQ38" s="5">
        <v>165171</v>
      </c>
      <c r="ER38" s="5">
        <v>138274</v>
      </c>
      <c r="ES38" s="5">
        <v>145812</v>
      </c>
      <c r="ET38" s="5">
        <v>133804</v>
      </c>
      <c r="EU38" s="5">
        <v>151274</v>
      </c>
      <c r="EV38" s="5">
        <v>130820</v>
      </c>
      <c r="EW38" s="5">
        <v>138743</v>
      </c>
      <c r="EX38" s="5">
        <v>133585</v>
      </c>
      <c r="EY38" s="5">
        <v>160823</v>
      </c>
      <c r="EZ38" s="5">
        <v>144158</v>
      </c>
      <c r="FA38" s="5">
        <v>147917</v>
      </c>
      <c r="FB38" s="5">
        <v>141092</v>
      </c>
      <c r="FC38" s="5">
        <v>170134</v>
      </c>
      <c r="FD38" s="5">
        <v>148613</v>
      </c>
      <c r="FE38" s="5">
        <v>156482</v>
      </c>
      <c r="FF38" s="5">
        <v>148742</v>
      </c>
      <c r="FG38" s="5">
        <v>170927</v>
      </c>
      <c r="FH38" s="5">
        <v>150357</v>
      </c>
      <c r="FI38" s="5">
        <v>159409</v>
      </c>
      <c r="FJ38" s="5">
        <v>152294</v>
      </c>
      <c r="FK38" s="5">
        <v>174583</v>
      </c>
      <c r="FL38" s="5">
        <v>159230</v>
      </c>
      <c r="FM38" s="5">
        <v>164050</v>
      </c>
      <c r="FN38" s="5">
        <v>158786</v>
      </c>
      <c r="FO38" s="5">
        <v>181635</v>
      </c>
      <c r="FP38" s="5">
        <v>161753</v>
      </c>
      <c r="FQ38" s="5">
        <v>170779</v>
      </c>
      <c r="FR38" s="5">
        <v>167112</v>
      </c>
      <c r="FS38" s="5">
        <v>190846</v>
      </c>
      <c r="FT38" s="5">
        <v>168983</v>
      </c>
      <c r="FU38" s="5">
        <v>176091</v>
      </c>
      <c r="FV38" s="5">
        <v>170248</v>
      </c>
      <c r="FW38" s="5">
        <v>198718</v>
      </c>
      <c r="FX38" s="5">
        <v>176416</v>
      </c>
      <c r="FY38" s="5">
        <v>186432</v>
      </c>
      <c r="FZ38" s="5">
        <v>180574</v>
      </c>
      <c r="GA38" s="5">
        <v>214137</v>
      </c>
      <c r="GB38" s="5">
        <v>184263</v>
      </c>
      <c r="GC38" s="5">
        <v>193281</v>
      </c>
      <c r="GD38" s="5">
        <v>188708</v>
      </c>
      <c r="GE38" s="5">
        <v>214449</v>
      </c>
      <c r="GF38" s="5">
        <v>190928</v>
      </c>
      <c r="GG38" s="5">
        <v>199927</v>
      </c>
      <c r="GH38" s="5">
        <v>194473</v>
      </c>
      <c r="GI38" s="5">
        <v>228199</v>
      </c>
      <c r="GJ38" s="5">
        <v>195650</v>
      </c>
      <c r="GK38" s="5">
        <v>206565</v>
      </c>
      <c r="GL38" s="5">
        <v>195296</v>
      </c>
      <c r="GM38" s="5">
        <v>229356</v>
      </c>
      <c r="GN38" s="5">
        <v>169197</v>
      </c>
      <c r="GO38" s="5">
        <v>191126</v>
      </c>
      <c r="GP38" s="5">
        <v>199164</v>
      </c>
      <c r="GQ38" s="5">
        <v>235578</v>
      </c>
      <c r="GR38" s="5">
        <v>204972</v>
      </c>
      <c r="GS38" s="5">
        <v>221485</v>
      </c>
      <c r="GT38" s="5">
        <v>226643</v>
      </c>
      <c r="GU38" s="5">
        <v>268754</v>
      </c>
      <c r="GV38" s="5">
        <v>232710</v>
      </c>
      <c r="GW38" s="5">
        <v>251450</v>
      </c>
      <c r="GX38" s="5">
        <v>248912</v>
      </c>
      <c r="GY38" s="5">
        <v>294255</v>
      </c>
      <c r="GZ38" s="5">
        <v>250927</v>
      </c>
      <c r="HA38" s="5">
        <v>264080</v>
      </c>
      <c r="HB38" s="5">
        <v>260569</v>
      </c>
      <c r="HC38" s="6">
        <v>318588.59999999998</v>
      </c>
      <c r="HD38" s="6">
        <v>271923.8</v>
      </c>
      <c r="HE38" s="6">
        <v>285138</v>
      </c>
      <c r="HF38" s="6">
        <v>273973.90000000002</v>
      </c>
      <c r="HG38" s="6">
        <v>318389</v>
      </c>
      <c r="HH38" s="6">
        <v>283473.3</v>
      </c>
      <c r="HI38" s="6">
        <v>297248.8</v>
      </c>
      <c r="HJ38" s="6">
        <v>285610.59999999998</v>
      </c>
      <c r="HK38" s="6">
        <v>331912.09999999998</v>
      </c>
      <c r="HL38" s="6">
        <v>295284</v>
      </c>
      <c r="HM38" s="6">
        <v>309633.3</v>
      </c>
      <c r="HN38" s="6">
        <v>297510.2</v>
      </c>
      <c r="HO38" s="6">
        <v>345740.9</v>
      </c>
      <c r="HP38" s="6">
        <v>307554.90000000002</v>
      </c>
      <c r="HQ38" s="6">
        <v>322500.59999999998</v>
      </c>
      <c r="HR38" s="6">
        <v>309873.59999999998</v>
      </c>
      <c r="HS38" s="6">
        <v>360108.5</v>
      </c>
      <c r="HT38" s="6">
        <v>320259.90000000002</v>
      </c>
      <c r="HU38" s="6">
        <v>335823</v>
      </c>
      <c r="HV38" s="6">
        <v>322674.40000000002</v>
      </c>
      <c r="HW38" s="6">
        <v>374984.5</v>
      </c>
      <c r="HX38" s="6">
        <v>331922.5</v>
      </c>
      <c r="HY38" s="6">
        <v>348052.2</v>
      </c>
      <c r="HZ38" s="6">
        <v>334458.2</v>
      </c>
      <c r="IA38" s="6">
        <v>388786.8</v>
      </c>
      <c r="IB38" s="6">
        <v>344221.7</v>
      </c>
      <c r="IC38" s="6">
        <v>361017.5</v>
      </c>
      <c r="ID38" s="6">
        <v>346947.9</v>
      </c>
      <c r="IE38" s="6">
        <v>403309.5</v>
      </c>
      <c r="IF38" s="6">
        <v>357557.8</v>
      </c>
      <c r="IG38" s="6">
        <v>374566.3</v>
      </c>
      <c r="IH38" s="6">
        <v>360380.5</v>
      </c>
      <c r="II38" s="6">
        <v>417549.3</v>
      </c>
      <c r="IJ38" s="6">
        <v>371399.5</v>
      </c>
      <c r="IK38" s="6">
        <v>388594.1</v>
      </c>
      <c r="IL38" s="6">
        <v>374214.5</v>
      </c>
      <c r="IM38" s="6">
        <v>432145.9</v>
      </c>
      <c r="IN38" s="6">
        <v>385501.9</v>
      </c>
      <c r="IO38" s="6">
        <v>402853.8</v>
      </c>
      <c r="IP38" s="6">
        <v>388327.7</v>
      </c>
      <c r="IQ38" s="6">
        <v>447084.3</v>
      </c>
      <c r="IR38" s="6">
        <v>400024.8</v>
      </c>
      <c r="IS38" s="6">
        <v>417585.3</v>
      </c>
      <c r="IT38" s="6">
        <v>402901.1</v>
      </c>
      <c r="IU38" s="6">
        <v>462528.1</v>
      </c>
      <c r="IV38" s="6">
        <v>415029.2</v>
      </c>
      <c r="IW38" s="6">
        <v>432878.5</v>
      </c>
      <c r="IX38" s="6">
        <v>418116.8</v>
      </c>
      <c r="IY38" s="6">
        <v>478696.1</v>
      </c>
      <c r="IZ38" s="6">
        <v>430783.6</v>
      </c>
      <c r="JA38" s="6">
        <v>448929.4</v>
      </c>
      <c r="JB38" s="6">
        <v>434076</v>
      </c>
      <c r="JC38" s="6">
        <v>495619</v>
      </c>
      <c r="JD38" s="6">
        <v>447238.3</v>
      </c>
      <c r="JE38" s="6">
        <v>465655.5</v>
      </c>
      <c r="JF38" s="6">
        <v>450667.6</v>
      </c>
      <c r="JG38" s="6">
        <v>513258.3</v>
      </c>
      <c r="JH38" s="6">
        <v>464434.1</v>
      </c>
      <c r="JI38" s="6">
        <v>483181.5</v>
      </c>
      <c r="JJ38" s="6">
        <v>468098.9</v>
      </c>
      <c r="JK38" s="6">
        <v>531745.1</v>
      </c>
      <c r="JL38" s="6">
        <v>482412.7</v>
      </c>
      <c r="JM38" s="6">
        <v>501460.7</v>
      </c>
      <c r="JN38" s="6">
        <v>486234.3</v>
      </c>
      <c r="JO38" s="6">
        <v>550978.9</v>
      </c>
      <c r="JP38" s="6">
        <v>501113.4</v>
      </c>
      <c r="JQ38" s="6">
        <v>520465.3</v>
      </c>
      <c r="JR38" s="6">
        <v>505077</v>
      </c>
      <c r="JS38" s="6">
        <v>570907.80000000005</v>
      </c>
      <c r="JT38" s="6">
        <v>520440.4</v>
      </c>
      <c r="JU38" s="6">
        <v>540060.1</v>
      </c>
      <c r="JV38" s="6">
        <v>524462.4</v>
      </c>
      <c r="JW38" s="6">
        <v>591446.30000000005</v>
      </c>
      <c r="JX38" s="6">
        <v>540393.4</v>
      </c>
      <c r="JY38" s="6">
        <v>560325.1</v>
      </c>
      <c r="JZ38" s="6">
        <v>544547.30000000005</v>
      </c>
      <c r="KA38" s="6">
        <v>612727.9</v>
      </c>
      <c r="KB38" s="6">
        <v>561070.30000000005</v>
      </c>
      <c r="KC38" s="6">
        <v>581327.4</v>
      </c>
      <c r="KD38" s="6">
        <v>565363.6</v>
      </c>
      <c r="KE38" s="6">
        <v>634779.4</v>
      </c>
      <c r="KF38" s="6">
        <v>582490.4</v>
      </c>
      <c r="KG38" s="6">
        <v>603079.4</v>
      </c>
      <c r="KH38" s="6">
        <v>586918.69999999995</v>
      </c>
      <c r="KI38" s="6">
        <v>657612.9</v>
      </c>
      <c r="KJ38" s="6">
        <v>604669.4</v>
      </c>
      <c r="KK38" s="6">
        <v>625601.9</v>
      </c>
      <c r="KL38" s="6">
        <v>609237.1</v>
      </c>
      <c r="KM38" s="6">
        <v>681254.7</v>
      </c>
      <c r="KN38" s="6">
        <v>627633.19999999995</v>
      </c>
      <c r="KO38" s="6">
        <v>648921.1</v>
      </c>
      <c r="KP38" s="6">
        <v>632344.9</v>
      </c>
      <c r="KQ38" s="6">
        <v>705731.9</v>
      </c>
      <c r="KR38" s="6">
        <v>651408.4</v>
      </c>
      <c r="KS38" s="6">
        <v>673063.9</v>
      </c>
      <c r="KT38" s="6">
        <v>656269</v>
      </c>
      <c r="KU38" s="6">
        <v>731074.4</v>
      </c>
      <c r="KV38" s="6">
        <v>676024</v>
      </c>
      <c r="KW38" s="6">
        <v>698059.9</v>
      </c>
      <c r="KX38" s="6">
        <v>681038.1</v>
      </c>
      <c r="KY38" s="6">
        <v>757311.4</v>
      </c>
      <c r="KZ38" s="6">
        <v>701507.7</v>
      </c>
      <c r="LA38" s="6">
        <v>723937.3</v>
      </c>
      <c r="LB38" s="6">
        <v>706679.7</v>
      </c>
      <c r="LC38" s="6">
        <v>784471.4</v>
      </c>
      <c r="LD38" s="6">
        <v>727887.6</v>
      </c>
      <c r="LE38" s="6">
        <v>750723.4</v>
      </c>
      <c r="LF38" s="6">
        <v>733221.1</v>
      </c>
      <c r="LG38" s="2" t="s">
        <v>335</v>
      </c>
      <c r="LH38" s="2" t="s">
        <v>348</v>
      </c>
      <c r="LI38" s="2" t="s">
        <v>338</v>
      </c>
      <c r="LJ38" s="2" t="s">
        <v>338</v>
      </c>
      <c r="LK38" s="2" t="s">
        <v>339</v>
      </c>
      <c r="LL38" s="2" t="s">
        <v>623</v>
      </c>
      <c r="LM38" s="2" t="s">
        <v>338</v>
      </c>
      <c r="LN38" s="4" t="s">
        <v>608</v>
      </c>
      <c r="LO38" s="2" t="s">
        <v>609</v>
      </c>
      <c r="LP38" s="2" t="s">
        <v>343</v>
      </c>
      <c r="LQ38" s="2" t="s">
        <v>610</v>
      </c>
      <c r="LR38" s="4" t="s">
        <v>659</v>
      </c>
      <c r="LS38"/>
      <c r="LT38"/>
      <c r="LU38"/>
      <c r="LV38"/>
      <c r="LW38"/>
      <c r="LX38"/>
    </row>
    <row r="39" spans="1:336" x14ac:dyDescent="0.35">
      <c r="A39" s="2" t="s">
        <v>330</v>
      </c>
      <c r="B39" s="2" t="s">
        <v>611</v>
      </c>
      <c r="C39" s="4" t="s">
        <v>658</v>
      </c>
      <c r="D39" s="2" t="s">
        <v>332</v>
      </c>
      <c r="E39" s="2" t="s">
        <v>333</v>
      </c>
      <c r="F39" s="2" t="s">
        <v>334</v>
      </c>
      <c r="G39" s="5">
        <v>1266</v>
      </c>
      <c r="H39" s="5">
        <v>904</v>
      </c>
      <c r="I39" s="5">
        <v>1066</v>
      </c>
      <c r="J39" s="5">
        <v>998</v>
      </c>
      <c r="K39" s="5">
        <v>1377</v>
      </c>
      <c r="L39" s="5">
        <v>927</v>
      </c>
      <c r="M39" s="5">
        <v>1338</v>
      </c>
      <c r="N39" s="5">
        <v>1386</v>
      </c>
      <c r="O39" s="5">
        <v>1775</v>
      </c>
      <c r="P39" s="5">
        <v>1277</v>
      </c>
      <c r="Q39" s="5">
        <v>1527</v>
      </c>
      <c r="R39" s="5">
        <v>1739</v>
      </c>
      <c r="S39" s="5">
        <v>2177</v>
      </c>
      <c r="T39" s="5">
        <v>1502</v>
      </c>
      <c r="U39" s="5">
        <v>1589</v>
      </c>
      <c r="V39" s="5">
        <v>1648</v>
      </c>
      <c r="W39" s="5">
        <v>1660</v>
      </c>
      <c r="X39" s="5">
        <v>1077</v>
      </c>
      <c r="Y39" s="5">
        <v>1239</v>
      </c>
      <c r="Z39" s="5">
        <v>1269</v>
      </c>
      <c r="AA39" s="5">
        <v>1648</v>
      </c>
      <c r="AB39" s="5">
        <v>1058</v>
      </c>
      <c r="AC39" s="5">
        <v>1278</v>
      </c>
      <c r="AD39" s="5">
        <v>1306</v>
      </c>
      <c r="AE39" s="5">
        <v>1601</v>
      </c>
      <c r="AF39" s="5">
        <v>1003</v>
      </c>
      <c r="AG39" s="5">
        <v>1492</v>
      </c>
      <c r="AH39" s="5">
        <v>1405</v>
      </c>
      <c r="AI39" s="5">
        <v>1976</v>
      </c>
      <c r="AJ39" s="5">
        <v>987</v>
      </c>
      <c r="AK39" s="5">
        <v>1686</v>
      </c>
      <c r="AL39" s="5">
        <v>1507</v>
      </c>
      <c r="AM39" s="5">
        <v>1838</v>
      </c>
      <c r="AN39" s="5">
        <v>715</v>
      </c>
      <c r="AO39" s="5">
        <v>994</v>
      </c>
      <c r="AP39" s="5">
        <v>864</v>
      </c>
      <c r="AQ39" s="5">
        <v>1795</v>
      </c>
      <c r="AR39" s="5">
        <v>658</v>
      </c>
      <c r="AS39" s="5">
        <v>1286</v>
      </c>
      <c r="AT39" s="5">
        <v>1401</v>
      </c>
      <c r="AU39" s="5">
        <v>2992</v>
      </c>
      <c r="AV39" s="5">
        <v>1251</v>
      </c>
      <c r="AW39" s="5">
        <v>1850</v>
      </c>
      <c r="AX39" s="5">
        <v>1913</v>
      </c>
      <c r="AY39" s="5">
        <v>2816</v>
      </c>
      <c r="AZ39" s="5">
        <v>871</v>
      </c>
      <c r="BA39" s="5">
        <v>1599</v>
      </c>
      <c r="BB39" s="5">
        <v>1989</v>
      </c>
      <c r="BC39" s="5">
        <v>3009</v>
      </c>
      <c r="BD39" s="5">
        <v>726</v>
      </c>
      <c r="BE39" s="5">
        <v>1679</v>
      </c>
      <c r="BF39" s="5">
        <v>1402</v>
      </c>
      <c r="BG39" s="5">
        <v>2524</v>
      </c>
      <c r="BH39" s="5">
        <v>689</v>
      </c>
      <c r="BI39" s="5">
        <v>1084</v>
      </c>
      <c r="BJ39" s="5">
        <v>856</v>
      </c>
      <c r="BK39" s="5">
        <v>1618</v>
      </c>
      <c r="BL39" s="5">
        <v>-760</v>
      </c>
      <c r="BM39" s="5">
        <v>149</v>
      </c>
      <c r="BN39" s="5">
        <v>-15</v>
      </c>
      <c r="BO39" s="5">
        <v>2123</v>
      </c>
      <c r="BP39" s="5">
        <v>-842</v>
      </c>
      <c r="BQ39" s="5">
        <v>-401</v>
      </c>
      <c r="BR39" s="5">
        <v>-672</v>
      </c>
      <c r="BS39" s="5">
        <v>2230</v>
      </c>
      <c r="BT39" s="5">
        <v>-508</v>
      </c>
      <c r="BU39" s="5">
        <v>387</v>
      </c>
      <c r="BV39" s="5">
        <v>1215</v>
      </c>
      <c r="BW39" s="5">
        <v>3815</v>
      </c>
      <c r="BX39" s="5">
        <v>-24</v>
      </c>
      <c r="BY39" s="5">
        <v>941</v>
      </c>
      <c r="BZ39" s="5">
        <v>1942</v>
      </c>
      <c r="CA39" s="5">
        <v>3815</v>
      </c>
      <c r="CB39" s="5">
        <v>1018</v>
      </c>
      <c r="CC39" s="5">
        <v>1773</v>
      </c>
      <c r="CD39" s="5">
        <v>1970</v>
      </c>
      <c r="CE39" s="5">
        <v>4305</v>
      </c>
      <c r="CF39" s="5">
        <v>731</v>
      </c>
      <c r="CG39" s="5">
        <v>1004</v>
      </c>
      <c r="CH39" s="5">
        <v>1561</v>
      </c>
      <c r="CI39" s="5">
        <v>4523</v>
      </c>
      <c r="CJ39" s="5">
        <v>800</v>
      </c>
      <c r="CK39" s="5">
        <v>991</v>
      </c>
      <c r="CL39" s="5">
        <v>671</v>
      </c>
      <c r="CM39" s="5">
        <v>3691</v>
      </c>
      <c r="CN39" s="5">
        <v>345</v>
      </c>
      <c r="CO39" s="5">
        <v>1058</v>
      </c>
      <c r="CP39" s="5">
        <v>1519</v>
      </c>
      <c r="CQ39" s="5">
        <v>3798</v>
      </c>
      <c r="CR39" s="5">
        <v>532</v>
      </c>
      <c r="CS39" s="5">
        <v>1263</v>
      </c>
      <c r="CT39" s="5">
        <v>1296</v>
      </c>
      <c r="CU39" s="5">
        <v>3519</v>
      </c>
      <c r="CV39" s="5">
        <v>217</v>
      </c>
      <c r="CW39" s="5">
        <v>349</v>
      </c>
      <c r="CX39" s="5">
        <v>-250</v>
      </c>
      <c r="CY39" s="5">
        <v>2983</v>
      </c>
      <c r="CZ39" s="5">
        <v>-284</v>
      </c>
      <c r="DA39" s="5">
        <v>703</v>
      </c>
      <c r="DB39" s="5">
        <v>741</v>
      </c>
      <c r="DC39" s="5">
        <v>3645</v>
      </c>
      <c r="DD39" s="5">
        <v>-76</v>
      </c>
      <c r="DE39" s="5">
        <v>678</v>
      </c>
      <c r="DF39" s="5">
        <v>1219</v>
      </c>
      <c r="DG39" s="5">
        <v>3352</v>
      </c>
      <c r="DH39" s="5">
        <v>-134</v>
      </c>
      <c r="DI39" s="5">
        <v>630</v>
      </c>
      <c r="DJ39" s="5">
        <v>824</v>
      </c>
      <c r="DK39" s="5">
        <v>3592</v>
      </c>
      <c r="DL39" s="5">
        <v>-473</v>
      </c>
      <c r="DM39" s="5">
        <v>207</v>
      </c>
      <c r="DN39" s="5">
        <v>1011</v>
      </c>
      <c r="DO39" s="5">
        <v>3766</v>
      </c>
      <c r="DP39" s="5">
        <v>1658</v>
      </c>
      <c r="DQ39" s="5">
        <v>2493</v>
      </c>
      <c r="DR39" s="5">
        <v>3221</v>
      </c>
      <c r="DS39" s="5">
        <v>5269</v>
      </c>
      <c r="DT39" s="5">
        <v>1448</v>
      </c>
      <c r="DU39" s="5">
        <v>3151</v>
      </c>
      <c r="DV39" s="5">
        <v>4148</v>
      </c>
      <c r="DW39" s="5">
        <v>8719</v>
      </c>
      <c r="DX39" s="5">
        <v>3353</v>
      </c>
      <c r="DY39" s="5">
        <v>4367</v>
      </c>
      <c r="DZ39" s="5">
        <v>4667</v>
      </c>
      <c r="EA39" s="5">
        <v>9148</v>
      </c>
      <c r="EB39" s="5">
        <v>4422</v>
      </c>
      <c r="EC39" s="5">
        <v>5087</v>
      </c>
      <c r="ED39" s="5">
        <v>6041</v>
      </c>
      <c r="EE39" s="5">
        <v>11910</v>
      </c>
      <c r="EF39" s="5">
        <v>3201</v>
      </c>
      <c r="EG39" s="5">
        <v>5190</v>
      </c>
      <c r="EH39" s="5">
        <v>7004</v>
      </c>
      <c r="EI39" s="5">
        <v>10876</v>
      </c>
      <c r="EJ39" s="5">
        <v>4100</v>
      </c>
      <c r="EK39" s="5">
        <v>5106</v>
      </c>
      <c r="EL39" s="5">
        <v>5466</v>
      </c>
      <c r="EM39" s="5">
        <v>12324</v>
      </c>
      <c r="EN39" s="5">
        <v>1788</v>
      </c>
      <c r="EO39" s="5">
        <v>5078</v>
      </c>
      <c r="EP39" s="5">
        <v>6025</v>
      </c>
      <c r="EQ39" s="5">
        <v>15176</v>
      </c>
      <c r="ER39" s="5">
        <v>4344</v>
      </c>
      <c r="ES39" s="5">
        <v>10688</v>
      </c>
      <c r="ET39" s="5">
        <v>11989</v>
      </c>
      <c r="EU39" s="5">
        <v>20553</v>
      </c>
      <c r="EV39" s="5">
        <v>5836</v>
      </c>
      <c r="EW39" s="5">
        <v>9135</v>
      </c>
      <c r="EX39" s="5">
        <v>14243</v>
      </c>
      <c r="EY39" s="5">
        <v>17542</v>
      </c>
      <c r="EZ39" s="5">
        <v>5682</v>
      </c>
      <c r="FA39" s="5">
        <v>9226</v>
      </c>
      <c r="FB39" s="5">
        <v>9043</v>
      </c>
      <c r="FC39" s="5">
        <v>15843</v>
      </c>
      <c r="FD39" s="5">
        <v>4402</v>
      </c>
      <c r="FE39" s="5">
        <v>6363</v>
      </c>
      <c r="FF39" s="5">
        <v>6679</v>
      </c>
      <c r="FG39" s="5">
        <v>13379</v>
      </c>
      <c r="FH39" s="5">
        <v>12952</v>
      </c>
      <c r="FI39" s="5">
        <v>4364</v>
      </c>
      <c r="FJ39" s="5">
        <v>5553</v>
      </c>
      <c r="FK39" s="5">
        <v>9565</v>
      </c>
      <c r="FL39" s="5">
        <v>3582</v>
      </c>
      <c r="FM39" s="5">
        <v>4760</v>
      </c>
      <c r="FN39" s="5">
        <v>5567</v>
      </c>
      <c r="FO39" s="5">
        <v>12295</v>
      </c>
      <c r="FP39" s="5">
        <v>5422</v>
      </c>
      <c r="FQ39" s="5">
        <v>7231</v>
      </c>
      <c r="FR39" s="5">
        <v>8754</v>
      </c>
      <c r="FS39" s="5">
        <v>14772</v>
      </c>
      <c r="FT39" s="5">
        <v>6743</v>
      </c>
      <c r="FU39" s="5">
        <v>7311</v>
      </c>
      <c r="FV39" s="5">
        <v>6045</v>
      </c>
      <c r="FW39" s="5">
        <v>12151</v>
      </c>
      <c r="FX39" s="5">
        <v>7049</v>
      </c>
      <c r="FY39" s="5">
        <v>8501</v>
      </c>
      <c r="FZ39" s="5">
        <v>6397</v>
      </c>
      <c r="GA39" s="5">
        <v>14503</v>
      </c>
      <c r="GB39" s="5">
        <v>10013</v>
      </c>
      <c r="GC39" s="5">
        <v>10637</v>
      </c>
      <c r="GD39" s="5">
        <v>10150</v>
      </c>
      <c r="GE39" s="5">
        <v>15561</v>
      </c>
      <c r="GF39" s="5">
        <v>8711</v>
      </c>
      <c r="GG39" s="5">
        <v>9574</v>
      </c>
      <c r="GH39" s="5">
        <v>9922</v>
      </c>
      <c r="GI39" s="5">
        <v>17443</v>
      </c>
      <c r="GJ39" s="5">
        <v>7915</v>
      </c>
      <c r="GK39" s="5">
        <v>10298</v>
      </c>
      <c r="GL39" s="5">
        <v>8123</v>
      </c>
      <c r="GM39" s="5">
        <v>16220</v>
      </c>
      <c r="GN39" s="5">
        <v>21714</v>
      </c>
      <c r="GO39" s="5">
        <v>16286</v>
      </c>
      <c r="GP39" s="5">
        <v>12946</v>
      </c>
      <c r="GQ39" s="5">
        <v>21031</v>
      </c>
      <c r="GR39" s="5">
        <v>12255</v>
      </c>
      <c r="GS39" s="5">
        <v>13076</v>
      </c>
      <c r="GT39" s="5">
        <v>9354</v>
      </c>
      <c r="GU39" s="5">
        <v>19693</v>
      </c>
      <c r="GV39" s="5">
        <v>6673</v>
      </c>
      <c r="GW39" s="5">
        <v>10096</v>
      </c>
      <c r="GX39" s="5">
        <v>-453</v>
      </c>
      <c r="GY39" s="5">
        <v>29620</v>
      </c>
      <c r="GZ39" s="5">
        <v>10143</v>
      </c>
      <c r="HA39" s="5">
        <v>13731</v>
      </c>
      <c r="HB39" s="5">
        <v>13176</v>
      </c>
      <c r="HC39" s="6">
        <v>34592</v>
      </c>
      <c r="HD39" s="6">
        <v>12689.79</v>
      </c>
      <c r="HE39" s="6">
        <v>14447.34</v>
      </c>
      <c r="HF39" s="6">
        <v>15412.88</v>
      </c>
      <c r="HG39" s="6">
        <v>27352.19</v>
      </c>
      <c r="HH39" s="6">
        <v>11549.59</v>
      </c>
      <c r="HI39" s="6">
        <v>13149.22</v>
      </c>
      <c r="HJ39" s="6">
        <v>14028.01</v>
      </c>
      <c r="HK39" s="6">
        <v>24894.55</v>
      </c>
      <c r="HL39" s="6">
        <v>11177.9</v>
      </c>
      <c r="HM39" s="6">
        <v>12726.04</v>
      </c>
      <c r="HN39" s="6">
        <v>13576.55</v>
      </c>
      <c r="HO39" s="6">
        <v>24093.38</v>
      </c>
      <c r="HP39" s="6">
        <v>10734.31</v>
      </c>
      <c r="HQ39" s="6">
        <v>12221.02</v>
      </c>
      <c r="HR39" s="6">
        <v>13037.77</v>
      </c>
      <c r="HS39" s="6">
        <v>23137.25</v>
      </c>
      <c r="HT39" s="6">
        <v>10312.67</v>
      </c>
      <c r="HU39" s="6">
        <v>11740.99</v>
      </c>
      <c r="HV39" s="6">
        <v>12525.66</v>
      </c>
      <c r="HW39" s="6">
        <v>22228.44</v>
      </c>
      <c r="HX39" s="6">
        <v>10689.82</v>
      </c>
      <c r="HY39" s="6">
        <v>12168.55</v>
      </c>
      <c r="HZ39" s="6">
        <v>12981.79</v>
      </c>
      <c r="IA39" s="6">
        <v>23040.2</v>
      </c>
      <c r="IB39" s="6">
        <v>11083.28</v>
      </c>
      <c r="IC39" s="6">
        <v>12619.45</v>
      </c>
      <c r="ID39" s="6">
        <v>13465.38</v>
      </c>
      <c r="IE39" s="6">
        <v>23900.6</v>
      </c>
      <c r="IF39" s="6">
        <v>11497.29</v>
      </c>
      <c r="IG39" s="6">
        <v>13090.83</v>
      </c>
      <c r="IH39" s="6">
        <v>13968.37</v>
      </c>
      <c r="II39" s="6">
        <v>24793.63</v>
      </c>
      <c r="IJ39" s="6">
        <v>11927</v>
      </c>
      <c r="IK39" s="6">
        <v>13578.89</v>
      </c>
      <c r="IL39" s="6">
        <v>14486.39</v>
      </c>
      <c r="IM39" s="6">
        <v>25709.05</v>
      </c>
      <c r="IN39" s="6">
        <v>12364.8</v>
      </c>
      <c r="IO39" s="6">
        <v>14075</v>
      </c>
      <c r="IP39" s="6">
        <v>15014.86</v>
      </c>
      <c r="IQ39" s="6">
        <v>26645.9</v>
      </c>
      <c r="IR39" s="6">
        <v>12815.65</v>
      </c>
      <c r="IS39" s="6">
        <v>14587.54</v>
      </c>
      <c r="IT39" s="6">
        <v>15560.57</v>
      </c>
      <c r="IU39" s="6">
        <v>27614.45</v>
      </c>
      <c r="IV39" s="6">
        <v>13281.45</v>
      </c>
      <c r="IW39" s="6">
        <v>15119.61</v>
      </c>
      <c r="IX39" s="6">
        <v>16130.33</v>
      </c>
      <c r="IY39" s="6">
        <v>28628.42</v>
      </c>
      <c r="IZ39" s="6">
        <v>13770.53</v>
      </c>
      <c r="JA39" s="6">
        <v>15678.05</v>
      </c>
      <c r="JB39" s="6">
        <v>16727.919999999998</v>
      </c>
      <c r="JC39" s="6">
        <v>29689.73</v>
      </c>
      <c r="JD39" s="6">
        <v>14281.36</v>
      </c>
      <c r="JE39" s="6">
        <v>16259.98</v>
      </c>
      <c r="JF39" s="6">
        <v>17349.2</v>
      </c>
      <c r="JG39" s="6">
        <v>30795.96</v>
      </c>
      <c r="JH39" s="6">
        <v>14815.18</v>
      </c>
      <c r="JI39" s="6">
        <v>16869.73</v>
      </c>
      <c r="JJ39" s="6">
        <v>18001.919999999998</v>
      </c>
      <c r="JK39" s="6">
        <v>31955.35</v>
      </c>
      <c r="JL39" s="6">
        <v>15373.32</v>
      </c>
      <c r="JM39" s="6">
        <v>17505.7</v>
      </c>
      <c r="JN39" s="6">
        <v>18681.009999999998</v>
      </c>
      <c r="JO39" s="6">
        <v>33161.599999999999</v>
      </c>
      <c r="JP39" s="6">
        <v>15953.87</v>
      </c>
      <c r="JQ39" s="6">
        <v>18166.900000000001</v>
      </c>
      <c r="JR39" s="6">
        <v>19386.580000000002</v>
      </c>
      <c r="JS39" s="6">
        <v>34411.410000000003</v>
      </c>
      <c r="JT39" s="6">
        <v>16553.86</v>
      </c>
      <c r="JU39" s="6">
        <v>18848.63</v>
      </c>
      <c r="JV39" s="6">
        <v>20112.47</v>
      </c>
      <c r="JW39" s="6">
        <v>35699.47</v>
      </c>
      <c r="JX39" s="6">
        <v>17173.28</v>
      </c>
      <c r="JY39" s="6">
        <v>19553.689999999999</v>
      </c>
      <c r="JZ39" s="6">
        <v>20864.560000000001</v>
      </c>
      <c r="KA39" s="6">
        <v>37034.14</v>
      </c>
      <c r="KB39" s="6">
        <v>17815.18</v>
      </c>
      <c r="KC39" s="6">
        <v>20284.39</v>
      </c>
      <c r="KD39" s="6">
        <v>21644.03</v>
      </c>
      <c r="KE39" s="6">
        <v>38417.08</v>
      </c>
      <c r="KF39" s="6">
        <v>18480.150000000001</v>
      </c>
      <c r="KG39" s="6">
        <v>21041.17</v>
      </c>
      <c r="KH39" s="6">
        <v>22451.18</v>
      </c>
      <c r="KI39" s="6">
        <v>39849.07</v>
      </c>
      <c r="KJ39" s="6">
        <v>19168.68</v>
      </c>
      <c r="KK39" s="6">
        <v>21824.77</v>
      </c>
      <c r="KL39" s="6">
        <v>23286.9</v>
      </c>
      <c r="KM39" s="6">
        <v>41331.75</v>
      </c>
      <c r="KN39" s="6">
        <v>19881.580000000002</v>
      </c>
      <c r="KO39" s="6">
        <v>22636.080000000002</v>
      </c>
      <c r="KP39" s="6">
        <v>24152.17</v>
      </c>
      <c r="KQ39" s="6">
        <v>42866.82</v>
      </c>
      <c r="KR39" s="6">
        <v>20619.66</v>
      </c>
      <c r="KS39" s="6">
        <v>23476.04</v>
      </c>
      <c r="KT39" s="6">
        <v>25048.02</v>
      </c>
      <c r="KU39" s="6">
        <v>44456.160000000003</v>
      </c>
      <c r="KV39" s="6">
        <v>21383.83</v>
      </c>
      <c r="KW39" s="6">
        <v>24345.7</v>
      </c>
      <c r="KX39" s="6">
        <v>25975.51</v>
      </c>
      <c r="KY39" s="6">
        <v>46101.599999999999</v>
      </c>
      <c r="KZ39" s="6">
        <v>22174.95</v>
      </c>
      <c r="LA39" s="6">
        <v>25246.01</v>
      </c>
      <c r="LB39" s="6">
        <v>26935.67</v>
      </c>
      <c r="LC39" s="6">
        <v>47804.92</v>
      </c>
      <c r="LD39" s="6">
        <v>22993.89</v>
      </c>
      <c r="LE39" s="6">
        <v>26177.95</v>
      </c>
      <c r="LF39" s="6">
        <v>27929.52</v>
      </c>
      <c r="LG39" s="2" t="s">
        <v>335</v>
      </c>
      <c r="LH39" s="2" t="s">
        <v>348</v>
      </c>
      <c r="LI39" s="2" t="s">
        <v>338</v>
      </c>
      <c r="LJ39" s="2" t="s">
        <v>338</v>
      </c>
      <c r="LK39" s="2" t="s">
        <v>339</v>
      </c>
      <c r="LL39" s="2" t="s">
        <v>623</v>
      </c>
      <c r="LM39" s="2" t="s">
        <v>338</v>
      </c>
      <c r="LN39" s="2" t="s">
        <v>612</v>
      </c>
      <c r="LO39" s="2" t="s">
        <v>613</v>
      </c>
      <c r="LP39" s="2" t="s">
        <v>343</v>
      </c>
      <c r="LQ39" s="2" t="s">
        <v>614</v>
      </c>
      <c r="LR39" s="4" t="s">
        <v>659</v>
      </c>
      <c r="LS39"/>
      <c r="LT39"/>
      <c r="LU39"/>
      <c r="LV39"/>
      <c r="LW39"/>
      <c r="LX39"/>
    </row>
    <row r="40" spans="1:336" x14ac:dyDescent="0.35">
      <c r="A40" s="2" t="s">
        <v>330</v>
      </c>
      <c r="B40" s="2" t="s">
        <v>616</v>
      </c>
      <c r="C40" s="4" t="s">
        <v>658</v>
      </c>
      <c r="D40" s="2" t="s">
        <v>332</v>
      </c>
      <c r="E40" s="2" t="s">
        <v>333</v>
      </c>
      <c r="F40" s="2" t="s">
        <v>334</v>
      </c>
      <c r="G40" s="5">
        <v>20046</v>
      </c>
      <c r="H40" s="5">
        <v>19874</v>
      </c>
      <c r="I40" s="5">
        <v>20558</v>
      </c>
      <c r="J40" s="5">
        <v>21315</v>
      </c>
      <c r="K40" s="5">
        <v>21132</v>
      </c>
      <c r="L40" s="5">
        <v>22651</v>
      </c>
      <c r="M40" s="5">
        <v>23896</v>
      </c>
      <c r="N40" s="5">
        <v>24994</v>
      </c>
      <c r="O40" s="5">
        <v>26814</v>
      </c>
      <c r="P40" s="5">
        <v>28129</v>
      </c>
      <c r="Q40" s="5">
        <v>29260</v>
      </c>
      <c r="R40" s="5">
        <v>30890</v>
      </c>
      <c r="S40" s="5">
        <v>32449</v>
      </c>
      <c r="T40" s="5">
        <v>33322</v>
      </c>
      <c r="U40" s="5">
        <v>34550</v>
      </c>
      <c r="V40" s="5">
        <v>36678</v>
      </c>
      <c r="W40" s="5">
        <v>38038</v>
      </c>
      <c r="X40" s="5">
        <v>39244</v>
      </c>
      <c r="Y40" s="5">
        <v>40339</v>
      </c>
      <c r="Z40" s="5">
        <v>42165</v>
      </c>
      <c r="AA40" s="5">
        <v>44140</v>
      </c>
      <c r="AB40" s="5">
        <v>45905</v>
      </c>
      <c r="AC40" s="5">
        <v>47207</v>
      </c>
      <c r="AD40" s="5">
        <v>48906</v>
      </c>
      <c r="AE40" s="5">
        <v>50459</v>
      </c>
      <c r="AF40" s="5">
        <v>53966</v>
      </c>
      <c r="AG40" s="5">
        <v>56767</v>
      </c>
      <c r="AH40" s="5">
        <v>59789</v>
      </c>
      <c r="AI40" s="5">
        <v>62107</v>
      </c>
      <c r="AJ40" s="5">
        <v>63704</v>
      </c>
      <c r="AK40" s="5">
        <v>66021</v>
      </c>
      <c r="AL40" s="5">
        <v>68138</v>
      </c>
      <c r="AM40" s="5">
        <v>69939</v>
      </c>
      <c r="AN40" s="5">
        <v>71334</v>
      </c>
      <c r="AO40" s="5">
        <v>73310</v>
      </c>
      <c r="AP40" s="5">
        <v>75597</v>
      </c>
      <c r="AQ40" s="5">
        <v>77468</v>
      </c>
      <c r="AR40" s="5">
        <v>78993</v>
      </c>
      <c r="AS40" s="5">
        <v>80430</v>
      </c>
      <c r="AT40" s="5">
        <v>82667</v>
      </c>
      <c r="AU40" s="5">
        <v>85727</v>
      </c>
      <c r="AV40" s="5">
        <v>86288</v>
      </c>
      <c r="AW40" s="5">
        <v>88637</v>
      </c>
      <c r="AX40" s="5">
        <v>90695</v>
      </c>
      <c r="AY40" s="5">
        <v>91663</v>
      </c>
      <c r="AZ40" s="5">
        <v>93433</v>
      </c>
      <c r="BA40" s="5">
        <v>94862</v>
      </c>
      <c r="BB40" s="5">
        <v>97962</v>
      </c>
      <c r="BC40" s="5">
        <v>99412</v>
      </c>
      <c r="BD40" s="5">
        <v>103208</v>
      </c>
      <c r="BE40" s="5">
        <v>105169</v>
      </c>
      <c r="BF40" s="5">
        <v>106841</v>
      </c>
      <c r="BG40" s="5">
        <v>108753</v>
      </c>
      <c r="BH40" s="5">
        <v>110079</v>
      </c>
      <c r="BI40" s="5">
        <v>111989</v>
      </c>
      <c r="BJ40" s="5">
        <v>115779</v>
      </c>
      <c r="BK40" s="5">
        <v>118136</v>
      </c>
      <c r="BL40" s="5">
        <v>121739</v>
      </c>
      <c r="BM40" s="5">
        <v>127119</v>
      </c>
      <c r="BN40" s="5">
        <v>129815</v>
      </c>
      <c r="BO40" s="5">
        <v>133283</v>
      </c>
      <c r="BP40" s="5">
        <v>136629</v>
      </c>
      <c r="BQ40" s="5">
        <v>140802</v>
      </c>
      <c r="BR40" s="5">
        <v>144969</v>
      </c>
      <c r="BS40" s="5">
        <v>148623</v>
      </c>
      <c r="BT40" s="5">
        <v>151262</v>
      </c>
      <c r="BU40" s="5">
        <v>155370</v>
      </c>
      <c r="BV40" s="5">
        <v>159376</v>
      </c>
      <c r="BW40" s="5">
        <v>163056</v>
      </c>
      <c r="BX40" s="5">
        <v>166719</v>
      </c>
      <c r="BY40" s="5">
        <v>170068</v>
      </c>
      <c r="BZ40" s="5">
        <v>170954</v>
      </c>
      <c r="CA40" s="5">
        <v>173192</v>
      </c>
      <c r="CB40" s="5">
        <v>175821</v>
      </c>
      <c r="CC40" s="5">
        <v>177281</v>
      </c>
      <c r="CD40" s="5">
        <v>179590</v>
      </c>
      <c r="CE40" s="5">
        <v>181438</v>
      </c>
      <c r="CF40" s="5">
        <v>181889</v>
      </c>
      <c r="CG40" s="5">
        <v>182558</v>
      </c>
      <c r="CH40" s="5">
        <v>184989</v>
      </c>
      <c r="CI40" s="5">
        <v>189579</v>
      </c>
      <c r="CJ40" s="5">
        <v>189803</v>
      </c>
      <c r="CK40" s="5">
        <v>193552</v>
      </c>
      <c r="CL40" s="5">
        <v>196921</v>
      </c>
      <c r="CM40" s="5">
        <v>199797</v>
      </c>
      <c r="CN40" s="5">
        <v>200690</v>
      </c>
      <c r="CO40" s="5">
        <v>203292</v>
      </c>
      <c r="CP40" s="5">
        <v>207015</v>
      </c>
      <c r="CQ40" s="5">
        <v>208657</v>
      </c>
      <c r="CR40" s="5">
        <v>210748</v>
      </c>
      <c r="CS40" s="5">
        <v>214616</v>
      </c>
      <c r="CT40" s="5">
        <v>217824</v>
      </c>
      <c r="CU40" s="5">
        <v>221433</v>
      </c>
      <c r="CV40" s="5">
        <v>226187</v>
      </c>
      <c r="CW40" s="5">
        <v>229913</v>
      </c>
      <c r="CX40" s="5">
        <v>232460</v>
      </c>
      <c r="CY40" s="5">
        <v>232729</v>
      </c>
      <c r="CZ40" s="5">
        <v>235976</v>
      </c>
      <c r="DA40" s="5">
        <v>243443</v>
      </c>
      <c r="DB40" s="5">
        <v>241257</v>
      </c>
      <c r="DC40" s="5">
        <v>245844</v>
      </c>
      <c r="DD40" s="5">
        <v>248055</v>
      </c>
      <c r="DE40" s="5">
        <v>250789</v>
      </c>
      <c r="DF40" s="5">
        <v>253813</v>
      </c>
      <c r="DG40" s="5">
        <v>255773</v>
      </c>
      <c r="DH40" s="5">
        <v>258286</v>
      </c>
      <c r="DI40" s="5">
        <v>261502</v>
      </c>
      <c r="DJ40" s="5">
        <v>267687</v>
      </c>
      <c r="DK40" s="5">
        <v>272133</v>
      </c>
      <c r="DL40" s="5">
        <v>273951</v>
      </c>
      <c r="DM40" s="5">
        <v>276266</v>
      </c>
      <c r="DN40" s="5">
        <v>278402</v>
      </c>
      <c r="DO40" s="5">
        <v>282928</v>
      </c>
      <c r="DP40" s="5">
        <v>286649</v>
      </c>
      <c r="DQ40" s="5">
        <v>288266</v>
      </c>
      <c r="DR40" s="5">
        <v>288292</v>
      </c>
      <c r="DS40" s="5">
        <v>292432</v>
      </c>
      <c r="DT40" s="5">
        <v>295747</v>
      </c>
      <c r="DU40" s="5">
        <v>299185</v>
      </c>
      <c r="DV40" s="5">
        <v>304075</v>
      </c>
      <c r="DW40" s="5">
        <v>307455</v>
      </c>
      <c r="DX40" s="5">
        <v>313102</v>
      </c>
      <c r="DY40" s="5">
        <v>317491</v>
      </c>
      <c r="DZ40" s="5">
        <v>320286</v>
      </c>
      <c r="EA40" s="5">
        <v>322790</v>
      </c>
      <c r="EB40" s="5">
        <v>329664</v>
      </c>
      <c r="EC40" s="5">
        <v>331528</v>
      </c>
      <c r="ED40" s="5">
        <v>338655</v>
      </c>
      <c r="EE40" s="5">
        <v>341391</v>
      </c>
      <c r="EF40" s="5">
        <v>348632</v>
      </c>
      <c r="EG40" s="5">
        <v>351940</v>
      </c>
      <c r="EH40" s="5">
        <v>356786</v>
      </c>
      <c r="EI40" s="5">
        <v>361268</v>
      </c>
      <c r="EJ40" s="5">
        <v>367040</v>
      </c>
      <c r="EK40" s="5">
        <v>370883</v>
      </c>
      <c r="EL40" s="5">
        <v>372847</v>
      </c>
      <c r="EM40" s="5">
        <v>377049</v>
      </c>
      <c r="EN40" s="5">
        <v>386313</v>
      </c>
      <c r="EO40" s="5">
        <v>389228</v>
      </c>
      <c r="EP40" s="5">
        <v>392047</v>
      </c>
      <c r="EQ40" s="5">
        <v>397548</v>
      </c>
      <c r="ER40" s="5">
        <v>400881</v>
      </c>
      <c r="ES40" s="5">
        <v>399970</v>
      </c>
      <c r="ET40" s="5">
        <v>395201</v>
      </c>
      <c r="EU40" s="5">
        <v>386739</v>
      </c>
      <c r="EV40" s="5">
        <v>386564</v>
      </c>
      <c r="EW40" s="5">
        <v>388624</v>
      </c>
      <c r="EX40" s="5">
        <v>386875</v>
      </c>
      <c r="EY40" s="5">
        <v>396113</v>
      </c>
      <c r="EZ40" s="5">
        <v>401311</v>
      </c>
      <c r="FA40" s="5">
        <v>404199</v>
      </c>
      <c r="FB40" s="5">
        <v>406930</v>
      </c>
      <c r="FC40" s="5">
        <v>414732</v>
      </c>
      <c r="FD40" s="5">
        <v>412366</v>
      </c>
      <c r="FE40" s="5">
        <v>416049</v>
      </c>
      <c r="FF40" s="5">
        <v>419443</v>
      </c>
      <c r="FG40" s="5">
        <v>424704</v>
      </c>
      <c r="FH40" s="5">
        <v>425007</v>
      </c>
      <c r="FI40" s="5">
        <v>430937</v>
      </c>
      <c r="FJ40" s="5">
        <v>433067</v>
      </c>
      <c r="FK40" s="5">
        <v>438103</v>
      </c>
      <c r="FL40" s="5">
        <v>442283</v>
      </c>
      <c r="FM40" s="5">
        <v>448727</v>
      </c>
      <c r="FN40" s="5">
        <v>452248</v>
      </c>
      <c r="FO40" s="5">
        <v>457992</v>
      </c>
      <c r="FP40" s="5">
        <v>461616</v>
      </c>
      <c r="FQ40" s="5">
        <v>470454</v>
      </c>
      <c r="FR40" s="5">
        <v>472452</v>
      </c>
      <c r="FS40" s="5">
        <v>474738</v>
      </c>
      <c r="FT40" s="5">
        <v>476582</v>
      </c>
      <c r="FU40" s="5">
        <v>479885</v>
      </c>
      <c r="FV40" s="5">
        <v>485246</v>
      </c>
      <c r="FW40" s="5">
        <v>489730</v>
      </c>
      <c r="FX40" s="5">
        <v>493941</v>
      </c>
      <c r="FY40" s="5">
        <v>500650</v>
      </c>
      <c r="FZ40" s="5">
        <v>507324</v>
      </c>
      <c r="GA40" s="5">
        <v>513926</v>
      </c>
      <c r="GB40" s="5">
        <v>517565</v>
      </c>
      <c r="GC40" s="5">
        <v>521219</v>
      </c>
      <c r="GD40" s="5">
        <v>529772</v>
      </c>
      <c r="GE40" s="5">
        <v>531266</v>
      </c>
      <c r="GF40" s="5">
        <v>535608</v>
      </c>
      <c r="GG40" s="5">
        <v>540123</v>
      </c>
      <c r="GH40" s="5">
        <v>545307</v>
      </c>
      <c r="GI40" s="5">
        <v>549394</v>
      </c>
      <c r="GJ40" s="5">
        <v>555948</v>
      </c>
      <c r="GK40" s="5">
        <v>562790</v>
      </c>
      <c r="GL40" s="5">
        <v>565789</v>
      </c>
      <c r="GM40" s="5">
        <v>556179</v>
      </c>
      <c r="GN40" s="5">
        <v>475747</v>
      </c>
      <c r="GO40" s="5">
        <v>533668</v>
      </c>
      <c r="GP40" s="5">
        <v>538694</v>
      </c>
      <c r="GQ40" s="5">
        <v>538012</v>
      </c>
      <c r="GR40" s="5">
        <v>567887</v>
      </c>
      <c r="GS40" s="5">
        <v>581506</v>
      </c>
      <c r="GT40" s="5">
        <v>596674</v>
      </c>
      <c r="GU40" s="5">
        <v>608329</v>
      </c>
      <c r="GV40" s="5">
        <v>621272</v>
      </c>
      <c r="GW40" s="5">
        <v>630575</v>
      </c>
      <c r="GX40" s="5">
        <v>645805</v>
      </c>
      <c r="GY40" s="5">
        <v>658554</v>
      </c>
      <c r="GZ40" s="5">
        <v>674271</v>
      </c>
      <c r="HA40" s="5">
        <v>679198</v>
      </c>
      <c r="HB40" s="5">
        <v>677951</v>
      </c>
      <c r="HC40" s="6">
        <v>684491.9</v>
      </c>
      <c r="HD40" s="6">
        <v>688254.5</v>
      </c>
      <c r="HE40" s="6">
        <v>692540.7</v>
      </c>
      <c r="HF40" s="6">
        <v>698339.6</v>
      </c>
      <c r="HG40" s="6">
        <v>705108</v>
      </c>
      <c r="HH40" s="6">
        <v>712638.3</v>
      </c>
      <c r="HI40" s="6">
        <v>720391.4</v>
      </c>
      <c r="HJ40" s="6">
        <v>728373.7</v>
      </c>
      <c r="HK40" s="6">
        <v>735821.9</v>
      </c>
      <c r="HL40" s="6">
        <v>742903.9</v>
      </c>
      <c r="HM40" s="6">
        <v>749903</v>
      </c>
      <c r="HN40" s="6">
        <v>756968.7</v>
      </c>
      <c r="HO40" s="6">
        <v>764176.8</v>
      </c>
      <c r="HP40" s="6">
        <v>771453.3</v>
      </c>
      <c r="HQ40" s="6">
        <v>778721.9</v>
      </c>
      <c r="HR40" s="6">
        <v>786137.3</v>
      </c>
      <c r="HS40" s="6">
        <v>793386.2</v>
      </c>
      <c r="HT40" s="6">
        <v>800622.4</v>
      </c>
      <c r="HU40" s="6">
        <v>807844</v>
      </c>
      <c r="HV40" s="6">
        <v>815130.6</v>
      </c>
      <c r="HW40" s="6">
        <v>822401.1</v>
      </c>
      <c r="HX40" s="6">
        <v>829777.9</v>
      </c>
      <c r="HY40" s="6">
        <v>837262.3</v>
      </c>
      <c r="HZ40" s="6">
        <v>844898.4</v>
      </c>
      <c r="IA40" s="6">
        <v>852671.6</v>
      </c>
      <c r="IB40" s="6">
        <v>860525.1</v>
      </c>
      <c r="IC40" s="6">
        <v>868451.2</v>
      </c>
      <c r="ID40" s="6">
        <v>876449.6</v>
      </c>
      <c r="IE40" s="6">
        <v>884522.2</v>
      </c>
      <c r="IF40" s="6">
        <v>892669.3</v>
      </c>
      <c r="IG40" s="6">
        <v>900891.1</v>
      </c>
      <c r="IH40" s="6">
        <v>909188.6</v>
      </c>
      <c r="II40" s="6">
        <v>917572.1</v>
      </c>
      <c r="IJ40" s="6">
        <v>926032.3</v>
      </c>
      <c r="IK40" s="6">
        <v>934477.9</v>
      </c>
      <c r="IL40" s="6">
        <v>942906.2</v>
      </c>
      <c r="IM40" s="6">
        <v>951450.1</v>
      </c>
      <c r="IN40" s="6">
        <v>960023.8</v>
      </c>
      <c r="IO40" s="6">
        <v>968619.9</v>
      </c>
      <c r="IP40" s="6">
        <v>977304.1</v>
      </c>
      <c r="IQ40" s="6">
        <v>986121.4</v>
      </c>
      <c r="IR40" s="6">
        <v>995028.7</v>
      </c>
      <c r="IS40" s="6">
        <v>1003892</v>
      </c>
      <c r="IT40" s="6">
        <v>1012823</v>
      </c>
      <c r="IU40" s="6">
        <v>1021966</v>
      </c>
      <c r="IV40" s="6">
        <v>1031194</v>
      </c>
      <c r="IW40" s="6">
        <v>1040508</v>
      </c>
      <c r="IX40" s="6">
        <v>1049909</v>
      </c>
      <c r="IY40" s="6">
        <v>1059491</v>
      </c>
      <c r="IZ40" s="6">
        <v>1069167</v>
      </c>
      <c r="JA40" s="6">
        <v>1078939</v>
      </c>
      <c r="JB40" s="6">
        <v>1088806</v>
      </c>
      <c r="JC40" s="6">
        <v>1098769</v>
      </c>
      <c r="JD40" s="6">
        <v>1108829</v>
      </c>
      <c r="JE40" s="6">
        <v>1118987</v>
      </c>
      <c r="JF40" s="6">
        <v>1129244</v>
      </c>
      <c r="JG40" s="6">
        <v>1139709</v>
      </c>
      <c r="JH40" s="6">
        <v>1150276</v>
      </c>
      <c r="JI40" s="6">
        <v>1160949</v>
      </c>
      <c r="JJ40" s="6">
        <v>1171729</v>
      </c>
      <c r="JK40" s="6">
        <v>1182616</v>
      </c>
      <c r="JL40" s="6">
        <v>1193611</v>
      </c>
      <c r="JM40" s="6">
        <v>1204715</v>
      </c>
      <c r="JN40" s="6">
        <v>1215930</v>
      </c>
      <c r="JO40" s="6">
        <v>1227257</v>
      </c>
      <c r="JP40" s="6">
        <v>1238685</v>
      </c>
      <c r="JQ40" s="6">
        <v>1250218</v>
      </c>
      <c r="JR40" s="6">
        <v>1261855</v>
      </c>
      <c r="JS40" s="6">
        <v>1273511</v>
      </c>
      <c r="JT40" s="6">
        <v>1285270</v>
      </c>
      <c r="JU40" s="6">
        <v>1297134</v>
      </c>
      <c r="JV40" s="6">
        <v>1309103</v>
      </c>
      <c r="JW40" s="6">
        <v>1321180</v>
      </c>
      <c r="JX40" s="6">
        <v>1333363</v>
      </c>
      <c r="JY40" s="6">
        <v>1345655</v>
      </c>
      <c r="JZ40" s="6">
        <v>1358056</v>
      </c>
      <c r="KA40" s="6">
        <v>1370573</v>
      </c>
      <c r="KB40" s="6">
        <v>1383201</v>
      </c>
      <c r="KC40" s="6">
        <v>1395940</v>
      </c>
      <c r="KD40" s="6">
        <v>1408791</v>
      </c>
      <c r="KE40" s="6">
        <v>1421754</v>
      </c>
      <c r="KF40" s="6">
        <v>1434831</v>
      </c>
      <c r="KG40" s="6">
        <v>1448021</v>
      </c>
      <c r="KH40" s="6">
        <v>1461327</v>
      </c>
      <c r="KI40" s="6">
        <v>1474750</v>
      </c>
      <c r="KJ40" s="6">
        <v>1488289</v>
      </c>
      <c r="KK40" s="6">
        <v>1501947</v>
      </c>
      <c r="KL40" s="6">
        <v>1515723</v>
      </c>
      <c r="KM40" s="6">
        <v>1529621</v>
      </c>
      <c r="KN40" s="6">
        <v>1543639</v>
      </c>
      <c r="KO40" s="6">
        <v>1557780</v>
      </c>
      <c r="KP40" s="6">
        <v>1572044</v>
      </c>
      <c r="KQ40" s="6">
        <v>1586432</v>
      </c>
      <c r="KR40" s="6">
        <v>1600945</v>
      </c>
      <c r="KS40" s="6">
        <v>1615585</v>
      </c>
      <c r="KT40" s="6">
        <v>1630353</v>
      </c>
      <c r="KU40" s="6">
        <v>1645250</v>
      </c>
      <c r="KV40" s="6">
        <v>1660277</v>
      </c>
      <c r="KW40" s="6">
        <v>1675434</v>
      </c>
      <c r="KX40" s="6">
        <v>1690723</v>
      </c>
      <c r="KY40" s="6">
        <v>1706145</v>
      </c>
      <c r="KZ40" s="6">
        <v>1721701</v>
      </c>
      <c r="LA40" s="6">
        <v>1737392</v>
      </c>
      <c r="LB40" s="6">
        <v>1753219</v>
      </c>
      <c r="LC40" s="6">
        <v>1769182</v>
      </c>
      <c r="LD40" s="6">
        <v>1785285</v>
      </c>
      <c r="LE40" s="6">
        <v>1801526</v>
      </c>
      <c r="LF40" s="6">
        <v>1817908</v>
      </c>
      <c r="LG40" s="2" t="s">
        <v>335</v>
      </c>
      <c r="LH40" s="2" t="s">
        <v>336</v>
      </c>
      <c r="LI40" s="2" t="s">
        <v>338</v>
      </c>
      <c r="LJ40" s="2" t="s">
        <v>338</v>
      </c>
      <c r="LK40" s="2" t="s">
        <v>339</v>
      </c>
      <c r="LL40" s="2" t="s">
        <v>623</v>
      </c>
      <c r="LM40" s="2" t="s">
        <v>338</v>
      </c>
      <c r="LN40" s="2" t="s">
        <v>617</v>
      </c>
      <c r="LO40" s="2" t="s">
        <v>618</v>
      </c>
      <c r="LP40" s="2" t="s">
        <v>343</v>
      </c>
      <c r="LQ40" s="2" t="s">
        <v>615</v>
      </c>
      <c r="LR40" s="4" t="s">
        <v>659</v>
      </c>
      <c r="LS40"/>
      <c r="LT40"/>
      <c r="LU40"/>
      <c r="LV40"/>
      <c r="LW40"/>
      <c r="LX40"/>
    </row>
    <row r="41" spans="1:336" x14ac:dyDescent="0.35">
      <c r="A41" s="2" t="s">
        <v>330</v>
      </c>
      <c r="B41" s="2" t="s">
        <v>518</v>
      </c>
      <c r="C41" s="4" t="s">
        <v>658</v>
      </c>
      <c r="D41" s="2" t="s">
        <v>332</v>
      </c>
      <c r="E41" s="2" t="s">
        <v>333</v>
      </c>
      <c r="F41" s="2" t="s">
        <v>334</v>
      </c>
      <c r="G41" s="5">
        <v>1548.268</v>
      </c>
      <c r="H41" s="5">
        <v>1550.279</v>
      </c>
      <c r="I41" s="5">
        <v>1559.327</v>
      </c>
      <c r="J41" s="5">
        <v>1703.095</v>
      </c>
      <c r="K41" s="5">
        <v>1738.2829999999999</v>
      </c>
      <c r="L41" s="5">
        <v>1823.739</v>
      </c>
      <c r="M41" s="5">
        <v>2035.8720000000001</v>
      </c>
      <c r="N41" s="5">
        <v>2205.779</v>
      </c>
      <c r="O41" s="5">
        <v>2135.404</v>
      </c>
      <c r="P41" s="5">
        <v>2592.846</v>
      </c>
      <c r="Q41" s="5">
        <v>2733.598</v>
      </c>
      <c r="R41" s="5">
        <v>2822.0709999999999</v>
      </c>
      <c r="S41" s="5">
        <v>3006.0529999999999</v>
      </c>
      <c r="T41" s="5">
        <v>3144.7939999999999</v>
      </c>
      <c r="U41" s="5">
        <v>3256.39</v>
      </c>
      <c r="V41" s="5">
        <v>3338.83</v>
      </c>
      <c r="W41" s="5">
        <v>3507.732</v>
      </c>
      <c r="X41" s="5">
        <v>3695.7359999999999</v>
      </c>
      <c r="Y41" s="5">
        <v>3854.5839999999998</v>
      </c>
      <c r="Z41" s="5">
        <v>4034.5450000000001</v>
      </c>
      <c r="AA41" s="5">
        <v>4242.6570000000002</v>
      </c>
      <c r="AB41" s="5">
        <v>4409.5479999999998</v>
      </c>
      <c r="AC41" s="5">
        <v>4566.3860000000004</v>
      </c>
      <c r="AD41" s="5">
        <v>4741.32</v>
      </c>
      <c r="AE41" s="5">
        <v>4936.3609999999999</v>
      </c>
      <c r="AF41" s="5">
        <v>5226.9129999999996</v>
      </c>
      <c r="AG41" s="5">
        <v>5364.6480000000001</v>
      </c>
      <c r="AH41" s="5">
        <v>5855.2690000000002</v>
      </c>
      <c r="AI41" s="5">
        <v>6157.8850000000002</v>
      </c>
      <c r="AJ41" s="5">
        <v>6449.4409999999998</v>
      </c>
      <c r="AK41" s="5">
        <v>6597.2309999999998</v>
      </c>
      <c r="AL41" s="5">
        <v>6954.1369999999997</v>
      </c>
      <c r="AM41" s="5">
        <v>7586.5140000000001</v>
      </c>
      <c r="AN41" s="5">
        <v>8073.1120000000001</v>
      </c>
      <c r="AO41" s="5">
        <v>8208.8369999999995</v>
      </c>
      <c r="AP41" s="5">
        <v>8522.5130000000008</v>
      </c>
      <c r="AQ41" s="5">
        <v>9066.4169999999995</v>
      </c>
      <c r="AR41" s="5">
        <v>9202.1419999999998</v>
      </c>
      <c r="AS41" s="5">
        <v>9569.1020000000008</v>
      </c>
      <c r="AT41" s="5">
        <v>9918.9699999999993</v>
      </c>
      <c r="AU41" s="5">
        <v>9621.3809999999994</v>
      </c>
      <c r="AV41" s="5">
        <v>9593.23</v>
      </c>
      <c r="AW41" s="5">
        <v>9912.9380000000001</v>
      </c>
      <c r="AX41" s="5">
        <v>10069.780000000001</v>
      </c>
      <c r="AY41" s="5">
        <v>10204.49</v>
      </c>
      <c r="AZ41" s="5">
        <v>10362.34</v>
      </c>
      <c r="BA41" s="5">
        <v>10571.45</v>
      </c>
      <c r="BB41" s="5">
        <v>10817.77</v>
      </c>
      <c r="BC41" s="5">
        <v>11003.76</v>
      </c>
      <c r="BD41" s="5">
        <v>11398.87</v>
      </c>
      <c r="BE41" s="5">
        <v>11617.04</v>
      </c>
      <c r="BF41" s="5">
        <v>11747.74</v>
      </c>
      <c r="BG41" s="5">
        <v>12081.52</v>
      </c>
      <c r="BH41" s="5">
        <v>12345.93</v>
      </c>
      <c r="BI41" s="5">
        <v>12659.61</v>
      </c>
      <c r="BJ41" s="5">
        <v>12575.15</v>
      </c>
      <c r="BK41" s="5">
        <v>12359</v>
      </c>
      <c r="BL41" s="5">
        <v>12913</v>
      </c>
      <c r="BM41" s="5">
        <v>12949</v>
      </c>
      <c r="BN41" s="5">
        <v>13320</v>
      </c>
      <c r="BO41" s="5">
        <v>13082</v>
      </c>
      <c r="BP41" s="5">
        <v>13076</v>
      </c>
      <c r="BQ41" s="5">
        <v>13416</v>
      </c>
      <c r="BR41" s="5">
        <v>13436</v>
      </c>
      <c r="BS41" s="5">
        <v>13277</v>
      </c>
      <c r="BT41" s="5">
        <v>13692</v>
      </c>
      <c r="BU41" s="5">
        <v>13921</v>
      </c>
      <c r="BV41" s="5">
        <v>14170</v>
      </c>
      <c r="BW41" s="5">
        <v>14375</v>
      </c>
      <c r="BX41" s="5">
        <v>14915</v>
      </c>
      <c r="BY41" s="5">
        <v>15078</v>
      </c>
      <c r="BZ41" s="5">
        <v>15795</v>
      </c>
      <c r="CA41" s="5">
        <v>16196</v>
      </c>
      <c r="CB41" s="5">
        <v>18626</v>
      </c>
      <c r="CC41" s="5">
        <v>19291</v>
      </c>
      <c r="CD41" s="5">
        <v>19981</v>
      </c>
      <c r="CE41" s="5">
        <v>20194</v>
      </c>
      <c r="CF41" s="5">
        <v>21075</v>
      </c>
      <c r="CG41" s="5">
        <v>21360</v>
      </c>
      <c r="CH41" s="5">
        <v>21324</v>
      </c>
      <c r="CI41" s="5">
        <v>21545</v>
      </c>
      <c r="CJ41" s="5">
        <v>22462</v>
      </c>
      <c r="CK41" s="5">
        <v>22632</v>
      </c>
      <c r="CL41" s="5">
        <v>22885</v>
      </c>
      <c r="CM41" s="5">
        <v>22821</v>
      </c>
      <c r="CN41" s="5">
        <v>22527</v>
      </c>
      <c r="CO41" s="5">
        <v>23038</v>
      </c>
      <c r="CP41" s="5">
        <v>23224</v>
      </c>
      <c r="CQ41" s="5">
        <v>23900</v>
      </c>
      <c r="CR41" s="5">
        <v>23825</v>
      </c>
      <c r="CS41" s="5">
        <v>23634</v>
      </c>
      <c r="CT41" s="5">
        <v>23874</v>
      </c>
      <c r="CU41" s="5">
        <v>24108</v>
      </c>
      <c r="CV41" s="5">
        <v>24692</v>
      </c>
      <c r="CW41" s="5">
        <v>24982</v>
      </c>
      <c r="CX41" s="5">
        <v>24705</v>
      </c>
      <c r="CY41" s="5">
        <v>25253</v>
      </c>
      <c r="CZ41" s="5">
        <v>25366</v>
      </c>
      <c r="DA41" s="5">
        <v>24980</v>
      </c>
      <c r="DB41" s="5">
        <v>25695</v>
      </c>
      <c r="DC41" s="5">
        <v>25284</v>
      </c>
      <c r="DD41" s="5">
        <v>25612</v>
      </c>
      <c r="DE41" s="5">
        <v>25018</v>
      </c>
      <c r="DF41" s="5">
        <v>26209</v>
      </c>
      <c r="DG41" s="5">
        <v>25774</v>
      </c>
      <c r="DH41" s="5">
        <v>25273</v>
      </c>
      <c r="DI41" s="5">
        <v>25960</v>
      </c>
      <c r="DJ41" s="5">
        <v>27075</v>
      </c>
      <c r="DK41" s="5">
        <v>26606</v>
      </c>
      <c r="DL41" s="5">
        <v>26631</v>
      </c>
      <c r="DM41" s="5">
        <v>26839</v>
      </c>
      <c r="DN41" s="5">
        <v>27794</v>
      </c>
      <c r="DO41" s="5">
        <v>27965</v>
      </c>
      <c r="DP41" s="5">
        <v>28794</v>
      </c>
      <c r="DQ41" s="5">
        <v>29420</v>
      </c>
      <c r="DR41" s="5">
        <v>30023</v>
      </c>
      <c r="DS41" s="5">
        <v>29657</v>
      </c>
      <c r="DT41" s="5">
        <v>30217</v>
      </c>
      <c r="DU41" s="5">
        <v>30471</v>
      </c>
      <c r="DV41" s="5">
        <v>31219</v>
      </c>
      <c r="DW41" s="5">
        <v>31373</v>
      </c>
      <c r="DX41" s="5">
        <v>32814</v>
      </c>
      <c r="DY41" s="5">
        <v>34155</v>
      </c>
      <c r="DZ41" s="5">
        <v>34119</v>
      </c>
      <c r="EA41" s="5">
        <v>34814</v>
      </c>
      <c r="EB41" s="5">
        <v>35575</v>
      </c>
      <c r="EC41" s="5">
        <v>35506</v>
      </c>
      <c r="ED41" s="5">
        <v>36366</v>
      </c>
      <c r="EE41" s="5">
        <v>35546</v>
      </c>
      <c r="EF41" s="5">
        <v>36428</v>
      </c>
      <c r="EG41" s="5">
        <v>37181</v>
      </c>
      <c r="EH41" s="5">
        <v>39202</v>
      </c>
      <c r="EI41" s="5">
        <v>37434</v>
      </c>
      <c r="EJ41" s="5">
        <v>37835</v>
      </c>
      <c r="EK41" s="5">
        <v>38867</v>
      </c>
      <c r="EL41" s="5">
        <v>38813</v>
      </c>
      <c r="EM41" s="5">
        <v>39239</v>
      </c>
      <c r="EN41" s="5">
        <v>40476</v>
      </c>
      <c r="EO41" s="5">
        <v>41345</v>
      </c>
      <c r="EP41" s="5">
        <v>42132</v>
      </c>
      <c r="EQ41" s="5">
        <v>41038</v>
      </c>
      <c r="ER41" s="5">
        <v>43669</v>
      </c>
      <c r="ES41" s="5">
        <v>44735</v>
      </c>
      <c r="ET41" s="5">
        <v>44963</v>
      </c>
      <c r="EU41" s="5">
        <v>46705</v>
      </c>
      <c r="EV41" s="5">
        <v>48027</v>
      </c>
      <c r="EW41" s="5">
        <v>48825</v>
      </c>
      <c r="EX41" s="5">
        <v>49136</v>
      </c>
      <c r="EY41" s="5">
        <v>48996</v>
      </c>
      <c r="EZ41" s="5">
        <v>49560</v>
      </c>
      <c r="FA41" s="5">
        <v>50765</v>
      </c>
      <c r="FB41" s="5">
        <v>51239</v>
      </c>
      <c r="FC41" s="5">
        <v>49767</v>
      </c>
      <c r="FD41" s="5">
        <v>51566</v>
      </c>
      <c r="FE41" s="5">
        <v>52502</v>
      </c>
      <c r="FF41" s="5">
        <v>52483</v>
      </c>
      <c r="FG41" s="5">
        <v>52193</v>
      </c>
      <c r="FH41" s="5">
        <v>54388</v>
      </c>
      <c r="FI41" s="5">
        <v>54318</v>
      </c>
      <c r="FJ41" s="5">
        <v>54685</v>
      </c>
      <c r="FK41" s="5">
        <v>53933</v>
      </c>
      <c r="FL41" s="5">
        <v>54690</v>
      </c>
      <c r="FM41" s="5">
        <v>55291</v>
      </c>
      <c r="FN41" s="5">
        <v>55268</v>
      </c>
      <c r="FO41" s="5">
        <v>54597</v>
      </c>
      <c r="FP41" s="5">
        <v>55920</v>
      </c>
      <c r="FQ41" s="5">
        <v>56724</v>
      </c>
      <c r="FR41" s="5">
        <v>56801</v>
      </c>
      <c r="FS41" s="5">
        <v>56304</v>
      </c>
      <c r="FT41" s="5">
        <v>57030</v>
      </c>
      <c r="FU41" s="5">
        <v>57705</v>
      </c>
      <c r="FV41" s="5">
        <v>57851</v>
      </c>
      <c r="FW41" s="5">
        <v>57430</v>
      </c>
      <c r="FX41" s="5">
        <v>57854</v>
      </c>
      <c r="FY41" s="5">
        <v>58413</v>
      </c>
      <c r="FZ41" s="5">
        <v>58302</v>
      </c>
      <c r="GA41" s="5">
        <v>57245</v>
      </c>
      <c r="GB41" s="5">
        <v>58787</v>
      </c>
      <c r="GC41" s="5">
        <v>58944</v>
      </c>
      <c r="GD41" s="5">
        <v>59303</v>
      </c>
      <c r="GE41" s="5">
        <v>59019</v>
      </c>
      <c r="GF41" s="5">
        <v>60129</v>
      </c>
      <c r="GG41" s="5">
        <v>60653</v>
      </c>
      <c r="GH41" s="5">
        <v>61543</v>
      </c>
      <c r="GI41" s="5">
        <v>60896</v>
      </c>
      <c r="GJ41" s="5">
        <v>62067</v>
      </c>
      <c r="GK41" s="5">
        <v>62614</v>
      </c>
      <c r="GL41" s="5">
        <v>62949</v>
      </c>
      <c r="GM41" s="5">
        <v>64441</v>
      </c>
      <c r="GN41" s="5">
        <v>67500</v>
      </c>
      <c r="GO41" s="5">
        <v>68710</v>
      </c>
      <c r="GP41" s="5">
        <v>69206</v>
      </c>
      <c r="GQ41" s="5">
        <v>69943</v>
      </c>
      <c r="GR41" s="5">
        <v>68954</v>
      </c>
      <c r="GS41" s="5">
        <v>69587</v>
      </c>
      <c r="GT41" s="5">
        <v>68963</v>
      </c>
      <c r="GU41" s="5">
        <v>69701</v>
      </c>
      <c r="GV41" s="5">
        <v>71548</v>
      </c>
      <c r="GW41" s="5">
        <v>77433</v>
      </c>
      <c r="GX41" s="5">
        <v>76207</v>
      </c>
      <c r="GY41" s="5">
        <v>73434</v>
      </c>
      <c r="GZ41" s="5">
        <v>83480</v>
      </c>
      <c r="HA41" s="5">
        <v>82928</v>
      </c>
      <c r="HB41" s="6">
        <v>83660.86</v>
      </c>
      <c r="HC41" s="6">
        <v>84069.72</v>
      </c>
      <c r="HD41" s="6">
        <v>88814.87</v>
      </c>
      <c r="HE41" s="6">
        <v>88777.47</v>
      </c>
      <c r="HF41" s="6">
        <v>90117.43</v>
      </c>
      <c r="HG41" s="6">
        <v>91408.16</v>
      </c>
      <c r="HH41" s="6">
        <v>92610.8</v>
      </c>
      <c r="HI41" s="6">
        <v>93722.58</v>
      </c>
      <c r="HJ41" s="6">
        <v>94857.02</v>
      </c>
      <c r="HK41" s="6">
        <v>96068.2</v>
      </c>
      <c r="HL41" s="6">
        <v>97375.8</v>
      </c>
      <c r="HM41" s="6">
        <v>98844.37</v>
      </c>
      <c r="HN41" s="6">
        <v>100322.4</v>
      </c>
      <c r="HO41" s="6">
        <v>101820.3</v>
      </c>
      <c r="HP41" s="6">
        <v>103327.1</v>
      </c>
      <c r="HQ41" s="6">
        <v>104827.2</v>
      </c>
      <c r="HR41" s="6">
        <v>106338.6</v>
      </c>
      <c r="HS41" s="6">
        <v>107814.1</v>
      </c>
      <c r="HT41" s="6">
        <v>109256.9</v>
      </c>
      <c r="HU41" s="6">
        <v>110647.1</v>
      </c>
      <c r="HV41" s="6">
        <v>112017.8</v>
      </c>
      <c r="HW41" s="6">
        <v>113368.8</v>
      </c>
      <c r="HX41" s="6">
        <v>114705</v>
      </c>
      <c r="HY41" s="6">
        <v>116026.1</v>
      </c>
      <c r="HZ41" s="6">
        <v>117339.6</v>
      </c>
      <c r="IA41" s="6">
        <v>118645.8</v>
      </c>
      <c r="IB41" s="6">
        <v>119948.8</v>
      </c>
      <c r="IC41" s="6">
        <v>121222.39999999999</v>
      </c>
      <c r="ID41" s="6">
        <v>122496.1</v>
      </c>
      <c r="IE41" s="6">
        <v>123769.7</v>
      </c>
      <c r="IF41" s="6">
        <v>125045.5</v>
      </c>
      <c r="IG41" s="6">
        <v>126316.7</v>
      </c>
      <c r="IH41" s="6">
        <v>127592.6</v>
      </c>
      <c r="II41" s="6">
        <v>128872</v>
      </c>
      <c r="IJ41" s="6">
        <v>130157.5</v>
      </c>
      <c r="IK41" s="6">
        <v>131422.9</v>
      </c>
      <c r="IL41" s="6">
        <v>132693.9</v>
      </c>
      <c r="IM41" s="6">
        <v>133974.1</v>
      </c>
      <c r="IN41" s="6">
        <v>135259.70000000001</v>
      </c>
      <c r="IO41" s="6">
        <v>136537.60000000001</v>
      </c>
      <c r="IP41" s="6">
        <v>137824.1</v>
      </c>
      <c r="IQ41" s="6">
        <v>139120.20000000001</v>
      </c>
      <c r="IR41" s="6">
        <v>140426.5</v>
      </c>
      <c r="IS41" s="6">
        <v>141693.6</v>
      </c>
      <c r="IT41" s="6">
        <v>142971.5</v>
      </c>
      <c r="IU41" s="6">
        <v>144275.4</v>
      </c>
      <c r="IV41" s="6">
        <v>145603</v>
      </c>
      <c r="IW41" s="6">
        <v>146974</v>
      </c>
      <c r="IX41" s="6">
        <v>148366.6</v>
      </c>
      <c r="IY41" s="6">
        <v>149779.20000000001</v>
      </c>
      <c r="IZ41" s="6">
        <v>151211.70000000001</v>
      </c>
      <c r="JA41" s="6">
        <v>152596.6</v>
      </c>
      <c r="JB41" s="6">
        <v>154000.5</v>
      </c>
      <c r="JC41" s="6">
        <v>155422.5</v>
      </c>
      <c r="JD41" s="6">
        <v>156862.5</v>
      </c>
      <c r="JE41" s="6">
        <v>158261</v>
      </c>
      <c r="JF41" s="6">
        <v>159676.79999999999</v>
      </c>
      <c r="JG41" s="6">
        <v>161117.6</v>
      </c>
      <c r="JH41" s="6">
        <v>162581.70000000001</v>
      </c>
      <c r="JI41" s="6">
        <v>163995.29999999999</v>
      </c>
      <c r="JJ41" s="6">
        <v>165431.20000000001</v>
      </c>
      <c r="JK41" s="6">
        <v>166888.29999999999</v>
      </c>
      <c r="JL41" s="6">
        <v>168365.2</v>
      </c>
      <c r="JM41" s="6">
        <v>169846</v>
      </c>
      <c r="JN41" s="6">
        <v>171345.9</v>
      </c>
      <c r="JO41" s="6">
        <v>172864.2</v>
      </c>
      <c r="JP41" s="6">
        <v>174400.9</v>
      </c>
      <c r="JQ41" s="6">
        <v>175927</v>
      </c>
      <c r="JR41" s="6">
        <v>177470.3</v>
      </c>
      <c r="JS41" s="6">
        <v>179019.7</v>
      </c>
      <c r="JT41" s="6">
        <v>180578.1</v>
      </c>
      <c r="JU41" s="6">
        <v>182109.4</v>
      </c>
      <c r="JV41" s="6">
        <v>183650.9</v>
      </c>
      <c r="JW41" s="6">
        <v>185203.3</v>
      </c>
      <c r="JX41" s="6">
        <v>186767</v>
      </c>
      <c r="JY41" s="6">
        <v>188365.3</v>
      </c>
      <c r="JZ41" s="6">
        <v>189975.2</v>
      </c>
      <c r="KA41" s="6">
        <v>191597</v>
      </c>
      <c r="KB41" s="6">
        <v>193230.7</v>
      </c>
      <c r="KC41" s="6">
        <v>195005.3</v>
      </c>
      <c r="KD41" s="6">
        <v>196791.4</v>
      </c>
      <c r="KE41" s="6">
        <v>198590.1</v>
      </c>
      <c r="KF41" s="6">
        <v>200402.5</v>
      </c>
      <c r="KG41" s="6">
        <v>202339.9</v>
      </c>
      <c r="KH41" s="6">
        <v>204291.20000000001</v>
      </c>
      <c r="KI41" s="6">
        <v>206256</v>
      </c>
      <c r="KJ41" s="6">
        <v>208235.9</v>
      </c>
      <c r="KK41" s="6">
        <v>210198.39999999999</v>
      </c>
      <c r="KL41" s="6">
        <v>212177</v>
      </c>
      <c r="KM41" s="6">
        <v>214171.5</v>
      </c>
      <c r="KN41" s="6">
        <v>216182.7</v>
      </c>
      <c r="KO41" s="6">
        <v>218124.79999999999</v>
      </c>
      <c r="KP41" s="6">
        <v>220084.1</v>
      </c>
      <c r="KQ41" s="6">
        <v>222061.3</v>
      </c>
      <c r="KR41" s="6">
        <v>224056</v>
      </c>
      <c r="KS41" s="6">
        <v>226064.7</v>
      </c>
      <c r="KT41" s="6">
        <v>228091.1</v>
      </c>
      <c r="KU41" s="6">
        <v>230135.5</v>
      </c>
      <c r="KV41" s="6">
        <v>232198.5</v>
      </c>
      <c r="KW41" s="6">
        <v>234275</v>
      </c>
      <c r="KX41" s="6">
        <v>236370.2</v>
      </c>
      <c r="KY41" s="6">
        <v>238484</v>
      </c>
      <c r="KZ41" s="6">
        <v>240616.8</v>
      </c>
      <c r="LA41" s="6">
        <v>242830.7</v>
      </c>
      <c r="LB41" s="6">
        <v>245063.9</v>
      </c>
      <c r="LC41" s="6">
        <v>247316.2</v>
      </c>
      <c r="LD41" s="6">
        <v>249587.20000000001</v>
      </c>
      <c r="LE41" s="6">
        <v>251885.9</v>
      </c>
      <c r="LF41" s="6">
        <v>254204.1</v>
      </c>
      <c r="LG41" s="2" t="s">
        <v>335</v>
      </c>
      <c r="LH41" s="2" t="s">
        <v>336</v>
      </c>
      <c r="LI41" s="2" t="s">
        <v>338</v>
      </c>
      <c r="LJ41" s="2" t="s">
        <v>338</v>
      </c>
      <c r="LK41" s="2" t="s">
        <v>339</v>
      </c>
      <c r="LL41" s="2" t="s">
        <v>349</v>
      </c>
      <c r="LM41" s="2" t="s">
        <v>338</v>
      </c>
      <c r="LN41" s="2" t="s">
        <v>519</v>
      </c>
      <c r="LO41" s="4" t="s">
        <v>520</v>
      </c>
      <c r="LP41" s="2" t="s">
        <v>343</v>
      </c>
      <c r="LQ41" s="2" t="s">
        <v>521</v>
      </c>
      <c r="LR41" s="4" t="s">
        <v>659</v>
      </c>
      <c r="LS41"/>
      <c r="LT41"/>
      <c r="LU41"/>
      <c r="LV41"/>
      <c r="LW41"/>
      <c r="LX41"/>
    </row>
    <row r="42" spans="1:336" x14ac:dyDescent="0.35">
      <c r="A42" s="2" t="s">
        <v>330</v>
      </c>
      <c r="B42" s="2" t="s">
        <v>551</v>
      </c>
      <c r="C42" s="4" t="s">
        <v>658</v>
      </c>
      <c r="D42" s="2" t="s">
        <v>332</v>
      </c>
      <c r="E42" s="2" t="s">
        <v>333</v>
      </c>
      <c r="F42" s="2" t="s">
        <v>334</v>
      </c>
      <c r="G42" s="5">
        <v>11890</v>
      </c>
      <c r="H42" s="5">
        <v>11961</v>
      </c>
      <c r="I42" s="5">
        <v>12326</v>
      </c>
      <c r="J42" s="5">
        <v>12811</v>
      </c>
      <c r="K42" s="5">
        <v>13255</v>
      </c>
      <c r="L42" s="5">
        <v>13866</v>
      </c>
      <c r="M42" s="5">
        <v>14628</v>
      </c>
      <c r="N42" s="5">
        <v>15484</v>
      </c>
      <c r="O42" s="5">
        <v>16476</v>
      </c>
      <c r="P42" s="5">
        <v>17407</v>
      </c>
      <c r="Q42" s="5">
        <v>17907</v>
      </c>
      <c r="R42" s="5">
        <v>18684</v>
      </c>
      <c r="S42" s="5">
        <v>19524</v>
      </c>
      <c r="T42" s="5">
        <v>20139</v>
      </c>
      <c r="U42" s="5">
        <v>20882</v>
      </c>
      <c r="V42" s="5">
        <v>22025</v>
      </c>
      <c r="W42" s="5">
        <v>22597</v>
      </c>
      <c r="X42" s="5">
        <v>23291</v>
      </c>
      <c r="Y42" s="5">
        <v>24004</v>
      </c>
      <c r="Z42" s="5">
        <v>24919</v>
      </c>
      <c r="AA42" s="5">
        <v>26342</v>
      </c>
      <c r="AB42" s="5">
        <v>26858</v>
      </c>
      <c r="AC42" s="5">
        <v>27975</v>
      </c>
      <c r="AD42" s="5">
        <v>28742</v>
      </c>
      <c r="AE42" s="5">
        <v>30045</v>
      </c>
      <c r="AF42" s="5">
        <v>32478</v>
      </c>
      <c r="AG42" s="5">
        <v>33291</v>
      </c>
      <c r="AH42" s="5">
        <v>35171</v>
      </c>
      <c r="AI42" s="5">
        <v>37122</v>
      </c>
      <c r="AJ42" s="5">
        <v>37527</v>
      </c>
      <c r="AK42" s="5">
        <v>38828</v>
      </c>
      <c r="AL42" s="5">
        <v>39756</v>
      </c>
      <c r="AM42" s="5">
        <v>41488</v>
      </c>
      <c r="AN42" s="5">
        <v>42629</v>
      </c>
      <c r="AO42" s="5">
        <v>43659</v>
      </c>
      <c r="AP42" s="5">
        <v>44945</v>
      </c>
      <c r="AQ42" s="5">
        <v>46102</v>
      </c>
      <c r="AR42" s="5">
        <v>46860</v>
      </c>
      <c r="AS42" s="5">
        <v>48190</v>
      </c>
      <c r="AT42" s="5">
        <v>49731</v>
      </c>
      <c r="AU42" s="5">
        <v>51139</v>
      </c>
      <c r="AV42" s="5">
        <v>52019</v>
      </c>
      <c r="AW42" s="5">
        <v>53359</v>
      </c>
      <c r="AX42" s="5">
        <v>54205</v>
      </c>
      <c r="AY42" s="5">
        <v>55234</v>
      </c>
      <c r="AZ42" s="5">
        <v>56523</v>
      </c>
      <c r="BA42" s="5">
        <v>56869</v>
      </c>
      <c r="BB42" s="5">
        <v>58690</v>
      </c>
      <c r="BC42" s="5">
        <v>59893</v>
      </c>
      <c r="BD42" s="5">
        <v>61233</v>
      </c>
      <c r="BE42" s="5">
        <v>63040</v>
      </c>
      <c r="BF42" s="5">
        <v>64498</v>
      </c>
      <c r="BG42" s="5">
        <v>66362</v>
      </c>
      <c r="BH42" s="5">
        <v>68065</v>
      </c>
      <c r="BI42" s="5">
        <v>69253</v>
      </c>
      <c r="BJ42" s="5">
        <v>70506</v>
      </c>
      <c r="BK42" s="5">
        <v>72016</v>
      </c>
      <c r="BL42" s="5">
        <v>73996</v>
      </c>
      <c r="BM42" s="5">
        <v>76243</v>
      </c>
      <c r="BN42" s="5">
        <v>78869</v>
      </c>
      <c r="BO42" s="5">
        <v>81070</v>
      </c>
      <c r="BP42" s="5">
        <v>83439</v>
      </c>
      <c r="BQ42" s="5">
        <v>86186</v>
      </c>
      <c r="BR42" s="5">
        <v>87978</v>
      </c>
      <c r="BS42" s="5">
        <v>89742</v>
      </c>
      <c r="BT42" s="5">
        <v>91974</v>
      </c>
      <c r="BU42" s="5">
        <v>93435</v>
      </c>
      <c r="BV42" s="5">
        <v>95574</v>
      </c>
      <c r="BW42" s="5">
        <v>98144</v>
      </c>
      <c r="BX42" s="5">
        <v>100606</v>
      </c>
      <c r="BY42" s="5">
        <v>102143</v>
      </c>
      <c r="BZ42" s="5">
        <v>103680</v>
      </c>
      <c r="CA42" s="5">
        <v>105632</v>
      </c>
      <c r="CB42" s="5">
        <v>107349</v>
      </c>
      <c r="CC42" s="5">
        <v>108833</v>
      </c>
      <c r="CD42" s="5">
        <v>110093</v>
      </c>
      <c r="CE42" s="5">
        <v>111055</v>
      </c>
      <c r="CF42" s="5">
        <v>113068</v>
      </c>
      <c r="CG42" s="5">
        <v>114367</v>
      </c>
      <c r="CH42" s="5">
        <v>115511</v>
      </c>
      <c r="CI42" s="5">
        <v>117779</v>
      </c>
      <c r="CJ42" s="5">
        <v>118844</v>
      </c>
      <c r="CK42" s="5">
        <v>121563</v>
      </c>
      <c r="CL42" s="5">
        <v>123367</v>
      </c>
      <c r="CM42" s="5">
        <v>124599</v>
      </c>
      <c r="CN42" s="5">
        <v>125399</v>
      </c>
      <c r="CO42" s="5">
        <v>126959</v>
      </c>
      <c r="CP42" s="5">
        <v>128692</v>
      </c>
      <c r="CQ42" s="5">
        <v>129448</v>
      </c>
      <c r="CR42" s="5">
        <v>131676</v>
      </c>
      <c r="CS42" s="5">
        <v>134355</v>
      </c>
      <c r="CT42" s="5">
        <v>135996</v>
      </c>
      <c r="CU42" s="5">
        <v>138656</v>
      </c>
      <c r="CV42" s="5">
        <v>141413</v>
      </c>
      <c r="CW42" s="5">
        <v>143791</v>
      </c>
      <c r="CX42" s="5">
        <v>146133</v>
      </c>
      <c r="CY42" s="5">
        <v>148521</v>
      </c>
      <c r="CZ42" s="5">
        <v>151923</v>
      </c>
      <c r="DA42" s="5">
        <v>154648</v>
      </c>
      <c r="DB42" s="5">
        <v>155322</v>
      </c>
      <c r="DC42" s="5">
        <v>157363</v>
      </c>
      <c r="DD42" s="5">
        <v>159808</v>
      </c>
      <c r="DE42" s="5">
        <v>163543</v>
      </c>
      <c r="DF42" s="5">
        <v>163894</v>
      </c>
      <c r="DG42" s="5">
        <v>166173</v>
      </c>
      <c r="DH42" s="5">
        <v>169020</v>
      </c>
      <c r="DI42" s="5">
        <v>169812</v>
      </c>
      <c r="DJ42" s="5">
        <v>171597</v>
      </c>
      <c r="DK42" s="5">
        <v>174675</v>
      </c>
      <c r="DL42" s="5">
        <v>176189</v>
      </c>
      <c r="DM42" s="5">
        <v>178517</v>
      </c>
      <c r="DN42" s="5">
        <v>180013</v>
      </c>
      <c r="DO42" s="5">
        <v>182313</v>
      </c>
      <c r="DP42" s="5">
        <v>183507</v>
      </c>
      <c r="DQ42" s="5">
        <v>186442</v>
      </c>
      <c r="DR42" s="5">
        <v>185592</v>
      </c>
      <c r="DS42" s="5">
        <v>187972</v>
      </c>
      <c r="DT42" s="5">
        <v>189066</v>
      </c>
      <c r="DU42" s="5">
        <v>191120</v>
      </c>
      <c r="DV42" s="5">
        <v>194017</v>
      </c>
      <c r="DW42" s="5">
        <v>195711</v>
      </c>
      <c r="DX42" s="5">
        <v>198107</v>
      </c>
      <c r="DY42" s="5">
        <v>200859</v>
      </c>
      <c r="DZ42" s="5">
        <v>202805</v>
      </c>
      <c r="EA42" s="5">
        <v>204672</v>
      </c>
      <c r="EB42" s="5">
        <v>207596</v>
      </c>
      <c r="EC42" s="5">
        <v>209633</v>
      </c>
      <c r="ED42" s="5">
        <v>212885</v>
      </c>
      <c r="EE42" s="5">
        <v>215804</v>
      </c>
      <c r="EF42" s="5">
        <v>215642</v>
      </c>
      <c r="EG42" s="5">
        <v>219745</v>
      </c>
      <c r="EH42" s="5">
        <v>222951</v>
      </c>
      <c r="EI42" s="5">
        <v>223190</v>
      </c>
      <c r="EJ42" s="5">
        <v>225793</v>
      </c>
      <c r="EK42" s="5">
        <v>228836</v>
      </c>
      <c r="EL42" s="5">
        <v>229716</v>
      </c>
      <c r="EM42" s="5">
        <v>230397</v>
      </c>
      <c r="EN42" s="5">
        <v>236418</v>
      </c>
      <c r="EO42" s="5">
        <v>242142</v>
      </c>
      <c r="EP42" s="5">
        <v>242534</v>
      </c>
      <c r="EQ42" s="5">
        <v>247309</v>
      </c>
      <c r="ER42" s="5">
        <v>247754</v>
      </c>
      <c r="ES42" s="5">
        <v>247136</v>
      </c>
      <c r="ET42" s="5">
        <v>238878</v>
      </c>
      <c r="EU42" s="5">
        <v>238482</v>
      </c>
      <c r="EV42" s="5">
        <v>238579</v>
      </c>
      <c r="EW42" s="5">
        <v>239628</v>
      </c>
      <c r="EX42" s="5">
        <v>240359</v>
      </c>
      <c r="EY42" s="5">
        <v>239181</v>
      </c>
      <c r="EZ42" s="5">
        <v>247448</v>
      </c>
      <c r="FA42" s="5">
        <v>249276</v>
      </c>
      <c r="FB42" s="5">
        <v>251115</v>
      </c>
      <c r="FC42" s="5">
        <v>253565</v>
      </c>
      <c r="FD42" s="5">
        <v>253605</v>
      </c>
      <c r="FE42" s="5">
        <v>256446</v>
      </c>
      <c r="FF42" s="5">
        <v>258995</v>
      </c>
      <c r="FG42" s="5">
        <v>259204</v>
      </c>
      <c r="FH42" s="5">
        <v>262608</v>
      </c>
      <c r="FI42" s="5">
        <v>265247</v>
      </c>
      <c r="FJ42" s="5">
        <v>271075</v>
      </c>
      <c r="FK42" s="5">
        <v>272364</v>
      </c>
      <c r="FL42" s="5">
        <v>276766</v>
      </c>
      <c r="FM42" s="5">
        <v>280859</v>
      </c>
      <c r="FN42" s="5">
        <v>282243</v>
      </c>
      <c r="FO42" s="5">
        <v>284520</v>
      </c>
      <c r="FP42" s="5">
        <v>288530</v>
      </c>
      <c r="FQ42" s="5">
        <v>292466</v>
      </c>
      <c r="FR42" s="5">
        <v>293456</v>
      </c>
      <c r="FS42" s="5">
        <v>293367</v>
      </c>
      <c r="FT42" s="5">
        <v>295299</v>
      </c>
      <c r="FU42" s="5">
        <v>299876</v>
      </c>
      <c r="FV42" s="5">
        <v>299489</v>
      </c>
      <c r="FW42" s="5">
        <v>306340</v>
      </c>
      <c r="FX42" s="5">
        <v>310359</v>
      </c>
      <c r="FY42" s="5">
        <v>315557</v>
      </c>
      <c r="FZ42" s="5">
        <v>317089</v>
      </c>
      <c r="GA42" s="5">
        <v>319301</v>
      </c>
      <c r="GB42" s="5">
        <v>321575</v>
      </c>
      <c r="GC42" s="5">
        <v>325062</v>
      </c>
      <c r="GD42" s="5">
        <v>328631</v>
      </c>
      <c r="GE42" s="5">
        <v>332369</v>
      </c>
      <c r="GF42" s="5">
        <v>332472</v>
      </c>
      <c r="GG42" s="5">
        <v>336756</v>
      </c>
      <c r="GH42" s="5">
        <v>342134</v>
      </c>
      <c r="GI42" s="5">
        <v>342066</v>
      </c>
      <c r="GJ42" s="5">
        <v>344928</v>
      </c>
      <c r="GK42" s="5">
        <v>345930</v>
      </c>
      <c r="GL42" s="5">
        <v>345725</v>
      </c>
      <c r="GM42" s="5">
        <v>333891</v>
      </c>
      <c r="GN42" s="5">
        <v>256560</v>
      </c>
      <c r="GO42" s="5">
        <v>308355</v>
      </c>
      <c r="GP42" s="5">
        <v>302981</v>
      </c>
      <c r="GQ42" s="5">
        <v>295665</v>
      </c>
      <c r="GR42" s="5">
        <v>331279</v>
      </c>
      <c r="GS42" s="5">
        <v>345193</v>
      </c>
      <c r="GT42" s="5">
        <v>350829</v>
      </c>
      <c r="GU42" s="5">
        <v>361326</v>
      </c>
      <c r="GV42" s="5">
        <v>373379</v>
      </c>
      <c r="GW42" s="5">
        <v>378596</v>
      </c>
      <c r="GX42" s="5">
        <v>387098</v>
      </c>
      <c r="GY42" s="5">
        <v>397807</v>
      </c>
      <c r="GZ42" s="5">
        <v>405102</v>
      </c>
      <c r="HA42" s="5">
        <v>404086</v>
      </c>
      <c r="HB42" s="5">
        <v>405545</v>
      </c>
      <c r="HC42" s="6">
        <v>408999.5</v>
      </c>
      <c r="HD42" s="6">
        <v>412531.3</v>
      </c>
      <c r="HE42" s="6">
        <v>416058.3</v>
      </c>
      <c r="HF42" s="6">
        <v>419860.8</v>
      </c>
      <c r="HG42" s="6">
        <v>424486.3</v>
      </c>
      <c r="HH42" s="6">
        <v>429659.3</v>
      </c>
      <c r="HI42" s="6">
        <v>434895.3</v>
      </c>
      <c r="HJ42" s="6">
        <v>440130.2</v>
      </c>
      <c r="HK42" s="6">
        <v>445006.9</v>
      </c>
      <c r="HL42" s="6">
        <v>449468.1</v>
      </c>
      <c r="HM42" s="6">
        <v>453838.2</v>
      </c>
      <c r="HN42" s="6">
        <v>458274</v>
      </c>
      <c r="HO42" s="6">
        <v>462752.8</v>
      </c>
      <c r="HP42" s="6">
        <v>467322.2</v>
      </c>
      <c r="HQ42" s="6">
        <v>471936.5</v>
      </c>
      <c r="HR42" s="6">
        <v>476620.2</v>
      </c>
      <c r="HS42" s="6">
        <v>481134.9</v>
      </c>
      <c r="HT42" s="6">
        <v>485553.2</v>
      </c>
      <c r="HU42" s="6">
        <v>490012</v>
      </c>
      <c r="HV42" s="6">
        <v>494486.9</v>
      </c>
      <c r="HW42" s="6">
        <v>498928.3</v>
      </c>
      <c r="HX42" s="6">
        <v>503309.3</v>
      </c>
      <c r="HY42" s="6">
        <v>507703.6</v>
      </c>
      <c r="HZ42" s="6">
        <v>512123.4</v>
      </c>
      <c r="IA42" s="6">
        <v>516581.7</v>
      </c>
      <c r="IB42" s="6">
        <v>521078.8</v>
      </c>
      <c r="IC42" s="6">
        <v>525628</v>
      </c>
      <c r="ID42" s="6">
        <v>530216.9</v>
      </c>
      <c r="IE42" s="6">
        <v>534846.1</v>
      </c>
      <c r="IF42" s="6">
        <v>539515.80000000005</v>
      </c>
      <c r="IG42" s="6">
        <v>544226</v>
      </c>
      <c r="IH42" s="6">
        <v>548977.4</v>
      </c>
      <c r="II42" s="6">
        <v>553770.4</v>
      </c>
      <c r="IJ42" s="6">
        <v>558604.9</v>
      </c>
      <c r="IK42" s="6">
        <v>563426.1</v>
      </c>
      <c r="IL42" s="6">
        <v>568259.9</v>
      </c>
      <c r="IM42" s="6">
        <v>573125</v>
      </c>
      <c r="IN42" s="6">
        <v>578003.19999999995</v>
      </c>
      <c r="IO42" s="6">
        <v>582889.69999999995</v>
      </c>
      <c r="IP42" s="6">
        <v>587824.1</v>
      </c>
      <c r="IQ42" s="6">
        <v>592833.5</v>
      </c>
      <c r="IR42" s="6">
        <v>597892.6</v>
      </c>
      <c r="IS42" s="6">
        <v>602919.1</v>
      </c>
      <c r="IT42" s="6">
        <v>607982</v>
      </c>
      <c r="IU42" s="6">
        <v>613158.9</v>
      </c>
      <c r="IV42" s="6">
        <v>618381.80000000005</v>
      </c>
      <c r="IW42" s="6">
        <v>623650.4</v>
      </c>
      <c r="IX42" s="6">
        <v>628965.4</v>
      </c>
      <c r="IY42" s="6">
        <v>634384</v>
      </c>
      <c r="IZ42" s="6">
        <v>639853.4</v>
      </c>
      <c r="JA42" s="6">
        <v>645373.69999999995</v>
      </c>
      <c r="JB42" s="6">
        <v>650944.9</v>
      </c>
      <c r="JC42" s="6">
        <v>656567.9</v>
      </c>
      <c r="JD42" s="6">
        <v>662243</v>
      </c>
      <c r="JE42" s="6">
        <v>667970.9</v>
      </c>
      <c r="JF42" s="6">
        <v>673752.1</v>
      </c>
      <c r="JG42" s="6">
        <v>679645.2</v>
      </c>
      <c r="JH42" s="6">
        <v>685593.8</v>
      </c>
      <c r="JI42" s="6">
        <v>691598.4</v>
      </c>
      <c r="JJ42" s="6">
        <v>697660.6</v>
      </c>
      <c r="JK42" s="6">
        <v>703779.9</v>
      </c>
      <c r="JL42" s="6">
        <v>709956.6</v>
      </c>
      <c r="JM42" s="6">
        <v>716192.4</v>
      </c>
      <c r="JN42" s="6">
        <v>722508.9</v>
      </c>
      <c r="JO42" s="6">
        <v>728910.8</v>
      </c>
      <c r="JP42" s="6">
        <v>735367</v>
      </c>
      <c r="JQ42" s="6">
        <v>741879.2</v>
      </c>
      <c r="JR42" s="6">
        <v>748447.3</v>
      </c>
      <c r="JS42" s="6">
        <v>755020.1</v>
      </c>
      <c r="JT42" s="6">
        <v>761648.4</v>
      </c>
      <c r="JU42" s="6">
        <v>768332.7</v>
      </c>
      <c r="JV42" s="6">
        <v>775073.3</v>
      </c>
      <c r="JW42" s="6">
        <v>781870.8</v>
      </c>
      <c r="JX42" s="6">
        <v>788725.2</v>
      </c>
      <c r="JY42" s="6">
        <v>795637.6</v>
      </c>
      <c r="JZ42" s="6">
        <v>802608.1</v>
      </c>
      <c r="KA42" s="6">
        <v>809636.9</v>
      </c>
      <c r="KB42" s="6">
        <v>816724.4</v>
      </c>
      <c r="KC42" s="6">
        <v>823870.9</v>
      </c>
      <c r="KD42" s="6">
        <v>831076.4</v>
      </c>
      <c r="KE42" s="6">
        <v>838341.5</v>
      </c>
      <c r="KF42" s="6">
        <v>845666.9</v>
      </c>
      <c r="KG42" s="6">
        <v>853052.6</v>
      </c>
      <c r="KH42" s="6">
        <v>860498.9</v>
      </c>
      <c r="KI42" s="6">
        <v>868007.3</v>
      </c>
      <c r="KJ42" s="6">
        <v>875577.3</v>
      </c>
      <c r="KK42" s="6">
        <v>883210</v>
      </c>
      <c r="KL42" s="6">
        <v>890905.2</v>
      </c>
      <c r="KM42" s="6">
        <v>898664.1</v>
      </c>
      <c r="KN42" s="6">
        <v>906486.9</v>
      </c>
      <c r="KO42" s="6">
        <v>914374.1</v>
      </c>
      <c r="KP42" s="6">
        <v>922326.3</v>
      </c>
      <c r="KQ42" s="6">
        <v>930343.8</v>
      </c>
      <c r="KR42" s="6">
        <v>938427.3</v>
      </c>
      <c r="KS42" s="6">
        <v>946577.8</v>
      </c>
      <c r="KT42" s="6">
        <v>954795.2</v>
      </c>
      <c r="KU42" s="6">
        <v>963080.4</v>
      </c>
      <c r="KV42" s="6">
        <v>971434.1</v>
      </c>
      <c r="KW42" s="6">
        <v>979855.6</v>
      </c>
      <c r="KX42" s="6">
        <v>988346.7</v>
      </c>
      <c r="KY42" s="6">
        <v>996908.1</v>
      </c>
      <c r="KZ42" s="6">
        <v>1005539</v>
      </c>
      <c r="LA42" s="6">
        <v>1014241</v>
      </c>
      <c r="LB42" s="6">
        <v>1023014</v>
      </c>
      <c r="LC42" s="6">
        <v>1031859</v>
      </c>
      <c r="LD42" s="6">
        <v>1040776</v>
      </c>
      <c r="LE42" s="6">
        <v>1049766</v>
      </c>
      <c r="LF42" s="6">
        <v>1058829</v>
      </c>
      <c r="LG42" s="2" t="s">
        <v>335</v>
      </c>
      <c r="LH42" s="2" t="s">
        <v>336</v>
      </c>
      <c r="LI42" s="2" t="s">
        <v>338</v>
      </c>
      <c r="LJ42" s="2" t="s">
        <v>338</v>
      </c>
      <c r="LK42" s="2" t="s">
        <v>339</v>
      </c>
      <c r="LL42" s="2" t="s">
        <v>623</v>
      </c>
      <c r="LM42" s="2" t="s">
        <v>338</v>
      </c>
      <c r="LN42" s="2" t="s">
        <v>552</v>
      </c>
      <c r="LO42" s="2" t="s">
        <v>553</v>
      </c>
      <c r="LP42" s="2" t="s">
        <v>343</v>
      </c>
      <c r="LQ42" s="2" t="s">
        <v>554</v>
      </c>
      <c r="LR42" s="4" t="s">
        <v>659</v>
      </c>
      <c r="LS42"/>
      <c r="LT42"/>
      <c r="LU42"/>
      <c r="LV42"/>
      <c r="LW42"/>
      <c r="LX42"/>
    </row>
    <row r="43" spans="1:336" x14ac:dyDescent="0.35">
      <c r="A43" s="2" t="s">
        <v>330</v>
      </c>
      <c r="B43" s="4" t="s">
        <v>555</v>
      </c>
      <c r="C43" s="4" t="s">
        <v>658</v>
      </c>
      <c r="D43" s="2" t="s">
        <v>332</v>
      </c>
      <c r="E43" s="2" t="s">
        <v>333</v>
      </c>
      <c r="F43" s="2" t="s">
        <v>334</v>
      </c>
      <c r="G43" s="5">
        <v>171</v>
      </c>
      <c r="H43" s="5">
        <v>188</v>
      </c>
      <c r="I43" s="5">
        <v>195</v>
      </c>
      <c r="J43" s="5">
        <v>204</v>
      </c>
      <c r="K43" s="5">
        <v>221</v>
      </c>
      <c r="L43" s="5">
        <v>242</v>
      </c>
      <c r="M43" s="5">
        <v>229</v>
      </c>
      <c r="N43" s="5">
        <v>237</v>
      </c>
      <c r="O43" s="5">
        <v>274</v>
      </c>
      <c r="P43" s="5">
        <v>286</v>
      </c>
      <c r="Q43" s="5">
        <v>307</v>
      </c>
      <c r="R43" s="5">
        <v>299</v>
      </c>
      <c r="S43" s="5">
        <v>346</v>
      </c>
      <c r="T43" s="5">
        <v>350</v>
      </c>
      <c r="U43" s="5">
        <v>359</v>
      </c>
      <c r="V43" s="5">
        <v>367</v>
      </c>
      <c r="W43" s="5">
        <v>386</v>
      </c>
      <c r="X43" s="5">
        <v>388</v>
      </c>
      <c r="Y43" s="5">
        <v>393</v>
      </c>
      <c r="Z43" s="5">
        <v>403</v>
      </c>
      <c r="AA43" s="5">
        <v>405</v>
      </c>
      <c r="AB43" s="5">
        <v>428</v>
      </c>
      <c r="AC43" s="5">
        <v>429</v>
      </c>
      <c r="AD43" s="5">
        <v>440</v>
      </c>
      <c r="AE43" s="5">
        <v>475</v>
      </c>
      <c r="AF43" s="5">
        <v>473</v>
      </c>
      <c r="AG43" s="5">
        <v>490</v>
      </c>
      <c r="AH43" s="5">
        <v>514</v>
      </c>
      <c r="AI43" s="5">
        <v>593</v>
      </c>
      <c r="AJ43" s="5">
        <v>560</v>
      </c>
      <c r="AK43" s="5">
        <v>630</v>
      </c>
      <c r="AL43" s="5">
        <v>646</v>
      </c>
      <c r="AM43" s="5">
        <v>681</v>
      </c>
      <c r="AN43" s="5">
        <v>672</v>
      </c>
      <c r="AO43" s="5">
        <v>695</v>
      </c>
      <c r="AP43" s="5">
        <v>788</v>
      </c>
      <c r="AQ43" s="5">
        <v>792</v>
      </c>
      <c r="AR43" s="5">
        <v>778</v>
      </c>
      <c r="AS43" s="5">
        <v>794</v>
      </c>
      <c r="AT43" s="5">
        <v>798</v>
      </c>
      <c r="AU43" s="5">
        <v>870</v>
      </c>
      <c r="AV43" s="5">
        <v>872</v>
      </c>
      <c r="AW43" s="5">
        <v>914</v>
      </c>
      <c r="AX43" s="5">
        <v>883</v>
      </c>
      <c r="AY43" s="5">
        <v>926</v>
      </c>
      <c r="AZ43" s="5">
        <v>967</v>
      </c>
      <c r="BA43" s="5">
        <v>1005</v>
      </c>
      <c r="BB43" s="5">
        <v>1042</v>
      </c>
      <c r="BC43" s="5">
        <v>1178</v>
      </c>
      <c r="BD43" s="5">
        <v>1070</v>
      </c>
      <c r="BE43" s="5">
        <v>1076</v>
      </c>
      <c r="BF43" s="5">
        <v>1090</v>
      </c>
      <c r="BG43" s="5">
        <v>1227</v>
      </c>
      <c r="BH43" s="5">
        <v>1257</v>
      </c>
      <c r="BI43" s="5">
        <v>1292</v>
      </c>
      <c r="BJ43" s="5">
        <v>1295</v>
      </c>
      <c r="BK43" s="5">
        <v>1453</v>
      </c>
      <c r="BL43" s="5">
        <v>1406</v>
      </c>
      <c r="BM43" s="5">
        <v>1423</v>
      </c>
      <c r="BN43" s="5">
        <v>1444</v>
      </c>
      <c r="BO43" s="5">
        <v>1666</v>
      </c>
      <c r="BP43" s="5">
        <v>1571</v>
      </c>
      <c r="BQ43" s="5">
        <v>1611</v>
      </c>
      <c r="BR43" s="5">
        <v>1634</v>
      </c>
      <c r="BS43" s="5">
        <v>1822</v>
      </c>
      <c r="BT43" s="5">
        <v>1867</v>
      </c>
      <c r="BU43" s="5">
        <v>1857</v>
      </c>
      <c r="BV43" s="5">
        <v>1900</v>
      </c>
      <c r="BW43" s="5">
        <v>2116</v>
      </c>
      <c r="BX43" s="5">
        <v>2017</v>
      </c>
      <c r="BY43" s="5">
        <v>2066</v>
      </c>
      <c r="BZ43" s="5">
        <v>2094</v>
      </c>
      <c r="CA43" s="5">
        <v>1839</v>
      </c>
      <c r="CB43" s="5">
        <v>1915</v>
      </c>
      <c r="CC43" s="5">
        <v>1890</v>
      </c>
      <c r="CD43" s="5">
        <v>2005</v>
      </c>
      <c r="CE43" s="5">
        <v>1890</v>
      </c>
      <c r="CF43" s="5">
        <v>1809</v>
      </c>
      <c r="CG43" s="5">
        <v>1742</v>
      </c>
      <c r="CH43" s="5">
        <v>1849</v>
      </c>
      <c r="CI43" s="5">
        <v>2351</v>
      </c>
      <c r="CJ43" s="5">
        <v>2480</v>
      </c>
      <c r="CK43" s="5">
        <v>2285</v>
      </c>
      <c r="CL43" s="5">
        <v>2421</v>
      </c>
      <c r="CM43" s="5">
        <v>2436</v>
      </c>
      <c r="CN43" s="5">
        <v>2648</v>
      </c>
      <c r="CO43" s="5">
        <v>2450</v>
      </c>
      <c r="CP43" s="5">
        <v>2593</v>
      </c>
      <c r="CQ43" s="5">
        <v>2972</v>
      </c>
      <c r="CR43" s="5">
        <v>2860</v>
      </c>
      <c r="CS43" s="5">
        <v>2430</v>
      </c>
      <c r="CT43" s="5">
        <v>2944</v>
      </c>
      <c r="CU43" s="5">
        <v>3169</v>
      </c>
      <c r="CV43" s="5">
        <v>3167</v>
      </c>
      <c r="CW43" s="5">
        <v>3171</v>
      </c>
      <c r="CX43" s="5">
        <v>3289</v>
      </c>
      <c r="CY43" s="5">
        <v>3780</v>
      </c>
      <c r="CZ43" s="5">
        <v>3848</v>
      </c>
      <c r="DA43" s="5">
        <v>3934</v>
      </c>
      <c r="DB43" s="5">
        <v>3993</v>
      </c>
      <c r="DC43" s="5">
        <v>4026</v>
      </c>
      <c r="DD43" s="5">
        <v>4024</v>
      </c>
      <c r="DE43" s="5">
        <v>4052</v>
      </c>
      <c r="DF43" s="5">
        <v>4090</v>
      </c>
      <c r="DG43" s="5">
        <v>4143</v>
      </c>
      <c r="DH43" s="5">
        <v>4236</v>
      </c>
      <c r="DI43" s="5">
        <v>4312</v>
      </c>
      <c r="DJ43" s="5">
        <v>4443</v>
      </c>
      <c r="DK43" s="5">
        <v>4494</v>
      </c>
      <c r="DL43" s="5">
        <v>4606</v>
      </c>
      <c r="DM43" s="5">
        <v>4735</v>
      </c>
      <c r="DN43" s="5">
        <v>4836</v>
      </c>
      <c r="DO43" s="5">
        <v>4940</v>
      </c>
      <c r="DP43" s="5">
        <v>5062</v>
      </c>
      <c r="DQ43" s="5">
        <v>5194</v>
      </c>
      <c r="DR43" s="5">
        <v>5307</v>
      </c>
      <c r="DS43" s="5">
        <v>5427</v>
      </c>
      <c r="DT43" s="5">
        <v>5577</v>
      </c>
      <c r="DU43" s="5">
        <v>5719</v>
      </c>
      <c r="DV43" s="5">
        <v>5874</v>
      </c>
      <c r="DW43" s="5">
        <v>5994</v>
      </c>
      <c r="DX43" s="5">
        <v>6152</v>
      </c>
      <c r="DY43" s="5">
        <v>6267</v>
      </c>
      <c r="DZ43" s="5">
        <v>6422</v>
      </c>
      <c r="EA43" s="5">
        <v>6488</v>
      </c>
      <c r="EB43" s="5">
        <v>6597</v>
      </c>
      <c r="EC43" s="5">
        <v>6738</v>
      </c>
      <c r="ED43" s="5">
        <v>6862</v>
      </c>
      <c r="EE43" s="5">
        <v>6969</v>
      </c>
      <c r="EF43" s="5">
        <v>7147</v>
      </c>
      <c r="EG43" s="5">
        <v>7141</v>
      </c>
      <c r="EH43" s="5">
        <v>7426</v>
      </c>
      <c r="EI43" s="5">
        <v>7497</v>
      </c>
      <c r="EJ43" s="5">
        <v>7569</v>
      </c>
      <c r="EK43" s="5">
        <v>7609</v>
      </c>
      <c r="EL43" s="5">
        <v>7660</v>
      </c>
      <c r="EM43" s="5">
        <v>7632</v>
      </c>
      <c r="EN43" s="5">
        <v>7714</v>
      </c>
      <c r="EO43" s="5">
        <v>7797</v>
      </c>
      <c r="EP43" s="5">
        <v>7965</v>
      </c>
      <c r="EQ43" s="5">
        <v>8129</v>
      </c>
      <c r="ER43" s="5">
        <v>8387</v>
      </c>
      <c r="ES43" s="5">
        <v>8683</v>
      </c>
      <c r="ET43" s="5">
        <v>9046</v>
      </c>
      <c r="EU43" s="5">
        <v>9225</v>
      </c>
      <c r="EV43" s="5">
        <v>9557</v>
      </c>
      <c r="EW43" s="5">
        <v>9853</v>
      </c>
      <c r="EX43" s="5">
        <v>9981</v>
      </c>
      <c r="EY43" s="5">
        <v>9978</v>
      </c>
      <c r="EZ43" s="5">
        <v>10001</v>
      </c>
      <c r="FA43" s="5">
        <v>10075</v>
      </c>
      <c r="FB43" s="5">
        <v>10042</v>
      </c>
      <c r="FC43" s="5">
        <v>10037</v>
      </c>
      <c r="FD43" s="5">
        <v>10204</v>
      </c>
      <c r="FE43" s="5">
        <v>10320</v>
      </c>
      <c r="FF43" s="5">
        <v>10294</v>
      </c>
      <c r="FG43" s="5">
        <v>10338</v>
      </c>
      <c r="FH43" s="5">
        <v>10523</v>
      </c>
      <c r="FI43" s="5">
        <v>10553</v>
      </c>
      <c r="FJ43" s="5">
        <v>10503</v>
      </c>
      <c r="FK43" s="5">
        <v>10299</v>
      </c>
      <c r="FL43" s="5">
        <v>10324</v>
      </c>
      <c r="FM43" s="5">
        <v>10215</v>
      </c>
      <c r="FN43" s="5">
        <v>10022</v>
      </c>
      <c r="FO43" s="5">
        <v>9964</v>
      </c>
      <c r="FP43" s="5">
        <v>9914</v>
      </c>
      <c r="FQ43" s="5">
        <v>9901</v>
      </c>
      <c r="FR43" s="5">
        <v>9934</v>
      </c>
      <c r="FS43" s="5">
        <v>9856</v>
      </c>
      <c r="FT43" s="5">
        <v>10137</v>
      </c>
      <c r="FU43" s="5">
        <v>10184</v>
      </c>
      <c r="FV43" s="5">
        <v>10117</v>
      </c>
      <c r="FW43" s="5">
        <v>10007</v>
      </c>
      <c r="FX43" s="5">
        <v>9980</v>
      </c>
      <c r="FY43" s="5">
        <v>9996</v>
      </c>
      <c r="FZ43" s="5">
        <v>10117</v>
      </c>
      <c r="GA43" s="5">
        <v>10260</v>
      </c>
      <c r="GB43" s="5">
        <v>10407</v>
      </c>
      <c r="GC43" s="5">
        <v>10674</v>
      </c>
      <c r="GD43" s="5">
        <v>11011</v>
      </c>
      <c r="GE43" s="5">
        <v>11272</v>
      </c>
      <c r="GF43" s="5">
        <v>11790</v>
      </c>
      <c r="GG43" s="5">
        <v>12260</v>
      </c>
      <c r="GH43" s="5">
        <v>12620</v>
      </c>
      <c r="GI43" s="5">
        <v>12597</v>
      </c>
      <c r="GJ43" s="5">
        <v>12594</v>
      </c>
      <c r="GK43" s="5">
        <v>12344</v>
      </c>
      <c r="GL43" s="5">
        <v>11756</v>
      </c>
      <c r="GM43" s="5">
        <v>12175</v>
      </c>
      <c r="GN43" s="5">
        <v>10293</v>
      </c>
      <c r="GO43" s="5">
        <v>10781</v>
      </c>
      <c r="GP43" s="5">
        <v>11037</v>
      </c>
      <c r="GQ43" s="5">
        <v>10842</v>
      </c>
      <c r="GR43" s="5">
        <v>11451</v>
      </c>
      <c r="GS43" s="5">
        <v>11910</v>
      </c>
      <c r="GT43" s="5">
        <v>12167</v>
      </c>
      <c r="GU43" s="5">
        <v>12186</v>
      </c>
      <c r="GV43" s="5">
        <v>12367</v>
      </c>
      <c r="GW43" s="5">
        <v>12573</v>
      </c>
      <c r="GX43" s="5">
        <v>12741</v>
      </c>
      <c r="GY43" s="5">
        <v>12951</v>
      </c>
      <c r="GZ43" s="5">
        <v>13148</v>
      </c>
      <c r="HA43" s="5">
        <v>13317</v>
      </c>
      <c r="HB43" s="5">
        <v>13437</v>
      </c>
      <c r="HC43" s="6">
        <v>13507.55</v>
      </c>
      <c r="HD43" s="6">
        <v>13633.58</v>
      </c>
      <c r="HE43" s="6">
        <v>13768.86</v>
      </c>
      <c r="HF43" s="6">
        <v>13909.78</v>
      </c>
      <c r="HG43" s="6">
        <v>14065.22</v>
      </c>
      <c r="HH43" s="6">
        <v>14250.94</v>
      </c>
      <c r="HI43" s="6">
        <v>14439.23</v>
      </c>
      <c r="HJ43" s="6">
        <v>14625.53</v>
      </c>
      <c r="HK43" s="6">
        <v>14797.69</v>
      </c>
      <c r="HL43" s="6">
        <v>14957</v>
      </c>
      <c r="HM43" s="6">
        <v>15112.8</v>
      </c>
      <c r="HN43" s="6">
        <v>15270.51</v>
      </c>
      <c r="HO43" s="6">
        <v>15429.72</v>
      </c>
      <c r="HP43" s="6">
        <v>15592.46</v>
      </c>
      <c r="HQ43" s="6">
        <v>15756.71</v>
      </c>
      <c r="HR43" s="6">
        <v>15923.34</v>
      </c>
      <c r="HS43" s="6">
        <v>16083.99</v>
      </c>
      <c r="HT43" s="6">
        <v>16241.25</v>
      </c>
      <c r="HU43" s="6">
        <v>16399.93</v>
      </c>
      <c r="HV43" s="6">
        <v>16559.16</v>
      </c>
      <c r="HW43" s="6">
        <v>16717.22</v>
      </c>
      <c r="HX43" s="6">
        <v>16873.13</v>
      </c>
      <c r="HY43" s="6">
        <v>17029.509999999998</v>
      </c>
      <c r="HZ43" s="6">
        <v>17186.79</v>
      </c>
      <c r="IA43" s="6">
        <v>17345.45</v>
      </c>
      <c r="IB43" s="6">
        <v>17505.490000000002</v>
      </c>
      <c r="IC43" s="6">
        <v>17667.38</v>
      </c>
      <c r="ID43" s="6">
        <v>17830.689999999999</v>
      </c>
      <c r="IE43" s="6">
        <v>17995.43</v>
      </c>
      <c r="IF43" s="6">
        <v>18161.61</v>
      </c>
      <c r="IG43" s="6">
        <v>18329.23</v>
      </c>
      <c r="IH43" s="6">
        <v>18498.310000000001</v>
      </c>
      <c r="II43" s="6">
        <v>18668.88</v>
      </c>
      <c r="IJ43" s="6">
        <v>18840.939999999999</v>
      </c>
      <c r="IK43" s="6">
        <v>19012.490000000002</v>
      </c>
      <c r="IL43" s="6">
        <v>19184.509999999998</v>
      </c>
      <c r="IM43" s="6">
        <v>19357.86</v>
      </c>
      <c r="IN43" s="6">
        <v>19531.669999999998</v>
      </c>
      <c r="IO43" s="6">
        <v>19705.78</v>
      </c>
      <c r="IP43" s="6">
        <v>19881.59</v>
      </c>
      <c r="IQ43" s="6">
        <v>20060.07</v>
      </c>
      <c r="IR43" s="6">
        <v>20240.32</v>
      </c>
      <c r="IS43" s="6">
        <v>20419.439999999999</v>
      </c>
      <c r="IT43" s="6">
        <v>20599.84</v>
      </c>
      <c r="IU43" s="6">
        <v>20784.3</v>
      </c>
      <c r="IV43" s="6">
        <v>20970.39</v>
      </c>
      <c r="IW43" s="6">
        <v>21158.14</v>
      </c>
      <c r="IX43" s="6">
        <v>21347.52</v>
      </c>
      <c r="IY43" s="6">
        <v>21540.61</v>
      </c>
      <c r="IZ43" s="6">
        <v>21735.49</v>
      </c>
      <c r="JA43" s="6">
        <v>21932.2</v>
      </c>
      <c r="JB43" s="6">
        <v>22130.71</v>
      </c>
      <c r="JC43" s="6">
        <v>22331.09</v>
      </c>
      <c r="JD43" s="6">
        <v>22533.33</v>
      </c>
      <c r="JE43" s="6">
        <v>22737.42</v>
      </c>
      <c r="JF43" s="6">
        <v>22943.43</v>
      </c>
      <c r="JG43" s="6">
        <v>23153.45</v>
      </c>
      <c r="JH43" s="6">
        <v>23365.42</v>
      </c>
      <c r="JI43" s="6">
        <v>23579.4</v>
      </c>
      <c r="JJ43" s="6">
        <v>23795.43</v>
      </c>
      <c r="JK43" s="6">
        <v>24013.49</v>
      </c>
      <c r="JL43" s="6">
        <v>24233.62</v>
      </c>
      <c r="JM43" s="6">
        <v>24455.84</v>
      </c>
      <c r="JN43" s="6">
        <v>24680.17</v>
      </c>
      <c r="JO43" s="6">
        <v>24906.639999999999</v>
      </c>
      <c r="JP43" s="6">
        <v>25136.29</v>
      </c>
      <c r="JQ43" s="6">
        <v>25367.96</v>
      </c>
      <c r="JR43" s="6">
        <v>25601.62</v>
      </c>
      <c r="JS43" s="6">
        <v>25835.43</v>
      </c>
      <c r="JT43" s="6">
        <v>26071.21</v>
      </c>
      <c r="JU43" s="6">
        <v>26308.98</v>
      </c>
      <c r="JV43" s="6">
        <v>26548.78</v>
      </c>
      <c r="JW43" s="6">
        <v>26790.57</v>
      </c>
      <c r="JX43" s="6">
        <v>27034.400000000001</v>
      </c>
      <c r="JY43" s="6">
        <v>27280.28</v>
      </c>
      <c r="JZ43" s="6">
        <v>27528.240000000002</v>
      </c>
      <c r="KA43" s="6">
        <v>27778.26</v>
      </c>
      <c r="KB43" s="6">
        <v>28030.37</v>
      </c>
      <c r="KC43" s="6">
        <v>28284.57</v>
      </c>
      <c r="KD43" s="6">
        <v>28540.89</v>
      </c>
      <c r="KE43" s="6">
        <v>28799.32</v>
      </c>
      <c r="KF43" s="6">
        <v>29059.89</v>
      </c>
      <c r="KG43" s="6">
        <v>29322.59</v>
      </c>
      <c r="KH43" s="6">
        <v>29587.46</v>
      </c>
      <c r="KI43" s="6">
        <v>29854.53</v>
      </c>
      <c r="KJ43" s="6">
        <v>30123.79</v>
      </c>
      <c r="KK43" s="6">
        <v>30395.29</v>
      </c>
      <c r="KL43" s="6">
        <v>30669.01</v>
      </c>
      <c r="KM43" s="6">
        <v>30944.97</v>
      </c>
      <c r="KN43" s="6">
        <v>31223.24</v>
      </c>
      <c r="KO43" s="6">
        <v>31503.759999999998</v>
      </c>
      <c r="KP43" s="6">
        <v>31786.62</v>
      </c>
      <c r="KQ43" s="6">
        <v>32071.78</v>
      </c>
      <c r="KR43" s="6">
        <v>32359.31</v>
      </c>
      <c r="KS43" s="6">
        <v>32649.21</v>
      </c>
      <c r="KT43" s="6">
        <v>32941.46</v>
      </c>
      <c r="KU43" s="6">
        <v>33236.15</v>
      </c>
      <c r="KV43" s="6">
        <v>33533.279999999999</v>
      </c>
      <c r="KW43" s="6">
        <v>33832.82</v>
      </c>
      <c r="KX43" s="6">
        <v>34134.82</v>
      </c>
      <c r="KY43" s="6">
        <v>34439.32</v>
      </c>
      <c r="KZ43" s="6">
        <v>34746.300000000003</v>
      </c>
      <c r="LA43" s="6">
        <v>35055.79</v>
      </c>
      <c r="LB43" s="6">
        <v>35367.800000000003</v>
      </c>
      <c r="LC43" s="6">
        <v>35682.379999999997</v>
      </c>
      <c r="LD43" s="6">
        <v>35999.53</v>
      </c>
      <c r="LE43" s="6">
        <v>36319.26</v>
      </c>
      <c r="LF43" s="6">
        <v>36641.599999999999</v>
      </c>
      <c r="LG43" s="2" t="s">
        <v>335</v>
      </c>
      <c r="LH43" s="2" t="s">
        <v>336</v>
      </c>
      <c r="LI43" s="2" t="s">
        <v>338</v>
      </c>
      <c r="LJ43" s="2" t="s">
        <v>338</v>
      </c>
      <c r="LK43" s="2" t="s">
        <v>339</v>
      </c>
      <c r="LL43" s="2" t="s">
        <v>623</v>
      </c>
      <c r="LM43" s="2" t="s">
        <v>338</v>
      </c>
      <c r="LN43" s="2" t="s">
        <v>556</v>
      </c>
      <c r="LO43" s="2" t="s">
        <v>557</v>
      </c>
      <c r="LP43" s="2" t="s">
        <v>343</v>
      </c>
      <c r="LQ43" s="2" t="s">
        <v>558</v>
      </c>
      <c r="LR43" s="4" t="s">
        <v>659</v>
      </c>
      <c r="LS43"/>
      <c r="LT43"/>
      <c r="LU43"/>
      <c r="LV43"/>
      <c r="LW43"/>
      <c r="LX43"/>
    </row>
    <row r="44" spans="1:336" x14ac:dyDescent="0.35">
      <c r="A44" s="2" t="s">
        <v>330</v>
      </c>
      <c r="B44" s="2" t="s">
        <v>559</v>
      </c>
      <c r="C44" s="4" t="s">
        <v>658</v>
      </c>
      <c r="D44" s="2" t="s">
        <v>332</v>
      </c>
      <c r="E44" s="2" t="s">
        <v>333</v>
      </c>
      <c r="F44" s="2" t="s">
        <v>334</v>
      </c>
      <c r="G44" s="5">
        <v>115848</v>
      </c>
      <c r="H44" s="5">
        <v>115094</v>
      </c>
      <c r="I44" s="5">
        <v>115937</v>
      </c>
      <c r="J44" s="5">
        <v>115026</v>
      </c>
      <c r="K44" s="5">
        <v>112943</v>
      </c>
      <c r="L44" s="5">
        <v>113533</v>
      </c>
      <c r="M44" s="5">
        <v>114621</v>
      </c>
      <c r="N44" s="5">
        <v>114910</v>
      </c>
      <c r="O44" s="5">
        <v>114521</v>
      </c>
      <c r="P44" s="5">
        <v>114760</v>
      </c>
      <c r="Q44" s="5">
        <v>113546</v>
      </c>
      <c r="R44" s="5">
        <v>112570</v>
      </c>
      <c r="S44" s="5">
        <v>113322</v>
      </c>
      <c r="T44" s="5">
        <v>114067</v>
      </c>
      <c r="U44" s="5">
        <v>115146</v>
      </c>
      <c r="V44" s="5">
        <v>115391</v>
      </c>
      <c r="W44" s="5">
        <v>113050</v>
      </c>
      <c r="X44" s="5">
        <v>112900</v>
      </c>
      <c r="Y44" s="5">
        <v>114293</v>
      </c>
      <c r="Z44" s="5">
        <v>116663</v>
      </c>
      <c r="AA44" s="5">
        <v>119499</v>
      </c>
      <c r="AB44" s="5">
        <v>119157</v>
      </c>
      <c r="AC44" s="5">
        <v>121858</v>
      </c>
      <c r="AD44" s="5">
        <v>121044</v>
      </c>
      <c r="AE44" s="5">
        <v>123178</v>
      </c>
      <c r="AF44" s="5">
        <v>130122</v>
      </c>
      <c r="AG44" s="5">
        <v>124691</v>
      </c>
      <c r="AH44" s="5">
        <v>126389</v>
      </c>
      <c r="AI44" s="5">
        <v>128541</v>
      </c>
      <c r="AJ44" s="5">
        <v>125194</v>
      </c>
      <c r="AK44" s="5">
        <v>126835</v>
      </c>
      <c r="AL44" s="5">
        <v>124422</v>
      </c>
      <c r="AM44" s="5">
        <v>126694</v>
      </c>
      <c r="AN44" s="5">
        <v>126635</v>
      </c>
      <c r="AO44" s="5">
        <v>126723</v>
      </c>
      <c r="AP44" s="5">
        <v>126374</v>
      </c>
      <c r="AQ44" s="5">
        <v>126800</v>
      </c>
      <c r="AR44" s="5">
        <v>126707</v>
      </c>
      <c r="AS44" s="5">
        <v>128840</v>
      </c>
      <c r="AT44" s="5">
        <v>129938</v>
      </c>
      <c r="AU44" s="5">
        <v>131895</v>
      </c>
      <c r="AV44" s="5">
        <v>132737</v>
      </c>
      <c r="AW44" s="5">
        <v>134897</v>
      </c>
      <c r="AX44" s="5">
        <v>134949</v>
      </c>
      <c r="AY44" s="5">
        <v>135773</v>
      </c>
      <c r="AZ44" s="5">
        <v>136860</v>
      </c>
      <c r="BA44" s="5">
        <v>136138</v>
      </c>
      <c r="BB44" s="5">
        <v>138708</v>
      </c>
      <c r="BC44" s="5">
        <v>141904</v>
      </c>
      <c r="BD44" s="5">
        <v>142653</v>
      </c>
      <c r="BE44" s="5">
        <v>144683</v>
      </c>
      <c r="BF44" s="5">
        <v>145821</v>
      </c>
      <c r="BG44" s="5">
        <v>149830</v>
      </c>
      <c r="BH44" s="5">
        <v>152193</v>
      </c>
      <c r="BI44" s="5">
        <v>153185</v>
      </c>
      <c r="BJ44" s="5">
        <v>153935</v>
      </c>
      <c r="BK44" s="5">
        <v>155770</v>
      </c>
      <c r="BL44" s="5">
        <v>158407</v>
      </c>
      <c r="BM44" s="5">
        <v>161697</v>
      </c>
      <c r="BN44" s="5">
        <v>165212</v>
      </c>
      <c r="BO44" s="5">
        <v>167485</v>
      </c>
      <c r="BP44" s="5">
        <v>169883</v>
      </c>
      <c r="BQ44" s="5">
        <v>173832</v>
      </c>
      <c r="BR44" s="5">
        <v>175394</v>
      </c>
      <c r="BS44" s="5">
        <v>176901</v>
      </c>
      <c r="BT44" s="5">
        <v>178428</v>
      </c>
      <c r="BU44" s="5">
        <v>178277</v>
      </c>
      <c r="BV44" s="5">
        <v>179012</v>
      </c>
      <c r="BW44" s="5">
        <v>180832</v>
      </c>
      <c r="BX44" s="5">
        <v>181430</v>
      </c>
      <c r="BY44" s="5">
        <v>180289</v>
      </c>
      <c r="BZ44" s="5">
        <v>180119</v>
      </c>
      <c r="CA44" s="5">
        <v>179890</v>
      </c>
      <c r="CB44" s="5">
        <v>178700</v>
      </c>
      <c r="CC44" s="5">
        <v>178893</v>
      </c>
      <c r="CD44" s="5">
        <v>178921</v>
      </c>
      <c r="CE44" s="5">
        <v>178429</v>
      </c>
      <c r="CF44" s="5">
        <v>180788</v>
      </c>
      <c r="CG44" s="5">
        <v>181852</v>
      </c>
      <c r="CH44" s="5">
        <v>182192</v>
      </c>
      <c r="CI44" s="5">
        <v>183675</v>
      </c>
      <c r="CJ44" s="5">
        <v>184042</v>
      </c>
      <c r="CK44" s="5">
        <v>187247</v>
      </c>
      <c r="CL44" s="5">
        <v>188701</v>
      </c>
      <c r="CM44" s="5">
        <v>190541</v>
      </c>
      <c r="CN44" s="5">
        <v>190875</v>
      </c>
      <c r="CO44" s="5">
        <v>192532</v>
      </c>
      <c r="CP44" s="5">
        <v>193881</v>
      </c>
      <c r="CQ44" s="5">
        <v>193944</v>
      </c>
      <c r="CR44" s="5">
        <v>195340</v>
      </c>
      <c r="CS44" s="5">
        <v>196170</v>
      </c>
      <c r="CT44" s="5">
        <v>198500</v>
      </c>
      <c r="CU44" s="5">
        <v>200470</v>
      </c>
      <c r="CV44" s="5">
        <v>202153</v>
      </c>
      <c r="CW44" s="5">
        <v>203928</v>
      </c>
      <c r="CX44" s="5">
        <v>206622</v>
      </c>
      <c r="CY44" s="5">
        <v>209529</v>
      </c>
      <c r="CZ44" s="5">
        <v>212013</v>
      </c>
      <c r="DA44" s="5">
        <v>214715</v>
      </c>
      <c r="DB44" s="5">
        <v>217084</v>
      </c>
      <c r="DC44" s="5">
        <v>218798</v>
      </c>
      <c r="DD44" s="5">
        <v>220955</v>
      </c>
      <c r="DE44" s="5">
        <v>224753</v>
      </c>
      <c r="DF44" s="5">
        <v>224748</v>
      </c>
      <c r="DG44" s="5">
        <v>227015</v>
      </c>
      <c r="DH44" s="5">
        <v>231313</v>
      </c>
      <c r="DI44" s="5">
        <v>233739</v>
      </c>
      <c r="DJ44" s="5">
        <v>235387</v>
      </c>
      <c r="DK44" s="5">
        <v>238774</v>
      </c>
      <c r="DL44" s="5">
        <v>241351</v>
      </c>
      <c r="DM44" s="5">
        <v>244248</v>
      </c>
      <c r="DN44" s="5">
        <v>246677</v>
      </c>
      <c r="DO44" s="5">
        <v>247061</v>
      </c>
      <c r="DP44" s="5">
        <v>248659</v>
      </c>
      <c r="DQ44" s="5">
        <v>252380</v>
      </c>
      <c r="DR44" s="5">
        <v>254436</v>
      </c>
      <c r="DS44" s="5">
        <v>254651</v>
      </c>
      <c r="DT44" s="5">
        <v>255669</v>
      </c>
      <c r="DU44" s="5">
        <v>258164</v>
      </c>
      <c r="DV44" s="5">
        <v>260499</v>
      </c>
      <c r="DW44" s="5">
        <v>262204</v>
      </c>
      <c r="DX44" s="5">
        <v>265387</v>
      </c>
      <c r="DY44" s="5">
        <v>267161</v>
      </c>
      <c r="DZ44" s="5">
        <v>268672</v>
      </c>
      <c r="EA44" s="5">
        <v>270161</v>
      </c>
      <c r="EB44" s="5">
        <v>272609</v>
      </c>
      <c r="EC44" s="5">
        <v>273932</v>
      </c>
      <c r="ED44" s="5">
        <v>276132</v>
      </c>
      <c r="EE44" s="5">
        <v>279030</v>
      </c>
      <c r="EF44" s="5">
        <v>278914</v>
      </c>
      <c r="EG44" s="5">
        <v>282162</v>
      </c>
      <c r="EH44" s="5">
        <v>283724</v>
      </c>
      <c r="EI44" s="5">
        <v>282222</v>
      </c>
      <c r="EJ44" s="5">
        <v>282292</v>
      </c>
      <c r="EK44" s="5">
        <v>284098</v>
      </c>
      <c r="EL44" s="5">
        <v>284633</v>
      </c>
      <c r="EM44" s="5">
        <v>287775</v>
      </c>
      <c r="EN44" s="5">
        <v>290946</v>
      </c>
      <c r="EO44" s="5">
        <v>296705</v>
      </c>
      <c r="EP44" s="5">
        <v>296380</v>
      </c>
      <c r="EQ44" s="5">
        <v>297826</v>
      </c>
      <c r="ER44" s="5">
        <v>293976</v>
      </c>
      <c r="ES44" s="5">
        <v>288865</v>
      </c>
      <c r="ET44" s="5">
        <v>281423</v>
      </c>
      <c r="EU44" s="5">
        <v>280177</v>
      </c>
      <c r="EV44" s="5">
        <v>279808</v>
      </c>
      <c r="EW44" s="5">
        <v>281090</v>
      </c>
      <c r="EX44" s="5">
        <v>283264</v>
      </c>
      <c r="EY44" s="5">
        <v>281913</v>
      </c>
      <c r="EZ44" s="5">
        <v>288944</v>
      </c>
      <c r="FA44" s="5">
        <v>289154</v>
      </c>
      <c r="FB44" s="5">
        <v>288797</v>
      </c>
      <c r="FC44" s="5">
        <v>286374</v>
      </c>
      <c r="FD44" s="5">
        <v>285213</v>
      </c>
      <c r="FE44" s="5">
        <v>286175</v>
      </c>
      <c r="FF44" s="5">
        <v>286843</v>
      </c>
      <c r="FG44" s="5">
        <v>286941</v>
      </c>
      <c r="FH44" s="5">
        <v>289044</v>
      </c>
      <c r="FI44" s="5">
        <v>292268</v>
      </c>
      <c r="FJ44" s="5">
        <v>296561</v>
      </c>
      <c r="FK44" s="5">
        <v>294987</v>
      </c>
      <c r="FL44" s="5">
        <v>298001</v>
      </c>
      <c r="FM44" s="5">
        <v>301680</v>
      </c>
      <c r="FN44" s="5">
        <v>303093</v>
      </c>
      <c r="FO44" s="5">
        <v>304099</v>
      </c>
      <c r="FP44" s="5">
        <v>305922</v>
      </c>
      <c r="FQ44" s="5">
        <v>310968</v>
      </c>
      <c r="FR44" s="5">
        <v>312961</v>
      </c>
      <c r="FS44" s="5">
        <v>314551</v>
      </c>
      <c r="FT44" s="5">
        <v>315885</v>
      </c>
      <c r="FU44" s="5">
        <v>319953</v>
      </c>
      <c r="FV44" s="5">
        <v>319170</v>
      </c>
      <c r="FW44" s="5">
        <v>326059</v>
      </c>
      <c r="FX44" s="5">
        <v>328832</v>
      </c>
      <c r="FY44" s="5">
        <v>331735</v>
      </c>
      <c r="FZ44" s="5">
        <v>331732</v>
      </c>
      <c r="GA44" s="5">
        <v>333975</v>
      </c>
      <c r="GB44" s="5">
        <v>333794</v>
      </c>
      <c r="GC44" s="5">
        <v>335915</v>
      </c>
      <c r="GD44" s="5">
        <v>337535</v>
      </c>
      <c r="GE44" s="5">
        <v>339497</v>
      </c>
      <c r="GF44" s="5">
        <v>338566</v>
      </c>
      <c r="GG44" s="5">
        <v>340965</v>
      </c>
      <c r="GH44" s="5">
        <v>344408</v>
      </c>
      <c r="GI44" s="5">
        <v>344046</v>
      </c>
      <c r="GJ44" s="5">
        <v>345335</v>
      </c>
      <c r="GK44" s="5">
        <v>345013</v>
      </c>
      <c r="GL44" s="5">
        <v>344255</v>
      </c>
      <c r="GM44" s="5">
        <v>334308</v>
      </c>
      <c r="GN44" s="5">
        <v>256744</v>
      </c>
      <c r="GO44" s="5">
        <v>307192</v>
      </c>
      <c r="GP44" s="5">
        <v>301652</v>
      </c>
      <c r="GQ44" s="5">
        <v>291628</v>
      </c>
      <c r="GR44" s="5">
        <v>325915</v>
      </c>
      <c r="GS44" s="5">
        <v>335438</v>
      </c>
      <c r="GT44" s="5">
        <v>336309</v>
      </c>
      <c r="GU44" s="5">
        <v>338499</v>
      </c>
      <c r="GV44" s="5">
        <v>339607</v>
      </c>
      <c r="GW44" s="5">
        <v>336390</v>
      </c>
      <c r="GX44" s="5">
        <v>336043</v>
      </c>
      <c r="GY44" s="5">
        <v>339048</v>
      </c>
      <c r="GZ44" s="5">
        <v>340721</v>
      </c>
      <c r="HA44" s="5">
        <v>337788</v>
      </c>
      <c r="HB44" s="5">
        <v>337315</v>
      </c>
      <c r="HC44" s="6">
        <v>338664.3</v>
      </c>
      <c r="HD44" s="6">
        <v>340058.4</v>
      </c>
      <c r="HE44" s="6">
        <v>341429.3</v>
      </c>
      <c r="HF44" s="6">
        <v>342835.6</v>
      </c>
      <c r="HG44" s="6">
        <v>344716.79999999999</v>
      </c>
      <c r="HH44" s="6">
        <v>347009</v>
      </c>
      <c r="HI44" s="6">
        <v>349316.6</v>
      </c>
      <c r="HJ44" s="6">
        <v>351587.5</v>
      </c>
      <c r="HK44" s="6">
        <v>353538.7</v>
      </c>
      <c r="HL44" s="6">
        <v>355129.7</v>
      </c>
      <c r="HM44" s="6">
        <v>356710</v>
      </c>
      <c r="HN44" s="6">
        <v>358315.2</v>
      </c>
      <c r="HO44" s="6">
        <v>359927.6</v>
      </c>
      <c r="HP44" s="6">
        <v>361583.3</v>
      </c>
      <c r="HQ44" s="6">
        <v>363246.6</v>
      </c>
      <c r="HR44" s="6">
        <v>364935.7</v>
      </c>
      <c r="HS44" s="6">
        <v>366468.4</v>
      </c>
      <c r="HT44" s="6">
        <v>368007.5</v>
      </c>
      <c r="HU44" s="6">
        <v>369553.2</v>
      </c>
      <c r="HV44" s="6">
        <v>371086.8</v>
      </c>
      <c r="HW44" s="6">
        <v>372571.2</v>
      </c>
      <c r="HX44" s="6">
        <v>373986.9</v>
      </c>
      <c r="HY44" s="6">
        <v>375389.4</v>
      </c>
      <c r="HZ44" s="6">
        <v>376787.7</v>
      </c>
      <c r="IA44" s="6">
        <v>378191.3</v>
      </c>
      <c r="IB44" s="6">
        <v>379600</v>
      </c>
      <c r="IC44" s="6">
        <v>381023.5</v>
      </c>
      <c r="ID44" s="6">
        <v>382452.3</v>
      </c>
      <c r="IE44" s="6">
        <v>383886.6</v>
      </c>
      <c r="IF44" s="6">
        <v>385326.1</v>
      </c>
      <c r="IG44" s="6">
        <v>386771.1</v>
      </c>
      <c r="IH44" s="6">
        <v>388221.5</v>
      </c>
      <c r="II44" s="6">
        <v>389677.3</v>
      </c>
      <c r="IJ44" s="6">
        <v>391138.6</v>
      </c>
      <c r="IK44" s="6">
        <v>392566.3</v>
      </c>
      <c r="IL44" s="6">
        <v>393979.5</v>
      </c>
      <c r="IM44" s="6">
        <v>395390.6</v>
      </c>
      <c r="IN44" s="6">
        <v>396787</v>
      </c>
      <c r="IO44" s="6">
        <v>398165.8</v>
      </c>
      <c r="IP44" s="6">
        <v>399553.9</v>
      </c>
      <c r="IQ44" s="6">
        <v>400969.3</v>
      </c>
      <c r="IR44" s="6">
        <v>402394.2</v>
      </c>
      <c r="IS44" s="6">
        <v>403773.8</v>
      </c>
      <c r="IT44" s="6">
        <v>405153.9</v>
      </c>
      <c r="IU44" s="6">
        <v>406586.3</v>
      </c>
      <c r="IV44" s="6">
        <v>408024.9</v>
      </c>
      <c r="IW44" s="6">
        <v>409469.6</v>
      </c>
      <c r="IX44" s="6">
        <v>410920.4</v>
      </c>
      <c r="IY44" s="6">
        <v>412414.1</v>
      </c>
      <c r="IZ44" s="6">
        <v>413915.8</v>
      </c>
      <c r="JA44" s="6">
        <v>415425.4</v>
      </c>
      <c r="JB44" s="6">
        <v>416942.8</v>
      </c>
      <c r="JC44" s="6">
        <v>418468</v>
      </c>
      <c r="JD44" s="6">
        <v>420001.1</v>
      </c>
      <c r="JE44" s="6">
        <v>421542.1</v>
      </c>
      <c r="JF44" s="6">
        <v>423091</v>
      </c>
      <c r="JG44" s="6">
        <v>424684.3</v>
      </c>
      <c r="JH44" s="6">
        <v>426286.1</v>
      </c>
      <c r="JI44" s="6">
        <v>427896.5</v>
      </c>
      <c r="JJ44" s="6">
        <v>429515.9</v>
      </c>
      <c r="JK44" s="6">
        <v>431143.9</v>
      </c>
      <c r="JL44" s="6">
        <v>432780.6</v>
      </c>
      <c r="JM44" s="6">
        <v>434426.2</v>
      </c>
      <c r="JN44" s="6">
        <v>436093.6</v>
      </c>
      <c r="JO44" s="6">
        <v>437785.3</v>
      </c>
      <c r="JP44" s="6">
        <v>439482.4</v>
      </c>
      <c r="JQ44" s="6">
        <v>441185.1</v>
      </c>
      <c r="JR44" s="6">
        <v>442893.4</v>
      </c>
      <c r="JS44" s="6">
        <v>444576.9</v>
      </c>
      <c r="JT44" s="6">
        <v>446265.5</v>
      </c>
      <c r="JU44" s="6">
        <v>447959.1</v>
      </c>
      <c r="JV44" s="6">
        <v>449657.8</v>
      </c>
      <c r="JW44" s="6">
        <v>451361.7</v>
      </c>
      <c r="JX44" s="6">
        <v>453070.6</v>
      </c>
      <c r="JY44" s="6">
        <v>454784.7</v>
      </c>
      <c r="JZ44" s="6">
        <v>456503.8</v>
      </c>
      <c r="KA44" s="6">
        <v>458227.9</v>
      </c>
      <c r="KB44" s="6">
        <v>459957</v>
      </c>
      <c r="KC44" s="6">
        <v>461690.7</v>
      </c>
      <c r="KD44" s="6">
        <v>463429</v>
      </c>
      <c r="KE44" s="6">
        <v>465172.1</v>
      </c>
      <c r="KF44" s="6">
        <v>466919.8</v>
      </c>
      <c r="KG44" s="6">
        <v>468672.1</v>
      </c>
      <c r="KH44" s="6">
        <v>470429.1</v>
      </c>
      <c r="KI44" s="6">
        <v>472190.7</v>
      </c>
      <c r="KJ44" s="6">
        <v>473957</v>
      </c>
      <c r="KK44" s="6">
        <v>475728</v>
      </c>
      <c r="KL44" s="6">
        <v>477503.6</v>
      </c>
      <c r="KM44" s="6">
        <v>479283.9</v>
      </c>
      <c r="KN44" s="6">
        <v>481069</v>
      </c>
      <c r="KO44" s="6">
        <v>482858.7</v>
      </c>
      <c r="KP44" s="6">
        <v>484653.3</v>
      </c>
      <c r="KQ44" s="6">
        <v>486452.5</v>
      </c>
      <c r="KR44" s="6">
        <v>488256.4</v>
      </c>
      <c r="KS44" s="6">
        <v>490065.3</v>
      </c>
      <c r="KT44" s="6">
        <v>491879</v>
      </c>
      <c r="KU44" s="6">
        <v>493697.5</v>
      </c>
      <c r="KV44" s="6">
        <v>495520.9</v>
      </c>
      <c r="KW44" s="6">
        <v>497349</v>
      </c>
      <c r="KX44" s="6">
        <v>499181.9</v>
      </c>
      <c r="KY44" s="6">
        <v>501019.8</v>
      </c>
      <c r="KZ44" s="6">
        <v>502862.3</v>
      </c>
      <c r="LA44" s="6">
        <v>504709.7</v>
      </c>
      <c r="LB44" s="6">
        <v>506561.9</v>
      </c>
      <c r="LC44" s="6">
        <v>508418.7</v>
      </c>
      <c r="LD44" s="6">
        <v>510280.3</v>
      </c>
      <c r="LE44" s="6">
        <v>512146.7</v>
      </c>
      <c r="LF44" s="6">
        <v>514017.8</v>
      </c>
      <c r="LG44" s="2" t="s">
        <v>335</v>
      </c>
      <c r="LH44" s="2" t="s">
        <v>336</v>
      </c>
      <c r="LI44" s="4" t="s">
        <v>337</v>
      </c>
      <c r="LJ44" s="2" t="s">
        <v>338</v>
      </c>
      <c r="LK44" s="2" t="s">
        <v>339</v>
      </c>
      <c r="LL44" s="2" t="s">
        <v>623</v>
      </c>
      <c r="LM44" s="2" t="s">
        <v>338</v>
      </c>
      <c r="LN44" s="2" t="s">
        <v>560</v>
      </c>
      <c r="LO44" s="4" t="s">
        <v>561</v>
      </c>
      <c r="LP44" s="2" t="s">
        <v>343</v>
      </c>
      <c r="LQ44" s="2" t="s">
        <v>562</v>
      </c>
      <c r="LR44" s="4" t="s">
        <v>659</v>
      </c>
      <c r="LS44"/>
      <c r="LT44"/>
      <c r="LU44"/>
      <c r="LV44"/>
      <c r="LW44"/>
      <c r="LX44"/>
    </row>
    <row r="45" spans="1:336" x14ac:dyDescent="0.35">
      <c r="A45" s="2" t="s">
        <v>330</v>
      </c>
      <c r="B45" s="4" t="s">
        <v>563</v>
      </c>
      <c r="C45" s="4" t="s">
        <v>658</v>
      </c>
      <c r="D45" s="2" t="s">
        <v>332</v>
      </c>
      <c r="E45" s="2" t="s">
        <v>333</v>
      </c>
      <c r="F45" s="2" t="s">
        <v>334</v>
      </c>
      <c r="G45" s="5">
        <v>3611</v>
      </c>
      <c r="H45" s="5">
        <v>3553</v>
      </c>
      <c r="I45" s="5">
        <v>3684</v>
      </c>
      <c r="J45" s="5">
        <v>3556</v>
      </c>
      <c r="K45" s="5">
        <v>3577</v>
      </c>
      <c r="L45" s="5">
        <v>3483</v>
      </c>
      <c r="M45" s="5">
        <v>3607</v>
      </c>
      <c r="N45" s="5">
        <v>3553</v>
      </c>
      <c r="O45" s="5">
        <v>3486</v>
      </c>
      <c r="P45" s="5">
        <v>3451</v>
      </c>
      <c r="Q45" s="5">
        <v>3501</v>
      </c>
      <c r="R45" s="5">
        <v>3533</v>
      </c>
      <c r="S45" s="5">
        <v>3515</v>
      </c>
      <c r="T45" s="5">
        <v>3538</v>
      </c>
      <c r="U45" s="5">
        <v>3516</v>
      </c>
      <c r="V45" s="5">
        <v>3507</v>
      </c>
      <c r="W45" s="5">
        <v>3661</v>
      </c>
      <c r="X45" s="5">
        <v>3288</v>
      </c>
      <c r="Y45" s="5">
        <v>3260</v>
      </c>
      <c r="Z45" s="5">
        <v>3269</v>
      </c>
      <c r="AA45" s="5">
        <v>2976</v>
      </c>
      <c r="AB45" s="5">
        <v>3668</v>
      </c>
      <c r="AC45" s="5">
        <v>3504</v>
      </c>
      <c r="AD45" s="5">
        <v>3663</v>
      </c>
      <c r="AE45" s="5">
        <v>3099</v>
      </c>
      <c r="AF45" s="5">
        <v>3513</v>
      </c>
      <c r="AG45" s="5">
        <v>3857</v>
      </c>
      <c r="AH45" s="5">
        <v>3563</v>
      </c>
      <c r="AI45" s="5">
        <v>3435</v>
      </c>
      <c r="AJ45" s="5">
        <v>3591</v>
      </c>
      <c r="AK45" s="5">
        <v>3465</v>
      </c>
      <c r="AL45" s="5">
        <v>3626</v>
      </c>
      <c r="AM45" s="5">
        <v>3256</v>
      </c>
      <c r="AN45" s="5">
        <v>3654</v>
      </c>
      <c r="AO45" s="5">
        <v>3941</v>
      </c>
      <c r="AP45" s="5">
        <v>4019</v>
      </c>
      <c r="AQ45" s="5">
        <v>3241</v>
      </c>
      <c r="AR45" s="5">
        <v>4141</v>
      </c>
      <c r="AS45" s="5">
        <v>4127</v>
      </c>
      <c r="AT45" s="5">
        <v>4297</v>
      </c>
      <c r="AU45" s="5">
        <v>3680</v>
      </c>
      <c r="AV45" s="5">
        <v>4230</v>
      </c>
      <c r="AW45" s="5">
        <v>4349</v>
      </c>
      <c r="AX45" s="5">
        <v>4296</v>
      </c>
      <c r="AY45" s="5">
        <v>4535</v>
      </c>
      <c r="AZ45" s="5">
        <v>4202</v>
      </c>
      <c r="BA45" s="5">
        <v>4290</v>
      </c>
      <c r="BB45" s="5">
        <v>4409</v>
      </c>
      <c r="BC45" s="5">
        <v>4602</v>
      </c>
      <c r="BD45" s="5">
        <v>4517</v>
      </c>
      <c r="BE45" s="5">
        <v>4622</v>
      </c>
      <c r="BF45" s="5">
        <v>4718</v>
      </c>
      <c r="BG45" s="5">
        <v>4447</v>
      </c>
      <c r="BH45" s="5">
        <v>4581</v>
      </c>
      <c r="BI45" s="5">
        <v>4641</v>
      </c>
      <c r="BJ45" s="5">
        <v>4737</v>
      </c>
      <c r="BK45" s="5">
        <v>4765</v>
      </c>
      <c r="BL45" s="5">
        <v>4773</v>
      </c>
      <c r="BM45" s="5">
        <v>4904</v>
      </c>
      <c r="BN45" s="5">
        <v>4982</v>
      </c>
      <c r="BO45" s="5">
        <v>5203</v>
      </c>
      <c r="BP45" s="5">
        <v>5097</v>
      </c>
      <c r="BQ45" s="5">
        <v>5246</v>
      </c>
      <c r="BR45" s="5">
        <v>5321</v>
      </c>
      <c r="BS45" s="5">
        <v>5308</v>
      </c>
      <c r="BT45" s="5">
        <v>5261</v>
      </c>
      <c r="BU45" s="5">
        <v>5374</v>
      </c>
      <c r="BV45" s="5">
        <v>5506</v>
      </c>
      <c r="BW45" s="5">
        <v>5784</v>
      </c>
      <c r="BX45" s="5">
        <v>5529</v>
      </c>
      <c r="BY45" s="5">
        <v>5663</v>
      </c>
      <c r="BZ45" s="5">
        <v>5742</v>
      </c>
      <c r="CA45" s="5">
        <v>5477</v>
      </c>
      <c r="CB45" s="5">
        <v>5436</v>
      </c>
      <c r="CC45" s="5">
        <v>5488</v>
      </c>
      <c r="CD45" s="5">
        <v>5582</v>
      </c>
      <c r="CE45" s="5">
        <v>5486</v>
      </c>
      <c r="CF45" s="5">
        <v>5263</v>
      </c>
      <c r="CG45" s="5">
        <v>5276</v>
      </c>
      <c r="CH45" s="5">
        <v>5358</v>
      </c>
      <c r="CI45" s="5">
        <v>5644</v>
      </c>
      <c r="CJ45" s="5">
        <v>6139</v>
      </c>
      <c r="CK45" s="5">
        <v>6109</v>
      </c>
      <c r="CL45" s="5">
        <v>6260</v>
      </c>
      <c r="CM45" s="5">
        <v>6175</v>
      </c>
      <c r="CN45" s="5">
        <v>6296</v>
      </c>
      <c r="CO45" s="5">
        <v>6316</v>
      </c>
      <c r="CP45" s="5">
        <v>6461</v>
      </c>
      <c r="CQ45" s="5">
        <v>6758</v>
      </c>
      <c r="CR45" s="5">
        <v>6742</v>
      </c>
      <c r="CS45" s="5">
        <v>6669</v>
      </c>
      <c r="CT45" s="5">
        <v>6864</v>
      </c>
      <c r="CU45" s="5">
        <v>7508</v>
      </c>
      <c r="CV45" s="5">
        <v>6752</v>
      </c>
      <c r="CW45" s="5">
        <v>6779</v>
      </c>
      <c r="CX45" s="5">
        <v>7076</v>
      </c>
      <c r="CY45" s="5">
        <v>8918</v>
      </c>
      <c r="CZ45" s="5">
        <v>8743</v>
      </c>
      <c r="DA45" s="5">
        <v>8875</v>
      </c>
      <c r="DB45" s="5">
        <v>8973</v>
      </c>
      <c r="DC45" s="5">
        <v>9095</v>
      </c>
      <c r="DD45" s="5">
        <v>9018</v>
      </c>
      <c r="DE45" s="5">
        <v>8909</v>
      </c>
      <c r="DF45" s="5">
        <v>8768</v>
      </c>
      <c r="DG45" s="5">
        <v>8843</v>
      </c>
      <c r="DH45" s="5">
        <v>9067</v>
      </c>
      <c r="DI45" s="5">
        <v>9183</v>
      </c>
      <c r="DJ45" s="5">
        <v>9318</v>
      </c>
      <c r="DK45" s="5">
        <v>9350</v>
      </c>
      <c r="DL45" s="5">
        <v>9364</v>
      </c>
      <c r="DM45" s="5">
        <v>9524</v>
      </c>
      <c r="DN45" s="5">
        <v>9550</v>
      </c>
      <c r="DO45" s="5">
        <v>9652</v>
      </c>
      <c r="DP45" s="5">
        <v>9540</v>
      </c>
      <c r="DQ45" s="5">
        <v>9725</v>
      </c>
      <c r="DR45" s="5">
        <v>9792</v>
      </c>
      <c r="DS45" s="5">
        <v>9837</v>
      </c>
      <c r="DT45" s="5">
        <v>9863</v>
      </c>
      <c r="DU45" s="5">
        <v>10098</v>
      </c>
      <c r="DV45" s="5">
        <v>10164</v>
      </c>
      <c r="DW45" s="5">
        <v>10160</v>
      </c>
      <c r="DX45" s="5">
        <v>10249</v>
      </c>
      <c r="DY45" s="5">
        <v>10470</v>
      </c>
      <c r="DZ45" s="5">
        <v>10599</v>
      </c>
      <c r="EA45" s="5">
        <v>10709</v>
      </c>
      <c r="EB45" s="5">
        <v>10534</v>
      </c>
      <c r="EC45" s="5">
        <v>10738</v>
      </c>
      <c r="ED45" s="5">
        <v>10827</v>
      </c>
      <c r="EE45" s="5">
        <v>10883</v>
      </c>
      <c r="EF45" s="5">
        <v>10767</v>
      </c>
      <c r="EG45" s="5">
        <v>10742</v>
      </c>
      <c r="EH45" s="5">
        <v>11036</v>
      </c>
      <c r="EI45" s="5">
        <v>10885</v>
      </c>
      <c r="EJ45" s="5">
        <v>10499</v>
      </c>
      <c r="EK45" s="5">
        <v>10552</v>
      </c>
      <c r="EL45" s="5">
        <v>10366</v>
      </c>
      <c r="EM45" s="5">
        <v>10308</v>
      </c>
      <c r="EN45" s="5">
        <v>10162</v>
      </c>
      <c r="EO45" s="5">
        <v>10260</v>
      </c>
      <c r="EP45" s="5">
        <v>10176</v>
      </c>
      <c r="EQ45" s="5">
        <v>10278</v>
      </c>
      <c r="ER45" s="5">
        <v>10518</v>
      </c>
      <c r="ES45" s="5">
        <v>10768</v>
      </c>
      <c r="ET45" s="5">
        <v>10950</v>
      </c>
      <c r="EU45" s="5">
        <v>11107</v>
      </c>
      <c r="EV45" s="5">
        <v>11302</v>
      </c>
      <c r="EW45" s="5">
        <v>11642</v>
      </c>
      <c r="EX45" s="5">
        <v>11645</v>
      </c>
      <c r="EY45" s="5">
        <v>11552</v>
      </c>
      <c r="EZ45" s="5">
        <v>11648</v>
      </c>
      <c r="FA45" s="5">
        <v>11687</v>
      </c>
      <c r="FB45" s="5">
        <v>11545</v>
      </c>
      <c r="FC45" s="5">
        <v>11350</v>
      </c>
      <c r="FD45" s="5">
        <v>11798</v>
      </c>
      <c r="FE45" s="5">
        <v>11831</v>
      </c>
      <c r="FF45" s="5">
        <v>11686</v>
      </c>
      <c r="FG45" s="5">
        <v>11628</v>
      </c>
      <c r="FH45" s="5">
        <v>11885</v>
      </c>
      <c r="FI45" s="5">
        <v>12112</v>
      </c>
      <c r="FJ45" s="5">
        <v>11368</v>
      </c>
      <c r="FK45" s="5">
        <v>11284</v>
      </c>
      <c r="FL45" s="5">
        <v>11298</v>
      </c>
      <c r="FM45" s="5">
        <v>11260</v>
      </c>
      <c r="FN45" s="5">
        <v>10845</v>
      </c>
      <c r="FO45" s="5">
        <v>10780</v>
      </c>
      <c r="FP45" s="5">
        <v>10520</v>
      </c>
      <c r="FQ45" s="5">
        <v>10508</v>
      </c>
      <c r="FR45" s="5">
        <v>10339</v>
      </c>
      <c r="FS45" s="5">
        <v>10321</v>
      </c>
      <c r="FT45" s="5">
        <v>10876</v>
      </c>
      <c r="FU45" s="5">
        <v>10798</v>
      </c>
      <c r="FV45" s="5">
        <v>10659</v>
      </c>
      <c r="FW45" s="5">
        <v>10568</v>
      </c>
      <c r="FX45" s="5">
        <v>10564</v>
      </c>
      <c r="FY45" s="5">
        <v>10485</v>
      </c>
      <c r="FZ45" s="5">
        <v>10529</v>
      </c>
      <c r="GA45" s="5">
        <v>10723</v>
      </c>
      <c r="GB45" s="5">
        <v>10964</v>
      </c>
      <c r="GC45" s="5">
        <v>11091</v>
      </c>
      <c r="GD45" s="5">
        <v>11381</v>
      </c>
      <c r="GE45" s="5">
        <v>11623</v>
      </c>
      <c r="GF45" s="5">
        <v>12140</v>
      </c>
      <c r="GG45" s="5">
        <v>12503</v>
      </c>
      <c r="GH45" s="5">
        <v>12898</v>
      </c>
      <c r="GI45" s="5">
        <v>12929</v>
      </c>
      <c r="GJ45" s="5">
        <v>12617</v>
      </c>
      <c r="GK45" s="5">
        <v>12237</v>
      </c>
      <c r="GL45" s="5">
        <v>11508</v>
      </c>
      <c r="GM45" s="5">
        <v>11361</v>
      </c>
      <c r="GN45" s="5">
        <v>7903</v>
      </c>
      <c r="GO45" s="5">
        <v>9653</v>
      </c>
      <c r="GP45" s="5">
        <v>10127</v>
      </c>
      <c r="GQ45" s="5">
        <v>9352</v>
      </c>
      <c r="GR45" s="5">
        <v>10536</v>
      </c>
      <c r="GS45" s="5">
        <v>10905</v>
      </c>
      <c r="GT45" s="5">
        <v>11022</v>
      </c>
      <c r="GU45" s="5">
        <v>11498</v>
      </c>
      <c r="GV45" s="5">
        <v>11769</v>
      </c>
      <c r="GW45" s="5">
        <v>11805</v>
      </c>
      <c r="GX45" s="5">
        <v>11861</v>
      </c>
      <c r="GY45" s="5">
        <v>11932</v>
      </c>
      <c r="GZ45" s="5">
        <v>11972</v>
      </c>
      <c r="HA45" s="5">
        <v>12018</v>
      </c>
      <c r="HB45" s="5">
        <v>12004</v>
      </c>
      <c r="HC45" s="6">
        <v>12052.02</v>
      </c>
      <c r="HD45" s="6">
        <v>12101.63</v>
      </c>
      <c r="HE45" s="6">
        <v>12150.42</v>
      </c>
      <c r="HF45" s="6">
        <v>12200.46</v>
      </c>
      <c r="HG45" s="6">
        <v>12267.41</v>
      </c>
      <c r="HH45" s="6">
        <v>12348.98</v>
      </c>
      <c r="HI45" s="6">
        <v>12431.1</v>
      </c>
      <c r="HJ45" s="6">
        <v>12511.91</v>
      </c>
      <c r="HK45" s="6">
        <v>12581.35</v>
      </c>
      <c r="HL45" s="6">
        <v>12637.97</v>
      </c>
      <c r="HM45" s="6">
        <v>12694.21</v>
      </c>
      <c r="HN45" s="6">
        <v>12751.33</v>
      </c>
      <c r="HO45" s="6">
        <v>12808.71</v>
      </c>
      <c r="HP45" s="6">
        <v>12867.63</v>
      </c>
      <c r="HQ45" s="6">
        <v>12926.83</v>
      </c>
      <c r="HR45" s="6">
        <v>12986.93</v>
      </c>
      <c r="HS45" s="6">
        <v>13041.48</v>
      </c>
      <c r="HT45" s="6">
        <v>13096.25</v>
      </c>
      <c r="HU45" s="6">
        <v>13151.26</v>
      </c>
      <c r="HV45" s="6">
        <v>13205.83</v>
      </c>
      <c r="HW45" s="6">
        <v>13258.66</v>
      </c>
      <c r="HX45" s="6">
        <v>13309.04</v>
      </c>
      <c r="HY45" s="6">
        <v>13358.95</v>
      </c>
      <c r="HZ45" s="6">
        <v>13408.71</v>
      </c>
      <c r="IA45" s="6">
        <v>13458.66</v>
      </c>
      <c r="IB45" s="6">
        <v>13508.79</v>
      </c>
      <c r="IC45" s="6">
        <v>13559.45</v>
      </c>
      <c r="ID45" s="6">
        <v>13610.3</v>
      </c>
      <c r="IE45" s="6">
        <v>13661.34</v>
      </c>
      <c r="IF45" s="6">
        <v>13712.57</v>
      </c>
      <c r="IG45" s="6">
        <v>13763.99</v>
      </c>
      <c r="IH45" s="6">
        <v>13815.6</v>
      </c>
      <c r="II45" s="6">
        <v>13867.41</v>
      </c>
      <c r="IJ45" s="6">
        <v>13919.42</v>
      </c>
      <c r="IK45" s="6">
        <v>13970.22</v>
      </c>
      <c r="IL45" s="6">
        <v>14020.51</v>
      </c>
      <c r="IM45" s="6">
        <v>14070.87</v>
      </c>
      <c r="IN45" s="6">
        <v>14120.71</v>
      </c>
      <c r="IO45" s="6">
        <v>14169.92</v>
      </c>
      <c r="IP45" s="6">
        <v>14219.46</v>
      </c>
      <c r="IQ45" s="6">
        <v>14269.97</v>
      </c>
      <c r="IR45" s="6">
        <v>14320.82</v>
      </c>
      <c r="IS45" s="6">
        <v>14370.07</v>
      </c>
      <c r="IT45" s="6">
        <v>14419.33</v>
      </c>
      <c r="IU45" s="6">
        <v>14470.45</v>
      </c>
      <c r="IV45" s="6">
        <v>14521.79</v>
      </c>
      <c r="IW45" s="6">
        <v>14573.36</v>
      </c>
      <c r="IX45" s="6">
        <v>14625.14</v>
      </c>
      <c r="IY45" s="6">
        <v>14678.45</v>
      </c>
      <c r="IZ45" s="6">
        <v>14732.04</v>
      </c>
      <c r="JA45" s="6">
        <v>14785.92</v>
      </c>
      <c r="JB45" s="6">
        <v>14840.07</v>
      </c>
      <c r="JC45" s="6">
        <v>14894.51</v>
      </c>
      <c r="JD45" s="6">
        <v>14949.23</v>
      </c>
      <c r="JE45" s="6">
        <v>15004.22</v>
      </c>
      <c r="JF45" s="6">
        <v>15059.5</v>
      </c>
      <c r="JG45" s="6">
        <v>15116.37</v>
      </c>
      <c r="JH45" s="6">
        <v>15173.53</v>
      </c>
      <c r="JI45" s="6">
        <v>15231.01</v>
      </c>
      <c r="JJ45" s="6">
        <v>15288.8</v>
      </c>
      <c r="JK45" s="6">
        <v>15346.9</v>
      </c>
      <c r="JL45" s="6">
        <v>15405.32</v>
      </c>
      <c r="JM45" s="6">
        <v>15464.05</v>
      </c>
      <c r="JN45" s="6">
        <v>15523.09</v>
      </c>
      <c r="JO45" s="6">
        <v>15582.46</v>
      </c>
      <c r="JP45" s="6">
        <v>15642.78</v>
      </c>
      <c r="JQ45" s="6">
        <v>15703.31</v>
      </c>
      <c r="JR45" s="6">
        <v>15764.04</v>
      </c>
      <c r="JS45" s="6">
        <v>15823.88</v>
      </c>
      <c r="JT45" s="6">
        <v>15883.9</v>
      </c>
      <c r="JU45" s="6">
        <v>15944.1</v>
      </c>
      <c r="JV45" s="6">
        <v>16004.49</v>
      </c>
      <c r="JW45" s="6">
        <v>16065.05</v>
      </c>
      <c r="JX45" s="6">
        <v>16125.8</v>
      </c>
      <c r="JY45" s="6">
        <v>16186.72</v>
      </c>
      <c r="JZ45" s="6">
        <v>16247.83</v>
      </c>
      <c r="KA45" s="6">
        <v>16309.11</v>
      </c>
      <c r="KB45" s="6">
        <v>16370.57</v>
      </c>
      <c r="KC45" s="6">
        <v>16432.189999999999</v>
      </c>
      <c r="KD45" s="6">
        <v>16493.98</v>
      </c>
      <c r="KE45" s="6">
        <v>16555.939999999999</v>
      </c>
      <c r="KF45" s="6">
        <v>16618.060000000001</v>
      </c>
      <c r="KG45" s="6">
        <v>16680.34</v>
      </c>
      <c r="KH45" s="6">
        <v>16742.79</v>
      </c>
      <c r="KI45" s="6">
        <v>16805.400000000001</v>
      </c>
      <c r="KJ45" s="6">
        <v>16868.18</v>
      </c>
      <c r="KK45" s="6">
        <v>16931.13</v>
      </c>
      <c r="KL45" s="6">
        <v>16994.240000000002</v>
      </c>
      <c r="KM45" s="6">
        <v>17057.509999999998</v>
      </c>
      <c r="KN45" s="6">
        <v>17120.96</v>
      </c>
      <c r="KO45" s="6">
        <v>17184.560000000001</v>
      </c>
      <c r="KP45" s="6">
        <v>17248.349999999999</v>
      </c>
      <c r="KQ45" s="6">
        <v>17312.29</v>
      </c>
      <c r="KR45" s="6">
        <v>17376.41</v>
      </c>
      <c r="KS45" s="6">
        <v>17440.7</v>
      </c>
      <c r="KT45" s="6">
        <v>17505.150000000001</v>
      </c>
      <c r="KU45" s="6">
        <v>17569.78</v>
      </c>
      <c r="KV45" s="6">
        <v>17634.59</v>
      </c>
      <c r="KW45" s="6">
        <v>17699.560000000001</v>
      </c>
      <c r="KX45" s="6">
        <v>17764.7</v>
      </c>
      <c r="KY45" s="6">
        <v>17830.02</v>
      </c>
      <c r="KZ45" s="6">
        <v>17895.5</v>
      </c>
      <c r="LA45" s="6">
        <v>17961.150000000001</v>
      </c>
      <c r="LB45" s="6">
        <v>18026.97</v>
      </c>
      <c r="LC45" s="6">
        <v>18092.96</v>
      </c>
      <c r="LD45" s="6">
        <v>18159.12</v>
      </c>
      <c r="LE45" s="6">
        <v>18225.45</v>
      </c>
      <c r="LF45" s="6">
        <v>18291.939999999999</v>
      </c>
      <c r="LG45" s="2" t="s">
        <v>335</v>
      </c>
      <c r="LH45" s="2" t="s">
        <v>336</v>
      </c>
      <c r="LI45" s="4" t="s">
        <v>337</v>
      </c>
      <c r="LJ45" s="2" t="s">
        <v>338</v>
      </c>
      <c r="LK45" s="2" t="s">
        <v>339</v>
      </c>
      <c r="LL45" s="2" t="s">
        <v>623</v>
      </c>
      <c r="LM45" s="2" t="s">
        <v>338</v>
      </c>
      <c r="LN45" s="2" t="s">
        <v>564</v>
      </c>
      <c r="LO45" s="4" t="s">
        <v>565</v>
      </c>
      <c r="LP45" s="2" t="s">
        <v>343</v>
      </c>
      <c r="LQ45" s="2" t="s">
        <v>566</v>
      </c>
      <c r="LR45" s="4" t="s">
        <v>659</v>
      </c>
      <c r="LS45"/>
      <c r="LT45"/>
      <c r="LU45"/>
      <c r="LV45"/>
      <c r="LW45"/>
      <c r="LX45"/>
    </row>
    <row r="46" spans="1:336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</row>
    <row r="47" spans="1:336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</row>
    <row r="48" spans="1:336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</row>
    <row r="49" spans="1:336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</row>
    <row r="50" spans="1:336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</row>
    <row r="51" spans="1:336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</row>
    <row r="52" spans="1:336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</row>
    <row r="53" spans="1:336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</row>
    <row r="54" spans="1:336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</row>
    <row r="55" spans="1:336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</row>
    <row r="56" spans="1:336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</row>
    <row r="57" spans="1:336" x14ac:dyDescent="0.35">
      <c r="A57"/>
    </row>
    <row r="58" spans="1:336" x14ac:dyDescent="0.35">
      <c r="A58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BE5A-DD6D-444B-AAAF-659CA8BAC52A}">
  <dimension ref="A1:CT29"/>
  <sheetViews>
    <sheetView workbookViewId="0">
      <pane xSplit="6" ySplit="1" topLeftCell="CO2" activePane="bottomRight" state="frozen"/>
      <selection pane="topRight" activeCell="G1" sqref="G1"/>
      <selection pane="bottomLeft" activeCell="A2" sqref="A2"/>
      <selection pane="bottomRight" activeCell="CT5" sqref="CT5:CT13"/>
    </sheetView>
  </sheetViews>
  <sheetFormatPr defaultColWidth="9.1796875" defaultRowHeight="14.5" x14ac:dyDescent="0.35"/>
  <cols>
    <col min="1" max="1" width="15.7265625" style="10" customWidth="1"/>
    <col min="2" max="3" width="20.7265625" style="10" customWidth="1"/>
    <col min="4" max="5" width="10.7265625" style="10" customWidth="1"/>
    <col min="6" max="6" width="15.7265625" style="10" customWidth="1"/>
    <col min="7" max="85" width="10.7265625" style="10" customWidth="1"/>
    <col min="86" max="86" width="20.7265625" style="10" customWidth="1"/>
    <col min="87" max="88" width="15.7265625" style="10" customWidth="1"/>
    <col min="89" max="90" width="20.7265625" style="10" customWidth="1"/>
    <col min="91" max="91" width="18.7265625" style="10" customWidth="1"/>
    <col min="92" max="93" width="22.7265625" style="10" customWidth="1"/>
    <col min="94" max="94" width="13.7265625" style="10" customWidth="1"/>
    <col min="95" max="95" width="14.7265625" style="10" customWidth="1"/>
    <col min="96" max="96" width="10.7265625" style="10" customWidth="1"/>
    <col min="97" max="16384" width="9.1796875" style="10"/>
  </cols>
  <sheetData>
    <row r="1" spans="1:98" ht="29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431</v>
      </c>
      <c r="H1" s="12" t="s">
        <v>432</v>
      </c>
      <c r="I1" s="12" t="s">
        <v>433</v>
      </c>
      <c r="J1" s="12" t="s">
        <v>434</v>
      </c>
      <c r="K1" s="12" t="s">
        <v>435</v>
      </c>
      <c r="L1" s="12" t="s">
        <v>436</v>
      </c>
      <c r="M1" s="12" t="s">
        <v>437</v>
      </c>
      <c r="N1" s="12" t="s">
        <v>438</v>
      </c>
      <c r="O1" s="12" t="s">
        <v>439</v>
      </c>
      <c r="P1" s="12" t="s">
        <v>440</v>
      </c>
      <c r="Q1" s="12" t="s">
        <v>441</v>
      </c>
      <c r="R1" s="12" t="s">
        <v>442</v>
      </c>
      <c r="S1" s="12" t="s">
        <v>443</v>
      </c>
      <c r="T1" s="12" t="s">
        <v>444</v>
      </c>
      <c r="U1" s="12" t="s">
        <v>445</v>
      </c>
      <c r="V1" s="12" t="s">
        <v>446</v>
      </c>
      <c r="W1" s="12" t="s">
        <v>447</v>
      </c>
      <c r="X1" s="12" t="s">
        <v>448</v>
      </c>
      <c r="Y1" s="12" t="s">
        <v>449</v>
      </c>
      <c r="Z1" s="12" t="s">
        <v>450</v>
      </c>
      <c r="AA1" s="12" t="s">
        <v>451</v>
      </c>
      <c r="AB1" s="12" t="s">
        <v>452</v>
      </c>
      <c r="AC1" s="12" t="s">
        <v>453</v>
      </c>
      <c r="AD1" s="12" t="s">
        <v>454</v>
      </c>
      <c r="AE1" s="12" t="s">
        <v>455</v>
      </c>
      <c r="AF1" s="12" t="s">
        <v>456</v>
      </c>
      <c r="AG1" s="12" t="s">
        <v>457</v>
      </c>
      <c r="AH1" s="12" t="s">
        <v>458</v>
      </c>
      <c r="AI1" s="12" t="s">
        <v>459</v>
      </c>
      <c r="AJ1" s="12" t="s">
        <v>460</v>
      </c>
      <c r="AK1" s="12" t="s">
        <v>461</v>
      </c>
      <c r="AL1" s="12" t="s">
        <v>462</v>
      </c>
      <c r="AM1" s="12" t="s">
        <v>463</v>
      </c>
      <c r="AN1" s="12" t="s">
        <v>464</v>
      </c>
      <c r="AO1" s="12" t="s">
        <v>465</v>
      </c>
      <c r="AP1" s="12" t="s">
        <v>466</v>
      </c>
      <c r="AQ1" s="12" t="s">
        <v>467</v>
      </c>
      <c r="AR1" s="12" t="s">
        <v>468</v>
      </c>
      <c r="AS1" s="12" t="s">
        <v>469</v>
      </c>
      <c r="AT1" s="12" t="s">
        <v>470</v>
      </c>
      <c r="AU1" s="12" t="s">
        <v>471</v>
      </c>
      <c r="AV1" s="12" t="s">
        <v>472</v>
      </c>
      <c r="AW1" s="12" t="s">
        <v>369</v>
      </c>
      <c r="AX1" s="12" t="s">
        <v>473</v>
      </c>
      <c r="AY1" s="12" t="s">
        <v>474</v>
      </c>
      <c r="AZ1" s="12" t="s">
        <v>475</v>
      </c>
      <c r="BA1" s="12" t="s">
        <v>476</v>
      </c>
      <c r="BB1" s="12" t="s">
        <v>477</v>
      </c>
      <c r="BC1" s="12" t="s">
        <v>478</v>
      </c>
      <c r="BD1" s="12" t="s">
        <v>479</v>
      </c>
      <c r="BE1" s="12" t="s">
        <v>339</v>
      </c>
      <c r="BF1" s="12" t="s">
        <v>480</v>
      </c>
      <c r="BG1" s="12" t="s">
        <v>481</v>
      </c>
      <c r="BH1" s="12" t="s">
        <v>482</v>
      </c>
      <c r="BI1" s="12" t="s">
        <v>483</v>
      </c>
      <c r="BJ1" s="12" t="s">
        <v>484</v>
      </c>
      <c r="BK1" s="12" t="s">
        <v>485</v>
      </c>
      <c r="BL1" s="12" t="s">
        <v>486</v>
      </c>
      <c r="BM1" s="12" t="s">
        <v>487</v>
      </c>
      <c r="BN1" s="12" t="s">
        <v>488</v>
      </c>
      <c r="BO1" s="12" t="s">
        <v>489</v>
      </c>
      <c r="BP1" s="12" t="s">
        <v>490</v>
      </c>
      <c r="BQ1" s="12" t="s">
        <v>491</v>
      </c>
      <c r="BR1" s="12" t="s">
        <v>492</v>
      </c>
      <c r="BS1" s="12" t="s">
        <v>493</v>
      </c>
      <c r="BT1" s="12" t="s">
        <v>494</v>
      </c>
      <c r="BU1" s="12" t="s">
        <v>495</v>
      </c>
      <c r="BV1" s="12" t="s">
        <v>496</v>
      </c>
      <c r="BW1" s="12" t="s">
        <v>497</v>
      </c>
      <c r="BX1" s="12" t="s">
        <v>498</v>
      </c>
      <c r="BY1" s="12" t="s">
        <v>499</v>
      </c>
      <c r="BZ1" s="12" t="s">
        <v>500</v>
      </c>
      <c r="CA1" s="12" t="s">
        <v>501</v>
      </c>
      <c r="CB1" s="12" t="s">
        <v>502</v>
      </c>
      <c r="CC1" s="12" t="s">
        <v>503</v>
      </c>
      <c r="CD1" s="12" t="s">
        <v>504</v>
      </c>
      <c r="CE1" s="12" t="s">
        <v>505</v>
      </c>
      <c r="CF1" s="12" t="s">
        <v>506</v>
      </c>
      <c r="CG1" s="12" t="s">
        <v>318</v>
      </c>
      <c r="CH1" s="12" t="s">
        <v>319</v>
      </c>
      <c r="CI1" s="12" t="s">
        <v>320</v>
      </c>
      <c r="CJ1" s="12" t="s">
        <v>321</v>
      </c>
      <c r="CK1" s="12" t="s">
        <v>322</v>
      </c>
      <c r="CL1" s="12" t="s">
        <v>323</v>
      </c>
      <c r="CM1" s="12" t="s">
        <v>324</v>
      </c>
      <c r="CN1" s="12" t="s">
        <v>325</v>
      </c>
      <c r="CO1" s="12" t="s">
        <v>326</v>
      </c>
      <c r="CP1" s="12" t="s">
        <v>327</v>
      </c>
      <c r="CQ1" s="12" t="s">
        <v>328</v>
      </c>
      <c r="CR1" s="12" t="s">
        <v>329</v>
      </c>
    </row>
    <row r="2" spans="1:98" x14ac:dyDescent="0.35">
      <c r="A2" s="11" t="s">
        <v>330</v>
      </c>
      <c r="B2" s="11" t="s">
        <v>391</v>
      </c>
      <c r="C2" s="13" t="s">
        <v>658</v>
      </c>
      <c r="D2" s="11" t="s">
        <v>332</v>
      </c>
      <c r="E2" s="11" t="s">
        <v>333</v>
      </c>
      <c r="F2" s="11" t="s">
        <v>334</v>
      </c>
      <c r="G2" s="14">
        <v>52432</v>
      </c>
      <c r="H2" s="14">
        <v>61570</v>
      </c>
      <c r="I2" s="14">
        <v>76602</v>
      </c>
      <c r="J2" s="14">
        <v>89189</v>
      </c>
      <c r="K2" s="14">
        <v>100772</v>
      </c>
      <c r="L2" s="14">
        <v>118869</v>
      </c>
      <c r="M2" s="14">
        <v>143321</v>
      </c>
      <c r="N2" s="14">
        <v>170405</v>
      </c>
      <c r="O2" s="14">
        <v>191355</v>
      </c>
      <c r="P2" s="14">
        <v>209792</v>
      </c>
      <c r="Q2" s="14">
        <v>226975</v>
      </c>
      <c r="R2" s="14">
        <v>247782</v>
      </c>
      <c r="S2" s="14">
        <v>268993</v>
      </c>
      <c r="T2" s="14">
        <v>292036</v>
      </c>
      <c r="U2" s="14">
        <v>308812</v>
      </c>
      <c r="V2" s="14">
        <v>341898</v>
      </c>
      <c r="W2" s="14">
        <v>379762</v>
      </c>
      <c r="X2" s="14">
        <v>424495</v>
      </c>
      <c r="Y2" s="14">
        <v>465426</v>
      </c>
      <c r="Z2" s="14">
        <v>497175</v>
      </c>
      <c r="AA2" s="14">
        <v>527497</v>
      </c>
      <c r="AB2" s="14">
        <v>546344</v>
      </c>
      <c r="AC2" s="14">
        <v>579299</v>
      </c>
      <c r="AD2" s="14">
        <v>615723</v>
      </c>
      <c r="AE2" s="14">
        <v>638971</v>
      </c>
      <c r="AF2" s="14">
        <v>653785</v>
      </c>
      <c r="AG2" s="14">
        <v>687177</v>
      </c>
      <c r="AH2" s="14">
        <v>727610</v>
      </c>
      <c r="AI2" s="14">
        <v>760114</v>
      </c>
      <c r="AJ2" s="14">
        <v>785298</v>
      </c>
      <c r="AK2" s="14">
        <v>813613</v>
      </c>
      <c r="AL2" s="14">
        <v>852800</v>
      </c>
      <c r="AM2" s="14">
        <v>891024</v>
      </c>
      <c r="AN2" s="14">
        <v>935159</v>
      </c>
      <c r="AO2" s="14">
        <v>986363</v>
      </c>
      <c r="AP2" s="14">
        <v>1021020</v>
      </c>
      <c r="AQ2" s="14">
        <v>1047182</v>
      </c>
      <c r="AR2" s="14">
        <v>1067630</v>
      </c>
      <c r="AS2" s="14">
        <v>1083670</v>
      </c>
      <c r="AT2" s="14">
        <v>1128936</v>
      </c>
      <c r="AU2" s="14">
        <v>1175806</v>
      </c>
      <c r="AV2" s="14">
        <v>1216953</v>
      </c>
      <c r="AW2" s="14">
        <v>1286210</v>
      </c>
      <c r="AX2" s="14">
        <v>1311367</v>
      </c>
      <c r="AY2" s="14">
        <v>1347073</v>
      </c>
      <c r="AZ2" s="14">
        <v>1402439</v>
      </c>
      <c r="BA2" s="14">
        <v>1452962</v>
      </c>
      <c r="BB2" s="14">
        <v>1453866</v>
      </c>
      <c r="BC2" s="14">
        <v>1508219</v>
      </c>
      <c r="BD2" s="14">
        <v>1604077</v>
      </c>
      <c r="BE2" s="14">
        <v>1745927</v>
      </c>
      <c r="BF2" s="15">
        <v>1803227</v>
      </c>
      <c r="BG2" s="15">
        <v>1876999</v>
      </c>
      <c r="BH2" s="15">
        <v>1955175</v>
      </c>
      <c r="BI2" s="15">
        <v>2030453</v>
      </c>
      <c r="BJ2" s="15">
        <v>2109735</v>
      </c>
      <c r="BK2" s="15">
        <v>2186934</v>
      </c>
      <c r="BL2" s="15">
        <v>2265247</v>
      </c>
      <c r="BM2" s="15">
        <v>2346459</v>
      </c>
      <c r="BN2" s="15">
        <v>2430432</v>
      </c>
      <c r="BO2" s="15">
        <v>2515364</v>
      </c>
      <c r="BP2" s="15">
        <v>2601930</v>
      </c>
      <c r="BQ2" s="15">
        <v>2691077</v>
      </c>
      <c r="BR2" s="15">
        <v>2784206</v>
      </c>
      <c r="BS2" s="15">
        <v>2881756</v>
      </c>
      <c r="BT2" s="15">
        <v>2983368</v>
      </c>
      <c r="BU2" s="15">
        <v>3089508</v>
      </c>
      <c r="BV2" s="15">
        <v>3200098</v>
      </c>
      <c r="BW2" s="15">
        <v>3314745</v>
      </c>
      <c r="BX2" s="15">
        <v>3432759</v>
      </c>
      <c r="BY2" s="15">
        <v>3554794</v>
      </c>
      <c r="BZ2" s="15">
        <v>3680947</v>
      </c>
      <c r="CA2" s="15">
        <v>3811322</v>
      </c>
      <c r="CB2" s="15">
        <v>3946053</v>
      </c>
      <c r="CC2" s="15">
        <v>4085278</v>
      </c>
      <c r="CD2" s="15">
        <v>4229148</v>
      </c>
      <c r="CE2" s="15">
        <v>4377810</v>
      </c>
      <c r="CF2" s="15">
        <v>4531406</v>
      </c>
      <c r="CG2" s="11" t="s">
        <v>335</v>
      </c>
      <c r="CH2" s="11" t="s">
        <v>336</v>
      </c>
      <c r="CI2" s="11" t="s">
        <v>338</v>
      </c>
      <c r="CJ2" s="11" t="s">
        <v>338</v>
      </c>
      <c r="CK2" s="11" t="s">
        <v>339</v>
      </c>
      <c r="CL2" s="11" t="s">
        <v>349</v>
      </c>
      <c r="CM2" s="11" t="s">
        <v>338</v>
      </c>
      <c r="CN2" s="11" t="s">
        <v>392</v>
      </c>
      <c r="CO2" s="11" t="s">
        <v>393</v>
      </c>
      <c r="CP2" s="11" t="s">
        <v>343</v>
      </c>
      <c r="CQ2" s="11" t="s">
        <v>394</v>
      </c>
      <c r="CR2" s="13" t="s">
        <v>659</v>
      </c>
    </row>
    <row r="3" spans="1:98" x14ac:dyDescent="0.35">
      <c r="A3" s="11" t="s">
        <v>330</v>
      </c>
      <c r="B3" s="11" t="s">
        <v>507</v>
      </c>
      <c r="C3" s="13" t="s">
        <v>658</v>
      </c>
      <c r="D3" s="11" t="s">
        <v>425</v>
      </c>
      <c r="E3" s="11" t="s">
        <v>338</v>
      </c>
      <c r="F3" s="11" t="s">
        <v>334</v>
      </c>
      <c r="G3" s="14">
        <v>444.55059999999997</v>
      </c>
      <c r="H3" s="14">
        <v>523.44100000000003</v>
      </c>
      <c r="I3" s="14">
        <v>681.4502</v>
      </c>
      <c r="J3" s="14">
        <v>769.49419999999998</v>
      </c>
      <c r="K3" s="14">
        <v>848.75210000000004</v>
      </c>
      <c r="L3" s="14">
        <v>963.9203</v>
      </c>
      <c r="M3" s="14">
        <v>1115.412</v>
      </c>
      <c r="N3" s="14">
        <v>1343.569</v>
      </c>
      <c r="O3" s="14">
        <v>1501.721</v>
      </c>
      <c r="P3" s="14">
        <v>1633.3969999999999</v>
      </c>
      <c r="Q3" s="14">
        <v>1768.9739999999999</v>
      </c>
      <c r="R3" s="14">
        <v>1876.442</v>
      </c>
      <c r="S3" s="14">
        <v>2037.191</v>
      </c>
      <c r="T3" s="14">
        <v>2200.0210000000002</v>
      </c>
      <c r="U3" s="14">
        <v>2348.2289999999998</v>
      </c>
      <c r="V3" s="14">
        <v>2548.5520000000001</v>
      </c>
      <c r="W3" s="14">
        <v>2788.232</v>
      </c>
      <c r="X3" s="14">
        <v>3064.973</v>
      </c>
      <c r="Y3" s="14">
        <v>3330.8290000000002</v>
      </c>
      <c r="Z3" s="14">
        <v>3489.2190000000001</v>
      </c>
      <c r="AA3" s="14">
        <v>3602.8420000000001</v>
      </c>
      <c r="AB3" s="14">
        <v>3714.76</v>
      </c>
      <c r="AC3" s="14">
        <v>3823.38</v>
      </c>
      <c r="AD3" s="14">
        <v>3935.8180000000002</v>
      </c>
      <c r="AE3" s="14">
        <v>4164.8540000000003</v>
      </c>
      <c r="AF3" s="14">
        <v>4285.4539999999997</v>
      </c>
      <c r="AG3" s="14">
        <v>4538.9139999999998</v>
      </c>
      <c r="AH3" s="14">
        <v>4758.1239999999998</v>
      </c>
      <c r="AI3" s="14">
        <v>5022.9279999999999</v>
      </c>
      <c r="AJ3" s="14">
        <v>5108.152</v>
      </c>
      <c r="AK3" s="14">
        <v>5332.5469999999996</v>
      </c>
      <c r="AL3" s="14">
        <v>5596.7380000000003</v>
      </c>
      <c r="AM3" s="14">
        <v>5784.915</v>
      </c>
      <c r="AN3" s="14">
        <v>6057.0739999999996</v>
      </c>
      <c r="AO3" s="14">
        <v>6424.3320000000003</v>
      </c>
      <c r="AP3" s="14">
        <v>6504.61</v>
      </c>
      <c r="AQ3" s="14">
        <v>6517.9030000000002</v>
      </c>
      <c r="AR3" s="14">
        <v>6592.52</v>
      </c>
      <c r="AS3" s="14">
        <v>6728.732</v>
      </c>
      <c r="AT3" s="14">
        <v>6795.183</v>
      </c>
      <c r="AU3" s="14">
        <v>7030.8980000000001</v>
      </c>
      <c r="AV3" s="14">
        <v>7165.98</v>
      </c>
      <c r="AW3" s="14">
        <v>7252.9040000000005</v>
      </c>
      <c r="AX3" s="14">
        <v>7426.1180000000004</v>
      </c>
      <c r="AY3" s="14">
        <v>7641.4459999999999</v>
      </c>
      <c r="AZ3" s="14">
        <v>7842.4639999999999</v>
      </c>
      <c r="BA3" s="14">
        <v>8067.7479999999996</v>
      </c>
      <c r="BB3" s="14">
        <v>8056.7219999999998</v>
      </c>
      <c r="BC3" s="14">
        <v>8471.8240000000005</v>
      </c>
      <c r="BD3" s="14">
        <v>8960.1859999999997</v>
      </c>
      <c r="BE3" s="14">
        <v>9565.116</v>
      </c>
      <c r="BF3" s="15">
        <v>9959.0740000000005</v>
      </c>
      <c r="BG3" s="15">
        <v>10238.58</v>
      </c>
      <c r="BH3" s="15">
        <v>10516.09</v>
      </c>
      <c r="BI3" s="15">
        <v>10808.29</v>
      </c>
      <c r="BJ3" s="15">
        <v>11107.47</v>
      </c>
      <c r="BK3" s="15">
        <v>11411.45</v>
      </c>
      <c r="BL3" s="15">
        <v>11725.79</v>
      </c>
      <c r="BM3" s="15">
        <v>12054.74</v>
      </c>
      <c r="BN3" s="15">
        <v>12398.22</v>
      </c>
      <c r="BO3" s="15">
        <v>12758.98</v>
      </c>
      <c r="BP3" s="15">
        <v>13138.16</v>
      </c>
      <c r="BQ3" s="15">
        <v>13536.53</v>
      </c>
      <c r="BR3" s="15">
        <v>13952.8</v>
      </c>
      <c r="BS3" s="15">
        <v>14386.56</v>
      </c>
      <c r="BT3" s="15">
        <v>14837.31</v>
      </c>
      <c r="BU3" s="15">
        <v>15307.17</v>
      </c>
      <c r="BV3" s="15">
        <v>15793.92</v>
      </c>
      <c r="BW3" s="15">
        <v>16297.3</v>
      </c>
      <c r="BX3" s="15">
        <v>16817.57</v>
      </c>
      <c r="BY3" s="15">
        <v>17353.96</v>
      </c>
      <c r="BZ3" s="15">
        <v>17906.669999999998</v>
      </c>
      <c r="CA3" s="15">
        <v>18476.03</v>
      </c>
      <c r="CB3" s="15">
        <v>19062.48</v>
      </c>
      <c r="CC3" s="15">
        <v>19666.54</v>
      </c>
      <c r="CD3" s="15">
        <v>20288.73</v>
      </c>
      <c r="CE3" s="15">
        <v>20929.580000000002</v>
      </c>
      <c r="CF3" s="15">
        <v>21589.58</v>
      </c>
      <c r="CG3" s="11" t="s">
        <v>508</v>
      </c>
      <c r="CH3" s="11" t="s">
        <v>336</v>
      </c>
      <c r="CI3" s="11" t="s">
        <v>338</v>
      </c>
      <c r="CJ3" s="11" t="s">
        <v>338</v>
      </c>
      <c r="CK3" s="11" t="s">
        <v>339</v>
      </c>
      <c r="CL3" s="11" t="s">
        <v>349</v>
      </c>
      <c r="CM3" s="11" t="s">
        <v>338</v>
      </c>
      <c r="CN3" s="11" t="s">
        <v>508</v>
      </c>
      <c r="CO3" s="11" t="s">
        <v>338</v>
      </c>
      <c r="CP3" s="11" t="s">
        <v>343</v>
      </c>
      <c r="CQ3" s="11" t="s">
        <v>509</v>
      </c>
      <c r="CR3" s="13" t="s">
        <v>659</v>
      </c>
    </row>
    <row r="4" spans="1:98" x14ac:dyDescent="0.35">
      <c r="A4" s="11" t="s">
        <v>330</v>
      </c>
      <c r="B4" s="11" t="s">
        <v>510</v>
      </c>
      <c r="C4" s="13" t="s">
        <v>658</v>
      </c>
      <c r="D4" s="11" t="s">
        <v>629</v>
      </c>
      <c r="E4" s="11" t="s">
        <v>411</v>
      </c>
      <c r="F4" s="11" t="s">
        <v>334</v>
      </c>
      <c r="G4" s="14">
        <v>22199.919999999998</v>
      </c>
      <c r="H4" s="14">
        <v>22306.49</v>
      </c>
      <c r="I4" s="14">
        <v>22183.06</v>
      </c>
      <c r="J4" s="14">
        <v>22055.72</v>
      </c>
      <c r="K4" s="14">
        <v>22120.98</v>
      </c>
      <c r="L4" s="14">
        <v>22268.12</v>
      </c>
      <c r="M4" s="14">
        <v>22552.86</v>
      </c>
      <c r="N4" s="14">
        <v>22215.99</v>
      </c>
      <c r="O4" s="14">
        <v>21309.56</v>
      </c>
      <c r="P4" s="14">
        <v>20834.97</v>
      </c>
      <c r="Q4" s="14">
        <v>20623.89</v>
      </c>
      <c r="R4" s="14">
        <v>20830.25</v>
      </c>
      <c r="S4" s="14">
        <v>20981.69</v>
      </c>
      <c r="T4" s="14">
        <v>20961.89</v>
      </c>
      <c r="U4" s="14">
        <v>21257.8</v>
      </c>
      <c r="V4" s="14">
        <v>21912.65</v>
      </c>
      <c r="W4" s="14">
        <v>22345.16</v>
      </c>
      <c r="X4" s="14">
        <v>22483.78</v>
      </c>
      <c r="Y4" s="14">
        <v>21889.919999999998</v>
      </c>
      <c r="Z4" s="14">
        <v>21560.68</v>
      </c>
      <c r="AA4" s="14">
        <v>21402.75</v>
      </c>
      <c r="AB4" s="14">
        <v>21525.75</v>
      </c>
      <c r="AC4" s="14">
        <v>21863.25</v>
      </c>
      <c r="AD4" s="14">
        <v>22196.25</v>
      </c>
      <c r="AE4" s="14">
        <v>22742.75</v>
      </c>
      <c r="AF4" s="14">
        <v>23182.25</v>
      </c>
      <c r="AG4" s="14">
        <v>23604.25</v>
      </c>
      <c r="AH4" s="14">
        <v>23976.75</v>
      </c>
      <c r="AI4" s="14">
        <v>24186.25</v>
      </c>
      <c r="AJ4" s="14">
        <v>24407</v>
      </c>
      <c r="AK4" s="14">
        <v>24458.75</v>
      </c>
      <c r="AL4" s="14">
        <v>24686.75</v>
      </c>
      <c r="AM4" s="14">
        <v>24997</v>
      </c>
      <c r="AN4" s="14">
        <v>25195.25</v>
      </c>
      <c r="AO4" s="14">
        <v>25345</v>
      </c>
      <c r="AP4" s="14">
        <v>25574</v>
      </c>
      <c r="AQ4" s="14">
        <v>25092</v>
      </c>
      <c r="AR4" s="14">
        <v>25016.75</v>
      </c>
      <c r="AS4" s="14">
        <v>25117.5</v>
      </c>
      <c r="AT4" s="14">
        <v>25213.25</v>
      </c>
      <c r="AU4" s="14">
        <v>25513.5</v>
      </c>
      <c r="AV4" s="14">
        <v>25959.5</v>
      </c>
      <c r="AW4" s="14">
        <v>26503.5</v>
      </c>
      <c r="AX4" s="14">
        <v>26771</v>
      </c>
      <c r="AY4" s="14">
        <v>27065</v>
      </c>
      <c r="AZ4" s="14">
        <v>27494.25</v>
      </c>
      <c r="BA4" s="14">
        <v>27652</v>
      </c>
      <c r="BB4" s="14">
        <v>27752</v>
      </c>
      <c r="BC4" s="14">
        <v>28023</v>
      </c>
      <c r="BD4" s="14">
        <v>28446.75</v>
      </c>
      <c r="BE4" s="14">
        <v>28666.25</v>
      </c>
      <c r="BF4" s="15">
        <v>28700.01</v>
      </c>
      <c r="BG4" s="15">
        <v>28993.279999999999</v>
      </c>
      <c r="BH4" s="15">
        <v>29275.24</v>
      </c>
      <c r="BI4" s="15">
        <v>29575.66</v>
      </c>
      <c r="BJ4" s="15">
        <v>29862.83</v>
      </c>
      <c r="BK4" s="15">
        <v>30117.7</v>
      </c>
      <c r="BL4" s="15">
        <v>30352.6</v>
      </c>
      <c r="BM4" s="15">
        <v>30577.08</v>
      </c>
      <c r="BN4" s="15">
        <v>30785.46</v>
      </c>
      <c r="BO4" s="15">
        <v>30957.39</v>
      </c>
      <c r="BP4" s="15">
        <v>31103.54</v>
      </c>
      <c r="BQ4" s="15">
        <v>31233.53</v>
      </c>
      <c r="BR4" s="15">
        <v>31364.49</v>
      </c>
      <c r="BS4" s="15">
        <v>31495.47</v>
      </c>
      <c r="BT4" s="15">
        <v>31626.44</v>
      </c>
      <c r="BU4" s="15">
        <v>31757.41</v>
      </c>
      <c r="BV4" s="15">
        <v>31888.38</v>
      </c>
      <c r="BW4" s="15">
        <v>32011.35</v>
      </c>
      <c r="BX4" s="15">
        <v>32129.52</v>
      </c>
      <c r="BY4" s="15">
        <v>32247.7</v>
      </c>
      <c r="BZ4" s="15">
        <v>32365.87</v>
      </c>
      <c r="CA4" s="15">
        <v>32484.05</v>
      </c>
      <c r="CB4" s="15">
        <v>32602.22</v>
      </c>
      <c r="CC4" s="15">
        <v>32720.400000000001</v>
      </c>
      <c r="CD4" s="15">
        <v>32838.58</v>
      </c>
      <c r="CE4" s="15">
        <v>32956.75</v>
      </c>
      <c r="CF4" s="15">
        <v>33074.92</v>
      </c>
      <c r="CG4" s="11" t="s">
        <v>335</v>
      </c>
      <c r="CH4" s="11" t="s">
        <v>336</v>
      </c>
      <c r="CI4" s="11" t="s">
        <v>338</v>
      </c>
      <c r="CJ4" s="11" t="s">
        <v>338</v>
      </c>
      <c r="CK4" s="11" t="s">
        <v>339</v>
      </c>
      <c r="CL4" s="11" t="s">
        <v>623</v>
      </c>
      <c r="CM4" s="11" t="s">
        <v>338</v>
      </c>
      <c r="CN4" s="11" t="s">
        <v>511</v>
      </c>
      <c r="CO4" s="11" t="s">
        <v>512</v>
      </c>
      <c r="CP4" s="11" t="s">
        <v>343</v>
      </c>
      <c r="CQ4" s="11" t="s">
        <v>513</v>
      </c>
      <c r="CR4" s="13" t="s">
        <v>659</v>
      </c>
    </row>
    <row r="5" spans="1:98" x14ac:dyDescent="0.35">
      <c r="A5" s="11" t="s">
        <v>330</v>
      </c>
      <c r="B5" s="11" t="s">
        <v>514</v>
      </c>
      <c r="C5" s="13" t="s">
        <v>658</v>
      </c>
      <c r="D5" s="11" t="s">
        <v>332</v>
      </c>
      <c r="E5" s="11" t="s">
        <v>333</v>
      </c>
      <c r="F5" s="11" t="s">
        <v>334</v>
      </c>
      <c r="G5" s="14">
        <v>39478</v>
      </c>
      <c r="H5" s="14">
        <v>46712</v>
      </c>
      <c r="I5" s="14">
        <v>60461</v>
      </c>
      <c r="J5" s="14">
        <v>67888</v>
      </c>
      <c r="K5" s="14">
        <v>75102</v>
      </c>
      <c r="L5" s="14">
        <v>85868</v>
      </c>
      <c r="M5" s="14">
        <v>100636</v>
      </c>
      <c r="N5" s="14">
        <v>119333</v>
      </c>
      <c r="O5" s="14">
        <v>127973</v>
      </c>
      <c r="P5" s="14">
        <v>136108</v>
      </c>
      <c r="Q5" s="14">
        <v>145939</v>
      </c>
      <c r="R5" s="14">
        <v>156357</v>
      </c>
      <c r="S5" s="14">
        <v>170977</v>
      </c>
      <c r="T5" s="14">
        <v>184468</v>
      </c>
      <c r="U5" s="14">
        <v>199714</v>
      </c>
      <c r="V5" s="14">
        <v>223421</v>
      </c>
      <c r="W5" s="14">
        <v>249240</v>
      </c>
      <c r="X5" s="14">
        <v>275637</v>
      </c>
      <c r="Y5" s="14">
        <v>291596</v>
      </c>
      <c r="Z5" s="14">
        <v>300913</v>
      </c>
      <c r="AA5" s="14">
        <v>308445</v>
      </c>
      <c r="AB5" s="14">
        <v>319860</v>
      </c>
      <c r="AC5" s="14">
        <v>334384</v>
      </c>
      <c r="AD5" s="14">
        <v>349453</v>
      </c>
      <c r="AE5" s="14">
        <v>378908</v>
      </c>
      <c r="AF5" s="14">
        <v>397409</v>
      </c>
      <c r="AG5" s="14">
        <v>428583</v>
      </c>
      <c r="AH5" s="14">
        <v>456373</v>
      </c>
      <c r="AI5" s="14">
        <v>485948</v>
      </c>
      <c r="AJ5" s="14">
        <v>498707</v>
      </c>
      <c r="AK5" s="14">
        <v>521700</v>
      </c>
      <c r="AL5" s="14">
        <v>552686</v>
      </c>
      <c r="AM5" s="14">
        <v>578425</v>
      </c>
      <c r="AN5" s="14">
        <v>610443</v>
      </c>
      <c r="AO5" s="14">
        <v>651314</v>
      </c>
      <c r="AP5" s="14">
        <v>665400</v>
      </c>
      <c r="AQ5" s="14">
        <v>654141</v>
      </c>
      <c r="AR5" s="14">
        <v>659695</v>
      </c>
      <c r="AS5" s="14">
        <v>676035</v>
      </c>
      <c r="AT5" s="14">
        <v>685315</v>
      </c>
      <c r="AU5" s="14">
        <v>717568</v>
      </c>
      <c r="AV5" s="14">
        <v>744077</v>
      </c>
      <c r="AW5" s="14">
        <v>768925</v>
      </c>
      <c r="AX5" s="14">
        <v>795227</v>
      </c>
      <c r="AY5" s="14">
        <v>827282</v>
      </c>
      <c r="AZ5" s="14">
        <v>862510</v>
      </c>
      <c r="BA5" s="14">
        <v>892362</v>
      </c>
      <c r="BB5" s="14">
        <v>894361</v>
      </c>
      <c r="BC5" s="14">
        <v>949714</v>
      </c>
      <c r="BD5" s="14">
        <v>1019622</v>
      </c>
      <c r="BE5" s="14">
        <v>1096781</v>
      </c>
      <c r="BF5" s="15">
        <v>1143331</v>
      </c>
      <c r="BG5" s="15">
        <v>1187426</v>
      </c>
      <c r="BH5" s="15">
        <v>1231471</v>
      </c>
      <c r="BI5" s="15">
        <v>1278679</v>
      </c>
      <c r="BJ5" s="15">
        <v>1326828</v>
      </c>
      <c r="BK5" s="15">
        <v>1374769</v>
      </c>
      <c r="BL5" s="15">
        <v>1423656</v>
      </c>
      <c r="BM5" s="15">
        <v>1474418</v>
      </c>
      <c r="BN5" s="15">
        <v>1526761</v>
      </c>
      <c r="BO5" s="15">
        <v>1579957</v>
      </c>
      <c r="BP5" s="15">
        <v>1634589</v>
      </c>
      <c r="BQ5" s="15">
        <v>1691191</v>
      </c>
      <c r="BR5" s="15">
        <v>1750507</v>
      </c>
      <c r="BS5" s="15">
        <v>1812465</v>
      </c>
      <c r="BT5" s="15">
        <v>1877024</v>
      </c>
      <c r="BU5" s="15">
        <v>1944484</v>
      </c>
      <c r="BV5" s="15">
        <v>2014590</v>
      </c>
      <c r="BW5" s="15">
        <v>2086814</v>
      </c>
      <c r="BX5" s="15">
        <v>2161382</v>
      </c>
      <c r="BY5" s="15">
        <v>2238522</v>
      </c>
      <c r="BZ5" s="15">
        <v>2318281</v>
      </c>
      <c r="CA5" s="15">
        <v>2400726</v>
      </c>
      <c r="CB5" s="15">
        <v>2485940</v>
      </c>
      <c r="CC5" s="15">
        <v>2574011</v>
      </c>
      <c r="CD5" s="15">
        <v>2665036</v>
      </c>
      <c r="CE5" s="15">
        <v>2759108</v>
      </c>
      <c r="CF5" s="15">
        <v>2856319</v>
      </c>
      <c r="CG5" s="11" t="s">
        <v>335</v>
      </c>
      <c r="CH5" s="11" t="s">
        <v>336</v>
      </c>
      <c r="CI5" s="11" t="s">
        <v>338</v>
      </c>
      <c r="CJ5" s="11" t="s">
        <v>338</v>
      </c>
      <c r="CK5" s="11" t="s">
        <v>339</v>
      </c>
      <c r="CL5" s="11" t="s">
        <v>349</v>
      </c>
      <c r="CM5" s="11" t="s">
        <v>338</v>
      </c>
      <c r="CN5" s="11" t="s">
        <v>515</v>
      </c>
      <c r="CO5" s="11" t="s">
        <v>516</v>
      </c>
      <c r="CP5" s="11" t="s">
        <v>343</v>
      </c>
      <c r="CQ5" s="11" t="s">
        <v>517</v>
      </c>
      <c r="CR5" s="13" t="s">
        <v>659</v>
      </c>
      <c r="CT5" s="17"/>
    </row>
    <row r="6" spans="1:98" x14ac:dyDescent="0.35">
      <c r="A6" s="11" t="s">
        <v>330</v>
      </c>
      <c r="B6" s="11" t="s">
        <v>387</v>
      </c>
      <c r="C6" s="13" t="s">
        <v>658</v>
      </c>
      <c r="D6" s="11" t="s">
        <v>332</v>
      </c>
      <c r="E6" s="11" t="s">
        <v>333</v>
      </c>
      <c r="F6" s="11" t="s">
        <v>334</v>
      </c>
      <c r="G6" s="14">
        <v>-487.0847</v>
      </c>
      <c r="H6" s="14">
        <v>-720.22310000000004</v>
      </c>
      <c r="I6" s="14">
        <v>-599.21860000000004</v>
      </c>
      <c r="J6" s="14">
        <v>-725.32090000000005</v>
      </c>
      <c r="K6" s="14">
        <v>-604.05579999999998</v>
      </c>
      <c r="L6" s="14">
        <v>-1021.3579999999999</v>
      </c>
      <c r="M6" s="14">
        <v>-1336.26</v>
      </c>
      <c r="N6" s="14">
        <v>-1503.6279999999999</v>
      </c>
      <c r="O6" s="14">
        <v>-2041.972</v>
      </c>
      <c r="P6" s="14">
        <v>-2267.163</v>
      </c>
      <c r="Q6" s="14">
        <v>-2161.116</v>
      </c>
      <c r="R6" s="14">
        <v>-2225.4879999999998</v>
      </c>
      <c r="S6" s="14">
        <v>-2291.721</v>
      </c>
      <c r="T6" s="14">
        <v>-1515.163</v>
      </c>
      <c r="U6" s="14">
        <v>2331</v>
      </c>
      <c r="V6" s="14">
        <v>1172</v>
      </c>
      <c r="W6" s="14">
        <v>-1723</v>
      </c>
      <c r="X6" s="14">
        <v>-3237</v>
      </c>
      <c r="Y6" s="14">
        <v>-2437</v>
      </c>
      <c r="Z6" s="14">
        <v>-2421</v>
      </c>
      <c r="AA6" s="14">
        <v>-1115</v>
      </c>
      <c r="AB6" s="14">
        <v>-3328</v>
      </c>
      <c r="AC6" s="14">
        <v>-1889</v>
      </c>
      <c r="AD6" s="14">
        <v>-744</v>
      </c>
      <c r="AE6" s="14">
        <v>-444</v>
      </c>
      <c r="AF6" s="14">
        <v>-148</v>
      </c>
      <c r="AG6" s="14">
        <v>-4357</v>
      </c>
      <c r="AH6" s="14">
        <v>-4710</v>
      </c>
      <c r="AI6" s="14">
        <v>-7868</v>
      </c>
      <c r="AJ6" s="14">
        <v>-9991</v>
      </c>
      <c r="AK6" s="14">
        <v>-9887</v>
      </c>
      <c r="AL6" s="14">
        <v>-11638</v>
      </c>
      <c r="AM6" s="14">
        <v>-15160</v>
      </c>
      <c r="AN6" s="14">
        <v>-16719</v>
      </c>
      <c r="AO6" s="14">
        <v>-22405</v>
      </c>
      <c r="AP6" s="14">
        <v>-24623</v>
      </c>
      <c r="AQ6" s="14">
        <v>-13168</v>
      </c>
      <c r="AR6" s="14">
        <v>-3570</v>
      </c>
      <c r="AS6" s="14">
        <v>-2690</v>
      </c>
      <c r="AT6" s="14">
        <v>-3300</v>
      </c>
      <c r="AU6" s="14">
        <v>-3345</v>
      </c>
      <c r="AV6" s="14">
        <v>-3748</v>
      </c>
      <c r="AW6" s="14">
        <v>-2819</v>
      </c>
      <c r="AX6" s="14">
        <v>-3762</v>
      </c>
      <c r="AY6" s="14">
        <v>-3803</v>
      </c>
      <c r="AZ6" s="14">
        <v>-4062</v>
      </c>
      <c r="BA6" s="14">
        <v>-4022</v>
      </c>
      <c r="BB6" s="14">
        <v>-2866</v>
      </c>
      <c r="BC6" s="14">
        <v>-1268</v>
      </c>
      <c r="BD6" s="14">
        <v>1523</v>
      </c>
      <c r="BE6" s="14">
        <v>5719.4459999999999</v>
      </c>
      <c r="BF6" s="15">
        <v>-3064.0189999999998</v>
      </c>
      <c r="BG6" s="15">
        <v>-9981.5300000000007</v>
      </c>
      <c r="BH6" s="15">
        <v>-17300.8</v>
      </c>
      <c r="BI6" s="15">
        <v>-23657.13</v>
      </c>
      <c r="BJ6" s="15">
        <v>-24888.59</v>
      </c>
      <c r="BK6" s="15">
        <v>-28434.19</v>
      </c>
      <c r="BL6" s="15">
        <v>-33800.92</v>
      </c>
      <c r="BM6" s="15">
        <v>-37382.28</v>
      </c>
      <c r="BN6" s="15">
        <v>-39909.18</v>
      </c>
      <c r="BO6" s="15">
        <v>-42775.22</v>
      </c>
      <c r="BP6" s="15">
        <v>-46075.94</v>
      </c>
      <c r="BQ6" s="15">
        <v>-49494.83</v>
      </c>
      <c r="BR6" s="15">
        <v>-52617.87</v>
      </c>
      <c r="BS6" s="15">
        <v>-55349.17</v>
      </c>
      <c r="BT6" s="15">
        <v>-57690.64</v>
      </c>
      <c r="BU6" s="15">
        <v>-59667.97</v>
      </c>
      <c r="BV6" s="15">
        <v>-61701.07</v>
      </c>
      <c r="BW6" s="15">
        <v>-64611.51</v>
      </c>
      <c r="BX6" s="15">
        <v>-67495.8</v>
      </c>
      <c r="BY6" s="15">
        <v>-69968.87</v>
      </c>
      <c r="BZ6" s="15">
        <v>-72067.16</v>
      </c>
      <c r="CA6" s="15">
        <v>-74273.64</v>
      </c>
      <c r="CB6" s="15">
        <v>-77519.83</v>
      </c>
      <c r="CC6" s="15">
        <v>-80749.91</v>
      </c>
      <c r="CD6" s="15">
        <v>-83518.28</v>
      </c>
      <c r="CE6" s="15">
        <v>-85861.59</v>
      </c>
      <c r="CF6" s="15">
        <v>-87826.7</v>
      </c>
      <c r="CG6" s="11" t="s">
        <v>388</v>
      </c>
      <c r="CH6" s="11" t="s">
        <v>336</v>
      </c>
      <c r="CI6" s="11" t="s">
        <v>338</v>
      </c>
      <c r="CJ6" s="11" t="s">
        <v>338</v>
      </c>
      <c r="CK6" s="11" t="s">
        <v>339</v>
      </c>
      <c r="CL6" s="11" t="s">
        <v>349</v>
      </c>
      <c r="CM6" s="11" t="s">
        <v>338</v>
      </c>
      <c r="CN6" s="13" t="s">
        <v>389</v>
      </c>
      <c r="CO6" s="11" t="s">
        <v>338</v>
      </c>
      <c r="CP6" s="11" t="s">
        <v>343</v>
      </c>
      <c r="CQ6" s="11" t="s">
        <v>390</v>
      </c>
      <c r="CR6" s="13" t="s">
        <v>659</v>
      </c>
      <c r="CT6" s="17"/>
    </row>
    <row r="7" spans="1:98" x14ac:dyDescent="0.35">
      <c r="A7" s="11" t="s">
        <v>330</v>
      </c>
      <c r="B7" s="11" t="s">
        <v>518</v>
      </c>
      <c r="C7" s="13" t="s">
        <v>658</v>
      </c>
      <c r="D7" s="11" t="s">
        <v>332</v>
      </c>
      <c r="E7" s="11" t="s">
        <v>333</v>
      </c>
      <c r="F7" s="11" t="s">
        <v>334</v>
      </c>
      <c r="G7" s="14">
        <v>6360.9690000000001</v>
      </c>
      <c r="H7" s="14">
        <v>7803.6729999999998</v>
      </c>
      <c r="I7" s="14">
        <v>10283.92</v>
      </c>
      <c r="J7" s="14">
        <v>12746.07</v>
      </c>
      <c r="K7" s="14">
        <v>15092.6</v>
      </c>
      <c r="L7" s="14">
        <v>17959.91</v>
      </c>
      <c r="M7" s="14">
        <v>21383.19</v>
      </c>
      <c r="N7" s="14">
        <v>26158.69</v>
      </c>
      <c r="O7" s="14">
        <v>32390.98</v>
      </c>
      <c r="P7" s="14">
        <v>37756.629999999997</v>
      </c>
      <c r="Q7" s="14">
        <v>39197.33</v>
      </c>
      <c r="R7" s="14">
        <v>41956.05</v>
      </c>
      <c r="S7" s="14">
        <v>45767.41</v>
      </c>
      <c r="T7" s="14">
        <v>49662.21</v>
      </c>
      <c r="U7" s="14">
        <v>51541</v>
      </c>
      <c r="V7" s="14">
        <v>53010</v>
      </c>
      <c r="W7" s="14">
        <v>55060</v>
      </c>
      <c r="X7" s="14">
        <v>60163</v>
      </c>
      <c r="Y7" s="14">
        <v>74094</v>
      </c>
      <c r="Z7" s="14">
        <v>83953</v>
      </c>
      <c r="AA7" s="14">
        <v>89524</v>
      </c>
      <c r="AB7" s="14">
        <v>91610</v>
      </c>
      <c r="AC7" s="14">
        <v>95233</v>
      </c>
      <c r="AD7" s="14">
        <v>98487</v>
      </c>
      <c r="AE7" s="14">
        <v>101294</v>
      </c>
      <c r="AF7" s="14">
        <v>102123</v>
      </c>
      <c r="AG7" s="14">
        <v>104082</v>
      </c>
      <c r="AH7" s="14">
        <v>107870</v>
      </c>
      <c r="AI7" s="14">
        <v>116202</v>
      </c>
      <c r="AJ7" s="14">
        <v>121564</v>
      </c>
      <c r="AK7" s="14">
        <v>132461</v>
      </c>
      <c r="AL7" s="14">
        <v>142261</v>
      </c>
      <c r="AM7" s="14">
        <v>148357</v>
      </c>
      <c r="AN7" s="14">
        <v>152949</v>
      </c>
      <c r="AO7" s="14">
        <v>163192</v>
      </c>
      <c r="AP7" s="14">
        <v>174405</v>
      </c>
      <c r="AQ7" s="14">
        <v>192693</v>
      </c>
      <c r="AR7" s="14">
        <v>200560</v>
      </c>
      <c r="AS7" s="14">
        <v>206318</v>
      </c>
      <c r="AT7" s="14">
        <v>215584</v>
      </c>
      <c r="AU7" s="14">
        <v>219182</v>
      </c>
      <c r="AV7" s="14">
        <v>224042</v>
      </c>
      <c r="AW7" s="14">
        <v>228890</v>
      </c>
      <c r="AX7" s="14">
        <v>231999</v>
      </c>
      <c r="AY7" s="14">
        <v>234279</v>
      </c>
      <c r="AZ7" s="14">
        <v>241344</v>
      </c>
      <c r="BA7" s="14">
        <v>248526</v>
      </c>
      <c r="BB7" s="14">
        <v>269857</v>
      </c>
      <c r="BC7" s="14">
        <v>277447</v>
      </c>
      <c r="BD7" s="14">
        <v>294889</v>
      </c>
      <c r="BE7" s="14">
        <v>323502.90000000002</v>
      </c>
      <c r="BF7" s="15">
        <v>351779.5</v>
      </c>
      <c r="BG7" s="15">
        <v>372598.6</v>
      </c>
      <c r="BH7" s="15">
        <v>392610.8</v>
      </c>
      <c r="BI7" s="15">
        <v>416313.2</v>
      </c>
      <c r="BJ7" s="15">
        <v>439735.9</v>
      </c>
      <c r="BK7" s="15">
        <v>461439.4</v>
      </c>
      <c r="BL7" s="15">
        <v>482313.1</v>
      </c>
      <c r="BM7" s="15">
        <v>502724.5</v>
      </c>
      <c r="BN7" s="15">
        <v>523146.3</v>
      </c>
      <c r="BO7" s="15">
        <v>543595.4</v>
      </c>
      <c r="BP7" s="15">
        <v>564211.80000000005</v>
      </c>
      <c r="BQ7" s="15">
        <v>585218.9</v>
      </c>
      <c r="BR7" s="15">
        <v>607588</v>
      </c>
      <c r="BS7" s="15">
        <v>630222.80000000005</v>
      </c>
      <c r="BT7" s="15">
        <v>653125.80000000005</v>
      </c>
      <c r="BU7" s="15">
        <v>676445.4</v>
      </c>
      <c r="BV7" s="15">
        <v>700662.3</v>
      </c>
      <c r="BW7" s="15">
        <v>725358</v>
      </c>
      <c r="BX7" s="15">
        <v>750310.7</v>
      </c>
      <c r="BY7" s="15">
        <v>776624.4</v>
      </c>
      <c r="BZ7" s="15">
        <v>805623.8</v>
      </c>
      <c r="CA7" s="15">
        <v>836867.4</v>
      </c>
      <c r="CB7" s="15">
        <v>868563.1</v>
      </c>
      <c r="CC7" s="15">
        <v>900273.1</v>
      </c>
      <c r="CD7" s="15">
        <v>932979.3</v>
      </c>
      <c r="CE7" s="15">
        <v>966995.4</v>
      </c>
      <c r="CF7" s="15">
        <v>1002993</v>
      </c>
      <c r="CG7" s="11" t="s">
        <v>335</v>
      </c>
      <c r="CH7" s="11" t="s">
        <v>336</v>
      </c>
      <c r="CI7" s="11" t="s">
        <v>338</v>
      </c>
      <c r="CJ7" s="11" t="s">
        <v>338</v>
      </c>
      <c r="CK7" s="11" t="s">
        <v>339</v>
      </c>
      <c r="CL7" s="11" t="s">
        <v>349</v>
      </c>
      <c r="CM7" s="11" t="s">
        <v>338</v>
      </c>
      <c r="CN7" s="11" t="s">
        <v>519</v>
      </c>
      <c r="CO7" s="13" t="s">
        <v>520</v>
      </c>
      <c r="CP7" s="11" t="s">
        <v>343</v>
      </c>
      <c r="CQ7" s="11" t="s">
        <v>521</v>
      </c>
      <c r="CR7" s="13" t="s">
        <v>659</v>
      </c>
      <c r="CT7" s="17"/>
    </row>
    <row r="8" spans="1:98" x14ac:dyDescent="0.35">
      <c r="A8" s="11" t="s">
        <v>330</v>
      </c>
      <c r="B8" s="11" t="s">
        <v>522</v>
      </c>
      <c r="C8" s="13" t="s">
        <v>658</v>
      </c>
      <c r="D8" s="11" t="s">
        <v>332</v>
      </c>
      <c r="E8" s="11" t="s">
        <v>333</v>
      </c>
      <c r="F8" s="11" t="s">
        <v>334</v>
      </c>
      <c r="G8" s="14">
        <v>7641.5309999999999</v>
      </c>
      <c r="H8" s="14">
        <v>10304.1</v>
      </c>
      <c r="I8" s="14">
        <v>14877.54</v>
      </c>
      <c r="J8" s="14">
        <v>17231.52</v>
      </c>
      <c r="K8" s="14">
        <v>17950.57</v>
      </c>
      <c r="L8" s="14">
        <v>19247.240000000002</v>
      </c>
      <c r="M8" s="14">
        <v>21350</v>
      </c>
      <c r="N8" s="14">
        <v>25402.2</v>
      </c>
      <c r="O8" s="14">
        <v>28632.5</v>
      </c>
      <c r="P8" s="14">
        <v>31023.07</v>
      </c>
      <c r="Q8" s="14">
        <v>32817.24</v>
      </c>
      <c r="R8" s="14">
        <v>34356.22</v>
      </c>
      <c r="S8" s="14">
        <v>37361.01</v>
      </c>
      <c r="T8" s="14">
        <v>40358.879999999997</v>
      </c>
      <c r="U8" s="14">
        <v>43468</v>
      </c>
      <c r="V8" s="14">
        <v>48427</v>
      </c>
      <c r="W8" s="14">
        <v>52575</v>
      </c>
      <c r="X8" s="14">
        <v>59428</v>
      </c>
      <c r="Y8" s="14">
        <v>64309</v>
      </c>
      <c r="Z8" s="14">
        <v>66881</v>
      </c>
      <c r="AA8" s="14">
        <v>65381</v>
      </c>
      <c r="AB8" s="14">
        <v>69515</v>
      </c>
      <c r="AC8" s="14">
        <v>74361</v>
      </c>
      <c r="AD8" s="14">
        <v>74213</v>
      </c>
      <c r="AE8" s="14">
        <v>75259</v>
      </c>
      <c r="AF8" s="14">
        <v>89276</v>
      </c>
      <c r="AG8" s="14">
        <v>96527</v>
      </c>
      <c r="AH8" s="14">
        <v>105299</v>
      </c>
      <c r="AI8" s="14">
        <v>111887</v>
      </c>
      <c r="AJ8" s="14">
        <v>112170</v>
      </c>
      <c r="AK8" s="14">
        <v>115973</v>
      </c>
      <c r="AL8" s="14">
        <v>123898</v>
      </c>
      <c r="AM8" s="14">
        <v>134381</v>
      </c>
      <c r="AN8" s="14">
        <v>143582</v>
      </c>
      <c r="AO8" s="14">
        <v>155326</v>
      </c>
      <c r="AP8" s="14">
        <v>159860</v>
      </c>
      <c r="AQ8" s="14">
        <v>151348</v>
      </c>
      <c r="AR8" s="14">
        <v>152420</v>
      </c>
      <c r="AS8" s="14">
        <v>157594</v>
      </c>
      <c r="AT8" s="14">
        <v>153730</v>
      </c>
      <c r="AU8" s="14">
        <v>158986</v>
      </c>
      <c r="AV8" s="14">
        <v>162609</v>
      </c>
      <c r="AW8" s="14">
        <v>171392</v>
      </c>
      <c r="AX8" s="14">
        <v>178455</v>
      </c>
      <c r="AY8" s="14">
        <v>188174</v>
      </c>
      <c r="AZ8" s="14">
        <v>194691</v>
      </c>
      <c r="BA8" s="14">
        <v>199912</v>
      </c>
      <c r="BB8" s="14">
        <v>199452</v>
      </c>
      <c r="BC8" s="14">
        <v>228516</v>
      </c>
      <c r="BD8" s="14">
        <v>253907</v>
      </c>
      <c r="BE8" s="14">
        <v>282621.7</v>
      </c>
      <c r="BF8" s="15">
        <v>305790.09999999998</v>
      </c>
      <c r="BG8" s="15">
        <v>325753.3</v>
      </c>
      <c r="BH8" s="15">
        <v>344511.8</v>
      </c>
      <c r="BI8" s="15">
        <v>365114.7</v>
      </c>
      <c r="BJ8" s="15">
        <v>385778.2</v>
      </c>
      <c r="BK8" s="15">
        <v>403236.4</v>
      </c>
      <c r="BL8" s="15">
        <v>417619.7</v>
      </c>
      <c r="BM8" s="15">
        <v>432922.3</v>
      </c>
      <c r="BN8" s="15">
        <v>448870.1</v>
      </c>
      <c r="BO8" s="15">
        <v>465069.3</v>
      </c>
      <c r="BP8" s="15">
        <v>481633.4</v>
      </c>
      <c r="BQ8" s="15">
        <v>498745.4</v>
      </c>
      <c r="BR8" s="15">
        <v>516658.8</v>
      </c>
      <c r="BS8" s="15">
        <v>535482.30000000005</v>
      </c>
      <c r="BT8" s="15">
        <v>555126.1</v>
      </c>
      <c r="BU8" s="15">
        <v>575692.80000000005</v>
      </c>
      <c r="BV8" s="15">
        <v>597161.80000000005</v>
      </c>
      <c r="BW8" s="15">
        <v>619477.6</v>
      </c>
      <c r="BX8" s="15">
        <v>642460.4</v>
      </c>
      <c r="BY8" s="15">
        <v>666235.69999999995</v>
      </c>
      <c r="BZ8" s="15">
        <v>690822.1</v>
      </c>
      <c r="CA8" s="15">
        <v>716239</v>
      </c>
      <c r="CB8" s="15">
        <v>742512.5</v>
      </c>
      <c r="CC8" s="15">
        <v>769669.3</v>
      </c>
      <c r="CD8" s="15">
        <v>797738.6</v>
      </c>
      <c r="CE8" s="15">
        <v>826749.8</v>
      </c>
      <c r="CF8" s="15">
        <v>856730.2</v>
      </c>
      <c r="CG8" s="11" t="s">
        <v>335</v>
      </c>
      <c r="CH8" s="11" t="s">
        <v>336</v>
      </c>
      <c r="CI8" s="11" t="s">
        <v>338</v>
      </c>
      <c r="CJ8" s="11" t="s">
        <v>338</v>
      </c>
      <c r="CK8" s="11" t="s">
        <v>339</v>
      </c>
      <c r="CL8" s="11" t="s">
        <v>349</v>
      </c>
      <c r="CM8" s="11" t="s">
        <v>338</v>
      </c>
      <c r="CN8" s="11" t="s">
        <v>523</v>
      </c>
      <c r="CO8" s="11" t="s">
        <v>524</v>
      </c>
      <c r="CP8" s="11" t="s">
        <v>343</v>
      </c>
      <c r="CQ8" s="11" t="s">
        <v>525</v>
      </c>
      <c r="CR8" s="13" t="s">
        <v>659</v>
      </c>
      <c r="CT8" s="17"/>
    </row>
    <row r="9" spans="1:98" x14ac:dyDescent="0.35">
      <c r="A9" s="11" t="s">
        <v>330</v>
      </c>
      <c r="B9" s="11" t="s">
        <v>526</v>
      </c>
      <c r="C9" s="13" t="s">
        <v>658</v>
      </c>
      <c r="D9" s="11" t="s">
        <v>332</v>
      </c>
      <c r="E9" s="11" t="s">
        <v>333</v>
      </c>
      <c r="F9" s="11" t="s">
        <v>334</v>
      </c>
      <c r="G9" s="14">
        <v>1988.171</v>
      </c>
      <c r="H9" s="14">
        <v>2332.3789999999999</v>
      </c>
      <c r="I9" s="14">
        <v>2935.27</v>
      </c>
      <c r="J9" s="14">
        <v>3544.4969999999998</v>
      </c>
      <c r="K9" s="14">
        <v>4021.7429999999999</v>
      </c>
      <c r="L9" s="14">
        <v>4257.1980000000003</v>
      </c>
      <c r="M9" s="14">
        <v>4895.9880000000003</v>
      </c>
      <c r="N9" s="14">
        <v>6048.98</v>
      </c>
      <c r="O9" s="14">
        <v>7498.6660000000002</v>
      </c>
      <c r="P9" s="14">
        <v>9239.7659999999996</v>
      </c>
      <c r="Q9" s="14">
        <v>10816.16</v>
      </c>
      <c r="R9" s="14">
        <v>11670.34</v>
      </c>
      <c r="S9" s="14">
        <v>12633.28</v>
      </c>
      <c r="T9" s="14">
        <v>13330.14</v>
      </c>
      <c r="U9" s="14">
        <v>14539</v>
      </c>
      <c r="V9" s="14">
        <v>15941</v>
      </c>
      <c r="W9" s="14">
        <v>16732</v>
      </c>
      <c r="X9" s="14">
        <v>16087</v>
      </c>
      <c r="Y9" s="14">
        <v>16809</v>
      </c>
      <c r="Z9" s="14">
        <v>17345</v>
      </c>
      <c r="AA9" s="14">
        <v>18236</v>
      </c>
      <c r="AB9" s="14">
        <v>20640</v>
      </c>
      <c r="AC9" s="14">
        <v>22139</v>
      </c>
      <c r="AD9" s="14">
        <v>22935</v>
      </c>
      <c r="AE9" s="14">
        <v>25451</v>
      </c>
      <c r="AF9" s="14">
        <v>26412</v>
      </c>
      <c r="AG9" s="14">
        <v>28043</v>
      </c>
      <c r="AH9" s="14">
        <v>29184</v>
      </c>
      <c r="AI9" s="14">
        <v>31509</v>
      </c>
      <c r="AJ9" s="14">
        <v>32332</v>
      </c>
      <c r="AK9" s="14">
        <v>38095</v>
      </c>
      <c r="AL9" s="14">
        <v>41782</v>
      </c>
      <c r="AM9" s="14">
        <v>44252</v>
      </c>
      <c r="AN9" s="14">
        <v>46524</v>
      </c>
      <c r="AO9" s="14">
        <v>46150</v>
      </c>
      <c r="AP9" s="14">
        <v>47871</v>
      </c>
      <c r="AQ9" s="14">
        <v>46193</v>
      </c>
      <c r="AR9" s="14">
        <v>47029</v>
      </c>
      <c r="AS9" s="14">
        <v>49399</v>
      </c>
      <c r="AT9" s="14">
        <v>49960</v>
      </c>
      <c r="AU9" s="14">
        <v>51670</v>
      </c>
      <c r="AV9" s="14">
        <v>53315</v>
      </c>
      <c r="AW9" s="14">
        <v>55969</v>
      </c>
      <c r="AX9" s="14">
        <v>59056</v>
      </c>
      <c r="AY9" s="14">
        <v>62484</v>
      </c>
      <c r="AZ9" s="14">
        <v>64888</v>
      </c>
      <c r="BA9" s="14">
        <v>70534</v>
      </c>
      <c r="BB9" s="14">
        <v>70370</v>
      </c>
      <c r="BC9" s="14">
        <v>74968</v>
      </c>
      <c r="BD9" s="14">
        <v>81830</v>
      </c>
      <c r="BE9" s="14">
        <v>81058.78</v>
      </c>
      <c r="BF9" s="15">
        <v>76020.479999999996</v>
      </c>
      <c r="BG9" s="15">
        <v>78370.09</v>
      </c>
      <c r="BH9" s="15">
        <v>81649.38</v>
      </c>
      <c r="BI9" s="15">
        <v>85592.84</v>
      </c>
      <c r="BJ9" s="15">
        <v>89130.38</v>
      </c>
      <c r="BK9" s="15">
        <v>92453.22</v>
      </c>
      <c r="BL9" s="15">
        <v>95740.87</v>
      </c>
      <c r="BM9" s="15">
        <v>99154.63</v>
      </c>
      <c r="BN9" s="15">
        <v>102674.7</v>
      </c>
      <c r="BO9" s="15">
        <v>106252.1</v>
      </c>
      <c r="BP9" s="15">
        <v>109926.1</v>
      </c>
      <c r="BQ9" s="15">
        <v>113732.6</v>
      </c>
      <c r="BR9" s="15">
        <v>117721.60000000001</v>
      </c>
      <c r="BS9" s="15">
        <v>121888.2</v>
      </c>
      <c r="BT9" s="15">
        <v>126229.9</v>
      </c>
      <c r="BU9" s="15">
        <v>130766.5</v>
      </c>
      <c r="BV9" s="15">
        <v>135481.20000000001</v>
      </c>
      <c r="BW9" s="15">
        <v>140338.20000000001</v>
      </c>
      <c r="BX9" s="15">
        <v>145352.9</v>
      </c>
      <c r="BY9" s="15">
        <v>150540.6</v>
      </c>
      <c r="BZ9" s="15">
        <v>155904.4</v>
      </c>
      <c r="CA9" s="15">
        <v>161448.79999999999</v>
      </c>
      <c r="CB9" s="15">
        <v>167179.4</v>
      </c>
      <c r="CC9" s="15">
        <v>173102.3</v>
      </c>
      <c r="CD9" s="15">
        <v>179223.6</v>
      </c>
      <c r="CE9" s="15">
        <v>185550</v>
      </c>
      <c r="CF9" s="15">
        <v>192087.5</v>
      </c>
      <c r="CG9" s="11" t="s">
        <v>335</v>
      </c>
      <c r="CH9" s="11" t="s">
        <v>336</v>
      </c>
      <c r="CI9" s="11" t="s">
        <v>338</v>
      </c>
      <c r="CJ9" s="11" t="s">
        <v>338</v>
      </c>
      <c r="CK9" s="11" t="s">
        <v>339</v>
      </c>
      <c r="CL9" s="11" t="s">
        <v>349</v>
      </c>
      <c r="CM9" s="11" t="s">
        <v>338</v>
      </c>
      <c r="CN9" s="13" t="s">
        <v>527</v>
      </c>
      <c r="CO9" s="11" t="s">
        <v>528</v>
      </c>
      <c r="CP9" s="11" t="s">
        <v>343</v>
      </c>
      <c r="CQ9" s="11" t="s">
        <v>529</v>
      </c>
      <c r="CR9" s="13" t="s">
        <v>659</v>
      </c>
      <c r="CT9" s="17"/>
    </row>
    <row r="10" spans="1:98" x14ac:dyDescent="0.35">
      <c r="A10" s="11" t="s">
        <v>330</v>
      </c>
      <c r="B10" s="11" t="s">
        <v>530</v>
      </c>
      <c r="C10" s="13" t="s">
        <v>658</v>
      </c>
      <c r="D10" s="11" t="s">
        <v>628</v>
      </c>
      <c r="E10" s="11" t="s">
        <v>338</v>
      </c>
      <c r="F10" s="11" t="s">
        <v>334</v>
      </c>
      <c r="G10" s="14">
        <v>10.60624</v>
      </c>
      <c r="H10" s="14">
        <v>12.54654</v>
      </c>
      <c r="I10" s="14">
        <v>15.48086</v>
      </c>
      <c r="J10" s="14">
        <v>18.026679999999999</v>
      </c>
      <c r="K10" s="14">
        <v>20.745059999999999</v>
      </c>
      <c r="L10" s="14">
        <v>22.821459999999998</v>
      </c>
      <c r="M10" s="14">
        <v>25.969390000000001</v>
      </c>
      <c r="N10" s="14">
        <v>30.355029999999999</v>
      </c>
      <c r="O10" s="14">
        <v>34.106720000000003</v>
      </c>
      <c r="P10" s="14">
        <v>37.254219999999997</v>
      </c>
      <c r="Q10" s="14">
        <v>39.421100000000003</v>
      </c>
      <c r="R10" s="14">
        <v>41.516489999999997</v>
      </c>
      <c r="S10" s="14">
        <v>43.2333</v>
      </c>
      <c r="T10" s="14">
        <v>45.00638</v>
      </c>
      <c r="U10" s="14">
        <v>46.958669999999998</v>
      </c>
      <c r="V10" s="14">
        <v>49.315049999999999</v>
      </c>
      <c r="W10" s="14">
        <v>52.019159999999999</v>
      </c>
      <c r="X10" s="14">
        <v>55.985590000000002</v>
      </c>
      <c r="Y10" s="14">
        <v>60.29027</v>
      </c>
      <c r="Z10" s="14">
        <v>62.768259999999998</v>
      </c>
      <c r="AA10" s="14">
        <v>64.749039999999994</v>
      </c>
      <c r="AB10" s="14">
        <v>65.851929999999996</v>
      </c>
      <c r="AC10" s="14">
        <v>67.788640000000001</v>
      </c>
      <c r="AD10" s="14">
        <v>70.088589999999996</v>
      </c>
      <c r="AE10" s="14">
        <v>71.528679999999994</v>
      </c>
      <c r="AF10" s="14">
        <v>72.484189999999998</v>
      </c>
      <c r="AG10" s="14">
        <v>72.954790000000003</v>
      </c>
      <c r="AH10" s="14">
        <v>73.054919999999996</v>
      </c>
      <c r="AI10" s="14">
        <v>73.601849999999999</v>
      </c>
      <c r="AJ10" s="14">
        <v>74.068619999999996</v>
      </c>
      <c r="AK10" s="14">
        <v>74.989009999999993</v>
      </c>
      <c r="AL10" s="14">
        <v>76.383399999999995</v>
      </c>
      <c r="AM10" s="14">
        <v>77.778729999999996</v>
      </c>
      <c r="AN10" s="14">
        <v>80.080759999999998</v>
      </c>
      <c r="AO10" s="14">
        <v>81.190579999999997</v>
      </c>
      <c r="AP10" s="14">
        <v>84.437839999999994</v>
      </c>
      <c r="AQ10" s="14">
        <v>85.121629999999996</v>
      </c>
      <c r="AR10" s="14">
        <v>85.910420000000002</v>
      </c>
      <c r="AS10" s="14">
        <v>89.341049999999996</v>
      </c>
      <c r="AT10" s="14">
        <v>90.837100000000007</v>
      </c>
      <c r="AU10" s="14">
        <v>92.856070000000003</v>
      </c>
      <c r="AV10" s="14">
        <v>93.923580000000001</v>
      </c>
      <c r="AW10" s="14">
        <v>93.576769999999996</v>
      </c>
      <c r="AX10" s="14">
        <v>94.760909999999996</v>
      </c>
      <c r="AY10" s="14">
        <v>96.519199999999998</v>
      </c>
      <c r="AZ10" s="14">
        <v>98.551439999999999</v>
      </c>
      <c r="BA10" s="14">
        <v>99.999859999999998</v>
      </c>
      <c r="BB10" s="14">
        <v>100.1557</v>
      </c>
      <c r="BC10" s="14">
        <v>102.5639</v>
      </c>
      <c r="BD10" s="14">
        <v>111.1069</v>
      </c>
      <c r="BE10" s="14">
        <v>119.0202</v>
      </c>
      <c r="BF10" s="15">
        <v>121.60129999999999</v>
      </c>
      <c r="BG10" s="15">
        <v>124.16030000000001</v>
      </c>
      <c r="BH10" s="15">
        <v>126.89060000000001</v>
      </c>
      <c r="BI10" s="15">
        <v>129.58430000000001</v>
      </c>
      <c r="BJ10" s="15">
        <v>132.27010000000001</v>
      </c>
      <c r="BK10" s="15">
        <v>134.91489999999999</v>
      </c>
      <c r="BL10" s="15">
        <v>137.61269999999999</v>
      </c>
      <c r="BM10" s="15">
        <v>140.36439999999999</v>
      </c>
      <c r="BN10" s="15">
        <v>143.1712</v>
      </c>
      <c r="BO10" s="15">
        <v>146.0341</v>
      </c>
      <c r="BP10" s="15">
        <v>148.95419999999999</v>
      </c>
      <c r="BQ10" s="15">
        <v>151.93279999999999</v>
      </c>
      <c r="BR10" s="15">
        <v>154.9708</v>
      </c>
      <c r="BS10" s="15">
        <v>158.06960000000001</v>
      </c>
      <c r="BT10" s="15">
        <v>161.23050000000001</v>
      </c>
      <c r="BU10" s="15">
        <v>164.4545</v>
      </c>
      <c r="BV10" s="15">
        <v>167.74289999999999</v>
      </c>
      <c r="BW10" s="15">
        <v>171.09710000000001</v>
      </c>
      <c r="BX10" s="15">
        <v>174.51840000000001</v>
      </c>
      <c r="BY10" s="15">
        <v>178.00810000000001</v>
      </c>
      <c r="BZ10" s="15">
        <v>181.5676</v>
      </c>
      <c r="CA10" s="15">
        <v>185.19829999999999</v>
      </c>
      <c r="CB10" s="15">
        <v>188.9016</v>
      </c>
      <c r="CC10" s="15">
        <v>192.6789</v>
      </c>
      <c r="CD10" s="15">
        <v>196.5317</v>
      </c>
      <c r="CE10" s="15">
        <v>200.46170000000001</v>
      </c>
      <c r="CF10" s="15">
        <v>204.4701</v>
      </c>
      <c r="CG10" s="11" t="s">
        <v>335</v>
      </c>
      <c r="CH10" s="11" t="s">
        <v>336</v>
      </c>
      <c r="CI10" s="11" t="s">
        <v>338</v>
      </c>
      <c r="CJ10" s="11" t="s">
        <v>476</v>
      </c>
      <c r="CK10" s="11" t="s">
        <v>339</v>
      </c>
      <c r="CL10" s="11" t="s">
        <v>623</v>
      </c>
      <c r="CM10" s="11" t="s">
        <v>338</v>
      </c>
      <c r="CN10" s="13" t="s">
        <v>531</v>
      </c>
      <c r="CO10" s="11" t="s">
        <v>338</v>
      </c>
      <c r="CP10" s="11" t="s">
        <v>343</v>
      </c>
      <c r="CQ10" s="11" t="s">
        <v>532</v>
      </c>
      <c r="CR10" s="13" t="s">
        <v>659</v>
      </c>
      <c r="CT10" s="17"/>
    </row>
    <row r="11" spans="1:98" x14ac:dyDescent="0.35">
      <c r="A11" s="11" t="s">
        <v>330</v>
      </c>
      <c r="B11" s="11" t="s">
        <v>533</v>
      </c>
      <c r="C11" s="13" t="s">
        <v>658</v>
      </c>
      <c r="D11" s="11" t="s">
        <v>332</v>
      </c>
      <c r="E11" s="11" t="s">
        <v>333</v>
      </c>
      <c r="F11" s="11" t="s">
        <v>334</v>
      </c>
      <c r="G11" s="14">
        <v>503227</v>
      </c>
      <c r="H11" s="14">
        <v>498962</v>
      </c>
      <c r="I11" s="14">
        <v>503184</v>
      </c>
      <c r="J11" s="14">
        <v>502498</v>
      </c>
      <c r="K11" s="14">
        <v>493340</v>
      </c>
      <c r="L11" s="14">
        <v>529362</v>
      </c>
      <c r="M11" s="14">
        <v>561042</v>
      </c>
      <c r="N11" s="14">
        <v>570413</v>
      </c>
      <c r="O11" s="14">
        <v>570012</v>
      </c>
      <c r="P11" s="14">
        <v>572403</v>
      </c>
      <c r="Q11" s="14">
        <v>585188</v>
      </c>
      <c r="R11" s="14">
        <v>606564</v>
      </c>
      <c r="S11" s="14">
        <v>632108</v>
      </c>
      <c r="T11" s="14">
        <v>658109</v>
      </c>
      <c r="U11" s="14">
        <v>666578</v>
      </c>
      <c r="V11" s="14">
        <v>702707</v>
      </c>
      <c r="W11" s="14">
        <v>739256</v>
      </c>
      <c r="X11" s="14">
        <v>768241</v>
      </c>
      <c r="Y11" s="14">
        <v>783935</v>
      </c>
      <c r="Z11" s="14">
        <v>805079</v>
      </c>
      <c r="AA11" s="14">
        <v>826269</v>
      </c>
      <c r="AB11" s="14">
        <v>841512</v>
      </c>
      <c r="AC11" s="14">
        <v>866670</v>
      </c>
      <c r="AD11" s="14">
        <v>889788</v>
      </c>
      <c r="AE11" s="14">
        <v>906185</v>
      </c>
      <c r="AF11" s="14">
        <v>914541</v>
      </c>
      <c r="AG11" s="14">
        <v>954373</v>
      </c>
      <c r="AH11" s="14">
        <v>1007923</v>
      </c>
      <c r="AI11" s="14">
        <v>1043458</v>
      </c>
      <c r="AJ11" s="14">
        <v>1069393</v>
      </c>
      <c r="AK11" s="14">
        <v>1092893</v>
      </c>
      <c r="AL11" s="14">
        <v>1123852</v>
      </c>
      <c r="AM11" s="14">
        <v>1151738</v>
      </c>
      <c r="AN11" s="14">
        <v>1172098</v>
      </c>
      <c r="AO11" s="14">
        <v>1217592</v>
      </c>
      <c r="AP11" s="14">
        <v>1211479</v>
      </c>
      <c r="AQ11" s="14">
        <v>1230480</v>
      </c>
      <c r="AR11" s="14">
        <v>1242289</v>
      </c>
      <c r="AS11" s="14">
        <v>1213809</v>
      </c>
      <c r="AT11" s="14">
        <v>1243542</v>
      </c>
      <c r="AU11" s="14">
        <v>1266901</v>
      </c>
      <c r="AV11" s="14">
        <v>1295581</v>
      </c>
      <c r="AW11" s="14">
        <v>1374089</v>
      </c>
      <c r="AX11" s="14">
        <v>1383649</v>
      </c>
      <c r="AY11" s="14">
        <v>1395921</v>
      </c>
      <c r="AZ11" s="14">
        <v>1423525</v>
      </c>
      <c r="BA11" s="14">
        <v>1452962</v>
      </c>
      <c r="BB11" s="14">
        <v>1445544</v>
      </c>
      <c r="BC11" s="14">
        <v>1466109</v>
      </c>
      <c r="BD11" s="14">
        <v>1445980</v>
      </c>
      <c r="BE11" s="14">
        <v>1470968</v>
      </c>
      <c r="BF11" s="15">
        <v>1486460</v>
      </c>
      <c r="BG11" s="15">
        <v>1515218</v>
      </c>
      <c r="BH11" s="15">
        <v>1544224</v>
      </c>
      <c r="BI11" s="15">
        <v>1570206</v>
      </c>
      <c r="BJ11" s="15">
        <v>1598263</v>
      </c>
      <c r="BK11" s="15">
        <v>1624157</v>
      </c>
      <c r="BL11" s="15">
        <v>1649225</v>
      </c>
      <c r="BM11" s="15">
        <v>1674750</v>
      </c>
      <c r="BN11" s="15">
        <v>1700572</v>
      </c>
      <c r="BO11" s="15">
        <v>1725394</v>
      </c>
      <c r="BP11" s="15">
        <v>1749685</v>
      </c>
      <c r="BQ11" s="15">
        <v>1774056</v>
      </c>
      <c r="BR11" s="15">
        <v>1799366</v>
      </c>
      <c r="BS11" s="15">
        <v>1825803</v>
      </c>
      <c r="BT11" s="15">
        <v>1853029</v>
      </c>
      <c r="BU11" s="15">
        <v>1881241</v>
      </c>
      <c r="BV11" s="15">
        <v>1910286</v>
      </c>
      <c r="BW11" s="15">
        <v>1939843</v>
      </c>
      <c r="BX11" s="15">
        <v>1969435</v>
      </c>
      <c r="BY11" s="15">
        <v>1999381</v>
      </c>
      <c r="BZ11" s="15">
        <v>2029663</v>
      </c>
      <c r="CA11" s="15">
        <v>2060269</v>
      </c>
      <c r="CB11" s="15">
        <v>2091201</v>
      </c>
      <c r="CC11" s="15">
        <v>2122461</v>
      </c>
      <c r="CD11" s="15">
        <v>2154055</v>
      </c>
      <c r="CE11" s="15">
        <v>2185985</v>
      </c>
      <c r="CF11" s="15">
        <v>2218248</v>
      </c>
      <c r="CG11" s="11" t="s">
        <v>335</v>
      </c>
      <c r="CH11" s="11" t="s">
        <v>336</v>
      </c>
      <c r="CI11" s="13" t="s">
        <v>337</v>
      </c>
      <c r="CJ11" s="11" t="s">
        <v>338</v>
      </c>
      <c r="CK11" s="11" t="s">
        <v>339</v>
      </c>
      <c r="CL11" s="11" t="s">
        <v>349</v>
      </c>
      <c r="CM11" s="11" t="s">
        <v>338</v>
      </c>
      <c r="CN11" s="11" t="s">
        <v>534</v>
      </c>
      <c r="CO11" s="13" t="s">
        <v>535</v>
      </c>
      <c r="CP11" s="11" t="s">
        <v>343</v>
      </c>
      <c r="CQ11" s="11" t="s">
        <v>536</v>
      </c>
      <c r="CR11" s="13" t="s">
        <v>659</v>
      </c>
      <c r="CT11" s="17"/>
    </row>
    <row r="12" spans="1:98" x14ac:dyDescent="0.35">
      <c r="A12" s="11" t="s">
        <v>330</v>
      </c>
      <c r="B12" s="11" t="s">
        <v>551</v>
      </c>
      <c r="C12" s="13" t="s">
        <v>658</v>
      </c>
      <c r="D12" s="11" t="s">
        <v>332</v>
      </c>
      <c r="E12" s="11" t="s">
        <v>333</v>
      </c>
      <c r="F12" s="11" t="s">
        <v>334</v>
      </c>
      <c r="G12" s="14">
        <v>48988</v>
      </c>
      <c r="H12" s="14">
        <v>57233</v>
      </c>
      <c r="I12" s="14">
        <v>70474</v>
      </c>
      <c r="J12" s="14">
        <v>82570</v>
      </c>
      <c r="K12" s="14">
        <v>94811</v>
      </c>
      <c r="L12" s="14">
        <v>109917</v>
      </c>
      <c r="M12" s="14">
        <v>130985</v>
      </c>
      <c r="N12" s="14">
        <v>153233</v>
      </c>
      <c r="O12" s="14">
        <v>172721</v>
      </c>
      <c r="P12" s="14">
        <v>190883</v>
      </c>
      <c r="Q12" s="14">
        <v>210722</v>
      </c>
      <c r="R12" s="14">
        <v>227316</v>
      </c>
      <c r="S12" s="14">
        <v>248664</v>
      </c>
      <c r="T12" s="14">
        <v>274186</v>
      </c>
      <c r="U12" s="14">
        <v>301124</v>
      </c>
      <c r="V12" s="14">
        <v>338673</v>
      </c>
      <c r="W12" s="14">
        <v>370725</v>
      </c>
      <c r="X12" s="14">
        <v>404573</v>
      </c>
      <c r="Y12" s="14">
        <v>431907</v>
      </c>
      <c r="Z12" s="14">
        <v>454001</v>
      </c>
      <c r="AA12" s="14">
        <v>481553</v>
      </c>
      <c r="AB12" s="14">
        <v>505649</v>
      </c>
      <c r="AC12" s="14">
        <v>531475</v>
      </c>
      <c r="AD12" s="14">
        <v>569993</v>
      </c>
      <c r="AE12" s="14">
        <v>610414</v>
      </c>
      <c r="AF12" s="14">
        <v>644608</v>
      </c>
      <c r="AG12" s="14">
        <v>676602</v>
      </c>
      <c r="AH12" s="14">
        <v>709394</v>
      </c>
      <c r="AI12" s="14">
        <v>737854</v>
      </c>
      <c r="AJ12" s="14">
        <v>762175</v>
      </c>
      <c r="AK12" s="14">
        <v>797482</v>
      </c>
      <c r="AL12" s="14">
        <v>834786</v>
      </c>
      <c r="AM12" s="14">
        <v>874142</v>
      </c>
      <c r="AN12" s="14">
        <v>907535</v>
      </c>
      <c r="AO12" s="14">
        <v>951491</v>
      </c>
      <c r="AP12" s="14">
        <v>981077</v>
      </c>
      <c r="AQ12" s="14">
        <v>957048</v>
      </c>
      <c r="AR12" s="14">
        <v>987020</v>
      </c>
      <c r="AS12" s="14">
        <v>1022611</v>
      </c>
      <c r="AT12" s="14">
        <v>1058134</v>
      </c>
      <c r="AU12" s="14">
        <v>1112232</v>
      </c>
      <c r="AV12" s="14">
        <v>1158972</v>
      </c>
      <c r="AW12" s="14">
        <v>1188031</v>
      </c>
      <c r="AX12" s="14">
        <v>1249345</v>
      </c>
      <c r="AY12" s="14">
        <v>1294569</v>
      </c>
      <c r="AZ12" s="14">
        <v>1343731</v>
      </c>
      <c r="BA12" s="14">
        <v>1378649</v>
      </c>
      <c r="BB12" s="14">
        <v>1201787</v>
      </c>
      <c r="BC12" s="14">
        <v>1322966</v>
      </c>
      <c r="BD12" s="14">
        <v>1500399</v>
      </c>
      <c r="BE12" s="14">
        <v>1612540</v>
      </c>
      <c r="BF12" s="15">
        <v>1657450</v>
      </c>
      <c r="BG12" s="15">
        <v>1729171</v>
      </c>
      <c r="BH12" s="15">
        <v>1806587</v>
      </c>
      <c r="BI12" s="15">
        <v>1878632</v>
      </c>
      <c r="BJ12" s="15">
        <v>1951187</v>
      </c>
      <c r="BK12" s="15">
        <v>2022065</v>
      </c>
      <c r="BL12" s="15">
        <v>2093506</v>
      </c>
      <c r="BM12" s="15">
        <v>2167566</v>
      </c>
      <c r="BN12" s="15">
        <v>2244062</v>
      </c>
      <c r="BO12" s="15">
        <v>2321842</v>
      </c>
      <c r="BP12" s="15">
        <v>2401627</v>
      </c>
      <c r="BQ12" s="15">
        <v>2484157</v>
      </c>
      <c r="BR12" s="15">
        <v>2570556</v>
      </c>
      <c r="BS12" s="15">
        <v>2660534</v>
      </c>
      <c r="BT12" s="15">
        <v>2754498</v>
      </c>
      <c r="BU12" s="15">
        <v>2852438</v>
      </c>
      <c r="BV12" s="15">
        <v>2954604</v>
      </c>
      <c r="BW12" s="15">
        <v>3060075</v>
      </c>
      <c r="BX12" s="15">
        <v>3168842</v>
      </c>
      <c r="BY12" s="15">
        <v>3281309</v>
      </c>
      <c r="BZ12" s="15">
        <v>3397560</v>
      </c>
      <c r="CA12" s="15">
        <v>3517700</v>
      </c>
      <c r="CB12" s="15">
        <v>3641851</v>
      </c>
      <c r="CC12" s="15">
        <v>3770144</v>
      </c>
      <c r="CD12" s="15">
        <v>3902717</v>
      </c>
      <c r="CE12" s="15">
        <v>4039702</v>
      </c>
      <c r="CF12" s="15">
        <v>4181229</v>
      </c>
      <c r="CG12" s="11" t="s">
        <v>335</v>
      </c>
      <c r="CH12" s="11" t="s">
        <v>336</v>
      </c>
      <c r="CI12" s="11" t="s">
        <v>338</v>
      </c>
      <c r="CJ12" s="11" t="s">
        <v>338</v>
      </c>
      <c r="CK12" s="11" t="s">
        <v>339</v>
      </c>
      <c r="CL12" s="11" t="s">
        <v>623</v>
      </c>
      <c r="CM12" s="11" t="s">
        <v>338</v>
      </c>
      <c r="CN12" s="11" t="s">
        <v>552</v>
      </c>
      <c r="CO12" s="11" t="s">
        <v>553</v>
      </c>
      <c r="CP12" s="11" t="s">
        <v>343</v>
      </c>
      <c r="CQ12" s="11" t="s">
        <v>554</v>
      </c>
      <c r="CR12" s="13" t="s">
        <v>659</v>
      </c>
      <c r="CT12" s="17"/>
    </row>
    <row r="13" spans="1:98" x14ac:dyDescent="0.35">
      <c r="A13" s="11" t="s">
        <v>330</v>
      </c>
      <c r="B13" s="13" t="s">
        <v>555</v>
      </c>
      <c r="C13" s="13" t="s">
        <v>658</v>
      </c>
      <c r="D13" s="11" t="s">
        <v>332</v>
      </c>
      <c r="E13" s="11" t="s">
        <v>333</v>
      </c>
      <c r="F13" s="11" t="s">
        <v>334</v>
      </c>
      <c r="G13" s="14">
        <v>758</v>
      </c>
      <c r="H13" s="14">
        <v>929</v>
      </c>
      <c r="I13" s="14">
        <v>1166</v>
      </c>
      <c r="J13" s="14">
        <v>1422</v>
      </c>
      <c r="K13" s="14">
        <v>1570</v>
      </c>
      <c r="L13" s="14">
        <v>1702</v>
      </c>
      <c r="M13" s="14">
        <v>1952</v>
      </c>
      <c r="N13" s="14">
        <v>2429</v>
      </c>
      <c r="O13" s="14">
        <v>2836</v>
      </c>
      <c r="P13" s="14">
        <v>3162</v>
      </c>
      <c r="Q13" s="14">
        <v>3539</v>
      </c>
      <c r="R13" s="14">
        <v>3940</v>
      </c>
      <c r="S13" s="14">
        <v>4414</v>
      </c>
      <c r="T13" s="14">
        <v>5071</v>
      </c>
      <c r="U13" s="14">
        <v>5726</v>
      </c>
      <c r="V13" s="14">
        <v>6482</v>
      </c>
      <c r="W13" s="14">
        <v>7446</v>
      </c>
      <c r="X13" s="14">
        <v>8293</v>
      </c>
      <c r="Y13" s="14">
        <v>7649</v>
      </c>
      <c r="Z13" s="14">
        <v>7290</v>
      </c>
      <c r="AA13" s="14">
        <v>9537</v>
      </c>
      <c r="AB13" s="14">
        <v>10127</v>
      </c>
      <c r="AC13" s="14">
        <v>11206</v>
      </c>
      <c r="AD13" s="14">
        <v>12796</v>
      </c>
      <c r="AE13" s="14">
        <v>15555</v>
      </c>
      <c r="AF13" s="14">
        <v>16192</v>
      </c>
      <c r="AG13" s="14">
        <v>17134</v>
      </c>
      <c r="AH13" s="14">
        <v>18671</v>
      </c>
      <c r="AI13" s="14">
        <v>20503</v>
      </c>
      <c r="AJ13" s="14">
        <v>22597</v>
      </c>
      <c r="AK13" s="14">
        <v>24835</v>
      </c>
      <c r="AL13" s="14">
        <v>26685</v>
      </c>
      <c r="AM13" s="14">
        <v>28683</v>
      </c>
      <c r="AN13" s="14">
        <v>30335</v>
      </c>
      <c r="AO13" s="14">
        <v>31108</v>
      </c>
      <c r="AP13" s="14">
        <v>34245</v>
      </c>
      <c r="AQ13" s="14">
        <v>38616</v>
      </c>
      <c r="AR13" s="14">
        <v>40096</v>
      </c>
      <c r="AS13" s="14">
        <v>40855</v>
      </c>
      <c r="AT13" s="14">
        <v>41917</v>
      </c>
      <c r="AU13" s="14">
        <v>40860</v>
      </c>
      <c r="AV13" s="14">
        <v>39713</v>
      </c>
      <c r="AW13" s="14">
        <v>40294</v>
      </c>
      <c r="AX13" s="14">
        <v>40100</v>
      </c>
      <c r="AY13" s="14">
        <v>42352</v>
      </c>
      <c r="AZ13" s="14">
        <v>47942</v>
      </c>
      <c r="BA13" s="14">
        <v>49291</v>
      </c>
      <c r="BB13" s="14">
        <v>44286</v>
      </c>
      <c r="BC13" s="14">
        <v>46370</v>
      </c>
      <c r="BD13" s="14">
        <v>49867</v>
      </c>
      <c r="BE13" s="14">
        <v>52853</v>
      </c>
      <c r="BF13" s="15">
        <v>54819.77</v>
      </c>
      <c r="BG13" s="15">
        <v>57380.93</v>
      </c>
      <c r="BH13" s="15">
        <v>60138</v>
      </c>
      <c r="BI13" s="15">
        <v>62702.23</v>
      </c>
      <c r="BJ13" s="15">
        <v>65284.32</v>
      </c>
      <c r="BK13" s="15">
        <v>67806.66</v>
      </c>
      <c r="BL13" s="15">
        <v>70349.02</v>
      </c>
      <c r="BM13" s="15">
        <v>72984.58</v>
      </c>
      <c r="BN13" s="15">
        <v>75706.83</v>
      </c>
      <c r="BO13" s="15">
        <v>78476.88</v>
      </c>
      <c r="BP13" s="15">
        <v>81319.66</v>
      </c>
      <c r="BQ13" s="15">
        <v>84260.35</v>
      </c>
      <c r="BR13" s="15">
        <v>87339.01</v>
      </c>
      <c r="BS13" s="15">
        <v>90545.27</v>
      </c>
      <c r="BT13" s="15">
        <v>93893.69</v>
      </c>
      <c r="BU13" s="15">
        <v>97383.13</v>
      </c>
      <c r="BV13" s="15">
        <v>101012.5</v>
      </c>
      <c r="BW13" s="15">
        <v>104764.4</v>
      </c>
      <c r="BX13" s="15">
        <v>108633.5</v>
      </c>
      <c r="BY13" s="15">
        <v>112634.1</v>
      </c>
      <c r="BZ13" s="15">
        <v>116769.3</v>
      </c>
      <c r="CA13" s="15">
        <v>121042.6</v>
      </c>
      <c r="CB13" s="15">
        <v>125458.6</v>
      </c>
      <c r="CC13" s="15">
        <v>130021.8</v>
      </c>
      <c r="CD13" s="15">
        <v>134737.1</v>
      </c>
      <c r="CE13" s="15">
        <v>139609.20000000001</v>
      </c>
      <c r="CF13" s="15">
        <v>144642.79999999999</v>
      </c>
      <c r="CG13" s="11" t="s">
        <v>335</v>
      </c>
      <c r="CH13" s="11" t="s">
        <v>336</v>
      </c>
      <c r="CI13" s="11" t="s">
        <v>338</v>
      </c>
      <c r="CJ13" s="11" t="s">
        <v>338</v>
      </c>
      <c r="CK13" s="11" t="s">
        <v>339</v>
      </c>
      <c r="CL13" s="11" t="s">
        <v>623</v>
      </c>
      <c r="CM13" s="11" t="s">
        <v>338</v>
      </c>
      <c r="CN13" s="11" t="s">
        <v>556</v>
      </c>
      <c r="CO13" s="11" t="s">
        <v>557</v>
      </c>
      <c r="CP13" s="11" t="s">
        <v>343</v>
      </c>
      <c r="CQ13" s="11" t="s">
        <v>558</v>
      </c>
      <c r="CR13" s="13" t="s">
        <v>659</v>
      </c>
      <c r="CT13" s="17"/>
    </row>
    <row r="14" spans="1:98" x14ac:dyDescent="0.35">
      <c r="A14" s="11" t="s">
        <v>330</v>
      </c>
      <c r="B14" s="11" t="s">
        <v>559</v>
      </c>
      <c r="C14" s="13" t="s">
        <v>658</v>
      </c>
      <c r="D14" s="11" t="s">
        <v>332</v>
      </c>
      <c r="E14" s="11" t="s">
        <v>333</v>
      </c>
      <c r="F14" s="11" t="s">
        <v>334</v>
      </c>
      <c r="G14" s="14">
        <v>461905</v>
      </c>
      <c r="H14" s="14">
        <v>456007</v>
      </c>
      <c r="I14" s="14">
        <v>455397</v>
      </c>
      <c r="J14" s="14">
        <v>457926</v>
      </c>
      <c r="K14" s="14">
        <v>456906</v>
      </c>
      <c r="L14" s="14">
        <v>481558</v>
      </c>
      <c r="M14" s="14">
        <v>504380</v>
      </c>
      <c r="N14" s="14">
        <v>504992</v>
      </c>
      <c r="O14" s="14">
        <v>506426</v>
      </c>
      <c r="P14" s="14">
        <v>512285</v>
      </c>
      <c r="Q14" s="14">
        <v>534478</v>
      </c>
      <c r="R14" s="14">
        <v>547479</v>
      </c>
      <c r="S14" s="14">
        <v>575061</v>
      </c>
      <c r="T14" s="14">
        <v>609143</v>
      </c>
      <c r="U14" s="14">
        <v>641086</v>
      </c>
      <c r="V14" s="14">
        <v>686594</v>
      </c>
      <c r="W14" s="14">
        <v>712618</v>
      </c>
      <c r="X14" s="14">
        <v>722670</v>
      </c>
      <c r="Y14" s="14">
        <v>716404</v>
      </c>
      <c r="Z14" s="14">
        <v>723261</v>
      </c>
      <c r="AA14" s="14">
        <v>743665</v>
      </c>
      <c r="AB14" s="14">
        <v>767829</v>
      </c>
      <c r="AC14" s="14">
        <v>783954</v>
      </c>
      <c r="AD14" s="14">
        <v>813173</v>
      </c>
      <c r="AE14" s="14">
        <v>853341</v>
      </c>
      <c r="AF14" s="14">
        <v>889254</v>
      </c>
      <c r="AG14" s="14">
        <v>927454</v>
      </c>
      <c r="AH14" s="14">
        <v>971050</v>
      </c>
      <c r="AI14" s="14">
        <v>1002536</v>
      </c>
      <c r="AJ14" s="14">
        <v>1028983</v>
      </c>
      <c r="AK14" s="14">
        <v>1063424</v>
      </c>
      <c r="AL14" s="14">
        <v>1092834</v>
      </c>
      <c r="AM14" s="14">
        <v>1123830</v>
      </c>
      <c r="AN14" s="14">
        <v>1133245</v>
      </c>
      <c r="AO14" s="14">
        <v>1171806</v>
      </c>
      <c r="AP14" s="14">
        <v>1162090</v>
      </c>
      <c r="AQ14" s="14">
        <v>1124339</v>
      </c>
      <c r="AR14" s="14">
        <v>1148808</v>
      </c>
      <c r="AS14" s="14">
        <v>1144605</v>
      </c>
      <c r="AT14" s="14">
        <v>1164814</v>
      </c>
      <c r="AU14" s="14">
        <v>1197761</v>
      </c>
      <c r="AV14" s="14">
        <v>1233950</v>
      </c>
      <c r="AW14" s="14">
        <v>1269559</v>
      </c>
      <c r="AX14" s="14">
        <v>1318358</v>
      </c>
      <c r="AY14" s="14">
        <v>1341219</v>
      </c>
      <c r="AZ14" s="14">
        <v>1363436</v>
      </c>
      <c r="BA14" s="14">
        <v>1378649</v>
      </c>
      <c r="BB14" s="14">
        <v>1199896</v>
      </c>
      <c r="BC14" s="14">
        <v>1289290</v>
      </c>
      <c r="BD14" s="14">
        <v>1350539</v>
      </c>
      <c r="BE14" s="14">
        <v>1354872</v>
      </c>
      <c r="BF14" s="15">
        <v>1362988</v>
      </c>
      <c r="BG14" s="15">
        <v>1392630</v>
      </c>
      <c r="BH14" s="15">
        <v>1423694</v>
      </c>
      <c r="BI14" s="15">
        <v>1449693</v>
      </c>
      <c r="BJ14" s="15">
        <v>1475116</v>
      </c>
      <c r="BK14" s="15">
        <v>1498735</v>
      </c>
      <c r="BL14" s="15">
        <v>1521267</v>
      </c>
      <c r="BM14" s="15">
        <v>1544205</v>
      </c>
      <c r="BN14" s="15">
        <v>1567362</v>
      </c>
      <c r="BO14" s="15">
        <v>1589897</v>
      </c>
      <c r="BP14" s="15">
        <v>1612291</v>
      </c>
      <c r="BQ14" s="15">
        <v>1635001</v>
      </c>
      <c r="BR14" s="15">
        <v>1658698</v>
      </c>
      <c r="BS14" s="15">
        <v>1683102</v>
      </c>
      <c r="BT14" s="15">
        <v>1708383</v>
      </c>
      <c r="BU14" s="15">
        <v>1734444</v>
      </c>
      <c r="BV14" s="15">
        <v>1761346</v>
      </c>
      <c r="BW14" s="15">
        <v>1788459</v>
      </c>
      <c r="BX14" s="15">
        <v>1815721</v>
      </c>
      <c r="BY14" s="15">
        <v>1843305</v>
      </c>
      <c r="BZ14" s="15">
        <v>1871193</v>
      </c>
      <c r="CA14" s="15">
        <v>1899379</v>
      </c>
      <c r="CB14" s="15">
        <v>1927865</v>
      </c>
      <c r="CC14" s="15">
        <v>1956653</v>
      </c>
      <c r="CD14" s="15">
        <v>1985749</v>
      </c>
      <c r="CE14" s="15">
        <v>2015154</v>
      </c>
      <c r="CF14" s="15">
        <v>2044864</v>
      </c>
      <c r="CG14" s="11" t="s">
        <v>335</v>
      </c>
      <c r="CH14" s="11" t="s">
        <v>336</v>
      </c>
      <c r="CI14" s="13" t="s">
        <v>337</v>
      </c>
      <c r="CJ14" s="11" t="s">
        <v>338</v>
      </c>
      <c r="CK14" s="11" t="s">
        <v>339</v>
      </c>
      <c r="CL14" s="11" t="s">
        <v>623</v>
      </c>
      <c r="CM14" s="11" t="s">
        <v>338</v>
      </c>
      <c r="CN14" s="11" t="s">
        <v>560</v>
      </c>
      <c r="CO14" s="13" t="s">
        <v>561</v>
      </c>
      <c r="CP14" s="11" t="s">
        <v>343</v>
      </c>
      <c r="CQ14" s="11" t="s">
        <v>562</v>
      </c>
      <c r="CR14" s="13" t="s">
        <v>659</v>
      </c>
    </row>
    <row r="15" spans="1:98" x14ac:dyDescent="0.35">
      <c r="A15" s="11" t="s">
        <v>330</v>
      </c>
      <c r="B15" s="13" t="s">
        <v>563</v>
      </c>
      <c r="C15" s="13" t="s">
        <v>658</v>
      </c>
      <c r="D15" s="11" t="s">
        <v>332</v>
      </c>
      <c r="E15" s="11" t="s">
        <v>333</v>
      </c>
      <c r="F15" s="11" t="s">
        <v>334</v>
      </c>
      <c r="G15" s="14">
        <v>14404</v>
      </c>
      <c r="H15" s="14">
        <v>14220</v>
      </c>
      <c r="I15" s="14">
        <v>13971</v>
      </c>
      <c r="J15" s="14">
        <v>14076</v>
      </c>
      <c r="K15" s="14">
        <v>13478</v>
      </c>
      <c r="L15" s="14">
        <v>13811</v>
      </c>
      <c r="M15" s="14">
        <v>14032</v>
      </c>
      <c r="N15" s="14">
        <v>14117</v>
      </c>
      <c r="O15" s="14">
        <v>14870</v>
      </c>
      <c r="P15" s="14">
        <v>15806</v>
      </c>
      <c r="Q15" s="14">
        <v>16555</v>
      </c>
      <c r="R15" s="14">
        <v>17436</v>
      </c>
      <c r="S15" s="14">
        <v>18459</v>
      </c>
      <c r="T15" s="14">
        <v>18406</v>
      </c>
      <c r="U15" s="14">
        <v>19424</v>
      </c>
      <c r="V15" s="14">
        <v>20867</v>
      </c>
      <c r="W15" s="14">
        <v>21449</v>
      </c>
      <c r="X15" s="14">
        <v>22718</v>
      </c>
      <c r="Y15" s="14">
        <v>21983</v>
      </c>
      <c r="Z15" s="14">
        <v>21383</v>
      </c>
      <c r="AA15" s="14">
        <v>24152</v>
      </c>
      <c r="AB15" s="14">
        <v>25248</v>
      </c>
      <c r="AC15" s="14">
        <v>27033</v>
      </c>
      <c r="AD15" s="14">
        <v>28115</v>
      </c>
      <c r="AE15" s="14">
        <v>35509</v>
      </c>
      <c r="AF15" s="14">
        <v>35790</v>
      </c>
      <c r="AG15" s="14">
        <v>36411</v>
      </c>
      <c r="AH15" s="14">
        <v>37788</v>
      </c>
      <c r="AI15" s="14">
        <v>38709</v>
      </c>
      <c r="AJ15" s="14">
        <v>39962</v>
      </c>
      <c r="AK15" s="14">
        <v>41478</v>
      </c>
      <c r="AL15" s="14">
        <v>42808</v>
      </c>
      <c r="AM15" s="14">
        <v>43428</v>
      </c>
      <c r="AN15" s="14">
        <v>42302</v>
      </c>
      <c r="AO15" s="14">
        <v>40906</v>
      </c>
      <c r="AP15" s="14">
        <v>42514</v>
      </c>
      <c r="AQ15" s="14">
        <v>45696</v>
      </c>
      <c r="AR15" s="14">
        <v>46432</v>
      </c>
      <c r="AS15" s="14">
        <v>46665</v>
      </c>
      <c r="AT15" s="14">
        <v>46993</v>
      </c>
      <c r="AU15" s="14">
        <v>44687</v>
      </c>
      <c r="AV15" s="14">
        <v>42147</v>
      </c>
      <c r="AW15" s="14">
        <v>42654</v>
      </c>
      <c r="AX15" s="14">
        <v>42146</v>
      </c>
      <c r="AY15" s="14">
        <v>44159</v>
      </c>
      <c r="AZ15" s="14">
        <v>49164</v>
      </c>
      <c r="BA15" s="14">
        <v>49291</v>
      </c>
      <c r="BB15" s="14">
        <v>39044</v>
      </c>
      <c r="BC15" s="14">
        <v>41815</v>
      </c>
      <c r="BD15" s="14">
        <v>46933</v>
      </c>
      <c r="BE15" s="14">
        <v>47926</v>
      </c>
      <c r="BF15" s="15">
        <v>48504.53</v>
      </c>
      <c r="BG15" s="15">
        <v>49559.4</v>
      </c>
      <c r="BH15" s="15">
        <v>50664.86</v>
      </c>
      <c r="BI15" s="15">
        <v>51590.1</v>
      </c>
      <c r="BJ15" s="15">
        <v>52494.82</v>
      </c>
      <c r="BK15" s="15">
        <v>53335.360000000001</v>
      </c>
      <c r="BL15" s="15">
        <v>54137.2</v>
      </c>
      <c r="BM15" s="15">
        <v>54953.5</v>
      </c>
      <c r="BN15" s="15">
        <v>55777.56</v>
      </c>
      <c r="BO15" s="15">
        <v>56580.959999999999</v>
      </c>
      <c r="BP15" s="15">
        <v>57380.19</v>
      </c>
      <c r="BQ15" s="15">
        <v>58190.74</v>
      </c>
      <c r="BR15" s="15">
        <v>59036.480000000003</v>
      </c>
      <c r="BS15" s="15">
        <v>59907.46</v>
      </c>
      <c r="BT15" s="15">
        <v>60809.71</v>
      </c>
      <c r="BU15" s="15">
        <v>61739.360000000001</v>
      </c>
      <c r="BV15" s="15">
        <v>62692.59</v>
      </c>
      <c r="BW15" s="15">
        <v>63656.38</v>
      </c>
      <c r="BX15" s="15">
        <v>64625.4</v>
      </c>
      <c r="BY15" s="15">
        <v>65605.84</v>
      </c>
      <c r="BZ15" s="15">
        <v>66597.13</v>
      </c>
      <c r="CA15" s="15">
        <v>67598.95</v>
      </c>
      <c r="CB15" s="15">
        <v>68611.38</v>
      </c>
      <c r="CC15" s="15">
        <v>69634.55</v>
      </c>
      <c r="CD15" s="15">
        <v>70668.63</v>
      </c>
      <c r="CE15" s="15">
        <v>71713.64</v>
      </c>
      <c r="CF15" s="15">
        <v>72769.47</v>
      </c>
      <c r="CG15" s="11" t="s">
        <v>335</v>
      </c>
      <c r="CH15" s="11" t="s">
        <v>336</v>
      </c>
      <c r="CI15" s="13" t="s">
        <v>337</v>
      </c>
      <c r="CJ15" s="11" t="s">
        <v>338</v>
      </c>
      <c r="CK15" s="11" t="s">
        <v>339</v>
      </c>
      <c r="CL15" s="11" t="s">
        <v>623</v>
      </c>
      <c r="CM15" s="11" t="s">
        <v>338</v>
      </c>
      <c r="CN15" s="11" t="s">
        <v>564</v>
      </c>
      <c r="CO15" s="13" t="s">
        <v>565</v>
      </c>
      <c r="CP15" s="11" t="s">
        <v>343</v>
      </c>
      <c r="CQ15" s="11" t="s">
        <v>566</v>
      </c>
      <c r="CR15" s="13" t="s">
        <v>659</v>
      </c>
    </row>
    <row r="16" spans="1:98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</row>
    <row r="17" spans="1:96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</row>
    <row r="18" spans="1:96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</row>
    <row r="19" spans="1:96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</row>
    <row r="20" spans="1:96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</row>
    <row r="21" spans="1:96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</row>
    <row r="22" spans="1:96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</row>
    <row r="23" spans="1:96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</row>
    <row r="24" spans="1:96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</row>
    <row r="25" spans="1:96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</row>
    <row r="26" spans="1:96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</row>
    <row r="27" spans="1:96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</row>
    <row r="28" spans="1:96" x14ac:dyDescent="0.35">
      <c r="A28"/>
    </row>
    <row r="29" spans="1:96" x14ac:dyDescent="0.35">
      <c r="A29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1999-F789-4208-B90B-28E0B26C76F6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&gt;&gt;CHARTS</vt:lpstr>
      <vt:lpstr>&gt;&gt; DATA</vt:lpstr>
      <vt:lpstr>Chart Data</vt:lpstr>
      <vt:lpstr>DataQ</vt:lpstr>
      <vt:lpstr>DataA</vt:lpstr>
      <vt:lpstr>GMWQ</vt:lpstr>
      <vt:lpstr>GMWA</vt:lpstr>
      <vt:lpstr>&gt;&gt; NOT USED</vt:lpstr>
      <vt:lpstr>Chart - real wages v2</vt:lpstr>
      <vt:lpstr>Net int receipts</vt:lpstr>
      <vt:lpstr>Conts to CS</vt:lpstr>
      <vt:lpstr>Chart - PEDY! decomp</vt:lpstr>
      <vt:lpstr>Chart1</vt:lpstr>
      <vt:lpstr>Int payments &amp; int rates</vt:lpstr>
      <vt:lpstr>Pay and inflation</vt:lpstr>
      <vt:lpstr>Chart - Real wages v1</vt:lpstr>
      <vt:lpstr>Chart - PEDY! decomp v1</vt:lpstr>
      <vt:lpstr>GMWA!Annual_Data</vt:lpstr>
      <vt:lpstr>GMWQ!Annual_Data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cp:lastPrinted>2024-02-22T15:36:26Z</cp:lastPrinted>
  <dcterms:created xsi:type="dcterms:W3CDTF">2023-11-07T13:17:51Z</dcterms:created>
  <dcterms:modified xsi:type="dcterms:W3CDTF">2024-02-26T12:01:04Z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2023-11-07T13:18:00Z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4f2d5396-ced6-4ba7-84cf-2eec9d83564c</vt:lpwstr>
  </property>
  <property fmtid="{D5CDD505-2E9C-101B-9397-08002B2CF9AE}" pid="8" name="MSIP_Label_231f5784-19ed-4d1e-9a93-4ea41014d730_ContentBits">
    <vt:lpwstr>0</vt:lpwstr>
  </property>
</Properties>
</file>