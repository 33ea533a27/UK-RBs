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charts/chart6.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ml.chartshapes+xml"/>
  <Override PartName="/xl/charts/chart8.xml" ContentType="application/vnd.openxmlformats-officedocument.drawingml.chart+xml"/>
  <Override PartName="/xl/theme/themeOverride8.xml" ContentType="application/vnd.openxmlformats-officedocument.themeOverride+xml"/>
  <Override PartName="/xl/drawings/drawing14.xml" ContentType="application/vnd.openxmlformats-officedocument.drawingml.chartshapes+xml"/>
  <Override PartName="/xl/drawings/drawing15.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0.xml" ContentType="application/vnd.openxmlformats-officedocument.drawingml.chartshapes+xml"/>
  <Override PartName="/xl/charts/chart12.xml" ContentType="application/vnd.openxmlformats-officedocument.drawingml.chart+xml"/>
  <Override PartName="/xl/theme/themeOverride12.xml" ContentType="application/vnd.openxmlformats-officedocument.themeOverride+xml"/>
  <Override PartName="/xl/drawings/drawing21.xml" ContentType="application/vnd.openxmlformats-officedocument.drawingml.chartshapes+xml"/>
  <Override PartName="/xl/drawings/drawing22.xml" ContentType="application/vnd.openxmlformats-officedocument.drawing+xml"/>
  <Override PartName="/xl/drawings/drawing23.xml" ContentType="application/vnd.openxmlformats-officedocument.drawing+xml"/>
  <Override PartName="/xl/comments1.xml" ContentType="application/vnd.openxmlformats-officedocument.spreadsheetml.comment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8F5915E4-8BE1-4F2D-9029-1C451DBC8A22}" xr6:coauthVersionLast="47" xr6:coauthVersionMax="47" xr10:uidLastSave="{00000000-0000-0000-0000-000000000000}"/>
  <bookViews>
    <workbookView xWindow="-120" yWindow="-120" windowWidth="29040" windowHeight="15840" tabRatio="809" firstSheet="1" activeTab="1" xr2:uid="{20D8B44F-DEEA-4B7B-B723-29965A354581}"/>
  </bookViews>
  <sheets>
    <sheet name="Chart - Changes to PSNBX" sheetId="32" r:id="rId1"/>
    <sheet name="Chart - Income tax &amp; NICs" sheetId="30" r:id="rId2"/>
    <sheet name="Chart - Real current DEL" sheetId="19" r:id="rId3"/>
    <sheet name="Chart - Real capital DEL" sheetId="20" r:id="rId4"/>
    <sheet name="Chart - Real DEL per head index" sheetId="59" r:id="rId5"/>
    <sheet name="Chart - Real DEL index" sheetId="33" r:id="rId6"/>
    <sheet name="Chart - Real current DEL index" sheetId="21" r:id="rId7"/>
    <sheet name="Chart - Real capital DEL index" sheetId="22" r:id="rId8"/>
    <sheet name="Chart - fin mkt assump" sheetId="36" r:id="rId9"/>
    <sheet name="Chart Data" sheetId="1" r:id="rId10"/>
    <sheet name="OBR_MAR24_C1.5" sheetId="43" r:id="rId11"/>
    <sheet name="OBR_MAR24_T3.8" sheetId="52" r:id="rId12"/>
    <sheet name="OBR_MAR24_T4.12" sheetId="44" r:id="rId13"/>
    <sheet name="OBR_MAR24_TA.7" sheetId="47" r:id="rId14"/>
    <sheet name="OBR_MAR24_C4.10" sheetId="53" r:id="rId15"/>
    <sheet name="OBR_MAR24_1.1" sheetId="48" r:id="rId16"/>
    <sheet name="OBR_MAR24_1.2" sheetId="49" r:id="rId17"/>
    <sheet name="OBR - Nov23 - T4.13" sheetId="31" r:id="rId18"/>
    <sheet name="OBR_NOV23_T3.2" sheetId="29" r:id="rId19"/>
    <sheet name="OBR_NOV23_T3.A" sheetId="28" r:id="rId20"/>
    <sheet name="OBR_NOV23_TA.7" sheetId="7" r:id="rId21"/>
    <sheet name="OBR_NOV23_T4.7" sheetId="2" r:id="rId22"/>
    <sheet name="OBR_NOV23_T4.8" sheetId="3" r:id="rId23"/>
    <sheet name="OBR_NOV23_1.1" sheetId="8" r:id="rId24"/>
    <sheet name="OBR_NOV23_1.2" sheetId="9" r:id="rId25"/>
    <sheet name="OBR_MAR23_T4.7" sheetId="4" r:id="rId26"/>
    <sheet name="OBR_MAR23_T4.8" sheetId="5" r:id="rId27"/>
    <sheet name="OBR_MAR23_TA.7" sheetId="12" r:id="rId28"/>
    <sheet name="OBR_MAR23_1.1" sheetId="10" r:id="rId29"/>
    <sheet name="OBR_MAR23_1.2" sheetId="11" r:id="rId30"/>
    <sheet name="OBR_NOV22_T.4" sheetId="6" r:id="rId31"/>
    <sheet name="OBR_NOV22_TA.8" sheetId="15" r:id="rId32"/>
    <sheet name="OBR_NOV22_1.1" sheetId="13" r:id="rId33"/>
    <sheet name="OBR_NOV22_1.2" sheetId="14" r:id="rId34"/>
    <sheet name="OBR_MAR22_T3.16" sheetId="16" r:id="rId35"/>
    <sheet name="OBR_MAR22_1.1" sheetId="17" r:id="rId36"/>
    <sheet name="OBR_MAR22_1.2" sheetId="18" r:id="rId37"/>
    <sheet name="OBR RR Oct23 - Debt interest" sheetId="41" r:id="rId38"/>
    <sheet name="HAVERD" sheetId="40" r:id="rId39"/>
    <sheet name="$template-default" sheetId="56" state="hidden" r:id="rId40"/>
    <sheet name="Data" sheetId="58" r:id="rId41"/>
    <sheet name="GMW" sheetId="55" r:id="rId42"/>
  </sheets>
  <externalReferences>
    <externalReference r:id="rId43"/>
    <externalReference r:id="rId44"/>
    <externalReference r:id="rId45"/>
  </externalReferences>
  <definedNames>
    <definedName name="Annual_Data" localSheetId="39">'$template-default'!$A$1:$A$2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8" i="1" l="1"/>
  <c r="AK8" i="1"/>
  <c r="AJ9" i="1"/>
  <c r="AK9" i="1"/>
  <c r="AJ10" i="1"/>
  <c r="AK10" i="1"/>
  <c r="AJ11" i="1"/>
  <c r="AK11" i="1"/>
  <c r="AJ12" i="1"/>
  <c r="AK12" i="1"/>
  <c r="AJ13" i="1"/>
  <c r="AK13" i="1"/>
  <c r="AJ7" i="1"/>
  <c r="AK7" i="1"/>
  <c r="AH7" i="1"/>
  <c r="AI7" i="1"/>
  <c r="AH8" i="1"/>
  <c r="AI8" i="1"/>
  <c r="AH9" i="1"/>
  <c r="AI9" i="1"/>
  <c r="AH10" i="1"/>
  <c r="AI10" i="1"/>
  <c r="AH11" i="1"/>
  <c r="AI11" i="1"/>
  <c r="AH12" i="1"/>
  <c r="AI12" i="1"/>
  <c r="AH6" i="1"/>
  <c r="AI6" i="1"/>
  <c r="AG5" i="1"/>
  <c r="AG6" i="1"/>
  <c r="AG7" i="1"/>
  <c r="AG8" i="1"/>
  <c r="AG9" i="1"/>
  <c r="AG10" i="1"/>
  <c r="AG11" i="1"/>
  <c r="AG4" i="1"/>
  <c r="AP8" i="1"/>
  <c r="AQ8" i="1"/>
  <c r="AP9" i="1"/>
  <c r="AQ9" i="1"/>
  <c r="AP10" i="1"/>
  <c r="AQ10" i="1"/>
  <c r="AP11" i="1"/>
  <c r="AQ11" i="1"/>
  <c r="AP12" i="1"/>
  <c r="AQ12" i="1"/>
  <c r="AP13" i="1"/>
  <c r="AQ13" i="1"/>
  <c r="AP7" i="1"/>
  <c r="AQ7" i="1"/>
  <c r="AN7" i="1"/>
  <c r="AO7" i="1"/>
  <c r="AN8" i="1"/>
  <c r="AO8" i="1"/>
  <c r="AN9" i="1"/>
  <c r="AO9" i="1"/>
  <c r="AN10" i="1"/>
  <c r="AO10" i="1"/>
  <c r="AN11" i="1"/>
  <c r="AO11" i="1"/>
  <c r="AN12" i="1"/>
  <c r="AO12" i="1"/>
  <c r="AO6" i="1"/>
  <c r="AN6" i="1"/>
  <c r="AM5" i="1"/>
  <c r="AM6" i="1"/>
  <c r="AM7" i="1"/>
  <c r="AM8" i="1"/>
  <c r="AM9" i="1"/>
  <c r="AM10" i="1"/>
  <c r="AM11" i="1"/>
  <c r="AM4" i="1"/>
  <c r="BF4" i="1"/>
  <c r="BE5" i="1"/>
  <c r="BF5" i="1" s="1"/>
  <c r="A12" i="58"/>
  <c r="A16" i="58" s="1"/>
  <c r="A20" i="58" s="1"/>
  <c r="A24" i="58" s="1"/>
  <c r="A28" i="58" s="1"/>
  <c r="A32" i="58" s="1"/>
  <c r="A36" i="58" s="1"/>
  <c r="A40" i="58" s="1"/>
  <c r="A44" i="58" s="1"/>
  <c r="A48" i="58" s="1"/>
  <c r="A52" i="58" s="1"/>
  <c r="A56" i="58" s="1"/>
  <c r="A60" i="58" s="1"/>
  <c r="A64" i="58" s="1"/>
  <c r="A68" i="58" s="1"/>
  <c r="A72" i="58" s="1"/>
  <c r="A76" i="58" s="1"/>
  <c r="A80" i="58" s="1"/>
  <c r="A84" i="58" s="1"/>
  <c r="A88" i="58" s="1"/>
  <c r="A92" i="58" s="1"/>
  <c r="A96" i="58" s="1"/>
  <c r="A100" i="58" s="1"/>
  <c r="A104" i="58" s="1"/>
  <c r="A108" i="58" s="1"/>
  <c r="A112" i="58" s="1"/>
  <c r="A116" i="58" s="1"/>
  <c r="A120" i="58" s="1"/>
  <c r="A124" i="58" s="1"/>
  <c r="A128" i="58" s="1"/>
  <c r="A132" i="58" s="1"/>
  <c r="A136" i="58" s="1"/>
  <c r="A140" i="58" s="1"/>
  <c r="A144" i="58" s="1"/>
  <c r="A148" i="58" s="1"/>
  <c r="A152" i="58" s="1"/>
  <c r="A156" i="58" s="1"/>
  <c r="A160" i="58" s="1"/>
  <c r="A164" i="58" s="1"/>
  <c r="A168" i="58" s="1"/>
  <c r="A172" i="58" s="1"/>
  <c r="A176" i="58" s="1"/>
  <c r="A180" i="58" s="1"/>
  <c r="A184" i="58" s="1"/>
  <c r="A188" i="58" s="1"/>
  <c r="A192" i="58" s="1"/>
  <c r="A196" i="58" s="1"/>
  <c r="A200" i="58" s="1"/>
  <c r="A204" i="58" s="1"/>
  <c r="A208" i="58" s="1"/>
  <c r="A212" i="58" s="1"/>
  <c r="A216" i="58" s="1"/>
  <c r="A220" i="58" s="1"/>
  <c r="A224" i="58" s="1"/>
  <c r="A228" i="58" s="1"/>
  <c r="A232" i="58" s="1"/>
  <c r="A236" i="58" s="1"/>
  <c r="A240" i="58" s="1"/>
  <c r="A244" i="58" s="1"/>
  <c r="A248" i="58" s="1"/>
  <c r="A252" i="58" s="1"/>
  <c r="A256" i="58" s="1"/>
  <c r="A260" i="58" s="1"/>
  <c r="A264" i="58" s="1"/>
  <c r="A268" i="58" s="1"/>
  <c r="A272" i="58" s="1"/>
  <c r="A276" i="58" s="1"/>
  <c r="A280" i="58" s="1"/>
  <c r="A284" i="58" s="1"/>
  <c r="A288" i="58" s="1"/>
  <c r="A292" i="58" s="1"/>
  <c r="A296" i="58" s="1"/>
  <c r="A300" i="58" s="1"/>
  <c r="A304" i="58" s="1"/>
  <c r="A308" i="58" s="1"/>
  <c r="A312" i="58" s="1"/>
  <c r="A316" i="58" s="1"/>
  <c r="A13" i="58"/>
  <c r="A14" i="58"/>
  <c r="A18" i="58" s="1"/>
  <c r="A22" i="58" s="1"/>
  <c r="A26" i="58" s="1"/>
  <c r="A30" i="58" s="1"/>
  <c r="A34" i="58" s="1"/>
  <c r="A38" i="58" s="1"/>
  <c r="A42" i="58" s="1"/>
  <c r="A46" i="58" s="1"/>
  <c r="A50" i="58" s="1"/>
  <c r="A54" i="58" s="1"/>
  <c r="A58" i="58" s="1"/>
  <c r="A62" i="58" s="1"/>
  <c r="A66" i="58" s="1"/>
  <c r="A70" i="58" s="1"/>
  <c r="A74" i="58" s="1"/>
  <c r="A78" i="58" s="1"/>
  <c r="A82" i="58" s="1"/>
  <c r="A86" i="58" s="1"/>
  <c r="A90" i="58" s="1"/>
  <c r="A94" i="58" s="1"/>
  <c r="A98" i="58" s="1"/>
  <c r="A102" i="58" s="1"/>
  <c r="A106" i="58" s="1"/>
  <c r="A110" i="58" s="1"/>
  <c r="A114" i="58" s="1"/>
  <c r="A118" i="58" s="1"/>
  <c r="A122" i="58" s="1"/>
  <c r="A126" i="58" s="1"/>
  <c r="A130" i="58" s="1"/>
  <c r="A134" i="58" s="1"/>
  <c r="A138" i="58" s="1"/>
  <c r="A142" i="58" s="1"/>
  <c r="A146" i="58" s="1"/>
  <c r="A150" i="58" s="1"/>
  <c r="A154" i="58" s="1"/>
  <c r="A158" i="58" s="1"/>
  <c r="A162" i="58" s="1"/>
  <c r="A166" i="58" s="1"/>
  <c r="A170" i="58" s="1"/>
  <c r="A174" i="58" s="1"/>
  <c r="A178" i="58" s="1"/>
  <c r="A182" i="58" s="1"/>
  <c r="A186" i="58" s="1"/>
  <c r="A190" i="58" s="1"/>
  <c r="A194" i="58" s="1"/>
  <c r="A198" i="58" s="1"/>
  <c r="A202" i="58" s="1"/>
  <c r="A206" i="58" s="1"/>
  <c r="A210" i="58" s="1"/>
  <c r="A214" i="58" s="1"/>
  <c r="A218" i="58" s="1"/>
  <c r="A222" i="58" s="1"/>
  <c r="A226" i="58" s="1"/>
  <c r="A230" i="58" s="1"/>
  <c r="A234" i="58" s="1"/>
  <c r="A238" i="58" s="1"/>
  <c r="A242" i="58" s="1"/>
  <c r="A246" i="58" s="1"/>
  <c r="A250" i="58" s="1"/>
  <c r="A254" i="58" s="1"/>
  <c r="A258" i="58" s="1"/>
  <c r="A262" i="58" s="1"/>
  <c r="A266" i="58" s="1"/>
  <c r="A270" i="58" s="1"/>
  <c r="A274" i="58" s="1"/>
  <c r="A278" i="58" s="1"/>
  <c r="A282" i="58" s="1"/>
  <c r="A286" i="58" s="1"/>
  <c r="A290" i="58" s="1"/>
  <c r="A294" i="58" s="1"/>
  <c r="A298" i="58" s="1"/>
  <c r="A302" i="58" s="1"/>
  <c r="A306" i="58" s="1"/>
  <c r="A310" i="58" s="1"/>
  <c r="A314" i="58" s="1"/>
  <c r="A318" i="58" s="1"/>
  <c r="A15" i="58"/>
  <c r="A17" i="58"/>
  <c r="A21" i="58" s="1"/>
  <c r="A25" i="58" s="1"/>
  <c r="A29" i="58" s="1"/>
  <c r="A33" i="58" s="1"/>
  <c r="A37" i="58" s="1"/>
  <c r="A41" i="58" s="1"/>
  <c r="A45" i="58" s="1"/>
  <c r="A49" i="58" s="1"/>
  <c r="A53" i="58" s="1"/>
  <c r="A57" i="58" s="1"/>
  <c r="A61" i="58" s="1"/>
  <c r="A65" i="58" s="1"/>
  <c r="A69" i="58" s="1"/>
  <c r="A73" i="58" s="1"/>
  <c r="A77" i="58" s="1"/>
  <c r="A81" i="58" s="1"/>
  <c r="A85" i="58" s="1"/>
  <c r="A89" i="58" s="1"/>
  <c r="A93" i="58" s="1"/>
  <c r="A97" i="58" s="1"/>
  <c r="A101" i="58" s="1"/>
  <c r="A105" i="58" s="1"/>
  <c r="A109" i="58" s="1"/>
  <c r="A113" i="58" s="1"/>
  <c r="A117" i="58" s="1"/>
  <c r="A121" i="58" s="1"/>
  <c r="A125" i="58" s="1"/>
  <c r="A129" i="58" s="1"/>
  <c r="A133" i="58" s="1"/>
  <c r="A137" i="58" s="1"/>
  <c r="A141" i="58" s="1"/>
  <c r="A145" i="58" s="1"/>
  <c r="A149" i="58" s="1"/>
  <c r="A153" i="58" s="1"/>
  <c r="A157" i="58" s="1"/>
  <c r="A161" i="58" s="1"/>
  <c r="A165" i="58" s="1"/>
  <c r="A169" i="58" s="1"/>
  <c r="A173" i="58" s="1"/>
  <c r="A177" i="58" s="1"/>
  <c r="A181" i="58" s="1"/>
  <c r="A185" i="58" s="1"/>
  <c r="A189" i="58" s="1"/>
  <c r="A193" i="58" s="1"/>
  <c r="A197" i="58" s="1"/>
  <c r="A201" i="58" s="1"/>
  <c r="A205" i="58" s="1"/>
  <c r="A209" i="58" s="1"/>
  <c r="A213" i="58" s="1"/>
  <c r="A217" i="58" s="1"/>
  <c r="A221" i="58" s="1"/>
  <c r="A225" i="58" s="1"/>
  <c r="A229" i="58" s="1"/>
  <c r="A233" i="58" s="1"/>
  <c r="A237" i="58" s="1"/>
  <c r="A241" i="58" s="1"/>
  <c r="A245" i="58" s="1"/>
  <c r="A249" i="58" s="1"/>
  <c r="A253" i="58" s="1"/>
  <c r="A257" i="58" s="1"/>
  <c r="A261" i="58" s="1"/>
  <c r="A265" i="58" s="1"/>
  <c r="A269" i="58" s="1"/>
  <c r="A273" i="58" s="1"/>
  <c r="A277" i="58" s="1"/>
  <c r="A281" i="58" s="1"/>
  <c r="A285" i="58" s="1"/>
  <c r="A289" i="58" s="1"/>
  <c r="A293" i="58" s="1"/>
  <c r="A297" i="58" s="1"/>
  <c r="A301" i="58" s="1"/>
  <c r="A305" i="58" s="1"/>
  <c r="A309" i="58" s="1"/>
  <c r="A313" i="58" s="1"/>
  <c r="A317" i="58" s="1"/>
  <c r="A19" i="58"/>
  <c r="A23" i="58" s="1"/>
  <c r="A27" i="58" s="1"/>
  <c r="A31" i="58" s="1"/>
  <c r="A35" i="58" s="1"/>
  <c r="A39" i="58" s="1"/>
  <c r="A43" i="58" s="1"/>
  <c r="A47" i="58" s="1"/>
  <c r="A51" i="58" s="1"/>
  <c r="A55" i="58" s="1"/>
  <c r="A59" i="58" s="1"/>
  <c r="A63" i="58" s="1"/>
  <c r="A67" i="58" s="1"/>
  <c r="A71" i="58" s="1"/>
  <c r="A75" i="58" s="1"/>
  <c r="A79" i="58" s="1"/>
  <c r="A83" i="58" s="1"/>
  <c r="A87" i="58" s="1"/>
  <c r="A91" i="58" s="1"/>
  <c r="A95" i="58" s="1"/>
  <c r="A99" i="58" s="1"/>
  <c r="A103" i="58" s="1"/>
  <c r="A107" i="58" s="1"/>
  <c r="A111" i="58" s="1"/>
  <c r="A115" i="58" s="1"/>
  <c r="A119" i="58" s="1"/>
  <c r="A123" i="58" s="1"/>
  <c r="A127" i="58" s="1"/>
  <c r="A131" i="58" s="1"/>
  <c r="A135" i="58" s="1"/>
  <c r="A139" i="58" s="1"/>
  <c r="A143" i="58" s="1"/>
  <c r="A147" i="58" s="1"/>
  <c r="A151" i="58" s="1"/>
  <c r="A155" i="58" s="1"/>
  <c r="A159" i="58" s="1"/>
  <c r="A163" i="58" s="1"/>
  <c r="A167" i="58" s="1"/>
  <c r="A171" i="58" s="1"/>
  <c r="A175" i="58" s="1"/>
  <c r="A179" i="58" s="1"/>
  <c r="A183" i="58" s="1"/>
  <c r="A187" i="58" s="1"/>
  <c r="A191" i="58" s="1"/>
  <c r="A195" i="58" s="1"/>
  <c r="A199" i="58" s="1"/>
  <c r="A203" i="58" s="1"/>
  <c r="A207" i="58" s="1"/>
  <c r="A211" i="58" s="1"/>
  <c r="A215" i="58" s="1"/>
  <c r="A219" i="58" s="1"/>
  <c r="A223" i="58" s="1"/>
  <c r="A227" i="58" s="1"/>
  <c r="A231" i="58" s="1"/>
  <c r="A235" i="58" s="1"/>
  <c r="A239" i="58" s="1"/>
  <c r="A243" i="58" s="1"/>
  <c r="A247" i="58" s="1"/>
  <c r="A251" i="58" s="1"/>
  <c r="A255" i="58" s="1"/>
  <c r="A259" i="58" s="1"/>
  <c r="A263" i="58" s="1"/>
  <c r="A267" i="58" s="1"/>
  <c r="A271" i="58" s="1"/>
  <c r="A275" i="58" s="1"/>
  <c r="A279" i="58" s="1"/>
  <c r="A283" i="58" s="1"/>
  <c r="A287" i="58" s="1"/>
  <c r="A291" i="58" s="1"/>
  <c r="A295" i="58" s="1"/>
  <c r="A299" i="58" s="1"/>
  <c r="A303" i="58" s="1"/>
  <c r="A307" i="58" s="1"/>
  <c r="A311" i="58" s="1"/>
  <c r="A315" i="58" s="1"/>
  <c r="A11" i="58"/>
  <c r="A10" i="58"/>
  <c r="A9" i="58"/>
  <c r="A8" i="58"/>
  <c r="C7" i="58" a="1"/>
  <c r="C7" i="58" s="1"/>
  <c r="B8" i="58"/>
  <c r="C8" i="58" s="1" a="1"/>
  <c r="C8" i="58" s="1"/>
  <c r="C1" i="58"/>
  <c r="BE6" i="1" l="1"/>
  <c r="B9" i="58"/>
  <c r="BF6" i="1" l="1"/>
  <c r="BE7" i="1"/>
  <c r="B10" i="58"/>
  <c r="C9" i="58" a="1"/>
  <c r="C9" i="58" s="1"/>
  <c r="BF7" i="1" l="1"/>
  <c r="BE8" i="1"/>
  <c r="C10" i="58" a="1"/>
  <c r="C10" i="58" s="1"/>
  <c r="B11" i="58"/>
  <c r="BE9" i="1" l="1"/>
  <c r="BF8" i="1"/>
  <c r="C11" i="58" a="1"/>
  <c r="C11" i="58" s="1"/>
  <c r="B12" i="58"/>
  <c r="BE10" i="1" l="1"/>
  <c r="BF9" i="1"/>
  <c r="C12" i="58" a="1"/>
  <c r="C12" i="58" s="1"/>
  <c r="B13" i="58"/>
  <c r="BE11" i="1" l="1"/>
  <c r="BF10" i="1"/>
  <c r="C13" i="58" a="1"/>
  <c r="C13" i="58" s="1"/>
  <c r="B14" i="58"/>
  <c r="BE12" i="1" l="1"/>
  <c r="BF11" i="1"/>
  <c r="C14" i="58" a="1"/>
  <c r="C14" i="58" s="1"/>
  <c r="B15" i="58"/>
  <c r="BE13" i="1" l="1"/>
  <c r="BF13" i="1" s="1"/>
  <c r="BF12" i="1"/>
  <c r="C15" i="58" a="1"/>
  <c r="C15" i="58" s="1"/>
  <c r="B16" i="58"/>
  <c r="C16" i="58" l="1" a="1"/>
  <c r="C16" i="58" s="1"/>
  <c r="B17" i="58"/>
  <c r="C17" i="58" l="1" a="1"/>
  <c r="C17" i="58" s="1"/>
  <c r="B18" i="58"/>
  <c r="C18" i="58" l="1" a="1"/>
  <c r="C18" i="58" s="1"/>
  <c r="B19" i="58"/>
  <c r="C19" i="58" l="1" a="1"/>
  <c r="C19" i="58" s="1"/>
  <c r="B20" i="58"/>
  <c r="C20" i="58" l="1" a="1"/>
  <c r="C20" i="58" s="1"/>
  <c r="B21" i="58"/>
  <c r="C21" i="58" l="1" a="1"/>
  <c r="C21" i="58" s="1"/>
  <c r="B22" i="58"/>
  <c r="C22" i="58" l="1" a="1"/>
  <c r="C22" i="58" s="1"/>
  <c r="B23" i="58"/>
  <c r="C23" i="58" l="1" a="1"/>
  <c r="C23" i="58" s="1"/>
  <c r="B24" i="58"/>
  <c r="C24" i="58" l="1" a="1"/>
  <c r="C24" i="58" s="1"/>
  <c r="B25" i="58"/>
  <c r="C25" i="58" l="1" a="1"/>
  <c r="C25" i="58" s="1"/>
  <c r="B26" i="58"/>
  <c r="C26" i="58" l="1" a="1"/>
  <c r="C26" i="58" s="1"/>
  <c r="B27" i="58"/>
  <c r="C27" i="58" l="1" a="1"/>
  <c r="C27" i="58" s="1"/>
  <c r="B28" i="58"/>
  <c r="C28" i="58" l="1" a="1"/>
  <c r="C28" i="58" s="1"/>
  <c r="B29" i="58"/>
  <c r="C29" i="58" l="1" a="1"/>
  <c r="C29" i="58" s="1"/>
  <c r="B30" i="58"/>
  <c r="C30" i="58" l="1" a="1"/>
  <c r="C30" i="58" s="1"/>
  <c r="B31" i="58"/>
  <c r="C31" i="58" l="1" a="1"/>
  <c r="C31" i="58" s="1"/>
  <c r="B32" i="58"/>
  <c r="C32" i="58" l="1" a="1"/>
  <c r="C32" i="58" s="1"/>
  <c r="B33" i="58"/>
  <c r="C33" i="58" l="1" a="1"/>
  <c r="C33" i="58" s="1"/>
  <c r="B34" i="58"/>
  <c r="C34" i="58" l="1" a="1"/>
  <c r="C34" i="58" s="1"/>
  <c r="B35" i="58"/>
  <c r="C35" i="58" l="1" a="1"/>
  <c r="C35" i="58" s="1"/>
  <c r="B36" i="58"/>
  <c r="C36" i="58" l="1" a="1"/>
  <c r="C36" i="58" s="1"/>
  <c r="B37" i="58"/>
  <c r="C37" i="58" l="1" a="1"/>
  <c r="C37" i="58" s="1"/>
  <c r="B38" i="58"/>
  <c r="C38" i="58" l="1" a="1"/>
  <c r="C38" i="58" s="1"/>
  <c r="B39" i="58"/>
  <c r="C39" i="58" l="1" a="1"/>
  <c r="C39" i="58" s="1"/>
  <c r="B40" i="58"/>
  <c r="C40" i="58" l="1" a="1"/>
  <c r="C40" i="58" s="1"/>
  <c r="B41" i="58"/>
  <c r="C41" i="58" l="1" a="1"/>
  <c r="C41" i="58" s="1"/>
  <c r="B42" i="58"/>
  <c r="C42" i="58" l="1" a="1"/>
  <c r="C42" i="58" s="1"/>
  <c r="B43" i="58"/>
  <c r="C43" i="58" l="1" a="1"/>
  <c r="C43" i="58" s="1"/>
  <c r="B44" i="58"/>
  <c r="C44" i="58" l="1" a="1"/>
  <c r="C44" i="58" s="1"/>
  <c r="B45" i="58"/>
  <c r="C45" i="58" l="1" a="1"/>
  <c r="C45" i="58" s="1"/>
  <c r="B46" i="58"/>
  <c r="C46" i="58" l="1" a="1"/>
  <c r="C46" i="58" s="1"/>
  <c r="B47" i="58"/>
  <c r="C47" i="58" l="1" a="1"/>
  <c r="C47" i="58" s="1"/>
  <c r="B48" i="58"/>
  <c r="C48" i="58" l="1" a="1"/>
  <c r="C48" i="58" s="1"/>
  <c r="B49" i="58"/>
  <c r="C49" i="58" l="1" a="1"/>
  <c r="C49" i="58" s="1"/>
  <c r="B50" i="58"/>
  <c r="C50" i="58" l="1" a="1"/>
  <c r="C50" i="58" s="1"/>
  <c r="B51" i="58"/>
  <c r="C51" i="58" l="1" a="1"/>
  <c r="C51" i="58" s="1"/>
  <c r="B52" i="58"/>
  <c r="C52" i="58" l="1" a="1"/>
  <c r="C52" i="58" s="1"/>
  <c r="B53" i="58"/>
  <c r="C53" i="58" l="1" a="1"/>
  <c r="C53" i="58" s="1"/>
  <c r="B54" i="58"/>
  <c r="C54" i="58" l="1" a="1"/>
  <c r="C54" i="58" s="1"/>
  <c r="B55" i="58"/>
  <c r="C55" i="58" l="1" a="1"/>
  <c r="C55" i="58" s="1"/>
  <c r="B56" i="58"/>
  <c r="C56" i="58" l="1" a="1"/>
  <c r="C56" i="58" s="1"/>
  <c r="B57" i="58"/>
  <c r="C57" i="58" l="1" a="1"/>
  <c r="C57" i="58" s="1"/>
  <c r="B58" i="58"/>
  <c r="C58" i="58" l="1" a="1"/>
  <c r="C58" i="58" s="1"/>
  <c r="B59" i="58"/>
  <c r="C59" i="58" l="1" a="1"/>
  <c r="C59" i="58" s="1"/>
  <c r="B60" i="58"/>
  <c r="C60" i="58" l="1" a="1"/>
  <c r="C60" i="58" s="1"/>
  <c r="B61" i="58"/>
  <c r="C61" i="58" l="1" a="1"/>
  <c r="C61" i="58" s="1"/>
  <c r="B62" i="58"/>
  <c r="C62" i="58" l="1" a="1"/>
  <c r="C62" i="58" s="1"/>
  <c r="B63" i="58"/>
  <c r="C63" i="58" l="1" a="1"/>
  <c r="C63" i="58" s="1"/>
  <c r="B64" i="58"/>
  <c r="C64" i="58" l="1" a="1"/>
  <c r="C64" i="58" s="1"/>
  <c r="B65" i="58"/>
  <c r="C65" i="58" l="1" a="1"/>
  <c r="C65" i="58" s="1"/>
  <c r="B66" i="58"/>
  <c r="C66" i="58" l="1" a="1"/>
  <c r="C66" i="58" s="1"/>
  <c r="B67" i="58"/>
  <c r="C67" i="58" l="1" a="1"/>
  <c r="C67" i="58" s="1"/>
  <c r="B68" i="58"/>
  <c r="C68" i="58" l="1" a="1"/>
  <c r="C68" i="58" s="1"/>
  <c r="B69" i="58"/>
  <c r="C69" i="58" l="1" a="1"/>
  <c r="C69" i="58" s="1"/>
  <c r="B70" i="58"/>
  <c r="C70" i="58" l="1" a="1"/>
  <c r="C70" i="58" s="1"/>
  <c r="B71" i="58"/>
  <c r="C71" i="58" l="1" a="1"/>
  <c r="C71" i="58" s="1"/>
  <c r="B72" i="58"/>
  <c r="C72" i="58" l="1" a="1"/>
  <c r="C72" i="58" s="1"/>
  <c r="B73" i="58"/>
  <c r="C73" i="58" l="1" a="1"/>
  <c r="C73" i="58" s="1"/>
  <c r="B74" i="58"/>
  <c r="C74" i="58" l="1" a="1"/>
  <c r="C74" i="58" s="1"/>
  <c r="B75" i="58"/>
  <c r="C75" i="58" l="1" a="1"/>
  <c r="C75" i="58" s="1"/>
  <c r="B76" i="58"/>
  <c r="C76" i="58" l="1" a="1"/>
  <c r="C76" i="58" s="1"/>
  <c r="B77" i="58"/>
  <c r="C77" i="58" l="1" a="1"/>
  <c r="C77" i="58" s="1"/>
  <c r="B78" i="58"/>
  <c r="C78" i="58" l="1" a="1"/>
  <c r="C78" i="58" s="1"/>
  <c r="B79" i="58"/>
  <c r="C79" i="58" l="1" a="1"/>
  <c r="C79" i="58" s="1"/>
  <c r="B80" i="58"/>
  <c r="C80" i="58" l="1" a="1"/>
  <c r="C80" i="58" s="1"/>
  <c r="B81" i="58"/>
  <c r="C81" i="58" l="1" a="1"/>
  <c r="C81" i="58" s="1"/>
  <c r="B82" i="58"/>
  <c r="C82" i="58" l="1" a="1"/>
  <c r="C82" i="58" s="1"/>
  <c r="B83" i="58"/>
  <c r="C83" i="58" l="1" a="1"/>
  <c r="C83" i="58" s="1"/>
  <c r="B84" i="58"/>
  <c r="C84" i="58" l="1" a="1"/>
  <c r="C84" i="58" s="1"/>
  <c r="B85" i="58"/>
  <c r="C85" i="58" l="1" a="1"/>
  <c r="C85" i="58" s="1"/>
  <c r="B86" i="58"/>
  <c r="C86" i="58" l="1" a="1"/>
  <c r="C86" i="58" s="1"/>
  <c r="B87" i="58"/>
  <c r="C87" i="58" l="1" a="1"/>
  <c r="C87" i="58" s="1"/>
  <c r="B88" i="58"/>
  <c r="C88" i="58" l="1" a="1"/>
  <c r="C88" i="58" s="1"/>
  <c r="B89" i="58"/>
  <c r="C89" i="58" l="1" a="1"/>
  <c r="C89" i="58" s="1"/>
  <c r="B90" i="58"/>
  <c r="C90" i="58" l="1" a="1"/>
  <c r="C90" i="58" s="1"/>
  <c r="B91" i="58"/>
  <c r="C91" i="58" l="1" a="1"/>
  <c r="C91" i="58" s="1"/>
  <c r="B92" i="58"/>
  <c r="C92" i="58" l="1" a="1"/>
  <c r="C92" i="58" s="1"/>
  <c r="B93" i="58"/>
  <c r="C93" i="58" l="1" a="1"/>
  <c r="C93" i="58" s="1"/>
  <c r="B94" i="58"/>
  <c r="C94" i="58" l="1" a="1"/>
  <c r="C94" i="58" s="1"/>
  <c r="B95" i="58"/>
  <c r="C95" i="58" l="1" a="1"/>
  <c r="C95" i="58" s="1"/>
  <c r="B96" i="58"/>
  <c r="C96" i="58" l="1" a="1"/>
  <c r="C96" i="58" s="1"/>
  <c r="B97" i="58"/>
  <c r="C97" i="58" l="1" a="1"/>
  <c r="C97" i="58" s="1"/>
  <c r="B98" i="58"/>
  <c r="C98" i="58" l="1" a="1"/>
  <c r="C98" i="58" s="1"/>
  <c r="B99" i="58"/>
  <c r="C99" i="58" l="1" a="1"/>
  <c r="C99" i="58" s="1"/>
  <c r="B100" i="58"/>
  <c r="C100" i="58" l="1" a="1"/>
  <c r="C100" i="58" s="1"/>
  <c r="B101" i="58"/>
  <c r="C101" i="58" l="1" a="1"/>
  <c r="C101" i="58" s="1"/>
  <c r="B102" i="58"/>
  <c r="C102" i="58" l="1" a="1"/>
  <c r="C102" i="58" s="1"/>
  <c r="B103" i="58"/>
  <c r="C103" i="58" l="1" a="1"/>
  <c r="C103" i="58" s="1"/>
  <c r="B104" i="58"/>
  <c r="C104" i="58" l="1" a="1"/>
  <c r="C104" i="58" s="1"/>
  <c r="B105" i="58"/>
  <c r="C105" i="58" l="1" a="1"/>
  <c r="C105" i="58" s="1"/>
  <c r="B106" i="58"/>
  <c r="C106" i="58" l="1" a="1"/>
  <c r="C106" i="58" s="1"/>
  <c r="B107" i="58"/>
  <c r="C107" i="58" l="1" a="1"/>
  <c r="C107" i="58" s="1"/>
  <c r="B108" i="58"/>
  <c r="C108" i="58" l="1" a="1"/>
  <c r="C108" i="58" s="1"/>
  <c r="B109" i="58"/>
  <c r="C109" i="58" l="1" a="1"/>
  <c r="C109" i="58" s="1"/>
  <c r="B110" i="58"/>
  <c r="C110" i="58" l="1" a="1"/>
  <c r="C110" i="58" s="1"/>
  <c r="B111" i="58"/>
  <c r="C111" i="58" l="1" a="1"/>
  <c r="C111" i="58" s="1"/>
  <c r="B112" i="58"/>
  <c r="C112" i="58" l="1" a="1"/>
  <c r="C112" i="58" s="1"/>
  <c r="B113" i="58"/>
  <c r="C113" i="58" l="1" a="1"/>
  <c r="C113" i="58" s="1"/>
  <c r="B114" i="58"/>
  <c r="C114" i="58" l="1" a="1"/>
  <c r="C114" i="58" s="1"/>
  <c r="B115" i="58"/>
  <c r="C115" i="58" l="1" a="1"/>
  <c r="C115" i="58" s="1"/>
  <c r="B116" i="58"/>
  <c r="C116" i="58" l="1" a="1"/>
  <c r="C116" i="58" s="1"/>
  <c r="B117" i="58"/>
  <c r="C117" i="58" l="1" a="1"/>
  <c r="C117" i="58" s="1"/>
  <c r="B118" i="58"/>
  <c r="C118" i="58" l="1" a="1"/>
  <c r="C118" i="58" s="1"/>
  <c r="B119" i="58"/>
  <c r="C119" i="58" l="1" a="1"/>
  <c r="C119" i="58" s="1"/>
  <c r="B120" i="58"/>
  <c r="C120" i="58" l="1" a="1"/>
  <c r="C120" i="58" s="1"/>
  <c r="B121" i="58"/>
  <c r="C121" i="58" l="1" a="1"/>
  <c r="C121" i="58" s="1"/>
  <c r="B122" i="58"/>
  <c r="C122" i="58" l="1" a="1"/>
  <c r="C122" i="58" s="1"/>
  <c r="B123" i="58"/>
  <c r="C123" i="58" l="1" a="1"/>
  <c r="C123" i="58" s="1"/>
  <c r="B124" i="58"/>
  <c r="C124" i="58" l="1" a="1"/>
  <c r="C124" i="58" s="1"/>
  <c r="B125" i="58"/>
  <c r="C125" i="58" l="1" a="1"/>
  <c r="C125" i="58" s="1"/>
  <c r="B126" i="58"/>
  <c r="C126" i="58" l="1" a="1"/>
  <c r="C126" i="58" s="1"/>
  <c r="B127" i="58"/>
  <c r="C127" i="58" l="1" a="1"/>
  <c r="C127" i="58" s="1"/>
  <c r="B128" i="58"/>
  <c r="C128" i="58" l="1" a="1"/>
  <c r="C128" i="58" s="1"/>
  <c r="B129" i="58"/>
  <c r="C129" i="58" l="1" a="1"/>
  <c r="C129" i="58" s="1"/>
  <c r="B130" i="58"/>
  <c r="C130" i="58" l="1" a="1"/>
  <c r="C130" i="58" s="1"/>
  <c r="B131" i="58"/>
  <c r="C131" i="58" l="1" a="1"/>
  <c r="C131" i="58" s="1"/>
  <c r="B132" i="58"/>
  <c r="C132" i="58" l="1" a="1"/>
  <c r="C132" i="58" s="1"/>
  <c r="B133" i="58"/>
  <c r="C133" i="58" l="1" a="1"/>
  <c r="C133" i="58" s="1"/>
  <c r="B134" i="58"/>
  <c r="C134" i="58" l="1" a="1"/>
  <c r="C134" i="58" s="1"/>
  <c r="B135" i="58"/>
  <c r="C135" i="58" l="1" a="1"/>
  <c r="C135" i="58" s="1"/>
  <c r="B136" i="58"/>
  <c r="C136" i="58" l="1" a="1"/>
  <c r="C136" i="58" s="1"/>
  <c r="B137" i="58"/>
  <c r="C137" i="58" l="1" a="1"/>
  <c r="C137" i="58" s="1"/>
  <c r="B138" i="58"/>
  <c r="C138" i="58" l="1" a="1"/>
  <c r="C138" i="58" s="1"/>
  <c r="B139" i="58"/>
  <c r="C139" i="58" l="1" a="1"/>
  <c r="C139" i="58" s="1"/>
  <c r="B140" i="58"/>
  <c r="C140" i="58" l="1" a="1"/>
  <c r="C140" i="58" s="1"/>
  <c r="B141" i="58"/>
  <c r="C141" i="58" l="1" a="1"/>
  <c r="C141" i="58" s="1"/>
  <c r="B142" i="58"/>
  <c r="C142" i="58" l="1" a="1"/>
  <c r="C142" i="58" s="1"/>
  <c r="B143" i="58"/>
  <c r="C143" i="58" l="1" a="1"/>
  <c r="C143" i="58" s="1"/>
  <c r="B144" i="58"/>
  <c r="C144" i="58" l="1" a="1"/>
  <c r="C144" i="58" s="1"/>
  <c r="B145" i="58"/>
  <c r="C145" i="58" l="1" a="1"/>
  <c r="C145" i="58" s="1"/>
  <c r="B146" i="58"/>
  <c r="C146" i="58" l="1" a="1"/>
  <c r="C146" i="58" s="1"/>
  <c r="B147" i="58"/>
  <c r="C147" i="58" l="1" a="1"/>
  <c r="C147" i="58" s="1"/>
  <c r="B148" i="58"/>
  <c r="C148" i="58" l="1" a="1"/>
  <c r="C148" i="58" s="1"/>
  <c r="B149" i="58"/>
  <c r="C149" i="58" l="1" a="1"/>
  <c r="C149" i="58" s="1"/>
  <c r="B150" i="58"/>
  <c r="C150" i="58" l="1" a="1"/>
  <c r="C150" i="58" s="1"/>
  <c r="B151" i="58"/>
  <c r="C151" i="58" l="1" a="1"/>
  <c r="C151" i="58" s="1"/>
  <c r="B152" i="58"/>
  <c r="C152" i="58" l="1" a="1"/>
  <c r="C152" i="58" s="1"/>
  <c r="B153" i="58"/>
  <c r="C153" i="58" l="1" a="1"/>
  <c r="C153" i="58" s="1"/>
  <c r="B154" i="58"/>
  <c r="C154" i="58" l="1" a="1"/>
  <c r="C154" i="58" s="1"/>
  <c r="B155" i="58"/>
  <c r="C155" i="58" l="1" a="1"/>
  <c r="C155" i="58" s="1"/>
  <c r="B156" i="58"/>
  <c r="C156" i="58" l="1" a="1"/>
  <c r="C156" i="58" s="1"/>
  <c r="B157" i="58"/>
  <c r="C157" i="58" l="1" a="1"/>
  <c r="C157" i="58" s="1"/>
  <c r="B158" i="58"/>
  <c r="C158" i="58" l="1" a="1"/>
  <c r="C158" i="58" s="1"/>
  <c r="B159" i="58"/>
  <c r="C159" i="58" l="1" a="1"/>
  <c r="C159" i="58" s="1"/>
  <c r="B160" i="58"/>
  <c r="C160" i="58" l="1" a="1"/>
  <c r="C160" i="58" s="1"/>
  <c r="B161" i="58"/>
  <c r="C161" i="58" l="1" a="1"/>
  <c r="C161" i="58" s="1"/>
  <c r="B162" i="58"/>
  <c r="C162" i="58" l="1" a="1"/>
  <c r="C162" i="58" s="1"/>
  <c r="B163" i="58"/>
  <c r="C163" i="58" l="1" a="1"/>
  <c r="C163" i="58" s="1"/>
  <c r="B164" i="58"/>
  <c r="C164" i="58" l="1" a="1"/>
  <c r="C164" i="58" s="1"/>
  <c r="B165" i="58"/>
  <c r="C165" i="58" l="1" a="1"/>
  <c r="C165" i="58" s="1"/>
  <c r="B166" i="58"/>
  <c r="C166" i="58" l="1" a="1"/>
  <c r="C166" i="58" s="1"/>
  <c r="B167" i="58"/>
  <c r="C167" i="58" l="1" a="1"/>
  <c r="C167" i="58" s="1"/>
  <c r="B168" i="58"/>
  <c r="C168" i="58" l="1" a="1"/>
  <c r="C168" i="58" s="1"/>
  <c r="B169" i="58"/>
  <c r="C169" i="58" l="1" a="1"/>
  <c r="C169" i="58" s="1"/>
  <c r="B170" i="58"/>
  <c r="C170" i="58" l="1" a="1"/>
  <c r="C170" i="58" s="1"/>
  <c r="B171" i="58"/>
  <c r="C171" i="58" l="1" a="1"/>
  <c r="C171" i="58" s="1"/>
  <c r="B172" i="58"/>
  <c r="C172" i="58" l="1" a="1"/>
  <c r="C172" i="58" s="1"/>
  <c r="B173" i="58"/>
  <c r="C173" i="58" l="1" a="1"/>
  <c r="C173" i="58" s="1"/>
  <c r="B174" i="58"/>
  <c r="C174" i="58" l="1" a="1"/>
  <c r="C174" i="58" s="1"/>
  <c r="B175" i="58"/>
  <c r="C175" i="58" l="1" a="1"/>
  <c r="C175" i="58" s="1"/>
  <c r="B176" i="58"/>
  <c r="C176" i="58" l="1" a="1"/>
  <c r="C176" i="58" s="1"/>
  <c r="B177" i="58"/>
  <c r="C177" i="58" l="1" a="1"/>
  <c r="C177" i="58" s="1"/>
  <c r="B178" i="58"/>
  <c r="C178" i="58" l="1" a="1"/>
  <c r="C178" i="58" s="1"/>
  <c r="B179" i="58"/>
  <c r="C179" i="58" l="1" a="1"/>
  <c r="C179" i="58" s="1"/>
  <c r="B180" i="58"/>
  <c r="C180" i="58" l="1" a="1"/>
  <c r="C180" i="58" s="1"/>
  <c r="B181" i="58"/>
  <c r="C181" i="58" l="1" a="1"/>
  <c r="C181" i="58" s="1"/>
  <c r="B182" i="58"/>
  <c r="C182" i="58" l="1" a="1"/>
  <c r="C182" i="58" s="1"/>
  <c r="B183" i="58"/>
  <c r="C183" i="58" l="1" a="1"/>
  <c r="C183" i="58" s="1"/>
  <c r="B184" i="58"/>
  <c r="C184" i="58" l="1" a="1"/>
  <c r="C184" i="58" s="1"/>
  <c r="B185" i="58"/>
  <c r="C185" i="58" l="1" a="1"/>
  <c r="C185" i="58" s="1"/>
  <c r="B186" i="58"/>
  <c r="C186" i="58" l="1" a="1"/>
  <c r="C186" i="58" s="1"/>
  <c r="B187" i="58"/>
  <c r="C187" i="58" l="1" a="1"/>
  <c r="C187" i="58" s="1"/>
  <c r="B188" i="58"/>
  <c r="C188" i="58" l="1" a="1"/>
  <c r="C188" i="58" s="1"/>
  <c r="B189" i="58"/>
  <c r="C189" i="58" l="1" a="1"/>
  <c r="C189" i="58" s="1"/>
  <c r="B190" i="58"/>
  <c r="C190" i="58" l="1" a="1"/>
  <c r="C190" i="58" s="1"/>
  <c r="B191" i="58"/>
  <c r="C191" i="58" l="1" a="1"/>
  <c r="C191" i="58" s="1"/>
  <c r="B192" i="58"/>
  <c r="C192" i="58" l="1" a="1"/>
  <c r="C192" i="58" s="1"/>
  <c r="B193" i="58"/>
  <c r="C193" i="58" l="1" a="1"/>
  <c r="C193" i="58" s="1"/>
  <c r="B194" i="58"/>
  <c r="C194" i="58" l="1" a="1"/>
  <c r="C194" i="58" s="1"/>
  <c r="B195" i="58"/>
  <c r="C195" i="58" l="1" a="1"/>
  <c r="C195" i="58" s="1"/>
  <c r="B196" i="58"/>
  <c r="C196" i="58" l="1" a="1"/>
  <c r="C196" i="58" s="1"/>
  <c r="B197" i="58"/>
  <c r="C197" i="58" l="1" a="1"/>
  <c r="C197" i="58" s="1"/>
  <c r="B198" i="58"/>
  <c r="C198" i="58" l="1" a="1"/>
  <c r="C198" i="58" s="1"/>
  <c r="B199" i="58"/>
  <c r="C199" i="58" l="1" a="1"/>
  <c r="C199" i="58" s="1"/>
  <c r="B200" i="58"/>
  <c r="C200" i="58" l="1" a="1"/>
  <c r="C200" i="58" s="1"/>
  <c r="B201" i="58"/>
  <c r="C201" i="58" l="1" a="1"/>
  <c r="C201" i="58" s="1"/>
  <c r="B202" i="58"/>
  <c r="C202" i="58" l="1" a="1"/>
  <c r="C202" i="58" s="1"/>
  <c r="B203" i="58"/>
  <c r="C203" i="58" l="1" a="1"/>
  <c r="C203" i="58" s="1"/>
  <c r="B204" i="58"/>
  <c r="C204" i="58" l="1" a="1"/>
  <c r="C204" i="58" s="1"/>
  <c r="B205" i="58"/>
  <c r="C205" i="58" l="1" a="1"/>
  <c r="C205" i="58" s="1"/>
  <c r="B206" i="58"/>
  <c r="C206" i="58" l="1" a="1"/>
  <c r="C206" i="58" s="1"/>
  <c r="B207" i="58"/>
  <c r="C207" i="58" l="1" a="1"/>
  <c r="C207" i="58" s="1"/>
  <c r="B208" i="58"/>
  <c r="C208" i="58" l="1" a="1"/>
  <c r="C208" i="58" s="1"/>
  <c r="B209" i="58"/>
  <c r="C209" i="58" l="1" a="1"/>
  <c r="C209" i="58" s="1"/>
  <c r="B210" i="58"/>
  <c r="C210" i="58" l="1" a="1"/>
  <c r="C210" i="58" s="1"/>
  <c r="B211" i="58"/>
  <c r="C211" i="58" l="1" a="1"/>
  <c r="C211" i="58" s="1"/>
  <c r="B212" i="58"/>
  <c r="C212" i="58" l="1" a="1"/>
  <c r="C212" i="58" s="1"/>
  <c r="B213" i="58"/>
  <c r="C213" i="58" l="1" a="1"/>
  <c r="C213" i="58" s="1"/>
  <c r="B214" i="58"/>
  <c r="C214" i="58" l="1" a="1"/>
  <c r="C214" i="58" s="1"/>
  <c r="B215" i="58"/>
  <c r="C215" i="58" l="1" a="1"/>
  <c r="C215" i="58" s="1"/>
  <c r="B216" i="58"/>
  <c r="C216" i="58" l="1" a="1"/>
  <c r="C216" i="58" s="1"/>
  <c r="B217" i="58"/>
  <c r="C217" i="58" l="1" a="1"/>
  <c r="C217" i="58" s="1"/>
  <c r="B218" i="58"/>
  <c r="C218" i="58" l="1" a="1"/>
  <c r="C218" i="58" s="1"/>
  <c r="B219" i="58"/>
  <c r="C219" i="58" l="1" a="1"/>
  <c r="C219" i="58" s="1"/>
  <c r="B220" i="58"/>
  <c r="C220" i="58" l="1" a="1"/>
  <c r="C220" i="58" s="1"/>
  <c r="B221" i="58"/>
  <c r="C221" i="58" l="1" a="1"/>
  <c r="C221" i="58" s="1"/>
  <c r="B222" i="58"/>
  <c r="C222" i="58" l="1" a="1"/>
  <c r="C222" i="58" s="1"/>
  <c r="B223" i="58"/>
  <c r="C223" i="58" l="1" a="1"/>
  <c r="C223" i="58" s="1"/>
  <c r="B224" i="58"/>
  <c r="C224" i="58" l="1" a="1"/>
  <c r="C224" i="58" s="1"/>
  <c r="B225" i="58"/>
  <c r="C225" i="58" l="1" a="1"/>
  <c r="C225" i="58" s="1"/>
  <c r="B226" i="58"/>
  <c r="C226" i="58" l="1" a="1"/>
  <c r="C226" i="58" s="1"/>
  <c r="B227" i="58"/>
  <c r="C227" i="58" l="1" a="1"/>
  <c r="C227" i="58" s="1"/>
  <c r="B228" i="58"/>
  <c r="C228" i="58" l="1" a="1"/>
  <c r="C228" i="58" s="1"/>
  <c r="B229" i="58"/>
  <c r="C229" i="58" l="1" a="1"/>
  <c r="C229" i="58" s="1"/>
  <c r="B230" i="58"/>
  <c r="C230" i="58" l="1" a="1"/>
  <c r="C230" i="58" s="1"/>
  <c r="B231" i="58"/>
  <c r="C231" i="58" l="1" a="1"/>
  <c r="C231" i="58" s="1"/>
  <c r="B232" i="58"/>
  <c r="C232" i="58" l="1" a="1"/>
  <c r="C232" i="58" s="1"/>
  <c r="B233" i="58"/>
  <c r="C233" i="58" l="1" a="1"/>
  <c r="C233" i="58" s="1"/>
  <c r="B234" i="58"/>
  <c r="C234" i="58" l="1" a="1"/>
  <c r="C234" i="58" s="1"/>
  <c r="B235" i="58"/>
  <c r="C235" i="58" l="1" a="1"/>
  <c r="C235" i="58" s="1"/>
  <c r="B236" i="58"/>
  <c r="C236" i="58" l="1" a="1"/>
  <c r="C236" i="58" s="1"/>
  <c r="B237" i="58"/>
  <c r="C237" i="58" l="1" a="1"/>
  <c r="C237" i="58" s="1"/>
  <c r="B238" i="58"/>
  <c r="C238" i="58" l="1" a="1"/>
  <c r="C238" i="58" s="1"/>
  <c r="B239" i="58"/>
  <c r="C239" i="58" l="1" a="1"/>
  <c r="C239" i="58" s="1"/>
  <c r="B240" i="58"/>
  <c r="C240" i="58" l="1" a="1"/>
  <c r="C240" i="58" s="1"/>
  <c r="B241" i="58"/>
  <c r="C241" i="58" l="1" a="1"/>
  <c r="C241" i="58" s="1"/>
  <c r="B242" i="58"/>
  <c r="C242" i="58" l="1" a="1"/>
  <c r="C242" i="58" s="1"/>
  <c r="B243" i="58"/>
  <c r="C243" i="58" l="1" a="1"/>
  <c r="C243" i="58" s="1"/>
  <c r="B244" i="58"/>
  <c r="C244" i="58" l="1" a="1"/>
  <c r="C244" i="58" s="1"/>
  <c r="B245" i="58"/>
  <c r="C245" i="58" l="1" a="1"/>
  <c r="C245" i="58" s="1"/>
  <c r="B246" i="58"/>
  <c r="C246" i="58" l="1" a="1"/>
  <c r="C246" i="58" s="1"/>
  <c r="B247" i="58"/>
  <c r="C247" i="58" l="1" a="1"/>
  <c r="C247" i="58" s="1"/>
  <c r="B248" i="58"/>
  <c r="C248" i="58" l="1" a="1"/>
  <c r="C248" i="58" s="1"/>
  <c r="B249" i="58"/>
  <c r="C249" i="58" l="1" a="1"/>
  <c r="C249" i="58" s="1"/>
  <c r="B250" i="58"/>
  <c r="C250" i="58" l="1" a="1"/>
  <c r="C250" i="58" s="1"/>
  <c r="B251" i="58"/>
  <c r="C251" i="58" l="1" a="1"/>
  <c r="C251" i="58" s="1"/>
  <c r="B252" i="58"/>
  <c r="C252" i="58" l="1" a="1"/>
  <c r="C252" i="58" s="1"/>
  <c r="B253" i="58"/>
  <c r="C253" i="58" l="1" a="1"/>
  <c r="C253" i="58" s="1"/>
  <c r="B254" i="58"/>
  <c r="C254" i="58" l="1" a="1"/>
  <c r="C254" i="58" s="1"/>
  <c r="B255" i="58"/>
  <c r="C255" i="58" l="1" a="1"/>
  <c r="C255" i="58" s="1"/>
  <c r="B256" i="58"/>
  <c r="C256" i="58" l="1" a="1"/>
  <c r="C256" i="58" s="1"/>
  <c r="B257" i="58"/>
  <c r="C257" i="58" l="1" a="1"/>
  <c r="C257" i="58" s="1"/>
  <c r="B258" i="58"/>
  <c r="C258" i="58" l="1" a="1"/>
  <c r="C258" i="58" s="1"/>
  <c r="B259" i="58"/>
  <c r="C259" i="58" l="1" a="1"/>
  <c r="C259" i="58" s="1"/>
  <c r="B260" i="58"/>
  <c r="C260" i="58" l="1" a="1"/>
  <c r="C260" i="58" s="1"/>
  <c r="B261" i="58"/>
  <c r="C261" i="58" l="1" a="1"/>
  <c r="C261" i="58" s="1"/>
  <c r="B262" i="58"/>
  <c r="C262" i="58" l="1" a="1"/>
  <c r="C262" i="58" s="1"/>
  <c r="B263" i="58"/>
  <c r="C263" i="58" l="1" a="1"/>
  <c r="C263" i="58" s="1"/>
  <c r="B264" i="58"/>
  <c r="C264" i="58" l="1" a="1"/>
  <c r="C264" i="58" s="1"/>
  <c r="B265" i="58"/>
  <c r="C265" i="58" l="1" a="1"/>
  <c r="C265" i="58" s="1"/>
  <c r="B266" i="58"/>
  <c r="C266" i="58" l="1" a="1"/>
  <c r="C266" i="58" s="1"/>
  <c r="B267" i="58"/>
  <c r="C267" i="58" l="1" a="1"/>
  <c r="C267" i="58" s="1"/>
  <c r="B268" i="58"/>
  <c r="C268" i="58" l="1" a="1"/>
  <c r="C268" i="58" s="1"/>
  <c r="B269" i="58"/>
  <c r="C269" i="58" l="1" a="1"/>
  <c r="C269" i="58" s="1"/>
  <c r="B270" i="58"/>
  <c r="C270" i="58" l="1" a="1"/>
  <c r="C270" i="58" s="1"/>
  <c r="B271" i="58"/>
  <c r="C271" i="58" l="1" a="1"/>
  <c r="C271" i="58" s="1"/>
  <c r="B272" i="58"/>
  <c r="C272" i="58" l="1" a="1"/>
  <c r="C272" i="58" s="1"/>
  <c r="B273" i="58"/>
  <c r="C273" i="58" l="1" a="1"/>
  <c r="C273" i="58" s="1"/>
  <c r="B274" i="58"/>
  <c r="C274" i="58" l="1" a="1"/>
  <c r="C274" i="58" s="1"/>
  <c r="B275" i="58"/>
  <c r="C275" i="58" l="1" a="1"/>
  <c r="C275" i="58" s="1"/>
  <c r="B276" i="58"/>
  <c r="C276" i="58" l="1" a="1"/>
  <c r="C276" i="58" s="1"/>
  <c r="B277" i="58"/>
  <c r="C277" i="58" l="1" a="1"/>
  <c r="C277" i="58" s="1"/>
  <c r="B278" i="58"/>
  <c r="C278" i="58" l="1" a="1"/>
  <c r="C278" i="58" s="1"/>
  <c r="B279" i="58"/>
  <c r="C279" i="58" l="1" a="1"/>
  <c r="C279" i="58" s="1"/>
  <c r="B280" i="58"/>
  <c r="C280" i="58" l="1" a="1"/>
  <c r="C280" i="58" s="1"/>
  <c r="B281" i="58"/>
  <c r="C281" i="58" l="1" a="1"/>
  <c r="C281" i="58" s="1"/>
  <c r="B282" i="58"/>
  <c r="C282" i="58" l="1" a="1"/>
  <c r="C282" i="58" s="1"/>
  <c r="B283" i="58"/>
  <c r="C283" i="58" l="1" a="1"/>
  <c r="C283" i="58" s="1"/>
  <c r="B284" i="58"/>
  <c r="C284" i="58" l="1" a="1"/>
  <c r="C284" i="58" s="1"/>
  <c r="B285" i="58"/>
  <c r="C285" i="58" l="1" a="1"/>
  <c r="C285" i="58" s="1"/>
  <c r="B286" i="58"/>
  <c r="C286" i="58" l="1" a="1"/>
  <c r="C286" i="58" s="1"/>
  <c r="B287" i="58"/>
  <c r="C287" i="58" l="1" a="1"/>
  <c r="C287" i="58" s="1"/>
  <c r="B288" i="58"/>
  <c r="C288" i="58" l="1" a="1"/>
  <c r="C288" i="58" s="1"/>
  <c r="B289" i="58"/>
  <c r="C289" i="58" l="1" a="1"/>
  <c r="C289" i="58" s="1"/>
  <c r="B290" i="58"/>
  <c r="C290" i="58" l="1" a="1"/>
  <c r="C290" i="58" s="1"/>
  <c r="B291" i="58"/>
  <c r="C291" i="58" l="1" a="1"/>
  <c r="C291" i="58" s="1"/>
  <c r="B292" i="58"/>
  <c r="C292" i="58" l="1" a="1"/>
  <c r="C292" i="58" s="1"/>
  <c r="B293" i="58"/>
  <c r="C293" i="58" l="1" a="1"/>
  <c r="C293" i="58" s="1"/>
  <c r="B294" i="58"/>
  <c r="C294" i="58" l="1" a="1"/>
  <c r="C294" i="58" s="1"/>
  <c r="B295" i="58"/>
  <c r="C295" i="58" l="1" a="1"/>
  <c r="C295" i="58" s="1"/>
  <c r="B296" i="58"/>
  <c r="C296" i="58" l="1" a="1"/>
  <c r="C296" i="58" s="1"/>
  <c r="B297" i="58"/>
  <c r="C297" i="58" l="1" a="1"/>
  <c r="C297" i="58" s="1"/>
  <c r="B298" i="58"/>
  <c r="C298" i="58" l="1" a="1"/>
  <c r="C298" i="58" s="1"/>
  <c r="B299" i="58"/>
  <c r="C299" i="58" l="1" a="1"/>
  <c r="C299" i="58" s="1"/>
  <c r="B300" i="58"/>
  <c r="C300" i="58" l="1" a="1"/>
  <c r="C300" i="58" s="1"/>
  <c r="B301" i="58"/>
  <c r="C301" i="58" l="1" a="1"/>
  <c r="C301" i="58" s="1"/>
  <c r="B302" i="58"/>
  <c r="C302" i="58" l="1" a="1"/>
  <c r="C302" i="58" s="1"/>
  <c r="B303" i="58"/>
  <c r="C303" i="58" l="1" a="1"/>
  <c r="C303" i="58" s="1"/>
  <c r="B304" i="58"/>
  <c r="C304" i="58" l="1" a="1"/>
  <c r="C304" i="58" s="1"/>
  <c r="B305" i="58"/>
  <c r="C305" i="58" l="1" a="1"/>
  <c r="C305" i="58" s="1"/>
  <c r="B306" i="58"/>
  <c r="C306" i="58" l="1" a="1"/>
  <c r="C306" i="58" s="1"/>
  <c r="B307" i="58"/>
  <c r="C307" i="58" l="1" a="1"/>
  <c r="C307" i="58" s="1"/>
  <c r="B308" i="58"/>
  <c r="C308" i="58" l="1" a="1"/>
  <c r="C308" i="58" s="1"/>
  <c r="B309" i="58"/>
  <c r="C309" i="58" l="1" a="1"/>
  <c r="C309" i="58" s="1"/>
  <c r="B310" i="58"/>
  <c r="C310" i="58" l="1" a="1"/>
  <c r="C310" i="58" s="1"/>
  <c r="B311" i="58"/>
  <c r="C311" i="58" l="1" a="1"/>
  <c r="C311" i="58" s="1"/>
  <c r="B312" i="58"/>
  <c r="C312" i="58" l="1" a="1"/>
  <c r="C312" i="58" s="1"/>
  <c r="B313" i="58"/>
  <c r="C313" i="58" l="1" a="1"/>
  <c r="C313" i="58" s="1"/>
  <c r="B314" i="58"/>
  <c r="C314" i="58" l="1" a="1"/>
  <c r="C314" i="58" s="1"/>
  <c r="B315" i="58"/>
  <c r="C315" i="58" l="1" a="1"/>
  <c r="C315" i="58" s="1"/>
  <c r="B316" i="58"/>
  <c r="C316" i="58" l="1" a="1"/>
  <c r="C316" i="58" s="1"/>
  <c r="B317" i="58"/>
  <c r="C317" i="58" l="1" a="1"/>
  <c r="C317" i="58" s="1"/>
  <c r="B318" i="58"/>
  <c r="C318" i="58" l="1" a="1"/>
  <c r="C318" i="58" s="1"/>
  <c r="B6" i="58"/>
  <c r="C6" i="58" s="1" a="1"/>
  <c r="C6" i="58" s="1"/>
  <c r="K5" i="1" l="1"/>
  <c r="L5" i="1"/>
  <c r="M5" i="1"/>
  <c r="N5" i="1"/>
  <c r="O5" i="1"/>
  <c r="P5" i="1"/>
  <c r="J5" i="1"/>
  <c r="K4" i="1"/>
  <c r="L4" i="1"/>
  <c r="M4" i="1"/>
  <c r="N4" i="1"/>
  <c r="O4" i="1"/>
  <c r="P4" i="1"/>
  <c r="J4" i="1"/>
  <c r="J7" i="1"/>
  <c r="K7" i="1"/>
  <c r="L7" i="1"/>
  <c r="M7" i="1"/>
  <c r="N7" i="1"/>
  <c r="O7" i="1"/>
  <c r="P7" i="1"/>
  <c r="K6" i="1"/>
  <c r="L6" i="1"/>
  <c r="M6" i="1"/>
  <c r="N6" i="1"/>
  <c r="O6" i="1"/>
  <c r="P6" i="1"/>
  <c r="J6" i="1"/>
  <c r="DE5" i="1"/>
  <c r="DE6" i="1"/>
  <c r="DE7" i="1"/>
  <c r="DE8" i="1"/>
  <c r="DE9" i="1"/>
  <c r="DE10" i="1"/>
  <c r="DE11" i="1"/>
  <c r="DE12" i="1"/>
  <c r="DE13" i="1"/>
  <c r="DE4" i="1"/>
  <c r="X131" i="49"/>
  <c r="W131" i="49"/>
  <c r="V131" i="49"/>
  <c r="U131" i="49"/>
  <c r="T131" i="49"/>
  <c r="S131" i="49"/>
  <c r="X130" i="49"/>
  <c r="W130" i="49"/>
  <c r="V130" i="49"/>
  <c r="U130" i="49"/>
  <c r="T130" i="49"/>
  <c r="S130" i="49"/>
  <c r="X129" i="49"/>
  <c r="W129" i="49"/>
  <c r="V129" i="49"/>
  <c r="U129" i="49"/>
  <c r="T129" i="49"/>
  <c r="S129" i="49"/>
  <c r="X128" i="49"/>
  <c r="W128" i="49"/>
  <c r="V128" i="49"/>
  <c r="U128" i="49"/>
  <c r="T128" i="49"/>
  <c r="S128" i="49"/>
  <c r="X127" i="49"/>
  <c r="W127" i="49"/>
  <c r="V127" i="49"/>
  <c r="U127" i="49"/>
  <c r="T127" i="49"/>
  <c r="S127" i="49"/>
  <c r="X126" i="49"/>
  <c r="W126" i="49"/>
  <c r="V126" i="49"/>
  <c r="U126" i="49"/>
  <c r="T126" i="49"/>
  <c r="S126" i="49"/>
  <c r="X125" i="49"/>
  <c r="W125" i="49"/>
  <c r="V125" i="49"/>
  <c r="U125" i="49"/>
  <c r="T125" i="49"/>
  <c r="S125" i="49"/>
  <c r="X124" i="49"/>
  <c r="W124" i="49"/>
  <c r="V124" i="49"/>
  <c r="U124" i="49"/>
  <c r="T124" i="49"/>
  <c r="S124" i="49"/>
  <c r="X123" i="49"/>
  <c r="W123" i="49"/>
  <c r="V123" i="49"/>
  <c r="U123" i="49"/>
  <c r="T123" i="49"/>
  <c r="S123" i="49"/>
  <c r="X122" i="49"/>
  <c r="W122" i="49"/>
  <c r="V122" i="49"/>
  <c r="U122" i="49"/>
  <c r="T122" i="49"/>
  <c r="S122" i="49"/>
  <c r="X121" i="49"/>
  <c r="W121" i="49"/>
  <c r="V121" i="49"/>
  <c r="U121" i="49"/>
  <c r="T121" i="49"/>
  <c r="S121" i="49"/>
  <c r="X120" i="49"/>
  <c r="W120" i="49"/>
  <c r="V120" i="49"/>
  <c r="U120" i="49"/>
  <c r="T120" i="49"/>
  <c r="S120" i="49"/>
  <c r="X119" i="49"/>
  <c r="W119" i="49"/>
  <c r="V119" i="49"/>
  <c r="U119" i="49"/>
  <c r="T119" i="49"/>
  <c r="S119" i="49"/>
  <c r="X118" i="49"/>
  <c r="W118" i="49"/>
  <c r="V118" i="49"/>
  <c r="U118" i="49"/>
  <c r="T118" i="49"/>
  <c r="S118" i="49"/>
  <c r="X117" i="49"/>
  <c r="W117" i="49"/>
  <c r="V117" i="49"/>
  <c r="U117" i="49"/>
  <c r="T117" i="49"/>
  <c r="S117" i="49"/>
  <c r="X116" i="49"/>
  <c r="W116" i="49"/>
  <c r="V116" i="49"/>
  <c r="U116" i="49"/>
  <c r="T116" i="49"/>
  <c r="S116" i="49"/>
  <c r="X115" i="49"/>
  <c r="W115" i="49"/>
  <c r="V115" i="49"/>
  <c r="U115" i="49"/>
  <c r="T115" i="49"/>
  <c r="S115" i="49"/>
  <c r="X114" i="49"/>
  <c r="W114" i="49"/>
  <c r="V114" i="49"/>
  <c r="U114" i="49"/>
  <c r="T114" i="49"/>
  <c r="S114" i="49"/>
  <c r="X113" i="49"/>
  <c r="W113" i="49"/>
  <c r="V113" i="49"/>
  <c r="U113" i="49"/>
  <c r="T113" i="49"/>
  <c r="S113" i="49"/>
  <c r="X112" i="49"/>
  <c r="W112" i="49"/>
  <c r="V112" i="49"/>
  <c r="U112" i="49"/>
  <c r="T112" i="49"/>
  <c r="S112" i="49"/>
  <c r="X111" i="49"/>
  <c r="W111" i="49"/>
  <c r="V111" i="49"/>
  <c r="U111" i="49"/>
  <c r="T111" i="49"/>
  <c r="S111" i="49"/>
  <c r="X110" i="49"/>
  <c r="W110" i="49"/>
  <c r="V110" i="49"/>
  <c r="U110" i="49"/>
  <c r="T110" i="49"/>
  <c r="S110" i="49"/>
  <c r="X109" i="49"/>
  <c r="W109" i="49"/>
  <c r="V109" i="49"/>
  <c r="U109" i="49"/>
  <c r="AB110" i="49" s="1"/>
  <c r="T109" i="49"/>
  <c r="S109" i="49"/>
  <c r="X108" i="49"/>
  <c r="W108" i="49"/>
  <c r="V108" i="49"/>
  <c r="U108" i="49"/>
  <c r="T108" i="49"/>
  <c r="S108" i="49"/>
  <c r="Z108" i="49" s="1"/>
  <c r="X107" i="49"/>
  <c r="W107" i="49"/>
  <c r="V107" i="49"/>
  <c r="U107" i="49"/>
  <c r="T107" i="49"/>
  <c r="S107" i="49"/>
  <c r="X106" i="49"/>
  <c r="W106" i="49"/>
  <c r="AD107" i="49" s="1"/>
  <c r="V106" i="49"/>
  <c r="U106" i="49"/>
  <c r="T106" i="49"/>
  <c r="S106" i="49"/>
  <c r="X105" i="49"/>
  <c r="W105" i="49"/>
  <c r="V105" i="49"/>
  <c r="U105" i="49"/>
  <c r="AB105" i="49" s="1"/>
  <c r="T105" i="49"/>
  <c r="S105" i="49"/>
  <c r="X104" i="49"/>
  <c r="W104" i="49"/>
  <c r="V104" i="49"/>
  <c r="U104" i="49"/>
  <c r="T104" i="49"/>
  <c r="S104" i="49"/>
  <c r="Z104" i="49" s="1"/>
  <c r="X103" i="49"/>
  <c r="W103" i="49"/>
  <c r="V103" i="49"/>
  <c r="U103" i="49"/>
  <c r="T103" i="49"/>
  <c r="S103" i="49"/>
  <c r="X102" i="49"/>
  <c r="W102" i="49"/>
  <c r="AD103" i="49" s="1"/>
  <c r="V102" i="49"/>
  <c r="U102" i="49"/>
  <c r="T102" i="49"/>
  <c r="S102" i="49"/>
  <c r="X101" i="49"/>
  <c r="W101" i="49"/>
  <c r="V101" i="49"/>
  <c r="U101" i="49"/>
  <c r="AB102" i="49" s="1"/>
  <c r="T101" i="49"/>
  <c r="S101" i="49"/>
  <c r="X100" i="49"/>
  <c r="W100" i="49"/>
  <c r="V100" i="49"/>
  <c r="U100" i="49"/>
  <c r="T100" i="49"/>
  <c r="S100" i="49"/>
  <c r="Z100" i="49" s="1"/>
  <c r="X99" i="49"/>
  <c r="W99" i="49"/>
  <c r="V99" i="49"/>
  <c r="U99" i="49"/>
  <c r="T99" i="49"/>
  <c r="S99" i="49"/>
  <c r="X98" i="49"/>
  <c r="W98" i="49"/>
  <c r="AD98" i="49" s="1"/>
  <c r="V98" i="49"/>
  <c r="U98" i="49"/>
  <c r="T98" i="49"/>
  <c r="S98" i="49"/>
  <c r="X97" i="49"/>
  <c r="W97" i="49"/>
  <c r="V97" i="49"/>
  <c r="U97" i="49"/>
  <c r="AB98" i="49" s="1"/>
  <c r="T97" i="49"/>
  <c r="S97" i="49"/>
  <c r="X96" i="49"/>
  <c r="W96" i="49"/>
  <c r="V96" i="49"/>
  <c r="U96" i="49"/>
  <c r="T96" i="49"/>
  <c r="S96" i="49"/>
  <c r="Z96" i="49" s="1"/>
  <c r="X95" i="49"/>
  <c r="W95" i="49"/>
  <c r="V95" i="49"/>
  <c r="U95" i="49"/>
  <c r="T95" i="49"/>
  <c r="S95" i="49"/>
  <c r="X94" i="49"/>
  <c r="W94" i="49"/>
  <c r="AD94" i="49" s="1"/>
  <c r="V94" i="49"/>
  <c r="U94" i="49"/>
  <c r="T94" i="49"/>
  <c r="S94" i="49"/>
  <c r="X93" i="49"/>
  <c r="W93" i="49"/>
  <c r="V93" i="49"/>
  <c r="U93" i="49"/>
  <c r="AB93" i="49" s="1"/>
  <c r="T93" i="49"/>
  <c r="S93" i="49"/>
  <c r="X92" i="49"/>
  <c r="W92" i="49"/>
  <c r="V92" i="49"/>
  <c r="U92" i="49"/>
  <c r="T92" i="49"/>
  <c r="S92" i="49"/>
  <c r="Z93" i="49" s="1"/>
  <c r="X91" i="49"/>
  <c r="W91" i="49"/>
  <c r="V91" i="49"/>
  <c r="U91" i="49"/>
  <c r="T91" i="49"/>
  <c r="S91" i="49"/>
  <c r="X90" i="49"/>
  <c r="W90" i="49"/>
  <c r="V90" i="49"/>
  <c r="U90" i="49"/>
  <c r="T90" i="49"/>
  <c r="S90" i="49"/>
  <c r="X89" i="49"/>
  <c r="W89" i="49"/>
  <c r="V89" i="49"/>
  <c r="U89" i="49"/>
  <c r="AB89" i="49" s="1"/>
  <c r="T89" i="49"/>
  <c r="S89" i="49"/>
  <c r="X88" i="49"/>
  <c r="W88" i="49"/>
  <c r="V88" i="49"/>
  <c r="U88" i="49"/>
  <c r="T88" i="49"/>
  <c r="S88" i="49"/>
  <c r="Z88" i="49" s="1"/>
  <c r="X87" i="49"/>
  <c r="W87" i="49"/>
  <c r="V87" i="49"/>
  <c r="U87" i="49"/>
  <c r="T87" i="49"/>
  <c r="S87" i="49"/>
  <c r="X86" i="49"/>
  <c r="W86" i="49"/>
  <c r="AD87" i="49" s="1"/>
  <c r="V86" i="49"/>
  <c r="U86" i="49"/>
  <c r="T86" i="49"/>
  <c r="S86" i="49"/>
  <c r="X85" i="49"/>
  <c r="W85" i="49"/>
  <c r="V85" i="49"/>
  <c r="U85" i="49"/>
  <c r="AB86" i="49" s="1"/>
  <c r="T85" i="49"/>
  <c r="S85" i="49"/>
  <c r="X84" i="49"/>
  <c r="W84" i="49"/>
  <c r="V84" i="49"/>
  <c r="U84" i="49"/>
  <c r="T84" i="49"/>
  <c r="S84" i="49"/>
  <c r="Z84" i="49" s="1"/>
  <c r="X83" i="49"/>
  <c r="W83" i="49"/>
  <c r="V83" i="49"/>
  <c r="U83" i="49"/>
  <c r="T83" i="49"/>
  <c r="S83" i="49"/>
  <c r="X82" i="49"/>
  <c r="W82" i="49"/>
  <c r="AD83" i="49" s="1"/>
  <c r="V82" i="49"/>
  <c r="U82" i="49"/>
  <c r="T82" i="49"/>
  <c r="S82" i="49"/>
  <c r="X81" i="49"/>
  <c r="W81" i="49"/>
  <c r="V81" i="49"/>
  <c r="U81" i="49"/>
  <c r="T81" i="49"/>
  <c r="S81" i="49"/>
  <c r="X80" i="49"/>
  <c r="W80" i="49"/>
  <c r="V80" i="49"/>
  <c r="U80" i="49"/>
  <c r="T80" i="49"/>
  <c r="S80" i="49"/>
  <c r="Z81" i="49" s="1"/>
  <c r="X79" i="49"/>
  <c r="W79" i="49"/>
  <c r="V79" i="49"/>
  <c r="U79" i="49"/>
  <c r="T79" i="49"/>
  <c r="S79" i="49"/>
  <c r="X78" i="49"/>
  <c r="W78" i="49"/>
  <c r="V78" i="49"/>
  <c r="U78" i="49"/>
  <c r="T78" i="49"/>
  <c r="S78" i="49"/>
  <c r="X77" i="49"/>
  <c r="W77" i="49"/>
  <c r="V77" i="49"/>
  <c r="U77" i="49"/>
  <c r="T77" i="49"/>
  <c r="S77" i="49"/>
  <c r="X76" i="49"/>
  <c r="W76" i="49"/>
  <c r="V76" i="49"/>
  <c r="U76" i="49"/>
  <c r="T76" i="49"/>
  <c r="S76" i="49"/>
  <c r="Z76" i="49" s="1"/>
  <c r="X75" i="49"/>
  <c r="W75" i="49"/>
  <c r="V75" i="49"/>
  <c r="U75" i="49"/>
  <c r="T75" i="49"/>
  <c r="S75" i="49"/>
  <c r="X74" i="49"/>
  <c r="W74" i="49"/>
  <c r="V74" i="49"/>
  <c r="U74" i="49"/>
  <c r="T74" i="49"/>
  <c r="S74" i="49"/>
  <c r="X73" i="49"/>
  <c r="W73" i="49"/>
  <c r="V73" i="49"/>
  <c r="U73" i="49"/>
  <c r="T73" i="49"/>
  <c r="S73" i="49"/>
  <c r="X72" i="49"/>
  <c r="W72" i="49"/>
  <c r="V72" i="49"/>
  <c r="U72" i="49"/>
  <c r="T72" i="49"/>
  <c r="S72" i="49"/>
  <c r="Z73" i="49" s="1"/>
  <c r="X71" i="49"/>
  <c r="W71" i="49"/>
  <c r="V71" i="49"/>
  <c r="U71" i="49"/>
  <c r="T71" i="49"/>
  <c r="S71" i="49"/>
  <c r="X70" i="49"/>
  <c r="W70" i="49"/>
  <c r="V70" i="49"/>
  <c r="U70" i="49"/>
  <c r="T70" i="49"/>
  <c r="S70" i="49"/>
  <c r="X69" i="49"/>
  <c r="W69" i="49"/>
  <c r="V69" i="49"/>
  <c r="U69" i="49"/>
  <c r="T69" i="49"/>
  <c r="S69" i="49"/>
  <c r="X68" i="49"/>
  <c r="W68" i="49"/>
  <c r="V68" i="49"/>
  <c r="U68" i="49"/>
  <c r="T68" i="49"/>
  <c r="S68" i="49"/>
  <c r="Z69" i="49" s="1"/>
  <c r="X67" i="49"/>
  <c r="W67" i="49"/>
  <c r="V67" i="49"/>
  <c r="U67" i="49"/>
  <c r="T67" i="49"/>
  <c r="S67" i="49"/>
  <c r="X66" i="49"/>
  <c r="W66" i="49"/>
  <c r="V66" i="49"/>
  <c r="U66" i="49"/>
  <c r="T66" i="49"/>
  <c r="S66" i="49"/>
  <c r="X65" i="49"/>
  <c r="W65" i="49"/>
  <c r="V65" i="49"/>
  <c r="U65" i="49"/>
  <c r="T65" i="49"/>
  <c r="S65" i="49"/>
  <c r="X64" i="49"/>
  <c r="W64" i="49"/>
  <c r="V64" i="49"/>
  <c r="U64" i="49"/>
  <c r="T64" i="49"/>
  <c r="S64" i="49"/>
  <c r="Z65" i="49" s="1"/>
  <c r="X63" i="49"/>
  <c r="W63" i="49"/>
  <c r="V63" i="49"/>
  <c r="U63" i="49"/>
  <c r="T63" i="49"/>
  <c r="S63" i="49"/>
  <c r="X62" i="49"/>
  <c r="W62" i="49"/>
  <c r="V62" i="49"/>
  <c r="U62" i="49"/>
  <c r="T62" i="49"/>
  <c r="S62" i="49"/>
  <c r="X61" i="49"/>
  <c r="W61" i="49"/>
  <c r="V61" i="49"/>
  <c r="U61" i="49"/>
  <c r="T61" i="49"/>
  <c r="S61" i="49"/>
  <c r="X60" i="49"/>
  <c r="W60" i="49"/>
  <c r="V60" i="49"/>
  <c r="U60" i="49"/>
  <c r="T60" i="49"/>
  <c r="S60" i="49"/>
  <c r="Z61" i="49" s="1"/>
  <c r="X59" i="49"/>
  <c r="W59" i="49"/>
  <c r="V59" i="49"/>
  <c r="U59" i="49"/>
  <c r="T59" i="49"/>
  <c r="S59" i="49"/>
  <c r="X58" i="49"/>
  <c r="W58" i="49"/>
  <c r="V58" i="49"/>
  <c r="U58" i="49"/>
  <c r="T58" i="49"/>
  <c r="S58" i="49"/>
  <c r="X57" i="49"/>
  <c r="W57" i="49"/>
  <c r="V57" i="49"/>
  <c r="U57" i="49"/>
  <c r="T57" i="49"/>
  <c r="S57" i="49"/>
  <c r="X56" i="49"/>
  <c r="W56" i="49"/>
  <c r="V56" i="49"/>
  <c r="U56" i="49"/>
  <c r="T56" i="49"/>
  <c r="S56" i="49"/>
  <c r="Z57" i="49" s="1"/>
  <c r="X55" i="49"/>
  <c r="W55" i="49"/>
  <c r="V55" i="49"/>
  <c r="U55" i="49"/>
  <c r="T55" i="49"/>
  <c r="S55" i="49"/>
  <c r="X54" i="49"/>
  <c r="W54" i="49"/>
  <c r="V54" i="49"/>
  <c r="U54" i="49"/>
  <c r="T54" i="49"/>
  <c r="S54" i="49"/>
  <c r="X53" i="49"/>
  <c r="W53" i="49"/>
  <c r="V53" i="49"/>
  <c r="U53" i="49"/>
  <c r="T53" i="49"/>
  <c r="S53" i="49"/>
  <c r="X52" i="49"/>
  <c r="W52" i="49"/>
  <c r="V52" i="49"/>
  <c r="U52" i="49"/>
  <c r="T52" i="49"/>
  <c r="S52" i="49"/>
  <c r="X51" i="49"/>
  <c r="W51" i="49"/>
  <c r="V51" i="49"/>
  <c r="U51" i="49"/>
  <c r="T51" i="49"/>
  <c r="S51" i="49"/>
  <c r="X50" i="49"/>
  <c r="W50" i="49"/>
  <c r="V50" i="49"/>
  <c r="U50" i="49"/>
  <c r="T50" i="49"/>
  <c r="S50" i="49"/>
  <c r="X49" i="49"/>
  <c r="W49" i="49"/>
  <c r="V49" i="49"/>
  <c r="U49" i="49"/>
  <c r="T49" i="49"/>
  <c r="S49" i="49"/>
  <c r="X48" i="49"/>
  <c r="W48" i="49"/>
  <c r="V48" i="49"/>
  <c r="U48" i="49"/>
  <c r="T48" i="49"/>
  <c r="S48" i="49"/>
  <c r="X47" i="49"/>
  <c r="W47" i="49"/>
  <c r="V47" i="49"/>
  <c r="U47" i="49"/>
  <c r="T47" i="49"/>
  <c r="S47" i="49"/>
  <c r="X46" i="49"/>
  <c r="W46" i="49"/>
  <c r="V46" i="49"/>
  <c r="U46" i="49"/>
  <c r="T46" i="49"/>
  <c r="S46" i="49"/>
  <c r="X45" i="49"/>
  <c r="W45" i="49"/>
  <c r="V45" i="49"/>
  <c r="U45" i="49"/>
  <c r="T45" i="49"/>
  <c r="S45" i="49"/>
  <c r="X44" i="49"/>
  <c r="W44" i="49"/>
  <c r="V44" i="49"/>
  <c r="U44" i="49"/>
  <c r="T44" i="49"/>
  <c r="S44" i="49"/>
  <c r="X43" i="49"/>
  <c r="W43" i="49"/>
  <c r="V43" i="49"/>
  <c r="U43" i="49"/>
  <c r="T43" i="49"/>
  <c r="S43" i="49"/>
  <c r="X42" i="49"/>
  <c r="W42" i="49"/>
  <c r="V42" i="49"/>
  <c r="U42" i="49"/>
  <c r="T42" i="49"/>
  <c r="S42" i="49"/>
  <c r="X41" i="49"/>
  <c r="W41" i="49"/>
  <c r="V41" i="49"/>
  <c r="U41" i="49"/>
  <c r="T41" i="49"/>
  <c r="S41" i="49"/>
  <c r="X40" i="49"/>
  <c r="W40" i="49"/>
  <c r="V40" i="49"/>
  <c r="U40" i="49"/>
  <c r="T40" i="49"/>
  <c r="S40" i="49"/>
  <c r="X39" i="49"/>
  <c r="W39" i="49"/>
  <c r="V39" i="49"/>
  <c r="U39" i="49"/>
  <c r="T39" i="49"/>
  <c r="S39" i="49"/>
  <c r="X38" i="49"/>
  <c r="W38" i="49"/>
  <c r="V38" i="49"/>
  <c r="U38" i="49"/>
  <c r="T38" i="49"/>
  <c r="S38" i="49"/>
  <c r="X37" i="49"/>
  <c r="W37" i="49"/>
  <c r="V37" i="49"/>
  <c r="U37" i="49"/>
  <c r="T37" i="49"/>
  <c r="S37" i="49"/>
  <c r="X36" i="49"/>
  <c r="W36" i="49"/>
  <c r="V36" i="49"/>
  <c r="U36" i="49"/>
  <c r="T36" i="49"/>
  <c r="S36" i="49"/>
  <c r="X35" i="49"/>
  <c r="W35" i="49"/>
  <c r="V35" i="49"/>
  <c r="U35" i="49"/>
  <c r="T35" i="49"/>
  <c r="S35" i="49"/>
  <c r="X34" i="49"/>
  <c r="W34" i="49"/>
  <c r="V34" i="49"/>
  <c r="U34" i="49"/>
  <c r="T34" i="49"/>
  <c r="S34" i="49"/>
  <c r="X33" i="49"/>
  <c r="W33" i="49"/>
  <c r="V33" i="49"/>
  <c r="U33" i="49"/>
  <c r="T33" i="49"/>
  <c r="S33" i="49"/>
  <c r="X32" i="49"/>
  <c r="W32" i="49"/>
  <c r="V32" i="49"/>
  <c r="U32" i="49"/>
  <c r="T32" i="49"/>
  <c r="S32" i="49"/>
  <c r="X31" i="49"/>
  <c r="W31" i="49"/>
  <c r="V31" i="49"/>
  <c r="U31" i="49"/>
  <c r="T31" i="49"/>
  <c r="S31" i="49"/>
  <c r="X30" i="49"/>
  <c r="W30" i="49"/>
  <c r="V30" i="49"/>
  <c r="U30" i="49"/>
  <c r="T30" i="49"/>
  <c r="S30" i="49"/>
  <c r="X29" i="49"/>
  <c r="W29" i="49"/>
  <c r="V29" i="49"/>
  <c r="U29" i="49"/>
  <c r="T29" i="49"/>
  <c r="S29" i="49"/>
  <c r="X28" i="49"/>
  <c r="W28" i="49"/>
  <c r="V28" i="49"/>
  <c r="U28" i="49"/>
  <c r="T28" i="49"/>
  <c r="S28" i="49"/>
  <c r="X27" i="49"/>
  <c r="W27" i="49"/>
  <c r="V27" i="49"/>
  <c r="U27" i="49"/>
  <c r="T27" i="49"/>
  <c r="S27" i="49"/>
  <c r="X26" i="49"/>
  <c r="W26" i="49"/>
  <c r="V26" i="49"/>
  <c r="U26" i="49"/>
  <c r="T26" i="49"/>
  <c r="S26" i="49"/>
  <c r="X25" i="49"/>
  <c r="W25" i="49"/>
  <c r="V25" i="49"/>
  <c r="U25" i="49"/>
  <c r="T25" i="49"/>
  <c r="S25" i="49"/>
  <c r="X24" i="49"/>
  <c r="W24" i="49"/>
  <c r="V24" i="49"/>
  <c r="U24" i="49"/>
  <c r="T24" i="49"/>
  <c r="S24" i="49"/>
  <c r="X23" i="49"/>
  <c r="W23" i="49"/>
  <c r="V23" i="49"/>
  <c r="U23" i="49"/>
  <c r="T23" i="49"/>
  <c r="S23" i="49"/>
  <c r="X22" i="49"/>
  <c r="W22" i="49"/>
  <c r="V22" i="49"/>
  <c r="U22" i="49"/>
  <c r="T22" i="49"/>
  <c r="S22" i="49"/>
  <c r="X21" i="49"/>
  <c r="W21" i="49"/>
  <c r="V21" i="49"/>
  <c r="U21" i="49"/>
  <c r="T21" i="49"/>
  <c r="S21" i="49"/>
  <c r="X20" i="49"/>
  <c r="W20" i="49"/>
  <c r="V20" i="49"/>
  <c r="U20" i="49"/>
  <c r="T20" i="49"/>
  <c r="S20" i="49"/>
  <c r="X19" i="49"/>
  <c r="W19" i="49"/>
  <c r="V19" i="49"/>
  <c r="U19" i="49"/>
  <c r="T19" i="49"/>
  <c r="S19" i="49"/>
  <c r="X18" i="49"/>
  <c r="W18" i="49"/>
  <c r="V18" i="49"/>
  <c r="U18" i="49"/>
  <c r="T18" i="49"/>
  <c r="S18" i="49"/>
  <c r="X17" i="49"/>
  <c r="W17" i="49"/>
  <c r="V17" i="49"/>
  <c r="U17" i="49"/>
  <c r="T17" i="49"/>
  <c r="S17" i="49"/>
  <c r="X16" i="49"/>
  <c r="W16" i="49"/>
  <c r="V16" i="49"/>
  <c r="U16" i="49"/>
  <c r="T16" i="49"/>
  <c r="S16" i="49"/>
  <c r="X15" i="49"/>
  <c r="W15" i="49"/>
  <c r="V15" i="49"/>
  <c r="U15" i="49"/>
  <c r="T15" i="49"/>
  <c r="S15" i="49"/>
  <c r="X14" i="49"/>
  <c r="W14" i="49"/>
  <c r="V14" i="49"/>
  <c r="U14" i="49"/>
  <c r="T14" i="49"/>
  <c r="S14" i="49"/>
  <c r="X13" i="49"/>
  <c r="W13" i="49"/>
  <c r="V13" i="49"/>
  <c r="U13" i="49"/>
  <c r="T13" i="49"/>
  <c r="S13" i="49"/>
  <c r="X12" i="49"/>
  <c r="W12" i="49"/>
  <c r="V12" i="49"/>
  <c r="U12" i="49"/>
  <c r="T12" i="49"/>
  <c r="S12" i="49"/>
  <c r="X11" i="49"/>
  <c r="W11" i="49"/>
  <c r="V11" i="49"/>
  <c r="U11" i="49"/>
  <c r="T11" i="49"/>
  <c r="S11" i="49"/>
  <c r="X10" i="49"/>
  <c r="W10" i="49"/>
  <c r="V10" i="49"/>
  <c r="U10" i="49"/>
  <c r="T10" i="49"/>
  <c r="S10" i="49"/>
  <c r="X9" i="49"/>
  <c r="W9" i="49"/>
  <c r="V9" i="49"/>
  <c r="U9" i="49"/>
  <c r="T9" i="49"/>
  <c r="S9" i="49"/>
  <c r="X8" i="49"/>
  <c r="W8" i="49"/>
  <c r="V8" i="49"/>
  <c r="U8" i="49"/>
  <c r="T8" i="49"/>
  <c r="S8" i="49"/>
  <c r="X7" i="49"/>
  <c r="W7" i="49"/>
  <c r="V7" i="49"/>
  <c r="U7" i="49"/>
  <c r="T7" i="49"/>
  <c r="S7" i="49"/>
  <c r="X6" i="49"/>
  <c r="W6" i="49"/>
  <c r="V6" i="49"/>
  <c r="U6" i="49"/>
  <c r="T6" i="49"/>
  <c r="S6" i="49"/>
  <c r="X5" i="49"/>
  <c r="W5" i="49"/>
  <c r="V5" i="49"/>
  <c r="U5" i="49"/>
  <c r="T5" i="49"/>
  <c r="AA8" i="49"/>
  <c r="AA12" i="49"/>
  <c r="AA17" i="49"/>
  <c r="AA21" i="49"/>
  <c r="AA25" i="49"/>
  <c r="AA29" i="49"/>
  <c r="AA32" i="49"/>
  <c r="AA37" i="49"/>
  <c r="AA40" i="49"/>
  <c r="AA44" i="49"/>
  <c r="AA49" i="49"/>
  <c r="AA52" i="49"/>
  <c r="AA56" i="49"/>
  <c r="AA60" i="49"/>
  <c r="AA64" i="49"/>
  <c r="AA72" i="49"/>
  <c r="AA76" i="49"/>
  <c r="AA80" i="49"/>
  <c r="AE83" i="49"/>
  <c r="AA84" i="49"/>
  <c r="AC85" i="49"/>
  <c r="AE86" i="49"/>
  <c r="AA88" i="49"/>
  <c r="AE91" i="49"/>
  <c r="AA93" i="49"/>
  <c r="AC94" i="49"/>
  <c r="AE94" i="49"/>
  <c r="AA96" i="49"/>
  <c r="AC97" i="49"/>
  <c r="AE98" i="49"/>
  <c r="AA100" i="49"/>
  <c r="AC101" i="49"/>
  <c r="AE103" i="49"/>
  <c r="AA105" i="49"/>
  <c r="AC106" i="49"/>
  <c r="AE107" i="49"/>
  <c r="AA108" i="49"/>
  <c r="AC110" i="49"/>
  <c r="AA20" i="49"/>
  <c r="AA68" i="49"/>
  <c r="AC89" i="49"/>
  <c r="AE89" i="49"/>
  <c r="AC105" i="49"/>
  <c r="AE109" i="49"/>
  <c r="AA6" i="49"/>
  <c r="S5" i="49"/>
  <c r="AD110" i="49"/>
  <c r="AA110" i="49"/>
  <c r="Z110" i="49"/>
  <c r="AD109" i="49"/>
  <c r="AD108" i="49"/>
  <c r="AB108" i="49"/>
  <c r="Z107" i="49"/>
  <c r="AC107" i="49"/>
  <c r="AB107" i="49"/>
  <c r="AA107" i="49"/>
  <c r="AB106" i="49"/>
  <c r="AA106" i="49"/>
  <c r="Z106" i="49"/>
  <c r="AE105" i="49"/>
  <c r="AD105" i="49"/>
  <c r="AD104" i="49"/>
  <c r="AE104" i="49"/>
  <c r="AB104" i="49"/>
  <c r="Z103" i="49"/>
  <c r="AC103" i="49"/>
  <c r="AB103" i="49"/>
  <c r="AA103" i="49"/>
  <c r="AD102" i="49"/>
  <c r="AA102" i="49"/>
  <c r="Z102" i="49"/>
  <c r="AE101" i="49"/>
  <c r="AD101" i="49"/>
  <c r="AD100" i="49"/>
  <c r="AE100" i="49"/>
  <c r="AB100" i="49"/>
  <c r="Z99" i="49"/>
  <c r="AC99" i="49"/>
  <c r="AB99" i="49"/>
  <c r="AA99" i="49"/>
  <c r="AA98" i="49"/>
  <c r="Z98" i="49"/>
  <c r="AE97" i="49"/>
  <c r="AD97" i="49"/>
  <c r="AB97" i="49"/>
  <c r="AD96" i="49"/>
  <c r="AE96" i="49"/>
  <c r="AB96" i="49"/>
  <c r="Z95" i="49"/>
  <c r="AC95" i="49"/>
  <c r="AB95" i="49"/>
  <c r="AA95" i="49"/>
  <c r="AA94" i="49"/>
  <c r="Z94" i="49"/>
  <c r="AE93" i="49"/>
  <c r="AD93" i="49"/>
  <c r="AD92" i="49"/>
  <c r="AE92" i="49"/>
  <c r="AB92" i="49"/>
  <c r="AA92" i="49"/>
  <c r="Z91" i="49"/>
  <c r="AD91" i="49"/>
  <c r="AC91" i="49"/>
  <c r="AB91" i="49"/>
  <c r="AA91" i="49"/>
  <c r="AD89" i="49"/>
  <c r="AE88" i="49"/>
  <c r="AD88" i="49"/>
  <c r="AC88" i="49"/>
  <c r="AB88" i="49"/>
  <c r="AB87" i="49"/>
  <c r="AC87" i="49"/>
  <c r="Z87" i="49"/>
  <c r="AD86" i="49"/>
  <c r="AA86" i="49"/>
  <c r="Z86" i="49"/>
  <c r="AD85" i="49"/>
  <c r="AE84" i="49"/>
  <c r="AD84" i="49"/>
  <c r="AC84" i="49"/>
  <c r="AB84" i="49"/>
  <c r="AB83" i="49"/>
  <c r="AC83" i="49"/>
  <c r="Z83" i="49"/>
  <c r="AA82" i="49"/>
  <c r="Z82" i="49"/>
  <c r="AA79" i="49"/>
  <c r="Z79" i="49"/>
  <c r="AA78" i="49"/>
  <c r="Z78" i="49"/>
  <c r="Z77" i="49"/>
  <c r="AA75" i="49"/>
  <c r="Z75" i="49"/>
  <c r="AA74" i="49"/>
  <c r="Z74" i="49"/>
  <c r="AA71" i="49"/>
  <c r="Z71" i="49"/>
  <c r="AA70" i="49"/>
  <c r="Z70" i="49"/>
  <c r="AA69" i="49"/>
  <c r="AA67" i="49"/>
  <c r="Z67" i="49"/>
  <c r="AA66" i="49"/>
  <c r="Z66" i="49"/>
  <c r="AA63" i="49"/>
  <c r="Z63" i="49"/>
  <c r="AA62" i="49"/>
  <c r="Z62" i="49"/>
  <c r="AA59" i="49"/>
  <c r="Z59" i="49"/>
  <c r="AA58" i="49"/>
  <c r="Z58" i="49"/>
  <c r="Z56" i="49"/>
  <c r="AA55" i="49"/>
  <c r="AA54" i="49"/>
  <c r="AA50" i="49"/>
  <c r="AA47" i="49"/>
  <c r="AA46" i="49"/>
  <c r="AA45" i="49"/>
  <c r="AA42" i="49"/>
  <c r="AA39" i="49"/>
  <c r="AA38" i="49"/>
  <c r="AA34" i="49"/>
  <c r="AA33" i="49"/>
  <c r="AA31" i="49"/>
  <c r="AA30" i="49"/>
  <c r="AA26" i="49"/>
  <c r="AA23" i="49"/>
  <c r="AA22" i="49"/>
  <c r="AA18" i="49"/>
  <c r="AA15" i="49"/>
  <c r="AA14" i="49"/>
  <c r="AA13" i="49"/>
  <c r="AA10" i="49"/>
  <c r="AA7" i="49"/>
  <c r="Z72" i="49" l="1"/>
  <c r="AB101" i="49"/>
  <c r="AD106" i="49"/>
  <c r="Z68" i="49"/>
  <c r="Z85" i="49"/>
  <c r="Z89" i="49"/>
  <c r="Z92" i="49"/>
  <c r="AD95" i="49"/>
  <c r="AB109" i="49"/>
  <c r="Z97" i="49"/>
  <c r="AD99" i="49"/>
  <c r="Z64" i="49"/>
  <c r="AB85" i="49"/>
  <c r="Z101" i="49"/>
  <c r="Z109" i="49"/>
  <c r="Z80" i="49"/>
  <c r="AB94" i="49"/>
  <c r="Z105" i="49"/>
  <c r="Z60" i="49"/>
  <c r="AA9" i="49"/>
  <c r="AA41" i="49"/>
  <c r="AA53" i="49"/>
  <c r="AA77" i="49"/>
  <c r="AE87" i="49"/>
  <c r="AA101" i="49"/>
  <c r="AC102" i="49"/>
  <c r="AC109" i="49"/>
  <c r="AC93" i="49"/>
  <c r="AA36" i="49"/>
  <c r="AA73" i="49"/>
  <c r="AA89" i="49"/>
  <c r="AE99" i="49"/>
  <c r="AA104" i="49"/>
  <c r="AE106" i="49"/>
  <c r="AA28" i="49"/>
  <c r="AA24" i="49"/>
  <c r="AA65" i="49"/>
  <c r="AC86" i="49"/>
  <c r="AA97" i="49"/>
  <c r="AC98" i="49"/>
  <c r="AE102" i="49"/>
  <c r="AA61" i="49"/>
  <c r="AE95" i="49"/>
  <c r="AA16" i="49"/>
  <c r="AA48" i="49"/>
  <c r="AA57" i="49"/>
  <c r="AA85" i="49"/>
  <c r="AA81" i="49"/>
  <c r="AC108" i="49"/>
  <c r="AA83" i="49"/>
  <c r="AA87" i="49"/>
  <c r="AC92" i="49"/>
  <c r="AC96" i="49"/>
  <c r="AC100" i="49"/>
  <c r="AC104" i="49"/>
  <c r="AA11" i="49"/>
  <c r="AA19" i="49"/>
  <c r="AA27" i="49"/>
  <c r="AA35" i="49"/>
  <c r="AA43" i="49"/>
  <c r="AA51" i="49"/>
  <c r="AE110" i="49"/>
  <c r="AE85" i="49"/>
  <c r="AE108" i="49"/>
  <c r="AA109" i="49"/>
  <c r="CM7" i="1" l="1" a="1"/>
  <c r="CM10" i="1" s="1"/>
  <c r="AW10" i="1" s="1"/>
  <c r="CS7" i="1" a="1"/>
  <c r="CS7" i="1" s="1"/>
  <c r="BC7" i="1" s="1"/>
  <c r="C7" i="1"/>
  <c r="D7" i="1"/>
  <c r="E7" i="1"/>
  <c r="F7" i="1"/>
  <c r="G7" i="1"/>
  <c r="C6" i="1"/>
  <c r="D6" i="1"/>
  <c r="E6" i="1"/>
  <c r="F6" i="1"/>
  <c r="G6" i="1"/>
  <c r="B6" i="1"/>
  <c r="C5" i="1"/>
  <c r="D5" i="1"/>
  <c r="E5" i="1"/>
  <c r="F5" i="1"/>
  <c r="G5" i="1"/>
  <c r="B5" i="1"/>
  <c r="C8" i="1"/>
  <c r="D8" i="1"/>
  <c r="E8" i="1"/>
  <c r="F8" i="1"/>
  <c r="G8" i="1"/>
  <c r="B8" i="1"/>
  <c r="B7" i="1"/>
  <c r="C11" i="1"/>
  <c r="D11" i="1"/>
  <c r="E11" i="1"/>
  <c r="F11" i="1"/>
  <c r="G11" i="1"/>
  <c r="B11" i="1"/>
  <c r="C4" i="1"/>
  <c r="D4" i="1"/>
  <c r="E4" i="1"/>
  <c r="F4" i="1"/>
  <c r="G4" i="1"/>
  <c r="B4" i="1"/>
  <c r="DO4" i="1" a="1"/>
  <c r="DO7" i="1" s="1"/>
  <c r="DJ4" i="1" a="1"/>
  <c r="DJ4" i="1" s="1"/>
  <c r="C321" i="40"/>
  <c r="D321" i="40"/>
  <c r="E321" i="40"/>
  <c r="F321" i="40"/>
  <c r="G321" i="40"/>
  <c r="H321" i="40"/>
  <c r="I321" i="40"/>
  <c r="J321" i="40"/>
  <c r="K321" i="40"/>
  <c r="L321" i="40"/>
  <c r="M321" i="40"/>
  <c r="B321" i="40"/>
  <c r="DS6" i="1"/>
  <c r="DS7" i="1"/>
  <c r="DS8" i="1"/>
  <c r="DS9" i="1"/>
  <c r="DS10" i="1"/>
  <c r="DS5" i="1"/>
  <c r="DT5" i="1" s="1"/>
  <c r="M319" i="40"/>
  <c r="L319" i="40"/>
  <c r="K319" i="40"/>
  <c r="J319" i="40"/>
  <c r="I319" i="40"/>
  <c r="H319" i="40"/>
  <c r="DN4" i="1" s="1" a="1"/>
  <c r="DN6" i="1" s="1"/>
  <c r="G319" i="40"/>
  <c r="F319" i="40"/>
  <c r="E319" i="40"/>
  <c r="D319" i="40"/>
  <c r="C319" i="40"/>
  <c r="B319" i="40"/>
  <c r="H313" i="40"/>
  <c r="I313" i="40"/>
  <c r="J313" i="40"/>
  <c r="K313" i="40"/>
  <c r="L313" i="40"/>
  <c r="M313" i="40"/>
  <c r="DS4" i="1"/>
  <c r="DW4" i="1"/>
  <c r="DW5" i="1"/>
  <c r="DX5" i="1" s="1"/>
  <c r="J22" i="41"/>
  <c r="H22" i="41"/>
  <c r="H20" i="41"/>
  <c r="H21" i="41" s="1"/>
  <c r="H19" i="41"/>
  <c r="H18" i="41"/>
  <c r="J17" i="41"/>
  <c r="H17" i="41"/>
  <c r="J12" i="41"/>
  <c r="H12" i="41"/>
  <c r="H10" i="41"/>
  <c r="H11" i="41" s="1"/>
  <c r="H9" i="41"/>
  <c r="H8" i="41"/>
  <c r="J7" i="41"/>
  <c r="H7" i="41"/>
  <c r="H6" i="41"/>
  <c r="H5" i="41"/>
  <c r="H4" i="41"/>
  <c r="H3" i="41"/>
  <c r="C327" i="40"/>
  <c r="A330" i="40" s="1"/>
  <c r="M320" i="40"/>
  <c r="L320" i="40"/>
  <c r="K320" i="40"/>
  <c r="J320" i="40"/>
  <c r="I320" i="40"/>
  <c r="H320" i="40"/>
  <c r="G320" i="40"/>
  <c r="F320" i="40"/>
  <c r="E320" i="40"/>
  <c r="D320" i="40"/>
  <c r="C320" i="40"/>
  <c r="B320" i="40"/>
  <c r="C322" i="40"/>
  <c r="DI4" i="1" a="1"/>
  <c r="M318" i="40"/>
  <c r="L318" i="40"/>
  <c r="K318" i="40"/>
  <c r="J318" i="40"/>
  <c r="I318" i="40"/>
  <c r="H318" i="40"/>
  <c r="G318" i="40"/>
  <c r="F318" i="40"/>
  <c r="E318" i="40"/>
  <c r="D318" i="40"/>
  <c r="C318" i="40"/>
  <c r="B318" i="40"/>
  <c r="DO6" i="1" l="1"/>
  <c r="CM9" i="1"/>
  <c r="AW9" i="1" s="1"/>
  <c r="DO4" i="1"/>
  <c r="CM8" i="1"/>
  <c r="AW8" i="1" s="1"/>
  <c r="CM7" i="1"/>
  <c r="AW7" i="1" s="1"/>
  <c r="DT8" i="1"/>
  <c r="CM13" i="1"/>
  <c r="AW13" i="1" s="1"/>
  <c r="CM11" i="1"/>
  <c r="AW11" i="1" s="1"/>
  <c r="CM12" i="1"/>
  <c r="AW12" i="1" s="1"/>
  <c r="CS13" i="1"/>
  <c r="BC13" i="1" s="1"/>
  <c r="CS11" i="1"/>
  <c r="BC11" i="1" s="1"/>
  <c r="CS10" i="1"/>
  <c r="BC10" i="1" s="1"/>
  <c r="CS9" i="1"/>
  <c r="BC9" i="1" s="1"/>
  <c r="CS12" i="1"/>
  <c r="BC12" i="1" s="1"/>
  <c r="CS8" i="1"/>
  <c r="BC8" i="1" s="1"/>
  <c r="DO8" i="1"/>
  <c r="DO5" i="1"/>
  <c r="DJ9" i="1"/>
  <c r="DJ8" i="1"/>
  <c r="DJ7" i="1"/>
  <c r="DJ6" i="1"/>
  <c r="DJ5" i="1"/>
  <c r="DM4" i="1" a="1"/>
  <c r="DM5" i="1" s="1"/>
  <c r="DH4" i="1" a="1"/>
  <c r="DH4" i="1" s="1"/>
  <c r="DT6" i="1"/>
  <c r="G322" i="40"/>
  <c r="DW8" i="1"/>
  <c r="DI4" i="1"/>
  <c r="DI9" i="1"/>
  <c r="DI8" i="1"/>
  <c r="K322" i="40"/>
  <c r="DI7" i="1"/>
  <c r="DT10" i="1"/>
  <c r="DT7" i="1"/>
  <c r="DT9" i="1"/>
  <c r="DI6" i="1"/>
  <c r="DN5" i="1"/>
  <c r="DN7" i="1"/>
  <c r="DW9" i="1" s="1"/>
  <c r="DI5" i="1"/>
  <c r="DN4" i="1"/>
  <c r="DN8" i="1"/>
  <c r="L322" i="40"/>
  <c r="E322" i="40"/>
  <c r="M322" i="40"/>
  <c r="F322" i="40"/>
  <c r="D327" i="40"/>
  <c r="I322" i="40"/>
  <c r="B322" i="40"/>
  <c r="J322" i="40"/>
  <c r="D322" i="40"/>
  <c r="H322" i="40"/>
  <c r="DW10" i="1" l="1"/>
  <c r="DX10" i="1" s="1"/>
  <c r="DZ10" i="1" s="1"/>
  <c r="DM8" i="1"/>
  <c r="DM6" i="1"/>
  <c r="DH9" i="1"/>
  <c r="DH5" i="1"/>
  <c r="DM7" i="1"/>
  <c r="DM4" i="1"/>
  <c r="DH6" i="1"/>
  <c r="DW7" i="1"/>
  <c r="DH7" i="1"/>
  <c r="DH8" i="1"/>
  <c r="DW6" i="1"/>
  <c r="DX6" i="1" s="1"/>
  <c r="DZ6" i="1" s="1"/>
  <c r="DO11" i="1"/>
  <c r="DX9" i="1"/>
  <c r="DZ9" i="1" s="1"/>
  <c r="DI11" i="1"/>
  <c r="DJ11" i="1"/>
  <c r="DN11" i="1"/>
  <c r="CY4" i="1"/>
  <c r="CY5" i="1"/>
  <c r="CY6" i="1"/>
  <c r="CY7" i="1"/>
  <c r="CG7" i="1" s="1"/>
  <c r="CY8" i="1"/>
  <c r="CG8" i="1" s="1"/>
  <c r="CY9" i="1"/>
  <c r="CA9" i="1" s="1"/>
  <c r="BM9" i="1" s="1"/>
  <c r="CY10" i="1"/>
  <c r="CG10" i="1" s="1"/>
  <c r="CY11" i="1"/>
  <c r="CG11" i="1" s="1"/>
  <c r="CY12" i="1"/>
  <c r="CG12" i="1" s="1"/>
  <c r="CY13" i="1"/>
  <c r="CG13" i="1" s="1"/>
  <c r="DM11" i="1" l="1"/>
  <c r="DO12" i="1"/>
  <c r="DN12" i="1"/>
  <c r="DH11" i="1"/>
  <c r="DJ12" i="1" s="1"/>
  <c r="DO13" i="1"/>
  <c r="CG9" i="1"/>
  <c r="BT9" i="1" s="1"/>
  <c r="B9" i="1"/>
  <c r="CA8" i="1"/>
  <c r="BM8" i="1" s="1"/>
  <c r="DX7" i="1"/>
  <c r="DZ7" i="1" s="1"/>
  <c r="DX8" i="1"/>
  <c r="DZ8" i="1" s="1"/>
  <c r="CA7" i="1"/>
  <c r="BM7" i="1" s="1"/>
  <c r="CA13" i="1"/>
  <c r="BM13" i="1" s="1"/>
  <c r="CA12" i="1"/>
  <c r="BM12" i="1" s="1"/>
  <c r="CA11" i="1"/>
  <c r="BM11" i="1" s="1"/>
  <c r="CA10" i="1"/>
  <c r="BM10" i="1" s="1"/>
  <c r="F9" i="1"/>
  <c r="D9" i="1"/>
  <c r="C9" i="1"/>
  <c r="G9" i="1"/>
  <c r="E9" i="1"/>
  <c r="DI12" i="1" l="1"/>
  <c r="BT13" i="1"/>
  <c r="BT8" i="1"/>
  <c r="DJ13" i="1"/>
  <c r="BT10" i="1"/>
  <c r="BT11" i="1"/>
  <c r="BT7" i="1"/>
  <c r="BT12" i="1"/>
  <c r="K3" i="1"/>
  <c r="L3" i="1"/>
  <c r="M3" i="1"/>
  <c r="N3" i="1"/>
  <c r="O3" i="1"/>
  <c r="P3" i="1"/>
  <c r="J3" i="1"/>
  <c r="J8" i="1" l="1"/>
  <c r="K8" i="1"/>
  <c r="N8" i="1"/>
  <c r="M8" i="1"/>
  <c r="L8" i="1"/>
  <c r="P8" i="1"/>
  <c r="O8" i="1"/>
  <c r="DA4" i="1"/>
  <c r="DA5" i="1"/>
  <c r="DA6" i="1"/>
  <c r="DA7" i="1"/>
  <c r="DA8" i="1"/>
  <c r="CU8" i="1" s="1"/>
  <c r="DA9" i="1"/>
  <c r="DA10" i="1"/>
  <c r="DA11" i="1"/>
  <c r="DB4" i="1"/>
  <c r="DB5" i="1"/>
  <c r="DB6" i="1"/>
  <c r="DB7" i="1"/>
  <c r="DB8" i="1"/>
  <c r="DB9" i="1"/>
  <c r="DB10" i="1"/>
  <c r="DB11" i="1"/>
  <c r="DB12" i="1"/>
  <c r="S5" i="14"/>
  <c r="X125" i="14"/>
  <c r="X124" i="14"/>
  <c r="X123" i="14"/>
  <c r="X122" i="14"/>
  <c r="X121" i="14"/>
  <c r="X120" i="14"/>
  <c r="X119" i="14"/>
  <c r="X118" i="14"/>
  <c r="X117" i="14"/>
  <c r="X116" i="14"/>
  <c r="X115" i="14"/>
  <c r="X114" i="14"/>
  <c r="X113" i="14"/>
  <c r="X112" i="14"/>
  <c r="X111" i="14"/>
  <c r="X110" i="14"/>
  <c r="X109" i="14"/>
  <c r="X108" i="14"/>
  <c r="X107" i="14"/>
  <c r="X106" i="14"/>
  <c r="X105" i="14"/>
  <c r="X104" i="14"/>
  <c r="X103" i="14"/>
  <c r="AE104" i="14" s="1"/>
  <c r="X102" i="14"/>
  <c r="X101" i="14"/>
  <c r="X100" i="14"/>
  <c r="X99" i="14"/>
  <c r="X98" i="14"/>
  <c r="X97" i="14"/>
  <c r="X96" i="14"/>
  <c r="X95" i="14"/>
  <c r="AE96" i="14" s="1"/>
  <c r="X94" i="14"/>
  <c r="X93" i="14"/>
  <c r="X92" i="14"/>
  <c r="X91" i="14"/>
  <c r="X90" i="14"/>
  <c r="X89" i="14"/>
  <c r="X88" i="14"/>
  <c r="X87" i="14"/>
  <c r="AE88" i="14" s="1"/>
  <c r="X86" i="14"/>
  <c r="X85" i="14"/>
  <c r="X84" i="14"/>
  <c r="X83" i="14"/>
  <c r="X82" i="14"/>
  <c r="X81" i="14"/>
  <c r="X80" i="14"/>
  <c r="X79" i="14"/>
  <c r="X78" i="14"/>
  <c r="X77" i="14"/>
  <c r="X76" i="14"/>
  <c r="X75" i="14"/>
  <c r="X74" i="14"/>
  <c r="X73" i="14"/>
  <c r="X72" i="14"/>
  <c r="X71" i="14"/>
  <c r="X70" i="14"/>
  <c r="X69" i="14"/>
  <c r="X68" i="14"/>
  <c r="X67" i="14"/>
  <c r="X66" i="14"/>
  <c r="X65" i="14"/>
  <c r="X64" i="14"/>
  <c r="X63" i="14"/>
  <c r="X62" i="14"/>
  <c r="X61" i="14"/>
  <c r="X60" i="14"/>
  <c r="X59" i="14"/>
  <c r="X58" i="14"/>
  <c r="X57" i="14"/>
  <c r="X56" i="14"/>
  <c r="X55" i="14"/>
  <c r="X54" i="14"/>
  <c r="X53" i="14"/>
  <c r="X52" i="14"/>
  <c r="X51" i="14"/>
  <c r="X50" i="14"/>
  <c r="X49" i="14"/>
  <c r="X48" i="14"/>
  <c r="X47" i="14"/>
  <c r="X46" i="14"/>
  <c r="X45" i="14"/>
  <c r="X44" i="14"/>
  <c r="X43" i="14"/>
  <c r="X42" i="14"/>
  <c r="X41" i="14"/>
  <c r="X40" i="14"/>
  <c r="X39" i="14"/>
  <c r="X38" i="14"/>
  <c r="X37" i="14"/>
  <c r="X36" i="14"/>
  <c r="X35" i="14"/>
  <c r="X34" i="14"/>
  <c r="X33" i="14"/>
  <c r="X32" i="14"/>
  <c r="X31" i="14"/>
  <c r="X30" i="14"/>
  <c r="X29" i="14"/>
  <c r="X28" i="14"/>
  <c r="X27" i="14"/>
  <c r="X26" i="14"/>
  <c r="X25" i="14"/>
  <c r="X24" i="14"/>
  <c r="X23" i="14"/>
  <c r="X22" i="14"/>
  <c r="X21" i="14"/>
  <c r="X20" i="14"/>
  <c r="X19" i="14"/>
  <c r="X18" i="14"/>
  <c r="X17" i="14"/>
  <c r="X16" i="14"/>
  <c r="X15" i="14"/>
  <c r="X14" i="14"/>
  <c r="X13" i="14"/>
  <c r="X12" i="14"/>
  <c r="X11" i="14"/>
  <c r="X10" i="14"/>
  <c r="X9" i="14"/>
  <c r="X8" i="14"/>
  <c r="X7" i="14"/>
  <c r="X6" i="14"/>
  <c r="X5" i="14"/>
  <c r="W125" i="14"/>
  <c r="W124" i="14"/>
  <c r="W123" i="14"/>
  <c r="W122" i="14"/>
  <c r="W121" i="14"/>
  <c r="W120" i="14"/>
  <c r="W119" i="14"/>
  <c r="W118" i="14"/>
  <c r="W117" i="14"/>
  <c r="W116" i="14"/>
  <c r="W115" i="14"/>
  <c r="W114" i="14"/>
  <c r="W113" i="14"/>
  <c r="W112" i="14"/>
  <c r="W111" i="14"/>
  <c r="W110" i="14"/>
  <c r="W109" i="14"/>
  <c r="W108" i="14"/>
  <c r="W107" i="14"/>
  <c r="W106" i="14"/>
  <c r="W105" i="14"/>
  <c r="W104" i="14"/>
  <c r="W103" i="14"/>
  <c r="W102" i="14"/>
  <c r="W101" i="14"/>
  <c r="W100" i="14"/>
  <c r="W99" i="14"/>
  <c r="W98" i="14"/>
  <c r="W97" i="14"/>
  <c r="W96" i="14"/>
  <c r="AD97" i="14" s="1"/>
  <c r="W95" i="14"/>
  <c r="W94" i="14"/>
  <c r="W93" i="14"/>
  <c r="W92" i="14"/>
  <c r="W91" i="14"/>
  <c r="W90" i="14"/>
  <c r="W89" i="14"/>
  <c r="W88" i="14"/>
  <c r="AD89" i="14" s="1"/>
  <c r="W87" i="14"/>
  <c r="W86" i="14"/>
  <c r="W85" i="14"/>
  <c r="W84" i="14"/>
  <c r="W83" i="14"/>
  <c r="W82" i="14"/>
  <c r="W81" i="14"/>
  <c r="W80" i="14"/>
  <c r="W79" i="14"/>
  <c r="W78" i="14"/>
  <c r="W77" i="14"/>
  <c r="W76" i="14"/>
  <c r="W75" i="14"/>
  <c r="W74" i="14"/>
  <c r="W73" i="14"/>
  <c r="W72" i="14"/>
  <c r="W71" i="14"/>
  <c r="W70" i="14"/>
  <c r="W69" i="14"/>
  <c r="W68" i="14"/>
  <c r="W67" i="14"/>
  <c r="W66" i="14"/>
  <c r="W65" i="14"/>
  <c r="W64" i="14"/>
  <c r="W63" i="14"/>
  <c r="W62" i="14"/>
  <c r="W61" i="14"/>
  <c r="W60" i="14"/>
  <c r="W59" i="14"/>
  <c r="W58" i="14"/>
  <c r="W57" i="14"/>
  <c r="W56" i="14"/>
  <c r="W55" i="14"/>
  <c r="W54" i="14"/>
  <c r="W53" i="14"/>
  <c r="W52" i="14"/>
  <c r="W51" i="14"/>
  <c r="W50" i="14"/>
  <c r="W49" i="14"/>
  <c r="W48" i="14"/>
  <c r="W47" i="14"/>
  <c r="W46" i="14"/>
  <c r="W45" i="14"/>
  <c r="W44" i="14"/>
  <c r="W43" i="14"/>
  <c r="W42" i="14"/>
  <c r="W41" i="14"/>
  <c r="W40" i="14"/>
  <c r="W39" i="14"/>
  <c r="W38" i="14"/>
  <c r="W37" i="14"/>
  <c r="W36" i="14"/>
  <c r="W35" i="14"/>
  <c r="W34" i="14"/>
  <c r="W33" i="14"/>
  <c r="W32" i="14"/>
  <c r="W31" i="14"/>
  <c r="W30" i="14"/>
  <c r="W29" i="14"/>
  <c r="W28" i="14"/>
  <c r="W27" i="14"/>
  <c r="W26" i="14"/>
  <c r="W25" i="14"/>
  <c r="W24" i="14"/>
  <c r="W23" i="14"/>
  <c r="W22" i="14"/>
  <c r="W21" i="14"/>
  <c r="W20" i="14"/>
  <c r="W19" i="14"/>
  <c r="W18" i="14"/>
  <c r="W17" i="14"/>
  <c r="W16" i="14"/>
  <c r="W15" i="14"/>
  <c r="W14" i="14"/>
  <c r="W13" i="14"/>
  <c r="W12" i="14"/>
  <c r="W11" i="14"/>
  <c r="W10" i="14"/>
  <c r="W9" i="14"/>
  <c r="W8" i="14"/>
  <c r="W7" i="14"/>
  <c r="W6" i="14"/>
  <c r="W5" i="14"/>
  <c r="V125" i="14"/>
  <c r="V124" i="14"/>
  <c r="V123" i="14"/>
  <c r="V122" i="14"/>
  <c r="V121" i="14"/>
  <c r="V120" i="14"/>
  <c r="V119" i="14"/>
  <c r="V118" i="14"/>
  <c r="V117" i="14"/>
  <c r="V116" i="14"/>
  <c r="V115" i="14"/>
  <c r="V114" i="14"/>
  <c r="V113" i="14"/>
  <c r="V112" i="14"/>
  <c r="V111" i="14"/>
  <c r="V110" i="14"/>
  <c r="V109" i="14"/>
  <c r="V108" i="14"/>
  <c r="V107" i="14"/>
  <c r="V106" i="14"/>
  <c r="V105" i="14"/>
  <c r="AC105" i="14" s="1"/>
  <c r="V104" i="14"/>
  <c r="V103" i="14"/>
  <c r="V102" i="14"/>
  <c r="V101" i="14"/>
  <c r="V100" i="14"/>
  <c r="V99" i="14"/>
  <c r="V98" i="14"/>
  <c r="V97" i="14"/>
  <c r="AC98" i="14" s="1"/>
  <c r="V96" i="14"/>
  <c r="V95" i="14"/>
  <c r="V94" i="14"/>
  <c r="V93" i="14"/>
  <c r="V92" i="14"/>
  <c r="V91" i="14"/>
  <c r="V90" i="14"/>
  <c r="V89" i="14"/>
  <c r="AC89" i="14" s="1"/>
  <c r="V88" i="14"/>
  <c r="V87" i="14"/>
  <c r="V86" i="14"/>
  <c r="V85" i="14"/>
  <c r="V84" i="14"/>
  <c r="V83" i="14"/>
  <c r="V82" i="14"/>
  <c r="V81" i="14"/>
  <c r="V80" i="14"/>
  <c r="V79" i="14"/>
  <c r="V78" i="14"/>
  <c r="V77" i="14"/>
  <c r="V76" i="14"/>
  <c r="V75" i="14"/>
  <c r="V74" i="14"/>
  <c r="V73" i="14"/>
  <c r="V72" i="14"/>
  <c r="V71" i="14"/>
  <c r="V70" i="14"/>
  <c r="V69" i="14"/>
  <c r="V68" i="14"/>
  <c r="V67" i="14"/>
  <c r="V66" i="14"/>
  <c r="V65" i="14"/>
  <c r="V64" i="14"/>
  <c r="V63" i="14"/>
  <c r="V62" i="14"/>
  <c r="V61" i="14"/>
  <c r="V60" i="14"/>
  <c r="V59" i="14"/>
  <c r="V58" i="14"/>
  <c r="V57" i="14"/>
  <c r="V56" i="14"/>
  <c r="V55" i="14"/>
  <c r="V54" i="14"/>
  <c r="V53" i="14"/>
  <c r="V52" i="14"/>
  <c r="V51" i="14"/>
  <c r="V50" i="14"/>
  <c r="V49" i="14"/>
  <c r="V48" i="14"/>
  <c r="V47" i="14"/>
  <c r="V46" i="14"/>
  <c r="V45" i="14"/>
  <c r="V44" i="14"/>
  <c r="V43" i="14"/>
  <c r="V42" i="14"/>
  <c r="V41" i="14"/>
  <c r="V40" i="14"/>
  <c r="V39" i="14"/>
  <c r="V38" i="14"/>
  <c r="V37" i="14"/>
  <c r="V36" i="14"/>
  <c r="V35" i="14"/>
  <c r="V34" i="14"/>
  <c r="V33" i="14"/>
  <c r="V32" i="14"/>
  <c r="V31" i="14"/>
  <c r="V30" i="14"/>
  <c r="V29" i="14"/>
  <c r="V28" i="14"/>
  <c r="V27" i="14"/>
  <c r="V26" i="14"/>
  <c r="V25" i="14"/>
  <c r="V24" i="14"/>
  <c r="V23" i="14"/>
  <c r="V22" i="14"/>
  <c r="V21" i="14"/>
  <c r="V20" i="14"/>
  <c r="V19" i="14"/>
  <c r="V18" i="14"/>
  <c r="V17" i="14"/>
  <c r="V16" i="14"/>
  <c r="V15" i="14"/>
  <c r="V14" i="14"/>
  <c r="V13" i="14"/>
  <c r="V12" i="14"/>
  <c r="V11" i="14"/>
  <c r="V10" i="14"/>
  <c r="V9" i="14"/>
  <c r="V8" i="14"/>
  <c r="V7" i="14"/>
  <c r="V6" i="14"/>
  <c r="V5" i="14"/>
  <c r="U125" i="14"/>
  <c r="U124" i="14"/>
  <c r="U123" i="14"/>
  <c r="U122" i="14"/>
  <c r="U121" i="14"/>
  <c r="U120" i="14"/>
  <c r="U119" i="14"/>
  <c r="U118" i="14"/>
  <c r="U117" i="14"/>
  <c r="U116" i="14"/>
  <c r="U115" i="14"/>
  <c r="U114" i="14"/>
  <c r="U113" i="14"/>
  <c r="U112" i="14"/>
  <c r="U111" i="14"/>
  <c r="U110" i="14"/>
  <c r="U109" i="14"/>
  <c r="U108" i="14"/>
  <c r="U107" i="14"/>
  <c r="U106" i="14"/>
  <c r="U105" i="14"/>
  <c r="U104" i="14"/>
  <c r="U103" i="14"/>
  <c r="U102" i="14"/>
  <c r="U101" i="14"/>
  <c r="U100" i="14"/>
  <c r="U99" i="14"/>
  <c r="U98" i="14"/>
  <c r="AB99" i="14" s="1"/>
  <c r="U97" i="14"/>
  <c r="U96" i="14"/>
  <c r="U95" i="14"/>
  <c r="U94" i="14"/>
  <c r="U93" i="14"/>
  <c r="U92" i="14"/>
  <c r="U91" i="14"/>
  <c r="U90" i="14"/>
  <c r="AB91" i="14" s="1"/>
  <c r="U89" i="14"/>
  <c r="U88" i="14"/>
  <c r="U87" i="14"/>
  <c r="U86" i="14"/>
  <c r="U85" i="14"/>
  <c r="U84" i="14"/>
  <c r="U83" i="14"/>
  <c r="U82" i="14"/>
  <c r="U81" i="14"/>
  <c r="U80" i="14"/>
  <c r="U79" i="14"/>
  <c r="U78" i="14"/>
  <c r="U77" i="14"/>
  <c r="U76" i="14"/>
  <c r="U75" i="14"/>
  <c r="U74" i="14"/>
  <c r="U73" i="14"/>
  <c r="U72" i="14"/>
  <c r="U71" i="14"/>
  <c r="U70" i="14"/>
  <c r="U69" i="14"/>
  <c r="U68" i="14"/>
  <c r="U67" i="14"/>
  <c r="U66" i="14"/>
  <c r="U65" i="14"/>
  <c r="U64" i="14"/>
  <c r="U63" i="14"/>
  <c r="U62" i="14"/>
  <c r="U61" i="14"/>
  <c r="U60" i="14"/>
  <c r="U59" i="14"/>
  <c r="U58" i="14"/>
  <c r="U57" i="14"/>
  <c r="U56" i="14"/>
  <c r="U55" i="14"/>
  <c r="U54" i="14"/>
  <c r="U53" i="14"/>
  <c r="U52" i="14"/>
  <c r="U51" i="14"/>
  <c r="U50" i="14"/>
  <c r="U49" i="14"/>
  <c r="U48" i="14"/>
  <c r="U47" i="14"/>
  <c r="U46" i="14"/>
  <c r="U45" i="14"/>
  <c r="U44" i="14"/>
  <c r="U43" i="14"/>
  <c r="U42" i="14"/>
  <c r="U41" i="14"/>
  <c r="U40" i="14"/>
  <c r="U39" i="14"/>
  <c r="U38" i="14"/>
  <c r="U37" i="14"/>
  <c r="U36" i="14"/>
  <c r="U35" i="14"/>
  <c r="U34" i="14"/>
  <c r="U33" i="14"/>
  <c r="U32" i="14"/>
  <c r="U31" i="14"/>
  <c r="U30" i="14"/>
  <c r="U29" i="14"/>
  <c r="U28" i="14"/>
  <c r="U27" i="14"/>
  <c r="U26" i="14"/>
  <c r="U25" i="14"/>
  <c r="U24" i="14"/>
  <c r="U23" i="14"/>
  <c r="U22" i="14"/>
  <c r="U21" i="14"/>
  <c r="U20" i="14"/>
  <c r="U19" i="14"/>
  <c r="U18" i="14"/>
  <c r="U17" i="14"/>
  <c r="U16" i="14"/>
  <c r="U15" i="14"/>
  <c r="U14" i="14"/>
  <c r="U13" i="14"/>
  <c r="U12" i="14"/>
  <c r="U11" i="14"/>
  <c r="U10" i="14"/>
  <c r="U9" i="14"/>
  <c r="U8" i="14"/>
  <c r="U7" i="14"/>
  <c r="U6" i="14"/>
  <c r="U5" i="14"/>
  <c r="T125" i="14"/>
  <c r="T124" i="14"/>
  <c r="T123" i="14"/>
  <c r="T122" i="14"/>
  <c r="T121" i="14"/>
  <c r="T120" i="14"/>
  <c r="T119" i="14"/>
  <c r="T118" i="14"/>
  <c r="T117" i="14"/>
  <c r="T116" i="14"/>
  <c r="T115" i="14"/>
  <c r="T114" i="14"/>
  <c r="T113" i="14"/>
  <c r="T112" i="14"/>
  <c r="T111" i="14"/>
  <c r="T110" i="14"/>
  <c r="T109" i="14"/>
  <c r="T108" i="14"/>
  <c r="T107" i="14"/>
  <c r="T106" i="14"/>
  <c r="T105" i="14"/>
  <c r="T104" i="14"/>
  <c r="T103" i="14"/>
  <c r="T102" i="14"/>
  <c r="T101" i="14"/>
  <c r="T100" i="14"/>
  <c r="T99" i="14"/>
  <c r="AA99" i="14" s="1"/>
  <c r="T98" i="14"/>
  <c r="T97" i="14"/>
  <c r="T96" i="14"/>
  <c r="T95" i="14"/>
  <c r="T94" i="14"/>
  <c r="T93" i="14"/>
  <c r="T92" i="14"/>
  <c r="T91" i="14"/>
  <c r="AA91" i="14" s="1"/>
  <c r="T90" i="14"/>
  <c r="T89" i="14"/>
  <c r="T88" i="14"/>
  <c r="T87" i="14"/>
  <c r="T86" i="14"/>
  <c r="T85" i="14"/>
  <c r="T84" i="14"/>
  <c r="T83" i="14"/>
  <c r="AA84" i="14" s="1"/>
  <c r="T82" i="14"/>
  <c r="T81" i="14"/>
  <c r="T80" i="14"/>
  <c r="T79" i="14"/>
  <c r="T78" i="14"/>
  <c r="T77" i="14"/>
  <c r="T76" i="14"/>
  <c r="T75" i="14"/>
  <c r="AA76" i="14" s="1"/>
  <c r="T74" i="14"/>
  <c r="T73" i="14"/>
  <c r="T72" i="14"/>
  <c r="T71" i="14"/>
  <c r="T70" i="14"/>
  <c r="T69" i="14"/>
  <c r="T68" i="14"/>
  <c r="T67" i="14"/>
  <c r="AA68" i="14" s="1"/>
  <c r="T66" i="14"/>
  <c r="T65" i="14"/>
  <c r="T64" i="14"/>
  <c r="T63" i="14"/>
  <c r="T62" i="14"/>
  <c r="T61" i="14"/>
  <c r="T60" i="14"/>
  <c r="T59" i="14"/>
  <c r="AA60" i="14" s="1"/>
  <c r="T58" i="14"/>
  <c r="T57" i="14"/>
  <c r="T56" i="14"/>
  <c r="T55" i="14"/>
  <c r="T54" i="14"/>
  <c r="T53" i="14"/>
  <c r="T52" i="14"/>
  <c r="T51" i="14"/>
  <c r="AA52" i="14" s="1"/>
  <c r="T50" i="14"/>
  <c r="T49" i="14"/>
  <c r="T48" i="14"/>
  <c r="T47" i="14"/>
  <c r="T46" i="14"/>
  <c r="T45" i="14"/>
  <c r="T44" i="14"/>
  <c r="T43" i="14"/>
  <c r="AA44" i="14" s="1"/>
  <c r="T42" i="14"/>
  <c r="T41" i="14"/>
  <c r="T40" i="14"/>
  <c r="T39" i="14"/>
  <c r="T38" i="14"/>
  <c r="T37" i="14"/>
  <c r="T36" i="14"/>
  <c r="T35" i="14"/>
  <c r="AA36" i="14" s="1"/>
  <c r="T34" i="14"/>
  <c r="T33" i="14"/>
  <c r="T32" i="14"/>
  <c r="T31" i="14"/>
  <c r="T30" i="14"/>
  <c r="T29" i="14"/>
  <c r="T28" i="14"/>
  <c r="T27" i="14"/>
  <c r="AA27" i="14" s="1"/>
  <c r="T26" i="14"/>
  <c r="T25" i="14"/>
  <c r="T24" i="14"/>
  <c r="T23" i="14"/>
  <c r="T22" i="14"/>
  <c r="T21" i="14"/>
  <c r="T20" i="14"/>
  <c r="T19" i="14"/>
  <c r="AA19" i="14" s="1"/>
  <c r="T18" i="14"/>
  <c r="T17" i="14"/>
  <c r="T16" i="14"/>
  <c r="T15" i="14"/>
  <c r="T14" i="14"/>
  <c r="T13" i="14"/>
  <c r="T12" i="14"/>
  <c r="T11" i="14"/>
  <c r="AA11" i="14" s="1"/>
  <c r="T10" i="14"/>
  <c r="T9" i="14"/>
  <c r="T8" i="14"/>
  <c r="T7" i="14"/>
  <c r="T6" i="14"/>
  <c r="T5" i="14"/>
  <c r="S125" i="14"/>
  <c r="S124" i="14"/>
  <c r="S123" i="14"/>
  <c r="S122" i="14"/>
  <c r="S121" i="14"/>
  <c r="S120" i="14"/>
  <c r="S119" i="14"/>
  <c r="S118" i="14"/>
  <c r="S117" i="14"/>
  <c r="S116" i="14"/>
  <c r="S115" i="14"/>
  <c r="S114" i="14"/>
  <c r="S113" i="14"/>
  <c r="S112" i="14"/>
  <c r="S111" i="14"/>
  <c r="S110" i="14"/>
  <c r="S109" i="14"/>
  <c r="S108" i="14"/>
  <c r="S107" i="14"/>
  <c r="S106" i="14"/>
  <c r="S105" i="14"/>
  <c r="S104" i="14"/>
  <c r="S103" i="14"/>
  <c r="S102" i="14"/>
  <c r="S101" i="14"/>
  <c r="S100" i="14"/>
  <c r="Z100" i="14" s="1"/>
  <c r="S99" i="14"/>
  <c r="S98" i="14"/>
  <c r="S97" i="14"/>
  <c r="S96" i="14"/>
  <c r="S95" i="14"/>
  <c r="S94" i="14"/>
  <c r="S93" i="14"/>
  <c r="S92" i="14"/>
  <c r="Z92" i="14" s="1"/>
  <c r="S91" i="14"/>
  <c r="S90" i="14"/>
  <c r="S89" i="14"/>
  <c r="S88" i="14"/>
  <c r="S87" i="14"/>
  <c r="S86" i="14"/>
  <c r="S85" i="14"/>
  <c r="S84" i="14"/>
  <c r="Z85" i="14" s="1"/>
  <c r="S83" i="14"/>
  <c r="S82" i="14"/>
  <c r="S81" i="14"/>
  <c r="S80" i="14"/>
  <c r="S79" i="14"/>
  <c r="S78" i="14"/>
  <c r="S77" i="14"/>
  <c r="S76" i="14"/>
  <c r="Z76" i="14" s="1"/>
  <c r="S75" i="14"/>
  <c r="S74" i="14"/>
  <c r="S73" i="14"/>
  <c r="S72" i="14"/>
  <c r="S71" i="14"/>
  <c r="S70" i="14"/>
  <c r="S69" i="14"/>
  <c r="S68" i="14"/>
  <c r="Z68" i="14" s="1"/>
  <c r="S67" i="14"/>
  <c r="S66" i="14"/>
  <c r="S65" i="14"/>
  <c r="S64" i="14"/>
  <c r="S63" i="14"/>
  <c r="S62" i="14"/>
  <c r="S61" i="14"/>
  <c r="S60" i="14"/>
  <c r="Z60" i="14" s="1"/>
  <c r="S59" i="14"/>
  <c r="S58" i="14"/>
  <c r="S57" i="14"/>
  <c r="S56" i="14"/>
  <c r="S55" i="14"/>
  <c r="S54" i="14"/>
  <c r="S53" i="14"/>
  <c r="S52" i="14"/>
  <c r="S51" i="14"/>
  <c r="S50" i="14"/>
  <c r="S49" i="14"/>
  <c r="S48" i="14"/>
  <c r="S47" i="14"/>
  <c r="S46" i="14"/>
  <c r="S45" i="14"/>
  <c r="S44" i="14"/>
  <c r="S43" i="14"/>
  <c r="S42" i="14"/>
  <c r="S41" i="14"/>
  <c r="S40" i="14"/>
  <c r="S39" i="14"/>
  <c r="S38" i="14"/>
  <c r="S37" i="14"/>
  <c r="S36" i="14"/>
  <c r="S35" i="14"/>
  <c r="S34" i="14"/>
  <c r="S33" i="14"/>
  <c r="S32" i="14"/>
  <c r="S31" i="14"/>
  <c r="S30" i="14"/>
  <c r="S29" i="14"/>
  <c r="S28" i="14"/>
  <c r="S27" i="14"/>
  <c r="S26" i="14"/>
  <c r="S25" i="14"/>
  <c r="S24" i="14"/>
  <c r="S23" i="14"/>
  <c r="S22" i="14"/>
  <c r="S21" i="14"/>
  <c r="S20" i="14"/>
  <c r="S19" i="14"/>
  <c r="S18" i="14"/>
  <c r="S17" i="14"/>
  <c r="S16" i="14"/>
  <c r="S15" i="14"/>
  <c r="S14" i="14"/>
  <c r="S13" i="14"/>
  <c r="S12" i="14"/>
  <c r="S11" i="14"/>
  <c r="S10" i="14"/>
  <c r="S9" i="14"/>
  <c r="S8" i="14"/>
  <c r="S7" i="14"/>
  <c r="S6" i="14"/>
  <c r="AE105" i="14"/>
  <c r="AD105" i="14"/>
  <c r="AB105" i="14"/>
  <c r="AA105" i="14"/>
  <c r="AB104" i="14"/>
  <c r="AC104" i="14"/>
  <c r="Z104" i="14"/>
  <c r="AE103" i="14"/>
  <c r="AD103" i="14"/>
  <c r="AB103" i="14"/>
  <c r="AA104" i="14"/>
  <c r="AB102" i="14"/>
  <c r="AE102" i="14"/>
  <c r="AC103" i="14"/>
  <c r="AA102" i="14"/>
  <c r="Z102" i="14"/>
  <c r="AE101" i="14"/>
  <c r="AD101" i="14"/>
  <c r="AB101" i="14"/>
  <c r="AA101" i="14"/>
  <c r="AB100" i="14"/>
  <c r="AE100" i="14"/>
  <c r="AC101" i="14"/>
  <c r="AA100" i="14"/>
  <c r="AC99" i="14"/>
  <c r="AE99" i="14"/>
  <c r="AD99" i="14"/>
  <c r="AE98" i="14"/>
  <c r="AA98" i="14"/>
  <c r="Z98" i="14"/>
  <c r="AE97" i="14"/>
  <c r="AB97" i="14"/>
  <c r="AA97" i="14"/>
  <c r="AB96" i="14"/>
  <c r="AC96" i="14"/>
  <c r="AA96" i="14"/>
  <c r="Z96" i="14"/>
  <c r="AC95" i="14"/>
  <c r="AD95" i="14"/>
  <c r="AB95" i="14"/>
  <c r="AA95" i="14"/>
  <c r="AB94" i="14"/>
  <c r="AE94" i="14"/>
  <c r="AC94" i="14"/>
  <c r="AA94" i="14"/>
  <c r="Z94" i="14"/>
  <c r="AC93" i="14"/>
  <c r="AE93" i="14"/>
  <c r="AD93" i="14"/>
  <c r="AB93" i="14"/>
  <c r="AA93" i="14"/>
  <c r="AB92" i="14"/>
  <c r="AE92" i="14"/>
  <c r="AC92" i="14"/>
  <c r="AA92" i="14"/>
  <c r="AC91" i="14"/>
  <c r="AE91" i="14"/>
  <c r="AD91" i="14"/>
  <c r="AE90" i="14"/>
  <c r="AA90" i="14"/>
  <c r="Z90" i="14"/>
  <c r="AE89" i="14"/>
  <c r="AB89" i="14"/>
  <c r="AA89" i="14"/>
  <c r="AB88" i="14"/>
  <c r="AA88" i="14"/>
  <c r="Z88" i="14"/>
  <c r="AC87" i="14"/>
  <c r="AD87" i="14"/>
  <c r="AC88" i="14"/>
  <c r="AB87" i="14"/>
  <c r="AA87" i="14"/>
  <c r="Z87" i="14"/>
  <c r="AE85" i="14"/>
  <c r="AD85" i="14"/>
  <c r="AC85" i="14"/>
  <c r="AD84" i="14"/>
  <c r="AE84" i="14"/>
  <c r="AC84" i="14"/>
  <c r="AB84" i="14"/>
  <c r="AA85" i="14"/>
  <c r="AE83" i="14"/>
  <c r="AB83" i="14"/>
  <c r="Z83" i="14"/>
  <c r="AD83" i="14"/>
  <c r="AC83" i="14"/>
  <c r="Z82" i="14"/>
  <c r="AA82" i="14"/>
  <c r="Z81" i="14"/>
  <c r="AA81" i="14"/>
  <c r="Z80" i="14"/>
  <c r="AA80" i="14"/>
  <c r="Z79" i="14"/>
  <c r="AA79" i="14"/>
  <c r="Z78" i="14"/>
  <c r="AA78" i="14"/>
  <c r="AA77" i="14"/>
  <c r="Z75" i="14"/>
  <c r="Z74" i="14"/>
  <c r="AA74" i="14"/>
  <c r="Z73" i="14"/>
  <c r="AA73" i="14"/>
  <c r="Z72" i="14"/>
  <c r="AA72" i="14"/>
  <c r="Z71" i="14"/>
  <c r="AA71" i="14"/>
  <c r="Z70" i="14"/>
  <c r="AA70" i="14"/>
  <c r="AA69" i="14"/>
  <c r="Z67" i="14"/>
  <c r="Z66" i="14"/>
  <c r="AA66" i="14"/>
  <c r="Z65" i="14"/>
  <c r="AA65" i="14"/>
  <c r="Z64" i="14"/>
  <c r="AA64" i="14"/>
  <c r="Z63" i="14"/>
  <c r="AA63" i="14"/>
  <c r="Z62" i="14"/>
  <c r="AA62" i="14"/>
  <c r="AA61" i="14"/>
  <c r="Z59" i="14"/>
  <c r="Z58" i="14"/>
  <c r="AA58" i="14"/>
  <c r="Z57" i="14"/>
  <c r="AA57" i="14"/>
  <c r="Z56" i="14"/>
  <c r="AA56" i="14"/>
  <c r="AA55" i="14"/>
  <c r="AA53" i="14"/>
  <c r="AA49" i="14"/>
  <c r="AA48" i="14"/>
  <c r="AA47" i="14"/>
  <c r="AA45" i="14"/>
  <c r="AA41" i="14"/>
  <c r="AA40" i="14"/>
  <c r="AA39" i="14"/>
  <c r="AA37" i="14"/>
  <c r="AA33" i="14"/>
  <c r="AA32" i="14"/>
  <c r="AA31" i="14"/>
  <c r="AA29" i="14"/>
  <c r="AA25" i="14"/>
  <c r="AA24" i="14"/>
  <c r="AA23" i="14"/>
  <c r="AA21" i="14"/>
  <c r="AA17" i="14"/>
  <c r="AA16" i="14"/>
  <c r="AA15" i="14"/>
  <c r="AA13" i="14"/>
  <c r="AA9" i="14"/>
  <c r="AA8" i="14"/>
  <c r="AA7" i="14"/>
  <c r="AA6" i="14"/>
  <c r="DC4" i="1"/>
  <c r="DC5" i="1"/>
  <c r="DC6" i="1"/>
  <c r="DC7" i="1"/>
  <c r="DC8" i="1"/>
  <c r="DC9" i="1"/>
  <c r="DC10" i="1"/>
  <c r="DC11" i="1"/>
  <c r="DC12" i="1"/>
  <c r="S120" i="11"/>
  <c r="T120" i="11"/>
  <c r="U120" i="11"/>
  <c r="V120" i="11"/>
  <c r="W120" i="11"/>
  <c r="X120" i="11"/>
  <c r="S121" i="11"/>
  <c r="T121" i="11"/>
  <c r="U121" i="11"/>
  <c r="V121" i="11"/>
  <c r="W121" i="11"/>
  <c r="X121" i="11"/>
  <c r="S122" i="11"/>
  <c r="T122" i="11"/>
  <c r="U122" i="11"/>
  <c r="V122" i="11"/>
  <c r="W122" i="11"/>
  <c r="X122" i="11"/>
  <c r="S123" i="11"/>
  <c r="T123" i="11"/>
  <c r="U123" i="11"/>
  <c r="V123" i="11"/>
  <c r="W123" i="11"/>
  <c r="X123" i="11"/>
  <c r="S124" i="11"/>
  <c r="T124" i="11"/>
  <c r="U124" i="11"/>
  <c r="V124" i="11"/>
  <c r="W124" i="11"/>
  <c r="X124" i="11"/>
  <c r="S125" i="11"/>
  <c r="T125" i="11"/>
  <c r="U125" i="11"/>
  <c r="V125" i="11"/>
  <c r="W125" i="11"/>
  <c r="X125" i="11"/>
  <c r="DD4" i="1"/>
  <c r="DD5" i="1"/>
  <c r="CX5" i="1" s="1"/>
  <c r="DD6" i="1"/>
  <c r="DD7" i="1"/>
  <c r="DD8" i="1"/>
  <c r="DD9" i="1"/>
  <c r="CX9" i="1" s="1"/>
  <c r="DD10" i="1"/>
  <c r="DD11" i="1"/>
  <c r="DD12" i="1"/>
  <c r="CX12" i="1" s="1"/>
  <c r="DD13" i="1"/>
  <c r="CX13" i="1" s="1"/>
  <c r="CO4" i="1" a="1"/>
  <c r="CO4" i="1" s="1"/>
  <c r="AY4" i="1" s="1"/>
  <c r="CI4" i="1" a="1"/>
  <c r="CI4" i="1" s="1"/>
  <c r="AS4" i="1" s="1"/>
  <c r="CP6" i="1" a="1"/>
  <c r="CP8" i="1" s="1"/>
  <c r="AZ8" i="1" s="1"/>
  <c r="CJ6" i="1" a="1"/>
  <c r="CJ6" i="1" s="1"/>
  <c r="AT6" i="1" s="1"/>
  <c r="CQ6" i="1" a="1"/>
  <c r="CQ6" i="1" s="1"/>
  <c r="BA6" i="1" s="1"/>
  <c r="CK6" i="1" a="1"/>
  <c r="CK6" i="1" s="1"/>
  <c r="AU6" i="1" s="1"/>
  <c r="CR7" i="1" a="1"/>
  <c r="CR10" i="1" s="1"/>
  <c r="BB10" i="1" s="1"/>
  <c r="CL7" i="1" a="1"/>
  <c r="CL7" i="1" s="1"/>
  <c r="AV7" i="1" s="1"/>
  <c r="X119" i="18"/>
  <c r="W119" i="18"/>
  <c r="V119" i="18"/>
  <c r="U119" i="18"/>
  <c r="T119" i="18"/>
  <c r="S119" i="18"/>
  <c r="F119" i="18"/>
  <c r="X118" i="18"/>
  <c r="W118" i="18"/>
  <c r="V118" i="18"/>
  <c r="U118" i="18"/>
  <c r="T118" i="18"/>
  <c r="S118" i="18"/>
  <c r="F118" i="18"/>
  <c r="X117" i="18"/>
  <c r="W117" i="18"/>
  <c r="V117" i="18"/>
  <c r="U117" i="18"/>
  <c r="T117" i="18"/>
  <c r="S117" i="18"/>
  <c r="F117" i="18"/>
  <c r="X116" i="18"/>
  <c r="W116" i="18"/>
  <c r="V116" i="18"/>
  <c r="U116" i="18"/>
  <c r="T116" i="18"/>
  <c r="S116" i="18"/>
  <c r="F116" i="18"/>
  <c r="X115" i="18"/>
  <c r="W115" i="18"/>
  <c r="V115" i="18"/>
  <c r="U115" i="18"/>
  <c r="T115" i="18"/>
  <c r="S115" i="18"/>
  <c r="F115" i="18"/>
  <c r="X114" i="18"/>
  <c r="W114" i="18"/>
  <c r="V114" i="18"/>
  <c r="U114" i="18"/>
  <c r="T114" i="18"/>
  <c r="S114" i="18"/>
  <c r="F114" i="18"/>
  <c r="X113" i="18"/>
  <c r="W113" i="18"/>
  <c r="V113" i="18"/>
  <c r="U113" i="18"/>
  <c r="T113" i="18"/>
  <c r="S113" i="18"/>
  <c r="F113" i="18"/>
  <c r="X112" i="18"/>
  <c r="W112" i="18"/>
  <c r="V112" i="18"/>
  <c r="U112" i="18"/>
  <c r="T112" i="18"/>
  <c r="S112" i="18"/>
  <c r="F112" i="18"/>
  <c r="X111" i="18"/>
  <c r="W111" i="18"/>
  <c r="V111" i="18"/>
  <c r="U111" i="18"/>
  <c r="T111" i="18"/>
  <c r="S111" i="18"/>
  <c r="F111" i="18"/>
  <c r="X110" i="18"/>
  <c r="W110" i="18"/>
  <c r="V110" i="18"/>
  <c r="U110" i="18"/>
  <c r="T110" i="18"/>
  <c r="S110" i="18"/>
  <c r="F110" i="18"/>
  <c r="X109" i="18"/>
  <c r="W109" i="18"/>
  <c r="V109" i="18"/>
  <c r="U109" i="18"/>
  <c r="T109" i="18"/>
  <c r="S109" i="18"/>
  <c r="F109" i="18"/>
  <c r="X108" i="18"/>
  <c r="W108" i="18"/>
  <c r="V108" i="18"/>
  <c r="U108" i="18"/>
  <c r="T108" i="18"/>
  <c r="S108" i="18"/>
  <c r="F108" i="18"/>
  <c r="X107" i="18"/>
  <c r="W107" i="18"/>
  <c r="V107" i="18"/>
  <c r="U107" i="18"/>
  <c r="T107" i="18"/>
  <c r="S107" i="18"/>
  <c r="F107" i="18"/>
  <c r="X106" i="18"/>
  <c r="W106" i="18"/>
  <c r="V106" i="18"/>
  <c r="U106" i="18"/>
  <c r="T106" i="18"/>
  <c r="S106" i="18"/>
  <c r="F106" i="18"/>
  <c r="X105" i="18"/>
  <c r="W105" i="18"/>
  <c r="V105" i="18"/>
  <c r="U105" i="18"/>
  <c r="T105" i="18"/>
  <c r="S105" i="18"/>
  <c r="F105" i="18"/>
  <c r="X104" i="18"/>
  <c r="W104" i="18"/>
  <c r="V104" i="18"/>
  <c r="U104" i="18"/>
  <c r="T104" i="18"/>
  <c r="S104" i="18"/>
  <c r="F104" i="18"/>
  <c r="X103" i="18"/>
  <c r="W103" i="18"/>
  <c r="V103" i="18"/>
  <c r="U103" i="18"/>
  <c r="T103" i="18"/>
  <c r="S103" i="18"/>
  <c r="F103" i="18"/>
  <c r="X102" i="18"/>
  <c r="W102" i="18"/>
  <c r="V102" i="18"/>
  <c r="U102" i="18"/>
  <c r="T102" i="18"/>
  <c r="S102" i="18"/>
  <c r="F102" i="18"/>
  <c r="X101" i="18"/>
  <c r="W101" i="18"/>
  <c r="V101" i="18"/>
  <c r="U101" i="18"/>
  <c r="T101" i="18"/>
  <c r="S101" i="18"/>
  <c r="F101" i="18"/>
  <c r="AE100" i="18"/>
  <c r="X100" i="18"/>
  <c r="W100" i="18"/>
  <c r="AD100" i="18" s="1"/>
  <c r="V100" i="18"/>
  <c r="AC100" i="18" s="1"/>
  <c r="U100" i="18"/>
  <c r="AB100" i="18" s="1"/>
  <c r="T100" i="18"/>
  <c r="AA100" i="18" s="1"/>
  <c r="S100" i="18"/>
  <c r="F100" i="18"/>
  <c r="AC99" i="18"/>
  <c r="AB99" i="18"/>
  <c r="X99" i="18"/>
  <c r="AE99" i="18" s="1"/>
  <c r="W99" i="18"/>
  <c r="AD99" i="18" s="1"/>
  <c r="V99" i="18"/>
  <c r="U99" i="18"/>
  <c r="T99" i="18"/>
  <c r="AA99" i="18" s="1"/>
  <c r="S99" i="18"/>
  <c r="F99" i="18"/>
  <c r="X98" i="18"/>
  <c r="AE98" i="18" s="1"/>
  <c r="W98" i="18"/>
  <c r="AD98" i="18" s="1"/>
  <c r="V98" i="18"/>
  <c r="U98" i="18"/>
  <c r="AB98" i="18" s="1"/>
  <c r="T98" i="18"/>
  <c r="AA98" i="18" s="1"/>
  <c r="S98" i="18"/>
  <c r="F98" i="18"/>
  <c r="AE97" i="18"/>
  <c r="AD97" i="18"/>
  <c r="X97" i="18"/>
  <c r="W97" i="18"/>
  <c r="V97" i="18"/>
  <c r="AC98" i="18" s="1"/>
  <c r="U97" i="18"/>
  <c r="AB97" i="18" s="1"/>
  <c r="T97" i="18"/>
  <c r="AA97" i="18" s="1"/>
  <c r="S97" i="18"/>
  <c r="F97" i="18"/>
  <c r="AB96" i="18"/>
  <c r="AA96" i="18"/>
  <c r="X96" i="18"/>
  <c r="AE96" i="18" s="1"/>
  <c r="W96" i="18"/>
  <c r="AD96" i="18" s="1"/>
  <c r="V96" i="18"/>
  <c r="U96" i="18"/>
  <c r="T96" i="18"/>
  <c r="S96" i="18"/>
  <c r="F96" i="18"/>
  <c r="X95" i="18"/>
  <c r="AE95" i="18" s="1"/>
  <c r="W95" i="18"/>
  <c r="AD95" i="18" s="1"/>
  <c r="V95" i="18"/>
  <c r="AC95" i="18" s="1"/>
  <c r="U95" i="18"/>
  <c r="AB95" i="18" s="1"/>
  <c r="T95" i="18"/>
  <c r="AA95" i="18" s="1"/>
  <c r="S95" i="18"/>
  <c r="F95" i="18"/>
  <c r="AD94" i="18"/>
  <c r="AC94" i="18"/>
  <c r="X94" i="18"/>
  <c r="W94" i="18"/>
  <c r="V94" i="18"/>
  <c r="U94" i="18"/>
  <c r="AB94" i="18" s="1"/>
  <c r="T94" i="18"/>
  <c r="AA94" i="18" s="1"/>
  <c r="S94" i="18"/>
  <c r="F94" i="18"/>
  <c r="AA93" i="18"/>
  <c r="X93" i="18"/>
  <c r="AE93" i="18" s="1"/>
  <c r="W93" i="18"/>
  <c r="AD93" i="18" s="1"/>
  <c r="V93" i="18"/>
  <c r="U93" i="18"/>
  <c r="AB93" i="18" s="1"/>
  <c r="T93" i="18"/>
  <c r="S93" i="18"/>
  <c r="F93" i="18"/>
  <c r="AE92" i="18"/>
  <c r="X92" i="18"/>
  <c r="W92" i="18"/>
  <c r="AD92" i="18" s="1"/>
  <c r="V92" i="18"/>
  <c r="AC93" i="18" s="1"/>
  <c r="U92" i="18"/>
  <c r="AB92" i="18" s="1"/>
  <c r="T92" i="18"/>
  <c r="AA92" i="18" s="1"/>
  <c r="S92" i="18"/>
  <c r="F92" i="18"/>
  <c r="AC91" i="18"/>
  <c r="AB91" i="18"/>
  <c r="X91" i="18"/>
  <c r="W91" i="18"/>
  <c r="AD91" i="18" s="1"/>
  <c r="V91" i="18"/>
  <c r="U91" i="18"/>
  <c r="T91" i="18"/>
  <c r="AA91" i="18" s="1"/>
  <c r="S91" i="18"/>
  <c r="F91" i="18"/>
  <c r="X90" i="18"/>
  <c r="AE91" i="18" s="1"/>
  <c r="W90" i="18"/>
  <c r="AD90" i="18" s="1"/>
  <c r="V90" i="18"/>
  <c r="U90" i="18"/>
  <c r="T90" i="18"/>
  <c r="AA90" i="18" s="1"/>
  <c r="S90" i="18"/>
  <c r="F90" i="18"/>
  <c r="AE89" i="18"/>
  <c r="AD89" i="18"/>
  <c r="X89" i="18"/>
  <c r="W89" i="18"/>
  <c r="V89" i="18"/>
  <c r="AC90" i="18" s="1"/>
  <c r="U89" i="18"/>
  <c r="AB90" i="18" s="1"/>
  <c r="T89" i="18"/>
  <c r="AA89" i="18" s="1"/>
  <c r="S89" i="18"/>
  <c r="F89" i="18"/>
  <c r="AB88" i="18"/>
  <c r="AA88" i="18"/>
  <c r="X88" i="18"/>
  <c r="W88" i="18"/>
  <c r="AD88" i="18" s="1"/>
  <c r="V88" i="18"/>
  <c r="U88" i="18"/>
  <c r="T88" i="18"/>
  <c r="S88" i="18"/>
  <c r="F88" i="18"/>
  <c r="X87" i="18"/>
  <c r="AE88" i="18" s="1"/>
  <c r="W87" i="18"/>
  <c r="AD87" i="18" s="1"/>
  <c r="V87" i="18"/>
  <c r="AC87" i="18" s="1"/>
  <c r="U87" i="18"/>
  <c r="T87" i="18"/>
  <c r="AA87" i="18" s="1"/>
  <c r="S87" i="18"/>
  <c r="F87" i="18"/>
  <c r="AD86" i="18"/>
  <c r="AC86" i="18"/>
  <c r="X86" i="18"/>
  <c r="W86" i="18"/>
  <c r="V86" i="18"/>
  <c r="U86" i="18"/>
  <c r="AB87" i="18" s="1"/>
  <c r="T86" i="18"/>
  <c r="AA86" i="18" s="1"/>
  <c r="S86" i="18"/>
  <c r="F86" i="18"/>
  <c r="AA85" i="18"/>
  <c r="X85" i="18"/>
  <c r="AE85" i="18" s="1"/>
  <c r="W85" i="18"/>
  <c r="AD85" i="18" s="1"/>
  <c r="V85" i="18"/>
  <c r="U85" i="18"/>
  <c r="T85" i="18"/>
  <c r="S85" i="18"/>
  <c r="F85" i="18"/>
  <c r="AE84" i="18"/>
  <c r="X84" i="18"/>
  <c r="W84" i="18"/>
  <c r="AD84" i="18" s="1"/>
  <c r="V84" i="18"/>
  <c r="AC85" i="18" s="1"/>
  <c r="U84" i="18"/>
  <c r="AB84" i="18" s="1"/>
  <c r="T84" i="18"/>
  <c r="AA84" i="18" s="1"/>
  <c r="S84" i="18"/>
  <c r="F84" i="18"/>
  <c r="AC83" i="18"/>
  <c r="AB83" i="18"/>
  <c r="X83" i="18"/>
  <c r="W83" i="18"/>
  <c r="AD83" i="18" s="1"/>
  <c r="V83" i="18"/>
  <c r="U83" i="18"/>
  <c r="T83" i="18"/>
  <c r="AA83" i="18" s="1"/>
  <c r="S83" i="18"/>
  <c r="F83" i="18"/>
  <c r="X82" i="18"/>
  <c r="AE83" i="18" s="1"/>
  <c r="W82" i="18"/>
  <c r="V82" i="18"/>
  <c r="U82" i="18"/>
  <c r="T82" i="18"/>
  <c r="S82" i="18"/>
  <c r="F82" i="18"/>
  <c r="X81" i="18"/>
  <c r="W81" i="18"/>
  <c r="V81" i="18"/>
  <c r="U81" i="18"/>
  <c r="T81" i="18"/>
  <c r="AA81" i="18" s="1"/>
  <c r="S81" i="18"/>
  <c r="Z81" i="18" s="1"/>
  <c r="X80" i="18"/>
  <c r="W80" i="18"/>
  <c r="V80" i="18"/>
  <c r="U80" i="18"/>
  <c r="T80" i="18"/>
  <c r="AA80" i="18" s="1"/>
  <c r="S80" i="18"/>
  <c r="Z80" i="18" s="1"/>
  <c r="X79" i="18"/>
  <c r="W79" i="18"/>
  <c r="V79" i="18"/>
  <c r="U79" i="18"/>
  <c r="T79" i="18"/>
  <c r="AA79" i="18" s="1"/>
  <c r="S79" i="18"/>
  <c r="Z79" i="18" s="1"/>
  <c r="X78" i="18"/>
  <c r="W78" i="18"/>
  <c r="V78" i="18"/>
  <c r="U78" i="18"/>
  <c r="T78" i="18"/>
  <c r="AA78" i="18" s="1"/>
  <c r="S78" i="18"/>
  <c r="Z78" i="18" s="1"/>
  <c r="X77" i="18"/>
  <c r="W77" i="18"/>
  <c r="V77" i="18"/>
  <c r="U77" i="18"/>
  <c r="T77" i="18"/>
  <c r="AA77" i="18" s="1"/>
  <c r="S77" i="18"/>
  <c r="Z77" i="18" s="1"/>
  <c r="X76" i="18"/>
  <c r="W76" i="18"/>
  <c r="V76" i="18"/>
  <c r="U76" i="18"/>
  <c r="T76" i="18"/>
  <c r="AA76" i="18" s="1"/>
  <c r="S76" i="18"/>
  <c r="Z76" i="18" s="1"/>
  <c r="X75" i="18"/>
  <c r="W75" i="18"/>
  <c r="V75" i="18"/>
  <c r="U75" i="18"/>
  <c r="T75" i="18"/>
  <c r="AA75" i="18" s="1"/>
  <c r="S75" i="18"/>
  <c r="Z75" i="18" s="1"/>
  <c r="X74" i="18"/>
  <c r="W74" i="18"/>
  <c r="V74" i="18"/>
  <c r="U74" i="18"/>
  <c r="T74" i="18"/>
  <c r="AA74" i="18" s="1"/>
  <c r="S74" i="18"/>
  <c r="Z74" i="18" s="1"/>
  <c r="X73" i="18"/>
  <c r="W73" i="18"/>
  <c r="V73" i="18"/>
  <c r="U73" i="18"/>
  <c r="T73" i="18"/>
  <c r="AA73" i="18" s="1"/>
  <c r="S73" i="18"/>
  <c r="Z73" i="18" s="1"/>
  <c r="X72" i="18"/>
  <c r="W72" i="18"/>
  <c r="V72" i="18"/>
  <c r="U72" i="18"/>
  <c r="T72" i="18"/>
  <c r="AA72" i="18" s="1"/>
  <c r="S72" i="18"/>
  <c r="Z72" i="18" s="1"/>
  <c r="X71" i="18"/>
  <c r="W71" i="18"/>
  <c r="V71" i="18"/>
  <c r="U71" i="18"/>
  <c r="T71" i="18"/>
  <c r="AA71" i="18" s="1"/>
  <c r="S71" i="18"/>
  <c r="Z71" i="18" s="1"/>
  <c r="X70" i="18"/>
  <c r="W70" i="18"/>
  <c r="V70" i="18"/>
  <c r="U70" i="18"/>
  <c r="T70" i="18"/>
  <c r="AA70" i="18" s="1"/>
  <c r="S70" i="18"/>
  <c r="Z70" i="18" s="1"/>
  <c r="X69" i="18"/>
  <c r="W69" i="18"/>
  <c r="V69" i="18"/>
  <c r="U69" i="18"/>
  <c r="T69" i="18"/>
  <c r="AA69" i="18" s="1"/>
  <c r="S69" i="18"/>
  <c r="Z69" i="18" s="1"/>
  <c r="X68" i="18"/>
  <c r="W68" i="18"/>
  <c r="V68" i="18"/>
  <c r="U68" i="18"/>
  <c r="T68" i="18"/>
  <c r="AA68" i="18" s="1"/>
  <c r="S68" i="18"/>
  <c r="Z68" i="18" s="1"/>
  <c r="X67" i="18"/>
  <c r="W67" i="18"/>
  <c r="V67" i="18"/>
  <c r="U67" i="18"/>
  <c r="T67" i="18"/>
  <c r="AA67" i="18" s="1"/>
  <c r="S67" i="18"/>
  <c r="Z67" i="18" s="1"/>
  <c r="X66" i="18"/>
  <c r="W66" i="18"/>
  <c r="V66" i="18"/>
  <c r="U66" i="18"/>
  <c r="T66" i="18"/>
  <c r="AA66" i="18" s="1"/>
  <c r="S66" i="18"/>
  <c r="Z66" i="18" s="1"/>
  <c r="X65" i="18"/>
  <c r="W65" i="18"/>
  <c r="V65" i="18"/>
  <c r="U65" i="18"/>
  <c r="T65" i="18"/>
  <c r="AA65" i="18" s="1"/>
  <c r="S65" i="18"/>
  <c r="Z65" i="18" s="1"/>
  <c r="X64" i="18"/>
  <c r="W64" i="18"/>
  <c r="V64" i="18"/>
  <c r="U64" i="18"/>
  <c r="T64" i="18"/>
  <c r="AA64" i="18" s="1"/>
  <c r="S64" i="18"/>
  <c r="Z64" i="18" s="1"/>
  <c r="X63" i="18"/>
  <c r="W63" i="18"/>
  <c r="V63" i="18"/>
  <c r="U63" i="18"/>
  <c r="T63" i="18"/>
  <c r="AA63" i="18" s="1"/>
  <c r="S63" i="18"/>
  <c r="Z63" i="18" s="1"/>
  <c r="X62" i="18"/>
  <c r="W62" i="18"/>
  <c r="V62" i="18"/>
  <c r="U62" i="18"/>
  <c r="T62" i="18"/>
  <c r="AA62" i="18" s="1"/>
  <c r="S62" i="18"/>
  <c r="Z62" i="18" s="1"/>
  <c r="X61" i="18"/>
  <c r="W61" i="18"/>
  <c r="V61" i="18"/>
  <c r="U61" i="18"/>
  <c r="T61" i="18"/>
  <c r="AA61" i="18" s="1"/>
  <c r="S61" i="18"/>
  <c r="Z61" i="18" s="1"/>
  <c r="X60" i="18"/>
  <c r="W60" i="18"/>
  <c r="V60" i="18"/>
  <c r="U60" i="18"/>
  <c r="T60" i="18"/>
  <c r="AA60" i="18" s="1"/>
  <c r="S60" i="18"/>
  <c r="Z60" i="18" s="1"/>
  <c r="X59" i="18"/>
  <c r="W59" i="18"/>
  <c r="V59" i="18"/>
  <c r="U59" i="18"/>
  <c r="T59" i="18"/>
  <c r="AA59" i="18" s="1"/>
  <c r="S59" i="18"/>
  <c r="Z59" i="18" s="1"/>
  <c r="X58" i="18"/>
  <c r="W58" i="18"/>
  <c r="V58" i="18"/>
  <c r="U58" i="18"/>
  <c r="T58" i="18"/>
  <c r="AA58" i="18" s="1"/>
  <c r="S58" i="18"/>
  <c r="Z58" i="18" s="1"/>
  <c r="X57" i="18"/>
  <c r="W57" i="18"/>
  <c r="V57" i="18"/>
  <c r="U57" i="18"/>
  <c r="T57" i="18"/>
  <c r="AA57" i="18" s="1"/>
  <c r="S57" i="18"/>
  <c r="Z57" i="18" s="1"/>
  <c r="X56" i="18"/>
  <c r="W56" i="18"/>
  <c r="V56" i="18"/>
  <c r="U56" i="18"/>
  <c r="T56" i="18"/>
  <c r="AA56" i="18" s="1"/>
  <c r="S56" i="18"/>
  <c r="Z56" i="18" s="1"/>
  <c r="X55" i="18"/>
  <c r="W55" i="18"/>
  <c r="V55" i="18"/>
  <c r="U55" i="18"/>
  <c r="T55" i="18"/>
  <c r="AA55" i="18" s="1"/>
  <c r="S55" i="18"/>
  <c r="AA54" i="18"/>
  <c r="X54" i="18"/>
  <c r="W54" i="18"/>
  <c r="V54" i="18"/>
  <c r="U54" i="18"/>
  <c r="T54" i="18"/>
  <c r="S54" i="18"/>
  <c r="AA53" i="18"/>
  <c r="X53" i="18"/>
  <c r="W53" i="18"/>
  <c r="V53" i="18"/>
  <c r="U53" i="18"/>
  <c r="T53" i="18"/>
  <c r="S53" i="18"/>
  <c r="X52" i="18"/>
  <c r="W52" i="18"/>
  <c r="V52" i="18"/>
  <c r="U52" i="18"/>
  <c r="T52" i="18"/>
  <c r="AA52" i="18" s="1"/>
  <c r="S52" i="18"/>
  <c r="AA51" i="18"/>
  <c r="X51" i="18"/>
  <c r="W51" i="18"/>
  <c r="V51" i="18"/>
  <c r="U51" i="18"/>
  <c r="T51" i="18"/>
  <c r="S51" i="18"/>
  <c r="X50" i="18"/>
  <c r="W50" i="18"/>
  <c r="V50" i="18"/>
  <c r="U50" i="18"/>
  <c r="T50" i="18"/>
  <c r="S50" i="18"/>
  <c r="X49" i="18"/>
  <c r="W49" i="18"/>
  <c r="V49" i="18"/>
  <c r="U49" i="18"/>
  <c r="T49" i="18"/>
  <c r="AA49" i="18" s="1"/>
  <c r="S49" i="18"/>
  <c r="X48" i="18"/>
  <c r="W48" i="18"/>
  <c r="V48" i="18"/>
  <c r="U48" i="18"/>
  <c r="T48" i="18"/>
  <c r="AA48" i="18" s="1"/>
  <c r="S48" i="18"/>
  <c r="X47" i="18"/>
  <c r="W47" i="18"/>
  <c r="V47" i="18"/>
  <c r="U47" i="18"/>
  <c r="T47" i="18"/>
  <c r="AA47" i="18" s="1"/>
  <c r="S47" i="18"/>
  <c r="AA46" i="18"/>
  <c r="X46" i="18"/>
  <c r="W46" i="18"/>
  <c r="V46" i="18"/>
  <c r="U46" i="18"/>
  <c r="T46" i="18"/>
  <c r="S46" i="18"/>
  <c r="AA45" i="18"/>
  <c r="X45" i="18"/>
  <c r="W45" i="18"/>
  <c r="V45" i="18"/>
  <c r="U45" i="18"/>
  <c r="T45" i="18"/>
  <c r="S45" i="18"/>
  <c r="X44" i="18"/>
  <c r="W44" i="18"/>
  <c r="V44" i="18"/>
  <c r="U44" i="18"/>
  <c r="T44" i="18"/>
  <c r="AA44" i="18" s="1"/>
  <c r="S44" i="18"/>
  <c r="AA43" i="18"/>
  <c r="X43" i="18"/>
  <c r="W43" i="18"/>
  <c r="V43" i="18"/>
  <c r="U43" i="18"/>
  <c r="T43" i="18"/>
  <c r="S43" i="18"/>
  <c r="X42" i="18"/>
  <c r="W42" i="18"/>
  <c r="V42" i="18"/>
  <c r="U42" i="18"/>
  <c r="T42" i="18"/>
  <c r="S42" i="18"/>
  <c r="X41" i="18"/>
  <c r="W41" i="18"/>
  <c r="V41" i="18"/>
  <c r="U41" i="18"/>
  <c r="T41" i="18"/>
  <c r="AA41" i="18" s="1"/>
  <c r="S41" i="18"/>
  <c r="X40" i="18"/>
  <c r="W40" i="18"/>
  <c r="V40" i="18"/>
  <c r="U40" i="18"/>
  <c r="T40" i="18"/>
  <c r="AA40" i="18" s="1"/>
  <c r="S40" i="18"/>
  <c r="X39" i="18"/>
  <c r="W39" i="18"/>
  <c r="V39" i="18"/>
  <c r="U39" i="18"/>
  <c r="T39" i="18"/>
  <c r="AA39" i="18" s="1"/>
  <c r="S39" i="18"/>
  <c r="AA38" i="18"/>
  <c r="X38" i="18"/>
  <c r="W38" i="18"/>
  <c r="V38" i="18"/>
  <c r="U38" i="18"/>
  <c r="T38" i="18"/>
  <c r="S38" i="18"/>
  <c r="AA37" i="18"/>
  <c r="X37" i="18"/>
  <c r="W37" i="18"/>
  <c r="V37" i="18"/>
  <c r="U37" i="18"/>
  <c r="T37" i="18"/>
  <c r="S37" i="18"/>
  <c r="X36" i="18"/>
  <c r="W36" i="18"/>
  <c r="V36" i="18"/>
  <c r="U36" i="18"/>
  <c r="T36" i="18"/>
  <c r="AA36" i="18" s="1"/>
  <c r="S36" i="18"/>
  <c r="AA35" i="18"/>
  <c r="X35" i="18"/>
  <c r="W35" i="18"/>
  <c r="V35" i="18"/>
  <c r="U35" i="18"/>
  <c r="T35" i="18"/>
  <c r="S35" i="18"/>
  <c r="X34" i="18"/>
  <c r="W34" i="18"/>
  <c r="V34" i="18"/>
  <c r="U34" i="18"/>
  <c r="T34" i="18"/>
  <c r="S34" i="18"/>
  <c r="X33" i="18"/>
  <c r="W33" i="18"/>
  <c r="V33" i="18"/>
  <c r="U33" i="18"/>
  <c r="T33" i="18"/>
  <c r="AA33" i="18" s="1"/>
  <c r="S33" i="18"/>
  <c r="X32" i="18"/>
  <c r="W32" i="18"/>
  <c r="V32" i="18"/>
  <c r="U32" i="18"/>
  <c r="T32" i="18"/>
  <c r="AA32" i="18" s="1"/>
  <c r="S32" i="18"/>
  <c r="X31" i="18"/>
  <c r="W31" i="18"/>
  <c r="V31" i="18"/>
  <c r="U31" i="18"/>
  <c r="T31" i="18"/>
  <c r="AA31" i="18" s="1"/>
  <c r="S31" i="18"/>
  <c r="AA30" i="18"/>
  <c r="X30" i="18"/>
  <c r="W30" i="18"/>
  <c r="V30" i="18"/>
  <c r="U30" i="18"/>
  <c r="T30" i="18"/>
  <c r="S30" i="18"/>
  <c r="AA29" i="18"/>
  <c r="X29" i="18"/>
  <c r="W29" i="18"/>
  <c r="V29" i="18"/>
  <c r="U29" i="18"/>
  <c r="T29" i="18"/>
  <c r="S29" i="18"/>
  <c r="X28" i="18"/>
  <c r="W28" i="18"/>
  <c r="V28" i="18"/>
  <c r="U28" i="18"/>
  <c r="T28" i="18"/>
  <c r="AA28" i="18" s="1"/>
  <c r="S28" i="18"/>
  <c r="AA27" i="18"/>
  <c r="X27" i="18"/>
  <c r="W27" i="18"/>
  <c r="V27" i="18"/>
  <c r="U27" i="18"/>
  <c r="T27" i="18"/>
  <c r="S27" i="18"/>
  <c r="X26" i="18"/>
  <c r="W26" i="18"/>
  <c r="V26" i="18"/>
  <c r="U26" i="18"/>
  <c r="T26" i="18"/>
  <c r="S26" i="18"/>
  <c r="X25" i="18"/>
  <c r="W25" i="18"/>
  <c r="V25" i="18"/>
  <c r="U25" i="18"/>
  <c r="T25" i="18"/>
  <c r="AA25" i="18" s="1"/>
  <c r="S25" i="18"/>
  <c r="X24" i="18"/>
  <c r="W24" i="18"/>
  <c r="V24" i="18"/>
  <c r="U24" i="18"/>
  <c r="T24" i="18"/>
  <c r="AA24" i="18" s="1"/>
  <c r="S24" i="18"/>
  <c r="X23" i="18"/>
  <c r="W23" i="18"/>
  <c r="V23" i="18"/>
  <c r="U23" i="18"/>
  <c r="T23" i="18"/>
  <c r="AA23" i="18" s="1"/>
  <c r="S23" i="18"/>
  <c r="AA22" i="18"/>
  <c r="X22" i="18"/>
  <c r="W22" i="18"/>
  <c r="V22" i="18"/>
  <c r="U22" i="18"/>
  <c r="T22" i="18"/>
  <c r="S22" i="18"/>
  <c r="AA21" i="18"/>
  <c r="X21" i="18"/>
  <c r="W21" i="18"/>
  <c r="V21" i="18"/>
  <c r="U21" i="18"/>
  <c r="T21" i="18"/>
  <c r="S21" i="18"/>
  <c r="X20" i="18"/>
  <c r="W20" i="18"/>
  <c r="V20" i="18"/>
  <c r="U20" i="18"/>
  <c r="T20" i="18"/>
  <c r="AA20" i="18" s="1"/>
  <c r="S20" i="18"/>
  <c r="AA19" i="18"/>
  <c r="X19" i="18"/>
  <c r="W19" i="18"/>
  <c r="V19" i="18"/>
  <c r="U19" i="18"/>
  <c r="T19" i="18"/>
  <c r="S19" i="18"/>
  <c r="X18" i="18"/>
  <c r="W18" i="18"/>
  <c r="V18" i="18"/>
  <c r="U18" i="18"/>
  <c r="T18" i="18"/>
  <c r="S18" i="18"/>
  <c r="X17" i="18"/>
  <c r="W17" i="18"/>
  <c r="V17" i="18"/>
  <c r="U17" i="18"/>
  <c r="T17" i="18"/>
  <c r="AA17" i="18" s="1"/>
  <c r="S17" i="18"/>
  <c r="X16" i="18"/>
  <c r="W16" i="18"/>
  <c r="V16" i="18"/>
  <c r="U16" i="18"/>
  <c r="T16" i="18"/>
  <c r="AA16" i="18" s="1"/>
  <c r="S16" i="18"/>
  <c r="X15" i="18"/>
  <c r="W15" i="18"/>
  <c r="V15" i="18"/>
  <c r="U15" i="18"/>
  <c r="T15" i="18"/>
  <c r="AA15" i="18" s="1"/>
  <c r="S15" i="18"/>
  <c r="AA14" i="18"/>
  <c r="X14" i="18"/>
  <c r="W14" i="18"/>
  <c r="V14" i="18"/>
  <c r="U14" i="18"/>
  <c r="T14" i="18"/>
  <c r="S14" i="18"/>
  <c r="AA13" i="18"/>
  <c r="X13" i="18"/>
  <c r="W13" i="18"/>
  <c r="V13" i="18"/>
  <c r="U13" i="18"/>
  <c r="T13" i="18"/>
  <c r="S13" i="18"/>
  <c r="X12" i="18"/>
  <c r="W12" i="18"/>
  <c r="V12" i="18"/>
  <c r="U12" i="18"/>
  <c r="T12" i="18"/>
  <c r="AA12" i="18" s="1"/>
  <c r="S12" i="18"/>
  <c r="AA11" i="18"/>
  <c r="X11" i="18"/>
  <c r="W11" i="18"/>
  <c r="V11" i="18"/>
  <c r="U11" i="18"/>
  <c r="T11" i="18"/>
  <c r="S11" i="18"/>
  <c r="X10" i="18"/>
  <c r="W10" i="18"/>
  <c r="V10" i="18"/>
  <c r="U10" i="18"/>
  <c r="T10" i="18"/>
  <c r="S10" i="18"/>
  <c r="X9" i="18"/>
  <c r="W9" i="18"/>
  <c r="V9" i="18"/>
  <c r="U9" i="18"/>
  <c r="T9" i="18"/>
  <c r="AA9" i="18" s="1"/>
  <c r="S9" i="18"/>
  <c r="X8" i="18"/>
  <c r="W8" i="18"/>
  <c r="V8" i="18"/>
  <c r="U8" i="18"/>
  <c r="T8" i="18"/>
  <c r="AA8" i="18" s="1"/>
  <c r="S8" i="18"/>
  <c r="X7" i="18"/>
  <c r="W7" i="18"/>
  <c r="V7" i="18"/>
  <c r="U7" i="18"/>
  <c r="T7" i="18"/>
  <c r="AA7" i="18" s="1"/>
  <c r="S7" i="18"/>
  <c r="AA6" i="18"/>
  <c r="X6" i="18"/>
  <c r="W6" i="18"/>
  <c r="V6" i="18"/>
  <c r="U6" i="18"/>
  <c r="T6" i="18"/>
  <c r="S6" i="18"/>
  <c r="X5" i="18"/>
  <c r="W5" i="18"/>
  <c r="V5" i="18"/>
  <c r="U5" i="18"/>
  <c r="T5" i="18"/>
  <c r="S5" i="18"/>
  <c r="Z89" i="18" l="1"/>
  <c r="Z97" i="18"/>
  <c r="Z98" i="18"/>
  <c r="Z90" i="18"/>
  <c r="Z93" i="18"/>
  <c r="Z100" i="18"/>
  <c r="Z85" i="18"/>
  <c r="Z86" i="18"/>
  <c r="Z92" i="18"/>
  <c r="CX6" i="1"/>
  <c r="CX10" i="1"/>
  <c r="CF10" i="1" s="1"/>
  <c r="CW7" i="1"/>
  <c r="CV5" i="1"/>
  <c r="CW6" i="1"/>
  <c r="CE6" i="1" s="1"/>
  <c r="CW5" i="1"/>
  <c r="CX7" i="1"/>
  <c r="BZ7" i="1" s="1"/>
  <c r="CW12" i="1"/>
  <c r="CW4" i="1"/>
  <c r="CW11" i="1"/>
  <c r="CW10" i="1"/>
  <c r="CX8" i="1"/>
  <c r="CX4" i="1"/>
  <c r="CW9" i="1"/>
  <c r="CU7" i="1"/>
  <c r="CU6" i="1"/>
  <c r="CO5" i="1"/>
  <c r="AY5" i="1" s="1"/>
  <c r="CU5" i="1"/>
  <c r="CV12" i="1"/>
  <c r="CV4" i="1"/>
  <c r="CU4" i="1"/>
  <c r="BW4" i="1" s="1"/>
  <c r="CK10" i="1"/>
  <c r="CU11" i="1"/>
  <c r="CV10" i="1"/>
  <c r="CU10" i="1"/>
  <c r="CX11" i="1"/>
  <c r="CU9" i="1"/>
  <c r="CW8" i="1"/>
  <c r="CV8" i="1"/>
  <c r="CD8" i="1" s="1"/>
  <c r="CV6" i="1"/>
  <c r="BX6" i="1" s="1"/>
  <c r="CP7" i="1"/>
  <c r="AZ7" i="1" s="1"/>
  <c r="CV11" i="1"/>
  <c r="CV9" i="1"/>
  <c r="CV7" i="1"/>
  <c r="CP6" i="1"/>
  <c r="AZ6" i="1" s="1"/>
  <c r="CR8" i="1"/>
  <c r="BB8" i="1" s="1"/>
  <c r="CJ10" i="1"/>
  <c r="AT10" i="1" s="1"/>
  <c r="CO11" i="1"/>
  <c r="AY11" i="1" s="1"/>
  <c r="CR7" i="1"/>
  <c r="BB7" i="1" s="1"/>
  <c r="CO6" i="1"/>
  <c r="AY6" i="1" s="1"/>
  <c r="CQ12" i="1"/>
  <c r="BA12" i="1" s="1"/>
  <c r="AB12" i="1" s="1"/>
  <c r="CI11" i="1"/>
  <c r="AS11" i="1" s="1"/>
  <c r="CR12" i="1"/>
  <c r="CI10" i="1"/>
  <c r="AS10" i="1" s="1"/>
  <c r="S10" i="1" s="1"/>
  <c r="CR9" i="1"/>
  <c r="CJ12" i="1"/>
  <c r="Z61" i="14"/>
  <c r="Z69" i="14"/>
  <c r="Z77" i="14"/>
  <c r="AB90" i="14"/>
  <c r="AE95" i="14"/>
  <c r="AB98" i="14"/>
  <c r="AA51" i="14"/>
  <c r="Z84" i="14"/>
  <c r="AE87" i="14"/>
  <c r="AC90" i="14"/>
  <c r="AA43" i="14"/>
  <c r="AA59" i="14"/>
  <c r="AA67" i="14"/>
  <c r="AA75" i="14"/>
  <c r="AA83" i="14"/>
  <c r="AC97" i="14"/>
  <c r="AA35" i="14"/>
  <c r="AC100" i="14"/>
  <c r="AC102" i="14"/>
  <c r="AA14" i="14"/>
  <c r="AA22" i="14"/>
  <c r="AA30" i="14"/>
  <c r="AA38" i="14"/>
  <c r="AA46" i="14"/>
  <c r="AA54" i="14"/>
  <c r="AB85" i="14"/>
  <c r="AD88" i="14"/>
  <c r="Z89" i="14"/>
  <c r="AD90" i="14"/>
  <c r="Z91" i="14"/>
  <c r="AD92" i="14"/>
  <c r="Z93" i="14"/>
  <c r="AD94" i="14"/>
  <c r="Z95" i="14"/>
  <c r="AD96" i="14"/>
  <c r="Z97" i="14"/>
  <c r="AD98" i="14"/>
  <c r="Z99" i="14"/>
  <c r="AD100" i="14"/>
  <c r="Z101" i="14"/>
  <c r="AD102" i="14"/>
  <c r="Z103" i="14"/>
  <c r="AD104" i="14"/>
  <c r="Z105" i="14"/>
  <c r="AA103" i="14"/>
  <c r="AA12" i="14"/>
  <c r="AA20" i="14"/>
  <c r="AA28" i="14"/>
  <c r="AA10" i="14"/>
  <c r="AA18" i="14"/>
  <c r="AA26" i="14"/>
  <c r="AA34" i="14"/>
  <c r="AA42" i="14"/>
  <c r="AA50" i="14"/>
  <c r="CO10" i="1"/>
  <c r="AY10" i="1" s="1"/>
  <c r="CO9" i="1"/>
  <c r="CO8" i="1"/>
  <c r="CO7" i="1"/>
  <c r="AY7" i="1" s="1"/>
  <c r="CI9" i="1"/>
  <c r="AS9" i="1" s="1"/>
  <c r="S9" i="1" s="1"/>
  <c r="CI8" i="1"/>
  <c r="CI7" i="1"/>
  <c r="AS7" i="1" s="1"/>
  <c r="CI6" i="1"/>
  <c r="AS6" i="1" s="1"/>
  <c r="S6" i="1" s="1"/>
  <c r="CI5" i="1"/>
  <c r="AS5" i="1" s="1"/>
  <c r="S5" i="1" s="1"/>
  <c r="CP12" i="1"/>
  <c r="CP11" i="1"/>
  <c r="AZ11" i="1" s="1"/>
  <c r="AA11" i="1" s="1"/>
  <c r="CP10" i="1"/>
  <c r="CP9" i="1"/>
  <c r="AZ9" i="1" s="1"/>
  <c r="AA9" i="1" s="1"/>
  <c r="CJ11" i="1"/>
  <c r="AT11" i="1" s="1"/>
  <c r="CJ9" i="1"/>
  <c r="AT9" i="1" s="1"/>
  <c r="T9" i="1" s="1"/>
  <c r="CJ8" i="1"/>
  <c r="AT8" i="1" s="1"/>
  <c r="T8" i="1" s="1"/>
  <c r="CJ7" i="1"/>
  <c r="AT7" i="1" s="1"/>
  <c r="T7" i="1" s="1"/>
  <c r="CQ11" i="1"/>
  <c r="BA11" i="1" s="1"/>
  <c r="AB11" i="1" s="1"/>
  <c r="CQ10" i="1"/>
  <c r="BA10" i="1" s="1"/>
  <c r="AB10" i="1" s="1"/>
  <c r="CQ9" i="1"/>
  <c r="BA9" i="1" s="1"/>
  <c r="AB9" i="1" s="1"/>
  <c r="CQ8" i="1"/>
  <c r="BA8" i="1" s="1"/>
  <c r="AB8" i="1" s="1"/>
  <c r="CQ7" i="1"/>
  <c r="BA7" i="1" s="1"/>
  <c r="AB7" i="1" s="1"/>
  <c r="CK12" i="1"/>
  <c r="AU12" i="1" s="1"/>
  <c r="CK11" i="1"/>
  <c r="AU11" i="1" s="1"/>
  <c r="U11" i="1" s="1"/>
  <c r="CK8" i="1"/>
  <c r="AU8" i="1" s="1"/>
  <c r="CK7" i="1"/>
  <c r="CK9" i="1"/>
  <c r="AU9" i="1" s="1"/>
  <c r="U9" i="1" s="1"/>
  <c r="Z94" i="18"/>
  <c r="Z84" i="18"/>
  <c r="Z99" i="18"/>
  <c r="CR13" i="1"/>
  <c r="CR11" i="1"/>
  <c r="BB11" i="1" s="1"/>
  <c r="CL13" i="1"/>
  <c r="CL12" i="1"/>
  <c r="CL11" i="1"/>
  <c r="AV11" i="1" s="1"/>
  <c r="CL10" i="1"/>
  <c r="AV10" i="1" s="1"/>
  <c r="CL9" i="1"/>
  <c r="CL8" i="1"/>
  <c r="AV8" i="1" s="1"/>
  <c r="Z83" i="18"/>
  <c r="AC84" i="18"/>
  <c r="AB89" i="18"/>
  <c r="AE90" i="18"/>
  <c r="Z91" i="18"/>
  <c r="AC92" i="18"/>
  <c r="AB86" i="18"/>
  <c r="AE87" i="18"/>
  <c r="Z88" i="18"/>
  <c r="AC89" i="18"/>
  <c r="Z96" i="18"/>
  <c r="AC97" i="18"/>
  <c r="AB85" i="18"/>
  <c r="AE86" i="18"/>
  <c r="Z87" i="18"/>
  <c r="AC88" i="18"/>
  <c r="AE94" i="18"/>
  <c r="Z95" i="18"/>
  <c r="AC96" i="18"/>
  <c r="AA10" i="18"/>
  <c r="AA18" i="18"/>
  <c r="AA26" i="18"/>
  <c r="AA34" i="18"/>
  <c r="AA42" i="18"/>
  <c r="AA50" i="18"/>
  <c r="AA7" i="1" l="1"/>
  <c r="S4" i="1"/>
  <c r="CC8" i="1"/>
  <c r="AY8" i="1"/>
  <c r="BZ12" i="1"/>
  <c r="AV12" i="1"/>
  <c r="BY7" i="1"/>
  <c r="AU7" i="1"/>
  <c r="U7" i="1" s="1"/>
  <c r="CD12" i="1"/>
  <c r="AZ12" i="1"/>
  <c r="AA12" i="1" s="1"/>
  <c r="CC9" i="1"/>
  <c r="BP9" i="1" s="1"/>
  <c r="AY9" i="1"/>
  <c r="BX12" i="1"/>
  <c r="AT12" i="1"/>
  <c r="T12" i="1" s="1"/>
  <c r="Z11" i="1"/>
  <c r="BY10" i="1"/>
  <c r="AU10" i="1"/>
  <c r="U10" i="1" s="1"/>
  <c r="AA8" i="1"/>
  <c r="BZ13" i="1"/>
  <c r="AV13" i="1"/>
  <c r="U8" i="1"/>
  <c r="Z10" i="1"/>
  <c r="CF9" i="1"/>
  <c r="BS9" i="1" s="1"/>
  <c r="BB9" i="1"/>
  <c r="AC8" i="1" s="1"/>
  <c r="T10" i="1"/>
  <c r="T6" i="1"/>
  <c r="AB6" i="1"/>
  <c r="CF13" i="1"/>
  <c r="BB13" i="1"/>
  <c r="AC13" i="1" s="1"/>
  <c r="U12" i="1"/>
  <c r="S7" i="1"/>
  <c r="CF12" i="1"/>
  <c r="BB12" i="1"/>
  <c r="AC12" i="1" s="1"/>
  <c r="AA6" i="1"/>
  <c r="T11" i="1"/>
  <c r="BW8" i="1"/>
  <c r="AS8" i="1"/>
  <c r="S8" i="1" s="1"/>
  <c r="S11" i="1"/>
  <c r="U6" i="1"/>
  <c r="AC11" i="1"/>
  <c r="Z5" i="1"/>
  <c r="BZ9" i="1"/>
  <c r="BL9" i="1" s="1"/>
  <c r="AV9" i="1"/>
  <c r="V11" i="1" s="1"/>
  <c r="CD10" i="1"/>
  <c r="AZ10" i="1"/>
  <c r="AA10" i="1" s="1"/>
  <c r="Z6" i="1"/>
  <c r="CD9" i="1"/>
  <c r="BQ9" i="1" s="1"/>
  <c r="BZ10" i="1"/>
  <c r="BL10" i="1" s="1"/>
  <c r="BL12" i="1"/>
  <c r="BL13" i="1"/>
  <c r="CC10" i="1"/>
  <c r="BP10" i="1" s="1"/>
  <c r="BQ12" i="1"/>
  <c r="BW10" i="1"/>
  <c r="CE11" i="1"/>
  <c r="BX7" i="1"/>
  <c r="BW5" i="1"/>
  <c r="BQ8" i="1"/>
  <c r="CF11" i="1"/>
  <c r="BS11" i="1" s="1"/>
  <c r="CF7" i="1"/>
  <c r="BS7" i="1" s="1"/>
  <c r="BY11" i="1"/>
  <c r="BX9" i="1"/>
  <c r="BJ9" i="1" s="1"/>
  <c r="BQ10" i="1"/>
  <c r="BZ11" i="1"/>
  <c r="BS10" i="1"/>
  <c r="CD7" i="1"/>
  <c r="BQ7" i="1" s="1"/>
  <c r="BY8" i="1"/>
  <c r="CE7" i="1"/>
  <c r="BY6" i="1"/>
  <c r="BY9" i="1"/>
  <c r="BK9" i="1" s="1"/>
  <c r="CE10" i="1"/>
  <c r="BP8" i="1"/>
  <c r="BL7" i="1"/>
  <c r="CF8" i="1"/>
  <c r="BS8" i="1" s="1"/>
  <c r="BS13" i="1"/>
  <c r="BS12" i="1"/>
  <c r="CE8" i="1"/>
  <c r="CC11" i="1"/>
  <c r="BP11" i="1" s="1"/>
  <c r="BZ8" i="1"/>
  <c r="CE9" i="1"/>
  <c r="BR9" i="1" s="1"/>
  <c r="CC7" i="1"/>
  <c r="BP7" i="1" s="1"/>
  <c r="CC6" i="1"/>
  <c r="BP6" i="1" s="1"/>
  <c r="CD11" i="1"/>
  <c r="BQ11" i="1" s="1"/>
  <c r="BX10" i="1"/>
  <c r="BX8" i="1"/>
  <c r="BW6" i="1"/>
  <c r="CC4" i="1"/>
  <c r="BP4" i="1" s="1"/>
  <c r="BW7" i="1"/>
  <c r="CD6" i="1"/>
  <c r="BQ6" i="1" s="1"/>
  <c r="BY12" i="1"/>
  <c r="BX11" i="1"/>
  <c r="BW11" i="1"/>
  <c r="BW9" i="1"/>
  <c r="BI9" i="1" s="1"/>
  <c r="CE12" i="1"/>
  <c r="CC5" i="1"/>
  <c r="BP5" i="1" s="1"/>
  <c r="C43" i="15"/>
  <c r="H41" i="15"/>
  <c r="H43" i="15" s="1"/>
  <c r="F41" i="15"/>
  <c r="F43" i="15" s="1"/>
  <c r="C41" i="15"/>
  <c r="I31" i="15"/>
  <c r="I41" i="15" s="1"/>
  <c r="I43" i="15" s="1"/>
  <c r="H31" i="15"/>
  <c r="G31" i="15"/>
  <c r="G41" i="15" s="1"/>
  <c r="G43" i="15" s="1"/>
  <c r="F31" i="15"/>
  <c r="E31" i="15"/>
  <c r="E41" i="15" s="1"/>
  <c r="E43" i="15" s="1"/>
  <c r="D31" i="15"/>
  <c r="D41" i="15" s="1"/>
  <c r="D43" i="15" s="1"/>
  <c r="C31" i="15"/>
  <c r="I28" i="15"/>
  <c r="H28" i="15"/>
  <c r="H44" i="15" s="1"/>
  <c r="G28" i="15"/>
  <c r="F28" i="15"/>
  <c r="F44" i="15" s="1"/>
  <c r="E28" i="15"/>
  <c r="E44" i="15" s="1"/>
  <c r="D28" i="15"/>
  <c r="C28" i="15"/>
  <c r="C44" i="15" s="1"/>
  <c r="V10" i="1" l="1"/>
  <c r="V12" i="1"/>
  <c r="V13" i="1"/>
  <c r="BL11" i="1"/>
  <c r="Z9" i="1"/>
  <c r="Z4" i="1"/>
  <c r="Z8" i="1"/>
  <c r="V8" i="1"/>
  <c r="BL8" i="1"/>
  <c r="V9" i="1"/>
  <c r="V7" i="1"/>
  <c r="Z7" i="1"/>
  <c r="AC9" i="1"/>
  <c r="AC10" i="1"/>
  <c r="AC7" i="1"/>
  <c r="BJ8" i="1"/>
  <c r="BJ10" i="1"/>
  <c r="BJ7" i="1"/>
  <c r="BK6" i="1"/>
  <c r="BJ11" i="1"/>
  <c r="BI7" i="1"/>
  <c r="BJ6" i="1"/>
  <c r="BI8" i="1"/>
  <c r="BI6" i="1"/>
  <c r="BJ12" i="1"/>
  <c r="BK12" i="1"/>
  <c r="BR11" i="1"/>
  <c r="BR10" i="1"/>
  <c r="BR8" i="1"/>
  <c r="BI5" i="1"/>
  <c r="BK10" i="1"/>
  <c r="BK11" i="1"/>
  <c r="BK8" i="1"/>
  <c r="BK7" i="1"/>
  <c r="BR7" i="1"/>
  <c r="BI10" i="1"/>
  <c r="BR12" i="1"/>
  <c r="BI11" i="1"/>
  <c r="BI4" i="1"/>
  <c r="BR6" i="1"/>
  <c r="I44" i="15"/>
  <c r="G44" i="15"/>
  <c r="D44" i="15"/>
  <c r="W9" i="1" l="1"/>
  <c r="W12" i="1"/>
  <c r="W13" i="1"/>
  <c r="AD9" i="1"/>
  <c r="AD12" i="1"/>
  <c r="AD13" i="1"/>
  <c r="W11" i="1"/>
  <c r="AD11" i="1"/>
  <c r="AD7" i="1"/>
  <c r="W7" i="1"/>
  <c r="W10" i="1"/>
  <c r="AD10" i="1"/>
  <c r="AD8" i="1"/>
  <c r="W8" i="1"/>
  <c r="F125" i="11"/>
  <c r="F124" i="11"/>
  <c r="F123" i="11"/>
  <c r="F122" i="11"/>
  <c r="F121" i="11"/>
  <c r="F120" i="11"/>
  <c r="X119" i="11"/>
  <c r="W119" i="11"/>
  <c r="V119" i="11"/>
  <c r="U119" i="11"/>
  <c r="T119" i="11"/>
  <c r="S119" i="11"/>
  <c r="F119" i="11"/>
  <c r="X118" i="11"/>
  <c r="W118" i="11"/>
  <c r="V118" i="11"/>
  <c r="U118" i="11"/>
  <c r="T118" i="11"/>
  <c r="S118" i="11"/>
  <c r="F118" i="11"/>
  <c r="X117" i="11"/>
  <c r="W117" i="11"/>
  <c r="V117" i="11"/>
  <c r="U117" i="11"/>
  <c r="T117" i="11"/>
  <c r="S117" i="11"/>
  <c r="F117" i="11"/>
  <c r="X116" i="11"/>
  <c r="W116" i="11"/>
  <c r="V116" i="11"/>
  <c r="U116" i="11"/>
  <c r="T116" i="11"/>
  <c r="S116" i="11"/>
  <c r="F116" i="11"/>
  <c r="X115" i="11"/>
  <c r="W115" i="11"/>
  <c r="V115" i="11"/>
  <c r="U115" i="11"/>
  <c r="T115" i="11"/>
  <c r="S115" i="11"/>
  <c r="F115" i="11"/>
  <c r="X114" i="11"/>
  <c r="W114" i="11"/>
  <c r="V114" i="11"/>
  <c r="U114" i="11"/>
  <c r="T114" i="11"/>
  <c r="S114" i="11"/>
  <c r="F114" i="11"/>
  <c r="X113" i="11"/>
  <c r="W113" i="11"/>
  <c r="V113" i="11"/>
  <c r="U113" i="11"/>
  <c r="T113" i="11"/>
  <c r="S113" i="11"/>
  <c r="F113" i="11"/>
  <c r="X112" i="11"/>
  <c r="W112" i="11"/>
  <c r="V112" i="11"/>
  <c r="U112" i="11"/>
  <c r="T112" i="11"/>
  <c r="S112" i="11"/>
  <c r="F112" i="11"/>
  <c r="X111" i="11"/>
  <c r="W111" i="11"/>
  <c r="V111" i="11"/>
  <c r="U111" i="11"/>
  <c r="T111" i="11"/>
  <c r="S111" i="11"/>
  <c r="F111" i="11"/>
  <c r="X110" i="11"/>
  <c r="W110" i="11"/>
  <c r="V110" i="11"/>
  <c r="U110" i="11"/>
  <c r="T110" i="11"/>
  <c r="S110" i="11"/>
  <c r="F110" i="11"/>
  <c r="X109" i="11"/>
  <c r="W109" i="11"/>
  <c r="V109" i="11"/>
  <c r="U109" i="11"/>
  <c r="T109" i="11"/>
  <c r="S109" i="11"/>
  <c r="F109" i="11"/>
  <c r="X108" i="11"/>
  <c r="W108" i="11"/>
  <c r="V108" i="11"/>
  <c r="U108" i="11"/>
  <c r="T108" i="11"/>
  <c r="S108" i="11"/>
  <c r="F108" i="11"/>
  <c r="X107" i="11"/>
  <c r="W107" i="11"/>
  <c r="V107" i="11"/>
  <c r="U107" i="11"/>
  <c r="T107" i="11"/>
  <c r="S107" i="11"/>
  <c r="F107" i="11"/>
  <c r="X106" i="11"/>
  <c r="W106" i="11"/>
  <c r="V106" i="11"/>
  <c r="U106" i="11"/>
  <c r="T106" i="11"/>
  <c r="S106" i="11"/>
  <c r="F106" i="11"/>
  <c r="AB105" i="11"/>
  <c r="X105" i="11"/>
  <c r="W105" i="11"/>
  <c r="AD105" i="11" s="1"/>
  <c r="V105" i="11"/>
  <c r="AC105" i="11" s="1"/>
  <c r="U105" i="11"/>
  <c r="T105" i="11"/>
  <c r="AA105" i="11" s="1"/>
  <c r="S105" i="11"/>
  <c r="F105" i="11"/>
  <c r="AE104" i="11"/>
  <c r="X104" i="11"/>
  <c r="AE105" i="11" s="1"/>
  <c r="W104" i="11"/>
  <c r="AD104" i="11" s="1"/>
  <c r="V104" i="11"/>
  <c r="AC104" i="11" s="1"/>
  <c r="U104" i="11"/>
  <c r="T104" i="11"/>
  <c r="AA104" i="11" s="1"/>
  <c r="S104" i="11"/>
  <c r="F104" i="11"/>
  <c r="AD103" i="11"/>
  <c r="AB103" i="11"/>
  <c r="X103" i="11"/>
  <c r="AE103" i="11" s="1"/>
  <c r="W103" i="11"/>
  <c r="V103" i="11"/>
  <c r="U103" i="11"/>
  <c r="AB104" i="11" s="1"/>
  <c r="T103" i="11"/>
  <c r="AA103" i="11" s="1"/>
  <c r="S103" i="11"/>
  <c r="F103" i="11"/>
  <c r="AA102" i="11"/>
  <c r="X102" i="11"/>
  <c r="AE102" i="11" s="1"/>
  <c r="W102" i="11"/>
  <c r="AD102" i="11" s="1"/>
  <c r="V102" i="11"/>
  <c r="AC102" i="11" s="1"/>
  <c r="U102" i="11"/>
  <c r="AB102" i="11" s="1"/>
  <c r="T102" i="11"/>
  <c r="S102" i="11"/>
  <c r="F102" i="11"/>
  <c r="AD101" i="11"/>
  <c r="X101" i="11"/>
  <c r="W101" i="11"/>
  <c r="V101" i="11"/>
  <c r="AC101" i="11" s="1"/>
  <c r="U101" i="11"/>
  <c r="AB101" i="11" s="1"/>
  <c r="T101" i="11"/>
  <c r="AA101" i="11" s="1"/>
  <c r="S101" i="11"/>
  <c r="F101" i="11"/>
  <c r="AC100" i="11"/>
  <c r="AA100" i="11"/>
  <c r="X100" i="11"/>
  <c r="AE100" i="11" s="1"/>
  <c r="W100" i="11"/>
  <c r="AD100" i="11" s="1"/>
  <c r="V100" i="11"/>
  <c r="U100" i="11"/>
  <c r="T100" i="11"/>
  <c r="S100" i="11"/>
  <c r="F100" i="11"/>
  <c r="X99" i="11"/>
  <c r="AE99" i="11" s="1"/>
  <c r="W99" i="11"/>
  <c r="AD99" i="11" s="1"/>
  <c r="V99" i="11"/>
  <c r="U99" i="11"/>
  <c r="AB99" i="11" s="1"/>
  <c r="T99" i="11"/>
  <c r="AA99" i="11" s="1"/>
  <c r="S99" i="11"/>
  <c r="Z99" i="11" s="1"/>
  <c r="F99" i="11"/>
  <c r="AE98" i="11"/>
  <c r="AC98" i="11"/>
  <c r="X98" i="11"/>
  <c r="W98" i="11"/>
  <c r="AD98" i="11" s="1"/>
  <c r="V98" i="11"/>
  <c r="AC99" i="11" s="1"/>
  <c r="U98" i="11"/>
  <c r="AB98" i="11" s="1"/>
  <c r="T98" i="11"/>
  <c r="AA98" i="11" s="1"/>
  <c r="S98" i="11"/>
  <c r="F98" i="11"/>
  <c r="AB97" i="11"/>
  <c r="X97" i="11"/>
  <c r="W97" i="11"/>
  <c r="AD97" i="11" s="1"/>
  <c r="V97" i="11"/>
  <c r="AC97" i="11" s="1"/>
  <c r="U97" i="11"/>
  <c r="T97" i="11"/>
  <c r="AA97" i="11" s="1"/>
  <c r="S97" i="11"/>
  <c r="F97" i="11"/>
  <c r="AE96" i="11"/>
  <c r="X96" i="11"/>
  <c r="AE97" i="11" s="1"/>
  <c r="W96" i="11"/>
  <c r="AD96" i="11" s="1"/>
  <c r="V96" i="11"/>
  <c r="AC96" i="11" s="1"/>
  <c r="U96" i="11"/>
  <c r="T96" i="11"/>
  <c r="AA96" i="11" s="1"/>
  <c r="S96" i="11"/>
  <c r="F96" i="11"/>
  <c r="AD95" i="11"/>
  <c r="AB95" i="11"/>
  <c r="X95" i="11"/>
  <c r="AE95" i="11" s="1"/>
  <c r="W95" i="11"/>
  <c r="V95" i="11"/>
  <c r="U95" i="11"/>
  <c r="AB96" i="11" s="1"/>
  <c r="T95" i="11"/>
  <c r="AA95" i="11" s="1"/>
  <c r="S95" i="11"/>
  <c r="F95" i="11"/>
  <c r="AA94" i="11"/>
  <c r="X94" i="11"/>
  <c r="AE94" i="11" s="1"/>
  <c r="W94" i="11"/>
  <c r="AD94" i="11" s="1"/>
  <c r="V94" i="11"/>
  <c r="AC94" i="11" s="1"/>
  <c r="U94" i="11"/>
  <c r="AB94" i="11" s="1"/>
  <c r="T94" i="11"/>
  <c r="S94" i="11"/>
  <c r="F94" i="11"/>
  <c r="AD93" i="11"/>
  <c r="X93" i="11"/>
  <c r="W93" i="11"/>
  <c r="V93" i="11"/>
  <c r="AC93" i="11" s="1"/>
  <c r="U93" i="11"/>
  <c r="AB93" i="11" s="1"/>
  <c r="T93" i="11"/>
  <c r="AA93" i="11" s="1"/>
  <c r="S93" i="11"/>
  <c r="F93" i="11"/>
  <c r="AC92" i="11"/>
  <c r="AA92" i="11"/>
  <c r="X92" i="11"/>
  <c r="AE92" i="11" s="1"/>
  <c r="W92" i="11"/>
  <c r="AD92" i="11" s="1"/>
  <c r="V92" i="11"/>
  <c r="U92" i="11"/>
  <c r="AB92" i="11" s="1"/>
  <c r="T92" i="11"/>
  <c r="S92" i="11"/>
  <c r="F92" i="11"/>
  <c r="X91" i="11"/>
  <c r="AE91" i="11" s="1"/>
  <c r="W91" i="11"/>
  <c r="AD91" i="11" s="1"/>
  <c r="V91" i="11"/>
  <c r="AC91" i="11" s="1"/>
  <c r="U91" i="11"/>
  <c r="AB91" i="11" s="1"/>
  <c r="T91" i="11"/>
  <c r="AA91" i="11" s="1"/>
  <c r="S91" i="11"/>
  <c r="F91" i="11"/>
  <c r="AE90" i="11"/>
  <c r="AC90" i="11"/>
  <c r="X90" i="11"/>
  <c r="W90" i="11"/>
  <c r="AD90" i="11" s="1"/>
  <c r="V90" i="11"/>
  <c r="U90" i="11"/>
  <c r="AB90" i="11" s="1"/>
  <c r="T90" i="11"/>
  <c r="AA90" i="11" s="1"/>
  <c r="S90" i="11"/>
  <c r="F90" i="11"/>
  <c r="AB89" i="11"/>
  <c r="X89" i="11"/>
  <c r="AE89" i="11" s="1"/>
  <c r="W89" i="11"/>
  <c r="AD89" i="11" s="1"/>
  <c r="V89" i="11"/>
  <c r="AC89" i="11" s="1"/>
  <c r="U89" i="11"/>
  <c r="T89" i="11"/>
  <c r="AA89" i="11" s="1"/>
  <c r="S89" i="11"/>
  <c r="F89" i="11"/>
  <c r="AE88" i="11"/>
  <c r="X88" i="11"/>
  <c r="W88" i="11"/>
  <c r="AD88" i="11" s="1"/>
  <c r="V88" i="11"/>
  <c r="AC88" i="11" s="1"/>
  <c r="U88" i="11"/>
  <c r="AB88" i="11" s="1"/>
  <c r="T88" i="11"/>
  <c r="AA88" i="11" s="1"/>
  <c r="S88" i="11"/>
  <c r="F88" i="11"/>
  <c r="AD87" i="11"/>
  <c r="AB87" i="11"/>
  <c r="X87" i="11"/>
  <c r="AE87" i="11" s="1"/>
  <c r="W87" i="11"/>
  <c r="V87" i="11"/>
  <c r="U87" i="11"/>
  <c r="T87" i="11"/>
  <c r="AA87" i="11" s="1"/>
  <c r="S87" i="11"/>
  <c r="F87" i="11"/>
  <c r="X86" i="11"/>
  <c r="W86" i="11"/>
  <c r="V86" i="11"/>
  <c r="AC87" i="11" s="1"/>
  <c r="U86" i="11"/>
  <c r="T86" i="11"/>
  <c r="S86" i="11"/>
  <c r="F86" i="11"/>
  <c r="X85" i="11"/>
  <c r="AE85" i="11" s="1"/>
  <c r="W85" i="11"/>
  <c r="AD85" i="11" s="1"/>
  <c r="V85" i="11"/>
  <c r="AC85" i="11" s="1"/>
  <c r="U85" i="11"/>
  <c r="AB85" i="11" s="1"/>
  <c r="T85" i="11"/>
  <c r="AA85" i="11" s="1"/>
  <c r="S85" i="11"/>
  <c r="AB84" i="11"/>
  <c r="X84" i="11"/>
  <c r="AE84" i="11" s="1"/>
  <c r="W84" i="11"/>
  <c r="V84" i="11"/>
  <c r="U84" i="11"/>
  <c r="T84" i="11"/>
  <c r="AA84" i="11" s="1"/>
  <c r="S84" i="11"/>
  <c r="Z85" i="11" s="1"/>
  <c r="Z83" i="11"/>
  <c r="X83" i="11"/>
  <c r="AE83" i="11" s="1"/>
  <c r="W83" i="11"/>
  <c r="AD84" i="11" s="1"/>
  <c r="V83" i="11"/>
  <c r="AC83" i="11" s="1"/>
  <c r="U83" i="11"/>
  <c r="AB83" i="11" s="1"/>
  <c r="T83" i="11"/>
  <c r="AA83" i="11" s="1"/>
  <c r="S83" i="11"/>
  <c r="Z82" i="11"/>
  <c r="X82" i="11"/>
  <c r="W82" i="11"/>
  <c r="V82" i="11"/>
  <c r="U82" i="11"/>
  <c r="T82" i="11"/>
  <c r="AA82" i="11" s="1"/>
  <c r="S82" i="11"/>
  <c r="Z81" i="11"/>
  <c r="X81" i="11"/>
  <c r="W81" i="11"/>
  <c r="V81" i="11"/>
  <c r="U81" i="11"/>
  <c r="T81" i="11"/>
  <c r="AA81" i="11" s="1"/>
  <c r="S81" i="11"/>
  <c r="Z80" i="11"/>
  <c r="X80" i="11"/>
  <c r="W80" i="11"/>
  <c r="V80" i="11"/>
  <c r="U80" i="11"/>
  <c r="T80" i="11"/>
  <c r="AA80" i="11" s="1"/>
  <c r="S80" i="11"/>
  <c r="Z79" i="11"/>
  <c r="X79" i="11"/>
  <c r="W79" i="11"/>
  <c r="V79" i="11"/>
  <c r="U79" i="11"/>
  <c r="T79" i="11"/>
  <c r="AA79" i="11" s="1"/>
  <c r="S79" i="11"/>
  <c r="Z78" i="11"/>
  <c r="X78" i="11"/>
  <c r="W78" i="11"/>
  <c r="V78" i="11"/>
  <c r="U78" i="11"/>
  <c r="T78" i="11"/>
  <c r="AA78" i="11" s="1"/>
  <c r="S78" i="11"/>
  <c r="Z77" i="11"/>
  <c r="X77" i="11"/>
  <c r="W77" i="11"/>
  <c r="V77" i="11"/>
  <c r="U77" i="11"/>
  <c r="T77" i="11"/>
  <c r="AA77" i="11" s="1"/>
  <c r="S77" i="11"/>
  <c r="Z76" i="11"/>
  <c r="X76" i="11"/>
  <c r="W76" i="11"/>
  <c r="V76" i="11"/>
  <c r="U76" i="11"/>
  <c r="T76" i="11"/>
  <c r="AA76" i="11" s="1"/>
  <c r="S76" i="11"/>
  <c r="Z75" i="11"/>
  <c r="X75" i="11"/>
  <c r="W75" i="11"/>
  <c r="V75" i="11"/>
  <c r="U75" i="11"/>
  <c r="T75" i="11"/>
  <c r="AA75" i="11" s="1"/>
  <c r="S75" i="11"/>
  <c r="Z74" i="11"/>
  <c r="X74" i="11"/>
  <c r="W74" i="11"/>
  <c r="V74" i="11"/>
  <c r="U74" i="11"/>
  <c r="T74" i="11"/>
  <c r="AA74" i="11" s="1"/>
  <c r="S74" i="11"/>
  <c r="Z73" i="11"/>
  <c r="X73" i="11"/>
  <c r="W73" i="11"/>
  <c r="V73" i="11"/>
  <c r="U73" i="11"/>
  <c r="T73" i="11"/>
  <c r="AA73" i="11" s="1"/>
  <c r="S73" i="11"/>
  <c r="Z72" i="11"/>
  <c r="X72" i="11"/>
  <c r="W72" i="11"/>
  <c r="V72" i="11"/>
  <c r="U72" i="11"/>
  <c r="T72" i="11"/>
  <c r="AA72" i="11" s="1"/>
  <c r="S72" i="11"/>
  <c r="Z71" i="11"/>
  <c r="X71" i="11"/>
  <c r="W71" i="11"/>
  <c r="V71" i="11"/>
  <c r="U71" i="11"/>
  <c r="T71" i="11"/>
  <c r="AA71" i="11" s="1"/>
  <c r="S71" i="11"/>
  <c r="Z70" i="11"/>
  <c r="X70" i="11"/>
  <c r="W70" i="11"/>
  <c r="V70" i="11"/>
  <c r="U70" i="11"/>
  <c r="T70" i="11"/>
  <c r="AA70" i="11" s="1"/>
  <c r="S70" i="11"/>
  <c r="Z69" i="11"/>
  <c r="X69" i="11"/>
  <c r="W69" i="11"/>
  <c r="V69" i="11"/>
  <c r="U69" i="11"/>
  <c r="T69" i="11"/>
  <c r="AA69" i="11" s="1"/>
  <c r="S69" i="11"/>
  <c r="Z68" i="11"/>
  <c r="X68" i="11"/>
  <c r="W68" i="11"/>
  <c r="V68" i="11"/>
  <c r="U68" i="11"/>
  <c r="T68" i="11"/>
  <c r="AA68" i="11" s="1"/>
  <c r="S68" i="11"/>
  <c r="Z67" i="11"/>
  <c r="X67" i="11"/>
  <c r="W67" i="11"/>
  <c r="V67" i="11"/>
  <c r="U67" i="11"/>
  <c r="T67" i="11"/>
  <c r="AA67" i="11" s="1"/>
  <c r="S67" i="11"/>
  <c r="Z66" i="11"/>
  <c r="X66" i="11"/>
  <c r="W66" i="11"/>
  <c r="V66" i="11"/>
  <c r="U66" i="11"/>
  <c r="T66" i="11"/>
  <c r="AA66" i="11" s="1"/>
  <c r="S66" i="11"/>
  <c r="Z65" i="11"/>
  <c r="X65" i="11"/>
  <c r="W65" i="11"/>
  <c r="V65" i="11"/>
  <c r="U65" i="11"/>
  <c r="T65" i="11"/>
  <c r="AA65" i="11" s="1"/>
  <c r="S65" i="11"/>
  <c r="Z64" i="11"/>
  <c r="X64" i="11"/>
  <c r="W64" i="11"/>
  <c r="V64" i="11"/>
  <c r="U64" i="11"/>
  <c r="T64" i="11"/>
  <c r="AA64" i="11" s="1"/>
  <c r="S64" i="11"/>
  <c r="Z63" i="11"/>
  <c r="X63" i="11"/>
  <c r="W63" i="11"/>
  <c r="V63" i="11"/>
  <c r="U63" i="11"/>
  <c r="T63" i="11"/>
  <c r="AA63" i="11" s="1"/>
  <c r="S63" i="11"/>
  <c r="Z62" i="11"/>
  <c r="X62" i="11"/>
  <c r="W62" i="11"/>
  <c r="V62" i="11"/>
  <c r="U62" i="11"/>
  <c r="T62" i="11"/>
  <c r="AA62" i="11" s="1"/>
  <c r="S62" i="11"/>
  <c r="Z61" i="11"/>
  <c r="X61" i="11"/>
  <c r="W61" i="11"/>
  <c r="V61" i="11"/>
  <c r="U61" i="11"/>
  <c r="T61" i="11"/>
  <c r="AA61" i="11" s="1"/>
  <c r="S61" i="11"/>
  <c r="Z60" i="11"/>
  <c r="X60" i="11"/>
  <c r="W60" i="11"/>
  <c r="V60" i="11"/>
  <c r="U60" i="11"/>
  <c r="T60" i="11"/>
  <c r="AA60" i="11" s="1"/>
  <c r="S60" i="11"/>
  <c r="Z59" i="11"/>
  <c r="X59" i="11"/>
  <c r="W59" i="11"/>
  <c r="V59" i="11"/>
  <c r="U59" i="11"/>
  <c r="T59" i="11"/>
  <c r="AA59" i="11" s="1"/>
  <c r="S59" i="11"/>
  <c r="Z58" i="11"/>
  <c r="X58" i="11"/>
  <c r="W58" i="11"/>
  <c r="V58" i="11"/>
  <c r="U58" i="11"/>
  <c r="T58" i="11"/>
  <c r="AA58" i="11" s="1"/>
  <c r="S58" i="11"/>
  <c r="Z57" i="11"/>
  <c r="X57" i="11"/>
  <c r="W57" i="11"/>
  <c r="V57" i="11"/>
  <c r="U57" i="11"/>
  <c r="T57" i="11"/>
  <c r="AA57" i="11" s="1"/>
  <c r="S57" i="11"/>
  <c r="Z56" i="11"/>
  <c r="X56" i="11"/>
  <c r="W56" i="11"/>
  <c r="V56" i="11"/>
  <c r="U56" i="11"/>
  <c r="T56" i="11"/>
  <c r="AA56" i="11" s="1"/>
  <c r="S56" i="11"/>
  <c r="X55" i="11"/>
  <c r="W55" i="11"/>
  <c r="V55" i="11"/>
  <c r="U55" i="11"/>
  <c r="T55" i="11"/>
  <c r="AA55" i="11" s="1"/>
  <c r="S55" i="11"/>
  <c r="X54" i="11"/>
  <c r="W54" i="11"/>
  <c r="V54" i="11"/>
  <c r="U54" i="11"/>
  <c r="T54" i="11"/>
  <c r="AA54" i="11" s="1"/>
  <c r="S54" i="11"/>
  <c r="X53" i="11"/>
  <c r="W53" i="11"/>
  <c r="V53" i="11"/>
  <c r="U53" i="11"/>
  <c r="T53" i="11"/>
  <c r="AA53" i="11" s="1"/>
  <c r="S53" i="11"/>
  <c r="AA52" i="11"/>
  <c r="X52" i="11"/>
  <c r="W52" i="11"/>
  <c r="V52" i="11"/>
  <c r="U52" i="11"/>
  <c r="T52" i="11"/>
  <c r="S52" i="11"/>
  <c r="X51" i="11"/>
  <c r="W51" i="11"/>
  <c r="V51" i="11"/>
  <c r="U51" i="11"/>
  <c r="T51" i="11"/>
  <c r="AA51" i="11" s="1"/>
  <c r="S51" i="11"/>
  <c r="AA50" i="11"/>
  <c r="X50" i="11"/>
  <c r="W50" i="11"/>
  <c r="V50" i="11"/>
  <c r="U50" i="11"/>
  <c r="T50" i="11"/>
  <c r="S50" i="11"/>
  <c r="X49" i="11"/>
  <c r="W49" i="11"/>
  <c r="V49" i="11"/>
  <c r="U49" i="11"/>
  <c r="T49" i="11"/>
  <c r="AA49" i="11" s="1"/>
  <c r="S49" i="11"/>
  <c r="X48" i="11"/>
  <c r="W48" i="11"/>
  <c r="V48" i="11"/>
  <c r="U48" i="11"/>
  <c r="T48" i="11"/>
  <c r="S48" i="11"/>
  <c r="X47" i="11"/>
  <c r="W47" i="11"/>
  <c r="V47" i="11"/>
  <c r="U47" i="11"/>
  <c r="T47" i="11"/>
  <c r="AA47" i="11" s="1"/>
  <c r="S47" i="11"/>
  <c r="X46" i="11"/>
  <c r="W46" i="11"/>
  <c r="V46" i="11"/>
  <c r="U46" i="11"/>
  <c r="T46" i="11"/>
  <c r="AA46" i="11" s="1"/>
  <c r="S46" i="11"/>
  <c r="X45" i="11"/>
  <c r="W45" i="11"/>
  <c r="V45" i="11"/>
  <c r="U45" i="11"/>
  <c r="T45" i="11"/>
  <c r="AA45" i="11" s="1"/>
  <c r="S45" i="11"/>
  <c r="AA44" i="11"/>
  <c r="X44" i="11"/>
  <c r="W44" i="11"/>
  <c r="V44" i="11"/>
  <c r="U44" i="11"/>
  <c r="T44" i="11"/>
  <c r="S44" i="11"/>
  <c r="X43" i="11"/>
  <c r="W43" i="11"/>
  <c r="V43" i="11"/>
  <c r="U43" i="11"/>
  <c r="T43" i="11"/>
  <c r="AA43" i="11" s="1"/>
  <c r="S43" i="11"/>
  <c r="AA42" i="11"/>
  <c r="X42" i="11"/>
  <c r="W42" i="11"/>
  <c r="V42" i="11"/>
  <c r="U42" i="11"/>
  <c r="T42" i="11"/>
  <c r="S42" i="11"/>
  <c r="X41" i="11"/>
  <c r="W41" i="11"/>
  <c r="V41" i="11"/>
  <c r="U41" i="11"/>
  <c r="T41" i="11"/>
  <c r="AA41" i="11" s="1"/>
  <c r="S41" i="11"/>
  <c r="X40" i="11"/>
  <c r="W40" i="11"/>
  <c r="V40" i="11"/>
  <c r="U40" i="11"/>
  <c r="T40" i="11"/>
  <c r="S40" i="11"/>
  <c r="X39" i="11"/>
  <c r="W39" i="11"/>
  <c r="V39" i="11"/>
  <c r="U39" i="11"/>
  <c r="T39" i="11"/>
  <c r="AA39" i="11" s="1"/>
  <c r="S39" i="11"/>
  <c r="X38" i="11"/>
  <c r="W38" i="11"/>
  <c r="V38" i="11"/>
  <c r="U38" i="11"/>
  <c r="T38" i="11"/>
  <c r="AA38" i="11" s="1"/>
  <c r="S38" i="11"/>
  <c r="X37" i="11"/>
  <c r="W37" i="11"/>
  <c r="V37" i="11"/>
  <c r="U37" i="11"/>
  <c r="T37" i="11"/>
  <c r="AA37" i="11" s="1"/>
  <c r="S37" i="11"/>
  <c r="AA36" i="11"/>
  <c r="X36" i="11"/>
  <c r="W36" i="11"/>
  <c r="V36" i="11"/>
  <c r="U36" i="11"/>
  <c r="T36" i="11"/>
  <c r="S36" i="11"/>
  <c r="X35" i="11"/>
  <c r="W35" i="11"/>
  <c r="V35" i="11"/>
  <c r="U35" i="11"/>
  <c r="T35" i="11"/>
  <c r="AA35" i="11" s="1"/>
  <c r="S35" i="11"/>
  <c r="AA34" i="11"/>
  <c r="X34" i="11"/>
  <c r="W34" i="11"/>
  <c r="V34" i="11"/>
  <c r="U34" i="11"/>
  <c r="T34" i="11"/>
  <c r="S34" i="11"/>
  <c r="X33" i="11"/>
  <c r="W33" i="11"/>
  <c r="V33" i="11"/>
  <c r="U33" i="11"/>
  <c r="T33" i="11"/>
  <c r="S33" i="11"/>
  <c r="X32" i="11"/>
  <c r="W32" i="11"/>
  <c r="V32" i="11"/>
  <c r="U32" i="11"/>
  <c r="T32" i="11"/>
  <c r="AA33" i="11" s="1"/>
  <c r="S32" i="11"/>
  <c r="X31" i="11"/>
  <c r="W31" i="11"/>
  <c r="V31" i="11"/>
  <c r="U31" i="11"/>
  <c r="T31" i="11"/>
  <c r="AA31" i="11" s="1"/>
  <c r="S31" i="11"/>
  <c r="X30" i="11"/>
  <c r="W30" i="11"/>
  <c r="V30" i="11"/>
  <c r="U30" i="11"/>
  <c r="T30" i="11"/>
  <c r="AA30" i="11" s="1"/>
  <c r="S30" i="11"/>
  <c r="X29" i="11"/>
  <c r="W29" i="11"/>
  <c r="V29" i="11"/>
  <c r="U29" i="11"/>
  <c r="T29" i="11"/>
  <c r="AA29" i="11" s="1"/>
  <c r="S29" i="11"/>
  <c r="AA28" i="11"/>
  <c r="X28" i="11"/>
  <c r="W28" i="11"/>
  <c r="V28" i="11"/>
  <c r="U28" i="11"/>
  <c r="T28" i="11"/>
  <c r="S28" i="11"/>
  <c r="X27" i="11"/>
  <c r="W27" i="11"/>
  <c r="V27" i="11"/>
  <c r="U27" i="11"/>
  <c r="T27" i="11"/>
  <c r="AA27" i="11" s="1"/>
  <c r="S27" i="11"/>
  <c r="AA26" i="11"/>
  <c r="X26" i="11"/>
  <c r="W26" i="11"/>
  <c r="V26" i="11"/>
  <c r="U26" i="11"/>
  <c r="T26" i="11"/>
  <c r="S26" i="11"/>
  <c r="X25" i="11"/>
  <c r="W25" i="11"/>
  <c r="V25" i="11"/>
  <c r="U25" i="11"/>
  <c r="T25" i="11"/>
  <c r="S25" i="11"/>
  <c r="X24" i="11"/>
  <c r="W24" i="11"/>
  <c r="V24" i="11"/>
  <c r="U24" i="11"/>
  <c r="T24" i="11"/>
  <c r="AA25" i="11" s="1"/>
  <c r="S24" i="11"/>
  <c r="X23" i="11"/>
  <c r="W23" i="11"/>
  <c r="V23" i="11"/>
  <c r="U23" i="11"/>
  <c r="T23" i="11"/>
  <c r="AA23" i="11" s="1"/>
  <c r="S23" i="11"/>
  <c r="X22" i="11"/>
  <c r="W22" i="11"/>
  <c r="V22" i="11"/>
  <c r="U22" i="11"/>
  <c r="T22" i="11"/>
  <c r="AA22" i="11" s="1"/>
  <c r="S22" i="11"/>
  <c r="X21" i="11"/>
  <c r="W21" i="11"/>
  <c r="V21" i="11"/>
  <c r="U21" i="11"/>
  <c r="T21" i="11"/>
  <c r="AA21" i="11" s="1"/>
  <c r="S21" i="11"/>
  <c r="AA20" i="11"/>
  <c r="X20" i="11"/>
  <c r="W20" i="11"/>
  <c r="V20" i="11"/>
  <c r="U20" i="11"/>
  <c r="T20" i="11"/>
  <c r="S20" i="11"/>
  <c r="X19" i="11"/>
  <c r="W19" i="11"/>
  <c r="V19" i="11"/>
  <c r="U19" i="11"/>
  <c r="T19" i="11"/>
  <c r="AA19" i="11" s="1"/>
  <c r="S19" i="11"/>
  <c r="AA18" i="11"/>
  <c r="X18" i="11"/>
  <c r="W18" i="11"/>
  <c r="V18" i="11"/>
  <c r="U18" i="11"/>
  <c r="T18" i="11"/>
  <c r="S18" i="11"/>
  <c r="X17" i="11"/>
  <c r="W17" i="11"/>
  <c r="V17" i="11"/>
  <c r="U17" i="11"/>
  <c r="T17" i="11"/>
  <c r="S17" i="11"/>
  <c r="X16" i="11"/>
  <c r="W16" i="11"/>
  <c r="V16" i="11"/>
  <c r="U16" i="11"/>
  <c r="T16" i="11"/>
  <c r="AA17" i="11" s="1"/>
  <c r="S16" i="11"/>
  <c r="X15" i="11"/>
  <c r="W15" i="11"/>
  <c r="V15" i="11"/>
  <c r="U15" i="11"/>
  <c r="T15" i="11"/>
  <c r="AA15" i="11" s="1"/>
  <c r="S15" i="11"/>
  <c r="X14" i="11"/>
  <c r="W14" i="11"/>
  <c r="V14" i="11"/>
  <c r="U14" i="11"/>
  <c r="T14" i="11"/>
  <c r="AA14" i="11" s="1"/>
  <c r="S14" i="11"/>
  <c r="X13" i="11"/>
  <c r="W13" i="11"/>
  <c r="V13" i="11"/>
  <c r="U13" i="11"/>
  <c r="T13" i="11"/>
  <c r="AA13" i="11" s="1"/>
  <c r="S13" i="11"/>
  <c r="AA12" i="11"/>
  <c r="X12" i="11"/>
  <c r="W12" i="11"/>
  <c r="V12" i="11"/>
  <c r="U12" i="11"/>
  <c r="T12" i="11"/>
  <c r="S12" i="11"/>
  <c r="X11" i="11"/>
  <c r="W11" i="11"/>
  <c r="V11" i="11"/>
  <c r="U11" i="11"/>
  <c r="T11" i="11"/>
  <c r="AA11" i="11" s="1"/>
  <c r="S11" i="11"/>
  <c r="AA10" i="11"/>
  <c r="X10" i="11"/>
  <c r="W10" i="11"/>
  <c r="V10" i="11"/>
  <c r="U10" i="11"/>
  <c r="T10" i="11"/>
  <c r="S10" i="11"/>
  <c r="X9" i="11"/>
  <c r="W9" i="11"/>
  <c r="V9" i="11"/>
  <c r="U9" i="11"/>
  <c r="T9" i="11"/>
  <c r="S9" i="11"/>
  <c r="X8" i="11"/>
  <c r="W8" i="11"/>
  <c r="V8" i="11"/>
  <c r="U8" i="11"/>
  <c r="T8" i="11"/>
  <c r="AA9" i="11" s="1"/>
  <c r="S8" i="11"/>
  <c r="X7" i="11"/>
  <c r="W7" i="11"/>
  <c r="V7" i="11"/>
  <c r="U7" i="11"/>
  <c r="T7" i="11"/>
  <c r="AA7" i="11" s="1"/>
  <c r="S7" i="11"/>
  <c r="X6" i="11"/>
  <c r="W6" i="11"/>
  <c r="V6" i="11"/>
  <c r="U6" i="11"/>
  <c r="T6" i="11"/>
  <c r="AA6" i="11" s="1"/>
  <c r="S6" i="11"/>
  <c r="X5" i="11"/>
  <c r="W5" i="11"/>
  <c r="V5" i="11"/>
  <c r="U5" i="11"/>
  <c r="T5" i="11"/>
  <c r="S5" i="11"/>
  <c r="W85" i="10"/>
  <c r="V85" i="10"/>
  <c r="U85" i="10"/>
  <c r="W84" i="10"/>
  <c r="V84" i="10"/>
  <c r="U84" i="10"/>
  <c r="W83" i="10"/>
  <c r="V83" i="10"/>
  <c r="U83" i="10"/>
  <c r="W82" i="10"/>
  <c r="V82" i="10"/>
  <c r="U82" i="10"/>
  <c r="W81" i="10"/>
  <c r="V81" i="10"/>
  <c r="U81" i="10"/>
  <c r="W80" i="10"/>
  <c r="V80" i="10"/>
  <c r="U80" i="10"/>
  <c r="W79" i="10"/>
  <c r="V79" i="10"/>
  <c r="U79" i="10"/>
  <c r="W78" i="10"/>
  <c r="V78" i="10"/>
  <c r="U78" i="10"/>
  <c r="W77" i="10"/>
  <c r="V77" i="10"/>
  <c r="U77" i="10"/>
  <c r="W76" i="10"/>
  <c r="V76" i="10"/>
  <c r="U76" i="10"/>
  <c r="W75" i="10"/>
  <c r="V75" i="10"/>
  <c r="U75" i="10"/>
  <c r="W74" i="10"/>
  <c r="V74" i="10"/>
  <c r="U74" i="10"/>
  <c r="W73" i="10"/>
  <c r="V73" i="10"/>
  <c r="U73" i="10"/>
  <c r="W72" i="10"/>
  <c r="V72" i="10"/>
  <c r="U72" i="10"/>
  <c r="W71" i="10"/>
  <c r="V71" i="10"/>
  <c r="U71" i="10"/>
  <c r="W70" i="10"/>
  <c r="V70" i="10"/>
  <c r="U70" i="10"/>
  <c r="W69" i="10"/>
  <c r="V69" i="10"/>
  <c r="U69" i="10"/>
  <c r="W68" i="10"/>
  <c r="V68" i="10"/>
  <c r="U68" i="10"/>
  <c r="W67" i="10"/>
  <c r="V67" i="10"/>
  <c r="U67" i="10"/>
  <c r="W66" i="10"/>
  <c r="V66" i="10"/>
  <c r="U66" i="10"/>
  <c r="W65" i="10"/>
  <c r="V65" i="10"/>
  <c r="U65" i="10"/>
  <c r="W64" i="10"/>
  <c r="V64" i="10"/>
  <c r="U64" i="10"/>
  <c r="W63" i="10"/>
  <c r="V63" i="10"/>
  <c r="U63" i="10"/>
  <c r="W62" i="10"/>
  <c r="V62" i="10"/>
  <c r="U62" i="10"/>
  <c r="W61" i="10"/>
  <c r="V61" i="10"/>
  <c r="U61" i="10"/>
  <c r="W60" i="10"/>
  <c r="V60" i="10"/>
  <c r="U60" i="10"/>
  <c r="W59" i="10"/>
  <c r="V59" i="10"/>
  <c r="U59" i="10"/>
  <c r="W58" i="10"/>
  <c r="V58" i="10"/>
  <c r="U58" i="10"/>
  <c r="W57" i="10"/>
  <c r="V57" i="10"/>
  <c r="U57" i="10"/>
  <c r="W56" i="10"/>
  <c r="V56" i="10"/>
  <c r="U56" i="10"/>
  <c r="W55" i="10"/>
  <c r="V55" i="10"/>
  <c r="U55" i="10"/>
  <c r="W54" i="10"/>
  <c r="V54" i="10"/>
  <c r="U54" i="10"/>
  <c r="W53" i="10"/>
  <c r="V53" i="10"/>
  <c r="U53" i="10"/>
  <c r="W52" i="10"/>
  <c r="V52" i="10"/>
  <c r="U52" i="10"/>
  <c r="W51" i="10"/>
  <c r="V51" i="10"/>
  <c r="U51" i="10"/>
  <c r="W50" i="10"/>
  <c r="V50" i="10"/>
  <c r="U50" i="10"/>
  <c r="W49" i="10"/>
  <c r="V49" i="10"/>
  <c r="U49" i="10"/>
  <c r="W48" i="10"/>
  <c r="V48" i="10"/>
  <c r="U48" i="10"/>
  <c r="W47" i="10"/>
  <c r="V47" i="10"/>
  <c r="U47" i="10"/>
  <c r="W46" i="10"/>
  <c r="V46" i="10"/>
  <c r="U46" i="10"/>
  <c r="W45" i="10"/>
  <c r="V45" i="10"/>
  <c r="U45" i="10"/>
  <c r="W44" i="10"/>
  <c r="V44" i="10"/>
  <c r="U44" i="10"/>
  <c r="W43" i="10"/>
  <c r="V43" i="10"/>
  <c r="U43" i="10"/>
  <c r="W42" i="10"/>
  <c r="V42" i="10"/>
  <c r="U42" i="10"/>
  <c r="W41" i="10"/>
  <c r="V41" i="10"/>
  <c r="U41" i="10"/>
  <c r="Z105" i="11" l="1"/>
  <c r="Z88" i="11"/>
  <c r="Z97" i="11"/>
  <c r="Z89" i="11"/>
  <c r="Z104" i="11"/>
  <c r="Z92" i="11"/>
  <c r="Z91" i="11"/>
  <c r="Z90" i="11"/>
  <c r="Z95" i="11"/>
  <c r="Z93" i="11"/>
  <c r="Z96" i="11"/>
  <c r="Z98" i="11"/>
  <c r="Z100" i="11"/>
  <c r="Z87" i="11"/>
  <c r="Z101" i="11"/>
  <c r="Z103" i="11"/>
  <c r="AD83" i="11"/>
  <c r="Z84" i="11"/>
  <c r="AC84" i="11"/>
  <c r="AE93" i="11"/>
  <c r="Z94" i="11"/>
  <c r="AC95" i="11"/>
  <c r="AB100" i="11"/>
  <c r="AE101" i="11"/>
  <c r="Z102" i="11"/>
  <c r="AC103" i="11"/>
  <c r="AA8" i="11"/>
  <c r="AA16" i="11"/>
  <c r="AA24" i="11"/>
  <c r="AA32" i="11"/>
  <c r="AA40" i="11"/>
  <c r="AA48" i="11"/>
  <c r="X131" i="9" l="1"/>
  <c r="W131" i="9"/>
  <c r="V131" i="9"/>
  <c r="U131" i="9"/>
  <c r="T131" i="9"/>
  <c r="S131" i="9"/>
  <c r="X130" i="9"/>
  <c r="W130" i="9"/>
  <c r="V130" i="9"/>
  <c r="U130" i="9"/>
  <c r="T130" i="9"/>
  <c r="S130" i="9"/>
  <c r="X129" i="9"/>
  <c r="W129" i="9"/>
  <c r="V129" i="9"/>
  <c r="U129" i="9"/>
  <c r="T129" i="9"/>
  <c r="S129" i="9"/>
  <c r="X128" i="9"/>
  <c r="W128" i="9"/>
  <c r="V128" i="9"/>
  <c r="U128" i="9"/>
  <c r="T128" i="9"/>
  <c r="S128" i="9"/>
  <c r="X127" i="9"/>
  <c r="W127" i="9"/>
  <c r="V127" i="9"/>
  <c r="U127" i="9"/>
  <c r="T127" i="9"/>
  <c r="S127" i="9"/>
  <c r="X126" i="9"/>
  <c r="W126" i="9"/>
  <c r="V126" i="9"/>
  <c r="U126" i="9"/>
  <c r="T126" i="9"/>
  <c r="S126" i="9"/>
  <c r="X125" i="9"/>
  <c r="W125" i="9"/>
  <c r="V125" i="9"/>
  <c r="U125" i="9"/>
  <c r="T125" i="9"/>
  <c r="S125" i="9"/>
  <c r="X124" i="9"/>
  <c r="W124" i="9"/>
  <c r="V124" i="9"/>
  <c r="U124" i="9"/>
  <c r="T124" i="9"/>
  <c r="S124" i="9"/>
  <c r="X123" i="9"/>
  <c r="W123" i="9"/>
  <c r="V123" i="9"/>
  <c r="U123" i="9"/>
  <c r="T123" i="9"/>
  <c r="S123" i="9"/>
  <c r="X122" i="9"/>
  <c r="W122" i="9"/>
  <c r="V122" i="9"/>
  <c r="U122" i="9"/>
  <c r="T122" i="9"/>
  <c r="S122" i="9"/>
  <c r="X121" i="9"/>
  <c r="W121" i="9"/>
  <c r="V121" i="9"/>
  <c r="U121" i="9"/>
  <c r="T121" i="9"/>
  <c r="S121" i="9"/>
  <c r="X120" i="9"/>
  <c r="W120" i="9"/>
  <c r="V120" i="9"/>
  <c r="U120" i="9"/>
  <c r="T120" i="9"/>
  <c r="S120" i="9"/>
  <c r="X119" i="9"/>
  <c r="W119" i="9"/>
  <c r="V119" i="9"/>
  <c r="U119" i="9"/>
  <c r="T119" i="9"/>
  <c r="S119" i="9"/>
  <c r="X118" i="9"/>
  <c r="W118" i="9"/>
  <c r="V118" i="9"/>
  <c r="U118" i="9"/>
  <c r="T118" i="9"/>
  <c r="S118" i="9"/>
  <c r="X117" i="9"/>
  <c r="W117" i="9"/>
  <c r="V117" i="9"/>
  <c r="U117" i="9"/>
  <c r="T117" i="9"/>
  <c r="S117" i="9"/>
  <c r="X116" i="9"/>
  <c r="W116" i="9"/>
  <c r="V116" i="9"/>
  <c r="U116" i="9"/>
  <c r="T116" i="9"/>
  <c r="S116" i="9"/>
  <c r="X115" i="9"/>
  <c r="W115" i="9"/>
  <c r="V115" i="9"/>
  <c r="U115" i="9"/>
  <c r="T115" i="9"/>
  <c r="S115" i="9"/>
  <c r="X114" i="9"/>
  <c r="W114" i="9"/>
  <c r="V114" i="9"/>
  <c r="U114" i="9"/>
  <c r="T114" i="9"/>
  <c r="S114" i="9"/>
  <c r="X113" i="9"/>
  <c r="W113" i="9"/>
  <c r="V113" i="9"/>
  <c r="U113" i="9"/>
  <c r="T113" i="9"/>
  <c r="S113" i="9"/>
  <c r="X112" i="9"/>
  <c r="W112" i="9"/>
  <c r="V112" i="9"/>
  <c r="U112" i="9"/>
  <c r="T112" i="9"/>
  <c r="S112" i="9"/>
  <c r="X111" i="9"/>
  <c r="W111" i="9"/>
  <c r="V111" i="9"/>
  <c r="U111" i="9"/>
  <c r="T111" i="9"/>
  <c r="S111" i="9"/>
  <c r="X110" i="9"/>
  <c r="W110" i="9"/>
  <c r="V110" i="9"/>
  <c r="AC110" i="9" s="1"/>
  <c r="U110" i="9"/>
  <c r="AB110" i="9" s="1"/>
  <c r="T110" i="9"/>
  <c r="AA110" i="9" s="1"/>
  <c r="S110" i="9"/>
  <c r="Z110" i="9" s="1"/>
  <c r="AE109" i="9"/>
  <c r="AD109" i="9"/>
  <c r="X109" i="9"/>
  <c r="AE110" i="9" s="1"/>
  <c r="W109" i="9"/>
  <c r="AD110" i="9" s="1"/>
  <c r="V109" i="9"/>
  <c r="AC109" i="9" s="1"/>
  <c r="U109" i="9"/>
  <c r="AB109" i="9" s="1"/>
  <c r="T109" i="9"/>
  <c r="AA109" i="9" s="1"/>
  <c r="S109" i="9"/>
  <c r="AA108" i="9"/>
  <c r="Z108" i="9"/>
  <c r="X108" i="9"/>
  <c r="AE108" i="9" s="1"/>
  <c r="W108" i="9"/>
  <c r="V108" i="9"/>
  <c r="AC108" i="9" s="1"/>
  <c r="U108" i="9"/>
  <c r="T108" i="9"/>
  <c r="S108" i="9"/>
  <c r="Z109" i="9" s="1"/>
  <c r="AE107" i="9"/>
  <c r="AD107" i="9"/>
  <c r="X107" i="9"/>
  <c r="W107" i="9"/>
  <c r="AD108" i="9" s="1"/>
  <c r="V107" i="9"/>
  <c r="AC107" i="9" s="1"/>
  <c r="U107" i="9"/>
  <c r="AB108" i="9" s="1"/>
  <c r="T107" i="9"/>
  <c r="AA107" i="9" s="1"/>
  <c r="S107" i="9"/>
  <c r="AA106" i="9"/>
  <c r="Z106" i="9"/>
  <c r="X106" i="9"/>
  <c r="AE106" i="9" s="1"/>
  <c r="W106" i="9"/>
  <c r="V106" i="9"/>
  <c r="AC106" i="9" s="1"/>
  <c r="U106" i="9"/>
  <c r="T106" i="9"/>
  <c r="S106" i="9"/>
  <c r="Z107" i="9" s="1"/>
  <c r="AE105" i="9"/>
  <c r="AD105" i="9"/>
  <c r="X105" i="9"/>
  <c r="W105" i="9"/>
  <c r="AD106" i="9" s="1"/>
  <c r="V105" i="9"/>
  <c r="AC105" i="9" s="1"/>
  <c r="U105" i="9"/>
  <c r="AB106" i="9" s="1"/>
  <c r="T105" i="9"/>
  <c r="AA105" i="9" s="1"/>
  <c r="S105" i="9"/>
  <c r="AA104" i="9"/>
  <c r="Z104" i="9"/>
  <c r="X104" i="9"/>
  <c r="AE104" i="9" s="1"/>
  <c r="W104" i="9"/>
  <c r="V104" i="9"/>
  <c r="AC104" i="9" s="1"/>
  <c r="U104" i="9"/>
  <c r="T104" i="9"/>
  <c r="S104" i="9"/>
  <c r="Z105" i="9" s="1"/>
  <c r="AE103" i="9"/>
  <c r="AD103" i="9"/>
  <c r="X103" i="9"/>
  <c r="W103" i="9"/>
  <c r="AD104" i="9" s="1"/>
  <c r="V103" i="9"/>
  <c r="AC103" i="9" s="1"/>
  <c r="U103" i="9"/>
  <c r="AB104" i="9" s="1"/>
  <c r="T103" i="9"/>
  <c r="AA103" i="9" s="1"/>
  <c r="S103" i="9"/>
  <c r="AA102" i="9"/>
  <c r="Z102" i="9"/>
  <c r="X102" i="9"/>
  <c r="AE102" i="9" s="1"/>
  <c r="W102" i="9"/>
  <c r="V102" i="9"/>
  <c r="AC102" i="9" s="1"/>
  <c r="U102" i="9"/>
  <c r="T102" i="9"/>
  <c r="S102" i="9"/>
  <c r="Z103" i="9" s="1"/>
  <c r="AE101" i="9"/>
  <c r="AD101" i="9"/>
  <c r="X101" i="9"/>
  <c r="W101" i="9"/>
  <c r="AD102" i="9" s="1"/>
  <c r="V101" i="9"/>
  <c r="AC101" i="9" s="1"/>
  <c r="U101" i="9"/>
  <c r="AB102" i="9" s="1"/>
  <c r="T101" i="9"/>
  <c r="AA101" i="9" s="1"/>
  <c r="S101" i="9"/>
  <c r="AA100" i="9"/>
  <c r="Z100" i="9"/>
  <c r="X100" i="9"/>
  <c r="AE100" i="9" s="1"/>
  <c r="W100" i="9"/>
  <c r="V100" i="9"/>
  <c r="AC100" i="9" s="1"/>
  <c r="U100" i="9"/>
  <c r="T100" i="9"/>
  <c r="S100" i="9"/>
  <c r="Z101" i="9" s="1"/>
  <c r="AE99" i="9"/>
  <c r="AD99" i="9"/>
  <c r="X99" i="9"/>
  <c r="W99" i="9"/>
  <c r="AD100" i="9" s="1"/>
  <c r="V99" i="9"/>
  <c r="AC99" i="9" s="1"/>
  <c r="U99" i="9"/>
  <c r="AB100" i="9" s="1"/>
  <c r="T99" i="9"/>
  <c r="AA99" i="9" s="1"/>
  <c r="S99" i="9"/>
  <c r="AA98" i="9"/>
  <c r="Z98" i="9"/>
  <c r="X98" i="9"/>
  <c r="AE98" i="9" s="1"/>
  <c r="W98" i="9"/>
  <c r="V98" i="9"/>
  <c r="AC98" i="9" s="1"/>
  <c r="U98" i="9"/>
  <c r="T98" i="9"/>
  <c r="S98" i="9"/>
  <c r="Z99" i="9" s="1"/>
  <c r="AE97" i="9"/>
  <c r="AD97" i="9"/>
  <c r="X97" i="9"/>
  <c r="W97" i="9"/>
  <c r="AD98" i="9" s="1"/>
  <c r="V97" i="9"/>
  <c r="AC97" i="9" s="1"/>
  <c r="U97" i="9"/>
  <c r="AB98" i="9" s="1"/>
  <c r="T97" i="9"/>
  <c r="AA97" i="9" s="1"/>
  <c r="S97" i="9"/>
  <c r="AA96" i="9"/>
  <c r="Z96" i="9"/>
  <c r="X96" i="9"/>
  <c r="AE96" i="9" s="1"/>
  <c r="W96" i="9"/>
  <c r="V96" i="9"/>
  <c r="AC96" i="9" s="1"/>
  <c r="U96" i="9"/>
  <c r="T96" i="9"/>
  <c r="S96" i="9"/>
  <c r="Z97" i="9" s="1"/>
  <c r="AE95" i="9"/>
  <c r="AD95" i="9"/>
  <c r="X95" i="9"/>
  <c r="W95" i="9"/>
  <c r="AD96" i="9" s="1"/>
  <c r="V95" i="9"/>
  <c r="AC95" i="9" s="1"/>
  <c r="U95" i="9"/>
  <c r="AB96" i="9" s="1"/>
  <c r="T95" i="9"/>
  <c r="AA95" i="9" s="1"/>
  <c r="S95" i="9"/>
  <c r="AA94" i="9"/>
  <c r="Z94" i="9"/>
  <c r="X94" i="9"/>
  <c r="AE94" i="9" s="1"/>
  <c r="W94" i="9"/>
  <c r="V94" i="9"/>
  <c r="U94" i="9"/>
  <c r="T94" i="9"/>
  <c r="S94" i="9"/>
  <c r="Z95" i="9" s="1"/>
  <c r="AE93" i="9"/>
  <c r="AD93" i="9"/>
  <c r="X93" i="9"/>
  <c r="W93" i="9"/>
  <c r="AD94" i="9" s="1"/>
  <c r="V93" i="9"/>
  <c r="AC94" i="9" s="1"/>
  <c r="U93" i="9"/>
  <c r="AB94" i="9" s="1"/>
  <c r="T93" i="9"/>
  <c r="AA93" i="9" s="1"/>
  <c r="S93" i="9"/>
  <c r="AA92" i="9"/>
  <c r="Z92" i="9"/>
  <c r="X92" i="9"/>
  <c r="AE92" i="9" s="1"/>
  <c r="W92" i="9"/>
  <c r="V92" i="9"/>
  <c r="U92" i="9"/>
  <c r="T92" i="9"/>
  <c r="S92" i="9"/>
  <c r="Z93" i="9" s="1"/>
  <c r="AE91" i="9"/>
  <c r="AD91" i="9"/>
  <c r="X91" i="9"/>
  <c r="W91" i="9"/>
  <c r="AD92" i="9" s="1"/>
  <c r="V91" i="9"/>
  <c r="AC92" i="9" s="1"/>
  <c r="U91" i="9"/>
  <c r="AB92" i="9" s="1"/>
  <c r="T91" i="9"/>
  <c r="AA91" i="9" s="1"/>
  <c r="S91" i="9"/>
  <c r="X90" i="9"/>
  <c r="W90" i="9"/>
  <c r="V90" i="9"/>
  <c r="U90" i="9"/>
  <c r="T90" i="9"/>
  <c r="S90" i="9"/>
  <c r="Z91" i="9" s="1"/>
  <c r="X89" i="9"/>
  <c r="AE89" i="9" s="1"/>
  <c r="W89" i="9"/>
  <c r="AD89" i="9" s="1"/>
  <c r="V89" i="9"/>
  <c r="AC89" i="9" s="1"/>
  <c r="U89" i="9"/>
  <c r="T89" i="9"/>
  <c r="AA89" i="9" s="1"/>
  <c r="S89" i="9"/>
  <c r="AC88" i="9"/>
  <c r="AB88" i="9"/>
  <c r="X88" i="9"/>
  <c r="AE88" i="9" s="1"/>
  <c r="W88" i="9"/>
  <c r="V88" i="9"/>
  <c r="U88" i="9"/>
  <c r="AB89" i="9" s="1"/>
  <c r="T88" i="9"/>
  <c r="AA88" i="9" s="1"/>
  <c r="S88" i="9"/>
  <c r="Z89" i="9" s="1"/>
  <c r="X87" i="9"/>
  <c r="AE87" i="9" s="1"/>
  <c r="W87" i="9"/>
  <c r="AD88" i="9" s="1"/>
  <c r="V87" i="9"/>
  <c r="AC87" i="9" s="1"/>
  <c r="U87" i="9"/>
  <c r="T87" i="9"/>
  <c r="AA87" i="9" s="1"/>
  <c r="S87" i="9"/>
  <c r="AC86" i="9"/>
  <c r="AB86" i="9"/>
  <c r="X86" i="9"/>
  <c r="AE86" i="9" s="1"/>
  <c r="W86" i="9"/>
  <c r="V86" i="9"/>
  <c r="U86" i="9"/>
  <c r="AB87" i="9" s="1"/>
  <c r="T86" i="9"/>
  <c r="AA86" i="9" s="1"/>
  <c r="S86" i="9"/>
  <c r="Z87" i="9" s="1"/>
  <c r="X85" i="9"/>
  <c r="AE85" i="9" s="1"/>
  <c r="W85" i="9"/>
  <c r="AD86" i="9" s="1"/>
  <c r="V85" i="9"/>
  <c r="AC85" i="9" s="1"/>
  <c r="U85" i="9"/>
  <c r="T85" i="9"/>
  <c r="AA85" i="9" s="1"/>
  <c r="S85" i="9"/>
  <c r="AC84" i="9"/>
  <c r="AB84" i="9"/>
  <c r="X84" i="9"/>
  <c r="AE84" i="9" s="1"/>
  <c r="W84" i="9"/>
  <c r="V84" i="9"/>
  <c r="U84" i="9"/>
  <c r="AB85" i="9" s="1"/>
  <c r="T84" i="9"/>
  <c r="AA84" i="9" s="1"/>
  <c r="S84" i="9"/>
  <c r="Z85" i="9" s="1"/>
  <c r="AB83" i="9"/>
  <c r="Z83" i="9"/>
  <c r="X83" i="9"/>
  <c r="AE83" i="9" s="1"/>
  <c r="W83" i="9"/>
  <c r="AD84" i="9" s="1"/>
  <c r="V83" i="9"/>
  <c r="AC83" i="9" s="1"/>
  <c r="U83" i="9"/>
  <c r="T83" i="9"/>
  <c r="AA83" i="9" s="1"/>
  <c r="S83" i="9"/>
  <c r="Z82" i="9"/>
  <c r="X82" i="9"/>
  <c r="W82" i="9"/>
  <c r="V82" i="9"/>
  <c r="U82" i="9"/>
  <c r="T82" i="9"/>
  <c r="AA82" i="9" s="1"/>
  <c r="S82" i="9"/>
  <c r="Z81" i="9"/>
  <c r="X81" i="9"/>
  <c r="W81" i="9"/>
  <c r="V81" i="9"/>
  <c r="U81" i="9"/>
  <c r="T81" i="9"/>
  <c r="AA81" i="9" s="1"/>
  <c r="S81" i="9"/>
  <c r="Z80" i="9"/>
  <c r="X80" i="9"/>
  <c r="W80" i="9"/>
  <c r="V80" i="9"/>
  <c r="U80" i="9"/>
  <c r="T80" i="9"/>
  <c r="AA80" i="9" s="1"/>
  <c r="S80" i="9"/>
  <c r="Z79" i="9"/>
  <c r="X79" i="9"/>
  <c r="W79" i="9"/>
  <c r="V79" i="9"/>
  <c r="U79" i="9"/>
  <c r="T79" i="9"/>
  <c r="AA79" i="9" s="1"/>
  <c r="S79" i="9"/>
  <c r="Z78" i="9"/>
  <c r="X78" i="9"/>
  <c r="W78" i="9"/>
  <c r="V78" i="9"/>
  <c r="U78" i="9"/>
  <c r="T78" i="9"/>
  <c r="AA78" i="9" s="1"/>
  <c r="S78" i="9"/>
  <c r="Z77" i="9"/>
  <c r="X77" i="9"/>
  <c r="W77" i="9"/>
  <c r="V77" i="9"/>
  <c r="U77" i="9"/>
  <c r="T77" i="9"/>
  <c r="AA77" i="9" s="1"/>
  <c r="S77" i="9"/>
  <c r="Z76" i="9"/>
  <c r="X76" i="9"/>
  <c r="W76" i="9"/>
  <c r="V76" i="9"/>
  <c r="U76" i="9"/>
  <c r="T76" i="9"/>
  <c r="AA76" i="9" s="1"/>
  <c r="S76" i="9"/>
  <c r="Z75" i="9"/>
  <c r="X75" i="9"/>
  <c r="W75" i="9"/>
  <c r="V75" i="9"/>
  <c r="U75" i="9"/>
  <c r="T75" i="9"/>
  <c r="AA75" i="9" s="1"/>
  <c r="S75" i="9"/>
  <c r="Z74" i="9"/>
  <c r="X74" i="9"/>
  <c r="W74" i="9"/>
  <c r="V74" i="9"/>
  <c r="U74" i="9"/>
  <c r="T74" i="9"/>
  <c r="AA74" i="9" s="1"/>
  <c r="S74" i="9"/>
  <c r="Z73" i="9"/>
  <c r="X73" i="9"/>
  <c r="W73" i="9"/>
  <c r="V73" i="9"/>
  <c r="U73" i="9"/>
  <c r="T73" i="9"/>
  <c r="AA73" i="9" s="1"/>
  <c r="S73" i="9"/>
  <c r="Z72" i="9"/>
  <c r="X72" i="9"/>
  <c r="W72" i="9"/>
  <c r="V72" i="9"/>
  <c r="U72" i="9"/>
  <c r="T72" i="9"/>
  <c r="AA72" i="9" s="1"/>
  <c r="S72" i="9"/>
  <c r="Z71" i="9"/>
  <c r="X71" i="9"/>
  <c r="W71" i="9"/>
  <c r="V71" i="9"/>
  <c r="U71" i="9"/>
  <c r="T71" i="9"/>
  <c r="AA71" i="9" s="1"/>
  <c r="S71" i="9"/>
  <c r="Z70" i="9"/>
  <c r="X70" i="9"/>
  <c r="W70" i="9"/>
  <c r="V70" i="9"/>
  <c r="U70" i="9"/>
  <c r="T70" i="9"/>
  <c r="AA70" i="9" s="1"/>
  <c r="S70" i="9"/>
  <c r="Z69" i="9"/>
  <c r="X69" i="9"/>
  <c r="W69" i="9"/>
  <c r="V69" i="9"/>
  <c r="U69" i="9"/>
  <c r="T69" i="9"/>
  <c r="AA69" i="9" s="1"/>
  <c r="S69" i="9"/>
  <c r="Z68" i="9"/>
  <c r="X68" i="9"/>
  <c r="W68" i="9"/>
  <c r="V68" i="9"/>
  <c r="U68" i="9"/>
  <c r="T68" i="9"/>
  <c r="AA68" i="9" s="1"/>
  <c r="S68" i="9"/>
  <c r="Z67" i="9"/>
  <c r="X67" i="9"/>
  <c r="W67" i="9"/>
  <c r="V67" i="9"/>
  <c r="U67" i="9"/>
  <c r="T67" i="9"/>
  <c r="AA67" i="9" s="1"/>
  <c r="S67" i="9"/>
  <c r="Z66" i="9"/>
  <c r="X66" i="9"/>
  <c r="W66" i="9"/>
  <c r="V66" i="9"/>
  <c r="U66" i="9"/>
  <c r="T66" i="9"/>
  <c r="AA66" i="9" s="1"/>
  <c r="S66" i="9"/>
  <c r="Z65" i="9"/>
  <c r="X65" i="9"/>
  <c r="W65" i="9"/>
  <c r="V65" i="9"/>
  <c r="U65" i="9"/>
  <c r="T65" i="9"/>
  <c r="AA65" i="9" s="1"/>
  <c r="S65" i="9"/>
  <c r="Z64" i="9"/>
  <c r="X64" i="9"/>
  <c r="W64" i="9"/>
  <c r="V64" i="9"/>
  <c r="U64" i="9"/>
  <c r="T64" i="9"/>
  <c r="AA64" i="9" s="1"/>
  <c r="S64" i="9"/>
  <c r="Z63" i="9"/>
  <c r="X63" i="9"/>
  <c r="W63" i="9"/>
  <c r="V63" i="9"/>
  <c r="U63" i="9"/>
  <c r="T63" i="9"/>
  <c r="AA63" i="9" s="1"/>
  <c r="S63" i="9"/>
  <c r="Z62" i="9"/>
  <c r="X62" i="9"/>
  <c r="W62" i="9"/>
  <c r="V62" i="9"/>
  <c r="U62" i="9"/>
  <c r="T62" i="9"/>
  <c r="AA62" i="9" s="1"/>
  <c r="S62" i="9"/>
  <c r="Z61" i="9"/>
  <c r="X61" i="9"/>
  <c r="W61" i="9"/>
  <c r="V61" i="9"/>
  <c r="U61" i="9"/>
  <c r="T61" i="9"/>
  <c r="AA61" i="9" s="1"/>
  <c r="S61" i="9"/>
  <c r="Z60" i="9"/>
  <c r="X60" i="9"/>
  <c r="W60" i="9"/>
  <c r="V60" i="9"/>
  <c r="U60" i="9"/>
  <c r="T60" i="9"/>
  <c r="AA60" i="9" s="1"/>
  <c r="S60" i="9"/>
  <c r="Z59" i="9"/>
  <c r="X59" i="9"/>
  <c r="W59" i="9"/>
  <c r="V59" i="9"/>
  <c r="U59" i="9"/>
  <c r="T59" i="9"/>
  <c r="AA59" i="9" s="1"/>
  <c r="S59" i="9"/>
  <c r="Z58" i="9"/>
  <c r="X58" i="9"/>
  <c r="W58" i="9"/>
  <c r="V58" i="9"/>
  <c r="U58" i="9"/>
  <c r="T58" i="9"/>
  <c r="AA58" i="9" s="1"/>
  <c r="S58" i="9"/>
  <c r="Z57" i="9"/>
  <c r="X57" i="9"/>
  <c r="W57" i="9"/>
  <c r="V57" i="9"/>
  <c r="U57" i="9"/>
  <c r="T57" i="9"/>
  <c r="AA57" i="9" s="1"/>
  <c r="S57" i="9"/>
  <c r="Z56" i="9"/>
  <c r="X56" i="9"/>
  <c r="W56" i="9"/>
  <c r="V56" i="9"/>
  <c r="U56" i="9"/>
  <c r="T56" i="9"/>
  <c r="AA56" i="9" s="1"/>
  <c r="S56" i="9"/>
  <c r="X55" i="9"/>
  <c r="W55" i="9"/>
  <c r="V55" i="9"/>
  <c r="U55" i="9"/>
  <c r="T55" i="9"/>
  <c r="AA55" i="9" s="1"/>
  <c r="S55" i="9"/>
  <c r="X54" i="9"/>
  <c r="W54" i="9"/>
  <c r="V54" i="9"/>
  <c r="U54" i="9"/>
  <c r="T54" i="9"/>
  <c r="S54" i="9"/>
  <c r="X53" i="9"/>
  <c r="W53" i="9"/>
  <c r="V53" i="9"/>
  <c r="U53" i="9"/>
  <c r="T53" i="9"/>
  <c r="AA53" i="9" s="1"/>
  <c r="S53" i="9"/>
  <c r="X52" i="9"/>
  <c r="W52" i="9"/>
  <c r="V52" i="9"/>
  <c r="U52" i="9"/>
  <c r="T52" i="9"/>
  <c r="AA52" i="9" s="1"/>
  <c r="S52" i="9"/>
  <c r="X51" i="9"/>
  <c r="W51" i="9"/>
  <c r="V51" i="9"/>
  <c r="U51" i="9"/>
  <c r="T51" i="9"/>
  <c r="AA51" i="9" s="1"/>
  <c r="S51" i="9"/>
  <c r="AA50" i="9"/>
  <c r="X50" i="9"/>
  <c r="W50" i="9"/>
  <c r="V50" i="9"/>
  <c r="U50" i="9"/>
  <c r="T50" i="9"/>
  <c r="S50" i="9"/>
  <c r="AA49" i="9"/>
  <c r="X49" i="9"/>
  <c r="W49" i="9"/>
  <c r="V49" i="9"/>
  <c r="U49" i="9"/>
  <c r="T49" i="9"/>
  <c r="S49" i="9"/>
  <c r="AA48" i="9"/>
  <c r="X48" i="9"/>
  <c r="W48" i="9"/>
  <c r="V48" i="9"/>
  <c r="U48" i="9"/>
  <c r="T48" i="9"/>
  <c r="S48" i="9"/>
  <c r="X47" i="9"/>
  <c r="W47" i="9"/>
  <c r="V47" i="9"/>
  <c r="U47" i="9"/>
  <c r="T47" i="9"/>
  <c r="AA47" i="9" s="1"/>
  <c r="S47" i="9"/>
  <c r="X46" i="9"/>
  <c r="W46" i="9"/>
  <c r="V46" i="9"/>
  <c r="U46" i="9"/>
  <c r="T46" i="9"/>
  <c r="S46" i="9"/>
  <c r="X45" i="9"/>
  <c r="W45" i="9"/>
  <c r="V45" i="9"/>
  <c r="U45" i="9"/>
  <c r="T45" i="9"/>
  <c r="AA45" i="9" s="1"/>
  <c r="S45" i="9"/>
  <c r="X44" i="9"/>
  <c r="W44" i="9"/>
  <c r="V44" i="9"/>
  <c r="U44" i="9"/>
  <c r="T44" i="9"/>
  <c r="AA44" i="9" s="1"/>
  <c r="S44" i="9"/>
  <c r="X43" i="9"/>
  <c r="W43" i="9"/>
  <c r="V43" i="9"/>
  <c r="U43" i="9"/>
  <c r="T43" i="9"/>
  <c r="AA43" i="9" s="1"/>
  <c r="S43" i="9"/>
  <c r="AA42" i="9"/>
  <c r="X42" i="9"/>
  <c r="W42" i="9"/>
  <c r="V42" i="9"/>
  <c r="U42" i="9"/>
  <c r="T42" i="9"/>
  <c r="S42" i="9"/>
  <c r="AA41" i="9"/>
  <c r="X41" i="9"/>
  <c r="W41" i="9"/>
  <c r="V41" i="9"/>
  <c r="U41" i="9"/>
  <c r="T41" i="9"/>
  <c r="S41" i="9"/>
  <c r="AA40" i="9"/>
  <c r="X40" i="9"/>
  <c r="W40" i="9"/>
  <c r="V40" i="9"/>
  <c r="U40" i="9"/>
  <c r="T40" i="9"/>
  <c r="S40" i="9"/>
  <c r="X39" i="9"/>
  <c r="W39" i="9"/>
  <c r="V39" i="9"/>
  <c r="U39" i="9"/>
  <c r="T39" i="9"/>
  <c r="AA39" i="9" s="1"/>
  <c r="S39" i="9"/>
  <c r="X38" i="9"/>
  <c r="W38" i="9"/>
  <c r="V38" i="9"/>
  <c r="U38" i="9"/>
  <c r="T38" i="9"/>
  <c r="S38" i="9"/>
  <c r="X37" i="9"/>
  <c r="W37" i="9"/>
  <c r="V37" i="9"/>
  <c r="U37" i="9"/>
  <c r="T37" i="9"/>
  <c r="AA37" i="9" s="1"/>
  <c r="S37" i="9"/>
  <c r="X36" i="9"/>
  <c r="W36" i="9"/>
  <c r="V36" i="9"/>
  <c r="U36" i="9"/>
  <c r="T36" i="9"/>
  <c r="AA36" i="9" s="1"/>
  <c r="S36" i="9"/>
  <c r="X35" i="9"/>
  <c r="W35" i="9"/>
  <c r="V35" i="9"/>
  <c r="U35" i="9"/>
  <c r="T35" i="9"/>
  <c r="AA35" i="9" s="1"/>
  <c r="S35" i="9"/>
  <c r="AA34" i="9"/>
  <c r="X34" i="9"/>
  <c r="W34" i="9"/>
  <c r="V34" i="9"/>
  <c r="U34" i="9"/>
  <c r="T34" i="9"/>
  <c r="S34" i="9"/>
  <c r="AA33" i="9"/>
  <c r="X33" i="9"/>
  <c r="W33" i="9"/>
  <c r="V33" i="9"/>
  <c r="U33" i="9"/>
  <c r="T33" i="9"/>
  <c r="S33" i="9"/>
  <c r="AA32" i="9"/>
  <c r="X32" i="9"/>
  <c r="W32" i="9"/>
  <c r="V32" i="9"/>
  <c r="U32" i="9"/>
  <c r="T32" i="9"/>
  <c r="S32" i="9"/>
  <c r="X31" i="9"/>
  <c r="W31" i="9"/>
  <c r="V31" i="9"/>
  <c r="U31" i="9"/>
  <c r="T31" i="9"/>
  <c r="AA31" i="9" s="1"/>
  <c r="S31" i="9"/>
  <c r="X30" i="9"/>
  <c r="W30" i="9"/>
  <c r="V30" i="9"/>
  <c r="U30" i="9"/>
  <c r="T30" i="9"/>
  <c r="S30" i="9"/>
  <c r="X29" i="9"/>
  <c r="W29" i="9"/>
  <c r="V29" i="9"/>
  <c r="U29" i="9"/>
  <c r="T29" i="9"/>
  <c r="AA29" i="9" s="1"/>
  <c r="S29" i="9"/>
  <c r="X28" i="9"/>
  <c r="W28" i="9"/>
  <c r="V28" i="9"/>
  <c r="U28" i="9"/>
  <c r="T28" i="9"/>
  <c r="AA28" i="9" s="1"/>
  <c r="S28" i="9"/>
  <c r="X27" i="9"/>
  <c r="W27" i="9"/>
  <c r="V27" i="9"/>
  <c r="U27" i="9"/>
  <c r="T27" i="9"/>
  <c r="AA27" i="9" s="1"/>
  <c r="S27" i="9"/>
  <c r="AA26" i="9"/>
  <c r="X26" i="9"/>
  <c r="W26" i="9"/>
  <c r="V26" i="9"/>
  <c r="U26" i="9"/>
  <c r="T26" i="9"/>
  <c r="S26" i="9"/>
  <c r="AA25" i="9"/>
  <c r="X25" i="9"/>
  <c r="W25" i="9"/>
  <c r="V25" i="9"/>
  <c r="U25" i="9"/>
  <c r="T25" i="9"/>
  <c r="S25" i="9"/>
  <c r="AA24" i="9"/>
  <c r="X24" i="9"/>
  <c r="W24" i="9"/>
  <c r="V24" i="9"/>
  <c r="U24" i="9"/>
  <c r="T24" i="9"/>
  <c r="S24" i="9"/>
  <c r="X23" i="9"/>
  <c r="W23" i="9"/>
  <c r="V23" i="9"/>
  <c r="U23" i="9"/>
  <c r="T23" i="9"/>
  <c r="AA23" i="9" s="1"/>
  <c r="S23" i="9"/>
  <c r="X22" i="9"/>
  <c r="W22" i="9"/>
  <c r="V22" i="9"/>
  <c r="U22" i="9"/>
  <c r="T22" i="9"/>
  <c r="S22" i="9"/>
  <c r="X21" i="9"/>
  <c r="W21" i="9"/>
  <c r="V21" i="9"/>
  <c r="U21" i="9"/>
  <c r="T21" i="9"/>
  <c r="AA21" i="9" s="1"/>
  <c r="S21" i="9"/>
  <c r="X20" i="9"/>
  <c r="W20" i="9"/>
  <c r="V20" i="9"/>
  <c r="U20" i="9"/>
  <c r="T20" i="9"/>
  <c r="AA20" i="9" s="1"/>
  <c r="S20" i="9"/>
  <c r="X19" i="9"/>
  <c r="W19" i="9"/>
  <c r="V19" i="9"/>
  <c r="U19" i="9"/>
  <c r="T19" i="9"/>
  <c r="AA19" i="9" s="1"/>
  <c r="S19" i="9"/>
  <c r="AA18" i="9"/>
  <c r="X18" i="9"/>
  <c r="W18" i="9"/>
  <c r="V18" i="9"/>
  <c r="U18" i="9"/>
  <c r="T18" i="9"/>
  <c r="S18" i="9"/>
  <c r="AA17" i="9"/>
  <c r="X17" i="9"/>
  <c r="W17" i="9"/>
  <c r="V17" i="9"/>
  <c r="U17" i="9"/>
  <c r="T17" i="9"/>
  <c r="S17" i="9"/>
  <c r="AA16" i="9"/>
  <c r="X16" i="9"/>
  <c r="W16" i="9"/>
  <c r="V16" i="9"/>
  <c r="U16" i="9"/>
  <c r="T16" i="9"/>
  <c r="S16" i="9"/>
  <c r="X15" i="9"/>
  <c r="W15" i="9"/>
  <c r="V15" i="9"/>
  <c r="U15" i="9"/>
  <c r="T15" i="9"/>
  <c r="AA15" i="9" s="1"/>
  <c r="S15" i="9"/>
  <c r="X14" i="9"/>
  <c r="W14" i="9"/>
  <c r="V14" i="9"/>
  <c r="U14" i="9"/>
  <c r="T14" i="9"/>
  <c r="S14" i="9"/>
  <c r="X13" i="9"/>
  <c r="W13" i="9"/>
  <c r="V13" i="9"/>
  <c r="U13" i="9"/>
  <c r="T13" i="9"/>
  <c r="AA13" i="9" s="1"/>
  <c r="S13" i="9"/>
  <c r="X12" i="9"/>
  <c r="W12" i="9"/>
  <c r="V12" i="9"/>
  <c r="U12" i="9"/>
  <c r="T12" i="9"/>
  <c r="AA12" i="9" s="1"/>
  <c r="S12" i="9"/>
  <c r="X11" i="9"/>
  <c r="W11" i="9"/>
  <c r="V11" i="9"/>
  <c r="U11" i="9"/>
  <c r="T11" i="9"/>
  <c r="AA11" i="9" s="1"/>
  <c r="S11" i="9"/>
  <c r="AA10" i="9"/>
  <c r="X10" i="9"/>
  <c r="W10" i="9"/>
  <c r="V10" i="9"/>
  <c r="U10" i="9"/>
  <c r="T10" i="9"/>
  <c r="S10" i="9"/>
  <c r="AA9" i="9"/>
  <c r="X9" i="9"/>
  <c r="W9" i="9"/>
  <c r="V9" i="9"/>
  <c r="U9" i="9"/>
  <c r="T9" i="9"/>
  <c r="S9" i="9"/>
  <c r="AA8" i="9"/>
  <c r="X8" i="9"/>
  <c r="W8" i="9"/>
  <c r="V8" i="9"/>
  <c r="U8" i="9"/>
  <c r="T8" i="9"/>
  <c r="S8" i="9"/>
  <c r="X7" i="9"/>
  <c r="W7" i="9"/>
  <c r="V7" i="9"/>
  <c r="U7" i="9"/>
  <c r="T7" i="9"/>
  <c r="AA7" i="9" s="1"/>
  <c r="S7" i="9"/>
  <c r="X6" i="9"/>
  <c r="W6" i="9"/>
  <c r="V6" i="9"/>
  <c r="U6" i="9"/>
  <c r="T6" i="9"/>
  <c r="AA6" i="9" s="1"/>
  <c r="S6" i="9"/>
  <c r="X5" i="9"/>
  <c r="W5" i="9"/>
  <c r="V5" i="9"/>
  <c r="U5" i="9"/>
  <c r="T5" i="9"/>
  <c r="S5" i="9"/>
  <c r="V89" i="8"/>
  <c r="U89" i="8"/>
  <c r="V88" i="8"/>
  <c r="U88" i="8"/>
  <c r="V87" i="8"/>
  <c r="U87" i="8"/>
  <c r="V86" i="8"/>
  <c r="U86" i="8"/>
  <c r="V85" i="8"/>
  <c r="U85" i="8"/>
  <c r="V84" i="8"/>
  <c r="U84" i="8"/>
  <c r="V83" i="8"/>
  <c r="U83" i="8"/>
  <c r="V82" i="8"/>
  <c r="U82" i="8"/>
  <c r="V81" i="8"/>
  <c r="U81" i="8"/>
  <c r="V80" i="8"/>
  <c r="U80" i="8"/>
  <c r="V79" i="8"/>
  <c r="U79" i="8"/>
  <c r="V78" i="8"/>
  <c r="U78" i="8"/>
  <c r="V77" i="8"/>
  <c r="U77" i="8"/>
  <c r="V76" i="8"/>
  <c r="U76" i="8"/>
  <c r="V75" i="8"/>
  <c r="U75" i="8"/>
  <c r="V74" i="8"/>
  <c r="U74" i="8"/>
  <c r="V73" i="8"/>
  <c r="U73" i="8"/>
  <c r="V72" i="8"/>
  <c r="U72" i="8"/>
  <c r="V71" i="8"/>
  <c r="U71" i="8"/>
  <c r="V70" i="8"/>
  <c r="U70" i="8"/>
  <c r="V69" i="8"/>
  <c r="U69" i="8"/>
  <c r="V68" i="8"/>
  <c r="U68" i="8"/>
  <c r="V67" i="8"/>
  <c r="U67" i="8"/>
  <c r="V66" i="8"/>
  <c r="U66" i="8"/>
  <c r="V65" i="8"/>
  <c r="U65" i="8"/>
  <c r="V64" i="8"/>
  <c r="U64" i="8"/>
  <c r="V63" i="8"/>
  <c r="U63" i="8"/>
  <c r="V62" i="8"/>
  <c r="U62" i="8"/>
  <c r="V61" i="8"/>
  <c r="U61" i="8"/>
  <c r="V60" i="8"/>
  <c r="U60" i="8"/>
  <c r="V59" i="8"/>
  <c r="U59" i="8"/>
  <c r="V58" i="8"/>
  <c r="U58" i="8"/>
  <c r="V57" i="8"/>
  <c r="U57" i="8"/>
  <c r="V56" i="8"/>
  <c r="U56" i="8"/>
  <c r="V55" i="8"/>
  <c r="U55" i="8"/>
  <c r="V54" i="8"/>
  <c r="U54" i="8"/>
  <c r="V53" i="8"/>
  <c r="U53" i="8"/>
  <c r="V52" i="8"/>
  <c r="U52" i="8"/>
  <c r="V51" i="8"/>
  <c r="U51" i="8"/>
  <c r="V50" i="8"/>
  <c r="U50" i="8"/>
  <c r="V49" i="8"/>
  <c r="U49" i="8"/>
  <c r="V48" i="8"/>
  <c r="U48" i="8"/>
  <c r="V47" i="8"/>
  <c r="U47" i="8"/>
  <c r="V46" i="8"/>
  <c r="U46" i="8"/>
  <c r="V45" i="8"/>
  <c r="U45" i="8"/>
  <c r="V44" i="8"/>
  <c r="U44" i="8"/>
  <c r="V43" i="8"/>
  <c r="U43" i="8"/>
  <c r="V42" i="8"/>
  <c r="U42" i="8"/>
  <c r="V41" i="8"/>
  <c r="U41" i="8"/>
  <c r="AA14" i="9" l="1"/>
  <c r="AA22" i="9"/>
  <c r="AA30" i="9"/>
  <c r="AA38" i="9"/>
  <c r="AA46" i="9"/>
  <c r="AA54" i="9"/>
  <c r="AD83" i="9"/>
  <c r="Z84" i="9"/>
  <c r="AD85" i="9"/>
  <c r="Z86" i="9"/>
  <c r="AD87" i="9"/>
  <c r="Z88" i="9"/>
  <c r="AB91" i="9"/>
  <c r="AB93" i="9"/>
  <c r="AB95" i="9"/>
  <c r="AB97" i="9"/>
  <c r="AB99" i="9"/>
  <c r="AB101" i="9"/>
  <c r="AB103" i="9"/>
  <c r="AB105" i="9"/>
  <c r="AB107" i="9"/>
  <c r="AC91" i="9"/>
  <c r="AC9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Goodwin</author>
  </authors>
  <commentList>
    <comment ref="A318" authorId="0" shapeId="0" xr:uid="{F4CF68B9-78B1-4FF0-952B-3AC7B16D1BC6}">
      <text>
        <r>
          <rPr>
            <b/>
            <sz val="9"/>
            <color indexed="81"/>
            <rFont val="Tahoma"/>
            <family val="2"/>
          </rPr>
          <t>Andrew Goodwin:</t>
        </r>
        <r>
          <rPr>
            <sz val="9"/>
            <color indexed="81"/>
            <rFont val="Tahoma"/>
            <family val="2"/>
          </rPr>
          <t xml:space="preserve">
AS on 22/11
10 days to 10/10 = 6 weeks before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<sst xmlns="http://schemas.openxmlformats.org/spreadsheetml/2006/main" count="2927" uniqueCount="1109">
  <si>
    <t>Back to contents</t>
  </si>
  <si>
    <t>Table 4.7: Departmental resource spending: changes since March 2023</t>
  </si>
  <si>
    <t>£ billion</t>
  </si>
  <si>
    <t>Outturn</t>
  </si>
  <si>
    <t>Forecast</t>
  </si>
  <si>
    <t>2022-23</t>
  </si>
  <si>
    <t>2023-24</t>
  </si>
  <si>
    <t>2024-25</t>
  </si>
  <si>
    <t>2025-26</t>
  </si>
  <si>
    <t>2026-27</t>
  </si>
  <si>
    <t>2027-28</t>
  </si>
  <si>
    <t>2028-29</t>
  </si>
  <si>
    <t>March 2023 forecast</t>
  </si>
  <si>
    <t>Limits</t>
  </si>
  <si>
    <t>Assumed underspend</t>
  </si>
  <si>
    <t>Actual spending</t>
  </si>
  <si>
    <t>November 2023 forecast (excluding SCAPE)</t>
  </si>
  <si>
    <t>Difference</t>
  </si>
  <si>
    <t>of which:</t>
  </si>
  <si>
    <t>Pay measures</t>
  </si>
  <si>
    <t>Labour supply measures</t>
  </si>
  <si>
    <t>Business rates measures</t>
  </si>
  <si>
    <t>Post-Spending Review update</t>
  </si>
  <si>
    <t xml:space="preserve">Change due to underspend </t>
  </si>
  <si>
    <t>Rail subsidies reclassification</t>
  </si>
  <si>
    <t>Other</t>
  </si>
  <si>
    <t>Memo: DEL funding for SCAPE rate change</t>
  </si>
  <si>
    <t>November 2023 forecast inc SCAPE</t>
  </si>
  <si>
    <t>Table 4.8: Departmental capital spending: changes since March 2023</t>
  </si>
  <si>
    <t>November 2023 forecast</t>
  </si>
  <si>
    <t xml:space="preserve">Difference </t>
  </si>
  <si>
    <t>Policies</t>
  </si>
  <si>
    <t>Table 4.7: Departmental resource spending: changes since November</t>
  </si>
  <si>
    <t>2021-22</t>
  </si>
  <si>
    <t>November 2022 forecast</t>
  </si>
  <si>
    <t>Childcare</t>
  </si>
  <si>
    <t>Defence</t>
  </si>
  <si>
    <t>Table 4.8: Departmental capital spending: changes since November</t>
  </si>
  <si>
    <t>Table 4: Spending (excluding enviormental levies): changes since March</t>
  </si>
  <si>
    <t>March 2022 forecast</t>
  </si>
  <si>
    <t>By policy and forecast differences</t>
  </si>
  <si>
    <t>Direct impact of measures</t>
  </si>
  <si>
    <t>Indirect impact of spending measures</t>
  </si>
  <si>
    <t>Indirect impact of debt interest</t>
  </si>
  <si>
    <t>Underlying forecast differences</t>
  </si>
  <si>
    <t>By spending category</t>
  </si>
  <si>
    <t>RDEL spending</t>
  </si>
  <si>
    <t>CDEL spending</t>
  </si>
  <si>
    <t>Debt interest</t>
  </si>
  <si>
    <t>Welfare spending</t>
  </si>
  <si>
    <t>Local authorities (self-financed)</t>
  </si>
  <si>
    <t>Other spending</t>
  </si>
  <si>
    <t>Energy support measures</t>
  </si>
  <si>
    <t>Note: This table excludes environmental levies, which are neutral for PSNB because they are treated in the statistics as a tax that finances an equal amount of public spending.</t>
  </si>
  <si>
    <t>Table A.7: Total managed expenditure</t>
  </si>
  <si>
    <t>Public sector current expenditure (PSCE)</t>
  </si>
  <si>
    <t>PSCE in RDEL</t>
  </si>
  <si>
    <t>PSCE in AME</t>
  </si>
  <si>
    <t>Locally financed current expenditure</t>
  </si>
  <si>
    <r>
      <t>Central government debt interest, 
net of APF</t>
    </r>
    <r>
      <rPr>
        <vertAlign val="superscript"/>
        <sz val="10"/>
        <color theme="1"/>
        <rFont val="Calibri"/>
        <family val="2"/>
      </rPr>
      <t>1</t>
    </r>
  </si>
  <si>
    <t>Scottish Government's current spending</t>
  </si>
  <si>
    <t>EU financial settlement</t>
  </si>
  <si>
    <t>Unfunded public service pensions</t>
  </si>
  <si>
    <t>Company and other tax credits</t>
  </si>
  <si>
    <t>BBC current expenditure</t>
  </si>
  <si>
    <t>National Lottery current grants</t>
  </si>
  <si>
    <t>General government imputed pensions</t>
  </si>
  <si>
    <t>Public corporations' debt interest</t>
  </si>
  <si>
    <t>Non-domestic energy support</t>
  </si>
  <si>
    <t>Domestic energy support</t>
  </si>
  <si>
    <t>Funded public sector pension schemes</t>
  </si>
  <si>
    <t>General government depreciation</t>
  </si>
  <si>
    <t>Current VAT refunds</t>
  </si>
  <si>
    <t>Environmental levies</t>
  </si>
  <si>
    <t>Other PSCE items in AME</t>
  </si>
  <si>
    <t>Other National Accounts adjustments</t>
  </si>
  <si>
    <t>Total public sector current expenditure</t>
  </si>
  <si>
    <t>Public sector gross investment (PSGI)</t>
  </si>
  <si>
    <t>PSGI in CDEL</t>
  </si>
  <si>
    <t>PSGI in AME</t>
  </si>
  <si>
    <t>Locally financed capital expenditure</t>
  </si>
  <si>
    <t xml:space="preserve">Public corporations' capital expenditure </t>
  </si>
  <si>
    <t>Student loans</t>
  </si>
  <si>
    <t>Scottish Government's capital spending</t>
  </si>
  <si>
    <t>Tax litigation</t>
  </si>
  <si>
    <t>Other PSGI items in AME</t>
  </si>
  <si>
    <t xml:space="preserve">Other National Accounts adjustments </t>
  </si>
  <si>
    <t>Total public sector gross investment</t>
  </si>
  <si>
    <t>Less public sector depreciation</t>
  </si>
  <si>
    <t>Public sector net investment</t>
  </si>
  <si>
    <t>Total managed expenditure</t>
  </si>
  <si>
    <r>
      <rPr>
        <vertAlign val="superscript"/>
        <sz val="8"/>
        <rFont val="Calibri"/>
        <family val="2"/>
      </rPr>
      <t>1</t>
    </r>
    <r>
      <rPr>
        <sz val="8"/>
        <rFont val="Calibri"/>
        <family val="2"/>
      </rPr>
      <t xml:space="preserve"> Includes increases in debt interest payments due to the APF.</t>
    </r>
  </si>
  <si>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</si>
  <si>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</si>
  <si>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</si>
  <si>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</si>
  <si>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</si>
  <si>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</si>
  <si>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</si>
  <si>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</si>
  <si>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</si>
  <si>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</si>
  <si>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</si>
  <si>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</si>
  <si>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</si>
  <si>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</si>
  <si>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</si>
  <si>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</si>
  <si>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</si>
  <si>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</si>
  <si>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</si>
  <si>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</si>
  <si>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</si>
  <si>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</si>
  <si>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</si>
  <si>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</si>
  <si>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</si>
  <si>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</si>
  <si>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</si>
  <si>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</si>
  <si>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</si>
  <si>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</si>
  <si>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</si>
  <si>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</si>
  <si>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</si>
  <si>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</si>
  <si>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</si>
  <si>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</si>
  <si>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</si>
  <si>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</si>
  <si>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</si>
  <si>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</si>
  <si>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</si>
  <si>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</si>
  <si>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</si>
  <si>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</si>
  <si>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</si>
  <si>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</si>
  <si>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</si>
  <si>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</si>
  <si>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</si>
  <si>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</si>
  <si>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</si>
  <si>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</si>
  <si>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</si>
  <si>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</si>
  <si>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</si>
  <si>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</si>
  <si>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</si>
  <si>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</si>
  <si>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</si>
  <si>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</si>
  <si>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</si>
  <si>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</si>
  <si>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</si>
  <si>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</si>
  <si>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</si>
  <si>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</si>
  <si>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</si>
  <si>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</si>
  <si>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</si>
  <si>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</si>
  <si>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</si>
  <si>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</si>
  <si>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</si>
  <si>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</si>
  <si>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</si>
  <si>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</si>
  <si>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</si>
  <si>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</si>
  <si>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</si>
  <si>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</si>
  <si>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</si>
  <si>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</si>
  <si>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</si>
  <si>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</si>
  <si>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</si>
  <si>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</si>
  <si>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</si>
  <si>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</si>
  <si>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</si>
  <si>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</si>
  <si>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</si>
  <si>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</si>
  <si>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</si>
  <si>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</si>
  <si>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</si>
  <si>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</si>
  <si>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</si>
  <si>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</si>
  <si>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</si>
  <si>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</si>
  <si>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</si>
  <si>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</si>
  <si>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</si>
  <si>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</si>
  <si>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2008-09</t>
  </si>
  <si>
    <t>2009-10</t>
  </si>
  <si>
    <t>2010-11</t>
  </si>
  <si>
    <t>2011-12</t>
  </si>
  <si>
    <t>2012-13</t>
  </si>
  <si>
    <t>2013-14</t>
  </si>
  <si>
    <t>2014-15</t>
  </si>
  <si>
    <t>2015-16</t>
  </si>
  <si>
    <t>2016-17</t>
  </si>
  <si>
    <t>2017-18</t>
  </si>
  <si>
    <t>2018-19</t>
  </si>
  <si>
    <t>2019-20</t>
  </si>
  <si>
    <t>2020-21</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</si>
  <si>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</si>
  <si>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</si>
  <si>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</si>
  <si>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</si>
  <si>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</si>
  <si>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</si>
  <si>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</si>
  <si>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</si>
  <si>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</si>
  <si>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</si>
  <si>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</si>
  <si>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</si>
  <si>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</si>
  <si>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</si>
  <si>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</si>
  <si>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</si>
  <si>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</si>
  <si>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1.2 GDP expenditure components (£ billion current prices, seasonally adjusted)</t>
  </si>
  <si>
    <t>Deflators</t>
  </si>
  <si>
    <t>GDP at market prices</t>
  </si>
  <si>
    <t>Gross national income</t>
  </si>
  <si>
    <t>C</t>
  </si>
  <si>
    <t>GC</t>
  </si>
  <si>
    <t>IF</t>
  </si>
  <si>
    <t>X</t>
  </si>
  <si>
    <t>M</t>
  </si>
  <si>
    <t>GDP</t>
  </si>
  <si>
    <t>Household and non-profit institutions serving households final consumption expenditure (ONS Economic Accounts Table 1.1.2, identifier: ABJQ + HAYE)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</si>
  <si>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</si>
  <si>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</si>
  <si>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</si>
  <si>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</si>
  <si>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Change in inventories (ONS Economic Accounts Table 1.1.2, identifier: CAEX)</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</si>
  <si>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</si>
  <si>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</si>
  <si>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</si>
  <si>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</si>
  <si>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</si>
  <si>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</si>
  <si>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2023-23</t>
  </si>
  <si>
    <r>
      <t>Central government debt interest, 
net of APF</t>
    </r>
    <r>
      <rPr>
        <vertAlign val="superscript"/>
        <sz val="10"/>
        <color indexed="8"/>
        <rFont val="Calibri"/>
        <family val="2"/>
      </rPr>
      <t>1</t>
    </r>
  </si>
  <si>
    <t xml:space="preserve">Net public service pension payments </t>
  </si>
  <si>
    <r>
      <t>1</t>
    </r>
    <r>
      <rPr>
        <sz val="8"/>
        <rFont val="Calibri"/>
        <family val="2"/>
      </rPr>
      <t xml:space="preserve"> Includes increases in debt interest payments due to the APF.</t>
    </r>
  </si>
  <si>
    <t>Table A.8: Total managed expenditure</t>
  </si>
  <si>
    <r>
      <t>Net public service pension payments</t>
    </r>
    <r>
      <rPr>
        <vertAlign val="superscript"/>
        <sz val="10"/>
        <color theme="1"/>
        <rFont val="Calibri"/>
        <family val="2"/>
      </rPr>
      <t xml:space="preserve"> </t>
    </r>
  </si>
  <si>
    <r>
      <t>Other National Accounts adjustments</t>
    </r>
    <r>
      <rPr>
        <vertAlign val="superscript"/>
        <sz val="10"/>
        <color theme="1"/>
        <rFont val="Calibri"/>
        <family val="2"/>
      </rPr>
      <t xml:space="preserve"> </t>
    </r>
  </si>
  <si>
    <r>
      <t>Less</t>
    </r>
    <r>
      <rPr>
        <sz val="10"/>
        <color theme="1"/>
        <rFont val="Calibri"/>
        <family val="2"/>
      </rPr>
      <t xml:space="preserve"> public sector depreciation</t>
    </r>
  </si>
  <si>
    <t>Table 3.16: Total managed expenditure</t>
  </si>
  <si>
    <r>
      <t>Virus-related income support schemes</t>
    </r>
    <r>
      <rPr>
        <vertAlign val="superscript"/>
        <sz val="10"/>
        <color indexed="8"/>
        <rFont val="Calibri"/>
        <family val="2"/>
      </rPr>
      <t>1</t>
    </r>
  </si>
  <si>
    <r>
      <t>Central government debt interest, net of APF</t>
    </r>
    <r>
      <rPr>
        <vertAlign val="superscript"/>
        <sz val="10"/>
        <color indexed="8"/>
        <rFont val="Calibri"/>
        <family val="2"/>
      </rPr>
      <t>2</t>
    </r>
  </si>
  <si>
    <t>Calls on virus-related loan schemes</t>
  </si>
  <si>
    <r>
      <rPr>
        <i/>
        <sz val="10"/>
        <color theme="1"/>
        <rFont val="Calibri"/>
        <family val="2"/>
      </rPr>
      <t xml:space="preserve">Less </t>
    </r>
    <r>
      <rPr>
        <sz val="10"/>
        <color theme="1"/>
        <rFont val="Calibri"/>
        <family val="2"/>
      </rPr>
      <t>public sector depreciation</t>
    </r>
  </si>
  <si>
    <r>
      <t>1</t>
    </r>
    <r>
      <rPr>
        <sz val="8"/>
        <rFont val="Calibri"/>
        <family val="2"/>
      </rPr>
      <t xml:space="preserve"> Includes the coronavirus job retention scheme and the self-employment income support scheme.</t>
    </r>
  </si>
  <si>
    <r>
      <t>2</t>
    </r>
    <r>
      <rPr>
        <sz val="8"/>
        <rFont val="Calibri"/>
        <family val="2"/>
      </rPr>
      <t xml:space="preserve"> Includes reductions in debt interest payments due to the APF.</t>
    </r>
  </si>
  <si>
    <t>Private consu-mption</t>
  </si>
  <si>
    <t>Government consum-ption</t>
  </si>
  <si>
    <t>Fixed invest-ment</t>
  </si>
  <si>
    <t>Net acqu-isition of valuables</t>
  </si>
  <si>
    <t>Total final expend-iture</t>
  </si>
  <si>
    <t>Statistical discrep-ancy</t>
  </si>
  <si>
    <t>Private consum-ption</t>
  </si>
  <si>
    <t>Net acquisiti-on of valuables</t>
  </si>
  <si>
    <t>Change in invento-ries</t>
  </si>
  <si>
    <t>SS22</t>
  </si>
  <si>
    <t>AS22</t>
  </si>
  <si>
    <t>Budget23</t>
  </si>
  <si>
    <t>AS23</t>
  </si>
  <si>
    <t>PSGI in RDEL</t>
  </si>
  <si>
    <t>GDP deflator (raw)</t>
  </si>
  <si>
    <t>GDP deflator (2023-2024 = 100)</t>
  </si>
  <si>
    <t>Real government spending across fiscal events</t>
  </si>
  <si>
    <t>Real PSGI in RDEL (2023-2024 prices)</t>
  </si>
  <si>
    <t>Real PSCE in RDEL (2023-2024 prices)</t>
  </si>
  <si>
    <t>Real PSCE in RDEL (2024-2025=100)</t>
  </si>
  <si>
    <t>Real PSGI in RDEL (2024-2025=100)</t>
  </si>
  <si>
    <t>100 LINE</t>
  </si>
  <si>
    <t>Table 3.A: Latest costings of personal tax threshold measures</t>
  </si>
  <si>
    <t>Announcement</t>
  </si>
  <si>
    <t>Income tax policies</t>
  </si>
  <si>
    <t>PA and HRT freeze</t>
  </si>
  <si>
    <t>March 2021</t>
  </si>
  <si>
    <t>PA and HRT freeze extension</t>
  </si>
  <si>
    <t>November 2022</t>
  </si>
  <si>
    <t xml:space="preserve">Lowering the additional rate </t>
  </si>
  <si>
    <t>NICs policies</t>
  </si>
  <si>
    <t xml:space="preserve">NICs rise in the primary threshold </t>
  </si>
  <si>
    <t>March 2022</t>
  </si>
  <si>
    <t>Class 2 NICs</t>
  </si>
  <si>
    <t>NICs threshold freezes (employer)</t>
  </si>
  <si>
    <t>NICs threshold freezes (employee)</t>
  </si>
  <si>
    <t>Total</t>
  </si>
  <si>
    <t>Income tax threshold freezes</t>
  </si>
  <si>
    <t>NICs threshold freezes</t>
  </si>
  <si>
    <t>Total impact</t>
  </si>
  <si>
    <t>Table 3.2: Costing of reductions in the rates of employee and self-employed NICs</t>
  </si>
  <si>
    <t>Static costing</t>
  </si>
  <si>
    <t>Direct behavioural response:</t>
  </si>
  <si>
    <t>Reduced incentive to incorporate</t>
  </si>
  <si>
    <t>Post-direct-behavioural costing</t>
  </si>
  <si>
    <t>Indirect behavioural response:</t>
  </si>
  <si>
    <t>Increase in employment and hours worked</t>
  </si>
  <si>
    <t>Post-indirect-behavioural costing</t>
  </si>
  <si>
    <t>Impact on tax revenues of income tax &amp; NICs decisions</t>
  </si>
  <si>
    <t>Table 4.13: Public sector net borrowing: changes since March 2023</t>
  </si>
  <si>
    <t>Underlying differences</t>
  </si>
  <si>
    <t>Receipts</t>
  </si>
  <si>
    <t>Income tax</t>
  </si>
  <si>
    <t>VAT</t>
  </si>
  <si>
    <t>Onshore corporation tax</t>
  </si>
  <si>
    <t xml:space="preserve">National insurance contributions </t>
  </si>
  <si>
    <t>Other receipts</t>
  </si>
  <si>
    <t>Spending</t>
  </si>
  <si>
    <t>Debt interest spending</t>
  </si>
  <si>
    <t xml:space="preserve">Other spending </t>
  </si>
  <si>
    <t>Direct effect of policy decisions</t>
  </si>
  <si>
    <t>National insurance contributions cut</t>
  </si>
  <si>
    <t>Capital allowances: full expensing</t>
  </si>
  <si>
    <t xml:space="preserve">Other receipts decisions </t>
  </si>
  <si>
    <t xml:space="preserve">Other spending decisions </t>
  </si>
  <si>
    <t>Indirect effect of decisions</t>
  </si>
  <si>
    <t>Other economic effects</t>
  </si>
  <si>
    <t>Note: This table uses the convention that a negative figure means a reduction in PSNB i.e. an increase in receipts or a reduction in spending will have a negative effect on PSNB. It does not include the effects of changes in our underlying forecasts for environmental levies, VAT refunds or general government depreciation, as each change both receipts and spending by equal amounts and therefore do not change borrowing. We have not included any effects of the SCAPE pensions change within underlying spending (which it decreases) or the direct effects of policy decisions (which it increases) as the change has no effect on overall borrowing. These effects are described in more detail in Box 4.4 and shown in Table 4.14.</t>
  </si>
  <si>
    <t>Changes to PSNBX forecast</t>
  </si>
  <si>
    <t>2023-
2024</t>
  </si>
  <si>
    <t>2024-
2025</t>
  </si>
  <si>
    <t>2025-
2026</t>
  </si>
  <si>
    <t>2026-
2027</t>
  </si>
  <si>
    <t>2027-
2028</t>
  </si>
  <si>
    <t>2028-
2029</t>
  </si>
  <si>
    <t>Underlying forecast changes</t>
  </si>
  <si>
    <t>Change to PSNB forecast</t>
  </si>
  <si>
    <t>Check</t>
  </si>
  <si>
    <t>Budget24</t>
  </si>
  <si>
    <t>Policy decisions - other tax</t>
  </si>
  <si>
    <t>Policy decisions - NICs cut</t>
  </si>
  <si>
    <t>Interest rates - gilts</t>
  </si>
  <si>
    <t>Interest rates - market expectations</t>
  </si>
  <si>
    <t>Interest rates - short rates</t>
  </si>
  <si>
    <t>Autumn Statement 2023</t>
  </si>
  <si>
    <t>AS 2023</t>
  </si>
  <si>
    <t>OBR gilt</t>
  </si>
  <si>
    <t>OE gilt</t>
  </si>
  <si>
    <t>Impact</t>
  </si>
  <si>
    <t>OBR RCB</t>
  </si>
  <si>
    <t>OE RCB</t>
  </si>
  <si>
    <t>FY2022/23</t>
  </si>
  <si>
    <t>FY2023/24</t>
  </si>
  <si>
    <t>FY2024/25</t>
  </si>
  <si>
    <t>FY2025/26</t>
  </si>
  <si>
    <t>FY2026/27</t>
  </si>
  <si>
    <t>FY2027/28</t>
  </si>
  <si>
    <t>FY2028/29</t>
  </si>
  <si>
    <t>Av</t>
  </si>
  <si>
    <t>Diff</t>
  </si>
  <si>
    <t>20230101 !D</t>
  </si>
  <si>
    <t>T112G2@INTDAILY</t>
  </si>
  <si>
    <t>T112G5@INTDAILY</t>
  </si>
  <si>
    <t>T112GA@INTDAILY</t>
  </si>
  <si>
    <t>T112GF@INTDAILY</t>
  </si>
  <si>
    <t>T112GK@INTDAILY</t>
  </si>
  <si>
    <t>T112GT@INTDAILY</t>
  </si>
  <si>
    <t>R11212F@INTDAILY</t>
  </si>
  <si>
    <t>R11224F@INTDAILY</t>
  </si>
  <si>
    <t>R11236F@INTDAILY</t>
  </si>
  <si>
    <t>R11248F@INTDAILY</t>
  </si>
  <si>
    <t>R11260F@INTDAILY</t>
  </si>
  <si>
    <t>R112I6A@INTDAILY</t>
  </si>
  <si>
    <t>.DESC</t>
  </si>
  <si>
    <t>UK: 2-Yr Government Bond Yield (%)</t>
  </si>
  <si>
    <t>UK: 5-Yr Government Bond Yield (%)</t>
  </si>
  <si>
    <t>UK: 10-Yr Government Bond Yield (%)</t>
  </si>
  <si>
    <t>UK: 15-Yr Government Bond Yield (%)</t>
  </si>
  <si>
    <t>UK: 20-Yr Government Bond Yield (%)</t>
  </si>
  <si>
    <t>UK: 30-Yr Government Bond Yield (%)</t>
  </si>
  <si>
    <t>UK: Overnight Index Swap: Forward Yields, 12-Month (% p.a.)</t>
  </si>
  <si>
    <t>UK: Overnight Index Swap: Forward Yields, 24-Month (% p.a.)</t>
  </si>
  <si>
    <t>UK: Overnight Index Swap: Forward Yields, 36-Month (% p.a.)</t>
  </si>
  <si>
    <t>UK: Overnight Index Swap: Forward Yields, 48-Month (% p.a.)</t>
  </si>
  <si>
    <t>UK: Overnight Index Swap: Forward Yields, 60-Month (% p.a.)</t>
  </si>
  <si>
    <t>UK: Overnight Index Swap: Forward Yields, 6-Year (% p.a.)</t>
  </si>
  <si>
    <t>.T1</t>
  </si>
  <si>
    <t>26-Jan-1994</t>
  </si>
  <si>
    <t>03-Jan-1995</t>
  </si>
  <si>
    <t>02-Jan-2009</t>
  </si>
  <si>
    <t>01-Dec-2021</t>
  </si>
  <si>
    <t>.TN</t>
  </si>
  <si>
    <t>.LSOURCE</t>
  </si>
  <si>
    <t>London Stock Exchange Group</t>
  </si>
  <si>
    <t>Bank of England</t>
  </si>
  <si>
    <t>.DTLM</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</si>
  <si>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</si>
  <si>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</si>
  <si>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</si>
  <si>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</si>
  <si>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</si>
  <si>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</si>
  <si>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</si>
  <si>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</si>
  <si>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</si>
  <si>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</si>
  <si>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</si>
  <si>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</si>
  <si>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</si>
  <si>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</si>
  <si>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</si>
  <si>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</si>
  <si>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</si>
  <si>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</si>
  <si>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</si>
  <si>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</si>
  <si>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</si>
  <si>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</si>
  <si>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</si>
  <si>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</si>
  <si>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</si>
  <si>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</si>
  <si>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</si>
  <si>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</si>
  <si>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</si>
  <si>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</si>
  <si>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</si>
  <si>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</si>
  <si>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</si>
  <si>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</si>
  <si>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</si>
  <si>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</si>
  <si>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</si>
  <si>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</si>
  <si>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</si>
  <si>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</si>
  <si>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</si>
  <si>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</si>
  <si>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</si>
  <si>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</si>
  <si>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</si>
  <si>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</si>
  <si>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</si>
  <si>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</si>
  <si>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</si>
  <si>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</si>
  <si>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</si>
  <si>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</si>
  <si>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</si>
  <si>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</si>
  <si>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</si>
  <si>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</si>
  <si>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</si>
  <si>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</si>
  <si>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</si>
  <si>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</si>
  <si>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</si>
  <si>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</si>
  <si>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</si>
  <si>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</si>
  <si>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</si>
  <si>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</si>
  <si>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</si>
  <si>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</si>
  <si>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</si>
  <si>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</si>
  <si>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</si>
  <si>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</si>
  <si>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</si>
  <si>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</si>
  <si>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</si>
  <si>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</si>
  <si>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</si>
  <si>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</si>
  <si>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</si>
  <si>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</si>
  <si>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</si>
  <si>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</si>
  <si>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</si>
  <si>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</si>
  <si>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</si>
  <si>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</si>
  <si>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</si>
  <si>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</si>
  <si>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</si>
  <si>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</si>
  <si>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</si>
  <si>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</si>
  <si>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</si>
  <si>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</si>
  <si>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</si>
  <si>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</si>
  <si>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</si>
  <si>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</si>
  <si>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</si>
  <si>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</si>
  <si>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</si>
  <si>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</si>
  <si>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</si>
  <si>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</si>
  <si>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</si>
  <si>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</si>
  <si>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</si>
  <si>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</si>
  <si>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</si>
  <si>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</si>
  <si>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</si>
  <si>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</si>
  <si>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</si>
  <si>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</si>
  <si>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</si>
  <si>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</si>
  <si>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</si>
  <si>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</si>
  <si>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</si>
  <si>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</si>
  <si>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</si>
  <si>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</si>
  <si>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</si>
  <si>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</si>
  <si>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</si>
  <si>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</si>
  <si>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</si>
  <si>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</si>
  <si>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</si>
  <si>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</si>
  <si>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</si>
  <si>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</si>
  <si>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</si>
  <si>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</si>
  <si>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</si>
  <si>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</si>
  <si>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</si>
  <si>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</si>
  <si>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</si>
  <si>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</si>
  <si>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</si>
  <si>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</si>
  <si>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</si>
  <si>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</si>
  <si>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</si>
  <si>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</si>
  <si>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</si>
  <si>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</si>
  <si>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</si>
  <si>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</si>
  <si>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</si>
  <si>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</si>
  <si>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</si>
  <si>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</si>
  <si>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</si>
  <si>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</si>
  <si>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</si>
  <si>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</si>
  <si>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</si>
  <si>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</si>
  <si>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</si>
  <si>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</si>
  <si>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</si>
  <si>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</si>
  <si>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</si>
  <si>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</si>
  <si>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</si>
  <si>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</si>
  <si>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</si>
  <si>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</si>
  <si>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</si>
  <si>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</si>
  <si>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</si>
  <si>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</si>
  <si>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</si>
  <si>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</si>
  <si>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</si>
  <si>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</si>
  <si>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</si>
  <si>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</si>
  <si>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</si>
  <si>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</si>
  <si>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</si>
  <si>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</si>
  <si>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</si>
  <si>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</si>
  <si>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</si>
  <si>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</si>
  <si>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</si>
  <si>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</si>
  <si>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</si>
  <si>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</si>
  <si>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</si>
  <si>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</si>
  <si>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</si>
  <si>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</si>
  <si>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</si>
  <si>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</si>
  <si>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</si>
  <si>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</si>
  <si>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</si>
  <si>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</si>
  <si>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</si>
  <si>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</si>
  <si>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</si>
  <si>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</si>
  <si>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</si>
  <si>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</si>
  <si>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</si>
  <si>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</si>
  <si>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</si>
  <si>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</si>
  <si>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</si>
  <si>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</si>
  <si>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</si>
  <si>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</si>
  <si>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</si>
  <si>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</si>
  <si>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</si>
  <si>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</si>
  <si>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</si>
  <si>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</si>
  <si>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</si>
  <si>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</si>
  <si>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</si>
  <si>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</si>
  <si>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</si>
  <si>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</si>
  <si>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</si>
  <si>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</si>
  <si>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</si>
  <si>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</si>
  <si>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</si>
  <si>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</si>
  <si>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</si>
  <si>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</si>
  <si>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</si>
  <si>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</si>
  <si>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</si>
  <si>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</si>
  <si>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</si>
  <si>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</si>
  <si>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</si>
  <si>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</si>
  <si>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</si>
  <si>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</si>
  <si>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</si>
  <si>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</si>
  <si>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</si>
  <si>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</si>
  <si>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</si>
  <si>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</si>
  <si>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</si>
  <si>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</si>
  <si>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</si>
  <si>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</si>
  <si>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</si>
  <si>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</si>
  <si>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</si>
  <si>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</si>
  <si>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</si>
  <si>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</si>
  <si>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</si>
  <si>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</si>
  <si>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</si>
  <si>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</si>
  <si>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</si>
  <si>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</si>
  <si>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</si>
  <si>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</si>
  <si>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</si>
  <si>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</si>
  <si>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</si>
  <si>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</si>
  <si>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</si>
  <si>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</si>
  <si>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</si>
  <si>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</si>
  <si>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</si>
  <si>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</si>
  <si>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</si>
  <si>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</si>
  <si>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</si>
  <si>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</si>
  <si>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</si>
  <si>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</si>
  <si>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</si>
  <si>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</si>
  <si>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</si>
  <si>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</si>
  <si>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</si>
  <si>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</si>
  <si>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</si>
  <si>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</si>
  <si>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</si>
  <si>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</si>
  <si>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</si>
  <si>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</si>
  <si>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</si>
  <si>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10 days to 11/10</t>
  </si>
  <si>
    <t>10 days to 7/2</t>
  </si>
  <si>
    <t>https://obr.uk/economic-and-fiscal-outlooks/#foreword</t>
  </si>
  <si>
    <t>Financial assumptions</t>
  </si>
  <si>
    <t>Last pre-measures (round 3) forecast sent to HMT</t>
  </si>
  <si>
    <t>AS</t>
  </si>
  <si>
    <t>Budget 24</t>
  </si>
  <si>
    <t>https://obr.uk/docs/dlm_uploads/March_2024_timetable.pdf</t>
  </si>
  <si>
    <t>Last pre-measures (round 2) forecast sent to HMT</t>
  </si>
  <si>
    <t>Budget</t>
  </si>
  <si>
    <t>Back to notes</t>
  </si>
  <si>
    <t>Effect of a 1 per cent increase (unless otherwise stated), £ million</t>
  </si>
  <si>
    <t>Year</t>
  </si>
  <si>
    <t>RPI inflation</t>
  </si>
  <si>
    <t>Gilt rates (long-term interest rates)</t>
  </si>
  <si>
    <t>Short rates (Bank Rate)</t>
  </si>
  <si>
    <t>CGNCR (£1 billion change)</t>
  </si>
  <si>
    <t>04-Mar-2024</t>
  </si>
  <si>
    <t>Mar-05-2024 11:40</t>
  </si>
  <si>
    <t>20240223</t>
  </si>
  <si>
    <t>20240226</t>
  </si>
  <si>
    <t>20240227</t>
  </si>
  <si>
    <t>20240228</t>
  </si>
  <si>
    <t>20240229</t>
  </si>
  <si>
    <t>20240301</t>
  </si>
  <si>
    <t>20240304</t>
  </si>
  <si>
    <t>10 days to 23/1</t>
  </si>
  <si>
    <t>Mar-05-2024 20:52</t>
  </si>
  <si>
    <t>05-Mar-2024</t>
  </si>
  <si>
    <t>20240305</t>
  </si>
  <si>
    <t>10 days to 5/3</t>
  </si>
  <si>
    <t>10 days to 5th March</t>
  </si>
  <si>
    <t>Chart 1.5: Public sector net borrowing: change since November</t>
  </si>
  <si>
    <t>Effects of policy</t>
  </si>
  <si>
    <t>Change in post-measures borrowing</t>
  </si>
  <si>
    <t>Change in pre-measures borrowing</t>
  </si>
  <si>
    <t>Table 4.12: Public sector net borrowing: changes since November 2023</t>
  </si>
  <si>
    <t>March 2024 forecast</t>
  </si>
  <si>
    <t>Reform of non-domicile regime</t>
  </si>
  <si>
    <t>Other receipts decisions</t>
  </si>
  <si>
    <t>Spending decisions</t>
  </si>
  <si>
    <t xml:space="preserve">Note: This table uses the convention that a negative figure means a reduction in PSNB i.e. an increase in receipts or a reduction in spending will have a negative effect on PSNB. It does not include the effects of changes in our underlying forecasts for most environmental levies, VAT refunds or depreciation, as each change both receipts and spending by equal amounts and therefore do not change borrowing. </t>
  </si>
  <si>
    <t>Policy decisions - spending</t>
  </si>
  <si>
    <t>Table 3.8: Latest costings of personal tax measures</t>
  </si>
  <si>
    <t>Changes to thresholds</t>
  </si>
  <si>
    <t>PA and HRT freezes</t>
  </si>
  <si>
    <t>Additional rate threshold: reduction</t>
  </si>
  <si>
    <t>NICs: rise in primary threshold</t>
  </si>
  <si>
    <t>Class 2 NICs: threshold rise</t>
  </si>
  <si>
    <t>Class 1 NICs: threshold freezes</t>
  </si>
  <si>
    <t>Rate cuts</t>
  </si>
  <si>
    <t>Autumn Statement 2023 NICs</t>
  </si>
  <si>
    <t>Budget 2024 measures</t>
  </si>
  <si>
    <t>NICs rate cut (AS 23)</t>
  </si>
  <si>
    <t>NICs rate cut (Budget 24)</t>
  </si>
  <si>
    <t>Chart 4.10: Real departmental spending per person (2023-24 prices)</t>
  </si>
  <si>
    <t>Initial October 2021 SR plans</t>
  </si>
  <si>
    <t>Effect of policy since October 2021</t>
  </si>
  <si>
    <t>Effect of policy and higher inflation since October 2021</t>
  </si>
  <si>
    <t>Effect of policy, hihger inflation and population since October 2021 (March 2024 forecast)</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</si>
  <si>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</si>
  <si>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</si>
  <si>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</si>
  <si>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</si>
  <si>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</si>
  <si>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</si>
  <si>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</si>
  <si>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</si>
  <si>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</si>
  <si>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</si>
  <si>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</si>
  <si>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</si>
  <si>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</si>
  <si>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</si>
  <si>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</si>
  <si>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</si>
  <si>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</si>
  <si>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</si>
  <si>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</si>
  <si>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</si>
  <si>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</si>
  <si>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</si>
  <si>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</si>
  <si>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</si>
  <si>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</si>
  <si>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</si>
  <si>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</si>
  <si>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</si>
  <si>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</si>
  <si>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</si>
  <si>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</si>
  <si>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</si>
  <si>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</si>
  <si>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</si>
  <si>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</si>
  <si>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</si>
  <si>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</si>
  <si>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</si>
  <si>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</si>
  <si>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</si>
  <si>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</si>
  <si>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</si>
  <si>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</si>
  <si>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</si>
  <si>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</si>
  <si>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</si>
  <si>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</si>
  <si>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</si>
  <si>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</si>
  <si>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</si>
  <si>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</si>
  <si>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</si>
  <si>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</si>
  <si>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</si>
  <si>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</si>
  <si>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</si>
  <si>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</si>
  <si>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</si>
  <si>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</si>
  <si>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</si>
  <si>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</si>
  <si>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</si>
  <si>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</si>
  <si>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</si>
  <si>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</si>
  <si>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</si>
  <si>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</si>
  <si>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</si>
  <si>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</si>
  <si>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</si>
  <si>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</si>
  <si>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</si>
  <si>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</si>
  <si>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</si>
  <si>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</si>
  <si>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</si>
  <si>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</si>
  <si>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</si>
  <si>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</si>
  <si>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</si>
  <si>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</si>
  <si>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</si>
  <si>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</si>
  <si>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</si>
  <si>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</si>
  <si>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</si>
  <si>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</si>
  <si>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</si>
  <si>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</si>
  <si>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</si>
  <si>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</si>
  <si>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</si>
  <si>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</si>
  <si>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</si>
  <si>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</si>
  <si>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</si>
  <si>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</si>
  <si>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</si>
  <si>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</si>
  <si>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</si>
  <si>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</si>
  <si>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</si>
  <si>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</si>
  <si>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</si>
  <si>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</si>
  <si>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</si>
  <si>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</si>
  <si>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</si>
  <si>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</si>
  <si>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</si>
  <si>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</si>
  <si>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</si>
  <si>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</si>
  <si>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</si>
  <si>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</si>
  <si>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</si>
  <si>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</si>
  <si>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</si>
  <si>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</si>
  <si>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</si>
  <si>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</si>
  <si>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</si>
  <si>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</si>
  <si>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</si>
  <si>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</si>
  <si>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</si>
  <si>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</si>
  <si>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</si>
  <si>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</si>
  <si>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</si>
  <si>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</si>
  <si>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</si>
  <si>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</si>
  <si>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</si>
  <si>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</si>
  <si>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</si>
  <si>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</si>
  <si>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</si>
  <si>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</si>
  <si>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</si>
  <si>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</si>
  <si>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</si>
  <si>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</si>
  <si>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</si>
  <si>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</si>
  <si>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</si>
  <si>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</si>
  <si>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</si>
  <si>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</si>
  <si>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</si>
  <si>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</si>
  <si>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</si>
  <si>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</si>
  <si>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</si>
  <si>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</si>
  <si>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</si>
  <si>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</si>
  <si>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</si>
  <si>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</si>
  <si>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</si>
  <si>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</si>
  <si>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</si>
  <si>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</si>
  <si>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</si>
  <si>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</si>
  <si>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</si>
  <si>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</si>
  <si>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</si>
  <si>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</si>
  <si>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</si>
  <si>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</si>
  <si>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</si>
  <si>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</si>
  <si>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</si>
  <si>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</si>
  <si>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</si>
  <si>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</si>
  <si>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</si>
  <si>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</si>
  <si>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</si>
  <si>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</si>
  <si>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</si>
  <si>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</si>
  <si>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</si>
  <si>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</si>
  <si>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</si>
  <si>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</si>
  <si>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</si>
  <si>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</si>
  <si>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</si>
  <si>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</si>
  <si>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</si>
  <si>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</si>
  <si>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</si>
  <si>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</si>
  <si>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</si>
  <si>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</si>
  <si>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</si>
  <si>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</si>
  <si>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</si>
  <si>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</si>
  <si>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</si>
  <si>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</si>
  <si>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</si>
  <si>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</si>
  <si>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</si>
  <si>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</si>
  <si>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</si>
  <si>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</si>
  <si>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</si>
  <si>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</si>
  <si>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</si>
  <si>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</si>
  <si>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</si>
  <si>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</si>
  <si>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</si>
  <si>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</si>
  <si>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</si>
  <si>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</si>
  <si>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</si>
  <si>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</si>
  <si>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</si>
  <si>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</si>
  <si>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</si>
  <si>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</si>
  <si>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</si>
  <si>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</si>
  <si>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</si>
  <si>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</si>
  <si>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</si>
  <si>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</si>
  <si>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</si>
  <si>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</si>
  <si>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</si>
  <si>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</si>
  <si>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</si>
  <si>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</si>
  <si>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</si>
  <si>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</si>
  <si>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</si>
  <si>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</si>
  <si>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</si>
  <si>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</si>
  <si>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</si>
  <si>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</si>
  <si>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</si>
  <si>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</si>
  <si>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</si>
  <si>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</si>
  <si>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</si>
  <si>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</si>
  <si>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</si>
  <si>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</si>
  <si>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</si>
  <si>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</si>
  <si>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</si>
  <si>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</si>
  <si>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</si>
  <si>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</si>
  <si>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</si>
  <si>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</si>
  <si>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</si>
  <si>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</si>
  <si>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</si>
  <si>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</si>
  <si>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</si>
  <si>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</si>
  <si>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</si>
  <si>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</si>
  <si>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</si>
  <si>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</si>
  <si>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</si>
  <si>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</si>
  <si>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</si>
  <si>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</si>
  <si>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</si>
  <si>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</si>
  <si>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</si>
  <si>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</si>
  <si>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</si>
  <si>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</si>
  <si>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</si>
  <si>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</si>
  <si>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</si>
  <si>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</si>
  <si>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</si>
  <si>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</si>
  <si>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</si>
  <si>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</si>
  <si>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</si>
  <si>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</si>
  <si>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</si>
  <si>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</si>
  <si>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</si>
  <si>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</si>
  <si>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</si>
  <si>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</si>
  <si>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</si>
  <si>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</si>
  <si>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</si>
  <si>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</si>
  <si>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</si>
  <si>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</si>
  <si>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</si>
  <si>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</si>
  <si>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</si>
  <si>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</si>
  <si>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</si>
  <si>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</si>
  <si>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</si>
  <si>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</si>
  <si>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</si>
  <si>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</si>
  <si>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</si>
  <si>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</si>
  <si>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</si>
  <si>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</si>
  <si>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</si>
  <si>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</si>
  <si>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</si>
  <si>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</si>
  <si>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</si>
  <si>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</si>
  <si>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</si>
  <si>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</si>
  <si>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</si>
  <si>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</si>
  <si>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</si>
  <si>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</si>
  <si>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</si>
  <si>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</si>
  <si>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Population, total</t>
  </si>
  <si>
    <t>MAR007R</t>
  </si>
  <si>
    <t>NA</t>
  </si>
  <si>
    <t>Thousands</t>
  </si>
  <si>
    <t>Level</t>
  </si>
  <si>
    <t>Office for National Statistics\Haver Analytics</t>
  </si>
  <si>
    <t>DYAYA@UK</t>
  </si>
  <si>
    <t xml:space="preserve">U.K.: Population: Midyear Estimates (Thous.Persons)  </t>
  </si>
  <si>
    <t>GBR</t>
  </si>
  <si>
    <t>POP</t>
  </si>
  <si>
    <t>MAR007R.db</t>
  </si>
  <si>
    <t>UK</t>
  </si>
  <si>
    <t>L</t>
  </si>
  <si>
    <t>Population</t>
  </si>
  <si>
    <t>PSCE in RDEL per head</t>
  </si>
  <si>
    <t>PSGI in RDEL per head</t>
  </si>
  <si>
    <t>Real PSGI in RDEL per head (2023-2024 prices)</t>
  </si>
  <si>
    <t>Real PSCE in RDEL per head (2023-2024 prices)</t>
  </si>
  <si>
    <t>Real PSGI in RDEL per head (2024-2025=100)</t>
  </si>
  <si>
    <t>Real PSCE in RDEL per head (2024-2025=100)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</si>
</sst>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000"/>
    <numFmt numFmtId="168" formatCode="0.0000"/>
    <numFmt numFmtId="169" formatCode="\+#,###;\-#,###;&quot;- &quot;;@"/>
    <numFmt numFmtId="170" formatCode="0.0000000"/>
    <numFmt numFmtId="171" formatCode="###0.0;\-###0.0;0.0;@"/>
  </numFmts>
  <fonts count="63">
    <font>
      <sz val="11"/>
      <color theme="1"/>
      <name val="Calibri"/>
      <family val="2"/>
      <scheme val="minor"/>
    </font>
    <font>
      <u/>
      <sz val="11"/>
      <color theme="10"/>
      <name val="Calibri"/>
      <family val="2"/>
      <scheme val="minor"/>
    </font>
    <font>
      <u/>
      <sz val="10"/>
      <color theme="8"/>
      <name val="Calibri"/>
      <family val="2"/>
    </font>
    <font>
      <sz val="10"/>
      <color theme="1"/>
      <name val="Calibri"/>
      <family val="2"/>
    </font>
    <font>
      <sz val="13"/>
      <color theme="8"/>
      <name val="Calibri"/>
      <family val="2"/>
    </font>
    <font>
      <sz val="10"/>
      <name val="Arial"/>
      <family val="2"/>
    </font>
    <font>
      <sz val="10"/>
      <name val="Calibri"/>
      <family val="2"/>
    </font>
    <font>
      <b/>
      <sz val="10"/>
      <color theme="1"/>
      <name val="Calibri"/>
      <family val="2"/>
    </font>
    <font>
      <sz val="8"/>
      <color theme="1"/>
      <name val="Calibri"/>
      <family val="2"/>
    </font>
    <font>
      <i/>
      <sz val="10"/>
      <color theme="1"/>
      <name val="Calibri"/>
      <family val="2"/>
    </font>
    <font>
      <sz val="12"/>
      <color theme="1"/>
      <name val="Arial"/>
      <family val="2"/>
    </font>
    <font>
      <b/>
      <sz val="10"/>
      <name val="Calibri"/>
      <family val="2"/>
    </font>
    <font>
      <b/>
      <i/>
      <sz val="8"/>
      <name val="Calibri"/>
      <family val="2"/>
    </font>
    <font>
      <sz val="8"/>
      <name val="Calibri"/>
      <family val="2"/>
    </font>
    <font>
      <sz val="10"/>
      <color theme="2"/>
      <name val="Calibri"/>
      <family val="2"/>
    </font>
    <font>
      <vertAlign val="superscript"/>
      <sz val="8"/>
      <color theme="1"/>
      <name val="Calibri"/>
      <family val="2"/>
    </font>
    <font>
      <sz val="9"/>
      <color theme="1"/>
      <name val="Calibri"/>
      <family val="2"/>
    </font>
    <font>
      <vertAlign val="superscript"/>
      <sz val="10"/>
      <color theme="1"/>
      <name val="Calibri"/>
      <family val="2"/>
    </font>
    <font>
      <vertAlign val="superscript"/>
      <sz val="8"/>
      <name val="Calibri"/>
      <family val="2"/>
    </font>
    <font>
      <u/>
      <sz val="11"/>
      <color theme="10"/>
      <name val="Calibri"/>
      <family val="2"/>
    </font>
    <font>
      <u/>
      <sz val="10"/>
      <color theme="10"/>
      <name val="Calibri"/>
      <family val="2"/>
    </font>
    <font>
      <sz val="8"/>
      <color indexed="8"/>
      <name val="Calibri"/>
      <family val="2"/>
    </font>
    <font>
      <sz val="12"/>
      <color indexed="8"/>
      <name val="Calibri"/>
      <family val="2"/>
    </font>
    <font>
      <sz val="12"/>
      <color indexed="8"/>
      <name val="Futura Bk BT"/>
      <family val="2"/>
    </font>
    <font>
      <b/>
      <sz val="12"/>
      <color indexed="8"/>
      <name val="Calibri"/>
      <family val="2"/>
    </font>
    <font>
      <sz val="14"/>
      <color indexed="8"/>
      <name val="Calibri"/>
      <family val="2"/>
    </font>
    <font>
      <sz val="14"/>
      <color theme="1"/>
      <name val="Calibri"/>
      <family val="2"/>
    </font>
    <font>
      <b/>
      <sz val="12"/>
      <color indexed="8"/>
      <name val="Futura Bk BT"/>
      <family val="2"/>
    </font>
    <font>
      <sz val="10"/>
      <color indexed="8"/>
      <name val="Calibri"/>
      <family val="2"/>
    </font>
    <font>
      <sz val="12"/>
      <name val="Calibri"/>
      <family val="2"/>
    </font>
    <font>
      <i/>
      <sz val="12"/>
      <name val="Calibri"/>
      <family val="2"/>
    </font>
    <font>
      <sz val="7"/>
      <color indexed="8"/>
      <name val="Calibri"/>
      <family val="2"/>
    </font>
    <font>
      <sz val="12"/>
      <color rgb="FFFF0000"/>
      <name val="Calibri"/>
      <family val="2"/>
    </font>
    <font>
      <sz val="8"/>
      <color indexed="8"/>
      <name val="Futura Bk BT"/>
      <family val="2"/>
    </font>
    <font>
      <sz val="6"/>
      <name val="Calibri"/>
      <family val="2"/>
    </font>
    <font>
      <vertAlign val="superscript"/>
      <sz val="10"/>
      <color indexed="8"/>
      <name val="Calibri"/>
      <family val="2"/>
    </font>
    <font>
      <u/>
      <sz val="10"/>
      <color theme="8"/>
      <name val="Calibri"/>
      <family val="2"/>
      <scheme val="minor"/>
    </font>
    <font>
      <sz val="10"/>
      <color theme="1"/>
      <name val="Calibri"/>
      <family val="2"/>
      <scheme val="minor"/>
    </font>
    <font>
      <sz val="13"/>
      <color theme="8"/>
      <name val="Calibri"/>
      <family val="2"/>
      <scheme val="minor"/>
    </font>
    <font>
      <b/>
      <sz val="9"/>
      <color theme="1"/>
      <name val="Calibri"/>
      <family val="2"/>
    </font>
    <font>
      <b/>
      <sz val="11"/>
      <color theme="1"/>
      <name val="Calibri"/>
      <family val="2"/>
      <scheme val="minor"/>
    </font>
    <font>
      <sz val="11"/>
      <color theme="1"/>
      <name val="Calibri"/>
      <family val="2"/>
      <scheme val="minor"/>
    </font>
    <font>
      <sz val="11"/>
      <color rgb="FF000000"/>
      <name val="Calibri"/>
      <family val="2"/>
    </font>
    <font>
      <u/>
      <sz val="12"/>
      <color theme="10"/>
      <name val="Arial"/>
      <family val="2"/>
    </font>
    <font>
      <sz val="12"/>
      <color theme="1"/>
      <name val="Calibri Light"/>
      <family val="2"/>
      <scheme val="major"/>
    </font>
    <font>
      <b/>
      <sz val="8"/>
      <color theme="1"/>
      <name val="Calibri"/>
      <family val="2"/>
    </font>
    <font>
      <sz val="11"/>
      <color theme="1"/>
      <name val="Calibri"/>
      <family val="2"/>
    </font>
    <font>
      <i/>
      <sz val="10"/>
      <name val="Calibri"/>
      <family val="2"/>
    </font>
    <font>
      <b/>
      <sz val="10"/>
      <name val="Arial"/>
      <family val="2"/>
    </font>
    <font>
      <b/>
      <sz val="9"/>
      <color indexed="81"/>
      <name val="Tahoma"/>
      <family val="2"/>
    </font>
    <font>
      <sz val="9"/>
      <color indexed="81"/>
      <name val="Tahoma"/>
      <family val="2"/>
    </font>
    <font>
      <u/>
      <sz val="9"/>
      <color theme="10"/>
      <name val="Calibri"/>
      <family val="2"/>
      <scheme val="minor"/>
    </font>
    <font>
      <sz val="9"/>
      <color theme="1"/>
      <name val="Calibri"/>
      <family val="2"/>
      <scheme val="minor"/>
    </font>
    <font>
      <sz val="10"/>
      <color theme="8"/>
      <name val="Calibri"/>
      <family val="2"/>
    </font>
    <font>
      <sz val="10"/>
      <color theme="0"/>
      <name val="Calibri"/>
      <family val="2"/>
    </font>
    <font>
      <i/>
      <sz val="10"/>
      <color theme="1"/>
      <name val="Calibri"/>
      <family val="2"/>
      <scheme val="minor"/>
    </font>
    <font>
      <sz val="9"/>
      <color theme="0"/>
      <name val="Calibri"/>
      <family val="2"/>
    </font>
    <font>
      <sz val="10"/>
      <color rgb="FF00B0F0"/>
      <name val="Calibri"/>
      <family val="2"/>
    </font>
    <font>
      <b/>
      <sz val="10"/>
      <color rgb="FF000000"/>
      <name val="Calibri"/>
      <family val="2"/>
    </font>
    <font>
      <i/>
      <sz val="10"/>
      <color rgb="FF000000"/>
      <name val="Calibri"/>
      <family val="2"/>
    </font>
    <font>
      <sz val="10"/>
      <color rgb="FF000000"/>
      <name val="Calibri"/>
      <family val="2"/>
    </font>
    <font>
      <b/>
      <sz val="11"/>
      <color rgb="FFFFFFFF"/>
      <name val="Calibri"/>
      <family val="2"/>
    </font>
    <font>
      <sz val="11"/>
      <color indexed="16"/>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rgb="FFB5C7D4"/>
        <bgColor indexed="64"/>
      </patternFill>
    </fill>
    <fill>
      <patternFill patternType="solid">
        <fgColor theme="2"/>
        <bgColor indexed="64"/>
      </patternFill>
    </fill>
    <fill>
      <patternFill patternType="solid">
        <fgColor indexed="65"/>
        <bgColor indexed="64"/>
      </patternFill>
    </fill>
    <fill>
      <patternFill patternType="solid">
        <fgColor indexed="42"/>
        <bgColor indexed="64"/>
      </patternFill>
    </fill>
    <fill>
      <patternFill patternType="solid">
        <fgColor indexed="9"/>
        <bgColor indexed="64"/>
      </patternFill>
    </fill>
    <fill>
      <patternFill patternType="solid">
        <fgColor rgb="FFDBE3E8"/>
        <bgColor indexed="64"/>
      </patternFill>
    </fill>
    <fill>
      <patternFill patternType="solid">
        <fgColor theme="0"/>
        <bgColor rgb="FF000000"/>
      </patternFill>
    </fill>
    <fill>
      <patternFill patternType="solid">
        <fgColor theme="4" tint="0.79998168889431442"/>
        <bgColor indexed="64"/>
      </patternFill>
    </fill>
    <fill>
      <patternFill patternType="solid">
        <fgColor rgb="FFB5C7D4"/>
        <bgColor rgb="FF000000"/>
      </patternFill>
    </fill>
    <fill>
      <patternFill patternType="solid">
        <fgColor rgb="FFF5F5F5"/>
        <bgColor indexed="64"/>
      </patternFill>
    </fill>
    <fill>
      <patternFill patternType="solid">
        <fgColor rgb="FF004A80"/>
      </patternFill>
    </fill>
  </fills>
  <borders count="102">
    <border>
      <left/>
      <right/>
      <top/>
      <bottom/>
      <diagonal/>
    </border>
    <border>
      <left style="thick">
        <color theme="9"/>
      </left>
      <right/>
      <top/>
      <bottom style="medium">
        <color theme="8"/>
      </bottom>
      <diagonal/>
    </border>
    <border>
      <left/>
      <right/>
      <top/>
      <bottom style="medium">
        <color theme="8"/>
      </bottom>
      <diagonal/>
    </border>
    <border>
      <left style="thick">
        <color theme="9"/>
      </left>
      <right/>
      <top/>
      <bottom/>
      <diagonal/>
    </border>
    <border>
      <left/>
      <right/>
      <top style="medium">
        <color theme="8"/>
      </top>
      <bottom style="thin">
        <color theme="8"/>
      </bottom>
      <diagonal/>
    </border>
    <border>
      <left/>
      <right/>
      <top style="thin">
        <color theme="8"/>
      </top>
      <bottom/>
      <diagonal/>
    </border>
    <border>
      <left/>
      <right/>
      <top style="thin">
        <color theme="8"/>
      </top>
      <bottom style="thin">
        <color theme="8"/>
      </bottom>
      <diagonal/>
    </border>
    <border>
      <left/>
      <right/>
      <top/>
      <bottom style="thin">
        <color theme="8"/>
      </bottom>
      <diagonal/>
    </border>
    <border>
      <left style="thick">
        <color theme="9"/>
      </left>
      <right/>
      <top style="thin">
        <color theme="8"/>
      </top>
      <bottom/>
      <diagonal/>
    </border>
    <border>
      <left/>
      <right style="thick">
        <color theme="9"/>
      </right>
      <top style="thin">
        <color theme="8"/>
      </top>
      <bottom/>
      <diagonal/>
    </border>
    <border>
      <left style="thick">
        <color theme="9"/>
      </left>
      <right/>
      <top style="thick">
        <color theme="9"/>
      </top>
      <bottom style="medium">
        <color theme="8"/>
      </bottom>
      <diagonal/>
    </border>
    <border>
      <left/>
      <right/>
      <top style="thick">
        <color theme="9"/>
      </top>
      <bottom style="medium">
        <color theme="8"/>
      </bottom>
      <diagonal/>
    </border>
    <border>
      <left style="thick">
        <color theme="9"/>
      </left>
      <right/>
      <top style="medium">
        <color theme="8"/>
      </top>
      <bottom/>
      <diagonal/>
    </border>
    <border>
      <left/>
      <right style="thick">
        <color theme="9"/>
      </right>
      <top/>
      <bottom/>
      <diagonal/>
    </border>
    <border>
      <left/>
      <right style="thick">
        <color theme="9"/>
      </right>
      <top style="medium">
        <color theme="8"/>
      </top>
      <bottom style="thin">
        <color theme="8"/>
      </bottom>
      <diagonal/>
    </border>
    <border>
      <left/>
      <right style="thick">
        <color theme="9"/>
      </right>
      <top/>
      <bottom style="thin">
        <color theme="8"/>
      </bottom>
      <diagonal/>
    </border>
    <border>
      <left/>
      <right/>
      <top style="thin">
        <color theme="7"/>
      </top>
      <bottom style="medium">
        <color theme="7"/>
      </bottom>
      <diagonal/>
    </border>
    <border>
      <left style="thick">
        <color theme="0"/>
      </left>
      <right/>
      <top style="medium">
        <color theme="8"/>
      </top>
      <bottom/>
      <diagonal/>
    </border>
    <border>
      <left style="thick">
        <color theme="0"/>
      </left>
      <right/>
      <top/>
      <bottom/>
      <diagonal/>
    </border>
    <border>
      <left/>
      <right style="thick">
        <color theme="9"/>
      </right>
      <top style="thin">
        <color theme="8"/>
      </top>
      <bottom style="thin">
        <color theme="8"/>
      </bottom>
      <diagonal/>
    </border>
    <border>
      <left style="thick">
        <color theme="0"/>
      </left>
      <right/>
      <top/>
      <bottom style="thin">
        <color theme="8"/>
      </bottom>
      <diagonal/>
    </border>
    <border>
      <left style="thick">
        <color theme="0"/>
      </left>
      <right/>
      <top style="thin">
        <color theme="8"/>
      </top>
      <bottom style="thin">
        <color theme="8"/>
      </bottom>
      <diagonal/>
    </border>
    <border>
      <left style="thick">
        <color theme="0"/>
      </left>
      <right/>
      <top/>
      <bottom style="medium">
        <color theme="8"/>
      </bottom>
      <diagonal/>
    </border>
    <border>
      <left/>
      <right/>
      <top style="thin">
        <color theme="8"/>
      </top>
      <bottom style="medium">
        <color theme="8"/>
      </bottom>
      <diagonal/>
    </border>
    <border>
      <left/>
      <right style="thick">
        <color theme="9"/>
      </right>
      <top style="thin">
        <color theme="8"/>
      </top>
      <bottom style="medium">
        <color theme="8"/>
      </bottom>
      <diagonal/>
    </border>
    <border>
      <left/>
      <right/>
      <top style="medium">
        <color indexed="45"/>
      </top>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theme="8"/>
      </right>
      <top style="medium">
        <color indexed="45"/>
      </top>
      <bottom style="medium">
        <color indexed="45"/>
      </bottom>
      <diagonal/>
    </border>
    <border>
      <left style="medium">
        <color indexed="45"/>
      </left>
      <right/>
      <top/>
      <bottom/>
      <diagonal/>
    </border>
    <border>
      <left/>
      <right style="medium">
        <color theme="8"/>
      </right>
      <top style="medium">
        <color indexed="45"/>
      </top>
      <bottom/>
      <diagonal/>
    </border>
    <border>
      <left/>
      <right style="medium">
        <color theme="8"/>
      </right>
      <top/>
      <bottom/>
      <diagonal/>
    </border>
    <border>
      <left/>
      <right style="medium">
        <color indexed="45"/>
      </right>
      <top/>
      <bottom/>
      <diagonal/>
    </border>
    <border>
      <left style="medium">
        <color indexed="45"/>
      </left>
      <right/>
      <top/>
      <bottom style="thin">
        <color indexed="45"/>
      </bottom>
      <diagonal/>
    </border>
    <border>
      <left/>
      <right style="medium">
        <color theme="8"/>
      </right>
      <top/>
      <bottom style="thin">
        <color theme="8"/>
      </bottom>
      <diagonal/>
    </border>
    <border>
      <left style="medium">
        <color theme="8"/>
      </left>
      <right/>
      <top/>
      <bottom/>
      <diagonal/>
    </border>
    <border>
      <left style="medium">
        <color indexed="45"/>
      </left>
      <right/>
      <top/>
      <bottom style="medium">
        <color theme="8"/>
      </bottom>
      <diagonal/>
    </border>
    <border>
      <left style="medium">
        <color indexed="45"/>
      </left>
      <right/>
      <top style="medium">
        <color theme="8"/>
      </top>
      <bottom/>
      <diagonal/>
    </border>
    <border>
      <left/>
      <right/>
      <top style="medium">
        <color theme="8"/>
      </top>
      <bottom/>
      <diagonal/>
    </border>
    <border>
      <left/>
      <right style="medium">
        <color theme="8"/>
      </right>
      <top style="medium">
        <color theme="8"/>
      </top>
      <bottom/>
      <diagonal/>
    </border>
    <border>
      <left style="medium">
        <color indexed="45"/>
      </left>
      <right/>
      <top/>
      <bottom style="medium">
        <color indexed="45"/>
      </bottom>
      <diagonal/>
    </border>
    <border>
      <left/>
      <right/>
      <top/>
      <bottom style="medium">
        <color indexed="45"/>
      </bottom>
      <diagonal/>
    </border>
    <border>
      <left/>
      <right style="medium">
        <color theme="8"/>
      </right>
      <top/>
      <bottom style="medium">
        <color indexed="45"/>
      </bottom>
      <diagonal/>
    </border>
    <border>
      <left/>
      <right style="medium">
        <color indexed="45"/>
      </right>
      <top style="medium">
        <color indexed="45"/>
      </top>
      <bottom style="medium">
        <color indexed="45"/>
      </bottom>
      <diagonal/>
    </border>
    <border>
      <left style="medium">
        <color indexed="45"/>
      </left>
      <right/>
      <top style="medium">
        <color indexed="45"/>
      </top>
      <bottom/>
      <diagonal/>
    </border>
    <border>
      <left style="medium">
        <color indexed="45"/>
      </left>
      <right/>
      <top/>
      <bottom style="thin">
        <color theme="8"/>
      </bottom>
      <diagonal/>
    </border>
    <border>
      <left/>
      <right style="medium">
        <color indexed="45"/>
      </right>
      <top/>
      <bottom style="thin">
        <color theme="8"/>
      </bottom>
      <diagonal/>
    </border>
    <border>
      <left style="medium">
        <color indexed="45"/>
      </left>
      <right/>
      <top style="thin">
        <color theme="8"/>
      </top>
      <bottom/>
      <diagonal/>
    </border>
    <border>
      <left/>
      <right style="medium">
        <color indexed="45"/>
      </right>
      <top style="medium">
        <color theme="8"/>
      </top>
      <bottom/>
      <diagonal/>
    </border>
    <border>
      <left/>
      <right style="medium">
        <color indexed="45"/>
      </right>
      <top/>
      <bottom style="medium">
        <color indexed="45"/>
      </bottom>
      <diagonal/>
    </border>
    <border>
      <left/>
      <right/>
      <top/>
      <bottom style="thin">
        <color indexed="45"/>
      </bottom>
      <diagonal/>
    </border>
    <border>
      <left/>
      <right style="medium">
        <color theme="8"/>
      </right>
      <top/>
      <bottom style="thin">
        <color indexed="45"/>
      </bottom>
      <diagonal/>
    </border>
    <border>
      <left/>
      <right style="medium">
        <color theme="8"/>
      </right>
      <top/>
      <bottom style="medium">
        <color theme="8"/>
      </bottom>
      <diagonal/>
    </border>
    <border>
      <left/>
      <right/>
      <top/>
      <bottom style="thin">
        <color indexed="64"/>
      </bottom>
      <diagonal/>
    </border>
    <border>
      <left/>
      <right style="medium">
        <color indexed="45"/>
      </right>
      <top/>
      <bottom style="medium">
        <color theme="8"/>
      </bottom>
      <diagonal/>
    </border>
    <border>
      <left/>
      <right style="thick">
        <color theme="9"/>
      </right>
      <top/>
      <bottom style="medium">
        <color theme="8"/>
      </bottom>
      <diagonal/>
    </border>
    <border>
      <left/>
      <right style="thick">
        <color theme="2"/>
      </right>
      <top/>
      <bottom/>
      <diagonal/>
    </border>
    <border>
      <left/>
      <right style="thick">
        <color theme="2"/>
      </right>
      <top style="medium">
        <color theme="8"/>
      </top>
      <bottom style="thin">
        <color theme="8"/>
      </bottom>
      <diagonal/>
    </border>
    <border>
      <left/>
      <right style="thick">
        <color theme="2"/>
      </right>
      <top style="thin">
        <color theme="8"/>
      </top>
      <bottom style="thin">
        <color theme="8"/>
      </bottom>
      <diagonal/>
    </border>
    <border>
      <left/>
      <right style="thick">
        <color theme="2"/>
      </right>
      <top style="thin">
        <color theme="8"/>
      </top>
      <bottom/>
      <diagonal/>
    </border>
    <border>
      <left/>
      <right style="thick">
        <color theme="2"/>
      </right>
      <top/>
      <bottom style="thin">
        <color theme="8"/>
      </bottom>
      <diagonal/>
    </border>
    <border>
      <left/>
      <right style="thick">
        <color theme="2"/>
      </right>
      <top/>
      <bottom style="medium">
        <color theme="8"/>
      </bottom>
      <diagonal/>
    </border>
    <border>
      <left style="medium">
        <color indexed="45"/>
      </left>
      <right/>
      <top style="thin">
        <color indexed="45"/>
      </top>
      <bottom/>
      <diagonal/>
    </border>
    <border>
      <left/>
      <right/>
      <top style="thin">
        <color indexed="45"/>
      </top>
      <bottom/>
      <diagonal/>
    </border>
    <border>
      <left/>
      <right style="medium">
        <color theme="8"/>
      </right>
      <top style="thin">
        <color indexed="45"/>
      </top>
      <bottom/>
      <diagonal/>
    </border>
    <border>
      <left/>
      <right style="medium">
        <color indexed="45"/>
      </right>
      <top style="thin">
        <color indexed="45"/>
      </top>
      <bottom/>
      <diagonal/>
    </border>
    <border>
      <left/>
      <right style="thick">
        <color theme="0"/>
      </right>
      <top style="thick">
        <color theme="0"/>
      </top>
      <bottom/>
      <diagonal/>
    </border>
    <border>
      <left style="thick">
        <color theme="0"/>
      </left>
      <right style="medium">
        <color theme="4"/>
      </right>
      <top/>
      <bottom/>
      <diagonal/>
    </border>
    <border>
      <left/>
      <right style="medium">
        <color theme="4"/>
      </right>
      <top style="medium">
        <color theme="8"/>
      </top>
      <bottom style="thin">
        <color theme="8"/>
      </bottom>
      <diagonal/>
    </border>
    <border>
      <left/>
      <right style="thick">
        <color theme="0"/>
      </right>
      <top/>
      <bottom/>
      <diagonal/>
    </border>
    <border>
      <left/>
      <right style="medium">
        <color theme="4"/>
      </right>
      <top style="thin">
        <color theme="8"/>
      </top>
      <bottom style="thin">
        <color theme="8"/>
      </bottom>
      <diagonal/>
    </border>
    <border>
      <left style="medium">
        <color theme="5"/>
      </left>
      <right style="medium">
        <color theme="4"/>
      </right>
      <top style="thin">
        <color theme="8"/>
      </top>
      <bottom/>
      <diagonal/>
    </border>
    <border>
      <left/>
      <right style="thick">
        <color rgb="FFDBE3E8"/>
      </right>
      <top/>
      <bottom/>
      <diagonal/>
    </border>
    <border>
      <left/>
      <right style="medium">
        <color theme="4"/>
      </right>
      <top/>
      <bottom/>
      <diagonal/>
    </border>
    <border>
      <left style="thick">
        <color theme="0"/>
      </left>
      <right style="medium">
        <color theme="4"/>
      </right>
      <top/>
      <bottom style="thick">
        <color theme="0"/>
      </bottom>
      <diagonal/>
    </border>
    <border>
      <left/>
      <right style="medium">
        <color theme="4"/>
      </right>
      <top/>
      <bottom style="thin">
        <color theme="8"/>
      </bottom>
      <diagonal/>
    </border>
    <border>
      <left/>
      <right style="medium">
        <color theme="4"/>
      </right>
      <top style="thick">
        <color theme="0"/>
      </top>
      <bottom/>
      <diagonal/>
    </border>
    <border>
      <left/>
      <right style="medium">
        <color theme="4"/>
      </right>
      <top style="thin">
        <color theme="8"/>
      </top>
      <bottom/>
      <diagonal/>
    </border>
    <border>
      <left style="thick">
        <color theme="0"/>
      </left>
      <right style="thick">
        <color theme="0"/>
      </right>
      <top/>
      <bottom style="thick">
        <color theme="0"/>
      </bottom>
      <diagonal/>
    </border>
    <border>
      <left style="thick">
        <color theme="0"/>
      </left>
      <right style="thick">
        <color theme="0"/>
      </right>
      <top style="thick">
        <color theme="0"/>
      </top>
      <bottom/>
      <diagonal/>
    </border>
    <border>
      <left/>
      <right style="thick">
        <color theme="0"/>
      </right>
      <top style="medium">
        <color theme="8"/>
      </top>
      <bottom style="thin">
        <color theme="8"/>
      </bottom>
      <diagonal/>
    </border>
    <border>
      <left style="thick">
        <color theme="0"/>
      </left>
      <right style="thick">
        <color theme="0"/>
      </right>
      <top/>
      <bottom/>
      <diagonal/>
    </border>
    <border>
      <left/>
      <right style="thick">
        <color theme="0"/>
      </right>
      <top style="thin">
        <color theme="8"/>
      </top>
      <bottom style="thin">
        <color theme="8"/>
      </bottom>
      <diagonal/>
    </border>
    <border>
      <left/>
      <right style="thick">
        <color theme="0"/>
      </right>
      <top style="thin">
        <color theme="8"/>
      </top>
      <bottom/>
      <diagonal/>
    </border>
    <border>
      <left/>
      <right style="thick">
        <color theme="0"/>
      </right>
      <top/>
      <bottom style="thin">
        <color theme="8"/>
      </bottom>
      <diagonal/>
    </border>
    <border>
      <left/>
      <right style="thick">
        <color theme="0"/>
      </right>
      <top style="thin">
        <color theme="8"/>
      </top>
      <bottom style="medium">
        <color theme="8"/>
      </bottom>
      <diagonal/>
    </border>
    <border>
      <left/>
      <right/>
      <top style="thin">
        <color auto="1"/>
      </top>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right/>
      <top style="medium">
        <color rgb="FF477391"/>
      </top>
      <bottom/>
      <diagonal/>
    </border>
    <border>
      <left/>
      <right/>
      <top style="medium">
        <color rgb="FF477391"/>
      </top>
      <bottom style="thin">
        <color rgb="FF477391"/>
      </bottom>
      <diagonal/>
    </border>
    <border>
      <left/>
      <right style="thick">
        <color theme="0"/>
      </right>
      <top style="medium">
        <color rgb="FF477391"/>
      </top>
      <bottom style="thin">
        <color rgb="FF477391"/>
      </bottom>
      <diagonal/>
    </border>
    <border>
      <left/>
      <right/>
      <top style="thin">
        <color rgb="FF477391"/>
      </top>
      <bottom style="thin">
        <color rgb="FF477391"/>
      </bottom>
      <diagonal/>
    </border>
    <border>
      <left/>
      <right style="thick">
        <color theme="0"/>
      </right>
      <top style="thin">
        <color rgb="FF477391"/>
      </top>
      <bottom style="thin">
        <color rgb="FF477391"/>
      </bottom>
      <diagonal/>
    </border>
    <border>
      <left/>
      <right/>
      <top/>
      <bottom style="thin">
        <color rgb="FFB5C7D4"/>
      </bottom>
      <diagonal/>
    </border>
    <border>
      <left/>
      <right/>
      <top style="thin">
        <color rgb="FF477391"/>
      </top>
      <bottom style="thin">
        <color rgb="FFB5C7D4"/>
      </bottom>
      <diagonal/>
    </border>
    <border>
      <left style="thin">
        <color rgb="FFB5C7D4"/>
      </left>
      <right style="thick">
        <color theme="0"/>
      </right>
      <top style="thin">
        <color rgb="FF477391"/>
      </top>
      <bottom style="thin">
        <color rgb="FFB5C7D4"/>
      </bottom>
      <diagonal/>
    </border>
    <border>
      <left/>
      <right style="thick">
        <color theme="0"/>
      </right>
      <top/>
      <bottom style="medium">
        <color theme="8"/>
      </bottom>
      <diagonal/>
    </border>
    <border>
      <left style="thin">
        <color rgb="FF363636"/>
      </left>
      <right style="thin">
        <color rgb="FF363636"/>
      </right>
      <top style="thin">
        <color rgb="FF363636"/>
      </top>
      <bottom style="thin">
        <color rgb="FF363636"/>
      </bottom>
      <diagonal/>
    </border>
  </borders>
  <cellStyleXfs count="14">
    <xf numFmtId="0" fontId="0" fillId="0" borderId="0"/>
    <xf numFmtId="0" fontId="1" fillId="0" borderId="0" applyNumberFormat="0" applyFill="0" applyBorder="0" applyAlignment="0" applyProtection="0"/>
    <xf numFmtId="0" fontId="5" fillId="0" borderId="0"/>
    <xf numFmtId="0" fontId="10" fillId="0" borderId="0"/>
    <xf numFmtId="0" fontId="5" fillId="0" borderId="0"/>
    <xf numFmtId="0" fontId="19" fillId="0" borderId="0" applyNumberFormat="0" applyFill="0" applyBorder="0" applyAlignment="0" applyProtection="0">
      <alignment vertical="top"/>
      <protection locked="0"/>
    </xf>
    <xf numFmtId="0" fontId="42" fillId="0" borderId="0"/>
    <xf numFmtId="0" fontId="41" fillId="0" borderId="0"/>
    <xf numFmtId="0" fontId="43" fillId="0" borderId="0" applyNumberFormat="0" applyFill="0" applyBorder="0" applyAlignment="0" applyProtection="0"/>
    <xf numFmtId="0" fontId="41" fillId="0" borderId="0"/>
    <xf numFmtId="0" fontId="10" fillId="0" borderId="0"/>
    <xf numFmtId="0" fontId="1" fillId="0" borderId="0" applyNumberFormat="0" applyFill="0" applyBorder="0" applyAlignment="0" applyProtection="0"/>
    <xf numFmtId="0" fontId="5" fillId="0" borderId="0"/>
    <xf numFmtId="0" fontId="41" fillId="0" borderId="0"/>
  </cellStyleXfs>
  <cellXfs count="612">
    <xf numFmtId="0" fontId="0" fillId="0" borderId="0" xfId="0"/>
    <xf numFmtId="0" fontId="2" fillId="0" borderId="0" xfId="1" applyFont="1" applyAlignment="1">
      <alignment horizontal="center" vertical="center" wrapText="1"/>
    </xf>
    <xf numFmtId="0" fontId="3" fillId="0" borderId="0" xfId="0" applyFont="1"/>
    <xf numFmtId="0" fontId="4" fillId="0" borderId="0" xfId="0" applyFont="1"/>
    <xf numFmtId="0" fontId="6" fillId="2" borderId="1" xfId="2" applyFont="1" applyFill="1" applyBorder="1"/>
    <xf numFmtId="0" fontId="3" fillId="2" borderId="2" xfId="2" applyFont="1" applyFill="1" applyBorder="1"/>
    <xf numFmtId="0" fontId="5" fillId="2" borderId="2" xfId="2" applyFill="1" applyBorder="1"/>
    <xf numFmtId="0" fontId="6" fillId="3" borderId="3" xfId="2" applyFont="1" applyFill="1" applyBorder="1"/>
    <xf numFmtId="0" fontId="3" fillId="4" borderId="5" xfId="2" applyFont="1" applyFill="1" applyBorder="1" applyAlignment="1">
      <alignment horizontal="center" vertical="center"/>
    </xf>
    <xf numFmtId="0" fontId="3" fillId="3" borderId="3" xfId="2" applyFont="1" applyFill="1" applyBorder="1"/>
    <xf numFmtId="0" fontId="3" fillId="3" borderId="0" xfId="2" applyFont="1" applyFill="1" applyAlignment="1">
      <alignment horizontal="right" vertical="center"/>
    </xf>
    <xf numFmtId="0" fontId="7" fillId="2" borderId="3" xfId="2" applyFont="1" applyFill="1" applyBorder="1" applyAlignment="1">
      <alignment vertical="center"/>
    </xf>
    <xf numFmtId="164" fontId="3" fillId="2" borderId="0" xfId="2" applyNumberFormat="1" applyFont="1" applyFill="1" applyAlignment="1">
      <alignment vertical="center"/>
    </xf>
    <xf numFmtId="164" fontId="3" fillId="2" borderId="0" xfId="2" applyNumberFormat="1" applyFont="1" applyFill="1" applyAlignment="1">
      <alignment horizontal="center" vertical="center"/>
    </xf>
    <xf numFmtId="164" fontId="8" fillId="2" borderId="0" xfId="2" applyNumberFormat="1" applyFont="1" applyFill="1" applyAlignment="1">
      <alignment horizontal="right" vertical="center"/>
    </xf>
    <xf numFmtId="0" fontId="3" fillId="2" borderId="3" xfId="2" applyFont="1" applyFill="1" applyBorder="1" applyAlignment="1">
      <alignment vertical="center"/>
    </xf>
    <xf numFmtId="164" fontId="3" fillId="2" borderId="0" xfId="2" applyNumberFormat="1" applyFont="1" applyFill="1" applyAlignment="1">
      <alignment horizontal="right" vertical="center"/>
    </xf>
    <xf numFmtId="164" fontId="3" fillId="2" borderId="7" xfId="2" applyNumberFormat="1" applyFont="1" applyFill="1" applyBorder="1" applyAlignment="1">
      <alignment horizontal="right" vertical="center"/>
    </xf>
    <xf numFmtId="0" fontId="7" fillId="2" borderId="8" xfId="2" applyFont="1" applyFill="1" applyBorder="1" applyAlignment="1">
      <alignment vertical="center"/>
    </xf>
    <xf numFmtId="164" fontId="3" fillId="2" borderId="5" xfId="2" applyNumberFormat="1" applyFont="1" applyFill="1" applyBorder="1" applyAlignment="1">
      <alignment horizontal="right" vertical="center"/>
    </xf>
    <xf numFmtId="164" fontId="3" fillId="2" borderId="9" xfId="2" applyNumberFormat="1" applyFont="1" applyFill="1" applyBorder="1" applyAlignment="1">
      <alignment horizontal="right" vertical="center"/>
    </xf>
    <xf numFmtId="0" fontId="9" fillId="2" borderId="3" xfId="2" applyFont="1" applyFill="1" applyBorder="1" applyAlignment="1">
      <alignment vertical="center"/>
    </xf>
    <xf numFmtId="0" fontId="3" fillId="2" borderId="3" xfId="2" applyFont="1" applyFill="1" applyBorder="1" applyAlignment="1">
      <alignment horizontal="left" vertical="center" indent="1"/>
    </xf>
    <xf numFmtId="0" fontId="3" fillId="2" borderId="3" xfId="2" applyFont="1" applyFill="1" applyBorder="1" applyAlignment="1">
      <alignment vertical="top"/>
    </xf>
    <xf numFmtId="164" fontId="3" fillId="2" borderId="0" xfId="2" applyNumberFormat="1" applyFont="1" applyFill="1" applyAlignment="1">
      <alignment horizontal="right" vertical="top"/>
    </xf>
    <xf numFmtId="0" fontId="8" fillId="2" borderId="8" xfId="2" applyFont="1" applyFill="1" applyBorder="1" applyAlignment="1">
      <alignment vertical="center"/>
    </xf>
    <xf numFmtId="164" fontId="8" fillId="2" borderId="5" xfId="2" applyNumberFormat="1" applyFont="1" applyFill="1" applyBorder="1" applyAlignment="1">
      <alignment horizontal="right" vertical="center"/>
    </xf>
    <xf numFmtId="0" fontId="8" fillId="2" borderId="10" xfId="2" applyFont="1" applyFill="1" applyBorder="1" applyAlignment="1">
      <alignment horizontal="left" vertical="top" indent="3"/>
    </xf>
    <xf numFmtId="164" fontId="8" fillId="2" borderId="11" xfId="2" applyNumberFormat="1" applyFont="1" applyFill="1" applyBorder="1" applyAlignment="1">
      <alignment horizontal="right" vertical="top"/>
    </xf>
    <xf numFmtId="0" fontId="6" fillId="2" borderId="0" xfId="2" applyFont="1" applyFill="1"/>
    <xf numFmtId="0" fontId="3" fillId="2" borderId="0" xfId="2" applyFont="1" applyFill="1"/>
    <xf numFmtId="0" fontId="5" fillId="2" borderId="0" xfId="2" applyFill="1"/>
    <xf numFmtId="0" fontId="6" fillId="3" borderId="12" xfId="2" applyFont="1" applyFill="1" applyBorder="1"/>
    <xf numFmtId="0" fontId="3" fillId="3" borderId="0" xfId="2" applyFont="1" applyFill="1" applyAlignment="1">
      <alignment horizontal="center" vertical="center"/>
    </xf>
    <xf numFmtId="164" fontId="8" fillId="2" borderId="13" xfId="2" applyNumberFormat="1" applyFont="1" applyFill="1" applyBorder="1" applyAlignment="1">
      <alignment horizontal="right" vertical="center"/>
    </xf>
    <xf numFmtId="0" fontId="3" fillId="2" borderId="1" xfId="2" applyFont="1" applyFill="1" applyBorder="1" applyAlignment="1">
      <alignment vertical="top"/>
    </xf>
    <xf numFmtId="164" fontId="3" fillId="2" borderId="2" xfId="2" applyNumberFormat="1" applyFont="1" applyFill="1" applyBorder="1" applyAlignment="1">
      <alignment horizontal="right" vertical="top"/>
    </xf>
    <xf numFmtId="164" fontId="3" fillId="2" borderId="13" xfId="2" applyNumberFormat="1" applyFont="1" applyFill="1" applyBorder="1" applyAlignment="1">
      <alignment horizontal="right" vertical="center"/>
    </xf>
    <xf numFmtId="0" fontId="10" fillId="5" borderId="2" xfId="3" applyFill="1" applyBorder="1"/>
    <xf numFmtId="0" fontId="6" fillId="3" borderId="0" xfId="3" applyFont="1" applyFill="1" applyAlignment="1">
      <alignment horizontal="left" vertical="center"/>
    </xf>
    <xf numFmtId="0" fontId="6" fillId="4" borderId="0" xfId="3" applyFont="1" applyFill="1" applyAlignment="1">
      <alignment horizontal="left" vertical="center"/>
    </xf>
    <xf numFmtId="0" fontId="6" fillId="4" borderId="0" xfId="3" applyFont="1" applyFill="1" applyAlignment="1">
      <alignment horizontal="center" vertical="center"/>
    </xf>
    <xf numFmtId="0" fontId="6" fillId="4" borderId="0" xfId="3" applyFont="1" applyFill="1" applyAlignment="1">
      <alignment horizontal="right" vertical="center"/>
    </xf>
    <xf numFmtId="17" fontId="6" fillId="5" borderId="0" xfId="3" quotePrefix="1" applyNumberFormat="1" applyFont="1" applyFill="1" applyAlignment="1">
      <alignment horizontal="left" vertical="center"/>
    </xf>
    <xf numFmtId="0" fontId="6" fillId="5" borderId="0" xfId="3" applyFont="1" applyFill="1" applyAlignment="1">
      <alignment horizontal="left" vertical="center"/>
    </xf>
    <xf numFmtId="3" fontId="6" fillId="5" borderId="0" xfId="3" applyNumberFormat="1" applyFont="1" applyFill="1" applyAlignment="1">
      <alignment horizontal="right" vertical="center" wrapText="1"/>
    </xf>
    <xf numFmtId="165" fontId="6" fillId="5" borderId="0" xfId="3" applyNumberFormat="1" applyFont="1" applyFill="1" applyAlignment="1">
      <alignment horizontal="right" vertical="center" wrapText="1"/>
    </xf>
    <xf numFmtId="0" fontId="7" fillId="5" borderId="7" xfId="3" applyFont="1" applyFill="1" applyBorder="1" applyAlignment="1">
      <alignment vertical="center"/>
    </xf>
    <xf numFmtId="0" fontId="11" fillId="5" borderId="7" xfId="3" applyFont="1" applyFill="1" applyBorder="1" applyAlignment="1">
      <alignment horizontal="left" vertical="center"/>
    </xf>
    <xf numFmtId="165" fontId="11" fillId="5" borderId="7" xfId="3" applyNumberFormat="1" applyFont="1" applyFill="1" applyBorder="1" applyAlignment="1">
      <alignment horizontal="right" vertical="center"/>
    </xf>
    <xf numFmtId="0" fontId="7" fillId="5" borderId="0" xfId="3" applyFont="1" applyFill="1" applyAlignment="1">
      <alignment horizontal="left" indent="1"/>
    </xf>
    <xf numFmtId="0" fontId="12" fillId="5" borderId="0" xfId="3" applyFont="1" applyFill="1" applyAlignment="1">
      <alignment horizontal="left" vertical="center"/>
    </xf>
    <xf numFmtId="165" fontId="11" fillId="5" borderId="0" xfId="3" applyNumberFormat="1" applyFont="1" applyFill="1" applyAlignment="1">
      <alignment horizontal="right" vertical="center" wrapText="1"/>
    </xf>
    <xf numFmtId="0" fontId="3" fillId="5" borderId="0" xfId="3" applyFont="1" applyFill="1" applyAlignment="1">
      <alignment horizontal="left" vertical="center" indent="1"/>
    </xf>
    <xf numFmtId="0" fontId="13" fillId="5" borderId="0" xfId="3" applyFont="1" applyFill="1" applyAlignment="1">
      <alignment horizontal="left" vertical="center"/>
    </xf>
    <xf numFmtId="165" fontId="13" fillId="5" borderId="0" xfId="3" applyNumberFormat="1" applyFont="1" applyFill="1" applyAlignment="1">
      <alignment horizontal="right" vertical="center" wrapText="1"/>
    </xf>
    <xf numFmtId="0" fontId="6" fillId="5" borderId="0" xfId="3" applyFont="1" applyFill="1" applyAlignment="1">
      <alignment horizontal="left" vertical="center" indent="2"/>
    </xf>
    <xf numFmtId="0" fontId="3" fillId="5" borderId="7" xfId="3" applyFont="1" applyFill="1" applyBorder="1" applyAlignment="1">
      <alignment horizontal="left" vertical="center" indent="2"/>
    </xf>
    <xf numFmtId="0" fontId="3" fillId="5" borderId="7" xfId="3" applyFont="1" applyFill="1" applyBorder="1" applyAlignment="1">
      <alignment horizontal="left" vertical="center"/>
    </xf>
    <xf numFmtId="165" fontId="6" fillId="5" borderId="7" xfId="3" applyNumberFormat="1" applyFont="1" applyFill="1" applyBorder="1" applyAlignment="1">
      <alignment horizontal="right" vertical="center" wrapText="1"/>
    </xf>
    <xf numFmtId="0" fontId="7" fillId="5" borderId="0" xfId="3" applyFont="1" applyFill="1" applyAlignment="1">
      <alignment horizontal="left" vertical="center" indent="1"/>
    </xf>
    <xf numFmtId="165" fontId="7" fillId="5" borderId="0" xfId="3" applyNumberFormat="1" applyFont="1" applyFill="1" applyAlignment="1">
      <alignment horizontal="right" vertical="center" wrapText="1"/>
    </xf>
    <xf numFmtId="0" fontId="6" fillId="5" borderId="0" xfId="3" applyFont="1" applyFill="1" applyAlignment="1">
      <alignment horizontal="left" vertical="center" indent="1"/>
    </xf>
    <xf numFmtId="165" fontId="3" fillId="5" borderId="0" xfId="3" applyNumberFormat="1" applyFont="1" applyFill="1" applyAlignment="1">
      <alignment horizontal="right" vertical="center" wrapText="1"/>
    </xf>
    <xf numFmtId="165" fontId="14" fillId="5" borderId="0" xfId="3" applyNumberFormat="1" applyFont="1" applyFill="1" applyAlignment="1">
      <alignment horizontal="right" vertical="center" wrapText="1"/>
    </xf>
    <xf numFmtId="0" fontId="6" fillId="2" borderId="0" xfId="3" applyFont="1" applyFill="1" applyAlignment="1">
      <alignment horizontal="left" vertical="center" indent="3"/>
    </xf>
    <xf numFmtId="0" fontId="6" fillId="2" borderId="0" xfId="3" applyFont="1" applyFill="1" applyAlignment="1">
      <alignment horizontal="left" vertical="center" indent="2"/>
    </xf>
    <xf numFmtId="165" fontId="3" fillId="2" borderId="0" xfId="3" applyNumberFormat="1" applyFont="1" applyFill="1" applyAlignment="1">
      <alignment horizontal="right" vertical="center" wrapText="1"/>
    </xf>
    <xf numFmtId="0" fontId="5" fillId="2" borderId="0" xfId="4" applyFill="1"/>
    <xf numFmtId="166" fontId="3" fillId="3" borderId="17" xfId="4" applyNumberFormat="1" applyFont="1" applyFill="1" applyBorder="1" applyAlignment="1">
      <alignment horizontal="center" vertical="center"/>
    </xf>
    <xf numFmtId="0" fontId="3" fillId="0" borderId="3" xfId="0" applyFont="1" applyBorder="1"/>
    <xf numFmtId="0" fontId="3" fillId="3" borderId="18" xfId="4" applyFont="1" applyFill="1" applyBorder="1" applyAlignment="1">
      <alignment horizontal="center" vertical="center"/>
    </xf>
    <xf numFmtId="166" fontId="3" fillId="3" borderId="5" xfId="4" applyNumberFormat="1" applyFont="1" applyFill="1" applyBorder="1" applyAlignment="1">
      <alignment horizontal="center" vertical="center"/>
    </xf>
    <xf numFmtId="2" fontId="3" fillId="3" borderId="18" xfId="4" applyNumberFormat="1" applyFont="1" applyFill="1" applyBorder="1" applyAlignment="1">
      <alignment horizontal="right"/>
    </xf>
    <xf numFmtId="0" fontId="16" fillId="3" borderId="0" xfId="4" applyFont="1" applyFill="1" applyAlignment="1">
      <alignment horizontal="right" vertical="center"/>
    </xf>
    <xf numFmtId="0" fontId="16" fillId="3" borderId="9" xfId="4" applyFont="1" applyFill="1" applyBorder="1" applyAlignment="1">
      <alignment horizontal="right" vertical="center"/>
    </xf>
    <xf numFmtId="164" fontId="7" fillId="2" borderId="18" xfId="4" applyNumberFormat="1" applyFont="1" applyFill="1" applyBorder="1" applyAlignment="1">
      <alignment horizontal="left" vertical="center"/>
    </xf>
    <xf numFmtId="0" fontId="3" fillId="2" borderId="0" xfId="4" applyFont="1" applyFill="1" applyAlignment="1">
      <alignment horizontal="right" vertical="center"/>
    </xf>
    <xf numFmtId="164" fontId="3" fillId="2" borderId="0" xfId="4" applyNumberFormat="1" applyFont="1" applyFill="1" applyAlignment="1">
      <alignment horizontal="right" vertical="center"/>
    </xf>
    <xf numFmtId="164" fontId="3" fillId="2" borderId="13" xfId="4" applyNumberFormat="1" applyFont="1" applyFill="1" applyBorder="1" applyAlignment="1">
      <alignment horizontal="right" vertical="center"/>
    </xf>
    <xf numFmtId="164" fontId="3" fillId="2" borderId="18" xfId="4" applyNumberFormat="1" applyFont="1" applyFill="1" applyBorder="1" applyAlignment="1">
      <alignment horizontal="left" vertical="center"/>
    </xf>
    <xf numFmtId="165" fontId="6" fillId="2" borderId="0" xfId="4" applyNumberFormat="1" applyFont="1" applyFill="1" applyAlignment="1">
      <alignment horizontal="right" vertical="center"/>
    </xf>
    <xf numFmtId="165" fontId="6" fillId="2" borderId="13" xfId="4" applyNumberFormat="1" applyFont="1" applyFill="1" applyBorder="1" applyAlignment="1">
      <alignment horizontal="right" vertical="center"/>
    </xf>
    <xf numFmtId="164" fontId="3" fillId="2" borderId="18" xfId="4" applyNumberFormat="1" applyFont="1" applyFill="1" applyBorder="1" applyAlignment="1">
      <alignment horizontal="left" vertical="center" wrapText="1"/>
    </xf>
    <xf numFmtId="0" fontId="3" fillId="2" borderId="18" xfId="4" applyFont="1" applyFill="1" applyBorder="1" applyAlignment="1">
      <alignment horizontal="left" indent="1"/>
    </xf>
    <xf numFmtId="0" fontId="3" fillId="2" borderId="18" xfId="4" applyFont="1" applyFill="1" applyBorder="1" applyAlignment="1">
      <alignment horizontal="left" vertical="center" indent="1"/>
    </xf>
    <xf numFmtId="0" fontId="3" fillId="2" borderId="18" xfId="4" applyFont="1" applyFill="1" applyBorder="1" applyAlignment="1">
      <alignment horizontal="left" vertical="center" wrapText="1" indent="1"/>
    </xf>
    <xf numFmtId="0" fontId="3" fillId="2" borderId="18" xfId="4" applyFont="1" applyFill="1" applyBorder="1" applyAlignment="1">
      <alignment horizontal="left" vertical="center" indent="1" shrinkToFit="1"/>
    </xf>
    <xf numFmtId="0" fontId="6" fillId="2" borderId="18" xfId="4" applyFont="1" applyFill="1" applyBorder="1" applyAlignment="1">
      <alignment horizontal="left" vertical="center" indent="1"/>
    </xf>
    <xf numFmtId="0" fontId="3" fillId="2" borderId="20" xfId="4" applyFont="1" applyFill="1" applyBorder="1" applyAlignment="1">
      <alignment horizontal="left" vertical="center" indent="1"/>
    </xf>
    <xf numFmtId="165" fontId="6" fillId="2" borderId="7" xfId="4" applyNumberFormat="1" applyFont="1" applyFill="1" applyBorder="1" applyAlignment="1">
      <alignment horizontal="right" vertical="center"/>
    </xf>
    <xf numFmtId="0" fontId="7" fillId="2" borderId="21" xfId="4" applyFont="1" applyFill="1" applyBorder="1" applyAlignment="1">
      <alignment horizontal="left" vertical="center" wrapText="1"/>
    </xf>
    <xf numFmtId="165" fontId="11" fillId="2" borderId="6" xfId="4" applyNumberFormat="1" applyFont="1" applyFill="1" applyBorder="1" applyAlignment="1">
      <alignment horizontal="right" vertical="center"/>
    </xf>
    <xf numFmtId="165" fontId="11" fillId="2" borderId="19" xfId="4" applyNumberFormat="1" applyFont="1" applyFill="1" applyBorder="1" applyAlignment="1">
      <alignment horizontal="right" vertical="center"/>
    </xf>
    <xf numFmtId="164" fontId="7" fillId="2" borderId="18" xfId="4" applyNumberFormat="1" applyFont="1" applyFill="1" applyBorder="1" applyAlignment="1">
      <alignment horizontal="left" vertical="center" wrapText="1"/>
    </xf>
    <xf numFmtId="164" fontId="3" fillId="2" borderId="18" xfId="4" applyNumberFormat="1" applyFont="1" applyFill="1" applyBorder="1" applyAlignment="1">
      <alignment horizontal="left" vertical="center" wrapText="1" indent="1"/>
    </xf>
    <xf numFmtId="164" fontId="3" fillId="2" borderId="18" xfId="4" applyNumberFormat="1" applyFont="1" applyFill="1" applyBorder="1" applyAlignment="1">
      <alignment horizontal="left" vertical="center" indent="1" shrinkToFit="1"/>
    </xf>
    <xf numFmtId="0" fontId="3" fillId="2" borderId="20" xfId="4" applyFont="1" applyFill="1" applyBorder="1" applyAlignment="1">
      <alignment horizontal="left" vertical="center" wrapText="1" indent="1"/>
    </xf>
    <xf numFmtId="165" fontId="6" fillId="2" borderId="15" xfId="4" applyNumberFormat="1" applyFont="1" applyFill="1" applyBorder="1" applyAlignment="1">
      <alignment horizontal="right" vertical="center"/>
    </xf>
    <xf numFmtId="164" fontId="7" fillId="2" borderId="21" xfId="4" applyNumberFormat="1" applyFont="1" applyFill="1" applyBorder="1" applyAlignment="1">
      <alignment horizontal="left" vertical="center" wrapText="1"/>
    </xf>
    <xf numFmtId="164" fontId="3" fillId="2" borderId="20" xfId="4" applyNumberFormat="1" applyFont="1" applyFill="1" applyBorder="1" applyAlignment="1">
      <alignment horizontal="left" vertical="center"/>
    </xf>
    <xf numFmtId="164" fontId="7" fillId="2" borderId="21" xfId="4" applyNumberFormat="1" applyFont="1" applyFill="1" applyBorder="1" applyAlignment="1">
      <alignment horizontal="left" vertical="top" wrapText="1"/>
    </xf>
    <xf numFmtId="3" fontId="11" fillId="2" borderId="7" xfId="4" applyNumberFormat="1" applyFont="1" applyFill="1" applyBorder="1" applyAlignment="1">
      <alignment horizontal="right" vertical="center"/>
    </xf>
    <xf numFmtId="3" fontId="11" fillId="2" borderId="15" xfId="4" applyNumberFormat="1" applyFont="1" applyFill="1" applyBorder="1" applyAlignment="1">
      <alignment horizontal="right" vertical="center"/>
    </xf>
    <xf numFmtId="0" fontId="13" fillId="2" borderId="22" xfId="4" applyFont="1" applyFill="1" applyBorder="1" applyAlignment="1">
      <alignment horizontal="left" vertical="top"/>
    </xf>
    <xf numFmtId="0" fontId="18" fillId="2" borderId="2" xfId="4" applyFont="1" applyFill="1" applyBorder="1" applyAlignment="1">
      <alignment horizontal="left" vertical="top"/>
    </xf>
    <xf numFmtId="0" fontId="18" fillId="2" borderId="23" xfId="4" applyFont="1" applyFill="1" applyBorder="1" applyAlignment="1">
      <alignment horizontal="left" vertical="center"/>
    </xf>
    <xf numFmtId="0" fontId="18" fillId="2" borderId="24" xfId="4" applyFont="1" applyFill="1" applyBorder="1" applyAlignment="1">
      <alignment horizontal="left" vertical="center"/>
    </xf>
    <xf numFmtId="0" fontId="20" fillId="6" borderId="0" xfId="5" applyFont="1" applyFill="1" applyBorder="1" applyAlignment="1" applyProtection="1">
      <alignment horizontal="center" vertical="center" wrapText="1"/>
    </xf>
    <xf numFmtId="0" fontId="21" fillId="6" borderId="25" xfId="0" applyFont="1" applyFill="1" applyBorder="1"/>
    <xf numFmtId="0" fontId="22" fillId="6" borderId="0" xfId="0" applyFont="1" applyFill="1"/>
    <xf numFmtId="0" fontId="23" fillId="6" borderId="0" xfId="0" applyFont="1" applyFill="1"/>
    <xf numFmtId="0" fontId="24" fillId="6" borderId="0" xfId="0" applyFont="1" applyFill="1"/>
    <xf numFmtId="0" fontId="27" fillId="6" borderId="0" xfId="0" applyFont="1" applyFill="1"/>
    <xf numFmtId="0" fontId="24" fillId="6" borderId="0" xfId="0" applyFont="1" applyFill="1" applyAlignment="1">
      <alignment wrapText="1"/>
    </xf>
    <xf numFmtId="0" fontId="28" fillId="7" borderId="29" xfId="0" applyFont="1" applyFill="1" applyBorder="1" applyAlignment="1">
      <alignment wrapText="1"/>
    </xf>
    <xf numFmtId="0" fontId="29" fillId="7" borderId="0" xfId="0" applyFont="1" applyFill="1" applyAlignment="1">
      <alignment horizontal="center" vertical="top" wrapText="1"/>
    </xf>
    <xf numFmtId="0" fontId="29" fillId="7" borderId="0" xfId="0" applyFont="1" applyFill="1" applyAlignment="1">
      <alignment horizontal="center" wrapText="1"/>
    </xf>
    <xf numFmtId="0" fontId="27" fillId="6" borderId="0" xfId="0" applyFont="1" applyFill="1" applyAlignment="1">
      <alignment wrapText="1"/>
    </xf>
    <xf numFmtId="0" fontId="30" fillId="7" borderId="0" xfId="0" applyFont="1" applyFill="1" applyAlignment="1">
      <alignment horizontal="center" wrapText="1"/>
    </xf>
    <xf numFmtId="2" fontId="31" fillId="8" borderId="0" xfId="0" applyNumberFormat="1" applyFont="1" applyFill="1" applyAlignment="1">
      <alignment horizontal="center" wrapText="1"/>
    </xf>
    <xf numFmtId="0" fontId="28" fillId="2" borderId="29" xfId="0" applyFont="1" applyFill="1" applyBorder="1" applyProtection="1">
      <protection locked="0"/>
    </xf>
    <xf numFmtId="164" fontId="28" fillId="2" borderId="0" xfId="0" applyNumberFormat="1" applyFont="1" applyFill="1" applyAlignment="1">
      <alignment horizontal="center"/>
    </xf>
    <xf numFmtId="164" fontId="28" fillId="2" borderId="31" xfId="0" applyNumberFormat="1" applyFont="1" applyFill="1" applyBorder="1" applyAlignment="1">
      <alignment horizontal="center"/>
    </xf>
    <xf numFmtId="164" fontId="23" fillId="6" borderId="0" xfId="0" applyNumberFormat="1" applyFont="1" applyFill="1"/>
    <xf numFmtId="167" fontId="23" fillId="6" borderId="0" xfId="0" applyNumberFormat="1" applyFont="1" applyFill="1"/>
    <xf numFmtId="1" fontId="23" fillId="6" borderId="0" xfId="0" applyNumberFormat="1" applyFont="1" applyFill="1"/>
    <xf numFmtId="0" fontId="28" fillId="2" borderId="29" xfId="0" applyFont="1" applyFill="1" applyBorder="1"/>
    <xf numFmtId="0" fontId="32" fillId="6" borderId="32" xfId="0" applyFont="1" applyFill="1" applyBorder="1" applyAlignment="1">
      <alignment wrapText="1"/>
    </xf>
    <xf numFmtId="0" fontId="28" fillId="2" borderId="29" xfId="0" applyFont="1" applyFill="1" applyBorder="1" applyAlignment="1">
      <alignment horizontal="left"/>
    </xf>
    <xf numFmtId="0" fontId="28" fillId="2" borderId="33" xfId="0" applyFont="1" applyFill="1" applyBorder="1" applyAlignment="1">
      <alignment horizontal="left"/>
    </xf>
    <xf numFmtId="164" fontId="28" fillId="2" borderId="7" xfId="0" applyNumberFormat="1" applyFont="1" applyFill="1" applyBorder="1" applyAlignment="1">
      <alignment horizontal="center"/>
    </xf>
    <xf numFmtId="164" fontId="28" fillId="2" borderId="34" xfId="0" applyNumberFormat="1" applyFont="1" applyFill="1" applyBorder="1" applyAlignment="1">
      <alignment horizontal="center"/>
    </xf>
    <xf numFmtId="0" fontId="23" fillId="6" borderId="35" xfId="0" applyFont="1" applyFill="1" applyBorder="1"/>
    <xf numFmtId="0" fontId="28" fillId="2" borderId="36" xfId="0" applyFont="1" applyFill="1" applyBorder="1"/>
    <xf numFmtId="0" fontId="21" fillId="2" borderId="37" xfId="0" applyFont="1" applyFill="1" applyBorder="1" applyProtection="1">
      <protection locked="0"/>
    </xf>
    <xf numFmtId="0" fontId="21" fillId="2" borderId="38" xfId="0" applyFont="1" applyFill="1" applyBorder="1" applyProtection="1">
      <protection locked="0"/>
    </xf>
    <xf numFmtId="0" fontId="21" fillId="2" borderId="39" xfId="0" applyFont="1" applyFill="1" applyBorder="1" applyProtection="1">
      <protection locked="0"/>
    </xf>
    <xf numFmtId="0" fontId="21" fillId="2" borderId="29" xfId="0" applyFont="1" applyFill="1" applyBorder="1" applyProtection="1">
      <protection locked="0"/>
    </xf>
    <xf numFmtId="0" fontId="21" fillId="2" borderId="0" xfId="0" applyFont="1" applyFill="1" applyProtection="1">
      <protection locked="0"/>
    </xf>
    <xf numFmtId="0" fontId="21" fillId="2" borderId="31" xfId="0" applyFont="1" applyFill="1" applyBorder="1" applyProtection="1">
      <protection locked="0"/>
    </xf>
    <xf numFmtId="0" fontId="21" fillId="2" borderId="29" xfId="0" applyFont="1" applyFill="1" applyBorder="1"/>
    <xf numFmtId="0" fontId="21" fillId="2" borderId="0" xfId="0" applyFont="1" applyFill="1"/>
    <xf numFmtId="0" fontId="21" fillId="2" borderId="31" xfId="0" applyFont="1" applyFill="1" applyBorder="1"/>
    <xf numFmtId="0" fontId="21" fillId="2" borderId="40" xfId="0" applyFont="1" applyFill="1" applyBorder="1"/>
    <xf numFmtId="0" fontId="21" fillId="2" borderId="41" xfId="0" applyFont="1" applyFill="1" applyBorder="1"/>
    <xf numFmtId="0" fontId="21" fillId="2" borderId="42" xfId="0" applyFont="1" applyFill="1" applyBorder="1"/>
    <xf numFmtId="0" fontId="23" fillId="6" borderId="0" xfId="0" applyFont="1" applyFill="1" applyProtection="1">
      <protection locked="0"/>
    </xf>
    <xf numFmtId="164" fontId="23" fillId="6" borderId="0" xfId="0" applyNumberFormat="1" applyFont="1" applyFill="1" applyAlignment="1">
      <alignment horizontal="center"/>
    </xf>
    <xf numFmtId="0" fontId="21" fillId="6" borderId="0" xfId="0" applyFont="1" applyFill="1"/>
    <xf numFmtId="0" fontId="33" fillId="6" borderId="0" xfId="0" applyFont="1" applyFill="1"/>
    <xf numFmtId="0" fontId="22" fillId="6" borderId="0" xfId="0" applyFont="1" applyFill="1" applyAlignment="1">
      <alignment wrapText="1"/>
    </xf>
    <xf numFmtId="0" fontId="29" fillId="7" borderId="25" xfId="0" applyFont="1" applyFill="1" applyBorder="1" applyAlignment="1">
      <alignment horizontal="center" wrapText="1"/>
    </xf>
    <xf numFmtId="0" fontId="23" fillId="6" borderId="0" xfId="0" applyFont="1" applyFill="1" applyAlignment="1">
      <alignment wrapText="1"/>
    </xf>
    <xf numFmtId="0" fontId="28" fillId="8" borderId="29" xfId="0" applyFont="1" applyFill="1" applyBorder="1" applyProtection="1">
      <protection locked="0"/>
    </xf>
    <xf numFmtId="164" fontId="28" fillId="2" borderId="32" xfId="0" applyNumberFormat="1" applyFont="1" applyFill="1" applyBorder="1" applyAlignment="1">
      <alignment horizontal="center"/>
    </xf>
    <xf numFmtId="2" fontId="23" fillId="6" borderId="0" xfId="0" applyNumberFormat="1" applyFont="1" applyFill="1"/>
    <xf numFmtId="168" fontId="23" fillId="6" borderId="0" xfId="0" applyNumberFormat="1" applyFont="1" applyFill="1"/>
    <xf numFmtId="0" fontId="28" fillId="2" borderId="45" xfId="0" applyFont="1" applyFill="1" applyBorder="1" applyAlignment="1">
      <alignment horizontal="left"/>
    </xf>
    <xf numFmtId="164" fontId="28" fillId="2" borderId="46" xfId="0" applyNumberFormat="1" applyFont="1" applyFill="1" applyBorder="1" applyAlignment="1">
      <alignment horizontal="center"/>
    </xf>
    <xf numFmtId="0" fontId="28" fillId="2" borderId="29" xfId="0" applyFont="1" applyFill="1" applyBorder="1" applyAlignment="1" applyProtection="1">
      <alignment horizontal="left"/>
      <protection locked="0"/>
    </xf>
    <xf numFmtId="0" fontId="28" fillId="2" borderId="47" xfId="0" applyFont="1" applyFill="1" applyBorder="1" applyAlignment="1" applyProtection="1">
      <alignment horizontal="left"/>
      <protection locked="0"/>
    </xf>
    <xf numFmtId="0" fontId="28" fillId="2" borderId="36" xfId="0" applyFont="1" applyFill="1" applyBorder="1" applyAlignment="1" applyProtection="1">
      <alignment horizontal="left"/>
      <protection locked="0"/>
    </xf>
    <xf numFmtId="0" fontId="21" fillId="2" borderId="48" xfId="0" applyFont="1" applyFill="1" applyBorder="1" applyProtection="1">
      <protection locked="0"/>
    </xf>
    <xf numFmtId="0" fontId="21" fillId="2" borderId="32" xfId="0" applyFont="1" applyFill="1" applyBorder="1"/>
    <xf numFmtId="0" fontId="21" fillId="2" borderId="32" xfId="0" applyFont="1" applyFill="1" applyBorder="1" applyProtection="1">
      <protection locked="0"/>
    </xf>
    <xf numFmtId="0" fontId="21" fillId="2" borderId="49" xfId="0" applyFont="1" applyFill="1" applyBorder="1"/>
    <xf numFmtId="1" fontId="23" fillId="6" borderId="0" xfId="0" applyNumberFormat="1" applyFont="1" applyFill="1" applyAlignment="1">
      <alignment horizontal="center"/>
    </xf>
    <xf numFmtId="164" fontId="28" fillId="2" borderId="50" xfId="0" applyNumberFormat="1" applyFont="1" applyFill="1" applyBorder="1" applyAlignment="1">
      <alignment horizontal="center"/>
    </xf>
    <xf numFmtId="164" fontId="28" fillId="2" borderId="51" xfId="0" applyNumberFormat="1" applyFont="1" applyFill="1" applyBorder="1" applyAlignment="1">
      <alignment horizontal="center"/>
    </xf>
    <xf numFmtId="164" fontId="28" fillId="2" borderId="2" xfId="0" applyNumberFormat="1" applyFont="1" applyFill="1" applyBorder="1" applyAlignment="1">
      <alignment horizontal="center"/>
    </xf>
    <xf numFmtId="164" fontId="28" fillId="2" borderId="52" xfId="0" applyNumberFormat="1" applyFont="1" applyFill="1" applyBorder="1" applyAlignment="1">
      <alignment horizontal="center"/>
    </xf>
    <xf numFmtId="164" fontId="28" fillId="2" borderId="53" xfId="0" applyNumberFormat="1" applyFont="1" applyFill="1" applyBorder="1" applyAlignment="1">
      <alignment horizontal="center"/>
    </xf>
    <xf numFmtId="164" fontId="28" fillId="2" borderId="54" xfId="0" applyNumberFormat="1" applyFont="1" applyFill="1" applyBorder="1" applyAlignment="1">
      <alignment horizontal="center"/>
    </xf>
    <xf numFmtId="2" fontId="28" fillId="2" borderId="18" xfId="2" applyNumberFormat="1" applyFont="1" applyFill="1" applyBorder="1" applyAlignment="1">
      <alignment horizontal="right"/>
    </xf>
    <xf numFmtId="1" fontId="28" fillId="2" borderId="0" xfId="2" applyNumberFormat="1" applyFont="1" applyFill="1" applyAlignment="1">
      <alignment horizontal="center"/>
    </xf>
    <xf numFmtId="1" fontId="28" fillId="2" borderId="13" xfId="2" applyNumberFormat="1" applyFont="1" applyFill="1" applyBorder="1" applyAlignment="1">
      <alignment horizontal="center"/>
    </xf>
    <xf numFmtId="166" fontId="3" fillId="3" borderId="17" xfId="2" applyNumberFormat="1" applyFont="1" applyFill="1" applyBorder="1" applyAlignment="1">
      <alignment horizontal="center" vertical="center"/>
    </xf>
    <xf numFmtId="0" fontId="3" fillId="3" borderId="18" xfId="2" applyFont="1" applyFill="1" applyBorder="1" applyAlignment="1">
      <alignment horizontal="center" vertical="center"/>
    </xf>
    <xf numFmtId="2" fontId="3" fillId="3" borderId="18" xfId="2" applyNumberFormat="1" applyFont="1" applyFill="1" applyBorder="1" applyAlignment="1">
      <alignment horizontal="right"/>
    </xf>
    <xf numFmtId="0" fontId="16" fillId="3" borderId="0" xfId="2" applyFont="1" applyFill="1" applyAlignment="1">
      <alignment horizontal="right" vertical="center"/>
    </xf>
    <xf numFmtId="0" fontId="16" fillId="3" borderId="5" xfId="2" applyFont="1" applyFill="1" applyBorder="1" applyAlignment="1">
      <alignment horizontal="right" vertical="center"/>
    </xf>
    <xf numFmtId="0" fontId="16" fillId="3" borderId="9" xfId="2" applyFont="1" applyFill="1" applyBorder="1" applyAlignment="1">
      <alignment horizontal="right" vertical="center"/>
    </xf>
    <xf numFmtId="164" fontId="7" fillId="2" borderId="18" xfId="2" applyNumberFormat="1" applyFont="1" applyFill="1" applyBorder="1" applyAlignment="1">
      <alignment horizontal="left" vertical="center"/>
    </xf>
    <xf numFmtId="0" fontId="3" fillId="2" borderId="0" xfId="2" applyFont="1" applyFill="1" applyAlignment="1">
      <alignment horizontal="right" vertical="center"/>
    </xf>
    <xf numFmtId="164" fontId="3" fillId="2" borderId="18" xfId="2" applyNumberFormat="1" applyFont="1" applyFill="1" applyBorder="1" applyAlignment="1">
      <alignment horizontal="left" vertical="center"/>
    </xf>
    <xf numFmtId="165" fontId="6" fillId="2" borderId="0" xfId="2" applyNumberFormat="1" applyFont="1" applyFill="1" applyAlignment="1">
      <alignment horizontal="right" vertical="center"/>
    </xf>
    <xf numFmtId="164" fontId="3" fillId="2" borderId="18" xfId="2" applyNumberFormat="1" applyFont="1" applyFill="1" applyBorder="1" applyAlignment="1">
      <alignment horizontal="left" vertical="center" wrapText="1"/>
    </xf>
    <xf numFmtId="165" fontId="6" fillId="2" borderId="13" xfId="2" applyNumberFormat="1" applyFont="1" applyFill="1" applyBorder="1" applyAlignment="1">
      <alignment horizontal="right" vertical="center"/>
    </xf>
    <xf numFmtId="0" fontId="3" fillId="2" borderId="18" xfId="2" applyFont="1" applyFill="1" applyBorder="1" applyAlignment="1">
      <alignment horizontal="left" indent="1"/>
    </xf>
    <xf numFmtId="0" fontId="3" fillId="2" borderId="18" xfId="2" applyFont="1" applyFill="1" applyBorder="1" applyAlignment="1">
      <alignment horizontal="left" vertical="center" indent="1"/>
    </xf>
    <xf numFmtId="0" fontId="3" fillId="2" borderId="18" xfId="2" applyFont="1" applyFill="1" applyBorder="1" applyAlignment="1">
      <alignment horizontal="left" vertical="center" wrapText="1" indent="1"/>
    </xf>
    <xf numFmtId="0" fontId="3" fillId="2" borderId="18" xfId="2" applyFont="1" applyFill="1" applyBorder="1" applyAlignment="1">
      <alignment horizontal="left" vertical="center" indent="1" shrinkToFit="1"/>
    </xf>
    <xf numFmtId="0" fontId="6" fillId="2" borderId="18" xfId="2" applyFont="1" applyFill="1" applyBorder="1" applyAlignment="1">
      <alignment horizontal="left" vertical="center" indent="1"/>
    </xf>
    <xf numFmtId="0" fontId="3" fillId="2" borderId="20" xfId="2" applyFont="1" applyFill="1" applyBorder="1" applyAlignment="1">
      <alignment horizontal="left" vertical="center" indent="1"/>
    </xf>
    <xf numFmtId="165" fontId="6" fillId="2" borderId="7" xfId="2" applyNumberFormat="1" applyFont="1" applyFill="1" applyBorder="1" applyAlignment="1">
      <alignment horizontal="right" vertical="center"/>
    </xf>
    <xf numFmtId="0" fontId="7" fillId="2" borderId="21" xfId="2" applyFont="1" applyFill="1" applyBorder="1" applyAlignment="1">
      <alignment horizontal="left" vertical="center" wrapText="1"/>
    </xf>
    <xf numFmtId="165" fontId="11" fillId="2" borderId="6" xfId="2" applyNumberFormat="1" applyFont="1" applyFill="1" applyBorder="1" applyAlignment="1">
      <alignment horizontal="right" vertical="center"/>
    </xf>
    <xf numFmtId="165" fontId="11" fillId="2" borderId="19" xfId="2" applyNumberFormat="1" applyFont="1" applyFill="1" applyBorder="1" applyAlignment="1">
      <alignment horizontal="right" vertical="center"/>
    </xf>
    <xf numFmtId="164" fontId="7" fillId="2" borderId="18" xfId="2" applyNumberFormat="1" applyFont="1" applyFill="1" applyBorder="1" applyAlignment="1">
      <alignment horizontal="left" vertical="center" wrapText="1"/>
    </xf>
    <xf numFmtId="164" fontId="3" fillId="2" borderId="18" xfId="2" applyNumberFormat="1" applyFont="1" applyFill="1" applyBorder="1" applyAlignment="1">
      <alignment horizontal="left" vertical="center" wrapText="1" indent="1"/>
    </xf>
    <xf numFmtId="164" fontId="3" fillId="2" borderId="18" xfId="2" applyNumberFormat="1" applyFont="1" applyFill="1" applyBorder="1" applyAlignment="1">
      <alignment horizontal="left" vertical="center" indent="1" shrinkToFit="1"/>
    </xf>
    <xf numFmtId="0" fontId="3" fillId="2" borderId="20" xfId="2" applyFont="1" applyFill="1" applyBorder="1" applyAlignment="1">
      <alignment horizontal="left" vertical="center" wrapText="1" indent="1"/>
    </xf>
    <xf numFmtId="164" fontId="7" fillId="2" borderId="21" xfId="2" applyNumberFormat="1" applyFont="1" applyFill="1" applyBorder="1" applyAlignment="1">
      <alignment horizontal="left" vertical="center" wrapText="1"/>
    </xf>
    <xf numFmtId="164" fontId="3" fillId="2" borderId="20" xfId="2" applyNumberFormat="1" applyFont="1" applyFill="1" applyBorder="1" applyAlignment="1">
      <alignment horizontal="left" vertical="center"/>
    </xf>
    <xf numFmtId="165" fontId="6" fillId="2" borderId="15" xfId="2" applyNumberFormat="1" applyFont="1" applyFill="1" applyBorder="1" applyAlignment="1">
      <alignment horizontal="right" vertical="center"/>
    </xf>
    <xf numFmtId="164" fontId="7" fillId="2" borderId="21" xfId="2" applyNumberFormat="1" applyFont="1" applyFill="1" applyBorder="1" applyAlignment="1">
      <alignment horizontal="left" vertical="top" wrapText="1"/>
    </xf>
    <xf numFmtId="3" fontId="11" fillId="2" borderId="7" xfId="2" applyNumberFormat="1" applyFont="1" applyFill="1" applyBorder="1" applyAlignment="1">
      <alignment horizontal="right" vertical="center"/>
    </xf>
    <xf numFmtId="3" fontId="11" fillId="2" borderId="15" xfId="2" applyNumberFormat="1" applyFont="1" applyFill="1" applyBorder="1" applyAlignment="1">
      <alignment horizontal="right" vertical="center"/>
    </xf>
    <xf numFmtId="0" fontId="18" fillId="2" borderId="22" xfId="2" applyFont="1" applyFill="1" applyBorder="1" applyAlignment="1">
      <alignment horizontal="left" vertical="top"/>
    </xf>
    <xf numFmtId="0" fontId="18" fillId="2" borderId="2" xfId="2" applyFont="1" applyFill="1" applyBorder="1" applyAlignment="1">
      <alignment horizontal="left" vertical="top"/>
    </xf>
    <xf numFmtId="0" fontId="18" fillId="2" borderId="55" xfId="2" applyFont="1" applyFill="1" applyBorder="1" applyAlignment="1">
      <alignment horizontal="left" vertical="center"/>
    </xf>
    <xf numFmtId="2" fontId="28" fillId="2" borderId="18" xfId="0" applyNumberFormat="1" applyFont="1" applyFill="1" applyBorder="1" applyAlignment="1">
      <alignment horizontal="right"/>
    </xf>
    <xf numFmtId="1" fontId="28" fillId="2" borderId="0" xfId="0" applyNumberFormat="1" applyFont="1" applyFill="1" applyAlignment="1">
      <alignment horizontal="center"/>
    </xf>
    <xf numFmtId="1" fontId="28" fillId="2" borderId="13" xfId="0" applyNumberFormat="1" applyFont="1" applyFill="1" applyBorder="1" applyAlignment="1">
      <alignment horizontal="center"/>
    </xf>
    <xf numFmtId="166" fontId="3" fillId="3" borderId="17" xfId="0" applyNumberFormat="1" applyFont="1" applyFill="1" applyBorder="1" applyAlignment="1">
      <alignment horizontal="center" vertical="center"/>
    </xf>
    <xf numFmtId="0" fontId="3" fillId="3" borderId="18" xfId="0" applyFont="1" applyFill="1" applyBorder="1" applyAlignment="1">
      <alignment horizontal="center" vertical="center"/>
    </xf>
    <xf numFmtId="166" fontId="3" fillId="3" borderId="5" xfId="0" applyNumberFormat="1" applyFont="1" applyFill="1" applyBorder="1" applyAlignment="1">
      <alignment horizontal="center" vertical="center"/>
    </xf>
    <xf numFmtId="2" fontId="3" fillId="3" borderId="18" xfId="0" applyNumberFormat="1" applyFont="1" applyFill="1" applyBorder="1" applyAlignment="1">
      <alignment horizontal="right"/>
    </xf>
    <xf numFmtId="0" fontId="3" fillId="3" borderId="0" xfId="0" applyFont="1" applyFill="1" applyAlignment="1">
      <alignment horizontal="right" vertical="center"/>
    </xf>
    <xf numFmtId="0" fontId="3" fillId="3" borderId="9" xfId="0" applyFont="1" applyFill="1" applyBorder="1" applyAlignment="1">
      <alignment horizontal="right" vertical="center"/>
    </xf>
    <xf numFmtId="164" fontId="7" fillId="2" borderId="18" xfId="0" applyNumberFormat="1" applyFont="1" applyFill="1" applyBorder="1" applyAlignment="1">
      <alignment horizontal="left" vertical="center"/>
    </xf>
    <xf numFmtId="0" fontId="3" fillId="2" borderId="0" xfId="0" applyFont="1" applyFill="1" applyAlignment="1">
      <alignment horizontal="right" vertical="center"/>
    </xf>
    <xf numFmtId="164" fontId="3" fillId="2" borderId="0" xfId="0" applyNumberFormat="1" applyFont="1" applyFill="1" applyAlignment="1">
      <alignment horizontal="right" vertical="center"/>
    </xf>
    <xf numFmtId="164" fontId="3" fillId="2" borderId="13" xfId="0" applyNumberFormat="1" applyFont="1" applyFill="1" applyBorder="1" applyAlignment="1">
      <alignment horizontal="right" vertical="center"/>
    </xf>
    <xf numFmtId="164" fontId="3" fillId="2" borderId="18" xfId="0" applyNumberFormat="1" applyFont="1" applyFill="1" applyBorder="1" applyAlignment="1">
      <alignment horizontal="left" vertical="center"/>
    </xf>
    <xf numFmtId="165" fontId="6" fillId="2" borderId="0" xfId="0" applyNumberFormat="1" applyFont="1" applyFill="1" applyAlignment="1">
      <alignment horizontal="right" vertical="center"/>
    </xf>
    <xf numFmtId="165" fontId="6" fillId="2" borderId="13" xfId="0" applyNumberFormat="1" applyFont="1" applyFill="1" applyBorder="1" applyAlignment="1">
      <alignment horizontal="right" vertical="center"/>
    </xf>
    <xf numFmtId="164" fontId="3" fillId="2" borderId="18" xfId="0" applyNumberFormat="1" applyFont="1" applyFill="1" applyBorder="1" applyAlignment="1">
      <alignment horizontal="left" vertical="center" wrapText="1"/>
    </xf>
    <xf numFmtId="0" fontId="3" fillId="2" borderId="18" xfId="0" applyFont="1" applyFill="1" applyBorder="1" applyAlignment="1">
      <alignment horizontal="left" indent="1"/>
    </xf>
    <xf numFmtId="0" fontId="3" fillId="2" borderId="18" xfId="0" applyFont="1" applyFill="1" applyBorder="1" applyAlignment="1">
      <alignment horizontal="left" vertical="center" indent="1"/>
    </xf>
    <xf numFmtId="0" fontId="3" fillId="2" borderId="18" xfId="0" applyFont="1" applyFill="1" applyBorder="1" applyAlignment="1">
      <alignment horizontal="left" vertical="center" wrapText="1" indent="1"/>
    </xf>
    <xf numFmtId="0" fontId="3" fillId="2" borderId="18" xfId="0" applyFont="1" applyFill="1" applyBorder="1" applyAlignment="1">
      <alignment horizontal="left" vertical="center" indent="1" shrinkToFit="1"/>
    </xf>
    <xf numFmtId="0" fontId="6" fillId="2" borderId="18" xfId="0" applyFont="1" applyFill="1" applyBorder="1" applyAlignment="1">
      <alignment horizontal="left" vertical="center" indent="1"/>
    </xf>
    <xf numFmtId="0" fontId="3" fillId="2" borderId="20" xfId="0" applyFont="1" applyFill="1" applyBorder="1" applyAlignment="1">
      <alignment horizontal="left" vertical="center" indent="1"/>
    </xf>
    <xf numFmtId="165" fontId="6" fillId="2" borderId="7" xfId="0" applyNumberFormat="1" applyFont="1" applyFill="1" applyBorder="1" applyAlignment="1">
      <alignment horizontal="right" vertical="center"/>
    </xf>
    <xf numFmtId="165" fontId="6" fillId="2" borderId="15" xfId="0" applyNumberFormat="1" applyFont="1" applyFill="1" applyBorder="1" applyAlignment="1">
      <alignment horizontal="right" vertical="center"/>
    </xf>
    <xf numFmtId="0" fontId="7" fillId="2" borderId="21" xfId="0" applyFont="1" applyFill="1" applyBorder="1" applyAlignment="1">
      <alignment horizontal="left" vertical="center" wrapText="1"/>
    </xf>
    <xf numFmtId="165" fontId="11" fillId="2" borderId="6" xfId="0" applyNumberFormat="1" applyFont="1" applyFill="1" applyBorder="1" applyAlignment="1">
      <alignment horizontal="right" vertical="center"/>
    </xf>
    <xf numFmtId="165" fontId="11" fillId="2" borderId="19" xfId="0" applyNumberFormat="1" applyFont="1" applyFill="1" applyBorder="1" applyAlignment="1">
      <alignment horizontal="right" vertical="center"/>
    </xf>
    <xf numFmtId="164" fontId="7" fillId="2" borderId="18" xfId="0" applyNumberFormat="1" applyFont="1" applyFill="1" applyBorder="1" applyAlignment="1">
      <alignment horizontal="left" vertical="center" wrapText="1"/>
    </xf>
    <xf numFmtId="164" fontId="3" fillId="2" borderId="18" xfId="0" applyNumberFormat="1" applyFont="1" applyFill="1" applyBorder="1" applyAlignment="1">
      <alignment horizontal="left" vertical="center" wrapText="1" indent="1"/>
    </xf>
    <xf numFmtId="164" fontId="3" fillId="2" borderId="18" xfId="0" applyNumberFormat="1" applyFont="1" applyFill="1" applyBorder="1" applyAlignment="1">
      <alignment horizontal="left" vertical="center" indent="1" shrinkToFit="1"/>
    </xf>
    <xf numFmtId="0" fontId="3" fillId="2" borderId="20" xfId="0" applyFont="1" applyFill="1" applyBorder="1" applyAlignment="1">
      <alignment horizontal="left" vertical="center" wrapText="1" indent="1"/>
    </xf>
    <xf numFmtId="164" fontId="7" fillId="2" borderId="21" xfId="0" applyNumberFormat="1" applyFont="1" applyFill="1" applyBorder="1" applyAlignment="1">
      <alignment horizontal="left" vertical="center" wrapText="1"/>
    </xf>
    <xf numFmtId="164" fontId="9" fillId="2" borderId="18" xfId="0" applyNumberFormat="1" applyFont="1" applyFill="1" applyBorder="1" applyAlignment="1">
      <alignment horizontal="left" vertical="center"/>
    </xf>
    <xf numFmtId="164" fontId="3" fillId="2" borderId="20" xfId="0" applyNumberFormat="1" applyFont="1" applyFill="1" applyBorder="1" applyAlignment="1">
      <alignment horizontal="left" vertical="center"/>
    </xf>
    <xf numFmtId="164" fontId="7" fillId="2" borderId="21" xfId="0" applyNumberFormat="1" applyFont="1" applyFill="1" applyBorder="1" applyAlignment="1">
      <alignment horizontal="left" vertical="top" wrapText="1"/>
    </xf>
    <xf numFmtId="3" fontId="11" fillId="2" borderId="7" xfId="0" applyNumberFormat="1" applyFont="1" applyFill="1" applyBorder="1" applyAlignment="1">
      <alignment horizontal="right" vertical="center"/>
    </xf>
    <xf numFmtId="3" fontId="11" fillId="2" borderId="15" xfId="0" applyNumberFormat="1" applyFont="1" applyFill="1" applyBorder="1" applyAlignment="1">
      <alignment horizontal="right" vertical="center"/>
    </xf>
    <xf numFmtId="0" fontId="18" fillId="2" borderId="22" xfId="0" applyFont="1" applyFill="1" applyBorder="1" applyAlignment="1">
      <alignment horizontal="left" vertical="top"/>
    </xf>
    <xf numFmtId="0" fontId="18" fillId="2" borderId="2" xfId="0" applyFont="1" applyFill="1" applyBorder="1" applyAlignment="1">
      <alignment horizontal="left" vertical="top"/>
    </xf>
    <xf numFmtId="0" fontId="18" fillId="2" borderId="55" xfId="0" applyFont="1" applyFill="1" applyBorder="1" applyAlignment="1">
      <alignment horizontal="left" vertical="center"/>
    </xf>
    <xf numFmtId="0" fontId="36" fillId="0" borderId="0" xfId="1" applyFont="1" applyAlignment="1">
      <alignment horizontal="center" vertical="center" wrapText="1"/>
    </xf>
    <xf numFmtId="0" fontId="37" fillId="0" borderId="0" xfId="0" applyFont="1"/>
    <xf numFmtId="0" fontId="38" fillId="0" borderId="0" xfId="0" applyFont="1"/>
    <xf numFmtId="2" fontId="28" fillId="5" borderId="0" xfId="0" applyNumberFormat="1" applyFont="1" applyFill="1" applyAlignment="1">
      <alignment horizontal="right"/>
    </xf>
    <xf numFmtId="1" fontId="28" fillId="5" borderId="0" xfId="0" applyNumberFormat="1" applyFont="1" applyFill="1" applyAlignment="1">
      <alignment horizontal="center"/>
    </xf>
    <xf numFmtId="1" fontId="28" fillId="5" borderId="56" xfId="0" applyNumberFormat="1" applyFont="1" applyFill="1" applyBorder="1" applyAlignment="1">
      <alignment horizontal="center"/>
    </xf>
    <xf numFmtId="166" fontId="3" fillId="3" borderId="38" xfId="0" applyNumberFormat="1" applyFont="1" applyFill="1" applyBorder="1" applyAlignment="1">
      <alignment horizontal="center" vertical="center"/>
    </xf>
    <xf numFmtId="0" fontId="3" fillId="3" borderId="0" xfId="0" applyFont="1" applyFill="1" applyAlignment="1">
      <alignment horizontal="center" vertical="center"/>
    </xf>
    <xf numFmtId="2" fontId="3" fillId="3" borderId="0" xfId="0" applyNumberFormat="1" applyFont="1" applyFill="1" applyAlignment="1">
      <alignment horizontal="right"/>
    </xf>
    <xf numFmtId="0" fontId="16" fillId="3" borderId="0" xfId="0" applyFont="1" applyFill="1" applyAlignment="1">
      <alignment horizontal="right" vertical="center"/>
    </xf>
    <xf numFmtId="0" fontId="16" fillId="3" borderId="5" xfId="0" applyFont="1" applyFill="1" applyBorder="1" applyAlignment="1">
      <alignment horizontal="right" vertical="center"/>
    </xf>
    <xf numFmtId="0" fontId="16" fillId="3" borderId="59" xfId="0" applyFont="1" applyFill="1" applyBorder="1" applyAlignment="1">
      <alignment horizontal="right" vertical="center"/>
    </xf>
    <xf numFmtId="164" fontId="7" fillId="5" borderId="0" xfId="0" applyNumberFormat="1" applyFont="1" applyFill="1" applyAlignment="1">
      <alignment horizontal="left" vertical="center"/>
    </xf>
    <xf numFmtId="164" fontId="39" fillId="5" borderId="0" xfId="0" applyNumberFormat="1" applyFont="1" applyFill="1" applyAlignment="1">
      <alignment horizontal="left" vertical="center"/>
    </xf>
    <xf numFmtId="164" fontId="3" fillId="5" borderId="0" xfId="0" applyNumberFormat="1" applyFont="1" applyFill="1" applyAlignment="1">
      <alignment horizontal="right" vertical="center"/>
    </xf>
    <xf numFmtId="0" fontId="3" fillId="5" borderId="0" xfId="0" applyFont="1" applyFill="1" applyAlignment="1">
      <alignment horizontal="right" vertical="center"/>
    </xf>
    <xf numFmtId="164" fontId="3" fillId="5" borderId="56" xfId="0" applyNumberFormat="1" applyFont="1" applyFill="1" applyBorder="1" applyAlignment="1">
      <alignment horizontal="right" vertical="center"/>
    </xf>
    <xf numFmtId="164" fontId="3" fillId="5" borderId="0" xfId="0" applyNumberFormat="1" applyFont="1" applyFill="1" applyAlignment="1">
      <alignment horizontal="left" vertical="center"/>
    </xf>
    <xf numFmtId="165" fontId="6" fillId="5" borderId="0" xfId="0" applyNumberFormat="1" applyFont="1" applyFill="1" applyAlignment="1">
      <alignment horizontal="right" vertical="center"/>
    </xf>
    <xf numFmtId="165" fontId="6" fillId="5" borderId="56" xfId="0" applyNumberFormat="1" applyFont="1" applyFill="1" applyBorder="1" applyAlignment="1">
      <alignment horizontal="right" vertical="center"/>
    </xf>
    <xf numFmtId="164" fontId="3" fillId="5" borderId="0" xfId="0" applyNumberFormat="1" applyFont="1" applyFill="1" applyAlignment="1">
      <alignment horizontal="left" vertical="center" wrapText="1"/>
    </xf>
    <xf numFmtId="164" fontId="9" fillId="5" borderId="0" xfId="0" applyNumberFormat="1" applyFont="1" applyFill="1" applyAlignment="1">
      <alignment horizontal="left" vertical="center"/>
    </xf>
    <xf numFmtId="0" fontId="3" fillId="5" borderId="0" xfId="0" applyFont="1" applyFill="1" applyAlignment="1">
      <alignment horizontal="left" indent="1"/>
    </xf>
    <xf numFmtId="0" fontId="3" fillId="5" borderId="0" xfId="0" applyFont="1" applyFill="1" applyAlignment="1">
      <alignment horizontal="left" vertical="center" indent="1"/>
    </xf>
    <xf numFmtId="0" fontId="3" fillId="5" borderId="0" xfId="0" applyFont="1" applyFill="1" applyAlignment="1">
      <alignment horizontal="left" vertical="center" wrapText="1" indent="1"/>
    </xf>
    <xf numFmtId="0" fontId="3" fillId="5" borderId="0" xfId="0" applyFont="1" applyFill="1" applyAlignment="1">
      <alignment horizontal="left" vertical="center" indent="1" shrinkToFit="1"/>
    </xf>
    <xf numFmtId="0" fontId="6" fillId="5" borderId="0" xfId="0" applyFont="1" applyFill="1" applyAlignment="1">
      <alignment horizontal="left" vertical="center" indent="1"/>
    </xf>
    <xf numFmtId="0" fontId="3" fillId="5" borderId="7" xfId="0" applyFont="1" applyFill="1" applyBorder="1" applyAlignment="1">
      <alignment horizontal="left" vertical="center" indent="1"/>
    </xf>
    <xf numFmtId="165" fontId="6" fillId="5" borderId="7" xfId="0" applyNumberFormat="1" applyFont="1" applyFill="1" applyBorder="1" applyAlignment="1">
      <alignment horizontal="right" vertical="center"/>
    </xf>
    <xf numFmtId="165" fontId="6" fillId="5" borderId="60" xfId="0" applyNumberFormat="1" applyFont="1" applyFill="1" applyBorder="1" applyAlignment="1">
      <alignment horizontal="right" vertical="center"/>
    </xf>
    <xf numFmtId="0" fontId="7" fillId="5" borderId="6" xfId="0" applyFont="1" applyFill="1" applyBorder="1" applyAlignment="1">
      <alignment horizontal="left" vertical="center" wrapText="1"/>
    </xf>
    <xf numFmtId="165" fontId="11" fillId="5" borderId="6" xfId="0" applyNumberFormat="1" applyFont="1" applyFill="1" applyBorder="1" applyAlignment="1">
      <alignment horizontal="right" vertical="center"/>
    </xf>
    <xf numFmtId="165" fontId="11" fillId="5" borderId="58" xfId="0" applyNumberFormat="1" applyFont="1" applyFill="1" applyBorder="1" applyAlignment="1">
      <alignment horizontal="right" vertical="center"/>
    </xf>
    <xf numFmtId="164" fontId="7" fillId="5" borderId="0" xfId="0" applyNumberFormat="1" applyFont="1" applyFill="1" applyAlignment="1">
      <alignment horizontal="left" vertical="center" wrapText="1"/>
    </xf>
    <xf numFmtId="164" fontId="9" fillId="5" borderId="0" xfId="0" applyNumberFormat="1" applyFont="1" applyFill="1" applyAlignment="1">
      <alignment horizontal="left" vertical="center" wrapText="1"/>
    </xf>
    <xf numFmtId="164" fontId="3" fillId="5" borderId="0" xfId="0" applyNumberFormat="1" applyFont="1" applyFill="1" applyAlignment="1">
      <alignment horizontal="left" vertical="center" wrapText="1" indent="1"/>
    </xf>
    <xf numFmtId="164" fontId="3" fillId="5" borderId="0" xfId="0" applyNumberFormat="1" applyFont="1" applyFill="1" applyAlignment="1">
      <alignment horizontal="left" vertical="center" indent="1" shrinkToFit="1"/>
    </xf>
    <xf numFmtId="0" fontId="3" fillId="5" borderId="7" xfId="0" applyFont="1" applyFill="1" applyBorder="1" applyAlignment="1">
      <alignment horizontal="left" vertical="center" wrapText="1" indent="1"/>
    </xf>
    <xf numFmtId="164" fontId="7" fillId="5" borderId="6" xfId="0" applyNumberFormat="1" applyFont="1" applyFill="1" applyBorder="1" applyAlignment="1">
      <alignment horizontal="left" vertical="center" wrapText="1"/>
    </xf>
    <xf numFmtId="164" fontId="3" fillId="5" borderId="7" xfId="0" applyNumberFormat="1" applyFont="1" applyFill="1" applyBorder="1" applyAlignment="1">
      <alignment horizontal="left" vertical="center"/>
    </xf>
    <xf numFmtId="164" fontId="7" fillId="5" borderId="6" xfId="0" applyNumberFormat="1" applyFont="1" applyFill="1" applyBorder="1" applyAlignment="1">
      <alignment horizontal="left" vertical="top" wrapText="1"/>
    </xf>
    <xf numFmtId="165" fontId="11" fillId="5" borderId="7" xfId="0" applyNumberFormat="1" applyFont="1" applyFill="1" applyBorder="1" applyAlignment="1">
      <alignment horizontal="right" vertical="center"/>
    </xf>
    <xf numFmtId="3" fontId="11" fillId="5" borderId="7" xfId="0" applyNumberFormat="1" applyFont="1" applyFill="1" applyBorder="1" applyAlignment="1">
      <alignment horizontal="right" vertical="center"/>
    </xf>
    <xf numFmtId="3" fontId="11" fillId="5" borderId="60" xfId="0" applyNumberFormat="1" applyFont="1" applyFill="1" applyBorder="1" applyAlignment="1">
      <alignment horizontal="right" vertical="center"/>
    </xf>
    <xf numFmtId="0" fontId="18" fillId="5" borderId="5" xfId="0" applyFont="1" applyFill="1" applyBorder="1" applyAlignment="1">
      <alignment vertical="center"/>
    </xf>
    <xf numFmtId="0" fontId="13" fillId="5" borderId="5" xfId="0" applyFont="1" applyFill="1" applyBorder="1" applyAlignment="1">
      <alignment vertical="center"/>
    </xf>
    <xf numFmtId="0" fontId="13" fillId="5" borderId="59" xfId="0" applyFont="1" applyFill="1" applyBorder="1" applyAlignment="1">
      <alignment vertical="center"/>
    </xf>
    <xf numFmtId="0" fontId="18" fillId="5" borderId="2" xfId="0" applyFont="1" applyFill="1" applyBorder="1" applyAlignment="1">
      <alignment horizontal="left" vertical="top"/>
    </xf>
    <xf numFmtId="0" fontId="18" fillId="5" borderId="61" xfId="0" applyFont="1" applyFill="1" applyBorder="1" applyAlignment="1">
      <alignment horizontal="left" vertical="center"/>
    </xf>
    <xf numFmtId="164" fontId="28" fillId="2" borderId="5" xfId="0" applyNumberFormat="1" applyFont="1" applyFill="1" applyBorder="1" applyAlignment="1">
      <alignment horizontal="center"/>
    </xf>
    <xf numFmtId="0" fontId="28" fillId="2" borderId="33" xfId="0" applyFont="1" applyFill="1" applyBorder="1" applyAlignment="1" applyProtection="1">
      <alignment horizontal="left"/>
      <protection locked="0"/>
    </xf>
    <xf numFmtId="166" fontId="0" fillId="0" borderId="0" xfId="0" applyNumberFormat="1"/>
    <xf numFmtId="164" fontId="0" fillId="0" borderId="0" xfId="0" applyNumberFormat="1"/>
    <xf numFmtId="0" fontId="40" fillId="0" borderId="0" xfId="0" applyFont="1"/>
    <xf numFmtId="17" fontId="0" fillId="0" borderId="0" xfId="0" applyNumberFormat="1"/>
    <xf numFmtId="0" fontId="0" fillId="0" borderId="0" xfId="0" applyAlignment="1">
      <alignment horizontal="right"/>
    </xf>
    <xf numFmtId="1" fontId="0" fillId="0" borderId="0" xfId="0" applyNumberFormat="1"/>
    <xf numFmtId="0" fontId="2" fillId="0" borderId="0" xfId="8" applyFont="1" applyAlignment="1">
      <alignment horizontal="center" vertical="center" wrapText="1"/>
    </xf>
    <xf numFmtId="0" fontId="3" fillId="0" borderId="0" xfId="3" applyFont="1"/>
    <xf numFmtId="0" fontId="4" fillId="0" borderId="0" xfId="3" applyFont="1"/>
    <xf numFmtId="0" fontId="44" fillId="2" borderId="2" xfId="3" applyFont="1" applyFill="1" applyBorder="1"/>
    <xf numFmtId="0" fontId="44" fillId="2" borderId="0" xfId="3" applyFont="1" applyFill="1"/>
    <xf numFmtId="0" fontId="10" fillId="2" borderId="0" xfId="3" applyFill="1"/>
    <xf numFmtId="0" fontId="3" fillId="0" borderId="66" xfId="3" applyFont="1" applyBorder="1"/>
    <xf numFmtId="0" fontId="3" fillId="0" borderId="67" xfId="3" applyFont="1" applyBorder="1"/>
    <xf numFmtId="0" fontId="6" fillId="3" borderId="38" xfId="3" applyFont="1" applyFill="1" applyBorder="1" applyAlignment="1">
      <alignment horizontal="left" vertical="center"/>
    </xf>
    <xf numFmtId="0" fontId="3" fillId="0" borderId="69" xfId="3" applyFont="1" applyBorder="1"/>
    <xf numFmtId="169" fontId="6" fillId="3" borderId="5" xfId="3" applyNumberFormat="1" applyFont="1" applyFill="1" applyBorder="1" applyAlignment="1">
      <alignment horizontal="right" vertical="center"/>
    </xf>
    <xf numFmtId="169" fontId="6" fillId="3" borderId="71" xfId="3" applyNumberFormat="1" applyFont="1" applyFill="1" applyBorder="1" applyAlignment="1">
      <alignment horizontal="right" vertical="center"/>
    </xf>
    <xf numFmtId="0" fontId="7" fillId="9" borderId="0" xfId="3" applyFont="1" applyFill="1" applyAlignment="1">
      <alignment vertical="center" wrapText="1"/>
    </xf>
    <xf numFmtId="17" fontId="3" fillId="9" borderId="0" xfId="3" quotePrefix="1" applyNumberFormat="1" applyFont="1" applyFill="1" applyAlignment="1">
      <alignment vertical="center" wrapText="1"/>
    </xf>
    <xf numFmtId="165" fontId="3" fillId="9" borderId="0" xfId="3" applyNumberFormat="1" applyFont="1" applyFill="1" applyAlignment="1">
      <alignment vertical="center" wrapText="1"/>
    </xf>
    <xf numFmtId="165" fontId="3" fillId="9" borderId="72" xfId="3" applyNumberFormat="1" applyFont="1" applyFill="1" applyBorder="1" applyAlignment="1">
      <alignment vertical="center" wrapText="1"/>
    </xf>
    <xf numFmtId="165" fontId="3" fillId="9" borderId="73" xfId="3" applyNumberFormat="1" applyFont="1" applyFill="1" applyBorder="1" applyAlignment="1">
      <alignment vertical="center" wrapText="1"/>
    </xf>
    <xf numFmtId="0" fontId="3" fillId="9" borderId="0" xfId="3" applyFont="1" applyFill="1" applyAlignment="1">
      <alignment vertical="center" wrapText="1"/>
    </xf>
    <xf numFmtId="0" fontId="3" fillId="9" borderId="0" xfId="3" applyFont="1" applyFill="1" applyAlignment="1">
      <alignment horizontal="left" vertical="center" wrapText="1"/>
    </xf>
    <xf numFmtId="0" fontId="7" fillId="9" borderId="0" xfId="3" applyFont="1" applyFill="1" applyAlignment="1">
      <alignment horizontal="left" vertical="center" wrapText="1"/>
    </xf>
    <xf numFmtId="0" fontId="3" fillId="0" borderId="74" xfId="3" applyFont="1" applyBorder="1"/>
    <xf numFmtId="0" fontId="3" fillId="9" borderId="7" xfId="3" applyFont="1" applyFill="1" applyBorder="1" applyAlignment="1">
      <alignment horizontal="left" vertical="center" wrapText="1"/>
    </xf>
    <xf numFmtId="17" fontId="3" fillId="9" borderId="7" xfId="3" quotePrefix="1" applyNumberFormat="1" applyFont="1" applyFill="1" applyBorder="1" applyAlignment="1">
      <alignment vertical="center" wrapText="1"/>
    </xf>
    <xf numFmtId="165" fontId="3" fillId="9" borderId="7" xfId="3" applyNumberFormat="1" applyFont="1" applyFill="1" applyBorder="1" applyAlignment="1">
      <alignment vertical="center" wrapText="1"/>
    </xf>
    <xf numFmtId="165" fontId="3" fillId="9" borderId="75" xfId="3" applyNumberFormat="1" applyFont="1" applyFill="1" applyBorder="1" applyAlignment="1">
      <alignment vertical="center" wrapText="1"/>
    </xf>
    <xf numFmtId="0" fontId="3" fillId="0" borderId="76" xfId="3" applyFont="1" applyBorder="1"/>
    <xf numFmtId="0" fontId="7" fillId="9" borderId="2" xfId="3" applyFont="1" applyFill="1" applyBorder="1" applyAlignment="1">
      <alignment vertical="center" wrapText="1"/>
    </xf>
    <xf numFmtId="0" fontId="45" fillId="9" borderId="2" xfId="3" applyFont="1" applyFill="1" applyBorder="1" applyAlignment="1">
      <alignment vertical="center" wrapText="1"/>
    </xf>
    <xf numFmtId="164" fontId="7" fillId="9" borderId="2" xfId="3" applyNumberFormat="1" applyFont="1" applyFill="1" applyBorder="1" applyAlignment="1">
      <alignment vertical="center" wrapText="1"/>
    </xf>
    <xf numFmtId="164" fontId="7" fillId="9" borderId="23" xfId="3" applyNumberFormat="1" applyFont="1" applyFill="1" applyBorder="1" applyAlignment="1">
      <alignment vertical="center" wrapText="1"/>
    </xf>
    <xf numFmtId="164" fontId="7" fillId="9" borderId="77" xfId="3" applyNumberFormat="1" applyFont="1" applyFill="1" applyBorder="1" applyAlignment="1">
      <alignment vertical="center" wrapText="1"/>
    </xf>
    <xf numFmtId="0" fontId="3" fillId="0" borderId="38" xfId="3" applyFont="1" applyBorder="1"/>
    <xf numFmtId="0" fontId="3" fillId="0" borderId="78" xfId="3" applyFont="1" applyBorder="1"/>
    <xf numFmtId="0" fontId="10" fillId="0" borderId="0" xfId="3"/>
    <xf numFmtId="0" fontId="10" fillId="0" borderId="69" xfId="3" applyBorder="1"/>
    <xf numFmtId="0" fontId="3" fillId="0" borderId="79" xfId="3" applyFont="1" applyBorder="1"/>
    <xf numFmtId="0" fontId="6" fillId="3" borderId="38" xfId="9" applyFont="1" applyFill="1" applyBorder="1" applyAlignment="1">
      <alignment horizontal="left" vertical="center"/>
    </xf>
    <xf numFmtId="0" fontId="3" fillId="0" borderId="81" xfId="3" applyFont="1" applyBorder="1"/>
    <xf numFmtId="0" fontId="6" fillId="3" borderId="0" xfId="9" applyFont="1" applyFill="1" applyAlignment="1">
      <alignment horizontal="left" vertical="center"/>
    </xf>
    <xf numFmtId="169" fontId="6" fillId="3" borderId="5" xfId="9" applyNumberFormat="1" applyFont="1" applyFill="1" applyBorder="1" applyAlignment="1">
      <alignment horizontal="right" vertical="center"/>
    </xf>
    <xf numFmtId="169" fontId="6" fillId="3" borderId="83" xfId="9" applyNumberFormat="1" applyFont="1" applyFill="1" applyBorder="1" applyAlignment="1">
      <alignment horizontal="right" vertical="center"/>
    </xf>
    <xf numFmtId="0" fontId="7" fillId="2" borderId="0" xfId="9" applyFont="1" applyFill="1" applyAlignment="1">
      <alignment vertical="center" wrapText="1"/>
    </xf>
    <xf numFmtId="164" fontId="7" fillId="2" borderId="0" xfId="9" applyNumberFormat="1" applyFont="1" applyFill="1" applyAlignment="1">
      <alignment horizontal="right" vertical="center"/>
    </xf>
    <xf numFmtId="164" fontId="7" fillId="2" borderId="69" xfId="9" applyNumberFormat="1" applyFont="1" applyFill="1" applyBorder="1" applyAlignment="1">
      <alignment horizontal="right" vertical="center"/>
    </xf>
    <xf numFmtId="0" fontId="9" fillId="2" borderId="0" xfId="9" applyFont="1" applyFill="1" applyAlignment="1">
      <alignment horizontal="left" vertical="center" wrapText="1"/>
    </xf>
    <xf numFmtId="164" fontId="3" fillId="2" borderId="0" xfId="9" applyNumberFormat="1" applyFont="1" applyFill="1" applyAlignment="1">
      <alignment horizontal="right"/>
    </xf>
    <xf numFmtId="164" fontId="3" fillId="2" borderId="69" xfId="9" applyNumberFormat="1" applyFont="1" applyFill="1" applyBorder="1" applyAlignment="1">
      <alignment horizontal="right"/>
    </xf>
    <xf numFmtId="0" fontId="3" fillId="2" borderId="7" xfId="9" applyFont="1" applyFill="1" applyBorder="1" applyAlignment="1">
      <alignment horizontal="left" vertical="center" wrapText="1" indent="1"/>
    </xf>
    <xf numFmtId="164" fontId="3" fillId="2" borderId="7" xfId="9" applyNumberFormat="1" applyFont="1" applyFill="1" applyBorder="1" applyAlignment="1">
      <alignment horizontal="right" vertical="center"/>
    </xf>
    <xf numFmtId="164" fontId="3" fillId="2" borderId="84" xfId="9" applyNumberFormat="1" applyFont="1" applyFill="1" applyBorder="1" applyAlignment="1">
      <alignment horizontal="right" vertical="center"/>
    </xf>
    <xf numFmtId="0" fontId="7" fillId="2" borderId="6" xfId="9" applyFont="1" applyFill="1" applyBorder="1" applyAlignment="1">
      <alignment horizontal="left" vertical="center" wrapText="1"/>
    </xf>
    <xf numFmtId="164" fontId="7" fillId="2" borderId="6" xfId="9" applyNumberFormat="1" applyFont="1" applyFill="1" applyBorder="1" applyAlignment="1">
      <alignment horizontal="right" vertical="center"/>
    </xf>
    <xf numFmtId="164" fontId="7" fillId="2" borderId="82" xfId="9" applyNumberFormat="1" applyFont="1" applyFill="1" applyBorder="1" applyAlignment="1">
      <alignment horizontal="right" vertical="center"/>
    </xf>
    <xf numFmtId="164" fontId="3" fillId="2" borderId="0" xfId="9" applyNumberFormat="1" applyFont="1" applyFill="1" applyAlignment="1">
      <alignment horizontal="right" vertical="center"/>
    </xf>
    <xf numFmtId="164" fontId="3" fillId="2" borderId="69" xfId="9" applyNumberFormat="1" applyFont="1" applyFill="1" applyBorder="1" applyAlignment="1">
      <alignment horizontal="right" vertical="center"/>
    </xf>
    <xf numFmtId="0" fontId="3" fillId="2" borderId="0" xfId="9" applyFont="1" applyFill="1" applyAlignment="1">
      <alignment horizontal="left" vertical="center" indent="1"/>
    </xf>
    <xf numFmtId="2" fontId="11" fillId="10" borderId="23" xfId="10" applyNumberFormat="1" applyFont="1" applyFill="1" applyBorder="1" applyAlignment="1">
      <alignment vertical="center"/>
    </xf>
    <xf numFmtId="164" fontId="11" fillId="10" borderId="23" xfId="10" applyNumberFormat="1" applyFont="1" applyFill="1" applyBorder="1" applyAlignment="1">
      <alignment vertical="center"/>
    </xf>
    <xf numFmtId="164" fontId="11" fillId="10" borderId="85" xfId="10" applyNumberFormat="1" applyFont="1" applyFill="1" applyBorder="1" applyAlignment="1">
      <alignment vertical="center"/>
    </xf>
    <xf numFmtId="0" fontId="21" fillId="2" borderId="29" xfId="0" applyFont="1" applyFill="1" applyBorder="1"/>
    <xf numFmtId="0" fontId="21" fillId="2" borderId="0" xfId="0" applyFont="1" applyFill="1"/>
    <xf numFmtId="0" fontId="21" fillId="2" borderId="31" xfId="0" applyFont="1" applyFill="1" applyBorder="1"/>
    <xf numFmtId="0" fontId="21" fillId="2" borderId="29" xfId="0" applyFont="1" applyFill="1" applyBorder="1" applyProtection="1">
      <protection locked="0"/>
    </xf>
    <xf numFmtId="0" fontId="21" fillId="2" borderId="0" xfId="0" applyFont="1" applyFill="1" applyProtection="1">
      <protection locked="0"/>
    </xf>
    <xf numFmtId="0" fontId="21" fillId="2" borderId="31" xfId="0" applyFont="1" applyFill="1" applyBorder="1" applyProtection="1">
      <protection locked="0"/>
    </xf>
    <xf numFmtId="0" fontId="21" fillId="2" borderId="40" xfId="0" applyFont="1" applyFill="1" applyBorder="1"/>
    <xf numFmtId="0" fontId="21" fillId="2" borderId="41" xfId="0" applyFont="1" applyFill="1" applyBorder="1"/>
    <xf numFmtId="0" fontId="21" fillId="2" borderId="42" xfId="0" applyFont="1" applyFill="1" applyBorder="1"/>
    <xf numFmtId="0" fontId="21" fillId="2" borderId="32" xfId="0" applyFont="1" applyFill="1" applyBorder="1"/>
    <xf numFmtId="0" fontId="21" fillId="2" borderId="32" xfId="0" applyFont="1" applyFill="1" applyBorder="1" applyProtection="1">
      <protection locked="0"/>
    </xf>
    <xf numFmtId="0" fontId="21" fillId="2" borderId="49" xfId="0" applyFont="1" applyFill="1" applyBorder="1"/>
    <xf numFmtId="0" fontId="46" fillId="2" borderId="22" xfId="0" applyFont="1" applyFill="1" applyBorder="1"/>
    <xf numFmtId="0" fontId="46" fillId="2" borderId="2" xfId="0" applyFont="1" applyFill="1" applyBorder="1"/>
    <xf numFmtId="0" fontId="46" fillId="0" borderId="2" xfId="0" applyFont="1" applyBorder="1"/>
    <xf numFmtId="0" fontId="6" fillId="4" borderId="18" xfId="0" applyFont="1" applyFill="1" applyBorder="1" applyAlignment="1">
      <alignment horizontal="left" vertical="center"/>
    </xf>
    <xf numFmtId="0" fontId="6" fillId="4" borderId="0" xfId="0" applyFont="1" applyFill="1" applyAlignment="1">
      <alignment horizontal="center" vertical="center"/>
    </xf>
    <xf numFmtId="0" fontId="6" fillId="2" borderId="18" xfId="0" applyFont="1" applyFill="1" applyBorder="1" applyAlignment="1">
      <alignment horizontal="left" vertical="center"/>
    </xf>
    <xf numFmtId="164" fontId="6" fillId="2" borderId="18" xfId="0" applyNumberFormat="1" applyFont="1" applyFill="1" applyBorder="1" applyAlignment="1">
      <alignment horizontal="right" vertical="center"/>
    </xf>
    <xf numFmtId="0" fontId="11" fillId="2" borderId="20" xfId="0" applyFont="1" applyFill="1" applyBorder="1" applyAlignment="1">
      <alignment horizontal="left" vertical="center"/>
    </xf>
    <xf numFmtId="164" fontId="11" fillId="2" borderId="7" xfId="0" applyNumberFormat="1" applyFont="1" applyFill="1" applyBorder="1" applyAlignment="1">
      <alignment horizontal="right" vertical="center"/>
    </xf>
    <xf numFmtId="164" fontId="6" fillId="2" borderId="7" xfId="0" applyNumberFormat="1" applyFont="1" applyFill="1" applyBorder="1" applyAlignment="1">
      <alignment horizontal="right" vertical="center"/>
    </xf>
    <xf numFmtId="0" fontId="47" fillId="2" borderId="18" xfId="0" applyFont="1" applyFill="1" applyBorder="1" applyAlignment="1">
      <alignment horizontal="left" vertical="center"/>
    </xf>
    <xf numFmtId="164" fontId="6" fillId="2" borderId="0" xfId="0" applyNumberFormat="1" applyFont="1" applyFill="1" applyAlignment="1">
      <alignment horizontal="right" vertical="center"/>
    </xf>
    <xf numFmtId="0" fontId="11" fillId="2" borderId="18" xfId="0" applyFont="1" applyFill="1" applyBorder="1" applyAlignment="1">
      <alignment horizontal="left" vertical="center" indent="1"/>
    </xf>
    <xf numFmtId="164" fontId="7" fillId="2" borderId="0" xfId="0" applyNumberFormat="1" applyFont="1" applyFill="1" applyAlignment="1">
      <alignment horizontal="right" vertical="center"/>
    </xf>
    <xf numFmtId="164" fontId="11" fillId="2" borderId="18" xfId="0" applyNumberFormat="1" applyFont="1" applyFill="1" applyBorder="1" applyAlignment="1">
      <alignment horizontal="right" vertical="center"/>
    </xf>
    <xf numFmtId="0" fontId="47" fillId="2" borderId="18" xfId="0" applyFont="1" applyFill="1" applyBorder="1" applyAlignment="1">
      <alignment horizontal="left" vertical="center" indent="1"/>
    </xf>
    <xf numFmtId="0" fontId="6" fillId="2" borderId="18" xfId="0" applyFont="1" applyFill="1" applyBorder="1" applyAlignment="1">
      <alignment horizontal="left" vertical="center" indent="2"/>
    </xf>
    <xf numFmtId="0" fontId="47" fillId="2" borderId="18" xfId="0" applyFont="1" applyFill="1" applyBorder="1" applyAlignment="1">
      <alignment horizontal="left" vertical="center" indent="2"/>
    </xf>
    <xf numFmtId="0" fontId="6" fillId="2" borderId="18" xfId="0" applyFont="1" applyFill="1" applyBorder="1" applyAlignment="1">
      <alignment horizontal="left" vertical="center" indent="3"/>
    </xf>
    <xf numFmtId="0" fontId="46" fillId="0" borderId="0" xfId="0" applyFont="1" applyAlignment="1">
      <alignment vertical="center"/>
    </xf>
    <xf numFmtId="164" fontId="11" fillId="2" borderId="0" xfId="0" applyNumberFormat="1" applyFont="1" applyFill="1" applyAlignment="1">
      <alignment horizontal="right" vertical="center"/>
    </xf>
    <xf numFmtId="164" fontId="11" fillId="0" borderId="0" xfId="0" applyNumberFormat="1" applyFont="1" applyAlignment="1">
      <alignment horizontal="right" vertical="center"/>
    </xf>
    <xf numFmtId="0" fontId="0" fillId="0" borderId="0" xfId="0" applyAlignment="1">
      <alignment wrapText="1"/>
    </xf>
    <xf numFmtId="0" fontId="48" fillId="0" borderId="0" xfId="0" applyFont="1"/>
    <xf numFmtId="0" fontId="0" fillId="0" borderId="0" xfId="0" applyAlignment="1">
      <alignment horizontal="right" wrapText="1"/>
    </xf>
    <xf numFmtId="0" fontId="5" fillId="0" borderId="0" xfId="0" applyFont="1" applyAlignment="1">
      <alignment wrapText="1"/>
    </xf>
    <xf numFmtId="0" fontId="5" fillId="0" borderId="0" xfId="0" applyFont="1" applyAlignment="1">
      <alignment horizontal="right" wrapText="1"/>
    </xf>
    <xf numFmtId="2" fontId="0" fillId="0" borderId="0" xfId="0" applyNumberFormat="1"/>
    <xf numFmtId="0" fontId="5" fillId="0" borderId="0" xfId="0" applyFont="1"/>
    <xf numFmtId="0" fontId="0" fillId="0" borderId="0" xfId="0" quotePrefix="1"/>
    <xf numFmtId="2" fontId="0" fillId="0" borderId="0" xfId="0" applyNumberFormat="1" applyAlignment="1">
      <alignment wrapText="1"/>
    </xf>
    <xf numFmtId="170" fontId="0" fillId="0" borderId="0" xfId="0" applyNumberFormat="1"/>
    <xf numFmtId="16" fontId="0" fillId="0" borderId="0" xfId="0" applyNumberFormat="1" applyAlignment="1">
      <alignment horizontal="left"/>
    </xf>
    <xf numFmtId="0" fontId="51" fillId="11" borderId="0" xfId="11" applyFont="1" applyFill="1"/>
    <xf numFmtId="0" fontId="52" fillId="0" borderId="0" xfId="12" applyFont="1"/>
    <xf numFmtId="0" fontId="52" fillId="11" borderId="0" xfId="12" applyFont="1" applyFill="1"/>
    <xf numFmtId="3" fontId="52" fillId="0" borderId="0" xfId="12" applyNumberFormat="1" applyFont="1"/>
    <xf numFmtId="1" fontId="52" fillId="0" borderId="0" xfId="12" applyNumberFormat="1" applyFont="1"/>
    <xf numFmtId="0" fontId="52" fillId="0" borderId="86" xfId="12" applyFont="1" applyBorder="1"/>
    <xf numFmtId="3" fontId="52" fillId="0" borderId="86" xfId="12" applyNumberFormat="1" applyFont="1" applyBorder="1"/>
    <xf numFmtId="164" fontId="53" fillId="0" borderId="0" xfId="0" applyNumberFormat="1" applyFont="1" applyAlignment="1">
      <alignment horizontal="right" vertical="center" wrapText="1"/>
    </xf>
    <xf numFmtId="164" fontId="53" fillId="0" borderId="31" xfId="0" applyNumberFormat="1" applyFont="1" applyBorder="1" applyAlignment="1">
      <alignment horizontal="right" vertical="center" wrapText="1"/>
    </xf>
    <xf numFmtId="164" fontId="53" fillId="0" borderId="2" xfId="0" applyNumberFormat="1" applyFont="1" applyBorder="1" applyAlignment="1">
      <alignment horizontal="right" vertical="center" wrapText="1"/>
    </xf>
    <xf numFmtId="164" fontId="53" fillId="0" borderId="52" xfId="0" applyNumberFormat="1" applyFont="1" applyBorder="1" applyAlignment="1">
      <alignment horizontal="right" vertical="center" wrapText="1"/>
    </xf>
    <xf numFmtId="0" fontId="54" fillId="3" borderId="90" xfId="0" applyFont="1" applyFill="1" applyBorder="1" applyAlignment="1">
      <alignment horizontal="right" vertical="center" wrapText="1"/>
    </xf>
    <xf numFmtId="0" fontId="54" fillId="3" borderId="91" xfId="0" applyFont="1" applyFill="1" applyBorder="1" applyAlignment="1">
      <alignment horizontal="right" vertical="center" wrapText="1"/>
    </xf>
    <xf numFmtId="0" fontId="54" fillId="3" borderId="87" xfId="0" applyFont="1" applyFill="1" applyBorder="1" applyAlignment="1">
      <alignment horizontal="right" vertical="center" wrapText="1"/>
    </xf>
    <xf numFmtId="0" fontId="54" fillId="3" borderId="88" xfId="0" applyFont="1" applyFill="1" applyBorder="1" applyAlignment="1">
      <alignment horizontal="right" vertical="center" wrapText="1"/>
    </xf>
    <xf numFmtId="0" fontId="54" fillId="3" borderId="89" xfId="0" applyFont="1" applyFill="1" applyBorder="1" applyAlignment="1">
      <alignment horizontal="right" vertical="center" wrapText="1"/>
    </xf>
    <xf numFmtId="0" fontId="54" fillId="0" borderId="0" xfId="0" applyFont="1"/>
    <xf numFmtId="0" fontId="6" fillId="4" borderId="0" xfId="0" applyFont="1" applyFill="1" applyAlignment="1">
      <alignment horizontal="left" vertical="center"/>
    </xf>
    <xf numFmtId="0" fontId="6" fillId="2" borderId="0" xfId="0" applyFont="1" applyFill="1" applyAlignment="1">
      <alignment horizontal="left" vertical="center"/>
    </xf>
    <xf numFmtId="0" fontId="11" fillId="2" borderId="7" xfId="0" applyFont="1" applyFill="1" applyBorder="1" applyAlignment="1">
      <alignment horizontal="left" vertical="center"/>
    </xf>
    <xf numFmtId="0" fontId="9" fillId="0" borderId="0" xfId="0" applyFont="1"/>
    <xf numFmtId="0" fontId="47" fillId="2" borderId="0" xfId="0" applyFont="1" applyFill="1" applyAlignment="1">
      <alignment horizontal="left" vertical="center" wrapText="1"/>
    </xf>
    <xf numFmtId="164" fontId="47" fillId="2" borderId="0" xfId="0" applyNumberFormat="1" applyFont="1" applyFill="1" applyAlignment="1">
      <alignment horizontal="right" vertical="center"/>
    </xf>
    <xf numFmtId="0" fontId="55" fillId="0" borderId="0" xfId="0" applyFont="1"/>
    <xf numFmtId="0" fontId="11" fillId="2" borderId="0" xfId="0" applyFont="1" applyFill="1" applyAlignment="1">
      <alignment horizontal="left" wrapText="1"/>
    </xf>
    <xf numFmtId="164" fontId="47" fillId="2" borderId="18" xfId="0" applyNumberFormat="1" applyFont="1" applyFill="1" applyBorder="1" applyAlignment="1">
      <alignment horizontal="right" vertical="center"/>
    </xf>
    <xf numFmtId="0" fontId="6" fillId="2" borderId="0" xfId="0" applyFont="1" applyFill="1" applyAlignment="1">
      <alignment horizontal="left" vertical="center" wrapText="1" indent="1"/>
    </xf>
    <xf numFmtId="0" fontId="47" fillId="2" borderId="0" xfId="0" applyFont="1" applyFill="1" applyAlignment="1">
      <alignment horizontal="left" vertical="center" wrapText="1" indent="1"/>
    </xf>
    <xf numFmtId="0" fontId="6" fillId="2" borderId="0" xfId="0" applyFont="1" applyFill="1" applyAlignment="1">
      <alignment horizontal="left" vertical="center" wrapText="1" indent="2"/>
    </xf>
    <xf numFmtId="0" fontId="11" fillId="2" borderId="0" xfId="0" applyFont="1" applyFill="1" applyAlignment="1">
      <alignment horizontal="left" vertical="center" wrapText="1"/>
    </xf>
    <xf numFmtId="0" fontId="3" fillId="2" borderId="0" xfId="0" applyFont="1" applyFill="1" applyAlignment="1">
      <alignment horizontal="left" indent="1"/>
    </xf>
    <xf numFmtId="0" fontId="7" fillId="2" borderId="0" xfId="0" applyFont="1" applyFill="1" applyAlignment="1">
      <alignment horizontal="left"/>
    </xf>
    <xf numFmtId="0" fontId="9" fillId="2" borderId="0" xfId="0" applyFont="1" applyFill="1" applyAlignment="1">
      <alignment horizontal="left"/>
    </xf>
    <xf numFmtId="164" fontId="9" fillId="2" borderId="0" xfId="0" applyNumberFormat="1" applyFont="1" applyFill="1" applyAlignment="1">
      <alignment horizontal="right" vertical="center"/>
    </xf>
    <xf numFmtId="0" fontId="6" fillId="2" borderId="0" xfId="0" applyFont="1" applyFill="1" applyAlignment="1">
      <alignment horizontal="left" vertical="center" indent="1"/>
    </xf>
    <xf numFmtId="2" fontId="28" fillId="2" borderId="2" xfId="12" applyNumberFormat="1" applyFont="1" applyFill="1" applyBorder="1" applyAlignment="1">
      <alignment horizontal="right"/>
    </xf>
    <xf numFmtId="1" fontId="28" fillId="2" borderId="0" xfId="12" applyNumberFormat="1" applyFont="1" applyFill="1" applyAlignment="1">
      <alignment horizontal="center"/>
    </xf>
    <xf numFmtId="1" fontId="28" fillId="2" borderId="2" xfId="12" applyNumberFormat="1" applyFont="1" applyFill="1" applyBorder="1" applyAlignment="1">
      <alignment horizontal="center"/>
    </xf>
    <xf numFmtId="164" fontId="7" fillId="2" borderId="0" xfId="12" applyNumberFormat="1" applyFont="1" applyFill="1" applyAlignment="1">
      <alignment horizontal="left" vertical="center"/>
    </xf>
    <xf numFmtId="0" fontId="3" fillId="2" borderId="0" xfId="12" applyFont="1" applyFill="1" applyAlignment="1">
      <alignment horizontal="right" vertical="center"/>
    </xf>
    <xf numFmtId="164" fontId="3" fillId="2" borderId="0" xfId="12" applyNumberFormat="1" applyFont="1" applyFill="1" applyAlignment="1">
      <alignment horizontal="right" vertical="center"/>
    </xf>
    <xf numFmtId="164" fontId="3" fillId="2" borderId="13" xfId="12" applyNumberFormat="1" applyFont="1" applyFill="1" applyBorder="1" applyAlignment="1">
      <alignment horizontal="right" vertical="center"/>
    </xf>
    <xf numFmtId="164" fontId="3" fillId="2" borderId="0" xfId="12" applyNumberFormat="1" applyFont="1" applyFill="1" applyAlignment="1">
      <alignment horizontal="left" vertical="center"/>
    </xf>
    <xf numFmtId="165" fontId="6" fillId="2" borderId="0" xfId="12" applyNumberFormat="1" applyFont="1" applyFill="1" applyAlignment="1">
      <alignment horizontal="right" vertical="center"/>
    </xf>
    <xf numFmtId="165" fontId="6" fillId="2" borderId="13" xfId="12" applyNumberFormat="1" applyFont="1" applyFill="1" applyBorder="1" applyAlignment="1">
      <alignment horizontal="right" vertical="center"/>
    </xf>
    <xf numFmtId="164" fontId="3" fillId="2" borderId="0" xfId="12" applyNumberFormat="1" applyFont="1" applyFill="1" applyAlignment="1">
      <alignment horizontal="left" vertical="center" wrapText="1"/>
    </xf>
    <xf numFmtId="164" fontId="9" fillId="2" borderId="0" xfId="12" applyNumberFormat="1" applyFont="1" applyFill="1" applyAlignment="1">
      <alignment horizontal="left" vertical="center"/>
    </xf>
    <xf numFmtId="0" fontId="3" fillId="2" borderId="0" xfId="12" applyFont="1" applyFill="1" applyAlignment="1">
      <alignment horizontal="left" indent="1"/>
    </xf>
    <xf numFmtId="0" fontId="3" fillId="2" borderId="0" xfId="12" applyFont="1" applyFill="1" applyAlignment="1">
      <alignment horizontal="left" vertical="center" indent="1"/>
    </xf>
    <xf numFmtId="0" fontId="3" fillId="2" borderId="0" xfId="12" applyFont="1" applyFill="1" applyAlignment="1">
      <alignment horizontal="left" vertical="center" wrapText="1" indent="1"/>
    </xf>
    <xf numFmtId="0" fontId="3" fillId="2" borderId="0" xfId="12" applyFont="1" applyFill="1" applyAlignment="1">
      <alignment horizontal="left" vertical="center" indent="1" shrinkToFit="1"/>
    </xf>
    <xf numFmtId="0" fontId="6" fillId="2" borderId="0" xfId="12" applyFont="1" applyFill="1" applyAlignment="1">
      <alignment horizontal="left" vertical="center" indent="1"/>
    </xf>
    <xf numFmtId="0" fontId="3" fillId="2" borderId="7" xfId="12" applyFont="1" applyFill="1" applyBorder="1" applyAlignment="1">
      <alignment horizontal="left" vertical="center" indent="1"/>
    </xf>
    <xf numFmtId="0" fontId="7" fillId="2" borderId="6" xfId="12" applyFont="1" applyFill="1" applyBorder="1" applyAlignment="1">
      <alignment horizontal="left" vertical="center" wrapText="1"/>
    </xf>
    <xf numFmtId="165" fontId="11" fillId="2" borderId="6" xfId="12" applyNumberFormat="1" applyFont="1" applyFill="1" applyBorder="1" applyAlignment="1">
      <alignment horizontal="right" vertical="center"/>
    </xf>
    <xf numFmtId="165" fontId="11" fillId="2" borderId="19" xfId="12" applyNumberFormat="1" applyFont="1" applyFill="1" applyBorder="1" applyAlignment="1">
      <alignment horizontal="right" vertical="center"/>
    </xf>
    <xf numFmtId="164" fontId="7" fillId="2" borderId="0" xfId="12" applyNumberFormat="1" applyFont="1" applyFill="1" applyAlignment="1">
      <alignment horizontal="left" vertical="center" wrapText="1"/>
    </xf>
    <xf numFmtId="164" fontId="9" fillId="2" borderId="0" xfId="12" applyNumberFormat="1" applyFont="1" applyFill="1" applyAlignment="1">
      <alignment horizontal="left" vertical="center" wrapText="1"/>
    </xf>
    <xf numFmtId="164" fontId="3" fillId="2" borderId="0" xfId="12" applyNumberFormat="1" applyFont="1" applyFill="1" applyAlignment="1">
      <alignment horizontal="left" vertical="center" wrapText="1" indent="1"/>
    </xf>
    <xf numFmtId="164" fontId="3" fillId="2" borderId="0" xfId="12" applyNumberFormat="1" applyFont="1" applyFill="1" applyAlignment="1">
      <alignment horizontal="left" vertical="center" indent="1" shrinkToFit="1"/>
    </xf>
    <xf numFmtId="0" fontId="3" fillId="2" borderId="7" xfId="12" applyFont="1" applyFill="1" applyBorder="1" applyAlignment="1">
      <alignment horizontal="left" vertical="center" wrapText="1" indent="1"/>
    </xf>
    <xf numFmtId="165" fontId="6" fillId="2" borderId="7" xfId="12" applyNumberFormat="1" applyFont="1" applyFill="1" applyBorder="1" applyAlignment="1">
      <alignment horizontal="right" vertical="center"/>
    </xf>
    <xf numFmtId="165" fontId="6" fillId="2" borderId="15" xfId="12" applyNumberFormat="1" applyFont="1" applyFill="1" applyBorder="1" applyAlignment="1">
      <alignment horizontal="right" vertical="center"/>
    </xf>
    <xf numFmtId="164" fontId="7" fillId="2" borderId="6" xfId="12" applyNumberFormat="1" applyFont="1" applyFill="1" applyBorder="1" applyAlignment="1">
      <alignment horizontal="left" vertical="center" wrapText="1"/>
    </xf>
    <xf numFmtId="164" fontId="3" fillId="2" borderId="5" xfId="12" applyNumberFormat="1" applyFont="1" applyFill="1" applyBorder="1" applyAlignment="1">
      <alignment horizontal="left" vertical="center"/>
    </xf>
    <xf numFmtId="164" fontId="3" fillId="2" borderId="7" xfId="12" applyNumberFormat="1" applyFont="1" applyFill="1" applyBorder="1" applyAlignment="1">
      <alignment horizontal="left" vertical="center"/>
    </xf>
    <xf numFmtId="164" fontId="7" fillId="2" borderId="6" xfId="12" applyNumberFormat="1" applyFont="1" applyFill="1" applyBorder="1" applyAlignment="1">
      <alignment horizontal="left" vertical="top" wrapText="1"/>
    </xf>
    <xf numFmtId="3" fontId="11" fillId="2" borderId="7" xfId="12" applyNumberFormat="1" applyFont="1" applyFill="1" applyBorder="1" applyAlignment="1">
      <alignment horizontal="right" vertical="center"/>
    </xf>
    <xf numFmtId="3" fontId="11" fillId="2" borderId="15" xfId="12" applyNumberFormat="1" applyFont="1" applyFill="1" applyBorder="1" applyAlignment="1">
      <alignment horizontal="right" vertical="center"/>
    </xf>
    <xf numFmtId="0" fontId="13" fillId="2" borderId="2" xfId="12" applyFont="1" applyFill="1" applyBorder="1" applyAlignment="1">
      <alignment horizontal="left" vertical="top"/>
    </xf>
    <xf numFmtId="0" fontId="18" fillId="2" borderId="2" xfId="12" applyFont="1" applyFill="1" applyBorder="1" applyAlignment="1">
      <alignment horizontal="left" vertical="top"/>
    </xf>
    <xf numFmtId="0" fontId="18" fillId="2" borderId="23" xfId="12" applyFont="1" applyFill="1" applyBorder="1" applyAlignment="1">
      <alignment horizontal="left" vertical="center"/>
    </xf>
    <xf numFmtId="0" fontId="18" fillId="2" borderId="24" xfId="12" applyFont="1" applyFill="1" applyBorder="1" applyAlignment="1">
      <alignment horizontal="left" vertical="center"/>
    </xf>
    <xf numFmtId="0" fontId="54" fillId="0" borderId="0" xfId="3" applyFont="1"/>
    <xf numFmtId="166" fontId="54" fillId="3" borderId="38" xfId="12" applyNumberFormat="1" applyFont="1" applyFill="1" applyBorder="1" applyAlignment="1">
      <alignment horizontal="center" vertical="center"/>
    </xf>
    <xf numFmtId="0" fontId="54" fillId="3" borderId="0" xfId="12" applyFont="1" applyFill="1" applyAlignment="1">
      <alignment horizontal="center" vertical="center"/>
    </xf>
    <xf numFmtId="166" fontId="54" fillId="3" borderId="5" xfId="12" applyNumberFormat="1" applyFont="1" applyFill="1" applyBorder="1" applyAlignment="1">
      <alignment horizontal="center" vertical="center"/>
    </xf>
    <xf numFmtId="2" fontId="54" fillId="3" borderId="0" xfId="12" applyNumberFormat="1" applyFont="1" applyFill="1" applyAlignment="1">
      <alignment horizontal="right"/>
    </xf>
    <xf numFmtId="0" fontId="56" fillId="3" borderId="0" xfId="12" applyFont="1" applyFill="1" applyAlignment="1">
      <alignment horizontal="center" vertical="center"/>
    </xf>
    <xf numFmtId="0" fontId="56" fillId="3" borderId="0" xfId="12" applyFont="1" applyFill="1" applyAlignment="1">
      <alignment horizontal="right" vertical="center"/>
    </xf>
    <xf numFmtId="0" fontId="56" fillId="3" borderId="9" xfId="12" applyFont="1" applyFill="1" applyBorder="1" applyAlignment="1">
      <alignment horizontal="right" vertical="center"/>
    </xf>
    <xf numFmtId="0" fontId="57" fillId="2" borderId="0" xfId="13" applyFont="1" applyFill="1"/>
    <xf numFmtId="0" fontId="57" fillId="2" borderId="69" xfId="13" applyFont="1" applyFill="1" applyBorder="1"/>
    <xf numFmtId="0" fontId="6" fillId="12" borderId="92" xfId="13" applyFont="1" applyFill="1" applyBorder="1" applyAlignment="1">
      <alignment horizontal="left" vertical="center"/>
    </xf>
    <xf numFmtId="0" fontId="6" fillId="12" borderId="0" xfId="13" applyFont="1" applyFill="1" applyAlignment="1">
      <alignment horizontal="left" vertical="center"/>
    </xf>
    <xf numFmtId="0" fontId="11" fillId="12" borderId="97" xfId="13" applyFont="1" applyFill="1" applyBorder="1" applyAlignment="1">
      <alignment horizontal="left" vertical="center"/>
    </xf>
    <xf numFmtId="0" fontId="6" fillId="12" borderId="98" xfId="13" applyFont="1" applyFill="1" applyBorder="1" applyAlignment="1">
      <alignment horizontal="right" vertical="center"/>
    </xf>
    <xf numFmtId="0" fontId="6" fillId="12" borderId="99" xfId="13" applyFont="1" applyFill="1" applyBorder="1" applyAlignment="1">
      <alignment horizontal="right" vertical="center"/>
    </xf>
    <xf numFmtId="0" fontId="58" fillId="10" borderId="0" xfId="13" applyFont="1" applyFill="1" applyAlignment="1">
      <alignment vertical="center" wrapText="1"/>
    </xf>
    <xf numFmtId="0" fontId="59" fillId="10" borderId="0" xfId="13" applyFont="1" applyFill="1" applyAlignment="1">
      <alignment vertical="center" wrapText="1"/>
    </xf>
    <xf numFmtId="0" fontId="59" fillId="10" borderId="69" xfId="13" applyFont="1" applyFill="1" applyBorder="1" applyAlignment="1">
      <alignment vertical="center" wrapText="1"/>
    </xf>
    <xf numFmtId="0" fontId="60" fillId="10" borderId="0" xfId="13" applyFont="1" applyFill="1" applyAlignment="1">
      <alignment vertical="center" wrapText="1"/>
    </xf>
    <xf numFmtId="164" fontId="60" fillId="10" borderId="0" xfId="13" applyNumberFormat="1" applyFont="1" applyFill="1" applyAlignment="1">
      <alignment vertical="center" wrapText="1"/>
    </xf>
    <xf numFmtId="164" fontId="60" fillId="10" borderId="69" xfId="13" applyNumberFormat="1" applyFont="1" applyFill="1" applyBorder="1" applyAlignment="1">
      <alignment vertical="center" wrapText="1"/>
    </xf>
    <xf numFmtId="0" fontId="60" fillId="10" borderId="0" xfId="13" applyFont="1" applyFill="1" applyAlignment="1">
      <alignment horizontal="left" vertical="center" wrapText="1"/>
    </xf>
    <xf numFmtId="0" fontId="58" fillId="10" borderId="2" xfId="13" applyFont="1" applyFill="1" applyBorder="1" applyAlignment="1">
      <alignment horizontal="left" vertical="center" wrapText="1"/>
    </xf>
    <xf numFmtId="164" fontId="58" fillId="10" borderId="2" xfId="13" applyNumberFormat="1" applyFont="1" applyFill="1" applyBorder="1" applyAlignment="1">
      <alignment vertical="center" wrapText="1"/>
    </xf>
    <xf numFmtId="164" fontId="58" fillId="10" borderId="100" xfId="13" applyNumberFormat="1" applyFont="1" applyFill="1" applyBorder="1" applyAlignment="1">
      <alignment vertical="center" wrapText="1"/>
    </xf>
    <xf numFmtId="0" fontId="58" fillId="10" borderId="0" xfId="13" applyFont="1" applyFill="1" applyAlignment="1">
      <alignment horizontal="left" vertical="center" wrapText="1"/>
    </xf>
    <xf numFmtId="164" fontId="59" fillId="10" borderId="0" xfId="13" applyNumberFormat="1" applyFont="1" applyFill="1" applyAlignment="1">
      <alignment horizontal="right" vertical="center" wrapText="1"/>
    </xf>
    <xf numFmtId="164" fontId="59" fillId="10" borderId="69" xfId="13" applyNumberFormat="1" applyFont="1" applyFill="1" applyBorder="1" applyAlignment="1">
      <alignment horizontal="right" vertical="center" wrapText="1"/>
    </xf>
    <xf numFmtId="164" fontId="3" fillId="2" borderId="0" xfId="13" applyNumberFormat="1" applyFont="1" applyFill="1" applyAlignment="1">
      <alignment vertical="center"/>
    </xf>
    <xf numFmtId="164" fontId="3" fillId="2" borderId="69" xfId="13" applyNumberFormat="1" applyFont="1" applyFill="1" applyBorder="1" applyAlignment="1">
      <alignment vertical="center"/>
    </xf>
    <xf numFmtId="164" fontId="58" fillId="10" borderId="2" xfId="13" applyNumberFormat="1" applyFont="1" applyFill="1" applyBorder="1" applyAlignment="1">
      <alignment horizontal="right" vertical="center" wrapText="1"/>
    </xf>
    <xf numFmtId="0" fontId="6" fillId="3" borderId="87" xfId="0" applyFont="1" applyFill="1" applyBorder="1" applyAlignment="1">
      <alignment horizontal="right" vertical="center" wrapText="1"/>
    </xf>
    <xf numFmtId="0" fontId="6" fillId="3" borderId="88" xfId="0" applyFont="1" applyFill="1" applyBorder="1" applyAlignment="1">
      <alignment horizontal="right" vertical="center" wrapText="1"/>
    </xf>
    <xf numFmtId="0" fontId="6" fillId="3" borderId="89" xfId="0" applyFont="1" applyFill="1" applyBorder="1" applyAlignment="1">
      <alignment horizontal="right" vertical="center" wrapText="1"/>
    </xf>
    <xf numFmtId="0" fontId="6" fillId="3" borderId="90" xfId="0" applyFont="1" applyFill="1" applyBorder="1" applyAlignment="1">
      <alignment horizontal="right" vertical="center" wrapText="1"/>
    </xf>
    <xf numFmtId="1" fontId="6" fillId="0" borderId="0" xfId="0" applyNumberFormat="1" applyFont="1" applyAlignment="1">
      <alignment horizontal="right" vertical="center" wrapText="1"/>
    </xf>
    <xf numFmtId="1" fontId="53" fillId="0" borderId="0" xfId="0" applyNumberFormat="1" applyFont="1" applyAlignment="1">
      <alignment horizontal="right" vertical="center" wrapText="1"/>
    </xf>
    <xf numFmtId="1" fontId="53" fillId="0" borderId="31" xfId="0" applyNumberFormat="1" applyFont="1" applyBorder="1" applyAlignment="1">
      <alignment horizontal="right" vertical="center" wrapText="1"/>
    </xf>
    <xf numFmtId="0" fontId="6" fillId="3" borderId="91" xfId="0" applyFont="1" applyFill="1" applyBorder="1" applyAlignment="1">
      <alignment horizontal="right" vertical="center" wrapText="1"/>
    </xf>
    <xf numFmtId="1" fontId="6" fillId="0" borderId="2" xfId="0" applyNumberFormat="1" applyFont="1" applyBorder="1" applyAlignment="1">
      <alignment horizontal="right" vertical="center" wrapText="1"/>
    </xf>
    <xf numFmtId="1" fontId="53" fillId="0" borderId="2" xfId="0" applyNumberFormat="1" applyFont="1" applyBorder="1" applyAlignment="1">
      <alignment horizontal="right" vertical="center" wrapText="1"/>
    </xf>
    <xf numFmtId="1" fontId="53" fillId="0" borderId="52" xfId="0" applyNumberFormat="1" applyFont="1" applyBorder="1" applyAlignment="1">
      <alignment horizontal="right" vertical="center" wrapText="1"/>
    </xf>
    <xf numFmtId="0" fontId="42" fillId="0" borderId="0" xfId="6"/>
    <xf numFmtId="0" fontId="42" fillId="13" borderId="101" xfId="6" applyFill="1" applyBorder="1"/>
    <xf numFmtId="0" fontId="61" fillId="14" borderId="101" xfId="6" applyFont="1" applyFill="1" applyBorder="1" applyAlignment="1">
      <alignment horizontal="left" wrapText="1"/>
    </xf>
    <xf numFmtId="171" fontId="0" fillId="0" borderId="0" xfId="0" applyNumberFormat="1"/>
    <xf numFmtId="171" fontId="62" fillId="0" borderId="0" xfId="0" applyNumberFormat="1" applyFont="1"/>
    <xf numFmtId="0" fontId="41" fillId="0" borderId="0" xfId="7"/>
    <xf numFmtId="0" fontId="0" fillId="0" borderId="0" xfId="7" applyFont="1"/>
    <xf numFmtId="0" fontId="41" fillId="0" borderId="0" xfId="7" applyAlignment="1">
      <alignment horizontal="right"/>
    </xf>
    <xf numFmtId="0" fontId="6" fillId="12" borderId="93" xfId="13" applyFont="1" applyFill="1" applyBorder="1" applyAlignment="1">
      <alignment horizontal="center" vertical="center"/>
    </xf>
    <xf numFmtId="0" fontId="6" fillId="12" borderId="94" xfId="13" applyFont="1" applyFill="1" applyBorder="1" applyAlignment="1">
      <alignment horizontal="center" vertical="center"/>
    </xf>
    <xf numFmtId="0" fontId="6" fillId="12" borderId="95" xfId="13" applyFont="1" applyFill="1" applyBorder="1" applyAlignment="1">
      <alignment horizontal="center" vertical="center"/>
    </xf>
    <xf numFmtId="0" fontId="6" fillId="12" borderId="96" xfId="13" applyFont="1" applyFill="1" applyBorder="1" applyAlignment="1">
      <alignment horizontal="center" vertical="center"/>
    </xf>
    <xf numFmtId="0" fontId="6" fillId="4" borderId="4" xfId="0" applyFont="1" applyFill="1" applyBorder="1" applyAlignment="1">
      <alignment horizontal="center" vertical="center"/>
    </xf>
    <xf numFmtId="0" fontId="6" fillId="4" borderId="7" xfId="0" applyFont="1" applyFill="1" applyBorder="1" applyAlignment="1">
      <alignment horizontal="center" vertical="center"/>
    </xf>
    <xf numFmtId="0" fontId="8" fillId="2" borderId="23" xfId="0" applyFont="1" applyFill="1" applyBorder="1" applyAlignment="1">
      <alignment horizontal="left" vertical="center" wrapText="1"/>
    </xf>
    <xf numFmtId="164" fontId="54" fillId="3" borderId="4" xfId="12" applyNumberFormat="1" applyFont="1" applyFill="1" applyBorder="1" applyAlignment="1">
      <alignment horizontal="center" vertical="center" wrapText="1"/>
    </xf>
    <xf numFmtId="164" fontId="54" fillId="3" borderId="14" xfId="12" applyNumberFormat="1" applyFont="1" applyFill="1" applyBorder="1" applyAlignment="1">
      <alignment horizontal="center" vertical="center" wrapText="1"/>
    </xf>
    <xf numFmtId="164" fontId="54" fillId="3" borderId="6" xfId="12" applyNumberFormat="1" applyFont="1" applyFill="1" applyBorder="1" applyAlignment="1">
      <alignment horizontal="center" vertical="center" wrapText="1"/>
    </xf>
    <xf numFmtId="164" fontId="54" fillId="3" borderId="82" xfId="12" applyNumberFormat="1" applyFont="1" applyFill="1" applyBorder="1" applyAlignment="1">
      <alignment horizontal="center" vertical="center" wrapText="1"/>
    </xf>
    <xf numFmtId="0" fontId="22" fillId="3" borderId="0" xfId="0" applyFont="1" applyFill="1" applyAlignment="1">
      <alignment horizontal="center" vertical="center" wrapText="1"/>
    </xf>
    <xf numFmtId="0" fontId="22" fillId="7" borderId="30" xfId="0" applyFont="1" applyFill="1" applyBorder="1" applyAlignment="1">
      <alignment horizontal="center" vertical="center" wrapText="1"/>
    </xf>
    <xf numFmtId="0" fontId="22" fillId="7" borderId="31" xfId="0" applyFont="1" applyFill="1" applyBorder="1" applyAlignment="1">
      <alignment horizontal="center" vertical="center" wrapText="1"/>
    </xf>
    <xf numFmtId="0" fontId="32" fillId="6" borderId="32" xfId="0" applyFont="1" applyFill="1" applyBorder="1" applyAlignment="1">
      <alignment horizontal="center" wrapText="1"/>
    </xf>
    <xf numFmtId="0" fontId="25" fillId="7" borderId="26" xfId="0" applyFont="1" applyFill="1" applyBorder="1" applyAlignment="1">
      <alignment horizontal="center" vertical="center"/>
    </xf>
    <xf numFmtId="0" fontId="25" fillId="7" borderId="27" xfId="0" applyFont="1" applyFill="1" applyBorder="1" applyAlignment="1">
      <alignment horizontal="center" vertical="center"/>
    </xf>
    <xf numFmtId="0" fontId="26" fillId="0" borderId="28" xfId="0" applyFont="1" applyBorder="1" applyAlignment="1">
      <alignment vertical="center"/>
    </xf>
    <xf numFmtId="0" fontId="29" fillId="3" borderId="0" xfId="0" applyFont="1" applyFill="1" applyAlignment="1">
      <alignment horizontal="center" vertical="center" wrapText="1"/>
    </xf>
    <xf numFmtId="0" fontId="29" fillId="7" borderId="30" xfId="0" applyFont="1" applyFill="1" applyBorder="1" applyAlignment="1">
      <alignment horizontal="center" vertical="center" wrapText="1"/>
    </xf>
    <xf numFmtId="0" fontId="29" fillId="7" borderId="32" xfId="0" applyFont="1" applyFill="1" applyBorder="1" applyAlignment="1">
      <alignment horizontal="center" vertical="center" wrapText="1"/>
    </xf>
    <xf numFmtId="0" fontId="25" fillId="7" borderId="26" xfId="0" applyFont="1" applyFill="1" applyBorder="1" applyAlignment="1">
      <alignment horizontal="center"/>
    </xf>
    <xf numFmtId="0" fontId="25" fillId="7" borderId="27" xfId="0" applyFont="1" applyFill="1" applyBorder="1" applyAlignment="1">
      <alignment horizontal="center"/>
    </xf>
    <xf numFmtId="0" fontId="25" fillId="7" borderId="43" xfId="0" applyFont="1" applyFill="1" applyBorder="1"/>
    <xf numFmtId="0" fontId="34" fillId="7" borderId="44" xfId="0" applyFont="1" applyFill="1" applyBorder="1" applyAlignment="1">
      <alignment horizontal="center" vertical="top" wrapText="1"/>
    </xf>
    <xf numFmtId="0" fontId="34" fillId="7" borderId="29" xfId="0" applyFont="1" applyFill="1" applyBorder="1" applyAlignment="1">
      <alignment horizontal="center" vertical="top" wrapText="1"/>
    </xf>
    <xf numFmtId="0" fontId="6" fillId="3" borderId="4" xfId="9" applyFont="1" applyFill="1" applyBorder="1" applyAlignment="1">
      <alignment horizontal="center" vertical="center"/>
    </xf>
    <xf numFmtId="0" fontId="6" fillId="3" borderId="80" xfId="9" applyFont="1" applyFill="1" applyBorder="1" applyAlignment="1">
      <alignment horizontal="center" vertical="center"/>
    </xf>
    <xf numFmtId="0" fontId="6" fillId="3" borderId="6" xfId="9" applyFont="1" applyFill="1" applyBorder="1" applyAlignment="1">
      <alignment horizontal="center" vertical="center"/>
    </xf>
    <xf numFmtId="0" fontId="6" fillId="3" borderId="82" xfId="9" applyFont="1" applyFill="1" applyBorder="1" applyAlignment="1">
      <alignment horizontal="center" vertical="center"/>
    </xf>
    <xf numFmtId="0" fontId="6" fillId="3" borderId="4" xfId="3" applyFont="1" applyFill="1" applyBorder="1" applyAlignment="1">
      <alignment horizontal="center" vertical="center"/>
    </xf>
    <xf numFmtId="0" fontId="6" fillId="3" borderId="68" xfId="3" applyFont="1" applyFill="1" applyBorder="1" applyAlignment="1">
      <alignment horizontal="center" vertical="center"/>
    </xf>
    <xf numFmtId="0" fontId="6" fillId="3" borderId="6" xfId="3" applyFont="1" applyFill="1" applyBorder="1" applyAlignment="1">
      <alignment horizontal="center" vertical="center"/>
    </xf>
    <xf numFmtId="0" fontId="6" fillId="3" borderId="70" xfId="3" applyFont="1" applyFill="1" applyBorder="1" applyAlignment="1">
      <alignment horizontal="center" vertical="center"/>
    </xf>
    <xf numFmtId="164" fontId="3" fillId="3" borderId="4" xfId="4" applyNumberFormat="1" applyFont="1" applyFill="1" applyBorder="1" applyAlignment="1">
      <alignment horizontal="center" vertical="center" wrapText="1"/>
    </xf>
    <xf numFmtId="164" fontId="3" fillId="3" borderId="14" xfId="4" applyNumberFormat="1" applyFont="1" applyFill="1" applyBorder="1" applyAlignment="1">
      <alignment horizontal="center" vertical="center" wrapText="1"/>
    </xf>
    <xf numFmtId="164" fontId="3" fillId="3" borderId="6" xfId="4" applyNumberFormat="1" applyFont="1" applyFill="1" applyBorder="1" applyAlignment="1">
      <alignment horizontal="center" vertical="center" wrapText="1"/>
    </xf>
    <xf numFmtId="164" fontId="3" fillId="3" borderId="19" xfId="4" applyNumberFormat="1" applyFont="1" applyFill="1" applyBorder="1" applyAlignment="1">
      <alignment horizontal="center" vertical="center" wrapText="1"/>
    </xf>
    <xf numFmtId="0" fontId="3" fillId="3" borderId="4" xfId="2" applyFont="1" applyFill="1" applyBorder="1" applyAlignment="1">
      <alignment horizontal="center"/>
    </xf>
    <xf numFmtId="0" fontId="3" fillId="4" borderId="6" xfId="2" applyFont="1" applyFill="1" applyBorder="1" applyAlignment="1">
      <alignment horizontal="center" vertical="center"/>
    </xf>
    <xf numFmtId="0" fontId="3" fillId="3" borderId="6" xfId="2" applyFont="1" applyFill="1" applyBorder="1" applyAlignment="1">
      <alignment horizontal="center" vertical="center"/>
    </xf>
    <xf numFmtId="0" fontId="3" fillId="3" borderId="14" xfId="2" applyFont="1" applyFill="1" applyBorder="1" applyAlignment="1">
      <alignment horizontal="center"/>
    </xf>
    <xf numFmtId="0" fontId="3" fillId="3" borderId="7" xfId="2" applyFont="1" applyFill="1" applyBorder="1" applyAlignment="1">
      <alignment horizontal="center" vertical="center"/>
    </xf>
    <xf numFmtId="0" fontId="3" fillId="3" borderId="15" xfId="2" applyFont="1" applyFill="1" applyBorder="1" applyAlignment="1">
      <alignment horizontal="center" vertical="center"/>
    </xf>
    <xf numFmtId="164" fontId="3" fillId="3" borderId="4" xfId="2" applyNumberFormat="1" applyFont="1" applyFill="1" applyBorder="1" applyAlignment="1">
      <alignment horizontal="center" vertical="center" wrapText="1"/>
    </xf>
    <xf numFmtId="164" fontId="3" fillId="3" borderId="14" xfId="2" applyNumberFormat="1" applyFont="1" applyFill="1" applyBorder="1" applyAlignment="1">
      <alignment horizontal="center" vertical="center" wrapText="1"/>
    </xf>
    <xf numFmtId="166" fontId="3" fillId="3" borderId="5" xfId="2" applyNumberFormat="1" applyFont="1" applyFill="1" applyBorder="1" applyAlignment="1">
      <alignment horizontal="center" vertical="center"/>
    </xf>
    <xf numFmtId="164" fontId="3" fillId="3" borderId="6" xfId="2" applyNumberFormat="1" applyFont="1" applyFill="1" applyBorder="1" applyAlignment="1">
      <alignment horizontal="center" vertical="center" wrapText="1"/>
    </xf>
    <xf numFmtId="164" fontId="3" fillId="3" borderId="19" xfId="2" applyNumberFormat="1" applyFont="1" applyFill="1" applyBorder="1" applyAlignment="1">
      <alignment horizontal="center" vertical="center" wrapText="1"/>
    </xf>
    <xf numFmtId="0" fontId="21" fillId="2" borderId="29" xfId="0" applyFont="1" applyFill="1" applyBorder="1"/>
    <xf numFmtId="0" fontId="21" fillId="2" borderId="0" xfId="0" applyFont="1" applyFill="1"/>
    <xf numFmtId="0" fontId="21" fillId="2" borderId="31" xfId="0" applyFont="1" applyFill="1" applyBorder="1"/>
    <xf numFmtId="0" fontId="21" fillId="2" borderId="40" xfId="0" applyFont="1" applyFill="1" applyBorder="1"/>
    <xf numFmtId="0" fontId="21" fillId="2" borderId="41" xfId="0" applyFont="1" applyFill="1" applyBorder="1"/>
    <xf numFmtId="0" fontId="21" fillId="2" borderId="42" xfId="0" applyFont="1" applyFill="1" applyBorder="1"/>
    <xf numFmtId="0" fontId="21" fillId="2" borderId="29" xfId="0" applyFont="1" applyFill="1" applyBorder="1" applyProtection="1">
      <protection locked="0"/>
    </xf>
    <xf numFmtId="0" fontId="21" fillId="2" borderId="0" xfId="0" applyFont="1" applyFill="1" applyProtection="1">
      <protection locked="0"/>
    </xf>
    <xf numFmtId="0" fontId="21" fillId="2" borderId="31" xfId="0" applyFont="1" applyFill="1" applyBorder="1" applyProtection="1">
      <protection locked="0"/>
    </xf>
    <xf numFmtId="0" fontId="21" fillId="2" borderId="49" xfId="0" applyFont="1" applyFill="1" applyBorder="1"/>
    <xf numFmtId="0" fontId="21" fillId="2" borderId="32" xfId="0" applyFont="1" applyFill="1" applyBorder="1"/>
    <xf numFmtId="0" fontId="21" fillId="2" borderId="32" xfId="0" applyFont="1" applyFill="1" applyBorder="1" applyProtection="1">
      <protection locked="0"/>
    </xf>
    <xf numFmtId="0" fontId="6" fillId="4" borderId="7" xfId="3" applyFont="1" applyFill="1" applyBorder="1" applyAlignment="1">
      <alignment horizontal="center" vertical="center"/>
    </xf>
    <xf numFmtId="0" fontId="8" fillId="5" borderId="16" xfId="3" applyFont="1" applyFill="1" applyBorder="1" applyAlignment="1">
      <alignment horizontal="left" vertical="center" wrapText="1"/>
    </xf>
    <xf numFmtId="0" fontId="15" fillId="5" borderId="16" xfId="3" applyFont="1" applyFill="1" applyBorder="1" applyAlignment="1">
      <alignment horizontal="left" vertical="center" wrapText="1"/>
    </xf>
    <xf numFmtId="164" fontId="3" fillId="3" borderId="4" xfId="0" applyNumberFormat="1" applyFont="1" applyFill="1" applyBorder="1" applyAlignment="1">
      <alignment horizontal="center" vertical="center" wrapText="1"/>
    </xf>
    <xf numFmtId="164" fontId="3" fillId="3" borderId="14" xfId="0" applyNumberFormat="1" applyFont="1" applyFill="1" applyBorder="1" applyAlignment="1">
      <alignment horizontal="center" vertical="center" wrapText="1"/>
    </xf>
    <xf numFmtId="164" fontId="3" fillId="3" borderId="6" xfId="0" applyNumberFormat="1" applyFont="1" applyFill="1" applyBorder="1" applyAlignment="1">
      <alignment horizontal="center" vertical="center" wrapText="1"/>
    </xf>
    <xf numFmtId="164" fontId="3" fillId="3" borderId="19" xfId="0" applyNumberFormat="1" applyFont="1" applyFill="1" applyBorder="1" applyAlignment="1">
      <alignment horizontal="center" vertical="center" wrapText="1"/>
    </xf>
    <xf numFmtId="164" fontId="3" fillId="3" borderId="57" xfId="0" applyNumberFormat="1" applyFont="1" applyFill="1" applyBorder="1" applyAlignment="1">
      <alignment horizontal="center" vertical="center" wrapText="1"/>
    </xf>
    <xf numFmtId="166" fontId="3" fillId="3" borderId="5" xfId="0" applyNumberFormat="1" applyFont="1" applyFill="1" applyBorder="1" applyAlignment="1">
      <alignment horizontal="center" vertical="center"/>
    </xf>
    <xf numFmtId="164" fontId="3" fillId="3" borderId="58" xfId="0" applyNumberFormat="1" applyFont="1" applyFill="1" applyBorder="1" applyAlignment="1">
      <alignment horizontal="center" vertical="center" wrapText="1"/>
    </xf>
    <xf numFmtId="0" fontId="21" fillId="2" borderId="62" xfId="0" applyFont="1" applyFill="1" applyBorder="1" applyProtection="1">
      <protection locked="0"/>
    </xf>
    <xf numFmtId="0" fontId="21" fillId="2" borderId="63" xfId="0" applyFont="1" applyFill="1" applyBorder="1" applyProtection="1">
      <protection locked="0"/>
    </xf>
    <xf numFmtId="0" fontId="21" fillId="2" borderId="64" xfId="0" applyFont="1" applyFill="1" applyBorder="1" applyProtection="1">
      <protection locked="0"/>
    </xf>
    <xf numFmtId="0" fontId="21" fillId="2" borderId="65" xfId="0" applyFont="1" applyFill="1" applyBorder="1" applyProtection="1">
      <protection locked="0"/>
    </xf>
  </cellXfs>
  <cellStyles count="14">
    <cellStyle name="Hyperlink" xfId="1" builtinId="8"/>
    <cellStyle name="Hyperlink 2" xfId="5" xr:uid="{1F2E42CD-B2D2-4090-8FD0-148ABCA28598}"/>
    <cellStyle name="Hyperlink 2 2" xfId="11" xr:uid="{9B16A14B-5245-4587-B9A2-5E531496B943}"/>
    <cellStyle name="Hyperlink 3" xfId="8" xr:uid="{85EA899B-AB74-4997-9994-D767A2D1034E}"/>
    <cellStyle name="Normal" xfId="0" builtinId="0"/>
    <cellStyle name="Normal 10 4" xfId="4" xr:uid="{605A3BBB-0D55-4E6F-ABAA-5BB8541CD108}"/>
    <cellStyle name="Normal 102" xfId="2" xr:uid="{2F85F75C-3713-4EA5-8951-B8D18E6E646F}"/>
    <cellStyle name="Normal 2" xfId="6" xr:uid="{CF7E6B79-D2D2-4699-A5CC-F1D385105267}"/>
    <cellStyle name="Normal 2 12 3" xfId="3" xr:uid="{A84349B5-2E38-4048-868A-52AF00E29B5D}"/>
    <cellStyle name="Normal 2 2" xfId="12" xr:uid="{092E8DF4-CEB5-4123-90C5-8621FB44652D}"/>
    <cellStyle name="Normal 2 5" xfId="7" xr:uid="{FF28A897-3C0F-48E4-B0B5-A360B8DA0374}"/>
    <cellStyle name="Normal 24 2 2" xfId="10" xr:uid="{9B38BA5E-B0D2-4D2A-A29E-6284E96B860C}"/>
    <cellStyle name="Normal 45" xfId="9" xr:uid="{8D0517E2-B67B-4FD1-9BAA-FED58F59C87C}"/>
    <cellStyle name="Normal 49" xfId="13" xr:uid="{FB02D055-6A49-4390-82D2-500094653678}"/>
  </cellStyles>
  <dxfs count="9">
    <dxf>
      <numFmt numFmtId="3" formatCode="#,##0"/>
    </dxf>
    <dxf>
      <numFmt numFmtId="3" formatCode="#,##0"/>
    </dxf>
    <dxf>
      <font>
        <color rgb="FFFF0000"/>
      </font>
    </dxf>
    <dxf>
      <font>
        <color rgb="FFFF0000"/>
      </font>
    </dxf>
    <dxf>
      <font>
        <color rgb="FFFF0000"/>
      </font>
    </dxf>
    <dxf>
      <font>
        <color rgb="FFFF0000"/>
      </font>
    </dxf>
    <dxf>
      <numFmt numFmtId="3" formatCode="#,##0"/>
    </dxf>
    <dxf>
      <numFmt numFmtId="3" formatCode="#,##0"/>
    </dxf>
    <dxf>
      <numFmt numFmtId="3" formatCode="#,##0"/>
    </dxf>
  </dxfs>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4.xml"/><Relationship Id="rId18" Type="http://schemas.openxmlformats.org/officeDocument/2006/relationships/worksheet" Target="worksheets/sheet9.xml"/><Relationship Id="rId26" Type="http://schemas.openxmlformats.org/officeDocument/2006/relationships/worksheet" Target="worksheets/sheet17.xml"/><Relationship Id="rId39" Type="http://schemas.openxmlformats.org/officeDocument/2006/relationships/worksheet" Target="worksheets/sheet30.xml"/><Relationship Id="rId21" Type="http://schemas.openxmlformats.org/officeDocument/2006/relationships/worksheet" Target="worksheets/sheet12.xml"/><Relationship Id="rId34" Type="http://schemas.openxmlformats.org/officeDocument/2006/relationships/worksheet" Target="worksheets/sheet25.xml"/><Relationship Id="rId42" Type="http://schemas.openxmlformats.org/officeDocument/2006/relationships/worksheet" Target="worksheets/sheet33.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chartsheet" Target="chartsheets/sheet7.xml"/><Relationship Id="rId2" Type="http://schemas.openxmlformats.org/officeDocument/2006/relationships/chartsheet" Target="chartsheets/sheet2.xml"/><Relationship Id="rId16" Type="http://schemas.openxmlformats.org/officeDocument/2006/relationships/worksheet" Target="worksheets/sheet7.xml"/><Relationship Id="rId29" Type="http://schemas.openxmlformats.org/officeDocument/2006/relationships/worksheet" Target="worksheets/sheet20.xml"/><Relationship Id="rId11" Type="http://schemas.openxmlformats.org/officeDocument/2006/relationships/worksheet" Target="worksheets/sheet2.xml"/><Relationship Id="rId24" Type="http://schemas.openxmlformats.org/officeDocument/2006/relationships/worksheet" Target="worksheets/sheet15.xml"/><Relationship Id="rId32" Type="http://schemas.openxmlformats.org/officeDocument/2006/relationships/worksheet" Target="worksheets/sheet23.xml"/><Relationship Id="rId37" Type="http://schemas.openxmlformats.org/officeDocument/2006/relationships/worksheet" Target="worksheets/sheet28.xml"/><Relationship Id="rId40" Type="http://schemas.openxmlformats.org/officeDocument/2006/relationships/worksheet" Target="worksheets/sheet31.xml"/><Relationship Id="rId45" Type="http://schemas.openxmlformats.org/officeDocument/2006/relationships/externalLink" Target="externalLinks/externalLink3.xml"/><Relationship Id="rId5" Type="http://schemas.openxmlformats.org/officeDocument/2006/relationships/chartsheet" Target="chartsheets/sheet5.xml"/><Relationship Id="rId15" Type="http://schemas.openxmlformats.org/officeDocument/2006/relationships/worksheet" Target="worksheets/sheet6.xml"/><Relationship Id="rId23" Type="http://schemas.openxmlformats.org/officeDocument/2006/relationships/worksheet" Target="worksheets/sheet14.xml"/><Relationship Id="rId28" Type="http://schemas.openxmlformats.org/officeDocument/2006/relationships/worksheet" Target="worksheets/sheet19.xml"/><Relationship Id="rId36" Type="http://schemas.openxmlformats.org/officeDocument/2006/relationships/worksheet" Target="worksheets/sheet27.xml"/><Relationship Id="rId49" Type="http://schemas.openxmlformats.org/officeDocument/2006/relationships/sheetMetadata" Target="metadata.xml"/><Relationship Id="rId10" Type="http://schemas.openxmlformats.org/officeDocument/2006/relationships/worksheet" Target="worksheets/sheet1.xml"/><Relationship Id="rId19" Type="http://schemas.openxmlformats.org/officeDocument/2006/relationships/worksheet" Target="worksheets/sheet10.xml"/><Relationship Id="rId31" Type="http://schemas.openxmlformats.org/officeDocument/2006/relationships/worksheet" Target="worksheets/sheet22.xml"/><Relationship Id="rId44" Type="http://schemas.openxmlformats.org/officeDocument/2006/relationships/externalLink" Target="externalLinks/externalLink2.xml"/><Relationship Id="rId4" Type="http://schemas.openxmlformats.org/officeDocument/2006/relationships/chartsheet" Target="chartsheets/sheet4.xml"/><Relationship Id="rId9" Type="http://schemas.openxmlformats.org/officeDocument/2006/relationships/chartsheet" Target="chartsheets/sheet9.xml"/><Relationship Id="rId14" Type="http://schemas.openxmlformats.org/officeDocument/2006/relationships/worksheet" Target="worksheets/sheet5.xml"/><Relationship Id="rId22" Type="http://schemas.openxmlformats.org/officeDocument/2006/relationships/worksheet" Target="worksheets/sheet13.xml"/><Relationship Id="rId27" Type="http://schemas.openxmlformats.org/officeDocument/2006/relationships/worksheet" Target="worksheets/sheet18.xml"/><Relationship Id="rId30" Type="http://schemas.openxmlformats.org/officeDocument/2006/relationships/worksheet" Target="worksheets/sheet21.xml"/><Relationship Id="rId35" Type="http://schemas.openxmlformats.org/officeDocument/2006/relationships/worksheet" Target="worksheets/sheet26.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chartsheet" Target="chartsheets/sheet8.xml"/><Relationship Id="rId3" Type="http://schemas.openxmlformats.org/officeDocument/2006/relationships/chartsheet" Target="chartsheets/sheet3.xml"/><Relationship Id="rId12" Type="http://schemas.openxmlformats.org/officeDocument/2006/relationships/worksheet" Target="worksheets/sheet3.xml"/><Relationship Id="rId17" Type="http://schemas.openxmlformats.org/officeDocument/2006/relationships/worksheet" Target="worksheets/sheet8.xml"/><Relationship Id="rId25" Type="http://schemas.openxmlformats.org/officeDocument/2006/relationships/worksheet" Target="worksheets/sheet16.xml"/><Relationship Id="rId33" Type="http://schemas.openxmlformats.org/officeDocument/2006/relationships/worksheet" Target="worksheets/sheet24.xml"/><Relationship Id="rId38" Type="http://schemas.openxmlformats.org/officeDocument/2006/relationships/worksheet" Target="worksheets/sheet29.xml"/><Relationship Id="rId46" Type="http://schemas.openxmlformats.org/officeDocument/2006/relationships/theme" Target="theme/theme1.xml"/><Relationship Id="rId20" Type="http://schemas.openxmlformats.org/officeDocument/2006/relationships/worksheet" Target="worksheets/sheet11.xml"/><Relationship Id="rId41" Type="http://schemas.openxmlformats.org/officeDocument/2006/relationships/worksheet" Target="worksheets/sheet32.xml"/><Relationship Id="rId1" Type="http://schemas.openxmlformats.org/officeDocument/2006/relationships/chartsheet" Target="chartsheets/sheet1.xml"/><Relationship Id="rId6" Type="http://schemas.openxmlformats.org/officeDocument/2006/relationships/chartsheet" Target="chartsheets/sheet6.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1.xml"/><Relationship Id="rId1" Type="http://schemas.openxmlformats.org/officeDocument/2006/relationships/themeOverride" Target="../theme/themeOverrid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143215148953844E-2"/>
          <c:y val="0.14725688325786473"/>
          <c:w val="0.57731441196969024"/>
          <c:h val="0.6679650242020031"/>
        </c:manualLayout>
      </c:layout>
      <c:barChart>
        <c:barDir val="col"/>
        <c:grouping val="stacked"/>
        <c:varyColors val="0"/>
        <c:ser>
          <c:idx val="0"/>
          <c:order val="0"/>
          <c:tx>
            <c:strRef>
              <c:f>'Chart Data'!$A$4</c:f>
              <c:strCache>
                <c:ptCount val="1"/>
                <c:pt idx="0">
                  <c:v>Underlying forecast changes</c:v>
                </c:pt>
              </c:strCache>
            </c:strRef>
          </c:tx>
          <c:spPr>
            <a:solidFill>
              <a:srgbClr val="BD1B21"/>
            </a:solidFill>
            <a:ln w="6350">
              <a:solidFill>
                <a:srgbClr val="495057"/>
              </a:solidFill>
              <a:prstDash val="solid"/>
            </a:ln>
          </c:spPr>
          <c:invertIfNegative val="0"/>
          <c:cat>
            <c:strRef>
              <c:f>'Chart Data'!$B$3:$G$3</c:f>
              <c:strCache>
                <c:ptCount val="6"/>
                <c:pt idx="0">
                  <c:v>2023-
2024</c:v>
                </c:pt>
                <c:pt idx="1">
                  <c:v>2024-
2025</c:v>
                </c:pt>
                <c:pt idx="2">
                  <c:v>2025-
2026</c:v>
                </c:pt>
                <c:pt idx="3">
                  <c:v>2026-
2027</c:v>
                </c:pt>
                <c:pt idx="4">
                  <c:v>2027-
2028</c:v>
                </c:pt>
                <c:pt idx="5">
                  <c:v>2028-
2029</c:v>
                </c:pt>
              </c:strCache>
            </c:strRef>
          </c:cat>
          <c:val>
            <c:numRef>
              <c:f>'Chart Data'!$B$4:$G$4</c:f>
              <c:numCache>
                <c:formatCode>0.0</c:formatCode>
                <c:ptCount val="6"/>
                <c:pt idx="0">
                  <c:v>-10.148123467871983</c:v>
                </c:pt>
                <c:pt idx="1">
                  <c:v>-10.012101453586638</c:v>
                </c:pt>
                <c:pt idx="2">
                  <c:v>-9.7218449525530559</c:v>
                </c:pt>
                <c:pt idx="3">
                  <c:v>-6.1712920293787192</c:v>
                </c:pt>
                <c:pt idx="4">
                  <c:v>-3.6160179183864334</c:v>
                </c:pt>
                <c:pt idx="5">
                  <c:v>-0.77357379396971826</c:v>
                </c:pt>
              </c:numCache>
            </c:numRef>
          </c:val>
          <c:extLst>
            <c:ext xmlns:c16="http://schemas.microsoft.com/office/drawing/2014/chart" uri="{C3380CC4-5D6E-409C-BE32-E72D297353CC}">
              <c16:uniqueId val="{00000000-2BBC-451E-8DA0-CE0DFA87B246}"/>
            </c:ext>
          </c:extLst>
        </c:ser>
        <c:ser>
          <c:idx val="1"/>
          <c:order val="1"/>
          <c:tx>
            <c:strRef>
              <c:f>'Chart Data'!$A$5</c:f>
              <c:strCache>
                <c:ptCount val="1"/>
                <c:pt idx="0">
                  <c:v>Policy decisions - NICs cut</c:v>
                </c:pt>
              </c:strCache>
            </c:strRef>
          </c:tx>
          <c:spPr>
            <a:solidFill>
              <a:srgbClr val="002060"/>
            </a:solidFill>
            <a:ln w="6350">
              <a:solidFill>
                <a:srgbClr val="495057"/>
              </a:solidFill>
              <a:prstDash val="solid"/>
            </a:ln>
          </c:spPr>
          <c:invertIfNegative val="0"/>
          <c:cat>
            <c:strRef>
              <c:f>'Chart Data'!$B$3:$G$3</c:f>
              <c:strCache>
                <c:ptCount val="6"/>
                <c:pt idx="0">
                  <c:v>2023-
2024</c:v>
                </c:pt>
                <c:pt idx="1">
                  <c:v>2024-
2025</c:v>
                </c:pt>
                <c:pt idx="2">
                  <c:v>2025-
2026</c:v>
                </c:pt>
                <c:pt idx="3">
                  <c:v>2026-
2027</c:v>
                </c:pt>
                <c:pt idx="4">
                  <c:v>2027-
2028</c:v>
                </c:pt>
                <c:pt idx="5">
                  <c:v>2028-
2029</c:v>
                </c:pt>
              </c:strCache>
            </c:strRef>
          </c:cat>
          <c:val>
            <c:numRef>
              <c:f>'Chart Data'!$B$5:$G$5</c:f>
              <c:numCache>
                <c:formatCode>0.0</c:formatCode>
                <c:ptCount val="6"/>
                <c:pt idx="0">
                  <c:v>0</c:v>
                </c:pt>
                <c:pt idx="1">
                  <c:v>10.196025083915764</c:v>
                </c:pt>
                <c:pt idx="2">
                  <c:v>10.329817178060013</c:v>
                </c:pt>
                <c:pt idx="3">
                  <c:v>10.465234281795142</c:v>
                </c:pt>
                <c:pt idx="4">
                  <c:v>10.705217427659159</c:v>
                </c:pt>
                <c:pt idx="5">
                  <c:v>11.03729447135496</c:v>
                </c:pt>
              </c:numCache>
            </c:numRef>
          </c:val>
          <c:extLst>
            <c:ext xmlns:c16="http://schemas.microsoft.com/office/drawing/2014/chart" uri="{C3380CC4-5D6E-409C-BE32-E72D297353CC}">
              <c16:uniqueId val="{00000001-2BBC-451E-8DA0-CE0DFA87B246}"/>
            </c:ext>
          </c:extLst>
        </c:ser>
        <c:ser>
          <c:idx val="2"/>
          <c:order val="2"/>
          <c:tx>
            <c:strRef>
              <c:f>'Chart Data'!$A$6</c:f>
              <c:strCache>
                <c:ptCount val="1"/>
                <c:pt idx="0">
                  <c:v>Policy decisions - other tax</c:v>
                </c:pt>
              </c:strCache>
            </c:strRef>
          </c:tx>
          <c:spPr>
            <a:solidFill>
              <a:srgbClr val="D1A21E"/>
            </a:solidFill>
            <a:ln w="6350">
              <a:solidFill>
                <a:srgbClr val="495057"/>
              </a:solidFill>
            </a:ln>
          </c:spPr>
          <c:invertIfNegative val="0"/>
          <c:cat>
            <c:strRef>
              <c:f>'Chart Data'!$B$3:$G$3</c:f>
              <c:strCache>
                <c:ptCount val="6"/>
                <c:pt idx="0">
                  <c:v>2023-
2024</c:v>
                </c:pt>
                <c:pt idx="1">
                  <c:v>2024-
2025</c:v>
                </c:pt>
                <c:pt idx="2">
                  <c:v>2025-
2026</c:v>
                </c:pt>
                <c:pt idx="3">
                  <c:v>2026-
2027</c:v>
                </c:pt>
                <c:pt idx="4">
                  <c:v>2027-
2028</c:v>
                </c:pt>
                <c:pt idx="5">
                  <c:v>2028-
2029</c:v>
                </c:pt>
              </c:strCache>
            </c:strRef>
          </c:cat>
          <c:val>
            <c:numRef>
              <c:f>'Chart Data'!$B$6:$G$6</c:f>
              <c:numCache>
                <c:formatCode>0.0</c:formatCode>
                <c:ptCount val="6"/>
                <c:pt idx="0">
                  <c:v>0.18808677794536421</c:v>
                </c:pt>
                <c:pt idx="1">
                  <c:v>3.3254113671200738</c:v>
                </c:pt>
                <c:pt idx="2">
                  <c:v>-8.4666270601900406E-2</c:v>
                </c:pt>
                <c:pt idx="3">
                  <c:v>-3.2535557535597071</c:v>
                </c:pt>
                <c:pt idx="4">
                  <c:v>-5.1248695456834152</c:v>
                </c:pt>
                <c:pt idx="5">
                  <c:v>-5.1179031420984682</c:v>
                </c:pt>
              </c:numCache>
            </c:numRef>
          </c:val>
          <c:extLst>
            <c:ext xmlns:c16="http://schemas.microsoft.com/office/drawing/2014/chart" uri="{C3380CC4-5D6E-409C-BE32-E72D297353CC}">
              <c16:uniqueId val="{00000002-2BBC-451E-8DA0-CE0DFA87B246}"/>
            </c:ext>
          </c:extLst>
        </c:ser>
        <c:ser>
          <c:idx val="3"/>
          <c:order val="3"/>
          <c:tx>
            <c:strRef>
              <c:f>'Chart Data'!$A$7</c:f>
              <c:strCache>
                <c:ptCount val="1"/>
                <c:pt idx="0">
                  <c:v>Policy decisions - spending</c:v>
                </c:pt>
              </c:strCache>
            </c:strRef>
          </c:tx>
          <c:spPr>
            <a:solidFill>
              <a:srgbClr val="7B7C77"/>
            </a:solidFill>
            <a:ln w="6350">
              <a:solidFill>
                <a:srgbClr val="495057"/>
              </a:solidFill>
              <a:prstDash val="solid"/>
            </a:ln>
          </c:spPr>
          <c:invertIfNegative val="0"/>
          <c:cat>
            <c:strRef>
              <c:f>'Chart Data'!$B$3:$G$3</c:f>
              <c:strCache>
                <c:ptCount val="6"/>
                <c:pt idx="0">
                  <c:v>2023-
2024</c:v>
                </c:pt>
                <c:pt idx="1">
                  <c:v>2024-
2025</c:v>
                </c:pt>
                <c:pt idx="2">
                  <c:v>2025-
2026</c:v>
                </c:pt>
                <c:pt idx="3">
                  <c:v>2026-
2027</c:v>
                </c:pt>
                <c:pt idx="4">
                  <c:v>2027-
2028</c:v>
                </c:pt>
                <c:pt idx="5">
                  <c:v>2028-
2029</c:v>
                </c:pt>
              </c:strCache>
            </c:strRef>
          </c:cat>
          <c:val>
            <c:numRef>
              <c:f>'Chart Data'!$B$7:$G$7</c:f>
              <c:numCache>
                <c:formatCode>0.0</c:formatCode>
                <c:ptCount val="6"/>
                <c:pt idx="0">
                  <c:v>-0.13021464578321876</c:v>
                </c:pt>
                <c:pt idx="1">
                  <c:v>0.37810020468203287</c:v>
                </c:pt>
                <c:pt idx="2">
                  <c:v>-0.12885230289526847</c:v>
                </c:pt>
                <c:pt idx="3">
                  <c:v>0.47131557937882268</c:v>
                </c:pt>
                <c:pt idx="4">
                  <c:v>0.75811389645006133</c:v>
                </c:pt>
                <c:pt idx="5">
                  <c:v>1.7641507534377241E-2</c:v>
                </c:pt>
              </c:numCache>
            </c:numRef>
          </c:val>
          <c:extLst>
            <c:ext xmlns:c16="http://schemas.microsoft.com/office/drawing/2014/chart" uri="{C3380CC4-5D6E-409C-BE32-E72D297353CC}">
              <c16:uniqueId val="{00000003-2BBC-451E-8DA0-CE0DFA87B246}"/>
            </c:ext>
          </c:extLst>
        </c:ser>
        <c:ser>
          <c:idx val="4"/>
          <c:order val="4"/>
          <c:tx>
            <c:strRef>
              <c:f>'Chart Data'!$A$8</c:f>
              <c:strCache>
                <c:ptCount val="1"/>
                <c:pt idx="0">
                  <c:v>Other</c:v>
                </c:pt>
              </c:strCache>
            </c:strRef>
          </c:tx>
          <c:spPr>
            <a:solidFill>
              <a:srgbClr val="965793"/>
            </a:solidFill>
            <a:ln w="6350">
              <a:solidFill>
                <a:srgbClr val="495057"/>
              </a:solidFill>
              <a:prstDash val="solid"/>
            </a:ln>
          </c:spPr>
          <c:invertIfNegative val="0"/>
          <c:cat>
            <c:strRef>
              <c:f>'Chart Data'!$B$3:$G$3</c:f>
              <c:strCache>
                <c:ptCount val="6"/>
                <c:pt idx="0">
                  <c:v>2023-
2024</c:v>
                </c:pt>
                <c:pt idx="1">
                  <c:v>2024-
2025</c:v>
                </c:pt>
                <c:pt idx="2">
                  <c:v>2025-
2026</c:v>
                </c:pt>
                <c:pt idx="3">
                  <c:v>2026-
2027</c:v>
                </c:pt>
                <c:pt idx="4">
                  <c:v>2027-
2028</c:v>
                </c:pt>
                <c:pt idx="5">
                  <c:v>2028-
2029</c:v>
                </c:pt>
              </c:strCache>
            </c:strRef>
          </c:cat>
          <c:val>
            <c:numRef>
              <c:f>'Chart Data'!$B$8:$G$8</c:f>
              <c:numCache>
                <c:formatCode>0.0</c:formatCode>
                <c:ptCount val="6"/>
                <c:pt idx="0">
                  <c:v>0.26529420964244854</c:v>
                </c:pt>
                <c:pt idx="1">
                  <c:v>-1.2311794404537615</c:v>
                </c:pt>
                <c:pt idx="2">
                  <c:v>0.2522216877268999</c:v>
                </c:pt>
                <c:pt idx="3">
                  <c:v>-1.2566478777732133</c:v>
                </c:pt>
                <c:pt idx="4">
                  <c:v>-1.2189022647063537</c:v>
                </c:pt>
                <c:pt idx="5">
                  <c:v>-0.73269674933837248</c:v>
                </c:pt>
              </c:numCache>
            </c:numRef>
          </c:val>
          <c:extLst>
            <c:ext xmlns:c16="http://schemas.microsoft.com/office/drawing/2014/chart" uri="{C3380CC4-5D6E-409C-BE32-E72D297353CC}">
              <c16:uniqueId val="{00000004-2BBC-451E-8DA0-CE0DFA87B246}"/>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5"/>
          <c:order val="5"/>
          <c:tx>
            <c:strRef>
              <c:f>'Chart Data'!$A$9</c:f>
              <c:strCache>
                <c:ptCount val="1"/>
                <c:pt idx="0">
                  <c:v>Change to PSNB forecast</c:v>
                </c:pt>
              </c:strCache>
            </c:strRef>
          </c:tx>
          <c:spPr>
            <a:ln>
              <a:noFill/>
            </a:ln>
          </c:spPr>
          <c:marker>
            <c:symbol val="diamond"/>
            <c:size val="12"/>
            <c:spPr>
              <a:solidFill>
                <a:sysClr val="window" lastClr="FFFFFF"/>
              </a:solidFill>
              <a:ln>
                <a:solidFill>
                  <a:srgbClr val="495057"/>
                </a:solidFill>
              </a:ln>
            </c:spPr>
          </c:marker>
          <c:cat>
            <c:strRef>
              <c:f>'Chart Data'!$B$3:$G$3</c:f>
              <c:strCache>
                <c:ptCount val="6"/>
                <c:pt idx="0">
                  <c:v>2023-
2024</c:v>
                </c:pt>
                <c:pt idx="1">
                  <c:v>2024-
2025</c:v>
                </c:pt>
                <c:pt idx="2">
                  <c:v>2025-
2026</c:v>
                </c:pt>
                <c:pt idx="3">
                  <c:v>2026-
2027</c:v>
                </c:pt>
                <c:pt idx="4">
                  <c:v>2027-
2028</c:v>
                </c:pt>
                <c:pt idx="5">
                  <c:v>2028-
2029</c:v>
                </c:pt>
              </c:strCache>
            </c:strRef>
          </c:cat>
          <c:val>
            <c:numRef>
              <c:f>'Chart Data'!$B$9:$G$9</c:f>
              <c:numCache>
                <c:formatCode>0.0</c:formatCode>
                <c:ptCount val="6"/>
                <c:pt idx="0">
                  <c:v>-9.8249571260673907</c:v>
                </c:pt>
                <c:pt idx="1">
                  <c:v>2.6562557616774711</c:v>
                </c:pt>
                <c:pt idx="2">
                  <c:v>0.64667533973668834</c:v>
                </c:pt>
                <c:pt idx="3">
                  <c:v>0.25505420046232552</c:v>
                </c:pt>
                <c:pt idx="4">
                  <c:v>1.5035415953330187</c:v>
                </c:pt>
                <c:pt idx="5">
                  <c:v>4.4307622934827773</c:v>
                </c:pt>
              </c:numCache>
            </c:numRef>
          </c:val>
          <c:smooth val="0"/>
          <c:extLst>
            <c:ext xmlns:c16="http://schemas.microsoft.com/office/drawing/2014/chart" uri="{C3380CC4-5D6E-409C-BE32-E72D297353CC}">
              <c16:uniqueId val="{00000005-2BBC-451E-8DA0-CE0DFA87B246}"/>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max val="15"/>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t"/>
      <c:layout>
        <c:manualLayout>
          <c:xMode val="edge"/>
          <c:yMode val="edge"/>
          <c:x val="0.64679460830108115"/>
          <c:y val="0.33593019711063027"/>
          <c:w val="0.35320539169891901"/>
          <c:h val="0.32947049935589734"/>
        </c:manualLayout>
      </c:layout>
      <c:overlay val="1"/>
      <c:txPr>
        <a:bodyPr/>
        <a:lstStyle/>
        <a:p>
          <a:pPr>
            <a:defRPr sz="16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barChart>
        <c:barDir val="col"/>
        <c:grouping val="stacked"/>
        <c:varyColors val="0"/>
        <c:ser>
          <c:idx val="0"/>
          <c:order val="0"/>
          <c:tx>
            <c:strRef>
              <c:f>'Chart Data'!$I$4</c:f>
              <c:strCache>
                <c:ptCount val="1"/>
                <c:pt idx="0">
                  <c:v>Income tax threshold freezes</c:v>
                </c:pt>
              </c:strCache>
            </c:strRef>
          </c:tx>
          <c:spPr>
            <a:solidFill>
              <a:srgbClr val="BD1B21"/>
            </a:solidFill>
            <a:ln w="6350">
              <a:solidFill>
                <a:srgbClr val="495057"/>
              </a:solidFill>
              <a:prstDash val="solid"/>
            </a:ln>
          </c:spPr>
          <c:invertIfNegative val="0"/>
          <c:cat>
            <c:strRef>
              <c:f>'Chart Data'!$J$3:$P$3</c:f>
              <c:strCache>
                <c:ptCount val="7"/>
                <c:pt idx="0">
                  <c:v>2022-23</c:v>
                </c:pt>
                <c:pt idx="1">
                  <c:v>2023-24</c:v>
                </c:pt>
                <c:pt idx="2">
                  <c:v>2024-25</c:v>
                </c:pt>
                <c:pt idx="3">
                  <c:v>2025-26</c:v>
                </c:pt>
                <c:pt idx="4">
                  <c:v>2026-27</c:v>
                </c:pt>
                <c:pt idx="5">
                  <c:v>2027-28</c:v>
                </c:pt>
                <c:pt idx="6">
                  <c:v>2028-29</c:v>
                </c:pt>
              </c:strCache>
            </c:strRef>
          </c:cat>
          <c:val>
            <c:numRef>
              <c:f>'Chart Data'!$J$4:$P$4</c:f>
              <c:numCache>
                <c:formatCode>0.0</c:formatCode>
                <c:ptCount val="7"/>
                <c:pt idx="0">
                  <c:v>2.99</c:v>
                </c:pt>
                <c:pt idx="1">
                  <c:v>13.99</c:v>
                </c:pt>
                <c:pt idx="2">
                  <c:v>24.045000000000002</c:v>
                </c:pt>
                <c:pt idx="3">
                  <c:v>27.860000000000003</c:v>
                </c:pt>
                <c:pt idx="4">
                  <c:v>30.204999999999998</c:v>
                </c:pt>
                <c:pt idx="5">
                  <c:v>33.160000000000004</c:v>
                </c:pt>
                <c:pt idx="6">
                  <c:v>34.555</c:v>
                </c:pt>
              </c:numCache>
            </c:numRef>
          </c:val>
          <c:extLst>
            <c:ext xmlns:c16="http://schemas.microsoft.com/office/drawing/2014/chart" uri="{C3380CC4-5D6E-409C-BE32-E72D297353CC}">
              <c16:uniqueId val="{00000000-146E-4599-A5E6-C1D44CA8266C}"/>
            </c:ext>
          </c:extLst>
        </c:ser>
        <c:ser>
          <c:idx val="1"/>
          <c:order val="1"/>
          <c:tx>
            <c:strRef>
              <c:f>'Chart Data'!$I$5</c:f>
              <c:strCache>
                <c:ptCount val="1"/>
                <c:pt idx="0">
                  <c:v>NICs threshold freezes</c:v>
                </c:pt>
              </c:strCache>
            </c:strRef>
          </c:tx>
          <c:spPr>
            <a:solidFill>
              <a:srgbClr val="003469"/>
            </a:solidFill>
            <a:ln w="6350">
              <a:solidFill>
                <a:srgbClr val="495057"/>
              </a:solidFill>
              <a:prstDash val="solid"/>
            </a:ln>
          </c:spPr>
          <c:invertIfNegative val="0"/>
          <c:cat>
            <c:strRef>
              <c:f>'Chart Data'!$J$3:$P$3</c:f>
              <c:strCache>
                <c:ptCount val="7"/>
                <c:pt idx="0">
                  <c:v>2022-23</c:v>
                </c:pt>
                <c:pt idx="1">
                  <c:v>2023-24</c:v>
                </c:pt>
                <c:pt idx="2">
                  <c:v>2024-25</c:v>
                </c:pt>
                <c:pt idx="3">
                  <c:v>2025-26</c:v>
                </c:pt>
                <c:pt idx="4">
                  <c:v>2026-27</c:v>
                </c:pt>
                <c:pt idx="5">
                  <c:v>2027-28</c:v>
                </c:pt>
                <c:pt idx="6">
                  <c:v>2028-29</c:v>
                </c:pt>
              </c:strCache>
            </c:strRef>
          </c:cat>
          <c:val>
            <c:numRef>
              <c:f>'Chart Data'!$J$5:$P$5</c:f>
              <c:numCache>
                <c:formatCode>0.0</c:formatCode>
                <c:ptCount val="7"/>
                <c:pt idx="0">
                  <c:v>-6.72</c:v>
                </c:pt>
                <c:pt idx="1">
                  <c:v>-2.12</c:v>
                </c:pt>
                <c:pt idx="2">
                  <c:v>2.6599999999999997</c:v>
                </c:pt>
                <c:pt idx="3">
                  <c:v>4.1050000000000004</c:v>
                </c:pt>
                <c:pt idx="4">
                  <c:v>5.1449999999999996</c:v>
                </c:pt>
                <c:pt idx="5">
                  <c:v>6.34</c:v>
                </c:pt>
                <c:pt idx="6">
                  <c:v>6.5699999999999994</c:v>
                </c:pt>
              </c:numCache>
            </c:numRef>
          </c:val>
          <c:extLst>
            <c:ext xmlns:c16="http://schemas.microsoft.com/office/drawing/2014/chart" uri="{C3380CC4-5D6E-409C-BE32-E72D297353CC}">
              <c16:uniqueId val="{00000001-146E-4599-A5E6-C1D44CA8266C}"/>
            </c:ext>
          </c:extLst>
        </c:ser>
        <c:ser>
          <c:idx val="2"/>
          <c:order val="2"/>
          <c:tx>
            <c:strRef>
              <c:f>'Chart Data'!$I$6</c:f>
              <c:strCache>
                <c:ptCount val="1"/>
                <c:pt idx="0">
                  <c:v>NICs rate cut (AS 23)</c:v>
                </c:pt>
              </c:strCache>
            </c:strRef>
          </c:tx>
          <c:spPr>
            <a:solidFill>
              <a:srgbClr val="D1A21E"/>
            </a:solidFill>
            <a:ln w="6350">
              <a:solidFill>
                <a:srgbClr val="495057"/>
              </a:solidFill>
              <a:prstDash val="solid"/>
            </a:ln>
          </c:spPr>
          <c:invertIfNegative val="0"/>
          <c:cat>
            <c:strRef>
              <c:f>'Chart Data'!$J$3:$P$3</c:f>
              <c:strCache>
                <c:ptCount val="7"/>
                <c:pt idx="0">
                  <c:v>2022-23</c:v>
                </c:pt>
                <c:pt idx="1">
                  <c:v>2023-24</c:v>
                </c:pt>
                <c:pt idx="2">
                  <c:v>2024-25</c:v>
                </c:pt>
                <c:pt idx="3">
                  <c:v>2025-26</c:v>
                </c:pt>
                <c:pt idx="4">
                  <c:v>2026-27</c:v>
                </c:pt>
                <c:pt idx="5">
                  <c:v>2027-28</c:v>
                </c:pt>
                <c:pt idx="6">
                  <c:v>2028-29</c:v>
                </c:pt>
              </c:strCache>
            </c:strRef>
          </c:cat>
          <c:val>
            <c:numRef>
              <c:f>'Chart Data'!$J$6:$P$6</c:f>
              <c:numCache>
                <c:formatCode>0.0</c:formatCode>
                <c:ptCount val="7"/>
                <c:pt idx="0">
                  <c:v>0</c:v>
                </c:pt>
                <c:pt idx="1">
                  <c:v>-2.3828954716488235</c:v>
                </c:pt>
                <c:pt idx="2">
                  <c:v>-9.9944841571305911</c:v>
                </c:pt>
                <c:pt idx="3">
                  <c:v>-10.141011955626647</c:v>
                </c:pt>
                <c:pt idx="4">
                  <c:v>-10.171629952187908</c:v>
                </c:pt>
                <c:pt idx="5">
                  <c:v>-10.385802841118339</c:v>
                </c:pt>
                <c:pt idx="6">
                  <c:v>-10.668159520849654</c:v>
                </c:pt>
              </c:numCache>
            </c:numRef>
          </c:val>
          <c:extLst>
            <c:ext xmlns:c16="http://schemas.microsoft.com/office/drawing/2014/chart" uri="{C3380CC4-5D6E-409C-BE32-E72D297353CC}">
              <c16:uniqueId val="{00000002-146E-4599-A5E6-C1D44CA8266C}"/>
            </c:ext>
          </c:extLst>
        </c:ser>
        <c:ser>
          <c:idx val="3"/>
          <c:order val="3"/>
          <c:tx>
            <c:strRef>
              <c:f>'Chart Data'!$I$7</c:f>
              <c:strCache>
                <c:ptCount val="1"/>
                <c:pt idx="0">
                  <c:v>NICs rate cut (Budget 24)</c:v>
                </c:pt>
              </c:strCache>
            </c:strRef>
          </c:tx>
          <c:spPr>
            <a:solidFill>
              <a:srgbClr val="7B7C77"/>
            </a:solidFill>
            <a:ln w="6350">
              <a:solidFill>
                <a:srgbClr val="495057"/>
              </a:solidFill>
            </a:ln>
          </c:spPr>
          <c:invertIfNegative val="0"/>
          <c:cat>
            <c:strRef>
              <c:f>'Chart Data'!$J$3:$P$3</c:f>
              <c:strCache>
                <c:ptCount val="7"/>
                <c:pt idx="0">
                  <c:v>2022-23</c:v>
                </c:pt>
                <c:pt idx="1">
                  <c:v>2023-24</c:v>
                </c:pt>
                <c:pt idx="2">
                  <c:v>2024-25</c:v>
                </c:pt>
                <c:pt idx="3">
                  <c:v>2025-26</c:v>
                </c:pt>
                <c:pt idx="4">
                  <c:v>2026-27</c:v>
                </c:pt>
                <c:pt idx="5">
                  <c:v>2027-28</c:v>
                </c:pt>
                <c:pt idx="6">
                  <c:v>2028-29</c:v>
                </c:pt>
              </c:strCache>
            </c:strRef>
          </c:cat>
          <c:val>
            <c:numRef>
              <c:f>'Chart Data'!$J$7:$P$7</c:f>
              <c:numCache>
                <c:formatCode>0.0</c:formatCode>
                <c:ptCount val="7"/>
                <c:pt idx="0">
                  <c:v>0</c:v>
                </c:pt>
                <c:pt idx="1">
                  <c:v>0</c:v>
                </c:pt>
                <c:pt idx="2">
                  <c:v>-10.070956860444449</c:v>
                </c:pt>
                <c:pt idx="3">
                  <c:v>-10.145467281084677</c:v>
                </c:pt>
                <c:pt idx="4">
                  <c:v>-10.226379242535355</c:v>
                </c:pt>
                <c:pt idx="5">
                  <c:v>-10.4463302223862</c:v>
                </c:pt>
                <c:pt idx="6">
                  <c:v>-10.74914877038842</c:v>
                </c:pt>
              </c:numCache>
            </c:numRef>
          </c:val>
          <c:extLst>
            <c:ext xmlns:c16="http://schemas.microsoft.com/office/drawing/2014/chart" uri="{C3380CC4-5D6E-409C-BE32-E72D297353CC}">
              <c16:uniqueId val="{00000003-146E-4599-A5E6-C1D44CA8266C}"/>
            </c:ext>
          </c:extLst>
        </c:ser>
        <c:dLbls>
          <c:showLegendKey val="0"/>
          <c:showVal val="0"/>
          <c:showCatName val="0"/>
          <c:showSerName val="0"/>
          <c:showPercent val="0"/>
          <c:showBubbleSize val="0"/>
        </c:dLbls>
        <c:gapWidth val="50"/>
        <c:overlap val="100"/>
        <c:axId val="275934208"/>
        <c:axId val="275936000"/>
      </c:barChart>
      <c:lineChart>
        <c:grouping val="stacked"/>
        <c:varyColors val="0"/>
        <c:ser>
          <c:idx val="4"/>
          <c:order val="4"/>
          <c:tx>
            <c:strRef>
              <c:f>'Chart Data'!$I$8</c:f>
              <c:strCache>
                <c:ptCount val="1"/>
                <c:pt idx="0">
                  <c:v>Total impact</c:v>
                </c:pt>
              </c:strCache>
            </c:strRef>
          </c:tx>
          <c:spPr>
            <a:ln>
              <a:noFill/>
            </a:ln>
          </c:spPr>
          <c:marker>
            <c:symbol val="diamond"/>
            <c:size val="12"/>
            <c:spPr>
              <a:solidFill>
                <a:sysClr val="window" lastClr="FFFFFF"/>
              </a:solidFill>
              <a:ln w="12700">
                <a:solidFill>
                  <a:srgbClr val="495057"/>
                </a:solidFill>
              </a:ln>
            </c:spPr>
          </c:marker>
          <c:cat>
            <c:strRef>
              <c:f>'Chart Data'!$J$3:$P$3</c:f>
              <c:strCache>
                <c:ptCount val="7"/>
                <c:pt idx="0">
                  <c:v>2022-23</c:v>
                </c:pt>
                <c:pt idx="1">
                  <c:v>2023-24</c:v>
                </c:pt>
                <c:pt idx="2">
                  <c:v>2024-25</c:v>
                </c:pt>
                <c:pt idx="3">
                  <c:v>2025-26</c:v>
                </c:pt>
                <c:pt idx="4">
                  <c:v>2026-27</c:v>
                </c:pt>
                <c:pt idx="5">
                  <c:v>2027-28</c:v>
                </c:pt>
                <c:pt idx="6">
                  <c:v>2028-29</c:v>
                </c:pt>
              </c:strCache>
            </c:strRef>
          </c:cat>
          <c:val>
            <c:numRef>
              <c:f>'Chart Data'!$J$8:$P$8</c:f>
              <c:numCache>
                <c:formatCode>0.0</c:formatCode>
                <c:ptCount val="7"/>
                <c:pt idx="0">
                  <c:v>-3.7299999999999995</c:v>
                </c:pt>
                <c:pt idx="1">
                  <c:v>9.4871045283511783</c:v>
                </c:pt>
                <c:pt idx="2">
                  <c:v>6.6395589824249637</c:v>
                </c:pt>
                <c:pt idx="3">
                  <c:v>11.678520763288681</c:v>
                </c:pt>
                <c:pt idx="4">
                  <c:v>14.951990805276733</c:v>
                </c:pt>
                <c:pt idx="5">
                  <c:v>18.667866936495457</c:v>
                </c:pt>
                <c:pt idx="6">
                  <c:v>19.707691708761924</c:v>
                </c:pt>
              </c:numCache>
            </c:numRef>
          </c:val>
          <c:smooth val="0"/>
          <c:extLst>
            <c:ext xmlns:c16="http://schemas.microsoft.com/office/drawing/2014/chart" uri="{C3380CC4-5D6E-409C-BE32-E72D297353CC}">
              <c16:uniqueId val="{00000000-E5A5-4D4F-8B72-A9FC84D4F027}"/>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7.136663849222237E-2"/>
          <c:y val="9.4287273496753476E-2"/>
          <c:w val="0.41789889823094145"/>
          <c:h val="0.2679021557948820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85419553064341536"/>
          <c:h val="0.71318700601518292"/>
        </c:manualLayout>
      </c:layout>
      <c:lineChart>
        <c:grouping val="standard"/>
        <c:varyColors val="0"/>
        <c:ser>
          <c:idx val="0"/>
          <c:order val="0"/>
          <c:tx>
            <c:strRef>
              <c:f>'Chart Data'!$BW$3</c:f>
              <c:strCache>
                <c:ptCount val="1"/>
                <c:pt idx="0">
                  <c:v>Mar-22</c:v>
                </c:pt>
              </c:strCache>
            </c:strRef>
          </c:tx>
          <c:spPr>
            <a:ln w="38100">
              <a:solidFill>
                <a:srgbClr val="BD1B21"/>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Data'!$BW$5:$BW$13</c:f>
              <c:numCache>
                <c:formatCode>0.000</c:formatCode>
                <c:ptCount val="9"/>
                <c:pt idx="0">
                  <c:v>458.8966832970325</c:v>
                </c:pt>
                <c:pt idx="1">
                  <c:v>431.5684479524059</c:v>
                </c:pt>
                <c:pt idx="2">
                  <c:v>416.78363995912838</c:v>
                </c:pt>
                <c:pt idx="3">
                  <c:v>408.01899650695265</c:v>
                </c:pt>
                <c:pt idx="4">
                  <c:v>411.47239778687361</c:v>
                </c:pt>
                <c:pt idx="5">
                  <c:v>419.28353128859283</c:v>
                </c:pt>
                <c:pt idx="6">
                  <c:v>426.33882121330748</c:v>
                </c:pt>
              </c:numCache>
            </c:numRef>
          </c:val>
          <c:smooth val="0"/>
          <c:extLst>
            <c:ext xmlns:c16="http://schemas.microsoft.com/office/drawing/2014/chart" uri="{C3380CC4-5D6E-409C-BE32-E72D297353CC}">
              <c16:uniqueId val="{00000000-E850-417B-95DA-4ED900504230}"/>
            </c:ext>
          </c:extLst>
        </c:ser>
        <c:ser>
          <c:idx val="1"/>
          <c:order val="1"/>
          <c:tx>
            <c:strRef>
              <c:f>'Chart Data'!$BX$3</c:f>
              <c:strCache>
                <c:ptCount val="1"/>
                <c:pt idx="0">
                  <c:v>Nov-22</c:v>
                </c:pt>
              </c:strCache>
            </c:strRef>
          </c:tx>
          <c:spPr>
            <a:ln w="38100">
              <a:solidFill>
                <a:srgbClr val="003469"/>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Data'!$BX$5:$BX$13</c:f>
              <c:numCache>
                <c:formatCode>0.000</c:formatCode>
                <c:ptCount val="9"/>
                <c:pt idx="1">
                  <c:v>447.79465820264966</c:v>
                </c:pt>
                <c:pt idx="2">
                  <c:v>428.90955315550332</c:v>
                </c:pt>
                <c:pt idx="3">
                  <c:v>419.68700688438963</c:v>
                </c:pt>
                <c:pt idx="4">
                  <c:v>416.51465369289707</c:v>
                </c:pt>
                <c:pt idx="5">
                  <c:v>422.49029071791523</c:v>
                </c:pt>
                <c:pt idx="6">
                  <c:v>426.73778106058541</c:v>
                </c:pt>
                <c:pt idx="7">
                  <c:v>431.3285552990057</c:v>
                </c:pt>
              </c:numCache>
            </c:numRef>
          </c:val>
          <c:smooth val="0"/>
          <c:extLst>
            <c:ext xmlns:c16="http://schemas.microsoft.com/office/drawing/2014/chart" uri="{C3380CC4-5D6E-409C-BE32-E72D297353CC}">
              <c16:uniqueId val="{00000001-E850-417B-95DA-4ED900504230}"/>
            </c:ext>
          </c:extLst>
        </c:ser>
        <c:ser>
          <c:idx val="2"/>
          <c:order val="2"/>
          <c:tx>
            <c:strRef>
              <c:f>'Chart Data'!$BY$3</c:f>
              <c:strCache>
                <c:ptCount val="1"/>
                <c:pt idx="0">
                  <c:v>Mar-23</c:v>
                </c:pt>
              </c:strCache>
            </c:strRef>
          </c:tx>
          <c:spPr>
            <a:ln w="38100">
              <a:solidFill>
                <a:srgbClr val="D1A21E"/>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Data'!$BY$5:$BY$13</c:f>
              <c:numCache>
                <c:formatCode>0.000</c:formatCode>
                <c:ptCount val="9"/>
                <c:pt idx="1">
                  <c:v>448.14356303003768</c:v>
                </c:pt>
                <c:pt idx="2">
                  <c:v>426.0750777266984</c:v>
                </c:pt>
                <c:pt idx="3">
                  <c:v>421.68739664522008</c:v>
                </c:pt>
                <c:pt idx="4">
                  <c:v>420.06427341227788</c:v>
                </c:pt>
                <c:pt idx="5">
                  <c:v>425.01854540134423</c:v>
                </c:pt>
                <c:pt idx="6">
                  <c:v>429.91625256195584</c:v>
                </c:pt>
                <c:pt idx="7">
                  <c:v>435.03112871970654</c:v>
                </c:pt>
              </c:numCache>
            </c:numRef>
          </c:val>
          <c:smooth val="0"/>
          <c:extLst>
            <c:ext xmlns:c16="http://schemas.microsoft.com/office/drawing/2014/chart" uri="{C3380CC4-5D6E-409C-BE32-E72D297353CC}">
              <c16:uniqueId val="{00000002-E850-417B-95DA-4ED900504230}"/>
            </c:ext>
          </c:extLst>
        </c:ser>
        <c:ser>
          <c:idx val="3"/>
          <c:order val="3"/>
          <c:tx>
            <c:strRef>
              <c:f>'Chart Data'!$BZ$3</c:f>
              <c:strCache>
                <c:ptCount val="1"/>
                <c:pt idx="0">
                  <c:v>Nov-23</c:v>
                </c:pt>
              </c:strCache>
            </c:strRef>
          </c:tx>
          <c:spPr>
            <a:ln w="38100">
              <a:solidFill>
                <a:srgbClr val="7B7C77"/>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Data'!$BZ$5:$BZ$13</c:f>
              <c:numCache>
                <c:formatCode>General</c:formatCode>
                <c:ptCount val="9"/>
                <c:pt idx="2" formatCode="0.000">
                  <c:v>436.59225600637149</c:v>
                </c:pt>
                <c:pt idx="3" formatCode="0.000">
                  <c:v>426.51629477390128</c:v>
                </c:pt>
                <c:pt idx="4" formatCode="0.000">
                  <c:v>428.2856840166059</c:v>
                </c:pt>
                <c:pt idx="5" formatCode="0.000">
                  <c:v>430.5596046659544</c:v>
                </c:pt>
                <c:pt idx="6" formatCode="0.000">
                  <c:v>434.76614060326818</c:v>
                </c:pt>
                <c:pt idx="7" formatCode="0.000">
                  <c:v>439.36380185362196</c:v>
                </c:pt>
                <c:pt idx="8" formatCode="0.000">
                  <c:v>443.82963204992916</c:v>
                </c:pt>
              </c:numCache>
            </c:numRef>
          </c:val>
          <c:smooth val="0"/>
          <c:extLst>
            <c:ext xmlns:c16="http://schemas.microsoft.com/office/drawing/2014/chart" uri="{C3380CC4-5D6E-409C-BE32-E72D297353CC}">
              <c16:uniqueId val="{00000003-E850-417B-95DA-4ED900504230}"/>
            </c:ext>
          </c:extLst>
        </c:ser>
        <c:ser>
          <c:idx val="4"/>
          <c:order val="4"/>
          <c:tx>
            <c:strRef>
              <c:f>'Chart Data'!$CA$3</c:f>
              <c:strCache>
                <c:ptCount val="1"/>
                <c:pt idx="0">
                  <c:v>Mar-24</c:v>
                </c:pt>
              </c:strCache>
            </c:strRef>
          </c:tx>
          <c:spPr>
            <a:ln w="38100">
              <a:solidFill>
                <a:srgbClr val="965793"/>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Data'!$CA$5:$CA$13</c:f>
              <c:numCache>
                <c:formatCode>General</c:formatCode>
                <c:ptCount val="9"/>
                <c:pt idx="2" formatCode="0.000">
                  <c:v>434.16960091758955</c:v>
                </c:pt>
                <c:pt idx="3" formatCode="0.000">
                  <c:v>422.94448746678228</c:v>
                </c:pt>
                <c:pt idx="4" formatCode="0.000">
                  <c:v>426.81436654722518</c:v>
                </c:pt>
                <c:pt idx="5" formatCode="0.000">
                  <c:v>430.76503375264912</c:v>
                </c:pt>
                <c:pt idx="6" formatCode="0.000">
                  <c:v>435.16501545824281</c:v>
                </c:pt>
                <c:pt idx="7" formatCode="0.000">
                  <c:v>439.70474010556268</c:v>
                </c:pt>
                <c:pt idx="8" formatCode="0.000">
                  <c:v>443.96992241789394</c:v>
                </c:pt>
              </c:numCache>
            </c:numRef>
          </c:val>
          <c:smooth val="0"/>
          <c:extLst>
            <c:ext xmlns:c16="http://schemas.microsoft.com/office/drawing/2014/chart" uri="{C3380CC4-5D6E-409C-BE32-E72D297353CC}">
              <c16:uniqueId val="{00000000-5EE2-49A4-8A1D-3F60538D2066}"/>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4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7018242211249018"/>
          <c:y val="0.1414070765906737"/>
          <c:w val="0.74678529590580833"/>
          <c:h val="5.6021710157517439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85419553064341536"/>
          <c:h val="0.71318700601518292"/>
        </c:manualLayout>
      </c:layout>
      <c:lineChart>
        <c:grouping val="standard"/>
        <c:varyColors val="0"/>
        <c:ser>
          <c:idx val="0"/>
          <c:order val="0"/>
          <c:tx>
            <c:strRef>
              <c:f>'Chart Data'!$CC$3</c:f>
              <c:strCache>
                <c:ptCount val="1"/>
                <c:pt idx="0">
                  <c:v>Mar-22</c:v>
                </c:pt>
              </c:strCache>
            </c:strRef>
          </c:tx>
          <c:spPr>
            <a:ln w="38100">
              <a:solidFill>
                <a:srgbClr val="BD1B21"/>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Data'!$CC$5:$CC$13</c:f>
              <c:numCache>
                <c:formatCode>0.000</c:formatCode>
                <c:ptCount val="9"/>
                <c:pt idx="0">
                  <c:v>76.700702356321742</c:v>
                </c:pt>
                <c:pt idx="1">
                  <c:v>73.741166202752751</c:v>
                </c:pt>
                <c:pt idx="2">
                  <c:v>88.064135915734468</c:v>
                </c:pt>
                <c:pt idx="3">
                  <c:v>94.646378500647913</c:v>
                </c:pt>
                <c:pt idx="4">
                  <c:v>93.135787507400309</c:v>
                </c:pt>
                <c:pt idx="5">
                  <c:v>95.58799362083569</c:v>
                </c:pt>
                <c:pt idx="6">
                  <c:v>97.189513398389536</c:v>
                </c:pt>
              </c:numCache>
            </c:numRef>
          </c:val>
          <c:smooth val="0"/>
          <c:extLst>
            <c:ext xmlns:c16="http://schemas.microsoft.com/office/drawing/2014/chart" uri="{C3380CC4-5D6E-409C-BE32-E72D297353CC}">
              <c16:uniqueId val="{00000000-BC30-47BA-A165-9A013EFB963C}"/>
            </c:ext>
          </c:extLst>
        </c:ser>
        <c:ser>
          <c:idx val="1"/>
          <c:order val="1"/>
          <c:tx>
            <c:strRef>
              <c:f>'Chart Data'!$CD$3</c:f>
              <c:strCache>
                <c:ptCount val="1"/>
                <c:pt idx="0">
                  <c:v>Nov-22</c:v>
                </c:pt>
              </c:strCache>
            </c:strRef>
          </c:tx>
          <c:spPr>
            <a:ln w="38100">
              <a:solidFill>
                <a:srgbClr val="002060"/>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Data'!$CD$5:$CD$13</c:f>
              <c:numCache>
                <c:formatCode>0.000</c:formatCode>
                <c:ptCount val="9"/>
                <c:pt idx="1">
                  <c:v>83.322042142946756</c:v>
                </c:pt>
                <c:pt idx="2">
                  <c:v>91.685962259474067</c:v>
                </c:pt>
                <c:pt idx="3">
                  <c:v>94.447102944360509</c:v>
                </c:pt>
                <c:pt idx="4">
                  <c:v>93.490781451426088</c:v>
                </c:pt>
                <c:pt idx="5">
                  <c:v>93.864122094749433</c:v>
                </c:pt>
                <c:pt idx="6">
                  <c:v>93.134819641501352</c:v>
                </c:pt>
                <c:pt idx="7">
                  <c:v>91.663094471063488</c:v>
                </c:pt>
              </c:numCache>
            </c:numRef>
          </c:val>
          <c:smooth val="0"/>
          <c:extLst>
            <c:ext xmlns:c16="http://schemas.microsoft.com/office/drawing/2014/chart" uri="{C3380CC4-5D6E-409C-BE32-E72D297353CC}">
              <c16:uniqueId val="{00000001-BC30-47BA-A165-9A013EFB963C}"/>
            </c:ext>
          </c:extLst>
        </c:ser>
        <c:ser>
          <c:idx val="2"/>
          <c:order val="2"/>
          <c:tx>
            <c:strRef>
              <c:f>'Chart Data'!$CE$3</c:f>
              <c:strCache>
                <c:ptCount val="1"/>
                <c:pt idx="0">
                  <c:v>Mar-23</c:v>
                </c:pt>
              </c:strCache>
            </c:strRef>
          </c:tx>
          <c:spPr>
            <a:ln w="38100">
              <a:solidFill>
                <a:srgbClr val="D1A21E"/>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Data'!$CE$5:$CE$13</c:f>
              <c:numCache>
                <c:formatCode>0.000</c:formatCode>
                <c:ptCount val="9"/>
                <c:pt idx="1">
                  <c:v>83.386963557704547</c:v>
                </c:pt>
                <c:pt idx="2">
                  <c:v>88.516820121352708</c:v>
                </c:pt>
                <c:pt idx="3">
                  <c:v>96.111650871276524</c:v>
                </c:pt>
                <c:pt idx="4">
                  <c:v>95.391984914040279</c:v>
                </c:pt>
                <c:pt idx="5">
                  <c:v>94.667158442245707</c:v>
                </c:pt>
                <c:pt idx="6">
                  <c:v>93.932422976747986</c:v>
                </c:pt>
                <c:pt idx="7">
                  <c:v>92.545944309895674</c:v>
                </c:pt>
              </c:numCache>
            </c:numRef>
          </c:val>
          <c:smooth val="0"/>
          <c:extLst>
            <c:ext xmlns:c16="http://schemas.microsoft.com/office/drawing/2014/chart" uri="{C3380CC4-5D6E-409C-BE32-E72D297353CC}">
              <c16:uniqueId val="{00000002-BC30-47BA-A165-9A013EFB963C}"/>
            </c:ext>
          </c:extLst>
        </c:ser>
        <c:ser>
          <c:idx val="3"/>
          <c:order val="3"/>
          <c:tx>
            <c:strRef>
              <c:f>'Chart Data'!$CF$3</c:f>
              <c:strCache>
                <c:ptCount val="1"/>
                <c:pt idx="0">
                  <c:v>Nov-23</c:v>
                </c:pt>
              </c:strCache>
            </c:strRef>
          </c:tx>
          <c:spPr>
            <a:ln w="38100">
              <a:solidFill>
                <a:srgbClr val="7B7C77"/>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Data'!$CF$5:$CF$13</c:f>
              <c:numCache>
                <c:formatCode>General</c:formatCode>
                <c:ptCount val="9"/>
                <c:pt idx="2" formatCode="0.000">
                  <c:v>95.258653858451623</c:v>
                </c:pt>
                <c:pt idx="3" formatCode="0.000">
                  <c:v>96.000287999999955</c:v>
                </c:pt>
                <c:pt idx="4" formatCode="0.000">
                  <c:v>97.563785683863074</c:v>
                </c:pt>
                <c:pt idx="5" formatCode="0.000">
                  <c:v>94.011518710547747</c:v>
                </c:pt>
                <c:pt idx="6" formatCode="0.000">
                  <c:v>92.781760106521077</c:v>
                </c:pt>
                <c:pt idx="7" formatCode="0.000">
                  <c:v>91.24677676275607</c:v>
                </c:pt>
                <c:pt idx="8" formatCode="0.000">
                  <c:v>89.342414491112251</c:v>
                </c:pt>
              </c:numCache>
            </c:numRef>
          </c:val>
          <c:smooth val="0"/>
          <c:extLst>
            <c:ext xmlns:c16="http://schemas.microsoft.com/office/drawing/2014/chart" uri="{C3380CC4-5D6E-409C-BE32-E72D297353CC}">
              <c16:uniqueId val="{00000003-BC30-47BA-A165-9A013EFB963C}"/>
            </c:ext>
          </c:extLst>
        </c:ser>
        <c:ser>
          <c:idx val="4"/>
          <c:order val="4"/>
          <c:tx>
            <c:strRef>
              <c:f>'Chart Data'!$CG$3</c:f>
              <c:strCache>
                <c:ptCount val="1"/>
                <c:pt idx="0">
                  <c:v>Mar-24</c:v>
                </c:pt>
              </c:strCache>
            </c:strRef>
          </c:tx>
          <c:spPr>
            <a:ln w="38100">
              <a:solidFill>
                <a:srgbClr val="965793"/>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Data'!$CG$5:$CG$13</c:f>
              <c:numCache>
                <c:formatCode>General</c:formatCode>
                <c:ptCount val="9"/>
                <c:pt idx="2" formatCode="0.000">
                  <c:v>95.678252024044781</c:v>
                </c:pt>
                <c:pt idx="3" formatCode="0.000">
                  <c:v>95.583785992908247</c:v>
                </c:pt>
                <c:pt idx="4" formatCode="0.000">
                  <c:v>98.420392047279606</c:v>
                </c:pt>
                <c:pt idx="5" formatCode="0.000">
                  <c:v>95.996917704463328</c:v>
                </c:pt>
                <c:pt idx="6" formatCode="0.000">
                  <c:v>94.626290256180795</c:v>
                </c:pt>
                <c:pt idx="7" formatCode="0.000">
                  <c:v>92.878783479225149</c:v>
                </c:pt>
                <c:pt idx="8" formatCode="0.000">
                  <c:v>90.208165355151237</c:v>
                </c:pt>
              </c:numCache>
            </c:numRef>
          </c:val>
          <c:smooth val="0"/>
          <c:extLst>
            <c:ext xmlns:c16="http://schemas.microsoft.com/office/drawing/2014/chart" uri="{C3380CC4-5D6E-409C-BE32-E72D297353CC}">
              <c16:uniqueId val="{00000000-71A4-43EB-B1BC-AF5ADDEE657A}"/>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7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8374174414638847"/>
          <c:y val="0.12818704592618993"/>
          <c:w val="0.75733143526550706"/>
          <c:h val="5.6021710157517439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3479808413778786"/>
          <c:h val="0.67925385047113807"/>
        </c:manualLayout>
      </c:layout>
      <c:lineChart>
        <c:grouping val="standard"/>
        <c:varyColors val="0"/>
        <c:ser>
          <c:idx val="0"/>
          <c:order val="0"/>
          <c:tx>
            <c:strRef>
              <c:f>'Chart Data'!$S$3</c:f>
              <c:strCache>
                <c:ptCount val="1"/>
                <c:pt idx="0">
                  <c:v>Mar-22</c:v>
                </c:pt>
              </c:strCache>
            </c:strRef>
          </c:tx>
          <c:spPr>
            <a:ln w="41275">
              <a:solidFill>
                <a:srgbClr val="BD1B21"/>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Data'!$S$7:$S$13</c:f>
              <c:numCache>
                <c:formatCode>0.000</c:formatCode>
                <c:ptCount val="7"/>
                <c:pt idx="0">
                  <c:v>103.17708154289062</c:v>
                </c:pt>
                <c:pt idx="1">
                  <c:v>100.02575192619238</c:v>
                </c:pt>
                <c:pt idx="2">
                  <c:v>100</c:v>
                </c:pt>
                <c:pt idx="3">
                  <c:v>101.14957326284653</c:v>
                </c:pt>
                <c:pt idx="4">
                  <c:v>102.23065254105472</c:v>
                </c:pt>
              </c:numCache>
            </c:numRef>
          </c:val>
          <c:smooth val="0"/>
          <c:extLst>
            <c:ext xmlns:c16="http://schemas.microsoft.com/office/drawing/2014/chart" uri="{C3380CC4-5D6E-409C-BE32-E72D297353CC}">
              <c16:uniqueId val="{00000000-BAF7-4671-AA62-6BB5287E9651}"/>
            </c:ext>
          </c:extLst>
        </c:ser>
        <c:ser>
          <c:idx val="1"/>
          <c:order val="1"/>
          <c:tx>
            <c:strRef>
              <c:f>'Chart Data'!$T$3</c:f>
              <c:strCache>
                <c:ptCount val="1"/>
                <c:pt idx="0">
                  <c:v>Nov-22</c:v>
                </c:pt>
              </c:strCache>
            </c:strRef>
          </c:tx>
          <c:spPr>
            <a:ln w="38100">
              <a:solidFill>
                <a:srgbClr val="002060"/>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Data'!$T$7:$T$13</c:f>
              <c:numCache>
                <c:formatCode>0.000</c:formatCode>
                <c:ptCount val="7"/>
                <c:pt idx="0">
                  <c:v>104.89353401106595</c:v>
                </c:pt>
                <c:pt idx="1">
                  <c:v>101.64063920512278</c:v>
                </c:pt>
                <c:pt idx="2">
                  <c:v>100</c:v>
                </c:pt>
                <c:pt idx="3">
                  <c:v>100.68931943415818</c:v>
                </c:pt>
                <c:pt idx="4">
                  <c:v>101.08757297362399</c:v>
                </c:pt>
                <c:pt idx="5">
                  <c:v>101.69253312985254</c:v>
                </c:pt>
              </c:numCache>
            </c:numRef>
          </c:val>
          <c:smooth val="0"/>
          <c:extLst>
            <c:ext xmlns:c16="http://schemas.microsoft.com/office/drawing/2014/chart" uri="{C3380CC4-5D6E-409C-BE32-E72D297353CC}">
              <c16:uniqueId val="{00000001-BAF7-4671-AA62-6BB5287E9651}"/>
            </c:ext>
          </c:extLst>
        </c:ser>
        <c:ser>
          <c:idx val="2"/>
          <c:order val="2"/>
          <c:tx>
            <c:strRef>
              <c:f>'Chart Data'!$U$3</c:f>
              <c:strCache>
                <c:ptCount val="1"/>
                <c:pt idx="0">
                  <c:v>Mar-23</c:v>
                </c:pt>
              </c:strCache>
            </c:strRef>
          </c:tx>
          <c:spPr>
            <a:ln w="38100">
              <a:solidFill>
                <a:srgbClr val="D1A21E"/>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Data'!$U$7:$U$13</c:f>
              <c:numCache>
                <c:formatCode>0.000</c:formatCode>
                <c:ptCount val="7"/>
                <c:pt idx="0">
                  <c:v>103.31982671040359</c:v>
                </c:pt>
                <c:pt idx="1">
                  <c:v>101.26212190083463</c:v>
                </c:pt>
                <c:pt idx="2">
                  <c:v>100</c:v>
                </c:pt>
                <c:pt idx="3">
                  <c:v>100.43592696357445</c:v>
                </c:pt>
                <c:pt idx="4">
                  <c:v>100.97993282965894</c:v>
                </c:pt>
                <c:pt idx="5">
                  <c:v>101.69877645515919</c:v>
                </c:pt>
              </c:numCache>
            </c:numRef>
          </c:val>
          <c:smooth val="0"/>
          <c:extLst>
            <c:ext xmlns:c16="http://schemas.microsoft.com/office/drawing/2014/chart" uri="{C3380CC4-5D6E-409C-BE32-E72D297353CC}">
              <c16:uniqueId val="{00000002-BAF7-4671-AA62-6BB5287E9651}"/>
            </c:ext>
          </c:extLst>
        </c:ser>
        <c:ser>
          <c:idx val="3"/>
          <c:order val="3"/>
          <c:tx>
            <c:strRef>
              <c:f>'Chart Data'!$V$3</c:f>
              <c:strCache>
                <c:ptCount val="1"/>
                <c:pt idx="0">
                  <c:v>Nov-23</c:v>
                </c:pt>
              </c:strCache>
            </c:strRef>
          </c:tx>
          <c:spPr>
            <a:ln w="38100">
              <a:solidFill>
                <a:srgbClr val="7B7C77"/>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Data'!$V$7:$V$13</c:f>
              <c:numCache>
                <c:formatCode>0.000</c:formatCode>
                <c:ptCount val="7"/>
                <c:pt idx="0">
                  <c:v>103.83786590295678</c:v>
                </c:pt>
                <c:pt idx="1">
                  <c:v>100.4556154446238</c:v>
                </c:pt>
                <c:pt idx="2">
                  <c:v>100</c:v>
                </c:pt>
                <c:pt idx="3">
                  <c:v>99.792219432896189</c:v>
                </c:pt>
                <c:pt idx="4">
                  <c:v>100.1588008863588</c:v>
                </c:pt>
                <c:pt idx="5">
                  <c:v>100.73997896693929</c:v>
                </c:pt>
                <c:pt idx="6">
                  <c:v>101.32774847390537</c:v>
                </c:pt>
              </c:numCache>
            </c:numRef>
          </c:val>
          <c:smooth val="0"/>
          <c:extLst>
            <c:ext xmlns:c16="http://schemas.microsoft.com/office/drawing/2014/chart" uri="{C3380CC4-5D6E-409C-BE32-E72D297353CC}">
              <c16:uniqueId val="{00000003-BAF7-4671-AA62-6BB5287E9651}"/>
            </c:ext>
          </c:extLst>
        </c:ser>
        <c:ser>
          <c:idx val="4"/>
          <c:order val="4"/>
          <c:tx>
            <c:strRef>
              <c:f>'Chart Data'!$W$3</c:f>
              <c:strCache>
                <c:ptCount val="1"/>
                <c:pt idx="0">
                  <c:v>Mar-24</c:v>
                </c:pt>
              </c:strCache>
            </c:strRef>
          </c:tx>
          <c:spPr>
            <a:ln w="38100">
              <a:solidFill>
                <a:srgbClr val="965793"/>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Data'!$W$7:$W$13</c:f>
              <c:numCache>
                <c:formatCode>0.000</c:formatCode>
                <c:ptCount val="7"/>
                <c:pt idx="0">
                  <c:v>103.61763282244772</c:v>
                </c:pt>
                <c:pt idx="1">
                  <c:v>99.957753797964315</c:v>
                </c:pt>
                <c:pt idx="2">
                  <c:v>100</c:v>
                </c:pt>
                <c:pt idx="3">
                  <c:v>100.18400097829891</c:v>
                </c:pt>
                <c:pt idx="4">
                  <c:v>100.59627615343338</c:v>
                </c:pt>
                <c:pt idx="5">
                  <c:v>101.16569237936577</c:v>
                </c:pt>
                <c:pt idx="6">
                  <c:v>101.70918535409974</c:v>
                </c:pt>
              </c:numCache>
            </c:numRef>
          </c:val>
          <c:smooth val="0"/>
          <c:extLst>
            <c:ext xmlns:c16="http://schemas.microsoft.com/office/drawing/2014/chart" uri="{C3380CC4-5D6E-409C-BE32-E72D297353CC}">
              <c16:uniqueId val="{00000004-BAF7-4671-AA62-6BB5287E9651}"/>
            </c:ext>
          </c:extLst>
        </c:ser>
        <c:ser>
          <c:idx val="5"/>
          <c:order val="5"/>
          <c:tx>
            <c:strRef>
              <c:f>'Chart Data'!$X$3</c:f>
              <c:strCache>
                <c:ptCount val="1"/>
                <c:pt idx="0">
                  <c:v>100 LINE</c:v>
                </c:pt>
              </c:strCache>
            </c:strRef>
          </c:tx>
          <c:spPr>
            <a:ln w="12700">
              <a:solidFill>
                <a:srgbClr val="495057"/>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Data'!$X$7:$X$13</c:f>
              <c:numCache>
                <c:formatCode>General</c:formatCode>
                <c:ptCount val="7"/>
                <c:pt idx="0">
                  <c:v>100</c:v>
                </c:pt>
                <c:pt idx="1">
                  <c:v>100</c:v>
                </c:pt>
                <c:pt idx="2">
                  <c:v>100</c:v>
                </c:pt>
                <c:pt idx="3">
                  <c:v>100</c:v>
                </c:pt>
                <c:pt idx="4">
                  <c:v>100</c:v>
                </c:pt>
                <c:pt idx="5">
                  <c:v>100</c:v>
                </c:pt>
                <c:pt idx="6">
                  <c:v>100</c:v>
                </c:pt>
              </c:numCache>
            </c:numRef>
          </c:val>
          <c:smooth val="0"/>
          <c:extLst>
            <c:ext xmlns:c16="http://schemas.microsoft.com/office/drawing/2014/chart" uri="{C3380CC4-5D6E-409C-BE32-E72D297353CC}">
              <c16:uniqueId val="{00000005-BAF7-4671-AA62-6BB5287E9651}"/>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
        <c:noMultiLvlLbl val="0"/>
      </c:catAx>
      <c:valAx>
        <c:axId val="263608576"/>
        <c:scaling>
          <c:orientation val="minMax"/>
          <c:min val="99"/>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egendEntry>
        <c:idx val="5"/>
        <c:delete val="1"/>
      </c:legendEntry>
      <c:layout>
        <c:manualLayout>
          <c:xMode val="edge"/>
          <c:yMode val="edge"/>
          <c:x val="0.5584794209943259"/>
          <c:y val="0.52808547950183271"/>
          <c:w val="0.20471598677283975"/>
          <c:h val="0.2738954660370424"/>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4.7990016476366838E-2"/>
          <c:w val="0.6562467751232588"/>
          <c:h val="0.76126994521755553"/>
        </c:manualLayout>
      </c:layout>
      <c:lineChart>
        <c:grouping val="standard"/>
        <c:varyColors val="0"/>
        <c:ser>
          <c:idx val="0"/>
          <c:order val="0"/>
          <c:tx>
            <c:strRef>
              <c:f>'Chart Data'!$Z$3</c:f>
              <c:strCache>
                <c:ptCount val="1"/>
                <c:pt idx="0">
                  <c:v>Mar-22</c:v>
                </c:pt>
              </c:strCache>
            </c:strRef>
          </c:tx>
          <c:spPr>
            <a:ln w="38100">
              <a:solidFill>
                <a:srgbClr val="BD1B21"/>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Data'!$Z$7:$Z$13</c:f>
              <c:numCache>
                <c:formatCode>0.000</c:formatCode>
                <c:ptCount val="7"/>
                <c:pt idx="0">
                  <c:v>96.315408406731066</c:v>
                </c:pt>
                <c:pt idx="1">
                  <c:v>102.50842449817912</c:v>
                </c:pt>
                <c:pt idx="2">
                  <c:v>100</c:v>
                </c:pt>
                <c:pt idx="3">
                  <c:v>101.87877460961006</c:v>
                </c:pt>
                <c:pt idx="4">
                  <c:v>102.96029467480277</c:v>
                </c:pt>
              </c:numCache>
            </c:numRef>
          </c:val>
          <c:smooth val="0"/>
          <c:extLst>
            <c:ext xmlns:c16="http://schemas.microsoft.com/office/drawing/2014/chart" uri="{C3380CC4-5D6E-409C-BE32-E72D297353CC}">
              <c16:uniqueId val="{00000000-3E2A-4763-A9D1-6FD127E42BE1}"/>
            </c:ext>
          </c:extLst>
        </c:ser>
        <c:ser>
          <c:idx val="1"/>
          <c:order val="1"/>
          <c:tx>
            <c:strRef>
              <c:f>'Chart Data'!$AA$3</c:f>
              <c:strCache>
                <c:ptCount val="1"/>
                <c:pt idx="0">
                  <c:v>Nov-22</c:v>
                </c:pt>
              </c:strCache>
            </c:strRef>
          </c:tx>
          <c:spPr>
            <a:ln w="38100">
              <a:solidFill>
                <a:srgbClr val="002060"/>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Data'!$AA$7:$AA$13</c:f>
              <c:numCache>
                <c:formatCode>0.000</c:formatCode>
                <c:ptCount val="7"/>
                <c:pt idx="0">
                  <c:v>99.895825687570124</c:v>
                </c:pt>
                <c:pt idx="1">
                  <c:v>101.90418028113272</c:v>
                </c:pt>
                <c:pt idx="2">
                  <c:v>100</c:v>
                </c:pt>
                <c:pt idx="3">
                  <c:v>99.661585156901651</c:v>
                </c:pt>
                <c:pt idx="4">
                  <c:v>98.290206660768661</c:v>
                </c:pt>
                <c:pt idx="5">
                  <c:v>96.280173626235765</c:v>
                </c:pt>
              </c:numCache>
            </c:numRef>
          </c:val>
          <c:smooth val="0"/>
          <c:extLst>
            <c:ext xmlns:c16="http://schemas.microsoft.com/office/drawing/2014/chart" uri="{C3380CC4-5D6E-409C-BE32-E72D297353CC}">
              <c16:uniqueId val="{00000001-3E2A-4763-A9D1-6FD127E42BE1}"/>
            </c:ext>
          </c:extLst>
        </c:ser>
        <c:ser>
          <c:idx val="2"/>
          <c:order val="2"/>
          <c:tx>
            <c:strRef>
              <c:f>'Chart Data'!$AB$3</c:f>
              <c:strCache>
                <c:ptCount val="1"/>
                <c:pt idx="0">
                  <c:v>Mar-23</c:v>
                </c:pt>
              </c:strCache>
            </c:strRef>
          </c:tx>
          <c:spPr>
            <a:ln w="38100">
              <a:solidFill>
                <a:srgbClr val="D1A21E"/>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Data'!$AB$7:$AB$13</c:f>
              <c:numCache>
                <c:formatCode>0.000</c:formatCode>
                <c:ptCount val="7"/>
                <c:pt idx="0">
                  <c:v>94.520759295155173</c:v>
                </c:pt>
                <c:pt idx="1">
                  <c:v>101.63336386585948</c:v>
                </c:pt>
                <c:pt idx="2">
                  <c:v>100</c:v>
                </c:pt>
                <c:pt idx="3">
                  <c:v>98.510928746768002</c:v>
                </c:pt>
                <c:pt idx="4">
                  <c:v>97.156217757514682</c:v>
                </c:pt>
                <c:pt idx="5">
                  <c:v>95.27010538201597</c:v>
                </c:pt>
              </c:numCache>
            </c:numRef>
          </c:val>
          <c:smooth val="0"/>
          <c:extLst>
            <c:ext xmlns:c16="http://schemas.microsoft.com/office/drawing/2014/chart" uri="{C3380CC4-5D6E-409C-BE32-E72D297353CC}">
              <c16:uniqueId val="{00000002-3E2A-4763-A9D1-6FD127E42BE1}"/>
            </c:ext>
          </c:extLst>
        </c:ser>
        <c:ser>
          <c:idx val="3"/>
          <c:order val="3"/>
          <c:tx>
            <c:strRef>
              <c:f>'Chart Data'!$AC$3</c:f>
              <c:strCache>
                <c:ptCount val="1"/>
                <c:pt idx="0">
                  <c:v>Nov-23</c:v>
                </c:pt>
              </c:strCache>
            </c:strRef>
          </c:tx>
          <c:spPr>
            <a:ln w="38100">
              <a:solidFill>
                <a:srgbClr val="7B7C77"/>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Data'!$AC$7:$AC$13</c:f>
              <c:numCache>
                <c:formatCode>0.000</c:formatCode>
                <c:ptCount val="7"/>
                <c:pt idx="0">
                  <c:v>99.455562938573934</c:v>
                </c:pt>
                <c:pt idx="1">
                  <c:v>99.255833606563414</c:v>
                </c:pt>
                <c:pt idx="2">
                  <c:v>100</c:v>
                </c:pt>
                <c:pt idx="3">
                  <c:v>95.650970941532279</c:v>
                </c:pt>
                <c:pt idx="4">
                  <c:v>93.829828747895803</c:v>
                </c:pt>
                <c:pt idx="5">
                  <c:v>91.841724278771096</c:v>
                </c:pt>
                <c:pt idx="6">
                  <c:v>89.539506777653401</c:v>
                </c:pt>
              </c:numCache>
            </c:numRef>
          </c:val>
          <c:smooth val="0"/>
          <c:extLst>
            <c:ext xmlns:c16="http://schemas.microsoft.com/office/drawing/2014/chart" uri="{C3380CC4-5D6E-409C-BE32-E72D297353CC}">
              <c16:uniqueId val="{00000003-3E2A-4763-A9D1-6FD127E42BE1}"/>
            </c:ext>
          </c:extLst>
        </c:ser>
        <c:ser>
          <c:idx val="4"/>
          <c:order val="4"/>
          <c:tx>
            <c:strRef>
              <c:f>'Chart Data'!$AD$3</c:f>
              <c:strCache>
                <c:ptCount val="1"/>
                <c:pt idx="0">
                  <c:v>Mar-24</c:v>
                </c:pt>
              </c:strCache>
            </c:strRef>
          </c:tx>
          <c:spPr>
            <a:ln w="38100">
              <a:solidFill>
                <a:srgbClr val="965793"/>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Data'!$AD$7:$AD$13</c:f>
              <c:numCache>
                <c:formatCode>0.000</c:formatCode>
                <c:ptCount val="7"/>
                <c:pt idx="0">
                  <c:v>99.024218862999945</c:v>
                </c:pt>
                <c:pt idx="1">
                  <c:v>97.96507756252268</c:v>
                </c:pt>
                <c:pt idx="2">
                  <c:v>100</c:v>
                </c:pt>
                <c:pt idx="3">
                  <c:v>96.820909064564191</c:v>
                </c:pt>
                <c:pt idx="4">
                  <c:v>94.86230734167917</c:v>
                </c:pt>
                <c:pt idx="5">
                  <c:v>92.670726522198024</c:v>
                </c:pt>
                <c:pt idx="6">
                  <c:v>89.62030461753821</c:v>
                </c:pt>
              </c:numCache>
            </c:numRef>
          </c:val>
          <c:smooth val="0"/>
          <c:extLst>
            <c:ext xmlns:c16="http://schemas.microsoft.com/office/drawing/2014/chart" uri="{C3380CC4-5D6E-409C-BE32-E72D297353CC}">
              <c16:uniqueId val="{00000004-3E2A-4763-A9D1-6FD127E42BE1}"/>
            </c:ext>
          </c:extLst>
        </c:ser>
        <c:ser>
          <c:idx val="5"/>
          <c:order val="5"/>
          <c:tx>
            <c:strRef>
              <c:f>'Chart Data'!$AE$3</c:f>
              <c:strCache>
                <c:ptCount val="1"/>
                <c:pt idx="0">
                  <c:v>100 LINE</c:v>
                </c:pt>
              </c:strCache>
            </c:strRef>
          </c:tx>
          <c:spPr>
            <a:ln w="12700">
              <a:solidFill>
                <a:srgbClr val="7B7C77"/>
              </a:solidFill>
            </a:ln>
          </c:spPr>
          <c:marker>
            <c:symbol val="none"/>
          </c:marker>
          <c:cat>
            <c:strRef>
              <c:f>'Chart Data'!$R$7:$R$13</c:f>
              <c:strCache>
                <c:ptCount val="7"/>
                <c:pt idx="0">
                  <c:v>2022-23</c:v>
                </c:pt>
                <c:pt idx="1">
                  <c:v>2023-24</c:v>
                </c:pt>
                <c:pt idx="2">
                  <c:v>2024-25</c:v>
                </c:pt>
                <c:pt idx="3">
                  <c:v>2025-26</c:v>
                </c:pt>
                <c:pt idx="4">
                  <c:v>2026-27</c:v>
                </c:pt>
                <c:pt idx="5">
                  <c:v>2027-28</c:v>
                </c:pt>
                <c:pt idx="6">
                  <c:v>2028-29</c:v>
                </c:pt>
              </c:strCache>
            </c:strRef>
          </c:cat>
          <c:val>
            <c:numRef>
              <c:f>'Chart Data'!$AE$7:$AE$13</c:f>
              <c:numCache>
                <c:formatCode>General</c:formatCode>
                <c:ptCount val="7"/>
                <c:pt idx="0">
                  <c:v>100</c:v>
                </c:pt>
                <c:pt idx="1">
                  <c:v>100</c:v>
                </c:pt>
                <c:pt idx="2">
                  <c:v>100</c:v>
                </c:pt>
                <c:pt idx="3">
                  <c:v>100</c:v>
                </c:pt>
                <c:pt idx="4">
                  <c:v>100</c:v>
                </c:pt>
                <c:pt idx="5">
                  <c:v>100</c:v>
                </c:pt>
                <c:pt idx="6">
                  <c:v>100</c:v>
                </c:pt>
              </c:numCache>
            </c:numRef>
          </c:val>
          <c:smooth val="0"/>
          <c:extLst>
            <c:ext xmlns:c16="http://schemas.microsoft.com/office/drawing/2014/chart" uri="{C3380CC4-5D6E-409C-BE32-E72D297353CC}">
              <c16:uniqueId val="{00000005-3E2A-4763-A9D1-6FD127E42BE1}"/>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
        <c:noMultiLvlLbl val="0"/>
      </c:catAx>
      <c:valAx>
        <c:axId val="263608576"/>
        <c:scaling>
          <c:orientation val="minMax"/>
          <c:min val="86"/>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3479808413778786"/>
          <c:h val="0.71318700601518292"/>
        </c:manualLayout>
      </c:layout>
      <c:lineChart>
        <c:grouping val="standard"/>
        <c:varyColors val="0"/>
        <c:ser>
          <c:idx val="0"/>
          <c:order val="0"/>
          <c:tx>
            <c:strRef>
              <c:f>'Chart Data'!$BI$3</c:f>
              <c:strCache>
                <c:ptCount val="1"/>
                <c:pt idx="0">
                  <c:v>Mar-22</c:v>
                </c:pt>
              </c:strCache>
            </c:strRef>
          </c:tx>
          <c:spPr>
            <a:ln w="38100">
              <a:solidFill>
                <a:srgbClr val="BD1B21"/>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Data'!$BI$5:$BI$13</c:f>
              <c:numCache>
                <c:formatCode>0.000</c:formatCode>
                <c:ptCount val="9"/>
                <c:pt idx="0">
                  <c:v>111.52550833670325</c:v>
                </c:pt>
                <c:pt idx="1">
                  <c:v>104.88393638883677</c:v>
                </c:pt>
                <c:pt idx="2">
                  <c:v>101.29078941888243</c:v>
                </c:pt>
                <c:pt idx="3">
                  <c:v>99.160721035360993</c:v>
                </c:pt>
                <c:pt idx="4">
                  <c:v>100</c:v>
                </c:pt>
                <c:pt idx="5">
                  <c:v>101.89833717734939</c:v>
                </c:pt>
                <c:pt idx="6">
                  <c:v>103.61298194153332</c:v>
                </c:pt>
              </c:numCache>
            </c:numRef>
          </c:val>
          <c:smooth val="0"/>
          <c:extLst>
            <c:ext xmlns:c16="http://schemas.microsoft.com/office/drawing/2014/chart" uri="{C3380CC4-5D6E-409C-BE32-E72D297353CC}">
              <c16:uniqueId val="{00000000-F5C5-4705-9C31-344774353023}"/>
            </c:ext>
          </c:extLst>
        </c:ser>
        <c:ser>
          <c:idx val="1"/>
          <c:order val="1"/>
          <c:tx>
            <c:strRef>
              <c:f>'Chart Data'!$BJ$3</c:f>
              <c:strCache>
                <c:ptCount val="1"/>
                <c:pt idx="0">
                  <c:v>Nov-22</c:v>
                </c:pt>
              </c:strCache>
            </c:strRef>
          </c:tx>
          <c:spPr>
            <a:ln w="38100">
              <a:solidFill>
                <a:srgbClr val="002060"/>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Data'!$BJ$5:$BJ$13</c:f>
              <c:numCache>
                <c:formatCode>0.000</c:formatCode>
                <c:ptCount val="9"/>
                <c:pt idx="1">
                  <c:v>107.50994094263389</c:v>
                </c:pt>
                <c:pt idx="2">
                  <c:v>102.9758615579814</c:v>
                </c:pt>
                <c:pt idx="3">
                  <c:v>100.76164263690745</c:v>
                </c:pt>
                <c:pt idx="4">
                  <c:v>100</c:v>
                </c:pt>
                <c:pt idx="5">
                  <c:v>101.4346763005904</c:v>
                </c:pt>
                <c:pt idx="6">
                  <c:v>102.45444602657989</c:v>
                </c:pt>
                <c:pt idx="7">
                  <c:v>103.55663395627639</c:v>
                </c:pt>
              </c:numCache>
            </c:numRef>
          </c:val>
          <c:smooth val="0"/>
          <c:extLst>
            <c:ext xmlns:c16="http://schemas.microsoft.com/office/drawing/2014/chart" uri="{C3380CC4-5D6E-409C-BE32-E72D297353CC}">
              <c16:uniqueId val="{00000001-F5C5-4705-9C31-344774353023}"/>
            </c:ext>
          </c:extLst>
        </c:ser>
        <c:ser>
          <c:idx val="2"/>
          <c:order val="2"/>
          <c:tx>
            <c:strRef>
              <c:f>'Chart Data'!$BK$3</c:f>
              <c:strCache>
                <c:ptCount val="1"/>
                <c:pt idx="0">
                  <c:v>Mar-23</c:v>
                </c:pt>
              </c:strCache>
            </c:strRef>
          </c:tx>
          <c:spPr>
            <a:ln w="38100">
              <a:solidFill>
                <a:srgbClr val="D1A21E"/>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Data'!$BK$5:$BK$13</c:f>
              <c:numCache>
                <c:formatCode>0.000</c:formatCode>
                <c:ptCount val="9"/>
                <c:pt idx="1">
                  <c:v>106.6845222017253</c:v>
                </c:pt>
                <c:pt idx="2">
                  <c:v>101.43092490717989</c:v>
                </c:pt>
                <c:pt idx="3">
                  <c:v>100.38639878125251</c:v>
                </c:pt>
                <c:pt idx="4">
                  <c:v>100</c:v>
                </c:pt>
                <c:pt idx="5">
                  <c:v>101.17940808172561</c:v>
                </c:pt>
                <c:pt idx="6">
                  <c:v>102.3453504078431</c:v>
                </c:pt>
                <c:pt idx="7">
                  <c:v>103.56299172644449</c:v>
                </c:pt>
              </c:numCache>
            </c:numRef>
          </c:val>
          <c:smooth val="0"/>
          <c:extLst>
            <c:ext xmlns:c16="http://schemas.microsoft.com/office/drawing/2014/chart" uri="{C3380CC4-5D6E-409C-BE32-E72D297353CC}">
              <c16:uniqueId val="{00000002-F5C5-4705-9C31-344774353023}"/>
            </c:ext>
          </c:extLst>
        </c:ser>
        <c:ser>
          <c:idx val="3"/>
          <c:order val="3"/>
          <c:tx>
            <c:strRef>
              <c:f>'Chart Data'!$BL$3</c:f>
              <c:strCache>
                <c:ptCount val="1"/>
                <c:pt idx="0">
                  <c:v>Nov-23</c:v>
                </c:pt>
              </c:strCache>
            </c:strRef>
          </c:tx>
          <c:spPr>
            <a:ln w="38100">
              <a:solidFill>
                <a:srgbClr val="7B7C77"/>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Data'!$BL$5:$BL$13</c:f>
              <c:numCache>
                <c:formatCode>General</c:formatCode>
                <c:ptCount val="9"/>
                <c:pt idx="2" formatCode="0.000">
                  <c:v>101.93949326343663</c:v>
                </c:pt>
                <c:pt idx="3" formatCode="0.000">
                  <c:v>99.586867058896132</c:v>
                </c:pt>
                <c:pt idx="4" formatCode="0.000">
                  <c:v>100</c:v>
                </c:pt>
                <c:pt idx="5" formatCode="0.000">
                  <c:v>100.53093547933307</c:v>
                </c:pt>
                <c:pt idx="6" formatCode="0.000">
                  <c:v>101.51311538734763</c:v>
                </c:pt>
                <c:pt idx="7" formatCode="0.000">
                  <c:v>102.58661875716268</c:v>
                </c:pt>
                <c:pt idx="8" formatCode="0.000">
                  <c:v>103.62934102479142</c:v>
                </c:pt>
              </c:numCache>
            </c:numRef>
          </c:val>
          <c:smooth val="0"/>
          <c:extLst>
            <c:ext xmlns:c16="http://schemas.microsoft.com/office/drawing/2014/chart" uri="{C3380CC4-5D6E-409C-BE32-E72D297353CC}">
              <c16:uniqueId val="{00000003-F5C5-4705-9C31-344774353023}"/>
            </c:ext>
          </c:extLst>
        </c:ser>
        <c:ser>
          <c:idx val="4"/>
          <c:order val="4"/>
          <c:tx>
            <c:strRef>
              <c:f>'Chart Data'!$BM$3</c:f>
              <c:strCache>
                <c:ptCount val="1"/>
                <c:pt idx="0">
                  <c:v>Mar-24</c:v>
                </c:pt>
              </c:strCache>
            </c:strRef>
          </c:tx>
          <c:spPr>
            <a:ln w="38100">
              <a:solidFill>
                <a:srgbClr val="965793"/>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Data'!$BM$5:$BM$13</c:f>
              <c:numCache>
                <c:formatCode>General</c:formatCode>
                <c:ptCount val="9"/>
                <c:pt idx="2" formatCode="0.000">
                  <c:v>101.72328650271676</c:v>
                </c:pt>
                <c:pt idx="3" formatCode="0.000">
                  <c:v>99.093310960512213</c:v>
                </c:pt>
                <c:pt idx="4" formatCode="0.000">
                  <c:v>100</c:v>
                </c:pt>
                <c:pt idx="5" formatCode="0.000">
                  <c:v>100.92561720388736</c:v>
                </c:pt>
                <c:pt idx="6" formatCode="0.000">
                  <c:v>101.95650605169911</c:v>
                </c:pt>
                <c:pt idx="7" formatCode="0.000">
                  <c:v>103.02013581750211</c:v>
                </c:pt>
                <c:pt idx="8" formatCode="0.000">
                  <c:v>104.01944199054287</c:v>
                </c:pt>
              </c:numCache>
            </c:numRef>
          </c:val>
          <c:smooth val="0"/>
          <c:extLst>
            <c:ext xmlns:c16="http://schemas.microsoft.com/office/drawing/2014/chart" uri="{C3380CC4-5D6E-409C-BE32-E72D297353CC}">
              <c16:uniqueId val="{00000004-F5C5-4705-9C31-344774353023}"/>
            </c:ext>
          </c:extLst>
        </c:ser>
        <c:ser>
          <c:idx val="5"/>
          <c:order val="5"/>
          <c:tx>
            <c:strRef>
              <c:f>'Chart Data'!$BN$3</c:f>
              <c:strCache>
                <c:ptCount val="1"/>
                <c:pt idx="0">
                  <c:v>100 LINE</c:v>
                </c:pt>
              </c:strCache>
            </c:strRef>
          </c:tx>
          <c:spPr>
            <a:ln w="12700">
              <a:solidFill>
                <a:srgbClr val="495057"/>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Data'!$BN$5:$BN$13</c:f>
              <c:numCache>
                <c:formatCode>General</c:formatCode>
                <c:ptCount val="9"/>
                <c:pt idx="0">
                  <c:v>100</c:v>
                </c:pt>
                <c:pt idx="1">
                  <c:v>100</c:v>
                </c:pt>
                <c:pt idx="2">
                  <c:v>100</c:v>
                </c:pt>
                <c:pt idx="3">
                  <c:v>100</c:v>
                </c:pt>
                <c:pt idx="4">
                  <c:v>100</c:v>
                </c:pt>
                <c:pt idx="5">
                  <c:v>100</c:v>
                </c:pt>
                <c:pt idx="6">
                  <c:v>100</c:v>
                </c:pt>
                <c:pt idx="7">
                  <c:v>100</c:v>
                </c:pt>
                <c:pt idx="8">
                  <c:v>100</c:v>
                </c:pt>
              </c:numCache>
            </c:numRef>
          </c:val>
          <c:smooth val="0"/>
          <c:extLst>
            <c:ext xmlns:c16="http://schemas.microsoft.com/office/drawing/2014/chart" uri="{C3380CC4-5D6E-409C-BE32-E72D297353CC}">
              <c16:uniqueId val="{00000005-F5C5-4705-9C31-344774353023}"/>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egendEntry>
        <c:idx val="5"/>
        <c:delete val="1"/>
      </c:legendEntry>
      <c:layout>
        <c:manualLayout>
          <c:xMode val="edge"/>
          <c:yMode val="edge"/>
          <c:x val="0.73351376840606786"/>
          <c:y val="0.57144446053154241"/>
          <c:w val="0.20471598677283975"/>
          <c:h val="0.2738954660370424"/>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4.7990016476366838E-2"/>
          <c:w val="0.6562467751232588"/>
          <c:h val="0.80392046194225719"/>
        </c:manualLayout>
      </c:layout>
      <c:lineChart>
        <c:grouping val="standard"/>
        <c:varyColors val="0"/>
        <c:ser>
          <c:idx val="0"/>
          <c:order val="0"/>
          <c:tx>
            <c:strRef>
              <c:f>'Chart Data'!$BP$3</c:f>
              <c:strCache>
                <c:ptCount val="1"/>
                <c:pt idx="0">
                  <c:v>Mar-22</c:v>
                </c:pt>
              </c:strCache>
            </c:strRef>
          </c:tx>
          <c:spPr>
            <a:ln w="38100">
              <a:solidFill>
                <a:srgbClr val="BD1B21"/>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Data'!$BP$5:$BP$13</c:f>
              <c:numCache>
                <c:formatCode>0.000</c:formatCode>
                <c:ptCount val="9"/>
                <c:pt idx="0">
                  <c:v>82.353630552839121</c:v>
                </c:pt>
                <c:pt idx="1">
                  <c:v>79.175973249695758</c:v>
                </c:pt>
                <c:pt idx="2">
                  <c:v>94.554561970861243</c:v>
                </c:pt>
                <c:pt idx="3">
                  <c:v>101.621923251712</c:v>
                </c:pt>
                <c:pt idx="4">
                  <c:v>100</c:v>
                </c:pt>
                <c:pt idx="5">
                  <c:v>102.6329364673494</c:v>
                </c:pt>
                <c:pt idx="6">
                  <c:v>104.35249005723726</c:v>
                </c:pt>
              </c:numCache>
            </c:numRef>
          </c:val>
          <c:smooth val="0"/>
          <c:extLst>
            <c:ext xmlns:c16="http://schemas.microsoft.com/office/drawing/2014/chart" uri="{C3380CC4-5D6E-409C-BE32-E72D297353CC}">
              <c16:uniqueId val="{00000000-9146-4E92-920F-6563009CB9C0}"/>
            </c:ext>
          </c:extLst>
        </c:ser>
        <c:ser>
          <c:idx val="1"/>
          <c:order val="1"/>
          <c:tx>
            <c:strRef>
              <c:f>'Chart Data'!$BQ$3</c:f>
              <c:strCache>
                <c:ptCount val="1"/>
                <c:pt idx="0">
                  <c:v>Nov-22</c:v>
                </c:pt>
              </c:strCache>
            </c:strRef>
          </c:tx>
          <c:spPr>
            <a:ln w="38100">
              <a:solidFill>
                <a:srgbClr val="002060"/>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Data'!$BQ$5:$BQ$13</c:f>
              <c:numCache>
                <c:formatCode>0.000</c:formatCode>
                <c:ptCount val="9"/>
                <c:pt idx="1">
                  <c:v>89.123270604211839</c:v>
                </c:pt>
                <c:pt idx="2">
                  <c:v>98.069521760399738</c:v>
                </c:pt>
                <c:pt idx="3">
                  <c:v>101.02290458811845</c:v>
                </c:pt>
                <c:pt idx="4">
                  <c:v>100</c:v>
                </c:pt>
                <c:pt idx="5">
                  <c:v>100.39933417768823</c:v>
                </c:pt>
                <c:pt idx="6">
                  <c:v>99.619254642651939</c:v>
                </c:pt>
                <c:pt idx="7">
                  <c:v>98.045061821082129</c:v>
                </c:pt>
              </c:numCache>
            </c:numRef>
          </c:val>
          <c:smooth val="0"/>
          <c:extLst>
            <c:ext xmlns:c16="http://schemas.microsoft.com/office/drawing/2014/chart" uri="{C3380CC4-5D6E-409C-BE32-E72D297353CC}">
              <c16:uniqueId val="{00000001-9146-4E92-920F-6563009CB9C0}"/>
            </c:ext>
          </c:extLst>
        </c:ser>
        <c:ser>
          <c:idx val="2"/>
          <c:order val="2"/>
          <c:tx>
            <c:strRef>
              <c:f>'Chart Data'!$BR$3</c:f>
              <c:strCache>
                <c:ptCount val="1"/>
                <c:pt idx="0">
                  <c:v>Mar-23</c:v>
                </c:pt>
              </c:strCache>
            </c:strRef>
          </c:tx>
          <c:spPr>
            <a:ln w="38100">
              <a:solidFill>
                <a:srgbClr val="D1A21E"/>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Data'!$BR$5:$BR$13</c:f>
              <c:numCache>
                <c:formatCode>0.000</c:formatCode>
                <c:ptCount val="9"/>
                <c:pt idx="1">
                  <c:v>87.415062840810251</c:v>
                </c:pt>
                <c:pt idx="2">
                  <c:v>92.792722786004575</c:v>
                </c:pt>
                <c:pt idx="3">
                  <c:v>100.75443021537372</c:v>
                </c:pt>
                <c:pt idx="4">
                  <c:v>100</c:v>
                </c:pt>
                <c:pt idx="5">
                  <c:v>99.240159985718165</c:v>
                </c:pt>
                <c:pt idx="6">
                  <c:v>98.469932312858845</c:v>
                </c:pt>
                <c:pt idx="7">
                  <c:v>97.016478264175717</c:v>
                </c:pt>
              </c:numCache>
            </c:numRef>
          </c:val>
          <c:smooth val="0"/>
          <c:extLst>
            <c:ext xmlns:c16="http://schemas.microsoft.com/office/drawing/2014/chart" uri="{C3380CC4-5D6E-409C-BE32-E72D297353CC}">
              <c16:uniqueId val="{00000002-9146-4E92-920F-6563009CB9C0}"/>
            </c:ext>
          </c:extLst>
        </c:ser>
        <c:ser>
          <c:idx val="3"/>
          <c:order val="3"/>
          <c:tx>
            <c:strRef>
              <c:f>'Chart Data'!$BS$3</c:f>
              <c:strCache>
                <c:ptCount val="1"/>
                <c:pt idx="0">
                  <c:v>Nov-23</c:v>
                </c:pt>
              </c:strCache>
            </c:strRef>
          </c:tx>
          <c:spPr>
            <a:ln w="38100">
              <a:solidFill>
                <a:srgbClr val="7B7C77"/>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Data'!$BS$5:$BS$13</c:f>
              <c:numCache>
                <c:formatCode>General</c:formatCode>
                <c:ptCount val="9"/>
                <c:pt idx="2" formatCode="0.000">
                  <c:v>97.637307932186232</c:v>
                </c:pt>
                <c:pt idx="3" formatCode="0.000">
                  <c:v>98.397461032386204</c:v>
                </c:pt>
                <c:pt idx="4" formatCode="0.000">
                  <c:v>100</c:v>
                </c:pt>
                <c:pt idx="5" formatCode="0.000">
                  <c:v>96.359031224120628</c:v>
                </c:pt>
                <c:pt idx="6" formatCode="0.000">
                  <c:v>95.098564960530283</c:v>
                </c:pt>
                <c:pt idx="7" formatCode="0.000">
                  <c:v>93.525252349702711</c:v>
                </c:pt>
                <c:pt idx="8" formatCode="0.000">
                  <c:v>91.573337242785328</c:v>
                </c:pt>
              </c:numCache>
            </c:numRef>
          </c:val>
          <c:smooth val="0"/>
          <c:extLst>
            <c:ext xmlns:c16="http://schemas.microsoft.com/office/drawing/2014/chart" uri="{C3380CC4-5D6E-409C-BE32-E72D297353CC}">
              <c16:uniqueId val="{00000003-9146-4E92-920F-6563009CB9C0}"/>
            </c:ext>
          </c:extLst>
        </c:ser>
        <c:ser>
          <c:idx val="4"/>
          <c:order val="4"/>
          <c:tx>
            <c:strRef>
              <c:f>'Chart Data'!$BT$3</c:f>
              <c:strCache>
                <c:ptCount val="1"/>
                <c:pt idx="0">
                  <c:v>Mar-24</c:v>
                </c:pt>
              </c:strCache>
            </c:strRef>
          </c:tx>
          <c:spPr>
            <a:ln w="38100">
              <a:solidFill>
                <a:srgbClr val="965793"/>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Data'!$BT$5:$BT$13</c:f>
              <c:numCache>
                <c:formatCode>General</c:formatCode>
                <c:ptCount val="9"/>
                <c:pt idx="2" formatCode="0.000">
                  <c:v>97.213849725453699</c:v>
                </c:pt>
                <c:pt idx="3" formatCode="0.000">
                  <c:v>97.117867552276465</c:v>
                </c:pt>
                <c:pt idx="4" formatCode="0.000">
                  <c:v>100</c:v>
                </c:pt>
                <c:pt idx="5" formatCode="0.000">
                  <c:v>97.537629862669036</c:v>
                </c:pt>
                <c:pt idx="6" formatCode="0.000">
                  <c:v>96.145004391695394</c:v>
                </c:pt>
                <c:pt idx="7" formatCode="0.000">
                  <c:v>94.369450829465947</c:v>
                </c:pt>
                <c:pt idx="8" formatCode="0.000">
                  <c:v>91.655970351974076</c:v>
                </c:pt>
              </c:numCache>
            </c:numRef>
          </c:val>
          <c:smooth val="0"/>
          <c:extLst>
            <c:ext xmlns:c16="http://schemas.microsoft.com/office/drawing/2014/chart" uri="{C3380CC4-5D6E-409C-BE32-E72D297353CC}">
              <c16:uniqueId val="{00000004-9146-4E92-920F-6563009CB9C0}"/>
            </c:ext>
          </c:extLst>
        </c:ser>
        <c:ser>
          <c:idx val="5"/>
          <c:order val="5"/>
          <c:tx>
            <c:strRef>
              <c:f>'Chart Data'!$BU$3</c:f>
              <c:strCache>
                <c:ptCount val="1"/>
                <c:pt idx="0">
                  <c:v>100 LINE</c:v>
                </c:pt>
              </c:strCache>
            </c:strRef>
          </c:tx>
          <c:spPr>
            <a:ln w="12700">
              <a:solidFill>
                <a:srgbClr val="495057"/>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Data'!$BU$5:$BU$13</c:f>
              <c:numCache>
                <c:formatCode>General</c:formatCode>
                <c:ptCount val="9"/>
                <c:pt idx="0">
                  <c:v>100</c:v>
                </c:pt>
                <c:pt idx="1">
                  <c:v>100</c:v>
                </c:pt>
                <c:pt idx="2">
                  <c:v>100</c:v>
                </c:pt>
                <c:pt idx="3">
                  <c:v>100</c:v>
                </c:pt>
                <c:pt idx="4">
                  <c:v>100</c:v>
                </c:pt>
                <c:pt idx="5">
                  <c:v>100</c:v>
                </c:pt>
                <c:pt idx="6">
                  <c:v>100</c:v>
                </c:pt>
                <c:pt idx="7">
                  <c:v>100</c:v>
                </c:pt>
                <c:pt idx="8">
                  <c:v>100</c:v>
                </c:pt>
              </c:numCache>
            </c:numRef>
          </c:val>
          <c:smooth val="0"/>
          <c:extLst>
            <c:ext xmlns:c16="http://schemas.microsoft.com/office/drawing/2014/chart" uri="{C3380CC4-5D6E-409C-BE32-E72D297353CC}">
              <c16:uniqueId val="{00000005-9146-4E92-920F-6563009CB9C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75"/>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85419553064341536"/>
          <c:h val="0.71318700601518292"/>
        </c:manualLayout>
      </c:layout>
      <c:lineChart>
        <c:grouping val="standard"/>
        <c:varyColors val="0"/>
        <c:ser>
          <c:idx val="0"/>
          <c:order val="0"/>
          <c:tx>
            <c:strRef>
              <c:f>'Chart Data'!$BI$3</c:f>
              <c:strCache>
                <c:ptCount val="1"/>
                <c:pt idx="0">
                  <c:v>Mar-22</c:v>
                </c:pt>
              </c:strCache>
            </c:strRef>
          </c:tx>
          <c:spPr>
            <a:ln w="38100">
              <a:solidFill>
                <a:srgbClr val="BD1B21"/>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Data'!$BI$5:$BI$13</c:f>
              <c:numCache>
                <c:formatCode>0.000</c:formatCode>
                <c:ptCount val="9"/>
                <c:pt idx="0">
                  <c:v>111.52550833670325</c:v>
                </c:pt>
                <c:pt idx="1">
                  <c:v>104.88393638883677</c:v>
                </c:pt>
                <c:pt idx="2">
                  <c:v>101.29078941888243</c:v>
                </c:pt>
                <c:pt idx="3">
                  <c:v>99.160721035360993</c:v>
                </c:pt>
                <c:pt idx="4">
                  <c:v>100</c:v>
                </c:pt>
                <c:pt idx="5">
                  <c:v>101.89833717734939</c:v>
                </c:pt>
                <c:pt idx="6">
                  <c:v>103.61298194153332</c:v>
                </c:pt>
              </c:numCache>
            </c:numRef>
          </c:val>
          <c:smooth val="0"/>
          <c:extLst>
            <c:ext xmlns:c16="http://schemas.microsoft.com/office/drawing/2014/chart" uri="{C3380CC4-5D6E-409C-BE32-E72D297353CC}">
              <c16:uniqueId val="{00000000-ACDC-4A62-89F9-941A20F808E6}"/>
            </c:ext>
          </c:extLst>
        </c:ser>
        <c:ser>
          <c:idx val="1"/>
          <c:order val="1"/>
          <c:tx>
            <c:strRef>
              <c:f>'Chart Data'!$BJ$3</c:f>
              <c:strCache>
                <c:ptCount val="1"/>
                <c:pt idx="0">
                  <c:v>Nov-22</c:v>
                </c:pt>
              </c:strCache>
            </c:strRef>
          </c:tx>
          <c:spPr>
            <a:ln w="38100">
              <a:solidFill>
                <a:srgbClr val="002060"/>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Data'!$BJ$5:$BJ$13</c:f>
              <c:numCache>
                <c:formatCode>0.000</c:formatCode>
                <c:ptCount val="9"/>
                <c:pt idx="1">
                  <c:v>107.50994094263389</c:v>
                </c:pt>
                <c:pt idx="2">
                  <c:v>102.9758615579814</c:v>
                </c:pt>
                <c:pt idx="3">
                  <c:v>100.76164263690745</c:v>
                </c:pt>
                <c:pt idx="4">
                  <c:v>100</c:v>
                </c:pt>
                <c:pt idx="5">
                  <c:v>101.4346763005904</c:v>
                </c:pt>
                <c:pt idx="6">
                  <c:v>102.45444602657989</c:v>
                </c:pt>
                <c:pt idx="7">
                  <c:v>103.55663395627639</c:v>
                </c:pt>
              </c:numCache>
            </c:numRef>
          </c:val>
          <c:smooth val="0"/>
          <c:extLst>
            <c:ext xmlns:c16="http://schemas.microsoft.com/office/drawing/2014/chart" uri="{C3380CC4-5D6E-409C-BE32-E72D297353CC}">
              <c16:uniqueId val="{00000001-ACDC-4A62-89F9-941A20F808E6}"/>
            </c:ext>
          </c:extLst>
        </c:ser>
        <c:ser>
          <c:idx val="2"/>
          <c:order val="2"/>
          <c:tx>
            <c:strRef>
              <c:f>'Chart Data'!$BK$3</c:f>
              <c:strCache>
                <c:ptCount val="1"/>
                <c:pt idx="0">
                  <c:v>Mar-23</c:v>
                </c:pt>
              </c:strCache>
            </c:strRef>
          </c:tx>
          <c:spPr>
            <a:ln w="38100">
              <a:solidFill>
                <a:srgbClr val="D1A21E"/>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Data'!$BK$5:$BK$13</c:f>
              <c:numCache>
                <c:formatCode>0.000</c:formatCode>
                <c:ptCount val="9"/>
                <c:pt idx="1">
                  <c:v>106.6845222017253</c:v>
                </c:pt>
                <c:pt idx="2">
                  <c:v>101.43092490717989</c:v>
                </c:pt>
                <c:pt idx="3">
                  <c:v>100.38639878125251</c:v>
                </c:pt>
                <c:pt idx="4">
                  <c:v>100</c:v>
                </c:pt>
                <c:pt idx="5">
                  <c:v>101.17940808172561</c:v>
                </c:pt>
                <c:pt idx="6">
                  <c:v>102.3453504078431</c:v>
                </c:pt>
                <c:pt idx="7">
                  <c:v>103.56299172644449</c:v>
                </c:pt>
              </c:numCache>
            </c:numRef>
          </c:val>
          <c:smooth val="0"/>
          <c:extLst>
            <c:ext xmlns:c16="http://schemas.microsoft.com/office/drawing/2014/chart" uri="{C3380CC4-5D6E-409C-BE32-E72D297353CC}">
              <c16:uniqueId val="{00000002-ACDC-4A62-89F9-941A20F808E6}"/>
            </c:ext>
          </c:extLst>
        </c:ser>
        <c:ser>
          <c:idx val="3"/>
          <c:order val="3"/>
          <c:tx>
            <c:strRef>
              <c:f>'Chart Data'!$BL$3</c:f>
              <c:strCache>
                <c:ptCount val="1"/>
                <c:pt idx="0">
                  <c:v>Nov-23</c:v>
                </c:pt>
              </c:strCache>
            </c:strRef>
          </c:tx>
          <c:spPr>
            <a:ln w="38100">
              <a:solidFill>
                <a:srgbClr val="7B7C77"/>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Data'!$BL$5:$BL$13</c:f>
              <c:numCache>
                <c:formatCode>General</c:formatCode>
                <c:ptCount val="9"/>
                <c:pt idx="2" formatCode="0.000">
                  <c:v>101.93949326343663</c:v>
                </c:pt>
                <c:pt idx="3" formatCode="0.000">
                  <c:v>99.586867058896132</c:v>
                </c:pt>
                <c:pt idx="4" formatCode="0.000">
                  <c:v>100</c:v>
                </c:pt>
                <c:pt idx="5" formatCode="0.000">
                  <c:v>100.53093547933307</c:v>
                </c:pt>
                <c:pt idx="6" formatCode="0.000">
                  <c:v>101.51311538734763</c:v>
                </c:pt>
                <c:pt idx="7" formatCode="0.000">
                  <c:v>102.58661875716268</c:v>
                </c:pt>
                <c:pt idx="8" formatCode="0.000">
                  <c:v>103.62934102479142</c:v>
                </c:pt>
              </c:numCache>
            </c:numRef>
          </c:val>
          <c:smooth val="0"/>
          <c:extLst>
            <c:ext xmlns:c16="http://schemas.microsoft.com/office/drawing/2014/chart" uri="{C3380CC4-5D6E-409C-BE32-E72D297353CC}">
              <c16:uniqueId val="{00000003-ACDC-4A62-89F9-941A20F808E6}"/>
            </c:ext>
          </c:extLst>
        </c:ser>
        <c:ser>
          <c:idx val="4"/>
          <c:order val="4"/>
          <c:tx>
            <c:strRef>
              <c:f>'Chart Data'!$BM$3</c:f>
              <c:strCache>
                <c:ptCount val="1"/>
                <c:pt idx="0">
                  <c:v>Mar-24</c:v>
                </c:pt>
              </c:strCache>
            </c:strRef>
          </c:tx>
          <c:spPr>
            <a:ln w="38100">
              <a:solidFill>
                <a:srgbClr val="965793"/>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Data'!$BM$5:$BM$13</c:f>
              <c:numCache>
                <c:formatCode>General</c:formatCode>
                <c:ptCount val="9"/>
                <c:pt idx="2" formatCode="0.000">
                  <c:v>101.72328650271676</c:v>
                </c:pt>
                <c:pt idx="3" formatCode="0.000">
                  <c:v>99.093310960512213</c:v>
                </c:pt>
                <c:pt idx="4" formatCode="0.000">
                  <c:v>100</c:v>
                </c:pt>
                <c:pt idx="5" formatCode="0.000">
                  <c:v>100.92561720388736</c:v>
                </c:pt>
                <c:pt idx="6" formatCode="0.000">
                  <c:v>101.95650605169911</c:v>
                </c:pt>
                <c:pt idx="7" formatCode="0.000">
                  <c:v>103.02013581750211</c:v>
                </c:pt>
                <c:pt idx="8" formatCode="0.000">
                  <c:v>104.01944199054287</c:v>
                </c:pt>
              </c:numCache>
            </c:numRef>
          </c:val>
          <c:smooth val="0"/>
          <c:extLst>
            <c:ext xmlns:c16="http://schemas.microsoft.com/office/drawing/2014/chart" uri="{C3380CC4-5D6E-409C-BE32-E72D297353CC}">
              <c16:uniqueId val="{00000004-ACDC-4A62-89F9-941A20F808E6}"/>
            </c:ext>
          </c:extLst>
        </c:ser>
        <c:ser>
          <c:idx val="5"/>
          <c:order val="5"/>
          <c:tx>
            <c:strRef>
              <c:f>'Chart Data'!$BN$3</c:f>
              <c:strCache>
                <c:ptCount val="1"/>
                <c:pt idx="0">
                  <c:v>100 LINE</c:v>
                </c:pt>
              </c:strCache>
            </c:strRef>
          </c:tx>
          <c:spPr>
            <a:ln w="12700">
              <a:solidFill>
                <a:srgbClr val="495057"/>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Data'!$BN$5:$BN$13</c:f>
              <c:numCache>
                <c:formatCode>General</c:formatCode>
                <c:ptCount val="9"/>
                <c:pt idx="0">
                  <c:v>100</c:v>
                </c:pt>
                <c:pt idx="1">
                  <c:v>100</c:v>
                </c:pt>
                <c:pt idx="2">
                  <c:v>100</c:v>
                </c:pt>
                <c:pt idx="3">
                  <c:v>100</c:v>
                </c:pt>
                <c:pt idx="4">
                  <c:v>100</c:v>
                </c:pt>
                <c:pt idx="5">
                  <c:v>100</c:v>
                </c:pt>
                <c:pt idx="6">
                  <c:v>100</c:v>
                </c:pt>
                <c:pt idx="7">
                  <c:v>100</c:v>
                </c:pt>
                <c:pt idx="8">
                  <c:v>100</c:v>
                </c:pt>
              </c:numCache>
            </c:numRef>
          </c:val>
          <c:smooth val="0"/>
          <c:extLst>
            <c:ext xmlns:c16="http://schemas.microsoft.com/office/drawing/2014/chart" uri="{C3380CC4-5D6E-409C-BE32-E72D297353CC}">
              <c16:uniqueId val="{00000000-FA08-4B64-9D6C-D98DA8E212CB}"/>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egendEntry>
        <c:idx val="5"/>
        <c:delete val="1"/>
      </c:legendEntry>
      <c:layout>
        <c:manualLayout>
          <c:xMode val="edge"/>
          <c:yMode val="edge"/>
          <c:x val="0.14895632961134092"/>
          <c:y val="0.13014318754710119"/>
          <c:w val="0.79228660824176633"/>
          <c:h val="7.7761566932846263E-2"/>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85419553064341536"/>
          <c:h val="0.71318700601518292"/>
        </c:manualLayout>
      </c:layout>
      <c:lineChart>
        <c:grouping val="standard"/>
        <c:varyColors val="0"/>
        <c:ser>
          <c:idx val="0"/>
          <c:order val="0"/>
          <c:tx>
            <c:strRef>
              <c:f>'Chart Data'!$BP$3</c:f>
              <c:strCache>
                <c:ptCount val="1"/>
                <c:pt idx="0">
                  <c:v>Mar-22</c:v>
                </c:pt>
              </c:strCache>
            </c:strRef>
          </c:tx>
          <c:spPr>
            <a:ln w="38100">
              <a:solidFill>
                <a:srgbClr val="BD1B21"/>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Data'!$BP$5:$BP$13</c:f>
              <c:numCache>
                <c:formatCode>0.000</c:formatCode>
                <c:ptCount val="9"/>
                <c:pt idx="0">
                  <c:v>82.353630552839121</c:v>
                </c:pt>
                <c:pt idx="1">
                  <c:v>79.175973249695758</c:v>
                </c:pt>
                <c:pt idx="2">
                  <c:v>94.554561970861243</c:v>
                </c:pt>
                <c:pt idx="3">
                  <c:v>101.621923251712</c:v>
                </c:pt>
                <c:pt idx="4">
                  <c:v>100</c:v>
                </c:pt>
                <c:pt idx="5">
                  <c:v>102.6329364673494</c:v>
                </c:pt>
                <c:pt idx="6">
                  <c:v>104.35249005723726</c:v>
                </c:pt>
              </c:numCache>
            </c:numRef>
          </c:val>
          <c:smooth val="0"/>
          <c:extLst>
            <c:ext xmlns:c16="http://schemas.microsoft.com/office/drawing/2014/chart" uri="{C3380CC4-5D6E-409C-BE32-E72D297353CC}">
              <c16:uniqueId val="{00000000-F17A-4DE5-B258-8C001861DF7A}"/>
            </c:ext>
          </c:extLst>
        </c:ser>
        <c:ser>
          <c:idx val="1"/>
          <c:order val="1"/>
          <c:tx>
            <c:strRef>
              <c:f>'Chart Data'!$BQ$3</c:f>
              <c:strCache>
                <c:ptCount val="1"/>
                <c:pt idx="0">
                  <c:v>Nov-22</c:v>
                </c:pt>
              </c:strCache>
            </c:strRef>
          </c:tx>
          <c:spPr>
            <a:ln w="38100">
              <a:solidFill>
                <a:srgbClr val="002060"/>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Data'!$BQ$5:$BQ$13</c:f>
              <c:numCache>
                <c:formatCode>0.000</c:formatCode>
                <c:ptCount val="9"/>
                <c:pt idx="1">
                  <c:v>89.123270604211839</c:v>
                </c:pt>
                <c:pt idx="2">
                  <c:v>98.069521760399738</c:v>
                </c:pt>
                <c:pt idx="3">
                  <c:v>101.02290458811845</c:v>
                </c:pt>
                <c:pt idx="4">
                  <c:v>100</c:v>
                </c:pt>
                <c:pt idx="5">
                  <c:v>100.39933417768823</c:v>
                </c:pt>
                <c:pt idx="6">
                  <c:v>99.619254642651939</c:v>
                </c:pt>
                <c:pt idx="7">
                  <c:v>98.045061821082129</c:v>
                </c:pt>
              </c:numCache>
            </c:numRef>
          </c:val>
          <c:smooth val="0"/>
          <c:extLst>
            <c:ext xmlns:c16="http://schemas.microsoft.com/office/drawing/2014/chart" uri="{C3380CC4-5D6E-409C-BE32-E72D297353CC}">
              <c16:uniqueId val="{00000001-F17A-4DE5-B258-8C001861DF7A}"/>
            </c:ext>
          </c:extLst>
        </c:ser>
        <c:ser>
          <c:idx val="2"/>
          <c:order val="2"/>
          <c:tx>
            <c:strRef>
              <c:f>'Chart Data'!$BR$3</c:f>
              <c:strCache>
                <c:ptCount val="1"/>
                <c:pt idx="0">
                  <c:v>Mar-23</c:v>
                </c:pt>
              </c:strCache>
            </c:strRef>
          </c:tx>
          <c:spPr>
            <a:ln w="38100">
              <a:solidFill>
                <a:srgbClr val="D1A21E"/>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Data'!$BR$5:$BR$13</c:f>
              <c:numCache>
                <c:formatCode>0.000</c:formatCode>
                <c:ptCount val="9"/>
                <c:pt idx="1">
                  <c:v>87.415062840810251</c:v>
                </c:pt>
                <c:pt idx="2">
                  <c:v>92.792722786004575</c:v>
                </c:pt>
                <c:pt idx="3">
                  <c:v>100.75443021537372</c:v>
                </c:pt>
                <c:pt idx="4">
                  <c:v>100</c:v>
                </c:pt>
                <c:pt idx="5">
                  <c:v>99.240159985718165</c:v>
                </c:pt>
                <c:pt idx="6">
                  <c:v>98.469932312858845</c:v>
                </c:pt>
                <c:pt idx="7">
                  <c:v>97.016478264175717</c:v>
                </c:pt>
              </c:numCache>
            </c:numRef>
          </c:val>
          <c:smooth val="0"/>
          <c:extLst>
            <c:ext xmlns:c16="http://schemas.microsoft.com/office/drawing/2014/chart" uri="{C3380CC4-5D6E-409C-BE32-E72D297353CC}">
              <c16:uniqueId val="{00000002-F17A-4DE5-B258-8C001861DF7A}"/>
            </c:ext>
          </c:extLst>
        </c:ser>
        <c:ser>
          <c:idx val="3"/>
          <c:order val="3"/>
          <c:tx>
            <c:strRef>
              <c:f>'Chart Data'!$BS$3</c:f>
              <c:strCache>
                <c:ptCount val="1"/>
                <c:pt idx="0">
                  <c:v>Nov-23</c:v>
                </c:pt>
              </c:strCache>
            </c:strRef>
          </c:tx>
          <c:spPr>
            <a:ln w="38100">
              <a:solidFill>
                <a:srgbClr val="7B7C77"/>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Data'!$BS$5:$BS$13</c:f>
              <c:numCache>
                <c:formatCode>General</c:formatCode>
                <c:ptCount val="9"/>
                <c:pt idx="2" formatCode="0.000">
                  <c:v>97.637307932186232</c:v>
                </c:pt>
                <c:pt idx="3" formatCode="0.000">
                  <c:v>98.397461032386204</c:v>
                </c:pt>
                <c:pt idx="4" formatCode="0.000">
                  <c:v>100</c:v>
                </c:pt>
                <c:pt idx="5" formatCode="0.000">
                  <c:v>96.359031224120628</c:v>
                </c:pt>
                <c:pt idx="6" formatCode="0.000">
                  <c:v>95.098564960530283</c:v>
                </c:pt>
                <c:pt idx="7" formatCode="0.000">
                  <c:v>93.525252349702711</c:v>
                </c:pt>
                <c:pt idx="8" formatCode="0.000">
                  <c:v>91.573337242785328</c:v>
                </c:pt>
              </c:numCache>
            </c:numRef>
          </c:val>
          <c:smooth val="0"/>
          <c:extLst>
            <c:ext xmlns:c16="http://schemas.microsoft.com/office/drawing/2014/chart" uri="{C3380CC4-5D6E-409C-BE32-E72D297353CC}">
              <c16:uniqueId val="{00000003-F17A-4DE5-B258-8C001861DF7A}"/>
            </c:ext>
          </c:extLst>
        </c:ser>
        <c:ser>
          <c:idx val="4"/>
          <c:order val="4"/>
          <c:tx>
            <c:strRef>
              <c:f>'Chart Data'!$BT$3</c:f>
              <c:strCache>
                <c:ptCount val="1"/>
                <c:pt idx="0">
                  <c:v>Mar-24</c:v>
                </c:pt>
              </c:strCache>
            </c:strRef>
          </c:tx>
          <c:spPr>
            <a:ln w="38100">
              <a:solidFill>
                <a:srgbClr val="965793"/>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Data'!$BT$5:$BT$13</c:f>
              <c:numCache>
                <c:formatCode>General</c:formatCode>
                <c:ptCount val="9"/>
                <c:pt idx="2" formatCode="0.000">
                  <c:v>97.213849725453699</c:v>
                </c:pt>
                <c:pt idx="3" formatCode="0.000">
                  <c:v>97.117867552276465</c:v>
                </c:pt>
                <c:pt idx="4" formatCode="0.000">
                  <c:v>100</c:v>
                </c:pt>
                <c:pt idx="5" formatCode="0.000">
                  <c:v>97.537629862669036</c:v>
                </c:pt>
                <c:pt idx="6" formatCode="0.000">
                  <c:v>96.145004391695394</c:v>
                </c:pt>
                <c:pt idx="7" formatCode="0.000">
                  <c:v>94.369450829465947</c:v>
                </c:pt>
                <c:pt idx="8" formatCode="0.000">
                  <c:v>91.655970351974076</c:v>
                </c:pt>
              </c:numCache>
            </c:numRef>
          </c:val>
          <c:smooth val="0"/>
          <c:extLst>
            <c:ext xmlns:c16="http://schemas.microsoft.com/office/drawing/2014/chart" uri="{C3380CC4-5D6E-409C-BE32-E72D297353CC}">
              <c16:uniqueId val="{00000004-F17A-4DE5-B258-8C001861DF7A}"/>
            </c:ext>
          </c:extLst>
        </c:ser>
        <c:ser>
          <c:idx val="5"/>
          <c:order val="5"/>
          <c:tx>
            <c:strRef>
              <c:f>'Chart Data'!$BU$3</c:f>
              <c:strCache>
                <c:ptCount val="1"/>
                <c:pt idx="0">
                  <c:v>100 LINE</c:v>
                </c:pt>
              </c:strCache>
            </c:strRef>
          </c:tx>
          <c:spPr>
            <a:ln w="12700">
              <a:solidFill>
                <a:srgbClr val="495057"/>
              </a:solidFill>
            </a:ln>
          </c:spPr>
          <c:marker>
            <c:symbol val="none"/>
          </c:marker>
          <c:cat>
            <c:strRef>
              <c:f>'Chart Data'!$BH$5:$BH$13</c:f>
              <c:strCache>
                <c:ptCount val="9"/>
                <c:pt idx="0">
                  <c:v>2020-21</c:v>
                </c:pt>
                <c:pt idx="1">
                  <c:v>2021-22</c:v>
                </c:pt>
                <c:pt idx="2">
                  <c:v>2022-23</c:v>
                </c:pt>
                <c:pt idx="3">
                  <c:v>2023-24</c:v>
                </c:pt>
                <c:pt idx="4">
                  <c:v>2024-25</c:v>
                </c:pt>
                <c:pt idx="5">
                  <c:v>2025-26</c:v>
                </c:pt>
                <c:pt idx="6">
                  <c:v>2026-27</c:v>
                </c:pt>
                <c:pt idx="7">
                  <c:v>2027-28</c:v>
                </c:pt>
                <c:pt idx="8">
                  <c:v>2028-29</c:v>
                </c:pt>
              </c:strCache>
            </c:strRef>
          </c:cat>
          <c:val>
            <c:numRef>
              <c:f>'Chart Data'!$BU$5:$BU$13</c:f>
              <c:numCache>
                <c:formatCode>General</c:formatCode>
                <c:ptCount val="9"/>
                <c:pt idx="0">
                  <c:v>100</c:v>
                </c:pt>
                <c:pt idx="1">
                  <c:v>100</c:v>
                </c:pt>
                <c:pt idx="2">
                  <c:v>100</c:v>
                </c:pt>
                <c:pt idx="3">
                  <c:v>100</c:v>
                </c:pt>
                <c:pt idx="4">
                  <c:v>100</c:v>
                </c:pt>
                <c:pt idx="5">
                  <c:v>100</c:v>
                </c:pt>
                <c:pt idx="6">
                  <c:v>100</c:v>
                </c:pt>
                <c:pt idx="7">
                  <c:v>100</c:v>
                </c:pt>
                <c:pt idx="8">
                  <c:v>100</c:v>
                </c:pt>
              </c:numCache>
            </c:numRef>
          </c:val>
          <c:smooth val="0"/>
          <c:extLst>
            <c:ext xmlns:c16="http://schemas.microsoft.com/office/drawing/2014/chart" uri="{C3380CC4-5D6E-409C-BE32-E72D297353CC}">
              <c16:uniqueId val="{00000000-A589-4B33-B03F-F6EC8F98C236}"/>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75"/>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egendEntry>
        <c:idx val="5"/>
        <c:delete val="1"/>
      </c:legendEntry>
      <c:layout>
        <c:manualLayout>
          <c:xMode val="edge"/>
          <c:yMode val="edge"/>
          <c:x val="0.12183768554354434"/>
          <c:y val="0.12825728467109929"/>
          <c:w val="0.79680638225306577"/>
          <c:h val="7.9647469808848154E-2"/>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83254000029657E-2"/>
          <c:y val="0.14714391023940784"/>
          <c:w val="0.37610344469653156"/>
          <c:h val="0.68239450266736446"/>
        </c:manualLayout>
      </c:layout>
      <c:lineChart>
        <c:grouping val="standard"/>
        <c:varyColors val="0"/>
        <c:ser>
          <c:idx val="0"/>
          <c:order val="0"/>
          <c:tx>
            <c:strRef>
              <c:f>'Chart Data'!$DH$3</c:f>
              <c:strCache>
                <c:ptCount val="1"/>
                <c:pt idx="0">
                  <c:v>Autumn Statement 2023</c:v>
                </c:pt>
              </c:strCache>
            </c:strRef>
          </c:tx>
          <c:spPr>
            <a:ln w="38100">
              <a:solidFill>
                <a:srgbClr val="BD1B21"/>
              </a:solidFill>
            </a:ln>
          </c:spPr>
          <c:marker>
            <c:symbol val="none"/>
          </c:marker>
          <c:cat>
            <c:numRef>
              <c:f>'Chart Data'!$DG$4:$DG$9</c:f>
              <c:numCache>
                <c:formatCode>General</c:formatCode>
                <c:ptCount val="6"/>
                <c:pt idx="0">
                  <c:v>2</c:v>
                </c:pt>
                <c:pt idx="1">
                  <c:v>5</c:v>
                </c:pt>
                <c:pt idx="2">
                  <c:v>10</c:v>
                </c:pt>
                <c:pt idx="3">
                  <c:v>15</c:v>
                </c:pt>
                <c:pt idx="4">
                  <c:v>20</c:v>
                </c:pt>
                <c:pt idx="5">
                  <c:v>30</c:v>
                </c:pt>
              </c:numCache>
            </c:numRef>
          </c:cat>
          <c:val>
            <c:numRef>
              <c:f>'Chart Data'!$DH$4:$DH$9</c:f>
              <c:numCache>
                <c:formatCode>0.00</c:formatCode>
                <c:ptCount val="6"/>
                <c:pt idx="0">
                  <c:v>4.8863636363636367</c:v>
                </c:pt>
                <c:pt idx="1">
                  <c:v>4.5309090909090912</c:v>
                </c:pt>
                <c:pt idx="2">
                  <c:v>4.4927272727272731</c:v>
                </c:pt>
                <c:pt idx="3">
                  <c:v>4.8027272727272727</c:v>
                </c:pt>
                <c:pt idx="4">
                  <c:v>4.8945454545454545</c:v>
                </c:pt>
                <c:pt idx="5">
                  <c:v>4.9418181818181814</c:v>
                </c:pt>
              </c:numCache>
            </c:numRef>
          </c:val>
          <c:smooth val="0"/>
          <c:extLst>
            <c:ext xmlns:c16="http://schemas.microsoft.com/office/drawing/2014/chart" uri="{C3380CC4-5D6E-409C-BE32-E72D297353CC}">
              <c16:uniqueId val="{00000000-851F-42BF-AFEA-F565F83877CC}"/>
            </c:ext>
          </c:extLst>
        </c:ser>
        <c:ser>
          <c:idx val="1"/>
          <c:order val="1"/>
          <c:tx>
            <c:strRef>
              <c:f>'Chart Data'!$DI$3</c:f>
              <c:strCache>
                <c:ptCount val="1"/>
                <c:pt idx="0">
                  <c:v>Budget 24</c:v>
                </c:pt>
              </c:strCache>
            </c:strRef>
          </c:tx>
          <c:spPr>
            <a:ln w="38100">
              <a:solidFill>
                <a:srgbClr val="003469"/>
              </a:solidFill>
            </a:ln>
          </c:spPr>
          <c:marker>
            <c:symbol val="none"/>
          </c:marker>
          <c:cat>
            <c:numRef>
              <c:f>'Chart Data'!$DG$4:$DG$9</c:f>
              <c:numCache>
                <c:formatCode>General</c:formatCode>
                <c:ptCount val="6"/>
                <c:pt idx="0">
                  <c:v>2</c:v>
                </c:pt>
                <c:pt idx="1">
                  <c:v>5</c:v>
                </c:pt>
                <c:pt idx="2">
                  <c:v>10</c:v>
                </c:pt>
                <c:pt idx="3">
                  <c:v>15</c:v>
                </c:pt>
                <c:pt idx="4">
                  <c:v>20</c:v>
                </c:pt>
                <c:pt idx="5">
                  <c:v>30</c:v>
                </c:pt>
              </c:numCache>
            </c:numRef>
          </c:cat>
          <c:val>
            <c:numRef>
              <c:f>'Chart Data'!$DI$4:$DI$9</c:f>
              <c:numCache>
                <c:formatCode>0.00</c:formatCode>
                <c:ptCount val="6"/>
                <c:pt idx="0">
                  <c:v>4.2618181818181817</c:v>
                </c:pt>
                <c:pt idx="1">
                  <c:v>3.7881818181818177</c:v>
                </c:pt>
                <c:pt idx="2">
                  <c:v>3.8763636363636365</c:v>
                </c:pt>
                <c:pt idx="3">
                  <c:v>4.2445454545454542</c:v>
                </c:pt>
                <c:pt idx="4">
                  <c:v>4.417272727272727</c:v>
                </c:pt>
                <c:pt idx="5">
                  <c:v>4.5090909090909097</c:v>
                </c:pt>
              </c:numCache>
            </c:numRef>
          </c:val>
          <c:smooth val="0"/>
          <c:extLst>
            <c:ext xmlns:c16="http://schemas.microsoft.com/office/drawing/2014/chart" uri="{C3380CC4-5D6E-409C-BE32-E72D297353CC}">
              <c16:uniqueId val="{00000001-851F-42BF-AFEA-F565F83877CC}"/>
            </c:ext>
          </c:extLst>
        </c:ser>
        <c:ser>
          <c:idx val="2"/>
          <c:order val="2"/>
          <c:tx>
            <c:strRef>
              <c:f>'Chart Data'!$DJ$3</c:f>
              <c:strCache>
                <c:ptCount val="1"/>
                <c:pt idx="0">
                  <c:v>10 days to 5th March</c:v>
                </c:pt>
              </c:strCache>
            </c:strRef>
          </c:tx>
          <c:spPr>
            <a:ln w="38100">
              <a:solidFill>
                <a:srgbClr val="D1A21E"/>
              </a:solidFill>
            </a:ln>
          </c:spPr>
          <c:marker>
            <c:symbol val="none"/>
          </c:marker>
          <c:val>
            <c:numRef>
              <c:f>'Chart Data'!$DJ$4:$DJ$9</c:f>
              <c:numCache>
                <c:formatCode>0.00</c:formatCode>
                <c:ptCount val="6"/>
                <c:pt idx="0">
                  <c:v>4.3579999999999997</c:v>
                </c:pt>
                <c:pt idx="1">
                  <c:v>4.0649999999999995</c:v>
                </c:pt>
                <c:pt idx="2">
                  <c:v>4.12</c:v>
                </c:pt>
                <c:pt idx="3">
                  <c:v>4.415</c:v>
                </c:pt>
                <c:pt idx="4">
                  <c:v>4.5609999999999999</c:v>
                </c:pt>
                <c:pt idx="5">
                  <c:v>4.5960000000000001</c:v>
                </c:pt>
              </c:numCache>
            </c:numRef>
          </c:val>
          <c:smooth val="0"/>
          <c:extLst>
            <c:ext xmlns:c16="http://schemas.microsoft.com/office/drawing/2014/chart" uri="{C3380CC4-5D6E-409C-BE32-E72D297353CC}">
              <c16:uniqueId val="{00000002-851F-42BF-AFEA-F565F83877CC}"/>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ax val="5.25"/>
          <c:min val="3"/>
        </c:scaling>
        <c:delete val="0"/>
        <c:axPos val="l"/>
        <c:numFmt formatCode="#,##0.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0.25"/>
      </c:valAx>
      <c:spPr>
        <a:noFill/>
        <a:ln w="25400">
          <a:noFill/>
        </a:ln>
      </c:spPr>
    </c:plotArea>
    <c:legend>
      <c:legendPos val="t"/>
      <c:layout>
        <c:manualLayout>
          <c:xMode val="edge"/>
          <c:yMode val="edge"/>
          <c:x val="0.62162361908151309"/>
          <c:y val="9.2221690110518367E-2"/>
          <c:w val="0.37837638091848691"/>
          <c:h val="0.1503168539576117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7273309458912625"/>
          <c:y val="0.15095883522525019"/>
          <c:w val="0.74883663844591863"/>
          <c:h val="0.68206785593188923"/>
        </c:manualLayout>
      </c:layout>
      <c:lineChart>
        <c:grouping val="standard"/>
        <c:varyColors val="0"/>
        <c:ser>
          <c:idx val="0"/>
          <c:order val="0"/>
          <c:tx>
            <c:strRef>
              <c:f>[1]Calculations!$H$2</c:f>
              <c:strCache>
                <c:ptCount val="1"/>
                <c:pt idx="0">
                  <c:v>AS 2023</c:v>
                </c:pt>
              </c:strCache>
            </c:strRef>
          </c:tx>
          <c:spPr>
            <a:ln w="38100">
              <a:solidFill>
                <a:srgbClr val="BD1B21"/>
              </a:solidFill>
            </a:ln>
          </c:spPr>
          <c:marker>
            <c:symbol val="none"/>
          </c:marker>
          <c:cat>
            <c:numRef>
              <c:f>[1]Calculations!$G$3:$G$7</c:f>
              <c:numCache>
                <c:formatCode>General</c:formatCode>
                <c:ptCount val="5"/>
                <c:pt idx="0">
                  <c:v>2024</c:v>
                </c:pt>
                <c:pt idx="1">
                  <c:v>2025</c:v>
                </c:pt>
                <c:pt idx="2">
                  <c:v>2026</c:v>
                </c:pt>
                <c:pt idx="3">
                  <c:v>2027</c:v>
                </c:pt>
                <c:pt idx="4">
                  <c:v>2028</c:v>
                </c:pt>
              </c:numCache>
            </c:numRef>
          </c:cat>
          <c:val>
            <c:numRef>
              <c:f>[1]Calculations!$H$3:$H$7</c:f>
              <c:numCache>
                <c:formatCode>General</c:formatCode>
                <c:ptCount val="5"/>
                <c:pt idx="0">
                  <c:v>5.1774545727272727</c:v>
                </c:pt>
                <c:pt idx="1">
                  <c:v>4.5591651999999998</c:v>
                </c:pt>
                <c:pt idx="2">
                  <c:v>4.2005258545454547</c:v>
                </c:pt>
                <c:pt idx="3">
                  <c:v>4.0434114272727264</c:v>
                </c:pt>
                <c:pt idx="4">
                  <c:v>3.9784683818181819</c:v>
                </c:pt>
              </c:numCache>
            </c:numRef>
          </c:val>
          <c:smooth val="0"/>
          <c:extLst>
            <c:ext xmlns:c16="http://schemas.microsoft.com/office/drawing/2014/chart" uri="{C3380CC4-5D6E-409C-BE32-E72D297353CC}">
              <c16:uniqueId val="{00000000-46B8-41D1-BE25-61FF4D9AA586}"/>
            </c:ext>
          </c:extLst>
        </c:ser>
        <c:ser>
          <c:idx val="1"/>
          <c:order val="1"/>
          <c:tx>
            <c:strRef>
              <c:f>[1]Calculations!$I$2</c:f>
              <c:strCache>
                <c:ptCount val="1"/>
                <c:pt idx="0">
                  <c:v>Budget 24 (using AS timetable*)</c:v>
                </c:pt>
              </c:strCache>
            </c:strRef>
          </c:tx>
          <c:spPr>
            <a:ln w="38100">
              <a:solidFill>
                <a:srgbClr val="002060"/>
              </a:solidFill>
            </a:ln>
          </c:spPr>
          <c:marker>
            <c:symbol val="none"/>
          </c:marker>
          <c:cat>
            <c:numRef>
              <c:f>[1]Calculations!$G$3:$G$7</c:f>
              <c:numCache>
                <c:formatCode>General</c:formatCode>
                <c:ptCount val="5"/>
                <c:pt idx="0">
                  <c:v>2024</c:v>
                </c:pt>
                <c:pt idx="1">
                  <c:v>2025</c:v>
                </c:pt>
                <c:pt idx="2">
                  <c:v>2026</c:v>
                </c:pt>
                <c:pt idx="3">
                  <c:v>2027</c:v>
                </c:pt>
                <c:pt idx="4">
                  <c:v>2028</c:v>
                </c:pt>
              </c:numCache>
            </c:numRef>
          </c:cat>
          <c:val>
            <c:numRef>
              <c:f>[1]Calculations!$I$3:$I$7</c:f>
              <c:numCache>
                <c:formatCode>General</c:formatCode>
                <c:ptCount val="5"/>
                <c:pt idx="0">
                  <c:v>4.0697531636363635</c:v>
                </c:pt>
                <c:pt idx="1">
                  <c:v>3.4056860272727278</c:v>
                </c:pt>
                <c:pt idx="2">
                  <c:v>3.2337974909090916</c:v>
                </c:pt>
                <c:pt idx="3">
                  <c:v>3.2167426818181823</c:v>
                </c:pt>
                <c:pt idx="4">
                  <c:v>3.271681172727273</c:v>
                </c:pt>
              </c:numCache>
            </c:numRef>
          </c:val>
          <c:smooth val="0"/>
          <c:extLst>
            <c:ext xmlns:c16="http://schemas.microsoft.com/office/drawing/2014/chart" uri="{C3380CC4-5D6E-409C-BE32-E72D297353CC}">
              <c16:uniqueId val="{00000001-46B8-41D1-BE25-61FF4D9AA586}"/>
            </c:ext>
          </c:extLst>
        </c:ser>
        <c:ser>
          <c:idx val="2"/>
          <c:order val="2"/>
          <c:tx>
            <c:strRef>
              <c:f>[1]Calculations!$K$2</c:f>
              <c:strCache>
                <c:ptCount val="1"/>
                <c:pt idx="0">
                  <c:v>This week</c:v>
                </c:pt>
              </c:strCache>
            </c:strRef>
          </c:tx>
          <c:spPr>
            <a:ln w="38100">
              <a:solidFill>
                <a:srgbClr val="D1A21E"/>
              </a:solidFill>
            </a:ln>
          </c:spPr>
          <c:marker>
            <c:symbol val="none"/>
          </c:marker>
          <c:val>
            <c:numRef>
              <c:f>[1]Calculations!$K$3:$K$7</c:f>
              <c:numCache>
                <c:formatCode>General</c:formatCode>
                <c:ptCount val="5"/>
                <c:pt idx="0">
                  <c:v>4.4086505999999996</c:v>
                </c:pt>
                <c:pt idx="1">
                  <c:v>3.8089945000000003</c:v>
                </c:pt>
                <c:pt idx="2">
                  <c:v>3.5581898333333335</c:v>
                </c:pt>
                <c:pt idx="3">
                  <c:v>3.4652736999999996</c:v>
                </c:pt>
                <c:pt idx="4">
                  <c:v>3.4655414666666666</c:v>
                </c:pt>
              </c:numCache>
            </c:numRef>
          </c:val>
          <c:smooth val="0"/>
          <c:extLst>
            <c:ext xmlns:c16="http://schemas.microsoft.com/office/drawing/2014/chart" uri="{C3380CC4-5D6E-409C-BE32-E72D297353CC}">
              <c16:uniqueId val="{00000002-46B8-41D1-BE25-61FF4D9AA586}"/>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ax val="5.25"/>
          <c:min val="3"/>
        </c:scaling>
        <c:delete val="0"/>
        <c:axPos val="l"/>
        <c:numFmt formatCode="#,##0.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0.25"/>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3AB60CF-7968-4057-AF5F-AD04E051AAFB}">
  <sheetPr codeName="Chart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2DC0311-095A-448F-A52A-E6764B9F111C}">
  <sheetPr codeName="Chart2"/>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27650BD-A6F9-4C6E-BE3D-E628B60A9662}">
  <sheetPr codeName="Chart3"/>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03B2AAF-B3F9-47C0-9659-5A079C305E70}">
  <sheetPr codeName="Chart4"/>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BA4A61B-6DE8-42EB-BD4A-1544B1255E47}">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9EA9C72-E0EB-4252-BA9D-A90C5D540066}">
  <sheetPr codeName="Chart5"/>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0647DE7-BD4E-47E7-9150-C49C61C71CE1}">
  <sheetPr codeName="Chart6"/>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FCE612C-2AAB-4E8E-B107-D9985FD98D29}">
  <sheetPr codeName="Chart7"/>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201CA09-08C7-48BC-AFB5-C8C80D7B7FC6}">
  <sheetPr codeName="Chart9"/>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3D77AD79-4A05-F554-D207-8B894AF997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0.00546</cdr:x>
      <cdr:y>0.00837</cdr:y>
    </cdr:from>
    <cdr:to>
      <cdr:x>1</cdr:x>
      <cdr:y>0.09204</cdr:y>
    </cdr:to>
    <cdr:sp macro="" textlink="">
      <cdr:nvSpPr>
        <cdr:cNvPr id="2" name="TextBox 1">
          <a:extLst xmlns:a="http://schemas.openxmlformats.org/drawingml/2006/main">
            <a:ext uri="{FF2B5EF4-FFF2-40B4-BE49-F238E27FC236}">
              <a16:creationId xmlns:a16="http://schemas.microsoft.com/office/drawing/2014/main" id="{13D6A699-2749-E9CF-A5C5-C76B1D5709FC}"/>
            </a:ext>
          </a:extLst>
        </cdr:cNvPr>
        <cdr:cNvSpPr txBox="1"/>
      </cdr:nvSpPr>
      <cdr:spPr>
        <a:xfrm xmlns:a="http://schemas.openxmlformats.org/drawingml/2006/main">
          <a:off x="46039" y="56268"/>
          <a:ext cx="8383586" cy="56268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Changes to OBR PSNB forecast since Autumn Statement</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0F1B895E-C5B6-8353-0266-9688569A76B2}"/>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0.00565</cdr:x>
      <cdr:y>0.07122</cdr:y>
    </cdr:from>
    <cdr:to>
      <cdr:x>0.08701</cdr:x>
      <cdr:y>0.12215</cdr:y>
    </cdr:to>
    <cdr:sp macro="" textlink="">
      <cdr:nvSpPr>
        <cdr:cNvPr id="4" name="TextBox 3">
          <a:extLst xmlns:a="http://schemas.openxmlformats.org/drawingml/2006/main">
            <a:ext uri="{FF2B5EF4-FFF2-40B4-BE49-F238E27FC236}">
              <a16:creationId xmlns:a16="http://schemas.microsoft.com/office/drawing/2014/main" id="{FC0D8F0A-19B4-B989-4749-D45EC20062A6}"/>
            </a:ext>
          </a:extLst>
        </cdr:cNvPr>
        <cdr:cNvSpPr txBox="1"/>
      </cdr:nvSpPr>
      <cdr:spPr>
        <a:xfrm xmlns:a="http://schemas.openxmlformats.org/drawingml/2006/main">
          <a:off x="47626" y="478900"/>
          <a:ext cx="68580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D3E97604-F00E-CEB8-90FF-EF7C06178DE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0.00546</cdr:x>
      <cdr:y>0.00837</cdr:y>
    </cdr:from>
    <cdr:to>
      <cdr:x>0.97966</cdr:x>
      <cdr:y>0.09204</cdr:y>
    </cdr:to>
    <cdr:sp macro="" textlink="">
      <cdr:nvSpPr>
        <cdr:cNvPr id="2" name="TextBox 1">
          <a:extLst xmlns:a="http://schemas.openxmlformats.org/drawingml/2006/main">
            <a:ext uri="{FF2B5EF4-FFF2-40B4-BE49-F238E27FC236}">
              <a16:creationId xmlns:a16="http://schemas.microsoft.com/office/drawing/2014/main" id="{2F5C4D96-A753-1863-CB7E-7B83AADD342D}"/>
            </a:ext>
          </a:extLst>
        </cdr:cNvPr>
        <cdr:cNvSpPr txBox="1"/>
      </cdr:nvSpPr>
      <cdr:spPr>
        <a:xfrm xmlns:a="http://schemas.openxmlformats.org/drawingml/2006/main">
          <a:off x="46039" y="56268"/>
          <a:ext cx="8212136" cy="56268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Impact on tax receipts from income tax &amp; NICs policies</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AD0BF024-D8F4-4FEF-6683-EBD950B7147F}"/>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OBR</a:t>
          </a:r>
        </a:p>
      </cdr:txBody>
    </cdr:sp>
  </cdr:relSizeAnchor>
  <cdr:relSizeAnchor xmlns:cdr="http://schemas.openxmlformats.org/drawingml/2006/chartDrawing">
    <cdr:from>
      <cdr:x>0.00452</cdr:x>
      <cdr:y>0.07122</cdr:y>
    </cdr:from>
    <cdr:to>
      <cdr:x>0.09153</cdr:x>
      <cdr:y>0.12215</cdr:y>
    </cdr:to>
    <cdr:sp macro="" textlink="">
      <cdr:nvSpPr>
        <cdr:cNvPr id="4" name="TextBox 3">
          <a:extLst xmlns:a="http://schemas.openxmlformats.org/drawingml/2006/main">
            <a:ext uri="{FF2B5EF4-FFF2-40B4-BE49-F238E27FC236}">
              <a16:creationId xmlns:a16="http://schemas.microsoft.com/office/drawing/2014/main" id="{3003EA9F-FD8B-CD40-04A6-94AD1DC1BE67}"/>
            </a:ext>
          </a:extLst>
        </cdr:cNvPr>
        <cdr:cNvSpPr txBox="1"/>
      </cdr:nvSpPr>
      <cdr:spPr>
        <a:xfrm xmlns:a="http://schemas.openxmlformats.org/drawingml/2006/main">
          <a:off x="38100" y="478900"/>
          <a:ext cx="733425"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90357719-C73B-BC8B-C2BD-F75ED44D19A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resource spending</a:t>
          </a:r>
          <a:r>
            <a:rPr lang="en-GB" sz="2400" b="0" baseline="0">
              <a:solidFill>
                <a:srgbClr val="495057"/>
              </a:solidFill>
              <a:latin typeface="Segoe UI" panose="020B0502040204020203" pitchFamily="34" charset="0"/>
              <a:cs typeface="Segoe UI" panose="020B0502040204020203" pitchFamily="34" charset="0"/>
            </a:rPr>
            <a:t> </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 2023-2024</a:t>
          </a:r>
          <a:r>
            <a:rPr lang="en-GB" sz="1800" b="0" baseline="0">
              <a:solidFill>
                <a:srgbClr val="495057"/>
              </a:solidFill>
              <a:latin typeface="Segoe UI" panose="020B0502040204020203" pitchFamily="34" charset="0"/>
              <a:cs typeface="Segoe UI" panose="020B0502040204020203" pitchFamily="34" charset="0"/>
            </a:rPr>
            <a:t> prices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9D758D4E-FA5F-609A-8C8E-C2C410F2F4B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capital spending</a:t>
          </a:r>
          <a:r>
            <a:rPr lang="en-GB" sz="2400" b="0" baseline="0">
              <a:solidFill>
                <a:srgbClr val="495057"/>
              </a:solidFill>
              <a:latin typeface="Segoe UI" panose="020B0502040204020203" pitchFamily="34" charset="0"/>
              <a:cs typeface="Segoe UI" panose="020B0502040204020203" pitchFamily="34" charset="0"/>
            </a:rPr>
            <a:t> </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 2023-2024</a:t>
          </a:r>
          <a:r>
            <a:rPr lang="en-GB" sz="1800" b="0" baseline="0">
              <a:solidFill>
                <a:srgbClr val="495057"/>
              </a:solidFill>
              <a:latin typeface="Segoe UI" panose="020B0502040204020203" pitchFamily="34" charset="0"/>
              <a:cs typeface="Segoe UI" panose="020B0502040204020203" pitchFamily="34" charset="0"/>
            </a:rPr>
            <a:t> prices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70EB3B1D-B2CD-AC4B-37D0-CA76EA4FA53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0.47006</cdr:x>
      <cdr:y>0.11174</cdr:y>
    </cdr:from>
    <cdr:to>
      <cdr:x>1</cdr:x>
      <cdr:y>0.99575</cdr:y>
    </cdr:to>
    <cdr:graphicFrame macro="">
      <cdr:nvGraphicFramePr>
        <cdr:cNvPr id="5" name="Chart 1">
          <a:extLst xmlns:a="http://schemas.openxmlformats.org/drawingml/2006/main">
            <a:ext uri="{FF2B5EF4-FFF2-40B4-BE49-F238E27FC236}">
              <a16:creationId xmlns:a16="http://schemas.microsoft.com/office/drawing/2014/main" id="{E4D7D07E-EA81-A845-874C-A8385A4CB77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spending per head </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2024-2025=100</a:t>
          </a:r>
        </a:p>
      </cdr:txBody>
    </cdr:sp>
  </cdr:relSizeAnchor>
  <cdr:relSizeAnchor xmlns:cdr="http://schemas.openxmlformats.org/drawingml/2006/chartDrawing">
    <cdr:from>
      <cdr:x>0.0904</cdr:x>
      <cdr:y>0.11504</cdr:y>
    </cdr:from>
    <cdr:to>
      <cdr:x>0.41695</cdr:x>
      <cdr:y>0.16598</cdr:y>
    </cdr:to>
    <cdr:sp macro="" textlink="">
      <cdr:nvSpPr>
        <cdr:cNvPr id="6" name="TextBox 1">
          <a:extLst xmlns:a="http://schemas.openxmlformats.org/drawingml/2006/main">
            <a:ext uri="{FF2B5EF4-FFF2-40B4-BE49-F238E27FC236}">
              <a16:creationId xmlns:a16="http://schemas.microsoft.com/office/drawing/2014/main" id="{F77A6370-79A6-D64F-4105-586D2F5BD526}"/>
            </a:ext>
          </a:extLst>
        </cdr:cNvPr>
        <cdr:cNvSpPr txBox="1"/>
      </cdr:nvSpPr>
      <cdr:spPr>
        <a:xfrm xmlns:a="http://schemas.openxmlformats.org/drawingml/2006/main">
          <a:off x="762000" y="774700"/>
          <a:ext cx="2752725"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Current</a:t>
          </a:r>
        </a:p>
      </cdr:txBody>
    </cdr:sp>
  </cdr:relSizeAnchor>
</c:userShapes>
</file>

<file path=xl/drawings/drawing11.xml><?xml version="1.0" encoding="utf-8"?>
<c:userShapes xmlns:c="http://schemas.openxmlformats.org/drawingml/2006/chart">
  <cdr:relSizeAnchor xmlns:cdr="http://schemas.openxmlformats.org/drawingml/2006/chartDrawing">
    <cdr:from>
      <cdr:x>0.14903</cdr:x>
      <cdr:y>0.01333</cdr:y>
    </cdr:from>
    <cdr:to>
      <cdr:x>0.84881</cdr:x>
      <cdr:y>0.07096</cdr:y>
    </cdr:to>
    <cdr:sp macro="" textlink="">
      <cdr:nvSpPr>
        <cdr:cNvPr id="5" name="TextBox 1">
          <a:extLst xmlns:a="http://schemas.openxmlformats.org/drawingml/2006/main">
            <a:ext uri="{FF2B5EF4-FFF2-40B4-BE49-F238E27FC236}">
              <a16:creationId xmlns:a16="http://schemas.microsoft.com/office/drawing/2014/main" id="{FF9A3246-04F1-C389-8E55-AD7277ED7274}"/>
            </a:ext>
          </a:extLst>
        </cdr:cNvPr>
        <cdr:cNvSpPr txBox="1"/>
      </cdr:nvSpPr>
      <cdr:spPr>
        <a:xfrm xmlns:a="http://schemas.openxmlformats.org/drawingml/2006/main">
          <a:off x="657225" y="79375"/>
          <a:ext cx="3086100"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Capital</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8416636" cy="6736773"/>
    <xdr:graphicFrame macro="">
      <xdr:nvGraphicFramePr>
        <xdr:cNvPr id="2" name="Chart 1">
          <a:extLst>
            <a:ext uri="{FF2B5EF4-FFF2-40B4-BE49-F238E27FC236}">
              <a16:creationId xmlns:a16="http://schemas.microsoft.com/office/drawing/2014/main" id="{BBE623AB-C179-E6E9-18D7-177CEE53811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spending </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2024-2025=100</a:t>
          </a:r>
        </a:p>
      </cdr:txBody>
    </cdr:sp>
  </cdr:relSizeAnchor>
  <cdr:relSizeAnchor xmlns:cdr="http://schemas.openxmlformats.org/drawingml/2006/chartDrawing">
    <cdr:from>
      <cdr:x>0.47006</cdr:x>
      <cdr:y>0.11033</cdr:y>
    </cdr:from>
    <cdr:to>
      <cdr:x>1</cdr:x>
      <cdr:y>0.99434</cdr:y>
    </cdr:to>
    <cdr:graphicFrame macro="">
      <cdr:nvGraphicFramePr>
        <cdr:cNvPr id="5" name="Chart 1">
          <a:extLst xmlns:a="http://schemas.openxmlformats.org/drawingml/2006/main">
            <a:ext uri="{FF2B5EF4-FFF2-40B4-BE49-F238E27FC236}">
              <a16:creationId xmlns:a16="http://schemas.microsoft.com/office/drawing/2014/main" id="{E4D7D07E-EA81-A845-874C-A8385A4CB77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0.0904</cdr:x>
      <cdr:y>0.11504</cdr:y>
    </cdr:from>
    <cdr:to>
      <cdr:x>0.41695</cdr:x>
      <cdr:y>0.16598</cdr:y>
    </cdr:to>
    <cdr:sp macro="" textlink="">
      <cdr:nvSpPr>
        <cdr:cNvPr id="6" name="TextBox 1">
          <a:extLst xmlns:a="http://schemas.openxmlformats.org/drawingml/2006/main">
            <a:ext uri="{FF2B5EF4-FFF2-40B4-BE49-F238E27FC236}">
              <a16:creationId xmlns:a16="http://schemas.microsoft.com/office/drawing/2014/main" id="{F77A6370-79A6-D64F-4105-586D2F5BD526}"/>
            </a:ext>
          </a:extLst>
        </cdr:cNvPr>
        <cdr:cNvSpPr txBox="1"/>
      </cdr:nvSpPr>
      <cdr:spPr>
        <a:xfrm xmlns:a="http://schemas.openxmlformats.org/drawingml/2006/main">
          <a:off x="762000" y="774700"/>
          <a:ext cx="2752725"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Current</a:t>
          </a:r>
        </a:p>
      </cdr:txBody>
    </cdr:sp>
  </cdr:relSizeAnchor>
</c:userShapes>
</file>

<file path=xl/drawings/drawing14.xml><?xml version="1.0" encoding="utf-8"?>
<c:userShapes xmlns:c="http://schemas.openxmlformats.org/drawingml/2006/chart">
  <cdr:relSizeAnchor xmlns:cdr="http://schemas.openxmlformats.org/drawingml/2006/chartDrawing">
    <cdr:from>
      <cdr:x>0.14903</cdr:x>
      <cdr:y>0.01333</cdr:y>
    </cdr:from>
    <cdr:to>
      <cdr:x>0.84881</cdr:x>
      <cdr:y>0.07096</cdr:y>
    </cdr:to>
    <cdr:sp macro="" textlink="">
      <cdr:nvSpPr>
        <cdr:cNvPr id="5" name="TextBox 1">
          <a:extLst xmlns:a="http://schemas.openxmlformats.org/drawingml/2006/main">
            <a:ext uri="{FF2B5EF4-FFF2-40B4-BE49-F238E27FC236}">
              <a16:creationId xmlns:a16="http://schemas.microsoft.com/office/drawing/2014/main" id="{FF9A3246-04F1-C389-8E55-AD7277ED7274}"/>
            </a:ext>
          </a:extLst>
        </cdr:cNvPr>
        <cdr:cNvSpPr txBox="1"/>
      </cdr:nvSpPr>
      <cdr:spPr>
        <a:xfrm xmlns:a="http://schemas.openxmlformats.org/drawingml/2006/main">
          <a:off x="657225" y="79375"/>
          <a:ext cx="3086100"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Capital</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EF00D23E-258E-177B-80E8-7812307618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resource spending</a:t>
          </a:r>
          <a:r>
            <a:rPr lang="en-GB" sz="2400" b="0" baseline="0">
              <a:solidFill>
                <a:srgbClr val="495057"/>
              </a:solidFill>
              <a:latin typeface="Segoe UI" panose="020B0502040204020203" pitchFamily="34" charset="0"/>
              <a:cs typeface="Segoe UI" panose="020B0502040204020203" pitchFamily="34" charset="0"/>
            </a:rPr>
            <a:t> </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2024-2025=100</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E62721F0-826D-2DC5-8E61-7DE7D97220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capital spending</a:t>
          </a:r>
          <a:r>
            <a:rPr lang="en-GB" sz="2400" b="0" baseline="0">
              <a:solidFill>
                <a:srgbClr val="495057"/>
              </a:solidFill>
              <a:latin typeface="Segoe UI" panose="020B0502040204020203" pitchFamily="34" charset="0"/>
              <a:cs typeface="Segoe UI" panose="020B0502040204020203" pitchFamily="34" charset="0"/>
            </a:rPr>
            <a:t> </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2024-2025=100</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16D04D3E-39D4-98FA-450D-0271F9908E1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0.51189</cdr:x>
      <cdr:y>0.00643</cdr:y>
    </cdr:from>
    <cdr:to>
      <cdr:x>1</cdr:x>
      <cdr:y>0.99576</cdr:y>
    </cdr:to>
    <cdr:graphicFrame macro="">
      <cdr:nvGraphicFramePr>
        <cdr:cNvPr id="4" name="Chart 1">
          <a:extLst xmlns:a="http://schemas.openxmlformats.org/drawingml/2006/main">
            <a:ext uri="{FF2B5EF4-FFF2-40B4-BE49-F238E27FC236}">
              <a16:creationId xmlns:a16="http://schemas.microsoft.com/office/drawing/2014/main" id="{C465EB49-46BF-F263-8E95-228EBC105E8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0.00836</cdr:y>
    </cdr:from>
    <cdr:to>
      <cdr:x>1</cdr:x>
      <cdr:y>0.09193</cdr:y>
    </cdr:to>
    <cdr:sp macro="" textlink="">
      <cdr:nvSpPr>
        <cdr:cNvPr id="2" name="TextBox 1">
          <a:extLst xmlns:a="http://schemas.openxmlformats.org/drawingml/2006/main">
            <a:ext uri="{FF2B5EF4-FFF2-40B4-BE49-F238E27FC236}">
              <a16:creationId xmlns:a16="http://schemas.microsoft.com/office/drawing/2014/main" id="{E343B919-5DC4-92D7-76F5-7FB8CBDE8F34}"/>
            </a:ext>
          </a:extLst>
        </cdr:cNvPr>
        <cdr:cNvSpPr txBox="1"/>
      </cdr:nvSpPr>
      <cdr:spPr>
        <a:xfrm xmlns:a="http://schemas.openxmlformats.org/drawingml/2006/main">
          <a:off x="46027" y="56261"/>
          <a:ext cx="8384043" cy="56241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Gilt yields                            Bank Rate expectations</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471E612E-97BA-35BC-034F-06DD238127A9}"/>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0.00565</cdr:x>
      <cdr:y>0.07124</cdr:y>
    </cdr:from>
    <cdr:to>
      <cdr:x>0.087</cdr:x>
      <cdr:y>0.12219</cdr:y>
    </cdr:to>
    <cdr:sp macro="" textlink="">
      <cdr:nvSpPr>
        <cdr:cNvPr id="6" name="TextBox 5">
          <a:extLst xmlns:a="http://schemas.openxmlformats.org/drawingml/2006/main">
            <a:ext uri="{FF2B5EF4-FFF2-40B4-BE49-F238E27FC236}">
              <a16:creationId xmlns:a16="http://schemas.microsoft.com/office/drawing/2014/main" id="{EF7D07B8-93DE-E2D5-A8BE-668D8C3CA10B}"/>
            </a:ext>
          </a:extLst>
        </cdr:cNvPr>
        <cdr:cNvSpPr txBox="1"/>
      </cdr:nvSpPr>
      <cdr:spPr>
        <a:xfrm xmlns:a="http://schemas.openxmlformats.org/drawingml/2006/main">
          <a:off x="47630" y="479459"/>
          <a:ext cx="685786"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0.27004</cdr:x>
      <cdr:y>0.89067</cdr:y>
    </cdr:from>
    <cdr:to>
      <cdr:x>0.48849</cdr:x>
      <cdr:y>0.94163</cdr:y>
    </cdr:to>
    <cdr:sp macro="" textlink="">
      <cdr:nvSpPr>
        <cdr:cNvPr id="7" name="TextBox 1">
          <a:extLst xmlns:a="http://schemas.openxmlformats.org/drawingml/2006/main">
            <a:ext uri="{FF2B5EF4-FFF2-40B4-BE49-F238E27FC236}">
              <a16:creationId xmlns:a16="http://schemas.microsoft.com/office/drawing/2014/main" id="{D0122830-286F-6C22-F185-921D2706A5BA}"/>
            </a:ext>
          </a:extLst>
        </cdr:cNvPr>
        <cdr:cNvSpPr txBox="1"/>
      </cdr:nvSpPr>
      <cdr:spPr>
        <a:xfrm xmlns:a="http://schemas.openxmlformats.org/drawingml/2006/main">
          <a:off x="2276336" y="5997906"/>
          <a:ext cx="1841452" cy="34317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Maturity,</a:t>
          </a:r>
          <a:r>
            <a:rPr lang="en-GB" sz="1800" b="0" baseline="0">
              <a:solidFill>
                <a:srgbClr val="495057"/>
              </a:solidFill>
              <a:latin typeface="Segoe UI" panose="020B0502040204020203" pitchFamily="34" charset="0"/>
              <a:cs typeface="Segoe UI" panose="020B0502040204020203" pitchFamily="34" charset="0"/>
            </a:rPr>
            <a:t> years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cdr:x>
      <cdr:y>0.0712</cdr:y>
    </cdr:from>
    <cdr:to>
      <cdr:x>0.08135</cdr:x>
      <cdr:y>0.12215</cdr:y>
    </cdr:to>
    <cdr:sp macro="" textlink="">
      <cdr:nvSpPr>
        <cdr:cNvPr id="6" name="TextBox 5">
          <a:extLst xmlns:a="http://schemas.openxmlformats.org/drawingml/2006/main">
            <a:ext uri="{FF2B5EF4-FFF2-40B4-BE49-F238E27FC236}">
              <a16:creationId xmlns:a16="http://schemas.microsoft.com/office/drawing/2014/main" id="{EF7D07B8-93DE-E2D5-A8BE-668D8C3CA10B}"/>
            </a:ext>
          </a:extLst>
        </cdr:cNvPr>
        <cdr:cNvSpPr txBox="1"/>
      </cdr:nvSpPr>
      <cdr:spPr>
        <a:xfrm xmlns:a="http://schemas.openxmlformats.org/drawingml/2006/main">
          <a:off x="0" y="474035"/>
          <a:ext cx="334739" cy="33922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l"/>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2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476250</xdr:colOff>
      <xdr:row>23</xdr:row>
      <xdr:rowOff>0</xdr:rowOff>
    </xdr:to>
    <xdr:pic>
      <xdr:nvPicPr>
        <xdr:cNvPr id="2" name="Picture 2">
          <a:extLst>
            <a:ext uri="{FF2B5EF4-FFF2-40B4-BE49-F238E27FC236}">
              <a16:creationId xmlns:a16="http://schemas.microsoft.com/office/drawing/2014/main" id="{C9555311-CFEB-4758-90B3-CF393C9151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 y="885825"/>
          <a:ext cx="5667375" cy="323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342900</xdr:colOff>
      <xdr:row>2</xdr:row>
      <xdr:rowOff>66675</xdr:rowOff>
    </xdr:from>
    <xdr:to>
      <xdr:col>5</xdr:col>
      <xdr:colOff>342900</xdr:colOff>
      <xdr:row>22</xdr:row>
      <xdr:rowOff>123825</xdr:rowOff>
    </xdr:to>
    <xdr:pic>
      <xdr:nvPicPr>
        <xdr:cNvPr id="2" name="Picture 1">
          <a:extLst>
            <a:ext uri="{FF2B5EF4-FFF2-40B4-BE49-F238E27FC236}">
              <a16:creationId xmlns:a16="http://schemas.microsoft.com/office/drawing/2014/main" id="{DC8EE25C-0822-42A2-B3FE-4A699969D82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790575"/>
          <a:ext cx="5486400" cy="329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UK%20Team\UK%20Weekly\20240223%20WK%20UK%20-%20Charts.xlsx" TargetMode="External"/><Relationship Id="rId1" Type="http://schemas.openxmlformats.org/officeDocument/2006/relationships/externalLinkPath" Target="/UK%20Team/UK%20Weekly/20240223%20WK%20UK%20-%20Chart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ow\Dec23\GB_Calculati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Z:\UK%20Team\UK%20Research%20Briefing\202402xx%20RB%20UK%20Business%20investment%20-%20Charts.xlsx" TargetMode="External"/><Relationship Id="rId1" Type="http://schemas.openxmlformats.org/officeDocument/2006/relationships/externalLinkPath" Target="202402xx%20RB%20UK%20Business%20investment%20-%20Cha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2"/>
      <sheetName val="Chart2 (2)"/>
      <sheetName val="Chart - gilts"/>
      <sheetName val="Chart - market expectations"/>
      <sheetName val="Calculations"/>
      <sheetName val="HAVERD"/>
      <sheetName val="OBR RR Oct23 - Debt interest"/>
    </sheetNames>
    <sheetDataSet>
      <sheetData sheetId="0" refreshError="1"/>
      <sheetData sheetId="1" refreshError="1"/>
      <sheetData sheetId="2" refreshError="1"/>
      <sheetData sheetId="3" refreshError="1"/>
      <sheetData sheetId="4">
        <row r="2">
          <cell r="B2" t="str">
            <v>Autumn Statement 2023</v>
          </cell>
          <cell r="H2" t="str">
            <v>AS 2023</v>
          </cell>
          <cell r="I2" t="str">
            <v>Budget 24 (using AS timetable*)</v>
          </cell>
          <cell r="K2" t="str">
            <v>This week</v>
          </cell>
        </row>
        <row r="3">
          <cell r="G3">
            <v>2024</v>
          </cell>
          <cell r="H3">
            <v>5.1774545727272727</v>
          </cell>
          <cell r="I3">
            <v>4.0697531636363635</v>
          </cell>
          <cell r="K3">
            <v>4.4086505999999996</v>
          </cell>
        </row>
        <row r="4">
          <cell r="G4">
            <v>2025</v>
          </cell>
          <cell r="H4">
            <v>4.5591651999999998</v>
          </cell>
          <cell r="I4">
            <v>3.4056860272727278</v>
          </cell>
          <cell r="K4">
            <v>3.8089945000000003</v>
          </cell>
        </row>
        <row r="5">
          <cell r="G5">
            <v>2026</v>
          </cell>
          <cell r="H5">
            <v>4.2005258545454547</v>
          </cell>
          <cell r="I5">
            <v>3.2337974909090916</v>
          </cell>
          <cell r="K5">
            <v>3.5581898333333335</v>
          </cell>
        </row>
        <row r="6">
          <cell r="G6">
            <v>2027</v>
          </cell>
          <cell r="H6">
            <v>4.0434114272727264</v>
          </cell>
          <cell r="I6">
            <v>3.2167426818181823</v>
          </cell>
          <cell r="K6">
            <v>3.4652736999999996</v>
          </cell>
        </row>
        <row r="7">
          <cell r="G7">
            <v>2028</v>
          </cell>
          <cell r="H7">
            <v>3.9784683818181819</v>
          </cell>
          <cell r="I7">
            <v>3.271681172727273</v>
          </cell>
          <cell r="K7">
            <v>3.4655414666666666</v>
          </cell>
        </row>
      </sheetData>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DATA"/>
      <sheetName val="Data"/>
      <sheetName val="PSCE calculations"/>
      <sheetName val="Energy price support"/>
      <sheetName val="Truss-Hunt"/>
      <sheetName val="OBR - debt interest - FST_3.18"/>
      <sheetName val="OBR - debt interest - FST_3.19"/>
      <sheetName val="GREVX calculations"/>
      <sheetName val="APF"/>
      <sheetName val="OBR monthly Mar23"/>
      <sheetName val="OBR RR Oct23 - Revenues"/>
      <sheetName val="OBR RR Oct23 - Debt interest"/>
      <sheetName val="OBR RR Oct23 - Spending"/>
      <sheetName val="CSV"/>
      <sheetName val="HAVERM"/>
      <sheetName val="HAVERQ"/>
      <sheetName val="&gt;&gt;&gt; COVID Calculations"/>
      <sheetName val="CJRS assumptions"/>
      <sheetName val="Coronavirus"/>
      <sheetName val="Coronavirus summary"/>
      <sheetName val="SR20 - C1.7"/>
      <sheetName val="OBR Monthly Profiles"/>
      <sheetName val="OBR - Aggregates"/>
      <sheetName val="OBR - non-FSR"/>
      <sheetName val="OBR - S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07">
          <cell r="AG207">
            <v>0.95</v>
          </cell>
        </row>
        <row r="208">
          <cell r="AG208">
            <v>1.6212120000000001</v>
          </cell>
        </row>
        <row r="209">
          <cell r="AG209">
            <v>2.8269229999999999</v>
          </cell>
        </row>
        <row r="210">
          <cell r="AG210">
            <v>3.85</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t;&gt; CHARTS"/>
      <sheetName val="IPNR G7 history"/>
      <sheetName val="Chart - IPNR by asset %"/>
      <sheetName val="Chart - Interest rates change"/>
      <sheetName val="Chart - Stock of loans"/>
      <sheetName val="IPNR vs surveys"/>
      <sheetName val="Chart - IPNR vs debt"/>
      <sheetName val="Figure 6"/>
      <sheetName val="Chart - Capital stock"/>
      <sheetName val="&gt;&gt; DATA"/>
      <sheetName val="Chart Data"/>
      <sheetName val="DataQ"/>
      <sheetName val="DataA"/>
      <sheetName val="GMWQ"/>
      <sheetName val="GMWA"/>
      <sheetName val="HAVERQ"/>
      <sheetName val="HAVERM"/>
      <sheetName val="ONS CVM SA (Q levels)"/>
      <sheetName val="IPNR ex BNFL"/>
      <sheetName val="&gt;&gt; NOT USED"/>
      <sheetName val="Chart - IF by asset"/>
      <sheetName val="Chart - IPNR by asset £bn"/>
      <sheetName val="Chart - IPNR and P&amp;M"/>
      <sheetName val="IPNR by sector diff Q419 ser v2"/>
      <sheetName val="IPNR by sector Q419=100"/>
      <sheetName val="IPNR by sector diff Q419 ser v1"/>
      <sheetName val="IPNR by sector £bn"/>
      <sheetName val="IPNR by asset Q419=100"/>
      <sheetName val="Chart - Interest rates"/>
      <sheetName val="Chart - Corporate depos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LR2" t="str">
            <v>JAN029A.db</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B343-7691-40EF-ABC3-03CC7C07ACBA}">
  <sheetPr codeName="Sheet8"/>
  <dimension ref="A1:DZ13"/>
  <sheetViews>
    <sheetView topLeftCell="O1" workbookViewId="0">
      <pane ySplit="3" topLeftCell="A4" activePane="bottomLeft" state="frozen"/>
      <selection pane="bottomLeft" activeCell="S8" sqref="S8"/>
    </sheetView>
  </sheetViews>
  <sheetFormatPr defaultRowHeight="15"/>
  <cols>
    <col min="1" max="1" width="25.7109375" customWidth="1"/>
    <col min="8" max="8" width="2.7109375" customWidth="1"/>
    <col min="9" max="9" width="27.7109375" bestFit="1" customWidth="1"/>
    <col min="17" max="17" width="2.7109375" customWidth="1"/>
    <col min="25" max="25" width="2.7109375" customWidth="1"/>
    <col min="32" max="32" width="2.7109375" customWidth="1"/>
    <col min="38" max="38" width="2.7109375" customWidth="1"/>
    <col min="44" max="44" width="2.7109375" customWidth="1"/>
    <col min="45" max="49" width="9.140625" customWidth="1"/>
    <col min="50" max="50" width="2.7109375" customWidth="1"/>
    <col min="51" max="55" width="9.140625" customWidth="1"/>
    <col min="56" max="56" width="2.7109375" customWidth="1"/>
    <col min="57" max="57" width="7.5703125" customWidth="1"/>
    <col min="58" max="58" width="9.140625" customWidth="1"/>
    <col min="59" max="59" width="2.7109375" customWidth="1"/>
    <col min="67" max="67" width="2.7109375" customWidth="1"/>
    <col min="74" max="74" width="2.7109375" customWidth="1"/>
    <col min="80" max="80" width="2.7109375" customWidth="1"/>
    <col min="86" max="86" width="2.7109375" customWidth="1"/>
    <col min="92" max="92" width="2.7109375" customWidth="1"/>
    <col min="98" max="98" width="2.7109375" customWidth="1"/>
    <col min="104" max="104" width="2.7109375" customWidth="1"/>
    <col min="110" max="110" width="2.7109375" customWidth="1"/>
    <col min="115" max="115" width="2.7109375" customWidth="1"/>
    <col min="121" max="121" width="10" bestFit="1" customWidth="1"/>
  </cols>
  <sheetData>
    <row r="1" spans="1:130">
      <c r="A1" s="306" t="s">
        <v>331</v>
      </c>
      <c r="I1" s="306" t="s">
        <v>311</v>
      </c>
      <c r="S1" s="306" t="s">
        <v>279</v>
      </c>
      <c r="BI1" s="306" t="s">
        <v>279</v>
      </c>
      <c r="DG1" s="404" t="s">
        <v>344</v>
      </c>
      <c r="DL1" s="404" t="s">
        <v>345</v>
      </c>
      <c r="DR1" s="404" t="s">
        <v>344</v>
      </c>
      <c r="DV1" s="404" t="s">
        <v>346</v>
      </c>
    </row>
    <row r="2" spans="1:130">
      <c r="S2" t="s">
        <v>1108</v>
      </c>
      <c r="Z2" t="s">
        <v>1107</v>
      </c>
      <c r="AG2" t="s">
        <v>1106</v>
      </c>
      <c r="AM2" t="s">
        <v>1105</v>
      </c>
      <c r="AS2" t="s">
        <v>1103</v>
      </c>
      <c r="AY2" t="s">
        <v>1104</v>
      </c>
      <c r="BI2" t="s">
        <v>282</v>
      </c>
      <c r="BP2" t="s">
        <v>283</v>
      </c>
      <c r="BW2" t="s">
        <v>281</v>
      </c>
      <c r="CC2" t="s">
        <v>280</v>
      </c>
      <c r="CI2" t="s">
        <v>56</v>
      </c>
      <c r="CO2" t="s">
        <v>276</v>
      </c>
      <c r="CU2" t="s">
        <v>278</v>
      </c>
      <c r="DA2" t="s">
        <v>277</v>
      </c>
      <c r="DG2" s="404"/>
      <c r="DL2" s="404"/>
      <c r="DR2" s="404"/>
      <c r="DV2" s="404"/>
    </row>
    <row r="3" spans="1:130" ht="30">
      <c r="B3" s="403" t="s">
        <v>332</v>
      </c>
      <c r="C3" s="403" t="s">
        <v>333</v>
      </c>
      <c r="D3" s="403" t="s">
        <v>334</v>
      </c>
      <c r="E3" s="403" t="s">
        <v>335</v>
      </c>
      <c r="F3" s="403" t="s">
        <v>336</v>
      </c>
      <c r="G3" s="403" t="s">
        <v>337</v>
      </c>
      <c r="J3" t="str">
        <f>OBR_NOV23_T3.A!D6</f>
        <v>2022-23</v>
      </c>
      <c r="K3" t="str">
        <f>OBR_NOV23_T3.A!E6</f>
        <v>2023-24</v>
      </c>
      <c r="L3" t="str">
        <f>OBR_NOV23_T3.A!F6</f>
        <v>2024-25</v>
      </c>
      <c r="M3" t="str">
        <f>OBR_NOV23_T3.A!G6</f>
        <v>2025-26</v>
      </c>
      <c r="N3" t="str">
        <f>OBR_NOV23_T3.A!H6</f>
        <v>2026-27</v>
      </c>
      <c r="O3" t="str">
        <f>OBR_NOV23_T3.A!I6</f>
        <v>2027-28</v>
      </c>
      <c r="P3" t="str">
        <f>OBR_NOV23_T3.A!J6</f>
        <v>2028-29</v>
      </c>
      <c r="S3" s="307">
        <v>44621</v>
      </c>
      <c r="T3" s="307">
        <v>44866</v>
      </c>
      <c r="U3" s="307">
        <v>44986</v>
      </c>
      <c r="V3" s="307">
        <v>45231</v>
      </c>
      <c r="W3" s="307">
        <v>45352</v>
      </c>
      <c r="X3" s="307" t="s">
        <v>284</v>
      </c>
      <c r="Z3" s="307">
        <v>44621</v>
      </c>
      <c r="AA3" s="307">
        <v>44866</v>
      </c>
      <c r="AB3" s="307">
        <v>44986</v>
      </c>
      <c r="AC3" s="307">
        <v>45231</v>
      </c>
      <c r="AD3" s="307">
        <v>45352</v>
      </c>
      <c r="AE3" s="307" t="s">
        <v>284</v>
      </c>
      <c r="AG3" s="307">
        <v>44621</v>
      </c>
      <c r="AH3" s="307">
        <v>44866</v>
      </c>
      <c r="AI3" s="307">
        <v>44986</v>
      </c>
      <c r="AJ3" s="307">
        <v>45231</v>
      </c>
      <c r="AK3" s="307">
        <v>45352</v>
      </c>
      <c r="AM3" s="307">
        <v>44621</v>
      </c>
      <c r="AN3" s="307">
        <v>44866</v>
      </c>
      <c r="AO3" s="307">
        <v>44986</v>
      </c>
      <c r="AP3" s="307">
        <v>45231</v>
      </c>
      <c r="AQ3" s="307">
        <v>45352</v>
      </c>
      <c r="AS3" t="s">
        <v>272</v>
      </c>
      <c r="AT3" t="s">
        <v>273</v>
      </c>
      <c r="AU3" t="s">
        <v>274</v>
      </c>
      <c r="AV3" t="s">
        <v>275</v>
      </c>
      <c r="AW3" t="s">
        <v>341</v>
      </c>
      <c r="AY3" t="s">
        <v>272</v>
      </c>
      <c r="AZ3" t="s">
        <v>273</v>
      </c>
      <c r="BA3" t="s">
        <v>274</v>
      </c>
      <c r="BB3" t="s">
        <v>275</v>
      </c>
      <c r="BC3" t="s">
        <v>341</v>
      </c>
      <c r="BF3" t="s">
        <v>1102</v>
      </c>
      <c r="BI3" s="307">
        <v>44621</v>
      </c>
      <c r="BJ3" s="307">
        <v>44866</v>
      </c>
      <c r="BK3" s="307">
        <v>44986</v>
      </c>
      <c r="BL3" s="307">
        <v>45231</v>
      </c>
      <c r="BM3" s="307">
        <v>45352</v>
      </c>
      <c r="BN3" s="307" t="s">
        <v>284</v>
      </c>
      <c r="BP3" s="307">
        <v>44621</v>
      </c>
      <c r="BQ3" s="307">
        <v>44866</v>
      </c>
      <c r="BR3" s="307">
        <v>44986</v>
      </c>
      <c r="BS3" s="307">
        <v>45231</v>
      </c>
      <c r="BT3" s="307">
        <v>45352</v>
      </c>
      <c r="BU3" s="307" t="s">
        <v>284</v>
      </c>
      <c r="BW3" s="307">
        <v>44621</v>
      </c>
      <c r="BX3" s="307">
        <v>44866</v>
      </c>
      <c r="BY3" s="307">
        <v>44986</v>
      </c>
      <c r="BZ3" s="307">
        <v>45231</v>
      </c>
      <c r="CA3" s="307">
        <v>45352</v>
      </c>
      <c r="CC3" s="307">
        <v>44621</v>
      </c>
      <c r="CD3" s="307">
        <v>44866</v>
      </c>
      <c r="CE3" s="307">
        <v>44986</v>
      </c>
      <c r="CF3" s="307">
        <v>45231</v>
      </c>
      <c r="CG3" s="307">
        <v>45352</v>
      </c>
      <c r="CI3" t="s">
        <v>272</v>
      </c>
      <c r="CJ3" t="s">
        <v>273</v>
      </c>
      <c r="CK3" t="s">
        <v>274</v>
      </c>
      <c r="CL3" t="s">
        <v>275</v>
      </c>
      <c r="CM3" t="s">
        <v>341</v>
      </c>
      <c r="CO3" t="s">
        <v>272</v>
      </c>
      <c r="CP3" t="s">
        <v>273</v>
      </c>
      <c r="CQ3" t="s">
        <v>274</v>
      </c>
      <c r="CR3" t="s">
        <v>275</v>
      </c>
      <c r="CS3" t="s">
        <v>341</v>
      </c>
      <c r="CU3" t="s">
        <v>272</v>
      </c>
      <c r="CV3" t="s">
        <v>273</v>
      </c>
      <c r="CW3" t="s">
        <v>274</v>
      </c>
      <c r="CX3" t="s">
        <v>275</v>
      </c>
      <c r="CY3" t="s">
        <v>341</v>
      </c>
      <c r="DA3" t="s">
        <v>272</v>
      </c>
      <c r="DB3" t="s">
        <v>273</v>
      </c>
      <c r="DC3" t="s">
        <v>274</v>
      </c>
      <c r="DD3" t="s">
        <v>275</v>
      </c>
      <c r="DE3" t="s">
        <v>341</v>
      </c>
      <c r="DH3" s="308" t="s">
        <v>347</v>
      </c>
      <c r="DI3" t="s">
        <v>704</v>
      </c>
      <c r="DJ3" t="s">
        <v>729</v>
      </c>
      <c r="DM3" s="308" t="s">
        <v>348</v>
      </c>
      <c r="DN3" t="s">
        <v>704</v>
      </c>
      <c r="DO3" t="s">
        <v>729</v>
      </c>
      <c r="DR3" s="405" t="s">
        <v>349</v>
      </c>
      <c r="DS3" s="405" t="s">
        <v>350</v>
      </c>
      <c r="DT3" s="406" t="s">
        <v>351</v>
      </c>
      <c r="DV3" s="407" t="s">
        <v>352</v>
      </c>
      <c r="DW3" s="407" t="s">
        <v>353</v>
      </c>
      <c r="DX3" s="406" t="s">
        <v>351</v>
      </c>
    </row>
    <row r="4" spans="1:130">
      <c r="A4" t="s">
        <v>338</v>
      </c>
      <c r="B4" s="305">
        <f>OBR_MAR24_T4.12!D11</f>
        <v>-10.148123467871983</v>
      </c>
      <c r="C4" s="305">
        <f>OBR_MAR24_T4.12!E11</f>
        <v>-10.012101453586638</v>
      </c>
      <c r="D4" s="305">
        <f>OBR_MAR24_T4.12!F11</f>
        <v>-9.7218449525530559</v>
      </c>
      <c r="E4" s="305">
        <f>OBR_MAR24_T4.12!G11</f>
        <v>-6.1712920293787192</v>
      </c>
      <c r="F4" s="305">
        <f>OBR_MAR24_T4.12!H11</f>
        <v>-3.6160179183864334</v>
      </c>
      <c r="G4" s="305">
        <f>OBR_MAR24_T4.12!I11</f>
        <v>-0.77357379396971826</v>
      </c>
      <c r="I4" t="s">
        <v>300</v>
      </c>
      <c r="J4" s="305">
        <f>-SUM(OBR_MAR24_T3.8!C8:C9)</f>
        <v>2.99</v>
      </c>
      <c r="K4" s="305">
        <f>-SUM(OBR_MAR24_T3.8!D8:D9)</f>
        <v>13.99</v>
      </c>
      <c r="L4" s="305">
        <f>-SUM(OBR_MAR24_T3.8!E8:E9)</f>
        <v>24.045000000000002</v>
      </c>
      <c r="M4" s="305">
        <f>-SUM(OBR_MAR24_T3.8!F8:F9)</f>
        <v>27.860000000000003</v>
      </c>
      <c r="N4" s="305">
        <f>-SUM(OBR_MAR24_T3.8!G8:G9)</f>
        <v>30.204999999999998</v>
      </c>
      <c r="O4" s="305">
        <f>-SUM(OBR_MAR24_T3.8!H8:H9)</f>
        <v>33.160000000000004</v>
      </c>
      <c r="P4" s="305">
        <f>-SUM(OBR_MAR24_T3.8!I8:I9)</f>
        <v>34.555</v>
      </c>
      <c r="R4" t="s">
        <v>207</v>
      </c>
      <c r="S4" s="304">
        <f t="shared" ref="S4:S11" si="0">100*(AG4/AG$9)</f>
        <v>90.373881464959254</v>
      </c>
      <c r="X4">
        <v>100</v>
      </c>
      <c r="Z4" s="304">
        <f t="shared" ref="Z4:Z11" si="1">100*(AM4/AM$9)</f>
        <v>71.91128841291254</v>
      </c>
      <c r="AE4">
        <v>100</v>
      </c>
      <c r="AG4" s="304">
        <f>100*(AS4/CU4)</f>
        <v>5.3545790892484337</v>
      </c>
      <c r="AM4" s="304">
        <f>100*(AY4/CU4)</f>
        <v>0.96439590169826916</v>
      </c>
      <c r="AS4" s="304">
        <f t="shared" ref="AS4:AS11" si="2">CI4/($BF4/1000)</f>
        <v>4.7966917773466644</v>
      </c>
      <c r="AT4" s="304"/>
      <c r="AU4" s="304"/>
      <c r="AV4" s="304"/>
      <c r="AW4" s="304"/>
      <c r="AY4" s="304">
        <f>CO4/($BF4/1000)</f>
        <v>0.86391662438442018</v>
      </c>
      <c r="AZ4" s="304"/>
      <c r="BA4" s="304"/>
      <c r="BB4" s="304"/>
      <c r="BC4" s="304"/>
      <c r="BE4">
        <v>202001</v>
      </c>
      <c r="BF4" s="309">
        <f>VLOOKUP(BE4,Data!$A$7:$C$318,3,FALSE)</f>
        <v>67010</v>
      </c>
      <c r="BH4" t="s">
        <v>207</v>
      </c>
      <c r="BI4" s="304">
        <f t="shared" ref="BI4:BI11" si="3">100*(BW4/BW$9)</f>
        <v>87.201558768077348</v>
      </c>
      <c r="BN4">
        <v>100</v>
      </c>
      <c r="BP4" s="304">
        <f t="shared" ref="BP4:BP11" si="4">100*(CC4/CC$9)</f>
        <v>69.387043479571332</v>
      </c>
      <c r="BU4">
        <v>100</v>
      </c>
      <c r="BW4" s="304">
        <f>100*(CI4/CU4)</f>
        <v>358.8103447705376</v>
      </c>
      <c r="CC4" s="304">
        <f t="shared" ref="CC4:CC11" si="5">100*(CO4/CU4)</f>
        <v>64.62416937280102</v>
      </c>
      <c r="CI4" s="304">
        <f t="array" ref="CI4:CI11">TRANSPOSE(OBR_MAR22_T3.16!C8:J8)</f>
        <v>321.42631599999999</v>
      </c>
      <c r="CJ4" s="304"/>
      <c r="CK4" s="304"/>
      <c r="CL4" s="304"/>
      <c r="CM4" s="304"/>
      <c r="CO4" s="304">
        <f t="array" ref="CO4:CO11">TRANSPOSE(OBR_MAR22_T3.16!C31:J31)</f>
        <v>57.891052999999999</v>
      </c>
      <c r="CP4" s="304"/>
      <c r="CQ4" s="304"/>
      <c r="CR4" s="304"/>
      <c r="CS4" s="304"/>
      <c r="CU4" s="305">
        <f t="shared" ref="CU4:CU11" si="6">100*(DA4/DA$8)</f>
        <v>89.581117346422943</v>
      </c>
      <c r="CV4" s="305">
        <f t="shared" ref="CV4:CV11" si="7">100*(DB4/DB$8)</f>
        <v>87.221868609683568</v>
      </c>
      <c r="CW4" s="305">
        <f t="shared" ref="CW4:CW11" si="8">100*(DC4/DC$8)</f>
        <v>87.485684353999744</v>
      </c>
      <c r="CX4" s="305">
        <f t="shared" ref="CX4:CY11" si="9">100*(DD4/DD$8)</f>
        <v>84.464903481975981</v>
      </c>
      <c r="CY4" s="305">
        <f t="shared" si="9"/>
        <v>84.011728168908775</v>
      </c>
      <c r="DA4" s="305">
        <f>OBR_MAR22_1.2!X112</f>
        <v>100.74871125117286</v>
      </c>
      <c r="DB4" s="305">
        <f>OBR_NOV22_1.2!X117</f>
        <v>100.88484132881088</v>
      </c>
      <c r="DC4" s="305">
        <f>OBR_MAR23_1.2!X117</f>
        <v>100.88484132881088</v>
      </c>
      <c r="DD4" s="305">
        <f>OBR_NOV23_1.2!X122</f>
        <v>100.73409318654167</v>
      </c>
      <c r="DE4" s="305">
        <f>OBR_MAR24_1.2!X122</f>
        <v>100.73409318654167</v>
      </c>
      <c r="DG4">
        <v>2</v>
      </c>
      <c r="DH4" s="408">
        <f t="array" ref="DH4:DH9">TRANSPOSE(HAVERD!B318:G318)</f>
        <v>4.8863636363636367</v>
      </c>
      <c r="DI4" s="408">
        <f t="array" ref="DI4:DI9">TRANSPOSE(HAVERD!B319:G319)</f>
        <v>4.2618181818181817</v>
      </c>
      <c r="DJ4" s="408">
        <f t="array" ref="DJ4:DJ9">TRANSPOSE(HAVERD!B321:G321)</f>
        <v>4.3579999999999997</v>
      </c>
      <c r="DL4">
        <v>2024</v>
      </c>
      <c r="DM4" s="408">
        <f t="array" ref="DM4:DM8">TRANSPOSE(HAVERD!H318:L318)</f>
        <v>5.1774545727272727</v>
      </c>
      <c r="DN4" s="408">
        <f t="array" ref="DN4:DN8">TRANSPOSE(HAVERD!H319:L319)</f>
        <v>4.049015236363636</v>
      </c>
      <c r="DO4" s="408">
        <f t="array" ref="DO4:DO8">TRANSPOSE(HAVERD!H321:L321)</f>
        <v>4.4681171999999991</v>
      </c>
      <c r="DQ4" s="409" t="s">
        <v>354</v>
      </c>
      <c r="DR4" s="408">
        <v>3.1333693188172824</v>
      </c>
      <c r="DS4" s="408">
        <f>DR4</f>
        <v>3.1333693188172824</v>
      </c>
      <c r="DT4" s="309"/>
      <c r="DV4" s="408">
        <v>2.3091499999999998</v>
      </c>
      <c r="DW4" s="408">
        <f>AVERAGE([2]CSV!AG207:AG210)</f>
        <v>2.3120337499999999</v>
      </c>
      <c r="DX4" s="309"/>
    </row>
    <row r="5" spans="1:130">
      <c r="A5" t="s">
        <v>343</v>
      </c>
      <c r="B5" s="305">
        <f>OBR_MAR24_T4.12!D21</f>
        <v>0</v>
      </c>
      <c r="C5" s="305">
        <f>OBR_MAR24_T4.12!E21</f>
        <v>10.196025083915764</v>
      </c>
      <c r="D5" s="305">
        <f>OBR_MAR24_T4.12!F21</f>
        <v>10.329817178060013</v>
      </c>
      <c r="E5" s="305">
        <f>OBR_MAR24_T4.12!G21</f>
        <v>10.465234281795142</v>
      </c>
      <c r="F5" s="305">
        <f>OBR_MAR24_T4.12!H21</f>
        <v>10.705217427659159</v>
      </c>
      <c r="G5" s="305">
        <f>OBR_MAR24_T4.12!I21</f>
        <v>11.03729447135496</v>
      </c>
      <c r="I5" t="s">
        <v>301</v>
      </c>
      <c r="J5" s="305">
        <f>-SUM(OBR_MAR24_T3.8!C10:C12)</f>
        <v>-6.72</v>
      </c>
      <c r="K5" s="305">
        <f>-SUM(OBR_MAR24_T3.8!D10:D12)</f>
        <v>-2.12</v>
      </c>
      <c r="L5" s="305">
        <f>-SUM(OBR_MAR24_T3.8!E10:E12)</f>
        <v>2.6599999999999997</v>
      </c>
      <c r="M5" s="305">
        <f>-SUM(OBR_MAR24_T3.8!F10:F12)</f>
        <v>4.1050000000000004</v>
      </c>
      <c r="N5" s="305">
        <f>-SUM(OBR_MAR24_T3.8!G10:G12)</f>
        <v>5.1449999999999996</v>
      </c>
      <c r="O5" s="305">
        <f>-SUM(OBR_MAR24_T3.8!H10:H12)</f>
        <v>6.34</v>
      </c>
      <c r="P5" s="305">
        <f>-SUM(OBR_MAR24_T3.8!I10:I12)</f>
        <v>6.5699999999999994</v>
      </c>
      <c r="R5" t="s">
        <v>208</v>
      </c>
      <c r="S5" s="304">
        <f t="shared" si="0"/>
        <v>115.53142504410374</v>
      </c>
      <c r="X5">
        <v>100</v>
      </c>
      <c r="Z5" s="304">
        <f t="shared" si="1"/>
        <v>85.311714218781333</v>
      </c>
      <c r="AE5">
        <v>100</v>
      </c>
      <c r="AG5" s="304">
        <f t="shared" ref="AG5:AG11" si="10">100*(AS5/CU5)</f>
        <v>6.8451431172853798</v>
      </c>
      <c r="AM5" s="304">
        <f t="shared" ref="AM5:AO11" si="11">100*(AY5/CU5)</f>
        <v>1.1441078219462597</v>
      </c>
      <c r="AS5" s="304">
        <f t="shared" si="2"/>
        <v>6.4814935019894913</v>
      </c>
      <c r="AT5" s="304"/>
      <c r="AU5" s="304"/>
      <c r="AV5" s="304"/>
      <c r="AW5" s="304"/>
      <c r="AY5" s="304">
        <f t="shared" ref="AY5:AY11" si="12">CO5/($BF5/1000)</f>
        <v>1.0833268620482626</v>
      </c>
      <c r="AZ5" s="304"/>
      <c r="BA5" s="304"/>
      <c r="BB5" s="304"/>
      <c r="BC5" s="304"/>
      <c r="BE5">
        <f>+BE4+100</f>
        <v>202101</v>
      </c>
      <c r="BF5" s="309">
        <f>VLOOKUP(BE5,Data!$A$7:$C$318,3,FALSE)</f>
        <v>67039.75</v>
      </c>
      <c r="BH5" t="s">
        <v>208</v>
      </c>
      <c r="BI5" s="304">
        <f t="shared" si="3"/>
        <v>111.52550833670325</v>
      </c>
      <c r="BN5">
        <v>100</v>
      </c>
      <c r="BP5" s="304">
        <f t="shared" si="4"/>
        <v>82.353630552839121</v>
      </c>
      <c r="BU5">
        <v>100</v>
      </c>
      <c r="BW5" s="304">
        <f t="shared" ref="BW5:BW11" si="13">100*(CI5/CU5)</f>
        <v>458.8966832970325</v>
      </c>
      <c r="CC5" s="304">
        <f t="shared" si="5"/>
        <v>76.700702356321742</v>
      </c>
      <c r="CI5" s="304">
        <v>434.51770399999998</v>
      </c>
      <c r="CJ5" s="304"/>
      <c r="CK5" s="304"/>
      <c r="CL5" s="304"/>
      <c r="CM5" s="304"/>
      <c r="CO5" s="304">
        <v>72.625962000000001</v>
      </c>
      <c r="CP5" s="304"/>
      <c r="CQ5" s="304"/>
      <c r="CR5" s="304"/>
      <c r="CS5" s="304"/>
      <c r="CU5" s="305">
        <f t="shared" si="6"/>
        <v>94.687479734680807</v>
      </c>
      <c r="CV5" s="305">
        <f t="shared" si="7"/>
        <v>92.72464977490273</v>
      </c>
      <c r="CW5" s="305">
        <f t="shared" si="8"/>
        <v>92.87640450943843</v>
      </c>
      <c r="CX5" s="305">
        <f t="shared" si="9"/>
        <v>88.965575721851721</v>
      </c>
      <c r="CY5" s="305">
        <f t="shared" si="9"/>
        <v>88.488253177600456</v>
      </c>
      <c r="DA5" s="305">
        <f>OBR_MAR22_1.2!X113</f>
        <v>106.49165624937993</v>
      </c>
      <c r="DB5" s="305">
        <f>OBR_NOV22_1.2!X118</f>
        <v>107.24961215485887</v>
      </c>
      <c r="DC5" s="305">
        <f>OBR_MAR23_1.2!X118</f>
        <v>107.10119491334555</v>
      </c>
      <c r="DD5" s="305">
        <f>OBR_NOV23_1.2!X123</f>
        <v>106.10166146785119</v>
      </c>
      <c r="DE5" s="305">
        <f>OBR_MAR24_1.2!X123</f>
        <v>106.10166146785119</v>
      </c>
      <c r="DG5">
        <v>5</v>
      </c>
      <c r="DH5" s="408">
        <v>4.5309090909090912</v>
      </c>
      <c r="DI5" s="408">
        <v>3.7881818181818177</v>
      </c>
      <c r="DJ5" s="408">
        <v>4.0649999999999995</v>
      </c>
      <c r="DL5">
        <v>2025</v>
      </c>
      <c r="DM5" s="408">
        <v>4.5591651999999998</v>
      </c>
      <c r="DN5" s="408">
        <v>3.3800845272727269</v>
      </c>
      <c r="DO5" s="408">
        <v>3.8999436299999992</v>
      </c>
      <c r="DQ5" s="409" t="s">
        <v>355</v>
      </c>
      <c r="DR5" s="408">
        <v>4.2044263957871921</v>
      </c>
      <c r="DS5" s="408">
        <f>DR5+0.05</f>
        <v>4.254426395787192</v>
      </c>
      <c r="DT5" s="309">
        <f>'OBR RR Oct23 - Debt interest'!C8*(DS5-DR5)</f>
        <v>55.397924026779123</v>
      </c>
      <c r="DV5" s="408">
        <v>5.0075041269380369</v>
      </c>
      <c r="DW5" s="408">
        <f>DV5</f>
        <v>5.0075041269380369</v>
      </c>
      <c r="DX5" s="309">
        <f>'OBR RR Oct23 - Debt interest'!C13*(DW5-DV5)</f>
        <v>0</v>
      </c>
    </row>
    <row r="6" spans="1:130">
      <c r="A6" t="s">
        <v>342</v>
      </c>
      <c r="B6" s="305">
        <f>OBR_MAR24_T4.12!D22+OBR_MAR24_T4.12!D23</f>
        <v>0.18808677794536421</v>
      </c>
      <c r="C6" s="305">
        <f>OBR_MAR24_T4.12!E22+OBR_MAR24_T4.12!E23</f>
        <v>3.3254113671200738</v>
      </c>
      <c r="D6" s="305">
        <f>OBR_MAR24_T4.12!F22+OBR_MAR24_T4.12!F23</f>
        <v>-8.4666270601900406E-2</v>
      </c>
      <c r="E6" s="305">
        <f>OBR_MAR24_T4.12!G22+OBR_MAR24_T4.12!G23</f>
        <v>-3.2535557535597071</v>
      </c>
      <c r="F6" s="305">
        <f>OBR_MAR24_T4.12!H22+OBR_MAR24_T4.12!H23</f>
        <v>-5.1248695456834152</v>
      </c>
      <c r="G6" s="305">
        <f>OBR_MAR24_T4.12!I22+OBR_MAR24_T4.12!I23</f>
        <v>-5.1179031420984682</v>
      </c>
      <c r="I6" t="s">
        <v>751</v>
      </c>
      <c r="J6" s="305">
        <f>-OBR_MAR24_T3.8!C15</f>
        <v>0</v>
      </c>
      <c r="K6" s="305">
        <f>-OBR_MAR24_T3.8!D15</f>
        <v>-2.3828954716488235</v>
      </c>
      <c r="L6" s="305">
        <f>-OBR_MAR24_T3.8!E15</f>
        <v>-9.9944841571305911</v>
      </c>
      <c r="M6" s="305">
        <f>-OBR_MAR24_T3.8!F15</f>
        <v>-10.141011955626647</v>
      </c>
      <c r="N6" s="305">
        <f>-OBR_MAR24_T3.8!G15</f>
        <v>-10.171629952187908</v>
      </c>
      <c r="O6" s="305">
        <f>-OBR_MAR24_T3.8!H15</f>
        <v>-10.385802841118339</v>
      </c>
      <c r="P6" s="305">
        <f>-OBR_MAR24_T3.8!I15</f>
        <v>-10.668159520849654</v>
      </c>
      <c r="R6" t="s">
        <v>33</v>
      </c>
      <c r="S6" s="304">
        <f t="shared" si="0"/>
        <v>107.90584773607539</v>
      </c>
      <c r="T6" s="304">
        <f t="shared" ref="T6:T12" si="14">100*(AH6/AH$9)</f>
        <v>110.60751261720418</v>
      </c>
      <c r="U6" s="304">
        <f t="shared" ref="U6:U12" si="15">100*(AI6/AI$9)</f>
        <v>109.75831194795408</v>
      </c>
      <c r="X6">
        <v>100</v>
      </c>
      <c r="Z6" s="304">
        <f t="shared" si="1"/>
        <v>81.457187897331522</v>
      </c>
      <c r="AA6" s="304">
        <f t="shared" ref="AA6:AA12" si="16">100*(AN6/AN$9)</f>
        <v>91.691086344302136</v>
      </c>
      <c r="AB6" s="304">
        <f t="shared" ref="AB6:AB12" si="17">100*(AO6/AO$9)</f>
        <v>89.933661774195969</v>
      </c>
      <c r="AE6">
        <v>100</v>
      </c>
      <c r="AG6" s="304">
        <f t="shared" si="10"/>
        <v>6.3933338540874978</v>
      </c>
      <c r="AH6" s="304">
        <f t="shared" ref="AH6" si="18">100*(AT6/CV6)</f>
        <v>6.6337118979612359</v>
      </c>
      <c r="AI6" s="304">
        <f t="shared" ref="AI6" si="19">100*(AU6/CW6)</f>
        <v>6.6388806378340837</v>
      </c>
      <c r="AM6" s="304">
        <f t="shared" si="11"/>
        <v>1.0924151118108256</v>
      </c>
      <c r="AN6" s="304">
        <f t="shared" si="11"/>
        <v>1.2343479588270418</v>
      </c>
      <c r="AO6" s="304">
        <f t="shared" si="11"/>
        <v>1.2353097165291993</v>
      </c>
      <c r="AS6" s="304">
        <f t="shared" si="2"/>
        <v>6.0001555711406294</v>
      </c>
      <c r="AT6" s="304">
        <f>CJ6/($BF6/1000)</f>
        <v>6.1295228885049049</v>
      </c>
      <c r="AU6" s="304">
        <f>CK6/($BF6/1000)</f>
        <v>6.1295228885049049</v>
      </c>
      <c r="AV6" s="304"/>
      <c r="AW6" s="304"/>
      <c r="AY6" s="304">
        <f t="shared" si="12"/>
        <v>1.0252335899742353</v>
      </c>
      <c r="AZ6" s="304">
        <f t="shared" ref="AZ6" si="20">CP6/($BF6/1000)</f>
        <v>1.1405325076500441</v>
      </c>
      <c r="BA6" s="304">
        <f t="shared" ref="BA6" si="21">CQ6/($BF6/1000)</f>
        <v>1.1405325076500441</v>
      </c>
      <c r="BB6" s="304"/>
      <c r="BC6" s="304"/>
      <c r="BE6">
        <f t="shared" ref="BE6:BE13" si="22">+BE5+100</f>
        <v>202201</v>
      </c>
      <c r="BF6" s="309">
        <f>VLOOKUP(BE6,Data!$A$7:$C$318,3,FALSE)</f>
        <v>67502.880000000005</v>
      </c>
      <c r="BH6" t="s">
        <v>33</v>
      </c>
      <c r="BI6" s="304">
        <f t="shared" si="3"/>
        <v>104.88393638883677</v>
      </c>
      <c r="BJ6" s="304">
        <f t="shared" ref="BJ6:BK12" si="23">100*(BX6/BX$9)</f>
        <v>107.50994094263389</v>
      </c>
      <c r="BK6" s="304">
        <f t="shared" si="23"/>
        <v>106.6845222017253</v>
      </c>
      <c r="BN6">
        <v>100</v>
      </c>
      <c r="BP6" s="304">
        <f t="shared" si="4"/>
        <v>79.175973249695758</v>
      </c>
      <c r="BQ6" s="304">
        <f t="shared" ref="BQ6:BR12" si="24">100*(CD6/CD$9)</f>
        <v>89.123270604211839</v>
      </c>
      <c r="BR6" s="304">
        <f t="shared" si="24"/>
        <v>87.415062840810251</v>
      </c>
      <c r="BU6">
        <v>100</v>
      </c>
      <c r="BW6" s="304">
        <f t="shared" si="13"/>
        <v>431.5684479524059</v>
      </c>
      <c r="BX6" s="304">
        <f t="shared" ref="BX6" si="25">100*(CJ6/CV6)</f>
        <v>447.79465820264966</v>
      </c>
      <c r="BY6" s="304">
        <f t="shared" ref="BY6" si="26">100*(CK6/CW6)</f>
        <v>448.14356303003768</v>
      </c>
      <c r="CC6" s="304">
        <f t="shared" si="5"/>
        <v>73.741166202752751</v>
      </c>
      <c r="CD6" s="304">
        <f t="shared" ref="CD6:CE12" si="27">100*(CP6/CV6)</f>
        <v>83.322042142946756</v>
      </c>
      <c r="CE6" s="304">
        <f t="shared" si="27"/>
        <v>83.386963557704547</v>
      </c>
      <c r="CI6" s="304">
        <v>405.02778150003741</v>
      </c>
      <c r="CJ6" s="304">
        <f t="array" ref="CJ6:CJ12">TRANSPOSE(OBR_NOV22_TA.8!C8:I8)</f>
        <v>413.760448</v>
      </c>
      <c r="CK6" s="304">
        <f t="array" ref="CK6:CK12">TRANSPOSE(OBR_MAR23_TA.7!D8:J8)</f>
        <v>413.760448</v>
      </c>
      <c r="CL6" s="304"/>
      <c r="CM6" s="304"/>
      <c r="CO6" s="304">
        <v>69.206219996000016</v>
      </c>
      <c r="CP6" s="304">
        <f t="array" ref="CP6:CP12">TRANSPOSE(OBR_NOV22_TA.8!C30:I30)</f>
        <v>76.989229000000009</v>
      </c>
      <c r="CQ6" s="304">
        <f t="array" ref="CQ6:CQ12">TRANSPOSE(OBR_MAR23_TA.7!D32:J32)</f>
        <v>76.989229000000009</v>
      </c>
      <c r="CR6" s="304"/>
      <c r="CS6" s="304"/>
      <c r="CU6" s="305">
        <f t="shared" si="6"/>
        <v>93.850183770780333</v>
      </c>
      <c r="CV6" s="305">
        <f t="shared" si="7"/>
        <v>92.399594416946471</v>
      </c>
      <c r="CW6" s="305">
        <f t="shared" si="8"/>
        <v>92.327656165010438</v>
      </c>
      <c r="CX6" s="305">
        <f t="shared" si="9"/>
        <v>88.374123820696468</v>
      </c>
      <c r="CY6" s="305">
        <f t="shared" si="9"/>
        <v>87.880815173083136</v>
      </c>
      <c r="DA6" s="305">
        <f>OBR_MAR22_1.2!X114</f>
        <v>105.54997912145841</v>
      </c>
      <c r="DB6" s="305">
        <f>OBR_NOV22_1.2!X119</f>
        <v>106.87363811608601</v>
      </c>
      <c r="DC6" s="305">
        <f>OBR_MAR23_1.2!X119</f>
        <v>106.46840121611554</v>
      </c>
      <c r="DD6" s="305">
        <f>OBR_NOV23_1.2!X124</f>
        <v>105.39628718255358</v>
      </c>
      <c r="DE6" s="305">
        <f>OBR_MAR24_1.2!X124</f>
        <v>105.37331415390152</v>
      </c>
      <c r="DG6">
        <v>10</v>
      </c>
      <c r="DH6" s="408">
        <v>4.4927272727272731</v>
      </c>
      <c r="DI6" s="408">
        <v>3.8763636363636365</v>
      </c>
      <c r="DJ6" s="408">
        <v>4.12</v>
      </c>
      <c r="DL6">
        <v>2026</v>
      </c>
      <c r="DM6" s="408">
        <v>4.2005258545454547</v>
      </c>
      <c r="DN6" s="408">
        <v>3.2100344727272727</v>
      </c>
      <c r="DO6" s="408">
        <v>3.6148365999999994</v>
      </c>
      <c r="DQ6" s="409" t="s">
        <v>356</v>
      </c>
      <c r="DR6" s="408">
        <v>3.871334315509027</v>
      </c>
      <c r="DS6" s="408">
        <f t="shared" ref="DS6:DS10" si="28">DR6+0.05</f>
        <v>3.9213343155090268</v>
      </c>
      <c r="DT6" s="309">
        <f>'OBR RR Oct23 - Debt interest'!D9*(DS6-DR6)+'OBR RR Oct23 - Debt interest'!D8*(DS5-DR5)</f>
        <v>167.11495875071532</v>
      </c>
      <c r="DV6" s="408">
        <v>4.366559353647788</v>
      </c>
      <c r="DW6" s="408">
        <f>DV6+(DO4-DN4)</f>
        <v>4.7856613172841511</v>
      </c>
      <c r="DX6" s="309">
        <f>'OBR RR Oct23 - Debt interest'!D14*(DW6-DV6)+'OBR RR Oct23 - Debt interest'!D13*(DW5-DV5)</f>
        <v>4172.2538653860802</v>
      </c>
      <c r="DZ6" s="309">
        <f>DX6+DT6</f>
        <v>4339.3688241367954</v>
      </c>
    </row>
    <row r="7" spans="1:130">
      <c r="A7" t="s">
        <v>740</v>
      </c>
      <c r="B7" s="305">
        <f>OBR_MAR24_T4.12!D24</f>
        <v>-0.13021464578321876</v>
      </c>
      <c r="C7" s="305">
        <f>OBR_MAR24_T4.12!E24</f>
        <v>0.37810020468203287</v>
      </c>
      <c r="D7" s="305">
        <f>OBR_MAR24_T4.12!F24</f>
        <v>-0.12885230289526847</v>
      </c>
      <c r="E7" s="305">
        <f>OBR_MAR24_T4.12!G24</f>
        <v>0.47131557937882268</v>
      </c>
      <c r="F7" s="305">
        <f>OBR_MAR24_T4.12!H24</f>
        <v>0.75811389645006133</v>
      </c>
      <c r="G7" s="305">
        <f>OBR_MAR24_T4.12!I24</f>
        <v>1.7641507534377241E-2</v>
      </c>
      <c r="I7" t="s">
        <v>752</v>
      </c>
      <c r="J7" s="305">
        <f>-OBR_MAR24_T3.8!C16</f>
        <v>0</v>
      </c>
      <c r="K7" s="305">
        <f>-OBR_MAR24_T3.8!D16</f>
        <v>0</v>
      </c>
      <c r="L7" s="305">
        <f>-OBR_MAR24_T3.8!E16</f>
        <v>-10.070956860444449</v>
      </c>
      <c r="M7" s="305">
        <f>-OBR_MAR24_T3.8!F16</f>
        <v>-10.145467281084677</v>
      </c>
      <c r="N7" s="305">
        <f>-OBR_MAR24_T3.8!G16</f>
        <v>-10.226379242535355</v>
      </c>
      <c r="O7" s="305">
        <f>-OBR_MAR24_T3.8!H16</f>
        <v>-10.4463302223862</v>
      </c>
      <c r="P7" s="305">
        <f>-OBR_MAR24_T3.8!I16</f>
        <v>-10.74914877038842</v>
      </c>
      <c r="R7" t="s">
        <v>5</v>
      </c>
      <c r="S7" s="304">
        <f t="shared" si="0"/>
        <v>103.17708154289062</v>
      </c>
      <c r="T7" s="304">
        <f t="shared" si="14"/>
        <v>104.89353401106595</v>
      </c>
      <c r="U7" s="304">
        <f t="shared" si="15"/>
        <v>103.31982671040359</v>
      </c>
      <c r="V7" s="304">
        <f t="shared" ref="V7:V13" si="29">100*(AJ7/AJ$9)</f>
        <v>103.83786590295678</v>
      </c>
      <c r="W7" s="304">
        <f t="shared" ref="W7:W13" si="30">100*(AK7/AK$9)</f>
        <v>103.61763282244772</v>
      </c>
      <c r="X7">
        <v>100</v>
      </c>
      <c r="Z7" s="304">
        <f t="shared" si="1"/>
        <v>96.315408406731066</v>
      </c>
      <c r="AA7" s="304">
        <f t="shared" si="16"/>
        <v>99.895825687570124</v>
      </c>
      <c r="AB7" s="304">
        <f t="shared" si="17"/>
        <v>94.520759295155173</v>
      </c>
      <c r="AC7" s="304">
        <f t="shared" ref="AC7:AC13" si="31">100*(AP7/AP$9)</f>
        <v>99.455562938573934</v>
      </c>
      <c r="AD7" s="304">
        <f t="shared" ref="AD7:AD13" si="32">100*(AQ7/AQ$9)</f>
        <v>99.024218862999945</v>
      </c>
      <c r="AE7">
        <v>100</v>
      </c>
      <c r="AG7" s="304">
        <f t="shared" si="10"/>
        <v>6.113158297106585</v>
      </c>
      <c r="AH7" s="304">
        <f t="shared" ref="AH7:AH12" si="33">100*(AT7/CV7)</f>
        <v>6.2910146709164669</v>
      </c>
      <c r="AI7" s="304">
        <f t="shared" ref="AI7:AI12" si="34">100*(AU7/CW7)</f>
        <v>6.2494401096231229</v>
      </c>
      <c r="AJ7" s="304">
        <f t="shared" ref="AJ7" si="35">100*(AV7/CX7)</f>
        <v>6.40370042480449</v>
      </c>
      <c r="AK7" s="304">
        <f t="shared" ref="AK7" si="36">100*(AW7/CY7)</f>
        <v>6.3681662227939047</v>
      </c>
      <c r="AL7" s="304"/>
      <c r="AM7" s="304">
        <f t="shared" si="11"/>
        <v>1.2916773873455953</v>
      </c>
      <c r="AN7" s="304">
        <f t="shared" ref="AN7:AN12" si="37">100*(AZ7/CV7)</f>
        <v>1.3448003884453557</v>
      </c>
      <c r="AO7" s="304">
        <f t="shared" ref="AO7:AO12" si="38">100*(BA7/CW7)</f>
        <v>1.2983171158335358</v>
      </c>
      <c r="AP7" s="304">
        <f t="shared" ref="AP7" si="39">100*(BB7/CX7)</f>
        <v>1.3972027075321469</v>
      </c>
      <c r="AQ7" s="304">
        <f t="shared" ref="AQ7" si="40">100*(BC7/CY7)</f>
        <v>1.4033571477776858</v>
      </c>
      <c r="AR7" s="304"/>
      <c r="AS7" s="304">
        <f t="shared" si="2"/>
        <v>5.9692920911369258</v>
      </c>
      <c r="AT7" s="304">
        <f t="shared" ref="AT7:AT12" si="41">CJ7/($BF7/1000)</f>
        <v>6.0939634920256553</v>
      </c>
      <c r="AU7" s="304">
        <f t="shared" ref="AU7:AU12" si="42">CK7/($BF7/1000)</f>
        <v>6.093960299978793</v>
      </c>
      <c r="AV7" s="304">
        <f t="shared" ref="AV7" si="43">CL7/($BF7/1000)</f>
        <v>6.0361902616264587</v>
      </c>
      <c r="AW7" s="304">
        <f t="shared" ref="AW7" si="44">CM7/($BF7/1000)</f>
        <v>5.9763704821136177</v>
      </c>
      <c r="AY7" s="304">
        <f t="shared" si="12"/>
        <v>1.2612792337198062</v>
      </c>
      <c r="AZ7" s="304">
        <f t="shared" ref="AZ7:AZ12" si="45">CP7/($BF7/1000)</f>
        <v>1.3026776919046756</v>
      </c>
      <c r="BA7" s="304">
        <f t="shared" ref="BA7:BA12" si="46">CQ7/($BF7/1000)</f>
        <v>1.2660162865613362</v>
      </c>
      <c r="BB7" s="304">
        <f t="shared" ref="BB7" si="47">CR7/($BF7/1000)</f>
        <v>1.3170168523274035</v>
      </c>
      <c r="BC7" s="304">
        <f t="shared" ref="BC7" si="48">CS7/($BF7/1000)</f>
        <v>1.3170168523274035</v>
      </c>
      <c r="BE7">
        <f t="shared" si="22"/>
        <v>202301</v>
      </c>
      <c r="BF7" s="309">
        <f>VLOOKUP(BE7,Data!$A$7:$C$318,3,FALSE)</f>
        <v>68178.12</v>
      </c>
      <c r="BH7" t="s">
        <v>5</v>
      </c>
      <c r="BI7" s="304">
        <f t="shared" si="3"/>
        <v>101.29078941888243</v>
      </c>
      <c r="BJ7" s="304">
        <f t="shared" si="23"/>
        <v>102.9758615579814</v>
      </c>
      <c r="BK7" s="304">
        <f t="shared" si="23"/>
        <v>101.43092490717989</v>
      </c>
      <c r="BL7" s="304">
        <f t="shared" ref="BL7:BM13" si="49">100*(BZ7/BZ$9)</f>
        <v>101.93949326343663</v>
      </c>
      <c r="BM7" s="304">
        <f t="shared" si="49"/>
        <v>101.72328650271676</v>
      </c>
      <c r="BN7">
        <v>100</v>
      </c>
      <c r="BP7" s="304">
        <f t="shared" si="4"/>
        <v>94.554561970861243</v>
      </c>
      <c r="BQ7" s="304">
        <f t="shared" si="24"/>
        <v>98.069521760399738</v>
      </c>
      <c r="BR7" s="304">
        <f t="shared" si="24"/>
        <v>92.792722786004575</v>
      </c>
      <c r="BS7" s="304">
        <f t="shared" ref="BS7:BT13" si="50">100*(CF7/CF$9)</f>
        <v>97.637307932186232</v>
      </c>
      <c r="BT7" s="304">
        <f t="shared" si="50"/>
        <v>97.213849725453699</v>
      </c>
      <c r="BU7">
        <v>100</v>
      </c>
      <c r="BW7" s="304">
        <f t="shared" si="13"/>
        <v>416.78363995912838</v>
      </c>
      <c r="BX7" s="304">
        <f t="shared" ref="BX7:BX12" si="51">100*(CJ7/CV7)</f>
        <v>428.90955315550332</v>
      </c>
      <c r="BY7" s="304">
        <f t="shared" ref="BY7:CA12" si="52">100*(CK7/CW7)</f>
        <v>426.0750777266984</v>
      </c>
      <c r="BZ7" s="304">
        <f t="shared" si="52"/>
        <v>436.59225600637149</v>
      </c>
      <c r="CA7" s="304">
        <f t="shared" si="52"/>
        <v>434.16960091758955</v>
      </c>
      <c r="CC7" s="304">
        <f t="shared" si="5"/>
        <v>88.064135915734468</v>
      </c>
      <c r="CD7" s="304">
        <f t="shared" si="27"/>
        <v>91.685962259474067</v>
      </c>
      <c r="CE7" s="304">
        <f t="shared" si="27"/>
        <v>88.516820121352708</v>
      </c>
      <c r="CF7" s="304">
        <f t="shared" ref="CF7:CG13" si="53">100*(CR7/CX7)</f>
        <v>95.258653858451623</v>
      </c>
      <c r="CG7" s="304">
        <f t="shared" si="53"/>
        <v>95.678252024044781</v>
      </c>
      <c r="CI7" s="304">
        <v>406.97511250458422</v>
      </c>
      <c r="CJ7" s="304">
        <v>415.47497423494411</v>
      </c>
      <c r="CK7" s="304">
        <v>415.4747566071901</v>
      </c>
      <c r="CL7" s="304">
        <f t="array" ref="CL7:CL13">TRANSPOSE(OBR_NOV23_TA.7!C8:I8)</f>
        <v>411.53610400000002</v>
      </c>
      <c r="CM7" s="304">
        <f t="array" ref="CM7:CM13">TRANSPOSE(OBR_MAR24_TA.7!C8:I8)</f>
        <v>407.45770389400002</v>
      </c>
      <c r="CO7" s="304">
        <v>85.991646950056989</v>
      </c>
      <c r="CP7" s="304">
        <v>88.814115999999999</v>
      </c>
      <c r="CQ7" s="304">
        <v>86.314610307133165</v>
      </c>
      <c r="CR7" s="304">
        <f t="array" ref="CR7:CR13">TRANSPOSE(OBR_NOV23_TA.7!C32:I32)</f>
        <v>89.791732999999994</v>
      </c>
      <c r="CS7" s="304">
        <f t="array" ref="CS7:CS13">TRANSPOSE(OBR_MAR24_TA.7!C32:I32)</f>
        <v>89.791732999999994</v>
      </c>
      <c r="CU7" s="305">
        <f t="shared" si="6"/>
        <v>97.646614090825153</v>
      </c>
      <c r="CV7" s="305">
        <f t="shared" si="7"/>
        <v>96.867736141169956</v>
      </c>
      <c r="CW7" s="305">
        <f t="shared" si="8"/>
        <v>97.512100173503285</v>
      </c>
      <c r="CX7" s="305">
        <f t="shared" si="9"/>
        <v>94.260971956862704</v>
      </c>
      <c r="CY7" s="305">
        <f t="shared" si="9"/>
        <v>93.847589290651484</v>
      </c>
      <c r="DA7" s="305">
        <f>OBR_MAR22_1.2!X115</f>
        <v>109.81968989789657</v>
      </c>
      <c r="DB7" s="305">
        <f>OBR_NOV22_1.2!X120</f>
        <v>112.04169718278756</v>
      </c>
      <c r="DC7" s="305">
        <f>OBR_MAR23_1.2!X120</f>
        <v>112.4468857537517</v>
      </c>
      <c r="DD7" s="305">
        <f>OBR_NOV23_1.2!X125</f>
        <v>112.41702934027273</v>
      </c>
      <c r="DE7" s="305">
        <f>OBR_MAR24_1.2!X125</f>
        <v>112.52776262297391</v>
      </c>
      <c r="DG7">
        <v>15</v>
      </c>
      <c r="DH7" s="408">
        <v>4.8027272727272727</v>
      </c>
      <c r="DI7" s="408">
        <v>4.2445454545454542</v>
      </c>
      <c r="DJ7" s="408">
        <v>4.415</v>
      </c>
      <c r="DL7">
        <v>2027</v>
      </c>
      <c r="DM7" s="408">
        <v>4.0434114272727264</v>
      </c>
      <c r="DN7" s="408">
        <v>3.1959023545454546</v>
      </c>
      <c r="DO7" s="408">
        <v>3.4910065500000003</v>
      </c>
      <c r="DQ7" s="409" t="s">
        <v>357</v>
      </c>
      <c r="DR7" s="408">
        <v>3.9037697698894998</v>
      </c>
      <c r="DS7" s="408">
        <f t="shared" si="28"/>
        <v>3.9537697698894996</v>
      </c>
      <c r="DT7" s="309">
        <f>'OBR RR Oct23 - Debt interest'!E10*(DS7-DR7)+'OBR RR Oct23 - Debt interest'!E9*(DS6-DR6)+'OBR RR Oct23 - Debt interest'!E8*(DS5-DR5)</f>
        <v>275.76327448676324</v>
      </c>
      <c r="DV7" s="408">
        <v>3.4904091828793815</v>
      </c>
      <c r="DW7" s="408">
        <f>DV7+(DO5-DN5)</f>
        <v>4.0102682856066538</v>
      </c>
      <c r="DX7" s="309">
        <f>'OBR RR Oct23 - Debt interest'!E15*(DW7-DV7)+'OBR RR Oct23 - Debt interest'!E14*(DW6-DV6)</f>
        <v>4843.9166378169566</v>
      </c>
      <c r="DZ7" s="309">
        <f>DX7+DT7</f>
        <v>5119.6799123037199</v>
      </c>
    </row>
    <row r="8" spans="1:130">
      <c r="A8" t="s">
        <v>25</v>
      </c>
      <c r="B8" s="305">
        <f>OBR_MAR24_T4.12!D25</f>
        <v>0.26529420964244854</v>
      </c>
      <c r="C8" s="305">
        <f>OBR_MAR24_T4.12!E25</f>
        <v>-1.2311794404537615</v>
      </c>
      <c r="D8" s="305">
        <f>OBR_MAR24_T4.12!F25</f>
        <v>0.2522216877268999</v>
      </c>
      <c r="E8" s="305">
        <f>OBR_MAR24_T4.12!G25</f>
        <v>-1.2566478777732133</v>
      </c>
      <c r="F8" s="305">
        <f>OBR_MAR24_T4.12!H25</f>
        <v>-1.2189022647063537</v>
      </c>
      <c r="G8" s="305">
        <f>OBR_MAR24_T4.12!I25</f>
        <v>-0.73269674933837248</v>
      </c>
      <c r="I8" t="s">
        <v>302</v>
      </c>
      <c r="J8" s="305">
        <f>SUM(J4:J7)</f>
        <v>-3.7299999999999995</v>
      </c>
      <c r="K8" s="305">
        <f t="shared" ref="K8:P8" si="54">SUM(K4:K7)</f>
        <v>9.4871045283511783</v>
      </c>
      <c r="L8" s="305">
        <f t="shared" si="54"/>
        <v>6.6395589824249637</v>
      </c>
      <c r="M8" s="305">
        <f t="shared" si="54"/>
        <v>11.678520763288681</v>
      </c>
      <c r="N8" s="305">
        <f t="shared" si="54"/>
        <v>14.951990805276733</v>
      </c>
      <c r="O8" s="305">
        <f t="shared" si="54"/>
        <v>18.667866936495457</v>
      </c>
      <c r="P8" s="305">
        <f t="shared" si="54"/>
        <v>19.707691708761924</v>
      </c>
      <c r="R8" t="s">
        <v>6</v>
      </c>
      <c r="S8" s="304">
        <f t="shared" si="0"/>
        <v>100.02575192619238</v>
      </c>
      <c r="T8" s="304">
        <f t="shared" si="14"/>
        <v>101.64063920512278</v>
      </c>
      <c r="U8" s="304">
        <f t="shared" si="15"/>
        <v>101.26212190083463</v>
      </c>
      <c r="V8" s="304">
        <f t="shared" si="29"/>
        <v>100.4556154446238</v>
      </c>
      <c r="W8" s="304">
        <f t="shared" si="30"/>
        <v>99.957753797964315</v>
      </c>
      <c r="X8">
        <v>100</v>
      </c>
      <c r="Z8" s="304">
        <f t="shared" si="1"/>
        <v>102.50842449817912</v>
      </c>
      <c r="AA8" s="304">
        <f t="shared" si="16"/>
        <v>101.90418028113272</v>
      </c>
      <c r="AB8" s="304">
        <f t="shared" si="17"/>
        <v>101.63336386585948</v>
      </c>
      <c r="AC8" s="304">
        <f t="shared" si="31"/>
        <v>99.255833606563414</v>
      </c>
      <c r="AD8" s="304">
        <f t="shared" si="32"/>
        <v>97.96507756252268</v>
      </c>
      <c r="AE8">
        <v>100</v>
      </c>
      <c r="AG8" s="304">
        <f t="shared" si="10"/>
        <v>5.9264445763349007</v>
      </c>
      <c r="AH8" s="304">
        <f t="shared" si="33"/>
        <v>6.0959215306188241</v>
      </c>
      <c r="AI8" s="304">
        <f t="shared" si="34"/>
        <v>6.1249770382057784</v>
      </c>
      <c r="AJ8" s="304">
        <f t="shared" ref="AJ8:AJ13" si="55">100*(AV8/CX8)</f>
        <v>6.1951164125226521</v>
      </c>
      <c r="AK8" s="304">
        <f t="shared" ref="AK8:AK13" si="56">100*(AW8/CY8)</f>
        <v>6.1432361858072086</v>
      </c>
      <c r="AM8" s="304">
        <f t="shared" si="11"/>
        <v>1.3747313760802973</v>
      </c>
      <c r="AN8" s="304">
        <f t="shared" si="37"/>
        <v>1.3718369139354802</v>
      </c>
      <c r="AO8" s="304">
        <f t="shared" si="38"/>
        <v>1.3960143446874154</v>
      </c>
      <c r="AP8" s="304">
        <f t="shared" ref="AP8:AP13" si="57">100*(BB8/CX8)</f>
        <v>1.3943968075380859</v>
      </c>
      <c r="AQ8" s="304">
        <f t="shared" ref="AQ8:AQ13" si="58">100*(BC8/CY8)</f>
        <v>1.3883471478847536</v>
      </c>
      <c r="AS8" s="304">
        <f t="shared" si="2"/>
        <v>5.9264445763349007</v>
      </c>
      <c r="AT8" s="304">
        <f t="shared" si="41"/>
        <v>6.0959215306188241</v>
      </c>
      <c r="AU8" s="304">
        <f t="shared" si="42"/>
        <v>6.1249770382057784</v>
      </c>
      <c r="AV8" s="304">
        <f t="shared" ref="AV8:AV13" si="59">CL8/($BF8/1000)</f>
        <v>6.1951164125226521</v>
      </c>
      <c r="AW8" s="304">
        <f t="shared" ref="AW8:AW13" si="60">CM8/($BF8/1000)</f>
        <v>6.1432361858072086</v>
      </c>
      <c r="AY8" s="304">
        <f t="shared" si="12"/>
        <v>1.3747313760802973</v>
      </c>
      <c r="AZ8" s="304">
        <f t="shared" si="45"/>
        <v>1.3718369139354802</v>
      </c>
      <c r="BA8" s="304">
        <f t="shared" si="46"/>
        <v>1.3960143446874154</v>
      </c>
      <c r="BB8" s="304">
        <f t="shared" ref="BB8:BB13" si="61">CR8/($BF8/1000)</f>
        <v>1.3943968075380859</v>
      </c>
      <c r="BC8" s="304">
        <f t="shared" ref="BC8:BC13" si="62">CS8/($BF8/1000)</f>
        <v>1.3883471478847536</v>
      </c>
      <c r="BE8">
        <f t="shared" si="22"/>
        <v>202401</v>
      </c>
      <c r="BF8" s="309">
        <f>VLOOKUP(BE8,Data!$A$7:$C$318,3,FALSE)</f>
        <v>68847.179999999993</v>
      </c>
      <c r="BH8" t="s">
        <v>6</v>
      </c>
      <c r="BI8" s="304">
        <f t="shared" si="3"/>
        <v>99.160721035360993</v>
      </c>
      <c r="BJ8" s="304">
        <f t="shared" si="23"/>
        <v>100.76164263690745</v>
      </c>
      <c r="BK8" s="304">
        <f t="shared" si="23"/>
        <v>100.38639878125251</v>
      </c>
      <c r="BL8" s="304">
        <f t="shared" si="49"/>
        <v>99.586867058896132</v>
      </c>
      <c r="BM8" s="304">
        <f t="shared" si="49"/>
        <v>99.093310960512213</v>
      </c>
      <c r="BN8">
        <v>100</v>
      </c>
      <c r="BP8" s="304">
        <f t="shared" si="4"/>
        <v>101.621923251712</v>
      </c>
      <c r="BQ8" s="304">
        <f t="shared" si="24"/>
        <v>101.02290458811845</v>
      </c>
      <c r="BR8" s="304">
        <f t="shared" si="24"/>
        <v>100.75443021537372</v>
      </c>
      <c r="BS8" s="304">
        <f t="shared" si="50"/>
        <v>98.397461032386204</v>
      </c>
      <c r="BT8" s="304">
        <f t="shared" si="50"/>
        <v>97.117867552276465</v>
      </c>
      <c r="BU8">
        <v>100</v>
      </c>
      <c r="BW8" s="304">
        <f t="shared" si="13"/>
        <v>408.01899650695265</v>
      </c>
      <c r="BX8" s="304">
        <f t="shared" si="51"/>
        <v>419.68700688438963</v>
      </c>
      <c r="BY8" s="304">
        <f t="shared" si="52"/>
        <v>421.68739664522008</v>
      </c>
      <c r="BZ8" s="304">
        <f t="shared" si="52"/>
        <v>426.51629477390128</v>
      </c>
      <c r="CA8" s="304">
        <f t="shared" si="52"/>
        <v>422.94448746678228</v>
      </c>
      <c r="CC8" s="304">
        <f t="shared" si="5"/>
        <v>94.646378500647913</v>
      </c>
      <c r="CD8" s="304">
        <f t="shared" si="27"/>
        <v>94.447102944360509</v>
      </c>
      <c r="CE8" s="304">
        <f t="shared" si="27"/>
        <v>96.111650871276524</v>
      </c>
      <c r="CF8" s="304">
        <f t="shared" si="53"/>
        <v>96.000287999999955</v>
      </c>
      <c r="CG8" s="304">
        <f t="shared" si="53"/>
        <v>95.583785992908247</v>
      </c>
      <c r="CI8" s="304">
        <v>408.01899650695265</v>
      </c>
      <c r="CJ8" s="304">
        <v>419.68700688438969</v>
      </c>
      <c r="CK8" s="304">
        <v>421.68739664522008</v>
      </c>
      <c r="CL8" s="304">
        <v>426.51629477390128</v>
      </c>
      <c r="CM8" s="304">
        <v>422.94448746678228</v>
      </c>
      <c r="CO8" s="304">
        <v>94.646378500647913</v>
      </c>
      <c r="CP8" s="304">
        <v>94.447102944360509</v>
      </c>
      <c r="CQ8" s="304">
        <v>96.111650871276524</v>
      </c>
      <c r="CR8" s="304">
        <v>96.000287999999955</v>
      </c>
      <c r="CS8" s="304">
        <v>95.583785992908247</v>
      </c>
      <c r="CU8" s="305">
        <f t="shared" si="6"/>
        <v>100</v>
      </c>
      <c r="CV8" s="305">
        <f t="shared" si="7"/>
        <v>100</v>
      </c>
      <c r="CW8" s="305">
        <f t="shared" si="8"/>
        <v>100</v>
      </c>
      <c r="CX8" s="305">
        <f t="shared" si="9"/>
        <v>100</v>
      </c>
      <c r="CY8" s="305">
        <f t="shared" si="9"/>
        <v>100</v>
      </c>
      <c r="DA8" s="305">
        <f>OBR_MAR22_1.2!X116</f>
        <v>112.46645971333807</v>
      </c>
      <c r="DB8" s="305">
        <f>OBR_NOV22_1.2!X121</f>
        <v>115.66461821664116</v>
      </c>
      <c r="DC8" s="305">
        <f>OBR_MAR23_1.2!X121</f>
        <v>115.3158280394689</v>
      </c>
      <c r="DD8" s="305">
        <f>OBR_NOV23_1.2!X126</f>
        <v>119.26147906868488</v>
      </c>
      <c r="DE8" s="305">
        <f>OBR_MAR24_1.2!X126</f>
        <v>119.90479827294106</v>
      </c>
      <c r="DG8">
        <v>20</v>
      </c>
      <c r="DH8" s="408">
        <v>4.8945454545454545</v>
      </c>
      <c r="DI8" s="408">
        <v>4.417272727272727</v>
      </c>
      <c r="DJ8" s="408">
        <v>4.5609999999999999</v>
      </c>
      <c r="DL8">
        <v>2028</v>
      </c>
      <c r="DM8" s="408">
        <v>3.9784683818181819</v>
      </c>
      <c r="DN8" s="408">
        <v>3.252927763636364</v>
      </c>
      <c r="DO8" s="408">
        <v>3.4607662800000001</v>
      </c>
      <c r="DQ8" s="409" t="s">
        <v>358</v>
      </c>
      <c r="DR8" s="408">
        <v>4.0282610120233375</v>
      </c>
      <c r="DS8" s="408">
        <f t="shared" si="28"/>
        <v>4.0782610120233374</v>
      </c>
      <c r="DT8" s="309">
        <f>'OBR RR Oct23 - Debt interest'!F11*(DS8-DR8)+'OBR RR Oct23 - Debt interest'!F10*(DS7-DR7)+'OBR RR Oct23 - Debt interest'!F9*(DS6-DR6)+'OBR RR Oct23 - Debt interest'!F8*(DS5-DR5)</f>
        <v>361.99076695055237</v>
      </c>
      <c r="DV8" s="408">
        <v>3.2404347809593368</v>
      </c>
      <c r="DW8" s="408">
        <f t="shared" ref="DW8:DW10" si="63">DV8+(DO6-DN6)</f>
        <v>3.6452369082320635</v>
      </c>
      <c r="DX8" s="309">
        <f>'OBR RR Oct23 - Debt interest'!F16*(DW8-DV8)+'OBR RR Oct23 - Debt interest'!F15*(DW7-DV7)</f>
        <v>3548.3844096668918</v>
      </c>
      <c r="DZ8" s="309">
        <f>DX8+DT8</f>
        <v>3910.3751766174441</v>
      </c>
    </row>
    <row r="9" spans="1:130">
      <c r="A9" t="s">
        <v>339</v>
      </c>
      <c r="B9" s="305">
        <f t="shared" ref="B9:G9" si="64">SUM(B4:B8)</f>
        <v>-9.8249571260673907</v>
      </c>
      <c r="C9" s="305">
        <f t="shared" si="64"/>
        <v>2.6562557616774711</v>
      </c>
      <c r="D9" s="305">
        <f t="shared" si="64"/>
        <v>0.64667533973668834</v>
      </c>
      <c r="E9" s="305">
        <f t="shared" si="64"/>
        <v>0.25505420046232552</v>
      </c>
      <c r="F9" s="305">
        <f t="shared" si="64"/>
        <v>1.5035415953330187</v>
      </c>
      <c r="G9" s="305">
        <f t="shared" si="64"/>
        <v>4.4307622934827773</v>
      </c>
      <c r="R9" t="s">
        <v>7</v>
      </c>
      <c r="S9" s="304">
        <f t="shared" si="0"/>
        <v>100</v>
      </c>
      <c r="T9" s="304">
        <f t="shared" si="14"/>
        <v>100</v>
      </c>
      <c r="U9" s="304">
        <f t="shared" si="15"/>
        <v>100</v>
      </c>
      <c r="V9" s="304">
        <f t="shared" si="29"/>
        <v>100</v>
      </c>
      <c r="W9" s="304">
        <f t="shared" si="30"/>
        <v>100</v>
      </c>
      <c r="X9">
        <v>100</v>
      </c>
      <c r="Z9" s="304">
        <f t="shared" si="1"/>
        <v>100</v>
      </c>
      <c r="AA9" s="304">
        <f t="shared" si="16"/>
        <v>100</v>
      </c>
      <c r="AB9" s="304">
        <f t="shared" si="17"/>
        <v>100</v>
      </c>
      <c r="AC9" s="304">
        <f t="shared" si="31"/>
        <v>100</v>
      </c>
      <c r="AD9" s="304">
        <f t="shared" si="32"/>
        <v>100</v>
      </c>
      <c r="AE9">
        <v>100</v>
      </c>
      <c r="AG9" s="304">
        <f t="shared" si="10"/>
        <v>5.9249187956196936</v>
      </c>
      <c r="AH9" s="304">
        <f t="shared" si="33"/>
        <v>5.9975238037578027</v>
      </c>
      <c r="AI9" s="304">
        <f t="shared" si="34"/>
        <v>6.0486358800617772</v>
      </c>
      <c r="AJ9" s="304">
        <f t="shared" si="55"/>
        <v>6.1670185236560648</v>
      </c>
      <c r="AK9" s="304">
        <f t="shared" si="56"/>
        <v>6.1458325666500899</v>
      </c>
      <c r="AM9" s="304">
        <f t="shared" si="11"/>
        <v>1.3410911179351088</v>
      </c>
      <c r="AN9" s="304">
        <f t="shared" si="37"/>
        <v>1.3462027859415222</v>
      </c>
      <c r="AO9" s="304">
        <f t="shared" si="38"/>
        <v>1.3735788048203748</v>
      </c>
      <c r="AP9" s="304">
        <f t="shared" si="57"/>
        <v>1.4048512383315268</v>
      </c>
      <c r="AQ9" s="304">
        <f t="shared" si="58"/>
        <v>1.4171857792882276</v>
      </c>
      <c r="AS9" s="304">
        <f t="shared" si="2"/>
        <v>6.0347252405137457</v>
      </c>
      <c r="AT9" s="304">
        <f t="shared" si="41"/>
        <v>6.0765287824354468</v>
      </c>
      <c r="AU9" s="304">
        <f t="shared" si="42"/>
        <v>6.1435572407623171</v>
      </c>
      <c r="AV9" s="304">
        <f t="shared" si="59"/>
        <v>6.2702082223118163</v>
      </c>
      <c r="AW9" s="304">
        <f t="shared" si="60"/>
        <v>6.19451681137798</v>
      </c>
      <c r="AY9" s="304">
        <f t="shared" si="12"/>
        <v>1.3659455426148721</v>
      </c>
      <c r="AZ9" s="304">
        <f t="shared" si="45"/>
        <v>1.3639362249205316</v>
      </c>
      <c r="BA9" s="304">
        <f t="shared" si="46"/>
        <v>1.3951344037633946</v>
      </c>
      <c r="BB9" s="304">
        <f t="shared" si="61"/>
        <v>1.4283579256202894</v>
      </c>
      <c r="BC9" s="304">
        <f t="shared" si="62"/>
        <v>1.4284120238296341</v>
      </c>
      <c r="BE9">
        <f t="shared" si="22"/>
        <v>202501</v>
      </c>
      <c r="BF9" s="309">
        <f>VLOOKUP(BE9,Data!$A$7:$C$318,3,FALSE)</f>
        <v>69447.77</v>
      </c>
      <c r="BH9" t="s">
        <v>7</v>
      </c>
      <c r="BI9" s="304">
        <f t="shared" si="3"/>
        <v>100</v>
      </c>
      <c r="BJ9" s="304">
        <f t="shared" si="23"/>
        <v>100</v>
      </c>
      <c r="BK9" s="304">
        <f t="shared" si="23"/>
        <v>100</v>
      </c>
      <c r="BL9" s="304">
        <f t="shared" si="49"/>
        <v>100</v>
      </c>
      <c r="BM9" s="304">
        <f t="shared" si="49"/>
        <v>100</v>
      </c>
      <c r="BN9">
        <v>100</v>
      </c>
      <c r="BP9" s="304">
        <f t="shared" si="4"/>
        <v>100</v>
      </c>
      <c r="BQ9" s="304">
        <f t="shared" si="24"/>
        <v>100</v>
      </c>
      <c r="BR9" s="304">
        <f t="shared" si="24"/>
        <v>100</v>
      </c>
      <c r="BS9" s="304">
        <f t="shared" si="50"/>
        <v>100</v>
      </c>
      <c r="BT9" s="304">
        <f t="shared" si="50"/>
        <v>100</v>
      </c>
      <c r="BU9">
        <v>100</v>
      </c>
      <c r="BW9" s="304">
        <f t="shared" si="13"/>
        <v>411.47239778687361</v>
      </c>
      <c r="BX9" s="304">
        <f t="shared" si="51"/>
        <v>416.51465369289707</v>
      </c>
      <c r="BY9" s="304">
        <f t="shared" si="52"/>
        <v>420.06427341227788</v>
      </c>
      <c r="BZ9" s="304">
        <f t="shared" si="52"/>
        <v>428.2856840166059</v>
      </c>
      <c r="CA9" s="304">
        <f t="shared" si="52"/>
        <v>426.81436654722518</v>
      </c>
      <c r="CC9" s="304">
        <f t="shared" si="5"/>
        <v>93.135787507400309</v>
      </c>
      <c r="CD9" s="304">
        <f t="shared" si="27"/>
        <v>93.490781451426088</v>
      </c>
      <c r="CE9" s="304">
        <f t="shared" si="27"/>
        <v>95.391984914040279</v>
      </c>
      <c r="CF9" s="304">
        <f t="shared" si="53"/>
        <v>97.563785683863074</v>
      </c>
      <c r="CG9" s="304">
        <f t="shared" si="53"/>
        <v>98.420392047279606</v>
      </c>
      <c r="CI9" s="304">
        <v>419.09821051639335</v>
      </c>
      <c r="CJ9" s="304">
        <v>422.00137328095701</v>
      </c>
      <c r="CK9" s="304">
        <v>426.65635023829606</v>
      </c>
      <c r="CL9" s="304">
        <v>435.4519784752199</v>
      </c>
      <c r="CM9" s="304">
        <v>430.19537877771137</v>
      </c>
      <c r="CO9" s="304">
        <v>94.861871876042841</v>
      </c>
      <c r="CP9" s="304">
        <v>94.722329242949357</v>
      </c>
      <c r="CQ9" s="304">
        <v>96.888973191647366</v>
      </c>
      <c r="CR9" s="304">
        <v>99.196272696154978</v>
      </c>
      <c r="CS9" s="304">
        <v>99.200029696154957</v>
      </c>
      <c r="CU9" s="305">
        <f t="shared" si="6"/>
        <v>101.85329873170974</v>
      </c>
      <c r="CV9" s="305">
        <f t="shared" si="7"/>
        <v>101.31729329074346</v>
      </c>
      <c r="CW9" s="305">
        <f t="shared" si="8"/>
        <v>101.56930194812075</v>
      </c>
      <c r="CX9" s="305">
        <f t="shared" si="9"/>
        <v>101.6732509925165</v>
      </c>
      <c r="CY9" s="305">
        <f t="shared" si="9"/>
        <v>100.79215052151065</v>
      </c>
      <c r="DA9" s="305">
        <f>OBR_MAR22_1.2!X117</f>
        <v>114.55079918480422</v>
      </c>
      <c r="DB9" s="305">
        <f>OBR_NOV22_1.2!X122</f>
        <v>117.18826047217301</v>
      </c>
      <c r="DC9" s="305">
        <f>OBR_MAR23_1.2!X122</f>
        <v>117.12548157538384</v>
      </c>
      <c r="DD9" s="305">
        <f>OBR_NOV23_1.2!X127</f>
        <v>121.25702295089151</v>
      </c>
      <c r="DE9" s="305">
        <f>OBR_MAR24_1.2!X127</f>
        <v>120.85462475777646</v>
      </c>
      <c r="DG9">
        <v>30</v>
      </c>
      <c r="DH9" s="408">
        <v>4.9418181818181814</v>
      </c>
      <c r="DI9" s="408">
        <v>4.5090909090909097</v>
      </c>
      <c r="DJ9" s="408">
        <v>4.5960000000000001</v>
      </c>
      <c r="DO9" s="408"/>
      <c r="DQ9" s="409" t="s">
        <v>359</v>
      </c>
      <c r="DR9" s="408">
        <v>4.2057432239613552</v>
      </c>
      <c r="DS9" s="408">
        <f t="shared" si="28"/>
        <v>4.2557432239613551</v>
      </c>
      <c r="DT9" s="309">
        <f>'OBR RR Oct23 - Debt interest'!G12*(DS9-DR9)+'OBR RR Oct23 - Debt interest'!G11*(DS8-DR8)+'OBR RR Oct23 - Debt interest'!G10*(DS7-DR7)+'OBR RR Oct23 - Debt interest'!G9*(DS6-DR6)+'OBR RR Oct23 - Debt interest'!G8*(DS5-DR5)</f>
        <v>443.03412872438116</v>
      </c>
      <c r="DV9" s="408">
        <v>3.2030147910020927</v>
      </c>
      <c r="DW9" s="408">
        <f t="shared" si="63"/>
        <v>3.4981189864566384</v>
      </c>
      <c r="DX9" s="309">
        <f>'OBR RR Oct23 - Debt interest'!G17*(DW9-DV9)+'OBR RR Oct23 - Debt interest'!G16*(DW8-DV8)</f>
        <v>2351.8634813009671</v>
      </c>
      <c r="DZ9" s="309">
        <f>DX9+DT9</f>
        <v>2794.8976100253485</v>
      </c>
    </row>
    <row r="10" spans="1:130">
      <c r="R10" t="s">
        <v>8</v>
      </c>
      <c r="S10" s="304">
        <f t="shared" si="0"/>
        <v>101.14957326284653</v>
      </c>
      <c r="T10" s="304">
        <f t="shared" si="14"/>
        <v>100.68931943415818</v>
      </c>
      <c r="U10" s="304">
        <f t="shared" si="15"/>
        <v>100.43592696357445</v>
      </c>
      <c r="V10" s="304">
        <f t="shared" si="29"/>
        <v>99.792219432896189</v>
      </c>
      <c r="W10" s="304">
        <f t="shared" si="30"/>
        <v>100.18400097829891</v>
      </c>
      <c r="X10">
        <v>100</v>
      </c>
      <c r="Z10" s="304">
        <f t="shared" si="1"/>
        <v>101.87877460961006</v>
      </c>
      <c r="AA10" s="304">
        <f t="shared" si="16"/>
        <v>99.661585156901651</v>
      </c>
      <c r="AB10" s="304">
        <f t="shared" si="17"/>
        <v>98.510928746768002</v>
      </c>
      <c r="AC10" s="304">
        <f t="shared" si="31"/>
        <v>95.650970941532279</v>
      </c>
      <c r="AD10" s="304">
        <f t="shared" si="32"/>
        <v>96.820909064564191</v>
      </c>
      <c r="AE10">
        <v>100</v>
      </c>
      <c r="AG10" s="304">
        <f t="shared" si="10"/>
        <v>5.9930300779395065</v>
      </c>
      <c r="AH10" s="304">
        <f t="shared" si="33"/>
        <v>6.0388659009053685</v>
      </c>
      <c r="AI10" s="304">
        <f t="shared" si="34"/>
        <v>6.0750035147914048</v>
      </c>
      <c r="AJ10" s="304">
        <f t="shared" si="55"/>
        <v>6.1542046575942155</v>
      </c>
      <c r="AK10" s="304">
        <f t="shared" si="56"/>
        <v>6.1571409586973394</v>
      </c>
      <c r="AM10" s="304">
        <f t="shared" si="11"/>
        <v>1.3662871973506092</v>
      </c>
      <c r="AN10" s="304">
        <f t="shared" si="37"/>
        <v>1.3416470358956927</v>
      </c>
      <c r="AO10" s="304">
        <f t="shared" si="38"/>
        <v>1.3531252376973069</v>
      </c>
      <c r="AP10" s="304">
        <f t="shared" si="57"/>
        <v>1.3437538497482451</v>
      </c>
      <c r="AQ10" s="304">
        <f t="shared" si="58"/>
        <v>1.3721321546405902</v>
      </c>
      <c r="AS10" s="304">
        <f t="shared" si="2"/>
        <v>6.2233037580723742</v>
      </c>
      <c r="AT10" s="304">
        <f t="shared" si="41"/>
        <v>6.1508592956664367</v>
      </c>
      <c r="AU10" s="304">
        <f t="shared" si="42"/>
        <v>6.2297608996890039</v>
      </c>
      <c r="AV10" s="304">
        <f t="shared" si="59"/>
        <v>6.364351981443817</v>
      </c>
      <c r="AW10" s="304">
        <f t="shared" si="60"/>
        <v>6.2896462650729967</v>
      </c>
      <c r="AY10" s="304">
        <f t="shared" si="12"/>
        <v>1.418784844944682</v>
      </c>
      <c r="AZ10" s="304">
        <f t="shared" si="45"/>
        <v>1.3665284637311008</v>
      </c>
      <c r="BA10" s="304">
        <f t="shared" si="46"/>
        <v>1.3875953614947854</v>
      </c>
      <c r="BB10" s="304">
        <f t="shared" si="61"/>
        <v>1.3896389463851813</v>
      </c>
      <c r="BC10" s="304">
        <f t="shared" si="62"/>
        <v>1.4016612482179782</v>
      </c>
      <c r="BE10">
        <f t="shared" si="22"/>
        <v>202601</v>
      </c>
      <c r="BF10" s="309">
        <f>VLOOKUP(BE10,Data!$A$7:$C$318,3,FALSE)</f>
        <v>69961.86</v>
      </c>
      <c r="BH10" t="s">
        <v>8</v>
      </c>
      <c r="BI10" s="304">
        <f t="shared" si="3"/>
        <v>101.89833717734939</v>
      </c>
      <c r="BJ10" s="304">
        <f t="shared" si="23"/>
        <v>101.4346763005904</v>
      </c>
      <c r="BK10" s="304">
        <f t="shared" si="23"/>
        <v>101.17940808172561</v>
      </c>
      <c r="BL10" s="304">
        <f t="shared" si="49"/>
        <v>100.53093547933307</v>
      </c>
      <c r="BM10" s="304">
        <f t="shared" si="49"/>
        <v>100.92561720388736</v>
      </c>
      <c r="BN10">
        <v>100</v>
      </c>
      <c r="BP10" s="304">
        <f t="shared" si="4"/>
        <v>102.6329364673494</v>
      </c>
      <c r="BQ10" s="304">
        <f t="shared" si="24"/>
        <v>100.39933417768823</v>
      </c>
      <c r="BR10" s="304">
        <f t="shared" si="24"/>
        <v>99.240159985718165</v>
      </c>
      <c r="BS10" s="304">
        <f t="shared" si="50"/>
        <v>96.359031224120628</v>
      </c>
      <c r="BT10" s="304">
        <f t="shared" si="50"/>
        <v>97.537629862669036</v>
      </c>
      <c r="BU10">
        <v>100</v>
      </c>
      <c r="BW10" s="304">
        <f t="shared" si="13"/>
        <v>419.28353128859283</v>
      </c>
      <c r="BX10" s="304">
        <f t="shared" si="51"/>
        <v>422.49029071791523</v>
      </c>
      <c r="BY10" s="304">
        <f t="shared" si="52"/>
        <v>425.01854540134423</v>
      </c>
      <c r="BZ10" s="304">
        <f t="shared" si="52"/>
        <v>430.5596046659544</v>
      </c>
      <c r="CA10" s="304">
        <f t="shared" si="52"/>
        <v>430.76503375264912</v>
      </c>
      <c r="CC10" s="304">
        <f t="shared" si="5"/>
        <v>95.58799362083569</v>
      </c>
      <c r="CD10" s="304">
        <f t="shared" si="27"/>
        <v>93.864122094749433</v>
      </c>
      <c r="CE10" s="304">
        <f t="shared" si="27"/>
        <v>94.667158442245707</v>
      </c>
      <c r="CF10" s="304">
        <f t="shared" si="53"/>
        <v>94.011518710547747</v>
      </c>
      <c r="CG10" s="304">
        <f t="shared" si="53"/>
        <v>95.996917704463328</v>
      </c>
      <c r="CI10" s="304">
        <v>435.39390625973334</v>
      </c>
      <c r="CJ10" s="304">
        <v>430.32555692311388</v>
      </c>
      <c r="CK10" s="304">
        <v>435.84565989751616</v>
      </c>
      <c r="CL10" s="304">
        <v>445.26190231649491</v>
      </c>
      <c r="CM10" s="304">
        <v>440.0353514465599</v>
      </c>
      <c r="CO10" s="304">
        <v>99.260826692141549</v>
      </c>
      <c r="CP10" s="304">
        <v>95.604873065570359</v>
      </c>
      <c r="CQ10" s="304">
        <v>97.078752417547562</v>
      </c>
      <c r="CR10" s="304">
        <v>97.22172541754756</v>
      </c>
      <c r="CS10" s="304">
        <v>98.062828015251441</v>
      </c>
      <c r="CU10" s="305">
        <f t="shared" si="6"/>
        <v>103.84235815836318</v>
      </c>
      <c r="CV10" s="305">
        <f t="shared" si="7"/>
        <v>101.85454349539833</v>
      </c>
      <c r="CW10" s="305">
        <f t="shared" si="8"/>
        <v>102.54744519111463</v>
      </c>
      <c r="CX10" s="305">
        <f t="shared" si="9"/>
        <v>103.41469508314584</v>
      </c>
      <c r="CY10" s="305">
        <f t="shared" si="9"/>
        <v>102.15205900375702</v>
      </c>
      <c r="DA10" s="305">
        <f>OBR_MAR22_1.2!X118</f>
        <v>116.78782390355576</v>
      </c>
      <c r="DB10" s="305">
        <f>OBR_NOV22_1.2!X123</f>
        <v>117.80966887025519</v>
      </c>
      <c r="DC10" s="305">
        <f>OBR_MAR23_1.2!X123</f>
        <v>118.25343555545436</v>
      </c>
      <c r="DD10" s="305">
        <f>OBR_NOV23_1.2!X128</f>
        <v>123.33389493053026</v>
      </c>
      <c r="DE10" s="305">
        <f>OBR_MAR24_1.2!X128</f>
        <v>122.48522028011057</v>
      </c>
      <c r="DQ10" s="409" t="s">
        <v>360</v>
      </c>
      <c r="DR10" s="408">
        <v>4.4042974475211842</v>
      </c>
      <c r="DS10" s="408">
        <f t="shared" si="28"/>
        <v>4.4542974475211841</v>
      </c>
      <c r="DT10" s="309">
        <f>'OBR RR Oct23 - Debt interest'!J12*(DS10-DR10)+'OBR RR Oct23 - Debt interest'!H12*(DS9-DR9)+'OBR RR Oct23 - Debt interest'!H11*(DS8-DR8)+'OBR RR Oct23 - Debt interest'!H10*(DS7-DR7)+'OBR RR Oct23 - Debt interest'!H9*(DS6-DR6)+'OBR RR Oct23 - Debt interest'!H8*(DS5-DR5)</f>
        <v>534.18895303702186</v>
      </c>
      <c r="DV10" s="408">
        <v>3.2471110958754337</v>
      </c>
      <c r="DW10" s="408">
        <f t="shared" si="63"/>
        <v>3.4549496122390697</v>
      </c>
      <c r="DX10" s="309">
        <f>'OBR RR Oct23 - Debt interest'!J17*(DW10-DV10)+'OBR RR Oct23 - Debt interest'!H17*(DW9-DV9)</f>
        <v>1496.570444035839</v>
      </c>
      <c r="DZ10" s="309">
        <f>DX10+DT10</f>
        <v>2030.7593970728608</v>
      </c>
    </row>
    <row r="11" spans="1:130">
      <c r="A11" t="s">
        <v>340</v>
      </c>
      <c r="B11" s="305">
        <f>OBR_MAR24_T4.12!D9</f>
        <v>-9.8249571260673889</v>
      </c>
      <c r="C11" s="305">
        <f>OBR_MAR24_T4.12!E9</f>
        <v>2.6562557616774711</v>
      </c>
      <c r="D11" s="305">
        <f>OBR_MAR24_T4.12!F9</f>
        <v>0.64667533973668867</v>
      </c>
      <c r="E11" s="305">
        <f>OBR_MAR24_T4.12!G9</f>
        <v>0.2550542004623253</v>
      </c>
      <c r="F11" s="305">
        <f>OBR_MAR24_T4.12!H9</f>
        <v>1.5035415953330187</v>
      </c>
      <c r="G11" s="305">
        <f>OBR_MAR24_T4.12!I9</f>
        <v>4.4307622934827791</v>
      </c>
      <c r="R11" t="s">
        <v>9</v>
      </c>
      <c r="S11" s="304">
        <f t="shared" si="0"/>
        <v>102.23065254105472</v>
      </c>
      <c r="T11" s="304">
        <f t="shared" si="14"/>
        <v>101.08757297362399</v>
      </c>
      <c r="U11" s="304">
        <f t="shared" si="15"/>
        <v>100.97993282965894</v>
      </c>
      <c r="V11" s="304">
        <f t="shared" si="29"/>
        <v>100.1588008863588</v>
      </c>
      <c r="W11" s="304">
        <f t="shared" si="30"/>
        <v>100.59627615343338</v>
      </c>
      <c r="X11">
        <v>100</v>
      </c>
      <c r="Z11" s="304">
        <f t="shared" si="1"/>
        <v>102.96029467480277</v>
      </c>
      <c r="AA11" s="304">
        <f t="shared" si="16"/>
        <v>98.290206660768661</v>
      </c>
      <c r="AB11" s="304">
        <f t="shared" si="17"/>
        <v>97.156217757514682</v>
      </c>
      <c r="AC11" s="304">
        <f t="shared" si="31"/>
        <v>93.829828747895803</v>
      </c>
      <c r="AD11" s="304">
        <f t="shared" si="32"/>
        <v>94.86230734167917</v>
      </c>
      <c r="AE11">
        <v>100</v>
      </c>
      <c r="AG11" s="304">
        <f t="shared" si="10"/>
        <v>6.0570831472896129</v>
      </c>
      <c r="AH11" s="304">
        <f t="shared" si="33"/>
        <v>6.062751251734138</v>
      </c>
      <c r="AI11" s="304">
        <f t="shared" si="34"/>
        <v>6.1079084487970317</v>
      </c>
      <c r="AJ11" s="304">
        <f t="shared" si="55"/>
        <v>6.1768118037335427</v>
      </c>
      <c r="AK11" s="304">
        <f t="shared" si="56"/>
        <v>6.1824787006749666</v>
      </c>
      <c r="AM11" s="304">
        <f t="shared" si="11"/>
        <v>1.3807913668835947</v>
      </c>
      <c r="AN11" s="304">
        <f t="shared" si="37"/>
        <v>1.3231855003749473</v>
      </c>
      <c r="AO11" s="304">
        <f t="shared" si="38"/>
        <v>1.334517214682351</v>
      </c>
      <c r="AP11" s="304">
        <f t="shared" si="57"/>
        <v>1.3181695110891651</v>
      </c>
      <c r="AQ11" s="304">
        <f t="shared" si="58"/>
        <v>1.3443751295509696</v>
      </c>
      <c r="AS11" s="304">
        <f t="shared" si="2"/>
        <v>6.4156648536604379</v>
      </c>
      <c r="AT11" s="304">
        <f t="shared" si="41"/>
        <v>6.2504131796823312</v>
      </c>
      <c r="AU11" s="304">
        <f t="shared" si="42"/>
        <v>6.3385518972546917</v>
      </c>
      <c r="AV11" s="304">
        <f t="shared" si="59"/>
        <v>6.4915223096884773</v>
      </c>
      <c r="AW11" s="304">
        <f t="shared" si="60"/>
        <v>6.4256474649671338</v>
      </c>
      <c r="AY11" s="304">
        <f t="shared" si="12"/>
        <v>1.4625347592787905</v>
      </c>
      <c r="AZ11" s="304">
        <f t="shared" si="45"/>
        <v>1.364142407845369</v>
      </c>
      <c r="BA11" s="304">
        <f t="shared" si="46"/>
        <v>1.3849105129776242</v>
      </c>
      <c r="BB11" s="304">
        <f t="shared" si="61"/>
        <v>1.3853306626590562</v>
      </c>
      <c r="BC11" s="304">
        <f t="shared" si="62"/>
        <v>1.3972519860393455</v>
      </c>
      <c r="BE11">
        <f t="shared" si="22"/>
        <v>202701</v>
      </c>
      <c r="BF11" s="309">
        <f>VLOOKUP(BE11,Data!$A$7:$C$318,3,FALSE)</f>
        <v>70386.820000000007</v>
      </c>
      <c r="BH11" t="s">
        <v>9</v>
      </c>
      <c r="BI11" s="304">
        <f t="shared" si="3"/>
        <v>103.61298194153332</v>
      </c>
      <c r="BJ11" s="304">
        <f t="shared" si="23"/>
        <v>102.45444602657989</v>
      </c>
      <c r="BK11" s="304">
        <f t="shared" si="23"/>
        <v>102.3453504078431</v>
      </c>
      <c r="BL11" s="304">
        <f t="shared" si="49"/>
        <v>101.51311538734763</v>
      </c>
      <c r="BM11" s="304">
        <f t="shared" si="49"/>
        <v>101.95650605169911</v>
      </c>
      <c r="BN11">
        <v>100</v>
      </c>
      <c r="BP11" s="304">
        <f t="shared" si="4"/>
        <v>104.35249005723726</v>
      </c>
      <c r="BQ11" s="304">
        <f t="shared" si="24"/>
        <v>99.619254642651939</v>
      </c>
      <c r="BR11" s="304">
        <f t="shared" si="24"/>
        <v>98.469932312858845</v>
      </c>
      <c r="BS11" s="304">
        <f t="shared" si="50"/>
        <v>95.098564960530283</v>
      </c>
      <c r="BT11" s="304">
        <f t="shared" si="50"/>
        <v>96.145004391695394</v>
      </c>
      <c r="BU11">
        <v>100</v>
      </c>
      <c r="BW11" s="304">
        <f t="shared" si="13"/>
        <v>426.33882121330748</v>
      </c>
      <c r="BX11" s="304">
        <f t="shared" si="51"/>
        <v>426.73778106058541</v>
      </c>
      <c r="BY11" s="304">
        <f t="shared" si="52"/>
        <v>429.91625256195584</v>
      </c>
      <c r="BZ11" s="304">
        <f t="shared" si="52"/>
        <v>434.76614060326818</v>
      </c>
      <c r="CA11" s="304">
        <f t="shared" si="52"/>
        <v>435.16501545824281</v>
      </c>
      <c r="CC11" s="304">
        <f t="shared" si="5"/>
        <v>97.189513398389536</v>
      </c>
      <c r="CD11" s="304">
        <f t="shared" si="27"/>
        <v>93.134819641501352</v>
      </c>
      <c r="CE11" s="304">
        <f t="shared" si="27"/>
        <v>93.932422976747986</v>
      </c>
      <c r="CF11" s="304">
        <f t="shared" si="53"/>
        <v>92.781760106521077</v>
      </c>
      <c r="CG11" s="304">
        <f t="shared" si="53"/>
        <v>94.626290256180795</v>
      </c>
      <c r="CI11" s="304">
        <v>451.57824723492359</v>
      </c>
      <c r="CJ11" s="304">
        <v>439.94670740392792</v>
      </c>
      <c r="CK11" s="304">
        <v>446.15051145272446</v>
      </c>
      <c r="CL11" s="304">
        <v>456.91761233802708</v>
      </c>
      <c r="CM11" s="304">
        <v>452.28089150009794</v>
      </c>
      <c r="CO11" s="304">
        <v>102.94317084509956</v>
      </c>
      <c r="CP11" s="304">
        <v>96.017646115378568</v>
      </c>
      <c r="CQ11" s="304">
        <v>97.479446993063704</v>
      </c>
      <c r="CR11" s="304">
        <v>97.509019993063717</v>
      </c>
      <c r="CS11" s="304">
        <v>98.348124035993933</v>
      </c>
      <c r="CU11" s="305">
        <f t="shared" si="6"/>
        <v>105.92003935972517</v>
      </c>
      <c r="CV11" s="305">
        <f t="shared" si="7"/>
        <v>103.09532620020516</v>
      </c>
      <c r="CW11" s="305">
        <f t="shared" si="8"/>
        <v>103.77614449186916</v>
      </c>
      <c r="CX11" s="305">
        <f t="shared" si="9"/>
        <v>105.09503148152757</v>
      </c>
      <c r="CY11" s="305">
        <f t="shared" si="9"/>
        <v>103.93319210732774</v>
      </c>
      <c r="DA11" s="305">
        <f>OBR_MAR22_1.2!X119</f>
        <v>119.12451839485712</v>
      </c>
      <c r="DB11" s="305">
        <f>OBR_NOV22_1.2!X124</f>
        <v>119.24481544866812</v>
      </c>
      <c r="DC11" s="305">
        <f>OBR_MAR23_1.2!X124</f>
        <v>119.67032032823461</v>
      </c>
      <c r="DD11" s="305">
        <f>OBR_NOV23_1.2!X129</f>
        <v>125.33788897256979</v>
      </c>
      <c r="DE11" s="305">
        <f>OBR_MAR24_1.2!X129</f>
        <v>124.62088433491962</v>
      </c>
      <c r="DG11" t="s">
        <v>361</v>
      </c>
      <c r="DH11" s="408">
        <f>AVERAGE(DH4:DH9)</f>
        <v>4.7581818181818178</v>
      </c>
      <c r="DI11" s="408">
        <f>AVERAGE(DI4:DI9)</f>
        <v>4.1828787878787885</v>
      </c>
      <c r="DJ11" s="408">
        <f>AVERAGE(DJ4:DJ9)</f>
        <v>4.3525</v>
      </c>
      <c r="DM11" s="408">
        <f>AVERAGE(DM4:DM9)</f>
        <v>4.3918050872727274</v>
      </c>
      <c r="DN11" s="408">
        <f>AVERAGE(DN4:DN9)</f>
        <v>3.4175928709090906</v>
      </c>
      <c r="DO11" s="408">
        <f>AVERAGE(DO4:DO9)</f>
        <v>3.7869340519999994</v>
      </c>
    </row>
    <row r="12" spans="1:130">
      <c r="R12" t="s">
        <v>10</v>
      </c>
      <c r="T12" s="304">
        <f t="shared" si="14"/>
        <v>101.69253312985254</v>
      </c>
      <c r="U12" s="304">
        <f t="shared" si="15"/>
        <v>101.69877645515919</v>
      </c>
      <c r="V12" s="304">
        <f t="shared" si="29"/>
        <v>100.73997896693929</v>
      </c>
      <c r="W12" s="304">
        <f t="shared" si="30"/>
        <v>101.16569237936577</v>
      </c>
      <c r="X12">
        <v>100</v>
      </c>
      <c r="AA12" s="304">
        <f t="shared" si="16"/>
        <v>96.280173626235765</v>
      </c>
      <c r="AB12" s="304">
        <f t="shared" si="17"/>
        <v>95.27010538201597</v>
      </c>
      <c r="AC12" s="304">
        <f t="shared" si="31"/>
        <v>91.841724278771096</v>
      </c>
      <c r="AD12" s="304">
        <f t="shared" si="32"/>
        <v>92.670726522198024</v>
      </c>
      <c r="AE12">
        <v>100</v>
      </c>
      <c r="AH12" s="304">
        <f t="shared" si="33"/>
        <v>6.0990338811071956</v>
      </c>
      <c r="AI12" s="304">
        <f t="shared" si="34"/>
        <v>6.1513886822505777</v>
      </c>
      <c r="AJ12" s="304">
        <f t="shared" si="55"/>
        <v>6.2126531636183699</v>
      </c>
      <c r="AK12" s="304">
        <f t="shared" si="56"/>
        <v>6.2174740685281096</v>
      </c>
      <c r="AN12" s="304">
        <f t="shared" si="37"/>
        <v>1.2961263796657205</v>
      </c>
      <c r="AO12" s="304">
        <f t="shared" si="38"/>
        <v>1.3086099748574065</v>
      </c>
      <c r="AP12" s="304">
        <f t="shared" si="57"/>
        <v>1.2902396008353423</v>
      </c>
      <c r="AQ12" s="304">
        <f t="shared" si="58"/>
        <v>1.3133163578356744</v>
      </c>
      <c r="AS12" s="304"/>
      <c r="AT12" s="304">
        <f t="shared" si="41"/>
        <v>6.4007684653222308</v>
      </c>
      <c r="AU12" s="304">
        <f t="shared" si="42"/>
        <v>6.4891468501566951</v>
      </c>
      <c r="AV12" s="304">
        <f t="shared" si="59"/>
        <v>6.6450308967526723</v>
      </c>
      <c r="AW12" s="304">
        <f t="shared" si="60"/>
        <v>6.5830388249838565</v>
      </c>
      <c r="AY12" s="304"/>
      <c r="AZ12" s="304">
        <f t="shared" si="45"/>
        <v>1.3602490197235224</v>
      </c>
      <c r="BA12" s="304">
        <f t="shared" si="46"/>
        <v>1.3804626459277376</v>
      </c>
      <c r="BB12" s="304">
        <f t="shared" si="61"/>
        <v>1.3800355155785333</v>
      </c>
      <c r="BC12" s="304">
        <f t="shared" si="62"/>
        <v>1.390534560792362</v>
      </c>
      <c r="BE12">
        <f t="shared" si="22"/>
        <v>202801</v>
      </c>
      <c r="BF12" s="309">
        <f>VLOOKUP(BE12,Data!$A$7:$C$318,3,FALSE)</f>
        <v>70720.800000000003</v>
      </c>
      <c r="BH12" t="s">
        <v>10</v>
      </c>
      <c r="BJ12" s="304">
        <f t="shared" si="23"/>
        <v>103.55663395627639</v>
      </c>
      <c r="BK12" s="304">
        <f t="shared" si="23"/>
        <v>103.56299172644449</v>
      </c>
      <c r="BL12" s="304">
        <f t="shared" si="49"/>
        <v>102.58661875716268</v>
      </c>
      <c r="BM12" s="304">
        <f t="shared" si="49"/>
        <v>103.02013581750211</v>
      </c>
      <c r="BN12">
        <v>100</v>
      </c>
      <c r="BQ12" s="304">
        <f t="shared" si="24"/>
        <v>98.045061821082129</v>
      </c>
      <c r="BR12" s="304">
        <f t="shared" si="24"/>
        <v>97.016478264175717</v>
      </c>
      <c r="BS12" s="304">
        <f t="shared" si="50"/>
        <v>93.525252349702711</v>
      </c>
      <c r="BT12" s="304">
        <f t="shared" si="50"/>
        <v>94.369450829465947</v>
      </c>
      <c r="BU12">
        <v>100</v>
      </c>
      <c r="BX12" s="304">
        <f t="shared" si="51"/>
        <v>431.3285552990057</v>
      </c>
      <c r="BY12" s="304">
        <f t="shared" si="52"/>
        <v>435.03112871970654</v>
      </c>
      <c r="BZ12" s="304">
        <f t="shared" si="52"/>
        <v>439.36380185362196</v>
      </c>
      <c r="CA12" s="304">
        <f t="shared" si="52"/>
        <v>439.70474010556268</v>
      </c>
      <c r="CD12" s="304">
        <f t="shared" si="27"/>
        <v>91.663094471063488</v>
      </c>
      <c r="CE12" s="304">
        <f t="shared" si="27"/>
        <v>92.545944309895674</v>
      </c>
      <c r="CF12" s="304">
        <f t="shared" si="53"/>
        <v>91.24677676275607</v>
      </c>
      <c r="CG12" s="304">
        <f t="shared" si="53"/>
        <v>92.878783479225149</v>
      </c>
      <c r="CI12" s="304"/>
      <c r="CJ12" s="304">
        <v>452.6674664823604</v>
      </c>
      <c r="CK12" s="304">
        <v>458.91765656056157</v>
      </c>
      <c r="CL12" s="304">
        <v>469.94190104306637</v>
      </c>
      <c r="CM12" s="304">
        <v>465.55777213391832</v>
      </c>
      <c r="CO12" s="304"/>
      <c r="CP12" s="304">
        <v>96.197898874063284</v>
      </c>
      <c r="CQ12" s="304">
        <v>97.627422690126338</v>
      </c>
      <c r="CR12" s="304">
        <v>97.597215690126333</v>
      </c>
      <c r="CS12" s="304">
        <v>98.339716566884476</v>
      </c>
      <c r="CV12" s="305">
        <f t="shared" ref="CV12" si="65">100*(DB12/DB$8)</f>
        <v>104.94725214020715</v>
      </c>
      <c r="CW12" s="305">
        <f t="shared" ref="CW12" si="66">100*(DC12/DC$8)</f>
        <v>105.49076290497943</v>
      </c>
      <c r="CX12" s="305">
        <f t="shared" ref="CX12:CY13" si="67">100*(DD12/DD$8)</f>
        <v>106.95963096195888</v>
      </c>
      <c r="CY12" s="305">
        <f t="shared" si="67"/>
        <v>105.87963459801432</v>
      </c>
      <c r="DB12" s="305">
        <f>OBR_NOV22_1.2!X125</f>
        <v>121.38683851682637</v>
      </c>
      <c r="DC12" s="305">
        <f>OBR_MAR23_1.2!X125</f>
        <v>121.64754674902991</v>
      </c>
      <c r="DD12" s="305">
        <f>OBR_NOV23_1.2!X130</f>
        <v>127.56163789163919</v>
      </c>
      <c r="DE12" s="305">
        <f>OBR_MAR24_1.2!X130</f>
        <v>126.95476227687618</v>
      </c>
      <c r="DG12" t="s">
        <v>362</v>
      </c>
      <c r="DI12" s="408">
        <f>DI11-$DH$11</f>
        <v>-0.57530303030302932</v>
      </c>
      <c r="DJ12" s="408">
        <f>DJ11-$DH$11</f>
        <v>-0.40568181818181781</v>
      </c>
      <c r="DN12" s="408">
        <f>DN11-$DM$11</f>
        <v>-0.97421221636363686</v>
      </c>
      <c r="DO12" s="408">
        <f>DO11-$DM$11</f>
        <v>-0.60487103527272801</v>
      </c>
    </row>
    <row r="13" spans="1:130">
      <c r="R13" t="s">
        <v>11</v>
      </c>
      <c r="V13" s="304">
        <f t="shared" si="29"/>
        <v>101.32774847390537</v>
      </c>
      <c r="W13" s="304">
        <f t="shared" si="30"/>
        <v>101.70918535409974</v>
      </c>
      <c r="X13">
        <v>100</v>
      </c>
      <c r="AC13" s="304">
        <f t="shared" si="31"/>
        <v>89.539506777653401</v>
      </c>
      <c r="AD13" s="304">
        <f t="shared" si="32"/>
        <v>89.62030461753821</v>
      </c>
      <c r="AE13">
        <v>100</v>
      </c>
      <c r="AJ13" s="304">
        <f t="shared" si="55"/>
        <v>6.24890101798937</v>
      </c>
      <c r="AK13" s="304">
        <f t="shared" si="56"/>
        <v>6.2508762367667652</v>
      </c>
      <c r="AP13" s="304">
        <f t="shared" si="57"/>
        <v>1.2578968697618051</v>
      </c>
      <c r="AQ13" s="304">
        <f t="shared" si="58"/>
        <v>1.2700862123945424</v>
      </c>
      <c r="AS13" s="304"/>
      <c r="AT13" s="304"/>
      <c r="AU13" s="304"/>
      <c r="AV13" s="304">
        <f t="shared" si="59"/>
        <v>6.8095063476692195</v>
      </c>
      <c r="AW13" s="304">
        <f t="shared" si="60"/>
        <v>6.7463194719128134</v>
      </c>
      <c r="AY13" s="304"/>
      <c r="AZ13" s="304"/>
      <c r="BA13" s="304"/>
      <c r="BB13" s="304">
        <f t="shared" si="61"/>
        <v>1.3707461031463604</v>
      </c>
      <c r="BC13" s="304">
        <f t="shared" si="62"/>
        <v>1.3707529986415572</v>
      </c>
      <c r="BE13">
        <f t="shared" si="22"/>
        <v>202901</v>
      </c>
      <c r="BF13" s="309">
        <f>VLOOKUP(BE13,Data!$A$7:$C$318,3,FALSE)</f>
        <v>71025.23</v>
      </c>
      <c r="BH13" t="s">
        <v>11</v>
      </c>
      <c r="BL13" s="304">
        <f t="shared" si="49"/>
        <v>103.62934102479142</v>
      </c>
      <c r="BM13" s="304">
        <f t="shared" si="49"/>
        <v>104.01944199054287</v>
      </c>
      <c r="BN13">
        <v>100</v>
      </c>
      <c r="BS13" s="304">
        <f t="shared" si="50"/>
        <v>91.573337242785328</v>
      </c>
      <c r="BT13" s="304">
        <f t="shared" si="50"/>
        <v>91.655970351974076</v>
      </c>
      <c r="BU13">
        <v>100</v>
      </c>
      <c r="BZ13" s="304">
        <f>100*(CL13/CX13)</f>
        <v>443.82963204992916</v>
      </c>
      <c r="CA13" s="304">
        <f>100*(CM13/CY13)</f>
        <v>443.96992241789394</v>
      </c>
      <c r="CF13" s="304">
        <f t="shared" si="53"/>
        <v>89.342414491112251</v>
      </c>
      <c r="CG13" s="304">
        <f t="shared" si="53"/>
        <v>90.208165355151237</v>
      </c>
      <c r="CI13" s="304"/>
      <c r="CJ13" s="304"/>
      <c r="CK13" s="304"/>
      <c r="CL13" s="304">
        <v>483.64675452966623</v>
      </c>
      <c r="CM13" s="304">
        <v>479.15889214608609</v>
      </c>
      <c r="CO13" s="304"/>
      <c r="CP13" s="304"/>
      <c r="CQ13" s="304"/>
      <c r="CR13" s="304">
        <v>97.357557247573965</v>
      </c>
      <c r="CS13" s="304">
        <v>97.358047001706282</v>
      </c>
      <c r="CX13" s="305">
        <f t="shared" si="67"/>
        <v>108.97126275589861</v>
      </c>
      <c r="CY13" s="305">
        <f t="shared" si="67"/>
        <v>107.92598055664455</v>
      </c>
      <c r="DD13" s="305">
        <f>OBR_NOV23_1.2!X131</f>
        <v>129.96073972250761</v>
      </c>
      <c r="DE13" s="305">
        <f>OBR_MAR24_1.2!X131</f>
        <v>129.40842927053825</v>
      </c>
      <c r="DJ13" s="408">
        <f>-DI12+DJ12</f>
        <v>0.16962121212121151</v>
      </c>
      <c r="DO13" s="408">
        <f>-DN12+DO12</f>
        <v>0.36934118109090885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813E-7A61-419D-A269-667462DB0A4A}">
  <dimension ref="A1:H32"/>
  <sheetViews>
    <sheetView showGridLines="0" zoomScaleNormal="100" workbookViewId="0">
      <selection activeCell="H31" sqref="H31"/>
    </sheetView>
  </sheetViews>
  <sheetFormatPr defaultColWidth="10.140625" defaultRowHeight="12.75"/>
  <cols>
    <col min="1" max="1" width="10.140625" style="2"/>
    <col min="2" max="2" width="17" style="2" customWidth="1"/>
    <col min="3" max="16384" width="10.140625" style="2"/>
  </cols>
  <sheetData>
    <row r="1" spans="1:2" ht="39.950000000000003" customHeight="1">
      <c r="A1" s="1" t="s">
        <v>0</v>
      </c>
    </row>
    <row r="2" spans="1:2" ht="17.25">
      <c r="B2" s="3" t="s">
        <v>730</v>
      </c>
    </row>
    <row r="24" spans="2:8" ht="13.5" thickBot="1"/>
    <row r="25" spans="2:8" s="430" customFormat="1" ht="12.75" customHeight="1" thickBot="1">
      <c r="B25" s="427"/>
      <c r="C25" s="428" t="s">
        <v>6</v>
      </c>
      <c r="D25" s="428" t="s">
        <v>7</v>
      </c>
      <c r="E25" s="428" t="s">
        <v>8</v>
      </c>
      <c r="F25" s="428" t="s">
        <v>9</v>
      </c>
      <c r="G25" s="428" t="s">
        <v>10</v>
      </c>
      <c r="H25" s="429" t="s">
        <v>11</v>
      </c>
    </row>
    <row r="26" spans="2:8" ht="13.5" customHeight="1">
      <c r="B26" s="425" t="s">
        <v>731</v>
      </c>
      <c r="C26" s="421">
        <v>0.32316634180459403</v>
      </c>
      <c r="D26" s="421">
        <v>12.668357215264109</v>
      </c>
      <c r="E26" s="421">
        <v>10.368520292289745</v>
      </c>
      <c r="F26" s="421">
        <v>6.4263462298410445</v>
      </c>
      <c r="G26" s="421">
        <v>5.1195595137194516</v>
      </c>
      <c r="H26" s="422">
        <v>5.2043360874524973</v>
      </c>
    </row>
    <row r="27" spans="2:8" ht="13.5" customHeight="1">
      <c r="B27" s="425" t="s">
        <v>314</v>
      </c>
      <c r="C27" s="421">
        <v>0.78696364627589244</v>
      </c>
      <c r="D27" s="421">
        <v>5.2325724269271392</v>
      </c>
      <c r="E27" s="421">
        <v>8.7181300980737166</v>
      </c>
      <c r="F27" s="421">
        <v>10.354385426491495</v>
      </c>
      <c r="G27" s="421">
        <v>12.288381860401019</v>
      </c>
      <c r="H27" s="422">
        <v>14.770553878133928</v>
      </c>
    </row>
    <row r="28" spans="2:8" ht="13.5" customHeight="1">
      <c r="B28" s="425" t="s">
        <v>51</v>
      </c>
      <c r="C28" s="421">
        <v>6.0529745949030378E-2</v>
      </c>
      <c r="D28" s="421">
        <v>2.2845351261945011</v>
      </c>
      <c r="E28" s="421">
        <v>0.803065013876056</v>
      </c>
      <c r="F28" s="421">
        <v>0.63733686936109324</v>
      </c>
      <c r="G28" s="421">
        <v>-2.0847638075846664E-2</v>
      </c>
      <c r="H28" s="422">
        <v>0.19608464507227819</v>
      </c>
    </row>
    <row r="29" spans="2:8" ht="13.5" customHeight="1">
      <c r="B29" s="425" t="s">
        <v>321</v>
      </c>
      <c r="C29" s="421">
        <v>-11.47782406708075</v>
      </c>
      <c r="D29" s="421">
        <v>-16.173451075856384</v>
      </c>
      <c r="E29" s="421">
        <v>-14.680018696249455</v>
      </c>
      <c r="F29" s="421">
        <v>-13.834612567642585</v>
      </c>
      <c r="G29" s="421">
        <v>-13.306391328414781</v>
      </c>
      <c r="H29" s="422">
        <v>-14.19344948285238</v>
      </c>
    </row>
    <row r="30" spans="2:8" ht="13.5" customHeight="1">
      <c r="B30" s="425" t="s">
        <v>49</v>
      </c>
      <c r="C30" s="421">
        <v>0.48220720698384412</v>
      </c>
      <c r="D30" s="421">
        <v>-1.3557579308518939</v>
      </c>
      <c r="E30" s="421">
        <v>-4.5630213682533736</v>
      </c>
      <c r="F30" s="421">
        <v>-3.3284017575887219</v>
      </c>
      <c r="G30" s="421">
        <v>-2.5771608122968246</v>
      </c>
      <c r="H30" s="422">
        <v>-1.5467628343235447</v>
      </c>
    </row>
    <row r="31" spans="2:8" ht="27" customHeight="1">
      <c r="B31" s="425" t="s">
        <v>732</v>
      </c>
      <c r="C31" s="421">
        <v>-9.8249571260673889</v>
      </c>
      <c r="D31" s="421">
        <v>2.6562557616774711</v>
      </c>
      <c r="E31" s="421">
        <v>0.64667533973668867</v>
      </c>
      <c r="F31" s="421">
        <v>0.2550542004623253</v>
      </c>
      <c r="G31" s="421">
        <v>1.5035415953330187</v>
      </c>
      <c r="H31" s="422">
        <v>4.4307622934827791</v>
      </c>
    </row>
    <row r="32" spans="2:8" ht="26.25" customHeight="1" thickBot="1">
      <c r="B32" s="426" t="s">
        <v>733</v>
      </c>
      <c r="C32" s="423">
        <v>-10.148123467871983</v>
      </c>
      <c r="D32" s="423">
        <v>-10.012101453586638</v>
      </c>
      <c r="E32" s="423">
        <v>-9.7218449525530559</v>
      </c>
      <c r="F32" s="423">
        <v>-6.1712920293787192</v>
      </c>
      <c r="G32" s="423">
        <v>-3.6160179183864334</v>
      </c>
      <c r="H32" s="424">
        <v>-0.77357379396971826</v>
      </c>
    </row>
  </sheetData>
  <hyperlinks>
    <hyperlink ref="A1" location="Contents!A1" display="Contents!A1" xr:uid="{A280A306-70DD-4DC2-997E-AEA5A8522B1D}"/>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FE5E-C2FF-4A25-A9B5-7DF0B071B9EA}">
  <dimension ref="A1:I17"/>
  <sheetViews>
    <sheetView showGridLines="0" workbookViewId="0">
      <selection activeCell="H32" sqref="H32"/>
    </sheetView>
  </sheetViews>
  <sheetFormatPr defaultColWidth="9.140625" defaultRowHeight="12.75"/>
  <cols>
    <col min="1" max="1" width="9.140625" style="311"/>
    <col min="2" max="2" width="29.7109375" style="311" customWidth="1"/>
    <col min="3" max="9" width="8.85546875" style="311" customWidth="1"/>
    <col min="10" max="16384" width="9.140625" style="311"/>
  </cols>
  <sheetData>
    <row r="1" spans="1:9" ht="39.950000000000003" customHeight="1">
      <c r="A1" s="310" t="s">
        <v>0</v>
      </c>
    </row>
    <row r="2" spans="1:9" ht="17.25">
      <c r="B2" s="312" t="s">
        <v>741</v>
      </c>
    </row>
    <row r="3" spans="1:9" ht="13.5" thickBot="1">
      <c r="B3" s="495"/>
      <c r="C3" s="495"/>
      <c r="D3" s="495"/>
      <c r="E3" s="495"/>
      <c r="F3" s="495"/>
      <c r="G3" s="495"/>
      <c r="H3" s="495"/>
      <c r="I3" s="496"/>
    </row>
    <row r="4" spans="1:9">
      <c r="A4" s="319"/>
      <c r="B4" s="497"/>
      <c r="C4" s="537" t="s">
        <v>2</v>
      </c>
      <c r="D4" s="537"/>
      <c r="E4" s="537"/>
      <c r="F4" s="537"/>
      <c r="G4" s="537"/>
      <c r="H4" s="537"/>
      <c r="I4" s="538"/>
    </row>
    <row r="5" spans="1:9">
      <c r="A5" s="319"/>
      <c r="B5" s="498"/>
      <c r="C5" s="539" t="s">
        <v>4</v>
      </c>
      <c r="D5" s="539"/>
      <c r="E5" s="539"/>
      <c r="F5" s="539"/>
      <c r="G5" s="539"/>
      <c r="H5" s="539"/>
      <c r="I5" s="540"/>
    </row>
    <row r="6" spans="1:9">
      <c r="A6" s="319"/>
      <c r="B6" s="499"/>
      <c r="C6" s="500" t="s">
        <v>5</v>
      </c>
      <c r="D6" s="500" t="s">
        <v>6</v>
      </c>
      <c r="E6" s="500" t="s">
        <v>7</v>
      </c>
      <c r="F6" s="500" t="s">
        <v>8</v>
      </c>
      <c r="G6" s="500" t="s">
        <v>9</v>
      </c>
      <c r="H6" s="500" t="s">
        <v>10</v>
      </c>
      <c r="I6" s="501" t="s">
        <v>11</v>
      </c>
    </row>
    <row r="7" spans="1:9">
      <c r="A7" s="319"/>
      <c r="B7" s="502" t="s">
        <v>742</v>
      </c>
      <c r="C7" s="503"/>
      <c r="D7" s="503"/>
      <c r="E7" s="503"/>
      <c r="F7" s="503"/>
      <c r="G7" s="503"/>
      <c r="H7" s="503"/>
      <c r="I7" s="504"/>
    </row>
    <row r="8" spans="1:9">
      <c r="A8" s="319"/>
      <c r="B8" s="505" t="s">
        <v>743</v>
      </c>
      <c r="C8" s="506">
        <v>-2.91</v>
      </c>
      <c r="D8" s="506">
        <v>-13.545</v>
      </c>
      <c r="E8" s="506">
        <v>-23.23</v>
      </c>
      <c r="F8" s="506">
        <v>-27.045000000000002</v>
      </c>
      <c r="G8" s="506">
        <v>-29.36</v>
      </c>
      <c r="H8" s="506">
        <v>-32.265000000000001</v>
      </c>
      <c r="I8" s="507">
        <v>-33.61</v>
      </c>
    </row>
    <row r="9" spans="1:9" ht="25.5">
      <c r="A9" s="319"/>
      <c r="B9" s="508" t="s">
        <v>744</v>
      </c>
      <c r="C9" s="506">
        <v>-0.08</v>
      </c>
      <c r="D9" s="506">
        <v>-0.44500000000000001</v>
      </c>
      <c r="E9" s="506">
        <v>-0.81499999999999995</v>
      </c>
      <c r="F9" s="506">
        <v>-0.81499999999999995</v>
      </c>
      <c r="G9" s="506">
        <v>-0.84499999999999997</v>
      </c>
      <c r="H9" s="506">
        <v>-0.89500000000000002</v>
      </c>
      <c r="I9" s="507">
        <v>-0.94499999999999995</v>
      </c>
    </row>
    <row r="10" spans="1:9">
      <c r="A10" s="319"/>
      <c r="B10" s="508" t="s">
        <v>745</v>
      </c>
      <c r="C10" s="506">
        <v>6.6449999999999996</v>
      </c>
      <c r="D10" s="506">
        <v>5.3650000000000002</v>
      </c>
      <c r="E10" s="506">
        <v>2.98</v>
      </c>
      <c r="F10" s="506">
        <v>2.31</v>
      </c>
      <c r="G10" s="506">
        <v>2.42</v>
      </c>
      <c r="H10" s="506">
        <v>2.4700000000000002</v>
      </c>
      <c r="I10" s="507">
        <v>2.4900000000000002</v>
      </c>
    </row>
    <row r="11" spans="1:9">
      <c r="A11" s="319"/>
      <c r="B11" s="508" t="s">
        <v>746</v>
      </c>
      <c r="C11" s="506">
        <v>7.4999999999999997E-2</v>
      </c>
      <c r="D11" s="506">
        <v>8.5000000000000006E-2</v>
      </c>
      <c r="E11" s="506">
        <v>7.4999999999999997E-2</v>
      </c>
      <c r="F11" s="506">
        <v>7.0000000000000007E-2</v>
      </c>
      <c r="G11" s="506">
        <v>7.4999999999999997E-2</v>
      </c>
      <c r="H11" s="506">
        <v>8.5000000000000006E-2</v>
      </c>
      <c r="I11" s="507">
        <v>8.5000000000000006E-2</v>
      </c>
    </row>
    <row r="12" spans="1:9">
      <c r="A12" s="319"/>
      <c r="B12" s="508" t="s">
        <v>747</v>
      </c>
      <c r="C12" s="506">
        <v>0</v>
      </c>
      <c r="D12" s="506">
        <v>-3.33</v>
      </c>
      <c r="E12" s="506">
        <v>-5.7149999999999999</v>
      </c>
      <c r="F12" s="506">
        <v>-6.4850000000000003</v>
      </c>
      <c r="G12" s="506">
        <v>-7.64</v>
      </c>
      <c r="H12" s="506">
        <v>-8.8949999999999996</v>
      </c>
      <c r="I12" s="507">
        <v>-9.1449999999999996</v>
      </c>
    </row>
    <row r="13" spans="1:9" ht="13.5" thickBot="1">
      <c r="A13" s="319"/>
      <c r="B13" s="509" t="s">
        <v>299</v>
      </c>
      <c r="C13" s="510">
        <v>3.7299999999999995</v>
      </c>
      <c r="D13" s="510">
        <v>-11.87</v>
      </c>
      <c r="E13" s="510">
        <v>-26.705000000000002</v>
      </c>
      <c r="F13" s="510">
        <v>-31.965000000000003</v>
      </c>
      <c r="G13" s="510">
        <v>-35.349999999999994</v>
      </c>
      <c r="H13" s="510">
        <v>-39.5</v>
      </c>
      <c r="I13" s="511">
        <v>-41.125</v>
      </c>
    </row>
    <row r="14" spans="1:9">
      <c r="A14" s="319"/>
      <c r="B14" s="512" t="s">
        <v>748</v>
      </c>
      <c r="C14" s="513"/>
      <c r="D14" s="513"/>
      <c r="E14" s="513"/>
      <c r="F14" s="513"/>
      <c r="G14" s="513"/>
      <c r="H14" s="513"/>
      <c r="I14" s="514"/>
    </row>
    <row r="15" spans="1:9">
      <c r="A15" s="319"/>
      <c r="B15" s="508" t="s">
        <v>749</v>
      </c>
      <c r="C15" s="515">
        <v>0</v>
      </c>
      <c r="D15" s="515">
        <v>2.3828954716488235</v>
      </c>
      <c r="E15" s="515">
        <v>9.9944841571305911</v>
      </c>
      <c r="F15" s="515">
        <v>10.141011955626647</v>
      </c>
      <c r="G15" s="515">
        <v>10.171629952187908</v>
      </c>
      <c r="H15" s="515">
        <v>10.385802841118339</v>
      </c>
      <c r="I15" s="516">
        <v>10.668159520849654</v>
      </c>
    </row>
    <row r="16" spans="1:9">
      <c r="A16" s="319"/>
      <c r="B16" s="508" t="s">
        <v>750</v>
      </c>
      <c r="C16" s="515">
        <v>0</v>
      </c>
      <c r="D16" s="515">
        <v>0</v>
      </c>
      <c r="E16" s="515">
        <v>10.070956860444449</v>
      </c>
      <c r="F16" s="515">
        <v>10.145467281084677</v>
      </c>
      <c r="G16" s="515">
        <v>10.226379242535355</v>
      </c>
      <c r="H16" s="515">
        <v>10.4463302223862</v>
      </c>
      <c r="I16" s="516">
        <v>10.74914877038842</v>
      </c>
    </row>
    <row r="17" spans="1:9" ht="13.5" thickBot="1">
      <c r="A17" s="319"/>
      <c r="B17" s="509" t="s">
        <v>299</v>
      </c>
      <c r="C17" s="517">
        <v>0</v>
      </c>
      <c r="D17" s="517">
        <v>2.3828954716488235</v>
      </c>
      <c r="E17" s="517">
        <v>20.06544101757504</v>
      </c>
      <c r="F17" s="517">
        <v>20.286479236711322</v>
      </c>
      <c r="G17" s="517">
        <v>20.398009194723265</v>
      </c>
      <c r="H17" s="517">
        <v>20.832133063504539</v>
      </c>
      <c r="I17" s="517">
        <v>21.417308291238072</v>
      </c>
    </row>
  </sheetData>
  <mergeCells count="2">
    <mergeCell ref="C4:I4"/>
    <mergeCell ref="C5:I5"/>
  </mergeCells>
  <hyperlinks>
    <hyperlink ref="A1" location="Contents!A1" display="Contents!A1" xr:uid="{F7E3AF94-B860-43E4-A2CE-AD4AA1F28F2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B7EF0-7126-48C3-8CDB-2E6EF9443604}">
  <dimension ref="A1:Z100"/>
  <sheetViews>
    <sheetView showGridLines="0" workbookViewId="0">
      <selection activeCell="I13" sqref="I13"/>
    </sheetView>
  </sheetViews>
  <sheetFormatPr defaultColWidth="10.140625" defaultRowHeight="12.75"/>
  <cols>
    <col min="1" max="1" width="10.140625" style="254"/>
    <col min="2" max="2" width="28.140625" style="254" customWidth="1"/>
    <col min="3" max="9" width="7.5703125" style="254" customWidth="1"/>
    <col min="10" max="16384" width="10.140625" style="254"/>
  </cols>
  <sheetData>
    <row r="1" spans="1:26" ht="39.950000000000003"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7.25">
      <c r="A2" s="2"/>
      <c r="B2" s="3" t="s">
        <v>734</v>
      </c>
      <c r="C2" s="2"/>
      <c r="D2" s="2"/>
      <c r="E2" s="2"/>
      <c r="F2" s="2"/>
      <c r="G2" s="2"/>
      <c r="H2" s="2"/>
      <c r="I2" s="2"/>
      <c r="J2" s="2"/>
      <c r="K2" s="2"/>
      <c r="L2" s="2"/>
      <c r="M2" s="2"/>
      <c r="N2" s="2"/>
      <c r="O2" s="2"/>
      <c r="P2" s="2"/>
      <c r="Q2" s="2"/>
      <c r="R2" s="2"/>
      <c r="S2" s="2"/>
      <c r="T2" s="2"/>
      <c r="U2" s="2"/>
      <c r="V2" s="2"/>
      <c r="W2" s="2"/>
      <c r="X2" s="2"/>
      <c r="Y2" s="2"/>
      <c r="Z2" s="2"/>
    </row>
    <row r="3" spans="1:26" ht="15.75" thickBot="1">
      <c r="A3" s="2"/>
      <c r="B3" s="382"/>
      <c r="C3" s="382"/>
      <c r="D3" s="382"/>
      <c r="E3" s="382"/>
      <c r="F3" s="382"/>
      <c r="G3" s="382"/>
      <c r="H3" s="382"/>
      <c r="I3" s="383"/>
      <c r="J3" s="2"/>
      <c r="K3" s="2"/>
      <c r="L3" s="2"/>
      <c r="M3" s="2"/>
      <c r="N3" s="2"/>
      <c r="O3" s="2"/>
      <c r="P3" s="2"/>
      <c r="Q3" s="2"/>
      <c r="R3" s="2"/>
      <c r="S3" s="2"/>
      <c r="T3" s="2"/>
      <c r="U3" s="2"/>
      <c r="V3" s="2"/>
      <c r="W3" s="2"/>
      <c r="X3" s="2"/>
      <c r="Y3" s="2"/>
      <c r="Z3" s="2"/>
    </row>
    <row r="4" spans="1:26">
      <c r="A4" s="2"/>
      <c r="B4" s="431"/>
      <c r="C4" s="541" t="s">
        <v>2</v>
      </c>
      <c r="D4" s="541"/>
      <c r="E4" s="541"/>
      <c r="F4" s="541"/>
      <c r="G4" s="541"/>
      <c r="H4" s="541"/>
      <c r="I4" s="541"/>
      <c r="J4" s="2"/>
      <c r="K4" s="2"/>
      <c r="L4" s="2"/>
      <c r="M4" s="2"/>
      <c r="N4" s="2"/>
      <c r="O4" s="2"/>
      <c r="P4" s="2"/>
      <c r="Q4" s="2"/>
      <c r="R4" s="2"/>
      <c r="S4" s="2"/>
      <c r="T4" s="2"/>
      <c r="U4" s="2"/>
      <c r="V4" s="2"/>
      <c r="W4" s="2"/>
      <c r="X4" s="2"/>
      <c r="Y4" s="2"/>
      <c r="Z4" s="2"/>
    </row>
    <row r="5" spans="1:26">
      <c r="A5" s="2"/>
      <c r="B5" s="431"/>
      <c r="C5" s="385" t="s">
        <v>3</v>
      </c>
      <c r="D5" s="542" t="s">
        <v>4</v>
      </c>
      <c r="E5" s="542">
        <v>0</v>
      </c>
      <c r="F5" s="542">
        <v>0</v>
      </c>
      <c r="G5" s="542">
        <v>0</v>
      </c>
      <c r="H5" s="542">
        <v>0</v>
      </c>
      <c r="I5" s="542">
        <v>0</v>
      </c>
      <c r="J5" s="2"/>
      <c r="K5" s="2"/>
      <c r="L5" s="2"/>
      <c r="M5" s="2"/>
      <c r="N5" s="2"/>
      <c r="O5" s="2"/>
      <c r="P5" s="2"/>
      <c r="Q5" s="2"/>
      <c r="R5" s="2"/>
      <c r="S5" s="2"/>
      <c r="T5" s="2"/>
      <c r="U5" s="2"/>
      <c r="V5" s="2"/>
      <c r="W5" s="2"/>
      <c r="X5" s="2"/>
      <c r="Y5" s="2"/>
      <c r="Z5" s="2"/>
    </row>
    <row r="6" spans="1:26">
      <c r="A6" s="2"/>
      <c r="B6" s="431"/>
      <c r="C6" s="385" t="s">
        <v>5</v>
      </c>
      <c r="D6" s="385" t="s">
        <v>6</v>
      </c>
      <c r="E6" s="385" t="s">
        <v>7</v>
      </c>
      <c r="F6" s="385" t="s">
        <v>8</v>
      </c>
      <c r="G6" s="385" t="s">
        <v>9</v>
      </c>
      <c r="H6" s="385" t="s">
        <v>10</v>
      </c>
      <c r="I6" s="385" t="s">
        <v>11</v>
      </c>
      <c r="J6" s="2"/>
      <c r="K6" s="2"/>
      <c r="L6" s="2"/>
      <c r="M6" s="2"/>
      <c r="N6" s="2"/>
      <c r="O6" s="2"/>
      <c r="P6" s="2"/>
      <c r="Q6" s="2"/>
      <c r="R6" s="2"/>
      <c r="S6" s="2"/>
      <c r="T6" s="2"/>
      <c r="U6" s="2"/>
      <c r="V6" s="2"/>
      <c r="W6" s="2"/>
      <c r="X6" s="2"/>
      <c r="Y6" s="2"/>
      <c r="Z6" s="2"/>
    </row>
    <row r="7" spans="1:26">
      <c r="A7" s="2"/>
      <c r="B7" s="432" t="s">
        <v>29</v>
      </c>
      <c r="C7" s="387">
        <v>128.26599999999999</v>
      </c>
      <c r="D7" s="387">
        <v>123.90988239024044</v>
      </c>
      <c r="E7" s="387">
        <v>84.570325864312693</v>
      </c>
      <c r="F7" s="387">
        <v>76.835639869641042</v>
      </c>
      <c r="G7" s="387">
        <v>68.405586892385031</v>
      </c>
      <c r="H7" s="387">
        <v>49.058610073136563</v>
      </c>
      <c r="I7" s="387">
        <v>35.003997619559541</v>
      </c>
      <c r="J7" s="2"/>
      <c r="K7" s="2"/>
      <c r="L7" s="2"/>
      <c r="M7" s="2"/>
      <c r="N7" s="2"/>
      <c r="O7" s="2"/>
      <c r="P7" s="2"/>
      <c r="Q7" s="2"/>
      <c r="R7" s="2"/>
      <c r="S7" s="2"/>
      <c r="T7" s="2"/>
      <c r="U7" s="2"/>
      <c r="V7" s="2"/>
      <c r="W7" s="2"/>
      <c r="X7" s="2"/>
      <c r="Y7" s="2"/>
      <c r="Z7" s="2"/>
    </row>
    <row r="8" spans="1:26">
      <c r="A8" s="2"/>
      <c r="B8" s="432" t="s">
        <v>735</v>
      </c>
      <c r="C8" s="387">
        <v>128.68199999999999</v>
      </c>
      <c r="D8" s="387">
        <v>114.08492526417305</v>
      </c>
      <c r="E8" s="387">
        <v>87.226581625990164</v>
      </c>
      <c r="F8" s="387">
        <v>77.482315209377731</v>
      </c>
      <c r="G8" s="387">
        <v>68.660641092847357</v>
      </c>
      <c r="H8" s="387">
        <v>50.562151668469582</v>
      </c>
      <c r="I8" s="387">
        <v>39.434759913042321</v>
      </c>
      <c r="J8" s="2"/>
      <c r="K8" s="2"/>
      <c r="L8" s="2"/>
      <c r="M8" s="2"/>
      <c r="N8" s="2"/>
      <c r="O8" s="2"/>
      <c r="P8" s="2"/>
      <c r="Q8" s="2"/>
      <c r="R8" s="2"/>
      <c r="S8" s="2"/>
      <c r="T8" s="2"/>
      <c r="U8" s="2"/>
      <c r="V8" s="2"/>
      <c r="W8" s="2"/>
      <c r="X8" s="2"/>
      <c r="Y8" s="2"/>
      <c r="Z8" s="2"/>
    </row>
    <row r="9" spans="1:26">
      <c r="A9" s="2"/>
      <c r="B9" s="433" t="s">
        <v>17</v>
      </c>
      <c r="C9" s="389">
        <v>0.41599999999999682</v>
      </c>
      <c r="D9" s="389">
        <v>-9.8249571260673889</v>
      </c>
      <c r="E9" s="389">
        <v>2.6562557616774711</v>
      </c>
      <c r="F9" s="389">
        <v>0.64667533973668867</v>
      </c>
      <c r="G9" s="389">
        <v>0.2550542004623253</v>
      </c>
      <c r="H9" s="389">
        <v>1.5035415953330187</v>
      </c>
      <c r="I9" s="389">
        <v>4.4307622934827791</v>
      </c>
      <c r="J9" s="2"/>
      <c r="K9" s="2"/>
      <c r="L9" s="2"/>
      <c r="M9" s="2"/>
      <c r="N9" s="2"/>
      <c r="O9" s="2"/>
      <c r="P9" s="2"/>
      <c r="Q9" s="2"/>
      <c r="R9" s="2"/>
      <c r="S9" s="2"/>
      <c r="T9" s="2"/>
      <c r="U9" s="2"/>
      <c r="V9" s="2"/>
      <c r="W9" s="2"/>
      <c r="X9" s="2"/>
      <c r="Y9" s="2"/>
      <c r="Z9" s="2"/>
    </row>
    <row r="10" spans="1:26" s="437" customFormat="1">
      <c r="A10" s="434"/>
      <c r="B10" s="435" t="s">
        <v>18</v>
      </c>
      <c r="C10" s="436"/>
      <c r="D10" s="436"/>
      <c r="E10" s="436"/>
      <c r="F10" s="436"/>
      <c r="G10" s="436"/>
      <c r="H10" s="436"/>
      <c r="I10" s="436"/>
      <c r="J10" s="434"/>
      <c r="K10" s="434"/>
      <c r="L10" s="434"/>
      <c r="M10" s="434"/>
      <c r="N10" s="434"/>
      <c r="O10" s="434"/>
      <c r="P10" s="434"/>
      <c r="Q10" s="434"/>
      <c r="R10" s="434"/>
      <c r="S10" s="434"/>
      <c r="T10" s="434"/>
      <c r="U10" s="434"/>
      <c r="V10" s="434"/>
      <c r="W10" s="434"/>
      <c r="X10" s="434"/>
      <c r="Y10" s="434"/>
      <c r="Z10" s="434"/>
    </row>
    <row r="11" spans="1:26">
      <c r="A11" s="2"/>
      <c r="B11" s="438" t="s">
        <v>313</v>
      </c>
      <c r="C11" s="387"/>
      <c r="D11" s="395">
        <v>-10.148123467871983</v>
      </c>
      <c r="E11" s="395">
        <v>-10.012101453586638</v>
      </c>
      <c r="F11" s="395">
        <v>-9.7218449525530559</v>
      </c>
      <c r="G11" s="395">
        <v>-6.1712920293787192</v>
      </c>
      <c r="H11" s="395">
        <v>-3.6160179183864334</v>
      </c>
      <c r="I11" s="395">
        <v>-0.77357379396971826</v>
      </c>
      <c r="J11" s="2"/>
      <c r="K11" s="2"/>
      <c r="L11" s="2"/>
      <c r="M11" s="2"/>
      <c r="N11" s="2"/>
      <c r="O11" s="2"/>
      <c r="P11" s="2"/>
      <c r="Q11" s="2"/>
      <c r="R11" s="2"/>
      <c r="S11" s="2"/>
      <c r="T11" s="2"/>
      <c r="U11" s="2"/>
      <c r="V11" s="2"/>
      <c r="W11" s="2"/>
      <c r="X11" s="2"/>
      <c r="Y11" s="2"/>
      <c r="Z11" s="2"/>
    </row>
    <row r="12" spans="1:26" s="437" customFormat="1">
      <c r="A12" s="434"/>
      <c r="B12" s="435" t="s">
        <v>18</v>
      </c>
      <c r="C12" s="439"/>
      <c r="D12" s="439"/>
      <c r="E12" s="439"/>
      <c r="F12" s="439"/>
      <c r="G12" s="439"/>
      <c r="H12" s="439"/>
      <c r="I12" s="439"/>
      <c r="J12" s="434"/>
      <c r="K12" s="434"/>
      <c r="L12" s="434"/>
      <c r="M12" s="434"/>
      <c r="N12" s="434"/>
      <c r="O12" s="434"/>
      <c r="P12" s="434"/>
      <c r="Q12" s="434"/>
      <c r="R12" s="434"/>
      <c r="S12" s="434"/>
      <c r="T12" s="434"/>
      <c r="U12" s="434"/>
      <c r="V12" s="434"/>
      <c r="W12" s="434"/>
      <c r="X12" s="434"/>
      <c r="Y12" s="434"/>
      <c r="Z12" s="434"/>
    </row>
    <row r="13" spans="1:26">
      <c r="A13" s="2"/>
      <c r="B13" s="440" t="s">
        <v>314</v>
      </c>
      <c r="C13" s="387"/>
      <c r="D13" s="387">
        <v>0.78696364627589244</v>
      </c>
      <c r="E13" s="387">
        <v>5.2325724269271392</v>
      </c>
      <c r="F13" s="387">
        <v>8.7181300980737166</v>
      </c>
      <c r="G13" s="387">
        <v>10.354385426491495</v>
      </c>
      <c r="H13" s="387">
        <v>12.288381860401019</v>
      </c>
      <c r="I13" s="387">
        <v>14.770553878133928</v>
      </c>
      <c r="J13" s="2"/>
      <c r="K13" s="2"/>
      <c r="L13" s="2"/>
      <c r="M13" s="2"/>
      <c r="N13" s="2"/>
      <c r="O13" s="2"/>
      <c r="P13" s="2"/>
      <c r="Q13" s="2"/>
      <c r="R13" s="2"/>
      <c r="S13" s="2"/>
      <c r="T13" s="2"/>
      <c r="U13" s="2"/>
      <c r="V13" s="2"/>
      <c r="W13" s="2"/>
      <c r="X13" s="2"/>
      <c r="Y13" s="2"/>
      <c r="Z13" s="2"/>
    </row>
    <row r="14" spans="1:26">
      <c r="A14" s="2"/>
      <c r="B14" s="440" t="s">
        <v>320</v>
      </c>
      <c r="C14" s="387"/>
      <c r="D14" s="387">
        <v>-10.935087114147876</v>
      </c>
      <c r="E14" s="387">
        <v>-15.244673880513776</v>
      </c>
      <c r="F14" s="387">
        <v>-18.439975050626771</v>
      </c>
      <c r="G14" s="387">
        <v>-16.525677455870216</v>
      </c>
      <c r="H14" s="387">
        <v>-15.904399778787452</v>
      </c>
      <c r="I14" s="387">
        <v>-15.544127672103645</v>
      </c>
      <c r="J14" s="2"/>
      <c r="K14" s="2"/>
      <c r="L14" s="2"/>
      <c r="M14" s="2"/>
      <c r="N14" s="2"/>
      <c r="O14" s="2"/>
      <c r="P14" s="2"/>
      <c r="Q14" s="2"/>
      <c r="R14" s="2"/>
      <c r="S14" s="2"/>
      <c r="T14" s="2"/>
      <c r="U14" s="2"/>
      <c r="V14" s="2"/>
      <c r="W14" s="2"/>
      <c r="X14" s="2"/>
      <c r="Y14" s="2"/>
      <c r="Z14" s="2"/>
    </row>
    <row r="15" spans="1:26" s="437" customFormat="1">
      <c r="A15" s="434"/>
      <c r="B15" s="441" t="s">
        <v>18</v>
      </c>
      <c r="C15" s="439"/>
      <c r="D15" s="439"/>
      <c r="E15" s="439"/>
      <c r="F15" s="439"/>
      <c r="G15" s="439"/>
      <c r="H15" s="439"/>
      <c r="I15" s="439"/>
      <c r="J15" s="434"/>
      <c r="K15" s="434"/>
      <c r="L15" s="434"/>
      <c r="M15" s="434"/>
      <c r="N15" s="434"/>
      <c r="O15" s="434"/>
      <c r="P15" s="434"/>
      <c r="Q15" s="434"/>
      <c r="R15" s="434"/>
      <c r="S15" s="434"/>
      <c r="T15" s="434"/>
      <c r="U15" s="434"/>
      <c r="V15" s="434"/>
      <c r="W15" s="434"/>
      <c r="X15" s="434"/>
      <c r="Y15" s="434"/>
      <c r="Z15" s="434"/>
    </row>
    <row r="16" spans="1:26">
      <c r="A16" s="2"/>
      <c r="B16" s="442" t="s">
        <v>321</v>
      </c>
      <c r="C16" s="387"/>
      <c r="D16" s="387">
        <v>-11.47782406708075</v>
      </c>
      <c r="E16" s="387">
        <v>-16.173451075856384</v>
      </c>
      <c r="F16" s="387">
        <v>-14.680018696249455</v>
      </c>
      <c r="G16" s="387">
        <v>-13.834612567642585</v>
      </c>
      <c r="H16" s="387">
        <v>-13.306391328414781</v>
      </c>
      <c r="I16" s="387">
        <v>-14.19344948285238</v>
      </c>
      <c r="J16" s="2"/>
      <c r="K16" s="2"/>
      <c r="L16" s="2"/>
      <c r="M16" s="2"/>
      <c r="N16" s="2"/>
      <c r="O16" s="2"/>
      <c r="P16" s="2"/>
      <c r="Q16" s="2"/>
      <c r="R16" s="2"/>
      <c r="S16" s="2"/>
      <c r="T16" s="2"/>
      <c r="U16" s="2"/>
      <c r="V16" s="2"/>
      <c r="W16" s="2"/>
      <c r="X16" s="2"/>
      <c r="Y16" s="2"/>
      <c r="Z16" s="2"/>
    </row>
    <row r="17" spans="1:26">
      <c r="A17" s="2"/>
      <c r="B17" s="442" t="s">
        <v>49</v>
      </c>
      <c r="C17" s="387"/>
      <c r="D17" s="387">
        <v>0.48220720698384412</v>
      </c>
      <c r="E17" s="387">
        <v>-1.3557579308518939</v>
      </c>
      <c r="F17" s="387">
        <v>-4.5630213682533736</v>
      </c>
      <c r="G17" s="387">
        <v>-3.3284017575887219</v>
      </c>
      <c r="H17" s="387">
        <v>-2.5771608122968246</v>
      </c>
      <c r="I17" s="387">
        <v>-1.5467628343235447</v>
      </c>
      <c r="J17" s="2"/>
      <c r="K17" s="2"/>
      <c r="L17" s="2"/>
      <c r="M17" s="2"/>
      <c r="N17" s="2"/>
      <c r="O17" s="2"/>
      <c r="P17" s="2"/>
      <c r="Q17" s="2"/>
      <c r="R17" s="2"/>
      <c r="S17" s="2"/>
      <c r="T17" s="2"/>
      <c r="U17" s="2"/>
      <c r="V17" s="2"/>
      <c r="W17" s="2"/>
      <c r="X17" s="2"/>
      <c r="Y17" s="2"/>
      <c r="Z17" s="2"/>
    </row>
    <row r="18" spans="1:26">
      <c r="A18" s="2"/>
      <c r="B18" s="442" t="s">
        <v>322</v>
      </c>
      <c r="C18" s="387"/>
      <c r="D18" s="387">
        <v>6.0529745949030378E-2</v>
      </c>
      <c r="E18" s="387">
        <v>2.2845351261945011</v>
      </c>
      <c r="F18" s="387">
        <v>0.803065013876056</v>
      </c>
      <c r="G18" s="387">
        <v>0.63733686936109324</v>
      </c>
      <c r="H18" s="387">
        <v>-2.0847638075846664E-2</v>
      </c>
      <c r="I18" s="387">
        <v>0.19608464507227819</v>
      </c>
      <c r="J18" s="2"/>
      <c r="K18" s="2"/>
      <c r="L18" s="2"/>
      <c r="M18" s="2"/>
      <c r="N18" s="2"/>
      <c r="O18" s="2"/>
      <c r="P18" s="2"/>
      <c r="Q18" s="2"/>
      <c r="R18" s="2"/>
      <c r="S18" s="2"/>
      <c r="T18" s="2"/>
      <c r="U18" s="2"/>
      <c r="V18" s="2"/>
      <c r="W18" s="2"/>
      <c r="X18" s="2"/>
      <c r="Y18" s="2"/>
      <c r="Z18" s="2"/>
    </row>
    <row r="19" spans="1:26">
      <c r="A19" s="2"/>
      <c r="B19" s="443" t="s">
        <v>323</v>
      </c>
      <c r="C19" s="387"/>
      <c r="D19" s="395">
        <v>5.7872132162145457E-2</v>
      </c>
      <c r="E19" s="395">
        <v>13.899536655717871</v>
      </c>
      <c r="F19" s="395">
        <v>10.116298604562845</v>
      </c>
      <c r="G19" s="395">
        <v>7.6829941076142578</v>
      </c>
      <c r="H19" s="395">
        <v>6.3384617784258053</v>
      </c>
      <c r="I19" s="395">
        <v>5.9370328367908698</v>
      </c>
      <c r="J19" s="2"/>
      <c r="K19" s="2"/>
      <c r="L19" s="2"/>
      <c r="M19" s="2"/>
      <c r="N19" s="2"/>
      <c r="O19" s="2"/>
      <c r="P19" s="2"/>
      <c r="Q19" s="2"/>
      <c r="R19" s="2"/>
      <c r="S19" s="2"/>
      <c r="T19" s="2"/>
      <c r="U19" s="2"/>
      <c r="V19" s="2"/>
      <c r="W19" s="2"/>
      <c r="X19" s="2"/>
      <c r="Y19" s="2"/>
      <c r="Z19" s="2"/>
    </row>
    <row r="20" spans="1:26" s="437" customFormat="1">
      <c r="A20" s="434"/>
      <c r="B20" s="435" t="s">
        <v>18</v>
      </c>
      <c r="C20" s="439"/>
      <c r="D20" s="439"/>
      <c r="E20" s="439"/>
      <c r="F20" s="439"/>
      <c r="G20" s="439"/>
      <c r="H20" s="439"/>
      <c r="I20" s="439"/>
      <c r="J20" s="434"/>
      <c r="K20" s="434"/>
      <c r="L20" s="434"/>
      <c r="M20" s="434"/>
      <c r="N20" s="434"/>
      <c r="O20" s="434"/>
      <c r="P20" s="434"/>
      <c r="Q20" s="434"/>
      <c r="R20" s="434"/>
      <c r="S20" s="434"/>
      <c r="T20" s="434"/>
      <c r="U20" s="434"/>
      <c r="V20" s="434"/>
      <c r="W20" s="434"/>
      <c r="X20" s="434"/>
      <c r="Y20" s="434"/>
      <c r="Z20" s="434"/>
    </row>
    <row r="21" spans="1:26">
      <c r="A21" s="2"/>
      <c r="B21" s="444" t="s">
        <v>324</v>
      </c>
      <c r="C21" s="387"/>
      <c r="D21" s="387">
        <v>0</v>
      </c>
      <c r="E21" s="387">
        <v>10.196025083915764</v>
      </c>
      <c r="F21" s="387">
        <v>10.329817178060013</v>
      </c>
      <c r="G21" s="387">
        <v>10.465234281795142</v>
      </c>
      <c r="H21" s="387">
        <v>10.705217427659159</v>
      </c>
      <c r="I21" s="387">
        <v>11.03729447135496</v>
      </c>
      <c r="J21" s="2"/>
      <c r="K21" s="2"/>
      <c r="L21" s="2"/>
      <c r="M21" s="2"/>
      <c r="N21" s="2"/>
      <c r="O21" s="2"/>
      <c r="P21" s="2"/>
      <c r="Q21" s="2"/>
      <c r="R21" s="2"/>
      <c r="S21" s="2"/>
      <c r="T21" s="2"/>
      <c r="U21" s="2"/>
      <c r="V21" s="2"/>
      <c r="W21" s="2"/>
      <c r="X21" s="2"/>
      <c r="Y21" s="2"/>
      <c r="Z21" s="2"/>
    </row>
    <row r="22" spans="1:26">
      <c r="A22" s="2"/>
      <c r="B22" s="440" t="s">
        <v>736</v>
      </c>
      <c r="C22" s="387"/>
      <c r="D22" s="387">
        <v>0</v>
      </c>
      <c r="E22" s="387">
        <v>0</v>
      </c>
      <c r="F22" s="387">
        <v>-0.186</v>
      </c>
      <c r="G22" s="387">
        <v>-2.7330000000000001</v>
      </c>
      <c r="H22" s="387">
        <v>-3.5569999999999999</v>
      </c>
      <c r="I22" s="387">
        <v>-2.6429999999999998</v>
      </c>
      <c r="J22" s="2"/>
      <c r="K22" s="2"/>
      <c r="L22" s="2"/>
      <c r="M22" s="2"/>
      <c r="N22" s="2"/>
      <c r="O22" s="2"/>
      <c r="P22" s="2"/>
      <c r="Q22" s="2"/>
      <c r="R22" s="2"/>
      <c r="S22" s="2"/>
      <c r="T22" s="2"/>
      <c r="U22" s="2"/>
      <c r="V22" s="2"/>
      <c r="W22" s="2"/>
      <c r="X22" s="2"/>
      <c r="Y22" s="2"/>
      <c r="Z22" s="2"/>
    </row>
    <row r="23" spans="1:26">
      <c r="A23" s="2"/>
      <c r="B23" s="440" t="s">
        <v>737</v>
      </c>
      <c r="C23" s="387"/>
      <c r="D23" s="387">
        <v>0.18808677794536421</v>
      </c>
      <c r="E23" s="387">
        <v>3.3254113671200738</v>
      </c>
      <c r="F23" s="387">
        <v>0.10133372939809959</v>
      </c>
      <c r="G23" s="387">
        <v>-0.52055575355970696</v>
      </c>
      <c r="H23" s="387">
        <v>-1.5678695456834149</v>
      </c>
      <c r="I23" s="387">
        <v>-2.4749031420984684</v>
      </c>
      <c r="J23" s="2"/>
      <c r="K23" s="2"/>
      <c r="L23" s="2"/>
      <c r="M23" s="2"/>
      <c r="N23" s="2"/>
      <c r="O23" s="2"/>
      <c r="P23" s="2"/>
      <c r="Q23" s="2"/>
      <c r="R23" s="2"/>
      <c r="S23" s="2"/>
      <c r="T23" s="2"/>
      <c r="U23" s="2"/>
      <c r="V23" s="2"/>
      <c r="W23" s="2"/>
      <c r="X23" s="2"/>
      <c r="Y23" s="2"/>
      <c r="Z23" s="2"/>
    </row>
    <row r="24" spans="1:26">
      <c r="A24" s="2"/>
      <c r="B24" s="440" t="s">
        <v>738</v>
      </c>
      <c r="C24" s="387"/>
      <c r="D24" s="387">
        <v>-0.13021464578321876</v>
      </c>
      <c r="E24" s="387">
        <v>0.37810020468203287</v>
      </c>
      <c r="F24" s="387">
        <v>-0.12885230289526847</v>
      </c>
      <c r="G24" s="387">
        <v>0.47131557937882268</v>
      </c>
      <c r="H24" s="387">
        <v>0.75811389645006133</v>
      </c>
      <c r="I24" s="387">
        <v>1.7641507534377241E-2</v>
      </c>
      <c r="J24" s="2"/>
      <c r="K24" s="2"/>
      <c r="L24" s="2"/>
      <c r="M24" s="2"/>
      <c r="N24" s="2"/>
      <c r="O24" s="2"/>
      <c r="P24" s="2"/>
      <c r="Q24" s="2"/>
      <c r="R24" s="2"/>
      <c r="S24" s="2"/>
      <c r="T24" s="2"/>
      <c r="U24" s="2"/>
      <c r="V24" s="2"/>
      <c r="W24" s="2"/>
      <c r="X24" s="2"/>
      <c r="Y24" s="2"/>
      <c r="Z24" s="2"/>
    </row>
    <row r="25" spans="1:26">
      <c r="A25" s="2"/>
      <c r="B25" s="445" t="s">
        <v>328</v>
      </c>
      <c r="C25" s="387"/>
      <c r="D25" s="395">
        <v>0.26529420964244854</v>
      </c>
      <c r="E25" s="395">
        <v>-1.2311794404537615</v>
      </c>
      <c r="F25" s="395">
        <v>0.2522216877268999</v>
      </c>
      <c r="G25" s="395">
        <v>-1.2566478777732133</v>
      </c>
      <c r="H25" s="395">
        <v>-1.2189022647063537</v>
      </c>
      <c r="I25" s="395">
        <v>-0.73269674933837248</v>
      </c>
      <c r="J25" s="2"/>
      <c r="K25" s="2"/>
      <c r="L25" s="2"/>
      <c r="M25" s="2"/>
      <c r="N25" s="2"/>
      <c r="O25" s="2"/>
      <c r="P25" s="2"/>
      <c r="Q25" s="2"/>
      <c r="R25" s="2"/>
      <c r="S25" s="2"/>
      <c r="T25" s="2"/>
      <c r="U25" s="2"/>
      <c r="V25" s="2"/>
      <c r="W25" s="2"/>
      <c r="X25" s="2"/>
      <c r="Y25" s="2"/>
      <c r="Z25" s="2"/>
    </row>
    <row r="26" spans="1:26" s="437" customFormat="1">
      <c r="A26" s="434"/>
      <c r="B26" s="446" t="s">
        <v>18</v>
      </c>
      <c r="C26" s="447"/>
      <c r="D26" s="439"/>
      <c r="E26" s="439"/>
      <c r="F26" s="439"/>
      <c r="G26" s="439"/>
      <c r="H26" s="439"/>
      <c r="I26" s="436"/>
      <c r="J26" s="434"/>
      <c r="K26" s="434"/>
      <c r="L26" s="434"/>
      <c r="M26" s="434"/>
      <c r="N26" s="434"/>
      <c r="O26" s="434"/>
      <c r="P26" s="434"/>
      <c r="Q26" s="434"/>
      <c r="R26" s="434"/>
      <c r="S26" s="434"/>
      <c r="T26" s="434"/>
      <c r="U26" s="434"/>
      <c r="V26" s="434"/>
      <c r="W26" s="434"/>
      <c r="X26" s="434"/>
      <c r="Y26" s="434"/>
      <c r="Z26" s="434"/>
    </row>
    <row r="27" spans="1:26">
      <c r="A27" s="2"/>
      <c r="B27" s="448" t="s">
        <v>321</v>
      </c>
      <c r="C27" s="223"/>
      <c r="D27" s="392">
        <v>3.8115823589919273E-3</v>
      </c>
      <c r="E27" s="392">
        <v>-1.0457675362889916</v>
      </c>
      <c r="F27" s="392">
        <v>1.6753159396302948</v>
      </c>
      <c r="G27" s="392">
        <v>1.1899313991132772</v>
      </c>
      <c r="H27" s="392">
        <v>1.1847892603607306</v>
      </c>
      <c r="I27" s="392">
        <v>1.3482743341406405</v>
      </c>
      <c r="J27" s="2"/>
      <c r="K27" s="2"/>
      <c r="L27" s="2"/>
      <c r="M27" s="2"/>
      <c r="N27" s="2"/>
      <c r="O27" s="2"/>
      <c r="P27" s="2"/>
      <c r="Q27" s="2"/>
      <c r="R27" s="2"/>
      <c r="S27" s="2"/>
      <c r="T27" s="2"/>
      <c r="U27" s="2"/>
      <c r="V27" s="2"/>
      <c r="W27" s="2"/>
      <c r="X27" s="2"/>
      <c r="Y27" s="2"/>
      <c r="Z27" s="2"/>
    </row>
    <row r="28" spans="1:26">
      <c r="A28" s="2"/>
      <c r="B28" s="448" t="s">
        <v>329</v>
      </c>
      <c r="C28" s="223"/>
      <c r="D28" s="392">
        <v>0.26148262728345661</v>
      </c>
      <c r="E28" s="392">
        <v>-0.18541190416476994</v>
      </c>
      <c r="F28" s="392">
        <v>-1.4230942519033949</v>
      </c>
      <c r="G28" s="392">
        <v>-2.4465792768864905</v>
      </c>
      <c r="H28" s="392">
        <v>-2.4036915250670843</v>
      </c>
      <c r="I28" s="392">
        <v>-2.0809710834790129</v>
      </c>
      <c r="J28" s="2"/>
      <c r="K28" s="2"/>
      <c r="L28" s="2"/>
      <c r="M28" s="2"/>
      <c r="N28" s="2"/>
      <c r="O28" s="2"/>
      <c r="P28" s="2"/>
      <c r="Q28" s="2"/>
      <c r="R28" s="2"/>
      <c r="S28" s="2"/>
      <c r="T28" s="2"/>
      <c r="U28" s="2"/>
      <c r="V28" s="2"/>
      <c r="W28" s="2"/>
      <c r="X28" s="2"/>
      <c r="Y28" s="2"/>
      <c r="Z28" s="2"/>
    </row>
    <row r="29" spans="1:26" ht="34.5" customHeight="1" thickBot="1">
      <c r="A29" s="2"/>
      <c r="B29" s="543" t="s">
        <v>739</v>
      </c>
      <c r="C29" s="543"/>
      <c r="D29" s="543"/>
      <c r="E29" s="543"/>
      <c r="F29" s="543"/>
      <c r="G29" s="543"/>
      <c r="H29" s="543"/>
      <c r="I29" s="543"/>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3">
    <mergeCell ref="C4:I4"/>
    <mergeCell ref="D5:I5"/>
    <mergeCell ref="B29:I29"/>
  </mergeCells>
  <hyperlinks>
    <hyperlink ref="A1" location="Contents!A1" display="Contents!A1" xr:uid="{910E1C13-5CF3-4B90-8134-6F6914B0A6B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BFA9C-0B52-4E18-BEC7-E0252E59736A}">
  <dimension ref="A1:I47"/>
  <sheetViews>
    <sheetView showGridLines="0" workbookViewId="0">
      <selection activeCell="H16" sqref="H16"/>
    </sheetView>
  </sheetViews>
  <sheetFormatPr defaultColWidth="11.42578125" defaultRowHeight="12.75"/>
  <cols>
    <col min="1" max="1" width="11.42578125" style="311"/>
    <col min="2" max="2" width="35.7109375" style="311" customWidth="1"/>
    <col min="3" max="9" width="8" style="311" customWidth="1"/>
    <col min="10" max="16384" width="11.42578125" style="311"/>
  </cols>
  <sheetData>
    <row r="1" spans="1:9" ht="39.950000000000003" customHeight="1">
      <c r="A1" s="310" t="s">
        <v>0</v>
      </c>
    </row>
    <row r="2" spans="1:9" ht="17.25">
      <c r="B2" s="312" t="s">
        <v>54</v>
      </c>
    </row>
    <row r="3" spans="1:9" ht="13.5" thickBot="1">
      <c r="B3" s="449"/>
      <c r="C3" s="450"/>
      <c r="D3" s="450"/>
      <c r="E3" s="450"/>
      <c r="F3" s="450"/>
      <c r="G3" s="450"/>
      <c r="H3" s="450"/>
      <c r="I3" s="451"/>
    </row>
    <row r="4" spans="1:9" s="487" customFormat="1">
      <c r="B4" s="488"/>
      <c r="C4" s="544" t="s">
        <v>2</v>
      </c>
      <c r="D4" s="544"/>
      <c r="E4" s="544"/>
      <c r="F4" s="544"/>
      <c r="G4" s="544"/>
      <c r="H4" s="544"/>
      <c r="I4" s="545"/>
    </row>
    <row r="5" spans="1:9" s="487" customFormat="1">
      <c r="B5" s="489"/>
      <c r="C5" s="490" t="s">
        <v>3</v>
      </c>
      <c r="D5" s="546" t="s">
        <v>4</v>
      </c>
      <c r="E5" s="546"/>
      <c r="F5" s="546"/>
      <c r="G5" s="546"/>
      <c r="H5" s="546"/>
      <c r="I5" s="547"/>
    </row>
    <row r="6" spans="1:9" s="487" customFormat="1">
      <c r="B6" s="491"/>
      <c r="C6" s="492" t="s">
        <v>5</v>
      </c>
      <c r="D6" s="493" t="s">
        <v>6</v>
      </c>
      <c r="E6" s="493" t="s">
        <v>7</v>
      </c>
      <c r="F6" s="493" t="s">
        <v>8</v>
      </c>
      <c r="G6" s="493" t="s">
        <v>9</v>
      </c>
      <c r="H6" s="493" t="s">
        <v>10</v>
      </c>
      <c r="I6" s="494" t="s">
        <v>11</v>
      </c>
    </row>
    <row r="7" spans="1:9">
      <c r="B7" s="452" t="s">
        <v>55</v>
      </c>
      <c r="C7" s="453"/>
      <c r="D7" s="453"/>
      <c r="E7" s="453"/>
      <c r="F7" s="453"/>
      <c r="G7" s="454"/>
      <c r="H7" s="454"/>
      <c r="I7" s="455"/>
    </row>
    <row r="8" spans="1:9">
      <c r="B8" s="456" t="s">
        <v>56</v>
      </c>
      <c r="C8" s="457">
        <v>407.45770389400002</v>
      </c>
      <c r="D8" s="457">
        <v>422.94448746678228</v>
      </c>
      <c r="E8" s="457">
        <v>430.19537877771137</v>
      </c>
      <c r="F8" s="457">
        <v>440.0353514465599</v>
      </c>
      <c r="G8" s="457">
        <v>452.28089150009794</v>
      </c>
      <c r="H8" s="457">
        <v>465.55777213391832</v>
      </c>
      <c r="I8" s="458">
        <v>479.15889214608609</v>
      </c>
    </row>
    <row r="9" spans="1:9">
      <c r="B9" s="459" t="s">
        <v>57</v>
      </c>
      <c r="C9" s="457">
        <v>643.61429610599987</v>
      </c>
      <c r="D9" s="457">
        <v>659.96315177685642</v>
      </c>
      <c r="E9" s="457">
        <v>660.19409528777669</v>
      </c>
      <c r="F9" s="457">
        <v>679.56195261112384</v>
      </c>
      <c r="G9" s="457">
        <v>705.72939640646814</v>
      </c>
      <c r="H9" s="457">
        <v>725.75804105423322</v>
      </c>
      <c r="I9" s="458">
        <v>751.95567760606707</v>
      </c>
    </row>
    <row r="10" spans="1:9">
      <c r="B10" s="460" t="s">
        <v>18</v>
      </c>
      <c r="C10" s="457"/>
      <c r="D10" s="457"/>
      <c r="E10" s="457"/>
      <c r="F10" s="457"/>
      <c r="G10" s="457"/>
      <c r="H10" s="457"/>
      <c r="I10" s="458"/>
    </row>
    <row r="11" spans="1:9">
      <c r="B11" s="461" t="s">
        <v>49</v>
      </c>
      <c r="C11" s="457">
        <v>261.48739657680085</v>
      </c>
      <c r="D11" s="457">
        <v>295.848450616908</v>
      </c>
      <c r="E11" s="457">
        <v>315.14089074569301</v>
      </c>
      <c r="F11" s="457">
        <v>329.00885670394058</v>
      </c>
      <c r="G11" s="457">
        <v>339.72753880518877</v>
      </c>
      <c r="H11" s="457">
        <v>348.23329669129492</v>
      </c>
      <c r="I11" s="458">
        <v>360.06886667128902</v>
      </c>
    </row>
    <row r="12" spans="1:9">
      <c r="B12" s="462" t="s">
        <v>58</v>
      </c>
      <c r="C12" s="457">
        <v>60.137438144049774</v>
      </c>
      <c r="D12" s="457">
        <v>62.063370764129765</v>
      </c>
      <c r="E12" s="457">
        <v>64.070521944004298</v>
      </c>
      <c r="F12" s="457">
        <v>66.141170410399724</v>
      </c>
      <c r="G12" s="457">
        <v>69.311314599573464</v>
      </c>
      <c r="H12" s="457">
        <v>72.175566307320821</v>
      </c>
      <c r="I12" s="458">
        <v>75.387202914521055</v>
      </c>
    </row>
    <row r="13" spans="1:9" ht="27.75">
      <c r="B13" s="463" t="s">
        <v>249</v>
      </c>
      <c r="C13" s="457">
        <v>111.48099999999999</v>
      </c>
      <c r="D13" s="457">
        <v>104.74828068467963</v>
      </c>
      <c r="E13" s="457">
        <v>88.955774864443299</v>
      </c>
      <c r="F13" s="457">
        <v>88.88856288520833</v>
      </c>
      <c r="G13" s="457">
        <v>96.204209798282477</v>
      </c>
      <c r="H13" s="457">
        <v>103.0440022593192</v>
      </c>
      <c r="I13" s="458">
        <v>109.63575039408265</v>
      </c>
    </row>
    <row r="14" spans="1:9">
      <c r="B14" s="464" t="s">
        <v>60</v>
      </c>
      <c r="C14" s="457">
        <v>39.586038000000002</v>
      </c>
      <c r="D14" s="457">
        <v>42.618446863151377</v>
      </c>
      <c r="E14" s="457">
        <v>44.427362767945155</v>
      </c>
      <c r="F14" s="457">
        <v>45.138799001358251</v>
      </c>
      <c r="G14" s="457">
        <v>46.302916927782192</v>
      </c>
      <c r="H14" s="457">
        <v>47.15781778946549</v>
      </c>
      <c r="I14" s="458">
        <v>49.134057984899847</v>
      </c>
    </row>
    <row r="15" spans="1:9">
      <c r="B15" s="462" t="s">
        <v>61</v>
      </c>
      <c r="C15" s="457">
        <v>8.8096666927323266</v>
      </c>
      <c r="D15" s="457">
        <v>7.7514634051546034</v>
      </c>
      <c r="E15" s="457">
        <v>1.135535971581493</v>
      </c>
      <c r="F15" s="457">
        <v>1.0637573483339307</v>
      </c>
      <c r="G15" s="457">
        <v>0.53814570307660103</v>
      </c>
      <c r="H15" s="457">
        <v>0.18596544798658449</v>
      </c>
      <c r="I15" s="458">
        <v>0.52161233286512398</v>
      </c>
    </row>
    <row r="16" spans="1:9">
      <c r="B16" s="462" t="s">
        <v>62</v>
      </c>
      <c r="C16" s="457">
        <v>3.5806935329872851</v>
      </c>
      <c r="D16" s="457">
        <v>4.5721668366405019</v>
      </c>
      <c r="E16" s="457">
        <v>3.4392332905748928</v>
      </c>
      <c r="F16" s="457">
        <v>4.1530843681702772</v>
      </c>
      <c r="G16" s="457">
        <v>3.1004120043013033</v>
      </c>
      <c r="H16" s="457">
        <v>2.2310310498476635</v>
      </c>
      <c r="I16" s="458">
        <v>0.64376789291110115</v>
      </c>
    </row>
    <row r="17" spans="2:9">
      <c r="B17" s="462" t="s">
        <v>63</v>
      </c>
      <c r="C17" s="457">
        <v>9.2172361074628668</v>
      </c>
      <c r="D17" s="457">
        <v>9.3808387540840688</v>
      </c>
      <c r="E17" s="457">
        <v>9.6580323149109084</v>
      </c>
      <c r="F17" s="457">
        <v>10.166964566441484</v>
      </c>
      <c r="G17" s="457">
        <v>10.581999615727565</v>
      </c>
      <c r="H17" s="457">
        <v>10.989011414924576</v>
      </c>
      <c r="I17" s="458">
        <v>11.35533364466486</v>
      </c>
    </row>
    <row r="18" spans="2:9">
      <c r="B18" s="462" t="s">
        <v>64</v>
      </c>
      <c r="C18" s="457">
        <v>4.224676779440002</v>
      </c>
      <c r="D18" s="457">
        <v>4.1788233079100001</v>
      </c>
      <c r="E18" s="457">
        <v>4.3327532764700001</v>
      </c>
      <c r="F18" s="457">
        <v>4.1190666244800003</v>
      </c>
      <c r="G18" s="457">
        <v>4.2703320194799996</v>
      </c>
      <c r="H18" s="457">
        <v>4.3553320194799996</v>
      </c>
      <c r="I18" s="458">
        <v>4.4052235278906666</v>
      </c>
    </row>
    <row r="19" spans="2:9">
      <c r="B19" s="462" t="s">
        <v>65</v>
      </c>
      <c r="C19" s="457">
        <v>1.2853600000000001</v>
      </c>
      <c r="D19" s="457">
        <v>1.2437494999999998</v>
      </c>
      <c r="E19" s="457">
        <v>1.4147530000000001</v>
      </c>
      <c r="F19" s="457">
        <v>1.4105404999999998</v>
      </c>
      <c r="G19" s="457">
        <v>1.318127</v>
      </c>
      <c r="H19" s="457">
        <v>1.2435335000000001</v>
      </c>
      <c r="I19" s="458">
        <v>1.2428824999999999</v>
      </c>
    </row>
    <row r="20" spans="2:9">
      <c r="B20" s="462" t="s">
        <v>66</v>
      </c>
      <c r="C20" s="457">
        <v>3.3853899077747083</v>
      </c>
      <c r="D20" s="457">
        <v>1.6987072955535416</v>
      </c>
      <c r="E20" s="457">
        <v>1.7594719365158089</v>
      </c>
      <c r="F20" s="457">
        <v>1.8057996333901782</v>
      </c>
      <c r="G20" s="457">
        <v>1.8560500089859617</v>
      </c>
      <c r="H20" s="457">
        <v>1.9100248867572795</v>
      </c>
      <c r="I20" s="458">
        <v>1.9688474659584962</v>
      </c>
    </row>
    <row r="21" spans="2:9">
      <c r="B21" s="465" t="s">
        <v>67</v>
      </c>
      <c r="C21" s="457">
        <v>0.54400000000000004</v>
      </c>
      <c r="D21" s="457">
        <v>0.54</v>
      </c>
      <c r="E21" s="457">
        <v>0.54</v>
      </c>
      <c r="F21" s="457">
        <v>0.54</v>
      </c>
      <c r="G21" s="457">
        <v>0.54</v>
      </c>
      <c r="H21" s="457">
        <v>0.54</v>
      </c>
      <c r="I21" s="458">
        <v>0.54</v>
      </c>
    </row>
    <row r="22" spans="2:9">
      <c r="B22" s="465" t="s">
        <v>68</v>
      </c>
      <c r="C22" s="457">
        <v>7.48</v>
      </c>
      <c r="D22" s="457">
        <v>0.621</v>
      </c>
      <c r="E22" s="457">
        <v>0</v>
      </c>
      <c r="F22" s="457">
        <v>0</v>
      </c>
      <c r="G22" s="457">
        <v>0</v>
      </c>
      <c r="H22" s="457">
        <v>0</v>
      </c>
      <c r="I22" s="458">
        <v>0</v>
      </c>
    </row>
    <row r="23" spans="2:9">
      <c r="B23" s="465" t="s">
        <v>69</v>
      </c>
      <c r="C23" s="457">
        <v>20.422999999999998</v>
      </c>
      <c r="D23" s="457">
        <v>3.823</v>
      </c>
      <c r="E23" s="457">
        <v>0</v>
      </c>
      <c r="F23" s="457">
        <v>0</v>
      </c>
      <c r="G23" s="457">
        <v>0</v>
      </c>
      <c r="H23" s="457">
        <v>0</v>
      </c>
      <c r="I23" s="458">
        <v>0</v>
      </c>
    </row>
    <row r="24" spans="2:9">
      <c r="B24" s="465" t="s">
        <v>70</v>
      </c>
      <c r="C24" s="457">
        <v>17.640400000000003</v>
      </c>
      <c r="D24" s="457">
        <v>17.480552456224547</v>
      </c>
      <c r="E24" s="457">
        <v>18.337814778583056</v>
      </c>
      <c r="F24" s="457">
        <v>19.196760188361587</v>
      </c>
      <c r="G24" s="457">
        <v>20.095220447966796</v>
      </c>
      <c r="H24" s="457">
        <v>21.03481021818687</v>
      </c>
      <c r="I24" s="458">
        <v>22.017230060619671</v>
      </c>
    </row>
    <row r="25" spans="2:9">
      <c r="B25" s="462" t="s">
        <v>71</v>
      </c>
      <c r="C25" s="457">
        <v>53.612000000000002</v>
      </c>
      <c r="D25" s="457">
        <v>59.195901237251341</v>
      </c>
      <c r="E25" s="457">
        <v>62.151569907696192</v>
      </c>
      <c r="F25" s="457">
        <v>63.860772158419017</v>
      </c>
      <c r="G25" s="457">
        <v>65.878597209553831</v>
      </c>
      <c r="H25" s="457">
        <v>68.198726699496504</v>
      </c>
      <c r="I25" s="458">
        <v>70.407868128272654</v>
      </c>
    </row>
    <row r="26" spans="2:9">
      <c r="B26" s="462" t="s">
        <v>72</v>
      </c>
      <c r="C26" s="457">
        <v>21.652712521893235</v>
      </c>
      <c r="D26" s="457">
        <v>23.807721098091402</v>
      </c>
      <c r="E26" s="457">
        <v>24.213362746972241</v>
      </c>
      <c r="F26" s="457">
        <v>25.281641596526583</v>
      </c>
      <c r="G26" s="457">
        <v>25.885868313696953</v>
      </c>
      <c r="H26" s="457">
        <v>26.609831306285759</v>
      </c>
      <c r="I26" s="458">
        <v>27.42646392497964</v>
      </c>
    </row>
    <row r="27" spans="2:9">
      <c r="B27" s="462" t="s">
        <v>73</v>
      </c>
      <c r="C27" s="457">
        <v>8.3667835885332664</v>
      </c>
      <c r="D27" s="457">
        <v>11.089180309123737</v>
      </c>
      <c r="E27" s="457">
        <v>12.735749138264365</v>
      </c>
      <c r="F27" s="457">
        <v>13.348356601696418</v>
      </c>
      <c r="G27" s="457">
        <v>15.000677473199655</v>
      </c>
      <c r="H27" s="457">
        <v>12.799420520235337</v>
      </c>
      <c r="I27" s="458">
        <v>12.240089369641101</v>
      </c>
    </row>
    <row r="28" spans="2:9">
      <c r="B28" s="462" t="s">
        <v>74</v>
      </c>
      <c r="C28" s="457">
        <v>11.526457317333382</v>
      </c>
      <c r="D28" s="457">
        <v>8.3998147611172556</v>
      </c>
      <c r="E28" s="457">
        <v>7.7607445838116575</v>
      </c>
      <c r="F28" s="457">
        <v>5.60160345045702</v>
      </c>
      <c r="G28" s="457">
        <v>5.4772570886646861</v>
      </c>
      <c r="H28" s="457">
        <v>5.5610564867153585</v>
      </c>
      <c r="I28" s="458">
        <v>5.678047836454823</v>
      </c>
    </row>
    <row r="29" spans="2:9">
      <c r="B29" s="466" t="s">
        <v>75</v>
      </c>
      <c r="C29" s="457">
        <v>-0.82595306300779336</v>
      </c>
      <c r="D29" s="457">
        <v>0.90168388683661538</v>
      </c>
      <c r="E29" s="457">
        <v>0.12052402031024781</v>
      </c>
      <c r="F29" s="457">
        <v>-0.16378342605959501</v>
      </c>
      <c r="G29" s="457">
        <v>-0.35927060901213498</v>
      </c>
      <c r="H29" s="457">
        <v>-0.51138554308315842</v>
      </c>
      <c r="I29" s="458">
        <v>-0.71756704298359753</v>
      </c>
    </row>
    <row r="30" spans="2:9">
      <c r="B30" s="467" t="s">
        <v>76</v>
      </c>
      <c r="C30" s="468">
        <v>1051.0719999999999</v>
      </c>
      <c r="D30" s="468">
        <v>1082.9076392436386</v>
      </c>
      <c r="E30" s="468">
        <v>1090.389474065488</v>
      </c>
      <c r="F30" s="468">
        <v>1119.5973040576837</v>
      </c>
      <c r="G30" s="468">
        <v>1158.0102879065662</v>
      </c>
      <c r="H30" s="468">
        <v>1191.3158131881514</v>
      </c>
      <c r="I30" s="469">
        <v>1231.1145697521531</v>
      </c>
    </row>
    <row r="31" spans="2:9">
      <c r="B31" s="470" t="s">
        <v>77</v>
      </c>
      <c r="C31" s="457"/>
      <c r="D31" s="457"/>
      <c r="E31" s="457"/>
      <c r="F31" s="457"/>
      <c r="G31" s="457"/>
      <c r="H31" s="457"/>
      <c r="I31" s="458"/>
    </row>
    <row r="32" spans="2:9">
      <c r="B32" s="459" t="s">
        <v>78</v>
      </c>
      <c r="C32" s="457">
        <v>89.791732999999994</v>
      </c>
      <c r="D32" s="457">
        <v>95.583785992908247</v>
      </c>
      <c r="E32" s="457">
        <v>99.200029696154957</v>
      </c>
      <c r="F32" s="457">
        <v>98.062828015251441</v>
      </c>
      <c r="G32" s="457">
        <v>98.348124035993933</v>
      </c>
      <c r="H32" s="457">
        <v>98.339716566884476</v>
      </c>
      <c r="I32" s="458">
        <v>97.358047001706282</v>
      </c>
    </row>
    <row r="33" spans="2:9">
      <c r="B33" s="459" t="s">
        <v>79</v>
      </c>
      <c r="C33" s="457">
        <v>16.548267000000013</v>
      </c>
      <c r="D33" s="457">
        <v>37.782479733008799</v>
      </c>
      <c r="E33" s="457">
        <v>36.758702211611627</v>
      </c>
      <c r="F33" s="457">
        <v>33.997042388490698</v>
      </c>
      <c r="G33" s="457">
        <v>33.894631010589556</v>
      </c>
      <c r="H33" s="457">
        <v>33.406167171159169</v>
      </c>
      <c r="I33" s="458">
        <v>33.203153266238338</v>
      </c>
    </row>
    <row r="34" spans="2:9">
      <c r="B34" s="471" t="s">
        <v>18</v>
      </c>
      <c r="C34" s="457"/>
      <c r="D34" s="457"/>
      <c r="E34" s="457"/>
      <c r="F34" s="457"/>
      <c r="G34" s="457"/>
      <c r="H34" s="457"/>
      <c r="I34" s="458"/>
    </row>
    <row r="35" spans="2:9">
      <c r="B35" s="472" t="s">
        <v>80</v>
      </c>
      <c r="C35" s="457">
        <v>10.835605010333213</v>
      </c>
      <c r="D35" s="457">
        <v>8.8351358964902929</v>
      </c>
      <c r="E35" s="457">
        <v>8.2751923811995987</v>
      </c>
      <c r="F35" s="457">
        <v>7.5499586268329919</v>
      </c>
      <c r="G35" s="457">
        <v>8.1494607355641371</v>
      </c>
      <c r="H35" s="457">
        <v>8.1407231416201338</v>
      </c>
      <c r="I35" s="458">
        <v>8.2007893571682402</v>
      </c>
    </row>
    <row r="36" spans="2:9">
      <c r="B36" s="473" t="s">
        <v>81</v>
      </c>
      <c r="C36" s="457">
        <v>11.556756999999998</v>
      </c>
      <c r="D36" s="457">
        <v>11.199766914264888</v>
      </c>
      <c r="E36" s="457">
        <v>11.740905469685153</v>
      </c>
      <c r="F36" s="457">
        <v>11.617590882701901</v>
      </c>
      <c r="G36" s="457">
        <v>11.610803009800046</v>
      </c>
      <c r="H36" s="457">
        <v>11.667160603264113</v>
      </c>
      <c r="I36" s="458">
        <v>11.740328446379754</v>
      </c>
    </row>
    <row r="37" spans="2:9">
      <c r="B37" s="463" t="s">
        <v>82</v>
      </c>
      <c r="C37" s="457">
        <v>0.48799999999999999</v>
      </c>
      <c r="D37" s="457">
        <v>9.8426784806214158</v>
      </c>
      <c r="E37" s="457">
        <v>8.9549481575765668</v>
      </c>
      <c r="F37" s="457">
        <v>8.1280840959378597</v>
      </c>
      <c r="G37" s="457">
        <v>7.5164923162968016</v>
      </c>
      <c r="H37" s="457">
        <v>7.2257973094989278</v>
      </c>
      <c r="I37" s="458">
        <v>7.0930287203843072</v>
      </c>
    </row>
    <row r="38" spans="2:9">
      <c r="B38" s="462" t="s">
        <v>70</v>
      </c>
      <c r="C38" s="457">
        <v>-4.8540000000000001</v>
      </c>
      <c r="D38" s="457">
        <v>0.71152891099545623</v>
      </c>
      <c r="E38" s="457">
        <v>0.71152891099545623</v>
      </c>
      <c r="F38" s="457">
        <v>0.71152891099545623</v>
      </c>
      <c r="G38" s="457">
        <v>0.71152891099545623</v>
      </c>
      <c r="H38" s="457">
        <v>0.71152891099545623</v>
      </c>
      <c r="I38" s="458">
        <v>0.71152891099545623</v>
      </c>
    </row>
    <row r="39" spans="2:9">
      <c r="B39" s="462" t="s">
        <v>83</v>
      </c>
      <c r="C39" s="457">
        <v>4.5694809999999997</v>
      </c>
      <c r="D39" s="457">
        <v>5.6714916275010507</v>
      </c>
      <c r="E39" s="457">
        <v>5.470919928594725</v>
      </c>
      <c r="F39" s="457">
        <v>5.2342224150866352</v>
      </c>
      <c r="G39" s="457">
        <v>5.2275066400013976</v>
      </c>
      <c r="H39" s="457">
        <v>5.2113555065189017</v>
      </c>
      <c r="I39" s="458">
        <v>5.1460267739014363</v>
      </c>
    </row>
    <row r="40" spans="2:9">
      <c r="B40" s="463" t="s">
        <v>84</v>
      </c>
      <c r="C40" s="457">
        <v>0</v>
      </c>
      <c r="D40" s="457">
        <v>0.82350000000000045</v>
      </c>
      <c r="E40" s="457">
        <v>1.2033960000000004</v>
      </c>
      <c r="F40" s="457">
        <v>0.63406324999999997</v>
      </c>
      <c r="G40" s="457">
        <v>0.63406324999999997</v>
      </c>
      <c r="H40" s="457">
        <v>0.63406324999999997</v>
      </c>
      <c r="I40" s="458">
        <v>0.63406324999999997</v>
      </c>
    </row>
    <row r="41" spans="2:9">
      <c r="B41" s="463" t="s">
        <v>85</v>
      </c>
      <c r="C41" s="457">
        <v>0.38561145671381886</v>
      </c>
      <c r="D41" s="457">
        <v>1.2091956018891254</v>
      </c>
      <c r="E41" s="457">
        <v>0.89061082664394009</v>
      </c>
      <c r="F41" s="457">
        <v>0.81662251687714316</v>
      </c>
      <c r="G41" s="457">
        <v>0.72455504774103718</v>
      </c>
      <c r="H41" s="457">
        <v>0.56602273029225714</v>
      </c>
      <c r="I41" s="458">
        <v>0.52125924165489967</v>
      </c>
    </row>
    <row r="42" spans="2:9">
      <c r="B42" s="474" t="s">
        <v>86</v>
      </c>
      <c r="C42" s="475">
        <v>-6.4331874670470119</v>
      </c>
      <c r="D42" s="475">
        <v>-0.5108176987534252</v>
      </c>
      <c r="E42" s="475">
        <v>-0.4887994630838059</v>
      </c>
      <c r="F42" s="475">
        <v>-0.69502830994128839</v>
      </c>
      <c r="G42" s="475">
        <v>-0.67977889980931372</v>
      </c>
      <c r="H42" s="475">
        <v>-0.75048428103061326</v>
      </c>
      <c r="I42" s="476">
        <v>-0.84387143424575617</v>
      </c>
    </row>
    <row r="43" spans="2:9">
      <c r="B43" s="477" t="s">
        <v>87</v>
      </c>
      <c r="C43" s="468">
        <v>106.34</v>
      </c>
      <c r="D43" s="468">
        <v>133.36626572591706</v>
      </c>
      <c r="E43" s="468">
        <v>135.95873190776658</v>
      </c>
      <c r="F43" s="468">
        <v>132.05987040374214</v>
      </c>
      <c r="G43" s="468">
        <v>132.24275504658348</v>
      </c>
      <c r="H43" s="468">
        <v>131.74588373804363</v>
      </c>
      <c r="I43" s="469">
        <v>130.56120026794463</v>
      </c>
    </row>
    <row r="44" spans="2:9">
      <c r="B44" s="478" t="s">
        <v>88</v>
      </c>
      <c r="C44" s="457">
        <v>-60.341000000000001</v>
      </c>
      <c r="D44" s="457">
        <v>-66.227454941234683</v>
      </c>
      <c r="E44" s="457">
        <v>-69.392239062445654</v>
      </c>
      <c r="F44" s="457">
        <v>-71.109613612284932</v>
      </c>
      <c r="G44" s="457">
        <v>-73.128370730767855</v>
      </c>
      <c r="H44" s="457">
        <v>-75.41256491846444</v>
      </c>
      <c r="I44" s="458">
        <v>-77.502920353546827</v>
      </c>
    </row>
    <row r="45" spans="2:9">
      <c r="B45" s="479" t="s">
        <v>89</v>
      </c>
      <c r="C45" s="475">
        <v>45.999000000000002</v>
      </c>
      <c r="D45" s="475">
        <v>67.138810784682377</v>
      </c>
      <c r="E45" s="475">
        <v>66.566492845320923</v>
      </c>
      <c r="F45" s="475">
        <v>60.950256791457207</v>
      </c>
      <c r="G45" s="475">
        <v>59.114384315815627</v>
      </c>
      <c r="H45" s="475">
        <v>56.333318819579191</v>
      </c>
      <c r="I45" s="476">
        <v>53.058279914397801</v>
      </c>
    </row>
    <row r="46" spans="2:9">
      <c r="B46" s="480" t="s">
        <v>90</v>
      </c>
      <c r="C46" s="481">
        <v>1157.4119999999998</v>
      </c>
      <c r="D46" s="481">
        <v>1216.2739049695556</v>
      </c>
      <c r="E46" s="481">
        <v>1226.3482059732546</v>
      </c>
      <c r="F46" s="481">
        <v>1251.6571744614257</v>
      </c>
      <c r="G46" s="481">
        <v>1290.2530429531496</v>
      </c>
      <c r="H46" s="481">
        <v>1323.0616969261951</v>
      </c>
      <c r="I46" s="482">
        <v>1361.6757700200978</v>
      </c>
    </row>
    <row r="47" spans="2:9" ht="13.5" thickBot="1">
      <c r="B47" s="483" t="s">
        <v>91</v>
      </c>
      <c r="C47" s="484"/>
      <c r="D47" s="484"/>
      <c r="E47" s="484"/>
      <c r="F47" s="484"/>
      <c r="G47" s="484"/>
      <c r="H47" s="485"/>
      <c r="I47" s="486"/>
    </row>
  </sheetData>
  <mergeCells count="2">
    <mergeCell ref="C4:I4"/>
    <mergeCell ref="D5:I5"/>
  </mergeCells>
  <conditionalFormatting sqref="C46:I46 C30:I30">
    <cfRule type="cellIs" dxfId="8" priority="1" operator="greaterThan">
      <formula>1000</formula>
    </cfRule>
  </conditionalFormatting>
  <hyperlinks>
    <hyperlink ref="A1" location="Contents!A1" display="Contents!A1" xr:uid="{398B8606-FB8B-4EE6-A110-ADBD8BAC4EE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9C4DC-351C-4B36-911C-B235FA084F42}">
  <dimension ref="A1:Z100"/>
  <sheetViews>
    <sheetView showGridLines="0" workbookViewId="0">
      <selection activeCell="H34" sqref="H34"/>
    </sheetView>
  </sheetViews>
  <sheetFormatPr defaultColWidth="10.140625" defaultRowHeight="12.75"/>
  <cols>
    <col min="1" max="1" width="10.140625" style="254"/>
    <col min="2" max="2" width="41.7109375" style="254" customWidth="1"/>
    <col min="3" max="16384" width="10.140625" style="254"/>
  </cols>
  <sheetData>
    <row r="1" spans="1:26" ht="39.950000000000003"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7.25">
      <c r="A2" s="2"/>
      <c r="B2" s="3" t="s">
        <v>753</v>
      </c>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2"/>
      <c r="B5" s="2"/>
      <c r="C5" s="2"/>
      <c r="D5" s="2"/>
      <c r="E5" s="2"/>
      <c r="F5" s="2"/>
      <c r="G5" s="2"/>
      <c r="H5" s="2"/>
      <c r="I5" s="2"/>
      <c r="J5" s="2"/>
      <c r="K5" s="2"/>
      <c r="L5" s="2"/>
      <c r="M5" s="2"/>
      <c r="N5" s="2"/>
      <c r="O5" s="2"/>
      <c r="P5" s="2"/>
      <c r="Q5" s="2"/>
      <c r="R5" s="2"/>
      <c r="S5" s="2"/>
      <c r="T5" s="2"/>
      <c r="U5" s="2"/>
      <c r="V5" s="2"/>
      <c r="W5" s="2"/>
      <c r="X5" s="2"/>
      <c r="Y5" s="2"/>
      <c r="Z5" s="2"/>
    </row>
    <row r="6" spans="1:26">
      <c r="A6" s="2"/>
      <c r="B6" s="2"/>
      <c r="C6" s="2"/>
      <c r="D6" s="2"/>
      <c r="E6" s="2"/>
      <c r="F6" s="2"/>
      <c r="G6" s="2"/>
      <c r="H6" s="2"/>
      <c r="I6" s="2"/>
      <c r="J6" s="2"/>
      <c r="K6" s="2"/>
      <c r="L6" s="2"/>
      <c r="M6" s="2"/>
      <c r="N6" s="2"/>
      <c r="O6" s="2"/>
      <c r="P6" s="2"/>
      <c r="Q6" s="2"/>
      <c r="R6" s="2"/>
      <c r="S6" s="2"/>
      <c r="T6" s="2"/>
      <c r="U6" s="2"/>
      <c r="V6" s="2"/>
      <c r="W6" s="2"/>
      <c r="X6" s="2"/>
      <c r="Y6" s="2"/>
      <c r="Z6" s="2"/>
    </row>
    <row r="7" spans="1:26">
      <c r="A7" s="2"/>
      <c r="B7" s="2"/>
      <c r="C7" s="2"/>
      <c r="D7" s="2"/>
      <c r="E7" s="2"/>
      <c r="F7" s="2"/>
      <c r="G7" s="2"/>
      <c r="H7" s="2"/>
      <c r="I7" s="2"/>
      <c r="J7" s="2"/>
      <c r="K7" s="2"/>
      <c r="L7" s="2"/>
      <c r="M7" s="2"/>
      <c r="N7" s="2"/>
      <c r="O7" s="2"/>
      <c r="P7" s="2"/>
      <c r="Q7" s="2"/>
      <c r="R7" s="2"/>
      <c r="S7" s="2"/>
      <c r="T7" s="2"/>
      <c r="U7" s="2"/>
      <c r="V7" s="2"/>
      <c r="W7" s="2"/>
      <c r="X7" s="2"/>
      <c r="Y7" s="2"/>
      <c r="Z7" s="2"/>
    </row>
    <row r="8" spans="1:26">
      <c r="A8" s="2"/>
      <c r="B8" s="2"/>
      <c r="C8" s="2"/>
      <c r="D8" s="2"/>
      <c r="E8" s="2"/>
      <c r="F8" s="2"/>
      <c r="G8" s="2"/>
      <c r="H8" s="2"/>
      <c r="I8" s="2"/>
      <c r="J8" s="2"/>
      <c r="K8" s="2"/>
      <c r="L8" s="2"/>
      <c r="M8" s="2"/>
      <c r="N8" s="2"/>
      <c r="O8" s="2"/>
      <c r="P8" s="2"/>
      <c r="Q8" s="2"/>
      <c r="R8" s="2"/>
      <c r="S8" s="2"/>
      <c r="T8" s="2"/>
      <c r="U8" s="2"/>
      <c r="V8" s="2"/>
      <c r="W8" s="2"/>
      <c r="X8" s="2"/>
      <c r="Y8" s="2"/>
      <c r="Z8" s="2"/>
    </row>
    <row r="9" spans="1:26">
      <c r="A9" s="2"/>
      <c r="B9" s="2"/>
      <c r="C9" s="2"/>
      <c r="D9" s="2"/>
      <c r="E9" s="2"/>
      <c r="F9" s="2"/>
      <c r="G9" s="2"/>
      <c r="H9" s="2"/>
      <c r="I9" s="2"/>
      <c r="J9" s="2"/>
      <c r="K9" s="2"/>
      <c r="L9" s="2"/>
      <c r="M9" s="2"/>
      <c r="N9" s="2"/>
      <c r="O9" s="2"/>
      <c r="P9" s="2"/>
      <c r="Q9" s="2"/>
      <c r="R9" s="2"/>
      <c r="S9" s="2"/>
      <c r="T9" s="2"/>
      <c r="U9" s="2"/>
      <c r="V9" s="2"/>
      <c r="W9" s="2"/>
      <c r="X9" s="2"/>
      <c r="Y9" s="2"/>
      <c r="Z9" s="2"/>
    </row>
    <row r="10"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5" thickBo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5" thickBot="1">
      <c r="A25" s="2"/>
      <c r="B25" s="518"/>
      <c r="C25" s="519" t="s">
        <v>33</v>
      </c>
      <c r="D25" s="519" t="s">
        <v>5</v>
      </c>
      <c r="E25" s="519" t="s">
        <v>6</v>
      </c>
      <c r="F25" s="519" t="s">
        <v>7</v>
      </c>
      <c r="G25" s="519" t="s">
        <v>8</v>
      </c>
      <c r="H25" s="519" t="s">
        <v>9</v>
      </c>
      <c r="I25" s="519" t="s">
        <v>10</v>
      </c>
      <c r="J25" s="520" t="s">
        <v>11</v>
      </c>
      <c r="K25" s="2"/>
      <c r="L25" s="2"/>
      <c r="M25" s="2"/>
      <c r="N25" s="2"/>
      <c r="O25" s="2"/>
      <c r="P25" s="2"/>
      <c r="Q25" s="2"/>
      <c r="R25" s="2"/>
      <c r="S25" s="2"/>
      <c r="T25" s="2"/>
      <c r="U25" s="2"/>
      <c r="V25" s="2"/>
      <c r="W25" s="2"/>
      <c r="X25" s="2"/>
      <c r="Y25" s="2"/>
      <c r="Z25" s="2"/>
    </row>
    <row r="26" spans="1:26">
      <c r="A26" s="2"/>
      <c r="B26" s="521" t="s">
        <v>754</v>
      </c>
      <c r="C26" s="522">
        <v>8058.0942690885577</v>
      </c>
      <c r="D26" s="522">
        <v>7886.1650073466508</v>
      </c>
      <c r="E26" s="523">
        <v>7924.8430167134147</v>
      </c>
      <c r="F26" s="523">
        <v>7936.6873455323321</v>
      </c>
      <c r="G26" s="523">
        <v>8093.8951611993189</v>
      </c>
      <c r="H26" s="523">
        <v>8213.0076710505946</v>
      </c>
      <c r="I26" s="523"/>
      <c r="J26" s="524"/>
      <c r="K26" s="2"/>
      <c r="L26" s="2"/>
      <c r="M26" s="2"/>
      <c r="N26" s="2"/>
      <c r="O26" s="2"/>
      <c r="P26" s="2"/>
      <c r="Q26" s="2"/>
      <c r="R26" s="2"/>
      <c r="S26" s="2"/>
      <c r="T26" s="2"/>
      <c r="U26" s="2"/>
      <c r="V26" s="2"/>
      <c r="W26" s="2"/>
      <c r="X26" s="2"/>
      <c r="Y26" s="2"/>
      <c r="Z26" s="2"/>
    </row>
    <row r="27" spans="1:26">
      <c r="A27" s="2"/>
      <c r="B27" s="521" t="s">
        <v>755</v>
      </c>
      <c r="C27" s="522">
        <v>8096.5236829510604</v>
      </c>
      <c r="D27" s="522">
        <v>8161.9940782903932</v>
      </c>
      <c r="E27" s="523">
        <v>8294.4251569161315</v>
      </c>
      <c r="F27" s="523">
        <v>8283.499575173917</v>
      </c>
      <c r="G27" s="523">
        <v>8231.4650147360062</v>
      </c>
      <c r="H27" s="523">
        <v>8230.5647430161371</v>
      </c>
      <c r="I27" s="523"/>
      <c r="J27" s="524"/>
      <c r="K27" s="2"/>
      <c r="L27" s="2"/>
      <c r="M27" s="2"/>
      <c r="N27" s="2"/>
      <c r="O27" s="2"/>
      <c r="P27" s="2"/>
      <c r="Q27" s="2"/>
      <c r="R27" s="2"/>
      <c r="S27" s="2"/>
      <c r="T27" s="2"/>
      <c r="U27" s="2"/>
      <c r="V27" s="2"/>
      <c r="W27" s="2"/>
      <c r="X27" s="2"/>
      <c r="Y27" s="2"/>
      <c r="Z27" s="2"/>
    </row>
    <row r="28" spans="1:26" ht="15" customHeight="1">
      <c r="A28" s="2"/>
      <c r="B28" s="521" t="s">
        <v>756</v>
      </c>
      <c r="C28" s="522">
        <v>8096.5236829510604</v>
      </c>
      <c r="D28" s="522">
        <v>7848.2928585423761</v>
      </c>
      <c r="E28" s="523">
        <v>7650.2726394803676</v>
      </c>
      <c r="F28" s="523">
        <v>7722.1683215341891</v>
      </c>
      <c r="G28" s="523">
        <v>7722.187759010948</v>
      </c>
      <c r="H28" s="523">
        <v>7745.8693176540837</v>
      </c>
      <c r="I28" s="523"/>
      <c r="J28" s="524"/>
      <c r="K28" s="2"/>
      <c r="L28" s="2"/>
      <c r="M28" s="2"/>
      <c r="N28" s="2"/>
      <c r="O28" s="2"/>
      <c r="P28" s="2"/>
      <c r="Q28" s="2"/>
      <c r="R28" s="2"/>
      <c r="S28" s="2"/>
      <c r="T28" s="2"/>
      <c r="U28" s="2"/>
      <c r="V28" s="2"/>
      <c r="W28" s="2"/>
      <c r="X28" s="2"/>
      <c r="Y28" s="2"/>
      <c r="Z28" s="2"/>
    </row>
    <row r="29" spans="1:26" ht="26.25" thickBot="1">
      <c r="A29" s="2"/>
      <c r="B29" s="525" t="s">
        <v>757</v>
      </c>
      <c r="C29" s="526">
        <v>8088.1604900841157</v>
      </c>
      <c r="D29" s="526">
        <v>7786.1672088088053</v>
      </c>
      <c r="E29" s="527">
        <v>7547.7841205557197</v>
      </c>
      <c r="F29" s="527">
        <v>7583.7686669627801</v>
      </c>
      <c r="G29" s="527">
        <v>7563.5995778132046</v>
      </c>
      <c r="H29" s="527">
        <v>7568.7852594692495</v>
      </c>
      <c r="I29" s="527">
        <v>7569.1964536162304</v>
      </c>
      <c r="J29" s="528">
        <v>7552.7030397246554</v>
      </c>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hyperlinks>
    <hyperlink ref="A1" location="Contents!A1" display="Contents!A1" xr:uid="{0FFFA1DC-0126-48B2-BB08-2852B329D1E5}"/>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8892-42F7-4B4D-B9AA-157A9E596D04}">
  <sheetPr>
    <tabColor theme="6"/>
  </sheetPr>
  <dimension ref="A1:V161"/>
  <sheetViews>
    <sheetView zoomScaleNormal="100" zoomScaleSheetLayoutView="85" workbookViewId="0"/>
  </sheetViews>
  <sheetFormatPr defaultColWidth="10" defaultRowHeight="15"/>
  <cols>
    <col min="1" max="2" width="10.5703125" style="111" customWidth="1"/>
    <col min="3" max="4" width="12.5703125" style="111" bestFit="1" customWidth="1"/>
    <col min="5" max="6" width="11.140625" style="111" customWidth="1"/>
    <col min="7" max="7" width="10.5703125" style="111" customWidth="1"/>
    <col min="8" max="8" width="11.7109375" style="111" customWidth="1"/>
    <col min="9" max="9" width="10.5703125" style="111" customWidth="1"/>
    <col min="10" max="10" width="14.5703125" style="111" bestFit="1" customWidth="1"/>
    <col min="11" max="11" width="10.5703125" style="111" customWidth="1"/>
    <col min="12" max="12" width="11.7109375" style="111" customWidth="1"/>
    <col min="13" max="14" width="10.5703125" style="111" customWidth="1"/>
    <col min="15" max="15" width="11.42578125" style="111" bestFit="1" customWidth="1"/>
    <col min="16" max="16" width="10.5703125" style="111" customWidth="1"/>
    <col min="17" max="17" width="11.7109375" style="111" bestFit="1" customWidth="1"/>
    <col min="18" max="19" width="10.5703125" style="111" customWidth="1"/>
    <col min="20" max="20" width="10" style="111"/>
    <col min="21" max="22" width="10.5703125" style="111" bestFit="1" customWidth="1"/>
    <col min="23" max="16384" width="10" style="111"/>
  </cols>
  <sheetData>
    <row r="1" spans="1:22" ht="33.75" customHeight="1" thickBot="1">
      <c r="A1" s="108" t="s">
        <v>0</v>
      </c>
      <c r="B1" s="109"/>
      <c r="C1" s="109"/>
      <c r="D1" s="109"/>
      <c r="E1" s="109"/>
      <c r="F1" s="109"/>
      <c r="G1" s="109"/>
      <c r="H1" s="109"/>
      <c r="I1" s="109"/>
      <c r="J1" s="109"/>
      <c r="K1" s="109"/>
      <c r="L1" s="109"/>
      <c r="M1" s="109"/>
      <c r="N1" s="109"/>
      <c r="O1" s="109"/>
      <c r="P1" s="109"/>
      <c r="Q1" s="109"/>
      <c r="R1" s="109"/>
      <c r="S1" s="110"/>
    </row>
    <row r="2" spans="1:22" s="113" customFormat="1" ht="34.5" customHeight="1" thickBot="1">
      <c r="A2" s="112"/>
      <c r="B2" s="552" t="s">
        <v>92</v>
      </c>
      <c r="C2" s="553"/>
      <c r="D2" s="553"/>
      <c r="E2" s="553"/>
      <c r="F2" s="553"/>
      <c r="G2" s="553"/>
      <c r="H2" s="553"/>
      <c r="I2" s="553"/>
      <c r="J2" s="553"/>
      <c r="K2" s="553"/>
      <c r="L2" s="553"/>
      <c r="M2" s="553"/>
      <c r="N2" s="553"/>
      <c r="O2" s="553"/>
      <c r="P2" s="553"/>
      <c r="Q2" s="553"/>
      <c r="R2" s="553"/>
      <c r="S2" s="554"/>
    </row>
    <row r="3" spans="1:22" s="118" customFormat="1" ht="38.25" customHeight="1">
      <c r="A3" s="114"/>
      <c r="B3" s="115" t="s">
        <v>93</v>
      </c>
      <c r="C3" s="555" t="s">
        <v>94</v>
      </c>
      <c r="D3" s="555" t="s">
        <v>95</v>
      </c>
      <c r="E3" s="116" t="s">
        <v>96</v>
      </c>
      <c r="F3" s="117"/>
      <c r="G3" s="117"/>
      <c r="H3" s="117"/>
      <c r="I3" s="117"/>
      <c r="J3" s="555" t="s">
        <v>97</v>
      </c>
      <c r="K3" s="555" t="s">
        <v>98</v>
      </c>
      <c r="L3" s="555" t="s">
        <v>99</v>
      </c>
      <c r="M3" s="555" t="s">
        <v>100</v>
      </c>
      <c r="N3" s="555" t="s">
        <v>101</v>
      </c>
      <c r="O3" s="555" t="s">
        <v>102</v>
      </c>
      <c r="P3" s="548" t="s">
        <v>103</v>
      </c>
      <c r="Q3" s="548" t="s">
        <v>104</v>
      </c>
      <c r="R3" s="548" t="s">
        <v>105</v>
      </c>
      <c r="S3" s="549" t="s">
        <v>106</v>
      </c>
    </row>
    <row r="4" spans="1:22" s="118" customFormat="1" ht="30.75" customHeight="1">
      <c r="A4" s="114"/>
      <c r="B4" s="115"/>
      <c r="C4" s="555"/>
      <c r="D4" s="555"/>
      <c r="E4" s="119" t="s">
        <v>18</v>
      </c>
      <c r="F4" s="119" t="s">
        <v>107</v>
      </c>
      <c r="G4" s="119" t="s">
        <v>108</v>
      </c>
      <c r="H4" s="119" t="s">
        <v>109</v>
      </c>
      <c r="I4" s="119" t="s">
        <v>110</v>
      </c>
      <c r="J4" s="555"/>
      <c r="K4" s="555"/>
      <c r="L4" s="555"/>
      <c r="M4" s="555"/>
      <c r="N4" s="555"/>
      <c r="O4" s="555"/>
      <c r="P4" s="548"/>
      <c r="Q4" s="548"/>
      <c r="R4" s="548"/>
      <c r="S4" s="550"/>
    </row>
    <row r="5" spans="1:22" ht="15.75" customHeight="1">
      <c r="A5" s="120"/>
      <c r="B5" s="121" t="s">
        <v>111</v>
      </c>
      <c r="C5" s="122">
        <v>308.10399999999998</v>
      </c>
      <c r="D5" s="122">
        <v>93.322999999999993</v>
      </c>
      <c r="E5" s="122">
        <v>84.846999999999994</v>
      </c>
      <c r="F5" s="122">
        <v>45.209000000000003</v>
      </c>
      <c r="G5" s="122">
        <v>24.954000000000001</v>
      </c>
      <c r="H5" s="122">
        <v>13.731999999999999</v>
      </c>
      <c r="I5" s="122">
        <v>1.494</v>
      </c>
      <c r="J5" s="122">
        <v>0.253</v>
      </c>
      <c r="K5" s="122">
        <v>486.52699999999999</v>
      </c>
      <c r="L5" s="122">
        <v>-2.6880000000000002</v>
      </c>
      <c r="M5" s="122">
        <v>483.839</v>
      </c>
      <c r="N5" s="122">
        <v>140.286</v>
      </c>
      <c r="O5" s="122">
        <v>626.48900000000003</v>
      </c>
      <c r="P5" s="122">
        <v>137.10300000000001</v>
      </c>
      <c r="Q5" s="122">
        <v>0</v>
      </c>
      <c r="R5" s="122">
        <v>489.78300000000002</v>
      </c>
      <c r="S5" s="123">
        <v>426.40499999999997</v>
      </c>
      <c r="T5" s="124"/>
      <c r="U5" s="125"/>
      <c r="V5" s="125"/>
    </row>
    <row r="6" spans="1:22">
      <c r="A6" s="120"/>
      <c r="B6" s="121" t="s">
        <v>112</v>
      </c>
      <c r="C6" s="122">
        <v>304.49400000000003</v>
      </c>
      <c r="D6" s="122">
        <v>92.738</v>
      </c>
      <c r="E6" s="122">
        <v>85.799000000000007</v>
      </c>
      <c r="F6" s="122">
        <v>46.924999999999997</v>
      </c>
      <c r="G6" s="122">
        <v>23.782</v>
      </c>
      <c r="H6" s="122">
        <v>14.129</v>
      </c>
      <c r="I6" s="122">
        <v>1.4500000000000002</v>
      </c>
      <c r="J6" s="122">
        <v>-0.42199999999999999</v>
      </c>
      <c r="K6" s="122">
        <v>482.60899999999998</v>
      </c>
      <c r="L6" s="122">
        <v>-1.2310000000000001</v>
      </c>
      <c r="M6" s="122">
        <v>481.37799999999999</v>
      </c>
      <c r="N6" s="122">
        <v>140.30500000000001</v>
      </c>
      <c r="O6" s="122">
        <v>623.24099999999999</v>
      </c>
      <c r="P6" s="122">
        <v>136.25299999999999</v>
      </c>
      <c r="Q6" s="122">
        <v>0</v>
      </c>
      <c r="R6" s="122">
        <v>487.38600000000002</v>
      </c>
      <c r="S6" s="123">
        <v>424.84100000000001</v>
      </c>
      <c r="U6" s="125"/>
      <c r="V6" s="125"/>
    </row>
    <row r="7" spans="1:22">
      <c r="A7" s="120"/>
      <c r="B7" s="121" t="s">
        <v>113</v>
      </c>
      <c r="C7" s="122">
        <v>299.63299999999998</v>
      </c>
      <c r="D7" s="122">
        <v>94.397000000000006</v>
      </c>
      <c r="E7" s="122">
        <v>81.322999999999993</v>
      </c>
      <c r="F7" s="122">
        <v>45.148000000000003</v>
      </c>
      <c r="G7" s="122">
        <v>19.579999999999998</v>
      </c>
      <c r="H7" s="122">
        <v>14.145</v>
      </c>
      <c r="I7" s="122">
        <v>2.7749999999999999</v>
      </c>
      <c r="J7" s="122">
        <v>-0.98399999999999999</v>
      </c>
      <c r="K7" s="122">
        <v>474.36900000000003</v>
      </c>
      <c r="L7" s="122">
        <v>-3.2130000000000001</v>
      </c>
      <c r="M7" s="122">
        <v>471.15600000000001</v>
      </c>
      <c r="N7" s="122">
        <v>140.846</v>
      </c>
      <c r="O7" s="122">
        <v>613.27200000000005</v>
      </c>
      <c r="P7" s="122">
        <v>133.81100000000001</v>
      </c>
      <c r="Q7" s="122">
        <v>0</v>
      </c>
      <c r="R7" s="122">
        <v>479.87200000000001</v>
      </c>
      <c r="S7" s="123">
        <v>418.25099999999998</v>
      </c>
      <c r="U7" s="125"/>
      <c r="V7" s="125"/>
    </row>
    <row r="8" spans="1:22">
      <c r="A8" s="120"/>
      <c r="B8" s="121" t="s">
        <v>114</v>
      </c>
      <c r="C8" s="122">
        <v>292.37299999999999</v>
      </c>
      <c r="D8" s="122">
        <v>95.402000000000001</v>
      </c>
      <c r="E8" s="122">
        <v>79.977999999999994</v>
      </c>
      <c r="F8" s="122">
        <v>43.616999999999997</v>
      </c>
      <c r="G8" s="122">
        <v>18.727</v>
      </c>
      <c r="H8" s="122">
        <v>15.192</v>
      </c>
      <c r="I8" s="122">
        <v>2.722</v>
      </c>
      <c r="J8" s="122">
        <v>0.11</v>
      </c>
      <c r="K8" s="122">
        <v>467.863</v>
      </c>
      <c r="L8" s="122">
        <v>-5.6559999999999997</v>
      </c>
      <c r="M8" s="122">
        <v>462.20699999999999</v>
      </c>
      <c r="N8" s="122">
        <v>135.42400000000001</v>
      </c>
      <c r="O8" s="122">
        <v>596.03099999999995</v>
      </c>
      <c r="P8" s="122">
        <v>126.724</v>
      </c>
      <c r="Q8" s="122">
        <v>0</v>
      </c>
      <c r="R8" s="122">
        <v>469.69400000000002</v>
      </c>
      <c r="S8" s="123">
        <v>409.32100000000003</v>
      </c>
      <c r="U8" s="125"/>
      <c r="V8" s="125"/>
    </row>
    <row r="9" spans="1:22">
      <c r="A9" s="120"/>
      <c r="B9" s="121" t="s">
        <v>115</v>
      </c>
      <c r="C9" s="122">
        <v>291.28399999999999</v>
      </c>
      <c r="D9" s="122">
        <v>94.802000000000007</v>
      </c>
      <c r="E9" s="122">
        <v>75.260999999999996</v>
      </c>
      <c r="F9" s="122">
        <v>39.697000000000003</v>
      </c>
      <c r="G9" s="122">
        <v>17.619</v>
      </c>
      <c r="H9" s="122">
        <v>15.489000000000001</v>
      </c>
      <c r="I9" s="122">
        <v>2.681</v>
      </c>
      <c r="J9" s="122">
        <v>1.3080000000000001</v>
      </c>
      <c r="K9" s="122">
        <v>462.65499999999997</v>
      </c>
      <c r="L9" s="122">
        <v>-9.3940000000000001</v>
      </c>
      <c r="M9" s="122">
        <v>453.26100000000002</v>
      </c>
      <c r="N9" s="122">
        <v>126.723</v>
      </c>
      <c r="O9" s="122">
        <v>581.25800000000004</v>
      </c>
      <c r="P9" s="122">
        <v>121.718</v>
      </c>
      <c r="Q9" s="122">
        <v>0</v>
      </c>
      <c r="R9" s="122">
        <v>460.10500000000002</v>
      </c>
      <c r="S9" s="123">
        <v>401.25099999999998</v>
      </c>
      <c r="U9" s="125"/>
      <c r="V9" s="125"/>
    </row>
    <row r="10" spans="1:22" ht="15.75">
      <c r="A10" s="110"/>
      <c r="B10" s="121" t="s">
        <v>116</v>
      </c>
      <c r="C10" s="122">
        <v>291.11</v>
      </c>
      <c r="D10" s="122">
        <v>94.563999999999993</v>
      </c>
      <c r="E10" s="122">
        <v>72.063000000000002</v>
      </c>
      <c r="F10" s="122">
        <v>37.613999999999997</v>
      </c>
      <c r="G10" s="122">
        <v>17.123999999999999</v>
      </c>
      <c r="H10" s="122">
        <v>14.824</v>
      </c>
      <c r="I10" s="122">
        <v>2.6440000000000001</v>
      </c>
      <c r="J10" s="122">
        <v>0.61699999999999999</v>
      </c>
      <c r="K10" s="122">
        <v>458.35399999999998</v>
      </c>
      <c r="L10" s="122">
        <v>-8.9619999999999997</v>
      </c>
      <c r="M10" s="122">
        <v>449.392</v>
      </c>
      <c r="N10" s="122">
        <v>125.42</v>
      </c>
      <c r="O10" s="122">
        <v>580.02800000000002</v>
      </c>
      <c r="P10" s="122">
        <v>122.009</v>
      </c>
      <c r="Q10" s="122">
        <v>0</v>
      </c>
      <c r="R10" s="122">
        <v>458.59899999999999</v>
      </c>
      <c r="S10" s="123">
        <v>399.49900000000002</v>
      </c>
      <c r="U10" s="125"/>
      <c r="V10" s="125"/>
    </row>
    <row r="11" spans="1:22" ht="15.75">
      <c r="A11" s="110"/>
      <c r="B11" s="121" t="s">
        <v>117</v>
      </c>
      <c r="C11" s="122">
        <v>292.73200000000003</v>
      </c>
      <c r="D11" s="122">
        <v>95.361999999999995</v>
      </c>
      <c r="E11" s="122">
        <v>72.551000000000002</v>
      </c>
      <c r="F11" s="122">
        <v>36.801000000000002</v>
      </c>
      <c r="G11" s="122">
        <v>17.177</v>
      </c>
      <c r="H11" s="122">
        <v>16.068999999999999</v>
      </c>
      <c r="I11" s="122">
        <v>2.6749999999999998</v>
      </c>
      <c r="J11" s="122">
        <v>1.036</v>
      </c>
      <c r="K11" s="122">
        <v>461.68099999999998</v>
      </c>
      <c r="L11" s="122">
        <v>-9.2690000000000001</v>
      </c>
      <c r="M11" s="122">
        <v>452.41199999999998</v>
      </c>
      <c r="N11" s="122">
        <v>124.828</v>
      </c>
      <c r="O11" s="122">
        <v>583.70899999999995</v>
      </c>
      <c r="P11" s="122">
        <v>125.31100000000001</v>
      </c>
      <c r="Q11" s="122">
        <v>0</v>
      </c>
      <c r="R11" s="122">
        <v>458.875</v>
      </c>
      <c r="S11" s="123">
        <v>400.202</v>
      </c>
      <c r="U11" s="125"/>
      <c r="V11" s="125"/>
    </row>
    <row r="12" spans="1:22" ht="15.75">
      <c r="A12" s="110"/>
      <c r="B12" s="121" t="s">
        <v>118</v>
      </c>
      <c r="C12" s="122">
        <v>294.90899999999999</v>
      </c>
      <c r="D12" s="122">
        <v>96.11</v>
      </c>
      <c r="E12" s="122">
        <v>71.334999999999994</v>
      </c>
      <c r="F12" s="122">
        <v>36.481999999999999</v>
      </c>
      <c r="G12" s="122">
        <v>16.393999999999998</v>
      </c>
      <c r="H12" s="122">
        <v>15.851000000000001</v>
      </c>
      <c r="I12" s="122">
        <v>2.7280000000000002</v>
      </c>
      <c r="J12" s="122">
        <v>-0.22800000000000001</v>
      </c>
      <c r="K12" s="122">
        <v>462.12599999999998</v>
      </c>
      <c r="L12" s="122">
        <v>-7.4059999999999997</v>
      </c>
      <c r="M12" s="122">
        <v>454.72</v>
      </c>
      <c r="N12" s="122">
        <v>130.66300000000001</v>
      </c>
      <c r="O12" s="122">
        <v>587.16600000000005</v>
      </c>
      <c r="P12" s="122">
        <v>127.35</v>
      </c>
      <c r="Q12" s="122">
        <v>0</v>
      </c>
      <c r="R12" s="122">
        <v>460.238</v>
      </c>
      <c r="S12" s="123">
        <v>401.68099999999998</v>
      </c>
      <c r="U12" s="125"/>
      <c r="V12" s="125"/>
    </row>
    <row r="13" spans="1:22" ht="18.75" customHeight="1">
      <c r="A13" s="110"/>
      <c r="B13" s="121" t="s">
        <v>119</v>
      </c>
      <c r="C13" s="122">
        <v>293.46499999999997</v>
      </c>
      <c r="D13" s="122">
        <v>94.805000000000007</v>
      </c>
      <c r="E13" s="122">
        <v>75.138000000000005</v>
      </c>
      <c r="F13" s="122">
        <v>38.204000000000001</v>
      </c>
      <c r="G13" s="122">
        <v>17.617000000000001</v>
      </c>
      <c r="H13" s="122">
        <v>16.792000000000002</v>
      </c>
      <c r="I13" s="122">
        <v>2.7089999999999996</v>
      </c>
      <c r="J13" s="122">
        <v>-0.36599999999999999</v>
      </c>
      <c r="K13" s="122">
        <v>463.04199999999997</v>
      </c>
      <c r="L13" s="122">
        <v>-2.1960000000000002</v>
      </c>
      <c r="M13" s="122">
        <v>460.846</v>
      </c>
      <c r="N13" s="122">
        <v>130.58199999999999</v>
      </c>
      <c r="O13" s="122">
        <v>593.83399999999995</v>
      </c>
      <c r="P13" s="122">
        <v>129.67699999999999</v>
      </c>
      <c r="Q13" s="122">
        <v>0</v>
      </c>
      <c r="R13" s="122">
        <v>464.54300000000001</v>
      </c>
      <c r="S13" s="123">
        <v>405.88400000000001</v>
      </c>
      <c r="U13" s="125"/>
      <c r="V13" s="125"/>
    </row>
    <row r="14" spans="1:22" ht="15.75">
      <c r="A14" s="110"/>
      <c r="B14" s="121" t="s">
        <v>120</v>
      </c>
      <c r="C14" s="122">
        <v>300.59199999999998</v>
      </c>
      <c r="D14" s="122">
        <v>95.123000000000005</v>
      </c>
      <c r="E14" s="122">
        <v>74.022000000000006</v>
      </c>
      <c r="F14" s="122">
        <v>37.630000000000003</v>
      </c>
      <c r="G14" s="122">
        <v>18.596</v>
      </c>
      <c r="H14" s="122">
        <v>15.355</v>
      </c>
      <c r="I14" s="122">
        <v>2.698</v>
      </c>
      <c r="J14" s="122">
        <v>-0.57699999999999996</v>
      </c>
      <c r="K14" s="122">
        <v>469.16</v>
      </c>
      <c r="L14" s="122">
        <v>-1.663</v>
      </c>
      <c r="M14" s="122">
        <v>467.49700000000001</v>
      </c>
      <c r="N14" s="122">
        <v>134.89400000000001</v>
      </c>
      <c r="O14" s="122">
        <v>603.08500000000004</v>
      </c>
      <c r="P14" s="122">
        <v>133.785</v>
      </c>
      <c r="Q14" s="122">
        <v>0</v>
      </c>
      <c r="R14" s="122">
        <v>469.60599999999999</v>
      </c>
      <c r="S14" s="123">
        <v>410.79300000000001</v>
      </c>
      <c r="U14" s="125"/>
      <c r="V14" s="125"/>
    </row>
    <row r="15" spans="1:22" ht="15.75">
      <c r="A15" s="110"/>
      <c r="B15" s="121" t="s">
        <v>121</v>
      </c>
      <c r="C15" s="122">
        <v>300.84100000000001</v>
      </c>
      <c r="D15" s="122">
        <v>95.137</v>
      </c>
      <c r="E15" s="122">
        <v>76.899000000000001</v>
      </c>
      <c r="F15" s="122">
        <v>39.313000000000002</v>
      </c>
      <c r="G15" s="122">
        <v>19.559999999999999</v>
      </c>
      <c r="H15" s="122">
        <v>15.628</v>
      </c>
      <c r="I15" s="122">
        <v>2.6779999999999999</v>
      </c>
      <c r="J15" s="122">
        <v>0.52400000000000002</v>
      </c>
      <c r="K15" s="122">
        <v>473.40100000000001</v>
      </c>
      <c r="L15" s="122">
        <v>-0.65800000000000003</v>
      </c>
      <c r="M15" s="122">
        <v>472.74299999999999</v>
      </c>
      <c r="N15" s="122">
        <v>136.309</v>
      </c>
      <c r="O15" s="122">
        <v>610.10599999999999</v>
      </c>
      <c r="P15" s="122">
        <v>138.10400000000001</v>
      </c>
      <c r="Q15" s="122">
        <v>0</v>
      </c>
      <c r="R15" s="122">
        <v>472.19900000000001</v>
      </c>
      <c r="S15" s="123">
        <v>413.47800000000001</v>
      </c>
      <c r="U15" s="125"/>
      <c r="V15" s="125"/>
    </row>
    <row r="16" spans="1:22" ht="15.75">
      <c r="A16" s="110"/>
      <c r="B16" s="121" t="s">
        <v>122</v>
      </c>
      <c r="C16" s="122">
        <v>300.34199999999998</v>
      </c>
      <c r="D16" s="122">
        <v>95.695999999999998</v>
      </c>
      <c r="E16" s="122">
        <v>78.972999999999999</v>
      </c>
      <c r="F16" s="122">
        <v>41.914000000000001</v>
      </c>
      <c r="G16" s="122">
        <v>19.064</v>
      </c>
      <c r="H16" s="122">
        <v>15.547000000000001</v>
      </c>
      <c r="I16" s="122">
        <v>2.6180000000000003</v>
      </c>
      <c r="J16" s="122">
        <v>0.41799999999999998</v>
      </c>
      <c r="K16" s="122">
        <v>475.42899999999997</v>
      </c>
      <c r="L16" s="122">
        <v>-4.0460000000000003</v>
      </c>
      <c r="M16" s="122">
        <v>471.38299999999998</v>
      </c>
      <c r="N16" s="122">
        <v>139.07599999999999</v>
      </c>
      <c r="O16" s="122">
        <v>611.77300000000002</v>
      </c>
      <c r="P16" s="122">
        <v>139.31800000000001</v>
      </c>
      <c r="Q16" s="122">
        <v>0</v>
      </c>
      <c r="R16" s="122">
        <v>472.61200000000002</v>
      </c>
      <c r="S16" s="123">
        <v>414.37099999999998</v>
      </c>
      <c r="U16" s="125"/>
      <c r="V16" s="125"/>
    </row>
    <row r="17" spans="1:22" ht="18.75" customHeight="1">
      <c r="A17" s="110"/>
      <c r="B17" s="121" t="s">
        <v>123</v>
      </c>
      <c r="C17" s="122">
        <v>297.72399999999999</v>
      </c>
      <c r="D17" s="122">
        <v>96.262</v>
      </c>
      <c r="E17" s="122">
        <v>75.921999999999997</v>
      </c>
      <c r="F17" s="122">
        <v>39</v>
      </c>
      <c r="G17" s="122">
        <v>18.108000000000001</v>
      </c>
      <c r="H17" s="122">
        <v>16.457000000000001</v>
      </c>
      <c r="I17" s="122">
        <v>2.6239999999999997</v>
      </c>
      <c r="J17" s="122">
        <v>-2.3090000000000002</v>
      </c>
      <c r="K17" s="122">
        <v>467.59899999999999</v>
      </c>
      <c r="L17" s="122">
        <v>-2.2589999999999999</v>
      </c>
      <c r="M17" s="122">
        <v>465.34</v>
      </c>
      <c r="N17" s="122">
        <v>144.79499999999999</v>
      </c>
      <c r="O17" s="122">
        <v>609.55999999999995</v>
      </c>
      <c r="P17" s="122">
        <v>136.03100000000001</v>
      </c>
      <c r="Q17" s="122">
        <v>0</v>
      </c>
      <c r="R17" s="122">
        <v>473.81900000000002</v>
      </c>
      <c r="S17" s="123">
        <v>416.13200000000001</v>
      </c>
      <c r="U17" s="125"/>
      <c r="V17" s="125"/>
    </row>
    <row r="18" spans="1:22" ht="15.75">
      <c r="A18" s="110"/>
      <c r="B18" s="121" t="s">
        <v>124</v>
      </c>
      <c r="C18" s="122">
        <v>297.01100000000002</v>
      </c>
      <c r="D18" s="122">
        <v>94.581000000000003</v>
      </c>
      <c r="E18" s="122">
        <v>75.106999999999999</v>
      </c>
      <c r="F18" s="122">
        <v>41.219000000000001</v>
      </c>
      <c r="G18" s="122">
        <v>17.670999999999999</v>
      </c>
      <c r="H18" s="122">
        <v>13.757999999999999</v>
      </c>
      <c r="I18" s="122">
        <v>2.5529999999999999</v>
      </c>
      <c r="J18" s="122">
        <v>0.16400000000000001</v>
      </c>
      <c r="K18" s="122">
        <v>466.863</v>
      </c>
      <c r="L18" s="122">
        <v>4.468</v>
      </c>
      <c r="M18" s="122">
        <v>471.33100000000002</v>
      </c>
      <c r="N18" s="122">
        <v>142.702</v>
      </c>
      <c r="O18" s="122">
        <v>614.34</v>
      </c>
      <c r="P18" s="122">
        <v>140.09</v>
      </c>
      <c r="Q18" s="122">
        <v>0</v>
      </c>
      <c r="R18" s="122">
        <v>474.36500000000001</v>
      </c>
      <c r="S18" s="123">
        <v>417.07100000000003</v>
      </c>
      <c r="U18" s="125"/>
      <c r="V18" s="125"/>
    </row>
    <row r="19" spans="1:22" ht="15.75">
      <c r="A19" s="110"/>
      <c r="B19" s="121" t="s">
        <v>125</v>
      </c>
      <c r="C19" s="122">
        <v>298.00599999999997</v>
      </c>
      <c r="D19" s="122">
        <v>94.423000000000002</v>
      </c>
      <c r="E19" s="122">
        <v>76.823999999999998</v>
      </c>
      <c r="F19" s="122">
        <v>42.597000000000001</v>
      </c>
      <c r="G19" s="122">
        <v>17.817</v>
      </c>
      <c r="H19" s="122">
        <v>14.055</v>
      </c>
      <c r="I19" s="122">
        <v>2.4249999999999998</v>
      </c>
      <c r="J19" s="122">
        <v>1.393</v>
      </c>
      <c r="K19" s="122">
        <v>470.64600000000002</v>
      </c>
      <c r="L19" s="122">
        <v>0.248</v>
      </c>
      <c r="M19" s="122">
        <v>470.89400000000001</v>
      </c>
      <c r="N19" s="122">
        <v>144.333</v>
      </c>
      <c r="O19" s="122">
        <v>615.51199999999994</v>
      </c>
      <c r="P19" s="122">
        <v>139.83699999999999</v>
      </c>
      <c r="Q19" s="122">
        <v>0</v>
      </c>
      <c r="R19" s="122">
        <v>475.81299999999999</v>
      </c>
      <c r="S19" s="123">
        <v>418.94900000000001</v>
      </c>
      <c r="U19" s="125"/>
      <c r="V19" s="125"/>
    </row>
    <row r="20" spans="1:22" ht="15.75">
      <c r="A20" s="110"/>
      <c r="B20" s="121" t="s">
        <v>126</v>
      </c>
      <c r="C20" s="122">
        <v>298.529</v>
      </c>
      <c r="D20" s="122">
        <v>95.248999999999995</v>
      </c>
      <c r="E20" s="122">
        <v>77.501000000000005</v>
      </c>
      <c r="F20" s="122">
        <v>43.649000000000001</v>
      </c>
      <c r="G20" s="122">
        <v>17.79</v>
      </c>
      <c r="H20" s="122">
        <v>13.685</v>
      </c>
      <c r="I20" s="122">
        <v>2.367</v>
      </c>
      <c r="J20" s="122">
        <v>4.7E-2</v>
      </c>
      <c r="K20" s="122">
        <v>471.32600000000002</v>
      </c>
      <c r="L20" s="122">
        <v>-6.2409999999999997</v>
      </c>
      <c r="M20" s="122">
        <v>465.08499999999998</v>
      </c>
      <c r="N20" s="122">
        <v>146.50299999999999</v>
      </c>
      <c r="O20" s="122">
        <v>617.14300000000003</v>
      </c>
      <c r="P20" s="122">
        <v>140.76499999999999</v>
      </c>
      <c r="Q20" s="122">
        <v>0</v>
      </c>
      <c r="R20" s="122">
        <v>476.47899999999998</v>
      </c>
      <c r="S20" s="123">
        <v>420.06099999999998</v>
      </c>
      <c r="U20" s="125"/>
      <c r="V20" s="125"/>
    </row>
    <row r="21" spans="1:22" ht="18.75" customHeight="1">
      <c r="A21" s="110"/>
      <c r="B21" s="121" t="s">
        <v>127</v>
      </c>
      <c r="C21" s="122">
        <v>298.56900000000002</v>
      </c>
      <c r="D21" s="122">
        <v>98.227999999999994</v>
      </c>
      <c r="E21" s="122">
        <v>78.655000000000001</v>
      </c>
      <c r="F21" s="122">
        <v>45.274000000000001</v>
      </c>
      <c r="G21" s="122">
        <v>16.864999999999998</v>
      </c>
      <c r="H21" s="122">
        <v>14.096</v>
      </c>
      <c r="I21" s="122">
        <v>2.2949999999999999</v>
      </c>
      <c r="J21" s="122">
        <v>-1.964</v>
      </c>
      <c r="K21" s="122">
        <v>473.488</v>
      </c>
      <c r="L21" s="122">
        <v>-4.7169999999999996</v>
      </c>
      <c r="M21" s="122">
        <v>468.77100000000002</v>
      </c>
      <c r="N21" s="122">
        <v>150.065</v>
      </c>
      <c r="O21" s="122">
        <v>622.4</v>
      </c>
      <c r="P21" s="122">
        <v>141.86600000000001</v>
      </c>
      <c r="Q21" s="122">
        <v>0</v>
      </c>
      <c r="R21" s="122">
        <v>480.63200000000001</v>
      </c>
      <c r="S21" s="123">
        <v>424.30900000000003</v>
      </c>
      <c r="U21" s="125"/>
      <c r="V21" s="125"/>
    </row>
    <row r="22" spans="1:22" ht="15.75">
      <c r="A22" s="110"/>
      <c r="B22" s="121" t="s">
        <v>128</v>
      </c>
      <c r="C22" s="122">
        <v>300.92899999999997</v>
      </c>
      <c r="D22" s="122">
        <v>94.966999999999999</v>
      </c>
      <c r="E22" s="122">
        <v>76.644999999999996</v>
      </c>
      <c r="F22" s="122">
        <v>43.325000000000003</v>
      </c>
      <c r="G22" s="122">
        <v>17.242000000000001</v>
      </c>
      <c r="H22" s="122">
        <v>13.782999999999999</v>
      </c>
      <c r="I22" s="122">
        <v>2.3220000000000001</v>
      </c>
      <c r="J22" s="122">
        <v>0.79500000000000004</v>
      </c>
      <c r="K22" s="122">
        <v>473.33600000000001</v>
      </c>
      <c r="L22" s="122">
        <v>7.6539999999999999</v>
      </c>
      <c r="M22" s="122">
        <v>480.99</v>
      </c>
      <c r="N22" s="122">
        <v>143.02699999999999</v>
      </c>
      <c r="O22" s="122">
        <v>624.63699999999994</v>
      </c>
      <c r="P22" s="122">
        <v>144.53800000000001</v>
      </c>
      <c r="Q22" s="122">
        <v>0</v>
      </c>
      <c r="R22" s="122">
        <v>479.97899999999998</v>
      </c>
      <c r="S22" s="123">
        <v>424.38900000000001</v>
      </c>
      <c r="U22" s="125"/>
      <c r="V22" s="125"/>
    </row>
    <row r="23" spans="1:22" ht="15.75">
      <c r="A23" s="110"/>
      <c r="B23" s="121" t="s">
        <v>129</v>
      </c>
      <c r="C23" s="122">
        <v>304.38</v>
      </c>
      <c r="D23" s="122">
        <v>95.861000000000004</v>
      </c>
      <c r="E23" s="122">
        <v>75.936000000000007</v>
      </c>
      <c r="F23" s="122">
        <v>43.521000000000001</v>
      </c>
      <c r="G23" s="122">
        <v>17.713000000000001</v>
      </c>
      <c r="H23" s="122">
        <v>12.571</v>
      </c>
      <c r="I23" s="122">
        <v>2.2410000000000001</v>
      </c>
      <c r="J23" s="122">
        <v>0.24299999999999999</v>
      </c>
      <c r="K23" s="122">
        <v>476.42</v>
      </c>
      <c r="L23" s="122">
        <v>8.0429999999999993</v>
      </c>
      <c r="M23" s="122">
        <v>484.46300000000002</v>
      </c>
      <c r="N23" s="122">
        <v>146.62299999999999</v>
      </c>
      <c r="O23" s="122">
        <v>627.65099999999995</v>
      </c>
      <c r="P23" s="122">
        <v>143.143</v>
      </c>
      <c r="Q23" s="122">
        <v>0</v>
      </c>
      <c r="R23" s="122">
        <v>484.57900000000001</v>
      </c>
      <c r="S23" s="123">
        <v>428.95299999999997</v>
      </c>
      <c r="U23" s="125"/>
      <c r="V23" s="125"/>
    </row>
    <row r="24" spans="1:22" ht="15.75">
      <c r="A24" s="110"/>
      <c r="B24" s="121" t="s">
        <v>130</v>
      </c>
      <c r="C24" s="122">
        <v>307.92899999999997</v>
      </c>
      <c r="D24" s="122">
        <v>97.132000000000005</v>
      </c>
      <c r="E24" s="122">
        <v>78.986000000000004</v>
      </c>
      <c r="F24" s="122">
        <v>46.058999999999997</v>
      </c>
      <c r="G24" s="122">
        <v>18.106000000000002</v>
      </c>
      <c r="H24" s="122">
        <v>12.557</v>
      </c>
      <c r="I24" s="122">
        <v>2.1840000000000002</v>
      </c>
      <c r="J24" s="122">
        <v>-0.11</v>
      </c>
      <c r="K24" s="122">
        <v>483.93700000000001</v>
      </c>
      <c r="L24" s="122">
        <v>-4.6020000000000003</v>
      </c>
      <c r="M24" s="122">
        <v>479.33499999999998</v>
      </c>
      <c r="N24" s="122">
        <v>143.01400000000001</v>
      </c>
      <c r="O24" s="122">
        <v>624.66200000000003</v>
      </c>
      <c r="P24" s="122">
        <v>140.83799999999999</v>
      </c>
      <c r="Q24" s="122">
        <v>0</v>
      </c>
      <c r="R24" s="122">
        <v>484.03899999999999</v>
      </c>
      <c r="S24" s="123">
        <v>429.26</v>
      </c>
      <c r="U24" s="125"/>
      <c r="V24" s="125"/>
    </row>
    <row r="25" spans="1:22" ht="18.75" customHeight="1">
      <c r="A25" s="110"/>
      <c r="B25" s="121" t="s">
        <v>131</v>
      </c>
      <c r="C25" s="122">
        <v>306.27100000000002</v>
      </c>
      <c r="D25" s="122">
        <v>95.903999999999996</v>
      </c>
      <c r="E25" s="122">
        <v>76.694999999999993</v>
      </c>
      <c r="F25" s="122">
        <v>44.731000000000002</v>
      </c>
      <c r="G25" s="122">
        <v>17.989999999999998</v>
      </c>
      <c r="H25" s="122">
        <v>11.813000000000001</v>
      </c>
      <c r="I25" s="122">
        <v>2.0979999999999999</v>
      </c>
      <c r="J25" s="122">
        <v>0.76100000000000001</v>
      </c>
      <c r="K25" s="122">
        <v>479.63099999999997</v>
      </c>
      <c r="L25" s="122">
        <v>1.1539999999999999</v>
      </c>
      <c r="M25" s="122">
        <v>480.78500000000003</v>
      </c>
      <c r="N25" s="122">
        <v>146.11699999999999</v>
      </c>
      <c r="O25" s="122">
        <v>626.423</v>
      </c>
      <c r="P25" s="122">
        <v>141.21100000000001</v>
      </c>
      <c r="Q25" s="122">
        <v>0</v>
      </c>
      <c r="R25" s="122">
        <v>485.40899999999999</v>
      </c>
      <c r="S25" s="123">
        <v>430.435</v>
      </c>
      <c r="U25" s="125"/>
      <c r="V25" s="125"/>
    </row>
    <row r="26" spans="1:22" ht="15.75">
      <c r="A26" s="110"/>
      <c r="B26" s="121" t="s">
        <v>132</v>
      </c>
      <c r="C26" s="122">
        <v>309.29899999999998</v>
      </c>
      <c r="D26" s="122">
        <v>96.483000000000004</v>
      </c>
      <c r="E26" s="122">
        <v>79.896000000000001</v>
      </c>
      <c r="F26" s="122">
        <v>45.627000000000002</v>
      </c>
      <c r="G26" s="122">
        <v>19.876999999999999</v>
      </c>
      <c r="H26" s="122">
        <v>12.205</v>
      </c>
      <c r="I26" s="122">
        <v>2.1789999999999998</v>
      </c>
      <c r="J26" s="122">
        <v>3.3260000000000001</v>
      </c>
      <c r="K26" s="122">
        <v>489.00400000000002</v>
      </c>
      <c r="L26" s="122">
        <v>1.704</v>
      </c>
      <c r="M26" s="122">
        <v>490.70800000000003</v>
      </c>
      <c r="N26" s="122">
        <v>147.523</v>
      </c>
      <c r="O26" s="122">
        <v>637.41999999999996</v>
      </c>
      <c r="P26" s="122">
        <v>148.363</v>
      </c>
      <c r="Q26" s="122">
        <v>0</v>
      </c>
      <c r="R26" s="122">
        <v>488.93</v>
      </c>
      <c r="S26" s="123">
        <v>433.72500000000002</v>
      </c>
      <c r="U26" s="125"/>
      <c r="V26" s="125"/>
    </row>
    <row r="27" spans="1:22" ht="15.75">
      <c r="A27" s="110"/>
      <c r="B27" s="121" t="s">
        <v>133</v>
      </c>
      <c r="C27" s="122">
        <v>312.94</v>
      </c>
      <c r="D27" s="122">
        <v>96.424999999999997</v>
      </c>
      <c r="E27" s="122">
        <v>81.861999999999995</v>
      </c>
      <c r="F27" s="122">
        <v>47.234000000000002</v>
      </c>
      <c r="G27" s="122">
        <v>19.832000000000001</v>
      </c>
      <c r="H27" s="122">
        <v>12.617000000000001</v>
      </c>
      <c r="I27" s="122">
        <v>2.1310000000000002</v>
      </c>
      <c r="J27" s="122">
        <v>-1.51</v>
      </c>
      <c r="K27" s="122">
        <v>489.71699999999998</v>
      </c>
      <c r="L27" s="122">
        <v>1.3320000000000001</v>
      </c>
      <c r="M27" s="122">
        <v>491.04899999999998</v>
      </c>
      <c r="N27" s="122">
        <v>147.03200000000001</v>
      </c>
      <c r="O27" s="122">
        <v>641.04600000000005</v>
      </c>
      <c r="P27" s="122">
        <v>147.99100000000001</v>
      </c>
      <c r="Q27" s="122">
        <v>0</v>
      </c>
      <c r="R27" s="122">
        <v>493.00200000000001</v>
      </c>
      <c r="S27" s="123">
        <v>436.68299999999999</v>
      </c>
      <c r="U27" s="125"/>
      <c r="V27" s="125"/>
    </row>
    <row r="28" spans="1:22" ht="15.75">
      <c r="A28" s="110"/>
      <c r="B28" s="121" t="s">
        <v>134</v>
      </c>
      <c r="C28" s="122">
        <v>313.93799999999999</v>
      </c>
      <c r="D28" s="122">
        <v>98.238</v>
      </c>
      <c r="E28" s="122">
        <v>81.849999999999994</v>
      </c>
      <c r="F28" s="122">
        <v>47.058999999999997</v>
      </c>
      <c r="G28" s="122">
        <v>19.689</v>
      </c>
      <c r="H28" s="122">
        <v>12.968</v>
      </c>
      <c r="I28" s="122">
        <v>2.1040000000000001</v>
      </c>
      <c r="J28" s="122">
        <v>4.4450000000000003</v>
      </c>
      <c r="K28" s="122">
        <v>498.471</v>
      </c>
      <c r="L28" s="122">
        <v>2.5939999999999999</v>
      </c>
      <c r="M28" s="122">
        <v>501.065</v>
      </c>
      <c r="N28" s="122">
        <v>143.715</v>
      </c>
      <c r="O28" s="122">
        <v>647.96600000000001</v>
      </c>
      <c r="P28" s="122">
        <v>151.31899999999999</v>
      </c>
      <c r="Q28" s="122">
        <v>0</v>
      </c>
      <c r="R28" s="122">
        <v>496.46600000000001</v>
      </c>
      <c r="S28" s="123">
        <v>439.5</v>
      </c>
      <c r="U28" s="125"/>
      <c r="V28" s="125"/>
    </row>
    <row r="29" spans="1:22" ht="18.75" customHeight="1">
      <c r="A29" s="110"/>
      <c r="B29" s="121" t="s">
        <v>135</v>
      </c>
      <c r="C29" s="122">
        <v>314.87900000000002</v>
      </c>
      <c r="D29" s="122">
        <v>98.813000000000002</v>
      </c>
      <c r="E29" s="122">
        <v>84.61</v>
      </c>
      <c r="F29" s="122">
        <v>47.997</v>
      </c>
      <c r="G29" s="122">
        <v>20.361000000000001</v>
      </c>
      <c r="H29" s="122">
        <v>14.106999999999999</v>
      </c>
      <c r="I29" s="122">
        <v>2.1280000000000001</v>
      </c>
      <c r="J29" s="122">
        <v>1.5820000000000001</v>
      </c>
      <c r="K29" s="122">
        <v>499.88400000000001</v>
      </c>
      <c r="L29" s="122">
        <v>-1.3660000000000001</v>
      </c>
      <c r="M29" s="122">
        <v>498.51799999999997</v>
      </c>
      <c r="N29" s="122">
        <v>144.64699999999999</v>
      </c>
      <c r="O29" s="122">
        <v>649.59100000000001</v>
      </c>
      <c r="P29" s="122">
        <v>148.99299999999999</v>
      </c>
      <c r="Q29" s="122">
        <v>0</v>
      </c>
      <c r="R29" s="122">
        <v>500.55200000000002</v>
      </c>
      <c r="S29" s="123">
        <v>443.178</v>
      </c>
      <c r="U29" s="125"/>
      <c r="V29" s="125"/>
    </row>
    <row r="30" spans="1:22" ht="15.75">
      <c r="A30" s="110"/>
      <c r="B30" s="121" t="s">
        <v>136</v>
      </c>
      <c r="C30" s="122">
        <v>316.44200000000001</v>
      </c>
      <c r="D30" s="122">
        <v>99.424000000000007</v>
      </c>
      <c r="E30" s="122">
        <v>84.340999999999994</v>
      </c>
      <c r="F30" s="122">
        <v>48.16</v>
      </c>
      <c r="G30" s="122">
        <v>20.364999999999998</v>
      </c>
      <c r="H30" s="122">
        <v>13.253</v>
      </c>
      <c r="I30" s="122">
        <v>2.5220000000000002</v>
      </c>
      <c r="J30" s="122">
        <v>-3.1429999999999998</v>
      </c>
      <c r="K30" s="122">
        <v>497.06400000000002</v>
      </c>
      <c r="L30" s="122">
        <v>4.2380000000000004</v>
      </c>
      <c r="M30" s="122">
        <v>501.30200000000002</v>
      </c>
      <c r="N30" s="122">
        <v>146.83500000000001</v>
      </c>
      <c r="O30" s="122">
        <v>654.78599999999994</v>
      </c>
      <c r="P30" s="122">
        <v>149.83099999999999</v>
      </c>
      <c r="Q30" s="122">
        <v>0</v>
      </c>
      <c r="R30" s="122">
        <v>504.93900000000002</v>
      </c>
      <c r="S30" s="123">
        <v>447.64499999999998</v>
      </c>
      <c r="U30" s="125"/>
      <c r="V30" s="125"/>
    </row>
    <row r="31" spans="1:22" ht="15.75">
      <c r="A31" s="110"/>
      <c r="B31" s="121" t="s">
        <v>137</v>
      </c>
      <c r="C31" s="122">
        <v>321.476</v>
      </c>
      <c r="D31" s="122">
        <v>99.522999999999996</v>
      </c>
      <c r="E31" s="122">
        <v>85.843999999999994</v>
      </c>
      <c r="F31" s="122">
        <v>48.5</v>
      </c>
      <c r="G31" s="122">
        <v>20.829000000000001</v>
      </c>
      <c r="H31" s="122">
        <v>13.927</v>
      </c>
      <c r="I31" s="122">
        <v>2.585</v>
      </c>
      <c r="J31" s="122">
        <v>1.5629999999999999</v>
      </c>
      <c r="K31" s="122">
        <v>508.40600000000001</v>
      </c>
      <c r="L31" s="122">
        <v>5.2539999999999996</v>
      </c>
      <c r="M31" s="122">
        <v>513.66</v>
      </c>
      <c r="N31" s="122">
        <v>147.27500000000001</v>
      </c>
      <c r="O31" s="122">
        <v>664.15200000000004</v>
      </c>
      <c r="P31" s="122">
        <v>155.251</v>
      </c>
      <c r="Q31" s="122">
        <v>0</v>
      </c>
      <c r="R31" s="122">
        <v>508.74099999999999</v>
      </c>
      <c r="S31" s="123">
        <v>451.76100000000002</v>
      </c>
      <c r="U31" s="125"/>
      <c r="V31" s="125"/>
    </row>
    <row r="32" spans="1:22" ht="15.75">
      <c r="A32" s="110"/>
      <c r="B32" s="121" t="s">
        <v>138</v>
      </c>
      <c r="C32" s="122">
        <v>323.3</v>
      </c>
      <c r="D32" s="122">
        <v>99.308999999999997</v>
      </c>
      <c r="E32" s="122">
        <v>88.045000000000002</v>
      </c>
      <c r="F32" s="122">
        <v>50.225999999999999</v>
      </c>
      <c r="G32" s="122">
        <v>20.869</v>
      </c>
      <c r="H32" s="122">
        <v>14.292999999999999</v>
      </c>
      <c r="I32" s="122">
        <v>2.6270000000000002</v>
      </c>
      <c r="J32" s="122">
        <v>6.069</v>
      </c>
      <c r="K32" s="122">
        <v>516.72299999999996</v>
      </c>
      <c r="L32" s="122">
        <v>7.2229999999999999</v>
      </c>
      <c r="M32" s="122">
        <v>523.94600000000003</v>
      </c>
      <c r="N32" s="122">
        <v>151.50299999999999</v>
      </c>
      <c r="O32" s="122">
        <v>677.58299999999997</v>
      </c>
      <c r="P32" s="122">
        <v>164.81299999999999</v>
      </c>
      <c r="Q32" s="122">
        <v>0</v>
      </c>
      <c r="R32" s="122">
        <v>512.33399999999995</v>
      </c>
      <c r="S32" s="123">
        <v>454.62700000000001</v>
      </c>
      <c r="U32" s="125"/>
      <c r="V32" s="125"/>
    </row>
    <row r="33" spans="1:22" ht="18.75" customHeight="1">
      <c r="A33" s="110"/>
      <c r="B33" s="121" t="s">
        <v>139</v>
      </c>
      <c r="C33" s="122">
        <v>324.87200000000001</v>
      </c>
      <c r="D33" s="122">
        <v>99.537999999999997</v>
      </c>
      <c r="E33" s="122">
        <v>91.126999999999995</v>
      </c>
      <c r="F33" s="122">
        <v>53.46</v>
      </c>
      <c r="G33" s="122">
        <v>20.402999999999999</v>
      </c>
      <c r="H33" s="122">
        <v>14.603999999999999</v>
      </c>
      <c r="I33" s="122">
        <v>2.6079999999999997</v>
      </c>
      <c r="J33" s="122">
        <v>2.9390000000000001</v>
      </c>
      <c r="K33" s="122">
        <v>518.476</v>
      </c>
      <c r="L33" s="122">
        <v>5.1440000000000001</v>
      </c>
      <c r="M33" s="122">
        <v>523.62</v>
      </c>
      <c r="N33" s="122">
        <v>150.95099999999999</v>
      </c>
      <c r="O33" s="122">
        <v>677.702</v>
      </c>
      <c r="P33" s="122">
        <v>163.58799999999999</v>
      </c>
      <c r="Q33" s="122">
        <v>0</v>
      </c>
      <c r="R33" s="122">
        <v>513.85</v>
      </c>
      <c r="S33" s="123">
        <v>455.411</v>
      </c>
      <c r="U33" s="125"/>
      <c r="V33" s="125"/>
    </row>
    <row r="34" spans="1:22" ht="15.75">
      <c r="A34" s="110"/>
      <c r="B34" s="121" t="s">
        <v>140</v>
      </c>
      <c r="C34" s="122">
        <v>326.76100000000002</v>
      </c>
      <c r="D34" s="122">
        <v>100.405</v>
      </c>
      <c r="E34" s="122">
        <v>91.528999999999996</v>
      </c>
      <c r="F34" s="122">
        <v>52.037999999999997</v>
      </c>
      <c r="G34" s="122">
        <v>22.562000000000001</v>
      </c>
      <c r="H34" s="122">
        <v>14.59</v>
      </c>
      <c r="I34" s="122">
        <v>2.3109999999999999</v>
      </c>
      <c r="J34" s="122">
        <v>0.17499999999999999</v>
      </c>
      <c r="K34" s="122">
        <v>518.87</v>
      </c>
      <c r="L34" s="122">
        <v>-4.3390000000000004</v>
      </c>
      <c r="M34" s="122">
        <v>514.53099999999995</v>
      </c>
      <c r="N34" s="122">
        <v>155.70099999999999</v>
      </c>
      <c r="O34" s="122">
        <v>677.02200000000005</v>
      </c>
      <c r="P34" s="122">
        <v>159.96700000000001</v>
      </c>
      <c r="Q34" s="122">
        <v>0</v>
      </c>
      <c r="R34" s="122">
        <v>516.87599999999998</v>
      </c>
      <c r="S34" s="123">
        <v>457.07100000000003</v>
      </c>
      <c r="U34" s="125"/>
      <c r="V34" s="125"/>
    </row>
    <row r="35" spans="1:22" ht="15.75">
      <c r="A35" s="110"/>
      <c r="B35" s="121" t="s">
        <v>141</v>
      </c>
      <c r="C35" s="122">
        <v>330.75099999999998</v>
      </c>
      <c r="D35" s="122">
        <v>101.277</v>
      </c>
      <c r="E35" s="122">
        <v>90.849000000000004</v>
      </c>
      <c r="F35" s="122">
        <v>52.162999999999997</v>
      </c>
      <c r="G35" s="122">
        <v>22.437999999999999</v>
      </c>
      <c r="H35" s="122">
        <v>13.835000000000001</v>
      </c>
      <c r="I35" s="122">
        <v>2.3930000000000002</v>
      </c>
      <c r="J35" s="122">
        <v>0.309</v>
      </c>
      <c r="K35" s="122">
        <v>523.18600000000004</v>
      </c>
      <c r="L35" s="122">
        <v>-3.06</v>
      </c>
      <c r="M35" s="122">
        <v>520.12599999999998</v>
      </c>
      <c r="N35" s="122">
        <v>150.77600000000001</v>
      </c>
      <c r="O35" s="122">
        <v>678.83100000000002</v>
      </c>
      <c r="P35" s="122">
        <v>159.785</v>
      </c>
      <c r="Q35" s="122">
        <v>0</v>
      </c>
      <c r="R35" s="122">
        <v>518.91499999999996</v>
      </c>
      <c r="S35" s="123">
        <v>458.39400000000001</v>
      </c>
      <c r="U35" s="125"/>
      <c r="V35" s="125"/>
    </row>
    <row r="36" spans="1:22" ht="15.75">
      <c r="A36" s="110"/>
      <c r="B36" s="121" t="s">
        <v>142</v>
      </c>
      <c r="C36" s="122">
        <v>329.82900000000001</v>
      </c>
      <c r="D36" s="122">
        <v>100.928</v>
      </c>
      <c r="E36" s="122">
        <v>93.834999999999994</v>
      </c>
      <c r="F36" s="122">
        <v>55.62</v>
      </c>
      <c r="G36" s="122">
        <v>22.34</v>
      </c>
      <c r="H36" s="122">
        <v>13.519</v>
      </c>
      <c r="I36" s="122">
        <v>2.3340000000000001</v>
      </c>
      <c r="J36" s="122">
        <v>-3.03</v>
      </c>
      <c r="K36" s="122">
        <v>521.56200000000001</v>
      </c>
      <c r="L36" s="122">
        <v>14.36</v>
      </c>
      <c r="M36" s="122">
        <v>535.92200000000003</v>
      </c>
      <c r="N36" s="122">
        <v>155.10499999999999</v>
      </c>
      <c r="O36" s="122">
        <v>688.23199999999997</v>
      </c>
      <c r="P36" s="122">
        <v>166.21799999999999</v>
      </c>
      <c r="Q36" s="122">
        <v>0</v>
      </c>
      <c r="R36" s="122">
        <v>521.91999999999996</v>
      </c>
      <c r="S36" s="123">
        <v>460.488</v>
      </c>
      <c r="U36" s="125"/>
      <c r="V36" s="125"/>
    </row>
    <row r="37" spans="1:22" ht="18.75" customHeight="1">
      <c r="A37" s="110"/>
      <c r="B37" s="121" t="s">
        <v>143</v>
      </c>
      <c r="C37" s="122">
        <v>336.62700000000001</v>
      </c>
      <c r="D37" s="122">
        <v>101.15</v>
      </c>
      <c r="E37" s="122">
        <v>94.837999999999994</v>
      </c>
      <c r="F37" s="122">
        <v>56.947000000000003</v>
      </c>
      <c r="G37" s="122">
        <v>22.327000000000002</v>
      </c>
      <c r="H37" s="122">
        <v>13.169</v>
      </c>
      <c r="I37" s="122">
        <v>2.3820000000000001</v>
      </c>
      <c r="J37" s="122">
        <v>1.2350000000000001</v>
      </c>
      <c r="K37" s="122">
        <v>533.85</v>
      </c>
      <c r="L37" s="122">
        <v>0.52500000000000002</v>
      </c>
      <c r="M37" s="122">
        <v>534.375</v>
      </c>
      <c r="N37" s="122">
        <v>154.52500000000001</v>
      </c>
      <c r="O37" s="122">
        <v>689.48299999999995</v>
      </c>
      <c r="P37" s="122">
        <v>165.54499999999999</v>
      </c>
      <c r="Q37" s="122">
        <v>0</v>
      </c>
      <c r="R37" s="122">
        <v>523.81299999999999</v>
      </c>
      <c r="S37" s="123">
        <v>462.51799999999997</v>
      </c>
      <c r="U37" s="125"/>
      <c r="V37" s="125"/>
    </row>
    <row r="38" spans="1:22" ht="15.75">
      <c r="A38" s="110"/>
      <c r="B38" s="121" t="s">
        <v>144</v>
      </c>
      <c r="C38" s="122">
        <v>339.39600000000002</v>
      </c>
      <c r="D38" s="122">
        <v>101.277</v>
      </c>
      <c r="E38" s="122">
        <v>95.631</v>
      </c>
      <c r="F38" s="122">
        <v>56.795999999999999</v>
      </c>
      <c r="G38" s="122">
        <v>22.762</v>
      </c>
      <c r="H38" s="122">
        <v>13.584</v>
      </c>
      <c r="I38" s="122">
        <v>2.4889999999999999</v>
      </c>
      <c r="J38" s="122">
        <v>-0.86599999999999999</v>
      </c>
      <c r="K38" s="122">
        <v>535.43799999999999</v>
      </c>
      <c r="L38" s="122">
        <v>-0.19500000000000001</v>
      </c>
      <c r="M38" s="122">
        <v>535.24300000000005</v>
      </c>
      <c r="N38" s="122">
        <v>159.18299999999999</v>
      </c>
      <c r="O38" s="122">
        <v>694.327</v>
      </c>
      <c r="P38" s="122">
        <v>167.52199999999999</v>
      </c>
      <c r="Q38" s="122">
        <v>0</v>
      </c>
      <c r="R38" s="122">
        <v>526.75</v>
      </c>
      <c r="S38" s="123">
        <v>465.48399999999998</v>
      </c>
      <c r="U38" s="125"/>
      <c r="V38" s="125"/>
    </row>
    <row r="39" spans="1:22" ht="15.75">
      <c r="A39" s="110"/>
      <c r="B39" s="121" t="s">
        <v>145</v>
      </c>
      <c r="C39" s="122">
        <v>342.22</v>
      </c>
      <c r="D39" s="122">
        <v>101.465</v>
      </c>
      <c r="E39" s="122">
        <v>98.328999999999994</v>
      </c>
      <c r="F39" s="122">
        <v>58.177</v>
      </c>
      <c r="G39" s="122">
        <v>23.783000000000001</v>
      </c>
      <c r="H39" s="122">
        <v>13.94</v>
      </c>
      <c r="I39" s="122">
        <v>2.4239999999999999</v>
      </c>
      <c r="J39" s="122">
        <v>3.1539999999999999</v>
      </c>
      <c r="K39" s="122">
        <v>545.16800000000001</v>
      </c>
      <c r="L39" s="122">
        <v>1.923</v>
      </c>
      <c r="M39" s="122">
        <v>547.09100000000001</v>
      </c>
      <c r="N39" s="122">
        <v>154.845</v>
      </c>
      <c r="O39" s="122">
        <v>701.69899999999996</v>
      </c>
      <c r="P39" s="122">
        <v>173.18899999999999</v>
      </c>
      <c r="Q39" s="122">
        <v>0</v>
      </c>
      <c r="R39" s="122">
        <v>528.71199999999999</v>
      </c>
      <c r="S39" s="123">
        <v>467.61200000000002</v>
      </c>
      <c r="U39" s="125"/>
      <c r="V39" s="125"/>
    </row>
    <row r="40" spans="1:22" ht="15.75">
      <c r="A40" s="110"/>
      <c r="B40" s="121" t="s">
        <v>146</v>
      </c>
      <c r="C40" s="122">
        <v>342.26100000000002</v>
      </c>
      <c r="D40" s="122">
        <v>101.092</v>
      </c>
      <c r="E40" s="122">
        <v>97.427000000000007</v>
      </c>
      <c r="F40" s="122">
        <v>56.045000000000002</v>
      </c>
      <c r="G40" s="122">
        <v>25.056000000000001</v>
      </c>
      <c r="H40" s="122">
        <v>13.885999999999999</v>
      </c>
      <c r="I40" s="122">
        <v>2.4470000000000001</v>
      </c>
      <c r="J40" s="122">
        <v>-1.9239999999999999</v>
      </c>
      <c r="K40" s="122">
        <v>538.85599999999999</v>
      </c>
      <c r="L40" s="122">
        <v>2.7829999999999999</v>
      </c>
      <c r="M40" s="122">
        <v>541.63900000000001</v>
      </c>
      <c r="N40" s="122">
        <v>160.97399999999999</v>
      </c>
      <c r="O40" s="122">
        <v>701.26199999999994</v>
      </c>
      <c r="P40" s="122">
        <v>169.13200000000001</v>
      </c>
      <c r="Q40" s="122">
        <v>0</v>
      </c>
      <c r="R40" s="122">
        <v>532.08199999999999</v>
      </c>
      <c r="S40" s="123">
        <v>471.39400000000001</v>
      </c>
      <c r="U40" s="125"/>
      <c r="V40" s="125"/>
    </row>
    <row r="41" spans="1:22" ht="18.75" customHeight="1">
      <c r="A41" s="110"/>
      <c r="B41" s="121" t="s">
        <v>147</v>
      </c>
      <c r="C41" s="122">
        <v>344.69799999999998</v>
      </c>
      <c r="D41" s="122">
        <v>101.33499999999999</v>
      </c>
      <c r="E41" s="122">
        <v>99.076999999999998</v>
      </c>
      <c r="F41" s="122">
        <v>57.344999999999999</v>
      </c>
      <c r="G41" s="122">
        <v>25.297000000000001</v>
      </c>
      <c r="H41" s="122">
        <v>13.962999999999999</v>
      </c>
      <c r="I41" s="122">
        <v>2.4740000000000002</v>
      </c>
      <c r="J41" s="122">
        <v>-0.49299999999999999</v>
      </c>
      <c r="K41" s="122">
        <v>544.61699999999996</v>
      </c>
      <c r="L41" s="122">
        <v>5.1070000000000002</v>
      </c>
      <c r="M41" s="122">
        <v>549.72400000000005</v>
      </c>
      <c r="N41" s="122">
        <v>163.631</v>
      </c>
      <c r="O41" s="122">
        <v>707.72799999999995</v>
      </c>
      <c r="P41" s="122">
        <v>171.12899999999999</v>
      </c>
      <c r="Q41" s="122">
        <v>0</v>
      </c>
      <c r="R41" s="122">
        <v>536.56600000000003</v>
      </c>
      <c r="S41" s="123">
        <v>475.48</v>
      </c>
      <c r="U41" s="125"/>
      <c r="V41" s="125"/>
    </row>
    <row r="42" spans="1:22" ht="15.75">
      <c r="A42" s="110"/>
      <c r="B42" s="121" t="s">
        <v>148</v>
      </c>
      <c r="C42" s="122">
        <v>344.75799999999998</v>
      </c>
      <c r="D42" s="122">
        <v>101.85899999999999</v>
      </c>
      <c r="E42" s="122">
        <v>100.304</v>
      </c>
      <c r="F42" s="122">
        <v>57.03</v>
      </c>
      <c r="G42" s="122">
        <v>24.943999999999999</v>
      </c>
      <c r="H42" s="122">
        <v>15.742000000000001</v>
      </c>
      <c r="I42" s="122">
        <v>2.5759999999999996</v>
      </c>
      <c r="J42" s="122">
        <v>0.20300000000000001</v>
      </c>
      <c r="K42" s="122">
        <v>547.12400000000002</v>
      </c>
      <c r="L42" s="122">
        <v>6.2</v>
      </c>
      <c r="M42" s="122">
        <v>553.32399999999996</v>
      </c>
      <c r="N42" s="122">
        <v>168.01599999999999</v>
      </c>
      <c r="O42" s="122">
        <v>715.65800000000002</v>
      </c>
      <c r="P42" s="122">
        <v>175.70699999999999</v>
      </c>
      <c r="Q42" s="122">
        <v>0</v>
      </c>
      <c r="R42" s="122">
        <v>540.02</v>
      </c>
      <c r="S42" s="123">
        <v>478.45</v>
      </c>
      <c r="U42" s="125"/>
      <c r="V42" s="125"/>
    </row>
    <row r="43" spans="1:22" ht="15.75">
      <c r="A43" s="110"/>
      <c r="B43" s="121" t="s">
        <v>149</v>
      </c>
      <c r="C43" s="122">
        <v>347.00599999999997</v>
      </c>
      <c r="D43" s="122">
        <v>102.258</v>
      </c>
      <c r="E43" s="122">
        <v>99.418999999999997</v>
      </c>
      <c r="F43" s="122">
        <v>56.048000000000002</v>
      </c>
      <c r="G43" s="122">
        <v>25.459</v>
      </c>
      <c r="H43" s="122">
        <v>15.337</v>
      </c>
      <c r="I43" s="122">
        <v>2.5619999999999998</v>
      </c>
      <c r="J43" s="122">
        <v>1.7000000000000001E-2</v>
      </c>
      <c r="K43" s="122">
        <v>548.70000000000005</v>
      </c>
      <c r="L43" s="122">
        <v>1.73</v>
      </c>
      <c r="M43" s="122">
        <v>550.42999999999995</v>
      </c>
      <c r="N43" s="122">
        <v>172.089</v>
      </c>
      <c r="O43" s="122">
        <v>719.947</v>
      </c>
      <c r="P43" s="122">
        <v>176.56700000000001</v>
      </c>
      <c r="Q43" s="122">
        <v>0</v>
      </c>
      <c r="R43" s="122">
        <v>543.452</v>
      </c>
      <c r="S43" s="123">
        <v>481.04399999999998</v>
      </c>
      <c r="U43" s="125"/>
      <c r="V43" s="125"/>
    </row>
    <row r="44" spans="1:22" ht="15.75">
      <c r="A44" s="110"/>
      <c r="B44" s="121" t="s">
        <v>150</v>
      </c>
      <c r="C44" s="122">
        <v>348.916</v>
      </c>
      <c r="D44" s="122">
        <v>102.18</v>
      </c>
      <c r="E44" s="122">
        <v>100.952</v>
      </c>
      <c r="F44" s="122">
        <v>57.021999999999998</v>
      </c>
      <c r="G44" s="122">
        <v>26.452999999999999</v>
      </c>
      <c r="H44" s="122">
        <v>15.47</v>
      </c>
      <c r="I44" s="122">
        <v>2</v>
      </c>
      <c r="J44" s="122">
        <v>0.879</v>
      </c>
      <c r="K44" s="122">
        <v>552.92700000000002</v>
      </c>
      <c r="L44" s="122">
        <v>0.27</v>
      </c>
      <c r="M44" s="122">
        <v>553.197</v>
      </c>
      <c r="N44" s="122">
        <v>168.38200000000001</v>
      </c>
      <c r="O44" s="122">
        <v>720.77200000000005</v>
      </c>
      <c r="P44" s="122">
        <v>173.358</v>
      </c>
      <c r="Q44" s="122">
        <v>0</v>
      </c>
      <c r="R44" s="122">
        <v>547.37699999999995</v>
      </c>
      <c r="S44" s="123">
        <v>484.08</v>
      </c>
      <c r="U44" s="125"/>
      <c r="V44" s="125"/>
    </row>
    <row r="45" spans="1:22" ht="18.75" customHeight="1">
      <c r="A45" s="110"/>
      <c r="B45" s="121" t="s">
        <v>151</v>
      </c>
      <c r="C45" s="122">
        <v>351.12</v>
      </c>
      <c r="D45" s="122">
        <v>101.88500000000001</v>
      </c>
      <c r="E45" s="122">
        <v>100.378</v>
      </c>
      <c r="F45" s="122">
        <v>56.689</v>
      </c>
      <c r="G45" s="122">
        <v>26.63</v>
      </c>
      <c r="H45" s="122">
        <v>15.693</v>
      </c>
      <c r="I45" s="122">
        <v>1.389</v>
      </c>
      <c r="J45" s="122">
        <v>0.497</v>
      </c>
      <c r="K45" s="122">
        <v>553.88</v>
      </c>
      <c r="L45" s="122">
        <v>-0.76100000000000001</v>
      </c>
      <c r="M45" s="122">
        <v>553.11900000000003</v>
      </c>
      <c r="N45" s="122">
        <v>171.69800000000001</v>
      </c>
      <c r="O45" s="122">
        <v>724.27099999999996</v>
      </c>
      <c r="P45" s="122">
        <v>176.57900000000001</v>
      </c>
      <c r="Q45" s="122">
        <v>0</v>
      </c>
      <c r="R45" s="122">
        <v>547.68799999999999</v>
      </c>
      <c r="S45" s="123">
        <v>484.21100000000001</v>
      </c>
      <c r="U45" s="125"/>
      <c r="V45" s="125"/>
    </row>
    <row r="46" spans="1:22" ht="15.75">
      <c r="A46" s="110"/>
      <c r="B46" s="121" t="s">
        <v>152</v>
      </c>
      <c r="C46" s="122">
        <v>350.70600000000002</v>
      </c>
      <c r="D46" s="122">
        <v>101.964</v>
      </c>
      <c r="E46" s="122">
        <v>99.210999999999999</v>
      </c>
      <c r="F46" s="122">
        <v>55.518999999999998</v>
      </c>
      <c r="G46" s="122">
        <v>27.800999999999998</v>
      </c>
      <c r="H46" s="122">
        <v>14.55</v>
      </c>
      <c r="I46" s="122">
        <v>1.369</v>
      </c>
      <c r="J46" s="122">
        <v>1.2230000000000001</v>
      </c>
      <c r="K46" s="122">
        <v>553.10400000000004</v>
      </c>
      <c r="L46" s="122">
        <v>3.242</v>
      </c>
      <c r="M46" s="122">
        <v>556.346</v>
      </c>
      <c r="N46" s="122">
        <v>172.68799999999999</v>
      </c>
      <c r="O46" s="122">
        <v>726.36300000000006</v>
      </c>
      <c r="P46" s="122">
        <v>177.77600000000001</v>
      </c>
      <c r="Q46" s="122">
        <v>0</v>
      </c>
      <c r="R46" s="122">
        <v>548.6</v>
      </c>
      <c r="S46" s="123">
        <v>484.94299999999998</v>
      </c>
      <c r="U46" s="125"/>
      <c r="V46" s="125"/>
    </row>
    <row r="47" spans="1:22" ht="15.75">
      <c r="A47" s="110"/>
      <c r="B47" s="121" t="s">
        <v>153</v>
      </c>
      <c r="C47" s="122">
        <v>353.46800000000002</v>
      </c>
      <c r="D47" s="122">
        <v>102.53700000000001</v>
      </c>
      <c r="E47" s="122">
        <v>99.191000000000003</v>
      </c>
      <c r="F47" s="122">
        <v>55.578000000000003</v>
      </c>
      <c r="G47" s="122">
        <v>27.062999999999999</v>
      </c>
      <c r="H47" s="122">
        <v>15.198</v>
      </c>
      <c r="I47" s="122">
        <v>1.351</v>
      </c>
      <c r="J47" s="122">
        <v>1.0900000000000001</v>
      </c>
      <c r="K47" s="122">
        <v>556.28599999999994</v>
      </c>
      <c r="L47" s="122">
        <v>-2.4649999999999999</v>
      </c>
      <c r="M47" s="122">
        <v>553.82100000000003</v>
      </c>
      <c r="N47" s="122">
        <v>174.98099999999999</v>
      </c>
      <c r="O47" s="122">
        <v>729.07500000000005</v>
      </c>
      <c r="P47" s="122">
        <v>178.67400000000001</v>
      </c>
      <c r="Q47" s="122">
        <v>0</v>
      </c>
      <c r="R47" s="122">
        <v>550.42499999999995</v>
      </c>
      <c r="S47" s="123">
        <v>486.83300000000003</v>
      </c>
      <c r="U47" s="125"/>
      <c r="V47" s="125"/>
    </row>
    <row r="48" spans="1:22" ht="15.75">
      <c r="A48" s="110"/>
      <c r="B48" s="121" t="s">
        <v>154</v>
      </c>
      <c r="C48" s="122">
        <v>357.30599999999998</v>
      </c>
      <c r="D48" s="122">
        <v>103.785</v>
      </c>
      <c r="E48" s="122">
        <v>99.058000000000007</v>
      </c>
      <c r="F48" s="122">
        <v>55.984000000000002</v>
      </c>
      <c r="G48" s="122">
        <v>26.765999999999998</v>
      </c>
      <c r="H48" s="122">
        <v>15.07</v>
      </c>
      <c r="I48" s="122">
        <v>1.238</v>
      </c>
      <c r="J48" s="122">
        <v>0.32700000000000001</v>
      </c>
      <c r="K48" s="122">
        <v>560.476</v>
      </c>
      <c r="L48" s="122">
        <v>0.92500000000000004</v>
      </c>
      <c r="M48" s="122">
        <v>561.40099999999995</v>
      </c>
      <c r="N48" s="122">
        <v>173.49299999999999</v>
      </c>
      <c r="O48" s="122">
        <v>736.43100000000004</v>
      </c>
      <c r="P48" s="122">
        <v>185.31800000000001</v>
      </c>
      <c r="Q48" s="122">
        <v>0</v>
      </c>
      <c r="R48" s="122">
        <v>551.12800000000004</v>
      </c>
      <c r="S48" s="123">
        <v>487.50599999999997</v>
      </c>
      <c r="U48" s="125"/>
      <c r="V48" s="125"/>
    </row>
    <row r="49" spans="1:22" ht="18.75" customHeight="1">
      <c r="A49" s="110"/>
      <c r="B49" s="121" t="s">
        <v>155</v>
      </c>
      <c r="C49" s="122">
        <v>356.97500000000002</v>
      </c>
      <c r="D49" s="122">
        <v>105.264</v>
      </c>
      <c r="E49" s="122">
        <v>102.105</v>
      </c>
      <c r="F49" s="122">
        <v>56.579000000000001</v>
      </c>
      <c r="G49" s="122">
        <v>27.783999999999999</v>
      </c>
      <c r="H49" s="122">
        <v>16.349</v>
      </c>
      <c r="I49" s="122">
        <v>1.41246925</v>
      </c>
      <c r="J49" s="122">
        <v>12.051</v>
      </c>
      <c r="K49" s="122">
        <v>576.39499999999998</v>
      </c>
      <c r="L49" s="122">
        <v>6.7240000000000002</v>
      </c>
      <c r="M49" s="122">
        <v>583.11900000000003</v>
      </c>
      <c r="N49" s="122">
        <v>171.53399999999999</v>
      </c>
      <c r="O49" s="122">
        <v>753.59699999999998</v>
      </c>
      <c r="P49" s="122">
        <v>198.38900000000001</v>
      </c>
      <c r="Q49" s="122">
        <v>0</v>
      </c>
      <c r="R49" s="122">
        <v>555.14099999999996</v>
      </c>
      <c r="S49" s="123">
        <v>491.23700000000002</v>
      </c>
      <c r="U49" s="125"/>
      <c r="V49" s="125"/>
    </row>
    <row r="50" spans="1:22" ht="15.75" customHeight="1">
      <c r="A50" s="551"/>
      <c r="B50" s="121" t="s">
        <v>156</v>
      </c>
      <c r="C50" s="122">
        <v>357.952</v>
      </c>
      <c r="D50" s="122">
        <v>107.139</v>
      </c>
      <c r="E50" s="122">
        <v>101.27500000000001</v>
      </c>
      <c r="F50" s="122">
        <v>57.469000000000001</v>
      </c>
      <c r="G50" s="122">
        <v>27.184000000000001</v>
      </c>
      <c r="H50" s="122">
        <v>15.196</v>
      </c>
      <c r="I50" s="122">
        <v>1.41536178</v>
      </c>
      <c r="J50" s="122">
        <v>1.776</v>
      </c>
      <c r="K50" s="122">
        <v>568.14200000000005</v>
      </c>
      <c r="L50" s="122">
        <v>-3.714</v>
      </c>
      <c r="M50" s="122">
        <v>564.428</v>
      </c>
      <c r="N50" s="122">
        <v>169.39599999999999</v>
      </c>
      <c r="O50" s="122">
        <v>736.85599999999999</v>
      </c>
      <c r="P50" s="122">
        <v>179.95400000000001</v>
      </c>
      <c r="Q50" s="122">
        <v>0</v>
      </c>
      <c r="R50" s="122">
        <v>556.93200000000002</v>
      </c>
      <c r="S50" s="123">
        <v>492.94</v>
      </c>
      <c r="U50" s="125"/>
      <c r="V50" s="125"/>
    </row>
    <row r="51" spans="1:22">
      <c r="A51" s="551"/>
      <c r="B51" s="121" t="s">
        <v>157</v>
      </c>
      <c r="C51" s="122">
        <v>357.25</v>
      </c>
      <c r="D51" s="122">
        <v>106.851</v>
      </c>
      <c r="E51" s="122">
        <v>102.1</v>
      </c>
      <c r="F51" s="122">
        <v>57.24</v>
      </c>
      <c r="G51" s="122">
        <v>28.12</v>
      </c>
      <c r="H51" s="122">
        <v>15.266</v>
      </c>
      <c r="I51" s="122">
        <v>1.4490349699999998</v>
      </c>
      <c r="J51" s="122">
        <v>1.024</v>
      </c>
      <c r="K51" s="122">
        <v>567.22500000000002</v>
      </c>
      <c r="L51" s="122">
        <v>-1.014</v>
      </c>
      <c r="M51" s="122">
        <v>566.21100000000001</v>
      </c>
      <c r="N51" s="122">
        <v>179.40799999999999</v>
      </c>
      <c r="O51" s="122">
        <v>743.601</v>
      </c>
      <c r="P51" s="122">
        <v>182.62200000000001</v>
      </c>
      <c r="Q51" s="122">
        <v>0</v>
      </c>
      <c r="R51" s="122">
        <v>560.98699999999997</v>
      </c>
      <c r="S51" s="123">
        <v>496.98399999999998</v>
      </c>
      <c r="U51" s="125"/>
      <c r="V51" s="125"/>
    </row>
    <row r="52" spans="1:22">
      <c r="A52" s="551"/>
      <c r="B52" s="121" t="s">
        <v>158</v>
      </c>
      <c r="C52" s="122">
        <v>355.76299999999998</v>
      </c>
      <c r="D52" s="122">
        <v>107.33799999999999</v>
      </c>
      <c r="E52" s="122">
        <v>100.943</v>
      </c>
      <c r="F52" s="122">
        <v>57.292999999999999</v>
      </c>
      <c r="G52" s="122">
        <v>26.821000000000002</v>
      </c>
      <c r="H52" s="122">
        <v>15.329000000000001</v>
      </c>
      <c r="I52" s="122">
        <v>1.4667324900000001</v>
      </c>
      <c r="J52" s="122">
        <v>-11.971</v>
      </c>
      <c r="K52" s="122">
        <v>552.07299999999998</v>
      </c>
      <c r="L52" s="122">
        <v>-0.73399999999999999</v>
      </c>
      <c r="M52" s="122">
        <v>551.33900000000006</v>
      </c>
      <c r="N52" s="122">
        <v>186.358</v>
      </c>
      <c r="O52" s="122">
        <v>737.73900000000003</v>
      </c>
      <c r="P52" s="122">
        <v>176.90700000000001</v>
      </c>
      <c r="Q52" s="122">
        <v>0</v>
      </c>
      <c r="R52" s="122">
        <v>560.86099999999999</v>
      </c>
      <c r="S52" s="123">
        <v>497.03100000000001</v>
      </c>
      <c r="U52" s="125"/>
      <c r="V52" s="125"/>
    </row>
    <row r="53" spans="1:22">
      <c r="A53" s="551"/>
      <c r="B53" s="127" t="s">
        <v>159</v>
      </c>
      <c r="C53" s="122">
        <v>345.66899999999998</v>
      </c>
      <c r="D53" s="122">
        <v>103.574</v>
      </c>
      <c r="E53" s="122">
        <v>97.191000000000003</v>
      </c>
      <c r="F53" s="122">
        <v>55.991999999999997</v>
      </c>
      <c r="G53" s="122">
        <v>25.151</v>
      </c>
      <c r="H53" s="122">
        <v>14.769</v>
      </c>
      <c r="I53" s="122">
        <v>1.2775995299999998</v>
      </c>
      <c r="J53" s="122">
        <v>0.626</v>
      </c>
      <c r="K53" s="122">
        <v>547.05999999999995</v>
      </c>
      <c r="L53" s="122">
        <v>-2.0499999999999998</v>
      </c>
      <c r="M53" s="122">
        <v>545.01</v>
      </c>
      <c r="N53" s="122">
        <v>170.31700000000001</v>
      </c>
      <c r="O53" s="122">
        <v>715.327</v>
      </c>
      <c r="P53" s="122">
        <v>169.73</v>
      </c>
      <c r="Q53" s="122">
        <v>0</v>
      </c>
      <c r="R53" s="122">
        <v>545.59699999999998</v>
      </c>
      <c r="S53" s="123">
        <v>484.49200000000002</v>
      </c>
      <c r="U53" s="125"/>
      <c r="V53" s="125"/>
    </row>
    <row r="54" spans="1:22">
      <c r="A54" s="551"/>
      <c r="B54" s="127" t="s">
        <v>160</v>
      </c>
      <c r="C54" s="122">
        <v>264.64699999999999</v>
      </c>
      <c r="D54" s="122">
        <v>84.623999999999995</v>
      </c>
      <c r="E54" s="122">
        <v>78.563000000000002</v>
      </c>
      <c r="F54" s="122">
        <v>45.262</v>
      </c>
      <c r="G54" s="122">
        <v>15.904</v>
      </c>
      <c r="H54" s="122">
        <v>16.302</v>
      </c>
      <c r="I54" s="122">
        <v>0.80659440300000007</v>
      </c>
      <c r="J54" s="122">
        <v>-8.7249999999999996</v>
      </c>
      <c r="K54" s="122">
        <v>419.10899999999998</v>
      </c>
      <c r="L54" s="122">
        <v>-5.7469999999999999</v>
      </c>
      <c r="M54" s="122">
        <v>413.36200000000002</v>
      </c>
      <c r="N54" s="122">
        <v>148.83099999999999</v>
      </c>
      <c r="O54" s="122">
        <v>562.19299999999998</v>
      </c>
      <c r="P54" s="122">
        <v>127.47499999999999</v>
      </c>
      <c r="Q54" s="122">
        <v>0</v>
      </c>
      <c r="R54" s="122">
        <v>434.71800000000002</v>
      </c>
      <c r="S54" s="123">
        <v>384.94600000000003</v>
      </c>
      <c r="U54" s="125"/>
      <c r="V54" s="125"/>
    </row>
    <row r="55" spans="1:22" ht="15.75">
      <c r="A55" s="128"/>
      <c r="B55" s="127" t="s">
        <v>161</v>
      </c>
      <c r="C55" s="122">
        <v>316.84500000000003</v>
      </c>
      <c r="D55" s="122">
        <v>99.933999999999997</v>
      </c>
      <c r="E55" s="122">
        <v>90.756</v>
      </c>
      <c r="F55" s="122">
        <v>50.14</v>
      </c>
      <c r="G55" s="122">
        <v>23.2</v>
      </c>
      <c r="H55" s="122">
        <v>16.282</v>
      </c>
      <c r="I55" s="122">
        <v>1.2106952100000001</v>
      </c>
      <c r="J55" s="122">
        <v>1.208</v>
      </c>
      <c r="K55" s="122">
        <v>508.74299999999999</v>
      </c>
      <c r="L55" s="122">
        <v>0.36799999999999999</v>
      </c>
      <c r="M55" s="122">
        <v>509.11099999999999</v>
      </c>
      <c r="N55" s="122">
        <v>148.90100000000001</v>
      </c>
      <c r="O55" s="122">
        <v>658.01199999999994</v>
      </c>
      <c r="P55" s="122">
        <v>150.369</v>
      </c>
      <c r="Q55" s="122">
        <v>0</v>
      </c>
      <c r="R55" s="122">
        <v>507.64299999999997</v>
      </c>
      <c r="S55" s="123">
        <v>451.28899999999999</v>
      </c>
      <c r="U55" s="125"/>
      <c r="V55" s="125"/>
    </row>
    <row r="56" spans="1:22" ht="15.75">
      <c r="A56" s="128"/>
      <c r="B56" s="127" t="s">
        <v>162</v>
      </c>
      <c r="C56" s="122">
        <v>311.779</v>
      </c>
      <c r="D56" s="122">
        <v>104.83499999999999</v>
      </c>
      <c r="E56" s="122">
        <v>96.147000000000006</v>
      </c>
      <c r="F56" s="122">
        <v>52.905999999999999</v>
      </c>
      <c r="G56" s="122">
        <v>24.960999999999999</v>
      </c>
      <c r="H56" s="122">
        <v>17.055</v>
      </c>
      <c r="I56" s="122">
        <v>1.27414614</v>
      </c>
      <c r="J56" s="122">
        <v>6.4459999999999997</v>
      </c>
      <c r="K56" s="122">
        <v>519.20699999999999</v>
      </c>
      <c r="L56" s="122">
        <v>9.952</v>
      </c>
      <c r="M56" s="122">
        <v>529.15899999999999</v>
      </c>
      <c r="N56" s="122">
        <v>157.59100000000001</v>
      </c>
      <c r="O56" s="122">
        <v>686.75</v>
      </c>
      <c r="P56" s="122">
        <v>172.21899999999999</v>
      </c>
      <c r="Q56" s="122">
        <v>0</v>
      </c>
      <c r="R56" s="122">
        <v>514.53099999999995</v>
      </c>
      <c r="S56" s="123">
        <v>458.54700000000003</v>
      </c>
      <c r="U56" s="125"/>
      <c r="V56" s="125"/>
    </row>
    <row r="57" spans="1:22" ht="15.75">
      <c r="A57" s="128"/>
      <c r="B57" s="127" t="s">
        <v>163</v>
      </c>
      <c r="C57" s="122">
        <v>300.98</v>
      </c>
      <c r="D57" s="122">
        <v>105.864</v>
      </c>
      <c r="E57" s="122">
        <v>93.777000000000001</v>
      </c>
      <c r="F57" s="122">
        <v>48.113</v>
      </c>
      <c r="G57" s="122">
        <v>25.125</v>
      </c>
      <c r="H57" s="122">
        <v>19.283000000000001</v>
      </c>
      <c r="I57" s="122">
        <v>1.3006366000000003</v>
      </c>
      <c r="J57" s="122">
        <v>6.9790000000000001</v>
      </c>
      <c r="K57" s="122">
        <v>507.6</v>
      </c>
      <c r="L57" s="122">
        <v>2.6190000000000002</v>
      </c>
      <c r="M57" s="122">
        <v>510.21899999999999</v>
      </c>
      <c r="N57" s="122">
        <v>154.70699999999999</v>
      </c>
      <c r="O57" s="122">
        <v>664.92600000000004</v>
      </c>
      <c r="P57" s="122">
        <v>155.66499999999999</v>
      </c>
      <c r="Q57" s="122">
        <v>0</v>
      </c>
      <c r="R57" s="122">
        <v>509.26100000000002</v>
      </c>
      <c r="S57" s="123">
        <v>453.61099999999999</v>
      </c>
      <c r="U57" s="125"/>
      <c r="V57" s="125"/>
    </row>
    <row r="58" spans="1:22" ht="15.75">
      <c r="A58" s="110"/>
      <c r="B58" s="127" t="s">
        <v>164</v>
      </c>
      <c r="C58" s="122">
        <v>336.45100000000002</v>
      </c>
      <c r="D58" s="122">
        <v>114.096</v>
      </c>
      <c r="E58" s="122">
        <v>98.872</v>
      </c>
      <c r="F58" s="122">
        <v>53.704999999999998</v>
      </c>
      <c r="G58" s="122">
        <v>26.835999999999999</v>
      </c>
      <c r="H58" s="122">
        <v>16.890999999999998</v>
      </c>
      <c r="I58" s="122">
        <v>1.5307151300000001</v>
      </c>
      <c r="J58" s="122">
        <v>-0.54500000000000004</v>
      </c>
      <c r="K58" s="122">
        <v>548.87400000000002</v>
      </c>
      <c r="L58" s="122">
        <v>-7.4569999999999999</v>
      </c>
      <c r="M58" s="122">
        <v>541.41700000000003</v>
      </c>
      <c r="N58" s="122">
        <v>166.78700000000001</v>
      </c>
      <c r="O58" s="122">
        <v>708.20399999999995</v>
      </c>
      <c r="P58" s="122">
        <v>161.625</v>
      </c>
      <c r="Q58" s="122">
        <v>0</v>
      </c>
      <c r="R58" s="122">
        <v>546.57899999999995</v>
      </c>
      <c r="S58" s="123">
        <v>486.94799999999998</v>
      </c>
      <c r="U58" s="125"/>
      <c r="V58" s="125"/>
    </row>
    <row r="59" spans="1:22" ht="15.75">
      <c r="A59" s="110"/>
      <c r="B59" s="127" t="s">
        <v>165</v>
      </c>
      <c r="C59" s="122">
        <v>346.34300000000002</v>
      </c>
      <c r="D59" s="122">
        <v>115.146</v>
      </c>
      <c r="E59" s="122">
        <v>98.233000000000004</v>
      </c>
      <c r="F59" s="122">
        <v>53.034999999999997</v>
      </c>
      <c r="G59" s="122">
        <v>26.42</v>
      </c>
      <c r="H59" s="122">
        <v>17.338000000000001</v>
      </c>
      <c r="I59" s="122">
        <v>1.5039418099999999</v>
      </c>
      <c r="J59" s="122">
        <v>3.1179999999999999</v>
      </c>
      <c r="K59" s="122">
        <v>562.84</v>
      </c>
      <c r="L59" s="122">
        <v>2.1080000000000001</v>
      </c>
      <c r="M59" s="122">
        <v>564.94799999999998</v>
      </c>
      <c r="N59" s="122">
        <v>159.49700000000001</v>
      </c>
      <c r="O59" s="122">
        <v>724.44500000000005</v>
      </c>
      <c r="P59" s="122">
        <v>168.489</v>
      </c>
      <c r="Q59" s="122">
        <v>0</v>
      </c>
      <c r="R59" s="122">
        <v>555.95600000000002</v>
      </c>
      <c r="S59" s="123">
        <v>493.95699999999999</v>
      </c>
      <c r="U59" s="125"/>
      <c r="V59" s="125"/>
    </row>
    <row r="60" spans="1:22" ht="15.75">
      <c r="A60" s="110"/>
      <c r="B60" s="127" t="s">
        <v>166</v>
      </c>
      <c r="C60" s="122">
        <v>347.33100000000002</v>
      </c>
      <c r="D60" s="122">
        <v>116.404</v>
      </c>
      <c r="E60" s="122">
        <v>98.77</v>
      </c>
      <c r="F60" s="122">
        <v>53.441000000000003</v>
      </c>
      <c r="G60" s="122">
        <v>26.524999999999999</v>
      </c>
      <c r="H60" s="122">
        <v>17.338999999999999</v>
      </c>
      <c r="I60" s="122">
        <v>1.5097378699999999</v>
      </c>
      <c r="J60" s="122">
        <v>-2.593</v>
      </c>
      <c r="K60" s="122">
        <v>559.91200000000003</v>
      </c>
      <c r="L60" s="122">
        <v>1.016</v>
      </c>
      <c r="M60" s="122">
        <v>560.928</v>
      </c>
      <c r="N60" s="122">
        <v>175.56299999999999</v>
      </c>
      <c r="O60" s="122">
        <v>736.49099999999999</v>
      </c>
      <c r="P60" s="122">
        <v>172.084</v>
      </c>
      <c r="Q60" s="122">
        <v>0</v>
      </c>
      <c r="R60" s="122">
        <v>564.40700000000004</v>
      </c>
      <c r="S60" s="123">
        <v>500.928</v>
      </c>
      <c r="U60" s="125"/>
      <c r="V60" s="125"/>
    </row>
    <row r="61" spans="1:22" ht="15.75">
      <c r="A61" s="110"/>
      <c r="B61" s="127" t="s">
        <v>167</v>
      </c>
      <c r="C61" s="122">
        <v>349.99700000000001</v>
      </c>
      <c r="D61" s="122">
        <v>117.6</v>
      </c>
      <c r="E61" s="122">
        <v>103.833</v>
      </c>
      <c r="F61" s="122">
        <v>55.097999999999999</v>
      </c>
      <c r="G61" s="122">
        <v>27.946999999999999</v>
      </c>
      <c r="H61" s="122">
        <v>19.268000000000001</v>
      </c>
      <c r="I61" s="122">
        <v>1.5725060100000001</v>
      </c>
      <c r="J61" s="122">
        <v>6.1909999999999998</v>
      </c>
      <c r="K61" s="122">
        <v>577.62099999999998</v>
      </c>
      <c r="L61" s="122">
        <v>10.097</v>
      </c>
      <c r="M61" s="122">
        <v>587.71799999999996</v>
      </c>
      <c r="N61" s="122">
        <v>162.16499999999999</v>
      </c>
      <c r="O61" s="122">
        <v>749.88300000000004</v>
      </c>
      <c r="P61" s="122">
        <v>188.489</v>
      </c>
      <c r="Q61" s="122">
        <v>6.0019999999999998</v>
      </c>
      <c r="R61" s="122">
        <v>567.39599999999996</v>
      </c>
      <c r="S61" s="123">
        <v>503.38200000000001</v>
      </c>
      <c r="U61" s="125"/>
      <c r="V61" s="125"/>
    </row>
    <row r="62" spans="1:22" ht="15.75">
      <c r="A62" s="110"/>
      <c r="B62" s="127" t="s">
        <v>168</v>
      </c>
      <c r="C62" s="122">
        <v>351.37599999999998</v>
      </c>
      <c r="D62" s="122">
        <v>114.55</v>
      </c>
      <c r="E62" s="122">
        <v>104.294</v>
      </c>
      <c r="F62" s="122">
        <v>56.823</v>
      </c>
      <c r="G62" s="122">
        <v>29.03</v>
      </c>
      <c r="H62" s="122">
        <v>16.853999999999999</v>
      </c>
      <c r="I62" s="122">
        <v>1.5991790800000001</v>
      </c>
      <c r="J62" s="122">
        <v>2.2429999999999999</v>
      </c>
      <c r="K62" s="122">
        <v>572.46299999999997</v>
      </c>
      <c r="L62" s="122">
        <v>8.8109999999999999</v>
      </c>
      <c r="M62" s="122">
        <v>581.274</v>
      </c>
      <c r="N62" s="122">
        <v>171.58600000000001</v>
      </c>
      <c r="O62" s="122">
        <v>752.86</v>
      </c>
      <c r="P62" s="122">
        <v>192.20500000000001</v>
      </c>
      <c r="Q62" s="122">
        <v>7.234</v>
      </c>
      <c r="R62" s="122">
        <v>567.88900000000001</v>
      </c>
      <c r="S62" s="123">
        <v>503.71</v>
      </c>
      <c r="U62" s="125"/>
      <c r="V62" s="125"/>
    </row>
    <row r="63" spans="1:22" ht="15.75">
      <c r="A63" s="110"/>
      <c r="B63" s="127" t="s">
        <v>169</v>
      </c>
      <c r="C63" s="122">
        <v>348.19499999999999</v>
      </c>
      <c r="D63" s="122">
        <v>115.09399999999999</v>
      </c>
      <c r="E63" s="122">
        <v>106.086</v>
      </c>
      <c r="F63" s="122">
        <v>58.076000000000001</v>
      </c>
      <c r="G63" s="122">
        <v>29.402000000000001</v>
      </c>
      <c r="H63" s="122">
        <v>17.009</v>
      </c>
      <c r="I63" s="122">
        <v>1.6168837100000002</v>
      </c>
      <c r="J63" s="122">
        <v>-10.971</v>
      </c>
      <c r="K63" s="122">
        <v>558.404</v>
      </c>
      <c r="L63" s="122">
        <v>-1.804</v>
      </c>
      <c r="M63" s="122">
        <v>556.6</v>
      </c>
      <c r="N63" s="122">
        <v>190.52500000000001</v>
      </c>
      <c r="O63" s="122">
        <v>747.125</v>
      </c>
      <c r="P63" s="122">
        <v>186.15700000000001</v>
      </c>
      <c r="Q63" s="122">
        <v>6.4770000000000003</v>
      </c>
      <c r="R63" s="122">
        <v>567.44500000000005</v>
      </c>
      <c r="S63" s="123">
        <v>503.423</v>
      </c>
      <c r="U63" s="125"/>
      <c r="V63" s="125"/>
    </row>
    <row r="64" spans="1:22" ht="15.75">
      <c r="A64" s="110"/>
      <c r="B64" s="127" t="s">
        <v>170</v>
      </c>
      <c r="C64" s="122">
        <v>347.904</v>
      </c>
      <c r="D64" s="122">
        <v>114.44</v>
      </c>
      <c r="E64" s="122">
        <v>106.68899999999999</v>
      </c>
      <c r="F64" s="122">
        <v>58.32</v>
      </c>
      <c r="G64" s="122">
        <v>28.454000000000001</v>
      </c>
      <c r="H64" s="122">
        <v>18.347000000000001</v>
      </c>
      <c r="I64" s="122">
        <v>1.5809122500000001</v>
      </c>
      <c r="J64" s="122">
        <v>-15.003</v>
      </c>
      <c r="K64" s="122">
        <v>554.03</v>
      </c>
      <c r="L64" s="122">
        <v>2.3719999999999999</v>
      </c>
      <c r="M64" s="122">
        <v>556.40200000000004</v>
      </c>
      <c r="N64" s="122">
        <v>191.173</v>
      </c>
      <c r="O64" s="122">
        <v>747.57500000000005</v>
      </c>
      <c r="P64" s="122">
        <v>187.11099999999999</v>
      </c>
      <c r="Q64" s="122">
        <v>7.57</v>
      </c>
      <c r="R64" s="122">
        <v>568.03399999999999</v>
      </c>
      <c r="S64" s="123">
        <v>504.23700000000002</v>
      </c>
      <c r="U64" s="125"/>
      <c r="V64" s="125"/>
    </row>
    <row r="65" spans="1:22" ht="15.75">
      <c r="A65" s="110"/>
      <c r="B65" s="129" t="s">
        <v>171</v>
      </c>
      <c r="C65" s="122">
        <v>350.685</v>
      </c>
      <c r="D65" s="122">
        <v>113.218</v>
      </c>
      <c r="E65" s="122">
        <v>109.29</v>
      </c>
      <c r="F65" s="122">
        <v>60.546999999999997</v>
      </c>
      <c r="G65" s="122">
        <v>27.716000000000001</v>
      </c>
      <c r="H65" s="122">
        <v>19.445</v>
      </c>
      <c r="I65" s="122">
        <v>1.5263224099999999</v>
      </c>
      <c r="J65" s="122">
        <v>-4.4710000000000001</v>
      </c>
      <c r="K65" s="122">
        <v>568.72199999999998</v>
      </c>
      <c r="L65" s="122">
        <v>0.73099999999999998</v>
      </c>
      <c r="M65" s="122">
        <v>569.45299999999997</v>
      </c>
      <c r="N65" s="122">
        <v>179.41300000000001</v>
      </c>
      <c r="O65" s="122">
        <v>748.86599999999999</v>
      </c>
      <c r="P65" s="122">
        <v>184.15100000000001</v>
      </c>
      <c r="Q65" s="122">
        <v>4.7569999999999997</v>
      </c>
      <c r="R65" s="122">
        <v>569.47199999999998</v>
      </c>
      <c r="S65" s="123">
        <v>505.887</v>
      </c>
      <c r="U65" s="125"/>
      <c r="V65" s="125"/>
    </row>
    <row r="66" spans="1:22" ht="15.75">
      <c r="A66" s="110"/>
      <c r="B66" s="129" t="s">
        <v>172</v>
      </c>
      <c r="C66" s="122">
        <v>352.41699999999997</v>
      </c>
      <c r="D66" s="122">
        <v>116.107</v>
      </c>
      <c r="E66" s="122">
        <v>108.245</v>
      </c>
      <c r="F66" s="122">
        <v>61.381</v>
      </c>
      <c r="G66" s="122">
        <v>26.991</v>
      </c>
      <c r="H66" s="122">
        <v>18.398</v>
      </c>
      <c r="I66" s="122">
        <v>1.5651503199999999</v>
      </c>
      <c r="J66" s="122">
        <v>-2.5379999999999998</v>
      </c>
      <c r="K66" s="122">
        <v>574.23099999999999</v>
      </c>
      <c r="L66" s="122">
        <v>-0.222</v>
      </c>
      <c r="M66" s="122">
        <v>574.00900000000001</v>
      </c>
      <c r="N66" s="122">
        <v>178.65899999999999</v>
      </c>
      <c r="O66" s="122">
        <v>752.66800000000001</v>
      </c>
      <c r="P66" s="122">
        <v>187.744</v>
      </c>
      <c r="Q66" s="122">
        <v>4.7629999999999999</v>
      </c>
      <c r="R66" s="122">
        <v>569.68700000000001</v>
      </c>
      <c r="S66" s="123">
        <v>505.82799999999997</v>
      </c>
      <c r="U66" s="125"/>
      <c r="V66" s="125"/>
    </row>
    <row r="67" spans="1:22" ht="15.6" customHeight="1">
      <c r="A67" s="110"/>
      <c r="B67" s="129" t="s">
        <v>173</v>
      </c>
      <c r="C67" s="122">
        <v>350.83</v>
      </c>
      <c r="D67" s="122">
        <v>116.994</v>
      </c>
      <c r="E67" s="122">
        <v>106.496</v>
      </c>
      <c r="F67" s="122">
        <v>59.396000000000001</v>
      </c>
      <c r="G67" s="122">
        <v>26.626000000000001</v>
      </c>
      <c r="H67" s="122">
        <v>18.977</v>
      </c>
      <c r="I67" s="122">
        <v>1.5459990399999999</v>
      </c>
      <c r="J67" s="122">
        <v>-0.63</v>
      </c>
      <c r="K67" s="122">
        <v>573.69000000000005</v>
      </c>
      <c r="L67" s="122">
        <v>-1.1970000000000001</v>
      </c>
      <c r="M67" s="122">
        <v>572.49300000000005</v>
      </c>
      <c r="N67" s="122">
        <v>177.58699999999999</v>
      </c>
      <c r="O67" s="122">
        <v>750.08</v>
      </c>
      <c r="P67" s="122">
        <v>185.88399999999999</v>
      </c>
      <c r="Q67" s="122">
        <v>4.7569999999999997</v>
      </c>
      <c r="R67" s="122">
        <v>568.95299999999997</v>
      </c>
      <c r="S67" s="123">
        <v>505.05500000000001</v>
      </c>
      <c r="U67" s="125"/>
      <c r="V67" s="125"/>
    </row>
    <row r="68" spans="1:22" ht="15.6" customHeight="1">
      <c r="A68" s="110"/>
      <c r="B68" s="129" t="s">
        <v>174</v>
      </c>
      <c r="C68" s="122">
        <v>350.35128700000001</v>
      </c>
      <c r="D68" s="122">
        <v>118.663365</v>
      </c>
      <c r="E68" s="122">
        <v>104.38519658510224</v>
      </c>
      <c r="F68" s="122">
        <v>57.968472900000002</v>
      </c>
      <c r="G68" s="122">
        <v>26.041437445050171</v>
      </c>
      <c r="H68" s="122">
        <v>18.864187699999999</v>
      </c>
      <c r="I68" s="122">
        <v>1.5110985578979186</v>
      </c>
      <c r="J68" s="122">
        <v>-1.2825</v>
      </c>
      <c r="K68" s="122">
        <v>572.11734858510226</v>
      </c>
      <c r="L68" s="122">
        <v>0.81017239099999994</v>
      </c>
      <c r="M68" s="122">
        <v>572.92752097610219</v>
      </c>
      <c r="N68" s="122">
        <v>176.27687278006766</v>
      </c>
      <c r="O68" s="122">
        <v>749.20439399999998</v>
      </c>
      <c r="P68" s="122">
        <v>185.26443713495198</v>
      </c>
      <c r="Q68" s="122">
        <v>4.7569999999999997</v>
      </c>
      <c r="R68" s="122">
        <v>568.69695662117158</v>
      </c>
      <c r="S68" s="123">
        <v>504.87624300000004</v>
      </c>
      <c r="U68" s="125"/>
      <c r="V68" s="125"/>
    </row>
    <row r="69" spans="1:22" ht="15.6" customHeight="1">
      <c r="A69" s="110"/>
      <c r="B69" s="129" t="s">
        <v>175</v>
      </c>
      <c r="C69" s="122">
        <v>351.28785700000003</v>
      </c>
      <c r="D69" s="122">
        <v>119.94327199999999</v>
      </c>
      <c r="E69" s="122">
        <v>102.9194021579307</v>
      </c>
      <c r="F69" s="122">
        <v>56.996443200000002</v>
      </c>
      <c r="G69" s="122">
        <v>25.692800967432557</v>
      </c>
      <c r="H69" s="122">
        <v>18.738842999999999</v>
      </c>
      <c r="I69" s="122">
        <v>1.4913150047759238</v>
      </c>
      <c r="J69" s="122">
        <v>-1.2825</v>
      </c>
      <c r="K69" s="122">
        <v>572.86803115793077</v>
      </c>
      <c r="L69" s="122">
        <v>1.1989005199999996</v>
      </c>
      <c r="M69" s="122">
        <v>574.06693167793071</v>
      </c>
      <c r="N69" s="122">
        <v>176.01029286844411</v>
      </c>
      <c r="O69" s="122">
        <v>750.077225</v>
      </c>
      <c r="P69" s="122">
        <v>184.82924712344428</v>
      </c>
      <c r="Q69" s="122">
        <v>4.7569999999999997</v>
      </c>
      <c r="R69" s="122">
        <v>570.00497742236678</v>
      </c>
      <c r="S69" s="123">
        <v>506.08763500000003</v>
      </c>
      <c r="U69" s="125"/>
      <c r="V69" s="125"/>
    </row>
    <row r="70" spans="1:22" ht="15.6" customHeight="1">
      <c r="A70" s="110"/>
      <c r="B70" s="129" t="s">
        <v>176</v>
      </c>
      <c r="C70" s="122">
        <v>352.721631</v>
      </c>
      <c r="D70" s="122">
        <v>120.80130100000001</v>
      </c>
      <c r="E70" s="122">
        <v>102.25672769638048</v>
      </c>
      <c r="F70" s="122">
        <v>56.652120699999998</v>
      </c>
      <c r="G70" s="122">
        <v>25.438604445868396</v>
      </c>
      <c r="H70" s="122">
        <v>18.689112000000002</v>
      </c>
      <c r="I70" s="122">
        <v>1.4768904857840475</v>
      </c>
      <c r="J70" s="122">
        <v>-1.2825</v>
      </c>
      <c r="K70" s="122">
        <v>574.49715969638044</v>
      </c>
      <c r="L70" s="122">
        <v>1.4182636799999999</v>
      </c>
      <c r="M70" s="122">
        <v>575.91542337638043</v>
      </c>
      <c r="N70" s="122">
        <v>175.99517083928689</v>
      </c>
      <c r="O70" s="122">
        <v>751.91059400000006</v>
      </c>
      <c r="P70" s="122">
        <v>184.48042266402683</v>
      </c>
      <c r="Q70" s="122">
        <v>4.7569999999999997</v>
      </c>
      <c r="R70" s="122">
        <v>572.18717155546301</v>
      </c>
      <c r="S70" s="123">
        <v>508.08108700000003</v>
      </c>
      <c r="U70" s="125"/>
      <c r="V70" s="125"/>
    </row>
    <row r="71" spans="1:22" ht="15.6" customHeight="1">
      <c r="A71" s="110"/>
      <c r="B71" s="129" t="s">
        <v>177</v>
      </c>
      <c r="C71" s="122">
        <v>354.33707299999998</v>
      </c>
      <c r="D71" s="122">
        <v>121.618443</v>
      </c>
      <c r="E71" s="122">
        <v>102.05865059902911</v>
      </c>
      <c r="F71" s="122">
        <v>56.663330800000004</v>
      </c>
      <c r="G71" s="122">
        <v>25.299326724266386</v>
      </c>
      <c r="H71" s="122">
        <v>18.627133499999999</v>
      </c>
      <c r="I71" s="122">
        <v>1.4688596166271024</v>
      </c>
      <c r="J71" s="122">
        <v>-1.2825</v>
      </c>
      <c r="K71" s="122">
        <v>576.73166659902904</v>
      </c>
      <c r="L71" s="122">
        <v>1.27497558</v>
      </c>
      <c r="M71" s="122">
        <v>578.00664217902909</v>
      </c>
      <c r="N71" s="122">
        <v>176.1122265213813</v>
      </c>
      <c r="O71" s="122">
        <v>754.1188689999999</v>
      </c>
      <c r="P71" s="122">
        <v>184.30509624488832</v>
      </c>
      <c r="Q71" s="122">
        <v>4.7569999999999997</v>
      </c>
      <c r="R71" s="122">
        <v>574.57077245564824</v>
      </c>
      <c r="S71" s="123">
        <v>510.25618600000001</v>
      </c>
      <c r="U71" s="125"/>
      <c r="V71" s="125"/>
    </row>
    <row r="72" spans="1:22" ht="15.6" customHeight="1">
      <c r="A72" s="110"/>
      <c r="B72" s="129" t="s">
        <v>178</v>
      </c>
      <c r="C72" s="122">
        <v>356.03820200000001</v>
      </c>
      <c r="D72" s="122">
        <v>122.26306</v>
      </c>
      <c r="E72" s="122">
        <v>102.05108208730248</v>
      </c>
      <c r="F72" s="122">
        <v>56.804679399999998</v>
      </c>
      <c r="G72" s="122">
        <v>25.255480734577155</v>
      </c>
      <c r="H72" s="122">
        <v>18.525825900000001</v>
      </c>
      <c r="I72" s="122">
        <v>1.4650960787052369</v>
      </c>
      <c r="J72" s="122">
        <v>-1.2825</v>
      </c>
      <c r="K72" s="122">
        <v>579.0698440873025</v>
      </c>
      <c r="L72" s="122">
        <v>1.1525453299999997</v>
      </c>
      <c r="M72" s="122">
        <v>580.22238941730245</v>
      </c>
      <c r="N72" s="122">
        <v>176.31067281030511</v>
      </c>
      <c r="O72" s="122">
        <v>756.53306200000009</v>
      </c>
      <c r="P72" s="122">
        <v>184.12770280800532</v>
      </c>
      <c r="Q72" s="122">
        <v>4.7569999999999997</v>
      </c>
      <c r="R72" s="122">
        <v>577.16235942077674</v>
      </c>
      <c r="S72" s="123">
        <v>512.61882200000002</v>
      </c>
      <c r="U72" s="125"/>
      <c r="V72" s="125"/>
    </row>
    <row r="73" spans="1:22" ht="15.6" customHeight="1">
      <c r="A73" s="110"/>
      <c r="B73" s="129" t="s">
        <v>179</v>
      </c>
      <c r="C73" s="122">
        <v>357.809416</v>
      </c>
      <c r="D73" s="122">
        <v>122.78761299999999</v>
      </c>
      <c r="E73" s="122">
        <v>102.16833421149208</v>
      </c>
      <c r="F73" s="122">
        <v>56.994043100000006</v>
      </c>
      <c r="G73" s="122">
        <v>25.301538029611134</v>
      </c>
      <c r="H73" s="122">
        <v>18.406325299999999</v>
      </c>
      <c r="I73" s="122">
        <v>1.4664277600830626</v>
      </c>
      <c r="J73" s="122">
        <v>-1.2825</v>
      </c>
      <c r="K73" s="122">
        <v>581.48286321149203</v>
      </c>
      <c r="L73" s="122">
        <v>1.15520157</v>
      </c>
      <c r="M73" s="122">
        <v>582.63806478149206</v>
      </c>
      <c r="N73" s="122">
        <v>176.539624924761</v>
      </c>
      <c r="O73" s="122">
        <v>759.17768999999998</v>
      </c>
      <c r="P73" s="122">
        <v>184.08823155991104</v>
      </c>
      <c r="Q73" s="122">
        <v>4.7569999999999997</v>
      </c>
      <c r="R73" s="122">
        <v>579.84645814654959</v>
      </c>
      <c r="S73" s="123">
        <v>515.06595400000003</v>
      </c>
      <c r="U73" s="125"/>
      <c r="V73" s="125"/>
    </row>
    <row r="74" spans="1:22" ht="15.6" customHeight="1">
      <c r="A74" s="110"/>
      <c r="B74" s="129" t="s">
        <v>180</v>
      </c>
      <c r="C74" s="122">
        <v>359.61064199999998</v>
      </c>
      <c r="D74" s="122">
        <v>123.22285799999999</v>
      </c>
      <c r="E74" s="122">
        <v>102.49995918638844</v>
      </c>
      <c r="F74" s="122">
        <v>57.424488599999997</v>
      </c>
      <c r="G74" s="122">
        <v>25.35914806665572</v>
      </c>
      <c r="H74" s="122">
        <v>18.247429100000002</v>
      </c>
      <c r="I74" s="122">
        <v>1.4688934007701582</v>
      </c>
      <c r="J74" s="122">
        <v>-1.2825</v>
      </c>
      <c r="K74" s="122">
        <v>584.05095918638847</v>
      </c>
      <c r="L74" s="122">
        <v>1.0857487699999999</v>
      </c>
      <c r="M74" s="122">
        <v>585.13670795638836</v>
      </c>
      <c r="N74" s="122">
        <v>176.77557840066655</v>
      </c>
      <c r="O74" s="122">
        <v>761.91228599999999</v>
      </c>
      <c r="P74" s="122">
        <v>184.0698635833877</v>
      </c>
      <c r="Q74" s="122">
        <v>4.7569999999999997</v>
      </c>
      <c r="R74" s="122">
        <v>582.59942277019422</v>
      </c>
      <c r="S74" s="123">
        <v>517.57165699999996</v>
      </c>
      <c r="U74" s="125"/>
      <c r="V74" s="125"/>
    </row>
    <row r="75" spans="1:22" ht="15.6" customHeight="1">
      <c r="A75" s="110"/>
      <c r="B75" s="129" t="s">
        <v>181</v>
      </c>
      <c r="C75" s="122">
        <v>361.45348300000001</v>
      </c>
      <c r="D75" s="122">
        <v>123.52763899999999</v>
      </c>
      <c r="E75" s="122">
        <v>102.8711621429381</v>
      </c>
      <c r="F75" s="122">
        <v>57.728355499999999</v>
      </c>
      <c r="G75" s="122">
        <v>25.53426545280341</v>
      </c>
      <c r="H75" s="122">
        <v>18.129695999999999</v>
      </c>
      <c r="I75" s="122">
        <v>1.4788452131746865</v>
      </c>
      <c r="J75" s="122">
        <v>-1.2825</v>
      </c>
      <c r="K75" s="122">
        <v>586.56978414293815</v>
      </c>
      <c r="L75" s="122">
        <v>1.2170918500000001</v>
      </c>
      <c r="M75" s="122">
        <v>587.78687599293801</v>
      </c>
      <c r="N75" s="122">
        <v>177.03604891401545</v>
      </c>
      <c r="O75" s="122">
        <v>764.82292500000005</v>
      </c>
      <c r="P75" s="122">
        <v>184.07281203723556</v>
      </c>
      <c r="Q75" s="122">
        <v>4.7569999999999997</v>
      </c>
      <c r="R75" s="122">
        <v>585.5071128708737</v>
      </c>
      <c r="S75" s="123">
        <v>520.21239400000002</v>
      </c>
      <c r="U75" s="125"/>
      <c r="V75" s="125"/>
    </row>
    <row r="76" spans="1:22" ht="15.6" customHeight="1">
      <c r="A76" s="110"/>
      <c r="B76" s="129" t="s">
        <v>182</v>
      </c>
      <c r="C76" s="122">
        <v>363.33924000000002</v>
      </c>
      <c r="D76" s="122">
        <v>123.949669</v>
      </c>
      <c r="E76" s="122">
        <v>103.302343390554</v>
      </c>
      <c r="F76" s="122">
        <v>58.057400699999995</v>
      </c>
      <c r="G76" s="122">
        <v>25.740823912837602</v>
      </c>
      <c r="H76" s="122">
        <v>18.013930899999998</v>
      </c>
      <c r="I76" s="122">
        <v>1.4901878571351932</v>
      </c>
      <c r="J76" s="122">
        <v>-1.2825</v>
      </c>
      <c r="K76" s="122">
        <v>589.30875239055399</v>
      </c>
      <c r="L76" s="122">
        <v>1.2556683399999999</v>
      </c>
      <c r="M76" s="122">
        <v>590.56442073055393</v>
      </c>
      <c r="N76" s="122">
        <v>177.30431441220534</v>
      </c>
      <c r="O76" s="122">
        <v>767.86873500000002</v>
      </c>
      <c r="P76" s="122">
        <v>184.11481944135321</v>
      </c>
      <c r="Q76" s="122">
        <v>4.7569999999999997</v>
      </c>
      <c r="R76" s="122">
        <v>588.51091570356982</v>
      </c>
      <c r="S76" s="123">
        <v>522.93569000000002</v>
      </c>
      <c r="U76" s="125"/>
      <c r="V76" s="125"/>
    </row>
    <row r="77" spans="1:22" ht="15.6" customHeight="1">
      <c r="A77" s="110"/>
      <c r="B77" s="129" t="s">
        <v>183</v>
      </c>
      <c r="C77" s="122">
        <v>365.22666900000002</v>
      </c>
      <c r="D77" s="122">
        <v>124.42537300000001</v>
      </c>
      <c r="E77" s="122">
        <v>103.9137816898899</v>
      </c>
      <c r="F77" s="122">
        <v>58.469787600000004</v>
      </c>
      <c r="G77" s="122">
        <v>25.998860099418351</v>
      </c>
      <c r="H77" s="122">
        <v>17.9399999</v>
      </c>
      <c r="I77" s="122">
        <v>1.5051340916812646</v>
      </c>
      <c r="J77" s="122">
        <v>-1.2825</v>
      </c>
      <c r="K77" s="122">
        <v>592.28332368988981</v>
      </c>
      <c r="L77" s="122">
        <v>1.1340338599999999</v>
      </c>
      <c r="M77" s="122">
        <v>593.41735754988986</v>
      </c>
      <c r="N77" s="122">
        <v>177.5807425313597</v>
      </c>
      <c r="O77" s="122">
        <v>770.99810000000002</v>
      </c>
      <c r="P77" s="122">
        <v>184.21368505672294</v>
      </c>
      <c r="Q77" s="122">
        <v>4.7569999999999997</v>
      </c>
      <c r="R77" s="122">
        <v>591.54141502516507</v>
      </c>
      <c r="S77" s="123">
        <v>525.67942400000004</v>
      </c>
      <c r="U77" s="125"/>
      <c r="V77" s="125"/>
    </row>
    <row r="78" spans="1:22" ht="15.6" customHeight="1">
      <c r="A78" s="110"/>
      <c r="B78" s="129" t="s">
        <v>184</v>
      </c>
      <c r="C78" s="122">
        <v>367.11310600000002</v>
      </c>
      <c r="D78" s="122">
        <v>124.94418899999999</v>
      </c>
      <c r="E78" s="122">
        <v>104.48038075520996</v>
      </c>
      <c r="F78" s="122">
        <v>58.798818900000001</v>
      </c>
      <c r="G78" s="122">
        <v>26.277728111979805</v>
      </c>
      <c r="H78" s="122">
        <v>17.883142899999999</v>
      </c>
      <c r="I78" s="122">
        <v>1.5206907996979933</v>
      </c>
      <c r="J78" s="122">
        <v>-1.2825</v>
      </c>
      <c r="K78" s="122">
        <v>595.25517575520996</v>
      </c>
      <c r="L78" s="122">
        <v>0.97676016700000001</v>
      </c>
      <c r="M78" s="122">
        <v>596.23193592221003</v>
      </c>
      <c r="N78" s="122">
        <v>177.85065969203907</v>
      </c>
      <c r="O78" s="122">
        <v>774.08259599999997</v>
      </c>
      <c r="P78" s="122">
        <v>184.34403838605974</v>
      </c>
      <c r="Q78" s="122">
        <v>4.7569999999999997</v>
      </c>
      <c r="R78" s="122">
        <v>594.49555722823823</v>
      </c>
      <c r="S78" s="123">
        <v>528.35833700000001</v>
      </c>
      <c r="U78" s="125"/>
      <c r="V78" s="125"/>
    </row>
    <row r="79" spans="1:22" ht="15.6" customHeight="1">
      <c r="A79" s="110"/>
      <c r="B79" s="129" t="s">
        <v>185</v>
      </c>
      <c r="C79" s="122">
        <v>368.96108099999998</v>
      </c>
      <c r="D79" s="122">
        <v>125.416121</v>
      </c>
      <c r="E79" s="122">
        <v>105.02464119101931</v>
      </c>
      <c r="F79" s="122">
        <v>59.1739137</v>
      </c>
      <c r="G79" s="122">
        <v>26.508659580072003</v>
      </c>
      <c r="H79" s="122">
        <v>17.809593499999998</v>
      </c>
      <c r="I79" s="122">
        <v>1.5324744042417704</v>
      </c>
      <c r="J79" s="122">
        <v>-1.2825</v>
      </c>
      <c r="K79" s="122">
        <v>598.11934319101931</v>
      </c>
      <c r="L79" s="122">
        <v>0.86852674799999996</v>
      </c>
      <c r="M79" s="122">
        <v>598.98786993901922</v>
      </c>
      <c r="N79" s="122">
        <v>178.0932884464228</v>
      </c>
      <c r="O79" s="122">
        <v>777.08115800000007</v>
      </c>
      <c r="P79" s="122">
        <v>184.49472821678336</v>
      </c>
      <c r="Q79" s="122">
        <v>4.7569999999999997</v>
      </c>
      <c r="R79" s="122">
        <v>597.34343016894263</v>
      </c>
      <c r="S79" s="123">
        <v>530.955243</v>
      </c>
      <c r="U79" s="125"/>
      <c r="V79" s="125"/>
    </row>
    <row r="80" spans="1:22" ht="15.6" customHeight="1">
      <c r="A80" s="110"/>
      <c r="B80" s="129" t="s">
        <v>186</v>
      </c>
      <c r="C80" s="122">
        <v>370.78862199999998</v>
      </c>
      <c r="D80" s="122">
        <v>125.896179</v>
      </c>
      <c r="E80" s="122">
        <v>105.58404124613058</v>
      </c>
      <c r="F80" s="122">
        <v>59.532239999999994</v>
      </c>
      <c r="G80" s="122">
        <v>26.765356507884007</v>
      </c>
      <c r="H80" s="122">
        <v>17.7404279</v>
      </c>
      <c r="I80" s="122">
        <v>1.5460168066641713</v>
      </c>
      <c r="J80" s="122">
        <v>-1.2825</v>
      </c>
      <c r="K80" s="122">
        <v>600.98634224613056</v>
      </c>
      <c r="L80" s="122">
        <v>0.68396937599999996</v>
      </c>
      <c r="M80" s="122">
        <v>601.67031162213061</v>
      </c>
      <c r="N80" s="122">
        <v>178.35701803915964</v>
      </c>
      <c r="O80" s="122">
        <v>780.02733000000001</v>
      </c>
      <c r="P80" s="122">
        <v>184.66513802453426</v>
      </c>
      <c r="Q80" s="122">
        <v>4.7569999999999997</v>
      </c>
      <c r="R80" s="122">
        <v>600.11919163684695</v>
      </c>
      <c r="S80" s="123">
        <v>533.48641599999996</v>
      </c>
      <c r="U80" s="125"/>
      <c r="V80" s="125"/>
    </row>
    <row r="81" spans="1:22" ht="15.75">
      <c r="A81" s="110"/>
      <c r="B81" s="129" t="s">
        <v>187</v>
      </c>
      <c r="C81" s="122">
        <v>372.581411</v>
      </c>
      <c r="D81" s="122">
        <v>126.384269</v>
      </c>
      <c r="E81" s="122">
        <v>106.04670065198344</v>
      </c>
      <c r="F81" s="122">
        <v>59.818234199999999</v>
      </c>
      <c r="G81" s="122">
        <v>27.031667573139703</v>
      </c>
      <c r="H81" s="122">
        <v>17.636622599999999</v>
      </c>
      <c r="I81" s="122">
        <v>1.5601763306479286</v>
      </c>
      <c r="J81" s="122">
        <v>-1.2825</v>
      </c>
      <c r="K81" s="122">
        <v>603.72988065198342</v>
      </c>
      <c r="L81" s="122">
        <v>0.65959696099999998</v>
      </c>
      <c r="M81" s="122">
        <v>604.38947761298346</v>
      </c>
      <c r="N81" s="122">
        <v>178.64188809382773</v>
      </c>
      <c r="O81" s="122">
        <v>783.03136600000005</v>
      </c>
      <c r="P81" s="122">
        <v>184.978675834011</v>
      </c>
      <c r="Q81" s="122">
        <v>4.7569999999999997</v>
      </c>
      <c r="R81" s="122">
        <v>602.8096898726418</v>
      </c>
      <c r="S81" s="123">
        <v>535.94015400000001</v>
      </c>
      <c r="U81" s="125"/>
      <c r="V81" s="125"/>
    </row>
    <row r="82" spans="1:22" ht="15.75">
      <c r="A82" s="110"/>
      <c r="B82" s="129" t="s">
        <v>188</v>
      </c>
      <c r="C82" s="122">
        <v>374.37534299999999</v>
      </c>
      <c r="D82" s="122">
        <v>126.854782</v>
      </c>
      <c r="E82" s="122">
        <v>106.47995489244592</v>
      </c>
      <c r="F82" s="122">
        <v>60.120889200000001</v>
      </c>
      <c r="G82" s="122">
        <v>27.250964308183416</v>
      </c>
      <c r="H82" s="122">
        <v>17.537149099999997</v>
      </c>
      <c r="I82" s="122">
        <v>1.5709522684258508</v>
      </c>
      <c r="J82" s="122">
        <v>-1.2825</v>
      </c>
      <c r="K82" s="122">
        <v>606.42757989244592</v>
      </c>
      <c r="L82" s="122">
        <v>0.6525897650000001</v>
      </c>
      <c r="M82" s="122">
        <v>607.08016965744594</v>
      </c>
      <c r="N82" s="122">
        <v>178.94794579530918</v>
      </c>
      <c r="O82" s="122">
        <v>786.02811499999996</v>
      </c>
      <c r="P82" s="122">
        <v>185.31250697332698</v>
      </c>
      <c r="Q82" s="122">
        <v>4.7569999999999997</v>
      </c>
      <c r="R82" s="122">
        <v>605.47260847959512</v>
      </c>
      <c r="S82" s="123">
        <v>538.3679719999999</v>
      </c>
      <c r="U82" s="125"/>
      <c r="V82" s="125"/>
    </row>
    <row r="83" spans="1:22" ht="15.75">
      <c r="A83" s="110"/>
      <c r="B83" s="129" t="s">
        <v>189</v>
      </c>
      <c r="C83" s="122">
        <v>376.15987199999995</v>
      </c>
      <c r="D83" s="122">
        <v>127.33919800000001</v>
      </c>
      <c r="E83" s="122">
        <v>106.7793331881295</v>
      </c>
      <c r="F83" s="122">
        <v>60.308103000000003</v>
      </c>
      <c r="G83" s="122">
        <v>27.456037923101125</v>
      </c>
      <c r="H83" s="122">
        <v>17.434532299999997</v>
      </c>
      <c r="I83" s="122">
        <v>1.5806599356956004</v>
      </c>
      <c r="J83" s="122">
        <v>-1.2825</v>
      </c>
      <c r="K83" s="122">
        <v>608.99590318812943</v>
      </c>
      <c r="L83" s="122">
        <v>0.71746855900000006</v>
      </c>
      <c r="M83" s="122">
        <v>609.71337174712937</v>
      </c>
      <c r="N83" s="122">
        <v>179.275245903567</v>
      </c>
      <c r="O83" s="122">
        <v>788.98861799999997</v>
      </c>
      <c r="P83" s="122">
        <v>185.6490123507883</v>
      </c>
      <c r="Q83" s="122">
        <v>4.7569999999999997</v>
      </c>
      <c r="R83" s="122">
        <v>608.09660529984512</v>
      </c>
      <c r="S83" s="123">
        <v>540.75977899999998</v>
      </c>
      <c r="U83" s="125"/>
      <c r="V83" s="125"/>
    </row>
    <row r="84" spans="1:22" ht="15.75">
      <c r="A84" s="110"/>
      <c r="B84" s="129" t="s">
        <v>190</v>
      </c>
      <c r="C84" s="122">
        <v>377.95093400000002</v>
      </c>
      <c r="D84" s="122">
        <v>127.84710700000001</v>
      </c>
      <c r="E84" s="122">
        <v>107.06216299835867</v>
      </c>
      <c r="F84" s="122">
        <v>60.4819472</v>
      </c>
      <c r="G84" s="122">
        <v>27.673995526723139</v>
      </c>
      <c r="H84" s="122">
        <v>17.313751799999995</v>
      </c>
      <c r="I84" s="122">
        <v>1.5924684683360602</v>
      </c>
      <c r="J84" s="122">
        <v>-1.2825</v>
      </c>
      <c r="K84" s="122">
        <v>611.57770399835874</v>
      </c>
      <c r="L84" s="122">
        <v>0.70459804899999989</v>
      </c>
      <c r="M84" s="122">
        <v>612.28230204735871</v>
      </c>
      <c r="N84" s="122">
        <v>179.62385077157919</v>
      </c>
      <c r="O84" s="122">
        <v>791.90615300000002</v>
      </c>
      <c r="P84" s="122">
        <v>185.98815612376492</v>
      </c>
      <c r="Q84" s="122">
        <v>4.7569999999999997</v>
      </c>
      <c r="R84" s="122">
        <v>610.67499669517565</v>
      </c>
      <c r="S84" s="123">
        <v>543.10964200000001</v>
      </c>
      <c r="U84" s="125"/>
      <c r="V84" s="125"/>
    </row>
    <row r="85" spans="1:22" ht="15.75">
      <c r="A85" s="110"/>
      <c r="B85" s="129" t="s">
        <v>191</v>
      </c>
      <c r="C85" s="122">
        <v>379.73880500000001</v>
      </c>
      <c r="D85" s="122">
        <v>128.37823499999999</v>
      </c>
      <c r="E85" s="122">
        <v>107.39624329178801</v>
      </c>
      <c r="F85" s="122">
        <v>60.6941743</v>
      </c>
      <c r="G85" s="122">
        <v>27.920660392901041</v>
      </c>
      <c r="H85" s="122">
        <v>17.1751398</v>
      </c>
      <c r="I85" s="122">
        <v>1.6062688371494733</v>
      </c>
      <c r="J85" s="122">
        <v>-1.2825</v>
      </c>
      <c r="K85" s="122">
        <v>614.23078329178793</v>
      </c>
      <c r="L85" s="122">
        <v>0.63156885500000004</v>
      </c>
      <c r="M85" s="122">
        <v>614.86235214678788</v>
      </c>
      <c r="N85" s="122">
        <v>179.94119441430661</v>
      </c>
      <c r="O85" s="122">
        <v>794.80354699999998</v>
      </c>
      <c r="P85" s="122">
        <v>186.32990339317385</v>
      </c>
      <c r="Q85" s="122">
        <v>4.7569999999999997</v>
      </c>
      <c r="R85" s="122">
        <v>613.23064316751231</v>
      </c>
      <c r="S85" s="123">
        <v>545.437994</v>
      </c>
      <c r="U85" s="125"/>
      <c r="V85" s="125"/>
    </row>
    <row r="86" spans="1:22" ht="15.75">
      <c r="A86" s="110"/>
      <c r="B86" s="129" t="s">
        <v>192</v>
      </c>
      <c r="C86" s="122">
        <v>381.53749300000004</v>
      </c>
      <c r="D86" s="122">
        <v>128.95775499999999</v>
      </c>
      <c r="E86" s="122">
        <v>107.67384820366736</v>
      </c>
      <c r="F86" s="122">
        <v>60.852344799999997</v>
      </c>
      <c r="G86" s="122">
        <v>28.172284671286747</v>
      </c>
      <c r="H86" s="122">
        <v>17.028835399999998</v>
      </c>
      <c r="I86" s="122">
        <v>1.6203832923497901</v>
      </c>
      <c r="J86" s="122">
        <v>-1.2825</v>
      </c>
      <c r="K86" s="122">
        <v>616.8865962036673</v>
      </c>
      <c r="L86" s="122">
        <v>0.57963299900000009</v>
      </c>
      <c r="M86" s="122">
        <v>617.46622920266736</v>
      </c>
      <c r="N86" s="122">
        <v>180.26212926097529</v>
      </c>
      <c r="O86" s="122">
        <v>797.72835799999996</v>
      </c>
      <c r="P86" s="122">
        <v>186.6920553913352</v>
      </c>
      <c r="Q86" s="122">
        <v>4.7569999999999997</v>
      </c>
      <c r="R86" s="122">
        <v>615.79330307250893</v>
      </c>
      <c r="S86" s="123">
        <v>547.77142400000002</v>
      </c>
      <c r="U86" s="125"/>
      <c r="V86" s="125"/>
    </row>
    <row r="87" spans="1:22" ht="15.75">
      <c r="A87" s="110"/>
      <c r="B87" s="129" t="s">
        <v>193</v>
      </c>
      <c r="C87" s="122">
        <v>383.34469999999999</v>
      </c>
      <c r="D87" s="122">
        <v>129.45020200000002</v>
      </c>
      <c r="E87" s="122">
        <v>107.95205046681831</v>
      </c>
      <c r="F87" s="122">
        <v>60.988019399999999</v>
      </c>
      <c r="G87" s="122">
        <v>28.444170457600833</v>
      </c>
      <c r="H87" s="122">
        <v>16.8837835</v>
      </c>
      <c r="I87" s="122">
        <v>1.6360770527799038</v>
      </c>
      <c r="J87" s="122">
        <v>-1.2825</v>
      </c>
      <c r="K87" s="122">
        <v>619.46445246681822</v>
      </c>
      <c r="L87" s="122">
        <v>0.65156053899999999</v>
      </c>
      <c r="M87" s="122">
        <v>620.11601300581822</v>
      </c>
      <c r="N87" s="122">
        <v>180.55133427312848</v>
      </c>
      <c r="O87" s="122">
        <v>800.66734699999995</v>
      </c>
      <c r="P87" s="122">
        <v>187.07471101768891</v>
      </c>
      <c r="Q87" s="122">
        <v>4.7569999999999997</v>
      </c>
      <c r="R87" s="122">
        <v>618.34963626093224</v>
      </c>
      <c r="S87" s="123">
        <v>550.09805700000004</v>
      </c>
      <c r="U87" s="125"/>
      <c r="V87" s="125"/>
    </row>
    <row r="88" spans="1:22" ht="15.75">
      <c r="A88" s="110"/>
      <c r="B88" s="129" t="s">
        <v>194</v>
      </c>
      <c r="C88" s="122">
        <v>385.15442099999996</v>
      </c>
      <c r="D88" s="122">
        <v>129.966531</v>
      </c>
      <c r="E88" s="122">
        <v>108.25513672349334</v>
      </c>
      <c r="F88" s="122">
        <v>61.1428984</v>
      </c>
      <c r="G88" s="122">
        <v>28.720232370400119</v>
      </c>
      <c r="H88" s="122">
        <v>16.739973500000001</v>
      </c>
      <c r="I88" s="122">
        <v>1.6520324512569575</v>
      </c>
      <c r="J88" s="122">
        <v>-1.2825</v>
      </c>
      <c r="K88" s="122">
        <v>622.09358872349333</v>
      </c>
      <c r="L88" s="122">
        <v>0.68485722799999993</v>
      </c>
      <c r="M88" s="122">
        <v>622.77844595149327</v>
      </c>
      <c r="N88" s="122">
        <v>180.84384636740819</v>
      </c>
      <c r="O88" s="122">
        <v>803.62229200000002</v>
      </c>
      <c r="P88" s="122">
        <v>187.46004977573438</v>
      </c>
      <c r="Q88" s="122">
        <v>4.7569999999999997</v>
      </c>
      <c r="R88" s="122">
        <v>620.91924254321236</v>
      </c>
      <c r="S88" s="123">
        <v>552.43541200000004</v>
      </c>
      <c r="U88" s="125"/>
      <c r="V88" s="125"/>
    </row>
    <row r="89" spans="1:22" ht="15.75">
      <c r="A89" s="110"/>
      <c r="B89" s="130" t="s">
        <v>195</v>
      </c>
      <c r="C89" s="131">
        <v>386.99074999999999</v>
      </c>
      <c r="D89" s="131">
        <v>130.506463</v>
      </c>
      <c r="E89" s="131">
        <v>108.56620238724118</v>
      </c>
      <c r="F89" s="131">
        <v>61.292344700000001</v>
      </c>
      <c r="G89" s="131">
        <v>28.995370253389556</v>
      </c>
      <c r="H89" s="131">
        <v>16.609129799999998</v>
      </c>
      <c r="I89" s="131">
        <v>1.669357590725409</v>
      </c>
      <c r="J89" s="131">
        <v>-1.2825</v>
      </c>
      <c r="K89" s="131">
        <v>624.78091538724118</v>
      </c>
      <c r="L89" s="131">
        <v>0.76566172799999999</v>
      </c>
      <c r="M89" s="131">
        <v>625.54657711524123</v>
      </c>
      <c r="N89" s="131">
        <v>181.12189909142168</v>
      </c>
      <c r="O89" s="131">
        <v>806.66847600000006</v>
      </c>
      <c r="P89" s="131">
        <v>187.9199325647842</v>
      </c>
      <c r="Q89" s="131">
        <v>4.7569999999999997</v>
      </c>
      <c r="R89" s="131">
        <v>623.50554364184848</v>
      </c>
      <c r="S89" s="132">
        <v>554.78657299999998</v>
      </c>
      <c r="U89" s="125"/>
      <c r="V89" s="125"/>
    </row>
    <row r="90" spans="1:22" ht="15.75">
      <c r="A90" s="110"/>
      <c r="B90" s="129">
        <v>2008</v>
      </c>
      <c r="C90" s="122">
        <v>1204.604</v>
      </c>
      <c r="D90" s="122">
        <v>375.86</v>
      </c>
      <c r="E90" s="122">
        <v>331.947</v>
      </c>
      <c r="F90" s="122">
        <v>180.899</v>
      </c>
      <c r="G90" s="122">
        <v>87.043000000000006</v>
      </c>
      <c r="H90" s="122">
        <v>57.198</v>
      </c>
      <c r="I90" s="122">
        <v>8.4409999999999989</v>
      </c>
      <c r="J90" s="122">
        <v>-1.0429999999999999</v>
      </c>
      <c r="K90" s="122">
        <v>1911.3679999999999</v>
      </c>
      <c r="L90" s="122">
        <v>-12.788</v>
      </c>
      <c r="M90" s="122">
        <v>1898.58</v>
      </c>
      <c r="N90" s="122">
        <v>556.86099999999999</v>
      </c>
      <c r="O90" s="122">
        <v>2459.0329999999999</v>
      </c>
      <c r="P90" s="122">
        <v>533.89099999999996</v>
      </c>
      <c r="Q90" s="122">
        <v>0</v>
      </c>
      <c r="R90" s="122">
        <v>1926.7349999999999</v>
      </c>
      <c r="S90" s="123">
        <v>1678.818</v>
      </c>
      <c r="U90" s="125"/>
      <c r="V90" s="125"/>
    </row>
    <row r="91" spans="1:22" ht="15.75">
      <c r="A91" s="110"/>
      <c r="B91" s="129">
        <v>2009</v>
      </c>
      <c r="C91" s="122">
        <v>1170.0350000000001</v>
      </c>
      <c r="D91" s="122">
        <v>380.83800000000002</v>
      </c>
      <c r="E91" s="122">
        <v>291.20999999999998</v>
      </c>
      <c r="F91" s="122">
        <v>150.59399999999999</v>
      </c>
      <c r="G91" s="122">
        <v>68.313999999999993</v>
      </c>
      <c r="H91" s="122">
        <v>62.232999999999997</v>
      </c>
      <c r="I91" s="122">
        <v>10.728</v>
      </c>
      <c r="J91" s="122">
        <v>2.7330000000000001</v>
      </c>
      <c r="K91" s="122">
        <v>1844.816</v>
      </c>
      <c r="L91" s="122">
        <v>-35.030999999999999</v>
      </c>
      <c r="M91" s="122">
        <v>1809.7850000000001</v>
      </c>
      <c r="N91" s="122">
        <v>507.63400000000001</v>
      </c>
      <c r="O91" s="122">
        <v>2332.1610000000001</v>
      </c>
      <c r="P91" s="122">
        <v>496.38799999999998</v>
      </c>
      <c r="Q91" s="122">
        <v>0</v>
      </c>
      <c r="R91" s="122">
        <v>1837.817</v>
      </c>
      <c r="S91" s="123">
        <v>1602.633</v>
      </c>
    </row>
    <row r="92" spans="1:22" ht="15.75">
      <c r="A92" s="110"/>
      <c r="B92" s="129">
        <v>2010</v>
      </c>
      <c r="C92" s="122">
        <v>1195.24</v>
      </c>
      <c r="D92" s="122">
        <v>380.76100000000002</v>
      </c>
      <c r="E92" s="122">
        <v>305.03199999999998</v>
      </c>
      <c r="F92" s="122">
        <v>157.06100000000001</v>
      </c>
      <c r="G92" s="122">
        <v>74.837000000000003</v>
      </c>
      <c r="H92" s="122">
        <v>63.322000000000003</v>
      </c>
      <c r="I92" s="122">
        <v>10.702999999999999</v>
      </c>
      <c r="J92" s="122">
        <v>-1E-3</v>
      </c>
      <c r="K92" s="122">
        <v>1881.0319999999999</v>
      </c>
      <c r="L92" s="122">
        <v>-8.5630000000000006</v>
      </c>
      <c r="M92" s="122">
        <v>1872.4690000000001</v>
      </c>
      <c r="N92" s="122">
        <v>540.86099999999999</v>
      </c>
      <c r="O92" s="122">
        <v>2418.7979999999998</v>
      </c>
      <c r="P92" s="122">
        <v>540.88400000000001</v>
      </c>
      <c r="Q92" s="122">
        <v>0</v>
      </c>
      <c r="R92" s="122">
        <v>1878.96</v>
      </c>
      <c r="S92" s="123">
        <v>1644.5260000000001</v>
      </c>
    </row>
    <row r="93" spans="1:22" ht="15.75">
      <c r="A93" s="110"/>
      <c r="B93" s="129">
        <v>2011</v>
      </c>
      <c r="C93" s="122">
        <v>1191.27</v>
      </c>
      <c r="D93" s="122">
        <v>380.51499999999999</v>
      </c>
      <c r="E93" s="122">
        <v>305.35399999999998</v>
      </c>
      <c r="F93" s="122">
        <v>166.465</v>
      </c>
      <c r="G93" s="122">
        <v>71.385999999999996</v>
      </c>
      <c r="H93" s="122">
        <v>57.954999999999998</v>
      </c>
      <c r="I93" s="122">
        <v>9.9690000000000012</v>
      </c>
      <c r="J93" s="122">
        <v>-0.70499999999999996</v>
      </c>
      <c r="K93" s="122">
        <v>1876.434</v>
      </c>
      <c r="L93" s="122">
        <v>-3.7839999999999998</v>
      </c>
      <c r="M93" s="122">
        <v>1872.65</v>
      </c>
      <c r="N93" s="122">
        <v>578.33299999999997</v>
      </c>
      <c r="O93" s="122">
        <v>2456.5549999999998</v>
      </c>
      <c r="P93" s="122">
        <v>556.72299999999996</v>
      </c>
      <c r="Q93" s="122">
        <v>0</v>
      </c>
      <c r="R93" s="122">
        <v>1900.4760000000001</v>
      </c>
      <c r="S93" s="123">
        <v>1672.213</v>
      </c>
    </row>
    <row r="94" spans="1:22" ht="15.75">
      <c r="A94" s="110"/>
      <c r="B94" s="129">
        <v>2012</v>
      </c>
      <c r="C94" s="122">
        <v>1211.807</v>
      </c>
      <c r="D94" s="122">
        <v>386.18799999999999</v>
      </c>
      <c r="E94" s="122">
        <v>310.22199999999998</v>
      </c>
      <c r="F94" s="122">
        <v>178.179</v>
      </c>
      <c r="G94" s="122">
        <v>69.926000000000002</v>
      </c>
      <c r="H94" s="122">
        <v>53.006999999999998</v>
      </c>
      <c r="I94" s="122">
        <v>9.0419999999999998</v>
      </c>
      <c r="J94" s="122">
        <v>-1.036</v>
      </c>
      <c r="K94" s="122">
        <v>1907.181</v>
      </c>
      <c r="L94" s="122">
        <v>6.3780000000000001</v>
      </c>
      <c r="M94" s="122">
        <v>1913.559</v>
      </c>
      <c r="N94" s="122">
        <v>582.72900000000004</v>
      </c>
      <c r="O94" s="122">
        <v>2499.35</v>
      </c>
      <c r="P94" s="122">
        <v>570.38499999999999</v>
      </c>
      <c r="Q94" s="122">
        <v>0</v>
      </c>
      <c r="R94" s="122">
        <v>1929.229</v>
      </c>
      <c r="S94" s="123">
        <v>1706.9110000000001</v>
      </c>
    </row>
    <row r="95" spans="1:22" ht="15.75">
      <c r="A95" s="110"/>
      <c r="B95" s="129">
        <v>2013</v>
      </c>
      <c r="C95" s="122">
        <v>1242.4480000000001</v>
      </c>
      <c r="D95" s="122">
        <v>387.05</v>
      </c>
      <c r="E95" s="122">
        <v>320.303</v>
      </c>
      <c r="F95" s="122">
        <v>184.65100000000001</v>
      </c>
      <c r="G95" s="122">
        <v>77.388000000000005</v>
      </c>
      <c r="H95" s="122">
        <v>49.603000000000002</v>
      </c>
      <c r="I95" s="122">
        <v>8.5120000000000005</v>
      </c>
      <c r="J95" s="122">
        <v>7.0220000000000002</v>
      </c>
      <c r="K95" s="122">
        <v>1956.8230000000001</v>
      </c>
      <c r="L95" s="122">
        <v>6.7839999999999998</v>
      </c>
      <c r="M95" s="122">
        <v>1963.607</v>
      </c>
      <c r="N95" s="122">
        <v>584.38699999999994</v>
      </c>
      <c r="O95" s="122">
        <v>2552.855</v>
      </c>
      <c r="P95" s="122">
        <v>588.88400000000001</v>
      </c>
      <c r="Q95" s="122">
        <v>0</v>
      </c>
      <c r="R95" s="122">
        <v>1963.807</v>
      </c>
      <c r="S95" s="123">
        <v>1740.3430000000001</v>
      </c>
    </row>
    <row r="96" spans="1:22" ht="15.75">
      <c r="A96" s="110"/>
      <c r="B96" s="129">
        <v>2014</v>
      </c>
      <c r="C96" s="122">
        <v>1276.097</v>
      </c>
      <c r="D96" s="122">
        <v>397.06900000000002</v>
      </c>
      <c r="E96" s="122">
        <v>342.84</v>
      </c>
      <c r="F96" s="122">
        <v>194.88300000000001</v>
      </c>
      <c r="G96" s="122">
        <v>82.424000000000007</v>
      </c>
      <c r="H96" s="122">
        <v>55.58</v>
      </c>
      <c r="I96" s="122">
        <v>9.8620000000000001</v>
      </c>
      <c r="J96" s="122">
        <v>6.0709999999999997</v>
      </c>
      <c r="K96" s="122">
        <v>2022.077</v>
      </c>
      <c r="L96" s="122">
        <v>15.349</v>
      </c>
      <c r="M96" s="122">
        <v>2037.4259999999999</v>
      </c>
      <c r="N96" s="122">
        <v>590.26</v>
      </c>
      <c r="O96" s="122">
        <v>2646.1120000000001</v>
      </c>
      <c r="P96" s="122">
        <v>618.88800000000003</v>
      </c>
      <c r="Q96" s="122">
        <v>0</v>
      </c>
      <c r="R96" s="122">
        <v>2026.566</v>
      </c>
      <c r="S96" s="123">
        <v>1797.211</v>
      </c>
    </row>
    <row r="97" spans="1:20" ht="15.75">
      <c r="A97" s="110"/>
      <c r="B97" s="129">
        <v>2015</v>
      </c>
      <c r="C97" s="122">
        <v>1312.213</v>
      </c>
      <c r="D97" s="122">
        <v>402.14800000000002</v>
      </c>
      <c r="E97" s="122">
        <v>367.34</v>
      </c>
      <c r="F97" s="122">
        <v>213.28100000000001</v>
      </c>
      <c r="G97" s="122">
        <v>87.742999999999995</v>
      </c>
      <c r="H97" s="122">
        <v>56.548000000000002</v>
      </c>
      <c r="I97" s="122">
        <v>9.6460000000000008</v>
      </c>
      <c r="J97" s="122">
        <v>0.39300000000000002</v>
      </c>
      <c r="K97" s="122">
        <v>2082.0940000000001</v>
      </c>
      <c r="L97" s="122">
        <v>12.105</v>
      </c>
      <c r="M97" s="122">
        <v>2094.1990000000001</v>
      </c>
      <c r="N97" s="122">
        <v>612.53300000000002</v>
      </c>
      <c r="O97" s="122">
        <v>2721.7869999999998</v>
      </c>
      <c r="P97" s="122">
        <v>649.55799999999999</v>
      </c>
      <c r="Q97" s="122">
        <v>0</v>
      </c>
      <c r="R97" s="122">
        <v>2071.5610000000001</v>
      </c>
      <c r="S97" s="123">
        <v>1831.364</v>
      </c>
    </row>
    <row r="98" spans="1:20" ht="15.75">
      <c r="A98" s="110"/>
      <c r="B98" s="129">
        <v>2016</v>
      </c>
      <c r="C98" s="122">
        <v>1360.5039999999999</v>
      </c>
      <c r="D98" s="122">
        <v>404.98399999999998</v>
      </c>
      <c r="E98" s="122">
        <v>386.22500000000002</v>
      </c>
      <c r="F98" s="122">
        <v>227.965</v>
      </c>
      <c r="G98" s="122">
        <v>93.927999999999997</v>
      </c>
      <c r="H98" s="122">
        <v>54.579000000000001</v>
      </c>
      <c r="I98" s="122">
        <v>9.7419999999999991</v>
      </c>
      <c r="J98" s="122">
        <v>1.599</v>
      </c>
      <c r="K98" s="122">
        <v>2153.3119999999999</v>
      </c>
      <c r="L98" s="122">
        <v>5.0359999999999996</v>
      </c>
      <c r="M98" s="122">
        <v>2158.348</v>
      </c>
      <c r="N98" s="122">
        <v>629.52700000000004</v>
      </c>
      <c r="O98" s="122">
        <v>2786.7710000000002</v>
      </c>
      <c r="P98" s="122">
        <v>675.38800000000003</v>
      </c>
      <c r="Q98" s="122">
        <v>0</v>
      </c>
      <c r="R98" s="122">
        <v>2111.357</v>
      </c>
      <c r="S98" s="123">
        <v>1867.008</v>
      </c>
    </row>
    <row r="99" spans="1:20" ht="15.75">
      <c r="A99" s="110"/>
      <c r="B99" s="129">
        <v>2017</v>
      </c>
      <c r="C99" s="122">
        <v>1385.3779999999999</v>
      </c>
      <c r="D99" s="122">
        <v>407.63200000000001</v>
      </c>
      <c r="E99" s="122">
        <v>399.75200000000001</v>
      </c>
      <c r="F99" s="122">
        <v>227.44499999999999</v>
      </c>
      <c r="G99" s="122">
        <v>102.15300000000001</v>
      </c>
      <c r="H99" s="122">
        <v>60.512</v>
      </c>
      <c r="I99" s="122">
        <v>9.6120000000000001</v>
      </c>
      <c r="J99" s="122">
        <v>0.60599999999999998</v>
      </c>
      <c r="K99" s="122">
        <v>2193.3679999999999</v>
      </c>
      <c r="L99" s="122">
        <v>13.307</v>
      </c>
      <c r="M99" s="122">
        <v>2206.6750000000002</v>
      </c>
      <c r="N99" s="122">
        <v>672.11800000000005</v>
      </c>
      <c r="O99" s="122">
        <v>2864.105</v>
      </c>
      <c r="P99" s="122">
        <v>696.76099999999997</v>
      </c>
      <c r="Q99" s="122">
        <v>0</v>
      </c>
      <c r="R99" s="122">
        <v>2167.415</v>
      </c>
      <c r="S99" s="123">
        <v>1919.0540000000001</v>
      </c>
    </row>
    <row r="100" spans="1:20" ht="15.75">
      <c r="A100" s="110"/>
      <c r="B100" s="129">
        <v>2018</v>
      </c>
      <c r="C100" s="122">
        <v>1412.6</v>
      </c>
      <c r="D100" s="122">
        <v>410.17099999999999</v>
      </c>
      <c r="E100" s="122">
        <v>397.83800000000002</v>
      </c>
      <c r="F100" s="122">
        <v>223.77</v>
      </c>
      <c r="G100" s="122">
        <v>108.26</v>
      </c>
      <c r="H100" s="122">
        <v>60.511000000000003</v>
      </c>
      <c r="I100" s="122">
        <v>5.3470000000000004</v>
      </c>
      <c r="J100" s="122">
        <v>3.137</v>
      </c>
      <c r="K100" s="122">
        <v>2223.7460000000001</v>
      </c>
      <c r="L100" s="122">
        <v>0.94099999999999995</v>
      </c>
      <c r="M100" s="122">
        <v>2224.6869999999999</v>
      </c>
      <c r="N100" s="122">
        <v>692.86</v>
      </c>
      <c r="O100" s="122">
        <v>2916.14</v>
      </c>
      <c r="P100" s="122">
        <v>718.34699999999998</v>
      </c>
      <c r="Q100" s="122">
        <v>0</v>
      </c>
      <c r="R100" s="122">
        <v>2197.8409999999999</v>
      </c>
      <c r="S100" s="123">
        <v>1943.4929999999999</v>
      </c>
    </row>
    <row r="101" spans="1:20" ht="15.75">
      <c r="A101" s="110"/>
      <c r="B101" s="129">
        <v>2019</v>
      </c>
      <c r="C101" s="122">
        <v>1427.94</v>
      </c>
      <c r="D101" s="122">
        <v>426.59199999999998</v>
      </c>
      <c r="E101" s="122">
        <v>406.423</v>
      </c>
      <c r="F101" s="122">
        <v>228.58099999999999</v>
      </c>
      <c r="G101" s="122">
        <v>109.90900000000001</v>
      </c>
      <c r="H101" s="122">
        <v>62.14</v>
      </c>
      <c r="I101" s="122">
        <v>5.7435984900000001</v>
      </c>
      <c r="J101" s="122">
        <v>2.88</v>
      </c>
      <c r="K101" s="122">
        <v>2263.835</v>
      </c>
      <c r="L101" s="122">
        <v>1.262</v>
      </c>
      <c r="M101" s="122">
        <v>2265.0970000000002</v>
      </c>
      <c r="N101" s="122">
        <v>706.69600000000003</v>
      </c>
      <c r="O101" s="122">
        <v>2971.7930000000001</v>
      </c>
      <c r="P101" s="122">
        <v>737.87199999999996</v>
      </c>
      <c r="Q101" s="122">
        <v>0</v>
      </c>
      <c r="R101" s="122">
        <v>2233.9209999999998</v>
      </c>
      <c r="S101" s="123">
        <v>1978.192</v>
      </c>
    </row>
    <row r="102" spans="1:20" ht="15.75">
      <c r="A102" s="110"/>
      <c r="B102" s="129">
        <v>2020</v>
      </c>
      <c r="C102" s="122">
        <v>1238.94</v>
      </c>
      <c r="D102" s="122">
        <v>392.96699999999998</v>
      </c>
      <c r="E102" s="122">
        <v>362.65699999999998</v>
      </c>
      <c r="F102" s="122">
        <v>204.3</v>
      </c>
      <c r="G102" s="122">
        <v>89.215999999999994</v>
      </c>
      <c r="H102" s="122">
        <v>64.408000000000001</v>
      </c>
      <c r="I102" s="122">
        <v>4.5690352829999998</v>
      </c>
      <c r="J102" s="122">
        <v>-0.44500000000000001</v>
      </c>
      <c r="K102" s="122">
        <v>1994.1189999999999</v>
      </c>
      <c r="L102" s="122">
        <v>2.5230000000000001</v>
      </c>
      <c r="M102" s="122">
        <v>1996.6420000000001</v>
      </c>
      <c r="N102" s="122">
        <v>625.64</v>
      </c>
      <c r="O102" s="122">
        <v>2622.2820000000002</v>
      </c>
      <c r="P102" s="122">
        <v>619.79300000000001</v>
      </c>
      <c r="Q102" s="122">
        <v>0</v>
      </c>
      <c r="R102" s="122">
        <v>2002.489</v>
      </c>
      <c r="S102" s="123">
        <v>1779.2739999999999</v>
      </c>
    </row>
    <row r="103" spans="1:20" ht="15.75">
      <c r="A103" s="110"/>
      <c r="B103" s="129">
        <v>2021</v>
      </c>
      <c r="C103" s="122">
        <v>1331.105</v>
      </c>
      <c r="D103" s="122">
        <v>451.51</v>
      </c>
      <c r="E103" s="122">
        <v>389.65199999999999</v>
      </c>
      <c r="F103" s="122">
        <v>208.29400000000001</v>
      </c>
      <c r="G103" s="122">
        <v>104.90600000000001</v>
      </c>
      <c r="H103" s="122">
        <v>70.850999999999999</v>
      </c>
      <c r="I103" s="122">
        <v>5.8450314100000007</v>
      </c>
      <c r="J103" s="122">
        <v>6.9589999999999996</v>
      </c>
      <c r="K103" s="122">
        <v>2179.2260000000001</v>
      </c>
      <c r="L103" s="122">
        <v>-1.714</v>
      </c>
      <c r="M103" s="122">
        <v>2177.5120000000002</v>
      </c>
      <c r="N103" s="122">
        <v>656.55399999999997</v>
      </c>
      <c r="O103" s="122">
        <v>2834.0659999999998</v>
      </c>
      <c r="P103" s="122">
        <v>657.86300000000006</v>
      </c>
      <c r="Q103" s="122">
        <v>0</v>
      </c>
      <c r="R103" s="122">
        <v>2176.203</v>
      </c>
      <c r="S103" s="123">
        <v>1935.444</v>
      </c>
    </row>
    <row r="104" spans="1:20" ht="15.75">
      <c r="A104" s="110"/>
      <c r="B104" s="129">
        <v>2022</v>
      </c>
      <c r="C104" s="122">
        <v>1397.472</v>
      </c>
      <c r="D104" s="122">
        <v>461.68400000000003</v>
      </c>
      <c r="E104" s="122">
        <v>420.90199999999999</v>
      </c>
      <c r="F104" s="122">
        <v>228.31700000000001</v>
      </c>
      <c r="G104" s="122">
        <v>114.833</v>
      </c>
      <c r="H104" s="122">
        <v>71.477999999999994</v>
      </c>
      <c r="I104" s="122">
        <v>6.3694810500000001</v>
      </c>
      <c r="J104" s="122">
        <v>-17.54</v>
      </c>
      <c r="K104" s="122">
        <v>2262.518</v>
      </c>
      <c r="L104" s="122">
        <v>19.475999999999999</v>
      </c>
      <c r="M104" s="122">
        <v>2281.9940000000001</v>
      </c>
      <c r="N104" s="122">
        <v>715.44899999999996</v>
      </c>
      <c r="O104" s="122">
        <v>2997.4430000000002</v>
      </c>
      <c r="P104" s="122">
        <v>753.96199999999999</v>
      </c>
      <c r="Q104" s="122">
        <v>27.283000000000001</v>
      </c>
      <c r="R104" s="122">
        <v>2270.7640000000001</v>
      </c>
      <c r="S104" s="123">
        <v>2014.752</v>
      </c>
    </row>
    <row r="105" spans="1:20" ht="15.75">
      <c r="A105" s="110"/>
      <c r="B105" s="129">
        <v>2023</v>
      </c>
      <c r="C105" s="122">
        <v>1404.283287</v>
      </c>
      <c r="D105" s="122">
        <v>464.98236500000002</v>
      </c>
      <c r="E105" s="122">
        <v>428.41619658510223</v>
      </c>
      <c r="F105" s="122">
        <v>239.29247290000001</v>
      </c>
      <c r="G105" s="122">
        <v>107.37443744505016</v>
      </c>
      <c r="H105" s="122">
        <v>75.684187699999995</v>
      </c>
      <c r="I105" s="122">
        <v>6.148570327897918</v>
      </c>
      <c r="J105" s="122">
        <v>-8.9215</v>
      </c>
      <c r="K105" s="122">
        <v>2288.7603485851023</v>
      </c>
      <c r="L105" s="122">
        <v>0.12217239099999995</v>
      </c>
      <c r="M105" s="122">
        <v>2288.8825209761026</v>
      </c>
      <c r="N105" s="122">
        <v>711.9358727800676</v>
      </c>
      <c r="O105" s="122">
        <v>3000.8183939999999</v>
      </c>
      <c r="P105" s="122">
        <v>743.04343713495189</v>
      </c>
      <c r="Q105" s="122">
        <v>19.033999999999999</v>
      </c>
      <c r="R105" s="122">
        <v>2276.8089566211715</v>
      </c>
      <c r="S105" s="123">
        <v>2021.6462429999999</v>
      </c>
    </row>
    <row r="106" spans="1:20" ht="15.75">
      <c r="A106" s="110"/>
      <c r="B106" s="129">
        <v>2024</v>
      </c>
      <c r="C106" s="122">
        <v>1414.384763</v>
      </c>
      <c r="D106" s="122">
        <v>484.62607600000001</v>
      </c>
      <c r="E106" s="122">
        <v>409.28586254064271</v>
      </c>
      <c r="F106" s="122">
        <v>227.11657410000001</v>
      </c>
      <c r="G106" s="122">
        <v>101.68621287214449</v>
      </c>
      <c r="H106" s="122">
        <v>74.580914399999997</v>
      </c>
      <c r="I106" s="122">
        <v>5.9021611858923109</v>
      </c>
      <c r="J106" s="122">
        <v>-5.13</v>
      </c>
      <c r="K106" s="122">
        <v>2303.1667015406429</v>
      </c>
      <c r="L106" s="122">
        <v>5.0446851099999996</v>
      </c>
      <c r="M106" s="122">
        <v>2308.2113866506429</v>
      </c>
      <c r="N106" s="122">
        <v>704.42836303941738</v>
      </c>
      <c r="O106" s="122">
        <v>3012.6397499999998</v>
      </c>
      <c r="P106" s="122">
        <v>737.74246884036484</v>
      </c>
      <c r="Q106" s="122">
        <v>19.027999999999999</v>
      </c>
      <c r="R106" s="122">
        <v>2293.9252808542547</v>
      </c>
      <c r="S106" s="123">
        <v>2037.0437299999999</v>
      </c>
    </row>
    <row r="107" spans="1:20" ht="15.75">
      <c r="A107" s="110"/>
      <c r="B107" s="129">
        <v>2025</v>
      </c>
      <c r="C107" s="122">
        <v>1442.2127809999999</v>
      </c>
      <c r="D107" s="122">
        <v>493.48777899999999</v>
      </c>
      <c r="E107" s="122">
        <v>410.84179893137264</v>
      </c>
      <c r="F107" s="122">
        <v>230.2042879</v>
      </c>
      <c r="G107" s="122">
        <v>101.93577546190788</v>
      </c>
      <c r="H107" s="122">
        <v>72.797381300000012</v>
      </c>
      <c r="I107" s="122">
        <v>5.9043542311631017</v>
      </c>
      <c r="J107" s="122">
        <v>-5.13</v>
      </c>
      <c r="K107" s="122">
        <v>2341.4123589313731</v>
      </c>
      <c r="L107" s="122">
        <v>4.7137105300000002</v>
      </c>
      <c r="M107" s="122">
        <v>2346.1260694613725</v>
      </c>
      <c r="N107" s="122">
        <v>707.65556665164843</v>
      </c>
      <c r="O107" s="122">
        <v>3053.7816359999993</v>
      </c>
      <c r="P107" s="122">
        <v>736.34572662188748</v>
      </c>
      <c r="Q107" s="122">
        <v>19.027999999999999</v>
      </c>
      <c r="R107" s="122">
        <v>2336.4639094911872</v>
      </c>
      <c r="S107" s="123">
        <v>2075.785695</v>
      </c>
    </row>
    <row r="108" spans="1:20" ht="15.75">
      <c r="A108" s="110"/>
      <c r="B108" s="129">
        <v>2026</v>
      </c>
      <c r="C108" s="122">
        <v>1472.0894780000001</v>
      </c>
      <c r="D108" s="122">
        <v>500.68186200000002</v>
      </c>
      <c r="E108" s="122">
        <v>419.00284488224975</v>
      </c>
      <c r="F108" s="122">
        <v>235.97476019999999</v>
      </c>
      <c r="G108" s="122">
        <v>105.55060429935416</v>
      </c>
      <c r="H108" s="122">
        <v>71.373164200000005</v>
      </c>
      <c r="I108" s="122">
        <v>6.1043161022851997</v>
      </c>
      <c r="J108" s="122">
        <v>-5.13</v>
      </c>
      <c r="K108" s="122">
        <v>2386.6441848822496</v>
      </c>
      <c r="L108" s="122">
        <v>3.663290151</v>
      </c>
      <c r="M108" s="122">
        <v>2390.3074750332498</v>
      </c>
      <c r="N108" s="122">
        <v>711.88170870898125</v>
      </c>
      <c r="O108" s="122">
        <v>3102.1891840000003</v>
      </c>
      <c r="P108" s="122">
        <v>737.71758968410029</v>
      </c>
      <c r="Q108" s="122">
        <v>19.027999999999999</v>
      </c>
      <c r="R108" s="122">
        <v>2383.4995940591925</v>
      </c>
      <c r="S108" s="123">
        <v>2118.4794200000001</v>
      </c>
    </row>
    <row r="109" spans="1:20" ht="15.75">
      <c r="A109" s="110"/>
      <c r="B109" s="129">
        <v>2027</v>
      </c>
      <c r="C109" s="122">
        <v>1501.06756</v>
      </c>
      <c r="D109" s="122">
        <v>508.42535600000002</v>
      </c>
      <c r="E109" s="122">
        <v>426.36815173091759</v>
      </c>
      <c r="F109" s="122">
        <v>240.72917359999997</v>
      </c>
      <c r="G109" s="122">
        <v>109.41266533114739</v>
      </c>
      <c r="H109" s="122">
        <v>69.922055799999981</v>
      </c>
      <c r="I109" s="122">
        <v>6.304257003105441</v>
      </c>
      <c r="J109" s="122">
        <v>-5.13</v>
      </c>
      <c r="K109" s="122">
        <v>2430.7310677309174</v>
      </c>
      <c r="L109" s="122">
        <v>2.7342533339999999</v>
      </c>
      <c r="M109" s="122">
        <v>2433.4653210649176</v>
      </c>
      <c r="N109" s="122">
        <v>716.48893056428312</v>
      </c>
      <c r="O109" s="122">
        <v>3149.9542520000005</v>
      </c>
      <c r="P109" s="122">
        <v>741.9283512818912</v>
      </c>
      <c r="Q109" s="122">
        <v>19.027999999999999</v>
      </c>
      <c r="R109" s="122">
        <v>2427.0539003472577</v>
      </c>
      <c r="S109" s="123">
        <v>2158.1775469999998</v>
      </c>
    </row>
    <row r="110" spans="1:20" ht="15.75">
      <c r="A110" s="110"/>
      <c r="B110" s="130">
        <v>2028</v>
      </c>
      <c r="C110" s="131">
        <v>1529.7754189999998</v>
      </c>
      <c r="D110" s="131">
        <v>516.75272299999995</v>
      </c>
      <c r="E110" s="131">
        <v>431.27727868576704</v>
      </c>
      <c r="F110" s="131">
        <v>243.6774369</v>
      </c>
      <c r="G110" s="131">
        <v>113.25734789218875</v>
      </c>
      <c r="H110" s="131">
        <v>67.8277322</v>
      </c>
      <c r="I110" s="131">
        <v>6.514761633536124</v>
      </c>
      <c r="J110" s="131">
        <v>-5.13</v>
      </c>
      <c r="K110" s="131">
        <v>2472.6754206857668</v>
      </c>
      <c r="L110" s="131">
        <v>2.5476196209999999</v>
      </c>
      <c r="M110" s="131">
        <v>2475.2230403067665</v>
      </c>
      <c r="N110" s="131">
        <v>721.59850431581856</v>
      </c>
      <c r="O110" s="131">
        <v>3196.8215439999999</v>
      </c>
      <c r="P110" s="131">
        <v>747.55671957793231</v>
      </c>
      <c r="Q110" s="131">
        <v>19.027999999999999</v>
      </c>
      <c r="R110" s="131">
        <v>2468.2928250441655</v>
      </c>
      <c r="S110" s="132">
        <v>2195.7428869999999</v>
      </c>
      <c r="T110" s="133"/>
    </row>
    <row r="111" spans="1:20" ht="15.75">
      <c r="A111" s="110"/>
      <c r="B111" s="129" t="s">
        <v>196</v>
      </c>
      <c r="C111" s="122">
        <v>1187.7840000000001</v>
      </c>
      <c r="D111" s="122">
        <v>377.339</v>
      </c>
      <c r="E111" s="122">
        <v>322.36099999999999</v>
      </c>
      <c r="F111" s="122">
        <v>175.387</v>
      </c>
      <c r="G111" s="122">
        <v>79.707999999999998</v>
      </c>
      <c r="H111" s="122">
        <v>58.954999999999998</v>
      </c>
      <c r="I111" s="122">
        <v>9.6280000000000001</v>
      </c>
      <c r="J111" s="122">
        <v>1.2E-2</v>
      </c>
      <c r="K111" s="122">
        <v>1887.4960000000001</v>
      </c>
      <c r="L111" s="122">
        <v>-19.494</v>
      </c>
      <c r="M111" s="122">
        <v>1868.002</v>
      </c>
      <c r="N111" s="122">
        <v>543.298</v>
      </c>
      <c r="O111" s="122">
        <v>2413.8020000000001</v>
      </c>
      <c r="P111" s="122">
        <v>518.50599999999997</v>
      </c>
      <c r="Q111" s="122">
        <v>0</v>
      </c>
      <c r="R111" s="122">
        <v>1897.057</v>
      </c>
      <c r="S111" s="123">
        <v>1653.664</v>
      </c>
    </row>
    <row r="112" spans="1:20" ht="15.75">
      <c r="A112" s="110"/>
      <c r="B112" s="129" t="s">
        <v>197</v>
      </c>
      <c r="C112" s="122">
        <v>1172.2159999999999</v>
      </c>
      <c r="D112" s="122">
        <v>380.84100000000001</v>
      </c>
      <c r="E112" s="122">
        <v>291.08699999999999</v>
      </c>
      <c r="F112" s="122">
        <v>149.101</v>
      </c>
      <c r="G112" s="122">
        <v>68.311999999999998</v>
      </c>
      <c r="H112" s="122">
        <v>63.536000000000001</v>
      </c>
      <c r="I112" s="122">
        <v>10.756</v>
      </c>
      <c r="J112" s="122">
        <v>1.0589999999999999</v>
      </c>
      <c r="K112" s="122">
        <v>1845.203</v>
      </c>
      <c r="L112" s="122">
        <v>-27.832999999999998</v>
      </c>
      <c r="M112" s="122">
        <v>1817.37</v>
      </c>
      <c r="N112" s="122">
        <v>511.49299999999999</v>
      </c>
      <c r="O112" s="122">
        <v>2344.7370000000001</v>
      </c>
      <c r="P112" s="122">
        <v>504.34699999999998</v>
      </c>
      <c r="Q112" s="122">
        <v>0</v>
      </c>
      <c r="R112" s="122">
        <v>1842.2550000000001</v>
      </c>
      <c r="S112" s="123">
        <v>1607.2660000000001</v>
      </c>
    </row>
    <row r="113" spans="1:19" ht="15.75">
      <c r="A113" s="110"/>
      <c r="B113" s="129" t="s">
        <v>198</v>
      </c>
      <c r="C113" s="122">
        <v>1199.499</v>
      </c>
      <c r="D113" s="122">
        <v>382.21800000000002</v>
      </c>
      <c r="E113" s="122">
        <v>305.81599999999997</v>
      </c>
      <c r="F113" s="122">
        <v>157.857</v>
      </c>
      <c r="G113" s="122">
        <v>75.328000000000003</v>
      </c>
      <c r="H113" s="122">
        <v>62.987000000000002</v>
      </c>
      <c r="I113" s="122">
        <v>10.617999999999999</v>
      </c>
      <c r="J113" s="122">
        <v>-1.944</v>
      </c>
      <c r="K113" s="122">
        <v>1885.5889999999999</v>
      </c>
      <c r="L113" s="122">
        <v>-8.6259999999999994</v>
      </c>
      <c r="M113" s="122">
        <v>1876.963</v>
      </c>
      <c r="N113" s="122">
        <v>555.07399999999996</v>
      </c>
      <c r="O113" s="122">
        <v>2434.5239999999999</v>
      </c>
      <c r="P113" s="122">
        <v>547.23800000000006</v>
      </c>
      <c r="Q113" s="122">
        <v>0</v>
      </c>
      <c r="R113" s="122">
        <v>1888.2360000000001</v>
      </c>
      <c r="S113" s="123">
        <v>1654.7739999999999</v>
      </c>
    </row>
    <row r="114" spans="1:19">
      <c r="B114" s="129" t="s">
        <v>199</v>
      </c>
      <c r="C114" s="122">
        <v>1192.115</v>
      </c>
      <c r="D114" s="122">
        <v>382.48099999999999</v>
      </c>
      <c r="E114" s="122">
        <v>308.08699999999999</v>
      </c>
      <c r="F114" s="122">
        <v>172.739</v>
      </c>
      <c r="G114" s="122">
        <v>70.143000000000001</v>
      </c>
      <c r="H114" s="122">
        <v>55.594000000000001</v>
      </c>
      <c r="I114" s="122">
        <v>9.64</v>
      </c>
      <c r="J114" s="122">
        <v>-0.36</v>
      </c>
      <c r="K114" s="122">
        <v>1882.3230000000001</v>
      </c>
      <c r="L114" s="122">
        <v>-6.242</v>
      </c>
      <c r="M114" s="122">
        <v>1876.0809999999999</v>
      </c>
      <c r="N114" s="122">
        <v>583.60299999999995</v>
      </c>
      <c r="O114" s="122">
        <v>2469.395</v>
      </c>
      <c r="P114" s="122">
        <v>562.55799999999999</v>
      </c>
      <c r="Q114" s="122">
        <v>0</v>
      </c>
      <c r="R114" s="122">
        <v>1907.289</v>
      </c>
      <c r="S114" s="123">
        <v>1680.39</v>
      </c>
    </row>
    <row r="115" spans="1:19">
      <c r="B115" s="127" t="s">
        <v>200</v>
      </c>
      <c r="C115" s="122">
        <v>1219.509</v>
      </c>
      <c r="D115" s="122">
        <v>383.86399999999998</v>
      </c>
      <c r="E115" s="122">
        <v>308.262</v>
      </c>
      <c r="F115" s="122">
        <v>177.636</v>
      </c>
      <c r="G115" s="122">
        <v>71.051000000000002</v>
      </c>
      <c r="H115" s="122">
        <v>50.723999999999997</v>
      </c>
      <c r="I115" s="122">
        <v>8.8449999999999989</v>
      </c>
      <c r="J115" s="122">
        <v>1.6890000000000001</v>
      </c>
      <c r="K115" s="122">
        <v>1913.3240000000001</v>
      </c>
      <c r="L115" s="122">
        <v>12.249000000000001</v>
      </c>
      <c r="M115" s="122">
        <v>1925.5730000000001</v>
      </c>
      <c r="N115" s="122">
        <v>578.78099999999995</v>
      </c>
      <c r="O115" s="122">
        <v>2503.373</v>
      </c>
      <c r="P115" s="122">
        <v>569.73</v>
      </c>
      <c r="Q115" s="122">
        <v>0</v>
      </c>
      <c r="R115" s="122">
        <v>1934.0060000000001</v>
      </c>
      <c r="S115" s="123">
        <v>1713.037</v>
      </c>
    </row>
    <row r="116" spans="1:19">
      <c r="B116" s="127" t="s">
        <v>201</v>
      </c>
      <c r="C116" s="122">
        <v>1251.056</v>
      </c>
      <c r="D116" s="122">
        <v>389.959</v>
      </c>
      <c r="E116" s="122">
        <v>328.21800000000002</v>
      </c>
      <c r="F116" s="122">
        <v>187.917</v>
      </c>
      <c r="G116" s="122">
        <v>79.759</v>
      </c>
      <c r="H116" s="122">
        <v>51.896999999999998</v>
      </c>
      <c r="I116" s="122">
        <v>8.5419999999999998</v>
      </c>
      <c r="J116" s="122">
        <v>7.843</v>
      </c>
      <c r="K116" s="122">
        <v>1977.076</v>
      </c>
      <c r="L116" s="122">
        <v>4.2640000000000002</v>
      </c>
      <c r="M116" s="122">
        <v>1981.34</v>
      </c>
      <c r="N116" s="122">
        <v>582.91700000000003</v>
      </c>
      <c r="O116" s="122">
        <v>2576.0230000000001</v>
      </c>
      <c r="P116" s="122">
        <v>596.66600000000005</v>
      </c>
      <c r="Q116" s="122">
        <v>0</v>
      </c>
      <c r="R116" s="122">
        <v>1978.95</v>
      </c>
      <c r="S116" s="123">
        <v>1753.086</v>
      </c>
    </row>
    <row r="117" spans="1:19">
      <c r="B117" s="127" t="s">
        <v>202</v>
      </c>
      <c r="C117" s="122">
        <v>1286.0899999999999</v>
      </c>
      <c r="D117" s="122">
        <v>397.79399999999998</v>
      </c>
      <c r="E117" s="122">
        <v>349.35700000000003</v>
      </c>
      <c r="F117" s="122">
        <v>200.346</v>
      </c>
      <c r="G117" s="122">
        <v>82.465999999999994</v>
      </c>
      <c r="H117" s="122">
        <v>56.076999999999998</v>
      </c>
      <c r="I117" s="122">
        <v>10.342000000000001</v>
      </c>
      <c r="J117" s="122">
        <v>7.4279999999999999</v>
      </c>
      <c r="K117" s="122">
        <v>2040.6690000000001</v>
      </c>
      <c r="L117" s="122">
        <v>21.859000000000002</v>
      </c>
      <c r="M117" s="122">
        <v>2062.5279999999998</v>
      </c>
      <c r="N117" s="122">
        <v>596.56399999999996</v>
      </c>
      <c r="O117" s="122">
        <v>2674.223</v>
      </c>
      <c r="P117" s="122">
        <v>633.48299999999995</v>
      </c>
      <c r="Q117" s="122">
        <v>0</v>
      </c>
      <c r="R117" s="122">
        <v>2039.864</v>
      </c>
      <c r="S117" s="123">
        <v>1809.444</v>
      </c>
    </row>
    <row r="118" spans="1:19">
      <c r="B118" s="127" t="s">
        <v>203</v>
      </c>
      <c r="C118" s="122">
        <v>1323.9680000000001</v>
      </c>
      <c r="D118" s="122">
        <v>403.76</v>
      </c>
      <c r="E118" s="122">
        <v>371.05099999999999</v>
      </c>
      <c r="F118" s="122">
        <v>216.768</v>
      </c>
      <c r="G118" s="122">
        <v>89.667000000000002</v>
      </c>
      <c r="H118" s="122">
        <v>55.113</v>
      </c>
      <c r="I118" s="122">
        <v>9.42</v>
      </c>
      <c r="J118" s="122">
        <v>-1.3109999999999999</v>
      </c>
      <c r="K118" s="122">
        <v>2097.4679999999998</v>
      </c>
      <c r="L118" s="122">
        <v>7.4859999999999998</v>
      </c>
      <c r="M118" s="122">
        <v>2104.9540000000002</v>
      </c>
      <c r="N118" s="122">
        <v>616.10699999999997</v>
      </c>
      <c r="O118" s="122">
        <v>2733.5680000000002</v>
      </c>
      <c r="P118" s="122">
        <v>651.51499999999999</v>
      </c>
      <c r="Q118" s="122">
        <v>0</v>
      </c>
      <c r="R118" s="122">
        <v>2081.5239999999999</v>
      </c>
      <c r="S118" s="123">
        <v>1838.471</v>
      </c>
    </row>
    <row r="119" spans="1:19">
      <c r="B119" s="127" t="s">
        <v>204</v>
      </c>
      <c r="C119" s="122">
        <v>1368.575</v>
      </c>
      <c r="D119" s="122">
        <v>405.16899999999998</v>
      </c>
      <c r="E119" s="122">
        <v>390.464</v>
      </c>
      <c r="F119" s="122">
        <v>228.363</v>
      </c>
      <c r="G119" s="122">
        <v>96.897999999999996</v>
      </c>
      <c r="H119" s="122">
        <v>55.372999999999998</v>
      </c>
      <c r="I119" s="122">
        <v>9.8339999999999996</v>
      </c>
      <c r="J119" s="122">
        <v>-0.129</v>
      </c>
      <c r="K119" s="122">
        <v>2164.0790000000002</v>
      </c>
      <c r="L119" s="122">
        <v>9.6180000000000003</v>
      </c>
      <c r="M119" s="122">
        <v>2173.6970000000001</v>
      </c>
      <c r="N119" s="122">
        <v>638.63300000000004</v>
      </c>
      <c r="O119" s="122">
        <v>2805.0160000000001</v>
      </c>
      <c r="P119" s="122">
        <v>680.97199999999998</v>
      </c>
      <c r="Q119" s="122">
        <v>0</v>
      </c>
      <c r="R119" s="122">
        <v>2124.11</v>
      </c>
      <c r="S119" s="123">
        <v>1879.97</v>
      </c>
    </row>
    <row r="120" spans="1:19">
      <c r="B120" s="127" t="s">
        <v>205</v>
      </c>
      <c r="C120" s="122">
        <v>1391.8</v>
      </c>
      <c r="D120" s="122">
        <v>408.18200000000002</v>
      </c>
      <c r="E120" s="122">
        <v>401.053</v>
      </c>
      <c r="F120" s="122">
        <v>226.78899999999999</v>
      </c>
      <c r="G120" s="122">
        <v>103.486</v>
      </c>
      <c r="H120" s="122">
        <v>62.241999999999997</v>
      </c>
      <c r="I120" s="122">
        <v>8.5269999999999992</v>
      </c>
      <c r="J120" s="122">
        <v>1.5960000000000001</v>
      </c>
      <c r="K120" s="122">
        <v>2202.6309999999999</v>
      </c>
      <c r="L120" s="122">
        <v>7.4390000000000001</v>
      </c>
      <c r="M120" s="122">
        <v>2210.0700000000002</v>
      </c>
      <c r="N120" s="122">
        <v>680.18499999999995</v>
      </c>
      <c r="O120" s="122">
        <v>2880.6480000000001</v>
      </c>
      <c r="P120" s="122">
        <v>702.21100000000001</v>
      </c>
      <c r="Q120" s="122">
        <v>0</v>
      </c>
      <c r="R120" s="122">
        <v>2178.5369999999998</v>
      </c>
      <c r="S120" s="123">
        <v>1927.7850000000001</v>
      </c>
    </row>
    <row r="121" spans="1:19">
      <c r="B121" s="127" t="s">
        <v>206</v>
      </c>
      <c r="C121" s="122">
        <v>1418.4549999999999</v>
      </c>
      <c r="D121" s="122">
        <v>413.55</v>
      </c>
      <c r="E121" s="122">
        <v>399.565</v>
      </c>
      <c r="F121" s="122">
        <v>223.66</v>
      </c>
      <c r="G121" s="122">
        <v>109.414</v>
      </c>
      <c r="H121" s="122">
        <v>61.167000000000002</v>
      </c>
      <c r="I121" s="122">
        <v>5.3704692500000002</v>
      </c>
      <c r="J121" s="122">
        <v>14.691000000000001</v>
      </c>
      <c r="K121" s="122">
        <v>2246.261</v>
      </c>
      <c r="L121" s="122">
        <v>8.4260000000000002</v>
      </c>
      <c r="M121" s="122">
        <v>2254.6869999999999</v>
      </c>
      <c r="N121" s="122">
        <v>692.69600000000003</v>
      </c>
      <c r="O121" s="122">
        <v>2945.4659999999999</v>
      </c>
      <c r="P121" s="122">
        <v>740.15700000000004</v>
      </c>
      <c r="Q121" s="122">
        <v>0</v>
      </c>
      <c r="R121" s="122">
        <v>2205.2939999999999</v>
      </c>
      <c r="S121" s="123">
        <v>1950.519</v>
      </c>
    </row>
    <row r="122" spans="1:19">
      <c r="B122" s="127" t="s">
        <v>207</v>
      </c>
      <c r="C122" s="122">
        <v>1416.634</v>
      </c>
      <c r="D122" s="122">
        <v>424.90199999999999</v>
      </c>
      <c r="E122" s="122">
        <v>401.50900000000001</v>
      </c>
      <c r="F122" s="122">
        <v>227.994</v>
      </c>
      <c r="G122" s="122">
        <v>107.276</v>
      </c>
      <c r="H122" s="122">
        <v>60.56</v>
      </c>
      <c r="I122" s="122">
        <v>5.608728769999999</v>
      </c>
      <c r="J122" s="122">
        <v>-8.5449999999999999</v>
      </c>
      <c r="K122" s="122">
        <v>2234.5</v>
      </c>
      <c r="L122" s="122">
        <v>-7.5119999999999996</v>
      </c>
      <c r="M122" s="122">
        <v>2226.9879999999998</v>
      </c>
      <c r="N122" s="122">
        <v>705.47900000000004</v>
      </c>
      <c r="O122" s="122">
        <v>2933.5230000000001</v>
      </c>
      <c r="P122" s="122">
        <v>709.21299999999997</v>
      </c>
      <c r="Q122" s="122">
        <v>0</v>
      </c>
      <c r="R122" s="122">
        <v>2224.377</v>
      </c>
      <c r="S122" s="123">
        <v>1971.4469999999999</v>
      </c>
    </row>
    <row r="123" spans="1:19">
      <c r="B123" s="127" t="s">
        <v>208</v>
      </c>
      <c r="C123" s="122">
        <v>1194.251</v>
      </c>
      <c r="D123" s="122">
        <v>395.25700000000001</v>
      </c>
      <c r="E123" s="122">
        <v>359.24299999999999</v>
      </c>
      <c r="F123" s="122">
        <v>196.42099999999999</v>
      </c>
      <c r="G123" s="122">
        <v>89.19</v>
      </c>
      <c r="H123" s="122">
        <v>68.921999999999997</v>
      </c>
      <c r="I123" s="122">
        <v>4.5920723530000007</v>
      </c>
      <c r="J123" s="122">
        <v>5.9080000000000004</v>
      </c>
      <c r="K123" s="122">
        <v>1954.6590000000001</v>
      </c>
      <c r="L123" s="122">
        <v>7.1920000000000002</v>
      </c>
      <c r="M123" s="122">
        <v>1961.8510000000001</v>
      </c>
      <c r="N123" s="122">
        <v>610.03</v>
      </c>
      <c r="O123" s="122">
        <v>2571.8809999999999</v>
      </c>
      <c r="P123" s="122">
        <v>605.72799999999995</v>
      </c>
      <c r="Q123" s="122">
        <v>0</v>
      </c>
      <c r="R123" s="122">
        <v>1966.153</v>
      </c>
      <c r="S123" s="123">
        <v>1748.393</v>
      </c>
    </row>
    <row r="124" spans="1:19">
      <c r="B124" s="127" t="s">
        <v>33</v>
      </c>
      <c r="C124" s="122">
        <v>1380.1220000000001</v>
      </c>
      <c r="D124" s="122">
        <v>463.24599999999998</v>
      </c>
      <c r="E124" s="122">
        <v>399.70800000000003</v>
      </c>
      <c r="F124" s="122">
        <v>215.279</v>
      </c>
      <c r="G124" s="122">
        <v>107.72799999999999</v>
      </c>
      <c r="H124" s="122">
        <v>70.835999999999999</v>
      </c>
      <c r="I124" s="122">
        <v>6.1169008199999997</v>
      </c>
      <c r="J124" s="122">
        <v>6.1710000000000003</v>
      </c>
      <c r="K124" s="122">
        <v>2249.2469999999998</v>
      </c>
      <c r="L124" s="122">
        <v>5.7640000000000002</v>
      </c>
      <c r="M124" s="122">
        <v>2255.011</v>
      </c>
      <c r="N124" s="122">
        <v>664.01199999999994</v>
      </c>
      <c r="O124" s="122">
        <v>2919.0230000000001</v>
      </c>
      <c r="P124" s="122">
        <v>690.68700000000001</v>
      </c>
      <c r="Q124" s="122">
        <v>6.0019999999999998</v>
      </c>
      <c r="R124" s="122">
        <v>2234.3380000000002</v>
      </c>
      <c r="S124" s="123">
        <v>1985.2149999999999</v>
      </c>
    </row>
    <row r="125" spans="1:19">
      <c r="B125" s="127" t="s">
        <v>5</v>
      </c>
      <c r="C125" s="122">
        <v>1398.16</v>
      </c>
      <c r="D125" s="122">
        <v>457.30200000000002</v>
      </c>
      <c r="E125" s="122">
        <v>426.35899999999998</v>
      </c>
      <c r="F125" s="122">
        <v>233.76599999999999</v>
      </c>
      <c r="G125" s="122">
        <v>114.602</v>
      </c>
      <c r="H125" s="122">
        <v>71.655000000000001</v>
      </c>
      <c r="I125" s="122">
        <v>6.3232974500000001</v>
      </c>
      <c r="J125" s="122">
        <v>-28.202000000000002</v>
      </c>
      <c r="K125" s="122">
        <v>2253.6190000000001</v>
      </c>
      <c r="L125" s="122">
        <v>10.11</v>
      </c>
      <c r="M125" s="122">
        <v>2263.7289999999998</v>
      </c>
      <c r="N125" s="122">
        <v>732.697</v>
      </c>
      <c r="O125" s="122">
        <v>2996.4259999999999</v>
      </c>
      <c r="P125" s="122">
        <v>749.62400000000002</v>
      </c>
      <c r="Q125" s="122">
        <v>26.038</v>
      </c>
      <c r="R125" s="122">
        <v>2272.84</v>
      </c>
      <c r="S125" s="123">
        <v>2017.2570000000001</v>
      </c>
    </row>
    <row r="126" spans="1:19">
      <c r="B126" s="127" t="s">
        <v>6</v>
      </c>
      <c r="C126" s="122">
        <v>1404.8861440000001</v>
      </c>
      <c r="D126" s="122">
        <v>471.70763699999998</v>
      </c>
      <c r="E126" s="122">
        <v>422.04559874303294</v>
      </c>
      <c r="F126" s="122">
        <v>235.7419161</v>
      </c>
      <c r="G126" s="122">
        <v>105.35123841248273</v>
      </c>
      <c r="H126" s="122">
        <v>74.978030700000005</v>
      </c>
      <c r="I126" s="122">
        <v>6.1135629226738422</v>
      </c>
      <c r="J126" s="122">
        <v>-5.7329999999999997</v>
      </c>
      <c r="K126" s="122">
        <v>2292.9063797430331</v>
      </c>
      <c r="L126" s="122">
        <v>0.59007291099999959</v>
      </c>
      <c r="M126" s="122">
        <v>2293.496452654033</v>
      </c>
      <c r="N126" s="122">
        <v>708.53316564851173</v>
      </c>
      <c r="O126" s="122">
        <v>3002.0296189999999</v>
      </c>
      <c r="P126" s="122">
        <v>743.72168425839629</v>
      </c>
      <c r="Q126" s="122">
        <v>19.033999999999999</v>
      </c>
      <c r="R126" s="122">
        <v>2277.3419340435385</v>
      </c>
      <c r="S126" s="123">
        <v>2021.8468780000001</v>
      </c>
    </row>
    <row r="127" spans="1:19">
      <c r="B127" s="127" t="s">
        <v>7</v>
      </c>
      <c r="C127" s="122">
        <v>1420.9063219999998</v>
      </c>
      <c r="D127" s="122">
        <v>487.470417</v>
      </c>
      <c r="E127" s="122">
        <v>408.53479459420419</v>
      </c>
      <c r="F127" s="122">
        <v>227.11417399999999</v>
      </c>
      <c r="G127" s="122">
        <v>101.29494993432309</v>
      </c>
      <c r="H127" s="122">
        <v>74.248396700000001</v>
      </c>
      <c r="I127" s="122">
        <v>5.8772739411994497</v>
      </c>
      <c r="J127" s="122">
        <v>-5.13</v>
      </c>
      <c r="K127" s="122">
        <v>2311.7815335942041</v>
      </c>
      <c r="L127" s="122">
        <v>5.0009861600000001</v>
      </c>
      <c r="M127" s="122">
        <v>2316.7825197542038</v>
      </c>
      <c r="N127" s="122">
        <v>704.95769509573427</v>
      </c>
      <c r="O127" s="122">
        <v>3021.7402149999998</v>
      </c>
      <c r="P127" s="122">
        <v>737.00145327683151</v>
      </c>
      <c r="Q127" s="122">
        <v>19.027999999999999</v>
      </c>
      <c r="R127" s="122">
        <v>2303.766761578438</v>
      </c>
      <c r="S127" s="123">
        <v>2046.0220490000002</v>
      </c>
    </row>
    <row r="128" spans="1:19">
      <c r="B128" s="127" t="s">
        <v>8</v>
      </c>
      <c r="C128" s="122">
        <v>1449.630034</v>
      </c>
      <c r="D128" s="122">
        <v>495.125539</v>
      </c>
      <c r="E128" s="122">
        <v>412.58724640977044</v>
      </c>
      <c r="F128" s="122">
        <v>231.68003239999999</v>
      </c>
      <c r="G128" s="122">
        <v>102.63309753171509</v>
      </c>
      <c r="H128" s="122">
        <v>72.33105590000001</v>
      </c>
      <c r="I128" s="122">
        <v>5.9430605627613033</v>
      </c>
      <c r="J128" s="122">
        <v>-5.13</v>
      </c>
      <c r="K128" s="122">
        <v>2352.2128194097704</v>
      </c>
      <c r="L128" s="122">
        <v>4.6925428200000008</v>
      </c>
      <c r="M128" s="122">
        <v>2356.9053622297706</v>
      </c>
      <c r="N128" s="122">
        <v>708.69668425824705</v>
      </c>
      <c r="O128" s="122">
        <v>3065.602046</v>
      </c>
      <c r="P128" s="122">
        <v>736.47118011869941</v>
      </c>
      <c r="Q128" s="122">
        <v>19.027999999999999</v>
      </c>
      <c r="R128" s="122">
        <v>2348.1588663698026</v>
      </c>
      <c r="S128" s="123">
        <v>2086.3991649999998</v>
      </c>
    </row>
    <row r="129" spans="2:19">
      <c r="B129" s="127" t="s">
        <v>9</v>
      </c>
      <c r="C129" s="122">
        <v>1479.4442199999999</v>
      </c>
      <c r="D129" s="122">
        <v>502.64075800000001</v>
      </c>
      <c r="E129" s="122">
        <v>421.13576384434333</v>
      </c>
      <c r="F129" s="122">
        <v>237.32320679999998</v>
      </c>
      <c r="G129" s="122">
        <v>106.58341177307553</v>
      </c>
      <c r="H129" s="122">
        <v>71.069786899999997</v>
      </c>
      <c r="I129" s="122">
        <v>6.1593583412518642</v>
      </c>
      <c r="J129" s="122">
        <v>-5.13</v>
      </c>
      <c r="K129" s="122">
        <v>2398.0907418443435</v>
      </c>
      <c r="L129" s="122">
        <v>3.1888532519999999</v>
      </c>
      <c r="M129" s="122">
        <v>2401.2795950963437</v>
      </c>
      <c r="N129" s="122">
        <v>712.94285427144939</v>
      </c>
      <c r="O129" s="122">
        <v>3114.2224500000002</v>
      </c>
      <c r="P129" s="122">
        <v>738.48258046138824</v>
      </c>
      <c r="Q129" s="122">
        <v>19.027999999999999</v>
      </c>
      <c r="R129" s="122">
        <v>2394.7678689066693</v>
      </c>
      <c r="S129" s="123">
        <v>2128.7401500000001</v>
      </c>
    </row>
    <row r="130" spans="2:19">
      <c r="B130" s="127" t="s">
        <v>10</v>
      </c>
      <c r="C130" s="122">
        <v>1508.2249539999998</v>
      </c>
      <c r="D130" s="122">
        <v>510.41932199999997</v>
      </c>
      <c r="E130" s="122">
        <v>427.71769437072203</v>
      </c>
      <c r="F130" s="122">
        <v>241.60511369999998</v>
      </c>
      <c r="G130" s="122">
        <v>110.30165815090872</v>
      </c>
      <c r="H130" s="122">
        <v>69.460573000000011</v>
      </c>
      <c r="I130" s="122">
        <v>6.3503495096069846</v>
      </c>
      <c r="J130" s="122">
        <v>-5.13</v>
      </c>
      <c r="K130" s="122">
        <v>2441.2319703707221</v>
      </c>
      <c r="L130" s="122">
        <v>2.7062252279999996</v>
      </c>
      <c r="M130" s="122">
        <v>2443.9381955987219</v>
      </c>
      <c r="N130" s="122">
        <v>717.78823688476211</v>
      </c>
      <c r="O130" s="122">
        <v>3161.7264330000003</v>
      </c>
      <c r="P130" s="122">
        <v>743.27957884105399</v>
      </c>
      <c r="Q130" s="122">
        <v>19.027999999999999</v>
      </c>
      <c r="R130" s="122">
        <v>2437.4748536421284</v>
      </c>
      <c r="S130" s="123">
        <v>2167.6753870000002</v>
      </c>
    </row>
    <row r="131" spans="2:19" ht="15.75" thickBot="1">
      <c r="B131" s="134" t="s">
        <v>11</v>
      </c>
      <c r="C131" s="122">
        <v>1537.027364</v>
      </c>
      <c r="D131" s="122">
        <v>518.88095099999998</v>
      </c>
      <c r="E131" s="122">
        <v>432.44723778122022</v>
      </c>
      <c r="F131" s="122">
        <v>244.27560729999996</v>
      </c>
      <c r="G131" s="122">
        <v>114.33205775267726</v>
      </c>
      <c r="H131" s="122">
        <v>67.261722200000008</v>
      </c>
      <c r="I131" s="122">
        <v>6.5778503871120586</v>
      </c>
      <c r="J131" s="122">
        <v>-5.13</v>
      </c>
      <c r="K131" s="122">
        <v>2483.2255527812199</v>
      </c>
      <c r="L131" s="122">
        <v>2.6817124939999997</v>
      </c>
      <c r="M131" s="122">
        <v>2485.9072652752197</v>
      </c>
      <c r="N131" s="122">
        <v>722.7792089929336</v>
      </c>
      <c r="O131" s="122">
        <v>3208.6864730000002</v>
      </c>
      <c r="P131" s="122">
        <v>749.14674874954267</v>
      </c>
      <c r="Q131" s="122">
        <v>19.027999999999999</v>
      </c>
      <c r="R131" s="122">
        <v>2478.5677255185024</v>
      </c>
      <c r="S131" s="123">
        <v>2205.0914659999999</v>
      </c>
    </row>
    <row r="132" spans="2:19">
      <c r="B132" s="135" t="s">
        <v>209</v>
      </c>
      <c r="C132" s="136"/>
      <c r="D132" s="136"/>
      <c r="E132" s="136"/>
      <c r="F132" s="136"/>
      <c r="G132" s="136"/>
      <c r="H132" s="136"/>
      <c r="I132" s="136"/>
      <c r="J132" s="136"/>
      <c r="K132" s="136"/>
      <c r="L132" s="136"/>
      <c r="M132" s="136"/>
      <c r="N132" s="136"/>
      <c r="O132" s="136"/>
      <c r="P132" s="136"/>
      <c r="Q132" s="136"/>
      <c r="R132" s="136"/>
      <c r="S132" s="137"/>
    </row>
    <row r="133" spans="2:19">
      <c r="B133" s="372" t="s">
        <v>210</v>
      </c>
      <c r="C133" s="373"/>
      <c r="D133" s="373"/>
      <c r="E133" s="373"/>
      <c r="F133" s="373"/>
      <c r="G133" s="373"/>
      <c r="H133" s="373"/>
      <c r="I133" s="373"/>
      <c r="J133" s="373"/>
      <c r="K133" s="373"/>
      <c r="L133" s="373"/>
      <c r="M133" s="373"/>
      <c r="N133" s="373"/>
      <c r="O133" s="373"/>
      <c r="P133" s="373"/>
      <c r="Q133" s="373"/>
      <c r="R133" s="373"/>
      <c r="S133" s="374"/>
    </row>
    <row r="134" spans="2:19">
      <c r="B134" s="372" t="s">
        <v>211</v>
      </c>
      <c r="C134" s="373"/>
      <c r="D134" s="373"/>
      <c r="E134" s="373"/>
      <c r="F134" s="373"/>
      <c r="G134" s="373"/>
      <c r="H134" s="373"/>
      <c r="I134" s="373"/>
      <c r="J134" s="373"/>
      <c r="K134" s="373"/>
      <c r="L134" s="373"/>
      <c r="M134" s="373"/>
      <c r="N134" s="373"/>
      <c r="O134" s="373"/>
      <c r="P134" s="373"/>
      <c r="Q134" s="373"/>
      <c r="R134" s="373"/>
      <c r="S134" s="374"/>
    </row>
    <row r="135" spans="2:19">
      <c r="B135" s="369" t="s">
        <v>212</v>
      </c>
      <c r="C135" s="370"/>
      <c r="D135" s="370"/>
      <c r="E135" s="370"/>
      <c r="F135" s="370"/>
      <c r="G135" s="370"/>
      <c r="H135" s="370"/>
      <c r="I135" s="370"/>
      <c r="J135" s="370"/>
      <c r="K135" s="370"/>
      <c r="L135" s="370"/>
      <c r="M135" s="370"/>
      <c r="N135" s="370"/>
      <c r="O135" s="370"/>
      <c r="P135" s="370"/>
      <c r="Q135" s="370"/>
      <c r="R135" s="370"/>
      <c r="S135" s="371"/>
    </row>
    <row r="136" spans="2:19">
      <c r="B136" s="369" t="s">
        <v>213</v>
      </c>
      <c r="C136" s="370"/>
      <c r="D136" s="370"/>
      <c r="E136" s="370"/>
      <c r="F136" s="370"/>
      <c r="G136" s="370"/>
      <c r="H136" s="370"/>
      <c r="I136" s="370"/>
      <c r="J136" s="370"/>
      <c r="K136" s="370"/>
      <c r="L136" s="370"/>
      <c r="M136" s="370"/>
      <c r="N136" s="370"/>
      <c r="O136" s="370"/>
      <c r="P136" s="370"/>
      <c r="Q136" s="370"/>
      <c r="R136" s="370"/>
      <c r="S136" s="371"/>
    </row>
    <row r="137" spans="2:19">
      <c r="B137" s="369" t="s">
        <v>214</v>
      </c>
      <c r="C137" s="370"/>
      <c r="D137" s="370"/>
      <c r="E137" s="370"/>
      <c r="F137" s="370"/>
      <c r="G137" s="370"/>
      <c r="H137" s="370"/>
      <c r="I137" s="370"/>
      <c r="J137" s="370"/>
      <c r="K137" s="370"/>
      <c r="L137" s="370"/>
      <c r="M137" s="370"/>
      <c r="N137" s="370"/>
      <c r="O137" s="370"/>
      <c r="P137" s="370"/>
      <c r="Q137" s="370"/>
      <c r="R137" s="370"/>
      <c r="S137" s="371"/>
    </row>
    <row r="138" spans="2:19">
      <c r="B138" s="369" t="s">
        <v>215</v>
      </c>
      <c r="C138" s="370"/>
      <c r="D138" s="370"/>
      <c r="E138" s="370"/>
      <c r="F138" s="370"/>
      <c r="G138" s="370"/>
      <c r="H138" s="370"/>
      <c r="I138" s="370"/>
      <c r="J138" s="370"/>
      <c r="K138" s="370"/>
      <c r="L138" s="370"/>
      <c r="M138" s="370"/>
      <c r="N138" s="370"/>
      <c r="O138" s="370"/>
      <c r="P138" s="370"/>
      <c r="Q138" s="370"/>
      <c r="R138" s="370"/>
      <c r="S138" s="371"/>
    </row>
    <row r="139" spans="2:19">
      <c r="B139" s="369" t="s">
        <v>216</v>
      </c>
      <c r="C139" s="370"/>
      <c r="D139" s="370"/>
      <c r="E139" s="370"/>
      <c r="F139" s="370"/>
      <c r="G139" s="370"/>
      <c r="H139" s="370"/>
      <c r="I139" s="370"/>
      <c r="J139" s="370"/>
      <c r="K139" s="370"/>
      <c r="L139" s="370"/>
      <c r="M139" s="370"/>
      <c r="N139" s="370"/>
      <c r="O139" s="370"/>
      <c r="P139" s="370"/>
      <c r="Q139" s="370"/>
      <c r="R139" s="370"/>
      <c r="S139" s="371"/>
    </row>
    <row r="140" spans="2:19">
      <c r="B140" s="369" t="s">
        <v>217</v>
      </c>
      <c r="C140" s="370"/>
      <c r="D140" s="370"/>
      <c r="E140" s="370"/>
      <c r="F140" s="370"/>
      <c r="G140" s="370"/>
      <c r="H140" s="370"/>
      <c r="I140" s="370"/>
      <c r="J140" s="370"/>
      <c r="K140" s="370"/>
      <c r="L140" s="370"/>
      <c r="M140" s="370"/>
      <c r="N140" s="370"/>
      <c r="O140" s="370"/>
      <c r="P140" s="370"/>
      <c r="Q140" s="370"/>
      <c r="R140" s="370"/>
      <c r="S140" s="371"/>
    </row>
    <row r="141" spans="2:19">
      <c r="B141" s="372" t="s">
        <v>218</v>
      </c>
      <c r="C141" s="373"/>
      <c r="D141" s="373"/>
      <c r="E141" s="373"/>
      <c r="F141" s="373"/>
      <c r="G141" s="373"/>
      <c r="H141" s="373"/>
      <c r="I141" s="373"/>
      <c r="J141" s="373"/>
      <c r="K141" s="373"/>
      <c r="L141" s="373"/>
      <c r="M141" s="373"/>
      <c r="N141" s="373"/>
      <c r="O141" s="373"/>
      <c r="P141" s="373"/>
      <c r="Q141" s="373"/>
      <c r="R141" s="373"/>
      <c r="S141" s="374"/>
    </row>
    <row r="142" spans="2:19">
      <c r="B142" s="369" t="s">
        <v>219</v>
      </c>
      <c r="C142" s="370"/>
      <c r="D142" s="370"/>
      <c r="E142" s="370"/>
      <c r="F142" s="370"/>
      <c r="G142" s="370"/>
      <c r="H142" s="370"/>
      <c r="I142" s="370"/>
      <c r="J142" s="370"/>
      <c r="K142" s="370"/>
      <c r="L142" s="370"/>
      <c r="M142" s="370"/>
      <c r="N142" s="370"/>
      <c r="O142" s="370"/>
      <c r="P142" s="370"/>
      <c r="Q142" s="370"/>
      <c r="R142" s="370"/>
      <c r="S142" s="371"/>
    </row>
    <row r="143" spans="2:19">
      <c r="B143" s="369" t="s">
        <v>220</v>
      </c>
      <c r="C143" s="370"/>
      <c r="D143" s="370"/>
      <c r="E143" s="370"/>
      <c r="F143" s="370"/>
      <c r="G143" s="370"/>
      <c r="H143" s="370"/>
      <c r="I143" s="370"/>
      <c r="J143" s="370"/>
      <c r="K143" s="370"/>
      <c r="L143" s="370"/>
      <c r="M143" s="370"/>
      <c r="N143" s="370"/>
      <c r="O143" s="370"/>
      <c r="P143" s="370"/>
      <c r="Q143" s="370"/>
      <c r="R143" s="370"/>
      <c r="S143" s="371"/>
    </row>
    <row r="144" spans="2:19">
      <c r="B144" s="369" t="s">
        <v>221</v>
      </c>
      <c r="C144" s="370"/>
      <c r="D144" s="370"/>
      <c r="E144" s="370"/>
      <c r="F144" s="370"/>
      <c r="G144" s="370"/>
      <c r="H144" s="370"/>
      <c r="I144" s="370"/>
      <c r="J144" s="370"/>
      <c r="K144" s="370"/>
      <c r="L144" s="370"/>
      <c r="M144" s="370"/>
      <c r="N144" s="370"/>
      <c r="O144" s="370"/>
      <c r="P144" s="370"/>
      <c r="Q144" s="370"/>
      <c r="R144" s="370"/>
      <c r="S144" s="371"/>
    </row>
    <row r="145" spans="2:19">
      <c r="B145" s="369" t="s">
        <v>222</v>
      </c>
      <c r="C145" s="370"/>
      <c r="D145" s="370"/>
      <c r="E145" s="370"/>
      <c r="F145" s="370"/>
      <c r="G145" s="370"/>
      <c r="H145" s="370"/>
      <c r="I145" s="370"/>
      <c r="J145" s="370"/>
      <c r="K145" s="370"/>
      <c r="L145" s="370"/>
      <c r="M145" s="370"/>
      <c r="N145" s="370"/>
      <c r="O145" s="370"/>
      <c r="P145" s="370"/>
      <c r="Q145" s="370"/>
      <c r="R145" s="370"/>
      <c r="S145" s="371"/>
    </row>
    <row r="146" spans="2:19">
      <c r="B146" s="369" t="s">
        <v>223</v>
      </c>
      <c r="C146" s="370"/>
      <c r="D146" s="370"/>
      <c r="E146" s="370"/>
      <c r="F146" s="370"/>
      <c r="G146" s="370"/>
      <c r="H146" s="370"/>
      <c r="I146" s="370"/>
      <c r="J146" s="370"/>
      <c r="K146" s="370"/>
      <c r="L146" s="370"/>
      <c r="M146" s="370"/>
      <c r="N146" s="370"/>
      <c r="O146" s="370"/>
      <c r="P146" s="370"/>
      <c r="Q146" s="370"/>
      <c r="R146" s="370"/>
      <c r="S146" s="371"/>
    </row>
    <row r="147" spans="2:19">
      <c r="B147" s="369" t="s">
        <v>224</v>
      </c>
      <c r="C147" s="370"/>
      <c r="D147" s="370"/>
      <c r="E147" s="370"/>
      <c r="F147" s="370"/>
      <c r="G147" s="370"/>
      <c r="H147" s="370"/>
      <c r="I147" s="370"/>
      <c r="J147" s="370"/>
      <c r="K147" s="370"/>
      <c r="L147" s="370"/>
      <c r="M147" s="370"/>
      <c r="N147" s="370"/>
      <c r="O147" s="370"/>
      <c r="P147" s="370"/>
      <c r="Q147" s="370"/>
      <c r="R147" s="370"/>
      <c r="S147" s="371"/>
    </row>
    <row r="148" spans="2:19" ht="15.75" thickBot="1">
      <c r="B148" s="375" t="s">
        <v>225</v>
      </c>
      <c r="C148" s="376"/>
      <c r="D148" s="376"/>
      <c r="E148" s="376"/>
      <c r="F148" s="376"/>
      <c r="G148" s="376"/>
      <c r="H148" s="376"/>
      <c r="I148" s="376"/>
      <c r="J148" s="376"/>
      <c r="K148" s="376"/>
      <c r="L148" s="376"/>
      <c r="M148" s="376"/>
      <c r="N148" s="376"/>
      <c r="O148" s="376"/>
      <c r="P148" s="376"/>
      <c r="Q148" s="376"/>
      <c r="R148" s="376"/>
      <c r="S148" s="377"/>
    </row>
    <row r="149" spans="2:19">
      <c r="B149" s="147"/>
      <c r="C149" s="148"/>
      <c r="D149" s="148"/>
      <c r="E149" s="148"/>
      <c r="F149" s="148"/>
      <c r="G149" s="148"/>
      <c r="H149" s="148"/>
      <c r="I149" s="148"/>
      <c r="J149" s="148"/>
      <c r="K149" s="148"/>
      <c r="L149" s="148"/>
      <c r="M149" s="148"/>
      <c r="N149" s="148"/>
      <c r="O149" s="148"/>
      <c r="P149" s="148"/>
      <c r="Q149" s="148"/>
      <c r="R149" s="148"/>
      <c r="S149" s="148"/>
    </row>
    <row r="150" spans="2:19">
      <c r="B150" s="147"/>
      <c r="C150" s="148"/>
      <c r="D150" s="148"/>
      <c r="E150" s="148"/>
      <c r="F150" s="148"/>
      <c r="G150" s="148"/>
      <c r="H150" s="148"/>
      <c r="I150" s="148"/>
      <c r="J150" s="148"/>
      <c r="K150" s="148"/>
      <c r="L150" s="148"/>
      <c r="M150" s="148"/>
      <c r="N150" s="148"/>
      <c r="O150" s="148"/>
      <c r="P150" s="148"/>
      <c r="Q150" s="148"/>
      <c r="R150" s="148"/>
      <c r="S150" s="148"/>
    </row>
    <row r="151" spans="2:19">
      <c r="B151" s="147"/>
      <c r="C151" s="148"/>
      <c r="D151" s="148"/>
      <c r="E151" s="148"/>
      <c r="F151" s="148"/>
      <c r="G151" s="148"/>
      <c r="H151" s="148"/>
      <c r="I151" s="148"/>
      <c r="J151" s="148"/>
      <c r="K151" s="148"/>
      <c r="L151" s="148"/>
      <c r="M151" s="148"/>
      <c r="N151" s="148"/>
      <c r="O151" s="148"/>
      <c r="P151" s="148"/>
      <c r="Q151" s="148"/>
      <c r="R151" s="148"/>
      <c r="S151" s="148"/>
    </row>
    <row r="152" spans="2:19">
      <c r="B152" s="147"/>
      <c r="C152" s="148"/>
      <c r="D152" s="148"/>
      <c r="E152" s="148"/>
      <c r="F152" s="148"/>
      <c r="G152" s="148"/>
      <c r="H152" s="148"/>
      <c r="I152" s="148"/>
      <c r="J152" s="148"/>
      <c r="K152" s="148"/>
      <c r="L152" s="148"/>
      <c r="M152" s="148"/>
      <c r="N152" s="148"/>
      <c r="O152" s="148"/>
      <c r="P152" s="148"/>
      <c r="Q152" s="148"/>
      <c r="R152" s="148"/>
      <c r="S152" s="148"/>
    </row>
    <row r="153" spans="2:19">
      <c r="B153" s="147"/>
      <c r="C153" s="148"/>
      <c r="D153" s="148"/>
      <c r="E153" s="148"/>
      <c r="F153" s="148"/>
      <c r="G153" s="148"/>
      <c r="H153" s="148"/>
      <c r="I153" s="148"/>
      <c r="J153" s="148"/>
      <c r="K153" s="148"/>
      <c r="L153" s="148"/>
      <c r="M153" s="148"/>
      <c r="N153" s="148"/>
      <c r="O153" s="148"/>
      <c r="P153" s="148"/>
      <c r="Q153" s="148"/>
      <c r="R153" s="148"/>
      <c r="S153" s="148"/>
    </row>
    <row r="154" spans="2:19">
      <c r="B154" s="147"/>
      <c r="C154" s="148"/>
      <c r="D154" s="148"/>
      <c r="E154" s="148"/>
      <c r="F154" s="148"/>
      <c r="G154" s="148"/>
      <c r="H154" s="148"/>
      <c r="I154" s="148"/>
      <c r="J154" s="148"/>
      <c r="K154" s="148"/>
      <c r="L154" s="148"/>
      <c r="M154" s="148"/>
      <c r="N154" s="148"/>
      <c r="O154" s="148"/>
      <c r="P154" s="148"/>
      <c r="Q154" s="148"/>
      <c r="R154" s="148"/>
      <c r="S154" s="148"/>
    </row>
    <row r="155" spans="2:19">
      <c r="C155" s="148"/>
      <c r="D155" s="148"/>
      <c r="E155" s="148"/>
      <c r="F155" s="148"/>
      <c r="G155" s="148"/>
      <c r="H155" s="148"/>
      <c r="I155" s="148"/>
      <c r="J155" s="148"/>
      <c r="K155" s="148"/>
      <c r="L155" s="148"/>
      <c r="M155" s="148"/>
      <c r="N155" s="148"/>
      <c r="O155" s="148"/>
      <c r="P155" s="148"/>
      <c r="Q155" s="148"/>
      <c r="R155" s="148"/>
      <c r="S155" s="148"/>
    </row>
    <row r="156" spans="2:19">
      <c r="C156" s="148"/>
      <c r="D156" s="148"/>
      <c r="E156" s="148"/>
      <c r="F156" s="148"/>
      <c r="G156" s="148"/>
      <c r="H156" s="148"/>
      <c r="I156" s="148"/>
      <c r="J156" s="148"/>
      <c r="K156" s="148"/>
      <c r="L156" s="148"/>
      <c r="M156" s="148"/>
      <c r="N156" s="148"/>
      <c r="O156" s="148"/>
      <c r="P156" s="148"/>
      <c r="Q156" s="148"/>
      <c r="R156" s="148"/>
      <c r="S156" s="148"/>
    </row>
    <row r="157" spans="2:19">
      <c r="C157" s="148"/>
      <c r="D157" s="148"/>
      <c r="E157" s="148"/>
      <c r="F157" s="148"/>
      <c r="G157" s="148"/>
      <c r="H157" s="148"/>
      <c r="I157" s="148"/>
      <c r="J157" s="148"/>
      <c r="K157" s="148"/>
      <c r="L157" s="148"/>
      <c r="M157" s="148"/>
      <c r="N157" s="148"/>
      <c r="O157" s="148"/>
      <c r="P157" s="148"/>
      <c r="Q157" s="148"/>
      <c r="R157" s="148"/>
      <c r="S157" s="148"/>
    </row>
    <row r="158" spans="2:19">
      <c r="C158" s="148"/>
      <c r="D158" s="148"/>
      <c r="E158" s="148"/>
      <c r="F158" s="148"/>
      <c r="G158" s="148"/>
      <c r="H158" s="148"/>
      <c r="I158" s="148"/>
      <c r="J158" s="148"/>
      <c r="K158" s="148"/>
      <c r="L158" s="148"/>
      <c r="M158" s="148"/>
      <c r="N158" s="148"/>
      <c r="O158" s="148"/>
      <c r="P158" s="148"/>
      <c r="Q158" s="148"/>
      <c r="R158" s="148"/>
      <c r="S158" s="148"/>
    </row>
    <row r="159" spans="2:19">
      <c r="C159" s="148"/>
      <c r="D159" s="148"/>
      <c r="E159" s="148"/>
      <c r="F159" s="148"/>
      <c r="G159" s="148"/>
      <c r="H159" s="148"/>
      <c r="I159" s="148"/>
      <c r="J159" s="148"/>
      <c r="K159" s="148"/>
      <c r="L159" s="148"/>
      <c r="M159" s="148"/>
      <c r="N159" s="148"/>
      <c r="O159" s="148"/>
      <c r="P159" s="148"/>
      <c r="Q159" s="148"/>
      <c r="R159" s="148"/>
      <c r="S159" s="148"/>
    </row>
    <row r="160" spans="2:19">
      <c r="C160" s="148"/>
      <c r="D160" s="148"/>
      <c r="E160" s="148"/>
      <c r="F160" s="148"/>
      <c r="G160" s="148"/>
      <c r="H160" s="148"/>
      <c r="I160" s="148"/>
      <c r="J160" s="148"/>
      <c r="K160" s="148"/>
      <c r="L160" s="148"/>
      <c r="M160" s="148"/>
      <c r="N160" s="148"/>
      <c r="O160" s="148"/>
      <c r="P160" s="148"/>
      <c r="Q160" s="148"/>
      <c r="R160" s="148"/>
      <c r="S160" s="148"/>
    </row>
    <row r="161" spans="3:19">
      <c r="C161" s="148"/>
      <c r="D161" s="148"/>
      <c r="E161" s="148"/>
      <c r="F161" s="148"/>
      <c r="G161" s="148"/>
      <c r="H161" s="148"/>
      <c r="I161" s="148"/>
      <c r="J161" s="148"/>
      <c r="K161" s="148"/>
      <c r="L161" s="148"/>
      <c r="M161" s="148"/>
      <c r="N161" s="148"/>
      <c r="O161" s="148"/>
      <c r="P161" s="148"/>
      <c r="Q161" s="148"/>
      <c r="R161" s="148"/>
      <c r="S161" s="148"/>
    </row>
  </sheetData>
  <mergeCells count="14">
    <mergeCell ref="Q3:Q4"/>
    <mergeCell ref="R3:R4"/>
    <mergeCell ref="S3:S4"/>
    <mergeCell ref="A50:A54"/>
    <mergeCell ref="B2:S2"/>
    <mergeCell ref="C3:C4"/>
    <mergeCell ref="D3:D4"/>
    <mergeCell ref="J3:J4"/>
    <mergeCell ref="K3:K4"/>
    <mergeCell ref="L3:L4"/>
    <mergeCell ref="M3:M4"/>
    <mergeCell ref="N3:N4"/>
    <mergeCell ref="O3:O4"/>
    <mergeCell ref="P3:P4"/>
  </mergeCells>
  <hyperlinks>
    <hyperlink ref="A1" location="Contents!A1" display="Back to contents" xr:uid="{3ED758D9-417C-4D8F-B770-C0FF4AA37903}"/>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95C06-9857-4A89-884E-05C2768886C0}">
  <sheetPr>
    <tabColor theme="6"/>
  </sheetPr>
  <dimension ref="A1:AE155"/>
  <sheetViews>
    <sheetView zoomScaleNormal="100" zoomScaleSheetLayoutView="100" workbookViewId="0">
      <pane xSplit="2" ySplit="4" topLeftCell="D102" activePane="bottomRight" state="frozen"/>
      <selection pane="topRight" activeCell="C1" sqref="C1"/>
      <selection pane="bottomLeft" activeCell="A5" sqref="A5"/>
      <selection pane="bottomRight" activeCell="M9" sqref="M9"/>
    </sheetView>
  </sheetViews>
  <sheetFormatPr defaultColWidth="10" defaultRowHeight="15"/>
  <cols>
    <col min="1" max="1" width="10.5703125" style="111" customWidth="1"/>
    <col min="2" max="2" width="8.28515625" style="111" customWidth="1"/>
    <col min="3" max="3" width="11.42578125" style="111" bestFit="1" customWidth="1"/>
    <col min="4" max="4" width="12.85546875" style="111" customWidth="1"/>
    <col min="5" max="5" width="12.5703125" style="111" customWidth="1"/>
    <col min="6" max="6" width="12.28515625" style="111" customWidth="1"/>
    <col min="7" max="9" width="10" style="111" customWidth="1"/>
    <col min="10" max="10" width="9.42578125" style="111" customWidth="1"/>
    <col min="11" max="11" width="7.140625" style="111" customWidth="1"/>
    <col min="12" max="12" width="11.42578125" style="111" customWidth="1"/>
    <col min="13" max="13" width="7.7109375" style="111" customWidth="1"/>
    <col min="14" max="14" width="12.28515625" style="111" customWidth="1"/>
    <col min="15" max="15" width="7.7109375" style="111" customWidth="1"/>
    <col min="16" max="16" width="8.85546875" style="111" customWidth="1"/>
    <col min="17" max="16384" width="10"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558" t="s">
        <v>226</v>
      </c>
      <c r="C2" s="559"/>
      <c r="D2" s="559"/>
      <c r="E2" s="559"/>
      <c r="F2" s="559"/>
      <c r="G2" s="559"/>
      <c r="H2" s="559"/>
      <c r="I2" s="559"/>
      <c r="J2" s="559"/>
      <c r="K2" s="559"/>
      <c r="L2" s="559"/>
      <c r="M2" s="559"/>
      <c r="N2" s="559"/>
      <c r="O2" s="559"/>
      <c r="P2" s="560"/>
      <c r="S2" s="111" t="s">
        <v>227</v>
      </c>
    </row>
    <row r="3" spans="1:31" s="153" customFormat="1" ht="41.25" customHeight="1" thickBot="1">
      <c r="A3" s="151"/>
      <c r="B3" s="561" t="s">
        <v>93</v>
      </c>
      <c r="C3" s="152" t="s">
        <v>94</v>
      </c>
      <c r="D3" s="152" t="s">
        <v>95</v>
      </c>
      <c r="E3" s="152" t="s">
        <v>96</v>
      </c>
      <c r="F3" s="152"/>
      <c r="G3" s="152" t="s">
        <v>97</v>
      </c>
      <c r="H3" s="152" t="s">
        <v>98</v>
      </c>
      <c r="I3" s="152" t="s">
        <v>99</v>
      </c>
      <c r="J3" s="152" t="s">
        <v>100</v>
      </c>
      <c r="K3" s="152" t="s">
        <v>101</v>
      </c>
      <c r="L3" s="152" t="s">
        <v>102</v>
      </c>
      <c r="M3" s="152" t="s">
        <v>103</v>
      </c>
      <c r="N3" s="152" t="s">
        <v>104</v>
      </c>
      <c r="O3" s="152" t="s">
        <v>228</v>
      </c>
      <c r="P3" s="556"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562"/>
      <c r="C4" s="152"/>
      <c r="D4" s="152"/>
      <c r="E4" s="152" t="s">
        <v>18</v>
      </c>
      <c r="F4" s="152" t="s">
        <v>109</v>
      </c>
      <c r="G4" s="152"/>
      <c r="H4" s="152"/>
      <c r="I4" s="152"/>
      <c r="J4" s="152"/>
      <c r="K4" s="152"/>
      <c r="L4" s="152"/>
      <c r="M4" s="152"/>
      <c r="N4" s="152"/>
      <c r="O4" s="152"/>
      <c r="P4" s="557"/>
    </row>
    <row r="5" spans="1:31" ht="15.75">
      <c r="A5" s="110"/>
      <c r="B5" s="154" t="s">
        <v>111</v>
      </c>
      <c r="C5" s="122">
        <v>255.43799999999999</v>
      </c>
      <c r="D5" s="122">
        <v>80.007000000000005</v>
      </c>
      <c r="E5" s="122">
        <v>71.228999999999999</v>
      </c>
      <c r="F5" s="122">
        <v>12.058</v>
      </c>
      <c r="G5" s="122">
        <v>0.27700000000000002</v>
      </c>
      <c r="H5" s="122">
        <v>406.95100000000002</v>
      </c>
      <c r="I5" s="122">
        <v>-0.16300000000000001</v>
      </c>
      <c r="J5" s="122">
        <v>406.78800000000001</v>
      </c>
      <c r="K5" s="122">
        <v>104.955</v>
      </c>
      <c r="L5" s="122">
        <v>511.74299999999999</v>
      </c>
      <c r="M5" s="122">
        <v>114.19499999999999</v>
      </c>
      <c r="N5" s="122">
        <v>0</v>
      </c>
      <c r="O5" s="122">
        <v>397.548</v>
      </c>
      <c r="P5" s="155">
        <v>396.93599999999998</v>
      </c>
      <c r="Q5" s="156"/>
      <c r="R5" s="157"/>
      <c r="S5" s="124">
        <f>100*(C5/OBR_MAR24_1.1!C5)</f>
        <v>82.906421208423126</v>
      </c>
      <c r="T5" s="124">
        <f>100*(D5/OBR_MAR24_1.1!D5)</f>
        <v>85.731277391425493</v>
      </c>
      <c r="U5" s="124">
        <f>100*(E5/OBR_MAR24_1.1!E5)</f>
        <v>83.949933409548962</v>
      </c>
      <c r="V5" s="124">
        <f>100*(K5/OBR_MAR24_1.1!N5)</f>
        <v>74.815020743338607</v>
      </c>
      <c r="W5" s="124">
        <f>100*(M5/OBR_MAR24_1.1!P5)</f>
        <v>83.291394061399089</v>
      </c>
      <c r="X5" s="124">
        <f>100*(O5/OBR_MAR24_1.1!R5)</f>
        <v>81.16819081103263</v>
      </c>
    </row>
    <row r="6" spans="1:31" ht="15.75">
      <c r="A6" s="110"/>
      <c r="B6" s="154" t="s">
        <v>112</v>
      </c>
      <c r="C6" s="122">
        <v>256.14100000000002</v>
      </c>
      <c r="D6" s="122">
        <v>80.198999999999998</v>
      </c>
      <c r="E6" s="122">
        <v>72.373000000000005</v>
      </c>
      <c r="F6" s="122">
        <v>11.632999999999999</v>
      </c>
      <c r="G6" s="122">
        <v>-8.6999999999999994E-2</v>
      </c>
      <c r="H6" s="122">
        <v>408.62599999999998</v>
      </c>
      <c r="I6" s="122">
        <v>0.83</v>
      </c>
      <c r="J6" s="122">
        <v>409.45600000000002</v>
      </c>
      <c r="K6" s="122">
        <v>110.40900000000001</v>
      </c>
      <c r="L6" s="122">
        <v>519.86500000000001</v>
      </c>
      <c r="M6" s="122">
        <v>118.98399999999999</v>
      </c>
      <c r="N6" s="122">
        <v>0</v>
      </c>
      <c r="O6" s="122">
        <v>400.88099999999997</v>
      </c>
      <c r="P6" s="155">
        <v>396.09100000000001</v>
      </c>
      <c r="Q6" s="156"/>
      <c r="R6" s="157"/>
      <c r="S6" s="124">
        <f>100*(C6/OBR_MAR24_1.1!C6)</f>
        <v>84.12021254934416</v>
      </c>
      <c r="T6" s="124">
        <f>100*(D6/OBR_MAR24_1.1!D6)</f>
        <v>86.479113200629726</v>
      </c>
      <c r="U6" s="124">
        <f>100*(E6/OBR_MAR24_1.1!E6)</f>
        <v>84.351798972015985</v>
      </c>
      <c r="V6" s="124">
        <f>100*(K6/OBR_MAR24_1.1!N6)</f>
        <v>78.69213499162538</v>
      </c>
      <c r="W6" s="124">
        <f>100*(M6/OBR_MAR24_1.1!P6)</f>
        <v>87.325783652470051</v>
      </c>
      <c r="X6" s="124">
        <f>100*(O6/OBR_MAR24_1.1!R6)</f>
        <v>82.251234134751499</v>
      </c>
      <c r="AA6" s="124">
        <f>100*((T6/T5)-1)</f>
        <v>0.87230218883806998</v>
      </c>
    </row>
    <row r="7" spans="1:31" ht="15.75">
      <c r="A7" s="110"/>
      <c r="B7" s="154" t="s">
        <v>113</v>
      </c>
      <c r="C7" s="122">
        <v>255.81899999999999</v>
      </c>
      <c r="D7" s="122">
        <v>81.155000000000001</v>
      </c>
      <c r="E7" s="122">
        <v>69.19</v>
      </c>
      <c r="F7" s="122">
        <v>11.875</v>
      </c>
      <c r="G7" s="122">
        <v>-0.65800000000000003</v>
      </c>
      <c r="H7" s="122">
        <v>405.50599999999997</v>
      </c>
      <c r="I7" s="122">
        <v>0.85499999999999998</v>
      </c>
      <c r="J7" s="122">
        <v>406.36099999999999</v>
      </c>
      <c r="K7" s="122">
        <v>113.34</v>
      </c>
      <c r="L7" s="122">
        <v>519.70100000000002</v>
      </c>
      <c r="M7" s="122">
        <v>119.73099999999999</v>
      </c>
      <c r="N7" s="122">
        <v>0</v>
      </c>
      <c r="O7" s="122">
        <v>399.97</v>
      </c>
      <c r="P7" s="155">
        <v>395.56599999999997</v>
      </c>
      <c r="Q7" s="156"/>
      <c r="R7" s="157"/>
      <c r="S7" s="124">
        <f>100*(C7/OBR_MAR24_1.1!C7)</f>
        <v>85.377445074474451</v>
      </c>
      <c r="T7" s="124">
        <f>100*(D7/OBR_MAR24_1.1!D7)</f>
        <v>85.972011822409613</v>
      </c>
      <c r="U7" s="124">
        <f>100*(E7/OBR_MAR24_1.1!E7)</f>
        <v>85.080481536588664</v>
      </c>
      <c r="V7" s="124">
        <f>100*(K7/OBR_MAR24_1.1!N7)</f>
        <v>80.470868892265315</v>
      </c>
      <c r="W7" s="124">
        <f>100*(M7/OBR_MAR24_1.1!P7)</f>
        <v>89.477696153529976</v>
      </c>
      <c r="X7" s="124">
        <f>100*(O7/OBR_MAR24_1.1!R7)</f>
        <v>83.349309815950917</v>
      </c>
      <c r="AA7" s="124">
        <f t="shared" ref="Z7:AA70" si="0">100*((T7/T6)-1)</f>
        <v>-0.58638596009148447</v>
      </c>
    </row>
    <row r="8" spans="1:31" ht="15.75">
      <c r="A8" s="110"/>
      <c r="B8" s="154" t="s">
        <v>114</v>
      </c>
      <c r="C8" s="122">
        <v>247.92400000000001</v>
      </c>
      <c r="D8" s="122">
        <v>83.414000000000001</v>
      </c>
      <c r="E8" s="122">
        <v>68.459999999999994</v>
      </c>
      <c r="F8" s="122">
        <v>12.733000000000001</v>
      </c>
      <c r="G8" s="122">
        <v>0.27900000000000003</v>
      </c>
      <c r="H8" s="122">
        <v>400.077</v>
      </c>
      <c r="I8" s="122">
        <v>-2.2029999999999998</v>
      </c>
      <c r="J8" s="122">
        <v>397.87400000000002</v>
      </c>
      <c r="K8" s="122">
        <v>109.631</v>
      </c>
      <c r="L8" s="122">
        <v>507.505</v>
      </c>
      <c r="M8" s="122">
        <v>112.304</v>
      </c>
      <c r="N8" s="122">
        <v>0</v>
      </c>
      <c r="O8" s="122">
        <v>395.20100000000002</v>
      </c>
      <c r="P8" s="155">
        <v>383.976</v>
      </c>
      <c r="Q8" s="156"/>
      <c r="R8" s="157"/>
      <c r="S8" s="124">
        <f>100*(C8/OBR_MAR24_1.1!C8)</f>
        <v>84.797159792456895</v>
      </c>
      <c r="T8" s="124">
        <f>100*(D8/OBR_MAR24_1.1!D8)</f>
        <v>87.434225697574476</v>
      </c>
      <c r="U8" s="124">
        <f>100*(E8/OBR_MAR24_1.1!E8)</f>
        <v>85.59853959838955</v>
      </c>
      <c r="V8" s="124">
        <f>100*(K8/OBR_MAR24_1.1!N8)</f>
        <v>80.953892958412098</v>
      </c>
      <c r="W8" s="124">
        <f>100*(M8/OBR_MAR24_1.1!P8)</f>
        <v>88.620939995580954</v>
      </c>
      <c r="X8" s="124">
        <f>100*(O8/OBR_MAR24_1.1!R8)</f>
        <v>84.140099724501482</v>
      </c>
      <c r="AA8" s="124">
        <f t="shared" si="0"/>
        <v>1.7008022077991125</v>
      </c>
    </row>
    <row r="9" spans="1:31" ht="15.75">
      <c r="A9" s="110"/>
      <c r="B9" s="154" t="s">
        <v>115</v>
      </c>
      <c r="C9" s="122">
        <v>247.70699999999999</v>
      </c>
      <c r="D9" s="122">
        <v>84.238</v>
      </c>
      <c r="E9" s="122">
        <v>65.081000000000003</v>
      </c>
      <c r="F9" s="122">
        <v>13.271000000000001</v>
      </c>
      <c r="G9" s="122">
        <v>1.2809999999999999</v>
      </c>
      <c r="H9" s="122">
        <v>398.30700000000002</v>
      </c>
      <c r="I9" s="122">
        <v>-6.8570000000000002</v>
      </c>
      <c r="J9" s="122">
        <v>391.45</v>
      </c>
      <c r="K9" s="122">
        <v>103.636</v>
      </c>
      <c r="L9" s="122">
        <v>495.08600000000001</v>
      </c>
      <c r="M9" s="122">
        <v>108.34699999999999</v>
      </c>
      <c r="N9" s="122">
        <v>0</v>
      </c>
      <c r="O9" s="122">
        <v>386.73899999999998</v>
      </c>
      <c r="P9" s="155">
        <v>379.76299999999998</v>
      </c>
      <c r="Q9" s="156"/>
      <c r="R9" s="157"/>
      <c r="S9" s="124">
        <f>100*(C9/OBR_MAR24_1.1!C9)</f>
        <v>85.039686354211014</v>
      </c>
      <c r="T9" s="124">
        <f>100*(D9/OBR_MAR24_1.1!D9)</f>
        <v>88.856775173519537</v>
      </c>
      <c r="U9" s="124">
        <f>100*(E9/OBR_MAR24_1.1!E9)</f>
        <v>86.473738058224058</v>
      </c>
      <c r="V9" s="124">
        <f>100*(K9/OBR_MAR24_1.1!N9)</f>
        <v>81.781523480346891</v>
      </c>
      <c r="W9" s="124">
        <f>100*(M9/OBR_MAR24_1.1!P9)</f>
        <v>89.014771849685332</v>
      </c>
      <c r="X9" s="124">
        <f>100*(O9/OBR_MAR24_1.1!R9)</f>
        <v>84.05450929679094</v>
      </c>
      <c r="AA9" s="124">
        <f t="shared" si="0"/>
        <v>1.6269938512013749</v>
      </c>
    </row>
    <row r="10" spans="1:31" ht="15.75">
      <c r="A10" s="110"/>
      <c r="B10" s="154" t="s">
        <v>116</v>
      </c>
      <c r="C10" s="122">
        <v>248.136</v>
      </c>
      <c r="D10" s="122">
        <v>84.183999999999997</v>
      </c>
      <c r="E10" s="122">
        <v>62.024999999999999</v>
      </c>
      <c r="F10" s="122">
        <v>12.265000000000001</v>
      </c>
      <c r="G10" s="122">
        <v>0.51600000000000001</v>
      </c>
      <c r="H10" s="122">
        <v>394.86099999999999</v>
      </c>
      <c r="I10" s="122">
        <v>-3.7850000000000001</v>
      </c>
      <c r="J10" s="122">
        <v>391.07600000000002</v>
      </c>
      <c r="K10" s="122">
        <v>101.71599999999999</v>
      </c>
      <c r="L10" s="122">
        <v>492.79199999999997</v>
      </c>
      <c r="M10" s="122">
        <v>106.22799999999999</v>
      </c>
      <c r="N10" s="122">
        <v>0</v>
      </c>
      <c r="O10" s="122">
        <v>386.56400000000002</v>
      </c>
      <c r="P10" s="155">
        <v>380.72399999999999</v>
      </c>
      <c r="Q10" s="156"/>
      <c r="R10" s="157"/>
      <c r="S10" s="124">
        <f>100*(C10/OBR_MAR24_1.1!C10)</f>
        <v>85.237882587338106</v>
      </c>
      <c r="T10" s="124">
        <f>100*(D10/OBR_MAR24_1.1!D10)</f>
        <v>89.023306966710379</v>
      </c>
      <c r="U10" s="124">
        <f>100*(E10/OBR_MAR24_1.1!E10)</f>
        <v>86.07052162690978</v>
      </c>
      <c r="V10" s="124">
        <f>100*(K10/OBR_MAR24_1.1!N10)</f>
        <v>81.100302981980548</v>
      </c>
      <c r="W10" s="124">
        <f>100*(M10/OBR_MAR24_1.1!P10)</f>
        <v>87.065708267422892</v>
      </c>
      <c r="X10" s="124">
        <f>100*(O10/OBR_MAR24_1.1!R10)</f>
        <v>84.292377436496807</v>
      </c>
      <c r="AA10" s="124">
        <f t="shared" si="0"/>
        <v>0.18741597685223432</v>
      </c>
    </row>
    <row r="11" spans="1:31" ht="15.75">
      <c r="A11" s="110"/>
      <c r="B11" s="154" t="s">
        <v>117</v>
      </c>
      <c r="C11" s="122">
        <v>249.48099999999999</v>
      </c>
      <c r="D11" s="122">
        <v>86.206999999999994</v>
      </c>
      <c r="E11" s="122">
        <v>62.265000000000001</v>
      </c>
      <c r="F11" s="122">
        <v>13.497999999999999</v>
      </c>
      <c r="G11" s="122">
        <v>0.56999999999999995</v>
      </c>
      <c r="H11" s="122">
        <v>398.52300000000002</v>
      </c>
      <c r="I11" s="122">
        <v>-3.9169999999999998</v>
      </c>
      <c r="J11" s="122">
        <v>394.60599999999999</v>
      </c>
      <c r="K11" s="122">
        <v>102.63200000000001</v>
      </c>
      <c r="L11" s="122">
        <v>497.238</v>
      </c>
      <c r="M11" s="122">
        <v>108.614</v>
      </c>
      <c r="N11" s="122">
        <v>0</v>
      </c>
      <c r="O11" s="122">
        <v>388.62400000000002</v>
      </c>
      <c r="P11" s="155">
        <v>389.47899999999998</v>
      </c>
      <c r="Q11" s="156"/>
      <c r="R11" s="157"/>
      <c r="S11" s="124">
        <f>100*(C11/OBR_MAR24_1.1!C11)</f>
        <v>85.225052266236688</v>
      </c>
      <c r="T11" s="124">
        <f>100*(D11/OBR_MAR24_1.1!D11)</f>
        <v>90.399739938340218</v>
      </c>
      <c r="U11" s="124">
        <f>100*(E11/OBR_MAR24_1.1!E11)</f>
        <v>85.822387010516749</v>
      </c>
      <c r="V11" s="124">
        <f>100*(K11/OBR_MAR24_1.1!N11)</f>
        <v>82.218732976575765</v>
      </c>
      <c r="W11" s="124">
        <f>100*(M11/OBR_MAR24_1.1!P11)</f>
        <v>86.675551228543384</v>
      </c>
      <c r="X11" s="124">
        <f>100*(O11/OBR_MAR24_1.1!R11)</f>
        <v>84.690602015799513</v>
      </c>
      <c r="AA11" s="124">
        <f t="shared" si="0"/>
        <v>1.5461490013447321</v>
      </c>
    </row>
    <row r="12" spans="1:31" ht="15.75">
      <c r="A12" s="110"/>
      <c r="B12" s="154" t="s">
        <v>118</v>
      </c>
      <c r="C12" s="122">
        <v>250.34</v>
      </c>
      <c r="D12" s="122">
        <v>85.941999999999993</v>
      </c>
      <c r="E12" s="122">
        <v>60.697000000000003</v>
      </c>
      <c r="F12" s="122">
        <v>13.189</v>
      </c>
      <c r="G12" s="122">
        <v>-1.2999999999999999E-2</v>
      </c>
      <c r="H12" s="122">
        <v>396.96600000000001</v>
      </c>
      <c r="I12" s="122">
        <v>-6.0709999999999997</v>
      </c>
      <c r="J12" s="122">
        <v>390.89499999999998</v>
      </c>
      <c r="K12" s="122">
        <v>108.358</v>
      </c>
      <c r="L12" s="122">
        <v>499.25299999999999</v>
      </c>
      <c r="M12" s="122">
        <v>112.378</v>
      </c>
      <c r="N12" s="122">
        <v>0</v>
      </c>
      <c r="O12" s="122">
        <v>386.875</v>
      </c>
      <c r="P12" s="155">
        <v>385.82400000000001</v>
      </c>
      <c r="Q12" s="156"/>
      <c r="R12" s="157"/>
      <c r="S12" s="124">
        <f>100*(C12/OBR_MAR24_1.1!C12)</f>
        <v>84.88720249297242</v>
      </c>
      <c r="T12" s="124">
        <f>100*(D12/OBR_MAR24_1.1!D12)</f>
        <v>89.42045572781187</v>
      </c>
      <c r="U12" s="124">
        <f>100*(E12/OBR_MAR24_1.1!E12)</f>
        <v>85.087264316254306</v>
      </c>
      <c r="V12" s="124">
        <f>100*(K12/OBR_MAR24_1.1!N12)</f>
        <v>82.92936791593641</v>
      </c>
      <c r="W12" s="124">
        <f>100*(M12/OBR_MAR24_1.1!P12)</f>
        <v>88.243423635649791</v>
      </c>
      <c r="X12" s="124">
        <f>100*(O12/OBR_MAR24_1.1!R12)</f>
        <v>84.05976907599981</v>
      </c>
      <c r="AA12" s="124">
        <f t="shared" si="0"/>
        <v>-1.0832821103205603</v>
      </c>
    </row>
    <row r="13" spans="1:31" ht="15.75">
      <c r="A13" s="110"/>
      <c r="B13" s="154" t="s">
        <v>119</v>
      </c>
      <c r="C13" s="122">
        <v>249.15899999999999</v>
      </c>
      <c r="D13" s="122">
        <v>86.855999999999995</v>
      </c>
      <c r="E13" s="122">
        <v>63.512</v>
      </c>
      <c r="F13" s="122">
        <v>13.272</v>
      </c>
      <c r="G13" s="122">
        <v>-0.221</v>
      </c>
      <c r="H13" s="122">
        <v>399.30599999999998</v>
      </c>
      <c r="I13" s="122">
        <v>1.601</v>
      </c>
      <c r="J13" s="122">
        <v>400.90699999999998</v>
      </c>
      <c r="K13" s="122">
        <v>110.685</v>
      </c>
      <c r="L13" s="122">
        <v>511.59199999999998</v>
      </c>
      <c r="M13" s="122">
        <v>115.479</v>
      </c>
      <c r="N13" s="122">
        <v>0</v>
      </c>
      <c r="O13" s="122">
        <v>396.113</v>
      </c>
      <c r="P13" s="155">
        <v>396.24799999999999</v>
      </c>
      <c r="Q13" s="156"/>
      <c r="R13" s="157"/>
      <c r="S13" s="124">
        <f>100*(C13/OBR_MAR24_1.1!C13)</f>
        <v>84.902458555534736</v>
      </c>
      <c r="T13" s="124">
        <f>100*(D13/OBR_MAR24_1.1!D13)</f>
        <v>91.615421127577648</v>
      </c>
      <c r="U13" s="124">
        <f>100*(E13/OBR_MAR24_1.1!E13)</f>
        <v>84.527136735074123</v>
      </c>
      <c r="V13" s="124">
        <f>100*(K13/OBR_MAR24_1.1!N13)</f>
        <v>84.762831018057625</v>
      </c>
      <c r="W13" s="124">
        <f>100*(M13/OBR_MAR24_1.1!P13)</f>
        <v>89.051258125959123</v>
      </c>
      <c r="X13" s="124">
        <f>100*(O13/OBR_MAR24_1.1!R13)</f>
        <v>85.269393791317484</v>
      </c>
      <c r="AA13" s="124">
        <f t="shared" si="0"/>
        <v>2.4546569147970709</v>
      </c>
    </row>
    <row r="14" spans="1:31" ht="15.75">
      <c r="A14" s="110"/>
      <c r="B14" s="154" t="s">
        <v>120</v>
      </c>
      <c r="C14" s="122">
        <v>257.44900000000001</v>
      </c>
      <c r="D14" s="122">
        <v>86.19</v>
      </c>
      <c r="E14" s="122">
        <v>62.845999999999997</v>
      </c>
      <c r="F14" s="122">
        <v>12.714</v>
      </c>
      <c r="G14" s="122">
        <v>-0.36199999999999999</v>
      </c>
      <c r="H14" s="122">
        <v>406.12299999999999</v>
      </c>
      <c r="I14" s="122">
        <v>0.26100000000000001</v>
      </c>
      <c r="J14" s="122">
        <v>406.38400000000001</v>
      </c>
      <c r="K14" s="122">
        <v>115.919</v>
      </c>
      <c r="L14" s="122">
        <v>522.303</v>
      </c>
      <c r="M14" s="122">
        <v>120.992</v>
      </c>
      <c r="N14" s="122">
        <v>0</v>
      </c>
      <c r="O14" s="122">
        <v>401.31099999999998</v>
      </c>
      <c r="P14" s="155">
        <v>401.77499999999998</v>
      </c>
      <c r="Q14" s="156"/>
      <c r="R14" s="157"/>
      <c r="S14" s="124">
        <f>100*(C14/OBR_MAR24_1.1!C14)</f>
        <v>85.64732261670305</v>
      </c>
      <c r="T14" s="124">
        <f>100*(D14/OBR_MAR24_1.1!D14)</f>
        <v>90.609000977681518</v>
      </c>
      <c r="U14" s="124">
        <f>100*(E14/OBR_MAR24_1.1!E14)</f>
        <v>84.901785955526719</v>
      </c>
      <c r="V14" s="124">
        <f>100*(K14/OBR_MAR24_1.1!N14)</f>
        <v>85.933399558171601</v>
      </c>
      <c r="W14" s="124">
        <f>100*(M14/OBR_MAR24_1.1!P14)</f>
        <v>90.437642486078417</v>
      </c>
      <c r="X14" s="124">
        <f>100*(O14/OBR_MAR24_1.1!R14)</f>
        <v>85.456957534614119</v>
      </c>
      <c r="AA14" s="124">
        <f t="shared" si="0"/>
        <v>-1.0985270138033409</v>
      </c>
    </row>
    <row r="15" spans="1:31" ht="15.75">
      <c r="A15" s="110"/>
      <c r="B15" s="154" t="s">
        <v>121</v>
      </c>
      <c r="C15" s="122">
        <v>259.351</v>
      </c>
      <c r="D15" s="122">
        <v>85.911000000000001</v>
      </c>
      <c r="E15" s="122">
        <v>65.225999999999999</v>
      </c>
      <c r="F15" s="122">
        <v>13.003</v>
      </c>
      <c r="G15" s="122">
        <v>0.44700000000000001</v>
      </c>
      <c r="H15" s="122">
        <v>410.935</v>
      </c>
      <c r="I15" s="122">
        <v>1.0960000000000001</v>
      </c>
      <c r="J15" s="122">
        <v>412.03100000000001</v>
      </c>
      <c r="K15" s="122">
        <v>116.69799999999999</v>
      </c>
      <c r="L15" s="122">
        <v>528.72900000000004</v>
      </c>
      <c r="M15" s="122">
        <v>124.53</v>
      </c>
      <c r="N15" s="122">
        <v>0</v>
      </c>
      <c r="O15" s="122">
        <v>404.19900000000001</v>
      </c>
      <c r="P15" s="155">
        <v>403.67500000000001</v>
      </c>
      <c r="Q15" s="156"/>
      <c r="R15" s="157"/>
      <c r="S15" s="124">
        <f>100*(C15/OBR_MAR24_1.1!C15)</f>
        <v>86.208661718316321</v>
      </c>
      <c r="T15" s="124">
        <f>100*(D15/OBR_MAR24_1.1!D15)</f>
        <v>90.302406003973218</v>
      </c>
      <c r="U15" s="124">
        <f>100*(E15/OBR_MAR24_1.1!E15)</f>
        <v>84.820348769164738</v>
      </c>
      <c r="V15" s="124">
        <f>100*(K15/OBR_MAR24_1.1!N15)</f>
        <v>85.612835542774135</v>
      </c>
      <c r="W15" s="124">
        <f>100*(M15/OBR_MAR24_1.1!P15)</f>
        <v>90.171175346115959</v>
      </c>
      <c r="X15" s="124">
        <f>100*(O15/OBR_MAR24_1.1!R15)</f>
        <v>85.59929182399793</v>
      </c>
      <c r="AA15" s="124">
        <f t="shared" si="0"/>
        <v>-0.33837143153561122</v>
      </c>
    </row>
    <row r="16" spans="1:31" ht="15.75">
      <c r="A16" s="110"/>
      <c r="B16" s="154" t="s">
        <v>122</v>
      </c>
      <c r="C16" s="122">
        <v>261.15699999999998</v>
      </c>
      <c r="D16" s="122">
        <v>87.358999999999995</v>
      </c>
      <c r="E16" s="122">
        <v>66.706000000000003</v>
      </c>
      <c r="F16" s="122">
        <v>12.587999999999999</v>
      </c>
      <c r="G16" s="122">
        <v>0.57399999999999995</v>
      </c>
      <c r="H16" s="122">
        <v>415.79599999999999</v>
      </c>
      <c r="I16" s="122">
        <v>-1.4830000000000001</v>
      </c>
      <c r="J16" s="122">
        <v>414.31299999999999</v>
      </c>
      <c r="K16" s="122">
        <v>120.874</v>
      </c>
      <c r="L16" s="122">
        <v>535.18700000000001</v>
      </c>
      <c r="M16" s="122">
        <v>128.25700000000001</v>
      </c>
      <c r="N16" s="122">
        <v>0</v>
      </c>
      <c r="O16" s="122">
        <v>406.93</v>
      </c>
      <c r="P16" s="155">
        <v>407.56200000000001</v>
      </c>
      <c r="Q16" s="156"/>
      <c r="R16" s="157"/>
      <c r="S16" s="124">
        <f>100*(C16/OBR_MAR24_1.1!C16)</f>
        <v>86.953206677720729</v>
      </c>
      <c r="T16" s="124">
        <f>100*(D16/OBR_MAR24_1.1!D16)</f>
        <v>91.288037117538863</v>
      </c>
      <c r="U16" s="124">
        <f>100*(E16/OBR_MAR24_1.1!E16)</f>
        <v>84.466843098274097</v>
      </c>
      <c r="V16" s="124">
        <f>100*(K16/OBR_MAR24_1.1!N16)</f>
        <v>86.912191895078948</v>
      </c>
      <c r="W16" s="124">
        <f>100*(M16/OBR_MAR24_1.1!P16)</f>
        <v>92.060609540762854</v>
      </c>
      <c r="X16" s="124">
        <f>100*(O16/OBR_MAR24_1.1!R16)</f>
        <v>86.102341878750437</v>
      </c>
      <c r="AA16" s="124">
        <f t="shared" si="0"/>
        <v>1.0914782420329727</v>
      </c>
    </row>
    <row r="17" spans="1:27" ht="15.75">
      <c r="A17" s="110"/>
      <c r="B17" s="154" t="s">
        <v>123</v>
      </c>
      <c r="C17" s="122">
        <v>263.60199999999998</v>
      </c>
      <c r="D17" s="122">
        <v>89.47</v>
      </c>
      <c r="E17" s="122">
        <v>64.274000000000001</v>
      </c>
      <c r="F17" s="122">
        <v>13.122</v>
      </c>
      <c r="G17" s="122">
        <v>-1.752</v>
      </c>
      <c r="H17" s="122">
        <v>415.59399999999999</v>
      </c>
      <c r="I17" s="122">
        <v>-1.655</v>
      </c>
      <c r="J17" s="122">
        <v>413.93900000000002</v>
      </c>
      <c r="K17" s="122">
        <v>128.71700000000001</v>
      </c>
      <c r="L17" s="122">
        <v>542.65599999999995</v>
      </c>
      <c r="M17" s="122">
        <v>127.92400000000001</v>
      </c>
      <c r="N17" s="122">
        <v>0</v>
      </c>
      <c r="O17" s="122">
        <v>414.73200000000003</v>
      </c>
      <c r="P17" s="155">
        <v>416.43299999999999</v>
      </c>
      <c r="Q17" s="156"/>
      <c r="R17" s="157"/>
      <c r="S17" s="124">
        <f>100*(C17/OBR_MAR24_1.1!C17)</f>
        <v>88.539049589552732</v>
      </c>
      <c r="T17" s="124">
        <f>100*(D17/OBR_MAR24_1.1!D17)</f>
        <v>92.944256300513189</v>
      </c>
      <c r="U17" s="124">
        <f>100*(E17/OBR_MAR24_1.1!E17)</f>
        <v>84.657938410473903</v>
      </c>
      <c r="V17" s="124">
        <f>100*(K17/OBR_MAR24_1.1!N17)</f>
        <v>88.896025415242249</v>
      </c>
      <c r="W17" s="124">
        <f>100*(M17/OBR_MAR24_1.1!P17)</f>
        <v>94.040329042644686</v>
      </c>
      <c r="X17" s="124">
        <f>100*(O17/OBR_MAR24_1.1!R17)</f>
        <v>87.529626291896278</v>
      </c>
      <c r="AA17" s="124">
        <f t="shared" si="0"/>
        <v>1.8142784479436624</v>
      </c>
    </row>
    <row r="18" spans="1:27" ht="15.75">
      <c r="A18" s="110"/>
      <c r="B18" s="154" t="s">
        <v>124</v>
      </c>
      <c r="C18" s="122">
        <v>263.80900000000003</v>
      </c>
      <c r="D18" s="122">
        <v>85.138000000000005</v>
      </c>
      <c r="E18" s="122">
        <v>64.167000000000002</v>
      </c>
      <c r="F18" s="122">
        <v>11.475</v>
      </c>
      <c r="G18" s="122">
        <v>0.44400000000000001</v>
      </c>
      <c r="H18" s="122">
        <v>413.55799999999999</v>
      </c>
      <c r="I18" s="122">
        <v>4.5209999999999999</v>
      </c>
      <c r="J18" s="122">
        <v>418.07900000000001</v>
      </c>
      <c r="K18" s="122">
        <v>129.20099999999999</v>
      </c>
      <c r="L18" s="122">
        <v>547.28</v>
      </c>
      <c r="M18" s="122">
        <v>134.91399999999999</v>
      </c>
      <c r="N18" s="122">
        <v>0</v>
      </c>
      <c r="O18" s="122">
        <v>412.36599999999999</v>
      </c>
      <c r="P18" s="155">
        <v>417.19099999999997</v>
      </c>
      <c r="Q18" s="156"/>
      <c r="R18" s="157"/>
      <c r="S18" s="124">
        <f>100*(C18/OBR_MAR24_1.1!C18)</f>
        <v>88.8212894471922</v>
      </c>
      <c r="T18" s="124">
        <f>100*(D18/OBR_MAR24_1.1!D18)</f>
        <v>90.015965151563222</v>
      </c>
      <c r="U18" s="124">
        <f>100*(E18/OBR_MAR24_1.1!E18)</f>
        <v>85.434113997363752</v>
      </c>
      <c r="V18" s="124">
        <f>100*(K18/OBR_MAR24_1.1!N18)</f>
        <v>90.539025381564372</v>
      </c>
      <c r="W18" s="124">
        <f>100*(M18/OBR_MAR24_1.1!P18)</f>
        <v>96.305232350631726</v>
      </c>
      <c r="X18" s="124">
        <f>100*(O18/OBR_MAR24_1.1!R18)</f>
        <v>86.930106563511217</v>
      </c>
      <c r="AA18" s="124">
        <f t="shared" si="0"/>
        <v>-3.1505886060156696</v>
      </c>
    </row>
    <row r="19" spans="1:27" ht="15.75">
      <c r="A19" s="110"/>
      <c r="B19" s="154" t="s">
        <v>125</v>
      </c>
      <c r="C19" s="122">
        <v>266.76600000000002</v>
      </c>
      <c r="D19" s="122">
        <v>85.795000000000002</v>
      </c>
      <c r="E19" s="122">
        <v>66.019000000000005</v>
      </c>
      <c r="F19" s="122">
        <v>11.891</v>
      </c>
      <c r="G19" s="122">
        <v>1.5449999999999999</v>
      </c>
      <c r="H19" s="122">
        <v>420.125</v>
      </c>
      <c r="I19" s="122">
        <v>1.1479999999999999</v>
      </c>
      <c r="J19" s="122">
        <v>421.27300000000002</v>
      </c>
      <c r="K19" s="122">
        <v>131.161</v>
      </c>
      <c r="L19" s="122">
        <v>552.43399999999997</v>
      </c>
      <c r="M19" s="122">
        <v>136.38499999999999</v>
      </c>
      <c r="N19" s="122">
        <v>0</v>
      </c>
      <c r="O19" s="122">
        <v>416.04899999999998</v>
      </c>
      <c r="P19" s="155">
        <v>415.60300000000001</v>
      </c>
      <c r="Q19" s="156"/>
      <c r="R19" s="157"/>
      <c r="S19" s="124">
        <f>100*(C19/OBR_MAR24_1.1!C19)</f>
        <v>89.516989590813623</v>
      </c>
      <c r="T19" s="124">
        <f>100*(D19/OBR_MAR24_1.1!D19)</f>
        <v>90.862395814579074</v>
      </c>
      <c r="U19" s="124">
        <f>100*(E19/OBR_MAR24_1.1!E19)</f>
        <v>85.935384775590975</v>
      </c>
      <c r="V19" s="124">
        <f>100*(K19/OBR_MAR24_1.1!N19)</f>
        <v>90.873881925824307</v>
      </c>
      <c r="W19" s="124">
        <f>100*(M19/OBR_MAR24_1.1!P19)</f>
        <v>97.53141157204459</v>
      </c>
      <c r="X19" s="124">
        <f>100*(O19/OBR_MAR24_1.1!R19)</f>
        <v>87.439603373594238</v>
      </c>
      <c r="AA19" s="124">
        <f t="shared" si="0"/>
        <v>0.94031171202872965</v>
      </c>
    </row>
    <row r="20" spans="1:27" ht="15.75">
      <c r="A20" s="110"/>
      <c r="B20" s="154" t="s">
        <v>126</v>
      </c>
      <c r="C20" s="122">
        <v>269.28899999999999</v>
      </c>
      <c r="D20" s="122">
        <v>87.016000000000005</v>
      </c>
      <c r="E20" s="122">
        <v>66.760000000000005</v>
      </c>
      <c r="F20" s="122">
        <v>11.551</v>
      </c>
      <c r="G20" s="122">
        <v>0.439</v>
      </c>
      <c r="H20" s="122">
        <v>423.50400000000002</v>
      </c>
      <c r="I20" s="122">
        <v>-1.0669999999999999</v>
      </c>
      <c r="J20" s="122">
        <v>422.43700000000001</v>
      </c>
      <c r="K20" s="122">
        <v>132.768</v>
      </c>
      <c r="L20" s="122">
        <v>555.20500000000004</v>
      </c>
      <c r="M20" s="122">
        <v>135.762</v>
      </c>
      <c r="N20" s="122">
        <v>0</v>
      </c>
      <c r="O20" s="122">
        <v>419.44299999999998</v>
      </c>
      <c r="P20" s="155">
        <v>420.30799999999999</v>
      </c>
      <c r="Q20" s="156"/>
      <c r="R20" s="157"/>
      <c r="S20" s="124">
        <f>100*(C20/OBR_MAR24_1.1!C20)</f>
        <v>90.205306687122516</v>
      </c>
      <c r="T20" s="124">
        <f>100*(D20/OBR_MAR24_1.1!D20)</f>
        <v>91.356339699104467</v>
      </c>
      <c r="U20" s="124">
        <f>100*(E20/OBR_MAR24_1.1!E20)</f>
        <v>86.140823989367874</v>
      </c>
      <c r="V20" s="124">
        <f>100*(K20/OBR_MAR24_1.1!N20)</f>
        <v>90.624765363166631</v>
      </c>
      <c r="W20" s="124">
        <f>100*(M20/OBR_MAR24_1.1!P20)</f>
        <v>96.445849465421091</v>
      </c>
      <c r="X20" s="124">
        <f>100*(O20/OBR_MAR24_1.1!R20)</f>
        <v>88.029692809126942</v>
      </c>
      <c r="AA20" s="124">
        <f t="shared" si="0"/>
        <v>0.54361749995386344</v>
      </c>
    </row>
    <row r="21" spans="1:27" ht="15.75">
      <c r="A21" s="110"/>
      <c r="B21" s="154" t="s">
        <v>127</v>
      </c>
      <c r="C21" s="122">
        <v>269.54199999999997</v>
      </c>
      <c r="D21" s="122">
        <v>90.58</v>
      </c>
      <c r="E21" s="122">
        <v>68.143000000000001</v>
      </c>
      <c r="F21" s="122">
        <v>11.71</v>
      </c>
      <c r="G21" s="122">
        <v>-1.149</v>
      </c>
      <c r="H21" s="122">
        <v>427.11599999999999</v>
      </c>
      <c r="I21" s="122">
        <v>-2.1190000000000002</v>
      </c>
      <c r="J21" s="122">
        <v>424.99700000000001</v>
      </c>
      <c r="K21" s="122">
        <v>135.898</v>
      </c>
      <c r="L21" s="122">
        <v>560.89499999999998</v>
      </c>
      <c r="M21" s="122">
        <v>136.191</v>
      </c>
      <c r="N21" s="122">
        <v>0</v>
      </c>
      <c r="O21" s="122">
        <v>424.70400000000001</v>
      </c>
      <c r="P21" s="155">
        <v>422.21300000000002</v>
      </c>
      <c r="Q21" s="156"/>
      <c r="R21" s="157"/>
      <c r="S21" s="124">
        <f>100*(C21/OBR_MAR24_1.1!C21)</f>
        <v>90.277959198711173</v>
      </c>
      <c r="T21" s="124">
        <f>100*(D21/OBR_MAR24_1.1!D21)</f>
        <v>92.214032658712384</v>
      </c>
      <c r="U21" s="124">
        <f>100*(E21/OBR_MAR24_1.1!E21)</f>
        <v>86.635306083529343</v>
      </c>
      <c r="V21" s="124">
        <f>100*(K21/OBR_MAR24_1.1!N21)</f>
        <v>90.559424249491883</v>
      </c>
      <c r="W21" s="124">
        <f>100*(M21/OBR_MAR24_1.1!P21)</f>
        <v>95.999746239409006</v>
      </c>
      <c r="X21" s="124">
        <f>100*(O21/OBR_MAR24_1.1!R21)</f>
        <v>88.363654521546636</v>
      </c>
      <c r="AA21" s="124">
        <f t="shared" si="0"/>
        <v>0.93884339328047517</v>
      </c>
    </row>
    <row r="22" spans="1:27" ht="15.75">
      <c r="A22" s="110"/>
      <c r="B22" s="154" t="s">
        <v>128</v>
      </c>
      <c r="C22" s="122">
        <v>273.13099999999997</v>
      </c>
      <c r="D22" s="122">
        <v>86.96</v>
      </c>
      <c r="E22" s="122">
        <v>66.673000000000002</v>
      </c>
      <c r="F22" s="122">
        <v>11.725</v>
      </c>
      <c r="G22" s="122">
        <v>0.90400000000000003</v>
      </c>
      <c r="H22" s="122">
        <v>427.66800000000001</v>
      </c>
      <c r="I22" s="122">
        <v>5.641</v>
      </c>
      <c r="J22" s="122">
        <v>433.30900000000003</v>
      </c>
      <c r="K22" s="122">
        <v>128.65899999999999</v>
      </c>
      <c r="L22" s="122">
        <v>561.96799999999996</v>
      </c>
      <c r="M22" s="122">
        <v>136.96100000000001</v>
      </c>
      <c r="N22" s="122">
        <v>0</v>
      </c>
      <c r="O22" s="122">
        <v>425.00700000000001</v>
      </c>
      <c r="P22" s="155">
        <v>421.38200000000001</v>
      </c>
      <c r="Q22" s="156"/>
      <c r="R22" s="157"/>
      <c r="S22" s="124">
        <f>100*(C22/OBR_MAR24_1.1!C22)</f>
        <v>90.76260513277218</v>
      </c>
      <c r="T22" s="124">
        <f>100*(D22/OBR_MAR24_1.1!D22)</f>
        <v>91.568650162688087</v>
      </c>
      <c r="U22" s="124">
        <f>100*(E22/OBR_MAR24_1.1!E22)</f>
        <v>86.989366560114817</v>
      </c>
      <c r="V22" s="124">
        <f>100*(K22/OBR_MAR24_1.1!N22)</f>
        <v>89.954344284645558</v>
      </c>
      <c r="W22" s="124">
        <f>100*(M22/OBR_MAR24_1.1!P22)</f>
        <v>94.757779960979121</v>
      </c>
      <c r="X22" s="124">
        <f>100*(O22/OBR_MAR24_1.1!R22)</f>
        <v>88.546998931203248</v>
      </c>
      <c r="AA22" s="124">
        <f t="shared" si="0"/>
        <v>-0.69987449568861271</v>
      </c>
    </row>
    <row r="23" spans="1:27" ht="15.75">
      <c r="A23" s="110"/>
      <c r="B23" s="154" t="s">
        <v>129</v>
      </c>
      <c r="C23" s="122">
        <v>275.8</v>
      </c>
      <c r="D23" s="122">
        <v>87.93</v>
      </c>
      <c r="E23" s="122">
        <v>66.319999999999993</v>
      </c>
      <c r="F23" s="122">
        <v>11.019</v>
      </c>
      <c r="G23" s="122">
        <v>0.40600000000000003</v>
      </c>
      <c r="H23" s="122">
        <v>430.45600000000002</v>
      </c>
      <c r="I23" s="122">
        <v>4.4249999999999998</v>
      </c>
      <c r="J23" s="122">
        <v>434.88099999999997</v>
      </c>
      <c r="K23" s="122">
        <v>131.40899999999999</v>
      </c>
      <c r="L23" s="122">
        <v>566.29</v>
      </c>
      <c r="M23" s="122">
        <v>135.35300000000001</v>
      </c>
      <c r="N23" s="122">
        <v>0</v>
      </c>
      <c r="O23" s="122">
        <v>430.93700000000001</v>
      </c>
      <c r="P23" s="155">
        <v>427.49200000000002</v>
      </c>
      <c r="Q23" s="156"/>
      <c r="R23" s="157"/>
      <c r="S23" s="124">
        <f>100*(C23/OBR_MAR24_1.1!C23)</f>
        <v>90.61042118404626</v>
      </c>
      <c r="T23" s="124">
        <f>100*(D23/OBR_MAR24_1.1!D23)</f>
        <v>91.726562418501786</v>
      </c>
      <c r="U23" s="124">
        <f>100*(E23/OBR_MAR24_1.1!E23)</f>
        <v>87.336704593341736</v>
      </c>
      <c r="V23" s="124">
        <f>100*(K23/OBR_MAR24_1.1!N23)</f>
        <v>89.623728882917419</v>
      </c>
      <c r="W23" s="124">
        <f>100*(M23/OBR_MAR24_1.1!P23)</f>
        <v>94.557889662784774</v>
      </c>
      <c r="X23" s="124">
        <f>100*(O23/OBR_MAR24_1.1!R23)</f>
        <v>88.930184758315974</v>
      </c>
      <c r="AA23" s="124">
        <f t="shared" si="0"/>
        <v>0.17245231368283598</v>
      </c>
    </row>
    <row r="24" spans="1:27" ht="15.75">
      <c r="A24" s="110"/>
      <c r="B24" s="154" t="s">
        <v>130</v>
      </c>
      <c r="C24" s="122">
        <v>281.57799999999997</v>
      </c>
      <c r="D24" s="122">
        <v>89.914000000000001</v>
      </c>
      <c r="E24" s="122">
        <v>68.882999999999996</v>
      </c>
      <c r="F24" s="122">
        <v>10.798</v>
      </c>
      <c r="G24" s="122">
        <v>0.191</v>
      </c>
      <c r="H24" s="122">
        <v>440.56599999999997</v>
      </c>
      <c r="I24" s="122">
        <v>-3.0920000000000001</v>
      </c>
      <c r="J24" s="122">
        <v>437.47399999999999</v>
      </c>
      <c r="K24" s="122">
        <v>128.749</v>
      </c>
      <c r="L24" s="122">
        <v>566.22299999999996</v>
      </c>
      <c r="M24" s="122">
        <v>133.15600000000001</v>
      </c>
      <c r="N24" s="122">
        <v>0</v>
      </c>
      <c r="O24" s="122">
        <v>433.06700000000001</v>
      </c>
      <c r="P24" s="155">
        <v>426.66800000000001</v>
      </c>
      <c r="Q24" s="156"/>
      <c r="R24" s="157"/>
      <c r="S24" s="124">
        <f>100*(C24/OBR_MAR24_1.1!C24)</f>
        <v>91.442507850835739</v>
      </c>
      <c r="T24" s="124">
        <f>100*(D24/OBR_MAR24_1.1!D24)</f>
        <v>92.568875344891495</v>
      </c>
      <c r="U24" s="124">
        <f>100*(E24/OBR_MAR24_1.1!E24)</f>
        <v>87.209125667839857</v>
      </c>
      <c r="V24" s="124">
        <f>100*(K24/OBR_MAR24_1.1!N24)</f>
        <v>90.025452053645083</v>
      </c>
      <c r="W24" s="124">
        <f>100*(M24/OBR_MAR24_1.1!P24)</f>
        <v>94.54550618441047</v>
      </c>
      <c r="X24" s="124">
        <f>100*(O24/OBR_MAR24_1.1!R24)</f>
        <v>89.469443577893529</v>
      </c>
      <c r="AA24" s="124">
        <f t="shared" si="0"/>
        <v>0.91828681265375689</v>
      </c>
    </row>
    <row r="25" spans="1:27" ht="15.75">
      <c r="A25" s="110"/>
      <c r="B25" s="154" t="s">
        <v>131</v>
      </c>
      <c r="C25" s="122">
        <v>282.66300000000001</v>
      </c>
      <c r="D25" s="122">
        <v>89.334000000000003</v>
      </c>
      <c r="E25" s="122">
        <v>67.495999999999995</v>
      </c>
      <c r="F25" s="122">
        <v>10.116</v>
      </c>
      <c r="G25" s="122">
        <v>0.86799999999999999</v>
      </c>
      <c r="H25" s="122">
        <v>440.36099999999999</v>
      </c>
      <c r="I25" s="122">
        <v>-0.71199999999999997</v>
      </c>
      <c r="J25" s="122">
        <v>439.649</v>
      </c>
      <c r="K25" s="122">
        <v>135.47999999999999</v>
      </c>
      <c r="L25" s="122">
        <v>575.12900000000002</v>
      </c>
      <c r="M25" s="122">
        <v>137.02600000000001</v>
      </c>
      <c r="N25" s="122">
        <v>0</v>
      </c>
      <c r="O25" s="122">
        <v>438.10300000000001</v>
      </c>
      <c r="P25" s="155">
        <v>427.22500000000002</v>
      </c>
      <c r="Q25" s="156"/>
      <c r="R25" s="157"/>
      <c r="S25" s="124">
        <f>100*(C25/OBR_MAR24_1.1!C25)</f>
        <v>92.291793868828591</v>
      </c>
      <c r="T25" s="124">
        <f>100*(D25/OBR_MAR24_1.1!D25)</f>
        <v>93.1493993993994</v>
      </c>
      <c r="U25" s="124">
        <f>100*(E25/OBR_MAR24_1.1!E25)</f>
        <v>88.00573701023535</v>
      </c>
      <c r="V25" s="124">
        <f>100*(K25/OBR_MAR24_1.1!N25)</f>
        <v>92.720217360060772</v>
      </c>
      <c r="W25" s="124">
        <f>100*(M25/OBR_MAR24_1.1!P25)</f>
        <v>97.036349859430217</v>
      </c>
      <c r="X25" s="124">
        <f>100*(O25/OBR_MAR24_1.1!R25)</f>
        <v>90.254404018054885</v>
      </c>
      <c r="AA25" s="124">
        <f t="shared" si="0"/>
        <v>0.62712661501502787</v>
      </c>
    </row>
    <row r="26" spans="1:27" ht="15.75">
      <c r="A26" s="110"/>
      <c r="B26" s="154" t="s">
        <v>132</v>
      </c>
      <c r="C26" s="122">
        <v>287.08999999999997</v>
      </c>
      <c r="D26" s="122">
        <v>89.024000000000001</v>
      </c>
      <c r="E26" s="122">
        <v>70.448999999999998</v>
      </c>
      <c r="F26" s="122">
        <v>10.792</v>
      </c>
      <c r="G26" s="122">
        <v>3.387</v>
      </c>
      <c r="H26" s="122">
        <v>449.95</v>
      </c>
      <c r="I26" s="122">
        <v>-0.91600000000000004</v>
      </c>
      <c r="J26" s="122">
        <v>449.03399999999999</v>
      </c>
      <c r="K26" s="122">
        <v>136.06700000000001</v>
      </c>
      <c r="L26" s="122">
        <v>585.101</v>
      </c>
      <c r="M26" s="122">
        <v>142.81800000000001</v>
      </c>
      <c r="N26" s="122">
        <v>0</v>
      </c>
      <c r="O26" s="122">
        <v>442.28300000000002</v>
      </c>
      <c r="P26" s="155">
        <v>437.66800000000001</v>
      </c>
      <c r="Q26" s="156"/>
      <c r="R26" s="157"/>
      <c r="S26" s="124">
        <f>100*(C26/OBR_MAR24_1.1!C26)</f>
        <v>92.819569413415493</v>
      </c>
      <c r="T26" s="124">
        <f>100*(D26/OBR_MAR24_1.1!D26)</f>
        <v>92.269104401811717</v>
      </c>
      <c r="U26" s="124">
        <f>100*(E26/OBR_MAR24_1.1!E26)</f>
        <v>88.175878642234906</v>
      </c>
      <c r="V26" s="124">
        <f>100*(K26/OBR_MAR24_1.1!N26)</f>
        <v>92.234431241230183</v>
      </c>
      <c r="W26" s="124">
        <f>100*(M26/OBR_MAR24_1.1!P26)</f>
        <v>96.262545243760243</v>
      </c>
      <c r="X26" s="124">
        <f>100*(O26/OBR_MAR24_1.1!R26)</f>
        <v>90.459370462029327</v>
      </c>
      <c r="AA26" s="124">
        <f t="shared" si="0"/>
        <v>-0.94503561296538363</v>
      </c>
    </row>
    <row r="27" spans="1:27" ht="15.75">
      <c r="A27" s="110"/>
      <c r="B27" s="154" t="s">
        <v>133</v>
      </c>
      <c r="C27" s="122">
        <v>291.07400000000001</v>
      </c>
      <c r="D27" s="122">
        <v>88.477999999999994</v>
      </c>
      <c r="E27" s="122">
        <v>73.087000000000003</v>
      </c>
      <c r="F27" s="122">
        <v>11.124000000000001</v>
      </c>
      <c r="G27" s="122">
        <v>-1.0149999999999999</v>
      </c>
      <c r="H27" s="122">
        <v>451.62400000000002</v>
      </c>
      <c r="I27" s="122">
        <v>2.9580000000000002</v>
      </c>
      <c r="J27" s="122">
        <v>454.58199999999999</v>
      </c>
      <c r="K27" s="122">
        <v>136.53299999999999</v>
      </c>
      <c r="L27" s="122">
        <v>591.11500000000001</v>
      </c>
      <c r="M27" s="122">
        <v>142.38800000000001</v>
      </c>
      <c r="N27" s="122">
        <v>0</v>
      </c>
      <c r="O27" s="122">
        <v>448.72699999999998</v>
      </c>
      <c r="P27" s="155">
        <v>440.67399999999998</v>
      </c>
      <c r="Q27" s="156"/>
      <c r="R27" s="157"/>
      <c r="S27" s="124">
        <f>100*(C27/OBR_MAR24_1.1!C27)</f>
        <v>93.012718092925155</v>
      </c>
      <c r="T27" s="124">
        <f>100*(D27/OBR_MAR24_1.1!D27)</f>
        <v>91.758361420793349</v>
      </c>
      <c r="U27" s="124">
        <f>100*(E27/OBR_MAR24_1.1!E27)</f>
        <v>89.28074075883805</v>
      </c>
      <c r="V27" s="124">
        <f>100*(K27/OBR_MAR24_1.1!N27)</f>
        <v>92.859377550465197</v>
      </c>
      <c r="W27" s="124">
        <f>100*(M27/OBR_MAR24_1.1!P27)</f>
        <v>96.213958956963594</v>
      </c>
      <c r="X27" s="124">
        <f>100*(O27/OBR_MAR24_1.1!R27)</f>
        <v>91.019306209711118</v>
      </c>
      <c r="AA27" s="124">
        <f t="shared" si="0"/>
        <v>-0.55353629400605175</v>
      </c>
    </row>
    <row r="28" spans="1:27" ht="15.75">
      <c r="A28" s="110"/>
      <c r="B28" s="154" t="s">
        <v>134</v>
      </c>
      <c r="C28" s="122">
        <v>292.26499999999999</v>
      </c>
      <c r="D28" s="122">
        <v>91.736000000000004</v>
      </c>
      <c r="E28" s="122">
        <v>73.412000000000006</v>
      </c>
      <c r="F28" s="122">
        <v>11.536</v>
      </c>
      <c r="G28" s="122">
        <v>3.9750000000000001</v>
      </c>
      <c r="H28" s="122">
        <v>461.38799999999998</v>
      </c>
      <c r="I28" s="122">
        <v>2.008</v>
      </c>
      <c r="J28" s="122">
        <v>463.39600000000002</v>
      </c>
      <c r="K28" s="122">
        <v>131.48400000000001</v>
      </c>
      <c r="L28" s="122">
        <v>594.88</v>
      </c>
      <c r="M28" s="122">
        <v>142.63200000000001</v>
      </c>
      <c r="N28" s="122">
        <v>0</v>
      </c>
      <c r="O28" s="122">
        <v>452.24799999999999</v>
      </c>
      <c r="P28" s="155">
        <v>444.22500000000002</v>
      </c>
      <c r="Q28" s="156"/>
      <c r="R28" s="157"/>
      <c r="S28" s="124">
        <f>100*(C28/OBR_MAR24_1.1!C28)</f>
        <v>93.096407570921642</v>
      </c>
      <c r="T28" s="124">
        <f>100*(D28/OBR_MAR24_1.1!D28)</f>
        <v>93.38137991408621</v>
      </c>
      <c r="U28" s="124">
        <f>100*(E28/OBR_MAR24_1.1!E28)</f>
        <v>89.690897984117299</v>
      </c>
      <c r="V28" s="124">
        <f>100*(K28/OBR_MAR24_1.1!N28)</f>
        <v>91.489406116271795</v>
      </c>
      <c r="W28" s="124">
        <f>100*(M28/OBR_MAR24_1.1!P28)</f>
        <v>94.259147892862103</v>
      </c>
      <c r="X28" s="124">
        <f>100*(O28/OBR_MAR24_1.1!R28)</f>
        <v>91.093448493955279</v>
      </c>
      <c r="AA28" s="124">
        <f t="shared" si="0"/>
        <v>1.7687962907814825</v>
      </c>
    </row>
    <row r="29" spans="1:27" ht="15.75">
      <c r="A29" s="110"/>
      <c r="B29" s="154" t="s">
        <v>135</v>
      </c>
      <c r="C29" s="122">
        <v>294.48399999999998</v>
      </c>
      <c r="D29" s="122">
        <v>92.831000000000003</v>
      </c>
      <c r="E29" s="122">
        <v>75.731999999999999</v>
      </c>
      <c r="F29" s="122">
        <v>12.46</v>
      </c>
      <c r="G29" s="122">
        <v>1.3979999999999999</v>
      </c>
      <c r="H29" s="122">
        <v>464.44499999999999</v>
      </c>
      <c r="I29" s="122">
        <v>0.38500000000000001</v>
      </c>
      <c r="J29" s="122">
        <v>464.83</v>
      </c>
      <c r="K29" s="122">
        <v>132.00700000000001</v>
      </c>
      <c r="L29" s="122">
        <v>596.83699999999999</v>
      </c>
      <c r="M29" s="122">
        <v>138.845</v>
      </c>
      <c r="N29" s="122">
        <v>0</v>
      </c>
      <c r="O29" s="122">
        <v>457.99200000000002</v>
      </c>
      <c r="P29" s="155">
        <v>452.13299999999998</v>
      </c>
      <c r="Q29" s="156"/>
      <c r="R29" s="157"/>
      <c r="S29" s="124">
        <f>100*(C29/OBR_MAR24_1.1!C29)</f>
        <v>93.522908799888199</v>
      </c>
      <c r="T29" s="124">
        <f>100*(D29/OBR_MAR24_1.1!D29)</f>
        <v>93.946140689990187</v>
      </c>
      <c r="U29" s="124">
        <f>100*(E29/OBR_MAR24_1.1!E29)</f>
        <v>89.507150455028963</v>
      </c>
      <c r="V29" s="124">
        <f>100*(K29/OBR_MAR24_1.1!N29)</f>
        <v>91.261484856236237</v>
      </c>
      <c r="W29" s="124">
        <f>100*(M29/OBR_MAR24_1.1!P29)</f>
        <v>93.188941762364678</v>
      </c>
      <c r="X29" s="124">
        <f>100*(O29/OBR_MAR24_1.1!R29)</f>
        <v>91.497386884879091</v>
      </c>
      <c r="AA29" s="124">
        <f t="shared" si="0"/>
        <v>0.60478949489028988</v>
      </c>
    </row>
    <row r="30" spans="1:27" ht="15.75">
      <c r="A30" s="110"/>
      <c r="B30" s="154" t="s">
        <v>136</v>
      </c>
      <c r="C30" s="122">
        <v>298.44400000000002</v>
      </c>
      <c r="D30" s="122">
        <v>90.793000000000006</v>
      </c>
      <c r="E30" s="122">
        <v>76.010000000000005</v>
      </c>
      <c r="F30" s="122">
        <v>11.907</v>
      </c>
      <c r="G30" s="122">
        <v>-2.3959999999999999</v>
      </c>
      <c r="H30" s="122">
        <v>462.851</v>
      </c>
      <c r="I30" s="122">
        <v>4.4119999999999999</v>
      </c>
      <c r="J30" s="122">
        <v>467.26299999999998</v>
      </c>
      <c r="K30" s="122">
        <v>133.19200000000001</v>
      </c>
      <c r="L30" s="122">
        <v>600.45500000000004</v>
      </c>
      <c r="M30" s="122">
        <v>138.839</v>
      </c>
      <c r="N30" s="122">
        <v>0</v>
      </c>
      <c r="O30" s="122">
        <v>461.61599999999999</v>
      </c>
      <c r="P30" s="155">
        <v>454.75200000000001</v>
      </c>
      <c r="Q30" s="156"/>
      <c r="R30" s="157"/>
      <c r="S30" s="124">
        <f>100*(C30/OBR_MAR24_1.1!C30)</f>
        <v>94.312385840059164</v>
      </c>
      <c r="T30" s="124">
        <f>100*(D30/OBR_MAR24_1.1!D30)</f>
        <v>91.318997425168973</v>
      </c>
      <c r="U30" s="124">
        <f>100*(E30/OBR_MAR24_1.1!E30)</f>
        <v>90.1222418515313</v>
      </c>
      <c r="V30" s="124">
        <f>100*(K30/OBR_MAR24_1.1!N30)</f>
        <v>90.708618517383456</v>
      </c>
      <c r="W30" s="124">
        <f>100*(M30/OBR_MAR24_1.1!P30)</f>
        <v>92.663734474174248</v>
      </c>
      <c r="X30" s="124">
        <f>100*(O30/OBR_MAR24_1.1!R30)</f>
        <v>91.420151741101392</v>
      </c>
      <c r="AA30" s="124">
        <f t="shared" si="0"/>
        <v>-2.7964355379859973</v>
      </c>
    </row>
    <row r="31" spans="1:27" ht="15.75">
      <c r="A31" s="110"/>
      <c r="B31" s="154" t="s">
        <v>137</v>
      </c>
      <c r="C31" s="122">
        <v>302.36700000000002</v>
      </c>
      <c r="D31" s="122">
        <v>93.188000000000002</v>
      </c>
      <c r="E31" s="122">
        <v>77.716999999999999</v>
      </c>
      <c r="F31" s="122">
        <v>12.702999999999999</v>
      </c>
      <c r="G31" s="122">
        <v>1.5409999999999999</v>
      </c>
      <c r="H31" s="122">
        <v>474.81299999999999</v>
      </c>
      <c r="I31" s="122">
        <v>4.9509999999999996</v>
      </c>
      <c r="J31" s="122">
        <v>479.76400000000001</v>
      </c>
      <c r="K31" s="122">
        <v>132.56</v>
      </c>
      <c r="L31" s="122">
        <v>612.32399999999996</v>
      </c>
      <c r="M31" s="122">
        <v>141.87</v>
      </c>
      <c r="N31" s="122">
        <v>0</v>
      </c>
      <c r="O31" s="122">
        <v>470.45400000000001</v>
      </c>
      <c r="P31" s="155">
        <v>460.75700000000001</v>
      </c>
      <c r="Q31" s="156"/>
      <c r="R31" s="157"/>
      <c r="S31" s="124">
        <f>100*(C31/OBR_MAR24_1.1!C31)</f>
        <v>94.05585486941483</v>
      </c>
      <c r="T31" s="124">
        <f>100*(D31/OBR_MAR24_1.1!D31)</f>
        <v>93.634637219537197</v>
      </c>
      <c r="U31" s="124">
        <f>100*(E31/OBR_MAR24_1.1!E31)</f>
        <v>90.532826988490754</v>
      </c>
      <c r="V31" s="124">
        <f>100*(K31/OBR_MAR24_1.1!N31)</f>
        <v>90.00848752334069</v>
      </c>
      <c r="W31" s="124">
        <f>100*(M31/OBR_MAR24_1.1!P31)</f>
        <v>91.381053906255033</v>
      </c>
      <c r="X31" s="124">
        <f>100*(O31/OBR_MAR24_1.1!R31)</f>
        <v>92.474166619163782</v>
      </c>
      <c r="AA31" s="124">
        <f t="shared" si="0"/>
        <v>2.5357700584325515</v>
      </c>
    </row>
    <row r="32" spans="1:27" ht="15.75">
      <c r="A32" s="110"/>
      <c r="B32" s="154" t="s">
        <v>138</v>
      </c>
      <c r="C32" s="122">
        <v>303.39</v>
      </c>
      <c r="D32" s="122">
        <v>93.198999999999998</v>
      </c>
      <c r="E32" s="122">
        <v>79.203000000000003</v>
      </c>
      <c r="F32" s="122">
        <v>13.124000000000001</v>
      </c>
      <c r="G32" s="122">
        <v>5.56</v>
      </c>
      <c r="H32" s="122">
        <v>481.35199999999998</v>
      </c>
      <c r="I32" s="122">
        <v>5.4820000000000002</v>
      </c>
      <c r="J32" s="122">
        <v>486.834</v>
      </c>
      <c r="K32" s="122">
        <v>134.477</v>
      </c>
      <c r="L32" s="122">
        <v>621.31100000000004</v>
      </c>
      <c r="M32" s="122">
        <v>148.85900000000001</v>
      </c>
      <c r="N32" s="122">
        <v>0</v>
      </c>
      <c r="O32" s="122">
        <v>472.452</v>
      </c>
      <c r="P32" s="155">
        <v>461.6</v>
      </c>
      <c r="Q32" s="156"/>
      <c r="R32" s="157"/>
      <c r="S32" s="124">
        <f>100*(C32/OBR_MAR24_1.1!C32)</f>
        <v>93.841633158057519</v>
      </c>
      <c r="T32" s="124">
        <f>100*(D32/OBR_MAR24_1.1!D32)</f>
        <v>93.847486129152443</v>
      </c>
      <c r="U32" s="124">
        <f>100*(E32/OBR_MAR24_1.1!E32)</f>
        <v>89.957408143562958</v>
      </c>
      <c r="V32" s="124">
        <f>100*(K32/OBR_MAR24_1.1!N32)</f>
        <v>88.761938707484362</v>
      </c>
      <c r="W32" s="124">
        <f>100*(M32/OBR_MAR24_1.1!P32)</f>
        <v>90.319938354377399</v>
      </c>
      <c r="X32" s="124">
        <f>100*(O32/OBR_MAR24_1.1!R32)</f>
        <v>92.215624963402789</v>
      </c>
      <c r="AA32" s="124">
        <f t="shared" si="0"/>
        <v>0.22731856066915412</v>
      </c>
    </row>
    <row r="33" spans="1:27" ht="15.75">
      <c r="A33" s="110"/>
      <c r="B33" s="154" t="s">
        <v>139</v>
      </c>
      <c r="C33" s="122">
        <v>303.22300000000001</v>
      </c>
      <c r="D33" s="122">
        <v>93.611999999999995</v>
      </c>
      <c r="E33" s="122">
        <v>82.105000000000004</v>
      </c>
      <c r="F33" s="122">
        <v>12.891999999999999</v>
      </c>
      <c r="G33" s="122">
        <v>2.464</v>
      </c>
      <c r="H33" s="122">
        <v>481.404</v>
      </c>
      <c r="I33" s="122">
        <v>4.0880000000000001</v>
      </c>
      <c r="J33" s="122">
        <v>485.49200000000002</v>
      </c>
      <c r="K33" s="122">
        <v>133.02099999999999</v>
      </c>
      <c r="L33" s="122">
        <v>618.51300000000003</v>
      </c>
      <c r="M33" s="122">
        <v>143.77500000000001</v>
      </c>
      <c r="N33" s="122">
        <v>0</v>
      </c>
      <c r="O33" s="122">
        <v>474.738</v>
      </c>
      <c r="P33" s="155">
        <v>464.73899999999998</v>
      </c>
      <c r="Q33" s="156"/>
      <c r="R33" s="157"/>
      <c r="S33" s="124">
        <f>100*(C33/OBR_MAR24_1.1!C33)</f>
        <v>93.336144696988356</v>
      </c>
      <c r="T33" s="124">
        <f>100*(D33/OBR_MAR24_1.1!D33)</f>
        <v>94.046494806003736</v>
      </c>
      <c r="U33" s="124">
        <f>100*(E33/OBR_MAR24_1.1!E33)</f>
        <v>90.099531423178647</v>
      </c>
      <c r="V33" s="124">
        <f>100*(K33/OBR_MAR24_1.1!N33)</f>
        <v>88.121973355592203</v>
      </c>
      <c r="W33" s="124">
        <f>100*(M33/OBR_MAR24_1.1!P33)</f>
        <v>87.888475927329637</v>
      </c>
      <c r="X33" s="124">
        <f>100*(O33/OBR_MAR24_1.1!R33)</f>
        <v>92.388440206285878</v>
      </c>
      <c r="AA33" s="124">
        <f t="shared" si="0"/>
        <v>0.21205541571718278</v>
      </c>
    </row>
    <row r="34" spans="1:27" ht="15.75">
      <c r="A34" s="110"/>
      <c r="B34" s="154" t="s">
        <v>140</v>
      </c>
      <c r="C34" s="122">
        <v>305.43599999999998</v>
      </c>
      <c r="D34" s="122">
        <v>92.656999999999996</v>
      </c>
      <c r="E34" s="122">
        <v>83.108000000000004</v>
      </c>
      <c r="F34" s="122">
        <v>13.433</v>
      </c>
      <c r="G34" s="122">
        <v>0.158</v>
      </c>
      <c r="H34" s="122">
        <v>481.35899999999998</v>
      </c>
      <c r="I34" s="122">
        <v>-1.762</v>
      </c>
      <c r="J34" s="122">
        <v>479.59699999999998</v>
      </c>
      <c r="K34" s="122">
        <v>136.69499999999999</v>
      </c>
      <c r="L34" s="122">
        <v>616.29200000000003</v>
      </c>
      <c r="M34" s="122">
        <v>139.71</v>
      </c>
      <c r="N34" s="122">
        <v>0</v>
      </c>
      <c r="O34" s="122">
        <v>476.58199999999999</v>
      </c>
      <c r="P34" s="155">
        <v>470.96600000000001</v>
      </c>
      <c r="Q34" s="156"/>
      <c r="R34" s="157"/>
      <c r="S34" s="124">
        <f>100*(C34/OBR_MAR24_1.1!C34)</f>
        <v>93.473823375494618</v>
      </c>
      <c r="T34" s="124">
        <f>100*(D34/OBR_MAR24_1.1!D34)</f>
        <v>92.283252826054479</v>
      </c>
      <c r="U34" s="124">
        <f>100*(E34/OBR_MAR24_1.1!E34)</f>
        <v>90.799637273432481</v>
      </c>
      <c r="V34" s="124">
        <f>100*(K34/OBR_MAR24_1.1!N34)</f>
        <v>87.793270435000409</v>
      </c>
      <c r="W34" s="124">
        <f>100*(M34/OBR_MAR24_1.1!P34)</f>
        <v>87.336763207411522</v>
      </c>
      <c r="X34" s="124">
        <f>100*(O34/OBR_MAR24_1.1!R34)</f>
        <v>92.204319798172094</v>
      </c>
      <c r="AA34" s="124">
        <f t="shared" si="0"/>
        <v>-1.8748619856448823</v>
      </c>
    </row>
    <row r="35" spans="1:27" ht="15.75">
      <c r="A35" s="110"/>
      <c r="B35" s="154" t="s">
        <v>141</v>
      </c>
      <c r="C35" s="122">
        <v>310.06</v>
      </c>
      <c r="D35" s="122">
        <v>94.46</v>
      </c>
      <c r="E35" s="122">
        <v>82.843000000000004</v>
      </c>
      <c r="F35" s="122">
        <v>12.792</v>
      </c>
      <c r="G35" s="122">
        <v>0.379</v>
      </c>
      <c r="H35" s="122">
        <v>487.74200000000002</v>
      </c>
      <c r="I35" s="122">
        <v>3.1E-2</v>
      </c>
      <c r="J35" s="122">
        <v>487.77300000000002</v>
      </c>
      <c r="K35" s="122">
        <v>129.78800000000001</v>
      </c>
      <c r="L35" s="122">
        <v>617.56100000000004</v>
      </c>
      <c r="M35" s="122">
        <v>137.67599999999999</v>
      </c>
      <c r="N35" s="122">
        <v>0</v>
      </c>
      <c r="O35" s="122">
        <v>479.88499999999999</v>
      </c>
      <c r="P35" s="155">
        <v>471.46</v>
      </c>
      <c r="Q35" s="156"/>
      <c r="R35" s="157"/>
      <c r="S35" s="124">
        <f>100*(C35/OBR_MAR24_1.1!C35)</f>
        <v>93.744236600947545</v>
      </c>
      <c r="T35" s="124">
        <f>100*(D35/OBR_MAR24_1.1!D35)</f>
        <v>93.26895543904341</v>
      </c>
      <c r="U35" s="124">
        <f>100*(E35/OBR_MAR24_1.1!E35)</f>
        <v>91.187574987066455</v>
      </c>
      <c r="V35" s="124">
        <f>100*(K35/OBR_MAR24_1.1!N35)</f>
        <v>86.08001273412215</v>
      </c>
      <c r="W35" s="124">
        <f>100*(M35/OBR_MAR24_1.1!P35)</f>
        <v>86.163281910066644</v>
      </c>
      <c r="X35" s="124">
        <f>100*(O35/OBR_MAR24_1.1!R35)</f>
        <v>92.47853694728424</v>
      </c>
      <c r="AA35" s="124">
        <f t="shared" si="0"/>
        <v>1.068127295910215</v>
      </c>
    </row>
    <row r="36" spans="1:27" ht="15.75">
      <c r="A36" s="110"/>
      <c r="B36" s="154" t="s">
        <v>142</v>
      </c>
      <c r="C36" s="122">
        <v>309.60599999999999</v>
      </c>
      <c r="D36" s="122">
        <v>93.909000000000006</v>
      </c>
      <c r="E36" s="122">
        <v>84.917000000000002</v>
      </c>
      <c r="F36" s="122">
        <v>12.548</v>
      </c>
      <c r="G36" s="122">
        <v>-2.1219999999999999</v>
      </c>
      <c r="H36" s="122">
        <v>486.31</v>
      </c>
      <c r="I36" s="122">
        <v>6.2489999999999997</v>
      </c>
      <c r="J36" s="122">
        <v>492.55900000000003</v>
      </c>
      <c r="K36" s="122">
        <v>134.15</v>
      </c>
      <c r="L36" s="122">
        <v>626.70899999999995</v>
      </c>
      <c r="M36" s="122">
        <v>141.46299999999999</v>
      </c>
      <c r="N36" s="122">
        <v>0</v>
      </c>
      <c r="O36" s="122">
        <v>485.24599999999998</v>
      </c>
      <c r="P36" s="155">
        <v>467.517</v>
      </c>
      <c r="Q36" s="156"/>
      <c r="R36" s="157"/>
      <c r="S36" s="124">
        <f>100*(C36/OBR_MAR24_1.1!C36)</f>
        <v>93.868641023075597</v>
      </c>
      <c r="T36" s="124">
        <f>100*(D36/OBR_MAR24_1.1!D36)</f>
        <v>93.045537412809139</v>
      </c>
      <c r="U36" s="124">
        <f>100*(E36/OBR_MAR24_1.1!E36)</f>
        <v>90.496083550913838</v>
      </c>
      <c r="V36" s="124">
        <f>100*(K36/OBR_MAR24_1.1!N36)</f>
        <v>86.489797234131728</v>
      </c>
      <c r="W36" s="124">
        <f>100*(M36/OBR_MAR24_1.1!P36)</f>
        <v>85.106907795786256</v>
      </c>
      <c r="X36" s="124">
        <f>100*(O36/OBR_MAR24_1.1!R36)</f>
        <v>92.973252605763335</v>
      </c>
      <c r="AA36" s="124">
        <f t="shared" si="0"/>
        <v>-0.23954168370663442</v>
      </c>
    </row>
    <row r="37" spans="1:27" ht="15.75">
      <c r="A37" s="110"/>
      <c r="B37" s="154" t="s">
        <v>143</v>
      </c>
      <c r="C37" s="122">
        <v>316.34699999999998</v>
      </c>
      <c r="D37" s="122">
        <v>95.376000000000005</v>
      </c>
      <c r="E37" s="122">
        <v>86.287000000000006</v>
      </c>
      <c r="F37" s="122">
        <v>12.629</v>
      </c>
      <c r="G37" s="122">
        <v>0.71899999999999997</v>
      </c>
      <c r="H37" s="122">
        <v>498.72899999999998</v>
      </c>
      <c r="I37" s="122">
        <v>-1.286</v>
      </c>
      <c r="J37" s="122">
        <v>497.44299999999998</v>
      </c>
      <c r="K37" s="122">
        <v>136.06800000000001</v>
      </c>
      <c r="L37" s="122">
        <v>633.51099999999997</v>
      </c>
      <c r="M37" s="122">
        <v>143.78100000000001</v>
      </c>
      <c r="N37" s="122">
        <v>0</v>
      </c>
      <c r="O37" s="122">
        <v>489.73</v>
      </c>
      <c r="P37" s="155">
        <v>474.94499999999999</v>
      </c>
      <c r="Q37" s="156"/>
      <c r="R37" s="157"/>
      <c r="S37" s="124">
        <f>100*(C37/OBR_MAR24_1.1!C37)</f>
        <v>93.975527809712219</v>
      </c>
      <c r="T37" s="124">
        <f>100*(D37/OBR_MAR24_1.1!D37)</f>
        <v>94.291646070192783</v>
      </c>
      <c r="U37" s="124">
        <f>100*(E37/OBR_MAR24_1.1!E37)</f>
        <v>90.983571985912832</v>
      </c>
      <c r="V37" s="124">
        <f>100*(K37/OBR_MAR24_1.1!N37)</f>
        <v>88.055654424850346</v>
      </c>
      <c r="W37" s="124">
        <f>100*(M37/OBR_MAR24_1.1!P37)</f>
        <v>86.853121507747147</v>
      </c>
      <c r="X37" s="124">
        <f>100*(O37/OBR_MAR24_1.1!R37)</f>
        <v>93.493288635448152</v>
      </c>
      <c r="AA37" s="124">
        <f t="shared" si="0"/>
        <v>1.339246020854401</v>
      </c>
    </row>
    <row r="38" spans="1:27" ht="15.75">
      <c r="A38" s="110"/>
      <c r="B38" s="154" t="s">
        <v>144</v>
      </c>
      <c r="C38" s="122">
        <v>320.339</v>
      </c>
      <c r="D38" s="122">
        <v>95.123999999999995</v>
      </c>
      <c r="E38" s="122">
        <v>88.055999999999997</v>
      </c>
      <c r="F38" s="122">
        <v>12.718</v>
      </c>
      <c r="G38" s="122">
        <v>-0.63300000000000001</v>
      </c>
      <c r="H38" s="122">
        <v>502.88600000000002</v>
      </c>
      <c r="I38" s="122">
        <v>-2.6080000000000001</v>
      </c>
      <c r="J38" s="122">
        <v>500.27800000000002</v>
      </c>
      <c r="K38" s="122">
        <v>142.49700000000001</v>
      </c>
      <c r="L38" s="122">
        <v>642.77499999999998</v>
      </c>
      <c r="M38" s="122">
        <v>148.834</v>
      </c>
      <c r="N38" s="122">
        <v>0</v>
      </c>
      <c r="O38" s="122">
        <v>493.94099999999997</v>
      </c>
      <c r="P38" s="155">
        <v>479.92200000000003</v>
      </c>
      <c r="Q38" s="156"/>
      <c r="R38" s="157"/>
      <c r="S38" s="124">
        <f>100*(C38/OBR_MAR24_1.1!C38)</f>
        <v>94.385025162347219</v>
      </c>
      <c r="T38" s="124">
        <f>100*(D38/OBR_MAR24_1.1!D38)</f>
        <v>93.924583074143186</v>
      </c>
      <c r="U38" s="124">
        <f>100*(E38/OBR_MAR24_1.1!E38)</f>
        <v>92.078928380964328</v>
      </c>
      <c r="V38" s="124">
        <f>100*(K38/OBR_MAR24_1.1!N38)</f>
        <v>89.517724882682202</v>
      </c>
      <c r="W38" s="124">
        <f>100*(M38/OBR_MAR24_1.1!P38)</f>
        <v>88.844450281157108</v>
      </c>
      <c r="X38" s="124">
        <f>100*(O38/OBR_MAR24_1.1!R38)</f>
        <v>93.771428571428558</v>
      </c>
      <c r="AA38" s="124">
        <f t="shared" si="0"/>
        <v>-0.38928474721541262</v>
      </c>
    </row>
    <row r="39" spans="1:27" ht="15.75">
      <c r="A39" s="110"/>
      <c r="B39" s="154" t="s">
        <v>145</v>
      </c>
      <c r="C39" s="122">
        <v>325.553</v>
      </c>
      <c r="D39" s="122">
        <v>95.861999999999995</v>
      </c>
      <c r="E39" s="122">
        <v>91.32</v>
      </c>
      <c r="F39" s="122">
        <v>13.063000000000001</v>
      </c>
      <c r="G39" s="122">
        <v>3.1190000000000002</v>
      </c>
      <c r="H39" s="122">
        <v>515.85400000000004</v>
      </c>
      <c r="I39" s="122">
        <v>1.4750000000000001</v>
      </c>
      <c r="J39" s="122">
        <v>517.32899999999995</v>
      </c>
      <c r="K39" s="122">
        <v>143.81700000000001</v>
      </c>
      <c r="L39" s="122">
        <v>661.14599999999996</v>
      </c>
      <c r="M39" s="122">
        <v>160.49600000000001</v>
      </c>
      <c r="N39" s="122">
        <v>0</v>
      </c>
      <c r="O39" s="122">
        <v>500.65</v>
      </c>
      <c r="P39" s="155">
        <v>490.39100000000002</v>
      </c>
      <c r="Q39" s="156"/>
      <c r="R39" s="157"/>
      <c r="S39" s="124">
        <f>100*(C39/OBR_MAR24_1.1!C39)</f>
        <v>95.129741102214936</v>
      </c>
      <c r="T39" s="124">
        <f>100*(D39/OBR_MAR24_1.1!D39)</f>
        <v>94.477898782831517</v>
      </c>
      <c r="U39" s="124">
        <f>100*(E39/OBR_MAR24_1.1!E39)</f>
        <v>92.871889269696624</v>
      </c>
      <c r="V39" s="124">
        <f>100*(K39/OBR_MAR24_1.1!N39)</f>
        <v>92.878039329652239</v>
      </c>
      <c r="W39" s="124">
        <f>100*(M39/OBR_MAR24_1.1!P39)</f>
        <v>92.67101259317856</v>
      </c>
      <c r="X39" s="124">
        <f>100*(O39/OBR_MAR24_1.1!R39)</f>
        <v>94.6923845117947</v>
      </c>
      <c r="AA39" s="124">
        <f t="shared" si="0"/>
        <v>0.58910637724263193</v>
      </c>
    </row>
    <row r="40" spans="1:27" ht="15.75">
      <c r="A40" s="110"/>
      <c r="B40" s="154" t="s">
        <v>146</v>
      </c>
      <c r="C40" s="122">
        <v>327.20600000000002</v>
      </c>
      <c r="D40" s="122">
        <v>96.397999999999996</v>
      </c>
      <c r="E40" s="122">
        <v>90.938999999999993</v>
      </c>
      <c r="F40" s="122">
        <v>13.064</v>
      </c>
      <c r="G40" s="122">
        <v>-1.7030000000000001</v>
      </c>
      <c r="H40" s="122">
        <v>512.84</v>
      </c>
      <c r="I40" s="122">
        <v>1.5109999999999999</v>
      </c>
      <c r="J40" s="122">
        <v>514.351</v>
      </c>
      <c r="K40" s="122">
        <v>153.25</v>
      </c>
      <c r="L40" s="122">
        <v>667.601</v>
      </c>
      <c r="M40" s="122">
        <v>160.27699999999999</v>
      </c>
      <c r="N40" s="122">
        <v>0</v>
      </c>
      <c r="O40" s="122">
        <v>507.32400000000001</v>
      </c>
      <c r="P40" s="155">
        <v>499.654</v>
      </c>
      <c r="Q40" s="156"/>
      <c r="R40" s="157"/>
      <c r="S40" s="124">
        <f>100*(C40/OBR_MAR24_1.1!C40)</f>
        <v>95.601310111289337</v>
      </c>
      <c r="T40" s="124">
        <f>100*(D40/OBR_MAR24_1.1!D40)</f>
        <v>95.35670478376133</v>
      </c>
      <c r="U40" s="124">
        <f>100*(E40/OBR_MAR24_1.1!E40)</f>
        <v>93.34065505455365</v>
      </c>
      <c r="V40" s="124">
        <f>100*(K40/OBR_MAR24_1.1!N40)</f>
        <v>95.201709592853518</v>
      </c>
      <c r="W40" s="124">
        <f>100*(M40/OBR_MAR24_1.1!P40)</f>
        <v>94.76444433933257</v>
      </c>
      <c r="X40" s="124">
        <f>100*(O40/OBR_MAR24_1.1!R40)</f>
        <v>95.346957799737638</v>
      </c>
      <c r="AA40" s="124">
        <f t="shared" si="0"/>
        <v>0.93017098416832145</v>
      </c>
    </row>
    <row r="41" spans="1:27" ht="15.75">
      <c r="A41" s="110"/>
      <c r="B41" s="154" t="s">
        <v>147</v>
      </c>
      <c r="C41" s="122">
        <v>329.56099999999998</v>
      </c>
      <c r="D41" s="122">
        <v>97.084999999999994</v>
      </c>
      <c r="E41" s="122">
        <v>92.811000000000007</v>
      </c>
      <c r="F41" s="122">
        <v>12.874000000000001</v>
      </c>
      <c r="G41" s="122">
        <v>-0.71199999999999997</v>
      </c>
      <c r="H41" s="122">
        <v>518.745</v>
      </c>
      <c r="I41" s="122">
        <v>1.982</v>
      </c>
      <c r="J41" s="122">
        <v>520.72699999999998</v>
      </c>
      <c r="K41" s="122">
        <v>157.43700000000001</v>
      </c>
      <c r="L41" s="122">
        <v>678.16399999999999</v>
      </c>
      <c r="M41" s="122">
        <v>164.238</v>
      </c>
      <c r="N41" s="122">
        <v>0</v>
      </c>
      <c r="O41" s="122">
        <v>513.92600000000004</v>
      </c>
      <c r="P41" s="155">
        <v>509.40800000000002</v>
      </c>
      <c r="Q41" s="156"/>
      <c r="R41" s="157"/>
      <c r="S41" s="124">
        <f>100*(C41/OBR_MAR24_1.1!C41)</f>
        <v>95.608619719290516</v>
      </c>
      <c r="T41" s="124">
        <f>100*(D41/OBR_MAR24_1.1!D41)</f>
        <v>95.805990033058663</v>
      </c>
      <c r="U41" s="124">
        <f>100*(E41/OBR_MAR24_1.1!E41)</f>
        <v>93.675626028240671</v>
      </c>
      <c r="V41" s="124">
        <f>100*(K41/OBR_MAR24_1.1!N41)</f>
        <v>96.21465370253803</v>
      </c>
      <c r="W41" s="124">
        <f>100*(M41/OBR_MAR24_1.1!P41)</f>
        <v>95.97321319004962</v>
      </c>
      <c r="X41" s="124">
        <f>100*(O41/OBR_MAR24_1.1!R41)</f>
        <v>95.780574989842819</v>
      </c>
      <c r="AA41" s="124">
        <f t="shared" si="0"/>
        <v>0.47116272559561967</v>
      </c>
    </row>
    <row r="42" spans="1:27" ht="15.75">
      <c r="A42" s="110"/>
      <c r="B42" s="154" t="s">
        <v>148</v>
      </c>
      <c r="C42" s="122">
        <v>331.98200000000003</v>
      </c>
      <c r="D42" s="122">
        <v>96.328000000000003</v>
      </c>
      <c r="E42" s="122">
        <v>95.16</v>
      </c>
      <c r="F42" s="122">
        <v>14.75</v>
      </c>
      <c r="G42" s="122">
        <v>0.317</v>
      </c>
      <c r="H42" s="122">
        <v>523.78700000000003</v>
      </c>
      <c r="I42" s="122">
        <v>1.403</v>
      </c>
      <c r="J42" s="122">
        <v>525.19000000000005</v>
      </c>
      <c r="K42" s="122">
        <v>160.435</v>
      </c>
      <c r="L42" s="122">
        <v>685.625</v>
      </c>
      <c r="M42" s="122">
        <v>168.06</v>
      </c>
      <c r="N42" s="122">
        <v>0</v>
      </c>
      <c r="O42" s="122">
        <v>517.56500000000005</v>
      </c>
      <c r="P42" s="155">
        <v>509.42200000000003</v>
      </c>
      <c r="Q42" s="156"/>
      <c r="R42" s="157"/>
      <c r="S42" s="124">
        <f>100*(C42/OBR_MAR24_1.1!C42)</f>
        <v>96.29421217201633</v>
      </c>
      <c r="T42" s="124">
        <f>100*(D42/OBR_MAR24_1.1!D42)</f>
        <v>94.569944727515491</v>
      </c>
      <c r="U42" s="124">
        <f>100*(E42/OBR_MAR24_1.1!E42)</f>
        <v>94.871590365289521</v>
      </c>
      <c r="V42" s="124">
        <f>100*(K42/OBR_MAR24_1.1!N42)</f>
        <v>95.487929720978954</v>
      </c>
      <c r="W42" s="124">
        <f>100*(M42/OBR_MAR24_1.1!P42)</f>
        <v>95.647868326247675</v>
      </c>
      <c r="X42" s="124">
        <f>100*(O42/OBR_MAR24_1.1!R42)</f>
        <v>95.841820673308405</v>
      </c>
      <c r="AA42" s="124">
        <f t="shared" si="0"/>
        <v>-1.2901545144689441</v>
      </c>
    </row>
    <row r="43" spans="1:27" ht="15.75">
      <c r="A43" s="110"/>
      <c r="B43" s="154" t="s">
        <v>149</v>
      </c>
      <c r="C43" s="122">
        <v>335.73599999999999</v>
      </c>
      <c r="D43" s="122">
        <v>96.980999999999995</v>
      </c>
      <c r="E43" s="122">
        <v>94.950999999999993</v>
      </c>
      <c r="F43" s="122">
        <v>14.853</v>
      </c>
      <c r="G43" s="122">
        <v>0.245</v>
      </c>
      <c r="H43" s="122">
        <v>527.91300000000001</v>
      </c>
      <c r="I43" s="122">
        <v>0.214</v>
      </c>
      <c r="J43" s="122">
        <v>528.12699999999995</v>
      </c>
      <c r="K43" s="122">
        <v>163.49299999999999</v>
      </c>
      <c r="L43" s="122">
        <v>691.62</v>
      </c>
      <c r="M43" s="122">
        <v>170.40100000000001</v>
      </c>
      <c r="N43" s="122">
        <v>0</v>
      </c>
      <c r="O43" s="122">
        <v>521.21900000000005</v>
      </c>
      <c r="P43" s="155">
        <v>516.45299999999997</v>
      </c>
      <c r="Q43" s="156"/>
      <c r="R43" s="157"/>
      <c r="S43" s="124">
        <f>100*(C43/OBR_MAR24_1.1!C43)</f>
        <v>96.752217540907083</v>
      </c>
      <c r="T43" s="124">
        <f>100*(D43/OBR_MAR24_1.1!D43)</f>
        <v>94.839523558059028</v>
      </c>
      <c r="U43" s="124">
        <f>100*(E43/OBR_MAR24_1.1!E43)</f>
        <v>95.505889216346972</v>
      </c>
      <c r="V43" s="124">
        <f>100*(K43/OBR_MAR24_1.1!N43)</f>
        <v>95.004910249928813</v>
      </c>
      <c r="W43" s="124">
        <f>100*(M43/OBR_MAR24_1.1!P43)</f>
        <v>96.507841216082284</v>
      </c>
      <c r="X43" s="124">
        <f>100*(O43/OBR_MAR24_1.1!R43)</f>
        <v>95.908930319513047</v>
      </c>
      <c r="AA43" s="124">
        <f t="shared" si="0"/>
        <v>0.28505761668813356</v>
      </c>
    </row>
    <row r="44" spans="1:27" ht="15.75">
      <c r="A44" s="110"/>
      <c r="B44" s="154" t="s">
        <v>150</v>
      </c>
      <c r="C44" s="122">
        <v>339.642</v>
      </c>
      <c r="D44" s="122">
        <v>98.183000000000007</v>
      </c>
      <c r="E44" s="122">
        <v>97.09</v>
      </c>
      <c r="F44" s="122">
        <v>14.923</v>
      </c>
      <c r="G44" s="122">
        <v>0.99199999999999999</v>
      </c>
      <c r="H44" s="122">
        <v>535.90700000000004</v>
      </c>
      <c r="I44" s="122">
        <v>0.45600000000000002</v>
      </c>
      <c r="J44" s="122">
        <v>536.36300000000006</v>
      </c>
      <c r="K44" s="122">
        <v>161.92099999999999</v>
      </c>
      <c r="L44" s="122">
        <v>698.28399999999999</v>
      </c>
      <c r="M44" s="122">
        <v>168.512</v>
      </c>
      <c r="N44" s="122">
        <v>0</v>
      </c>
      <c r="O44" s="122">
        <v>529.77200000000005</v>
      </c>
      <c r="P44" s="155">
        <v>524.79200000000003</v>
      </c>
      <c r="Q44" s="156"/>
      <c r="R44" s="157"/>
      <c r="S44" s="124">
        <f>100*(C44/OBR_MAR24_1.1!C44)</f>
        <v>97.342053674809975</v>
      </c>
      <c r="T44" s="124">
        <f>100*(D44/OBR_MAR24_1.1!D44)</f>
        <v>96.088275592092387</v>
      </c>
      <c r="U44" s="124">
        <f>100*(E44/OBR_MAR24_1.1!E44)</f>
        <v>96.174419526111421</v>
      </c>
      <c r="V44" s="124">
        <f>100*(K44/OBR_MAR24_1.1!N44)</f>
        <v>96.162891520471305</v>
      </c>
      <c r="W44" s="124">
        <f>100*(M44/OBR_MAR24_1.1!P44)</f>
        <v>97.204628572087813</v>
      </c>
      <c r="X44" s="124">
        <f>100*(O44/OBR_MAR24_1.1!R44)</f>
        <v>96.78375233157405</v>
      </c>
      <c r="AA44" s="124">
        <f t="shared" si="0"/>
        <v>1.316700028832285</v>
      </c>
    </row>
    <row r="45" spans="1:27" ht="15.75">
      <c r="A45" s="110"/>
      <c r="B45" s="154" t="s">
        <v>151</v>
      </c>
      <c r="C45" s="122">
        <v>343.64100000000002</v>
      </c>
      <c r="D45" s="122">
        <v>98.753</v>
      </c>
      <c r="E45" s="122">
        <v>96.126999999999995</v>
      </c>
      <c r="F45" s="122">
        <v>14.27</v>
      </c>
      <c r="G45" s="122">
        <v>0.17299999999999999</v>
      </c>
      <c r="H45" s="122">
        <v>538.69399999999996</v>
      </c>
      <c r="I45" s="122">
        <v>-0.114</v>
      </c>
      <c r="J45" s="122">
        <v>538.58000000000004</v>
      </c>
      <c r="K45" s="122">
        <v>165.04499999999999</v>
      </c>
      <c r="L45" s="122">
        <v>703.625</v>
      </c>
      <c r="M45" s="122">
        <v>172.35900000000001</v>
      </c>
      <c r="N45" s="122">
        <v>0</v>
      </c>
      <c r="O45" s="122">
        <v>531.26599999999996</v>
      </c>
      <c r="P45" s="155">
        <v>522.61400000000003</v>
      </c>
      <c r="Q45" s="156"/>
      <c r="R45" s="157"/>
      <c r="S45" s="124">
        <f>100*(C45/OBR_MAR24_1.1!C45)</f>
        <v>97.869958988380048</v>
      </c>
      <c r="T45" s="124">
        <f>100*(D45/OBR_MAR24_1.1!D45)</f>
        <v>96.92594591941895</v>
      </c>
      <c r="U45" s="124">
        <f>100*(E45/OBR_MAR24_1.1!E45)</f>
        <v>95.76500826874414</v>
      </c>
      <c r="V45" s="124">
        <f>100*(K45/OBR_MAR24_1.1!N45)</f>
        <v>96.125173269344998</v>
      </c>
      <c r="W45" s="124">
        <f>100*(M45/OBR_MAR24_1.1!P45)</f>
        <v>97.610134840496315</v>
      </c>
      <c r="X45" s="124">
        <f>100*(O45/OBR_MAR24_1.1!R45)</f>
        <v>97.001577540497507</v>
      </c>
      <c r="AA45" s="124">
        <f t="shared" si="0"/>
        <v>0.87177163099749766</v>
      </c>
    </row>
    <row r="46" spans="1:27" ht="15.75">
      <c r="A46" s="110"/>
      <c r="B46" s="154" t="s">
        <v>152</v>
      </c>
      <c r="C46" s="122">
        <v>344.262</v>
      </c>
      <c r="D46" s="122">
        <v>99.094999999999999</v>
      </c>
      <c r="E46" s="122">
        <v>95.804000000000002</v>
      </c>
      <c r="F46" s="122">
        <v>14.295</v>
      </c>
      <c r="G46" s="122">
        <v>1.345</v>
      </c>
      <c r="H46" s="122">
        <v>540.50599999999997</v>
      </c>
      <c r="I46" s="122">
        <v>1.3</v>
      </c>
      <c r="J46" s="122">
        <v>541.80600000000004</v>
      </c>
      <c r="K46" s="122">
        <v>169.107</v>
      </c>
      <c r="L46" s="122">
        <v>710.91300000000001</v>
      </c>
      <c r="M46" s="122">
        <v>175.30500000000001</v>
      </c>
      <c r="N46" s="122">
        <v>0</v>
      </c>
      <c r="O46" s="122">
        <v>535.60799999999995</v>
      </c>
      <c r="P46" s="155">
        <v>529.39300000000003</v>
      </c>
      <c r="Q46" s="156"/>
      <c r="R46" s="157"/>
      <c r="S46" s="124">
        <f>100*(C46/OBR_MAR24_1.1!C46)</f>
        <v>98.162563514738835</v>
      </c>
      <c r="T46" s="124">
        <f>100*(D46/OBR_MAR24_1.1!D46)</f>
        <v>97.186261817896508</v>
      </c>
      <c r="U46" s="124">
        <f>100*(E46/OBR_MAR24_1.1!E46)</f>
        <v>96.565904990374051</v>
      </c>
      <c r="V46" s="124">
        <f>100*(K46/OBR_MAR24_1.1!N46)</f>
        <v>97.926317983878448</v>
      </c>
      <c r="W46" s="124">
        <f>100*(M46/OBR_MAR24_1.1!P46)</f>
        <v>98.610048600485996</v>
      </c>
      <c r="X46" s="124">
        <f>100*(O46/OBR_MAR24_1.1!R46)</f>
        <v>97.631790010936911</v>
      </c>
      <c r="AA46" s="124">
        <f t="shared" si="0"/>
        <v>0.26857194532201589</v>
      </c>
    </row>
    <row r="47" spans="1:27" ht="15.75">
      <c r="A47" s="110"/>
      <c r="B47" s="154" t="s">
        <v>153</v>
      </c>
      <c r="C47" s="122">
        <v>349.01600000000002</v>
      </c>
      <c r="D47" s="122">
        <v>99.93</v>
      </c>
      <c r="E47" s="122">
        <v>97.22</v>
      </c>
      <c r="F47" s="122">
        <v>15.045999999999999</v>
      </c>
      <c r="G47" s="122">
        <v>1.1140000000000001</v>
      </c>
      <c r="H47" s="122">
        <v>547.28</v>
      </c>
      <c r="I47" s="122">
        <v>-1.9039999999999999</v>
      </c>
      <c r="J47" s="122">
        <v>545.37599999999998</v>
      </c>
      <c r="K47" s="122">
        <v>172.77699999999999</v>
      </c>
      <c r="L47" s="122">
        <v>718.15300000000002</v>
      </c>
      <c r="M47" s="122">
        <v>178.03</v>
      </c>
      <c r="N47" s="122">
        <v>0</v>
      </c>
      <c r="O47" s="122">
        <v>540.12300000000005</v>
      </c>
      <c r="P47" s="155">
        <v>533.03</v>
      </c>
      <c r="Q47" s="156"/>
      <c r="R47" s="157"/>
      <c r="S47" s="124">
        <f>100*(C47/OBR_MAR24_1.1!C47)</f>
        <v>98.740480043455136</v>
      </c>
      <c r="T47" s="124">
        <f>100*(D47/OBR_MAR24_1.1!D47)</f>
        <v>97.457503145206132</v>
      </c>
      <c r="U47" s="124">
        <f>100*(E47/OBR_MAR24_1.1!E47)</f>
        <v>98.012924559687875</v>
      </c>
      <c r="V47" s="124">
        <f>100*(K47/OBR_MAR24_1.1!N47)</f>
        <v>98.740434675764789</v>
      </c>
      <c r="W47" s="124">
        <f>100*(M47/OBR_MAR24_1.1!P47)</f>
        <v>99.639567032696419</v>
      </c>
      <c r="X47" s="124">
        <f>100*(O47/OBR_MAR24_1.1!R47)</f>
        <v>98.128355361765927</v>
      </c>
      <c r="AA47" s="124">
        <f t="shared" si="0"/>
        <v>0.2790943104878929</v>
      </c>
    </row>
    <row r="48" spans="1:27" ht="15.75">
      <c r="A48" s="110"/>
      <c r="B48" s="154" t="s">
        <v>154</v>
      </c>
      <c r="C48" s="122">
        <v>354.75400000000002</v>
      </c>
      <c r="D48" s="122">
        <v>101.28700000000001</v>
      </c>
      <c r="E48" s="122">
        <v>98.173000000000002</v>
      </c>
      <c r="F48" s="122">
        <v>14.835000000000001</v>
      </c>
      <c r="G48" s="122">
        <v>0.19400000000000001</v>
      </c>
      <c r="H48" s="122">
        <v>554.40800000000002</v>
      </c>
      <c r="I48" s="122">
        <v>1.8879999999999999</v>
      </c>
      <c r="J48" s="122">
        <v>556.29600000000005</v>
      </c>
      <c r="K48" s="122">
        <v>172.77099999999999</v>
      </c>
      <c r="L48" s="122">
        <v>729.06700000000001</v>
      </c>
      <c r="M48" s="122">
        <v>183.76</v>
      </c>
      <c r="N48" s="122">
        <v>0</v>
      </c>
      <c r="O48" s="122">
        <v>545.30700000000002</v>
      </c>
      <c r="P48" s="155">
        <v>538.01400000000001</v>
      </c>
      <c r="Q48" s="156"/>
      <c r="R48" s="157"/>
      <c r="S48" s="124">
        <f>100*(C48/OBR_MAR24_1.1!C48)</f>
        <v>99.285766261971546</v>
      </c>
      <c r="T48" s="124">
        <f>100*(D48/OBR_MAR24_1.1!D48)</f>
        <v>97.593101122512891</v>
      </c>
      <c r="U48" s="124">
        <f>100*(E48/OBR_MAR24_1.1!E48)</f>
        <v>99.106584021482362</v>
      </c>
      <c r="V48" s="124">
        <f>100*(K48/OBR_MAR24_1.1!N48)</f>
        <v>99.583844881349677</v>
      </c>
      <c r="W48" s="124">
        <f>100*(M48/OBR_MAR24_1.1!P48)</f>
        <v>99.159282962259454</v>
      </c>
      <c r="X48" s="124">
        <f>100*(O48/OBR_MAR24_1.1!R48)</f>
        <v>98.94380252863219</v>
      </c>
      <c r="AA48" s="124">
        <f t="shared" si="0"/>
        <v>0.13913549283601778</v>
      </c>
    </row>
    <row r="49" spans="1:27" ht="15.75">
      <c r="A49" s="110"/>
      <c r="B49" s="154" t="s">
        <v>155</v>
      </c>
      <c r="C49" s="122">
        <v>354.66300000000001</v>
      </c>
      <c r="D49" s="122">
        <v>102.79300000000001</v>
      </c>
      <c r="E49" s="122">
        <v>101.292</v>
      </c>
      <c r="F49" s="122">
        <v>15.712</v>
      </c>
      <c r="G49" s="122">
        <v>11.414999999999999</v>
      </c>
      <c r="H49" s="122">
        <v>570.16300000000001</v>
      </c>
      <c r="I49" s="122">
        <v>5.8419999999999996</v>
      </c>
      <c r="J49" s="122">
        <v>576.005</v>
      </c>
      <c r="K49" s="122">
        <v>170.08099999999999</v>
      </c>
      <c r="L49" s="122">
        <v>746.08600000000001</v>
      </c>
      <c r="M49" s="122">
        <v>196.69200000000001</v>
      </c>
      <c r="N49" s="122">
        <v>0</v>
      </c>
      <c r="O49" s="122">
        <v>549.39400000000001</v>
      </c>
      <c r="P49" s="155">
        <v>548.70000000000005</v>
      </c>
      <c r="Q49" s="156"/>
      <c r="R49" s="157"/>
      <c r="S49" s="124">
        <f>100*(C49/OBR_MAR24_1.1!C49)</f>
        <v>99.352335597730928</v>
      </c>
      <c r="T49" s="124">
        <f>100*(D49/OBR_MAR24_1.1!D49)</f>
        <v>97.65256877944978</v>
      </c>
      <c r="U49" s="124">
        <f>100*(E49/OBR_MAR24_1.1!E49)</f>
        <v>99.203760834435144</v>
      </c>
      <c r="V49" s="124">
        <f>100*(K49/OBR_MAR24_1.1!N49)</f>
        <v>99.152937610036503</v>
      </c>
      <c r="W49" s="124">
        <f>100*(M49/OBR_MAR24_1.1!P49)</f>
        <v>99.144609832198356</v>
      </c>
      <c r="X49" s="124">
        <f>100*(O49/OBR_MAR24_1.1!R49)</f>
        <v>98.96476750951561</v>
      </c>
      <c r="AA49" s="124">
        <f t="shared" si="0"/>
        <v>6.0934283523006449E-2</v>
      </c>
    </row>
    <row r="50" spans="1:27" ht="15.75">
      <c r="A50" s="110"/>
      <c r="B50" s="154" t="s">
        <v>156</v>
      </c>
      <c r="C50" s="122">
        <v>357.52199999999999</v>
      </c>
      <c r="D50" s="122">
        <v>106.226</v>
      </c>
      <c r="E50" s="122">
        <v>101.304</v>
      </c>
      <c r="F50" s="122">
        <v>15.118</v>
      </c>
      <c r="G50" s="122">
        <v>1.8460000000000001</v>
      </c>
      <c r="H50" s="122">
        <v>566.89800000000002</v>
      </c>
      <c r="I50" s="122">
        <v>-1.216</v>
      </c>
      <c r="J50" s="122">
        <v>565.68200000000002</v>
      </c>
      <c r="K50" s="122">
        <v>170.11099999999999</v>
      </c>
      <c r="L50" s="122">
        <v>735.79300000000001</v>
      </c>
      <c r="M50" s="122">
        <v>179.845</v>
      </c>
      <c r="N50" s="122">
        <v>0</v>
      </c>
      <c r="O50" s="122">
        <v>555.94799999999998</v>
      </c>
      <c r="P50" s="155">
        <v>558.73599999999999</v>
      </c>
      <c r="Q50" s="156"/>
      <c r="R50" s="157"/>
      <c r="S50" s="124">
        <f>100*(C50/OBR_MAR24_1.1!C50)</f>
        <v>99.879872161630615</v>
      </c>
      <c r="T50" s="124">
        <f>100*(D50/OBR_MAR24_1.1!D50)</f>
        <v>99.147835988762267</v>
      </c>
      <c r="U50" s="124">
        <f>100*(E50/OBR_MAR24_1.1!E50)</f>
        <v>100.02863490496175</v>
      </c>
      <c r="V50" s="124">
        <f>100*(K50/OBR_MAR24_1.1!N50)</f>
        <v>100.4220878887341</v>
      </c>
      <c r="W50" s="124">
        <f>100*(M50/OBR_MAR24_1.1!P50)</f>
        <v>99.939428965179985</v>
      </c>
      <c r="X50" s="124">
        <f>100*(O50/OBR_MAR24_1.1!R50)</f>
        <v>99.823317747947684</v>
      </c>
      <c r="AA50" s="124">
        <f t="shared" si="0"/>
        <v>1.5312113424169826</v>
      </c>
    </row>
    <row r="51" spans="1:27" ht="15.75">
      <c r="A51" s="110"/>
      <c r="B51" s="154" t="s">
        <v>157</v>
      </c>
      <c r="C51" s="122">
        <v>358.274</v>
      </c>
      <c r="D51" s="122">
        <v>107.931</v>
      </c>
      <c r="E51" s="122">
        <v>102.59699999999999</v>
      </c>
      <c r="F51" s="122">
        <v>15.694000000000001</v>
      </c>
      <c r="G51" s="122">
        <v>1.4390000000000001</v>
      </c>
      <c r="H51" s="122">
        <v>570.24099999999999</v>
      </c>
      <c r="I51" s="122">
        <v>-2.95</v>
      </c>
      <c r="J51" s="122">
        <v>567.29100000000005</v>
      </c>
      <c r="K51" s="122">
        <v>180.68700000000001</v>
      </c>
      <c r="L51" s="122">
        <v>747.97799999999995</v>
      </c>
      <c r="M51" s="122">
        <v>185.18799999999999</v>
      </c>
      <c r="N51" s="122">
        <v>0</v>
      </c>
      <c r="O51" s="122">
        <v>562.79</v>
      </c>
      <c r="P51" s="155">
        <v>560.41200000000003</v>
      </c>
      <c r="Q51" s="156"/>
      <c r="R51" s="157"/>
      <c r="S51" s="124">
        <f>100*(C51/OBR_MAR24_1.1!C51)</f>
        <v>100.28663400979707</v>
      </c>
      <c r="T51" s="124">
        <f>100*(D51/OBR_MAR24_1.1!D51)</f>
        <v>101.01075329196732</v>
      </c>
      <c r="U51" s="124">
        <f>100*(E51/OBR_MAR24_1.1!E51)</f>
        <v>100.486777668952</v>
      </c>
      <c r="V51" s="124">
        <f>100*(K51/OBR_MAR24_1.1!N51)</f>
        <v>100.71290020511907</v>
      </c>
      <c r="W51" s="124">
        <f>100*(M51/OBR_MAR24_1.1!P51)</f>
        <v>101.40508810548563</v>
      </c>
      <c r="X51" s="124">
        <f>100*(O51/OBR_MAR24_1.1!R51)</f>
        <v>100.32139782205292</v>
      </c>
      <c r="AA51" s="124">
        <f t="shared" si="0"/>
        <v>1.8789288587359509</v>
      </c>
    </row>
    <row r="52" spans="1:27" ht="15.75">
      <c r="A52" s="110"/>
      <c r="B52" s="154" t="s">
        <v>158</v>
      </c>
      <c r="C52" s="122">
        <v>357.48099999999999</v>
      </c>
      <c r="D52" s="122">
        <v>109.642</v>
      </c>
      <c r="E52" s="122">
        <v>101.23</v>
      </c>
      <c r="F52" s="122">
        <v>15.615</v>
      </c>
      <c r="G52" s="122">
        <v>-11.82</v>
      </c>
      <c r="H52" s="122">
        <v>556.53300000000002</v>
      </c>
      <c r="I52" s="122">
        <v>-0.41399999999999998</v>
      </c>
      <c r="J52" s="122">
        <v>556.11900000000003</v>
      </c>
      <c r="K52" s="122">
        <v>185.81700000000001</v>
      </c>
      <c r="L52" s="122">
        <v>741.93600000000004</v>
      </c>
      <c r="M52" s="122">
        <v>176.14699999999999</v>
      </c>
      <c r="N52" s="122">
        <v>0</v>
      </c>
      <c r="O52" s="122">
        <v>565.78899999999999</v>
      </c>
      <c r="P52" s="155">
        <v>563.81899999999996</v>
      </c>
      <c r="Q52" s="156"/>
      <c r="R52" s="157"/>
      <c r="S52" s="124">
        <f>100*(C52/OBR_MAR24_1.1!C52)</f>
        <v>100.48290575467375</v>
      </c>
      <c r="T52" s="124">
        <f>100*(D52/OBR_MAR24_1.1!D52)</f>
        <v>102.14649052525667</v>
      </c>
      <c r="U52" s="124">
        <f>100*(E52/OBR_MAR24_1.1!E52)</f>
        <v>100.28431887302736</v>
      </c>
      <c r="V52" s="124">
        <f>100*(K52/OBR_MAR24_1.1!N52)</f>
        <v>99.709698537224057</v>
      </c>
      <c r="W52" s="124">
        <f>100*(M52/OBR_MAR24_1.1!P52)</f>
        <v>99.570395744656778</v>
      </c>
      <c r="X52" s="124">
        <f>100*(O52/OBR_MAR24_1.1!R52)</f>
        <v>100.87864907704405</v>
      </c>
      <c r="AA52" s="124">
        <f t="shared" si="0"/>
        <v>1.1243726002186483</v>
      </c>
    </row>
    <row r="53" spans="1:27" ht="15.75">
      <c r="A53" s="110"/>
      <c r="B53" s="154" t="s">
        <v>159</v>
      </c>
      <c r="C53" s="122">
        <v>346.06599999999997</v>
      </c>
      <c r="D53" s="122">
        <v>108.901</v>
      </c>
      <c r="E53" s="122">
        <v>98.224000000000004</v>
      </c>
      <c r="F53" s="122">
        <v>15.173</v>
      </c>
      <c r="G53" s="122">
        <v>0.79100000000000004</v>
      </c>
      <c r="H53" s="122">
        <v>553.98199999999997</v>
      </c>
      <c r="I53" s="122">
        <v>-1.482</v>
      </c>
      <c r="J53" s="122">
        <v>552.5</v>
      </c>
      <c r="K53" s="122">
        <v>171.57900000000001</v>
      </c>
      <c r="L53" s="122">
        <v>724.07899999999995</v>
      </c>
      <c r="M53" s="122">
        <v>167.9</v>
      </c>
      <c r="N53" s="122">
        <v>0</v>
      </c>
      <c r="O53" s="122">
        <v>556.17899999999997</v>
      </c>
      <c r="P53" s="155">
        <v>547.26300000000003</v>
      </c>
      <c r="Q53" s="156"/>
      <c r="R53" s="157"/>
      <c r="S53" s="124">
        <f>100*(C53/OBR_MAR24_1.1!C53)</f>
        <v>100.11484975511256</v>
      </c>
      <c r="T53" s="124">
        <f>100*(D53/OBR_MAR24_1.1!D53)</f>
        <v>105.14318265201692</v>
      </c>
      <c r="U53" s="124">
        <f>100*(E53/OBR_MAR24_1.1!E53)</f>
        <v>101.06285561420296</v>
      </c>
      <c r="V53" s="124">
        <f>100*(K53/OBR_MAR24_1.1!N53)</f>
        <v>100.74097124773218</v>
      </c>
      <c r="W53" s="124">
        <f>100*(M53/OBR_MAR24_1.1!P53)</f>
        <v>98.921817003476121</v>
      </c>
      <c r="X53" s="124">
        <f>100*(O53/OBR_MAR24_1.1!R53)</f>
        <v>101.93952679358573</v>
      </c>
      <c r="AA53" s="124">
        <f t="shared" si="0"/>
        <v>2.9337201027178628</v>
      </c>
    </row>
    <row r="54" spans="1:27" ht="15.75">
      <c r="A54" s="110"/>
      <c r="B54" s="154" t="s">
        <v>160</v>
      </c>
      <c r="C54" s="122">
        <v>266.85300000000001</v>
      </c>
      <c r="D54" s="122">
        <v>121.447</v>
      </c>
      <c r="E54" s="122">
        <v>80.143000000000001</v>
      </c>
      <c r="F54" s="122">
        <v>16.852</v>
      </c>
      <c r="G54" s="122">
        <v>-8.6560000000000006</v>
      </c>
      <c r="H54" s="122">
        <v>459.78699999999998</v>
      </c>
      <c r="I54" s="122">
        <v>-6.8029999999999999</v>
      </c>
      <c r="J54" s="122">
        <v>452.98399999999998</v>
      </c>
      <c r="K54" s="122">
        <v>147.22</v>
      </c>
      <c r="L54" s="122">
        <v>600.20399999999995</v>
      </c>
      <c r="M54" s="122">
        <v>124.45699999999999</v>
      </c>
      <c r="N54" s="122">
        <v>0</v>
      </c>
      <c r="O54" s="122">
        <v>475.74700000000001</v>
      </c>
      <c r="P54" s="155">
        <v>454.161</v>
      </c>
      <c r="Q54" s="156"/>
      <c r="R54" s="157"/>
      <c r="S54" s="124">
        <f>100*(C54/OBR_MAR24_1.1!C54)</f>
        <v>100.83356319928056</v>
      </c>
      <c r="T54" s="124">
        <f>100*(D54/OBR_MAR24_1.1!D54)</f>
        <v>143.51366042730197</v>
      </c>
      <c r="U54" s="124">
        <f>100*(E54/OBR_MAR24_1.1!E54)</f>
        <v>102.01112482975445</v>
      </c>
      <c r="V54" s="124">
        <f>100*(K54/OBR_MAR24_1.1!N54)</f>
        <v>98.917564217132195</v>
      </c>
      <c r="W54" s="124">
        <f>100*(M54/OBR_MAR24_1.1!P54)</f>
        <v>97.632476956265933</v>
      </c>
      <c r="X54" s="124">
        <f>100*(O54/OBR_MAR24_1.1!R54)</f>
        <v>109.43807249757313</v>
      </c>
      <c r="AA54" s="124">
        <f t="shared" si="0"/>
        <v>36.493547948112258</v>
      </c>
    </row>
    <row r="55" spans="1:27" ht="15.75">
      <c r="A55" s="110"/>
      <c r="B55" s="154" t="s">
        <v>161</v>
      </c>
      <c r="C55" s="122">
        <v>319.13600000000002</v>
      </c>
      <c r="D55" s="122">
        <v>121.322</v>
      </c>
      <c r="E55" s="122">
        <v>92.349000000000004</v>
      </c>
      <c r="F55" s="122">
        <v>16.901</v>
      </c>
      <c r="G55" s="122">
        <v>1.1719999999999999</v>
      </c>
      <c r="H55" s="122">
        <v>533.97900000000004</v>
      </c>
      <c r="I55" s="122">
        <v>-0.95099999999999996</v>
      </c>
      <c r="J55" s="122">
        <v>533.02800000000002</v>
      </c>
      <c r="K55" s="122">
        <v>147.82499999999999</v>
      </c>
      <c r="L55" s="122">
        <v>680.85299999999995</v>
      </c>
      <c r="M55" s="122">
        <v>147.185</v>
      </c>
      <c r="N55" s="122">
        <v>0</v>
      </c>
      <c r="O55" s="122">
        <v>533.66800000000001</v>
      </c>
      <c r="P55" s="155">
        <v>527.79200000000003</v>
      </c>
      <c r="Q55" s="156"/>
      <c r="R55" s="157"/>
      <c r="S55" s="124">
        <f>100*(C55/OBR_MAR24_1.1!C55)</f>
        <v>100.72306648361187</v>
      </c>
      <c r="T55" s="124">
        <f>100*(D55/OBR_MAR24_1.1!D55)</f>
        <v>121.40212540276582</v>
      </c>
      <c r="U55" s="124">
        <f>100*(E55/OBR_MAR24_1.1!E55)</f>
        <v>101.75525585085283</v>
      </c>
      <c r="V55" s="124">
        <f>100*(K55/OBR_MAR24_1.1!N55)</f>
        <v>99.277372213752741</v>
      </c>
      <c r="W55" s="124">
        <f>100*(M55/OBR_MAR24_1.1!P55)</f>
        <v>97.882542279326188</v>
      </c>
      <c r="X55" s="124">
        <f>100*(O55/OBR_MAR24_1.1!R55)</f>
        <v>105.12663426857063</v>
      </c>
      <c r="AA55" s="124">
        <f t="shared" si="0"/>
        <v>-15.407268519735752</v>
      </c>
    </row>
    <row r="56" spans="1:27" ht="15.75">
      <c r="A56" s="110"/>
      <c r="B56" s="154" t="s">
        <v>162</v>
      </c>
      <c r="C56" s="122">
        <v>314.01799999999997</v>
      </c>
      <c r="D56" s="122">
        <v>123.94799999999999</v>
      </c>
      <c r="E56" s="122">
        <v>96.772000000000006</v>
      </c>
      <c r="F56" s="122">
        <v>17.161000000000001</v>
      </c>
      <c r="G56" s="122">
        <v>7.6619999999999999</v>
      </c>
      <c r="H56" s="122">
        <v>542.4</v>
      </c>
      <c r="I56" s="122">
        <v>10.552</v>
      </c>
      <c r="J56" s="122">
        <v>552.952</v>
      </c>
      <c r="K56" s="122">
        <v>158.18100000000001</v>
      </c>
      <c r="L56" s="122">
        <v>711.13300000000004</v>
      </c>
      <c r="M56" s="122">
        <v>172.43899999999999</v>
      </c>
      <c r="N56" s="122">
        <v>0</v>
      </c>
      <c r="O56" s="122">
        <v>538.69399999999996</v>
      </c>
      <c r="P56" s="155">
        <v>530.24099999999999</v>
      </c>
      <c r="Q56" s="156"/>
      <c r="R56" s="157"/>
      <c r="S56" s="124">
        <f>100*(C56/OBR_MAR24_1.1!C56)</f>
        <v>100.71813688542204</v>
      </c>
      <c r="T56" s="124">
        <f>100*(D56/OBR_MAR24_1.1!D56)</f>
        <v>118.23150665331235</v>
      </c>
      <c r="U56" s="124">
        <f>100*(E56/OBR_MAR24_1.1!E56)</f>
        <v>100.65004628329537</v>
      </c>
      <c r="V56" s="124">
        <f>100*(K56/OBR_MAR24_1.1!N56)</f>
        <v>100.37438686219392</v>
      </c>
      <c r="W56" s="124">
        <f>100*(M56/OBR_MAR24_1.1!P56)</f>
        <v>100.127744325539</v>
      </c>
      <c r="X56" s="124">
        <f>100*(O56/OBR_MAR24_1.1!R56)</f>
        <v>104.69612132213608</v>
      </c>
      <c r="Z56" s="124">
        <f t="shared" si="0"/>
        <v>-4.8942097991333533E-3</v>
      </c>
      <c r="AA56" s="124">
        <f t="shared" si="0"/>
        <v>-2.6116665906256276</v>
      </c>
    </row>
    <row r="57" spans="1:27" ht="15.75">
      <c r="A57" s="110"/>
      <c r="B57" s="154" t="s">
        <v>163</v>
      </c>
      <c r="C57" s="122">
        <v>306.50700000000001</v>
      </c>
      <c r="D57" s="122">
        <v>129.09899999999999</v>
      </c>
      <c r="E57" s="122">
        <v>95.16</v>
      </c>
      <c r="F57" s="122">
        <v>18.039000000000001</v>
      </c>
      <c r="G57" s="122">
        <v>8.5839999999999996</v>
      </c>
      <c r="H57" s="122">
        <v>539.35</v>
      </c>
      <c r="I57" s="122">
        <v>-1.153</v>
      </c>
      <c r="J57" s="122">
        <v>538.197</v>
      </c>
      <c r="K57" s="122">
        <v>156.517</v>
      </c>
      <c r="L57" s="122">
        <v>694.71400000000006</v>
      </c>
      <c r="M57" s="122">
        <v>156.702</v>
      </c>
      <c r="N57" s="122">
        <v>0</v>
      </c>
      <c r="O57" s="122">
        <v>538.01199999999994</v>
      </c>
      <c r="P57" s="155">
        <v>537.21299999999997</v>
      </c>
      <c r="Q57" s="156"/>
      <c r="R57" s="157"/>
      <c r="S57" s="124">
        <f>100*(C57/OBR_MAR24_1.1!C57)</f>
        <v>101.83633464017544</v>
      </c>
      <c r="T57" s="124">
        <f>100*(D57/OBR_MAR24_1.1!D57)</f>
        <v>121.94797098163681</v>
      </c>
      <c r="U57" s="124">
        <f>100*(E57/OBR_MAR24_1.1!E57)</f>
        <v>101.47477526472375</v>
      </c>
      <c r="V57" s="124">
        <f>100*(K57/OBR_MAR24_1.1!N57)</f>
        <v>101.16995352505059</v>
      </c>
      <c r="W57" s="124">
        <f>100*(M57/OBR_MAR24_1.1!P57)</f>
        <v>100.66617415604023</v>
      </c>
      <c r="X57" s="124">
        <f>100*(O57/OBR_MAR24_1.1!R57)</f>
        <v>105.64563161129557</v>
      </c>
      <c r="Z57" s="124">
        <f t="shared" si="0"/>
        <v>1.1102248208040955</v>
      </c>
      <c r="AA57" s="124">
        <f t="shared" si="0"/>
        <v>3.1433789803780199</v>
      </c>
    </row>
    <row r="58" spans="1:27" ht="15.75">
      <c r="A58" s="110"/>
      <c r="B58" s="154" t="s">
        <v>164</v>
      </c>
      <c r="C58" s="122">
        <v>342.73</v>
      </c>
      <c r="D58" s="122">
        <v>126.02</v>
      </c>
      <c r="E58" s="122">
        <v>99.19</v>
      </c>
      <c r="F58" s="122">
        <v>17.678999999999998</v>
      </c>
      <c r="G58" s="122">
        <v>-0.58299999999999996</v>
      </c>
      <c r="H58" s="122">
        <v>567.35699999999997</v>
      </c>
      <c r="I58" s="122">
        <v>-7.6390000000000002</v>
      </c>
      <c r="J58" s="122">
        <v>559.71799999999996</v>
      </c>
      <c r="K58" s="122">
        <v>170.17699999999999</v>
      </c>
      <c r="L58" s="122">
        <v>729.89499999999998</v>
      </c>
      <c r="M58" s="122">
        <v>162.00800000000001</v>
      </c>
      <c r="N58" s="122">
        <v>0</v>
      </c>
      <c r="O58" s="122">
        <v>567.88699999999994</v>
      </c>
      <c r="P58" s="155">
        <v>569.78099999999995</v>
      </c>
      <c r="Q58" s="156"/>
      <c r="R58" s="157"/>
      <c r="S58" s="124">
        <f>100*(C58/OBR_MAR24_1.1!C58)</f>
        <v>101.86624501041757</v>
      </c>
      <c r="T58" s="124">
        <f>100*(D58/OBR_MAR24_1.1!D58)</f>
        <v>110.45084840835786</v>
      </c>
      <c r="U58" s="124">
        <f>100*(E58/OBR_MAR24_1.1!E58)</f>
        <v>100.32162796342745</v>
      </c>
      <c r="V58" s="124">
        <f>100*(K58/OBR_MAR24_1.1!N58)</f>
        <v>102.03253251152667</v>
      </c>
      <c r="W58" s="124">
        <f>100*(M58/OBR_MAR24_1.1!P58)</f>
        <v>100.2369682907966</v>
      </c>
      <c r="X58" s="124">
        <f>100*(O58/OBR_MAR24_1.1!R58)</f>
        <v>103.89843005311216</v>
      </c>
      <c r="Z58" s="124">
        <f t="shared" si="0"/>
        <v>2.9371020027202377E-2</v>
      </c>
      <c r="AA58" s="124">
        <f t="shared" si="0"/>
        <v>-9.4278916498005678</v>
      </c>
    </row>
    <row r="59" spans="1:27" ht="15.75">
      <c r="A59" s="110"/>
      <c r="B59" s="154" t="s">
        <v>165</v>
      </c>
      <c r="C59" s="122">
        <v>357.10300000000001</v>
      </c>
      <c r="D59" s="122">
        <v>126.34699999999999</v>
      </c>
      <c r="E59" s="122">
        <v>104.563</v>
      </c>
      <c r="F59" s="122">
        <v>18.065999999999999</v>
      </c>
      <c r="G59" s="122">
        <v>3.6840000000000002</v>
      </c>
      <c r="H59" s="122">
        <v>591.697</v>
      </c>
      <c r="I59" s="122">
        <v>0.58499999999999996</v>
      </c>
      <c r="J59" s="122">
        <v>592.28200000000004</v>
      </c>
      <c r="K59" s="122">
        <v>163.01</v>
      </c>
      <c r="L59" s="122">
        <v>755.29200000000003</v>
      </c>
      <c r="M59" s="122">
        <v>173.786</v>
      </c>
      <c r="N59" s="122">
        <v>0</v>
      </c>
      <c r="O59" s="122">
        <v>581.50599999999997</v>
      </c>
      <c r="P59" s="155">
        <v>583.95000000000005</v>
      </c>
      <c r="Q59" s="156"/>
      <c r="R59" s="157"/>
      <c r="S59" s="124">
        <f>100*(C59/OBR_MAR24_1.1!C59)</f>
        <v>103.10674677992625</v>
      </c>
      <c r="T59" s="124">
        <f>100*(D59/OBR_MAR24_1.1!D59)</f>
        <v>109.72765011376859</v>
      </c>
      <c r="U59" s="124">
        <f>100*(E59/OBR_MAR24_1.1!E59)</f>
        <v>106.44386306027506</v>
      </c>
      <c r="V59" s="124">
        <f>100*(K59/OBR_MAR24_1.1!N59)</f>
        <v>102.20254926424947</v>
      </c>
      <c r="W59" s="124">
        <f>100*(M59/OBR_MAR24_1.1!P59)</f>
        <v>103.14382541293496</v>
      </c>
      <c r="X59" s="124">
        <f>100*(O59/OBR_MAR24_1.1!R59)</f>
        <v>104.59568742850153</v>
      </c>
      <c r="Z59" s="124">
        <f t="shared" si="0"/>
        <v>1.2177751024216255</v>
      </c>
      <c r="AA59" s="124">
        <f t="shared" si="0"/>
        <v>-0.65476934311583523</v>
      </c>
    </row>
    <row r="60" spans="1:27" ht="15.75">
      <c r="A60" s="110"/>
      <c r="B60" s="154" t="s">
        <v>166</v>
      </c>
      <c r="C60" s="122">
        <v>362.99599999999998</v>
      </c>
      <c r="D60" s="122">
        <v>127.25</v>
      </c>
      <c r="E60" s="122">
        <v>104.934</v>
      </c>
      <c r="F60" s="122">
        <v>17.928000000000001</v>
      </c>
      <c r="G60" s="122">
        <v>-2.9590000000000001</v>
      </c>
      <c r="H60" s="122">
        <v>592.221</v>
      </c>
      <c r="I60" s="122">
        <v>5.1790000000000003</v>
      </c>
      <c r="J60" s="122">
        <v>597.4</v>
      </c>
      <c r="K60" s="122">
        <v>186.322</v>
      </c>
      <c r="L60" s="122">
        <v>783.72199999999998</v>
      </c>
      <c r="M60" s="122">
        <v>187.048</v>
      </c>
      <c r="N60" s="122">
        <v>0</v>
      </c>
      <c r="O60" s="122">
        <v>596.67399999999998</v>
      </c>
      <c r="P60" s="155">
        <v>605.66800000000001</v>
      </c>
      <c r="Q60" s="156"/>
      <c r="R60" s="157"/>
      <c r="S60" s="124">
        <f>100*(C60/OBR_MAR24_1.1!C60)</f>
        <v>104.51010707365596</v>
      </c>
      <c r="T60" s="124">
        <f>100*(D60/OBR_MAR24_1.1!D60)</f>
        <v>109.31754922511254</v>
      </c>
      <c r="U60" s="124">
        <f>100*(E60/OBR_MAR24_1.1!E60)</f>
        <v>106.24076136478689</v>
      </c>
      <c r="V60" s="124">
        <f>100*(K60/OBR_MAR24_1.1!N60)</f>
        <v>106.12828443350821</v>
      </c>
      <c r="W60" s="124">
        <f>100*(M60/OBR_MAR24_1.1!P60)</f>
        <v>108.69575323679132</v>
      </c>
      <c r="X60" s="124">
        <f>100*(O60/OBR_MAR24_1.1!R60)</f>
        <v>105.71697374412435</v>
      </c>
      <c r="Z60" s="124">
        <f t="shared" si="0"/>
        <v>1.3610751357765905</v>
      </c>
      <c r="AA60" s="124">
        <f t="shared" si="0"/>
        <v>-0.37374434632551079</v>
      </c>
    </row>
    <row r="61" spans="1:27" ht="15.75">
      <c r="A61" s="110"/>
      <c r="B61" s="154" t="s">
        <v>167</v>
      </c>
      <c r="C61" s="122">
        <v>373.512</v>
      </c>
      <c r="D61" s="122">
        <v>133.14599999999999</v>
      </c>
      <c r="E61" s="122">
        <v>110.419</v>
      </c>
      <c r="F61" s="122">
        <v>19.375</v>
      </c>
      <c r="G61" s="122">
        <v>8.4939999999999998</v>
      </c>
      <c r="H61" s="122">
        <v>625.57100000000003</v>
      </c>
      <c r="I61" s="122">
        <v>9.7309999999999999</v>
      </c>
      <c r="J61" s="122">
        <v>635.30200000000002</v>
      </c>
      <c r="K61" s="122">
        <v>179.13200000000001</v>
      </c>
      <c r="L61" s="122">
        <v>814.43399999999997</v>
      </c>
      <c r="M61" s="122">
        <v>212.54</v>
      </c>
      <c r="N61" s="122">
        <v>6.4349999999999996</v>
      </c>
      <c r="O61" s="122">
        <v>608.32899999999995</v>
      </c>
      <c r="P61" s="155">
        <v>601.96</v>
      </c>
      <c r="Q61" s="156"/>
      <c r="R61" s="157"/>
      <c r="S61" s="124">
        <f>100*(C61/OBR_MAR24_1.1!C61)</f>
        <v>106.71862901682015</v>
      </c>
      <c r="T61" s="124">
        <f>100*(D61/OBR_MAR24_1.1!D61)</f>
        <v>113.21938775510203</v>
      </c>
      <c r="U61" s="124">
        <f>100*(E61/OBR_MAR24_1.1!E61)</f>
        <v>106.34287750522473</v>
      </c>
      <c r="V61" s="124">
        <f>100*(K61/OBR_MAR24_1.1!N61)</f>
        <v>110.46280023432924</v>
      </c>
      <c r="W61" s="124">
        <f>100*(M61/OBR_MAR24_1.1!P61)</f>
        <v>112.7598958029381</v>
      </c>
      <c r="X61" s="124">
        <f>100*(O61/OBR_MAR24_1.1!R61)</f>
        <v>107.21418550712379</v>
      </c>
      <c r="Z61" s="124">
        <f t="shared" si="0"/>
        <v>2.1132137407606777</v>
      </c>
      <c r="AA61" s="124">
        <f t="shared" si="0"/>
        <v>3.5692700372879971</v>
      </c>
    </row>
    <row r="62" spans="1:27" ht="15.75">
      <c r="A62" s="110"/>
      <c r="B62" s="154" t="s">
        <v>168</v>
      </c>
      <c r="C62" s="122">
        <v>385.74599999999998</v>
      </c>
      <c r="D62" s="122">
        <v>128.435</v>
      </c>
      <c r="E62" s="122">
        <v>113.29</v>
      </c>
      <c r="F62" s="122">
        <v>18.266999999999999</v>
      </c>
      <c r="G62" s="122">
        <v>2.581</v>
      </c>
      <c r="H62" s="122">
        <v>630.05200000000002</v>
      </c>
      <c r="I62" s="122">
        <v>10.917999999999999</v>
      </c>
      <c r="J62" s="122">
        <v>640.97</v>
      </c>
      <c r="K62" s="122">
        <v>199.08099999999999</v>
      </c>
      <c r="L62" s="122">
        <v>840.05100000000004</v>
      </c>
      <c r="M62" s="122">
        <v>226.69300000000001</v>
      </c>
      <c r="N62" s="122">
        <v>7.9139999999999997</v>
      </c>
      <c r="O62" s="122">
        <v>621.27200000000005</v>
      </c>
      <c r="P62" s="155">
        <v>630.94399999999996</v>
      </c>
      <c r="Q62" s="156"/>
      <c r="R62" s="157"/>
      <c r="S62" s="124">
        <f>100*(C62/OBR_MAR24_1.1!C62)</f>
        <v>109.78154455625881</v>
      </c>
      <c r="T62" s="124">
        <f>100*(D62/OBR_MAR24_1.1!D62)</f>
        <v>112.1213443910956</v>
      </c>
      <c r="U62" s="124">
        <f>100*(E62/OBR_MAR24_1.1!E62)</f>
        <v>108.62561604694423</v>
      </c>
      <c r="V62" s="124">
        <f>100*(K62/OBR_MAR24_1.1!N62)</f>
        <v>116.024034594897</v>
      </c>
      <c r="W62" s="124">
        <f>100*(M62/OBR_MAR24_1.1!P62)</f>
        <v>117.94334174449155</v>
      </c>
      <c r="X62" s="124">
        <f>100*(O62/OBR_MAR24_1.1!R62)</f>
        <v>109.4002525141357</v>
      </c>
      <c r="Z62" s="124">
        <f t="shared" si="0"/>
        <v>2.8700851647521786</v>
      </c>
      <c r="AA62" s="124">
        <f t="shared" si="0"/>
        <v>-0.96983686785300227</v>
      </c>
    </row>
    <row r="63" spans="1:27" ht="15.75">
      <c r="A63" s="110"/>
      <c r="B63" s="154" t="s">
        <v>169</v>
      </c>
      <c r="C63" s="122">
        <v>391.16899999999998</v>
      </c>
      <c r="D63" s="122">
        <v>132.11799999999999</v>
      </c>
      <c r="E63" s="122">
        <v>116.934</v>
      </c>
      <c r="F63" s="122">
        <v>19.225000000000001</v>
      </c>
      <c r="G63" s="122">
        <v>-11.955</v>
      </c>
      <c r="H63" s="122">
        <v>628.26599999999996</v>
      </c>
      <c r="I63" s="122">
        <v>2.7050000000000001</v>
      </c>
      <c r="J63" s="122">
        <v>630.971</v>
      </c>
      <c r="K63" s="122">
        <v>227.423</v>
      </c>
      <c r="L63" s="122">
        <v>858.39400000000001</v>
      </c>
      <c r="M63" s="122">
        <v>235.017</v>
      </c>
      <c r="N63" s="122">
        <v>7.1980000000000004</v>
      </c>
      <c r="O63" s="122">
        <v>630.57500000000005</v>
      </c>
      <c r="P63" s="155">
        <v>631.38599999999997</v>
      </c>
      <c r="Q63" s="156"/>
      <c r="R63" s="157"/>
      <c r="S63" s="124">
        <f>100*(C63/OBR_MAR24_1.1!C63)</f>
        <v>112.34193483536524</v>
      </c>
      <c r="T63" s="124">
        <f>100*(D63/OBR_MAR24_1.1!D63)</f>
        <v>114.79138790901351</v>
      </c>
      <c r="U63" s="124">
        <f>100*(E63/OBR_MAR24_1.1!E63)</f>
        <v>110.2256659691194</v>
      </c>
      <c r="V63" s="124">
        <f>100*(K63/OBR_MAR24_1.1!N63)</f>
        <v>119.36648733761974</v>
      </c>
      <c r="W63" s="124">
        <f>100*(M63/OBR_MAR24_1.1!P63)</f>
        <v>126.24666276315153</v>
      </c>
      <c r="X63" s="124">
        <f>100*(O63/OBR_MAR24_1.1!R63)</f>
        <v>111.12530729850469</v>
      </c>
      <c r="Z63" s="124">
        <f t="shared" si="0"/>
        <v>2.3322592968204381</v>
      </c>
      <c r="AA63" s="124">
        <f t="shared" si="0"/>
        <v>2.3813873552964271</v>
      </c>
    </row>
    <row r="64" spans="1:27" ht="15.75">
      <c r="A64" s="110"/>
      <c r="B64" s="154" t="s">
        <v>170</v>
      </c>
      <c r="C64" s="122">
        <v>399.839</v>
      </c>
      <c r="D64" s="122">
        <v>132.49299999999999</v>
      </c>
      <c r="E64" s="122">
        <v>118.785</v>
      </c>
      <c r="F64" s="122">
        <v>20.725999999999999</v>
      </c>
      <c r="G64" s="122">
        <v>-17.266999999999999</v>
      </c>
      <c r="H64" s="122">
        <v>633.85</v>
      </c>
      <c r="I64" s="122">
        <v>1.5629999999999999</v>
      </c>
      <c r="J64" s="122">
        <v>635.41300000000001</v>
      </c>
      <c r="K64" s="122">
        <v>232.125</v>
      </c>
      <c r="L64" s="122">
        <v>867.53800000000001</v>
      </c>
      <c r="M64" s="122">
        <v>230.339</v>
      </c>
      <c r="N64" s="122">
        <v>8.6059999999999999</v>
      </c>
      <c r="O64" s="122">
        <v>645.80499999999995</v>
      </c>
      <c r="P64" s="155">
        <v>654.04100000000005</v>
      </c>
      <c r="Q64" s="156"/>
      <c r="R64" s="157"/>
      <c r="S64" s="124">
        <f>100*(C64/OBR_MAR24_1.1!C64)</f>
        <v>114.92796863502575</v>
      </c>
      <c r="T64" s="124">
        <f>100*(D64/OBR_MAR24_1.1!D64)</f>
        <v>115.77507864383082</v>
      </c>
      <c r="U64" s="124">
        <f>100*(E64/OBR_MAR24_1.1!E64)</f>
        <v>111.33762618451762</v>
      </c>
      <c r="V64" s="124">
        <f>100*(K64/OBR_MAR24_1.1!N64)</f>
        <v>121.42143503528217</v>
      </c>
      <c r="W64" s="124">
        <f>100*(M64/OBR_MAR24_1.1!P64)</f>
        <v>123.10286407533498</v>
      </c>
      <c r="X64" s="124">
        <f>100*(O64/OBR_MAR24_1.1!R64)</f>
        <v>113.69125791765985</v>
      </c>
      <c r="Z64" s="124">
        <f t="shared" si="0"/>
        <v>2.3019309783566477</v>
      </c>
      <c r="AA64" s="124">
        <f t="shared" si="0"/>
        <v>0.85693774832396041</v>
      </c>
    </row>
    <row r="65" spans="1:31" ht="15.75">
      <c r="A65" s="110"/>
      <c r="B65" s="129" t="s">
        <v>171</v>
      </c>
      <c r="C65" s="122">
        <v>410.541</v>
      </c>
      <c r="D65" s="122">
        <v>133.13300000000001</v>
      </c>
      <c r="E65" s="122">
        <v>122.62</v>
      </c>
      <c r="F65" s="122">
        <v>22.13</v>
      </c>
      <c r="G65" s="122">
        <v>-5.3959999999999999</v>
      </c>
      <c r="H65" s="122">
        <v>660.89800000000002</v>
      </c>
      <c r="I65" s="122">
        <v>0.51100000000000001</v>
      </c>
      <c r="J65" s="122">
        <v>661.40899999999999</v>
      </c>
      <c r="K65" s="122">
        <v>219.303</v>
      </c>
      <c r="L65" s="122">
        <v>880.71199999999999</v>
      </c>
      <c r="M65" s="122">
        <v>226.30099999999999</v>
      </c>
      <c r="N65" s="122">
        <v>5.5129999999999999</v>
      </c>
      <c r="O65" s="122">
        <v>659.92399999999998</v>
      </c>
      <c r="P65" s="155">
        <v>656.49</v>
      </c>
      <c r="Q65" s="156"/>
      <c r="R65" s="157"/>
      <c r="S65" s="124">
        <f>100*(C65/OBR_MAR24_1.1!C65)</f>
        <v>117.06830916634587</v>
      </c>
      <c r="T65" s="124">
        <f>100*(D65/OBR_MAR24_1.1!D65)</f>
        <v>117.58995919376778</v>
      </c>
      <c r="U65" s="124">
        <f>100*(E65/OBR_MAR24_1.1!E65)</f>
        <v>112.19690731082441</v>
      </c>
      <c r="V65" s="124">
        <f>100*(K65/OBR_MAR24_1.1!N65)</f>
        <v>122.23361740788012</v>
      </c>
      <c r="W65" s="124">
        <f>100*(M65/OBR_MAR24_1.1!P65)</f>
        <v>122.88882493171363</v>
      </c>
      <c r="X65" s="124">
        <f>100*(O65/OBR_MAR24_1.1!R65)</f>
        <v>115.88348505282087</v>
      </c>
      <c r="Z65" s="124">
        <f t="shared" si="0"/>
        <v>1.8623321692190942</v>
      </c>
      <c r="AA65" s="124">
        <f t="shared" si="0"/>
        <v>1.5675917228441083</v>
      </c>
    </row>
    <row r="66" spans="1:31" ht="15.75">
      <c r="A66" s="110"/>
      <c r="B66" s="129" t="s">
        <v>172</v>
      </c>
      <c r="C66" s="122">
        <v>417.47899999999998</v>
      </c>
      <c r="D66" s="122">
        <v>140.10300000000001</v>
      </c>
      <c r="E66" s="122">
        <v>122.306</v>
      </c>
      <c r="F66" s="122">
        <v>21.341999999999999</v>
      </c>
      <c r="G66" s="122">
        <v>-3.1059999999999999</v>
      </c>
      <c r="H66" s="122">
        <v>676.78200000000004</v>
      </c>
      <c r="I66" s="122">
        <v>0.95299999999999996</v>
      </c>
      <c r="J66" s="122">
        <v>677.73500000000001</v>
      </c>
      <c r="K66" s="122">
        <v>217.52799999999999</v>
      </c>
      <c r="L66" s="122">
        <v>895.26300000000003</v>
      </c>
      <c r="M66" s="122">
        <v>225.08500000000001</v>
      </c>
      <c r="N66" s="122">
        <v>5.65</v>
      </c>
      <c r="O66" s="122">
        <v>675.82799999999997</v>
      </c>
      <c r="P66" s="155">
        <v>664.43299999999999</v>
      </c>
      <c r="Q66" s="156"/>
      <c r="R66" s="157"/>
      <c r="S66" s="124">
        <f>100*(C66/OBR_MAR24_1.1!C66)</f>
        <v>118.46165196344106</v>
      </c>
      <c r="T66" s="124">
        <f>100*(D66/OBR_MAR24_1.1!D66)</f>
        <v>120.66714323856445</v>
      </c>
      <c r="U66" s="124">
        <f>100*(E66/OBR_MAR24_1.1!E66)</f>
        <v>112.98997644232989</v>
      </c>
      <c r="V66" s="124">
        <f>100*(K66/OBR_MAR24_1.1!N66)</f>
        <v>121.75597087188443</v>
      </c>
      <c r="W66" s="124">
        <f>100*(M66/OBR_MAR24_1.1!P66)</f>
        <v>119.88931736833135</v>
      </c>
      <c r="X66" s="124">
        <f>100*(O66/OBR_MAR24_1.1!R66)</f>
        <v>118.6314590292564</v>
      </c>
      <c r="Z66" s="124">
        <f t="shared" si="0"/>
        <v>1.1901963964605855</v>
      </c>
      <c r="AA66" s="124">
        <f t="shared" si="0"/>
        <v>2.6168765308660413</v>
      </c>
    </row>
    <row r="67" spans="1:31" ht="15.75">
      <c r="A67" s="110"/>
      <c r="B67" s="129" t="s">
        <v>173</v>
      </c>
      <c r="C67" s="122">
        <v>418.48200000000003</v>
      </c>
      <c r="D67" s="122">
        <v>140.13800000000001</v>
      </c>
      <c r="E67" s="122">
        <v>121.398</v>
      </c>
      <c r="F67" s="122">
        <v>22.404</v>
      </c>
      <c r="G67" s="122">
        <v>-0.42899999999999999</v>
      </c>
      <c r="H67" s="122">
        <v>679.58900000000006</v>
      </c>
      <c r="I67" s="122">
        <v>5.0259999999999998</v>
      </c>
      <c r="J67" s="122">
        <v>684.61500000000001</v>
      </c>
      <c r="K67" s="122">
        <v>214.137</v>
      </c>
      <c r="L67" s="122">
        <v>898.75199999999995</v>
      </c>
      <c r="M67" s="122">
        <v>219.27699999999999</v>
      </c>
      <c r="N67" s="122">
        <v>5.7290000000000001</v>
      </c>
      <c r="O67" s="122">
        <v>685.20399999999995</v>
      </c>
      <c r="P67" s="155">
        <v>678.12900000000002</v>
      </c>
      <c r="Q67" s="156"/>
      <c r="R67" s="157"/>
      <c r="S67" s="124">
        <f>100*(C67/OBR_MAR24_1.1!C67)</f>
        <v>119.28341361913179</v>
      </c>
      <c r="T67" s="124">
        <f>100*(D67/OBR_MAR24_1.1!D67)</f>
        <v>119.78221105355831</v>
      </c>
      <c r="U67" s="124">
        <f>100*(E67/OBR_MAR24_1.1!E67)</f>
        <v>113.9930138221154</v>
      </c>
      <c r="V67" s="124">
        <f>100*(K67/OBR_MAR24_1.1!N67)</f>
        <v>120.58146148085164</v>
      </c>
      <c r="W67" s="124">
        <f>100*(M67/OBR_MAR24_1.1!P67)</f>
        <v>117.96442942910632</v>
      </c>
      <c r="X67" s="124">
        <f>100*(O67/OBR_MAR24_1.1!R67)</f>
        <v>120.4324434531499</v>
      </c>
      <c r="Z67" s="124">
        <f t="shared" si="0"/>
        <v>0.69369423950320641</v>
      </c>
      <c r="AA67" s="124">
        <f t="shared" si="0"/>
        <v>-0.73336631766991456</v>
      </c>
      <c r="AB67" s="124"/>
      <c r="AC67" s="124"/>
      <c r="AD67" s="124"/>
    </row>
    <row r="68" spans="1:31" ht="15.75">
      <c r="A68" s="110"/>
      <c r="B68" s="129" t="s">
        <v>174</v>
      </c>
      <c r="C68" s="122">
        <v>420.73544199999998</v>
      </c>
      <c r="D68" s="122">
        <v>143.01609962531003</v>
      </c>
      <c r="E68" s="122">
        <v>119.367284</v>
      </c>
      <c r="F68" s="122">
        <v>22.4044402</v>
      </c>
      <c r="G68" s="122">
        <v>-1.4665732900000001</v>
      </c>
      <c r="H68" s="122">
        <v>681.65225233530998</v>
      </c>
      <c r="I68" s="122">
        <v>0.56634485900000009</v>
      </c>
      <c r="J68" s="122">
        <v>682.21859719430995</v>
      </c>
      <c r="K68" s="122">
        <v>211.142831</v>
      </c>
      <c r="L68" s="122">
        <v>893.36142799999993</v>
      </c>
      <c r="M68" s="122">
        <v>215.32817399999999</v>
      </c>
      <c r="N68" s="122">
        <v>5.7194106300000005</v>
      </c>
      <c r="O68" s="122">
        <v>683.75266399999998</v>
      </c>
      <c r="P68" s="155">
        <v>678.75021100000004</v>
      </c>
      <c r="Q68" s="156"/>
      <c r="R68" s="157"/>
      <c r="S68" s="124">
        <f>100*(C68/OBR_MAR24_1.1!C68)</f>
        <v>120.0895951040134</v>
      </c>
      <c r="T68" s="124">
        <f>100*(D68/OBR_MAR24_1.1!D68)</f>
        <v>120.52253838015636</v>
      </c>
      <c r="U68" s="124">
        <f>100*(E68/OBR_MAR24_1.1!E68)</f>
        <v>114.35269358589875</v>
      </c>
      <c r="V68" s="124">
        <f>100*(K68/OBR_MAR24_1.1!N68)</f>
        <v>119.77908824343221</v>
      </c>
      <c r="W68" s="124">
        <f>100*(M68/OBR_MAR24_1.1!P68)</f>
        <v>116.22747318911979</v>
      </c>
      <c r="X68" s="124">
        <f>100*(O68/OBR_MAR24_1.1!R68)</f>
        <v>120.23146177226177</v>
      </c>
      <c r="Z68" s="124">
        <f t="shared" si="0"/>
        <v>0.67585380097832104</v>
      </c>
      <c r="AA68" s="124">
        <f t="shared" si="0"/>
        <v>0.61806116291092117</v>
      </c>
      <c r="AB68" s="124"/>
      <c r="AC68" s="124"/>
      <c r="AD68" s="124"/>
    </row>
    <row r="69" spans="1:31" ht="15.75">
      <c r="A69" s="110"/>
      <c r="B69" s="129" t="s">
        <v>175</v>
      </c>
      <c r="C69" s="122">
        <v>423.81570299999998</v>
      </c>
      <c r="D69" s="122">
        <v>144.38506083893833</v>
      </c>
      <c r="E69" s="122">
        <v>118.19904799999999</v>
      </c>
      <c r="F69" s="122">
        <v>22.389105300000001</v>
      </c>
      <c r="G69" s="122">
        <v>-1.4729028399999999</v>
      </c>
      <c r="H69" s="122">
        <v>684.9269089989383</v>
      </c>
      <c r="I69" s="122">
        <v>0.83897190799999999</v>
      </c>
      <c r="J69" s="122">
        <v>685.76588090693826</v>
      </c>
      <c r="K69" s="122">
        <v>209.49069599999999</v>
      </c>
      <c r="L69" s="122">
        <v>895.25657799999999</v>
      </c>
      <c r="M69" s="122">
        <v>215.12284199999999</v>
      </c>
      <c r="N69" s="122">
        <v>5.7238527299999999</v>
      </c>
      <c r="O69" s="122">
        <v>685.85758799999996</v>
      </c>
      <c r="P69" s="155">
        <v>680.10830299999998</v>
      </c>
      <c r="Q69" s="156"/>
      <c r="R69" s="157"/>
      <c r="S69" s="124">
        <f>100*(C69/OBR_MAR24_1.1!C69)</f>
        <v>120.64627186928354</v>
      </c>
      <c r="T69" s="124">
        <f>100*(D69/OBR_MAR24_1.1!D69)</f>
        <v>120.37779062667087</v>
      </c>
      <c r="U69" s="124">
        <f>100*(E69/OBR_MAR24_1.1!E69)</f>
        <v>114.84622483389724</v>
      </c>
      <c r="V69" s="124">
        <f>100*(K69/OBR_MAR24_1.1!N69)</f>
        <v>119.02184388533472</v>
      </c>
      <c r="W69" s="124">
        <f>100*(M69/OBR_MAR24_1.1!P69)</f>
        <v>116.3900439719495</v>
      </c>
      <c r="X69" s="124">
        <f>100*(O69/OBR_MAR24_1.1!R69)</f>
        <v>120.32484191656239</v>
      </c>
      <c r="Z69" s="124">
        <f t="shared" si="0"/>
        <v>0.46355120507151071</v>
      </c>
      <c r="AA69" s="124">
        <f t="shared" si="0"/>
        <v>-0.12010015340775393</v>
      </c>
      <c r="AB69" s="124"/>
      <c r="AC69" s="124"/>
      <c r="AD69" s="124"/>
    </row>
    <row r="70" spans="1:31" ht="15.75">
      <c r="A70" s="110"/>
      <c r="B70" s="129" t="s">
        <v>176</v>
      </c>
      <c r="C70" s="122">
        <v>427.26954899999998</v>
      </c>
      <c r="D70" s="122">
        <v>145.00696121362827</v>
      </c>
      <c r="E70" s="122">
        <v>117.921351</v>
      </c>
      <c r="F70" s="122">
        <v>22.463665099999993</v>
      </c>
      <c r="G70" s="122">
        <v>-1.4789651100000001</v>
      </c>
      <c r="H70" s="122">
        <v>688.71889610362837</v>
      </c>
      <c r="I70" s="122">
        <v>0.99307670299999995</v>
      </c>
      <c r="J70" s="122">
        <v>689.7119728066283</v>
      </c>
      <c r="K70" s="122">
        <v>208.97422599999999</v>
      </c>
      <c r="L70" s="122">
        <v>898.68619899999999</v>
      </c>
      <c r="M70" s="122">
        <v>215.62296900000001</v>
      </c>
      <c r="N70" s="122">
        <v>5.7263993800000001</v>
      </c>
      <c r="O70" s="122">
        <v>688.78962899999999</v>
      </c>
      <c r="P70" s="155">
        <v>680.51548400000001</v>
      </c>
      <c r="Q70" s="156"/>
      <c r="R70" s="157"/>
      <c r="S70" s="124">
        <f>100*(C70/OBR_MAR24_1.1!C70)</f>
        <v>121.13505706714085</v>
      </c>
      <c r="T70" s="124">
        <f>100*(D70/OBR_MAR24_1.1!D70)</f>
        <v>120.03758238798127</v>
      </c>
      <c r="U70" s="124">
        <f>100*(E70/OBR_MAR24_1.1!E70)</f>
        <v>115.31891705955108</v>
      </c>
      <c r="V70" s="124">
        <f>100*(K70/OBR_MAR24_1.1!N70)</f>
        <v>118.73861368095635</v>
      </c>
      <c r="W70" s="124">
        <f>100*(M70/OBR_MAR24_1.1!P70)</f>
        <v>116.88122017840861</v>
      </c>
      <c r="X70" s="124">
        <f>100*(O70/OBR_MAR24_1.1!R70)</f>
        <v>120.37837673423522</v>
      </c>
      <c r="Z70" s="124">
        <f t="shared" si="0"/>
        <v>0.40513908161778911</v>
      </c>
      <c r="AA70" s="124">
        <f t="shared" si="0"/>
        <v>-0.28261711476720297</v>
      </c>
      <c r="AB70" s="124"/>
      <c r="AC70" s="124"/>
      <c r="AD70" s="124"/>
    </row>
    <row r="71" spans="1:31" ht="15.75">
      <c r="A71" s="110"/>
      <c r="B71" s="129" t="s">
        <v>177</v>
      </c>
      <c r="C71" s="122">
        <v>430.71236700000003</v>
      </c>
      <c r="D71" s="122">
        <v>145.5186470578785</v>
      </c>
      <c r="E71" s="122">
        <v>118.14054700000001</v>
      </c>
      <c r="F71" s="122">
        <v>22.523503999999999</v>
      </c>
      <c r="G71" s="122">
        <v>-1.4845899899999999</v>
      </c>
      <c r="H71" s="122">
        <v>692.88697106787856</v>
      </c>
      <c r="I71" s="122">
        <v>0.89478095299999993</v>
      </c>
      <c r="J71" s="122">
        <v>693.78175202087846</v>
      </c>
      <c r="K71" s="122">
        <v>208.90941699999999</v>
      </c>
      <c r="L71" s="122">
        <v>902.69116899999995</v>
      </c>
      <c r="M71" s="122">
        <v>215.11982599999999</v>
      </c>
      <c r="N71" s="122">
        <v>5.7400804099999991</v>
      </c>
      <c r="O71" s="122">
        <v>693.31142299999999</v>
      </c>
      <c r="P71" s="155">
        <v>681.65854899999999</v>
      </c>
      <c r="Q71" s="156"/>
      <c r="R71" s="157"/>
      <c r="S71" s="124">
        <f>100*(C71/OBR_MAR24_1.1!C71)</f>
        <v>121.55441804419942</v>
      </c>
      <c r="T71" s="124">
        <f>100*(D71/OBR_MAR24_1.1!D71)</f>
        <v>119.65179249818097</v>
      </c>
      <c r="U71" s="124">
        <f>100*(E71/OBR_MAR24_1.1!E71)</f>
        <v>115.75750444139608</v>
      </c>
      <c r="V71" s="124">
        <f>100*(K71/OBR_MAR24_1.1!N71)</f>
        <v>118.62289241720356</v>
      </c>
      <c r="W71" s="124">
        <f>100*(M71/OBR_MAR24_1.1!P71)</f>
        <v>116.71941274709397</v>
      </c>
      <c r="X71" s="124">
        <f>100*(O71/OBR_MAR24_1.1!R71)</f>
        <v>120.66597471306591</v>
      </c>
      <c r="Z71" s="124">
        <f t="shared" ref="Z71:AE86" si="1">100*((S71/S70)-1)</f>
        <v>0.34619290832227367</v>
      </c>
      <c r="AA71" s="124">
        <f t="shared" si="1"/>
        <v>-0.32139091951499665</v>
      </c>
      <c r="AB71" s="124"/>
      <c r="AC71" s="124"/>
      <c r="AD71" s="124"/>
    </row>
    <row r="72" spans="1:31" ht="15.75">
      <c r="A72" s="110"/>
      <c r="B72" s="129" t="s">
        <v>178</v>
      </c>
      <c r="C72" s="122">
        <v>434.33846899999998</v>
      </c>
      <c r="D72" s="122">
        <v>146.18812641518812</v>
      </c>
      <c r="E72" s="122">
        <v>118.540918</v>
      </c>
      <c r="F72" s="122">
        <v>22.5354113</v>
      </c>
      <c r="G72" s="122">
        <v>-1.48973165</v>
      </c>
      <c r="H72" s="122">
        <v>697.57778176518809</v>
      </c>
      <c r="I72" s="122">
        <v>0.81106368699999998</v>
      </c>
      <c r="J72" s="122">
        <v>698.38884545218809</v>
      </c>
      <c r="K72" s="122">
        <v>209.11971100000002</v>
      </c>
      <c r="L72" s="122">
        <v>907.508556</v>
      </c>
      <c r="M72" s="122">
        <v>214.863024</v>
      </c>
      <c r="N72" s="122">
        <v>5.7562612600000005</v>
      </c>
      <c r="O72" s="122">
        <v>698.401793</v>
      </c>
      <c r="P72" s="155">
        <v>686.06135699999993</v>
      </c>
      <c r="Q72" s="156"/>
      <c r="R72" s="157"/>
      <c r="S72" s="124">
        <f>100*(C72/OBR_MAR24_1.1!C72)</f>
        <v>121.99209707277421</v>
      </c>
      <c r="T72" s="124">
        <f>100*(D72/OBR_MAR24_1.1!D72)</f>
        <v>119.56851596482873</v>
      </c>
      <c r="U72" s="124">
        <f>100*(E72/OBR_MAR24_1.1!E72)</f>
        <v>116.15841358604197</v>
      </c>
      <c r="V72" s="124">
        <f>100*(K72/OBR_MAR24_1.1!N72)</f>
        <v>118.60865123292596</v>
      </c>
      <c r="W72" s="124">
        <f>100*(M72/OBR_MAR24_1.1!P72)</f>
        <v>116.69239376979745</v>
      </c>
      <c r="X72" s="124">
        <f>100*(O72/OBR_MAR24_1.1!R72)</f>
        <v>121.00612273137416</v>
      </c>
      <c r="Z72" s="124">
        <f t="shared" si="1"/>
        <v>0.3600683838703711</v>
      </c>
      <c r="AA72" s="124">
        <f t="shared" si="1"/>
        <v>-6.9599068775760831E-2</v>
      </c>
      <c r="AB72" s="124"/>
      <c r="AC72" s="124"/>
      <c r="AD72" s="124"/>
    </row>
    <row r="73" spans="1:31" ht="15.75">
      <c r="A73" s="110"/>
      <c r="B73" s="129" t="s">
        <v>179</v>
      </c>
      <c r="C73" s="122">
        <v>438.31504999999999</v>
      </c>
      <c r="D73" s="122">
        <v>146.56539928555722</v>
      </c>
      <c r="E73" s="122">
        <v>119.093451</v>
      </c>
      <c r="F73" s="122">
        <v>22.5243872</v>
      </c>
      <c r="G73" s="122">
        <v>-1.4949578300000002</v>
      </c>
      <c r="H73" s="122">
        <v>702.47894245555733</v>
      </c>
      <c r="I73" s="122">
        <v>0.81531354599999994</v>
      </c>
      <c r="J73" s="122">
        <v>703.2942560015573</v>
      </c>
      <c r="K73" s="122">
        <v>209.433685</v>
      </c>
      <c r="L73" s="122">
        <v>912.72794099999999</v>
      </c>
      <c r="M73" s="122">
        <v>214.79523999999998</v>
      </c>
      <c r="N73" s="122">
        <v>5.7731294000000002</v>
      </c>
      <c r="O73" s="122">
        <v>703.70582999999999</v>
      </c>
      <c r="P73" s="155">
        <v>691.06652899999995</v>
      </c>
      <c r="Q73" s="156"/>
      <c r="R73" s="157"/>
      <c r="S73" s="124">
        <f>100*(C73/OBR_MAR24_1.1!C73)</f>
        <v>122.49958508638016</v>
      </c>
      <c r="T73" s="124">
        <f>100*(D73/OBR_MAR24_1.1!D73)</f>
        <v>119.36497151838698</v>
      </c>
      <c r="U73" s="124">
        <f>100*(E73/OBR_MAR24_1.1!E73)</f>
        <v>116.56591244159107</v>
      </c>
      <c r="V73" s="124">
        <f>100*(K73/OBR_MAR24_1.1!N73)</f>
        <v>118.63267812495808</v>
      </c>
      <c r="W73" s="124">
        <f>100*(M73/OBR_MAR24_1.1!P73)</f>
        <v>116.68059287651715</v>
      </c>
      <c r="X73" s="124">
        <f>100*(O73/OBR_MAR24_1.1!R73)</f>
        <v>121.36071887881505</v>
      </c>
      <c r="Z73" s="124">
        <f t="shared" si="1"/>
        <v>0.41600072937775234</v>
      </c>
      <c r="AA73" s="124">
        <f t="shared" si="1"/>
        <v>-0.1702324770022412</v>
      </c>
      <c r="AB73" s="124"/>
      <c r="AC73" s="124"/>
      <c r="AD73" s="124"/>
    </row>
    <row r="74" spans="1:31" ht="15.75">
      <c r="A74" s="110"/>
      <c r="B74" s="129" t="s">
        <v>180</v>
      </c>
      <c r="C74" s="122">
        <v>442.36994300000003</v>
      </c>
      <c r="D74" s="122">
        <v>147.01819816862636</v>
      </c>
      <c r="E74" s="122">
        <v>119.898321</v>
      </c>
      <c r="F74" s="122">
        <v>22.463920600000002</v>
      </c>
      <c r="G74" s="122">
        <v>-1.5001917900000001</v>
      </c>
      <c r="H74" s="122">
        <v>707.78627037862645</v>
      </c>
      <c r="I74" s="122">
        <v>0.76878389400000002</v>
      </c>
      <c r="J74" s="122">
        <v>708.55505427262642</v>
      </c>
      <c r="K74" s="122">
        <v>209.773932</v>
      </c>
      <c r="L74" s="122">
        <v>918.32898599999999</v>
      </c>
      <c r="M74" s="122">
        <v>214.74000599999999</v>
      </c>
      <c r="N74" s="122">
        <v>5.7921894400000005</v>
      </c>
      <c r="O74" s="122">
        <v>709.38117</v>
      </c>
      <c r="P74" s="155">
        <v>696.61159499999997</v>
      </c>
      <c r="Q74" s="156"/>
      <c r="R74" s="157"/>
      <c r="S74" s="124">
        <f>100*(C74/OBR_MAR24_1.1!C74)</f>
        <v>123.01358506514946</v>
      </c>
      <c r="T74" s="124">
        <f>100*(D74/OBR_MAR24_1.1!D74)</f>
        <v>119.31081664136241</v>
      </c>
      <c r="U74" s="124">
        <f>100*(E74/OBR_MAR24_1.1!E74)</f>
        <v>116.97401828421606</v>
      </c>
      <c r="V74" s="124">
        <f>100*(K74/OBR_MAR24_1.1!N74)</f>
        <v>118.66680561753944</v>
      </c>
      <c r="W74" s="124">
        <f>100*(M74/OBR_MAR24_1.1!P74)</f>
        <v>116.66222912297539</v>
      </c>
      <c r="X74" s="124">
        <f>100*(O74/OBR_MAR24_1.1!R74)</f>
        <v>121.76139252369542</v>
      </c>
      <c r="Z74" s="124">
        <f t="shared" si="1"/>
        <v>0.41959324058677971</v>
      </c>
      <c r="AA74" s="124">
        <f t="shared" si="1"/>
        <v>-4.5369153392060824E-2</v>
      </c>
      <c r="AB74" s="124"/>
      <c r="AC74" s="124"/>
      <c r="AD74" s="124"/>
    </row>
    <row r="75" spans="1:31" ht="15.75">
      <c r="A75" s="110"/>
      <c r="B75" s="129" t="s">
        <v>181</v>
      </c>
      <c r="C75" s="122">
        <v>446.49384000000003</v>
      </c>
      <c r="D75" s="122">
        <v>147.74547103899536</v>
      </c>
      <c r="E75" s="122">
        <v>120.75377999999999</v>
      </c>
      <c r="F75" s="122">
        <v>22.4528964</v>
      </c>
      <c r="G75" s="122">
        <v>-1.5054435000000002</v>
      </c>
      <c r="H75" s="122">
        <v>713.48764753899536</v>
      </c>
      <c r="I75" s="122">
        <v>0.86511137399999993</v>
      </c>
      <c r="J75" s="122">
        <v>714.35275891299534</v>
      </c>
      <c r="K75" s="122">
        <v>210.177673</v>
      </c>
      <c r="L75" s="122">
        <v>924.53043200000002</v>
      </c>
      <c r="M75" s="122">
        <v>214.73453899999998</v>
      </c>
      <c r="N75" s="122">
        <v>5.81403084</v>
      </c>
      <c r="O75" s="122">
        <v>715.60992399999998</v>
      </c>
      <c r="P75" s="155">
        <v>702.77763300000004</v>
      </c>
      <c r="Q75" s="156"/>
      <c r="R75" s="157"/>
      <c r="S75" s="124">
        <f>100*(C75/OBR_MAR24_1.1!C75)</f>
        <v>123.52733090138739</v>
      </c>
      <c r="T75" s="124">
        <f>100*(D75/OBR_MAR24_1.1!D75)</f>
        <v>119.60519300380652</v>
      </c>
      <c r="U75" s="124">
        <f>100*(E75/OBR_MAR24_1.1!E75)</f>
        <v>117.38350912397999</v>
      </c>
      <c r="V75" s="124">
        <f>100*(K75/OBR_MAR24_1.1!N75)</f>
        <v>118.72026871887607</v>
      </c>
      <c r="W75" s="124">
        <f>100*(M75/OBR_MAR24_1.1!P75)</f>
        <v>116.65739042252581</v>
      </c>
      <c r="X75" s="124">
        <f>100*(O75/OBR_MAR24_1.1!R75)</f>
        <v>122.22053469021115</v>
      </c>
      <c r="Z75" s="124">
        <f t="shared" si="1"/>
        <v>0.41763341501335205</v>
      </c>
      <c r="AA75" s="124">
        <f t="shared" si="1"/>
        <v>0.24673065756390944</v>
      </c>
      <c r="AB75" s="124"/>
      <c r="AC75" s="124"/>
      <c r="AD75" s="124"/>
    </row>
    <row r="76" spans="1:31" ht="15.75">
      <c r="A76" s="110"/>
      <c r="B76" s="129" t="s">
        <v>182</v>
      </c>
      <c r="C76" s="122">
        <v>450.689234</v>
      </c>
      <c r="D76" s="122">
        <v>148.75501140972383</v>
      </c>
      <c r="E76" s="122">
        <v>121.68544800000001</v>
      </c>
      <c r="F76" s="122">
        <v>22.4433832</v>
      </c>
      <c r="G76" s="122">
        <v>-1.5107265000000001</v>
      </c>
      <c r="H76" s="122">
        <v>719.61896690972378</v>
      </c>
      <c r="I76" s="122">
        <v>0.89614260099999998</v>
      </c>
      <c r="J76" s="122">
        <v>720.51510951072385</v>
      </c>
      <c r="K76" s="122">
        <v>210.66940400000001</v>
      </c>
      <c r="L76" s="122">
        <v>931.18451399999992</v>
      </c>
      <c r="M76" s="122">
        <v>214.84733399999999</v>
      </c>
      <c r="N76" s="122">
        <v>5.8374186000000003</v>
      </c>
      <c r="O76" s="122">
        <v>722.17459900000006</v>
      </c>
      <c r="P76" s="155">
        <v>709.25265899999999</v>
      </c>
      <c r="Q76" s="156"/>
      <c r="R76" s="157"/>
      <c r="S76" s="124">
        <f>100*(C76/OBR_MAR24_1.1!C76)</f>
        <v>124.04089192238087</v>
      </c>
      <c r="T76" s="124">
        <f>100*(D76/OBR_MAR24_1.1!D76)</f>
        <v>120.01243134398676</v>
      </c>
      <c r="U76" s="124">
        <f>100*(E76/OBR_MAR24_1.1!E76)</f>
        <v>117.7954381343947</v>
      </c>
      <c r="V76" s="124">
        <f>100*(K76/OBR_MAR24_1.1!N76)</f>
        <v>118.81797952768704</v>
      </c>
      <c r="W76" s="124">
        <f>100*(M76/OBR_MAR24_1.1!P76)</f>
        <v>116.69203742093998</v>
      </c>
      <c r="X76" s="124">
        <f>100*(O76/OBR_MAR24_1.1!R76)</f>
        <v>122.71218421439714</v>
      </c>
      <c r="Z76" s="124">
        <f t="shared" si="1"/>
        <v>0.41574687742864658</v>
      </c>
      <c r="AA76" s="124">
        <f t="shared" si="1"/>
        <v>0.34048550063145999</v>
      </c>
      <c r="AB76" s="124"/>
      <c r="AC76" s="124"/>
      <c r="AD76" s="124"/>
    </row>
    <row r="77" spans="1:31" ht="15.75">
      <c r="A77" s="110"/>
      <c r="B77" s="129" t="s">
        <v>183</v>
      </c>
      <c r="C77" s="122">
        <v>454.92765399999996</v>
      </c>
      <c r="D77" s="122">
        <v>149.89681928081168</v>
      </c>
      <c r="E77" s="122">
        <v>122.84514999999999</v>
      </c>
      <c r="F77" s="122">
        <v>22.485380899999999</v>
      </c>
      <c r="G77" s="122">
        <v>-1.51615024</v>
      </c>
      <c r="H77" s="122">
        <v>726.15347304081172</v>
      </c>
      <c r="I77" s="122">
        <v>0.81270447499999998</v>
      </c>
      <c r="J77" s="122">
        <v>726.96617751581175</v>
      </c>
      <c r="K77" s="122">
        <v>211.22824700000001</v>
      </c>
      <c r="L77" s="122">
        <v>938.19442400000003</v>
      </c>
      <c r="M77" s="122">
        <v>215.07481200000001</v>
      </c>
      <c r="N77" s="122">
        <v>5.8622552099999998</v>
      </c>
      <c r="O77" s="122">
        <v>728.98186699999997</v>
      </c>
      <c r="P77" s="155">
        <v>715.99269299999992</v>
      </c>
      <c r="Q77" s="156"/>
      <c r="R77" s="157"/>
      <c r="S77" s="124">
        <f>100*(C77/OBR_MAR24_1.1!C77)</f>
        <v>124.56036007600528</v>
      </c>
      <c r="T77" s="124">
        <f>100*(D77/OBR_MAR24_1.1!D77)</f>
        <v>120.47126375165593</v>
      </c>
      <c r="U77" s="124">
        <f>100*(E77/OBR_MAR24_1.1!E77)</f>
        <v>118.21834217005691</v>
      </c>
      <c r="V77" s="124">
        <f>100*(K77/OBR_MAR24_1.1!N77)</f>
        <v>118.94772146405366</v>
      </c>
      <c r="W77" s="124">
        <f>100*(M77/OBR_MAR24_1.1!P77)</f>
        <v>116.75289592832061</v>
      </c>
      <c r="X77" s="124">
        <f>100*(O77/OBR_MAR24_1.1!R77)</f>
        <v>123.23429069949192</v>
      </c>
      <c r="Z77" s="124">
        <f t="shared" si="1"/>
        <v>0.41878782518709468</v>
      </c>
      <c r="AA77" s="124">
        <f t="shared" si="1"/>
        <v>0.38232073338637651</v>
      </c>
      <c r="AB77" s="124"/>
      <c r="AC77" s="124"/>
      <c r="AD77" s="124"/>
    </row>
    <row r="78" spans="1:31" ht="15.75">
      <c r="A78" s="110"/>
      <c r="B78" s="129" t="s">
        <v>184</v>
      </c>
      <c r="C78" s="122">
        <v>459.23196799999999</v>
      </c>
      <c r="D78" s="122">
        <v>151.1468662453465</v>
      </c>
      <c r="E78" s="122">
        <v>123.960095</v>
      </c>
      <c r="F78" s="122">
        <v>22.548603100000001</v>
      </c>
      <c r="G78" s="122">
        <v>-1.52161412</v>
      </c>
      <c r="H78" s="122">
        <v>732.81731512534645</v>
      </c>
      <c r="I78" s="122">
        <v>0.70299693100000005</v>
      </c>
      <c r="J78" s="122">
        <v>733.52031205634648</v>
      </c>
      <c r="K78" s="122">
        <v>211.82351800000001</v>
      </c>
      <c r="L78" s="122">
        <v>945.34382999999991</v>
      </c>
      <c r="M78" s="122">
        <v>215.382497</v>
      </c>
      <c r="N78" s="122">
        <v>5.8880770399999998</v>
      </c>
      <c r="O78" s="122">
        <v>735.84941000000003</v>
      </c>
      <c r="P78" s="155">
        <v>722.77248499999996</v>
      </c>
      <c r="Q78" s="156"/>
      <c r="R78" s="157"/>
      <c r="S78" s="124">
        <f>100*(C78/OBR_MAR24_1.1!C78)</f>
        <v>125.09277399646963</v>
      </c>
      <c r="T78" s="124">
        <f>100*(D78/OBR_MAR24_1.1!D78)</f>
        <v>120.9715053217453</v>
      </c>
      <c r="U78" s="124">
        <f>100*(E78/OBR_MAR24_1.1!E78)</f>
        <v>118.64437524441034</v>
      </c>
      <c r="V78" s="124">
        <f>100*(K78/OBR_MAR24_1.1!N78)</f>
        <v>119.10190176791436</v>
      </c>
      <c r="W78" s="124">
        <f>100*(M78/OBR_MAR24_1.1!P78)</f>
        <v>116.8372456661378</v>
      </c>
      <c r="X78" s="124">
        <f>100*(O78/OBR_MAR24_1.1!R78)</f>
        <v>123.77710834893479</v>
      </c>
      <c r="Z78" s="124">
        <f t="shared" si="1"/>
        <v>0.42743447445034999</v>
      </c>
      <c r="AA78" s="124">
        <f t="shared" si="1"/>
        <v>0.41523725618135554</v>
      </c>
      <c r="AB78" s="124"/>
      <c r="AC78" s="124"/>
      <c r="AD78" s="124"/>
    </row>
    <row r="79" spans="1:31" ht="15.75">
      <c r="A79" s="110"/>
      <c r="B79" s="129" t="s">
        <v>185</v>
      </c>
      <c r="C79" s="122">
        <v>463.58413900000005</v>
      </c>
      <c r="D79" s="122">
        <v>152.28867411643432</v>
      </c>
      <c r="E79" s="122">
        <v>125.05894000000001</v>
      </c>
      <c r="F79" s="122">
        <v>22.590600800000001</v>
      </c>
      <c r="G79" s="122">
        <v>-1.52714723</v>
      </c>
      <c r="H79" s="122">
        <v>739.40460588643441</v>
      </c>
      <c r="I79" s="122">
        <v>0.62779634699999998</v>
      </c>
      <c r="J79" s="122">
        <v>740.03240223343448</v>
      </c>
      <c r="K79" s="122">
        <v>212.45666599999998</v>
      </c>
      <c r="L79" s="122">
        <v>952.48906799999997</v>
      </c>
      <c r="M79" s="122">
        <v>215.7791</v>
      </c>
      <c r="N79" s="122">
        <v>5.9139547199999996</v>
      </c>
      <c r="O79" s="122">
        <v>742.62392199999999</v>
      </c>
      <c r="P79" s="155">
        <v>729.46177399999999</v>
      </c>
      <c r="Q79" s="156"/>
      <c r="R79" s="157"/>
      <c r="S79" s="124">
        <f>100*(C79/OBR_MAR24_1.1!C79)</f>
        <v>125.6458100522532</v>
      </c>
      <c r="T79" s="124">
        <f>100*(D79/OBR_MAR24_1.1!D79)</f>
        <v>121.42671364906454</v>
      </c>
      <c r="U79" s="124">
        <f>100*(E79/OBR_MAR24_1.1!E79)</f>
        <v>119.07580790734835</v>
      </c>
      <c r="V79" s="124">
        <f>100*(K79/OBR_MAR24_1.1!N79)</f>
        <v>119.29515584407606</v>
      </c>
      <c r="W79" s="124">
        <f>100*(M79/OBR_MAR24_1.1!P79)</f>
        <v>116.95678358161929</v>
      </c>
      <c r="X79" s="124">
        <f>100*(O79/OBR_MAR24_1.1!R79)</f>
        <v>124.32109980517718</v>
      </c>
      <c r="Z79" s="124">
        <f t="shared" si="1"/>
        <v>0.44210072102099929</v>
      </c>
      <c r="AA79" s="124">
        <f t="shared" si="1"/>
        <v>0.37629384383415232</v>
      </c>
      <c r="AB79" s="124"/>
      <c r="AC79" s="124"/>
      <c r="AD79" s="124"/>
      <c r="AE79" s="124"/>
    </row>
    <row r="80" spans="1:31" ht="15.75">
      <c r="A80" s="110"/>
      <c r="B80" s="129" t="s">
        <v>186</v>
      </c>
      <c r="C80" s="122">
        <v>468.061305</v>
      </c>
      <c r="D80" s="122">
        <v>153.45451039443452</v>
      </c>
      <c r="E80" s="122">
        <v>126.188897</v>
      </c>
      <c r="F80" s="122">
        <v>22.6378849</v>
      </c>
      <c r="G80" s="122">
        <v>-1.5327814599999998</v>
      </c>
      <c r="H80" s="122">
        <v>746.1719309344345</v>
      </c>
      <c r="I80" s="122">
        <v>0.49661833300000002</v>
      </c>
      <c r="J80" s="122">
        <v>746.66854926743451</v>
      </c>
      <c r="K80" s="122">
        <v>213.21471499999998</v>
      </c>
      <c r="L80" s="122">
        <v>959.88326500000005</v>
      </c>
      <c r="M80" s="122">
        <v>216.29281</v>
      </c>
      <c r="N80" s="122">
        <v>5.9413577899999996</v>
      </c>
      <c r="O80" s="122">
        <v>749.53181299999994</v>
      </c>
      <c r="P80" s="155">
        <v>736.33639700000003</v>
      </c>
      <c r="Q80" s="156"/>
      <c r="R80" s="157"/>
      <c r="S80" s="124">
        <f>100*(C80/OBR_MAR24_1.1!C80)</f>
        <v>126.23399889546774</v>
      </c>
      <c r="T80" s="124">
        <f>100*(D80/OBR_MAR24_1.1!D80)</f>
        <v>121.88972819773547</v>
      </c>
      <c r="U80" s="124">
        <f>100*(E80/OBR_MAR24_1.1!E80)</f>
        <v>119.51512322381821</v>
      </c>
      <c r="V80" s="124">
        <f>100*(K80/OBR_MAR24_1.1!N80)</f>
        <v>119.54377649058199</v>
      </c>
      <c r="W80" s="124">
        <f>100*(M80/OBR_MAR24_1.1!P80)</f>
        <v>117.12703995665048</v>
      </c>
      <c r="X80" s="124">
        <f>100*(O80/OBR_MAR24_1.1!R80)</f>
        <v>124.89715767223251</v>
      </c>
      <c r="Z80" s="124">
        <f t="shared" si="1"/>
        <v>0.46813247729464713</v>
      </c>
      <c r="AA80" s="124">
        <f t="shared" si="1"/>
        <v>0.38131193273425179</v>
      </c>
      <c r="AB80" s="124"/>
      <c r="AC80" s="124"/>
      <c r="AD80" s="124"/>
      <c r="AE80" s="124"/>
    </row>
    <row r="81" spans="1:31" ht="15.75">
      <c r="A81" s="110"/>
      <c r="B81" s="129" t="s">
        <v>187</v>
      </c>
      <c r="C81" s="122">
        <v>472.62651299999999</v>
      </c>
      <c r="D81" s="122">
        <v>154.64437507934699</v>
      </c>
      <c r="E81" s="122">
        <v>127.21592999999999</v>
      </c>
      <c r="F81" s="122">
        <v>22.640455300000003</v>
      </c>
      <c r="G81" s="122">
        <v>-1.5385149200000001</v>
      </c>
      <c r="H81" s="122">
        <v>752.94830315934701</v>
      </c>
      <c r="I81" s="122">
        <v>0.48112870400000002</v>
      </c>
      <c r="J81" s="122">
        <v>753.42943186334708</v>
      </c>
      <c r="K81" s="122">
        <v>214.146107</v>
      </c>
      <c r="L81" s="122">
        <v>967.57554000000005</v>
      </c>
      <c r="M81" s="122">
        <v>217.16863699999999</v>
      </c>
      <c r="N81" s="122">
        <v>5.96884806</v>
      </c>
      <c r="O81" s="122">
        <v>756.37575100000004</v>
      </c>
      <c r="P81" s="155">
        <v>743.11387500000001</v>
      </c>
      <c r="Q81" s="122"/>
      <c r="R81" s="122"/>
      <c r="S81" s="124">
        <f>100*(C81/OBR_MAR24_1.1!C81)</f>
        <v>126.8518769445532</v>
      </c>
      <c r="T81" s="124">
        <f>100*(D81/OBR_MAR24_1.1!D81)</f>
        <v>122.36046171169212</v>
      </c>
      <c r="U81" s="124">
        <f>100*(E81/OBR_MAR24_1.1!E81)</f>
        <v>119.96217630333284</v>
      </c>
      <c r="V81" s="124">
        <f>100*(K81/OBR_MAR24_1.1!N81)</f>
        <v>119.87452063175937</v>
      </c>
      <c r="W81" s="124">
        <f>100*(M81/OBR_MAR24_1.1!P81)</f>
        <v>117.4019848616899</v>
      </c>
      <c r="X81" s="124">
        <f>100*(O81/OBR_MAR24_1.1!R81)</f>
        <v>125.47504854472442</v>
      </c>
      <c r="Z81" s="124">
        <f t="shared" si="1"/>
        <v>0.48947039188476094</v>
      </c>
      <c r="AA81" s="124">
        <f t="shared" si="1"/>
        <v>0.38619621268907167</v>
      </c>
      <c r="AB81" s="124"/>
      <c r="AC81" s="124"/>
      <c r="AD81" s="124"/>
      <c r="AE81" s="124"/>
    </row>
    <row r="82" spans="1:31" ht="15.75">
      <c r="A82" s="110"/>
      <c r="B82" s="129" t="s">
        <v>188</v>
      </c>
      <c r="C82" s="122">
        <v>477.26562199999995</v>
      </c>
      <c r="D82" s="122">
        <v>155.79581705071445</v>
      </c>
      <c r="E82" s="122">
        <v>128.21766099999999</v>
      </c>
      <c r="F82" s="122">
        <v>22.647835999999998</v>
      </c>
      <c r="G82" s="122">
        <v>-1.5443202499999999</v>
      </c>
      <c r="H82" s="122">
        <v>759.73477980071448</v>
      </c>
      <c r="I82" s="122">
        <v>0.47822680900000003</v>
      </c>
      <c r="J82" s="122">
        <v>760.21300660971451</v>
      </c>
      <c r="K82" s="122">
        <v>215.195549</v>
      </c>
      <c r="L82" s="122">
        <v>975.40855599999998</v>
      </c>
      <c r="M82" s="122">
        <v>218.15676400000001</v>
      </c>
      <c r="N82" s="122">
        <v>5.9965925999999996</v>
      </c>
      <c r="O82" s="122">
        <v>763.24838499999998</v>
      </c>
      <c r="P82" s="155">
        <v>749.99374999999998</v>
      </c>
      <c r="Q82" s="122"/>
      <c r="R82" s="122"/>
      <c r="S82" s="124">
        <f>100*(C82/OBR_MAR24_1.1!C82)</f>
        <v>127.48318790855836</v>
      </c>
      <c r="T82" s="124">
        <f>100*(D82/OBR_MAR24_1.1!D82)</f>
        <v>122.81430356382974</v>
      </c>
      <c r="U82" s="124">
        <f>100*(E82/OBR_MAR24_1.1!E82)</f>
        <v>120.41483406854469</v>
      </c>
      <c r="V82" s="124">
        <f>100*(K82/OBR_MAR24_1.1!N82)</f>
        <v>120.25594819968086</v>
      </c>
      <c r="W82" s="124">
        <f>100*(M82/OBR_MAR24_1.1!P82)</f>
        <v>117.72371307426135</v>
      </c>
      <c r="X82" s="124">
        <f>100*(O82/OBR_MAR24_1.1!R82)</f>
        <v>126.05828476974314</v>
      </c>
      <c r="Z82" s="124">
        <f t="shared" si="1"/>
        <v>0.49767569799625822</v>
      </c>
      <c r="AA82" s="124">
        <f t="shared" si="1"/>
        <v>0.37090563878956484</v>
      </c>
      <c r="AB82" s="124"/>
      <c r="AC82" s="124"/>
      <c r="AD82" s="124"/>
      <c r="AE82" s="124"/>
    </row>
    <row r="83" spans="1:31" ht="15.75">
      <c r="A83" s="110"/>
      <c r="B83" s="129" t="s">
        <v>189</v>
      </c>
      <c r="C83" s="122">
        <v>481.932323</v>
      </c>
      <c r="D83" s="122">
        <v>156.98568173562694</v>
      </c>
      <c r="E83" s="122">
        <v>129.06608299999999</v>
      </c>
      <c r="F83" s="122">
        <v>22.650406500000003</v>
      </c>
      <c r="G83" s="122">
        <v>-1.55018061</v>
      </c>
      <c r="H83" s="122">
        <v>766.43390712562689</v>
      </c>
      <c r="I83" s="122">
        <v>0.52823317699999994</v>
      </c>
      <c r="J83" s="122">
        <v>766.96214030262684</v>
      </c>
      <c r="K83" s="122">
        <v>216.37029100000001</v>
      </c>
      <c r="L83" s="122">
        <v>983.33243099999993</v>
      </c>
      <c r="M83" s="122">
        <v>219.24370099999999</v>
      </c>
      <c r="N83" s="122">
        <v>6.0244181799999996</v>
      </c>
      <c r="O83" s="122">
        <v>770.11314800000002</v>
      </c>
      <c r="P83" s="155">
        <v>756.79869499999995</v>
      </c>
      <c r="Q83" s="122"/>
      <c r="R83" s="122"/>
      <c r="S83" s="124">
        <f>100*(C83/OBR_MAR24_1.1!C83)</f>
        <v>128.11901504475205</v>
      </c>
      <c r="T83" s="124">
        <f>100*(D83/OBR_MAR24_1.1!D83)</f>
        <v>123.28150655984729</v>
      </c>
      <c r="U83" s="124">
        <f>100*(E83/OBR_MAR24_1.1!E83)</f>
        <v>120.87178215713756</v>
      </c>
      <c r="V83" s="124">
        <f>100*(K83/OBR_MAR24_1.1!N83)</f>
        <v>120.6916715743269</v>
      </c>
      <c r="W83" s="124">
        <f>100*(M83/OBR_MAR24_1.1!P83)</f>
        <v>118.09580790321345</v>
      </c>
      <c r="X83" s="124">
        <f>100*(O83/OBR_MAR24_1.1!R83)</f>
        <v>126.64322433115154</v>
      </c>
      <c r="Z83" s="124">
        <f t="shared" si="1"/>
        <v>0.49875371539167546</v>
      </c>
      <c r="AA83" s="124">
        <f t="shared" si="1"/>
        <v>0.38041415572962478</v>
      </c>
      <c r="AB83" s="124">
        <f t="shared" si="1"/>
        <v>0.37947823632158428</v>
      </c>
      <c r="AC83" s="124">
        <f t="shared" si="1"/>
        <v>0.36232999794949539</v>
      </c>
      <c r="AD83" s="124">
        <f t="shared" si="1"/>
        <v>0.31607466264453876</v>
      </c>
      <c r="AE83" s="124">
        <f t="shared" si="1"/>
        <v>0.46402310048629936</v>
      </c>
    </row>
    <row r="84" spans="1:31" ht="15.75">
      <c r="A84" s="110"/>
      <c r="B84" s="129" t="s">
        <v>190</v>
      </c>
      <c r="C84" s="122">
        <v>486.64846199999999</v>
      </c>
      <c r="D84" s="122">
        <v>158.23799754099687</v>
      </c>
      <c r="E84" s="122">
        <v>129.90604099999999</v>
      </c>
      <c r="F84" s="122">
        <v>22.628453099999998</v>
      </c>
      <c r="G84" s="122">
        <v>-1.5561473100000001</v>
      </c>
      <c r="H84" s="122">
        <v>773.23635323099688</v>
      </c>
      <c r="I84" s="122">
        <v>0.52121442200000001</v>
      </c>
      <c r="J84" s="122">
        <v>773.75756765299684</v>
      </c>
      <c r="K84" s="122">
        <v>217.629774</v>
      </c>
      <c r="L84" s="122">
        <v>991.38734099999999</v>
      </c>
      <c r="M84" s="122">
        <v>220.39024600000002</v>
      </c>
      <c r="N84" s="122">
        <v>6.0530190499999996</v>
      </c>
      <c r="O84" s="122">
        <v>777.05011399999989</v>
      </c>
      <c r="P84" s="155">
        <v>763.67306799999994</v>
      </c>
      <c r="Q84" s="122"/>
      <c r="R84" s="122"/>
      <c r="S84" s="124">
        <f>100*(C84/OBR_MAR24_1.1!C84)</f>
        <v>128.75969291823472</v>
      </c>
      <c r="T84" s="124">
        <f>100*(D84/OBR_MAR24_1.1!D84)</f>
        <v>123.77127746895114</v>
      </c>
      <c r="U84" s="124">
        <f>100*(E84/OBR_MAR24_1.1!E84)</f>
        <v>121.33702268091812</v>
      </c>
      <c r="V84" s="124">
        <f>100*(K84/OBR_MAR24_1.1!N84)</f>
        <v>121.15861733570755</v>
      </c>
      <c r="W84" s="124">
        <f>100*(M84/OBR_MAR24_1.1!P84)</f>
        <v>118.49692506943421</v>
      </c>
      <c r="X84" s="124">
        <f>100*(O84/OBR_MAR24_1.1!R84)</f>
        <v>127.24446198144773</v>
      </c>
      <c r="Z84" s="124">
        <f t="shared" si="1"/>
        <v>0.50006462605014512</v>
      </c>
      <c r="AA84" s="124">
        <f t="shared" si="1"/>
        <v>0.39727849113044833</v>
      </c>
      <c r="AB84" s="124">
        <f t="shared" si="1"/>
        <v>0.38490416495700064</v>
      </c>
      <c r="AC84" s="124">
        <f t="shared" si="1"/>
        <v>0.38689145264929614</v>
      </c>
      <c r="AD84" s="124">
        <f t="shared" si="1"/>
        <v>0.33965402611877415</v>
      </c>
      <c r="AE84" s="124">
        <f t="shared" si="1"/>
        <v>0.47474916520131583</v>
      </c>
    </row>
    <row r="85" spans="1:31" ht="15.75">
      <c r="A85" s="110"/>
      <c r="B85" s="129" t="s">
        <v>191</v>
      </c>
      <c r="C85" s="122">
        <v>491.40142599999996</v>
      </c>
      <c r="D85" s="122">
        <v>159.55276446682424</v>
      </c>
      <c r="E85" s="122">
        <v>130.813986</v>
      </c>
      <c r="F85" s="122">
        <v>22.581975999999997</v>
      </c>
      <c r="G85" s="122">
        <v>-1.56214903</v>
      </c>
      <c r="H85" s="122">
        <v>780.20602743682423</v>
      </c>
      <c r="I85" s="122">
        <v>0.46942919</v>
      </c>
      <c r="J85" s="122">
        <v>780.67545662682437</v>
      </c>
      <c r="K85" s="122">
        <v>218.87999100000002</v>
      </c>
      <c r="L85" s="122">
        <v>999.55544799999996</v>
      </c>
      <c r="M85" s="122">
        <v>221.55900500000001</v>
      </c>
      <c r="N85" s="122">
        <v>6.0823161700000004</v>
      </c>
      <c r="O85" s="122">
        <v>784.07875899999999</v>
      </c>
      <c r="P85" s="155">
        <v>770.67319799999996</v>
      </c>
      <c r="Q85" s="156"/>
      <c r="R85" s="157"/>
      <c r="S85" s="124">
        <f>100*(C85/OBR_MAR24_1.1!C85)</f>
        <v>129.40511202166971</v>
      </c>
      <c r="T85" s="124">
        <f>100*(D85/OBR_MAR24_1.1!D85)</f>
        <v>124.28334481060925</v>
      </c>
      <c r="U85" s="124">
        <f>100*(E85/OBR_MAR24_1.1!E85)</f>
        <v>121.80499241913671</v>
      </c>
      <c r="V85" s="124">
        <f>100*(K85/OBR_MAR24_1.1!N85)</f>
        <v>121.63973442125683</v>
      </c>
      <c r="W85" s="124">
        <f>100*(M85/OBR_MAR24_1.1!P85)</f>
        <v>118.90684262981095</v>
      </c>
      <c r="X85" s="124">
        <f>100*(O85/OBR_MAR24_1.1!R85)</f>
        <v>127.86033570501436</v>
      </c>
      <c r="Z85" s="124">
        <f t="shared" si="1"/>
        <v>0.50125865385906021</v>
      </c>
      <c r="AA85" s="124">
        <f t="shared" si="1"/>
        <v>0.41372065646374523</v>
      </c>
      <c r="AB85" s="124">
        <f t="shared" si="1"/>
        <v>0.38567761749783713</v>
      </c>
      <c r="AC85" s="124">
        <f t="shared" si="1"/>
        <v>0.39709687691154016</v>
      </c>
      <c r="AD85" s="124">
        <f t="shared" si="1"/>
        <v>0.34593096836610382</v>
      </c>
      <c r="AE85" s="124">
        <f t="shared" si="1"/>
        <v>0.48400827350461029</v>
      </c>
    </row>
    <row r="86" spans="1:31" ht="15.75">
      <c r="A86" s="110"/>
      <c r="B86" s="129" t="s">
        <v>192</v>
      </c>
      <c r="C86" s="122">
        <v>496.19731199999995</v>
      </c>
      <c r="D86" s="122">
        <v>160.9932594420446</v>
      </c>
      <c r="E86" s="122">
        <v>131.65745100000001</v>
      </c>
      <c r="F86" s="122">
        <v>22.523951700000001</v>
      </c>
      <c r="G86" s="122">
        <v>-1.5681679799999999</v>
      </c>
      <c r="H86" s="122">
        <v>787.27985446204457</v>
      </c>
      <c r="I86" s="122">
        <v>0.43292256300000004</v>
      </c>
      <c r="J86" s="122">
        <v>787.7127770250446</v>
      </c>
      <c r="K86" s="122">
        <v>220.15421599999999</v>
      </c>
      <c r="L86" s="122">
        <v>1007.86699</v>
      </c>
      <c r="M86" s="122">
        <v>222.76384899999999</v>
      </c>
      <c r="N86" s="122">
        <v>6.1121338299999994</v>
      </c>
      <c r="O86" s="122">
        <v>791.21527900000001</v>
      </c>
      <c r="P86" s="155">
        <v>777.79841699999997</v>
      </c>
      <c r="Q86" s="156"/>
      <c r="R86" s="157"/>
      <c r="S86" s="124">
        <f>100*(C86/OBR_MAR24_1.1!C86)</f>
        <v>130.05204497687464</v>
      </c>
      <c r="T86" s="124">
        <f>100*(D86/OBR_MAR24_1.1!D86)</f>
        <v>124.84185960126601</v>
      </c>
      <c r="U86" s="124">
        <f>100*(E86/OBR_MAR24_1.1!E86)</f>
        <v>122.27430633942529</v>
      </c>
      <c r="V86" s="124">
        <f>100*(K86/OBR_MAR24_1.1!N86)</f>
        <v>122.13004301156943</v>
      </c>
      <c r="W86" s="124">
        <f>100*(M86/OBR_MAR24_1.1!P86)</f>
        <v>119.32154720405899</v>
      </c>
      <c r="X86" s="124">
        <f>100*(O86/OBR_MAR24_1.1!R86)</f>
        <v>128.48715227207259</v>
      </c>
      <c r="Z86" s="124">
        <f t="shared" si="1"/>
        <v>0.4999284379867408</v>
      </c>
      <c r="AA86" s="124">
        <f t="shared" si="1"/>
        <v>0.44938828409217813</v>
      </c>
      <c r="AB86" s="124">
        <f t="shared" si="1"/>
        <v>0.38529941258371725</v>
      </c>
      <c r="AC86" s="124">
        <f t="shared" si="1"/>
        <v>0.40308258863388513</v>
      </c>
      <c r="AD86" s="124">
        <f t="shared" si="1"/>
        <v>0.34876426375152203</v>
      </c>
      <c r="AE86" s="124">
        <f t="shared" si="1"/>
        <v>0.49023535219268055</v>
      </c>
    </row>
    <row r="87" spans="1:31" ht="15.75">
      <c r="A87" s="110"/>
      <c r="B87" s="129" t="s">
        <v>193</v>
      </c>
      <c r="C87" s="122">
        <v>501.03375399999999</v>
      </c>
      <c r="D87" s="122">
        <v>162.22281873025509</v>
      </c>
      <c r="E87" s="122">
        <v>132.50564399999999</v>
      </c>
      <c r="F87" s="122">
        <v>22.466084900000006</v>
      </c>
      <c r="G87" s="122">
        <v>-1.5742034300000001</v>
      </c>
      <c r="H87" s="122">
        <v>794.18801330025508</v>
      </c>
      <c r="I87" s="122">
        <v>0.48894230599999999</v>
      </c>
      <c r="J87" s="122">
        <v>794.67695560625509</v>
      </c>
      <c r="K87" s="122">
        <v>221.39457300000001</v>
      </c>
      <c r="L87" s="122">
        <v>1016.0715300000001</v>
      </c>
      <c r="M87" s="122">
        <v>223.99872299999998</v>
      </c>
      <c r="N87" s="122">
        <v>6.1407033199999992</v>
      </c>
      <c r="O87" s="122">
        <v>798.21350899999993</v>
      </c>
      <c r="P87" s="155">
        <v>784.70093200000008</v>
      </c>
      <c r="Q87" s="156"/>
      <c r="R87" s="157"/>
      <c r="S87" s="124">
        <f>100*(C87/OBR_MAR24_1.1!C87)</f>
        <v>130.70058200882912</v>
      </c>
      <c r="T87" s="124">
        <f>100*(D87/OBR_MAR24_1.1!D87)</f>
        <v>125.31677527259097</v>
      </c>
      <c r="U87" s="124">
        <f>100*(E87/OBR_MAR24_1.1!E87)</f>
        <v>122.74490704623422</v>
      </c>
      <c r="V87" s="124">
        <f>100*(K87/OBR_MAR24_1.1!N87)</f>
        <v>122.6213995544813</v>
      </c>
      <c r="W87" s="124">
        <f>100*(M87/OBR_MAR24_1.1!P87)</f>
        <v>119.73757531493379</v>
      </c>
      <c r="X87" s="124">
        <f>100*(O87/OBR_MAR24_1.1!R87)</f>
        <v>129.08773001415148</v>
      </c>
      <c r="Z87" s="124">
        <f t="shared" ref="Z87:AE89" si="2">100*((S87/S86)-1)</f>
        <v>0.4986749974364546</v>
      </c>
      <c r="AA87" s="124">
        <f t="shared" si="2"/>
        <v>0.38041380738944586</v>
      </c>
      <c r="AB87" s="124">
        <f t="shared" si="2"/>
        <v>0.38487293111486576</v>
      </c>
      <c r="AC87" s="124">
        <f t="shared" si="2"/>
        <v>0.40232241862498963</v>
      </c>
      <c r="AD87" s="124">
        <f t="shared" si="2"/>
        <v>0.34866134459632381</v>
      </c>
      <c r="AE87" s="124">
        <f t="shared" si="2"/>
        <v>0.46742240874571017</v>
      </c>
    </row>
    <row r="88" spans="1:31" ht="15.75">
      <c r="A88" s="110"/>
      <c r="B88" s="129" t="s">
        <v>194</v>
      </c>
      <c r="C88" s="122">
        <v>505.91618099999999</v>
      </c>
      <c r="D88" s="122">
        <v>163.51691254595534</v>
      </c>
      <c r="E88" s="122">
        <v>133.389568</v>
      </c>
      <c r="F88" s="122">
        <v>22.408375299999999</v>
      </c>
      <c r="G88" s="122">
        <v>-1.58026793</v>
      </c>
      <c r="H88" s="122">
        <v>801.24239361595539</v>
      </c>
      <c r="I88" s="122">
        <v>0.51639848199999994</v>
      </c>
      <c r="J88" s="122">
        <v>801.75879209795539</v>
      </c>
      <c r="K88" s="122">
        <v>222.67911999999998</v>
      </c>
      <c r="L88" s="122">
        <v>1024.4379100000001</v>
      </c>
      <c r="M88" s="122">
        <v>225.24219299999999</v>
      </c>
      <c r="N88" s="122">
        <v>6.1700860199999994</v>
      </c>
      <c r="O88" s="122">
        <v>805.36580600000002</v>
      </c>
      <c r="P88" s="155">
        <v>791.79656599999998</v>
      </c>
      <c r="Q88" s="156"/>
      <c r="R88" s="157"/>
      <c r="S88" s="124">
        <f>100*(C88/OBR_MAR24_1.1!C88)</f>
        <v>131.35411497717172</v>
      </c>
      <c r="T88" s="124">
        <f>100*(D88/OBR_MAR24_1.1!D88)</f>
        <v>125.81463188084578</v>
      </c>
      <c r="U88" s="124">
        <f>100*(E88/OBR_MAR24_1.1!E88)</f>
        <v>123.21777241915581</v>
      </c>
      <c r="V88" s="124">
        <f>100*(K88/OBR_MAR24_1.1!N88)</f>
        <v>123.13336863428457</v>
      </c>
      <c r="W88" s="124">
        <f>100*(M88/OBR_MAR24_1.1!P88)</f>
        <v>120.15477072019655</v>
      </c>
      <c r="X88" s="124">
        <f>100*(O88/OBR_MAR24_1.1!R88)</f>
        <v>129.70540302492739</v>
      </c>
      <c r="Z88" s="124">
        <f t="shared" si="2"/>
        <v>0.500022997830607</v>
      </c>
      <c r="AA88" s="124">
        <f t="shared" si="2"/>
        <v>0.39727850255630859</v>
      </c>
      <c r="AB88" s="124">
        <f t="shared" si="2"/>
        <v>0.38524235693417896</v>
      </c>
      <c r="AC88" s="124">
        <f t="shared" si="2"/>
        <v>0.41752017320255685</v>
      </c>
      <c r="AD88" s="124">
        <f t="shared" si="2"/>
        <v>0.34842479828529616</v>
      </c>
      <c r="AE88" s="124">
        <f t="shared" si="2"/>
        <v>0.47849087648237365</v>
      </c>
    </row>
    <row r="89" spans="1:31" ht="15.75">
      <c r="A89" s="110"/>
      <c r="B89" s="158" t="s">
        <v>195</v>
      </c>
      <c r="C89" s="131">
        <v>510.87639200000001</v>
      </c>
      <c r="D89" s="131">
        <v>164.8755408891453</v>
      </c>
      <c r="E89" s="131">
        <v>134.28893100000002</v>
      </c>
      <c r="F89" s="131">
        <v>22.366625199999998</v>
      </c>
      <c r="G89" s="131">
        <v>-1.58636435</v>
      </c>
      <c r="H89" s="131">
        <v>808.45449953914522</v>
      </c>
      <c r="I89" s="131">
        <v>0.58018475400000002</v>
      </c>
      <c r="J89" s="131">
        <v>809.03468429314535</v>
      </c>
      <c r="K89" s="131">
        <v>224.075479</v>
      </c>
      <c r="L89" s="131">
        <v>1033.11016</v>
      </c>
      <c r="M89" s="131">
        <v>226.62949799999998</v>
      </c>
      <c r="N89" s="131">
        <v>6.2003031100000001</v>
      </c>
      <c r="O89" s="131">
        <v>812.68096800000001</v>
      </c>
      <c r="P89" s="159">
        <v>799.06560900000011</v>
      </c>
      <c r="Q89" s="156"/>
      <c r="R89" s="157"/>
      <c r="S89" s="124">
        <f>100*(C89/OBR_MAR24_1.1!C89)</f>
        <v>132.01255895651255</v>
      </c>
      <c r="T89" s="124">
        <f>100*(D89/OBR_MAR24_1.1!D89)</f>
        <v>126.33515390662706</v>
      </c>
      <c r="U89" s="124">
        <f>100*(E89/OBR_MAR24_1.1!E89)</f>
        <v>123.69312737034801</v>
      </c>
      <c r="V89" s="124">
        <f>100*(K89/OBR_MAR24_1.1!N89)</f>
        <v>123.71528794919348</v>
      </c>
      <c r="W89" s="124">
        <f>100*(M89/OBR_MAR24_1.1!P89)</f>
        <v>120.59896728723596</v>
      </c>
      <c r="X89" s="124">
        <f>100*(O89/OBR_MAR24_1.1!R89)</f>
        <v>130.340616260313</v>
      </c>
      <c r="Z89" s="124">
        <f t="shared" si="2"/>
        <v>0.5012739642418218</v>
      </c>
      <c r="AA89" s="124">
        <f t="shared" si="2"/>
        <v>0.4137213756459035</v>
      </c>
      <c r="AB89" s="124">
        <f t="shared" si="2"/>
        <v>0.38578440582026641</v>
      </c>
      <c r="AC89" s="124">
        <f t="shared" si="2"/>
        <v>0.47259270282555832</v>
      </c>
      <c r="AD89" s="124">
        <f t="shared" si="2"/>
        <v>0.36968699983941367</v>
      </c>
      <c r="AE89" s="124">
        <f t="shared" si="2"/>
        <v>0.48973536997800604</v>
      </c>
    </row>
    <row r="90" spans="1:31" ht="15.75">
      <c r="A90" s="110"/>
      <c r="B90" s="129">
        <v>2008</v>
      </c>
      <c r="C90" s="122">
        <v>1015.322</v>
      </c>
      <c r="D90" s="122">
        <v>324.77499999999998</v>
      </c>
      <c r="E90" s="122">
        <v>281.25200000000001</v>
      </c>
      <c r="F90" s="122">
        <v>48.298999999999999</v>
      </c>
      <c r="G90" s="122">
        <v>-0.189</v>
      </c>
      <c r="H90" s="122">
        <v>1621.16</v>
      </c>
      <c r="I90" s="122">
        <v>-0.68100000000000005</v>
      </c>
      <c r="J90" s="122">
        <v>1620.479</v>
      </c>
      <c r="K90" s="122">
        <v>438.33499999999998</v>
      </c>
      <c r="L90" s="122">
        <v>2058.8139999999999</v>
      </c>
      <c r="M90" s="122">
        <v>465.214</v>
      </c>
      <c r="N90" s="122">
        <v>0</v>
      </c>
      <c r="O90" s="122">
        <v>1593.6</v>
      </c>
      <c r="P90" s="123">
        <v>1572.569</v>
      </c>
      <c r="Q90" s="156"/>
      <c r="R90" s="157"/>
      <c r="S90" s="124">
        <f>100*(C90/OBR_MAR24_1.1!C90)</f>
        <v>84.286786362987328</v>
      </c>
      <c r="T90" s="124">
        <f>100*(D90/OBR_MAR24_1.1!D90)</f>
        <v>86.408503166072464</v>
      </c>
      <c r="U90" s="124">
        <f>100*(E90/OBR_MAR24_1.1!E90)</f>
        <v>84.727983684142345</v>
      </c>
      <c r="V90" s="124">
        <f>100*(K90/OBR_MAR24_1.1!N90)</f>
        <v>78.715334706506638</v>
      </c>
      <c r="W90" s="124">
        <f>100*(M90/OBR_MAR24_1.1!P90)</f>
        <v>87.136512883715966</v>
      </c>
      <c r="X90" s="124">
        <f>100*(O90/OBR_MAR24_1.1!R90)</f>
        <v>82.709869286642942</v>
      </c>
      <c r="Z90" s="124"/>
      <c r="AA90" s="124"/>
      <c r="AB90" s="124"/>
      <c r="AC90" s="124"/>
      <c r="AD90" s="124"/>
      <c r="AE90" s="124"/>
    </row>
    <row r="91" spans="1:31" ht="15.75">
      <c r="A91" s="110"/>
      <c r="B91" s="129">
        <v>2009</v>
      </c>
      <c r="C91" s="122">
        <v>995.66399999999999</v>
      </c>
      <c r="D91" s="122">
        <v>340.57100000000003</v>
      </c>
      <c r="E91" s="122">
        <v>250.06800000000001</v>
      </c>
      <c r="F91" s="122">
        <v>52.222999999999999</v>
      </c>
      <c r="G91" s="122">
        <v>2.3540000000000001</v>
      </c>
      <c r="H91" s="122">
        <v>1588.6569999999999</v>
      </c>
      <c r="I91" s="122">
        <v>-20.63</v>
      </c>
      <c r="J91" s="122">
        <v>1568.027</v>
      </c>
      <c r="K91" s="122">
        <v>416.34199999999998</v>
      </c>
      <c r="L91" s="122">
        <v>1984.3689999999999</v>
      </c>
      <c r="M91" s="122">
        <v>435.56700000000001</v>
      </c>
      <c r="N91" s="122">
        <v>0</v>
      </c>
      <c r="O91" s="122">
        <v>1548.8019999999999</v>
      </c>
      <c r="P91" s="123">
        <v>1535.79</v>
      </c>
      <c r="S91" s="124">
        <f>100*(C91/OBR_MAR24_1.1!C91)</f>
        <v>85.096941544483713</v>
      </c>
      <c r="T91" s="124">
        <f>100*(D91/OBR_MAR24_1.1!D91)</f>
        <v>89.426737878047888</v>
      </c>
      <c r="U91" s="124">
        <f>100*(E91/OBR_MAR24_1.1!E91)</f>
        <v>85.872051097146397</v>
      </c>
      <c r="V91" s="124">
        <f>100*(K91/OBR_MAR24_1.1!N91)</f>
        <v>82.016177009420161</v>
      </c>
      <c r="W91" s="124">
        <f>100*(M91/OBR_MAR24_1.1!P91)</f>
        <v>87.747286396931429</v>
      </c>
      <c r="X91" s="124">
        <f>100*(O91/OBR_MAR24_1.1!R91)</f>
        <v>84.274005518503742</v>
      </c>
      <c r="Z91" s="124">
        <f t="shared" ref="Z91:AE106" si="3">100*((S91/S90)-1)</f>
        <v>0.96118883689240153</v>
      </c>
      <c r="AA91" s="124">
        <f t="shared" si="3"/>
        <v>3.4929834465186049</v>
      </c>
      <c r="AB91" s="124">
        <f t="shared" si="3"/>
        <v>1.3502828265913092</v>
      </c>
      <c r="AC91" s="124">
        <f t="shared" si="3"/>
        <v>4.1933916881899069</v>
      </c>
      <c r="AD91" s="124">
        <f t="shared" si="3"/>
        <v>0.70093866853560005</v>
      </c>
      <c r="AE91" s="124">
        <f t="shared" si="3"/>
        <v>1.8911119620320882</v>
      </c>
    </row>
    <row r="92" spans="1:31" ht="15.75">
      <c r="A92" s="110"/>
      <c r="B92" s="129">
        <v>2010</v>
      </c>
      <c r="C92" s="122">
        <v>1027.116</v>
      </c>
      <c r="D92" s="122">
        <v>346.31599999999997</v>
      </c>
      <c r="E92" s="122">
        <v>258.29000000000002</v>
      </c>
      <c r="F92" s="122">
        <v>51.576999999999998</v>
      </c>
      <c r="G92" s="122">
        <v>0.438</v>
      </c>
      <c r="H92" s="122">
        <v>1632.16</v>
      </c>
      <c r="I92" s="122">
        <v>1.4750000000000001</v>
      </c>
      <c r="J92" s="122">
        <v>1633.635</v>
      </c>
      <c r="K92" s="122">
        <v>464.17599999999999</v>
      </c>
      <c r="L92" s="122">
        <v>2097.8110000000001</v>
      </c>
      <c r="M92" s="122">
        <v>489.25799999999998</v>
      </c>
      <c r="N92" s="122">
        <v>0</v>
      </c>
      <c r="O92" s="122">
        <v>1608.5530000000001</v>
      </c>
      <c r="P92" s="123">
        <v>1609.26</v>
      </c>
      <c r="S92" s="124">
        <f>100*(C92/OBR_MAR24_1.1!C92)</f>
        <v>85.933871021719483</v>
      </c>
      <c r="T92" s="124">
        <f>100*(D92/OBR_MAR24_1.1!D92)</f>
        <v>90.953642836319887</v>
      </c>
      <c r="U92" s="124">
        <f>100*(E92/OBR_MAR24_1.1!E92)</f>
        <v>84.676361824333199</v>
      </c>
      <c r="V92" s="124">
        <f>100*(K92/OBR_MAR24_1.1!N92)</f>
        <v>85.821680616646418</v>
      </c>
      <c r="W92" s="124">
        <f>100*(M92/OBR_MAR24_1.1!P92)</f>
        <v>90.455254731143825</v>
      </c>
      <c r="X92" s="124">
        <f>100*(O92/OBR_MAR24_1.1!R92)</f>
        <v>85.608687784731984</v>
      </c>
      <c r="Z92" s="124">
        <f t="shared" si="3"/>
        <v>0.98350124228410163</v>
      </c>
      <c r="AA92" s="124">
        <f t="shared" si="3"/>
        <v>1.7074367180364591</v>
      </c>
      <c r="AB92" s="124">
        <f t="shared" si="3"/>
        <v>-1.3924079575792669</v>
      </c>
      <c r="AC92" s="124">
        <f t="shared" si="3"/>
        <v>4.6399426869033089</v>
      </c>
      <c r="AD92" s="124">
        <f t="shared" si="3"/>
        <v>3.0860992349811323</v>
      </c>
      <c r="AE92" s="124">
        <f t="shared" si="3"/>
        <v>1.5837413423231528</v>
      </c>
    </row>
    <row r="93" spans="1:31" ht="15.75">
      <c r="A93" s="110"/>
      <c r="B93" s="129">
        <v>2011</v>
      </c>
      <c r="C93" s="122">
        <v>1063.4659999999999</v>
      </c>
      <c r="D93" s="122">
        <v>347.41899999999998</v>
      </c>
      <c r="E93" s="122">
        <v>261.22000000000003</v>
      </c>
      <c r="F93" s="122">
        <v>48.039000000000001</v>
      </c>
      <c r="G93" s="122">
        <v>0.67600000000000005</v>
      </c>
      <c r="H93" s="122">
        <v>1672.7809999999999</v>
      </c>
      <c r="I93" s="122">
        <v>2.9470000000000001</v>
      </c>
      <c r="J93" s="122">
        <v>1675.7280000000001</v>
      </c>
      <c r="K93" s="122">
        <v>521.84699999999998</v>
      </c>
      <c r="L93" s="122">
        <v>2197.5749999999998</v>
      </c>
      <c r="M93" s="122">
        <v>534.98500000000001</v>
      </c>
      <c r="N93" s="122">
        <v>0</v>
      </c>
      <c r="O93" s="122">
        <v>1662.59</v>
      </c>
      <c r="P93" s="123">
        <v>1669.5350000000001</v>
      </c>
      <c r="S93" s="124">
        <f>100*(C93/OBR_MAR24_1.1!C93)</f>
        <v>89.271617685327413</v>
      </c>
      <c r="T93" s="124">
        <f>100*(D93/OBR_MAR24_1.1!D93)</f>
        <v>91.302313969225906</v>
      </c>
      <c r="U93" s="124">
        <f>100*(E93/OBR_MAR24_1.1!E93)</f>
        <v>85.546611473895879</v>
      </c>
      <c r="V93" s="124">
        <f>100*(K93/OBR_MAR24_1.1!N93)</f>
        <v>90.232962670295493</v>
      </c>
      <c r="W93" s="124">
        <f>100*(M93/OBR_MAR24_1.1!P93)</f>
        <v>96.095365199569642</v>
      </c>
      <c r="X93" s="124">
        <f>100*(O93/OBR_MAR24_1.1!R93)</f>
        <v>87.48282009349235</v>
      </c>
      <c r="Z93" s="124">
        <f t="shared" si="3"/>
        <v>3.8840874080539489</v>
      </c>
      <c r="AA93" s="124">
        <f t="shared" si="3"/>
        <v>0.38335037721741738</v>
      </c>
      <c r="AB93" s="124">
        <f t="shared" si="3"/>
        <v>1.027736231001608</v>
      </c>
      <c r="AC93" s="124">
        <f t="shared" si="3"/>
        <v>5.1400555453506636</v>
      </c>
      <c r="AD93" s="124">
        <f t="shared" si="3"/>
        <v>6.2352491131550947</v>
      </c>
      <c r="AE93" s="124">
        <f t="shared" si="3"/>
        <v>2.1891847162439637</v>
      </c>
    </row>
    <row r="94" spans="1:31" ht="15.75">
      <c r="A94" s="110"/>
      <c r="B94" s="129">
        <v>2012</v>
      </c>
      <c r="C94" s="122">
        <v>1100.0509999999999</v>
      </c>
      <c r="D94" s="122">
        <v>355.38400000000001</v>
      </c>
      <c r="E94" s="122">
        <v>270.01900000000001</v>
      </c>
      <c r="F94" s="122">
        <v>45.252000000000002</v>
      </c>
      <c r="G94" s="122">
        <v>0.35199999999999998</v>
      </c>
      <c r="H94" s="122">
        <v>1725.806</v>
      </c>
      <c r="I94" s="122">
        <v>4.8550000000000004</v>
      </c>
      <c r="J94" s="122">
        <v>1730.6610000000001</v>
      </c>
      <c r="K94" s="122">
        <v>524.71500000000003</v>
      </c>
      <c r="L94" s="122">
        <v>2255.3760000000002</v>
      </c>
      <c r="M94" s="122">
        <v>541.66099999999994</v>
      </c>
      <c r="N94" s="122">
        <v>0</v>
      </c>
      <c r="O94" s="122">
        <v>1713.7149999999999</v>
      </c>
      <c r="P94" s="123">
        <v>1697.7550000000001</v>
      </c>
      <c r="S94" s="124">
        <f>100*(C94/OBR_MAR24_1.1!C94)</f>
        <v>90.777739359485452</v>
      </c>
      <c r="T94" s="124">
        <f>100*(D94/OBR_MAR24_1.1!D94)</f>
        <v>92.023574010585534</v>
      </c>
      <c r="U94" s="124">
        <f>100*(E94/OBR_MAR24_1.1!E94)</f>
        <v>87.04057094596773</v>
      </c>
      <c r="V94" s="124">
        <f>100*(K94/OBR_MAR24_1.1!N94)</f>
        <v>90.044428885468193</v>
      </c>
      <c r="W94" s="124">
        <f>100*(M94/OBR_MAR24_1.1!P94)</f>
        <v>94.964103193457035</v>
      </c>
      <c r="X94" s="124">
        <f>100*(O94/OBR_MAR24_1.1!R94)</f>
        <v>88.829008894226646</v>
      </c>
      <c r="Z94" s="124">
        <f t="shared" si="3"/>
        <v>1.6871226412261908</v>
      </c>
      <c r="AA94" s="124">
        <f t="shared" si="3"/>
        <v>0.78996907088546564</v>
      </c>
      <c r="AB94" s="124">
        <f t="shared" si="3"/>
        <v>1.7463689634600321</v>
      </c>
      <c r="AC94" s="124">
        <f t="shared" si="3"/>
        <v>-0.20894114439773404</v>
      </c>
      <c r="AD94" s="124">
        <f t="shared" si="3"/>
        <v>-1.1772284789835719</v>
      </c>
      <c r="AE94" s="124">
        <f t="shared" si="3"/>
        <v>1.5388036180082443</v>
      </c>
    </row>
    <row r="95" spans="1:31" ht="15.75">
      <c r="A95" s="110"/>
      <c r="B95" s="129">
        <v>2013</v>
      </c>
      <c r="C95" s="122">
        <v>1153.0920000000001</v>
      </c>
      <c r="D95" s="122">
        <v>358.572</v>
      </c>
      <c r="E95" s="122">
        <v>284.44400000000002</v>
      </c>
      <c r="F95" s="122">
        <v>43.567999999999998</v>
      </c>
      <c r="G95" s="122">
        <v>7.2149999999999999</v>
      </c>
      <c r="H95" s="122">
        <v>1803.3230000000001</v>
      </c>
      <c r="I95" s="122">
        <v>3.3380000000000001</v>
      </c>
      <c r="J95" s="122">
        <v>1806.6610000000001</v>
      </c>
      <c r="K95" s="122">
        <v>539.56399999999996</v>
      </c>
      <c r="L95" s="122">
        <v>2346.2249999999999</v>
      </c>
      <c r="M95" s="122">
        <v>564.86400000000003</v>
      </c>
      <c r="N95" s="122">
        <v>0</v>
      </c>
      <c r="O95" s="122">
        <v>1781.3610000000001</v>
      </c>
      <c r="P95" s="123">
        <v>1749.7919999999999</v>
      </c>
      <c r="S95" s="124">
        <f>100*(C95/OBR_MAR24_1.1!C95)</f>
        <v>92.808069231066412</v>
      </c>
      <c r="T95" s="124">
        <f>100*(D95/OBR_MAR24_1.1!D95)</f>
        <v>92.642294277225162</v>
      </c>
      <c r="U95" s="124">
        <f>100*(E95/OBR_MAR24_1.1!E95)</f>
        <v>88.804663084641732</v>
      </c>
      <c r="V95" s="124">
        <f>100*(K95/OBR_MAR24_1.1!N95)</f>
        <v>92.329911514116503</v>
      </c>
      <c r="W95" s="124">
        <f>100*(M95/OBR_MAR24_1.1!P95)</f>
        <v>95.921098212890826</v>
      </c>
      <c r="X95" s="124">
        <f>100*(O95/OBR_MAR24_1.1!R95)</f>
        <v>90.70957583917361</v>
      </c>
      <c r="Z95" s="124">
        <f t="shared" si="3"/>
        <v>2.2365944403404114</v>
      </c>
      <c r="AA95" s="124">
        <f t="shared" si="3"/>
        <v>0.67234974656433799</v>
      </c>
      <c r="AB95" s="124">
        <f t="shared" si="3"/>
        <v>2.0267469750044453</v>
      </c>
      <c r="AC95" s="124">
        <f t="shared" si="3"/>
        <v>2.5381721633831678</v>
      </c>
      <c r="AD95" s="124">
        <f t="shared" si="3"/>
        <v>1.0077439656164033</v>
      </c>
      <c r="AE95" s="124">
        <f t="shared" si="3"/>
        <v>2.117063973083666</v>
      </c>
    </row>
    <row r="96" spans="1:31" ht="15.75">
      <c r="A96" s="110"/>
      <c r="B96" s="160">
        <v>2014</v>
      </c>
      <c r="C96" s="122">
        <v>1198.6849999999999</v>
      </c>
      <c r="D96" s="122">
        <v>370.01100000000002</v>
      </c>
      <c r="E96" s="122">
        <v>308.66199999999998</v>
      </c>
      <c r="F96" s="122">
        <v>50.194000000000003</v>
      </c>
      <c r="G96" s="122">
        <v>6.1029999999999998</v>
      </c>
      <c r="H96" s="122">
        <v>1883.461</v>
      </c>
      <c r="I96" s="122">
        <v>15.23</v>
      </c>
      <c r="J96" s="122">
        <v>1898.691</v>
      </c>
      <c r="K96" s="122">
        <v>532.23599999999999</v>
      </c>
      <c r="L96" s="122">
        <v>2430.9270000000001</v>
      </c>
      <c r="M96" s="122">
        <v>568.41300000000001</v>
      </c>
      <c r="N96" s="122">
        <v>0</v>
      </c>
      <c r="O96" s="122">
        <v>1862.5139999999999</v>
      </c>
      <c r="P96" s="123">
        <v>1829.242</v>
      </c>
      <c r="S96" s="124">
        <f>100*(C96/OBR_MAR24_1.1!C96)</f>
        <v>93.933689993785734</v>
      </c>
      <c r="T96" s="124">
        <f>100*(D96/OBR_MAR24_1.1!D96)</f>
        <v>93.185567243980273</v>
      </c>
      <c r="U96" s="124">
        <f>100*(E96/OBR_MAR24_1.1!E96)</f>
        <v>90.030918212577291</v>
      </c>
      <c r="V96" s="124">
        <f>100*(K96/OBR_MAR24_1.1!N96)</f>
        <v>90.169755700877573</v>
      </c>
      <c r="W96" s="124">
        <f>100*(M96/OBR_MAR24_1.1!P96)</f>
        <v>91.844243223329585</v>
      </c>
      <c r="X96" s="124">
        <f>100*(O96/OBR_MAR24_1.1!R96)</f>
        <v>91.904926856564245</v>
      </c>
      <c r="Z96" s="124">
        <f t="shared" si="3"/>
        <v>1.212847947430995</v>
      </c>
      <c r="AA96" s="124">
        <f t="shared" si="3"/>
        <v>0.58642002661268844</v>
      </c>
      <c r="AB96" s="124">
        <f t="shared" si="3"/>
        <v>1.3808454256132752</v>
      </c>
      <c r="AC96" s="124">
        <f t="shared" si="3"/>
        <v>-2.3396056357193218</v>
      </c>
      <c r="AD96" s="124">
        <f t="shared" si="3"/>
        <v>-4.2502171738202144</v>
      </c>
      <c r="AE96" s="124">
        <f t="shared" si="3"/>
        <v>1.317778201840536</v>
      </c>
    </row>
    <row r="97" spans="1:31" ht="15.75">
      <c r="A97" s="110"/>
      <c r="B97" s="160">
        <v>2015</v>
      </c>
      <c r="C97" s="122">
        <v>1228.325</v>
      </c>
      <c r="D97" s="122">
        <v>374.63799999999998</v>
      </c>
      <c r="E97" s="122">
        <v>332.97300000000001</v>
      </c>
      <c r="F97" s="122">
        <v>51.664999999999999</v>
      </c>
      <c r="G97" s="122">
        <v>0.879</v>
      </c>
      <c r="H97" s="122">
        <v>1936.8150000000001</v>
      </c>
      <c r="I97" s="122">
        <v>8.6059999999999999</v>
      </c>
      <c r="J97" s="122">
        <v>1945.421</v>
      </c>
      <c r="K97" s="122">
        <v>533.654</v>
      </c>
      <c r="L97" s="122">
        <v>2479.0749999999998</v>
      </c>
      <c r="M97" s="122">
        <v>562.62400000000002</v>
      </c>
      <c r="N97" s="122">
        <v>0</v>
      </c>
      <c r="O97" s="122">
        <v>1916.451</v>
      </c>
      <c r="P97" s="123">
        <v>1874.682</v>
      </c>
      <c r="S97" s="124">
        <f>100*(C97/OBR_MAR24_1.1!C97)</f>
        <v>93.607135426946698</v>
      </c>
      <c r="T97" s="124">
        <f>100*(D97/OBR_MAR24_1.1!D97)</f>
        <v>93.159234908541123</v>
      </c>
      <c r="U97" s="124">
        <f>100*(E97/OBR_MAR24_1.1!E97)</f>
        <v>90.644362171285465</v>
      </c>
      <c r="V97" s="124">
        <f>100*(K97/OBR_MAR24_1.1!N97)</f>
        <v>87.122489727084087</v>
      </c>
      <c r="W97" s="124">
        <f>100*(M97/OBR_MAR24_1.1!P97)</f>
        <v>86.616437639133082</v>
      </c>
      <c r="X97" s="124">
        <f>100*(O97/OBR_MAR24_1.1!R97)</f>
        <v>92.512409723874896</v>
      </c>
      <c r="Z97" s="124">
        <f t="shared" si="3"/>
        <v>-0.34764371213420464</v>
      </c>
      <c r="AA97" s="124">
        <f t="shared" si="3"/>
        <v>-2.8257954764820958E-2</v>
      </c>
      <c r="AB97" s="124">
        <f t="shared" si="3"/>
        <v>0.68137032353678961</v>
      </c>
      <c r="AC97" s="124">
        <f t="shared" si="3"/>
        <v>-3.3794767991855879</v>
      </c>
      <c r="AD97" s="124">
        <f t="shared" si="3"/>
        <v>-5.6920340358017967</v>
      </c>
      <c r="AE97" s="124">
        <f t="shared" si="3"/>
        <v>0.6609905345539735</v>
      </c>
    </row>
    <row r="98" spans="1:31" ht="15.75">
      <c r="A98" s="110"/>
      <c r="B98" s="160">
        <v>2016</v>
      </c>
      <c r="C98" s="122">
        <v>1289.4449999999999</v>
      </c>
      <c r="D98" s="122">
        <v>382.76</v>
      </c>
      <c r="E98" s="122">
        <v>356.60199999999998</v>
      </c>
      <c r="F98" s="122">
        <v>51.473999999999997</v>
      </c>
      <c r="G98" s="122">
        <v>1.502</v>
      </c>
      <c r="H98" s="122">
        <v>2030.309</v>
      </c>
      <c r="I98" s="122">
        <v>-0.90800000000000003</v>
      </c>
      <c r="J98" s="122">
        <v>2029.4010000000001</v>
      </c>
      <c r="K98" s="122">
        <v>575.63199999999995</v>
      </c>
      <c r="L98" s="122">
        <v>2605.0329999999999</v>
      </c>
      <c r="M98" s="122">
        <v>613.38800000000003</v>
      </c>
      <c r="N98" s="122">
        <v>0</v>
      </c>
      <c r="O98" s="122">
        <v>1991.645</v>
      </c>
      <c r="P98" s="123">
        <v>1944.912</v>
      </c>
      <c r="S98" s="124">
        <f>100*(C98/OBR_MAR24_1.1!C98)</f>
        <v>94.777009108389237</v>
      </c>
      <c r="T98" s="124">
        <f>100*(D98/OBR_MAR24_1.1!D98)</f>
        <v>94.51237579756237</v>
      </c>
      <c r="U98" s="124">
        <f>100*(E98/OBR_MAR24_1.1!E98)</f>
        <v>92.33011845426887</v>
      </c>
      <c r="V98" s="124">
        <f>100*(K98/OBR_MAR24_1.1!N98)</f>
        <v>91.438810408449498</v>
      </c>
      <c r="W98" s="124">
        <f>100*(M98/OBR_MAR24_1.1!P98)</f>
        <v>90.820091562183507</v>
      </c>
      <c r="X98" s="124">
        <f>100*(O98/OBR_MAR24_1.1!R98)</f>
        <v>94.330091974024285</v>
      </c>
      <c r="Z98" s="124">
        <f t="shared" si="3"/>
        <v>1.2497697703350186</v>
      </c>
      <c r="AA98" s="124">
        <f t="shared" si="3"/>
        <v>1.4525032224123491</v>
      </c>
      <c r="AB98" s="124">
        <f t="shared" si="3"/>
        <v>1.859747526049027</v>
      </c>
      <c r="AC98" s="124">
        <f t="shared" si="3"/>
        <v>4.9543128242621526</v>
      </c>
      <c r="AD98" s="124">
        <f t="shared" si="3"/>
        <v>4.8531826494226937</v>
      </c>
      <c r="AE98" s="124">
        <f t="shared" si="3"/>
        <v>1.9647982963309385</v>
      </c>
    </row>
    <row r="99" spans="1:31" ht="15.75">
      <c r="A99" s="110"/>
      <c r="B99" s="160">
        <v>2017</v>
      </c>
      <c r="C99" s="122">
        <v>1336.921</v>
      </c>
      <c r="D99" s="122">
        <v>388.577</v>
      </c>
      <c r="E99" s="122">
        <v>380.012</v>
      </c>
      <c r="F99" s="122">
        <v>57.4</v>
      </c>
      <c r="G99" s="122">
        <v>0.84199999999999997</v>
      </c>
      <c r="H99" s="122">
        <v>2106.3519999999999</v>
      </c>
      <c r="I99" s="122">
        <v>4.0549999999999997</v>
      </c>
      <c r="J99" s="122">
        <v>2110.4070000000002</v>
      </c>
      <c r="K99" s="122">
        <v>643.28599999999994</v>
      </c>
      <c r="L99" s="122">
        <v>2753.6930000000002</v>
      </c>
      <c r="M99" s="122">
        <v>671.21100000000001</v>
      </c>
      <c r="N99" s="122">
        <v>0</v>
      </c>
      <c r="O99" s="122">
        <v>2082.482</v>
      </c>
      <c r="P99" s="123">
        <v>2060.0749999999998</v>
      </c>
      <c r="S99" s="124">
        <f>100*(C99/OBR_MAR24_1.1!C99)</f>
        <v>96.502254258404577</v>
      </c>
      <c r="T99" s="124">
        <f>100*(D99/OBR_MAR24_1.1!D99)</f>
        <v>95.325440593476458</v>
      </c>
      <c r="U99" s="124">
        <f>100*(E99/OBR_MAR24_1.1!E99)</f>
        <v>95.061938401809115</v>
      </c>
      <c r="V99" s="124">
        <f>100*(K99/OBR_MAR24_1.1!N99)</f>
        <v>95.710277064444028</v>
      </c>
      <c r="W99" s="124">
        <f>100*(M99/OBR_MAR24_1.1!P99)</f>
        <v>96.333032417141609</v>
      </c>
      <c r="X99" s="124">
        <f>100*(O99/OBR_MAR24_1.1!R99)</f>
        <v>96.081368819538483</v>
      </c>
      <c r="Z99" s="124">
        <f t="shared" si="3"/>
        <v>1.8203203142254765</v>
      </c>
      <c r="AA99" s="124">
        <f t="shared" si="3"/>
        <v>0.86027336531631082</v>
      </c>
      <c r="AB99" s="124">
        <f t="shared" si="3"/>
        <v>2.9587527810801095</v>
      </c>
      <c r="AC99" s="124">
        <f t="shared" si="3"/>
        <v>4.6713935110422433</v>
      </c>
      <c r="AD99" s="124">
        <f t="shared" si="3"/>
        <v>6.0701776007167529</v>
      </c>
      <c r="AE99" s="124">
        <f t="shared" si="3"/>
        <v>1.8565410134408156</v>
      </c>
    </row>
    <row r="100" spans="1:31" ht="15.75">
      <c r="A100" s="110"/>
      <c r="B100" s="160">
        <v>2018</v>
      </c>
      <c r="C100" s="122">
        <v>1391.673</v>
      </c>
      <c r="D100" s="122">
        <v>399.065</v>
      </c>
      <c r="E100" s="122">
        <v>387.32400000000001</v>
      </c>
      <c r="F100" s="122">
        <v>58.445999999999998</v>
      </c>
      <c r="G100" s="122">
        <v>2.8260000000000001</v>
      </c>
      <c r="H100" s="122">
        <v>2180.8879999999999</v>
      </c>
      <c r="I100" s="122">
        <v>1.17</v>
      </c>
      <c r="J100" s="122">
        <v>2182.058</v>
      </c>
      <c r="K100" s="122">
        <v>679.7</v>
      </c>
      <c r="L100" s="122">
        <v>2861.7579999999998</v>
      </c>
      <c r="M100" s="122">
        <v>709.45399999999995</v>
      </c>
      <c r="N100" s="122">
        <v>0</v>
      </c>
      <c r="O100" s="122">
        <v>2152.3040000000001</v>
      </c>
      <c r="P100" s="123">
        <v>2123.0509999999999</v>
      </c>
      <c r="S100" s="124">
        <f>100*(C100/OBR_MAR24_1.1!C100)</f>
        <v>98.518547359478987</v>
      </c>
      <c r="T100" s="124">
        <f>100*(D100/OBR_MAR24_1.1!D100)</f>
        <v>97.29234880086598</v>
      </c>
      <c r="U100" s="124">
        <f>100*(E100/OBR_MAR24_1.1!E100)</f>
        <v>97.357215751134888</v>
      </c>
      <c r="V100" s="124">
        <f>100*(K100/OBR_MAR24_1.1!N100)</f>
        <v>98.100626389169534</v>
      </c>
      <c r="W100" s="124">
        <f>100*(M100/OBR_MAR24_1.1!P100)</f>
        <v>98.76201891286523</v>
      </c>
      <c r="X100" s="124">
        <f>100*(O100/OBR_MAR24_1.1!R100)</f>
        <v>97.928103079340147</v>
      </c>
      <c r="Z100" s="124">
        <f t="shared" si="3"/>
        <v>2.0893740944904371</v>
      </c>
      <c r="AA100" s="124">
        <f t="shared" si="3"/>
        <v>2.063361255026952</v>
      </c>
      <c r="AB100" s="124">
        <f t="shared" si="3"/>
        <v>2.414507202266436</v>
      </c>
      <c r="AC100" s="124">
        <f t="shared" si="3"/>
        <v>2.4974844896917592</v>
      </c>
      <c r="AD100" s="124">
        <f t="shared" si="3"/>
        <v>2.5214471451553866</v>
      </c>
      <c r="AE100" s="124">
        <f t="shared" si="3"/>
        <v>1.9220524046344778</v>
      </c>
    </row>
    <row r="101" spans="1:31" ht="15.75">
      <c r="A101" s="110"/>
      <c r="B101" s="160">
        <v>2019</v>
      </c>
      <c r="C101" s="122">
        <v>1427.94</v>
      </c>
      <c r="D101" s="122">
        <v>426.59199999999998</v>
      </c>
      <c r="E101" s="122">
        <v>406.423</v>
      </c>
      <c r="F101" s="122">
        <v>62.139000000000003</v>
      </c>
      <c r="G101" s="122">
        <v>2.88</v>
      </c>
      <c r="H101" s="122">
        <v>2263.835</v>
      </c>
      <c r="I101" s="122">
        <v>1.262</v>
      </c>
      <c r="J101" s="122">
        <v>2265.0970000000002</v>
      </c>
      <c r="K101" s="122">
        <v>706.69600000000003</v>
      </c>
      <c r="L101" s="122">
        <v>2971.7930000000001</v>
      </c>
      <c r="M101" s="122">
        <v>737.87199999999996</v>
      </c>
      <c r="N101" s="122">
        <v>0</v>
      </c>
      <c r="O101" s="122">
        <v>2233.9209999999998</v>
      </c>
      <c r="P101" s="123">
        <v>2231.6669999999999</v>
      </c>
      <c r="S101" s="124">
        <f>100*(C101/OBR_MAR24_1.1!C101)</f>
        <v>100</v>
      </c>
      <c r="T101" s="124">
        <f>100*(D101/OBR_MAR24_1.1!D101)</f>
        <v>100</v>
      </c>
      <c r="U101" s="124">
        <f>100*(E101/OBR_MAR24_1.1!E101)</f>
        <v>100</v>
      </c>
      <c r="V101" s="124">
        <f>100*(K101/OBR_MAR24_1.1!N101)</f>
        <v>100</v>
      </c>
      <c r="W101" s="124">
        <f>100*(M101/OBR_MAR24_1.1!P101)</f>
        <v>100</v>
      </c>
      <c r="X101" s="124">
        <f>100*(O101/OBR_MAR24_1.1!R101)</f>
        <v>100</v>
      </c>
      <c r="Z101" s="124">
        <f t="shared" si="3"/>
        <v>1.5037296836253766</v>
      </c>
      <c r="AA101" s="124">
        <f t="shared" si="3"/>
        <v>2.7830052748299083</v>
      </c>
      <c r="AB101" s="124">
        <f t="shared" si="3"/>
        <v>2.7145232415238807</v>
      </c>
      <c r="AC101" s="124">
        <f t="shared" si="3"/>
        <v>1.9361483007209079</v>
      </c>
      <c r="AD101" s="124">
        <f t="shared" si="3"/>
        <v>1.253499169784078</v>
      </c>
      <c r="AE101" s="124">
        <f t="shared" si="3"/>
        <v>2.1157327217716348</v>
      </c>
    </row>
    <row r="102" spans="1:31" ht="15.75">
      <c r="A102" s="110"/>
      <c r="B102" s="160">
        <v>2020</v>
      </c>
      <c r="C102" s="122">
        <v>1246.0730000000001</v>
      </c>
      <c r="D102" s="122">
        <v>475.61799999999999</v>
      </c>
      <c r="E102" s="122">
        <v>367.488</v>
      </c>
      <c r="F102" s="122">
        <v>66.087000000000003</v>
      </c>
      <c r="G102" s="122">
        <v>0.96899999999999997</v>
      </c>
      <c r="H102" s="122">
        <v>2090.1480000000001</v>
      </c>
      <c r="I102" s="122">
        <v>1.3160000000000001</v>
      </c>
      <c r="J102" s="122">
        <v>2091.4639999999999</v>
      </c>
      <c r="K102" s="122">
        <v>624.80499999999995</v>
      </c>
      <c r="L102" s="122">
        <v>2716.2689999999998</v>
      </c>
      <c r="M102" s="122">
        <v>611.98099999999999</v>
      </c>
      <c r="N102" s="122">
        <v>0</v>
      </c>
      <c r="O102" s="122">
        <v>2104.288</v>
      </c>
      <c r="P102" s="123">
        <v>2059.4569999999999</v>
      </c>
      <c r="S102" s="124">
        <f>100*(C102/OBR_MAR24_1.1!C102)</f>
        <v>100.57573409527501</v>
      </c>
      <c r="T102" s="124">
        <f>100*(D102/OBR_MAR24_1.1!D102)</f>
        <v>121.03255489646713</v>
      </c>
      <c r="U102" s="124">
        <f>100*(E102/OBR_MAR24_1.1!E102)</f>
        <v>101.3321127125631</v>
      </c>
      <c r="V102" s="124">
        <f>100*(K102/OBR_MAR24_1.1!N102)</f>
        <v>99.866536666453541</v>
      </c>
      <c r="W102" s="124">
        <f>100*(M102/OBR_MAR24_1.1!P102)</f>
        <v>98.739579182081755</v>
      </c>
      <c r="X102" s="124">
        <f>100*(O102/OBR_MAR24_1.1!R102)</f>
        <v>105.08362343064057</v>
      </c>
      <c r="Z102" s="124">
        <f t="shared" si="3"/>
        <v>0.57573409527500452</v>
      </c>
      <c r="AA102" s="124">
        <f t="shared" si="3"/>
        <v>21.032554896467136</v>
      </c>
      <c r="AB102" s="124">
        <f t="shared" si="3"/>
        <v>1.3321127125631049</v>
      </c>
      <c r="AC102" s="124">
        <f t="shared" si="3"/>
        <v>-0.13346333354645745</v>
      </c>
      <c r="AD102" s="124">
        <f t="shared" si="3"/>
        <v>-1.2604208179182397</v>
      </c>
      <c r="AE102" s="124">
        <f t="shared" si="3"/>
        <v>5.0836234306405714</v>
      </c>
    </row>
    <row r="103" spans="1:31" ht="15.75">
      <c r="A103" s="110"/>
      <c r="B103" s="160">
        <v>2021</v>
      </c>
      <c r="C103" s="122">
        <v>1369.336</v>
      </c>
      <c r="D103" s="122">
        <v>508.71600000000001</v>
      </c>
      <c r="E103" s="122">
        <v>403.84699999999998</v>
      </c>
      <c r="F103" s="122">
        <v>71.712000000000003</v>
      </c>
      <c r="G103" s="122">
        <v>8.7260000000000009</v>
      </c>
      <c r="H103" s="122">
        <v>2290.625</v>
      </c>
      <c r="I103" s="122">
        <v>-3.028</v>
      </c>
      <c r="J103" s="122">
        <v>2287.5970000000002</v>
      </c>
      <c r="K103" s="122">
        <v>676.02599999999995</v>
      </c>
      <c r="L103" s="122">
        <v>2963.623</v>
      </c>
      <c r="M103" s="122">
        <v>679.54399999999998</v>
      </c>
      <c r="N103" s="122">
        <v>0</v>
      </c>
      <c r="O103" s="122">
        <v>2284.0790000000002</v>
      </c>
      <c r="P103" s="123">
        <v>2296.6120000000001</v>
      </c>
      <c r="S103" s="124">
        <f>100*(C103/OBR_MAR24_1.1!C103)</f>
        <v>102.87212503897139</v>
      </c>
      <c r="T103" s="124">
        <f>100*(D103/OBR_MAR24_1.1!D103)</f>
        <v>112.66992979114528</v>
      </c>
      <c r="U103" s="124">
        <f>100*(E103/OBR_MAR24_1.1!E103)</f>
        <v>103.64299426154619</v>
      </c>
      <c r="V103" s="124">
        <f>100*(K103/OBR_MAR24_1.1!N103)</f>
        <v>102.96578803875995</v>
      </c>
      <c r="W103" s="124">
        <f>100*(M103/OBR_MAR24_1.1!P103)</f>
        <v>103.29567098316821</v>
      </c>
      <c r="X103" s="124">
        <f>100*(O103/OBR_MAR24_1.1!R103)</f>
        <v>104.9570743170559</v>
      </c>
      <c r="Z103" s="124">
        <f t="shared" si="3"/>
        <v>2.2832455207545621</v>
      </c>
      <c r="AA103" s="124">
        <f t="shared" si="3"/>
        <v>-6.9094014519278328</v>
      </c>
      <c r="AB103" s="124">
        <f t="shared" si="3"/>
        <v>2.2805026828347064</v>
      </c>
      <c r="AC103" s="124">
        <f t="shared" si="3"/>
        <v>3.1033932644101592</v>
      </c>
      <c r="AD103" s="124">
        <f t="shared" si="3"/>
        <v>4.6142507784894926</v>
      </c>
      <c r="AE103" s="124">
        <f t="shared" si="3"/>
        <v>-0.12042705557084865</v>
      </c>
    </row>
    <row r="104" spans="1:31" ht="15.75">
      <c r="A104" s="110"/>
      <c r="B104" s="129">
        <v>2022</v>
      </c>
      <c r="C104" s="122">
        <v>1550.2660000000001</v>
      </c>
      <c r="D104" s="122">
        <v>526.19200000000001</v>
      </c>
      <c r="E104" s="122">
        <v>459.428</v>
      </c>
      <c r="F104" s="122">
        <v>77.593000000000004</v>
      </c>
      <c r="G104" s="122">
        <v>-18.146999999999998</v>
      </c>
      <c r="H104" s="122">
        <v>2517.739</v>
      </c>
      <c r="I104" s="122">
        <v>24.917000000000002</v>
      </c>
      <c r="J104" s="122">
        <v>2542.6559999999999</v>
      </c>
      <c r="K104" s="122">
        <v>837.76099999999997</v>
      </c>
      <c r="L104" s="122">
        <v>3380.4169999999999</v>
      </c>
      <c r="M104" s="122">
        <v>904.58900000000006</v>
      </c>
      <c r="N104" s="122">
        <v>30.152999999999999</v>
      </c>
      <c r="O104" s="122">
        <v>2505.9810000000002</v>
      </c>
      <c r="P104" s="123">
        <v>2518.3310000000001</v>
      </c>
      <c r="S104" s="124">
        <f>100*(C104/OBR_MAR24_1.1!C104)</f>
        <v>110.93360010075337</v>
      </c>
      <c r="T104" s="124">
        <f>100*(D104/OBR_MAR24_1.1!D104)</f>
        <v>113.97232739276215</v>
      </c>
      <c r="U104" s="124">
        <f>100*(E104/OBR_MAR24_1.1!E104)</f>
        <v>109.15319955714158</v>
      </c>
      <c r="V104" s="124">
        <f>100*(K104/OBR_MAR24_1.1!N104)</f>
        <v>117.09583771869134</v>
      </c>
      <c r="W104" s="124">
        <f>100*(M104/OBR_MAR24_1.1!P104)</f>
        <v>119.97806255487677</v>
      </c>
      <c r="X104" s="124">
        <f>100*(O104/OBR_MAR24_1.1!R104)</f>
        <v>110.35849608325657</v>
      </c>
      <c r="Z104" s="124">
        <f t="shared" si="3"/>
        <v>7.8364037475924908</v>
      </c>
      <c r="AA104" s="124">
        <f t="shared" si="3"/>
        <v>1.1559407235196772</v>
      </c>
      <c r="AB104" s="124">
        <f t="shared" si="3"/>
        <v>5.3165246091696483</v>
      </c>
      <c r="AC104" s="124">
        <f t="shared" si="3"/>
        <v>13.723053015058117</v>
      </c>
      <c r="AD104" s="124">
        <f t="shared" si="3"/>
        <v>16.150136218609703</v>
      </c>
      <c r="AE104" s="124">
        <f t="shared" si="3"/>
        <v>5.1463151020044284</v>
      </c>
    </row>
    <row r="105" spans="1:31" ht="15.75">
      <c r="A105" s="110"/>
      <c r="B105" s="160">
        <v>2023</v>
      </c>
      <c r="C105" s="122">
        <v>1667.2374420000001</v>
      </c>
      <c r="D105" s="122">
        <v>556.39009962531009</v>
      </c>
      <c r="E105" s="122">
        <v>485.691284</v>
      </c>
      <c r="F105" s="122">
        <v>88.280440200000001</v>
      </c>
      <c r="G105" s="122">
        <v>-10.39757329</v>
      </c>
      <c r="H105" s="122">
        <v>2698.9212523353099</v>
      </c>
      <c r="I105" s="122">
        <v>7.0563448590000002</v>
      </c>
      <c r="J105" s="122">
        <v>2705.97759719431</v>
      </c>
      <c r="K105" s="122">
        <v>862.11083099999996</v>
      </c>
      <c r="L105" s="122">
        <v>3568.088428</v>
      </c>
      <c r="M105" s="122">
        <v>885.991174</v>
      </c>
      <c r="N105" s="122">
        <v>22.611410629999998</v>
      </c>
      <c r="O105" s="122">
        <v>2704.7086639999998</v>
      </c>
      <c r="P105" s="123">
        <v>2677.8022110000002</v>
      </c>
      <c r="S105" s="124">
        <f>100*(C105/OBR_MAR24_1.1!C105)</f>
        <v>118.72515021963656</v>
      </c>
      <c r="T105" s="124">
        <f>100*(D105/OBR_MAR24_1.1!D105)</f>
        <v>119.65832287538692</v>
      </c>
      <c r="U105" s="124">
        <f>100*(E105/OBR_MAR24_1.1!E105)</f>
        <v>113.36902943246227</v>
      </c>
      <c r="V105" s="124">
        <f>100*(K105/OBR_MAR24_1.1!N105)</f>
        <v>121.09388836293753</v>
      </c>
      <c r="W105" s="124">
        <f>100*(M105/OBR_MAR24_1.1!P105)</f>
        <v>119.23814002263853</v>
      </c>
      <c r="X105" s="124">
        <f>100*(O105/OBR_MAR24_1.1!R105)</f>
        <v>118.79383450835681</v>
      </c>
      <c r="Z105" s="124">
        <f t="shared" si="3"/>
        <v>7.0236160295948702</v>
      </c>
      <c r="AA105" s="124">
        <f t="shared" si="3"/>
        <v>4.9889263584397492</v>
      </c>
      <c r="AB105" s="124">
        <f t="shared" si="3"/>
        <v>3.8623053583635159</v>
      </c>
      <c r="AC105" s="124">
        <f t="shared" si="3"/>
        <v>3.4143405283550976</v>
      </c>
      <c r="AD105" s="124">
        <f t="shared" si="3"/>
        <v>-0.61671485310058616</v>
      </c>
      <c r="AE105" s="124">
        <f t="shared" si="3"/>
        <v>7.6435786318947763</v>
      </c>
    </row>
    <row r="106" spans="1:31" ht="15.75">
      <c r="A106" s="110"/>
      <c r="B106" s="129">
        <v>2024</v>
      </c>
      <c r="C106" s="122">
        <v>1716.136088</v>
      </c>
      <c r="D106" s="122">
        <v>581.09879552563325</v>
      </c>
      <c r="E106" s="122">
        <v>472.80186400000002</v>
      </c>
      <c r="F106" s="122">
        <v>89.911685700000007</v>
      </c>
      <c r="G106" s="122">
        <v>-5.9261895899999999</v>
      </c>
      <c r="H106" s="122">
        <v>2764.1105579356331</v>
      </c>
      <c r="I106" s="122">
        <v>3.5378932509999994</v>
      </c>
      <c r="J106" s="122">
        <v>2767.6484511866329</v>
      </c>
      <c r="K106" s="122">
        <v>836.49405000000002</v>
      </c>
      <c r="L106" s="122">
        <v>3604.1425019999997</v>
      </c>
      <c r="M106" s="122">
        <v>860.72866099999999</v>
      </c>
      <c r="N106" s="122">
        <v>22.946593780000001</v>
      </c>
      <c r="O106" s="122">
        <v>2766.3604329999998</v>
      </c>
      <c r="P106" s="123">
        <v>2728.3436929999998</v>
      </c>
      <c r="S106" s="124">
        <f>100*(C106/OBR_MAR24_1.1!C106)</f>
        <v>121.3344581258049</v>
      </c>
      <c r="T106" s="124">
        <f>100*(D106/OBR_MAR24_1.1!D106)</f>
        <v>119.90662993660976</v>
      </c>
      <c r="U106" s="124">
        <f>100*(E106/OBR_MAR24_1.1!E106)</f>
        <v>115.51873819073096</v>
      </c>
      <c r="V106" s="124">
        <f>100*(K106/OBR_MAR24_1.1!N106)</f>
        <v>118.74792298123191</v>
      </c>
      <c r="W106" s="124">
        <f>100*(M106/OBR_MAR24_1.1!P106)</f>
        <v>116.67061303288577</v>
      </c>
      <c r="X106" s="124">
        <f>100*(O106/OBR_MAR24_1.1!R106)</f>
        <v>120.59505407995725</v>
      </c>
      <c r="Z106" s="124">
        <f t="shared" si="3"/>
        <v>2.1977718295923321</v>
      </c>
      <c r="AA106" s="124">
        <f t="shared" si="3"/>
        <v>0.20751340588438527</v>
      </c>
      <c r="AB106" s="124">
        <f t="shared" si="3"/>
        <v>1.8962046063465188</v>
      </c>
      <c r="AC106" s="124">
        <f t="shared" si="3"/>
        <v>-1.9373111338818361</v>
      </c>
      <c r="AD106" s="124">
        <f t="shared" si="3"/>
        <v>-2.1532766187608243</v>
      </c>
      <c r="AE106" s="124">
        <f t="shared" si="3"/>
        <v>1.5162567813851835</v>
      </c>
    </row>
    <row r="107" spans="1:31" ht="15.75">
      <c r="A107" s="110"/>
      <c r="B107" s="129">
        <v>2025</v>
      </c>
      <c r="C107" s="122">
        <v>1777.8680670000001</v>
      </c>
      <c r="D107" s="122">
        <v>590.08407990290266</v>
      </c>
      <c r="E107" s="122">
        <v>481.43099999999998</v>
      </c>
      <c r="F107" s="122">
        <v>89.884587400000001</v>
      </c>
      <c r="G107" s="122">
        <v>-6.0113196200000001</v>
      </c>
      <c r="H107" s="122">
        <v>2843.3718272829028</v>
      </c>
      <c r="I107" s="122">
        <v>3.3453514150000001</v>
      </c>
      <c r="J107" s="122">
        <v>2846.7171786979034</v>
      </c>
      <c r="K107" s="122">
        <v>840.05469400000004</v>
      </c>
      <c r="L107" s="122">
        <v>3686.7718730000001</v>
      </c>
      <c r="M107" s="122">
        <v>859.117119</v>
      </c>
      <c r="N107" s="122">
        <v>23.21676828</v>
      </c>
      <c r="O107" s="122">
        <v>2850.8715230000003</v>
      </c>
      <c r="P107" s="123">
        <v>2799.7084159999999</v>
      </c>
      <c r="S107" s="124">
        <f>100*(C107/OBR_MAR24_1.1!C107)</f>
        <v>123.27363135467873</v>
      </c>
      <c r="T107" s="124">
        <f>100*(D107/OBR_MAR24_1.1!D107)</f>
        <v>119.57420325557904</v>
      </c>
      <c r="U107" s="124">
        <f>100*(E107/OBR_MAR24_1.1!E107)</f>
        <v>117.1816015926896</v>
      </c>
      <c r="V107" s="124">
        <f>100*(K107/OBR_MAR24_1.1!N107)</f>
        <v>118.70954368024162</v>
      </c>
      <c r="W107" s="124">
        <f>100*(M107/OBR_MAR24_1.1!P107)</f>
        <v>116.6730637443022</v>
      </c>
      <c r="X107" s="124">
        <f>100*(O107/OBR_MAR24_1.1!R107)</f>
        <v>122.016501578269</v>
      </c>
      <c r="Z107" s="124">
        <f t="shared" ref="Z107:AE110" si="4">100*((S107/S106)-1)</f>
        <v>1.5982048783398373</v>
      </c>
      <c r="AA107" s="124">
        <f t="shared" si="4"/>
        <v>-0.27723794856586714</v>
      </c>
      <c r="AB107" s="124">
        <f t="shared" si="4"/>
        <v>1.4394750392902722</v>
      </c>
      <c r="AC107" s="124">
        <f t="shared" si="4"/>
        <v>-3.2319976658745642E-2</v>
      </c>
      <c r="AD107" s="124">
        <f t="shared" si="4"/>
        <v>2.100538732685564E-3</v>
      </c>
      <c r="AE107" s="124">
        <f t="shared" si="4"/>
        <v>1.1786946895594008</v>
      </c>
    </row>
    <row r="108" spans="1:31" ht="15.75">
      <c r="A108" s="110"/>
      <c r="B108" s="129">
        <v>2026</v>
      </c>
      <c r="C108" s="122">
        <v>1845.8050659999999</v>
      </c>
      <c r="D108" s="122">
        <v>606.78687003702703</v>
      </c>
      <c r="E108" s="122">
        <v>498.05308200000002</v>
      </c>
      <c r="F108" s="122">
        <v>90.262469699999997</v>
      </c>
      <c r="G108" s="122">
        <v>-6.0976930500000002</v>
      </c>
      <c r="H108" s="122">
        <v>2944.547324987027</v>
      </c>
      <c r="I108" s="122">
        <v>2.6401160859999999</v>
      </c>
      <c r="J108" s="122">
        <v>2947.187441073027</v>
      </c>
      <c r="K108" s="122">
        <v>848.72314599999993</v>
      </c>
      <c r="L108" s="122">
        <v>3795.9105869999999</v>
      </c>
      <c r="M108" s="122">
        <v>862.52921900000001</v>
      </c>
      <c r="N108" s="122">
        <v>23.605644760000004</v>
      </c>
      <c r="O108" s="122">
        <v>2956.987012</v>
      </c>
      <c r="P108" s="123">
        <v>2904.5633489999996</v>
      </c>
      <c r="S108" s="124">
        <f>100*(C108/OBR_MAR24_1.1!C108)</f>
        <v>125.3867440522525</v>
      </c>
      <c r="T108" s="124">
        <f>100*(D108/OBR_MAR24_1.1!D108)</f>
        <v>121.19210143007477</v>
      </c>
      <c r="U108" s="124">
        <f>100*(E108/OBR_MAR24_1.1!E108)</f>
        <v>118.86627694376762</v>
      </c>
      <c r="V108" s="124">
        <f>100*(K108/OBR_MAR24_1.1!N108)</f>
        <v>119.22249660539596</v>
      </c>
      <c r="W108" s="124">
        <f>100*(M108/OBR_MAR24_1.1!P108)</f>
        <v>116.91861913843556</v>
      </c>
      <c r="X108" s="124">
        <f>100*(O108/OBR_MAR24_1.1!R108)</f>
        <v>124.06073067393044</v>
      </c>
      <c r="Z108" s="124">
        <f t="shared" si="4"/>
        <v>1.7141643953799024</v>
      </c>
      <c r="AA108" s="124">
        <f t="shared" si="4"/>
        <v>1.3530495127261011</v>
      </c>
      <c r="AB108" s="124">
        <f t="shared" si="4"/>
        <v>1.4376619948699432</v>
      </c>
      <c r="AC108" s="124">
        <f t="shared" si="4"/>
        <v>0.43210757050506921</v>
      </c>
      <c r="AD108" s="124">
        <f t="shared" si="4"/>
        <v>0.21046451190440685</v>
      </c>
      <c r="AE108" s="124">
        <f t="shared" si="4"/>
        <v>1.6753710106580444</v>
      </c>
    </row>
    <row r="109" spans="1:31" ht="15.75">
      <c r="A109" s="110"/>
      <c r="B109" s="129">
        <v>2027</v>
      </c>
      <c r="C109" s="122">
        <v>1918.4729200000002</v>
      </c>
      <c r="D109" s="122">
        <v>625.6638714066853</v>
      </c>
      <c r="E109" s="122">
        <v>514.40571499999999</v>
      </c>
      <c r="F109" s="122">
        <v>90.567150899999987</v>
      </c>
      <c r="G109" s="122">
        <v>-6.1891630900000001</v>
      </c>
      <c r="H109" s="122">
        <v>3052.3533433166854</v>
      </c>
      <c r="I109" s="122">
        <v>2.0088031119999998</v>
      </c>
      <c r="J109" s="122">
        <v>3054.3621464286857</v>
      </c>
      <c r="K109" s="122">
        <v>863.34172099999989</v>
      </c>
      <c r="L109" s="122">
        <v>3917.7038679999996</v>
      </c>
      <c r="M109" s="122">
        <v>874.95934799999998</v>
      </c>
      <c r="N109" s="122">
        <v>24.04287789</v>
      </c>
      <c r="O109" s="122">
        <v>3066.7873979999999</v>
      </c>
      <c r="P109" s="123">
        <v>3013.5793879999997</v>
      </c>
      <c r="S109" s="124">
        <f>100*(C109/OBR_MAR24_1.1!C109)</f>
        <v>127.80723340660299</v>
      </c>
      <c r="T109" s="124">
        <f>100*(D109/OBR_MAR24_1.1!D109)</f>
        <v>123.05914015167356</v>
      </c>
      <c r="U109" s="124">
        <f>100*(E109/OBR_MAR24_1.1!E109)</f>
        <v>120.64825032350053</v>
      </c>
      <c r="V109" s="124">
        <f>100*(K109/OBR_MAR24_1.1!N109)</f>
        <v>120.4961701669362</v>
      </c>
      <c r="W109" s="124">
        <f>100*(M109/OBR_MAR24_1.1!P109)</f>
        <v>117.93043714912095</v>
      </c>
      <c r="X109" s="124">
        <f>100*(O109/OBR_MAR24_1.1!R109)</f>
        <v>126.35843800424912</v>
      </c>
      <c r="Z109" s="124">
        <f t="shared" si="4"/>
        <v>1.9304188593826099</v>
      </c>
      <c r="AA109" s="124">
        <f t="shared" si="4"/>
        <v>1.5405613893707759</v>
      </c>
      <c r="AB109" s="124">
        <f t="shared" si="4"/>
        <v>1.4991412413597471</v>
      </c>
      <c r="AC109" s="124">
        <f t="shared" si="4"/>
        <v>1.0683164652690147</v>
      </c>
      <c r="AD109" s="124">
        <f t="shared" si="4"/>
        <v>0.86540366123155632</v>
      </c>
      <c r="AE109" s="124">
        <f t="shared" si="4"/>
        <v>1.852082700010671</v>
      </c>
    </row>
    <row r="110" spans="1:31" ht="15.75">
      <c r="A110" s="110"/>
      <c r="B110" s="158">
        <v>2028</v>
      </c>
      <c r="C110" s="131">
        <v>1994.548673</v>
      </c>
      <c r="D110" s="131">
        <v>646.28575518507932</v>
      </c>
      <c r="E110" s="131">
        <v>528.36664899999994</v>
      </c>
      <c r="F110" s="131">
        <v>89.980387899999997</v>
      </c>
      <c r="G110" s="131">
        <v>-6.2847883700000002</v>
      </c>
      <c r="H110" s="131">
        <v>3162.916288815079</v>
      </c>
      <c r="I110" s="131">
        <v>1.9076925409999999</v>
      </c>
      <c r="J110" s="131">
        <v>3164.8239813560799</v>
      </c>
      <c r="K110" s="131">
        <v>883.10789999999997</v>
      </c>
      <c r="L110" s="131">
        <v>4047.9318780000003</v>
      </c>
      <c r="M110" s="131">
        <v>893.56376999999998</v>
      </c>
      <c r="N110" s="131">
        <v>24.505239339999999</v>
      </c>
      <c r="O110" s="131">
        <v>3178.8733529999995</v>
      </c>
      <c r="P110" s="132">
        <v>3124.9691130000006</v>
      </c>
      <c r="S110" s="124">
        <f>100*(C110/OBR_MAR24_1.1!C110)</f>
        <v>130.3817964537447</v>
      </c>
      <c r="T110" s="124">
        <f>100*(D110/OBR_MAR24_1.1!D110)</f>
        <v>125.0667343237356</v>
      </c>
      <c r="U110" s="124">
        <f>100*(E110/OBR_MAR24_1.1!E110)</f>
        <v>122.512053176113</v>
      </c>
      <c r="V110" s="124">
        <f>100*(K110/OBR_MAR24_1.1!N110)</f>
        <v>122.3821688540383</v>
      </c>
      <c r="W110" s="124">
        <f>100*(M110/OBR_MAR24_1.1!P110)</f>
        <v>119.53123376437614</v>
      </c>
      <c r="X110" s="124">
        <f>100*(O110/OBR_MAR24_1.1!R110)</f>
        <v>128.78833989006631</v>
      </c>
      <c r="Z110" s="124">
        <f t="shared" si="4"/>
        <v>2.0144110615015531</v>
      </c>
      <c r="AA110" s="124">
        <f t="shared" si="4"/>
        <v>1.6314059805615733</v>
      </c>
      <c r="AB110" s="124">
        <f t="shared" si="4"/>
        <v>1.5448237729224878</v>
      </c>
      <c r="AC110" s="124">
        <f t="shared" si="4"/>
        <v>1.5651938849917224</v>
      </c>
      <c r="AD110" s="124">
        <f t="shared" si="4"/>
        <v>1.3574075140847741</v>
      </c>
      <c r="AE110" s="124">
        <f t="shared" si="4"/>
        <v>1.9230230479229782</v>
      </c>
    </row>
    <row r="111" spans="1:31">
      <c r="B111" s="161" t="s">
        <v>196</v>
      </c>
      <c r="C111" s="122">
        <v>1007.591</v>
      </c>
      <c r="D111" s="122">
        <v>329.00599999999997</v>
      </c>
      <c r="E111" s="122">
        <v>275.10399999999998</v>
      </c>
      <c r="F111" s="122">
        <v>49.512</v>
      </c>
      <c r="G111" s="122">
        <v>0.81499999999999995</v>
      </c>
      <c r="H111" s="122">
        <v>1612.5160000000001</v>
      </c>
      <c r="I111" s="122">
        <v>-7.375</v>
      </c>
      <c r="J111" s="122">
        <v>1605.1410000000001</v>
      </c>
      <c r="K111" s="122">
        <v>437.01600000000002</v>
      </c>
      <c r="L111" s="122">
        <v>2042.1569999999999</v>
      </c>
      <c r="M111" s="122">
        <v>459.36599999999999</v>
      </c>
      <c r="N111" s="122">
        <v>0</v>
      </c>
      <c r="O111" s="122">
        <v>1582.7909999999999</v>
      </c>
      <c r="P111" s="123">
        <v>1555.396</v>
      </c>
      <c r="S111" s="124">
        <f>100*(C111/OBR_MAR24_1.1!C111)</f>
        <v>84.829480781017423</v>
      </c>
      <c r="T111" s="124">
        <f>100*(D111/OBR_MAR24_1.1!D111)</f>
        <v>87.191093419975132</v>
      </c>
      <c r="U111" s="124">
        <f>100*(E111/OBR_MAR24_1.1!E111)</f>
        <v>85.34034824311874</v>
      </c>
      <c r="V111" s="124">
        <f>100*(K111/OBR_MAR24_1.1!N111)</f>
        <v>80.437623550979382</v>
      </c>
      <c r="W111" s="124">
        <f>100*(M111/OBR_MAR24_1.1!P111)</f>
        <v>88.594153201698731</v>
      </c>
      <c r="X111" s="124">
        <f>100*(O111/OBR_MAR24_1.1!R111)</f>
        <v>83.434024386193983</v>
      </c>
    </row>
    <row r="112" spans="1:31">
      <c r="B112" s="160" t="s">
        <v>197</v>
      </c>
      <c r="C112" s="122">
        <v>997.11599999999999</v>
      </c>
      <c r="D112" s="122">
        <v>343.18900000000002</v>
      </c>
      <c r="E112" s="122">
        <v>248.499</v>
      </c>
      <c r="F112" s="122">
        <v>52.223999999999997</v>
      </c>
      <c r="G112" s="122">
        <v>0.85199999999999998</v>
      </c>
      <c r="H112" s="122">
        <v>1589.6559999999999</v>
      </c>
      <c r="I112" s="122">
        <v>-12.172000000000001</v>
      </c>
      <c r="J112" s="122">
        <v>1577.4839999999999</v>
      </c>
      <c r="K112" s="122">
        <v>423.39100000000002</v>
      </c>
      <c r="L112" s="122">
        <v>2000.875</v>
      </c>
      <c r="M112" s="122">
        <v>442.69900000000001</v>
      </c>
      <c r="N112" s="122">
        <v>0</v>
      </c>
      <c r="O112" s="122">
        <v>1558.1759999999999</v>
      </c>
      <c r="P112" s="155">
        <v>1552.2750000000001</v>
      </c>
      <c r="S112" s="124">
        <f>100*(C112/OBR_MAR24_1.1!C112)</f>
        <v>85.062479952500226</v>
      </c>
      <c r="T112" s="124">
        <f>100*(D112/OBR_MAR24_1.1!D112)</f>
        <v>90.11345942269871</v>
      </c>
      <c r="U112" s="124">
        <f>100*(E112/OBR_MAR24_1.1!E112)</f>
        <v>85.369322573663538</v>
      </c>
      <c r="V112" s="124">
        <f>100*(K112/OBR_MAR24_1.1!N112)</f>
        <v>82.775521854649043</v>
      </c>
      <c r="W112" s="124">
        <f>100*(M112/OBR_MAR24_1.1!P112)</f>
        <v>87.77666963420026</v>
      </c>
      <c r="X112" s="124">
        <f>100*(O112/OBR_MAR24_1.1!R112)</f>
        <v>84.579822011610759</v>
      </c>
    </row>
    <row r="113" spans="2:24">
      <c r="B113" s="160" t="s">
        <v>198</v>
      </c>
      <c r="C113" s="122">
        <v>1041.559</v>
      </c>
      <c r="D113" s="122">
        <v>348.93</v>
      </c>
      <c r="E113" s="122">
        <v>259.05200000000002</v>
      </c>
      <c r="F113" s="122">
        <v>51.427</v>
      </c>
      <c r="G113" s="122">
        <v>-1.093</v>
      </c>
      <c r="H113" s="122">
        <v>1648.4480000000001</v>
      </c>
      <c r="I113" s="122">
        <v>-1.7809999999999999</v>
      </c>
      <c r="J113" s="122">
        <v>1646.6669999999999</v>
      </c>
      <c r="K113" s="122">
        <v>482.20800000000003</v>
      </c>
      <c r="L113" s="122">
        <v>2128.875</v>
      </c>
      <c r="M113" s="122">
        <v>501.70299999999997</v>
      </c>
      <c r="N113" s="122">
        <v>0</v>
      </c>
      <c r="O113" s="122">
        <v>1627.172</v>
      </c>
      <c r="P113" s="155">
        <v>1629.4449999999999</v>
      </c>
      <c r="S113" s="124">
        <f>100*(C113/OBR_MAR24_1.1!C113)</f>
        <v>86.832836042381018</v>
      </c>
      <c r="T113" s="124">
        <f>100*(D113/OBR_MAR24_1.1!D113)</f>
        <v>91.290834026654949</v>
      </c>
      <c r="U113" s="124">
        <f>100*(E113/OBR_MAR24_1.1!E113)</f>
        <v>84.708452141156783</v>
      </c>
      <c r="V113" s="124">
        <f>100*(K113/OBR_MAR24_1.1!N113)</f>
        <v>86.872741292152043</v>
      </c>
      <c r="W113" s="124">
        <f>100*(M113/OBR_MAR24_1.1!P113)</f>
        <v>91.679123160306844</v>
      </c>
      <c r="X113" s="124">
        <f>100*(O113/OBR_MAR24_1.1!R113)</f>
        <v>86.174185853886911</v>
      </c>
    </row>
    <row r="114" spans="2:24">
      <c r="B114" s="160" t="s">
        <v>199</v>
      </c>
      <c r="C114" s="122">
        <v>1069.4059999999999</v>
      </c>
      <c r="D114" s="122">
        <v>348.529</v>
      </c>
      <c r="E114" s="122">
        <v>265.089</v>
      </c>
      <c r="F114" s="122">
        <v>46.627000000000002</v>
      </c>
      <c r="G114" s="122">
        <v>1.2789999999999999</v>
      </c>
      <c r="H114" s="122">
        <v>1684.3030000000001</v>
      </c>
      <c r="I114" s="122">
        <v>2.4830000000000001</v>
      </c>
      <c r="J114" s="122">
        <v>1686.7860000000001</v>
      </c>
      <c r="K114" s="122">
        <v>529.02800000000002</v>
      </c>
      <c r="L114" s="122">
        <v>2215.8139999999999</v>
      </c>
      <c r="M114" s="122">
        <v>543.25199999999995</v>
      </c>
      <c r="N114" s="122">
        <v>0</v>
      </c>
      <c r="O114" s="122">
        <v>1672.5619999999999</v>
      </c>
      <c r="P114" s="155">
        <v>1675.3150000000001</v>
      </c>
      <c r="S114" s="124">
        <f>100*(C114/OBR_MAR24_1.1!C114)</f>
        <v>89.706613875339201</v>
      </c>
      <c r="T114" s="124">
        <f>100*(D114/OBR_MAR24_1.1!D114)</f>
        <v>91.123219192587342</v>
      </c>
      <c r="U114" s="124">
        <f>100*(E114/OBR_MAR24_1.1!E114)</f>
        <v>86.043552632860198</v>
      </c>
      <c r="V114" s="124">
        <f>100*(K114/OBR_MAR24_1.1!N114)</f>
        <v>90.648608728879069</v>
      </c>
      <c r="W114" s="124">
        <f>100*(M114/OBR_MAR24_1.1!P114)</f>
        <v>96.568176081399599</v>
      </c>
      <c r="X114" s="124">
        <f>100*(O114/OBR_MAR24_1.1!R114)</f>
        <v>87.69316029191171</v>
      </c>
    </row>
    <row r="115" spans="2:24">
      <c r="B115" s="160" t="s">
        <v>200</v>
      </c>
      <c r="C115" s="122">
        <v>1113.172</v>
      </c>
      <c r="D115" s="122">
        <v>354.13799999999998</v>
      </c>
      <c r="E115" s="122">
        <v>269.37200000000001</v>
      </c>
      <c r="F115" s="122">
        <v>43.658000000000001</v>
      </c>
      <c r="G115" s="122">
        <v>2.3690000000000002</v>
      </c>
      <c r="H115" s="122">
        <v>1739.0509999999999</v>
      </c>
      <c r="I115" s="122">
        <v>6.2619999999999996</v>
      </c>
      <c r="J115" s="122">
        <v>1745.3130000000001</v>
      </c>
      <c r="K115" s="122">
        <v>524.29700000000003</v>
      </c>
      <c r="L115" s="122">
        <v>2269.61</v>
      </c>
      <c r="M115" s="122">
        <v>542.49599999999998</v>
      </c>
      <c r="N115" s="122">
        <v>0</v>
      </c>
      <c r="O115" s="122">
        <v>1727.114</v>
      </c>
      <c r="P115" s="155">
        <v>1702.7670000000001</v>
      </c>
      <c r="S115" s="124">
        <f>100*(C115/OBR_MAR24_1.1!C115)</f>
        <v>91.280343154499064</v>
      </c>
      <c r="T115" s="124">
        <f>100*(D115/OBR_MAR24_1.1!D115)</f>
        <v>92.256111539503564</v>
      </c>
      <c r="U115" s="124">
        <f>100*(E115/OBR_MAR24_1.1!E115)</f>
        <v>87.384108323439165</v>
      </c>
      <c r="V115" s="124">
        <f>100*(K115/OBR_MAR24_1.1!N115)</f>
        <v>90.586422152765905</v>
      </c>
      <c r="W115" s="124">
        <f>100*(M115/OBR_MAR24_1.1!P115)</f>
        <v>95.21984097730504</v>
      </c>
      <c r="X115" s="124">
        <f>100*(O115/OBR_MAR24_1.1!R115)</f>
        <v>89.302411678143699</v>
      </c>
    </row>
    <row r="116" spans="2:24">
      <c r="B116" s="160" t="s">
        <v>201</v>
      </c>
      <c r="C116" s="122">
        <v>1164.913</v>
      </c>
      <c r="D116" s="122">
        <v>362.06900000000002</v>
      </c>
      <c r="E116" s="122">
        <v>292.68</v>
      </c>
      <c r="F116" s="122">
        <v>45.911999999999999</v>
      </c>
      <c r="G116" s="122">
        <v>7.7450000000000001</v>
      </c>
      <c r="H116" s="122">
        <v>1827.4069999999999</v>
      </c>
      <c r="I116" s="122">
        <v>4.4349999999999996</v>
      </c>
      <c r="J116" s="122">
        <v>1831.8420000000001</v>
      </c>
      <c r="K116" s="122">
        <v>536.09100000000001</v>
      </c>
      <c r="L116" s="122">
        <v>2367.933</v>
      </c>
      <c r="M116" s="122">
        <v>566.68299999999999</v>
      </c>
      <c r="N116" s="122">
        <v>0</v>
      </c>
      <c r="O116" s="122">
        <v>1801.25</v>
      </c>
      <c r="P116" s="155">
        <v>1774.7</v>
      </c>
      <c r="S116" s="124">
        <f>100*(C116/OBR_MAR24_1.1!C116)</f>
        <v>93.114376974332075</v>
      </c>
      <c r="T116" s="124">
        <f>100*(D116/OBR_MAR24_1.1!D116)</f>
        <v>92.847966068227691</v>
      </c>
      <c r="U116" s="124">
        <f>100*(E116/OBR_MAR24_1.1!E116)</f>
        <v>89.172440268358216</v>
      </c>
      <c r="V116" s="124">
        <f>100*(K116/OBR_MAR24_1.1!N116)</f>
        <v>91.966952413465378</v>
      </c>
      <c r="W116" s="124">
        <f>100*(M116/OBR_MAR24_1.1!P116)</f>
        <v>94.974910586492271</v>
      </c>
      <c r="X116" s="124">
        <f>100*(O116/OBR_MAR24_1.1!R116)</f>
        <v>91.020490664241137</v>
      </c>
    </row>
    <row r="117" spans="2:24">
      <c r="B117" s="160" t="s">
        <v>202</v>
      </c>
      <c r="C117" s="122">
        <v>1207.424</v>
      </c>
      <c r="D117" s="122">
        <v>370.79199999999997</v>
      </c>
      <c r="E117" s="122">
        <v>315.03500000000003</v>
      </c>
      <c r="F117" s="122">
        <v>50.625999999999998</v>
      </c>
      <c r="G117" s="122">
        <v>7.1689999999999996</v>
      </c>
      <c r="H117" s="122">
        <v>1900.42</v>
      </c>
      <c r="I117" s="122">
        <v>18.933</v>
      </c>
      <c r="J117" s="122">
        <v>1919.3530000000001</v>
      </c>
      <c r="K117" s="122">
        <v>533.25</v>
      </c>
      <c r="L117" s="122">
        <v>2452.6030000000001</v>
      </c>
      <c r="M117" s="122">
        <v>573.34299999999996</v>
      </c>
      <c r="N117" s="122">
        <v>0</v>
      </c>
      <c r="O117" s="122">
        <v>1879.26</v>
      </c>
      <c r="P117" s="155">
        <v>1841.848</v>
      </c>
      <c r="S117" s="124">
        <f>100*(C117/OBR_MAR24_1.1!C117)</f>
        <v>93.883320762932613</v>
      </c>
      <c r="T117" s="124">
        <f>100*(D117/OBR_MAR24_1.1!D117)</f>
        <v>93.212064535915573</v>
      </c>
      <c r="U117" s="124">
        <f>100*(E117/OBR_MAR24_1.1!E117)</f>
        <v>90.175665579908227</v>
      </c>
      <c r="V117" s="124">
        <f>100*(K117/OBR_MAR24_1.1!N117)</f>
        <v>89.386888917199173</v>
      </c>
      <c r="W117" s="124">
        <f>100*(M117/OBR_MAR24_1.1!P117)</f>
        <v>90.50645400113342</v>
      </c>
      <c r="X117" s="124">
        <f>100*(O117/OBR_MAR24_1.1!R117)</f>
        <v>92.126730017295273</v>
      </c>
    </row>
    <row r="118" spans="2:24">
      <c r="B118" s="160" t="s">
        <v>203</v>
      </c>
      <c r="C118" s="122">
        <v>1241.4490000000001</v>
      </c>
      <c r="D118" s="122">
        <v>376.40199999999999</v>
      </c>
      <c r="E118" s="122">
        <v>337.15499999999997</v>
      </c>
      <c r="F118" s="122">
        <v>51.402000000000001</v>
      </c>
      <c r="G118" s="122">
        <v>-0.86599999999999999</v>
      </c>
      <c r="H118" s="122">
        <v>1954.14</v>
      </c>
      <c r="I118" s="122">
        <v>3.2320000000000002</v>
      </c>
      <c r="J118" s="122">
        <v>1957.3720000000001</v>
      </c>
      <c r="K118" s="122">
        <v>536.70100000000002</v>
      </c>
      <c r="L118" s="122">
        <v>2494.0729999999999</v>
      </c>
      <c r="M118" s="122">
        <v>562.63</v>
      </c>
      <c r="N118" s="122">
        <v>0</v>
      </c>
      <c r="O118" s="122">
        <v>1931.443</v>
      </c>
      <c r="P118" s="155">
        <v>1884.8879999999999</v>
      </c>
      <c r="S118" s="124">
        <f>100*(C118/OBR_MAR24_1.1!C118)</f>
        <v>93.767296490549626</v>
      </c>
      <c r="T118" s="124">
        <f>100*(D118/OBR_MAR24_1.1!D118)</f>
        <v>93.224192589657221</v>
      </c>
      <c r="U118" s="124">
        <f>100*(E118/OBR_MAR24_1.1!E118)</f>
        <v>90.864867632751285</v>
      </c>
      <c r="V118" s="124">
        <f>100*(K118/OBR_MAR24_1.1!N118)</f>
        <v>87.111654306800617</v>
      </c>
      <c r="W118" s="124">
        <f>100*(M118/OBR_MAR24_1.1!P118)</f>
        <v>86.357182873763463</v>
      </c>
      <c r="X118" s="124">
        <f>100*(O118/OBR_MAR24_1.1!R118)</f>
        <v>92.789850129040076</v>
      </c>
    </row>
    <row r="119" spans="2:24">
      <c r="B119" s="160" t="s">
        <v>204</v>
      </c>
      <c r="C119" s="122">
        <v>1302.6590000000001</v>
      </c>
      <c r="D119" s="122">
        <v>384.46899999999999</v>
      </c>
      <c r="E119" s="122">
        <v>363.12599999999998</v>
      </c>
      <c r="F119" s="122">
        <v>51.719000000000001</v>
      </c>
      <c r="G119" s="122">
        <v>7.0999999999999994E-2</v>
      </c>
      <c r="H119" s="122">
        <v>2050.3249999999998</v>
      </c>
      <c r="I119" s="122">
        <v>2.36</v>
      </c>
      <c r="J119" s="122">
        <v>2052.6849999999999</v>
      </c>
      <c r="K119" s="122">
        <v>597.00099999999998</v>
      </c>
      <c r="L119" s="122">
        <v>2649.6860000000001</v>
      </c>
      <c r="M119" s="122">
        <v>633.84500000000003</v>
      </c>
      <c r="N119" s="122">
        <v>0</v>
      </c>
      <c r="O119" s="122">
        <v>2015.8409999999999</v>
      </c>
      <c r="P119" s="155">
        <v>1979.375</v>
      </c>
      <c r="S119" s="124">
        <f>100*(C119/OBR_MAR24_1.1!C119)</f>
        <v>95.18360338308095</v>
      </c>
      <c r="T119" s="124">
        <f>100*(D119/OBR_MAR24_1.1!D119)</f>
        <v>94.891020783919799</v>
      </c>
      <c r="U119" s="124">
        <f>100*(E119/OBR_MAR24_1.1!E119)</f>
        <v>92.998586297328302</v>
      </c>
      <c r="V119" s="124">
        <f>100*(K119/OBR_MAR24_1.1!N119)</f>
        <v>93.481075985738286</v>
      </c>
      <c r="W119" s="124">
        <f>100*(M119/OBR_MAR24_1.1!P119)</f>
        <v>93.079451137491702</v>
      </c>
      <c r="X119" s="124">
        <f>100*(O119/OBR_MAR24_1.1!R119)</f>
        <v>94.902853430377888</v>
      </c>
    </row>
    <row r="120" spans="2:24">
      <c r="B120" s="160" t="s">
        <v>205</v>
      </c>
      <c r="C120" s="122">
        <v>1351.001</v>
      </c>
      <c r="D120" s="122">
        <v>390.245</v>
      </c>
      <c r="E120" s="122">
        <v>383.32799999999997</v>
      </c>
      <c r="F120" s="122">
        <v>58.795999999999999</v>
      </c>
      <c r="G120" s="122">
        <v>1.7270000000000001</v>
      </c>
      <c r="H120" s="122">
        <v>2126.3009999999999</v>
      </c>
      <c r="I120" s="122">
        <v>1.9590000000000001</v>
      </c>
      <c r="J120" s="122">
        <v>2128.2600000000002</v>
      </c>
      <c r="K120" s="122">
        <v>650.89400000000001</v>
      </c>
      <c r="L120" s="122">
        <v>2779.154</v>
      </c>
      <c r="M120" s="122">
        <v>679.33199999999999</v>
      </c>
      <c r="N120" s="122">
        <v>0</v>
      </c>
      <c r="O120" s="122">
        <v>2099.8220000000001</v>
      </c>
      <c r="P120" s="155">
        <v>2073.2809999999999</v>
      </c>
      <c r="S120" s="124">
        <f>100*(C120/OBR_MAR24_1.1!C120)</f>
        <v>97.068616180485705</v>
      </c>
      <c r="T120" s="124">
        <f>100*(D120/OBR_MAR24_1.1!D120)</f>
        <v>95.605636701275415</v>
      </c>
      <c r="U120" s="124">
        <f>100*(E120/OBR_MAR24_1.1!E120)</f>
        <v>95.580384637441924</v>
      </c>
      <c r="V120" s="124">
        <f>100*(K120/OBR_MAR24_1.1!N120)</f>
        <v>95.693671574645151</v>
      </c>
      <c r="W120" s="124">
        <f>100*(M120/OBR_MAR24_1.1!P120)</f>
        <v>96.741862488625202</v>
      </c>
      <c r="X120" s="124">
        <f>100*(O120/OBR_MAR24_1.1!R120)</f>
        <v>96.386795358536503</v>
      </c>
    </row>
    <row r="121" spans="2:24">
      <c r="B121" s="160" t="s">
        <v>206</v>
      </c>
      <c r="C121" s="122">
        <v>1402.6949999999999</v>
      </c>
      <c r="D121" s="122">
        <v>403.10500000000002</v>
      </c>
      <c r="E121" s="122">
        <v>392.48899999999998</v>
      </c>
      <c r="F121" s="122">
        <v>59.887999999999998</v>
      </c>
      <c r="G121" s="122">
        <v>14.068</v>
      </c>
      <c r="H121" s="122">
        <v>2212.357</v>
      </c>
      <c r="I121" s="122">
        <v>7.1260000000000003</v>
      </c>
      <c r="J121" s="122">
        <v>2219.4830000000002</v>
      </c>
      <c r="K121" s="122">
        <v>684.73599999999999</v>
      </c>
      <c r="L121" s="122">
        <v>2904.2190000000001</v>
      </c>
      <c r="M121" s="122">
        <v>733.78700000000003</v>
      </c>
      <c r="N121" s="122">
        <v>0</v>
      </c>
      <c r="O121" s="122">
        <v>2170.4319999999998</v>
      </c>
      <c r="P121" s="155">
        <v>2149.1370000000002</v>
      </c>
      <c r="S121" s="124">
        <f>100*(C121/OBR_MAR24_1.1!C121)</f>
        <v>98.888931971758012</v>
      </c>
      <c r="T121" s="124">
        <f>100*(D121/OBR_MAR24_1.1!D121)</f>
        <v>97.474307822512401</v>
      </c>
      <c r="U121" s="124">
        <f>100*(E121/OBR_MAR24_1.1!E121)</f>
        <v>98.229074118103426</v>
      </c>
      <c r="V121" s="124">
        <f>100*(K121/OBR_MAR24_1.1!N121)</f>
        <v>98.850866758289342</v>
      </c>
      <c r="W121" s="124">
        <f>100*(M121/OBR_MAR24_1.1!P121)</f>
        <v>99.139371781932752</v>
      </c>
      <c r="X121" s="124">
        <f>100*(O121/OBR_MAR24_1.1!R121)</f>
        <v>98.419167693740604</v>
      </c>
    </row>
    <row r="122" spans="2:24">
      <c r="B122" s="160" t="s">
        <v>207</v>
      </c>
      <c r="C122" s="122">
        <v>1419.3430000000001</v>
      </c>
      <c r="D122" s="122">
        <v>432.7</v>
      </c>
      <c r="E122" s="122">
        <v>403.35500000000002</v>
      </c>
      <c r="F122" s="122">
        <v>61.6</v>
      </c>
      <c r="G122" s="122">
        <v>-7.7439999999999998</v>
      </c>
      <c r="H122" s="122">
        <v>2247.654</v>
      </c>
      <c r="I122" s="122">
        <v>-6.0620000000000003</v>
      </c>
      <c r="J122" s="122">
        <v>2241.5920000000001</v>
      </c>
      <c r="K122" s="122">
        <v>708.19399999999996</v>
      </c>
      <c r="L122" s="122">
        <v>2949.7860000000001</v>
      </c>
      <c r="M122" s="122">
        <v>709.08</v>
      </c>
      <c r="N122" s="122">
        <v>0</v>
      </c>
      <c r="O122" s="122">
        <v>2240.7060000000001</v>
      </c>
      <c r="P122" s="155">
        <v>2230.23</v>
      </c>
      <c r="S122" s="124">
        <f>100*(C122/OBR_MAR24_1.1!C122)</f>
        <v>100.19122793890307</v>
      </c>
      <c r="T122" s="124">
        <f>100*(D122/OBR_MAR24_1.1!D122)</f>
        <v>101.83524671571327</v>
      </c>
      <c r="U122" s="124">
        <f>100*(E122/OBR_MAR24_1.1!E122)</f>
        <v>100.45976553452103</v>
      </c>
      <c r="V122" s="124">
        <f>100*(K122/OBR_MAR24_1.1!N122)</f>
        <v>100.3848449067938</v>
      </c>
      <c r="W122" s="124">
        <f>100*(M122/OBR_MAR24_1.1!P122)</f>
        <v>99.981246818656743</v>
      </c>
      <c r="X122" s="124">
        <f>100*(O122/OBR_MAR24_1.1!R122)</f>
        <v>100.73409318654167</v>
      </c>
    </row>
    <row r="123" spans="2:24">
      <c r="B123" s="160" t="s">
        <v>208</v>
      </c>
      <c r="C123" s="122">
        <v>1206.5139999999999</v>
      </c>
      <c r="D123" s="122">
        <v>495.81599999999997</v>
      </c>
      <c r="E123" s="122">
        <v>364.42399999999998</v>
      </c>
      <c r="F123" s="122">
        <v>68.953000000000003</v>
      </c>
      <c r="G123" s="122">
        <v>8.7620000000000005</v>
      </c>
      <c r="H123" s="122">
        <v>2075.5160000000001</v>
      </c>
      <c r="I123" s="122">
        <v>1.645</v>
      </c>
      <c r="J123" s="122">
        <v>2077.1610000000001</v>
      </c>
      <c r="K123" s="122">
        <v>609.74300000000005</v>
      </c>
      <c r="L123" s="122">
        <v>2686.904</v>
      </c>
      <c r="M123" s="122">
        <v>600.78300000000002</v>
      </c>
      <c r="N123" s="122">
        <v>0</v>
      </c>
      <c r="O123" s="122">
        <v>2086.1210000000001</v>
      </c>
      <c r="P123" s="155">
        <v>2049.4070000000002</v>
      </c>
      <c r="S123" s="124">
        <f>100*(C123/OBR_MAR24_1.1!C123)</f>
        <v>101.0268360671249</v>
      </c>
      <c r="T123" s="124">
        <f>100*(D123/OBR_MAR24_1.1!D123)</f>
        <v>125.44142165730143</v>
      </c>
      <c r="U123" s="124">
        <f>100*(E123/OBR_MAR24_1.1!E123)</f>
        <v>101.44219929128751</v>
      </c>
      <c r="V123" s="124">
        <f>100*(K123/OBR_MAR24_1.1!N123)</f>
        <v>99.952953133452468</v>
      </c>
      <c r="W123" s="124">
        <f>100*(M123/OBR_MAR24_1.1!P123)</f>
        <v>99.183626974483602</v>
      </c>
      <c r="X123" s="124">
        <f>100*(O123/OBR_MAR24_1.1!R123)</f>
        <v>106.10166146785119</v>
      </c>
    </row>
    <row r="124" spans="2:24">
      <c r="B124" s="160" t="s">
        <v>33</v>
      </c>
      <c r="C124" s="122">
        <v>1436.3409999999999</v>
      </c>
      <c r="D124" s="122">
        <v>512.76300000000003</v>
      </c>
      <c r="E124" s="122">
        <v>419.10599999999999</v>
      </c>
      <c r="F124" s="122">
        <v>73.048000000000002</v>
      </c>
      <c r="G124" s="122">
        <v>8.6359999999999992</v>
      </c>
      <c r="H124" s="122">
        <v>2376.846</v>
      </c>
      <c r="I124" s="122">
        <v>7.8559999999999999</v>
      </c>
      <c r="J124" s="122">
        <v>2384.7020000000002</v>
      </c>
      <c r="K124" s="122">
        <v>698.64099999999996</v>
      </c>
      <c r="L124" s="122">
        <v>3083.3429999999998</v>
      </c>
      <c r="M124" s="122">
        <v>735.38199999999995</v>
      </c>
      <c r="N124" s="122">
        <v>6.4349999999999996</v>
      </c>
      <c r="O124" s="122">
        <v>2354.3960000000002</v>
      </c>
      <c r="P124" s="155">
        <v>2361.3589999999999</v>
      </c>
      <c r="S124" s="124">
        <f>100*(C124/OBR_MAR24_1.1!C124)</f>
        <v>104.07348046042304</v>
      </c>
      <c r="T124" s="124">
        <f>100*(D124/OBR_MAR24_1.1!D124)</f>
        <v>110.68913708914918</v>
      </c>
      <c r="U124" s="124">
        <f>100*(E124/OBR_MAR24_1.1!E124)</f>
        <v>104.85304272118645</v>
      </c>
      <c r="V124" s="124">
        <f>100*(K124/OBR_MAR24_1.1!N124)</f>
        <v>105.21511659427843</v>
      </c>
      <c r="W124" s="124">
        <f>100*(M124/OBR_MAR24_1.1!P124)</f>
        <v>106.4710932737984</v>
      </c>
      <c r="X124" s="124">
        <f>100*(O124/OBR_MAR24_1.1!R124)</f>
        <v>105.37331415390152</v>
      </c>
    </row>
    <row r="125" spans="2:24">
      <c r="B125" s="160" t="s">
        <v>5</v>
      </c>
      <c r="C125" s="122">
        <v>1587.2950000000001</v>
      </c>
      <c r="D125" s="122">
        <v>526.17899999999997</v>
      </c>
      <c r="E125" s="122">
        <v>471.62900000000002</v>
      </c>
      <c r="F125" s="122">
        <v>80.347999999999999</v>
      </c>
      <c r="G125" s="122">
        <v>-32.036999999999999</v>
      </c>
      <c r="H125" s="122">
        <v>2553.0659999999998</v>
      </c>
      <c r="I125" s="122">
        <v>15.696999999999999</v>
      </c>
      <c r="J125" s="122">
        <v>2568.7629999999999</v>
      </c>
      <c r="K125" s="122">
        <v>877.93200000000002</v>
      </c>
      <c r="L125" s="122">
        <v>3446.6950000000002</v>
      </c>
      <c r="M125" s="122">
        <v>918.35</v>
      </c>
      <c r="N125" s="122">
        <v>29.231000000000002</v>
      </c>
      <c r="O125" s="122">
        <v>2557.576</v>
      </c>
      <c r="P125" s="155">
        <v>2572.8609999999999</v>
      </c>
      <c r="S125" s="124">
        <f>100*(C125/OBR_MAR24_1.1!C125)</f>
        <v>113.52742175430566</v>
      </c>
      <c r="T125" s="124">
        <f>100*(D125/OBR_MAR24_1.1!D125)</f>
        <v>115.06160043035017</v>
      </c>
      <c r="U125" s="124">
        <f>100*(E125/OBR_MAR24_1.1!E125)</f>
        <v>110.61781268836826</v>
      </c>
      <c r="V125" s="124">
        <f>100*(K125/OBR_MAR24_1.1!N125)</f>
        <v>119.82197279366504</v>
      </c>
      <c r="W125" s="124">
        <f>100*(M125/OBR_MAR24_1.1!P125)</f>
        <v>122.50808405280513</v>
      </c>
      <c r="X125" s="124">
        <f>100*(O125/OBR_MAR24_1.1!R125)</f>
        <v>112.52776262297391</v>
      </c>
    </row>
    <row r="126" spans="2:24">
      <c r="B126" s="160" t="s">
        <v>6</v>
      </c>
      <c r="C126" s="122">
        <v>1680.5121449999999</v>
      </c>
      <c r="D126" s="122">
        <v>567.64216046424838</v>
      </c>
      <c r="E126" s="122">
        <v>481.270332</v>
      </c>
      <c r="F126" s="122">
        <v>88.539545499999988</v>
      </c>
      <c r="G126" s="122">
        <v>-6.4744761300000002</v>
      </c>
      <c r="H126" s="122">
        <v>2722.9501613342482</v>
      </c>
      <c r="I126" s="122">
        <v>7.3843167670000005</v>
      </c>
      <c r="J126" s="122">
        <v>2730.3344781012479</v>
      </c>
      <c r="K126" s="122">
        <v>852.29852700000004</v>
      </c>
      <c r="L126" s="122">
        <v>3582.633006</v>
      </c>
      <c r="M126" s="122">
        <v>874.81301600000006</v>
      </c>
      <c r="N126" s="122">
        <v>22.822263359999997</v>
      </c>
      <c r="O126" s="122">
        <v>2730.6422519999996</v>
      </c>
      <c r="P126" s="155">
        <v>2701.4205139999999</v>
      </c>
      <c r="S126" s="124">
        <f>100*(C126/OBR_MAR24_1.1!C126)</f>
        <v>119.61909882712887</v>
      </c>
      <c r="T126" s="124">
        <f>100*(D126/OBR_MAR24_1.1!D126)</f>
        <v>120.33770834714055</v>
      </c>
      <c r="U126" s="124">
        <f>100*(E126/OBR_MAR24_1.1!E126)</f>
        <v>114.03278068373524</v>
      </c>
      <c r="V126" s="124">
        <f>100*(K126/OBR_MAR24_1.1!N126)</f>
        <v>120.29056201199863</v>
      </c>
      <c r="W126" s="124">
        <f>100*(M126/OBR_MAR24_1.1!P126)</f>
        <v>117.62639634103471</v>
      </c>
      <c r="X126" s="124">
        <f>100*(O126/OBR_MAR24_1.1!R126)</f>
        <v>119.90479827294106</v>
      </c>
    </row>
    <row r="127" spans="2:24">
      <c r="B127" s="160" t="s">
        <v>7</v>
      </c>
      <c r="C127" s="122">
        <v>1730.6354350000001</v>
      </c>
      <c r="D127" s="122">
        <v>583.279133972252</v>
      </c>
      <c r="E127" s="122">
        <v>473.69626699999998</v>
      </c>
      <c r="F127" s="122">
        <v>90.046967600000002</v>
      </c>
      <c r="G127" s="122">
        <v>-5.9482445800000008</v>
      </c>
      <c r="H127" s="122">
        <v>2781.6625913922521</v>
      </c>
      <c r="I127" s="122">
        <v>3.5142348889999999</v>
      </c>
      <c r="J127" s="122">
        <v>2785.1768262812525</v>
      </c>
      <c r="K127" s="122">
        <v>836.43703900000014</v>
      </c>
      <c r="L127" s="122">
        <v>3621.6138650000003</v>
      </c>
      <c r="M127" s="122">
        <v>860.40105900000003</v>
      </c>
      <c r="N127" s="122">
        <v>22.995870450000002</v>
      </c>
      <c r="O127" s="122">
        <v>2784.2086749999999</v>
      </c>
      <c r="P127" s="155">
        <v>2739.3019190000005</v>
      </c>
      <c r="S127" s="124">
        <f>100*(C127/OBR_MAR24_1.1!C127)</f>
        <v>121.79799668735657</v>
      </c>
      <c r="T127" s="124">
        <f>100*(D127/OBR_MAR24_1.1!D127)</f>
        <v>119.65426282929738</v>
      </c>
      <c r="U127" s="124">
        <f>100*(E127/OBR_MAR24_1.1!E127)</f>
        <v>115.9500422651932</v>
      </c>
      <c r="V127" s="124">
        <f>100*(K127/OBR_MAR24_1.1!N127)</f>
        <v>118.65067149687766</v>
      </c>
      <c r="W127" s="124">
        <f>100*(M127/OBR_MAR24_1.1!P127)</f>
        <v>116.74346843883595</v>
      </c>
      <c r="X127" s="124">
        <f>100*(O127/OBR_MAR24_1.1!R127)</f>
        <v>120.85462475777646</v>
      </c>
    </row>
    <row r="128" spans="2:24">
      <c r="B128" s="160" t="s">
        <v>8</v>
      </c>
      <c r="C128" s="122">
        <v>1794.480671</v>
      </c>
      <c r="D128" s="122">
        <v>593.41549989815724</v>
      </c>
      <c r="E128" s="122">
        <v>485.18269900000001</v>
      </c>
      <c r="F128" s="122">
        <v>89.845581100000004</v>
      </c>
      <c r="G128" s="122">
        <v>-6.0325120299999995</v>
      </c>
      <c r="H128" s="122">
        <v>2867.0463578681574</v>
      </c>
      <c r="I128" s="122">
        <v>3.3427423439999999</v>
      </c>
      <c r="J128" s="122">
        <v>2870.3891002121572</v>
      </c>
      <c r="K128" s="122">
        <v>841.84925599999997</v>
      </c>
      <c r="L128" s="122">
        <v>3712.2383560000003</v>
      </c>
      <c r="M128" s="122">
        <v>859.39669100000003</v>
      </c>
      <c r="N128" s="122">
        <v>23.305894090000002</v>
      </c>
      <c r="O128" s="122">
        <v>2876.1475599999999</v>
      </c>
      <c r="P128" s="155">
        <v>2824.6345799999999</v>
      </c>
      <c r="S128" s="124">
        <f>100*(C128/OBR_MAR24_1.1!C128)</f>
        <v>123.78887225787156</v>
      </c>
      <c r="T128" s="124">
        <f>100*(D128/OBR_MAR24_1.1!D128)</f>
        <v>119.85152313020906</v>
      </c>
      <c r="U128" s="124">
        <f>100*(E128/OBR_MAR24_1.1!E128)</f>
        <v>117.59517610443288</v>
      </c>
      <c r="V128" s="124">
        <f>100*(K128/OBR_MAR24_1.1!N128)</f>
        <v>118.78837233182715</v>
      </c>
      <c r="W128" s="124">
        <f>100*(M128/OBR_MAR24_1.1!P128)</f>
        <v>116.69115020379866</v>
      </c>
      <c r="X128" s="124">
        <f>100*(O128/OBR_MAR24_1.1!R128)</f>
        <v>122.48522028011057</v>
      </c>
    </row>
    <row r="129" spans="2:24">
      <c r="B129" s="160" t="s">
        <v>9</v>
      </c>
      <c r="C129" s="122">
        <v>1863.503925</v>
      </c>
      <c r="D129" s="122">
        <v>611.53442583556239</v>
      </c>
      <c r="E129" s="122">
        <v>502.42386200000004</v>
      </c>
      <c r="F129" s="122">
        <v>90.417544100000001</v>
      </c>
      <c r="G129" s="122">
        <v>-6.1200577300000001</v>
      </c>
      <c r="H129" s="122">
        <v>2971.3421551055621</v>
      </c>
      <c r="I129" s="122">
        <v>2.3085403150000001</v>
      </c>
      <c r="J129" s="122">
        <v>2973.6506954205624</v>
      </c>
      <c r="K129" s="122">
        <v>851.64100599999995</v>
      </c>
      <c r="L129" s="122">
        <v>3825.2917030000003</v>
      </c>
      <c r="M129" s="122">
        <v>864.62304400000005</v>
      </c>
      <c r="N129" s="122">
        <v>23.712237609999999</v>
      </c>
      <c r="O129" s="122">
        <v>2984.3808960000001</v>
      </c>
      <c r="P129" s="155">
        <v>2931.6845309999999</v>
      </c>
      <c r="S129" s="124">
        <f>100*(C129/OBR_MAR24_1.1!C129)</f>
        <v>125.95972864728893</v>
      </c>
      <c r="T129" s="124">
        <f>100*(D129/OBR_MAR24_1.1!D129)</f>
        <v>121.66431315057868</v>
      </c>
      <c r="U129" s="124">
        <f>100*(E129/OBR_MAR24_1.1!E129)</f>
        <v>119.30211231969882</v>
      </c>
      <c r="V129" s="124">
        <f>100*(K129/OBR_MAR24_1.1!N129)</f>
        <v>119.45431543321732</v>
      </c>
      <c r="W129" s="124">
        <f>100*(M129/OBR_MAR24_1.1!P129)</f>
        <v>117.08103439079116</v>
      </c>
      <c r="X129" s="124">
        <f>100*(O129/OBR_MAR24_1.1!R129)</f>
        <v>124.62088433491962</v>
      </c>
    </row>
    <row r="130" spans="2:24">
      <c r="B130" s="160" t="s">
        <v>10</v>
      </c>
      <c r="C130" s="122">
        <v>1937.2478329999999</v>
      </c>
      <c r="D130" s="122">
        <v>630.5722607941625</v>
      </c>
      <c r="E130" s="122">
        <v>518.00377100000003</v>
      </c>
      <c r="F130" s="122">
        <v>90.5086716</v>
      </c>
      <c r="G130" s="122">
        <v>-6.2127972000000007</v>
      </c>
      <c r="H130" s="122">
        <v>3079.6110675941623</v>
      </c>
      <c r="I130" s="122">
        <v>1.9971035979999998</v>
      </c>
      <c r="J130" s="122">
        <v>3081.6081711921624</v>
      </c>
      <c r="K130" s="122">
        <v>868.075605</v>
      </c>
      <c r="L130" s="122">
        <v>3949.6837759999994</v>
      </c>
      <c r="M130" s="122">
        <v>879.34971600000006</v>
      </c>
      <c r="N130" s="122">
        <v>24.156345999999999</v>
      </c>
      <c r="O130" s="122">
        <v>3094.4904059999999</v>
      </c>
      <c r="P130" s="155">
        <v>3041.1387109999996</v>
      </c>
      <c r="S130" s="124">
        <f>100*(C130/OBR_MAR24_1.1!C130)</f>
        <v>128.44554970809747</v>
      </c>
      <c r="T130" s="124">
        <f>100*(D130/OBR_MAR24_1.1!D130)</f>
        <v>123.54004513844845</v>
      </c>
      <c r="U130" s="124">
        <f>100*(E130/OBR_MAR24_1.1!E130)</f>
        <v>121.10880092583287</v>
      </c>
      <c r="V130" s="124">
        <f>100*(K130/OBR_MAR24_1.1!N130)</f>
        <v>120.93756353092282</v>
      </c>
      <c r="W130" s="124">
        <f>100*(M130/OBR_MAR24_1.1!P130)</f>
        <v>118.30672347693327</v>
      </c>
      <c r="X130" s="124">
        <f>100*(O130/OBR_MAR24_1.1!R130)</f>
        <v>126.95476227687618</v>
      </c>
    </row>
    <row r="131" spans="2:24" ht="15.75" thickBot="1">
      <c r="B131" s="162" t="s">
        <v>11</v>
      </c>
      <c r="C131" s="122">
        <v>2014.023639</v>
      </c>
      <c r="D131" s="122">
        <v>651.60853160740032</v>
      </c>
      <c r="E131" s="122">
        <v>531.84159399999987</v>
      </c>
      <c r="F131" s="122">
        <v>89.765037100000001</v>
      </c>
      <c r="G131" s="122">
        <v>-6.3090036899999999</v>
      </c>
      <c r="H131" s="122">
        <v>3191.1647609174006</v>
      </c>
      <c r="I131" s="122">
        <v>2.018448105</v>
      </c>
      <c r="J131" s="122">
        <v>3193.1832090224007</v>
      </c>
      <c r="K131" s="122">
        <v>888.30338800000004</v>
      </c>
      <c r="L131" s="122">
        <v>4081.4865900000004</v>
      </c>
      <c r="M131" s="122">
        <v>898.63426300000003</v>
      </c>
      <c r="N131" s="122">
        <v>24.623226279999997</v>
      </c>
      <c r="O131" s="122">
        <v>3207.4755620000001</v>
      </c>
      <c r="P131" s="155">
        <v>3153.3615240000004</v>
      </c>
      <c r="S131" s="124">
        <f>100*(C131/OBR_MAR24_1.1!C131)</f>
        <v>131.03368789470687</v>
      </c>
      <c r="T131" s="124">
        <f>100*(D131/OBR_MAR24_1.1!D131)</f>
        <v>125.57958243631889</v>
      </c>
      <c r="U131" s="124">
        <f>100*(E131/OBR_MAR24_1.1!E131)</f>
        <v>122.98415795849395</v>
      </c>
      <c r="V131" s="124">
        <f>100*(K131/OBR_MAR24_1.1!N131)</f>
        <v>122.90107088687505</v>
      </c>
      <c r="W131" s="124">
        <f>100*(M131/OBR_MAR24_1.1!P131)</f>
        <v>119.95437002162504</v>
      </c>
      <c r="X131" s="124">
        <f>100*(O131/OBR_MAR24_1.1!R131)</f>
        <v>129.40842927053825</v>
      </c>
    </row>
    <row r="132" spans="2:24">
      <c r="B132" s="135" t="s">
        <v>209</v>
      </c>
      <c r="C132" s="136"/>
      <c r="D132" s="136"/>
      <c r="E132" s="136"/>
      <c r="F132" s="136"/>
      <c r="G132" s="136"/>
      <c r="H132" s="136"/>
      <c r="I132" s="136"/>
      <c r="J132" s="136"/>
      <c r="K132" s="136"/>
      <c r="L132" s="136"/>
      <c r="M132" s="136"/>
      <c r="N132" s="136"/>
      <c r="O132" s="136"/>
      <c r="P132" s="163"/>
    </row>
    <row r="133" spans="2:24">
      <c r="B133" s="369" t="s">
        <v>236</v>
      </c>
      <c r="C133" s="370"/>
      <c r="D133" s="370"/>
      <c r="E133" s="370"/>
      <c r="F133" s="370"/>
      <c r="G133" s="370"/>
      <c r="H133" s="370"/>
      <c r="I133" s="370"/>
      <c r="J133" s="370"/>
      <c r="K133" s="370"/>
      <c r="L133" s="370"/>
      <c r="M133" s="370"/>
      <c r="N133" s="370"/>
      <c r="O133" s="370"/>
      <c r="P133" s="378"/>
    </row>
    <row r="134" spans="2:24">
      <c r="B134" s="369" t="s">
        <v>237</v>
      </c>
      <c r="C134" s="370"/>
      <c r="D134" s="370"/>
      <c r="E134" s="370"/>
      <c r="F134" s="370"/>
      <c r="G134" s="370"/>
      <c r="H134" s="370"/>
      <c r="I134" s="370"/>
      <c r="J134" s="370"/>
      <c r="K134" s="370"/>
      <c r="L134" s="370"/>
      <c r="M134" s="370"/>
      <c r="N134" s="370"/>
      <c r="O134" s="370"/>
      <c r="P134" s="378"/>
    </row>
    <row r="135" spans="2:24">
      <c r="B135" s="369" t="s">
        <v>238</v>
      </c>
      <c r="C135" s="370"/>
      <c r="D135" s="370"/>
      <c r="E135" s="370"/>
      <c r="F135" s="370"/>
      <c r="G135" s="370"/>
      <c r="H135" s="370"/>
      <c r="I135" s="370"/>
      <c r="J135" s="370"/>
      <c r="K135" s="370"/>
      <c r="L135" s="370"/>
      <c r="M135" s="370"/>
      <c r="N135" s="370"/>
      <c r="O135" s="370"/>
      <c r="P135" s="378"/>
    </row>
    <row r="136" spans="2:24">
      <c r="B136" s="369" t="s">
        <v>239</v>
      </c>
      <c r="C136" s="370"/>
      <c r="D136" s="370"/>
      <c r="E136" s="370"/>
      <c r="F136" s="370"/>
      <c r="G136" s="370"/>
      <c r="H136" s="370"/>
      <c r="I136" s="370"/>
      <c r="J136" s="370"/>
      <c r="K136" s="370"/>
      <c r="L136" s="370"/>
      <c r="M136" s="370"/>
      <c r="N136" s="370"/>
      <c r="O136" s="370"/>
      <c r="P136" s="378"/>
    </row>
    <row r="137" spans="2:24">
      <c r="B137" s="369" t="s">
        <v>240</v>
      </c>
      <c r="C137" s="370"/>
      <c r="D137" s="370"/>
      <c r="E137" s="370"/>
      <c r="F137" s="370"/>
      <c r="G137" s="370"/>
      <c r="H137" s="370"/>
      <c r="I137" s="370"/>
      <c r="J137" s="370"/>
      <c r="K137" s="370"/>
      <c r="L137" s="370"/>
      <c r="M137" s="370"/>
      <c r="N137" s="370"/>
      <c r="O137" s="370"/>
      <c r="P137" s="378"/>
    </row>
    <row r="138" spans="2:24">
      <c r="B138" s="372" t="s">
        <v>218</v>
      </c>
      <c r="C138" s="373"/>
      <c r="D138" s="373"/>
      <c r="E138" s="373"/>
      <c r="F138" s="373"/>
      <c r="G138" s="373"/>
      <c r="H138" s="373"/>
      <c r="I138" s="373"/>
      <c r="J138" s="373"/>
      <c r="K138" s="373"/>
      <c r="L138" s="373"/>
      <c r="M138" s="373"/>
      <c r="N138" s="373"/>
      <c r="O138" s="373"/>
      <c r="P138" s="379"/>
    </row>
    <row r="139" spans="2:24">
      <c r="B139" s="369" t="s">
        <v>241</v>
      </c>
      <c r="C139" s="370"/>
      <c r="D139" s="370"/>
      <c r="E139" s="370"/>
      <c r="F139" s="370"/>
      <c r="G139" s="370"/>
      <c r="H139" s="370"/>
      <c r="I139" s="370"/>
      <c r="J139" s="370"/>
      <c r="K139" s="370"/>
      <c r="L139" s="370"/>
      <c r="M139" s="370"/>
      <c r="N139" s="370"/>
      <c r="O139" s="370"/>
      <c r="P139" s="378"/>
    </row>
    <row r="140" spans="2:24">
      <c r="B140" s="369" t="s">
        <v>220</v>
      </c>
      <c r="C140" s="370"/>
      <c r="D140" s="370"/>
      <c r="E140" s="370"/>
      <c r="F140" s="370"/>
      <c r="G140" s="370"/>
      <c r="H140" s="370"/>
      <c r="I140" s="370"/>
      <c r="J140" s="370"/>
      <c r="K140" s="370"/>
      <c r="L140" s="370"/>
      <c r="M140" s="370"/>
      <c r="N140" s="370"/>
      <c r="O140" s="370"/>
      <c r="P140" s="378"/>
    </row>
    <row r="141" spans="2:24">
      <c r="B141" s="369" t="s">
        <v>242</v>
      </c>
      <c r="C141" s="370"/>
      <c r="D141" s="370"/>
      <c r="E141" s="370"/>
      <c r="F141" s="370"/>
      <c r="G141" s="370"/>
      <c r="H141" s="370"/>
      <c r="I141" s="370"/>
      <c r="J141" s="370"/>
      <c r="K141" s="370"/>
      <c r="L141" s="370"/>
      <c r="M141" s="370"/>
      <c r="N141" s="370"/>
      <c r="O141" s="370"/>
      <c r="P141" s="378"/>
    </row>
    <row r="142" spans="2:24">
      <c r="B142" s="369" t="s">
        <v>243</v>
      </c>
      <c r="C142" s="370"/>
      <c r="D142" s="370"/>
      <c r="E142" s="370"/>
      <c r="F142" s="370"/>
      <c r="G142" s="370"/>
      <c r="H142" s="370"/>
      <c r="I142" s="370"/>
      <c r="J142" s="370"/>
      <c r="K142" s="370"/>
      <c r="L142" s="370"/>
      <c r="M142" s="370"/>
      <c r="N142" s="370"/>
      <c r="O142" s="370"/>
      <c r="P142" s="378"/>
    </row>
    <row r="143" spans="2:24">
      <c r="B143" s="369" t="s">
        <v>244</v>
      </c>
      <c r="C143" s="370"/>
      <c r="D143" s="370"/>
      <c r="E143" s="370"/>
      <c r="F143" s="370"/>
      <c r="G143" s="370"/>
      <c r="H143" s="370"/>
      <c r="I143" s="370"/>
      <c r="J143" s="370"/>
      <c r="K143" s="370"/>
      <c r="L143" s="370"/>
      <c r="M143" s="370"/>
      <c r="N143" s="370"/>
      <c r="O143" s="370"/>
      <c r="P143" s="378"/>
    </row>
    <row r="144" spans="2:24">
      <c r="B144" s="369" t="s">
        <v>245</v>
      </c>
      <c r="C144" s="370"/>
      <c r="D144" s="370"/>
      <c r="E144" s="370"/>
      <c r="F144" s="370"/>
      <c r="G144" s="370"/>
      <c r="H144" s="370"/>
      <c r="I144" s="370"/>
      <c r="J144" s="370"/>
      <c r="K144" s="370"/>
      <c r="L144" s="370"/>
      <c r="M144" s="370"/>
      <c r="N144" s="370"/>
      <c r="O144" s="370"/>
      <c r="P144" s="378"/>
    </row>
    <row r="145" spans="2:16">
      <c r="B145" s="369" t="s">
        <v>246</v>
      </c>
      <c r="C145" s="370"/>
      <c r="D145" s="370"/>
      <c r="E145" s="370"/>
      <c r="F145" s="370"/>
      <c r="G145" s="370"/>
      <c r="H145" s="370"/>
      <c r="I145" s="370"/>
      <c r="J145" s="370"/>
      <c r="K145" s="370"/>
      <c r="L145" s="370"/>
      <c r="M145" s="370"/>
      <c r="N145" s="370"/>
      <c r="O145" s="370"/>
      <c r="P145" s="378"/>
    </row>
    <row r="146" spans="2:16" ht="15.75" thickBot="1">
      <c r="B146" s="375" t="s">
        <v>247</v>
      </c>
      <c r="C146" s="376"/>
      <c r="D146" s="376"/>
      <c r="E146" s="376"/>
      <c r="F146" s="376"/>
      <c r="G146" s="376"/>
      <c r="H146" s="376"/>
      <c r="I146" s="376"/>
      <c r="J146" s="376"/>
      <c r="K146" s="376"/>
      <c r="L146" s="376"/>
      <c r="M146" s="376"/>
      <c r="N146" s="376"/>
      <c r="O146" s="376"/>
      <c r="P146" s="380"/>
    </row>
    <row r="147" spans="2:16">
      <c r="C147" s="167"/>
      <c r="D147" s="167"/>
      <c r="E147" s="167"/>
      <c r="F147" s="167"/>
      <c r="G147" s="167"/>
      <c r="H147" s="167"/>
      <c r="I147" s="167"/>
      <c r="J147" s="167"/>
      <c r="K147" s="167"/>
      <c r="L147" s="167"/>
      <c r="M147" s="167"/>
      <c r="N147" s="167"/>
      <c r="O147" s="167"/>
      <c r="P147" s="167"/>
    </row>
    <row r="148" spans="2:16">
      <c r="C148" s="167"/>
      <c r="D148" s="167"/>
      <c r="E148" s="167"/>
      <c r="F148" s="167"/>
      <c r="G148" s="167"/>
      <c r="H148" s="167"/>
      <c r="I148" s="167"/>
      <c r="J148" s="167"/>
      <c r="K148" s="167"/>
      <c r="L148" s="167"/>
      <c r="M148" s="167"/>
      <c r="N148" s="167"/>
      <c r="O148" s="167"/>
      <c r="P148" s="167"/>
    </row>
    <row r="149" spans="2:16">
      <c r="C149" s="167"/>
      <c r="D149" s="167"/>
      <c r="E149" s="167"/>
      <c r="F149" s="167"/>
      <c r="G149" s="167"/>
      <c r="H149" s="167"/>
      <c r="I149" s="167"/>
      <c r="J149" s="167"/>
      <c r="K149" s="167"/>
      <c r="L149" s="167"/>
      <c r="M149" s="167"/>
      <c r="N149" s="167"/>
      <c r="O149" s="167"/>
      <c r="P149" s="167"/>
    </row>
    <row r="150" spans="2:16">
      <c r="C150" s="167"/>
      <c r="D150" s="167"/>
      <c r="E150" s="167"/>
      <c r="F150" s="167"/>
      <c r="G150" s="167"/>
      <c r="H150" s="167"/>
      <c r="I150" s="167"/>
      <c r="J150" s="167"/>
      <c r="K150" s="167"/>
      <c r="L150" s="167"/>
      <c r="M150" s="167"/>
      <c r="N150" s="167"/>
      <c r="O150" s="167"/>
      <c r="P150" s="167"/>
    </row>
    <row r="151" spans="2:16">
      <c r="C151" s="167"/>
      <c r="D151" s="167"/>
      <c r="E151" s="167"/>
      <c r="F151" s="167"/>
      <c r="G151" s="167"/>
      <c r="H151" s="167"/>
      <c r="I151" s="167"/>
      <c r="J151" s="167"/>
      <c r="K151" s="167"/>
      <c r="L151" s="167"/>
      <c r="M151" s="167"/>
      <c r="N151" s="167"/>
      <c r="O151" s="167"/>
      <c r="P151" s="167"/>
    </row>
    <row r="152" spans="2:16">
      <c r="C152" s="167"/>
      <c r="D152" s="167"/>
      <c r="E152" s="167"/>
      <c r="F152" s="167"/>
      <c r="G152" s="167"/>
      <c r="H152" s="167"/>
      <c r="I152" s="167"/>
      <c r="J152" s="167"/>
      <c r="K152" s="167"/>
      <c r="L152" s="167"/>
      <c r="M152" s="167"/>
      <c r="N152" s="167"/>
      <c r="O152" s="167"/>
      <c r="P152" s="167"/>
    </row>
    <row r="153" spans="2:16">
      <c r="C153" s="167"/>
      <c r="D153" s="167"/>
      <c r="E153" s="167"/>
      <c r="F153" s="167"/>
      <c r="G153" s="167"/>
      <c r="H153" s="167"/>
      <c r="I153" s="167"/>
      <c r="J153" s="167"/>
      <c r="K153" s="167"/>
      <c r="L153" s="167"/>
      <c r="M153" s="167"/>
      <c r="N153" s="167"/>
      <c r="O153" s="167"/>
      <c r="P153" s="167"/>
    </row>
    <row r="154" spans="2:16">
      <c r="C154" s="167"/>
      <c r="D154" s="167"/>
      <c r="E154" s="167"/>
      <c r="F154" s="167"/>
      <c r="G154" s="167"/>
      <c r="H154" s="167"/>
      <c r="I154" s="167"/>
      <c r="J154" s="167"/>
      <c r="K154" s="167"/>
      <c r="L154" s="167"/>
      <c r="M154" s="167"/>
      <c r="N154" s="167"/>
      <c r="O154" s="167"/>
      <c r="P154" s="167"/>
    </row>
    <row r="155" spans="2:16">
      <c r="C155" s="167"/>
      <c r="D155" s="167"/>
      <c r="E155" s="167"/>
      <c r="F155" s="167"/>
      <c r="G155" s="167"/>
      <c r="H155" s="167"/>
      <c r="I155" s="167"/>
      <c r="J155" s="167"/>
      <c r="K155" s="167"/>
      <c r="L155" s="167"/>
      <c r="M155" s="167"/>
      <c r="N155" s="167"/>
      <c r="O155" s="167"/>
      <c r="P155" s="167"/>
    </row>
  </sheetData>
  <mergeCells count="3">
    <mergeCell ref="P3:P4"/>
    <mergeCell ref="B2:P2"/>
    <mergeCell ref="B3:B4"/>
  </mergeCells>
  <hyperlinks>
    <hyperlink ref="A1" location="Contents!A1" display="Back to contents" xr:uid="{249A6C84-7092-4DB9-846E-9C442F401BC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E7208-DD8E-43E1-B8BC-471737A593F7}">
  <sheetPr codeName="Sheet9"/>
  <dimension ref="A1:I36"/>
  <sheetViews>
    <sheetView showGridLines="0" zoomScaleNormal="100" workbookViewId="0">
      <selection activeCell="L16" sqref="L16"/>
    </sheetView>
  </sheetViews>
  <sheetFormatPr defaultColWidth="10.140625" defaultRowHeight="12.75"/>
  <cols>
    <col min="1" max="1" width="10.140625" style="2"/>
    <col min="2" max="2" width="28.140625" style="2" customWidth="1"/>
    <col min="3" max="9" width="7.5703125" style="2" customWidth="1"/>
    <col min="10" max="16384" width="10.140625" style="2"/>
  </cols>
  <sheetData>
    <row r="1" spans="1:9" ht="39.950000000000003" customHeight="1">
      <c r="A1" s="1" t="s">
        <v>0</v>
      </c>
    </row>
    <row r="2" spans="1:9" ht="17.25">
      <c r="B2" s="3" t="s">
        <v>312</v>
      </c>
    </row>
    <row r="3" spans="1:9" ht="15.75" thickBot="1">
      <c r="B3" s="381"/>
      <c r="C3" s="382"/>
      <c r="D3" s="382"/>
      <c r="E3" s="382"/>
      <c r="F3" s="382"/>
      <c r="G3" s="382"/>
      <c r="H3" s="382"/>
      <c r="I3" s="383"/>
    </row>
    <row r="4" spans="1:9">
      <c r="B4" s="384"/>
      <c r="C4" s="541" t="s">
        <v>2</v>
      </c>
      <c r="D4" s="541"/>
      <c r="E4" s="541"/>
      <c r="F4" s="541"/>
      <c r="G4" s="541"/>
      <c r="H4" s="541"/>
      <c r="I4" s="541"/>
    </row>
    <row r="5" spans="1:9">
      <c r="B5" s="384"/>
      <c r="C5" s="385" t="s">
        <v>3</v>
      </c>
      <c r="D5" s="542" t="s">
        <v>4</v>
      </c>
      <c r="E5" s="542">
        <v>0</v>
      </c>
      <c r="F5" s="542">
        <v>0</v>
      </c>
      <c r="G5" s="542">
        <v>0</v>
      </c>
      <c r="H5" s="542">
        <v>0</v>
      </c>
      <c r="I5" s="542">
        <v>0</v>
      </c>
    </row>
    <row r="6" spans="1:9">
      <c r="B6" s="384"/>
      <c r="C6" s="385" t="s">
        <v>5</v>
      </c>
      <c r="D6" s="385" t="s">
        <v>6</v>
      </c>
      <c r="E6" s="385" t="s">
        <v>7</v>
      </c>
      <c r="F6" s="385" t="s">
        <v>8</v>
      </c>
      <c r="G6" s="385" t="s">
        <v>9</v>
      </c>
      <c r="H6" s="385" t="s">
        <v>10</v>
      </c>
      <c r="I6" s="385" t="s">
        <v>11</v>
      </c>
    </row>
    <row r="7" spans="1:9">
      <c r="B7" s="386" t="s">
        <v>12</v>
      </c>
      <c r="C7" s="387">
        <v>152.37240449123607</v>
      </c>
      <c r="D7" s="387">
        <v>131.56568017686641</v>
      </c>
      <c r="E7" s="387">
        <v>85.397915529985355</v>
      </c>
      <c r="F7" s="387">
        <v>76.684303639250814</v>
      </c>
      <c r="G7" s="387">
        <v>63.459508569814432</v>
      </c>
      <c r="H7" s="387">
        <v>49.258256300271199</v>
      </c>
      <c r="I7" s="387"/>
    </row>
    <row r="8" spans="1:9">
      <c r="B8" s="386" t="s">
        <v>29</v>
      </c>
      <c r="C8" s="387">
        <v>128.26599999999999</v>
      </c>
      <c r="D8" s="387">
        <v>123.90988239024044</v>
      </c>
      <c r="E8" s="387">
        <v>84.570325864312693</v>
      </c>
      <c r="F8" s="387">
        <v>76.835639869641042</v>
      </c>
      <c r="G8" s="387">
        <v>68.405586892385031</v>
      </c>
      <c r="H8" s="387">
        <v>49.058610073136563</v>
      </c>
      <c r="I8" s="387">
        <v>35.003997619559541</v>
      </c>
    </row>
    <row r="9" spans="1:9">
      <c r="B9" s="388" t="s">
        <v>17</v>
      </c>
      <c r="C9" s="389">
        <v>-24.106404491236077</v>
      </c>
      <c r="D9" s="389">
        <v>-7.6557977866259677</v>
      </c>
      <c r="E9" s="389">
        <v>-0.82758966567266157</v>
      </c>
      <c r="F9" s="389">
        <v>0.15133623039022837</v>
      </c>
      <c r="G9" s="389">
        <v>4.9460783225705995</v>
      </c>
      <c r="H9" s="389">
        <v>-0.19964622713463598</v>
      </c>
      <c r="I9" s="390"/>
    </row>
    <row r="10" spans="1:9">
      <c r="B10" s="391" t="s">
        <v>18</v>
      </c>
      <c r="C10" s="223"/>
      <c r="D10" s="392"/>
      <c r="E10" s="392"/>
      <c r="F10" s="392"/>
      <c r="G10" s="392"/>
      <c r="H10" s="392"/>
      <c r="I10" s="223"/>
    </row>
    <row r="11" spans="1:9">
      <c r="B11" s="393" t="s">
        <v>313</v>
      </c>
      <c r="C11" s="394"/>
      <c r="D11" s="395">
        <v>-15.785405481555699</v>
      </c>
      <c r="E11" s="395">
        <v>-14.499910073766387</v>
      </c>
      <c r="F11" s="395">
        <v>-14.194091597716579</v>
      </c>
      <c r="G11" s="395">
        <v>-17.203791727806902</v>
      </c>
      <c r="H11" s="395">
        <v>-26.799841490971858</v>
      </c>
      <c r="I11" s="223"/>
    </row>
    <row r="12" spans="1:9">
      <c r="B12" s="396" t="s">
        <v>18</v>
      </c>
      <c r="C12" s="223"/>
      <c r="D12" s="387"/>
      <c r="E12" s="387"/>
      <c r="F12" s="387"/>
      <c r="G12" s="387"/>
      <c r="H12" s="387"/>
      <c r="I12" s="223"/>
    </row>
    <row r="13" spans="1:9">
      <c r="B13" s="397" t="s">
        <v>314</v>
      </c>
      <c r="C13" s="223"/>
      <c r="D13" s="387">
        <v>-35.285578315083114</v>
      </c>
      <c r="E13" s="387">
        <v>-47.828252403613881</v>
      </c>
      <c r="F13" s="387">
        <v>-47.781126049070139</v>
      </c>
      <c r="G13" s="387">
        <v>-50.576044457423308</v>
      </c>
      <c r="H13" s="387">
        <v>-58.976222536362698</v>
      </c>
      <c r="I13" s="394"/>
    </row>
    <row r="14" spans="1:9">
      <c r="B14" s="398" t="s">
        <v>18</v>
      </c>
      <c r="C14" s="223"/>
      <c r="D14" s="387"/>
      <c r="E14" s="387"/>
      <c r="F14" s="387"/>
      <c r="G14" s="387"/>
      <c r="H14" s="387"/>
      <c r="I14" s="223"/>
    </row>
    <row r="15" spans="1:9">
      <c r="B15" s="399" t="s">
        <v>315</v>
      </c>
      <c r="C15" s="223"/>
      <c r="D15" s="387">
        <v>-9.1813688552742292</v>
      </c>
      <c r="E15" s="387">
        <v>-14.369356315186792</v>
      </c>
      <c r="F15" s="387">
        <v>-16.649603643238606</v>
      </c>
      <c r="G15" s="387">
        <v>-19.136824167512145</v>
      </c>
      <c r="H15" s="387">
        <v>-21.991092720847462</v>
      </c>
      <c r="I15" s="387"/>
    </row>
    <row r="16" spans="1:9">
      <c r="B16" s="399" t="s">
        <v>316</v>
      </c>
      <c r="C16" s="223"/>
      <c r="D16" s="387">
        <v>-11.009409853636043</v>
      </c>
      <c r="E16" s="387">
        <v>-10.995215333645575</v>
      </c>
      <c r="F16" s="387">
        <v>-11.291930017452728</v>
      </c>
      <c r="G16" s="387">
        <v>-14.12967738090282</v>
      </c>
      <c r="H16" s="387">
        <v>-17.296469738110289</v>
      </c>
      <c r="I16" s="387"/>
    </row>
    <row r="17" spans="2:9">
      <c r="B17" s="399" t="s">
        <v>317</v>
      </c>
      <c r="C17" s="223"/>
      <c r="D17" s="387">
        <v>-16.630544309896194</v>
      </c>
      <c r="E17" s="387">
        <v>-14.804215538425552</v>
      </c>
      <c r="F17" s="387">
        <v>-12.75422180057997</v>
      </c>
      <c r="G17" s="387">
        <v>-12.133242886767249</v>
      </c>
      <c r="H17" s="387">
        <v>-13.429391342749994</v>
      </c>
      <c r="I17" s="387"/>
    </row>
    <row r="18" spans="2:9">
      <c r="B18" s="399" t="s">
        <v>318</v>
      </c>
      <c r="C18" s="223"/>
      <c r="D18" s="387">
        <v>-6.3948331599497692</v>
      </c>
      <c r="E18" s="387">
        <v>-8.9259856219266567</v>
      </c>
      <c r="F18" s="387">
        <v>-9.1771599706101483</v>
      </c>
      <c r="G18" s="387">
        <v>-9.9171780298295573</v>
      </c>
      <c r="H18" s="387">
        <v>-10.687478942684521</v>
      </c>
      <c r="I18" s="387"/>
    </row>
    <row r="19" spans="2:9">
      <c r="B19" s="399" t="s">
        <v>319</v>
      </c>
      <c r="C19" s="223"/>
      <c r="D19" s="387">
        <v>7.9305778636731219</v>
      </c>
      <c r="E19" s="387">
        <v>1.2665204055706951</v>
      </c>
      <c r="F19" s="387">
        <v>2.0917893828113137</v>
      </c>
      <c r="G19" s="387">
        <v>4.7408780075884636</v>
      </c>
      <c r="H19" s="387">
        <v>4.4282102080295687</v>
      </c>
      <c r="I19" s="387"/>
    </row>
    <row r="20" spans="2:9">
      <c r="B20" s="397" t="s">
        <v>320</v>
      </c>
      <c r="C20" s="223"/>
      <c r="D20" s="387">
        <v>19.500172833527415</v>
      </c>
      <c r="E20" s="387">
        <v>33.328342329847494</v>
      </c>
      <c r="F20" s="387">
        <v>33.58703445135356</v>
      </c>
      <c r="G20" s="387">
        <v>33.372252729616406</v>
      </c>
      <c r="H20" s="387">
        <v>32.176381045390841</v>
      </c>
      <c r="I20" s="395"/>
    </row>
    <row r="21" spans="2:9">
      <c r="B21" s="398" t="s">
        <v>18</v>
      </c>
      <c r="C21" s="223"/>
      <c r="D21" s="387"/>
      <c r="E21" s="387"/>
      <c r="F21" s="387"/>
      <c r="G21" s="387"/>
      <c r="H21" s="387"/>
      <c r="I21" s="387"/>
    </row>
    <row r="22" spans="2:9" ht="15">
      <c r="B22" s="399" t="s">
        <v>49</v>
      </c>
      <c r="C22" s="400"/>
      <c r="D22" s="387">
        <v>0.86219487943765216</v>
      </c>
      <c r="E22" s="387">
        <v>8.0883118556091063</v>
      </c>
      <c r="F22" s="387">
        <v>16.319932236986233</v>
      </c>
      <c r="G22" s="387">
        <v>19.195298946323589</v>
      </c>
      <c r="H22" s="387">
        <v>20.182546879884057</v>
      </c>
      <c r="I22" s="387"/>
    </row>
    <row r="23" spans="2:9">
      <c r="B23" s="399" t="s">
        <v>321</v>
      </c>
      <c r="C23" s="394"/>
      <c r="D23" s="387">
        <v>21.74990640123778</v>
      </c>
      <c r="E23" s="387">
        <v>27.846747381337536</v>
      </c>
      <c r="F23" s="387">
        <v>23.09326491696644</v>
      </c>
      <c r="G23" s="387">
        <v>17.451000256451067</v>
      </c>
      <c r="H23" s="387">
        <v>15.117307822023205</v>
      </c>
      <c r="I23" s="395"/>
    </row>
    <row r="24" spans="2:9">
      <c r="B24" s="399" t="s">
        <v>322</v>
      </c>
      <c r="C24" s="223"/>
      <c r="D24" s="387">
        <v>-3.1119284471480171</v>
      </c>
      <c r="E24" s="387">
        <v>-2.6067169070991483</v>
      </c>
      <c r="F24" s="387">
        <v>-5.8261627025991132</v>
      </c>
      <c r="G24" s="387">
        <v>-3.2740464731582506</v>
      </c>
      <c r="H24" s="387">
        <v>-3.1234736565164223</v>
      </c>
      <c r="I24" s="387"/>
    </row>
    <row r="25" spans="2:9">
      <c r="B25" s="393" t="s">
        <v>323</v>
      </c>
      <c r="C25" s="394"/>
      <c r="D25" s="395">
        <v>8.6595925222834129</v>
      </c>
      <c r="E25" s="395">
        <v>16.302486429091196</v>
      </c>
      <c r="F25" s="395">
        <v>17.001633382824881</v>
      </c>
      <c r="G25" s="395">
        <v>23.026596069658041</v>
      </c>
      <c r="H25" s="395">
        <v>25.096357217357877</v>
      </c>
      <c r="I25" s="395">
        <v>17.289845248315565</v>
      </c>
    </row>
    <row r="26" spans="2:9">
      <c r="B26" s="396" t="s">
        <v>18</v>
      </c>
      <c r="C26" s="223"/>
      <c r="D26" s="387"/>
      <c r="E26" s="387"/>
      <c r="F26" s="387"/>
      <c r="G26" s="387"/>
      <c r="H26" s="387"/>
      <c r="I26" s="392"/>
    </row>
    <row r="27" spans="2:9">
      <c r="B27" s="397" t="s">
        <v>324</v>
      </c>
      <c r="C27" s="223"/>
      <c r="D27" s="392">
        <v>2.3661521830109002</v>
      </c>
      <c r="E27" s="392">
        <v>9.9900783211418762</v>
      </c>
      <c r="F27" s="392">
        <v>10.098169796643957</v>
      </c>
      <c r="G27" s="392">
        <v>10.157373986212139</v>
      </c>
      <c r="H27" s="392">
        <v>10.399557160731392</v>
      </c>
      <c r="I27" s="392">
        <v>10.704057718583897</v>
      </c>
    </row>
    <row r="28" spans="2:9">
      <c r="B28" s="397" t="s">
        <v>325</v>
      </c>
      <c r="C28" s="223"/>
      <c r="D28" s="392">
        <v>0</v>
      </c>
      <c r="E28" s="392">
        <v>0</v>
      </c>
      <c r="F28" s="392">
        <v>1.9791953688260582</v>
      </c>
      <c r="G28" s="392">
        <v>6.8920570164640447</v>
      </c>
      <c r="H28" s="392">
        <v>9.0532562391135976</v>
      </c>
      <c r="I28" s="392">
        <v>9.1515752671721557</v>
      </c>
    </row>
    <row r="29" spans="2:9">
      <c r="B29" s="397" t="s">
        <v>20</v>
      </c>
      <c r="C29" s="223"/>
      <c r="D29" s="392">
        <v>0</v>
      </c>
      <c r="E29" s="392">
        <v>0.35419454529233152</v>
      </c>
      <c r="F29" s="392">
        <v>0.68276799157995283</v>
      </c>
      <c r="G29" s="392">
        <v>7.142633360657942E-2</v>
      </c>
      <c r="H29" s="392">
        <v>-0.55391898255364858</v>
      </c>
      <c r="I29" s="392">
        <v>-0.93152653557131193</v>
      </c>
    </row>
    <row r="30" spans="2:9">
      <c r="B30" s="397" t="s">
        <v>326</v>
      </c>
      <c r="C30" s="223"/>
      <c r="D30" s="392">
        <v>-0.55350193478458964</v>
      </c>
      <c r="E30" s="392">
        <v>0.59325153396934915</v>
      </c>
      <c r="F30" s="392">
        <v>-2.4792354975135367</v>
      </c>
      <c r="G30" s="392">
        <v>-2.2468388574146356</v>
      </c>
      <c r="H30" s="392">
        <v>-2.0316987838060268</v>
      </c>
      <c r="I30" s="392">
        <v>-2.0248791956713101</v>
      </c>
    </row>
    <row r="31" spans="2:9">
      <c r="B31" s="397" t="s">
        <v>327</v>
      </c>
      <c r="C31" s="223"/>
      <c r="D31" s="392">
        <v>6.8469422740571027</v>
      </c>
      <c r="E31" s="392">
        <v>5.3649620286876409</v>
      </c>
      <c r="F31" s="392">
        <v>6.7207357232884508</v>
      </c>
      <c r="G31" s="392">
        <v>8.1525775907899156</v>
      </c>
      <c r="H31" s="392">
        <v>8.2291615838725622</v>
      </c>
      <c r="I31" s="392">
        <v>0.3906179938021333</v>
      </c>
    </row>
    <row r="32" spans="2:9">
      <c r="B32" s="393" t="s">
        <v>328</v>
      </c>
      <c r="C32" s="394"/>
      <c r="D32" s="401">
        <v>-0.52998482735368135</v>
      </c>
      <c r="E32" s="401">
        <v>-2.6301660209974713</v>
      </c>
      <c r="F32" s="401">
        <v>-2.6562055547180741</v>
      </c>
      <c r="G32" s="401">
        <v>-0.8767260192805395</v>
      </c>
      <c r="H32" s="401">
        <v>1.5038380464793448</v>
      </c>
      <c r="I32" s="402">
        <v>2.2389895746416251</v>
      </c>
    </row>
    <row r="33" spans="2:9">
      <c r="B33" s="396" t="s">
        <v>18</v>
      </c>
      <c r="C33" s="394"/>
      <c r="D33" s="401"/>
      <c r="E33" s="401"/>
      <c r="F33" s="401"/>
      <c r="G33" s="401"/>
      <c r="H33" s="401"/>
      <c r="I33" s="392"/>
    </row>
    <row r="34" spans="2:9">
      <c r="B34" s="397" t="s">
        <v>321</v>
      </c>
      <c r="C34" s="394"/>
      <c r="D34" s="392">
        <v>0.49409703584038311</v>
      </c>
      <c r="E34" s="392">
        <v>1.0269607424967546</v>
      </c>
      <c r="F34" s="392">
        <v>1.9455221823105688</v>
      </c>
      <c r="G34" s="392">
        <v>2.7262622220101207</v>
      </c>
      <c r="H34" s="392">
        <v>3.5938173035860217</v>
      </c>
      <c r="I34" s="392">
        <v>4.4630130038043347</v>
      </c>
    </row>
    <row r="35" spans="2:9">
      <c r="B35" s="397" t="s">
        <v>329</v>
      </c>
      <c r="C35" s="394"/>
      <c r="D35" s="392">
        <v>-1.0240818631940645</v>
      </c>
      <c r="E35" s="392">
        <v>-3.6571267634942259</v>
      </c>
      <c r="F35" s="392">
        <v>-4.6017277370286429</v>
      </c>
      <c r="G35" s="392">
        <v>-3.6029882412906602</v>
      </c>
      <c r="H35" s="392">
        <v>-2.0899792571066769</v>
      </c>
      <c r="I35" s="392">
        <v>-2.2240234291627097</v>
      </c>
    </row>
    <row r="36" spans="2:9" ht="68.25" customHeight="1" thickBot="1">
      <c r="B36" s="543" t="s">
        <v>330</v>
      </c>
      <c r="C36" s="543"/>
      <c r="D36" s="543"/>
      <c r="E36" s="543"/>
      <c r="F36" s="543"/>
      <c r="G36" s="543"/>
      <c r="H36" s="543"/>
      <c r="I36" s="543"/>
    </row>
  </sheetData>
  <mergeCells count="3">
    <mergeCell ref="C4:I4"/>
    <mergeCell ref="D5:I5"/>
    <mergeCell ref="B36:I36"/>
  </mergeCells>
  <hyperlinks>
    <hyperlink ref="A1" location="Contents!A1" display="Contents!A1" xr:uid="{43547420-72D4-4C05-99B2-9F0D4071396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41086-2B7B-49A9-A403-4FD719497FC5}">
  <sheetPr codeName="Sheet10"/>
  <dimension ref="A1:H15"/>
  <sheetViews>
    <sheetView showGridLines="0" workbookViewId="0">
      <selection activeCell="E35" sqref="E35"/>
    </sheetView>
  </sheetViews>
  <sheetFormatPr defaultColWidth="9.140625" defaultRowHeight="12.75"/>
  <cols>
    <col min="1" max="1" width="9.140625" style="311"/>
    <col min="2" max="2" width="36.85546875" style="311" customWidth="1"/>
    <col min="3" max="8" width="9.140625" style="311" customWidth="1"/>
    <col min="9" max="16384" width="9.140625" style="311"/>
  </cols>
  <sheetData>
    <row r="1" spans="1:8" ht="39.950000000000003" customHeight="1">
      <c r="A1" s="310" t="s">
        <v>0</v>
      </c>
    </row>
    <row r="2" spans="1:8" ht="17.25">
      <c r="B2" s="312" t="s">
        <v>303</v>
      </c>
    </row>
    <row r="3" spans="1:8" ht="15.75" thickBot="1">
      <c r="B3" s="343"/>
      <c r="C3" s="343"/>
      <c r="D3" s="343"/>
      <c r="E3" s="343"/>
      <c r="F3" s="343"/>
      <c r="G3" s="343"/>
      <c r="H3" s="344"/>
    </row>
    <row r="4" spans="1:8" ht="13.5" thickTop="1">
      <c r="A4" s="345"/>
      <c r="B4" s="346"/>
      <c r="C4" s="563" t="s">
        <v>2</v>
      </c>
      <c r="D4" s="563"/>
      <c r="E4" s="563"/>
      <c r="F4" s="563"/>
      <c r="G4" s="563"/>
      <c r="H4" s="564"/>
    </row>
    <row r="5" spans="1:8">
      <c r="A5" s="347"/>
      <c r="B5" s="348"/>
      <c r="C5" s="565" t="s">
        <v>4</v>
      </c>
      <c r="D5" s="565"/>
      <c r="E5" s="565"/>
      <c r="F5" s="565"/>
      <c r="G5" s="565"/>
      <c r="H5" s="566"/>
    </row>
    <row r="6" spans="1:8">
      <c r="A6" s="347"/>
      <c r="B6" s="348"/>
      <c r="C6" s="349" t="s">
        <v>6</v>
      </c>
      <c r="D6" s="349" t="s">
        <v>7</v>
      </c>
      <c r="E6" s="349" t="s">
        <v>8</v>
      </c>
      <c r="F6" s="349" t="s">
        <v>9</v>
      </c>
      <c r="G6" s="349" t="s">
        <v>10</v>
      </c>
      <c r="H6" s="350" t="s">
        <v>11</v>
      </c>
    </row>
    <row r="7" spans="1:8" ht="13.5" customHeight="1">
      <c r="A7" s="347"/>
      <c r="B7" s="351" t="s">
        <v>304</v>
      </c>
      <c r="C7" s="352">
        <v>2.3594776146245291</v>
      </c>
      <c r="D7" s="352">
        <v>9.8890470885578861</v>
      </c>
      <c r="E7" s="352">
        <v>10.082537710628634</v>
      </c>
      <c r="F7" s="352">
        <v>10.351161940674569</v>
      </c>
      <c r="G7" s="352">
        <v>10.700065013668004</v>
      </c>
      <c r="H7" s="353">
        <v>11.087513202988664</v>
      </c>
    </row>
    <row r="8" spans="1:8" ht="13.5" customHeight="1">
      <c r="A8" s="347"/>
      <c r="B8" s="354" t="s">
        <v>305</v>
      </c>
      <c r="C8" s="355"/>
      <c r="D8" s="355"/>
      <c r="E8" s="355"/>
      <c r="F8" s="355"/>
      <c r="G8" s="355"/>
      <c r="H8" s="356"/>
    </row>
    <row r="9" spans="1:8" ht="13.5" customHeight="1">
      <c r="A9" s="347"/>
      <c r="B9" s="357" t="s">
        <v>306</v>
      </c>
      <c r="C9" s="358">
        <v>6.6745683863710754E-3</v>
      </c>
      <c r="D9" s="358">
        <v>0.10103123258399083</v>
      </c>
      <c r="E9" s="358">
        <v>1.5632086015323763E-2</v>
      </c>
      <c r="F9" s="358">
        <v>-0.19378795446243025</v>
      </c>
      <c r="G9" s="358">
        <v>-0.30050785293661209</v>
      </c>
      <c r="H9" s="359">
        <v>-0.38345548440476601</v>
      </c>
    </row>
    <row r="10" spans="1:8" ht="13.5" customHeight="1">
      <c r="A10" s="347"/>
      <c r="B10" s="360" t="s">
        <v>307</v>
      </c>
      <c r="C10" s="361">
        <v>2.3661521830109002</v>
      </c>
      <c r="D10" s="361">
        <v>9.9900783211418762</v>
      </c>
      <c r="E10" s="361">
        <v>10.098169796643957</v>
      </c>
      <c r="F10" s="361">
        <v>10.157373986212139</v>
      </c>
      <c r="G10" s="361">
        <v>10.399557160731392</v>
      </c>
      <c r="H10" s="362">
        <v>10.704057718583897</v>
      </c>
    </row>
    <row r="11" spans="1:8" ht="13.5" customHeight="1">
      <c r="A11" s="347"/>
      <c r="B11" s="354" t="s">
        <v>308</v>
      </c>
      <c r="C11" s="363"/>
      <c r="D11" s="363"/>
      <c r="E11" s="363"/>
      <c r="F11" s="363"/>
      <c r="G11" s="363"/>
      <c r="H11" s="364"/>
    </row>
    <row r="12" spans="1:8" ht="13.5" customHeight="1">
      <c r="A12" s="347"/>
      <c r="B12" s="365" t="s">
        <v>309</v>
      </c>
      <c r="C12" s="363">
        <v>-0.13692655643153906</v>
      </c>
      <c r="D12" s="363">
        <v>-0.54424413394809845</v>
      </c>
      <c r="E12" s="363">
        <v>-0.60345177123262694</v>
      </c>
      <c r="F12" s="363">
        <v>-0.61077272715817943</v>
      </c>
      <c r="G12" s="363">
        <v>-0.63664485936395887</v>
      </c>
      <c r="H12" s="364">
        <v>-0.66539104275015337</v>
      </c>
    </row>
    <row r="13" spans="1:8" ht="13.5" customHeight="1" thickBot="1">
      <c r="A13" s="347"/>
      <c r="B13" s="366" t="s">
        <v>310</v>
      </c>
      <c r="C13" s="367">
        <v>2.2292256265793613</v>
      </c>
      <c r="D13" s="367">
        <v>9.4458341871937783</v>
      </c>
      <c r="E13" s="367">
        <v>9.4947180254113288</v>
      </c>
      <c r="F13" s="367">
        <v>9.5466012590539595</v>
      </c>
      <c r="G13" s="367">
        <v>9.7629123013674342</v>
      </c>
      <c r="H13" s="368">
        <v>10.038666675833744</v>
      </c>
    </row>
    <row r="14" spans="1:8" ht="13.5" thickBot="1">
      <c r="A14" s="342"/>
    </row>
    <row r="15" spans="1:8" ht="13.5" thickTop="1"/>
  </sheetData>
  <mergeCells count="2">
    <mergeCell ref="C4:H4"/>
    <mergeCell ref="C5:H5"/>
  </mergeCells>
  <hyperlinks>
    <hyperlink ref="A1" location="Contents!A1" display="Contents!A1" xr:uid="{45D2813A-29B4-4FA8-A900-DA6F88A3FFD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09F99-87CC-41A9-95F3-E64EAD83B5E3}">
  <sheetPr codeName="Sheet11"/>
  <dimension ref="A1:K18"/>
  <sheetViews>
    <sheetView showGridLines="0" workbookViewId="0">
      <selection activeCell="B8" sqref="B8"/>
    </sheetView>
  </sheetViews>
  <sheetFormatPr defaultColWidth="9.140625" defaultRowHeight="12.75"/>
  <cols>
    <col min="1" max="1" width="9.140625" style="311"/>
    <col min="2" max="2" width="18.42578125" style="311" customWidth="1"/>
    <col min="3" max="3" width="14.5703125" style="311" customWidth="1"/>
    <col min="4" max="10" width="8" style="311" customWidth="1"/>
    <col min="11" max="16384" width="9.140625" style="311"/>
  </cols>
  <sheetData>
    <row r="1" spans="1:11" ht="39.950000000000003" customHeight="1">
      <c r="A1" s="310" t="s">
        <v>0</v>
      </c>
    </row>
    <row r="2" spans="1:11" ht="18" thickBot="1">
      <c r="B2" s="312" t="s">
        <v>285</v>
      </c>
    </row>
    <row r="3" spans="1:11" ht="15.75" customHeight="1" thickTop="1" thickBot="1">
      <c r="B3" s="313"/>
      <c r="C3" s="314"/>
      <c r="D3" s="314"/>
      <c r="E3" s="314"/>
      <c r="F3" s="314"/>
      <c r="G3" s="314"/>
      <c r="H3" s="314"/>
      <c r="I3" s="314"/>
      <c r="J3" s="315"/>
      <c r="K3" s="316"/>
    </row>
    <row r="4" spans="1:11" ht="12.75" customHeight="1">
      <c r="A4" s="317"/>
      <c r="B4" s="318"/>
      <c r="C4" s="318"/>
      <c r="D4" s="567" t="s">
        <v>2</v>
      </c>
      <c r="E4" s="567"/>
      <c r="F4" s="567"/>
      <c r="G4" s="567"/>
      <c r="H4" s="567"/>
      <c r="I4" s="567"/>
      <c r="J4" s="568"/>
      <c r="K4" s="319"/>
    </row>
    <row r="5" spans="1:11" ht="12.75" customHeight="1">
      <c r="A5" s="317"/>
      <c r="B5" s="39"/>
      <c r="C5" s="39"/>
      <c r="D5" s="569" t="s">
        <v>4</v>
      </c>
      <c r="E5" s="569"/>
      <c r="F5" s="569"/>
      <c r="G5" s="569"/>
      <c r="H5" s="569"/>
      <c r="I5" s="569"/>
      <c r="J5" s="570"/>
      <c r="K5" s="319"/>
    </row>
    <row r="6" spans="1:11" ht="12.75" customHeight="1">
      <c r="A6" s="317"/>
      <c r="B6" s="39"/>
      <c r="C6" s="39" t="s">
        <v>286</v>
      </c>
      <c r="D6" s="320" t="s">
        <v>5</v>
      </c>
      <c r="E6" s="320" t="s">
        <v>6</v>
      </c>
      <c r="F6" s="320" t="s">
        <v>7</v>
      </c>
      <c r="G6" s="320" t="s">
        <v>8</v>
      </c>
      <c r="H6" s="320" t="s">
        <v>9</v>
      </c>
      <c r="I6" s="320" t="s">
        <v>10</v>
      </c>
      <c r="J6" s="321" t="s">
        <v>11</v>
      </c>
      <c r="K6" s="319"/>
    </row>
    <row r="7" spans="1:11" ht="13.5" customHeight="1">
      <c r="A7" s="317"/>
      <c r="B7" s="322" t="s">
        <v>287</v>
      </c>
      <c r="C7" s="323"/>
      <c r="D7" s="324"/>
      <c r="E7" s="324"/>
      <c r="F7" s="324"/>
      <c r="G7" s="324"/>
      <c r="H7" s="324"/>
      <c r="I7" s="325"/>
      <c r="J7" s="326"/>
      <c r="K7" s="319"/>
    </row>
    <row r="8" spans="1:11" ht="13.5" customHeight="1">
      <c r="A8" s="317"/>
      <c r="B8" s="327" t="s">
        <v>288</v>
      </c>
      <c r="C8" s="323" t="s">
        <v>289</v>
      </c>
      <c r="D8" s="324">
        <v>2.9049999999999998</v>
      </c>
      <c r="E8" s="324">
        <v>13.52</v>
      </c>
      <c r="F8" s="324">
        <v>23.25</v>
      </c>
      <c r="G8" s="324">
        <v>28.745000000000001</v>
      </c>
      <c r="H8" s="324">
        <v>29.87</v>
      </c>
      <c r="I8" s="325">
        <v>30.414999999999999</v>
      </c>
      <c r="J8" s="326">
        <v>31.32</v>
      </c>
      <c r="K8" s="319"/>
    </row>
    <row r="9" spans="1:11" ht="25.5" customHeight="1">
      <c r="A9" s="317"/>
      <c r="B9" s="327" t="s">
        <v>290</v>
      </c>
      <c r="C9" s="323" t="s">
        <v>291</v>
      </c>
      <c r="D9" s="324">
        <v>0</v>
      </c>
      <c r="E9" s="324">
        <v>0</v>
      </c>
      <c r="F9" s="324">
        <v>0</v>
      </c>
      <c r="G9" s="324">
        <v>0</v>
      </c>
      <c r="H9" s="324">
        <v>1.73</v>
      </c>
      <c r="I9" s="325">
        <v>3.88</v>
      </c>
      <c r="J9" s="326">
        <v>4.375</v>
      </c>
      <c r="K9" s="319"/>
    </row>
    <row r="10" spans="1:11" ht="25.5" customHeight="1">
      <c r="A10" s="317"/>
      <c r="B10" s="328" t="s">
        <v>292</v>
      </c>
      <c r="C10" s="323" t="s">
        <v>291</v>
      </c>
      <c r="D10" s="324">
        <v>7.4999999999999997E-2</v>
      </c>
      <c r="E10" s="324">
        <v>0.44</v>
      </c>
      <c r="F10" s="324">
        <v>0.83</v>
      </c>
      <c r="G10" s="324">
        <v>0.83</v>
      </c>
      <c r="H10" s="324">
        <v>0.86499999999999999</v>
      </c>
      <c r="I10" s="325">
        <v>0.92500000000000004</v>
      </c>
      <c r="J10" s="326">
        <v>0.97499999999999998</v>
      </c>
      <c r="K10" s="319"/>
    </row>
    <row r="11" spans="1:11" ht="13.5" customHeight="1">
      <c r="A11" s="317"/>
      <c r="B11" s="329" t="s">
        <v>293</v>
      </c>
      <c r="C11" s="323"/>
      <c r="D11" s="324"/>
      <c r="E11" s="324"/>
      <c r="F11" s="324"/>
      <c r="G11" s="324"/>
      <c r="H11" s="324"/>
      <c r="I11" s="325"/>
      <c r="J11" s="326"/>
      <c r="K11" s="319"/>
    </row>
    <row r="12" spans="1:11" ht="25.5" customHeight="1">
      <c r="A12" s="317"/>
      <c r="B12" s="328" t="s">
        <v>294</v>
      </c>
      <c r="C12" s="323" t="s">
        <v>295</v>
      </c>
      <c r="D12" s="324">
        <v>-6.3550000000000004</v>
      </c>
      <c r="E12" s="324">
        <v>-4.7949999999999999</v>
      </c>
      <c r="F12" s="324">
        <v>-2.645</v>
      </c>
      <c r="G12" s="324">
        <v>-1.4450000000000001</v>
      </c>
      <c r="H12" s="324">
        <v>-1.46</v>
      </c>
      <c r="I12" s="325">
        <v>-1.5549999999999999</v>
      </c>
      <c r="J12" s="326">
        <v>-1.61</v>
      </c>
      <c r="K12" s="319"/>
    </row>
    <row r="13" spans="1:11" ht="13.5" customHeight="1">
      <c r="A13" s="317"/>
      <c r="B13" s="328" t="s">
        <v>296</v>
      </c>
      <c r="C13" s="323" t="s">
        <v>295</v>
      </c>
      <c r="D13" s="324">
        <v>-7.4999999999999997E-2</v>
      </c>
      <c r="E13" s="324">
        <v>-8.5000000000000006E-2</v>
      </c>
      <c r="F13" s="324">
        <v>-0.08</v>
      </c>
      <c r="G13" s="324">
        <v>-0.08</v>
      </c>
      <c r="H13" s="324">
        <v>-8.5000000000000006E-2</v>
      </c>
      <c r="I13" s="325">
        <v>-8.5000000000000006E-2</v>
      </c>
      <c r="J13" s="326">
        <v>-8.5000000000000006E-2</v>
      </c>
      <c r="K13" s="319"/>
    </row>
    <row r="14" spans="1:11" ht="25.5" customHeight="1">
      <c r="A14" s="317"/>
      <c r="B14" s="328" t="s">
        <v>297</v>
      </c>
      <c r="C14" s="323" t="s">
        <v>291</v>
      </c>
      <c r="D14" s="324">
        <v>0</v>
      </c>
      <c r="E14" s="324">
        <v>3.3149999999999999</v>
      </c>
      <c r="F14" s="324">
        <v>5.68</v>
      </c>
      <c r="G14" s="324">
        <v>6.9749999999999996</v>
      </c>
      <c r="H14" s="324">
        <v>7.6050000000000004</v>
      </c>
      <c r="I14" s="325">
        <v>8.2449999999999992</v>
      </c>
      <c r="J14" s="326">
        <v>8.4749999999999996</v>
      </c>
      <c r="K14" s="319"/>
    </row>
    <row r="15" spans="1:11" ht="25.5" customHeight="1" thickBot="1">
      <c r="A15" s="330"/>
      <c r="B15" s="331" t="s">
        <v>298</v>
      </c>
      <c r="C15" s="332" t="s">
        <v>291</v>
      </c>
      <c r="D15" s="333">
        <v>0</v>
      </c>
      <c r="E15" s="333">
        <v>0</v>
      </c>
      <c r="F15" s="333">
        <v>0</v>
      </c>
      <c r="G15" s="333">
        <v>0</v>
      </c>
      <c r="H15" s="333">
        <v>0.57499999999999996</v>
      </c>
      <c r="I15" s="333">
        <v>1.0900000000000001</v>
      </c>
      <c r="J15" s="334">
        <v>1.1000000000000001</v>
      </c>
      <c r="K15" s="319"/>
    </row>
    <row r="16" spans="1:11" ht="13.5" customHeight="1" thickTop="1" thickBot="1">
      <c r="A16" s="335"/>
      <c r="B16" s="336" t="s">
        <v>299</v>
      </c>
      <c r="C16" s="337"/>
      <c r="D16" s="338">
        <v>-3.45</v>
      </c>
      <c r="E16" s="338">
        <v>12.395</v>
      </c>
      <c r="F16" s="338">
        <v>27.035</v>
      </c>
      <c r="G16" s="338">
        <v>35.024999999999999</v>
      </c>
      <c r="H16" s="338">
        <v>39.1</v>
      </c>
      <c r="I16" s="339">
        <v>42.914999999999999</v>
      </c>
      <c r="J16" s="340">
        <v>44.55</v>
      </c>
      <c r="K16" s="319"/>
    </row>
    <row r="17" spans="10:11" ht="13.5" thickBot="1">
      <c r="J17" s="341"/>
      <c r="K17" s="342"/>
    </row>
    <row r="18" spans="10:11" ht="13.5" thickTop="1"/>
  </sheetData>
  <mergeCells count="2">
    <mergeCell ref="D4:J4"/>
    <mergeCell ref="D5:J5"/>
  </mergeCells>
  <hyperlinks>
    <hyperlink ref="A1" location="Contents!A1" display="Contents!A1" xr:uid="{5685CF25-9332-4A56-9859-299048330C0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6A44B-5815-4067-AF2B-781A789784FF}">
  <sheetPr codeName="Sheet12"/>
  <dimension ref="A1:J47"/>
  <sheetViews>
    <sheetView showGridLines="0" workbookViewId="0">
      <selection activeCell="B31" sqref="B31"/>
    </sheetView>
  </sheetViews>
  <sheetFormatPr defaultColWidth="10.140625" defaultRowHeight="12.75"/>
  <cols>
    <col min="1" max="1" width="10.140625" style="2"/>
    <col min="2" max="2" width="31.5703125" style="2" customWidth="1"/>
    <col min="3" max="9" width="7.140625" style="2" customWidth="1"/>
    <col min="10" max="16384" width="10.140625" style="2"/>
  </cols>
  <sheetData>
    <row r="1" spans="1:10" ht="39.950000000000003" customHeight="1">
      <c r="A1" s="1" t="s">
        <v>0</v>
      </c>
    </row>
    <row r="2" spans="1:10" ht="17.25">
      <c r="B2" s="3" t="s">
        <v>54</v>
      </c>
    </row>
    <row r="3" spans="1:10" ht="13.5" thickBot="1">
      <c r="B3" s="68"/>
      <c r="C3" s="68"/>
      <c r="D3" s="68"/>
      <c r="E3" s="68"/>
      <c r="F3" s="68"/>
      <c r="G3" s="68"/>
      <c r="H3" s="68"/>
      <c r="I3" s="68"/>
    </row>
    <row r="4" spans="1:10">
      <c r="B4" s="69"/>
      <c r="C4" s="571" t="s">
        <v>2</v>
      </c>
      <c r="D4" s="571"/>
      <c r="E4" s="571"/>
      <c r="F4" s="571"/>
      <c r="G4" s="571"/>
      <c r="H4" s="571"/>
      <c r="I4" s="572"/>
      <c r="J4" s="70"/>
    </row>
    <row r="5" spans="1:10">
      <c r="B5" s="71"/>
      <c r="C5" s="72" t="s">
        <v>3</v>
      </c>
      <c r="D5" s="573" t="s">
        <v>4</v>
      </c>
      <c r="E5" s="573"/>
      <c r="F5" s="573"/>
      <c r="G5" s="573"/>
      <c r="H5" s="573"/>
      <c r="I5" s="574"/>
      <c r="J5" s="70"/>
    </row>
    <row r="6" spans="1:10">
      <c r="B6" s="73"/>
      <c r="C6" s="74" t="s">
        <v>5</v>
      </c>
      <c r="D6" s="74" t="s">
        <v>6</v>
      </c>
      <c r="E6" s="74" t="s">
        <v>7</v>
      </c>
      <c r="F6" s="74" t="s">
        <v>8</v>
      </c>
      <c r="G6" s="74" t="s">
        <v>9</v>
      </c>
      <c r="H6" s="74" t="s">
        <v>10</v>
      </c>
      <c r="I6" s="75" t="s">
        <v>11</v>
      </c>
    </row>
    <row r="7" spans="1:10">
      <c r="B7" s="76" t="s">
        <v>55</v>
      </c>
      <c r="C7" s="77"/>
      <c r="D7" s="77"/>
      <c r="E7" s="77"/>
      <c r="F7" s="77"/>
      <c r="G7" s="78"/>
      <c r="H7" s="78"/>
      <c r="I7" s="79"/>
    </row>
    <row r="8" spans="1:10">
      <c r="B8" s="80" t="s">
        <v>56</v>
      </c>
      <c r="C8" s="81">
        <v>411.53610400000002</v>
      </c>
      <c r="D8" s="81">
        <v>426.51629477390128</v>
      </c>
      <c r="E8" s="81">
        <v>435.4519784752199</v>
      </c>
      <c r="F8" s="81">
        <v>445.26190231649491</v>
      </c>
      <c r="G8" s="81">
        <v>456.91761233802708</v>
      </c>
      <c r="H8" s="81">
        <v>469.94190104306637</v>
      </c>
      <c r="I8" s="82">
        <v>483.64675452966623</v>
      </c>
    </row>
    <row r="9" spans="1:10">
      <c r="B9" s="83" t="s">
        <v>57</v>
      </c>
      <c r="C9" s="81">
        <v>634.96689599999979</v>
      </c>
      <c r="D9" s="81">
        <v>662.97386859083042</v>
      </c>
      <c r="E9" s="81">
        <v>667.08864663085956</v>
      </c>
      <c r="F9" s="81">
        <v>688.98558157504397</v>
      </c>
      <c r="G9" s="81">
        <v>713.81489702033275</v>
      </c>
      <c r="H9" s="81">
        <v>733.024807585394</v>
      </c>
      <c r="I9" s="82">
        <v>758.8223367557614</v>
      </c>
    </row>
    <row r="10" spans="1:10">
      <c r="B10" s="80" t="s">
        <v>18</v>
      </c>
      <c r="C10" s="81"/>
      <c r="D10" s="81"/>
      <c r="E10" s="81"/>
      <c r="F10" s="81"/>
      <c r="G10" s="81"/>
      <c r="H10" s="81"/>
      <c r="I10" s="82"/>
    </row>
    <row r="11" spans="1:10">
      <c r="B11" s="84" t="s">
        <v>49</v>
      </c>
      <c r="C11" s="81">
        <v>261.47908924529941</v>
      </c>
      <c r="D11" s="81">
        <v>295.3691924643407</v>
      </c>
      <c r="E11" s="81">
        <v>316.42805752065374</v>
      </c>
      <c r="F11" s="81">
        <v>333.90156548884516</v>
      </c>
      <c r="G11" s="81">
        <v>343.16005133761655</v>
      </c>
      <c r="H11" s="81">
        <v>350.86961902324646</v>
      </c>
      <c r="I11" s="82">
        <v>361.68412411287022</v>
      </c>
    </row>
    <row r="12" spans="1:10">
      <c r="B12" s="85" t="s">
        <v>58</v>
      </c>
      <c r="C12" s="81">
        <v>60.346916612354008</v>
      </c>
      <c r="D12" s="81">
        <v>62.207691151007708</v>
      </c>
      <c r="E12" s="81">
        <v>63.778229200008454</v>
      </c>
      <c r="F12" s="81">
        <v>66.255644792523611</v>
      </c>
      <c r="G12" s="81">
        <v>69.335173326110066</v>
      </c>
      <c r="H12" s="81">
        <v>72.128505709188047</v>
      </c>
      <c r="I12" s="82">
        <v>75.287812387697031</v>
      </c>
    </row>
    <row r="13" spans="1:10" ht="27.75">
      <c r="B13" s="86" t="s">
        <v>59</v>
      </c>
      <c r="C13" s="81">
        <v>111.20812402546927</v>
      </c>
      <c r="D13" s="81">
        <v>116.2222931694014</v>
      </c>
      <c r="E13" s="81">
        <v>106.17499347658867</v>
      </c>
      <c r="F13" s="81">
        <v>101.89326564182748</v>
      </c>
      <c r="G13" s="81">
        <v>108.84889096681179</v>
      </c>
      <c r="H13" s="81">
        <v>115.16560432737325</v>
      </c>
      <c r="I13" s="82">
        <v>122.4809255427944</v>
      </c>
    </row>
    <row r="14" spans="1:10">
      <c r="B14" s="87" t="s">
        <v>60</v>
      </c>
      <c r="C14" s="81">
        <v>39.586038000000002</v>
      </c>
      <c r="D14" s="81">
        <v>42.030645317784476</v>
      </c>
      <c r="E14" s="81">
        <v>43.521798032458705</v>
      </c>
      <c r="F14" s="81">
        <v>44.891365191369729</v>
      </c>
      <c r="G14" s="81">
        <v>45.940013651572755</v>
      </c>
      <c r="H14" s="81">
        <v>47.173893772222094</v>
      </c>
      <c r="I14" s="82">
        <v>48.799638067698567</v>
      </c>
    </row>
    <row r="15" spans="1:10">
      <c r="B15" s="85" t="s">
        <v>61</v>
      </c>
      <c r="C15" s="81">
        <v>8.8096666927323266</v>
      </c>
      <c r="D15" s="81">
        <v>7.7611438763990126</v>
      </c>
      <c r="E15" s="81">
        <v>0.84577798038933638</v>
      </c>
      <c r="F15" s="81">
        <v>0.76194183521366354</v>
      </c>
      <c r="G15" s="81">
        <v>0.46893936309008877</v>
      </c>
      <c r="H15" s="81">
        <v>0.35241556621759107</v>
      </c>
      <c r="I15" s="82">
        <v>0.76366701867368947</v>
      </c>
    </row>
    <row r="16" spans="1:10">
      <c r="B16" s="85" t="s">
        <v>62</v>
      </c>
      <c r="C16" s="81">
        <v>3.6085466018972863</v>
      </c>
      <c r="D16" s="81">
        <v>5.5954102339553993</v>
      </c>
      <c r="E16" s="81">
        <v>3.1840666856751079</v>
      </c>
      <c r="F16" s="81">
        <v>4.1450653817738443</v>
      </c>
      <c r="G16" s="81">
        <v>3.2702938561698609</v>
      </c>
      <c r="H16" s="81">
        <v>2.3657090594120711</v>
      </c>
      <c r="I16" s="82">
        <v>0.80981286503136474</v>
      </c>
    </row>
    <row r="17" spans="2:9">
      <c r="B17" s="85" t="s">
        <v>63</v>
      </c>
      <c r="C17" s="81">
        <v>9.2172945787307654</v>
      </c>
      <c r="D17" s="81">
        <v>10.063529775969887</v>
      </c>
      <c r="E17" s="81">
        <v>10.338587980723117</v>
      </c>
      <c r="F17" s="81">
        <v>10.456469053043067</v>
      </c>
      <c r="G17" s="81">
        <v>10.69962039703549</v>
      </c>
      <c r="H17" s="81">
        <v>11.021550208253119</v>
      </c>
      <c r="I17" s="82">
        <v>11.194048571868786</v>
      </c>
    </row>
    <row r="18" spans="2:9">
      <c r="B18" s="85" t="s">
        <v>64</v>
      </c>
      <c r="C18" s="81">
        <v>4.2258646399601894</v>
      </c>
      <c r="D18" s="81">
        <v>4.2019715435645262</v>
      </c>
      <c r="E18" s="81">
        <v>4.3593487134119098</v>
      </c>
      <c r="F18" s="81">
        <v>4.373645109108109</v>
      </c>
      <c r="G18" s="81">
        <v>4.6555975746540614</v>
      </c>
      <c r="H18" s="81">
        <v>4.6323024663719083</v>
      </c>
      <c r="I18" s="82">
        <v>4.6833084758345711</v>
      </c>
    </row>
    <row r="19" spans="2:9">
      <c r="B19" s="85" t="s">
        <v>65</v>
      </c>
      <c r="C19" s="81">
        <v>1.2853600000000001</v>
      </c>
      <c r="D19" s="81">
        <v>1.387704</v>
      </c>
      <c r="E19" s="81">
        <v>1.5951089999999999</v>
      </c>
      <c r="F19" s="81">
        <v>1.6079319999999999</v>
      </c>
      <c r="G19" s="81">
        <v>1.4793179999999999</v>
      </c>
      <c r="H19" s="81">
        <v>1.4023019999999999</v>
      </c>
      <c r="I19" s="82">
        <v>1.4082939999999999</v>
      </c>
    </row>
    <row r="20" spans="2:9">
      <c r="B20" s="85" t="s">
        <v>66</v>
      </c>
      <c r="C20" s="81">
        <v>3.3853899077747083</v>
      </c>
      <c r="D20" s="81">
        <v>1.6944179410298843</v>
      </c>
      <c r="E20" s="81">
        <v>1.7547382412666359</v>
      </c>
      <c r="F20" s="81">
        <v>1.7991860865401432</v>
      </c>
      <c r="G20" s="81">
        <v>1.8532570841130669</v>
      </c>
      <c r="H20" s="81">
        <v>1.9139111252238341</v>
      </c>
      <c r="I20" s="82">
        <v>1.9772928460430774</v>
      </c>
    </row>
    <row r="21" spans="2:9">
      <c r="B21" s="88" t="s">
        <v>67</v>
      </c>
      <c r="C21" s="81">
        <v>0.53900000000000003</v>
      </c>
      <c r="D21" s="81">
        <v>0.52800000000000002</v>
      </c>
      <c r="E21" s="81">
        <v>0.52800000000000002</v>
      </c>
      <c r="F21" s="81">
        <v>0.52800000000000002</v>
      </c>
      <c r="G21" s="81">
        <v>0.52800000000000002</v>
      </c>
      <c r="H21" s="81">
        <v>0.52800000000000002</v>
      </c>
      <c r="I21" s="82">
        <v>0.52800000000000002</v>
      </c>
    </row>
    <row r="22" spans="2:9">
      <c r="B22" s="88" t="s">
        <v>68</v>
      </c>
      <c r="C22" s="81">
        <v>6.6630000000000003</v>
      </c>
      <c r="D22" s="81">
        <v>0.55200000000000005</v>
      </c>
      <c r="E22" s="81">
        <v>0</v>
      </c>
      <c r="F22" s="81">
        <v>0</v>
      </c>
      <c r="G22" s="81">
        <v>0</v>
      </c>
      <c r="H22" s="81">
        <v>0</v>
      </c>
      <c r="I22" s="82">
        <v>0</v>
      </c>
    </row>
    <row r="23" spans="2:9">
      <c r="B23" s="88" t="s">
        <v>69</v>
      </c>
      <c r="C23" s="81">
        <v>20.279</v>
      </c>
      <c r="D23" s="81">
        <v>4.3443028866512376</v>
      </c>
      <c r="E23" s="81">
        <v>0</v>
      </c>
      <c r="F23" s="81">
        <v>0</v>
      </c>
      <c r="G23" s="81">
        <v>0</v>
      </c>
      <c r="H23" s="81">
        <v>0</v>
      </c>
      <c r="I23" s="82">
        <v>0</v>
      </c>
    </row>
    <row r="24" spans="2:9">
      <c r="B24" s="88" t="s">
        <v>70</v>
      </c>
      <c r="C24" s="81">
        <v>17.640400000000003</v>
      </c>
      <c r="D24" s="81">
        <v>17.480552456224547</v>
      </c>
      <c r="E24" s="81">
        <v>18.33795632673926</v>
      </c>
      <c r="F24" s="81">
        <v>19.197064693317728</v>
      </c>
      <c r="G24" s="81">
        <v>20.095757709645198</v>
      </c>
      <c r="H24" s="81">
        <v>21.035465247164769</v>
      </c>
      <c r="I24" s="82">
        <v>22.017788055086637</v>
      </c>
    </row>
    <row r="25" spans="2:9">
      <c r="B25" s="85" t="s">
        <v>71</v>
      </c>
      <c r="C25" s="81">
        <v>50.777000000000001</v>
      </c>
      <c r="D25" s="81">
        <v>54.550653553273925</v>
      </c>
      <c r="E25" s="81">
        <v>57.497510206303865</v>
      </c>
      <c r="F25" s="81">
        <v>59.797352829881085</v>
      </c>
      <c r="G25" s="81">
        <v>62.13391827890031</v>
      </c>
      <c r="H25" s="81">
        <v>64.624816765154321</v>
      </c>
      <c r="I25" s="82">
        <v>67.025821011462256</v>
      </c>
    </row>
    <row r="26" spans="2:9">
      <c r="B26" s="85" t="s">
        <v>72</v>
      </c>
      <c r="C26" s="81">
        <v>21.652712521893235</v>
      </c>
      <c r="D26" s="81">
        <v>24.141927036000265</v>
      </c>
      <c r="E26" s="81">
        <v>24.724949812392577</v>
      </c>
      <c r="F26" s="81">
        <v>25.749324917400717</v>
      </c>
      <c r="G26" s="81">
        <v>26.409082837063302</v>
      </c>
      <c r="H26" s="81">
        <v>27.137703206113024</v>
      </c>
      <c r="I26" s="82">
        <v>28.041122451647716</v>
      </c>
    </row>
    <row r="27" spans="2:9">
      <c r="B27" s="85" t="s">
        <v>73</v>
      </c>
      <c r="C27" s="81">
        <v>8.3667835885332664</v>
      </c>
      <c r="D27" s="81">
        <v>10.775977701310886</v>
      </c>
      <c r="E27" s="81">
        <v>11.535834304707386</v>
      </c>
      <c r="F27" s="81">
        <v>12.578865195744951</v>
      </c>
      <c r="G27" s="81">
        <v>14.292480372897311</v>
      </c>
      <c r="H27" s="81">
        <v>12.20735043139344</v>
      </c>
      <c r="I27" s="82">
        <v>11.876693269696684</v>
      </c>
    </row>
    <row r="28" spans="2:9">
      <c r="B28" s="85" t="s">
        <v>74</v>
      </c>
      <c r="C28" s="81">
        <v>7.1450572113332953</v>
      </c>
      <c r="D28" s="81">
        <v>3.1246094805581492</v>
      </c>
      <c r="E28" s="81">
        <v>2.3542787019100331</v>
      </c>
      <c r="F28" s="81">
        <v>1.2726424023790912</v>
      </c>
      <c r="G28" s="81">
        <v>1.0882536882091642</v>
      </c>
      <c r="H28" s="81">
        <v>1.0878701209537098</v>
      </c>
      <c r="I28" s="82">
        <v>1.1046488716335716</v>
      </c>
    </row>
    <row r="29" spans="2:9">
      <c r="B29" s="89" t="s">
        <v>75</v>
      </c>
      <c r="C29" s="90">
        <v>-1.24834762597798</v>
      </c>
      <c r="D29" s="81">
        <v>0.94184600335847113</v>
      </c>
      <c r="E29" s="81">
        <v>0.12941044763076526</v>
      </c>
      <c r="F29" s="81">
        <v>-0.22374904392440736</v>
      </c>
      <c r="G29" s="81">
        <v>-0.44375142355624109</v>
      </c>
      <c r="H29" s="81">
        <v>-0.62221144289368457</v>
      </c>
      <c r="I29" s="82">
        <v>-0.86066079227716719</v>
      </c>
    </row>
    <row r="30" spans="2:9" ht="25.5">
      <c r="B30" s="91" t="s">
        <v>76</v>
      </c>
      <c r="C30" s="92">
        <v>1046.5029999999997</v>
      </c>
      <c r="D30" s="92">
        <v>1089.4901633647316</v>
      </c>
      <c r="E30" s="92">
        <v>1102.5406251060795</v>
      </c>
      <c r="F30" s="92">
        <v>1134.2474838915389</v>
      </c>
      <c r="G30" s="92">
        <v>1170.7325093583599</v>
      </c>
      <c r="H30" s="92">
        <v>1202.9667086284603</v>
      </c>
      <c r="I30" s="93">
        <v>1242.4690912854276</v>
      </c>
    </row>
    <row r="31" spans="2:9">
      <c r="B31" s="94" t="s">
        <v>77</v>
      </c>
      <c r="C31" s="81"/>
      <c r="D31" s="81"/>
      <c r="E31" s="81"/>
      <c r="F31" s="81"/>
      <c r="G31" s="81"/>
      <c r="H31" s="81"/>
      <c r="I31" s="82"/>
    </row>
    <row r="32" spans="2:9">
      <c r="B32" s="83" t="s">
        <v>78</v>
      </c>
      <c r="C32" s="81">
        <v>89.791732999999994</v>
      </c>
      <c r="D32" s="81">
        <v>96.000287999999955</v>
      </c>
      <c r="E32" s="81">
        <v>99.196272696154978</v>
      </c>
      <c r="F32" s="81">
        <v>97.22172541754756</v>
      </c>
      <c r="G32" s="81">
        <v>97.509019993063717</v>
      </c>
      <c r="H32" s="81">
        <v>97.597215690126333</v>
      </c>
      <c r="I32" s="82">
        <v>97.357557247573965</v>
      </c>
    </row>
    <row r="33" spans="2:9">
      <c r="B33" s="83" t="s">
        <v>79</v>
      </c>
      <c r="C33" s="81">
        <v>15.130267000000007</v>
      </c>
      <c r="D33" s="81">
        <v>36.842211732274372</v>
      </c>
      <c r="E33" s="81">
        <v>35.019618312892653</v>
      </c>
      <c r="F33" s="81">
        <v>33.056960166555434</v>
      </c>
      <c r="G33" s="81">
        <v>33.067781954683419</v>
      </c>
      <c r="H33" s="81">
        <v>33.000512590488427</v>
      </c>
      <c r="I33" s="82">
        <v>33.210587300056396</v>
      </c>
    </row>
    <row r="34" spans="2:9">
      <c r="B34" s="83" t="s">
        <v>18</v>
      </c>
      <c r="C34" s="81"/>
      <c r="D34" s="81"/>
      <c r="E34" s="81"/>
      <c r="F34" s="81"/>
      <c r="G34" s="81"/>
      <c r="H34" s="81"/>
      <c r="I34" s="82"/>
    </row>
    <row r="35" spans="2:9">
      <c r="B35" s="95" t="s">
        <v>80</v>
      </c>
      <c r="C35" s="81">
        <v>8.9063424363007755</v>
      </c>
      <c r="D35" s="81">
        <v>8.000983375446161</v>
      </c>
      <c r="E35" s="81">
        <v>7.7546752950377309</v>
      </c>
      <c r="F35" s="81">
        <v>7.6208402281192598</v>
      </c>
      <c r="G35" s="81">
        <v>7.5367127473916575</v>
      </c>
      <c r="H35" s="81">
        <v>7.5805600558890296</v>
      </c>
      <c r="I35" s="82">
        <v>7.6676733689872787</v>
      </c>
    </row>
    <row r="36" spans="2:9">
      <c r="B36" s="96" t="s">
        <v>81</v>
      </c>
      <c r="C36" s="81">
        <v>11.217757035000002</v>
      </c>
      <c r="D36" s="81">
        <v>10.965825259980068</v>
      </c>
      <c r="E36" s="81">
        <v>11.529719447155337</v>
      </c>
      <c r="F36" s="81">
        <v>11.83301347488416</v>
      </c>
      <c r="G36" s="81">
        <v>11.953604481137184</v>
      </c>
      <c r="H36" s="81">
        <v>12.038981338291746</v>
      </c>
      <c r="I36" s="82">
        <v>12.139001961412163</v>
      </c>
    </row>
    <row r="37" spans="2:9">
      <c r="B37" s="86" t="s">
        <v>82</v>
      </c>
      <c r="C37" s="81">
        <v>0.48799999999999999</v>
      </c>
      <c r="D37" s="81">
        <v>10.399782072081479</v>
      </c>
      <c r="E37" s="81">
        <v>9.1567831976452556</v>
      </c>
      <c r="F37" s="81">
        <v>7.9688424497003361</v>
      </c>
      <c r="G37" s="81">
        <v>7.2013316296606789</v>
      </c>
      <c r="H37" s="81">
        <v>7.1741199986172433</v>
      </c>
      <c r="I37" s="82">
        <v>7.224277593687253</v>
      </c>
    </row>
    <row r="38" spans="2:9">
      <c r="B38" s="85" t="s">
        <v>70</v>
      </c>
      <c r="C38" s="81">
        <v>-4.8540000000000001</v>
      </c>
      <c r="D38" s="81">
        <v>0.71152891099545623</v>
      </c>
      <c r="E38" s="81">
        <v>0.71152891099545623</v>
      </c>
      <c r="F38" s="81">
        <v>0.71152891099545623</v>
      </c>
      <c r="G38" s="81">
        <v>0.71152891099545623</v>
      </c>
      <c r="H38" s="81">
        <v>0.71152891099545623</v>
      </c>
      <c r="I38" s="82">
        <v>0.71152891099545623</v>
      </c>
    </row>
    <row r="39" spans="2:9">
      <c r="B39" s="85" t="s">
        <v>83</v>
      </c>
      <c r="C39" s="81">
        <v>4.5694809999999997</v>
      </c>
      <c r="D39" s="81">
        <v>5.3680798576600015</v>
      </c>
      <c r="E39" s="81">
        <v>5.263016650723868</v>
      </c>
      <c r="F39" s="81">
        <v>5.1607518226177342</v>
      </c>
      <c r="G39" s="81">
        <v>5.1540360475324967</v>
      </c>
      <c r="H39" s="81">
        <v>5.1460267739014363</v>
      </c>
      <c r="I39" s="82">
        <v>5.1238010724456373</v>
      </c>
    </row>
    <row r="40" spans="2:9">
      <c r="B40" s="86" t="s">
        <v>84</v>
      </c>
      <c r="C40" s="81">
        <v>0</v>
      </c>
      <c r="D40" s="81">
        <v>0.82350000000000045</v>
      </c>
      <c r="E40" s="81">
        <v>1.2033960000000004</v>
      </c>
      <c r="F40" s="81">
        <v>0.63406324999999997</v>
      </c>
      <c r="G40" s="81">
        <v>0.63406324999999997</v>
      </c>
      <c r="H40" s="81">
        <v>0.63406324999999997</v>
      </c>
      <c r="I40" s="82">
        <v>0.63406324999999997</v>
      </c>
    </row>
    <row r="41" spans="2:9">
      <c r="B41" s="86" t="s">
        <v>85</v>
      </c>
      <c r="C41" s="81">
        <v>0.38972929700273545</v>
      </c>
      <c r="D41" s="81">
        <v>1.4051943056799949</v>
      </c>
      <c r="E41" s="81">
        <v>0.95227044598883825</v>
      </c>
      <c r="F41" s="81">
        <v>0.91446000680423078</v>
      </c>
      <c r="G41" s="81">
        <v>0.83070779905319636</v>
      </c>
      <c r="H41" s="81">
        <v>0.67033174692829278</v>
      </c>
      <c r="I41" s="82">
        <v>0.60671338083198445</v>
      </c>
    </row>
    <row r="42" spans="2:9" ht="25.5">
      <c r="B42" s="97" t="s">
        <v>86</v>
      </c>
      <c r="C42" s="90">
        <v>-5.5870427683035038</v>
      </c>
      <c r="D42" s="90">
        <v>-0.83268204956879077</v>
      </c>
      <c r="E42" s="90">
        <v>-1.5517716346538277</v>
      </c>
      <c r="F42" s="90">
        <v>-1.7865399765657428</v>
      </c>
      <c r="G42" s="90">
        <v>-0.95420291108724664</v>
      </c>
      <c r="H42" s="90">
        <v>-0.95509948413477108</v>
      </c>
      <c r="I42" s="98">
        <v>-0.89647223830337341</v>
      </c>
    </row>
    <row r="43" spans="2:9">
      <c r="B43" s="99" t="s">
        <v>87</v>
      </c>
      <c r="C43" s="92">
        <v>104.922</v>
      </c>
      <c r="D43" s="92">
        <v>132.84249973227432</v>
      </c>
      <c r="E43" s="92">
        <v>134.21589100904762</v>
      </c>
      <c r="F43" s="92">
        <v>130.27868558410299</v>
      </c>
      <c r="G43" s="92">
        <v>130.57680194774713</v>
      </c>
      <c r="H43" s="92">
        <v>130.59772828061477</v>
      </c>
      <c r="I43" s="93">
        <v>130.56814454763037</v>
      </c>
    </row>
    <row r="44" spans="2:9">
      <c r="B44" s="80" t="s">
        <v>88</v>
      </c>
      <c r="C44" s="81">
        <v>-57.23</v>
      </c>
      <c r="D44" s="81">
        <v>-61.200497949407982</v>
      </c>
      <c r="E44" s="81">
        <v>-64.313704610201327</v>
      </c>
      <c r="F44" s="81">
        <v>-66.65730932041096</v>
      </c>
      <c r="G44" s="81">
        <v>-69.002934100177498</v>
      </c>
      <c r="H44" s="81">
        <v>-71.46737673034383</v>
      </c>
      <c r="I44" s="82">
        <v>-73.760377523411023</v>
      </c>
    </row>
    <row r="45" spans="2:9">
      <c r="B45" s="100" t="s">
        <v>89</v>
      </c>
      <c r="C45" s="90">
        <v>47.692</v>
      </c>
      <c r="D45" s="90">
        <v>71.642001782866345</v>
      </c>
      <c r="E45" s="90">
        <v>69.902186398846297</v>
      </c>
      <c r="F45" s="90">
        <v>63.621376263692028</v>
      </c>
      <c r="G45" s="90">
        <v>61.57386784756963</v>
      </c>
      <c r="H45" s="90">
        <v>59.130351550270944</v>
      </c>
      <c r="I45" s="98">
        <v>56.807767024219345</v>
      </c>
    </row>
    <row r="46" spans="2:9">
      <c r="B46" s="101" t="s">
        <v>90</v>
      </c>
      <c r="C46" s="102">
        <v>1151.4249999999997</v>
      </c>
      <c r="D46" s="102">
        <v>1222.3326630970059</v>
      </c>
      <c r="E46" s="102">
        <v>1236.7565161151272</v>
      </c>
      <c r="F46" s="102">
        <v>1264.5261694756418</v>
      </c>
      <c r="G46" s="102">
        <v>1301.309311306107</v>
      </c>
      <c r="H46" s="102">
        <v>1333.5644369090751</v>
      </c>
      <c r="I46" s="103">
        <v>1373.0372358330578</v>
      </c>
    </row>
    <row r="47" spans="2:9" ht="13.5" thickBot="1">
      <c r="B47" s="104" t="s">
        <v>91</v>
      </c>
      <c r="C47" s="105"/>
      <c r="D47" s="105"/>
      <c r="E47" s="105"/>
      <c r="F47" s="105"/>
      <c r="G47" s="105"/>
      <c r="H47" s="106"/>
      <c r="I47" s="107"/>
    </row>
  </sheetData>
  <mergeCells count="2">
    <mergeCell ref="C4:I4"/>
    <mergeCell ref="D5:I5"/>
  </mergeCells>
  <conditionalFormatting sqref="C46:I46 C30:I30">
    <cfRule type="cellIs" dxfId="7" priority="1" operator="greaterThan">
      <formula>1000</formula>
    </cfRule>
  </conditionalFormatting>
  <hyperlinks>
    <hyperlink ref="A1" location="Contents!A1" display="Contents!A1" xr:uid="{A90D20E0-5F65-41F8-9B3D-0AB44C6DE22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70EA-ACC5-44A7-80A7-6EAE14A1C1A7}">
  <sheetPr codeName="Sheet13"/>
  <dimension ref="A1:I28"/>
  <sheetViews>
    <sheetView showGridLines="0" zoomScaleNormal="100" workbookViewId="0">
      <selection activeCell="G32" sqref="G32"/>
    </sheetView>
  </sheetViews>
  <sheetFormatPr defaultColWidth="10.140625" defaultRowHeight="12.75"/>
  <cols>
    <col min="1" max="1" width="10.140625" style="2"/>
    <col min="2" max="2" width="25.42578125" style="2" customWidth="1"/>
    <col min="3" max="9" width="8" style="2" customWidth="1"/>
    <col min="10" max="16384" width="10.140625" style="2"/>
  </cols>
  <sheetData>
    <row r="1" spans="1:9" ht="39.950000000000003" customHeight="1">
      <c r="A1" s="1" t="s">
        <v>0</v>
      </c>
    </row>
    <row r="2" spans="1:9" ht="17.25">
      <c r="B2" s="3" t="s">
        <v>1</v>
      </c>
    </row>
    <row r="3" spans="1:9" ht="13.5" thickBot="1">
      <c r="B3" s="4"/>
      <c r="C3" s="5"/>
      <c r="D3" s="5"/>
      <c r="E3" s="6"/>
      <c r="F3" s="6"/>
      <c r="G3" s="6"/>
      <c r="H3" s="6"/>
      <c r="I3" s="6"/>
    </row>
    <row r="4" spans="1:9">
      <c r="B4" s="7"/>
      <c r="C4" s="575" t="s">
        <v>2</v>
      </c>
      <c r="D4" s="575"/>
      <c r="E4" s="575"/>
      <c r="F4" s="575"/>
      <c r="G4" s="575"/>
      <c r="H4" s="575"/>
      <c r="I4" s="575"/>
    </row>
    <row r="5" spans="1:9">
      <c r="B5" s="7"/>
      <c r="C5" s="8" t="s">
        <v>3</v>
      </c>
      <c r="D5" s="576" t="s">
        <v>4</v>
      </c>
      <c r="E5" s="576"/>
      <c r="F5" s="576"/>
      <c r="G5" s="576"/>
      <c r="H5" s="576"/>
      <c r="I5" s="576"/>
    </row>
    <row r="6" spans="1:9">
      <c r="B6" s="9"/>
      <c r="C6" s="10" t="s">
        <v>5</v>
      </c>
      <c r="D6" s="10" t="s">
        <v>6</v>
      </c>
      <c r="E6" s="10" t="s">
        <v>7</v>
      </c>
      <c r="F6" s="10" t="s">
        <v>8</v>
      </c>
      <c r="G6" s="10" t="s">
        <v>9</v>
      </c>
      <c r="H6" s="10" t="s">
        <v>10</v>
      </c>
      <c r="I6" s="10" t="s">
        <v>11</v>
      </c>
    </row>
    <row r="7" spans="1:9">
      <c r="B7" s="11" t="s">
        <v>12</v>
      </c>
      <c r="C7" s="12"/>
      <c r="D7" s="12"/>
      <c r="E7" s="12"/>
      <c r="F7" s="13"/>
      <c r="G7" s="14"/>
      <c r="H7" s="14"/>
      <c r="I7" s="14"/>
    </row>
    <row r="8" spans="1:9">
      <c r="B8" s="15" t="s">
        <v>13</v>
      </c>
      <c r="C8" s="16">
        <v>420.15244675537605</v>
      </c>
      <c r="D8" s="16">
        <v>425.44260458680191</v>
      </c>
      <c r="E8" s="16">
        <v>430.47265220878637</v>
      </c>
      <c r="F8" s="16">
        <v>439.39674953099581</v>
      </c>
      <c r="G8" s="16">
        <v>449.49645562177977</v>
      </c>
      <c r="H8" s="16">
        <v>462.04931425724919</v>
      </c>
      <c r="I8" s="16"/>
    </row>
    <row r="9" spans="1:9">
      <c r="B9" s="15" t="s">
        <v>14</v>
      </c>
      <c r="C9" s="16">
        <v>-8.6163427553760243</v>
      </c>
      <c r="D9" s="16">
        <v>-3.7552079415818298</v>
      </c>
      <c r="E9" s="16">
        <v>-3.8163019704903149</v>
      </c>
      <c r="F9" s="16">
        <v>-3.5510896334796485</v>
      </c>
      <c r="G9" s="16">
        <v>-3.3459441690553149</v>
      </c>
      <c r="H9" s="16">
        <v>-3.1316576966876255</v>
      </c>
      <c r="I9" s="16"/>
    </row>
    <row r="10" spans="1:9">
      <c r="B10" s="15" t="s">
        <v>15</v>
      </c>
      <c r="C10" s="17">
        <v>411.53610400000002</v>
      </c>
      <c r="D10" s="17">
        <v>421.68739664522008</v>
      </c>
      <c r="E10" s="17">
        <v>426.65635023829606</v>
      </c>
      <c r="F10" s="17">
        <v>435.84565989751616</v>
      </c>
      <c r="G10" s="17">
        <v>446.15051145272446</v>
      </c>
      <c r="H10" s="17">
        <v>458.91765656056157</v>
      </c>
      <c r="I10" s="17"/>
    </row>
    <row r="11" spans="1:9">
      <c r="B11" s="18" t="s">
        <v>16</v>
      </c>
      <c r="C11" s="19"/>
      <c r="D11" s="19"/>
      <c r="E11" s="19"/>
      <c r="F11" s="19"/>
      <c r="G11" s="19"/>
      <c r="H11" s="19"/>
      <c r="I11" s="20"/>
    </row>
    <row r="12" spans="1:9">
      <c r="B12" s="15" t="s">
        <v>13</v>
      </c>
      <c r="C12" s="16">
        <v>420.15244675537605</v>
      </c>
      <c r="D12" s="16">
        <v>429.3831646346477</v>
      </c>
      <c r="E12" s="16">
        <v>433.03271190178344</v>
      </c>
      <c r="F12" s="16">
        <v>439.86058983394389</v>
      </c>
      <c r="G12" s="16">
        <v>451.32200359378362</v>
      </c>
      <c r="H12" s="16">
        <v>464.16140055495521</v>
      </c>
      <c r="I12" s="16">
        <v>477.64558500119438</v>
      </c>
    </row>
    <row r="13" spans="1:9">
      <c r="B13" s="15" t="s">
        <v>14</v>
      </c>
      <c r="C13" s="16">
        <v>-8.6163427553760243</v>
      </c>
      <c r="D13" s="16">
        <v>-2.8668698607464194</v>
      </c>
      <c r="E13" s="16">
        <v>-2.9261303625484629</v>
      </c>
      <c r="F13" s="16">
        <v>0</v>
      </c>
      <c r="G13" s="16">
        <v>0</v>
      </c>
      <c r="H13" s="16">
        <v>0</v>
      </c>
      <c r="I13" s="16">
        <v>0</v>
      </c>
    </row>
    <row r="14" spans="1:9">
      <c r="B14" s="15" t="s">
        <v>15</v>
      </c>
      <c r="C14" s="16">
        <v>411.53610400000002</v>
      </c>
      <c r="D14" s="16">
        <v>426.51629477390128</v>
      </c>
      <c r="E14" s="16">
        <v>430.10658153923498</v>
      </c>
      <c r="F14" s="16">
        <v>439.86058983394395</v>
      </c>
      <c r="G14" s="16">
        <v>451.32200359378356</v>
      </c>
      <c r="H14" s="16">
        <v>464.16140055495521</v>
      </c>
      <c r="I14" s="16">
        <v>477.64558500119432</v>
      </c>
    </row>
    <row r="15" spans="1:9">
      <c r="B15" s="18" t="s">
        <v>17</v>
      </c>
      <c r="C15" s="19"/>
      <c r="D15" s="19"/>
      <c r="E15" s="19"/>
      <c r="F15" s="19"/>
      <c r="G15" s="19"/>
      <c r="H15" s="19"/>
      <c r="I15" s="20"/>
    </row>
    <row r="16" spans="1:9">
      <c r="B16" s="15" t="s">
        <v>13</v>
      </c>
      <c r="C16" s="16"/>
      <c r="D16" s="16">
        <v>3.9405600478457927</v>
      </c>
      <c r="E16" s="16">
        <v>2.560059692997072</v>
      </c>
      <c r="F16" s="16">
        <v>0.46384030294808554</v>
      </c>
      <c r="G16" s="16">
        <v>1.8255479720038466</v>
      </c>
      <c r="H16" s="16">
        <v>2.1120862977060142</v>
      </c>
      <c r="I16" s="16"/>
    </row>
    <row r="17" spans="2:9">
      <c r="B17" s="21" t="s">
        <v>18</v>
      </c>
      <c r="C17" s="16"/>
      <c r="D17" s="16"/>
      <c r="E17" s="16"/>
      <c r="F17" s="16"/>
      <c r="G17" s="16"/>
      <c r="H17" s="16"/>
      <c r="I17" s="16"/>
    </row>
    <row r="18" spans="2:9">
      <c r="B18" s="22" t="s">
        <v>19</v>
      </c>
      <c r="C18" s="16"/>
      <c r="D18" s="16">
        <v>4.3577820072432001</v>
      </c>
      <c r="E18" s="16">
        <v>1.42</v>
      </c>
      <c r="F18" s="16">
        <v>1.2450000000000001</v>
      </c>
      <c r="G18" s="16">
        <v>1.1499999999999999</v>
      </c>
      <c r="H18" s="16">
        <v>1.1399999999999999</v>
      </c>
      <c r="I18" s="16"/>
    </row>
    <row r="19" spans="2:9">
      <c r="B19" s="22" t="s">
        <v>20</v>
      </c>
      <c r="C19" s="16"/>
      <c r="D19" s="16">
        <v>0</v>
      </c>
      <c r="E19" s="16">
        <v>0.33569111533153573</v>
      </c>
      <c r="F19" s="16">
        <v>0.82114440409338396</v>
      </c>
      <c r="G19" s="16">
        <v>0.66747213930049609</v>
      </c>
      <c r="H19" s="16">
        <v>0.53294256611554469</v>
      </c>
      <c r="I19" s="16"/>
    </row>
    <row r="20" spans="2:9">
      <c r="B20" s="22" t="s">
        <v>21</v>
      </c>
      <c r="C20" s="16"/>
      <c r="D20" s="16">
        <v>1.6357787471028187E-2</v>
      </c>
      <c r="E20" s="16">
        <v>1.936657787471028</v>
      </c>
      <c r="F20" s="16">
        <v>-0.31041431002546743</v>
      </c>
      <c r="G20" s="16">
        <v>-0.28386959026156039</v>
      </c>
      <c r="H20" s="16">
        <v>-0.28785448357830418</v>
      </c>
      <c r="I20" s="16"/>
    </row>
    <row r="21" spans="2:9">
      <c r="B21" s="22" t="s">
        <v>22</v>
      </c>
      <c r="C21" s="16"/>
      <c r="D21" s="16">
        <v>0</v>
      </c>
      <c r="E21" s="16">
        <v>0</v>
      </c>
      <c r="F21" s="16">
        <v>1.76323488626747</v>
      </c>
      <c r="G21" s="16">
        <v>3.1077001962450499</v>
      </c>
      <c r="H21" s="16">
        <v>3.2798001677300599</v>
      </c>
      <c r="I21" s="16"/>
    </row>
    <row r="22" spans="2:9">
      <c r="B22" s="22" t="s">
        <v>23</v>
      </c>
      <c r="C22" s="16"/>
      <c r="D22" s="16">
        <v>0</v>
      </c>
      <c r="E22" s="16">
        <v>0</v>
      </c>
      <c r="F22" s="16">
        <v>-3.5510896334796485</v>
      </c>
      <c r="G22" s="16">
        <v>-3.3459441690553149</v>
      </c>
      <c r="H22" s="16">
        <v>-3.1316576966876255</v>
      </c>
      <c r="I22" s="16"/>
    </row>
    <row r="23" spans="2:9">
      <c r="B23" s="22" t="s">
        <v>24</v>
      </c>
      <c r="C23" s="16"/>
      <c r="D23" s="16">
        <v>-1.7483769999999998</v>
      </c>
      <c r="E23" s="16">
        <v>-1.0083390000000001</v>
      </c>
      <c r="F23" s="16">
        <v>0</v>
      </c>
      <c r="G23" s="16">
        <v>0</v>
      </c>
      <c r="H23" s="16">
        <v>0</v>
      </c>
      <c r="I23" s="16"/>
    </row>
    <row r="24" spans="2:9">
      <c r="B24" s="22" t="s">
        <v>25</v>
      </c>
      <c r="C24" s="16"/>
      <c r="D24" s="16">
        <v>1.3147972531315641</v>
      </c>
      <c r="E24" s="16">
        <v>-0.12395020980549099</v>
      </c>
      <c r="F24" s="16">
        <v>0.49596495609234736</v>
      </c>
      <c r="G24" s="16">
        <v>0.53018939577517621</v>
      </c>
      <c r="H24" s="16">
        <v>0.57885574412633911</v>
      </c>
      <c r="I24" s="16"/>
    </row>
    <row r="25" spans="2:9">
      <c r="B25" s="15" t="s">
        <v>14</v>
      </c>
      <c r="C25" s="16"/>
      <c r="D25" s="16">
        <v>0.88833808083541044</v>
      </c>
      <c r="E25" s="16">
        <v>0.89017160794185202</v>
      </c>
      <c r="F25" s="16">
        <v>3.5510896334796485</v>
      </c>
      <c r="G25" s="16">
        <v>3.3459441690553149</v>
      </c>
      <c r="H25" s="16">
        <v>3.1316576966876255</v>
      </c>
      <c r="I25" s="16"/>
    </row>
    <row r="26" spans="2:9">
      <c r="B26" s="23" t="s">
        <v>15</v>
      </c>
      <c r="C26" s="24"/>
      <c r="D26" s="24">
        <v>4.8288981286812032</v>
      </c>
      <c r="E26" s="24">
        <v>3.4502313009389241</v>
      </c>
      <c r="F26" s="24">
        <v>4.0149299364277908</v>
      </c>
      <c r="G26" s="24">
        <v>5.1714921410591046</v>
      </c>
      <c r="H26" s="24">
        <v>5.2437439943936397</v>
      </c>
      <c r="I26" s="24"/>
    </row>
    <row r="27" spans="2:9" ht="13.5" thickBot="1">
      <c r="B27" s="25" t="s">
        <v>26</v>
      </c>
      <c r="C27" s="26"/>
      <c r="D27" s="26">
        <v>0</v>
      </c>
      <c r="E27" s="26">
        <v>5.3453969359849394</v>
      </c>
      <c r="F27" s="26">
        <v>5.401312482550944</v>
      </c>
      <c r="G27" s="26">
        <v>5.5956087442435276</v>
      </c>
      <c r="H27" s="26">
        <v>5.7805004881111781</v>
      </c>
      <c r="I27" s="26">
        <v>6.0011695284718991</v>
      </c>
    </row>
    <row r="28" spans="2:9" ht="14.25" thickTop="1" thickBot="1">
      <c r="B28" s="27" t="s">
        <v>27</v>
      </c>
      <c r="C28" s="28"/>
      <c r="D28" s="28">
        <v>426.51629477390128</v>
      </c>
      <c r="E28" s="28">
        <v>435.4519784752199</v>
      </c>
      <c r="F28" s="28">
        <v>445.26190231649491</v>
      </c>
      <c r="G28" s="28">
        <v>456.91761233802708</v>
      </c>
      <c r="H28" s="28">
        <v>469.94190104306637</v>
      </c>
      <c r="I28" s="28">
        <v>483.64675452966623</v>
      </c>
    </row>
  </sheetData>
  <mergeCells count="2">
    <mergeCell ref="C4:I4"/>
    <mergeCell ref="D5:I5"/>
  </mergeCells>
  <hyperlinks>
    <hyperlink ref="A1" location="Contents!A1" display="Contents!A1" xr:uid="{6A3F04F6-0CC3-4B59-944C-DD7A75465EA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B7A76-9567-4313-99F0-F13EB581F031}">
  <sheetPr codeName="Sheet14"/>
  <dimension ref="A1:I22"/>
  <sheetViews>
    <sheetView showGridLines="0" zoomScaleNormal="100" workbookViewId="0">
      <selection activeCell="H8" sqref="H8"/>
    </sheetView>
  </sheetViews>
  <sheetFormatPr defaultColWidth="10.140625" defaultRowHeight="12.75"/>
  <cols>
    <col min="1" max="1" width="10.140625" style="2"/>
    <col min="2" max="2" width="25.5703125" style="2" customWidth="1"/>
    <col min="3" max="9" width="8" style="2" customWidth="1"/>
    <col min="10" max="16384" width="10.140625" style="2"/>
  </cols>
  <sheetData>
    <row r="1" spans="1:9" ht="39.950000000000003" customHeight="1">
      <c r="A1" s="1" t="s">
        <v>0</v>
      </c>
    </row>
    <row r="2" spans="1:9" ht="17.25">
      <c r="B2" s="3" t="s">
        <v>28</v>
      </c>
    </row>
    <row r="3" spans="1:9" ht="13.5" thickBot="1">
      <c r="B3" s="29"/>
      <c r="C3" s="30"/>
      <c r="D3" s="30"/>
      <c r="E3" s="31"/>
      <c r="F3" s="31"/>
      <c r="G3" s="31"/>
      <c r="H3" s="6"/>
      <c r="I3" s="6"/>
    </row>
    <row r="4" spans="1:9">
      <c r="B4" s="32"/>
      <c r="C4" s="575" t="s">
        <v>2</v>
      </c>
      <c r="D4" s="575"/>
      <c r="E4" s="575"/>
      <c r="F4" s="575"/>
      <c r="G4" s="575"/>
      <c r="H4" s="575"/>
      <c r="I4" s="575"/>
    </row>
    <row r="5" spans="1:9">
      <c r="B5" s="7"/>
      <c r="C5" s="33" t="s">
        <v>3</v>
      </c>
      <c r="D5" s="577" t="s">
        <v>4</v>
      </c>
      <c r="E5" s="577"/>
      <c r="F5" s="577"/>
      <c r="G5" s="577"/>
      <c r="H5" s="577"/>
      <c r="I5" s="577"/>
    </row>
    <row r="6" spans="1:9">
      <c r="B6" s="9"/>
      <c r="C6" s="10" t="s">
        <v>5</v>
      </c>
      <c r="D6" s="10" t="s">
        <v>6</v>
      </c>
      <c r="E6" s="10" t="s">
        <v>7</v>
      </c>
      <c r="F6" s="10" t="s">
        <v>8</v>
      </c>
      <c r="G6" s="10" t="s">
        <v>9</v>
      </c>
      <c r="H6" s="10" t="s">
        <v>10</v>
      </c>
      <c r="I6" s="10" t="s">
        <v>11</v>
      </c>
    </row>
    <row r="7" spans="1:9">
      <c r="B7" s="11" t="s">
        <v>12</v>
      </c>
      <c r="C7" s="12"/>
      <c r="D7" s="12"/>
      <c r="E7" s="12"/>
      <c r="F7" s="13"/>
      <c r="G7" s="14"/>
      <c r="H7" s="14"/>
      <c r="I7" s="34"/>
    </row>
    <row r="8" spans="1:9">
      <c r="B8" s="15" t="s">
        <v>13</v>
      </c>
      <c r="C8" s="16">
        <v>95.190650692866839</v>
      </c>
      <c r="D8" s="16">
        <v>105.03452208909563</v>
      </c>
      <c r="E8" s="16">
        <v>105.17179948955921</v>
      </c>
      <c r="F8" s="16">
        <v>104.86563886562794</v>
      </c>
      <c r="G8" s="16">
        <v>104.7185370101848</v>
      </c>
      <c r="H8" s="16">
        <v>104.12456843618472</v>
      </c>
      <c r="I8" s="16"/>
    </row>
    <row r="9" spans="1:9">
      <c r="B9" s="15" t="s">
        <v>14</v>
      </c>
      <c r="C9" s="16">
        <v>-5.3989176928668456</v>
      </c>
      <c r="D9" s="16">
        <v>-8.9228712178191074</v>
      </c>
      <c r="E9" s="16">
        <v>-8.2828262979118392</v>
      </c>
      <c r="F9" s="16">
        <v>-7.7868864480803808</v>
      </c>
      <c r="G9" s="16">
        <v>-7.2390900171211001</v>
      </c>
      <c r="H9" s="16">
        <v>-6.4971457460583792</v>
      </c>
      <c r="I9" s="16"/>
    </row>
    <row r="10" spans="1:9">
      <c r="B10" s="15" t="s">
        <v>15</v>
      </c>
      <c r="C10" s="16">
        <v>89.791732999999994</v>
      </c>
      <c r="D10" s="16">
        <v>96.111650871276524</v>
      </c>
      <c r="E10" s="16">
        <v>96.888973191647366</v>
      </c>
      <c r="F10" s="16">
        <v>97.078752417547562</v>
      </c>
      <c r="G10" s="16">
        <v>97.479446993063704</v>
      </c>
      <c r="H10" s="16">
        <v>97.627422690126338</v>
      </c>
      <c r="I10" s="16"/>
    </row>
    <row r="11" spans="1:9">
      <c r="B11" s="18" t="s">
        <v>29</v>
      </c>
      <c r="C11" s="19"/>
      <c r="D11" s="19"/>
      <c r="E11" s="19"/>
      <c r="F11" s="19"/>
      <c r="G11" s="19"/>
      <c r="H11" s="19"/>
      <c r="I11" s="19"/>
    </row>
    <row r="12" spans="1:9">
      <c r="B12" s="15" t="s">
        <v>13</v>
      </c>
      <c r="C12" s="16">
        <v>95.190650692866839</v>
      </c>
      <c r="D12" s="16">
        <v>104.92375921781911</v>
      </c>
      <c r="E12" s="16">
        <v>105.5861061773615</v>
      </c>
      <c r="F12" s="16">
        <v>97.22172541754756</v>
      </c>
      <c r="G12" s="16">
        <v>97.509019993063717</v>
      </c>
      <c r="H12" s="16">
        <v>97.597215690126319</v>
      </c>
      <c r="I12" s="16">
        <v>97.357557247573951</v>
      </c>
    </row>
    <row r="13" spans="1:9">
      <c r="B13" s="15" t="s">
        <v>14</v>
      </c>
      <c r="C13" s="16">
        <v>-5.3989176928668456</v>
      </c>
      <c r="D13" s="16">
        <v>-8.9234712178191558</v>
      </c>
      <c r="E13" s="16">
        <v>-6.3898334812065229</v>
      </c>
      <c r="F13" s="16">
        <v>0</v>
      </c>
      <c r="G13" s="16">
        <v>0</v>
      </c>
      <c r="H13" s="16">
        <v>0</v>
      </c>
      <c r="I13" s="16">
        <v>0</v>
      </c>
    </row>
    <row r="14" spans="1:9">
      <c r="B14" s="15" t="s">
        <v>15</v>
      </c>
      <c r="C14" s="16">
        <v>89.791732999999994</v>
      </c>
      <c r="D14" s="16">
        <v>96.000287999999955</v>
      </c>
      <c r="E14" s="16">
        <v>99.196272696154978</v>
      </c>
      <c r="F14" s="16">
        <v>97.22172541754756</v>
      </c>
      <c r="G14" s="16">
        <v>97.509019993063717</v>
      </c>
      <c r="H14" s="16">
        <v>97.597215690126333</v>
      </c>
      <c r="I14" s="16">
        <v>97.357557247573965</v>
      </c>
    </row>
    <row r="15" spans="1:9">
      <c r="B15" s="18" t="s">
        <v>30</v>
      </c>
      <c r="C15" s="19"/>
      <c r="D15" s="19"/>
      <c r="E15" s="19"/>
      <c r="F15" s="19"/>
      <c r="G15" s="19"/>
      <c r="H15" s="19"/>
      <c r="I15" s="19"/>
    </row>
    <row r="16" spans="1:9">
      <c r="B16" s="15" t="s">
        <v>13</v>
      </c>
      <c r="C16" s="16"/>
      <c r="D16" s="16">
        <v>-0.11076287127652051</v>
      </c>
      <c r="E16" s="16">
        <v>0.41430668780229496</v>
      </c>
      <c r="F16" s="16">
        <v>-7.643913448080383</v>
      </c>
      <c r="G16" s="16">
        <v>-7.2095170171210867</v>
      </c>
      <c r="H16" s="16">
        <v>-6.5273527460583978</v>
      </c>
      <c r="I16" s="16"/>
    </row>
    <row r="17" spans="2:9">
      <c r="B17" s="21" t="s">
        <v>18</v>
      </c>
      <c r="C17" s="16"/>
      <c r="D17" s="16"/>
      <c r="E17" s="16"/>
      <c r="F17" s="16"/>
      <c r="G17" s="16"/>
      <c r="H17" s="16"/>
      <c r="I17" s="16"/>
    </row>
    <row r="18" spans="2:9">
      <c r="B18" s="22" t="s">
        <v>31</v>
      </c>
      <c r="C18" s="16"/>
      <c r="D18" s="16">
        <v>0.97541598282314113</v>
      </c>
      <c r="E18" s="16">
        <v>2.6840674222490559</v>
      </c>
      <c r="F18" s="16">
        <v>0.14297299999999649</v>
      </c>
      <c r="G18" s="16">
        <v>2.957300000001397E-2</v>
      </c>
      <c r="H18" s="16">
        <v>-3.0207000000000001E-2</v>
      </c>
      <c r="I18" s="16"/>
    </row>
    <row r="19" spans="2:9">
      <c r="B19" s="22" t="s">
        <v>23</v>
      </c>
      <c r="C19" s="16"/>
      <c r="D19" s="16">
        <v>0</v>
      </c>
      <c r="E19" s="16">
        <v>0</v>
      </c>
      <c r="F19" s="16">
        <v>-7.7868864480803808</v>
      </c>
      <c r="G19" s="16">
        <v>-7.2390900171211001</v>
      </c>
      <c r="H19" s="16">
        <v>-6.4971457460583792</v>
      </c>
      <c r="I19" s="16"/>
    </row>
    <row r="20" spans="2:9">
      <c r="B20" s="22" t="s">
        <v>25</v>
      </c>
      <c r="C20" s="16"/>
      <c r="D20" s="16">
        <v>-1.0861788540996615</v>
      </c>
      <c r="E20" s="16">
        <v>-2.269760734446761</v>
      </c>
      <c r="F20" s="16">
        <v>0</v>
      </c>
      <c r="G20" s="16">
        <v>0</v>
      </c>
      <c r="H20" s="16">
        <v>-1.865174681370263E-14</v>
      </c>
      <c r="I20" s="16"/>
    </row>
    <row r="21" spans="2:9">
      <c r="B21" s="15" t="s">
        <v>14</v>
      </c>
      <c r="C21" s="16"/>
      <c r="D21" s="16">
        <v>-6.0000000004833964E-4</v>
      </c>
      <c r="E21" s="16">
        <v>1.8929928167053163</v>
      </c>
      <c r="F21" s="16">
        <v>7.7868864480803808</v>
      </c>
      <c r="G21" s="16">
        <v>7.2390900171211001</v>
      </c>
      <c r="H21" s="16">
        <v>6.4971457460583792</v>
      </c>
      <c r="I21" s="16"/>
    </row>
    <row r="22" spans="2:9" ht="13.5" thickBot="1">
      <c r="B22" s="35" t="s">
        <v>15</v>
      </c>
      <c r="C22" s="36"/>
      <c r="D22" s="36">
        <v>-0.11136287127656885</v>
      </c>
      <c r="E22" s="36">
        <v>2.3072995045076112</v>
      </c>
      <c r="F22" s="36">
        <v>0.1429729999999978</v>
      </c>
      <c r="G22" s="36">
        <v>2.9573000000013394E-2</v>
      </c>
      <c r="H22" s="36">
        <v>-3.0207000000004314E-2</v>
      </c>
      <c r="I22" s="36"/>
    </row>
  </sheetData>
  <mergeCells count="2">
    <mergeCell ref="C4:I4"/>
    <mergeCell ref="D5:I5"/>
  </mergeCells>
  <hyperlinks>
    <hyperlink ref="A1" location="Contents!A1" display="Contents!A1" xr:uid="{8F264C7E-73FD-41CD-B6EF-0A4562AD5C2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E078-839E-4EF3-9070-28308B8A8794}">
  <sheetPr codeName="Sheet15">
    <tabColor theme="6"/>
  </sheetPr>
  <dimension ref="A1:V161"/>
  <sheetViews>
    <sheetView topLeftCell="I33" zoomScaleNormal="100" zoomScaleSheetLayoutView="85" workbookViewId="0">
      <selection activeCell="S47" sqref="S47"/>
    </sheetView>
  </sheetViews>
  <sheetFormatPr defaultColWidth="10.140625" defaultRowHeight="15"/>
  <cols>
    <col min="1" max="2" width="10.5703125" style="111" customWidth="1"/>
    <col min="3" max="4" width="12.5703125" style="111" bestFit="1" customWidth="1"/>
    <col min="5" max="5" width="11.140625" style="111" customWidth="1"/>
    <col min="6" max="6" width="11.28515625" style="111" customWidth="1"/>
    <col min="7" max="7" width="10.5703125" style="111" customWidth="1"/>
    <col min="8" max="8" width="11.7109375" style="111" customWidth="1"/>
    <col min="9" max="9" width="10.5703125" style="111" customWidth="1"/>
    <col min="10" max="10" width="14.5703125" style="111" bestFit="1" customWidth="1"/>
    <col min="11" max="11" width="10.5703125" style="111" customWidth="1"/>
    <col min="12" max="12" width="11.7109375" style="111" customWidth="1"/>
    <col min="13" max="14" width="10.5703125" style="111" customWidth="1"/>
    <col min="15" max="15" width="11.42578125" style="111" bestFit="1" customWidth="1"/>
    <col min="16" max="16" width="10.5703125" style="111" customWidth="1"/>
    <col min="17" max="17" width="11.7109375" style="111" bestFit="1" customWidth="1"/>
    <col min="18" max="19" width="10.5703125" style="111" customWidth="1"/>
    <col min="20" max="20" width="10.140625" style="111"/>
    <col min="21" max="21" width="17.42578125" style="111" bestFit="1" customWidth="1"/>
    <col min="22" max="22" width="16.140625" style="111" bestFit="1" customWidth="1"/>
    <col min="23" max="16384" width="10.140625" style="111"/>
  </cols>
  <sheetData>
    <row r="1" spans="1:22" ht="33.75" customHeight="1" thickBot="1">
      <c r="A1" s="108" t="s">
        <v>0</v>
      </c>
      <c r="B1" s="109"/>
      <c r="C1" s="109"/>
      <c r="D1" s="109"/>
      <c r="E1" s="109"/>
      <c r="F1" s="109"/>
      <c r="G1" s="109"/>
      <c r="H1" s="109"/>
      <c r="I1" s="109"/>
      <c r="J1" s="109"/>
      <c r="K1" s="109"/>
      <c r="L1" s="109"/>
      <c r="M1" s="109"/>
      <c r="N1" s="109"/>
      <c r="O1" s="109"/>
      <c r="P1" s="109"/>
      <c r="Q1" s="109"/>
      <c r="R1" s="109"/>
      <c r="S1" s="110"/>
    </row>
    <row r="2" spans="1:22" s="113" customFormat="1" ht="34.5" customHeight="1" thickBot="1">
      <c r="A2" s="112"/>
      <c r="B2" s="552" t="s">
        <v>92</v>
      </c>
      <c r="C2" s="553"/>
      <c r="D2" s="553"/>
      <c r="E2" s="553"/>
      <c r="F2" s="553"/>
      <c r="G2" s="553"/>
      <c r="H2" s="553"/>
      <c r="I2" s="553"/>
      <c r="J2" s="553"/>
      <c r="K2" s="553"/>
      <c r="L2" s="553"/>
      <c r="M2" s="553"/>
      <c r="N2" s="553"/>
      <c r="O2" s="553"/>
      <c r="P2" s="553"/>
      <c r="Q2" s="553"/>
      <c r="R2" s="553"/>
      <c r="S2" s="554"/>
    </row>
    <row r="3" spans="1:22" s="118" customFormat="1" ht="38.25" customHeight="1">
      <c r="A3" s="114"/>
      <c r="B3" s="115" t="s">
        <v>93</v>
      </c>
      <c r="C3" s="555" t="s">
        <v>94</v>
      </c>
      <c r="D3" s="555" t="s">
        <v>95</v>
      </c>
      <c r="E3" s="116" t="s">
        <v>96</v>
      </c>
      <c r="F3" s="117"/>
      <c r="G3" s="117"/>
      <c r="H3" s="117"/>
      <c r="I3" s="117"/>
      <c r="J3" s="555" t="s">
        <v>97</v>
      </c>
      <c r="K3" s="555" t="s">
        <v>98</v>
      </c>
      <c r="L3" s="555" t="s">
        <v>99</v>
      </c>
      <c r="M3" s="555" t="s">
        <v>100</v>
      </c>
      <c r="N3" s="555" t="s">
        <v>101</v>
      </c>
      <c r="O3" s="555" t="s">
        <v>102</v>
      </c>
      <c r="P3" s="548" t="s">
        <v>103</v>
      </c>
      <c r="Q3" s="548" t="s">
        <v>104</v>
      </c>
      <c r="R3" s="548" t="s">
        <v>105</v>
      </c>
      <c r="S3" s="549" t="s">
        <v>106</v>
      </c>
    </row>
    <row r="4" spans="1:22" s="118" customFormat="1" ht="30.75" customHeight="1">
      <c r="A4" s="114"/>
      <c r="B4" s="115"/>
      <c r="C4" s="555"/>
      <c r="D4" s="555"/>
      <c r="E4" s="119" t="s">
        <v>18</v>
      </c>
      <c r="F4" s="119" t="s">
        <v>107</v>
      </c>
      <c r="G4" s="119" t="s">
        <v>108</v>
      </c>
      <c r="H4" s="119" t="s">
        <v>109</v>
      </c>
      <c r="I4" s="119" t="s">
        <v>110</v>
      </c>
      <c r="J4" s="555"/>
      <c r="K4" s="555"/>
      <c r="L4" s="555"/>
      <c r="M4" s="555"/>
      <c r="N4" s="555"/>
      <c r="O4" s="555"/>
      <c r="P4" s="548"/>
      <c r="Q4" s="548"/>
      <c r="R4" s="548"/>
      <c r="S4" s="550"/>
    </row>
    <row r="5" spans="1:22" ht="15.75" customHeight="1">
      <c r="A5" s="120"/>
      <c r="B5" s="121" t="s">
        <v>111</v>
      </c>
      <c r="C5" s="122">
        <v>308.10399999999998</v>
      </c>
      <c r="D5" s="122">
        <v>93.322999999999993</v>
      </c>
      <c r="E5" s="122">
        <v>84.846999999999994</v>
      </c>
      <c r="F5" s="122">
        <v>45.209000000000003</v>
      </c>
      <c r="G5" s="122">
        <v>24.954000000000001</v>
      </c>
      <c r="H5" s="122">
        <v>13.731999999999999</v>
      </c>
      <c r="I5" s="122">
        <v>1.494</v>
      </c>
      <c r="J5" s="122">
        <v>0.253</v>
      </c>
      <c r="K5" s="122">
        <v>486.52699999999999</v>
      </c>
      <c r="L5" s="122">
        <v>-2.6880000000000002</v>
      </c>
      <c r="M5" s="122">
        <v>483.839</v>
      </c>
      <c r="N5" s="122">
        <v>140.286</v>
      </c>
      <c r="O5" s="122">
        <v>626.48900000000003</v>
      </c>
      <c r="P5" s="122">
        <v>137.10300000000001</v>
      </c>
      <c r="Q5" s="122">
        <v>0</v>
      </c>
      <c r="R5" s="122">
        <v>489.78300000000002</v>
      </c>
      <c r="S5" s="123">
        <v>426.40499999999997</v>
      </c>
      <c r="T5" s="124"/>
      <c r="U5" s="125"/>
      <c r="V5" s="125"/>
    </row>
    <row r="6" spans="1:22">
      <c r="A6" s="120"/>
      <c r="B6" s="121" t="s">
        <v>112</v>
      </c>
      <c r="C6" s="122">
        <v>304.49400000000003</v>
      </c>
      <c r="D6" s="122">
        <v>92.738</v>
      </c>
      <c r="E6" s="122">
        <v>85.799000000000007</v>
      </c>
      <c r="F6" s="122">
        <v>46.924999999999997</v>
      </c>
      <c r="G6" s="122">
        <v>23.782</v>
      </c>
      <c r="H6" s="122">
        <v>14.129</v>
      </c>
      <c r="I6" s="122">
        <v>1.4500000000000002</v>
      </c>
      <c r="J6" s="122">
        <v>-0.42199999999999999</v>
      </c>
      <c r="K6" s="122">
        <v>482.60899999999998</v>
      </c>
      <c r="L6" s="122">
        <v>-1.2310000000000001</v>
      </c>
      <c r="M6" s="122">
        <v>481.37799999999999</v>
      </c>
      <c r="N6" s="122">
        <v>140.30500000000001</v>
      </c>
      <c r="O6" s="122">
        <v>623.24099999999999</v>
      </c>
      <c r="P6" s="122">
        <v>136.25299999999999</v>
      </c>
      <c r="Q6" s="122">
        <v>0</v>
      </c>
      <c r="R6" s="122">
        <v>487.38600000000002</v>
      </c>
      <c r="S6" s="123">
        <v>424.84100000000001</v>
      </c>
      <c r="U6" s="125"/>
      <c r="V6" s="125"/>
    </row>
    <row r="7" spans="1:22">
      <c r="A7" s="120"/>
      <c r="B7" s="121" t="s">
        <v>113</v>
      </c>
      <c r="C7" s="122">
        <v>299.63299999999998</v>
      </c>
      <c r="D7" s="122">
        <v>94.397000000000006</v>
      </c>
      <c r="E7" s="122">
        <v>81.322999999999993</v>
      </c>
      <c r="F7" s="122">
        <v>45.148000000000003</v>
      </c>
      <c r="G7" s="122">
        <v>19.579999999999998</v>
      </c>
      <c r="H7" s="122">
        <v>14.145</v>
      </c>
      <c r="I7" s="122">
        <v>2.7749999999999999</v>
      </c>
      <c r="J7" s="122">
        <v>-0.98399999999999999</v>
      </c>
      <c r="K7" s="122">
        <v>474.36900000000003</v>
      </c>
      <c r="L7" s="122">
        <v>-3.2130000000000001</v>
      </c>
      <c r="M7" s="122">
        <v>471.15600000000001</v>
      </c>
      <c r="N7" s="122">
        <v>140.846</v>
      </c>
      <c r="O7" s="122">
        <v>613.27200000000005</v>
      </c>
      <c r="P7" s="122">
        <v>133.81100000000001</v>
      </c>
      <c r="Q7" s="122">
        <v>0</v>
      </c>
      <c r="R7" s="122">
        <v>479.87200000000001</v>
      </c>
      <c r="S7" s="123">
        <v>418.25099999999998</v>
      </c>
      <c r="U7" s="125"/>
      <c r="V7" s="125"/>
    </row>
    <row r="8" spans="1:22">
      <c r="A8" s="120"/>
      <c r="B8" s="121" t="s">
        <v>114</v>
      </c>
      <c r="C8" s="122">
        <v>292.37299999999999</v>
      </c>
      <c r="D8" s="122">
        <v>95.402000000000001</v>
      </c>
      <c r="E8" s="122">
        <v>79.977999999999994</v>
      </c>
      <c r="F8" s="122">
        <v>43.616999999999997</v>
      </c>
      <c r="G8" s="122">
        <v>18.727</v>
      </c>
      <c r="H8" s="122">
        <v>15.192</v>
      </c>
      <c r="I8" s="122">
        <v>2.722</v>
      </c>
      <c r="J8" s="122">
        <v>0.11</v>
      </c>
      <c r="K8" s="122">
        <v>467.863</v>
      </c>
      <c r="L8" s="122">
        <v>-5.6559999999999997</v>
      </c>
      <c r="M8" s="122">
        <v>462.20699999999999</v>
      </c>
      <c r="N8" s="122">
        <v>135.42400000000001</v>
      </c>
      <c r="O8" s="122">
        <v>596.03099999999995</v>
      </c>
      <c r="P8" s="122">
        <v>126.724</v>
      </c>
      <c r="Q8" s="122">
        <v>0</v>
      </c>
      <c r="R8" s="122">
        <v>469.69400000000002</v>
      </c>
      <c r="S8" s="123">
        <v>409.32100000000003</v>
      </c>
      <c r="U8" s="125"/>
      <c r="V8" s="125"/>
    </row>
    <row r="9" spans="1:22">
      <c r="A9" s="120"/>
      <c r="B9" s="121" t="s">
        <v>115</v>
      </c>
      <c r="C9" s="122">
        <v>291.28399999999999</v>
      </c>
      <c r="D9" s="122">
        <v>94.802000000000007</v>
      </c>
      <c r="E9" s="122">
        <v>75.260999999999996</v>
      </c>
      <c r="F9" s="122">
        <v>39.697000000000003</v>
      </c>
      <c r="G9" s="122">
        <v>17.619</v>
      </c>
      <c r="H9" s="122">
        <v>15.489000000000001</v>
      </c>
      <c r="I9" s="122">
        <v>2.681</v>
      </c>
      <c r="J9" s="122">
        <v>1.3080000000000001</v>
      </c>
      <c r="K9" s="122">
        <v>462.65499999999997</v>
      </c>
      <c r="L9" s="122">
        <v>-9.3940000000000001</v>
      </c>
      <c r="M9" s="122">
        <v>453.26100000000002</v>
      </c>
      <c r="N9" s="122">
        <v>126.723</v>
      </c>
      <c r="O9" s="122">
        <v>581.25800000000004</v>
      </c>
      <c r="P9" s="122">
        <v>121.718</v>
      </c>
      <c r="Q9" s="122">
        <v>0</v>
      </c>
      <c r="R9" s="122">
        <v>460.10500000000002</v>
      </c>
      <c r="S9" s="123">
        <v>401.25099999999998</v>
      </c>
      <c r="U9" s="125"/>
      <c r="V9" s="125"/>
    </row>
    <row r="10" spans="1:22" ht="15.75">
      <c r="A10" s="110"/>
      <c r="B10" s="121" t="s">
        <v>116</v>
      </c>
      <c r="C10" s="122">
        <v>291.11</v>
      </c>
      <c r="D10" s="122">
        <v>94.563999999999993</v>
      </c>
      <c r="E10" s="122">
        <v>72.063000000000002</v>
      </c>
      <c r="F10" s="122">
        <v>37.613999999999997</v>
      </c>
      <c r="G10" s="122">
        <v>17.123999999999999</v>
      </c>
      <c r="H10" s="122">
        <v>14.824</v>
      </c>
      <c r="I10" s="122">
        <v>2.6440000000000001</v>
      </c>
      <c r="J10" s="122">
        <v>0.61699999999999999</v>
      </c>
      <c r="K10" s="122">
        <v>458.35399999999998</v>
      </c>
      <c r="L10" s="122">
        <v>-8.9619999999999997</v>
      </c>
      <c r="M10" s="122">
        <v>449.392</v>
      </c>
      <c r="N10" s="122">
        <v>125.42</v>
      </c>
      <c r="O10" s="122">
        <v>580.02800000000002</v>
      </c>
      <c r="P10" s="122">
        <v>122.009</v>
      </c>
      <c r="Q10" s="122">
        <v>0</v>
      </c>
      <c r="R10" s="122">
        <v>458.59899999999999</v>
      </c>
      <c r="S10" s="123">
        <v>399.49900000000002</v>
      </c>
      <c r="U10" s="125"/>
      <c r="V10" s="125"/>
    </row>
    <row r="11" spans="1:22" ht="15.75">
      <c r="A11" s="110"/>
      <c r="B11" s="121" t="s">
        <v>117</v>
      </c>
      <c r="C11" s="122">
        <v>292.73200000000003</v>
      </c>
      <c r="D11" s="122">
        <v>95.361999999999995</v>
      </c>
      <c r="E11" s="122">
        <v>72.551000000000002</v>
      </c>
      <c r="F11" s="122">
        <v>36.801000000000002</v>
      </c>
      <c r="G11" s="122">
        <v>17.177</v>
      </c>
      <c r="H11" s="122">
        <v>16.068999999999999</v>
      </c>
      <c r="I11" s="122">
        <v>2.6749999999999998</v>
      </c>
      <c r="J11" s="122">
        <v>1.036</v>
      </c>
      <c r="K11" s="122">
        <v>461.68099999999998</v>
      </c>
      <c r="L11" s="122">
        <v>-9.2690000000000001</v>
      </c>
      <c r="M11" s="122">
        <v>452.41199999999998</v>
      </c>
      <c r="N11" s="122">
        <v>124.828</v>
      </c>
      <c r="O11" s="122">
        <v>583.70899999999995</v>
      </c>
      <c r="P11" s="122">
        <v>125.31100000000001</v>
      </c>
      <c r="Q11" s="122">
        <v>0</v>
      </c>
      <c r="R11" s="122">
        <v>458.875</v>
      </c>
      <c r="S11" s="123">
        <v>400.202</v>
      </c>
      <c r="U11" s="125"/>
      <c r="V11" s="125"/>
    </row>
    <row r="12" spans="1:22" ht="15.75">
      <c r="A12" s="110"/>
      <c r="B12" s="121" t="s">
        <v>118</v>
      </c>
      <c r="C12" s="122">
        <v>294.90899999999999</v>
      </c>
      <c r="D12" s="122">
        <v>96.11</v>
      </c>
      <c r="E12" s="122">
        <v>71.334999999999994</v>
      </c>
      <c r="F12" s="122">
        <v>36.481999999999999</v>
      </c>
      <c r="G12" s="122">
        <v>16.393999999999998</v>
      </c>
      <c r="H12" s="122">
        <v>15.851000000000001</v>
      </c>
      <c r="I12" s="122">
        <v>2.7280000000000002</v>
      </c>
      <c r="J12" s="122">
        <v>-0.22800000000000001</v>
      </c>
      <c r="K12" s="122">
        <v>462.12599999999998</v>
      </c>
      <c r="L12" s="122">
        <v>-7.4059999999999997</v>
      </c>
      <c r="M12" s="122">
        <v>454.72</v>
      </c>
      <c r="N12" s="122">
        <v>130.66300000000001</v>
      </c>
      <c r="O12" s="122">
        <v>587.16600000000005</v>
      </c>
      <c r="P12" s="122">
        <v>127.35</v>
      </c>
      <c r="Q12" s="122">
        <v>0</v>
      </c>
      <c r="R12" s="122">
        <v>460.238</v>
      </c>
      <c r="S12" s="123">
        <v>401.68099999999998</v>
      </c>
      <c r="U12" s="125"/>
      <c r="V12" s="125"/>
    </row>
    <row r="13" spans="1:22" ht="18.75" customHeight="1">
      <c r="A13" s="110"/>
      <c r="B13" s="121" t="s">
        <v>119</v>
      </c>
      <c r="C13" s="122">
        <v>293.46499999999997</v>
      </c>
      <c r="D13" s="122">
        <v>94.805000000000007</v>
      </c>
      <c r="E13" s="122">
        <v>75.138000000000005</v>
      </c>
      <c r="F13" s="122">
        <v>38.204000000000001</v>
      </c>
      <c r="G13" s="122">
        <v>17.617000000000001</v>
      </c>
      <c r="H13" s="122">
        <v>16.792000000000002</v>
      </c>
      <c r="I13" s="122">
        <v>2.7089999999999996</v>
      </c>
      <c r="J13" s="122">
        <v>-0.36599999999999999</v>
      </c>
      <c r="K13" s="122">
        <v>463.04199999999997</v>
      </c>
      <c r="L13" s="122">
        <v>-2.1960000000000002</v>
      </c>
      <c r="M13" s="122">
        <v>460.846</v>
      </c>
      <c r="N13" s="122">
        <v>130.58199999999999</v>
      </c>
      <c r="O13" s="122">
        <v>593.83399999999995</v>
      </c>
      <c r="P13" s="122">
        <v>129.67699999999999</v>
      </c>
      <c r="Q13" s="122">
        <v>0</v>
      </c>
      <c r="R13" s="122">
        <v>464.54300000000001</v>
      </c>
      <c r="S13" s="123">
        <v>405.88400000000001</v>
      </c>
      <c r="U13" s="125"/>
      <c r="V13" s="125"/>
    </row>
    <row r="14" spans="1:22" ht="15.75">
      <c r="A14" s="110"/>
      <c r="B14" s="121" t="s">
        <v>120</v>
      </c>
      <c r="C14" s="122">
        <v>300.59199999999998</v>
      </c>
      <c r="D14" s="122">
        <v>95.123000000000005</v>
      </c>
      <c r="E14" s="122">
        <v>74.022000000000006</v>
      </c>
      <c r="F14" s="122">
        <v>37.630000000000003</v>
      </c>
      <c r="G14" s="122">
        <v>18.596</v>
      </c>
      <c r="H14" s="122">
        <v>15.355</v>
      </c>
      <c r="I14" s="122">
        <v>2.698</v>
      </c>
      <c r="J14" s="122">
        <v>-0.57699999999999996</v>
      </c>
      <c r="K14" s="122">
        <v>469.16</v>
      </c>
      <c r="L14" s="122">
        <v>-1.663</v>
      </c>
      <c r="M14" s="122">
        <v>467.49700000000001</v>
      </c>
      <c r="N14" s="122">
        <v>134.89400000000001</v>
      </c>
      <c r="O14" s="122">
        <v>603.08500000000004</v>
      </c>
      <c r="P14" s="122">
        <v>133.785</v>
      </c>
      <c r="Q14" s="122">
        <v>0</v>
      </c>
      <c r="R14" s="122">
        <v>469.60599999999999</v>
      </c>
      <c r="S14" s="123">
        <v>410.79300000000001</v>
      </c>
      <c r="U14" s="125"/>
      <c r="V14" s="125"/>
    </row>
    <row r="15" spans="1:22" ht="15.75">
      <c r="A15" s="110"/>
      <c r="B15" s="121" t="s">
        <v>121</v>
      </c>
      <c r="C15" s="122">
        <v>300.84100000000001</v>
      </c>
      <c r="D15" s="122">
        <v>95.137</v>
      </c>
      <c r="E15" s="122">
        <v>76.899000000000001</v>
      </c>
      <c r="F15" s="122">
        <v>39.313000000000002</v>
      </c>
      <c r="G15" s="122">
        <v>19.559999999999999</v>
      </c>
      <c r="H15" s="122">
        <v>15.628</v>
      </c>
      <c r="I15" s="122">
        <v>2.6779999999999999</v>
      </c>
      <c r="J15" s="122">
        <v>0.52400000000000002</v>
      </c>
      <c r="K15" s="122">
        <v>473.40100000000001</v>
      </c>
      <c r="L15" s="122">
        <v>-0.65800000000000003</v>
      </c>
      <c r="M15" s="122">
        <v>472.74299999999999</v>
      </c>
      <c r="N15" s="122">
        <v>136.309</v>
      </c>
      <c r="O15" s="122">
        <v>610.10599999999999</v>
      </c>
      <c r="P15" s="122">
        <v>138.10400000000001</v>
      </c>
      <c r="Q15" s="122">
        <v>0</v>
      </c>
      <c r="R15" s="122">
        <v>472.19900000000001</v>
      </c>
      <c r="S15" s="123">
        <v>413.47800000000001</v>
      </c>
      <c r="U15" s="125"/>
      <c r="V15" s="125"/>
    </row>
    <row r="16" spans="1:22" ht="15.75">
      <c r="A16" s="110"/>
      <c r="B16" s="121" t="s">
        <v>122</v>
      </c>
      <c r="C16" s="122">
        <v>300.34199999999998</v>
      </c>
      <c r="D16" s="122">
        <v>95.695999999999998</v>
      </c>
      <c r="E16" s="122">
        <v>78.972999999999999</v>
      </c>
      <c r="F16" s="122">
        <v>41.914000000000001</v>
      </c>
      <c r="G16" s="122">
        <v>19.064</v>
      </c>
      <c r="H16" s="122">
        <v>15.547000000000001</v>
      </c>
      <c r="I16" s="122">
        <v>2.6180000000000003</v>
      </c>
      <c r="J16" s="122">
        <v>0.41799999999999998</v>
      </c>
      <c r="K16" s="122">
        <v>475.42899999999997</v>
      </c>
      <c r="L16" s="122">
        <v>-4.0460000000000003</v>
      </c>
      <c r="M16" s="122">
        <v>471.38299999999998</v>
      </c>
      <c r="N16" s="122">
        <v>139.07599999999999</v>
      </c>
      <c r="O16" s="122">
        <v>611.77300000000002</v>
      </c>
      <c r="P16" s="122">
        <v>139.31800000000001</v>
      </c>
      <c r="Q16" s="122">
        <v>0</v>
      </c>
      <c r="R16" s="122">
        <v>472.61200000000002</v>
      </c>
      <c r="S16" s="123">
        <v>414.37099999999998</v>
      </c>
      <c r="U16" s="125"/>
      <c r="V16" s="125"/>
    </row>
    <row r="17" spans="1:22" ht="18.75" customHeight="1">
      <c r="A17" s="110"/>
      <c r="B17" s="121" t="s">
        <v>123</v>
      </c>
      <c r="C17" s="122">
        <v>297.72399999999999</v>
      </c>
      <c r="D17" s="122">
        <v>96.262</v>
      </c>
      <c r="E17" s="122">
        <v>75.921999999999997</v>
      </c>
      <c r="F17" s="122">
        <v>39</v>
      </c>
      <c r="G17" s="122">
        <v>18.108000000000001</v>
      </c>
      <c r="H17" s="122">
        <v>16.457000000000001</v>
      </c>
      <c r="I17" s="122">
        <v>2.6239999999999997</v>
      </c>
      <c r="J17" s="122">
        <v>-2.3090000000000002</v>
      </c>
      <c r="K17" s="122">
        <v>467.59899999999999</v>
      </c>
      <c r="L17" s="122">
        <v>-2.2589999999999999</v>
      </c>
      <c r="M17" s="122">
        <v>465.34</v>
      </c>
      <c r="N17" s="122">
        <v>144.79499999999999</v>
      </c>
      <c r="O17" s="122">
        <v>609.55999999999995</v>
      </c>
      <c r="P17" s="122">
        <v>136.03100000000001</v>
      </c>
      <c r="Q17" s="122">
        <v>0</v>
      </c>
      <c r="R17" s="122">
        <v>473.81900000000002</v>
      </c>
      <c r="S17" s="123">
        <v>416.13200000000001</v>
      </c>
      <c r="U17" s="125"/>
      <c r="V17" s="125"/>
    </row>
    <row r="18" spans="1:22" ht="15.75">
      <c r="A18" s="110"/>
      <c r="B18" s="121" t="s">
        <v>124</v>
      </c>
      <c r="C18" s="122">
        <v>297.01100000000002</v>
      </c>
      <c r="D18" s="122">
        <v>94.581000000000003</v>
      </c>
      <c r="E18" s="122">
        <v>75.106999999999999</v>
      </c>
      <c r="F18" s="122">
        <v>41.219000000000001</v>
      </c>
      <c r="G18" s="122">
        <v>17.670999999999999</v>
      </c>
      <c r="H18" s="122">
        <v>13.757999999999999</v>
      </c>
      <c r="I18" s="122">
        <v>2.5529999999999999</v>
      </c>
      <c r="J18" s="122">
        <v>0.16400000000000001</v>
      </c>
      <c r="K18" s="122">
        <v>466.863</v>
      </c>
      <c r="L18" s="122">
        <v>4.468</v>
      </c>
      <c r="M18" s="122">
        <v>471.33100000000002</v>
      </c>
      <c r="N18" s="122">
        <v>142.702</v>
      </c>
      <c r="O18" s="122">
        <v>614.34</v>
      </c>
      <c r="P18" s="122">
        <v>140.09</v>
      </c>
      <c r="Q18" s="122">
        <v>0</v>
      </c>
      <c r="R18" s="122">
        <v>474.36500000000001</v>
      </c>
      <c r="S18" s="123">
        <v>417.07100000000003</v>
      </c>
      <c r="U18" s="125"/>
      <c r="V18" s="125"/>
    </row>
    <row r="19" spans="1:22" ht="15.75">
      <c r="A19" s="110"/>
      <c r="B19" s="121" t="s">
        <v>125</v>
      </c>
      <c r="C19" s="122">
        <v>298.00599999999997</v>
      </c>
      <c r="D19" s="122">
        <v>94.423000000000002</v>
      </c>
      <c r="E19" s="122">
        <v>76.823999999999998</v>
      </c>
      <c r="F19" s="122">
        <v>42.597000000000001</v>
      </c>
      <c r="G19" s="122">
        <v>17.817</v>
      </c>
      <c r="H19" s="122">
        <v>14.055</v>
      </c>
      <c r="I19" s="122">
        <v>2.4249999999999998</v>
      </c>
      <c r="J19" s="122">
        <v>1.393</v>
      </c>
      <c r="K19" s="122">
        <v>470.64600000000002</v>
      </c>
      <c r="L19" s="122">
        <v>0.248</v>
      </c>
      <c r="M19" s="122">
        <v>470.89400000000001</v>
      </c>
      <c r="N19" s="122">
        <v>144.333</v>
      </c>
      <c r="O19" s="122">
        <v>615.51199999999994</v>
      </c>
      <c r="P19" s="122">
        <v>139.83699999999999</v>
      </c>
      <c r="Q19" s="122">
        <v>0</v>
      </c>
      <c r="R19" s="122">
        <v>475.81299999999999</v>
      </c>
      <c r="S19" s="123">
        <v>418.94900000000001</v>
      </c>
      <c r="U19" s="125"/>
      <c r="V19" s="125"/>
    </row>
    <row r="20" spans="1:22" ht="15.75">
      <c r="A20" s="110"/>
      <c r="B20" s="121" t="s">
        <v>126</v>
      </c>
      <c r="C20" s="122">
        <v>298.529</v>
      </c>
      <c r="D20" s="122">
        <v>95.248999999999995</v>
      </c>
      <c r="E20" s="122">
        <v>77.501000000000005</v>
      </c>
      <c r="F20" s="122">
        <v>43.649000000000001</v>
      </c>
      <c r="G20" s="122">
        <v>17.79</v>
      </c>
      <c r="H20" s="122">
        <v>13.685</v>
      </c>
      <c r="I20" s="122">
        <v>2.367</v>
      </c>
      <c r="J20" s="122">
        <v>4.7E-2</v>
      </c>
      <c r="K20" s="122">
        <v>471.32600000000002</v>
      </c>
      <c r="L20" s="122">
        <v>-6.2409999999999997</v>
      </c>
      <c r="M20" s="122">
        <v>465.08499999999998</v>
      </c>
      <c r="N20" s="122">
        <v>146.50299999999999</v>
      </c>
      <c r="O20" s="122">
        <v>617.14300000000003</v>
      </c>
      <c r="P20" s="122">
        <v>140.76499999999999</v>
      </c>
      <c r="Q20" s="122">
        <v>0</v>
      </c>
      <c r="R20" s="122">
        <v>476.47899999999998</v>
      </c>
      <c r="S20" s="123">
        <v>420.06099999999998</v>
      </c>
      <c r="U20" s="125"/>
      <c r="V20" s="125"/>
    </row>
    <row r="21" spans="1:22" ht="18.75" customHeight="1">
      <c r="A21" s="110"/>
      <c r="B21" s="121" t="s">
        <v>127</v>
      </c>
      <c r="C21" s="122">
        <v>298.56900000000002</v>
      </c>
      <c r="D21" s="122">
        <v>98.227999999999994</v>
      </c>
      <c r="E21" s="122">
        <v>78.655000000000001</v>
      </c>
      <c r="F21" s="122">
        <v>45.274000000000001</v>
      </c>
      <c r="G21" s="122">
        <v>16.864999999999998</v>
      </c>
      <c r="H21" s="122">
        <v>14.096</v>
      </c>
      <c r="I21" s="122">
        <v>2.2949999999999999</v>
      </c>
      <c r="J21" s="122">
        <v>-1.964</v>
      </c>
      <c r="K21" s="122">
        <v>473.488</v>
      </c>
      <c r="L21" s="122">
        <v>-4.7169999999999996</v>
      </c>
      <c r="M21" s="122">
        <v>468.77100000000002</v>
      </c>
      <c r="N21" s="122">
        <v>150.065</v>
      </c>
      <c r="O21" s="122">
        <v>622.4</v>
      </c>
      <c r="P21" s="122">
        <v>141.86600000000001</v>
      </c>
      <c r="Q21" s="122">
        <v>0</v>
      </c>
      <c r="R21" s="122">
        <v>480.63200000000001</v>
      </c>
      <c r="S21" s="123">
        <v>424.30900000000003</v>
      </c>
      <c r="U21" s="125"/>
      <c r="V21" s="125"/>
    </row>
    <row r="22" spans="1:22" ht="15.75">
      <c r="A22" s="110"/>
      <c r="B22" s="121" t="s">
        <v>128</v>
      </c>
      <c r="C22" s="122">
        <v>300.92899999999997</v>
      </c>
      <c r="D22" s="122">
        <v>94.966999999999999</v>
      </c>
      <c r="E22" s="122">
        <v>76.644999999999996</v>
      </c>
      <c r="F22" s="122">
        <v>43.325000000000003</v>
      </c>
      <c r="G22" s="122">
        <v>17.242000000000001</v>
      </c>
      <c r="H22" s="122">
        <v>13.782999999999999</v>
      </c>
      <c r="I22" s="122">
        <v>2.3220000000000001</v>
      </c>
      <c r="J22" s="122">
        <v>0.79500000000000004</v>
      </c>
      <c r="K22" s="122">
        <v>473.33600000000001</v>
      </c>
      <c r="L22" s="122">
        <v>7.6539999999999999</v>
      </c>
      <c r="M22" s="122">
        <v>480.99</v>
      </c>
      <c r="N22" s="122">
        <v>143.02699999999999</v>
      </c>
      <c r="O22" s="122">
        <v>624.63699999999994</v>
      </c>
      <c r="P22" s="122">
        <v>144.53800000000001</v>
      </c>
      <c r="Q22" s="122">
        <v>0</v>
      </c>
      <c r="R22" s="122">
        <v>479.97899999999998</v>
      </c>
      <c r="S22" s="123">
        <v>424.38900000000001</v>
      </c>
      <c r="U22" s="125"/>
      <c r="V22" s="125"/>
    </row>
    <row r="23" spans="1:22" ht="15.75">
      <c r="A23" s="110"/>
      <c r="B23" s="121" t="s">
        <v>129</v>
      </c>
      <c r="C23" s="122">
        <v>304.38</v>
      </c>
      <c r="D23" s="122">
        <v>95.861000000000004</v>
      </c>
      <c r="E23" s="122">
        <v>75.936000000000007</v>
      </c>
      <c r="F23" s="122">
        <v>43.521000000000001</v>
      </c>
      <c r="G23" s="122">
        <v>17.713000000000001</v>
      </c>
      <c r="H23" s="122">
        <v>12.571</v>
      </c>
      <c r="I23" s="122">
        <v>2.2410000000000001</v>
      </c>
      <c r="J23" s="122">
        <v>0.24299999999999999</v>
      </c>
      <c r="K23" s="122">
        <v>476.42</v>
      </c>
      <c r="L23" s="122">
        <v>8.0429999999999993</v>
      </c>
      <c r="M23" s="122">
        <v>484.46300000000002</v>
      </c>
      <c r="N23" s="122">
        <v>146.62299999999999</v>
      </c>
      <c r="O23" s="122">
        <v>627.65099999999995</v>
      </c>
      <c r="P23" s="122">
        <v>143.143</v>
      </c>
      <c r="Q23" s="122">
        <v>0</v>
      </c>
      <c r="R23" s="122">
        <v>484.57900000000001</v>
      </c>
      <c r="S23" s="123">
        <v>428.95299999999997</v>
      </c>
      <c r="U23" s="125"/>
      <c r="V23" s="125"/>
    </row>
    <row r="24" spans="1:22" ht="15.75">
      <c r="A24" s="110"/>
      <c r="B24" s="121" t="s">
        <v>130</v>
      </c>
      <c r="C24" s="122">
        <v>307.92899999999997</v>
      </c>
      <c r="D24" s="122">
        <v>97.132000000000005</v>
      </c>
      <c r="E24" s="122">
        <v>78.986000000000004</v>
      </c>
      <c r="F24" s="122">
        <v>46.058999999999997</v>
      </c>
      <c r="G24" s="122">
        <v>18.106000000000002</v>
      </c>
      <c r="H24" s="122">
        <v>12.557</v>
      </c>
      <c r="I24" s="122">
        <v>2.1840000000000002</v>
      </c>
      <c r="J24" s="122">
        <v>-0.11</v>
      </c>
      <c r="K24" s="122">
        <v>483.93700000000001</v>
      </c>
      <c r="L24" s="122">
        <v>-4.6020000000000003</v>
      </c>
      <c r="M24" s="122">
        <v>479.33499999999998</v>
      </c>
      <c r="N24" s="122">
        <v>143.01400000000001</v>
      </c>
      <c r="O24" s="122">
        <v>624.66200000000003</v>
      </c>
      <c r="P24" s="122">
        <v>140.83799999999999</v>
      </c>
      <c r="Q24" s="122">
        <v>0</v>
      </c>
      <c r="R24" s="122">
        <v>484.03899999999999</v>
      </c>
      <c r="S24" s="123">
        <v>429.26</v>
      </c>
      <c r="U24" s="125"/>
      <c r="V24" s="125"/>
    </row>
    <row r="25" spans="1:22" ht="18.75" customHeight="1">
      <c r="A25" s="110"/>
      <c r="B25" s="121" t="s">
        <v>131</v>
      </c>
      <c r="C25" s="122">
        <v>306.27100000000002</v>
      </c>
      <c r="D25" s="122">
        <v>95.903999999999996</v>
      </c>
      <c r="E25" s="122">
        <v>76.694999999999993</v>
      </c>
      <c r="F25" s="122">
        <v>44.731000000000002</v>
      </c>
      <c r="G25" s="122">
        <v>17.989999999999998</v>
      </c>
      <c r="H25" s="122">
        <v>11.813000000000001</v>
      </c>
      <c r="I25" s="122">
        <v>2.0979999999999999</v>
      </c>
      <c r="J25" s="122">
        <v>0.76100000000000001</v>
      </c>
      <c r="K25" s="122">
        <v>479.63099999999997</v>
      </c>
      <c r="L25" s="122">
        <v>1.1539999999999999</v>
      </c>
      <c r="M25" s="122">
        <v>480.78500000000003</v>
      </c>
      <c r="N25" s="122">
        <v>146.11699999999999</v>
      </c>
      <c r="O25" s="122">
        <v>626.423</v>
      </c>
      <c r="P25" s="122">
        <v>141.21100000000001</v>
      </c>
      <c r="Q25" s="122">
        <v>0</v>
      </c>
      <c r="R25" s="122">
        <v>485.40899999999999</v>
      </c>
      <c r="S25" s="123">
        <v>430.435</v>
      </c>
      <c r="U25" s="125"/>
      <c r="V25" s="125"/>
    </row>
    <row r="26" spans="1:22" ht="15.75">
      <c r="A26" s="110"/>
      <c r="B26" s="121" t="s">
        <v>132</v>
      </c>
      <c r="C26" s="122">
        <v>309.29899999999998</v>
      </c>
      <c r="D26" s="122">
        <v>96.483000000000004</v>
      </c>
      <c r="E26" s="122">
        <v>79.896000000000001</v>
      </c>
      <c r="F26" s="122">
        <v>45.627000000000002</v>
      </c>
      <c r="G26" s="122">
        <v>19.876999999999999</v>
      </c>
      <c r="H26" s="122">
        <v>12.205</v>
      </c>
      <c r="I26" s="122">
        <v>2.1789999999999998</v>
      </c>
      <c r="J26" s="122">
        <v>3.3260000000000001</v>
      </c>
      <c r="K26" s="122">
        <v>489.00400000000002</v>
      </c>
      <c r="L26" s="122">
        <v>1.704</v>
      </c>
      <c r="M26" s="122">
        <v>490.70800000000003</v>
      </c>
      <c r="N26" s="122">
        <v>147.523</v>
      </c>
      <c r="O26" s="122">
        <v>637.41999999999996</v>
      </c>
      <c r="P26" s="122">
        <v>148.363</v>
      </c>
      <c r="Q26" s="122">
        <v>0</v>
      </c>
      <c r="R26" s="122">
        <v>488.93</v>
      </c>
      <c r="S26" s="123">
        <v>433.72500000000002</v>
      </c>
      <c r="U26" s="125"/>
      <c r="V26" s="125"/>
    </row>
    <row r="27" spans="1:22" ht="15.75">
      <c r="A27" s="110"/>
      <c r="B27" s="121" t="s">
        <v>133</v>
      </c>
      <c r="C27" s="122">
        <v>312.94</v>
      </c>
      <c r="D27" s="122">
        <v>96.424999999999997</v>
      </c>
      <c r="E27" s="122">
        <v>81.861999999999995</v>
      </c>
      <c r="F27" s="122">
        <v>47.234000000000002</v>
      </c>
      <c r="G27" s="122">
        <v>19.832000000000001</v>
      </c>
      <c r="H27" s="122">
        <v>12.617000000000001</v>
      </c>
      <c r="I27" s="122">
        <v>2.1310000000000002</v>
      </c>
      <c r="J27" s="122">
        <v>-1.51</v>
      </c>
      <c r="K27" s="122">
        <v>489.71699999999998</v>
      </c>
      <c r="L27" s="122">
        <v>1.3320000000000001</v>
      </c>
      <c r="M27" s="122">
        <v>491.04899999999998</v>
      </c>
      <c r="N27" s="122">
        <v>147.03200000000001</v>
      </c>
      <c r="O27" s="122">
        <v>641.04600000000005</v>
      </c>
      <c r="P27" s="122">
        <v>147.99100000000001</v>
      </c>
      <c r="Q27" s="122">
        <v>0</v>
      </c>
      <c r="R27" s="122">
        <v>493.00200000000001</v>
      </c>
      <c r="S27" s="123">
        <v>436.68299999999999</v>
      </c>
      <c r="U27" s="125"/>
      <c r="V27" s="125"/>
    </row>
    <row r="28" spans="1:22" ht="15.75">
      <c r="A28" s="110"/>
      <c r="B28" s="121" t="s">
        <v>134</v>
      </c>
      <c r="C28" s="122">
        <v>313.93799999999999</v>
      </c>
      <c r="D28" s="122">
        <v>98.238</v>
      </c>
      <c r="E28" s="122">
        <v>81.849999999999994</v>
      </c>
      <c r="F28" s="122">
        <v>47.058999999999997</v>
      </c>
      <c r="G28" s="122">
        <v>19.689</v>
      </c>
      <c r="H28" s="122">
        <v>12.968</v>
      </c>
      <c r="I28" s="122">
        <v>2.1040000000000001</v>
      </c>
      <c r="J28" s="122">
        <v>4.4450000000000003</v>
      </c>
      <c r="K28" s="122">
        <v>498.471</v>
      </c>
      <c r="L28" s="122">
        <v>2.5939999999999999</v>
      </c>
      <c r="M28" s="122">
        <v>501.065</v>
      </c>
      <c r="N28" s="122">
        <v>143.715</v>
      </c>
      <c r="O28" s="122">
        <v>647.96600000000001</v>
      </c>
      <c r="P28" s="122">
        <v>151.31899999999999</v>
      </c>
      <c r="Q28" s="122">
        <v>0</v>
      </c>
      <c r="R28" s="122">
        <v>496.46600000000001</v>
      </c>
      <c r="S28" s="123">
        <v>439.5</v>
      </c>
      <c r="U28" s="125"/>
      <c r="V28" s="125"/>
    </row>
    <row r="29" spans="1:22" ht="18.75" customHeight="1">
      <c r="A29" s="110"/>
      <c r="B29" s="121" t="s">
        <v>135</v>
      </c>
      <c r="C29" s="122">
        <v>314.87900000000002</v>
      </c>
      <c r="D29" s="122">
        <v>98.813000000000002</v>
      </c>
      <c r="E29" s="122">
        <v>84.61</v>
      </c>
      <c r="F29" s="122">
        <v>47.997</v>
      </c>
      <c r="G29" s="122">
        <v>20.361000000000001</v>
      </c>
      <c r="H29" s="122">
        <v>14.106999999999999</v>
      </c>
      <c r="I29" s="122">
        <v>2.1280000000000001</v>
      </c>
      <c r="J29" s="122">
        <v>1.5820000000000001</v>
      </c>
      <c r="K29" s="122">
        <v>499.88400000000001</v>
      </c>
      <c r="L29" s="122">
        <v>-1.3660000000000001</v>
      </c>
      <c r="M29" s="122">
        <v>498.51799999999997</v>
      </c>
      <c r="N29" s="122">
        <v>144.64699999999999</v>
      </c>
      <c r="O29" s="122">
        <v>649.59100000000001</v>
      </c>
      <c r="P29" s="122">
        <v>148.99299999999999</v>
      </c>
      <c r="Q29" s="122">
        <v>0</v>
      </c>
      <c r="R29" s="122">
        <v>500.55200000000002</v>
      </c>
      <c r="S29" s="123">
        <v>443.178</v>
      </c>
      <c r="U29" s="125"/>
      <c r="V29" s="125"/>
    </row>
    <row r="30" spans="1:22" ht="15.75">
      <c r="A30" s="110"/>
      <c r="B30" s="121" t="s">
        <v>136</v>
      </c>
      <c r="C30" s="122">
        <v>316.44200000000001</v>
      </c>
      <c r="D30" s="122">
        <v>99.424000000000007</v>
      </c>
      <c r="E30" s="122">
        <v>84.340999999999994</v>
      </c>
      <c r="F30" s="122">
        <v>48.16</v>
      </c>
      <c r="G30" s="122">
        <v>20.364999999999998</v>
      </c>
      <c r="H30" s="122">
        <v>13.253</v>
      </c>
      <c r="I30" s="122">
        <v>2.5220000000000002</v>
      </c>
      <c r="J30" s="122">
        <v>-3.1429999999999998</v>
      </c>
      <c r="K30" s="122">
        <v>497.06400000000002</v>
      </c>
      <c r="L30" s="122">
        <v>4.2380000000000004</v>
      </c>
      <c r="M30" s="122">
        <v>501.30200000000002</v>
      </c>
      <c r="N30" s="122">
        <v>146.83500000000001</v>
      </c>
      <c r="O30" s="122">
        <v>654.78599999999994</v>
      </c>
      <c r="P30" s="122">
        <v>149.83099999999999</v>
      </c>
      <c r="Q30" s="122">
        <v>0</v>
      </c>
      <c r="R30" s="122">
        <v>504.93900000000002</v>
      </c>
      <c r="S30" s="123">
        <v>447.64499999999998</v>
      </c>
      <c r="U30" s="125"/>
      <c r="V30" s="125"/>
    </row>
    <row r="31" spans="1:22" ht="15.75">
      <c r="A31" s="110"/>
      <c r="B31" s="121" t="s">
        <v>137</v>
      </c>
      <c r="C31" s="122">
        <v>321.476</v>
      </c>
      <c r="D31" s="122">
        <v>99.522999999999996</v>
      </c>
      <c r="E31" s="122">
        <v>85.843999999999994</v>
      </c>
      <c r="F31" s="122">
        <v>48.5</v>
      </c>
      <c r="G31" s="122">
        <v>20.829000000000001</v>
      </c>
      <c r="H31" s="122">
        <v>13.927</v>
      </c>
      <c r="I31" s="122">
        <v>2.585</v>
      </c>
      <c r="J31" s="122">
        <v>1.5629999999999999</v>
      </c>
      <c r="K31" s="122">
        <v>508.40600000000001</v>
      </c>
      <c r="L31" s="122">
        <v>5.2539999999999996</v>
      </c>
      <c r="M31" s="122">
        <v>513.66</v>
      </c>
      <c r="N31" s="122">
        <v>147.27500000000001</v>
      </c>
      <c r="O31" s="122">
        <v>664.15200000000004</v>
      </c>
      <c r="P31" s="122">
        <v>155.251</v>
      </c>
      <c r="Q31" s="122">
        <v>0</v>
      </c>
      <c r="R31" s="122">
        <v>508.74099999999999</v>
      </c>
      <c r="S31" s="123">
        <v>451.76100000000002</v>
      </c>
      <c r="U31" s="125"/>
      <c r="V31" s="125"/>
    </row>
    <row r="32" spans="1:22" ht="15.75">
      <c r="A32" s="110"/>
      <c r="B32" s="121" t="s">
        <v>138</v>
      </c>
      <c r="C32" s="122">
        <v>323.3</v>
      </c>
      <c r="D32" s="122">
        <v>99.308999999999997</v>
      </c>
      <c r="E32" s="122">
        <v>88.045000000000002</v>
      </c>
      <c r="F32" s="122">
        <v>50.225999999999999</v>
      </c>
      <c r="G32" s="122">
        <v>20.869</v>
      </c>
      <c r="H32" s="122">
        <v>14.292999999999999</v>
      </c>
      <c r="I32" s="122">
        <v>2.6270000000000002</v>
      </c>
      <c r="J32" s="122">
        <v>6.069</v>
      </c>
      <c r="K32" s="122">
        <v>516.72299999999996</v>
      </c>
      <c r="L32" s="122">
        <v>7.2229999999999999</v>
      </c>
      <c r="M32" s="122">
        <v>523.94600000000003</v>
      </c>
      <c r="N32" s="122">
        <v>151.50299999999999</v>
      </c>
      <c r="O32" s="122">
        <v>677.58299999999997</v>
      </c>
      <c r="P32" s="122">
        <v>164.81299999999999</v>
      </c>
      <c r="Q32" s="122">
        <v>0</v>
      </c>
      <c r="R32" s="122">
        <v>512.33399999999995</v>
      </c>
      <c r="S32" s="123">
        <v>454.62700000000001</v>
      </c>
      <c r="U32" s="125"/>
      <c r="V32" s="125"/>
    </row>
    <row r="33" spans="1:22" ht="18.75" customHeight="1">
      <c r="A33" s="110"/>
      <c r="B33" s="121" t="s">
        <v>139</v>
      </c>
      <c r="C33" s="122">
        <v>324.87200000000001</v>
      </c>
      <c r="D33" s="122">
        <v>99.537999999999997</v>
      </c>
      <c r="E33" s="122">
        <v>91.126999999999995</v>
      </c>
      <c r="F33" s="122">
        <v>53.46</v>
      </c>
      <c r="G33" s="122">
        <v>20.402999999999999</v>
      </c>
      <c r="H33" s="122">
        <v>14.603999999999999</v>
      </c>
      <c r="I33" s="122">
        <v>2.6079999999999997</v>
      </c>
      <c r="J33" s="122">
        <v>2.9390000000000001</v>
      </c>
      <c r="K33" s="122">
        <v>518.476</v>
      </c>
      <c r="L33" s="122">
        <v>5.1440000000000001</v>
      </c>
      <c r="M33" s="122">
        <v>523.62</v>
      </c>
      <c r="N33" s="122">
        <v>150.95099999999999</v>
      </c>
      <c r="O33" s="122">
        <v>677.702</v>
      </c>
      <c r="P33" s="122">
        <v>163.58799999999999</v>
      </c>
      <c r="Q33" s="122">
        <v>0</v>
      </c>
      <c r="R33" s="122">
        <v>513.85</v>
      </c>
      <c r="S33" s="123">
        <v>455.411</v>
      </c>
      <c r="U33" s="125"/>
      <c r="V33" s="125"/>
    </row>
    <row r="34" spans="1:22" ht="15.75">
      <c r="A34" s="110"/>
      <c r="B34" s="121" t="s">
        <v>140</v>
      </c>
      <c r="C34" s="122">
        <v>326.76100000000002</v>
      </c>
      <c r="D34" s="122">
        <v>100.405</v>
      </c>
      <c r="E34" s="122">
        <v>91.528999999999996</v>
      </c>
      <c r="F34" s="122">
        <v>52.037999999999997</v>
      </c>
      <c r="G34" s="122">
        <v>22.562000000000001</v>
      </c>
      <c r="H34" s="122">
        <v>14.59</v>
      </c>
      <c r="I34" s="122">
        <v>2.3109999999999999</v>
      </c>
      <c r="J34" s="122">
        <v>0.17499999999999999</v>
      </c>
      <c r="K34" s="122">
        <v>518.87</v>
      </c>
      <c r="L34" s="122">
        <v>-4.3390000000000004</v>
      </c>
      <c r="M34" s="122">
        <v>514.53099999999995</v>
      </c>
      <c r="N34" s="122">
        <v>155.70099999999999</v>
      </c>
      <c r="O34" s="122">
        <v>677.02200000000005</v>
      </c>
      <c r="P34" s="122">
        <v>159.96700000000001</v>
      </c>
      <c r="Q34" s="122">
        <v>0</v>
      </c>
      <c r="R34" s="122">
        <v>516.87599999999998</v>
      </c>
      <c r="S34" s="123">
        <v>457.07100000000003</v>
      </c>
      <c r="U34" s="125"/>
      <c r="V34" s="125"/>
    </row>
    <row r="35" spans="1:22" ht="15.75">
      <c r="A35" s="110"/>
      <c r="B35" s="121" t="s">
        <v>141</v>
      </c>
      <c r="C35" s="122">
        <v>330.75099999999998</v>
      </c>
      <c r="D35" s="122">
        <v>101.277</v>
      </c>
      <c r="E35" s="122">
        <v>90.849000000000004</v>
      </c>
      <c r="F35" s="122">
        <v>52.162999999999997</v>
      </c>
      <c r="G35" s="122">
        <v>22.437999999999999</v>
      </c>
      <c r="H35" s="122">
        <v>13.835000000000001</v>
      </c>
      <c r="I35" s="122">
        <v>2.3930000000000002</v>
      </c>
      <c r="J35" s="122">
        <v>0.309</v>
      </c>
      <c r="K35" s="122">
        <v>523.18600000000004</v>
      </c>
      <c r="L35" s="122">
        <v>-3.06</v>
      </c>
      <c r="M35" s="122">
        <v>520.12599999999998</v>
      </c>
      <c r="N35" s="122">
        <v>150.77600000000001</v>
      </c>
      <c r="O35" s="122">
        <v>678.83100000000002</v>
      </c>
      <c r="P35" s="122">
        <v>159.785</v>
      </c>
      <c r="Q35" s="122">
        <v>0</v>
      </c>
      <c r="R35" s="122">
        <v>518.91499999999996</v>
      </c>
      <c r="S35" s="123">
        <v>458.39400000000001</v>
      </c>
      <c r="U35" s="125"/>
      <c r="V35" s="125"/>
    </row>
    <row r="36" spans="1:22" ht="15.75">
      <c r="A36" s="110"/>
      <c r="B36" s="121" t="s">
        <v>142</v>
      </c>
      <c r="C36" s="122">
        <v>329.82900000000001</v>
      </c>
      <c r="D36" s="122">
        <v>100.928</v>
      </c>
      <c r="E36" s="122">
        <v>93.834999999999994</v>
      </c>
      <c r="F36" s="122">
        <v>55.62</v>
      </c>
      <c r="G36" s="122">
        <v>22.34</v>
      </c>
      <c r="H36" s="122">
        <v>13.519</v>
      </c>
      <c r="I36" s="122">
        <v>2.3340000000000001</v>
      </c>
      <c r="J36" s="122">
        <v>-3.03</v>
      </c>
      <c r="K36" s="122">
        <v>521.56200000000001</v>
      </c>
      <c r="L36" s="122">
        <v>14.36</v>
      </c>
      <c r="M36" s="122">
        <v>535.92200000000003</v>
      </c>
      <c r="N36" s="122">
        <v>155.10499999999999</v>
      </c>
      <c r="O36" s="122">
        <v>688.23199999999997</v>
      </c>
      <c r="P36" s="122">
        <v>166.21799999999999</v>
      </c>
      <c r="Q36" s="122">
        <v>0</v>
      </c>
      <c r="R36" s="122">
        <v>521.91999999999996</v>
      </c>
      <c r="S36" s="123">
        <v>460.488</v>
      </c>
      <c r="U36" s="125"/>
      <c r="V36" s="125"/>
    </row>
    <row r="37" spans="1:22" ht="18.75" customHeight="1">
      <c r="A37" s="110"/>
      <c r="B37" s="121" t="s">
        <v>143</v>
      </c>
      <c r="C37" s="122">
        <v>336.62700000000001</v>
      </c>
      <c r="D37" s="122">
        <v>101.15</v>
      </c>
      <c r="E37" s="122">
        <v>94.837999999999994</v>
      </c>
      <c r="F37" s="122">
        <v>56.947000000000003</v>
      </c>
      <c r="G37" s="122">
        <v>22.327000000000002</v>
      </c>
      <c r="H37" s="122">
        <v>13.169</v>
      </c>
      <c r="I37" s="122">
        <v>2.3820000000000001</v>
      </c>
      <c r="J37" s="122">
        <v>1.2350000000000001</v>
      </c>
      <c r="K37" s="122">
        <v>533.85</v>
      </c>
      <c r="L37" s="122">
        <v>0.52500000000000002</v>
      </c>
      <c r="M37" s="122">
        <v>534.375</v>
      </c>
      <c r="N37" s="122">
        <v>154.52500000000001</v>
      </c>
      <c r="O37" s="122">
        <v>689.48299999999995</v>
      </c>
      <c r="P37" s="122">
        <v>165.54499999999999</v>
      </c>
      <c r="Q37" s="122">
        <v>0</v>
      </c>
      <c r="R37" s="122">
        <v>523.81299999999999</v>
      </c>
      <c r="S37" s="123">
        <v>462.51799999999997</v>
      </c>
      <c r="U37" s="125"/>
      <c r="V37" s="125"/>
    </row>
    <row r="38" spans="1:22" ht="15.75">
      <c r="A38" s="110"/>
      <c r="B38" s="121" t="s">
        <v>144</v>
      </c>
      <c r="C38" s="122">
        <v>339.39600000000002</v>
      </c>
      <c r="D38" s="122">
        <v>101.277</v>
      </c>
      <c r="E38" s="122">
        <v>95.631</v>
      </c>
      <c r="F38" s="122">
        <v>56.795999999999999</v>
      </c>
      <c r="G38" s="122">
        <v>22.762</v>
      </c>
      <c r="H38" s="122">
        <v>13.584</v>
      </c>
      <c r="I38" s="122">
        <v>2.4889999999999999</v>
      </c>
      <c r="J38" s="122">
        <v>-0.86599999999999999</v>
      </c>
      <c r="K38" s="122">
        <v>535.43799999999999</v>
      </c>
      <c r="L38" s="122">
        <v>-0.19500000000000001</v>
      </c>
      <c r="M38" s="122">
        <v>535.24300000000005</v>
      </c>
      <c r="N38" s="122">
        <v>159.18299999999999</v>
      </c>
      <c r="O38" s="122">
        <v>694.327</v>
      </c>
      <c r="P38" s="122">
        <v>167.52199999999999</v>
      </c>
      <c r="Q38" s="122">
        <v>0</v>
      </c>
      <c r="R38" s="122">
        <v>526.75</v>
      </c>
      <c r="S38" s="123">
        <v>465.48399999999998</v>
      </c>
      <c r="U38" s="125"/>
      <c r="V38" s="125"/>
    </row>
    <row r="39" spans="1:22" ht="15.75">
      <c r="A39" s="110"/>
      <c r="B39" s="121" t="s">
        <v>145</v>
      </c>
      <c r="C39" s="122">
        <v>342.22</v>
      </c>
      <c r="D39" s="122">
        <v>101.465</v>
      </c>
      <c r="E39" s="122">
        <v>98.328999999999994</v>
      </c>
      <c r="F39" s="122">
        <v>58.177</v>
      </c>
      <c r="G39" s="122">
        <v>23.783000000000001</v>
      </c>
      <c r="H39" s="122">
        <v>13.94</v>
      </c>
      <c r="I39" s="122">
        <v>2.4239999999999999</v>
      </c>
      <c r="J39" s="122">
        <v>3.1539999999999999</v>
      </c>
      <c r="K39" s="122">
        <v>545.16800000000001</v>
      </c>
      <c r="L39" s="122">
        <v>1.923</v>
      </c>
      <c r="M39" s="122">
        <v>547.09100000000001</v>
      </c>
      <c r="N39" s="122">
        <v>154.845</v>
      </c>
      <c r="O39" s="122">
        <v>701.69899999999996</v>
      </c>
      <c r="P39" s="122">
        <v>173.18899999999999</v>
      </c>
      <c r="Q39" s="122">
        <v>0</v>
      </c>
      <c r="R39" s="122">
        <v>528.71199999999999</v>
      </c>
      <c r="S39" s="123">
        <v>467.61200000000002</v>
      </c>
      <c r="U39" s="125"/>
      <c r="V39" s="125"/>
    </row>
    <row r="40" spans="1:22" ht="15.75">
      <c r="A40" s="110"/>
      <c r="B40" s="121" t="s">
        <v>146</v>
      </c>
      <c r="C40" s="122">
        <v>342.26100000000002</v>
      </c>
      <c r="D40" s="122">
        <v>101.092</v>
      </c>
      <c r="E40" s="122">
        <v>97.427000000000007</v>
      </c>
      <c r="F40" s="122">
        <v>56.045000000000002</v>
      </c>
      <c r="G40" s="122">
        <v>25.056000000000001</v>
      </c>
      <c r="H40" s="122">
        <v>13.885999999999999</v>
      </c>
      <c r="I40" s="122">
        <v>2.4470000000000001</v>
      </c>
      <c r="J40" s="122">
        <v>-1.9239999999999999</v>
      </c>
      <c r="K40" s="122">
        <v>538.85599999999999</v>
      </c>
      <c r="L40" s="122">
        <v>2.7829999999999999</v>
      </c>
      <c r="M40" s="122">
        <v>541.63900000000001</v>
      </c>
      <c r="N40" s="122">
        <v>160.97399999999999</v>
      </c>
      <c r="O40" s="122">
        <v>701.26199999999994</v>
      </c>
      <c r="P40" s="122">
        <v>169.13200000000001</v>
      </c>
      <c r="Q40" s="122">
        <v>0</v>
      </c>
      <c r="R40" s="122">
        <v>532.08199999999999</v>
      </c>
      <c r="S40" s="123">
        <v>471.39400000000001</v>
      </c>
      <c r="U40" s="125"/>
      <c r="V40" s="125"/>
    </row>
    <row r="41" spans="1:22" ht="18.75" customHeight="1">
      <c r="A41" s="110"/>
      <c r="B41" s="121" t="s">
        <v>147</v>
      </c>
      <c r="C41" s="122">
        <v>344.69799999999998</v>
      </c>
      <c r="D41" s="122">
        <v>101.33499999999999</v>
      </c>
      <c r="E41" s="122">
        <v>99.076999999999998</v>
      </c>
      <c r="F41" s="122">
        <v>57.344999999999999</v>
      </c>
      <c r="G41" s="122">
        <v>25.297000000000001</v>
      </c>
      <c r="H41" s="122">
        <v>13.962999999999999</v>
      </c>
      <c r="I41" s="122">
        <v>2.4740000000000002</v>
      </c>
      <c r="J41" s="122">
        <v>-0.49299999999999999</v>
      </c>
      <c r="K41" s="122">
        <v>544.61699999999996</v>
      </c>
      <c r="L41" s="122">
        <v>5.1070000000000002</v>
      </c>
      <c r="M41" s="122">
        <v>549.72400000000005</v>
      </c>
      <c r="N41" s="122">
        <v>163.631</v>
      </c>
      <c r="O41" s="122">
        <v>707.72799999999995</v>
      </c>
      <c r="P41" s="122">
        <v>171.12899999999999</v>
      </c>
      <c r="Q41" s="122">
        <v>0</v>
      </c>
      <c r="R41" s="122">
        <v>536.56600000000003</v>
      </c>
      <c r="S41" s="123">
        <v>475.48</v>
      </c>
      <c r="U41" s="126">
        <f>D41*1000</f>
        <v>101335</v>
      </c>
      <c r="V41" s="126">
        <f>H41*1000</f>
        <v>13963</v>
      </c>
    </row>
    <row r="42" spans="1:22" ht="15.75">
      <c r="A42" s="110"/>
      <c r="B42" s="121" t="s">
        <v>148</v>
      </c>
      <c r="C42" s="122">
        <v>344.75799999999998</v>
      </c>
      <c r="D42" s="122">
        <v>101.85899999999999</v>
      </c>
      <c r="E42" s="122">
        <v>100.304</v>
      </c>
      <c r="F42" s="122">
        <v>57.03</v>
      </c>
      <c r="G42" s="122">
        <v>24.943999999999999</v>
      </c>
      <c r="H42" s="122">
        <v>15.742000000000001</v>
      </c>
      <c r="I42" s="122">
        <v>2.5759999999999996</v>
      </c>
      <c r="J42" s="122">
        <v>0.20300000000000001</v>
      </c>
      <c r="K42" s="122">
        <v>547.12400000000002</v>
      </c>
      <c r="L42" s="122">
        <v>6.2</v>
      </c>
      <c r="M42" s="122">
        <v>553.32399999999996</v>
      </c>
      <c r="N42" s="122">
        <v>168.01599999999999</v>
      </c>
      <c r="O42" s="122">
        <v>715.65800000000002</v>
      </c>
      <c r="P42" s="122">
        <v>175.70699999999999</v>
      </c>
      <c r="Q42" s="122">
        <v>0</v>
      </c>
      <c r="R42" s="122">
        <v>540.02</v>
      </c>
      <c r="S42" s="123">
        <v>478.45</v>
      </c>
      <c r="U42" s="126">
        <f t="shared" ref="U42:U89" si="0">D42*1000</f>
        <v>101859</v>
      </c>
      <c r="V42" s="126">
        <f t="shared" ref="V42:V89" si="1">H42*1000</f>
        <v>15742</v>
      </c>
    </row>
    <row r="43" spans="1:22" ht="15.75">
      <c r="A43" s="110"/>
      <c r="B43" s="121" t="s">
        <v>149</v>
      </c>
      <c r="C43" s="122">
        <v>347.00599999999997</v>
      </c>
      <c r="D43" s="122">
        <v>102.258</v>
      </c>
      <c r="E43" s="122">
        <v>99.418999999999997</v>
      </c>
      <c r="F43" s="122">
        <v>56.048000000000002</v>
      </c>
      <c r="G43" s="122">
        <v>25.459</v>
      </c>
      <c r="H43" s="122">
        <v>15.337</v>
      </c>
      <c r="I43" s="122">
        <v>2.5619999999999998</v>
      </c>
      <c r="J43" s="122">
        <v>1.7000000000000001E-2</v>
      </c>
      <c r="K43" s="122">
        <v>548.70000000000005</v>
      </c>
      <c r="L43" s="122">
        <v>1.73</v>
      </c>
      <c r="M43" s="122">
        <v>550.42999999999995</v>
      </c>
      <c r="N43" s="122">
        <v>172.089</v>
      </c>
      <c r="O43" s="122">
        <v>719.947</v>
      </c>
      <c r="P43" s="122">
        <v>176.56700000000001</v>
      </c>
      <c r="Q43" s="122">
        <v>0</v>
      </c>
      <c r="R43" s="122">
        <v>543.452</v>
      </c>
      <c r="S43" s="123">
        <v>481.04399999999998</v>
      </c>
      <c r="U43" s="126">
        <f t="shared" si="0"/>
        <v>102258</v>
      </c>
      <c r="V43" s="126">
        <f t="shared" si="1"/>
        <v>15337</v>
      </c>
    </row>
    <row r="44" spans="1:22" ht="15.75">
      <c r="A44" s="110"/>
      <c r="B44" s="121" t="s">
        <v>150</v>
      </c>
      <c r="C44" s="122">
        <v>348.916</v>
      </c>
      <c r="D44" s="122">
        <v>102.18</v>
      </c>
      <c r="E44" s="122">
        <v>100.952</v>
      </c>
      <c r="F44" s="122">
        <v>57.021999999999998</v>
      </c>
      <c r="G44" s="122">
        <v>26.452999999999999</v>
      </c>
      <c r="H44" s="122">
        <v>15.47</v>
      </c>
      <c r="I44" s="122">
        <v>2</v>
      </c>
      <c r="J44" s="122">
        <v>0.879</v>
      </c>
      <c r="K44" s="122">
        <v>552.92700000000002</v>
      </c>
      <c r="L44" s="122">
        <v>0.27</v>
      </c>
      <c r="M44" s="122">
        <v>553.197</v>
      </c>
      <c r="N44" s="122">
        <v>168.38200000000001</v>
      </c>
      <c r="O44" s="122">
        <v>720.77200000000005</v>
      </c>
      <c r="P44" s="122">
        <v>173.358</v>
      </c>
      <c r="Q44" s="122">
        <v>0</v>
      </c>
      <c r="R44" s="122">
        <v>547.37699999999995</v>
      </c>
      <c r="S44" s="123">
        <v>484.08</v>
      </c>
      <c r="U44" s="126">
        <f t="shared" si="0"/>
        <v>102180</v>
      </c>
      <c r="V44" s="126">
        <f t="shared" si="1"/>
        <v>15470</v>
      </c>
    </row>
    <row r="45" spans="1:22" ht="18.75" customHeight="1">
      <c r="A45" s="110"/>
      <c r="B45" s="121" t="s">
        <v>151</v>
      </c>
      <c r="C45" s="122">
        <v>351.12</v>
      </c>
      <c r="D45" s="122">
        <v>101.88500000000001</v>
      </c>
      <c r="E45" s="122">
        <v>100.378</v>
      </c>
      <c r="F45" s="122">
        <v>56.689</v>
      </c>
      <c r="G45" s="122">
        <v>26.63</v>
      </c>
      <c r="H45" s="122">
        <v>15.693</v>
      </c>
      <c r="I45" s="122">
        <v>1.389</v>
      </c>
      <c r="J45" s="122">
        <v>0.497</v>
      </c>
      <c r="K45" s="122">
        <v>553.88</v>
      </c>
      <c r="L45" s="122">
        <v>-0.76100000000000001</v>
      </c>
      <c r="M45" s="122">
        <v>553.11900000000003</v>
      </c>
      <c r="N45" s="122">
        <v>171.69800000000001</v>
      </c>
      <c r="O45" s="122">
        <v>724.27099999999996</v>
      </c>
      <c r="P45" s="122">
        <v>176.57900000000001</v>
      </c>
      <c r="Q45" s="122">
        <v>0</v>
      </c>
      <c r="R45" s="122">
        <v>547.68799999999999</v>
      </c>
      <c r="S45" s="123">
        <v>484.21100000000001</v>
      </c>
      <c r="U45" s="126">
        <f t="shared" si="0"/>
        <v>101885</v>
      </c>
      <c r="V45" s="126">
        <f t="shared" si="1"/>
        <v>15693</v>
      </c>
    </row>
    <row r="46" spans="1:22" ht="15.75">
      <c r="A46" s="110"/>
      <c r="B46" s="121" t="s">
        <v>152</v>
      </c>
      <c r="C46" s="122">
        <v>350.70600000000002</v>
      </c>
      <c r="D46" s="122">
        <v>101.964</v>
      </c>
      <c r="E46" s="122">
        <v>99.210999999999999</v>
      </c>
      <c r="F46" s="122">
        <v>55.518999999999998</v>
      </c>
      <c r="G46" s="122">
        <v>27.800999999999998</v>
      </c>
      <c r="H46" s="122">
        <v>14.55</v>
      </c>
      <c r="I46" s="122">
        <v>1.369</v>
      </c>
      <c r="J46" s="122">
        <v>1.2230000000000001</v>
      </c>
      <c r="K46" s="122">
        <v>553.10400000000004</v>
      </c>
      <c r="L46" s="122">
        <v>3.242</v>
      </c>
      <c r="M46" s="122">
        <v>556.346</v>
      </c>
      <c r="N46" s="122">
        <v>172.68799999999999</v>
      </c>
      <c r="O46" s="122">
        <v>726.36300000000006</v>
      </c>
      <c r="P46" s="122">
        <v>177.77600000000001</v>
      </c>
      <c r="Q46" s="122">
        <v>0</v>
      </c>
      <c r="R46" s="122">
        <v>548.6</v>
      </c>
      <c r="S46" s="123">
        <v>484.94299999999998</v>
      </c>
      <c r="U46" s="126">
        <f t="shared" si="0"/>
        <v>101964</v>
      </c>
      <c r="V46" s="126">
        <f t="shared" si="1"/>
        <v>14550</v>
      </c>
    </row>
    <row r="47" spans="1:22" ht="15.75">
      <c r="A47" s="110"/>
      <c r="B47" s="121" t="s">
        <v>153</v>
      </c>
      <c r="C47" s="122">
        <v>353.46800000000002</v>
      </c>
      <c r="D47" s="122">
        <v>102.53700000000001</v>
      </c>
      <c r="E47" s="122">
        <v>99.191000000000003</v>
      </c>
      <c r="F47" s="122">
        <v>55.578000000000003</v>
      </c>
      <c r="G47" s="122">
        <v>27.062999999999999</v>
      </c>
      <c r="H47" s="122">
        <v>15.198</v>
      </c>
      <c r="I47" s="122">
        <v>1.351</v>
      </c>
      <c r="J47" s="122">
        <v>1.0900000000000001</v>
      </c>
      <c r="K47" s="122">
        <v>556.28599999999994</v>
      </c>
      <c r="L47" s="122">
        <v>-2.4649999999999999</v>
      </c>
      <c r="M47" s="122">
        <v>553.82100000000003</v>
      </c>
      <c r="N47" s="122">
        <v>174.98099999999999</v>
      </c>
      <c r="O47" s="122">
        <v>729.07500000000005</v>
      </c>
      <c r="P47" s="122">
        <v>178.67400000000001</v>
      </c>
      <c r="Q47" s="122">
        <v>0</v>
      </c>
      <c r="R47" s="122">
        <v>550.42499999999995</v>
      </c>
      <c r="S47" s="123">
        <v>486.83300000000003</v>
      </c>
      <c r="U47" s="126">
        <f t="shared" si="0"/>
        <v>102537</v>
      </c>
      <c r="V47" s="126">
        <f t="shared" si="1"/>
        <v>15198</v>
      </c>
    </row>
    <row r="48" spans="1:22" ht="15.75">
      <c r="A48" s="110"/>
      <c r="B48" s="121" t="s">
        <v>154</v>
      </c>
      <c r="C48" s="122">
        <v>357.30599999999998</v>
      </c>
      <c r="D48" s="122">
        <v>103.785</v>
      </c>
      <c r="E48" s="122">
        <v>99.058000000000007</v>
      </c>
      <c r="F48" s="122">
        <v>55.984000000000002</v>
      </c>
      <c r="G48" s="122">
        <v>26.765999999999998</v>
      </c>
      <c r="H48" s="122">
        <v>15.07</v>
      </c>
      <c r="I48" s="122">
        <v>1.238</v>
      </c>
      <c r="J48" s="122">
        <v>0.32700000000000001</v>
      </c>
      <c r="K48" s="122">
        <v>560.476</v>
      </c>
      <c r="L48" s="122">
        <v>0.92500000000000004</v>
      </c>
      <c r="M48" s="122">
        <v>561.40099999999995</v>
      </c>
      <c r="N48" s="122">
        <v>173.49299999999999</v>
      </c>
      <c r="O48" s="122">
        <v>736.43100000000004</v>
      </c>
      <c r="P48" s="122">
        <v>185.31800000000001</v>
      </c>
      <c r="Q48" s="122">
        <v>0</v>
      </c>
      <c r="R48" s="122">
        <v>551.12800000000004</v>
      </c>
      <c r="S48" s="123">
        <v>487.50599999999997</v>
      </c>
      <c r="U48" s="126">
        <f t="shared" si="0"/>
        <v>103785</v>
      </c>
      <c r="V48" s="126">
        <f t="shared" si="1"/>
        <v>15070</v>
      </c>
    </row>
    <row r="49" spans="1:22" ht="18.75" customHeight="1">
      <c r="A49" s="110"/>
      <c r="B49" s="121" t="s">
        <v>155</v>
      </c>
      <c r="C49" s="122">
        <v>356.97500000000002</v>
      </c>
      <c r="D49" s="122">
        <v>105.264</v>
      </c>
      <c r="E49" s="122">
        <v>102.105</v>
      </c>
      <c r="F49" s="122">
        <v>56.579000000000001</v>
      </c>
      <c r="G49" s="122">
        <v>27.783999999999999</v>
      </c>
      <c r="H49" s="122">
        <v>16.349</v>
      </c>
      <c r="I49" s="122">
        <v>1.41246925</v>
      </c>
      <c r="J49" s="122">
        <v>12.051</v>
      </c>
      <c r="K49" s="122">
        <v>576.39499999999998</v>
      </c>
      <c r="L49" s="122">
        <v>6.7240000000000002</v>
      </c>
      <c r="M49" s="122">
        <v>583.11900000000003</v>
      </c>
      <c r="N49" s="122">
        <v>171.53399999999999</v>
      </c>
      <c r="O49" s="122">
        <v>753.59699999999998</v>
      </c>
      <c r="P49" s="122">
        <v>198.38900000000001</v>
      </c>
      <c r="Q49" s="122">
        <v>0</v>
      </c>
      <c r="R49" s="122">
        <v>555.14099999999996</v>
      </c>
      <c r="S49" s="123">
        <v>491.23700000000002</v>
      </c>
      <c r="U49" s="126">
        <f t="shared" si="0"/>
        <v>105264</v>
      </c>
      <c r="V49" s="126">
        <f t="shared" si="1"/>
        <v>16349</v>
      </c>
    </row>
    <row r="50" spans="1:22" ht="15.75" customHeight="1">
      <c r="A50" s="551"/>
      <c r="B50" s="121" t="s">
        <v>156</v>
      </c>
      <c r="C50" s="122">
        <v>357.952</v>
      </c>
      <c r="D50" s="122">
        <v>107.139</v>
      </c>
      <c r="E50" s="122">
        <v>101.27500000000001</v>
      </c>
      <c r="F50" s="122">
        <v>57.469000000000001</v>
      </c>
      <c r="G50" s="122">
        <v>27.184000000000001</v>
      </c>
      <c r="H50" s="122">
        <v>15.196</v>
      </c>
      <c r="I50" s="122">
        <v>1.41536178</v>
      </c>
      <c r="J50" s="122">
        <v>1.776</v>
      </c>
      <c r="K50" s="122">
        <v>568.14200000000005</v>
      </c>
      <c r="L50" s="122">
        <v>-3.714</v>
      </c>
      <c r="M50" s="122">
        <v>564.428</v>
      </c>
      <c r="N50" s="122">
        <v>169.39599999999999</v>
      </c>
      <c r="O50" s="122">
        <v>736.85599999999999</v>
      </c>
      <c r="P50" s="122">
        <v>179.95400000000001</v>
      </c>
      <c r="Q50" s="122">
        <v>0</v>
      </c>
      <c r="R50" s="122">
        <v>556.93200000000002</v>
      </c>
      <c r="S50" s="123">
        <v>492.94</v>
      </c>
      <c r="U50" s="126">
        <f t="shared" si="0"/>
        <v>107139</v>
      </c>
      <c r="V50" s="126">
        <f t="shared" si="1"/>
        <v>15196</v>
      </c>
    </row>
    <row r="51" spans="1:22">
      <c r="A51" s="551"/>
      <c r="B51" s="121" t="s">
        <v>157</v>
      </c>
      <c r="C51" s="122">
        <v>357.25</v>
      </c>
      <c r="D51" s="122">
        <v>106.851</v>
      </c>
      <c r="E51" s="122">
        <v>102.1</v>
      </c>
      <c r="F51" s="122">
        <v>57.24</v>
      </c>
      <c r="G51" s="122">
        <v>28.12</v>
      </c>
      <c r="H51" s="122">
        <v>15.266</v>
      </c>
      <c r="I51" s="122">
        <v>1.4490349699999998</v>
      </c>
      <c r="J51" s="122">
        <v>1.024</v>
      </c>
      <c r="K51" s="122">
        <v>567.22500000000002</v>
      </c>
      <c r="L51" s="122">
        <v>-1.014</v>
      </c>
      <c r="M51" s="122">
        <v>566.21100000000001</v>
      </c>
      <c r="N51" s="122">
        <v>179.40799999999999</v>
      </c>
      <c r="O51" s="122">
        <v>743.601</v>
      </c>
      <c r="P51" s="122">
        <v>182.62200000000001</v>
      </c>
      <c r="Q51" s="122">
        <v>0</v>
      </c>
      <c r="R51" s="122">
        <v>560.98699999999997</v>
      </c>
      <c r="S51" s="123">
        <v>496.98399999999998</v>
      </c>
      <c r="U51" s="126">
        <f t="shared" si="0"/>
        <v>106851</v>
      </c>
      <c r="V51" s="126">
        <f t="shared" si="1"/>
        <v>15266</v>
      </c>
    </row>
    <row r="52" spans="1:22">
      <c r="A52" s="551"/>
      <c r="B52" s="121" t="s">
        <v>158</v>
      </c>
      <c r="C52" s="122">
        <v>355.76299999999998</v>
      </c>
      <c r="D52" s="122">
        <v>107.33799999999999</v>
      </c>
      <c r="E52" s="122">
        <v>100.943</v>
      </c>
      <c r="F52" s="122">
        <v>57.292999999999999</v>
      </c>
      <c r="G52" s="122">
        <v>26.821000000000002</v>
      </c>
      <c r="H52" s="122">
        <v>15.329000000000001</v>
      </c>
      <c r="I52" s="122">
        <v>1.4667324900000001</v>
      </c>
      <c r="J52" s="122">
        <v>-11.971</v>
      </c>
      <c r="K52" s="122">
        <v>552.07299999999998</v>
      </c>
      <c r="L52" s="122">
        <v>-0.73399999999999999</v>
      </c>
      <c r="M52" s="122">
        <v>551.33900000000006</v>
      </c>
      <c r="N52" s="122">
        <v>186.358</v>
      </c>
      <c r="O52" s="122">
        <v>737.73900000000003</v>
      </c>
      <c r="P52" s="122">
        <v>176.90700000000001</v>
      </c>
      <c r="Q52" s="122">
        <v>0</v>
      </c>
      <c r="R52" s="122">
        <v>560.86099999999999</v>
      </c>
      <c r="S52" s="123">
        <v>497.03100000000001</v>
      </c>
      <c r="U52" s="126">
        <f t="shared" si="0"/>
        <v>107338</v>
      </c>
      <c r="V52" s="126">
        <f t="shared" si="1"/>
        <v>15329</v>
      </c>
    </row>
    <row r="53" spans="1:22">
      <c r="A53" s="551"/>
      <c r="B53" s="127" t="s">
        <v>159</v>
      </c>
      <c r="C53" s="122">
        <v>345.66899999999998</v>
      </c>
      <c r="D53" s="122">
        <v>103.574</v>
      </c>
      <c r="E53" s="122">
        <v>97.191000000000003</v>
      </c>
      <c r="F53" s="122">
        <v>55.991999999999997</v>
      </c>
      <c r="G53" s="122">
        <v>25.151</v>
      </c>
      <c r="H53" s="122">
        <v>14.769</v>
      </c>
      <c r="I53" s="122">
        <v>1.2775995299999998</v>
      </c>
      <c r="J53" s="122">
        <v>0.626</v>
      </c>
      <c r="K53" s="122">
        <v>547.05999999999995</v>
      </c>
      <c r="L53" s="122">
        <v>-2.0499999999999998</v>
      </c>
      <c r="M53" s="122">
        <v>545.01</v>
      </c>
      <c r="N53" s="122">
        <v>170.31700000000001</v>
      </c>
      <c r="O53" s="122">
        <v>715.327</v>
      </c>
      <c r="P53" s="122">
        <v>169.73</v>
      </c>
      <c r="Q53" s="122">
        <v>0</v>
      </c>
      <c r="R53" s="122">
        <v>545.59699999999998</v>
      </c>
      <c r="S53" s="123">
        <v>484.49200000000002</v>
      </c>
      <c r="U53" s="126">
        <f t="shared" si="0"/>
        <v>103574</v>
      </c>
      <c r="V53" s="126">
        <f t="shared" si="1"/>
        <v>14769</v>
      </c>
    </row>
    <row r="54" spans="1:22">
      <c r="A54" s="551"/>
      <c r="B54" s="127" t="s">
        <v>160</v>
      </c>
      <c r="C54" s="122">
        <v>264.64699999999999</v>
      </c>
      <c r="D54" s="122">
        <v>84.623999999999995</v>
      </c>
      <c r="E54" s="122">
        <v>78.563000000000002</v>
      </c>
      <c r="F54" s="122">
        <v>45.262</v>
      </c>
      <c r="G54" s="122">
        <v>15.904</v>
      </c>
      <c r="H54" s="122">
        <v>16.302</v>
      </c>
      <c r="I54" s="122">
        <v>0.80659440300000007</v>
      </c>
      <c r="J54" s="122">
        <v>-8.7249999999999996</v>
      </c>
      <c r="K54" s="122">
        <v>419.10899999999998</v>
      </c>
      <c r="L54" s="122">
        <v>-5.7469999999999999</v>
      </c>
      <c r="M54" s="122">
        <v>413.36200000000002</v>
      </c>
      <c r="N54" s="122">
        <v>148.83099999999999</v>
      </c>
      <c r="O54" s="122">
        <v>562.19299999999998</v>
      </c>
      <c r="P54" s="122">
        <v>127.47499999999999</v>
      </c>
      <c r="Q54" s="122">
        <v>0</v>
      </c>
      <c r="R54" s="122">
        <v>434.71800000000002</v>
      </c>
      <c r="S54" s="123">
        <v>384.94600000000003</v>
      </c>
      <c r="U54" s="126">
        <f t="shared" si="0"/>
        <v>84624</v>
      </c>
      <c r="V54" s="126">
        <f t="shared" si="1"/>
        <v>16302</v>
      </c>
    </row>
    <row r="55" spans="1:22" ht="15.75">
      <c r="A55" s="128"/>
      <c r="B55" s="127" t="s">
        <v>161</v>
      </c>
      <c r="C55" s="122">
        <v>316.84500000000003</v>
      </c>
      <c r="D55" s="122">
        <v>99.933999999999997</v>
      </c>
      <c r="E55" s="122">
        <v>90.756</v>
      </c>
      <c r="F55" s="122">
        <v>50.14</v>
      </c>
      <c r="G55" s="122">
        <v>23.2</v>
      </c>
      <c r="H55" s="122">
        <v>16.282</v>
      </c>
      <c r="I55" s="122">
        <v>1.2106952100000001</v>
      </c>
      <c r="J55" s="122">
        <v>1.208</v>
      </c>
      <c r="K55" s="122">
        <v>508.74299999999999</v>
      </c>
      <c r="L55" s="122">
        <v>0.36799999999999999</v>
      </c>
      <c r="M55" s="122">
        <v>509.11099999999999</v>
      </c>
      <c r="N55" s="122">
        <v>148.90100000000001</v>
      </c>
      <c r="O55" s="122">
        <v>658.01199999999994</v>
      </c>
      <c r="P55" s="122">
        <v>150.369</v>
      </c>
      <c r="Q55" s="122">
        <v>0</v>
      </c>
      <c r="R55" s="122">
        <v>507.64299999999997</v>
      </c>
      <c r="S55" s="123">
        <v>451.28899999999999</v>
      </c>
      <c r="U55" s="126">
        <f t="shared" si="0"/>
        <v>99934</v>
      </c>
      <c r="V55" s="126">
        <f t="shared" si="1"/>
        <v>16282</v>
      </c>
    </row>
    <row r="56" spans="1:22" ht="15.75">
      <c r="A56" s="128"/>
      <c r="B56" s="127" t="s">
        <v>162</v>
      </c>
      <c r="C56" s="122">
        <v>311.779</v>
      </c>
      <c r="D56" s="122">
        <v>104.83499999999999</v>
      </c>
      <c r="E56" s="122">
        <v>96.147000000000006</v>
      </c>
      <c r="F56" s="122">
        <v>52.905999999999999</v>
      </c>
      <c r="G56" s="122">
        <v>24.960999999999999</v>
      </c>
      <c r="H56" s="122">
        <v>17.055</v>
      </c>
      <c r="I56" s="122">
        <v>1.27414614</v>
      </c>
      <c r="J56" s="122">
        <v>6.4459999999999997</v>
      </c>
      <c r="K56" s="122">
        <v>519.20699999999999</v>
      </c>
      <c r="L56" s="122">
        <v>9.952</v>
      </c>
      <c r="M56" s="122">
        <v>529.15899999999999</v>
      </c>
      <c r="N56" s="122">
        <v>157.59100000000001</v>
      </c>
      <c r="O56" s="122">
        <v>686.75</v>
      </c>
      <c r="P56" s="122">
        <v>172.21899999999999</v>
      </c>
      <c r="Q56" s="122">
        <v>0</v>
      </c>
      <c r="R56" s="122">
        <v>514.53099999999995</v>
      </c>
      <c r="S56" s="123">
        <v>458.54700000000003</v>
      </c>
      <c r="U56" s="126">
        <f t="shared" si="0"/>
        <v>104835</v>
      </c>
      <c r="V56" s="126">
        <f t="shared" si="1"/>
        <v>17055</v>
      </c>
    </row>
    <row r="57" spans="1:22" ht="15.75">
      <c r="A57" s="128"/>
      <c r="B57" s="127" t="s">
        <v>163</v>
      </c>
      <c r="C57" s="122">
        <v>300.98</v>
      </c>
      <c r="D57" s="122">
        <v>105.864</v>
      </c>
      <c r="E57" s="122">
        <v>93.777000000000001</v>
      </c>
      <c r="F57" s="122">
        <v>48.113</v>
      </c>
      <c r="G57" s="122">
        <v>25.125</v>
      </c>
      <c r="H57" s="122">
        <v>19.283000000000001</v>
      </c>
      <c r="I57" s="122">
        <v>1.3006366000000003</v>
      </c>
      <c r="J57" s="122">
        <v>6.9790000000000001</v>
      </c>
      <c r="K57" s="122">
        <v>507.6</v>
      </c>
      <c r="L57" s="122">
        <v>2.6190000000000002</v>
      </c>
      <c r="M57" s="122">
        <v>510.21899999999999</v>
      </c>
      <c r="N57" s="122">
        <v>154.70699999999999</v>
      </c>
      <c r="O57" s="122">
        <v>664.92600000000004</v>
      </c>
      <c r="P57" s="122">
        <v>155.66499999999999</v>
      </c>
      <c r="Q57" s="122">
        <v>0</v>
      </c>
      <c r="R57" s="122">
        <v>509.26100000000002</v>
      </c>
      <c r="S57" s="123">
        <v>453.61099999999999</v>
      </c>
      <c r="U57" s="126">
        <f t="shared" si="0"/>
        <v>105864</v>
      </c>
      <c r="V57" s="126">
        <f t="shared" si="1"/>
        <v>19283</v>
      </c>
    </row>
    <row r="58" spans="1:22" ht="15.75">
      <c r="A58" s="110"/>
      <c r="B58" s="127" t="s">
        <v>164</v>
      </c>
      <c r="C58" s="122">
        <v>336.45100000000002</v>
      </c>
      <c r="D58" s="122">
        <v>114.096</v>
      </c>
      <c r="E58" s="122">
        <v>98.872</v>
      </c>
      <c r="F58" s="122">
        <v>53.704999999999998</v>
      </c>
      <c r="G58" s="122">
        <v>26.835999999999999</v>
      </c>
      <c r="H58" s="122">
        <v>16.890999999999998</v>
      </c>
      <c r="I58" s="122">
        <v>1.5307151300000001</v>
      </c>
      <c r="J58" s="122">
        <v>-0.54500000000000004</v>
      </c>
      <c r="K58" s="122">
        <v>548.87400000000002</v>
      </c>
      <c r="L58" s="122">
        <v>-7.4569999999999999</v>
      </c>
      <c r="M58" s="122">
        <v>541.41700000000003</v>
      </c>
      <c r="N58" s="122">
        <v>166.78700000000001</v>
      </c>
      <c r="O58" s="122">
        <v>708.20399999999995</v>
      </c>
      <c r="P58" s="122">
        <v>161.625</v>
      </c>
      <c r="Q58" s="122">
        <v>0</v>
      </c>
      <c r="R58" s="122">
        <v>546.57899999999995</v>
      </c>
      <c r="S58" s="123">
        <v>486.94799999999998</v>
      </c>
      <c r="U58" s="126">
        <f t="shared" si="0"/>
        <v>114096</v>
      </c>
      <c r="V58" s="126">
        <f t="shared" si="1"/>
        <v>16891</v>
      </c>
    </row>
    <row r="59" spans="1:22" ht="15.75">
      <c r="A59" s="110"/>
      <c r="B59" s="127" t="s">
        <v>165</v>
      </c>
      <c r="C59" s="122">
        <v>346.34300000000002</v>
      </c>
      <c r="D59" s="122">
        <v>115.146</v>
      </c>
      <c r="E59" s="122">
        <v>98.233000000000004</v>
      </c>
      <c r="F59" s="122">
        <v>53.034999999999997</v>
      </c>
      <c r="G59" s="122">
        <v>26.42</v>
      </c>
      <c r="H59" s="122">
        <v>17.338000000000001</v>
      </c>
      <c r="I59" s="122">
        <v>1.5039418099999999</v>
      </c>
      <c r="J59" s="122">
        <v>3.1179999999999999</v>
      </c>
      <c r="K59" s="122">
        <v>562.84</v>
      </c>
      <c r="L59" s="122">
        <v>2.1080000000000001</v>
      </c>
      <c r="M59" s="122">
        <v>564.94799999999998</v>
      </c>
      <c r="N59" s="122">
        <v>159.49700000000001</v>
      </c>
      <c r="O59" s="122">
        <v>724.44500000000005</v>
      </c>
      <c r="P59" s="122">
        <v>168.489</v>
      </c>
      <c r="Q59" s="122">
        <v>0</v>
      </c>
      <c r="R59" s="122">
        <v>555.95600000000002</v>
      </c>
      <c r="S59" s="123">
        <v>493.95699999999999</v>
      </c>
      <c r="U59" s="126">
        <f t="shared" si="0"/>
        <v>115146</v>
      </c>
      <c r="V59" s="126">
        <f t="shared" si="1"/>
        <v>17338</v>
      </c>
    </row>
    <row r="60" spans="1:22" ht="15.75">
      <c r="A60" s="110"/>
      <c r="B60" s="127" t="s">
        <v>166</v>
      </c>
      <c r="C60" s="122">
        <v>347.33100000000002</v>
      </c>
      <c r="D60" s="122">
        <v>116.404</v>
      </c>
      <c r="E60" s="122">
        <v>98.77</v>
      </c>
      <c r="F60" s="122">
        <v>53.441000000000003</v>
      </c>
      <c r="G60" s="122">
        <v>26.524999999999999</v>
      </c>
      <c r="H60" s="122">
        <v>17.338999999999999</v>
      </c>
      <c r="I60" s="122">
        <v>1.5097378699999999</v>
      </c>
      <c r="J60" s="122">
        <v>-2.593</v>
      </c>
      <c r="K60" s="122">
        <v>559.91200000000003</v>
      </c>
      <c r="L60" s="122">
        <v>1.016</v>
      </c>
      <c r="M60" s="122">
        <v>560.928</v>
      </c>
      <c r="N60" s="122">
        <v>175.56299999999999</v>
      </c>
      <c r="O60" s="122">
        <v>736.49099999999999</v>
      </c>
      <c r="P60" s="122">
        <v>172.084</v>
      </c>
      <c r="Q60" s="122">
        <v>0</v>
      </c>
      <c r="R60" s="122">
        <v>564.40700000000004</v>
      </c>
      <c r="S60" s="123">
        <v>500.928</v>
      </c>
      <c r="U60" s="126">
        <f t="shared" si="0"/>
        <v>116404</v>
      </c>
      <c r="V60" s="126">
        <f t="shared" si="1"/>
        <v>17339</v>
      </c>
    </row>
    <row r="61" spans="1:22" ht="15.75">
      <c r="A61" s="110"/>
      <c r="B61" s="127" t="s">
        <v>167</v>
      </c>
      <c r="C61" s="122">
        <v>350.392</v>
      </c>
      <c r="D61" s="122">
        <v>117.297</v>
      </c>
      <c r="E61" s="122">
        <v>104.443</v>
      </c>
      <c r="F61" s="122">
        <v>55.875</v>
      </c>
      <c r="G61" s="122">
        <v>27.957000000000001</v>
      </c>
      <c r="H61" s="122">
        <v>19.099</v>
      </c>
      <c r="I61" s="122">
        <v>1.5736617100000001</v>
      </c>
      <c r="J61" s="122">
        <v>5.7619999999999996</v>
      </c>
      <c r="K61" s="122">
        <v>577.89400000000001</v>
      </c>
      <c r="L61" s="122">
        <v>9.1769999999999996</v>
      </c>
      <c r="M61" s="122">
        <v>587.07100000000003</v>
      </c>
      <c r="N61" s="122">
        <v>161.89400000000001</v>
      </c>
      <c r="O61" s="122">
        <v>748.96500000000003</v>
      </c>
      <c r="P61" s="122">
        <v>188.09399999999999</v>
      </c>
      <c r="Q61" s="122">
        <v>6.5010000000000003</v>
      </c>
      <c r="R61" s="122">
        <v>567.37199999999996</v>
      </c>
      <c r="S61" s="123">
        <v>503.339</v>
      </c>
      <c r="U61" s="126">
        <f t="shared" si="0"/>
        <v>117297</v>
      </c>
      <c r="V61" s="126">
        <f t="shared" si="1"/>
        <v>19099</v>
      </c>
    </row>
    <row r="62" spans="1:22" ht="15.75">
      <c r="A62" s="110"/>
      <c r="B62" s="127" t="s">
        <v>168</v>
      </c>
      <c r="C62" s="122">
        <v>351.83300000000003</v>
      </c>
      <c r="D62" s="122">
        <v>114.908</v>
      </c>
      <c r="E62" s="122">
        <v>104.512</v>
      </c>
      <c r="F62" s="122">
        <v>56.96</v>
      </c>
      <c r="G62" s="122">
        <v>29.138999999999999</v>
      </c>
      <c r="H62" s="122">
        <v>16.841000000000001</v>
      </c>
      <c r="I62" s="122">
        <v>1.6022412099999999</v>
      </c>
      <c r="J62" s="122">
        <v>1.8480000000000001</v>
      </c>
      <c r="K62" s="122">
        <v>573.101</v>
      </c>
      <c r="L62" s="122">
        <v>8.1549999999999994</v>
      </c>
      <c r="M62" s="122">
        <v>581.25599999999997</v>
      </c>
      <c r="N62" s="122">
        <v>170.89699999999999</v>
      </c>
      <c r="O62" s="122">
        <v>752.15300000000002</v>
      </c>
      <c r="P62" s="122">
        <v>191.59899999999999</v>
      </c>
      <c r="Q62" s="122">
        <v>7.3239999999999998</v>
      </c>
      <c r="R62" s="122">
        <v>567.87800000000004</v>
      </c>
      <c r="S62" s="123">
        <v>503.642</v>
      </c>
      <c r="U62" s="126">
        <f t="shared" si="0"/>
        <v>114908</v>
      </c>
      <c r="V62" s="126">
        <f t="shared" si="1"/>
        <v>16841</v>
      </c>
    </row>
    <row r="63" spans="1:22" ht="15.75">
      <c r="A63" s="110"/>
      <c r="B63" s="127" t="s">
        <v>169</v>
      </c>
      <c r="C63" s="122">
        <v>348.89100000000002</v>
      </c>
      <c r="D63" s="122">
        <v>115.748</v>
      </c>
      <c r="E63" s="122">
        <v>105.80800000000001</v>
      </c>
      <c r="F63" s="122">
        <v>57.966000000000001</v>
      </c>
      <c r="G63" s="122">
        <v>29.27</v>
      </c>
      <c r="H63" s="122">
        <v>16.992999999999999</v>
      </c>
      <c r="I63" s="122">
        <v>1.6098252399999999</v>
      </c>
      <c r="J63" s="122">
        <v>-11.384</v>
      </c>
      <c r="K63" s="122">
        <v>559.06299999999999</v>
      </c>
      <c r="L63" s="122">
        <v>-2.9279999999999999</v>
      </c>
      <c r="M63" s="122">
        <v>556.13499999999999</v>
      </c>
      <c r="N63" s="122">
        <v>189.79900000000001</v>
      </c>
      <c r="O63" s="122">
        <v>745.93399999999997</v>
      </c>
      <c r="P63" s="122">
        <v>185.178</v>
      </c>
      <c r="Q63" s="122">
        <v>6.6360000000000001</v>
      </c>
      <c r="R63" s="122">
        <v>567.39200000000005</v>
      </c>
      <c r="S63" s="123">
        <v>503.363</v>
      </c>
      <c r="U63" s="126">
        <f t="shared" si="0"/>
        <v>115748</v>
      </c>
      <c r="V63" s="126">
        <f t="shared" si="1"/>
        <v>16993</v>
      </c>
    </row>
    <row r="64" spans="1:22" ht="15.75">
      <c r="A64" s="110"/>
      <c r="B64" s="127" t="s">
        <v>170</v>
      </c>
      <c r="C64" s="122">
        <v>348.589</v>
      </c>
      <c r="D64" s="122">
        <v>114.896</v>
      </c>
      <c r="E64" s="122">
        <v>105.83799999999999</v>
      </c>
      <c r="F64" s="122">
        <v>57.459000000000003</v>
      </c>
      <c r="G64" s="122">
        <v>28.448</v>
      </c>
      <c r="H64" s="122">
        <v>18.384</v>
      </c>
      <c r="I64" s="122">
        <v>1.5797704400000001</v>
      </c>
      <c r="J64" s="122">
        <v>-15.683999999999999</v>
      </c>
      <c r="K64" s="122">
        <v>553.63900000000001</v>
      </c>
      <c r="L64" s="122">
        <v>2.7810000000000001</v>
      </c>
      <c r="M64" s="122">
        <v>556.41999999999996</v>
      </c>
      <c r="N64" s="122">
        <v>190.15100000000001</v>
      </c>
      <c r="O64" s="122">
        <v>746.57100000000003</v>
      </c>
      <c r="P64" s="122">
        <v>186.054</v>
      </c>
      <c r="Q64" s="122">
        <v>7.6340000000000003</v>
      </c>
      <c r="R64" s="122">
        <v>568.15099999999995</v>
      </c>
      <c r="S64" s="123">
        <v>504.47</v>
      </c>
      <c r="U64" s="126">
        <f t="shared" si="0"/>
        <v>114896</v>
      </c>
      <c r="V64" s="126">
        <f t="shared" si="1"/>
        <v>18384</v>
      </c>
    </row>
    <row r="65" spans="1:22" ht="15.75">
      <c r="A65" s="110"/>
      <c r="B65" s="129" t="s">
        <v>171</v>
      </c>
      <c r="C65" s="122">
        <v>350.94600000000003</v>
      </c>
      <c r="D65" s="122">
        <v>113.54600000000001</v>
      </c>
      <c r="E65" s="122">
        <v>108.477</v>
      </c>
      <c r="F65" s="122">
        <v>59.774999999999999</v>
      </c>
      <c r="G65" s="122">
        <v>27.815000000000001</v>
      </c>
      <c r="H65" s="122">
        <v>19.335000000000001</v>
      </c>
      <c r="I65" s="122">
        <v>1.53113527</v>
      </c>
      <c r="J65" s="122">
        <v>-5.1070000000000002</v>
      </c>
      <c r="K65" s="122">
        <v>567.86199999999997</v>
      </c>
      <c r="L65" s="122">
        <v>-0.74199999999999999</v>
      </c>
      <c r="M65" s="122">
        <v>567.12</v>
      </c>
      <c r="N65" s="122">
        <v>177.929</v>
      </c>
      <c r="O65" s="122">
        <v>745.04899999999998</v>
      </c>
      <c r="P65" s="122">
        <v>182.73699999999999</v>
      </c>
      <c r="Q65" s="122">
        <v>7.6609999999999996</v>
      </c>
      <c r="R65" s="122">
        <v>569.97299999999996</v>
      </c>
      <c r="S65" s="123">
        <v>506.53399999999999</v>
      </c>
      <c r="U65" s="126">
        <f t="shared" si="0"/>
        <v>113546</v>
      </c>
      <c r="V65" s="126">
        <f t="shared" si="1"/>
        <v>19335</v>
      </c>
    </row>
    <row r="66" spans="1:22" ht="15.75">
      <c r="A66" s="110"/>
      <c r="B66" s="129" t="s">
        <v>172</v>
      </c>
      <c r="C66" s="122">
        <v>352.18900000000002</v>
      </c>
      <c r="D66" s="122">
        <v>116.414</v>
      </c>
      <c r="E66" s="122">
        <v>109.37</v>
      </c>
      <c r="F66" s="122">
        <v>62.207999999999998</v>
      </c>
      <c r="G66" s="122">
        <v>27.193000000000001</v>
      </c>
      <c r="H66" s="122">
        <v>18.48</v>
      </c>
      <c r="I66" s="122">
        <v>1.5745962</v>
      </c>
      <c r="J66" s="122">
        <v>-2.1219999999999999</v>
      </c>
      <c r="K66" s="122">
        <v>575.851</v>
      </c>
      <c r="L66" s="122">
        <v>-2.024</v>
      </c>
      <c r="M66" s="122">
        <v>573.827</v>
      </c>
      <c r="N66" s="122">
        <v>176.328</v>
      </c>
      <c r="O66" s="122">
        <v>750.15499999999997</v>
      </c>
      <c r="P66" s="122">
        <v>186.78899999999999</v>
      </c>
      <c r="Q66" s="122">
        <v>7.6769999999999996</v>
      </c>
      <c r="R66" s="122">
        <v>571.04300000000001</v>
      </c>
      <c r="S66" s="123">
        <v>507.202</v>
      </c>
      <c r="U66" s="126">
        <f t="shared" si="0"/>
        <v>116414</v>
      </c>
      <c r="V66" s="126">
        <f t="shared" si="1"/>
        <v>18480</v>
      </c>
    </row>
    <row r="67" spans="1:22" ht="15.6" customHeight="1">
      <c r="A67" s="110"/>
      <c r="B67" s="129" t="s">
        <v>173</v>
      </c>
      <c r="C67" s="122">
        <v>351.84044599999999</v>
      </c>
      <c r="D67" s="122">
        <v>117.34531200000001</v>
      </c>
      <c r="E67" s="122">
        <v>106.84013890636848</v>
      </c>
      <c r="F67" s="122">
        <v>59.906474299999999</v>
      </c>
      <c r="G67" s="122">
        <v>26.060306014613598</v>
      </c>
      <c r="H67" s="122">
        <v>19.357491200000002</v>
      </c>
      <c r="I67" s="122">
        <v>1.5158673859410823</v>
      </c>
      <c r="J67" s="122">
        <v>-1.59175</v>
      </c>
      <c r="K67" s="122">
        <v>574.4341469063686</v>
      </c>
      <c r="L67" s="122">
        <v>-0.56038800100000008</v>
      </c>
      <c r="M67" s="122">
        <v>573.8737589053685</v>
      </c>
      <c r="N67" s="122">
        <v>175.35621446936716</v>
      </c>
      <c r="O67" s="122">
        <v>749.22997299999997</v>
      </c>
      <c r="P67" s="122">
        <v>185.98326265178613</v>
      </c>
      <c r="Q67" s="122">
        <v>7.6769999999999996</v>
      </c>
      <c r="R67" s="122">
        <v>570.92371072278979</v>
      </c>
      <c r="S67" s="123">
        <v>507.15025300000002</v>
      </c>
      <c r="U67" s="126">
        <f t="shared" si="0"/>
        <v>117345.31200000001</v>
      </c>
      <c r="V67" s="126">
        <f t="shared" si="1"/>
        <v>19357.4912</v>
      </c>
    </row>
    <row r="68" spans="1:22" ht="15.6" customHeight="1">
      <c r="A68" s="110"/>
      <c r="B68" s="129" t="s">
        <v>174</v>
      </c>
      <c r="C68" s="122">
        <v>351.87991899999997</v>
      </c>
      <c r="D68" s="122">
        <v>118.63611</v>
      </c>
      <c r="E68" s="122">
        <v>105.7655995472246</v>
      </c>
      <c r="F68" s="122">
        <v>58.7196991</v>
      </c>
      <c r="G68" s="122">
        <v>25.712531933801074</v>
      </c>
      <c r="H68" s="122">
        <v>19.834346699999994</v>
      </c>
      <c r="I68" s="122">
        <v>1.4990218049134403</v>
      </c>
      <c r="J68" s="122">
        <v>-1.59175</v>
      </c>
      <c r="K68" s="122">
        <v>574.68987854722457</v>
      </c>
      <c r="L68" s="122">
        <v>-0.31599223799999998</v>
      </c>
      <c r="M68" s="122">
        <v>574.37388630922453</v>
      </c>
      <c r="N68" s="122">
        <v>174.57161730621939</v>
      </c>
      <c r="O68" s="122">
        <v>748.94550399999991</v>
      </c>
      <c r="P68" s="122">
        <v>185.18780566807388</v>
      </c>
      <c r="Q68" s="122">
        <v>7.6769999999999996</v>
      </c>
      <c r="R68" s="122">
        <v>571.43469794709983</v>
      </c>
      <c r="S68" s="123">
        <v>507.65519699999999</v>
      </c>
      <c r="U68" s="126">
        <f t="shared" si="0"/>
        <v>118636.11</v>
      </c>
      <c r="V68" s="126">
        <f t="shared" si="1"/>
        <v>19834.346699999995</v>
      </c>
    </row>
    <row r="69" spans="1:22" ht="15.6" customHeight="1">
      <c r="A69" s="110"/>
      <c r="B69" s="129" t="s">
        <v>175</v>
      </c>
      <c r="C69" s="122">
        <v>352.47715199999999</v>
      </c>
      <c r="D69" s="122">
        <v>119.82247199999999</v>
      </c>
      <c r="E69" s="122">
        <v>104.07066503178652</v>
      </c>
      <c r="F69" s="122">
        <v>57.297981800000002</v>
      </c>
      <c r="G69" s="122">
        <v>25.447555911232772</v>
      </c>
      <c r="H69" s="122">
        <v>19.839276900000002</v>
      </c>
      <c r="I69" s="122">
        <v>1.4858503978858382</v>
      </c>
      <c r="J69" s="122">
        <v>-1.59175</v>
      </c>
      <c r="K69" s="122">
        <v>574.77853903178652</v>
      </c>
      <c r="L69" s="122">
        <v>0.194154031</v>
      </c>
      <c r="M69" s="122">
        <v>574.97269306278645</v>
      </c>
      <c r="N69" s="122">
        <v>174.47741539166165</v>
      </c>
      <c r="O69" s="122">
        <v>749.450108</v>
      </c>
      <c r="P69" s="122">
        <v>184.57779498897813</v>
      </c>
      <c r="Q69" s="122">
        <v>7.6769999999999996</v>
      </c>
      <c r="R69" s="122">
        <v>572.54931346554383</v>
      </c>
      <c r="S69" s="123">
        <v>508.693535</v>
      </c>
      <c r="U69" s="126">
        <f t="shared" si="0"/>
        <v>119822.47199999999</v>
      </c>
      <c r="V69" s="126">
        <f t="shared" si="1"/>
        <v>19839.276900000001</v>
      </c>
    </row>
    <row r="70" spans="1:22" ht="15.6" customHeight="1">
      <c r="A70" s="110"/>
      <c r="B70" s="129" t="s">
        <v>176</v>
      </c>
      <c r="C70" s="122">
        <v>353.17573900000002</v>
      </c>
      <c r="D70" s="122">
        <v>120.85294500000001</v>
      </c>
      <c r="E70" s="122">
        <v>102.74393743346428</v>
      </c>
      <c r="F70" s="122">
        <v>56.581163399999994</v>
      </c>
      <c r="G70" s="122">
        <v>25.189674868803923</v>
      </c>
      <c r="H70" s="122">
        <v>19.503865000000005</v>
      </c>
      <c r="I70" s="122">
        <v>1.4692341696611626</v>
      </c>
      <c r="J70" s="122">
        <v>-1.59175</v>
      </c>
      <c r="K70" s="122">
        <v>575.18087143346429</v>
      </c>
      <c r="L70" s="122">
        <v>0.67055174399999995</v>
      </c>
      <c r="M70" s="122">
        <v>575.85142317746443</v>
      </c>
      <c r="N70" s="122">
        <v>174.3791998100036</v>
      </c>
      <c r="O70" s="122">
        <v>750.23062300000004</v>
      </c>
      <c r="P70" s="122">
        <v>183.9673432082632</v>
      </c>
      <c r="Q70" s="122">
        <v>7.6769999999999996</v>
      </c>
      <c r="R70" s="122">
        <v>573.94027977897429</v>
      </c>
      <c r="S70" s="123">
        <v>509.98047800000001</v>
      </c>
      <c r="U70" s="126">
        <f t="shared" si="0"/>
        <v>120852.94500000001</v>
      </c>
      <c r="V70" s="126">
        <f t="shared" si="1"/>
        <v>19503.865000000005</v>
      </c>
    </row>
    <row r="71" spans="1:22" ht="15.6" customHeight="1">
      <c r="A71" s="110"/>
      <c r="B71" s="129" t="s">
        <v>177</v>
      </c>
      <c r="C71" s="122">
        <v>353.91958</v>
      </c>
      <c r="D71" s="122">
        <v>121.578062</v>
      </c>
      <c r="E71" s="122">
        <v>102.04054343111393</v>
      </c>
      <c r="F71" s="122">
        <v>56.625955300000001</v>
      </c>
      <c r="G71" s="122">
        <v>24.933221677120077</v>
      </c>
      <c r="H71" s="122">
        <v>19.029411</v>
      </c>
      <c r="I71" s="122">
        <v>1.4519554216324846</v>
      </c>
      <c r="J71" s="122">
        <v>-1.59175</v>
      </c>
      <c r="K71" s="122">
        <v>575.94643543111397</v>
      </c>
      <c r="L71" s="122">
        <v>0.98423677099999995</v>
      </c>
      <c r="M71" s="122">
        <v>576.9306722021139</v>
      </c>
      <c r="N71" s="122">
        <v>174.3613503468396</v>
      </c>
      <c r="O71" s="122">
        <v>751.29202300000009</v>
      </c>
      <c r="P71" s="122">
        <v>183.35642292245845</v>
      </c>
      <c r="Q71" s="122">
        <v>7.6769999999999996</v>
      </c>
      <c r="R71" s="122">
        <v>575.61259962627196</v>
      </c>
      <c r="S71" s="123">
        <v>511.520511</v>
      </c>
      <c r="U71" s="126">
        <f t="shared" si="0"/>
        <v>121578.06200000001</v>
      </c>
      <c r="V71" s="126">
        <f t="shared" si="1"/>
        <v>19029.411</v>
      </c>
    </row>
    <row r="72" spans="1:22" ht="15.6" customHeight="1">
      <c r="A72" s="110"/>
      <c r="B72" s="129" t="s">
        <v>178</v>
      </c>
      <c r="C72" s="122">
        <v>354.68154300000003</v>
      </c>
      <c r="D72" s="122">
        <v>122.2589</v>
      </c>
      <c r="E72" s="122">
        <v>101.57827286436672</v>
      </c>
      <c r="F72" s="122">
        <v>56.532823900000004</v>
      </c>
      <c r="G72" s="122">
        <v>24.829876555655595</v>
      </c>
      <c r="H72" s="122">
        <v>18.7707336</v>
      </c>
      <c r="I72" s="122">
        <v>1.4448387655392791</v>
      </c>
      <c r="J72" s="122">
        <v>-1.59175</v>
      </c>
      <c r="K72" s="122">
        <v>576.92696586436671</v>
      </c>
      <c r="L72" s="122">
        <v>1.21328609</v>
      </c>
      <c r="M72" s="122">
        <v>578.1402519543667</v>
      </c>
      <c r="N72" s="122">
        <v>174.3394492530536</v>
      </c>
      <c r="O72" s="122">
        <v>752.47970099999998</v>
      </c>
      <c r="P72" s="122">
        <v>182.74500692701159</v>
      </c>
      <c r="Q72" s="122">
        <v>7.6769999999999996</v>
      </c>
      <c r="R72" s="122">
        <v>577.41169427690306</v>
      </c>
      <c r="S72" s="123">
        <v>513.17562099999998</v>
      </c>
      <c r="U72" s="126">
        <f t="shared" si="0"/>
        <v>122258.9</v>
      </c>
      <c r="V72" s="126">
        <f t="shared" si="1"/>
        <v>18770.7336</v>
      </c>
    </row>
    <row r="73" spans="1:22" ht="15.6" customHeight="1">
      <c r="A73" s="110"/>
      <c r="B73" s="129" t="s">
        <v>179</v>
      </c>
      <c r="C73" s="122">
        <v>355.578397</v>
      </c>
      <c r="D73" s="122">
        <v>122.857968</v>
      </c>
      <c r="E73" s="122">
        <v>101.48172638518608</v>
      </c>
      <c r="F73" s="122">
        <v>56.605864600000004</v>
      </c>
      <c r="G73" s="122">
        <v>24.873726821479789</v>
      </c>
      <c r="H73" s="122">
        <v>18.558730999999998</v>
      </c>
      <c r="I73" s="122">
        <v>1.443403984790989</v>
      </c>
      <c r="J73" s="122">
        <v>-1.59175</v>
      </c>
      <c r="K73" s="122">
        <v>578.32634138518608</v>
      </c>
      <c r="L73" s="122">
        <v>1.3157629799999999</v>
      </c>
      <c r="M73" s="122">
        <v>579.64210436518601</v>
      </c>
      <c r="N73" s="122">
        <v>174.51626605025925</v>
      </c>
      <c r="O73" s="122">
        <v>754.15836999999999</v>
      </c>
      <c r="P73" s="122">
        <v>182.48040651885333</v>
      </c>
      <c r="Q73" s="122">
        <v>7.6769999999999996</v>
      </c>
      <c r="R73" s="122">
        <v>579.35496389432535</v>
      </c>
      <c r="S73" s="123">
        <v>514.96136200000001</v>
      </c>
      <c r="U73" s="126">
        <f t="shared" si="0"/>
        <v>122857.96799999999</v>
      </c>
      <c r="V73" s="126">
        <f t="shared" si="1"/>
        <v>18558.731</v>
      </c>
    </row>
    <row r="74" spans="1:22" ht="15.6" customHeight="1">
      <c r="A74" s="110"/>
      <c r="B74" s="129" t="s">
        <v>180</v>
      </c>
      <c r="C74" s="122">
        <v>356.55621100000002</v>
      </c>
      <c r="D74" s="122">
        <v>123.44219699999999</v>
      </c>
      <c r="E74" s="122">
        <v>101.89628777421511</v>
      </c>
      <c r="F74" s="122">
        <v>57.145009599999995</v>
      </c>
      <c r="G74" s="122">
        <v>24.989573439440385</v>
      </c>
      <c r="H74" s="122">
        <v>18.316269199999997</v>
      </c>
      <c r="I74" s="122">
        <v>1.4454355645722823</v>
      </c>
      <c r="J74" s="122">
        <v>-1.59175</v>
      </c>
      <c r="K74" s="122">
        <v>580.30294577421512</v>
      </c>
      <c r="L74" s="122">
        <v>1.02965397</v>
      </c>
      <c r="M74" s="122">
        <v>581.33259974421514</v>
      </c>
      <c r="N74" s="122">
        <v>174.69976094685344</v>
      </c>
      <c r="O74" s="122">
        <v>756.03236100000004</v>
      </c>
      <c r="P74" s="122">
        <v>182.21949712710179</v>
      </c>
      <c r="Q74" s="122">
        <v>7.6769999999999996</v>
      </c>
      <c r="R74" s="122">
        <v>581.48986356285593</v>
      </c>
      <c r="S74" s="123">
        <v>516.91539599999999</v>
      </c>
      <c r="U74" s="126">
        <f t="shared" si="0"/>
        <v>123442.197</v>
      </c>
      <c r="V74" s="126">
        <f t="shared" si="1"/>
        <v>18316.269199999999</v>
      </c>
    </row>
    <row r="75" spans="1:22" ht="15.6" customHeight="1">
      <c r="A75" s="110"/>
      <c r="B75" s="129" t="s">
        <v>181</v>
      </c>
      <c r="C75" s="122">
        <v>357.71566200000001</v>
      </c>
      <c r="D75" s="122">
        <v>123.914925</v>
      </c>
      <c r="E75" s="122">
        <v>102.33373713554019</v>
      </c>
      <c r="F75" s="122">
        <v>57.658579700000004</v>
      </c>
      <c r="G75" s="122">
        <v>25.156858915376588</v>
      </c>
      <c r="H75" s="122">
        <v>18.0673365</v>
      </c>
      <c r="I75" s="122">
        <v>1.4509620882615968</v>
      </c>
      <c r="J75" s="122">
        <v>-1.59175</v>
      </c>
      <c r="K75" s="122">
        <v>582.37257413554016</v>
      </c>
      <c r="L75" s="122">
        <v>0.957168884</v>
      </c>
      <c r="M75" s="122">
        <v>583.32974301954016</v>
      </c>
      <c r="N75" s="122">
        <v>174.89028640567838</v>
      </c>
      <c r="O75" s="122">
        <v>758.22002899999995</v>
      </c>
      <c r="P75" s="122">
        <v>182.04913006752093</v>
      </c>
      <c r="Q75" s="122">
        <v>7.6769999999999996</v>
      </c>
      <c r="R75" s="122">
        <v>583.84789935773097</v>
      </c>
      <c r="S75" s="123">
        <v>519.065696</v>
      </c>
      <c r="U75" s="126">
        <f t="shared" si="0"/>
        <v>123914.925</v>
      </c>
      <c r="V75" s="126">
        <f t="shared" si="1"/>
        <v>18067.336500000001</v>
      </c>
    </row>
    <row r="76" spans="1:22" ht="15.6" customHeight="1">
      <c r="A76" s="110"/>
      <c r="B76" s="129" t="s">
        <v>182</v>
      </c>
      <c r="C76" s="122">
        <v>358.989284</v>
      </c>
      <c r="D76" s="122">
        <v>124.39293499999999</v>
      </c>
      <c r="E76" s="122">
        <v>103.10626945227732</v>
      </c>
      <c r="F76" s="122">
        <v>58.323846700000004</v>
      </c>
      <c r="G76" s="122">
        <v>25.422230003566423</v>
      </c>
      <c r="H76" s="122">
        <v>17.896136200000001</v>
      </c>
      <c r="I76" s="122">
        <v>1.4640565902434686</v>
      </c>
      <c r="J76" s="122">
        <v>-1.59175</v>
      </c>
      <c r="K76" s="122">
        <v>584.8967384522773</v>
      </c>
      <c r="L76" s="122">
        <v>0.80997918400000002</v>
      </c>
      <c r="M76" s="122">
        <v>585.70671763627729</v>
      </c>
      <c r="N76" s="122">
        <v>175.08819755235007</v>
      </c>
      <c r="O76" s="122">
        <v>760.79491500000006</v>
      </c>
      <c r="P76" s="122">
        <v>181.91735283166165</v>
      </c>
      <c r="Q76" s="122">
        <v>7.6769999999999996</v>
      </c>
      <c r="R76" s="122">
        <v>586.55456235669419</v>
      </c>
      <c r="S76" s="123">
        <v>521.52415999999994</v>
      </c>
      <c r="U76" s="126">
        <f t="shared" si="0"/>
        <v>124392.935</v>
      </c>
      <c r="V76" s="126">
        <f t="shared" si="1"/>
        <v>17896.136200000001</v>
      </c>
    </row>
    <row r="77" spans="1:22" ht="15.6" customHeight="1">
      <c r="A77" s="110"/>
      <c r="B77" s="129" t="s">
        <v>183</v>
      </c>
      <c r="C77" s="122">
        <v>360.44093800000002</v>
      </c>
      <c r="D77" s="122">
        <v>124.876167</v>
      </c>
      <c r="E77" s="122">
        <v>103.89960915107541</v>
      </c>
      <c r="F77" s="122">
        <v>58.984363500000001</v>
      </c>
      <c r="G77" s="122">
        <v>25.677161862660878</v>
      </c>
      <c r="H77" s="122">
        <v>17.760955000000006</v>
      </c>
      <c r="I77" s="122">
        <v>1.4771287436768967</v>
      </c>
      <c r="J77" s="122">
        <v>-1.59175</v>
      </c>
      <c r="K77" s="122">
        <v>587.62496415107546</v>
      </c>
      <c r="L77" s="122">
        <v>0.76399391800000005</v>
      </c>
      <c r="M77" s="122">
        <v>588.38895806907544</v>
      </c>
      <c r="N77" s="122">
        <v>175.37893441588795</v>
      </c>
      <c r="O77" s="122">
        <v>763.76789199999996</v>
      </c>
      <c r="P77" s="122">
        <v>181.84163974043648</v>
      </c>
      <c r="Q77" s="122">
        <v>7.6769999999999996</v>
      </c>
      <c r="R77" s="122">
        <v>589.60325274417937</v>
      </c>
      <c r="S77" s="123">
        <v>524.28472999999997</v>
      </c>
      <c r="U77" s="126">
        <f t="shared" si="0"/>
        <v>124876.167</v>
      </c>
      <c r="V77" s="126">
        <f t="shared" si="1"/>
        <v>17760.955000000005</v>
      </c>
    </row>
    <row r="78" spans="1:22" ht="15.6" customHeight="1">
      <c r="A78" s="110"/>
      <c r="B78" s="129" t="s">
        <v>184</v>
      </c>
      <c r="C78" s="122">
        <v>362.07323700000001</v>
      </c>
      <c r="D78" s="122">
        <v>125.362459</v>
      </c>
      <c r="E78" s="122">
        <v>104.40498839914684</v>
      </c>
      <c r="F78" s="122">
        <v>59.320158300000003</v>
      </c>
      <c r="G78" s="122">
        <v>25.913278254499367</v>
      </c>
      <c r="H78" s="122">
        <v>17.6819256</v>
      </c>
      <c r="I78" s="122">
        <v>1.489626238302268</v>
      </c>
      <c r="J78" s="122">
        <v>-1.59175</v>
      </c>
      <c r="K78" s="122">
        <v>590.24893439914683</v>
      </c>
      <c r="L78" s="122">
        <v>0.96675570500000008</v>
      </c>
      <c r="M78" s="122">
        <v>591.2156901041468</v>
      </c>
      <c r="N78" s="122">
        <v>175.66337172307294</v>
      </c>
      <c r="O78" s="122">
        <v>766.87906200000009</v>
      </c>
      <c r="P78" s="122">
        <v>181.79684480486807</v>
      </c>
      <c r="Q78" s="122">
        <v>7.6769999999999996</v>
      </c>
      <c r="R78" s="122">
        <v>592.75921702205983</v>
      </c>
      <c r="S78" s="123">
        <v>527.14434600000004</v>
      </c>
      <c r="U78" s="126">
        <f t="shared" si="0"/>
        <v>125362.459</v>
      </c>
      <c r="V78" s="126">
        <f t="shared" si="1"/>
        <v>17681.925599999999</v>
      </c>
    </row>
    <row r="79" spans="1:22" ht="15.6" customHeight="1">
      <c r="A79" s="110"/>
      <c r="B79" s="129" t="s">
        <v>185</v>
      </c>
      <c r="C79" s="122">
        <v>363.83282199999996</v>
      </c>
      <c r="D79" s="122">
        <v>125.84196799999999</v>
      </c>
      <c r="E79" s="122">
        <v>104.87472393155892</v>
      </c>
      <c r="F79" s="122">
        <v>59.5658551</v>
      </c>
      <c r="G79" s="122">
        <v>26.17646946386833</v>
      </c>
      <c r="H79" s="122">
        <v>17.628090400000001</v>
      </c>
      <c r="I79" s="122">
        <v>1.504308960333663</v>
      </c>
      <c r="J79" s="122">
        <v>-1.59175</v>
      </c>
      <c r="K79" s="122">
        <v>592.95776393155893</v>
      </c>
      <c r="L79" s="122">
        <v>1.1110227400000001</v>
      </c>
      <c r="M79" s="122">
        <v>594.068786671559</v>
      </c>
      <c r="N79" s="122">
        <v>175.92115394492319</v>
      </c>
      <c r="O79" s="122">
        <v>769.98994100000004</v>
      </c>
      <c r="P79" s="122">
        <v>181.77192091573664</v>
      </c>
      <c r="Q79" s="122">
        <v>7.6769999999999996</v>
      </c>
      <c r="R79" s="122">
        <v>595.89501970251933</v>
      </c>
      <c r="S79" s="123">
        <v>529.99850800000002</v>
      </c>
      <c r="U79" s="126">
        <f t="shared" si="0"/>
        <v>125841.96799999999</v>
      </c>
      <c r="V79" s="126">
        <f t="shared" si="1"/>
        <v>17628.090400000001</v>
      </c>
    </row>
    <row r="80" spans="1:22" ht="15.6" customHeight="1">
      <c r="A80" s="110"/>
      <c r="B80" s="129" t="s">
        <v>186</v>
      </c>
      <c r="C80" s="122">
        <v>365.73556400000001</v>
      </c>
      <c r="D80" s="122">
        <v>126.32174400000001</v>
      </c>
      <c r="E80" s="122">
        <v>105.18469701915582</v>
      </c>
      <c r="F80" s="122">
        <v>59.695511599999996</v>
      </c>
      <c r="G80" s="122">
        <v>26.380826451918232</v>
      </c>
      <c r="H80" s="122">
        <v>17.5933803</v>
      </c>
      <c r="I80" s="122">
        <v>1.5149786254329507</v>
      </c>
      <c r="J80" s="122">
        <v>-1.59175</v>
      </c>
      <c r="K80" s="122">
        <v>595.65025501915579</v>
      </c>
      <c r="L80" s="122">
        <v>1.16907198</v>
      </c>
      <c r="M80" s="122">
        <v>596.81932699915581</v>
      </c>
      <c r="N80" s="122">
        <v>176.18270408587614</v>
      </c>
      <c r="O80" s="122">
        <v>773.00203099999999</v>
      </c>
      <c r="P80" s="122">
        <v>181.78342989154109</v>
      </c>
      <c r="Q80" s="122">
        <v>7.6769999999999996</v>
      </c>
      <c r="R80" s="122">
        <v>598.8956011946218</v>
      </c>
      <c r="S80" s="123">
        <v>532.73057900000003</v>
      </c>
      <c r="U80" s="126">
        <f t="shared" si="0"/>
        <v>126321.74400000001</v>
      </c>
      <c r="V80" s="126">
        <f t="shared" si="1"/>
        <v>17593.380300000001</v>
      </c>
    </row>
    <row r="81" spans="1:22" ht="15.75">
      <c r="A81" s="110"/>
      <c r="B81" s="129" t="s">
        <v>187</v>
      </c>
      <c r="C81" s="122">
        <v>367.77743400000003</v>
      </c>
      <c r="D81" s="122">
        <v>126.801783</v>
      </c>
      <c r="E81" s="122">
        <v>105.54211674267748</v>
      </c>
      <c r="F81" s="122">
        <v>59.865538299999997</v>
      </c>
      <c r="G81" s="122">
        <v>26.611085542572344</v>
      </c>
      <c r="H81" s="122">
        <v>17.5380638</v>
      </c>
      <c r="I81" s="122">
        <v>1.5274290439178309</v>
      </c>
      <c r="J81" s="122">
        <v>-1.59175</v>
      </c>
      <c r="K81" s="122">
        <v>598.52958374267746</v>
      </c>
      <c r="L81" s="122">
        <v>0.96555471400000004</v>
      </c>
      <c r="M81" s="122">
        <v>599.49513845667741</v>
      </c>
      <c r="N81" s="122">
        <v>176.46511716881255</v>
      </c>
      <c r="O81" s="122">
        <v>775.96025600000007</v>
      </c>
      <c r="P81" s="122">
        <v>181.8313867037638</v>
      </c>
      <c r="Q81" s="122">
        <v>7.6769999999999996</v>
      </c>
      <c r="R81" s="122">
        <v>601.80586892169379</v>
      </c>
      <c r="S81" s="123">
        <v>535.38069299999995</v>
      </c>
      <c r="U81" s="126">
        <f t="shared" si="0"/>
        <v>126801.783</v>
      </c>
      <c r="V81" s="126">
        <f t="shared" si="1"/>
        <v>17538.0638</v>
      </c>
    </row>
    <row r="82" spans="1:22" ht="15.75">
      <c r="A82" s="110"/>
      <c r="B82" s="129" t="s">
        <v>188</v>
      </c>
      <c r="C82" s="122">
        <v>369.72382599999997</v>
      </c>
      <c r="D82" s="122">
        <v>127.25766</v>
      </c>
      <c r="E82" s="122">
        <v>105.7554233946899</v>
      </c>
      <c r="F82" s="122">
        <v>59.911063199999994</v>
      </c>
      <c r="G82" s="122">
        <v>26.836981139528149</v>
      </c>
      <c r="H82" s="122">
        <v>17.467847600000002</v>
      </c>
      <c r="I82" s="122">
        <v>1.5395314578935553</v>
      </c>
      <c r="J82" s="122">
        <v>-1.59175</v>
      </c>
      <c r="K82" s="122">
        <v>601.14515939468993</v>
      </c>
      <c r="L82" s="122">
        <v>0.98021695499999995</v>
      </c>
      <c r="M82" s="122">
        <v>602.12537634968987</v>
      </c>
      <c r="N82" s="122">
        <v>176.75123458447035</v>
      </c>
      <c r="O82" s="122">
        <v>778.87661100000003</v>
      </c>
      <c r="P82" s="122">
        <v>181.91582818282572</v>
      </c>
      <c r="Q82" s="122">
        <v>7.6769999999999996</v>
      </c>
      <c r="R82" s="122">
        <v>604.63778275171512</v>
      </c>
      <c r="S82" s="123">
        <v>537.95956200000001</v>
      </c>
      <c r="U82" s="126">
        <f t="shared" si="0"/>
        <v>127257.66</v>
      </c>
      <c r="V82" s="126">
        <f t="shared" si="1"/>
        <v>17467.847600000001</v>
      </c>
    </row>
    <row r="83" spans="1:22" ht="15.75">
      <c r="A83" s="110"/>
      <c r="B83" s="129" t="s">
        <v>189</v>
      </c>
      <c r="C83" s="122">
        <v>371.59210100000001</v>
      </c>
      <c r="D83" s="122">
        <v>127.73418099999999</v>
      </c>
      <c r="E83" s="122">
        <v>105.97426367148695</v>
      </c>
      <c r="F83" s="122">
        <v>59.976522900000006</v>
      </c>
      <c r="G83" s="122">
        <v>27.071756790750779</v>
      </c>
      <c r="H83" s="122">
        <v>17.373767300000001</v>
      </c>
      <c r="I83" s="122">
        <v>1.552216722436722</v>
      </c>
      <c r="J83" s="122">
        <v>-1.59175</v>
      </c>
      <c r="K83" s="122">
        <v>603.708795671487</v>
      </c>
      <c r="L83" s="122">
        <v>1.0202849899999999</v>
      </c>
      <c r="M83" s="122">
        <v>604.72908066148693</v>
      </c>
      <c r="N83" s="122">
        <v>177.04098886621361</v>
      </c>
      <c r="O83" s="122">
        <v>781.77006999999992</v>
      </c>
      <c r="P83" s="122">
        <v>182.05418345751085</v>
      </c>
      <c r="Q83" s="122">
        <v>7.6769999999999996</v>
      </c>
      <c r="R83" s="122">
        <v>607.3928860731902</v>
      </c>
      <c r="S83" s="123">
        <v>540.46859699999993</v>
      </c>
      <c r="U83" s="126">
        <f t="shared" si="0"/>
        <v>127734.181</v>
      </c>
      <c r="V83" s="126">
        <f t="shared" si="1"/>
        <v>17373.7673</v>
      </c>
    </row>
    <row r="84" spans="1:22" ht="15.75">
      <c r="A84" s="110"/>
      <c r="B84" s="129" t="s">
        <v>190</v>
      </c>
      <c r="C84" s="122">
        <v>373.41817400000002</v>
      </c>
      <c r="D84" s="122">
        <v>128.23317500000002</v>
      </c>
      <c r="E84" s="122">
        <v>106.16245227438625</v>
      </c>
      <c r="F84" s="122">
        <v>60.0163151</v>
      </c>
      <c r="G84" s="122">
        <v>27.306374578884853</v>
      </c>
      <c r="H84" s="122">
        <v>17.2749138</v>
      </c>
      <c r="I84" s="122">
        <v>1.564848815957846</v>
      </c>
      <c r="J84" s="122">
        <v>-1.59175</v>
      </c>
      <c r="K84" s="122">
        <v>606.22205127438622</v>
      </c>
      <c r="L84" s="122">
        <v>1.06480358</v>
      </c>
      <c r="M84" s="122">
        <v>607.28685485438621</v>
      </c>
      <c r="N84" s="122">
        <v>177.33431428237185</v>
      </c>
      <c r="O84" s="122">
        <v>784.62116900000001</v>
      </c>
      <c r="P84" s="122">
        <v>182.2466027136756</v>
      </c>
      <c r="Q84" s="122">
        <v>7.6769999999999996</v>
      </c>
      <c r="R84" s="122">
        <v>610.05156642666066</v>
      </c>
      <c r="S84" s="123">
        <v>542.89031499999999</v>
      </c>
      <c r="U84" s="126">
        <f t="shared" si="0"/>
        <v>128233.17500000002</v>
      </c>
      <c r="V84" s="126">
        <f t="shared" si="1"/>
        <v>17274.913799999998</v>
      </c>
    </row>
    <row r="85" spans="1:22" ht="15.75">
      <c r="A85" s="110"/>
      <c r="B85" s="129" t="s">
        <v>191</v>
      </c>
      <c r="C85" s="122">
        <v>375.23869100000002</v>
      </c>
      <c r="D85" s="122">
        <v>128.75438600000001</v>
      </c>
      <c r="E85" s="122">
        <v>106.40325995115097</v>
      </c>
      <c r="F85" s="122">
        <v>60.093714999999996</v>
      </c>
      <c r="G85" s="122">
        <v>27.559431227846655</v>
      </c>
      <c r="H85" s="122">
        <v>17.171378700000002</v>
      </c>
      <c r="I85" s="122">
        <v>1.578735019204027</v>
      </c>
      <c r="J85" s="122">
        <v>-1.59175</v>
      </c>
      <c r="K85" s="122">
        <v>608.80458695115101</v>
      </c>
      <c r="L85" s="122">
        <v>1.0977542699999998</v>
      </c>
      <c r="M85" s="122">
        <v>609.902341221151</v>
      </c>
      <c r="N85" s="122">
        <v>177.57917230837432</v>
      </c>
      <c r="O85" s="122">
        <v>787.48151399999995</v>
      </c>
      <c r="P85" s="122">
        <v>182.49328447050152</v>
      </c>
      <c r="Q85" s="122">
        <v>7.6769999999999996</v>
      </c>
      <c r="R85" s="122">
        <v>612.66522905922636</v>
      </c>
      <c r="S85" s="123">
        <v>545.27065000000005</v>
      </c>
      <c r="U85" s="126">
        <f t="shared" si="0"/>
        <v>128754.38600000001</v>
      </c>
      <c r="V85" s="126">
        <f t="shared" si="1"/>
        <v>17171.378700000001</v>
      </c>
    </row>
    <row r="86" spans="1:22" ht="15.75">
      <c r="A86" s="110"/>
      <c r="B86" s="129" t="s">
        <v>192</v>
      </c>
      <c r="C86" s="122">
        <v>377.04943900000001</v>
      </c>
      <c r="D86" s="122">
        <v>129.281452</v>
      </c>
      <c r="E86" s="122">
        <v>106.65541363261444</v>
      </c>
      <c r="F86" s="122">
        <v>60.1808902</v>
      </c>
      <c r="G86" s="122">
        <v>27.813779037061021</v>
      </c>
      <c r="H86" s="122">
        <v>17.0680753</v>
      </c>
      <c r="I86" s="122">
        <v>1.5926690096384715</v>
      </c>
      <c r="J86" s="122">
        <v>-1.59175</v>
      </c>
      <c r="K86" s="122">
        <v>611.39455463261447</v>
      </c>
      <c r="L86" s="122">
        <v>1.2045138899999999</v>
      </c>
      <c r="M86" s="122">
        <v>612.5990685226144</v>
      </c>
      <c r="N86" s="122">
        <v>177.82725154902931</v>
      </c>
      <c r="O86" s="122">
        <v>790.42631999999992</v>
      </c>
      <c r="P86" s="122">
        <v>182.79447588731307</v>
      </c>
      <c r="Q86" s="122">
        <v>7.6769999999999996</v>
      </c>
      <c r="R86" s="122">
        <v>615.30884418214771</v>
      </c>
      <c r="S86" s="123">
        <v>547.67657599999995</v>
      </c>
      <c r="U86" s="126">
        <f t="shared" si="0"/>
        <v>129281.452</v>
      </c>
      <c r="V86" s="126">
        <f t="shared" si="1"/>
        <v>17068.0753</v>
      </c>
    </row>
    <row r="87" spans="1:22" ht="15.75">
      <c r="A87" s="110"/>
      <c r="B87" s="129" t="s">
        <v>193</v>
      </c>
      <c r="C87" s="122">
        <v>378.85629899999998</v>
      </c>
      <c r="D87" s="122">
        <v>129.80604700000001</v>
      </c>
      <c r="E87" s="122">
        <v>106.94088161244403</v>
      </c>
      <c r="F87" s="122">
        <v>60.294359999999998</v>
      </c>
      <c r="G87" s="122">
        <v>28.085388675057249</v>
      </c>
      <c r="H87" s="122">
        <v>16.953359499999998</v>
      </c>
      <c r="I87" s="122">
        <v>1.6077734091213629</v>
      </c>
      <c r="J87" s="122">
        <v>-1.59175</v>
      </c>
      <c r="K87" s="122">
        <v>614.01147761244408</v>
      </c>
      <c r="L87" s="122">
        <v>1.2306456299999999</v>
      </c>
      <c r="M87" s="122">
        <v>615.24212324244411</v>
      </c>
      <c r="N87" s="122">
        <v>178.07849050173689</v>
      </c>
      <c r="O87" s="122">
        <v>793.32061399999998</v>
      </c>
      <c r="P87" s="122">
        <v>183.15047314290649</v>
      </c>
      <c r="Q87" s="122">
        <v>7.6769999999999996</v>
      </c>
      <c r="R87" s="122">
        <v>617.84714060524595</v>
      </c>
      <c r="S87" s="123">
        <v>549.98733100000004</v>
      </c>
      <c r="U87" s="126">
        <f t="shared" si="0"/>
        <v>129806.04700000001</v>
      </c>
      <c r="V87" s="126">
        <f t="shared" si="1"/>
        <v>16953.359499999999</v>
      </c>
    </row>
    <row r="88" spans="1:22" ht="15.75">
      <c r="A88" s="110"/>
      <c r="B88" s="129" t="s">
        <v>194</v>
      </c>
      <c r="C88" s="122">
        <v>380.66422600000004</v>
      </c>
      <c r="D88" s="122">
        <v>130.33315099999999</v>
      </c>
      <c r="E88" s="122">
        <v>107.18428490130484</v>
      </c>
      <c r="F88" s="122">
        <v>60.3283524</v>
      </c>
      <c r="G88" s="122">
        <v>28.374902879680306</v>
      </c>
      <c r="H88" s="122">
        <v>16.856936699999995</v>
      </c>
      <c r="I88" s="122">
        <v>1.624092924898989</v>
      </c>
      <c r="J88" s="122">
        <v>-1.59175</v>
      </c>
      <c r="K88" s="122">
        <v>616.58991190130484</v>
      </c>
      <c r="L88" s="122">
        <v>1.27043602</v>
      </c>
      <c r="M88" s="122">
        <v>617.86034792130488</v>
      </c>
      <c r="N88" s="122">
        <v>178.33282923099964</v>
      </c>
      <c r="O88" s="122">
        <v>796.19317699999999</v>
      </c>
      <c r="P88" s="122">
        <v>183.56162188817092</v>
      </c>
      <c r="Q88" s="122">
        <v>7.6769999999999996</v>
      </c>
      <c r="R88" s="122">
        <v>620.30855526770836</v>
      </c>
      <c r="S88" s="123">
        <v>552.22833400000002</v>
      </c>
      <c r="U88" s="126">
        <f t="shared" si="0"/>
        <v>130333.15099999998</v>
      </c>
      <c r="V88" s="126">
        <f t="shared" si="1"/>
        <v>16856.936699999995</v>
      </c>
    </row>
    <row r="89" spans="1:22" ht="15.75">
      <c r="A89" s="110"/>
      <c r="B89" s="130" t="s">
        <v>195</v>
      </c>
      <c r="C89" s="131">
        <v>382.50505800000002</v>
      </c>
      <c r="D89" s="131">
        <v>130.86273499999999</v>
      </c>
      <c r="E89" s="131">
        <v>107.45162669814128</v>
      </c>
      <c r="F89" s="131">
        <v>60.3573716</v>
      </c>
      <c r="G89" s="131">
        <v>28.674677320051675</v>
      </c>
      <c r="H89" s="131">
        <v>16.778488199999998</v>
      </c>
      <c r="I89" s="131">
        <v>1.6410895207273828</v>
      </c>
      <c r="J89" s="131">
        <v>-1.59175</v>
      </c>
      <c r="K89" s="131">
        <v>619.22766969814131</v>
      </c>
      <c r="L89" s="131">
        <v>1.38809819</v>
      </c>
      <c r="M89" s="131">
        <v>620.61576788814136</v>
      </c>
      <c r="N89" s="131">
        <v>178.52035395648909</v>
      </c>
      <c r="O89" s="131">
        <v>799.136122</v>
      </c>
      <c r="P89" s="131">
        <v>184.02831777293468</v>
      </c>
      <c r="Q89" s="131">
        <v>7.6769999999999996</v>
      </c>
      <c r="R89" s="131">
        <v>622.78480407098016</v>
      </c>
      <c r="S89" s="132">
        <v>554.48151300000006</v>
      </c>
      <c r="U89" s="126">
        <f t="shared" si="0"/>
        <v>130862.73499999999</v>
      </c>
      <c r="V89" s="126">
        <f t="shared" si="1"/>
        <v>16778.4882</v>
      </c>
    </row>
    <row r="90" spans="1:22" ht="15.75">
      <c r="A90" s="110"/>
      <c r="B90" s="129">
        <v>2008</v>
      </c>
      <c r="C90" s="122">
        <v>1204.604</v>
      </c>
      <c r="D90" s="122">
        <v>375.86</v>
      </c>
      <c r="E90" s="122">
        <v>331.947</v>
      </c>
      <c r="F90" s="122">
        <v>180.899</v>
      </c>
      <c r="G90" s="122">
        <v>87.043000000000006</v>
      </c>
      <c r="H90" s="122">
        <v>57.198</v>
      </c>
      <c r="I90" s="122">
        <v>8.4409999999999989</v>
      </c>
      <c r="J90" s="122">
        <v>-1.0429999999999999</v>
      </c>
      <c r="K90" s="122">
        <v>1911.3679999999999</v>
      </c>
      <c r="L90" s="122">
        <v>-12.788</v>
      </c>
      <c r="M90" s="122">
        <v>1898.58</v>
      </c>
      <c r="N90" s="122">
        <v>556.86099999999999</v>
      </c>
      <c r="O90" s="122">
        <v>2459.0329999999999</v>
      </c>
      <c r="P90" s="122">
        <v>533.89099999999996</v>
      </c>
      <c r="Q90" s="122">
        <v>0</v>
      </c>
      <c r="R90" s="122">
        <v>1926.7349999999999</v>
      </c>
      <c r="S90" s="123">
        <v>1678.818</v>
      </c>
      <c r="U90" s="125"/>
      <c r="V90" s="125"/>
    </row>
    <row r="91" spans="1:22" ht="15.75">
      <c r="A91" s="110"/>
      <c r="B91" s="129">
        <v>2009</v>
      </c>
      <c r="C91" s="122">
        <v>1170.0350000000001</v>
      </c>
      <c r="D91" s="122">
        <v>380.83800000000002</v>
      </c>
      <c r="E91" s="122">
        <v>291.20999999999998</v>
      </c>
      <c r="F91" s="122">
        <v>150.59399999999999</v>
      </c>
      <c r="G91" s="122">
        <v>68.313999999999993</v>
      </c>
      <c r="H91" s="122">
        <v>62.232999999999997</v>
      </c>
      <c r="I91" s="122">
        <v>10.728</v>
      </c>
      <c r="J91" s="122">
        <v>2.7330000000000001</v>
      </c>
      <c r="K91" s="122">
        <v>1844.816</v>
      </c>
      <c r="L91" s="122">
        <v>-35.030999999999999</v>
      </c>
      <c r="M91" s="122">
        <v>1809.7850000000001</v>
      </c>
      <c r="N91" s="122">
        <v>507.63400000000001</v>
      </c>
      <c r="O91" s="122">
        <v>2332.1610000000001</v>
      </c>
      <c r="P91" s="122">
        <v>496.38799999999998</v>
      </c>
      <c r="Q91" s="122">
        <v>0</v>
      </c>
      <c r="R91" s="122">
        <v>1837.817</v>
      </c>
      <c r="S91" s="123">
        <v>1602.633</v>
      </c>
    </row>
    <row r="92" spans="1:22" ht="15.75">
      <c r="A92" s="110"/>
      <c r="B92" s="129">
        <v>2010</v>
      </c>
      <c r="C92" s="122">
        <v>1195.24</v>
      </c>
      <c r="D92" s="122">
        <v>380.76100000000002</v>
      </c>
      <c r="E92" s="122">
        <v>305.03199999999998</v>
      </c>
      <c r="F92" s="122">
        <v>157.06100000000001</v>
      </c>
      <c r="G92" s="122">
        <v>74.837000000000003</v>
      </c>
      <c r="H92" s="122">
        <v>63.322000000000003</v>
      </c>
      <c r="I92" s="122">
        <v>10.702999999999999</v>
      </c>
      <c r="J92" s="122">
        <v>-1E-3</v>
      </c>
      <c r="K92" s="122">
        <v>1881.0319999999999</v>
      </c>
      <c r="L92" s="122">
        <v>-8.5630000000000006</v>
      </c>
      <c r="M92" s="122">
        <v>1872.4690000000001</v>
      </c>
      <c r="N92" s="122">
        <v>540.86099999999999</v>
      </c>
      <c r="O92" s="122">
        <v>2418.7979999999998</v>
      </c>
      <c r="P92" s="122">
        <v>540.88400000000001</v>
      </c>
      <c r="Q92" s="122">
        <v>0</v>
      </c>
      <c r="R92" s="122">
        <v>1878.96</v>
      </c>
      <c r="S92" s="123">
        <v>1644.5260000000001</v>
      </c>
    </row>
    <row r="93" spans="1:22" ht="15.75">
      <c r="A93" s="110"/>
      <c r="B93" s="129">
        <v>2011</v>
      </c>
      <c r="C93" s="122">
        <v>1191.27</v>
      </c>
      <c r="D93" s="122">
        <v>380.51499999999999</v>
      </c>
      <c r="E93" s="122">
        <v>305.35399999999998</v>
      </c>
      <c r="F93" s="122">
        <v>166.465</v>
      </c>
      <c r="G93" s="122">
        <v>71.385999999999996</v>
      </c>
      <c r="H93" s="122">
        <v>57.954999999999998</v>
      </c>
      <c r="I93" s="122">
        <v>9.9690000000000012</v>
      </c>
      <c r="J93" s="122">
        <v>-0.70499999999999996</v>
      </c>
      <c r="K93" s="122">
        <v>1876.434</v>
      </c>
      <c r="L93" s="122">
        <v>-3.7839999999999998</v>
      </c>
      <c r="M93" s="122">
        <v>1872.65</v>
      </c>
      <c r="N93" s="122">
        <v>578.33299999999997</v>
      </c>
      <c r="O93" s="122">
        <v>2456.5549999999998</v>
      </c>
      <c r="P93" s="122">
        <v>556.72299999999996</v>
      </c>
      <c r="Q93" s="122">
        <v>0</v>
      </c>
      <c r="R93" s="122">
        <v>1900.4760000000001</v>
      </c>
      <c r="S93" s="123">
        <v>1672.213</v>
      </c>
    </row>
    <row r="94" spans="1:22" ht="15.75">
      <c r="A94" s="110"/>
      <c r="B94" s="129">
        <v>2012</v>
      </c>
      <c r="C94" s="122">
        <v>1211.807</v>
      </c>
      <c r="D94" s="122">
        <v>386.18799999999999</v>
      </c>
      <c r="E94" s="122">
        <v>310.22199999999998</v>
      </c>
      <c r="F94" s="122">
        <v>178.179</v>
      </c>
      <c r="G94" s="122">
        <v>69.926000000000002</v>
      </c>
      <c r="H94" s="122">
        <v>53.006999999999998</v>
      </c>
      <c r="I94" s="122">
        <v>9.0419999999999998</v>
      </c>
      <c r="J94" s="122">
        <v>-1.036</v>
      </c>
      <c r="K94" s="122">
        <v>1907.181</v>
      </c>
      <c r="L94" s="122">
        <v>6.3780000000000001</v>
      </c>
      <c r="M94" s="122">
        <v>1913.559</v>
      </c>
      <c r="N94" s="122">
        <v>582.72900000000004</v>
      </c>
      <c r="O94" s="122">
        <v>2499.35</v>
      </c>
      <c r="P94" s="122">
        <v>570.38499999999999</v>
      </c>
      <c r="Q94" s="122">
        <v>0</v>
      </c>
      <c r="R94" s="122">
        <v>1929.229</v>
      </c>
      <c r="S94" s="123">
        <v>1706.9110000000001</v>
      </c>
    </row>
    <row r="95" spans="1:22" ht="15.75">
      <c r="A95" s="110"/>
      <c r="B95" s="129">
        <v>2013</v>
      </c>
      <c r="C95" s="122">
        <v>1242.4480000000001</v>
      </c>
      <c r="D95" s="122">
        <v>387.05</v>
      </c>
      <c r="E95" s="122">
        <v>320.303</v>
      </c>
      <c r="F95" s="122">
        <v>184.65100000000001</v>
      </c>
      <c r="G95" s="122">
        <v>77.388000000000005</v>
      </c>
      <c r="H95" s="122">
        <v>49.603000000000002</v>
      </c>
      <c r="I95" s="122">
        <v>8.5120000000000005</v>
      </c>
      <c r="J95" s="122">
        <v>7.0220000000000002</v>
      </c>
      <c r="K95" s="122">
        <v>1956.8230000000001</v>
      </c>
      <c r="L95" s="122">
        <v>6.7839999999999998</v>
      </c>
      <c r="M95" s="122">
        <v>1963.607</v>
      </c>
      <c r="N95" s="122">
        <v>584.38699999999994</v>
      </c>
      <c r="O95" s="122">
        <v>2552.855</v>
      </c>
      <c r="P95" s="122">
        <v>588.88400000000001</v>
      </c>
      <c r="Q95" s="122">
        <v>0</v>
      </c>
      <c r="R95" s="122">
        <v>1963.807</v>
      </c>
      <c r="S95" s="123">
        <v>1740.3430000000001</v>
      </c>
    </row>
    <row r="96" spans="1:22" ht="15.75">
      <c r="A96" s="110"/>
      <c r="B96" s="129">
        <v>2014</v>
      </c>
      <c r="C96" s="122">
        <v>1276.097</v>
      </c>
      <c r="D96" s="122">
        <v>397.06900000000002</v>
      </c>
      <c r="E96" s="122">
        <v>342.84</v>
      </c>
      <c r="F96" s="122">
        <v>194.88300000000001</v>
      </c>
      <c r="G96" s="122">
        <v>82.424000000000007</v>
      </c>
      <c r="H96" s="122">
        <v>55.58</v>
      </c>
      <c r="I96" s="122">
        <v>9.8620000000000001</v>
      </c>
      <c r="J96" s="122">
        <v>6.0709999999999997</v>
      </c>
      <c r="K96" s="122">
        <v>2022.077</v>
      </c>
      <c r="L96" s="122">
        <v>15.349</v>
      </c>
      <c r="M96" s="122">
        <v>2037.4259999999999</v>
      </c>
      <c r="N96" s="122">
        <v>590.26</v>
      </c>
      <c r="O96" s="122">
        <v>2646.1120000000001</v>
      </c>
      <c r="P96" s="122">
        <v>618.88800000000003</v>
      </c>
      <c r="Q96" s="122">
        <v>0</v>
      </c>
      <c r="R96" s="122">
        <v>2026.566</v>
      </c>
      <c r="S96" s="123">
        <v>1797.211</v>
      </c>
    </row>
    <row r="97" spans="1:20" ht="15.75">
      <c r="A97" s="110"/>
      <c r="B97" s="129">
        <v>2015</v>
      </c>
      <c r="C97" s="122">
        <v>1312.213</v>
      </c>
      <c r="D97" s="122">
        <v>402.14800000000002</v>
      </c>
      <c r="E97" s="122">
        <v>367.34</v>
      </c>
      <c r="F97" s="122">
        <v>213.28100000000001</v>
      </c>
      <c r="G97" s="122">
        <v>87.742999999999995</v>
      </c>
      <c r="H97" s="122">
        <v>56.548000000000002</v>
      </c>
      <c r="I97" s="122">
        <v>9.6460000000000008</v>
      </c>
      <c r="J97" s="122">
        <v>0.39300000000000002</v>
      </c>
      <c r="K97" s="122">
        <v>2082.0940000000001</v>
      </c>
      <c r="L97" s="122">
        <v>12.105</v>
      </c>
      <c r="M97" s="122">
        <v>2094.1990000000001</v>
      </c>
      <c r="N97" s="122">
        <v>612.53300000000002</v>
      </c>
      <c r="O97" s="122">
        <v>2721.7869999999998</v>
      </c>
      <c r="P97" s="122">
        <v>649.55799999999999</v>
      </c>
      <c r="Q97" s="122">
        <v>0</v>
      </c>
      <c r="R97" s="122">
        <v>2071.5610000000001</v>
      </c>
      <c r="S97" s="123">
        <v>1831.364</v>
      </c>
    </row>
    <row r="98" spans="1:20" ht="15.75">
      <c r="A98" s="110"/>
      <c r="B98" s="129">
        <v>2016</v>
      </c>
      <c r="C98" s="122">
        <v>1360.5039999999999</v>
      </c>
      <c r="D98" s="122">
        <v>404.98399999999998</v>
      </c>
      <c r="E98" s="122">
        <v>386.22500000000002</v>
      </c>
      <c r="F98" s="122">
        <v>227.965</v>
      </c>
      <c r="G98" s="122">
        <v>93.927999999999997</v>
      </c>
      <c r="H98" s="122">
        <v>54.579000000000001</v>
      </c>
      <c r="I98" s="122">
        <v>9.7419999999999991</v>
      </c>
      <c r="J98" s="122">
        <v>1.599</v>
      </c>
      <c r="K98" s="122">
        <v>2153.3119999999999</v>
      </c>
      <c r="L98" s="122">
        <v>5.0359999999999996</v>
      </c>
      <c r="M98" s="122">
        <v>2158.348</v>
      </c>
      <c r="N98" s="122">
        <v>629.52700000000004</v>
      </c>
      <c r="O98" s="122">
        <v>2786.7710000000002</v>
      </c>
      <c r="P98" s="122">
        <v>675.38800000000003</v>
      </c>
      <c r="Q98" s="122">
        <v>0</v>
      </c>
      <c r="R98" s="122">
        <v>2111.357</v>
      </c>
      <c r="S98" s="123">
        <v>1867.008</v>
      </c>
    </row>
    <row r="99" spans="1:20" ht="15.75">
      <c r="A99" s="110"/>
      <c r="B99" s="129">
        <v>2017</v>
      </c>
      <c r="C99" s="122">
        <v>1385.3779999999999</v>
      </c>
      <c r="D99" s="122">
        <v>407.63200000000001</v>
      </c>
      <c r="E99" s="122">
        <v>399.75200000000001</v>
      </c>
      <c r="F99" s="122">
        <v>227.44499999999999</v>
      </c>
      <c r="G99" s="122">
        <v>102.15300000000001</v>
      </c>
      <c r="H99" s="122">
        <v>60.512</v>
      </c>
      <c r="I99" s="122">
        <v>9.6120000000000001</v>
      </c>
      <c r="J99" s="122">
        <v>0.60599999999999998</v>
      </c>
      <c r="K99" s="122">
        <v>2193.3679999999999</v>
      </c>
      <c r="L99" s="122">
        <v>13.307</v>
      </c>
      <c r="M99" s="122">
        <v>2206.6750000000002</v>
      </c>
      <c r="N99" s="122">
        <v>672.11800000000005</v>
      </c>
      <c r="O99" s="122">
        <v>2864.105</v>
      </c>
      <c r="P99" s="122">
        <v>696.76099999999997</v>
      </c>
      <c r="Q99" s="122">
        <v>0</v>
      </c>
      <c r="R99" s="122">
        <v>2167.415</v>
      </c>
      <c r="S99" s="123">
        <v>1919.0540000000001</v>
      </c>
    </row>
    <row r="100" spans="1:20" ht="15.75">
      <c r="A100" s="110"/>
      <c r="B100" s="129">
        <v>2018</v>
      </c>
      <c r="C100" s="122">
        <v>1412.6</v>
      </c>
      <c r="D100" s="122">
        <v>410.17099999999999</v>
      </c>
      <c r="E100" s="122">
        <v>397.83800000000002</v>
      </c>
      <c r="F100" s="122">
        <v>223.77</v>
      </c>
      <c r="G100" s="122">
        <v>108.26</v>
      </c>
      <c r="H100" s="122">
        <v>60.511000000000003</v>
      </c>
      <c r="I100" s="122">
        <v>5.3470000000000004</v>
      </c>
      <c r="J100" s="122">
        <v>3.137</v>
      </c>
      <c r="K100" s="122">
        <v>2223.7460000000001</v>
      </c>
      <c r="L100" s="122">
        <v>0.94099999999999995</v>
      </c>
      <c r="M100" s="122">
        <v>2224.6869999999999</v>
      </c>
      <c r="N100" s="122">
        <v>692.86</v>
      </c>
      <c r="O100" s="122">
        <v>2916.14</v>
      </c>
      <c r="P100" s="122">
        <v>718.34699999999998</v>
      </c>
      <c r="Q100" s="122">
        <v>0</v>
      </c>
      <c r="R100" s="122">
        <v>2197.8409999999999</v>
      </c>
      <c r="S100" s="123">
        <v>1943.4929999999999</v>
      </c>
    </row>
    <row r="101" spans="1:20" ht="15.75">
      <c r="A101" s="110"/>
      <c r="B101" s="129">
        <v>2019</v>
      </c>
      <c r="C101" s="122">
        <v>1427.94</v>
      </c>
      <c r="D101" s="122">
        <v>426.59199999999998</v>
      </c>
      <c r="E101" s="122">
        <v>406.423</v>
      </c>
      <c r="F101" s="122">
        <v>228.58099999999999</v>
      </c>
      <c r="G101" s="122">
        <v>109.90900000000001</v>
      </c>
      <c r="H101" s="122">
        <v>62.14</v>
      </c>
      <c r="I101" s="122">
        <v>5.7435984900000001</v>
      </c>
      <c r="J101" s="122">
        <v>2.88</v>
      </c>
      <c r="K101" s="122">
        <v>2263.835</v>
      </c>
      <c r="L101" s="122">
        <v>1.262</v>
      </c>
      <c r="M101" s="122">
        <v>2265.0970000000002</v>
      </c>
      <c r="N101" s="122">
        <v>706.69600000000003</v>
      </c>
      <c r="O101" s="122">
        <v>2971.7930000000001</v>
      </c>
      <c r="P101" s="122">
        <v>737.87199999999996</v>
      </c>
      <c r="Q101" s="122">
        <v>0</v>
      </c>
      <c r="R101" s="122">
        <v>2233.9209999999998</v>
      </c>
      <c r="S101" s="123">
        <v>1978.192</v>
      </c>
    </row>
    <row r="102" spans="1:20" ht="15.75">
      <c r="A102" s="110"/>
      <c r="B102" s="129">
        <v>2020</v>
      </c>
      <c r="C102" s="122">
        <v>1238.94</v>
      </c>
      <c r="D102" s="122">
        <v>392.96699999999998</v>
      </c>
      <c r="E102" s="122">
        <v>362.65699999999998</v>
      </c>
      <c r="F102" s="122">
        <v>204.3</v>
      </c>
      <c r="G102" s="122">
        <v>89.215999999999994</v>
      </c>
      <c r="H102" s="122">
        <v>64.408000000000001</v>
      </c>
      <c r="I102" s="122">
        <v>4.5690352829999998</v>
      </c>
      <c r="J102" s="122">
        <v>-0.44500000000000001</v>
      </c>
      <c r="K102" s="122">
        <v>1994.1189999999999</v>
      </c>
      <c r="L102" s="122">
        <v>2.5230000000000001</v>
      </c>
      <c r="M102" s="122">
        <v>1996.6420000000001</v>
      </c>
      <c r="N102" s="122">
        <v>625.64</v>
      </c>
      <c r="O102" s="122">
        <v>2622.2820000000002</v>
      </c>
      <c r="P102" s="122">
        <v>619.79300000000001</v>
      </c>
      <c r="Q102" s="122">
        <v>0</v>
      </c>
      <c r="R102" s="122">
        <v>2002.489</v>
      </c>
      <c r="S102" s="123">
        <v>1779.2739999999999</v>
      </c>
    </row>
    <row r="103" spans="1:20" ht="15.75">
      <c r="A103" s="110"/>
      <c r="B103" s="129">
        <v>2021</v>
      </c>
      <c r="C103" s="122">
        <v>1331.105</v>
      </c>
      <c r="D103" s="122">
        <v>451.51</v>
      </c>
      <c r="E103" s="122">
        <v>389.65199999999999</v>
      </c>
      <c r="F103" s="122">
        <v>208.29400000000001</v>
      </c>
      <c r="G103" s="122">
        <v>104.90600000000001</v>
      </c>
      <c r="H103" s="122">
        <v>70.850999999999999</v>
      </c>
      <c r="I103" s="122">
        <v>5.8450314100000007</v>
      </c>
      <c r="J103" s="122">
        <v>6.9589999999999996</v>
      </c>
      <c r="K103" s="122">
        <v>2179.2260000000001</v>
      </c>
      <c r="L103" s="122">
        <v>-1.714</v>
      </c>
      <c r="M103" s="122">
        <v>2177.5120000000002</v>
      </c>
      <c r="N103" s="122">
        <v>656.55399999999997</v>
      </c>
      <c r="O103" s="122">
        <v>2834.0659999999998</v>
      </c>
      <c r="P103" s="122">
        <v>657.86300000000006</v>
      </c>
      <c r="Q103" s="122">
        <v>0</v>
      </c>
      <c r="R103" s="122">
        <v>2176.203</v>
      </c>
      <c r="S103" s="123">
        <v>1935.444</v>
      </c>
    </row>
    <row r="104" spans="1:20" ht="15.75">
      <c r="A104" s="110"/>
      <c r="B104" s="129">
        <v>2022</v>
      </c>
      <c r="C104" s="122">
        <v>1399.7049999999999</v>
      </c>
      <c r="D104" s="122">
        <v>462.84899999999999</v>
      </c>
      <c r="E104" s="122">
        <v>420.601</v>
      </c>
      <c r="F104" s="122">
        <v>228.26</v>
      </c>
      <c r="G104" s="122">
        <v>114.81399999999999</v>
      </c>
      <c r="H104" s="122">
        <v>71.316999999999993</v>
      </c>
      <c r="I104" s="122">
        <v>6.3654985999999996</v>
      </c>
      <c r="J104" s="122">
        <v>-19.457999999999998</v>
      </c>
      <c r="K104" s="122">
        <v>2263.6970000000001</v>
      </c>
      <c r="L104" s="122">
        <v>17.184999999999999</v>
      </c>
      <c r="M104" s="122">
        <v>2280.8820000000001</v>
      </c>
      <c r="N104" s="122">
        <v>712.74099999999999</v>
      </c>
      <c r="O104" s="122">
        <v>2993.623</v>
      </c>
      <c r="P104" s="122">
        <v>750.92499999999995</v>
      </c>
      <c r="Q104" s="122">
        <v>28.094999999999999</v>
      </c>
      <c r="R104" s="122">
        <v>2270.7930000000001</v>
      </c>
      <c r="S104" s="123">
        <v>2014.8140000000001</v>
      </c>
    </row>
    <row r="105" spans="1:20" ht="15.75">
      <c r="A105" s="110"/>
      <c r="B105" s="129">
        <v>2023</v>
      </c>
      <c r="C105" s="122">
        <v>1406.8553649999999</v>
      </c>
      <c r="D105" s="122">
        <v>465.94142200000005</v>
      </c>
      <c r="E105" s="122">
        <v>430.45273845359304</v>
      </c>
      <c r="F105" s="122">
        <v>240.6091734</v>
      </c>
      <c r="G105" s="122">
        <v>106.78083794841467</v>
      </c>
      <c r="H105" s="122">
        <v>77.006837899999994</v>
      </c>
      <c r="I105" s="122">
        <v>6.1206206608545228</v>
      </c>
      <c r="J105" s="122">
        <v>-10.4125</v>
      </c>
      <c r="K105" s="122">
        <v>2292.837025453593</v>
      </c>
      <c r="L105" s="122">
        <v>-3.642380239</v>
      </c>
      <c r="M105" s="122">
        <v>2289.194645214593</v>
      </c>
      <c r="N105" s="122">
        <v>704.18483177558653</v>
      </c>
      <c r="O105" s="122">
        <v>2993.379477</v>
      </c>
      <c r="P105" s="122">
        <v>740.69706831985991</v>
      </c>
      <c r="Q105" s="122">
        <v>30.692</v>
      </c>
      <c r="R105" s="122">
        <v>2283.3744086698894</v>
      </c>
      <c r="S105" s="123">
        <v>2028.5414499999999</v>
      </c>
    </row>
    <row r="106" spans="1:20" ht="15.75">
      <c r="A106" s="110"/>
      <c r="B106" s="129">
        <v>2024</v>
      </c>
      <c r="C106" s="122">
        <v>1414.2540140000001</v>
      </c>
      <c r="D106" s="122">
        <v>484.51237900000007</v>
      </c>
      <c r="E106" s="122">
        <v>410.4334187607314</v>
      </c>
      <c r="F106" s="122">
        <v>227.03792440000001</v>
      </c>
      <c r="G106" s="122">
        <v>100.40032901281238</v>
      </c>
      <c r="H106" s="122">
        <v>77.143286500000002</v>
      </c>
      <c r="I106" s="122">
        <v>5.8518787547187641</v>
      </c>
      <c r="J106" s="122">
        <v>-6.367</v>
      </c>
      <c r="K106" s="122">
        <v>2302.8328117607316</v>
      </c>
      <c r="L106" s="122">
        <v>3.0622286359999999</v>
      </c>
      <c r="M106" s="122">
        <v>2305.8950403967315</v>
      </c>
      <c r="N106" s="122">
        <v>697.55741480155848</v>
      </c>
      <c r="O106" s="122">
        <v>3003.4524550000001</v>
      </c>
      <c r="P106" s="122">
        <v>734.64656804671142</v>
      </c>
      <c r="Q106" s="122">
        <v>30.707999999999998</v>
      </c>
      <c r="R106" s="122">
        <v>2299.5138871476929</v>
      </c>
      <c r="S106" s="123">
        <v>2043.3701450000001</v>
      </c>
    </row>
    <row r="107" spans="1:20" ht="15.75">
      <c r="A107" s="110"/>
      <c r="B107" s="129">
        <v>2025</v>
      </c>
      <c r="C107" s="122">
        <v>1428.8395539999999</v>
      </c>
      <c r="D107" s="122">
        <v>494.60802499999994</v>
      </c>
      <c r="E107" s="122">
        <v>408.81802074721867</v>
      </c>
      <c r="F107" s="122">
        <v>229.73330059999998</v>
      </c>
      <c r="G107" s="122">
        <v>100.44238917986318</v>
      </c>
      <c r="H107" s="122">
        <v>72.838472899999999</v>
      </c>
      <c r="I107" s="122">
        <v>5.8038582278683366</v>
      </c>
      <c r="J107" s="122">
        <v>-6.367</v>
      </c>
      <c r="K107" s="122">
        <v>2325.8985997472187</v>
      </c>
      <c r="L107" s="122">
        <v>4.1125650180000006</v>
      </c>
      <c r="M107" s="122">
        <v>2330.0111647652188</v>
      </c>
      <c r="N107" s="122">
        <v>699.19451095514114</v>
      </c>
      <c r="O107" s="122">
        <v>3029.2056750000002</v>
      </c>
      <c r="P107" s="122">
        <v>728.6663865451377</v>
      </c>
      <c r="Q107" s="122">
        <v>30.707999999999998</v>
      </c>
      <c r="R107" s="122">
        <v>2331.2472891716061</v>
      </c>
      <c r="S107" s="123">
        <v>2072.4666139999999</v>
      </c>
    </row>
    <row r="108" spans="1:20" ht="15.75">
      <c r="A108" s="110"/>
      <c r="B108" s="129">
        <v>2026</v>
      </c>
      <c r="C108" s="122">
        <v>1452.0825609999999</v>
      </c>
      <c r="D108" s="122">
        <v>502.40233799999999</v>
      </c>
      <c r="E108" s="122">
        <v>418.36401850093705</v>
      </c>
      <c r="F108" s="122">
        <v>237.5658885</v>
      </c>
      <c r="G108" s="122">
        <v>104.1477360329468</v>
      </c>
      <c r="H108" s="122">
        <v>70.664351300000007</v>
      </c>
      <c r="I108" s="122">
        <v>5.9860425677457787</v>
      </c>
      <c r="J108" s="122">
        <v>-6.367</v>
      </c>
      <c r="K108" s="122">
        <v>2366.481917500937</v>
      </c>
      <c r="L108" s="122">
        <v>4.0108443429999996</v>
      </c>
      <c r="M108" s="122">
        <v>2370.4927618439369</v>
      </c>
      <c r="N108" s="122">
        <v>703.14616416976014</v>
      </c>
      <c r="O108" s="122">
        <v>3073.6389260000001</v>
      </c>
      <c r="P108" s="122">
        <v>727.19383535258237</v>
      </c>
      <c r="Q108" s="122">
        <v>30.707999999999998</v>
      </c>
      <c r="R108" s="122">
        <v>2377.1530906633798</v>
      </c>
      <c r="S108" s="123">
        <v>2114.1581629999996</v>
      </c>
    </row>
    <row r="109" spans="1:20" ht="15.75">
      <c r="A109" s="110"/>
      <c r="B109" s="129">
        <v>2027</v>
      </c>
      <c r="C109" s="122">
        <v>1482.5115350000001</v>
      </c>
      <c r="D109" s="122">
        <v>510.02679899999998</v>
      </c>
      <c r="E109" s="122">
        <v>423.43425608324054</v>
      </c>
      <c r="F109" s="122">
        <v>239.7694395</v>
      </c>
      <c r="G109" s="122">
        <v>107.82619805173614</v>
      </c>
      <c r="H109" s="122">
        <v>69.654592499999993</v>
      </c>
      <c r="I109" s="122">
        <v>6.1840260402059535</v>
      </c>
      <c r="J109" s="122">
        <v>-6.367</v>
      </c>
      <c r="K109" s="122">
        <v>2409.6055900832412</v>
      </c>
      <c r="L109" s="122">
        <v>4.0308602389999999</v>
      </c>
      <c r="M109" s="122">
        <v>2413.6364503222412</v>
      </c>
      <c r="N109" s="122">
        <v>707.59165490186842</v>
      </c>
      <c r="O109" s="122">
        <v>3121.2281059999996</v>
      </c>
      <c r="P109" s="122">
        <v>728.04800105777599</v>
      </c>
      <c r="Q109" s="122">
        <v>30.707999999999998</v>
      </c>
      <c r="R109" s="122">
        <v>2423.8881041732598</v>
      </c>
      <c r="S109" s="123">
        <v>2156.6991669999998</v>
      </c>
    </row>
    <row r="110" spans="1:20" ht="15.75">
      <c r="A110" s="110"/>
      <c r="B110" s="130">
        <v>2028</v>
      </c>
      <c r="C110" s="131">
        <v>1511.808655</v>
      </c>
      <c r="D110" s="131">
        <v>518.17503599999998</v>
      </c>
      <c r="E110" s="131">
        <v>427.18384009751435</v>
      </c>
      <c r="F110" s="131">
        <v>240.89731759999998</v>
      </c>
      <c r="G110" s="131">
        <v>111.83350181964524</v>
      </c>
      <c r="H110" s="131">
        <v>68.049750199999991</v>
      </c>
      <c r="I110" s="131">
        <v>6.40327036286285</v>
      </c>
      <c r="J110" s="131">
        <v>-6.367</v>
      </c>
      <c r="K110" s="131">
        <v>2450.8005310975145</v>
      </c>
      <c r="L110" s="131">
        <v>4.8033498099999994</v>
      </c>
      <c r="M110" s="131">
        <v>2455.6038809075144</v>
      </c>
      <c r="N110" s="131">
        <v>711.81774359014025</v>
      </c>
      <c r="O110" s="131">
        <v>3167.4216249999999</v>
      </c>
      <c r="P110" s="131">
        <v>731.99985538889212</v>
      </c>
      <c r="Q110" s="131">
        <v>30.707999999999998</v>
      </c>
      <c r="R110" s="131">
        <v>2466.1297691143286</v>
      </c>
      <c r="S110" s="132">
        <v>2195.1628909999999</v>
      </c>
      <c r="T110" s="133"/>
    </row>
    <row r="111" spans="1:20" ht="15.75">
      <c r="A111" s="110"/>
      <c r="B111" s="129" t="s">
        <v>196</v>
      </c>
      <c r="C111" s="122">
        <v>1187.7840000000001</v>
      </c>
      <c r="D111" s="122">
        <v>377.339</v>
      </c>
      <c r="E111" s="122">
        <v>322.36099999999999</v>
      </c>
      <c r="F111" s="122">
        <v>175.387</v>
      </c>
      <c r="G111" s="122">
        <v>79.707999999999998</v>
      </c>
      <c r="H111" s="122">
        <v>58.954999999999998</v>
      </c>
      <c r="I111" s="122">
        <v>9.6280000000000001</v>
      </c>
      <c r="J111" s="122">
        <v>1.2E-2</v>
      </c>
      <c r="K111" s="122">
        <v>1887.4960000000001</v>
      </c>
      <c r="L111" s="122">
        <v>-19.494</v>
      </c>
      <c r="M111" s="122">
        <v>1868.002</v>
      </c>
      <c r="N111" s="122">
        <v>543.298</v>
      </c>
      <c r="O111" s="122">
        <v>2413.8020000000001</v>
      </c>
      <c r="P111" s="122">
        <v>518.50599999999997</v>
      </c>
      <c r="Q111" s="122">
        <v>0</v>
      </c>
      <c r="R111" s="122">
        <v>1897.057</v>
      </c>
      <c r="S111" s="123">
        <v>1653.664</v>
      </c>
    </row>
    <row r="112" spans="1:20" ht="15.75">
      <c r="A112" s="110"/>
      <c r="B112" s="129" t="s">
        <v>197</v>
      </c>
      <c r="C112" s="122">
        <v>1172.2159999999999</v>
      </c>
      <c r="D112" s="122">
        <v>380.84100000000001</v>
      </c>
      <c r="E112" s="122">
        <v>291.08699999999999</v>
      </c>
      <c r="F112" s="122">
        <v>149.101</v>
      </c>
      <c r="G112" s="122">
        <v>68.311999999999998</v>
      </c>
      <c r="H112" s="122">
        <v>63.536000000000001</v>
      </c>
      <c r="I112" s="122">
        <v>10.756</v>
      </c>
      <c r="J112" s="122">
        <v>1.0589999999999999</v>
      </c>
      <c r="K112" s="122">
        <v>1845.203</v>
      </c>
      <c r="L112" s="122">
        <v>-27.832999999999998</v>
      </c>
      <c r="M112" s="122">
        <v>1817.37</v>
      </c>
      <c r="N112" s="122">
        <v>511.49299999999999</v>
      </c>
      <c r="O112" s="122">
        <v>2344.7370000000001</v>
      </c>
      <c r="P112" s="122">
        <v>504.34699999999998</v>
      </c>
      <c r="Q112" s="122">
        <v>0</v>
      </c>
      <c r="R112" s="122">
        <v>1842.2550000000001</v>
      </c>
      <c r="S112" s="123">
        <v>1607.2660000000001</v>
      </c>
    </row>
    <row r="113" spans="1:19" ht="15.75">
      <c r="A113" s="110"/>
      <c r="B113" s="129" t="s">
        <v>198</v>
      </c>
      <c r="C113" s="122">
        <v>1199.499</v>
      </c>
      <c r="D113" s="122">
        <v>382.21800000000002</v>
      </c>
      <c r="E113" s="122">
        <v>305.81599999999997</v>
      </c>
      <c r="F113" s="122">
        <v>157.857</v>
      </c>
      <c r="G113" s="122">
        <v>75.328000000000003</v>
      </c>
      <c r="H113" s="122">
        <v>62.987000000000002</v>
      </c>
      <c r="I113" s="122">
        <v>10.617999999999999</v>
      </c>
      <c r="J113" s="122">
        <v>-1.944</v>
      </c>
      <c r="K113" s="122">
        <v>1885.5889999999999</v>
      </c>
      <c r="L113" s="122">
        <v>-8.6259999999999994</v>
      </c>
      <c r="M113" s="122">
        <v>1876.963</v>
      </c>
      <c r="N113" s="122">
        <v>555.07399999999996</v>
      </c>
      <c r="O113" s="122">
        <v>2434.5239999999999</v>
      </c>
      <c r="P113" s="122">
        <v>547.23800000000006</v>
      </c>
      <c r="Q113" s="122">
        <v>0</v>
      </c>
      <c r="R113" s="122">
        <v>1888.2360000000001</v>
      </c>
      <c r="S113" s="123">
        <v>1654.7739999999999</v>
      </c>
    </row>
    <row r="114" spans="1:19">
      <c r="B114" s="129" t="s">
        <v>199</v>
      </c>
      <c r="C114" s="122">
        <v>1192.115</v>
      </c>
      <c r="D114" s="122">
        <v>382.48099999999999</v>
      </c>
      <c r="E114" s="122">
        <v>308.08699999999999</v>
      </c>
      <c r="F114" s="122">
        <v>172.739</v>
      </c>
      <c r="G114" s="122">
        <v>70.143000000000001</v>
      </c>
      <c r="H114" s="122">
        <v>55.594000000000001</v>
      </c>
      <c r="I114" s="122">
        <v>9.64</v>
      </c>
      <c r="J114" s="122">
        <v>-0.36</v>
      </c>
      <c r="K114" s="122">
        <v>1882.3230000000001</v>
      </c>
      <c r="L114" s="122">
        <v>-6.242</v>
      </c>
      <c r="M114" s="122">
        <v>1876.0809999999999</v>
      </c>
      <c r="N114" s="122">
        <v>583.60299999999995</v>
      </c>
      <c r="O114" s="122">
        <v>2469.395</v>
      </c>
      <c r="P114" s="122">
        <v>562.55799999999999</v>
      </c>
      <c r="Q114" s="122">
        <v>0</v>
      </c>
      <c r="R114" s="122">
        <v>1907.289</v>
      </c>
      <c r="S114" s="123">
        <v>1680.39</v>
      </c>
    </row>
    <row r="115" spans="1:19">
      <c r="B115" s="127" t="s">
        <v>200</v>
      </c>
      <c r="C115" s="122">
        <v>1219.509</v>
      </c>
      <c r="D115" s="122">
        <v>383.86399999999998</v>
      </c>
      <c r="E115" s="122">
        <v>308.262</v>
      </c>
      <c r="F115" s="122">
        <v>177.636</v>
      </c>
      <c r="G115" s="122">
        <v>71.051000000000002</v>
      </c>
      <c r="H115" s="122">
        <v>50.723999999999997</v>
      </c>
      <c r="I115" s="122">
        <v>8.8449999999999989</v>
      </c>
      <c r="J115" s="122">
        <v>1.6890000000000001</v>
      </c>
      <c r="K115" s="122">
        <v>1913.3240000000001</v>
      </c>
      <c r="L115" s="122">
        <v>12.249000000000001</v>
      </c>
      <c r="M115" s="122">
        <v>1925.5730000000001</v>
      </c>
      <c r="N115" s="122">
        <v>578.78099999999995</v>
      </c>
      <c r="O115" s="122">
        <v>2503.373</v>
      </c>
      <c r="P115" s="122">
        <v>569.73</v>
      </c>
      <c r="Q115" s="122">
        <v>0</v>
      </c>
      <c r="R115" s="122">
        <v>1934.0060000000001</v>
      </c>
      <c r="S115" s="123">
        <v>1713.037</v>
      </c>
    </row>
    <row r="116" spans="1:19">
      <c r="B116" s="127" t="s">
        <v>201</v>
      </c>
      <c r="C116" s="122">
        <v>1251.056</v>
      </c>
      <c r="D116" s="122">
        <v>389.959</v>
      </c>
      <c r="E116" s="122">
        <v>328.21800000000002</v>
      </c>
      <c r="F116" s="122">
        <v>187.917</v>
      </c>
      <c r="G116" s="122">
        <v>79.759</v>
      </c>
      <c r="H116" s="122">
        <v>51.896999999999998</v>
      </c>
      <c r="I116" s="122">
        <v>8.5419999999999998</v>
      </c>
      <c r="J116" s="122">
        <v>7.843</v>
      </c>
      <c r="K116" s="122">
        <v>1977.076</v>
      </c>
      <c r="L116" s="122">
        <v>4.2640000000000002</v>
      </c>
      <c r="M116" s="122">
        <v>1981.34</v>
      </c>
      <c r="N116" s="122">
        <v>582.91700000000003</v>
      </c>
      <c r="O116" s="122">
        <v>2576.0230000000001</v>
      </c>
      <c r="P116" s="122">
        <v>596.66600000000005</v>
      </c>
      <c r="Q116" s="122">
        <v>0</v>
      </c>
      <c r="R116" s="122">
        <v>1978.95</v>
      </c>
      <c r="S116" s="123">
        <v>1753.086</v>
      </c>
    </row>
    <row r="117" spans="1:19">
      <c r="B117" s="127" t="s">
        <v>202</v>
      </c>
      <c r="C117" s="122">
        <v>1286.0899999999999</v>
      </c>
      <c r="D117" s="122">
        <v>397.79399999999998</v>
      </c>
      <c r="E117" s="122">
        <v>349.35700000000003</v>
      </c>
      <c r="F117" s="122">
        <v>200.346</v>
      </c>
      <c r="G117" s="122">
        <v>82.465999999999994</v>
      </c>
      <c r="H117" s="122">
        <v>56.076999999999998</v>
      </c>
      <c r="I117" s="122">
        <v>10.342000000000001</v>
      </c>
      <c r="J117" s="122">
        <v>7.4279999999999999</v>
      </c>
      <c r="K117" s="122">
        <v>2040.6690000000001</v>
      </c>
      <c r="L117" s="122">
        <v>21.859000000000002</v>
      </c>
      <c r="M117" s="122">
        <v>2062.5279999999998</v>
      </c>
      <c r="N117" s="122">
        <v>596.56399999999996</v>
      </c>
      <c r="O117" s="122">
        <v>2674.223</v>
      </c>
      <c r="P117" s="122">
        <v>633.48299999999995</v>
      </c>
      <c r="Q117" s="122">
        <v>0</v>
      </c>
      <c r="R117" s="122">
        <v>2039.864</v>
      </c>
      <c r="S117" s="123">
        <v>1809.444</v>
      </c>
    </row>
    <row r="118" spans="1:19">
      <c r="B118" s="127" t="s">
        <v>203</v>
      </c>
      <c r="C118" s="122">
        <v>1323.9680000000001</v>
      </c>
      <c r="D118" s="122">
        <v>403.76</v>
      </c>
      <c r="E118" s="122">
        <v>371.05099999999999</v>
      </c>
      <c r="F118" s="122">
        <v>216.768</v>
      </c>
      <c r="G118" s="122">
        <v>89.667000000000002</v>
      </c>
      <c r="H118" s="122">
        <v>55.113</v>
      </c>
      <c r="I118" s="122">
        <v>9.42</v>
      </c>
      <c r="J118" s="122">
        <v>-1.3109999999999999</v>
      </c>
      <c r="K118" s="122">
        <v>2097.4679999999998</v>
      </c>
      <c r="L118" s="122">
        <v>7.4859999999999998</v>
      </c>
      <c r="M118" s="122">
        <v>2104.9540000000002</v>
      </c>
      <c r="N118" s="122">
        <v>616.10699999999997</v>
      </c>
      <c r="O118" s="122">
        <v>2733.5680000000002</v>
      </c>
      <c r="P118" s="122">
        <v>651.51499999999999</v>
      </c>
      <c r="Q118" s="122">
        <v>0</v>
      </c>
      <c r="R118" s="122">
        <v>2081.5239999999999</v>
      </c>
      <c r="S118" s="123">
        <v>1838.471</v>
      </c>
    </row>
    <row r="119" spans="1:19">
      <c r="B119" s="127" t="s">
        <v>204</v>
      </c>
      <c r="C119" s="122">
        <v>1368.575</v>
      </c>
      <c r="D119" s="122">
        <v>405.16899999999998</v>
      </c>
      <c r="E119" s="122">
        <v>390.464</v>
      </c>
      <c r="F119" s="122">
        <v>228.363</v>
      </c>
      <c r="G119" s="122">
        <v>96.897999999999996</v>
      </c>
      <c r="H119" s="122">
        <v>55.372999999999998</v>
      </c>
      <c r="I119" s="122">
        <v>9.8339999999999996</v>
      </c>
      <c r="J119" s="122">
        <v>-0.129</v>
      </c>
      <c r="K119" s="122">
        <v>2164.0790000000002</v>
      </c>
      <c r="L119" s="122">
        <v>9.6180000000000003</v>
      </c>
      <c r="M119" s="122">
        <v>2173.6970000000001</v>
      </c>
      <c r="N119" s="122">
        <v>638.63300000000004</v>
      </c>
      <c r="O119" s="122">
        <v>2805.0160000000001</v>
      </c>
      <c r="P119" s="122">
        <v>680.97199999999998</v>
      </c>
      <c r="Q119" s="122">
        <v>0</v>
      </c>
      <c r="R119" s="122">
        <v>2124.11</v>
      </c>
      <c r="S119" s="123">
        <v>1879.97</v>
      </c>
    </row>
    <row r="120" spans="1:19">
      <c r="B120" s="127" t="s">
        <v>205</v>
      </c>
      <c r="C120" s="122">
        <v>1391.8</v>
      </c>
      <c r="D120" s="122">
        <v>408.18200000000002</v>
      </c>
      <c r="E120" s="122">
        <v>401.053</v>
      </c>
      <c r="F120" s="122">
        <v>226.78899999999999</v>
      </c>
      <c r="G120" s="122">
        <v>103.486</v>
      </c>
      <c r="H120" s="122">
        <v>62.241999999999997</v>
      </c>
      <c r="I120" s="122">
        <v>8.5269999999999992</v>
      </c>
      <c r="J120" s="122">
        <v>1.5960000000000001</v>
      </c>
      <c r="K120" s="122">
        <v>2202.6309999999999</v>
      </c>
      <c r="L120" s="122">
        <v>7.4390000000000001</v>
      </c>
      <c r="M120" s="122">
        <v>2210.0700000000002</v>
      </c>
      <c r="N120" s="122">
        <v>680.18499999999995</v>
      </c>
      <c r="O120" s="122">
        <v>2880.6480000000001</v>
      </c>
      <c r="P120" s="122">
        <v>702.21100000000001</v>
      </c>
      <c r="Q120" s="122">
        <v>0</v>
      </c>
      <c r="R120" s="122">
        <v>2178.5369999999998</v>
      </c>
      <c r="S120" s="123">
        <v>1927.7850000000001</v>
      </c>
    </row>
    <row r="121" spans="1:19">
      <c r="B121" s="127" t="s">
        <v>206</v>
      </c>
      <c r="C121" s="122">
        <v>1418.4549999999999</v>
      </c>
      <c r="D121" s="122">
        <v>413.55</v>
      </c>
      <c r="E121" s="122">
        <v>399.565</v>
      </c>
      <c r="F121" s="122">
        <v>223.66</v>
      </c>
      <c r="G121" s="122">
        <v>109.414</v>
      </c>
      <c r="H121" s="122">
        <v>61.167000000000002</v>
      </c>
      <c r="I121" s="122">
        <v>5.3704692500000002</v>
      </c>
      <c r="J121" s="122">
        <v>14.691000000000001</v>
      </c>
      <c r="K121" s="122">
        <v>2246.261</v>
      </c>
      <c r="L121" s="122">
        <v>8.4260000000000002</v>
      </c>
      <c r="M121" s="122">
        <v>2254.6869999999999</v>
      </c>
      <c r="N121" s="122">
        <v>692.69600000000003</v>
      </c>
      <c r="O121" s="122">
        <v>2945.4659999999999</v>
      </c>
      <c r="P121" s="122">
        <v>740.15700000000004</v>
      </c>
      <c r="Q121" s="122">
        <v>0</v>
      </c>
      <c r="R121" s="122">
        <v>2205.2939999999999</v>
      </c>
      <c r="S121" s="123">
        <v>1950.519</v>
      </c>
    </row>
    <row r="122" spans="1:19">
      <c r="B122" s="127" t="s">
        <v>207</v>
      </c>
      <c r="C122" s="122">
        <v>1416.634</v>
      </c>
      <c r="D122" s="122">
        <v>424.90199999999999</v>
      </c>
      <c r="E122" s="122">
        <v>401.50900000000001</v>
      </c>
      <c r="F122" s="122">
        <v>227.994</v>
      </c>
      <c r="G122" s="122">
        <v>107.276</v>
      </c>
      <c r="H122" s="122">
        <v>60.56</v>
      </c>
      <c r="I122" s="122">
        <v>5.608728769999999</v>
      </c>
      <c r="J122" s="122">
        <v>-8.5449999999999999</v>
      </c>
      <c r="K122" s="122">
        <v>2234.5</v>
      </c>
      <c r="L122" s="122">
        <v>-7.5119999999999996</v>
      </c>
      <c r="M122" s="122">
        <v>2226.9879999999998</v>
      </c>
      <c r="N122" s="122">
        <v>705.47900000000004</v>
      </c>
      <c r="O122" s="122">
        <v>2933.5230000000001</v>
      </c>
      <c r="P122" s="122">
        <v>709.21299999999997</v>
      </c>
      <c r="Q122" s="122">
        <v>0</v>
      </c>
      <c r="R122" s="122">
        <v>2224.377</v>
      </c>
      <c r="S122" s="123">
        <v>1971.4469999999999</v>
      </c>
    </row>
    <row r="123" spans="1:19">
      <c r="B123" s="127" t="s">
        <v>208</v>
      </c>
      <c r="C123" s="122">
        <v>1194.251</v>
      </c>
      <c r="D123" s="122">
        <v>395.25700000000001</v>
      </c>
      <c r="E123" s="122">
        <v>359.24299999999999</v>
      </c>
      <c r="F123" s="122">
        <v>196.42099999999999</v>
      </c>
      <c r="G123" s="122">
        <v>89.19</v>
      </c>
      <c r="H123" s="122">
        <v>68.921999999999997</v>
      </c>
      <c r="I123" s="122">
        <v>4.5920723530000007</v>
      </c>
      <c r="J123" s="122">
        <v>5.9080000000000004</v>
      </c>
      <c r="K123" s="122">
        <v>1954.6590000000001</v>
      </c>
      <c r="L123" s="122">
        <v>7.1920000000000002</v>
      </c>
      <c r="M123" s="122">
        <v>1961.8510000000001</v>
      </c>
      <c r="N123" s="122">
        <v>610.03</v>
      </c>
      <c r="O123" s="122">
        <v>2571.8809999999999</v>
      </c>
      <c r="P123" s="122">
        <v>605.72799999999995</v>
      </c>
      <c r="Q123" s="122">
        <v>0</v>
      </c>
      <c r="R123" s="122">
        <v>1966.153</v>
      </c>
      <c r="S123" s="123">
        <v>1748.393</v>
      </c>
    </row>
    <row r="124" spans="1:19">
      <c r="B124" s="127" t="s">
        <v>33</v>
      </c>
      <c r="C124" s="122">
        <v>1380.5170000000001</v>
      </c>
      <c r="D124" s="122">
        <v>462.94299999999998</v>
      </c>
      <c r="E124" s="122">
        <v>400.31799999999998</v>
      </c>
      <c r="F124" s="122">
        <v>216.05600000000001</v>
      </c>
      <c r="G124" s="122">
        <v>107.738</v>
      </c>
      <c r="H124" s="122">
        <v>70.667000000000002</v>
      </c>
      <c r="I124" s="122">
        <v>6.1180565199999997</v>
      </c>
      <c r="J124" s="122">
        <v>5.742</v>
      </c>
      <c r="K124" s="122">
        <v>2249.52</v>
      </c>
      <c r="L124" s="122">
        <v>4.8440000000000003</v>
      </c>
      <c r="M124" s="122">
        <v>2254.364</v>
      </c>
      <c r="N124" s="122">
        <v>663.74099999999999</v>
      </c>
      <c r="O124" s="122">
        <v>2918.105</v>
      </c>
      <c r="P124" s="122">
        <v>690.29200000000003</v>
      </c>
      <c r="Q124" s="122">
        <v>6.5010000000000003</v>
      </c>
      <c r="R124" s="122">
        <v>2234.3139999999999</v>
      </c>
      <c r="S124" s="123">
        <v>1985.172</v>
      </c>
    </row>
    <row r="125" spans="1:19">
      <c r="B125" s="127" t="s">
        <v>5</v>
      </c>
      <c r="C125" s="122">
        <v>1400.259</v>
      </c>
      <c r="D125" s="122">
        <v>459.09800000000001</v>
      </c>
      <c r="E125" s="122">
        <v>424.63499999999999</v>
      </c>
      <c r="F125" s="122">
        <v>232.16</v>
      </c>
      <c r="G125" s="122">
        <v>114.672</v>
      </c>
      <c r="H125" s="122">
        <v>71.552999999999997</v>
      </c>
      <c r="I125" s="122">
        <v>6.3229721599999991</v>
      </c>
      <c r="J125" s="122">
        <v>-30.327000000000002</v>
      </c>
      <c r="K125" s="122">
        <v>2253.665</v>
      </c>
      <c r="L125" s="122">
        <v>7.266</v>
      </c>
      <c r="M125" s="122">
        <v>2260.931</v>
      </c>
      <c r="N125" s="122">
        <v>728.77599999999995</v>
      </c>
      <c r="O125" s="122">
        <v>2989.7069999999999</v>
      </c>
      <c r="P125" s="122">
        <v>745.56799999999998</v>
      </c>
      <c r="Q125" s="122">
        <v>29.254999999999999</v>
      </c>
      <c r="R125" s="122">
        <v>2273.3939999999998</v>
      </c>
      <c r="S125" s="123">
        <v>2018.009</v>
      </c>
    </row>
    <row r="126" spans="1:19">
      <c r="B126" s="127" t="s">
        <v>6</v>
      </c>
      <c r="C126" s="122">
        <v>1408.3865169999999</v>
      </c>
      <c r="D126" s="122">
        <v>472.217894</v>
      </c>
      <c r="E126" s="122">
        <v>426.04640348537953</v>
      </c>
      <c r="F126" s="122">
        <v>238.1321552</v>
      </c>
      <c r="G126" s="122">
        <v>104.41339385964744</v>
      </c>
      <c r="H126" s="122">
        <v>77.511114800000001</v>
      </c>
      <c r="I126" s="122">
        <v>6.075335788740361</v>
      </c>
      <c r="J126" s="122">
        <v>-6.8972499999999997</v>
      </c>
      <c r="K126" s="122">
        <v>2299.7535644853797</v>
      </c>
      <c r="L126" s="122">
        <v>-2.7062262079999999</v>
      </c>
      <c r="M126" s="122">
        <v>2297.0473382773794</v>
      </c>
      <c r="N126" s="122">
        <v>700.73324716724824</v>
      </c>
      <c r="O126" s="122">
        <v>2997.780585</v>
      </c>
      <c r="P126" s="122">
        <v>742.53786330883815</v>
      </c>
      <c r="Q126" s="122">
        <v>30.707999999999998</v>
      </c>
      <c r="R126" s="122">
        <v>2285.9507221354329</v>
      </c>
      <c r="S126" s="123">
        <v>2030.7009849999999</v>
      </c>
    </row>
    <row r="127" spans="1:19">
      <c r="B127" s="127" t="s">
        <v>7</v>
      </c>
      <c r="C127" s="122">
        <v>1417.3552590000002</v>
      </c>
      <c r="D127" s="122">
        <v>487.54787499999998</v>
      </c>
      <c r="E127" s="122">
        <v>407.84448011413099</v>
      </c>
      <c r="F127" s="122">
        <v>226.34580720000002</v>
      </c>
      <c r="G127" s="122">
        <v>99.826499923059401</v>
      </c>
      <c r="H127" s="122">
        <v>75.862740600000009</v>
      </c>
      <c r="I127" s="122">
        <v>5.8094323416239151</v>
      </c>
      <c r="J127" s="122">
        <v>-6.367</v>
      </c>
      <c r="K127" s="122">
        <v>2306.3806141141308</v>
      </c>
      <c r="L127" s="122">
        <v>4.1838375849999991</v>
      </c>
      <c r="M127" s="122">
        <v>2310.5644516991306</v>
      </c>
      <c r="N127" s="122">
        <v>697.59626546015602</v>
      </c>
      <c r="O127" s="122">
        <v>3008.1607170000002</v>
      </c>
      <c r="P127" s="122">
        <v>732.54917957658643</v>
      </c>
      <c r="Q127" s="122">
        <v>30.707999999999998</v>
      </c>
      <c r="R127" s="122">
        <v>2306.3195375764744</v>
      </c>
      <c r="S127" s="123">
        <v>2049.637972</v>
      </c>
    </row>
    <row r="128" spans="1:19">
      <c r="B128" s="127" t="s">
        <v>8</v>
      </c>
      <c r="C128" s="122">
        <v>1433.7020950000001</v>
      </c>
      <c r="D128" s="122">
        <v>496.62622400000004</v>
      </c>
      <c r="E128" s="122">
        <v>411.23590351310804</v>
      </c>
      <c r="F128" s="122">
        <v>232.11179949999999</v>
      </c>
      <c r="G128" s="122">
        <v>101.24582422104429</v>
      </c>
      <c r="H128" s="122">
        <v>72.040696900000015</v>
      </c>
      <c r="I128" s="122">
        <v>5.8375829867542448</v>
      </c>
      <c r="J128" s="122">
        <v>-6.367</v>
      </c>
      <c r="K128" s="122">
        <v>2335.197222513108</v>
      </c>
      <c r="L128" s="122">
        <v>3.5607959559999998</v>
      </c>
      <c r="M128" s="122">
        <v>2338.7580184691083</v>
      </c>
      <c r="N128" s="122">
        <v>700.05717932076971</v>
      </c>
      <c r="O128" s="122">
        <v>3038.8151970000004</v>
      </c>
      <c r="P128" s="122">
        <v>728.02761976672082</v>
      </c>
      <c r="Q128" s="122">
        <v>30.707999999999998</v>
      </c>
      <c r="R128" s="122">
        <v>2341.49557802146</v>
      </c>
      <c r="S128" s="123">
        <v>2081.7899819999998</v>
      </c>
    </row>
    <row r="129" spans="2:19">
      <c r="B129" s="127" t="s">
        <v>9</v>
      </c>
      <c r="C129" s="122">
        <v>1459.4190570000001</v>
      </c>
      <c r="D129" s="122">
        <v>504.32795399999998</v>
      </c>
      <c r="E129" s="122">
        <v>420.00652609253905</v>
      </c>
      <c r="F129" s="122">
        <v>238.44706329999997</v>
      </c>
      <c r="G129" s="122">
        <v>105.08165971285827</v>
      </c>
      <c r="H129" s="122">
        <v>70.441460100000015</v>
      </c>
      <c r="I129" s="122">
        <v>6.036342867986713</v>
      </c>
      <c r="J129" s="122">
        <v>-6.367</v>
      </c>
      <c r="K129" s="122">
        <v>2377.3865370925391</v>
      </c>
      <c r="L129" s="122">
        <v>4.2124051389999995</v>
      </c>
      <c r="M129" s="122">
        <v>2381.5989422315392</v>
      </c>
      <c r="N129" s="122">
        <v>704.23234692268477</v>
      </c>
      <c r="O129" s="122">
        <v>3085.8312900000001</v>
      </c>
      <c r="P129" s="122">
        <v>727.18358231590969</v>
      </c>
      <c r="Q129" s="122">
        <v>30.707999999999998</v>
      </c>
      <c r="R129" s="122">
        <v>2389.3557068408945</v>
      </c>
      <c r="S129" s="123">
        <v>2125.2541260000003</v>
      </c>
    </row>
    <row r="130" spans="2:19">
      <c r="B130" s="127" t="s">
        <v>10</v>
      </c>
      <c r="C130" s="122">
        <v>1489.9727919999998</v>
      </c>
      <c r="D130" s="122">
        <v>511.97940199999999</v>
      </c>
      <c r="E130" s="122">
        <v>424.29539929171409</v>
      </c>
      <c r="F130" s="122">
        <v>239.99761619999998</v>
      </c>
      <c r="G130" s="122">
        <v>108.77454373701045</v>
      </c>
      <c r="H130" s="122">
        <v>69.287907399999995</v>
      </c>
      <c r="I130" s="122">
        <v>6.2353320154921503</v>
      </c>
      <c r="J130" s="122">
        <v>-6.367</v>
      </c>
      <c r="K130" s="122">
        <v>2419.8805932917139</v>
      </c>
      <c r="L130" s="122">
        <v>4.1630597949999988</v>
      </c>
      <c r="M130" s="122">
        <v>2424.0436530867141</v>
      </c>
      <c r="N130" s="122">
        <v>708.70571004143017</v>
      </c>
      <c r="O130" s="122">
        <v>3132.7493639999998</v>
      </c>
      <c r="P130" s="122">
        <v>728.70989882451363</v>
      </c>
      <c r="Q130" s="122">
        <v>30.707999999999998</v>
      </c>
      <c r="R130" s="122">
        <v>2434.7474643107921</v>
      </c>
      <c r="S130" s="123">
        <v>2166.5891239999996</v>
      </c>
    </row>
    <row r="131" spans="2:19" ht="15.75" thickBot="1">
      <c r="B131" s="134" t="s">
        <v>11</v>
      </c>
      <c r="C131" s="122">
        <v>1519.0750220000002</v>
      </c>
      <c r="D131" s="122">
        <v>520.28338499999995</v>
      </c>
      <c r="E131" s="122">
        <v>428.23220684450462</v>
      </c>
      <c r="F131" s="122">
        <v>241.1609742</v>
      </c>
      <c r="G131" s="122">
        <v>112.94874791185025</v>
      </c>
      <c r="H131" s="122">
        <v>67.656859699999998</v>
      </c>
      <c r="I131" s="122">
        <v>6.4656248643862071</v>
      </c>
      <c r="J131" s="122">
        <v>-6.367</v>
      </c>
      <c r="K131" s="122">
        <v>2461.2236138445046</v>
      </c>
      <c r="L131" s="122">
        <v>5.09369373</v>
      </c>
      <c r="M131" s="122">
        <v>2466.3173075745044</v>
      </c>
      <c r="N131" s="122">
        <v>712.75892523825496</v>
      </c>
      <c r="O131" s="122">
        <v>3179.0762330000002</v>
      </c>
      <c r="P131" s="122">
        <v>733.53488869132525</v>
      </c>
      <c r="Q131" s="122">
        <v>30.707999999999998</v>
      </c>
      <c r="R131" s="122">
        <v>2476.2493441260826</v>
      </c>
      <c r="S131" s="123">
        <v>2204.3737540000002</v>
      </c>
    </row>
    <row r="132" spans="2:19">
      <c r="B132" s="135" t="s">
        <v>209</v>
      </c>
      <c r="C132" s="136"/>
      <c r="D132" s="136"/>
      <c r="E132" s="136"/>
      <c r="F132" s="136"/>
      <c r="G132" s="136"/>
      <c r="H132" s="136"/>
      <c r="I132" s="136"/>
      <c r="J132" s="136"/>
      <c r="K132" s="136"/>
      <c r="L132" s="136"/>
      <c r="M132" s="136"/>
      <c r="N132" s="136"/>
      <c r="O132" s="136"/>
      <c r="P132" s="136"/>
      <c r="Q132" s="136"/>
      <c r="R132" s="136"/>
      <c r="S132" s="137"/>
    </row>
    <row r="133" spans="2:19">
      <c r="B133" s="138" t="s">
        <v>210</v>
      </c>
      <c r="C133" s="139"/>
      <c r="D133" s="139"/>
      <c r="E133" s="139"/>
      <c r="F133" s="139"/>
      <c r="G133" s="139"/>
      <c r="H133" s="139"/>
      <c r="I133" s="139"/>
      <c r="J133" s="139"/>
      <c r="K133" s="139"/>
      <c r="L133" s="139"/>
      <c r="M133" s="139"/>
      <c r="N133" s="139"/>
      <c r="O133" s="139"/>
      <c r="P133" s="139"/>
      <c r="Q133" s="139"/>
      <c r="R133" s="139"/>
      <c r="S133" s="140"/>
    </row>
    <row r="134" spans="2:19">
      <c r="B134" s="138" t="s">
        <v>211</v>
      </c>
      <c r="C134" s="139"/>
      <c r="D134" s="139"/>
      <c r="E134" s="139"/>
      <c r="F134" s="139"/>
      <c r="G134" s="139"/>
      <c r="H134" s="139"/>
      <c r="I134" s="139"/>
      <c r="J134" s="139"/>
      <c r="K134" s="139"/>
      <c r="L134" s="139"/>
      <c r="M134" s="139"/>
      <c r="N134" s="139"/>
      <c r="O134" s="139"/>
      <c r="P134" s="139"/>
      <c r="Q134" s="139"/>
      <c r="R134" s="139"/>
      <c r="S134" s="140"/>
    </row>
    <row r="135" spans="2:19">
      <c r="B135" s="141" t="s">
        <v>212</v>
      </c>
      <c r="C135" s="142"/>
      <c r="D135" s="142"/>
      <c r="E135" s="142"/>
      <c r="F135" s="142"/>
      <c r="G135" s="142"/>
      <c r="H135" s="142"/>
      <c r="I135" s="142"/>
      <c r="J135" s="142"/>
      <c r="K135" s="142"/>
      <c r="L135" s="142"/>
      <c r="M135" s="142"/>
      <c r="N135" s="142"/>
      <c r="O135" s="142"/>
      <c r="P135" s="142"/>
      <c r="Q135" s="142"/>
      <c r="R135" s="142"/>
      <c r="S135" s="143"/>
    </row>
    <row r="136" spans="2:19">
      <c r="B136" s="141" t="s">
        <v>213</v>
      </c>
      <c r="C136" s="142"/>
      <c r="D136" s="142"/>
      <c r="E136" s="142"/>
      <c r="F136" s="142"/>
      <c r="G136" s="142"/>
      <c r="H136" s="142"/>
      <c r="I136" s="142"/>
      <c r="J136" s="142"/>
      <c r="K136" s="142"/>
      <c r="L136" s="142"/>
      <c r="M136" s="142"/>
      <c r="N136" s="142"/>
      <c r="O136" s="142"/>
      <c r="P136" s="142"/>
      <c r="Q136" s="142"/>
      <c r="R136" s="142"/>
      <c r="S136" s="143"/>
    </row>
    <row r="137" spans="2:19">
      <c r="B137" s="141" t="s">
        <v>214</v>
      </c>
      <c r="C137" s="142"/>
      <c r="D137" s="142"/>
      <c r="E137" s="142"/>
      <c r="F137" s="142"/>
      <c r="G137" s="142"/>
      <c r="H137" s="142"/>
      <c r="I137" s="142"/>
      <c r="J137" s="142"/>
      <c r="K137" s="142"/>
      <c r="L137" s="142"/>
      <c r="M137" s="142"/>
      <c r="N137" s="142"/>
      <c r="O137" s="142"/>
      <c r="P137" s="142"/>
      <c r="Q137" s="142"/>
      <c r="R137" s="142"/>
      <c r="S137" s="143"/>
    </row>
    <row r="138" spans="2:19">
      <c r="B138" s="141" t="s">
        <v>215</v>
      </c>
      <c r="C138" s="142"/>
      <c r="D138" s="142"/>
      <c r="E138" s="142"/>
      <c r="F138" s="142"/>
      <c r="G138" s="142"/>
      <c r="H138" s="142"/>
      <c r="I138" s="142"/>
      <c r="J138" s="142"/>
      <c r="K138" s="142"/>
      <c r="L138" s="142"/>
      <c r="M138" s="142"/>
      <c r="N138" s="142"/>
      <c r="O138" s="142"/>
      <c r="P138" s="142"/>
      <c r="Q138" s="142"/>
      <c r="R138" s="142"/>
      <c r="S138" s="143"/>
    </row>
    <row r="139" spans="2:19">
      <c r="B139" s="141" t="s">
        <v>216</v>
      </c>
      <c r="C139" s="142"/>
      <c r="D139" s="142"/>
      <c r="E139" s="142"/>
      <c r="F139" s="142"/>
      <c r="G139" s="142"/>
      <c r="H139" s="142"/>
      <c r="I139" s="142"/>
      <c r="J139" s="142"/>
      <c r="K139" s="142"/>
      <c r="L139" s="142"/>
      <c r="M139" s="142"/>
      <c r="N139" s="142"/>
      <c r="O139" s="142"/>
      <c r="P139" s="142"/>
      <c r="Q139" s="142"/>
      <c r="R139" s="142"/>
      <c r="S139" s="143"/>
    </row>
    <row r="140" spans="2:19">
      <c r="B140" s="141" t="s">
        <v>217</v>
      </c>
      <c r="C140" s="142"/>
      <c r="D140" s="142"/>
      <c r="E140" s="142"/>
      <c r="F140" s="142"/>
      <c r="G140" s="142"/>
      <c r="H140" s="142"/>
      <c r="I140" s="142"/>
      <c r="J140" s="142"/>
      <c r="K140" s="142"/>
      <c r="L140" s="142"/>
      <c r="M140" s="142"/>
      <c r="N140" s="142"/>
      <c r="O140" s="142"/>
      <c r="P140" s="142"/>
      <c r="Q140" s="142"/>
      <c r="R140" s="142"/>
      <c r="S140" s="143"/>
    </row>
    <row r="141" spans="2:19">
      <c r="B141" s="138" t="s">
        <v>218</v>
      </c>
      <c r="C141" s="139"/>
      <c r="D141" s="139"/>
      <c r="E141" s="139"/>
      <c r="F141" s="139"/>
      <c r="G141" s="139"/>
      <c r="H141" s="139"/>
      <c r="I141" s="139"/>
      <c r="J141" s="139"/>
      <c r="K141" s="139"/>
      <c r="L141" s="139"/>
      <c r="M141" s="139"/>
      <c r="N141" s="139"/>
      <c r="O141" s="139"/>
      <c r="P141" s="139"/>
      <c r="Q141" s="139"/>
      <c r="R141" s="139"/>
      <c r="S141" s="140"/>
    </row>
    <row r="142" spans="2:19">
      <c r="B142" s="141" t="s">
        <v>219</v>
      </c>
      <c r="C142" s="142"/>
      <c r="D142" s="142"/>
      <c r="E142" s="142"/>
      <c r="F142" s="142"/>
      <c r="G142" s="142"/>
      <c r="H142" s="142"/>
      <c r="I142" s="142"/>
      <c r="J142" s="142"/>
      <c r="K142" s="142"/>
      <c r="L142" s="142"/>
      <c r="M142" s="142"/>
      <c r="N142" s="142"/>
      <c r="O142" s="142"/>
      <c r="P142" s="142"/>
      <c r="Q142" s="142"/>
      <c r="R142" s="142"/>
      <c r="S142" s="143"/>
    </row>
    <row r="143" spans="2:19">
      <c r="B143" s="141" t="s">
        <v>220</v>
      </c>
      <c r="C143" s="142"/>
      <c r="D143" s="142"/>
      <c r="E143" s="142"/>
      <c r="F143" s="142"/>
      <c r="G143" s="142"/>
      <c r="H143" s="142"/>
      <c r="I143" s="142"/>
      <c r="J143" s="142"/>
      <c r="K143" s="142"/>
      <c r="L143" s="142"/>
      <c r="M143" s="142"/>
      <c r="N143" s="142"/>
      <c r="O143" s="142"/>
      <c r="P143" s="142"/>
      <c r="Q143" s="142"/>
      <c r="R143" s="142"/>
      <c r="S143" s="143"/>
    </row>
    <row r="144" spans="2:19">
      <c r="B144" s="141" t="s">
        <v>221</v>
      </c>
      <c r="C144" s="142"/>
      <c r="D144" s="142"/>
      <c r="E144" s="142"/>
      <c r="F144" s="142"/>
      <c r="G144" s="142"/>
      <c r="H144" s="142"/>
      <c r="I144" s="142"/>
      <c r="J144" s="142"/>
      <c r="K144" s="142"/>
      <c r="L144" s="142"/>
      <c r="M144" s="142"/>
      <c r="N144" s="142"/>
      <c r="O144" s="142"/>
      <c r="P144" s="142"/>
      <c r="Q144" s="142"/>
      <c r="R144" s="142"/>
      <c r="S144" s="143"/>
    </row>
    <row r="145" spans="2:19">
      <c r="B145" s="141" t="s">
        <v>222</v>
      </c>
      <c r="C145" s="142"/>
      <c r="D145" s="142"/>
      <c r="E145" s="142"/>
      <c r="F145" s="142"/>
      <c r="G145" s="142"/>
      <c r="H145" s="142"/>
      <c r="I145" s="142"/>
      <c r="J145" s="142"/>
      <c r="K145" s="142"/>
      <c r="L145" s="142"/>
      <c r="M145" s="142"/>
      <c r="N145" s="142"/>
      <c r="O145" s="142"/>
      <c r="P145" s="142"/>
      <c r="Q145" s="142"/>
      <c r="R145" s="142"/>
      <c r="S145" s="143"/>
    </row>
    <row r="146" spans="2:19">
      <c r="B146" s="141" t="s">
        <v>223</v>
      </c>
      <c r="C146" s="142"/>
      <c r="D146" s="142"/>
      <c r="E146" s="142"/>
      <c r="F146" s="142"/>
      <c r="G146" s="142"/>
      <c r="H146" s="142"/>
      <c r="I146" s="142"/>
      <c r="J146" s="142"/>
      <c r="K146" s="142"/>
      <c r="L146" s="142"/>
      <c r="M146" s="142"/>
      <c r="N146" s="142"/>
      <c r="O146" s="142"/>
      <c r="P146" s="142"/>
      <c r="Q146" s="142"/>
      <c r="R146" s="142"/>
      <c r="S146" s="143"/>
    </row>
    <row r="147" spans="2:19">
      <c r="B147" s="141" t="s">
        <v>224</v>
      </c>
      <c r="C147" s="142"/>
      <c r="D147" s="142"/>
      <c r="E147" s="142"/>
      <c r="F147" s="142"/>
      <c r="G147" s="142"/>
      <c r="H147" s="142"/>
      <c r="I147" s="142"/>
      <c r="J147" s="142"/>
      <c r="K147" s="142"/>
      <c r="L147" s="142"/>
      <c r="M147" s="142"/>
      <c r="N147" s="142"/>
      <c r="O147" s="142"/>
      <c r="P147" s="142"/>
      <c r="Q147" s="142"/>
      <c r="R147" s="142"/>
      <c r="S147" s="143"/>
    </row>
    <row r="148" spans="2:19" ht="15.75" thickBot="1">
      <c r="B148" s="144" t="s">
        <v>225</v>
      </c>
      <c r="C148" s="145"/>
      <c r="D148" s="145"/>
      <c r="E148" s="145"/>
      <c r="F148" s="145"/>
      <c r="G148" s="145"/>
      <c r="H148" s="145"/>
      <c r="I148" s="145"/>
      <c r="J148" s="145"/>
      <c r="K148" s="145"/>
      <c r="L148" s="145"/>
      <c r="M148" s="145"/>
      <c r="N148" s="145"/>
      <c r="O148" s="145"/>
      <c r="P148" s="145"/>
      <c r="Q148" s="145"/>
      <c r="R148" s="145"/>
      <c r="S148" s="146"/>
    </row>
    <row r="149" spans="2:19">
      <c r="B149" s="147"/>
      <c r="C149" s="148"/>
      <c r="D149" s="148"/>
      <c r="E149" s="148"/>
      <c r="F149" s="148"/>
      <c r="G149" s="148"/>
      <c r="H149" s="148"/>
      <c r="I149" s="148"/>
      <c r="J149" s="148"/>
      <c r="K149" s="148"/>
      <c r="L149" s="148"/>
      <c r="M149" s="148"/>
      <c r="N149" s="148"/>
      <c r="O149" s="148"/>
      <c r="P149" s="148"/>
      <c r="Q149" s="148"/>
      <c r="R149" s="148"/>
      <c r="S149" s="148"/>
    </row>
    <row r="150" spans="2:19">
      <c r="B150" s="147"/>
      <c r="C150" s="148"/>
      <c r="D150" s="148"/>
      <c r="E150" s="148"/>
      <c r="F150" s="148"/>
      <c r="G150" s="148"/>
      <c r="H150" s="148"/>
      <c r="I150" s="148"/>
      <c r="J150" s="148"/>
      <c r="K150" s="148"/>
      <c r="L150" s="148"/>
      <c r="M150" s="148"/>
      <c r="N150" s="148"/>
      <c r="O150" s="148"/>
      <c r="P150" s="148"/>
      <c r="Q150" s="148"/>
      <c r="R150" s="148"/>
      <c r="S150" s="148"/>
    </row>
    <row r="151" spans="2:19">
      <c r="B151" s="147"/>
      <c r="C151" s="148"/>
      <c r="D151" s="148"/>
      <c r="E151" s="148"/>
      <c r="F151" s="148"/>
      <c r="G151" s="148"/>
      <c r="H151" s="148"/>
      <c r="I151" s="148"/>
      <c r="J151" s="148"/>
      <c r="K151" s="148"/>
      <c r="L151" s="148"/>
      <c r="M151" s="148"/>
      <c r="N151" s="148"/>
      <c r="O151" s="148"/>
      <c r="P151" s="148"/>
      <c r="Q151" s="148"/>
      <c r="R151" s="148"/>
      <c r="S151" s="148"/>
    </row>
    <row r="152" spans="2:19">
      <c r="B152" s="147"/>
      <c r="C152" s="148"/>
      <c r="D152" s="148"/>
      <c r="E152" s="148"/>
      <c r="F152" s="148"/>
      <c r="G152" s="148"/>
      <c r="H152" s="148"/>
      <c r="I152" s="148"/>
      <c r="J152" s="148"/>
      <c r="K152" s="148"/>
      <c r="L152" s="148"/>
      <c r="M152" s="148"/>
      <c r="N152" s="148"/>
      <c r="O152" s="148"/>
      <c r="P152" s="148"/>
      <c r="Q152" s="148"/>
      <c r="R152" s="148"/>
      <c r="S152" s="148"/>
    </row>
    <row r="153" spans="2:19">
      <c r="B153" s="147"/>
      <c r="C153" s="148"/>
      <c r="D153" s="148"/>
      <c r="E153" s="148"/>
      <c r="F153" s="148"/>
      <c r="G153" s="148"/>
      <c r="H153" s="148"/>
      <c r="I153" s="148"/>
      <c r="J153" s="148"/>
      <c r="K153" s="148"/>
      <c r="L153" s="148"/>
      <c r="M153" s="148"/>
      <c r="N153" s="148"/>
      <c r="O153" s="148"/>
      <c r="P153" s="148"/>
      <c r="Q153" s="148"/>
      <c r="R153" s="148"/>
      <c r="S153" s="148"/>
    </row>
    <row r="154" spans="2:19">
      <c r="B154" s="147"/>
      <c r="C154" s="148"/>
      <c r="D154" s="148"/>
      <c r="E154" s="148"/>
      <c r="F154" s="148"/>
      <c r="G154" s="148"/>
      <c r="H154" s="148"/>
      <c r="I154" s="148"/>
      <c r="J154" s="148"/>
      <c r="K154" s="148"/>
      <c r="L154" s="148"/>
      <c r="M154" s="148"/>
      <c r="N154" s="148"/>
      <c r="O154" s="148"/>
      <c r="P154" s="148"/>
      <c r="Q154" s="148"/>
      <c r="R154" s="148"/>
      <c r="S154" s="148"/>
    </row>
    <row r="155" spans="2:19">
      <c r="C155" s="148"/>
      <c r="D155" s="148"/>
      <c r="E155" s="148"/>
      <c r="F155" s="148"/>
      <c r="G155" s="148"/>
      <c r="H155" s="148"/>
      <c r="I155" s="148"/>
      <c r="J155" s="148"/>
      <c r="K155" s="148"/>
      <c r="L155" s="148"/>
      <c r="M155" s="148"/>
      <c r="N155" s="148"/>
      <c r="O155" s="148"/>
      <c r="P155" s="148"/>
      <c r="Q155" s="148"/>
      <c r="R155" s="148"/>
      <c r="S155" s="148"/>
    </row>
    <row r="156" spans="2:19">
      <c r="C156" s="148"/>
      <c r="D156" s="148"/>
      <c r="E156" s="148"/>
      <c r="F156" s="148"/>
      <c r="G156" s="148"/>
      <c r="H156" s="148"/>
      <c r="I156" s="148"/>
      <c r="J156" s="148"/>
      <c r="K156" s="148"/>
      <c r="L156" s="148"/>
      <c r="M156" s="148"/>
      <c r="N156" s="148"/>
      <c r="O156" s="148"/>
      <c r="P156" s="148"/>
      <c r="Q156" s="148"/>
      <c r="R156" s="148"/>
      <c r="S156" s="148"/>
    </row>
    <row r="157" spans="2:19">
      <c r="C157" s="148"/>
      <c r="D157" s="148"/>
      <c r="E157" s="148"/>
      <c r="F157" s="148"/>
      <c r="G157" s="148"/>
      <c r="H157" s="148"/>
      <c r="I157" s="148"/>
      <c r="J157" s="148"/>
      <c r="K157" s="148"/>
      <c r="L157" s="148"/>
      <c r="M157" s="148"/>
      <c r="N157" s="148"/>
      <c r="O157" s="148"/>
      <c r="P157" s="148"/>
      <c r="Q157" s="148"/>
      <c r="R157" s="148"/>
      <c r="S157" s="148"/>
    </row>
    <row r="158" spans="2:19">
      <c r="C158" s="148"/>
      <c r="D158" s="148"/>
      <c r="E158" s="148"/>
      <c r="F158" s="148"/>
      <c r="G158" s="148"/>
      <c r="H158" s="148"/>
      <c r="I158" s="148"/>
      <c r="J158" s="148"/>
      <c r="K158" s="148"/>
      <c r="L158" s="148"/>
      <c r="M158" s="148"/>
      <c r="N158" s="148"/>
      <c r="O158" s="148"/>
      <c r="P158" s="148"/>
      <c r="Q158" s="148"/>
      <c r="R158" s="148"/>
      <c r="S158" s="148"/>
    </row>
    <row r="159" spans="2:19">
      <c r="C159" s="148"/>
      <c r="D159" s="148"/>
      <c r="E159" s="148"/>
      <c r="F159" s="148"/>
      <c r="G159" s="148"/>
      <c r="H159" s="148"/>
      <c r="I159" s="148"/>
      <c r="J159" s="148"/>
      <c r="K159" s="148"/>
      <c r="L159" s="148"/>
      <c r="M159" s="148"/>
      <c r="N159" s="148"/>
      <c r="O159" s="148"/>
      <c r="P159" s="148"/>
      <c r="Q159" s="148"/>
      <c r="R159" s="148"/>
      <c r="S159" s="148"/>
    </row>
    <row r="160" spans="2:19">
      <c r="C160" s="148"/>
      <c r="D160" s="148"/>
      <c r="E160" s="148"/>
      <c r="F160" s="148"/>
      <c r="G160" s="148"/>
      <c r="H160" s="148"/>
      <c r="I160" s="148"/>
      <c r="J160" s="148"/>
      <c r="K160" s="148"/>
      <c r="L160" s="148"/>
      <c r="M160" s="148"/>
      <c r="N160" s="148"/>
      <c r="O160" s="148"/>
      <c r="P160" s="148"/>
      <c r="Q160" s="148"/>
      <c r="R160" s="148"/>
      <c r="S160" s="148"/>
    </row>
    <row r="161" spans="3:19">
      <c r="C161" s="148"/>
      <c r="D161" s="148"/>
      <c r="E161" s="148"/>
      <c r="F161" s="148"/>
      <c r="G161" s="148"/>
      <c r="H161" s="148"/>
      <c r="I161" s="148"/>
      <c r="J161" s="148"/>
      <c r="K161" s="148"/>
      <c r="L161" s="148"/>
      <c r="M161" s="148"/>
      <c r="N161" s="148"/>
      <c r="O161" s="148"/>
      <c r="P161" s="148"/>
      <c r="Q161" s="148"/>
      <c r="R161" s="148"/>
      <c r="S161" s="148"/>
    </row>
  </sheetData>
  <mergeCells count="14">
    <mergeCell ref="Q3:Q4"/>
    <mergeCell ref="R3:R4"/>
    <mergeCell ref="S3:S4"/>
    <mergeCell ref="A50:A54"/>
    <mergeCell ref="B2:S2"/>
    <mergeCell ref="C3:C4"/>
    <mergeCell ref="D3:D4"/>
    <mergeCell ref="J3:J4"/>
    <mergeCell ref="K3:K4"/>
    <mergeCell ref="L3:L4"/>
    <mergeCell ref="M3:M4"/>
    <mergeCell ref="N3:N4"/>
    <mergeCell ref="O3:O4"/>
    <mergeCell ref="P3:P4"/>
  </mergeCells>
  <hyperlinks>
    <hyperlink ref="A1" location="Contents!A1" display="Back to contents" xr:uid="{8F593B33-22DD-4402-B82B-BA8B54B819CE}"/>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1A71A-5189-4947-B5C5-2D5634DEC418}">
  <sheetPr codeName="Sheet16">
    <tabColor theme="6"/>
  </sheetPr>
  <dimension ref="A1:AE155"/>
  <sheetViews>
    <sheetView zoomScaleNormal="100" zoomScaleSheetLayoutView="100" workbookViewId="0">
      <pane xSplit="2" ySplit="4" topLeftCell="M103" activePane="bottomRight" state="frozen"/>
      <selection activeCell="S47" sqref="S47"/>
      <selection pane="topRight" activeCell="S47" sqref="S47"/>
      <selection pane="bottomLeft" activeCell="S47" sqref="S47"/>
      <selection pane="bottomRight" activeCell="V117" sqref="V117"/>
    </sheetView>
  </sheetViews>
  <sheetFormatPr defaultColWidth="10.140625" defaultRowHeight="15"/>
  <cols>
    <col min="1" max="1" width="10.5703125" style="111" customWidth="1"/>
    <col min="2" max="2" width="8.28515625" style="111" customWidth="1"/>
    <col min="3" max="3" width="11.42578125" style="111" bestFit="1" customWidth="1"/>
    <col min="4" max="4" width="12.85546875" style="111" customWidth="1"/>
    <col min="5" max="5" width="12.5703125" style="111" customWidth="1"/>
    <col min="6" max="6" width="12.42578125" style="111" customWidth="1"/>
    <col min="7" max="7" width="10" style="111" customWidth="1"/>
    <col min="8" max="8" width="10.140625" style="111" customWidth="1"/>
    <col min="9" max="9" width="10" style="111" customWidth="1"/>
    <col min="10" max="10" width="9.42578125" style="111" customWidth="1"/>
    <col min="11" max="11" width="7.140625" style="111" customWidth="1"/>
    <col min="12" max="12" width="11.42578125" style="111" customWidth="1"/>
    <col min="13" max="13" width="7.7109375" style="111" customWidth="1"/>
    <col min="14" max="14" width="12.28515625" style="111" customWidth="1"/>
    <col min="15" max="15" width="7.7109375" style="111" customWidth="1"/>
    <col min="16" max="16" width="8.85546875" style="111" customWidth="1"/>
    <col min="17" max="16384" width="10.140625"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558" t="s">
        <v>226</v>
      </c>
      <c r="C2" s="559"/>
      <c r="D2" s="559"/>
      <c r="E2" s="559"/>
      <c r="F2" s="559"/>
      <c r="G2" s="559"/>
      <c r="H2" s="559"/>
      <c r="I2" s="559"/>
      <c r="J2" s="559"/>
      <c r="K2" s="559"/>
      <c r="L2" s="559"/>
      <c r="M2" s="559"/>
      <c r="N2" s="559"/>
      <c r="O2" s="559"/>
      <c r="P2" s="560"/>
      <c r="S2" s="111" t="s">
        <v>227</v>
      </c>
    </row>
    <row r="3" spans="1:31" s="153" customFormat="1" ht="41.25" customHeight="1">
      <c r="A3" s="151"/>
      <c r="B3" s="561" t="s">
        <v>93</v>
      </c>
      <c r="C3" s="555" t="s">
        <v>94</v>
      </c>
      <c r="D3" s="555" t="s">
        <v>95</v>
      </c>
      <c r="E3" s="152" t="s">
        <v>96</v>
      </c>
      <c r="F3" s="152"/>
      <c r="G3" s="555" t="s">
        <v>97</v>
      </c>
      <c r="H3" s="555" t="s">
        <v>98</v>
      </c>
      <c r="I3" s="555" t="s">
        <v>99</v>
      </c>
      <c r="J3" s="555" t="s">
        <v>100</v>
      </c>
      <c r="K3" s="555" t="s">
        <v>101</v>
      </c>
      <c r="L3" s="555" t="s">
        <v>102</v>
      </c>
      <c r="M3" s="555" t="s">
        <v>103</v>
      </c>
      <c r="N3" s="555" t="s">
        <v>104</v>
      </c>
      <c r="O3" s="555" t="s">
        <v>228</v>
      </c>
      <c r="P3" s="556"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562"/>
      <c r="C4" s="555"/>
      <c r="D4" s="555"/>
      <c r="E4" s="119" t="s">
        <v>18</v>
      </c>
      <c r="F4" s="119" t="s">
        <v>109</v>
      </c>
      <c r="G4" s="555"/>
      <c r="H4" s="555"/>
      <c r="I4" s="555"/>
      <c r="J4" s="555"/>
      <c r="K4" s="555"/>
      <c r="L4" s="555"/>
      <c r="M4" s="555"/>
      <c r="N4" s="555"/>
      <c r="O4" s="555"/>
      <c r="P4" s="557"/>
    </row>
    <row r="5" spans="1:31" ht="15.75">
      <c r="A5" s="110"/>
      <c r="B5" s="154" t="s">
        <v>111</v>
      </c>
      <c r="C5" s="122">
        <v>255.43799999999999</v>
      </c>
      <c r="D5" s="122">
        <v>80.007000000000005</v>
      </c>
      <c r="E5" s="122">
        <v>71.228999999999999</v>
      </c>
      <c r="F5" s="122">
        <v>12.058</v>
      </c>
      <c r="G5" s="122">
        <v>0.27700000000000002</v>
      </c>
      <c r="H5" s="122">
        <v>406.95100000000002</v>
      </c>
      <c r="I5" s="122">
        <v>-0.16300000000000001</v>
      </c>
      <c r="J5" s="122">
        <v>406.78800000000001</v>
      </c>
      <c r="K5" s="122">
        <v>104.955</v>
      </c>
      <c r="L5" s="122">
        <v>511.74299999999999</v>
      </c>
      <c r="M5" s="122">
        <v>114.19499999999999</v>
      </c>
      <c r="N5" s="122">
        <v>0</v>
      </c>
      <c r="O5" s="122">
        <v>397.548</v>
      </c>
      <c r="P5" s="155">
        <v>396.93599999999998</v>
      </c>
      <c r="Q5" s="156"/>
      <c r="R5" s="157"/>
      <c r="S5" s="124">
        <f>100*(C5/OBR_NOV23_1.1!C5)</f>
        <v>82.906421208423126</v>
      </c>
      <c r="T5" s="124">
        <f>100*(D5/OBR_NOV23_1.1!D5)</f>
        <v>85.731277391425493</v>
      </c>
      <c r="U5" s="124">
        <f>100*(E5/OBR_NOV23_1.1!E5)</f>
        <v>83.949933409548962</v>
      </c>
      <c r="V5" s="124">
        <f>100*(K5/OBR_NOV23_1.1!N5)</f>
        <v>74.815020743338607</v>
      </c>
      <c r="W5" s="124">
        <f>100*(M5/OBR_NOV23_1.1!P5)</f>
        <v>83.291394061399089</v>
      </c>
      <c r="X5" s="124">
        <f>100*(O5/OBR_NOV23_1.1!R5)</f>
        <v>81.16819081103263</v>
      </c>
    </row>
    <row r="6" spans="1:31" ht="15.75">
      <c r="A6" s="110"/>
      <c r="B6" s="154" t="s">
        <v>112</v>
      </c>
      <c r="C6" s="122">
        <v>256.14100000000002</v>
      </c>
      <c r="D6" s="122">
        <v>80.198999999999998</v>
      </c>
      <c r="E6" s="122">
        <v>72.373000000000005</v>
      </c>
      <c r="F6" s="122">
        <v>11.632999999999999</v>
      </c>
      <c r="G6" s="122">
        <v>-8.6999999999999994E-2</v>
      </c>
      <c r="H6" s="122">
        <v>408.62599999999998</v>
      </c>
      <c r="I6" s="122">
        <v>0.83</v>
      </c>
      <c r="J6" s="122">
        <v>409.45600000000002</v>
      </c>
      <c r="K6" s="122">
        <v>110.40900000000001</v>
      </c>
      <c r="L6" s="122">
        <v>519.86500000000001</v>
      </c>
      <c r="M6" s="122">
        <v>118.98399999999999</v>
      </c>
      <c r="N6" s="122">
        <v>0</v>
      </c>
      <c r="O6" s="122">
        <v>400.88099999999997</v>
      </c>
      <c r="P6" s="155">
        <v>396.09100000000001</v>
      </c>
      <c r="Q6" s="156"/>
      <c r="R6" s="157"/>
      <c r="S6" s="124">
        <f>100*(C6/OBR_NOV23_1.1!C6)</f>
        <v>84.12021254934416</v>
      </c>
      <c r="T6" s="124">
        <f>100*(D6/OBR_NOV23_1.1!D6)</f>
        <v>86.479113200629726</v>
      </c>
      <c r="U6" s="124">
        <f>100*(E6/OBR_NOV23_1.1!E6)</f>
        <v>84.351798972015985</v>
      </c>
      <c r="V6" s="124">
        <f>100*(K6/OBR_NOV23_1.1!N6)</f>
        <v>78.69213499162538</v>
      </c>
      <c r="W6" s="124">
        <f>100*(M6/OBR_NOV23_1.1!P6)</f>
        <v>87.325783652470051</v>
      </c>
      <c r="X6" s="124">
        <f>100*(O6/OBR_NOV23_1.1!R6)</f>
        <v>82.251234134751499</v>
      </c>
      <c r="AA6" s="124">
        <f>100*((T6/T5)-1)</f>
        <v>0.87230218883806998</v>
      </c>
    </row>
    <row r="7" spans="1:31" ht="15.75">
      <c r="A7" s="110"/>
      <c r="B7" s="154" t="s">
        <v>113</v>
      </c>
      <c r="C7" s="122">
        <v>255.81899999999999</v>
      </c>
      <c r="D7" s="122">
        <v>81.155000000000001</v>
      </c>
      <c r="E7" s="122">
        <v>69.19</v>
      </c>
      <c r="F7" s="122">
        <v>11.875</v>
      </c>
      <c r="G7" s="122">
        <v>-0.65800000000000003</v>
      </c>
      <c r="H7" s="122">
        <v>405.50599999999997</v>
      </c>
      <c r="I7" s="122">
        <v>0.85499999999999998</v>
      </c>
      <c r="J7" s="122">
        <v>406.36099999999999</v>
      </c>
      <c r="K7" s="122">
        <v>113.34</v>
      </c>
      <c r="L7" s="122">
        <v>519.70100000000002</v>
      </c>
      <c r="M7" s="122">
        <v>119.73099999999999</v>
      </c>
      <c r="N7" s="122">
        <v>0</v>
      </c>
      <c r="O7" s="122">
        <v>399.97</v>
      </c>
      <c r="P7" s="155">
        <v>395.56599999999997</v>
      </c>
      <c r="Q7" s="156"/>
      <c r="R7" s="157"/>
      <c r="S7" s="124">
        <f>100*(C7/OBR_NOV23_1.1!C7)</f>
        <v>85.377445074474451</v>
      </c>
      <c r="T7" s="124">
        <f>100*(D7/OBR_NOV23_1.1!D7)</f>
        <v>85.972011822409613</v>
      </c>
      <c r="U7" s="124">
        <f>100*(E7/OBR_NOV23_1.1!E7)</f>
        <v>85.080481536588664</v>
      </c>
      <c r="V7" s="124">
        <f>100*(K7/OBR_NOV23_1.1!N7)</f>
        <v>80.470868892265315</v>
      </c>
      <c r="W7" s="124">
        <f>100*(M7/OBR_NOV23_1.1!P7)</f>
        <v>89.477696153529976</v>
      </c>
      <c r="X7" s="124">
        <f>100*(O7/OBR_NOV23_1.1!R7)</f>
        <v>83.349309815950917</v>
      </c>
      <c r="AA7" s="124">
        <f t="shared" ref="Z7:AA70" si="0">100*((T7/T6)-1)</f>
        <v>-0.58638596009148447</v>
      </c>
    </row>
    <row r="8" spans="1:31" ht="15.75">
      <c r="A8" s="110"/>
      <c r="B8" s="154" t="s">
        <v>114</v>
      </c>
      <c r="C8" s="122">
        <v>247.92400000000001</v>
      </c>
      <c r="D8" s="122">
        <v>83.414000000000001</v>
      </c>
      <c r="E8" s="122">
        <v>68.459999999999994</v>
      </c>
      <c r="F8" s="122">
        <v>12.733000000000001</v>
      </c>
      <c r="G8" s="122">
        <v>0.27900000000000003</v>
      </c>
      <c r="H8" s="122">
        <v>400.077</v>
      </c>
      <c r="I8" s="122">
        <v>-2.2029999999999998</v>
      </c>
      <c r="J8" s="122">
        <v>397.87400000000002</v>
      </c>
      <c r="K8" s="122">
        <v>109.631</v>
      </c>
      <c r="L8" s="122">
        <v>507.505</v>
      </c>
      <c r="M8" s="122">
        <v>112.304</v>
      </c>
      <c r="N8" s="122">
        <v>0</v>
      </c>
      <c r="O8" s="122">
        <v>395.20100000000002</v>
      </c>
      <c r="P8" s="155">
        <v>383.976</v>
      </c>
      <c r="Q8" s="156"/>
      <c r="R8" s="157"/>
      <c r="S8" s="124">
        <f>100*(C8/OBR_NOV23_1.1!C8)</f>
        <v>84.797159792456895</v>
      </c>
      <c r="T8" s="124">
        <f>100*(D8/OBR_NOV23_1.1!D8)</f>
        <v>87.434225697574476</v>
      </c>
      <c r="U8" s="124">
        <f>100*(E8/OBR_NOV23_1.1!E8)</f>
        <v>85.59853959838955</v>
      </c>
      <c r="V8" s="124">
        <f>100*(K8/OBR_NOV23_1.1!N8)</f>
        <v>80.953892958412098</v>
      </c>
      <c r="W8" s="124">
        <f>100*(M8/OBR_NOV23_1.1!P8)</f>
        <v>88.620939995580954</v>
      </c>
      <c r="X8" s="124">
        <f>100*(O8/OBR_NOV23_1.1!R8)</f>
        <v>84.140099724501482</v>
      </c>
      <c r="AA8" s="124">
        <f t="shared" si="0"/>
        <v>1.7008022077991125</v>
      </c>
    </row>
    <row r="9" spans="1:31" ht="15.75">
      <c r="A9" s="110"/>
      <c r="B9" s="154" t="s">
        <v>115</v>
      </c>
      <c r="C9" s="122">
        <v>247.70699999999999</v>
      </c>
      <c r="D9" s="122">
        <v>84.238</v>
      </c>
      <c r="E9" s="122">
        <v>65.081000000000003</v>
      </c>
      <c r="F9" s="122">
        <v>13.271000000000001</v>
      </c>
      <c r="G9" s="122">
        <v>1.2809999999999999</v>
      </c>
      <c r="H9" s="122">
        <v>398.30700000000002</v>
      </c>
      <c r="I9" s="122">
        <v>-6.8570000000000002</v>
      </c>
      <c r="J9" s="122">
        <v>391.45</v>
      </c>
      <c r="K9" s="122">
        <v>103.636</v>
      </c>
      <c r="L9" s="122">
        <v>495.08600000000001</v>
      </c>
      <c r="M9" s="122">
        <v>108.34699999999999</v>
      </c>
      <c r="N9" s="122">
        <v>0</v>
      </c>
      <c r="O9" s="122">
        <v>386.73899999999998</v>
      </c>
      <c r="P9" s="155">
        <v>379.76299999999998</v>
      </c>
      <c r="Q9" s="156"/>
      <c r="R9" s="157"/>
      <c r="S9" s="124">
        <f>100*(C9/OBR_NOV23_1.1!C9)</f>
        <v>85.039686354211014</v>
      </c>
      <c r="T9" s="124">
        <f>100*(D9/OBR_NOV23_1.1!D9)</f>
        <v>88.856775173519537</v>
      </c>
      <c r="U9" s="124">
        <f>100*(E9/OBR_NOV23_1.1!E9)</f>
        <v>86.473738058224058</v>
      </c>
      <c r="V9" s="124">
        <f>100*(K9/OBR_NOV23_1.1!N9)</f>
        <v>81.781523480346891</v>
      </c>
      <c r="W9" s="124">
        <f>100*(M9/OBR_NOV23_1.1!P9)</f>
        <v>89.014771849685332</v>
      </c>
      <c r="X9" s="124">
        <f>100*(O9/OBR_NOV23_1.1!R9)</f>
        <v>84.05450929679094</v>
      </c>
      <c r="AA9" s="124">
        <f t="shared" si="0"/>
        <v>1.6269938512013749</v>
      </c>
    </row>
    <row r="10" spans="1:31" ht="15.75">
      <c r="A10" s="110"/>
      <c r="B10" s="154" t="s">
        <v>116</v>
      </c>
      <c r="C10" s="122">
        <v>248.136</v>
      </c>
      <c r="D10" s="122">
        <v>84.183999999999997</v>
      </c>
      <c r="E10" s="122">
        <v>62.024999999999999</v>
      </c>
      <c r="F10" s="122">
        <v>12.265000000000001</v>
      </c>
      <c r="G10" s="122">
        <v>0.51600000000000001</v>
      </c>
      <c r="H10" s="122">
        <v>394.86099999999999</v>
      </c>
      <c r="I10" s="122">
        <v>-3.7850000000000001</v>
      </c>
      <c r="J10" s="122">
        <v>391.07600000000002</v>
      </c>
      <c r="K10" s="122">
        <v>101.71599999999999</v>
      </c>
      <c r="L10" s="122">
        <v>492.79199999999997</v>
      </c>
      <c r="M10" s="122">
        <v>106.22799999999999</v>
      </c>
      <c r="N10" s="122">
        <v>0</v>
      </c>
      <c r="O10" s="122">
        <v>386.56400000000002</v>
      </c>
      <c r="P10" s="155">
        <v>380.72399999999999</v>
      </c>
      <c r="Q10" s="156"/>
      <c r="R10" s="157"/>
      <c r="S10" s="124">
        <f>100*(C10/OBR_NOV23_1.1!C10)</f>
        <v>85.237882587338106</v>
      </c>
      <c r="T10" s="124">
        <f>100*(D10/OBR_NOV23_1.1!D10)</f>
        <v>89.023306966710379</v>
      </c>
      <c r="U10" s="124">
        <f>100*(E10/OBR_NOV23_1.1!E10)</f>
        <v>86.07052162690978</v>
      </c>
      <c r="V10" s="124">
        <f>100*(K10/OBR_NOV23_1.1!N10)</f>
        <v>81.100302981980548</v>
      </c>
      <c r="W10" s="124">
        <f>100*(M10/OBR_NOV23_1.1!P10)</f>
        <v>87.065708267422892</v>
      </c>
      <c r="X10" s="124">
        <f>100*(O10/OBR_NOV23_1.1!R10)</f>
        <v>84.292377436496807</v>
      </c>
      <c r="AA10" s="124">
        <f t="shared" si="0"/>
        <v>0.18741597685223432</v>
      </c>
    </row>
    <row r="11" spans="1:31" ht="15.75">
      <c r="A11" s="110"/>
      <c r="B11" s="154" t="s">
        <v>117</v>
      </c>
      <c r="C11" s="122">
        <v>249.48099999999999</v>
      </c>
      <c r="D11" s="122">
        <v>86.206999999999994</v>
      </c>
      <c r="E11" s="122">
        <v>62.265000000000001</v>
      </c>
      <c r="F11" s="122">
        <v>13.497999999999999</v>
      </c>
      <c r="G11" s="122">
        <v>0.56999999999999995</v>
      </c>
      <c r="H11" s="122">
        <v>398.52300000000002</v>
      </c>
      <c r="I11" s="122">
        <v>-3.9169999999999998</v>
      </c>
      <c r="J11" s="122">
        <v>394.60599999999999</v>
      </c>
      <c r="K11" s="122">
        <v>102.63200000000001</v>
      </c>
      <c r="L11" s="122">
        <v>497.238</v>
      </c>
      <c r="M11" s="122">
        <v>108.614</v>
      </c>
      <c r="N11" s="122">
        <v>0</v>
      </c>
      <c r="O11" s="122">
        <v>388.62400000000002</v>
      </c>
      <c r="P11" s="155">
        <v>389.47899999999998</v>
      </c>
      <c r="Q11" s="156"/>
      <c r="R11" s="157"/>
      <c r="S11" s="124">
        <f>100*(C11/OBR_NOV23_1.1!C11)</f>
        <v>85.225052266236688</v>
      </c>
      <c r="T11" s="124">
        <f>100*(D11/OBR_NOV23_1.1!D11)</f>
        <v>90.399739938340218</v>
      </c>
      <c r="U11" s="124">
        <f>100*(E11/OBR_NOV23_1.1!E11)</f>
        <v>85.822387010516749</v>
      </c>
      <c r="V11" s="124">
        <f>100*(K11/OBR_NOV23_1.1!N11)</f>
        <v>82.218732976575765</v>
      </c>
      <c r="W11" s="124">
        <f>100*(M11/OBR_NOV23_1.1!P11)</f>
        <v>86.675551228543384</v>
      </c>
      <c r="X11" s="124">
        <f>100*(O11/OBR_NOV23_1.1!R11)</f>
        <v>84.690602015799513</v>
      </c>
      <c r="AA11" s="124">
        <f t="shared" si="0"/>
        <v>1.5461490013447321</v>
      </c>
    </row>
    <row r="12" spans="1:31" ht="15.75">
      <c r="A12" s="110"/>
      <c r="B12" s="154" t="s">
        <v>118</v>
      </c>
      <c r="C12" s="122">
        <v>250.34</v>
      </c>
      <c r="D12" s="122">
        <v>85.941999999999993</v>
      </c>
      <c r="E12" s="122">
        <v>60.697000000000003</v>
      </c>
      <c r="F12" s="122">
        <v>13.189</v>
      </c>
      <c r="G12" s="122">
        <v>-1.2999999999999999E-2</v>
      </c>
      <c r="H12" s="122">
        <v>396.96600000000001</v>
      </c>
      <c r="I12" s="122">
        <v>-6.0709999999999997</v>
      </c>
      <c r="J12" s="122">
        <v>390.89499999999998</v>
      </c>
      <c r="K12" s="122">
        <v>108.358</v>
      </c>
      <c r="L12" s="122">
        <v>499.25299999999999</v>
      </c>
      <c r="M12" s="122">
        <v>112.378</v>
      </c>
      <c r="N12" s="122">
        <v>0</v>
      </c>
      <c r="O12" s="122">
        <v>386.875</v>
      </c>
      <c r="P12" s="155">
        <v>385.82400000000001</v>
      </c>
      <c r="Q12" s="156"/>
      <c r="R12" s="157"/>
      <c r="S12" s="124">
        <f>100*(C12/OBR_NOV23_1.1!C12)</f>
        <v>84.88720249297242</v>
      </c>
      <c r="T12" s="124">
        <f>100*(D12/OBR_NOV23_1.1!D12)</f>
        <v>89.42045572781187</v>
      </c>
      <c r="U12" s="124">
        <f>100*(E12/OBR_NOV23_1.1!E12)</f>
        <v>85.087264316254306</v>
      </c>
      <c r="V12" s="124">
        <f>100*(K12/OBR_NOV23_1.1!N12)</f>
        <v>82.92936791593641</v>
      </c>
      <c r="W12" s="124">
        <f>100*(M12/OBR_NOV23_1.1!P12)</f>
        <v>88.243423635649791</v>
      </c>
      <c r="X12" s="124">
        <f>100*(O12/OBR_NOV23_1.1!R12)</f>
        <v>84.05976907599981</v>
      </c>
      <c r="AA12" s="124">
        <f t="shared" si="0"/>
        <v>-1.0832821103205603</v>
      </c>
    </row>
    <row r="13" spans="1:31" ht="15.75">
      <c r="A13" s="110"/>
      <c r="B13" s="154" t="s">
        <v>119</v>
      </c>
      <c r="C13" s="122">
        <v>249.15899999999999</v>
      </c>
      <c r="D13" s="122">
        <v>86.855999999999995</v>
      </c>
      <c r="E13" s="122">
        <v>63.512</v>
      </c>
      <c r="F13" s="122">
        <v>13.272</v>
      </c>
      <c r="G13" s="122">
        <v>-0.221</v>
      </c>
      <c r="H13" s="122">
        <v>399.30599999999998</v>
      </c>
      <c r="I13" s="122">
        <v>1.601</v>
      </c>
      <c r="J13" s="122">
        <v>400.90699999999998</v>
      </c>
      <c r="K13" s="122">
        <v>110.685</v>
      </c>
      <c r="L13" s="122">
        <v>511.59199999999998</v>
      </c>
      <c r="M13" s="122">
        <v>115.479</v>
      </c>
      <c r="N13" s="122">
        <v>0</v>
      </c>
      <c r="O13" s="122">
        <v>396.113</v>
      </c>
      <c r="P13" s="155">
        <v>396.24799999999999</v>
      </c>
      <c r="Q13" s="156"/>
      <c r="R13" s="157"/>
      <c r="S13" s="124">
        <f>100*(C13/OBR_NOV23_1.1!C13)</f>
        <v>84.902458555534736</v>
      </c>
      <c r="T13" s="124">
        <f>100*(D13/OBR_NOV23_1.1!D13)</f>
        <v>91.615421127577648</v>
      </c>
      <c r="U13" s="124">
        <f>100*(E13/OBR_NOV23_1.1!E13)</f>
        <v>84.527136735074123</v>
      </c>
      <c r="V13" s="124">
        <f>100*(K13/OBR_NOV23_1.1!N13)</f>
        <v>84.762831018057625</v>
      </c>
      <c r="W13" s="124">
        <f>100*(M13/OBR_NOV23_1.1!P13)</f>
        <v>89.051258125959123</v>
      </c>
      <c r="X13" s="124">
        <f>100*(O13/OBR_NOV23_1.1!R13)</f>
        <v>85.269393791317484</v>
      </c>
      <c r="AA13" s="124">
        <f t="shared" si="0"/>
        <v>2.4546569147970709</v>
      </c>
    </row>
    <row r="14" spans="1:31" ht="15.75">
      <c r="A14" s="110"/>
      <c r="B14" s="154" t="s">
        <v>120</v>
      </c>
      <c r="C14" s="122">
        <v>257.44900000000001</v>
      </c>
      <c r="D14" s="122">
        <v>86.19</v>
      </c>
      <c r="E14" s="122">
        <v>62.845999999999997</v>
      </c>
      <c r="F14" s="122">
        <v>12.714</v>
      </c>
      <c r="G14" s="122">
        <v>-0.36199999999999999</v>
      </c>
      <c r="H14" s="122">
        <v>406.12299999999999</v>
      </c>
      <c r="I14" s="122">
        <v>0.26100000000000001</v>
      </c>
      <c r="J14" s="122">
        <v>406.38400000000001</v>
      </c>
      <c r="K14" s="122">
        <v>115.919</v>
      </c>
      <c r="L14" s="122">
        <v>522.303</v>
      </c>
      <c r="M14" s="122">
        <v>120.992</v>
      </c>
      <c r="N14" s="122">
        <v>0</v>
      </c>
      <c r="O14" s="122">
        <v>401.31099999999998</v>
      </c>
      <c r="P14" s="155">
        <v>401.77499999999998</v>
      </c>
      <c r="Q14" s="156"/>
      <c r="R14" s="157"/>
      <c r="S14" s="124">
        <f>100*(C14/OBR_NOV23_1.1!C14)</f>
        <v>85.64732261670305</v>
      </c>
      <c r="T14" s="124">
        <f>100*(D14/OBR_NOV23_1.1!D14)</f>
        <v>90.609000977681518</v>
      </c>
      <c r="U14" s="124">
        <f>100*(E14/OBR_NOV23_1.1!E14)</f>
        <v>84.901785955526719</v>
      </c>
      <c r="V14" s="124">
        <f>100*(K14/OBR_NOV23_1.1!N14)</f>
        <v>85.933399558171601</v>
      </c>
      <c r="W14" s="124">
        <f>100*(M14/OBR_NOV23_1.1!P14)</f>
        <v>90.437642486078417</v>
      </c>
      <c r="X14" s="124">
        <f>100*(O14/OBR_NOV23_1.1!R14)</f>
        <v>85.456957534614119</v>
      </c>
      <c r="AA14" s="124">
        <f t="shared" si="0"/>
        <v>-1.0985270138033409</v>
      </c>
    </row>
    <row r="15" spans="1:31" ht="15.75">
      <c r="A15" s="110"/>
      <c r="B15" s="154" t="s">
        <v>121</v>
      </c>
      <c r="C15" s="122">
        <v>259.351</v>
      </c>
      <c r="D15" s="122">
        <v>85.911000000000001</v>
      </c>
      <c r="E15" s="122">
        <v>65.225999999999999</v>
      </c>
      <c r="F15" s="122">
        <v>13.003</v>
      </c>
      <c r="G15" s="122">
        <v>0.44700000000000001</v>
      </c>
      <c r="H15" s="122">
        <v>410.935</v>
      </c>
      <c r="I15" s="122">
        <v>1.0960000000000001</v>
      </c>
      <c r="J15" s="122">
        <v>412.03100000000001</v>
      </c>
      <c r="K15" s="122">
        <v>116.69799999999999</v>
      </c>
      <c r="L15" s="122">
        <v>528.72900000000004</v>
      </c>
      <c r="M15" s="122">
        <v>124.53</v>
      </c>
      <c r="N15" s="122">
        <v>0</v>
      </c>
      <c r="O15" s="122">
        <v>404.19900000000001</v>
      </c>
      <c r="P15" s="155">
        <v>403.67500000000001</v>
      </c>
      <c r="Q15" s="156"/>
      <c r="R15" s="157"/>
      <c r="S15" s="124">
        <f>100*(C15/OBR_NOV23_1.1!C15)</f>
        <v>86.208661718316321</v>
      </c>
      <c r="T15" s="124">
        <f>100*(D15/OBR_NOV23_1.1!D15)</f>
        <v>90.302406003973218</v>
      </c>
      <c r="U15" s="124">
        <f>100*(E15/OBR_NOV23_1.1!E15)</f>
        <v>84.820348769164738</v>
      </c>
      <c r="V15" s="124">
        <f>100*(K15/OBR_NOV23_1.1!N15)</f>
        <v>85.612835542774135</v>
      </c>
      <c r="W15" s="124">
        <f>100*(M15/OBR_NOV23_1.1!P15)</f>
        <v>90.171175346115959</v>
      </c>
      <c r="X15" s="124">
        <f>100*(O15/OBR_NOV23_1.1!R15)</f>
        <v>85.59929182399793</v>
      </c>
      <c r="AA15" s="124">
        <f t="shared" si="0"/>
        <v>-0.33837143153561122</v>
      </c>
    </row>
    <row r="16" spans="1:31" ht="15.75">
      <c r="A16" s="110"/>
      <c r="B16" s="154" t="s">
        <v>122</v>
      </c>
      <c r="C16" s="122">
        <v>261.15699999999998</v>
      </c>
      <c r="D16" s="122">
        <v>87.358999999999995</v>
      </c>
      <c r="E16" s="122">
        <v>66.706000000000003</v>
      </c>
      <c r="F16" s="122">
        <v>12.587999999999999</v>
      </c>
      <c r="G16" s="122">
        <v>0.57399999999999995</v>
      </c>
      <c r="H16" s="122">
        <v>415.79599999999999</v>
      </c>
      <c r="I16" s="122">
        <v>-1.4830000000000001</v>
      </c>
      <c r="J16" s="122">
        <v>414.31299999999999</v>
      </c>
      <c r="K16" s="122">
        <v>120.874</v>
      </c>
      <c r="L16" s="122">
        <v>535.18700000000001</v>
      </c>
      <c r="M16" s="122">
        <v>128.25700000000001</v>
      </c>
      <c r="N16" s="122">
        <v>0</v>
      </c>
      <c r="O16" s="122">
        <v>406.93</v>
      </c>
      <c r="P16" s="155">
        <v>407.56200000000001</v>
      </c>
      <c r="Q16" s="156"/>
      <c r="R16" s="157"/>
      <c r="S16" s="124">
        <f>100*(C16/OBR_NOV23_1.1!C16)</f>
        <v>86.953206677720729</v>
      </c>
      <c r="T16" s="124">
        <f>100*(D16/OBR_NOV23_1.1!D16)</f>
        <v>91.288037117538863</v>
      </c>
      <c r="U16" s="124">
        <f>100*(E16/OBR_NOV23_1.1!E16)</f>
        <v>84.466843098274097</v>
      </c>
      <c r="V16" s="124">
        <f>100*(K16/OBR_NOV23_1.1!N16)</f>
        <v>86.912191895078948</v>
      </c>
      <c r="W16" s="124">
        <f>100*(M16/OBR_NOV23_1.1!P16)</f>
        <v>92.060609540762854</v>
      </c>
      <c r="X16" s="124">
        <f>100*(O16/OBR_NOV23_1.1!R16)</f>
        <v>86.102341878750437</v>
      </c>
      <c r="AA16" s="124">
        <f t="shared" si="0"/>
        <v>1.0914782420329727</v>
      </c>
    </row>
    <row r="17" spans="1:27" ht="15.75">
      <c r="A17" s="110"/>
      <c r="B17" s="154" t="s">
        <v>123</v>
      </c>
      <c r="C17" s="122">
        <v>263.60199999999998</v>
      </c>
      <c r="D17" s="122">
        <v>89.47</v>
      </c>
      <c r="E17" s="122">
        <v>64.274000000000001</v>
      </c>
      <c r="F17" s="122">
        <v>13.122</v>
      </c>
      <c r="G17" s="122">
        <v>-1.752</v>
      </c>
      <c r="H17" s="122">
        <v>415.59399999999999</v>
      </c>
      <c r="I17" s="122">
        <v>-1.655</v>
      </c>
      <c r="J17" s="122">
        <v>413.93900000000002</v>
      </c>
      <c r="K17" s="122">
        <v>128.71700000000001</v>
      </c>
      <c r="L17" s="122">
        <v>542.65599999999995</v>
      </c>
      <c r="M17" s="122">
        <v>127.92400000000001</v>
      </c>
      <c r="N17" s="122">
        <v>0</v>
      </c>
      <c r="O17" s="122">
        <v>414.73200000000003</v>
      </c>
      <c r="P17" s="155">
        <v>416.43299999999999</v>
      </c>
      <c r="Q17" s="156"/>
      <c r="R17" s="157"/>
      <c r="S17" s="124">
        <f>100*(C17/OBR_NOV23_1.1!C17)</f>
        <v>88.539049589552732</v>
      </c>
      <c r="T17" s="124">
        <f>100*(D17/OBR_NOV23_1.1!D17)</f>
        <v>92.944256300513189</v>
      </c>
      <c r="U17" s="124">
        <f>100*(E17/OBR_NOV23_1.1!E17)</f>
        <v>84.657938410473903</v>
      </c>
      <c r="V17" s="124">
        <f>100*(K17/OBR_NOV23_1.1!N17)</f>
        <v>88.896025415242249</v>
      </c>
      <c r="W17" s="124">
        <f>100*(M17/OBR_NOV23_1.1!P17)</f>
        <v>94.040329042644686</v>
      </c>
      <c r="X17" s="124">
        <f>100*(O17/OBR_NOV23_1.1!R17)</f>
        <v>87.529626291896278</v>
      </c>
      <c r="AA17" s="124">
        <f t="shared" si="0"/>
        <v>1.8142784479436624</v>
      </c>
    </row>
    <row r="18" spans="1:27" ht="15.75">
      <c r="A18" s="110"/>
      <c r="B18" s="154" t="s">
        <v>124</v>
      </c>
      <c r="C18" s="122">
        <v>263.80900000000003</v>
      </c>
      <c r="D18" s="122">
        <v>85.138000000000005</v>
      </c>
      <c r="E18" s="122">
        <v>64.167000000000002</v>
      </c>
      <c r="F18" s="122">
        <v>11.475</v>
      </c>
      <c r="G18" s="122">
        <v>0.44400000000000001</v>
      </c>
      <c r="H18" s="122">
        <v>413.55799999999999</v>
      </c>
      <c r="I18" s="122">
        <v>4.5209999999999999</v>
      </c>
      <c r="J18" s="122">
        <v>418.07900000000001</v>
      </c>
      <c r="K18" s="122">
        <v>129.20099999999999</v>
      </c>
      <c r="L18" s="122">
        <v>547.28</v>
      </c>
      <c r="M18" s="122">
        <v>134.91399999999999</v>
      </c>
      <c r="N18" s="122">
        <v>0</v>
      </c>
      <c r="O18" s="122">
        <v>412.36599999999999</v>
      </c>
      <c r="P18" s="155">
        <v>417.19099999999997</v>
      </c>
      <c r="Q18" s="156"/>
      <c r="R18" s="157"/>
      <c r="S18" s="124">
        <f>100*(C18/OBR_NOV23_1.1!C18)</f>
        <v>88.8212894471922</v>
      </c>
      <c r="T18" s="124">
        <f>100*(D18/OBR_NOV23_1.1!D18)</f>
        <v>90.015965151563222</v>
      </c>
      <c r="U18" s="124">
        <f>100*(E18/OBR_NOV23_1.1!E18)</f>
        <v>85.434113997363752</v>
      </c>
      <c r="V18" s="124">
        <f>100*(K18/OBR_NOV23_1.1!N18)</f>
        <v>90.539025381564372</v>
      </c>
      <c r="W18" s="124">
        <f>100*(M18/OBR_NOV23_1.1!P18)</f>
        <v>96.305232350631726</v>
      </c>
      <c r="X18" s="124">
        <f>100*(O18/OBR_NOV23_1.1!R18)</f>
        <v>86.930106563511217</v>
      </c>
      <c r="AA18" s="124">
        <f t="shared" si="0"/>
        <v>-3.1505886060156696</v>
      </c>
    </row>
    <row r="19" spans="1:27" ht="15.75">
      <c r="A19" s="110"/>
      <c r="B19" s="154" t="s">
        <v>125</v>
      </c>
      <c r="C19" s="122">
        <v>266.76600000000002</v>
      </c>
      <c r="D19" s="122">
        <v>85.795000000000002</v>
      </c>
      <c r="E19" s="122">
        <v>66.019000000000005</v>
      </c>
      <c r="F19" s="122">
        <v>11.891</v>
      </c>
      <c r="G19" s="122">
        <v>1.5449999999999999</v>
      </c>
      <c r="H19" s="122">
        <v>420.125</v>
      </c>
      <c r="I19" s="122">
        <v>1.1479999999999999</v>
      </c>
      <c r="J19" s="122">
        <v>421.27300000000002</v>
      </c>
      <c r="K19" s="122">
        <v>131.161</v>
      </c>
      <c r="L19" s="122">
        <v>552.43399999999997</v>
      </c>
      <c r="M19" s="122">
        <v>136.38499999999999</v>
      </c>
      <c r="N19" s="122">
        <v>0</v>
      </c>
      <c r="O19" s="122">
        <v>416.04899999999998</v>
      </c>
      <c r="P19" s="155">
        <v>415.60300000000001</v>
      </c>
      <c r="Q19" s="156"/>
      <c r="R19" s="157"/>
      <c r="S19" s="124">
        <f>100*(C19/OBR_NOV23_1.1!C19)</f>
        <v>89.516989590813623</v>
      </c>
      <c r="T19" s="124">
        <f>100*(D19/OBR_NOV23_1.1!D19)</f>
        <v>90.862395814579074</v>
      </c>
      <c r="U19" s="124">
        <f>100*(E19/OBR_NOV23_1.1!E19)</f>
        <v>85.935384775590975</v>
      </c>
      <c r="V19" s="124">
        <f>100*(K19/OBR_NOV23_1.1!N19)</f>
        <v>90.873881925824307</v>
      </c>
      <c r="W19" s="124">
        <f>100*(M19/OBR_NOV23_1.1!P19)</f>
        <v>97.53141157204459</v>
      </c>
      <c r="X19" s="124">
        <f>100*(O19/OBR_NOV23_1.1!R19)</f>
        <v>87.439603373594238</v>
      </c>
      <c r="AA19" s="124">
        <f t="shared" si="0"/>
        <v>0.94031171202872965</v>
      </c>
    </row>
    <row r="20" spans="1:27" ht="15.75">
      <c r="A20" s="110"/>
      <c r="B20" s="154" t="s">
        <v>126</v>
      </c>
      <c r="C20" s="122">
        <v>269.28899999999999</v>
      </c>
      <c r="D20" s="122">
        <v>87.016000000000005</v>
      </c>
      <c r="E20" s="122">
        <v>66.760000000000005</v>
      </c>
      <c r="F20" s="122">
        <v>11.551</v>
      </c>
      <c r="G20" s="122">
        <v>0.439</v>
      </c>
      <c r="H20" s="122">
        <v>423.50400000000002</v>
      </c>
      <c r="I20" s="122">
        <v>-1.0669999999999999</v>
      </c>
      <c r="J20" s="122">
        <v>422.43700000000001</v>
      </c>
      <c r="K20" s="122">
        <v>132.768</v>
      </c>
      <c r="L20" s="122">
        <v>555.20500000000004</v>
      </c>
      <c r="M20" s="122">
        <v>135.762</v>
      </c>
      <c r="N20" s="122">
        <v>0</v>
      </c>
      <c r="O20" s="122">
        <v>419.44299999999998</v>
      </c>
      <c r="P20" s="155">
        <v>420.30799999999999</v>
      </c>
      <c r="Q20" s="156"/>
      <c r="R20" s="157"/>
      <c r="S20" s="124">
        <f>100*(C20/OBR_NOV23_1.1!C20)</f>
        <v>90.205306687122516</v>
      </c>
      <c r="T20" s="124">
        <f>100*(D20/OBR_NOV23_1.1!D20)</f>
        <v>91.356339699104467</v>
      </c>
      <c r="U20" s="124">
        <f>100*(E20/OBR_NOV23_1.1!E20)</f>
        <v>86.140823989367874</v>
      </c>
      <c r="V20" s="124">
        <f>100*(K20/OBR_NOV23_1.1!N20)</f>
        <v>90.624765363166631</v>
      </c>
      <c r="W20" s="124">
        <f>100*(M20/OBR_NOV23_1.1!P20)</f>
        <v>96.445849465421091</v>
      </c>
      <c r="X20" s="124">
        <f>100*(O20/OBR_NOV23_1.1!R20)</f>
        <v>88.029692809126942</v>
      </c>
      <c r="AA20" s="124">
        <f t="shared" si="0"/>
        <v>0.54361749995386344</v>
      </c>
    </row>
    <row r="21" spans="1:27" ht="15.75">
      <c r="A21" s="110"/>
      <c r="B21" s="154" t="s">
        <v>127</v>
      </c>
      <c r="C21" s="122">
        <v>269.54199999999997</v>
      </c>
      <c r="D21" s="122">
        <v>90.58</v>
      </c>
      <c r="E21" s="122">
        <v>68.143000000000001</v>
      </c>
      <c r="F21" s="122">
        <v>11.71</v>
      </c>
      <c r="G21" s="122">
        <v>-1.149</v>
      </c>
      <c r="H21" s="122">
        <v>427.11599999999999</v>
      </c>
      <c r="I21" s="122">
        <v>-2.1190000000000002</v>
      </c>
      <c r="J21" s="122">
        <v>424.99700000000001</v>
      </c>
      <c r="K21" s="122">
        <v>135.898</v>
      </c>
      <c r="L21" s="122">
        <v>560.89499999999998</v>
      </c>
      <c r="M21" s="122">
        <v>136.191</v>
      </c>
      <c r="N21" s="122">
        <v>0</v>
      </c>
      <c r="O21" s="122">
        <v>424.70400000000001</v>
      </c>
      <c r="P21" s="155">
        <v>422.21300000000002</v>
      </c>
      <c r="Q21" s="156"/>
      <c r="R21" s="157"/>
      <c r="S21" s="124">
        <f>100*(C21/OBR_NOV23_1.1!C21)</f>
        <v>90.277959198711173</v>
      </c>
      <c r="T21" s="124">
        <f>100*(D21/OBR_NOV23_1.1!D21)</f>
        <v>92.214032658712384</v>
      </c>
      <c r="U21" s="124">
        <f>100*(E21/OBR_NOV23_1.1!E21)</f>
        <v>86.635306083529343</v>
      </c>
      <c r="V21" s="124">
        <f>100*(K21/OBR_NOV23_1.1!N21)</f>
        <v>90.559424249491883</v>
      </c>
      <c r="W21" s="124">
        <f>100*(M21/OBR_NOV23_1.1!P21)</f>
        <v>95.999746239409006</v>
      </c>
      <c r="X21" s="124">
        <f>100*(O21/OBR_NOV23_1.1!R21)</f>
        <v>88.363654521546636</v>
      </c>
      <c r="AA21" s="124">
        <f t="shared" si="0"/>
        <v>0.93884339328047517</v>
      </c>
    </row>
    <row r="22" spans="1:27" ht="15.75">
      <c r="A22" s="110"/>
      <c r="B22" s="154" t="s">
        <v>128</v>
      </c>
      <c r="C22" s="122">
        <v>273.13099999999997</v>
      </c>
      <c r="D22" s="122">
        <v>86.96</v>
      </c>
      <c r="E22" s="122">
        <v>66.673000000000002</v>
      </c>
      <c r="F22" s="122">
        <v>11.725</v>
      </c>
      <c r="G22" s="122">
        <v>0.90400000000000003</v>
      </c>
      <c r="H22" s="122">
        <v>427.66800000000001</v>
      </c>
      <c r="I22" s="122">
        <v>5.641</v>
      </c>
      <c r="J22" s="122">
        <v>433.30900000000003</v>
      </c>
      <c r="K22" s="122">
        <v>128.65899999999999</v>
      </c>
      <c r="L22" s="122">
        <v>561.96799999999996</v>
      </c>
      <c r="M22" s="122">
        <v>136.96100000000001</v>
      </c>
      <c r="N22" s="122">
        <v>0</v>
      </c>
      <c r="O22" s="122">
        <v>425.00700000000001</v>
      </c>
      <c r="P22" s="155">
        <v>421.38200000000001</v>
      </c>
      <c r="Q22" s="156"/>
      <c r="R22" s="157"/>
      <c r="S22" s="124">
        <f>100*(C22/OBR_NOV23_1.1!C22)</f>
        <v>90.76260513277218</v>
      </c>
      <c r="T22" s="124">
        <f>100*(D22/OBR_NOV23_1.1!D22)</f>
        <v>91.568650162688087</v>
      </c>
      <c r="U22" s="124">
        <f>100*(E22/OBR_NOV23_1.1!E22)</f>
        <v>86.989366560114817</v>
      </c>
      <c r="V22" s="124">
        <f>100*(K22/OBR_NOV23_1.1!N22)</f>
        <v>89.954344284645558</v>
      </c>
      <c r="W22" s="124">
        <f>100*(M22/OBR_NOV23_1.1!P22)</f>
        <v>94.757779960979121</v>
      </c>
      <c r="X22" s="124">
        <f>100*(O22/OBR_NOV23_1.1!R22)</f>
        <v>88.546998931203248</v>
      </c>
      <c r="AA22" s="124">
        <f t="shared" si="0"/>
        <v>-0.69987449568861271</v>
      </c>
    </row>
    <row r="23" spans="1:27" ht="15.75">
      <c r="A23" s="110"/>
      <c r="B23" s="154" t="s">
        <v>129</v>
      </c>
      <c r="C23" s="122">
        <v>275.8</v>
      </c>
      <c r="D23" s="122">
        <v>87.93</v>
      </c>
      <c r="E23" s="122">
        <v>66.319999999999993</v>
      </c>
      <c r="F23" s="122">
        <v>11.019</v>
      </c>
      <c r="G23" s="122">
        <v>0.40600000000000003</v>
      </c>
      <c r="H23" s="122">
        <v>430.45600000000002</v>
      </c>
      <c r="I23" s="122">
        <v>4.4249999999999998</v>
      </c>
      <c r="J23" s="122">
        <v>434.88099999999997</v>
      </c>
      <c r="K23" s="122">
        <v>131.40899999999999</v>
      </c>
      <c r="L23" s="122">
        <v>566.29</v>
      </c>
      <c r="M23" s="122">
        <v>135.35300000000001</v>
      </c>
      <c r="N23" s="122">
        <v>0</v>
      </c>
      <c r="O23" s="122">
        <v>430.93700000000001</v>
      </c>
      <c r="P23" s="155">
        <v>427.49200000000002</v>
      </c>
      <c r="Q23" s="156"/>
      <c r="R23" s="157"/>
      <c r="S23" s="124">
        <f>100*(C23/OBR_NOV23_1.1!C23)</f>
        <v>90.61042118404626</v>
      </c>
      <c r="T23" s="124">
        <f>100*(D23/OBR_NOV23_1.1!D23)</f>
        <v>91.726562418501786</v>
      </c>
      <c r="U23" s="124">
        <f>100*(E23/OBR_NOV23_1.1!E23)</f>
        <v>87.336704593341736</v>
      </c>
      <c r="V23" s="124">
        <f>100*(K23/OBR_NOV23_1.1!N23)</f>
        <v>89.623728882917419</v>
      </c>
      <c r="W23" s="124">
        <f>100*(M23/OBR_NOV23_1.1!P23)</f>
        <v>94.557889662784774</v>
      </c>
      <c r="X23" s="124">
        <f>100*(O23/OBR_NOV23_1.1!R23)</f>
        <v>88.930184758315974</v>
      </c>
      <c r="AA23" s="124">
        <f t="shared" si="0"/>
        <v>0.17245231368283598</v>
      </c>
    </row>
    <row r="24" spans="1:27" ht="15.75">
      <c r="A24" s="110"/>
      <c r="B24" s="154" t="s">
        <v>130</v>
      </c>
      <c r="C24" s="122">
        <v>281.57799999999997</v>
      </c>
      <c r="D24" s="122">
        <v>89.914000000000001</v>
      </c>
      <c r="E24" s="122">
        <v>68.882999999999996</v>
      </c>
      <c r="F24" s="122">
        <v>10.798</v>
      </c>
      <c r="G24" s="122">
        <v>0.191</v>
      </c>
      <c r="H24" s="122">
        <v>440.56599999999997</v>
      </c>
      <c r="I24" s="122">
        <v>-3.0920000000000001</v>
      </c>
      <c r="J24" s="122">
        <v>437.47399999999999</v>
      </c>
      <c r="K24" s="122">
        <v>128.749</v>
      </c>
      <c r="L24" s="122">
        <v>566.22299999999996</v>
      </c>
      <c r="M24" s="122">
        <v>133.15600000000001</v>
      </c>
      <c r="N24" s="122">
        <v>0</v>
      </c>
      <c r="O24" s="122">
        <v>433.06700000000001</v>
      </c>
      <c r="P24" s="155">
        <v>426.66800000000001</v>
      </c>
      <c r="Q24" s="156"/>
      <c r="R24" s="157"/>
      <c r="S24" s="124">
        <f>100*(C24/OBR_NOV23_1.1!C24)</f>
        <v>91.442507850835739</v>
      </c>
      <c r="T24" s="124">
        <f>100*(D24/OBR_NOV23_1.1!D24)</f>
        <v>92.568875344891495</v>
      </c>
      <c r="U24" s="124">
        <f>100*(E24/OBR_NOV23_1.1!E24)</f>
        <v>87.209125667839857</v>
      </c>
      <c r="V24" s="124">
        <f>100*(K24/OBR_NOV23_1.1!N24)</f>
        <v>90.025452053645083</v>
      </c>
      <c r="W24" s="124">
        <f>100*(M24/OBR_NOV23_1.1!P24)</f>
        <v>94.54550618441047</v>
      </c>
      <c r="X24" s="124">
        <f>100*(O24/OBR_NOV23_1.1!R24)</f>
        <v>89.469443577893529</v>
      </c>
      <c r="AA24" s="124">
        <f t="shared" si="0"/>
        <v>0.91828681265375689</v>
      </c>
    </row>
    <row r="25" spans="1:27" ht="15.75">
      <c r="A25" s="110"/>
      <c r="B25" s="154" t="s">
        <v>131</v>
      </c>
      <c r="C25" s="122">
        <v>282.66300000000001</v>
      </c>
      <c r="D25" s="122">
        <v>89.334000000000003</v>
      </c>
      <c r="E25" s="122">
        <v>67.495999999999995</v>
      </c>
      <c r="F25" s="122">
        <v>10.116</v>
      </c>
      <c r="G25" s="122">
        <v>0.86799999999999999</v>
      </c>
      <c r="H25" s="122">
        <v>440.36099999999999</v>
      </c>
      <c r="I25" s="122">
        <v>-0.71199999999999997</v>
      </c>
      <c r="J25" s="122">
        <v>439.649</v>
      </c>
      <c r="K25" s="122">
        <v>135.47999999999999</v>
      </c>
      <c r="L25" s="122">
        <v>575.12900000000002</v>
      </c>
      <c r="M25" s="122">
        <v>137.02600000000001</v>
      </c>
      <c r="N25" s="122">
        <v>0</v>
      </c>
      <c r="O25" s="122">
        <v>438.10300000000001</v>
      </c>
      <c r="P25" s="155">
        <v>427.22500000000002</v>
      </c>
      <c r="Q25" s="156"/>
      <c r="R25" s="157"/>
      <c r="S25" s="124">
        <f>100*(C25/OBR_NOV23_1.1!C25)</f>
        <v>92.291793868828591</v>
      </c>
      <c r="T25" s="124">
        <f>100*(D25/OBR_NOV23_1.1!D25)</f>
        <v>93.1493993993994</v>
      </c>
      <c r="U25" s="124">
        <f>100*(E25/OBR_NOV23_1.1!E25)</f>
        <v>88.00573701023535</v>
      </c>
      <c r="V25" s="124">
        <f>100*(K25/OBR_NOV23_1.1!N25)</f>
        <v>92.720217360060772</v>
      </c>
      <c r="W25" s="124">
        <f>100*(M25/OBR_NOV23_1.1!P25)</f>
        <v>97.036349859430217</v>
      </c>
      <c r="X25" s="124">
        <f>100*(O25/OBR_NOV23_1.1!R25)</f>
        <v>90.254404018054885</v>
      </c>
      <c r="AA25" s="124">
        <f t="shared" si="0"/>
        <v>0.62712661501502787</v>
      </c>
    </row>
    <row r="26" spans="1:27" ht="15.75">
      <c r="A26" s="110"/>
      <c r="B26" s="154" t="s">
        <v>132</v>
      </c>
      <c r="C26" s="122">
        <v>287.08999999999997</v>
      </c>
      <c r="D26" s="122">
        <v>89.024000000000001</v>
      </c>
      <c r="E26" s="122">
        <v>70.448999999999998</v>
      </c>
      <c r="F26" s="122">
        <v>10.792</v>
      </c>
      <c r="G26" s="122">
        <v>3.387</v>
      </c>
      <c r="H26" s="122">
        <v>449.95</v>
      </c>
      <c r="I26" s="122">
        <v>-0.91600000000000004</v>
      </c>
      <c r="J26" s="122">
        <v>449.03399999999999</v>
      </c>
      <c r="K26" s="122">
        <v>136.06700000000001</v>
      </c>
      <c r="L26" s="122">
        <v>585.101</v>
      </c>
      <c r="M26" s="122">
        <v>142.81800000000001</v>
      </c>
      <c r="N26" s="122">
        <v>0</v>
      </c>
      <c r="O26" s="122">
        <v>442.28300000000002</v>
      </c>
      <c r="P26" s="155">
        <v>437.66800000000001</v>
      </c>
      <c r="Q26" s="156"/>
      <c r="R26" s="157"/>
      <c r="S26" s="124">
        <f>100*(C26/OBR_NOV23_1.1!C26)</f>
        <v>92.819569413415493</v>
      </c>
      <c r="T26" s="124">
        <f>100*(D26/OBR_NOV23_1.1!D26)</f>
        <v>92.269104401811717</v>
      </c>
      <c r="U26" s="124">
        <f>100*(E26/OBR_NOV23_1.1!E26)</f>
        <v>88.175878642234906</v>
      </c>
      <c r="V26" s="124">
        <f>100*(K26/OBR_NOV23_1.1!N26)</f>
        <v>92.234431241230183</v>
      </c>
      <c r="W26" s="124">
        <f>100*(M26/OBR_NOV23_1.1!P26)</f>
        <v>96.262545243760243</v>
      </c>
      <c r="X26" s="124">
        <f>100*(O26/OBR_NOV23_1.1!R26)</f>
        <v>90.459370462029327</v>
      </c>
      <c r="AA26" s="124">
        <f t="shared" si="0"/>
        <v>-0.94503561296538363</v>
      </c>
    </row>
    <row r="27" spans="1:27" ht="15.75">
      <c r="A27" s="110"/>
      <c r="B27" s="154" t="s">
        <v>133</v>
      </c>
      <c r="C27" s="122">
        <v>291.07400000000001</v>
      </c>
      <c r="D27" s="122">
        <v>88.477999999999994</v>
      </c>
      <c r="E27" s="122">
        <v>73.087000000000003</v>
      </c>
      <c r="F27" s="122">
        <v>11.124000000000001</v>
      </c>
      <c r="G27" s="122">
        <v>-1.0149999999999999</v>
      </c>
      <c r="H27" s="122">
        <v>451.62400000000002</v>
      </c>
      <c r="I27" s="122">
        <v>2.9580000000000002</v>
      </c>
      <c r="J27" s="122">
        <v>454.58199999999999</v>
      </c>
      <c r="K27" s="122">
        <v>136.53299999999999</v>
      </c>
      <c r="L27" s="122">
        <v>591.11500000000001</v>
      </c>
      <c r="M27" s="122">
        <v>142.38800000000001</v>
      </c>
      <c r="N27" s="122">
        <v>0</v>
      </c>
      <c r="O27" s="122">
        <v>448.72699999999998</v>
      </c>
      <c r="P27" s="155">
        <v>440.67399999999998</v>
      </c>
      <c r="Q27" s="156"/>
      <c r="R27" s="157"/>
      <c r="S27" s="124">
        <f>100*(C27/OBR_NOV23_1.1!C27)</f>
        <v>93.012718092925155</v>
      </c>
      <c r="T27" s="124">
        <f>100*(D27/OBR_NOV23_1.1!D27)</f>
        <v>91.758361420793349</v>
      </c>
      <c r="U27" s="124">
        <f>100*(E27/OBR_NOV23_1.1!E27)</f>
        <v>89.28074075883805</v>
      </c>
      <c r="V27" s="124">
        <f>100*(K27/OBR_NOV23_1.1!N27)</f>
        <v>92.859377550465197</v>
      </c>
      <c r="W27" s="124">
        <f>100*(M27/OBR_NOV23_1.1!P27)</f>
        <v>96.213958956963594</v>
      </c>
      <c r="X27" s="124">
        <f>100*(O27/OBR_NOV23_1.1!R27)</f>
        <v>91.019306209711118</v>
      </c>
      <c r="AA27" s="124">
        <f t="shared" si="0"/>
        <v>-0.55353629400605175</v>
      </c>
    </row>
    <row r="28" spans="1:27" ht="15.75">
      <c r="A28" s="110"/>
      <c r="B28" s="154" t="s">
        <v>134</v>
      </c>
      <c r="C28" s="122">
        <v>292.26499999999999</v>
      </c>
      <c r="D28" s="122">
        <v>91.736000000000004</v>
      </c>
      <c r="E28" s="122">
        <v>73.412000000000006</v>
      </c>
      <c r="F28" s="122">
        <v>11.536</v>
      </c>
      <c r="G28" s="122">
        <v>3.9750000000000001</v>
      </c>
      <c r="H28" s="122">
        <v>461.38799999999998</v>
      </c>
      <c r="I28" s="122">
        <v>2.008</v>
      </c>
      <c r="J28" s="122">
        <v>463.39600000000002</v>
      </c>
      <c r="K28" s="122">
        <v>131.48400000000001</v>
      </c>
      <c r="L28" s="122">
        <v>594.88</v>
      </c>
      <c r="M28" s="122">
        <v>142.63200000000001</v>
      </c>
      <c r="N28" s="122">
        <v>0</v>
      </c>
      <c r="O28" s="122">
        <v>452.24799999999999</v>
      </c>
      <c r="P28" s="155">
        <v>444.22500000000002</v>
      </c>
      <c r="Q28" s="156"/>
      <c r="R28" s="157"/>
      <c r="S28" s="124">
        <f>100*(C28/OBR_NOV23_1.1!C28)</f>
        <v>93.096407570921642</v>
      </c>
      <c r="T28" s="124">
        <f>100*(D28/OBR_NOV23_1.1!D28)</f>
        <v>93.38137991408621</v>
      </c>
      <c r="U28" s="124">
        <f>100*(E28/OBR_NOV23_1.1!E28)</f>
        <v>89.690897984117299</v>
      </c>
      <c r="V28" s="124">
        <f>100*(K28/OBR_NOV23_1.1!N28)</f>
        <v>91.489406116271795</v>
      </c>
      <c r="W28" s="124">
        <f>100*(M28/OBR_NOV23_1.1!P28)</f>
        <v>94.259147892862103</v>
      </c>
      <c r="X28" s="124">
        <f>100*(O28/OBR_NOV23_1.1!R28)</f>
        <v>91.093448493955279</v>
      </c>
      <c r="AA28" s="124">
        <f t="shared" si="0"/>
        <v>1.7687962907814825</v>
      </c>
    </row>
    <row r="29" spans="1:27" ht="15.75">
      <c r="A29" s="110"/>
      <c r="B29" s="154" t="s">
        <v>135</v>
      </c>
      <c r="C29" s="122">
        <v>294.48399999999998</v>
      </c>
      <c r="D29" s="122">
        <v>92.831000000000003</v>
      </c>
      <c r="E29" s="122">
        <v>75.731999999999999</v>
      </c>
      <c r="F29" s="122">
        <v>12.46</v>
      </c>
      <c r="G29" s="122">
        <v>1.3979999999999999</v>
      </c>
      <c r="H29" s="122">
        <v>464.44499999999999</v>
      </c>
      <c r="I29" s="122">
        <v>0.38500000000000001</v>
      </c>
      <c r="J29" s="122">
        <v>464.83</v>
      </c>
      <c r="K29" s="122">
        <v>132.00700000000001</v>
      </c>
      <c r="L29" s="122">
        <v>596.83699999999999</v>
      </c>
      <c r="M29" s="122">
        <v>138.845</v>
      </c>
      <c r="N29" s="122">
        <v>0</v>
      </c>
      <c r="O29" s="122">
        <v>457.99200000000002</v>
      </c>
      <c r="P29" s="155">
        <v>452.13299999999998</v>
      </c>
      <c r="Q29" s="156"/>
      <c r="R29" s="157"/>
      <c r="S29" s="124">
        <f>100*(C29/OBR_NOV23_1.1!C29)</f>
        <v>93.522908799888199</v>
      </c>
      <c r="T29" s="124">
        <f>100*(D29/OBR_NOV23_1.1!D29)</f>
        <v>93.946140689990187</v>
      </c>
      <c r="U29" s="124">
        <f>100*(E29/OBR_NOV23_1.1!E29)</f>
        <v>89.507150455028963</v>
      </c>
      <c r="V29" s="124">
        <f>100*(K29/OBR_NOV23_1.1!N29)</f>
        <v>91.261484856236237</v>
      </c>
      <c r="W29" s="124">
        <f>100*(M29/OBR_NOV23_1.1!P29)</f>
        <v>93.188941762364678</v>
      </c>
      <c r="X29" s="124">
        <f>100*(O29/OBR_NOV23_1.1!R29)</f>
        <v>91.497386884879091</v>
      </c>
      <c r="AA29" s="124">
        <f t="shared" si="0"/>
        <v>0.60478949489028988</v>
      </c>
    </row>
    <row r="30" spans="1:27" ht="15.75">
      <c r="A30" s="110"/>
      <c r="B30" s="154" t="s">
        <v>136</v>
      </c>
      <c r="C30" s="122">
        <v>298.44400000000002</v>
      </c>
      <c r="D30" s="122">
        <v>90.793000000000006</v>
      </c>
      <c r="E30" s="122">
        <v>76.010000000000005</v>
      </c>
      <c r="F30" s="122">
        <v>11.907</v>
      </c>
      <c r="G30" s="122">
        <v>-2.3959999999999999</v>
      </c>
      <c r="H30" s="122">
        <v>462.851</v>
      </c>
      <c r="I30" s="122">
        <v>4.4119999999999999</v>
      </c>
      <c r="J30" s="122">
        <v>467.26299999999998</v>
      </c>
      <c r="K30" s="122">
        <v>133.19200000000001</v>
      </c>
      <c r="L30" s="122">
        <v>600.45500000000004</v>
      </c>
      <c r="M30" s="122">
        <v>138.839</v>
      </c>
      <c r="N30" s="122">
        <v>0</v>
      </c>
      <c r="O30" s="122">
        <v>461.61599999999999</v>
      </c>
      <c r="P30" s="155">
        <v>454.75200000000001</v>
      </c>
      <c r="Q30" s="156"/>
      <c r="R30" s="157"/>
      <c r="S30" s="124">
        <f>100*(C30/OBR_NOV23_1.1!C30)</f>
        <v>94.312385840059164</v>
      </c>
      <c r="T30" s="124">
        <f>100*(D30/OBR_NOV23_1.1!D30)</f>
        <v>91.318997425168973</v>
      </c>
      <c r="U30" s="124">
        <f>100*(E30/OBR_NOV23_1.1!E30)</f>
        <v>90.1222418515313</v>
      </c>
      <c r="V30" s="124">
        <f>100*(K30/OBR_NOV23_1.1!N30)</f>
        <v>90.708618517383456</v>
      </c>
      <c r="W30" s="124">
        <f>100*(M30/OBR_NOV23_1.1!P30)</f>
        <v>92.663734474174248</v>
      </c>
      <c r="X30" s="124">
        <f>100*(O30/OBR_NOV23_1.1!R30)</f>
        <v>91.420151741101392</v>
      </c>
      <c r="AA30" s="124">
        <f t="shared" si="0"/>
        <v>-2.7964355379859973</v>
      </c>
    </row>
    <row r="31" spans="1:27" ht="15.75">
      <c r="A31" s="110"/>
      <c r="B31" s="154" t="s">
        <v>137</v>
      </c>
      <c r="C31" s="122">
        <v>302.36700000000002</v>
      </c>
      <c r="D31" s="122">
        <v>93.188000000000002</v>
      </c>
      <c r="E31" s="122">
        <v>77.716999999999999</v>
      </c>
      <c r="F31" s="122">
        <v>12.702999999999999</v>
      </c>
      <c r="G31" s="122">
        <v>1.5409999999999999</v>
      </c>
      <c r="H31" s="122">
        <v>474.81299999999999</v>
      </c>
      <c r="I31" s="122">
        <v>4.9509999999999996</v>
      </c>
      <c r="J31" s="122">
        <v>479.76400000000001</v>
      </c>
      <c r="K31" s="122">
        <v>132.56</v>
      </c>
      <c r="L31" s="122">
        <v>612.32399999999996</v>
      </c>
      <c r="M31" s="122">
        <v>141.87</v>
      </c>
      <c r="N31" s="122">
        <v>0</v>
      </c>
      <c r="O31" s="122">
        <v>470.45400000000001</v>
      </c>
      <c r="P31" s="155">
        <v>460.75700000000001</v>
      </c>
      <c r="Q31" s="156"/>
      <c r="R31" s="157"/>
      <c r="S31" s="124">
        <f>100*(C31/OBR_NOV23_1.1!C31)</f>
        <v>94.05585486941483</v>
      </c>
      <c r="T31" s="124">
        <f>100*(D31/OBR_NOV23_1.1!D31)</f>
        <v>93.634637219537197</v>
      </c>
      <c r="U31" s="124">
        <f>100*(E31/OBR_NOV23_1.1!E31)</f>
        <v>90.532826988490754</v>
      </c>
      <c r="V31" s="124">
        <f>100*(K31/OBR_NOV23_1.1!N31)</f>
        <v>90.00848752334069</v>
      </c>
      <c r="W31" s="124">
        <f>100*(M31/OBR_NOV23_1.1!P31)</f>
        <v>91.381053906255033</v>
      </c>
      <c r="X31" s="124">
        <f>100*(O31/OBR_NOV23_1.1!R31)</f>
        <v>92.474166619163782</v>
      </c>
      <c r="AA31" s="124">
        <f t="shared" si="0"/>
        <v>2.5357700584325515</v>
      </c>
    </row>
    <row r="32" spans="1:27" ht="15.75">
      <c r="A32" s="110"/>
      <c r="B32" s="154" t="s">
        <v>138</v>
      </c>
      <c r="C32" s="122">
        <v>303.39</v>
      </c>
      <c r="D32" s="122">
        <v>93.198999999999998</v>
      </c>
      <c r="E32" s="122">
        <v>79.203000000000003</v>
      </c>
      <c r="F32" s="122">
        <v>13.124000000000001</v>
      </c>
      <c r="G32" s="122">
        <v>5.56</v>
      </c>
      <c r="H32" s="122">
        <v>481.35199999999998</v>
      </c>
      <c r="I32" s="122">
        <v>5.4820000000000002</v>
      </c>
      <c r="J32" s="122">
        <v>486.834</v>
      </c>
      <c r="K32" s="122">
        <v>134.477</v>
      </c>
      <c r="L32" s="122">
        <v>621.31100000000004</v>
      </c>
      <c r="M32" s="122">
        <v>148.85900000000001</v>
      </c>
      <c r="N32" s="122">
        <v>0</v>
      </c>
      <c r="O32" s="122">
        <v>472.452</v>
      </c>
      <c r="P32" s="155">
        <v>461.6</v>
      </c>
      <c r="Q32" s="156"/>
      <c r="R32" s="157"/>
      <c r="S32" s="124">
        <f>100*(C32/OBR_NOV23_1.1!C32)</f>
        <v>93.841633158057519</v>
      </c>
      <c r="T32" s="124">
        <f>100*(D32/OBR_NOV23_1.1!D32)</f>
        <v>93.847486129152443</v>
      </c>
      <c r="U32" s="124">
        <f>100*(E32/OBR_NOV23_1.1!E32)</f>
        <v>89.957408143562958</v>
      </c>
      <c r="V32" s="124">
        <f>100*(K32/OBR_NOV23_1.1!N32)</f>
        <v>88.761938707484362</v>
      </c>
      <c r="W32" s="124">
        <f>100*(M32/OBR_NOV23_1.1!P32)</f>
        <v>90.319938354377399</v>
      </c>
      <c r="X32" s="124">
        <f>100*(O32/OBR_NOV23_1.1!R32)</f>
        <v>92.215624963402789</v>
      </c>
      <c r="AA32" s="124">
        <f t="shared" si="0"/>
        <v>0.22731856066915412</v>
      </c>
    </row>
    <row r="33" spans="1:27" ht="15.75">
      <c r="A33" s="110"/>
      <c r="B33" s="154" t="s">
        <v>139</v>
      </c>
      <c r="C33" s="122">
        <v>303.22300000000001</v>
      </c>
      <c r="D33" s="122">
        <v>93.611999999999995</v>
      </c>
      <c r="E33" s="122">
        <v>82.105000000000004</v>
      </c>
      <c r="F33" s="122">
        <v>12.891999999999999</v>
      </c>
      <c r="G33" s="122">
        <v>2.464</v>
      </c>
      <c r="H33" s="122">
        <v>481.404</v>
      </c>
      <c r="I33" s="122">
        <v>4.0880000000000001</v>
      </c>
      <c r="J33" s="122">
        <v>485.49200000000002</v>
      </c>
      <c r="K33" s="122">
        <v>133.02099999999999</v>
      </c>
      <c r="L33" s="122">
        <v>618.51300000000003</v>
      </c>
      <c r="M33" s="122">
        <v>143.77500000000001</v>
      </c>
      <c r="N33" s="122">
        <v>0</v>
      </c>
      <c r="O33" s="122">
        <v>474.738</v>
      </c>
      <c r="P33" s="155">
        <v>464.73899999999998</v>
      </c>
      <c r="Q33" s="156"/>
      <c r="R33" s="157"/>
      <c r="S33" s="124">
        <f>100*(C33/OBR_NOV23_1.1!C33)</f>
        <v>93.336144696988356</v>
      </c>
      <c r="T33" s="124">
        <f>100*(D33/OBR_NOV23_1.1!D33)</f>
        <v>94.046494806003736</v>
      </c>
      <c r="U33" s="124">
        <f>100*(E33/OBR_NOV23_1.1!E33)</f>
        <v>90.099531423178647</v>
      </c>
      <c r="V33" s="124">
        <f>100*(K33/OBR_NOV23_1.1!N33)</f>
        <v>88.121973355592203</v>
      </c>
      <c r="W33" s="124">
        <f>100*(M33/OBR_NOV23_1.1!P33)</f>
        <v>87.888475927329637</v>
      </c>
      <c r="X33" s="124">
        <f>100*(O33/OBR_NOV23_1.1!R33)</f>
        <v>92.388440206285878</v>
      </c>
      <c r="AA33" s="124">
        <f t="shared" si="0"/>
        <v>0.21205541571718278</v>
      </c>
    </row>
    <row r="34" spans="1:27" ht="15.75">
      <c r="A34" s="110"/>
      <c r="B34" s="154" t="s">
        <v>140</v>
      </c>
      <c r="C34" s="122">
        <v>305.43599999999998</v>
      </c>
      <c r="D34" s="122">
        <v>92.656999999999996</v>
      </c>
      <c r="E34" s="122">
        <v>83.108000000000004</v>
      </c>
      <c r="F34" s="122">
        <v>13.433</v>
      </c>
      <c r="G34" s="122">
        <v>0.158</v>
      </c>
      <c r="H34" s="122">
        <v>481.35899999999998</v>
      </c>
      <c r="I34" s="122">
        <v>-1.762</v>
      </c>
      <c r="J34" s="122">
        <v>479.59699999999998</v>
      </c>
      <c r="K34" s="122">
        <v>136.69499999999999</v>
      </c>
      <c r="L34" s="122">
        <v>616.29200000000003</v>
      </c>
      <c r="M34" s="122">
        <v>139.71</v>
      </c>
      <c r="N34" s="122">
        <v>0</v>
      </c>
      <c r="O34" s="122">
        <v>476.58199999999999</v>
      </c>
      <c r="P34" s="155">
        <v>470.96600000000001</v>
      </c>
      <c r="Q34" s="156"/>
      <c r="R34" s="157"/>
      <c r="S34" s="124">
        <f>100*(C34/OBR_NOV23_1.1!C34)</f>
        <v>93.473823375494618</v>
      </c>
      <c r="T34" s="124">
        <f>100*(D34/OBR_NOV23_1.1!D34)</f>
        <v>92.283252826054479</v>
      </c>
      <c r="U34" s="124">
        <f>100*(E34/OBR_NOV23_1.1!E34)</f>
        <v>90.799637273432481</v>
      </c>
      <c r="V34" s="124">
        <f>100*(K34/OBR_NOV23_1.1!N34)</f>
        <v>87.793270435000409</v>
      </c>
      <c r="W34" s="124">
        <f>100*(M34/OBR_NOV23_1.1!P34)</f>
        <v>87.336763207411522</v>
      </c>
      <c r="X34" s="124">
        <f>100*(O34/OBR_NOV23_1.1!R34)</f>
        <v>92.204319798172094</v>
      </c>
      <c r="AA34" s="124">
        <f t="shared" si="0"/>
        <v>-1.8748619856448823</v>
      </c>
    </row>
    <row r="35" spans="1:27" ht="15.75">
      <c r="A35" s="110"/>
      <c r="B35" s="154" t="s">
        <v>141</v>
      </c>
      <c r="C35" s="122">
        <v>310.06</v>
      </c>
      <c r="D35" s="122">
        <v>94.46</v>
      </c>
      <c r="E35" s="122">
        <v>82.843000000000004</v>
      </c>
      <c r="F35" s="122">
        <v>12.792</v>
      </c>
      <c r="G35" s="122">
        <v>0.379</v>
      </c>
      <c r="H35" s="122">
        <v>487.74200000000002</v>
      </c>
      <c r="I35" s="122">
        <v>3.1E-2</v>
      </c>
      <c r="J35" s="122">
        <v>487.77300000000002</v>
      </c>
      <c r="K35" s="122">
        <v>129.78800000000001</v>
      </c>
      <c r="L35" s="122">
        <v>617.56100000000004</v>
      </c>
      <c r="M35" s="122">
        <v>137.67599999999999</v>
      </c>
      <c r="N35" s="122">
        <v>0</v>
      </c>
      <c r="O35" s="122">
        <v>479.88499999999999</v>
      </c>
      <c r="P35" s="155">
        <v>471.46</v>
      </c>
      <c r="Q35" s="156"/>
      <c r="R35" s="157"/>
      <c r="S35" s="124">
        <f>100*(C35/OBR_NOV23_1.1!C35)</f>
        <v>93.744236600947545</v>
      </c>
      <c r="T35" s="124">
        <f>100*(D35/OBR_NOV23_1.1!D35)</f>
        <v>93.26895543904341</v>
      </c>
      <c r="U35" s="124">
        <f>100*(E35/OBR_NOV23_1.1!E35)</f>
        <v>91.187574987066455</v>
      </c>
      <c r="V35" s="124">
        <f>100*(K35/OBR_NOV23_1.1!N35)</f>
        <v>86.08001273412215</v>
      </c>
      <c r="W35" s="124">
        <f>100*(M35/OBR_NOV23_1.1!P35)</f>
        <v>86.163281910066644</v>
      </c>
      <c r="X35" s="124">
        <f>100*(O35/OBR_NOV23_1.1!R35)</f>
        <v>92.47853694728424</v>
      </c>
      <c r="AA35" s="124">
        <f t="shared" si="0"/>
        <v>1.068127295910215</v>
      </c>
    </row>
    <row r="36" spans="1:27" ht="15.75">
      <c r="A36" s="110"/>
      <c r="B36" s="154" t="s">
        <v>142</v>
      </c>
      <c r="C36" s="122">
        <v>309.60599999999999</v>
      </c>
      <c r="D36" s="122">
        <v>93.909000000000006</v>
      </c>
      <c r="E36" s="122">
        <v>84.917000000000002</v>
      </c>
      <c r="F36" s="122">
        <v>12.548</v>
      </c>
      <c r="G36" s="122">
        <v>-2.1219999999999999</v>
      </c>
      <c r="H36" s="122">
        <v>486.31</v>
      </c>
      <c r="I36" s="122">
        <v>6.2489999999999997</v>
      </c>
      <c r="J36" s="122">
        <v>492.55900000000003</v>
      </c>
      <c r="K36" s="122">
        <v>134.15</v>
      </c>
      <c r="L36" s="122">
        <v>626.70899999999995</v>
      </c>
      <c r="M36" s="122">
        <v>141.46299999999999</v>
      </c>
      <c r="N36" s="122">
        <v>0</v>
      </c>
      <c r="O36" s="122">
        <v>485.24599999999998</v>
      </c>
      <c r="P36" s="155">
        <v>467.517</v>
      </c>
      <c r="Q36" s="156"/>
      <c r="R36" s="157"/>
      <c r="S36" s="124">
        <f>100*(C36/OBR_NOV23_1.1!C36)</f>
        <v>93.868641023075597</v>
      </c>
      <c r="T36" s="124">
        <f>100*(D36/OBR_NOV23_1.1!D36)</f>
        <v>93.045537412809139</v>
      </c>
      <c r="U36" s="124">
        <f>100*(E36/OBR_NOV23_1.1!E36)</f>
        <v>90.496083550913838</v>
      </c>
      <c r="V36" s="124">
        <f>100*(K36/OBR_NOV23_1.1!N36)</f>
        <v>86.489797234131728</v>
      </c>
      <c r="W36" s="124">
        <f>100*(M36/OBR_NOV23_1.1!P36)</f>
        <v>85.106907795786256</v>
      </c>
      <c r="X36" s="124">
        <f>100*(O36/OBR_NOV23_1.1!R36)</f>
        <v>92.973252605763335</v>
      </c>
      <c r="AA36" s="124">
        <f t="shared" si="0"/>
        <v>-0.23954168370663442</v>
      </c>
    </row>
    <row r="37" spans="1:27" ht="15.75">
      <c r="A37" s="110"/>
      <c r="B37" s="154" t="s">
        <v>143</v>
      </c>
      <c r="C37" s="122">
        <v>316.34699999999998</v>
      </c>
      <c r="D37" s="122">
        <v>95.376000000000005</v>
      </c>
      <c r="E37" s="122">
        <v>86.287000000000006</v>
      </c>
      <c r="F37" s="122">
        <v>12.629</v>
      </c>
      <c r="G37" s="122">
        <v>0.71899999999999997</v>
      </c>
      <c r="H37" s="122">
        <v>498.72899999999998</v>
      </c>
      <c r="I37" s="122">
        <v>-1.286</v>
      </c>
      <c r="J37" s="122">
        <v>497.44299999999998</v>
      </c>
      <c r="K37" s="122">
        <v>136.06800000000001</v>
      </c>
      <c r="L37" s="122">
        <v>633.51099999999997</v>
      </c>
      <c r="M37" s="122">
        <v>143.78100000000001</v>
      </c>
      <c r="N37" s="122">
        <v>0</v>
      </c>
      <c r="O37" s="122">
        <v>489.73</v>
      </c>
      <c r="P37" s="155">
        <v>474.94499999999999</v>
      </c>
      <c r="Q37" s="156"/>
      <c r="R37" s="157"/>
      <c r="S37" s="124">
        <f>100*(C37/OBR_NOV23_1.1!C37)</f>
        <v>93.975527809712219</v>
      </c>
      <c r="T37" s="124">
        <f>100*(D37/OBR_NOV23_1.1!D37)</f>
        <v>94.291646070192783</v>
      </c>
      <c r="U37" s="124">
        <f>100*(E37/OBR_NOV23_1.1!E37)</f>
        <v>90.983571985912832</v>
      </c>
      <c r="V37" s="124">
        <f>100*(K37/OBR_NOV23_1.1!N37)</f>
        <v>88.055654424850346</v>
      </c>
      <c r="W37" s="124">
        <f>100*(M37/OBR_NOV23_1.1!P37)</f>
        <v>86.853121507747147</v>
      </c>
      <c r="X37" s="124">
        <f>100*(O37/OBR_NOV23_1.1!R37)</f>
        <v>93.493288635448152</v>
      </c>
      <c r="AA37" s="124">
        <f t="shared" si="0"/>
        <v>1.339246020854401</v>
      </c>
    </row>
    <row r="38" spans="1:27" ht="15.75">
      <c r="A38" s="110"/>
      <c r="B38" s="154" t="s">
        <v>144</v>
      </c>
      <c r="C38" s="122">
        <v>320.339</v>
      </c>
      <c r="D38" s="122">
        <v>95.123999999999995</v>
      </c>
      <c r="E38" s="122">
        <v>88.055999999999997</v>
      </c>
      <c r="F38" s="122">
        <v>12.718</v>
      </c>
      <c r="G38" s="122">
        <v>-0.63300000000000001</v>
      </c>
      <c r="H38" s="122">
        <v>502.88600000000002</v>
      </c>
      <c r="I38" s="122">
        <v>-2.6080000000000001</v>
      </c>
      <c r="J38" s="122">
        <v>500.27800000000002</v>
      </c>
      <c r="K38" s="122">
        <v>142.49700000000001</v>
      </c>
      <c r="L38" s="122">
        <v>642.77499999999998</v>
      </c>
      <c r="M38" s="122">
        <v>148.834</v>
      </c>
      <c r="N38" s="122">
        <v>0</v>
      </c>
      <c r="O38" s="122">
        <v>493.94099999999997</v>
      </c>
      <c r="P38" s="155">
        <v>479.92200000000003</v>
      </c>
      <c r="Q38" s="156"/>
      <c r="R38" s="157"/>
      <c r="S38" s="124">
        <f>100*(C38/OBR_NOV23_1.1!C38)</f>
        <v>94.385025162347219</v>
      </c>
      <c r="T38" s="124">
        <f>100*(D38/OBR_NOV23_1.1!D38)</f>
        <v>93.924583074143186</v>
      </c>
      <c r="U38" s="124">
        <f>100*(E38/OBR_NOV23_1.1!E38)</f>
        <v>92.078928380964328</v>
      </c>
      <c r="V38" s="124">
        <f>100*(K38/OBR_NOV23_1.1!N38)</f>
        <v>89.517724882682202</v>
      </c>
      <c r="W38" s="124">
        <f>100*(M38/OBR_NOV23_1.1!P38)</f>
        <v>88.844450281157108</v>
      </c>
      <c r="X38" s="124">
        <f>100*(O38/OBR_NOV23_1.1!R38)</f>
        <v>93.771428571428558</v>
      </c>
      <c r="AA38" s="124">
        <f t="shared" si="0"/>
        <v>-0.38928474721541262</v>
      </c>
    </row>
    <row r="39" spans="1:27" ht="15.75">
      <c r="A39" s="110"/>
      <c r="B39" s="154" t="s">
        <v>145</v>
      </c>
      <c r="C39" s="122">
        <v>325.553</v>
      </c>
      <c r="D39" s="122">
        <v>95.861999999999995</v>
      </c>
      <c r="E39" s="122">
        <v>91.32</v>
      </c>
      <c r="F39" s="122">
        <v>13.063000000000001</v>
      </c>
      <c r="G39" s="122">
        <v>3.1190000000000002</v>
      </c>
      <c r="H39" s="122">
        <v>515.85400000000004</v>
      </c>
      <c r="I39" s="122">
        <v>1.4750000000000001</v>
      </c>
      <c r="J39" s="122">
        <v>517.32899999999995</v>
      </c>
      <c r="K39" s="122">
        <v>143.81700000000001</v>
      </c>
      <c r="L39" s="122">
        <v>661.14599999999996</v>
      </c>
      <c r="M39" s="122">
        <v>160.49600000000001</v>
      </c>
      <c r="N39" s="122">
        <v>0</v>
      </c>
      <c r="O39" s="122">
        <v>500.65</v>
      </c>
      <c r="P39" s="155">
        <v>490.39100000000002</v>
      </c>
      <c r="Q39" s="156"/>
      <c r="R39" s="157"/>
      <c r="S39" s="124">
        <f>100*(C39/OBR_NOV23_1.1!C39)</f>
        <v>95.129741102214936</v>
      </c>
      <c r="T39" s="124">
        <f>100*(D39/OBR_NOV23_1.1!D39)</f>
        <v>94.477898782831517</v>
      </c>
      <c r="U39" s="124">
        <f>100*(E39/OBR_NOV23_1.1!E39)</f>
        <v>92.871889269696624</v>
      </c>
      <c r="V39" s="124">
        <f>100*(K39/OBR_NOV23_1.1!N39)</f>
        <v>92.878039329652239</v>
      </c>
      <c r="W39" s="124">
        <f>100*(M39/OBR_NOV23_1.1!P39)</f>
        <v>92.67101259317856</v>
      </c>
      <c r="X39" s="124">
        <f>100*(O39/OBR_NOV23_1.1!R39)</f>
        <v>94.6923845117947</v>
      </c>
      <c r="AA39" s="124">
        <f t="shared" si="0"/>
        <v>0.58910637724263193</v>
      </c>
    </row>
    <row r="40" spans="1:27" ht="15.75">
      <c r="A40" s="110"/>
      <c r="B40" s="154" t="s">
        <v>146</v>
      </c>
      <c r="C40" s="122">
        <v>327.20600000000002</v>
      </c>
      <c r="D40" s="122">
        <v>96.397999999999996</v>
      </c>
      <c r="E40" s="122">
        <v>90.938999999999993</v>
      </c>
      <c r="F40" s="122">
        <v>13.064</v>
      </c>
      <c r="G40" s="122">
        <v>-1.7030000000000001</v>
      </c>
      <c r="H40" s="122">
        <v>512.84</v>
      </c>
      <c r="I40" s="122">
        <v>1.5109999999999999</v>
      </c>
      <c r="J40" s="122">
        <v>514.351</v>
      </c>
      <c r="K40" s="122">
        <v>153.25</v>
      </c>
      <c r="L40" s="122">
        <v>667.601</v>
      </c>
      <c r="M40" s="122">
        <v>160.27699999999999</v>
      </c>
      <c r="N40" s="122">
        <v>0</v>
      </c>
      <c r="O40" s="122">
        <v>507.32400000000001</v>
      </c>
      <c r="P40" s="155">
        <v>499.654</v>
      </c>
      <c r="Q40" s="156"/>
      <c r="R40" s="157"/>
      <c r="S40" s="124">
        <f>100*(C40/OBR_NOV23_1.1!C40)</f>
        <v>95.601310111289337</v>
      </c>
      <c r="T40" s="124">
        <f>100*(D40/OBR_NOV23_1.1!D40)</f>
        <v>95.35670478376133</v>
      </c>
      <c r="U40" s="124">
        <f>100*(E40/OBR_NOV23_1.1!E40)</f>
        <v>93.34065505455365</v>
      </c>
      <c r="V40" s="124">
        <f>100*(K40/OBR_NOV23_1.1!N40)</f>
        <v>95.201709592853518</v>
      </c>
      <c r="W40" s="124">
        <f>100*(M40/OBR_NOV23_1.1!P40)</f>
        <v>94.76444433933257</v>
      </c>
      <c r="X40" s="124">
        <f>100*(O40/OBR_NOV23_1.1!R40)</f>
        <v>95.346957799737638</v>
      </c>
      <c r="AA40" s="124">
        <f t="shared" si="0"/>
        <v>0.93017098416832145</v>
      </c>
    </row>
    <row r="41" spans="1:27" ht="15.75">
      <c r="A41" s="110"/>
      <c r="B41" s="154" t="s">
        <v>147</v>
      </c>
      <c r="C41" s="122">
        <v>329.56099999999998</v>
      </c>
      <c r="D41" s="122">
        <v>97.084999999999994</v>
      </c>
      <c r="E41" s="122">
        <v>92.811000000000007</v>
      </c>
      <c r="F41" s="122">
        <v>12.874000000000001</v>
      </c>
      <c r="G41" s="122">
        <v>-0.71199999999999997</v>
      </c>
      <c r="H41" s="122">
        <v>518.745</v>
      </c>
      <c r="I41" s="122">
        <v>1.982</v>
      </c>
      <c r="J41" s="122">
        <v>520.72699999999998</v>
      </c>
      <c r="K41" s="122">
        <v>157.43700000000001</v>
      </c>
      <c r="L41" s="122">
        <v>678.16399999999999</v>
      </c>
      <c r="M41" s="122">
        <v>164.238</v>
      </c>
      <c r="N41" s="122">
        <v>0</v>
      </c>
      <c r="O41" s="122">
        <v>513.92600000000004</v>
      </c>
      <c r="P41" s="155">
        <v>509.40800000000002</v>
      </c>
      <c r="Q41" s="156"/>
      <c r="R41" s="157"/>
      <c r="S41" s="124">
        <f>100*(C41/OBR_NOV23_1.1!C41)</f>
        <v>95.608619719290516</v>
      </c>
      <c r="T41" s="124">
        <f>100*(D41/OBR_NOV23_1.1!D41)</f>
        <v>95.805990033058663</v>
      </c>
      <c r="U41" s="124">
        <f>100*(E41/OBR_NOV23_1.1!E41)</f>
        <v>93.675626028240671</v>
      </c>
      <c r="V41" s="124">
        <f>100*(K41/OBR_NOV23_1.1!N41)</f>
        <v>96.21465370253803</v>
      </c>
      <c r="W41" s="124">
        <f>100*(M41/OBR_NOV23_1.1!P41)</f>
        <v>95.97321319004962</v>
      </c>
      <c r="X41" s="124">
        <f>100*(O41/OBR_NOV23_1.1!R41)</f>
        <v>95.780574989842819</v>
      </c>
      <c r="AA41" s="124">
        <f t="shared" si="0"/>
        <v>0.47116272559561967</v>
      </c>
    </row>
    <row r="42" spans="1:27" ht="15.75">
      <c r="A42" s="110"/>
      <c r="B42" s="154" t="s">
        <v>148</v>
      </c>
      <c r="C42" s="122">
        <v>331.98200000000003</v>
      </c>
      <c r="D42" s="122">
        <v>96.328000000000003</v>
      </c>
      <c r="E42" s="122">
        <v>95.16</v>
      </c>
      <c r="F42" s="122">
        <v>14.75</v>
      </c>
      <c r="G42" s="122">
        <v>0.317</v>
      </c>
      <c r="H42" s="122">
        <v>523.78700000000003</v>
      </c>
      <c r="I42" s="122">
        <v>1.403</v>
      </c>
      <c r="J42" s="122">
        <v>525.19000000000005</v>
      </c>
      <c r="K42" s="122">
        <v>160.435</v>
      </c>
      <c r="L42" s="122">
        <v>685.625</v>
      </c>
      <c r="M42" s="122">
        <v>168.06</v>
      </c>
      <c r="N42" s="122">
        <v>0</v>
      </c>
      <c r="O42" s="122">
        <v>517.56500000000005</v>
      </c>
      <c r="P42" s="155">
        <v>509.42200000000003</v>
      </c>
      <c r="Q42" s="156"/>
      <c r="R42" s="157"/>
      <c r="S42" s="124">
        <f>100*(C42/OBR_NOV23_1.1!C42)</f>
        <v>96.29421217201633</v>
      </c>
      <c r="T42" s="124">
        <f>100*(D42/OBR_NOV23_1.1!D42)</f>
        <v>94.569944727515491</v>
      </c>
      <c r="U42" s="124">
        <f>100*(E42/OBR_NOV23_1.1!E42)</f>
        <v>94.871590365289521</v>
      </c>
      <c r="V42" s="124">
        <f>100*(K42/OBR_NOV23_1.1!N42)</f>
        <v>95.487929720978954</v>
      </c>
      <c r="W42" s="124">
        <f>100*(M42/OBR_NOV23_1.1!P42)</f>
        <v>95.647868326247675</v>
      </c>
      <c r="X42" s="124">
        <f>100*(O42/OBR_NOV23_1.1!R42)</f>
        <v>95.841820673308405</v>
      </c>
      <c r="AA42" s="124">
        <f t="shared" si="0"/>
        <v>-1.2901545144689441</v>
      </c>
    </row>
    <row r="43" spans="1:27" ht="15.75">
      <c r="A43" s="110"/>
      <c r="B43" s="154" t="s">
        <v>149</v>
      </c>
      <c r="C43" s="122">
        <v>335.73599999999999</v>
      </c>
      <c r="D43" s="122">
        <v>96.980999999999995</v>
      </c>
      <c r="E43" s="122">
        <v>94.950999999999993</v>
      </c>
      <c r="F43" s="122">
        <v>14.853</v>
      </c>
      <c r="G43" s="122">
        <v>0.245</v>
      </c>
      <c r="H43" s="122">
        <v>527.91300000000001</v>
      </c>
      <c r="I43" s="122">
        <v>0.214</v>
      </c>
      <c r="J43" s="122">
        <v>528.12699999999995</v>
      </c>
      <c r="K43" s="122">
        <v>163.49299999999999</v>
      </c>
      <c r="L43" s="122">
        <v>691.62</v>
      </c>
      <c r="M43" s="122">
        <v>170.40100000000001</v>
      </c>
      <c r="N43" s="122">
        <v>0</v>
      </c>
      <c r="O43" s="122">
        <v>521.21900000000005</v>
      </c>
      <c r="P43" s="155">
        <v>516.45299999999997</v>
      </c>
      <c r="Q43" s="156"/>
      <c r="R43" s="157"/>
      <c r="S43" s="124">
        <f>100*(C43/OBR_NOV23_1.1!C43)</f>
        <v>96.752217540907083</v>
      </c>
      <c r="T43" s="124">
        <f>100*(D43/OBR_NOV23_1.1!D43)</f>
        <v>94.839523558059028</v>
      </c>
      <c r="U43" s="124">
        <f>100*(E43/OBR_NOV23_1.1!E43)</f>
        <v>95.505889216346972</v>
      </c>
      <c r="V43" s="124">
        <f>100*(K43/OBR_NOV23_1.1!N43)</f>
        <v>95.004910249928813</v>
      </c>
      <c r="W43" s="124">
        <f>100*(M43/OBR_NOV23_1.1!P43)</f>
        <v>96.507841216082284</v>
      </c>
      <c r="X43" s="124">
        <f>100*(O43/OBR_NOV23_1.1!R43)</f>
        <v>95.908930319513047</v>
      </c>
      <c r="AA43" s="124">
        <f t="shared" si="0"/>
        <v>0.28505761668813356</v>
      </c>
    </row>
    <row r="44" spans="1:27" ht="15.75">
      <c r="A44" s="110"/>
      <c r="B44" s="154" t="s">
        <v>150</v>
      </c>
      <c r="C44" s="122">
        <v>339.642</v>
      </c>
      <c r="D44" s="122">
        <v>98.183000000000007</v>
      </c>
      <c r="E44" s="122">
        <v>97.09</v>
      </c>
      <c r="F44" s="122">
        <v>14.923</v>
      </c>
      <c r="G44" s="122">
        <v>0.99199999999999999</v>
      </c>
      <c r="H44" s="122">
        <v>535.90700000000004</v>
      </c>
      <c r="I44" s="122">
        <v>0.45600000000000002</v>
      </c>
      <c r="J44" s="122">
        <v>536.36300000000006</v>
      </c>
      <c r="K44" s="122">
        <v>161.92099999999999</v>
      </c>
      <c r="L44" s="122">
        <v>698.28399999999999</v>
      </c>
      <c r="M44" s="122">
        <v>168.512</v>
      </c>
      <c r="N44" s="122">
        <v>0</v>
      </c>
      <c r="O44" s="122">
        <v>529.77200000000005</v>
      </c>
      <c r="P44" s="155">
        <v>524.79200000000003</v>
      </c>
      <c r="Q44" s="156"/>
      <c r="R44" s="157"/>
      <c r="S44" s="124">
        <f>100*(C44/OBR_NOV23_1.1!C44)</f>
        <v>97.342053674809975</v>
      </c>
      <c r="T44" s="124">
        <f>100*(D44/OBR_NOV23_1.1!D44)</f>
        <v>96.088275592092387</v>
      </c>
      <c r="U44" s="124">
        <f>100*(E44/OBR_NOV23_1.1!E44)</f>
        <v>96.174419526111421</v>
      </c>
      <c r="V44" s="124">
        <f>100*(K44/OBR_NOV23_1.1!N44)</f>
        <v>96.162891520471305</v>
      </c>
      <c r="W44" s="124">
        <f>100*(M44/OBR_NOV23_1.1!P44)</f>
        <v>97.204628572087813</v>
      </c>
      <c r="X44" s="124">
        <f>100*(O44/OBR_NOV23_1.1!R44)</f>
        <v>96.78375233157405</v>
      </c>
      <c r="AA44" s="124">
        <f t="shared" si="0"/>
        <v>1.316700028832285</v>
      </c>
    </row>
    <row r="45" spans="1:27" ht="15.75">
      <c r="A45" s="110"/>
      <c r="B45" s="154" t="s">
        <v>151</v>
      </c>
      <c r="C45" s="122">
        <v>343.64100000000002</v>
      </c>
      <c r="D45" s="122">
        <v>98.753</v>
      </c>
      <c r="E45" s="122">
        <v>96.126999999999995</v>
      </c>
      <c r="F45" s="122">
        <v>14.27</v>
      </c>
      <c r="G45" s="122">
        <v>0.17299999999999999</v>
      </c>
      <c r="H45" s="122">
        <v>538.69399999999996</v>
      </c>
      <c r="I45" s="122">
        <v>-0.114</v>
      </c>
      <c r="J45" s="122">
        <v>538.58000000000004</v>
      </c>
      <c r="K45" s="122">
        <v>165.04499999999999</v>
      </c>
      <c r="L45" s="122">
        <v>703.625</v>
      </c>
      <c r="M45" s="122">
        <v>172.35900000000001</v>
      </c>
      <c r="N45" s="122">
        <v>0</v>
      </c>
      <c r="O45" s="122">
        <v>531.26599999999996</v>
      </c>
      <c r="P45" s="155">
        <v>522.61400000000003</v>
      </c>
      <c r="Q45" s="156"/>
      <c r="R45" s="157"/>
      <c r="S45" s="124">
        <f>100*(C45/OBR_NOV23_1.1!C45)</f>
        <v>97.869958988380048</v>
      </c>
      <c r="T45" s="124">
        <f>100*(D45/OBR_NOV23_1.1!D45)</f>
        <v>96.92594591941895</v>
      </c>
      <c r="U45" s="124">
        <f>100*(E45/OBR_NOV23_1.1!E45)</f>
        <v>95.76500826874414</v>
      </c>
      <c r="V45" s="124">
        <f>100*(K45/OBR_NOV23_1.1!N45)</f>
        <v>96.125173269344998</v>
      </c>
      <c r="W45" s="124">
        <f>100*(M45/OBR_NOV23_1.1!P45)</f>
        <v>97.610134840496315</v>
      </c>
      <c r="X45" s="124">
        <f>100*(O45/OBR_NOV23_1.1!R45)</f>
        <v>97.001577540497507</v>
      </c>
      <c r="AA45" s="124">
        <f t="shared" si="0"/>
        <v>0.87177163099749766</v>
      </c>
    </row>
    <row r="46" spans="1:27" ht="15.75">
      <c r="A46" s="110"/>
      <c r="B46" s="154" t="s">
        <v>152</v>
      </c>
      <c r="C46" s="122">
        <v>344.262</v>
      </c>
      <c r="D46" s="122">
        <v>99.094999999999999</v>
      </c>
      <c r="E46" s="122">
        <v>95.804000000000002</v>
      </c>
      <c r="F46" s="122">
        <v>14.295</v>
      </c>
      <c r="G46" s="122">
        <v>1.345</v>
      </c>
      <c r="H46" s="122">
        <v>540.50599999999997</v>
      </c>
      <c r="I46" s="122">
        <v>1.3</v>
      </c>
      <c r="J46" s="122">
        <v>541.80600000000004</v>
      </c>
      <c r="K46" s="122">
        <v>169.107</v>
      </c>
      <c r="L46" s="122">
        <v>710.91300000000001</v>
      </c>
      <c r="M46" s="122">
        <v>175.30500000000001</v>
      </c>
      <c r="N46" s="122">
        <v>0</v>
      </c>
      <c r="O46" s="122">
        <v>535.60799999999995</v>
      </c>
      <c r="P46" s="155">
        <v>529.39300000000003</v>
      </c>
      <c r="Q46" s="156"/>
      <c r="R46" s="157"/>
      <c r="S46" s="124">
        <f>100*(C46/OBR_NOV23_1.1!C46)</f>
        <v>98.162563514738835</v>
      </c>
      <c r="T46" s="124">
        <f>100*(D46/OBR_NOV23_1.1!D46)</f>
        <v>97.186261817896508</v>
      </c>
      <c r="U46" s="124">
        <f>100*(E46/OBR_NOV23_1.1!E46)</f>
        <v>96.565904990374051</v>
      </c>
      <c r="V46" s="124">
        <f>100*(K46/OBR_NOV23_1.1!N46)</f>
        <v>97.926317983878448</v>
      </c>
      <c r="W46" s="124">
        <f>100*(M46/OBR_NOV23_1.1!P46)</f>
        <v>98.610048600485996</v>
      </c>
      <c r="X46" s="124">
        <f>100*(O46/OBR_NOV23_1.1!R46)</f>
        <v>97.631790010936911</v>
      </c>
      <c r="AA46" s="124">
        <f t="shared" si="0"/>
        <v>0.26857194532201589</v>
      </c>
    </row>
    <row r="47" spans="1:27" ht="15.75">
      <c r="A47" s="110"/>
      <c r="B47" s="154" t="s">
        <v>153</v>
      </c>
      <c r="C47" s="122">
        <v>349.01600000000002</v>
      </c>
      <c r="D47" s="122">
        <v>99.93</v>
      </c>
      <c r="E47" s="122">
        <v>97.22</v>
      </c>
      <c r="F47" s="122">
        <v>15.045999999999999</v>
      </c>
      <c r="G47" s="122">
        <v>1.1140000000000001</v>
      </c>
      <c r="H47" s="122">
        <v>547.28</v>
      </c>
      <c r="I47" s="122">
        <v>-1.9039999999999999</v>
      </c>
      <c r="J47" s="122">
        <v>545.37599999999998</v>
      </c>
      <c r="K47" s="122">
        <v>172.77699999999999</v>
      </c>
      <c r="L47" s="122">
        <v>718.15300000000002</v>
      </c>
      <c r="M47" s="122">
        <v>178.03</v>
      </c>
      <c r="N47" s="122">
        <v>0</v>
      </c>
      <c r="O47" s="122">
        <v>540.12300000000005</v>
      </c>
      <c r="P47" s="155">
        <v>533.03</v>
      </c>
      <c r="Q47" s="156"/>
      <c r="R47" s="157"/>
      <c r="S47" s="124">
        <f>100*(C47/OBR_NOV23_1.1!C47)</f>
        <v>98.740480043455136</v>
      </c>
      <c r="T47" s="124">
        <f>100*(D47/OBR_NOV23_1.1!D47)</f>
        <v>97.457503145206132</v>
      </c>
      <c r="U47" s="124">
        <f>100*(E47/OBR_NOV23_1.1!E47)</f>
        <v>98.012924559687875</v>
      </c>
      <c r="V47" s="124">
        <f>100*(K47/OBR_NOV23_1.1!N47)</f>
        <v>98.740434675764789</v>
      </c>
      <c r="W47" s="124">
        <f>100*(M47/OBR_NOV23_1.1!P47)</f>
        <v>99.639567032696419</v>
      </c>
      <c r="X47" s="124">
        <f>100*(O47/OBR_NOV23_1.1!R47)</f>
        <v>98.128355361765927</v>
      </c>
      <c r="AA47" s="124">
        <f t="shared" si="0"/>
        <v>0.2790943104878929</v>
      </c>
    </row>
    <row r="48" spans="1:27" ht="15.75">
      <c r="A48" s="110"/>
      <c r="B48" s="154" t="s">
        <v>154</v>
      </c>
      <c r="C48" s="122">
        <v>354.75400000000002</v>
      </c>
      <c r="D48" s="122">
        <v>101.28700000000001</v>
      </c>
      <c r="E48" s="122">
        <v>98.173000000000002</v>
      </c>
      <c r="F48" s="122">
        <v>14.835000000000001</v>
      </c>
      <c r="G48" s="122">
        <v>0.19400000000000001</v>
      </c>
      <c r="H48" s="122">
        <v>554.40800000000002</v>
      </c>
      <c r="I48" s="122">
        <v>1.8879999999999999</v>
      </c>
      <c r="J48" s="122">
        <v>556.29600000000005</v>
      </c>
      <c r="K48" s="122">
        <v>172.77099999999999</v>
      </c>
      <c r="L48" s="122">
        <v>729.06700000000001</v>
      </c>
      <c r="M48" s="122">
        <v>183.76</v>
      </c>
      <c r="N48" s="122">
        <v>0</v>
      </c>
      <c r="O48" s="122">
        <v>545.30700000000002</v>
      </c>
      <c r="P48" s="155">
        <v>538.01400000000001</v>
      </c>
      <c r="Q48" s="156"/>
      <c r="R48" s="157"/>
      <c r="S48" s="124">
        <f>100*(C48/OBR_NOV23_1.1!C48)</f>
        <v>99.285766261971546</v>
      </c>
      <c r="T48" s="124">
        <f>100*(D48/OBR_NOV23_1.1!D48)</f>
        <v>97.593101122512891</v>
      </c>
      <c r="U48" s="124">
        <f>100*(E48/OBR_NOV23_1.1!E48)</f>
        <v>99.106584021482362</v>
      </c>
      <c r="V48" s="124">
        <f>100*(K48/OBR_NOV23_1.1!N48)</f>
        <v>99.583844881349677</v>
      </c>
      <c r="W48" s="124">
        <f>100*(M48/OBR_NOV23_1.1!P48)</f>
        <v>99.159282962259454</v>
      </c>
      <c r="X48" s="124">
        <f>100*(O48/OBR_NOV23_1.1!R48)</f>
        <v>98.94380252863219</v>
      </c>
      <c r="AA48" s="124">
        <f t="shared" si="0"/>
        <v>0.13913549283601778</v>
      </c>
    </row>
    <row r="49" spans="1:27" ht="15.75">
      <c r="A49" s="110"/>
      <c r="B49" s="154" t="s">
        <v>155</v>
      </c>
      <c r="C49" s="122">
        <v>354.66300000000001</v>
      </c>
      <c r="D49" s="122">
        <v>102.79300000000001</v>
      </c>
      <c r="E49" s="122">
        <v>101.292</v>
      </c>
      <c r="F49" s="122">
        <v>15.712</v>
      </c>
      <c r="G49" s="122">
        <v>11.414999999999999</v>
      </c>
      <c r="H49" s="122">
        <v>570.16300000000001</v>
      </c>
      <c r="I49" s="122">
        <v>5.8419999999999996</v>
      </c>
      <c r="J49" s="122">
        <v>576.005</v>
      </c>
      <c r="K49" s="122">
        <v>170.08099999999999</v>
      </c>
      <c r="L49" s="122">
        <v>746.08600000000001</v>
      </c>
      <c r="M49" s="122">
        <v>196.69200000000001</v>
      </c>
      <c r="N49" s="122">
        <v>0</v>
      </c>
      <c r="O49" s="122">
        <v>549.39400000000001</v>
      </c>
      <c r="P49" s="155">
        <v>548.70000000000005</v>
      </c>
      <c r="Q49" s="156"/>
      <c r="R49" s="157"/>
      <c r="S49" s="124">
        <f>100*(C49/OBR_NOV23_1.1!C49)</f>
        <v>99.352335597730928</v>
      </c>
      <c r="T49" s="124">
        <f>100*(D49/OBR_NOV23_1.1!D49)</f>
        <v>97.65256877944978</v>
      </c>
      <c r="U49" s="124">
        <f>100*(E49/OBR_NOV23_1.1!E49)</f>
        <v>99.203760834435144</v>
      </c>
      <c r="V49" s="124">
        <f>100*(K49/OBR_NOV23_1.1!N49)</f>
        <v>99.152937610036503</v>
      </c>
      <c r="W49" s="124">
        <f>100*(M49/OBR_NOV23_1.1!P49)</f>
        <v>99.144609832198356</v>
      </c>
      <c r="X49" s="124">
        <f>100*(O49/OBR_NOV23_1.1!R49)</f>
        <v>98.96476750951561</v>
      </c>
      <c r="AA49" s="124">
        <f t="shared" si="0"/>
        <v>6.0934283523006449E-2</v>
      </c>
    </row>
    <row r="50" spans="1:27" ht="15.75">
      <c r="A50" s="110"/>
      <c r="B50" s="154" t="s">
        <v>156</v>
      </c>
      <c r="C50" s="122">
        <v>357.52199999999999</v>
      </c>
      <c r="D50" s="122">
        <v>106.226</v>
      </c>
      <c r="E50" s="122">
        <v>101.304</v>
      </c>
      <c r="F50" s="122">
        <v>15.118</v>
      </c>
      <c r="G50" s="122">
        <v>1.8460000000000001</v>
      </c>
      <c r="H50" s="122">
        <v>566.89800000000002</v>
      </c>
      <c r="I50" s="122">
        <v>-1.216</v>
      </c>
      <c r="J50" s="122">
        <v>565.68200000000002</v>
      </c>
      <c r="K50" s="122">
        <v>170.11099999999999</v>
      </c>
      <c r="L50" s="122">
        <v>735.79300000000001</v>
      </c>
      <c r="M50" s="122">
        <v>179.845</v>
      </c>
      <c r="N50" s="122">
        <v>0</v>
      </c>
      <c r="O50" s="122">
        <v>555.94799999999998</v>
      </c>
      <c r="P50" s="155">
        <v>558.73599999999999</v>
      </c>
      <c r="Q50" s="156"/>
      <c r="R50" s="157"/>
      <c r="S50" s="124">
        <f>100*(C50/OBR_NOV23_1.1!C50)</f>
        <v>99.879872161630615</v>
      </c>
      <c r="T50" s="124">
        <f>100*(D50/OBR_NOV23_1.1!D50)</f>
        <v>99.147835988762267</v>
      </c>
      <c r="U50" s="124">
        <f>100*(E50/OBR_NOV23_1.1!E50)</f>
        <v>100.02863490496175</v>
      </c>
      <c r="V50" s="124">
        <f>100*(K50/OBR_NOV23_1.1!N50)</f>
        <v>100.4220878887341</v>
      </c>
      <c r="W50" s="124">
        <f>100*(M50/OBR_NOV23_1.1!P50)</f>
        <v>99.939428965179985</v>
      </c>
      <c r="X50" s="124">
        <f>100*(O50/OBR_NOV23_1.1!R50)</f>
        <v>99.823317747947684</v>
      </c>
      <c r="AA50" s="124">
        <f t="shared" si="0"/>
        <v>1.5312113424169826</v>
      </c>
    </row>
    <row r="51" spans="1:27" ht="15.75">
      <c r="A51" s="110"/>
      <c r="B51" s="154" t="s">
        <v>157</v>
      </c>
      <c r="C51" s="122">
        <v>358.274</v>
      </c>
      <c r="D51" s="122">
        <v>107.931</v>
      </c>
      <c r="E51" s="122">
        <v>102.59699999999999</v>
      </c>
      <c r="F51" s="122">
        <v>15.694000000000001</v>
      </c>
      <c r="G51" s="122">
        <v>1.4390000000000001</v>
      </c>
      <c r="H51" s="122">
        <v>570.24099999999999</v>
      </c>
      <c r="I51" s="122">
        <v>-2.95</v>
      </c>
      <c r="J51" s="122">
        <v>567.29100000000005</v>
      </c>
      <c r="K51" s="122">
        <v>180.68700000000001</v>
      </c>
      <c r="L51" s="122">
        <v>747.97799999999995</v>
      </c>
      <c r="M51" s="122">
        <v>185.18799999999999</v>
      </c>
      <c r="N51" s="122">
        <v>0</v>
      </c>
      <c r="O51" s="122">
        <v>562.79</v>
      </c>
      <c r="P51" s="155">
        <v>560.41200000000003</v>
      </c>
      <c r="Q51" s="156"/>
      <c r="R51" s="157"/>
      <c r="S51" s="124">
        <f>100*(C51/OBR_NOV23_1.1!C51)</f>
        <v>100.28663400979707</v>
      </c>
      <c r="T51" s="124">
        <f>100*(D51/OBR_NOV23_1.1!D51)</f>
        <v>101.01075329196732</v>
      </c>
      <c r="U51" s="124">
        <f>100*(E51/OBR_NOV23_1.1!E51)</f>
        <v>100.486777668952</v>
      </c>
      <c r="V51" s="124">
        <f>100*(K51/OBR_NOV23_1.1!N51)</f>
        <v>100.71290020511907</v>
      </c>
      <c r="W51" s="124">
        <f>100*(M51/OBR_NOV23_1.1!P51)</f>
        <v>101.40508810548563</v>
      </c>
      <c r="X51" s="124">
        <f>100*(O51/OBR_NOV23_1.1!R51)</f>
        <v>100.32139782205292</v>
      </c>
      <c r="AA51" s="124">
        <f t="shared" si="0"/>
        <v>1.8789288587359509</v>
      </c>
    </row>
    <row r="52" spans="1:27" ht="15.75">
      <c r="A52" s="110"/>
      <c r="B52" s="154" t="s">
        <v>158</v>
      </c>
      <c r="C52" s="122">
        <v>357.48099999999999</v>
      </c>
      <c r="D52" s="122">
        <v>109.642</v>
      </c>
      <c r="E52" s="122">
        <v>101.23</v>
      </c>
      <c r="F52" s="122">
        <v>15.615</v>
      </c>
      <c r="G52" s="122">
        <v>-11.82</v>
      </c>
      <c r="H52" s="122">
        <v>556.53300000000002</v>
      </c>
      <c r="I52" s="122">
        <v>-0.41399999999999998</v>
      </c>
      <c r="J52" s="122">
        <v>556.11900000000003</v>
      </c>
      <c r="K52" s="122">
        <v>185.81700000000001</v>
      </c>
      <c r="L52" s="122">
        <v>741.93600000000004</v>
      </c>
      <c r="M52" s="122">
        <v>176.14699999999999</v>
      </c>
      <c r="N52" s="122">
        <v>0</v>
      </c>
      <c r="O52" s="122">
        <v>565.78899999999999</v>
      </c>
      <c r="P52" s="155">
        <v>563.81899999999996</v>
      </c>
      <c r="Q52" s="156"/>
      <c r="R52" s="157"/>
      <c r="S52" s="124">
        <f>100*(C52/OBR_NOV23_1.1!C52)</f>
        <v>100.48290575467375</v>
      </c>
      <c r="T52" s="124">
        <f>100*(D52/OBR_NOV23_1.1!D52)</f>
        <v>102.14649052525667</v>
      </c>
      <c r="U52" s="124">
        <f>100*(E52/OBR_NOV23_1.1!E52)</f>
        <v>100.28431887302736</v>
      </c>
      <c r="V52" s="124">
        <f>100*(K52/OBR_NOV23_1.1!N52)</f>
        <v>99.709698537224057</v>
      </c>
      <c r="W52" s="124">
        <f>100*(M52/OBR_NOV23_1.1!P52)</f>
        <v>99.570395744656778</v>
      </c>
      <c r="X52" s="124">
        <f>100*(O52/OBR_NOV23_1.1!R52)</f>
        <v>100.87864907704405</v>
      </c>
      <c r="AA52" s="124">
        <f t="shared" si="0"/>
        <v>1.1243726002186483</v>
      </c>
    </row>
    <row r="53" spans="1:27" ht="15.75">
      <c r="A53" s="110"/>
      <c r="B53" s="154" t="s">
        <v>159</v>
      </c>
      <c r="C53" s="122">
        <v>346.06599999999997</v>
      </c>
      <c r="D53" s="122">
        <v>108.901</v>
      </c>
      <c r="E53" s="122">
        <v>98.224000000000004</v>
      </c>
      <c r="F53" s="122">
        <v>15.173</v>
      </c>
      <c r="G53" s="122">
        <v>0.79100000000000004</v>
      </c>
      <c r="H53" s="122">
        <v>553.98199999999997</v>
      </c>
      <c r="I53" s="122">
        <v>-1.482</v>
      </c>
      <c r="J53" s="122">
        <v>552.5</v>
      </c>
      <c r="K53" s="122">
        <v>171.57900000000001</v>
      </c>
      <c r="L53" s="122">
        <v>724.07899999999995</v>
      </c>
      <c r="M53" s="122">
        <v>167.9</v>
      </c>
      <c r="N53" s="122">
        <v>0</v>
      </c>
      <c r="O53" s="122">
        <v>556.17899999999997</v>
      </c>
      <c r="P53" s="155">
        <v>547.26300000000003</v>
      </c>
      <c r="Q53" s="156"/>
      <c r="R53" s="157"/>
      <c r="S53" s="124">
        <f>100*(C53/OBR_NOV23_1.1!C53)</f>
        <v>100.11484975511256</v>
      </c>
      <c r="T53" s="124">
        <f>100*(D53/OBR_NOV23_1.1!D53)</f>
        <v>105.14318265201692</v>
      </c>
      <c r="U53" s="124">
        <f>100*(E53/OBR_NOV23_1.1!E53)</f>
        <v>101.06285561420296</v>
      </c>
      <c r="V53" s="124">
        <f>100*(K53/OBR_NOV23_1.1!N53)</f>
        <v>100.74097124773218</v>
      </c>
      <c r="W53" s="124">
        <f>100*(M53/OBR_NOV23_1.1!P53)</f>
        <v>98.921817003476121</v>
      </c>
      <c r="X53" s="124">
        <f>100*(O53/OBR_NOV23_1.1!R53)</f>
        <v>101.93952679358573</v>
      </c>
      <c r="AA53" s="124">
        <f t="shared" si="0"/>
        <v>2.9337201027178628</v>
      </c>
    </row>
    <row r="54" spans="1:27" ht="15.75">
      <c r="A54" s="110"/>
      <c r="B54" s="154" t="s">
        <v>160</v>
      </c>
      <c r="C54" s="122">
        <v>266.85300000000001</v>
      </c>
      <c r="D54" s="122">
        <v>121.447</v>
      </c>
      <c r="E54" s="122">
        <v>80.143000000000001</v>
      </c>
      <c r="F54" s="122">
        <v>16.852</v>
      </c>
      <c r="G54" s="122">
        <v>-8.6560000000000006</v>
      </c>
      <c r="H54" s="122">
        <v>459.78699999999998</v>
      </c>
      <c r="I54" s="122">
        <v>-6.8029999999999999</v>
      </c>
      <c r="J54" s="122">
        <v>452.98399999999998</v>
      </c>
      <c r="K54" s="122">
        <v>147.22</v>
      </c>
      <c r="L54" s="122">
        <v>600.20399999999995</v>
      </c>
      <c r="M54" s="122">
        <v>124.45699999999999</v>
      </c>
      <c r="N54" s="122">
        <v>0</v>
      </c>
      <c r="O54" s="122">
        <v>475.74700000000001</v>
      </c>
      <c r="P54" s="155">
        <v>454.161</v>
      </c>
      <c r="Q54" s="156"/>
      <c r="R54" s="157"/>
      <c r="S54" s="124">
        <f>100*(C54/OBR_NOV23_1.1!C54)</f>
        <v>100.83356319928056</v>
      </c>
      <c r="T54" s="124">
        <f>100*(D54/OBR_NOV23_1.1!D54)</f>
        <v>143.51366042730197</v>
      </c>
      <c r="U54" s="124">
        <f>100*(E54/OBR_NOV23_1.1!E54)</f>
        <v>102.01112482975445</v>
      </c>
      <c r="V54" s="124">
        <f>100*(K54/OBR_NOV23_1.1!N54)</f>
        <v>98.917564217132195</v>
      </c>
      <c r="W54" s="124">
        <f>100*(M54/OBR_NOV23_1.1!P54)</f>
        <v>97.632476956265933</v>
      </c>
      <c r="X54" s="124">
        <f>100*(O54/OBR_NOV23_1.1!R54)</f>
        <v>109.43807249757313</v>
      </c>
      <c r="AA54" s="124">
        <f t="shared" si="0"/>
        <v>36.493547948112258</v>
      </c>
    </row>
    <row r="55" spans="1:27" ht="15.75">
      <c r="A55" s="110"/>
      <c r="B55" s="154" t="s">
        <v>161</v>
      </c>
      <c r="C55" s="122">
        <v>319.13600000000002</v>
      </c>
      <c r="D55" s="122">
        <v>121.322</v>
      </c>
      <c r="E55" s="122">
        <v>92.349000000000004</v>
      </c>
      <c r="F55" s="122">
        <v>16.901</v>
      </c>
      <c r="G55" s="122">
        <v>1.1719999999999999</v>
      </c>
      <c r="H55" s="122">
        <v>533.97900000000004</v>
      </c>
      <c r="I55" s="122">
        <v>-0.95099999999999996</v>
      </c>
      <c r="J55" s="122">
        <v>533.02800000000002</v>
      </c>
      <c r="K55" s="122">
        <v>147.82499999999999</v>
      </c>
      <c r="L55" s="122">
        <v>680.85299999999995</v>
      </c>
      <c r="M55" s="122">
        <v>147.185</v>
      </c>
      <c r="N55" s="122">
        <v>0</v>
      </c>
      <c r="O55" s="122">
        <v>533.66800000000001</v>
      </c>
      <c r="P55" s="155">
        <v>527.79200000000003</v>
      </c>
      <c r="Q55" s="156"/>
      <c r="R55" s="157"/>
      <c r="S55" s="124">
        <f>100*(C55/OBR_NOV23_1.1!C55)</f>
        <v>100.72306648361187</v>
      </c>
      <c r="T55" s="124">
        <f>100*(D55/OBR_NOV23_1.1!D55)</f>
        <v>121.40212540276582</v>
      </c>
      <c r="U55" s="124">
        <f>100*(E55/OBR_NOV23_1.1!E55)</f>
        <v>101.75525585085283</v>
      </c>
      <c r="V55" s="124">
        <f>100*(K55/OBR_NOV23_1.1!N55)</f>
        <v>99.277372213752741</v>
      </c>
      <c r="W55" s="124">
        <f>100*(M55/OBR_NOV23_1.1!P55)</f>
        <v>97.882542279326188</v>
      </c>
      <c r="X55" s="124">
        <f>100*(O55/OBR_NOV23_1.1!R55)</f>
        <v>105.12663426857063</v>
      </c>
      <c r="AA55" s="124">
        <f t="shared" si="0"/>
        <v>-15.407268519735752</v>
      </c>
    </row>
    <row r="56" spans="1:27" ht="15.75">
      <c r="A56" s="110"/>
      <c r="B56" s="154" t="s">
        <v>162</v>
      </c>
      <c r="C56" s="122">
        <v>314.01799999999997</v>
      </c>
      <c r="D56" s="122">
        <v>123.94799999999999</v>
      </c>
      <c r="E56" s="122">
        <v>96.772000000000006</v>
      </c>
      <c r="F56" s="122">
        <v>17.161000000000001</v>
      </c>
      <c r="G56" s="122">
        <v>7.6619999999999999</v>
      </c>
      <c r="H56" s="122">
        <v>542.4</v>
      </c>
      <c r="I56" s="122">
        <v>10.552</v>
      </c>
      <c r="J56" s="122">
        <v>552.952</v>
      </c>
      <c r="K56" s="122">
        <v>158.18100000000001</v>
      </c>
      <c r="L56" s="122">
        <v>711.13300000000004</v>
      </c>
      <c r="M56" s="122">
        <v>172.43899999999999</v>
      </c>
      <c r="N56" s="122">
        <v>0</v>
      </c>
      <c r="O56" s="122">
        <v>538.69399999999996</v>
      </c>
      <c r="P56" s="155">
        <v>530.24099999999999</v>
      </c>
      <c r="Q56" s="156"/>
      <c r="R56" s="157"/>
      <c r="S56" s="124">
        <f>100*(C56/OBR_NOV23_1.1!C56)</f>
        <v>100.71813688542204</v>
      </c>
      <c r="T56" s="124">
        <f>100*(D56/OBR_NOV23_1.1!D56)</f>
        <v>118.23150665331235</v>
      </c>
      <c r="U56" s="124">
        <f>100*(E56/OBR_NOV23_1.1!E56)</f>
        <v>100.65004628329537</v>
      </c>
      <c r="V56" s="124">
        <f>100*(K56/OBR_NOV23_1.1!N56)</f>
        <v>100.37438686219392</v>
      </c>
      <c r="W56" s="124">
        <f>100*(M56/OBR_NOV23_1.1!P56)</f>
        <v>100.127744325539</v>
      </c>
      <c r="X56" s="124">
        <f>100*(O56/OBR_NOV23_1.1!R56)</f>
        <v>104.69612132213608</v>
      </c>
      <c r="Z56" s="124">
        <f t="shared" si="0"/>
        <v>-4.8942097991333533E-3</v>
      </c>
      <c r="AA56" s="124">
        <f t="shared" si="0"/>
        <v>-2.6116665906256276</v>
      </c>
    </row>
    <row r="57" spans="1:27" ht="15.75">
      <c r="A57" s="110"/>
      <c r="B57" s="154" t="s">
        <v>163</v>
      </c>
      <c r="C57" s="122">
        <v>306.50700000000001</v>
      </c>
      <c r="D57" s="122">
        <v>129.09899999999999</v>
      </c>
      <c r="E57" s="122">
        <v>95.16</v>
      </c>
      <c r="F57" s="122">
        <v>18.039000000000001</v>
      </c>
      <c r="G57" s="122">
        <v>8.5839999999999996</v>
      </c>
      <c r="H57" s="122">
        <v>539.35</v>
      </c>
      <c r="I57" s="122">
        <v>-1.153</v>
      </c>
      <c r="J57" s="122">
        <v>538.197</v>
      </c>
      <c r="K57" s="122">
        <v>156.517</v>
      </c>
      <c r="L57" s="122">
        <v>694.71400000000006</v>
      </c>
      <c r="M57" s="122">
        <v>156.702</v>
      </c>
      <c r="N57" s="122">
        <v>0</v>
      </c>
      <c r="O57" s="122">
        <v>538.01199999999994</v>
      </c>
      <c r="P57" s="155">
        <v>537.21299999999997</v>
      </c>
      <c r="Q57" s="156"/>
      <c r="R57" s="157"/>
      <c r="S57" s="124">
        <f>100*(C57/OBR_NOV23_1.1!C57)</f>
        <v>101.83633464017544</v>
      </c>
      <c r="T57" s="124">
        <f>100*(D57/OBR_NOV23_1.1!D57)</f>
        <v>121.94797098163681</v>
      </c>
      <c r="U57" s="124">
        <f>100*(E57/OBR_NOV23_1.1!E57)</f>
        <v>101.47477526472375</v>
      </c>
      <c r="V57" s="124">
        <f>100*(K57/OBR_NOV23_1.1!N57)</f>
        <v>101.16995352505059</v>
      </c>
      <c r="W57" s="124">
        <f>100*(M57/OBR_NOV23_1.1!P57)</f>
        <v>100.66617415604023</v>
      </c>
      <c r="X57" s="124">
        <f>100*(O57/OBR_NOV23_1.1!R57)</f>
        <v>105.64563161129557</v>
      </c>
      <c r="Z57" s="124">
        <f t="shared" si="0"/>
        <v>1.1102248208040955</v>
      </c>
      <c r="AA57" s="124">
        <f t="shared" si="0"/>
        <v>3.1433789803780199</v>
      </c>
    </row>
    <row r="58" spans="1:27" ht="15.75">
      <c r="A58" s="110"/>
      <c r="B58" s="154" t="s">
        <v>164</v>
      </c>
      <c r="C58" s="122">
        <v>342.73</v>
      </c>
      <c r="D58" s="122">
        <v>126.02</v>
      </c>
      <c r="E58" s="122">
        <v>99.19</v>
      </c>
      <c r="F58" s="122">
        <v>17.678999999999998</v>
      </c>
      <c r="G58" s="122">
        <v>-0.58299999999999996</v>
      </c>
      <c r="H58" s="122">
        <v>567.35699999999997</v>
      </c>
      <c r="I58" s="122">
        <v>-7.6390000000000002</v>
      </c>
      <c r="J58" s="122">
        <v>559.71799999999996</v>
      </c>
      <c r="K58" s="122">
        <v>170.17699999999999</v>
      </c>
      <c r="L58" s="122">
        <v>729.89499999999998</v>
      </c>
      <c r="M58" s="122">
        <v>162.00800000000001</v>
      </c>
      <c r="N58" s="122">
        <v>0</v>
      </c>
      <c r="O58" s="122">
        <v>567.88699999999994</v>
      </c>
      <c r="P58" s="155">
        <v>569.78099999999995</v>
      </c>
      <c r="Q58" s="156"/>
      <c r="R58" s="157"/>
      <c r="S58" s="124">
        <f>100*(C58/OBR_NOV23_1.1!C58)</f>
        <v>101.86624501041757</v>
      </c>
      <c r="T58" s="124">
        <f>100*(D58/OBR_NOV23_1.1!D58)</f>
        <v>110.45084840835786</v>
      </c>
      <c r="U58" s="124">
        <f>100*(E58/OBR_NOV23_1.1!E58)</f>
        <v>100.32162796342745</v>
      </c>
      <c r="V58" s="124">
        <f>100*(K58/OBR_NOV23_1.1!N58)</f>
        <v>102.03253251152667</v>
      </c>
      <c r="W58" s="124">
        <f>100*(M58/OBR_NOV23_1.1!P58)</f>
        <v>100.2369682907966</v>
      </c>
      <c r="X58" s="124">
        <f>100*(O58/OBR_NOV23_1.1!R58)</f>
        <v>103.89843005311216</v>
      </c>
      <c r="Z58" s="124">
        <f t="shared" si="0"/>
        <v>2.9371020027202377E-2</v>
      </c>
      <c r="AA58" s="124">
        <f t="shared" si="0"/>
        <v>-9.4278916498005678</v>
      </c>
    </row>
    <row r="59" spans="1:27" ht="15.75">
      <c r="A59" s="110"/>
      <c r="B59" s="154" t="s">
        <v>165</v>
      </c>
      <c r="C59" s="122">
        <v>357.10300000000001</v>
      </c>
      <c r="D59" s="122">
        <v>126.34699999999999</v>
      </c>
      <c r="E59" s="122">
        <v>104.563</v>
      </c>
      <c r="F59" s="122">
        <v>18.065999999999999</v>
      </c>
      <c r="G59" s="122">
        <v>3.6840000000000002</v>
      </c>
      <c r="H59" s="122">
        <v>591.697</v>
      </c>
      <c r="I59" s="122">
        <v>0.58499999999999996</v>
      </c>
      <c r="J59" s="122">
        <v>592.28200000000004</v>
      </c>
      <c r="K59" s="122">
        <v>163.01</v>
      </c>
      <c r="L59" s="122">
        <v>755.29200000000003</v>
      </c>
      <c r="M59" s="122">
        <v>173.786</v>
      </c>
      <c r="N59" s="122">
        <v>0</v>
      </c>
      <c r="O59" s="122">
        <v>581.50599999999997</v>
      </c>
      <c r="P59" s="155">
        <v>583.95000000000005</v>
      </c>
      <c r="Q59" s="156"/>
      <c r="R59" s="157"/>
      <c r="S59" s="124">
        <f>100*(C59/OBR_NOV23_1.1!C59)</f>
        <v>103.10674677992625</v>
      </c>
      <c r="T59" s="124">
        <f>100*(D59/OBR_NOV23_1.1!D59)</f>
        <v>109.72765011376859</v>
      </c>
      <c r="U59" s="124">
        <f>100*(E59/OBR_NOV23_1.1!E59)</f>
        <v>106.44386306027506</v>
      </c>
      <c r="V59" s="124">
        <f>100*(K59/OBR_NOV23_1.1!N59)</f>
        <v>102.20254926424947</v>
      </c>
      <c r="W59" s="124">
        <f>100*(M59/OBR_NOV23_1.1!P59)</f>
        <v>103.14382541293496</v>
      </c>
      <c r="X59" s="124">
        <f>100*(O59/OBR_NOV23_1.1!R59)</f>
        <v>104.59568742850153</v>
      </c>
      <c r="Z59" s="124">
        <f t="shared" si="0"/>
        <v>1.2177751024216255</v>
      </c>
      <c r="AA59" s="124">
        <f t="shared" si="0"/>
        <v>-0.65476934311583523</v>
      </c>
    </row>
    <row r="60" spans="1:27" ht="15.75">
      <c r="A60" s="110"/>
      <c r="B60" s="154" t="s">
        <v>166</v>
      </c>
      <c r="C60" s="122">
        <v>362.99599999999998</v>
      </c>
      <c r="D60" s="122">
        <v>127.25</v>
      </c>
      <c r="E60" s="122">
        <v>104.934</v>
      </c>
      <c r="F60" s="122">
        <v>17.928000000000001</v>
      </c>
      <c r="G60" s="122">
        <v>-2.9590000000000001</v>
      </c>
      <c r="H60" s="122">
        <v>592.221</v>
      </c>
      <c r="I60" s="122">
        <v>5.1790000000000003</v>
      </c>
      <c r="J60" s="122">
        <v>597.4</v>
      </c>
      <c r="K60" s="122">
        <v>186.322</v>
      </c>
      <c r="L60" s="122">
        <v>783.72199999999998</v>
      </c>
      <c r="M60" s="122">
        <v>187.048</v>
      </c>
      <c r="N60" s="122">
        <v>0</v>
      </c>
      <c r="O60" s="122">
        <v>596.67399999999998</v>
      </c>
      <c r="P60" s="155">
        <v>605.66800000000001</v>
      </c>
      <c r="Q60" s="156"/>
      <c r="R60" s="157"/>
      <c r="S60" s="124">
        <f>100*(C60/OBR_NOV23_1.1!C60)</f>
        <v>104.51010707365596</v>
      </c>
      <c r="T60" s="124">
        <f>100*(D60/OBR_NOV23_1.1!D60)</f>
        <v>109.31754922511254</v>
      </c>
      <c r="U60" s="124">
        <f>100*(E60/OBR_NOV23_1.1!E60)</f>
        <v>106.24076136478689</v>
      </c>
      <c r="V60" s="124">
        <f>100*(K60/OBR_NOV23_1.1!N60)</f>
        <v>106.12828443350821</v>
      </c>
      <c r="W60" s="124">
        <f>100*(M60/OBR_NOV23_1.1!P60)</f>
        <v>108.69575323679132</v>
      </c>
      <c r="X60" s="124">
        <f>100*(O60/OBR_NOV23_1.1!R60)</f>
        <v>105.71697374412435</v>
      </c>
      <c r="Z60" s="124">
        <f t="shared" si="0"/>
        <v>1.3610751357765905</v>
      </c>
      <c r="AA60" s="124">
        <f t="shared" si="0"/>
        <v>-0.37374434632551079</v>
      </c>
    </row>
    <row r="61" spans="1:27" ht="15.75">
      <c r="A61" s="110"/>
      <c r="B61" s="154" t="s">
        <v>167</v>
      </c>
      <c r="C61" s="122">
        <v>373.51400000000001</v>
      </c>
      <c r="D61" s="122">
        <v>132.91999999999999</v>
      </c>
      <c r="E61" s="122">
        <v>111.264</v>
      </c>
      <c r="F61" s="122">
        <v>19.449000000000002</v>
      </c>
      <c r="G61" s="122">
        <v>8.1530000000000005</v>
      </c>
      <c r="H61" s="122">
        <v>625.851</v>
      </c>
      <c r="I61" s="122">
        <v>9.891</v>
      </c>
      <c r="J61" s="122">
        <v>635.74199999999996</v>
      </c>
      <c r="K61" s="122">
        <v>178.65700000000001</v>
      </c>
      <c r="L61" s="122">
        <v>814.399</v>
      </c>
      <c r="M61" s="122">
        <v>212.55799999999999</v>
      </c>
      <c r="N61" s="122">
        <v>6.976</v>
      </c>
      <c r="O61" s="122">
        <v>608.81700000000001</v>
      </c>
      <c r="P61" s="155">
        <v>602.02</v>
      </c>
      <c r="Q61" s="156"/>
      <c r="R61" s="157"/>
      <c r="S61" s="124">
        <f>100*(C61/OBR_NOV23_1.1!C61)</f>
        <v>106.59889495193954</v>
      </c>
      <c r="T61" s="124">
        <f>100*(D61/OBR_NOV23_1.1!D61)</f>
        <v>113.31918122373122</v>
      </c>
      <c r="U61" s="124">
        <f>100*(E61/OBR_NOV23_1.1!E61)</f>
        <v>106.53083500090959</v>
      </c>
      <c r="V61" s="124">
        <f>100*(K61/OBR_NOV23_1.1!N61)</f>
        <v>110.35430590386301</v>
      </c>
      <c r="W61" s="124">
        <f>100*(M61/OBR_NOV23_1.1!P61)</f>
        <v>113.00626282603379</v>
      </c>
      <c r="X61" s="124">
        <f>100*(O61/OBR_NOV23_1.1!R61)</f>
        <v>107.30473128740934</v>
      </c>
      <c r="Z61" s="124">
        <f t="shared" si="0"/>
        <v>1.9986467689784959</v>
      </c>
      <c r="AA61" s="124">
        <f t="shared" si="0"/>
        <v>3.6605577301941805</v>
      </c>
    </row>
    <row r="62" spans="1:27" ht="15.75">
      <c r="A62" s="110"/>
      <c r="B62" s="154" t="s">
        <v>168</v>
      </c>
      <c r="C62" s="122">
        <v>386.96899999999999</v>
      </c>
      <c r="D62" s="122">
        <v>127.91</v>
      </c>
      <c r="E62" s="122">
        <v>113.771</v>
      </c>
      <c r="F62" s="122">
        <v>18.346</v>
      </c>
      <c r="G62" s="122">
        <v>2.133</v>
      </c>
      <c r="H62" s="122">
        <v>630.78300000000002</v>
      </c>
      <c r="I62" s="122">
        <v>11.807</v>
      </c>
      <c r="J62" s="122">
        <v>642.59</v>
      </c>
      <c r="K62" s="122">
        <v>198.285</v>
      </c>
      <c r="L62" s="122">
        <v>840.875</v>
      </c>
      <c r="M62" s="122">
        <v>226.886</v>
      </c>
      <c r="N62" s="122">
        <v>8.0220000000000002</v>
      </c>
      <c r="O62" s="122">
        <v>622.01099999999997</v>
      </c>
      <c r="P62" s="155">
        <v>631.39700000000005</v>
      </c>
      <c r="Q62" s="156"/>
      <c r="R62" s="157"/>
      <c r="S62" s="124">
        <f>100*(C62/OBR_NOV23_1.1!C62)</f>
        <v>109.98655612179643</v>
      </c>
      <c r="T62" s="124">
        <f>100*(D62/OBR_NOV23_1.1!D62)</f>
        <v>111.31513906777595</v>
      </c>
      <c r="U62" s="124">
        <f>100*(E62/OBR_NOV23_1.1!E62)</f>
        <v>108.85926974892834</v>
      </c>
      <c r="V62" s="124">
        <f>100*(K62/OBR_NOV23_1.1!N62)</f>
        <v>116.0260273732131</v>
      </c>
      <c r="W62" s="124">
        <f>100*(M62/OBR_NOV23_1.1!P62)</f>
        <v>118.41711073648611</v>
      </c>
      <c r="X62" s="124">
        <f>100*(O62/OBR_NOV23_1.1!R62)</f>
        <v>109.53250522119187</v>
      </c>
      <c r="Z62" s="124">
        <f t="shared" si="0"/>
        <v>3.1779514894448191</v>
      </c>
      <c r="AA62" s="124">
        <f t="shared" si="0"/>
        <v>-1.7684933250608381</v>
      </c>
    </row>
    <row r="63" spans="1:27" ht="15.75">
      <c r="A63" s="110"/>
      <c r="B63" s="154" t="s">
        <v>169</v>
      </c>
      <c r="C63" s="122">
        <v>391.81</v>
      </c>
      <c r="D63" s="122">
        <v>131.99600000000001</v>
      </c>
      <c r="E63" s="122">
        <v>116.792</v>
      </c>
      <c r="F63" s="122">
        <v>19.338999999999999</v>
      </c>
      <c r="G63" s="122">
        <v>-12.442</v>
      </c>
      <c r="H63" s="122">
        <v>628.15599999999995</v>
      </c>
      <c r="I63" s="122">
        <v>1.768</v>
      </c>
      <c r="J63" s="122">
        <v>629.92399999999998</v>
      </c>
      <c r="K63" s="122">
        <v>226.14</v>
      </c>
      <c r="L63" s="122">
        <v>856.06399999999996</v>
      </c>
      <c r="M63" s="122">
        <v>232.78899999999999</v>
      </c>
      <c r="N63" s="122">
        <v>7.3760000000000003</v>
      </c>
      <c r="O63" s="122">
        <v>630.65099999999995</v>
      </c>
      <c r="P63" s="155">
        <v>632.49400000000003</v>
      </c>
      <c r="Q63" s="156"/>
      <c r="R63" s="157"/>
      <c r="S63" s="124">
        <f>100*(C63/OBR_NOV23_1.1!C63)</f>
        <v>112.30154976769249</v>
      </c>
      <c r="T63" s="124">
        <f>100*(D63/OBR_NOV23_1.1!D63)</f>
        <v>114.03739157480044</v>
      </c>
      <c r="U63" s="124">
        <f>100*(E63/OBR_NOV23_1.1!E63)</f>
        <v>110.38106759413276</v>
      </c>
      <c r="V63" s="124">
        <f>100*(K63/OBR_NOV23_1.1!N63)</f>
        <v>119.14709771916606</v>
      </c>
      <c r="W63" s="124">
        <f>100*(M63/OBR_NOV23_1.1!P63)</f>
        <v>125.71093758437829</v>
      </c>
      <c r="X63" s="124">
        <f>100*(O63/OBR_NOV23_1.1!R63)</f>
        <v>111.14908211606789</v>
      </c>
      <c r="Z63" s="124">
        <f t="shared" si="0"/>
        <v>2.1047969202095063</v>
      </c>
      <c r="AA63" s="124">
        <f t="shared" si="0"/>
        <v>2.4455366357373887</v>
      </c>
    </row>
    <row r="64" spans="1:27" ht="15.75">
      <c r="A64" s="110"/>
      <c r="B64" s="154" t="s">
        <v>170</v>
      </c>
      <c r="C64" s="122">
        <v>400.13799999999998</v>
      </c>
      <c r="D64" s="122">
        <v>132.21799999999999</v>
      </c>
      <c r="E64" s="122">
        <v>117.90600000000001</v>
      </c>
      <c r="F64" s="122">
        <v>20.812999999999999</v>
      </c>
      <c r="G64" s="122">
        <v>-17.867999999999999</v>
      </c>
      <c r="H64" s="122">
        <v>632.39400000000001</v>
      </c>
      <c r="I64" s="122">
        <v>2.4359999999999999</v>
      </c>
      <c r="J64" s="122">
        <v>634.83000000000004</v>
      </c>
      <c r="K64" s="122">
        <v>230.77600000000001</v>
      </c>
      <c r="L64" s="122">
        <v>865.60599999999999</v>
      </c>
      <c r="M64" s="122">
        <v>229.577</v>
      </c>
      <c r="N64" s="122">
        <v>8.6620000000000008</v>
      </c>
      <c r="O64" s="122">
        <v>644.69100000000003</v>
      </c>
      <c r="P64" s="155">
        <v>652.94100000000003</v>
      </c>
      <c r="Q64" s="156"/>
      <c r="R64" s="157"/>
      <c r="S64" s="124">
        <f>100*(C64/OBR_NOV23_1.1!C64)</f>
        <v>114.78790208526372</v>
      </c>
      <c r="T64" s="124">
        <f>100*(D64/OBR_NOV23_1.1!D64)</f>
        <v>115.07624286311098</v>
      </c>
      <c r="U64" s="124">
        <f>100*(E64/OBR_NOV23_1.1!E64)</f>
        <v>111.40233186568152</v>
      </c>
      <c r="V64" s="124">
        <f>100*(K64/OBR_NOV23_1.1!N64)</f>
        <v>121.36459971285977</v>
      </c>
      <c r="W64" s="124">
        <f>100*(M64/OBR_NOV23_1.1!P64)</f>
        <v>123.39267094499446</v>
      </c>
      <c r="X64" s="124">
        <f>100*(O64/OBR_NOV23_1.1!R64)</f>
        <v>113.47177070884327</v>
      </c>
      <c r="Z64" s="124">
        <f t="shared" si="0"/>
        <v>2.2139964432499104</v>
      </c>
      <c r="AA64" s="124">
        <f t="shared" si="0"/>
        <v>0.91097426376078872</v>
      </c>
    </row>
    <row r="65" spans="1:31" ht="15.75">
      <c r="A65" s="110"/>
      <c r="B65" s="129" t="s">
        <v>171</v>
      </c>
      <c r="C65" s="122">
        <v>409.06799999999998</v>
      </c>
      <c r="D65" s="122">
        <v>132.83099999999999</v>
      </c>
      <c r="E65" s="122">
        <v>121.751</v>
      </c>
      <c r="F65" s="122">
        <v>22.071999999999999</v>
      </c>
      <c r="G65" s="122">
        <v>-6.0359999999999996</v>
      </c>
      <c r="H65" s="122">
        <v>657.61400000000003</v>
      </c>
      <c r="I65" s="122">
        <v>-0.47899999999999998</v>
      </c>
      <c r="J65" s="122">
        <v>657.13499999999999</v>
      </c>
      <c r="K65" s="122">
        <v>217.553</v>
      </c>
      <c r="L65" s="122">
        <v>874.68799999999999</v>
      </c>
      <c r="M65" s="122">
        <v>225.208</v>
      </c>
      <c r="N65" s="122">
        <v>8.8490000000000002</v>
      </c>
      <c r="O65" s="122">
        <v>658.32899999999995</v>
      </c>
      <c r="P65" s="155">
        <v>655.03300000000002</v>
      </c>
      <c r="Q65" s="156"/>
      <c r="R65" s="157"/>
      <c r="S65" s="124">
        <f>100*(C65/OBR_NOV23_1.1!C65)</f>
        <v>116.5615222854798</v>
      </c>
      <c r="T65" s="124">
        <f>100*(D65/OBR_NOV23_1.1!D65)</f>
        <v>116.98430592006761</v>
      </c>
      <c r="U65" s="124">
        <f>100*(E65/OBR_NOV23_1.1!E65)</f>
        <v>112.23669533633857</v>
      </c>
      <c r="V65" s="124">
        <f>100*(K65/OBR_NOV23_1.1!N65)</f>
        <v>122.2695569581125</v>
      </c>
      <c r="W65" s="124">
        <f>100*(M65/OBR_NOV23_1.1!P65)</f>
        <v>123.24159858156804</v>
      </c>
      <c r="X65" s="124">
        <f>100*(O65/OBR_NOV23_1.1!R65)</f>
        <v>115.50178692674918</v>
      </c>
      <c r="Z65" s="124">
        <f t="shared" si="0"/>
        <v>1.5451281607173462</v>
      </c>
      <c r="AA65" s="124">
        <f t="shared" si="0"/>
        <v>1.6580859867195707</v>
      </c>
    </row>
    <row r="66" spans="1:31" ht="15.75">
      <c r="A66" s="110"/>
      <c r="B66" s="129" t="s">
        <v>172</v>
      </c>
      <c r="C66" s="122">
        <v>416.89100000000002</v>
      </c>
      <c r="D66" s="122">
        <v>140.65799999999999</v>
      </c>
      <c r="E66" s="122">
        <v>123.542</v>
      </c>
      <c r="F66" s="122">
        <v>21.443999999999999</v>
      </c>
      <c r="G66" s="122">
        <v>-3.62</v>
      </c>
      <c r="H66" s="122">
        <v>677.471</v>
      </c>
      <c r="I66" s="122">
        <v>-1.5209999999999999</v>
      </c>
      <c r="J66" s="122">
        <v>675.95</v>
      </c>
      <c r="K66" s="122">
        <v>214.78700000000001</v>
      </c>
      <c r="L66" s="122">
        <v>890.73699999999997</v>
      </c>
      <c r="M66" s="122">
        <v>224.70400000000001</v>
      </c>
      <c r="N66" s="122">
        <v>9.0760000000000005</v>
      </c>
      <c r="O66" s="122">
        <v>675.10900000000004</v>
      </c>
      <c r="P66" s="155">
        <v>664.77599999999995</v>
      </c>
      <c r="Q66" s="156"/>
      <c r="R66" s="157"/>
      <c r="S66" s="124">
        <f>100*(C66/OBR_NOV23_1.1!C66)</f>
        <v>118.37138581841</v>
      </c>
      <c r="T66" s="124">
        <f>100*(D66/OBR_NOV23_1.1!D66)</f>
        <v>120.82567388802032</v>
      </c>
      <c r="U66" s="124">
        <f>100*(E66/OBR_NOV23_1.1!E66)</f>
        <v>112.9578495016915</v>
      </c>
      <c r="V66" s="124">
        <f>100*(K66/OBR_NOV23_1.1!N66)</f>
        <v>121.81105666712038</v>
      </c>
      <c r="W66" s="124">
        <f>100*(M66/OBR_NOV23_1.1!P66)</f>
        <v>120.29830450401255</v>
      </c>
      <c r="X66" s="124">
        <f>100*(O66/OBR_NOV23_1.1!R66)</f>
        <v>118.22384654045317</v>
      </c>
      <c r="Z66" s="124">
        <f t="shared" si="0"/>
        <v>1.5527109610815826</v>
      </c>
      <c r="AA66" s="124">
        <f t="shared" si="0"/>
        <v>3.2836609472875811</v>
      </c>
    </row>
    <row r="67" spans="1:31" ht="15.75">
      <c r="A67" s="110"/>
      <c r="B67" s="129" t="s">
        <v>173</v>
      </c>
      <c r="C67" s="122">
        <v>420.86996899999997</v>
      </c>
      <c r="D67" s="122">
        <v>140.8371803299884</v>
      </c>
      <c r="E67" s="122">
        <v>121.321366</v>
      </c>
      <c r="F67" s="122">
        <v>22.597005099999997</v>
      </c>
      <c r="G67" s="122">
        <v>-1.8074975</v>
      </c>
      <c r="H67" s="122">
        <v>681.22101782998834</v>
      </c>
      <c r="I67" s="122">
        <v>-0.42457748700000003</v>
      </c>
      <c r="J67" s="122">
        <v>680.79644034298838</v>
      </c>
      <c r="K67" s="122">
        <v>210.705218</v>
      </c>
      <c r="L67" s="122">
        <v>891.50165800000002</v>
      </c>
      <c r="M67" s="122">
        <v>220.769881</v>
      </c>
      <c r="N67" s="122">
        <v>9.1420114099999985</v>
      </c>
      <c r="O67" s="122">
        <v>679.87378899999999</v>
      </c>
      <c r="P67" s="155">
        <v>665.23160100000007</v>
      </c>
      <c r="Q67" s="156"/>
      <c r="R67" s="157"/>
      <c r="S67" s="124">
        <f>100*(C67/OBR_NOV23_1.1!C67)</f>
        <v>119.61955306298128</v>
      </c>
      <c r="T67" s="124">
        <f>100*(D67/OBR_NOV23_1.1!D67)</f>
        <v>120.0194348880238</v>
      </c>
      <c r="U67" s="124">
        <f>100*(E67/OBR_NOV23_1.1!E67)</f>
        <v>113.55410732507791</v>
      </c>
      <c r="V67" s="124">
        <f>100*(K67/OBR_NOV23_1.1!N67)</f>
        <v>120.15839794306686</v>
      </c>
      <c r="W67" s="124">
        <f>100*(M67/OBR_NOV23_1.1!P67)</f>
        <v>118.70416609119519</v>
      </c>
      <c r="X67" s="124">
        <f>100*(O67/OBR_NOV23_1.1!R67)</f>
        <v>119.08312375733692</v>
      </c>
      <c r="Z67" s="124">
        <f t="shared" si="0"/>
        <v>1.0544501409200713</v>
      </c>
      <c r="AA67" s="124">
        <f t="shared" si="0"/>
        <v>-0.66727457340212126</v>
      </c>
      <c r="AB67" s="124"/>
      <c r="AC67" s="124"/>
      <c r="AD67" s="124"/>
    </row>
    <row r="68" spans="1:31" ht="15.75">
      <c r="A68" s="110"/>
      <c r="B68" s="129" t="s">
        <v>174</v>
      </c>
      <c r="C68" s="122">
        <v>424.91095300000001</v>
      </c>
      <c r="D68" s="122">
        <v>142.16979170637683</v>
      </c>
      <c r="E68" s="122">
        <v>120.52149800000001</v>
      </c>
      <c r="F68" s="122">
        <v>23.292585299999999</v>
      </c>
      <c r="G68" s="122">
        <v>-1.8138231599999999</v>
      </c>
      <c r="H68" s="122">
        <v>685.78841954637676</v>
      </c>
      <c r="I68" s="122">
        <v>-0.24061014700000002</v>
      </c>
      <c r="J68" s="122">
        <v>685.54780939937677</v>
      </c>
      <c r="K68" s="122">
        <v>210.36956400000003</v>
      </c>
      <c r="L68" s="122">
        <v>895.917373</v>
      </c>
      <c r="M68" s="122">
        <v>221.32030600000002</v>
      </c>
      <c r="N68" s="122">
        <v>9.1863609199999985</v>
      </c>
      <c r="O68" s="122">
        <v>683.78342799999996</v>
      </c>
      <c r="P68" s="155">
        <v>670.83382200000005</v>
      </c>
      <c r="Q68" s="156"/>
      <c r="R68" s="157"/>
      <c r="S68" s="124">
        <f>100*(C68/OBR_NOV23_1.1!C68)</f>
        <v>120.75453302579623</v>
      </c>
      <c r="T68" s="124">
        <f>100*(D68/OBR_NOV23_1.1!D68)</f>
        <v>119.8368622389733</v>
      </c>
      <c r="U68" s="124">
        <f>100*(E68/OBR_NOV23_1.1!E68)</f>
        <v>113.95151024146264</v>
      </c>
      <c r="V68" s="124">
        <f>100*(K68/OBR_NOV23_1.1!N68)</f>
        <v>120.50616660724793</v>
      </c>
      <c r="W68" s="124">
        <f>100*(M68/OBR_NOV23_1.1!P68)</f>
        <v>119.51127408285683</v>
      </c>
      <c r="X68" s="124">
        <f>100*(O68/OBR_NOV23_1.1!R68)</f>
        <v>119.66081696762852</v>
      </c>
      <c r="Z68" s="124">
        <f t="shared" si="0"/>
        <v>0.94882478136109061</v>
      </c>
      <c r="AA68" s="124">
        <f t="shared" si="0"/>
        <v>-0.15211923737253885</v>
      </c>
      <c r="AB68" s="124"/>
      <c r="AC68" s="124"/>
      <c r="AD68" s="124"/>
    </row>
    <row r="69" spans="1:31" ht="15.75">
      <c r="A69" s="110"/>
      <c r="B69" s="129" t="s">
        <v>175</v>
      </c>
      <c r="C69" s="122">
        <v>429.10870599999998</v>
      </c>
      <c r="D69" s="122">
        <v>142.60240308276522</v>
      </c>
      <c r="E69" s="122">
        <v>119.184333</v>
      </c>
      <c r="F69" s="122">
        <v>23.438165400000006</v>
      </c>
      <c r="G69" s="122">
        <v>-1.82291198</v>
      </c>
      <c r="H69" s="122">
        <v>689.0725301027652</v>
      </c>
      <c r="I69" s="122">
        <v>0.14839792499999999</v>
      </c>
      <c r="J69" s="122">
        <v>689.22092802776524</v>
      </c>
      <c r="K69" s="122">
        <v>209.01996199999999</v>
      </c>
      <c r="L69" s="122">
        <v>898.24088899999992</v>
      </c>
      <c r="M69" s="122">
        <v>219.96667400000001</v>
      </c>
      <c r="N69" s="122">
        <v>9.2182091899999996</v>
      </c>
      <c r="O69" s="122">
        <v>687.49242500000003</v>
      </c>
      <c r="P69" s="155">
        <v>674.92006900000001</v>
      </c>
      <c r="Q69" s="156"/>
      <c r="R69" s="157"/>
      <c r="S69" s="124">
        <f>100*(C69/OBR_NOV23_1.1!C69)</f>
        <v>121.74085712086098</v>
      </c>
      <c r="T69" s="124">
        <f>100*(D69/OBR_NOV23_1.1!D69)</f>
        <v>119.01140136949037</v>
      </c>
      <c r="U69" s="124">
        <f>100*(E69/OBR_NOV23_1.1!E69)</f>
        <v>114.52250541840708</v>
      </c>
      <c r="V69" s="124">
        <f>100*(K69/OBR_NOV23_1.1!N69)</f>
        <v>119.79771796298007</v>
      </c>
      <c r="W69" s="124">
        <f>100*(M69/OBR_NOV23_1.1!P69)</f>
        <v>119.17287993018613</v>
      </c>
      <c r="X69" s="124">
        <f>100*(O69/OBR_NOV23_1.1!R69)</f>
        <v>120.07567013550764</v>
      </c>
      <c r="Z69" s="124">
        <f t="shared" si="0"/>
        <v>0.81680088552371632</v>
      </c>
      <c r="AA69" s="124">
        <f t="shared" si="0"/>
        <v>-0.68882049651536326</v>
      </c>
      <c r="AB69" s="124"/>
      <c r="AC69" s="124"/>
      <c r="AD69" s="124"/>
    </row>
    <row r="70" spans="1:31" ht="15.75">
      <c r="A70" s="110"/>
      <c r="B70" s="129" t="s">
        <v>176</v>
      </c>
      <c r="C70" s="122">
        <v>433.06644</v>
      </c>
      <c r="D70" s="122">
        <v>142.72322275277685</v>
      </c>
      <c r="E70" s="122">
        <v>118.237678</v>
      </c>
      <c r="F70" s="122">
        <v>23.180160400000002</v>
      </c>
      <c r="G70" s="122">
        <v>-1.8317852000000001</v>
      </c>
      <c r="H70" s="122">
        <v>692.1955555527768</v>
      </c>
      <c r="I70" s="122">
        <v>0.51451792100000004</v>
      </c>
      <c r="J70" s="122">
        <v>692.71007347377679</v>
      </c>
      <c r="K70" s="122">
        <v>208.42141100000001</v>
      </c>
      <c r="L70" s="122">
        <v>901.131484</v>
      </c>
      <c r="M70" s="122">
        <v>218.746825</v>
      </c>
      <c r="N70" s="122">
        <v>9.2512921400000003</v>
      </c>
      <c r="O70" s="122">
        <v>691.63595200000009</v>
      </c>
      <c r="P70" s="155">
        <v>678.34067200000004</v>
      </c>
      <c r="Q70" s="156"/>
      <c r="R70" s="157"/>
      <c r="S70" s="124">
        <f>100*(C70/OBR_NOV23_1.1!C70)</f>
        <v>122.62066506216046</v>
      </c>
      <c r="T70" s="124">
        <f>100*(D70/OBR_NOV23_1.1!D70)</f>
        <v>118.0966030681146</v>
      </c>
      <c r="U70" s="124">
        <f>100*(E70/OBR_NOV23_1.1!E70)</f>
        <v>115.07995600866403</v>
      </c>
      <c r="V70" s="124">
        <f>100*(K70/OBR_NOV23_1.1!N70)</f>
        <v>119.52194483464049</v>
      </c>
      <c r="W70" s="124">
        <f>100*(M70/OBR_NOV23_1.1!P70)</f>
        <v>118.90524762993621</v>
      </c>
      <c r="X70" s="124">
        <f>100*(O70/OBR_NOV23_1.1!R70)</f>
        <v>120.50660606471995</v>
      </c>
      <c r="Z70" s="124">
        <f t="shared" si="0"/>
        <v>0.72268913009707614</v>
      </c>
      <c r="AA70" s="124">
        <f t="shared" si="0"/>
        <v>-0.76866442277713221</v>
      </c>
      <c r="AB70" s="124"/>
      <c r="AC70" s="124"/>
      <c r="AD70" s="124"/>
    </row>
    <row r="71" spans="1:31" ht="15.75">
      <c r="A71" s="110"/>
      <c r="B71" s="129" t="s">
        <v>177</v>
      </c>
      <c r="C71" s="122">
        <v>436.62530200000003</v>
      </c>
      <c r="D71" s="122">
        <v>143.29588176498447</v>
      </c>
      <c r="E71" s="122">
        <v>117.90369899999999</v>
      </c>
      <c r="F71" s="122">
        <v>22.751973899999999</v>
      </c>
      <c r="G71" s="122">
        <v>-1.8392023999999998</v>
      </c>
      <c r="H71" s="122">
        <v>695.98568036498455</v>
      </c>
      <c r="I71" s="122">
        <v>0.75846155299999996</v>
      </c>
      <c r="J71" s="122">
        <v>696.74414191798462</v>
      </c>
      <c r="K71" s="122">
        <v>208.02346</v>
      </c>
      <c r="L71" s="122">
        <v>904.76760200000001</v>
      </c>
      <c r="M71" s="122">
        <v>217.556488</v>
      </c>
      <c r="N71" s="122">
        <v>9.2892921700000013</v>
      </c>
      <c r="O71" s="122">
        <v>696.500406</v>
      </c>
      <c r="P71" s="155">
        <v>683.72868500000004</v>
      </c>
      <c r="Q71" s="156"/>
      <c r="R71" s="157"/>
      <c r="S71" s="124">
        <f>100*(C71/OBR_NOV23_1.1!C71)</f>
        <v>123.36850704897424</v>
      </c>
      <c r="T71" s="124">
        <f>100*(D71/OBR_NOV23_1.1!D71)</f>
        <v>117.86327188287018</v>
      </c>
      <c r="U71" s="124">
        <f>100*(E71/OBR_NOV23_1.1!E71)</f>
        <v>115.54593403316696</v>
      </c>
      <c r="V71" s="124">
        <f>100*(K71/OBR_NOV23_1.1!N71)</f>
        <v>119.30594686620614</v>
      </c>
      <c r="W71" s="124">
        <f>100*(M71/OBR_NOV23_1.1!P71)</f>
        <v>118.65223182937245</v>
      </c>
      <c r="X71" s="124">
        <f>100*(O71/OBR_NOV23_1.1!R71)</f>
        <v>121.00159142663259</v>
      </c>
      <c r="Z71" s="124">
        <f t="shared" ref="Z71:AE86" si="1">100*((S71/S70)-1)</f>
        <v>0.60988250751590201</v>
      </c>
      <c r="AA71" s="124">
        <f t="shared" si="1"/>
        <v>-0.19757654257832602</v>
      </c>
      <c r="AB71" s="124"/>
      <c r="AC71" s="124"/>
      <c r="AD71" s="124"/>
    </row>
    <row r="72" spans="1:31" ht="15.75">
      <c r="A72" s="110"/>
      <c r="B72" s="129" t="s">
        <v>178</v>
      </c>
      <c r="C72" s="122">
        <v>439.76237400000002</v>
      </c>
      <c r="D72" s="122">
        <v>144.14380933471716</v>
      </c>
      <c r="E72" s="122">
        <v>117.813688</v>
      </c>
      <c r="F72" s="122">
        <v>22.5773498</v>
      </c>
      <c r="G72" s="122">
        <v>-1.8461619</v>
      </c>
      <c r="H72" s="122">
        <v>699.87370943471717</v>
      </c>
      <c r="I72" s="122">
        <v>0.938971051</v>
      </c>
      <c r="J72" s="122">
        <v>700.81268048571712</v>
      </c>
      <c r="K72" s="122">
        <v>207.72034200000002</v>
      </c>
      <c r="L72" s="122">
        <v>908.53302199999996</v>
      </c>
      <c r="M72" s="122">
        <v>216.29266000000001</v>
      </c>
      <c r="N72" s="122">
        <v>9.3277262599999986</v>
      </c>
      <c r="O72" s="122">
        <v>701.56808899999999</v>
      </c>
      <c r="P72" s="155">
        <v>688.80718400000001</v>
      </c>
      <c r="Q72" s="156"/>
      <c r="R72" s="157"/>
      <c r="S72" s="124">
        <f>100*(C72/OBR_NOV23_1.1!C72)</f>
        <v>123.98794994528373</v>
      </c>
      <c r="T72" s="124">
        <f>100*(D72/OBR_NOV23_1.1!D72)</f>
        <v>117.90046314396511</v>
      </c>
      <c r="U72" s="124">
        <f>100*(E72/OBR_NOV23_1.1!E72)</f>
        <v>115.98315730108126</v>
      </c>
      <c r="V72" s="124">
        <f>100*(K72/OBR_NOV23_1.1!N72)</f>
        <v>119.14706791260656</v>
      </c>
      <c r="W72" s="124">
        <f>100*(M72/OBR_NOV23_1.1!P72)</f>
        <v>118.35763046942638</v>
      </c>
      <c r="X72" s="124">
        <f>100*(O72/OBR_NOV23_1.1!R72)</f>
        <v>121.50223072266988</v>
      </c>
      <c r="Z72" s="124">
        <f t="shared" si="1"/>
        <v>0.50210779973498543</v>
      </c>
      <c r="AA72" s="124">
        <f t="shared" si="1"/>
        <v>3.1554580575265945E-2</v>
      </c>
      <c r="AB72" s="124"/>
      <c r="AC72" s="124"/>
      <c r="AD72" s="124"/>
    </row>
    <row r="73" spans="1:31" ht="15.75">
      <c r="A73" s="110"/>
      <c r="B73" s="129" t="s">
        <v>179</v>
      </c>
      <c r="C73" s="122">
        <v>442.79082199999999</v>
      </c>
      <c r="D73" s="122">
        <v>145.26700546197478</v>
      </c>
      <c r="E73" s="122">
        <v>118.12433299999999</v>
      </c>
      <c r="F73" s="122">
        <v>22.456288100000005</v>
      </c>
      <c r="G73" s="122">
        <v>-1.8527907800000001</v>
      </c>
      <c r="H73" s="122">
        <v>704.32936968197464</v>
      </c>
      <c r="I73" s="122">
        <v>1.0225958500000001</v>
      </c>
      <c r="J73" s="122">
        <v>705.35196553197466</v>
      </c>
      <c r="K73" s="122">
        <v>207.98995499999998</v>
      </c>
      <c r="L73" s="122">
        <v>913.34192099999996</v>
      </c>
      <c r="M73" s="122">
        <v>215.838651</v>
      </c>
      <c r="N73" s="122">
        <v>9.3666940900000011</v>
      </c>
      <c r="O73" s="122">
        <v>706.86996399999998</v>
      </c>
      <c r="P73" s="155">
        <v>694.38937600000008</v>
      </c>
      <c r="Q73" s="156"/>
      <c r="R73" s="157"/>
      <c r="S73" s="124">
        <f>100*(C73/OBR_NOV23_1.1!C73)</f>
        <v>124.52691888365761</v>
      </c>
      <c r="T73" s="124">
        <f>100*(D73/OBR_NOV23_1.1!D73)</f>
        <v>118.23979170970398</v>
      </c>
      <c r="U73" s="124">
        <f>100*(E73/OBR_NOV23_1.1!E73)</f>
        <v>116.39960927708788</v>
      </c>
      <c r="V73" s="124">
        <f>100*(K73/OBR_NOV23_1.1!N73)</f>
        <v>119.18084182485349</v>
      </c>
      <c r="W73" s="124">
        <f>100*(M73/OBR_NOV23_1.1!P73)</f>
        <v>118.28045274422392</v>
      </c>
      <c r="X73" s="124">
        <f>100*(O73/OBR_NOV23_1.1!R73)</f>
        <v>122.00982265665603</v>
      </c>
      <c r="Z73" s="124">
        <f t="shared" si="1"/>
        <v>0.43469461234879603</v>
      </c>
      <c r="AA73" s="124">
        <f t="shared" si="1"/>
        <v>0.28780935773298211</v>
      </c>
      <c r="AB73" s="124"/>
      <c r="AC73" s="124"/>
      <c r="AD73" s="124"/>
    </row>
    <row r="74" spans="1:31" ht="15.75">
      <c r="A74" s="110"/>
      <c r="B74" s="129" t="s">
        <v>180</v>
      </c>
      <c r="C74" s="122">
        <v>445.80116800000002</v>
      </c>
      <c r="D74" s="122">
        <v>146.64858673516139</v>
      </c>
      <c r="E74" s="122">
        <v>119.01612900000001</v>
      </c>
      <c r="F74" s="122">
        <v>22.295883999999994</v>
      </c>
      <c r="G74" s="122">
        <v>-1.8591837599999999</v>
      </c>
      <c r="H74" s="122">
        <v>709.60669997516129</v>
      </c>
      <c r="I74" s="122">
        <v>0.80379959699999992</v>
      </c>
      <c r="J74" s="122">
        <v>710.41049957216137</v>
      </c>
      <c r="K74" s="122">
        <v>208.239541</v>
      </c>
      <c r="L74" s="122">
        <v>918.65004099999999</v>
      </c>
      <c r="M74" s="122">
        <v>215.295568</v>
      </c>
      <c r="N74" s="122">
        <v>9.4101276499999997</v>
      </c>
      <c r="O74" s="122">
        <v>712.76460099999997</v>
      </c>
      <c r="P74" s="155">
        <v>700.40655500000003</v>
      </c>
      <c r="Q74" s="156"/>
      <c r="R74" s="157"/>
      <c r="S74" s="124">
        <f>100*(C74/OBR_NOV23_1.1!C74)</f>
        <v>125.02970197874355</v>
      </c>
      <c r="T74" s="124">
        <f>100*(D74/OBR_NOV23_1.1!D74)</f>
        <v>118.79939785514462</v>
      </c>
      <c r="U74" s="124">
        <f>100*(E74/OBR_NOV23_1.1!E74)</f>
        <v>116.80124134033181</v>
      </c>
      <c r="V74" s="124">
        <f>100*(K74/OBR_NOV23_1.1!N74)</f>
        <v>119.19852658719429</v>
      </c>
      <c r="W74" s="124">
        <f>100*(M74/OBR_NOV23_1.1!P74)</f>
        <v>118.15177376426793</v>
      </c>
      <c r="X74" s="124">
        <f>100*(O74/OBR_NOV23_1.1!R74)</f>
        <v>122.57558483183327</v>
      </c>
      <c r="Z74" s="124">
        <f t="shared" si="1"/>
        <v>0.4037545452768132</v>
      </c>
      <c r="AA74" s="124">
        <f t="shared" si="1"/>
        <v>0.47328072669017285</v>
      </c>
      <c r="AB74" s="124"/>
      <c r="AC74" s="124"/>
      <c r="AD74" s="124"/>
    </row>
    <row r="75" spans="1:31" ht="15.75">
      <c r="A75" s="110"/>
      <c r="B75" s="129" t="s">
        <v>181</v>
      </c>
      <c r="C75" s="122">
        <v>448.957359</v>
      </c>
      <c r="D75" s="122">
        <v>147.771782862419</v>
      </c>
      <c r="E75" s="122">
        <v>119.93796400000001</v>
      </c>
      <c r="F75" s="122">
        <v>22.124822299999998</v>
      </c>
      <c r="G75" s="122">
        <v>-1.86557493</v>
      </c>
      <c r="H75" s="122">
        <v>714.80153093241904</v>
      </c>
      <c r="I75" s="122">
        <v>0.75034056699999996</v>
      </c>
      <c r="J75" s="122">
        <v>715.55187149941901</v>
      </c>
      <c r="K75" s="122">
        <v>208.44297</v>
      </c>
      <c r="L75" s="122">
        <v>923.99484100000006</v>
      </c>
      <c r="M75" s="122">
        <v>214.76107000000002</v>
      </c>
      <c r="N75" s="122">
        <v>9.44995254</v>
      </c>
      <c r="O75" s="122">
        <v>718.68372299999999</v>
      </c>
      <c r="P75" s="155">
        <v>706.39410299999997</v>
      </c>
      <c r="Q75" s="156"/>
      <c r="R75" s="157"/>
      <c r="S75" s="124">
        <f>100*(C75/OBR_NOV23_1.1!C75)</f>
        <v>125.50676604146005</v>
      </c>
      <c r="T75" s="124">
        <f>100*(D75/OBR_NOV23_1.1!D75)</f>
        <v>119.25261050064712</v>
      </c>
      <c r="U75" s="124">
        <f>100*(E75/OBR_NOV23_1.1!E75)</f>
        <v>117.20275967361884</v>
      </c>
      <c r="V75" s="124">
        <f>100*(K75/OBR_NOV23_1.1!N75)</f>
        <v>119.18498979211016</v>
      </c>
      <c r="W75" s="124">
        <f>100*(M75/OBR_NOV23_1.1!P75)</f>
        <v>117.96874278956808</v>
      </c>
      <c r="X75" s="124">
        <f>100*(O75/OBR_NOV23_1.1!R75)</f>
        <v>123.09434080187611</v>
      </c>
      <c r="Z75" s="124">
        <f t="shared" si="1"/>
        <v>0.38156058533804771</v>
      </c>
      <c r="AA75" s="124">
        <f t="shared" si="1"/>
        <v>0.38149405946914516</v>
      </c>
      <c r="AB75" s="124"/>
      <c r="AC75" s="124"/>
      <c r="AD75" s="124"/>
    </row>
    <row r="76" spans="1:31" ht="15.75">
      <c r="A76" s="110"/>
      <c r="B76" s="129" t="s">
        <v>182</v>
      </c>
      <c r="C76" s="122">
        <v>452.2568</v>
      </c>
      <c r="D76" s="122">
        <v>148.9118624012726</v>
      </c>
      <c r="E76" s="122">
        <v>121.25783100000001</v>
      </c>
      <c r="F76" s="122">
        <v>22.0466655</v>
      </c>
      <c r="G76" s="122">
        <v>-1.8719729999999999</v>
      </c>
      <c r="H76" s="122">
        <v>720.55452040127261</v>
      </c>
      <c r="I76" s="122">
        <v>0.63745115200000002</v>
      </c>
      <c r="J76" s="122">
        <v>721.19197155327254</v>
      </c>
      <c r="K76" s="122">
        <v>208.74593100000001</v>
      </c>
      <c r="L76" s="122">
        <v>929.93790300000001</v>
      </c>
      <c r="M76" s="122">
        <v>214.50512000000001</v>
      </c>
      <c r="N76" s="122">
        <v>9.4879778100000003</v>
      </c>
      <c r="O76" s="122">
        <v>724.92075999999997</v>
      </c>
      <c r="P76" s="155">
        <v>712.43278899999996</v>
      </c>
      <c r="Q76" s="156"/>
      <c r="R76" s="157"/>
      <c r="S76" s="124">
        <f>100*(C76/OBR_NOV23_1.1!C76)</f>
        <v>125.98058498035836</v>
      </c>
      <c r="T76" s="124">
        <f>100*(D76/OBR_NOV23_1.1!D76)</f>
        <v>119.71086814638838</v>
      </c>
      <c r="U76" s="124">
        <f>100*(E76/OBR_NOV23_1.1!E76)</f>
        <v>117.604711764035</v>
      </c>
      <c r="V76" s="124">
        <f>100*(K76/OBR_NOV23_1.1!N76)</f>
        <v>119.22330226604025</v>
      </c>
      <c r="W76" s="124">
        <f>100*(M76/OBR_NOV23_1.1!P76)</f>
        <v>117.91350119221097</v>
      </c>
      <c r="X76" s="124">
        <f>100*(O76/OBR_NOV23_1.1!R76)</f>
        <v>123.58965499942065</v>
      </c>
      <c r="Z76" s="124">
        <f t="shared" si="1"/>
        <v>0.37752461786944025</v>
      </c>
      <c r="AA76" s="124">
        <f t="shared" si="1"/>
        <v>0.38427472892827996</v>
      </c>
      <c r="AB76" s="124"/>
      <c r="AC76" s="124"/>
      <c r="AD76" s="124"/>
    </row>
    <row r="77" spans="1:31" ht="15.75">
      <c r="A77" s="110"/>
      <c r="B77" s="129" t="s">
        <v>183</v>
      </c>
      <c r="C77" s="122">
        <v>455.82119699999998</v>
      </c>
      <c r="D77" s="122">
        <v>150.06882535172218</v>
      </c>
      <c r="E77" s="122">
        <v>122.617789</v>
      </c>
      <c r="F77" s="122">
        <v>22.0114135</v>
      </c>
      <c r="G77" s="122">
        <v>-1.87851396</v>
      </c>
      <c r="H77" s="122">
        <v>726.62929739172216</v>
      </c>
      <c r="I77" s="122">
        <v>0.60355254400000002</v>
      </c>
      <c r="J77" s="122">
        <v>727.23284993572224</v>
      </c>
      <c r="K77" s="122">
        <v>209.29429500000001</v>
      </c>
      <c r="L77" s="122">
        <v>936.52714500000002</v>
      </c>
      <c r="M77" s="122">
        <v>214.56296900000001</v>
      </c>
      <c r="N77" s="122">
        <v>9.52443536</v>
      </c>
      <c r="O77" s="122">
        <v>731.48861199999999</v>
      </c>
      <c r="P77" s="155">
        <v>718.93527700000004</v>
      </c>
      <c r="Q77" s="156"/>
      <c r="R77" s="157"/>
      <c r="S77" s="124">
        <f>100*(C77/OBR_NOV23_1.1!C77)</f>
        <v>126.46210486778836</v>
      </c>
      <c r="T77" s="124">
        <f>100*(D77/OBR_NOV23_1.1!D77)</f>
        <v>120.17411244831224</v>
      </c>
      <c r="U77" s="124">
        <f>100*(E77/OBR_NOV23_1.1!E77)</f>
        <v>118.01564029149272</v>
      </c>
      <c r="V77" s="124">
        <f>100*(K77/OBR_NOV23_1.1!N77)</f>
        <v>119.33833199355988</v>
      </c>
      <c r="W77" s="124">
        <f>100*(M77/OBR_NOV23_1.1!P77)</f>
        <v>117.99440947973767</v>
      </c>
      <c r="X77" s="124">
        <f>100*(O77/OBR_NOV23_1.1!R77)</f>
        <v>124.06454825265061</v>
      </c>
      <c r="Z77" s="124">
        <f t="shared" si="1"/>
        <v>0.38221753574574358</v>
      </c>
      <c r="AA77" s="124">
        <f t="shared" si="1"/>
        <v>0.38696929451500495</v>
      </c>
      <c r="AB77" s="124"/>
      <c r="AC77" s="124"/>
      <c r="AD77" s="124"/>
    </row>
    <row r="78" spans="1:31" ht="15.75">
      <c r="A78" s="110"/>
      <c r="B78" s="129" t="s">
        <v>184</v>
      </c>
      <c r="C78" s="122">
        <v>459.67111700000004</v>
      </c>
      <c r="D78" s="122">
        <v>151.23761851307421</v>
      </c>
      <c r="E78" s="122">
        <v>123.648349</v>
      </c>
      <c r="F78" s="122">
        <v>22.0449521</v>
      </c>
      <c r="G78" s="122">
        <v>-1.8851327200000001</v>
      </c>
      <c r="H78" s="122">
        <v>732.6719517930743</v>
      </c>
      <c r="I78" s="122">
        <v>0.76676970500000008</v>
      </c>
      <c r="J78" s="122">
        <v>733.43872149807419</v>
      </c>
      <c r="K78" s="122">
        <v>209.862202</v>
      </c>
      <c r="L78" s="122">
        <v>943.3009229999999</v>
      </c>
      <c r="M78" s="122">
        <v>214.62457900000001</v>
      </c>
      <c r="N78" s="122">
        <v>9.5611319699999999</v>
      </c>
      <c r="O78" s="122">
        <v>738.23747600000002</v>
      </c>
      <c r="P78" s="155">
        <v>725.38913700000001</v>
      </c>
      <c r="Q78" s="156"/>
      <c r="R78" s="157"/>
      <c r="S78" s="124">
        <f>100*(C78/OBR_NOV23_1.1!C78)</f>
        <v>126.95528694930856</v>
      </c>
      <c r="T78" s="124">
        <f>100*(D78/OBR_NOV23_1.1!D78)</f>
        <v>120.64027757550147</v>
      </c>
      <c r="U78" s="124">
        <f>100*(E78/OBR_NOV23_1.1!E78)</f>
        <v>118.43145705575348</v>
      </c>
      <c r="V78" s="124">
        <f>100*(K78/OBR_NOV23_1.1!N78)</f>
        <v>119.4683899901684</v>
      </c>
      <c r="W78" s="124">
        <f>100*(M78/OBR_NOV23_1.1!P78)</f>
        <v>118.05737290455598</v>
      </c>
      <c r="X78" s="124">
        <f>100*(O78/OBR_NOV23_1.1!R78)</f>
        <v>124.54255535811029</v>
      </c>
      <c r="Z78" s="124">
        <f t="shared" si="1"/>
        <v>0.38998408419328445</v>
      </c>
      <c r="AA78" s="124">
        <f t="shared" si="1"/>
        <v>0.38790810906943474</v>
      </c>
      <c r="AB78" s="124"/>
      <c r="AC78" s="124"/>
      <c r="AD78" s="124"/>
    </row>
    <row r="79" spans="1:31" ht="15.75">
      <c r="A79" s="110"/>
      <c r="B79" s="129" t="s">
        <v>185</v>
      </c>
      <c r="C79" s="122">
        <v>463.77440899999999</v>
      </c>
      <c r="D79" s="122">
        <v>152.39458146352379</v>
      </c>
      <c r="E79" s="122">
        <v>124.650184</v>
      </c>
      <c r="F79" s="122">
        <v>22.109700099999994</v>
      </c>
      <c r="G79" s="122">
        <v>-1.89189466</v>
      </c>
      <c r="H79" s="122">
        <v>738.92727980352379</v>
      </c>
      <c r="I79" s="122">
        <v>0.88490283599999997</v>
      </c>
      <c r="J79" s="122">
        <v>739.81218263952371</v>
      </c>
      <c r="K79" s="122">
        <v>210.36872299999999</v>
      </c>
      <c r="L79" s="122">
        <v>950.18090599999994</v>
      </c>
      <c r="M79" s="122">
        <v>214.577653</v>
      </c>
      <c r="N79" s="122">
        <v>9.6005664300000007</v>
      </c>
      <c r="O79" s="122">
        <v>745.20381900000007</v>
      </c>
      <c r="P79" s="155">
        <v>732.32173799999998</v>
      </c>
      <c r="Q79" s="156"/>
      <c r="R79" s="157"/>
      <c r="S79" s="124">
        <f>100*(C79/OBR_NOV23_1.1!C79)</f>
        <v>127.46909595748347</v>
      </c>
      <c r="T79" s="124">
        <f>100*(D79/OBR_NOV23_1.1!D79)</f>
        <v>121.0999667960722</v>
      </c>
      <c r="U79" s="124">
        <f>100*(E79/OBR_NOV23_1.1!E79)</f>
        <v>118.85626901039234</v>
      </c>
      <c r="V79" s="124">
        <f>100*(K79/OBR_NOV23_1.1!N79)</f>
        <v>119.58125460333299</v>
      </c>
      <c r="W79" s="124">
        <f>100*(M79/OBR_NOV23_1.1!P79)</f>
        <v>118.04774462358847</v>
      </c>
      <c r="X79" s="124">
        <f>100*(O79/OBR_NOV23_1.1!R79)</f>
        <v>125.05622540225593</v>
      </c>
      <c r="Z79" s="124">
        <f t="shared" si="1"/>
        <v>0.40471651123916708</v>
      </c>
      <c r="AA79" s="124">
        <f t="shared" si="1"/>
        <v>0.38104124908286963</v>
      </c>
      <c r="AB79" s="124"/>
      <c r="AC79" s="124"/>
      <c r="AD79" s="124"/>
      <c r="AE79" s="124"/>
    </row>
    <row r="80" spans="1:31" ht="15.75">
      <c r="A80" s="110"/>
      <c r="B80" s="129" t="s">
        <v>186</v>
      </c>
      <c r="C80" s="122">
        <v>468.18491999999998</v>
      </c>
      <c r="D80" s="122">
        <v>153.55659761466691</v>
      </c>
      <c r="E80" s="122">
        <v>125.47502300000001</v>
      </c>
      <c r="F80" s="122">
        <v>22.198562500000001</v>
      </c>
      <c r="G80" s="122">
        <v>-1.8988015600000001</v>
      </c>
      <c r="H80" s="122">
        <v>745.31773905466684</v>
      </c>
      <c r="I80" s="122">
        <v>0.93516648599999996</v>
      </c>
      <c r="J80" s="122">
        <v>746.2529055406668</v>
      </c>
      <c r="K80" s="122">
        <v>210.94011600000002</v>
      </c>
      <c r="L80" s="122">
        <v>957.19302099999993</v>
      </c>
      <c r="M80" s="122">
        <v>214.66198300000002</v>
      </c>
      <c r="N80" s="122">
        <v>9.6417987699999994</v>
      </c>
      <c r="O80" s="122">
        <v>752.17283700000007</v>
      </c>
      <c r="P80" s="155">
        <v>739.07131400000003</v>
      </c>
      <c r="Q80" s="156"/>
      <c r="R80" s="157"/>
      <c r="S80" s="124">
        <f>100*(C80/OBR_NOV23_1.1!C80)</f>
        <v>128.01186597210437</v>
      </c>
      <c r="T80" s="124">
        <f>100*(D80/OBR_NOV23_1.1!D80)</f>
        <v>121.55990944414677</v>
      </c>
      <c r="U80" s="124">
        <f>100*(E80/OBR_NOV23_1.1!E80)</f>
        <v>119.29018816981427</v>
      </c>
      <c r="V80" s="124">
        <f>100*(K80/OBR_NOV23_1.1!N80)</f>
        <v>119.72804997769938</v>
      </c>
      <c r="W80" s="124">
        <f>100*(M80/OBR_NOV23_1.1!P80)</f>
        <v>118.08666121443277</v>
      </c>
      <c r="X80" s="124">
        <f>100*(O80/OBR_NOV23_1.1!R80)</f>
        <v>125.5933146778228</v>
      </c>
      <c r="Z80" s="124">
        <f t="shared" si="1"/>
        <v>0.42580518089023744</v>
      </c>
      <c r="AA80" s="124">
        <f t="shared" si="1"/>
        <v>0.37980410750162452</v>
      </c>
      <c r="AB80" s="124"/>
      <c r="AC80" s="124"/>
      <c r="AD80" s="124"/>
      <c r="AE80" s="124"/>
    </row>
    <row r="81" spans="1:31" ht="15.75">
      <c r="A81" s="110"/>
      <c r="B81" s="129" t="s">
        <v>187</v>
      </c>
      <c r="C81" s="122">
        <v>472.90676400000001</v>
      </c>
      <c r="D81" s="122">
        <v>154.72366696650354</v>
      </c>
      <c r="E81" s="122">
        <v>126.365928</v>
      </c>
      <c r="F81" s="122">
        <v>22.261539199999998</v>
      </c>
      <c r="G81" s="122">
        <v>-1.9058075699999999</v>
      </c>
      <c r="H81" s="122">
        <v>752.09055139650354</v>
      </c>
      <c r="I81" s="122">
        <v>0.77566915600000008</v>
      </c>
      <c r="J81" s="122">
        <v>752.86622055250359</v>
      </c>
      <c r="K81" s="122">
        <v>211.70526800000002</v>
      </c>
      <c r="L81" s="122">
        <v>964.57148899999993</v>
      </c>
      <c r="M81" s="122">
        <v>215.101844</v>
      </c>
      <c r="N81" s="122">
        <v>9.6842263700000011</v>
      </c>
      <c r="O81" s="122">
        <v>759.15387100000009</v>
      </c>
      <c r="P81" s="155">
        <v>746.04928000000007</v>
      </c>
      <c r="Q81" s="122"/>
      <c r="R81" s="122"/>
      <c r="S81" s="124">
        <f>100*(C81/OBR_NOV23_1.1!C81)</f>
        <v>128.58504091906846</v>
      </c>
      <c r="T81" s="124">
        <f>100*(D81/OBR_NOV23_1.1!D81)</f>
        <v>122.02010358679543</v>
      </c>
      <c r="U81" s="124">
        <f>100*(E81/OBR_NOV23_1.1!E81)</f>
        <v>119.73033315988262</v>
      </c>
      <c r="V81" s="124">
        <f>100*(K81/OBR_NOV23_1.1!N81)</f>
        <v>119.97003792963542</v>
      </c>
      <c r="W81" s="124">
        <f>100*(M81/OBR_NOV23_1.1!P81)</f>
        <v>118.29742262838252</v>
      </c>
      <c r="X81" s="124">
        <f>100*(O81/OBR_NOV23_1.1!R81)</f>
        <v>126.14597334523174</v>
      </c>
      <c r="Z81" s="124">
        <f t="shared" si="1"/>
        <v>0.4477514194574761</v>
      </c>
      <c r="AA81" s="124">
        <f t="shared" si="1"/>
        <v>0.37857394329510186</v>
      </c>
      <c r="AB81" s="124"/>
      <c r="AC81" s="124"/>
      <c r="AD81" s="124"/>
      <c r="AE81" s="124"/>
    </row>
    <row r="82" spans="1:31" ht="15.75">
      <c r="A82" s="110"/>
      <c r="B82" s="129" t="s">
        <v>188</v>
      </c>
      <c r="C82" s="122">
        <v>477.59984700000001</v>
      </c>
      <c r="D82" s="122">
        <v>155.83619049886079</v>
      </c>
      <c r="E82" s="122">
        <v>127.098979</v>
      </c>
      <c r="F82" s="122">
        <v>22.305446199999999</v>
      </c>
      <c r="G82" s="122">
        <v>-1.9129969200000001</v>
      </c>
      <c r="H82" s="122">
        <v>758.622019578861</v>
      </c>
      <c r="I82" s="122">
        <v>0.79086566600000008</v>
      </c>
      <c r="J82" s="122">
        <v>759.41288524486106</v>
      </c>
      <c r="K82" s="122">
        <v>212.49216200000001</v>
      </c>
      <c r="L82" s="122">
        <v>971.90504699999997</v>
      </c>
      <c r="M82" s="122">
        <v>215.599255</v>
      </c>
      <c r="N82" s="122">
        <v>9.7261993399999991</v>
      </c>
      <c r="O82" s="122">
        <v>766.03199199999995</v>
      </c>
      <c r="P82" s="155">
        <v>753.12272100000007</v>
      </c>
      <c r="Q82" s="122"/>
      <c r="R82" s="122"/>
      <c r="S82" s="124">
        <f>100*(C82/OBR_NOV23_1.1!C82)</f>
        <v>129.17745988055421</v>
      </c>
      <c r="T82" s="124">
        <f>100*(D82/OBR_NOV23_1.1!D82)</f>
        <v>122.45721829150465</v>
      </c>
      <c r="U82" s="124">
        <f>100*(E82/OBR_NOV23_1.1!E82)</f>
        <v>120.18199627044544</v>
      </c>
      <c r="V82" s="124">
        <f>100*(K82/OBR_NOV23_1.1!N82)</f>
        <v>120.22103409888709</v>
      </c>
      <c r="W82" s="124">
        <f>100*(M82/OBR_NOV23_1.1!P82)</f>
        <v>118.51594067082627</v>
      </c>
      <c r="X82" s="124">
        <f>100*(O82/OBR_NOV23_1.1!R82)</f>
        <v>126.69270989215684</v>
      </c>
      <c r="Z82" s="124">
        <f t="shared" si="1"/>
        <v>0.46072152503231489</v>
      </c>
      <c r="AA82" s="124">
        <f t="shared" si="1"/>
        <v>0.35823171089039985</v>
      </c>
      <c r="AB82" s="124"/>
      <c r="AC82" s="124"/>
      <c r="AD82" s="124"/>
      <c r="AE82" s="124"/>
    </row>
    <row r="83" spans="1:31" ht="15.75">
      <c r="A83" s="110"/>
      <c r="B83" s="129" t="s">
        <v>189</v>
      </c>
      <c r="C83" s="122">
        <v>482.28923900000001</v>
      </c>
      <c r="D83" s="122">
        <v>157.00325985069739</v>
      </c>
      <c r="E83" s="122">
        <v>127.85695200000001</v>
      </c>
      <c r="F83" s="122">
        <v>22.318422900000002</v>
      </c>
      <c r="G83" s="122">
        <v>-1.9204314</v>
      </c>
      <c r="H83" s="122">
        <v>765.22901945069748</v>
      </c>
      <c r="I83" s="122">
        <v>0.82688513600000002</v>
      </c>
      <c r="J83" s="122">
        <v>766.05590458669747</v>
      </c>
      <c r="K83" s="122">
        <v>213.29818400000002</v>
      </c>
      <c r="L83" s="122">
        <v>979.35408900000004</v>
      </c>
      <c r="M83" s="122">
        <v>216.16685999999999</v>
      </c>
      <c r="N83" s="122">
        <v>9.7696067299999996</v>
      </c>
      <c r="O83" s="122">
        <v>772.95683600000007</v>
      </c>
      <c r="P83" s="155">
        <v>760.21185500000001</v>
      </c>
      <c r="Q83" s="122"/>
      <c r="R83" s="122"/>
      <c r="S83" s="124">
        <f>100*(C83/OBR_NOV23_1.1!C83)</f>
        <v>129.78995993243677</v>
      </c>
      <c r="T83" s="124">
        <f>100*(D83/OBR_NOV23_1.1!D83)</f>
        <v>122.91405371808615</v>
      </c>
      <c r="U83" s="124">
        <f>100*(E83/OBR_NOV23_1.1!E83)</f>
        <v>120.64905909263773</v>
      </c>
      <c r="V83" s="124">
        <f>100*(K83/OBR_NOV23_1.1!N83)</f>
        <v>120.4795484740459</v>
      </c>
      <c r="W83" s="124">
        <f>100*(M83/OBR_NOV23_1.1!P83)</f>
        <v>118.73765045912863</v>
      </c>
      <c r="X83" s="124">
        <f>100*(O83/OBR_NOV23_1.1!R83)</f>
        <v>127.25813122329845</v>
      </c>
      <c r="Z83" s="124">
        <f t="shared" si="1"/>
        <v>0.47415396807533039</v>
      </c>
      <c r="AA83" s="124">
        <f t="shared" si="1"/>
        <v>0.37305716474305139</v>
      </c>
      <c r="AB83" s="124">
        <f t="shared" si="1"/>
        <v>0.38862960899839205</v>
      </c>
      <c r="AC83" s="124">
        <f t="shared" si="1"/>
        <v>0.2150325665525088</v>
      </c>
      <c r="AD83" s="124">
        <f t="shared" si="1"/>
        <v>0.1870717028000124</v>
      </c>
      <c r="AE83" s="124">
        <f t="shared" si="1"/>
        <v>0.44629350151472735</v>
      </c>
    </row>
    <row r="84" spans="1:31" ht="15.75">
      <c r="A84" s="110"/>
      <c r="B84" s="129" t="s">
        <v>190</v>
      </c>
      <c r="C84" s="122">
        <v>487.01895100000002</v>
      </c>
      <c r="D84" s="122">
        <v>158.22992822270703</v>
      </c>
      <c r="E84" s="122">
        <v>128.58193499999999</v>
      </c>
      <c r="F84" s="122">
        <v>22.3245839</v>
      </c>
      <c r="G84" s="122">
        <v>-1.9278972000000001</v>
      </c>
      <c r="H84" s="122">
        <v>771.9029170227069</v>
      </c>
      <c r="I84" s="122">
        <v>0.86694756900000003</v>
      </c>
      <c r="J84" s="122">
        <v>772.76986459170689</v>
      </c>
      <c r="K84" s="122">
        <v>214.12265199999999</v>
      </c>
      <c r="L84" s="122">
        <v>986.892515</v>
      </c>
      <c r="M84" s="122">
        <v>216.80259599999999</v>
      </c>
      <c r="N84" s="122">
        <v>9.8144587100000003</v>
      </c>
      <c r="O84" s="122">
        <v>779.90437800000007</v>
      </c>
      <c r="P84" s="155">
        <v>767.34875699999998</v>
      </c>
      <c r="Q84" s="122"/>
      <c r="R84" s="122"/>
      <c r="S84" s="124">
        <f>100*(C84/OBR_NOV23_1.1!C84)</f>
        <v>130.42186613016858</v>
      </c>
      <c r="T84" s="124">
        <f>100*(D84/OBR_NOV23_1.1!D84)</f>
        <v>123.39235008624485</v>
      </c>
      <c r="U84" s="124">
        <f>100*(E84/OBR_NOV23_1.1!E84)</f>
        <v>121.11809047860783</v>
      </c>
      <c r="V84" s="124">
        <f>100*(K84/OBR_NOV23_1.1!N84)</f>
        <v>120.74518846874133</v>
      </c>
      <c r="W84" s="124">
        <f>100*(M84/OBR_NOV23_1.1!P84)</f>
        <v>118.96111794227227</v>
      </c>
      <c r="X84" s="124">
        <f>100*(O84/OBR_NOV23_1.1!R84)</f>
        <v>127.84236955053517</v>
      </c>
      <c r="Z84" s="124">
        <f t="shared" si="1"/>
        <v>0.48686832021580528</v>
      </c>
      <c r="AA84" s="124">
        <f t="shared" si="1"/>
        <v>0.38913074110769053</v>
      </c>
      <c r="AB84" s="124">
        <f t="shared" si="1"/>
        <v>0.38875677066818604</v>
      </c>
      <c r="AC84" s="124">
        <f t="shared" si="1"/>
        <v>0.22048554967206702</v>
      </c>
      <c r="AD84" s="124">
        <f t="shared" si="1"/>
        <v>0.1882027160547084</v>
      </c>
      <c r="AE84" s="124">
        <f t="shared" si="1"/>
        <v>0.45909705071149887</v>
      </c>
    </row>
    <row r="85" spans="1:31" ht="15.75">
      <c r="A85" s="110"/>
      <c r="B85" s="129" t="s">
        <v>191</v>
      </c>
      <c r="C85" s="122">
        <v>491.80917200000005</v>
      </c>
      <c r="D85" s="122">
        <v>159.51619561488963</v>
      </c>
      <c r="E85" s="122">
        <v>129.37403800000001</v>
      </c>
      <c r="F85" s="122">
        <v>22.323928899999999</v>
      </c>
      <c r="G85" s="122">
        <v>-1.9353836</v>
      </c>
      <c r="H85" s="122">
        <v>778.76402201488975</v>
      </c>
      <c r="I85" s="122">
        <v>0.89797263299999996</v>
      </c>
      <c r="J85" s="122">
        <v>779.66199464788974</v>
      </c>
      <c r="K85" s="122">
        <v>214.89174600000001</v>
      </c>
      <c r="L85" s="122">
        <v>994.55373999999995</v>
      </c>
      <c r="M85" s="122">
        <v>217.50358199999999</v>
      </c>
      <c r="N85" s="122">
        <v>9.8603803700000014</v>
      </c>
      <c r="O85" s="122">
        <v>786.91053799999997</v>
      </c>
      <c r="P85" s="155">
        <v>774.29507899999999</v>
      </c>
      <c r="Q85" s="156"/>
      <c r="R85" s="157"/>
      <c r="S85" s="124">
        <f>100*(C85/OBR_NOV23_1.1!C85)</f>
        <v>131.06568799964182</v>
      </c>
      <c r="T85" s="124">
        <f>100*(D85/OBR_NOV23_1.1!D85)</f>
        <v>123.89185376169603</v>
      </c>
      <c r="U85" s="124">
        <f>100*(E85/OBR_NOV23_1.1!E85)</f>
        <v>121.58841567391335</v>
      </c>
      <c r="V85" s="124">
        <f>100*(K85/OBR_NOV23_1.1!N85)</f>
        <v>121.01179615075056</v>
      </c>
      <c r="W85" s="124">
        <f>100*(M85/OBR_NOV23_1.1!P85)</f>
        <v>119.18443061128509</v>
      </c>
      <c r="X85" s="124">
        <f>100*(O85/OBR_NOV23_1.1!R85)</f>
        <v>128.44054153494801</v>
      </c>
      <c r="Z85" s="124">
        <f t="shared" si="1"/>
        <v>0.49364565051590592</v>
      </c>
      <c r="AA85" s="124">
        <f t="shared" si="1"/>
        <v>0.40480927310488912</v>
      </c>
      <c r="AB85" s="124">
        <f t="shared" si="1"/>
        <v>0.38831952637874423</v>
      </c>
      <c r="AC85" s="124">
        <f t="shared" si="1"/>
        <v>0.22080190969948621</v>
      </c>
      <c r="AD85" s="124">
        <f t="shared" si="1"/>
        <v>0.18771904036847253</v>
      </c>
      <c r="AE85" s="124">
        <f t="shared" si="1"/>
        <v>0.46789807363230018</v>
      </c>
    </row>
    <row r="86" spans="1:31" ht="15.75">
      <c r="A86" s="110"/>
      <c r="B86" s="129" t="s">
        <v>192</v>
      </c>
      <c r="C86" s="122">
        <v>496.63613600000002</v>
      </c>
      <c r="D86" s="122">
        <v>160.82218088153695</v>
      </c>
      <c r="E86" s="122">
        <v>130.18416099999999</v>
      </c>
      <c r="F86" s="122">
        <v>22.322765500000003</v>
      </c>
      <c r="G86" s="122">
        <v>-1.9428984499999999</v>
      </c>
      <c r="H86" s="122">
        <v>785.6995794315369</v>
      </c>
      <c r="I86" s="122">
        <v>0.98994083300000002</v>
      </c>
      <c r="J86" s="122">
        <v>786.68952026453701</v>
      </c>
      <c r="K86" s="122">
        <v>215.68491299999999</v>
      </c>
      <c r="L86" s="122">
        <v>1002.3744300000001</v>
      </c>
      <c r="M86" s="122">
        <v>218.30247900000001</v>
      </c>
      <c r="N86" s="122">
        <v>9.9061964000000007</v>
      </c>
      <c r="O86" s="122">
        <v>793.97815000000003</v>
      </c>
      <c r="P86" s="155">
        <v>781.22530200000006</v>
      </c>
      <c r="Q86" s="156"/>
      <c r="R86" s="157"/>
      <c r="S86" s="124">
        <f>100*(C86/OBR_NOV23_1.1!C86)</f>
        <v>131.71645005417977</v>
      </c>
      <c r="T86" s="124">
        <f>100*(D86/OBR_NOV23_1.1!D86)</f>
        <v>124.39694820378173</v>
      </c>
      <c r="U86" s="124">
        <f>100*(E86/OBR_NOV23_1.1!E86)</f>
        <v>122.06052798072938</v>
      </c>
      <c r="V86" s="124">
        <f>100*(K86/OBR_NOV23_1.1!N86)</f>
        <v>121.28901004834619</v>
      </c>
      <c r="W86" s="124">
        <f>100*(M86/OBR_NOV23_1.1!P86)</f>
        <v>119.42509637686014</v>
      </c>
      <c r="X86" s="124">
        <f>100*(O86/OBR_NOV23_1.1!R86)</f>
        <v>129.03733751061793</v>
      </c>
      <c r="Z86" s="124">
        <f t="shared" si="1"/>
        <v>0.49651595659401249</v>
      </c>
      <c r="AA86" s="124">
        <f t="shared" si="1"/>
        <v>0.40768979295220387</v>
      </c>
      <c r="AB86" s="124">
        <f t="shared" si="1"/>
        <v>0.38828724282597982</v>
      </c>
      <c r="AC86" s="124">
        <f t="shared" si="1"/>
        <v>0.22908006195552222</v>
      </c>
      <c r="AD86" s="124">
        <f t="shared" si="1"/>
        <v>0.2019271849021731</v>
      </c>
      <c r="AE86" s="124">
        <f t="shared" si="1"/>
        <v>0.46464766384337608</v>
      </c>
    </row>
    <row r="87" spans="1:31" ht="15.75">
      <c r="A87" s="110"/>
      <c r="B87" s="129" t="s">
        <v>193</v>
      </c>
      <c r="C87" s="122">
        <v>501.50366499999996</v>
      </c>
      <c r="D87" s="122">
        <v>162.127339610946</v>
      </c>
      <c r="E87" s="122">
        <v>131.04079400000001</v>
      </c>
      <c r="F87" s="122">
        <v>22.3057689</v>
      </c>
      <c r="G87" s="122">
        <v>-1.9504625499999999</v>
      </c>
      <c r="H87" s="122">
        <v>792.72133606094587</v>
      </c>
      <c r="I87" s="122">
        <v>1.01621289</v>
      </c>
      <c r="J87" s="122">
        <v>793.73754895094589</v>
      </c>
      <c r="K87" s="122">
        <v>216.49267900000001</v>
      </c>
      <c r="L87" s="122">
        <v>1010.23023</v>
      </c>
      <c r="M87" s="122">
        <v>219.159729</v>
      </c>
      <c r="N87" s="122">
        <v>9.953040660000001</v>
      </c>
      <c r="O87" s="122">
        <v>801.02353900000003</v>
      </c>
      <c r="P87" s="155">
        <v>788.18305099999998</v>
      </c>
      <c r="Q87" s="156"/>
      <c r="R87" s="157"/>
      <c r="S87" s="124">
        <f>100*(C87/OBR_NOV23_1.1!C87)</f>
        <v>132.37305709941489</v>
      </c>
      <c r="T87" s="124">
        <f>100*(D87/OBR_NOV23_1.1!D87)</f>
        <v>124.8996817620877</v>
      </c>
      <c r="U87" s="124">
        <f>100*(E87/OBR_NOV23_1.1!E87)</f>
        <v>122.53573378504075</v>
      </c>
      <c r="V87" s="124">
        <f>100*(K87/OBR_NOV23_1.1!N87)</f>
        <v>121.5714926547451</v>
      </c>
      <c r="W87" s="124">
        <f>100*(M87/OBR_NOV23_1.1!P87)</f>
        <v>119.66102256749107</v>
      </c>
      <c r="X87" s="124">
        <f>100*(O87/OBR_NOV23_1.1!R87)</f>
        <v>129.64752709146046</v>
      </c>
      <c r="Z87" s="124">
        <f t="shared" ref="Z87:AE89" si="2">100*((S87/S86)-1)</f>
        <v>0.49850041127363909</v>
      </c>
      <c r="AA87" s="124">
        <f t="shared" si="2"/>
        <v>0.40413656891518102</v>
      </c>
      <c r="AB87" s="124">
        <f t="shared" si="2"/>
        <v>0.38931980073557693</v>
      </c>
      <c r="AC87" s="124">
        <f t="shared" si="2"/>
        <v>0.23290041388441818</v>
      </c>
      <c r="AD87" s="124">
        <f t="shared" si="2"/>
        <v>0.19755160162184815</v>
      </c>
      <c r="AE87" s="124">
        <f t="shared" si="2"/>
        <v>0.47287830996383118</v>
      </c>
    </row>
    <row r="88" spans="1:31" ht="15.75">
      <c r="A88" s="110"/>
      <c r="B88" s="129" t="s">
        <v>194</v>
      </c>
      <c r="C88" s="122">
        <v>506.418004</v>
      </c>
      <c r="D88" s="122">
        <v>163.44404248022354</v>
      </c>
      <c r="E88" s="122">
        <v>131.852045</v>
      </c>
      <c r="F88" s="122">
        <v>22.311977500000001</v>
      </c>
      <c r="G88" s="122">
        <v>-1.9580808199999999</v>
      </c>
      <c r="H88" s="122">
        <v>799.75601066022352</v>
      </c>
      <c r="I88" s="122">
        <v>1.0540861399999999</v>
      </c>
      <c r="J88" s="122">
        <v>800.81009680022362</v>
      </c>
      <c r="K88" s="122">
        <v>217.31284299999999</v>
      </c>
      <c r="L88" s="122">
        <v>1018.12294</v>
      </c>
      <c r="M88" s="122">
        <v>220.07986700000001</v>
      </c>
      <c r="N88" s="122">
        <v>10.0004262</v>
      </c>
      <c r="O88" s="122">
        <v>808.043499</v>
      </c>
      <c r="P88" s="155">
        <v>795.26331900000002</v>
      </c>
      <c r="Q88" s="156"/>
      <c r="R88" s="157"/>
      <c r="S88" s="124">
        <f>100*(C88/OBR_NOV23_1.1!C88)</f>
        <v>133.03535489042775</v>
      </c>
      <c r="T88" s="124">
        <f>100*(D88/OBR_NOV23_1.1!D88)</f>
        <v>125.40481161252946</v>
      </c>
      <c r="U88" s="124">
        <f>100*(E88/OBR_NOV23_1.1!E88)</f>
        <v>123.01434405371012</v>
      </c>
      <c r="V88" s="124">
        <f>100*(K88/OBR_NOV23_1.1!N88)</f>
        <v>121.85801343313429</v>
      </c>
      <c r="W88" s="124">
        <f>100*(M88/OBR_NOV23_1.1!P88)</f>
        <v>119.8942702380766</v>
      </c>
      <c r="X88" s="124">
        <f>100*(O88/OBR_NOV23_1.1!R88)</f>
        <v>130.26476777372034</v>
      </c>
      <c r="Z88" s="124">
        <f t="shared" si="2"/>
        <v>0.50032673228621594</v>
      </c>
      <c r="AA88" s="124">
        <f t="shared" si="2"/>
        <v>0.40442845275134864</v>
      </c>
      <c r="AB88" s="124">
        <f t="shared" si="2"/>
        <v>0.39058832381824171</v>
      </c>
      <c r="AC88" s="124">
        <f t="shared" si="2"/>
        <v>0.23568089206809084</v>
      </c>
      <c r="AD88" s="124">
        <f t="shared" si="2"/>
        <v>0.1949236815638633</v>
      </c>
      <c r="AE88" s="124">
        <f t="shared" si="2"/>
        <v>0.47609136564898957</v>
      </c>
    </row>
    <row r="89" spans="1:31" ht="15.75">
      <c r="A89" s="110"/>
      <c r="B89" s="158" t="s">
        <v>195</v>
      </c>
      <c r="C89" s="131">
        <v>511.41618199999999</v>
      </c>
      <c r="D89" s="131">
        <v>164.7722894893696</v>
      </c>
      <c r="E89" s="131">
        <v>132.69854500000002</v>
      </c>
      <c r="F89" s="131">
        <v>22.341391299999998</v>
      </c>
      <c r="G89" s="131">
        <v>-1.96574882</v>
      </c>
      <c r="H89" s="131">
        <v>806.92126766936974</v>
      </c>
      <c r="I89" s="131">
        <v>1.1572350599999999</v>
      </c>
      <c r="J89" s="131">
        <v>808.07850272936969</v>
      </c>
      <c r="K89" s="131">
        <v>218.05435200000002</v>
      </c>
      <c r="L89" s="131">
        <v>1026.13285</v>
      </c>
      <c r="M89" s="131">
        <v>221.07380900000001</v>
      </c>
      <c r="N89" s="131">
        <v>10.0477319</v>
      </c>
      <c r="O89" s="131">
        <v>815.10677699999997</v>
      </c>
      <c r="P89" s="159">
        <v>802.32649199999992</v>
      </c>
      <c r="Q89" s="156"/>
      <c r="R89" s="157"/>
      <c r="S89" s="124">
        <f>100*(C89/OBR_NOV23_1.1!C89)</f>
        <v>133.70180898366056</v>
      </c>
      <c r="T89" s="124">
        <f>100*(D89/OBR_NOV23_1.1!D89)</f>
        <v>125.91230764768106</v>
      </c>
      <c r="U89" s="124">
        <f>100*(E89/OBR_NOV23_1.1!E89)</f>
        <v>123.49607826113578</v>
      </c>
      <c r="V89" s="124">
        <f>100*(K89/OBR_NOV23_1.1!N89)</f>
        <v>122.14537287616322</v>
      </c>
      <c r="W89" s="124">
        <f>100*(M89/OBR_NOV23_1.1!P89)</f>
        <v>120.13032106981183</v>
      </c>
      <c r="X89" s="124">
        <f>100*(O89/OBR_NOV23_1.1!R89)</f>
        <v>130.88096749822117</v>
      </c>
      <c r="Z89" s="124">
        <f t="shared" si="2"/>
        <v>0.50096013483160728</v>
      </c>
      <c r="AA89" s="124">
        <f t="shared" si="2"/>
        <v>0.40468625455907237</v>
      </c>
      <c r="AB89" s="124">
        <f t="shared" si="2"/>
        <v>0.39160815848868769</v>
      </c>
      <c r="AC89" s="124">
        <f t="shared" si="2"/>
        <v>0.2358149742746507</v>
      </c>
      <c r="AD89" s="124">
        <f t="shared" si="2"/>
        <v>0.19688249594120855</v>
      </c>
      <c r="AE89" s="124">
        <f t="shared" si="2"/>
        <v>0.47303636664921545</v>
      </c>
    </row>
    <row r="90" spans="1:31" ht="15.75">
      <c r="A90" s="110"/>
      <c r="B90" s="129">
        <v>2008</v>
      </c>
      <c r="C90" s="122">
        <v>1015.322</v>
      </c>
      <c r="D90" s="122">
        <v>324.77499999999998</v>
      </c>
      <c r="E90" s="122">
        <v>281.25200000000001</v>
      </c>
      <c r="F90" s="122">
        <v>48.298999999999999</v>
      </c>
      <c r="G90" s="122">
        <v>-0.189</v>
      </c>
      <c r="H90" s="122">
        <v>1621.16</v>
      </c>
      <c r="I90" s="122">
        <v>-0.68100000000000005</v>
      </c>
      <c r="J90" s="122">
        <v>1620.479</v>
      </c>
      <c r="K90" s="122">
        <v>438.33499999999998</v>
      </c>
      <c r="L90" s="122">
        <v>2058.8139999999999</v>
      </c>
      <c r="M90" s="122">
        <v>465.214</v>
      </c>
      <c r="N90" s="122">
        <v>0</v>
      </c>
      <c r="O90" s="122">
        <v>1593.6</v>
      </c>
      <c r="P90" s="123">
        <v>1572.569</v>
      </c>
      <c r="Q90" s="156"/>
      <c r="R90" s="157"/>
      <c r="S90" s="124">
        <f>100*(C90/OBR_NOV23_1.1!C90)</f>
        <v>84.286786362987328</v>
      </c>
      <c r="T90" s="124">
        <f>100*(D90/OBR_NOV23_1.1!D90)</f>
        <v>86.408503166072464</v>
      </c>
      <c r="U90" s="124">
        <f>100*(E90/OBR_NOV23_1.1!E90)</f>
        <v>84.727983684142345</v>
      </c>
      <c r="V90" s="124">
        <f>100*(K90/OBR_NOV23_1.1!N90)</f>
        <v>78.715334706506638</v>
      </c>
      <c r="W90" s="124">
        <f>100*(M90/OBR_NOV23_1.1!P90)</f>
        <v>87.136512883715966</v>
      </c>
      <c r="X90" s="124">
        <f>100*(O90/OBR_NOV23_1.1!R90)</f>
        <v>82.709869286642942</v>
      </c>
      <c r="Z90" s="124"/>
      <c r="AA90" s="124"/>
      <c r="AB90" s="124"/>
      <c r="AC90" s="124"/>
      <c r="AD90" s="124"/>
      <c r="AE90" s="124"/>
    </row>
    <row r="91" spans="1:31" ht="15.75">
      <c r="A91" s="110"/>
      <c r="B91" s="129">
        <v>2009</v>
      </c>
      <c r="C91" s="122">
        <v>995.66399999999999</v>
      </c>
      <c r="D91" s="122">
        <v>340.57100000000003</v>
      </c>
      <c r="E91" s="122">
        <v>250.06800000000001</v>
      </c>
      <c r="F91" s="122">
        <v>52.222999999999999</v>
      </c>
      <c r="G91" s="122">
        <v>2.3540000000000001</v>
      </c>
      <c r="H91" s="122">
        <v>1588.6569999999999</v>
      </c>
      <c r="I91" s="122">
        <v>-20.63</v>
      </c>
      <c r="J91" s="122">
        <v>1568.027</v>
      </c>
      <c r="K91" s="122">
        <v>416.34199999999998</v>
      </c>
      <c r="L91" s="122">
        <v>1984.3689999999999</v>
      </c>
      <c r="M91" s="122">
        <v>435.56700000000001</v>
      </c>
      <c r="N91" s="122">
        <v>0</v>
      </c>
      <c r="O91" s="122">
        <v>1548.8019999999999</v>
      </c>
      <c r="P91" s="123">
        <v>1535.79</v>
      </c>
      <c r="S91" s="124">
        <f>100*(C91/OBR_NOV23_1.1!C91)</f>
        <v>85.096941544483713</v>
      </c>
      <c r="T91" s="124">
        <f>100*(D91/OBR_NOV23_1.1!D91)</f>
        <v>89.426737878047888</v>
      </c>
      <c r="U91" s="124">
        <f>100*(E91/OBR_NOV23_1.1!E91)</f>
        <v>85.872051097146397</v>
      </c>
      <c r="V91" s="124">
        <f>100*(K91/OBR_NOV23_1.1!N91)</f>
        <v>82.016177009420161</v>
      </c>
      <c r="W91" s="124">
        <f>100*(M91/OBR_NOV23_1.1!P91)</f>
        <v>87.747286396931429</v>
      </c>
      <c r="X91" s="124">
        <f>100*(O91/OBR_NOV23_1.1!R91)</f>
        <v>84.274005518503742</v>
      </c>
      <c r="Z91" s="124">
        <f t="shared" ref="Z91:AE106" si="3">100*((S91/S90)-1)</f>
        <v>0.96118883689240153</v>
      </c>
      <c r="AA91" s="124">
        <f t="shared" si="3"/>
        <v>3.4929834465186049</v>
      </c>
      <c r="AB91" s="124">
        <f t="shared" si="3"/>
        <v>1.3502828265913092</v>
      </c>
      <c r="AC91" s="124">
        <f t="shared" si="3"/>
        <v>4.1933916881899069</v>
      </c>
      <c r="AD91" s="124">
        <f t="shared" si="3"/>
        <v>0.70093866853560005</v>
      </c>
      <c r="AE91" s="124">
        <f t="shared" si="3"/>
        <v>1.8911119620320882</v>
      </c>
    </row>
    <row r="92" spans="1:31" ht="15.75">
      <c r="A92" s="110"/>
      <c r="B92" s="129">
        <v>2010</v>
      </c>
      <c r="C92" s="122">
        <v>1027.116</v>
      </c>
      <c r="D92" s="122">
        <v>346.31599999999997</v>
      </c>
      <c r="E92" s="122">
        <v>258.29000000000002</v>
      </c>
      <c r="F92" s="122">
        <v>51.576999999999998</v>
      </c>
      <c r="G92" s="122">
        <v>0.438</v>
      </c>
      <c r="H92" s="122">
        <v>1632.16</v>
      </c>
      <c r="I92" s="122">
        <v>1.4750000000000001</v>
      </c>
      <c r="J92" s="122">
        <v>1633.635</v>
      </c>
      <c r="K92" s="122">
        <v>464.17599999999999</v>
      </c>
      <c r="L92" s="122">
        <v>2097.8110000000001</v>
      </c>
      <c r="M92" s="122">
        <v>489.25799999999998</v>
      </c>
      <c r="N92" s="122">
        <v>0</v>
      </c>
      <c r="O92" s="122">
        <v>1608.5530000000001</v>
      </c>
      <c r="P92" s="123">
        <v>1609.26</v>
      </c>
      <c r="S92" s="124">
        <f>100*(C92/OBR_NOV23_1.1!C92)</f>
        <v>85.933871021719483</v>
      </c>
      <c r="T92" s="124">
        <f>100*(D92/OBR_NOV23_1.1!D92)</f>
        <v>90.953642836319887</v>
      </c>
      <c r="U92" s="124">
        <f>100*(E92/OBR_NOV23_1.1!E92)</f>
        <v>84.676361824333199</v>
      </c>
      <c r="V92" s="124">
        <f>100*(K92/OBR_NOV23_1.1!N92)</f>
        <v>85.821680616646418</v>
      </c>
      <c r="W92" s="124">
        <f>100*(M92/OBR_NOV23_1.1!P92)</f>
        <v>90.455254731143825</v>
      </c>
      <c r="X92" s="124">
        <f>100*(O92/OBR_NOV23_1.1!R92)</f>
        <v>85.608687784731984</v>
      </c>
      <c r="Z92" s="124">
        <f t="shared" si="3"/>
        <v>0.98350124228410163</v>
      </c>
      <c r="AA92" s="124">
        <f t="shared" si="3"/>
        <v>1.7074367180364591</v>
      </c>
      <c r="AB92" s="124">
        <f t="shared" si="3"/>
        <v>-1.3924079575792669</v>
      </c>
      <c r="AC92" s="124">
        <f t="shared" si="3"/>
        <v>4.6399426869033089</v>
      </c>
      <c r="AD92" s="124">
        <f t="shared" si="3"/>
        <v>3.0860992349811323</v>
      </c>
      <c r="AE92" s="124">
        <f t="shared" si="3"/>
        <v>1.5837413423231528</v>
      </c>
    </row>
    <row r="93" spans="1:31" ht="15.75">
      <c r="A93" s="110"/>
      <c r="B93" s="129">
        <v>2011</v>
      </c>
      <c r="C93" s="122">
        <v>1063.4659999999999</v>
      </c>
      <c r="D93" s="122">
        <v>347.41899999999998</v>
      </c>
      <c r="E93" s="122">
        <v>261.22000000000003</v>
      </c>
      <c r="F93" s="122">
        <v>48.039000000000001</v>
      </c>
      <c r="G93" s="122">
        <v>0.67600000000000005</v>
      </c>
      <c r="H93" s="122">
        <v>1672.7809999999999</v>
      </c>
      <c r="I93" s="122">
        <v>2.9470000000000001</v>
      </c>
      <c r="J93" s="122">
        <v>1675.7280000000001</v>
      </c>
      <c r="K93" s="122">
        <v>521.84699999999998</v>
      </c>
      <c r="L93" s="122">
        <v>2197.5749999999998</v>
      </c>
      <c r="M93" s="122">
        <v>534.98500000000001</v>
      </c>
      <c r="N93" s="122">
        <v>0</v>
      </c>
      <c r="O93" s="122">
        <v>1662.59</v>
      </c>
      <c r="P93" s="123">
        <v>1669.5350000000001</v>
      </c>
      <c r="S93" s="124">
        <f>100*(C93/OBR_NOV23_1.1!C93)</f>
        <v>89.271617685327413</v>
      </c>
      <c r="T93" s="124">
        <f>100*(D93/OBR_NOV23_1.1!D93)</f>
        <v>91.302313969225906</v>
      </c>
      <c r="U93" s="124">
        <f>100*(E93/OBR_NOV23_1.1!E93)</f>
        <v>85.546611473895879</v>
      </c>
      <c r="V93" s="124">
        <f>100*(K93/OBR_NOV23_1.1!N93)</f>
        <v>90.232962670295493</v>
      </c>
      <c r="W93" s="124">
        <f>100*(M93/OBR_NOV23_1.1!P93)</f>
        <v>96.095365199569642</v>
      </c>
      <c r="X93" s="124">
        <f>100*(O93/OBR_NOV23_1.1!R93)</f>
        <v>87.48282009349235</v>
      </c>
      <c r="Z93" s="124">
        <f t="shared" si="3"/>
        <v>3.8840874080539489</v>
      </c>
      <c r="AA93" s="124">
        <f t="shared" si="3"/>
        <v>0.38335037721741738</v>
      </c>
      <c r="AB93" s="124">
        <f t="shared" si="3"/>
        <v>1.027736231001608</v>
      </c>
      <c r="AC93" s="124">
        <f t="shared" si="3"/>
        <v>5.1400555453506636</v>
      </c>
      <c r="AD93" s="124">
        <f t="shared" si="3"/>
        <v>6.2352491131550947</v>
      </c>
      <c r="AE93" s="124">
        <f t="shared" si="3"/>
        <v>2.1891847162439637</v>
      </c>
    </row>
    <row r="94" spans="1:31" ht="15.75">
      <c r="A94" s="110"/>
      <c r="B94" s="129">
        <v>2012</v>
      </c>
      <c r="C94" s="122">
        <v>1100.0509999999999</v>
      </c>
      <c r="D94" s="122">
        <v>355.38400000000001</v>
      </c>
      <c r="E94" s="122">
        <v>270.01900000000001</v>
      </c>
      <c r="F94" s="122">
        <v>45.252000000000002</v>
      </c>
      <c r="G94" s="122">
        <v>0.35199999999999998</v>
      </c>
      <c r="H94" s="122">
        <v>1725.806</v>
      </c>
      <c r="I94" s="122">
        <v>4.8550000000000004</v>
      </c>
      <c r="J94" s="122">
        <v>1730.6610000000001</v>
      </c>
      <c r="K94" s="122">
        <v>524.71500000000003</v>
      </c>
      <c r="L94" s="122">
        <v>2255.3760000000002</v>
      </c>
      <c r="M94" s="122">
        <v>541.66099999999994</v>
      </c>
      <c r="N94" s="122">
        <v>0</v>
      </c>
      <c r="O94" s="122">
        <v>1713.7149999999999</v>
      </c>
      <c r="P94" s="123">
        <v>1697.7550000000001</v>
      </c>
      <c r="S94" s="124">
        <f>100*(C94/OBR_NOV23_1.1!C94)</f>
        <v>90.777739359485452</v>
      </c>
      <c r="T94" s="124">
        <f>100*(D94/OBR_NOV23_1.1!D94)</f>
        <v>92.023574010585534</v>
      </c>
      <c r="U94" s="124">
        <f>100*(E94/OBR_NOV23_1.1!E94)</f>
        <v>87.04057094596773</v>
      </c>
      <c r="V94" s="124">
        <f>100*(K94/OBR_NOV23_1.1!N94)</f>
        <v>90.044428885468193</v>
      </c>
      <c r="W94" s="124">
        <f>100*(M94/OBR_NOV23_1.1!P94)</f>
        <v>94.964103193457035</v>
      </c>
      <c r="X94" s="124">
        <f>100*(O94/OBR_NOV23_1.1!R94)</f>
        <v>88.829008894226646</v>
      </c>
      <c r="Z94" s="124">
        <f t="shared" si="3"/>
        <v>1.6871226412261908</v>
      </c>
      <c r="AA94" s="124">
        <f t="shared" si="3"/>
        <v>0.78996907088546564</v>
      </c>
      <c r="AB94" s="124">
        <f t="shared" si="3"/>
        <v>1.7463689634600321</v>
      </c>
      <c r="AC94" s="124">
        <f t="shared" si="3"/>
        <v>-0.20894114439773404</v>
      </c>
      <c r="AD94" s="124">
        <f t="shared" si="3"/>
        <v>-1.1772284789835719</v>
      </c>
      <c r="AE94" s="124">
        <f t="shared" si="3"/>
        <v>1.5388036180082443</v>
      </c>
    </row>
    <row r="95" spans="1:31" ht="15.75">
      <c r="A95" s="110"/>
      <c r="B95" s="129">
        <v>2013</v>
      </c>
      <c r="C95" s="122">
        <v>1153.0920000000001</v>
      </c>
      <c r="D95" s="122">
        <v>358.572</v>
      </c>
      <c r="E95" s="122">
        <v>284.44400000000002</v>
      </c>
      <c r="F95" s="122">
        <v>43.567999999999998</v>
      </c>
      <c r="G95" s="122">
        <v>7.2149999999999999</v>
      </c>
      <c r="H95" s="122">
        <v>1803.3230000000001</v>
      </c>
      <c r="I95" s="122">
        <v>3.3380000000000001</v>
      </c>
      <c r="J95" s="122">
        <v>1806.6610000000001</v>
      </c>
      <c r="K95" s="122">
        <v>539.56399999999996</v>
      </c>
      <c r="L95" s="122">
        <v>2346.2249999999999</v>
      </c>
      <c r="M95" s="122">
        <v>564.86400000000003</v>
      </c>
      <c r="N95" s="122">
        <v>0</v>
      </c>
      <c r="O95" s="122">
        <v>1781.3610000000001</v>
      </c>
      <c r="P95" s="123">
        <v>1749.7919999999999</v>
      </c>
      <c r="S95" s="124">
        <f>100*(C95/OBR_NOV23_1.1!C95)</f>
        <v>92.808069231066412</v>
      </c>
      <c r="T95" s="124">
        <f>100*(D95/OBR_NOV23_1.1!D95)</f>
        <v>92.642294277225162</v>
      </c>
      <c r="U95" s="124">
        <f>100*(E95/OBR_NOV23_1.1!E95)</f>
        <v>88.804663084641732</v>
      </c>
      <c r="V95" s="124">
        <f>100*(K95/OBR_NOV23_1.1!N95)</f>
        <v>92.329911514116503</v>
      </c>
      <c r="W95" s="124">
        <f>100*(M95/OBR_NOV23_1.1!P95)</f>
        <v>95.921098212890826</v>
      </c>
      <c r="X95" s="124">
        <f>100*(O95/OBR_NOV23_1.1!R95)</f>
        <v>90.70957583917361</v>
      </c>
      <c r="Z95" s="124">
        <f t="shared" si="3"/>
        <v>2.2365944403404114</v>
      </c>
      <c r="AA95" s="124">
        <f t="shared" si="3"/>
        <v>0.67234974656433799</v>
      </c>
      <c r="AB95" s="124">
        <f t="shared" si="3"/>
        <v>2.0267469750044453</v>
      </c>
      <c r="AC95" s="124">
        <f t="shared" si="3"/>
        <v>2.5381721633831678</v>
      </c>
      <c r="AD95" s="124">
        <f t="shared" si="3"/>
        <v>1.0077439656164033</v>
      </c>
      <c r="AE95" s="124">
        <f t="shared" si="3"/>
        <v>2.117063973083666</v>
      </c>
    </row>
    <row r="96" spans="1:31" ht="15.75">
      <c r="A96" s="110"/>
      <c r="B96" s="160">
        <v>2014</v>
      </c>
      <c r="C96" s="122">
        <v>1198.6849999999999</v>
      </c>
      <c r="D96" s="122">
        <v>370.01100000000002</v>
      </c>
      <c r="E96" s="122">
        <v>308.66199999999998</v>
      </c>
      <c r="F96" s="122">
        <v>50.194000000000003</v>
      </c>
      <c r="G96" s="122">
        <v>6.1029999999999998</v>
      </c>
      <c r="H96" s="122">
        <v>1883.461</v>
      </c>
      <c r="I96" s="122">
        <v>15.23</v>
      </c>
      <c r="J96" s="122">
        <v>1898.691</v>
      </c>
      <c r="K96" s="122">
        <v>532.23599999999999</v>
      </c>
      <c r="L96" s="122">
        <v>2430.9270000000001</v>
      </c>
      <c r="M96" s="122">
        <v>568.41300000000001</v>
      </c>
      <c r="N96" s="122">
        <v>0</v>
      </c>
      <c r="O96" s="122">
        <v>1862.5139999999999</v>
      </c>
      <c r="P96" s="123">
        <v>1829.242</v>
      </c>
      <c r="S96" s="124">
        <f>100*(C96/OBR_NOV23_1.1!C96)</f>
        <v>93.933689993785734</v>
      </c>
      <c r="T96" s="124">
        <f>100*(D96/OBR_NOV23_1.1!D96)</f>
        <v>93.185567243980273</v>
      </c>
      <c r="U96" s="124">
        <f>100*(E96/OBR_NOV23_1.1!E96)</f>
        <v>90.030918212577291</v>
      </c>
      <c r="V96" s="124">
        <f>100*(K96/OBR_NOV23_1.1!N96)</f>
        <v>90.169755700877573</v>
      </c>
      <c r="W96" s="124">
        <f>100*(M96/OBR_NOV23_1.1!P96)</f>
        <v>91.844243223329585</v>
      </c>
      <c r="X96" s="124">
        <f>100*(O96/OBR_NOV23_1.1!R96)</f>
        <v>91.904926856564245</v>
      </c>
      <c r="Z96" s="124">
        <f t="shared" si="3"/>
        <v>1.212847947430995</v>
      </c>
      <c r="AA96" s="124">
        <f t="shared" si="3"/>
        <v>0.58642002661268844</v>
      </c>
      <c r="AB96" s="124">
        <f t="shared" si="3"/>
        <v>1.3808454256132752</v>
      </c>
      <c r="AC96" s="124">
        <f t="shared" si="3"/>
        <v>-2.3396056357193218</v>
      </c>
      <c r="AD96" s="124">
        <f t="shared" si="3"/>
        <v>-4.2502171738202144</v>
      </c>
      <c r="AE96" s="124">
        <f t="shared" si="3"/>
        <v>1.317778201840536</v>
      </c>
    </row>
    <row r="97" spans="1:31" ht="15.75">
      <c r="A97" s="110"/>
      <c r="B97" s="160">
        <v>2015</v>
      </c>
      <c r="C97" s="122">
        <v>1228.325</v>
      </c>
      <c r="D97" s="122">
        <v>374.63799999999998</v>
      </c>
      <c r="E97" s="122">
        <v>332.97300000000001</v>
      </c>
      <c r="F97" s="122">
        <v>51.664999999999999</v>
      </c>
      <c r="G97" s="122">
        <v>0.879</v>
      </c>
      <c r="H97" s="122">
        <v>1936.8150000000001</v>
      </c>
      <c r="I97" s="122">
        <v>8.6059999999999999</v>
      </c>
      <c r="J97" s="122">
        <v>1945.421</v>
      </c>
      <c r="K97" s="122">
        <v>533.654</v>
      </c>
      <c r="L97" s="122">
        <v>2479.0749999999998</v>
      </c>
      <c r="M97" s="122">
        <v>562.62400000000002</v>
      </c>
      <c r="N97" s="122">
        <v>0</v>
      </c>
      <c r="O97" s="122">
        <v>1916.451</v>
      </c>
      <c r="P97" s="123">
        <v>1874.682</v>
      </c>
      <c r="S97" s="124">
        <f>100*(C97/OBR_NOV23_1.1!C97)</f>
        <v>93.607135426946698</v>
      </c>
      <c r="T97" s="124">
        <f>100*(D97/OBR_NOV23_1.1!D97)</f>
        <v>93.159234908541123</v>
      </c>
      <c r="U97" s="124">
        <f>100*(E97/OBR_NOV23_1.1!E97)</f>
        <v>90.644362171285465</v>
      </c>
      <c r="V97" s="124">
        <f>100*(K97/OBR_NOV23_1.1!N97)</f>
        <v>87.122489727084087</v>
      </c>
      <c r="W97" s="124">
        <f>100*(M97/OBR_NOV23_1.1!P97)</f>
        <v>86.616437639133082</v>
      </c>
      <c r="X97" s="124">
        <f>100*(O97/OBR_NOV23_1.1!R97)</f>
        <v>92.512409723874896</v>
      </c>
      <c r="Z97" s="124">
        <f t="shared" si="3"/>
        <v>-0.34764371213420464</v>
      </c>
      <c r="AA97" s="124">
        <f t="shared" si="3"/>
        <v>-2.8257954764820958E-2</v>
      </c>
      <c r="AB97" s="124">
        <f t="shared" si="3"/>
        <v>0.68137032353678961</v>
      </c>
      <c r="AC97" s="124">
        <f t="shared" si="3"/>
        <v>-3.3794767991855879</v>
      </c>
      <c r="AD97" s="124">
        <f t="shared" si="3"/>
        <v>-5.6920340358017967</v>
      </c>
      <c r="AE97" s="124">
        <f t="shared" si="3"/>
        <v>0.6609905345539735</v>
      </c>
    </row>
    <row r="98" spans="1:31" ht="15.75">
      <c r="A98" s="110"/>
      <c r="B98" s="160">
        <v>2016</v>
      </c>
      <c r="C98" s="122">
        <v>1289.4449999999999</v>
      </c>
      <c r="D98" s="122">
        <v>382.76</v>
      </c>
      <c r="E98" s="122">
        <v>356.60199999999998</v>
      </c>
      <c r="F98" s="122">
        <v>51.473999999999997</v>
      </c>
      <c r="G98" s="122">
        <v>1.502</v>
      </c>
      <c r="H98" s="122">
        <v>2030.309</v>
      </c>
      <c r="I98" s="122">
        <v>-0.90800000000000003</v>
      </c>
      <c r="J98" s="122">
        <v>2029.4010000000001</v>
      </c>
      <c r="K98" s="122">
        <v>575.63199999999995</v>
      </c>
      <c r="L98" s="122">
        <v>2605.0329999999999</v>
      </c>
      <c r="M98" s="122">
        <v>613.38800000000003</v>
      </c>
      <c r="N98" s="122">
        <v>0</v>
      </c>
      <c r="O98" s="122">
        <v>1991.645</v>
      </c>
      <c r="P98" s="123">
        <v>1944.912</v>
      </c>
      <c r="S98" s="124">
        <f>100*(C98/OBR_NOV23_1.1!C98)</f>
        <v>94.777009108389237</v>
      </c>
      <c r="T98" s="124">
        <f>100*(D98/OBR_NOV23_1.1!D98)</f>
        <v>94.51237579756237</v>
      </c>
      <c r="U98" s="124">
        <f>100*(E98/OBR_NOV23_1.1!E98)</f>
        <v>92.33011845426887</v>
      </c>
      <c r="V98" s="124">
        <f>100*(K98/OBR_NOV23_1.1!N98)</f>
        <v>91.438810408449498</v>
      </c>
      <c r="W98" s="124">
        <f>100*(M98/OBR_NOV23_1.1!P98)</f>
        <v>90.820091562183507</v>
      </c>
      <c r="X98" s="124">
        <f>100*(O98/OBR_NOV23_1.1!R98)</f>
        <v>94.330091974024285</v>
      </c>
      <c r="Z98" s="124">
        <f t="shared" si="3"/>
        <v>1.2497697703350186</v>
      </c>
      <c r="AA98" s="124">
        <f t="shared" si="3"/>
        <v>1.4525032224123491</v>
      </c>
      <c r="AB98" s="124">
        <f t="shared" si="3"/>
        <v>1.859747526049027</v>
      </c>
      <c r="AC98" s="124">
        <f t="shared" si="3"/>
        <v>4.9543128242621526</v>
      </c>
      <c r="AD98" s="124">
        <f t="shared" si="3"/>
        <v>4.8531826494226937</v>
      </c>
      <c r="AE98" s="124">
        <f t="shared" si="3"/>
        <v>1.9647982963309385</v>
      </c>
    </row>
    <row r="99" spans="1:31" ht="15.75">
      <c r="A99" s="110"/>
      <c r="B99" s="160">
        <v>2017</v>
      </c>
      <c r="C99" s="122">
        <v>1336.921</v>
      </c>
      <c r="D99" s="122">
        <v>388.577</v>
      </c>
      <c r="E99" s="122">
        <v>380.012</v>
      </c>
      <c r="F99" s="122">
        <v>57.4</v>
      </c>
      <c r="G99" s="122">
        <v>0.84199999999999997</v>
      </c>
      <c r="H99" s="122">
        <v>2106.3519999999999</v>
      </c>
      <c r="I99" s="122">
        <v>4.0549999999999997</v>
      </c>
      <c r="J99" s="122">
        <v>2110.4070000000002</v>
      </c>
      <c r="K99" s="122">
        <v>643.28599999999994</v>
      </c>
      <c r="L99" s="122">
        <v>2753.6930000000002</v>
      </c>
      <c r="M99" s="122">
        <v>671.21100000000001</v>
      </c>
      <c r="N99" s="122">
        <v>0</v>
      </c>
      <c r="O99" s="122">
        <v>2082.482</v>
      </c>
      <c r="P99" s="123">
        <v>2060.0749999999998</v>
      </c>
      <c r="S99" s="124">
        <f>100*(C99/OBR_NOV23_1.1!C99)</f>
        <v>96.502254258404577</v>
      </c>
      <c r="T99" s="124">
        <f>100*(D99/OBR_NOV23_1.1!D99)</f>
        <v>95.325440593476458</v>
      </c>
      <c r="U99" s="124">
        <f>100*(E99/OBR_NOV23_1.1!E99)</f>
        <v>95.061938401809115</v>
      </c>
      <c r="V99" s="124">
        <f>100*(K99/OBR_NOV23_1.1!N99)</f>
        <v>95.710277064444028</v>
      </c>
      <c r="W99" s="124">
        <f>100*(M99/OBR_NOV23_1.1!P99)</f>
        <v>96.333032417141609</v>
      </c>
      <c r="X99" s="124">
        <f>100*(O99/OBR_NOV23_1.1!R99)</f>
        <v>96.081368819538483</v>
      </c>
      <c r="Z99" s="124">
        <f t="shared" si="3"/>
        <v>1.8203203142254765</v>
      </c>
      <c r="AA99" s="124">
        <f t="shared" si="3"/>
        <v>0.86027336531631082</v>
      </c>
      <c r="AB99" s="124">
        <f t="shared" si="3"/>
        <v>2.9587527810801095</v>
      </c>
      <c r="AC99" s="124">
        <f t="shared" si="3"/>
        <v>4.6713935110422433</v>
      </c>
      <c r="AD99" s="124">
        <f t="shared" si="3"/>
        <v>6.0701776007167529</v>
      </c>
      <c r="AE99" s="124">
        <f t="shared" si="3"/>
        <v>1.8565410134408156</v>
      </c>
    </row>
    <row r="100" spans="1:31" ht="15.75">
      <c r="A100" s="110"/>
      <c r="B100" s="160">
        <v>2018</v>
      </c>
      <c r="C100" s="122">
        <v>1391.673</v>
      </c>
      <c r="D100" s="122">
        <v>399.065</v>
      </c>
      <c r="E100" s="122">
        <v>387.32400000000001</v>
      </c>
      <c r="F100" s="122">
        <v>58.445999999999998</v>
      </c>
      <c r="G100" s="122">
        <v>2.8260000000000001</v>
      </c>
      <c r="H100" s="122">
        <v>2180.8879999999999</v>
      </c>
      <c r="I100" s="122">
        <v>1.17</v>
      </c>
      <c r="J100" s="122">
        <v>2182.058</v>
      </c>
      <c r="K100" s="122">
        <v>679.7</v>
      </c>
      <c r="L100" s="122">
        <v>2861.7579999999998</v>
      </c>
      <c r="M100" s="122">
        <v>709.45399999999995</v>
      </c>
      <c r="N100" s="122">
        <v>0</v>
      </c>
      <c r="O100" s="122">
        <v>2152.3040000000001</v>
      </c>
      <c r="P100" s="123">
        <v>2123.0509999999999</v>
      </c>
      <c r="S100" s="124">
        <f>100*(C100/OBR_NOV23_1.1!C100)</f>
        <v>98.518547359478987</v>
      </c>
      <c r="T100" s="124">
        <f>100*(D100/OBR_NOV23_1.1!D100)</f>
        <v>97.29234880086598</v>
      </c>
      <c r="U100" s="124">
        <f>100*(E100/OBR_NOV23_1.1!E100)</f>
        <v>97.357215751134888</v>
      </c>
      <c r="V100" s="124">
        <f>100*(K100/OBR_NOV23_1.1!N100)</f>
        <v>98.100626389169534</v>
      </c>
      <c r="W100" s="124">
        <f>100*(M100/OBR_NOV23_1.1!P100)</f>
        <v>98.76201891286523</v>
      </c>
      <c r="X100" s="124">
        <f>100*(O100/OBR_NOV23_1.1!R100)</f>
        <v>97.928103079340147</v>
      </c>
      <c r="Z100" s="124">
        <f t="shared" si="3"/>
        <v>2.0893740944904371</v>
      </c>
      <c r="AA100" s="124">
        <f t="shared" si="3"/>
        <v>2.063361255026952</v>
      </c>
      <c r="AB100" s="124">
        <f t="shared" si="3"/>
        <v>2.414507202266436</v>
      </c>
      <c r="AC100" s="124">
        <f t="shared" si="3"/>
        <v>2.4974844896917592</v>
      </c>
      <c r="AD100" s="124">
        <f t="shared" si="3"/>
        <v>2.5214471451553866</v>
      </c>
      <c r="AE100" s="124">
        <f t="shared" si="3"/>
        <v>1.9220524046344778</v>
      </c>
    </row>
    <row r="101" spans="1:31" ht="15.75">
      <c r="A101" s="110"/>
      <c r="B101" s="160">
        <v>2019</v>
      </c>
      <c r="C101" s="122">
        <v>1427.94</v>
      </c>
      <c r="D101" s="122">
        <v>426.59199999999998</v>
      </c>
      <c r="E101" s="122">
        <v>406.423</v>
      </c>
      <c r="F101" s="122">
        <v>62.139000000000003</v>
      </c>
      <c r="G101" s="122">
        <v>2.88</v>
      </c>
      <c r="H101" s="122">
        <v>2263.835</v>
      </c>
      <c r="I101" s="122">
        <v>1.262</v>
      </c>
      <c r="J101" s="122">
        <v>2265.0970000000002</v>
      </c>
      <c r="K101" s="122">
        <v>706.69600000000003</v>
      </c>
      <c r="L101" s="122">
        <v>2971.7930000000001</v>
      </c>
      <c r="M101" s="122">
        <v>737.87199999999996</v>
      </c>
      <c r="N101" s="122">
        <v>0</v>
      </c>
      <c r="O101" s="122">
        <v>2233.9209999999998</v>
      </c>
      <c r="P101" s="123">
        <v>2231.6669999999999</v>
      </c>
      <c r="S101" s="124">
        <f>100*(C101/OBR_NOV23_1.1!C101)</f>
        <v>100</v>
      </c>
      <c r="T101" s="124">
        <f>100*(D101/OBR_NOV23_1.1!D101)</f>
        <v>100</v>
      </c>
      <c r="U101" s="124">
        <f>100*(E101/OBR_NOV23_1.1!E101)</f>
        <v>100</v>
      </c>
      <c r="V101" s="124">
        <f>100*(K101/OBR_NOV23_1.1!N101)</f>
        <v>100</v>
      </c>
      <c r="W101" s="124">
        <f>100*(M101/OBR_NOV23_1.1!P101)</f>
        <v>100</v>
      </c>
      <c r="X101" s="124">
        <f>100*(O101/OBR_NOV23_1.1!R101)</f>
        <v>100</v>
      </c>
      <c r="Z101" s="124">
        <f t="shared" si="3"/>
        <v>1.5037296836253766</v>
      </c>
      <c r="AA101" s="124">
        <f t="shared" si="3"/>
        <v>2.7830052748299083</v>
      </c>
      <c r="AB101" s="124">
        <f t="shared" si="3"/>
        <v>2.7145232415238807</v>
      </c>
      <c r="AC101" s="124">
        <f t="shared" si="3"/>
        <v>1.9361483007209079</v>
      </c>
      <c r="AD101" s="124">
        <f t="shared" si="3"/>
        <v>1.253499169784078</v>
      </c>
      <c r="AE101" s="124">
        <f t="shared" si="3"/>
        <v>2.1157327217716348</v>
      </c>
    </row>
    <row r="102" spans="1:31" ht="15.75">
      <c r="A102" s="110"/>
      <c r="B102" s="160">
        <v>2020</v>
      </c>
      <c r="C102" s="122">
        <v>1246.0730000000001</v>
      </c>
      <c r="D102" s="122">
        <v>475.61799999999999</v>
      </c>
      <c r="E102" s="122">
        <v>367.488</v>
      </c>
      <c r="F102" s="122">
        <v>66.087000000000003</v>
      </c>
      <c r="G102" s="122">
        <v>0.96899999999999997</v>
      </c>
      <c r="H102" s="122">
        <v>2090.1480000000001</v>
      </c>
      <c r="I102" s="122">
        <v>1.3160000000000001</v>
      </c>
      <c r="J102" s="122">
        <v>2091.4639999999999</v>
      </c>
      <c r="K102" s="122">
        <v>624.80499999999995</v>
      </c>
      <c r="L102" s="122">
        <v>2716.2689999999998</v>
      </c>
      <c r="M102" s="122">
        <v>611.98099999999999</v>
      </c>
      <c r="N102" s="122">
        <v>0</v>
      </c>
      <c r="O102" s="122">
        <v>2104.288</v>
      </c>
      <c r="P102" s="123">
        <v>2059.4569999999999</v>
      </c>
      <c r="S102" s="124">
        <f>100*(C102/OBR_NOV23_1.1!C102)</f>
        <v>100.57573409527501</v>
      </c>
      <c r="T102" s="124">
        <f>100*(D102/OBR_NOV23_1.1!D102)</f>
        <v>121.03255489646713</v>
      </c>
      <c r="U102" s="124">
        <f>100*(E102/OBR_NOV23_1.1!E102)</f>
        <v>101.3321127125631</v>
      </c>
      <c r="V102" s="124">
        <f>100*(K102/OBR_NOV23_1.1!N102)</f>
        <v>99.866536666453541</v>
      </c>
      <c r="W102" s="124">
        <f>100*(M102/OBR_NOV23_1.1!P102)</f>
        <v>98.739579182081755</v>
      </c>
      <c r="X102" s="124">
        <f>100*(O102/OBR_NOV23_1.1!R102)</f>
        <v>105.08362343064057</v>
      </c>
      <c r="Z102" s="124">
        <f t="shared" si="3"/>
        <v>0.57573409527500452</v>
      </c>
      <c r="AA102" s="124">
        <f t="shared" si="3"/>
        <v>21.032554896467136</v>
      </c>
      <c r="AB102" s="124">
        <f t="shared" si="3"/>
        <v>1.3321127125631049</v>
      </c>
      <c r="AC102" s="124">
        <f t="shared" si="3"/>
        <v>-0.13346333354645745</v>
      </c>
      <c r="AD102" s="124">
        <f t="shared" si="3"/>
        <v>-1.2604208179182397</v>
      </c>
      <c r="AE102" s="124">
        <f t="shared" si="3"/>
        <v>5.0836234306405714</v>
      </c>
    </row>
    <row r="103" spans="1:31" ht="15.75">
      <c r="A103" s="110"/>
      <c r="B103" s="160">
        <v>2021</v>
      </c>
      <c r="C103" s="122">
        <v>1369.336</v>
      </c>
      <c r="D103" s="122">
        <v>508.71600000000001</v>
      </c>
      <c r="E103" s="122">
        <v>403.84699999999998</v>
      </c>
      <c r="F103" s="122">
        <v>71.712000000000003</v>
      </c>
      <c r="G103" s="122">
        <v>8.7260000000000009</v>
      </c>
      <c r="H103" s="122">
        <v>2290.625</v>
      </c>
      <c r="I103" s="122">
        <v>-3.028</v>
      </c>
      <c r="J103" s="122">
        <v>2287.5970000000002</v>
      </c>
      <c r="K103" s="122">
        <v>676.02599999999995</v>
      </c>
      <c r="L103" s="122">
        <v>2963.623</v>
      </c>
      <c r="M103" s="122">
        <v>679.54399999999998</v>
      </c>
      <c r="N103" s="122">
        <v>0</v>
      </c>
      <c r="O103" s="122">
        <v>2284.0790000000002</v>
      </c>
      <c r="P103" s="123">
        <v>2296.6120000000001</v>
      </c>
      <c r="S103" s="124">
        <f>100*(C103/OBR_NOV23_1.1!C103)</f>
        <v>102.87212503897139</v>
      </c>
      <c r="T103" s="124">
        <f>100*(D103/OBR_NOV23_1.1!D103)</f>
        <v>112.66992979114528</v>
      </c>
      <c r="U103" s="124">
        <f>100*(E103/OBR_NOV23_1.1!E103)</f>
        <v>103.64299426154619</v>
      </c>
      <c r="V103" s="124">
        <f>100*(K103/OBR_NOV23_1.1!N103)</f>
        <v>102.96578803875995</v>
      </c>
      <c r="W103" s="124">
        <f>100*(M103/OBR_NOV23_1.1!P103)</f>
        <v>103.29567098316821</v>
      </c>
      <c r="X103" s="124">
        <f>100*(O103/OBR_NOV23_1.1!R103)</f>
        <v>104.9570743170559</v>
      </c>
      <c r="Z103" s="124">
        <f t="shared" si="3"/>
        <v>2.2832455207545621</v>
      </c>
      <c r="AA103" s="124">
        <f t="shared" si="3"/>
        <v>-6.9094014519278328</v>
      </c>
      <c r="AB103" s="124">
        <f t="shared" si="3"/>
        <v>2.2805026828347064</v>
      </c>
      <c r="AC103" s="124">
        <f t="shared" si="3"/>
        <v>3.1033932644101592</v>
      </c>
      <c r="AD103" s="124">
        <f t="shared" si="3"/>
        <v>4.6142507784894926</v>
      </c>
      <c r="AE103" s="124">
        <f t="shared" si="3"/>
        <v>-0.12042705557084865</v>
      </c>
    </row>
    <row r="104" spans="1:31" ht="15.75">
      <c r="A104" s="110"/>
      <c r="B104" s="129">
        <v>2022</v>
      </c>
      <c r="C104" s="122">
        <v>1552.431</v>
      </c>
      <c r="D104" s="122">
        <v>525.04399999999998</v>
      </c>
      <c r="E104" s="122">
        <v>459.733</v>
      </c>
      <c r="F104" s="122">
        <v>77.947000000000003</v>
      </c>
      <c r="G104" s="122">
        <v>-20.024000000000001</v>
      </c>
      <c r="H104" s="122">
        <v>2517.1840000000002</v>
      </c>
      <c r="I104" s="122">
        <v>25.902000000000001</v>
      </c>
      <c r="J104" s="122">
        <v>2543.0859999999998</v>
      </c>
      <c r="K104" s="122">
        <v>833.85799999999995</v>
      </c>
      <c r="L104" s="122">
        <v>3376.944</v>
      </c>
      <c r="M104" s="122">
        <v>901.81</v>
      </c>
      <c r="N104" s="122">
        <v>31.036000000000001</v>
      </c>
      <c r="O104" s="122">
        <v>2506.17</v>
      </c>
      <c r="P104" s="123">
        <v>2518.8519999999999</v>
      </c>
      <c r="S104" s="124">
        <f>100*(C104/OBR_NOV23_1.1!C104)</f>
        <v>110.91129916661011</v>
      </c>
      <c r="T104" s="124">
        <f>100*(D104/OBR_NOV23_1.1!D104)</f>
        <v>113.43742775721672</v>
      </c>
      <c r="U104" s="124">
        <f>100*(E104/OBR_NOV23_1.1!E104)</f>
        <v>109.30382952013903</v>
      </c>
      <c r="V104" s="124">
        <f>100*(K104/OBR_NOV23_1.1!N104)</f>
        <v>116.99312934151396</v>
      </c>
      <c r="W104" s="124">
        <f>100*(M104/OBR_NOV23_1.1!P104)</f>
        <v>120.09321836401772</v>
      </c>
      <c r="X104" s="124">
        <f>100*(O104/OBR_NOV23_1.1!R104)</f>
        <v>110.36540979296659</v>
      </c>
      <c r="Z104" s="124">
        <f t="shared" si="3"/>
        <v>7.8147254415063427</v>
      </c>
      <c r="AA104" s="124">
        <f t="shared" si="3"/>
        <v>0.6811914833835031</v>
      </c>
      <c r="AB104" s="124">
        <f t="shared" si="3"/>
        <v>5.4618600117896543</v>
      </c>
      <c r="AC104" s="124">
        <f t="shared" si="3"/>
        <v>13.623303011553345</v>
      </c>
      <c r="AD104" s="124">
        <f t="shared" si="3"/>
        <v>16.261617956464637</v>
      </c>
      <c r="AE104" s="124">
        <f t="shared" si="3"/>
        <v>5.1529022803866509</v>
      </c>
    </row>
    <row r="105" spans="1:31" ht="15.75">
      <c r="A105" s="110"/>
      <c r="B105" s="160">
        <v>2023</v>
      </c>
      <c r="C105" s="122">
        <v>1671.739922</v>
      </c>
      <c r="D105" s="122">
        <v>556.49597203636517</v>
      </c>
      <c r="E105" s="122">
        <v>487.13586400000003</v>
      </c>
      <c r="F105" s="122">
        <v>89.40559039999998</v>
      </c>
      <c r="G105" s="122">
        <v>-13.277320659999999</v>
      </c>
      <c r="H105" s="122">
        <v>2702.094437376365</v>
      </c>
      <c r="I105" s="122">
        <v>-2.665187634</v>
      </c>
      <c r="J105" s="122">
        <v>2699.4292497423648</v>
      </c>
      <c r="K105" s="122">
        <v>853.41478200000006</v>
      </c>
      <c r="L105" s="122">
        <v>3552.8440310000001</v>
      </c>
      <c r="M105" s="122">
        <v>892.00218700000005</v>
      </c>
      <c r="N105" s="122">
        <v>36.253372329999998</v>
      </c>
      <c r="O105" s="122">
        <v>2697.0952169999996</v>
      </c>
      <c r="P105" s="123">
        <v>2655.8744229999998</v>
      </c>
      <c r="S105" s="124">
        <f>100*(C105/OBR_NOV23_1.1!C105)</f>
        <v>118.82812999757087</v>
      </c>
      <c r="T105" s="124">
        <f>100*(D105/OBR_NOV23_1.1!D105)</f>
        <v>119.43474989788847</v>
      </c>
      <c r="U105" s="124">
        <f>100*(E105/OBR_NOV23_1.1!E105)</f>
        <v>113.16825762336693</v>
      </c>
      <c r="V105" s="124">
        <f>100*(K105/OBR_NOV23_1.1!N105)</f>
        <v>121.19187228843506</v>
      </c>
      <c r="W105" s="124">
        <f>100*(M105/OBR_NOV23_1.1!P105)</f>
        <v>120.42739537546016</v>
      </c>
      <c r="X105" s="124">
        <f>100*(O105/OBR_NOV23_1.1!R105)</f>
        <v>118.11883354561685</v>
      </c>
      <c r="Z105" s="124">
        <f t="shared" si="3"/>
        <v>7.1379840380989101</v>
      </c>
      <c r="AA105" s="124">
        <f t="shared" si="3"/>
        <v>5.2868989179721604</v>
      </c>
      <c r="AB105" s="124">
        <f t="shared" si="3"/>
        <v>3.5354919586928935</v>
      </c>
      <c r="AC105" s="124">
        <f t="shared" si="3"/>
        <v>3.5888799372692848</v>
      </c>
      <c r="AD105" s="124">
        <f t="shared" si="3"/>
        <v>0.27826468138234528</v>
      </c>
      <c r="AE105" s="124">
        <f t="shared" si="3"/>
        <v>7.0252298860619788</v>
      </c>
    </row>
    <row r="106" spans="1:31" ht="15.75">
      <c r="A106" s="110"/>
      <c r="B106" s="129">
        <v>2024</v>
      </c>
      <c r="C106" s="122">
        <v>1738.5628219999999</v>
      </c>
      <c r="D106" s="122">
        <v>572.76531693524373</v>
      </c>
      <c r="E106" s="122">
        <v>473.13939799999991</v>
      </c>
      <c r="F106" s="122">
        <v>91.947649499999997</v>
      </c>
      <c r="G106" s="122">
        <v>-7.3400614800000001</v>
      </c>
      <c r="H106" s="122">
        <v>2777.1274754552442</v>
      </c>
      <c r="I106" s="122">
        <v>2.36034845</v>
      </c>
      <c r="J106" s="122">
        <v>2779.4878239052437</v>
      </c>
      <c r="K106" s="122">
        <v>833.18517500000007</v>
      </c>
      <c r="L106" s="122">
        <v>3612.6729970000001</v>
      </c>
      <c r="M106" s="122">
        <v>872.56264699999997</v>
      </c>
      <c r="N106" s="122">
        <v>37.086519759999995</v>
      </c>
      <c r="O106" s="122">
        <v>2777.196872</v>
      </c>
      <c r="P106" s="123">
        <v>2725.7966099999999</v>
      </c>
      <c r="S106" s="124">
        <f>100*(C106/OBR_NOV23_1.1!C106)</f>
        <v>122.93143981134918</v>
      </c>
      <c r="T106" s="124">
        <f>100*(D106/OBR_NOV23_1.1!D106)</f>
        <v>118.21479527878971</v>
      </c>
      <c r="U106" s="124">
        <f>100*(E106/OBR_NOV23_1.1!E106)</f>
        <v>115.27799062478974</v>
      </c>
      <c r="V106" s="124">
        <f>100*(K106/OBR_NOV23_1.1!N106)</f>
        <v>119.44323969906119</v>
      </c>
      <c r="W106" s="124">
        <f>100*(M106/OBR_NOV23_1.1!P106)</f>
        <v>118.773119613147</v>
      </c>
      <c r="X106" s="124">
        <f>100*(O106/OBR_NOV23_1.1!R106)</f>
        <v>120.77321591846628</v>
      </c>
      <c r="Z106" s="124">
        <f t="shared" si="3"/>
        <v>3.4531468380948116</v>
      </c>
      <c r="AA106" s="124">
        <f t="shared" si="3"/>
        <v>-1.0214402593397343</v>
      </c>
      <c r="AB106" s="124">
        <f t="shared" si="3"/>
        <v>1.8642444849192419</v>
      </c>
      <c r="AC106" s="124">
        <f t="shared" si="3"/>
        <v>-1.4428629217082656</v>
      </c>
      <c r="AD106" s="124">
        <f t="shared" si="3"/>
        <v>-1.3736706313007718</v>
      </c>
      <c r="AE106" s="124">
        <f t="shared" si="3"/>
        <v>2.2472134994664605</v>
      </c>
    </row>
    <row r="107" spans="1:31" ht="15.75">
      <c r="A107" s="110"/>
      <c r="B107" s="129">
        <v>2025</v>
      </c>
      <c r="C107" s="122">
        <v>1789.806149</v>
      </c>
      <c r="D107" s="122">
        <v>588.59923746082779</v>
      </c>
      <c r="E107" s="122">
        <v>478.33625699999999</v>
      </c>
      <c r="F107" s="122">
        <v>88.923659900000004</v>
      </c>
      <c r="G107" s="122">
        <v>-7.4495224699999998</v>
      </c>
      <c r="H107" s="122">
        <v>2849.2921209908272</v>
      </c>
      <c r="I107" s="122">
        <v>3.2141871660000003</v>
      </c>
      <c r="J107" s="122">
        <v>2852.5063081568273</v>
      </c>
      <c r="K107" s="122">
        <v>833.41839700000003</v>
      </c>
      <c r="L107" s="122">
        <v>3685.9247059999998</v>
      </c>
      <c r="M107" s="122">
        <v>860.40040900000008</v>
      </c>
      <c r="N107" s="122">
        <v>37.714752089999998</v>
      </c>
      <c r="O107" s="122">
        <v>2863.2390479999995</v>
      </c>
      <c r="P107" s="123">
        <v>2813.6228229999997</v>
      </c>
      <c r="S107" s="124">
        <f>100*(C107/OBR_NOV23_1.1!C107)</f>
        <v>125.26292010810334</v>
      </c>
      <c r="T107" s="124">
        <f>100*(D107/OBR_NOV23_1.1!D107)</f>
        <v>119.00317174611712</v>
      </c>
      <c r="U107" s="124">
        <f>100*(E107/OBR_NOV23_1.1!E107)</f>
        <v>117.00468979467176</v>
      </c>
      <c r="V107" s="124">
        <f>100*(K107/OBR_NOV23_1.1!N107)</f>
        <v>119.19693074556623</v>
      </c>
      <c r="W107" s="124">
        <f>100*(M107/OBR_NOV23_1.1!P107)</f>
        <v>118.07878404813752</v>
      </c>
      <c r="X107" s="124">
        <f>100*(O107/OBR_NOV23_1.1!R107)</f>
        <v>122.82004836206943</v>
      </c>
      <c r="Z107" s="124">
        <f t="shared" ref="Z107:AE110" si="4">100*((S107/S106)-1)</f>
        <v>1.8965695840966745</v>
      </c>
      <c r="AA107" s="124">
        <f t="shared" si="4"/>
        <v>0.66690168981653475</v>
      </c>
      <c r="AB107" s="124">
        <f t="shared" si="4"/>
        <v>1.4978567552431876</v>
      </c>
      <c r="AC107" s="124">
        <f t="shared" si="4"/>
        <v>-0.20621422703832604</v>
      </c>
      <c r="AD107" s="124">
        <f t="shared" si="4"/>
        <v>-0.58458981903564133</v>
      </c>
      <c r="AE107" s="124">
        <f t="shared" si="4"/>
        <v>1.6947734876787246</v>
      </c>
    </row>
    <row r="108" spans="1:31" ht="15.75">
      <c r="A108" s="110"/>
      <c r="B108" s="129">
        <v>2026</v>
      </c>
      <c r="C108" s="122">
        <v>1847.4516429999999</v>
      </c>
      <c r="D108" s="122">
        <v>607.25762294298715</v>
      </c>
      <c r="E108" s="122">
        <v>496.39134499999994</v>
      </c>
      <c r="F108" s="122">
        <v>88.364628199999999</v>
      </c>
      <c r="G108" s="122">
        <v>-7.5543429</v>
      </c>
      <c r="H108" s="122">
        <v>2943.5462680429873</v>
      </c>
      <c r="I108" s="122">
        <v>3.1903915710000001</v>
      </c>
      <c r="J108" s="122">
        <v>2946.7366596139873</v>
      </c>
      <c r="K108" s="122">
        <v>840.46533599999998</v>
      </c>
      <c r="L108" s="122">
        <v>3787.2019949999999</v>
      </c>
      <c r="M108" s="122">
        <v>858.42718400000001</v>
      </c>
      <c r="N108" s="122">
        <v>38.327932529999998</v>
      </c>
      <c r="O108" s="122">
        <v>2967.1027439999998</v>
      </c>
      <c r="P108" s="123">
        <v>2915.7174660000001</v>
      </c>
      <c r="S108" s="124">
        <f>100*(C108/OBR_NOV23_1.1!C108)</f>
        <v>127.22772744600159</v>
      </c>
      <c r="T108" s="124">
        <f>100*(D108/OBR_NOV23_1.1!D108)</f>
        <v>120.87077965449022</v>
      </c>
      <c r="U108" s="124">
        <f>100*(E108/OBR_NOV23_1.1!E108)</f>
        <v>118.65058251869911</v>
      </c>
      <c r="V108" s="124">
        <f>100*(K108/OBR_NOV23_1.1!N108)</f>
        <v>119.52924993800961</v>
      </c>
      <c r="W108" s="124">
        <f>100*(M108/OBR_NOV23_1.1!P108)</f>
        <v>118.04654306286697</v>
      </c>
      <c r="X108" s="124">
        <f>100*(O108/OBR_NOV23_1.1!R108)</f>
        <v>124.81748675143113</v>
      </c>
      <c r="Z108" s="124">
        <f t="shared" si="4"/>
        <v>1.5685466506789147</v>
      </c>
      <c r="AA108" s="124">
        <f t="shared" si="4"/>
        <v>1.5693765812876626</v>
      </c>
      <c r="AB108" s="124">
        <f t="shared" si="4"/>
        <v>1.4066895326295681</v>
      </c>
      <c r="AC108" s="124">
        <f t="shared" si="4"/>
        <v>0.27879844754790106</v>
      </c>
      <c r="AD108" s="124">
        <f t="shared" si="4"/>
        <v>-2.7304638619418675E-2</v>
      </c>
      <c r="AE108" s="124">
        <f t="shared" si="4"/>
        <v>1.6263129806571408</v>
      </c>
    </row>
    <row r="109" spans="1:31" ht="15.75">
      <c r="A109" s="110"/>
      <c r="B109" s="129">
        <v>2027</v>
      </c>
      <c r="C109" s="122">
        <v>1919.814801</v>
      </c>
      <c r="D109" s="122">
        <v>625.79304553876875</v>
      </c>
      <c r="E109" s="122">
        <v>509.903794</v>
      </c>
      <c r="F109" s="122">
        <v>89.209992199999988</v>
      </c>
      <c r="G109" s="122">
        <v>-7.6671330900000001</v>
      </c>
      <c r="H109" s="122">
        <v>3047.844507448769</v>
      </c>
      <c r="I109" s="122">
        <v>3.2603675270000001</v>
      </c>
      <c r="J109" s="122">
        <v>3051.1048749757692</v>
      </c>
      <c r="K109" s="122">
        <v>851.61826600000006</v>
      </c>
      <c r="L109" s="122">
        <v>3902.7231400000001</v>
      </c>
      <c r="M109" s="122">
        <v>863.67055500000004</v>
      </c>
      <c r="N109" s="122">
        <v>38.994491150000002</v>
      </c>
      <c r="O109" s="122">
        <v>3078.0470770000002</v>
      </c>
      <c r="P109" s="123">
        <v>3026.7326129999997</v>
      </c>
      <c r="S109" s="124">
        <f>100*(C109/OBR_NOV23_1.1!C109)</f>
        <v>129.49746127944965</v>
      </c>
      <c r="T109" s="124">
        <f>100*(D109/OBR_NOV23_1.1!D109)</f>
        <v>122.69807131032124</v>
      </c>
      <c r="U109" s="124">
        <f>100*(E109/OBR_NOV23_1.1!E109)</f>
        <v>120.42100672642813</v>
      </c>
      <c r="V109" s="124">
        <f>100*(K109/OBR_NOV23_1.1!N109)</f>
        <v>120.35448130293535</v>
      </c>
      <c r="W109" s="124">
        <f>100*(M109/OBR_NOV23_1.1!P109)</f>
        <v>118.62824343246309</v>
      </c>
      <c r="X109" s="124">
        <f>100*(O109/OBR_NOV23_1.1!R109)</f>
        <v>126.98800211529819</v>
      </c>
      <c r="Z109" s="124">
        <f t="shared" si="4"/>
        <v>1.7839930642566726</v>
      </c>
      <c r="AA109" s="124">
        <f t="shared" si="4"/>
        <v>1.5117728710399181</v>
      </c>
      <c r="AB109" s="124">
        <f t="shared" si="4"/>
        <v>1.4921327566596698</v>
      </c>
      <c r="AC109" s="124">
        <f t="shared" si="4"/>
        <v>0.69040119079950557</v>
      </c>
      <c r="AD109" s="124">
        <f t="shared" si="4"/>
        <v>0.4927720494841914</v>
      </c>
      <c r="AE109" s="124">
        <f t="shared" si="4"/>
        <v>1.738951344365347</v>
      </c>
    </row>
    <row r="110" spans="1:31" ht="15.75">
      <c r="A110" s="110"/>
      <c r="B110" s="158">
        <v>2028</v>
      </c>
      <c r="C110" s="131">
        <v>1996.3669769999999</v>
      </c>
      <c r="D110" s="131">
        <v>645.90975858759612</v>
      </c>
      <c r="E110" s="131">
        <v>522.45103800000004</v>
      </c>
      <c r="F110" s="131">
        <v>89.264440800000017</v>
      </c>
      <c r="G110" s="131">
        <v>-7.7868254200000004</v>
      </c>
      <c r="H110" s="131">
        <v>3156.9409481675962</v>
      </c>
      <c r="I110" s="131">
        <v>3.9582124959999998</v>
      </c>
      <c r="J110" s="131">
        <v>3160.8991606635959</v>
      </c>
      <c r="K110" s="131">
        <v>864.38218099999995</v>
      </c>
      <c r="L110" s="131">
        <v>4025.28134</v>
      </c>
      <c r="M110" s="131">
        <v>875.04565700000001</v>
      </c>
      <c r="N110" s="131">
        <v>39.720043629999999</v>
      </c>
      <c r="O110" s="131">
        <v>3189.9557259999997</v>
      </c>
      <c r="P110" s="132">
        <v>3138.9667510000004</v>
      </c>
      <c r="S110" s="124">
        <f>100*(C110/OBR_NOV23_1.1!C110)</f>
        <v>132.05156422391298</v>
      </c>
      <c r="T110" s="124">
        <f>100*(D110/OBR_NOV23_1.1!D110)</f>
        <v>124.65088314049852</v>
      </c>
      <c r="U110" s="124">
        <f>100*(E110/OBR_NOV23_1.1!E110)</f>
        <v>122.30121763986644</v>
      </c>
      <c r="V110" s="124">
        <f>100*(K110/OBR_NOV23_1.1!N110)</f>
        <v>121.43307592198842</v>
      </c>
      <c r="W110" s="124">
        <f>100*(M110/OBR_NOV23_1.1!P110)</f>
        <v>119.54178003697986</v>
      </c>
      <c r="X110" s="124">
        <f>100*(O110/OBR_NOV23_1.1!R110)</f>
        <v>129.3506840536466</v>
      </c>
      <c r="Z110" s="124">
        <f t="shared" si="4"/>
        <v>1.9723189313740175</v>
      </c>
      <c r="AA110" s="124">
        <f t="shared" si="4"/>
        <v>1.5915587012271359</v>
      </c>
      <c r="AB110" s="124">
        <f t="shared" si="4"/>
        <v>1.5613645530382803</v>
      </c>
      <c r="AC110" s="124">
        <f t="shared" si="4"/>
        <v>0.89618151927239875</v>
      </c>
      <c r="AD110" s="124">
        <f t="shared" si="4"/>
        <v>0.77008356364718367</v>
      </c>
      <c r="AE110" s="124">
        <f t="shared" si="4"/>
        <v>1.8605552485212229</v>
      </c>
    </row>
    <row r="111" spans="1:31">
      <c r="B111" s="161" t="s">
        <v>196</v>
      </c>
      <c r="C111" s="122">
        <v>1007.591</v>
      </c>
      <c r="D111" s="122">
        <v>329.00599999999997</v>
      </c>
      <c r="E111" s="122">
        <v>275.10399999999998</v>
      </c>
      <c r="F111" s="122">
        <v>49.512</v>
      </c>
      <c r="G111" s="122">
        <v>0.81499999999999995</v>
      </c>
      <c r="H111" s="122">
        <v>1612.5160000000001</v>
      </c>
      <c r="I111" s="122">
        <v>-7.375</v>
      </c>
      <c r="J111" s="122">
        <v>1605.1410000000001</v>
      </c>
      <c r="K111" s="122">
        <v>437.01600000000002</v>
      </c>
      <c r="L111" s="122">
        <v>2042.1569999999999</v>
      </c>
      <c r="M111" s="122">
        <v>459.36599999999999</v>
      </c>
      <c r="N111" s="122">
        <v>0</v>
      </c>
      <c r="O111" s="122">
        <v>1582.7909999999999</v>
      </c>
      <c r="P111" s="123">
        <v>1555.396</v>
      </c>
      <c r="S111" s="124">
        <f>100*(C111/OBR_NOV23_1.1!C111)</f>
        <v>84.829480781017423</v>
      </c>
      <c r="T111" s="124">
        <f>100*(D111/OBR_NOV23_1.1!D111)</f>
        <v>87.191093419975132</v>
      </c>
      <c r="U111" s="124">
        <f>100*(E111/OBR_NOV23_1.1!E111)</f>
        <v>85.34034824311874</v>
      </c>
      <c r="V111" s="124">
        <f>100*(K111/OBR_NOV23_1.1!N111)</f>
        <v>80.437623550979382</v>
      </c>
      <c r="W111" s="124">
        <f>100*(M111/OBR_NOV23_1.1!P111)</f>
        <v>88.594153201698731</v>
      </c>
      <c r="X111" s="124">
        <f>100*(O111/OBR_NOV23_1.1!R111)</f>
        <v>83.434024386193983</v>
      </c>
    </row>
    <row r="112" spans="1:31">
      <c r="B112" s="160" t="s">
        <v>197</v>
      </c>
      <c r="C112" s="122">
        <v>997.11599999999999</v>
      </c>
      <c r="D112" s="122">
        <v>343.18900000000002</v>
      </c>
      <c r="E112" s="122">
        <v>248.499</v>
      </c>
      <c r="F112" s="122">
        <v>52.223999999999997</v>
      </c>
      <c r="G112" s="122">
        <v>0.85199999999999998</v>
      </c>
      <c r="H112" s="122">
        <v>1589.6559999999999</v>
      </c>
      <c r="I112" s="122">
        <v>-12.172000000000001</v>
      </c>
      <c r="J112" s="122">
        <v>1577.4839999999999</v>
      </c>
      <c r="K112" s="122">
        <v>423.39100000000002</v>
      </c>
      <c r="L112" s="122">
        <v>2000.875</v>
      </c>
      <c r="M112" s="122">
        <v>442.69900000000001</v>
      </c>
      <c r="N112" s="122">
        <v>0</v>
      </c>
      <c r="O112" s="122">
        <v>1558.1759999999999</v>
      </c>
      <c r="P112" s="155">
        <v>1552.2750000000001</v>
      </c>
      <c r="S112" s="124">
        <f>100*(C112/OBR_NOV23_1.1!C112)</f>
        <v>85.062479952500226</v>
      </c>
      <c r="T112" s="124">
        <f>100*(D112/OBR_NOV23_1.1!D112)</f>
        <v>90.11345942269871</v>
      </c>
      <c r="U112" s="124">
        <f>100*(E112/OBR_NOV23_1.1!E112)</f>
        <v>85.369322573663538</v>
      </c>
      <c r="V112" s="124">
        <f>100*(K112/OBR_NOV23_1.1!N112)</f>
        <v>82.775521854649043</v>
      </c>
      <c r="W112" s="124">
        <f>100*(M112/OBR_NOV23_1.1!P112)</f>
        <v>87.77666963420026</v>
      </c>
      <c r="X112" s="124">
        <f>100*(O112/OBR_NOV23_1.1!R112)</f>
        <v>84.579822011610759</v>
      </c>
    </row>
    <row r="113" spans="2:24">
      <c r="B113" s="160" t="s">
        <v>198</v>
      </c>
      <c r="C113" s="122">
        <v>1041.559</v>
      </c>
      <c r="D113" s="122">
        <v>348.93</v>
      </c>
      <c r="E113" s="122">
        <v>259.05200000000002</v>
      </c>
      <c r="F113" s="122">
        <v>51.427</v>
      </c>
      <c r="G113" s="122">
        <v>-1.093</v>
      </c>
      <c r="H113" s="122">
        <v>1648.4480000000001</v>
      </c>
      <c r="I113" s="122">
        <v>-1.7809999999999999</v>
      </c>
      <c r="J113" s="122">
        <v>1646.6669999999999</v>
      </c>
      <c r="K113" s="122">
        <v>482.20800000000003</v>
      </c>
      <c r="L113" s="122">
        <v>2128.875</v>
      </c>
      <c r="M113" s="122">
        <v>501.70299999999997</v>
      </c>
      <c r="N113" s="122">
        <v>0</v>
      </c>
      <c r="O113" s="122">
        <v>1627.172</v>
      </c>
      <c r="P113" s="155">
        <v>1629.4449999999999</v>
      </c>
      <c r="S113" s="124">
        <f>100*(C113/OBR_NOV23_1.1!C113)</f>
        <v>86.832836042381018</v>
      </c>
      <c r="T113" s="124">
        <f>100*(D113/OBR_NOV23_1.1!D113)</f>
        <v>91.290834026654949</v>
      </c>
      <c r="U113" s="124">
        <f>100*(E113/OBR_NOV23_1.1!E113)</f>
        <v>84.708452141156783</v>
      </c>
      <c r="V113" s="124">
        <f>100*(K113/OBR_NOV23_1.1!N113)</f>
        <v>86.872741292152043</v>
      </c>
      <c r="W113" s="124">
        <f>100*(M113/OBR_NOV23_1.1!P113)</f>
        <v>91.679123160306844</v>
      </c>
      <c r="X113" s="124">
        <f>100*(O113/OBR_NOV23_1.1!R113)</f>
        <v>86.174185853886911</v>
      </c>
    </row>
    <row r="114" spans="2:24">
      <c r="B114" s="160" t="s">
        <v>199</v>
      </c>
      <c r="C114" s="122">
        <v>1069.4059999999999</v>
      </c>
      <c r="D114" s="122">
        <v>348.529</v>
      </c>
      <c r="E114" s="122">
        <v>265.089</v>
      </c>
      <c r="F114" s="122">
        <v>46.627000000000002</v>
      </c>
      <c r="G114" s="122">
        <v>1.2789999999999999</v>
      </c>
      <c r="H114" s="122">
        <v>1684.3030000000001</v>
      </c>
      <c r="I114" s="122">
        <v>2.4830000000000001</v>
      </c>
      <c r="J114" s="122">
        <v>1686.7860000000001</v>
      </c>
      <c r="K114" s="122">
        <v>529.02800000000002</v>
      </c>
      <c r="L114" s="122">
        <v>2215.8139999999999</v>
      </c>
      <c r="M114" s="122">
        <v>543.25199999999995</v>
      </c>
      <c r="N114" s="122">
        <v>0</v>
      </c>
      <c r="O114" s="122">
        <v>1672.5619999999999</v>
      </c>
      <c r="P114" s="155">
        <v>1675.3150000000001</v>
      </c>
      <c r="S114" s="124">
        <f>100*(C114/OBR_NOV23_1.1!C114)</f>
        <v>89.706613875339201</v>
      </c>
      <c r="T114" s="124">
        <f>100*(D114/OBR_NOV23_1.1!D114)</f>
        <v>91.123219192587342</v>
      </c>
      <c r="U114" s="124">
        <f>100*(E114/OBR_NOV23_1.1!E114)</f>
        <v>86.043552632860198</v>
      </c>
      <c r="V114" s="124">
        <f>100*(K114/OBR_NOV23_1.1!N114)</f>
        <v>90.648608728879069</v>
      </c>
      <c r="W114" s="124">
        <f>100*(M114/OBR_NOV23_1.1!P114)</f>
        <v>96.568176081399599</v>
      </c>
      <c r="X114" s="124">
        <f>100*(O114/OBR_NOV23_1.1!R114)</f>
        <v>87.69316029191171</v>
      </c>
    </row>
    <row r="115" spans="2:24">
      <c r="B115" s="160" t="s">
        <v>200</v>
      </c>
      <c r="C115" s="122">
        <v>1113.172</v>
      </c>
      <c r="D115" s="122">
        <v>354.13799999999998</v>
      </c>
      <c r="E115" s="122">
        <v>269.37200000000001</v>
      </c>
      <c r="F115" s="122">
        <v>43.658000000000001</v>
      </c>
      <c r="G115" s="122">
        <v>2.3690000000000002</v>
      </c>
      <c r="H115" s="122">
        <v>1739.0509999999999</v>
      </c>
      <c r="I115" s="122">
        <v>6.2619999999999996</v>
      </c>
      <c r="J115" s="122">
        <v>1745.3130000000001</v>
      </c>
      <c r="K115" s="122">
        <v>524.29700000000003</v>
      </c>
      <c r="L115" s="122">
        <v>2269.61</v>
      </c>
      <c r="M115" s="122">
        <v>542.49599999999998</v>
      </c>
      <c r="N115" s="122">
        <v>0</v>
      </c>
      <c r="O115" s="122">
        <v>1727.114</v>
      </c>
      <c r="P115" s="155">
        <v>1702.7670000000001</v>
      </c>
      <c r="S115" s="124">
        <f>100*(C115/OBR_NOV23_1.1!C115)</f>
        <v>91.280343154499064</v>
      </c>
      <c r="T115" s="124">
        <f>100*(D115/OBR_NOV23_1.1!D115)</f>
        <v>92.256111539503564</v>
      </c>
      <c r="U115" s="124">
        <f>100*(E115/OBR_NOV23_1.1!E115)</f>
        <v>87.384108323439165</v>
      </c>
      <c r="V115" s="124">
        <f>100*(K115/OBR_NOV23_1.1!N115)</f>
        <v>90.586422152765905</v>
      </c>
      <c r="W115" s="124">
        <f>100*(M115/OBR_NOV23_1.1!P115)</f>
        <v>95.21984097730504</v>
      </c>
      <c r="X115" s="124">
        <f>100*(O115/OBR_NOV23_1.1!R115)</f>
        <v>89.302411678143699</v>
      </c>
    </row>
    <row r="116" spans="2:24">
      <c r="B116" s="160" t="s">
        <v>201</v>
      </c>
      <c r="C116" s="122">
        <v>1164.913</v>
      </c>
      <c r="D116" s="122">
        <v>362.06900000000002</v>
      </c>
      <c r="E116" s="122">
        <v>292.68</v>
      </c>
      <c r="F116" s="122">
        <v>45.911999999999999</v>
      </c>
      <c r="G116" s="122">
        <v>7.7450000000000001</v>
      </c>
      <c r="H116" s="122">
        <v>1827.4069999999999</v>
      </c>
      <c r="I116" s="122">
        <v>4.4349999999999996</v>
      </c>
      <c r="J116" s="122">
        <v>1831.8420000000001</v>
      </c>
      <c r="K116" s="122">
        <v>536.09100000000001</v>
      </c>
      <c r="L116" s="122">
        <v>2367.933</v>
      </c>
      <c r="M116" s="122">
        <v>566.68299999999999</v>
      </c>
      <c r="N116" s="122">
        <v>0</v>
      </c>
      <c r="O116" s="122">
        <v>1801.25</v>
      </c>
      <c r="P116" s="155">
        <v>1774.7</v>
      </c>
      <c r="S116" s="124">
        <f>100*(C116/OBR_NOV23_1.1!C116)</f>
        <v>93.114376974332075</v>
      </c>
      <c r="T116" s="124">
        <f>100*(D116/OBR_NOV23_1.1!D116)</f>
        <v>92.847966068227691</v>
      </c>
      <c r="U116" s="124">
        <f>100*(E116/OBR_NOV23_1.1!E116)</f>
        <v>89.172440268358216</v>
      </c>
      <c r="V116" s="124">
        <f>100*(K116/OBR_NOV23_1.1!N116)</f>
        <v>91.966952413465378</v>
      </c>
      <c r="W116" s="124">
        <f>100*(M116/OBR_NOV23_1.1!P116)</f>
        <v>94.974910586492271</v>
      </c>
      <c r="X116" s="124">
        <f>100*(O116/OBR_NOV23_1.1!R116)</f>
        <v>91.020490664241137</v>
      </c>
    </row>
    <row r="117" spans="2:24">
      <c r="B117" s="160" t="s">
        <v>202</v>
      </c>
      <c r="C117" s="122">
        <v>1207.424</v>
      </c>
      <c r="D117" s="122">
        <v>370.79199999999997</v>
      </c>
      <c r="E117" s="122">
        <v>315.03500000000003</v>
      </c>
      <c r="F117" s="122">
        <v>50.625999999999998</v>
      </c>
      <c r="G117" s="122">
        <v>7.1689999999999996</v>
      </c>
      <c r="H117" s="122">
        <v>1900.42</v>
      </c>
      <c r="I117" s="122">
        <v>18.933</v>
      </c>
      <c r="J117" s="122">
        <v>1919.3530000000001</v>
      </c>
      <c r="K117" s="122">
        <v>533.25</v>
      </c>
      <c r="L117" s="122">
        <v>2452.6030000000001</v>
      </c>
      <c r="M117" s="122">
        <v>573.34299999999996</v>
      </c>
      <c r="N117" s="122">
        <v>0</v>
      </c>
      <c r="O117" s="122">
        <v>1879.26</v>
      </c>
      <c r="P117" s="155">
        <v>1841.848</v>
      </c>
      <c r="S117" s="124">
        <f>100*(C117/OBR_NOV23_1.1!C117)</f>
        <v>93.883320762932613</v>
      </c>
      <c r="T117" s="124">
        <f>100*(D117/OBR_NOV23_1.1!D117)</f>
        <v>93.212064535915573</v>
      </c>
      <c r="U117" s="124">
        <f>100*(E117/OBR_NOV23_1.1!E117)</f>
        <v>90.175665579908227</v>
      </c>
      <c r="V117" s="124">
        <f>100*(K117/OBR_NOV23_1.1!N117)</f>
        <v>89.386888917199173</v>
      </c>
      <c r="W117" s="124">
        <f>100*(M117/OBR_NOV23_1.1!P117)</f>
        <v>90.50645400113342</v>
      </c>
      <c r="X117" s="124">
        <f>100*(O117/OBR_NOV23_1.1!R117)</f>
        <v>92.126730017295273</v>
      </c>
    </row>
    <row r="118" spans="2:24">
      <c r="B118" s="160" t="s">
        <v>203</v>
      </c>
      <c r="C118" s="122">
        <v>1241.4490000000001</v>
      </c>
      <c r="D118" s="122">
        <v>376.40199999999999</v>
      </c>
      <c r="E118" s="122">
        <v>337.15499999999997</v>
      </c>
      <c r="F118" s="122">
        <v>51.402000000000001</v>
      </c>
      <c r="G118" s="122">
        <v>-0.86599999999999999</v>
      </c>
      <c r="H118" s="122">
        <v>1954.14</v>
      </c>
      <c r="I118" s="122">
        <v>3.2320000000000002</v>
      </c>
      <c r="J118" s="122">
        <v>1957.3720000000001</v>
      </c>
      <c r="K118" s="122">
        <v>536.70100000000002</v>
      </c>
      <c r="L118" s="122">
        <v>2494.0729999999999</v>
      </c>
      <c r="M118" s="122">
        <v>562.63</v>
      </c>
      <c r="N118" s="122">
        <v>0</v>
      </c>
      <c r="O118" s="122">
        <v>1931.443</v>
      </c>
      <c r="P118" s="155">
        <v>1884.8879999999999</v>
      </c>
      <c r="S118" s="124">
        <f>100*(C118/OBR_NOV23_1.1!C118)</f>
        <v>93.767296490549626</v>
      </c>
      <c r="T118" s="124">
        <f>100*(D118/OBR_NOV23_1.1!D118)</f>
        <v>93.224192589657221</v>
      </c>
      <c r="U118" s="124">
        <f>100*(E118/OBR_NOV23_1.1!E118)</f>
        <v>90.864867632751285</v>
      </c>
      <c r="V118" s="124">
        <f>100*(K118/OBR_NOV23_1.1!N118)</f>
        <v>87.111654306800617</v>
      </c>
      <c r="W118" s="124">
        <f>100*(M118/OBR_NOV23_1.1!P118)</f>
        <v>86.357182873763463</v>
      </c>
      <c r="X118" s="124">
        <f>100*(O118/OBR_NOV23_1.1!R118)</f>
        <v>92.789850129040076</v>
      </c>
    </row>
    <row r="119" spans="2:24">
      <c r="B119" s="160" t="s">
        <v>204</v>
      </c>
      <c r="C119" s="122">
        <v>1302.6590000000001</v>
      </c>
      <c r="D119" s="122">
        <v>384.46899999999999</v>
      </c>
      <c r="E119" s="122">
        <v>363.12599999999998</v>
      </c>
      <c r="F119" s="122">
        <v>51.719000000000001</v>
      </c>
      <c r="G119" s="122">
        <v>7.0999999999999994E-2</v>
      </c>
      <c r="H119" s="122">
        <v>2050.3249999999998</v>
      </c>
      <c r="I119" s="122">
        <v>2.36</v>
      </c>
      <c r="J119" s="122">
        <v>2052.6849999999999</v>
      </c>
      <c r="K119" s="122">
        <v>597.00099999999998</v>
      </c>
      <c r="L119" s="122">
        <v>2649.6860000000001</v>
      </c>
      <c r="M119" s="122">
        <v>633.84500000000003</v>
      </c>
      <c r="N119" s="122">
        <v>0</v>
      </c>
      <c r="O119" s="122">
        <v>2015.8409999999999</v>
      </c>
      <c r="P119" s="155">
        <v>1979.375</v>
      </c>
      <c r="S119" s="124">
        <f>100*(C119/OBR_NOV23_1.1!C119)</f>
        <v>95.18360338308095</v>
      </c>
      <c r="T119" s="124">
        <f>100*(D119/OBR_NOV23_1.1!D119)</f>
        <v>94.891020783919799</v>
      </c>
      <c r="U119" s="124">
        <f>100*(E119/OBR_NOV23_1.1!E119)</f>
        <v>92.998586297328302</v>
      </c>
      <c r="V119" s="124">
        <f>100*(K119/OBR_NOV23_1.1!N119)</f>
        <v>93.481075985738286</v>
      </c>
      <c r="W119" s="124">
        <f>100*(M119/OBR_NOV23_1.1!P119)</f>
        <v>93.079451137491702</v>
      </c>
      <c r="X119" s="124">
        <f>100*(O119/OBR_NOV23_1.1!R119)</f>
        <v>94.902853430377888</v>
      </c>
    </row>
    <row r="120" spans="2:24">
      <c r="B120" s="160" t="s">
        <v>205</v>
      </c>
      <c r="C120" s="122">
        <v>1351.001</v>
      </c>
      <c r="D120" s="122">
        <v>390.245</v>
      </c>
      <c r="E120" s="122">
        <v>383.32799999999997</v>
      </c>
      <c r="F120" s="122">
        <v>58.795999999999999</v>
      </c>
      <c r="G120" s="122">
        <v>1.7270000000000001</v>
      </c>
      <c r="H120" s="122">
        <v>2126.3009999999999</v>
      </c>
      <c r="I120" s="122">
        <v>1.9590000000000001</v>
      </c>
      <c r="J120" s="122">
        <v>2128.2600000000002</v>
      </c>
      <c r="K120" s="122">
        <v>650.89400000000001</v>
      </c>
      <c r="L120" s="122">
        <v>2779.154</v>
      </c>
      <c r="M120" s="122">
        <v>679.33199999999999</v>
      </c>
      <c r="N120" s="122">
        <v>0</v>
      </c>
      <c r="O120" s="122">
        <v>2099.8220000000001</v>
      </c>
      <c r="P120" s="155">
        <v>2073.2809999999999</v>
      </c>
      <c r="S120" s="124">
        <f>100*(C120/OBR_NOV23_1.1!C120)</f>
        <v>97.068616180485705</v>
      </c>
      <c r="T120" s="124">
        <f>100*(D120/OBR_NOV23_1.1!D120)</f>
        <v>95.605636701275415</v>
      </c>
      <c r="U120" s="124">
        <f>100*(E120/OBR_NOV23_1.1!E120)</f>
        <v>95.580384637441924</v>
      </c>
      <c r="V120" s="124">
        <f>100*(K120/OBR_NOV23_1.1!N120)</f>
        <v>95.693671574645151</v>
      </c>
      <c r="W120" s="124">
        <f>100*(M120/OBR_NOV23_1.1!P120)</f>
        <v>96.741862488625202</v>
      </c>
      <c r="X120" s="124">
        <f>100*(O120/OBR_NOV23_1.1!R120)</f>
        <v>96.386795358536503</v>
      </c>
    </row>
    <row r="121" spans="2:24">
      <c r="B121" s="160" t="s">
        <v>206</v>
      </c>
      <c r="C121" s="122">
        <v>1402.6949999999999</v>
      </c>
      <c r="D121" s="122">
        <v>403.10500000000002</v>
      </c>
      <c r="E121" s="122">
        <v>392.48899999999998</v>
      </c>
      <c r="F121" s="122">
        <v>59.887999999999998</v>
      </c>
      <c r="G121" s="122">
        <v>14.068</v>
      </c>
      <c r="H121" s="122">
        <v>2212.357</v>
      </c>
      <c r="I121" s="122">
        <v>7.1260000000000003</v>
      </c>
      <c r="J121" s="122">
        <v>2219.4830000000002</v>
      </c>
      <c r="K121" s="122">
        <v>684.73599999999999</v>
      </c>
      <c r="L121" s="122">
        <v>2904.2190000000001</v>
      </c>
      <c r="M121" s="122">
        <v>733.78700000000003</v>
      </c>
      <c r="N121" s="122">
        <v>0</v>
      </c>
      <c r="O121" s="122">
        <v>2170.4319999999998</v>
      </c>
      <c r="P121" s="155">
        <v>2149.1370000000002</v>
      </c>
      <c r="S121" s="124">
        <f>100*(C121/OBR_NOV23_1.1!C121)</f>
        <v>98.888931971758012</v>
      </c>
      <c r="T121" s="124">
        <f>100*(D121/OBR_NOV23_1.1!D121)</f>
        <v>97.474307822512401</v>
      </c>
      <c r="U121" s="124">
        <f>100*(E121/OBR_NOV23_1.1!E121)</f>
        <v>98.229074118103426</v>
      </c>
      <c r="V121" s="124">
        <f>100*(K121/OBR_NOV23_1.1!N121)</f>
        <v>98.850866758289342</v>
      </c>
      <c r="W121" s="124">
        <f>100*(M121/OBR_NOV23_1.1!P121)</f>
        <v>99.139371781932752</v>
      </c>
      <c r="X121" s="124">
        <f>100*(O121/OBR_NOV23_1.1!R121)</f>
        <v>98.419167693740604</v>
      </c>
    </row>
    <row r="122" spans="2:24">
      <c r="B122" s="160" t="s">
        <v>207</v>
      </c>
      <c r="C122" s="122">
        <v>1419.3430000000001</v>
      </c>
      <c r="D122" s="122">
        <v>432.7</v>
      </c>
      <c r="E122" s="122">
        <v>403.35500000000002</v>
      </c>
      <c r="F122" s="122">
        <v>61.6</v>
      </c>
      <c r="G122" s="122">
        <v>-7.7439999999999998</v>
      </c>
      <c r="H122" s="122">
        <v>2247.654</v>
      </c>
      <c r="I122" s="122">
        <v>-6.0620000000000003</v>
      </c>
      <c r="J122" s="122">
        <v>2241.5920000000001</v>
      </c>
      <c r="K122" s="122">
        <v>708.19399999999996</v>
      </c>
      <c r="L122" s="122">
        <v>2949.7860000000001</v>
      </c>
      <c r="M122" s="122">
        <v>709.08</v>
      </c>
      <c r="N122" s="122">
        <v>0</v>
      </c>
      <c r="O122" s="122">
        <v>2240.7060000000001</v>
      </c>
      <c r="P122" s="155">
        <v>2230.23</v>
      </c>
      <c r="S122" s="124">
        <f>100*(C122/OBR_NOV23_1.1!C122)</f>
        <v>100.19122793890307</v>
      </c>
      <c r="T122" s="124">
        <f>100*(D122/OBR_NOV23_1.1!D122)</f>
        <v>101.83524671571327</v>
      </c>
      <c r="U122" s="124">
        <f>100*(E122/OBR_NOV23_1.1!E122)</f>
        <v>100.45976553452103</v>
      </c>
      <c r="V122" s="124">
        <f>100*(K122/OBR_NOV23_1.1!N122)</f>
        <v>100.3848449067938</v>
      </c>
      <c r="W122" s="124">
        <f>100*(M122/OBR_NOV23_1.1!P122)</f>
        <v>99.981246818656743</v>
      </c>
      <c r="X122" s="124">
        <f>100*(O122/OBR_NOV23_1.1!R122)</f>
        <v>100.73409318654167</v>
      </c>
    </row>
    <row r="123" spans="2:24">
      <c r="B123" s="160" t="s">
        <v>208</v>
      </c>
      <c r="C123" s="122">
        <v>1206.5139999999999</v>
      </c>
      <c r="D123" s="122">
        <v>495.81599999999997</v>
      </c>
      <c r="E123" s="122">
        <v>364.42399999999998</v>
      </c>
      <c r="F123" s="122">
        <v>68.953000000000003</v>
      </c>
      <c r="G123" s="122">
        <v>8.7620000000000005</v>
      </c>
      <c r="H123" s="122">
        <v>2075.5160000000001</v>
      </c>
      <c r="I123" s="122">
        <v>1.645</v>
      </c>
      <c r="J123" s="122">
        <v>2077.1610000000001</v>
      </c>
      <c r="K123" s="122">
        <v>609.74300000000005</v>
      </c>
      <c r="L123" s="122">
        <v>2686.904</v>
      </c>
      <c r="M123" s="122">
        <v>600.78300000000002</v>
      </c>
      <c r="N123" s="122">
        <v>0</v>
      </c>
      <c r="O123" s="122">
        <v>2086.1210000000001</v>
      </c>
      <c r="P123" s="155">
        <v>2049.4070000000002</v>
      </c>
      <c r="S123" s="124">
        <f>100*(C123/OBR_NOV23_1.1!C123)</f>
        <v>101.0268360671249</v>
      </c>
      <c r="T123" s="124">
        <f>100*(D123/OBR_NOV23_1.1!D123)</f>
        <v>125.44142165730143</v>
      </c>
      <c r="U123" s="124">
        <f>100*(E123/OBR_NOV23_1.1!E123)</f>
        <v>101.44219929128751</v>
      </c>
      <c r="V123" s="124">
        <f>100*(K123/OBR_NOV23_1.1!N123)</f>
        <v>99.952953133452468</v>
      </c>
      <c r="W123" s="124">
        <f>100*(M123/OBR_NOV23_1.1!P123)</f>
        <v>99.183626974483602</v>
      </c>
      <c r="X123" s="124">
        <f>100*(O123/OBR_NOV23_1.1!R123)</f>
        <v>106.10166146785119</v>
      </c>
    </row>
    <row r="124" spans="2:24">
      <c r="B124" s="160" t="s">
        <v>33</v>
      </c>
      <c r="C124" s="122">
        <v>1436.3430000000001</v>
      </c>
      <c r="D124" s="122">
        <v>512.53700000000003</v>
      </c>
      <c r="E124" s="122">
        <v>419.95100000000002</v>
      </c>
      <c r="F124" s="122">
        <v>73.122</v>
      </c>
      <c r="G124" s="122">
        <v>8.2949999999999999</v>
      </c>
      <c r="H124" s="122">
        <v>2377.1260000000002</v>
      </c>
      <c r="I124" s="122">
        <v>8.016</v>
      </c>
      <c r="J124" s="122">
        <v>2385.1419999999998</v>
      </c>
      <c r="K124" s="122">
        <v>698.16600000000005</v>
      </c>
      <c r="L124" s="122">
        <v>3083.308</v>
      </c>
      <c r="M124" s="122">
        <v>735.4</v>
      </c>
      <c r="N124" s="122">
        <v>6.976</v>
      </c>
      <c r="O124" s="122">
        <v>2354.884</v>
      </c>
      <c r="P124" s="155">
        <v>2361.4189999999999</v>
      </c>
      <c r="S124" s="124">
        <f>100*(C124/OBR_NOV23_1.1!C124)</f>
        <v>104.0438473412497</v>
      </c>
      <c r="T124" s="124">
        <f>100*(D124/OBR_NOV23_1.1!D124)</f>
        <v>110.7127659344671</v>
      </c>
      <c r="U124" s="124">
        <f>100*(E124/OBR_NOV23_1.1!E124)</f>
        <v>104.90435104092248</v>
      </c>
      <c r="V124" s="124">
        <f>100*(K124/OBR_NOV23_1.1!N124)</f>
        <v>105.18651100353904</v>
      </c>
      <c r="W124" s="124">
        <f>100*(M124/OBR_NOV23_1.1!P124)</f>
        <v>106.53462592641954</v>
      </c>
      <c r="X124" s="124">
        <f>100*(O124/OBR_NOV23_1.1!R124)</f>
        <v>105.39628718255358</v>
      </c>
    </row>
    <row r="125" spans="2:24">
      <c r="B125" s="160" t="s">
        <v>5</v>
      </c>
      <c r="C125" s="122">
        <v>1587.9849999999999</v>
      </c>
      <c r="D125" s="122">
        <v>524.95500000000004</v>
      </c>
      <c r="E125" s="122">
        <v>470.22</v>
      </c>
      <c r="F125" s="122">
        <v>80.569999999999993</v>
      </c>
      <c r="G125" s="122">
        <v>-34.213000000000001</v>
      </c>
      <c r="H125" s="122">
        <v>2548.9470000000001</v>
      </c>
      <c r="I125" s="122">
        <v>15.532</v>
      </c>
      <c r="J125" s="122">
        <v>2564.4789999999998</v>
      </c>
      <c r="K125" s="122">
        <v>872.75400000000002</v>
      </c>
      <c r="L125" s="122">
        <v>3437.2330000000002</v>
      </c>
      <c r="M125" s="122">
        <v>914.46</v>
      </c>
      <c r="N125" s="122">
        <v>32.908999999999999</v>
      </c>
      <c r="O125" s="122">
        <v>2555.6819999999998</v>
      </c>
      <c r="P125" s="155">
        <v>2571.8649999999998</v>
      </c>
      <c r="S125" s="124">
        <f>100*(C125/OBR_NOV23_1.1!C125)</f>
        <v>113.40651979383813</v>
      </c>
      <c r="T125" s="124">
        <f>100*(D125/OBR_NOV23_1.1!D125)</f>
        <v>114.3448675446201</v>
      </c>
      <c r="U125" s="124">
        <f>100*(E125/OBR_NOV23_1.1!E125)</f>
        <v>110.73510191105302</v>
      </c>
      <c r="V125" s="124">
        <f>100*(K125/OBR_NOV23_1.1!N125)</f>
        <v>119.75613906056184</v>
      </c>
      <c r="W125" s="124">
        <f>100*(M125/OBR_NOV23_1.1!P125)</f>
        <v>122.6527962573501</v>
      </c>
      <c r="X125" s="124">
        <f>100*(O125/OBR_NOV23_1.1!R125)</f>
        <v>112.41702934027273</v>
      </c>
    </row>
    <row r="126" spans="2:24">
      <c r="B126" s="160" t="s">
        <v>6</v>
      </c>
      <c r="C126" s="122">
        <v>1691.780628</v>
      </c>
      <c r="D126" s="122">
        <v>566.26737511913041</v>
      </c>
      <c r="E126" s="122">
        <v>484.56919699999997</v>
      </c>
      <c r="F126" s="122">
        <v>90.77175579999998</v>
      </c>
      <c r="G126" s="122">
        <v>-9.0642326400000002</v>
      </c>
      <c r="H126" s="122">
        <v>2733.5529674791301</v>
      </c>
      <c r="I126" s="122">
        <v>-2.0377897090000001</v>
      </c>
      <c r="J126" s="122">
        <v>2731.5151777701303</v>
      </c>
      <c r="K126" s="122">
        <v>844.88174399999991</v>
      </c>
      <c r="L126" s="122">
        <v>3576.3969200000001</v>
      </c>
      <c r="M126" s="122">
        <v>886.76086099999998</v>
      </c>
      <c r="N126" s="122">
        <v>36.622581519999997</v>
      </c>
      <c r="O126" s="122">
        <v>2726.2586419999998</v>
      </c>
      <c r="P126" s="155">
        <v>2675.7614920000001</v>
      </c>
      <c r="S126" s="124">
        <f>100*(C126/OBR_NOV23_1.1!C126)</f>
        <v>120.1218988948898</v>
      </c>
      <c r="T126" s="124">
        <f>100*(D126/OBR_NOV23_1.1!D126)</f>
        <v>119.91654325558667</v>
      </c>
      <c r="U126" s="124">
        <f>100*(E126/OBR_NOV23_1.1!E126)</f>
        <v>113.73624868931178</v>
      </c>
      <c r="V126" s="124">
        <f>100*(K126/OBR_NOV23_1.1!N126)</f>
        <v>120.57109426668133</v>
      </c>
      <c r="W126" s="124">
        <f>100*(M126/OBR_NOV23_1.1!P126)</f>
        <v>119.42298229055778</v>
      </c>
      <c r="X126" s="124">
        <f>100*(O126/OBR_NOV23_1.1!R126)</f>
        <v>119.26147906868488</v>
      </c>
    </row>
    <row r="127" spans="2:24">
      <c r="B127" s="160" t="s">
        <v>7</v>
      </c>
      <c r="C127" s="122">
        <v>1752.244938</v>
      </c>
      <c r="D127" s="122">
        <v>575.42991931445329</v>
      </c>
      <c r="E127" s="122">
        <v>472.07939799999991</v>
      </c>
      <c r="F127" s="122">
        <v>90.965772200000004</v>
      </c>
      <c r="G127" s="122">
        <v>-7.3699402799999998</v>
      </c>
      <c r="H127" s="122">
        <v>2792.3843150344533</v>
      </c>
      <c r="I127" s="122">
        <v>3.2345463750000003</v>
      </c>
      <c r="J127" s="122">
        <v>2795.6188614094531</v>
      </c>
      <c r="K127" s="122">
        <v>832.155168</v>
      </c>
      <c r="L127" s="122">
        <v>3627.7740290000002</v>
      </c>
      <c r="M127" s="122">
        <v>868.4346240000001</v>
      </c>
      <c r="N127" s="122">
        <v>37.235004660000001</v>
      </c>
      <c r="O127" s="122">
        <v>2796.5744110000005</v>
      </c>
      <c r="P127" s="155">
        <v>2745.2659170000002</v>
      </c>
      <c r="S127" s="124">
        <f>100*(C127/OBR_NOV23_1.1!C127)</f>
        <v>123.62778681445594</v>
      </c>
      <c r="T127" s="124">
        <f>100*(D127/OBR_NOV23_1.1!D127)</f>
        <v>118.02531583476869</v>
      </c>
      <c r="U127" s="124">
        <f>100*(E127/OBR_NOV23_1.1!E127)</f>
        <v>115.74985589308294</v>
      </c>
      <c r="V127" s="124">
        <f>100*(K127/OBR_NOV23_1.1!N127)</f>
        <v>119.28893676790038</v>
      </c>
      <c r="W127" s="124">
        <f>100*(M127/OBR_NOV23_1.1!P127)</f>
        <v>118.54966850170463</v>
      </c>
      <c r="X127" s="124">
        <f>100*(O127/OBR_NOV23_1.1!R127)</f>
        <v>121.25702295089151</v>
      </c>
    </row>
    <row r="128" spans="2:24">
      <c r="B128" s="160" t="s">
        <v>8</v>
      </c>
      <c r="C128" s="122">
        <v>1802.8365240000001</v>
      </c>
      <c r="D128" s="122">
        <v>593.40105735057523</v>
      </c>
      <c r="E128" s="122">
        <v>482.82971299999997</v>
      </c>
      <c r="F128" s="122">
        <v>88.478785299999984</v>
      </c>
      <c r="G128" s="122">
        <v>-7.4752456499999997</v>
      </c>
      <c r="H128" s="122">
        <v>2871.5920487005747</v>
      </c>
      <c r="I128" s="122">
        <v>2.79514386</v>
      </c>
      <c r="J128" s="122">
        <v>2874.3871925605749</v>
      </c>
      <c r="K128" s="122">
        <v>834.72273700000005</v>
      </c>
      <c r="L128" s="122">
        <v>3709.1099300000001</v>
      </c>
      <c r="M128" s="122">
        <v>859.12472700000012</v>
      </c>
      <c r="N128" s="122">
        <v>37.87249336</v>
      </c>
      <c r="O128" s="122">
        <v>2887.8576959999996</v>
      </c>
      <c r="P128" s="155">
        <v>2838.1687240000006</v>
      </c>
      <c r="S128" s="124">
        <f>100*(C128/OBR_NOV23_1.1!C128)</f>
        <v>125.74694075480164</v>
      </c>
      <c r="T128" s="124">
        <f>100*(D128/OBR_NOV23_1.1!D128)</f>
        <v>119.48645252180144</v>
      </c>
      <c r="U128" s="124">
        <f>100*(E128/OBR_NOV23_1.1!E128)</f>
        <v>117.40942580044202</v>
      </c>
      <c r="V128" s="124">
        <f>100*(K128/OBR_NOV23_1.1!N128)</f>
        <v>119.2363654937286</v>
      </c>
      <c r="W128" s="124">
        <f>100*(M128/OBR_NOV23_1.1!P128)</f>
        <v>118.0071612221644</v>
      </c>
      <c r="X128" s="124">
        <f>100*(O128/OBR_NOV23_1.1!R128)</f>
        <v>123.33389493053026</v>
      </c>
    </row>
    <row r="129" spans="2:24">
      <c r="B129" s="160" t="s">
        <v>9</v>
      </c>
      <c r="C129" s="122">
        <v>1864.53721</v>
      </c>
      <c r="D129" s="122">
        <v>611.91246455776854</v>
      </c>
      <c r="E129" s="122">
        <v>500.13948399999998</v>
      </c>
      <c r="F129" s="122">
        <v>88.614753899999997</v>
      </c>
      <c r="G129" s="122">
        <v>-7.5816365100000001</v>
      </c>
      <c r="H129" s="122">
        <v>2969.0075220477684</v>
      </c>
      <c r="I129" s="122">
        <v>3.3625081830000001</v>
      </c>
      <c r="J129" s="122">
        <v>2972.3700302307684</v>
      </c>
      <c r="K129" s="122">
        <v>842.87630899999999</v>
      </c>
      <c r="L129" s="122">
        <v>3815.2463389999998</v>
      </c>
      <c r="M129" s="122">
        <v>858.96605899999997</v>
      </c>
      <c r="N129" s="122">
        <v>38.487723540000005</v>
      </c>
      <c r="O129" s="122">
        <v>2994.7680030000006</v>
      </c>
      <c r="P129" s="155">
        <v>2942.8314690000007</v>
      </c>
      <c r="S129" s="124">
        <f>100*(C129/OBR_NOV23_1.1!C129)</f>
        <v>127.75886412178048</v>
      </c>
      <c r="T129" s="124">
        <f>100*(D129/OBR_NOV23_1.1!D129)</f>
        <v>121.3322520999438</v>
      </c>
      <c r="U129" s="124">
        <f>100*(E129/OBR_NOV23_1.1!E129)</f>
        <v>119.07897923705248</v>
      </c>
      <c r="V129" s="124">
        <f>100*(K129/OBR_NOV23_1.1!N129)</f>
        <v>119.68724706883374</v>
      </c>
      <c r="W129" s="124">
        <f>100*(M129/OBR_NOV23_1.1!P129)</f>
        <v>118.1223118740379</v>
      </c>
      <c r="X129" s="124">
        <f>100*(O129/OBR_NOV23_1.1!R129)</f>
        <v>125.33788897256979</v>
      </c>
    </row>
    <row r="130" spans="2:24">
      <c r="B130" s="160" t="s">
        <v>10</v>
      </c>
      <c r="C130" s="122">
        <v>1938.7172090000001</v>
      </c>
      <c r="D130" s="122">
        <v>630.58557418715475</v>
      </c>
      <c r="E130" s="122">
        <v>512.91190400000005</v>
      </c>
      <c r="F130" s="122">
        <v>89.272381899999999</v>
      </c>
      <c r="G130" s="122">
        <v>-7.6967091200000004</v>
      </c>
      <c r="H130" s="122">
        <v>3074.5179780671551</v>
      </c>
      <c r="I130" s="122">
        <v>3.3826710039999996</v>
      </c>
      <c r="J130" s="122">
        <v>3077.9006490711549</v>
      </c>
      <c r="K130" s="122">
        <v>854.80474400000003</v>
      </c>
      <c r="L130" s="122">
        <v>3932.705391</v>
      </c>
      <c r="M130" s="122">
        <v>866.07229300000006</v>
      </c>
      <c r="N130" s="122">
        <v>39.170645149999999</v>
      </c>
      <c r="O130" s="122">
        <v>3105.8037439999998</v>
      </c>
      <c r="P130" s="155">
        <v>3054.9784119999995</v>
      </c>
      <c r="S130" s="124">
        <f>100*(C130/OBR_NOV23_1.1!C130)</f>
        <v>130.11762492640204</v>
      </c>
      <c r="T130" s="124">
        <f>100*(D130/OBR_NOV23_1.1!D130)</f>
        <v>123.16619999238851</v>
      </c>
      <c r="U130" s="124">
        <f>100*(E130/OBR_NOV23_1.1!E130)</f>
        <v>120.88556813394995</v>
      </c>
      <c r="V130" s="124">
        <f>100*(K130/OBR_NOV23_1.1!N130)</f>
        <v>120.61490854222538</v>
      </c>
      <c r="W130" s="124">
        <f>100*(M130/OBR_NOV23_1.1!P130)</f>
        <v>118.85007935216285</v>
      </c>
      <c r="X130" s="124">
        <f>100*(O130/OBR_NOV23_1.1!R130)</f>
        <v>127.56163789163919</v>
      </c>
    </row>
    <row r="131" spans="2:24" ht="15.75" thickBot="1">
      <c r="B131" s="162" t="s">
        <v>11</v>
      </c>
      <c r="C131" s="122">
        <v>2015.9739869999999</v>
      </c>
      <c r="D131" s="122">
        <v>651.16585246207615</v>
      </c>
      <c r="E131" s="122">
        <v>525.77554500000008</v>
      </c>
      <c r="F131" s="122">
        <v>89.281903200000016</v>
      </c>
      <c r="G131" s="122">
        <v>-7.8171906399999997</v>
      </c>
      <c r="H131" s="122">
        <v>3185.0981938220766</v>
      </c>
      <c r="I131" s="122">
        <v>4.2174749230000002</v>
      </c>
      <c r="J131" s="122">
        <v>3189.3156687450764</v>
      </c>
      <c r="K131" s="122">
        <v>867.54478700000004</v>
      </c>
      <c r="L131" s="122">
        <v>4056.8604500000001</v>
      </c>
      <c r="M131" s="122">
        <v>878.61588399999994</v>
      </c>
      <c r="N131" s="122">
        <v>39.90739516</v>
      </c>
      <c r="O131" s="122">
        <v>3218.151965</v>
      </c>
      <c r="P131" s="155">
        <v>3166.9981640000005</v>
      </c>
      <c r="S131" s="124">
        <f>100*(C131/OBR_NOV23_1.1!C131)</f>
        <v>132.71062704630526</v>
      </c>
      <c r="T131" s="124">
        <f>100*(D131/OBR_NOV23_1.1!D131)</f>
        <v>125.15599598900822</v>
      </c>
      <c r="U131" s="124">
        <f>100*(E131/OBR_NOV23_1.1!E131)</f>
        <v>122.77814153079673</v>
      </c>
      <c r="V131" s="124">
        <f>100*(K131/OBR_NOV23_1.1!N131)</f>
        <v>121.71643963770845</v>
      </c>
      <c r="W131" s="124">
        <f>100*(M131/OBR_NOV23_1.1!P131)</f>
        <v>119.77833604717954</v>
      </c>
      <c r="X131" s="124">
        <f>100*(O131/OBR_NOV23_1.1!R131)</f>
        <v>129.96073972250761</v>
      </c>
    </row>
    <row r="132" spans="2:24">
      <c r="B132" s="135" t="s">
        <v>209</v>
      </c>
      <c r="C132" s="136"/>
      <c r="D132" s="136"/>
      <c r="E132" s="136"/>
      <c r="F132" s="136"/>
      <c r="G132" s="136"/>
      <c r="H132" s="136"/>
      <c r="I132" s="136"/>
      <c r="J132" s="136"/>
      <c r="K132" s="136"/>
      <c r="L132" s="136"/>
      <c r="M132" s="136"/>
      <c r="N132" s="136"/>
      <c r="O132" s="136"/>
      <c r="P132" s="163"/>
    </row>
    <row r="133" spans="2:24">
      <c r="B133" s="141" t="s">
        <v>236</v>
      </c>
      <c r="C133" s="142"/>
      <c r="D133" s="142"/>
      <c r="E133" s="142"/>
      <c r="F133" s="142"/>
      <c r="G133" s="142"/>
      <c r="H133" s="142"/>
      <c r="I133" s="142"/>
      <c r="J133" s="142"/>
      <c r="K133" s="142"/>
      <c r="L133" s="142"/>
      <c r="M133" s="142"/>
      <c r="N133" s="142"/>
      <c r="O133" s="142"/>
      <c r="P133" s="164"/>
    </row>
    <row r="134" spans="2:24">
      <c r="B134" s="141" t="s">
        <v>237</v>
      </c>
      <c r="C134" s="142"/>
      <c r="D134" s="142"/>
      <c r="E134" s="142"/>
      <c r="F134" s="142"/>
      <c r="G134" s="142"/>
      <c r="H134" s="142"/>
      <c r="I134" s="142"/>
      <c r="J134" s="142"/>
      <c r="K134" s="142"/>
      <c r="L134" s="142"/>
      <c r="M134" s="142"/>
      <c r="N134" s="142"/>
      <c r="O134" s="142"/>
      <c r="P134" s="164"/>
    </row>
    <row r="135" spans="2:24">
      <c r="B135" s="141" t="s">
        <v>238</v>
      </c>
      <c r="C135" s="142"/>
      <c r="D135" s="142"/>
      <c r="E135" s="142"/>
      <c r="F135" s="142"/>
      <c r="G135" s="142"/>
      <c r="H135" s="142"/>
      <c r="I135" s="142"/>
      <c r="J135" s="142"/>
      <c r="K135" s="142"/>
      <c r="L135" s="142"/>
      <c r="M135" s="142"/>
      <c r="N135" s="142"/>
      <c r="O135" s="142"/>
      <c r="P135" s="164"/>
    </row>
    <row r="136" spans="2:24">
      <c r="B136" s="141" t="s">
        <v>239</v>
      </c>
      <c r="C136" s="142"/>
      <c r="D136" s="142"/>
      <c r="E136" s="142"/>
      <c r="F136" s="142"/>
      <c r="G136" s="142"/>
      <c r="H136" s="142"/>
      <c r="I136" s="142"/>
      <c r="J136" s="142"/>
      <c r="K136" s="142"/>
      <c r="L136" s="142"/>
      <c r="M136" s="142"/>
      <c r="N136" s="142"/>
      <c r="O136" s="142"/>
      <c r="P136" s="164"/>
    </row>
    <row r="137" spans="2:24">
      <c r="B137" s="141" t="s">
        <v>240</v>
      </c>
      <c r="C137" s="142"/>
      <c r="D137" s="142"/>
      <c r="E137" s="142"/>
      <c r="F137" s="142"/>
      <c r="G137" s="142"/>
      <c r="H137" s="142"/>
      <c r="I137" s="142"/>
      <c r="J137" s="142"/>
      <c r="K137" s="142"/>
      <c r="L137" s="142"/>
      <c r="M137" s="142"/>
      <c r="N137" s="142"/>
      <c r="O137" s="142"/>
      <c r="P137" s="164"/>
    </row>
    <row r="138" spans="2:24">
      <c r="B138" s="138" t="s">
        <v>218</v>
      </c>
      <c r="C138" s="139"/>
      <c r="D138" s="139"/>
      <c r="E138" s="139"/>
      <c r="F138" s="139"/>
      <c r="G138" s="139"/>
      <c r="H138" s="139"/>
      <c r="I138" s="139"/>
      <c r="J138" s="139"/>
      <c r="K138" s="139"/>
      <c r="L138" s="139"/>
      <c r="M138" s="139"/>
      <c r="N138" s="139"/>
      <c r="O138" s="139"/>
      <c r="P138" s="165"/>
    </row>
    <row r="139" spans="2:24">
      <c r="B139" s="141" t="s">
        <v>241</v>
      </c>
      <c r="C139" s="142"/>
      <c r="D139" s="142"/>
      <c r="E139" s="142"/>
      <c r="F139" s="142"/>
      <c r="G139" s="142"/>
      <c r="H139" s="142"/>
      <c r="I139" s="142"/>
      <c r="J139" s="142"/>
      <c r="K139" s="142"/>
      <c r="L139" s="142"/>
      <c r="M139" s="142"/>
      <c r="N139" s="142"/>
      <c r="O139" s="142"/>
      <c r="P139" s="164"/>
    </row>
    <row r="140" spans="2:24">
      <c r="B140" s="141" t="s">
        <v>220</v>
      </c>
      <c r="C140" s="142"/>
      <c r="D140" s="142"/>
      <c r="E140" s="142"/>
      <c r="F140" s="142"/>
      <c r="G140" s="142"/>
      <c r="H140" s="142"/>
      <c r="I140" s="142"/>
      <c r="J140" s="142"/>
      <c r="K140" s="142"/>
      <c r="L140" s="142"/>
      <c r="M140" s="142"/>
      <c r="N140" s="142"/>
      <c r="O140" s="142"/>
      <c r="P140" s="164"/>
    </row>
    <row r="141" spans="2:24">
      <c r="B141" s="141" t="s">
        <v>242</v>
      </c>
      <c r="C141" s="142"/>
      <c r="D141" s="142"/>
      <c r="E141" s="142"/>
      <c r="F141" s="142"/>
      <c r="G141" s="142"/>
      <c r="H141" s="142"/>
      <c r="I141" s="142"/>
      <c r="J141" s="142"/>
      <c r="K141" s="142"/>
      <c r="L141" s="142"/>
      <c r="M141" s="142"/>
      <c r="N141" s="142"/>
      <c r="O141" s="142"/>
      <c r="P141" s="164"/>
    </row>
    <row r="142" spans="2:24">
      <c r="B142" s="141" t="s">
        <v>243</v>
      </c>
      <c r="C142" s="142"/>
      <c r="D142" s="142"/>
      <c r="E142" s="142"/>
      <c r="F142" s="142"/>
      <c r="G142" s="142"/>
      <c r="H142" s="142"/>
      <c r="I142" s="142"/>
      <c r="J142" s="142"/>
      <c r="K142" s="142"/>
      <c r="L142" s="142"/>
      <c r="M142" s="142"/>
      <c r="N142" s="142"/>
      <c r="O142" s="142"/>
      <c r="P142" s="164"/>
    </row>
    <row r="143" spans="2:24">
      <c r="B143" s="141" t="s">
        <v>244</v>
      </c>
      <c r="C143" s="142"/>
      <c r="D143" s="142"/>
      <c r="E143" s="142"/>
      <c r="F143" s="142"/>
      <c r="G143" s="142"/>
      <c r="H143" s="142"/>
      <c r="I143" s="142"/>
      <c r="J143" s="142"/>
      <c r="K143" s="142"/>
      <c r="L143" s="142"/>
      <c r="M143" s="142"/>
      <c r="N143" s="142"/>
      <c r="O143" s="142"/>
      <c r="P143" s="164"/>
    </row>
    <row r="144" spans="2:24">
      <c r="B144" s="141" t="s">
        <v>245</v>
      </c>
      <c r="C144" s="142"/>
      <c r="D144" s="142"/>
      <c r="E144" s="142"/>
      <c r="F144" s="142"/>
      <c r="G144" s="142"/>
      <c r="H144" s="142"/>
      <c r="I144" s="142"/>
      <c r="J144" s="142"/>
      <c r="K144" s="142"/>
      <c r="L144" s="142"/>
      <c r="M144" s="142"/>
      <c r="N144" s="142"/>
      <c r="O144" s="142"/>
      <c r="P144" s="164"/>
    </row>
    <row r="145" spans="2:16">
      <c r="B145" s="141" t="s">
        <v>246</v>
      </c>
      <c r="C145" s="142"/>
      <c r="D145" s="142"/>
      <c r="E145" s="142"/>
      <c r="F145" s="142"/>
      <c r="G145" s="142"/>
      <c r="H145" s="142"/>
      <c r="I145" s="142"/>
      <c r="J145" s="142"/>
      <c r="K145" s="142"/>
      <c r="L145" s="142"/>
      <c r="M145" s="142"/>
      <c r="N145" s="142"/>
      <c r="O145" s="142"/>
      <c r="P145" s="164"/>
    </row>
    <row r="146" spans="2:16" ht="15.75" thickBot="1">
      <c r="B146" s="144" t="s">
        <v>247</v>
      </c>
      <c r="C146" s="145"/>
      <c r="D146" s="145"/>
      <c r="E146" s="145"/>
      <c r="F146" s="145"/>
      <c r="G146" s="145"/>
      <c r="H146" s="145"/>
      <c r="I146" s="145"/>
      <c r="J146" s="145"/>
      <c r="K146" s="145"/>
      <c r="L146" s="145"/>
      <c r="M146" s="145"/>
      <c r="N146" s="145"/>
      <c r="O146" s="145"/>
      <c r="P146" s="166"/>
    </row>
    <row r="147" spans="2:16">
      <c r="C147" s="167"/>
      <c r="D147" s="167"/>
      <c r="E147" s="167"/>
      <c r="F147" s="167"/>
      <c r="G147" s="167"/>
      <c r="H147" s="167"/>
      <c r="I147" s="167"/>
      <c r="J147" s="167"/>
      <c r="K147" s="167"/>
      <c r="L147" s="167"/>
      <c r="M147" s="167"/>
      <c r="N147" s="167"/>
      <c r="O147" s="167"/>
      <c r="P147" s="167"/>
    </row>
    <row r="148" spans="2:16">
      <c r="C148" s="167"/>
      <c r="D148" s="167"/>
      <c r="E148" s="167"/>
      <c r="F148" s="167"/>
      <c r="G148" s="167"/>
      <c r="H148" s="167"/>
      <c r="I148" s="167"/>
      <c r="J148" s="167"/>
      <c r="K148" s="167"/>
      <c r="L148" s="167"/>
      <c r="M148" s="167"/>
      <c r="N148" s="167"/>
      <c r="O148" s="167"/>
      <c r="P148" s="167"/>
    </row>
    <row r="149" spans="2:16">
      <c r="C149" s="167"/>
      <c r="D149" s="167"/>
      <c r="E149" s="167"/>
      <c r="F149" s="167"/>
      <c r="G149" s="167"/>
      <c r="H149" s="167"/>
      <c r="I149" s="167"/>
      <c r="J149" s="167"/>
      <c r="K149" s="167"/>
      <c r="L149" s="167"/>
      <c r="M149" s="167"/>
      <c r="N149" s="167"/>
      <c r="O149" s="167"/>
      <c r="P149" s="167"/>
    </row>
    <row r="150" spans="2:16">
      <c r="C150" s="167"/>
      <c r="D150" s="167"/>
      <c r="E150" s="167"/>
      <c r="F150" s="167"/>
      <c r="G150" s="167"/>
      <c r="H150" s="167"/>
      <c r="I150" s="167"/>
      <c r="J150" s="167"/>
      <c r="K150" s="167"/>
      <c r="L150" s="167"/>
      <c r="M150" s="167"/>
      <c r="N150" s="167"/>
      <c r="O150" s="167"/>
      <c r="P150" s="167"/>
    </row>
    <row r="151" spans="2:16">
      <c r="C151" s="167"/>
      <c r="D151" s="167"/>
      <c r="E151" s="167"/>
      <c r="F151" s="167"/>
      <c r="G151" s="167"/>
      <c r="H151" s="167"/>
      <c r="I151" s="167"/>
      <c r="J151" s="167"/>
      <c r="K151" s="167"/>
      <c r="L151" s="167"/>
      <c r="M151" s="167"/>
      <c r="N151" s="167"/>
      <c r="O151" s="167"/>
      <c r="P151" s="167"/>
    </row>
    <row r="152" spans="2:16">
      <c r="C152" s="167"/>
      <c r="D152" s="167"/>
      <c r="E152" s="167"/>
      <c r="F152" s="167"/>
      <c r="G152" s="167"/>
      <c r="H152" s="167"/>
      <c r="I152" s="167"/>
      <c r="J152" s="167"/>
      <c r="K152" s="167"/>
      <c r="L152" s="167"/>
      <c r="M152" s="167"/>
      <c r="N152" s="167"/>
      <c r="O152" s="167"/>
      <c r="P152" s="167"/>
    </row>
    <row r="153" spans="2:16">
      <c r="C153" s="167"/>
      <c r="D153" s="167"/>
      <c r="E153" s="167"/>
      <c r="F153" s="167"/>
      <c r="G153" s="167"/>
      <c r="H153" s="167"/>
      <c r="I153" s="167"/>
      <c r="J153" s="167"/>
      <c r="K153" s="167"/>
      <c r="L153" s="167"/>
      <c r="M153" s="167"/>
      <c r="N153" s="167"/>
      <c r="O153" s="167"/>
      <c r="P153" s="167"/>
    </row>
    <row r="154" spans="2:16">
      <c r="C154" s="167"/>
      <c r="D154" s="167"/>
      <c r="E154" s="167"/>
      <c r="F154" s="167"/>
      <c r="G154" s="167"/>
      <c r="H154" s="167"/>
      <c r="I154" s="167"/>
      <c r="J154" s="167"/>
      <c r="K154" s="167"/>
      <c r="L154" s="167"/>
      <c r="M154" s="167"/>
      <c r="N154" s="167"/>
      <c r="O154" s="167"/>
      <c r="P154" s="167"/>
    </row>
    <row r="155" spans="2:16">
      <c r="C155" s="167"/>
      <c r="D155" s="167"/>
      <c r="E155" s="167"/>
      <c r="F155" s="167"/>
      <c r="G155" s="167"/>
      <c r="H155" s="167"/>
      <c r="I155" s="167"/>
      <c r="J155" s="167"/>
      <c r="K155" s="167"/>
      <c r="L155" s="167"/>
      <c r="M155" s="167"/>
      <c r="N155" s="167"/>
      <c r="O155" s="167"/>
      <c r="P155" s="167"/>
    </row>
  </sheetData>
  <mergeCells count="14">
    <mergeCell ref="M3:M4"/>
    <mergeCell ref="N3:N4"/>
    <mergeCell ref="O3:O4"/>
    <mergeCell ref="P3:P4"/>
    <mergeCell ref="B2:P2"/>
    <mergeCell ref="B3:B4"/>
    <mergeCell ref="C3:C4"/>
    <mergeCell ref="D3:D4"/>
    <mergeCell ref="G3:G4"/>
    <mergeCell ref="H3:H4"/>
    <mergeCell ref="I3:I4"/>
    <mergeCell ref="J3:J4"/>
    <mergeCell ref="K3:K4"/>
    <mergeCell ref="L3:L4"/>
  </mergeCells>
  <hyperlinks>
    <hyperlink ref="A1" location="Contents!A1" display="Back to contents" xr:uid="{B7E4CA89-CD2D-4D39-A72A-AB7886D136F5}"/>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4B21D-B35A-4E64-AA31-D5F54EEA1734}">
  <sheetPr codeName="Sheet17"/>
  <dimension ref="A1:I22"/>
  <sheetViews>
    <sheetView showGridLines="0" workbookViewId="0">
      <selection activeCell="K31" sqref="K31"/>
    </sheetView>
  </sheetViews>
  <sheetFormatPr defaultColWidth="10.140625" defaultRowHeight="12.75"/>
  <cols>
    <col min="1" max="1" width="10.140625" style="2"/>
    <col min="2" max="2" width="25.42578125" style="2" customWidth="1"/>
    <col min="3" max="9" width="8" style="2" customWidth="1"/>
    <col min="10" max="16384" width="10.140625" style="2"/>
  </cols>
  <sheetData>
    <row r="1" spans="1:9" ht="39.950000000000003" customHeight="1">
      <c r="A1" s="1" t="s">
        <v>0</v>
      </c>
    </row>
    <row r="2" spans="1:9" ht="17.25">
      <c r="B2" s="3" t="s">
        <v>32</v>
      </c>
    </row>
    <row r="3" spans="1:9" ht="13.5" thickBot="1">
      <c r="B3" s="29"/>
      <c r="C3" s="30"/>
      <c r="D3" s="30"/>
      <c r="E3" s="30"/>
      <c r="F3" s="31"/>
      <c r="G3" s="31"/>
      <c r="H3" s="31"/>
      <c r="I3" s="31"/>
    </row>
    <row r="4" spans="1:9">
      <c r="B4" s="32"/>
      <c r="C4" s="575" t="s">
        <v>2</v>
      </c>
      <c r="D4" s="575"/>
      <c r="E4" s="575"/>
      <c r="F4" s="575"/>
      <c r="G4" s="575"/>
      <c r="H4" s="575"/>
      <c r="I4" s="578"/>
    </row>
    <row r="5" spans="1:9">
      <c r="B5" s="7"/>
      <c r="C5" s="33" t="s">
        <v>3</v>
      </c>
      <c r="D5" s="579" t="s">
        <v>4</v>
      </c>
      <c r="E5" s="579"/>
      <c r="F5" s="579"/>
      <c r="G5" s="579"/>
      <c r="H5" s="579"/>
      <c r="I5" s="580"/>
    </row>
    <row r="6" spans="1:9">
      <c r="B6" s="9"/>
      <c r="C6" s="10" t="s">
        <v>33</v>
      </c>
      <c r="D6" s="10" t="s">
        <v>5</v>
      </c>
      <c r="E6" s="10" t="s">
        <v>6</v>
      </c>
      <c r="F6" s="10" t="s">
        <v>7</v>
      </c>
      <c r="G6" s="10" t="s">
        <v>8</v>
      </c>
      <c r="H6" s="10" t="s">
        <v>9</v>
      </c>
      <c r="I6" s="10" t="s">
        <v>10</v>
      </c>
    </row>
    <row r="7" spans="1:9">
      <c r="B7" s="11" t="s">
        <v>34</v>
      </c>
      <c r="C7" s="16"/>
      <c r="D7" s="12"/>
      <c r="E7" s="12"/>
      <c r="F7" s="12"/>
      <c r="G7" s="13"/>
      <c r="H7" s="14"/>
      <c r="I7" s="14"/>
    </row>
    <row r="8" spans="1:9">
      <c r="B8" s="15" t="s">
        <v>13</v>
      </c>
      <c r="C8" s="16">
        <v>426.79126373634995</v>
      </c>
      <c r="D8" s="16">
        <v>417.84484851832792</v>
      </c>
      <c r="E8" s="16">
        <v>423.34464990736092</v>
      </c>
      <c r="F8" s="16">
        <v>425.61016263417241</v>
      </c>
      <c r="G8" s="16">
        <v>433.58602426760308</v>
      </c>
      <c r="H8" s="16">
        <v>442.965968726499</v>
      </c>
      <c r="I8" s="16">
        <v>455.47005042445971</v>
      </c>
    </row>
    <row r="9" spans="1:9">
      <c r="B9" s="15" t="s">
        <v>14</v>
      </c>
      <c r="C9" s="16">
        <v>-13.03081573634995</v>
      </c>
      <c r="D9" s="16">
        <v>-2.3698402237353777</v>
      </c>
      <c r="E9" s="16">
        <v>-3.6576436356244622</v>
      </c>
      <c r="F9" s="16">
        <v>-3.6087902695383591</v>
      </c>
      <c r="G9" s="16">
        <v>-3.2604682985863769</v>
      </c>
      <c r="H9" s="16">
        <v>-3.0192623130080376</v>
      </c>
      <c r="I9" s="16">
        <v>-2.8025849749063165</v>
      </c>
    </row>
    <row r="10" spans="1:9">
      <c r="B10" s="15" t="s">
        <v>15</v>
      </c>
      <c r="C10" s="16">
        <v>413.760448</v>
      </c>
      <c r="D10" s="16">
        <v>415.47497423494411</v>
      </c>
      <c r="E10" s="16">
        <v>419.68700688438969</v>
      </c>
      <c r="F10" s="16">
        <v>422.00137328095701</v>
      </c>
      <c r="G10" s="16">
        <v>430.32555692311388</v>
      </c>
      <c r="H10" s="16">
        <v>439.94670740392792</v>
      </c>
      <c r="I10" s="16">
        <v>452.6674664823604</v>
      </c>
    </row>
    <row r="11" spans="1:9">
      <c r="B11" s="18" t="s">
        <v>12</v>
      </c>
      <c r="C11" s="19"/>
      <c r="D11" s="19"/>
      <c r="E11" s="19"/>
      <c r="F11" s="19"/>
      <c r="G11" s="19"/>
      <c r="H11" s="19"/>
      <c r="I11" s="20"/>
    </row>
    <row r="12" spans="1:9">
      <c r="B12" s="15" t="s">
        <v>13</v>
      </c>
      <c r="C12" s="16">
        <v>426.79126373634995</v>
      </c>
      <c r="D12" s="16">
        <v>420.15244675537605</v>
      </c>
      <c r="E12" s="16">
        <v>425.44260458680191</v>
      </c>
      <c r="F12" s="16">
        <v>430.47265220878637</v>
      </c>
      <c r="G12" s="16">
        <v>439.39674953099581</v>
      </c>
      <c r="H12" s="16">
        <v>449.49645562177977</v>
      </c>
      <c r="I12" s="16">
        <v>462.04931425724919</v>
      </c>
    </row>
    <row r="13" spans="1:9">
      <c r="B13" s="15" t="s">
        <v>14</v>
      </c>
      <c r="C13" s="16">
        <v>-13.03081573634995</v>
      </c>
      <c r="D13" s="16">
        <v>-4.6776901481859454</v>
      </c>
      <c r="E13" s="16">
        <v>-3.7552079415818298</v>
      </c>
      <c r="F13" s="16">
        <v>-3.8163019704903149</v>
      </c>
      <c r="G13" s="16">
        <v>-3.5510896334796485</v>
      </c>
      <c r="H13" s="16">
        <v>-3.3459441690553149</v>
      </c>
      <c r="I13" s="16">
        <v>-3.1316576966876255</v>
      </c>
    </row>
    <row r="14" spans="1:9">
      <c r="B14" s="15" t="s">
        <v>15</v>
      </c>
      <c r="C14" s="16">
        <v>413.760448</v>
      </c>
      <c r="D14" s="16">
        <v>415.4747566071901</v>
      </c>
      <c r="E14" s="16">
        <v>421.68739664522008</v>
      </c>
      <c r="F14" s="16">
        <v>426.65635023829606</v>
      </c>
      <c r="G14" s="16">
        <v>435.84565989751616</v>
      </c>
      <c r="H14" s="16">
        <v>446.15051145272446</v>
      </c>
      <c r="I14" s="37">
        <v>458.91765656056157</v>
      </c>
    </row>
    <row r="15" spans="1:9">
      <c r="B15" s="18" t="s">
        <v>17</v>
      </c>
      <c r="C15" s="19"/>
      <c r="D15" s="19"/>
      <c r="E15" s="19"/>
      <c r="F15" s="19"/>
      <c r="G15" s="19"/>
      <c r="H15" s="19"/>
      <c r="I15" s="20"/>
    </row>
    <row r="16" spans="1:9">
      <c r="B16" s="15" t="s">
        <v>13</v>
      </c>
      <c r="C16" s="16"/>
      <c r="D16" s="16">
        <v>2.3075982370481256</v>
      </c>
      <c r="E16" s="16">
        <v>2.0979546794409885</v>
      </c>
      <c r="F16" s="16">
        <v>4.86248957461396</v>
      </c>
      <c r="G16" s="16">
        <v>5.810725263392726</v>
      </c>
      <c r="H16" s="16">
        <v>6.5304868952807738</v>
      </c>
      <c r="I16" s="16">
        <v>6.5792638327894792</v>
      </c>
    </row>
    <row r="17" spans="2:9">
      <c r="B17" s="15" t="s">
        <v>18</v>
      </c>
      <c r="C17" s="16"/>
      <c r="D17" s="16"/>
      <c r="E17" s="16"/>
      <c r="F17" s="16"/>
      <c r="G17" s="16"/>
      <c r="H17" s="16"/>
      <c r="I17" s="16"/>
    </row>
    <row r="18" spans="2:9">
      <c r="B18" s="22" t="s">
        <v>35</v>
      </c>
      <c r="C18" s="16"/>
      <c r="D18" s="16">
        <v>0</v>
      </c>
      <c r="E18" s="16">
        <v>0.28509229074424286</v>
      </c>
      <c r="F18" s="16">
        <v>2.4917468488488184</v>
      </c>
      <c r="G18" s="16">
        <v>4.4073707195410297</v>
      </c>
      <c r="H18" s="16">
        <v>5.2248104072113826</v>
      </c>
      <c r="I18" s="16">
        <v>5.2902788719608331</v>
      </c>
    </row>
    <row r="19" spans="2:9">
      <c r="B19" s="22" t="s">
        <v>36</v>
      </c>
      <c r="C19" s="16"/>
      <c r="D19" s="16">
        <v>0</v>
      </c>
      <c r="E19" s="16">
        <v>0.5</v>
      </c>
      <c r="F19" s="16">
        <v>0.75</v>
      </c>
      <c r="G19" s="16">
        <v>0.50986700000000007</v>
      </c>
      <c r="H19" s="16">
        <v>0.52113100000000001</v>
      </c>
      <c r="I19" s="16">
        <v>0.53503900000000004</v>
      </c>
    </row>
    <row r="20" spans="2:9">
      <c r="B20" s="22" t="s">
        <v>25</v>
      </c>
      <c r="C20" s="16"/>
      <c r="D20" s="16">
        <v>2.3075982370481256</v>
      </c>
      <c r="E20" s="16">
        <v>1.3128623886967457</v>
      </c>
      <c r="F20" s="16">
        <v>1.6207427257651417</v>
      </c>
      <c r="G20" s="16">
        <v>0.89348754385169649</v>
      </c>
      <c r="H20" s="16">
        <v>0.78454548806939073</v>
      </c>
      <c r="I20" s="16">
        <v>0.75394596082864584</v>
      </c>
    </row>
    <row r="21" spans="2:9">
      <c r="B21" s="15" t="s">
        <v>14</v>
      </c>
      <c r="C21" s="16"/>
      <c r="D21" s="16">
        <v>-2.3078499244505677</v>
      </c>
      <c r="E21" s="16">
        <v>-9.7564305957367647E-2</v>
      </c>
      <c r="F21" s="16">
        <v>-0.20751170095195581</v>
      </c>
      <c r="G21" s="16">
        <v>-0.29062133489327158</v>
      </c>
      <c r="H21" s="16">
        <v>-0.32668185604727729</v>
      </c>
      <c r="I21" s="16">
        <v>-0.32907272178130897</v>
      </c>
    </row>
    <row r="22" spans="2:9" ht="13.5" thickBot="1">
      <c r="B22" s="35" t="s">
        <v>15</v>
      </c>
      <c r="C22" s="36"/>
      <c r="D22" s="36">
        <v>-2.1762775401157342E-4</v>
      </c>
      <c r="E22" s="36">
        <v>2.0003897608303873</v>
      </c>
      <c r="F22" s="36">
        <v>4.6549769573390449</v>
      </c>
      <c r="G22" s="36">
        <v>5.5201029744022776</v>
      </c>
      <c r="H22" s="36">
        <v>6.2038040487965418</v>
      </c>
      <c r="I22" s="36">
        <v>6.2501900782011717</v>
      </c>
    </row>
  </sheetData>
  <mergeCells count="2">
    <mergeCell ref="C4:I4"/>
    <mergeCell ref="D5:I5"/>
  </mergeCells>
  <hyperlinks>
    <hyperlink ref="A1" location="Contents!A1" display="Contents!A1" xr:uid="{8F318E38-0B97-4CB3-AA86-574D32831DD9}"/>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165A-FCAA-4124-AD34-DB9410FD8822}">
  <sheetPr codeName="Sheet18"/>
  <dimension ref="A1:I21"/>
  <sheetViews>
    <sheetView showGridLines="0" workbookViewId="0">
      <selection activeCell="G40" sqref="G40"/>
    </sheetView>
  </sheetViews>
  <sheetFormatPr defaultColWidth="10.140625" defaultRowHeight="12.75"/>
  <cols>
    <col min="1" max="1" width="10.140625" style="2"/>
    <col min="2" max="2" width="25.42578125" style="2" customWidth="1"/>
    <col min="3" max="9" width="8" style="2" customWidth="1"/>
    <col min="10" max="16384" width="10.140625" style="2"/>
  </cols>
  <sheetData>
    <row r="1" spans="1:9" ht="39.950000000000003" customHeight="1">
      <c r="A1" s="1" t="s">
        <v>0</v>
      </c>
    </row>
    <row r="2" spans="1:9" ht="17.25">
      <c r="B2" s="3" t="s">
        <v>37</v>
      </c>
    </row>
    <row r="3" spans="1:9" ht="13.5" thickBot="1">
      <c r="B3" s="29"/>
      <c r="C3" s="30"/>
      <c r="D3" s="30"/>
      <c r="E3" s="30"/>
      <c r="F3" s="31"/>
      <c r="G3" s="31"/>
      <c r="H3" s="31"/>
      <c r="I3" s="31"/>
    </row>
    <row r="4" spans="1:9">
      <c r="B4" s="32"/>
      <c r="C4" s="575" t="s">
        <v>2</v>
      </c>
      <c r="D4" s="575"/>
      <c r="E4" s="575"/>
      <c r="F4" s="575"/>
      <c r="G4" s="575"/>
      <c r="H4" s="575"/>
      <c r="I4" s="578"/>
    </row>
    <row r="5" spans="1:9">
      <c r="B5" s="7"/>
      <c r="C5" s="33" t="s">
        <v>3</v>
      </c>
      <c r="D5" s="579" t="s">
        <v>4</v>
      </c>
      <c r="E5" s="579"/>
      <c r="F5" s="579"/>
      <c r="G5" s="579"/>
      <c r="H5" s="579"/>
      <c r="I5" s="580"/>
    </row>
    <row r="6" spans="1:9">
      <c r="B6" s="9"/>
      <c r="C6" s="10" t="s">
        <v>33</v>
      </c>
      <c r="D6" s="10" t="s">
        <v>5</v>
      </c>
      <c r="E6" s="10" t="s">
        <v>6</v>
      </c>
      <c r="F6" s="10" t="s">
        <v>7</v>
      </c>
      <c r="G6" s="10" t="s">
        <v>8</v>
      </c>
      <c r="H6" s="10" t="s">
        <v>9</v>
      </c>
      <c r="I6" s="10" t="s">
        <v>10</v>
      </c>
    </row>
    <row r="7" spans="1:9">
      <c r="B7" s="11" t="s">
        <v>34</v>
      </c>
      <c r="C7" s="16"/>
      <c r="D7" s="12"/>
      <c r="E7" s="12"/>
      <c r="F7" s="12"/>
      <c r="G7" s="13"/>
      <c r="H7" s="14"/>
      <c r="I7" s="14"/>
    </row>
    <row r="8" spans="1:9">
      <c r="B8" s="15" t="s">
        <v>13</v>
      </c>
      <c r="C8" s="16">
        <v>79.706464995569576</v>
      </c>
      <c r="D8" s="16">
        <v>98.747495102283281</v>
      </c>
      <c r="E8" s="16">
        <v>103.23545635890588</v>
      </c>
      <c r="F8" s="16">
        <v>102.88532539337265</v>
      </c>
      <c r="G8" s="16">
        <v>103.30360178114989</v>
      </c>
      <c r="H8" s="16">
        <v>103.17539102797753</v>
      </c>
      <c r="I8" s="16">
        <v>102.62189081549343</v>
      </c>
    </row>
    <row r="9" spans="1:9">
      <c r="B9" s="15" t="s">
        <v>14</v>
      </c>
      <c r="C9" s="16">
        <v>-2.7172359955695669</v>
      </c>
      <c r="D9" s="16">
        <v>-9.9339894593486413</v>
      </c>
      <c r="E9" s="16">
        <v>-8.7882908582525996</v>
      </c>
      <c r="F9" s="16">
        <v>-8.1631575173297968</v>
      </c>
      <c r="G9" s="16">
        <v>-7.6987288453583167</v>
      </c>
      <c r="H9" s="16">
        <v>-7.1577450471922024</v>
      </c>
      <c r="I9" s="16">
        <v>-6.4239920817762375</v>
      </c>
    </row>
    <row r="10" spans="1:9">
      <c r="B10" s="15" t="s">
        <v>15</v>
      </c>
      <c r="C10" s="16">
        <v>76.989229000000009</v>
      </c>
      <c r="D10" s="16">
        <v>88.814115999999999</v>
      </c>
      <c r="E10" s="16">
        <v>94.447102944360509</v>
      </c>
      <c r="F10" s="16">
        <v>94.722329242949357</v>
      </c>
      <c r="G10" s="16">
        <v>95.604873065570359</v>
      </c>
      <c r="H10" s="16">
        <v>96.017646115378568</v>
      </c>
      <c r="I10" s="16">
        <v>96.197898874063284</v>
      </c>
    </row>
    <row r="11" spans="1:9">
      <c r="B11" s="18" t="s">
        <v>12</v>
      </c>
      <c r="C11" s="19"/>
      <c r="D11" s="19"/>
      <c r="E11" s="19"/>
      <c r="F11" s="19"/>
      <c r="G11" s="19"/>
      <c r="H11" s="19"/>
      <c r="I11" s="20"/>
    </row>
    <row r="12" spans="1:9">
      <c r="B12" s="15" t="s">
        <v>13</v>
      </c>
      <c r="C12" s="16">
        <v>79.706464995569576</v>
      </c>
      <c r="D12" s="16">
        <v>95.190650692866839</v>
      </c>
      <c r="E12" s="16">
        <v>105.03452208909563</v>
      </c>
      <c r="F12" s="16">
        <v>105.17179948955921</v>
      </c>
      <c r="G12" s="16">
        <v>104.86563886562794</v>
      </c>
      <c r="H12" s="16">
        <v>104.7185370101848</v>
      </c>
      <c r="I12" s="16">
        <v>104.12456843618472</v>
      </c>
    </row>
    <row r="13" spans="1:9">
      <c r="B13" s="15" t="s">
        <v>14</v>
      </c>
      <c r="C13" s="16">
        <v>-2.7172359955695669</v>
      </c>
      <c r="D13" s="16">
        <v>-8.876040385733674</v>
      </c>
      <c r="E13" s="16">
        <v>-8.9228712178191074</v>
      </c>
      <c r="F13" s="16">
        <v>-8.2828262979118392</v>
      </c>
      <c r="G13" s="16">
        <v>-7.7868864480803808</v>
      </c>
      <c r="H13" s="16">
        <v>-7.2390900171211001</v>
      </c>
      <c r="I13" s="16">
        <v>-6.4971457460583792</v>
      </c>
    </row>
    <row r="14" spans="1:9">
      <c r="B14" s="15" t="s">
        <v>15</v>
      </c>
      <c r="C14" s="16">
        <v>76.989229000000009</v>
      </c>
      <c r="D14" s="16">
        <v>86.314610307133165</v>
      </c>
      <c r="E14" s="16">
        <v>96.111650871276524</v>
      </c>
      <c r="F14" s="16">
        <v>96.888973191647366</v>
      </c>
      <c r="G14" s="16">
        <v>97.078752417547562</v>
      </c>
      <c r="H14" s="16">
        <v>97.479446993063704</v>
      </c>
      <c r="I14" s="37">
        <v>97.627422690126338</v>
      </c>
    </row>
    <row r="15" spans="1:9">
      <c r="B15" s="18" t="s">
        <v>30</v>
      </c>
      <c r="C15" s="19"/>
      <c r="D15" s="19"/>
      <c r="E15" s="19"/>
      <c r="F15" s="19"/>
      <c r="G15" s="19"/>
      <c r="H15" s="19"/>
      <c r="I15" s="20"/>
    </row>
    <row r="16" spans="1:9">
      <c r="B16" s="15" t="s">
        <v>13</v>
      </c>
      <c r="C16" s="16"/>
      <c r="D16" s="16">
        <v>-3.556844409416442</v>
      </c>
      <c r="E16" s="16">
        <v>1.7990657301897528</v>
      </c>
      <c r="F16" s="16">
        <v>2.2864740961865522</v>
      </c>
      <c r="G16" s="16">
        <v>1.5620370844780496</v>
      </c>
      <c r="H16" s="16">
        <v>1.5431459822072782</v>
      </c>
      <c r="I16" s="16">
        <v>1.5026776206912871</v>
      </c>
    </row>
    <row r="17" spans="2:9">
      <c r="B17" s="15" t="s">
        <v>18</v>
      </c>
      <c r="C17" s="16"/>
      <c r="D17" s="16"/>
      <c r="E17" s="16"/>
      <c r="F17" s="16"/>
      <c r="G17" s="16"/>
      <c r="H17" s="16"/>
      <c r="I17" s="16"/>
    </row>
    <row r="18" spans="2:9">
      <c r="B18" s="22" t="s">
        <v>36</v>
      </c>
      <c r="C18" s="16"/>
      <c r="D18" s="16">
        <v>0</v>
      </c>
      <c r="E18" s="16">
        <v>1.5</v>
      </c>
      <c r="F18" s="16">
        <v>2.25</v>
      </c>
      <c r="G18" s="16">
        <v>1.5</v>
      </c>
      <c r="H18" s="16">
        <v>1.5</v>
      </c>
      <c r="I18" s="16">
        <v>1.5</v>
      </c>
    </row>
    <row r="19" spans="2:9">
      <c r="B19" s="22" t="s">
        <v>25</v>
      </c>
      <c r="C19" s="16"/>
      <c r="D19" s="16">
        <v>-3.556844409416442</v>
      </c>
      <c r="E19" s="16">
        <v>0.2990657301897528</v>
      </c>
      <c r="F19" s="16">
        <v>3.6474096186552174E-2</v>
      </c>
      <c r="G19" s="16">
        <v>6.2037084478049564E-2</v>
      </c>
      <c r="H19" s="16">
        <v>4.3145982207278166E-2</v>
      </c>
      <c r="I19" s="16">
        <v>2.6776206912870748E-3</v>
      </c>
    </row>
    <row r="20" spans="2:9">
      <c r="B20" s="15" t="s">
        <v>14</v>
      </c>
      <c r="C20" s="16"/>
      <c r="D20" s="16">
        <v>1.0579490736149673</v>
      </c>
      <c r="E20" s="16">
        <v>-0.13458035956650782</v>
      </c>
      <c r="F20" s="16">
        <v>-0.11966878058204244</v>
      </c>
      <c r="G20" s="16">
        <v>-8.8157602722064077E-2</v>
      </c>
      <c r="H20" s="16">
        <v>-8.1344969928897726E-2</v>
      </c>
      <c r="I20" s="16">
        <v>-7.3153664282141762E-2</v>
      </c>
    </row>
    <row r="21" spans="2:9" ht="13.5" thickBot="1">
      <c r="B21" s="35" t="s">
        <v>15</v>
      </c>
      <c r="C21" s="36"/>
      <c r="D21" s="36">
        <v>-2.4995056928668333</v>
      </c>
      <c r="E21" s="36">
        <v>1.6645479269160148</v>
      </c>
      <c r="F21" s="36">
        <v>2.1666439486980096</v>
      </c>
      <c r="G21" s="36">
        <v>1.4738793519772031</v>
      </c>
      <c r="H21" s="36">
        <v>1.4618008776851354</v>
      </c>
      <c r="I21" s="36">
        <v>1.4295238160630532</v>
      </c>
    </row>
  </sheetData>
  <mergeCells count="2">
    <mergeCell ref="C4:I4"/>
    <mergeCell ref="D5:I5"/>
  </mergeCells>
  <hyperlinks>
    <hyperlink ref="A1" location="Contents!A1" display="Contents!A1" xr:uid="{C55E83C4-D7B2-469A-8AD7-F06338DCFB6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E2D99-20F7-4D90-A6D3-546B33CB62E1}">
  <sheetPr codeName="Sheet19"/>
  <dimension ref="A1:J47"/>
  <sheetViews>
    <sheetView showGridLines="0" workbookViewId="0">
      <selection activeCell="N14" sqref="N14"/>
    </sheetView>
  </sheetViews>
  <sheetFormatPr defaultColWidth="10.140625" defaultRowHeight="12.75"/>
  <cols>
    <col min="1" max="1" width="10.140625" style="2"/>
    <col min="2" max="2" width="31.5703125" style="2" customWidth="1"/>
    <col min="3" max="3" width="0" style="2" hidden="1" customWidth="1"/>
    <col min="4" max="10" width="7.140625" style="2" customWidth="1"/>
    <col min="11" max="16384" width="10.140625" style="2"/>
  </cols>
  <sheetData>
    <row r="1" spans="1:10" ht="39.950000000000003" customHeight="1">
      <c r="A1" s="1" t="s">
        <v>0</v>
      </c>
    </row>
    <row r="2" spans="1:10" ht="17.25">
      <c r="B2" s="3" t="s">
        <v>54</v>
      </c>
    </row>
    <row r="3" spans="1:10" ht="13.5" thickBot="1">
      <c r="B3" s="174"/>
      <c r="C3" s="175"/>
      <c r="D3" s="175"/>
      <c r="E3" s="175"/>
      <c r="F3" s="175"/>
      <c r="G3" s="175"/>
      <c r="H3" s="175"/>
      <c r="I3" s="175"/>
      <c r="J3" s="176"/>
    </row>
    <row r="4" spans="1:10">
      <c r="B4" s="177"/>
      <c r="C4" s="581" t="s">
        <v>2</v>
      </c>
      <c r="D4" s="581"/>
      <c r="E4" s="581"/>
      <c r="F4" s="581"/>
      <c r="G4" s="581"/>
      <c r="H4" s="581"/>
      <c r="I4" s="581"/>
      <c r="J4" s="582"/>
    </row>
    <row r="5" spans="1:10">
      <c r="B5" s="178"/>
      <c r="C5" s="583" t="s">
        <v>3</v>
      </c>
      <c r="D5" s="583"/>
      <c r="E5" s="584" t="s">
        <v>4</v>
      </c>
      <c r="F5" s="584"/>
      <c r="G5" s="584"/>
      <c r="H5" s="584"/>
      <c r="I5" s="584"/>
      <c r="J5" s="585"/>
    </row>
    <row r="6" spans="1:10">
      <c r="B6" s="179"/>
      <c r="C6" s="180" t="s">
        <v>208</v>
      </c>
      <c r="D6" s="180" t="s">
        <v>33</v>
      </c>
      <c r="E6" s="180" t="s">
        <v>5</v>
      </c>
      <c r="F6" s="180" t="s">
        <v>6</v>
      </c>
      <c r="G6" s="180" t="s">
        <v>7</v>
      </c>
      <c r="H6" s="181" t="s">
        <v>8</v>
      </c>
      <c r="I6" s="181" t="s">
        <v>9</v>
      </c>
      <c r="J6" s="182" t="s">
        <v>10</v>
      </c>
    </row>
    <row r="7" spans="1:10">
      <c r="B7" s="183" t="s">
        <v>55</v>
      </c>
      <c r="C7" s="16"/>
      <c r="D7" s="184"/>
      <c r="E7" s="184"/>
      <c r="F7" s="184"/>
      <c r="G7" s="184"/>
      <c r="H7" s="184"/>
      <c r="I7" s="16"/>
      <c r="J7" s="37"/>
    </row>
    <row r="8" spans="1:10">
      <c r="B8" s="185" t="s">
        <v>56</v>
      </c>
      <c r="C8" s="186">
        <v>429.36841400000003</v>
      </c>
      <c r="D8" s="186">
        <v>413.760448</v>
      </c>
      <c r="E8" s="186">
        <v>415.4747566071901</v>
      </c>
      <c r="F8" s="186">
        <v>421.68739664522008</v>
      </c>
      <c r="G8" s="186">
        <v>426.65635023829606</v>
      </c>
      <c r="H8" s="186">
        <v>435.84565989751616</v>
      </c>
      <c r="I8" s="186">
        <v>446.15051145272446</v>
      </c>
      <c r="J8" s="186">
        <v>458.91765656056157</v>
      </c>
    </row>
    <row r="9" spans="1:10">
      <c r="B9" s="187" t="s">
        <v>57</v>
      </c>
      <c r="C9" s="186">
        <v>551.55858599999988</v>
      </c>
      <c r="D9" s="186">
        <v>521.92355199999997</v>
      </c>
      <c r="E9" s="186">
        <v>640.33842856731962</v>
      </c>
      <c r="F9" s="186">
        <v>633.89554927996494</v>
      </c>
      <c r="G9" s="186">
        <v>629.00131383433722</v>
      </c>
      <c r="H9" s="186">
        <v>644.33518779636347</v>
      </c>
      <c r="I9" s="186">
        <v>669.49406678831735</v>
      </c>
      <c r="J9" s="186">
        <v>688.95594452857642</v>
      </c>
    </row>
    <row r="10" spans="1:10">
      <c r="B10" s="185" t="s">
        <v>18</v>
      </c>
      <c r="C10" s="186"/>
      <c r="D10" s="186"/>
      <c r="E10" s="186"/>
      <c r="F10" s="186"/>
      <c r="G10" s="186"/>
      <c r="H10" s="186"/>
      <c r="I10" s="186"/>
      <c r="J10" s="188"/>
    </row>
    <row r="11" spans="1:10">
      <c r="B11" s="189" t="s">
        <v>49</v>
      </c>
      <c r="C11" s="186">
        <v>245.35029702734622</v>
      </c>
      <c r="D11" s="186">
        <v>244.25912418501855</v>
      </c>
      <c r="E11" s="186">
        <v>261.54466436434717</v>
      </c>
      <c r="F11" s="186">
        <v>294.52691681667505</v>
      </c>
      <c r="G11" s="186">
        <v>307.00842613340637</v>
      </c>
      <c r="H11" s="186">
        <v>316.75335429043696</v>
      </c>
      <c r="I11" s="186">
        <v>323.33639261215768</v>
      </c>
      <c r="J11" s="186">
        <v>330.52335182697465</v>
      </c>
    </row>
    <row r="12" spans="1:10">
      <c r="B12" s="190" t="s">
        <v>58</v>
      </c>
      <c r="C12" s="186">
        <v>38.822765636444039</v>
      </c>
      <c r="D12" s="186">
        <v>45.323893054132149</v>
      </c>
      <c r="E12" s="186">
        <v>56.608498985120718</v>
      </c>
      <c r="F12" s="186">
        <v>60.305431579908166</v>
      </c>
      <c r="G12" s="186">
        <v>63.944543631292085</v>
      </c>
      <c r="H12" s="186">
        <v>64.542883550143458</v>
      </c>
      <c r="I12" s="186">
        <v>67.332330382117291</v>
      </c>
      <c r="J12" s="186">
        <v>69.961318550812877</v>
      </c>
    </row>
    <row r="13" spans="1:10" ht="27.75">
      <c r="B13" s="191" t="s">
        <v>249</v>
      </c>
      <c r="C13" s="186">
        <v>23.628588693482001</v>
      </c>
      <c r="D13" s="186">
        <v>56.368000000000002</v>
      </c>
      <c r="E13" s="186">
        <v>114.66959448290456</v>
      </c>
      <c r="F13" s="186">
        <v>93.978289732323233</v>
      </c>
      <c r="G13" s="186">
        <v>77.301285352754391</v>
      </c>
      <c r="H13" s="186">
        <v>76.854478542550467</v>
      </c>
      <c r="I13" s="186">
        <v>88.671628488350606</v>
      </c>
      <c r="J13" s="186">
        <v>96.454479201764016</v>
      </c>
    </row>
    <row r="14" spans="1:10">
      <c r="B14" s="192" t="s">
        <v>60</v>
      </c>
      <c r="C14" s="186">
        <v>41.556793999999996</v>
      </c>
      <c r="D14" s="186">
        <v>41.207814000000006</v>
      </c>
      <c r="E14" s="186">
        <v>39.933786529907763</v>
      </c>
      <c r="F14" s="186">
        <v>41.428103987240902</v>
      </c>
      <c r="G14" s="186">
        <v>42.02211783029248</v>
      </c>
      <c r="H14" s="186">
        <v>42.505070708181158</v>
      </c>
      <c r="I14" s="186">
        <v>43.409017780899504</v>
      </c>
      <c r="J14" s="186">
        <v>44.893457263736856</v>
      </c>
    </row>
    <row r="15" spans="1:10">
      <c r="B15" s="190" t="s">
        <v>61</v>
      </c>
      <c r="C15" s="186">
        <v>10.394602460185098</v>
      </c>
      <c r="D15" s="186">
        <v>8.3148336934557889</v>
      </c>
      <c r="E15" s="186">
        <v>8.8002067693563397</v>
      </c>
      <c r="F15" s="186">
        <v>6.4978515657380038</v>
      </c>
      <c r="G15" s="186">
        <v>1.0350846206053652</v>
      </c>
      <c r="H15" s="186">
        <v>1.3717660572017776</v>
      </c>
      <c r="I15" s="186">
        <v>0.75919730889983073</v>
      </c>
      <c r="J15" s="186">
        <v>0.40546123014630714</v>
      </c>
    </row>
    <row r="16" spans="1:10">
      <c r="B16" s="190" t="s">
        <v>250</v>
      </c>
      <c r="C16" s="186">
        <v>4.0942837775000092</v>
      </c>
      <c r="D16" s="186">
        <v>3.3017499949938718</v>
      </c>
      <c r="E16" s="186">
        <v>4.2426580794580859</v>
      </c>
      <c r="F16" s="186">
        <v>7.8629687191718238</v>
      </c>
      <c r="G16" s="186">
        <v>9.8161395841704149</v>
      </c>
      <c r="H16" s="186">
        <v>9.9414512344224963</v>
      </c>
      <c r="I16" s="186">
        <v>8.9964144961067944</v>
      </c>
      <c r="J16" s="186">
        <v>7.9121835555938</v>
      </c>
    </row>
    <row r="17" spans="2:10">
      <c r="B17" s="190" t="s">
        <v>63</v>
      </c>
      <c r="C17" s="186">
        <v>8.1708173071524648</v>
      </c>
      <c r="D17" s="186">
        <v>7.9632969007622778</v>
      </c>
      <c r="E17" s="186">
        <v>9.4610238916124398</v>
      </c>
      <c r="F17" s="186">
        <v>10.150987112156358</v>
      </c>
      <c r="G17" s="186">
        <v>10.637222239303332</v>
      </c>
      <c r="H17" s="186">
        <v>10.903093657459594</v>
      </c>
      <c r="I17" s="186">
        <v>11.350453995032058</v>
      </c>
      <c r="J17" s="186">
        <v>11.883478061359837</v>
      </c>
    </row>
    <row r="18" spans="2:10">
      <c r="B18" s="190" t="s">
        <v>64</v>
      </c>
      <c r="C18" s="186">
        <v>3.4859318374085015</v>
      </c>
      <c r="D18" s="186">
        <v>3.87866848007</v>
      </c>
      <c r="E18" s="186">
        <v>4.2403030495800937</v>
      </c>
      <c r="F18" s="186">
        <v>4.1873378559619363</v>
      </c>
      <c r="G18" s="186">
        <v>4.3785596723183025</v>
      </c>
      <c r="H18" s="186">
        <v>4.2498597102547029</v>
      </c>
      <c r="I18" s="186">
        <v>4.511037635919255</v>
      </c>
      <c r="J18" s="186">
        <v>4.4949090461317622</v>
      </c>
    </row>
    <row r="19" spans="2:10">
      <c r="B19" s="190" t="s">
        <v>65</v>
      </c>
      <c r="C19" s="186">
        <v>1.4591800000000001</v>
      </c>
      <c r="D19" s="186">
        <v>1.3894169999999999</v>
      </c>
      <c r="E19" s="186">
        <v>1.2853600000000001</v>
      </c>
      <c r="F19" s="186">
        <v>1.352781</v>
      </c>
      <c r="G19" s="186">
        <v>1.419556</v>
      </c>
      <c r="H19" s="186">
        <v>1.4104140000000001</v>
      </c>
      <c r="I19" s="186">
        <v>1.3960950000000001</v>
      </c>
      <c r="J19" s="186">
        <v>1.2861779999999998</v>
      </c>
    </row>
    <row r="20" spans="2:10">
      <c r="B20" s="190" t="s">
        <v>66</v>
      </c>
      <c r="C20" s="186">
        <v>0.78675520026638013</v>
      </c>
      <c r="D20" s="186">
        <v>1.0527288330115459</v>
      </c>
      <c r="E20" s="186">
        <v>0.79940576306798405</v>
      </c>
      <c r="F20" s="186">
        <v>0.84382205862063242</v>
      </c>
      <c r="G20" s="186">
        <v>0.86935577963188471</v>
      </c>
      <c r="H20" s="186">
        <v>0.88729253260809982</v>
      </c>
      <c r="I20" s="186">
        <v>0.90860495992029688</v>
      </c>
      <c r="J20" s="186">
        <v>0.93324455025950626</v>
      </c>
    </row>
    <row r="21" spans="2:10">
      <c r="B21" s="193" t="s">
        <v>67</v>
      </c>
      <c r="C21" s="186">
        <v>0.17499999999999999</v>
      </c>
      <c r="D21" s="186">
        <v>0.52800000000000002</v>
      </c>
      <c r="E21" s="186">
        <v>0.53400000000000003</v>
      </c>
      <c r="F21" s="186">
        <v>0.53200000000000003</v>
      </c>
      <c r="G21" s="186">
        <v>0.53200000000000003</v>
      </c>
      <c r="H21" s="186">
        <v>0.53200000000000003</v>
      </c>
      <c r="I21" s="186">
        <v>0.53200000000000003</v>
      </c>
      <c r="J21" s="186">
        <v>0.53200000000000003</v>
      </c>
    </row>
    <row r="22" spans="2:10">
      <c r="B22" s="193" t="s">
        <v>68</v>
      </c>
      <c r="C22" s="186"/>
      <c r="D22" s="186">
        <v>0</v>
      </c>
      <c r="E22" s="186">
        <v>6.7</v>
      </c>
      <c r="F22" s="186">
        <v>1.097</v>
      </c>
      <c r="G22" s="186">
        <v>0</v>
      </c>
      <c r="H22" s="186">
        <v>0</v>
      </c>
      <c r="I22" s="186">
        <v>0</v>
      </c>
      <c r="J22" s="186">
        <v>0</v>
      </c>
    </row>
    <row r="23" spans="2:10">
      <c r="B23" s="193" t="s">
        <v>69</v>
      </c>
      <c r="C23" s="186"/>
      <c r="D23" s="186">
        <v>0</v>
      </c>
      <c r="E23" s="186">
        <v>23.033399999999997</v>
      </c>
      <c r="F23" s="186">
        <v>4.3443028866512376</v>
      </c>
      <c r="G23" s="186">
        <v>0</v>
      </c>
      <c r="H23" s="186">
        <v>0</v>
      </c>
      <c r="I23" s="186">
        <v>0</v>
      </c>
      <c r="J23" s="186">
        <v>0</v>
      </c>
    </row>
    <row r="24" spans="2:10">
      <c r="B24" s="193" t="s">
        <v>70</v>
      </c>
      <c r="C24" s="186">
        <v>19.111000000000001</v>
      </c>
      <c r="D24" s="186">
        <v>19.239957723325663</v>
      </c>
      <c r="E24" s="186">
        <v>20.198627832137106</v>
      </c>
      <c r="F24" s="186">
        <v>21.188301256002696</v>
      </c>
      <c r="G24" s="186">
        <v>22.04057983193842</v>
      </c>
      <c r="H24" s="186">
        <v>22.929072194092569</v>
      </c>
      <c r="I24" s="186">
        <v>23.854989194421584</v>
      </c>
      <c r="J24" s="186">
        <v>24.819679598500791</v>
      </c>
    </row>
    <row r="25" spans="2:10">
      <c r="B25" s="190" t="s">
        <v>71</v>
      </c>
      <c r="C25" s="186">
        <v>46.814999999999998</v>
      </c>
      <c r="D25" s="186">
        <v>48.305999999999997</v>
      </c>
      <c r="E25" s="186">
        <v>50.390412587975938</v>
      </c>
      <c r="F25" s="186">
        <v>52.591356799049684</v>
      </c>
      <c r="G25" s="186">
        <v>55.09458495089325</v>
      </c>
      <c r="H25" s="186">
        <v>57.301697326119076</v>
      </c>
      <c r="I25" s="186">
        <v>59.587099679895367</v>
      </c>
      <c r="J25" s="186">
        <v>62.061328497196783</v>
      </c>
    </row>
    <row r="26" spans="2:10">
      <c r="B26" s="190" t="s">
        <v>72</v>
      </c>
      <c r="C26" s="186">
        <v>17.459072209590232</v>
      </c>
      <c r="D26" s="186">
        <v>20.040967849977736</v>
      </c>
      <c r="E26" s="186">
        <v>21.324195355420759</v>
      </c>
      <c r="F26" s="186">
        <v>22.065576024486926</v>
      </c>
      <c r="G26" s="186">
        <v>22.653231417967739</v>
      </c>
      <c r="H26" s="186">
        <v>23.385000782397288</v>
      </c>
      <c r="I26" s="186">
        <v>24.084167154146211</v>
      </c>
      <c r="J26" s="186">
        <v>24.918121761138668</v>
      </c>
    </row>
    <row r="27" spans="2:10">
      <c r="B27" s="190" t="s">
        <v>73</v>
      </c>
      <c r="C27" s="186">
        <v>10.436999999999999</v>
      </c>
      <c r="D27" s="186">
        <v>8.4465026840427591</v>
      </c>
      <c r="E27" s="186">
        <v>8.5738000951710234</v>
      </c>
      <c r="F27" s="186">
        <v>8.7851615453582639</v>
      </c>
      <c r="G27" s="186">
        <v>9.0650802329955376</v>
      </c>
      <c r="H27" s="186">
        <v>9.689672915973766</v>
      </c>
      <c r="I27" s="186">
        <v>9.7283302655254484</v>
      </c>
      <c r="J27" s="186">
        <v>6.8262883428267482</v>
      </c>
    </row>
    <row r="28" spans="2:10">
      <c r="B28" s="190" t="s">
        <v>74</v>
      </c>
      <c r="C28" s="186">
        <v>2.3037940000000003</v>
      </c>
      <c r="D28" s="186">
        <v>19.022884634333195</v>
      </c>
      <c r="E28" s="186">
        <v>5.0883455552433361</v>
      </c>
      <c r="F28" s="186">
        <v>1.3502584624717429</v>
      </c>
      <c r="G28" s="186">
        <v>1.2658204628634167</v>
      </c>
      <c r="H28" s="186">
        <v>1.3249852235765047</v>
      </c>
      <c r="I28" s="186">
        <v>1.3737341723925738</v>
      </c>
      <c r="J28" s="186">
        <v>1.4288322392702639</v>
      </c>
    </row>
    <row r="29" spans="2:10">
      <c r="B29" s="194" t="s">
        <v>75</v>
      </c>
      <c r="C29" s="195">
        <v>-0.7072961493750709</v>
      </c>
      <c r="D29" s="195">
        <v>-6.7202870331235456</v>
      </c>
      <c r="E29" s="195">
        <v>2.9101452260164793</v>
      </c>
      <c r="F29" s="195">
        <v>0.80710187814823464</v>
      </c>
      <c r="G29" s="195">
        <v>-8.227390609574621E-2</v>
      </c>
      <c r="H29" s="195">
        <v>-0.24690492905438957</v>
      </c>
      <c r="I29" s="195">
        <v>-0.33742633746710571</v>
      </c>
      <c r="J29" s="195">
        <v>-0.37836719713639905</v>
      </c>
    </row>
    <row r="30" spans="2:10" ht="25.5">
      <c r="B30" s="196" t="s">
        <v>76</v>
      </c>
      <c r="C30" s="197">
        <v>980.92699999999991</v>
      </c>
      <c r="D30" s="197">
        <v>935.68399999999997</v>
      </c>
      <c r="E30" s="197">
        <v>1055.8131851745097</v>
      </c>
      <c r="F30" s="197">
        <v>1055.582945925185</v>
      </c>
      <c r="G30" s="197">
        <v>1055.6576640726332</v>
      </c>
      <c r="H30" s="197">
        <v>1080.1808476938795</v>
      </c>
      <c r="I30" s="197">
        <v>1115.6445782410419</v>
      </c>
      <c r="J30" s="198">
        <v>1147.873601089138</v>
      </c>
    </row>
    <row r="31" spans="2:10">
      <c r="B31" s="199" t="s">
        <v>77</v>
      </c>
      <c r="C31" s="186"/>
      <c r="D31" s="186"/>
      <c r="E31" s="186"/>
      <c r="F31" s="186"/>
      <c r="G31" s="186"/>
      <c r="H31" s="186"/>
      <c r="I31" s="186"/>
      <c r="J31" s="188"/>
    </row>
    <row r="32" spans="2:10">
      <c r="B32" s="187" t="s">
        <v>78</v>
      </c>
      <c r="C32" s="186">
        <v>75.520265999999992</v>
      </c>
      <c r="D32" s="186">
        <v>76.989229000000009</v>
      </c>
      <c r="E32" s="186">
        <v>86.314610307133165</v>
      </c>
      <c r="F32" s="186">
        <v>96.111650871276524</v>
      </c>
      <c r="G32" s="186">
        <v>96.888973191647366</v>
      </c>
      <c r="H32" s="186">
        <v>97.078752417547562</v>
      </c>
      <c r="I32" s="186">
        <v>97.479446993063704</v>
      </c>
      <c r="J32" s="186">
        <v>97.627422690126338</v>
      </c>
    </row>
    <row r="33" spans="2:10">
      <c r="B33" s="187" t="s">
        <v>79</v>
      </c>
      <c r="C33" s="186">
        <v>50.185734000000032</v>
      </c>
      <c r="D33" s="186">
        <v>27.397770999999992</v>
      </c>
      <c r="E33" s="186">
        <v>29.895361949325299</v>
      </c>
      <c r="F33" s="186">
        <v>37.475430440641723</v>
      </c>
      <c r="G33" s="186">
        <v>36.593392127770343</v>
      </c>
      <c r="H33" s="186">
        <v>36.354932579403581</v>
      </c>
      <c r="I33" s="186">
        <v>34.041219817956581</v>
      </c>
      <c r="J33" s="188">
        <v>34.038545978741674</v>
      </c>
    </row>
    <row r="34" spans="2:10">
      <c r="B34" s="187" t="s">
        <v>18</v>
      </c>
      <c r="C34" s="186"/>
      <c r="D34" s="186"/>
      <c r="E34" s="186"/>
      <c r="F34" s="186"/>
      <c r="G34" s="186"/>
      <c r="H34" s="186"/>
      <c r="I34" s="186"/>
      <c r="J34" s="188"/>
    </row>
    <row r="35" spans="2:10">
      <c r="B35" s="200" t="s">
        <v>80</v>
      </c>
      <c r="C35" s="186">
        <v>11.642488693412346</v>
      </c>
      <c r="D35" s="186">
        <v>10.671308255169889</v>
      </c>
      <c r="E35" s="186">
        <v>9.6670462851028827</v>
      </c>
      <c r="F35" s="186">
        <v>9.5887362287702462</v>
      </c>
      <c r="G35" s="186">
        <v>9.2705530278003607</v>
      </c>
      <c r="H35" s="186">
        <v>9.1425736996465563</v>
      </c>
      <c r="I35" s="186">
        <v>9.14213563135797</v>
      </c>
      <c r="J35" s="186">
        <v>9.2356768089872663</v>
      </c>
    </row>
    <row r="36" spans="2:10">
      <c r="B36" s="201" t="s">
        <v>81</v>
      </c>
      <c r="C36" s="186">
        <v>9.7110000000000003</v>
      </c>
      <c r="D36" s="186">
        <v>10.456</v>
      </c>
      <c r="E36" s="186">
        <v>11.576623718267744</v>
      </c>
      <c r="F36" s="186">
        <v>11.576604143247954</v>
      </c>
      <c r="G36" s="186">
        <v>11.925570138214105</v>
      </c>
      <c r="H36" s="186">
        <v>12.096741991532792</v>
      </c>
      <c r="I36" s="186">
        <v>12.090336160744092</v>
      </c>
      <c r="J36" s="186">
        <v>12.179427428498624</v>
      </c>
    </row>
    <row r="37" spans="2:10">
      <c r="B37" s="191" t="s">
        <v>82</v>
      </c>
      <c r="C37" s="186">
        <v>10.60889178774824</v>
      </c>
      <c r="D37" s="186">
        <v>12.739809248883098</v>
      </c>
      <c r="E37" s="186">
        <v>2.0356170011532595</v>
      </c>
      <c r="F37" s="186">
        <v>10.122447196743192</v>
      </c>
      <c r="G37" s="186">
        <v>8.9751347985428769</v>
      </c>
      <c r="H37" s="186">
        <v>7.9026438677466908</v>
      </c>
      <c r="I37" s="186">
        <v>7.24894922876849</v>
      </c>
      <c r="J37" s="186">
        <v>7.0160355105376269</v>
      </c>
    </row>
    <row r="38" spans="2:10">
      <c r="B38" s="190" t="s">
        <v>70</v>
      </c>
      <c r="C38" s="186">
        <v>-0.31900000000000001</v>
      </c>
      <c r="D38" s="186">
        <v>0.59546590909090913</v>
      </c>
      <c r="E38" s="186">
        <v>0.29546590909090903</v>
      </c>
      <c r="F38" s="186">
        <v>0.29546590909090903</v>
      </c>
      <c r="G38" s="186">
        <v>0.29546590909090903</v>
      </c>
      <c r="H38" s="186">
        <v>0.29546590909090903</v>
      </c>
      <c r="I38" s="186">
        <v>0.29546590909090903</v>
      </c>
      <c r="J38" s="186">
        <v>9.5465909090909087E-2</v>
      </c>
    </row>
    <row r="39" spans="2:10">
      <c r="B39" s="190" t="s">
        <v>83</v>
      </c>
      <c r="C39" s="186">
        <v>4.4543729999999995</v>
      </c>
      <c r="D39" s="186">
        <v>4.5047280000000001</v>
      </c>
      <c r="E39" s="186">
        <v>5.3930194827848306</v>
      </c>
      <c r="F39" s="186">
        <v>5.3283925870173716</v>
      </c>
      <c r="G39" s="186">
        <v>5.2533360762874155</v>
      </c>
      <c r="H39" s="186">
        <v>5.1607518226177342</v>
      </c>
      <c r="I39" s="186">
        <v>5.1540360475324967</v>
      </c>
      <c r="J39" s="186">
        <v>5.1460267739014363</v>
      </c>
    </row>
    <row r="40" spans="2:10">
      <c r="B40" s="191" t="s">
        <v>84</v>
      </c>
      <c r="C40" s="186">
        <v>0</v>
      </c>
      <c r="D40" s="186">
        <v>0</v>
      </c>
      <c r="E40" s="186">
        <v>0.220945</v>
      </c>
      <c r="F40" s="186">
        <v>0.21840199999999999</v>
      </c>
      <c r="G40" s="186">
        <v>1.2145890000000001</v>
      </c>
      <c r="H40" s="186">
        <v>2.3629670000000003</v>
      </c>
      <c r="I40" s="186">
        <v>0</v>
      </c>
      <c r="J40" s="186">
        <v>0.40974499999999997</v>
      </c>
    </row>
    <row r="41" spans="2:10">
      <c r="B41" s="191" t="s">
        <v>85</v>
      </c>
      <c r="C41" s="186">
        <v>20.789872966259999</v>
      </c>
      <c r="D41" s="186">
        <v>-5.3945680345599989</v>
      </c>
      <c r="E41" s="186">
        <v>1.7544320585727335</v>
      </c>
      <c r="F41" s="186">
        <v>0.73165554651800002</v>
      </c>
      <c r="G41" s="186">
        <v>0.78222932513541199</v>
      </c>
      <c r="H41" s="186">
        <v>0.79359653716715706</v>
      </c>
      <c r="I41" s="186">
        <v>0.72523677684987053</v>
      </c>
      <c r="J41" s="186">
        <v>0.57385110014448126</v>
      </c>
    </row>
    <row r="42" spans="2:10" ht="25.5">
      <c r="B42" s="202" t="s">
        <v>86</v>
      </c>
      <c r="C42" s="195">
        <v>-6.7018924474205575</v>
      </c>
      <c r="D42" s="195">
        <v>-6.1749723785839015</v>
      </c>
      <c r="E42" s="195">
        <v>-1.0477875056470578</v>
      </c>
      <c r="F42" s="195">
        <v>-0.38627317074595507</v>
      </c>
      <c r="G42" s="195">
        <v>-1.1234861473007312</v>
      </c>
      <c r="H42" s="195">
        <v>-1.3998082483982544</v>
      </c>
      <c r="I42" s="195">
        <v>-0.61493993638724964</v>
      </c>
      <c r="J42" s="195">
        <v>-0.61768255241866821</v>
      </c>
    </row>
    <row r="43" spans="2:10">
      <c r="B43" s="203" t="s">
        <v>87</v>
      </c>
      <c r="C43" s="197">
        <v>125.70600000000002</v>
      </c>
      <c r="D43" s="197">
        <v>104.387</v>
      </c>
      <c r="E43" s="197">
        <v>116.20997225645846</v>
      </c>
      <c r="F43" s="197">
        <v>133.58708131191824</v>
      </c>
      <c r="G43" s="197">
        <v>133.48236531941771</v>
      </c>
      <c r="H43" s="197">
        <v>133.43368499695114</v>
      </c>
      <c r="I43" s="197">
        <v>131.52066681102028</v>
      </c>
      <c r="J43" s="198">
        <v>131.665968668868</v>
      </c>
    </row>
    <row r="44" spans="2:10">
      <c r="B44" s="185" t="s">
        <v>88</v>
      </c>
      <c r="C44" s="186">
        <v>-53.613</v>
      </c>
      <c r="D44" s="186">
        <v>-55.052</v>
      </c>
      <c r="E44" s="186">
        <v>-57.521983576643443</v>
      </c>
      <c r="F44" s="186">
        <v>-59.937333952919609</v>
      </c>
      <c r="G44" s="186">
        <v>-62.534761692027452</v>
      </c>
      <c r="H44" s="186">
        <v>-64.773863037760677</v>
      </c>
      <c r="I44" s="186">
        <v>-67.060786286247819</v>
      </c>
      <c r="J44" s="186">
        <v>-69.541624065137924</v>
      </c>
    </row>
    <row r="45" spans="2:10">
      <c r="B45" s="204" t="s">
        <v>89</v>
      </c>
      <c r="C45" s="195">
        <v>72.093000000000018</v>
      </c>
      <c r="D45" s="195">
        <v>49.335000000000001</v>
      </c>
      <c r="E45" s="195">
        <v>58.687988679815014</v>
      </c>
      <c r="F45" s="195">
        <v>73.649747358998638</v>
      </c>
      <c r="G45" s="195">
        <v>70.947603627390265</v>
      </c>
      <c r="H45" s="195">
        <v>68.659821959190467</v>
      </c>
      <c r="I45" s="195">
        <v>64.459880524772458</v>
      </c>
      <c r="J45" s="205">
        <v>62.12434460373008</v>
      </c>
    </row>
    <row r="46" spans="2:10">
      <c r="B46" s="206" t="s">
        <v>90</v>
      </c>
      <c r="C46" s="207">
        <v>1106.6329999999998</v>
      </c>
      <c r="D46" s="207">
        <v>1040.0709999999999</v>
      </c>
      <c r="E46" s="207">
        <v>1172.0231574309682</v>
      </c>
      <c r="F46" s="207">
        <v>1189.1700272371031</v>
      </c>
      <c r="G46" s="207">
        <v>1189.140029392051</v>
      </c>
      <c r="H46" s="207">
        <v>1213.6145326908306</v>
      </c>
      <c r="I46" s="207">
        <v>1247.1652450520621</v>
      </c>
      <c r="J46" s="208">
        <v>1279.5395697580061</v>
      </c>
    </row>
    <row r="47" spans="2:10" ht="13.5" thickBot="1">
      <c r="B47" s="209" t="s">
        <v>251</v>
      </c>
      <c r="C47" s="210"/>
      <c r="D47" s="210"/>
      <c r="E47" s="210"/>
      <c r="F47" s="210"/>
      <c r="G47" s="210"/>
      <c r="H47" s="210"/>
      <c r="I47" s="210"/>
      <c r="J47" s="211"/>
    </row>
  </sheetData>
  <mergeCells count="3">
    <mergeCell ref="C4:J4"/>
    <mergeCell ref="C5:D5"/>
    <mergeCell ref="E5:J5"/>
  </mergeCells>
  <conditionalFormatting sqref="C46:J46 C30:J30">
    <cfRule type="cellIs" dxfId="6" priority="1" operator="greaterThan">
      <formula>1000</formula>
    </cfRule>
  </conditionalFormatting>
  <hyperlinks>
    <hyperlink ref="A1" location="Contents!A1" display="Contents!A1" xr:uid="{938EA1D7-496A-4B0F-9376-3B46816AB51A}"/>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FD3D-D4E2-481E-BE0A-CE4B9510BBEC}">
  <sheetPr codeName="Sheet20">
    <tabColor theme="6"/>
  </sheetPr>
  <dimension ref="A1:W161"/>
  <sheetViews>
    <sheetView zoomScaleNormal="100" zoomScaleSheetLayoutView="85" workbookViewId="0">
      <pane xSplit="2" ySplit="4" topLeftCell="D70" activePane="bottomRight" state="frozen"/>
      <selection activeCell="Z64" sqref="Z64"/>
      <selection pane="topRight" activeCell="Z64" sqref="Z64"/>
      <selection pane="bottomLeft" activeCell="Z64" sqref="Z64"/>
      <selection pane="bottomRight" activeCell="Z64" sqref="Z64"/>
    </sheetView>
  </sheetViews>
  <sheetFormatPr defaultColWidth="10.140625" defaultRowHeight="15"/>
  <cols>
    <col min="1" max="1" width="10.5703125" style="111" customWidth="1"/>
    <col min="2" max="2" width="10.85546875" style="111" customWidth="1"/>
    <col min="3" max="4" width="12.5703125" style="111" bestFit="1" customWidth="1"/>
    <col min="5" max="5" width="11.140625" style="111" customWidth="1"/>
    <col min="6" max="6" width="11.28515625" style="111" customWidth="1"/>
    <col min="7" max="7" width="10.5703125" style="111" customWidth="1"/>
    <col min="8" max="8" width="12" style="111" customWidth="1"/>
    <col min="9" max="9" width="10.5703125" style="111" customWidth="1"/>
    <col min="10" max="10" width="14.5703125" style="111" bestFit="1" customWidth="1"/>
    <col min="11" max="11" width="10.5703125" style="111" customWidth="1"/>
    <col min="12" max="12" width="11.7109375" style="111" customWidth="1"/>
    <col min="13" max="14" width="10.5703125" style="111" customWidth="1"/>
    <col min="15" max="15" width="11.42578125" style="111" bestFit="1" customWidth="1"/>
    <col min="16" max="16" width="10.5703125" style="111" customWidth="1"/>
    <col min="17" max="17" width="11.7109375" style="111" bestFit="1" customWidth="1"/>
    <col min="18" max="19" width="10.5703125" style="111" customWidth="1"/>
    <col min="20" max="20" width="10.140625" style="111"/>
    <col min="21" max="22" width="17.42578125" style="111" bestFit="1" customWidth="1"/>
    <col min="23" max="23" width="10.85546875" style="111" bestFit="1" customWidth="1"/>
    <col min="24" max="16384" width="10.140625" style="111"/>
  </cols>
  <sheetData>
    <row r="1" spans="1:23" ht="33.75" customHeight="1" thickBot="1">
      <c r="A1" s="108" t="s">
        <v>0</v>
      </c>
      <c r="B1" s="109"/>
      <c r="C1" s="109"/>
      <c r="D1" s="109"/>
      <c r="E1" s="109"/>
      <c r="F1" s="109"/>
      <c r="G1" s="109"/>
      <c r="H1" s="109"/>
      <c r="I1" s="109"/>
      <c r="J1" s="109"/>
      <c r="K1" s="109"/>
      <c r="L1" s="109"/>
      <c r="M1" s="109"/>
      <c r="N1" s="109"/>
      <c r="O1" s="109"/>
      <c r="P1" s="109"/>
      <c r="Q1" s="109"/>
      <c r="R1" s="109"/>
      <c r="S1" s="110"/>
    </row>
    <row r="2" spans="1:23" s="113" customFormat="1" ht="34.5" customHeight="1" thickBot="1">
      <c r="A2" s="112"/>
      <c r="B2" s="552" t="s">
        <v>92</v>
      </c>
      <c r="C2" s="553"/>
      <c r="D2" s="553"/>
      <c r="E2" s="553"/>
      <c r="F2" s="553"/>
      <c r="G2" s="553"/>
      <c r="H2" s="553"/>
      <c r="I2" s="553"/>
      <c r="J2" s="553"/>
      <c r="K2" s="553"/>
      <c r="L2" s="553"/>
      <c r="M2" s="553"/>
      <c r="N2" s="553"/>
      <c r="O2" s="553"/>
      <c r="P2" s="553"/>
      <c r="Q2" s="553"/>
      <c r="R2" s="553"/>
      <c r="S2" s="554"/>
    </row>
    <row r="3" spans="1:23" s="118" customFormat="1" ht="38.25" customHeight="1">
      <c r="A3" s="114"/>
      <c r="B3" s="115" t="s">
        <v>93</v>
      </c>
      <c r="C3" s="555" t="s">
        <v>94</v>
      </c>
      <c r="D3" s="555" t="s">
        <v>95</v>
      </c>
      <c r="E3" s="116" t="s">
        <v>96</v>
      </c>
      <c r="F3" s="117"/>
      <c r="G3" s="117"/>
      <c r="H3" s="117"/>
      <c r="I3" s="117"/>
      <c r="J3" s="555" t="s">
        <v>97</v>
      </c>
      <c r="K3" s="555" t="s">
        <v>98</v>
      </c>
      <c r="L3" s="555" t="s">
        <v>99</v>
      </c>
      <c r="M3" s="555" t="s">
        <v>100</v>
      </c>
      <c r="N3" s="555" t="s">
        <v>101</v>
      </c>
      <c r="O3" s="555" t="s">
        <v>102</v>
      </c>
      <c r="P3" s="548" t="s">
        <v>103</v>
      </c>
      <c r="Q3" s="548" t="s">
        <v>104</v>
      </c>
      <c r="R3" s="548" t="s">
        <v>105</v>
      </c>
      <c r="S3" s="549" t="s">
        <v>106</v>
      </c>
    </row>
    <row r="4" spans="1:23" s="118" customFormat="1" ht="30.75" customHeight="1">
      <c r="A4" s="114"/>
      <c r="B4" s="115"/>
      <c r="C4" s="555"/>
      <c r="D4" s="555"/>
      <c r="E4" s="119" t="s">
        <v>18</v>
      </c>
      <c r="F4" s="119" t="s">
        <v>107</v>
      </c>
      <c r="G4" s="119" t="s">
        <v>108</v>
      </c>
      <c r="H4" s="119" t="s">
        <v>109</v>
      </c>
      <c r="I4" s="119" t="s">
        <v>110</v>
      </c>
      <c r="J4" s="555"/>
      <c r="K4" s="555"/>
      <c r="L4" s="555"/>
      <c r="M4" s="555"/>
      <c r="N4" s="555"/>
      <c r="O4" s="555"/>
      <c r="P4" s="548"/>
      <c r="Q4" s="548"/>
      <c r="R4" s="548"/>
      <c r="S4" s="550"/>
    </row>
    <row r="5" spans="1:23">
      <c r="A5" s="120"/>
      <c r="B5" s="121" t="s">
        <v>111</v>
      </c>
      <c r="C5" s="122">
        <v>308.38200000000001</v>
      </c>
      <c r="D5" s="122">
        <v>93.519000000000005</v>
      </c>
      <c r="E5" s="122">
        <v>87.028000000000006</v>
      </c>
      <c r="F5" s="122">
        <v>46.96</v>
      </c>
      <c r="G5" s="122">
        <v>25.19</v>
      </c>
      <c r="H5" s="122">
        <v>13.757</v>
      </c>
      <c r="I5" s="122">
        <v>1.474</v>
      </c>
      <c r="J5" s="122">
        <v>0.13400000000000001</v>
      </c>
      <c r="K5" s="122">
        <v>489.06299999999999</v>
      </c>
      <c r="L5" s="122">
        <v>-2.343</v>
      </c>
      <c r="M5" s="122">
        <v>486.72</v>
      </c>
      <c r="N5" s="122">
        <v>137.71</v>
      </c>
      <c r="O5" s="122">
        <v>625.94299999999998</v>
      </c>
      <c r="P5" s="122">
        <v>138.58500000000001</v>
      </c>
      <c r="Q5" s="122">
        <v>0</v>
      </c>
      <c r="R5" s="122">
        <v>487.601</v>
      </c>
      <c r="S5" s="123">
        <v>425.714</v>
      </c>
      <c r="T5" s="124"/>
      <c r="U5" s="125"/>
      <c r="V5" s="125"/>
      <c r="W5" s="125"/>
    </row>
    <row r="6" spans="1:23">
      <c r="A6" s="120"/>
      <c r="B6" s="121" t="s">
        <v>112</v>
      </c>
      <c r="C6" s="122">
        <v>304.76900000000001</v>
      </c>
      <c r="D6" s="122">
        <v>93.287999999999997</v>
      </c>
      <c r="E6" s="122">
        <v>87.537999999999997</v>
      </c>
      <c r="F6" s="122">
        <v>48.735999999999997</v>
      </c>
      <c r="G6" s="122">
        <v>23.885000000000002</v>
      </c>
      <c r="H6" s="122">
        <v>13.888999999999999</v>
      </c>
      <c r="I6" s="122">
        <v>1.4120000000000001</v>
      </c>
      <c r="J6" s="122">
        <v>-5.8999999999999997E-2</v>
      </c>
      <c r="K6" s="122">
        <v>485.536</v>
      </c>
      <c r="L6" s="122">
        <v>-1.748</v>
      </c>
      <c r="M6" s="122">
        <v>483.78800000000001</v>
      </c>
      <c r="N6" s="122">
        <v>138.398</v>
      </c>
      <c r="O6" s="122">
        <v>622.86900000000003</v>
      </c>
      <c r="P6" s="122">
        <v>137.84</v>
      </c>
      <c r="Q6" s="122">
        <v>0</v>
      </c>
      <c r="R6" s="122">
        <v>485.27800000000002</v>
      </c>
      <c r="S6" s="123">
        <v>423.75</v>
      </c>
      <c r="U6" s="125"/>
      <c r="V6" s="125"/>
      <c r="W6" s="125"/>
    </row>
    <row r="7" spans="1:23">
      <c r="A7" s="120"/>
      <c r="B7" s="121" t="s">
        <v>113</v>
      </c>
      <c r="C7" s="122">
        <v>299.67399999999998</v>
      </c>
      <c r="D7" s="122">
        <v>94.933999999999997</v>
      </c>
      <c r="E7" s="122">
        <v>83.063000000000002</v>
      </c>
      <c r="F7" s="122">
        <v>46.893000000000001</v>
      </c>
      <c r="G7" s="122">
        <v>19.352</v>
      </c>
      <c r="H7" s="122">
        <v>14.375</v>
      </c>
      <c r="I7" s="122">
        <v>2.7669999999999999</v>
      </c>
      <c r="J7" s="122">
        <v>-1.5</v>
      </c>
      <c r="K7" s="122">
        <v>476.17099999999999</v>
      </c>
      <c r="L7" s="122">
        <v>-3.1070000000000002</v>
      </c>
      <c r="M7" s="122">
        <v>473.06400000000002</v>
      </c>
      <c r="N7" s="122">
        <v>138.53100000000001</v>
      </c>
      <c r="O7" s="122">
        <v>613.23099999999999</v>
      </c>
      <c r="P7" s="122">
        <v>135.572</v>
      </c>
      <c r="Q7" s="122">
        <v>0</v>
      </c>
      <c r="R7" s="122">
        <v>477.935</v>
      </c>
      <c r="S7" s="123">
        <v>416.166</v>
      </c>
      <c r="U7" s="125"/>
      <c r="V7" s="125"/>
      <c r="W7" s="125"/>
    </row>
    <row r="8" spans="1:23">
      <c r="A8" s="120"/>
      <c r="B8" s="121" t="s">
        <v>114</v>
      </c>
      <c r="C8" s="122">
        <v>292.608</v>
      </c>
      <c r="D8" s="122">
        <v>95.891000000000005</v>
      </c>
      <c r="E8" s="122">
        <v>81.584999999999994</v>
      </c>
      <c r="F8" s="122">
        <v>45.311</v>
      </c>
      <c r="G8" s="122">
        <v>18.413</v>
      </c>
      <c r="H8" s="122">
        <v>15.473000000000001</v>
      </c>
      <c r="I8" s="122">
        <v>2.7170000000000001</v>
      </c>
      <c r="J8" s="122">
        <v>0.38500000000000001</v>
      </c>
      <c r="K8" s="122">
        <v>470.46899999999999</v>
      </c>
      <c r="L8" s="122">
        <v>-5.3869999999999996</v>
      </c>
      <c r="M8" s="122">
        <v>465.08199999999999</v>
      </c>
      <c r="N8" s="122">
        <v>132.97499999999999</v>
      </c>
      <c r="O8" s="122">
        <v>595.30999999999995</v>
      </c>
      <c r="P8" s="122">
        <v>128.23599999999999</v>
      </c>
      <c r="Q8" s="122">
        <v>0</v>
      </c>
      <c r="R8" s="122">
        <v>467.25</v>
      </c>
      <c r="S8" s="123">
        <v>405.983</v>
      </c>
      <c r="U8" s="125"/>
      <c r="V8" s="125"/>
      <c r="W8" s="125"/>
    </row>
    <row r="9" spans="1:23">
      <c r="A9" s="120"/>
      <c r="B9" s="121" t="s">
        <v>115</v>
      </c>
      <c r="C9" s="122">
        <v>291.57100000000003</v>
      </c>
      <c r="D9" s="122">
        <v>95.337999999999994</v>
      </c>
      <c r="E9" s="122">
        <v>76.319999999999993</v>
      </c>
      <c r="F9" s="122">
        <v>41.006</v>
      </c>
      <c r="G9" s="122">
        <v>17.385000000000002</v>
      </c>
      <c r="H9" s="122">
        <v>15.467000000000001</v>
      </c>
      <c r="I9" s="122">
        <v>2.6670000000000003</v>
      </c>
      <c r="J9" s="122">
        <v>1.395</v>
      </c>
      <c r="K9" s="122">
        <v>464.62400000000002</v>
      </c>
      <c r="L9" s="122">
        <v>-8.57</v>
      </c>
      <c r="M9" s="122">
        <v>456.05399999999997</v>
      </c>
      <c r="N9" s="122">
        <v>124.39100000000001</v>
      </c>
      <c r="O9" s="122">
        <v>580.95600000000002</v>
      </c>
      <c r="P9" s="122">
        <v>123.084</v>
      </c>
      <c r="Q9" s="122">
        <v>0</v>
      </c>
      <c r="R9" s="122">
        <v>458.18099999999998</v>
      </c>
      <c r="S9" s="123">
        <v>398.40499999999997</v>
      </c>
      <c r="U9" s="125"/>
      <c r="V9" s="125"/>
      <c r="W9" s="125"/>
    </row>
    <row r="10" spans="1:23" ht="15.75">
      <c r="A10" s="110"/>
      <c r="B10" s="121" t="s">
        <v>116</v>
      </c>
      <c r="C10" s="122">
        <v>291.01600000000002</v>
      </c>
      <c r="D10" s="122">
        <v>95.228999999999999</v>
      </c>
      <c r="E10" s="122">
        <v>73.206000000000003</v>
      </c>
      <c r="F10" s="122">
        <v>39.113999999999997</v>
      </c>
      <c r="G10" s="122">
        <v>16.991</v>
      </c>
      <c r="H10" s="122">
        <v>14.569000000000001</v>
      </c>
      <c r="I10" s="122">
        <v>2.621</v>
      </c>
      <c r="J10" s="122">
        <v>0.75600000000000001</v>
      </c>
      <c r="K10" s="122">
        <v>460.20699999999999</v>
      </c>
      <c r="L10" s="122">
        <v>-9.2249999999999996</v>
      </c>
      <c r="M10" s="122">
        <v>450.98200000000003</v>
      </c>
      <c r="N10" s="122">
        <v>123.42700000000001</v>
      </c>
      <c r="O10" s="122">
        <v>579.43700000000001</v>
      </c>
      <c r="P10" s="122">
        <v>122.932</v>
      </c>
      <c r="Q10" s="122">
        <v>0</v>
      </c>
      <c r="R10" s="122">
        <v>456.86700000000002</v>
      </c>
      <c r="S10" s="123">
        <v>397.59399999999999</v>
      </c>
      <c r="U10" s="125"/>
      <c r="V10" s="125"/>
      <c r="W10" s="125"/>
    </row>
    <row r="11" spans="1:23" ht="15.75">
      <c r="A11" s="110"/>
      <c r="B11" s="121" t="s">
        <v>117</v>
      </c>
      <c r="C11" s="122">
        <v>292.43</v>
      </c>
      <c r="D11" s="122">
        <v>95.789000000000001</v>
      </c>
      <c r="E11" s="122">
        <v>74.046999999999997</v>
      </c>
      <c r="F11" s="122">
        <v>38.305999999999997</v>
      </c>
      <c r="G11" s="122">
        <v>16.925999999999998</v>
      </c>
      <c r="H11" s="122">
        <v>16.286000000000001</v>
      </c>
      <c r="I11" s="122">
        <v>2.6640000000000001</v>
      </c>
      <c r="J11" s="122">
        <v>0.69399999999999995</v>
      </c>
      <c r="K11" s="122">
        <v>462.96</v>
      </c>
      <c r="L11" s="122">
        <v>-8.4640000000000004</v>
      </c>
      <c r="M11" s="122">
        <v>454.49599999999998</v>
      </c>
      <c r="N11" s="122">
        <v>122.499</v>
      </c>
      <c r="O11" s="122">
        <v>583.27099999999996</v>
      </c>
      <c r="P11" s="122">
        <v>126.124</v>
      </c>
      <c r="Q11" s="122">
        <v>0</v>
      </c>
      <c r="R11" s="122">
        <v>457.471</v>
      </c>
      <c r="S11" s="123">
        <v>399.76299999999998</v>
      </c>
      <c r="U11" s="125"/>
      <c r="V11" s="125"/>
      <c r="W11" s="125"/>
    </row>
    <row r="12" spans="1:23" ht="15.75">
      <c r="A12" s="110"/>
      <c r="B12" s="121" t="s">
        <v>118</v>
      </c>
      <c r="C12" s="122">
        <v>294.78500000000003</v>
      </c>
      <c r="D12" s="122">
        <v>96.558999999999997</v>
      </c>
      <c r="E12" s="122">
        <v>72.917000000000002</v>
      </c>
      <c r="F12" s="122">
        <v>38.164999999999999</v>
      </c>
      <c r="G12" s="122">
        <v>16.131</v>
      </c>
      <c r="H12" s="122">
        <v>15.993</v>
      </c>
      <c r="I12" s="122">
        <v>2.7170000000000001</v>
      </c>
      <c r="J12" s="122">
        <v>-9.9000000000000005E-2</v>
      </c>
      <c r="K12" s="122">
        <v>464.16199999999998</v>
      </c>
      <c r="L12" s="122">
        <v>-6.907</v>
      </c>
      <c r="M12" s="122">
        <v>457.255</v>
      </c>
      <c r="N12" s="122">
        <v>127.955</v>
      </c>
      <c r="O12" s="122">
        <v>586.78200000000004</v>
      </c>
      <c r="P12" s="122">
        <v>128.05199999999999</v>
      </c>
      <c r="Q12" s="122">
        <v>0</v>
      </c>
      <c r="R12" s="122">
        <v>459.03100000000001</v>
      </c>
      <c r="S12" s="123">
        <v>401.92399999999998</v>
      </c>
      <c r="U12" s="125"/>
      <c r="V12" s="125"/>
      <c r="W12" s="125"/>
    </row>
    <row r="13" spans="1:23" ht="18.75" customHeight="1">
      <c r="A13" s="110"/>
      <c r="B13" s="121" t="s">
        <v>119</v>
      </c>
      <c r="C13" s="122">
        <v>293.14</v>
      </c>
      <c r="D13" s="122">
        <v>95.477999999999994</v>
      </c>
      <c r="E13" s="122">
        <v>75.936000000000007</v>
      </c>
      <c r="F13" s="122">
        <v>39.649000000000001</v>
      </c>
      <c r="G13" s="122">
        <v>17.350999999999999</v>
      </c>
      <c r="H13" s="122">
        <v>16.420000000000002</v>
      </c>
      <c r="I13" s="122">
        <v>2.6970000000000001</v>
      </c>
      <c r="J13" s="122">
        <v>-0.16</v>
      </c>
      <c r="K13" s="122">
        <v>464.39400000000001</v>
      </c>
      <c r="L13" s="122">
        <v>-0.629</v>
      </c>
      <c r="M13" s="122">
        <v>463.76499999999999</v>
      </c>
      <c r="N13" s="122">
        <v>128.239</v>
      </c>
      <c r="O13" s="122">
        <v>593.47500000000002</v>
      </c>
      <c r="P13" s="122">
        <v>130.363</v>
      </c>
      <c r="Q13" s="122">
        <v>0</v>
      </c>
      <c r="R13" s="122">
        <v>463.39100000000002</v>
      </c>
      <c r="S13" s="123">
        <v>405.93099999999998</v>
      </c>
      <c r="U13" s="125"/>
      <c r="V13" s="125"/>
      <c r="W13" s="125"/>
    </row>
    <row r="14" spans="1:23" ht="15.75">
      <c r="A14" s="110"/>
      <c r="B14" s="121" t="s">
        <v>120</v>
      </c>
      <c r="C14" s="122">
        <v>299.97399999999999</v>
      </c>
      <c r="D14" s="122">
        <v>95.763999999999996</v>
      </c>
      <c r="E14" s="122">
        <v>75.576999999999998</v>
      </c>
      <c r="F14" s="122">
        <v>39.512999999999998</v>
      </c>
      <c r="G14" s="122">
        <v>18.382999999999999</v>
      </c>
      <c r="H14" s="122">
        <v>15.231</v>
      </c>
      <c r="I14" s="122">
        <v>2.6749999999999998</v>
      </c>
      <c r="J14" s="122">
        <v>-0.54100000000000004</v>
      </c>
      <c r="K14" s="122">
        <v>470.774</v>
      </c>
      <c r="L14" s="122">
        <v>-1.9650000000000001</v>
      </c>
      <c r="M14" s="122">
        <v>468.80900000000003</v>
      </c>
      <c r="N14" s="122">
        <v>133.048</v>
      </c>
      <c r="O14" s="122">
        <v>602.68399999999997</v>
      </c>
      <c r="P14" s="122">
        <v>134.22</v>
      </c>
      <c r="Q14" s="122">
        <v>0</v>
      </c>
      <c r="R14" s="122">
        <v>468.69099999999997</v>
      </c>
      <c r="S14" s="123">
        <v>410.49599999999998</v>
      </c>
      <c r="U14" s="125"/>
      <c r="V14" s="125"/>
      <c r="W14" s="125"/>
    </row>
    <row r="15" spans="1:23" ht="15.75">
      <c r="A15" s="110"/>
      <c r="B15" s="121" t="s">
        <v>121</v>
      </c>
      <c r="C15" s="122">
        <v>300.04599999999999</v>
      </c>
      <c r="D15" s="122">
        <v>95.778000000000006</v>
      </c>
      <c r="E15" s="122">
        <v>78.355000000000004</v>
      </c>
      <c r="F15" s="122">
        <v>40.874000000000002</v>
      </c>
      <c r="G15" s="122">
        <v>19.265999999999998</v>
      </c>
      <c r="H15" s="122">
        <v>15.804</v>
      </c>
      <c r="I15" s="122">
        <v>2.6589999999999998</v>
      </c>
      <c r="J15" s="122">
        <v>0.14899999999999999</v>
      </c>
      <c r="K15" s="122">
        <v>474.32799999999997</v>
      </c>
      <c r="L15" s="122">
        <v>4.2000000000000003E-2</v>
      </c>
      <c r="M15" s="122">
        <v>474.37</v>
      </c>
      <c r="N15" s="122">
        <v>133.84399999999999</v>
      </c>
      <c r="O15" s="122">
        <v>609.55700000000002</v>
      </c>
      <c r="P15" s="122">
        <v>138.05199999999999</v>
      </c>
      <c r="Q15" s="122">
        <v>0</v>
      </c>
      <c r="R15" s="122">
        <v>471.66399999999999</v>
      </c>
      <c r="S15" s="123">
        <v>413.47899999999998</v>
      </c>
      <c r="U15" s="125"/>
      <c r="V15" s="125"/>
      <c r="W15" s="125"/>
    </row>
    <row r="16" spans="1:23" ht="15.75">
      <c r="A16" s="110"/>
      <c r="B16" s="121" t="s">
        <v>122</v>
      </c>
      <c r="C16" s="122">
        <v>299.875</v>
      </c>
      <c r="D16" s="122">
        <v>96.488</v>
      </c>
      <c r="E16" s="122">
        <v>80.277000000000001</v>
      </c>
      <c r="F16" s="122">
        <v>43.603000000000002</v>
      </c>
      <c r="G16" s="122">
        <v>18.920000000000002</v>
      </c>
      <c r="H16" s="122">
        <v>15.324999999999999</v>
      </c>
      <c r="I16" s="122">
        <v>2.6070000000000002</v>
      </c>
      <c r="J16" s="122">
        <v>0.55800000000000005</v>
      </c>
      <c r="K16" s="122">
        <v>477.19799999999998</v>
      </c>
      <c r="L16" s="122">
        <v>-3.714</v>
      </c>
      <c r="M16" s="122">
        <v>473.48399999999998</v>
      </c>
      <c r="N16" s="122">
        <v>137.18799999999999</v>
      </c>
      <c r="O16" s="122">
        <v>611.12800000000004</v>
      </c>
      <c r="P16" s="122">
        <v>138.94999999999999</v>
      </c>
      <c r="Q16" s="122">
        <v>0</v>
      </c>
      <c r="R16" s="122">
        <v>472.31200000000001</v>
      </c>
      <c r="S16" s="123">
        <v>414.62799999999999</v>
      </c>
      <c r="U16" s="125"/>
      <c r="V16" s="125"/>
      <c r="W16" s="125"/>
    </row>
    <row r="17" spans="1:23" ht="18.75" customHeight="1">
      <c r="A17" s="110"/>
      <c r="B17" s="121" t="s">
        <v>123</v>
      </c>
      <c r="C17" s="122">
        <v>297.11</v>
      </c>
      <c r="D17" s="122">
        <v>97.034999999999997</v>
      </c>
      <c r="E17" s="122">
        <v>76.536000000000001</v>
      </c>
      <c r="F17" s="122">
        <v>39.881</v>
      </c>
      <c r="G17" s="122">
        <v>17.969000000000001</v>
      </c>
      <c r="H17" s="122">
        <v>16.298999999999999</v>
      </c>
      <c r="I17" s="122">
        <v>2.6189999999999998</v>
      </c>
      <c r="J17" s="122">
        <v>-1.601</v>
      </c>
      <c r="K17" s="122">
        <v>469.08</v>
      </c>
      <c r="L17" s="122">
        <v>-1.0309999999999999</v>
      </c>
      <c r="M17" s="122">
        <v>468.04899999999998</v>
      </c>
      <c r="N17" s="122">
        <v>142.48099999999999</v>
      </c>
      <c r="O17" s="122">
        <v>609.33500000000004</v>
      </c>
      <c r="P17" s="122">
        <v>136.065</v>
      </c>
      <c r="Q17" s="122">
        <v>0</v>
      </c>
      <c r="R17" s="122">
        <v>473.51</v>
      </c>
      <c r="S17" s="123">
        <v>416.90100000000001</v>
      </c>
      <c r="U17" s="125"/>
      <c r="V17" s="125"/>
      <c r="W17" s="125"/>
    </row>
    <row r="18" spans="1:23" ht="15.75">
      <c r="A18" s="110"/>
      <c r="B18" s="121" t="s">
        <v>124</v>
      </c>
      <c r="C18" s="122">
        <v>296.45</v>
      </c>
      <c r="D18" s="122">
        <v>95.555999999999997</v>
      </c>
      <c r="E18" s="122">
        <v>75.777000000000001</v>
      </c>
      <c r="F18" s="122">
        <v>41.640999999999998</v>
      </c>
      <c r="G18" s="122">
        <v>17.466000000000001</v>
      </c>
      <c r="H18" s="122">
        <v>14.266</v>
      </c>
      <c r="I18" s="122">
        <v>2.532</v>
      </c>
      <c r="J18" s="122">
        <v>2.7E-2</v>
      </c>
      <c r="K18" s="122">
        <v>467.81</v>
      </c>
      <c r="L18" s="122">
        <v>5.21</v>
      </c>
      <c r="M18" s="122">
        <v>473.02</v>
      </c>
      <c r="N18" s="122">
        <v>140.613</v>
      </c>
      <c r="O18" s="122">
        <v>613.69799999999998</v>
      </c>
      <c r="P18" s="122">
        <v>140.01499999999999</v>
      </c>
      <c r="Q18" s="122">
        <v>0</v>
      </c>
      <c r="R18" s="122">
        <v>473.77300000000002</v>
      </c>
      <c r="S18" s="123">
        <v>417.08300000000003</v>
      </c>
      <c r="U18" s="125"/>
      <c r="V18" s="125"/>
      <c r="W18" s="125"/>
    </row>
    <row r="19" spans="1:23" ht="15.75">
      <c r="A19" s="110"/>
      <c r="B19" s="121" t="s">
        <v>125</v>
      </c>
      <c r="C19" s="122">
        <v>297.24900000000002</v>
      </c>
      <c r="D19" s="122">
        <v>95.421000000000006</v>
      </c>
      <c r="E19" s="122">
        <v>77.63</v>
      </c>
      <c r="F19" s="122">
        <v>43.46</v>
      </c>
      <c r="G19" s="122">
        <v>17.401</v>
      </c>
      <c r="H19" s="122">
        <v>14.433</v>
      </c>
      <c r="I19" s="122">
        <v>2.4039999999999999</v>
      </c>
      <c r="J19" s="122">
        <v>0.88600000000000001</v>
      </c>
      <c r="K19" s="122">
        <v>471.18599999999998</v>
      </c>
      <c r="L19" s="122">
        <v>-0.76100000000000001</v>
      </c>
      <c r="M19" s="122">
        <v>470.42500000000001</v>
      </c>
      <c r="N19" s="122">
        <v>142.096</v>
      </c>
      <c r="O19" s="122">
        <v>613.76800000000003</v>
      </c>
      <c r="P19" s="122">
        <v>139.37700000000001</v>
      </c>
      <c r="Q19" s="122">
        <v>0</v>
      </c>
      <c r="R19" s="122">
        <v>474.50099999999998</v>
      </c>
      <c r="S19" s="123">
        <v>418.54500000000002</v>
      </c>
      <c r="U19" s="125"/>
      <c r="V19" s="125"/>
      <c r="W19" s="125"/>
    </row>
    <row r="20" spans="1:23" ht="15.75">
      <c r="A20" s="110"/>
      <c r="B20" s="121" t="s">
        <v>126</v>
      </c>
      <c r="C20" s="122">
        <v>298.14100000000002</v>
      </c>
      <c r="D20" s="122">
        <v>96.197000000000003</v>
      </c>
      <c r="E20" s="122">
        <v>78.834000000000003</v>
      </c>
      <c r="F20" s="122">
        <v>44.768999999999998</v>
      </c>
      <c r="G20" s="122">
        <v>17.754999999999999</v>
      </c>
      <c r="H20" s="122">
        <v>13.984999999999999</v>
      </c>
      <c r="I20" s="122">
        <v>2.3580000000000001</v>
      </c>
      <c r="J20" s="122">
        <v>-6.0000000000000001E-3</v>
      </c>
      <c r="K20" s="122">
        <v>473.166</v>
      </c>
      <c r="L20" s="122">
        <v>-6.95</v>
      </c>
      <c r="M20" s="122">
        <v>466.21600000000001</v>
      </c>
      <c r="N20" s="122">
        <v>144.02500000000001</v>
      </c>
      <c r="O20" s="122">
        <v>614.57299999999998</v>
      </c>
      <c r="P20" s="122">
        <v>140.333</v>
      </c>
      <c r="Q20" s="122">
        <v>0</v>
      </c>
      <c r="R20" s="122">
        <v>474.303</v>
      </c>
      <c r="S20" s="123">
        <v>419.37099999999998</v>
      </c>
      <c r="U20" s="125"/>
      <c r="V20" s="125"/>
      <c r="W20" s="125"/>
    </row>
    <row r="21" spans="1:23" ht="18.75" customHeight="1">
      <c r="A21" s="110"/>
      <c r="B21" s="121" t="s">
        <v>127</v>
      </c>
      <c r="C21" s="122">
        <v>297.83199999999999</v>
      </c>
      <c r="D21" s="122">
        <v>99.135999999999996</v>
      </c>
      <c r="E21" s="122">
        <v>79.787000000000006</v>
      </c>
      <c r="F21" s="122">
        <v>45.732999999999997</v>
      </c>
      <c r="G21" s="122">
        <v>17.478999999999999</v>
      </c>
      <c r="H21" s="122">
        <v>14.288</v>
      </c>
      <c r="I21" s="122">
        <v>2.3140000000000001</v>
      </c>
      <c r="J21" s="122">
        <v>-1.349</v>
      </c>
      <c r="K21" s="122">
        <v>475.40600000000001</v>
      </c>
      <c r="L21" s="122">
        <v>-3.044</v>
      </c>
      <c r="M21" s="122">
        <v>472.36200000000002</v>
      </c>
      <c r="N21" s="122">
        <v>148.09700000000001</v>
      </c>
      <c r="O21" s="122">
        <v>619.15800000000002</v>
      </c>
      <c r="P21" s="122">
        <v>141.00200000000001</v>
      </c>
      <c r="Q21" s="122">
        <v>0</v>
      </c>
      <c r="R21" s="122">
        <v>478.24200000000002</v>
      </c>
      <c r="S21" s="123">
        <v>423.68299999999999</v>
      </c>
      <c r="U21" s="125"/>
      <c r="V21" s="125"/>
      <c r="W21" s="125"/>
    </row>
    <row r="22" spans="1:23" ht="15.75">
      <c r="A22" s="110"/>
      <c r="B22" s="121" t="s">
        <v>128</v>
      </c>
      <c r="C22" s="122">
        <v>300.23399999999998</v>
      </c>
      <c r="D22" s="122">
        <v>95.787999999999997</v>
      </c>
      <c r="E22" s="122">
        <v>76.275000000000006</v>
      </c>
      <c r="F22" s="122">
        <v>42.981999999999999</v>
      </c>
      <c r="G22" s="122">
        <v>16.745000000000001</v>
      </c>
      <c r="H22" s="122">
        <v>14.364000000000001</v>
      </c>
      <c r="I22" s="122">
        <v>2.2829999999999999</v>
      </c>
      <c r="J22" s="122">
        <v>0.55300000000000005</v>
      </c>
      <c r="K22" s="122">
        <v>472.85</v>
      </c>
      <c r="L22" s="122">
        <v>6.1289999999999996</v>
      </c>
      <c r="M22" s="122">
        <v>478.97899999999998</v>
      </c>
      <c r="N22" s="122">
        <v>141.13399999999999</v>
      </c>
      <c r="O22" s="122">
        <v>621.54200000000003</v>
      </c>
      <c r="P22" s="122">
        <v>143.46199999999999</v>
      </c>
      <c r="Q22" s="122">
        <v>0</v>
      </c>
      <c r="R22" s="122">
        <v>477.97399999999999</v>
      </c>
      <c r="S22" s="123">
        <v>423.584</v>
      </c>
      <c r="U22" s="125"/>
      <c r="V22" s="125"/>
      <c r="W22" s="125"/>
    </row>
    <row r="23" spans="1:23" ht="15.75">
      <c r="A23" s="110"/>
      <c r="B23" s="121" t="s">
        <v>129</v>
      </c>
      <c r="C23" s="122">
        <v>303.69299999999998</v>
      </c>
      <c r="D23" s="122">
        <v>96.685000000000002</v>
      </c>
      <c r="E23" s="122">
        <v>75.587999999999994</v>
      </c>
      <c r="F23" s="122">
        <v>43.643000000000001</v>
      </c>
      <c r="G23" s="122">
        <v>16.978999999999999</v>
      </c>
      <c r="H23" s="122">
        <v>12.837</v>
      </c>
      <c r="I23" s="122">
        <v>2.2180000000000004</v>
      </c>
      <c r="J23" s="122">
        <v>-0.23200000000000001</v>
      </c>
      <c r="K23" s="122">
        <v>475.73399999999998</v>
      </c>
      <c r="L23" s="122">
        <v>7.367</v>
      </c>
      <c r="M23" s="122">
        <v>483.101</v>
      </c>
      <c r="N23" s="122">
        <v>144.142</v>
      </c>
      <c r="O23" s="122">
        <v>626.69399999999996</v>
      </c>
      <c r="P23" s="122">
        <v>142.833</v>
      </c>
      <c r="Q23" s="122">
        <v>0</v>
      </c>
      <c r="R23" s="122">
        <v>483.91300000000001</v>
      </c>
      <c r="S23" s="123">
        <v>428.62700000000001</v>
      </c>
      <c r="U23" s="125"/>
      <c r="V23" s="125"/>
      <c r="W23" s="125"/>
    </row>
    <row r="24" spans="1:23" ht="15.75">
      <c r="A24" s="110"/>
      <c r="B24" s="121" t="s">
        <v>130</v>
      </c>
      <c r="C24" s="122">
        <v>307.54599999999999</v>
      </c>
      <c r="D24" s="122">
        <v>97.887</v>
      </c>
      <c r="E24" s="122">
        <v>79.483000000000004</v>
      </c>
      <c r="F24" s="122">
        <v>46.381999999999998</v>
      </c>
      <c r="G24" s="122">
        <v>17.902999999999999</v>
      </c>
      <c r="H24" s="122">
        <v>12.98</v>
      </c>
      <c r="I24" s="122">
        <v>2.177</v>
      </c>
      <c r="J24" s="122">
        <v>-1E-3</v>
      </c>
      <c r="K24" s="122">
        <v>484.91500000000002</v>
      </c>
      <c r="L24" s="122">
        <v>-5.2709999999999999</v>
      </c>
      <c r="M24" s="122">
        <v>479.64400000000001</v>
      </c>
      <c r="N24" s="122">
        <v>140.42099999999999</v>
      </c>
      <c r="O24" s="122">
        <v>622.57299999999998</v>
      </c>
      <c r="P24" s="122">
        <v>139.42500000000001</v>
      </c>
      <c r="Q24" s="122">
        <v>0</v>
      </c>
      <c r="R24" s="122">
        <v>483.42200000000003</v>
      </c>
      <c r="S24" s="123">
        <v>428.28100000000001</v>
      </c>
      <c r="U24" s="125"/>
      <c r="V24" s="125"/>
      <c r="W24" s="125"/>
    </row>
    <row r="25" spans="1:23" ht="18.75" customHeight="1">
      <c r="A25" s="110"/>
      <c r="B25" s="121" t="s">
        <v>131</v>
      </c>
      <c r="C25" s="122">
        <v>305.97000000000003</v>
      </c>
      <c r="D25" s="122">
        <v>97.477999999999994</v>
      </c>
      <c r="E25" s="122">
        <v>76.378</v>
      </c>
      <c r="F25" s="122">
        <v>44.472000000000001</v>
      </c>
      <c r="G25" s="122">
        <v>17.795000000000002</v>
      </c>
      <c r="H25" s="122">
        <v>11.922000000000001</v>
      </c>
      <c r="I25" s="122">
        <v>2.1389999999999998</v>
      </c>
      <c r="J25" s="122">
        <v>1.0009999999999999</v>
      </c>
      <c r="K25" s="122">
        <v>480.827</v>
      </c>
      <c r="L25" s="122">
        <v>1.0529999999999999</v>
      </c>
      <c r="M25" s="122">
        <v>481.88</v>
      </c>
      <c r="N25" s="122">
        <v>143.52799999999999</v>
      </c>
      <c r="O25" s="122">
        <v>624.94899999999996</v>
      </c>
      <c r="P25" s="122">
        <v>140.61000000000001</v>
      </c>
      <c r="Q25" s="122">
        <v>0</v>
      </c>
      <c r="R25" s="122">
        <v>484.55500000000001</v>
      </c>
      <c r="S25" s="123">
        <v>430.25900000000001</v>
      </c>
      <c r="U25" s="125"/>
      <c r="V25" s="125"/>
      <c r="W25" s="125"/>
    </row>
    <row r="26" spans="1:23" ht="15.75">
      <c r="A26" s="110"/>
      <c r="B26" s="121" t="s">
        <v>132</v>
      </c>
      <c r="C26" s="122">
        <v>308.95999999999998</v>
      </c>
      <c r="D26" s="122">
        <v>96.728999999999999</v>
      </c>
      <c r="E26" s="122">
        <v>80.289000000000001</v>
      </c>
      <c r="F26" s="122">
        <v>45.473999999999997</v>
      </c>
      <c r="G26" s="122">
        <v>19.565999999999999</v>
      </c>
      <c r="H26" s="122">
        <v>13.128</v>
      </c>
      <c r="I26" s="122">
        <v>2.1139999999999999</v>
      </c>
      <c r="J26" s="122">
        <v>3.1659999999999999</v>
      </c>
      <c r="K26" s="122">
        <v>489.14400000000001</v>
      </c>
      <c r="L26" s="122">
        <v>2.5270000000000001</v>
      </c>
      <c r="M26" s="122">
        <v>491.67099999999999</v>
      </c>
      <c r="N26" s="122">
        <v>145.11099999999999</v>
      </c>
      <c r="O26" s="122">
        <v>635.529</v>
      </c>
      <c r="P26" s="122">
        <v>147.57</v>
      </c>
      <c r="Q26" s="122">
        <v>0</v>
      </c>
      <c r="R26" s="122">
        <v>487.84500000000003</v>
      </c>
      <c r="S26" s="123">
        <v>432.35300000000001</v>
      </c>
      <c r="U26" s="125"/>
      <c r="V26" s="125"/>
      <c r="W26" s="125"/>
    </row>
    <row r="27" spans="1:23" ht="15.75">
      <c r="A27" s="110"/>
      <c r="B27" s="121" t="s">
        <v>133</v>
      </c>
      <c r="C27" s="122">
        <v>312.553</v>
      </c>
      <c r="D27" s="122">
        <v>96.688999999999993</v>
      </c>
      <c r="E27" s="122">
        <v>82.244</v>
      </c>
      <c r="F27" s="122">
        <v>47.039000000000001</v>
      </c>
      <c r="G27" s="122">
        <v>19.681000000000001</v>
      </c>
      <c r="H27" s="122">
        <v>13.393000000000001</v>
      </c>
      <c r="I27" s="122">
        <v>2.1070000000000002</v>
      </c>
      <c r="J27" s="122">
        <v>-2.4489999999999998</v>
      </c>
      <c r="K27" s="122">
        <v>489.03699999999998</v>
      </c>
      <c r="L27" s="122">
        <v>3.2250000000000001</v>
      </c>
      <c r="M27" s="122">
        <v>492.262</v>
      </c>
      <c r="N27" s="122">
        <v>144.77699999999999</v>
      </c>
      <c r="O27" s="122">
        <v>639</v>
      </c>
      <c r="P27" s="122">
        <v>147.43299999999999</v>
      </c>
      <c r="Q27" s="122">
        <v>0</v>
      </c>
      <c r="R27" s="122">
        <v>491.49900000000002</v>
      </c>
      <c r="S27" s="123">
        <v>435.75</v>
      </c>
      <c r="U27" s="125"/>
      <c r="V27" s="125"/>
      <c r="W27" s="125"/>
    </row>
    <row r="28" spans="1:23" ht="15.75">
      <c r="A28" s="110"/>
      <c r="B28" s="121" t="s">
        <v>134</v>
      </c>
      <c r="C28" s="122">
        <v>313.42700000000002</v>
      </c>
      <c r="D28" s="122">
        <v>98.427000000000007</v>
      </c>
      <c r="E28" s="122">
        <v>82.873999999999995</v>
      </c>
      <c r="F28" s="122">
        <v>47.527999999999999</v>
      </c>
      <c r="G28" s="122">
        <v>19.491</v>
      </c>
      <c r="H28" s="122">
        <v>13.754</v>
      </c>
      <c r="I28" s="122">
        <v>2.097</v>
      </c>
      <c r="J28" s="122">
        <v>5.306</v>
      </c>
      <c r="K28" s="122">
        <v>500.03399999999999</v>
      </c>
      <c r="L28" s="122">
        <v>0.121</v>
      </c>
      <c r="M28" s="122">
        <v>500.15499999999997</v>
      </c>
      <c r="N28" s="122">
        <v>141.56899999999999</v>
      </c>
      <c r="O28" s="122">
        <v>645.72799999999995</v>
      </c>
      <c r="P28" s="122">
        <v>150.84899999999999</v>
      </c>
      <c r="Q28" s="122">
        <v>0</v>
      </c>
      <c r="R28" s="122">
        <v>494.65800000000002</v>
      </c>
      <c r="S28" s="123">
        <v>437.88299999999998</v>
      </c>
      <c r="U28" s="125"/>
      <c r="V28" s="125"/>
      <c r="W28" s="125"/>
    </row>
    <row r="29" spans="1:23" ht="18.75" customHeight="1">
      <c r="A29" s="110"/>
      <c r="B29" s="121" t="s">
        <v>135</v>
      </c>
      <c r="C29" s="122">
        <v>315.04399999999998</v>
      </c>
      <c r="D29" s="122">
        <v>99.043999999999997</v>
      </c>
      <c r="E29" s="122">
        <v>84.992999999999995</v>
      </c>
      <c r="F29" s="122">
        <v>47.582999999999998</v>
      </c>
      <c r="G29" s="122">
        <v>20.007999999999999</v>
      </c>
      <c r="H29" s="122">
        <v>15.233000000000001</v>
      </c>
      <c r="I29" s="122">
        <v>2.1869999999999998</v>
      </c>
      <c r="J29" s="122">
        <v>1.363</v>
      </c>
      <c r="K29" s="122">
        <v>500.44400000000002</v>
      </c>
      <c r="L29" s="122">
        <v>-1.877</v>
      </c>
      <c r="M29" s="122">
        <v>498.56700000000001</v>
      </c>
      <c r="N29" s="122">
        <v>142.50700000000001</v>
      </c>
      <c r="O29" s="122">
        <v>647.75900000000001</v>
      </c>
      <c r="P29" s="122">
        <v>148.39699999999999</v>
      </c>
      <c r="Q29" s="122">
        <v>0</v>
      </c>
      <c r="R29" s="122">
        <v>499.29399999999998</v>
      </c>
      <c r="S29" s="123">
        <v>441.47699999999998</v>
      </c>
      <c r="U29" s="125"/>
      <c r="V29" s="125"/>
      <c r="W29" s="125"/>
    </row>
    <row r="30" spans="1:23" ht="15.75">
      <c r="A30" s="110"/>
      <c r="B30" s="121" t="s">
        <v>136</v>
      </c>
      <c r="C30" s="122">
        <v>317.428</v>
      </c>
      <c r="D30" s="122">
        <v>99.566000000000003</v>
      </c>
      <c r="E30" s="122">
        <v>84.58</v>
      </c>
      <c r="F30" s="122">
        <v>48.81</v>
      </c>
      <c r="G30" s="122">
        <v>20.254000000000001</v>
      </c>
      <c r="H30" s="122">
        <v>13.02</v>
      </c>
      <c r="I30" s="122">
        <v>2.431</v>
      </c>
      <c r="J30" s="122">
        <v>-3.556</v>
      </c>
      <c r="K30" s="122">
        <v>498.01799999999997</v>
      </c>
      <c r="L30" s="122">
        <v>3.9249999999999998</v>
      </c>
      <c r="M30" s="122">
        <v>501.94299999999998</v>
      </c>
      <c r="N30" s="122">
        <v>145.136</v>
      </c>
      <c r="O30" s="122">
        <v>652.95799999999997</v>
      </c>
      <c r="P30" s="122">
        <v>149.26900000000001</v>
      </c>
      <c r="Q30" s="122">
        <v>0</v>
      </c>
      <c r="R30" s="122">
        <v>503.65899999999999</v>
      </c>
      <c r="S30" s="123">
        <v>446.86700000000002</v>
      </c>
      <c r="U30" s="125"/>
      <c r="V30" s="125"/>
      <c r="W30" s="125"/>
    </row>
    <row r="31" spans="1:23" ht="15.75">
      <c r="A31" s="110"/>
      <c r="B31" s="121" t="s">
        <v>137</v>
      </c>
      <c r="C31" s="122">
        <v>321.55799999999999</v>
      </c>
      <c r="D31" s="122">
        <v>99.724000000000004</v>
      </c>
      <c r="E31" s="122">
        <v>86.320999999999998</v>
      </c>
      <c r="F31" s="122">
        <v>49.287999999999997</v>
      </c>
      <c r="G31" s="122">
        <v>20.649000000000001</v>
      </c>
      <c r="H31" s="122">
        <v>13.792999999999999</v>
      </c>
      <c r="I31" s="122">
        <v>2.569</v>
      </c>
      <c r="J31" s="122">
        <v>0.73799999999999999</v>
      </c>
      <c r="K31" s="122">
        <v>508.34100000000001</v>
      </c>
      <c r="L31" s="122">
        <v>5.0860000000000003</v>
      </c>
      <c r="M31" s="122">
        <v>513.42700000000002</v>
      </c>
      <c r="N31" s="122">
        <v>144.84899999999999</v>
      </c>
      <c r="O31" s="122">
        <v>661.822</v>
      </c>
      <c r="P31" s="122">
        <v>154.20500000000001</v>
      </c>
      <c r="Q31" s="122">
        <v>0</v>
      </c>
      <c r="R31" s="122">
        <v>507.48500000000001</v>
      </c>
      <c r="S31" s="123">
        <v>450.83100000000002</v>
      </c>
      <c r="U31" s="125"/>
      <c r="V31" s="125"/>
      <c r="W31" s="125"/>
    </row>
    <row r="32" spans="1:23" ht="15.75">
      <c r="A32" s="110"/>
      <c r="B32" s="121" t="s">
        <v>138</v>
      </c>
      <c r="C32" s="122">
        <v>322.61799999999999</v>
      </c>
      <c r="D32" s="122">
        <v>99.396000000000001</v>
      </c>
      <c r="E32" s="122">
        <v>87.263999999999996</v>
      </c>
      <c r="F32" s="122">
        <v>49.947000000000003</v>
      </c>
      <c r="G32" s="122">
        <v>20.579000000000001</v>
      </c>
      <c r="H32" s="122">
        <v>14.099</v>
      </c>
      <c r="I32" s="122">
        <v>2.621</v>
      </c>
      <c r="J32" s="122">
        <v>7.5179999999999998</v>
      </c>
      <c r="K32" s="122">
        <v>516.79600000000005</v>
      </c>
      <c r="L32" s="122">
        <v>7.125</v>
      </c>
      <c r="M32" s="122">
        <v>523.92100000000005</v>
      </c>
      <c r="N32" s="122">
        <v>148.99100000000001</v>
      </c>
      <c r="O32" s="122">
        <v>674.66399999999999</v>
      </c>
      <c r="P32" s="122">
        <v>163.48599999999999</v>
      </c>
      <c r="Q32" s="122">
        <v>0</v>
      </c>
      <c r="R32" s="122">
        <v>510.78699999999998</v>
      </c>
      <c r="S32" s="123">
        <v>453.64800000000002</v>
      </c>
      <c r="U32" s="125"/>
      <c r="V32" s="125"/>
      <c r="W32" s="125"/>
    </row>
    <row r="33" spans="1:23" ht="18.75" customHeight="1">
      <c r="A33" s="110"/>
      <c r="B33" s="121" t="s">
        <v>139</v>
      </c>
      <c r="C33" s="122">
        <v>325.70100000000002</v>
      </c>
      <c r="D33" s="122">
        <v>99.515000000000001</v>
      </c>
      <c r="E33" s="122">
        <v>90.986000000000004</v>
      </c>
      <c r="F33" s="122">
        <v>52.826000000000001</v>
      </c>
      <c r="G33" s="122">
        <v>20.664000000000001</v>
      </c>
      <c r="H33" s="122">
        <v>14.83</v>
      </c>
      <c r="I33" s="122">
        <v>2.6630000000000003</v>
      </c>
      <c r="J33" s="122">
        <v>2.5129999999999999</v>
      </c>
      <c r="K33" s="122">
        <v>518.71500000000003</v>
      </c>
      <c r="L33" s="122">
        <v>6.72</v>
      </c>
      <c r="M33" s="122">
        <v>525.43499999999995</v>
      </c>
      <c r="N33" s="122">
        <v>148.84299999999999</v>
      </c>
      <c r="O33" s="122">
        <v>676.202</v>
      </c>
      <c r="P33" s="122">
        <v>163.023</v>
      </c>
      <c r="Q33" s="122">
        <v>0</v>
      </c>
      <c r="R33" s="122">
        <v>512.89499999999998</v>
      </c>
      <c r="S33" s="123">
        <v>454.14299999999997</v>
      </c>
      <c r="U33" s="125"/>
      <c r="V33" s="125"/>
      <c r="W33" s="125"/>
    </row>
    <row r="34" spans="1:23" ht="15.75">
      <c r="A34" s="110"/>
      <c r="B34" s="121" t="s">
        <v>140</v>
      </c>
      <c r="C34" s="122">
        <v>327.89800000000002</v>
      </c>
      <c r="D34" s="122">
        <v>100.625</v>
      </c>
      <c r="E34" s="122">
        <v>91.126000000000005</v>
      </c>
      <c r="F34" s="122">
        <v>52.481000000000002</v>
      </c>
      <c r="G34" s="122">
        <v>22.164000000000001</v>
      </c>
      <c r="H34" s="122">
        <v>14.218</v>
      </c>
      <c r="I34" s="122">
        <v>2.23</v>
      </c>
      <c r="J34" s="122">
        <v>-2.5999999999999999E-2</v>
      </c>
      <c r="K34" s="122">
        <v>519.62300000000005</v>
      </c>
      <c r="L34" s="122">
        <v>-8.0139999999999993</v>
      </c>
      <c r="M34" s="122">
        <v>511.60899999999998</v>
      </c>
      <c r="N34" s="122">
        <v>153.65299999999999</v>
      </c>
      <c r="O34" s="122">
        <v>675.23400000000004</v>
      </c>
      <c r="P34" s="122">
        <v>158.91399999999999</v>
      </c>
      <c r="Q34" s="122">
        <v>0</v>
      </c>
      <c r="R34" s="122">
        <v>516.14099999999996</v>
      </c>
      <c r="S34" s="123">
        <v>456.98200000000003</v>
      </c>
      <c r="U34" s="125"/>
      <c r="V34" s="125"/>
      <c r="W34" s="125"/>
    </row>
    <row r="35" spans="1:23" ht="15.75">
      <c r="A35" s="110"/>
      <c r="B35" s="121" t="s">
        <v>141</v>
      </c>
      <c r="C35" s="122">
        <v>332.17099999999999</v>
      </c>
      <c r="D35" s="122">
        <v>101.30200000000001</v>
      </c>
      <c r="E35" s="122">
        <v>90.44</v>
      </c>
      <c r="F35" s="122">
        <v>52.51</v>
      </c>
      <c r="G35" s="122">
        <v>22.193000000000001</v>
      </c>
      <c r="H35" s="122">
        <v>13.340999999999999</v>
      </c>
      <c r="I35" s="122">
        <v>2.3679999999999999</v>
      </c>
      <c r="J35" s="122">
        <v>-0.31900000000000001</v>
      </c>
      <c r="K35" s="122">
        <v>523.59400000000005</v>
      </c>
      <c r="L35" s="122">
        <v>-0.84899999999999998</v>
      </c>
      <c r="M35" s="122">
        <v>522.745</v>
      </c>
      <c r="N35" s="122">
        <v>148.864</v>
      </c>
      <c r="O35" s="122">
        <v>677.33299999999997</v>
      </c>
      <c r="P35" s="122">
        <v>158.86000000000001</v>
      </c>
      <c r="Q35" s="122">
        <v>0</v>
      </c>
      <c r="R35" s="122">
        <v>518.36500000000001</v>
      </c>
      <c r="S35" s="123">
        <v>458.399</v>
      </c>
      <c r="U35" s="125"/>
      <c r="V35" s="125"/>
      <c r="W35" s="125"/>
    </row>
    <row r="36" spans="1:23" ht="15.75">
      <c r="A36" s="110"/>
      <c r="B36" s="121" t="s">
        <v>142</v>
      </c>
      <c r="C36" s="122">
        <v>330.84199999999998</v>
      </c>
      <c r="D36" s="122">
        <v>101.02500000000001</v>
      </c>
      <c r="E36" s="122">
        <v>93.016999999999996</v>
      </c>
      <c r="F36" s="122">
        <v>55.404000000000003</v>
      </c>
      <c r="G36" s="122">
        <v>22.11</v>
      </c>
      <c r="H36" s="122">
        <v>13.159000000000001</v>
      </c>
      <c r="I36" s="122">
        <v>2.3419999999999996</v>
      </c>
      <c r="J36" s="122">
        <v>-1.76</v>
      </c>
      <c r="K36" s="122">
        <v>523.12400000000002</v>
      </c>
      <c r="L36" s="122">
        <v>13.917999999999999</v>
      </c>
      <c r="M36" s="122">
        <v>537.04200000000003</v>
      </c>
      <c r="N36" s="122">
        <v>153.31</v>
      </c>
      <c r="O36" s="122">
        <v>687.31200000000001</v>
      </c>
      <c r="P36" s="122">
        <v>165.041</v>
      </c>
      <c r="Q36" s="122">
        <v>0</v>
      </c>
      <c r="R36" s="122">
        <v>522.19399999999996</v>
      </c>
      <c r="S36" s="123">
        <v>461.66899999999998</v>
      </c>
      <c r="U36" s="125"/>
      <c r="V36" s="125"/>
      <c r="W36" s="125"/>
    </row>
    <row r="37" spans="1:23" ht="18.75" customHeight="1">
      <c r="A37" s="110"/>
      <c r="B37" s="121" t="s">
        <v>143</v>
      </c>
      <c r="C37" s="122">
        <v>337.67099999999999</v>
      </c>
      <c r="D37" s="122">
        <v>101.33</v>
      </c>
      <c r="E37" s="122">
        <v>94.551000000000002</v>
      </c>
      <c r="F37" s="122">
        <v>56.006999999999998</v>
      </c>
      <c r="G37" s="122">
        <v>22.611000000000001</v>
      </c>
      <c r="H37" s="122">
        <v>13.379</v>
      </c>
      <c r="I37" s="122">
        <v>2.387</v>
      </c>
      <c r="J37" s="122">
        <v>0.97699999999999998</v>
      </c>
      <c r="K37" s="122">
        <v>534.529</v>
      </c>
      <c r="L37" s="122">
        <v>1.2509999999999999</v>
      </c>
      <c r="M37" s="122">
        <v>535.78</v>
      </c>
      <c r="N37" s="122">
        <v>153.38</v>
      </c>
      <c r="O37" s="122">
        <v>688.904</v>
      </c>
      <c r="P37" s="122">
        <v>164.69200000000001</v>
      </c>
      <c r="Q37" s="122">
        <v>0</v>
      </c>
      <c r="R37" s="122">
        <v>524.10199999999998</v>
      </c>
      <c r="S37" s="123">
        <v>462.71600000000001</v>
      </c>
      <c r="U37" s="125"/>
      <c r="V37" s="125"/>
      <c r="W37" s="125"/>
    </row>
    <row r="38" spans="1:23" ht="15.75">
      <c r="A38" s="110"/>
      <c r="B38" s="121" t="s">
        <v>144</v>
      </c>
      <c r="C38" s="122">
        <v>340.65199999999999</v>
      </c>
      <c r="D38" s="122">
        <v>101.3</v>
      </c>
      <c r="E38" s="122">
        <v>95.674000000000007</v>
      </c>
      <c r="F38" s="122">
        <v>55.984999999999999</v>
      </c>
      <c r="G38" s="122">
        <v>22.95</v>
      </c>
      <c r="H38" s="122">
        <v>14.093</v>
      </c>
      <c r="I38" s="122">
        <v>2.4849999999999999</v>
      </c>
      <c r="J38" s="122">
        <v>-0.95499999999999996</v>
      </c>
      <c r="K38" s="122">
        <v>536.67100000000005</v>
      </c>
      <c r="L38" s="122">
        <v>0.23899999999999999</v>
      </c>
      <c r="M38" s="122">
        <v>536.91</v>
      </c>
      <c r="N38" s="122">
        <v>157.67599999999999</v>
      </c>
      <c r="O38" s="122">
        <v>693.75099999999998</v>
      </c>
      <c r="P38" s="122">
        <v>166.26499999999999</v>
      </c>
      <c r="Q38" s="122">
        <v>0</v>
      </c>
      <c r="R38" s="122">
        <v>527.40099999999995</v>
      </c>
      <c r="S38" s="123">
        <v>466.22800000000001</v>
      </c>
      <c r="U38" s="125"/>
      <c r="V38" s="125"/>
      <c r="W38" s="125"/>
    </row>
    <row r="39" spans="1:23" ht="15.75">
      <c r="A39" s="110"/>
      <c r="B39" s="121" t="s">
        <v>145</v>
      </c>
      <c r="C39" s="122">
        <v>343.12599999999998</v>
      </c>
      <c r="D39" s="122">
        <v>101.569</v>
      </c>
      <c r="E39" s="122">
        <v>97.397999999999996</v>
      </c>
      <c r="F39" s="122">
        <v>56.89</v>
      </c>
      <c r="G39" s="122">
        <v>23.771000000000001</v>
      </c>
      <c r="H39" s="122">
        <v>14.183999999999999</v>
      </c>
      <c r="I39" s="122">
        <v>2.3780000000000001</v>
      </c>
      <c r="J39" s="122">
        <v>2.4359999999999999</v>
      </c>
      <c r="K39" s="122">
        <v>544.529</v>
      </c>
      <c r="L39" s="122">
        <v>4.8739999999999997</v>
      </c>
      <c r="M39" s="122">
        <v>549.40300000000002</v>
      </c>
      <c r="N39" s="122">
        <v>153.28100000000001</v>
      </c>
      <c r="O39" s="122">
        <v>701.93200000000002</v>
      </c>
      <c r="P39" s="122">
        <v>172.37</v>
      </c>
      <c r="Q39" s="122">
        <v>0</v>
      </c>
      <c r="R39" s="122">
        <v>529.73</v>
      </c>
      <c r="S39" s="123">
        <v>468.73200000000003</v>
      </c>
      <c r="U39" s="125"/>
      <c r="V39" s="125"/>
      <c r="W39" s="125"/>
    </row>
    <row r="40" spans="1:23" ht="15.75">
      <c r="A40" s="110"/>
      <c r="B40" s="121" t="s">
        <v>146</v>
      </c>
      <c r="C40" s="122">
        <v>342.81900000000002</v>
      </c>
      <c r="D40" s="122">
        <v>101.384</v>
      </c>
      <c r="E40" s="122">
        <v>95.825999999999993</v>
      </c>
      <c r="F40" s="122">
        <v>54.363999999999997</v>
      </c>
      <c r="G40" s="122">
        <v>24.774999999999999</v>
      </c>
      <c r="H40" s="122">
        <v>14.038</v>
      </c>
      <c r="I40" s="122">
        <v>2.4689999999999999</v>
      </c>
      <c r="J40" s="122">
        <v>-0.84899999999999998</v>
      </c>
      <c r="K40" s="122">
        <v>539.17999999999995</v>
      </c>
      <c r="L40" s="122">
        <v>1.839</v>
      </c>
      <c r="M40" s="122">
        <v>541.01900000000001</v>
      </c>
      <c r="N40" s="122">
        <v>159.797</v>
      </c>
      <c r="O40" s="122">
        <v>701.45899999999995</v>
      </c>
      <c r="P40" s="122">
        <v>168.20599999999999</v>
      </c>
      <c r="Q40" s="122">
        <v>0</v>
      </c>
      <c r="R40" s="122">
        <v>533.173</v>
      </c>
      <c r="S40" s="123">
        <v>472.13799999999998</v>
      </c>
      <c r="U40" s="125"/>
      <c r="V40" s="125"/>
      <c r="W40" s="125"/>
    </row>
    <row r="41" spans="1:23" ht="18.75" customHeight="1">
      <c r="A41" s="110"/>
      <c r="B41" s="121" t="s">
        <v>147</v>
      </c>
      <c r="C41" s="122">
        <v>345.76499999999999</v>
      </c>
      <c r="D41" s="122">
        <v>101.379</v>
      </c>
      <c r="E41" s="122">
        <v>97.75</v>
      </c>
      <c r="F41" s="122">
        <v>55.84</v>
      </c>
      <c r="G41" s="122">
        <v>25.469000000000001</v>
      </c>
      <c r="H41" s="122">
        <v>13.945</v>
      </c>
      <c r="I41" s="122">
        <v>2.4660000000000002</v>
      </c>
      <c r="J41" s="122">
        <v>-0.67400000000000004</v>
      </c>
      <c r="K41" s="122">
        <v>544.22</v>
      </c>
      <c r="L41" s="122">
        <v>4.57</v>
      </c>
      <c r="M41" s="122">
        <v>548.79</v>
      </c>
      <c r="N41" s="122">
        <v>161.982</v>
      </c>
      <c r="O41" s="122">
        <v>706.41399999999999</v>
      </c>
      <c r="P41" s="122">
        <v>169.21700000000001</v>
      </c>
      <c r="Q41" s="122">
        <v>0</v>
      </c>
      <c r="R41" s="122">
        <v>537.11400000000003</v>
      </c>
      <c r="S41" s="123">
        <v>475.86399999999998</v>
      </c>
      <c r="U41" s="126">
        <f t="shared" ref="U41:U55" si="0">D41*1000</f>
        <v>101379</v>
      </c>
      <c r="V41" s="126">
        <f>F41*1000</f>
        <v>55840</v>
      </c>
      <c r="W41" s="126">
        <f t="shared" ref="W41:W84" si="1">H41*1000</f>
        <v>13945</v>
      </c>
    </row>
    <row r="42" spans="1:23" ht="15.75">
      <c r="A42" s="110"/>
      <c r="B42" s="121" t="s">
        <v>148</v>
      </c>
      <c r="C42" s="122">
        <v>345.92200000000003</v>
      </c>
      <c r="D42" s="122">
        <v>101.822</v>
      </c>
      <c r="E42" s="122">
        <v>99.355999999999995</v>
      </c>
      <c r="F42" s="122">
        <v>56.661000000000001</v>
      </c>
      <c r="G42" s="122">
        <v>25.260999999999999</v>
      </c>
      <c r="H42" s="122">
        <v>14.811999999999999</v>
      </c>
      <c r="I42" s="122">
        <v>2.605</v>
      </c>
      <c r="J42" s="122">
        <v>6.8000000000000005E-2</v>
      </c>
      <c r="K42" s="122">
        <v>547.16800000000001</v>
      </c>
      <c r="L42" s="122">
        <v>6.806</v>
      </c>
      <c r="M42" s="122">
        <v>553.97400000000005</v>
      </c>
      <c r="N42" s="122">
        <v>166.23599999999999</v>
      </c>
      <c r="O42" s="122">
        <v>714.80700000000002</v>
      </c>
      <c r="P42" s="122">
        <v>174.87100000000001</v>
      </c>
      <c r="Q42" s="122">
        <v>0</v>
      </c>
      <c r="R42" s="122">
        <v>539.99400000000003</v>
      </c>
      <c r="S42" s="123">
        <v>478.15100000000001</v>
      </c>
      <c r="U42" s="126">
        <f t="shared" si="0"/>
        <v>101822</v>
      </c>
      <c r="V42" s="126">
        <f t="shared" ref="V42:V85" si="2">F42*1000</f>
        <v>56661</v>
      </c>
      <c r="W42" s="126">
        <f t="shared" si="1"/>
        <v>14812</v>
      </c>
    </row>
    <row r="43" spans="1:23" ht="15.75">
      <c r="A43" s="110"/>
      <c r="B43" s="121" t="s">
        <v>149</v>
      </c>
      <c r="C43" s="122">
        <v>348.46300000000002</v>
      </c>
      <c r="D43" s="122">
        <v>102.143</v>
      </c>
      <c r="E43" s="122">
        <v>99.162999999999997</v>
      </c>
      <c r="F43" s="122">
        <v>56.21</v>
      </c>
      <c r="G43" s="122">
        <v>26.015000000000001</v>
      </c>
      <c r="H43" s="122">
        <v>14.422000000000001</v>
      </c>
      <c r="I43" s="122">
        <v>2.5030000000000001</v>
      </c>
      <c r="J43" s="122">
        <v>-0.68899999999999995</v>
      </c>
      <c r="K43" s="122">
        <v>549.08000000000004</v>
      </c>
      <c r="L43" s="122">
        <v>2.4159999999999999</v>
      </c>
      <c r="M43" s="122">
        <v>551.49599999999998</v>
      </c>
      <c r="N43" s="122">
        <v>171.203</v>
      </c>
      <c r="O43" s="122">
        <v>719.51099999999997</v>
      </c>
      <c r="P43" s="122">
        <v>176.83099999999999</v>
      </c>
      <c r="Q43" s="122">
        <v>0</v>
      </c>
      <c r="R43" s="122">
        <v>542.78</v>
      </c>
      <c r="S43" s="123">
        <v>480.81099999999998</v>
      </c>
      <c r="U43" s="126">
        <f t="shared" si="0"/>
        <v>102143</v>
      </c>
      <c r="V43" s="126">
        <f t="shared" si="2"/>
        <v>56210</v>
      </c>
      <c r="W43" s="126">
        <f t="shared" si="1"/>
        <v>14422</v>
      </c>
    </row>
    <row r="44" spans="1:23" ht="15.75">
      <c r="A44" s="110"/>
      <c r="B44" s="121" t="s">
        <v>150</v>
      </c>
      <c r="C44" s="122">
        <v>350.53199999999998</v>
      </c>
      <c r="D44" s="122">
        <v>101.95699999999999</v>
      </c>
      <c r="E44" s="122">
        <v>100.63800000000001</v>
      </c>
      <c r="F44" s="122">
        <v>56.963999999999999</v>
      </c>
      <c r="G44" s="122">
        <v>27.062999999999999</v>
      </c>
      <c r="H44" s="122">
        <v>14.577</v>
      </c>
      <c r="I44" s="122">
        <v>2.0300000000000002</v>
      </c>
      <c r="J44" s="122">
        <v>1.907</v>
      </c>
      <c r="K44" s="122">
        <v>555.03399999999999</v>
      </c>
      <c r="L44" s="122">
        <v>-1.121</v>
      </c>
      <c r="M44" s="122">
        <v>553.91300000000001</v>
      </c>
      <c r="N44" s="122">
        <v>167.43</v>
      </c>
      <c r="O44" s="122">
        <v>719.25800000000004</v>
      </c>
      <c r="P44" s="122">
        <v>173.05600000000001</v>
      </c>
      <c r="Q44" s="122">
        <v>0</v>
      </c>
      <c r="R44" s="122">
        <v>546.18499999999995</v>
      </c>
      <c r="S44" s="123">
        <v>483.29300000000001</v>
      </c>
      <c r="U44" s="126">
        <f t="shared" si="0"/>
        <v>101957</v>
      </c>
      <c r="V44" s="126">
        <f t="shared" si="2"/>
        <v>56964</v>
      </c>
      <c r="W44" s="126">
        <f t="shared" si="1"/>
        <v>14577</v>
      </c>
    </row>
    <row r="45" spans="1:23" ht="18.75" customHeight="1">
      <c r="A45" s="110"/>
      <c r="B45" s="121" t="s">
        <v>151</v>
      </c>
      <c r="C45" s="122">
        <v>353.38</v>
      </c>
      <c r="D45" s="122">
        <v>101.629</v>
      </c>
      <c r="E45" s="122">
        <v>98.918999999999997</v>
      </c>
      <c r="F45" s="122">
        <v>56.481000000000002</v>
      </c>
      <c r="G45" s="122">
        <v>27.099</v>
      </c>
      <c r="H45" s="122">
        <v>14.016999999999999</v>
      </c>
      <c r="I45" s="122">
        <v>1.377</v>
      </c>
      <c r="J45" s="122">
        <v>0.48199999999999998</v>
      </c>
      <c r="K45" s="122">
        <v>554.41</v>
      </c>
      <c r="L45" s="122">
        <v>-2.722</v>
      </c>
      <c r="M45" s="122">
        <v>551.68799999999999</v>
      </c>
      <c r="N45" s="122">
        <v>171.02500000000001</v>
      </c>
      <c r="O45" s="122">
        <v>723.16200000000003</v>
      </c>
      <c r="P45" s="122">
        <v>176.15299999999999</v>
      </c>
      <c r="Q45" s="122">
        <v>0</v>
      </c>
      <c r="R45" s="122">
        <v>547.00300000000004</v>
      </c>
      <c r="S45" s="123">
        <v>484.19</v>
      </c>
      <c r="U45" s="126">
        <f t="shared" si="0"/>
        <v>101629</v>
      </c>
      <c r="V45" s="126">
        <f t="shared" si="2"/>
        <v>56481</v>
      </c>
      <c r="W45" s="126">
        <f t="shared" si="1"/>
        <v>14017</v>
      </c>
    </row>
    <row r="46" spans="1:23" ht="15.75">
      <c r="A46" s="110"/>
      <c r="B46" s="121" t="s">
        <v>152</v>
      </c>
      <c r="C46" s="122">
        <v>353.66899999999998</v>
      </c>
      <c r="D46" s="122">
        <v>101.69799999999999</v>
      </c>
      <c r="E46" s="122">
        <v>98.831000000000003</v>
      </c>
      <c r="F46" s="122">
        <v>55.124000000000002</v>
      </c>
      <c r="G46" s="122">
        <v>27.954000000000001</v>
      </c>
      <c r="H46" s="122">
        <v>14.409000000000001</v>
      </c>
      <c r="I46" s="122">
        <v>1.4100000000000001</v>
      </c>
      <c r="J46" s="122">
        <v>1.2689999999999999</v>
      </c>
      <c r="K46" s="122">
        <v>555.46699999999998</v>
      </c>
      <c r="L46" s="122">
        <v>0.754</v>
      </c>
      <c r="M46" s="122">
        <v>556.221</v>
      </c>
      <c r="N46" s="122">
        <v>171.63</v>
      </c>
      <c r="O46" s="122">
        <v>727.34199999999998</v>
      </c>
      <c r="P46" s="122">
        <v>177.86</v>
      </c>
      <c r="Q46" s="122">
        <v>0</v>
      </c>
      <c r="R46" s="122">
        <v>549.49099999999999</v>
      </c>
      <c r="S46" s="123">
        <v>486.07</v>
      </c>
      <c r="U46" s="126">
        <f t="shared" si="0"/>
        <v>101698</v>
      </c>
      <c r="V46" s="126">
        <f t="shared" si="2"/>
        <v>55124</v>
      </c>
      <c r="W46" s="126">
        <f t="shared" si="1"/>
        <v>14409</v>
      </c>
    </row>
    <row r="47" spans="1:23" ht="15.75">
      <c r="A47" s="110"/>
      <c r="B47" s="121" t="s">
        <v>153</v>
      </c>
      <c r="C47" s="122">
        <v>356.83600000000001</v>
      </c>
      <c r="D47" s="122">
        <v>102.181</v>
      </c>
      <c r="E47" s="122">
        <v>99.334999999999994</v>
      </c>
      <c r="F47" s="122">
        <v>55.252000000000002</v>
      </c>
      <c r="G47" s="122">
        <v>27.765999999999998</v>
      </c>
      <c r="H47" s="122">
        <v>15.044</v>
      </c>
      <c r="I47" s="122">
        <v>1.306</v>
      </c>
      <c r="J47" s="122">
        <v>1.0740000000000001</v>
      </c>
      <c r="K47" s="122">
        <v>559.42600000000004</v>
      </c>
      <c r="L47" s="122">
        <v>0.105</v>
      </c>
      <c r="M47" s="122">
        <v>559.53099999999995</v>
      </c>
      <c r="N47" s="122">
        <v>173.916</v>
      </c>
      <c r="O47" s="122">
        <v>731.18399999999997</v>
      </c>
      <c r="P47" s="122">
        <v>178.65899999999999</v>
      </c>
      <c r="Q47" s="122">
        <v>0</v>
      </c>
      <c r="R47" s="122">
        <v>552.54499999999996</v>
      </c>
      <c r="S47" s="123">
        <v>488.43799999999999</v>
      </c>
      <c r="U47" s="126">
        <f t="shared" si="0"/>
        <v>102181</v>
      </c>
      <c r="V47" s="126">
        <f t="shared" si="2"/>
        <v>55252</v>
      </c>
      <c r="W47" s="126">
        <f t="shared" si="1"/>
        <v>15044</v>
      </c>
    </row>
    <row r="48" spans="1:23" ht="15.75">
      <c r="A48" s="110"/>
      <c r="B48" s="121" t="s">
        <v>154</v>
      </c>
      <c r="C48" s="122">
        <v>361.03800000000001</v>
      </c>
      <c r="D48" s="122">
        <v>103.117</v>
      </c>
      <c r="E48" s="122">
        <v>98.882000000000005</v>
      </c>
      <c r="F48" s="122">
        <v>55.493000000000002</v>
      </c>
      <c r="G48" s="122">
        <v>27.28</v>
      </c>
      <c r="H48" s="122">
        <v>14.897</v>
      </c>
      <c r="I48" s="122">
        <v>1.2569999999999999</v>
      </c>
      <c r="J48" s="122">
        <v>0.307</v>
      </c>
      <c r="K48" s="122">
        <v>563.34400000000005</v>
      </c>
      <c r="L48" s="122">
        <v>3.18</v>
      </c>
      <c r="M48" s="122">
        <v>566.524</v>
      </c>
      <c r="N48" s="122">
        <v>171.285</v>
      </c>
      <c r="O48" s="122">
        <v>738.41700000000003</v>
      </c>
      <c r="P48" s="122">
        <v>184.46299999999999</v>
      </c>
      <c r="Q48" s="122">
        <v>0</v>
      </c>
      <c r="R48" s="122">
        <v>553.96600000000001</v>
      </c>
      <c r="S48" s="123">
        <v>489.54</v>
      </c>
      <c r="U48" s="126">
        <f t="shared" si="0"/>
        <v>103117</v>
      </c>
      <c r="V48" s="126">
        <f t="shared" si="2"/>
        <v>55493</v>
      </c>
      <c r="W48" s="126">
        <f t="shared" si="1"/>
        <v>14897</v>
      </c>
    </row>
    <row r="49" spans="1:23" ht="18.75" customHeight="1">
      <c r="A49" s="110"/>
      <c r="B49" s="121" t="s">
        <v>155</v>
      </c>
      <c r="C49" s="122">
        <v>359.66199999999998</v>
      </c>
      <c r="D49" s="122">
        <v>104.633</v>
      </c>
      <c r="E49" s="122">
        <v>101.096</v>
      </c>
      <c r="F49" s="122">
        <v>55.768999999999998</v>
      </c>
      <c r="G49" s="122">
        <v>28.555</v>
      </c>
      <c r="H49" s="122">
        <v>15.529</v>
      </c>
      <c r="I49" s="122">
        <v>1.2721093699999999</v>
      </c>
      <c r="J49" s="122">
        <v>12.096</v>
      </c>
      <c r="K49" s="122">
        <v>577.48699999999997</v>
      </c>
      <c r="L49" s="122">
        <v>8.3819999999999997</v>
      </c>
      <c r="M49" s="122">
        <v>585.86900000000003</v>
      </c>
      <c r="N49" s="122">
        <v>170.40899999999999</v>
      </c>
      <c r="O49" s="122">
        <v>754.81799999999998</v>
      </c>
      <c r="P49" s="122">
        <v>197.31700000000001</v>
      </c>
      <c r="Q49" s="122">
        <v>0</v>
      </c>
      <c r="R49" s="122">
        <v>557.45799999999997</v>
      </c>
      <c r="S49" s="123">
        <v>492.714</v>
      </c>
      <c r="U49" s="126">
        <f t="shared" si="0"/>
        <v>104633</v>
      </c>
      <c r="V49" s="126">
        <f t="shared" si="2"/>
        <v>55769</v>
      </c>
      <c r="W49" s="126">
        <f t="shared" si="1"/>
        <v>15529</v>
      </c>
    </row>
    <row r="50" spans="1:23" ht="15.75" customHeight="1">
      <c r="A50" s="551"/>
      <c r="B50" s="121" t="s">
        <v>156</v>
      </c>
      <c r="C50" s="122">
        <v>361.29399999999998</v>
      </c>
      <c r="D50" s="122">
        <v>106.675</v>
      </c>
      <c r="E50" s="122">
        <v>99.965999999999994</v>
      </c>
      <c r="F50" s="122">
        <v>55.923000000000002</v>
      </c>
      <c r="G50" s="122">
        <v>27.869</v>
      </c>
      <c r="H50" s="122">
        <v>14.865</v>
      </c>
      <c r="I50" s="122">
        <v>1.2866447499999998</v>
      </c>
      <c r="J50" s="122">
        <v>1.782</v>
      </c>
      <c r="K50" s="122">
        <v>569.71699999999998</v>
      </c>
      <c r="L50" s="122">
        <v>-1.8720000000000001</v>
      </c>
      <c r="M50" s="122">
        <v>567.84500000000003</v>
      </c>
      <c r="N50" s="122">
        <v>167.62</v>
      </c>
      <c r="O50" s="122">
        <v>738.029</v>
      </c>
      <c r="P50" s="122">
        <v>179.982</v>
      </c>
      <c r="Q50" s="122">
        <v>0</v>
      </c>
      <c r="R50" s="122">
        <v>558.07100000000003</v>
      </c>
      <c r="S50" s="123">
        <v>493.64</v>
      </c>
      <c r="U50" s="126">
        <f t="shared" si="0"/>
        <v>106675</v>
      </c>
      <c r="V50" s="126">
        <f t="shared" si="2"/>
        <v>55923</v>
      </c>
      <c r="W50" s="126">
        <f t="shared" si="1"/>
        <v>14865</v>
      </c>
    </row>
    <row r="51" spans="1:23">
      <c r="A51" s="551"/>
      <c r="B51" s="121" t="s">
        <v>157</v>
      </c>
      <c r="C51" s="122">
        <v>360.291</v>
      </c>
      <c r="D51" s="122">
        <v>106.539</v>
      </c>
      <c r="E51" s="122">
        <v>101.637</v>
      </c>
      <c r="F51" s="122">
        <v>56.569000000000003</v>
      </c>
      <c r="G51" s="122">
        <v>28.495000000000001</v>
      </c>
      <c r="H51" s="122">
        <v>15.273</v>
      </c>
      <c r="I51" s="122">
        <v>1.3006638099999999</v>
      </c>
      <c r="J51" s="122">
        <v>1.0289999999999999</v>
      </c>
      <c r="K51" s="122">
        <v>569.49599999999998</v>
      </c>
      <c r="L51" s="122">
        <v>-2.3380000000000001</v>
      </c>
      <c r="M51" s="122">
        <v>567.15800000000002</v>
      </c>
      <c r="N51" s="122">
        <v>177.34800000000001</v>
      </c>
      <c r="O51" s="122">
        <v>743.23400000000004</v>
      </c>
      <c r="P51" s="122">
        <v>181.75899999999999</v>
      </c>
      <c r="Q51" s="122">
        <v>0</v>
      </c>
      <c r="R51" s="122">
        <v>561.48</v>
      </c>
      <c r="S51" s="123">
        <v>497.69</v>
      </c>
      <c r="U51" s="126">
        <f t="shared" si="0"/>
        <v>106539</v>
      </c>
      <c r="V51" s="126">
        <f t="shared" si="2"/>
        <v>56569</v>
      </c>
      <c r="W51" s="126">
        <f t="shared" si="1"/>
        <v>15273</v>
      </c>
    </row>
    <row r="52" spans="1:23">
      <c r="A52" s="551"/>
      <c r="B52" s="121" t="s">
        <v>158</v>
      </c>
      <c r="C52" s="122">
        <v>358.79399999999998</v>
      </c>
      <c r="D52" s="122">
        <v>107.732</v>
      </c>
      <c r="E52" s="122">
        <v>100.666</v>
      </c>
      <c r="F52" s="122">
        <v>56.999000000000002</v>
      </c>
      <c r="G52" s="122">
        <v>27.131</v>
      </c>
      <c r="H52" s="122">
        <v>15.180999999999999</v>
      </c>
      <c r="I52" s="122">
        <v>1.3168872599999999</v>
      </c>
      <c r="J52" s="122">
        <v>-12.026999999999999</v>
      </c>
      <c r="K52" s="122">
        <v>555.16499999999996</v>
      </c>
      <c r="L52" s="122">
        <v>-1.5409999999999999</v>
      </c>
      <c r="M52" s="122">
        <v>553.62400000000002</v>
      </c>
      <c r="N52" s="122">
        <v>184.27699999999999</v>
      </c>
      <c r="O52" s="122">
        <v>738.06899999999996</v>
      </c>
      <c r="P52" s="122">
        <v>176.744</v>
      </c>
      <c r="Q52" s="122">
        <v>0</v>
      </c>
      <c r="R52" s="122">
        <v>561.33900000000006</v>
      </c>
      <c r="S52" s="123">
        <v>497.911</v>
      </c>
      <c r="U52" s="126">
        <f t="shared" si="0"/>
        <v>107732</v>
      </c>
      <c r="V52" s="126">
        <f t="shared" si="2"/>
        <v>56999</v>
      </c>
      <c r="W52" s="126">
        <f t="shared" si="1"/>
        <v>15181</v>
      </c>
    </row>
    <row r="53" spans="1:23">
      <c r="A53" s="551"/>
      <c r="B53" s="127" t="s">
        <v>159</v>
      </c>
      <c r="C53" s="122">
        <v>348.33100000000002</v>
      </c>
      <c r="D53" s="122">
        <v>104.08799999999999</v>
      </c>
      <c r="E53" s="122">
        <v>96.825000000000003</v>
      </c>
      <c r="F53" s="122">
        <v>55.476999999999997</v>
      </c>
      <c r="G53" s="122">
        <v>25.934999999999999</v>
      </c>
      <c r="H53" s="122">
        <v>14.125999999999999</v>
      </c>
      <c r="I53" s="122">
        <v>1.2792033799999998</v>
      </c>
      <c r="J53" s="122">
        <v>0.78400000000000003</v>
      </c>
      <c r="K53" s="122">
        <v>550.02800000000002</v>
      </c>
      <c r="L53" s="122">
        <v>-3.48</v>
      </c>
      <c r="M53" s="122">
        <v>546.548</v>
      </c>
      <c r="N53" s="122">
        <v>167.65100000000001</v>
      </c>
      <c r="O53" s="122">
        <v>714.19899999999996</v>
      </c>
      <c r="P53" s="122">
        <v>167.684</v>
      </c>
      <c r="Q53" s="122">
        <v>0</v>
      </c>
      <c r="R53" s="122">
        <v>546.51499999999999</v>
      </c>
      <c r="S53" s="123">
        <v>485.77199999999999</v>
      </c>
      <c r="U53" s="126">
        <f t="shared" si="0"/>
        <v>104088</v>
      </c>
      <c r="V53" s="126">
        <f t="shared" si="2"/>
        <v>55477</v>
      </c>
      <c r="W53" s="126">
        <f t="shared" si="1"/>
        <v>14126</v>
      </c>
    </row>
    <row r="54" spans="1:23">
      <c r="A54" s="551"/>
      <c r="B54" s="127" t="s">
        <v>160</v>
      </c>
      <c r="C54" s="122">
        <v>268.01799999999997</v>
      </c>
      <c r="D54" s="122">
        <v>85.179000000000002</v>
      </c>
      <c r="E54" s="122">
        <v>78.811999999999998</v>
      </c>
      <c r="F54" s="122">
        <v>43.963000000000001</v>
      </c>
      <c r="G54" s="122">
        <v>17.068999999999999</v>
      </c>
      <c r="H54" s="122">
        <v>16.681000000000001</v>
      </c>
      <c r="I54" s="122">
        <v>0.84371154400000004</v>
      </c>
      <c r="J54" s="122">
        <v>-8.702</v>
      </c>
      <c r="K54" s="122">
        <v>423.30700000000002</v>
      </c>
      <c r="L54" s="122">
        <v>-10.347</v>
      </c>
      <c r="M54" s="122">
        <v>412.96</v>
      </c>
      <c r="N54" s="122">
        <v>146.52600000000001</v>
      </c>
      <c r="O54" s="122">
        <v>559.48699999999997</v>
      </c>
      <c r="P54" s="122">
        <v>127.693</v>
      </c>
      <c r="Q54" s="122">
        <v>0</v>
      </c>
      <c r="R54" s="122">
        <v>431.79399999999998</v>
      </c>
      <c r="S54" s="123">
        <v>382.73200000000003</v>
      </c>
      <c r="U54" s="126">
        <f t="shared" si="0"/>
        <v>85179</v>
      </c>
      <c r="V54" s="126">
        <f t="shared" si="2"/>
        <v>43963</v>
      </c>
      <c r="W54" s="126">
        <f t="shared" si="1"/>
        <v>16681</v>
      </c>
    </row>
    <row r="55" spans="1:23" ht="15.75">
      <c r="A55" s="128"/>
      <c r="B55" s="127" t="s">
        <v>161</v>
      </c>
      <c r="C55" s="122">
        <v>319.15800000000002</v>
      </c>
      <c r="D55" s="122">
        <v>100.663</v>
      </c>
      <c r="E55" s="122">
        <v>91.209000000000003</v>
      </c>
      <c r="F55" s="122">
        <v>48.805999999999997</v>
      </c>
      <c r="G55" s="122">
        <v>24.925000000000001</v>
      </c>
      <c r="H55" s="122">
        <v>16.350000000000001</v>
      </c>
      <c r="I55" s="122">
        <v>1.23114137</v>
      </c>
      <c r="J55" s="122">
        <v>1.208</v>
      </c>
      <c r="K55" s="122">
        <v>512.23800000000006</v>
      </c>
      <c r="L55" s="122">
        <v>-4.8479999999999999</v>
      </c>
      <c r="M55" s="122">
        <v>507.39</v>
      </c>
      <c r="N55" s="122">
        <v>146.053</v>
      </c>
      <c r="O55" s="122">
        <v>653.44200000000001</v>
      </c>
      <c r="P55" s="122">
        <v>149.93299999999999</v>
      </c>
      <c r="Q55" s="122">
        <v>0</v>
      </c>
      <c r="R55" s="122">
        <v>503.50900000000001</v>
      </c>
      <c r="S55" s="123">
        <v>448.12200000000001</v>
      </c>
      <c r="U55" s="126">
        <f t="shared" si="0"/>
        <v>100663</v>
      </c>
      <c r="V55" s="126">
        <f t="shared" si="2"/>
        <v>48806</v>
      </c>
      <c r="W55" s="126">
        <f t="shared" si="1"/>
        <v>16350.000000000002</v>
      </c>
    </row>
    <row r="56" spans="1:23" ht="15.75">
      <c r="A56" s="128"/>
      <c r="B56" s="127" t="s">
        <v>162</v>
      </c>
      <c r="C56" s="122">
        <v>314.85599999999999</v>
      </c>
      <c r="D56" s="122">
        <v>104.53</v>
      </c>
      <c r="E56" s="122">
        <v>94.156000000000006</v>
      </c>
      <c r="F56" s="122">
        <v>50.167000000000002</v>
      </c>
      <c r="G56" s="122">
        <v>26.195</v>
      </c>
      <c r="H56" s="122">
        <v>16.582000000000001</v>
      </c>
      <c r="I56" s="122">
        <v>1.2796872699999999</v>
      </c>
      <c r="J56" s="122">
        <v>6.3120000000000003</v>
      </c>
      <c r="K56" s="122">
        <v>519.85400000000004</v>
      </c>
      <c r="L56" s="122">
        <v>7.29</v>
      </c>
      <c r="M56" s="122">
        <v>527.14400000000001</v>
      </c>
      <c r="N56" s="122">
        <v>154.87899999999999</v>
      </c>
      <c r="O56" s="122">
        <v>682.02300000000002</v>
      </c>
      <c r="P56" s="122">
        <v>172.40199999999999</v>
      </c>
      <c r="Q56" s="122">
        <v>0</v>
      </c>
      <c r="R56" s="122">
        <v>509.62099999999998</v>
      </c>
      <c r="S56" s="123">
        <v>454.54500000000002</v>
      </c>
      <c r="U56" s="126">
        <f>D56*1000</f>
        <v>104530</v>
      </c>
      <c r="V56" s="126">
        <f t="shared" si="2"/>
        <v>50167</v>
      </c>
      <c r="W56" s="126">
        <f t="shared" si="1"/>
        <v>16582</v>
      </c>
    </row>
    <row r="57" spans="1:23" ht="15.75">
      <c r="A57" s="128"/>
      <c r="B57" s="127" t="s">
        <v>163</v>
      </c>
      <c r="C57" s="122">
        <v>303.55</v>
      </c>
      <c r="D57" s="122">
        <v>104.377</v>
      </c>
      <c r="E57" s="122">
        <v>92.603999999999999</v>
      </c>
      <c r="F57" s="122">
        <v>47.578000000000003</v>
      </c>
      <c r="G57" s="122">
        <v>26.687999999999999</v>
      </c>
      <c r="H57" s="122">
        <v>17.088999999999999</v>
      </c>
      <c r="I57" s="122">
        <v>1.3053831899999999</v>
      </c>
      <c r="J57" s="122">
        <v>6.8540000000000001</v>
      </c>
      <c r="K57" s="122">
        <v>507.38499999999999</v>
      </c>
      <c r="L57" s="122">
        <v>4.6340000000000003</v>
      </c>
      <c r="M57" s="122">
        <v>512.01900000000001</v>
      </c>
      <c r="N57" s="122">
        <v>148.36500000000001</v>
      </c>
      <c r="O57" s="122">
        <v>660.38400000000001</v>
      </c>
      <c r="P57" s="122">
        <v>155.21100000000001</v>
      </c>
      <c r="Q57" s="122">
        <v>-0.91800000000000004</v>
      </c>
      <c r="R57" s="122">
        <v>504.255</v>
      </c>
      <c r="S57" s="123">
        <v>450.06299999999999</v>
      </c>
      <c r="U57" s="126">
        <f t="shared" ref="U57:U85" si="3">D57*1000</f>
        <v>104377</v>
      </c>
      <c r="V57" s="126">
        <f t="shared" si="2"/>
        <v>47578</v>
      </c>
      <c r="W57" s="126">
        <f t="shared" si="1"/>
        <v>17089</v>
      </c>
    </row>
    <row r="58" spans="1:23" ht="15.75">
      <c r="A58" s="110"/>
      <c r="B58" s="127" t="s">
        <v>164</v>
      </c>
      <c r="C58" s="122">
        <v>334.971</v>
      </c>
      <c r="D58" s="122">
        <v>112.392</v>
      </c>
      <c r="E58" s="122">
        <v>96.350999999999999</v>
      </c>
      <c r="F58" s="122">
        <v>50.601999999999997</v>
      </c>
      <c r="G58" s="122">
        <v>27.385999999999999</v>
      </c>
      <c r="H58" s="122">
        <v>16.925999999999998</v>
      </c>
      <c r="I58" s="122">
        <v>1.4854917599999999</v>
      </c>
      <c r="J58" s="122">
        <v>-0.77700000000000002</v>
      </c>
      <c r="K58" s="122">
        <v>542.93700000000001</v>
      </c>
      <c r="L58" s="122">
        <v>-2.5219999999999998</v>
      </c>
      <c r="M58" s="122">
        <v>540.41499999999996</v>
      </c>
      <c r="N58" s="122">
        <v>157.84</v>
      </c>
      <c r="O58" s="122">
        <v>698.255</v>
      </c>
      <c r="P58" s="122">
        <v>159.95599999999999</v>
      </c>
      <c r="Q58" s="122">
        <v>-1.1240000000000001</v>
      </c>
      <c r="R58" s="122">
        <v>537.17499999999995</v>
      </c>
      <c r="S58" s="123">
        <v>480.839</v>
      </c>
      <c r="U58" s="126">
        <f t="shared" si="3"/>
        <v>112392</v>
      </c>
      <c r="V58" s="126">
        <f t="shared" si="2"/>
        <v>50602</v>
      </c>
      <c r="W58" s="126">
        <f t="shared" si="1"/>
        <v>16926</v>
      </c>
    </row>
    <row r="59" spans="1:23" ht="15.75">
      <c r="A59" s="110"/>
      <c r="B59" s="127" t="s">
        <v>165</v>
      </c>
      <c r="C59" s="122">
        <v>344.59699999999998</v>
      </c>
      <c r="D59" s="122">
        <v>112.854</v>
      </c>
      <c r="E59" s="122">
        <v>97.221000000000004</v>
      </c>
      <c r="F59" s="122">
        <v>51.731000000000002</v>
      </c>
      <c r="G59" s="122">
        <v>27.779</v>
      </c>
      <c r="H59" s="122">
        <v>16.283999999999999</v>
      </c>
      <c r="I59" s="122">
        <v>1.5265539699999999</v>
      </c>
      <c r="J59" s="122">
        <v>2.8620000000000001</v>
      </c>
      <c r="K59" s="122">
        <v>557.53399999999999</v>
      </c>
      <c r="L59" s="122">
        <v>4.4379999999999997</v>
      </c>
      <c r="M59" s="122">
        <v>561.97199999999998</v>
      </c>
      <c r="N59" s="122">
        <v>151.63800000000001</v>
      </c>
      <c r="O59" s="122">
        <v>713.61</v>
      </c>
      <c r="P59" s="122">
        <v>166.983</v>
      </c>
      <c r="Q59" s="122">
        <v>-0.14000000000000001</v>
      </c>
      <c r="R59" s="122">
        <v>546.48699999999997</v>
      </c>
      <c r="S59" s="123">
        <v>488.26799999999997</v>
      </c>
      <c r="U59" s="126">
        <f t="shared" si="3"/>
        <v>112854</v>
      </c>
      <c r="V59" s="126">
        <f t="shared" si="2"/>
        <v>51731</v>
      </c>
      <c r="W59" s="126">
        <f t="shared" si="1"/>
        <v>16283.999999999998</v>
      </c>
    </row>
    <row r="60" spans="1:23" ht="15.75">
      <c r="A60" s="110"/>
      <c r="B60" s="127" t="s">
        <v>166</v>
      </c>
      <c r="C60" s="122">
        <v>345.363</v>
      </c>
      <c r="D60" s="122">
        <v>114.28400000000001</v>
      </c>
      <c r="E60" s="122">
        <v>96.819000000000003</v>
      </c>
      <c r="F60" s="122">
        <v>50.326000000000001</v>
      </c>
      <c r="G60" s="122">
        <v>28.195</v>
      </c>
      <c r="H60" s="122">
        <v>16.827999999999999</v>
      </c>
      <c r="I60" s="122">
        <v>1.56221879</v>
      </c>
      <c r="J60" s="122">
        <v>-2.847</v>
      </c>
      <c r="K60" s="122">
        <v>553.61900000000003</v>
      </c>
      <c r="L60" s="122">
        <v>2.3980000000000001</v>
      </c>
      <c r="M60" s="122">
        <v>556.01700000000005</v>
      </c>
      <c r="N60" s="122">
        <v>171.07499999999999</v>
      </c>
      <c r="O60" s="122">
        <v>727.09199999999998</v>
      </c>
      <c r="P60" s="122">
        <v>173.816</v>
      </c>
      <c r="Q60" s="122">
        <v>1.5449999999999999</v>
      </c>
      <c r="R60" s="122">
        <v>554.82100000000003</v>
      </c>
      <c r="S60" s="123">
        <v>495.91300000000001</v>
      </c>
      <c r="U60" s="126">
        <f t="shared" si="3"/>
        <v>114284</v>
      </c>
      <c r="V60" s="126">
        <f t="shared" si="2"/>
        <v>50326</v>
      </c>
      <c r="W60" s="126">
        <f t="shared" si="1"/>
        <v>16828</v>
      </c>
    </row>
    <row r="61" spans="1:23" ht="15.75">
      <c r="A61" s="110"/>
      <c r="B61" s="127" t="s">
        <v>167</v>
      </c>
      <c r="C61" s="122">
        <v>348.77600000000001</v>
      </c>
      <c r="D61" s="122">
        <v>113.813</v>
      </c>
      <c r="E61" s="122">
        <v>103.026</v>
      </c>
      <c r="F61" s="122">
        <v>52.575000000000003</v>
      </c>
      <c r="G61" s="122">
        <v>28.952999999999999</v>
      </c>
      <c r="H61" s="122">
        <v>19.984999999999999</v>
      </c>
      <c r="I61" s="122">
        <v>1.5626467799999999</v>
      </c>
      <c r="J61" s="122">
        <v>5.9690000000000003</v>
      </c>
      <c r="K61" s="122">
        <v>571.58399999999995</v>
      </c>
      <c r="L61" s="122">
        <v>8.85</v>
      </c>
      <c r="M61" s="122">
        <v>580.43399999999997</v>
      </c>
      <c r="N61" s="122">
        <v>159.749</v>
      </c>
      <c r="O61" s="122">
        <v>742.23099999999999</v>
      </c>
      <c r="P61" s="122">
        <v>186.501</v>
      </c>
      <c r="Q61" s="122">
        <v>3.6789999999999998</v>
      </c>
      <c r="R61" s="122">
        <v>557.36099999999999</v>
      </c>
      <c r="S61" s="123">
        <v>497.99599999999998</v>
      </c>
      <c r="U61" s="126">
        <f t="shared" si="3"/>
        <v>113813</v>
      </c>
      <c r="V61" s="126">
        <f t="shared" si="2"/>
        <v>52575</v>
      </c>
      <c r="W61" s="126">
        <f t="shared" si="1"/>
        <v>19985</v>
      </c>
    </row>
    <row r="62" spans="1:23" ht="15.75">
      <c r="A62" s="110"/>
      <c r="B62" s="127" t="s">
        <v>168</v>
      </c>
      <c r="C62" s="122">
        <v>351.28300000000002</v>
      </c>
      <c r="D62" s="122">
        <v>112.16</v>
      </c>
      <c r="E62" s="122">
        <v>102.45699999999999</v>
      </c>
      <c r="F62" s="122">
        <v>56.198</v>
      </c>
      <c r="G62" s="122">
        <v>30.009</v>
      </c>
      <c r="H62" s="122">
        <v>14.718</v>
      </c>
      <c r="I62" s="122">
        <v>1.5758348000000002</v>
      </c>
      <c r="J62" s="122">
        <v>2.1629999999999998</v>
      </c>
      <c r="K62" s="122">
        <v>568.06299999999999</v>
      </c>
      <c r="L62" s="122">
        <v>4.085</v>
      </c>
      <c r="M62" s="122">
        <v>572.14800000000002</v>
      </c>
      <c r="N62" s="122">
        <v>168.07400000000001</v>
      </c>
      <c r="O62" s="122">
        <v>742.82</v>
      </c>
      <c r="P62" s="122">
        <v>186.84299999999999</v>
      </c>
      <c r="Q62" s="122">
        <v>4.5590000000000002</v>
      </c>
      <c r="R62" s="122">
        <v>557.93799999999999</v>
      </c>
      <c r="S62" s="123">
        <v>498.47300000000001</v>
      </c>
      <c r="U62" s="126">
        <f t="shared" si="3"/>
        <v>112160</v>
      </c>
      <c r="V62" s="126">
        <f t="shared" si="2"/>
        <v>56198</v>
      </c>
      <c r="W62" s="126">
        <f t="shared" si="1"/>
        <v>14718</v>
      </c>
    </row>
    <row r="63" spans="1:23" ht="15.75">
      <c r="A63" s="110"/>
      <c r="B63" s="127" t="s">
        <v>169</v>
      </c>
      <c r="C63" s="122">
        <v>350.06</v>
      </c>
      <c r="D63" s="122">
        <v>112.747</v>
      </c>
      <c r="E63" s="122">
        <v>102.767</v>
      </c>
      <c r="F63" s="122">
        <v>54.39</v>
      </c>
      <c r="G63" s="122">
        <v>29.826000000000001</v>
      </c>
      <c r="H63" s="122">
        <v>16.988</v>
      </c>
      <c r="I63" s="122">
        <v>1.59030695</v>
      </c>
      <c r="J63" s="122">
        <v>-10.978</v>
      </c>
      <c r="K63" s="122">
        <v>554.596</v>
      </c>
      <c r="L63" s="122">
        <v>-4.6310000000000002</v>
      </c>
      <c r="M63" s="122">
        <v>549.96500000000003</v>
      </c>
      <c r="N63" s="122">
        <v>183.83699999999999</v>
      </c>
      <c r="O63" s="122">
        <v>734.423</v>
      </c>
      <c r="P63" s="122">
        <v>181.33199999999999</v>
      </c>
      <c r="Q63" s="122">
        <v>4.5529999999999999</v>
      </c>
      <c r="R63" s="122">
        <v>557.02300000000002</v>
      </c>
      <c r="S63" s="123">
        <v>497.733</v>
      </c>
      <c r="U63" s="126">
        <f t="shared" si="3"/>
        <v>112747</v>
      </c>
      <c r="V63" s="126">
        <f t="shared" si="2"/>
        <v>54390</v>
      </c>
      <c r="W63" s="126">
        <f t="shared" si="1"/>
        <v>16988</v>
      </c>
    </row>
    <row r="64" spans="1:23" ht="15.75">
      <c r="A64" s="110"/>
      <c r="B64" s="127" t="s">
        <v>170</v>
      </c>
      <c r="C64" s="122">
        <v>350.45</v>
      </c>
      <c r="D64" s="122">
        <v>113.64</v>
      </c>
      <c r="E64" s="122">
        <v>104.352</v>
      </c>
      <c r="F64" s="122">
        <v>56.981999999999999</v>
      </c>
      <c r="G64" s="122">
        <v>28.548999999999999</v>
      </c>
      <c r="H64" s="122">
        <v>17.298999999999999</v>
      </c>
      <c r="I64" s="122">
        <v>1.53672192</v>
      </c>
      <c r="J64" s="122">
        <v>-15.484</v>
      </c>
      <c r="K64" s="122">
        <v>552.95799999999997</v>
      </c>
      <c r="L64" s="122">
        <v>1.484</v>
      </c>
      <c r="M64" s="122">
        <v>554.44200000000001</v>
      </c>
      <c r="N64" s="122">
        <v>181.95</v>
      </c>
      <c r="O64" s="122">
        <v>736.39200000000005</v>
      </c>
      <c r="P64" s="122">
        <v>184.047</v>
      </c>
      <c r="Q64" s="122">
        <v>4.5540000000000003</v>
      </c>
      <c r="R64" s="122">
        <v>557.09900000000005</v>
      </c>
      <c r="S64" s="123">
        <v>498.08800000000002</v>
      </c>
      <c r="U64" s="126">
        <f t="shared" si="3"/>
        <v>113640</v>
      </c>
      <c r="V64" s="126">
        <f t="shared" si="2"/>
        <v>56982</v>
      </c>
      <c r="W64" s="126">
        <f t="shared" si="1"/>
        <v>17299</v>
      </c>
    </row>
    <row r="65" spans="1:23" ht="15.75">
      <c r="A65" s="110"/>
      <c r="B65" s="129" t="s">
        <v>171</v>
      </c>
      <c r="C65" s="122">
        <v>347.92502000000002</v>
      </c>
      <c r="D65" s="122">
        <v>115.498723</v>
      </c>
      <c r="E65" s="122">
        <v>102.2449562170914</v>
      </c>
      <c r="F65" s="122">
        <v>54.267429399999997</v>
      </c>
      <c r="G65" s="122">
        <v>27.723648828155252</v>
      </c>
      <c r="H65" s="122">
        <v>18.760532299999998</v>
      </c>
      <c r="I65" s="122">
        <v>1.4933457356550313</v>
      </c>
      <c r="J65" s="122">
        <v>0.72</v>
      </c>
      <c r="K65" s="122">
        <v>566.38869921709147</v>
      </c>
      <c r="L65" s="122">
        <v>-2.5068895699999998</v>
      </c>
      <c r="M65" s="122">
        <v>563.88180964709147</v>
      </c>
      <c r="N65" s="122">
        <v>165.9030979756576</v>
      </c>
      <c r="O65" s="122">
        <v>729.78490800000009</v>
      </c>
      <c r="P65" s="122">
        <v>179.57972342389633</v>
      </c>
      <c r="Q65" s="122">
        <v>4.5540000000000003</v>
      </c>
      <c r="R65" s="122">
        <v>554.75918420000005</v>
      </c>
      <c r="S65" s="123">
        <v>496.05533600000001</v>
      </c>
      <c r="U65" s="126">
        <f t="shared" si="3"/>
        <v>115498.723</v>
      </c>
      <c r="V65" s="126">
        <f t="shared" si="2"/>
        <v>54267.429400000001</v>
      </c>
      <c r="W65" s="126">
        <f t="shared" si="1"/>
        <v>18760.532299999999</v>
      </c>
    </row>
    <row r="66" spans="1:23" ht="15.75">
      <c r="A66" s="110"/>
      <c r="B66" s="129" t="s">
        <v>172</v>
      </c>
      <c r="C66" s="122">
        <v>346.32456500000001</v>
      </c>
      <c r="D66" s="122">
        <v>116.929513</v>
      </c>
      <c r="E66" s="122">
        <v>101.56659251125532</v>
      </c>
      <c r="F66" s="122">
        <v>53.5288483</v>
      </c>
      <c r="G66" s="122">
        <v>27.19299297178431</v>
      </c>
      <c r="H66" s="122">
        <v>19.297938200000001</v>
      </c>
      <c r="I66" s="122">
        <v>1.5468130594497906</v>
      </c>
      <c r="J66" s="122">
        <v>0.72</v>
      </c>
      <c r="K66" s="122">
        <v>565.54067051125526</v>
      </c>
      <c r="L66" s="122">
        <v>1.02010489</v>
      </c>
      <c r="M66" s="122">
        <v>566.56077540125523</v>
      </c>
      <c r="N66" s="122">
        <v>160.98638925054496</v>
      </c>
      <c r="O66" s="122">
        <v>727.54716500000006</v>
      </c>
      <c r="P66" s="122">
        <v>177.09251359131571</v>
      </c>
      <c r="Q66" s="122">
        <v>4.5540000000000003</v>
      </c>
      <c r="R66" s="122">
        <v>555.00865106547599</v>
      </c>
      <c r="S66" s="123">
        <v>496.35813999999999</v>
      </c>
      <c r="U66" s="126">
        <f t="shared" si="3"/>
        <v>116929.51300000001</v>
      </c>
      <c r="V66" s="126">
        <f t="shared" si="2"/>
        <v>53528.848299999998</v>
      </c>
      <c r="W66" s="126">
        <f t="shared" si="1"/>
        <v>19297.938200000001</v>
      </c>
    </row>
    <row r="67" spans="1:23" ht="15.75">
      <c r="A67" s="110"/>
      <c r="B67" s="129" t="s">
        <v>173</v>
      </c>
      <c r="C67" s="122">
        <v>346.77434199999999</v>
      </c>
      <c r="D67" s="122">
        <v>118.00379099999999</v>
      </c>
      <c r="E67" s="122">
        <v>101.12404527385375</v>
      </c>
      <c r="F67" s="122">
        <v>53.066102600000001</v>
      </c>
      <c r="G67" s="122">
        <v>26.922058121018065</v>
      </c>
      <c r="H67" s="122">
        <v>19.602440399999999</v>
      </c>
      <c r="I67" s="122">
        <v>1.5334442375220412</v>
      </c>
      <c r="J67" s="122">
        <v>0.72</v>
      </c>
      <c r="K67" s="122">
        <v>566.62217827385382</v>
      </c>
      <c r="L67" s="122">
        <v>1.41743668</v>
      </c>
      <c r="M67" s="122">
        <v>568.03961495385386</v>
      </c>
      <c r="N67" s="122">
        <v>160.3080183838054</v>
      </c>
      <c r="O67" s="122">
        <v>728.34763300000009</v>
      </c>
      <c r="P67" s="122">
        <v>176.49231373634225</v>
      </c>
      <c r="Q67" s="122">
        <v>4.5540000000000003</v>
      </c>
      <c r="R67" s="122">
        <v>556.40931959805619</v>
      </c>
      <c r="S67" s="123">
        <v>497.691508</v>
      </c>
      <c r="U67" s="126">
        <f t="shared" si="3"/>
        <v>118003.791</v>
      </c>
      <c r="V67" s="126">
        <f t="shared" si="2"/>
        <v>53066.102599999998</v>
      </c>
      <c r="W67" s="126">
        <f t="shared" si="1"/>
        <v>19602.440399999999</v>
      </c>
    </row>
    <row r="68" spans="1:23" ht="15.75">
      <c r="A68" s="110"/>
      <c r="B68" s="129" t="s">
        <v>174</v>
      </c>
      <c r="C68" s="122">
        <v>348.19438299999996</v>
      </c>
      <c r="D68" s="122">
        <v>118.46073799999999</v>
      </c>
      <c r="E68" s="122">
        <v>101.12528635517272</v>
      </c>
      <c r="F68" s="122">
        <v>53.014051000000002</v>
      </c>
      <c r="G68" s="122">
        <v>26.786658291512474</v>
      </c>
      <c r="H68" s="122">
        <v>19.797076799999999</v>
      </c>
      <c r="I68" s="122">
        <v>1.5275002619734364</v>
      </c>
      <c r="J68" s="122">
        <v>0.72</v>
      </c>
      <c r="K68" s="122">
        <v>568.50040735517268</v>
      </c>
      <c r="L68" s="122">
        <v>1.0437637</v>
      </c>
      <c r="M68" s="122">
        <v>569.54417105517268</v>
      </c>
      <c r="N68" s="122">
        <v>160.49154217371111</v>
      </c>
      <c r="O68" s="122">
        <v>730.03571299999999</v>
      </c>
      <c r="P68" s="122">
        <v>175.90130464876469</v>
      </c>
      <c r="Q68" s="122">
        <v>4.5540000000000003</v>
      </c>
      <c r="R68" s="122">
        <v>558.68840857671535</v>
      </c>
      <c r="S68" s="123">
        <v>499.808089</v>
      </c>
      <c r="U68" s="126">
        <f t="shared" si="3"/>
        <v>118460.738</v>
      </c>
      <c r="V68" s="126">
        <f t="shared" si="2"/>
        <v>53014.050999999999</v>
      </c>
      <c r="W68" s="126">
        <f t="shared" si="1"/>
        <v>19797.076799999999</v>
      </c>
    </row>
    <row r="69" spans="1:23" ht="15.75">
      <c r="A69" s="110"/>
      <c r="B69" s="129" t="s">
        <v>175</v>
      </c>
      <c r="C69" s="122">
        <v>349.87372399999998</v>
      </c>
      <c r="D69" s="122">
        <v>118.626197</v>
      </c>
      <c r="E69" s="122">
        <v>101.39598405922756</v>
      </c>
      <c r="F69" s="122">
        <v>53.164764499999997</v>
      </c>
      <c r="G69" s="122">
        <v>26.91517400569824</v>
      </c>
      <c r="H69" s="122">
        <v>19.782687799999998</v>
      </c>
      <c r="I69" s="122">
        <v>1.5333577486468146</v>
      </c>
      <c r="J69" s="122">
        <v>0.72</v>
      </c>
      <c r="K69" s="122">
        <v>570.61590505922754</v>
      </c>
      <c r="L69" s="122">
        <v>0.77299738500000004</v>
      </c>
      <c r="M69" s="122">
        <v>571.38890244422748</v>
      </c>
      <c r="N69" s="122">
        <v>160.76689421681823</v>
      </c>
      <c r="O69" s="122">
        <v>732.15579700000001</v>
      </c>
      <c r="P69" s="122">
        <v>175.40234334472223</v>
      </c>
      <c r="Q69" s="122">
        <v>4.5540000000000003</v>
      </c>
      <c r="R69" s="122">
        <v>561.30745331644709</v>
      </c>
      <c r="S69" s="123">
        <v>502.22351400000002</v>
      </c>
      <c r="U69" s="126">
        <f t="shared" si="3"/>
        <v>118626.197</v>
      </c>
      <c r="V69" s="126">
        <f t="shared" si="2"/>
        <v>53164.764499999997</v>
      </c>
      <c r="W69" s="126">
        <f t="shared" si="1"/>
        <v>19782.6878</v>
      </c>
    </row>
    <row r="70" spans="1:23" ht="15.75">
      <c r="A70" s="110"/>
      <c r="B70" s="129" t="s">
        <v>176</v>
      </c>
      <c r="C70" s="122">
        <v>351.69831599999998</v>
      </c>
      <c r="D70" s="122">
        <v>118.94578800000001</v>
      </c>
      <c r="E70" s="122">
        <v>101.89101270680568</v>
      </c>
      <c r="F70" s="122">
        <v>53.7860984</v>
      </c>
      <c r="G70" s="122">
        <v>27.006151575553783</v>
      </c>
      <c r="H70" s="122">
        <v>19.560082099999999</v>
      </c>
      <c r="I70" s="122">
        <v>1.5386805651869881</v>
      </c>
      <c r="J70" s="122">
        <v>0.72</v>
      </c>
      <c r="K70" s="122">
        <v>573.25511670680567</v>
      </c>
      <c r="L70" s="122">
        <v>0.37641439700000001</v>
      </c>
      <c r="M70" s="122">
        <v>573.63153110380563</v>
      </c>
      <c r="N70" s="122">
        <v>161.11566691005905</v>
      </c>
      <c r="O70" s="122">
        <v>734.74719800000003</v>
      </c>
      <c r="P70" s="122">
        <v>174.98557891430818</v>
      </c>
      <c r="Q70" s="122">
        <v>4.5540000000000003</v>
      </c>
      <c r="R70" s="122">
        <v>564.31561909982395</v>
      </c>
      <c r="S70" s="123">
        <v>504.99183799999997</v>
      </c>
      <c r="U70" s="126">
        <f t="shared" si="3"/>
        <v>118945.788</v>
      </c>
      <c r="V70" s="126">
        <f t="shared" si="2"/>
        <v>53786.098400000003</v>
      </c>
      <c r="W70" s="126">
        <f t="shared" si="1"/>
        <v>19560.0821</v>
      </c>
    </row>
    <row r="71" spans="1:23" ht="15.75">
      <c r="A71" s="110"/>
      <c r="B71" s="129" t="s">
        <v>177</v>
      </c>
      <c r="C71" s="122">
        <v>353.548249</v>
      </c>
      <c r="D71" s="122">
        <v>119.217314</v>
      </c>
      <c r="E71" s="122">
        <v>102.40336071288932</v>
      </c>
      <c r="F71" s="122">
        <v>54.384747900000001</v>
      </c>
      <c r="G71" s="122">
        <v>27.169341699512071</v>
      </c>
      <c r="H71" s="122">
        <v>19.303121599999997</v>
      </c>
      <c r="I71" s="122">
        <v>1.5461494921659906</v>
      </c>
      <c r="J71" s="122">
        <v>0.72</v>
      </c>
      <c r="K71" s="122">
        <v>575.88892371288932</v>
      </c>
      <c r="L71" s="122">
        <v>0.28480666700000001</v>
      </c>
      <c r="M71" s="122">
        <v>576.17373037988932</v>
      </c>
      <c r="N71" s="122">
        <v>161.69316269024188</v>
      </c>
      <c r="O71" s="122">
        <v>737.866893</v>
      </c>
      <c r="P71" s="122">
        <v>174.73354268230506</v>
      </c>
      <c r="Q71" s="122">
        <v>4.5540000000000003</v>
      </c>
      <c r="R71" s="122">
        <v>567.68735038807586</v>
      </c>
      <c r="S71" s="123">
        <v>508.09006699999998</v>
      </c>
      <c r="U71" s="126">
        <f t="shared" si="3"/>
        <v>119217.314</v>
      </c>
      <c r="V71" s="126">
        <f t="shared" si="2"/>
        <v>54384.747900000002</v>
      </c>
      <c r="W71" s="126">
        <f t="shared" si="1"/>
        <v>19303.121599999999</v>
      </c>
    </row>
    <row r="72" spans="1:23" ht="15.75">
      <c r="A72" s="110"/>
      <c r="B72" s="129" t="s">
        <v>178</v>
      </c>
      <c r="C72" s="122">
        <v>355.140984</v>
      </c>
      <c r="D72" s="122">
        <v>119.61959900000001</v>
      </c>
      <c r="E72" s="122">
        <v>103.38519989472867</v>
      </c>
      <c r="F72" s="122">
        <v>55.355109299999988</v>
      </c>
      <c r="G72" s="122">
        <v>27.379766860937007</v>
      </c>
      <c r="H72" s="122">
        <v>19.094905399999998</v>
      </c>
      <c r="I72" s="122">
        <v>1.5554183417304182</v>
      </c>
      <c r="J72" s="122">
        <v>0.72</v>
      </c>
      <c r="K72" s="122">
        <v>578.86578289472868</v>
      </c>
      <c r="L72" s="122">
        <v>0.34717462500000001</v>
      </c>
      <c r="M72" s="122">
        <v>579.21295751972866</v>
      </c>
      <c r="N72" s="122">
        <v>162.16027167382819</v>
      </c>
      <c r="O72" s="122">
        <v>741.37322900000004</v>
      </c>
      <c r="P72" s="122">
        <v>174.56252999906334</v>
      </c>
      <c r="Q72" s="122">
        <v>4.5540000000000003</v>
      </c>
      <c r="R72" s="122">
        <v>571.36469919427577</v>
      </c>
      <c r="S72" s="123">
        <v>511.466026</v>
      </c>
      <c r="U72" s="126">
        <f t="shared" si="3"/>
        <v>119619.599</v>
      </c>
      <c r="V72" s="126">
        <f t="shared" si="2"/>
        <v>55355.109299999989</v>
      </c>
      <c r="W72" s="126">
        <f t="shared" si="1"/>
        <v>19094.9054</v>
      </c>
    </row>
    <row r="73" spans="1:23" ht="15.75">
      <c r="A73" s="110"/>
      <c r="B73" s="129" t="s">
        <v>179</v>
      </c>
      <c r="C73" s="122">
        <v>356.69721100000004</v>
      </c>
      <c r="D73" s="122">
        <v>120.03458400000001</v>
      </c>
      <c r="E73" s="122">
        <v>104.34639764425127</v>
      </c>
      <c r="F73" s="122">
        <v>56.279183100000004</v>
      </c>
      <c r="G73" s="122">
        <v>27.56763175803119</v>
      </c>
      <c r="H73" s="122">
        <v>18.934680199999999</v>
      </c>
      <c r="I73" s="122">
        <v>1.5649025778409948</v>
      </c>
      <c r="J73" s="122">
        <v>0.72</v>
      </c>
      <c r="K73" s="122">
        <v>581.79819264425123</v>
      </c>
      <c r="L73" s="122">
        <v>0.51994894699999994</v>
      </c>
      <c r="M73" s="122">
        <v>582.31814159125122</v>
      </c>
      <c r="N73" s="122">
        <v>162.6248284635594</v>
      </c>
      <c r="O73" s="122">
        <v>744.94296999999995</v>
      </c>
      <c r="P73" s="122">
        <v>174.38937690176917</v>
      </c>
      <c r="Q73" s="122">
        <v>4.5540000000000003</v>
      </c>
      <c r="R73" s="122">
        <v>575.10759315262669</v>
      </c>
      <c r="S73" s="123">
        <v>514.90349900000001</v>
      </c>
      <c r="U73" s="126">
        <f t="shared" si="3"/>
        <v>120034.584</v>
      </c>
      <c r="V73" s="126">
        <f t="shared" si="2"/>
        <v>56279.183100000002</v>
      </c>
      <c r="W73" s="126">
        <f t="shared" si="1"/>
        <v>18934.680199999999</v>
      </c>
    </row>
    <row r="74" spans="1:23" ht="15.75">
      <c r="A74" s="110"/>
      <c r="B74" s="129" t="s">
        <v>180</v>
      </c>
      <c r="C74" s="122">
        <v>358.103002</v>
      </c>
      <c r="D74" s="122">
        <v>120.28313</v>
      </c>
      <c r="E74" s="122">
        <v>105.44548022281215</v>
      </c>
      <c r="F74" s="122">
        <v>57.1465429</v>
      </c>
      <c r="G74" s="122">
        <v>27.894920716928826</v>
      </c>
      <c r="H74" s="122">
        <v>18.821731100000001</v>
      </c>
      <c r="I74" s="122">
        <v>1.5822854963219815</v>
      </c>
      <c r="J74" s="122">
        <v>0.72</v>
      </c>
      <c r="K74" s="122">
        <v>584.55161222281208</v>
      </c>
      <c r="L74" s="122">
        <v>0.66823070700000009</v>
      </c>
      <c r="M74" s="122">
        <v>585.2198429298121</v>
      </c>
      <c r="N74" s="122">
        <v>163.09881650639414</v>
      </c>
      <c r="O74" s="122">
        <v>748.31865900000003</v>
      </c>
      <c r="P74" s="122">
        <v>174.30281559159565</v>
      </c>
      <c r="Q74" s="122">
        <v>4.5540000000000003</v>
      </c>
      <c r="R74" s="122">
        <v>578.56984384439227</v>
      </c>
      <c r="S74" s="123">
        <v>518.08448099999998</v>
      </c>
      <c r="U74" s="126">
        <f t="shared" si="3"/>
        <v>120283.13</v>
      </c>
      <c r="V74" s="126">
        <f t="shared" si="2"/>
        <v>57146.5429</v>
      </c>
      <c r="W74" s="126">
        <f t="shared" si="1"/>
        <v>18821.731100000001</v>
      </c>
    </row>
    <row r="75" spans="1:23" ht="15.75">
      <c r="A75" s="110"/>
      <c r="B75" s="129" t="s">
        <v>181</v>
      </c>
      <c r="C75" s="122">
        <v>359.40812599999998</v>
      </c>
      <c r="D75" s="122">
        <v>120.60377700000001</v>
      </c>
      <c r="E75" s="122">
        <v>106.4188284576806</v>
      </c>
      <c r="F75" s="122">
        <v>57.8731559</v>
      </c>
      <c r="G75" s="122">
        <v>28.214027890053838</v>
      </c>
      <c r="H75" s="122">
        <v>18.7326403</v>
      </c>
      <c r="I75" s="122">
        <v>1.5990044569043076</v>
      </c>
      <c r="J75" s="122">
        <v>0.72</v>
      </c>
      <c r="K75" s="122">
        <v>587.15073145768054</v>
      </c>
      <c r="L75" s="122">
        <v>0.79902394200000004</v>
      </c>
      <c r="M75" s="122">
        <v>587.94975539968061</v>
      </c>
      <c r="N75" s="122">
        <v>163.45691978199983</v>
      </c>
      <c r="O75" s="122">
        <v>751.40667500000006</v>
      </c>
      <c r="P75" s="122">
        <v>174.22006903508446</v>
      </c>
      <c r="Q75" s="122">
        <v>4.5540000000000003</v>
      </c>
      <c r="R75" s="122">
        <v>581.74060614658106</v>
      </c>
      <c r="S75" s="123">
        <v>520.99899500000004</v>
      </c>
      <c r="U75" s="126">
        <f t="shared" si="3"/>
        <v>120603.777</v>
      </c>
      <c r="V75" s="126">
        <f t="shared" si="2"/>
        <v>57873.155899999998</v>
      </c>
      <c r="W75" s="126">
        <f t="shared" si="1"/>
        <v>18732.640299999999</v>
      </c>
    </row>
    <row r="76" spans="1:23" ht="15.75">
      <c r="A76" s="110"/>
      <c r="B76" s="129" t="s">
        <v>182</v>
      </c>
      <c r="C76" s="122">
        <v>360.77028300000001</v>
      </c>
      <c r="D76" s="122">
        <v>120.996889</v>
      </c>
      <c r="E76" s="122">
        <v>107.36724430184655</v>
      </c>
      <c r="F76" s="122">
        <v>58.565798999999998</v>
      </c>
      <c r="G76" s="122">
        <v>28.52198083962157</v>
      </c>
      <c r="H76" s="122">
        <v>18.6669798</v>
      </c>
      <c r="I76" s="122">
        <v>1.6124846961024684</v>
      </c>
      <c r="J76" s="122">
        <v>0.72</v>
      </c>
      <c r="K76" s="122">
        <v>589.85441630184664</v>
      </c>
      <c r="L76" s="122">
        <v>0.80178691899999999</v>
      </c>
      <c r="M76" s="122">
        <v>590.65620322084658</v>
      </c>
      <c r="N76" s="122">
        <v>163.8244352322811</v>
      </c>
      <c r="O76" s="122">
        <v>754.480638</v>
      </c>
      <c r="P76" s="122">
        <v>174.14133557849766</v>
      </c>
      <c r="Q76" s="122">
        <v>4.5540000000000003</v>
      </c>
      <c r="R76" s="122">
        <v>584.89330287418954</v>
      </c>
      <c r="S76" s="123">
        <v>523.89311299999997</v>
      </c>
      <c r="U76" s="126">
        <f t="shared" si="3"/>
        <v>120996.889</v>
      </c>
      <c r="V76" s="126">
        <f t="shared" si="2"/>
        <v>58565.798999999999</v>
      </c>
      <c r="W76" s="126">
        <f t="shared" si="1"/>
        <v>18666.979800000001</v>
      </c>
    </row>
    <row r="77" spans="1:23" ht="15.75">
      <c r="A77" s="110"/>
      <c r="B77" s="129" t="s">
        <v>183</v>
      </c>
      <c r="C77" s="122">
        <v>362.19701700000002</v>
      </c>
      <c r="D77" s="122">
        <v>121.523437</v>
      </c>
      <c r="E77" s="122">
        <v>108.29155350518538</v>
      </c>
      <c r="F77" s="122">
        <v>59.232236299999997</v>
      </c>
      <c r="G77" s="122">
        <v>28.808272087646394</v>
      </c>
      <c r="H77" s="122">
        <v>18.624370800000001</v>
      </c>
      <c r="I77" s="122">
        <v>1.6266742683262545</v>
      </c>
      <c r="J77" s="122">
        <v>0.72</v>
      </c>
      <c r="K77" s="122">
        <v>592.73200750518549</v>
      </c>
      <c r="L77" s="122">
        <v>0.57358843500000001</v>
      </c>
      <c r="M77" s="122">
        <v>593.30559594018553</v>
      </c>
      <c r="N77" s="122">
        <v>164.12272807479019</v>
      </c>
      <c r="O77" s="122">
        <v>757.42832399999998</v>
      </c>
      <c r="P77" s="122">
        <v>173.983883607161</v>
      </c>
      <c r="Q77" s="122">
        <v>4.5540000000000003</v>
      </c>
      <c r="R77" s="122">
        <v>587.99844040738503</v>
      </c>
      <c r="S77" s="123">
        <v>526.7400550000001</v>
      </c>
      <c r="U77" s="126">
        <f t="shared" si="3"/>
        <v>121523.43700000001</v>
      </c>
      <c r="V77" s="126">
        <f t="shared" si="2"/>
        <v>59232.236299999997</v>
      </c>
      <c r="W77" s="126">
        <f t="shared" si="1"/>
        <v>18624.370800000001</v>
      </c>
    </row>
    <row r="78" spans="1:23" ht="15.75">
      <c r="A78" s="110"/>
      <c r="B78" s="129" t="s">
        <v>184</v>
      </c>
      <c r="C78" s="122">
        <v>363.79549500000002</v>
      </c>
      <c r="D78" s="122">
        <v>122.06330800000001</v>
      </c>
      <c r="E78" s="122">
        <v>108.29812611819642</v>
      </c>
      <c r="F78" s="122">
        <v>58.846146399999995</v>
      </c>
      <c r="G78" s="122">
        <v>29.202372341022549</v>
      </c>
      <c r="H78" s="122">
        <v>18.604484599999999</v>
      </c>
      <c r="I78" s="122">
        <v>1.6451227359940885</v>
      </c>
      <c r="J78" s="122">
        <v>0.72</v>
      </c>
      <c r="K78" s="122">
        <v>594.87692911819647</v>
      </c>
      <c r="L78" s="122">
        <v>0.86791472599999997</v>
      </c>
      <c r="M78" s="122">
        <v>595.74484384419657</v>
      </c>
      <c r="N78" s="122">
        <v>164.33449490642013</v>
      </c>
      <c r="O78" s="122">
        <v>760.079339</v>
      </c>
      <c r="P78" s="122">
        <v>173.65682712098328</v>
      </c>
      <c r="Q78" s="122">
        <v>4.5540000000000003</v>
      </c>
      <c r="R78" s="122">
        <v>590.97651162979639</v>
      </c>
      <c r="S78" s="123">
        <v>529.47680100000002</v>
      </c>
      <c r="U78" s="126">
        <f t="shared" si="3"/>
        <v>122063.308</v>
      </c>
      <c r="V78" s="126">
        <f t="shared" si="2"/>
        <v>58846.146399999998</v>
      </c>
      <c r="W78" s="126">
        <f t="shared" si="1"/>
        <v>18604.4846</v>
      </c>
    </row>
    <row r="79" spans="1:23" ht="15.75">
      <c r="A79" s="110"/>
      <c r="B79" s="129" t="s">
        <v>185</v>
      </c>
      <c r="C79" s="122">
        <v>365.51137300000005</v>
      </c>
      <c r="D79" s="122">
        <v>122.544501</v>
      </c>
      <c r="E79" s="122">
        <v>108.16400029143871</v>
      </c>
      <c r="F79" s="122">
        <v>58.388980199999999</v>
      </c>
      <c r="G79" s="122">
        <v>29.548191029335143</v>
      </c>
      <c r="H79" s="122">
        <v>18.564796099999999</v>
      </c>
      <c r="I79" s="122">
        <v>1.6620329109115834</v>
      </c>
      <c r="J79" s="122">
        <v>0.72</v>
      </c>
      <c r="K79" s="122">
        <v>596.93987429143874</v>
      </c>
      <c r="L79" s="122">
        <v>1.0630546200000002</v>
      </c>
      <c r="M79" s="122">
        <v>598.00292891143863</v>
      </c>
      <c r="N79" s="122">
        <v>164.51502318434197</v>
      </c>
      <c r="O79" s="122">
        <v>762.51795200000004</v>
      </c>
      <c r="P79" s="122">
        <v>173.14930872277279</v>
      </c>
      <c r="Q79" s="122">
        <v>4.5540000000000003</v>
      </c>
      <c r="R79" s="122">
        <v>593.92264337411848</v>
      </c>
      <c r="S79" s="123">
        <v>532.20121200000006</v>
      </c>
      <c r="U79" s="126">
        <f t="shared" si="3"/>
        <v>122544.501</v>
      </c>
      <c r="V79" s="126">
        <f t="shared" si="2"/>
        <v>58388.980199999998</v>
      </c>
      <c r="W79" s="126">
        <f t="shared" si="1"/>
        <v>18564.7961</v>
      </c>
    </row>
    <row r="80" spans="1:23" ht="15.75">
      <c r="A80" s="110"/>
      <c r="B80" s="129" t="s">
        <v>186</v>
      </c>
      <c r="C80" s="122">
        <v>367.33533699999998</v>
      </c>
      <c r="D80" s="122">
        <v>123.211366</v>
      </c>
      <c r="E80" s="122">
        <v>107.67953288426057</v>
      </c>
      <c r="F80" s="122">
        <v>57.708558599999996</v>
      </c>
      <c r="G80" s="122">
        <v>29.791665868422065</v>
      </c>
      <c r="H80" s="122">
        <v>18.505604200000004</v>
      </c>
      <c r="I80" s="122">
        <v>1.6737042724197553</v>
      </c>
      <c r="J80" s="122">
        <v>0.72</v>
      </c>
      <c r="K80" s="122">
        <v>598.94623588426055</v>
      </c>
      <c r="L80" s="122">
        <v>1.21414723</v>
      </c>
      <c r="M80" s="122">
        <v>600.16038311426053</v>
      </c>
      <c r="N80" s="122">
        <v>164.69959746487925</v>
      </c>
      <c r="O80" s="122">
        <v>764.85998100000006</v>
      </c>
      <c r="P80" s="122">
        <v>172.64461336186275</v>
      </c>
      <c r="Q80" s="122">
        <v>4.5540000000000003</v>
      </c>
      <c r="R80" s="122">
        <v>596.76936721867582</v>
      </c>
      <c r="S80" s="123">
        <v>534.83432400000004</v>
      </c>
      <c r="U80" s="126">
        <f t="shared" si="3"/>
        <v>123211.36599999999</v>
      </c>
      <c r="V80" s="126">
        <f t="shared" si="2"/>
        <v>57708.558599999997</v>
      </c>
      <c r="W80" s="126">
        <f t="shared" si="1"/>
        <v>18505.604200000005</v>
      </c>
    </row>
    <row r="81" spans="1:23" ht="15.75">
      <c r="A81" s="110"/>
      <c r="B81" s="129" t="s">
        <v>187</v>
      </c>
      <c r="C81" s="122">
        <v>369.24856599999998</v>
      </c>
      <c r="D81" s="122">
        <v>123.82024800000001</v>
      </c>
      <c r="E81" s="122">
        <v>107.02078141900476</v>
      </c>
      <c r="F81" s="122">
        <v>56.957467100000002</v>
      </c>
      <c r="G81" s="122">
        <v>29.955560018526885</v>
      </c>
      <c r="H81" s="122">
        <v>18.4272104</v>
      </c>
      <c r="I81" s="122">
        <v>1.6805438634020902</v>
      </c>
      <c r="J81" s="122">
        <v>0.72</v>
      </c>
      <c r="K81" s="122">
        <v>600.80959541900484</v>
      </c>
      <c r="L81" s="122">
        <v>1.4089580900000001</v>
      </c>
      <c r="M81" s="122">
        <v>602.21855350900478</v>
      </c>
      <c r="N81" s="122">
        <v>164.88813417835087</v>
      </c>
      <c r="O81" s="122">
        <v>767.10668799999996</v>
      </c>
      <c r="P81" s="122">
        <v>172.14269667431608</v>
      </c>
      <c r="Q81" s="122">
        <v>4.5540000000000003</v>
      </c>
      <c r="R81" s="122">
        <v>599.51799101153563</v>
      </c>
      <c r="S81" s="123">
        <v>537.37735699999996</v>
      </c>
      <c r="U81" s="126">
        <f t="shared" si="3"/>
        <v>123820.24800000001</v>
      </c>
      <c r="V81" s="126">
        <f t="shared" si="2"/>
        <v>56957.467100000002</v>
      </c>
      <c r="W81" s="126">
        <f t="shared" si="1"/>
        <v>18427.2104</v>
      </c>
    </row>
    <row r="82" spans="1:23" ht="15.75">
      <c r="A82" s="110"/>
      <c r="B82" s="129" t="s">
        <v>188</v>
      </c>
      <c r="C82" s="122">
        <v>370.807165</v>
      </c>
      <c r="D82" s="122">
        <v>124.43214900000001</v>
      </c>
      <c r="E82" s="122">
        <v>107.45381951409313</v>
      </c>
      <c r="F82" s="122">
        <v>57.286017600000001</v>
      </c>
      <c r="G82" s="122">
        <v>30.130809693960966</v>
      </c>
      <c r="H82" s="122">
        <v>18.3475526</v>
      </c>
      <c r="I82" s="122">
        <v>1.6894396214237366</v>
      </c>
      <c r="J82" s="122">
        <v>0.72</v>
      </c>
      <c r="K82" s="122">
        <v>603.41313351409315</v>
      </c>
      <c r="L82" s="122">
        <v>1.0879360999999999</v>
      </c>
      <c r="M82" s="122">
        <v>604.50106961409313</v>
      </c>
      <c r="N82" s="122">
        <v>165.08055186798728</v>
      </c>
      <c r="O82" s="122">
        <v>769.58162100000004</v>
      </c>
      <c r="P82" s="122">
        <v>171.88995750625341</v>
      </c>
      <c r="Q82" s="122">
        <v>4.5540000000000003</v>
      </c>
      <c r="R82" s="122">
        <v>602.24566397688807</v>
      </c>
      <c r="S82" s="123">
        <v>539.89984699999991</v>
      </c>
      <c r="U82" s="126">
        <f t="shared" si="3"/>
        <v>124432.149</v>
      </c>
      <c r="V82" s="126">
        <f t="shared" si="2"/>
        <v>57286.017599999999</v>
      </c>
      <c r="W82" s="126">
        <f t="shared" si="1"/>
        <v>18347.552599999999</v>
      </c>
    </row>
    <row r="83" spans="1:23" ht="15.75">
      <c r="A83" s="110"/>
      <c r="B83" s="129" t="s">
        <v>189</v>
      </c>
      <c r="C83" s="122">
        <v>372.35398700000002</v>
      </c>
      <c r="D83" s="122">
        <v>124.92455</v>
      </c>
      <c r="E83" s="122">
        <v>107.86806605700657</v>
      </c>
      <c r="F83" s="122">
        <v>57.616463199999998</v>
      </c>
      <c r="G83" s="122">
        <v>30.286831103941719</v>
      </c>
      <c r="H83" s="122">
        <v>18.267602999999998</v>
      </c>
      <c r="I83" s="122">
        <v>1.6971687515017435</v>
      </c>
      <c r="J83" s="122">
        <v>0.72</v>
      </c>
      <c r="K83" s="122">
        <v>605.86660305700661</v>
      </c>
      <c r="L83" s="122">
        <v>0.93328413099999996</v>
      </c>
      <c r="M83" s="122">
        <v>606.79988718800666</v>
      </c>
      <c r="N83" s="122">
        <v>165.27677113744105</v>
      </c>
      <c r="O83" s="122">
        <v>772.07665800000007</v>
      </c>
      <c r="P83" s="122">
        <v>171.72111405220198</v>
      </c>
      <c r="Q83" s="122">
        <v>4.5540000000000003</v>
      </c>
      <c r="R83" s="122">
        <v>604.9095442734515</v>
      </c>
      <c r="S83" s="123">
        <v>542.36324500000001</v>
      </c>
      <c r="U83" s="126">
        <f t="shared" si="3"/>
        <v>124924.55</v>
      </c>
      <c r="V83" s="126">
        <f t="shared" si="2"/>
        <v>57616.463199999998</v>
      </c>
      <c r="W83" s="126">
        <f t="shared" si="1"/>
        <v>18267.602999999999</v>
      </c>
    </row>
    <row r="84" spans="1:23" ht="15.75">
      <c r="A84" s="110"/>
      <c r="B84" s="129" t="s">
        <v>190</v>
      </c>
      <c r="C84" s="122">
        <v>373.86205800000005</v>
      </c>
      <c r="D84" s="122">
        <v>125.483187</v>
      </c>
      <c r="E84" s="122">
        <v>108.22499733494196</v>
      </c>
      <c r="F84" s="122">
        <v>57.920006699999995</v>
      </c>
      <c r="G84" s="122">
        <v>30.414115429133005</v>
      </c>
      <c r="H84" s="122">
        <v>18.187368600000006</v>
      </c>
      <c r="I84" s="122">
        <v>1.7035065876269866</v>
      </c>
      <c r="J84" s="122">
        <v>0.72</v>
      </c>
      <c r="K84" s="122">
        <v>608.29024233494204</v>
      </c>
      <c r="L84" s="122">
        <v>1.0156835200000001</v>
      </c>
      <c r="M84" s="122">
        <v>609.30592585494196</v>
      </c>
      <c r="N84" s="122">
        <v>165.31629780452278</v>
      </c>
      <c r="O84" s="122">
        <v>774.62222400000007</v>
      </c>
      <c r="P84" s="122">
        <v>171.63596324114658</v>
      </c>
      <c r="Q84" s="122">
        <v>4.5540000000000003</v>
      </c>
      <c r="R84" s="122">
        <v>607.54026041364375</v>
      </c>
      <c r="S84" s="123">
        <v>544.79518099999996</v>
      </c>
      <c r="U84" s="126">
        <f t="shared" si="3"/>
        <v>125483.18700000001</v>
      </c>
      <c r="V84" s="126">
        <f t="shared" si="2"/>
        <v>57920.006699999998</v>
      </c>
      <c r="W84" s="126">
        <f t="shared" si="1"/>
        <v>18187.368600000005</v>
      </c>
    </row>
    <row r="85" spans="1:23" ht="15.75">
      <c r="A85" s="110"/>
      <c r="B85" s="158" t="s">
        <v>191</v>
      </c>
      <c r="C85" s="131">
        <v>375.364983</v>
      </c>
      <c r="D85" s="131">
        <v>126.046104</v>
      </c>
      <c r="E85" s="131">
        <v>108.55031510654656</v>
      </c>
      <c r="F85" s="131">
        <v>58.191273000000002</v>
      </c>
      <c r="G85" s="131">
        <v>30.542127146798368</v>
      </c>
      <c r="H85" s="131">
        <v>18.106856500000006</v>
      </c>
      <c r="I85" s="131">
        <v>1.7100584601616591</v>
      </c>
      <c r="J85" s="131">
        <v>0.72</v>
      </c>
      <c r="K85" s="131">
        <v>610.68140210654656</v>
      </c>
      <c r="L85" s="131">
        <v>1.1315940099999999</v>
      </c>
      <c r="M85" s="131">
        <v>611.81299611654651</v>
      </c>
      <c r="N85" s="131">
        <v>165.35899198614541</v>
      </c>
      <c r="O85" s="131">
        <v>777.17198800000006</v>
      </c>
      <c r="P85" s="131">
        <v>171.55240200280153</v>
      </c>
      <c r="Q85" s="131">
        <v>4.5540000000000003</v>
      </c>
      <c r="R85" s="131">
        <v>610.17358610265012</v>
      </c>
      <c r="S85" s="132">
        <v>547.22791700000005</v>
      </c>
      <c r="U85" s="126">
        <f t="shared" si="3"/>
        <v>126046.10400000001</v>
      </c>
      <c r="V85" s="126">
        <f t="shared" si="2"/>
        <v>58191.273000000001</v>
      </c>
      <c r="W85" s="126">
        <f>H85*1000</f>
        <v>18106.856500000005</v>
      </c>
    </row>
    <row r="86" spans="1:23" ht="15.75">
      <c r="A86" s="110"/>
      <c r="B86" s="129">
        <v>2008</v>
      </c>
      <c r="C86" s="122">
        <v>1205.433</v>
      </c>
      <c r="D86" s="122">
        <v>377.63200000000001</v>
      </c>
      <c r="E86" s="122">
        <v>339.214</v>
      </c>
      <c r="F86" s="122">
        <v>187.9</v>
      </c>
      <c r="G86" s="122">
        <v>86.84</v>
      </c>
      <c r="H86" s="122">
        <v>57.494</v>
      </c>
      <c r="I86" s="122">
        <v>8.370000000000001</v>
      </c>
      <c r="J86" s="122">
        <v>-1.04</v>
      </c>
      <c r="K86" s="122">
        <v>1921.239</v>
      </c>
      <c r="L86" s="122">
        <v>-12.585000000000001</v>
      </c>
      <c r="M86" s="122">
        <v>1908.654</v>
      </c>
      <c r="N86" s="122">
        <v>547.61400000000003</v>
      </c>
      <c r="O86" s="122">
        <v>2457.3530000000001</v>
      </c>
      <c r="P86" s="122">
        <v>540.23299999999995</v>
      </c>
      <c r="Q86" s="122">
        <v>0</v>
      </c>
      <c r="R86" s="122">
        <v>1918.0640000000001</v>
      </c>
      <c r="S86" s="123">
        <v>1671.6130000000001</v>
      </c>
      <c r="U86" s="125"/>
      <c r="V86" s="125"/>
      <c r="W86" s="125"/>
    </row>
    <row r="87" spans="1:23" ht="15.75">
      <c r="A87" s="110"/>
      <c r="B87" s="129">
        <v>2009</v>
      </c>
      <c r="C87" s="122">
        <v>1169.8019999999999</v>
      </c>
      <c r="D87" s="122">
        <v>382.91500000000002</v>
      </c>
      <c r="E87" s="122">
        <v>296.49</v>
      </c>
      <c r="F87" s="122">
        <v>156.59100000000001</v>
      </c>
      <c r="G87" s="122">
        <v>67.433000000000007</v>
      </c>
      <c r="H87" s="122">
        <v>62.314999999999998</v>
      </c>
      <c r="I87" s="122">
        <v>10.669</v>
      </c>
      <c r="J87" s="122">
        <v>2.746</v>
      </c>
      <c r="K87" s="122">
        <v>1851.953</v>
      </c>
      <c r="L87" s="122">
        <v>-33.165999999999997</v>
      </c>
      <c r="M87" s="122">
        <v>1818.787</v>
      </c>
      <c r="N87" s="122">
        <v>498.27199999999999</v>
      </c>
      <c r="O87" s="122">
        <v>2330.4459999999999</v>
      </c>
      <c r="P87" s="122">
        <v>500.19200000000001</v>
      </c>
      <c r="Q87" s="122">
        <v>0</v>
      </c>
      <c r="R87" s="122">
        <v>1831.55</v>
      </c>
      <c r="S87" s="123">
        <v>1597.6859999999999</v>
      </c>
      <c r="U87" s="125"/>
      <c r="V87" s="125"/>
      <c r="W87" s="125"/>
    </row>
    <row r="88" spans="1:23" ht="15.75">
      <c r="A88" s="110"/>
      <c r="B88" s="129">
        <v>2010</v>
      </c>
      <c r="C88" s="122">
        <v>1193.0350000000001</v>
      </c>
      <c r="D88" s="122">
        <v>383.50799999999998</v>
      </c>
      <c r="E88" s="122">
        <v>310.14499999999998</v>
      </c>
      <c r="F88" s="122">
        <v>163.63900000000001</v>
      </c>
      <c r="G88" s="122">
        <v>73.92</v>
      </c>
      <c r="H88" s="122">
        <v>62.78</v>
      </c>
      <c r="I88" s="122">
        <v>10.638</v>
      </c>
      <c r="J88" s="122">
        <v>6.0000000000000001E-3</v>
      </c>
      <c r="K88" s="122">
        <v>1886.694</v>
      </c>
      <c r="L88" s="122">
        <v>-6.266</v>
      </c>
      <c r="M88" s="122">
        <v>1880.4280000000001</v>
      </c>
      <c r="N88" s="122">
        <v>532.31899999999996</v>
      </c>
      <c r="O88" s="122">
        <v>2416.8440000000001</v>
      </c>
      <c r="P88" s="122">
        <v>541.58500000000004</v>
      </c>
      <c r="Q88" s="122">
        <v>0</v>
      </c>
      <c r="R88" s="122">
        <v>1876.058</v>
      </c>
      <c r="S88" s="123">
        <v>1644.5340000000001</v>
      </c>
      <c r="U88" s="125"/>
      <c r="V88" s="125"/>
      <c r="W88" s="125"/>
    </row>
    <row r="89" spans="1:23" ht="15.75">
      <c r="A89" s="110"/>
      <c r="B89" s="129">
        <v>2011</v>
      </c>
      <c r="C89" s="122">
        <v>1188.95</v>
      </c>
      <c r="D89" s="122">
        <v>384.209</v>
      </c>
      <c r="E89" s="122">
        <v>308.77699999999999</v>
      </c>
      <c r="F89" s="122">
        <v>169.751</v>
      </c>
      <c r="G89" s="122">
        <v>70.590999999999994</v>
      </c>
      <c r="H89" s="122">
        <v>58.982999999999997</v>
      </c>
      <c r="I89" s="122">
        <v>9.9130000000000003</v>
      </c>
      <c r="J89" s="122">
        <v>-0.69399999999999995</v>
      </c>
      <c r="K89" s="122">
        <v>1881.242</v>
      </c>
      <c r="L89" s="122">
        <v>-3.532</v>
      </c>
      <c r="M89" s="122">
        <v>1877.71</v>
      </c>
      <c r="N89" s="122">
        <v>569.21500000000003</v>
      </c>
      <c r="O89" s="122">
        <v>2451.3739999999998</v>
      </c>
      <c r="P89" s="122">
        <v>555.79</v>
      </c>
      <c r="Q89" s="122">
        <v>0</v>
      </c>
      <c r="R89" s="122">
        <v>1896.087</v>
      </c>
      <c r="S89" s="123">
        <v>1671.9</v>
      </c>
      <c r="U89" s="125"/>
      <c r="V89" s="125"/>
      <c r="W89" s="125"/>
    </row>
    <row r="90" spans="1:23" ht="15.75">
      <c r="A90" s="110"/>
      <c r="B90" s="129">
        <v>2012</v>
      </c>
      <c r="C90" s="122">
        <v>1209.3050000000001</v>
      </c>
      <c r="D90" s="122">
        <v>389.49599999999998</v>
      </c>
      <c r="E90" s="122">
        <v>311.13299999999998</v>
      </c>
      <c r="F90" s="122">
        <v>178.74</v>
      </c>
      <c r="G90" s="122">
        <v>69.105999999999995</v>
      </c>
      <c r="H90" s="122">
        <v>54.469000000000001</v>
      </c>
      <c r="I90" s="122">
        <v>8.9920000000000009</v>
      </c>
      <c r="J90" s="122">
        <v>-1.0289999999999999</v>
      </c>
      <c r="K90" s="122">
        <v>1908.905</v>
      </c>
      <c r="L90" s="122">
        <v>5.181</v>
      </c>
      <c r="M90" s="122">
        <v>1914.086</v>
      </c>
      <c r="N90" s="122">
        <v>573.79399999999998</v>
      </c>
      <c r="O90" s="122">
        <v>2489.9670000000001</v>
      </c>
      <c r="P90" s="122">
        <v>566.72199999999998</v>
      </c>
      <c r="Q90" s="122">
        <v>0</v>
      </c>
      <c r="R90" s="122">
        <v>1923.5509999999999</v>
      </c>
      <c r="S90" s="123">
        <v>1704.175</v>
      </c>
      <c r="U90" s="125"/>
      <c r="V90" s="125"/>
      <c r="W90" s="125"/>
    </row>
    <row r="91" spans="1:23" ht="15.75">
      <c r="A91" s="110"/>
      <c r="B91" s="129">
        <v>2013</v>
      </c>
      <c r="C91" s="122">
        <v>1240.9100000000001</v>
      </c>
      <c r="D91" s="122">
        <v>389.32299999999998</v>
      </c>
      <c r="E91" s="122">
        <v>321.78500000000003</v>
      </c>
      <c r="F91" s="122">
        <v>184.51300000000001</v>
      </c>
      <c r="G91" s="122">
        <v>76.533000000000001</v>
      </c>
      <c r="H91" s="122">
        <v>52.197000000000003</v>
      </c>
      <c r="I91" s="122">
        <v>8.4570000000000007</v>
      </c>
      <c r="J91" s="122">
        <v>7.024</v>
      </c>
      <c r="K91" s="122">
        <v>1959.0419999999999</v>
      </c>
      <c r="L91" s="122">
        <v>6.9260000000000002</v>
      </c>
      <c r="M91" s="122">
        <v>1965.9680000000001</v>
      </c>
      <c r="N91" s="122">
        <v>574.98500000000001</v>
      </c>
      <c r="O91" s="122">
        <v>2545.2060000000001</v>
      </c>
      <c r="P91" s="122">
        <v>586.46199999999999</v>
      </c>
      <c r="Q91" s="122">
        <v>0</v>
      </c>
      <c r="R91" s="122">
        <v>1958.557</v>
      </c>
      <c r="S91" s="123">
        <v>1736.2449999999999</v>
      </c>
    </row>
    <row r="92" spans="1:23" ht="15.75">
      <c r="A92" s="110"/>
      <c r="B92" s="129">
        <v>2014</v>
      </c>
      <c r="C92" s="122">
        <v>1276.6479999999999</v>
      </c>
      <c r="D92" s="122">
        <v>397.73</v>
      </c>
      <c r="E92" s="122">
        <v>343.15800000000002</v>
      </c>
      <c r="F92" s="122">
        <v>195.62799999999999</v>
      </c>
      <c r="G92" s="122">
        <v>81.489999999999995</v>
      </c>
      <c r="H92" s="122">
        <v>56.145000000000003</v>
      </c>
      <c r="I92" s="122">
        <v>9.8079999999999998</v>
      </c>
      <c r="J92" s="122">
        <v>6.0629999999999997</v>
      </c>
      <c r="K92" s="122">
        <v>2023.5989999999999</v>
      </c>
      <c r="L92" s="122">
        <v>14.259</v>
      </c>
      <c r="M92" s="122">
        <v>2037.8579999999999</v>
      </c>
      <c r="N92" s="122">
        <v>581.48299999999995</v>
      </c>
      <c r="O92" s="122">
        <v>2637.203</v>
      </c>
      <c r="P92" s="122">
        <v>615.35699999999997</v>
      </c>
      <c r="Q92" s="122">
        <v>0</v>
      </c>
      <c r="R92" s="122">
        <v>2021.2249999999999</v>
      </c>
      <c r="S92" s="123">
        <v>1792.8230000000001</v>
      </c>
    </row>
    <row r="93" spans="1:23" ht="15.75">
      <c r="A93" s="110"/>
      <c r="B93" s="129">
        <v>2015</v>
      </c>
      <c r="C93" s="122">
        <v>1316.6120000000001</v>
      </c>
      <c r="D93" s="122">
        <v>402.46699999999998</v>
      </c>
      <c r="E93" s="122">
        <v>365.56900000000002</v>
      </c>
      <c r="F93" s="122">
        <v>213.221</v>
      </c>
      <c r="G93" s="122">
        <v>87.131</v>
      </c>
      <c r="H93" s="122">
        <v>55.548000000000002</v>
      </c>
      <c r="I93" s="122">
        <v>9.6029999999999998</v>
      </c>
      <c r="J93" s="122">
        <v>0.40799999999999997</v>
      </c>
      <c r="K93" s="122">
        <v>2085.056</v>
      </c>
      <c r="L93" s="122">
        <v>11.775</v>
      </c>
      <c r="M93" s="122">
        <v>2096.8310000000001</v>
      </c>
      <c r="N93" s="122">
        <v>604.66999999999996</v>
      </c>
      <c r="O93" s="122">
        <v>2716.0810000000001</v>
      </c>
      <c r="P93" s="122">
        <v>645.83799999999997</v>
      </c>
      <c r="Q93" s="122">
        <v>0</v>
      </c>
      <c r="R93" s="122">
        <v>2069.5949999999998</v>
      </c>
      <c r="S93" s="123">
        <v>1831.193</v>
      </c>
    </row>
    <row r="94" spans="1:23" ht="15.75">
      <c r="A94" s="110"/>
      <c r="B94" s="129">
        <v>2016</v>
      </c>
      <c r="C94" s="122">
        <v>1364.268</v>
      </c>
      <c r="D94" s="122">
        <v>405.58300000000003</v>
      </c>
      <c r="E94" s="122">
        <v>383.44900000000001</v>
      </c>
      <c r="F94" s="122">
        <v>223.24600000000001</v>
      </c>
      <c r="G94" s="122">
        <v>94.106999999999999</v>
      </c>
      <c r="H94" s="122">
        <v>55.694000000000003</v>
      </c>
      <c r="I94" s="122">
        <v>9.7189999999999994</v>
      </c>
      <c r="J94" s="122">
        <v>1.609</v>
      </c>
      <c r="K94" s="122">
        <v>2154.9090000000001</v>
      </c>
      <c r="L94" s="122">
        <v>8.2029999999999994</v>
      </c>
      <c r="M94" s="122">
        <v>2163.1120000000001</v>
      </c>
      <c r="N94" s="122">
        <v>624.13400000000001</v>
      </c>
      <c r="O94" s="122">
        <v>2786.0459999999998</v>
      </c>
      <c r="P94" s="122">
        <v>671.53300000000002</v>
      </c>
      <c r="Q94" s="122">
        <v>0</v>
      </c>
      <c r="R94" s="122">
        <v>2114.4059999999999</v>
      </c>
      <c r="S94" s="123">
        <v>1869.8140000000001</v>
      </c>
    </row>
    <row r="95" spans="1:23" ht="15.75">
      <c r="A95" s="110"/>
      <c r="B95" s="129">
        <v>2017</v>
      </c>
      <c r="C95" s="122">
        <v>1390.682</v>
      </c>
      <c r="D95" s="122">
        <v>407.30099999999999</v>
      </c>
      <c r="E95" s="122">
        <v>396.90699999999998</v>
      </c>
      <c r="F95" s="122">
        <v>225.67500000000001</v>
      </c>
      <c r="G95" s="122">
        <v>103.80800000000001</v>
      </c>
      <c r="H95" s="122">
        <v>57.756</v>
      </c>
      <c r="I95" s="122">
        <v>9.604000000000001</v>
      </c>
      <c r="J95" s="122">
        <v>0.61199999999999999</v>
      </c>
      <c r="K95" s="122">
        <v>2195.502</v>
      </c>
      <c r="L95" s="122">
        <v>12.670999999999999</v>
      </c>
      <c r="M95" s="122">
        <v>2208.1729999999998</v>
      </c>
      <c r="N95" s="122">
        <v>666.851</v>
      </c>
      <c r="O95" s="122">
        <v>2859.99</v>
      </c>
      <c r="P95" s="122">
        <v>693.97500000000002</v>
      </c>
      <c r="Q95" s="122">
        <v>0</v>
      </c>
      <c r="R95" s="122">
        <v>2166.0729999999999</v>
      </c>
      <c r="S95" s="123">
        <v>1918.1189999999999</v>
      </c>
    </row>
    <row r="96" spans="1:23" ht="15.75">
      <c r="A96" s="110"/>
      <c r="B96" s="129">
        <v>2018</v>
      </c>
      <c r="C96" s="122">
        <v>1424.923</v>
      </c>
      <c r="D96" s="122">
        <v>408.625</v>
      </c>
      <c r="E96" s="122">
        <v>395.96699999999998</v>
      </c>
      <c r="F96" s="122">
        <v>222.35</v>
      </c>
      <c r="G96" s="122">
        <v>110.099</v>
      </c>
      <c r="H96" s="122">
        <v>58.366999999999997</v>
      </c>
      <c r="I96" s="122">
        <v>5.3500000000000005</v>
      </c>
      <c r="J96" s="122">
        <v>3.1320000000000001</v>
      </c>
      <c r="K96" s="122">
        <v>2232.6469999999999</v>
      </c>
      <c r="L96" s="122">
        <v>1.3169999999999999</v>
      </c>
      <c r="M96" s="122">
        <v>2233.9639999999999</v>
      </c>
      <c r="N96" s="122">
        <v>687.85599999999999</v>
      </c>
      <c r="O96" s="122">
        <v>2920.105</v>
      </c>
      <c r="P96" s="122">
        <v>717.13499999999999</v>
      </c>
      <c r="Q96" s="122">
        <v>0</v>
      </c>
      <c r="R96" s="122">
        <v>2203.0050000000001</v>
      </c>
      <c r="S96" s="123">
        <v>1948.2380000000001</v>
      </c>
    </row>
    <row r="97" spans="1:19" ht="15.75">
      <c r="A97" s="110"/>
      <c r="B97" s="129">
        <v>2019</v>
      </c>
      <c r="C97" s="122">
        <v>1440.0409999999999</v>
      </c>
      <c r="D97" s="122">
        <v>425.57900000000001</v>
      </c>
      <c r="E97" s="122">
        <v>403.36500000000001</v>
      </c>
      <c r="F97" s="122">
        <v>225.26</v>
      </c>
      <c r="G97" s="122">
        <v>112.05</v>
      </c>
      <c r="H97" s="122">
        <v>60.847999999999999</v>
      </c>
      <c r="I97" s="122">
        <v>5.176305189999999</v>
      </c>
      <c r="J97" s="122">
        <v>2.88</v>
      </c>
      <c r="K97" s="122">
        <v>2271.8649999999998</v>
      </c>
      <c r="L97" s="122">
        <v>2.6309999999999998</v>
      </c>
      <c r="M97" s="122">
        <v>2274.4960000000001</v>
      </c>
      <c r="N97" s="122">
        <v>699.654</v>
      </c>
      <c r="O97" s="122">
        <v>2974.15</v>
      </c>
      <c r="P97" s="122">
        <v>735.80200000000002</v>
      </c>
      <c r="Q97" s="122">
        <v>0</v>
      </c>
      <c r="R97" s="122">
        <v>2238.348</v>
      </c>
      <c r="S97" s="123">
        <v>1981.9549999999999</v>
      </c>
    </row>
    <row r="98" spans="1:19" ht="15.75">
      <c r="A98" s="110"/>
      <c r="B98" s="129">
        <v>2020</v>
      </c>
      <c r="C98" s="122">
        <v>1250.3630000000001</v>
      </c>
      <c r="D98" s="122">
        <v>394.46</v>
      </c>
      <c r="E98" s="122">
        <v>361.00200000000001</v>
      </c>
      <c r="F98" s="122">
        <v>198.41300000000001</v>
      </c>
      <c r="G98" s="122">
        <v>94.123999999999995</v>
      </c>
      <c r="H98" s="122">
        <v>63.738999999999997</v>
      </c>
      <c r="I98" s="122">
        <v>4.6337435640000004</v>
      </c>
      <c r="J98" s="122">
        <v>-0.39800000000000002</v>
      </c>
      <c r="K98" s="122">
        <v>2005.4269999999999</v>
      </c>
      <c r="L98" s="122">
        <v>-11.385</v>
      </c>
      <c r="M98" s="122">
        <v>1994.0419999999999</v>
      </c>
      <c r="N98" s="122">
        <v>615.10900000000004</v>
      </c>
      <c r="O98" s="122">
        <v>2609.1509999999998</v>
      </c>
      <c r="P98" s="122">
        <v>617.71199999999999</v>
      </c>
      <c r="Q98" s="122">
        <v>0</v>
      </c>
      <c r="R98" s="122">
        <v>1991.4390000000001</v>
      </c>
      <c r="S98" s="123">
        <v>1771.171</v>
      </c>
    </row>
    <row r="99" spans="1:19" ht="15.75">
      <c r="A99" s="110"/>
      <c r="B99" s="129">
        <v>2021</v>
      </c>
      <c r="C99" s="122">
        <v>1328.481</v>
      </c>
      <c r="D99" s="122">
        <v>443.90699999999998</v>
      </c>
      <c r="E99" s="122">
        <v>382.995</v>
      </c>
      <c r="F99" s="122">
        <v>200.23699999999999</v>
      </c>
      <c r="G99" s="122">
        <v>110.048</v>
      </c>
      <c r="H99" s="122">
        <v>67.126999999999995</v>
      </c>
      <c r="I99" s="122">
        <v>5.8796477100000004</v>
      </c>
      <c r="J99" s="122">
        <v>6.0919999999999996</v>
      </c>
      <c r="K99" s="122">
        <v>2161.4749999999999</v>
      </c>
      <c r="L99" s="122">
        <v>8.9480000000000004</v>
      </c>
      <c r="M99" s="122">
        <v>2170.4229999999998</v>
      </c>
      <c r="N99" s="122">
        <v>628.91800000000001</v>
      </c>
      <c r="O99" s="122">
        <v>2799.3409999999999</v>
      </c>
      <c r="P99" s="122">
        <v>655.96600000000001</v>
      </c>
      <c r="Q99" s="122">
        <v>-0.63700000000000001</v>
      </c>
      <c r="R99" s="122">
        <v>2142.7379999999998</v>
      </c>
      <c r="S99" s="123">
        <v>1915.0830000000001</v>
      </c>
    </row>
    <row r="100" spans="1:19" ht="15.75">
      <c r="A100" s="110"/>
      <c r="B100" s="129">
        <v>2022</v>
      </c>
      <c r="C100" s="122">
        <v>1400.569</v>
      </c>
      <c r="D100" s="122">
        <v>452.36</v>
      </c>
      <c r="E100" s="122">
        <v>412.60199999999998</v>
      </c>
      <c r="F100" s="122">
        <v>220.14500000000001</v>
      </c>
      <c r="G100" s="122">
        <v>117.337</v>
      </c>
      <c r="H100" s="122">
        <v>68.989999999999995</v>
      </c>
      <c r="I100" s="122">
        <v>6.265510449999999</v>
      </c>
      <c r="J100" s="122">
        <v>-18.329999999999998</v>
      </c>
      <c r="K100" s="122">
        <v>2247.201</v>
      </c>
      <c r="L100" s="122">
        <v>9.7880000000000003</v>
      </c>
      <c r="M100" s="122">
        <v>2256.989</v>
      </c>
      <c r="N100" s="122">
        <v>693.61</v>
      </c>
      <c r="O100" s="122">
        <v>2955.866</v>
      </c>
      <c r="P100" s="122">
        <v>738.72299999999996</v>
      </c>
      <c r="Q100" s="122">
        <v>17.344999999999999</v>
      </c>
      <c r="R100" s="122">
        <v>2229.4209999999998</v>
      </c>
      <c r="S100" s="123">
        <v>1992.29</v>
      </c>
    </row>
    <row r="101" spans="1:19" ht="15.75">
      <c r="A101" s="110"/>
      <c r="B101" s="129">
        <v>2023</v>
      </c>
      <c r="C101" s="122">
        <v>1389.2183099999997</v>
      </c>
      <c r="D101" s="122">
        <v>468.892765</v>
      </c>
      <c r="E101" s="122">
        <v>406.06088035737315</v>
      </c>
      <c r="F101" s="122">
        <v>213.87643130000004</v>
      </c>
      <c r="G101" s="122">
        <v>108.6253582124701</v>
      </c>
      <c r="H101" s="122">
        <v>77.457987700000004</v>
      </c>
      <c r="I101" s="122">
        <v>6.1011032946002999</v>
      </c>
      <c r="J101" s="122">
        <v>2.88</v>
      </c>
      <c r="K101" s="122">
        <v>2267.0519553573727</v>
      </c>
      <c r="L101" s="122">
        <v>0.97441570000000022</v>
      </c>
      <c r="M101" s="122">
        <v>2268.0263710573727</v>
      </c>
      <c r="N101" s="122">
        <v>647.68904778371916</v>
      </c>
      <c r="O101" s="122">
        <v>2915.7154190000001</v>
      </c>
      <c r="P101" s="122">
        <v>709.06585540031892</v>
      </c>
      <c r="Q101" s="122">
        <v>18.216000000000001</v>
      </c>
      <c r="R101" s="122">
        <v>2224.8655634402476</v>
      </c>
      <c r="S101" s="123">
        <v>1989.9130729999999</v>
      </c>
    </row>
    <row r="102" spans="1:19" ht="15.75">
      <c r="A102" s="110"/>
      <c r="B102" s="129">
        <v>2024</v>
      </c>
      <c r="C102" s="122">
        <v>1410.2612730000001</v>
      </c>
      <c r="D102" s="122">
        <v>476.40889799999997</v>
      </c>
      <c r="E102" s="122">
        <v>409.07555737365124</v>
      </c>
      <c r="F102" s="122">
        <v>216.69072009999999</v>
      </c>
      <c r="G102" s="122">
        <v>108.47043414170109</v>
      </c>
      <c r="H102" s="122">
        <v>77.740796900000007</v>
      </c>
      <c r="I102" s="122">
        <v>6.1736061477302115</v>
      </c>
      <c r="J102" s="122">
        <v>2.88</v>
      </c>
      <c r="K102" s="122">
        <v>2298.6257283736513</v>
      </c>
      <c r="L102" s="122">
        <v>1.7813930740000001</v>
      </c>
      <c r="M102" s="122">
        <v>2300.4071214476512</v>
      </c>
      <c r="N102" s="122">
        <v>645.7359954909474</v>
      </c>
      <c r="O102" s="122">
        <v>2946.1431170000005</v>
      </c>
      <c r="P102" s="122">
        <v>699.68399494039886</v>
      </c>
      <c r="Q102" s="122">
        <v>18.216000000000001</v>
      </c>
      <c r="R102" s="122">
        <v>2264.6751219986227</v>
      </c>
      <c r="S102" s="123">
        <v>2026.7714450000001</v>
      </c>
    </row>
    <row r="103" spans="1:19" ht="15.75">
      <c r="A103" s="110"/>
      <c r="B103" s="129">
        <v>2025</v>
      </c>
      <c r="C103" s="122">
        <v>1434.9786220000001</v>
      </c>
      <c r="D103" s="122">
        <v>481.91838000000001</v>
      </c>
      <c r="E103" s="122">
        <v>423.57795062659056</v>
      </c>
      <c r="F103" s="122">
        <v>229.86468089999997</v>
      </c>
      <c r="G103" s="122">
        <v>112.19856120463542</v>
      </c>
      <c r="H103" s="122">
        <v>75.156031400000003</v>
      </c>
      <c r="I103" s="122">
        <v>6.3586772271697525</v>
      </c>
      <c r="J103" s="122">
        <v>2.88</v>
      </c>
      <c r="K103" s="122">
        <v>2343.3549526265906</v>
      </c>
      <c r="L103" s="122">
        <v>2.7889905150000001</v>
      </c>
      <c r="M103" s="122">
        <v>2346.1439431415906</v>
      </c>
      <c r="N103" s="122">
        <v>653.00499998423459</v>
      </c>
      <c r="O103" s="122">
        <v>2999.1489419999998</v>
      </c>
      <c r="P103" s="122">
        <v>697.05359710694688</v>
      </c>
      <c r="Q103" s="122">
        <v>18.216000000000001</v>
      </c>
      <c r="R103" s="122">
        <v>2320.3113460177892</v>
      </c>
      <c r="S103" s="123">
        <v>2077.8800879999999</v>
      </c>
    </row>
    <row r="104" spans="1:19" ht="15.75">
      <c r="A104" s="110"/>
      <c r="B104" s="129">
        <v>2026</v>
      </c>
      <c r="C104" s="122">
        <v>1458.8392220000001</v>
      </c>
      <c r="D104" s="122">
        <v>489.34261199999997</v>
      </c>
      <c r="E104" s="122">
        <v>432.4332127990811</v>
      </c>
      <c r="F104" s="122">
        <v>234.17592149999996</v>
      </c>
      <c r="G104" s="122">
        <v>117.35050132642615</v>
      </c>
      <c r="H104" s="122">
        <v>74.299255700000003</v>
      </c>
      <c r="I104" s="122">
        <v>6.607534187651682</v>
      </c>
      <c r="J104" s="122">
        <v>2.88</v>
      </c>
      <c r="K104" s="122">
        <v>2383.4950467990816</v>
      </c>
      <c r="L104" s="122">
        <v>3.7187050110000004</v>
      </c>
      <c r="M104" s="122">
        <v>2387.2137518100812</v>
      </c>
      <c r="N104" s="122">
        <v>657.67184363043157</v>
      </c>
      <c r="O104" s="122">
        <v>3044.8855960000005</v>
      </c>
      <c r="P104" s="122">
        <v>693.4346328127798</v>
      </c>
      <c r="Q104" s="122">
        <v>18.216000000000001</v>
      </c>
      <c r="R104" s="122">
        <v>2369.6669626299758</v>
      </c>
      <c r="S104" s="123">
        <v>2123.2523919999999</v>
      </c>
    </row>
    <row r="105" spans="1:19" ht="15.75">
      <c r="A105" s="110"/>
      <c r="B105" s="130">
        <v>2027</v>
      </c>
      <c r="C105" s="168">
        <v>1486.2717759999998</v>
      </c>
      <c r="D105" s="168">
        <v>498.66013399999997</v>
      </c>
      <c r="E105" s="168">
        <v>430.56766432504645</v>
      </c>
      <c r="F105" s="168">
        <v>229.7799546</v>
      </c>
      <c r="G105" s="168">
        <v>120.78731624556256</v>
      </c>
      <c r="H105" s="168">
        <v>73.2297346</v>
      </c>
      <c r="I105" s="168">
        <v>6.7706588239545571</v>
      </c>
      <c r="J105" s="168">
        <v>2.88</v>
      </c>
      <c r="K105" s="168">
        <v>2418.3795743250462</v>
      </c>
      <c r="L105" s="168">
        <v>4.4458618410000001</v>
      </c>
      <c r="M105" s="168">
        <v>2422.8254361660461</v>
      </c>
      <c r="N105" s="168">
        <v>660.56175498830203</v>
      </c>
      <c r="O105" s="168">
        <v>3083.3871910000003</v>
      </c>
      <c r="P105" s="168">
        <v>687.38973147391812</v>
      </c>
      <c r="Q105" s="168">
        <v>18.216000000000001</v>
      </c>
      <c r="R105" s="168">
        <v>2414.2134596755191</v>
      </c>
      <c r="S105" s="169">
        <v>2164.4356299999999</v>
      </c>
    </row>
    <row r="106" spans="1:19" ht="15.75">
      <c r="A106" s="110"/>
      <c r="B106" s="129" t="s">
        <v>196</v>
      </c>
      <c r="C106" s="122">
        <v>1188.6220000000001</v>
      </c>
      <c r="D106" s="122">
        <v>379.45100000000002</v>
      </c>
      <c r="E106" s="122">
        <v>328.50599999999997</v>
      </c>
      <c r="F106" s="122">
        <v>181.946</v>
      </c>
      <c r="G106" s="122">
        <v>79.034999999999997</v>
      </c>
      <c r="H106" s="122">
        <v>59.204000000000001</v>
      </c>
      <c r="I106" s="122">
        <v>9.5630000000000006</v>
      </c>
      <c r="J106" s="122">
        <v>0.221</v>
      </c>
      <c r="K106" s="122">
        <v>1896.8</v>
      </c>
      <c r="L106" s="122">
        <v>-18.812000000000001</v>
      </c>
      <c r="M106" s="122">
        <v>1877.9880000000001</v>
      </c>
      <c r="N106" s="122">
        <v>534.29499999999996</v>
      </c>
      <c r="O106" s="122">
        <v>2412.366</v>
      </c>
      <c r="P106" s="122">
        <v>524.73199999999997</v>
      </c>
      <c r="Q106" s="122">
        <v>0</v>
      </c>
      <c r="R106" s="122">
        <v>1888.644</v>
      </c>
      <c r="S106" s="123">
        <v>1644.3040000000001</v>
      </c>
    </row>
    <row r="107" spans="1:19" ht="15.75">
      <c r="A107" s="110"/>
      <c r="B107" s="129" t="s">
        <v>197</v>
      </c>
      <c r="C107" s="122">
        <v>1171.3710000000001</v>
      </c>
      <c r="D107" s="122">
        <v>383.05500000000001</v>
      </c>
      <c r="E107" s="122">
        <v>296.10599999999999</v>
      </c>
      <c r="F107" s="122">
        <v>155.23400000000001</v>
      </c>
      <c r="G107" s="122">
        <v>67.399000000000001</v>
      </c>
      <c r="H107" s="122">
        <v>63.268000000000001</v>
      </c>
      <c r="I107" s="122">
        <v>10.699</v>
      </c>
      <c r="J107" s="122">
        <v>1.1910000000000001</v>
      </c>
      <c r="K107" s="122">
        <v>1851.723</v>
      </c>
      <c r="L107" s="122">
        <v>-25.225000000000001</v>
      </c>
      <c r="M107" s="122">
        <v>1826.498</v>
      </c>
      <c r="N107" s="122">
        <v>502.12</v>
      </c>
      <c r="O107" s="122">
        <v>2342.9650000000001</v>
      </c>
      <c r="P107" s="122">
        <v>507.471</v>
      </c>
      <c r="Q107" s="122">
        <v>0</v>
      </c>
      <c r="R107" s="122">
        <v>1836.76</v>
      </c>
      <c r="S107" s="123">
        <v>1605.212</v>
      </c>
    </row>
    <row r="108" spans="1:19" ht="15.75">
      <c r="A108" s="110"/>
      <c r="B108" s="129" t="s">
        <v>198</v>
      </c>
      <c r="C108" s="122">
        <v>1197.0050000000001</v>
      </c>
      <c r="D108" s="122">
        <v>385.065</v>
      </c>
      <c r="E108" s="122">
        <v>310.745</v>
      </c>
      <c r="F108" s="122">
        <v>163.87100000000001</v>
      </c>
      <c r="G108" s="122">
        <v>74.537999999999997</v>
      </c>
      <c r="H108" s="122">
        <v>62.658999999999999</v>
      </c>
      <c r="I108" s="122">
        <v>10.56</v>
      </c>
      <c r="J108" s="122">
        <v>-1.4350000000000001</v>
      </c>
      <c r="K108" s="122">
        <v>1891.38</v>
      </c>
      <c r="L108" s="122">
        <v>-6.6680000000000001</v>
      </c>
      <c r="M108" s="122">
        <v>1884.712</v>
      </c>
      <c r="N108" s="122">
        <v>546.56100000000004</v>
      </c>
      <c r="O108" s="122">
        <v>2432.7040000000002</v>
      </c>
      <c r="P108" s="122">
        <v>547.28700000000003</v>
      </c>
      <c r="Q108" s="122">
        <v>0</v>
      </c>
      <c r="R108" s="122">
        <v>1886.1769999999999</v>
      </c>
      <c r="S108" s="123">
        <v>1655.5039999999999</v>
      </c>
    </row>
    <row r="109" spans="1:19" ht="15.75">
      <c r="A109" s="110"/>
      <c r="B109" s="129" t="s">
        <v>199</v>
      </c>
      <c r="C109" s="122">
        <v>1189.672</v>
      </c>
      <c r="D109" s="122">
        <v>386.31</v>
      </c>
      <c r="E109" s="122">
        <v>312.02800000000002</v>
      </c>
      <c r="F109" s="122">
        <v>175.60300000000001</v>
      </c>
      <c r="G109" s="122">
        <v>70.100999999999999</v>
      </c>
      <c r="H109" s="122">
        <v>56.972000000000001</v>
      </c>
      <c r="I109" s="122">
        <v>9.6080000000000005</v>
      </c>
      <c r="J109" s="122">
        <v>-0.442</v>
      </c>
      <c r="K109" s="122">
        <v>1887.568</v>
      </c>
      <c r="L109" s="122">
        <v>-5.5449999999999999</v>
      </c>
      <c r="M109" s="122">
        <v>1882.0229999999999</v>
      </c>
      <c r="N109" s="122">
        <v>574.83100000000002</v>
      </c>
      <c r="O109" s="122">
        <v>2461.1970000000001</v>
      </c>
      <c r="P109" s="122">
        <v>560.72699999999998</v>
      </c>
      <c r="Q109" s="122">
        <v>0</v>
      </c>
      <c r="R109" s="122">
        <v>1900.819</v>
      </c>
      <c r="S109" s="123">
        <v>1678.682</v>
      </c>
    </row>
    <row r="110" spans="1:19" ht="15.75">
      <c r="A110" s="110"/>
      <c r="B110" s="127" t="s">
        <v>200</v>
      </c>
      <c r="C110" s="122">
        <v>1217.443</v>
      </c>
      <c r="D110" s="122">
        <v>387.83800000000002</v>
      </c>
      <c r="E110" s="122">
        <v>307.72399999999999</v>
      </c>
      <c r="F110" s="122">
        <v>177.47900000000001</v>
      </c>
      <c r="G110" s="122">
        <v>69.421999999999997</v>
      </c>
      <c r="H110" s="122">
        <v>52.103000000000002</v>
      </c>
      <c r="I110" s="122">
        <v>8.8170000000000002</v>
      </c>
      <c r="J110" s="122">
        <v>1.321</v>
      </c>
      <c r="K110" s="122">
        <v>1914.326</v>
      </c>
      <c r="L110" s="122">
        <v>9.2780000000000005</v>
      </c>
      <c r="M110" s="122">
        <v>1923.604</v>
      </c>
      <c r="N110" s="122">
        <v>569.22500000000002</v>
      </c>
      <c r="O110" s="122">
        <v>2495.7579999999998</v>
      </c>
      <c r="P110" s="122">
        <v>566.33000000000004</v>
      </c>
      <c r="Q110" s="122">
        <v>0</v>
      </c>
      <c r="R110" s="122">
        <v>1929.864</v>
      </c>
      <c r="S110" s="123">
        <v>1710.751</v>
      </c>
    </row>
    <row r="111" spans="1:19" ht="15.75">
      <c r="A111" s="110"/>
      <c r="B111" s="127" t="s">
        <v>201</v>
      </c>
      <c r="C111" s="122">
        <v>1249.9839999999999</v>
      </c>
      <c r="D111" s="122">
        <v>390.88900000000001</v>
      </c>
      <c r="E111" s="122">
        <v>330.4</v>
      </c>
      <c r="F111" s="122">
        <v>187.624</v>
      </c>
      <c r="G111" s="122">
        <v>78.745999999999995</v>
      </c>
      <c r="H111" s="122">
        <v>55.508000000000003</v>
      </c>
      <c r="I111" s="122">
        <v>8.504999999999999</v>
      </c>
      <c r="J111" s="122">
        <v>7.3860000000000001</v>
      </c>
      <c r="K111" s="122">
        <v>1978.6590000000001</v>
      </c>
      <c r="L111" s="122">
        <v>3.996</v>
      </c>
      <c r="M111" s="122">
        <v>1982.655</v>
      </c>
      <c r="N111" s="122">
        <v>573.96400000000006</v>
      </c>
      <c r="O111" s="122">
        <v>2568.0160000000001</v>
      </c>
      <c r="P111" s="122">
        <v>594.24900000000002</v>
      </c>
      <c r="Q111" s="122">
        <v>0</v>
      </c>
      <c r="R111" s="122">
        <v>1973.296</v>
      </c>
      <c r="S111" s="123">
        <v>1747.463</v>
      </c>
    </row>
    <row r="112" spans="1:19" ht="15.75">
      <c r="A112" s="110"/>
      <c r="B112" s="127" t="s">
        <v>202</v>
      </c>
      <c r="C112" s="122">
        <v>1287.3050000000001</v>
      </c>
      <c r="D112" s="122">
        <v>398.20100000000002</v>
      </c>
      <c r="E112" s="122">
        <v>349.15100000000001</v>
      </c>
      <c r="F112" s="122">
        <v>200.87100000000001</v>
      </c>
      <c r="G112" s="122">
        <v>82.146000000000001</v>
      </c>
      <c r="H112" s="122">
        <v>55.741999999999997</v>
      </c>
      <c r="I112" s="122">
        <v>10.284000000000001</v>
      </c>
      <c r="J112" s="122">
        <v>7.2130000000000001</v>
      </c>
      <c r="K112" s="122">
        <v>2041.87</v>
      </c>
      <c r="L112" s="122">
        <v>22.856000000000002</v>
      </c>
      <c r="M112" s="122">
        <v>2064.7260000000001</v>
      </c>
      <c r="N112" s="122">
        <v>587.81899999999996</v>
      </c>
      <c r="O112" s="122">
        <v>2665.6460000000002</v>
      </c>
      <c r="P112" s="122">
        <v>629.98299999999995</v>
      </c>
      <c r="Q112" s="122">
        <v>0</v>
      </c>
      <c r="R112" s="122">
        <v>2034.826</v>
      </c>
      <c r="S112" s="123">
        <v>1805.489</v>
      </c>
    </row>
    <row r="113" spans="1:19" ht="15.75">
      <c r="A113" s="110"/>
      <c r="B113" s="127" t="s">
        <v>203</v>
      </c>
      <c r="C113" s="122">
        <v>1328.5820000000001</v>
      </c>
      <c r="D113" s="122">
        <v>404.28199999999998</v>
      </c>
      <c r="E113" s="122">
        <v>369.13400000000001</v>
      </c>
      <c r="F113" s="122">
        <v>216.40199999999999</v>
      </c>
      <c r="G113" s="122">
        <v>89.078000000000003</v>
      </c>
      <c r="H113" s="122">
        <v>54.097000000000001</v>
      </c>
      <c r="I113" s="122">
        <v>9.327</v>
      </c>
      <c r="J113" s="122">
        <v>-1.1279999999999999</v>
      </c>
      <c r="K113" s="122">
        <v>2100.87</v>
      </c>
      <c r="L113" s="122">
        <v>6.306</v>
      </c>
      <c r="M113" s="122">
        <v>2107.1759999999999</v>
      </c>
      <c r="N113" s="122">
        <v>609.20699999999999</v>
      </c>
      <c r="O113" s="122">
        <v>2728.7829999999999</v>
      </c>
      <c r="P113" s="122">
        <v>647.50699999999995</v>
      </c>
      <c r="Q113" s="122">
        <v>0</v>
      </c>
      <c r="R113" s="122">
        <v>2080.8020000000001</v>
      </c>
      <c r="S113" s="123">
        <v>1839.7660000000001</v>
      </c>
    </row>
    <row r="114" spans="1:19">
      <c r="B114" s="127" t="s">
        <v>204</v>
      </c>
      <c r="C114" s="122">
        <v>1372.3620000000001</v>
      </c>
      <c r="D114" s="122">
        <v>405.63200000000001</v>
      </c>
      <c r="E114" s="122">
        <v>386.64800000000002</v>
      </c>
      <c r="F114" s="122">
        <v>223.07900000000001</v>
      </c>
      <c r="G114" s="122">
        <v>96.965000000000003</v>
      </c>
      <c r="H114" s="122">
        <v>56.26</v>
      </c>
      <c r="I114" s="122">
        <v>9.7979999999999983</v>
      </c>
      <c r="J114" s="122">
        <v>-4.2000000000000003E-2</v>
      </c>
      <c r="K114" s="122">
        <v>2164.6</v>
      </c>
      <c r="L114" s="122">
        <v>11.522</v>
      </c>
      <c r="M114" s="122">
        <v>2176.1219999999998</v>
      </c>
      <c r="N114" s="122">
        <v>632.73599999999999</v>
      </c>
      <c r="O114" s="122">
        <v>2803.556</v>
      </c>
      <c r="P114" s="122">
        <v>676.05799999999999</v>
      </c>
      <c r="Q114" s="122">
        <v>0</v>
      </c>
      <c r="R114" s="122">
        <v>2127.4180000000001</v>
      </c>
      <c r="S114" s="123">
        <v>1882.962</v>
      </c>
    </row>
    <row r="115" spans="1:19">
      <c r="B115" s="127" t="s">
        <v>205</v>
      </c>
      <c r="C115" s="122">
        <v>1398.297</v>
      </c>
      <c r="D115" s="122">
        <v>407.55099999999999</v>
      </c>
      <c r="E115" s="122">
        <v>398.07600000000002</v>
      </c>
      <c r="F115" s="122">
        <v>226.316</v>
      </c>
      <c r="G115" s="122">
        <v>105.438</v>
      </c>
      <c r="H115" s="122">
        <v>57.828000000000003</v>
      </c>
      <c r="I115" s="122">
        <v>8.5150000000000006</v>
      </c>
      <c r="J115" s="122">
        <v>1.768</v>
      </c>
      <c r="K115" s="122">
        <v>2205.692</v>
      </c>
      <c r="L115" s="122">
        <v>5.3789999999999996</v>
      </c>
      <c r="M115" s="122">
        <v>2211.0709999999999</v>
      </c>
      <c r="N115" s="122">
        <v>675.89400000000001</v>
      </c>
      <c r="O115" s="122">
        <v>2876.7379999999998</v>
      </c>
      <c r="P115" s="122">
        <v>700.91099999999994</v>
      </c>
      <c r="Q115" s="122">
        <v>0</v>
      </c>
      <c r="R115" s="122">
        <v>2175.962</v>
      </c>
      <c r="S115" s="123">
        <v>1926.4449999999999</v>
      </c>
    </row>
    <row r="116" spans="1:19">
      <c r="B116" s="127" t="s">
        <v>206</v>
      </c>
      <c r="C116" s="122">
        <v>1431.2049999999999</v>
      </c>
      <c r="D116" s="122">
        <v>411.62900000000002</v>
      </c>
      <c r="E116" s="122">
        <v>398.14400000000001</v>
      </c>
      <c r="F116" s="122">
        <v>221.63800000000001</v>
      </c>
      <c r="G116" s="122">
        <v>111.55500000000001</v>
      </c>
      <c r="H116" s="122">
        <v>59.878999999999998</v>
      </c>
      <c r="I116" s="122">
        <v>5.2451093699999998</v>
      </c>
      <c r="J116" s="122">
        <v>14.746</v>
      </c>
      <c r="K116" s="122">
        <v>2255.7240000000002</v>
      </c>
      <c r="L116" s="122">
        <v>12.420999999999999</v>
      </c>
      <c r="M116" s="122">
        <v>2268.145</v>
      </c>
      <c r="N116" s="122">
        <v>687.24</v>
      </c>
      <c r="O116" s="122">
        <v>2951.761</v>
      </c>
      <c r="P116" s="122">
        <v>738.29899999999998</v>
      </c>
      <c r="Q116" s="122">
        <v>0</v>
      </c>
      <c r="R116" s="122">
        <v>2213.46</v>
      </c>
      <c r="S116" s="123">
        <v>1956.7619999999999</v>
      </c>
    </row>
    <row r="117" spans="1:19">
      <c r="B117" s="127" t="s">
        <v>207</v>
      </c>
      <c r="C117" s="122">
        <v>1428.71</v>
      </c>
      <c r="D117" s="122">
        <v>425.03399999999999</v>
      </c>
      <c r="E117" s="122">
        <v>399.09399999999999</v>
      </c>
      <c r="F117" s="122">
        <v>224.96799999999999</v>
      </c>
      <c r="G117" s="122">
        <v>109.43</v>
      </c>
      <c r="H117" s="122">
        <v>59.445</v>
      </c>
      <c r="I117" s="122">
        <v>5.1833992000000002</v>
      </c>
      <c r="J117" s="122">
        <v>-8.4320000000000004</v>
      </c>
      <c r="K117" s="122">
        <v>2244.4059999999999</v>
      </c>
      <c r="L117" s="122">
        <v>-9.2309999999999999</v>
      </c>
      <c r="M117" s="122">
        <v>2235.1750000000002</v>
      </c>
      <c r="N117" s="122">
        <v>696.89599999999996</v>
      </c>
      <c r="O117" s="122">
        <v>2933.5309999999999</v>
      </c>
      <c r="P117" s="122">
        <v>706.16899999999998</v>
      </c>
      <c r="Q117" s="122">
        <v>0</v>
      </c>
      <c r="R117" s="122">
        <v>2227.4050000000002</v>
      </c>
      <c r="S117" s="123">
        <v>1975.0129999999999</v>
      </c>
    </row>
    <row r="118" spans="1:19">
      <c r="B118" s="127" t="s">
        <v>208</v>
      </c>
      <c r="C118" s="122">
        <v>1205.5820000000001</v>
      </c>
      <c r="D118" s="122">
        <v>394.74900000000002</v>
      </c>
      <c r="E118" s="122">
        <v>356.78100000000001</v>
      </c>
      <c r="F118" s="122">
        <v>190.51400000000001</v>
      </c>
      <c r="G118" s="122">
        <v>94.876999999999995</v>
      </c>
      <c r="H118" s="122">
        <v>66.701999999999998</v>
      </c>
      <c r="I118" s="122">
        <v>4.6599233739999999</v>
      </c>
      <c r="J118" s="122">
        <v>5.6719999999999997</v>
      </c>
      <c r="K118" s="122">
        <v>1962.7840000000001</v>
      </c>
      <c r="L118" s="122">
        <v>-3.2709999999999999</v>
      </c>
      <c r="M118" s="122">
        <v>1959.5129999999999</v>
      </c>
      <c r="N118" s="122">
        <v>595.82299999999998</v>
      </c>
      <c r="O118" s="122">
        <v>2555.3359999999998</v>
      </c>
      <c r="P118" s="122">
        <v>605.23900000000003</v>
      </c>
      <c r="Q118" s="122">
        <v>-0.91800000000000004</v>
      </c>
      <c r="R118" s="122">
        <v>1949.1790000000001</v>
      </c>
      <c r="S118" s="123">
        <v>1735.462</v>
      </c>
    </row>
    <row r="119" spans="1:19">
      <c r="B119" s="127" t="s">
        <v>33</v>
      </c>
      <c r="C119" s="122">
        <v>1373.7070000000001</v>
      </c>
      <c r="D119" s="122">
        <v>453.34300000000002</v>
      </c>
      <c r="E119" s="122">
        <v>393.41699999999997</v>
      </c>
      <c r="F119" s="122">
        <v>205.23400000000001</v>
      </c>
      <c r="G119" s="122">
        <v>112.313</v>
      </c>
      <c r="H119" s="122">
        <v>70.022999999999996</v>
      </c>
      <c r="I119" s="122">
        <v>6.1369112999999995</v>
      </c>
      <c r="J119" s="122">
        <v>5.2069999999999999</v>
      </c>
      <c r="K119" s="122">
        <v>2225.674</v>
      </c>
      <c r="L119" s="122">
        <v>13.164</v>
      </c>
      <c r="M119" s="122">
        <v>2238.8380000000002</v>
      </c>
      <c r="N119" s="122">
        <v>640.30200000000002</v>
      </c>
      <c r="O119" s="122">
        <v>2881.1880000000001</v>
      </c>
      <c r="P119" s="122">
        <v>687.25599999999997</v>
      </c>
      <c r="Q119" s="122">
        <v>3.96</v>
      </c>
      <c r="R119" s="122">
        <v>2195.8440000000001</v>
      </c>
      <c r="S119" s="123">
        <v>1963.0160000000001</v>
      </c>
    </row>
    <row r="120" spans="1:19">
      <c r="B120" s="127" t="s">
        <v>5</v>
      </c>
      <c r="C120" s="122">
        <v>1399.71802</v>
      </c>
      <c r="D120" s="122">
        <v>454.04572300000001</v>
      </c>
      <c r="E120" s="122">
        <v>411.82095621709141</v>
      </c>
      <c r="F120" s="122">
        <v>221.83742939999999</v>
      </c>
      <c r="G120" s="122">
        <v>116.10764882815525</v>
      </c>
      <c r="H120" s="122">
        <v>67.76553229999999</v>
      </c>
      <c r="I120" s="122">
        <v>6.196209405655031</v>
      </c>
      <c r="J120" s="122">
        <v>-23.579000000000001</v>
      </c>
      <c r="K120" s="122">
        <v>2242.0056992170912</v>
      </c>
      <c r="L120" s="122">
        <v>-1.5688895699999998</v>
      </c>
      <c r="M120" s="122">
        <v>2240.4368096470912</v>
      </c>
      <c r="N120" s="122">
        <v>699.76409797565759</v>
      </c>
      <c r="O120" s="122">
        <v>2943.4199079999999</v>
      </c>
      <c r="P120" s="122">
        <v>731.80172342389631</v>
      </c>
      <c r="Q120" s="122">
        <v>18.22</v>
      </c>
      <c r="R120" s="122">
        <v>2226.8191842000001</v>
      </c>
      <c r="S120" s="123">
        <v>1990.3493360000002</v>
      </c>
    </row>
    <row r="121" spans="1:19">
      <c r="B121" s="127" t="s">
        <v>6</v>
      </c>
      <c r="C121" s="122">
        <v>1391.1670139999999</v>
      </c>
      <c r="D121" s="122">
        <v>472.020239</v>
      </c>
      <c r="E121" s="122">
        <v>405.21190819950937</v>
      </c>
      <c r="F121" s="122">
        <v>212.7737664</v>
      </c>
      <c r="G121" s="122">
        <v>107.81688339001309</v>
      </c>
      <c r="H121" s="122">
        <v>78.480143199999986</v>
      </c>
      <c r="I121" s="122">
        <v>6.1411153075920835</v>
      </c>
      <c r="J121" s="122">
        <v>2.88</v>
      </c>
      <c r="K121" s="122">
        <v>2271.279161199509</v>
      </c>
      <c r="L121" s="122">
        <v>4.2543026549999992</v>
      </c>
      <c r="M121" s="122">
        <v>2275.5334638545091</v>
      </c>
      <c r="N121" s="122">
        <v>642.55284402487973</v>
      </c>
      <c r="O121" s="122">
        <v>2918.0863080000004</v>
      </c>
      <c r="P121" s="122">
        <v>704.88847532114482</v>
      </c>
      <c r="Q121" s="122">
        <v>18.216000000000001</v>
      </c>
      <c r="R121" s="122">
        <v>2231.4138325566946</v>
      </c>
      <c r="S121" s="123">
        <v>1996.0812509999998</v>
      </c>
    </row>
    <row r="122" spans="1:19">
      <c r="B122" s="127" t="s">
        <v>7</v>
      </c>
      <c r="C122" s="122">
        <v>1417.0847599999997</v>
      </c>
      <c r="D122" s="122">
        <v>477.81728500000003</v>
      </c>
      <c r="E122" s="122">
        <v>412.02597095867492</v>
      </c>
      <c r="F122" s="122">
        <v>219.80513869999999</v>
      </c>
      <c r="G122" s="122">
        <v>109.12289189403405</v>
      </c>
      <c r="H122" s="122">
        <v>76.892789300000004</v>
      </c>
      <c r="I122" s="122">
        <v>6.2051509769243918</v>
      </c>
      <c r="J122" s="122">
        <v>2.88</v>
      </c>
      <c r="K122" s="122">
        <v>2309.8080159586748</v>
      </c>
      <c r="L122" s="122">
        <v>1.5283446360000001</v>
      </c>
      <c r="M122" s="122">
        <v>2311.3363605946752</v>
      </c>
      <c r="N122" s="122">
        <v>647.59392973768854</v>
      </c>
      <c r="O122" s="122">
        <v>2958.9302900000002</v>
      </c>
      <c r="P122" s="122">
        <v>698.67102849744572</v>
      </c>
      <c r="Q122" s="122">
        <v>18.216000000000001</v>
      </c>
      <c r="R122" s="122">
        <v>2278.475261834802</v>
      </c>
      <c r="S122" s="123">
        <v>2039.4514300000001</v>
      </c>
    </row>
    <row r="123" spans="1:19">
      <c r="B123" s="127" t="s">
        <v>8</v>
      </c>
      <c r="C123" s="122">
        <v>1440.4784280000001</v>
      </c>
      <c r="D123" s="122">
        <v>483.40723300000002</v>
      </c>
      <c r="E123" s="122">
        <v>427.52310648752467</v>
      </c>
      <c r="F123" s="122">
        <v>232.8177341</v>
      </c>
      <c r="G123" s="122">
        <v>113.43920153425063</v>
      </c>
      <c r="H123" s="122">
        <v>74.845722000000009</v>
      </c>
      <c r="I123" s="122">
        <v>6.4204489176550128</v>
      </c>
      <c r="J123" s="122">
        <v>2.88</v>
      </c>
      <c r="K123" s="122">
        <v>2354.2887674875251</v>
      </c>
      <c r="L123" s="122">
        <v>2.842630003</v>
      </c>
      <c r="M123" s="122">
        <v>2357.1313974905252</v>
      </c>
      <c r="N123" s="122">
        <v>654.50289959546524</v>
      </c>
      <c r="O123" s="122">
        <v>3011.6342960000002</v>
      </c>
      <c r="P123" s="122">
        <v>696.64810381233883</v>
      </c>
      <c r="Q123" s="122">
        <v>18.216000000000001</v>
      </c>
      <c r="R123" s="122">
        <v>2333.2021932725479</v>
      </c>
      <c r="S123" s="123">
        <v>2089.7166440000005</v>
      </c>
    </row>
    <row r="124" spans="1:19">
      <c r="B124" s="127" t="s">
        <v>9</v>
      </c>
      <c r="C124" s="122">
        <v>1465.8907710000001</v>
      </c>
      <c r="D124" s="122">
        <v>491.63942300000002</v>
      </c>
      <c r="E124" s="122">
        <v>431.16244071290049</v>
      </c>
      <c r="F124" s="122">
        <v>231.90115229999998</v>
      </c>
      <c r="G124" s="122">
        <v>118.49778925730664</v>
      </c>
      <c r="H124" s="122">
        <v>74.102095300000002</v>
      </c>
      <c r="I124" s="122">
        <v>6.6614037827275174</v>
      </c>
      <c r="J124" s="122">
        <v>2.88</v>
      </c>
      <c r="K124" s="122">
        <v>2391.5726347129007</v>
      </c>
      <c r="L124" s="122">
        <v>4.554074666</v>
      </c>
      <c r="M124" s="122">
        <v>2396.1267093789006</v>
      </c>
      <c r="N124" s="122">
        <v>658.43724973399219</v>
      </c>
      <c r="O124" s="122">
        <v>3054.5639600000004</v>
      </c>
      <c r="P124" s="122">
        <v>691.59344587993485</v>
      </c>
      <c r="Q124" s="122">
        <v>18.216000000000001</v>
      </c>
      <c r="R124" s="122">
        <v>2381.1865132341263</v>
      </c>
      <c r="S124" s="123">
        <v>2133.889694</v>
      </c>
    </row>
    <row r="125" spans="1:19" ht="15.75" thickBot="1">
      <c r="B125" s="134" t="s">
        <v>10</v>
      </c>
      <c r="C125" s="170">
        <v>1492.388193</v>
      </c>
      <c r="D125" s="170">
        <v>500.88599000000005</v>
      </c>
      <c r="E125" s="170">
        <v>432.09719801258825</v>
      </c>
      <c r="F125" s="170">
        <v>231.01376049999996</v>
      </c>
      <c r="G125" s="170">
        <v>121.37388337383405</v>
      </c>
      <c r="H125" s="170">
        <v>72.909380700000014</v>
      </c>
      <c r="I125" s="170">
        <v>6.8001734207141258</v>
      </c>
      <c r="J125" s="170">
        <v>2.88</v>
      </c>
      <c r="K125" s="170">
        <v>2428.2513810125884</v>
      </c>
      <c r="L125" s="170">
        <v>4.1684977609999994</v>
      </c>
      <c r="M125" s="170">
        <v>2432.4198787735882</v>
      </c>
      <c r="N125" s="170">
        <v>661.03261279609649</v>
      </c>
      <c r="O125" s="170">
        <v>3093.452491</v>
      </c>
      <c r="P125" s="170">
        <v>686.79943680240353</v>
      </c>
      <c r="Q125" s="170">
        <v>18.216000000000001</v>
      </c>
      <c r="R125" s="170">
        <v>2424.8690547666333</v>
      </c>
      <c r="S125" s="171">
        <v>2174.2861899999998</v>
      </c>
    </row>
    <row r="126" spans="1:19">
      <c r="B126" s="592" t="s">
        <v>209</v>
      </c>
      <c r="C126" s="593"/>
      <c r="D126" s="593"/>
      <c r="E126" s="593"/>
      <c r="F126" s="593"/>
      <c r="G126" s="593"/>
      <c r="H126" s="593"/>
      <c r="I126" s="593"/>
      <c r="J126" s="593"/>
      <c r="K126" s="593"/>
      <c r="L126" s="593"/>
      <c r="M126" s="593"/>
      <c r="N126" s="593"/>
      <c r="O126" s="593"/>
      <c r="P126" s="593"/>
      <c r="Q126" s="593"/>
      <c r="R126" s="593"/>
      <c r="S126" s="594"/>
    </row>
    <row r="127" spans="1:19">
      <c r="B127" s="592" t="s">
        <v>210</v>
      </c>
      <c r="C127" s="593"/>
      <c r="D127" s="593"/>
      <c r="E127" s="593"/>
      <c r="F127" s="593"/>
      <c r="G127" s="593"/>
      <c r="H127" s="593"/>
      <c r="I127" s="593"/>
      <c r="J127" s="593"/>
      <c r="K127" s="593"/>
      <c r="L127" s="593"/>
      <c r="M127" s="593"/>
      <c r="N127" s="593"/>
      <c r="O127" s="593"/>
      <c r="P127" s="593"/>
      <c r="Q127" s="593"/>
      <c r="R127" s="593"/>
      <c r="S127" s="594"/>
    </row>
    <row r="128" spans="1:19">
      <c r="B128" s="592" t="s">
        <v>211</v>
      </c>
      <c r="C128" s="593"/>
      <c r="D128" s="593"/>
      <c r="E128" s="593"/>
      <c r="F128" s="593"/>
      <c r="G128" s="593"/>
      <c r="H128" s="593"/>
      <c r="I128" s="593"/>
      <c r="J128" s="593"/>
      <c r="K128" s="593"/>
      <c r="L128" s="593"/>
      <c r="M128" s="593"/>
      <c r="N128" s="593"/>
      <c r="O128" s="593"/>
      <c r="P128" s="593"/>
      <c r="Q128" s="593"/>
      <c r="R128" s="593"/>
      <c r="S128" s="594"/>
    </row>
    <row r="129" spans="2:19">
      <c r="B129" s="586" t="s">
        <v>212</v>
      </c>
      <c r="C129" s="587"/>
      <c r="D129" s="587"/>
      <c r="E129" s="587"/>
      <c r="F129" s="587"/>
      <c r="G129" s="587"/>
      <c r="H129" s="587"/>
      <c r="I129" s="587"/>
      <c r="J129" s="587"/>
      <c r="K129" s="587"/>
      <c r="L129" s="587"/>
      <c r="M129" s="587"/>
      <c r="N129" s="587"/>
      <c r="O129" s="587"/>
      <c r="P129" s="587"/>
      <c r="Q129" s="587"/>
      <c r="R129" s="587"/>
      <c r="S129" s="588"/>
    </row>
    <row r="130" spans="2:19">
      <c r="B130" s="586" t="s">
        <v>213</v>
      </c>
      <c r="C130" s="587"/>
      <c r="D130" s="587"/>
      <c r="E130" s="587"/>
      <c r="F130" s="587"/>
      <c r="G130" s="587"/>
      <c r="H130" s="587"/>
      <c r="I130" s="587"/>
      <c r="J130" s="587"/>
      <c r="K130" s="587"/>
      <c r="L130" s="587"/>
      <c r="M130" s="587"/>
      <c r="N130" s="587"/>
      <c r="O130" s="587"/>
      <c r="P130" s="587"/>
      <c r="Q130" s="587"/>
      <c r="R130" s="587"/>
      <c r="S130" s="588"/>
    </row>
    <row r="131" spans="2:19">
      <c r="B131" s="586" t="s">
        <v>214</v>
      </c>
      <c r="C131" s="587"/>
      <c r="D131" s="587"/>
      <c r="E131" s="587"/>
      <c r="F131" s="587"/>
      <c r="G131" s="587"/>
      <c r="H131" s="587"/>
      <c r="I131" s="587"/>
      <c r="J131" s="587"/>
      <c r="K131" s="587"/>
      <c r="L131" s="587"/>
      <c r="M131" s="587"/>
      <c r="N131" s="587"/>
      <c r="O131" s="587"/>
      <c r="P131" s="587"/>
      <c r="Q131" s="587"/>
      <c r="R131" s="587"/>
      <c r="S131" s="588"/>
    </row>
    <row r="132" spans="2:19">
      <c r="B132" s="586" t="s">
        <v>215</v>
      </c>
      <c r="C132" s="587"/>
      <c r="D132" s="587"/>
      <c r="E132" s="587"/>
      <c r="F132" s="587"/>
      <c r="G132" s="587"/>
      <c r="H132" s="587"/>
      <c r="I132" s="587"/>
      <c r="J132" s="587"/>
      <c r="K132" s="587"/>
      <c r="L132" s="587"/>
      <c r="M132" s="587"/>
      <c r="N132" s="587"/>
      <c r="O132" s="587"/>
      <c r="P132" s="587"/>
      <c r="Q132" s="587"/>
      <c r="R132" s="587"/>
      <c r="S132" s="588"/>
    </row>
    <row r="133" spans="2:19">
      <c r="B133" s="586" t="s">
        <v>216</v>
      </c>
      <c r="C133" s="587"/>
      <c r="D133" s="587"/>
      <c r="E133" s="587"/>
      <c r="F133" s="587"/>
      <c r="G133" s="587"/>
      <c r="H133" s="587"/>
      <c r="I133" s="587"/>
      <c r="J133" s="587"/>
      <c r="K133" s="587"/>
      <c r="L133" s="587"/>
      <c r="M133" s="587"/>
      <c r="N133" s="587"/>
      <c r="O133" s="587"/>
      <c r="P133" s="587"/>
      <c r="Q133" s="587"/>
      <c r="R133" s="587"/>
      <c r="S133" s="588"/>
    </row>
    <row r="134" spans="2:19">
      <c r="B134" s="586" t="s">
        <v>217</v>
      </c>
      <c r="C134" s="587"/>
      <c r="D134" s="587"/>
      <c r="E134" s="587"/>
      <c r="F134" s="587"/>
      <c r="G134" s="587"/>
      <c r="H134" s="587"/>
      <c r="I134" s="587"/>
      <c r="J134" s="587"/>
      <c r="K134" s="587"/>
      <c r="L134" s="587"/>
      <c r="M134" s="587"/>
      <c r="N134" s="587"/>
      <c r="O134" s="587"/>
      <c r="P134" s="587"/>
      <c r="Q134" s="587"/>
      <c r="R134" s="587"/>
      <c r="S134" s="588"/>
    </row>
    <row r="135" spans="2:19">
      <c r="B135" s="592" t="s">
        <v>218</v>
      </c>
      <c r="C135" s="593"/>
      <c r="D135" s="593"/>
      <c r="E135" s="593"/>
      <c r="F135" s="593"/>
      <c r="G135" s="593"/>
      <c r="H135" s="593"/>
      <c r="I135" s="593"/>
      <c r="J135" s="593"/>
      <c r="K135" s="593"/>
      <c r="L135" s="593"/>
      <c r="M135" s="593"/>
      <c r="N135" s="593"/>
      <c r="O135" s="593"/>
      <c r="P135" s="593"/>
      <c r="Q135" s="593"/>
      <c r="R135" s="593"/>
      <c r="S135" s="594"/>
    </row>
    <row r="136" spans="2:19">
      <c r="B136" s="586" t="s">
        <v>219</v>
      </c>
      <c r="C136" s="587"/>
      <c r="D136" s="587"/>
      <c r="E136" s="587"/>
      <c r="F136" s="587"/>
      <c r="G136" s="587"/>
      <c r="H136" s="587"/>
      <c r="I136" s="587"/>
      <c r="J136" s="587"/>
      <c r="K136" s="587"/>
      <c r="L136" s="587"/>
      <c r="M136" s="587"/>
      <c r="N136" s="587"/>
      <c r="O136" s="587"/>
      <c r="P136" s="587"/>
      <c r="Q136" s="587"/>
      <c r="R136" s="587"/>
      <c r="S136" s="588"/>
    </row>
    <row r="137" spans="2:19">
      <c r="B137" s="586" t="s">
        <v>220</v>
      </c>
      <c r="C137" s="587"/>
      <c r="D137" s="587"/>
      <c r="E137" s="587"/>
      <c r="F137" s="587"/>
      <c r="G137" s="587"/>
      <c r="H137" s="587"/>
      <c r="I137" s="587"/>
      <c r="J137" s="587"/>
      <c r="K137" s="587"/>
      <c r="L137" s="587"/>
      <c r="M137" s="587"/>
      <c r="N137" s="587"/>
      <c r="O137" s="587"/>
      <c r="P137" s="587"/>
      <c r="Q137" s="587"/>
      <c r="R137" s="587"/>
      <c r="S137" s="588"/>
    </row>
    <row r="138" spans="2:19">
      <c r="B138" s="586" t="s">
        <v>221</v>
      </c>
      <c r="C138" s="587"/>
      <c r="D138" s="587"/>
      <c r="E138" s="587"/>
      <c r="F138" s="587"/>
      <c r="G138" s="587"/>
      <c r="H138" s="587"/>
      <c r="I138" s="587"/>
      <c r="J138" s="587"/>
      <c r="K138" s="587"/>
      <c r="L138" s="587"/>
      <c r="M138" s="587"/>
      <c r="N138" s="587"/>
      <c r="O138" s="587"/>
      <c r="P138" s="587"/>
      <c r="Q138" s="587"/>
      <c r="R138" s="587"/>
      <c r="S138" s="588"/>
    </row>
    <row r="139" spans="2:19">
      <c r="B139" s="586" t="s">
        <v>222</v>
      </c>
      <c r="C139" s="587"/>
      <c r="D139" s="587"/>
      <c r="E139" s="587"/>
      <c r="F139" s="587"/>
      <c r="G139" s="587"/>
      <c r="H139" s="587"/>
      <c r="I139" s="587"/>
      <c r="J139" s="587"/>
      <c r="K139" s="587"/>
      <c r="L139" s="587"/>
      <c r="M139" s="587"/>
      <c r="N139" s="587"/>
      <c r="O139" s="587"/>
      <c r="P139" s="587"/>
      <c r="Q139" s="587"/>
      <c r="R139" s="587"/>
      <c r="S139" s="588"/>
    </row>
    <row r="140" spans="2:19">
      <c r="B140" s="586" t="s">
        <v>223</v>
      </c>
      <c r="C140" s="587"/>
      <c r="D140" s="587"/>
      <c r="E140" s="587"/>
      <c r="F140" s="587"/>
      <c r="G140" s="587"/>
      <c r="H140" s="587"/>
      <c r="I140" s="587"/>
      <c r="J140" s="587"/>
      <c r="K140" s="587"/>
      <c r="L140" s="587"/>
      <c r="M140" s="587"/>
      <c r="N140" s="587"/>
      <c r="O140" s="587"/>
      <c r="P140" s="587"/>
      <c r="Q140" s="587"/>
      <c r="R140" s="587"/>
      <c r="S140" s="588"/>
    </row>
    <row r="141" spans="2:19">
      <c r="B141" s="586" t="s">
        <v>224</v>
      </c>
      <c r="C141" s="587"/>
      <c r="D141" s="587"/>
      <c r="E141" s="587"/>
      <c r="F141" s="587"/>
      <c r="G141" s="587"/>
      <c r="H141" s="587"/>
      <c r="I141" s="587"/>
      <c r="J141" s="587"/>
      <c r="K141" s="587"/>
      <c r="L141" s="587"/>
      <c r="M141" s="587"/>
      <c r="N141" s="587"/>
      <c r="O141" s="587"/>
      <c r="P141" s="587"/>
      <c r="Q141" s="587"/>
      <c r="R141" s="587"/>
      <c r="S141" s="588"/>
    </row>
    <row r="142" spans="2:19" ht="15.75" thickBot="1">
      <c r="B142" s="589" t="s">
        <v>225</v>
      </c>
      <c r="C142" s="590"/>
      <c r="D142" s="590"/>
      <c r="E142" s="590"/>
      <c r="F142" s="590"/>
      <c r="G142" s="590"/>
      <c r="H142" s="590"/>
      <c r="I142" s="590"/>
      <c r="J142" s="590"/>
      <c r="K142" s="590"/>
      <c r="L142" s="590"/>
      <c r="M142" s="590"/>
      <c r="N142" s="590"/>
      <c r="O142" s="590"/>
      <c r="P142" s="590"/>
      <c r="Q142" s="590"/>
      <c r="R142" s="590"/>
      <c r="S142" s="591"/>
    </row>
    <row r="143" spans="2:19">
      <c r="B143" s="147"/>
      <c r="C143" s="148"/>
      <c r="D143" s="148"/>
      <c r="E143" s="148"/>
      <c r="F143" s="148"/>
      <c r="G143" s="148"/>
      <c r="H143" s="148"/>
      <c r="I143" s="148"/>
      <c r="J143" s="148"/>
      <c r="K143" s="148"/>
      <c r="L143" s="148"/>
      <c r="M143" s="148"/>
      <c r="N143" s="148"/>
      <c r="O143" s="148"/>
      <c r="P143" s="148"/>
      <c r="Q143" s="148"/>
      <c r="R143" s="148"/>
      <c r="S143" s="148"/>
    </row>
    <row r="144" spans="2:19">
      <c r="B144" s="147"/>
      <c r="C144" s="148"/>
      <c r="D144" s="148"/>
      <c r="E144" s="148"/>
      <c r="F144" s="148"/>
      <c r="G144" s="148"/>
      <c r="H144" s="148"/>
      <c r="I144" s="148"/>
      <c r="J144" s="148"/>
      <c r="K144" s="148"/>
      <c r="L144" s="148"/>
      <c r="M144" s="148"/>
      <c r="N144" s="148"/>
      <c r="O144" s="148"/>
      <c r="P144" s="148"/>
      <c r="Q144" s="148"/>
      <c r="R144" s="148"/>
      <c r="S144" s="148"/>
    </row>
    <row r="145" spans="2:19">
      <c r="B145" s="147"/>
      <c r="C145" s="148"/>
      <c r="D145" s="148"/>
      <c r="E145" s="148"/>
      <c r="F145" s="148"/>
      <c r="G145" s="148"/>
      <c r="H145" s="148"/>
      <c r="I145" s="148"/>
      <c r="J145" s="148"/>
      <c r="K145" s="148"/>
      <c r="L145" s="148"/>
      <c r="M145" s="148"/>
      <c r="N145" s="148"/>
      <c r="O145" s="148"/>
      <c r="P145" s="148"/>
      <c r="Q145" s="148"/>
      <c r="R145" s="148"/>
      <c r="S145" s="148"/>
    </row>
    <row r="146" spans="2:19">
      <c r="B146" s="147"/>
      <c r="C146" s="148"/>
      <c r="D146" s="148"/>
      <c r="E146" s="148"/>
      <c r="F146" s="148"/>
      <c r="G146" s="148"/>
      <c r="H146" s="148"/>
      <c r="I146" s="148"/>
      <c r="J146" s="148"/>
      <c r="K146" s="148"/>
      <c r="L146" s="148"/>
      <c r="M146" s="148"/>
      <c r="N146" s="148"/>
      <c r="O146" s="148"/>
      <c r="P146" s="148"/>
      <c r="Q146" s="148"/>
      <c r="R146" s="148"/>
      <c r="S146" s="148"/>
    </row>
    <row r="147" spans="2:19">
      <c r="B147" s="147"/>
      <c r="C147" s="148"/>
      <c r="D147" s="148"/>
      <c r="E147" s="148"/>
      <c r="F147" s="148"/>
      <c r="G147" s="148"/>
      <c r="H147" s="148"/>
      <c r="I147" s="148"/>
      <c r="J147" s="148"/>
      <c r="K147" s="148"/>
      <c r="L147" s="148"/>
      <c r="M147" s="148"/>
      <c r="N147" s="148"/>
      <c r="O147" s="148"/>
      <c r="P147" s="148"/>
      <c r="Q147" s="148"/>
      <c r="R147" s="148"/>
      <c r="S147" s="148"/>
    </row>
    <row r="148" spans="2:19">
      <c r="B148" s="147"/>
      <c r="C148" s="148"/>
      <c r="D148" s="148"/>
      <c r="E148" s="148"/>
      <c r="F148" s="148"/>
      <c r="G148" s="148"/>
      <c r="H148" s="148"/>
      <c r="I148" s="148"/>
      <c r="J148" s="148"/>
      <c r="K148" s="148"/>
      <c r="L148" s="148"/>
      <c r="M148" s="148"/>
      <c r="N148" s="148"/>
      <c r="O148" s="148"/>
      <c r="P148" s="148"/>
      <c r="Q148" s="148"/>
      <c r="R148" s="148"/>
      <c r="S148" s="148"/>
    </row>
    <row r="149" spans="2:19">
      <c r="B149" s="147"/>
      <c r="C149" s="148"/>
      <c r="D149" s="148"/>
      <c r="E149" s="148"/>
      <c r="F149" s="148"/>
      <c r="G149" s="148"/>
      <c r="H149" s="148"/>
      <c r="I149" s="148"/>
      <c r="J149" s="148"/>
      <c r="K149" s="148"/>
      <c r="L149" s="148"/>
      <c r="M149" s="148"/>
      <c r="N149" s="148"/>
      <c r="O149" s="148"/>
      <c r="P149" s="148"/>
      <c r="Q149" s="148"/>
      <c r="R149" s="148"/>
      <c r="S149" s="148"/>
    </row>
    <row r="150" spans="2:19">
      <c r="B150" s="147"/>
      <c r="C150" s="148"/>
      <c r="D150" s="148"/>
      <c r="E150" s="148"/>
      <c r="F150" s="148"/>
      <c r="G150" s="148"/>
      <c r="H150" s="148"/>
      <c r="I150" s="148"/>
      <c r="J150" s="148"/>
      <c r="K150" s="148"/>
      <c r="L150" s="148"/>
      <c r="M150" s="148"/>
      <c r="N150" s="148"/>
      <c r="O150" s="148"/>
      <c r="P150" s="148"/>
      <c r="Q150" s="148"/>
      <c r="R150" s="148"/>
      <c r="S150" s="148"/>
    </row>
    <row r="151" spans="2:19">
      <c r="B151" s="147"/>
      <c r="C151" s="148"/>
      <c r="D151" s="148"/>
      <c r="E151" s="148"/>
      <c r="F151" s="148"/>
      <c r="G151" s="148"/>
      <c r="H151" s="148"/>
      <c r="I151" s="148"/>
      <c r="J151" s="148"/>
      <c r="K151" s="148"/>
      <c r="L151" s="148"/>
      <c r="M151" s="148"/>
      <c r="N151" s="148"/>
      <c r="O151" s="148"/>
      <c r="P151" s="148"/>
      <c r="Q151" s="148"/>
      <c r="R151" s="148"/>
      <c r="S151" s="148"/>
    </row>
    <row r="152" spans="2:19">
      <c r="B152" s="147"/>
      <c r="C152" s="148"/>
      <c r="D152" s="148"/>
      <c r="E152" s="148"/>
      <c r="F152" s="148"/>
      <c r="G152" s="148"/>
      <c r="H152" s="148"/>
      <c r="I152" s="148"/>
      <c r="J152" s="148"/>
      <c r="K152" s="148"/>
      <c r="L152" s="148"/>
      <c r="M152" s="148"/>
      <c r="N152" s="148"/>
      <c r="O152" s="148"/>
      <c r="P152" s="148"/>
      <c r="Q152" s="148"/>
      <c r="R152" s="148"/>
      <c r="S152" s="148"/>
    </row>
    <row r="153" spans="2:19">
      <c r="B153" s="147"/>
      <c r="C153" s="148"/>
      <c r="D153" s="148"/>
      <c r="E153" s="148"/>
      <c r="F153" s="148"/>
      <c r="G153" s="148"/>
      <c r="H153" s="148"/>
      <c r="I153" s="148"/>
      <c r="J153" s="148"/>
      <c r="K153" s="148"/>
      <c r="L153" s="148"/>
      <c r="M153" s="148"/>
      <c r="N153" s="148"/>
      <c r="O153" s="148"/>
      <c r="P153" s="148"/>
      <c r="Q153" s="148"/>
      <c r="R153" s="148"/>
      <c r="S153" s="148"/>
    </row>
    <row r="154" spans="2:19">
      <c r="B154" s="147"/>
      <c r="C154" s="148"/>
      <c r="D154" s="148"/>
      <c r="E154" s="148"/>
      <c r="F154" s="148"/>
      <c r="G154" s="148"/>
      <c r="H154" s="148"/>
      <c r="I154" s="148"/>
      <c r="J154" s="148"/>
      <c r="K154" s="148"/>
      <c r="L154" s="148"/>
      <c r="M154" s="148"/>
      <c r="N154" s="148"/>
      <c r="O154" s="148"/>
      <c r="P154" s="148"/>
      <c r="Q154" s="148"/>
      <c r="R154" s="148"/>
      <c r="S154" s="148"/>
    </row>
    <row r="155" spans="2:19">
      <c r="C155" s="148"/>
      <c r="D155" s="148"/>
      <c r="E155" s="148"/>
      <c r="F155" s="148"/>
      <c r="G155" s="148"/>
      <c r="H155" s="148"/>
      <c r="I155" s="148"/>
      <c r="J155" s="148"/>
      <c r="K155" s="148"/>
      <c r="L155" s="148"/>
      <c r="M155" s="148"/>
      <c r="N155" s="148"/>
      <c r="O155" s="148"/>
      <c r="P155" s="148"/>
      <c r="Q155" s="148"/>
      <c r="R155" s="148"/>
      <c r="S155" s="148"/>
    </row>
    <row r="156" spans="2:19">
      <c r="C156" s="148"/>
      <c r="D156" s="148"/>
      <c r="E156" s="148"/>
      <c r="F156" s="148"/>
      <c r="G156" s="148"/>
      <c r="H156" s="148"/>
      <c r="I156" s="148"/>
      <c r="J156" s="148"/>
      <c r="K156" s="148"/>
      <c r="L156" s="148"/>
      <c r="M156" s="148"/>
      <c r="N156" s="148"/>
      <c r="O156" s="148"/>
      <c r="P156" s="148"/>
      <c r="Q156" s="148"/>
      <c r="R156" s="148"/>
      <c r="S156" s="148"/>
    </row>
    <row r="157" spans="2:19">
      <c r="C157" s="148"/>
      <c r="D157" s="148"/>
      <c r="E157" s="148"/>
      <c r="F157" s="148"/>
      <c r="G157" s="148"/>
      <c r="H157" s="148"/>
      <c r="I157" s="148"/>
      <c r="J157" s="148"/>
      <c r="K157" s="148"/>
      <c r="L157" s="148"/>
      <c r="M157" s="148"/>
      <c r="N157" s="148"/>
      <c r="O157" s="148"/>
      <c r="P157" s="148"/>
      <c r="Q157" s="148"/>
      <c r="R157" s="148"/>
      <c r="S157" s="148"/>
    </row>
    <row r="158" spans="2:19">
      <c r="C158" s="148"/>
      <c r="D158" s="148"/>
      <c r="E158" s="148"/>
      <c r="F158" s="148"/>
      <c r="G158" s="148"/>
      <c r="H158" s="148"/>
      <c r="I158" s="148"/>
      <c r="J158" s="148"/>
      <c r="K158" s="148"/>
      <c r="L158" s="148"/>
      <c r="M158" s="148"/>
      <c r="N158" s="148"/>
      <c r="O158" s="148"/>
      <c r="P158" s="148"/>
      <c r="Q158" s="148"/>
      <c r="R158" s="148"/>
      <c r="S158" s="148"/>
    </row>
    <row r="159" spans="2:19">
      <c r="C159" s="148"/>
      <c r="D159" s="148"/>
      <c r="E159" s="148"/>
      <c r="F159" s="148"/>
      <c r="G159" s="148"/>
      <c r="H159" s="148"/>
      <c r="I159" s="148"/>
      <c r="J159" s="148"/>
      <c r="K159" s="148"/>
      <c r="L159" s="148"/>
      <c r="M159" s="148"/>
      <c r="N159" s="148"/>
      <c r="O159" s="148"/>
      <c r="P159" s="148"/>
      <c r="Q159" s="148"/>
      <c r="R159" s="148"/>
      <c r="S159" s="148"/>
    </row>
    <row r="160" spans="2:19">
      <c r="C160" s="148"/>
      <c r="D160" s="148"/>
      <c r="E160" s="148"/>
      <c r="F160" s="148"/>
      <c r="G160" s="148"/>
      <c r="H160" s="148"/>
      <c r="I160" s="148"/>
      <c r="J160" s="148"/>
      <c r="K160" s="148"/>
      <c r="L160" s="148"/>
      <c r="M160" s="148"/>
      <c r="N160" s="148"/>
      <c r="O160" s="148"/>
      <c r="P160" s="148"/>
      <c r="Q160" s="148"/>
      <c r="R160" s="148"/>
      <c r="S160" s="148"/>
    </row>
    <row r="161" spans="3:19">
      <c r="C161" s="148"/>
      <c r="D161" s="148"/>
      <c r="E161" s="148"/>
      <c r="F161" s="148"/>
      <c r="G161" s="148"/>
      <c r="H161" s="148"/>
      <c r="I161" s="148"/>
      <c r="J161" s="148"/>
      <c r="K161" s="148"/>
      <c r="L161" s="148"/>
      <c r="M161" s="148"/>
      <c r="N161" s="148"/>
      <c r="O161" s="148"/>
      <c r="P161" s="148"/>
      <c r="Q161" s="148"/>
      <c r="R161" s="148"/>
      <c r="S161" s="148"/>
    </row>
  </sheetData>
  <mergeCells count="31">
    <mergeCell ref="B2:S2"/>
    <mergeCell ref="C3:C4"/>
    <mergeCell ref="D3:D4"/>
    <mergeCell ref="J3:J4"/>
    <mergeCell ref="K3:K4"/>
    <mergeCell ref="L3:L4"/>
    <mergeCell ref="M3:M4"/>
    <mergeCell ref="N3:N4"/>
    <mergeCell ref="O3:O4"/>
    <mergeCell ref="P3:P4"/>
    <mergeCell ref="B133:S133"/>
    <mergeCell ref="Q3:Q4"/>
    <mergeCell ref="R3:R4"/>
    <mergeCell ref="S3:S4"/>
    <mergeCell ref="A50:A54"/>
    <mergeCell ref="B126:S126"/>
    <mergeCell ref="B127:S127"/>
    <mergeCell ref="B128:S128"/>
    <mergeCell ref="B129:S129"/>
    <mergeCell ref="B130:S130"/>
    <mergeCell ref="B131:S131"/>
    <mergeCell ref="B132:S132"/>
    <mergeCell ref="B140:S140"/>
    <mergeCell ref="B141:S141"/>
    <mergeCell ref="B142:S142"/>
    <mergeCell ref="B134:S134"/>
    <mergeCell ref="B135:S135"/>
    <mergeCell ref="B136:S136"/>
    <mergeCell ref="B137:S137"/>
    <mergeCell ref="B138:S138"/>
    <mergeCell ref="B139:S139"/>
  </mergeCells>
  <hyperlinks>
    <hyperlink ref="A1" location="Contents!A1" display="Back to contents" xr:uid="{2E13F046-0506-429D-ACC3-D7B3CAC3182E}"/>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26FDC-18B6-4BD8-A479-53CDCB7E5571}">
  <sheetPr codeName="Sheet21">
    <tabColor theme="6"/>
  </sheetPr>
  <dimension ref="A1:AE155"/>
  <sheetViews>
    <sheetView zoomScaleNormal="100" zoomScaleSheetLayoutView="100" workbookViewId="0">
      <pane xSplit="2" ySplit="4" topLeftCell="Q100" activePane="bottomRight" state="frozen"/>
      <selection activeCell="Z64" sqref="Z64"/>
      <selection pane="topRight" activeCell="Z64" sqref="Z64"/>
      <selection pane="bottomLeft" activeCell="Z64" sqref="Z64"/>
      <selection pane="bottomRight" activeCell="S1" sqref="S1:AE1048576"/>
    </sheetView>
  </sheetViews>
  <sheetFormatPr defaultColWidth="10.140625" defaultRowHeight="15"/>
  <cols>
    <col min="1" max="1" width="10.5703125" style="111" customWidth="1"/>
    <col min="2" max="2" width="8.28515625" style="111" customWidth="1"/>
    <col min="3" max="3" width="11.42578125" style="111" bestFit="1" customWidth="1"/>
    <col min="4" max="4" width="13.140625" style="111" customWidth="1"/>
    <col min="5" max="5" width="12.5703125" style="111" customWidth="1"/>
    <col min="6" max="6" width="12.42578125" style="111" customWidth="1"/>
    <col min="7" max="7" width="10" style="111" customWidth="1"/>
    <col min="8" max="8" width="10.140625" style="111" customWidth="1"/>
    <col min="9" max="9" width="10" style="111" customWidth="1"/>
    <col min="10" max="10" width="9.42578125" style="111" customWidth="1"/>
    <col min="11" max="11" width="7.42578125" style="111" customWidth="1"/>
    <col min="12" max="12" width="11.42578125" style="111" customWidth="1"/>
    <col min="13" max="13" width="7.7109375" style="111" customWidth="1"/>
    <col min="14" max="14" width="12.28515625" style="111" customWidth="1"/>
    <col min="15" max="15" width="7.7109375" style="111" customWidth="1"/>
    <col min="16" max="16" width="8.85546875" style="111" customWidth="1"/>
    <col min="17" max="16384" width="10.140625"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558" t="s">
        <v>226</v>
      </c>
      <c r="C2" s="559"/>
      <c r="D2" s="559"/>
      <c r="E2" s="559"/>
      <c r="F2" s="559"/>
      <c r="G2" s="559"/>
      <c r="H2" s="559"/>
      <c r="I2" s="559"/>
      <c r="J2" s="559"/>
      <c r="K2" s="559"/>
      <c r="L2" s="559"/>
      <c r="M2" s="559"/>
      <c r="N2" s="559"/>
      <c r="O2" s="559"/>
      <c r="P2" s="560"/>
      <c r="S2" s="111" t="s">
        <v>227</v>
      </c>
    </row>
    <row r="3" spans="1:31" s="153" customFormat="1" ht="41.25" customHeight="1">
      <c r="A3" s="151"/>
      <c r="B3" s="561" t="s">
        <v>93</v>
      </c>
      <c r="C3" s="555" t="s">
        <v>94</v>
      </c>
      <c r="D3" s="555" t="s">
        <v>95</v>
      </c>
      <c r="E3" s="152" t="s">
        <v>96</v>
      </c>
      <c r="F3" s="152"/>
      <c r="G3" s="555" t="s">
        <v>97</v>
      </c>
      <c r="H3" s="555" t="s">
        <v>98</v>
      </c>
      <c r="I3" s="555" t="s">
        <v>99</v>
      </c>
      <c r="J3" s="555" t="s">
        <v>100</v>
      </c>
      <c r="K3" s="555" t="s">
        <v>101</v>
      </c>
      <c r="L3" s="555" t="s">
        <v>102</v>
      </c>
      <c r="M3" s="555" t="s">
        <v>103</v>
      </c>
      <c r="N3" s="555" t="s">
        <v>104</v>
      </c>
      <c r="O3" s="555" t="s">
        <v>228</v>
      </c>
      <c r="P3" s="556"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562"/>
      <c r="C4" s="555"/>
      <c r="D4" s="555"/>
      <c r="E4" s="119" t="s">
        <v>18</v>
      </c>
      <c r="F4" s="119" t="s">
        <v>109</v>
      </c>
      <c r="G4" s="555"/>
      <c r="H4" s="555"/>
      <c r="I4" s="555"/>
      <c r="J4" s="555"/>
      <c r="K4" s="555"/>
      <c r="L4" s="555"/>
      <c r="M4" s="555"/>
      <c r="N4" s="555"/>
      <c r="O4" s="555"/>
      <c r="P4" s="557"/>
    </row>
    <row r="5" spans="1:31" ht="15.75">
      <c r="A5" s="110"/>
      <c r="B5" s="154" t="s">
        <v>111</v>
      </c>
      <c r="C5" s="122">
        <v>256.262</v>
      </c>
      <c r="D5" s="122">
        <v>80.113</v>
      </c>
      <c r="E5" s="122">
        <v>70.974999999999994</v>
      </c>
      <c r="F5" s="122">
        <v>11.186999999999999</v>
      </c>
      <c r="G5" s="122">
        <v>8.3000000000000004E-2</v>
      </c>
      <c r="H5" s="122">
        <v>407.43299999999999</v>
      </c>
      <c r="I5" s="122">
        <v>-0.106</v>
      </c>
      <c r="J5" s="122">
        <v>407.327</v>
      </c>
      <c r="K5" s="122">
        <v>103.92700000000001</v>
      </c>
      <c r="L5" s="122">
        <v>511.25400000000002</v>
      </c>
      <c r="M5" s="122">
        <v>113.98099999999999</v>
      </c>
      <c r="N5" s="122">
        <v>0</v>
      </c>
      <c r="O5" s="122">
        <v>397.27300000000002</v>
      </c>
      <c r="P5" s="155">
        <v>396.64400000000001</v>
      </c>
      <c r="Q5" s="156"/>
      <c r="R5" s="157"/>
      <c r="S5" s="124">
        <f>100*(C5/OBR_MAR23_1.1!C5)</f>
        <v>83.098883851846082</v>
      </c>
      <c r="T5" s="124">
        <f>100*(D5/OBR_MAR23_1.1!D5)</f>
        <v>85.664945091371806</v>
      </c>
      <c r="U5" s="124">
        <f>100*(E5/OBR_MAR23_1.1!E5)</f>
        <v>81.554212437376464</v>
      </c>
      <c r="V5" s="124">
        <f>100*(K5/OBR_MAR23_1.1!N5)</f>
        <v>75.468012490015241</v>
      </c>
      <c r="W5" s="124">
        <f>100*(M5/OBR_MAR23_1.1!P5)</f>
        <v>82.246274849370423</v>
      </c>
      <c r="X5" s="124">
        <f>100*(O5/OBR_MAR23_1.1!R5)</f>
        <v>81.475017483557252</v>
      </c>
    </row>
    <row r="6" spans="1:31" ht="15.75">
      <c r="A6" s="110"/>
      <c r="B6" s="154" t="s">
        <v>112</v>
      </c>
      <c r="C6" s="122">
        <v>257.03699999999998</v>
      </c>
      <c r="D6" s="122">
        <v>80.391000000000005</v>
      </c>
      <c r="E6" s="122">
        <v>71.775999999999996</v>
      </c>
      <c r="F6" s="122">
        <v>11.23</v>
      </c>
      <c r="G6" s="122">
        <v>0.23499999999999999</v>
      </c>
      <c r="H6" s="122">
        <v>409.43900000000002</v>
      </c>
      <c r="I6" s="122">
        <v>0.379</v>
      </c>
      <c r="J6" s="122">
        <v>409.81799999999998</v>
      </c>
      <c r="K6" s="122">
        <v>109.9</v>
      </c>
      <c r="L6" s="122">
        <v>519.71799999999996</v>
      </c>
      <c r="M6" s="122">
        <v>118.702</v>
      </c>
      <c r="N6" s="122">
        <v>0</v>
      </c>
      <c r="O6" s="122">
        <v>401.01600000000002</v>
      </c>
      <c r="P6" s="155">
        <v>396.209</v>
      </c>
      <c r="Q6" s="156"/>
      <c r="R6" s="157"/>
      <c r="S6" s="124">
        <f>100*(C6/OBR_MAR23_1.1!C6)</f>
        <v>84.338302123903674</v>
      </c>
      <c r="T6" s="124">
        <f>100*(D6/OBR_MAR23_1.1!D6)</f>
        <v>86.175070748649347</v>
      </c>
      <c r="U6" s="124">
        <f>100*(E6/OBR_MAR23_1.1!E6)</f>
        <v>81.994105417076014</v>
      </c>
      <c r="V6" s="124">
        <f>100*(K6/OBR_MAR23_1.1!N6)</f>
        <v>79.408661974884026</v>
      </c>
      <c r="W6" s="124">
        <f>100*(M6/OBR_MAR23_1.1!P6)</f>
        <v>86.115786419036553</v>
      </c>
      <c r="X6" s="124">
        <f>100*(O6/OBR_MAR23_1.1!R6)</f>
        <v>82.636344528291005</v>
      </c>
      <c r="AA6" s="124">
        <f>100*((T6/T5)-1)</f>
        <v>0.59548938802613804</v>
      </c>
    </row>
    <row r="7" spans="1:31" ht="15.75">
      <c r="A7" s="110"/>
      <c r="B7" s="154" t="s">
        <v>113</v>
      </c>
      <c r="C7" s="122">
        <v>256.69799999999998</v>
      </c>
      <c r="D7" s="122">
        <v>81.316000000000003</v>
      </c>
      <c r="E7" s="122">
        <v>68.903999999999996</v>
      </c>
      <c r="F7" s="122">
        <v>11.843999999999999</v>
      </c>
      <c r="G7" s="122">
        <v>-0.89600000000000002</v>
      </c>
      <c r="H7" s="122">
        <v>406.02199999999999</v>
      </c>
      <c r="I7" s="122">
        <v>1.6719999999999999</v>
      </c>
      <c r="J7" s="122">
        <v>407.69400000000002</v>
      </c>
      <c r="K7" s="122">
        <v>112.577</v>
      </c>
      <c r="L7" s="122">
        <v>520.27099999999996</v>
      </c>
      <c r="M7" s="122">
        <v>119.41200000000001</v>
      </c>
      <c r="N7" s="122">
        <v>0</v>
      </c>
      <c r="O7" s="122">
        <v>400.85899999999998</v>
      </c>
      <c r="P7" s="155">
        <v>396.43799999999999</v>
      </c>
      <c r="Q7" s="156"/>
      <c r="R7" s="157"/>
      <c r="S7" s="124">
        <f>100*(C7/OBR_MAR23_1.1!C7)</f>
        <v>85.659082870052131</v>
      </c>
      <c r="T7" s="124">
        <f>100*(D7/OBR_MAR23_1.1!D7)</f>
        <v>85.655297364484809</v>
      </c>
      <c r="U7" s="124">
        <f>100*(E7/OBR_MAR23_1.1!E7)</f>
        <v>82.95390245957887</v>
      </c>
      <c r="V7" s="124">
        <f>100*(K7/OBR_MAR23_1.1!N7)</f>
        <v>81.264843248081647</v>
      </c>
      <c r="W7" s="124">
        <f>100*(M7/OBR_MAR23_1.1!P7)</f>
        <v>88.080134541055671</v>
      </c>
      <c r="X7" s="124">
        <f>100*(O7/OBR_MAR23_1.1!R7)</f>
        <v>83.87312082186908</v>
      </c>
      <c r="AA7" s="124">
        <f t="shared" ref="Z7:AA70" si="0">100*((T7/T6)-1)</f>
        <v>-0.60315979975297251</v>
      </c>
    </row>
    <row r="8" spans="1:31" ht="15.75">
      <c r="A8" s="110"/>
      <c r="B8" s="154" t="s">
        <v>114</v>
      </c>
      <c r="C8" s="122">
        <v>248.97900000000001</v>
      </c>
      <c r="D8" s="122">
        <v>83.542000000000002</v>
      </c>
      <c r="E8" s="122">
        <v>67.897999999999996</v>
      </c>
      <c r="F8" s="122">
        <v>12.593999999999999</v>
      </c>
      <c r="G8" s="122">
        <v>0.38900000000000001</v>
      </c>
      <c r="H8" s="122">
        <v>400.80799999999999</v>
      </c>
      <c r="I8" s="122">
        <v>-2.3919999999999999</v>
      </c>
      <c r="J8" s="122">
        <v>398.416</v>
      </c>
      <c r="K8" s="122">
        <v>109.095</v>
      </c>
      <c r="L8" s="122">
        <v>507.51100000000002</v>
      </c>
      <c r="M8" s="122">
        <v>111.922</v>
      </c>
      <c r="N8" s="122">
        <v>0</v>
      </c>
      <c r="O8" s="122">
        <v>395.589</v>
      </c>
      <c r="P8" s="155">
        <v>384.35</v>
      </c>
      <c r="Q8" s="156"/>
      <c r="R8" s="157"/>
      <c r="S8" s="124">
        <f>100*(C8/OBR_MAR23_1.1!C8)</f>
        <v>85.089607939632543</v>
      </c>
      <c r="T8" s="124">
        <f>100*(D8/OBR_MAR23_1.1!D8)</f>
        <v>87.121836251577307</v>
      </c>
      <c r="U8" s="124">
        <f>100*(E8/OBR_MAR23_1.1!E8)</f>
        <v>83.223631795060371</v>
      </c>
      <c r="V8" s="124">
        <f>100*(K8/OBR_MAR23_1.1!N8)</f>
        <v>82.041737168640722</v>
      </c>
      <c r="W8" s="124">
        <f>100*(M8/OBR_MAR23_1.1!P8)</f>
        <v>87.278143423063725</v>
      </c>
      <c r="X8" s="124">
        <f>100*(O8/OBR_MAR23_1.1!R8)</f>
        <v>84.663242375601925</v>
      </c>
      <c r="AA8" s="124">
        <f t="shared" si="0"/>
        <v>1.7121403254862333</v>
      </c>
    </row>
    <row r="9" spans="1:31" ht="15.75">
      <c r="A9" s="110"/>
      <c r="B9" s="154" t="s">
        <v>115</v>
      </c>
      <c r="C9" s="122">
        <v>248.74100000000001</v>
      </c>
      <c r="D9" s="122">
        <v>84.361999999999995</v>
      </c>
      <c r="E9" s="122">
        <v>64.424000000000007</v>
      </c>
      <c r="F9" s="122">
        <v>12.677</v>
      </c>
      <c r="G9" s="122">
        <v>1.2270000000000001</v>
      </c>
      <c r="H9" s="122">
        <v>398.75400000000002</v>
      </c>
      <c r="I9" s="122">
        <v>-5.6870000000000003</v>
      </c>
      <c r="J9" s="122">
        <v>393.06700000000001</v>
      </c>
      <c r="K9" s="122">
        <v>102.55500000000001</v>
      </c>
      <c r="L9" s="122">
        <v>495.62299999999999</v>
      </c>
      <c r="M9" s="122">
        <v>108.547</v>
      </c>
      <c r="N9" s="122">
        <v>0</v>
      </c>
      <c r="O9" s="122">
        <v>387.07600000000002</v>
      </c>
      <c r="P9" s="155">
        <v>380.08699999999999</v>
      </c>
      <c r="Q9" s="156"/>
      <c r="R9" s="157"/>
      <c r="S9" s="124">
        <f>100*(C9/OBR_MAR23_1.1!C9)</f>
        <v>85.310610451656714</v>
      </c>
      <c r="T9" s="124">
        <f>100*(D9/OBR_MAR23_1.1!D9)</f>
        <v>88.487276846587932</v>
      </c>
      <c r="U9" s="124">
        <f>100*(E9/OBR_MAR23_1.1!E9)</f>
        <v>84.412997903563962</v>
      </c>
      <c r="V9" s="124">
        <f>100*(K9/OBR_MAR23_1.1!N9)</f>
        <v>82.445675330208772</v>
      </c>
      <c r="W9" s="124">
        <f>100*(M9/OBR_MAR23_1.1!P9)</f>
        <v>88.189366611419842</v>
      </c>
      <c r="X9" s="124">
        <f>100*(O9/OBR_MAR23_1.1!R9)</f>
        <v>84.481023874844226</v>
      </c>
      <c r="AA9" s="124">
        <f t="shared" si="0"/>
        <v>1.5672771072773539</v>
      </c>
    </row>
    <row r="10" spans="1:31" ht="15.75">
      <c r="A10" s="110"/>
      <c r="B10" s="154" t="s">
        <v>116</v>
      </c>
      <c r="C10" s="122">
        <v>248.84899999999999</v>
      </c>
      <c r="D10" s="122">
        <v>84.465999999999994</v>
      </c>
      <c r="E10" s="122">
        <v>61.695999999999998</v>
      </c>
      <c r="F10" s="122">
        <v>11.955</v>
      </c>
      <c r="G10" s="122">
        <v>0.70799999999999996</v>
      </c>
      <c r="H10" s="122">
        <v>395.71899999999999</v>
      </c>
      <c r="I10" s="122">
        <v>-4.218</v>
      </c>
      <c r="J10" s="122">
        <v>391.50099999999998</v>
      </c>
      <c r="K10" s="122">
        <v>101.19</v>
      </c>
      <c r="L10" s="122">
        <v>492.69200000000001</v>
      </c>
      <c r="M10" s="122">
        <v>105.79600000000001</v>
      </c>
      <c r="N10" s="122">
        <v>0</v>
      </c>
      <c r="O10" s="122">
        <v>386.89600000000002</v>
      </c>
      <c r="P10" s="155">
        <v>381.04399999999998</v>
      </c>
      <c r="Q10" s="156"/>
      <c r="R10" s="157"/>
      <c r="S10" s="124">
        <f>100*(C10/OBR_MAR23_1.1!C10)</f>
        <v>85.510418671138339</v>
      </c>
      <c r="T10" s="124">
        <f>100*(D10/OBR_MAR23_1.1!D10)</f>
        <v>88.697770637095843</v>
      </c>
      <c r="U10" s="124">
        <f>100*(E10/OBR_MAR23_1.1!E10)</f>
        <v>84.277245034559996</v>
      </c>
      <c r="V10" s="124">
        <f>100*(K10/OBR_MAR23_1.1!N10)</f>
        <v>81.983682662626492</v>
      </c>
      <c r="W10" s="124">
        <f>100*(M10/OBR_MAR23_1.1!P10)</f>
        <v>86.060586340415853</v>
      </c>
      <c r="X10" s="124">
        <f>100*(O10/OBR_MAR23_1.1!R10)</f>
        <v>84.684601864437568</v>
      </c>
      <c r="AA10" s="124">
        <f t="shared" si="0"/>
        <v>0.2378802896972898</v>
      </c>
    </row>
    <row r="11" spans="1:31" ht="15.75">
      <c r="A11" s="110"/>
      <c r="B11" s="154" t="s">
        <v>117</v>
      </c>
      <c r="C11" s="122">
        <v>250.14099999999999</v>
      </c>
      <c r="D11" s="122">
        <v>86.322999999999993</v>
      </c>
      <c r="E11" s="122">
        <v>62.079000000000001</v>
      </c>
      <c r="F11" s="122">
        <v>13.279</v>
      </c>
      <c r="G11" s="122">
        <v>0.42899999999999999</v>
      </c>
      <c r="H11" s="122">
        <v>398.97199999999998</v>
      </c>
      <c r="I11" s="122">
        <v>-3.0739999999999998</v>
      </c>
      <c r="J11" s="122">
        <v>395.89800000000002</v>
      </c>
      <c r="K11" s="122">
        <v>101.92700000000001</v>
      </c>
      <c r="L11" s="122">
        <v>497.82499999999999</v>
      </c>
      <c r="M11" s="122">
        <v>107.965</v>
      </c>
      <c r="N11" s="122">
        <v>0</v>
      </c>
      <c r="O11" s="122">
        <v>389.86</v>
      </c>
      <c r="P11" s="155">
        <v>390.70299999999997</v>
      </c>
      <c r="Q11" s="156"/>
      <c r="R11" s="157"/>
      <c r="S11" s="124">
        <f>100*(C11/OBR_MAR23_1.1!C11)</f>
        <v>85.538761412987725</v>
      </c>
      <c r="T11" s="124">
        <f>100*(D11/OBR_MAR23_1.1!D11)</f>
        <v>90.117863220202736</v>
      </c>
      <c r="U11" s="124">
        <f>100*(E11/OBR_MAR23_1.1!E11)</f>
        <v>83.837292530419873</v>
      </c>
      <c r="V11" s="124">
        <f>100*(K11/OBR_MAR23_1.1!N11)</f>
        <v>83.206393521579784</v>
      </c>
      <c r="W11" s="124">
        <f>100*(M11/OBR_MAR23_1.1!P11)</f>
        <v>85.602264438171957</v>
      </c>
      <c r="X11" s="124">
        <f>100*(O11/OBR_MAR23_1.1!R11)</f>
        <v>85.220702514476329</v>
      </c>
      <c r="AA11" s="124">
        <f t="shared" si="0"/>
        <v>1.6010465346611324</v>
      </c>
    </row>
    <row r="12" spans="1:31" ht="15.75">
      <c r="A12" s="110"/>
      <c r="B12" s="154" t="s">
        <v>118</v>
      </c>
      <c r="C12" s="122">
        <v>251.11699999999999</v>
      </c>
      <c r="D12" s="122">
        <v>86.12</v>
      </c>
      <c r="E12" s="122">
        <v>60.582000000000001</v>
      </c>
      <c r="F12" s="122">
        <v>12.821999999999999</v>
      </c>
      <c r="G12" s="122">
        <v>-1.2E-2</v>
      </c>
      <c r="H12" s="122">
        <v>397.80700000000002</v>
      </c>
      <c r="I12" s="122">
        <v>-5.7210000000000001</v>
      </c>
      <c r="J12" s="122">
        <v>392.08600000000001</v>
      </c>
      <c r="K12" s="122">
        <v>107.58199999999999</v>
      </c>
      <c r="L12" s="122">
        <v>499.66800000000001</v>
      </c>
      <c r="M12" s="122">
        <v>111.61799999999999</v>
      </c>
      <c r="N12" s="122">
        <v>0</v>
      </c>
      <c r="O12" s="122">
        <v>388.05</v>
      </c>
      <c r="P12" s="155">
        <v>386.988</v>
      </c>
      <c r="Q12" s="156"/>
      <c r="R12" s="157"/>
      <c r="S12" s="124">
        <f>100*(C12/OBR_MAR23_1.1!C12)</f>
        <v>85.18649184999235</v>
      </c>
      <c r="T12" s="124">
        <f>100*(D12/OBR_MAR23_1.1!D12)</f>
        <v>89.188993258008068</v>
      </c>
      <c r="U12" s="124">
        <f>100*(E12/OBR_MAR23_1.1!E12)</f>
        <v>83.083505903973006</v>
      </c>
      <c r="V12" s="124">
        <f>100*(K12/OBR_MAR23_1.1!N12)</f>
        <v>84.077996170528706</v>
      </c>
      <c r="W12" s="124">
        <f>100*(M12/OBR_MAR23_1.1!P12)</f>
        <v>87.166151251054259</v>
      </c>
      <c r="X12" s="124">
        <f>100*(O12/OBR_MAR23_1.1!R12)</f>
        <v>84.53677420479228</v>
      </c>
      <c r="AA12" s="124">
        <f t="shared" si="0"/>
        <v>-1.0307279034401651</v>
      </c>
    </row>
    <row r="13" spans="1:31" ht="15.75">
      <c r="A13" s="110"/>
      <c r="B13" s="154" t="s">
        <v>119</v>
      </c>
      <c r="C13" s="122">
        <v>249.97499999999999</v>
      </c>
      <c r="D13" s="122">
        <v>87.108000000000004</v>
      </c>
      <c r="E13" s="122">
        <v>62.645000000000003</v>
      </c>
      <c r="F13" s="122">
        <v>12.868</v>
      </c>
      <c r="G13" s="122">
        <v>-5.2999999999999999E-2</v>
      </c>
      <c r="H13" s="122">
        <v>399.67500000000001</v>
      </c>
      <c r="I13" s="122">
        <v>3.2109999999999999</v>
      </c>
      <c r="J13" s="122">
        <v>402.88600000000002</v>
      </c>
      <c r="K13" s="122">
        <v>109.599</v>
      </c>
      <c r="L13" s="122">
        <v>512.48400000000004</v>
      </c>
      <c r="M13" s="122">
        <v>115.348</v>
      </c>
      <c r="N13" s="122">
        <v>0</v>
      </c>
      <c r="O13" s="122">
        <v>397.13600000000002</v>
      </c>
      <c r="P13" s="155">
        <v>397.26</v>
      </c>
      <c r="Q13" s="156"/>
      <c r="R13" s="157"/>
      <c r="S13" s="124">
        <f>100*(C13/OBR_MAR23_1.1!C13)</f>
        <v>85.274953946919567</v>
      </c>
      <c r="T13" s="124">
        <f>100*(D13/OBR_MAR23_1.1!D13)</f>
        <v>91.233582605416956</v>
      </c>
      <c r="U13" s="124">
        <f>100*(E13/OBR_MAR23_1.1!E13)</f>
        <v>82.497102823430254</v>
      </c>
      <c r="V13" s="124">
        <f>100*(K13/OBR_MAR23_1.1!N13)</f>
        <v>85.464640242048048</v>
      </c>
      <c r="W13" s="124">
        <f>100*(M13/OBR_MAR23_1.1!P13)</f>
        <v>88.482161349462658</v>
      </c>
      <c r="X13" s="124">
        <f>100*(O13/OBR_MAR23_1.1!R13)</f>
        <v>85.702139230153378</v>
      </c>
      <c r="AA13" s="124">
        <f t="shared" si="0"/>
        <v>2.2924233952212658</v>
      </c>
    </row>
    <row r="14" spans="1:31" ht="15.75">
      <c r="A14" s="110"/>
      <c r="B14" s="154" t="s">
        <v>120</v>
      </c>
      <c r="C14" s="122">
        <v>258.21199999999999</v>
      </c>
      <c r="D14" s="122">
        <v>86.411000000000001</v>
      </c>
      <c r="E14" s="122">
        <v>63.088000000000001</v>
      </c>
      <c r="F14" s="122">
        <v>12.547000000000001</v>
      </c>
      <c r="G14" s="122">
        <v>-0.41299999999999998</v>
      </c>
      <c r="H14" s="122">
        <v>407.298</v>
      </c>
      <c r="I14" s="122">
        <v>0.69099999999999995</v>
      </c>
      <c r="J14" s="122">
        <v>407.98899999999998</v>
      </c>
      <c r="K14" s="122">
        <v>115.06699999999999</v>
      </c>
      <c r="L14" s="122">
        <v>523.05499999999995</v>
      </c>
      <c r="M14" s="122">
        <v>120.664</v>
      </c>
      <c r="N14" s="122">
        <v>0</v>
      </c>
      <c r="O14" s="122">
        <v>402.39100000000002</v>
      </c>
      <c r="P14" s="155">
        <v>402.84500000000003</v>
      </c>
      <c r="Q14" s="156"/>
      <c r="R14" s="157"/>
      <c r="S14" s="124">
        <f>100*(C14/OBR_MAR23_1.1!C14)</f>
        <v>86.078126770986813</v>
      </c>
      <c r="T14" s="124">
        <f>100*(D14/OBR_MAR23_1.1!D14)</f>
        <v>90.233281817802109</v>
      </c>
      <c r="U14" s="124">
        <f>100*(E14/OBR_MAR23_1.1!E14)</f>
        <v>83.475131323021557</v>
      </c>
      <c r="V14" s="124">
        <f>100*(K14/OBR_MAR23_1.1!N14)</f>
        <v>86.48532860321086</v>
      </c>
      <c r="W14" s="124">
        <f>100*(M14/OBR_MAR23_1.1!P14)</f>
        <v>89.900163909998511</v>
      </c>
      <c r="X14" s="124">
        <f>100*(O14/OBR_MAR23_1.1!R14)</f>
        <v>85.854219517763312</v>
      </c>
      <c r="AA14" s="124">
        <f t="shared" si="0"/>
        <v>-1.096417304953512</v>
      </c>
    </row>
    <row r="15" spans="1:31" ht="15.75">
      <c r="A15" s="110"/>
      <c r="B15" s="154" t="s">
        <v>121</v>
      </c>
      <c r="C15" s="122">
        <v>260.17899999999997</v>
      </c>
      <c r="D15" s="122">
        <v>86.135000000000005</v>
      </c>
      <c r="E15" s="122">
        <v>65.111999999999995</v>
      </c>
      <c r="F15" s="122">
        <v>12.736000000000001</v>
      </c>
      <c r="G15" s="122">
        <v>0.502</v>
      </c>
      <c r="H15" s="122">
        <v>411.928</v>
      </c>
      <c r="I15" s="122">
        <v>1.746</v>
      </c>
      <c r="J15" s="122">
        <v>413.67399999999998</v>
      </c>
      <c r="K15" s="122">
        <v>115.566</v>
      </c>
      <c r="L15" s="122">
        <v>529.24</v>
      </c>
      <c r="M15" s="122">
        <v>124.011</v>
      </c>
      <c r="N15" s="122">
        <v>0</v>
      </c>
      <c r="O15" s="122">
        <v>405.22899999999998</v>
      </c>
      <c r="P15" s="155">
        <v>404.69600000000003</v>
      </c>
      <c r="Q15" s="156"/>
      <c r="R15" s="157"/>
      <c r="S15" s="124">
        <f>100*(C15/OBR_MAR23_1.1!C15)</f>
        <v>86.713037334275398</v>
      </c>
      <c r="T15" s="124">
        <f>100*(D15/OBR_MAR23_1.1!D15)</f>
        <v>89.931925912004843</v>
      </c>
      <c r="U15" s="124">
        <f>100*(E15/OBR_MAR23_1.1!E15)</f>
        <v>83.098717376044917</v>
      </c>
      <c r="V15" s="124">
        <f>100*(K15/OBR_MAR23_1.1!N15)</f>
        <v>86.343803233615262</v>
      </c>
      <c r="W15" s="124">
        <f>100*(M15/OBR_MAR23_1.1!P15)</f>
        <v>89.829194796163776</v>
      </c>
      <c r="X15" s="124">
        <f>100*(O15/OBR_MAR23_1.1!R15)</f>
        <v>85.914761355541231</v>
      </c>
      <c r="AA15" s="124">
        <f t="shared" si="0"/>
        <v>-0.33397422738735694</v>
      </c>
    </row>
    <row r="16" spans="1:31" ht="15.75">
      <c r="A16" s="110"/>
      <c r="B16" s="154" t="s">
        <v>122</v>
      </c>
      <c r="C16" s="122">
        <v>262.21499999999997</v>
      </c>
      <c r="D16" s="122">
        <v>87.58</v>
      </c>
      <c r="E16" s="122">
        <v>66.631</v>
      </c>
      <c r="F16" s="122">
        <v>12.387</v>
      </c>
      <c r="G16" s="122">
        <v>0.40400000000000003</v>
      </c>
      <c r="H16" s="122">
        <v>416.83</v>
      </c>
      <c r="I16" s="122">
        <v>-1.7889999999999999</v>
      </c>
      <c r="J16" s="122">
        <v>415.041</v>
      </c>
      <c r="K16" s="122">
        <v>120.258</v>
      </c>
      <c r="L16" s="122">
        <v>535.29899999999998</v>
      </c>
      <c r="M16" s="122">
        <v>127.67400000000001</v>
      </c>
      <c r="N16" s="122">
        <v>0</v>
      </c>
      <c r="O16" s="122">
        <v>407.625</v>
      </c>
      <c r="P16" s="155">
        <v>408.24799999999999</v>
      </c>
      <c r="Q16" s="156"/>
      <c r="R16" s="157"/>
      <c r="S16" s="124">
        <f>100*(C16/OBR_MAR23_1.1!C16)</f>
        <v>87.441433930804493</v>
      </c>
      <c r="T16" s="124">
        <f>100*(D16/OBR_MAR23_1.1!D16)</f>
        <v>90.767763867009364</v>
      </c>
      <c r="U16" s="124">
        <f>100*(E16/OBR_MAR23_1.1!E16)</f>
        <v>83.001357798622266</v>
      </c>
      <c r="V16" s="124">
        <f>100*(K16/OBR_MAR23_1.1!N16)</f>
        <v>87.659270490130339</v>
      </c>
      <c r="W16" s="124">
        <f>100*(M16/OBR_MAR23_1.1!P16)</f>
        <v>91.884850665707091</v>
      </c>
      <c r="X16" s="124">
        <f>100*(O16/OBR_MAR23_1.1!R16)</f>
        <v>86.304180287606485</v>
      </c>
      <c r="AA16" s="124">
        <f t="shared" si="0"/>
        <v>0.92941182625441154</v>
      </c>
    </row>
    <row r="17" spans="1:27" ht="15.75">
      <c r="A17" s="110"/>
      <c r="B17" s="154" t="s">
        <v>123</v>
      </c>
      <c r="C17" s="122">
        <v>264.26900000000001</v>
      </c>
      <c r="D17" s="122">
        <v>89.676000000000002</v>
      </c>
      <c r="E17" s="122">
        <v>63.851999999999997</v>
      </c>
      <c r="F17" s="122">
        <v>12.884</v>
      </c>
      <c r="G17" s="122">
        <v>-1.2609999999999999</v>
      </c>
      <c r="H17" s="122">
        <v>416.536</v>
      </c>
      <c r="I17" s="122">
        <v>-0.77500000000000002</v>
      </c>
      <c r="J17" s="122">
        <v>415.76100000000002</v>
      </c>
      <c r="K17" s="122">
        <v>127.172</v>
      </c>
      <c r="L17" s="122">
        <v>542.93299999999999</v>
      </c>
      <c r="M17" s="122">
        <v>127.452</v>
      </c>
      <c r="N17" s="122">
        <v>0</v>
      </c>
      <c r="O17" s="122">
        <v>415.48099999999999</v>
      </c>
      <c r="P17" s="155">
        <v>417.18</v>
      </c>
      <c r="Q17" s="156"/>
      <c r="R17" s="157"/>
      <c r="S17" s="124">
        <f>100*(C17/OBR_MAR23_1.1!C17)</f>
        <v>88.946518124600317</v>
      </c>
      <c r="T17" s="124">
        <f>100*(D17/OBR_MAR23_1.1!D17)</f>
        <v>92.416138506724394</v>
      </c>
      <c r="U17" s="124">
        <f>100*(E17/OBR_MAR23_1.1!E17)</f>
        <v>83.427406710567581</v>
      </c>
      <c r="V17" s="124">
        <f>100*(K17/OBR_MAR23_1.1!N17)</f>
        <v>89.255409493195586</v>
      </c>
      <c r="W17" s="124">
        <f>100*(M17/OBR_MAR23_1.1!P17)</f>
        <v>93.669937162385636</v>
      </c>
      <c r="X17" s="124">
        <f>100*(O17/OBR_MAR23_1.1!R17)</f>
        <v>87.744926189520811</v>
      </c>
      <c r="AA17" s="124">
        <f t="shared" si="0"/>
        <v>1.8160353075682201</v>
      </c>
    </row>
    <row r="18" spans="1:27" ht="15.75">
      <c r="A18" s="110"/>
      <c r="B18" s="154" t="s">
        <v>124</v>
      </c>
      <c r="C18" s="122">
        <v>265.15600000000001</v>
      </c>
      <c r="D18" s="122">
        <v>85.438000000000002</v>
      </c>
      <c r="E18" s="122">
        <v>63.582999999999998</v>
      </c>
      <c r="F18" s="122">
        <v>11.698</v>
      </c>
      <c r="G18" s="122">
        <v>-3.4000000000000002E-2</v>
      </c>
      <c r="H18" s="122">
        <v>414.14299999999997</v>
      </c>
      <c r="I18" s="122">
        <v>5.0060000000000002</v>
      </c>
      <c r="J18" s="122">
        <v>419.149</v>
      </c>
      <c r="K18" s="122">
        <v>128.40100000000001</v>
      </c>
      <c r="L18" s="122">
        <v>547.54999999999995</v>
      </c>
      <c r="M18" s="122">
        <v>134.62799999999999</v>
      </c>
      <c r="N18" s="122">
        <v>0</v>
      </c>
      <c r="O18" s="122">
        <v>412.92200000000003</v>
      </c>
      <c r="P18" s="155">
        <v>417.74900000000002</v>
      </c>
      <c r="Q18" s="156"/>
      <c r="R18" s="157"/>
      <c r="S18" s="124">
        <f>100*(C18/OBR_MAR23_1.1!C18)</f>
        <v>89.443751054140677</v>
      </c>
      <c r="T18" s="124">
        <f>100*(D18/OBR_MAR23_1.1!D18)</f>
        <v>89.411444597932103</v>
      </c>
      <c r="U18" s="124">
        <f>100*(E18/OBR_MAR23_1.1!E18)</f>
        <v>83.908045977011497</v>
      </c>
      <c r="V18" s="124">
        <f>100*(K18/OBR_MAR23_1.1!N18)</f>
        <v>91.315170005618256</v>
      </c>
      <c r="W18" s="124">
        <f>100*(M18/OBR_MAR23_1.1!P18)</f>
        <v>96.152555083383916</v>
      </c>
      <c r="X18" s="124">
        <f>100*(O18/OBR_MAR23_1.1!R18)</f>
        <v>87.156085298233549</v>
      </c>
      <c r="AA18" s="124">
        <f t="shared" si="0"/>
        <v>-3.2512653713330231</v>
      </c>
    </row>
    <row r="19" spans="1:27" ht="15.75">
      <c r="A19" s="110"/>
      <c r="B19" s="154" t="s">
        <v>125</v>
      </c>
      <c r="C19" s="122">
        <v>268.09300000000002</v>
      </c>
      <c r="D19" s="122">
        <v>86.114000000000004</v>
      </c>
      <c r="E19" s="122">
        <v>65.882999999999996</v>
      </c>
      <c r="F19" s="122">
        <v>12.032</v>
      </c>
      <c r="G19" s="122">
        <v>1.891</v>
      </c>
      <c r="H19" s="122">
        <v>421.98099999999999</v>
      </c>
      <c r="I19" s="122">
        <v>0.71599999999999997</v>
      </c>
      <c r="J19" s="122">
        <v>422.697</v>
      </c>
      <c r="K19" s="122">
        <v>130.16200000000001</v>
      </c>
      <c r="L19" s="122">
        <v>552.85900000000004</v>
      </c>
      <c r="M19" s="122">
        <v>135.83799999999999</v>
      </c>
      <c r="N19" s="122">
        <v>0</v>
      </c>
      <c r="O19" s="122">
        <v>417.02100000000002</v>
      </c>
      <c r="P19" s="155">
        <v>416.58800000000002</v>
      </c>
      <c r="Q19" s="156"/>
      <c r="R19" s="157"/>
      <c r="S19" s="124">
        <f>100*(C19/OBR_MAR23_1.1!C19)</f>
        <v>90.191388364637049</v>
      </c>
      <c r="T19" s="124">
        <f>100*(D19/OBR_MAR23_1.1!D19)</f>
        <v>90.246381823707566</v>
      </c>
      <c r="U19" s="124">
        <f>100*(E19/OBR_MAR23_1.1!E19)</f>
        <v>84.867963416205072</v>
      </c>
      <c r="V19" s="124">
        <f>100*(K19/OBR_MAR23_1.1!N19)</f>
        <v>91.601452539128474</v>
      </c>
      <c r="W19" s="124">
        <f>100*(M19/OBR_MAR23_1.1!P19)</f>
        <v>97.460843611212738</v>
      </c>
      <c r="X19" s="124">
        <f>100*(O19/OBR_MAR23_1.1!R19)</f>
        <v>87.886221525349796</v>
      </c>
      <c r="AA19" s="124">
        <f t="shared" si="0"/>
        <v>0.93381471413422901</v>
      </c>
    </row>
    <row r="20" spans="1:27" ht="15.75">
      <c r="A20" s="110"/>
      <c r="B20" s="154" t="s">
        <v>126</v>
      </c>
      <c r="C20" s="122">
        <v>270.19299999999998</v>
      </c>
      <c r="D20" s="122">
        <v>87.322000000000003</v>
      </c>
      <c r="E20" s="122">
        <v>66.930000000000007</v>
      </c>
      <c r="F20" s="122">
        <v>11.672000000000001</v>
      </c>
      <c r="G20" s="122">
        <v>0.08</v>
      </c>
      <c r="H20" s="122">
        <v>424.52499999999998</v>
      </c>
      <c r="I20" s="122">
        <v>-1.746</v>
      </c>
      <c r="J20" s="122">
        <v>422.779</v>
      </c>
      <c r="K20" s="122">
        <v>131.71199999999999</v>
      </c>
      <c r="L20" s="122">
        <v>554.49099999999999</v>
      </c>
      <c r="M20" s="122">
        <v>135.70400000000001</v>
      </c>
      <c r="N20" s="122">
        <v>0</v>
      </c>
      <c r="O20" s="122">
        <v>418.78699999999998</v>
      </c>
      <c r="P20" s="155">
        <v>419.66899999999998</v>
      </c>
      <c r="Q20" s="156"/>
      <c r="R20" s="157"/>
      <c r="S20" s="124">
        <f>100*(C20/OBR_MAR23_1.1!C20)</f>
        <v>90.625911900744939</v>
      </c>
      <c r="T20" s="124">
        <f>100*(D20/OBR_MAR23_1.1!D20)</f>
        <v>90.774140565714106</v>
      </c>
      <c r="U20" s="124">
        <f>100*(E20/OBR_MAR23_1.1!E20)</f>
        <v>84.89991627977777</v>
      </c>
      <c r="V20" s="124">
        <f>100*(K20/OBR_MAR23_1.1!N20)</f>
        <v>91.450789793438631</v>
      </c>
      <c r="W20" s="124">
        <f>100*(M20/OBR_MAR23_1.1!P20)</f>
        <v>96.70141734303408</v>
      </c>
      <c r="X20" s="124">
        <f>100*(O20/OBR_MAR23_1.1!R20)</f>
        <v>88.295245866039224</v>
      </c>
      <c r="AA20" s="124">
        <f t="shared" si="0"/>
        <v>0.58479767425745344</v>
      </c>
    </row>
    <row r="21" spans="1:27" ht="15.75">
      <c r="A21" s="110"/>
      <c r="B21" s="154" t="s">
        <v>127</v>
      </c>
      <c r="C21" s="122">
        <v>270.23399999999998</v>
      </c>
      <c r="D21" s="122">
        <v>90.930999999999997</v>
      </c>
      <c r="E21" s="122">
        <v>67.759</v>
      </c>
      <c r="F21" s="122">
        <v>11.97</v>
      </c>
      <c r="G21" s="122">
        <v>-0.39100000000000001</v>
      </c>
      <c r="H21" s="122">
        <v>428.53300000000002</v>
      </c>
      <c r="I21" s="122">
        <v>-3.4910000000000001</v>
      </c>
      <c r="J21" s="122">
        <v>425.04199999999997</v>
      </c>
      <c r="K21" s="122">
        <v>134.62100000000001</v>
      </c>
      <c r="L21" s="122">
        <v>559.66300000000001</v>
      </c>
      <c r="M21" s="122">
        <v>135.89400000000001</v>
      </c>
      <c r="N21" s="122">
        <v>0</v>
      </c>
      <c r="O21" s="122">
        <v>423.76900000000001</v>
      </c>
      <c r="P21" s="155">
        <v>421.29399999999998</v>
      </c>
      <c r="Q21" s="156"/>
      <c r="R21" s="157"/>
      <c r="S21" s="124">
        <f>100*(C21/OBR_MAR23_1.1!C21)</f>
        <v>90.733702221386551</v>
      </c>
      <c r="T21" s="124">
        <f>100*(D21/OBR_MAR23_1.1!D21)</f>
        <v>91.723490961910912</v>
      </c>
      <c r="U21" s="124">
        <f>100*(E21/OBR_MAR23_1.1!E21)</f>
        <v>84.924862446263177</v>
      </c>
      <c r="V21" s="124">
        <f>100*(K21/OBR_MAR23_1.1!N21)</f>
        <v>90.900558417793746</v>
      </c>
      <c r="W21" s="124">
        <f>100*(M21/OBR_MAR23_1.1!P21)</f>
        <v>96.377356349555328</v>
      </c>
      <c r="X21" s="124">
        <f>100*(O21/OBR_MAR23_1.1!R21)</f>
        <v>88.609741511619632</v>
      </c>
      <c r="AA21" s="124">
        <f t="shared" si="0"/>
        <v>1.0458379338877277</v>
      </c>
    </row>
    <row r="22" spans="1:27" ht="15.75">
      <c r="A22" s="110"/>
      <c r="B22" s="154" t="s">
        <v>128</v>
      </c>
      <c r="C22" s="122">
        <v>274.16000000000003</v>
      </c>
      <c r="D22" s="122">
        <v>87.159000000000006</v>
      </c>
      <c r="E22" s="122">
        <v>65.673000000000002</v>
      </c>
      <c r="F22" s="122">
        <v>12.055</v>
      </c>
      <c r="G22" s="122">
        <v>0.156</v>
      </c>
      <c r="H22" s="122">
        <v>427.14800000000002</v>
      </c>
      <c r="I22" s="122">
        <v>6.3</v>
      </c>
      <c r="J22" s="122">
        <v>433.44799999999998</v>
      </c>
      <c r="K22" s="122">
        <v>127.886</v>
      </c>
      <c r="L22" s="122">
        <v>561.33399999999995</v>
      </c>
      <c r="M22" s="122">
        <v>136.34399999999999</v>
      </c>
      <c r="N22" s="122">
        <v>0</v>
      </c>
      <c r="O22" s="122">
        <v>424.99</v>
      </c>
      <c r="P22" s="155">
        <v>421.38499999999999</v>
      </c>
      <c r="Q22" s="156"/>
      <c r="R22" s="157"/>
      <c r="S22" s="124">
        <f>100*(C22/OBR_MAR23_1.1!C22)</f>
        <v>91.315440622980759</v>
      </c>
      <c r="T22" s="124">
        <f>100*(D22/OBR_MAR23_1.1!D22)</f>
        <v>90.991564705391085</v>
      </c>
      <c r="U22" s="124">
        <f>100*(E22/OBR_MAR23_1.1!E22)</f>
        <v>86.100294985250741</v>
      </c>
      <c r="V22" s="124">
        <f>100*(K22/OBR_MAR23_1.1!N22)</f>
        <v>90.613176130485925</v>
      </c>
      <c r="W22" s="124">
        <f>100*(M22/OBR_MAR23_1.1!P22)</f>
        <v>95.038407383139784</v>
      </c>
      <c r="X22" s="124">
        <f>100*(O22/OBR_MAR23_1.1!R22)</f>
        <v>88.914878215133044</v>
      </c>
      <c r="AA22" s="124">
        <f t="shared" si="0"/>
        <v>-0.79797034417690149</v>
      </c>
    </row>
    <row r="23" spans="1:27" ht="15.75">
      <c r="A23" s="110"/>
      <c r="B23" s="154" t="s">
        <v>129</v>
      </c>
      <c r="C23" s="122">
        <v>277.03300000000002</v>
      </c>
      <c r="D23" s="122">
        <v>88.126000000000005</v>
      </c>
      <c r="E23" s="122">
        <v>65.566000000000003</v>
      </c>
      <c r="F23" s="122">
        <v>10.958</v>
      </c>
      <c r="G23" s="122">
        <v>1.0349999999999999</v>
      </c>
      <c r="H23" s="122">
        <v>431.76</v>
      </c>
      <c r="I23" s="122">
        <v>4.9420000000000002</v>
      </c>
      <c r="J23" s="122">
        <v>436.702</v>
      </c>
      <c r="K23" s="122">
        <v>130.23599999999999</v>
      </c>
      <c r="L23" s="122">
        <v>566.93799999999999</v>
      </c>
      <c r="M23" s="122">
        <v>135.33699999999999</v>
      </c>
      <c r="N23" s="122">
        <v>0</v>
      </c>
      <c r="O23" s="122">
        <v>431.601</v>
      </c>
      <c r="P23" s="155">
        <v>428.17399999999998</v>
      </c>
      <c r="Q23" s="156"/>
      <c r="R23" s="157"/>
      <c r="S23" s="124">
        <f>100*(C23/OBR_MAR23_1.1!C23)</f>
        <v>91.22139792487809</v>
      </c>
      <c r="T23" s="124">
        <f>100*(D23/OBR_MAR23_1.1!D23)</f>
        <v>91.147540983606561</v>
      </c>
      <c r="U23" s="124">
        <f>100*(E23/OBR_MAR23_1.1!E23)</f>
        <v>86.74128168492355</v>
      </c>
      <c r="V23" s="124">
        <f>100*(K23/OBR_MAR23_1.1!N23)</f>
        <v>90.352568994463795</v>
      </c>
      <c r="W23" s="124">
        <f>100*(M23/OBR_MAR23_1.1!P23)</f>
        <v>94.751913073309382</v>
      </c>
      <c r="X23" s="124">
        <f>100*(O23/OBR_MAR23_1.1!R23)</f>
        <v>89.189792380035243</v>
      </c>
      <c r="AA23" s="124">
        <f t="shared" si="0"/>
        <v>0.17141839325489627</v>
      </c>
    </row>
    <row r="24" spans="1:27" ht="15.75">
      <c r="A24" s="110"/>
      <c r="B24" s="154" t="s">
        <v>130</v>
      </c>
      <c r="C24" s="122">
        <v>283.053</v>
      </c>
      <c r="D24" s="122">
        <v>90.055000000000007</v>
      </c>
      <c r="E24" s="122">
        <v>69.022999999999996</v>
      </c>
      <c r="F24" s="122">
        <v>11.172000000000001</v>
      </c>
      <c r="G24" s="122">
        <v>-0.44800000000000001</v>
      </c>
      <c r="H24" s="122">
        <v>441.68299999999999</v>
      </c>
      <c r="I24" s="122">
        <v>-4.0880000000000001</v>
      </c>
      <c r="J24" s="122">
        <v>437.59500000000003</v>
      </c>
      <c r="K24" s="122">
        <v>127.646</v>
      </c>
      <c r="L24" s="122">
        <v>565.24099999999999</v>
      </c>
      <c r="M24" s="122">
        <v>132.36000000000001</v>
      </c>
      <c r="N24" s="122">
        <v>0</v>
      </c>
      <c r="O24" s="122">
        <v>432.88099999999997</v>
      </c>
      <c r="P24" s="155">
        <v>426.48200000000003</v>
      </c>
      <c r="Q24" s="156"/>
      <c r="R24" s="157"/>
      <c r="S24" s="124">
        <f>100*(C24/OBR_MAR23_1.1!C24)</f>
        <v>92.035988112347425</v>
      </c>
      <c r="T24" s="124">
        <f>100*(D24/OBR_MAR23_1.1!D24)</f>
        <v>91.998937550440814</v>
      </c>
      <c r="U24" s="124">
        <f>100*(E24/OBR_MAR23_1.1!E24)</f>
        <v>86.839953197539089</v>
      </c>
      <c r="V24" s="124">
        <f>100*(K24/OBR_MAR23_1.1!N24)</f>
        <v>90.902357909429512</v>
      </c>
      <c r="W24" s="124">
        <f>100*(M24/OBR_MAR23_1.1!P24)</f>
        <v>94.932759548144162</v>
      </c>
      <c r="X24" s="124">
        <f>100*(O24/OBR_MAR23_1.1!R24)</f>
        <v>89.545159301810827</v>
      </c>
      <c r="AA24" s="124">
        <f t="shared" si="0"/>
        <v>0.93408616145485013</v>
      </c>
    </row>
    <row r="25" spans="1:27" ht="15.75">
      <c r="A25" s="110"/>
      <c r="B25" s="154" t="s">
        <v>131</v>
      </c>
      <c r="C25" s="122">
        <v>283.78199999999998</v>
      </c>
      <c r="D25" s="122">
        <v>89.429000000000002</v>
      </c>
      <c r="E25" s="122">
        <v>66.738</v>
      </c>
      <c r="F25" s="122">
        <v>10.564</v>
      </c>
      <c r="G25" s="122">
        <v>1.8979999999999999</v>
      </c>
      <c r="H25" s="122">
        <v>441.84699999999998</v>
      </c>
      <c r="I25" s="122">
        <v>-1.0329999999999999</v>
      </c>
      <c r="J25" s="122">
        <v>440.81400000000002</v>
      </c>
      <c r="K25" s="122">
        <v>133.92099999999999</v>
      </c>
      <c r="L25" s="122">
        <v>574.73500000000001</v>
      </c>
      <c r="M25" s="122">
        <v>136.71799999999999</v>
      </c>
      <c r="N25" s="122">
        <v>0</v>
      </c>
      <c r="O25" s="122">
        <v>438.017</v>
      </c>
      <c r="P25" s="155">
        <v>427.12799999999999</v>
      </c>
      <c r="Q25" s="156"/>
      <c r="R25" s="157"/>
      <c r="S25" s="124">
        <f>100*(C25/OBR_MAR23_1.1!C25)</f>
        <v>92.748308657711533</v>
      </c>
      <c r="T25" s="124">
        <f>100*(D25/OBR_MAR23_1.1!D25)</f>
        <v>91.742752210755256</v>
      </c>
      <c r="U25" s="124">
        <f>100*(E25/OBR_MAR23_1.1!E25)</f>
        <v>87.378564508104432</v>
      </c>
      <c r="V25" s="124">
        <f>100*(K25/OBR_MAR23_1.1!N25)</f>
        <v>93.306532523270718</v>
      </c>
      <c r="W25" s="124">
        <f>100*(M25/OBR_MAR23_1.1!P25)</f>
        <v>97.232060308655136</v>
      </c>
      <c r="X25" s="124">
        <f>100*(O25/OBR_MAR23_1.1!R25)</f>
        <v>90.395723911630256</v>
      </c>
      <c r="AA25" s="124">
        <f t="shared" si="0"/>
        <v>-0.27846554156681913</v>
      </c>
    </row>
    <row r="26" spans="1:27" ht="15.75">
      <c r="A26" s="110"/>
      <c r="B26" s="154" t="s">
        <v>132</v>
      </c>
      <c r="C26" s="122">
        <v>288.303</v>
      </c>
      <c r="D26" s="122">
        <v>89.088999999999999</v>
      </c>
      <c r="E26" s="122">
        <v>70.064999999999998</v>
      </c>
      <c r="F26" s="122">
        <v>11.101000000000001</v>
      </c>
      <c r="G26" s="122">
        <v>2.379</v>
      </c>
      <c r="H26" s="122">
        <v>449.83600000000001</v>
      </c>
      <c r="I26" s="122">
        <v>-0.309</v>
      </c>
      <c r="J26" s="122">
        <v>449.52699999999999</v>
      </c>
      <c r="K26" s="122">
        <v>135.101</v>
      </c>
      <c r="L26" s="122">
        <v>584.62800000000004</v>
      </c>
      <c r="M26" s="122">
        <v>142.09700000000001</v>
      </c>
      <c r="N26" s="122">
        <v>0</v>
      </c>
      <c r="O26" s="122">
        <v>442.53100000000001</v>
      </c>
      <c r="P26" s="155">
        <v>437.90499999999997</v>
      </c>
      <c r="Q26" s="156"/>
      <c r="R26" s="157"/>
      <c r="S26" s="124">
        <f>100*(C26/OBR_MAR23_1.1!C26)</f>
        <v>93.314021232522009</v>
      </c>
      <c r="T26" s="124">
        <f>100*(D26/OBR_MAR23_1.1!D26)</f>
        <v>92.10164480145562</v>
      </c>
      <c r="U26" s="124">
        <f>100*(E26/OBR_MAR23_1.1!E26)</f>
        <v>87.266001569330783</v>
      </c>
      <c r="V26" s="124">
        <f>100*(K26/OBR_MAR23_1.1!N26)</f>
        <v>93.101832390377027</v>
      </c>
      <c r="W26" s="124">
        <f>100*(M26/OBR_MAR23_1.1!P26)</f>
        <v>96.29125160940572</v>
      </c>
      <c r="X26" s="124">
        <f>100*(O26/OBR_MAR23_1.1!R26)</f>
        <v>90.711393987844488</v>
      </c>
      <c r="AA26" s="124">
        <f t="shared" si="0"/>
        <v>0.39119448899451736</v>
      </c>
    </row>
    <row r="27" spans="1:27" ht="15.75">
      <c r="A27" s="110"/>
      <c r="B27" s="154" t="s">
        <v>133</v>
      </c>
      <c r="C27" s="122">
        <v>292.07600000000002</v>
      </c>
      <c r="D27" s="122">
        <v>88.542000000000002</v>
      </c>
      <c r="E27" s="122">
        <v>72.599000000000004</v>
      </c>
      <c r="F27" s="122">
        <v>11.750999999999999</v>
      </c>
      <c r="G27" s="122">
        <v>-0.317</v>
      </c>
      <c r="H27" s="122">
        <v>452.9</v>
      </c>
      <c r="I27" s="122">
        <v>3.0950000000000002</v>
      </c>
      <c r="J27" s="122">
        <v>455.995</v>
      </c>
      <c r="K27" s="122">
        <v>135.6</v>
      </c>
      <c r="L27" s="122">
        <v>591.59500000000003</v>
      </c>
      <c r="M27" s="122">
        <v>142.05600000000001</v>
      </c>
      <c r="N27" s="122">
        <v>0</v>
      </c>
      <c r="O27" s="122">
        <v>449.53899999999999</v>
      </c>
      <c r="P27" s="155">
        <v>441.47399999999999</v>
      </c>
      <c r="Q27" s="156"/>
      <c r="R27" s="157"/>
      <c r="S27" s="124">
        <f>100*(C27/OBR_MAR23_1.1!C27)</f>
        <v>93.448471139294782</v>
      </c>
      <c r="T27" s="124">
        <f>100*(D27/OBR_MAR23_1.1!D27)</f>
        <v>91.57401565845133</v>
      </c>
      <c r="U27" s="124">
        <f>100*(E27/OBR_MAR23_1.1!E27)</f>
        <v>88.272700744127235</v>
      </c>
      <c r="V27" s="124">
        <f>100*(K27/OBR_MAR23_1.1!N27)</f>
        <v>93.661285977745095</v>
      </c>
      <c r="W27" s="124">
        <f>100*(M27/OBR_MAR23_1.1!P27)</f>
        <v>96.352919631290163</v>
      </c>
      <c r="X27" s="124">
        <f>100*(O27/OBR_MAR23_1.1!R27)</f>
        <v>91.462851399494198</v>
      </c>
      <c r="AA27" s="124">
        <f t="shared" si="0"/>
        <v>-0.57287700359934801</v>
      </c>
    </row>
    <row r="28" spans="1:27" ht="15.75">
      <c r="A28" s="110"/>
      <c r="B28" s="154" t="s">
        <v>134</v>
      </c>
      <c r="C28" s="122">
        <v>293.32499999999999</v>
      </c>
      <c r="D28" s="122">
        <v>91.805999999999997</v>
      </c>
      <c r="E28" s="122">
        <v>73.591999999999999</v>
      </c>
      <c r="F28" s="122">
        <v>12.243</v>
      </c>
      <c r="G28" s="122">
        <v>3.2549999999999999</v>
      </c>
      <c r="H28" s="122">
        <v>461.97800000000001</v>
      </c>
      <c r="I28" s="122">
        <v>1.734</v>
      </c>
      <c r="J28" s="122">
        <v>463.71199999999999</v>
      </c>
      <c r="K28" s="122">
        <v>130.94399999999999</v>
      </c>
      <c r="L28" s="122">
        <v>594.65599999999995</v>
      </c>
      <c r="M28" s="122">
        <v>142.447</v>
      </c>
      <c r="N28" s="122">
        <v>0</v>
      </c>
      <c r="O28" s="122">
        <v>452.209</v>
      </c>
      <c r="P28" s="155">
        <v>444.16800000000001</v>
      </c>
      <c r="Q28" s="156"/>
      <c r="R28" s="157"/>
      <c r="S28" s="124">
        <f>100*(C28/OBR_MAR23_1.1!C28)</f>
        <v>93.586385346508109</v>
      </c>
      <c r="T28" s="124">
        <f>100*(D28/OBR_MAR23_1.1!D28)</f>
        <v>93.273187235209846</v>
      </c>
      <c r="U28" s="124">
        <f>100*(E28/OBR_MAR23_1.1!E28)</f>
        <v>88.799864855081211</v>
      </c>
      <c r="V28" s="124">
        <f>100*(K28/OBR_MAR23_1.1!N28)</f>
        <v>92.494825844641127</v>
      </c>
      <c r="W28" s="124">
        <f>100*(M28/OBR_MAR23_1.1!P28)</f>
        <v>94.430191781185172</v>
      </c>
      <c r="X28" s="124">
        <f>100*(O28/OBR_MAR23_1.1!R28)</f>
        <v>91.418515418733747</v>
      </c>
      <c r="AA28" s="124">
        <f t="shared" si="0"/>
        <v>1.8555171623094502</v>
      </c>
    </row>
    <row r="29" spans="1:27" ht="15.75">
      <c r="A29" s="110"/>
      <c r="B29" s="154" t="s">
        <v>135</v>
      </c>
      <c r="C29" s="122">
        <v>295.66000000000003</v>
      </c>
      <c r="D29" s="122">
        <v>92.988</v>
      </c>
      <c r="E29" s="122">
        <v>75.662000000000006</v>
      </c>
      <c r="F29" s="122">
        <v>13.555999999999999</v>
      </c>
      <c r="G29" s="122">
        <v>2.3530000000000002</v>
      </c>
      <c r="H29" s="122">
        <v>466.66300000000001</v>
      </c>
      <c r="I29" s="122">
        <v>-0.318</v>
      </c>
      <c r="J29" s="122">
        <v>466.34500000000003</v>
      </c>
      <c r="K29" s="122">
        <v>130.69300000000001</v>
      </c>
      <c r="L29" s="122">
        <v>597.03700000000003</v>
      </c>
      <c r="M29" s="122">
        <v>138.20400000000001</v>
      </c>
      <c r="N29" s="122">
        <v>0</v>
      </c>
      <c r="O29" s="122">
        <v>458.83300000000003</v>
      </c>
      <c r="P29" s="155">
        <v>452.95600000000002</v>
      </c>
      <c r="Q29" s="156"/>
      <c r="R29" s="157"/>
      <c r="S29" s="124">
        <f>100*(C29/OBR_MAR23_1.1!C29)</f>
        <v>93.84720864387198</v>
      </c>
      <c r="T29" s="124">
        <f>100*(D29/OBR_MAR23_1.1!D29)</f>
        <v>93.885545818020276</v>
      </c>
      <c r="U29" s="124">
        <f>100*(E29/OBR_MAR23_1.1!E29)</f>
        <v>89.021448825197382</v>
      </c>
      <c r="V29" s="124">
        <f>100*(K29/OBR_MAR23_1.1!N29)</f>
        <v>91.709880918130338</v>
      </c>
      <c r="W29" s="124">
        <f>100*(M29/OBR_MAR23_1.1!P29)</f>
        <v>93.13126276137659</v>
      </c>
      <c r="X29" s="124">
        <f>100*(O29/OBR_MAR23_1.1!R29)</f>
        <v>91.896357657011706</v>
      </c>
      <c r="AA29" s="124">
        <f t="shared" si="0"/>
        <v>0.65652155883364482</v>
      </c>
    </row>
    <row r="30" spans="1:27" ht="15.75">
      <c r="A30" s="110"/>
      <c r="B30" s="154" t="s">
        <v>136</v>
      </c>
      <c r="C30" s="122">
        <v>299.71199999999999</v>
      </c>
      <c r="D30" s="122">
        <v>90.849000000000004</v>
      </c>
      <c r="E30" s="122">
        <v>75.52</v>
      </c>
      <c r="F30" s="122">
        <v>11.678000000000001</v>
      </c>
      <c r="G30" s="122">
        <v>-3.3460000000000001</v>
      </c>
      <c r="H30" s="122">
        <v>462.73500000000001</v>
      </c>
      <c r="I30" s="122">
        <v>4.4720000000000004</v>
      </c>
      <c r="J30" s="122">
        <v>467.20699999999999</v>
      </c>
      <c r="K30" s="122">
        <v>132.85</v>
      </c>
      <c r="L30" s="122">
        <v>600.05600000000004</v>
      </c>
      <c r="M30" s="122">
        <v>138.80099999999999</v>
      </c>
      <c r="N30" s="122">
        <v>0</v>
      </c>
      <c r="O30" s="122">
        <v>461.255</v>
      </c>
      <c r="P30" s="155">
        <v>454.37900000000002</v>
      </c>
      <c r="Q30" s="156"/>
      <c r="R30" s="157"/>
      <c r="S30" s="124">
        <f>100*(C30/OBR_MAR23_1.1!C30)</f>
        <v>94.418891843189641</v>
      </c>
      <c r="T30" s="124">
        <f>100*(D30/OBR_MAR23_1.1!D30)</f>
        <v>91.245003314384434</v>
      </c>
      <c r="U30" s="124">
        <f>100*(E30/OBR_MAR23_1.1!E30)</f>
        <v>89.288247812721679</v>
      </c>
      <c r="V30" s="124">
        <f>100*(K30/OBR_MAR23_1.1!N30)</f>
        <v>91.534836291478342</v>
      </c>
      <c r="W30" s="124">
        <f>100*(M30/OBR_MAR23_1.1!P30)</f>
        <v>92.987157413796567</v>
      </c>
      <c r="X30" s="124">
        <f>100*(O30/OBR_MAR23_1.1!R30)</f>
        <v>91.580811620560738</v>
      </c>
      <c r="AA30" s="124">
        <f t="shared" si="0"/>
        <v>-2.8125122782521217</v>
      </c>
    </row>
    <row r="31" spans="1:27" ht="15.75">
      <c r="A31" s="110"/>
      <c r="B31" s="154" t="s">
        <v>137</v>
      </c>
      <c r="C31" s="122">
        <v>303.26100000000002</v>
      </c>
      <c r="D31" s="122">
        <v>93.281000000000006</v>
      </c>
      <c r="E31" s="122">
        <v>77.453000000000003</v>
      </c>
      <c r="F31" s="122">
        <v>12.571999999999999</v>
      </c>
      <c r="G31" s="122">
        <v>2.0640000000000001</v>
      </c>
      <c r="H31" s="122">
        <v>476.05900000000003</v>
      </c>
      <c r="I31" s="122">
        <v>4.4290000000000003</v>
      </c>
      <c r="J31" s="122">
        <v>480.488</v>
      </c>
      <c r="K31" s="122">
        <v>131.501</v>
      </c>
      <c r="L31" s="122">
        <v>611.98900000000003</v>
      </c>
      <c r="M31" s="122">
        <v>142.01400000000001</v>
      </c>
      <c r="N31" s="122">
        <v>0</v>
      </c>
      <c r="O31" s="122">
        <v>469.97500000000002</v>
      </c>
      <c r="P31" s="155">
        <v>460.27699999999999</v>
      </c>
      <c r="Q31" s="156"/>
      <c r="R31" s="157"/>
      <c r="S31" s="124">
        <f>100*(C31/OBR_MAR23_1.1!C31)</f>
        <v>94.309891217136581</v>
      </c>
      <c r="T31" s="124">
        <f>100*(D31/OBR_MAR23_1.1!D31)</f>
        <v>93.539168103966958</v>
      </c>
      <c r="U31" s="124">
        <f>100*(E31/OBR_MAR23_1.1!E31)</f>
        <v>89.726717716430542</v>
      </c>
      <c r="V31" s="124">
        <f>100*(K31/OBR_MAR23_1.1!N31)</f>
        <v>90.784886329902179</v>
      </c>
      <c r="W31" s="124">
        <f>100*(M31/OBR_MAR23_1.1!P31)</f>
        <v>92.094290068415418</v>
      </c>
      <c r="X31" s="124">
        <f>100*(O31/OBR_MAR23_1.1!R31)</f>
        <v>92.608648531483695</v>
      </c>
      <c r="AA31" s="124">
        <f t="shared" si="0"/>
        <v>2.5142908721017765</v>
      </c>
    </row>
    <row r="32" spans="1:27" ht="15.75">
      <c r="A32" s="110"/>
      <c r="B32" s="154" t="s">
        <v>138</v>
      </c>
      <c r="C32" s="122">
        <v>304.572</v>
      </c>
      <c r="D32" s="122">
        <v>93.218000000000004</v>
      </c>
      <c r="E32" s="122">
        <v>79.076999999999998</v>
      </c>
      <c r="F32" s="122">
        <v>13.096</v>
      </c>
      <c r="G32" s="122">
        <v>5.0339999999999998</v>
      </c>
      <c r="H32" s="122">
        <v>481.90100000000001</v>
      </c>
      <c r="I32" s="122">
        <v>5.5860000000000003</v>
      </c>
      <c r="J32" s="122">
        <v>487.48700000000002</v>
      </c>
      <c r="K32" s="122">
        <v>133.81200000000001</v>
      </c>
      <c r="L32" s="122">
        <v>621.29899999999998</v>
      </c>
      <c r="M32" s="122">
        <v>148.535</v>
      </c>
      <c r="N32" s="122">
        <v>0</v>
      </c>
      <c r="O32" s="122">
        <v>472.76400000000001</v>
      </c>
      <c r="P32" s="155">
        <v>461.91399999999999</v>
      </c>
      <c r="Q32" s="156"/>
      <c r="R32" s="157"/>
      <c r="S32" s="124">
        <f>100*(C32/OBR_MAR23_1.1!C32)</f>
        <v>94.406387740299678</v>
      </c>
      <c r="T32" s="124">
        <f>100*(D32/OBR_MAR23_1.1!D32)</f>
        <v>93.784458127087618</v>
      </c>
      <c r="U32" s="124">
        <f>100*(E32/OBR_MAR23_1.1!E32)</f>
        <v>90.618124312431249</v>
      </c>
      <c r="V32" s="124">
        <f>100*(K32/OBR_MAR23_1.1!N32)</f>
        <v>89.812136303535112</v>
      </c>
      <c r="W32" s="124">
        <f>100*(M32/OBR_MAR23_1.1!P32)</f>
        <v>90.854874423498046</v>
      </c>
      <c r="X32" s="124">
        <f>100*(O32/OBR_MAR23_1.1!R32)</f>
        <v>92.555996922396233</v>
      </c>
      <c r="AA32" s="124">
        <f t="shared" si="0"/>
        <v>0.26223241888150284</v>
      </c>
    </row>
    <row r="33" spans="1:27" ht="15.75">
      <c r="A33" s="110"/>
      <c r="B33" s="154" t="s">
        <v>139</v>
      </c>
      <c r="C33" s="122">
        <v>305.05</v>
      </c>
      <c r="D33" s="122">
        <v>93.658000000000001</v>
      </c>
      <c r="E33" s="122">
        <v>81.869</v>
      </c>
      <c r="F33" s="122">
        <v>13.423999999999999</v>
      </c>
      <c r="G33" s="122">
        <v>3.085</v>
      </c>
      <c r="H33" s="122">
        <v>483.66199999999998</v>
      </c>
      <c r="I33" s="122">
        <v>4.4489999999999998</v>
      </c>
      <c r="J33" s="122">
        <v>488.11099999999999</v>
      </c>
      <c r="K33" s="122">
        <v>131.97300000000001</v>
      </c>
      <c r="L33" s="122">
        <v>620.08500000000004</v>
      </c>
      <c r="M33" s="122">
        <v>144.285</v>
      </c>
      <c r="N33" s="122">
        <v>0</v>
      </c>
      <c r="O33" s="122">
        <v>475.8</v>
      </c>
      <c r="P33" s="155">
        <v>465.79599999999999</v>
      </c>
      <c r="Q33" s="156"/>
      <c r="R33" s="157"/>
      <c r="S33" s="124">
        <f>100*(C33/OBR_MAR23_1.1!C33)</f>
        <v>93.659522076996993</v>
      </c>
      <c r="T33" s="124">
        <f>100*(D33/OBR_MAR23_1.1!D33)</f>
        <v>94.11445510727026</v>
      </c>
      <c r="U33" s="124">
        <f>100*(E33/OBR_MAR23_1.1!E33)</f>
        <v>89.979777108566154</v>
      </c>
      <c r="V33" s="124">
        <f>100*(K33/OBR_MAR23_1.1!N33)</f>
        <v>88.665909716950082</v>
      </c>
      <c r="W33" s="124">
        <f>100*(M33/OBR_MAR23_1.1!P33)</f>
        <v>88.505916343092693</v>
      </c>
      <c r="X33" s="124">
        <f>100*(O33/OBR_MAR23_1.1!R33)</f>
        <v>92.767525516918667</v>
      </c>
      <c r="AA33" s="124">
        <f t="shared" si="0"/>
        <v>0.35186744879995846</v>
      </c>
    </row>
    <row r="34" spans="1:27" ht="15.75">
      <c r="A34" s="110"/>
      <c r="B34" s="154" t="s">
        <v>140</v>
      </c>
      <c r="C34" s="122">
        <v>307.79700000000003</v>
      </c>
      <c r="D34" s="122">
        <v>92.703999999999994</v>
      </c>
      <c r="E34" s="122">
        <v>82.808999999999997</v>
      </c>
      <c r="F34" s="122">
        <v>13.079000000000001</v>
      </c>
      <c r="G34" s="122">
        <v>-0.48499999999999999</v>
      </c>
      <c r="H34" s="122">
        <v>482.82499999999999</v>
      </c>
      <c r="I34" s="122">
        <v>-1.982</v>
      </c>
      <c r="J34" s="122">
        <v>480.84300000000002</v>
      </c>
      <c r="K34" s="122">
        <v>135.55199999999999</v>
      </c>
      <c r="L34" s="122">
        <v>616.39599999999996</v>
      </c>
      <c r="M34" s="122">
        <v>139.62299999999999</v>
      </c>
      <c r="N34" s="122">
        <v>0</v>
      </c>
      <c r="O34" s="122">
        <v>476.77300000000002</v>
      </c>
      <c r="P34" s="155">
        <v>471.14299999999997</v>
      </c>
      <c r="Q34" s="156"/>
      <c r="R34" s="157"/>
      <c r="S34" s="124">
        <f>100*(C34/OBR_MAR23_1.1!C34)</f>
        <v>93.869739980115767</v>
      </c>
      <c r="T34" s="124">
        <f>100*(D34/OBR_MAR23_1.1!D34)</f>
        <v>92.128198757763968</v>
      </c>
      <c r="U34" s="124">
        <f>100*(E34/OBR_MAR23_1.1!E34)</f>
        <v>90.873076838662953</v>
      </c>
      <c r="V34" s="124">
        <f>100*(K34/OBR_MAR23_1.1!N34)</f>
        <v>88.219559657149546</v>
      </c>
      <c r="W34" s="124">
        <f>100*(M34/OBR_MAR23_1.1!P34)</f>
        <v>87.860729702858151</v>
      </c>
      <c r="X34" s="124">
        <f>100*(O34/OBR_MAR23_1.1!R34)</f>
        <v>92.3726268597147</v>
      </c>
      <c r="AA34" s="124">
        <f t="shared" si="0"/>
        <v>-2.1104689468184112</v>
      </c>
    </row>
    <row r="35" spans="1:27" ht="15.75">
      <c r="A35" s="110"/>
      <c r="B35" s="154" t="s">
        <v>141</v>
      </c>
      <c r="C35" s="122">
        <v>311.96499999999997</v>
      </c>
      <c r="D35" s="122">
        <v>94.433000000000007</v>
      </c>
      <c r="E35" s="122">
        <v>82.436999999999998</v>
      </c>
      <c r="F35" s="122">
        <v>12.364000000000001</v>
      </c>
      <c r="G35" s="122">
        <v>0.47699999999999998</v>
      </c>
      <c r="H35" s="122">
        <v>489.31200000000001</v>
      </c>
      <c r="I35" s="122">
        <v>-4.9000000000000002E-2</v>
      </c>
      <c r="J35" s="122">
        <v>489.26299999999998</v>
      </c>
      <c r="K35" s="122">
        <v>129.20400000000001</v>
      </c>
      <c r="L35" s="122">
        <v>618.46699999999998</v>
      </c>
      <c r="M35" s="122">
        <v>137.46</v>
      </c>
      <c r="N35" s="122">
        <v>0</v>
      </c>
      <c r="O35" s="122">
        <v>481.00700000000001</v>
      </c>
      <c r="P35" s="155">
        <v>472.60300000000001</v>
      </c>
      <c r="Q35" s="156"/>
      <c r="R35" s="157"/>
      <c r="S35" s="124">
        <f>100*(C35/OBR_MAR23_1.1!C35)</f>
        <v>93.916988539035614</v>
      </c>
      <c r="T35" s="124">
        <f>100*(D35/OBR_MAR23_1.1!D35)</f>
        <v>93.219284910465745</v>
      </c>
      <c r="U35" s="124">
        <f>100*(E35/OBR_MAR23_1.1!E35)</f>
        <v>91.151039363113668</v>
      </c>
      <c r="V35" s="124">
        <f>100*(K35/OBR_MAR23_1.1!N35)</f>
        <v>86.793314703353403</v>
      </c>
      <c r="W35" s="124">
        <f>100*(M35/OBR_MAR23_1.1!P35)</f>
        <v>86.52901926224348</v>
      </c>
      <c r="X35" s="124">
        <f>100*(O35/OBR_MAR23_1.1!R35)</f>
        <v>92.793109102659315</v>
      </c>
      <c r="AA35" s="124">
        <f t="shared" si="0"/>
        <v>1.1843129111539508</v>
      </c>
    </row>
    <row r="36" spans="1:27" ht="15.75">
      <c r="A36" s="110"/>
      <c r="B36" s="154" t="s">
        <v>142</v>
      </c>
      <c r="C36" s="122">
        <v>311.95999999999998</v>
      </c>
      <c r="D36" s="122">
        <v>93.912000000000006</v>
      </c>
      <c r="E36" s="122">
        <v>85.016999999999996</v>
      </c>
      <c r="F36" s="122">
        <v>12.29</v>
      </c>
      <c r="G36" s="122">
        <v>-2.2000000000000002</v>
      </c>
      <c r="H36" s="122">
        <v>488.68900000000002</v>
      </c>
      <c r="I36" s="122">
        <v>5.8319999999999999</v>
      </c>
      <c r="J36" s="122">
        <v>494.52100000000002</v>
      </c>
      <c r="K36" s="122">
        <v>134.04900000000001</v>
      </c>
      <c r="L36" s="122">
        <v>628.57000000000005</v>
      </c>
      <c r="M36" s="122">
        <v>141.15199999999999</v>
      </c>
      <c r="N36" s="122">
        <v>0</v>
      </c>
      <c r="O36" s="122">
        <v>487.41800000000001</v>
      </c>
      <c r="P36" s="155">
        <v>469.69</v>
      </c>
      <c r="Q36" s="156"/>
      <c r="R36" s="157"/>
      <c r="S36" s="124">
        <f>100*(C36/OBR_MAR23_1.1!C36)</f>
        <v>94.29274396841997</v>
      </c>
      <c r="T36" s="124">
        <f>100*(D36/OBR_MAR23_1.1!D36)</f>
        <v>92.959168522642912</v>
      </c>
      <c r="U36" s="124">
        <f>100*(E36/OBR_MAR23_1.1!E36)</f>
        <v>91.39942161110335</v>
      </c>
      <c r="V36" s="124">
        <f>100*(K36/OBR_MAR23_1.1!N36)</f>
        <v>87.436566434022566</v>
      </c>
      <c r="W36" s="124">
        <f>100*(M36/OBR_MAR23_1.1!P36)</f>
        <v>85.525414896904394</v>
      </c>
      <c r="X36" s="124">
        <f>100*(O36/OBR_MAR23_1.1!R36)</f>
        <v>93.340406055986875</v>
      </c>
      <c r="AA36" s="124">
        <f t="shared" si="0"/>
        <v>-0.27903709846376357</v>
      </c>
    </row>
    <row r="37" spans="1:27" ht="15.75">
      <c r="A37" s="110"/>
      <c r="B37" s="154" t="s">
        <v>143</v>
      </c>
      <c r="C37" s="122">
        <v>318.10000000000002</v>
      </c>
      <c r="D37" s="122">
        <v>95.373000000000005</v>
      </c>
      <c r="E37" s="122">
        <v>86.406000000000006</v>
      </c>
      <c r="F37" s="122">
        <v>12.387</v>
      </c>
      <c r="G37" s="122">
        <v>0.86199999999999999</v>
      </c>
      <c r="H37" s="122">
        <v>500.74099999999999</v>
      </c>
      <c r="I37" s="122">
        <v>-0.67900000000000005</v>
      </c>
      <c r="J37" s="122">
        <v>500.06200000000001</v>
      </c>
      <c r="K37" s="122">
        <v>135.37</v>
      </c>
      <c r="L37" s="122">
        <v>635.43100000000004</v>
      </c>
      <c r="M37" s="122">
        <v>143.04</v>
      </c>
      <c r="N37" s="122">
        <v>0</v>
      </c>
      <c r="O37" s="122">
        <v>492.39100000000002</v>
      </c>
      <c r="P37" s="155">
        <v>477.62700000000001</v>
      </c>
      <c r="Q37" s="156"/>
      <c r="R37" s="157"/>
      <c r="S37" s="124">
        <f>100*(C37/OBR_MAR23_1.1!C37)</f>
        <v>94.204121763491685</v>
      </c>
      <c r="T37" s="124">
        <f>100*(D37/OBR_MAR23_1.1!D37)</f>
        <v>94.121188196980171</v>
      </c>
      <c r="U37" s="124">
        <f>100*(E37/OBR_MAR23_1.1!E37)</f>
        <v>91.385601421455092</v>
      </c>
      <c r="V37" s="124">
        <f>100*(K37/OBR_MAR23_1.1!N37)</f>
        <v>88.257921502151532</v>
      </c>
      <c r="W37" s="124">
        <f>100*(M37/OBR_MAR23_1.1!P37)</f>
        <v>86.853034755786553</v>
      </c>
      <c r="X37" s="124">
        <f>100*(O37/OBR_MAR23_1.1!R37)</f>
        <v>93.949460219575585</v>
      </c>
      <c r="AA37" s="124">
        <f t="shared" si="0"/>
        <v>1.2500323451733797</v>
      </c>
    </row>
    <row r="38" spans="1:27" ht="15.75">
      <c r="A38" s="110"/>
      <c r="B38" s="154" t="s">
        <v>144</v>
      </c>
      <c r="C38" s="122">
        <v>322.41199999999998</v>
      </c>
      <c r="D38" s="122">
        <v>95.040999999999997</v>
      </c>
      <c r="E38" s="122">
        <v>88.025999999999996</v>
      </c>
      <c r="F38" s="122">
        <v>13.12</v>
      </c>
      <c r="G38" s="122">
        <v>-0.82799999999999996</v>
      </c>
      <c r="H38" s="122">
        <v>504.65100000000001</v>
      </c>
      <c r="I38" s="122">
        <v>-1.5569999999999999</v>
      </c>
      <c r="J38" s="122">
        <v>503.09399999999999</v>
      </c>
      <c r="K38" s="122">
        <v>141.15</v>
      </c>
      <c r="L38" s="122">
        <v>644.24300000000005</v>
      </c>
      <c r="M38" s="122">
        <v>148.41200000000001</v>
      </c>
      <c r="N38" s="122">
        <v>0</v>
      </c>
      <c r="O38" s="122">
        <v>495.83100000000002</v>
      </c>
      <c r="P38" s="155">
        <v>481.76100000000002</v>
      </c>
      <c r="Q38" s="156"/>
      <c r="R38" s="157"/>
      <c r="S38" s="124">
        <f>100*(C38/OBR_MAR23_1.1!C38)</f>
        <v>94.645562039852976</v>
      </c>
      <c r="T38" s="124">
        <f>100*(D38/OBR_MAR23_1.1!D38)</f>
        <v>93.821322803553798</v>
      </c>
      <c r="U38" s="124">
        <f>100*(E38/OBR_MAR23_1.1!E38)</f>
        <v>92.006187678993228</v>
      </c>
      <c r="V38" s="124">
        <f>100*(K38/OBR_MAR23_1.1!N38)</f>
        <v>89.51901367360918</v>
      </c>
      <c r="W38" s="124">
        <f>100*(M38/OBR_MAR23_1.1!P38)</f>
        <v>89.262322196493557</v>
      </c>
      <c r="X38" s="124">
        <f>100*(O38/OBR_MAR23_1.1!R38)</f>
        <v>94.014042445880847</v>
      </c>
      <c r="AA38" s="124">
        <f t="shared" si="0"/>
        <v>-0.31859499350858078</v>
      </c>
    </row>
    <row r="39" spans="1:27" ht="15.75">
      <c r="A39" s="110"/>
      <c r="B39" s="154" t="s">
        <v>145</v>
      </c>
      <c r="C39" s="122">
        <v>327.33800000000002</v>
      </c>
      <c r="D39" s="122">
        <v>95.745000000000005</v>
      </c>
      <c r="E39" s="122">
        <v>90.263000000000005</v>
      </c>
      <c r="F39" s="122">
        <v>13.458</v>
      </c>
      <c r="G39" s="122">
        <v>2.819</v>
      </c>
      <c r="H39" s="122">
        <v>516.16499999999996</v>
      </c>
      <c r="I39" s="122">
        <v>3.351</v>
      </c>
      <c r="J39" s="122">
        <v>519.51599999999996</v>
      </c>
      <c r="K39" s="122">
        <v>143.381</v>
      </c>
      <c r="L39" s="122">
        <v>662.89700000000005</v>
      </c>
      <c r="M39" s="122">
        <v>160.45099999999999</v>
      </c>
      <c r="N39" s="122">
        <v>0</v>
      </c>
      <c r="O39" s="122">
        <v>502.44600000000003</v>
      </c>
      <c r="P39" s="155">
        <v>492.20800000000003</v>
      </c>
      <c r="Q39" s="156"/>
      <c r="R39" s="157"/>
      <c r="S39" s="124">
        <f>100*(C39/OBR_MAR23_1.1!C39)</f>
        <v>95.398774794098969</v>
      </c>
      <c r="T39" s="124">
        <f>100*(D39/OBR_MAR23_1.1!D39)</f>
        <v>94.265966978113397</v>
      </c>
      <c r="U39" s="124">
        <f>100*(E39/OBR_MAR23_1.1!E39)</f>
        <v>92.674387564426382</v>
      </c>
      <c r="V39" s="124">
        <f>100*(K39/OBR_MAR23_1.1!N39)</f>
        <v>93.541273869559831</v>
      </c>
      <c r="W39" s="124">
        <f>100*(M39/OBR_MAR23_1.1!P39)</f>
        <v>93.085223646806284</v>
      </c>
      <c r="X39" s="124">
        <f>100*(O39/OBR_MAR23_1.1!R39)</f>
        <v>94.849451607422651</v>
      </c>
      <c r="AA39" s="124">
        <f t="shared" si="0"/>
        <v>0.47392656730134153</v>
      </c>
    </row>
    <row r="40" spans="1:27" ht="15.75">
      <c r="A40" s="110"/>
      <c r="B40" s="154" t="s">
        <v>146</v>
      </c>
      <c r="C40" s="122">
        <v>329.46300000000002</v>
      </c>
      <c r="D40" s="122">
        <v>96.406999999999996</v>
      </c>
      <c r="E40" s="122">
        <v>89.988</v>
      </c>
      <c r="F40" s="122">
        <v>13.384</v>
      </c>
      <c r="G40" s="122">
        <v>-1.349</v>
      </c>
      <c r="H40" s="122">
        <v>514.50900000000001</v>
      </c>
      <c r="I40" s="122">
        <v>1.377</v>
      </c>
      <c r="J40" s="122">
        <v>515.88599999999997</v>
      </c>
      <c r="K40" s="122">
        <v>152.95400000000001</v>
      </c>
      <c r="L40" s="122">
        <v>668.84</v>
      </c>
      <c r="M40" s="122">
        <v>160.047</v>
      </c>
      <c r="N40" s="122">
        <v>0</v>
      </c>
      <c r="O40" s="122">
        <v>508.79300000000001</v>
      </c>
      <c r="P40" s="155">
        <v>501.11700000000002</v>
      </c>
      <c r="Q40" s="156"/>
      <c r="R40" s="157"/>
      <c r="S40" s="124">
        <f>100*(C40/OBR_MAR23_1.1!C40)</f>
        <v>96.104066577406741</v>
      </c>
      <c r="T40" s="124">
        <f>100*(D40/OBR_MAR23_1.1!D40)</f>
        <v>95.090941371419547</v>
      </c>
      <c r="U40" s="124">
        <f>100*(E40/OBR_MAR23_1.1!E40)</f>
        <v>93.907707720242954</v>
      </c>
      <c r="V40" s="124">
        <f>100*(K40/OBR_MAR23_1.1!N40)</f>
        <v>95.717691821498533</v>
      </c>
      <c r="W40" s="124">
        <f>100*(M40/OBR_MAR23_1.1!P40)</f>
        <v>95.149400140304152</v>
      </c>
      <c r="X40" s="124">
        <f>100*(O40/OBR_MAR23_1.1!R40)</f>
        <v>95.42737535471602</v>
      </c>
      <c r="AA40" s="124">
        <f t="shared" si="0"/>
        <v>0.8751561350849979</v>
      </c>
    </row>
    <row r="41" spans="1:27" ht="15.75">
      <c r="A41" s="110"/>
      <c r="B41" s="154" t="s">
        <v>147</v>
      </c>
      <c r="C41" s="122">
        <v>331.755</v>
      </c>
      <c r="D41" s="122">
        <v>97.051000000000002</v>
      </c>
      <c r="E41" s="122">
        <v>92.105000000000004</v>
      </c>
      <c r="F41" s="122">
        <v>13.18</v>
      </c>
      <c r="G41" s="122">
        <v>-0.81200000000000006</v>
      </c>
      <c r="H41" s="122">
        <v>520.09900000000005</v>
      </c>
      <c r="I41" s="122">
        <v>1.6020000000000001</v>
      </c>
      <c r="J41" s="122">
        <v>521.70100000000002</v>
      </c>
      <c r="K41" s="122">
        <v>155.76599999999999</v>
      </c>
      <c r="L41" s="122">
        <v>677.46600000000001</v>
      </c>
      <c r="M41" s="122">
        <v>162.85</v>
      </c>
      <c r="N41" s="122">
        <v>0</v>
      </c>
      <c r="O41" s="122">
        <v>514.61599999999999</v>
      </c>
      <c r="P41" s="155">
        <v>510.161</v>
      </c>
      <c r="Q41" s="156"/>
      <c r="R41" s="157"/>
      <c r="S41" s="124">
        <f>100*(C41/OBR_MAR23_1.1!C41)</f>
        <v>95.948115049238652</v>
      </c>
      <c r="T41" s="124">
        <f>100*(D41/OBR_MAR23_1.1!D41)</f>
        <v>95.730871284980125</v>
      </c>
      <c r="U41" s="124">
        <f>100*(E41/OBR_MAR23_1.1!E41)</f>
        <v>94.225063938618931</v>
      </c>
      <c r="V41" s="124">
        <f>100*(K41/OBR_MAR23_1.1!N41)</f>
        <v>96.162536578138301</v>
      </c>
      <c r="W41" s="124">
        <f>100*(M41/OBR_MAR23_1.1!P41)</f>
        <v>96.237375677384648</v>
      </c>
      <c r="X41" s="124">
        <f>100*(O41/OBR_MAR23_1.1!R41)</f>
        <v>95.811317522909462</v>
      </c>
      <c r="AA41" s="124">
        <f t="shared" si="0"/>
        <v>0.67296621984322957</v>
      </c>
    </row>
    <row r="42" spans="1:27" ht="15.75">
      <c r="A42" s="110"/>
      <c r="B42" s="154" t="s">
        <v>148</v>
      </c>
      <c r="C42" s="122">
        <v>333.91899999999998</v>
      </c>
      <c r="D42" s="122">
        <v>96.105000000000004</v>
      </c>
      <c r="E42" s="122">
        <v>94.546999999999997</v>
      </c>
      <c r="F42" s="122">
        <v>14.162000000000001</v>
      </c>
      <c r="G42" s="122">
        <v>0.34899999999999998</v>
      </c>
      <c r="H42" s="122">
        <v>524.91999999999996</v>
      </c>
      <c r="I42" s="122">
        <v>2.48</v>
      </c>
      <c r="J42" s="122">
        <v>527.4</v>
      </c>
      <c r="K42" s="122">
        <v>159.047</v>
      </c>
      <c r="L42" s="122">
        <v>686.44600000000003</v>
      </c>
      <c r="M42" s="122">
        <v>168.22900000000001</v>
      </c>
      <c r="N42" s="122">
        <v>0</v>
      </c>
      <c r="O42" s="122">
        <v>518.21699999999998</v>
      </c>
      <c r="P42" s="155">
        <v>509.96199999999999</v>
      </c>
      <c r="Q42" s="156"/>
      <c r="R42" s="157"/>
      <c r="S42" s="124">
        <f>100*(C42/OBR_MAR23_1.1!C42)</f>
        <v>96.53014263331039</v>
      </c>
      <c r="T42" s="124">
        <f>100*(D42/OBR_MAR23_1.1!D42)</f>
        <v>94.385299836970404</v>
      </c>
      <c r="U42" s="124">
        <f>100*(E42/OBR_MAR23_1.1!E42)</f>
        <v>95.159829300696487</v>
      </c>
      <c r="V42" s="124">
        <f>100*(K42/OBR_MAR23_1.1!N42)</f>
        <v>95.675425298972556</v>
      </c>
      <c r="W42" s="124">
        <f>100*(M42/OBR_MAR23_1.1!P42)</f>
        <v>96.201771591630404</v>
      </c>
      <c r="X42" s="124">
        <f>100*(O42/OBR_MAR23_1.1!R42)</f>
        <v>95.967177413082368</v>
      </c>
      <c r="AA42" s="124">
        <f t="shared" si="0"/>
        <v>-1.4055773544608297</v>
      </c>
    </row>
    <row r="43" spans="1:27" ht="15.75">
      <c r="A43" s="110"/>
      <c r="B43" s="154" t="s">
        <v>149</v>
      </c>
      <c r="C43" s="122">
        <v>337.61900000000003</v>
      </c>
      <c r="D43" s="122">
        <v>96.798000000000002</v>
      </c>
      <c r="E43" s="122">
        <v>94.650999999999996</v>
      </c>
      <c r="F43" s="122">
        <v>13.795999999999999</v>
      </c>
      <c r="G43" s="122">
        <v>-0.21099999999999999</v>
      </c>
      <c r="H43" s="122">
        <v>528.85699999999997</v>
      </c>
      <c r="I43" s="122">
        <v>0.49199999999999999</v>
      </c>
      <c r="J43" s="122">
        <v>529.34900000000005</v>
      </c>
      <c r="K43" s="122">
        <v>163.709</v>
      </c>
      <c r="L43" s="122">
        <v>693.05799999999999</v>
      </c>
      <c r="M43" s="122">
        <v>170.66300000000001</v>
      </c>
      <c r="N43" s="122">
        <v>0</v>
      </c>
      <c r="O43" s="122">
        <v>522.39499999999998</v>
      </c>
      <c r="P43" s="155">
        <v>517.66800000000001</v>
      </c>
      <c r="Q43" s="156"/>
      <c r="R43" s="157"/>
      <c r="S43" s="124">
        <f>100*(C43/OBR_MAR23_1.1!C43)</f>
        <v>96.888048372424052</v>
      </c>
      <c r="T43" s="124">
        <f>100*(D43/OBR_MAR23_1.1!D43)</f>
        <v>94.767140185817922</v>
      </c>
      <c r="U43" s="124">
        <f>100*(E43/OBR_MAR23_1.1!E43)</f>
        <v>95.449915795205868</v>
      </c>
      <c r="V43" s="124">
        <f>100*(K43/OBR_MAR23_1.1!N43)</f>
        <v>95.622740255719819</v>
      </c>
      <c r="W43" s="124">
        <f>100*(M43/OBR_MAR23_1.1!P43)</f>
        <v>96.511923814263341</v>
      </c>
      <c r="X43" s="124">
        <f>100*(O43/OBR_MAR23_1.1!R43)</f>
        <v>96.244334721249857</v>
      </c>
      <c r="AA43" s="124">
        <f t="shared" si="0"/>
        <v>0.40455489308934833</v>
      </c>
    </row>
    <row r="44" spans="1:27" ht="15.75">
      <c r="A44" s="110"/>
      <c r="B44" s="154" t="s">
        <v>150</v>
      </c>
      <c r="C44" s="122">
        <v>341.43299999999999</v>
      </c>
      <c r="D44" s="122">
        <v>98.055999999999997</v>
      </c>
      <c r="E44" s="122">
        <v>96.912999999999997</v>
      </c>
      <c r="F44" s="122">
        <v>14.103</v>
      </c>
      <c r="G44" s="122">
        <v>1.518</v>
      </c>
      <c r="H44" s="122">
        <v>537.91999999999996</v>
      </c>
      <c r="I44" s="122">
        <v>-1.03</v>
      </c>
      <c r="J44" s="122">
        <v>536.89</v>
      </c>
      <c r="K44" s="122">
        <v>161.001</v>
      </c>
      <c r="L44" s="122">
        <v>697.89099999999996</v>
      </c>
      <c r="M44" s="122">
        <v>168.11099999999999</v>
      </c>
      <c r="N44" s="122">
        <v>0</v>
      </c>
      <c r="O44" s="122">
        <v>529.78</v>
      </c>
      <c r="P44" s="155">
        <v>524.76700000000005</v>
      </c>
      <c r="Q44" s="156"/>
      <c r="R44" s="157"/>
      <c r="S44" s="124">
        <f>100*(C44/OBR_MAR23_1.1!C44)</f>
        <v>97.40423128273595</v>
      </c>
      <c r="T44" s="124">
        <f>100*(D44/OBR_MAR23_1.1!D44)</f>
        <v>96.173877222750775</v>
      </c>
      <c r="U44" s="124">
        <f>100*(E44/OBR_MAR23_1.1!E44)</f>
        <v>96.29861483733778</v>
      </c>
      <c r="V44" s="124">
        <f>100*(K44/OBR_MAR23_1.1!N44)</f>
        <v>96.160186346532882</v>
      </c>
      <c r="W44" s="124">
        <f>100*(M44/OBR_MAR23_1.1!P44)</f>
        <v>97.142543454142</v>
      </c>
      <c r="X44" s="124">
        <f>100*(O44/OBR_MAR23_1.1!R44)</f>
        <v>96.996438935525504</v>
      </c>
      <c r="AA44" s="124">
        <f t="shared" si="0"/>
        <v>1.4844143594230585</v>
      </c>
    </row>
    <row r="45" spans="1:27" ht="15.75">
      <c r="A45" s="110"/>
      <c r="B45" s="154" t="s">
        <v>151</v>
      </c>
      <c r="C45" s="122">
        <v>345.87700000000001</v>
      </c>
      <c r="D45" s="122">
        <v>98.581999999999994</v>
      </c>
      <c r="E45" s="122">
        <v>95.840999999999994</v>
      </c>
      <c r="F45" s="122">
        <v>13.696999999999999</v>
      </c>
      <c r="G45" s="122">
        <v>0.19900000000000001</v>
      </c>
      <c r="H45" s="122">
        <v>540.49900000000002</v>
      </c>
      <c r="I45" s="122">
        <v>-1.56</v>
      </c>
      <c r="J45" s="122">
        <v>538.93899999999996</v>
      </c>
      <c r="K45" s="122">
        <v>164.21899999999999</v>
      </c>
      <c r="L45" s="122">
        <v>703.15800000000002</v>
      </c>
      <c r="M45" s="122">
        <v>171.291</v>
      </c>
      <c r="N45" s="122">
        <v>0</v>
      </c>
      <c r="O45" s="122">
        <v>531.86699999999996</v>
      </c>
      <c r="P45" s="155">
        <v>523.29200000000003</v>
      </c>
      <c r="Q45" s="156"/>
      <c r="R45" s="157"/>
      <c r="S45" s="124">
        <f>100*(C45/OBR_MAR23_1.1!C45)</f>
        <v>97.876789857943294</v>
      </c>
      <c r="T45" s="124">
        <f>100*(D45/OBR_MAR23_1.1!D45)</f>
        <v>97.001840025976833</v>
      </c>
      <c r="U45" s="124">
        <f>100*(E45/OBR_MAR23_1.1!E45)</f>
        <v>96.888363206259669</v>
      </c>
      <c r="V45" s="124">
        <f>100*(K45/OBR_MAR23_1.1!N45)</f>
        <v>96.020464844320998</v>
      </c>
      <c r="W45" s="124">
        <f>100*(M45/OBR_MAR23_1.1!P45)</f>
        <v>97.239899405630339</v>
      </c>
      <c r="X45" s="124">
        <f>100*(O45/OBR_MAR23_1.1!R45)</f>
        <v>97.232921940099033</v>
      </c>
      <c r="AA45" s="124">
        <f t="shared" si="0"/>
        <v>0.86090196957371301</v>
      </c>
    </row>
    <row r="46" spans="1:27" ht="15.75">
      <c r="A46" s="110"/>
      <c r="B46" s="154" t="s">
        <v>152</v>
      </c>
      <c r="C46" s="122">
        <v>347.34399999999999</v>
      </c>
      <c r="D46" s="122">
        <v>98.837000000000003</v>
      </c>
      <c r="E46" s="122">
        <v>95.763999999999996</v>
      </c>
      <c r="F46" s="122">
        <v>13.926</v>
      </c>
      <c r="G46" s="122">
        <v>1.3340000000000001</v>
      </c>
      <c r="H46" s="122">
        <v>543.279</v>
      </c>
      <c r="I46" s="122">
        <v>0.55400000000000005</v>
      </c>
      <c r="J46" s="122">
        <v>543.83299999999997</v>
      </c>
      <c r="K46" s="122">
        <v>167.73500000000001</v>
      </c>
      <c r="L46" s="122">
        <v>711.56799999999998</v>
      </c>
      <c r="M46" s="122">
        <v>174.815</v>
      </c>
      <c r="N46" s="122">
        <v>0</v>
      </c>
      <c r="O46" s="122">
        <v>536.75300000000004</v>
      </c>
      <c r="P46" s="155">
        <v>530.39499999999998</v>
      </c>
      <c r="Q46" s="156"/>
      <c r="R46" s="157"/>
      <c r="S46" s="124">
        <f>100*(C46/OBR_MAR23_1.1!C46)</f>
        <v>98.211604635973188</v>
      </c>
      <c r="T46" s="124">
        <f>100*(D46/OBR_MAR23_1.1!D46)</f>
        <v>97.186768668017081</v>
      </c>
      <c r="U46" s="124">
        <f>100*(E46/OBR_MAR23_1.1!E46)</f>
        <v>96.896722688225339</v>
      </c>
      <c r="V46" s="124">
        <f>100*(K46/OBR_MAR23_1.1!N46)</f>
        <v>97.73058323136982</v>
      </c>
      <c r="W46" s="124">
        <f>100*(M46/OBR_MAR23_1.1!P46)</f>
        <v>98.287979309569323</v>
      </c>
      <c r="X46" s="124">
        <f>100*(O46/OBR_MAR23_1.1!R46)</f>
        <v>97.681854661859802</v>
      </c>
      <c r="AA46" s="124">
        <f t="shared" si="0"/>
        <v>0.19064446817784741</v>
      </c>
    </row>
    <row r="47" spans="1:27" ht="15.75">
      <c r="A47" s="110"/>
      <c r="B47" s="154" t="s">
        <v>153</v>
      </c>
      <c r="C47" s="122">
        <v>351.16399999999999</v>
      </c>
      <c r="D47" s="122">
        <v>99.727999999999994</v>
      </c>
      <c r="E47" s="122">
        <v>97.066000000000003</v>
      </c>
      <c r="F47" s="122">
        <v>14.744999999999999</v>
      </c>
      <c r="G47" s="122">
        <v>1.1220000000000001</v>
      </c>
      <c r="H47" s="122">
        <v>549.08000000000004</v>
      </c>
      <c r="I47" s="122">
        <v>-1.6759999999999999</v>
      </c>
      <c r="J47" s="122">
        <v>547.404</v>
      </c>
      <c r="K47" s="122">
        <v>171.791</v>
      </c>
      <c r="L47" s="122">
        <v>719.19500000000005</v>
      </c>
      <c r="M47" s="122">
        <v>177.666</v>
      </c>
      <c r="N47" s="122">
        <v>0</v>
      </c>
      <c r="O47" s="122">
        <v>541.529</v>
      </c>
      <c r="P47" s="155">
        <v>534.42600000000004</v>
      </c>
      <c r="Q47" s="156"/>
      <c r="R47" s="157"/>
      <c r="S47" s="124">
        <f>100*(C47/OBR_MAR23_1.1!C47)</f>
        <v>98.410474279500932</v>
      </c>
      <c r="T47" s="124">
        <f>100*(D47/OBR_MAR23_1.1!D47)</f>
        <v>97.599358001976881</v>
      </c>
      <c r="U47" s="124">
        <f>100*(E47/OBR_MAR23_1.1!E47)</f>
        <v>97.715810137413811</v>
      </c>
      <c r="V47" s="124">
        <f>100*(K47/OBR_MAR23_1.1!N47)</f>
        <v>98.778145771521892</v>
      </c>
      <c r="W47" s="124">
        <f>100*(M47/OBR_MAR23_1.1!P47)</f>
        <v>99.444192567964677</v>
      </c>
      <c r="X47" s="124">
        <f>100*(O47/OBR_MAR23_1.1!R47)</f>
        <v>98.006316227637583</v>
      </c>
      <c r="AA47" s="124">
        <f t="shared" si="0"/>
        <v>0.42453241281144027</v>
      </c>
    </row>
    <row r="48" spans="1:27" ht="15.75">
      <c r="A48" s="110"/>
      <c r="B48" s="154" t="s">
        <v>154</v>
      </c>
      <c r="C48" s="122">
        <v>357.14600000000002</v>
      </c>
      <c r="D48" s="122">
        <v>101.211</v>
      </c>
      <c r="E48" s="122">
        <v>97.477999999999994</v>
      </c>
      <c r="F48" s="122">
        <v>14.773</v>
      </c>
      <c r="G48" s="122">
        <v>0.17100000000000001</v>
      </c>
      <c r="H48" s="122">
        <v>556.00599999999997</v>
      </c>
      <c r="I48" s="122">
        <v>4.2359999999999998</v>
      </c>
      <c r="J48" s="122">
        <v>560.24199999999996</v>
      </c>
      <c r="K48" s="122">
        <v>170.12</v>
      </c>
      <c r="L48" s="122">
        <v>730.36199999999997</v>
      </c>
      <c r="M48" s="122">
        <v>183.101</v>
      </c>
      <c r="N48" s="122">
        <v>0</v>
      </c>
      <c r="O48" s="122">
        <v>547.26099999999997</v>
      </c>
      <c r="P48" s="155">
        <v>539.89099999999996</v>
      </c>
      <c r="Q48" s="156"/>
      <c r="R48" s="157"/>
      <c r="S48" s="124">
        <f>100*(C48/OBR_MAR23_1.1!C48)</f>
        <v>98.921997130495967</v>
      </c>
      <c r="T48" s="124">
        <f>100*(D48/OBR_MAR23_1.1!D48)</f>
        <v>98.151614185827739</v>
      </c>
      <c r="U48" s="124">
        <f>100*(E48/OBR_MAR23_1.1!E48)</f>
        <v>98.580125806516847</v>
      </c>
      <c r="V48" s="124">
        <f>100*(K48/OBR_MAR23_1.1!N48)</f>
        <v>99.319847038561477</v>
      </c>
      <c r="W48" s="124">
        <f>100*(M48/OBR_MAR23_1.1!P48)</f>
        <v>99.261640545800518</v>
      </c>
      <c r="X48" s="124">
        <f>100*(O48/OBR_MAR23_1.1!R48)</f>
        <v>98.789636909124383</v>
      </c>
      <c r="AA48" s="124">
        <f t="shared" si="0"/>
        <v>0.56583997595525126</v>
      </c>
    </row>
    <row r="49" spans="1:27" ht="15.75">
      <c r="A49" s="110"/>
      <c r="B49" s="154" t="s">
        <v>155</v>
      </c>
      <c r="C49" s="122">
        <v>356.762</v>
      </c>
      <c r="D49" s="122">
        <v>102.89</v>
      </c>
      <c r="E49" s="122">
        <v>100.04300000000001</v>
      </c>
      <c r="F49" s="122">
        <v>15.452</v>
      </c>
      <c r="G49" s="122">
        <v>11.436999999999999</v>
      </c>
      <c r="H49" s="122">
        <v>571.13199999999995</v>
      </c>
      <c r="I49" s="122">
        <v>7.2430000000000003</v>
      </c>
      <c r="J49" s="122">
        <v>578.375</v>
      </c>
      <c r="K49" s="122">
        <v>168.285</v>
      </c>
      <c r="L49" s="122">
        <v>746.66</v>
      </c>
      <c r="M49" s="122">
        <v>195.51900000000001</v>
      </c>
      <c r="N49" s="122">
        <v>0</v>
      </c>
      <c r="O49" s="122">
        <v>551.14099999999996</v>
      </c>
      <c r="P49" s="155">
        <v>550.94899999999996</v>
      </c>
      <c r="Q49" s="156"/>
      <c r="R49" s="157"/>
      <c r="S49" s="124">
        <f>100*(C49/OBR_MAR23_1.1!C49)</f>
        <v>99.193687406509454</v>
      </c>
      <c r="T49" s="124">
        <f>100*(D49/OBR_MAR23_1.1!D49)</f>
        <v>98.33417755392658</v>
      </c>
      <c r="U49" s="124">
        <f>100*(E49/OBR_MAR23_1.1!E49)</f>
        <v>98.958415763234953</v>
      </c>
      <c r="V49" s="124">
        <f>100*(K49/OBR_MAR23_1.1!N49)</f>
        <v>98.753586958435307</v>
      </c>
      <c r="W49" s="124">
        <f>100*(M49/OBR_MAR23_1.1!P49)</f>
        <v>99.088775929088726</v>
      </c>
      <c r="X49" s="124">
        <f>100*(O49/OBR_MAR23_1.1!R49)</f>
        <v>98.866820460016712</v>
      </c>
      <c r="AA49" s="124">
        <f t="shared" si="0"/>
        <v>0.18600139143223338</v>
      </c>
    </row>
    <row r="50" spans="1:27" ht="15.75">
      <c r="A50" s="110"/>
      <c r="B50" s="154" t="s">
        <v>156</v>
      </c>
      <c r="C50" s="122">
        <v>360.54399999999998</v>
      </c>
      <c r="D50" s="122">
        <v>105.751</v>
      </c>
      <c r="E50" s="122">
        <v>99.765000000000001</v>
      </c>
      <c r="F50" s="122">
        <v>15.085000000000001</v>
      </c>
      <c r="G50" s="122">
        <v>1.81</v>
      </c>
      <c r="H50" s="122">
        <v>567.87</v>
      </c>
      <c r="I50" s="122">
        <v>0.59799999999999998</v>
      </c>
      <c r="J50" s="122">
        <v>568.46799999999996</v>
      </c>
      <c r="K50" s="122">
        <v>167.97399999999999</v>
      </c>
      <c r="L50" s="122">
        <v>736.44200000000001</v>
      </c>
      <c r="M50" s="122">
        <v>180.15299999999999</v>
      </c>
      <c r="N50" s="122">
        <v>0</v>
      </c>
      <c r="O50" s="122">
        <v>556.28899999999999</v>
      </c>
      <c r="P50" s="155">
        <v>559.34500000000003</v>
      </c>
      <c r="Q50" s="156"/>
      <c r="R50" s="157"/>
      <c r="S50" s="124">
        <f>100*(C50/OBR_MAR23_1.1!C50)</f>
        <v>99.792412827226585</v>
      </c>
      <c r="T50" s="124">
        <f>100*(D50/OBR_MAR23_1.1!D50)</f>
        <v>99.133817670494494</v>
      </c>
      <c r="U50" s="124">
        <f>100*(E50/OBR_MAR23_1.1!E50)</f>
        <v>99.798931636756507</v>
      </c>
      <c r="V50" s="124">
        <f>100*(K50/OBR_MAR23_1.1!N50)</f>
        <v>100.21119198186372</v>
      </c>
      <c r="W50" s="124">
        <f>100*(M50/OBR_MAR23_1.1!P50)</f>
        <v>100.0950095009501</v>
      </c>
      <c r="X50" s="124">
        <f>100*(O50/OBR_MAR23_1.1!R50)</f>
        <v>99.680685790876069</v>
      </c>
      <c r="AA50" s="124">
        <f t="shared" si="0"/>
        <v>0.8131863574385223</v>
      </c>
    </row>
    <row r="51" spans="1:27" ht="15.75">
      <c r="A51" s="110"/>
      <c r="B51" s="154" t="s">
        <v>157</v>
      </c>
      <c r="C51" s="122">
        <v>361.45499999999998</v>
      </c>
      <c r="D51" s="122">
        <v>107.547</v>
      </c>
      <c r="E51" s="122">
        <v>102.012</v>
      </c>
      <c r="F51" s="122">
        <v>15.535</v>
      </c>
      <c r="G51" s="122">
        <v>1.456</v>
      </c>
      <c r="H51" s="122">
        <v>572.47</v>
      </c>
      <c r="I51" s="122">
        <v>-3.53</v>
      </c>
      <c r="J51" s="122">
        <v>568.94000000000005</v>
      </c>
      <c r="K51" s="122">
        <v>178.97900000000001</v>
      </c>
      <c r="L51" s="122">
        <v>747.91899999999998</v>
      </c>
      <c r="M51" s="122">
        <v>184.73500000000001</v>
      </c>
      <c r="N51" s="122">
        <v>0</v>
      </c>
      <c r="O51" s="122">
        <v>563.18399999999997</v>
      </c>
      <c r="P51" s="155">
        <v>561.00599999999997</v>
      </c>
      <c r="Q51" s="156"/>
      <c r="R51" s="157"/>
      <c r="S51" s="124">
        <f>100*(C51/OBR_MAR23_1.1!C51)</f>
        <v>100.32307218331849</v>
      </c>
      <c r="T51" s="124">
        <f>100*(D51/OBR_MAR23_1.1!D51)</f>
        <v>100.94613240221891</v>
      </c>
      <c r="U51" s="124">
        <f>100*(E51/OBR_MAR23_1.1!E51)</f>
        <v>100.36896012278993</v>
      </c>
      <c r="V51" s="124">
        <f>100*(K51/OBR_MAR23_1.1!N51)</f>
        <v>100.9196607799355</v>
      </c>
      <c r="W51" s="124">
        <f>100*(M51/OBR_MAR23_1.1!P51)</f>
        <v>101.63733295187585</v>
      </c>
      <c r="X51" s="124">
        <f>100*(O51/OBR_MAR23_1.1!R51)</f>
        <v>100.30348365035262</v>
      </c>
      <c r="AA51" s="124">
        <f t="shared" si="0"/>
        <v>1.8281498426180542</v>
      </c>
    </row>
    <row r="52" spans="1:27" ht="15.75">
      <c r="A52" s="110"/>
      <c r="B52" s="154" t="s">
        <v>158</v>
      </c>
      <c r="C52" s="122">
        <v>361.28</v>
      </c>
      <c r="D52" s="122">
        <v>109.39100000000001</v>
      </c>
      <c r="E52" s="122">
        <v>101.545</v>
      </c>
      <c r="F52" s="122">
        <v>15.678000000000001</v>
      </c>
      <c r="G52" s="122">
        <v>-11.823</v>
      </c>
      <c r="H52" s="122">
        <v>560.39300000000003</v>
      </c>
      <c r="I52" s="122">
        <v>-1.68</v>
      </c>
      <c r="J52" s="122">
        <v>558.71299999999997</v>
      </c>
      <c r="K52" s="122">
        <v>184.416</v>
      </c>
      <c r="L52" s="122">
        <v>743.12900000000002</v>
      </c>
      <c r="M52" s="122">
        <v>175.39500000000001</v>
      </c>
      <c r="N52" s="122">
        <v>0</v>
      </c>
      <c r="O52" s="122">
        <v>567.73400000000004</v>
      </c>
      <c r="P52" s="155">
        <v>566.12800000000004</v>
      </c>
      <c r="Q52" s="156"/>
      <c r="R52" s="157"/>
      <c r="S52" s="124">
        <f>100*(C52/OBR_MAR23_1.1!C52)</f>
        <v>100.69287669247535</v>
      </c>
      <c r="T52" s="124">
        <f>100*(D52/OBR_MAR23_1.1!D52)</f>
        <v>101.53993242490627</v>
      </c>
      <c r="U52" s="124">
        <f>100*(E52/OBR_MAR23_1.1!E52)</f>
        <v>100.87318459062644</v>
      </c>
      <c r="V52" s="124">
        <f>100*(K52/OBR_MAR23_1.1!N52)</f>
        <v>100.07542992343051</v>
      </c>
      <c r="W52" s="124">
        <f>100*(M52/OBR_MAR23_1.1!P52)</f>
        <v>99.236749196578117</v>
      </c>
      <c r="X52" s="124">
        <f>100*(O52/OBR_MAR23_1.1!R52)</f>
        <v>101.13924028082852</v>
      </c>
      <c r="AA52" s="124">
        <f t="shared" si="0"/>
        <v>0.58823454505554373</v>
      </c>
    </row>
    <row r="53" spans="1:27" ht="15.75">
      <c r="A53" s="110"/>
      <c r="B53" s="154" t="s">
        <v>159</v>
      </c>
      <c r="C53" s="122">
        <v>350.31200000000001</v>
      </c>
      <c r="D53" s="122">
        <v>108.895</v>
      </c>
      <c r="E53" s="122">
        <v>98.15</v>
      </c>
      <c r="F53" s="122">
        <v>14.618</v>
      </c>
      <c r="G53" s="122">
        <v>0.84199999999999997</v>
      </c>
      <c r="H53" s="122">
        <v>558.19899999999996</v>
      </c>
      <c r="I53" s="122">
        <v>-1.323</v>
      </c>
      <c r="J53" s="122">
        <v>556.87599999999998</v>
      </c>
      <c r="K53" s="122">
        <v>168.869</v>
      </c>
      <c r="L53" s="122">
        <v>725.74599999999998</v>
      </c>
      <c r="M53" s="122">
        <v>165.839</v>
      </c>
      <c r="N53" s="122">
        <v>0</v>
      </c>
      <c r="O53" s="122">
        <v>559.90700000000004</v>
      </c>
      <c r="P53" s="155">
        <v>550.54999999999995</v>
      </c>
      <c r="Q53" s="156"/>
      <c r="R53" s="157"/>
      <c r="S53" s="124">
        <f>100*(C53/OBR_MAR23_1.1!C53)</f>
        <v>100.56871194352497</v>
      </c>
      <c r="T53" s="124">
        <f>100*(D53/OBR_MAR23_1.1!D53)</f>
        <v>104.61820767043271</v>
      </c>
      <c r="U53" s="124">
        <f>100*(E53/OBR_MAR23_1.1!E53)</f>
        <v>101.36844823134521</v>
      </c>
      <c r="V53" s="124">
        <f>100*(K53/OBR_MAR23_1.1!N53)</f>
        <v>100.72650923644953</v>
      </c>
      <c r="W53" s="124">
        <f>100*(M53/OBR_MAR23_1.1!P53)</f>
        <v>98.899716132725842</v>
      </c>
      <c r="X53" s="124">
        <f>100*(O53/OBR_MAR23_1.1!R53)</f>
        <v>102.45043594411865</v>
      </c>
      <c r="AA53" s="124">
        <f t="shared" si="0"/>
        <v>3.0315907958703647</v>
      </c>
    </row>
    <row r="54" spans="1:27" ht="15.75">
      <c r="A54" s="110"/>
      <c r="B54" s="154" t="s">
        <v>160</v>
      </c>
      <c r="C54" s="122">
        <v>271.07499999999999</v>
      </c>
      <c r="D54" s="122">
        <v>121.295</v>
      </c>
      <c r="E54" s="122">
        <v>80.263000000000005</v>
      </c>
      <c r="F54" s="122">
        <v>17.34</v>
      </c>
      <c r="G54" s="122">
        <v>-8.6720000000000006</v>
      </c>
      <c r="H54" s="122">
        <v>463.96100000000001</v>
      </c>
      <c r="I54" s="122">
        <v>-8.4809999999999999</v>
      </c>
      <c r="J54" s="122">
        <v>455.48</v>
      </c>
      <c r="K54" s="122">
        <v>145.31700000000001</v>
      </c>
      <c r="L54" s="122">
        <v>600.798</v>
      </c>
      <c r="M54" s="122">
        <v>124.94799999999999</v>
      </c>
      <c r="N54" s="122">
        <v>0</v>
      </c>
      <c r="O54" s="122">
        <v>475.85</v>
      </c>
      <c r="P54" s="155">
        <v>458.8</v>
      </c>
      <c r="Q54" s="156"/>
      <c r="R54" s="157"/>
      <c r="S54" s="124">
        <f>100*(C54/OBR_MAR23_1.1!C54)</f>
        <v>101.14059503466186</v>
      </c>
      <c r="T54" s="124">
        <f>100*(D54/OBR_MAR23_1.1!D54)</f>
        <v>142.40012209582173</v>
      </c>
      <c r="U54" s="124">
        <f>100*(E54/OBR_MAR23_1.1!E54)</f>
        <v>101.84109018931129</v>
      </c>
      <c r="V54" s="124">
        <f>100*(K54/OBR_MAR23_1.1!N54)</f>
        <v>99.17489046312599</v>
      </c>
      <c r="W54" s="124">
        <f>100*(M54/OBR_MAR23_1.1!P54)</f>
        <v>97.85031285974955</v>
      </c>
      <c r="X54" s="124">
        <f>100*(O54/OBR_MAR23_1.1!R54)</f>
        <v>110.20301347401771</v>
      </c>
      <c r="AA54" s="124">
        <f t="shared" si="0"/>
        <v>36.114090717754642</v>
      </c>
    </row>
    <row r="55" spans="1:27" ht="15.75">
      <c r="A55" s="110"/>
      <c r="B55" s="154" t="s">
        <v>161</v>
      </c>
      <c r="C55" s="122">
        <v>322.92</v>
      </c>
      <c r="D55" s="122">
        <v>121.224</v>
      </c>
      <c r="E55" s="122">
        <v>92.277000000000001</v>
      </c>
      <c r="F55" s="122">
        <v>16.75</v>
      </c>
      <c r="G55" s="122">
        <v>1.218</v>
      </c>
      <c r="H55" s="122">
        <v>537.63900000000001</v>
      </c>
      <c r="I55" s="122">
        <v>-2.6720000000000002</v>
      </c>
      <c r="J55" s="122">
        <v>534.96699999999998</v>
      </c>
      <c r="K55" s="122">
        <v>146.334</v>
      </c>
      <c r="L55" s="122">
        <v>681.30200000000002</v>
      </c>
      <c r="M55" s="122">
        <v>147.131</v>
      </c>
      <c r="N55" s="122">
        <v>0</v>
      </c>
      <c r="O55" s="122">
        <v>534.17100000000005</v>
      </c>
      <c r="P55" s="155">
        <v>525.91800000000001</v>
      </c>
      <c r="Q55" s="156"/>
      <c r="R55" s="157"/>
      <c r="S55" s="124">
        <f>100*(C55/OBR_MAR23_1.1!C55)</f>
        <v>101.17872652416671</v>
      </c>
      <c r="T55" s="124">
        <f>100*(D55/OBR_MAR23_1.1!D55)</f>
        <v>120.42557841510784</v>
      </c>
      <c r="U55" s="124">
        <f>100*(E55/OBR_MAR23_1.1!E55)</f>
        <v>101.17093707857777</v>
      </c>
      <c r="V55" s="124">
        <f>100*(K55/OBR_MAR23_1.1!N55)</f>
        <v>100.19239591107339</v>
      </c>
      <c r="W55" s="124">
        <f>100*(M55/OBR_MAR23_1.1!P55)</f>
        <v>98.131165253813379</v>
      </c>
      <c r="X55" s="124">
        <f>100*(O55/OBR_MAR23_1.1!R55)</f>
        <v>106.08966274684266</v>
      </c>
      <c r="AA55" s="124">
        <f t="shared" si="0"/>
        <v>-15.43154834230206</v>
      </c>
    </row>
    <row r="56" spans="1:27" ht="15.75">
      <c r="A56" s="110"/>
      <c r="B56" s="154" t="s">
        <v>162</v>
      </c>
      <c r="C56" s="122">
        <v>318.57600000000002</v>
      </c>
      <c r="D56" s="122">
        <v>123.7</v>
      </c>
      <c r="E56" s="122">
        <v>95.191999999999993</v>
      </c>
      <c r="F56" s="122">
        <v>17.268999999999998</v>
      </c>
      <c r="G56" s="122">
        <v>7.6180000000000003</v>
      </c>
      <c r="H56" s="122">
        <v>545.08600000000001</v>
      </c>
      <c r="I56" s="122">
        <v>9.625</v>
      </c>
      <c r="J56" s="122">
        <v>554.71100000000001</v>
      </c>
      <c r="K56" s="122">
        <v>156.26599999999999</v>
      </c>
      <c r="L56" s="122">
        <v>710.97699999999998</v>
      </c>
      <c r="M56" s="122">
        <v>171.31100000000001</v>
      </c>
      <c r="N56" s="122">
        <v>0</v>
      </c>
      <c r="O56" s="122">
        <v>539.66600000000005</v>
      </c>
      <c r="P56" s="155">
        <v>526.93399999999997</v>
      </c>
      <c r="Q56" s="156"/>
      <c r="R56" s="157"/>
      <c r="S56" s="124">
        <f>100*(C56/OBR_MAR23_1.1!C56)</f>
        <v>101.18149249180578</v>
      </c>
      <c r="T56" s="124">
        <f>100*(D56/OBR_MAR23_1.1!D56)</f>
        <v>118.33923275614657</v>
      </c>
      <c r="U56" s="124">
        <f>100*(E56/OBR_MAR23_1.1!E56)</f>
        <v>101.10030162708694</v>
      </c>
      <c r="V56" s="124">
        <f>100*(K56/OBR_MAR23_1.1!N56)</f>
        <v>100.89553780693315</v>
      </c>
      <c r="W56" s="124">
        <f>100*(M56/OBR_MAR23_1.1!P56)</f>
        <v>99.367176714887307</v>
      </c>
      <c r="X56" s="124">
        <f>100*(O56/OBR_MAR23_1.1!R56)</f>
        <v>105.89555767913804</v>
      </c>
      <c r="Z56" s="124">
        <f t="shared" si="0"/>
        <v>2.7337442702668469E-3</v>
      </c>
      <c r="AA56" s="124">
        <f t="shared" si="0"/>
        <v>-1.7324771750479862</v>
      </c>
    </row>
    <row r="57" spans="1:27" ht="15.75">
      <c r="A57" s="110"/>
      <c r="B57" s="154" t="s">
        <v>163</v>
      </c>
      <c r="C57" s="122">
        <v>310.28500000000003</v>
      </c>
      <c r="D57" s="122">
        <v>128.685</v>
      </c>
      <c r="E57" s="122">
        <v>93.412000000000006</v>
      </c>
      <c r="F57" s="122">
        <v>17.344000000000001</v>
      </c>
      <c r="G57" s="122">
        <v>8.4960000000000004</v>
      </c>
      <c r="H57" s="122">
        <v>540.87800000000004</v>
      </c>
      <c r="I57" s="122">
        <v>3.91</v>
      </c>
      <c r="J57" s="122">
        <v>544.78800000000001</v>
      </c>
      <c r="K57" s="122">
        <v>150.916</v>
      </c>
      <c r="L57" s="122">
        <v>695.70399999999995</v>
      </c>
      <c r="M57" s="122">
        <v>156.81800000000001</v>
      </c>
      <c r="N57" s="122">
        <v>-0.97899999999999998</v>
      </c>
      <c r="O57" s="122">
        <v>537.90700000000004</v>
      </c>
      <c r="P57" s="155">
        <v>537.029</v>
      </c>
      <c r="Q57" s="156"/>
      <c r="R57" s="157"/>
      <c r="S57" s="124">
        <f>100*(C57/OBR_MAR23_1.1!C57)</f>
        <v>102.21874485257783</v>
      </c>
      <c r="T57" s="124">
        <f>100*(D57/OBR_MAR23_1.1!D57)</f>
        <v>123.28865554672007</v>
      </c>
      <c r="U57" s="124">
        <f>100*(E57/OBR_MAR23_1.1!E57)</f>
        <v>100.8725325039955</v>
      </c>
      <c r="V57" s="124">
        <f>100*(K57/OBR_MAR23_1.1!N57)</f>
        <v>101.7194082162235</v>
      </c>
      <c r="W57" s="124">
        <f>100*(M57/OBR_MAR23_1.1!P57)</f>
        <v>101.0353647615182</v>
      </c>
      <c r="X57" s="124">
        <f>100*(O57/OBR_MAR23_1.1!R57)</f>
        <v>106.67360759932971</v>
      </c>
      <c r="Z57" s="124">
        <f t="shared" si="0"/>
        <v>1.0251404038698508</v>
      </c>
      <c r="AA57" s="124">
        <f t="shared" si="0"/>
        <v>4.18240229829141</v>
      </c>
    </row>
    <row r="58" spans="1:27" ht="15.75">
      <c r="A58" s="110"/>
      <c r="B58" s="154" t="s">
        <v>164</v>
      </c>
      <c r="C58" s="122">
        <v>343.4</v>
      </c>
      <c r="D58" s="122">
        <v>125.857</v>
      </c>
      <c r="E58" s="122">
        <v>97.703999999999994</v>
      </c>
      <c r="F58" s="122">
        <v>17.791</v>
      </c>
      <c r="G58" s="122">
        <v>-0.71199999999999997</v>
      </c>
      <c r="H58" s="122">
        <v>566.24900000000002</v>
      </c>
      <c r="I58" s="122">
        <v>-2.5459999999999998</v>
      </c>
      <c r="J58" s="122">
        <v>563.70299999999997</v>
      </c>
      <c r="K58" s="122">
        <v>162.11699999999999</v>
      </c>
      <c r="L58" s="122">
        <v>725.82</v>
      </c>
      <c r="M58" s="122">
        <v>162.39599999999999</v>
      </c>
      <c r="N58" s="122">
        <v>-1.1759999999999999</v>
      </c>
      <c r="O58" s="122">
        <v>562.24800000000005</v>
      </c>
      <c r="P58" s="155">
        <v>563.81399999999996</v>
      </c>
      <c r="Q58" s="156"/>
      <c r="R58" s="157"/>
      <c r="S58" s="124">
        <f>100*(C58/OBR_MAR23_1.1!C58)</f>
        <v>102.51633723516362</v>
      </c>
      <c r="T58" s="124">
        <f>100*(D58/OBR_MAR23_1.1!D58)</f>
        <v>111.9803900633497</v>
      </c>
      <c r="U58" s="124">
        <f>100*(E58/OBR_MAR23_1.1!E58)</f>
        <v>101.4042407447769</v>
      </c>
      <c r="V58" s="124">
        <f>100*(K58/OBR_MAR23_1.1!N58)</f>
        <v>102.70970603142422</v>
      </c>
      <c r="W58" s="124">
        <f>100*(M58/OBR_MAR23_1.1!P58)</f>
        <v>101.52541949035985</v>
      </c>
      <c r="X58" s="124">
        <f>100*(O58/OBR_MAR23_1.1!R58)</f>
        <v>104.66756643551918</v>
      </c>
      <c r="Z58" s="124">
        <f t="shared" si="0"/>
        <v>0.29113288664910364</v>
      </c>
      <c r="AA58" s="124">
        <f t="shared" si="0"/>
        <v>-9.1721865513288101</v>
      </c>
    </row>
    <row r="59" spans="1:27" ht="15.75">
      <c r="A59" s="110"/>
      <c r="B59" s="154" t="s">
        <v>165</v>
      </c>
      <c r="C59" s="122">
        <v>357.76299999999998</v>
      </c>
      <c r="D59" s="122">
        <v>126.08499999999999</v>
      </c>
      <c r="E59" s="122">
        <v>101.13</v>
      </c>
      <c r="F59" s="122">
        <v>17.454000000000001</v>
      </c>
      <c r="G59" s="122">
        <v>3.4980000000000002</v>
      </c>
      <c r="H59" s="122">
        <v>588.476</v>
      </c>
      <c r="I59" s="122">
        <v>5.22</v>
      </c>
      <c r="J59" s="122">
        <v>593.69600000000003</v>
      </c>
      <c r="K59" s="122">
        <v>157.46700000000001</v>
      </c>
      <c r="L59" s="122">
        <v>751.16300000000001</v>
      </c>
      <c r="M59" s="122">
        <v>173.65899999999999</v>
      </c>
      <c r="N59" s="122">
        <v>-0.14799999999999999</v>
      </c>
      <c r="O59" s="122">
        <v>577.35599999999999</v>
      </c>
      <c r="P59" s="155">
        <v>579.68600000000004</v>
      </c>
      <c r="Q59" s="156"/>
      <c r="R59" s="157"/>
      <c r="S59" s="124">
        <f>100*(C59/OBR_MAR23_1.1!C59)</f>
        <v>103.82069489867875</v>
      </c>
      <c r="T59" s="124">
        <f>100*(D59/OBR_MAR23_1.1!D59)</f>
        <v>111.72399737714214</v>
      </c>
      <c r="U59" s="124">
        <f>100*(E59/OBR_MAR23_1.1!E59)</f>
        <v>104.02073626068442</v>
      </c>
      <c r="V59" s="124">
        <f>100*(K59/OBR_MAR23_1.1!N59)</f>
        <v>103.84402326593599</v>
      </c>
      <c r="W59" s="124">
        <f>100*(M59/OBR_MAR23_1.1!P59)</f>
        <v>103.9980117736536</v>
      </c>
      <c r="X59" s="124">
        <f>100*(O59/OBR_MAR23_1.1!R59)</f>
        <v>105.64862476143075</v>
      </c>
      <c r="Z59" s="124">
        <f t="shared" si="0"/>
        <v>1.272341266468624</v>
      </c>
      <c r="AA59" s="124">
        <f t="shared" si="0"/>
        <v>-0.22896212994303333</v>
      </c>
    </row>
    <row r="60" spans="1:27" ht="15.75">
      <c r="A60" s="110"/>
      <c r="B60" s="154" t="s">
        <v>166</v>
      </c>
      <c r="C60" s="122">
        <v>364.11399999999998</v>
      </c>
      <c r="D60" s="122">
        <v>127.56699999999999</v>
      </c>
      <c r="E60" s="122">
        <v>101.245</v>
      </c>
      <c r="F60" s="122">
        <v>18.14</v>
      </c>
      <c r="G60" s="122">
        <v>-3.0619999999999998</v>
      </c>
      <c r="H60" s="122">
        <v>589.86400000000003</v>
      </c>
      <c r="I60" s="122">
        <v>6.8860000000000001</v>
      </c>
      <c r="J60" s="122">
        <v>596.75</v>
      </c>
      <c r="K60" s="122">
        <v>183.78399999999999</v>
      </c>
      <c r="L60" s="122">
        <v>780.53399999999999</v>
      </c>
      <c r="M60" s="122">
        <v>189.45</v>
      </c>
      <c r="N60" s="122">
        <v>1.651</v>
      </c>
      <c r="O60" s="122">
        <v>592.73500000000001</v>
      </c>
      <c r="P60" s="155">
        <v>601.58199999999999</v>
      </c>
      <c r="Q60" s="156"/>
      <c r="R60" s="157"/>
      <c r="S60" s="124">
        <f>100*(C60/OBR_MAR23_1.1!C60)</f>
        <v>105.42935983298732</v>
      </c>
      <c r="T60" s="124">
        <f>100*(D60/OBR_MAR23_1.1!D60)</f>
        <v>111.6227993419901</v>
      </c>
      <c r="U60" s="124">
        <f>100*(E60/OBR_MAR23_1.1!E60)</f>
        <v>104.57141676737005</v>
      </c>
      <c r="V60" s="124">
        <f>100*(K60/OBR_MAR23_1.1!N60)</f>
        <v>107.42890545082567</v>
      </c>
      <c r="W60" s="124">
        <f>100*(M60/OBR_MAR23_1.1!P60)</f>
        <v>108.99456896948496</v>
      </c>
      <c r="X60" s="124">
        <f>100*(O60/OBR_MAR23_1.1!R60)</f>
        <v>106.83355532685317</v>
      </c>
      <c r="Z60" s="124">
        <f t="shared" si="0"/>
        <v>1.5494646186663408</v>
      </c>
      <c r="AA60" s="124">
        <f t="shared" si="0"/>
        <v>-9.0578602205237946E-2</v>
      </c>
    </row>
    <row r="61" spans="1:27" ht="15.75">
      <c r="A61" s="110"/>
      <c r="B61" s="154" t="s">
        <v>167</v>
      </c>
      <c r="C61" s="122">
        <v>374.58800000000002</v>
      </c>
      <c r="D61" s="122">
        <v>132.93700000000001</v>
      </c>
      <c r="E61" s="122">
        <v>109.83199999999999</v>
      </c>
      <c r="F61" s="122">
        <v>21.068999999999999</v>
      </c>
      <c r="G61" s="122">
        <v>8.2710000000000008</v>
      </c>
      <c r="H61" s="122">
        <v>625.62800000000004</v>
      </c>
      <c r="I61" s="122">
        <v>12.407</v>
      </c>
      <c r="J61" s="122">
        <v>638.03499999999997</v>
      </c>
      <c r="K61" s="122">
        <v>177.01300000000001</v>
      </c>
      <c r="L61" s="122">
        <v>815.048</v>
      </c>
      <c r="M61" s="122">
        <v>213.50399999999999</v>
      </c>
      <c r="N61" s="122">
        <v>3.9969999999999999</v>
      </c>
      <c r="O61" s="122">
        <v>605.54100000000005</v>
      </c>
      <c r="P61" s="155">
        <v>600.85199999999998</v>
      </c>
      <c r="Q61" s="156"/>
      <c r="R61" s="157"/>
      <c r="S61" s="124">
        <f>100*(C61/OBR_MAR23_1.1!C61)</f>
        <v>107.40073858293002</v>
      </c>
      <c r="T61" s="124">
        <f>100*(D61/OBR_MAR23_1.1!D61)</f>
        <v>116.80300141460116</v>
      </c>
      <c r="U61" s="124">
        <f>100*(E61/OBR_MAR23_1.1!E61)</f>
        <v>106.60609943121153</v>
      </c>
      <c r="V61" s="124">
        <f>100*(K61/OBR_MAR23_1.1!N61)</f>
        <v>110.80695340815905</v>
      </c>
      <c r="W61" s="124">
        <f>100*(M61/OBR_MAR23_1.1!P61)</f>
        <v>114.47874274132576</v>
      </c>
      <c r="X61" s="124">
        <f>100*(O61/OBR_MAR23_1.1!R61)</f>
        <v>108.64430772874314</v>
      </c>
      <c r="Z61" s="124">
        <f t="shared" si="0"/>
        <v>1.8698574600714668</v>
      </c>
      <c r="AA61" s="124">
        <f t="shared" si="0"/>
        <v>4.640810034462528</v>
      </c>
    </row>
    <row r="62" spans="1:27" ht="15.75">
      <c r="A62" s="110"/>
      <c r="B62" s="154" t="s">
        <v>168</v>
      </c>
      <c r="C62" s="122">
        <v>389.14</v>
      </c>
      <c r="D62" s="122">
        <v>127.557</v>
      </c>
      <c r="E62" s="122">
        <v>111.11</v>
      </c>
      <c r="F62" s="122">
        <v>17.844000000000001</v>
      </c>
      <c r="G62" s="122">
        <v>2.464</v>
      </c>
      <c r="H62" s="122">
        <v>630.27099999999996</v>
      </c>
      <c r="I62" s="122">
        <v>9.968</v>
      </c>
      <c r="J62" s="122">
        <v>640.23900000000003</v>
      </c>
      <c r="K62" s="122">
        <v>196.1</v>
      </c>
      <c r="L62" s="122">
        <v>836.33900000000006</v>
      </c>
      <c r="M62" s="122">
        <v>225.11799999999999</v>
      </c>
      <c r="N62" s="122">
        <v>5.0359999999999996</v>
      </c>
      <c r="O62" s="122">
        <v>616.25699999999995</v>
      </c>
      <c r="P62" s="155">
        <v>616.57799999999997</v>
      </c>
      <c r="Q62" s="156"/>
      <c r="R62" s="157"/>
      <c r="S62" s="124">
        <f>100*(C62/OBR_MAR23_1.1!C62)</f>
        <v>110.77678111380283</v>
      </c>
      <c r="T62" s="124">
        <f>100*(D62/OBR_MAR23_1.1!D62)</f>
        <v>113.72771041369474</v>
      </c>
      <c r="U62" s="124">
        <f>100*(E62/OBR_MAR23_1.1!E62)</f>
        <v>108.44549420732601</v>
      </c>
      <c r="V62" s="124">
        <f>100*(K62/OBR_MAR23_1.1!N62)</f>
        <v>116.67479800564035</v>
      </c>
      <c r="W62" s="124">
        <f>100*(M62/OBR_MAR23_1.1!P62)</f>
        <v>120.48511316988059</v>
      </c>
      <c r="X62" s="124">
        <f>100*(O62/OBR_MAR23_1.1!R62)</f>
        <v>110.45259509121084</v>
      </c>
      <c r="Z62" s="124">
        <f t="shared" si="0"/>
        <v>3.1434071826852206</v>
      </c>
      <c r="AA62" s="124">
        <f t="shared" si="0"/>
        <v>-2.6328869666546018</v>
      </c>
    </row>
    <row r="63" spans="1:27" ht="15.75">
      <c r="A63" s="110"/>
      <c r="B63" s="154" t="s">
        <v>169</v>
      </c>
      <c r="C63" s="122">
        <v>396.67700000000002</v>
      </c>
      <c r="D63" s="122">
        <v>131.215</v>
      </c>
      <c r="E63" s="122">
        <v>113.57299999999999</v>
      </c>
      <c r="F63" s="122">
        <v>18.920999999999999</v>
      </c>
      <c r="G63" s="122">
        <v>-11.99</v>
      </c>
      <c r="H63" s="122">
        <v>629.47500000000002</v>
      </c>
      <c r="I63" s="122">
        <v>2.359</v>
      </c>
      <c r="J63" s="122">
        <v>631.83399999999995</v>
      </c>
      <c r="K63" s="122">
        <v>220.64400000000001</v>
      </c>
      <c r="L63" s="122">
        <v>852.47799999999995</v>
      </c>
      <c r="M63" s="122">
        <v>231.512</v>
      </c>
      <c r="N63" s="122">
        <v>5.117</v>
      </c>
      <c r="O63" s="122">
        <v>626.08299999999997</v>
      </c>
      <c r="P63" s="155">
        <v>622.44600000000003</v>
      </c>
      <c r="Q63" s="156"/>
      <c r="R63" s="157"/>
      <c r="S63" s="124">
        <f>100*(C63/OBR_MAR23_1.1!C63)</f>
        <v>113.31685996686282</v>
      </c>
      <c r="T63" s="124">
        <f>100*(D63/OBR_MAR23_1.1!D63)</f>
        <v>116.38003671938056</v>
      </c>
      <c r="U63" s="124">
        <f>100*(E63/OBR_MAR23_1.1!E63)</f>
        <v>110.51504860509695</v>
      </c>
      <c r="V63" s="124">
        <f>100*(K63/OBR_MAR23_1.1!N63)</f>
        <v>120.02154082148861</v>
      </c>
      <c r="W63" s="124">
        <f>100*(M63/OBR_MAR23_1.1!P63)</f>
        <v>127.67299759557056</v>
      </c>
      <c r="X63" s="124">
        <f>100*(O63/OBR_MAR23_1.1!R63)</f>
        <v>112.39805178601242</v>
      </c>
      <c r="Z63" s="124">
        <f t="shared" si="0"/>
        <v>2.2929704469843104</v>
      </c>
      <c r="AA63" s="124">
        <f t="shared" si="0"/>
        <v>2.3321724283710044</v>
      </c>
    </row>
    <row r="64" spans="1:27" ht="15.75">
      <c r="A64" s="110"/>
      <c r="B64" s="154" t="s">
        <v>170</v>
      </c>
      <c r="C64" s="122">
        <v>401.81200000000001</v>
      </c>
      <c r="D64" s="122">
        <v>133.22800000000001</v>
      </c>
      <c r="E64" s="122">
        <v>112.68300000000001</v>
      </c>
      <c r="F64" s="122">
        <v>20.649000000000001</v>
      </c>
      <c r="G64" s="122">
        <v>-17.294</v>
      </c>
      <c r="H64" s="122">
        <v>630.42899999999997</v>
      </c>
      <c r="I64" s="122">
        <v>6.9219999999999997</v>
      </c>
      <c r="J64" s="122">
        <v>637.351</v>
      </c>
      <c r="K64" s="122">
        <v>219.55600000000001</v>
      </c>
      <c r="L64" s="122">
        <v>856.90700000000004</v>
      </c>
      <c r="M64" s="122">
        <v>227.84800000000001</v>
      </c>
      <c r="N64" s="122">
        <v>5.1870000000000003</v>
      </c>
      <c r="O64" s="122">
        <v>634.24599999999998</v>
      </c>
      <c r="P64" s="155">
        <v>620.8054350000001</v>
      </c>
      <c r="Q64" s="156"/>
      <c r="R64" s="157"/>
      <c r="S64" s="124">
        <f>100*(C64/OBR_MAR23_1.1!C64)</f>
        <v>114.6560136966757</v>
      </c>
      <c r="T64" s="124">
        <f>100*(D64/OBR_MAR23_1.1!D64)</f>
        <v>117.23688841957059</v>
      </c>
      <c r="U64" s="124">
        <f>100*(E64/OBR_MAR23_1.1!E64)</f>
        <v>107.98355565777369</v>
      </c>
      <c r="V64" s="124">
        <f>100*(K64/OBR_MAR23_1.1!N64)</f>
        <v>120.66831547128334</v>
      </c>
      <c r="W64" s="124">
        <f>100*(M64/OBR_MAR23_1.1!P64)</f>
        <v>123.79881225991187</v>
      </c>
      <c r="X64" s="124">
        <f>100*(O64/OBR_MAR23_1.1!R64)</f>
        <v>113.84798752106894</v>
      </c>
      <c r="Z64" s="124">
        <f t="shared" si="0"/>
        <v>1.1817780074425688</v>
      </c>
      <c r="AA64" s="124">
        <f t="shared" si="0"/>
        <v>0.73625316191994195</v>
      </c>
    </row>
    <row r="65" spans="1:31" ht="15.75">
      <c r="A65" s="110"/>
      <c r="B65" s="129" t="s">
        <v>171</v>
      </c>
      <c r="C65" s="122">
        <v>403.312836</v>
      </c>
      <c r="D65" s="122">
        <v>134.15661857345199</v>
      </c>
      <c r="E65" s="122">
        <v>112.91609</v>
      </c>
      <c r="F65" s="122">
        <v>21.225737899999999</v>
      </c>
      <c r="G65" s="122">
        <v>0.79514518499999998</v>
      </c>
      <c r="H65" s="122">
        <v>651.18068975845199</v>
      </c>
      <c r="I65" s="122">
        <v>-3.7603343499999999</v>
      </c>
      <c r="J65" s="122">
        <v>647.420355408452</v>
      </c>
      <c r="K65" s="122">
        <v>198.988022</v>
      </c>
      <c r="L65" s="122">
        <v>846.40837699999997</v>
      </c>
      <c r="M65" s="122">
        <v>224.15588200000002</v>
      </c>
      <c r="N65" s="122">
        <v>5.1503292600000004</v>
      </c>
      <c r="O65" s="122">
        <v>627.40282400000001</v>
      </c>
      <c r="P65" s="155">
        <v>616.07534599999997</v>
      </c>
      <c r="Q65" s="156"/>
      <c r="R65" s="157"/>
      <c r="S65" s="124">
        <f>100*(C65/OBR_MAR23_1.1!C65)</f>
        <v>115.91946908560931</v>
      </c>
      <c r="T65" s="124">
        <f>100*(D65/OBR_MAR23_1.1!D65)</f>
        <v>116.15420074683595</v>
      </c>
      <c r="U65" s="124">
        <f>100*(E65/OBR_MAR23_1.1!E65)</f>
        <v>110.43683148560515</v>
      </c>
      <c r="V65" s="124">
        <f>100*(K65/OBR_MAR23_1.1!N65)</f>
        <v>119.94231839431765</v>
      </c>
      <c r="W65" s="124">
        <f>100*(M65/OBR_MAR23_1.1!P65)</f>
        <v>124.82248982580404</v>
      </c>
      <c r="X65" s="124">
        <f>100*(O65/OBR_MAR23_1.1!R65)</f>
        <v>113.09462589695688</v>
      </c>
      <c r="Z65" s="124">
        <f t="shared" si="0"/>
        <v>1.1019530055144777</v>
      </c>
      <c r="AA65" s="124">
        <f t="shared" si="0"/>
        <v>-0.92350427184648698</v>
      </c>
    </row>
    <row r="66" spans="1:31" ht="15.75">
      <c r="A66" s="110"/>
      <c r="B66" s="129" t="s">
        <v>172</v>
      </c>
      <c r="C66" s="122">
        <v>405.492638</v>
      </c>
      <c r="D66" s="122">
        <v>135.550824142132</v>
      </c>
      <c r="E66" s="122">
        <v>113.148754</v>
      </c>
      <c r="F66" s="122">
        <v>21.764525799999998</v>
      </c>
      <c r="G66" s="122">
        <v>0.80210530600000007</v>
      </c>
      <c r="H66" s="122">
        <v>654.99432144813193</v>
      </c>
      <c r="I66" s="122">
        <v>1.54499162</v>
      </c>
      <c r="J66" s="122">
        <v>656.53931306813195</v>
      </c>
      <c r="K66" s="122">
        <v>193.88934899999998</v>
      </c>
      <c r="L66" s="122">
        <v>850.42866200000003</v>
      </c>
      <c r="M66" s="122">
        <v>220.560766</v>
      </c>
      <c r="N66" s="122">
        <v>5.2109985700000001</v>
      </c>
      <c r="O66" s="122">
        <v>635.07889399999999</v>
      </c>
      <c r="P66" s="155">
        <v>626.43604700000003</v>
      </c>
      <c r="Q66" s="156"/>
      <c r="R66" s="157"/>
      <c r="S66" s="124">
        <f>100*(C66/OBR_MAR23_1.1!C66)</f>
        <v>117.08457296409223</v>
      </c>
      <c r="T66" s="124">
        <f>100*(D66/OBR_MAR23_1.1!D66)</f>
        <v>115.92524476017616</v>
      </c>
      <c r="U66" s="124">
        <f>100*(E66/OBR_MAR23_1.1!E66)</f>
        <v>111.40351487863607</v>
      </c>
      <c r="V66" s="124">
        <f>100*(K66/OBR_MAR23_1.1!N66)</f>
        <v>120.43834879621269</v>
      </c>
      <c r="W66" s="124">
        <f>100*(M66/OBR_MAR23_1.1!P66)</f>
        <v>124.54550535602986</v>
      </c>
      <c r="X66" s="124">
        <f>100*(O66/OBR_MAR23_1.1!R66)</f>
        <v>114.42684592047519</v>
      </c>
      <c r="Z66" s="124">
        <f t="shared" si="0"/>
        <v>1.0050976662276279</v>
      </c>
      <c r="AA66" s="124">
        <f t="shared" si="0"/>
        <v>-0.19711382385456666</v>
      </c>
    </row>
    <row r="67" spans="1:31" ht="15.75">
      <c r="A67" s="110"/>
      <c r="B67" s="129" t="s">
        <v>173</v>
      </c>
      <c r="C67" s="122">
        <v>407.82268199999999</v>
      </c>
      <c r="D67" s="122">
        <v>136.74769296793801</v>
      </c>
      <c r="E67" s="122">
        <v>112.914886</v>
      </c>
      <c r="F67" s="122">
        <v>22.062478800000001</v>
      </c>
      <c r="G67" s="122">
        <v>0.80395040900000003</v>
      </c>
      <c r="H67" s="122">
        <v>658.28921137693806</v>
      </c>
      <c r="I67" s="122">
        <v>2.15853283</v>
      </c>
      <c r="J67" s="122">
        <v>660.44774420693807</v>
      </c>
      <c r="K67" s="122">
        <v>192.63117099999999</v>
      </c>
      <c r="L67" s="122">
        <v>853.07891500000005</v>
      </c>
      <c r="M67" s="122">
        <v>218.001407</v>
      </c>
      <c r="N67" s="122">
        <v>5.24076305</v>
      </c>
      <c r="O67" s="122">
        <v>640.31827099999998</v>
      </c>
      <c r="P67" s="155">
        <v>633.19697900000006</v>
      </c>
      <c r="Q67" s="156"/>
      <c r="R67" s="157"/>
      <c r="S67" s="124">
        <f>100*(C67/OBR_MAR23_1.1!C67)</f>
        <v>117.60463004497606</v>
      </c>
      <c r="T67" s="124">
        <f>100*(D67/OBR_MAR23_1.1!D67)</f>
        <v>115.8841523726454</v>
      </c>
      <c r="U67" s="124">
        <f>100*(E67/OBR_MAR23_1.1!E67)</f>
        <v>111.65977952544867</v>
      </c>
      <c r="V67" s="124">
        <f>100*(K67/OBR_MAR23_1.1!N67)</f>
        <v>120.1631539969556</v>
      </c>
      <c r="W67" s="124">
        <f>100*(M67/OBR_MAR23_1.1!P67)</f>
        <v>123.51892407375158</v>
      </c>
      <c r="X67" s="124">
        <f>100*(O67/OBR_MAR23_1.1!R67)</f>
        <v>115.08043601112912</v>
      </c>
      <c r="Z67" s="124">
        <f t="shared" si="0"/>
        <v>0.44417216352090616</v>
      </c>
      <c r="AA67" s="124">
        <f t="shared" si="0"/>
        <v>-3.544731573849047E-2</v>
      </c>
      <c r="AB67" s="124"/>
      <c r="AC67" s="124"/>
      <c r="AD67" s="124"/>
    </row>
    <row r="68" spans="1:31" ht="15.75">
      <c r="A68" s="110"/>
      <c r="B68" s="129" t="s">
        <v>174</v>
      </c>
      <c r="C68" s="122">
        <v>409.99908399999998</v>
      </c>
      <c r="D68" s="122">
        <v>137.747225050873</v>
      </c>
      <c r="E68" s="122">
        <v>113.151866</v>
      </c>
      <c r="F68" s="122">
        <v>22.2695969</v>
      </c>
      <c r="G68" s="122">
        <v>0.80562781399999994</v>
      </c>
      <c r="H68" s="122">
        <v>661.70380286487296</v>
      </c>
      <c r="I68" s="122">
        <v>1.5977892499999999</v>
      </c>
      <c r="J68" s="122">
        <v>663.30159211487296</v>
      </c>
      <c r="K68" s="122">
        <v>192.16570899999999</v>
      </c>
      <c r="L68" s="122">
        <v>855.46730200000002</v>
      </c>
      <c r="M68" s="122">
        <v>214.57756899999998</v>
      </c>
      <c r="N68" s="122">
        <v>5.2669745800000003</v>
      </c>
      <c r="O68" s="122">
        <v>646.1567070000001</v>
      </c>
      <c r="P68" s="155">
        <v>638.61429799999996</v>
      </c>
      <c r="Q68" s="156"/>
      <c r="R68" s="157"/>
      <c r="S68" s="124">
        <f>100*(C68/OBR_MAR23_1.1!C68)</f>
        <v>117.75005686981459</v>
      </c>
      <c r="T68" s="124">
        <f>100*(D68/OBR_MAR23_1.1!D68)</f>
        <v>116.28091076967037</v>
      </c>
      <c r="U68" s="124">
        <f>100*(E68/OBR_MAR23_1.1!E68)</f>
        <v>111.89275212787774</v>
      </c>
      <c r="V68" s="124">
        <f>100*(K68/OBR_MAR23_1.1!N68)</f>
        <v>119.73572338909034</v>
      </c>
      <c r="W68" s="124">
        <f>100*(M68/OBR_MAR23_1.1!P68)</f>
        <v>121.98748009769631</v>
      </c>
      <c r="X68" s="124">
        <f>100*(O68/OBR_MAR23_1.1!R68)</f>
        <v>115.65600737021093</v>
      </c>
      <c r="Z68" s="124">
        <f t="shared" si="0"/>
        <v>0.12365739748758653</v>
      </c>
      <c r="AA68" s="124">
        <f t="shared" si="0"/>
        <v>0.34237502618055249</v>
      </c>
      <c r="AB68" s="124"/>
      <c r="AC68" s="124"/>
      <c r="AD68" s="124"/>
    </row>
    <row r="69" spans="1:31" ht="15.75">
      <c r="A69" s="110"/>
      <c r="B69" s="129" t="s">
        <v>175</v>
      </c>
      <c r="C69" s="122">
        <v>412.31856300000004</v>
      </c>
      <c r="D69" s="122">
        <v>138.54942039093402</v>
      </c>
      <c r="E69" s="122">
        <v>113.732663</v>
      </c>
      <c r="F69" s="122">
        <v>22.2858801</v>
      </c>
      <c r="G69" s="122">
        <v>0.80760118800000003</v>
      </c>
      <c r="H69" s="122">
        <v>665.40824757893392</v>
      </c>
      <c r="I69" s="122">
        <v>1.1879263800000002</v>
      </c>
      <c r="J69" s="122">
        <v>666.59617395893395</v>
      </c>
      <c r="K69" s="122">
        <v>191.758894</v>
      </c>
      <c r="L69" s="122">
        <v>858.35506799999996</v>
      </c>
      <c r="M69" s="122">
        <v>212.02232199999997</v>
      </c>
      <c r="N69" s="122">
        <v>5.2867194799999995</v>
      </c>
      <c r="O69" s="122">
        <v>651.61946599999999</v>
      </c>
      <c r="P69" s="155">
        <v>643.53279799999996</v>
      </c>
      <c r="Q69" s="156"/>
      <c r="R69" s="157"/>
      <c r="S69" s="124">
        <f>100*(C69/OBR_MAR23_1.1!C69)</f>
        <v>117.84782186158114</v>
      </c>
      <c r="T69" s="124">
        <f>100*(D69/OBR_MAR23_1.1!D69)</f>
        <v>116.79496088956979</v>
      </c>
      <c r="U69" s="124">
        <f>100*(E69/OBR_MAR23_1.1!E69)</f>
        <v>112.16683190683993</v>
      </c>
      <c r="V69" s="124">
        <f>100*(K69/OBR_MAR23_1.1!N69)</f>
        <v>119.27760061184264</v>
      </c>
      <c r="W69" s="124">
        <f>100*(M69/OBR_MAR23_1.1!P69)</f>
        <v>120.87770206314043</v>
      </c>
      <c r="X69" s="124">
        <f>100*(O69/OBR_MAR23_1.1!R69)</f>
        <v>116.08958016679638</v>
      </c>
      <c r="Z69" s="124">
        <f t="shared" si="0"/>
        <v>8.3027553757064609E-2</v>
      </c>
      <c r="AA69" s="124">
        <f t="shared" si="0"/>
        <v>0.44207610389090934</v>
      </c>
      <c r="AB69" s="124"/>
      <c r="AC69" s="124"/>
      <c r="AD69" s="124"/>
    </row>
    <row r="70" spans="1:31" ht="15.75">
      <c r="A70" s="110"/>
      <c r="B70" s="129" t="s">
        <v>176</v>
      </c>
      <c r="C70" s="122">
        <v>415.965577</v>
      </c>
      <c r="D70" s="122">
        <v>139.154278988122</v>
      </c>
      <c r="E70" s="122">
        <v>114.658895</v>
      </c>
      <c r="F70" s="122">
        <v>22.1113283</v>
      </c>
      <c r="G70" s="122">
        <v>0.81022262999999994</v>
      </c>
      <c r="H70" s="122">
        <v>670.58897361812205</v>
      </c>
      <c r="I70" s="122">
        <v>0.58131697699999996</v>
      </c>
      <c r="J70" s="122">
        <v>671.17029059512208</v>
      </c>
      <c r="K70" s="122">
        <v>191.34907800000002</v>
      </c>
      <c r="L70" s="122">
        <v>862.51936799999999</v>
      </c>
      <c r="M70" s="122">
        <v>209.64197000000001</v>
      </c>
      <c r="N70" s="122">
        <v>5.31155329</v>
      </c>
      <c r="O70" s="122">
        <v>658.18895099999997</v>
      </c>
      <c r="P70" s="155">
        <v>649.67706900000007</v>
      </c>
      <c r="Q70" s="156"/>
      <c r="R70" s="157"/>
      <c r="S70" s="124">
        <f>100*(C70/OBR_MAR23_1.1!C70)</f>
        <v>118.2734059494331</v>
      </c>
      <c r="T70" s="124">
        <f>100*(D70/OBR_MAR23_1.1!D70)</f>
        <v>116.98966506331607</v>
      </c>
      <c r="U70" s="124">
        <f>100*(E70/OBR_MAR23_1.1!E70)</f>
        <v>112.53092098508655</v>
      </c>
      <c r="V70" s="124">
        <f>100*(K70/OBR_MAR23_1.1!N70)</f>
        <v>118.76503487821482</v>
      </c>
      <c r="W70" s="124">
        <f>100*(M70/OBR_MAR23_1.1!P70)</f>
        <v>119.80528412724991</v>
      </c>
      <c r="X70" s="124">
        <f>100*(O70/OBR_MAR23_1.1!R70)</f>
        <v>116.63489875575648</v>
      </c>
      <c r="Z70" s="124">
        <f t="shared" si="0"/>
        <v>0.36113021108852283</v>
      </c>
      <c r="AA70" s="124">
        <f t="shared" si="0"/>
        <v>0.16670597109953444</v>
      </c>
      <c r="AB70" s="124"/>
      <c r="AC70" s="124"/>
      <c r="AD70" s="124"/>
    </row>
    <row r="71" spans="1:31" ht="15.75">
      <c r="A71" s="110"/>
      <c r="B71" s="129" t="s">
        <v>177</v>
      </c>
      <c r="C71" s="122">
        <v>418.99157500000001</v>
      </c>
      <c r="D71" s="122">
        <v>139.793000578418</v>
      </c>
      <c r="E71" s="122">
        <v>115.630965</v>
      </c>
      <c r="F71" s="122">
        <v>21.9417051</v>
      </c>
      <c r="G71" s="122">
        <v>0.81300354200000002</v>
      </c>
      <c r="H71" s="122">
        <v>675.22854412041795</v>
      </c>
      <c r="I71" s="122">
        <v>0.44131555900000002</v>
      </c>
      <c r="J71" s="122">
        <v>675.66985967941787</v>
      </c>
      <c r="K71" s="122">
        <v>191.374595</v>
      </c>
      <c r="L71" s="122">
        <v>867.04445399999997</v>
      </c>
      <c r="M71" s="122">
        <v>208.06968900000001</v>
      </c>
      <c r="N71" s="122">
        <v>5.3290594199999992</v>
      </c>
      <c r="O71" s="122">
        <v>664.30382499999996</v>
      </c>
      <c r="P71" s="155">
        <v>655.699027</v>
      </c>
      <c r="Q71" s="156"/>
      <c r="R71" s="157"/>
      <c r="S71" s="124">
        <f>100*(C71/OBR_MAR23_1.1!C71)</f>
        <v>118.51043702948732</v>
      </c>
      <c r="T71" s="124">
        <f>100*(D71/OBR_MAR23_1.1!D71)</f>
        <v>117.25897513377797</v>
      </c>
      <c r="U71" s="124">
        <f>100*(E71/OBR_MAR23_1.1!E71)</f>
        <v>112.91715837744547</v>
      </c>
      <c r="V71" s="124">
        <f>100*(K71/OBR_MAR23_1.1!N71)</f>
        <v>118.35664032784076</v>
      </c>
      <c r="W71" s="124">
        <f>100*(M71/OBR_MAR23_1.1!P71)</f>
        <v>119.07827530190107</v>
      </c>
      <c r="X71" s="124">
        <f>100*(O71/OBR_MAR23_1.1!R71)</f>
        <v>117.01931081358011</v>
      </c>
      <c r="Z71" s="124">
        <f t="shared" ref="Z71:AE85" si="1">100*((S71/S70)-1)</f>
        <v>0.20040944805086447</v>
      </c>
      <c r="AA71" s="124">
        <f t="shared" si="1"/>
        <v>0.23019988160162264</v>
      </c>
      <c r="AB71" s="124"/>
      <c r="AC71" s="124"/>
      <c r="AD71" s="124"/>
    </row>
    <row r="72" spans="1:31" ht="15.75">
      <c r="A72" s="110"/>
      <c r="B72" s="129" t="s">
        <v>178</v>
      </c>
      <c r="C72" s="122">
        <v>421.30683899999997</v>
      </c>
      <c r="D72" s="122">
        <v>140.46558516182299</v>
      </c>
      <c r="E72" s="122">
        <v>117.116551</v>
      </c>
      <c r="F72" s="122">
        <v>21.8270102</v>
      </c>
      <c r="G72" s="122">
        <v>0.81562850799999997</v>
      </c>
      <c r="H72" s="122">
        <v>679.70460366982309</v>
      </c>
      <c r="I72" s="122">
        <v>0.5390756699999999</v>
      </c>
      <c r="J72" s="122">
        <v>680.24367933982307</v>
      </c>
      <c r="K72" s="122">
        <v>191.48543900000001</v>
      </c>
      <c r="L72" s="122">
        <v>871.72911799999997</v>
      </c>
      <c r="M72" s="122">
        <v>207.04827</v>
      </c>
      <c r="N72" s="122">
        <v>5.3403307099999999</v>
      </c>
      <c r="O72" s="122">
        <v>670.02117899999996</v>
      </c>
      <c r="P72" s="155">
        <v>661.36160800000005</v>
      </c>
      <c r="Q72" s="156"/>
      <c r="R72" s="157"/>
      <c r="S72" s="124">
        <f>100*(C72/OBR_MAR23_1.1!C72)</f>
        <v>118.63086998711474</v>
      </c>
      <c r="T72" s="124">
        <f>100*(D72/OBR_MAR23_1.1!D72)</f>
        <v>117.42689854847529</v>
      </c>
      <c r="U72" s="124">
        <f>100*(E72/OBR_MAR23_1.1!E72)</f>
        <v>113.28173773349879</v>
      </c>
      <c r="V72" s="124">
        <f>100*(K72/OBR_MAR23_1.1!N72)</f>
        <v>118.08406400869687</v>
      </c>
      <c r="W72" s="124">
        <f>100*(M72/OBR_MAR23_1.1!P72)</f>
        <v>118.60980131366736</v>
      </c>
      <c r="X72" s="124">
        <f>100*(O72/OBR_MAR23_1.1!R72)</f>
        <v>117.2668139884818</v>
      </c>
      <c r="Z72" s="124">
        <f t="shared" si="1"/>
        <v>0.10162223737091303</v>
      </c>
      <c r="AA72" s="124">
        <f t="shared" si="1"/>
        <v>0.14320730204724352</v>
      </c>
      <c r="AB72" s="124"/>
      <c r="AC72" s="124"/>
      <c r="AD72" s="124"/>
    </row>
    <row r="73" spans="1:31" ht="15.75">
      <c r="A73" s="110"/>
      <c r="B73" s="129" t="s">
        <v>179</v>
      </c>
      <c r="C73" s="122">
        <v>423.62856800000003</v>
      </c>
      <c r="D73" s="122">
        <v>141.17203273833499</v>
      </c>
      <c r="E73" s="122">
        <v>118.601</v>
      </c>
      <c r="F73" s="122">
        <v>21.767243799999999</v>
      </c>
      <c r="G73" s="122">
        <v>0.81835810000000009</v>
      </c>
      <c r="H73" s="122">
        <v>684.21995883833506</v>
      </c>
      <c r="I73" s="122">
        <v>0.8093692549999999</v>
      </c>
      <c r="J73" s="122">
        <v>685.02932809333504</v>
      </c>
      <c r="K73" s="122">
        <v>191.66004699999999</v>
      </c>
      <c r="L73" s="122">
        <v>876.68937399999993</v>
      </c>
      <c r="M73" s="122">
        <v>205.88239999999999</v>
      </c>
      <c r="N73" s="122">
        <v>5.3541945800000015</v>
      </c>
      <c r="O73" s="122">
        <v>676.16116799999998</v>
      </c>
      <c r="P73" s="155">
        <v>667.59169200000008</v>
      </c>
      <c r="Q73" s="156"/>
      <c r="R73" s="157"/>
      <c r="S73" s="124">
        <f>100*(C73/OBR_MAR23_1.1!C73)</f>
        <v>118.76419409402111</v>
      </c>
      <c r="T73" s="124">
        <f>100*(D73/OBR_MAR23_1.1!D73)</f>
        <v>117.60946556730265</v>
      </c>
      <c r="U73" s="124">
        <f>100*(E73/OBR_MAR23_1.1!E73)</f>
        <v>113.66084759758263</v>
      </c>
      <c r="V73" s="124">
        <f>100*(K73/OBR_MAR23_1.1!N73)</f>
        <v>117.85411170653239</v>
      </c>
      <c r="W73" s="124">
        <f>100*(M73/OBR_MAR23_1.1!P73)</f>
        <v>118.05902610453751</v>
      </c>
      <c r="X73" s="124">
        <f>100*(O73/OBR_MAR23_1.1!R73)</f>
        <v>117.57124685024891</v>
      </c>
      <c r="Z73" s="124">
        <f t="shared" si="1"/>
        <v>0.11238567745550654</v>
      </c>
      <c r="AA73" s="124">
        <f t="shared" si="1"/>
        <v>0.15547291215562975</v>
      </c>
      <c r="AB73" s="124"/>
      <c r="AC73" s="124"/>
      <c r="AD73" s="124"/>
    </row>
    <row r="74" spans="1:31" ht="15.75">
      <c r="A74" s="110"/>
      <c r="B74" s="129" t="s">
        <v>180</v>
      </c>
      <c r="C74" s="122">
        <v>425.027243</v>
      </c>
      <c r="D74" s="122">
        <v>141.91234330795498</v>
      </c>
      <c r="E74" s="122">
        <v>120.198787</v>
      </c>
      <c r="F74" s="122">
        <v>21.7624058</v>
      </c>
      <c r="G74" s="122">
        <v>0.82073813600000001</v>
      </c>
      <c r="H74" s="122">
        <v>687.95911144395495</v>
      </c>
      <c r="I74" s="122">
        <v>1.04229485</v>
      </c>
      <c r="J74" s="122">
        <v>689.00140629395491</v>
      </c>
      <c r="K74" s="122">
        <v>191.74865599999998</v>
      </c>
      <c r="L74" s="122">
        <v>880.75006299999995</v>
      </c>
      <c r="M74" s="122">
        <v>204.45145000000002</v>
      </c>
      <c r="N74" s="122">
        <v>5.36546842</v>
      </c>
      <c r="O74" s="122">
        <v>681.66408100000001</v>
      </c>
      <c r="P74" s="155">
        <v>673.25906599999996</v>
      </c>
      <c r="Q74" s="156"/>
      <c r="R74" s="157"/>
      <c r="S74" s="124">
        <f>100*(C74/OBR_MAR23_1.1!C74)</f>
        <v>118.68854509072224</v>
      </c>
      <c r="T74" s="124">
        <f>100*(D74/OBR_MAR23_1.1!D74)</f>
        <v>117.98191758724185</v>
      </c>
      <c r="U74" s="124">
        <f>100*(E74/OBR_MAR23_1.1!E74)</f>
        <v>113.99140745152214</v>
      </c>
      <c r="V74" s="124">
        <f>100*(K74/OBR_MAR23_1.1!N74)</f>
        <v>117.56593953732499</v>
      </c>
      <c r="W74" s="124">
        <f>100*(M74/OBR_MAR23_1.1!P74)</f>
        <v>117.29669960067935</v>
      </c>
      <c r="X74" s="124">
        <f>100*(O74/OBR_MAR23_1.1!R74)</f>
        <v>117.81880584556272</v>
      </c>
      <c r="Z74" s="124">
        <f t="shared" si="1"/>
        <v>-6.3696810201041565E-2</v>
      </c>
      <c r="AA74" s="124">
        <f t="shared" si="1"/>
        <v>0.31668541145275508</v>
      </c>
      <c r="AB74" s="124"/>
      <c r="AC74" s="124"/>
      <c r="AD74" s="124"/>
    </row>
    <row r="75" spans="1:31" ht="15.75">
      <c r="A75" s="110"/>
      <c r="B75" s="129" t="s">
        <v>181</v>
      </c>
      <c r="C75" s="122">
        <v>427.187363</v>
      </c>
      <c r="D75" s="122">
        <v>142.70666985020699</v>
      </c>
      <c r="E75" s="122">
        <v>121.72141599999999</v>
      </c>
      <c r="F75" s="122">
        <v>21.782099600000002</v>
      </c>
      <c r="G75" s="122">
        <v>0.82353302399999995</v>
      </c>
      <c r="H75" s="122">
        <v>692.438981874207</v>
      </c>
      <c r="I75" s="122">
        <v>1.2502755299999999</v>
      </c>
      <c r="J75" s="122">
        <v>693.68925740420707</v>
      </c>
      <c r="K75" s="122">
        <v>191.75641300000001</v>
      </c>
      <c r="L75" s="122">
        <v>885.44567000000006</v>
      </c>
      <c r="M75" s="122">
        <v>203.19588099999999</v>
      </c>
      <c r="N75" s="122">
        <v>5.3829480999999992</v>
      </c>
      <c r="O75" s="122">
        <v>687.63273800000002</v>
      </c>
      <c r="P75" s="155">
        <v>679.265717</v>
      </c>
      <c r="Q75" s="156"/>
      <c r="R75" s="157"/>
      <c r="S75" s="124">
        <f>100*(C75/OBR_MAR23_1.1!C75)</f>
        <v>118.85857110531775</v>
      </c>
      <c r="T75" s="124">
        <f>100*(D75/OBR_MAR23_1.1!D75)</f>
        <v>118.3268662060285</v>
      </c>
      <c r="U75" s="124">
        <f>100*(E75/OBR_MAR23_1.1!E75)</f>
        <v>114.3795865488265</v>
      </c>
      <c r="V75" s="124">
        <f>100*(K75/OBR_MAR23_1.1!N75)</f>
        <v>117.31312033515793</v>
      </c>
      <c r="W75" s="124">
        <f>100*(M75/OBR_MAR23_1.1!P75)</f>
        <v>116.6317302738988</v>
      </c>
      <c r="X75" s="124">
        <f>100*(O75/OBR_MAR23_1.1!R75)</f>
        <v>118.20263717790698</v>
      </c>
      <c r="Z75" s="124">
        <f t="shared" si="1"/>
        <v>0.14325393782992357</v>
      </c>
      <c r="AA75" s="124">
        <f t="shared" si="1"/>
        <v>0.29237414159808406</v>
      </c>
      <c r="AB75" s="124"/>
      <c r="AC75" s="124"/>
      <c r="AD75" s="124"/>
    </row>
    <row r="76" spans="1:31" ht="15.75">
      <c r="A76" s="110"/>
      <c r="B76" s="129" t="s">
        <v>182</v>
      </c>
      <c r="C76" s="122">
        <v>428.98975000000002</v>
      </c>
      <c r="D76" s="122">
        <v>143.55501236509102</v>
      </c>
      <c r="E76" s="122">
        <v>123.18230199999999</v>
      </c>
      <c r="F76" s="122">
        <v>21.826325199999999</v>
      </c>
      <c r="G76" s="122">
        <v>0.82605507899999997</v>
      </c>
      <c r="H76" s="122">
        <v>696.55311944409095</v>
      </c>
      <c r="I76" s="122">
        <v>1.2566219599999999</v>
      </c>
      <c r="J76" s="122">
        <v>697.80974140409103</v>
      </c>
      <c r="K76" s="122">
        <v>191.29235600000001</v>
      </c>
      <c r="L76" s="122">
        <v>889.10209799999996</v>
      </c>
      <c r="M76" s="122">
        <v>202.02018900000002</v>
      </c>
      <c r="N76" s="122">
        <v>5.3916234799999998</v>
      </c>
      <c r="O76" s="122">
        <v>692.47353199999998</v>
      </c>
      <c r="P76" s="155">
        <v>684.07646200000011</v>
      </c>
      <c r="Q76" s="156"/>
      <c r="R76" s="157"/>
      <c r="S76" s="124">
        <f>100*(C76/OBR_MAR23_1.1!C76)</f>
        <v>118.90939199113582</v>
      </c>
      <c r="T76" s="124">
        <f>100*(D76/OBR_MAR23_1.1!D76)</f>
        <v>118.64355650093698</v>
      </c>
      <c r="U76" s="124">
        <f>100*(E76/OBR_MAR23_1.1!E76)</f>
        <v>114.72987203964351</v>
      </c>
      <c r="V76" s="124">
        <f>100*(K76/OBR_MAR23_1.1!N76)</f>
        <v>116.76668119061304</v>
      </c>
      <c r="W76" s="124">
        <f>100*(M76/OBR_MAR23_1.1!P76)</f>
        <v>116.00932560261398</v>
      </c>
      <c r="X76" s="124">
        <f>100*(O76/OBR_MAR23_1.1!R76)</f>
        <v>118.39313744868625</v>
      </c>
      <c r="Z76" s="124">
        <f t="shared" si="1"/>
        <v>4.2757443022800601E-2</v>
      </c>
      <c r="AA76" s="124">
        <f t="shared" si="1"/>
        <v>0.26764022834599999</v>
      </c>
      <c r="AB76" s="124"/>
      <c r="AC76" s="124"/>
      <c r="AD76" s="124"/>
    </row>
    <row r="77" spans="1:31" ht="15.75">
      <c r="A77" s="110"/>
      <c r="B77" s="129" t="s">
        <v>183</v>
      </c>
      <c r="C77" s="122">
        <v>431.38368500000001</v>
      </c>
      <c r="D77" s="122">
        <v>144.457370852606</v>
      </c>
      <c r="E77" s="122">
        <v>124.65874000000001</v>
      </c>
      <c r="F77" s="122">
        <v>21.895082600000002</v>
      </c>
      <c r="G77" s="122">
        <v>0.82882080599999997</v>
      </c>
      <c r="H77" s="122">
        <v>701.32861665860594</v>
      </c>
      <c r="I77" s="122">
        <v>0.90060017300000006</v>
      </c>
      <c r="J77" s="122">
        <v>702.22921683160598</v>
      </c>
      <c r="K77" s="122">
        <v>191.164108</v>
      </c>
      <c r="L77" s="122">
        <v>893.39332400000001</v>
      </c>
      <c r="M77" s="122">
        <v>201.47262000000001</v>
      </c>
      <c r="N77" s="122">
        <v>5.4006974200000002</v>
      </c>
      <c r="O77" s="122">
        <v>697.32140099999992</v>
      </c>
      <c r="P77" s="155">
        <v>688.885355</v>
      </c>
      <c r="Q77" s="156"/>
      <c r="R77" s="157"/>
      <c r="S77" s="124">
        <f>100*(C77/OBR_MAR23_1.1!C77)</f>
        <v>119.10194307315348</v>
      </c>
      <c r="T77" s="124">
        <f>100*(D77/OBR_MAR23_1.1!D77)</f>
        <v>118.87202536298081</v>
      </c>
      <c r="U77" s="124">
        <f>100*(E77/OBR_MAR23_1.1!E77)</f>
        <v>115.11400101396727</v>
      </c>
      <c r="V77" s="124">
        <f>100*(K77/OBR_MAR23_1.1!N77)</f>
        <v>116.4763163776361</v>
      </c>
      <c r="W77" s="124">
        <f>100*(M77/OBR_MAR23_1.1!P77)</f>
        <v>115.79958776808658</v>
      </c>
      <c r="X77" s="124">
        <f>100*(O77/OBR_MAR23_1.1!R77)</f>
        <v>118.59238955070566</v>
      </c>
      <c r="Z77" s="124">
        <f t="shared" si="1"/>
        <v>0.16193092807337273</v>
      </c>
      <c r="AA77" s="124">
        <f t="shared" si="1"/>
        <v>0.19256744216196164</v>
      </c>
      <c r="AB77" s="124"/>
      <c r="AC77" s="124"/>
      <c r="AD77" s="124"/>
    </row>
    <row r="78" spans="1:31" ht="15.75">
      <c r="A78" s="110"/>
      <c r="B78" s="129" t="s">
        <v>184</v>
      </c>
      <c r="C78" s="122">
        <v>434.37131199999999</v>
      </c>
      <c r="D78" s="122">
        <v>145.41374531275198</v>
      </c>
      <c r="E78" s="122">
        <v>125.11964900000001</v>
      </c>
      <c r="F78" s="122">
        <v>21.988371699999998</v>
      </c>
      <c r="G78" s="122">
        <v>0.831834776</v>
      </c>
      <c r="H78" s="122">
        <v>705.73654108875201</v>
      </c>
      <c r="I78" s="122">
        <v>1.36682485</v>
      </c>
      <c r="J78" s="122">
        <v>707.10336593875195</v>
      </c>
      <c r="K78" s="122">
        <v>191.66681199999999</v>
      </c>
      <c r="L78" s="122">
        <v>898.77017799999999</v>
      </c>
      <c r="M78" s="122">
        <v>201.11461199999999</v>
      </c>
      <c r="N78" s="122">
        <v>5.4178060699999993</v>
      </c>
      <c r="O78" s="122">
        <v>703.07337199999995</v>
      </c>
      <c r="P78" s="155">
        <v>694.60656700000004</v>
      </c>
      <c r="Q78" s="156"/>
      <c r="R78" s="157"/>
      <c r="S78" s="124">
        <f>100*(C78/OBR_MAR23_1.1!C78)</f>
        <v>119.39986007798144</v>
      </c>
      <c r="T78" s="124">
        <f>100*(D78/OBR_MAR23_1.1!D78)</f>
        <v>119.12977592967739</v>
      </c>
      <c r="U78" s="124">
        <f>100*(E78/OBR_MAR23_1.1!E78)</f>
        <v>115.53260752032276</v>
      </c>
      <c r="V78" s="124">
        <f>100*(K78/OBR_MAR23_1.1!N78)</f>
        <v>116.63212407665486</v>
      </c>
      <c r="W78" s="124">
        <f>100*(M78/OBR_MAR23_1.1!P78)</f>
        <v>115.81152053405157</v>
      </c>
      <c r="X78" s="124">
        <f>100*(O78/OBR_MAR23_1.1!R78)</f>
        <v>118.96807371600313</v>
      </c>
      <c r="Z78" s="124">
        <f t="shared" si="1"/>
        <v>0.2501361414775527</v>
      </c>
      <c r="AA78" s="124">
        <f t="shared" si="1"/>
        <v>0.21683029788508446</v>
      </c>
      <c r="AB78" s="124"/>
      <c r="AC78" s="124"/>
      <c r="AD78" s="124"/>
    </row>
    <row r="79" spans="1:31" ht="15.75">
      <c r="A79" s="110"/>
      <c r="B79" s="129" t="s">
        <v>185</v>
      </c>
      <c r="C79" s="122">
        <v>438.14366600000005</v>
      </c>
      <c r="D79" s="122">
        <v>146.50412439598202</v>
      </c>
      <c r="E79" s="122">
        <v>125.47716199999999</v>
      </c>
      <c r="F79" s="122">
        <v>22.059108999999999</v>
      </c>
      <c r="G79" s="122">
        <v>0.83524607299999998</v>
      </c>
      <c r="H79" s="122">
        <v>710.96019846898207</v>
      </c>
      <c r="I79" s="122">
        <v>1.6807346299999999</v>
      </c>
      <c r="J79" s="122">
        <v>712.64093309898203</v>
      </c>
      <c r="K79" s="122">
        <v>192.20123699999999</v>
      </c>
      <c r="L79" s="122">
        <v>904.84216900000001</v>
      </c>
      <c r="M79" s="122">
        <v>200.84574900000001</v>
      </c>
      <c r="N79" s="122">
        <v>5.4397188100000005</v>
      </c>
      <c r="O79" s="122">
        <v>709.43613899999991</v>
      </c>
      <c r="P79" s="155">
        <v>700.87164099999995</v>
      </c>
      <c r="Q79" s="156"/>
      <c r="R79" s="157"/>
      <c r="S79" s="124">
        <f>100*(C79/OBR_MAR23_1.1!C79)</f>
        <v>119.8714180639189</v>
      </c>
      <c r="T79" s="124">
        <f>100*(D79/OBR_MAR23_1.1!D79)</f>
        <v>119.55177360098925</v>
      </c>
      <c r="U79" s="124">
        <f>100*(E79/OBR_MAR23_1.1!E79)</f>
        <v>116.00639922886768</v>
      </c>
      <c r="V79" s="124">
        <f>100*(K79/OBR_MAR23_1.1!N79)</f>
        <v>116.82898818586015</v>
      </c>
      <c r="W79" s="124">
        <f>100*(M79/OBR_MAR23_1.1!P79)</f>
        <v>115.99569786418937</v>
      </c>
      <c r="X79" s="124">
        <f>100*(O79/OBR_MAR23_1.1!R79)</f>
        <v>119.44924931126396</v>
      </c>
      <c r="Z79" s="124">
        <f t="shared" si="1"/>
        <v>0.39494014953573853</v>
      </c>
      <c r="AA79" s="124">
        <f t="shared" si="1"/>
        <v>0.35423358099906377</v>
      </c>
      <c r="AB79" s="124"/>
      <c r="AC79" s="124"/>
      <c r="AD79" s="124"/>
      <c r="AE79" s="124"/>
    </row>
    <row r="80" spans="1:31" ht="15.75">
      <c r="A80" s="110"/>
      <c r="B80" s="129" t="s">
        <v>186</v>
      </c>
      <c r="C80" s="122">
        <v>442.10526600000003</v>
      </c>
      <c r="D80" s="122">
        <v>147.728508102295</v>
      </c>
      <c r="E80" s="122">
        <v>125.411851</v>
      </c>
      <c r="F80" s="122">
        <v>22.107294599999999</v>
      </c>
      <c r="G80" s="122">
        <v>0.838567281</v>
      </c>
      <c r="H80" s="122">
        <v>716.08419238329509</v>
      </c>
      <c r="I80" s="122">
        <v>1.9264442500000001</v>
      </c>
      <c r="J80" s="122">
        <v>718.01063663329501</v>
      </c>
      <c r="K80" s="122">
        <v>192.92358199999998</v>
      </c>
      <c r="L80" s="122">
        <v>910.93421899999998</v>
      </c>
      <c r="M80" s="122">
        <v>200.96574600000002</v>
      </c>
      <c r="N80" s="122">
        <v>5.4594943000000002</v>
      </c>
      <c r="O80" s="122">
        <v>715.42796699999997</v>
      </c>
      <c r="P80" s="155">
        <v>706.87190599999997</v>
      </c>
      <c r="Q80" s="156"/>
      <c r="R80" s="157"/>
      <c r="S80" s="124">
        <f>100*(C80/OBR_MAR23_1.1!C80)</f>
        <v>120.35467908169153</v>
      </c>
      <c r="T80" s="124">
        <f>100*(D80/OBR_MAR23_1.1!D80)</f>
        <v>119.89844191995647</v>
      </c>
      <c r="U80" s="124">
        <f>100*(E80/OBR_MAR23_1.1!E80)</f>
        <v>116.46767741349606</v>
      </c>
      <c r="V80" s="124">
        <f>100*(K80/OBR_MAR23_1.1!N80)</f>
        <v>117.13664451495653</v>
      </c>
      <c r="W80" s="124">
        <f>100*(M80/OBR_MAR23_1.1!P80)</f>
        <v>116.40429555643085</v>
      </c>
      <c r="X80" s="124">
        <f>100*(O80/OBR_MAR23_1.1!R80)</f>
        <v>119.88349374136756</v>
      </c>
      <c r="Z80" s="124">
        <f t="shared" si="1"/>
        <v>0.40314949599991046</v>
      </c>
      <c r="AA80" s="124">
        <f t="shared" si="1"/>
        <v>0.28997338017271446</v>
      </c>
      <c r="AB80" s="124"/>
      <c r="AC80" s="124"/>
      <c r="AD80" s="124"/>
      <c r="AE80" s="124"/>
    </row>
    <row r="81" spans="1:31" ht="15.75">
      <c r="A81" s="110"/>
      <c r="B81" s="129" t="s">
        <v>187</v>
      </c>
      <c r="C81" s="122">
        <v>446.135493</v>
      </c>
      <c r="D81" s="122">
        <v>149.086896431692</v>
      </c>
      <c r="E81" s="122">
        <v>125.151015</v>
      </c>
      <c r="F81" s="122">
        <v>22.1329283</v>
      </c>
      <c r="G81" s="122">
        <v>0.84197414599999998</v>
      </c>
      <c r="H81" s="122">
        <v>721.21537857769192</v>
      </c>
      <c r="I81" s="122">
        <v>2.2443745900000001</v>
      </c>
      <c r="J81" s="122">
        <v>723.45975316769204</v>
      </c>
      <c r="K81" s="122">
        <v>193.68821199999999</v>
      </c>
      <c r="L81" s="122">
        <v>917.147965</v>
      </c>
      <c r="M81" s="122">
        <v>200.99353600000001</v>
      </c>
      <c r="N81" s="122">
        <v>5.4816212699999998</v>
      </c>
      <c r="O81" s="122">
        <v>721.63605000000007</v>
      </c>
      <c r="P81" s="155">
        <v>713.21148400000004</v>
      </c>
      <c r="Q81" s="122"/>
      <c r="R81" s="122"/>
      <c r="S81" s="124">
        <f>100*(C81/OBR_MAR23_1.1!C81)</f>
        <v>120.82253909145852</v>
      </c>
      <c r="T81" s="124">
        <f>100*(D81/OBR_MAR23_1.1!D81)</f>
        <v>120.40591005090863</v>
      </c>
      <c r="U81" s="124">
        <f>100*(E81/OBR_MAR23_1.1!E81)</f>
        <v>116.94085330026908</v>
      </c>
      <c r="V81" s="124">
        <f>100*(K81/OBR_MAR23_1.1!N81)</f>
        <v>117.46643441940921</v>
      </c>
      <c r="W81" s="124">
        <f>100*(M81/OBR_MAR23_1.1!P81)</f>
        <v>116.75983929789831</v>
      </c>
      <c r="X81" s="124">
        <f>100*(O81/OBR_MAR23_1.1!R81)</f>
        <v>120.36937353329813</v>
      </c>
      <c r="Z81" s="124">
        <f t="shared" si="1"/>
        <v>0.38873437521231846</v>
      </c>
      <c r="AA81" s="124">
        <f t="shared" si="1"/>
        <v>0.42324831150928333</v>
      </c>
      <c r="AB81" s="124"/>
      <c r="AC81" s="124"/>
      <c r="AD81" s="124"/>
      <c r="AE81" s="124"/>
    </row>
    <row r="82" spans="1:31" ht="15.75">
      <c r="A82" s="110"/>
      <c r="B82" s="129" t="s">
        <v>188</v>
      </c>
      <c r="C82" s="122">
        <v>449.68308100000002</v>
      </c>
      <c r="D82" s="122">
        <v>150.57928938417098</v>
      </c>
      <c r="E82" s="122">
        <v>126.14556399999999</v>
      </c>
      <c r="F82" s="122">
        <v>22.136010300000006</v>
      </c>
      <c r="G82" s="122">
        <v>0.84524501899999993</v>
      </c>
      <c r="H82" s="122">
        <v>727.25317940317109</v>
      </c>
      <c r="I82" s="122">
        <v>1.7400898600000001</v>
      </c>
      <c r="J82" s="122">
        <v>728.99326926317099</v>
      </c>
      <c r="K82" s="122">
        <v>194.439911</v>
      </c>
      <c r="L82" s="122">
        <v>923.43318000000011</v>
      </c>
      <c r="M82" s="122">
        <v>201.18296699999999</v>
      </c>
      <c r="N82" s="122">
        <v>5.5030505999999999</v>
      </c>
      <c r="O82" s="122">
        <v>727.75326399999994</v>
      </c>
      <c r="P82" s="155">
        <v>719.46068700000001</v>
      </c>
      <c r="Q82" s="122"/>
      <c r="R82" s="122"/>
      <c r="S82" s="124">
        <f>100*(C82/OBR_MAR23_1.1!C82)</f>
        <v>121.27141097718541</v>
      </c>
      <c r="T82" s="124">
        <f>100*(D82/OBR_MAR23_1.1!D82)</f>
        <v>121.01317110915681</v>
      </c>
      <c r="U82" s="124">
        <f>100*(E82/OBR_MAR23_1.1!E82)</f>
        <v>117.3951419972143</v>
      </c>
      <c r="V82" s="124">
        <f>100*(K82/OBR_MAR23_1.1!N82)</f>
        <v>117.78486853829457</v>
      </c>
      <c r="W82" s="124">
        <f>100*(M82/OBR_MAR23_1.1!P82)</f>
        <v>117.04172245937107</v>
      </c>
      <c r="X82" s="124">
        <f>100*(O82/OBR_MAR23_1.1!R82)</f>
        <v>120.83993418804064</v>
      </c>
      <c r="Z82" s="124">
        <f t="shared" si="1"/>
        <v>0.3715133691960526</v>
      </c>
      <c r="AA82" s="124">
        <f t="shared" si="1"/>
        <v>0.50434489303010643</v>
      </c>
      <c r="AB82" s="124"/>
      <c r="AC82" s="124"/>
      <c r="AD82" s="124"/>
      <c r="AE82" s="124"/>
    </row>
    <row r="83" spans="1:31" ht="15.75">
      <c r="A83" s="110"/>
      <c r="B83" s="129" t="s">
        <v>189</v>
      </c>
      <c r="C83" s="122">
        <v>454.02480699999995</v>
      </c>
      <c r="D83" s="122">
        <v>151.698584098531</v>
      </c>
      <c r="E83" s="122">
        <v>127.18857300000001</v>
      </c>
      <c r="F83" s="122">
        <v>22.138321699999999</v>
      </c>
      <c r="G83" s="122">
        <v>0.84896092000000001</v>
      </c>
      <c r="H83" s="122">
        <v>733.76092501853088</v>
      </c>
      <c r="I83" s="122">
        <v>1.5000944700000001</v>
      </c>
      <c r="J83" s="122">
        <v>735.26101948853091</v>
      </c>
      <c r="K83" s="122">
        <v>195.26476300000002</v>
      </c>
      <c r="L83" s="122">
        <v>930.52578200000005</v>
      </c>
      <c r="M83" s="122">
        <v>201.541225</v>
      </c>
      <c r="N83" s="122">
        <v>5.5297160199999995</v>
      </c>
      <c r="O83" s="122">
        <v>734.514273</v>
      </c>
      <c r="P83" s="155">
        <v>726.05426100000011</v>
      </c>
      <c r="Q83" s="122"/>
      <c r="R83" s="122"/>
      <c r="S83" s="124">
        <f>100*(C83/OBR_MAR23_1.1!C83)</f>
        <v>121.9336499275889</v>
      </c>
      <c r="T83" s="124">
        <f>100*(D83/OBR_MAR23_1.1!D83)</f>
        <v>121.43216373285395</v>
      </c>
      <c r="U83" s="124">
        <f>100*(E83/OBR_MAR23_1.1!E83)</f>
        <v>117.9112388394753</v>
      </c>
      <c r="V83" s="124">
        <f>100*(K83/OBR_MAR23_1.1!N83)</f>
        <v>118.14410558494122</v>
      </c>
      <c r="W83" s="124">
        <f>100*(M83/OBR_MAR23_1.1!P83)</f>
        <v>117.3654306358232</v>
      </c>
      <c r="X83" s="124">
        <f>100*(O83/OBR_MAR23_1.1!R83)</f>
        <v>121.42547261049003</v>
      </c>
      <c r="Z83" s="124">
        <f t="shared" si="1"/>
        <v>0.54608002419307411</v>
      </c>
      <c r="AA83" s="124">
        <f t="shared" si="1"/>
        <v>0.34623720695592386</v>
      </c>
      <c r="AB83" s="124">
        <f t="shared" si="1"/>
        <v>0.43962367903882527</v>
      </c>
      <c r="AC83" s="124">
        <f t="shared" si="1"/>
        <v>0.30499422472916038</v>
      </c>
      <c r="AD83" s="124">
        <f t="shared" si="1"/>
        <v>0.27657502781923693</v>
      </c>
      <c r="AE83" s="124">
        <f t="shared" si="1"/>
        <v>0.48455705175924901</v>
      </c>
    </row>
    <row r="84" spans="1:31" ht="15.75">
      <c r="A84" s="110"/>
      <c r="B84" s="129" t="s">
        <v>190</v>
      </c>
      <c r="C84" s="122">
        <v>458.36468199999996</v>
      </c>
      <c r="D84" s="122">
        <v>152.44478057476999</v>
      </c>
      <c r="E84" s="122">
        <v>128.14184299999999</v>
      </c>
      <c r="F84" s="122">
        <v>22.139862700000002</v>
      </c>
      <c r="G84" s="122">
        <v>0.85250292800000005</v>
      </c>
      <c r="H84" s="122">
        <v>739.80380850276993</v>
      </c>
      <c r="I84" s="122">
        <v>1.63931494</v>
      </c>
      <c r="J84" s="122">
        <v>741.44312344276989</v>
      </c>
      <c r="K84" s="122">
        <v>196.03903700000001</v>
      </c>
      <c r="L84" s="122">
        <v>937.48216100000002</v>
      </c>
      <c r="M84" s="122">
        <v>202.23282699999999</v>
      </c>
      <c r="N84" s="122">
        <v>5.5529050800000004</v>
      </c>
      <c r="O84" s="122">
        <v>740.80223899999999</v>
      </c>
      <c r="P84" s="155">
        <v>732.29042500000003</v>
      </c>
      <c r="Q84" s="122"/>
      <c r="R84" s="122"/>
      <c r="S84" s="124">
        <f>100*(C84/OBR_MAR23_1.1!C84)</f>
        <v>122.60262099129618</v>
      </c>
      <c r="T84" s="124">
        <f>100*(D84/OBR_MAR23_1.1!D84)</f>
        <v>121.48621996249585</v>
      </c>
      <c r="U84" s="124">
        <f>100*(E84/OBR_MAR23_1.1!E84)</f>
        <v>118.40318425087879</v>
      </c>
      <c r="V84" s="124">
        <f>100*(K84/OBR_MAR23_1.1!N84)</f>
        <v>118.58421680347884</v>
      </c>
      <c r="W84" s="124">
        <f>100*(M84/OBR_MAR23_1.1!P84)</f>
        <v>117.82660415746619</v>
      </c>
      <c r="X84" s="124">
        <f>100*(O84/OBR_MAR23_1.1!R84)</f>
        <v>121.93467450134494</v>
      </c>
      <c r="Z84" s="124">
        <f t="shared" si="1"/>
        <v>0.54863531445548119</v>
      </c>
      <c r="AA84" s="124">
        <f t="shared" si="1"/>
        <v>4.4515578064485695E-2</v>
      </c>
      <c r="AB84" s="124">
        <f t="shared" si="1"/>
        <v>0.41721672695953504</v>
      </c>
      <c r="AC84" s="124">
        <f t="shared" si="1"/>
        <v>0.37252067410269429</v>
      </c>
      <c r="AD84" s="124">
        <f t="shared" si="1"/>
        <v>0.39293812423693009</v>
      </c>
      <c r="AE84" s="124">
        <f t="shared" si="1"/>
        <v>0.41935343540999703</v>
      </c>
    </row>
    <row r="85" spans="1:31" ht="15.75">
      <c r="A85" s="110"/>
      <c r="B85" s="158" t="s">
        <v>191</v>
      </c>
      <c r="C85" s="131">
        <v>462.641775</v>
      </c>
      <c r="D85" s="131">
        <v>152.81787881289</v>
      </c>
      <c r="E85" s="131">
        <v>129.07065700000001</v>
      </c>
      <c r="F85" s="172">
        <v>22.1406332</v>
      </c>
      <c r="G85" s="131">
        <v>0.85610873300000001</v>
      </c>
      <c r="H85" s="131">
        <v>745.38641954589002</v>
      </c>
      <c r="I85" s="131">
        <v>1.83294044</v>
      </c>
      <c r="J85" s="131">
        <v>747.21935998589015</v>
      </c>
      <c r="K85" s="131">
        <v>196.85296100000002</v>
      </c>
      <c r="L85" s="131">
        <v>944.07231999999999</v>
      </c>
      <c r="M85" s="131">
        <v>202.92151500000003</v>
      </c>
      <c r="N85" s="131">
        <v>5.5731367299999999</v>
      </c>
      <c r="O85" s="131">
        <v>746.72394099999997</v>
      </c>
      <c r="P85" s="159">
        <v>738.34259499999996</v>
      </c>
      <c r="Q85" s="156"/>
      <c r="R85" s="157"/>
      <c r="S85" s="124">
        <f>100*(C85/OBR_MAR23_1.1!C85)</f>
        <v>123.25118110444522</v>
      </c>
      <c r="T85" s="124">
        <f>100*(D85/OBR_MAR23_1.1!D85)</f>
        <v>121.23966863179683</v>
      </c>
      <c r="U85" s="124">
        <f>100*(E85/OBR_MAR23_1.1!E85)</f>
        <v>118.90399108773835</v>
      </c>
      <c r="V85" s="124">
        <f>100*(K85/OBR_MAR23_1.1!N85)</f>
        <v>119.04581579482132</v>
      </c>
      <c r="W85" s="124">
        <f>100*(M85/OBR_MAR23_1.1!P85)</f>
        <v>118.28544085129525</v>
      </c>
      <c r="X85" s="124">
        <f>100*(O85/OBR_MAR23_1.1!R85)</f>
        <v>122.37893576638335</v>
      </c>
      <c r="Z85" s="124">
        <f t="shared" si="1"/>
        <v>0.52899367721925827</v>
      </c>
      <c r="AA85" s="124">
        <f t="shared" si="1"/>
        <v>-0.2029459232291031</v>
      </c>
      <c r="AB85" s="124">
        <f t="shared" si="1"/>
        <v>0.42296737205851365</v>
      </c>
      <c r="AC85" s="124">
        <f t="shared" si="1"/>
        <v>0.3892583716325948</v>
      </c>
      <c r="AD85" s="124">
        <f t="shared" si="1"/>
        <v>0.3894168868822323</v>
      </c>
      <c r="AE85" s="124">
        <f t="shared" si="1"/>
        <v>0.36434366750492941</v>
      </c>
    </row>
    <row r="86" spans="1:31" ht="15.75">
      <c r="A86" s="110"/>
      <c r="B86" s="129">
        <v>2008</v>
      </c>
      <c r="C86" s="122">
        <v>1018.976</v>
      </c>
      <c r="D86" s="122">
        <v>325.36200000000002</v>
      </c>
      <c r="E86" s="122">
        <v>279.553</v>
      </c>
      <c r="F86" s="122">
        <f ca="1">SUM(OFFSET(F$5,(ROW(F86)-ROW(F$86))*4,0):OFFSET(F$8,(ROW(F86)-ROW(F$86))*4,0))</f>
        <v>46.855000000000004</v>
      </c>
      <c r="G86" s="122">
        <v>-0.189</v>
      </c>
      <c r="H86" s="122">
        <v>1623.702</v>
      </c>
      <c r="I86" s="122">
        <v>-0.44700000000000001</v>
      </c>
      <c r="J86" s="122">
        <v>1623.2550000000001</v>
      </c>
      <c r="K86" s="122">
        <v>435.49900000000002</v>
      </c>
      <c r="L86" s="122">
        <v>2058.7539999999999</v>
      </c>
      <c r="M86" s="122">
        <v>464.017</v>
      </c>
      <c r="N86" s="122">
        <v>0</v>
      </c>
      <c r="O86" s="122">
        <v>1594.7370000000001</v>
      </c>
      <c r="P86" s="123">
        <v>1573.6410000000001</v>
      </c>
      <c r="Q86" s="156"/>
      <c r="R86" s="157"/>
      <c r="S86" s="124">
        <f>100*(C86/OBR_MAR23_1.1!C86)</f>
        <v>84.531948270870302</v>
      </c>
      <c r="T86" s="124">
        <f>100*(D86/OBR_MAR23_1.1!D86)</f>
        <v>86.158482332005775</v>
      </c>
      <c r="U86" s="124">
        <f>100*(E86/OBR_MAR23_1.1!E86)</f>
        <v>82.411987712771278</v>
      </c>
      <c r="V86" s="124">
        <f>100*(K86/OBR_MAR23_1.1!N86)</f>
        <v>79.526637375961897</v>
      </c>
      <c r="W86" s="124">
        <f>100*(M86/OBR_MAR23_1.1!P86)</f>
        <v>85.892013260944822</v>
      </c>
      <c r="X86" s="124">
        <f>100*(O86/OBR_MAR23_1.1!R86)</f>
        <v>83.143054663452318</v>
      </c>
      <c r="Z86" s="124"/>
      <c r="AA86" s="124"/>
      <c r="AB86" s="124"/>
      <c r="AC86" s="124"/>
      <c r="AD86" s="124"/>
      <c r="AE86" s="124"/>
    </row>
    <row r="87" spans="1:31" ht="15.75">
      <c r="A87" s="110"/>
      <c r="B87" s="129">
        <v>2009</v>
      </c>
      <c r="C87" s="122">
        <v>998.84799999999996</v>
      </c>
      <c r="D87" s="122">
        <v>341.27100000000002</v>
      </c>
      <c r="E87" s="122">
        <v>248.78100000000001</v>
      </c>
      <c r="F87" s="122">
        <f ca="1">SUM(OFFSET(F$5,(ROW(F87)-ROW(F$86))*4,0):OFFSET(F$8,(ROW(F87)-ROW(F$86))*4,0))</f>
        <v>50.733000000000004</v>
      </c>
      <c r="G87" s="122">
        <v>2.3519999999999999</v>
      </c>
      <c r="H87" s="122">
        <v>1591.252</v>
      </c>
      <c r="I87" s="122">
        <v>-18.7</v>
      </c>
      <c r="J87" s="122">
        <v>1572.5519999999999</v>
      </c>
      <c r="K87" s="122">
        <v>413.25400000000002</v>
      </c>
      <c r="L87" s="122">
        <v>1985.808</v>
      </c>
      <c r="M87" s="122">
        <v>433.92599999999999</v>
      </c>
      <c r="N87" s="122">
        <v>0</v>
      </c>
      <c r="O87" s="122">
        <v>1551.8820000000001</v>
      </c>
      <c r="P87" s="123">
        <v>1538.8219999999999</v>
      </c>
      <c r="Q87" s="156"/>
      <c r="R87" s="157"/>
      <c r="S87" s="124">
        <f>100*(C87/OBR_MAR23_1.1!C87)</f>
        <v>85.386073882588676</v>
      </c>
      <c r="T87" s="124">
        <f>100*(D87/OBR_MAR23_1.1!D87)</f>
        <v>89.124479323087371</v>
      </c>
      <c r="U87" s="124">
        <f>100*(E87/OBR_MAR23_1.1!E87)</f>
        <v>83.908732166346255</v>
      </c>
      <c r="V87" s="124">
        <f>100*(K87/OBR_MAR23_1.1!N87)</f>
        <v>82.937431764177006</v>
      </c>
      <c r="W87" s="124">
        <f>100*(M87/OBR_MAR23_1.1!P87)</f>
        <v>86.751887275286293</v>
      </c>
      <c r="X87" s="124">
        <f>100*(O87/OBR_MAR23_1.1!R87)</f>
        <v>84.730528787092908</v>
      </c>
      <c r="Z87" s="124">
        <f t="shared" ref="Z87:AE102" si="2">100*((S87/S86)-1)</f>
        <v>1.0104175157319872</v>
      </c>
      <c r="AA87" s="124">
        <f t="shared" si="2"/>
        <v>3.4424898289785677</v>
      </c>
      <c r="AB87" s="124">
        <f t="shared" si="2"/>
        <v>1.8161732232348848</v>
      </c>
      <c r="AC87" s="124">
        <f t="shared" si="2"/>
        <v>4.2888703719366372</v>
      </c>
      <c r="AD87" s="124">
        <f t="shared" si="2"/>
        <v>1.0011105592892866</v>
      </c>
      <c r="AE87" s="124">
        <f t="shared" si="2"/>
        <v>1.9093286024507883</v>
      </c>
    </row>
    <row r="88" spans="1:31" ht="15.75">
      <c r="A88" s="110"/>
      <c r="B88" s="129">
        <v>2010</v>
      </c>
      <c r="C88" s="122">
        <v>1030.5809999999999</v>
      </c>
      <c r="D88" s="122">
        <v>347.23399999999998</v>
      </c>
      <c r="E88" s="122">
        <v>257.476</v>
      </c>
      <c r="F88" s="122">
        <f ca="1">SUM(OFFSET(F$5,(ROW(F88)-ROW(F$86))*4,0):OFFSET(F$8,(ROW(F88)-ROW(F$86))*4,0))</f>
        <v>50.537999999999997</v>
      </c>
      <c r="G88" s="122">
        <v>0.44</v>
      </c>
      <c r="H88" s="122">
        <v>1635.731</v>
      </c>
      <c r="I88" s="122">
        <v>3.859</v>
      </c>
      <c r="J88" s="122">
        <v>1639.59</v>
      </c>
      <c r="K88" s="122">
        <v>460.49</v>
      </c>
      <c r="L88" s="122">
        <v>2100.078</v>
      </c>
      <c r="M88" s="122">
        <v>487.697</v>
      </c>
      <c r="N88" s="122">
        <v>0</v>
      </c>
      <c r="O88" s="122">
        <v>1612.3810000000001</v>
      </c>
      <c r="P88" s="123">
        <v>1613.049</v>
      </c>
      <c r="Q88" s="156"/>
      <c r="R88" s="157"/>
      <c r="S88" s="124">
        <f>100*(C88/OBR_MAR23_1.1!C88)</f>
        <v>86.383132095873123</v>
      </c>
      <c r="T88" s="124">
        <f>100*(D88/OBR_MAR23_1.1!D88)</f>
        <v>90.541527165013505</v>
      </c>
      <c r="U88" s="124">
        <f>100*(E88/OBR_MAR23_1.1!E88)</f>
        <v>83.01794322010673</v>
      </c>
      <c r="V88" s="124">
        <f>100*(K88/OBR_MAR23_1.1!N88)</f>
        <v>86.506399358279538</v>
      </c>
      <c r="W88" s="124">
        <f>100*(M88/OBR_MAR23_1.1!P88)</f>
        <v>90.049945991857228</v>
      </c>
      <c r="X88" s="124">
        <f>100*(O88/OBR_MAR23_1.1!R88)</f>
        <v>85.94515734588164</v>
      </c>
      <c r="Z88" s="124">
        <f t="shared" si="2"/>
        <v>1.1677058892009429</v>
      </c>
      <c r="AA88" s="124">
        <f t="shared" si="2"/>
        <v>1.5899647915912807</v>
      </c>
      <c r="AB88" s="124">
        <f t="shared" si="2"/>
        <v>-1.061616500739837</v>
      </c>
      <c r="AC88" s="124">
        <f t="shared" si="2"/>
        <v>4.3032048595988304</v>
      </c>
      <c r="AD88" s="124">
        <f t="shared" si="2"/>
        <v>3.8017140838738639</v>
      </c>
      <c r="AE88" s="124">
        <f t="shared" si="2"/>
        <v>1.4335193892638154</v>
      </c>
    </row>
    <row r="89" spans="1:31" ht="15.75">
      <c r="A89" s="110"/>
      <c r="B89" s="129">
        <v>2011</v>
      </c>
      <c r="C89" s="122">
        <v>1067.711</v>
      </c>
      <c r="D89" s="122">
        <v>348.55</v>
      </c>
      <c r="E89" s="122">
        <v>260.24799999999999</v>
      </c>
      <c r="F89" s="122">
        <f ca="1">SUM(OFFSET(F$5,(ROW(F89)-ROW(F$86))*4,0):OFFSET(F$8,(ROW(F89)-ROW(F$86))*4,0))</f>
        <v>48.286000000000001</v>
      </c>
      <c r="G89" s="122">
        <v>0.67600000000000005</v>
      </c>
      <c r="H89" s="122">
        <v>1677.1849999999999</v>
      </c>
      <c r="I89" s="122">
        <v>3.2010000000000001</v>
      </c>
      <c r="J89" s="122">
        <v>1680.386</v>
      </c>
      <c r="K89" s="122">
        <v>517.447</v>
      </c>
      <c r="L89" s="122">
        <v>2197.8330000000001</v>
      </c>
      <c r="M89" s="122">
        <v>533.62199999999996</v>
      </c>
      <c r="N89" s="122">
        <v>0</v>
      </c>
      <c r="O89" s="122">
        <v>1664.211</v>
      </c>
      <c r="P89" s="123">
        <v>1671.1859999999999</v>
      </c>
      <c r="Q89" s="156"/>
      <c r="R89" s="157"/>
      <c r="S89" s="124">
        <f>100*(C89/OBR_MAR23_1.1!C89)</f>
        <v>89.802851255309307</v>
      </c>
      <c r="T89" s="124">
        <f>100*(D89/OBR_MAR23_1.1!D89)</f>
        <v>90.718853540651054</v>
      </c>
      <c r="U89" s="124">
        <f>100*(E89/OBR_MAR23_1.1!E89)</f>
        <v>84.283479663316896</v>
      </c>
      <c r="V89" s="124">
        <f>100*(K89/OBR_MAR23_1.1!N89)</f>
        <v>90.905369675781557</v>
      </c>
      <c r="W89" s="124">
        <f>100*(M89/OBR_MAR23_1.1!P89)</f>
        <v>96.011443170981849</v>
      </c>
      <c r="X89" s="124">
        <f>100*(O89/OBR_MAR23_1.1!R89)</f>
        <v>87.770814313900161</v>
      </c>
      <c r="Z89" s="124">
        <f t="shared" si="2"/>
        <v>3.9587811607024959</v>
      </c>
      <c r="AA89" s="124">
        <f t="shared" si="2"/>
        <v>0.1958508777020862</v>
      </c>
      <c r="AB89" s="124">
        <f t="shared" si="2"/>
        <v>1.5244131498835412</v>
      </c>
      <c r="AC89" s="124">
        <f t="shared" si="2"/>
        <v>5.0851386141769872</v>
      </c>
      <c r="AD89" s="124">
        <f t="shared" si="2"/>
        <v>6.620211831846845</v>
      </c>
      <c r="AE89" s="124">
        <f t="shared" si="2"/>
        <v>2.1242115604853229</v>
      </c>
    </row>
    <row r="90" spans="1:31" ht="15.75">
      <c r="A90" s="110"/>
      <c r="B90" s="129">
        <v>2012</v>
      </c>
      <c r="C90" s="122">
        <v>1104.48</v>
      </c>
      <c r="D90" s="122">
        <v>356.27100000000002</v>
      </c>
      <c r="E90" s="122">
        <v>268.02100000000002</v>
      </c>
      <c r="F90" s="122">
        <f ca="1">SUM(OFFSET(F$5,(ROW(F90)-ROW(F$86))*4,0):OFFSET(F$8,(ROW(F90)-ROW(F$86))*4,0))</f>
        <v>46.155000000000001</v>
      </c>
      <c r="G90" s="122">
        <v>0.35199999999999998</v>
      </c>
      <c r="H90" s="122">
        <v>1729.124</v>
      </c>
      <c r="I90" s="122">
        <v>3.6629999999999998</v>
      </c>
      <c r="J90" s="122">
        <v>1732.787</v>
      </c>
      <c r="K90" s="122">
        <v>520.38900000000001</v>
      </c>
      <c r="L90" s="122">
        <v>2253.1759999999999</v>
      </c>
      <c r="M90" s="122">
        <v>539.93499999999995</v>
      </c>
      <c r="N90" s="122">
        <v>0</v>
      </c>
      <c r="O90" s="122">
        <v>1713.241</v>
      </c>
      <c r="P90" s="123">
        <v>1697.335</v>
      </c>
      <c r="Q90" s="156"/>
      <c r="R90" s="157"/>
      <c r="S90" s="124">
        <f>100*(C90/OBR_MAR23_1.1!C90)</f>
        <v>91.331798016215927</v>
      </c>
      <c r="T90" s="124">
        <f>100*(D90/OBR_MAR23_1.1!D90)</f>
        <v>91.469745517283883</v>
      </c>
      <c r="U90" s="124">
        <f>100*(E90/OBR_MAR23_1.1!E90)</f>
        <v>86.143546329061863</v>
      </c>
      <c r="V90" s="124">
        <f>100*(K90/OBR_MAR23_1.1!N90)</f>
        <v>90.692652763883913</v>
      </c>
      <c r="W90" s="124">
        <f>100*(M90/OBR_MAR23_1.1!P90)</f>
        <v>95.273343897007706</v>
      </c>
      <c r="X90" s="124">
        <f>100*(O90/OBR_MAR23_1.1!R90)</f>
        <v>89.066575307855118</v>
      </c>
      <c r="Z90" s="124">
        <f t="shared" si="2"/>
        <v>1.7025592612419649</v>
      </c>
      <c r="AA90" s="124">
        <f t="shared" si="2"/>
        <v>0.82771325620463188</v>
      </c>
      <c r="AB90" s="124">
        <f t="shared" si="2"/>
        <v>2.2069172667944947</v>
      </c>
      <c r="AC90" s="124">
        <f t="shared" si="2"/>
        <v>-0.23399818146750961</v>
      </c>
      <c r="AD90" s="124">
        <f t="shared" si="2"/>
        <v>-0.76876177421861813</v>
      </c>
      <c r="AE90" s="124">
        <f t="shared" si="2"/>
        <v>1.476300526643004</v>
      </c>
    </row>
    <row r="91" spans="1:31" ht="15.75">
      <c r="A91" s="110"/>
      <c r="B91" s="129">
        <v>2013</v>
      </c>
      <c r="C91" s="122">
        <v>1157.4860000000001</v>
      </c>
      <c r="D91" s="122">
        <v>358.86599999999999</v>
      </c>
      <c r="E91" s="122">
        <v>282.99400000000003</v>
      </c>
      <c r="F91" s="122">
        <f ca="1">SUM(OFFSET(F$5,(ROW(F91)-ROW(F$86))*4,0):OFFSET(F$8,(ROW(F91)-ROW(F$86))*4,0))</f>
        <v>45.658999999999999</v>
      </c>
      <c r="G91" s="122">
        <v>7.2149999999999999</v>
      </c>
      <c r="H91" s="122">
        <v>1806.5609999999999</v>
      </c>
      <c r="I91" s="122">
        <v>3.4870000000000001</v>
      </c>
      <c r="J91" s="122">
        <v>1810.048</v>
      </c>
      <c r="K91" s="122">
        <v>535.56600000000003</v>
      </c>
      <c r="L91" s="122">
        <v>2345.614</v>
      </c>
      <c r="M91" s="122">
        <v>563.31799999999998</v>
      </c>
      <c r="N91" s="122">
        <v>0</v>
      </c>
      <c r="O91" s="122">
        <v>1782.296</v>
      </c>
      <c r="P91" s="123">
        <v>1750.675</v>
      </c>
      <c r="S91" s="124">
        <f>100*(C91/OBR_MAR23_1.1!C91)</f>
        <v>93.277191738321079</v>
      </c>
      <c r="T91" s="124">
        <f>100*(D91/OBR_MAR23_1.1!D91)</f>
        <v>92.176932778181623</v>
      </c>
      <c r="U91" s="124">
        <f>100*(E91/OBR_MAR23_1.1!E91)</f>
        <v>87.945056481812387</v>
      </c>
      <c r="V91" s="124">
        <f>100*(K91/OBR_MAR23_1.1!N91)</f>
        <v>93.14434289590163</v>
      </c>
      <c r="W91" s="124">
        <f>100*(M91/OBR_MAR23_1.1!P91)</f>
        <v>96.053623252657459</v>
      </c>
      <c r="X91" s="124">
        <f>100*(O91/OBR_MAR23_1.1!R91)</f>
        <v>91.000466159524592</v>
      </c>
      <c r="Z91" s="124">
        <f t="shared" si="2"/>
        <v>2.1300289322671029</v>
      </c>
      <c r="AA91" s="124">
        <f t="shared" si="2"/>
        <v>0.77313789045594383</v>
      </c>
      <c r="AB91" s="124">
        <f t="shared" si="2"/>
        <v>2.0912885869231568</v>
      </c>
      <c r="AC91" s="124">
        <f t="shared" si="2"/>
        <v>2.703295203417011</v>
      </c>
      <c r="AD91" s="124">
        <f t="shared" si="2"/>
        <v>0.8189902062147203</v>
      </c>
      <c r="AE91" s="124">
        <f t="shared" si="2"/>
        <v>2.1712868660157314</v>
      </c>
    </row>
    <row r="92" spans="1:31" ht="15.75">
      <c r="A92" s="110"/>
      <c r="B92" s="160">
        <v>2014</v>
      </c>
      <c r="C92" s="122">
        <v>1203.2049999999999</v>
      </c>
      <c r="D92" s="122">
        <v>370.33600000000001</v>
      </c>
      <c r="E92" s="122">
        <v>307.71199999999999</v>
      </c>
      <c r="F92" s="122">
        <f ca="1">SUM(OFFSET(F$5,(ROW(F92)-ROW(F$86))*4,0):OFFSET(F$8,(ROW(F92)-ROW(F$86))*4,0))</f>
        <v>50.902000000000001</v>
      </c>
      <c r="G92" s="122">
        <v>6.1050000000000004</v>
      </c>
      <c r="H92" s="122">
        <v>1887.3579999999999</v>
      </c>
      <c r="I92" s="122">
        <v>14.169</v>
      </c>
      <c r="J92" s="122">
        <v>1901.527</v>
      </c>
      <c r="K92" s="122">
        <v>528.85599999999999</v>
      </c>
      <c r="L92" s="122">
        <v>2430.3809999999999</v>
      </c>
      <c r="M92" s="122">
        <v>567.55399999999997</v>
      </c>
      <c r="N92" s="122">
        <v>0</v>
      </c>
      <c r="O92" s="122">
        <v>1862.827</v>
      </c>
      <c r="P92" s="123">
        <v>1829.5260000000001</v>
      </c>
      <c r="S92" s="124">
        <f>100*(C92/OBR_MAR23_1.1!C92)</f>
        <v>94.247200481260293</v>
      </c>
      <c r="T92" s="124">
        <f>100*(D92/OBR_MAR23_1.1!D92)</f>
        <v>93.112412943454103</v>
      </c>
      <c r="U92" s="124">
        <f>100*(E92/OBR_MAR23_1.1!E92)</f>
        <v>89.67064734029222</v>
      </c>
      <c r="V92" s="124">
        <f>100*(K92/OBR_MAR23_1.1!N92)</f>
        <v>90.949520450296916</v>
      </c>
      <c r="W92" s="124">
        <f>100*(M92/OBR_MAR23_1.1!P92)</f>
        <v>92.231663895917322</v>
      </c>
      <c r="X92" s="124">
        <f>100*(O92/OBR_MAR23_1.1!R92)</f>
        <v>92.163267325508045</v>
      </c>
      <c r="Z92" s="124">
        <f t="shared" si="2"/>
        <v>1.039920611740186</v>
      </c>
      <c r="AA92" s="124">
        <f t="shared" si="2"/>
        <v>1.0148744778953001</v>
      </c>
      <c r="AB92" s="124">
        <f t="shared" si="2"/>
        <v>1.9621237708076222</v>
      </c>
      <c r="AC92" s="124">
        <f t="shared" si="2"/>
        <v>-2.3563668789393422</v>
      </c>
      <c r="AD92" s="124">
        <f t="shared" si="2"/>
        <v>-3.9789850994864984</v>
      </c>
      <c r="AE92" s="124">
        <f t="shared" si="2"/>
        <v>1.2777969334190509</v>
      </c>
    </row>
    <row r="93" spans="1:31" ht="15.75">
      <c r="A93" s="110"/>
      <c r="B93" s="160">
        <v>2015</v>
      </c>
      <c r="C93" s="122">
        <v>1236.7719999999999</v>
      </c>
      <c r="D93" s="122">
        <v>374.70699999999999</v>
      </c>
      <c r="E93" s="122">
        <v>332.13200000000001</v>
      </c>
      <c r="F93" s="122">
        <f ca="1">SUM(OFFSET(F$5,(ROW(F93)-ROW(F$86))*4,0):OFFSET(F$8,(ROW(F93)-ROW(F$86))*4,0))</f>
        <v>51.157000000000004</v>
      </c>
      <c r="G93" s="122">
        <v>0.877</v>
      </c>
      <c r="H93" s="122">
        <v>1944.4880000000001</v>
      </c>
      <c r="I93" s="122">
        <v>8.25</v>
      </c>
      <c r="J93" s="122">
        <v>1952.7380000000001</v>
      </c>
      <c r="K93" s="122">
        <v>530.77800000000002</v>
      </c>
      <c r="L93" s="122">
        <v>2483.518</v>
      </c>
      <c r="M93" s="122">
        <v>562.52</v>
      </c>
      <c r="N93" s="122">
        <v>0</v>
      </c>
      <c r="O93" s="122">
        <v>1920.998</v>
      </c>
      <c r="P93" s="123">
        <v>1879.232</v>
      </c>
      <c r="S93" s="124">
        <f>100*(C93/OBR_MAR23_1.1!C93)</f>
        <v>93.935950758461857</v>
      </c>
      <c r="T93" s="124">
        <f>100*(D93/OBR_MAR23_1.1!D93)</f>
        <v>93.102540084031745</v>
      </c>
      <c r="U93" s="124">
        <f>100*(E93/OBR_MAR23_1.1!E93)</f>
        <v>90.853436697312944</v>
      </c>
      <c r="V93" s="124">
        <f>100*(K93/OBR_MAR23_1.1!N93)</f>
        <v>87.779780706831829</v>
      </c>
      <c r="W93" s="124">
        <f>100*(M93/OBR_MAR23_1.1!P93)</f>
        <v>87.099241605480017</v>
      </c>
      <c r="X93" s="124">
        <f>100*(O93/OBR_MAR23_1.1!R93)</f>
        <v>92.819996182828064</v>
      </c>
      <c r="Z93" s="124">
        <f t="shared" si="2"/>
        <v>-0.33024824207942283</v>
      </c>
      <c r="AA93" s="124">
        <f t="shared" si="2"/>
        <v>-1.0603161394129312E-2</v>
      </c>
      <c r="AB93" s="124">
        <f t="shared" si="2"/>
        <v>1.3190373796813759</v>
      </c>
      <c r="AC93" s="124">
        <f t="shared" si="2"/>
        <v>-3.4851637785130674</v>
      </c>
      <c r="AD93" s="124">
        <f t="shared" si="2"/>
        <v>-5.5647074699088144</v>
      </c>
      <c r="AE93" s="124">
        <f t="shared" si="2"/>
        <v>0.71257115375535918</v>
      </c>
    </row>
    <row r="94" spans="1:31" ht="15.75">
      <c r="A94" s="110"/>
      <c r="B94" s="160">
        <v>2016</v>
      </c>
      <c r="C94" s="122">
        <v>1297.3130000000001</v>
      </c>
      <c r="D94" s="122">
        <v>382.56599999999997</v>
      </c>
      <c r="E94" s="122">
        <v>354.68299999999999</v>
      </c>
      <c r="F94" s="122">
        <f ca="1">SUM(OFFSET(F$5,(ROW(F94)-ROW(F$86))*4,0):OFFSET(F$8,(ROW(F94)-ROW(F$86))*4,0))</f>
        <v>52.348999999999997</v>
      </c>
      <c r="G94" s="122">
        <v>1.504</v>
      </c>
      <c r="H94" s="122">
        <v>2036.066</v>
      </c>
      <c r="I94" s="122">
        <v>2.492</v>
      </c>
      <c r="J94" s="122">
        <v>2038.558</v>
      </c>
      <c r="K94" s="122">
        <v>572.85500000000002</v>
      </c>
      <c r="L94" s="122">
        <v>2611.4110000000001</v>
      </c>
      <c r="M94" s="122">
        <v>611.95000000000005</v>
      </c>
      <c r="N94" s="122">
        <v>0</v>
      </c>
      <c r="O94" s="122">
        <v>1999.461</v>
      </c>
      <c r="P94" s="123">
        <v>1952.713</v>
      </c>
      <c r="S94" s="124">
        <f>100*(C94/OBR_MAR23_1.1!C94)</f>
        <v>95.092239941125939</v>
      </c>
      <c r="T94" s="124">
        <f>100*(D94/OBR_MAR23_1.1!D94)</f>
        <v>94.324959379461163</v>
      </c>
      <c r="U94" s="124">
        <f>100*(E94/OBR_MAR23_1.1!E94)</f>
        <v>92.498089706844979</v>
      </c>
      <c r="V94" s="124">
        <f>100*(K94/OBR_MAR23_1.1!N94)</f>
        <v>91.783975876975134</v>
      </c>
      <c r="W94" s="124">
        <f>100*(M94/OBR_MAR23_1.1!P94)</f>
        <v>91.127316155721317</v>
      </c>
      <c r="X94" s="124">
        <f>100*(O94/OBR_MAR23_1.1!R94)</f>
        <v>94.563721442334156</v>
      </c>
      <c r="Z94" s="124">
        <f t="shared" si="2"/>
        <v>1.230933602447104</v>
      </c>
      <c r="AA94" s="124">
        <f t="shared" si="2"/>
        <v>1.3129816805493189</v>
      </c>
      <c r="AB94" s="124">
        <f t="shared" si="2"/>
        <v>1.8102265245192095</v>
      </c>
      <c r="AC94" s="124">
        <f t="shared" si="2"/>
        <v>4.5616372448190168</v>
      </c>
      <c r="AD94" s="124">
        <f t="shared" si="2"/>
        <v>4.6246953199508223</v>
      </c>
      <c r="AE94" s="124">
        <f t="shared" si="2"/>
        <v>1.8786094927988106</v>
      </c>
    </row>
    <row r="95" spans="1:31" ht="15.75">
      <c r="A95" s="110"/>
      <c r="B95" s="160">
        <v>2017</v>
      </c>
      <c r="C95" s="122">
        <v>1344.7260000000001</v>
      </c>
      <c r="D95" s="122">
        <v>388.01</v>
      </c>
      <c r="E95" s="122">
        <v>378.21600000000001</v>
      </c>
      <c r="F95" s="122">
        <f ca="1">SUM(OFFSET(F$5,(ROW(F95)-ROW(F$86))*4,0):OFFSET(F$8,(ROW(F95)-ROW(F$86))*4,0))</f>
        <v>55.241</v>
      </c>
      <c r="G95" s="122">
        <v>0.84399999999999997</v>
      </c>
      <c r="H95" s="122">
        <v>2111.7959999999998</v>
      </c>
      <c r="I95" s="122">
        <v>3.544</v>
      </c>
      <c r="J95" s="122">
        <v>2115.34</v>
      </c>
      <c r="K95" s="122">
        <v>639.52300000000002</v>
      </c>
      <c r="L95" s="122">
        <v>2754.8609999999999</v>
      </c>
      <c r="M95" s="122">
        <v>669.85299999999995</v>
      </c>
      <c r="N95" s="122">
        <v>0</v>
      </c>
      <c r="O95" s="122">
        <v>2085.0079999999998</v>
      </c>
      <c r="P95" s="123">
        <v>2062.558</v>
      </c>
      <c r="S95" s="124">
        <f>100*(C95/OBR_MAR23_1.1!C95)</f>
        <v>96.695434326467165</v>
      </c>
      <c r="T95" s="124">
        <f>100*(D95/OBR_MAR23_1.1!D95)</f>
        <v>95.263699328015392</v>
      </c>
      <c r="U95" s="124">
        <f>100*(E95/OBR_MAR23_1.1!E95)</f>
        <v>95.290836392404273</v>
      </c>
      <c r="V95" s="124">
        <f>100*(K95/OBR_MAR23_1.1!N95)</f>
        <v>95.901933115493563</v>
      </c>
      <c r="W95" s="124">
        <f>100*(M95/OBR_MAR23_1.1!P95)</f>
        <v>96.524082279621013</v>
      </c>
      <c r="X95" s="124">
        <f>100*(O95/OBR_MAR23_1.1!R95)</f>
        <v>96.257513020105961</v>
      </c>
      <c r="Z95" s="124">
        <f t="shared" si="2"/>
        <v>1.6859360830429493</v>
      </c>
      <c r="AA95" s="124">
        <f t="shared" si="2"/>
        <v>0.99521903293671166</v>
      </c>
      <c r="AB95" s="124">
        <f t="shared" si="2"/>
        <v>3.0192479589690624</v>
      </c>
      <c r="AC95" s="124">
        <f t="shared" si="2"/>
        <v>4.4865753517128404</v>
      </c>
      <c r="AD95" s="124">
        <f t="shared" si="2"/>
        <v>5.9222265634132354</v>
      </c>
      <c r="AE95" s="124">
        <f t="shared" si="2"/>
        <v>1.7911642561621255</v>
      </c>
    </row>
    <row r="96" spans="1:31" ht="15.75">
      <c r="A96" s="110"/>
      <c r="B96" s="160">
        <v>2018</v>
      </c>
      <c r="C96" s="122">
        <v>1401.5309999999999</v>
      </c>
      <c r="D96" s="122">
        <v>398.358</v>
      </c>
      <c r="E96" s="122">
        <v>386.149</v>
      </c>
      <c r="F96" s="122">
        <f ca="1">SUM(OFFSET(F$5,(ROW(F96)-ROW(F$86))*4,0):OFFSET(F$8,(ROW(F96)-ROW(F$86))*4,0))</f>
        <v>57.140999999999991</v>
      </c>
      <c r="G96" s="122">
        <v>2.8260000000000001</v>
      </c>
      <c r="H96" s="122">
        <v>2188.864</v>
      </c>
      <c r="I96" s="122">
        <v>1.554</v>
      </c>
      <c r="J96" s="122">
        <v>2190.4180000000001</v>
      </c>
      <c r="K96" s="122">
        <v>673.86500000000001</v>
      </c>
      <c r="L96" s="122">
        <v>2864.2829999999999</v>
      </c>
      <c r="M96" s="122">
        <v>706.87300000000005</v>
      </c>
      <c r="N96" s="122">
        <v>0</v>
      </c>
      <c r="O96" s="122">
        <v>2157.41</v>
      </c>
      <c r="P96" s="123">
        <v>2128.0039999999999</v>
      </c>
      <c r="S96" s="124">
        <f>100*(C96/OBR_MAR23_1.1!C96)</f>
        <v>98.358367434591202</v>
      </c>
      <c r="T96" s="124">
        <f>100*(D96/OBR_MAR23_1.1!D96)</f>
        <v>97.487427347812783</v>
      </c>
      <c r="U96" s="124">
        <f>100*(E96/OBR_MAR23_1.1!E96)</f>
        <v>97.520500445744219</v>
      </c>
      <c r="V96" s="124">
        <f>100*(K96/OBR_MAR23_1.1!N96)</f>
        <v>97.965998697401773</v>
      </c>
      <c r="W96" s="124">
        <f>100*(M96/OBR_MAR23_1.1!P96)</f>
        <v>98.569028146722729</v>
      </c>
      <c r="X96" s="124">
        <f>100*(O96/OBR_MAR23_1.1!R96)</f>
        <v>97.930326985186127</v>
      </c>
      <c r="Z96" s="124">
        <f t="shared" si="2"/>
        <v>1.7197638334293774</v>
      </c>
      <c r="AA96" s="124">
        <f t="shared" si="2"/>
        <v>2.3342868642341585</v>
      </c>
      <c r="AB96" s="124">
        <f t="shared" si="2"/>
        <v>2.3398514880888177</v>
      </c>
      <c r="AC96" s="124">
        <f t="shared" si="2"/>
        <v>2.1522669198153599</v>
      </c>
      <c r="AD96" s="124">
        <f t="shared" si="2"/>
        <v>2.1185861795377736</v>
      </c>
      <c r="AE96" s="124">
        <f t="shared" si="2"/>
        <v>1.7378528829544493</v>
      </c>
    </row>
    <row r="97" spans="1:31" ht="15.75">
      <c r="A97" s="110"/>
      <c r="B97" s="160">
        <v>2019</v>
      </c>
      <c r="C97" s="122">
        <v>1440.0409999999999</v>
      </c>
      <c r="D97" s="122">
        <v>425.57900000000001</v>
      </c>
      <c r="E97" s="122">
        <v>403.36500000000001</v>
      </c>
      <c r="F97" s="122">
        <f ca="1">SUM(OFFSET(F$5,(ROW(F97)-ROW(F$86))*4,0):OFFSET(F$8,(ROW(F97)-ROW(F$86))*4,0))</f>
        <v>61.75</v>
      </c>
      <c r="G97" s="122">
        <v>2.88</v>
      </c>
      <c r="H97" s="122">
        <v>2271.8649999999998</v>
      </c>
      <c r="I97" s="122">
        <v>2.6309999999999998</v>
      </c>
      <c r="J97" s="122">
        <v>2274.4960000000001</v>
      </c>
      <c r="K97" s="122">
        <v>699.654</v>
      </c>
      <c r="L97" s="122">
        <v>2974.15</v>
      </c>
      <c r="M97" s="122">
        <v>735.80200000000002</v>
      </c>
      <c r="N97" s="122">
        <v>0</v>
      </c>
      <c r="O97" s="122">
        <v>2238.348</v>
      </c>
      <c r="P97" s="123">
        <v>2237.4279999999999</v>
      </c>
      <c r="S97" s="124">
        <f>100*(C97/OBR_MAR23_1.1!C97)</f>
        <v>100</v>
      </c>
      <c r="T97" s="124">
        <f>100*(D97/OBR_MAR23_1.1!D97)</f>
        <v>100</v>
      </c>
      <c r="U97" s="124">
        <f>100*(E97/OBR_MAR23_1.1!E97)</f>
        <v>100</v>
      </c>
      <c r="V97" s="124">
        <f>100*(K97/OBR_MAR23_1.1!N97)</f>
        <v>100</v>
      </c>
      <c r="W97" s="124">
        <f>100*(M97/OBR_MAR23_1.1!P97)</f>
        <v>100</v>
      </c>
      <c r="X97" s="124">
        <f>100*(O97/OBR_MAR23_1.1!R97)</f>
        <v>100</v>
      </c>
      <c r="Z97" s="124">
        <f t="shared" si="2"/>
        <v>1.6690319372172358</v>
      </c>
      <c r="AA97" s="124">
        <f t="shared" si="2"/>
        <v>2.5773299394012517</v>
      </c>
      <c r="AB97" s="124">
        <f t="shared" si="2"/>
        <v>2.5425418685533385</v>
      </c>
      <c r="AC97" s="124">
        <f t="shared" si="2"/>
        <v>2.0762318862086682</v>
      </c>
      <c r="AD97" s="124">
        <f t="shared" si="2"/>
        <v>1.4517459289009382</v>
      </c>
      <c r="AE97" s="124">
        <f t="shared" si="2"/>
        <v>2.1134137692881971</v>
      </c>
    </row>
    <row r="98" spans="1:31" ht="15.75">
      <c r="A98" s="110"/>
      <c r="B98" s="160">
        <v>2020</v>
      </c>
      <c r="C98" s="122">
        <v>1262.883</v>
      </c>
      <c r="D98" s="122">
        <v>475.11399999999998</v>
      </c>
      <c r="E98" s="122">
        <v>365.88200000000001</v>
      </c>
      <c r="F98" s="122">
        <f ca="1">SUM(OFFSET(F$5,(ROW(F98)-ROW(F$86))*4,0):OFFSET(F$8,(ROW(F98)-ROW(F$86))*4,0))</f>
        <v>65.977000000000004</v>
      </c>
      <c r="G98" s="122">
        <v>1.006</v>
      </c>
      <c r="H98" s="122">
        <v>2104.8850000000002</v>
      </c>
      <c r="I98" s="122">
        <v>-2.851</v>
      </c>
      <c r="J98" s="122">
        <v>2102.0340000000001</v>
      </c>
      <c r="K98" s="122">
        <v>616.78599999999994</v>
      </c>
      <c r="L98" s="122">
        <v>2718.8229999999999</v>
      </c>
      <c r="M98" s="122">
        <v>609.22900000000004</v>
      </c>
      <c r="N98" s="122">
        <v>0</v>
      </c>
      <c r="O98" s="122">
        <v>2109.5940000000001</v>
      </c>
      <c r="P98" s="123">
        <v>2062.2020000000002</v>
      </c>
      <c r="S98" s="124">
        <f>100*(C98/OBR_MAR23_1.1!C98)</f>
        <v>101.00130921980256</v>
      </c>
      <c r="T98" s="124">
        <f>100*(D98/OBR_MAR23_1.1!D98)</f>
        <v>120.44668660954217</v>
      </c>
      <c r="U98" s="124">
        <f>100*(E98/OBR_MAR23_1.1!E98)</f>
        <v>101.35179306485837</v>
      </c>
      <c r="V98" s="124">
        <f>100*(K98/OBR_MAR23_1.1!N98)</f>
        <v>100.27263460622424</v>
      </c>
      <c r="W98" s="124">
        <f>100*(M98/OBR_MAR23_1.1!P98)</f>
        <v>98.626706296785557</v>
      </c>
      <c r="X98" s="124">
        <f>100*(O98/OBR_MAR23_1.1!R98)</f>
        <v>105.93314683502733</v>
      </c>
      <c r="Z98" s="124">
        <f t="shared" si="2"/>
        <v>1.0013092198025708</v>
      </c>
      <c r="AA98" s="124">
        <f t="shared" si="2"/>
        <v>20.446686609542162</v>
      </c>
      <c r="AB98" s="124">
        <f t="shared" si="2"/>
        <v>1.3517930648583754</v>
      </c>
      <c r="AC98" s="124">
        <f t="shared" si="2"/>
        <v>0.2726346062242424</v>
      </c>
      <c r="AD98" s="124">
        <f t="shared" si="2"/>
        <v>-1.3732937032144399</v>
      </c>
      <c r="AE98" s="124">
        <f t="shared" si="2"/>
        <v>5.9331468350273253</v>
      </c>
    </row>
    <row r="99" spans="1:31" ht="15.75">
      <c r="A99" s="110"/>
      <c r="B99" s="160">
        <v>2021</v>
      </c>
      <c r="C99" s="122">
        <v>1375.5619999999999</v>
      </c>
      <c r="D99" s="122">
        <v>508.19400000000002</v>
      </c>
      <c r="E99" s="122">
        <v>393.49099999999999</v>
      </c>
      <c r="F99" s="122">
        <f ca="1">SUM(OFFSET(F$5,(ROW(F99)-ROW(F$86))*4,0):OFFSET(F$8,(ROW(F99)-ROW(F$86))*4,0))</f>
        <v>70.729000000000013</v>
      </c>
      <c r="G99" s="122">
        <v>8.2200000000000006</v>
      </c>
      <c r="H99" s="122">
        <v>2285.4670000000001</v>
      </c>
      <c r="I99" s="122">
        <v>13.47</v>
      </c>
      <c r="J99" s="122">
        <v>2298.9369999999999</v>
      </c>
      <c r="K99" s="122">
        <v>654.28399999999999</v>
      </c>
      <c r="L99" s="122">
        <v>2953.221</v>
      </c>
      <c r="M99" s="122">
        <v>682.32299999999998</v>
      </c>
      <c r="N99" s="122">
        <v>-0.65200000000000002</v>
      </c>
      <c r="O99" s="122">
        <v>2270.2460000000001</v>
      </c>
      <c r="P99" s="123">
        <v>2282.1109999999999</v>
      </c>
      <c r="S99" s="124">
        <f>100*(C99/OBR_MAR23_1.1!C99)</f>
        <v>103.54397240156239</v>
      </c>
      <c r="T99" s="124">
        <f>100*(D99/OBR_MAR23_1.1!D99)</f>
        <v>114.48208746426619</v>
      </c>
      <c r="U99" s="124">
        <f>100*(E99/OBR_MAR23_1.1!E99)</f>
        <v>102.74050575072782</v>
      </c>
      <c r="V99" s="124">
        <f>100*(K99/OBR_MAR23_1.1!N99)</f>
        <v>104.03327619816891</v>
      </c>
      <c r="W99" s="124">
        <f>100*(M99/OBR_MAR23_1.1!P99)</f>
        <v>104.01804361811435</v>
      </c>
      <c r="X99" s="124">
        <f>100*(O99/OBR_MAR23_1.1!R99)</f>
        <v>105.95070419248644</v>
      </c>
      <c r="Z99" s="124">
        <f t="shared" si="2"/>
        <v>2.5174556660710001</v>
      </c>
      <c r="AA99" s="124">
        <f t="shared" si="2"/>
        <v>-4.9520657754677071</v>
      </c>
      <c r="AB99" s="124">
        <f t="shared" si="2"/>
        <v>1.3701905451053653</v>
      </c>
      <c r="AC99" s="124">
        <f t="shared" si="2"/>
        <v>3.7504166582566612</v>
      </c>
      <c r="AD99" s="124">
        <f t="shared" si="2"/>
        <v>5.4664071464632258</v>
      </c>
      <c r="AE99" s="124">
        <f t="shared" si="2"/>
        <v>1.6573997831348386E-2</v>
      </c>
    </row>
    <row r="100" spans="1:31" ht="15.75">
      <c r="A100" s="110"/>
      <c r="B100" s="129">
        <v>2023</v>
      </c>
      <c r="C100" s="122">
        <v>1562.2170000000001</v>
      </c>
      <c r="D100" s="122">
        <v>524.93700000000001</v>
      </c>
      <c r="E100" s="122">
        <v>447.19799999999998</v>
      </c>
      <c r="F100" s="122">
        <f ca="1">SUM(OFFSET(F$5,(ROW(F100)-ROW(F$86))*4,0):OFFSET(F$8,(ROW(F100)-ROW(F$86))*4,0))</f>
        <v>78.483000000000004</v>
      </c>
      <c r="G100" s="122">
        <v>-18.548999999999999</v>
      </c>
      <c r="H100" s="122">
        <v>2515.8029999999999</v>
      </c>
      <c r="I100" s="122">
        <v>31.655999999999999</v>
      </c>
      <c r="J100" s="122">
        <v>2547.4589999999998</v>
      </c>
      <c r="K100" s="122">
        <v>813.31299999999999</v>
      </c>
      <c r="L100" s="122">
        <v>3360.7719999999999</v>
      </c>
      <c r="M100" s="122">
        <v>897.98199999999997</v>
      </c>
      <c r="N100" s="122">
        <v>19.337</v>
      </c>
      <c r="O100" s="122">
        <v>2482.127</v>
      </c>
      <c r="P100" s="123">
        <v>2460.681435</v>
      </c>
      <c r="S100" s="124">
        <f>100*(C100/OBR_MAR23_1.1!C100)</f>
        <v>111.54159488036647</v>
      </c>
      <c r="T100" s="124">
        <f>100*(D100/OBR_MAR23_1.1!D100)</f>
        <v>116.0440799363339</v>
      </c>
      <c r="U100" s="124">
        <f>100*(E100/OBR_MAR23_1.1!E100)</f>
        <v>108.38483574970552</v>
      </c>
      <c r="V100" s="124">
        <f>100*(K100/OBR_MAR23_1.1!N100)</f>
        <v>117.25796917576159</v>
      </c>
      <c r="W100" s="124">
        <f>100*(M100/OBR_MAR23_1.1!P100)</f>
        <v>121.55868979306182</v>
      </c>
      <c r="X100" s="124">
        <f>100*(O100/OBR_MAR23_1.1!R100)</f>
        <v>111.33505067010674</v>
      </c>
      <c r="Z100" s="124">
        <f t="shared" si="2"/>
        <v>7.7238899506268277</v>
      </c>
      <c r="AA100" s="124">
        <f t="shared" si="2"/>
        <v>1.3643990135620676</v>
      </c>
      <c r="AB100" s="124">
        <f t="shared" si="2"/>
        <v>5.4937728384091722</v>
      </c>
      <c r="AC100" s="124">
        <f t="shared" si="2"/>
        <v>12.711983569950714</v>
      </c>
      <c r="AD100" s="124">
        <f t="shared" si="2"/>
        <v>16.863080254946116</v>
      </c>
      <c r="AE100" s="124">
        <f t="shared" si="2"/>
        <v>5.081935527146908</v>
      </c>
    </row>
    <row r="101" spans="1:31" ht="15.75">
      <c r="A101" s="110"/>
      <c r="B101" s="160">
        <v>2023</v>
      </c>
      <c r="C101" s="122">
        <v>1626.62724</v>
      </c>
      <c r="D101" s="122">
        <v>544.20236073439503</v>
      </c>
      <c r="E101" s="122">
        <v>452.13159599999994</v>
      </c>
      <c r="F101" s="122">
        <f ca="1">SUM(OFFSET(F$5,(ROW(F101)-ROW(F$86))*4,0):OFFSET(F$8,(ROW(F101)-ROW(F$86))*4,0))</f>
        <v>87.32233939999999</v>
      </c>
      <c r="G101" s="122">
        <v>3.2068287139999998</v>
      </c>
      <c r="H101" s="122">
        <v>2626.1680254483949</v>
      </c>
      <c r="I101" s="122">
        <v>1.5409793499999997</v>
      </c>
      <c r="J101" s="122">
        <v>2627.7090047983947</v>
      </c>
      <c r="K101" s="122">
        <v>777.67425100000003</v>
      </c>
      <c r="L101" s="122">
        <v>3405.3832560000001</v>
      </c>
      <c r="M101" s="122">
        <v>877.29562400000009</v>
      </c>
      <c r="N101" s="122">
        <v>20.869065459999998</v>
      </c>
      <c r="O101" s="122">
        <v>2548.9566960000002</v>
      </c>
      <c r="P101" s="123">
        <v>2514.32267</v>
      </c>
      <c r="S101" s="124">
        <f>100*(C101/OBR_MAR23_1.1!C101)</f>
        <v>117.08938964387825</v>
      </c>
      <c r="T101" s="124">
        <f>100*(D101/OBR_MAR23_1.1!D101)</f>
        <v>116.0611554188504</v>
      </c>
      <c r="U101" s="124">
        <f>100*(E101/OBR_MAR23_1.1!E101)</f>
        <v>111.3457655911301</v>
      </c>
      <c r="V101" s="124">
        <f>100*(K101/OBR_MAR23_1.1!N101)</f>
        <v>120.06907537823403</v>
      </c>
      <c r="W101" s="124">
        <f>100*(M101/OBR_MAR23_1.1!P101)</f>
        <v>123.72554923050177</v>
      </c>
      <c r="X101" s="124">
        <f>100*(O101/OBR_MAR23_1.1!R101)</f>
        <v>114.56677373614519</v>
      </c>
      <c r="Z101" s="124">
        <f t="shared" si="2"/>
        <v>4.9737452377850877</v>
      </c>
      <c r="AA101" s="124">
        <f t="shared" si="2"/>
        <v>1.4714651989033989E-2</v>
      </c>
      <c r="AB101" s="124">
        <f t="shared" si="2"/>
        <v>2.7318672588684922</v>
      </c>
      <c r="AC101" s="124">
        <f t="shared" si="2"/>
        <v>2.3973689995080871</v>
      </c>
      <c r="AD101" s="124">
        <f t="shared" si="2"/>
        <v>1.7825623500292265</v>
      </c>
      <c r="AE101" s="124">
        <f t="shared" si="2"/>
        <v>2.9027004942174583</v>
      </c>
    </row>
    <row r="102" spans="1:31" ht="15.75">
      <c r="A102" s="110"/>
      <c r="B102" s="129">
        <v>2024</v>
      </c>
      <c r="C102" s="122">
        <v>1668.5825540000001</v>
      </c>
      <c r="D102" s="122">
        <v>557.96228511929701</v>
      </c>
      <c r="E102" s="122">
        <v>461.13907400000005</v>
      </c>
      <c r="F102" s="122">
        <f ca="1">SUM(OFFSET(F$5,(ROW(F102)-ROW(F$86))*4,0):OFFSET(F$8,(ROW(F102)-ROW(F$86))*4,0))</f>
        <v>88.165923699999993</v>
      </c>
      <c r="G102" s="122">
        <v>3.246455868</v>
      </c>
      <c r="H102" s="122">
        <v>2690.9303689872972</v>
      </c>
      <c r="I102" s="122">
        <v>2.749634586</v>
      </c>
      <c r="J102" s="122">
        <v>2693.6800035732972</v>
      </c>
      <c r="K102" s="122">
        <v>765.96800600000006</v>
      </c>
      <c r="L102" s="122">
        <v>3459.6480080000006</v>
      </c>
      <c r="M102" s="122">
        <v>836.78225100000009</v>
      </c>
      <c r="N102" s="122">
        <v>21.267662899999998</v>
      </c>
      <c r="O102" s="122">
        <v>2644.133421</v>
      </c>
      <c r="P102" s="123">
        <v>2610.2705020000003</v>
      </c>
      <c r="S102" s="124">
        <f>100*(C102/OBR_MAR23_1.1!C102)</f>
        <v>118.31726403792413</v>
      </c>
      <c r="T102" s="124">
        <f>100*(D102/OBR_MAR23_1.1!D102)</f>
        <v>117.11835934670076</v>
      </c>
      <c r="U102" s="124">
        <f>100*(E102/OBR_MAR23_1.1!E102)</f>
        <v>112.72711500061436</v>
      </c>
      <c r="V102" s="124">
        <f>100*(K102/OBR_MAR23_1.1!N102)</f>
        <v>118.61937561923295</v>
      </c>
      <c r="W102" s="124">
        <f>100*(M102/OBR_MAR23_1.1!P102)</f>
        <v>119.59431072469788</v>
      </c>
      <c r="X102" s="124">
        <f>100*(O102/OBR_MAR23_1.1!R102)</f>
        <v>116.75552909622186</v>
      </c>
      <c r="Z102" s="124">
        <f t="shared" si="2"/>
        <v>1.0486640999499697</v>
      </c>
      <c r="AA102" s="124">
        <f t="shared" si="2"/>
        <v>0.91090246692360211</v>
      </c>
      <c r="AB102" s="124">
        <f t="shared" si="2"/>
        <v>1.2405944690853099</v>
      </c>
      <c r="AC102" s="124">
        <f t="shared" si="2"/>
        <v>-1.2073881259052954</v>
      </c>
      <c r="AD102" s="124">
        <f t="shared" si="2"/>
        <v>-3.3390342831353004</v>
      </c>
      <c r="AE102" s="124">
        <f t="shared" si="2"/>
        <v>1.9104625963523469</v>
      </c>
    </row>
    <row r="103" spans="1:31" ht="15.75">
      <c r="A103" s="110"/>
      <c r="B103" s="129">
        <v>2025</v>
      </c>
      <c r="C103" s="122">
        <v>1704.832924</v>
      </c>
      <c r="D103" s="122">
        <v>569.34605826158793</v>
      </c>
      <c r="E103" s="122">
        <v>483.70350500000001</v>
      </c>
      <c r="F103" s="122">
        <f ca="1">SUM(OFFSET(F$5,(ROW(F103)-ROW(F$86))*4,0):OFFSET(F$8,(ROW(F103)-ROW(F$86))*4,0))</f>
        <v>87.138074400000008</v>
      </c>
      <c r="G103" s="122">
        <v>3.2886843390000005</v>
      </c>
      <c r="H103" s="122">
        <v>2761.171171600588</v>
      </c>
      <c r="I103" s="122">
        <v>4.3585615949999994</v>
      </c>
      <c r="J103" s="122">
        <v>2765.5297331955881</v>
      </c>
      <c r="K103" s="122">
        <v>766.45747199999994</v>
      </c>
      <c r="L103" s="122">
        <v>3531.9872049999999</v>
      </c>
      <c r="M103" s="122">
        <v>815.54991999999993</v>
      </c>
      <c r="N103" s="122">
        <v>21.494234580000001</v>
      </c>
      <c r="O103" s="122">
        <v>2737.9315189999998</v>
      </c>
      <c r="P103" s="123">
        <v>2704.1929369999998</v>
      </c>
      <c r="S103" s="124">
        <f>100*(C103/OBR_MAR23_1.1!C103)</f>
        <v>118.80545799517841</v>
      </c>
      <c r="T103" s="124">
        <f>100*(D103/OBR_MAR23_1.1!D103)</f>
        <v>118.14159448776115</v>
      </c>
      <c r="U103" s="124">
        <f>100*(E103/OBR_MAR23_1.1!E103)</f>
        <v>114.19468465827055</v>
      </c>
      <c r="V103" s="124">
        <f>100*(K103/OBR_MAR23_1.1!N103)</f>
        <v>117.3739055625155</v>
      </c>
      <c r="W103" s="124">
        <f>100*(M103/OBR_MAR23_1.1!P103)</f>
        <v>116.99959994250952</v>
      </c>
      <c r="X103" s="124">
        <f>100*(O103/OBR_MAR23_1.1!R103)</f>
        <v>117.99845411689888</v>
      </c>
      <c r="Z103" s="124">
        <f t="shared" ref="Z103:AE105" si="3">100*((S103/S102)-1)</f>
        <v>0.41261430546415401</v>
      </c>
      <c r="AA103" s="124">
        <f t="shared" si="3"/>
        <v>0.87367612282831519</v>
      </c>
      <c r="AB103" s="124">
        <f t="shared" si="3"/>
        <v>1.301878130783507</v>
      </c>
      <c r="AC103" s="124">
        <f t="shared" si="3"/>
        <v>-1.0499718534309199</v>
      </c>
      <c r="AD103" s="124">
        <f t="shared" si="3"/>
        <v>-2.1695938263830095</v>
      </c>
      <c r="AE103" s="124">
        <f t="shared" si="3"/>
        <v>1.0645534565242531</v>
      </c>
    </row>
    <row r="104" spans="1:31" ht="15.75">
      <c r="A104" s="110"/>
      <c r="B104" s="129">
        <v>2026</v>
      </c>
      <c r="C104" s="122">
        <v>1746.003929</v>
      </c>
      <c r="D104" s="122">
        <v>584.10374866363497</v>
      </c>
      <c r="E104" s="122">
        <v>500.66740199999998</v>
      </c>
      <c r="F104" s="122">
        <f ca="1">SUM(OFFSET(F$5,(ROW(F104)-ROW(F$86))*4,0):OFFSET(F$8,(ROW(F104)-ROW(F$86))*4,0))</f>
        <v>88.049857899999992</v>
      </c>
      <c r="G104" s="122">
        <v>3.3344689359999999</v>
      </c>
      <c r="H104" s="122">
        <v>2834.1095485996352</v>
      </c>
      <c r="I104" s="122">
        <v>5.8746039029999997</v>
      </c>
      <c r="J104" s="122">
        <v>2839.984152502635</v>
      </c>
      <c r="K104" s="122">
        <v>767.95573900000011</v>
      </c>
      <c r="L104" s="122">
        <v>3607.9398900000001</v>
      </c>
      <c r="M104" s="122">
        <v>804.39872700000001</v>
      </c>
      <c r="N104" s="122">
        <v>21.717716599999999</v>
      </c>
      <c r="O104" s="122">
        <v>2825.2588789999995</v>
      </c>
      <c r="P104" s="123">
        <v>2791.2354690000002</v>
      </c>
      <c r="S104" s="124">
        <f>100*(C104/OBR_MAR23_1.1!C104)</f>
        <v>119.68446574985217</v>
      </c>
      <c r="T104" s="124">
        <f>100*(D104/OBR_MAR23_1.1!D104)</f>
        <v>119.36498770796501</v>
      </c>
      <c r="U104" s="124">
        <f>100*(E104/OBR_MAR23_1.1!E104)</f>
        <v>115.77912777773203</v>
      </c>
      <c r="V104" s="124">
        <f>100*(K104/OBR_MAR23_1.1!N104)</f>
        <v>116.7688333380349</v>
      </c>
      <c r="W104" s="124">
        <f>100*(M104/OBR_MAR23_1.1!P104)</f>
        <v>116.00209867469648</v>
      </c>
      <c r="X104" s="124">
        <f>100*(O104/OBR_MAR23_1.1!R104)</f>
        <v>119.22598928688211</v>
      </c>
      <c r="Z104" s="124">
        <f t="shared" si="3"/>
        <v>0.7398715256915489</v>
      </c>
      <c r="AA104" s="124">
        <f t="shared" si="3"/>
        <v>1.035531326209238</v>
      </c>
      <c r="AB104" s="124">
        <f t="shared" si="3"/>
        <v>1.3874928804286757</v>
      </c>
      <c r="AC104" s="124">
        <f t="shared" si="3"/>
        <v>-0.51550829937948572</v>
      </c>
      <c r="AD104" s="124">
        <f t="shared" si="3"/>
        <v>-0.85256810134665129</v>
      </c>
      <c r="AE104" s="124">
        <f t="shared" si="3"/>
        <v>1.0402976709907863</v>
      </c>
    </row>
    <row r="105" spans="1:31" ht="15.75">
      <c r="A105" s="110"/>
      <c r="B105" s="158">
        <v>2027</v>
      </c>
      <c r="C105" s="131">
        <v>1808.208063</v>
      </c>
      <c r="D105" s="131">
        <v>603.80955048916394</v>
      </c>
      <c r="E105" s="131">
        <v>506.62699500000002</v>
      </c>
      <c r="F105" s="131">
        <f ca="1">SUM(OFFSET(F$5,(ROW(F105)-ROW(F$86))*4,0):OFFSET(F$8,(ROW(F105)-ROW(F$86))*4,0))</f>
        <v>88.547122999999999</v>
      </c>
      <c r="G105" s="131">
        <v>3.3886830129999996</v>
      </c>
      <c r="H105" s="131">
        <v>2922.0332915021636</v>
      </c>
      <c r="I105" s="131">
        <v>7.1238738599999998</v>
      </c>
      <c r="J105" s="131">
        <v>2929.1571653621641</v>
      </c>
      <c r="K105" s="131">
        <v>779.4319230000001</v>
      </c>
      <c r="L105" s="131">
        <v>3708.5890880000002</v>
      </c>
      <c r="M105" s="131">
        <v>805.95055499999989</v>
      </c>
      <c r="N105" s="131">
        <v>22.067292969999997</v>
      </c>
      <c r="O105" s="131">
        <v>2924.7058260000003</v>
      </c>
      <c r="P105" s="132">
        <v>2891.0168569999996</v>
      </c>
      <c r="S105" s="124">
        <f>100*(C105/OBR_MAR23_1.1!C105)</f>
        <v>121.6606607350391</v>
      </c>
      <c r="T105" s="124">
        <f>100*(D105/OBR_MAR23_1.1!D105)</f>
        <v>121.08638916965518</v>
      </c>
      <c r="U105" s="124">
        <f>100*(E105/OBR_MAR23_1.1!E105)</f>
        <v>117.6648961305962</v>
      </c>
      <c r="V105" s="124">
        <f>100*(K105/OBR_MAR23_1.1!N105)</f>
        <v>117.99531491401636</v>
      </c>
      <c r="W105" s="124">
        <f>100*(M105/OBR_MAR23_1.1!P105)</f>
        <v>117.24797710781345</v>
      </c>
      <c r="X105" s="124">
        <f>100*(O105/OBR_MAR23_1.1!R105)</f>
        <v>121.14528706144708</v>
      </c>
      <c r="Z105" s="124">
        <f t="shared" si="3"/>
        <v>1.6511708289004723</v>
      </c>
      <c r="AA105" s="124">
        <f t="shared" si="3"/>
        <v>1.4421326510766219</v>
      </c>
      <c r="AB105" s="124">
        <f t="shared" si="3"/>
        <v>1.6287636546065576</v>
      </c>
      <c r="AC105" s="124">
        <f t="shared" si="3"/>
        <v>1.0503501156262418</v>
      </c>
      <c r="AD105" s="124">
        <f t="shared" si="3"/>
        <v>1.074013700916554</v>
      </c>
      <c r="AE105" s="124">
        <f t="shared" si="3"/>
        <v>1.609798153946751</v>
      </c>
    </row>
    <row r="106" spans="1:31" ht="15.75">
      <c r="A106" s="110"/>
      <c r="B106" s="161" t="s">
        <v>196</v>
      </c>
      <c r="C106" s="122">
        <v>1011.455</v>
      </c>
      <c r="D106" s="122">
        <v>329.61099999999999</v>
      </c>
      <c r="E106" s="122">
        <v>273.00200000000001</v>
      </c>
      <c r="F106" s="122">
        <f ca="1">SUM(OFFSET(F$6,(ROW(F106)-ROW(F$106))*4,0):OFFSET(F$9,(ROW(F106)-ROW(F$106))*4,0))</f>
        <v>48.344999999999999</v>
      </c>
      <c r="G106" s="122">
        <v>0.95499999999999996</v>
      </c>
      <c r="H106" s="122">
        <v>1615.0229999999999</v>
      </c>
      <c r="I106" s="122">
        <v>-6.0279999999999996</v>
      </c>
      <c r="J106" s="122">
        <v>1608.9949999999999</v>
      </c>
      <c r="K106" s="122">
        <v>434.12700000000001</v>
      </c>
      <c r="L106" s="122">
        <v>2043.123</v>
      </c>
      <c r="M106" s="122">
        <v>458.58300000000003</v>
      </c>
      <c r="N106" s="122">
        <v>0</v>
      </c>
      <c r="O106" s="122">
        <v>1584.54</v>
      </c>
      <c r="P106" s="155">
        <v>1557.0840000000001</v>
      </c>
      <c r="S106" s="124">
        <f>100*(C106/OBR_MAR23_1.1!C106)</f>
        <v>85.094756785588686</v>
      </c>
      <c r="T106" s="124">
        <f>100*(D106/OBR_MAR23_1.1!D106)</f>
        <v>86.865234246319005</v>
      </c>
      <c r="U106" s="124">
        <f>100*(E106/OBR_MAR23_1.1!E106)</f>
        <v>83.104113775699702</v>
      </c>
      <c r="V106" s="124">
        <f>100*(K106/OBR_MAR23_1.1!N106)</f>
        <v>81.252304438559236</v>
      </c>
      <c r="W106" s="124">
        <f>100*(M106/OBR_MAR23_1.1!P106)</f>
        <v>87.393755288413914</v>
      </c>
      <c r="X106" s="124">
        <f>100*(O106/OBR_MAR23_1.1!R106)</f>
        <v>83.898288931106123</v>
      </c>
    </row>
    <row r="107" spans="1:31" ht="15.75">
      <c r="A107" s="110"/>
      <c r="B107" s="160" t="s">
        <v>197</v>
      </c>
      <c r="C107" s="122">
        <v>1000.082</v>
      </c>
      <c r="D107" s="122">
        <v>344.017</v>
      </c>
      <c r="E107" s="122">
        <v>247.00200000000001</v>
      </c>
      <c r="F107" s="122">
        <f ca="1">SUM(OFFSET(F$6,(ROW(F107)-ROW(F$106))*4,0):OFFSET(F$9,(ROW(F107)-ROW(F$106))*4,0))</f>
        <v>50.923999999999999</v>
      </c>
      <c r="G107" s="122">
        <v>1.0720000000000001</v>
      </c>
      <c r="H107" s="122">
        <v>1592.173</v>
      </c>
      <c r="I107" s="122">
        <v>-9.8019999999999996</v>
      </c>
      <c r="J107" s="122">
        <v>1582.3710000000001</v>
      </c>
      <c r="K107" s="122">
        <v>420.298</v>
      </c>
      <c r="L107" s="122">
        <v>2002.6690000000001</v>
      </c>
      <c r="M107" s="122">
        <v>440.72699999999998</v>
      </c>
      <c r="N107" s="122">
        <v>0</v>
      </c>
      <c r="O107" s="122">
        <v>1561.942</v>
      </c>
      <c r="P107" s="155">
        <v>1555.9949999999999</v>
      </c>
      <c r="S107" s="124">
        <f>100*(C107/OBR_MAR23_1.1!C107)</f>
        <v>85.377049628170738</v>
      </c>
      <c r="T107" s="124">
        <f>100*(D107/OBR_MAR23_1.1!D107)</f>
        <v>89.808774196916886</v>
      </c>
      <c r="U107" s="124">
        <f>100*(E107/OBR_MAR23_1.1!E107)</f>
        <v>83.416749407306838</v>
      </c>
      <c r="V107" s="124">
        <f>100*(K107/OBR_MAR23_1.1!N107)</f>
        <v>83.704692105472802</v>
      </c>
      <c r="W107" s="124">
        <f>100*(M107/OBR_MAR23_1.1!P107)</f>
        <v>86.847721347623803</v>
      </c>
      <c r="X107" s="124">
        <f>100*(O107/OBR_MAR23_1.1!R107)</f>
        <v>85.037892811254608</v>
      </c>
    </row>
    <row r="108" spans="1:31" ht="15.75">
      <c r="A108" s="110"/>
      <c r="B108" s="160" t="s">
        <v>198</v>
      </c>
      <c r="C108" s="122">
        <v>1044.875</v>
      </c>
      <c r="D108" s="122">
        <v>349.80200000000002</v>
      </c>
      <c r="E108" s="122">
        <v>258.68299999999999</v>
      </c>
      <c r="F108" s="122">
        <f ca="1">SUM(OFFSET(F$6,(ROW(F108)-ROW(F$106))*4,0):OFFSET(F$9,(ROW(F108)-ROW(F$106))*4,0))</f>
        <v>50.554000000000002</v>
      </c>
      <c r="G108" s="122">
        <v>-0.76800000000000002</v>
      </c>
      <c r="H108" s="122">
        <v>1652.5920000000001</v>
      </c>
      <c r="I108" s="122">
        <v>-0.127</v>
      </c>
      <c r="J108" s="122">
        <v>1652.4649999999999</v>
      </c>
      <c r="K108" s="122">
        <v>478.06299999999999</v>
      </c>
      <c r="L108" s="122">
        <v>2130.527</v>
      </c>
      <c r="M108" s="122">
        <v>499.80099999999999</v>
      </c>
      <c r="N108" s="122">
        <v>0</v>
      </c>
      <c r="O108" s="122">
        <v>1630.7260000000001</v>
      </c>
      <c r="P108" s="155">
        <v>1632.9690000000001</v>
      </c>
      <c r="S108" s="124">
        <f>100*(C108/OBR_MAR23_1.1!C108)</f>
        <v>87.290779904845834</v>
      </c>
      <c r="T108" s="124">
        <f>100*(D108/OBR_MAR23_1.1!D108)</f>
        <v>90.842325321698937</v>
      </c>
      <c r="U108" s="124">
        <f>100*(E108/OBR_MAR23_1.1!E108)</f>
        <v>83.246069928719692</v>
      </c>
      <c r="V108" s="124">
        <f>100*(K108/OBR_MAR23_1.1!N108)</f>
        <v>87.467455599649441</v>
      </c>
      <c r="W108" s="124">
        <f>100*(M108/OBR_MAR23_1.1!P108)</f>
        <v>91.323382430059539</v>
      </c>
      <c r="X108" s="124">
        <f>100*(O108/OBR_MAR23_1.1!R108)</f>
        <v>86.456679304222249</v>
      </c>
    </row>
    <row r="109" spans="1:31" ht="15.75">
      <c r="A109" s="110"/>
      <c r="B109" s="160" t="s">
        <v>199</v>
      </c>
      <c r="C109" s="122">
        <v>1073.6759999999999</v>
      </c>
      <c r="D109" s="122">
        <v>349.80500000000001</v>
      </c>
      <c r="E109" s="122">
        <v>264.15499999999997</v>
      </c>
      <c r="F109" s="122">
        <f ca="1">SUM(OFFSET(F$6,(ROW(F109)-ROW(F$106))*4,0):OFFSET(F$9,(ROW(F109)-ROW(F$106))*4,0))</f>
        <v>47.372</v>
      </c>
      <c r="G109" s="122">
        <v>1.546</v>
      </c>
      <c r="H109" s="122">
        <v>1689.182</v>
      </c>
      <c r="I109" s="122">
        <v>0.48499999999999999</v>
      </c>
      <c r="J109" s="122">
        <v>1689.6669999999999</v>
      </c>
      <c r="K109" s="122">
        <v>524.89599999999996</v>
      </c>
      <c r="L109" s="122">
        <v>2214.5630000000001</v>
      </c>
      <c r="M109" s="122">
        <v>542.06399999999996</v>
      </c>
      <c r="N109" s="122">
        <v>0</v>
      </c>
      <c r="O109" s="122">
        <v>1672.499</v>
      </c>
      <c r="P109" s="155">
        <v>1675.3</v>
      </c>
      <c r="S109" s="124">
        <f>100*(C109/OBR_MAR23_1.1!C109)</f>
        <v>90.249749510789528</v>
      </c>
      <c r="T109" s="124">
        <f>100*(D109/OBR_MAR23_1.1!D109)</f>
        <v>90.550335223007423</v>
      </c>
      <c r="U109" s="124">
        <f>100*(E109/OBR_MAR23_1.1!E109)</f>
        <v>84.657466637609431</v>
      </c>
      <c r="V109" s="124">
        <f>100*(K109/OBR_MAR23_1.1!N109)</f>
        <v>91.313098980395964</v>
      </c>
      <c r="W109" s="124">
        <f>100*(M109/OBR_MAR23_1.1!P109)</f>
        <v>96.671642350020591</v>
      </c>
      <c r="X109" s="124">
        <f>100*(O109/OBR_MAR23_1.1!R109)</f>
        <v>87.988335554305806</v>
      </c>
    </row>
    <row r="110" spans="1:31" ht="15.75">
      <c r="A110" s="110"/>
      <c r="B110" s="160" t="s">
        <v>200</v>
      </c>
      <c r="C110" s="122">
        <v>1118.028</v>
      </c>
      <c r="D110" s="122">
        <v>354.76900000000001</v>
      </c>
      <c r="E110" s="122">
        <v>267</v>
      </c>
      <c r="F110" s="122">
        <f ca="1">SUM(OFFSET(F$6,(ROW(F110)-ROW(F$106))*4,0):OFFSET(F$9,(ROW(F110)-ROW(F$106))*4,0))</f>
        <v>44.749000000000002</v>
      </c>
      <c r="G110" s="122">
        <v>2.641</v>
      </c>
      <c r="H110" s="122">
        <v>1742.4380000000001</v>
      </c>
      <c r="I110" s="122">
        <v>6.1210000000000004</v>
      </c>
      <c r="J110" s="122">
        <v>1748.559</v>
      </c>
      <c r="K110" s="122">
        <v>519.68899999999996</v>
      </c>
      <c r="L110" s="122">
        <v>2268.248</v>
      </c>
      <c r="M110" s="122">
        <v>540.75900000000001</v>
      </c>
      <c r="N110" s="122">
        <v>0</v>
      </c>
      <c r="O110" s="122">
        <v>1727.489</v>
      </c>
      <c r="P110" s="155">
        <v>1703.1690000000001</v>
      </c>
      <c r="S110" s="124">
        <f>100*(C110/OBR_MAR23_1.1!C110)</f>
        <v>91.834114615632927</v>
      </c>
      <c r="T110" s="124">
        <f>100*(D110/OBR_MAR23_1.1!D110)</f>
        <v>91.473501822926067</v>
      </c>
      <c r="U110" s="124">
        <f>100*(E110/OBR_MAR23_1.1!E110)</f>
        <v>86.766063095501167</v>
      </c>
      <c r="V110" s="124">
        <f>100*(K110/OBR_MAR23_1.1!N110)</f>
        <v>91.297641530150628</v>
      </c>
      <c r="W110" s="124">
        <f>100*(M110/OBR_MAR23_1.1!P110)</f>
        <v>95.484788021118433</v>
      </c>
      <c r="X110" s="124">
        <f>100*(O110/OBR_MAR23_1.1!R110)</f>
        <v>89.513509760273251</v>
      </c>
    </row>
    <row r="111" spans="1:31">
      <c r="B111" s="160" t="s">
        <v>201</v>
      </c>
      <c r="C111" s="122">
        <v>1169.364</v>
      </c>
      <c r="D111" s="122">
        <v>362.42500000000001</v>
      </c>
      <c r="E111" s="122">
        <v>291.91800000000001</v>
      </c>
      <c r="F111" s="122">
        <f ca="1">SUM(OFFSET(F$6,(ROW(F111)-ROW(F$106))*4,0):OFFSET(F$9,(ROW(F111)-ROW(F$106))*4,0))</f>
        <v>48.650999999999996</v>
      </c>
      <c r="G111" s="122">
        <v>7.67</v>
      </c>
      <c r="H111" s="122">
        <v>1831.377</v>
      </c>
      <c r="I111" s="122">
        <v>4.202</v>
      </c>
      <c r="J111" s="122">
        <v>1835.579</v>
      </c>
      <c r="K111" s="122">
        <v>532.33799999999997</v>
      </c>
      <c r="L111" s="122">
        <v>2367.9160000000002</v>
      </c>
      <c r="M111" s="122">
        <v>564.80399999999997</v>
      </c>
      <c r="N111" s="122">
        <v>0</v>
      </c>
      <c r="O111" s="122">
        <v>1803.1120000000001</v>
      </c>
      <c r="P111" s="155">
        <v>1776.5029999999999</v>
      </c>
      <c r="S111" s="124">
        <f>100*(C111/OBR_MAR23_1.1!C111)</f>
        <v>93.550317444063296</v>
      </c>
      <c r="T111" s="124">
        <f>100*(D111/OBR_MAR23_1.1!D111)</f>
        <v>92.718137374037141</v>
      </c>
      <c r="U111" s="124">
        <f>100*(E111/OBR_MAR23_1.1!E111)</f>
        <v>88.352905569007262</v>
      </c>
      <c r="V111" s="124">
        <f>100*(K111/OBR_MAR23_1.1!N111)</f>
        <v>92.747628771142416</v>
      </c>
      <c r="W111" s="124">
        <f>100*(M111/OBR_MAR23_1.1!P111)</f>
        <v>95.045006386211824</v>
      </c>
      <c r="X111" s="124">
        <f>100*(O111/OBR_MAR23_1.1!R111)</f>
        <v>91.375647647387922</v>
      </c>
    </row>
    <row r="112" spans="1:31">
      <c r="B112" s="160" t="s">
        <v>202</v>
      </c>
      <c r="C112" s="122">
        <v>1212.595</v>
      </c>
      <c r="D112" s="122">
        <v>371.00599999999997</v>
      </c>
      <c r="E112" s="122">
        <v>313.91899999999998</v>
      </c>
      <c r="F112" s="122">
        <f ca="1">SUM(OFFSET(F$6,(ROW(F112)-ROW(F$106))*4,0):OFFSET(F$9,(ROW(F112)-ROW(F$106))*4,0))</f>
        <v>50.77</v>
      </c>
      <c r="G112" s="122">
        <v>6.8369999999999997</v>
      </c>
      <c r="H112" s="122">
        <v>1904.357</v>
      </c>
      <c r="I112" s="122">
        <v>18.936</v>
      </c>
      <c r="J112" s="122">
        <v>1923.2929999999999</v>
      </c>
      <c r="K112" s="122">
        <v>530.13599999999997</v>
      </c>
      <c r="L112" s="122">
        <v>2453.4290000000001</v>
      </c>
      <c r="M112" s="122">
        <v>573.63499999999999</v>
      </c>
      <c r="N112" s="122">
        <v>0</v>
      </c>
      <c r="O112" s="122">
        <v>1879.7940000000001</v>
      </c>
      <c r="P112" s="155">
        <v>1842.366</v>
      </c>
      <c r="S112" s="124">
        <f>100*(C112/OBR_MAR23_1.1!C112)</f>
        <v>94.196402561941412</v>
      </c>
      <c r="T112" s="124">
        <f>100*(D112/OBR_MAR23_1.1!D112)</f>
        <v>93.170534478818482</v>
      </c>
      <c r="U112" s="124">
        <f>100*(E112/OBR_MAR23_1.1!E112)</f>
        <v>89.909236977697319</v>
      </c>
      <c r="V112" s="124">
        <f>100*(K112/OBR_MAR23_1.1!N112)</f>
        <v>90.186945301189652</v>
      </c>
      <c r="W112" s="124">
        <f>100*(M112/OBR_MAR23_1.1!P112)</f>
        <v>91.055631659901934</v>
      </c>
      <c r="X112" s="124">
        <f>100*(O112/OBR_MAR23_1.1!R112)</f>
        <v>92.381068454993212</v>
      </c>
    </row>
    <row r="113" spans="2:24">
      <c r="B113" s="160" t="s">
        <v>203</v>
      </c>
      <c r="C113" s="122">
        <v>1249.8219999999999</v>
      </c>
      <c r="D113" s="122">
        <v>376.42200000000003</v>
      </c>
      <c r="E113" s="122">
        <v>336.66899999999998</v>
      </c>
      <c r="F113" s="122">
        <f ca="1">SUM(OFFSET(F$6,(ROW(F113)-ROW(F$106))*4,0):OFFSET(F$9,(ROW(F113)-ROW(F$106))*4,0))</f>
        <v>50.120000000000005</v>
      </c>
      <c r="G113" s="122">
        <v>-1.3460000000000001</v>
      </c>
      <c r="H113" s="122">
        <v>1961.567</v>
      </c>
      <c r="I113" s="122">
        <v>3.1219999999999999</v>
      </c>
      <c r="J113" s="122">
        <v>1964.6890000000001</v>
      </c>
      <c r="K113" s="122">
        <v>534.17499999999995</v>
      </c>
      <c r="L113" s="122">
        <v>2498.864</v>
      </c>
      <c r="M113" s="122">
        <v>561.27499999999998</v>
      </c>
      <c r="N113" s="122">
        <v>0</v>
      </c>
      <c r="O113" s="122">
        <v>1937.5889999999999</v>
      </c>
      <c r="P113" s="155">
        <v>1891.0630000000001</v>
      </c>
      <c r="S113" s="124">
        <f>100*(C113/OBR_MAR23_1.1!C113)</f>
        <v>94.071875127015105</v>
      </c>
      <c r="T113" s="124">
        <f>100*(D113/OBR_MAR23_1.1!D113)</f>
        <v>93.108770610613391</v>
      </c>
      <c r="U113" s="124">
        <f>100*(E113/OBR_MAR23_1.1!E113)</f>
        <v>91.205090834222787</v>
      </c>
      <c r="V113" s="124">
        <f>100*(K113/OBR_MAR23_1.1!N113)</f>
        <v>87.683660890304921</v>
      </c>
      <c r="W113" s="124">
        <f>100*(M113/OBR_MAR23_1.1!P113)</f>
        <v>86.682460575715794</v>
      </c>
      <c r="X113" s="124">
        <f>100*(O113/OBR_MAR23_1.1!R113)</f>
        <v>93.1174133819556</v>
      </c>
    </row>
    <row r="114" spans="2:24">
      <c r="B114" s="160" t="s">
        <v>204</v>
      </c>
      <c r="C114" s="122">
        <v>1310.9680000000001</v>
      </c>
      <c r="D114" s="122">
        <v>384.24400000000003</v>
      </c>
      <c r="E114" s="122">
        <v>360.38200000000001</v>
      </c>
      <c r="F114" s="122">
        <f ca="1">SUM(OFFSET(F$6,(ROW(F114)-ROW(F$106))*4,0):OFFSET(F$9,(ROW(F114)-ROW(F$106))*4,0))</f>
        <v>53.142000000000003</v>
      </c>
      <c r="G114" s="122">
        <v>-0.17</v>
      </c>
      <c r="H114" s="122">
        <v>2055.424</v>
      </c>
      <c r="I114" s="122">
        <v>4.7729999999999997</v>
      </c>
      <c r="J114" s="122">
        <v>2060.1970000000001</v>
      </c>
      <c r="K114" s="122">
        <v>593.25099999999998</v>
      </c>
      <c r="L114" s="122">
        <v>2653.4459999999999</v>
      </c>
      <c r="M114" s="122">
        <v>631.76</v>
      </c>
      <c r="N114" s="122">
        <v>0</v>
      </c>
      <c r="O114" s="122">
        <v>2021.6859999999999</v>
      </c>
      <c r="P114" s="155">
        <v>1985.2470000000001</v>
      </c>
      <c r="S114" s="124">
        <f>100*(C114/OBR_MAR23_1.1!C114)</f>
        <v>95.526399011339564</v>
      </c>
      <c r="T114" s="124">
        <f>100*(D114/OBR_MAR23_1.1!D114)</f>
        <v>94.727240454402022</v>
      </c>
      <c r="U114" s="124">
        <f>100*(E114/OBR_MAR23_1.1!E114)</f>
        <v>93.20674101508348</v>
      </c>
      <c r="V114" s="124">
        <f>100*(K114/OBR_MAR23_1.1!N114)</f>
        <v>93.759640671622918</v>
      </c>
      <c r="W114" s="124">
        <f>100*(M114/OBR_MAR23_1.1!P114)</f>
        <v>93.447603607974457</v>
      </c>
      <c r="X114" s="124">
        <f>100*(O114/OBR_MAR23_1.1!R114)</f>
        <v>95.030031709800326</v>
      </c>
    </row>
    <row r="115" spans="2:24">
      <c r="B115" s="160" t="s">
        <v>205</v>
      </c>
      <c r="C115" s="122">
        <v>1358.848</v>
      </c>
      <c r="D115" s="122">
        <v>389.541</v>
      </c>
      <c r="E115" s="122">
        <v>381.952</v>
      </c>
      <c r="F115" s="122">
        <f ca="1">SUM(OFFSET(F$6,(ROW(F115)-ROW(F$106))*4,0):OFFSET(F$9,(ROW(F115)-ROW(F$106))*4,0))</f>
        <v>55.757999999999996</v>
      </c>
      <c r="G115" s="122">
        <v>1.855</v>
      </c>
      <c r="H115" s="122">
        <v>2132.1959999999999</v>
      </c>
      <c r="I115" s="122">
        <v>0.38200000000000001</v>
      </c>
      <c r="J115" s="122">
        <v>2132.578</v>
      </c>
      <c r="K115" s="122">
        <v>647.976</v>
      </c>
      <c r="L115" s="122">
        <v>2780.5529999999999</v>
      </c>
      <c r="M115" s="122">
        <v>678.29399999999998</v>
      </c>
      <c r="N115" s="122">
        <v>0</v>
      </c>
      <c r="O115" s="122">
        <v>2102.259</v>
      </c>
      <c r="P115" s="155">
        <v>2075.6889999999999</v>
      </c>
      <c r="S115" s="124">
        <f>100*(C115/OBR_MAR23_1.1!C115)</f>
        <v>97.178782476112019</v>
      </c>
      <c r="T115" s="124">
        <f>100*(D115/OBR_MAR23_1.1!D115)</f>
        <v>95.580921160787241</v>
      </c>
      <c r="U115" s="124">
        <f>100*(E115/OBR_MAR23_1.1!E115)</f>
        <v>95.949517177624372</v>
      </c>
      <c r="V115" s="124">
        <f>100*(K115/OBR_MAR23_1.1!N115)</f>
        <v>95.869470656641425</v>
      </c>
      <c r="W115" s="124">
        <f>100*(M115/OBR_MAR23_1.1!P115)</f>
        <v>96.773199450429516</v>
      </c>
      <c r="X115" s="124">
        <f>100*(O115/OBR_MAR23_1.1!R115)</f>
        <v>96.612854452421502</v>
      </c>
    </row>
    <row r="116" spans="2:24">
      <c r="B116" s="160" t="s">
        <v>206</v>
      </c>
      <c r="C116" s="122">
        <v>1412.4159999999999</v>
      </c>
      <c r="D116" s="122">
        <v>402.666</v>
      </c>
      <c r="E116" s="122">
        <v>390.351</v>
      </c>
      <c r="F116" s="122">
        <f ca="1">SUM(OFFSET(F$6,(ROW(F116)-ROW(F$106))*4,0):OFFSET(F$9,(ROW(F116)-ROW(F$106))*4,0))</f>
        <v>58.896000000000001</v>
      </c>
      <c r="G116" s="122">
        <v>14.064</v>
      </c>
      <c r="H116" s="122">
        <v>2219.4969999999998</v>
      </c>
      <c r="I116" s="122">
        <v>10.356999999999999</v>
      </c>
      <c r="J116" s="122">
        <v>2229.8539999999998</v>
      </c>
      <c r="K116" s="122">
        <v>677.93100000000004</v>
      </c>
      <c r="L116" s="122">
        <v>2907.7849999999999</v>
      </c>
      <c r="M116" s="122">
        <v>731.101</v>
      </c>
      <c r="N116" s="122">
        <v>0</v>
      </c>
      <c r="O116" s="122">
        <v>2176.6840000000002</v>
      </c>
      <c r="P116" s="155">
        <v>2155.6610000000001</v>
      </c>
      <c r="S116" s="124">
        <f>100*(C116/OBR_MAR23_1.1!C116)</f>
        <v>98.687190164930954</v>
      </c>
      <c r="T116" s="124">
        <f>100*(D116/OBR_MAR23_1.1!D116)</f>
        <v>97.822553804518137</v>
      </c>
      <c r="U116" s="124">
        <f>100*(E116/OBR_MAR23_1.1!E116)</f>
        <v>98.042667979424522</v>
      </c>
      <c r="V116" s="124">
        <f>100*(K116/OBR_MAR23_1.1!N116)</f>
        <v>98.645451370700201</v>
      </c>
      <c r="W116" s="124">
        <f>100*(M116/OBR_MAR23_1.1!P116)</f>
        <v>99.025056244150406</v>
      </c>
      <c r="X116" s="124">
        <f>100*(O116/OBR_MAR23_1.1!R116)</f>
        <v>98.338528819133856</v>
      </c>
    </row>
    <row r="117" spans="2:24">
      <c r="B117" s="160" t="s">
        <v>207</v>
      </c>
      <c r="C117" s="122">
        <v>1433.5909999999999</v>
      </c>
      <c r="D117" s="122">
        <v>431.584</v>
      </c>
      <c r="E117" s="122">
        <v>401.47199999999998</v>
      </c>
      <c r="F117" s="122">
        <f ca="1">SUM(OFFSET(F$6,(ROW(F117)-ROW(F$106))*4,0):OFFSET(F$9,(ROW(F117)-ROW(F$106))*4,0))</f>
        <v>60.916000000000004</v>
      </c>
      <c r="G117" s="122">
        <v>-7.7149999999999999</v>
      </c>
      <c r="H117" s="122">
        <v>2258.9319999999998</v>
      </c>
      <c r="I117" s="122">
        <v>-5.9349999999999996</v>
      </c>
      <c r="J117" s="122">
        <v>2252.9969999999998</v>
      </c>
      <c r="K117" s="122">
        <v>700.23800000000006</v>
      </c>
      <c r="L117" s="122">
        <v>2953.2359999999999</v>
      </c>
      <c r="M117" s="122">
        <v>706.12199999999996</v>
      </c>
      <c r="N117" s="122">
        <v>0</v>
      </c>
      <c r="O117" s="122">
        <v>2247.114</v>
      </c>
      <c r="P117" s="155">
        <v>2237.029</v>
      </c>
      <c r="S117" s="124">
        <f>100*(C117/OBR_MAR23_1.1!C117)</f>
        <v>100.34163686122446</v>
      </c>
      <c r="T117" s="124">
        <f>100*(D117/OBR_MAR23_1.1!D117)</f>
        <v>101.54105318633333</v>
      </c>
      <c r="U117" s="124">
        <f>100*(E117/OBR_MAR23_1.1!E117)</f>
        <v>100.59584959934251</v>
      </c>
      <c r="V117" s="124">
        <f>100*(K117/OBR_MAR23_1.1!N117)</f>
        <v>100.47955505556068</v>
      </c>
      <c r="W117" s="124">
        <f>100*(M117/OBR_MAR23_1.1!P117)</f>
        <v>99.993344369407325</v>
      </c>
      <c r="X117" s="124">
        <f>100*(O117/OBR_MAR23_1.1!R117)</f>
        <v>100.88484132881088</v>
      </c>
    </row>
    <row r="118" spans="2:24">
      <c r="B118" s="160" t="s">
        <v>208</v>
      </c>
      <c r="C118" s="122">
        <v>1222.856</v>
      </c>
      <c r="D118" s="122">
        <v>494.904</v>
      </c>
      <c r="E118" s="122">
        <v>361.14400000000001</v>
      </c>
      <c r="F118" s="122">
        <f ca="1">SUM(OFFSET(F$6,(ROW(F118)-ROW(F$106))*4,0):OFFSET(F$9,(ROW(F118)-ROW(F$106))*4,0))</f>
        <v>68.703000000000003</v>
      </c>
      <c r="G118" s="122">
        <v>8.66</v>
      </c>
      <c r="H118" s="122">
        <v>2087.5639999999999</v>
      </c>
      <c r="I118" s="122">
        <v>2.3820000000000001</v>
      </c>
      <c r="J118" s="122">
        <v>2089.9459999999999</v>
      </c>
      <c r="K118" s="122">
        <v>598.83299999999997</v>
      </c>
      <c r="L118" s="122">
        <v>2688.7809999999999</v>
      </c>
      <c r="M118" s="122">
        <v>600.20799999999997</v>
      </c>
      <c r="N118" s="122">
        <v>-0.97899999999999998</v>
      </c>
      <c r="O118" s="122">
        <v>2087.5940000000001</v>
      </c>
      <c r="P118" s="155">
        <v>2048.681</v>
      </c>
      <c r="S118" s="124">
        <f>100*(C118/OBR_MAR23_1.1!C118)</f>
        <v>101.43283492951952</v>
      </c>
      <c r="T118" s="124">
        <f>100*(D118/OBR_MAR23_1.1!D118)</f>
        <v>125.37181854798871</v>
      </c>
      <c r="U118" s="124">
        <f>100*(E118/OBR_MAR23_1.1!E118)</f>
        <v>101.2228790210241</v>
      </c>
      <c r="V118" s="124">
        <f>100*(K118/OBR_MAR23_1.1!N118)</f>
        <v>100.50518358640066</v>
      </c>
      <c r="W118" s="124">
        <f>100*(M118/OBR_MAR23_1.1!P118)</f>
        <v>99.168758126954799</v>
      </c>
      <c r="X118" s="124">
        <f>100*(O118/OBR_MAR23_1.1!R118)</f>
        <v>107.10119491334555</v>
      </c>
    </row>
    <row r="119" spans="2:24">
      <c r="B119" s="160" t="s">
        <v>33</v>
      </c>
      <c r="C119" s="122">
        <v>1439.865</v>
      </c>
      <c r="D119" s="122">
        <v>512.44600000000003</v>
      </c>
      <c r="E119" s="122">
        <v>409.911</v>
      </c>
      <c r="F119" s="122">
        <f ca="1">SUM(OFFSET(F$6,(ROW(F119)-ROW(F$106))*4,0):OFFSET(F$9,(ROW(F119)-ROW(F$106))*4,0))</f>
        <v>74.454000000000008</v>
      </c>
      <c r="G119" s="122">
        <v>7.9950000000000001</v>
      </c>
      <c r="H119" s="122">
        <v>2370.2170000000001</v>
      </c>
      <c r="I119" s="122">
        <v>21.966999999999999</v>
      </c>
      <c r="J119" s="122">
        <v>2392.1840000000002</v>
      </c>
      <c r="K119" s="122">
        <v>680.38099999999997</v>
      </c>
      <c r="L119" s="122">
        <v>3072.5650000000001</v>
      </c>
      <c r="M119" s="122">
        <v>739.00900000000001</v>
      </c>
      <c r="N119" s="122">
        <v>4.3239999999999998</v>
      </c>
      <c r="O119" s="122">
        <v>2337.88</v>
      </c>
      <c r="P119" s="155">
        <v>2345.9340000000002</v>
      </c>
      <c r="S119" s="124">
        <f>100*(C119/OBR_MAR23_1.1!C119)</f>
        <v>104.81601971890657</v>
      </c>
      <c r="T119" s="124">
        <f>100*(D119/OBR_MAR23_1.1!D119)</f>
        <v>113.03714847256934</v>
      </c>
      <c r="U119" s="124">
        <f>100*(E119/OBR_MAR23_1.1!E119)</f>
        <v>104.19249803643463</v>
      </c>
      <c r="V119" s="124">
        <f>100*(K119/OBR_MAR23_1.1!N119)</f>
        <v>106.25939010029641</v>
      </c>
      <c r="W119" s="124">
        <f>100*(M119/OBR_MAR23_1.1!P119)</f>
        <v>107.53038169182953</v>
      </c>
      <c r="X119" s="124">
        <f>100*(O119/OBR_MAR23_1.1!R119)</f>
        <v>106.46840121611554</v>
      </c>
    </row>
    <row r="120" spans="2:24">
      <c r="B120" s="160" t="s">
        <v>248</v>
      </c>
      <c r="C120" s="122">
        <v>1590.9418360000002</v>
      </c>
      <c r="D120" s="122">
        <v>526.15661857345196</v>
      </c>
      <c r="E120" s="122">
        <v>450.28208999999998</v>
      </c>
      <c r="F120" s="122">
        <f ca="1">SUM(OFFSET(F$6,(ROW(F120)-ROW(F$106))*4,0):OFFSET(F$9,(ROW(F120)-ROW(F$106))*4,0))</f>
        <v>78.6397379</v>
      </c>
      <c r="G120" s="122">
        <v>-26.024854814999998</v>
      </c>
      <c r="H120" s="122">
        <v>2541.3556897584522</v>
      </c>
      <c r="I120" s="122">
        <v>15.48866565</v>
      </c>
      <c r="J120" s="122">
        <v>2556.844355408452</v>
      </c>
      <c r="K120" s="122">
        <v>835.28802199999996</v>
      </c>
      <c r="L120" s="122">
        <v>3392.1323769999999</v>
      </c>
      <c r="M120" s="122">
        <v>908.63388199999997</v>
      </c>
      <c r="N120" s="122">
        <v>20.490329259999999</v>
      </c>
      <c r="O120" s="122">
        <v>2503.988824</v>
      </c>
      <c r="P120" s="155">
        <v>2475.9047810000002</v>
      </c>
      <c r="S120" s="124">
        <f>100*(C120/OBR_MAR23_1.1!C120)</f>
        <v>113.66159564052766</v>
      </c>
      <c r="T120" s="124">
        <f>100*(D120/OBR_MAR23_1.1!D120)</f>
        <v>115.88185768979304</v>
      </c>
      <c r="U120" s="124">
        <f>100*(E120/OBR_MAR23_1.1!E120)</f>
        <v>109.33928524089818</v>
      </c>
      <c r="V120" s="124">
        <f>100*(K120/OBR_MAR23_1.1!N120)</f>
        <v>119.36708733934745</v>
      </c>
      <c r="W120" s="124">
        <f>100*(M120/OBR_MAR23_1.1!P120)</f>
        <v>124.16394399137998</v>
      </c>
      <c r="X120" s="124">
        <f>100*(O120/OBR_MAR23_1.1!R120)</f>
        <v>112.4468857537517</v>
      </c>
    </row>
    <row r="121" spans="2:24">
      <c r="B121" s="160" t="s">
        <v>6</v>
      </c>
      <c r="C121" s="122">
        <v>1635.632967</v>
      </c>
      <c r="D121" s="122">
        <v>548.59516255187702</v>
      </c>
      <c r="E121" s="122">
        <v>452.94816900000001</v>
      </c>
      <c r="F121" s="122">
        <f ca="1">SUM(OFFSET(F$6,(ROW(F121)-ROW(F$106))*4,0):OFFSET(F$9,(ROW(F121)-ROW(F$106))*4,0))</f>
        <v>88.382481599999991</v>
      </c>
      <c r="G121" s="122">
        <v>3.2192847169999999</v>
      </c>
      <c r="H121" s="122">
        <v>2640.3955832688766</v>
      </c>
      <c r="I121" s="122">
        <v>6.4892400799999992</v>
      </c>
      <c r="J121" s="122">
        <v>2646.884823348877</v>
      </c>
      <c r="K121" s="122">
        <v>770.44512299999997</v>
      </c>
      <c r="L121" s="122">
        <v>3417.3299470000002</v>
      </c>
      <c r="M121" s="122">
        <v>865.16206399999999</v>
      </c>
      <c r="N121" s="122">
        <v>21.005455680000001</v>
      </c>
      <c r="O121" s="122">
        <v>2573.1733380000001</v>
      </c>
      <c r="P121" s="155">
        <v>2541.7801220000001</v>
      </c>
      <c r="S121" s="124">
        <f>100*(C121/OBR_MAR23_1.1!C121)</f>
        <v>117.57272495249087</v>
      </c>
      <c r="T121" s="124">
        <f>100*(D121/OBR_MAR23_1.1!D121)</f>
        <v>116.22280513100563</v>
      </c>
      <c r="U121" s="124">
        <f>100*(E121/OBR_MAR23_1.1!E121)</f>
        <v>111.78056711427821</v>
      </c>
      <c r="V121" s="124">
        <f>100*(K121/OBR_MAR23_1.1!N121)</f>
        <v>119.90377603404838</v>
      </c>
      <c r="W121" s="124">
        <f>100*(M121/OBR_MAR23_1.1!P121)</f>
        <v>122.73743922481285</v>
      </c>
      <c r="X121" s="124">
        <f>100*(O121/OBR_MAR23_1.1!R121)</f>
        <v>115.3158280394689</v>
      </c>
    </row>
    <row r="122" spans="2:24">
      <c r="B122" s="160" t="s">
        <v>7</v>
      </c>
      <c r="C122" s="122">
        <v>1679.8925589999999</v>
      </c>
      <c r="D122" s="122">
        <v>560.58489746669795</v>
      </c>
      <c r="E122" s="122">
        <v>466.00741099999999</v>
      </c>
      <c r="F122" s="122">
        <f ca="1">SUM(OFFSET(F$6,(ROW(F122)-ROW(F$106))*4,0):OFFSET(F$9,(ROW(F122)-ROW(F$106))*4,0))</f>
        <v>87.64728740000001</v>
      </c>
      <c r="G122" s="122">
        <v>3.2572127800000001</v>
      </c>
      <c r="H122" s="122">
        <v>2709.7420802466982</v>
      </c>
      <c r="I122" s="122">
        <v>2.3710774610000001</v>
      </c>
      <c r="J122" s="122">
        <v>2712.1131577076976</v>
      </c>
      <c r="K122" s="122">
        <v>765.86915899999997</v>
      </c>
      <c r="L122" s="122">
        <v>3477.9823140000003</v>
      </c>
      <c r="M122" s="122">
        <v>830.64232900000002</v>
      </c>
      <c r="N122" s="122">
        <v>21.335138000000001</v>
      </c>
      <c r="O122" s="122">
        <v>2668.675123</v>
      </c>
      <c r="P122" s="155">
        <v>2634.3293959999996</v>
      </c>
      <c r="S122" s="124">
        <f>100*(C122/OBR_MAR23_1.1!C122)</f>
        <v>118.5456654688743</v>
      </c>
      <c r="T122" s="124">
        <f>100*(D122/OBR_MAR23_1.1!D122)</f>
        <v>117.32202142220491</v>
      </c>
      <c r="U122" s="124">
        <f>100*(E122/OBR_MAR23_1.1!E122)</f>
        <v>113.10146540416484</v>
      </c>
      <c r="V122" s="124">
        <f>100*(K122/OBR_MAR23_1.1!N122)</f>
        <v>118.26379523202439</v>
      </c>
      <c r="W122" s="124">
        <f>100*(M122/OBR_MAR23_1.1!P122)</f>
        <v>118.88890409358612</v>
      </c>
      <c r="X122" s="124">
        <f>100*(O122/OBR_MAR23_1.1!R122)</f>
        <v>117.12548157538384</v>
      </c>
    </row>
    <row r="123" spans="2:24">
      <c r="B123" s="160" t="s">
        <v>8</v>
      </c>
      <c r="C123" s="122">
        <v>1712.5880410000002</v>
      </c>
      <c r="D123" s="122">
        <v>572.63139637585903</v>
      </c>
      <c r="E123" s="122">
        <v>489.76124499999997</v>
      </c>
      <c r="F123" s="122">
        <f ca="1">SUM(OFFSET(F$6,(ROW(F123)-ROW(F$106))*4,0):OFFSET(F$9,(ROW(F123)-ROW(F$106))*4,0))</f>
        <v>87.2659132</v>
      </c>
      <c r="G123" s="122">
        <v>3.2991470449999998</v>
      </c>
      <c r="H123" s="122">
        <v>2778.2798294208592</v>
      </c>
      <c r="I123" s="122">
        <v>4.4497925130000002</v>
      </c>
      <c r="J123" s="122">
        <v>2782.7296219338587</v>
      </c>
      <c r="K123" s="122">
        <v>765.96153300000003</v>
      </c>
      <c r="L123" s="122">
        <v>3548.6911550000004</v>
      </c>
      <c r="M123" s="122">
        <v>811.14013999999997</v>
      </c>
      <c r="N123" s="122">
        <v>21.540737419999999</v>
      </c>
      <c r="O123" s="122">
        <v>2759.0917520000003</v>
      </c>
      <c r="P123" s="155">
        <v>2725.4865999999997</v>
      </c>
      <c r="S123" s="124">
        <f>100*(C123/OBR_MAR23_1.1!C123)</f>
        <v>118.89022478301217</v>
      </c>
      <c r="T123" s="124">
        <f>100*(D123/OBR_MAR23_1.1!D123)</f>
        <v>118.45734968054542</v>
      </c>
      <c r="U123" s="124">
        <f>100*(E123/OBR_MAR23_1.1!E123)</f>
        <v>114.55784203661317</v>
      </c>
      <c r="V123" s="124">
        <f>100*(K123/OBR_MAR23_1.1!N123)</f>
        <v>117.0295094908556</v>
      </c>
      <c r="W123" s="124">
        <f>100*(M123/OBR_MAR23_1.1!P123)</f>
        <v>116.43470147426149</v>
      </c>
      <c r="X123" s="124">
        <f>100*(O123/OBR_MAR23_1.1!R123)</f>
        <v>118.25343555545436</v>
      </c>
    </row>
    <row r="124" spans="2:24">
      <c r="B124" s="160" t="s">
        <v>9</v>
      </c>
      <c r="C124" s="122">
        <v>1760.755737</v>
      </c>
      <c r="D124" s="122">
        <v>588.733274242721</v>
      </c>
      <c r="E124" s="122">
        <v>501.15967700000004</v>
      </c>
      <c r="F124" s="122">
        <f ca="1">SUM(OFFSET(F$6,(ROW(F124)-ROW(F$106))*4,0):OFFSET(F$9,(ROW(F124)-ROW(F$106))*4,0))</f>
        <v>88.2877036</v>
      </c>
      <c r="G124" s="122">
        <v>3.3476222760000001</v>
      </c>
      <c r="H124" s="122">
        <v>2853.9963105187212</v>
      </c>
      <c r="I124" s="122">
        <v>7.2183783200000002</v>
      </c>
      <c r="J124" s="122">
        <v>2861.214688838721</v>
      </c>
      <c r="K124" s="122">
        <v>770.47984300000007</v>
      </c>
      <c r="L124" s="122">
        <v>3631.6945310000001</v>
      </c>
      <c r="M124" s="122">
        <v>803.91964300000006</v>
      </c>
      <c r="N124" s="122">
        <v>21.798640450000001</v>
      </c>
      <c r="O124" s="122">
        <v>2849.5735279999999</v>
      </c>
      <c r="P124" s="155">
        <v>2815.5615980000002</v>
      </c>
      <c r="S124" s="124">
        <f>100*(C124/OBR_MAR23_1.1!C124)</f>
        <v>120.11507077016721</v>
      </c>
      <c r="T124" s="124">
        <f>100*(D124/OBR_MAR23_1.1!D124)</f>
        <v>119.74899625629105</v>
      </c>
      <c r="U124" s="124">
        <f>100*(E124/OBR_MAR23_1.1!E124)</f>
        <v>116.23453939340436</v>
      </c>
      <c r="V124" s="124">
        <f>100*(K124/OBR_MAR23_1.1!N124)</f>
        <v>117.01644208484147</v>
      </c>
      <c r="W124" s="124">
        <f>100*(M124/OBR_MAR23_1.1!P124)</f>
        <v>116.24165147735737</v>
      </c>
      <c r="X124" s="124">
        <f>100*(O124/OBR_MAR23_1.1!R124)</f>
        <v>119.67032032823461</v>
      </c>
    </row>
    <row r="125" spans="2:24" ht="15.75" thickBot="1">
      <c r="B125" s="162" t="s">
        <v>10</v>
      </c>
      <c r="C125" s="170">
        <v>1824.7143450000001</v>
      </c>
      <c r="D125" s="170">
        <v>607.54053287036197</v>
      </c>
      <c r="E125" s="170">
        <v>510.54663699999998</v>
      </c>
      <c r="F125" s="170">
        <f ca="1">SUM(OFFSET(F$6,(ROW(F125)-ROW(F$106))*4,0):OFFSET(F$9,(ROW(F125)-ROW(F$106))*4,0))</f>
        <v>88.554827899999992</v>
      </c>
      <c r="G125" s="170">
        <v>3.4028175999999997</v>
      </c>
      <c r="H125" s="170">
        <v>2946.2043324703623</v>
      </c>
      <c r="I125" s="170">
        <v>6.7124397100000008</v>
      </c>
      <c r="J125" s="170">
        <v>2952.9167721803615</v>
      </c>
      <c r="K125" s="170">
        <v>782.59667200000001</v>
      </c>
      <c r="L125" s="170">
        <v>3735.5134429999998</v>
      </c>
      <c r="M125" s="170">
        <v>807.87853400000006</v>
      </c>
      <c r="N125" s="170">
        <v>22.158808429999997</v>
      </c>
      <c r="O125" s="170">
        <v>2949.793717</v>
      </c>
      <c r="P125" s="173">
        <v>2916.1479680000002</v>
      </c>
      <c r="S125" s="124">
        <f>100*(C125/OBR_MAR23_1.1!C125)</f>
        <v>122.26807700293834</v>
      </c>
      <c r="T125" s="124">
        <f>100*(D125/OBR_MAR23_1.1!D125)</f>
        <v>121.29317748942468</v>
      </c>
      <c r="U125" s="124">
        <f>100*(E125/OBR_MAR23_1.1!E125)</f>
        <v>118.15550745254457</v>
      </c>
      <c r="V125" s="124">
        <f>100*(K125/OBR_MAR23_1.1!N125)</f>
        <v>118.39002446334692</v>
      </c>
      <c r="W125" s="124">
        <f>100*(M125/OBR_MAR23_1.1!P125)</f>
        <v>117.62946949422613</v>
      </c>
      <c r="X125" s="124">
        <f>100*(O125/OBR_MAR23_1.1!R125)</f>
        <v>121.64754674902991</v>
      </c>
    </row>
    <row r="126" spans="2:24">
      <c r="B126" s="592" t="s">
        <v>209</v>
      </c>
      <c r="C126" s="593"/>
      <c r="D126" s="593"/>
      <c r="E126" s="593"/>
      <c r="F126" s="593"/>
      <c r="G126" s="593"/>
      <c r="H126" s="593"/>
      <c r="I126" s="593"/>
      <c r="J126" s="593"/>
      <c r="K126" s="593"/>
      <c r="L126" s="593"/>
      <c r="M126" s="593"/>
      <c r="N126" s="593"/>
      <c r="O126" s="593"/>
      <c r="P126" s="597"/>
    </row>
    <row r="127" spans="2:24">
      <c r="B127" s="586" t="s">
        <v>236</v>
      </c>
      <c r="C127" s="587"/>
      <c r="D127" s="587"/>
      <c r="E127" s="587"/>
      <c r="F127" s="587"/>
      <c r="G127" s="587"/>
      <c r="H127" s="587"/>
      <c r="I127" s="587"/>
      <c r="J127" s="587"/>
      <c r="K127" s="587"/>
      <c r="L127" s="587"/>
      <c r="M127" s="587"/>
      <c r="N127" s="587"/>
      <c r="O127" s="587"/>
      <c r="P127" s="596"/>
    </row>
    <row r="128" spans="2:24">
      <c r="B128" s="586" t="s">
        <v>237</v>
      </c>
      <c r="C128" s="587"/>
      <c r="D128" s="587"/>
      <c r="E128" s="587"/>
      <c r="F128" s="587"/>
      <c r="G128" s="587"/>
      <c r="H128" s="587"/>
      <c r="I128" s="587"/>
      <c r="J128" s="587"/>
      <c r="K128" s="587"/>
      <c r="L128" s="587"/>
      <c r="M128" s="587"/>
      <c r="N128" s="587"/>
      <c r="O128" s="587"/>
      <c r="P128" s="596"/>
    </row>
    <row r="129" spans="2:16">
      <c r="B129" s="586" t="s">
        <v>238</v>
      </c>
      <c r="C129" s="587"/>
      <c r="D129" s="587"/>
      <c r="E129" s="587"/>
      <c r="F129" s="587"/>
      <c r="G129" s="587"/>
      <c r="H129" s="587"/>
      <c r="I129" s="587"/>
      <c r="J129" s="587"/>
      <c r="K129" s="587"/>
      <c r="L129" s="587"/>
      <c r="M129" s="587"/>
      <c r="N129" s="587"/>
      <c r="O129" s="587"/>
      <c r="P129" s="596"/>
    </row>
    <row r="130" spans="2:16">
      <c r="B130" s="141" t="s">
        <v>239</v>
      </c>
      <c r="C130" s="142"/>
      <c r="D130" s="142"/>
      <c r="E130" s="142"/>
      <c r="F130" s="142"/>
      <c r="G130" s="142"/>
      <c r="H130" s="142"/>
      <c r="I130" s="142"/>
      <c r="J130" s="142"/>
      <c r="K130" s="142"/>
      <c r="L130" s="142"/>
      <c r="M130" s="142"/>
      <c r="N130" s="142"/>
      <c r="O130" s="142"/>
      <c r="P130" s="164"/>
    </row>
    <row r="131" spans="2:16">
      <c r="B131" s="586" t="s">
        <v>240</v>
      </c>
      <c r="C131" s="587"/>
      <c r="D131" s="587"/>
      <c r="E131" s="587"/>
      <c r="F131" s="587"/>
      <c r="G131" s="587"/>
      <c r="H131" s="587"/>
      <c r="I131" s="587"/>
      <c r="J131" s="587"/>
      <c r="K131" s="587"/>
      <c r="L131" s="587"/>
      <c r="M131" s="587"/>
      <c r="N131" s="587"/>
      <c r="O131" s="587"/>
      <c r="P131" s="596"/>
    </row>
    <row r="132" spans="2:16">
      <c r="B132" s="592" t="s">
        <v>218</v>
      </c>
      <c r="C132" s="593"/>
      <c r="D132" s="593"/>
      <c r="E132" s="593"/>
      <c r="F132" s="593"/>
      <c r="G132" s="593"/>
      <c r="H132" s="593"/>
      <c r="I132" s="593"/>
      <c r="J132" s="593"/>
      <c r="K132" s="593"/>
      <c r="L132" s="593"/>
      <c r="M132" s="593"/>
      <c r="N132" s="593"/>
      <c r="O132" s="593"/>
      <c r="P132" s="597"/>
    </row>
    <row r="133" spans="2:16">
      <c r="B133" s="586" t="s">
        <v>241</v>
      </c>
      <c r="C133" s="587"/>
      <c r="D133" s="587"/>
      <c r="E133" s="587"/>
      <c r="F133" s="587"/>
      <c r="G133" s="587"/>
      <c r="H133" s="587"/>
      <c r="I133" s="587"/>
      <c r="J133" s="587"/>
      <c r="K133" s="587"/>
      <c r="L133" s="587"/>
      <c r="M133" s="587"/>
      <c r="N133" s="587"/>
      <c r="O133" s="587"/>
      <c r="P133" s="596"/>
    </row>
    <row r="134" spans="2:16">
      <c r="B134" s="586" t="s">
        <v>220</v>
      </c>
      <c r="C134" s="587"/>
      <c r="D134" s="587"/>
      <c r="E134" s="587"/>
      <c r="F134" s="587"/>
      <c r="G134" s="587"/>
      <c r="H134" s="587"/>
      <c r="I134" s="587"/>
      <c r="J134" s="587"/>
      <c r="K134" s="587"/>
      <c r="L134" s="587"/>
      <c r="M134" s="587"/>
      <c r="N134" s="587"/>
      <c r="O134" s="587"/>
      <c r="P134" s="596"/>
    </row>
    <row r="135" spans="2:16">
      <c r="B135" s="586" t="s">
        <v>242</v>
      </c>
      <c r="C135" s="587"/>
      <c r="D135" s="587"/>
      <c r="E135" s="587"/>
      <c r="F135" s="587"/>
      <c r="G135" s="587"/>
      <c r="H135" s="587"/>
      <c r="I135" s="587"/>
      <c r="J135" s="587"/>
      <c r="K135" s="587"/>
      <c r="L135" s="587"/>
      <c r="M135" s="587"/>
      <c r="N135" s="587"/>
      <c r="O135" s="587"/>
      <c r="P135" s="596"/>
    </row>
    <row r="136" spans="2:16">
      <c r="B136" s="586" t="s">
        <v>243</v>
      </c>
      <c r="C136" s="587"/>
      <c r="D136" s="587"/>
      <c r="E136" s="587"/>
      <c r="F136" s="587"/>
      <c r="G136" s="587"/>
      <c r="H136" s="587"/>
      <c r="I136" s="587"/>
      <c r="J136" s="587"/>
      <c r="K136" s="587"/>
      <c r="L136" s="587"/>
      <c r="M136" s="587"/>
      <c r="N136" s="587"/>
      <c r="O136" s="587"/>
      <c r="P136" s="596"/>
    </row>
    <row r="137" spans="2:16">
      <c r="B137" s="586" t="s">
        <v>244</v>
      </c>
      <c r="C137" s="587"/>
      <c r="D137" s="587"/>
      <c r="E137" s="587"/>
      <c r="F137" s="587"/>
      <c r="G137" s="587"/>
      <c r="H137" s="587"/>
      <c r="I137" s="587"/>
      <c r="J137" s="587"/>
      <c r="K137" s="587"/>
      <c r="L137" s="587"/>
      <c r="M137" s="587"/>
      <c r="N137" s="587"/>
      <c r="O137" s="587"/>
      <c r="P137" s="596"/>
    </row>
    <row r="138" spans="2:16">
      <c r="B138" s="586" t="s">
        <v>245</v>
      </c>
      <c r="C138" s="587"/>
      <c r="D138" s="587"/>
      <c r="E138" s="587"/>
      <c r="F138" s="587"/>
      <c r="G138" s="587"/>
      <c r="H138" s="587"/>
      <c r="I138" s="587"/>
      <c r="J138" s="587"/>
      <c r="K138" s="587"/>
      <c r="L138" s="587"/>
      <c r="M138" s="587"/>
      <c r="N138" s="587"/>
      <c r="O138" s="587"/>
      <c r="P138" s="596"/>
    </row>
    <row r="139" spans="2:16">
      <c r="B139" s="586" t="s">
        <v>246</v>
      </c>
      <c r="C139" s="587"/>
      <c r="D139" s="587"/>
      <c r="E139" s="587"/>
      <c r="F139" s="587"/>
      <c r="G139" s="587"/>
      <c r="H139" s="587"/>
      <c r="I139" s="587"/>
      <c r="J139" s="587"/>
      <c r="K139" s="587"/>
      <c r="L139" s="587"/>
      <c r="M139" s="587"/>
      <c r="N139" s="587"/>
      <c r="O139" s="587"/>
      <c r="P139" s="596"/>
    </row>
    <row r="140" spans="2:16" ht="15.75" thickBot="1">
      <c r="B140" s="589" t="s">
        <v>247</v>
      </c>
      <c r="C140" s="590"/>
      <c r="D140" s="590"/>
      <c r="E140" s="590"/>
      <c r="F140" s="590"/>
      <c r="G140" s="590"/>
      <c r="H140" s="590"/>
      <c r="I140" s="590"/>
      <c r="J140" s="590"/>
      <c r="K140" s="590"/>
      <c r="L140" s="590"/>
      <c r="M140" s="590"/>
      <c r="N140" s="590"/>
      <c r="O140" s="590"/>
      <c r="P140" s="595"/>
    </row>
    <row r="141" spans="2:16">
      <c r="C141" s="167"/>
      <c r="D141" s="167"/>
      <c r="E141" s="167"/>
      <c r="F141" s="167"/>
      <c r="G141" s="167"/>
      <c r="H141" s="167"/>
      <c r="I141" s="167"/>
      <c r="J141" s="167"/>
      <c r="K141" s="167"/>
      <c r="L141" s="167"/>
      <c r="M141" s="167"/>
      <c r="N141" s="167"/>
      <c r="O141" s="167"/>
      <c r="P141" s="167"/>
    </row>
    <row r="142" spans="2:16">
      <c r="C142" s="167"/>
      <c r="D142" s="167"/>
      <c r="E142" s="167"/>
      <c r="F142" s="167"/>
      <c r="G142" s="167"/>
      <c r="H142" s="167"/>
      <c r="I142" s="167"/>
      <c r="J142" s="167"/>
      <c r="K142" s="167"/>
      <c r="L142" s="167"/>
      <c r="M142" s="167"/>
      <c r="N142" s="167"/>
      <c r="O142" s="167"/>
      <c r="P142" s="167"/>
    </row>
    <row r="143" spans="2:16">
      <c r="C143" s="167"/>
      <c r="D143" s="167"/>
      <c r="E143" s="167"/>
      <c r="F143" s="167"/>
      <c r="G143" s="167"/>
      <c r="H143" s="167"/>
      <c r="I143" s="167"/>
      <c r="J143" s="167"/>
      <c r="K143" s="167"/>
      <c r="L143" s="167"/>
      <c r="M143" s="167"/>
      <c r="N143" s="167"/>
      <c r="O143" s="167"/>
      <c r="P143" s="167"/>
    </row>
    <row r="144" spans="2:16">
      <c r="C144" s="167"/>
      <c r="D144" s="167"/>
      <c r="E144" s="167"/>
      <c r="F144" s="167"/>
      <c r="G144" s="167"/>
      <c r="H144" s="167"/>
      <c r="I144" s="167"/>
      <c r="J144" s="167"/>
      <c r="K144" s="167"/>
      <c r="L144" s="167"/>
      <c r="M144" s="167"/>
      <c r="N144" s="167"/>
      <c r="O144" s="167"/>
      <c r="P144" s="167"/>
    </row>
    <row r="145" spans="3:16">
      <c r="C145" s="167"/>
      <c r="D145" s="167"/>
      <c r="E145" s="167"/>
      <c r="F145" s="167"/>
      <c r="G145" s="167"/>
      <c r="H145" s="167"/>
      <c r="I145" s="167"/>
      <c r="J145" s="167"/>
      <c r="K145" s="167"/>
      <c r="L145" s="167"/>
      <c r="M145" s="167"/>
      <c r="N145" s="167"/>
      <c r="O145" s="167"/>
      <c r="P145" s="167"/>
    </row>
    <row r="146" spans="3:16">
      <c r="C146" s="167"/>
      <c r="D146" s="167"/>
      <c r="E146" s="167"/>
      <c r="F146" s="167"/>
      <c r="G146" s="167"/>
      <c r="H146" s="167"/>
      <c r="I146" s="167"/>
      <c r="J146" s="167"/>
      <c r="K146" s="167"/>
      <c r="L146" s="167"/>
      <c r="M146" s="167"/>
      <c r="N146" s="167"/>
      <c r="O146" s="167"/>
      <c r="P146" s="167"/>
    </row>
    <row r="147" spans="3:16">
      <c r="C147" s="167"/>
      <c r="D147" s="167"/>
      <c r="E147" s="167"/>
      <c r="F147" s="167"/>
      <c r="G147" s="167"/>
      <c r="H147" s="167"/>
      <c r="I147" s="167"/>
      <c r="J147" s="167"/>
      <c r="K147" s="167"/>
      <c r="L147" s="167"/>
      <c r="M147" s="167"/>
      <c r="N147" s="167"/>
      <c r="O147" s="167"/>
      <c r="P147" s="167"/>
    </row>
    <row r="148" spans="3:16">
      <c r="C148" s="167"/>
      <c r="D148" s="167"/>
      <c r="E148" s="167"/>
      <c r="F148" s="167"/>
      <c r="G148" s="167"/>
      <c r="H148" s="167"/>
      <c r="I148" s="167"/>
      <c r="J148" s="167"/>
      <c r="K148" s="167"/>
      <c r="L148" s="167"/>
      <c r="M148" s="167"/>
      <c r="N148" s="167"/>
      <c r="O148" s="167"/>
      <c r="P148" s="167"/>
    </row>
    <row r="149" spans="3:16">
      <c r="C149" s="167"/>
      <c r="D149" s="167"/>
      <c r="E149" s="167"/>
      <c r="F149" s="167"/>
      <c r="G149" s="167"/>
      <c r="H149" s="167"/>
      <c r="I149" s="167"/>
      <c r="J149" s="167"/>
      <c r="K149" s="167"/>
      <c r="L149" s="167"/>
      <c r="M149" s="167"/>
      <c r="N149" s="167"/>
      <c r="O149" s="167"/>
      <c r="P149" s="167"/>
    </row>
    <row r="150" spans="3:16">
      <c r="C150" s="167"/>
      <c r="D150" s="167"/>
      <c r="E150" s="167"/>
      <c r="F150" s="167"/>
      <c r="G150" s="167"/>
      <c r="H150" s="167"/>
      <c r="I150" s="167"/>
      <c r="J150" s="167"/>
      <c r="K150" s="167"/>
      <c r="L150" s="167"/>
      <c r="M150" s="167"/>
      <c r="N150" s="167"/>
      <c r="O150" s="167"/>
      <c r="P150" s="167"/>
    </row>
    <row r="151" spans="3:16">
      <c r="C151" s="167"/>
      <c r="D151" s="167"/>
      <c r="E151" s="167"/>
      <c r="F151" s="167"/>
      <c r="G151" s="167"/>
      <c r="H151" s="167"/>
      <c r="I151" s="167"/>
      <c r="J151" s="167"/>
      <c r="K151" s="167"/>
      <c r="L151" s="167"/>
      <c r="M151" s="167"/>
      <c r="N151" s="167"/>
      <c r="O151" s="167"/>
      <c r="P151" s="167"/>
    </row>
    <row r="152" spans="3:16">
      <c r="C152" s="167"/>
      <c r="D152" s="167"/>
      <c r="E152" s="167"/>
      <c r="F152" s="167"/>
      <c r="G152" s="167"/>
      <c r="H152" s="167"/>
      <c r="I152" s="167"/>
      <c r="J152" s="167"/>
      <c r="K152" s="167"/>
      <c r="L152" s="167"/>
      <c r="M152" s="167"/>
      <c r="N152" s="167"/>
      <c r="O152" s="167"/>
      <c r="P152" s="167"/>
    </row>
    <row r="153" spans="3:16">
      <c r="C153" s="167"/>
      <c r="D153" s="167"/>
      <c r="E153" s="167"/>
      <c r="F153" s="167"/>
      <c r="G153" s="167"/>
      <c r="H153" s="167"/>
      <c r="I153" s="167"/>
      <c r="J153" s="167"/>
      <c r="K153" s="167"/>
      <c r="L153" s="167"/>
      <c r="M153" s="167"/>
      <c r="N153" s="167"/>
      <c r="O153" s="167"/>
      <c r="P153" s="167"/>
    </row>
    <row r="154" spans="3:16">
      <c r="C154" s="167"/>
      <c r="D154" s="167"/>
      <c r="E154" s="167"/>
      <c r="F154" s="167"/>
      <c r="G154" s="167"/>
      <c r="H154" s="167"/>
      <c r="I154" s="167"/>
      <c r="J154" s="167"/>
      <c r="K154" s="167"/>
      <c r="L154" s="167"/>
      <c r="M154" s="167"/>
      <c r="N154" s="167"/>
      <c r="O154" s="167"/>
      <c r="P154" s="167"/>
    </row>
    <row r="155" spans="3:16">
      <c r="C155" s="167"/>
      <c r="D155" s="167"/>
      <c r="E155" s="167"/>
      <c r="F155" s="167"/>
      <c r="G155" s="167"/>
      <c r="H155" s="167"/>
      <c r="I155" s="167"/>
      <c r="J155" s="167"/>
      <c r="K155" s="167"/>
      <c r="L155" s="167"/>
      <c r="M155" s="167"/>
      <c r="N155" s="167"/>
      <c r="O155" s="167"/>
      <c r="P155" s="167"/>
    </row>
  </sheetData>
  <mergeCells count="28">
    <mergeCell ref="B127:P127"/>
    <mergeCell ref="B2:P2"/>
    <mergeCell ref="B3:B4"/>
    <mergeCell ref="C3:C4"/>
    <mergeCell ref="D3:D4"/>
    <mergeCell ref="G3:G4"/>
    <mergeCell ref="H3:H4"/>
    <mergeCell ref="I3:I4"/>
    <mergeCell ref="J3:J4"/>
    <mergeCell ref="K3:K4"/>
    <mergeCell ref="L3:L4"/>
    <mergeCell ref="M3:M4"/>
    <mergeCell ref="N3:N4"/>
    <mergeCell ref="O3:O4"/>
    <mergeCell ref="P3:P4"/>
    <mergeCell ref="B126:P126"/>
    <mergeCell ref="B140:P140"/>
    <mergeCell ref="B128:P128"/>
    <mergeCell ref="B129:P129"/>
    <mergeCell ref="B131:P131"/>
    <mergeCell ref="B132:P132"/>
    <mergeCell ref="B133:P133"/>
    <mergeCell ref="B134:P134"/>
    <mergeCell ref="B135:P135"/>
    <mergeCell ref="B136:P136"/>
    <mergeCell ref="B137:P137"/>
    <mergeCell ref="B138:P138"/>
    <mergeCell ref="B139:P139"/>
  </mergeCells>
  <hyperlinks>
    <hyperlink ref="A1" location="Contents!A1" display="Back to contents" xr:uid="{F44B7BB7-8080-4275-9B79-779BF9A2F75E}"/>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BF30B-4EA3-499A-AA22-83D28831818A}">
  <sheetPr codeName="Sheet22"/>
  <dimension ref="A1:J26"/>
  <sheetViews>
    <sheetView showGridLines="0" workbookViewId="0">
      <selection activeCell="K30" sqref="K30"/>
    </sheetView>
  </sheetViews>
  <sheetFormatPr defaultColWidth="10.140625" defaultRowHeight="12.75"/>
  <cols>
    <col min="1" max="1" width="10.140625" style="2"/>
    <col min="2" max="2" width="5.85546875" style="2" customWidth="1"/>
    <col min="3" max="3" width="24.5703125" style="2" customWidth="1"/>
    <col min="4" max="10" width="7.28515625" style="2" customWidth="1"/>
    <col min="11" max="16384" width="10.140625" style="2"/>
  </cols>
  <sheetData>
    <row r="1" spans="1:10" ht="39.950000000000003" customHeight="1">
      <c r="A1" s="1" t="s">
        <v>0</v>
      </c>
    </row>
    <row r="2" spans="1:10" ht="17.25">
      <c r="B2" s="3" t="s">
        <v>38</v>
      </c>
    </row>
    <row r="3" spans="1:10" ht="15.75" thickBot="1">
      <c r="B3" s="38"/>
      <c r="C3" s="38"/>
      <c r="D3" s="38"/>
      <c r="E3" s="38"/>
      <c r="F3" s="38"/>
      <c r="G3" s="38"/>
      <c r="H3" s="38"/>
      <c r="I3" s="38"/>
      <c r="J3" s="38"/>
    </row>
    <row r="4" spans="1:10">
      <c r="B4" s="39"/>
      <c r="C4" s="39"/>
      <c r="D4" s="567" t="s">
        <v>2</v>
      </c>
      <c r="E4" s="567"/>
      <c r="F4" s="567"/>
      <c r="G4" s="567"/>
      <c r="H4" s="567"/>
      <c r="I4" s="567"/>
      <c r="J4" s="567"/>
    </row>
    <row r="5" spans="1:10">
      <c r="B5" s="40"/>
      <c r="C5" s="40"/>
      <c r="D5" s="41" t="s">
        <v>3</v>
      </c>
      <c r="E5" s="598" t="s">
        <v>4</v>
      </c>
      <c r="F5" s="598"/>
      <c r="G5" s="598"/>
      <c r="H5" s="598"/>
      <c r="I5" s="598"/>
      <c r="J5" s="598"/>
    </row>
    <row r="6" spans="1:10">
      <c r="B6" s="40"/>
      <c r="C6" s="40"/>
      <c r="D6" s="40" t="s">
        <v>33</v>
      </c>
      <c r="E6" s="42" t="s">
        <v>5</v>
      </c>
      <c r="F6" s="42" t="s">
        <v>6</v>
      </c>
      <c r="G6" s="42" t="s">
        <v>7</v>
      </c>
      <c r="H6" s="42" t="s">
        <v>8</v>
      </c>
      <c r="I6" s="42" t="s">
        <v>9</v>
      </c>
      <c r="J6" s="42" t="s">
        <v>10</v>
      </c>
    </row>
    <row r="7" spans="1:10">
      <c r="B7" s="43" t="s">
        <v>39</v>
      </c>
      <c r="C7" s="44"/>
      <c r="D7" s="45">
        <v>1018.8738806618246</v>
      </c>
      <c r="E7" s="45">
        <v>1078.7215913966106</v>
      </c>
      <c r="F7" s="45">
        <v>1089.6391019526147</v>
      </c>
      <c r="G7" s="45">
        <v>1114.0250577694737</v>
      </c>
      <c r="H7" s="45">
        <v>1151.961321821944</v>
      </c>
      <c r="I7" s="45">
        <v>1190.9855059194792</v>
      </c>
      <c r="J7" s="46"/>
    </row>
    <row r="8" spans="1:10">
      <c r="B8" s="43" t="s">
        <v>34</v>
      </c>
      <c r="C8" s="44"/>
      <c r="D8" s="45">
        <v>1038.8294973159575</v>
      </c>
      <c r="E8" s="45">
        <v>1177.1326211844907</v>
      </c>
      <c r="F8" s="45">
        <v>1192.5566649951566</v>
      </c>
      <c r="G8" s="45">
        <v>1172.3445074276863</v>
      </c>
      <c r="H8" s="45">
        <v>1189.3167289080409</v>
      </c>
      <c r="I8" s="45">
        <v>1230.3331743020231</v>
      </c>
      <c r="J8" s="45">
        <v>1264.7348474514097</v>
      </c>
    </row>
    <row r="9" spans="1:10">
      <c r="B9" s="47" t="s">
        <v>17</v>
      </c>
      <c r="C9" s="48"/>
      <c r="D9" s="49">
        <v>19.955616654132882</v>
      </c>
      <c r="E9" s="49">
        <v>98.411029787880125</v>
      </c>
      <c r="F9" s="49">
        <v>102.91756304254181</v>
      </c>
      <c r="G9" s="49">
        <v>58.319449658212534</v>
      </c>
      <c r="H9" s="49">
        <v>37.355407086096875</v>
      </c>
      <c r="I9" s="49">
        <v>39.347668382543816</v>
      </c>
      <c r="J9" s="49"/>
    </row>
    <row r="10" spans="1:10">
      <c r="B10" s="50" t="s">
        <v>40</v>
      </c>
      <c r="C10" s="51"/>
      <c r="D10" s="51"/>
      <c r="E10" s="52"/>
      <c r="F10" s="52"/>
      <c r="G10" s="52"/>
      <c r="H10" s="52"/>
      <c r="I10" s="52"/>
      <c r="J10" s="52"/>
    </row>
    <row r="11" spans="1:10">
      <c r="B11" s="53" t="s">
        <v>18</v>
      </c>
      <c r="C11" s="54"/>
      <c r="D11" s="54"/>
      <c r="E11" s="55"/>
      <c r="F11" s="55"/>
      <c r="G11" s="55"/>
      <c r="H11" s="55"/>
      <c r="I11" s="55"/>
      <c r="J11" s="55"/>
    </row>
    <row r="12" spans="1:10">
      <c r="B12" s="56" t="s">
        <v>41</v>
      </c>
      <c r="C12" s="54"/>
      <c r="D12" s="54"/>
      <c r="E12" s="46">
        <v>64.404532688847269</v>
      </c>
      <c r="F12" s="46">
        <v>34.31784005459339</v>
      </c>
      <c r="G12" s="46">
        <v>4.3925230134586846</v>
      </c>
      <c r="H12" s="46">
        <v>-9.4918246555735308</v>
      </c>
      <c r="I12" s="46">
        <v>-19.738597192521684</v>
      </c>
      <c r="J12" s="46">
        <v>-30.953495215341096</v>
      </c>
    </row>
    <row r="13" spans="1:10">
      <c r="B13" s="56" t="s">
        <v>42</v>
      </c>
      <c r="C13" s="54"/>
      <c r="D13" s="54"/>
      <c r="E13" s="46">
        <v>0</v>
      </c>
      <c r="F13" s="46">
        <v>0</v>
      </c>
      <c r="G13" s="46">
        <v>1.775497610082974</v>
      </c>
      <c r="H13" s="46">
        <v>1.5147563094450986</v>
      </c>
      <c r="I13" s="46">
        <v>1.9391595977229916</v>
      </c>
      <c r="J13" s="46"/>
    </row>
    <row r="14" spans="1:10">
      <c r="B14" s="56" t="s">
        <v>43</v>
      </c>
      <c r="C14" s="54"/>
      <c r="D14" s="54"/>
      <c r="E14" s="46">
        <v>-3.7183697130504498</v>
      </c>
      <c r="F14" s="46">
        <v>0.96596160393156083</v>
      </c>
      <c r="G14" s="46">
        <v>11.647403831578558</v>
      </c>
      <c r="H14" s="46">
        <v>3.1921592793069919</v>
      </c>
      <c r="I14" s="46">
        <v>2.0318548137972101</v>
      </c>
      <c r="J14" s="46"/>
    </row>
    <row r="15" spans="1:10">
      <c r="B15" s="57" t="s">
        <v>44</v>
      </c>
      <c r="C15" s="58"/>
      <c r="D15" s="58"/>
      <c r="E15" s="59">
        <v>37.724866812083306</v>
      </c>
      <c r="F15" s="59">
        <v>68.599722987948425</v>
      </c>
      <c r="G15" s="59">
        <v>52.151429034670876</v>
      </c>
      <c r="H15" s="59">
        <v>45.332475432225309</v>
      </c>
      <c r="I15" s="59">
        <v>57.147105977342505</v>
      </c>
      <c r="J15" s="59"/>
    </row>
    <row r="16" spans="1:10">
      <c r="B16" s="60" t="s">
        <v>45</v>
      </c>
      <c r="C16" s="51"/>
      <c r="D16" s="51"/>
      <c r="E16" s="61"/>
      <c r="F16" s="61"/>
      <c r="G16" s="61"/>
      <c r="H16" s="61"/>
      <c r="I16" s="61"/>
      <c r="J16" s="52"/>
    </row>
    <row r="17" spans="2:10">
      <c r="B17" s="62" t="s">
        <v>18</v>
      </c>
      <c r="C17" s="51"/>
      <c r="D17" s="51"/>
      <c r="E17" s="63"/>
      <c r="F17" s="63"/>
      <c r="G17" s="63"/>
      <c r="H17" s="63"/>
      <c r="I17" s="63"/>
      <c r="J17" s="64"/>
    </row>
    <row r="18" spans="2:10">
      <c r="B18" s="56" t="s">
        <v>46</v>
      </c>
      <c r="C18" s="51"/>
      <c r="D18" s="51"/>
      <c r="E18" s="63">
        <v>8.4998617303598962</v>
      </c>
      <c r="F18" s="63">
        <v>11.668010377437042</v>
      </c>
      <c r="G18" s="63">
        <v>2.9031627645636604</v>
      </c>
      <c r="H18" s="63">
        <v>-5.0683493366194625</v>
      </c>
      <c r="I18" s="63">
        <v>-11.631539830995678</v>
      </c>
      <c r="J18" s="64"/>
    </row>
    <row r="19" spans="2:10">
      <c r="B19" s="56" t="s">
        <v>47</v>
      </c>
      <c r="C19" s="51"/>
      <c r="D19" s="51"/>
      <c r="E19" s="63">
        <v>2.8224690499430096</v>
      </c>
      <c r="F19" s="63">
        <v>-0.19927555628740379</v>
      </c>
      <c r="G19" s="63">
        <v>-0.13954263309348391</v>
      </c>
      <c r="H19" s="63">
        <v>-3.6559536265711898</v>
      </c>
      <c r="I19" s="63">
        <v>-6.9255247297209905</v>
      </c>
      <c r="J19" s="64"/>
    </row>
    <row r="20" spans="2:10">
      <c r="B20" s="56" t="s">
        <v>48</v>
      </c>
      <c r="C20" s="44"/>
      <c r="D20" s="46"/>
      <c r="E20" s="63">
        <v>37.406605553507234</v>
      </c>
      <c r="F20" s="63">
        <v>57.811898648614708</v>
      </c>
      <c r="G20" s="63">
        <v>35.721039530856181</v>
      </c>
      <c r="H20" s="63">
        <v>30.148700443442493</v>
      </c>
      <c r="I20" s="63">
        <v>48.129136882068046</v>
      </c>
      <c r="J20" s="46"/>
    </row>
    <row r="21" spans="2:10">
      <c r="B21" s="56" t="s">
        <v>49</v>
      </c>
      <c r="C21" s="44"/>
      <c r="D21" s="46"/>
      <c r="E21" s="63">
        <v>10.551006314352804</v>
      </c>
      <c r="F21" s="63">
        <v>21.548696363094052</v>
      </c>
      <c r="G21" s="63">
        <v>21.419379789273194</v>
      </c>
      <c r="H21" s="63">
        <v>18.820636830307137</v>
      </c>
      <c r="I21" s="63">
        <v>14.042722686061609</v>
      </c>
      <c r="J21" s="46"/>
    </row>
    <row r="22" spans="2:10">
      <c r="B22" s="56" t="s">
        <v>50</v>
      </c>
      <c r="C22" s="44"/>
      <c r="D22" s="46"/>
      <c r="E22" s="63">
        <v>0.83205666249225629</v>
      </c>
      <c r="F22" s="63">
        <v>-1.652990433061035</v>
      </c>
      <c r="G22" s="63">
        <v>0.63140079218793232</v>
      </c>
      <c r="H22" s="63">
        <v>2.5387560910110096</v>
      </c>
      <c r="I22" s="63">
        <v>3.2452252241219526</v>
      </c>
      <c r="J22" s="46"/>
    </row>
    <row r="23" spans="2:10">
      <c r="B23" s="56" t="s">
        <v>51</v>
      </c>
      <c r="C23" s="44"/>
      <c r="D23" s="46"/>
      <c r="E23" s="63">
        <v>38.299030477224925</v>
      </c>
      <c r="F23" s="63">
        <v>13.741223642744444</v>
      </c>
      <c r="G23" s="63">
        <v>-2.21599058557495</v>
      </c>
      <c r="H23" s="63">
        <v>-5.4283833154731127</v>
      </c>
      <c r="I23" s="63">
        <v>-7.5123518489911234</v>
      </c>
      <c r="J23" s="46"/>
    </row>
    <row r="24" spans="2:10">
      <c r="B24" s="56" t="s">
        <v>18</v>
      </c>
      <c r="C24" s="56"/>
      <c r="D24" s="56"/>
      <c r="E24" s="56"/>
      <c r="F24" s="56"/>
      <c r="G24" s="56"/>
      <c r="H24" s="56"/>
      <c r="I24" s="56"/>
      <c r="J24" s="56"/>
    </row>
    <row r="25" spans="2:10">
      <c r="B25" s="65" t="s">
        <v>52</v>
      </c>
      <c r="C25" s="66"/>
      <c r="D25" s="66"/>
      <c r="E25" s="67">
        <v>43.189</v>
      </c>
      <c r="F25" s="67">
        <v>12.776999999999999</v>
      </c>
      <c r="G25" s="67">
        <v>0</v>
      </c>
      <c r="H25" s="67">
        <v>0</v>
      </c>
      <c r="I25" s="67">
        <v>0</v>
      </c>
      <c r="J25" s="66"/>
    </row>
    <row r="26" spans="2:10" ht="22.5" customHeight="1" thickBot="1">
      <c r="B26" s="599" t="s">
        <v>53</v>
      </c>
      <c r="C26" s="600"/>
      <c r="D26" s="600"/>
      <c r="E26" s="600"/>
      <c r="F26" s="600"/>
      <c r="G26" s="600"/>
      <c r="H26" s="600"/>
      <c r="I26" s="600"/>
      <c r="J26" s="600"/>
    </row>
  </sheetData>
  <mergeCells count="3">
    <mergeCell ref="D4:J4"/>
    <mergeCell ref="E5:J5"/>
    <mergeCell ref="B26:J26"/>
  </mergeCells>
  <conditionalFormatting sqref="B20:J23">
    <cfRule type="containsText" dxfId="5" priority="4" operator="containsText" text="Not Met">
      <formula>NOT(ISERROR(SEARCH("Not Met",B20)))</formula>
    </cfRule>
  </conditionalFormatting>
  <conditionalFormatting sqref="B24:J24 J25">
    <cfRule type="containsText" dxfId="4" priority="3" operator="containsText" text="Not Met">
      <formula>NOT(ISERROR(SEARCH("Not Met",B24)))</formula>
    </cfRule>
  </conditionalFormatting>
  <conditionalFormatting sqref="B25:D25">
    <cfRule type="containsText" dxfId="3" priority="2" operator="containsText" text="Not Met">
      <formula>NOT(ISERROR(SEARCH("Not Met",B25)))</formula>
    </cfRule>
  </conditionalFormatting>
  <conditionalFormatting sqref="E25:I25">
    <cfRule type="containsText" dxfId="2" priority="1" operator="containsText" text="Not Met">
      <formula>NOT(ISERROR(SEARCH("Not Met",E25)))</formula>
    </cfRule>
  </conditionalFormatting>
  <hyperlinks>
    <hyperlink ref="A1" location="Contents!A1" display="Contents!A1" xr:uid="{398F593A-EB1C-4EDA-A709-923B51416D24}"/>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0396E-06B3-42AA-A4CE-124EF032990B}">
  <sheetPr codeName="Sheet23"/>
  <dimension ref="A1:I45"/>
  <sheetViews>
    <sheetView showGridLines="0" zoomScaleNormal="100" workbookViewId="0"/>
  </sheetViews>
  <sheetFormatPr defaultColWidth="10.140625" defaultRowHeight="12.75"/>
  <cols>
    <col min="1" max="1" width="10.140625" style="2"/>
    <col min="2" max="2" width="31.7109375" style="2" customWidth="1"/>
    <col min="3" max="9" width="7.140625" style="2" customWidth="1"/>
    <col min="10" max="16384" width="10.140625" style="2"/>
  </cols>
  <sheetData>
    <row r="1" spans="1:9" ht="39.950000000000003" customHeight="1">
      <c r="A1" s="1" t="s">
        <v>0</v>
      </c>
    </row>
    <row r="2" spans="1:9" ht="17.25">
      <c r="B2" s="3" t="s">
        <v>252</v>
      </c>
    </row>
    <row r="3" spans="1:9" ht="13.5" thickBot="1">
      <c r="B3" s="212"/>
      <c r="C3" s="213"/>
      <c r="D3" s="213"/>
      <c r="E3" s="213"/>
      <c r="F3" s="213"/>
      <c r="G3" s="213"/>
      <c r="H3" s="213"/>
      <c r="I3" s="214"/>
    </row>
    <row r="4" spans="1:9">
      <c r="B4" s="215"/>
      <c r="C4" s="601" t="s">
        <v>2</v>
      </c>
      <c r="D4" s="601"/>
      <c r="E4" s="601"/>
      <c r="F4" s="601"/>
      <c r="G4" s="601"/>
      <c r="H4" s="601"/>
      <c r="I4" s="602"/>
    </row>
    <row r="5" spans="1:9">
      <c r="B5" s="216"/>
      <c r="C5" s="217" t="s">
        <v>3</v>
      </c>
      <c r="D5" s="603" t="s">
        <v>4</v>
      </c>
      <c r="E5" s="603"/>
      <c r="F5" s="603"/>
      <c r="G5" s="603"/>
      <c r="H5" s="603"/>
      <c r="I5" s="604"/>
    </row>
    <row r="6" spans="1:9">
      <c r="B6" s="218"/>
      <c r="C6" s="219" t="s">
        <v>33</v>
      </c>
      <c r="D6" s="219" t="s">
        <v>5</v>
      </c>
      <c r="E6" s="219" t="s">
        <v>6</v>
      </c>
      <c r="F6" s="219" t="s">
        <v>7</v>
      </c>
      <c r="G6" s="219" t="s">
        <v>8</v>
      </c>
      <c r="H6" s="219" t="s">
        <v>9</v>
      </c>
      <c r="I6" s="220" t="s">
        <v>10</v>
      </c>
    </row>
    <row r="7" spans="1:9">
      <c r="B7" s="221" t="s">
        <v>55</v>
      </c>
      <c r="C7" s="222"/>
      <c r="D7" s="222"/>
      <c r="E7" s="222"/>
      <c r="F7" s="222"/>
      <c r="G7" s="222"/>
      <c r="H7" s="223"/>
      <c r="I7" s="224"/>
    </row>
    <row r="8" spans="1:9">
      <c r="B8" s="225" t="s">
        <v>56</v>
      </c>
      <c r="C8" s="226">
        <v>413.760448</v>
      </c>
      <c r="D8" s="226">
        <v>415.47497423494411</v>
      </c>
      <c r="E8" s="226">
        <v>419.68700688438969</v>
      </c>
      <c r="F8" s="226">
        <v>422.00137328095701</v>
      </c>
      <c r="G8" s="226">
        <v>430.32555692311388</v>
      </c>
      <c r="H8" s="226">
        <v>439.94670740392792</v>
      </c>
      <c r="I8" s="227">
        <v>452.6674664823604</v>
      </c>
    </row>
    <row r="9" spans="1:9">
      <c r="B9" s="228" t="s">
        <v>57</v>
      </c>
      <c r="C9" s="226">
        <v>523.88755200000037</v>
      </c>
      <c r="D9" s="226">
        <v>646.66197491358832</v>
      </c>
      <c r="E9" s="226">
        <v>643.94930838958658</v>
      </c>
      <c r="F9" s="226">
        <v>625.57911684168266</v>
      </c>
      <c r="G9" s="226">
        <v>636.80002104525715</v>
      </c>
      <c r="H9" s="226">
        <v>667.88670142034323</v>
      </c>
      <c r="I9" s="227">
        <v>686.57579126157191</v>
      </c>
    </row>
    <row r="10" spans="1:9">
      <c r="B10" s="225" t="s">
        <v>18</v>
      </c>
      <c r="C10" s="226"/>
      <c r="D10" s="226"/>
      <c r="E10" s="226"/>
      <c r="F10" s="226"/>
      <c r="G10" s="226"/>
      <c r="H10" s="226"/>
      <c r="I10" s="227"/>
    </row>
    <row r="11" spans="1:9">
      <c r="B11" s="229" t="s">
        <v>49</v>
      </c>
      <c r="C11" s="226">
        <v>245.22493700973925</v>
      </c>
      <c r="D11" s="226">
        <v>260.84526879381571</v>
      </c>
      <c r="E11" s="226">
        <v>292.32207589657884</v>
      </c>
      <c r="F11" s="226">
        <v>306.03752492505691</v>
      </c>
      <c r="G11" s="226">
        <v>314.78505770682557</v>
      </c>
      <c r="H11" s="226">
        <v>320.71586188434782</v>
      </c>
      <c r="I11" s="227">
        <v>327.49924695711678</v>
      </c>
    </row>
    <row r="12" spans="1:9">
      <c r="B12" s="230" t="s">
        <v>58</v>
      </c>
      <c r="C12" s="226">
        <v>45.569437865720232</v>
      </c>
      <c r="D12" s="226">
        <v>58.744393261547074</v>
      </c>
      <c r="E12" s="226">
        <v>59.685387362518497</v>
      </c>
      <c r="F12" s="226">
        <v>64.205783633247052</v>
      </c>
      <c r="G12" s="226">
        <v>65.275357602095951</v>
      </c>
      <c r="H12" s="226">
        <v>68.006913790302974</v>
      </c>
      <c r="I12" s="227">
        <v>70.25786822551963</v>
      </c>
    </row>
    <row r="13" spans="1:9" ht="27.75">
      <c r="B13" s="231" t="s">
        <v>59</v>
      </c>
      <c r="C13" s="226">
        <v>56.367999999999995</v>
      </c>
      <c r="D13" s="226">
        <v>120.37113392537762</v>
      </c>
      <c r="E13" s="226">
        <v>108.45027775883099</v>
      </c>
      <c r="F13" s="226">
        <v>82.42193300754937</v>
      </c>
      <c r="G13" s="226">
        <v>77.023456827372883</v>
      </c>
      <c r="H13" s="226">
        <v>95.387720388206688</v>
      </c>
      <c r="I13" s="227">
        <v>101.85502493933924</v>
      </c>
    </row>
    <row r="14" spans="1:9">
      <c r="B14" s="232" t="s">
        <v>60</v>
      </c>
      <c r="C14" s="226">
        <v>41.207814000000006</v>
      </c>
      <c r="D14" s="226">
        <v>38.606327130458247</v>
      </c>
      <c r="E14" s="226">
        <v>40.320660740169181</v>
      </c>
      <c r="F14" s="226">
        <v>40.500292493648089</v>
      </c>
      <c r="G14" s="226">
        <v>41.285589119560505</v>
      </c>
      <c r="H14" s="226">
        <v>42.194183399374154</v>
      </c>
      <c r="I14" s="227">
        <v>43.449842573708423</v>
      </c>
    </row>
    <row r="15" spans="1:9">
      <c r="B15" s="230" t="s">
        <v>61</v>
      </c>
      <c r="C15" s="226">
        <v>8.3148336934557889</v>
      </c>
      <c r="D15" s="226">
        <v>8.8099245910697448</v>
      </c>
      <c r="E15" s="226">
        <v>6.4000942912916239</v>
      </c>
      <c r="F15" s="226">
        <v>1.0902591610250443</v>
      </c>
      <c r="G15" s="226">
        <v>1.3686599869151133</v>
      </c>
      <c r="H15" s="226">
        <v>0.75747826927896422</v>
      </c>
      <c r="I15" s="227">
        <v>0.40454315007519026</v>
      </c>
    </row>
    <row r="16" spans="1:9" ht="15">
      <c r="B16" s="230" t="s">
        <v>253</v>
      </c>
      <c r="C16" s="226">
        <v>3.2959063498162942</v>
      </c>
      <c r="D16" s="226">
        <v>3.2571153059336124</v>
      </c>
      <c r="E16" s="226">
        <v>6.182482810242302</v>
      </c>
      <c r="F16" s="226">
        <v>8.3191475748994748</v>
      </c>
      <c r="G16" s="226">
        <v>8.8396026906228506</v>
      </c>
      <c r="H16" s="226">
        <v>8.1692671045648453</v>
      </c>
      <c r="I16" s="227">
        <v>8.153574289041801</v>
      </c>
    </row>
    <row r="17" spans="2:9">
      <c r="B17" s="230" t="s">
        <v>63</v>
      </c>
      <c r="C17" s="226">
        <v>7.9683285001217463</v>
      </c>
      <c r="D17" s="226">
        <v>9.5735312349636974</v>
      </c>
      <c r="E17" s="226">
        <v>10.181255045880631</v>
      </c>
      <c r="F17" s="226">
        <v>10.156362656040573</v>
      </c>
      <c r="G17" s="226">
        <v>10.465611516115001</v>
      </c>
      <c r="H17" s="226">
        <v>11.178284399416112</v>
      </c>
      <c r="I17" s="227">
        <v>11.945535352554923</v>
      </c>
    </row>
    <row r="18" spans="2:9">
      <c r="B18" s="230" t="s">
        <v>64</v>
      </c>
      <c r="C18" s="226">
        <v>3.8836322938500003</v>
      </c>
      <c r="D18" s="226">
        <v>4.1635121284399998</v>
      </c>
      <c r="E18" s="226">
        <v>4.1145028366900007</v>
      </c>
      <c r="F18" s="226">
        <v>4.3765028366899985</v>
      </c>
      <c r="G18" s="226">
        <v>4.2926028366900004</v>
      </c>
      <c r="H18" s="226">
        <v>4.4353028366900009</v>
      </c>
      <c r="I18" s="227">
        <v>4.6530160058136332</v>
      </c>
    </row>
    <row r="19" spans="2:9">
      <c r="B19" s="230" t="s">
        <v>65</v>
      </c>
      <c r="C19" s="226">
        <v>1.3894169999999999</v>
      </c>
      <c r="D19" s="226">
        <v>1.48319</v>
      </c>
      <c r="E19" s="226">
        <v>1.4258029999999999</v>
      </c>
      <c r="F19" s="226">
        <v>1.36375</v>
      </c>
      <c r="G19" s="226">
        <v>1.349526</v>
      </c>
      <c r="H19" s="226">
        <v>1.243207</v>
      </c>
      <c r="I19" s="227">
        <v>1.243207</v>
      </c>
    </row>
    <row r="20" spans="2:9">
      <c r="B20" s="230" t="s">
        <v>66</v>
      </c>
      <c r="C20" s="226">
        <v>1.0523459312853356</v>
      </c>
      <c r="D20" s="226">
        <v>0.79688501757107288</v>
      </c>
      <c r="E20" s="226">
        <v>0.83652794223446036</v>
      </c>
      <c r="F20" s="226">
        <v>0.8602352509286848</v>
      </c>
      <c r="G20" s="226">
        <v>0.88453923233128418</v>
      </c>
      <c r="H20" s="226">
        <v>0.91231660587454178</v>
      </c>
      <c r="I20" s="227">
        <v>0.94390960984782624</v>
      </c>
    </row>
    <row r="21" spans="2:9">
      <c r="B21" s="233" t="s">
        <v>67</v>
      </c>
      <c r="C21" s="226">
        <v>0.127</v>
      </c>
      <c r="D21" s="226">
        <v>0.16800000000000001</v>
      </c>
      <c r="E21" s="226">
        <v>0.16800000000000001</v>
      </c>
      <c r="F21" s="226">
        <v>0.16800000000000001</v>
      </c>
      <c r="G21" s="226">
        <v>0.16800000000000001</v>
      </c>
      <c r="H21" s="226">
        <v>0.16800000000000001</v>
      </c>
      <c r="I21" s="227">
        <v>0.16800000000000001</v>
      </c>
    </row>
    <row r="22" spans="2:9">
      <c r="B22" s="233" t="s">
        <v>70</v>
      </c>
      <c r="C22" s="226">
        <v>19.239957723325663</v>
      </c>
      <c r="D22" s="226">
        <v>20.097634052070148</v>
      </c>
      <c r="E22" s="226">
        <v>21.063942794656445</v>
      </c>
      <c r="F22" s="226">
        <v>21.896455603566856</v>
      </c>
      <c r="G22" s="226">
        <v>22.758662029121794</v>
      </c>
      <c r="H22" s="226">
        <v>23.651965483892482</v>
      </c>
      <c r="I22" s="227">
        <v>24.581743524995932</v>
      </c>
    </row>
    <row r="23" spans="2:9">
      <c r="B23" s="230" t="s">
        <v>71</v>
      </c>
      <c r="C23" s="226">
        <v>47.954000000000001</v>
      </c>
      <c r="D23" s="226">
        <v>50.156901548386287</v>
      </c>
      <c r="E23" s="226">
        <v>52.409893918144355</v>
      </c>
      <c r="F23" s="226">
        <v>54.631644528043246</v>
      </c>
      <c r="G23" s="226">
        <v>56.611702650267119</v>
      </c>
      <c r="H23" s="226">
        <v>58.739800530987615</v>
      </c>
      <c r="I23" s="227">
        <v>61.072755520087917</v>
      </c>
    </row>
    <row r="24" spans="2:9">
      <c r="B24" s="230" t="s">
        <v>72</v>
      </c>
      <c r="C24" s="226">
        <v>19.444235812292494</v>
      </c>
      <c r="D24" s="226">
        <v>20.242622794947021</v>
      </c>
      <c r="E24" s="226">
        <v>21.402070121782213</v>
      </c>
      <c r="F24" s="226">
        <v>21.587864831945677</v>
      </c>
      <c r="G24" s="226">
        <v>22.308638067779356</v>
      </c>
      <c r="H24" s="226">
        <v>23.500527648119533</v>
      </c>
      <c r="I24" s="227">
        <v>24.389222950049835</v>
      </c>
    </row>
    <row r="25" spans="2:9">
      <c r="B25" s="230" t="s">
        <v>73</v>
      </c>
      <c r="C25" s="226">
        <v>8.4465026840427591</v>
      </c>
      <c r="D25" s="226">
        <v>4.7597960816347369</v>
      </c>
      <c r="E25" s="226">
        <v>6.2174755729483717</v>
      </c>
      <c r="F25" s="226">
        <v>7.9969682745247832</v>
      </c>
      <c r="G25" s="226">
        <v>9.884393493314251</v>
      </c>
      <c r="H25" s="226">
        <v>9.3778763839265107</v>
      </c>
      <c r="I25" s="227">
        <v>6.4144364909597922</v>
      </c>
    </row>
    <row r="26" spans="2:9">
      <c r="B26" s="230" t="s">
        <v>74</v>
      </c>
      <c r="C26" s="226">
        <v>2.0307563333333336</v>
      </c>
      <c r="D26" s="226">
        <v>47.392800836378271</v>
      </c>
      <c r="E26" s="226">
        <v>14.064128248993814</v>
      </c>
      <c r="F26" s="226">
        <v>1.8049990983469917</v>
      </c>
      <c r="G26" s="226">
        <v>1.4598338191381386</v>
      </c>
      <c r="H26" s="226">
        <v>1.5064410224338745</v>
      </c>
      <c r="I26" s="227">
        <v>1.5610514400223574</v>
      </c>
    </row>
    <row r="27" spans="2:9">
      <c r="B27" s="234" t="s">
        <v>75</v>
      </c>
      <c r="C27" s="235">
        <v>-2.1908092763683218</v>
      </c>
      <c r="D27" s="235">
        <v>-2.8070617890046918</v>
      </c>
      <c r="E27" s="235">
        <v>-1.2952699513752384</v>
      </c>
      <c r="F27" s="235">
        <v>-1.8386070338300471</v>
      </c>
      <c r="G27" s="235">
        <v>-1.9612125328928784</v>
      </c>
      <c r="H27" s="235">
        <v>-2.0584453270727581</v>
      </c>
      <c r="I27" s="236">
        <v>-2.0171867675613933</v>
      </c>
    </row>
    <row r="28" spans="2:9" ht="25.5">
      <c r="B28" s="237" t="s">
        <v>76</v>
      </c>
      <c r="C28" s="238">
        <f>C8+C9</f>
        <v>937.64800000000037</v>
      </c>
      <c r="D28" s="238">
        <f t="shared" ref="D28:I28" si="0">D8+D9</f>
        <v>1062.1369491485325</v>
      </c>
      <c r="E28" s="238">
        <f t="shared" si="0"/>
        <v>1063.6363152739764</v>
      </c>
      <c r="F28" s="238">
        <f t="shared" si="0"/>
        <v>1047.5804901226397</v>
      </c>
      <c r="G28" s="238">
        <f t="shared" si="0"/>
        <v>1067.1255779683711</v>
      </c>
      <c r="H28" s="238">
        <f t="shared" si="0"/>
        <v>1107.8334088242711</v>
      </c>
      <c r="I28" s="239">
        <f t="shared" si="0"/>
        <v>1139.2432577439322</v>
      </c>
    </row>
    <row r="29" spans="2:9">
      <c r="B29" s="240" t="s">
        <v>77</v>
      </c>
      <c r="C29" s="226"/>
      <c r="D29" s="226"/>
      <c r="E29" s="226"/>
      <c r="F29" s="226"/>
      <c r="G29" s="226"/>
      <c r="H29" s="226"/>
      <c r="I29" s="227"/>
    </row>
    <row r="30" spans="2:9">
      <c r="B30" s="228" t="s">
        <v>78</v>
      </c>
      <c r="C30" s="226">
        <v>76.989229000000009</v>
      </c>
      <c r="D30" s="226">
        <v>88.814115999999999</v>
      </c>
      <c r="E30" s="226">
        <v>94.447102944360509</v>
      </c>
      <c r="F30" s="226">
        <v>94.722329242949357</v>
      </c>
      <c r="G30" s="226">
        <v>95.604873065570359</v>
      </c>
      <c r="H30" s="226">
        <v>96.017646115378568</v>
      </c>
      <c r="I30" s="227">
        <v>96.197898874063284</v>
      </c>
    </row>
    <row r="31" spans="2:9">
      <c r="B31" s="228" t="s">
        <v>79</v>
      </c>
      <c r="C31" s="226">
        <f>SUM(C33:C39,C40)</f>
        <v>32.638771000000006</v>
      </c>
      <c r="D31" s="226">
        <f t="shared" ref="D31:I31" si="1">SUM(D33:D39,D40)</f>
        <v>30.941352117593183</v>
      </c>
      <c r="E31" s="226">
        <f t="shared" si="1"/>
        <v>40.690722349768308</v>
      </c>
      <c r="F31" s="226">
        <f t="shared" si="1"/>
        <v>38.038656336621983</v>
      </c>
      <c r="G31" s="226">
        <f t="shared" si="1"/>
        <v>36.470671367413921</v>
      </c>
      <c r="H31" s="226">
        <f t="shared" si="1"/>
        <v>35.85999574629971</v>
      </c>
      <c r="I31" s="227">
        <f t="shared" si="1"/>
        <v>35.708127324374047</v>
      </c>
    </row>
    <row r="32" spans="2:9">
      <c r="B32" s="228" t="s">
        <v>18</v>
      </c>
      <c r="C32" s="226"/>
      <c r="D32" s="226"/>
      <c r="E32" s="226"/>
      <c r="F32" s="226"/>
      <c r="G32" s="226"/>
      <c r="H32" s="226"/>
      <c r="I32" s="227"/>
    </row>
    <row r="33" spans="2:9">
      <c r="B33" s="241" t="s">
        <v>80</v>
      </c>
      <c r="C33" s="226">
        <v>11.361851474042663</v>
      </c>
      <c r="D33" s="226">
        <v>10.945294210841974</v>
      </c>
      <c r="E33" s="226">
        <v>10.849027520673921</v>
      </c>
      <c r="F33" s="226">
        <v>9.5817541434090874</v>
      </c>
      <c r="G33" s="226">
        <v>9.6353271893503667</v>
      </c>
      <c r="H33" s="226">
        <v>9.6390606770898781</v>
      </c>
      <c r="I33" s="227">
        <v>9.7703961743555663</v>
      </c>
    </row>
    <row r="34" spans="2:9">
      <c r="B34" s="242" t="s">
        <v>81</v>
      </c>
      <c r="C34" s="226">
        <v>11.089385</v>
      </c>
      <c r="D34" s="226">
        <v>10.073768023352299</v>
      </c>
      <c r="E34" s="226">
        <v>11.162042881242794</v>
      </c>
      <c r="F34" s="226">
        <v>11.319287968388263</v>
      </c>
      <c r="G34" s="226">
        <v>11.296914721505093</v>
      </c>
      <c r="H34" s="226">
        <v>11.338861223681846</v>
      </c>
      <c r="I34" s="227">
        <v>11.457494925803887</v>
      </c>
    </row>
    <row r="35" spans="2:9">
      <c r="B35" s="231" t="s">
        <v>82</v>
      </c>
      <c r="C35" s="226">
        <v>12.739809248883098</v>
      </c>
      <c r="D35" s="226">
        <v>2.5096858110997746</v>
      </c>
      <c r="E35" s="226">
        <v>10.595951845178472</v>
      </c>
      <c r="F35" s="226">
        <v>9.3776796984140773</v>
      </c>
      <c r="G35" s="226">
        <v>8.2389148034777051</v>
      </c>
      <c r="H35" s="226">
        <v>7.705202557622898</v>
      </c>
      <c r="I35" s="227">
        <v>7.9483532516396069</v>
      </c>
    </row>
    <row r="36" spans="2:9">
      <c r="B36" s="230" t="s">
        <v>70</v>
      </c>
      <c r="C36" s="226">
        <v>1.08273946545944</v>
      </c>
      <c r="D36" s="226">
        <v>1.3327394654594404</v>
      </c>
      <c r="E36" s="226">
        <v>1.58273946545944</v>
      </c>
      <c r="F36" s="226">
        <v>1.3327394654594404</v>
      </c>
      <c r="G36" s="226">
        <v>1.08273946545944</v>
      </c>
      <c r="H36" s="226">
        <v>1.08273946545944</v>
      </c>
      <c r="I36" s="227">
        <v>0.58273946545944</v>
      </c>
    </row>
    <row r="37" spans="2:9">
      <c r="B37" s="230" t="s">
        <v>83</v>
      </c>
      <c r="C37" s="226">
        <v>4.5047280000000001</v>
      </c>
      <c r="D37" s="226">
        <v>5.4257180000000007</v>
      </c>
      <c r="E37" s="226">
        <v>5.3037371500000008</v>
      </c>
      <c r="F37" s="226">
        <v>5.252124489999999</v>
      </c>
      <c r="G37" s="226">
        <v>5.1458384255637997</v>
      </c>
      <c r="H37" s="226">
        <v>5.1234564095792896</v>
      </c>
      <c r="I37" s="227">
        <v>5.0967634831248541</v>
      </c>
    </row>
    <row r="38" spans="2:9">
      <c r="B38" s="231" t="s">
        <v>84</v>
      </c>
      <c r="C38" s="226">
        <v>0</v>
      </c>
      <c r="D38" s="226">
        <v>0.87597000000000014</v>
      </c>
      <c r="E38" s="226">
        <v>1.0004139999999999</v>
      </c>
      <c r="F38" s="226">
        <v>1.0004139999999999</v>
      </c>
      <c r="G38" s="226">
        <v>0.82812333333333332</v>
      </c>
      <c r="H38" s="226">
        <v>0.82812333333333332</v>
      </c>
      <c r="I38" s="227">
        <v>0.82812333333333332</v>
      </c>
    </row>
    <row r="39" spans="2:9">
      <c r="B39" s="231" t="s">
        <v>85</v>
      </c>
      <c r="C39" s="226">
        <v>-5.3813139768999978</v>
      </c>
      <c r="D39" s="226">
        <v>0.57429459805273386</v>
      </c>
      <c r="E39" s="226">
        <v>0.69691206522999993</v>
      </c>
      <c r="F39" s="226">
        <v>0.72689573691000009</v>
      </c>
      <c r="G39" s="226">
        <v>0.74391691645165392</v>
      </c>
      <c r="H39" s="226">
        <v>0.63265221960241225</v>
      </c>
      <c r="I39" s="227">
        <v>0.49774914003808352</v>
      </c>
    </row>
    <row r="40" spans="2:9" ht="25.5">
      <c r="B40" s="243" t="s">
        <v>254</v>
      </c>
      <c r="C40" s="235">
        <v>-2.7584282114852066</v>
      </c>
      <c r="D40" s="235">
        <v>-0.79611799121303628</v>
      </c>
      <c r="E40" s="235">
        <v>-0.50010257801632507</v>
      </c>
      <c r="F40" s="235">
        <v>-0.55223916595888911</v>
      </c>
      <c r="G40" s="235">
        <v>-0.50110348772747126</v>
      </c>
      <c r="H40" s="235">
        <v>-0.49010014006938679</v>
      </c>
      <c r="I40" s="236">
        <v>-0.47349244938072038</v>
      </c>
    </row>
    <row r="41" spans="2:9">
      <c r="B41" s="244" t="s">
        <v>87</v>
      </c>
      <c r="C41" s="238">
        <f t="shared" ref="C41:I41" si="2">C30+C31</f>
        <v>109.62800000000001</v>
      </c>
      <c r="D41" s="238">
        <f t="shared" si="2"/>
        <v>119.75546811759318</v>
      </c>
      <c r="E41" s="238">
        <f t="shared" si="2"/>
        <v>135.13782529412882</v>
      </c>
      <c r="F41" s="238">
        <f t="shared" si="2"/>
        <v>132.76098557957135</v>
      </c>
      <c r="G41" s="238">
        <f t="shared" si="2"/>
        <v>132.07554443298429</v>
      </c>
      <c r="H41" s="238">
        <f t="shared" si="2"/>
        <v>131.87764186167828</v>
      </c>
      <c r="I41" s="239">
        <f t="shared" si="2"/>
        <v>131.90602619843733</v>
      </c>
    </row>
    <row r="42" spans="2:9">
      <c r="B42" s="245" t="s">
        <v>255</v>
      </c>
      <c r="C42" s="226">
        <v>-54.500999999999998</v>
      </c>
      <c r="D42" s="226">
        <v>-57.102813911436456</v>
      </c>
      <c r="E42" s="226">
        <v>-59.567789477594715</v>
      </c>
      <c r="F42" s="226">
        <v>-61.883405007365312</v>
      </c>
      <c r="G42" s="226">
        <v>-63.879131558056784</v>
      </c>
      <c r="H42" s="226">
        <v>-65.981725002699449</v>
      </c>
      <c r="I42" s="227">
        <v>-68.319264329103731</v>
      </c>
    </row>
    <row r="43" spans="2:9">
      <c r="B43" s="246" t="s">
        <v>89</v>
      </c>
      <c r="C43" s="235">
        <f>C41+C42</f>
        <v>55.127000000000017</v>
      </c>
      <c r="D43" s="235">
        <f>D41+D42</f>
        <v>62.652654206156726</v>
      </c>
      <c r="E43" s="235">
        <f>E41+E42</f>
        <v>75.570035816534102</v>
      </c>
      <c r="F43" s="235">
        <f t="shared" ref="F43:I43" si="3">F41+F42</f>
        <v>70.877580572206043</v>
      </c>
      <c r="G43" s="235">
        <f t="shared" si="3"/>
        <v>68.196412874927503</v>
      </c>
      <c r="H43" s="235">
        <f t="shared" si="3"/>
        <v>65.895916858978836</v>
      </c>
      <c r="I43" s="236">
        <f t="shared" si="3"/>
        <v>63.5867618693336</v>
      </c>
    </row>
    <row r="44" spans="2:9">
      <c r="B44" s="247" t="s">
        <v>90</v>
      </c>
      <c r="C44" s="248">
        <f t="shared" ref="C44:I44" si="4">C28+C41</f>
        <v>1047.2760000000003</v>
      </c>
      <c r="D44" s="248">
        <f t="shared" si="4"/>
        <v>1181.8924172661257</v>
      </c>
      <c r="E44" s="248">
        <f t="shared" si="4"/>
        <v>1198.7741405681052</v>
      </c>
      <c r="F44" s="248">
        <f t="shared" si="4"/>
        <v>1180.341475702211</v>
      </c>
      <c r="G44" s="248">
        <f t="shared" si="4"/>
        <v>1199.2011224013554</v>
      </c>
      <c r="H44" s="248">
        <f t="shared" si="4"/>
        <v>1239.7110506859494</v>
      </c>
      <c r="I44" s="249">
        <f t="shared" si="4"/>
        <v>1271.1492839423695</v>
      </c>
    </row>
    <row r="45" spans="2:9" ht="13.5" thickBot="1">
      <c r="B45" s="250" t="s">
        <v>251</v>
      </c>
      <c r="C45" s="251"/>
      <c r="D45" s="251"/>
      <c r="E45" s="251"/>
      <c r="F45" s="251"/>
      <c r="G45" s="251"/>
      <c r="H45" s="251"/>
      <c r="I45" s="252"/>
    </row>
  </sheetData>
  <mergeCells count="2">
    <mergeCell ref="C4:I4"/>
    <mergeCell ref="D5:I5"/>
  </mergeCells>
  <conditionalFormatting sqref="C44:I44 C28:I28">
    <cfRule type="cellIs" dxfId="1" priority="1" operator="greaterThan">
      <formula>1000</formula>
    </cfRule>
  </conditionalFormatting>
  <hyperlinks>
    <hyperlink ref="A1" location="Contents!A1" display="Contents!A1" xr:uid="{88072855-94D8-4815-9CD7-6ADDC7AF9503}"/>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9774-E6B7-4665-8F28-652F6F573513}">
  <sheetPr codeName="Sheet24">
    <tabColor theme="6"/>
  </sheetPr>
  <dimension ref="A1:V161"/>
  <sheetViews>
    <sheetView zoomScaleNormal="100" zoomScaleSheetLayoutView="85" workbookViewId="0"/>
  </sheetViews>
  <sheetFormatPr defaultColWidth="10.140625" defaultRowHeight="15"/>
  <cols>
    <col min="1" max="1" width="10.7109375" style="111" customWidth="1"/>
    <col min="2" max="2" width="10.85546875" style="111" customWidth="1"/>
    <col min="3" max="3" width="16.42578125" style="111" customWidth="1"/>
    <col min="4" max="4" width="11.5703125" style="111" customWidth="1"/>
    <col min="5" max="5" width="11.140625" style="111" customWidth="1"/>
    <col min="6" max="6" width="11.28515625" style="111" customWidth="1"/>
    <col min="7" max="7" width="10.7109375" style="111" customWidth="1"/>
    <col min="8" max="8" width="12" style="111" customWidth="1"/>
    <col min="9" max="11" width="10.7109375" style="111" customWidth="1"/>
    <col min="12" max="12" width="11.85546875" style="111" customWidth="1"/>
    <col min="13" max="19" width="10.7109375" style="111" customWidth="1"/>
    <col min="20" max="20" width="10.140625" style="111"/>
    <col min="21" max="22" width="10.85546875" style="111" bestFit="1" customWidth="1"/>
    <col min="23" max="16384" width="10.140625" style="111"/>
  </cols>
  <sheetData>
    <row r="1" spans="1:22" ht="33.75" customHeight="1" thickBot="1">
      <c r="A1" s="108" t="s">
        <v>0</v>
      </c>
      <c r="B1" s="109"/>
      <c r="C1" s="109"/>
      <c r="D1" s="109"/>
      <c r="E1" s="109"/>
      <c r="F1" s="109"/>
      <c r="G1" s="109"/>
      <c r="H1" s="109"/>
      <c r="I1" s="109"/>
      <c r="J1" s="109"/>
      <c r="K1" s="109"/>
      <c r="L1" s="109"/>
      <c r="M1" s="109"/>
      <c r="N1" s="109"/>
      <c r="O1" s="109"/>
      <c r="P1" s="109"/>
      <c r="Q1" s="109"/>
      <c r="R1" s="109"/>
      <c r="S1" s="110"/>
    </row>
    <row r="2" spans="1:22" s="113" customFormat="1" ht="34.5" customHeight="1" thickBot="1">
      <c r="A2" s="112"/>
      <c r="B2" s="552" t="s">
        <v>92</v>
      </c>
      <c r="C2" s="553"/>
      <c r="D2" s="553"/>
      <c r="E2" s="553"/>
      <c r="F2" s="553"/>
      <c r="G2" s="553"/>
      <c r="H2" s="553"/>
      <c r="I2" s="553"/>
      <c r="J2" s="553"/>
      <c r="K2" s="553"/>
      <c r="L2" s="553"/>
      <c r="M2" s="553"/>
      <c r="N2" s="553"/>
      <c r="O2" s="553"/>
      <c r="P2" s="553"/>
      <c r="Q2" s="553"/>
      <c r="R2" s="553"/>
      <c r="S2" s="554"/>
    </row>
    <row r="3" spans="1:22" s="118" customFormat="1" ht="38.25" customHeight="1">
      <c r="A3" s="114"/>
      <c r="B3" s="115" t="s">
        <v>93</v>
      </c>
      <c r="C3" s="555" t="s">
        <v>94</v>
      </c>
      <c r="D3" s="555" t="s">
        <v>95</v>
      </c>
      <c r="E3" s="116" t="s">
        <v>96</v>
      </c>
      <c r="F3" s="117"/>
      <c r="G3" s="117"/>
      <c r="H3" s="117"/>
      <c r="I3" s="117"/>
      <c r="J3" s="555" t="s">
        <v>97</v>
      </c>
      <c r="K3" s="555" t="s">
        <v>98</v>
      </c>
      <c r="L3" s="555" t="s">
        <v>99</v>
      </c>
      <c r="M3" s="555" t="s">
        <v>100</v>
      </c>
      <c r="N3" s="555" t="s">
        <v>101</v>
      </c>
      <c r="O3" s="555" t="s">
        <v>102</v>
      </c>
      <c r="P3" s="548" t="s">
        <v>103</v>
      </c>
      <c r="Q3" s="548" t="s">
        <v>104</v>
      </c>
      <c r="R3" s="548" t="s">
        <v>105</v>
      </c>
      <c r="S3" s="549" t="s">
        <v>106</v>
      </c>
    </row>
    <row r="4" spans="1:22" s="118" customFormat="1" ht="30.75" customHeight="1">
      <c r="A4" s="114"/>
      <c r="B4" s="115"/>
      <c r="C4" s="555"/>
      <c r="D4" s="555"/>
      <c r="E4" s="119" t="s">
        <v>18</v>
      </c>
      <c r="F4" s="119" t="s">
        <v>107</v>
      </c>
      <c r="G4" s="119" t="s">
        <v>108</v>
      </c>
      <c r="H4" s="119" t="s">
        <v>109</v>
      </c>
      <c r="I4" s="119" t="s">
        <v>110</v>
      </c>
      <c r="J4" s="555"/>
      <c r="K4" s="555"/>
      <c r="L4" s="555"/>
      <c r="M4" s="555"/>
      <c r="N4" s="555"/>
      <c r="O4" s="555"/>
      <c r="P4" s="548"/>
      <c r="Q4" s="548"/>
      <c r="R4" s="548"/>
      <c r="S4" s="550"/>
    </row>
    <row r="5" spans="1:22">
      <c r="A5" s="120"/>
      <c r="B5" s="121" t="s">
        <v>111</v>
      </c>
      <c r="C5" s="122">
        <v>308.38200000000001</v>
      </c>
      <c r="D5" s="122">
        <v>93.519000000000005</v>
      </c>
      <c r="E5" s="122">
        <v>87.028000000000006</v>
      </c>
      <c r="F5" s="122">
        <v>46.96</v>
      </c>
      <c r="G5" s="122">
        <v>25.19</v>
      </c>
      <c r="H5" s="122">
        <v>13.757</v>
      </c>
      <c r="I5" s="122">
        <v>1.474</v>
      </c>
      <c r="J5" s="122">
        <v>0.13400000000000001</v>
      </c>
      <c r="K5" s="122">
        <v>489.06299999999999</v>
      </c>
      <c r="L5" s="122">
        <v>-2.343</v>
      </c>
      <c r="M5" s="122">
        <v>486.72</v>
      </c>
      <c r="N5" s="122">
        <v>137.71</v>
      </c>
      <c r="O5" s="122">
        <v>625.94299999999998</v>
      </c>
      <c r="P5" s="122">
        <v>138.58500000000001</v>
      </c>
      <c r="Q5" s="122">
        <v>0</v>
      </c>
      <c r="R5" s="122">
        <v>487.601</v>
      </c>
      <c r="S5" s="123">
        <v>425.714</v>
      </c>
      <c r="T5" s="124"/>
      <c r="U5" s="125"/>
      <c r="V5" s="125"/>
    </row>
    <row r="6" spans="1:22">
      <c r="A6" s="120"/>
      <c r="B6" s="121" t="s">
        <v>112</v>
      </c>
      <c r="C6" s="122">
        <v>304.76900000000001</v>
      </c>
      <c r="D6" s="122">
        <v>93.287999999999997</v>
      </c>
      <c r="E6" s="122">
        <v>87.537999999999997</v>
      </c>
      <c r="F6" s="122">
        <v>48.735999999999997</v>
      </c>
      <c r="G6" s="122">
        <v>23.885000000000002</v>
      </c>
      <c r="H6" s="122">
        <v>13.888999999999999</v>
      </c>
      <c r="I6" s="122">
        <v>1.4120000000000001</v>
      </c>
      <c r="J6" s="122">
        <v>-5.8999999999999997E-2</v>
      </c>
      <c r="K6" s="122">
        <v>485.536</v>
      </c>
      <c r="L6" s="122">
        <v>-1.748</v>
      </c>
      <c r="M6" s="122">
        <v>483.78800000000001</v>
      </c>
      <c r="N6" s="122">
        <v>138.398</v>
      </c>
      <c r="O6" s="122">
        <v>622.86900000000003</v>
      </c>
      <c r="P6" s="122">
        <v>137.84</v>
      </c>
      <c r="Q6" s="122">
        <v>0</v>
      </c>
      <c r="R6" s="122">
        <v>485.27800000000002</v>
      </c>
      <c r="S6" s="123">
        <v>423.75</v>
      </c>
      <c r="U6" s="125"/>
      <c r="V6" s="125"/>
    </row>
    <row r="7" spans="1:22">
      <c r="A7" s="120"/>
      <c r="B7" s="121" t="s">
        <v>113</v>
      </c>
      <c r="C7" s="122">
        <v>299.67399999999998</v>
      </c>
      <c r="D7" s="122">
        <v>94.933999999999997</v>
      </c>
      <c r="E7" s="122">
        <v>83.063000000000002</v>
      </c>
      <c r="F7" s="122">
        <v>46.893000000000001</v>
      </c>
      <c r="G7" s="122">
        <v>19.352</v>
      </c>
      <c r="H7" s="122">
        <v>14.375</v>
      </c>
      <c r="I7" s="122">
        <v>2.7669999999999999</v>
      </c>
      <c r="J7" s="122">
        <v>-1.5</v>
      </c>
      <c r="K7" s="122">
        <v>476.17099999999999</v>
      </c>
      <c r="L7" s="122">
        <v>-3.1070000000000002</v>
      </c>
      <c r="M7" s="122">
        <v>473.06400000000002</v>
      </c>
      <c r="N7" s="122">
        <v>138.53100000000001</v>
      </c>
      <c r="O7" s="122">
        <v>613.23099999999999</v>
      </c>
      <c r="P7" s="122">
        <v>135.572</v>
      </c>
      <c r="Q7" s="122">
        <v>0</v>
      </c>
      <c r="R7" s="122">
        <v>477.935</v>
      </c>
      <c r="S7" s="123">
        <v>416.166</v>
      </c>
      <c r="U7" s="125"/>
      <c r="V7" s="125"/>
    </row>
    <row r="8" spans="1:22">
      <c r="A8" s="120"/>
      <c r="B8" s="121" t="s">
        <v>114</v>
      </c>
      <c r="C8" s="122">
        <v>292.608</v>
      </c>
      <c r="D8" s="122">
        <v>95.891000000000005</v>
      </c>
      <c r="E8" s="122">
        <v>81.584999999999994</v>
      </c>
      <c r="F8" s="122">
        <v>45.311</v>
      </c>
      <c r="G8" s="122">
        <v>18.413</v>
      </c>
      <c r="H8" s="122">
        <v>15.473000000000001</v>
      </c>
      <c r="I8" s="122">
        <v>2.7170000000000001</v>
      </c>
      <c r="J8" s="122">
        <v>0.38500000000000001</v>
      </c>
      <c r="K8" s="122">
        <v>470.46899999999999</v>
      </c>
      <c r="L8" s="122">
        <v>-5.3869999999999996</v>
      </c>
      <c r="M8" s="122">
        <v>465.08199999999999</v>
      </c>
      <c r="N8" s="122">
        <v>132.97499999999999</v>
      </c>
      <c r="O8" s="122">
        <v>595.30999999999995</v>
      </c>
      <c r="P8" s="122">
        <v>128.23599999999999</v>
      </c>
      <c r="Q8" s="122">
        <v>0</v>
      </c>
      <c r="R8" s="122">
        <v>467.25</v>
      </c>
      <c r="S8" s="123">
        <v>405.983</v>
      </c>
      <c r="U8" s="125"/>
      <c r="V8" s="125"/>
    </row>
    <row r="9" spans="1:22">
      <c r="A9" s="120"/>
      <c r="B9" s="121" t="s">
        <v>115</v>
      </c>
      <c r="C9" s="122">
        <v>291.57100000000003</v>
      </c>
      <c r="D9" s="122">
        <v>95.337999999999994</v>
      </c>
      <c r="E9" s="122">
        <v>76.319999999999993</v>
      </c>
      <c r="F9" s="122">
        <v>41.006</v>
      </c>
      <c r="G9" s="122">
        <v>17.385000000000002</v>
      </c>
      <c r="H9" s="122">
        <v>15.467000000000001</v>
      </c>
      <c r="I9" s="122">
        <v>2.6670000000000003</v>
      </c>
      <c r="J9" s="122">
        <v>1.395</v>
      </c>
      <c r="K9" s="122">
        <v>464.62400000000002</v>
      </c>
      <c r="L9" s="122">
        <v>-8.57</v>
      </c>
      <c r="M9" s="122">
        <v>456.05399999999997</v>
      </c>
      <c r="N9" s="122">
        <v>124.39100000000001</v>
      </c>
      <c r="O9" s="122">
        <v>580.95600000000002</v>
      </c>
      <c r="P9" s="122">
        <v>123.084</v>
      </c>
      <c r="Q9" s="122">
        <v>0</v>
      </c>
      <c r="R9" s="122">
        <v>458.18099999999998</v>
      </c>
      <c r="S9" s="123">
        <v>398.40499999999997</v>
      </c>
      <c r="U9" s="125"/>
      <c r="V9" s="125"/>
    </row>
    <row r="10" spans="1:22" ht="15.75">
      <c r="A10" s="110"/>
      <c r="B10" s="121" t="s">
        <v>116</v>
      </c>
      <c r="C10" s="122">
        <v>291.01600000000002</v>
      </c>
      <c r="D10" s="122">
        <v>95.228999999999999</v>
      </c>
      <c r="E10" s="122">
        <v>73.206000000000003</v>
      </c>
      <c r="F10" s="122">
        <v>39.113999999999997</v>
      </c>
      <c r="G10" s="122">
        <v>16.991</v>
      </c>
      <c r="H10" s="122">
        <v>14.569000000000001</v>
      </c>
      <c r="I10" s="122">
        <v>2.621</v>
      </c>
      <c r="J10" s="122">
        <v>0.75600000000000001</v>
      </c>
      <c r="K10" s="122">
        <v>460.20699999999999</v>
      </c>
      <c r="L10" s="122">
        <v>-9.2249999999999996</v>
      </c>
      <c r="M10" s="122">
        <v>450.98200000000003</v>
      </c>
      <c r="N10" s="122">
        <v>123.42700000000001</v>
      </c>
      <c r="O10" s="122">
        <v>579.43700000000001</v>
      </c>
      <c r="P10" s="122">
        <v>122.932</v>
      </c>
      <c r="Q10" s="122">
        <v>0</v>
      </c>
      <c r="R10" s="122">
        <v>456.86700000000002</v>
      </c>
      <c r="S10" s="123">
        <v>397.59399999999999</v>
      </c>
      <c r="U10" s="125"/>
      <c r="V10" s="125"/>
    </row>
    <row r="11" spans="1:22" ht="15.75">
      <c r="A11" s="110"/>
      <c r="B11" s="121" t="s">
        <v>117</v>
      </c>
      <c r="C11" s="122">
        <v>292.43</v>
      </c>
      <c r="D11" s="122">
        <v>95.789000000000001</v>
      </c>
      <c r="E11" s="122">
        <v>74.046999999999997</v>
      </c>
      <c r="F11" s="122">
        <v>38.305999999999997</v>
      </c>
      <c r="G11" s="122">
        <v>16.925999999999998</v>
      </c>
      <c r="H11" s="122">
        <v>16.286000000000001</v>
      </c>
      <c r="I11" s="122">
        <v>2.6640000000000001</v>
      </c>
      <c r="J11" s="122">
        <v>0.69399999999999995</v>
      </c>
      <c r="K11" s="122">
        <v>462.96</v>
      </c>
      <c r="L11" s="122">
        <v>-8.4640000000000004</v>
      </c>
      <c r="M11" s="122">
        <v>454.49599999999998</v>
      </c>
      <c r="N11" s="122">
        <v>122.499</v>
      </c>
      <c r="O11" s="122">
        <v>583.27099999999996</v>
      </c>
      <c r="P11" s="122">
        <v>126.124</v>
      </c>
      <c r="Q11" s="122">
        <v>0</v>
      </c>
      <c r="R11" s="122">
        <v>457.471</v>
      </c>
      <c r="S11" s="123">
        <v>399.76299999999998</v>
      </c>
      <c r="U11" s="125"/>
      <c r="V11" s="125"/>
    </row>
    <row r="12" spans="1:22" ht="15.75">
      <c r="A12" s="110"/>
      <c r="B12" s="121" t="s">
        <v>118</v>
      </c>
      <c r="C12" s="122">
        <v>294.78500000000003</v>
      </c>
      <c r="D12" s="122">
        <v>96.558999999999997</v>
      </c>
      <c r="E12" s="122">
        <v>72.917000000000002</v>
      </c>
      <c r="F12" s="122">
        <v>38.164999999999999</v>
      </c>
      <c r="G12" s="122">
        <v>16.131</v>
      </c>
      <c r="H12" s="122">
        <v>15.993</v>
      </c>
      <c r="I12" s="122">
        <v>2.7170000000000001</v>
      </c>
      <c r="J12" s="122">
        <v>-9.9000000000000005E-2</v>
      </c>
      <c r="K12" s="122">
        <v>464.16199999999998</v>
      </c>
      <c r="L12" s="122">
        <v>-6.907</v>
      </c>
      <c r="M12" s="122">
        <v>457.255</v>
      </c>
      <c r="N12" s="122">
        <v>127.955</v>
      </c>
      <c r="O12" s="122">
        <v>586.78200000000004</v>
      </c>
      <c r="P12" s="122">
        <v>128.05199999999999</v>
      </c>
      <c r="Q12" s="122">
        <v>0</v>
      </c>
      <c r="R12" s="122">
        <v>459.03100000000001</v>
      </c>
      <c r="S12" s="123">
        <v>401.92399999999998</v>
      </c>
      <c r="U12" s="125"/>
      <c r="V12" s="125"/>
    </row>
    <row r="13" spans="1:22" ht="18.75" customHeight="1">
      <c r="A13" s="110"/>
      <c r="B13" s="121" t="s">
        <v>119</v>
      </c>
      <c r="C13" s="122">
        <v>293.14</v>
      </c>
      <c r="D13" s="122">
        <v>95.477999999999994</v>
      </c>
      <c r="E13" s="122">
        <v>75.936000000000007</v>
      </c>
      <c r="F13" s="122">
        <v>39.649000000000001</v>
      </c>
      <c r="G13" s="122">
        <v>17.350999999999999</v>
      </c>
      <c r="H13" s="122">
        <v>16.420000000000002</v>
      </c>
      <c r="I13" s="122">
        <v>2.6970000000000001</v>
      </c>
      <c r="J13" s="122">
        <v>-0.16</v>
      </c>
      <c r="K13" s="122">
        <v>464.39400000000001</v>
      </c>
      <c r="L13" s="122">
        <v>-0.629</v>
      </c>
      <c r="M13" s="122">
        <v>463.76499999999999</v>
      </c>
      <c r="N13" s="122">
        <v>128.239</v>
      </c>
      <c r="O13" s="122">
        <v>593.47500000000002</v>
      </c>
      <c r="P13" s="122">
        <v>130.363</v>
      </c>
      <c r="Q13" s="122">
        <v>0</v>
      </c>
      <c r="R13" s="122">
        <v>463.39100000000002</v>
      </c>
      <c r="S13" s="123">
        <v>405.93099999999998</v>
      </c>
      <c r="U13" s="125"/>
      <c r="V13" s="125"/>
    </row>
    <row r="14" spans="1:22" ht="15.75">
      <c r="A14" s="110"/>
      <c r="B14" s="121" t="s">
        <v>120</v>
      </c>
      <c r="C14" s="122">
        <v>299.97399999999999</v>
      </c>
      <c r="D14" s="122">
        <v>95.763999999999996</v>
      </c>
      <c r="E14" s="122">
        <v>75.576999999999998</v>
      </c>
      <c r="F14" s="122">
        <v>39.512999999999998</v>
      </c>
      <c r="G14" s="122">
        <v>18.382999999999999</v>
      </c>
      <c r="H14" s="122">
        <v>15.231</v>
      </c>
      <c r="I14" s="122">
        <v>2.6749999999999998</v>
      </c>
      <c r="J14" s="122">
        <v>-0.54100000000000004</v>
      </c>
      <c r="K14" s="122">
        <v>470.774</v>
      </c>
      <c r="L14" s="122">
        <v>-1.9650000000000001</v>
      </c>
      <c r="M14" s="122">
        <v>468.80900000000003</v>
      </c>
      <c r="N14" s="122">
        <v>133.048</v>
      </c>
      <c r="O14" s="122">
        <v>602.68399999999997</v>
      </c>
      <c r="P14" s="122">
        <v>134.22</v>
      </c>
      <c r="Q14" s="122">
        <v>0</v>
      </c>
      <c r="R14" s="122">
        <v>468.69099999999997</v>
      </c>
      <c r="S14" s="123">
        <v>410.49599999999998</v>
      </c>
      <c r="U14" s="125"/>
      <c r="V14" s="125"/>
    </row>
    <row r="15" spans="1:22" ht="15.75">
      <c r="A15" s="110"/>
      <c r="B15" s="121" t="s">
        <v>121</v>
      </c>
      <c r="C15" s="122">
        <v>300.04599999999999</v>
      </c>
      <c r="D15" s="122">
        <v>95.778000000000006</v>
      </c>
      <c r="E15" s="122">
        <v>78.355000000000004</v>
      </c>
      <c r="F15" s="122">
        <v>40.874000000000002</v>
      </c>
      <c r="G15" s="122">
        <v>19.265999999999998</v>
      </c>
      <c r="H15" s="122">
        <v>15.804</v>
      </c>
      <c r="I15" s="122">
        <v>2.6589999999999998</v>
      </c>
      <c r="J15" s="122">
        <v>0.14899999999999999</v>
      </c>
      <c r="K15" s="122">
        <v>474.32799999999997</v>
      </c>
      <c r="L15" s="122">
        <v>4.2000000000000003E-2</v>
      </c>
      <c r="M15" s="122">
        <v>474.37</v>
      </c>
      <c r="N15" s="122">
        <v>133.84399999999999</v>
      </c>
      <c r="O15" s="122">
        <v>609.55700000000002</v>
      </c>
      <c r="P15" s="122">
        <v>138.05199999999999</v>
      </c>
      <c r="Q15" s="122">
        <v>0</v>
      </c>
      <c r="R15" s="122">
        <v>471.66399999999999</v>
      </c>
      <c r="S15" s="123">
        <v>413.47899999999998</v>
      </c>
      <c r="U15" s="125"/>
      <c r="V15" s="125"/>
    </row>
    <row r="16" spans="1:22" ht="15.75">
      <c r="A16" s="110"/>
      <c r="B16" s="121" t="s">
        <v>122</v>
      </c>
      <c r="C16" s="122">
        <v>299.875</v>
      </c>
      <c r="D16" s="122">
        <v>96.488</v>
      </c>
      <c r="E16" s="122">
        <v>80.277000000000001</v>
      </c>
      <c r="F16" s="122">
        <v>43.603000000000002</v>
      </c>
      <c r="G16" s="122">
        <v>18.920000000000002</v>
      </c>
      <c r="H16" s="122">
        <v>15.324999999999999</v>
      </c>
      <c r="I16" s="122">
        <v>2.6070000000000002</v>
      </c>
      <c r="J16" s="122">
        <v>0.55800000000000005</v>
      </c>
      <c r="K16" s="122">
        <v>477.19799999999998</v>
      </c>
      <c r="L16" s="122">
        <v>-3.714</v>
      </c>
      <c r="M16" s="122">
        <v>473.48399999999998</v>
      </c>
      <c r="N16" s="122">
        <v>137.18799999999999</v>
      </c>
      <c r="O16" s="122">
        <v>611.12800000000004</v>
      </c>
      <c r="P16" s="122">
        <v>138.94999999999999</v>
      </c>
      <c r="Q16" s="122">
        <v>0</v>
      </c>
      <c r="R16" s="122">
        <v>472.31200000000001</v>
      </c>
      <c r="S16" s="123">
        <v>414.62799999999999</v>
      </c>
      <c r="U16" s="125"/>
      <c r="V16" s="125"/>
    </row>
    <row r="17" spans="1:22" ht="18.75" customHeight="1">
      <c r="A17" s="110"/>
      <c r="B17" s="121" t="s">
        <v>123</v>
      </c>
      <c r="C17" s="122">
        <v>297.11</v>
      </c>
      <c r="D17" s="122">
        <v>97.034999999999997</v>
      </c>
      <c r="E17" s="122">
        <v>76.536000000000001</v>
      </c>
      <c r="F17" s="122">
        <v>39.881</v>
      </c>
      <c r="G17" s="122">
        <v>17.969000000000001</v>
      </c>
      <c r="H17" s="122">
        <v>16.298999999999999</v>
      </c>
      <c r="I17" s="122">
        <v>2.6189999999999998</v>
      </c>
      <c r="J17" s="122">
        <v>-1.601</v>
      </c>
      <c r="K17" s="122">
        <v>469.08</v>
      </c>
      <c r="L17" s="122">
        <v>-1.0309999999999999</v>
      </c>
      <c r="M17" s="122">
        <v>468.04899999999998</v>
      </c>
      <c r="N17" s="122">
        <v>142.48099999999999</v>
      </c>
      <c r="O17" s="122">
        <v>609.33500000000004</v>
      </c>
      <c r="P17" s="122">
        <v>136.065</v>
      </c>
      <c r="Q17" s="122">
        <v>0</v>
      </c>
      <c r="R17" s="122">
        <v>473.51</v>
      </c>
      <c r="S17" s="123">
        <v>416.90100000000001</v>
      </c>
      <c r="U17" s="125"/>
      <c r="V17" s="125"/>
    </row>
    <row r="18" spans="1:22" ht="15.75">
      <c r="A18" s="110"/>
      <c r="B18" s="121" t="s">
        <v>124</v>
      </c>
      <c r="C18" s="122">
        <v>296.45</v>
      </c>
      <c r="D18" s="122">
        <v>95.555999999999997</v>
      </c>
      <c r="E18" s="122">
        <v>75.777000000000001</v>
      </c>
      <c r="F18" s="122">
        <v>41.640999999999998</v>
      </c>
      <c r="G18" s="122">
        <v>17.466000000000001</v>
      </c>
      <c r="H18" s="122">
        <v>14.266</v>
      </c>
      <c r="I18" s="122">
        <v>2.532</v>
      </c>
      <c r="J18" s="122">
        <v>2.7E-2</v>
      </c>
      <c r="K18" s="122">
        <v>467.81</v>
      </c>
      <c r="L18" s="122">
        <v>5.21</v>
      </c>
      <c r="M18" s="122">
        <v>473.02</v>
      </c>
      <c r="N18" s="122">
        <v>140.613</v>
      </c>
      <c r="O18" s="122">
        <v>613.69799999999998</v>
      </c>
      <c r="P18" s="122">
        <v>140.01499999999999</v>
      </c>
      <c r="Q18" s="122">
        <v>0</v>
      </c>
      <c r="R18" s="122">
        <v>473.77300000000002</v>
      </c>
      <c r="S18" s="123">
        <v>417.08300000000003</v>
      </c>
      <c r="U18" s="125"/>
      <c r="V18" s="125"/>
    </row>
    <row r="19" spans="1:22" ht="15.75">
      <c r="A19" s="110"/>
      <c r="B19" s="121" t="s">
        <v>125</v>
      </c>
      <c r="C19" s="122">
        <v>297.24900000000002</v>
      </c>
      <c r="D19" s="122">
        <v>95.421000000000006</v>
      </c>
      <c r="E19" s="122">
        <v>77.63</v>
      </c>
      <c r="F19" s="122">
        <v>43.46</v>
      </c>
      <c r="G19" s="122">
        <v>17.401</v>
      </c>
      <c r="H19" s="122">
        <v>14.433</v>
      </c>
      <c r="I19" s="122">
        <v>2.4039999999999999</v>
      </c>
      <c r="J19" s="122">
        <v>0.88600000000000001</v>
      </c>
      <c r="K19" s="122">
        <v>471.18599999999998</v>
      </c>
      <c r="L19" s="122">
        <v>-0.76100000000000001</v>
      </c>
      <c r="M19" s="122">
        <v>470.42500000000001</v>
      </c>
      <c r="N19" s="122">
        <v>142.096</v>
      </c>
      <c r="O19" s="122">
        <v>613.76800000000003</v>
      </c>
      <c r="P19" s="122">
        <v>139.37700000000001</v>
      </c>
      <c r="Q19" s="122">
        <v>0</v>
      </c>
      <c r="R19" s="122">
        <v>474.50099999999998</v>
      </c>
      <c r="S19" s="123">
        <v>418.54500000000002</v>
      </c>
      <c r="U19" s="125"/>
      <c r="V19" s="125"/>
    </row>
    <row r="20" spans="1:22" ht="15.75">
      <c r="A20" s="110"/>
      <c r="B20" s="121" t="s">
        <v>126</v>
      </c>
      <c r="C20" s="122">
        <v>298.14100000000002</v>
      </c>
      <c r="D20" s="122">
        <v>96.197000000000003</v>
      </c>
      <c r="E20" s="122">
        <v>78.834000000000003</v>
      </c>
      <c r="F20" s="122">
        <v>44.768999999999998</v>
      </c>
      <c r="G20" s="122">
        <v>17.754999999999999</v>
      </c>
      <c r="H20" s="122">
        <v>13.984999999999999</v>
      </c>
      <c r="I20" s="122">
        <v>2.3580000000000001</v>
      </c>
      <c r="J20" s="122">
        <v>-6.0000000000000001E-3</v>
      </c>
      <c r="K20" s="122">
        <v>473.166</v>
      </c>
      <c r="L20" s="122">
        <v>-6.95</v>
      </c>
      <c r="M20" s="122">
        <v>466.21600000000001</v>
      </c>
      <c r="N20" s="122">
        <v>144.02500000000001</v>
      </c>
      <c r="O20" s="122">
        <v>614.57299999999998</v>
      </c>
      <c r="P20" s="122">
        <v>140.333</v>
      </c>
      <c r="Q20" s="122">
        <v>0</v>
      </c>
      <c r="R20" s="122">
        <v>474.303</v>
      </c>
      <c r="S20" s="123">
        <v>419.37099999999998</v>
      </c>
      <c r="U20" s="125"/>
      <c r="V20" s="125"/>
    </row>
    <row r="21" spans="1:22" ht="18.75" customHeight="1">
      <c r="A21" s="110"/>
      <c r="B21" s="121" t="s">
        <v>127</v>
      </c>
      <c r="C21" s="122">
        <v>297.83199999999999</v>
      </c>
      <c r="D21" s="122">
        <v>99.135999999999996</v>
      </c>
      <c r="E21" s="122">
        <v>79.787000000000006</v>
      </c>
      <c r="F21" s="122">
        <v>45.732999999999997</v>
      </c>
      <c r="G21" s="122">
        <v>17.478999999999999</v>
      </c>
      <c r="H21" s="122">
        <v>14.288</v>
      </c>
      <c r="I21" s="122">
        <v>2.3140000000000001</v>
      </c>
      <c r="J21" s="122">
        <v>-1.349</v>
      </c>
      <c r="K21" s="122">
        <v>475.40600000000001</v>
      </c>
      <c r="L21" s="122">
        <v>-3.044</v>
      </c>
      <c r="M21" s="122">
        <v>472.36200000000002</v>
      </c>
      <c r="N21" s="122">
        <v>148.09700000000001</v>
      </c>
      <c r="O21" s="122">
        <v>619.15800000000002</v>
      </c>
      <c r="P21" s="122">
        <v>141.00200000000001</v>
      </c>
      <c r="Q21" s="122">
        <v>0</v>
      </c>
      <c r="R21" s="122">
        <v>478.24200000000002</v>
      </c>
      <c r="S21" s="123">
        <v>423.68299999999999</v>
      </c>
      <c r="U21" s="125"/>
      <c r="V21" s="125"/>
    </row>
    <row r="22" spans="1:22" ht="15.75">
      <c r="A22" s="110"/>
      <c r="B22" s="121" t="s">
        <v>128</v>
      </c>
      <c r="C22" s="122">
        <v>300.23399999999998</v>
      </c>
      <c r="D22" s="122">
        <v>95.787999999999997</v>
      </c>
      <c r="E22" s="122">
        <v>76.275000000000006</v>
      </c>
      <c r="F22" s="122">
        <v>42.981999999999999</v>
      </c>
      <c r="G22" s="122">
        <v>16.745000000000001</v>
      </c>
      <c r="H22" s="122">
        <v>14.364000000000001</v>
      </c>
      <c r="I22" s="122">
        <v>2.2829999999999999</v>
      </c>
      <c r="J22" s="122">
        <v>0.55300000000000005</v>
      </c>
      <c r="K22" s="122">
        <v>472.85</v>
      </c>
      <c r="L22" s="122">
        <v>6.1289999999999996</v>
      </c>
      <c r="M22" s="122">
        <v>478.97899999999998</v>
      </c>
      <c r="N22" s="122">
        <v>141.13399999999999</v>
      </c>
      <c r="O22" s="122">
        <v>621.54200000000003</v>
      </c>
      <c r="P22" s="122">
        <v>143.46199999999999</v>
      </c>
      <c r="Q22" s="122">
        <v>0</v>
      </c>
      <c r="R22" s="122">
        <v>477.97399999999999</v>
      </c>
      <c r="S22" s="123">
        <v>423.584</v>
      </c>
      <c r="U22" s="125"/>
      <c r="V22" s="125"/>
    </row>
    <row r="23" spans="1:22" ht="15.75">
      <c r="A23" s="110"/>
      <c r="B23" s="121" t="s">
        <v>129</v>
      </c>
      <c r="C23" s="122">
        <v>303.69299999999998</v>
      </c>
      <c r="D23" s="122">
        <v>96.685000000000002</v>
      </c>
      <c r="E23" s="122">
        <v>75.587999999999994</v>
      </c>
      <c r="F23" s="122">
        <v>43.643000000000001</v>
      </c>
      <c r="G23" s="122">
        <v>16.978999999999999</v>
      </c>
      <c r="H23" s="122">
        <v>12.837</v>
      </c>
      <c r="I23" s="122">
        <v>2.2180000000000004</v>
      </c>
      <c r="J23" s="122">
        <v>-0.23200000000000001</v>
      </c>
      <c r="K23" s="122">
        <v>475.73399999999998</v>
      </c>
      <c r="L23" s="122">
        <v>7.367</v>
      </c>
      <c r="M23" s="122">
        <v>483.101</v>
      </c>
      <c r="N23" s="122">
        <v>144.142</v>
      </c>
      <c r="O23" s="122">
        <v>626.69399999999996</v>
      </c>
      <c r="P23" s="122">
        <v>142.833</v>
      </c>
      <c r="Q23" s="122">
        <v>0</v>
      </c>
      <c r="R23" s="122">
        <v>483.91300000000001</v>
      </c>
      <c r="S23" s="123">
        <v>428.62700000000001</v>
      </c>
      <c r="U23" s="125"/>
      <c r="V23" s="125"/>
    </row>
    <row r="24" spans="1:22" ht="15.75">
      <c r="A24" s="110"/>
      <c r="B24" s="121" t="s">
        <v>130</v>
      </c>
      <c r="C24" s="122">
        <v>307.54599999999999</v>
      </c>
      <c r="D24" s="122">
        <v>97.887</v>
      </c>
      <c r="E24" s="122">
        <v>79.483000000000004</v>
      </c>
      <c r="F24" s="122">
        <v>46.381999999999998</v>
      </c>
      <c r="G24" s="122">
        <v>17.902999999999999</v>
      </c>
      <c r="H24" s="122">
        <v>12.98</v>
      </c>
      <c r="I24" s="122">
        <v>2.177</v>
      </c>
      <c r="J24" s="122">
        <v>-1E-3</v>
      </c>
      <c r="K24" s="122">
        <v>484.91500000000002</v>
      </c>
      <c r="L24" s="122">
        <v>-5.2709999999999999</v>
      </c>
      <c r="M24" s="122">
        <v>479.64400000000001</v>
      </c>
      <c r="N24" s="122">
        <v>140.42099999999999</v>
      </c>
      <c r="O24" s="122">
        <v>622.57299999999998</v>
      </c>
      <c r="P24" s="122">
        <v>139.42500000000001</v>
      </c>
      <c r="Q24" s="122">
        <v>0</v>
      </c>
      <c r="R24" s="122">
        <v>483.42200000000003</v>
      </c>
      <c r="S24" s="123">
        <v>428.28100000000001</v>
      </c>
      <c r="U24" s="125"/>
      <c r="V24" s="125"/>
    </row>
    <row r="25" spans="1:22" ht="18.75" customHeight="1">
      <c r="A25" s="110"/>
      <c r="B25" s="121" t="s">
        <v>131</v>
      </c>
      <c r="C25" s="122">
        <v>305.97000000000003</v>
      </c>
      <c r="D25" s="122">
        <v>97.477999999999994</v>
      </c>
      <c r="E25" s="122">
        <v>76.378</v>
      </c>
      <c r="F25" s="122">
        <v>44.472000000000001</v>
      </c>
      <c r="G25" s="122">
        <v>17.795000000000002</v>
      </c>
      <c r="H25" s="122">
        <v>11.922000000000001</v>
      </c>
      <c r="I25" s="122">
        <v>2.1389999999999998</v>
      </c>
      <c r="J25" s="122">
        <v>1.0009999999999999</v>
      </c>
      <c r="K25" s="122">
        <v>480.827</v>
      </c>
      <c r="L25" s="122">
        <v>1.0529999999999999</v>
      </c>
      <c r="M25" s="122">
        <v>481.88</v>
      </c>
      <c r="N25" s="122">
        <v>143.52799999999999</v>
      </c>
      <c r="O25" s="122">
        <v>624.94899999999996</v>
      </c>
      <c r="P25" s="122">
        <v>140.61000000000001</v>
      </c>
      <c r="Q25" s="122">
        <v>0</v>
      </c>
      <c r="R25" s="122">
        <v>484.55500000000001</v>
      </c>
      <c r="S25" s="123">
        <v>430.25900000000001</v>
      </c>
      <c r="U25" s="125"/>
      <c r="V25" s="125"/>
    </row>
    <row r="26" spans="1:22" ht="15.75">
      <c r="A26" s="110"/>
      <c r="B26" s="121" t="s">
        <v>132</v>
      </c>
      <c r="C26" s="122">
        <v>308.95999999999998</v>
      </c>
      <c r="D26" s="122">
        <v>96.728999999999999</v>
      </c>
      <c r="E26" s="122">
        <v>80.289000000000001</v>
      </c>
      <c r="F26" s="122">
        <v>45.473999999999997</v>
      </c>
      <c r="G26" s="122">
        <v>19.565999999999999</v>
      </c>
      <c r="H26" s="122">
        <v>13.128</v>
      </c>
      <c r="I26" s="122">
        <v>2.1139999999999999</v>
      </c>
      <c r="J26" s="122">
        <v>3.1659999999999999</v>
      </c>
      <c r="K26" s="122">
        <v>489.14400000000001</v>
      </c>
      <c r="L26" s="122">
        <v>2.5270000000000001</v>
      </c>
      <c r="M26" s="122">
        <v>491.67099999999999</v>
      </c>
      <c r="N26" s="122">
        <v>145.11099999999999</v>
      </c>
      <c r="O26" s="122">
        <v>635.529</v>
      </c>
      <c r="P26" s="122">
        <v>147.57</v>
      </c>
      <c r="Q26" s="122">
        <v>0</v>
      </c>
      <c r="R26" s="122">
        <v>487.84500000000003</v>
      </c>
      <c r="S26" s="123">
        <v>432.35300000000001</v>
      </c>
      <c r="U26" s="125"/>
      <c r="V26" s="125"/>
    </row>
    <row r="27" spans="1:22" ht="15.75">
      <c r="A27" s="110"/>
      <c r="B27" s="121" t="s">
        <v>133</v>
      </c>
      <c r="C27" s="122">
        <v>312.553</v>
      </c>
      <c r="D27" s="122">
        <v>96.688999999999993</v>
      </c>
      <c r="E27" s="122">
        <v>82.244</v>
      </c>
      <c r="F27" s="122">
        <v>47.039000000000001</v>
      </c>
      <c r="G27" s="122">
        <v>19.681000000000001</v>
      </c>
      <c r="H27" s="122">
        <v>13.393000000000001</v>
      </c>
      <c r="I27" s="122">
        <v>2.1070000000000002</v>
      </c>
      <c r="J27" s="122">
        <v>-2.4489999999999998</v>
      </c>
      <c r="K27" s="122">
        <v>489.03699999999998</v>
      </c>
      <c r="L27" s="122">
        <v>3.2250000000000001</v>
      </c>
      <c r="M27" s="122">
        <v>492.262</v>
      </c>
      <c r="N27" s="122">
        <v>144.77699999999999</v>
      </c>
      <c r="O27" s="122">
        <v>639</v>
      </c>
      <c r="P27" s="122">
        <v>147.43299999999999</v>
      </c>
      <c r="Q27" s="122">
        <v>0</v>
      </c>
      <c r="R27" s="122">
        <v>491.49900000000002</v>
      </c>
      <c r="S27" s="123">
        <v>435.75</v>
      </c>
      <c r="U27" s="125"/>
      <c r="V27" s="125"/>
    </row>
    <row r="28" spans="1:22" ht="15.75">
      <c r="A28" s="110"/>
      <c r="B28" s="121" t="s">
        <v>134</v>
      </c>
      <c r="C28" s="122">
        <v>313.42700000000002</v>
      </c>
      <c r="D28" s="122">
        <v>98.427000000000007</v>
      </c>
      <c r="E28" s="122">
        <v>82.873999999999995</v>
      </c>
      <c r="F28" s="122">
        <v>47.527999999999999</v>
      </c>
      <c r="G28" s="122">
        <v>19.491</v>
      </c>
      <c r="H28" s="122">
        <v>13.754</v>
      </c>
      <c r="I28" s="122">
        <v>2.097</v>
      </c>
      <c r="J28" s="122">
        <v>5.306</v>
      </c>
      <c r="K28" s="122">
        <v>500.03399999999999</v>
      </c>
      <c r="L28" s="122">
        <v>0.121</v>
      </c>
      <c r="M28" s="122">
        <v>500.15499999999997</v>
      </c>
      <c r="N28" s="122">
        <v>141.56899999999999</v>
      </c>
      <c r="O28" s="122">
        <v>645.72799999999995</v>
      </c>
      <c r="P28" s="122">
        <v>150.84899999999999</v>
      </c>
      <c r="Q28" s="122">
        <v>0</v>
      </c>
      <c r="R28" s="122">
        <v>494.65800000000002</v>
      </c>
      <c r="S28" s="123">
        <v>437.88299999999998</v>
      </c>
      <c r="U28" s="125"/>
      <c r="V28" s="125"/>
    </row>
    <row r="29" spans="1:22" ht="18.75" customHeight="1">
      <c r="A29" s="110"/>
      <c r="B29" s="121" t="s">
        <v>135</v>
      </c>
      <c r="C29" s="122">
        <v>315.04399999999998</v>
      </c>
      <c r="D29" s="122">
        <v>99.043999999999997</v>
      </c>
      <c r="E29" s="122">
        <v>84.992999999999995</v>
      </c>
      <c r="F29" s="122">
        <v>47.582999999999998</v>
      </c>
      <c r="G29" s="122">
        <v>20.007999999999999</v>
      </c>
      <c r="H29" s="122">
        <v>15.233000000000001</v>
      </c>
      <c r="I29" s="122">
        <v>2.1869999999999998</v>
      </c>
      <c r="J29" s="122">
        <v>1.363</v>
      </c>
      <c r="K29" s="122">
        <v>500.44400000000002</v>
      </c>
      <c r="L29" s="122">
        <v>-1.877</v>
      </c>
      <c r="M29" s="122">
        <v>498.56700000000001</v>
      </c>
      <c r="N29" s="122">
        <v>142.50700000000001</v>
      </c>
      <c r="O29" s="122">
        <v>647.75900000000001</v>
      </c>
      <c r="P29" s="122">
        <v>148.39699999999999</v>
      </c>
      <c r="Q29" s="122">
        <v>0</v>
      </c>
      <c r="R29" s="122">
        <v>499.29399999999998</v>
      </c>
      <c r="S29" s="123">
        <v>441.47699999999998</v>
      </c>
      <c r="U29" s="125"/>
      <c r="V29" s="125"/>
    </row>
    <row r="30" spans="1:22" ht="15.75">
      <c r="A30" s="110"/>
      <c r="B30" s="121" t="s">
        <v>136</v>
      </c>
      <c r="C30" s="122">
        <v>317.428</v>
      </c>
      <c r="D30" s="122">
        <v>99.566000000000003</v>
      </c>
      <c r="E30" s="122">
        <v>84.58</v>
      </c>
      <c r="F30" s="122">
        <v>48.81</v>
      </c>
      <c r="G30" s="122">
        <v>20.254000000000001</v>
      </c>
      <c r="H30" s="122">
        <v>13.02</v>
      </c>
      <c r="I30" s="122">
        <v>2.431</v>
      </c>
      <c r="J30" s="122">
        <v>-3.556</v>
      </c>
      <c r="K30" s="122">
        <v>498.01799999999997</v>
      </c>
      <c r="L30" s="122">
        <v>3.9249999999999998</v>
      </c>
      <c r="M30" s="122">
        <v>501.94299999999998</v>
      </c>
      <c r="N30" s="122">
        <v>145.136</v>
      </c>
      <c r="O30" s="122">
        <v>652.95799999999997</v>
      </c>
      <c r="P30" s="122">
        <v>149.26900000000001</v>
      </c>
      <c r="Q30" s="122">
        <v>0</v>
      </c>
      <c r="R30" s="122">
        <v>503.65899999999999</v>
      </c>
      <c r="S30" s="123">
        <v>446.86700000000002</v>
      </c>
      <c r="U30" s="125"/>
      <c r="V30" s="125"/>
    </row>
    <row r="31" spans="1:22" ht="15.75">
      <c r="A31" s="110"/>
      <c r="B31" s="121" t="s">
        <v>137</v>
      </c>
      <c r="C31" s="122">
        <v>321.55799999999999</v>
      </c>
      <c r="D31" s="122">
        <v>99.724000000000004</v>
      </c>
      <c r="E31" s="122">
        <v>86.320999999999998</v>
      </c>
      <c r="F31" s="122">
        <v>49.287999999999997</v>
      </c>
      <c r="G31" s="122">
        <v>20.649000000000001</v>
      </c>
      <c r="H31" s="122">
        <v>13.792999999999999</v>
      </c>
      <c r="I31" s="122">
        <v>2.569</v>
      </c>
      <c r="J31" s="122">
        <v>0.73799999999999999</v>
      </c>
      <c r="K31" s="122">
        <v>508.34100000000001</v>
      </c>
      <c r="L31" s="122">
        <v>5.0860000000000003</v>
      </c>
      <c r="M31" s="122">
        <v>513.42700000000002</v>
      </c>
      <c r="N31" s="122">
        <v>144.84899999999999</v>
      </c>
      <c r="O31" s="122">
        <v>661.822</v>
      </c>
      <c r="P31" s="122">
        <v>154.20500000000001</v>
      </c>
      <c r="Q31" s="122">
        <v>0</v>
      </c>
      <c r="R31" s="122">
        <v>507.48500000000001</v>
      </c>
      <c r="S31" s="123">
        <v>450.83100000000002</v>
      </c>
      <c r="U31" s="125"/>
      <c r="V31" s="125"/>
    </row>
    <row r="32" spans="1:22" ht="15.75">
      <c r="A32" s="110"/>
      <c r="B32" s="121" t="s">
        <v>138</v>
      </c>
      <c r="C32" s="122">
        <v>322.61799999999999</v>
      </c>
      <c r="D32" s="122">
        <v>99.396000000000001</v>
      </c>
      <c r="E32" s="122">
        <v>87.263999999999996</v>
      </c>
      <c r="F32" s="122">
        <v>49.947000000000003</v>
      </c>
      <c r="G32" s="122">
        <v>20.579000000000001</v>
      </c>
      <c r="H32" s="122">
        <v>14.099</v>
      </c>
      <c r="I32" s="122">
        <v>2.621</v>
      </c>
      <c r="J32" s="122">
        <v>7.5179999999999998</v>
      </c>
      <c r="K32" s="122">
        <v>516.79600000000005</v>
      </c>
      <c r="L32" s="122">
        <v>7.125</v>
      </c>
      <c r="M32" s="122">
        <v>523.92100000000005</v>
      </c>
      <c r="N32" s="122">
        <v>148.99100000000001</v>
      </c>
      <c r="O32" s="122">
        <v>674.66399999999999</v>
      </c>
      <c r="P32" s="122">
        <v>163.48599999999999</v>
      </c>
      <c r="Q32" s="122">
        <v>0</v>
      </c>
      <c r="R32" s="122">
        <v>510.78699999999998</v>
      </c>
      <c r="S32" s="123">
        <v>453.64800000000002</v>
      </c>
      <c r="U32" s="125"/>
      <c r="V32" s="125"/>
    </row>
    <row r="33" spans="1:22" ht="18.75" customHeight="1">
      <c r="A33" s="110"/>
      <c r="B33" s="121" t="s">
        <v>139</v>
      </c>
      <c r="C33" s="122">
        <v>325.70100000000002</v>
      </c>
      <c r="D33" s="122">
        <v>99.515000000000001</v>
      </c>
      <c r="E33" s="122">
        <v>90.986000000000004</v>
      </c>
      <c r="F33" s="122">
        <v>52.826000000000001</v>
      </c>
      <c r="G33" s="122">
        <v>20.664000000000001</v>
      </c>
      <c r="H33" s="122">
        <v>14.83</v>
      </c>
      <c r="I33" s="122">
        <v>2.6630000000000003</v>
      </c>
      <c r="J33" s="122">
        <v>2.5129999999999999</v>
      </c>
      <c r="K33" s="122">
        <v>518.71500000000003</v>
      </c>
      <c r="L33" s="122">
        <v>6.72</v>
      </c>
      <c r="M33" s="122">
        <v>525.43499999999995</v>
      </c>
      <c r="N33" s="122">
        <v>148.84299999999999</v>
      </c>
      <c r="O33" s="122">
        <v>676.202</v>
      </c>
      <c r="P33" s="122">
        <v>163.023</v>
      </c>
      <c r="Q33" s="122">
        <v>0</v>
      </c>
      <c r="R33" s="122">
        <v>512.89499999999998</v>
      </c>
      <c r="S33" s="123">
        <v>454.14299999999997</v>
      </c>
      <c r="U33" s="125"/>
      <c r="V33" s="125"/>
    </row>
    <row r="34" spans="1:22" ht="15.75">
      <c r="A34" s="110"/>
      <c r="B34" s="121" t="s">
        <v>140</v>
      </c>
      <c r="C34" s="122">
        <v>327.89800000000002</v>
      </c>
      <c r="D34" s="122">
        <v>100.625</v>
      </c>
      <c r="E34" s="122">
        <v>91.126000000000005</v>
      </c>
      <c r="F34" s="122">
        <v>52.481000000000002</v>
      </c>
      <c r="G34" s="122">
        <v>22.164000000000001</v>
      </c>
      <c r="H34" s="122">
        <v>14.218</v>
      </c>
      <c r="I34" s="122">
        <v>2.23</v>
      </c>
      <c r="J34" s="122">
        <v>-2.5999999999999999E-2</v>
      </c>
      <c r="K34" s="122">
        <v>519.62300000000005</v>
      </c>
      <c r="L34" s="122">
        <v>-8.0139999999999993</v>
      </c>
      <c r="M34" s="122">
        <v>511.60899999999998</v>
      </c>
      <c r="N34" s="122">
        <v>153.65299999999999</v>
      </c>
      <c r="O34" s="122">
        <v>675.23400000000004</v>
      </c>
      <c r="P34" s="122">
        <v>158.91399999999999</v>
      </c>
      <c r="Q34" s="122">
        <v>0</v>
      </c>
      <c r="R34" s="122">
        <v>516.14099999999996</v>
      </c>
      <c r="S34" s="123">
        <v>456.98200000000003</v>
      </c>
      <c r="U34" s="125"/>
      <c r="V34" s="125"/>
    </row>
    <row r="35" spans="1:22" ht="15.75">
      <c r="A35" s="110"/>
      <c r="B35" s="121" t="s">
        <v>141</v>
      </c>
      <c r="C35" s="122">
        <v>332.17099999999999</v>
      </c>
      <c r="D35" s="122">
        <v>101.30200000000001</v>
      </c>
      <c r="E35" s="122">
        <v>90.44</v>
      </c>
      <c r="F35" s="122">
        <v>52.51</v>
      </c>
      <c r="G35" s="122">
        <v>22.193000000000001</v>
      </c>
      <c r="H35" s="122">
        <v>13.340999999999999</v>
      </c>
      <c r="I35" s="122">
        <v>2.3679999999999999</v>
      </c>
      <c r="J35" s="122">
        <v>-0.31900000000000001</v>
      </c>
      <c r="K35" s="122">
        <v>523.59400000000005</v>
      </c>
      <c r="L35" s="122">
        <v>-0.84899999999999998</v>
      </c>
      <c r="M35" s="122">
        <v>522.745</v>
      </c>
      <c r="N35" s="122">
        <v>148.864</v>
      </c>
      <c r="O35" s="122">
        <v>677.33299999999997</v>
      </c>
      <c r="P35" s="122">
        <v>158.86000000000001</v>
      </c>
      <c r="Q35" s="122">
        <v>0</v>
      </c>
      <c r="R35" s="122">
        <v>518.36500000000001</v>
      </c>
      <c r="S35" s="123">
        <v>458.399</v>
      </c>
      <c r="U35" s="125"/>
      <c r="V35" s="125"/>
    </row>
    <row r="36" spans="1:22" ht="15.75">
      <c r="A36" s="110"/>
      <c r="B36" s="121" t="s">
        <v>142</v>
      </c>
      <c r="C36" s="122">
        <v>330.84199999999998</v>
      </c>
      <c r="D36" s="122">
        <v>101.02500000000001</v>
      </c>
      <c r="E36" s="122">
        <v>93.016999999999996</v>
      </c>
      <c r="F36" s="122">
        <v>55.404000000000003</v>
      </c>
      <c r="G36" s="122">
        <v>22.11</v>
      </c>
      <c r="H36" s="122">
        <v>13.159000000000001</v>
      </c>
      <c r="I36" s="122">
        <v>2.3419999999999996</v>
      </c>
      <c r="J36" s="122">
        <v>-1.76</v>
      </c>
      <c r="K36" s="122">
        <v>523.12400000000002</v>
      </c>
      <c r="L36" s="122">
        <v>13.917999999999999</v>
      </c>
      <c r="M36" s="122">
        <v>537.04200000000003</v>
      </c>
      <c r="N36" s="122">
        <v>153.31</v>
      </c>
      <c r="O36" s="122">
        <v>687.31200000000001</v>
      </c>
      <c r="P36" s="122">
        <v>165.041</v>
      </c>
      <c r="Q36" s="122">
        <v>0</v>
      </c>
      <c r="R36" s="122">
        <v>522.19399999999996</v>
      </c>
      <c r="S36" s="123">
        <v>461.66899999999998</v>
      </c>
      <c r="U36" s="125"/>
      <c r="V36" s="125"/>
    </row>
    <row r="37" spans="1:22" ht="18.75" customHeight="1">
      <c r="A37" s="110"/>
      <c r="B37" s="121" t="s">
        <v>143</v>
      </c>
      <c r="C37" s="122">
        <v>337.67099999999999</v>
      </c>
      <c r="D37" s="122">
        <v>101.33</v>
      </c>
      <c r="E37" s="122">
        <v>94.551000000000002</v>
      </c>
      <c r="F37" s="122">
        <v>56.006999999999998</v>
      </c>
      <c r="G37" s="122">
        <v>22.611000000000001</v>
      </c>
      <c r="H37" s="122">
        <v>13.379</v>
      </c>
      <c r="I37" s="122">
        <v>2.387</v>
      </c>
      <c r="J37" s="122">
        <v>0.97699999999999998</v>
      </c>
      <c r="K37" s="122">
        <v>534.529</v>
      </c>
      <c r="L37" s="122">
        <v>1.2509999999999999</v>
      </c>
      <c r="M37" s="122">
        <v>535.78</v>
      </c>
      <c r="N37" s="122">
        <v>153.38</v>
      </c>
      <c r="O37" s="122">
        <v>688.904</v>
      </c>
      <c r="P37" s="122">
        <v>164.69200000000001</v>
      </c>
      <c r="Q37" s="122">
        <v>0</v>
      </c>
      <c r="R37" s="122">
        <v>524.10199999999998</v>
      </c>
      <c r="S37" s="123">
        <v>462.71600000000001</v>
      </c>
      <c r="U37" s="125"/>
      <c r="V37" s="125"/>
    </row>
    <row r="38" spans="1:22" ht="15.75">
      <c r="A38" s="110"/>
      <c r="B38" s="121" t="s">
        <v>144</v>
      </c>
      <c r="C38" s="122">
        <v>340.65199999999999</v>
      </c>
      <c r="D38" s="122">
        <v>101.3</v>
      </c>
      <c r="E38" s="122">
        <v>95.674000000000007</v>
      </c>
      <c r="F38" s="122">
        <v>55.984999999999999</v>
      </c>
      <c r="G38" s="122">
        <v>22.95</v>
      </c>
      <c r="H38" s="122">
        <v>14.093</v>
      </c>
      <c r="I38" s="122">
        <v>2.4849999999999999</v>
      </c>
      <c r="J38" s="122">
        <v>-0.95499999999999996</v>
      </c>
      <c r="K38" s="122">
        <v>536.67100000000005</v>
      </c>
      <c r="L38" s="122">
        <v>0.23899999999999999</v>
      </c>
      <c r="M38" s="122">
        <v>536.91</v>
      </c>
      <c r="N38" s="122">
        <v>157.67599999999999</v>
      </c>
      <c r="O38" s="122">
        <v>693.75099999999998</v>
      </c>
      <c r="P38" s="122">
        <v>166.26499999999999</v>
      </c>
      <c r="Q38" s="122">
        <v>0</v>
      </c>
      <c r="R38" s="122">
        <v>527.40099999999995</v>
      </c>
      <c r="S38" s="123">
        <v>466.22800000000001</v>
      </c>
      <c r="U38" s="125"/>
      <c r="V38" s="125"/>
    </row>
    <row r="39" spans="1:22" ht="15.75">
      <c r="A39" s="110"/>
      <c r="B39" s="121" t="s">
        <v>145</v>
      </c>
      <c r="C39" s="122">
        <v>343.12599999999998</v>
      </c>
      <c r="D39" s="122">
        <v>101.569</v>
      </c>
      <c r="E39" s="122">
        <v>97.397999999999996</v>
      </c>
      <c r="F39" s="122">
        <v>56.89</v>
      </c>
      <c r="G39" s="122">
        <v>23.771000000000001</v>
      </c>
      <c r="H39" s="122">
        <v>14.183999999999999</v>
      </c>
      <c r="I39" s="122">
        <v>2.3780000000000001</v>
      </c>
      <c r="J39" s="122">
        <v>2.4359999999999999</v>
      </c>
      <c r="K39" s="122">
        <v>544.529</v>
      </c>
      <c r="L39" s="122">
        <v>4.8739999999999997</v>
      </c>
      <c r="M39" s="122">
        <v>549.40300000000002</v>
      </c>
      <c r="N39" s="122">
        <v>153.28100000000001</v>
      </c>
      <c r="O39" s="122">
        <v>701.93200000000002</v>
      </c>
      <c r="P39" s="122">
        <v>172.37</v>
      </c>
      <c r="Q39" s="122">
        <v>0</v>
      </c>
      <c r="R39" s="122">
        <v>529.73</v>
      </c>
      <c r="S39" s="123">
        <v>468.73200000000003</v>
      </c>
      <c r="U39" s="125"/>
      <c r="V39" s="125"/>
    </row>
    <row r="40" spans="1:22" ht="15.75">
      <c r="A40" s="110"/>
      <c r="B40" s="121" t="s">
        <v>146</v>
      </c>
      <c r="C40" s="122">
        <v>342.81900000000002</v>
      </c>
      <c r="D40" s="122">
        <v>101.384</v>
      </c>
      <c r="E40" s="122">
        <v>95.825999999999993</v>
      </c>
      <c r="F40" s="122">
        <v>54.363999999999997</v>
      </c>
      <c r="G40" s="122">
        <v>24.774999999999999</v>
      </c>
      <c r="H40" s="122">
        <v>14.038</v>
      </c>
      <c r="I40" s="122">
        <v>2.4689999999999999</v>
      </c>
      <c r="J40" s="122">
        <v>-0.84899999999999998</v>
      </c>
      <c r="K40" s="122">
        <v>539.17999999999995</v>
      </c>
      <c r="L40" s="122">
        <v>1.839</v>
      </c>
      <c r="M40" s="122">
        <v>541.01900000000001</v>
      </c>
      <c r="N40" s="122">
        <v>159.797</v>
      </c>
      <c r="O40" s="122">
        <v>701.45899999999995</v>
      </c>
      <c r="P40" s="122">
        <v>168.20599999999999</v>
      </c>
      <c r="Q40" s="122">
        <v>0</v>
      </c>
      <c r="R40" s="122">
        <v>533.173</v>
      </c>
      <c r="S40" s="123">
        <v>472.13799999999998</v>
      </c>
      <c r="U40" s="125"/>
      <c r="V40" s="125"/>
    </row>
    <row r="41" spans="1:22" ht="18.75" customHeight="1">
      <c r="A41" s="110"/>
      <c r="B41" s="121" t="s">
        <v>147</v>
      </c>
      <c r="C41" s="122">
        <v>345.76499999999999</v>
      </c>
      <c r="D41" s="122">
        <v>101.379</v>
      </c>
      <c r="E41" s="122">
        <v>97.75</v>
      </c>
      <c r="F41" s="122">
        <v>55.84</v>
      </c>
      <c r="G41" s="122">
        <v>25.469000000000001</v>
      </c>
      <c r="H41" s="122">
        <v>13.945</v>
      </c>
      <c r="I41" s="122">
        <v>2.4660000000000002</v>
      </c>
      <c r="J41" s="122">
        <v>-0.67400000000000004</v>
      </c>
      <c r="K41" s="122">
        <v>544.22</v>
      </c>
      <c r="L41" s="122">
        <v>4.57</v>
      </c>
      <c r="M41" s="122">
        <v>548.79</v>
      </c>
      <c r="N41" s="122">
        <v>161.982</v>
      </c>
      <c r="O41" s="122">
        <v>706.41399999999999</v>
      </c>
      <c r="P41" s="122">
        <v>169.21700000000001</v>
      </c>
      <c r="Q41" s="122">
        <v>0</v>
      </c>
      <c r="R41" s="122">
        <v>537.11400000000003</v>
      </c>
      <c r="S41" s="123">
        <v>475.86399999999998</v>
      </c>
      <c r="U41" s="125"/>
      <c r="V41" s="125"/>
    </row>
    <row r="42" spans="1:22" ht="15.75">
      <c r="A42" s="110"/>
      <c r="B42" s="121" t="s">
        <v>148</v>
      </c>
      <c r="C42" s="122">
        <v>345.92200000000003</v>
      </c>
      <c r="D42" s="122">
        <v>101.822</v>
      </c>
      <c r="E42" s="122">
        <v>99.355999999999995</v>
      </c>
      <c r="F42" s="122">
        <v>56.661000000000001</v>
      </c>
      <c r="G42" s="122">
        <v>25.260999999999999</v>
      </c>
      <c r="H42" s="122">
        <v>14.811999999999999</v>
      </c>
      <c r="I42" s="122">
        <v>2.605</v>
      </c>
      <c r="J42" s="122">
        <v>6.8000000000000005E-2</v>
      </c>
      <c r="K42" s="122">
        <v>547.16800000000001</v>
      </c>
      <c r="L42" s="122">
        <v>6.806</v>
      </c>
      <c r="M42" s="122">
        <v>553.97400000000005</v>
      </c>
      <c r="N42" s="122">
        <v>166.23599999999999</v>
      </c>
      <c r="O42" s="122">
        <v>714.80700000000002</v>
      </c>
      <c r="P42" s="122">
        <v>174.87100000000001</v>
      </c>
      <c r="Q42" s="122">
        <v>0</v>
      </c>
      <c r="R42" s="122">
        <v>539.99400000000003</v>
      </c>
      <c r="S42" s="123">
        <v>478.15100000000001</v>
      </c>
      <c r="U42" s="125"/>
      <c r="V42" s="125"/>
    </row>
    <row r="43" spans="1:22" ht="15.75">
      <c r="A43" s="110"/>
      <c r="B43" s="121" t="s">
        <v>149</v>
      </c>
      <c r="C43" s="122">
        <v>348.46300000000002</v>
      </c>
      <c r="D43" s="122">
        <v>102.143</v>
      </c>
      <c r="E43" s="122">
        <v>99.162999999999997</v>
      </c>
      <c r="F43" s="122">
        <v>56.21</v>
      </c>
      <c r="G43" s="122">
        <v>26.015000000000001</v>
      </c>
      <c r="H43" s="122">
        <v>14.422000000000001</v>
      </c>
      <c r="I43" s="122">
        <v>2.5030000000000001</v>
      </c>
      <c r="J43" s="122">
        <v>-0.68899999999999995</v>
      </c>
      <c r="K43" s="122">
        <v>549.08000000000004</v>
      </c>
      <c r="L43" s="122">
        <v>2.4159999999999999</v>
      </c>
      <c r="M43" s="122">
        <v>551.49599999999998</v>
      </c>
      <c r="N43" s="122">
        <v>171.203</v>
      </c>
      <c r="O43" s="122">
        <v>719.51099999999997</v>
      </c>
      <c r="P43" s="122">
        <v>176.83099999999999</v>
      </c>
      <c r="Q43" s="122">
        <v>0</v>
      </c>
      <c r="R43" s="122">
        <v>542.78</v>
      </c>
      <c r="S43" s="123">
        <v>480.81099999999998</v>
      </c>
      <c r="U43" s="125"/>
      <c r="V43" s="125"/>
    </row>
    <row r="44" spans="1:22" ht="15.75">
      <c r="A44" s="110"/>
      <c r="B44" s="121" t="s">
        <v>150</v>
      </c>
      <c r="C44" s="122">
        <v>350.53199999999998</v>
      </c>
      <c r="D44" s="122">
        <v>101.95699999999999</v>
      </c>
      <c r="E44" s="122">
        <v>100.63800000000001</v>
      </c>
      <c r="F44" s="122">
        <v>56.963999999999999</v>
      </c>
      <c r="G44" s="122">
        <v>27.062999999999999</v>
      </c>
      <c r="H44" s="122">
        <v>14.577</v>
      </c>
      <c r="I44" s="122">
        <v>2.0300000000000002</v>
      </c>
      <c r="J44" s="122">
        <v>1.907</v>
      </c>
      <c r="K44" s="122">
        <v>555.03399999999999</v>
      </c>
      <c r="L44" s="122">
        <v>-1.121</v>
      </c>
      <c r="M44" s="122">
        <v>553.91300000000001</v>
      </c>
      <c r="N44" s="122">
        <v>167.43</v>
      </c>
      <c r="O44" s="122">
        <v>719.25800000000004</v>
      </c>
      <c r="P44" s="122">
        <v>173.05600000000001</v>
      </c>
      <c r="Q44" s="122">
        <v>0</v>
      </c>
      <c r="R44" s="122">
        <v>546.18499999999995</v>
      </c>
      <c r="S44" s="123">
        <v>483.29300000000001</v>
      </c>
      <c r="U44" s="125"/>
      <c r="V44" s="125"/>
    </row>
    <row r="45" spans="1:22" ht="18.75" customHeight="1">
      <c r="A45" s="110"/>
      <c r="B45" s="121" t="s">
        <v>151</v>
      </c>
      <c r="C45" s="122">
        <v>353.38</v>
      </c>
      <c r="D45" s="122">
        <v>101.629</v>
      </c>
      <c r="E45" s="122">
        <v>98.918999999999997</v>
      </c>
      <c r="F45" s="122">
        <v>56.481000000000002</v>
      </c>
      <c r="G45" s="122">
        <v>27.099</v>
      </c>
      <c r="H45" s="122">
        <v>14.016999999999999</v>
      </c>
      <c r="I45" s="122">
        <v>1.377</v>
      </c>
      <c r="J45" s="122">
        <v>0.48199999999999998</v>
      </c>
      <c r="K45" s="122">
        <v>554.41</v>
      </c>
      <c r="L45" s="122">
        <v>-2.722</v>
      </c>
      <c r="M45" s="122">
        <v>551.68799999999999</v>
      </c>
      <c r="N45" s="122">
        <v>171.02500000000001</v>
      </c>
      <c r="O45" s="122">
        <v>723.16200000000003</v>
      </c>
      <c r="P45" s="122">
        <v>176.15299999999999</v>
      </c>
      <c r="Q45" s="122">
        <v>0</v>
      </c>
      <c r="R45" s="122">
        <v>547.00300000000004</v>
      </c>
      <c r="S45" s="123">
        <v>484.19</v>
      </c>
      <c r="U45" s="125"/>
      <c r="V45" s="125"/>
    </row>
    <row r="46" spans="1:22" ht="15.75">
      <c r="A46" s="110"/>
      <c r="B46" s="121" t="s">
        <v>152</v>
      </c>
      <c r="C46" s="122">
        <v>353.66899999999998</v>
      </c>
      <c r="D46" s="122">
        <v>101.69799999999999</v>
      </c>
      <c r="E46" s="122">
        <v>98.831000000000003</v>
      </c>
      <c r="F46" s="122">
        <v>55.124000000000002</v>
      </c>
      <c r="G46" s="122">
        <v>27.954000000000001</v>
      </c>
      <c r="H46" s="122">
        <v>14.409000000000001</v>
      </c>
      <c r="I46" s="122">
        <v>1.4100000000000001</v>
      </c>
      <c r="J46" s="122">
        <v>1.2689999999999999</v>
      </c>
      <c r="K46" s="122">
        <v>555.46699999999998</v>
      </c>
      <c r="L46" s="122">
        <v>0.754</v>
      </c>
      <c r="M46" s="122">
        <v>556.221</v>
      </c>
      <c r="N46" s="122">
        <v>171.63</v>
      </c>
      <c r="O46" s="122">
        <v>727.34199999999998</v>
      </c>
      <c r="P46" s="122">
        <v>177.86</v>
      </c>
      <c r="Q46" s="122">
        <v>0</v>
      </c>
      <c r="R46" s="122">
        <v>549.49099999999999</v>
      </c>
      <c r="S46" s="123">
        <v>486.07</v>
      </c>
      <c r="U46" s="125"/>
      <c r="V46" s="125"/>
    </row>
    <row r="47" spans="1:22" ht="15.75">
      <c r="A47" s="110"/>
      <c r="B47" s="121" t="s">
        <v>153</v>
      </c>
      <c r="C47" s="122">
        <v>356.83600000000001</v>
      </c>
      <c r="D47" s="122">
        <v>102.181</v>
      </c>
      <c r="E47" s="122">
        <v>99.334999999999994</v>
      </c>
      <c r="F47" s="122">
        <v>55.252000000000002</v>
      </c>
      <c r="G47" s="122">
        <v>27.765999999999998</v>
      </c>
      <c r="H47" s="122">
        <v>15.044</v>
      </c>
      <c r="I47" s="122">
        <v>1.306</v>
      </c>
      <c r="J47" s="122">
        <v>1.0740000000000001</v>
      </c>
      <c r="K47" s="122">
        <v>559.42600000000004</v>
      </c>
      <c r="L47" s="122">
        <v>0.105</v>
      </c>
      <c r="M47" s="122">
        <v>559.53099999999995</v>
      </c>
      <c r="N47" s="122">
        <v>173.916</v>
      </c>
      <c r="O47" s="122">
        <v>731.18399999999997</v>
      </c>
      <c r="P47" s="122">
        <v>178.65899999999999</v>
      </c>
      <c r="Q47" s="122">
        <v>0</v>
      </c>
      <c r="R47" s="122">
        <v>552.54499999999996</v>
      </c>
      <c r="S47" s="123">
        <v>488.43799999999999</v>
      </c>
      <c r="U47" s="125"/>
      <c r="V47" s="125"/>
    </row>
    <row r="48" spans="1:22" ht="15.75">
      <c r="A48" s="110"/>
      <c r="B48" s="121" t="s">
        <v>154</v>
      </c>
      <c r="C48" s="122">
        <v>361.03800000000001</v>
      </c>
      <c r="D48" s="122">
        <v>103.117</v>
      </c>
      <c r="E48" s="122">
        <v>98.882000000000005</v>
      </c>
      <c r="F48" s="122">
        <v>55.493000000000002</v>
      </c>
      <c r="G48" s="122">
        <v>27.28</v>
      </c>
      <c r="H48" s="122">
        <v>14.897</v>
      </c>
      <c r="I48" s="122">
        <v>1.2569999999999999</v>
      </c>
      <c r="J48" s="122">
        <v>0.307</v>
      </c>
      <c r="K48" s="122">
        <v>563.34400000000005</v>
      </c>
      <c r="L48" s="122">
        <v>3.18</v>
      </c>
      <c r="M48" s="122">
        <v>566.524</v>
      </c>
      <c r="N48" s="122">
        <v>171.285</v>
      </c>
      <c r="O48" s="122">
        <v>738.41700000000003</v>
      </c>
      <c r="P48" s="122">
        <v>184.46299999999999</v>
      </c>
      <c r="Q48" s="122">
        <v>0</v>
      </c>
      <c r="R48" s="122">
        <v>553.96600000000001</v>
      </c>
      <c r="S48" s="123">
        <v>489.54</v>
      </c>
      <c r="U48" s="125"/>
      <c r="V48" s="125"/>
    </row>
    <row r="49" spans="1:22" ht="18.75" customHeight="1">
      <c r="A49" s="110"/>
      <c r="B49" s="121" t="s">
        <v>155</v>
      </c>
      <c r="C49" s="122">
        <v>359.66199999999998</v>
      </c>
      <c r="D49" s="122">
        <v>104.633</v>
      </c>
      <c r="E49" s="122">
        <v>101.096</v>
      </c>
      <c r="F49" s="122">
        <v>55.768999999999998</v>
      </c>
      <c r="G49" s="122">
        <v>28.555</v>
      </c>
      <c r="H49" s="122">
        <v>15.529</v>
      </c>
      <c r="I49" s="122">
        <v>1.2721093699999999</v>
      </c>
      <c r="J49" s="122">
        <v>12.096</v>
      </c>
      <c r="K49" s="122">
        <v>577.48699999999997</v>
      </c>
      <c r="L49" s="122">
        <v>8.3819999999999997</v>
      </c>
      <c r="M49" s="122">
        <v>585.86900000000003</v>
      </c>
      <c r="N49" s="122">
        <v>170.40899999999999</v>
      </c>
      <c r="O49" s="122">
        <v>754.81799999999998</v>
      </c>
      <c r="P49" s="122">
        <v>197.31700000000001</v>
      </c>
      <c r="Q49" s="122">
        <v>0</v>
      </c>
      <c r="R49" s="122">
        <v>557.45799999999997</v>
      </c>
      <c r="S49" s="123">
        <v>492.714</v>
      </c>
      <c r="U49" s="125"/>
      <c r="V49" s="125"/>
    </row>
    <row r="50" spans="1:22" ht="15.75" customHeight="1">
      <c r="A50" s="551"/>
      <c r="B50" s="121" t="s">
        <v>156</v>
      </c>
      <c r="C50" s="122">
        <v>361.29399999999998</v>
      </c>
      <c r="D50" s="122">
        <v>106.675</v>
      </c>
      <c r="E50" s="122">
        <v>99.965999999999994</v>
      </c>
      <c r="F50" s="122">
        <v>55.923000000000002</v>
      </c>
      <c r="G50" s="122">
        <v>27.869</v>
      </c>
      <c r="H50" s="122">
        <v>14.865</v>
      </c>
      <c r="I50" s="122">
        <v>1.2866447499999998</v>
      </c>
      <c r="J50" s="122">
        <v>1.782</v>
      </c>
      <c r="K50" s="122">
        <v>569.71699999999998</v>
      </c>
      <c r="L50" s="122">
        <v>-1.8720000000000001</v>
      </c>
      <c r="M50" s="122">
        <v>567.84500000000003</v>
      </c>
      <c r="N50" s="122">
        <v>167.62</v>
      </c>
      <c r="O50" s="122">
        <v>738.029</v>
      </c>
      <c r="P50" s="122">
        <v>179.982</v>
      </c>
      <c r="Q50" s="122">
        <v>0</v>
      </c>
      <c r="R50" s="122">
        <v>558.07100000000003</v>
      </c>
      <c r="S50" s="123">
        <v>493.64</v>
      </c>
      <c r="U50" s="125"/>
      <c r="V50" s="125"/>
    </row>
    <row r="51" spans="1:22">
      <c r="A51" s="551"/>
      <c r="B51" s="121" t="s">
        <v>157</v>
      </c>
      <c r="C51" s="122">
        <v>360.291</v>
      </c>
      <c r="D51" s="122">
        <v>106.539</v>
      </c>
      <c r="E51" s="122">
        <v>101.637</v>
      </c>
      <c r="F51" s="122">
        <v>56.569000000000003</v>
      </c>
      <c r="G51" s="122">
        <v>28.495000000000001</v>
      </c>
      <c r="H51" s="122">
        <v>15.273</v>
      </c>
      <c r="I51" s="122">
        <v>1.3006638099999999</v>
      </c>
      <c r="J51" s="122">
        <v>1.0289999999999999</v>
      </c>
      <c r="K51" s="122">
        <v>569.49599999999998</v>
      </c>
      <c r="L51" s="122">
        <v>-2.3380000000000001</v>
      </c>
      <c r="M51" s="122">
        <v>567.15800000000002</v>
      </c>
      <c r="N51" s="122">
        <v>177.34800000000001</v>
      </c>
      <c r="O51" s="122">
        <v>743.23400000000004</v>
      </c>
      <c r="P51" s="122">
        <v>181.75899999999999</v>
      </c>
      <c r="Q51" s="122">
        <v>0</v>
      </c>
      <c r="R51" s="122">
        <v>561.48</v>
      </c>
      <c r="S51" s="123">
        <v>497.69</v>
      </c>
      <c r="U51" s="125"/>
      <c r="V51" s="125"/>
    </row>
    <row r="52" spans="1:22">
      <c r="A52" s="551"/>
      <c r="B52" s="121" t="s">
        <v>158</v>
      </c>
      <c r="C52" s="122">
        <v>358.79399999999998</v>
      </c>
      <c r="D52" s="122">
        <v>107.732</v>
      </c>
      <c r="E52" s="122">
        <v>100.666</v>
      </c>
      <c r="F52" s="122">
        <v>56.999000000000002</v>
      </c>
      <c r="G52" s="122">
        <v>27.131</v>
      </c>
      <c r="H52" s="122">
        <v>15.180999999999999</v>
      </c>
      <c r="I52" s="122">
        <v>1.3168872599999999</v>
      </c>
      <c r="J52" s="122">
        <v>-12.026999999999999</v>
      </c>
      <c r="K52" s="122">
        <v>555.16499999999996</v>
      </c>
      <c r="L52" s="122">
        <v>-1.5409999999999999</v>
      </c>
      <c r="M52" s="122">
        <v>553.62400000000002</v>
      </c>
      <c r="N52" s="122">
        <v>184.27699999999999</v>
      </c>
      <c r="O52" s="122">
        <v>738.06899999999996</v>
      </c>
      <c r="P52" s="122">
        <v>176.744</v>
      </c>
      <c r="Q52" s="122">
        <v>0</v>
      </c>
      <c r="R52" s="122">
        <v>561.33900000000006</v>
      </c>
      <c r="S52" s="123">
        <v>497.911</v>
      </c>
      <c r="U52" s="125"/>
      <c r="V52" s="125"/>
    </row>
    <row r="53" spans="1:22">
      <c r="A53" s="551"/>
      <c r="B53" s="127" t="s">
        <v>159</v>
      </c>
      <c r="C53" s="122">
        <v>348.33100000000002</v>
      </c>
      <c r="D53" s="122">
        <v>104.08799999999999</v>
      </c>
      <c r="E53" s="122">
        <v>96.825000000000003</v>
      </c>
      <c r="F53" s="122">
        <v>55.476999999999997</v>
      </c>
      <c r="G53" s="122">
        <v>25.934999999999999</v>
      </c>
      <c r="H53" s="122">
        <v>14.125999999999999</v>
      </c>
      <c r="I53" s="122">
        <v>1.2792033799999998</v>
      </c>
      <c r="J53" s="122">
        <v>0.78400000000000003</v>
      </c>
      <c r="K53" s="122">
        <v>550.02800000000002</v>
      </c>
      <c r="L53" s="122">
        <v>-3.48</v>
      </c>
      <c r="M53" s="122">
        <v>546.548</v>
      </c>
      <c r="N53" s="122">
        <v>167.65100000000001</v>
      </c>
      <c r="O53" s="122">
        <v>714.19899999999996</v>
      </c>
      <c r="P53" s="122">
        <v>167.684</v>
      </c>
      <c r="Q53" s="122">
        <v>0</v>
      </c>
      <c r="R53" s="122">
        <v>546.51499999999999</v>
      </c>
      <c r="S53" s="123">
        <v>485.77199999999999</v>
      </c>
      <c r="U53" s="125"/>
      <c r="V53" s="125"/>
    </row>
    <row r="54" spans="1:22">
      <c r="A54" s="551"/>
      <c r="B54" s="127" t="s">
        <v>160</v>
      </c>
      <c r="C54" s="122">
        <v>268.01799999999997</v>
      </c>
      <c r="D54" s="122">
        <v>85.179000000000002</v>
      </c>
      <c r="E54" s="122">
        <v>78.811999999999998</v>
      </c>
      <c r="F54" s="122">
        <v>43.963000000000001</v>
      </c>
      <c r="G54" s="122">
        <v>17.068999999999999</v>
      </c>
      <c r="H54" s="122">
        <v>16.681000000000001</v>
      </c>
      <c r="I54" s="122">
        <v>0.84371154400000004</v>
      </c>
      <c r="J54" s="122">
        <v>-8.702</v>
      </c>
      <c r="K54" s="122">
        <v>423.30700000000002</v>
      </c>
      <c r="L54" s="122">
        <v>-10.347</v>
      </c>
      <c r="M54" s="122">
        <v>412.96</v>
      </c>
      <c r="N54" s="122">
        <v>146.52600000000001</v>
      </c>
      <c r="O54" s="122">
        <v>559.48699999999997</v>
      </c>
      <c r="P54" s="122">
        <v>127.693</v>
      </c>
      <c r="Q54" s="122">
        <v>0</v>
      </c>
      <c r="R54" s="122">
        <v>431.79399999999998</v>
      </c>
      <c r="S54" s="123">
        <v>382.73200000000003</v>
      </c>
      <c r="U54" s="125"/>
      <c r="V54" s="125"/>
    </row>
    <row r="55" spans="1:22" ht="15.75">
      <c r="A55" s="128"/>
      <c r="B55" s="127" t="s">
        <v>161</v>
      </c>
      <c r="C55" s="122">
        <v>319.15800000000002</v>
      </c>
      <c r="D55" s="122">
        <v>100.663</v>
      </c>
      <c r="E55" s="122">
        <v>91.209000000000003</v>
      </c>
      <c r="F55" s="122">
        <v>48.805999999999997</v>
      </c>
      <c r="G55" s="122">
        <v>24.925000000000001</v>
      </c>
      <c r="H55" s="122">
        <v>16.350000000000001</v>
      </c>
      <c r="I55" s="122">
        <v>1.23114137</v>
      </c>
      <c r="J55" s="122">
        <v>1.208</v>
      </c>
      <c r="K55" s="122">
        <v>512.23800000000006</v>
      </c>
      <c r="L55" s="122">
        <v>-4.8479999999999999</v>
      </c>
      <c r="M55" s="122">
        <v>507.39</v>
      </c>
      <c r="N55" s="122">
        <v>146.053</v>
      </c>
      <c r="O55" s="122">
        <v>653.44200000000001</v>
      </c>
      <c r="P55" s="122">
        <v>149.93299999999999</v>
      </c>
      <c r="Q55" s="122">
        <v>0</v>
      </c>
      <c r="R55" s="122">
        <v>503.50900000000001</v>
      </c>
      <c r="S55" s="123">
        <v>448.12200000000001</v>
      </c>
      <c r="U55" s="125"/>
      <c r="V55" s="125"/>
    </row>
    <row r="56" spans="1:22" ht="15.75">
      <c r="A56" s="128"/>
      <c r="B56" s="127" t="s">
        <v>162</v>
      </c>
      <c r="C56" s="122">
        <v>314.85599999999999</v>
      </c>
      <c r="D56" s="122">
        <v>104.53</v>
      </c>
      <c r="E56" s="122">
        <v>94.156000000000006</v>
      </c>
      <c r="F56" s="122">
        <v>50.167000000000002</v>
      </c>
      <c r="G56" s="122">
        <v>26.195</v>
      </c>
      <c r="H56" s="122">
        <v>16.582000000000001</v>
      </c>
      <c r="I56" s="122">
        <v>1.2796872699999999</v>
      </c>
      <c r="J56" s="122">
        <v>6.3120000000000003</v>
      </c>
      <c r="K56" s="122">
        <v>519.85400000000004</v>
      </c>
      <c r="L56" s="122">
        <v>7.29</v>
      </c>
      <c r="M56" s="122">
        <v>527.14400000000001</v>
      </c>
      <c r="N56" s="122">
        <v>154.87899999999999</v>
      </c>
      <c r="O56" s="122">
        <v>682.02300000000002</v>
      </c>
      <c r="P56" s="122">
        <v>172.40199999999999</v>
      </c>
      <c r="Q56" s="122">
        <v>0</v>
      </c>
      <c r="R56" s="122">
        <v>509.62099999999998</v>
      </c>
      <c r="S56" s="123">
        <v>454.54500000000002</v>
      </c>
      <c r="U56" s="125"/>
      <c r="V56" s="125"/>
    </row>
    <row r="57" spans="1:22" ht="15.75">
      <c r="A57" s="128"/>
      <c r="B57" s="127" t="s">
        <v>163</v>
      </c>
      <c r="C57" s="122">
        <v>303.08600000000001</v>
      </c>
      <c r="D57" s="122">
        <v>104.634</v>
      </c>
      <c r="E57" s="122">
        <v>92.834000000000003</v>
      </c>
      <c r="F57" s="122">
        <v>46.892000000000003</v>
      </c>
      <c r="G57" s="122">
        <v>26.475000000000001</v>
      </c>
      <c r="H57" s="122">
        <v>18.166</v>
      </c>
      <c r="I57" s="122">
        <v>1.26338924</v>
      </c>
      <c r="J57" s="122">
        <v>6.641</v>
      </c>
      <c r="K57" s="122">
        <v>507.19499999999999</v>
      </c>
      <c r="L57" s="122">
        <v>3.7919999999999998</v>
      </c>
      <c r="M57" s="122">
        <v>510.98700000000002</v>
      </c>
      <c r="N57" s="122">
        <v>144.38300000000001</v>
      </c>
      <c r="O57" s="122">
        <v>655.37</v>
      </c>
      <c r="P57" s="122">
        <v>151.12799999999999</v>
      </c>
      <c r="Q57" s="122">
        <v>-0.57899999999999996</v>
      </c>
      <c r="R57" s="122">
        <v>503.66300000000001</v>
      </c>
      <c r="S57" s="123">
        <v>449.44499999999999</v>
      </c>
      <c r="U57" s="125"/>
      <c r="V57" s="125"/>
    </row>
    <row r="58" spans="1:22" ht="15.75">
      <c r="A58" s="110"/>
      <c r="B58" s="127" t="s">
        <v>164</v>
      </c>
      <c r="C58" s="122">
        <v>334.649</v>
      </c>
      <c r="D58" s="122">
        <v>112.51</v>
      </c>
      <c r="E58" s="122">
        <v>95.283000000000001</v>
      </c>
      <c r="F58" s="122">
        <v>49.872</v>
      </c>
      <c r="G58" s="122">
        <v>27.199000000000002</v>
      </c>
      <c r="H58" s="122">
        <v>16.780999999999999</v>
      </c>
      <c r="I58" s="122">
        <v>1.44737939</v>
      </c>
      <c r="J58" s="122">
        <v>-0.747</v>
      </c>
      <c r="K58" s="122">
        <v>541.69500000000005</v>
      </c>
      <c r="L58" s="122">
        <v>-2.798</v>
      </c>
      <c r="M58" s="122">
        <v>538.89700000000005</v>
      </c>
      <c r="N58" s="122">
        <v>154.911</v>
      </c>
      <c r="O58" s="122">
        <v>693.80799999999999</v>
      </c>
      <c r="P58" s="122">
        <v>156.15</v>
      </c>
      <c r="Q58" s="122">
        <v>-1.05</v>
      </c>
      <c r="R58" s="122">
        <v>536.60799999999995</v>
      </c>
      <c r="S58" s="123">
        <v>480.06400000000002</v>
      </c>
      <c r="U58" s="125"/>
      <c r="V58" s="125"/>
    </row>
    <row r="59" spans="1:22" ht="15.75">
      <c r="A59" s="110"/>
      <c r="B59" s="127" t="s">
        <v>165</v>
      </c>
      <c r="C59" s="122">
        <v>344.06099999999998</v>
      </c>
      <c r="D59" s="122">
        <v>112.792</v>
      </c>
      <c r="E59" s="122">
        <v>95.912000000000006</v>
      </c>
      <c r="F59" s="122">
        <v>50.445999999999998</v>
      </c>
      <c r="G59" s="122">
        <v>27.224</v>
      </c>
      <c r="H59" s="122">
        <v>16.783999999999999</v>
      </c>
      <c r="I59" s="122">
        <v>1.4595996600000003</v>
      </c>
      <c r="J59" s="122">
        <v>2.7250000000000001</v>
      </c>
      <c r="K59" s="122">
        <v>555.49</v>
      </c>
      <c r="L59" s="122">
        <v>5.3019999999999996</v>
      </c>
      <c r="M59" s="122">
        <v>560.79200000000003</v>
      </c>
      <c r="N59" s="122">
        <v>149.16499999999999</v>
      </c>
      <c r="O59" s="122">
        <v>709.95699999999999</v>
      </c>
      <c r="P59" s="122">
        <v>162.90700000000001</v>
      </c>
      <c r="Q59" s="122">
        <v>-0.96599999999999997</v>
      </c>
      <c r="R59" s="122">
        <v>546.08399999999995</v>
      </c>
      <c r="S59" s="123">
        <v>487.81799999999998</v>
      </c>
      <c r="U59" s="125"/>
      <c r="V59" s="125"/>
    </row>
    <row r="60" spans="1:22" ht="15.75">
      <c r="A60" s="110"/>
      <c r="B60" s="127" t="s">
        <v>166</v>
      </c>
      <c r="C60" s="122">
        <v>346.36399999999998</v>
      </c>
      <c r="D60" s="122">
        <v>114.34699999999999</v>
      </c>
      <c r="E60" s="122">
        <v>97.052999999999997</v>
      </c>
      <c r="F60" s="122">
        <v>50.97</v>
      </c>
      <c r="G60" s="122">
        <v>27.962</v>
      </c>
      <c r="H60" s="122">
        <v>16.628</v>
      </c>
      <c r="I60" s="122">
        <v>1.5351445399999999</v>
      </c>
      <c r="J60" s="122">
        <v>-2.8679999999999999</v>
      </c>
      <c r="K60" s="122">
        <v>554.89599999999996</v>
      </c>
      <c r="L60" s="122">
        <v>0.439</v>
      </c>
      <c r="M60" s="122">
        <v>555.33500000000004</v>
      </c>
      <c r="N60" s="122">
        <v>164.80099999999999</v>
      </c>
      <c r="O60" s="122">
        <v>720.13599999999997</v>
      </c>
      <c r="P60" s="122">
        <v>164.70500000000001</v>
      </c>
      <c r="Q60" s="122">
        <v>-0.49299999999999999</v>
      </c>
      <c r="R60" s="122">
        <v>554.93799999999999</v>
      </c>
      <c r="S60" s="123">
        <v>495.92099999999999</v>
      </c>
      <c r="U60" s="125"/>
      <c r="V60" s="125"/>
    </row>
    <row r="61" spans="1:22" ht="15.75">
      <c r="A61" s="110"/>
      <c r="B61" s="127" t="s">
        <v>167</v>
      </c>
      <c r="C61" s="122">
        <v>348.48500000000001</v>
      </c>
      <c r="D61" s="122">
        <v>113.062</v>
      </c>
      <c r="E61" s="122">
        <v>100.411</v>
      </c>
      <c r="F61" s="122">
        <v>50.597000000000001</v>
      </c>
      <c r="G61" s="122">
        <v>28.417000000000002</v>
      </c>
      <c r="H61" s="122">
        <v>19.727</v>
      </c>
      <c r="I61" s="122">
        <v>1.54065181</v>
      </c>
      <c r="J61" s="122">
        <v>5.9619999999999997</v>
      </c>
      <c r="K61" s="122">
        <v>567.91999999999996</v>
      </c>
      <c r="L61" s="122">
        <v>17.132000000000001</v>
      </c>
      <c r="M61" s="122">
        <v>585.05200000000002</v>
      </c>
      <c r="N61" s="122">
        <v>157.38499999999999</v>
      </c>
      <c r="O61" s="122">
        <v>742.43700000000001</v>
      </c>
      <c r="P61" s="122">
        <v>183.16499999999999</v>
      </c>
      <c r="Q61" s="122">
        <v>-0.496</v>
      </c>
      <c r="R61" s="122">
        <v>558.77599999999995</v>
      </c>
      <c r="S61" s="123">
        <v>499.2</v>
      </c>
      <c r="U61" s="125"/>
      <c r="V61" s="125"/>
    </row>
    <row r="62" spans="1:22" ht="15.75">
      <c r="A62" s="110"/>
      <c r="B62" s="127" t="s">
        <v>168</v>
      </c>
      <c r="C62" s="122">
        <v>349.11</v>
      </c>
      <c r="D62" s="122">
        <v>111.34</v>
      </c>
      <c r="E62" s="122">
        <v>98.989000000000004</v>
      </c>
      <c r="F62" s="122">
        <v>52.448999999999998</v>
      </c>
      <c r="G62" s="122">
        <v>29.388000000000002</v>
      </c>
      <c r="H62" s="122">
        <v>15.494</v>
      </c>
      <c r="I62" s="122">
        <v>1.54604857</v>
      </c>
      <c r="J62" s="122">
        <v>1.9810000000000001</v>
      </c>
      <c r="K62" s="122">
        <v>561.41999999999996</v>
      </c>
      <c r="L62" s="122">
        <v>16.675999999999998</v>
      </c>
      <c r="M62" s="122">
        <v>578.096</v>
      </c>
      <c r="N62" s="122">
        <v>162.98500000000001</v>
      </c>
      <c r="O62" s="122">
        <v>741.08100000000002</v>
      </c>
      <c r="P62" s="122">
        <v>180.495</v>
      </c>
      <c r="Q62" s="122">
        <v>-0.497</v>
      </c>
      <c r="R62" s="122">
        <v>560.08900000000006</v>
      </c>
      <c r="S62" s="123">
        <v>500.36700000000002</v>
      </c>
      <c r="U62" s="125"/>
      <c r="V62" s="125"/>
    </row>
    <row r="63" spans="1:22" ht="15.75">
      <c r="A63" s="110"/>
      <c r="B63" s="127" t="s">
        <v>169</v>
      </c>
      <c r="C63" s="122">
        <v>347.40447799999998</v>
      </c>
      <c r="D63" s="122">
        <v>113.5668</v>
      </c>
      <c r="E63" s="122">
        <v>99.465653313152259</v>
      </c>
      <c r="F63" s="122">
        <v>52.501449000000001</v>
      </c>
      <c r="G63" s="122">
        <v>28.201898781719759</v>
      </c>
      <c r="H63" s="122">
        <v>17.282042499999999</v>
      </c>
      <c r="I63" s="122">
        <v>1.4802630337409857</v>
      </c>
      <c r="J63" s="122">
        <v>0.72</v>
      </c>
      <c r="K63" s="122">
        <v>561.1569313131522</v>
      </c>
      <c r="L63" s="122">
        <v>5.5197378399999995</v>
      </c>
      <c r="M63" s="122">
        <v>566.67666915315215</v>
      </c>
      <c r="N63" s="122">
        <v>163.06377016890104</v>
      </c>
      <c r="O63" s="122">
        <v>729.74043900000004</v>
      </c>
      <c r="P63" s="122">
        <v>171.86458238795143</v>
      </c>
      <c r="Q63" s="122">
        <v>-0.497</v>
      </c>
      <c r="R63" s="122">
        <v>557.37885693477745</v>
      </c>
      <c r="S63" s="123">
        <v>497.97012999999998</v>
      </c>
      <c r="U63" s="125"/>
      <c r="V63" s="125"/>
    </row>
    <row r="64" spans="1:22" ht="15.75">
      <c r="A64" s="110"/>
      <c r="B64" s="127" t="s">
        <v>170</v>
      </c>
      <c r="C64" s="122">
        <v>345.87100900000002</v>
      </c>
      <c r="D64" s="122">
        <v>115.724569</v>
      </c>
      <c r="E64" s="122">
        <v>99.412603026221078</v>
      </c>
      <c r="F64" s="122">
        <v>52.415233000000001</v>
      </c>
      <c r="G64" s="122">
        <v>27.137429143675597</v>
      </c>
      <c r="H64" s="122">
        <v>18.431633600000001</v>
      </c>
      <c r="I64" s="122">
        <v>1.4283072946085202</v>
      </c>
      <c r="J64" s="122">
        <v>0.72</v>
      </c>
      <c r="K64" s="122">
        <v>561.72818102622114</v>
      </c>
      <c r="L64" s="122">
        <v>2.9780097099999998</v>
      </c>
      <c r="M64" s="122">
        <v>564.70619073622117</v>
      </c>
      <c r="N64" s="122">
        <v>161.25588748432568</v>
      </c>
      <c r="O64" s="122">
        <v>725.96207800000002</v>
      </c>
      <c r="P64" s="122">
        <v>170.16700925126761</v>
      </c>
      <c r="Q64" s="122">
        <v>-0.497</v>
      </c>
      <c r="R64" s="122">
        <v>555.29806897101571</v>
      </c>
      <c r="S64" s="123">
        <v>496.147356</v>
      </c>
      <c r="U64" s="125"/>
      <c r="V64" s="125"/>
    </row>
    <row r="65" spans="1:22" ht="15.75">
      <c r="A65" s="110"/>
      <c r="B65" s="129" t="s">
        <v>171</v>
      </c>
      <c r="C65" s="122">
        <v>343.92444300000005</v>
      </c>
      <c r="D65" s="122">
        <v>117.286851</v>
      </c>
      <c r="E65" s="122">
        <v>98.96995046566137</v>
      </c>
      <c r="F65" s="122">
        <v>51.943235800000004</v>
      </c>
      <c r="G65" s="122">
        <v>26.575915347959171</v>
      </c>
      <c r="H65" s="122">
        <v>19.044605000000001</v>
      </c>
      <c r="I65" s="122">
        <v>1.4061943330817561</v>
      </c>
      <c r="J65" s="122">
        <v>0.72</v>
      </c>
      <c r="K65" s="122">
        <v>560.90124446566131</v>
      </c>
      <c r="L65" s="122">
        <v>1.8507891999999999</v>
      </c>
      <c r="M65" s="122">
        <v>562.75203366566132</v>
      </c>
      <c r="N65" s="122">
        <v>158.6473329836586</v>
      </c>
      <c r="O65" s="122">
        <v>721.39936699999998</v>
      </c>
      <c r="P65" s="122">
        <v>168.30389457393505</v>
      </c>
      <c r="Q65" s="122">
        <v>-0.497</v>
      </c>
      <c r="R65" s="122">
        <v>552.59847207571136</v>
      </c>
      <c r="S65" s="123">
        <v>493.79406399999999</v>
      </c>
      <c r="U65" s="125"/>
      <c r="V65" s="125"/>
    </row>
    <row r="66" spans="1:22" ht="15.75">
      <c r="A66" s="110"/>
      <c r="B66" s="129" t="s">
        <v>172</v>
      </c>
      <c r="C66" s="122">
        <v>340.85051199999998</v>
      </c>
      <c r="D66" s="122">
        <v>118.63565</v>
      </c>
      <c r="E66" s="122">
        <v>97.84735314675568</v>
      </c>
      <c r="F66" s="122">
        <v>50.550123499999998</v>
      </c>
      <c r="G66" s="122">
        <v>26.258233940064887</v>
      </c>
      <c r="H66" s="122">
        <v>19.565831500000002</v>
      </c>
      <c r="I66" s="122">
        <v>1.4731641969050366</v>
      </c>
      <c r="J66" s="122">
        <v>0.72</v>
      </c>
      <c r="K66" s="122">
        <v>558.05351514675579</v>
      </c>
      <c r="L66" s="122">
        <v>2.3417325399999998</v>
      </c>
      <c r="M66" s="122">
        <v>560.39524768675574</v>
      </c>
      <c r="N66" s="122">
        <v>156.68021451579878</v>
      </c>
      <c r="O66" s="122">
        <v>717.07546200000002</v>
      </c>
      <c r="P66" s="122">
        <v>166.9359184459561</v>
      </c>
      <c r="Q66" s="122">
        <v>-0.497</v>
      </c>
      <c r="R66" s="122">
        <v>549.6425437570831</v>
      </c>
      <c r="S66" s="123">
        <v>491.21326500000004</v>
      </c>
      <c r="U66" s="125"/>
      <c r="V66" s="125"/>
    </row>
    <row r="67" spans="1:22" ht="15.75">
      <c r="A67" s="110"/>
      <c r="B67" s="129" t="s">
        <v>173</v>
      </c>
      <c r="C67" s="122">
        <v>339.60006300000003</v>
      </c>
      <c r="D67" s="122">
        <v>119.58473499999999</v>
      </c>
      <c r="E67" s="122">
        <v>97.841487944206875</v>
      </c>
      <c r="F67" s="122">
        <v>50.4115228</v>
      </c>
      <c r="G67" s="122">
        <v>26.075954460638975</v>
      </c>
      <c r="H67" s="122">
        <v>19.886485100000005</v>
      </c>
      <c r="I67" s="122">
        <v>1.4675256003298034</v>
      </c>
      <c r="J67" s="122">
        <v>0.72</v>
      </c>
      <c r="K67" s="122">
        <v>557.74628594420687</v>
      </c>
      <c r="L67" s="122">
        <v>1.3427599399999997</v>
      </c>
      <c r="M67" s="122">
        <v>559.08904588420694</v>
      </c>
      <c r="N67" s="122">
        <v>155.64743069311425</v>
      </c>
      <c r="O67" s="122">
        <v>714.73647699999992</v>
      </c>
      <c r="P67" s="122">
        <v>165.89960185562646</v>
      </c>
      <c r="Q67" s="122">
        <v>-0.497</v>
      </c>
      <c r="R67" s="122">
        <v>548.3398747249978</v>
      </c>
      <c r="S67" s="123">
        <v>490.11446500000005</v>
      </c>
      <c r="U67" s="125"/>
      <c r="V67" s="125"/>
    </row>
    <row r="68" spans="1:22" ht="15.75">
      <c r="A68" s="110"/>
      <c r="B68" s="129" t="s">
        <v>174</v>
      </c>
      <c r="C68" s="122">
        <v>339.74482599999999</v>
      </c>
      <c r="D68" s="122">
        <v>120.12286599999999</v>
      </c>
      <c r="E68" s="122">
        <v>98.076095185463117</v>
      </c>
      <c r="F68" s="122">
        <v>50.652719099999999</v>
      </c>
      <c r="G68" s="122">
        <v>25.962902178498929</v>
      </c>
      <c r="H68" s="122">
        <v>19.996270899999999</v>
      </c>
      <c r="I68" s="122">
        <v>1.4642029910325138</v>
      </c>
      <c r="J68" s="122">
        <v>0.72</v>
      </c>
      <c r="K68" s="122">
        <v>558.66378718546309</v>
      </c>
      <c r="L68" s="122">
        <v>0.75263992299999993</v>
      </c>
      <c r="M68" s="122">
        <v>559.41642710846315</v>
      </c>
      <c r="N68" s="122">
        <v>155.75396021139812</v>
      </c>
      <c r="O68" s="122">
        <v>715.17038700000001</v>
      </c>
      <c r="P68" s="122">
        <v>165.58269808557796</v>
      </c>
      <c r="Q68" s="122">
        <v>-0.497</v>
      </c>
      <c r="R68" s="122">
        <v>549.09068923440316</v>
      </c>
      <c r="S68" s="123">
        <v>490.85632199999998</v>
      </c>
      <c r="U68" s="125"/>
      <c r="V68" s="125"/>
    </row>
    <row r="69" spans="1:22" ht="15.75">
      <c r="A69" s="110"/>
      <c r="B69" s="129" t="s">
        <v>175</v>
      </c>
      <c r="C69" s="122">
        <v>341.24041399999999</v>
      </c>
      <c r="D69" s="122">
        <v>120.48323500000001</v>
      </c>
      <c r="E69" s="122">
        <v>98.395072353692782</v>
      </c>
      <c r="F69" s="122">
        <v>51.125112699999995</v>
      </c>
      <c r="G69" s="122">
        <v>25.921510273911089</v>
      </c>
      <c r="H69" s="122">
        <v>19.885015800000001</v>
      </c>
      <c r="I69" s="122">
        <v>1.4634336269503985</v>
      </c>
      <c r="J69" s="122">
        <v>0.72</v>
      </c>
      <c r="K69" s="122">
        <v>560.83872135369268</v>
      </c>
      <c r="L69" s="122">
        <v>0.61612037499999994</v>
      </c>
      <c r="M69" s="122">
        <v>561.45484172869271</v>
      </c>
      <c r="N69" s="122">
        <v>156.09855854428704</v>
      </c>
      <c r="O69" s="122">
        <v>717.55340000000001</v>
      </c>
      <c r="P69" s="122">
        <v>165.6644905913474</v>
      </c>
      <c r="Q69" s="122">
        <v>-0.497</v>
      </c>
      <c r="R69" s="122">
        <v>551.39190968167986</v>
      </c>
      <c r="S69" s="123">
        <v>492.98654100000005</v>
      </c>
      <c r="U69" s="125"/>
      <c r="V69" s="125"/>
    </row>
    <row r="70" spans="1:22" ht="15.75">
      <c r="A70" s="110"/>
      <c r="B70" s="129" t="s">
        <v>176</v>
      </c>
      <c r="C70" s="122">
        <v>343.17603200000002</v>
      </c>
      <c r="D70" s="122">
        <v>120.66396</v>
      </c>
      <c r="E70" s="122">
        <v>98.764634143768745</v>
      </c>
      <c r="F70" s="122">
        <v>51.8106103</v>
      </c>
      <c r="G70" s="122">
        <v>25.934009338234791</v>
      </c>
      <c r="H70" s="122">
        <v>19.5541588</v>
      </c>
      <c r="I70" s="122">
        <v>1.4658556577880084</v>
      </c>
      <c r="J70" s="122">
        <v>0.72</v>
      </c>
      <c r="K70" s="122">
        <v>563.3246261437688</v>
      </c>
      <c r="L70" s="122">
        <v>2.0035101800000001</v>
      </c>
      <c r="M70" s="122">
        <v>565.32813632376872</v>
      </c>
      <c r="N70" s="122">
        <v>156.58997328051245</v>
      </c>
      <c r="O70" s="122">
        <v>721.91810999999996</v>
      </c>
      <c r="P70" s="122">
        <v>166.13728077992849</v>
      </c>
      <c r="Q70" s="122">
        <v>-0.497</v>
      </c>
      <c r="R70" s="122">
        <v>555.28382882354367</v>
      </c>
      <c r="S70" s="123">
        <v>496.55149599999999</v>
      </c>
      <c r="U70" s="125"/>
      <c r="V70" s="125"/>
    </row>
    <row r="71" spans="1:22" ht="15.75">
      <c r="A71" s="110"/>
      <c r="B71" s="129" t="s">
        <v>177</v>
      </c>
      <c r="C71" s="122">
        <v>345.82944900000001</v>
      </c>
      <c r="D71" s="122">
        <v>120.84495600000001</v>
      </c>
      <c r="E71" s="122">
        <v>99.626459865503833</v>
      </c>
      <c r="F71" s="122">
        <v>52.869031999999997</v>
      </c>
      <c r="G71" s="122">
        <v>26.005891472895701</v>
      </c>
      <c r="H71" s="122">
        <v>19.282481600000001</v>
      </c>
      <c r="I71" s="122">
        <v>1.4690547892638504</v>
      </c>
      <c r="J71" s="122">
        <v>0.72</v>
      </c>
      <c r="K71" s="122">
        <v>567.02086486550388</v>
      </c>
      <c r="L71" s="122">
        <v>1.9899738899999999</v>
      </c>
      <c r="M71" s="122">
        <v>569.01083875550387</v>
      </c>
      <c r="N71" s="122">
        <v>157.22981293204728</v>
      </c>
      <c r="O71" s="122">
        <v>726.24065199999995</v>
      </c>
      <c r="P71" s="122">
        <v>166.68898455308641</v>
      </c>
      <c r="Q71" s="122">
        <v>-0.497</v>
      </c>
      <c r="R71" s="122">
        <v>559.05466713149508</v>
      </c>
      <c r="S71" s="123">
        <v>500.00993599999998</v>
      </c>
      <c r="U71" s="125"/>
      <c r="V71" s="125"/>
    </row>
    <row r="72" spans="1:22" ht="15.75">
      <c r="A72" s="110"/>
      <c r="B72" s="129" t="s">
        <v>178</v>
      </c>
      <c r="C72" s="122">
        <v>348.32696500000003</v>
      </c>
      <c r="D72" s="122">
        <v>121.026223</v>
      </c>
      <c r="E72" s="122">
        <v>100.71436448907863</v>
      </c>
      <c r="F72" s="122">
        <v>54.014455000000005</v>
      </c>
      <c r="G72" s="122">
        <v>26.118738508225356</v>
      </c>
      <c r="H72" s="122">
        <v>19.108010699999998</v>
      </c>
      <c r="I72" s="122">
        <v>1.4731603622721074</v>
      </c>
      <c r="J72" s="122">
        <v>0.72</v>
      </c>
      <c r="K72" s="122">
        <v>570.78755248907862</v>
      </c>
      <c r="L72" s="122">
        <v>1.8829072499999999</v>
      </c>
      <c r="M72" s="122">
        <v>572.67045973907864</v>
      </c>
      <c r="N72" s="122">
        <v>157.71766388475748</v>
      </c>
      <c r="O72" s="122">
        <v>730.38812399999995</v>
      </c>
      <c r="P72" s="122">
        <v>167.20973175397879</v>
      </c>
      <c r="Q72" s="122">
        <v>-0.497</v>
      </c>
      <c r="R72" s="122">
        <v>562.68139186582096</v>
      </c>
      <c r="S72" s="123">
        <v>503.34114699999998</v>
      </c>
      <c r="U72" s="125"/>
      <c r="V72" s="125"/>
    </row>
    <row r="73" spans="1:22" ht="15.75">
      <c r="A73" s="110"/>
      <c r="B73" s="129" t="s">
        <v>179</v>
      </c>
      <c r="C73" s="122">
        <v>350.63444199999998</v>
      </c>
      <c r="D73" s="122">
        <v>121.24407000000001</v>
      </c>
      <c r="E73" s="122">
        <v>101.90853688708536</v>
      </c>
      <c r="F73" s="122">
        <v>55.139966000000001</v>
      </c>
      <c r="G73" s="122">
        <v>26.260875237558395</v>
      </c>
      <c r="H73" s="122">
        <v>19.029173500000002</v>
      </c>
      <c r="I73" s="122">
        <v>1.4785221589820075</v>
      </c>
      <c r="J73" s="122">
        <v>0.72</v>
      </c>
      <c r="K73" s="122">
        <v>574.50704888708538</v>
      </c>
      <c r="L73" s="122">
        <v>1.5739633899999999</v>
      </c>
      <c r="M73" s="122">
        <v>576.08101227708551</v>
      </c>
      <c r="N73" s="122">
        <v>158.17301179161055</v>
      </c>
      <c r="O73" s="122">
        <v>734.25402399999996</v>
      </c>
      <c r="P73" s="122">
        <v>167.55619387302789</v>
      </c>
      <c r="Q73" s="122">
        <v>-0.497</v>
      </c>
      <c r="R73" s="122">
        <v>566.20083019997014</v>
      </c>
      <c r="S73" s="123">
        <v>506.57831300000004</v>
      </c>
      <c r="U73" s="125"/>
      <c r="V73" s="125"/>
    </row>
    <row r="74" spans="1:22" ht="15.75">
      <c r="A74" s="110"/>
      <c r="B74" s="129" t="s">
        <v>180</v>
      </c>
      <c r="C74" s="122">
        <v>352.40303699999998</v>
      </c>
      <c r="D74" s="122">
        <v>121.54718</v>
      </c>
      <c r="E74" s="122">
        <v>103.28983241307193</v>
      </c>
      <c r="F74" s="122">
        <v>56.21871070000001</v>
      </c>
      <c r="G74" s="122">
        <v>26.533873372885804</v>
      </c>
      <c r="H74" s="122">
        <v>19.044423099999999</v>
      </c>
      <c r="I74" s="122">
        <v>1.4928252623197662</v>
      </c>
      <c r="J74" s="122">
        <v>0.72</v>
      </c>
      <c r="K74" s="122">
        <v>577.96004941307194</v>
      </c>
      <c r="L74" s="122">
        <v>1.7116301599999999</v>
      </c>
      <c r="M74" s="122">
        <v>579.67167957307186</v>
      </c>
      <c r="N74" s="122">
        <v>158.54591305843149</v>
      </c>
      <c r="O74" s="122">
        <v>738.21759299999997</v>
      </c>
      <c r="P74" s="122">
        <v>167.79546545743554</v>
      </c>
      <c r="Q74" s="122">
        <v>-0.497</v>
      </c>
      <c r="R74" s="122">
        <v>569.92512716963643</v>
      </c>
      <c r="S74" s="123">
        <v>509.99610799999999</v>
      </c>
      <c r="U74" s="125"/>
      <c r="V74" s="125"/>
    </row>
    <row r="75" spans="1:22" ht="15.75">
      <c r="A75" s="110"/>
      <c r="B75" s="129" t="s">
        <v>181</v>
      </c>
      <c r="C75" s="122">
        <v>353.98591600000003</v>
      </c>
      <c r="D75" s="122">
        <v>121.911822</v>
      </c>
      <c r="E75" s="122">
        <v>104.69547763504372</v>
      </c>
      <c r="F75" s="122">
        <v>57.280457599999998</v>
      </c>
      <c r="G75" s="122">
        <v>26.874799609103945</v>
      </c>
      <c r="H75" s="122">
        <v>19.029107199999999</v>
      </c>
      <c r="I75" s="122">
        <v>1.5111132852072673</v>
      </c>
      <c r="J75" s="122">
        <v>0.72</v>
      </c>
      <c r="K75" s="122">
        <v>581.31321563504366</v>
      </c>
      <c r="L75" s="122">
        <v>1.91919668</v>
      </c>
      <c r="M75" s="122">
        <v>583.23241231504369</v>
      </c>
      <c r="N75" s="122">
        <v>158.86641293660867</v>
      </c>
      <c r="O75" s="122">
        <v>742.09882499999992</v>
      </c>
      <c r="P75" s="122">
        <v>167.99080452198714</v>
      </c>
      <c r="Q75" s="122">
        <v>-0.497</v>
      </c>
      <c r="R75" s="122">
        <v>573.6110207344384</v>
      </c>
      <c r="S75" s="123">
        <v>513.37528199999997</v>
      </c>
      <c r="U75" s="125"/>
      <c r="V75" s="125"/>
    </row>
    <row r="76" spans="1:22" ht="15.75">
      <c r="A76" s="110"/>
      <c r="B76" s="129" t="s">
        <v>182</v>
      </c>
      <c r="C76" s="122">
        <v>355.70454999999998</v>
      </c>
      <c r="D76" s="122">
        <v>122.33851300000001</v>
      </c>
      <c r="E76" s="122">
        <v>106.18349713733258</v>
      </c>
      <c r="F76" s="122">
        <v>58.389163699999997</v>
      </c>
      <c r="G76" s="122">
        <v>27.277682949518557</v>
      </c>
      <c r="H76" s="122">
        <v>18.983730200000004</v>
      </c>
      <c r="I76" s="122">
        <v>1.5329202995680657</v>
      </c>
      <c r="J76" s="122">
        <v>0.72</v>
      </c>
      <c r="K76" s="122">
        <v>584.94656013733254</v>
      </c>
      <c r="L76" s="122">
        <v>2.02763479</v>
      </c>
      <c r="M76" s="122">
        <v>586.97419492733252</v>
      </c>
      <c r="N76" s="122">
        <v>159.11903419906088</v>
      </c>
      <c r="O76" s="122">
        <v>746.09322900000006</v>
      </c>
      <c r="P76" s="122">
        <v>168.11015370120833</v>
      </c>
      <c r="Q76" s="122">
        <v>-0.497</v>
      </c>
      <c r="R76" s="122">
        <v>577.48607542397122</v>
      </c>
      <c r="S76" s="123">
        <v>516.92051500000002</v>
      </c>
      <c r="U76" s="125"/>
      <c r="V76" s="125"/>
    </row>
    <row r="77" spans="1:22" ht="15.75">
      <c r="A77" s="110"/>
      <c r="B77" s="129" t="s">
        <v>183</v>
      </c>
      <c r="C77" s="122">
        <v>357.795096</v>
      </c>
      <c r="D77" s="122">
        <v>122.827867</v>
      </c>
      <c r="E77" s="122">
        <v>107.53189948163728</v>
      </c>
      <c r="F77" s="122">
        <v>59.400012400000001</v>
      </c>
      <c r="G77" s="122">
        <v>27.670091912132349</v>
      </c>
      <c r="H77" s="122">
        <v>18.908799699999999</v>
      </c>
      <c r="I77" s="122">
        <v>1.5529955662586614</v>
      </c>
      <c r="J77" s="122">
        <v>0.72</v>
      </c>
      <c r="K77" s="122">
        <v>588.87486248163725</v>
      </c>
      <c r="L77" s="122">
        <v>1.8845883899999998</v>
      </c>
      <c r="M77" s="122">
        <v>590.75945087163734</v>
      </c>
      <c r="N77" s="122">
        <v>159.33434646214624</v>
      </c>
      <c r="O77" s="122">
        <v>750.093797</v>
      </c>
      <c r="P77" s="122">
        <v>168.21737654076864</v>
      </c>
      <c r="Q77" s="122">
        <v>-0.497</v>
      </c>
      <c r="R77" s="122">
        <v>581.37942079103391</v>
      </c>
      <c r="S77" s="123">
        <v>520.47773399999994</v>
      </c>
      <c r="U77" s="125"/>
      <c r="V77" s="125"/>
    </row>
    <row r="78" spans="1:22" ht="15.75">
      <c r="A78" s="110"/>
      <c r="B78" s="129" t="s">
        <v>184</v>
      </c>
      <c r="C78" s="122">
        <v>359.900013</v>
      </c>
      <c r="D78" s="122">
        <v>123.442007</v>
      </c>
      <c r="E78" s="122">
        <v>108.6344702513457</v>
      </c>
      <c r="F78" s="122">
        <v>60.186154899999998</v>
      </c>
      <c r="G78" s="122">
        <v>28.071853292532499</v>
      </c>
      <c r="H78" s="122">
        <v>18.804830300000003</v>
      </c>
      <c r="I78" s="122">
        <v>1.5716317568625571</v>
      </c>
      <c r="J78" s="122">
        <v>0.72</v>
      </c>
      <c r="K78" s="122">
        <v>592.69649025134572</v>
      </c>
      <c r="L78" s="122">
        <v>1.84545271</v>
      </c>
      <c r="M78" s="122">
        <v>594.54194296134563</v>
      </c>
      <c r="N78" s="122">
        <v>159.51162969774543</v>
      </c>
      <c r="O78" s="122">
        <v>754.05357300000003</v>
      </c>
      <c r="P78" s="122">
        <v>168.27342713129988</v>
      </c>
      <c r="Q78" s="122">
        <v>-0.497</v>
      </c>
      <c r="R78" s="122">
        <v>585.28314552940378</v>
      </c>
      <c r="S78" s="123">
        <v>524.04870000000005</v>
      </c>
      <c r="U78" s="125"/>
      <c r="V78" s="125"/>
    </row>
    <row r="79" spans="1:22" ht="15.75">
      <c r="A79" s="110"/>
      <c r="B79" s="129" t="s">
        <v>185</v>
      </c>
      <c r="C79" s="122">
        <v>361.937251</v>
      </c>
      <c r="D79" s="122">
        <v>124.059217</v>
      </c>
      <c r="E79" s="122">
        <v>109.65585435345113</v>
      </c>
      <c r="F79" s="122">
        <v>60.921258899999998</v>
      </c>
      <c r="G79" s="122">
        <v>28.436934073876145</v>
      </c>
      <c r="H79" s="122">
        <v>18.708715599999998</v>
      </c>
      <c r="I79" s="122">
        <v>1.5889457818594428</v>
      </c>
      <c r="J79" s="122">
        <v>0.72</v>
      </c>
      <c r="K79" s="122">
        <v>596.37232235345118</v>
      </c>
      <c r="L79" s="122">
        <v>1.6474429500000001</v>
      </c>
      <c r="M79" s="122">
        <v>598.01976530345121</v>
      </c>
      <c r="N79" s="122">
        <v>159.61966578782472</v>
      </c>
      <c r="O79" s="122">
        <v>757.63943099999995</v>
      </c>
      <c r="P79" s="122">
        <v>168.27809128967579</v>
      </c>
      <c r="Q79" s="122">
        <v>-0.497</v>
      </c>
      <c r="R79" s="122">
        <v>588.86433980262734</v>
      </c>
      <c r="S79" s="123">
        <v>527.33377099999996</v>
      </c>
      <c r="U79" s="125"/>
      <c r="V79" s="125"/>
    </row>
    <row r="80" spans="1:22" ht="15.75">
      <c r="A80" s="110"/>
      <c r="B80" s="129" t="s">
        <v>186</v>
      </c>
      <c r="C80" s="122">
        <v>363.90249599999999</v>
      </c>
      <c r="D80" s="122">
        <v>124.555454</v>
      </c>
      <c r="E80" s="122">
        <v>110.56377957723016</v>
      </c>
      <c r="F80" s="122">
        <v>61.605160300000001</v>
      </c>
      <c r="G80" s="122">
        <v>28.734770965039765</v>
      </c>
      <c r="H80" s="122">
        <v>18.620323499999998</v>
      </c>
      <c r="I80" s="122">
        <v>1.6035248205413184</v>
      </c>
      <c r="J80" s="122">
        <v>0.72</v>
      </c>
      <c r="K80" s="122">
        <v>599.7417295772301</v>
      </c>
      <c r="L80" s="122">
        <v>1.82961368</v>
      </c>
      <c r="M80" s="122">
        <v>601.57134325722996</v>
      </c>
      <c r="N80" s="122">
        <v>159.65797907545831</v>
      </c>
      <c r="O80" s="122">
        <v>761.22932200000002</v>
      </c>
      <c r="P80" s="122">
        <v>168.32745474191583</v>
      </c>
      <c r="Q80" s="122">
        <v>-0.497</v>
      </c>
      <c r="R80" s="122">
        <v>592.40486759085115</v>
      </c>
      <c r="S80" s="123">
        <v>530.58684199999993</v>
      </c>
      <c r="U80" s="125"/>
      <c r="V80" s="125"/>
    </row>
    <row r="81" spans="1:22" ht="15.75">
      <c r="A81" s="110"/>
      <c r="B81" s="129" t="s">
        <v>187</v>
      </c>
      <c r="C81" s="122">
        <v>365.64587900000004</v>
      </c>
      <c r="D81" s="122">
        <v>124.991398</v>
      </c>
      <c r="E81" s="122">
        <v>111.47153434261203</v>
      </c>
      <c r="F81" s="122">
        <v>62.327945399999997</v>
      </c>
      <c r="G81" s="122">
        <v>28.988106157928343</v>
      </c>
      <c r="H81" s="122">
        <v>18.539524799999999</v>
      </c>
      <c r="I81" s="122">
        <v>1.6159579979960124</v>
      </c>
      <c r="J81" s="122">
        <v>0.72</v>
      </c>
      <c r="K81" s="122">
        <v>602.82881134261197</v>
      </c>
      <c r="L81" s="122">
        <v>2.0448268499999998</v>
      </c>
      <c r="M81" s="122">
        <v>604.87363819261202</v>
      </c>
      <c r="N81" s="122">
        <v>159.74988397222845</v>
      </c>
      <c r="O81" s="122">
        <v>764.62352199999998</v>
      </c>
      <c r="P81" s="122">
        <v>168.34125361486196</v>
      </c>
      <c r="Q81" s="122">
        <v>-0.497</v>
      </c>
      <c r="R81" s="122">
        <v>595.78526855017242</v>
      </c>
      <c r="S81" s="123">
        <v>533.70046400000001</v>
      </c>
      <c r="U81" s="125"/>
      <c r="V81" s="125"/>
    </row>
    <row r="82" spans="1:22" ht="15.75">
      <c r="A82" s="110"/>
      <c r="B82" s="129" t="s">
        <v>188</v>
      </c>
      <c r="C82" s="122">
        <v>367.23596800000001</v>
      </c>
      <c r="D82" s="122">
        <v>125.42886800000001</v>
      </c>
      <c r="E82" s="122">
        <v>112.37353466595313</v>
      </c>
      <c r="F82" s="122">
        <v>63.059065000000004</v>
      </c>
      <c r="G82" s="122">
        <v>29.20373298618815</v>
      </c>
      <c r="H82" s="122">
        <v>18.4839582</v>
      </c>
      <c r="I82" s="122">
        <v>1.6267784768868288</v>
      </c>
      <c r="J82" s="122">
        <v>0.72</v>
      </c>
      <c r="K82" s="122">
        <v>605.75837066595318</v>
      </c>
      <c r="L82" s="122">
        <v>2.0041037200000003</v>
      </c>
      <c r="M82" s="122">
        <v>607.76247438595317</v>
      </c>
      <c r="N82" s="122">
        <v>159.84519144255958</v>
      </c>
      <c r="O82" s="122">
        <v>767.60766599999999</v>
      </c>
      <c r="P82" s="122">
        <v>168.34054425248169</v>
      </c>
      <c r="Q82" s="122">
        <v>-0.497</v>
      </c>
      <c r="R82" s="122">
        <v>598.77012157682213</v>
      </c>
      <c r="S82" s="123">
        <v>536.45619599999998</v>
      </c>
      <c r="U82" s="125"/>
      <c r="V82" s="125"/>
    </row>
    <row r="83" spans="1:22" ht="15.75">
      <c r="A83" s="110"/>
      <c r="B83" s="129" t="s">
        <v>189</v>
      </c>
      <c r="C83" s="122">
        <v>368.671042</v>
      </c>
      <c r="D83" s="122">
        <v>125.86786900000001</v>
      </c>
      <c r="E83" s="122">
        <v>113.24806567063899</v>
      </c>
      <c r="F83" s="122">
        <v>63.798616099999997</v>
      </c>
      <c r="G83" s="122">
        <v>29.386706702730145</v>
      </c>
      <c r="H83" s="122">
        <v>18.426355899999997</v>
      </c>
      <c r="I83" s="122">
        <v>1.6363869034112701</v>
      </c>
      <c r="J83" s="122">
        <v>0.72</v>
      </c>
      <c r="K83" s="122">
        <v>608.50697667063901</v>
      </c>
      <c r="L83" s="122">
        <v>1.9489914399999999</v>
      </c>
      <c r="M83" s="122">
        <v>610.45596811063899</v>
      </c>
      <c r="N83" s="122">
        <v>159.94382481282199</v>
      </c>
      <c r="O83" s="122">
        <v>770.39979299999993</v>
      </c>
      <c r="P83" s="122">
        <v>168.34133987295817</v>
      </c>
      <c r="Q83" s="122">
        <v>-0.497</v>
      </c>
      <c r="R83" s="122">
        <v>601.5614530514739</v>
      </c>
      <c r="S83" s="123">
        <v>539.03598699999998</v>
      </c>
      <c r="U83" s="125"/>
      <c r="V83" s="125"/>
    </row>
    <row r="84" spans="1:22" ht="15.75">
      <c r="A84" s="110"/>
      <c r="B84" s="129" t="s">
        <v>190</v>
      </c>
      <c r="C84" s="122">
        <v>370.02797999999996</v>
      </c>
      <c r="D84" s="122">
        <v>126.37134</v>
      </c>
      <c r="E84" s="122">
        <v>114.02370672393778</v>
      </c>
      <c r="F84" s="122">
        <v>64.454020499999999</v>
      </c>
      <c r="G84" s="122">
        <v>29.557156049815568</v>
      </c>
      <c r="H84" s="122">
        <v>18.366747100000001</v>
      </c>
      <c r="I84" s="122">
        <v>1.6457830842005312</v>
      </c>
      <c r="J84" s="122">
        <v>0.72</v>
      </c>
      <c r="K84" s="122">
        <v>611.14302672393774</v>
      </c>
      <c r="L84" s="122">
        <v>1.92276307</v>
      </c>
      <c r="M84" s="122">
        <v>613.06578979393771</v>
      </c>
      <c r="N84" s="122">
        <v>160.07676915999608</v>
      </c>
      <c r="O84" s="122">
        <v>773.14255900000001</v>
      </c>
      <c r="P84" s="122">
        <v>168.3436068141676</v>
      </c>
      <c r="Q84" s="122">
        <v>-0.497</v>
      </c>
      <c r="R84" s="122">
        <v>604.30195214221385</v>
      </c>
      <c r="S84" s="123">
        <v>541.568355</v>
      </c>
      <c r="U84" s="125"/>
      <c r="V84" s="125"/>
    </row>
    <row r="85" spans="1:22" ht="15.75">
      <c r="A85" s="110"/>
      <c r="B85" s="158" t="s">
        <v>191</v>
      </c>
      <c r="C85" s="131">
        <v>371.356652</v>
      </c>
      <c r="D85" s="131">
        <v>126.876825</v>
      </c>
      <c r="E85" s="131">
        <v>114.80051359696004</v>
      </c>
      <c r="F85" s="131">
        <v>65.116046600000004</v>
      </c>
      <c r="G85" s="131">
        <v>29.724197227709951</v>
      </c>
      <c r="H85" s="131">
        <v>18.305160300000001</v>
      </c>
      <c r="I85" s="131">
        <v>1.6551095433392016</v>
      </c>
      <c r="J85" s="131">
        <v>0.72</v>
      </c>
      <c r="K85" s="131">
        <v>613.75399059696008</v>
      </c>
      <c r="L85" s="131">
        <v>1.8753663300000001</v>
      </c>
      <c r="M85" s="131">
        <v>615.6293569269601</v>
      </c>
      <c r="N85" s="131">
        <v>160.21298494677052</v>
      </c>
      <c r="O85" s="131">
        <v>775.84234199999992</v>
      </c>
      <c r="P85" s="131">
        <v>168.34731223805571</v>
      </c>
      <c r="Q85" s="131">
        <v>-0.497</v>
      </c>
      <c r="R85" s="131">
        <v>606.99802963929847</v>
      </c>
      <c r="S85" s="132">
        <v>544.05911300000002</v>
      </c>
      <c r="U85" s="125"/>
      <c r="V85" s="125"/>
    </row>
    <row r="86" spans="1:22" ht="15.75">
      <c r="A86" s="110"/>
      <c r="B86" s="129">
        <v>2008</v>
      </c>
      <c r="C86" s="122">
        <v>1205.433</v>
      </c>
      <c r="D86" s="122">
        <v>377.63200000000001</v>
      </c>
      <c r="E86" s="122">
        <v>339.214</v>
      </c>
      <c r="F86" s="122">
        <v>187.9</v>
      </c>
      <c r="G86" s="122">
        <v>86.84</v>
      </c>
      <c r="H86" s="122">
        <v>57.494</v>
      </c>
      <c r="I86" s="122">
        <v>8.370000000000001</v>
      </c>
      <c r="J86" s="122">
        <v>-1.04</v>
      </c>
      <c r="K86" s="122">
        <v>1921.239</v>
      </c>
      <c r="L86" s="122">
        <v>-12.585000000000001</v>
      </c>
      <c r="M86" s="122">
        <v>1908.654</v>
      </c>
      <c r="N86" s="122">
        <v>547.61400000000003</v>
      </c>
      <c r="O86" s="122">
        <v>2457.3530000000001</v>
      </c>
      <c r="P86" s="122">
        <v>540.23299999999995</v>
      </c>
      <c r="Q86" s="122">
        <v>0</v>
      </c>
      <c r="R86" s="122">
        <v>1918.0640000000001</v>
      </c>
      <c r="S86" s="123">
        <v>1671.6130000000001</v>
      </c>
      <c r="U86" s="125"/>
      <c r="V86" s="125"/>
    </row>
    <row r="87" spans="1:22" ht="15.75">
      <c r="A87" s="110"/>
      <c r="B87" s="129">
        <v>2009</v>
      </c>
      <c r="C87" s="122">
        <v>1169.8019999999999</v>
      </c>
      <c r="D87" s="122">
        <v>382.91500000000002</v>
      </c>
      <c r="E87" s="122">
        <v>296.49</v>
      </c>
      <c r="F87" s="122">
        <v>156.59100000000001</v>
      </c>
      <c r="G87" s="122">
        <v>67.433000000000007</v>
      </c>
      <c r="H87" s="122">
        <v>62.314999999999998</v>
      </c>
      <c r="I87" s="122">
        <v>10.669</v>
      </c>
      <c r="J87" s="122">
        <v>2.746</v>
      </c>
      <c r="K87" s="122">
        <v>1851.953</v>
      </c>
      <c r="L87" s="122">
        <v>-33.165999999999997</v>
      </c>
      <c r="M87" s="122">
        <v>1818.787</v>
      </c>
      <c r="N87" s="122">
        <v>498.27199999999999</v>
      </c>
      <c r="O87" s="122">
        <v>2330.4459999999999</v>
      </c>
      <c r="P87" s="122">
        <v>500.19200000000001</v>
      </c>
      <c r="Q87" s="122">
        <v>0</v>
      </c>
      <c r="R87" s="122">
        <v>1831.55</v>
      </c>
      <c r="S87" s="123">
        <v>1597.6859999999999</v>
      </c>
      <c r="U87" s="125"/>
      <c r="V87" s="125"/>
    </row>
    <row r="88" spans="1:22" ht="15.75">
      <c r="A88" s="110"/>
      <c r="B88" s="129">
        <v>2010</v>
      </c>
      <c r="C88" s="122">
        <v>1193.0350000000001</v>
      </c>
      <c r="D88" s="122">
        <v>383.50799999999998</v>
      </c>
      <c r="E88" s="122">
        <v>310.14499999999998</v>
      </c>
      <c r="F88" s="122">
        <v>163.63900000000001</v>
      </c>
      <c r="G88" s="122">
        <v>73.92</v>
      </c>
      <c r="H88" s="122">
        <v>62.78</v>
      </c>
      <c r="I88" s="122">
        <v>10.638</v>
      </c>
      <c r="J88" s="122">
        <v>6.0000000000000001E-3</v>
      </c>
      <c r="K88" s="122">
        <v>1886.694</v>
      </c>
      <c r="L88" s="122">
        <v>-6.266</v>
      </c>
      <c r="M88" s="122">
        <v>1880.4280000000001</v>
      </c>
      <c r="N88" s="122">
        <v>532.31899999999996</v>
      </c>
      <c r="O88" s="122">
        <v>2416.8440000000001</v>
      </c>
      <c r="P88" s="122">
        <v>541.58500000000004</v>
      </c>
      <c r="Q88" s="122">
        <v>0</v>
      </c>
      <c r="R88" s="122">
        <v>1876.058</v>
      </c>
      <c r="S88" s="123">
        <v>1644.5340000000001</v>
      </c>
      <c r="U88" s="125"/>
      <c r="V88" s="125"/>
    </row>
    <row r="89" spans="1:22" ht="15.75">
      <c r="A89" s="110"/>
      <c r="B89" s="129">
        <v>2011</v>
      </c>
      <c r="C89" s="122">
        <v>1188.95</v>
      </c>
      <c r="D89" s="122">
        <v>384.209</v>
      </c>
      <c r="E89" s="122">
        <v>308.77699999999999</v>
      </c>
      <c r="F89" s="122">
        <v>169.751</v>
      </c>
      <c r="G89" s="122">
        <v>70.590999999999994</v>
      </c>
      <c r="H89" s="122">
        <v>58.982999999999997</v>
      </c>
      <c r="I89" s="122">
        <v>9.9130000000000003</v>
      </c>
      <c r="J89" s="122">
        <v>-0.69399999999999995</v>
      </c>
      <c r="K89" s="122">
        <v>1881.242</v>
      </c>
      <c r="L89" s="122">
        <v>-3.532</v>
      </c>
      <c r="M89" s="122">
        <v>1877.71</v>
      </c>
      <c r="N89" s="122">
        <v>569.21500000000003</v>
      </c>
      <c r="O89" s="122">
        <v>2451.3739999999998</v>
      </c>
      <c r="P89" s="122">
        <v>555.79</v>
      </c>
      <c r="Q89" s="122">
        <v>0</v>
      </c>
      <c r="R89" s="122">
        <v>1896.087</v>
      </c>
      <c r="S89" s="123">
        <v>1671.9</v>
      </c>
      <c r="U89" s="125"/>
      <c r="V89" s="125"/>
    </row>
    <row r="90" spans="1:22" ht="15.75">
      <c r="A90" s="110"/>
      <c r="B90" s="129">
        <v>2012</v>
      </c>
      <c r="C90" s="122">
        <v>1209.3050000000001</v>
      </c>
      <c r="D90" s="122">
        <v>389.49599999999998</v>
      </c>
      <c r="E90" s="122">
        <v>311.13299999999998</v>
      </c>
      <c r="F90" s="122">
        <v>178.74</v>
      </c>
      <c r="G90" s="122">
        <v>69.105999999999995</v>
      </c>
      <c r="H90" s="122">
        <v>54.469000000000001</v>
      </c>
      <c r="I90" s="122">
        <v>8.9920000000000009</v>
      </c>
      <c r="J90" s="122">
        <v>-1.0289999999999999</v>
      </c>
      <c r="K90" s="122">
        <v>1908.905</v>
      </c>
      <c r="L90" s="122">
        <v>5.181</v>
      </c>
      <c r="M90" s="122">
        <v>1914.086</v>
      </c>
      <c r="N90" s="122">
        <v>573.79399999999998</v>
      </c>
      <c r="O90" s="122">
        <v>2489.9670000000001</v>
      </c>
      <c r="P90" s="122">
        <v>566.72199999999998</v>
      </c>
      <c r="Q90" s="122">
        <v>0</v>
      </c>
      <c r="R90" s="122">
        <v>1923.5509999999999</v>
      </c>
      <c r="S90" s="123">
        <v>1704.175</v>
      </c>
      <c r="U90" s="125"/>
      <c r="V90" s="125"/>
    </row>
    <row r="91" spans="1:22" ht="15.75">
      <c r="A91" s="110"/>
      <c r="B91" s="129">
        <v>2013</v>
      </c>
      <c r="C91" s="122">
        <v>1240.9100000000001</v>
      </c>
      <c r="D91" s="122">
        <v>389.32299999999998</v>
      </c>
      <c r="E91" s="122">
        <v>321.78500000000003</v>
      </c>
      <c r="F91" s="122">
        <v>184.51300000000001</v>
      </c>
      <c r="G91" s="122">
        <v>76.533000000000001</v>
      </c>
      <c r="H91" s="122">
        <v>52.197000000000003</v>
      </c>
      <c r="I91" s="122">
        <v>8.4570000000000007</v>
      </c>
      <c r="J91" s="122">
        <v>7.024</v>
      </c>
      <c r="K91" s="122">
        <v>1959.0419999999999</v>
      </c>
      <c r="L91" s="122">
        <v>6.9260000000000002</v>
      </c>
      <c r="M91" s="122">
        <v>1965.9680000000001</v>
      </c>
      <c r="N91" s="122">
        <v>574.98500000000001</v>
      </c>
      <c r="O91" s="122">
        <v>2545.2060000000001</v>
      </c>
      <c r="P91" s="122">
        <v>586.46199999999999</v>
      </c>
      <c r="Q91" s="122">
        <v>0</v>
      </c>
      <c r="R91" s="122">
        <v>1958.557</v>
      </c>
      <c r="S91" s="123">
        <v>1736.2449999999999</v>
      </c>
    </row>
    <row r="92" spans="1:22" ht="15.75">
      <c r="A92" s="110"/>
      <c r="B92" s="129">
        <v>2014</v>
      </c>
      <c r="C92" s="122">
        <v>1276.6479999999999</v>
      </c>
      <c r="D92" s="122">
        <v>397.73</v>
      </c>
      <c r="E92" s="122">
        <v>343.15800000000002</v>
      </c>
      <c r="F92" s="122">
        <v>195.62799999999999</v>
      </c>
      <c r="G92" s="122">
        <v>81.489999999999995</v>
      </c>
      <c r="H92" s="122">
        <v>56.145000000000003</v>
      </c>
      <c r="I92" s="122">
        <v>9.8079999999999998</v>
      </c>
      <c r="J92" s="122">
        <v>6.0629999999999997</v>
      </c>
      <c r="K92" s="122">
        <v>2023.5989999999999</v>
      </c>
      <c r="L92" s="122">
        <v>14.259</v>
      </c>
      <c r="M92" s="122">
        <v>2037.8579999999999</v>
      </c>
      <c r="N92" s="122">
        <v>581.48299999999995</v>
      </c>
      <c r="O92" s="122">
        <v>2637.203</v>
      </c>
      <c r="P92" s="122">
        <v>615.35699999999997</v>
      </c>
      <c r="Q92" s="122">
        <v>0</v>
      </c>
      <c r="R92" s="122">
        <v>2021.2249999999999</v>
      </c>
      <c r="S92" s="123">
        <v>1792.8230000000001</v>
      </c>
    </row>
    <row r="93" spans="1:22" ht="15.75">
      <c r="A93" s="110"/>
      <c r="B93" s="129">
        <v>2015</v>
      </c>
      <c r="C93" s="122">
        <v>1316.6120000000001</v>
      </c>
      <c r="D93" s="122">
        <v>402.46699999999998</v>
      </c>
      <c r="E93" s="122">
        <v>365.56900000000002</v>
      </c>
      <c r="F93" s="122">
        <v>213.221</v>
      </c>
      <c r="G93" s="122">
        <v>87.131</v>
      </c>
      <c r="H93" s="122">
        <v>55.548000000000002</v>
      </c>
      <c r="I93" s="122">
        <v>9.6029999999999998</v>
      </c>
      <c r="J93" s="122">
        <v>0.40799999999999997</v>
      </c>
      <c r="K93" s="122">
        <v>2085.056</v>
      </c>
      <c r="L93" s="122">
        <v>11.775</v>
      </c>
      <c r="M93" s="122">
        <v>2096.8310000000001</v>
      </c>
      <c r="N93" s="122">
        <v>604.66999999999996</v>
      </c>
      <c r="O93" s="122">
        <v>2716.0810000000001</v>
      </c>
      <c r="P93" s="122">
        <v>645.83799999999997</v>
      </c>
      <c r="Q93" s="122">
        <v>0</v>
      </c>
      <c r="R93" s="122">
        <v>2069.5949999999998</v>
      </c>
      <c r="S93" s="123">
        <v>1831.193</v>
      </c>
    </row>
    <row r="94" spans="1:22" ht="15.75">
      <c r="A94" s="110"/>
      <c r="B94" s="129">
        <v>2016</v>
      </c>
      <c r="C94" s="122">
        <v>1364.268</v>
      </c>
      <c r="D94" s="122">
        <v>405.58300000000003</v>
      </c>
      <c r="E94" s="122">
        <v>383.44900000000001</v>
      </c>
      <c r="F94" s="122">
        <v>223.24600000000001</v>
      </c>
      <c r="G94" s="122">
        <v>94.106999999999999</v>
      </c>
      <c r="H94" s="122">
        <v>55.694000000000003</v>
      </c>
      <c r="I94" s="122">
        <v>9.7189999999999994</v>
      </c>
      <c r="J94" s="122">
        <v>1.609</v>
      </c>
      <c r="K94" s="122">
        <v>2154.9090000000001</v>
      </c>
      <c r="L94" s="122">
        <v>8.2029999999999994</v>
      </c>
      <c r="M94" s="122">
        <v>2163.1120000000001</v>
      </c>
      <c r="N94" s="122">
        <v>624.13400000000001</v>
      </c>
      <c r="O94" s="122">
        <v>2786.0459999999998</v>
      </c>
      <c r="P94" s="122">
        <v>671.53300000000002</v>
      </c>
      <c r="Q94" s="122">
        <v>0</v>
      </c>
      <c r="R94" s="122">
        <v>2114.4059999999999</v>
      </c>
      <c r="S94" s="123">
        <v>1869.8140000000001</v>
      </c>
    </row>
    <row r="95" spans="1:22" ht="15.75">
      <c r="A95" s="110"/>
      <c r="B95" s="129">
        <v>2017</v>
      </c>
      <c r="C95" s="122">
        <v>1390.682</v>
      </c>
      <c r="D95" s="122">
        <v>407.30099999999999</v>
      </c>
      <c r="E95" s="122">
        <v>396.90699999999998</v>
      </c>
      <c r="F95" s="122">
        <v>225.67500000000001</v>
      </c>
      <c r="G95" s="122">
        <v>103.80800000000001</v>
      </c>
      <c r="H95" s="122">
        <v>57.756</v>
      </c>
      <c r="I95" s="122">
        <v>9.604000000000001</v>
      </c>
      <c r="J95" s="122">
        <v>0.61199999999999999</v>
      </c>
      <c r="K95" s="122">
        <v>2195.502</v>
      </c>
      <c r="L95" s="122">
        <v>12.670999999999999</v>
      </c>
      <c r="M95" s="122">
        <v>2208.1729999999998</v>
      </c>
      <c r="N95" s="122">
        <v>666.851</v>
      </c>
      <c r="O95" s="122">
        <v>2859.99</v>
      </c>
      <c r="P95" s="122">
        <v>693.97500000000002</v>
      </c>
      <c r="Q95" s="122">
        <v>0</v>
      </c>
      <c r="R95" s="122">
        <v>2166.0729999999999</v>
      </c>
      <c r="S95" s="123">
        <v>1918.1189999999999</v>
      </c>
    </row>
    <row r="96" spans="1:22" ht="15.75">
      <c r="A96" s="110"/>
      <c r="B96" s="129">
        <v>2018</v>
      </c>
      <c r="C96" s="122">
        <v>1424.923</v>
      </c>
      <c r="D96" s="122">
        <v>408.625</v>
      </c>
      <c r="E96" s="122">
        <v>395.96699999999998</v>
      </c>
      <c r="F96" s="122">
        <v>222.35</v>
      </c>
      <c r="G96" s="122">
        <v>110.099</v>
      </c>
      <c r="H96" s="122">
        <v>58.366999999999997</v>
      </c>
      <c r="I96" s="122">
        <v>5.3500000000000005</v>
      </c>
      <c r="J96" s="122">
        <v>3.1320000000000001</v>
      </c>
      <c r="K96" s="122">
        <v>2232.6469999999999</v>
      </c>
      <c r="L96" s="122">
        <v>1.3169999999999999</v>
      </c>
      <c r="M96" s="122">
        <v>2233.9639999999999</v>
      </c>
      <c r="N96" s="122">
        <v>687.85599999999999</v>
      </c>
      <c r="O96" s="122">
        <v>2920.105</v>
      </c>
      <c r="P96" s="122">
        <v>717.13499999999999</v>
      </c>
      <c r="Q96" s="122">
        <v>0</v>
      </c>
      <c r="R96" s="122">
        <v>2203.0050000000001</v>
      </c>
      <c r="S96" s="123">
        <v>1948.2380000000001</v>
      </c>
    </row>
    <row r="97" spans="1:19" ht="15.75">
      <c r="A97" s="110"/>
      <c r="B97" s="129">
        <v>2019</v>
      </c>
      <c r="C97" s="122">
        <v>1440.0409999999999</v>
      </c>
      <c r="D97" s="122">
        <v>425.57900000000001</v>
      </c>
      <c r="E97" s="122">
        <v>403.36500000000001</v>
      </c>
      <c r="F97" s="122">
        <v>225.26</v>
      </c>
      <c r="G97" s="122">
        <v>112.05</v>
      </c>
      <c r="H97" s="122">
        <v>60.847999999999999</v>
      </c>
      <c r="I97" s="122">
        <v>5.176305189999999</v>
      </c>
      <c r="J97" s="122">
        <v>2.88</v>
      </c>
      <c r="K97" s="122">
        <v>2271.8649999999998</v>
      </c>
      <c r="L97" s="122">
        <v>2.6309999999999998</v>
      </c>
      <c r="M97" s="122">
        <v>2274.4960000000001</v>
      </c>
      <c r="N97" s="122">
        <v>699.654</v>
      </c>
      <c r="O97" s="122">
        <v>2974.15</v>
      </c>
      <c r="P97" s="122">
        <v>735.80200000000002</v>
      </c>
      <c r="Q97" s="122">
        <v>0</v>
      </c>
      <c r="R97" s="122">
        <v>2238.348</v>
      </c>
      <c r="S97" s="123">
        <v>1981.9549999999999</v>
      </c>
    </row>
    <row r="98" spans="1:19" ht="15.75">
      <c r="A98" s="110"/>
      <c r="B98" s="129">
        <v>2020</v>
      </c>
      <c r="C98" s="122">
        <v>1250.3630000000001</v>
      </c>
      <c r="D98" s="122">
        <v>394.46</v>
      </c>
      <c r="E98" s="122">
        <v>361.00200000000001</v>
      </c>
      <c r="F98" s="122">
        <v>198.41300000000001</v>
      </c>
      <c r="G98" s="122">
        <v>94.123999999999995</v>
      </c>
      <c r="H98" s="122">
        <v>63.738999999999997</v>
      </c>
      <c r="I98" s="122">
        <v>4.6337435640000004</v>
      </c>
      <c r="J98" s="122">
        <v>-0.39800000000000002</v>
      </c>
      <c r="K98" s="122">
        <v>2005.4269999999999</v>
      </c>
      <c r="L98" s="122">
        <v>-11.385</v>
      </c>
      <c r="M98" s="122">
        <v>1994.0419999999999</v>
      </c>
      <c r="N98" s="122">
        <v>615.10900000000004</v>
      </c>
      <c r="O98" s="122">
        <v>2609.1509999999998</v>
      </c>
      <c r="P98" s="122">
        <v>617.71199999999999</v>
      </c>
      <c r="Q98" s="122">
        <v>0</v>
      </c>
      <c r="R98" s="122">
        <v>1991.4390000000001</v>
      </c>
      <c r="S98" s="123">
        <v>1771.171</v>
      </c>
    </row>
    <row r="99" spans="1:19" ht="15.75">
      <c r="A99" s="110"/>
      <c r="B99" s="129">
        <v>2021</v>
      </c>
      <c r="C99" s="122">
        <v>1328.16</v>
      </c>
      <c r="D99" s="122">
        <v>444.28300000000002</v>
      </c>
      <c r="E99" s="122">
        <v>381.08199999999999</v>
      </c>
      <c r="F99" s="122">
        <v>198.18</v>
      </c>
      <c r="G99" s="122">
        <v>108.86</v>
      </c>
      <c r="H99" s="122">
        <v>68.358999999999995</v>
      </c>
      <c r="I99" s="122">
        <v>5.70551283</v>
      </c>
      <c r="J99" s="122">
        <v>5.7510000000000003</v>
      </c>
      <c r="K99" s="122">
        <v>2159.2759999999998</v>
      </c>
      <c r="L99" s="122">
        <v>6.7350000000000003</v>
      </c>
      <c r="M99" s="122">
        <v>2166.011</v>
      </c>
      <c r="N99" s="122">
        <v>613.26</v>
      </c>
      <c r="O99" s="122">
        <v>2779.2710000000002</v>
      </c>
      <c r="P99" s="122">
        <v>634.89</v>
      </c>
      <c r="Q99" s="122">
        <v>-3.0880000000000001</v>
      </c>
      <c r="R99" s="122">
        <v>2141.2930000000001</v>
      </c>
      <c r="S99" s="123">
        <v>1913.248</v>
      </c>
    </row>
    <row r="100" spans="1:19" ht="15.75">
      <c r="A100" s="110"/>
      <c r="B100" s="129">
        <v>2022</v>
      </c>
      <c r="C100" s="122">
        <v>1390.8704869999999</v>
      </c>
      <c r="D100" s="122">
        <v>453.69336900000002</v>
      </c>
      <c r="E100" s="122">
        <v>398.27825633937334</v>
      </c>
      <c r="F100" s="122">
        <v>207.962682</v>
      </c>
      <c r="G100" s="122">
        <v>113.14432792539536</v>
      </c>
      <c r="H100" s="122">
        <v>70.93467609999999</v>
      </c>
      <c r="I100" s="122">
        <v>5.9952707083495067</v>
      </c>
      <c r="J100" s="122">
        <v>9.3829999999999991</v>
      </c>
      <c r="K100" s="122">
        <v>2252.225112339373</v>
      </c>
      <c r="L100" s="122">
        <v>42.30574755</v>
      </c>
      <c r="M100" s="122">
        <v>2294.530859889373</v>
      </c>
      <c r="N100" s="122">
        <v>644.68965765322673</v>
      </c>
      <c r="O100" s="122">
        <v>2939.2205170000002</v>
      </c>
      <c r="P100" s="122">
        <v>705.69159163921904</v>
      </c>
      <c r="Q100" s="122">
        <v>-1.9870000000000001</v>
      </c>
      <c r="R100" s="122">
        <v>2231.5419259057931</v>
      </c>
      <c r="S100" s="123">
        <v>1993.6844860000001</v>
      </c>
    </row>
    <row r="101" spans="1:19" ht="15.75">
      <c r="A101" s="110"/>
      <c r="B101" s="129">
        <v>2023</v>
      </c>
      <c r="C101" s="122">
        <v>1364.1198440000001</v>
      </c>
      <c r="D101" s="122">
        <v>475.63010199999997</v>
      </c>
      <c r="E101" s="122">
        <v>392.7348867420871</v>
      </c>
      <c r="F101" s="122">
        <v>203.55760120000002</v>
      </c>
      <c r="G101" s="122">
        <v>104.87300592716197</v>
      </c>
      <c r="H101" s="122">
        <v>78.493192500000006</v>
      </c>
      <c r="I101" s="122">
        <v>5.8110871213491109</v>
      </c>
      <c r="J101" s="122">
        <v>2.88</v>
      </c>
      <c r="K101" s="122">
        <v>2235.3648327420869</v>
      </c>
      <c r="L101" s="122">
        <v>6.287921603</v>
      </c>
      <c r="M101" s="122">
        <v>2241.652754345087</v>
      </c>
      <c r="N101" s="122">
        <v>626.72893840396978</v>
      </c>
      <c r="O101" s="122">
        <v>2868.3816929999998</v>
      </c>
      <c r="P101" s="122">
        <v>666.72211296109549</v>
      </c>
      <c r="Q101" s="122">
        <v>-1.988</v>
      </c>
      <c r="R101" s="122">
        <v>2199.6715797921952</v>
      </c>
      <c r="S101" s="123">
        <v>1965.978116</v>
      </c>
    </row>
    <row r="102" spans="1:19" ht="15.75">
      <c r="A102" s="110"/>
      <c r="B102" s="129">
        <v>2024</v>
      </c>
      <c r="C102" s="122">
        <v>1378.57286</v>
      </c>
      <c r="D102" s="122">
        <v>483.01837399999999</v>
      </c>
      <c r="E102" s="122">
        <v>397.50053085204399</v>
      </c>
      <c r="F102" s="122">
        <v>209.81921000000003</v>
      </c>
      <c r="G102" s="122">
        <v>103.98014959326694</v>
      </c>
      <c r="H102" s="122">
        <v>77.829666899999992</v>
      </c>
      <c r="I102" s="122">
        <v>5.8715044362743649</v>
      </c>
      <c r="J102" s="122">
        <v>2.88</v>
      </c>
      <c r="K102" s="122">
        <v>2261.9717648520441</v>
      </c>
      <c r="L102" s="122">
        <v>6.4925116950000001</v>
      </c>
      <c r="M102" s="122">
        <v>2268.4642765470439</v>
      </c>
      <c r="N102" s="122">
        <v>627.63600864160435</v>
      </c>
      <c r="O102" s="122">
        <v>2896.1002859999999</v>
      </c>
      <c r="P102" s="122">
        <v>665.70048767834112</v>
      </c>
      <c r="Q102" s="122">
        <v>-1.988</v>
      </c>
      <c r="R102" s="122">
        <v>2228.4117975025397</v>
      </c>
      <c r="S102" s="123">
        <v>1992.88912</v>
      </c>
    </row>
    <row r="103" spans="1:19" ht="15.75">
      <c r="A103" s="110"/>
      <c r="B103" s="129">
        <v>2025</v>
      </c>
      <c r="C103" s="122">
        <v>1412.7279450000001</v>
      </c>
      <c r="D103" s="122">
        <v>487.04158499999994</v>
      </c>
      <c r="E103" s="122">
        <v>416.07734407253361</v>
      </c>
      <c r="F103" s="122">
        <v>227.02829800000001</v>
      </c>
      <c r="G103" s="122">
        <v>106.94723116906668</v>
      </c>
      <c r="H103" s="122">
        <v>76.086434000000011</v>
      </c>
      <c r="I103" s="122">
        <v>6.0153810060771065</v>
      </c>
      <c r="J103" s="122">
        <v>2.88</v>
      </c>
      <c r="K103" s="122">
        <v>2318.7268740725335</v>
      </c>
      <c r="L103" s="122">
        <v>7.23242502</v>
      </c>
      <c r="M103" s="122">
        <v>2325.9592990925335</v>
      </c>
      <c r="N103" s="122">
        <v>634.70437198571165</v>
      </c>
      <c r="O103" s="122">
        <v>2960.6636710000002</v>
      </c>
      <c r="P103" s="122">
        <v>671.45261755365891</v>
      </c>
      <c r="Q103" s="122">
        <v>-1.988</v>
      </c>
      <c r="R103" s="122">
        <v>2287.223053528016</v>
      </c>
      <c r="S103" s="123">
        <v>2046.8702180000002</v>
      </c>
    </row>
    <row r="104" spans="1:19" ht="15.75">
      <c r="A104" s="110"/>
      <c r="B104" s="129">
        <v>2026</v>
      </c>
      <c r="C104" s="122">
        <v>1443.534856</v>
      </c>
      <c r="D104" s="122">
        <v>494.88454500000006</v>
      </c>
      <c r="E104" s="122">
        <v>436.38600366366427</v>
      </c>
      <c r="F104" s="122">
        <v>242.11258649999996</v>
      </c>
      <c r="G104" s="122">
        <v>112.91365024358075</v>
      </c>
      <c r="H104" s="122">
        <v>75.042669099999998</v>
      </c>
      <c r="I104" s="122">
        <v>6.3170979255219786</v>
      </c>
      <c r="J104" s="122">
        <v>2.88</v>
      </c>
      <c r="K104" s="122">
        <v>2377.6854046636645</v>
      </c>
      <c r="L104" s="122">
        <v>7.2070977299999992</v>
      </c>
      <c r="M104" s="122">
        <v>2384.8925023936645</v>
      </c>
      <c r="N104" s="122">
        <v>638.12362102317468</v>
      </c>
      <c r="O104" s="122">
        <v>3023.0161230000003</v>
      </c>
      <c r="P104" s="122">
        <v>673.09634970366017</v>
      </c>
      <c r="Q104" s="122">
        <v>-1.988</v>
      </c>
      <c r="R104" s="122">
        <v>2347.9317737139163</v>
      </c>
      <c r="S104" s="123">
        <v>2102.4470470000001</v>
      </c>
    </row>
    <row r="105" spans="1:19" ht="15.75">
      <c r="A105" s="110"/>
      <c r="B105" s="158">
        <v>2027</v>
      </c>
      <c r="C105" s="131">
        <v>1471.5808689999999</v>
      </c>
      <c r="D105" s="131">
        <v>502.65947499999999</v>
      </c>
      <c r="E105" s="131">
        <v>451.1168414031419</v>
      </c>
      <c r="F105" s="131">
        <v>253.639647</v>
      </c>
      <c r="G105" s="131">
        <v>117.13570189666221</v>
      </c>
      <c r="H105" s="131">
        <v>73.816586000000015</v>
      </c>
      <c r="I105" s="131">
        <v>6.5249064624946422</v>
      </c>
      <c r="J105" s="131">
        <v>2.88</v>
      </c>
      <c r="K105" s="131">
        <v>2428.2371854031421</v>
      </c>
      <c r="L105" s="131">
        <v>7.9206850800000002</v>
      </c>
      <c r="M105" s="131">
        <v>2436.1578704831422</v>
      </c>
      <c r="N105" s="131">
        <v>639.61566938760609</v>
      </c>
      <c r="O105" s="131">
        <v>3075.7735400000001</v>
      </c>
      <c r="P105" s="131">
        <v>673.36674455446939</v>
      </c>
      <c r="Q105" s="131">
        <v>-1.988</v>
      </c>
      <c r="R105" s="131">
        <v>2400.4187953206824</v>
      </c>
      <c r="S105" s="132">
        <v>2150.7610020000002</v>
      </c>
    </row>
    <row r="106" spans="1:19" ht="15.75">
      <c r="A106" s="110"/>
      <c r="B106" s="129" t="s">
        <v>196</v>
      </c>
      <c r="C106" s="122">
        <v>1188.6220000000001</v>
      </c>
      <c r="D106" s="122">
        <v>379.45100000000002</v>
      </c>
      <c r="E106" s="122">
        <v>328.50599999999997</v>
      </c>
      <c r="F106" s="122">
        <v>181.946</v>
      </c>
      <c r="G106" s="122">
        <v>79.034999999999997</v>
      </c>
      <c r="H106" s="122">
        <v>59.204000000000001</v>
      </c>
      <c r="I106" s="122">
        <v>9.5630000000000006</v>
      </c>
      <c r="J106" s="122">
        <v>0.221</v>
      </c>
      <c r="K106" s="122">
        <v>1896.8</v>
      </c>
      <c r="L106" s="122">
        <v>-18.812000000000001</v>
      </c>
      <c r="M106" s="122">
        <v>1877.9880000000001</v>
      </c>
      <c r="N106" s="122">
        <v>534.29499999999996</v>
      </c>
      <c r="O106" s="122">
        <v>2412.366</v>
      </c>
      <c r="P106" s="122">
        <v>524.73199999999997</v>
      </c>
      <c r="Q106" s="122">
        <v>0</v>
      </c>
      <c r="R106" s="122">
        <v>1888.644</v>
      </c>
      <c r="S106" s="123">
        <v>1644.3040000000001</v>
      </c>
    </row>
    <row r="107" spans="1:19" ht="15.75">
      <c r="A107" s="110"/>
      <c r="B107" s="129" t="s">
        <v>197</v>
      </c>
      <c r="C107" s="122">
        <v>1171.3710000000001</v>
      </c>
      <c r="D107" s="122">
        <v>383.05500000000001</v>
      </c>
      <c r="E107" s="122">
        <v>296.10599999999999</v>
      </c>
      <c r="F107" s="122">
        <v>155.23400000000001</v>
      </c>
      <c r="G107" s="122">
        <v>67.399000000000001</v>
      </c>
      <c r="H107" s="122">
        <v>63.268000000000001</v>
      </c>
      <c r="I107" s="122">
        <v>10.699</v>
      </c>
      <c r="J107" s="122">
        <v>1.1910000000000001</v>
      </c>
      <c r="K107" s="122">
        <v>1851.723</v>
      </c>
      <c r="L107" s="122">
        <v>-25.225000000000001</v>
      </c>
      <c r="M107" s="122">
        <v>1826.498</v>
      </c>
      <c r="N107" s="122">
        <v>502.12</v>
      </c>
      <c r="O107" s="122">
        <v>2342.9650000000001</v>
      </c>
      <c r="P107" s="122">
        <v>507.471</v>
      </c>
      <c r="Q107" s="122">
        <v>0</v>
      </c>
      <c r="R107" s="122">
        <v>1836.76</v>
      </c>
      <c r="S107" s="123">
        <v>1605.212</v>
      </c>
    </row>
    <row r="108" spans="1:19" ht="15.75">
      <c r="A108" s="110"/>
      <c r="B108" s="129" t="s">
        <v>198</v>
      </c>
      <c r="C108" s="122">
        <v>1197.0050000000001</v>
      </c>
      <c r="D108" s="122">
        <v>385.065</v>
      </c>
      <c r="E108" s="122">
        <v>310.745</v>
      </c>
      <c r="F108" s="122">
        <v>163.87100000000001</v>
      </c>
      <c r="G108" s="122">
        <v>74.537999999999997</v>
      </c>
      <c r="H108" s="122">
        <v>62.658999999999999</v>
      </c>
      <c r="I108" s="122">
        <v>10.56</v>
      </c>
      <c r="J108" s="122">
        <v>-1.4350000000000001</v>
      </c>
      <c r="K108" s="122">
        <v>1891.38</v>
      </c>
      <c r="L108" s="122">
        <v>-6.6680000000000001</v>
      </c>
      <c r="M108" s="122">
        <v>1884.712</v>
      </c>
      <c r="N108" s="122">
        <v>546.56100000000004</v>
      </c>
      <c r="O108" s="122">
        <v>2432.7040000000002</v>
      </c>
      <c r="P108" s="122">
        <v>547.28700000000003</v>
      </c>
      <c r="Q108" s="122">
        <v>0</v>
      </c>
      <c r="R108" s="122">
        <v>1886.1769999999999</v>
      </c>
      <c r="S108" s="123">
        <v>1655.5039999999999</v>
      </c>
    </row>
    <row r="109" spans="1:19" ht="15.75">
      <c r="A109" s="110"/>
      <c r="B109" s="129" t="s">
        <v>199</v>
      </c>
      <c r="C109" s="122">
        <v>1189.672</v>
      </c>
      <c r="D109" s="122">
        <v>386.31</v>
      </c>
      <c r="E109" s="122">
        <v>312.02800000000002</v>
      </c>
      <c r="F109" s="122">
        <v>175.60300000000001</v>
      </c>
      <c r="G109" s="122">
        <v>70.100999999999999</v>
      </c>
      <c r="H109" s="122">
        <v>56.972000000000001</v>
      </c>
      <c r="I109" s="122">
        <v>9.6080000000000005</v>
      </c>
      <c r="J109" s="122">
        <v>-0.442</v>
      </c>
      <c r="K109" s="122">
        <v>1887.568</v>
      </c>
      <c r="L109" s="122">
        <v>-5.5449999999999999</v>
      </c>
      <c r="M109" s="122">
        <v>1882.0229999999999</v>
      </c>
      <c r="N109" s="122">
        <v>574.83100000000002</v>
      </c>
      <c r="O109" s="122">
        <v>2461.1970000000001</v>
      </c>
      <c r="P109" s="122">
        <v>560.72699999999998</v>
      </c>
      <c r="Q109" s="122">
        <v>0</v>
      </c>
      <c r="R109" s="122">
        <v>1900.819</v>
      </c>
      <c r="S109" s="123">
        <v>1678.682</v>
      </c>
    </row>
    <row r="110" spans="1:19" ht="15.75">
      <c r="A110" s="110"/>
      <c r="B110" s="127" t="s">
        <v>200</v>
      </c>
      <c r="C110" s="122">
        <v>1217.443</v>
      </c>
      <c r="D110" s="122">
        <v>387.83800000000002</v>
      </c>
      <c r="E110" s="122">
        <v>307.72399999999999</v>
      </c>
      <c r="F110" s="122">
        <v>177.47900000000001</v>
      </c>
      <c r="G110" s="122">
        <v>69.421999999999997</v>
      </c>
      <c r="H110" s="122">
        <v>52.103000000000002</v>
      </c>
      <c r="I110" s="122">
        <v>8.8170000000000002</v>
      </c>
      <c r="J110" s="122">
        <v>1.321</v>
      </c>
      <c r="K110" s="122">
        <v>1914.326</v>
      </c>
      <c r="L110" s="122">
        <v>9.2780000000000005</v>
      </c>
      <c r="M110" s="122">
        <v>1923.604</v>
      </c>
      <c r="N110" s="122">
        <v>569.22500000000002</v>
      </c>
      <c r="O110" s="122">
        <v>2495.7579999999998</v>
      </c>
      <c r="P110" s="122">
        <v>566.33000000000004</v>
      </c>
      <c r="Q110" s="122">
        <v>0</v>
      </c>
      <c r="R110" s="122">
        <v>1929.864</v>
      </c>
      <c r="S110" s="123">
        <v>1710.751</v>
      </c>
    </row>
    <row r="111" spans="1:19" ht="15.75">
      <c r="A111" s="110"/>
      <c r="B111" s="127" t="s">
        <v>201</v>
      </c>
      <c r="C111" s="122">
        <v>1249.9839999999999</v>
      </c>
      <c r="D111" s="122">
        <v>390.88900000000001</v>
      </c>
      <c r="E111" s="122">
        <v>330.4</v>
      </c>
      <c r="F111" s="122">
        <v>187.624</v>
      </c>
      <c r="G111" s="122">
        <v>78.745999999999995</v>
      </c>
      <c r="H111" s="122">
        <v>55.508000000000003</v>
      </c>
      <c r="I111" s="122">
        <v>8.504999999999999</v>
      </c>
      <c r="J111" s="122">
        <v>7.3860000000000001</v>
      </c>
      <c r="K111" s="122">
        <v>1978.6590000000001</v>
      </c>
      <c r="L111" s="122">
        <v>3.996</v>
      </c>
      <c r="M111" s="122">
        <v>1982.655</v>
      </c>
      <c r="N111" s="122">
        <v>573.96400000000006</v>
      </c>
      <c r="O111" s="122">
        <v>2568.0160000000001</v>
      </c>
      <c r="P111" s="122">
        <v>594.24900000000002</v>
      </c>
      <c r="Q111" s="122">
        <v>0</v>
      </c>
      <c r="R111" s="122">
        <v>1973.296</v>
      </c>
      <c r="S111" s="123">
        <v>1747.463</v>
      </c>
    </row>
    <row r="112" spans="1:19" ht="15.75">
      <c r="A112" s="110"/>
      <c r="B112" s="127" t="s">
        <v>202</v>
      </c>
      <c r="C112" s="122">
        <v>1287.3050000000001</v>
      </c>
      <c r="D112" s="122">
        <v>398.20100000000002</v>
      </c>
      <c r="E112" s="122">
        <v>349.15100000000001</v>
      </c>
      <c r="F112" s="122">
        <v>200.87100000000001</v>
      </c>
      <c r="G112" s="122">
        <v>82.146000000000001</v>
      </c>
      <c r="H112" s="122">
        <v>55.741999999999997</v>
      </c>
      <c r="I112" s="122">
        <v>10.284000000000001</v>
      </c>
      <c r="J112" s="122">
        <v>7.2130000000000001</v>
      </c>
      <c r="K112" s="122">
        <v>2041.87</v>
      </c>
      <c r="L112" s="122">
        <v>22.856000000000002</v>
      </c>
      <c r="M112" s="122">
        <v>2064.7260000000001</v>
      </c>
      <c r="N112" s="122">
        <v>587.81899999999996</v>
      </c>
      <c r="O112" s="122">
        <v>2665.6460000000002</v>
      </c>
      <c r="P112" s="122">
        <v>629.98299999999995</v>
      </c>
      <c r="Q112" s="122">
        <v>0</v>
      </c>
      <c r="R112" s="122">
        <v>2034.826</v>
      </c>
      <c r="S112" s="123">
        <v>1805.489</v>
      </c>
    </row>
    <row r="113" spans="1:19" ht="15.75">
      <c r="A113" s="110"/>
      <c r="B113" s="127" t="s">
        <v>203</v>
      </c>
      <c r="C113" s="122">
        <v>1328.5820000000001</v>
      </c>
      <c r="D113" s="122">
        <v>404.28199999999998</v>
      </c>
      <c r="E113" s="122">
        <v>369.13400000000001</v>
      </c>
      <c r="F113" s="122">
        <v>216.40199999999999</v>
      </c>
      <c r="G113" s="122">
        <v>89.078000000000003</v>
      </c>
      <c r="H113" s="122">
        <v>54.097000000000001</v>
      </c>
      <c r="I113" s="122">
        <v>9.327</v>
      </c>
      <c r="J113" s="122">
        <v>-1.1279999999999999</v>
      </c>
      <c r="K113" s="122">
        <v>2100.87</v>
      </c>
      <c r="L113" s="122">
        <v>6.306</v>
      </c>
      <c r="M113" s="122">
        <v>2107.1759999999999</v>
      </c>
      <c r="N113" s="122">
        <v>609.20699999999999</v>
      </c>
      <c r="O113" s="122">
        <v>2728.7829999999999</v>
      </c>
      <c r="P113" s="122">
        <v>647.50699999999995</v>
      </c>
      <c r="Q113" s="122">
        <v>0</v>
      </c>
      <c r="R113" s="122">
        <v>2080.8020000000001</v>
      </c>
      <c r="S113" s="123">
        <v>1839.7660000000001</v>
      </c>
    </row>
    <row r="114" spans="1:19">
      <c r="B114" s="127" t="s">
        <v>204</v>
      </c>
      <c r="C114" s="122">
        <v>1372.3620000000001</v>
      </c>
      <c r="D114" s="122">
        <v>405.63200000000001</v>
      </c>
      <c r="E114" s="122">
        <v>386.64800000000002</v>
      </c>
      <c r="F114" s="122">
        <v>223.07900000000001</v>
      </c>
      <c r="G114" s="122">
        <v>96.965000000000003</v>
      </c>
      <c r="H114" s="122">
        <v>56.26</v>
      </c>
      <c r="I114" s="122">
        <v>9.7979999999999983</v>
      </c>
      <c r="J114" s="122">
        <v>-4.2000000000000003E-2</v>
      </c>
      <c r="K114" s="122">
        <v>2164.6</v>
      </c>
      <c r="L114" s="122">
        <v>11.522</v>
      </c>
      <c r="M114" s="122">
        <v>2176.1219999999998</v>
      </c>
      <c r="N114" s="122">
        <v>632.73599999999999</v>
      </c>
      <c r="O114" s="122">
        <v>2803.556</v>
      </c>
      <c r="P114" s="122">
        <v>676.05799999999999</v>
      </c>
      <c r="Q114" s="122">
        <v>0</v>
      </c>
      <c r="R114" s="122">
        <v>2127.4180000000001</v>
      </c>
      <c r="S114" s="123">
        <v>1882.962</v>
      </c>
    </row>
    <row r="115" spans="1:19">
      <c r="B115" s="127" t="s">
        <v>205</v>
      </c>
      <c r="C115" s="122">
        <v>1398.297</v>
      </c>
      <c r="D115" s="122">
        <v>407.55099999999999</v>
      </c>
      <c r="E115" s="122">
        <v>398.07600000000002</v>
      </c>
      <c r="F115" s="122">
        <v>226.316</v>
      </c>
      <c r="G115" s="122">
        <v>105.438</v>
      </c>
      <c r="H115" s="122">
        <v>57.828000000000003</v>
      </c>
      <c r="I115" s="122">
        <v>8.5150000000000006</v>
      </c>
      <c r="J115" s="122">
        <v>1.768</v>
      </c>
      <c r="K115" s="122">
        <v>2205.692</v>
      </c>
      <c r="L115" s="122">
        <v>5.3789999999999996</v>
      </c>
      <c r="M115" s="122">
        <v>2211.0709999999999</v>
      </c>
      <c r="N115" s="122">
        <v>675.89400000000001</v>
      </c>
      <c r="O115" s="122">
        <v>2876.7379999999998</v>
      </c>
      <c r="P115" s="122">
        <v>700.91099999999994</v>
      </c>
      <c r="Q115" s="122">
        <v>0</v>
      </c>
      <c r="R115" s="122">
        <v>2175.962</v>
      </c>
      <c r="S115" s="123">
        <v>1926.4449999999999</v>
      </c>
    </row>
    <row r="116" spans="1:19">
      <c r="B116" s="127" t="s">
        <v>206</v>
      </c>
      <c r="C116" s="122">
        <v>1431.2049999999999</v>
      </c>
      <c r="D116" s="122">
        <v>411.62900000000002</v>
      </c>
      <c r="E116" s="122">
        <v>398.14400000000001</v>
      </c>
      <c r="F116" s="122">
        <v>221.63800000000001</v>
      </c>
      <c r="G116" s="122">
        <v>111.55500000000001</v>
      </c>
      <c r="H116" s="122">
        <v>59.878999999999998</v>
      </c>
      <c r="I116" s="122">
        <v>5.2451093699999998</v>
      </c>
      <c r="J116" s="122">
        <v>14.746</v>
      </c>
      <c r="K116" s="122">
        <v>2255.7240000000002</v>
      </c>
      <c r="L116" s="122">
        <v>12.420999999999999</v>
      </c>
      <c r="M116" s="122">
        <v>2268.145</v>
      </c>
      <c r="N116" s="122">
        <v>687.24</v>
      </c>
      <c r="O116" s="122">
        <v>2951.761</v>
      </c>
      <c r="P116" s="122">
        <v>738.29899999999998</v>
      </c>
      <c r="Q116" s="122">
        <v>0</v>
      </c>
      <c r="R116" s="122">
        <v>2213.46</v>
      </c>
      <c r="S116" s="123">
        <v>1956.7619999999999</v>
      </c>
    </row>
    <row r="117" spans="1:19">
      <c r="B117" s="127" t="s">
        <v>207</v>
      </c>
      <c r="C117" s="122">
        <v>1428.71</v>
      </c>
      <c r="D117" s="122">
        <v>425.03399999999999</v>
      </c>
      <c r="E117" s="122">
        <v>399.09399999999999</v>
      </c>
      <c r="F117" s="122">
        <v>224.96799999999999</v>
      </c>
      <c r="G117" s="122">
        <v>109.43</v>
      </c>
      <c r="H117" s="122">
        <v>59.445</v>
      </c>
      <c r="I117" s="122">
        <v>5.1833992000000002</v>
      </c>
      <c r="J117" s="122">
        <v>-8.4320000000000004</v>
      </c>
      <c r="K117" s="122">
        <v>2244.4059999999999</v>
      </c>
      <c r="L117" s="122">
        <v>-9.2309999999999999</v>
      </c>
      <c r="M117" s="122">
        <v>2235.1750000000002</v>
      </c>
      <c r="N117" s="122">
        <v>696.89599999999996</v>
      </c>
      <c r="O117" s="122">
        <v>2933.5309999999999</v>
      </c>
      <c r="P117" s="122">
        <v>706.16899999999998</v>
      </c>
      <c r="Q117" s="122">
        <v>0</v>
      </c>
      <c r="R117" s="122">
        <v>2227.4050000000002</v>
      </c>
      <c r="S117" s="123">
        <v>1975.0129999999999</v>
      </c>
    </row>
    <row r="118" spans="1:19">
      <c r="B118" s="127" t="s">
        <v>208</v>
      </c>
      <c r="C118" s="122">
        <v>1205.1179999999999</v>
      </c>
      <c r="D118" s="122">
        <v>395.00599999999997</v>
      </c>
      <c r="E118" s="122">
        <v>357.01100000000002</v>
      </c>
      <c r="F118" s="122">
        <v>189.828</v>
      </c>
      <c r="G118" s="122">
        <v>94.664000000000001</v>
      </c>
      <c r="H118" s="122">
        <v>67.778999999999996</v>
      </c>
      <c r="I118" s="122">
        <v>4.6179294239999997</v>
      </c>
      <c r="J118" s="122">
        <v>5.4589999999999996</v>
      </c>
      <c r="K118" s="122">
        <v>1962.5940000000001</v>
      </c>
      <c r="L118" s="122">
        <v>-4.1130000000000004</v>
      </c>
      <c r="M118" s="122">
        <v>1958.481</v>
      </c>
      <c r="N118" s="122">
        <v>591.84100000000001</v>
      </c>
      <c r="O118" s="122">
        <v>2550.3220000000001</v>
      </c>
      <c r="P118" s="122">
        <v>601.15599999999995</v>
      </c>
      <c r="Q118" s="122">
        <v>-0.57899999999999996</v>
      </c>
      <c r="R118" s="122">
        <v>1948.587</v>
      </c>
      <c r="S118" s="123">
        <v>1734.8440000000001</v>
      </c>
    </row>
    <row r="119" spans="1:19">
      <c r="B119" s="127" t="s">
        <v>33</v>
      </c>
      <c r="C119" s="122">
        <v>1373.559</v>
      </c>
      <c r="D119" s="122">
        <v>452.71100000000001</v>
      </c>
      <c r="E119" s="122">
        <v>388.65899999999999</v>
      </c>
      <c r="F119" s="122">
        <v>201.88499999999999</v>
      </c>
      <c r="G119" s="122">
        <v>110.80200000000001</v>
      </c>
      <c r="H119" s="122">
        <v>69.92</v>
      </c>
      <c r="I119" s="122">
        <v>5.9827754000000004</v>
      </c>
      <c r="J119" s="122">
        <v>5.0720000000000001</v>
      </c>
      <c r="K119" s="122">
        <v>2220.0010000000002</v>
      </c>
      <c r="L119" s="122">
        <v>20.074999999999999</v>
      </c>
      <c r="M119" s="122">
        <v>2240.076</v>
      </c>
      <c r="N119" s="122">
        <v>626.26199999999994</v>
      </c>
      <c r="O119" s="122">
        <v>2866.3380000000002</v>
      </c>
      <c r="P119" s="122">
        <v>666.92700000000002</v>
      </c>
      <c r="Q119" s="122">
        <v>-3.0049999999999999</v>
      </c>
      <c r="R119" s="122">
        <v>2196.4059999999999</v>
      </c>
      <c r="S119" s="123">
        <v>1963.0029999999999</v>
      </c>
    </row>
    <row r="120" spans="1:19">
      <c r="B120" s="127" t="s">
        <v>5</v>
      </c>
      <c r="C120" s="122">
        <v>1386.3099299999999</v>
      </c>
      <c r="D120" s="122">
        <v>457.91821999999996</v>
      </c>
      <c r="E120" s="122">
        <v>396.83720680503473</v>
      </c>
      <c r="F120" s="122">
        <v>209.30891779999999</v>
      </c>
      <c r="G120" s="122">
        <v>111.30324327335454</v>
      </c>
      <c r="H120" s="122">
        <v>70.25228109999999</v>
      </c>
      <c r="I120" s="122">
        <v>5.8608132314312629</v>
      </c>
      <c r="J120" s="122">
        <v>4.141</v>
      </c>
      <c r="K120" s="122">
        <v>2245.2063568050344</v>
      </c>
      <c r="L120" s="122">
        <v>27.024536749999999</v>
      </c>
      <c r="M120" s="122">
        <v>2272.2308935550345</v>
      </c>
      <c r="N120" s="122">
        <v>645.9519906368854</v>
      </c>
      <c r="O120" s="122">
        <v>2918.1828840000003</v>
      </c>
      <c r="P120" s="122">
        <v>690.83048621315413</v>
      </c>
      <c r="Q120" s="122">
        <v>-1.988</v>
      </c>
      <c r="R120" s="122">
        <v>2225.3643979815042</v>
      </c>
      <c r="S120" s="123">
        <v>1988.27855</v>
      </c>
    </row>
    <row r="121" spans="1:19">
      <c r="B121" s="127" t="s">
        <v>6</v>
      </c>
      <c r="C121" s="122">
        <v>1361.435815</v>
      </c>
      <c r="D121" s="122">
        <v>478.82648599999999</v>
      </c>
      <c r="E121" s="122">
        <v>392.16000863011845</v>
      </c>
      <c r="F121" s="122">
        <v>202.73947810000001</v>
      </c>
      <c r="G121" s="122">
        <v>104.21860085311388</v>
      </c>
      <c r="H121" s="122">
        <v>79.333603300000021</v>
      </c>
      <c r="I121" s="122">
        <v>5.8683264152177532</v>
      </c>
      <c r="J121" s="122">
        <v>2.88</v>
      </c>
      <c r="K121" s="122">
        <v>2235.3023096301181</v>
      </c>
      <c r="L121" s="122">
        <v>5.0532527780000001</v>
      </c>
      <c r="M121" s="122">
        <v>2240.3555624081187</v>
      </c>
      <c r="N121" s="122">
        <v>624.18016396459825</v>
      </c>
      <c r="O121" s="122">
        <v>2864.5357259999996</v>
      </c>
      <c r="P121" s="122">
        <v>664.08270897850787</v>
      </c>
      <c r="Q121" s="122">
        <v>-1.988</v>
      </c>
      <c r="R121" s="122">
        <v>2198.465017398164</v>
      </c>
      <c r="S121" s="123">
        <v>1965.1705929999998</v>
      </c>
    </row>
    <row r="122" spans="1:19">
      <c r="B122" s="127" t="s">
        <v>7</v>
      </c>
      <c r="C122" s="122">
        <v>1387.9668879999999</v>
      </c>
      <c r="D122" s="122">
        <v>483.77920900000004</v>
      </c>
      <c r="E122" s="122">
        <v>401.0139953854366</v>
      </c>
      <c r="F122" s="122">
        <v>213.83406330000003</v>
      </c>
      <c r="G122" s="122">
        <v>104.31951455691424</v>
      </c>
      <c r="H122" s="122">
        <v>76.9738246</v>
      </c>
      <c r="I122" s="122">
        <v>5.8865929683059735</v>
      </c>
      <c r="J122" s="122">
        <v>2.88</v>
      </c>
      <c r="K122" s="122">
        <v>2275.6400923854362</v>
      </c>
      <c r="L122" s="122">
        <v>7.45035471</v>
      </c>
      <c r="M122" s="122">
        <v>2283.0904470954365</v>
      </c>
      <c r="N122" s="122">
        <v>629.71046188892785</v>
      </c>
      <c r="O122" s="122">
        <v>2912.8009099999999</v>
      </c>
      <c r="P122" s="122">
        <v>667.59219096002153</v>
      </c>
      <c r="Q122" s="122">
        <v>-1.988</v>
      </c>
      <c r="R122" s="122">
        <v>2243.2207180208302</v>
      </c>
      <c r="S122" s="123">
        <v>2006.480892</v>
      </c>
    </row>
    <row r="123" spans="1:19">
      <c r="B123" s="127" t="s">
        <v>8</v>
      </c>
      <c r="C123" s="122">
        <v>1419.8885989999999</v>
      </c>
      <c r="D123" s="122">
        <v>488.625382</v>
      </c>
      <c r="E123" s="122">
        <v>421.70070666708551</v>
      </c>
      <c r="F123" s="122">
        <v>231.28834440000003</v>
      </c>
      <c r="G123" s="122">
        <v>108.35644784364065</v>
      </c>
      <c r="H123" s="122">
        <v>75.966060200000001</v>
      </c>
      <c r="I123" s="122">
        <v>6.0898544133537609</v>
      </c>
      <c r="J123" s="122">
        <v>2.88</v>
      </c>
      <c r="K123" s="122">
        <v>2333.0946876670855</v>
      </c>
      <c r="L123" s="122">
        <v>7.5430500199999999</v>
      </c>
      <c r="M123" s="122">
        <v>2340.6377376870851</v>
      </c>
      <c r="N123" s="122">
        <v>635.86570665624731</v>
      </c>
      <c r="O123" s="122">
        <v>2976.5034439999999</v>
      </c>
      <c r="P123" s="122">
        <v>672.11380022139963</v>
      </c>
      <c r="Q123" s="122">
        <v>-1.988</v>
      </c>
      <c r="R123" s="122">
        <v>2302.4016441190802</v>
      </c>
      <c r="S123" s="123">
        <v>2060.7696390000001</v>
      </c>
    </row>
    <row r="124" spans="1:19">
      <c r="B124" s="127" t="s">
        <v>9</v>
      </c>
      <c r="C124" s="122">
        <v>1451.3856389999999</v>
      </c>
      <c r="D124" s="122">
        <v>497.04807599999992</v>
      </c>
      <c r="E124" s="122">
        <v>440.32563852463903</v>
      </c>
      <c r="F124" s="122">
        <v>245.04051950000002</v>
      </c>
      <c r="G124" s="122">
        <v>114.23166448937675</v>
      </c>
      <c r="H124" s="122">
        <v>74.67339419999999</v>
      </c>
      <c r="I124" s="122">
        <v>6.3800603572593308</v>
      </c>
      <c r="J124" s="122">
        <v>2.88</v>
      </c>
      <c r="K124" s="122">
        <v>2391.6393535246389</v>
      </c>
      <c r="L124" s="122">
        <v>7.3673361899999996</v>
      </c>
      <c r="M124" s="122">
        <v>2399.0066897146389</v>
      </c>
      <c r="N124" s="122">
        <v>638.53915853325702</v>
      </c>
      <c r="O124" s="122">
        <v>3037.5458479999998</v>
      </c>
      <c r="P124" s="122">
        <v>673.2202267777534</v>
      </c>
      <c r="Q124" s="122">
        <v>-1.988</v>
      </c>
      <c r="R124" s="122">
        <v>2362.3376214730547</v>
      </c>
      <c r="S124" s="123">
        <v>2115.6697769999996</v>
      </c>
    </row>
    <row r="125" spans="1:19" ht="15.75" thickBot="1">
      <c r="B125" s="134" t="s">
        <v>10</v>
      </c>
      <c r="C125" s="170">
        <v>1477.2916419999999</v>
      </c>
      <c r="D125" s="170">
        <v>504.54490200000004</v>
      </c>
      <c r="E125" s="170">
        <v>454.44582065748995</v>
      </c>
      <c r="F125" s="170">
        <v>256.4277482</v>
      </c>
      <c r="G125" s="170">
        <v>117.87179296644381</v>
      </c>
      <c r="H125" s="170">
        <v>73.582221500000003</v>
      </c>
      <c r="I125" s="170">
        <v>6.5640580078378319</v>
      </c>
      <c r="J125" s="170">
        <v>2.88</v>
      </c>
      <c r="K125" s="170">
        <v>2439.1623646574899</v>
      </c>
      <c r="L125" s="170">
        <v>7.7512245599999998</v>
      </c>
      <c r="M125" s="170">
        <v>2446.91358921749</v>
      </c>
      <c r="N125" s="170">
        <v>640.07877036214813</v>
      </c>
      <c r="O125" s="170">
        <v>3086.9923599999993</v>
      </c>
      <c r="P125" s="170">
        <v>673.37280317766329</v>
      </c>
      <c r="Q125" s="170">
        <v>-1.988</v>
      </c>
      <c r="R125" s="170">
        <v>2411.6315564098081</v>
      </c>
      <c r="S125" s="171">
        <v>2161.119651</v>
      </c>
    </row>
    <row r="126" spans="1:19">
      <c r="B126" s="592" t="s">
        <v>209</v>
      </c>
      <c r="C126" s="593"/>
      <c r="D126" s="593"/>
      <c r="E126" s="593"/>
      <c r="F126" s="593"/>
      <c r="G126" s="593"/>
      <c r="H126" s="593"/>
      <c r="I126" s="593"/>
      <c r="J126" s="593"/>
      <c r="K126" s="593"/>
      <c r="L126" s="593"/>
      <c r="M126" s="593"/>
      <c r="N126" s="593"/>
      <c r="O126" s="593"/>
      <c r="P126" s="593"/>
      <c r="Q126" s="593"/>
      <c r="R126" s="593"/>
      <c r="S126" s="594"/>
    </row>
    <row r="127" spans="1:19">
      <c r="B127" s="592" t="s">
        <v>210</v>
      </c>
      <c r="C127" s="593"/>
      <c r="D127" s="593"/>
      <c r="E127" s="593"/>
      <c r="F127" s="593"/>
      <c r="G127" s="593"/>
      <c r="H127" s="593"/>
      <c r="I127" s="593"/>
      <c r="J127" s="593"/>
      <c r="K127" s="593"/>
      <c r="L127" s="593"/>
      <c r="M127" s="593"/>
      <c r="N127" s="593"/>
      <c r="O127" s="593"/>
      <c r="P127" s="593"/>
      <c r="Q127" s="593"/>
      <c r="R127" s="593"/>
      <c r="S127" s="594"/>
    </row>
    <row r="128" spans="1:19">
      <c r="B128" s="592" t="s">
        <v>211</v>
      </c>
      <c r="C128" s="593"/>
      <c r="D128" s="593"/>
      <c r="E128" s="593"/>
      <c r="F128" s="593"/>
      <c r="G128" s="593"/>
      <c r="H128" s="593"/>
      <c r="I128" s="593"/>
      <c r="J128" s="593"/>
      <c r="K128" s="593"/>
      <c r="L128" s="593"/>
      <c r="M128" s="593"/>
      <c r="N128" s="593"/>
      <c r="O128" s="593"/>
      <c r="P128" s="593"/>
      <c r="Q128" s="593"/>
      <c r="R128" s="593"/>
      <c r="S128" s="594"/>
    </row>
    <row r="129" spans="2:19">
      <c r="B129" s="586" t="s">
        <v>212</v>
      </c>
      <c r="C129" s="587"/>
      <c r="D129" s="587"/>
      <c r="E129" s="587"/>
      <c r="F129" s="587"/>
      <c r="G129" s="587"/>
      <c r="H129" s="587"/>
      <c r="I129" s="587"/>
      <c r="J129" s="587"/>
      <c r="K129" s="587"/>
      <c r="L129" s="587"/>
      <c r="M129" s="587"/>
      <c r="N129" s="587"/>
      <c r="O129" s="587"/>
      <c r="P129" s="587"/>
      <c r="Q129" s="587"/>
      <c r="R129" s="587"/>
      <c r="S129" s="588"/>
    </row>
    <row r="130" spans="2:19">
      <c r="B130" s="586" t="s">
        <v>213</v>
      </c>
      <c r="C130" s="587"/>
      <c r="D130" s="587"/>
      <c r="E130" s="587"/>
      <c r="F130" s="587"/>
      <c r="G130" s="587"/>
      <c r="H130" s="587"/>
      <c r="I130" s="587"/>
      <c r="J130" s="587"/>
      <c r="K130" s="587"/>
      <c r="L130" s="587"/>
      <c r="M130" s="587"/>
      <c r="N130" s="587"/>
      <c r="O130" s="587"/>
      <c r="P130" s="587"/>
      <c r="Q130" s="587"/>
      <c r="R130" s="587"/>
      <c r="S130" s="588"/>
    </row>
    <row r="131" spans="2:19">
      <c r="B131" s="586" t="s">
        <v>214</v>
      </c>
      <c r="C131" s="587"/>
      <c r="D131" s="587"/>
      <c r="E131" s="587"/>
      <c r="F131" s="587"/>
      <c r="G131" s="587"/>
      <c r="H131" s="587"/>
      <c r="I131" s="587"/>
      <c r="J131" s="587"/>
      <c r="K131" s="587"/>
      <c r="L131" s="587"/>
      <c r="M131" s="587"/>
      <c r="N131" s="587"/>
      <c r="O131" s="587"/>
      <c r="P131" s="587"/>
      <c r="Q131" s="587"/>
      <c r="R131" s="587"/>
      <c r="S131" s="588"/>
    </row>
    <row r="132" spans="2:19">
      <c r="B132" s="586" t="s">
        <v>215</v>
      </c>
      <c r="C132" s="587"/>
      <c r="D132" s="587"/>
      <c r="E132" s="587"/>
      <c r="F132" s="587"/>
      <c r="G132" s="587"/>
      <c r="H132" s="587"/>
      <c r="I132" s="587"/>
      <c r="J132" s="587"/>
      <c r="K132" s="587"/>
      <c r="L132" s="587"/>
      <c r="M132" s="587"/>
      <c r="N132" s="587"/>
      <c r="O132" s="587"/>
      <c r="P132" s="587"/>
      <c r="Q132" s="587"/>
      <c r="R132" s="587"/>
      <c r="S132" s="588"/>
    </row>
    <row r="133" spans="2:19">
      <c r="B133" s="586" t="s">
        <v>216</v>
      </c>
      <c r="C133" s="587"/>
      <c r="D133" s="587"/>
      <c r="E133" s="587"/>
      <c r="F133" s="587"/>
      <c r="G133" s="587"/>
      <c r="H133" s="587"/>
      <c r="I133" s="587"/>
      <c r="J133" s="587"/>
      <c r="K133" s="587"/>
      <c r="L133" s="587"/>
      <c r="M133" s="587"/>
      <c r="N133" s="587"/>
      <c r="O133" s="587"/>
      <c r="P133" s="587"/>
      <c r="Q133" s="587"/>
      <c r="R133" s="587"/>
      <c r="S133" s="588"/>
    </row>
    <row r="134" spans="2:19">
      <c r="B134" s="586" t="s">
        <v>217</v>
      </c>
      <c r="C134" s="587"/>
      <c r="D134" s="587"/>
      <c r="E134" s="587"/>
      <c r="F134" s="587"/>
      <c r="G134" s="587"/>
      <c r="H134" s="587"/>
      <c r="I134" s="587"/>
      <c r="J134" s="587"/>
      <c r="K134" s="587"/>
      <c r="L134" s="587"/>
      <c r="M134" s="587"/>
      <c r="N134" s="587"/>
      <c r="O134" s="587"/>
      <c r="P134" s="587"/>
      <c r="Q134" s="587"/>
      <c r="R134" s="587"/>
      <c r="S134" s="588"/>
    </row>
    <row r="135" spans="2:19">
      <c r="B135" s="592" t="s">
        <v>218</v>
      </c>
      <c r="C135" s="593"/>
      <c r="D135" s="593"/>
      <c r="E135" s="593"/>
      <c r="F135" s="593"/>
      <c r="G135" s="593"/>
      <c r="H135" s="593"/>
      <c r="I135" s="593"/>
      <c r="J135" s="593"/>
      <c r="K135" s="593"/>
      <c r="L135" s="593"/>
      <c r="M135" s="593"/>
      <c r="N135" s="593"/>
      <c r="O135" s="593"/>
      <c r="P135" s="593"/>
      <c r="Q135" s="593"/>
      <c r="R135" s="593"/>
      <c r="S135" s="594"/>
    </row>
    <row r="136" spans="2:19">
      <c r="B136" s="586" t="s">
        <v>219</v>
      </c>
      <c r="C136" s="587"/>
      <c r="D136" s="587"/>
      <c r="E136" s="587"/>
      <c r="F136" s="587"/>
      <c r="G136" s="587"/>
      <c r="H136" s="587"/>
      <c r="I136" s="587"/>
      <c r="J136" s="587"/>
      <c r="K136" s="587"/>
      <c r="L136" s="587"/>
      <c r="M136" s="587"/>
      <c r="N136" s="587"/>
      <c r="O136" s="587"/>
      <c r="P136" s="587"/>
      <c r="Q136" s="587"/>
      <c r="R136" s="587"/>
      <c r="S136" s="588"/>
    </row>
    <row r="137" spans="2:19">
      <c r="B137" s="586" t="s">
        <v>220</v>
      </c>
      <c r="C137" s="587"/>
      <c r="D137" s="587"/>
      <c r="E137" s="587"/>
      <c r="F137" s="587"/>
      <c r="G137" s="587"/>
      <c r="H137" s="587"/>
      <c r="I137" s="587"/>
      <c r="J137" s="587"/>
      <c r="K137" s="587"/>
      <c r="L137" s="587"/>
      <c r="M137" s="587"/>
      <c r="N137" s="587"/>
      <c r="O137" s="587"/>
      <c r="P137" s="587"/>
      <c r="Q137" s="587"/>
      <c r="R137" s="587"/>
      <c r="S137" s="588"/>
    </row>
    <row r="138" spans="2:19">
      <c r="B138" s="586" t="s">
        <v>221</v>
      </c>
      <c r="C138" s="587"/>
      <c r="D138" s="587"/>
      <c r="E138" s="587"/>
      <c r="F138" s="587"/>
      <c r="G138" s="587"/>
      <c r="H138" s="587"/>
      <c r="I138" s="587"/>
      <c r="J138" s="587"/>
      <c r="K138" s="587"/>
      <c r="L138" s="587"/>
      <c r="M138" s="587"/>
      <c r="N138" s="587"/>
      <c r="O138" s="587"/>
      <c r="P138" s="587"/>
      <c r="Q138" s="587"/>
      <c r="R138" s="587"/>
      <c r="S138" s="588"/>
    </row>
    <row r="139" spans="2:19">
      <c r="B139" s="586" t="s">
        <v>222</v>
      </c>
      <c r="C139" s="587"/>
      <c r="D139" s="587"/>
      <c r="E139" s="587"/>
      <c r="F139" s="587"/>
      <c r="G139" s="587"/>
      <c r="H139" s="587"/>
      <c r="I139" s="587"/>
      <c r="J139" s="587"/>
      <c r="K139" s="587"/>
      <c r="L139" s="587"/>
      <c r="M139" s="587"/>
      <c r="N139" s="587"/>
      <c r="O139" s="587"/>
      <c r="P139" s="587"/>
      <c r="Q139" s="587"/>
      <c r="R139" s="587"/>
      <c r="S139" s="588"/>
    </row>
    <row r="140" spans="2:19">
      <c r="B140" s="586" t="s">
        <v>223</v>
      </c>
      <c r="C140" s="587"/>
      <c r="D140" s="587"/>
      <c r="E140" s="587"/>
      <c r="F140" s="587"/>
      <c r="G140" s="587"/>
      <c r="H140" s="587"/>
      <c r="I140" s="587"/>
      <c r="J140" s="587"/>
      <c r="K140" s="587"/>
      <c r="L140" s="587"/>
      <c r="M140" s="587"/>
      <c r="N140" s="587"/>
      <c r="O140" s="587"/>
      <c r="P140" s="587"/>
      <c r="Q140" s="587"/>
      <c r="R140" s="587"/>
      <c r="S140" s="588"/>
    </row>
    <row r="141" spans="2:19">
      <c r="B141" s="586" t="s">
        <v>224</v>
      </c>
      <c r="C141" s="587"/>
      <c r="D141" s="587"/>
      <c r="E141" s="587"/>
      <c r="F141" s="587"/>
      <c r="G141" s="587"/>
      <c r="H141" s="587"/>
      <c r="I141" s="587"/>
      <c r="J141" s="587"/>
      <c r="K141" s="587"/>
      <c r="L141" s="587"/>
      <c r="M141" s="587"/>
      <c r="N141" s="587"/>
      <c r="O141" s="587"/>
      <c r="P141" s="587"/>
      <c r="Q141" s="587"/>
      <c r="R141" s="587"/>
      <c r="S141" s="588"/>
    </row>
    <row r="142" spans="2:19" ht="15.75" thickBot="1">
      <c r="B142" s="589" t="s">
        <v>225</v>
      </c>
      <c r="C142" s="590"/>
      <c r="D142" s="590"/>
      <c r="E142" s="590"/>
      <c r="F142" s="590"/>
      <c r="G142" s="590"/>
      <c r="H142" s="590"/>
      <c r="I142" s="590"/>
      <c r="J142" s="590"/>
      <c r="K142" s="590"/>
      <c r="L142" s="590"/>
      <c r="M142" s="590"/>
      <c r="N142" s="590"/>
      <c r="O142" s="590"/>
      <c r="P142" s="590"/>
      <c r="Q142" s="590"/>
      <c r="R142" s="590"/>
      <c r="S142" s="591"/>
    </row>
    <row r="143" spans="2:19">
      <c r="B143" s="147"/>
      <c r="C143" s="148"/>
      <c r="D143" s="148"/>
      <c r="E143" s="148"/>
      <c r="F143" s="148"/>
      <c r="G143" s="148"/>
      <c r="H143" s="148"/>
      <c r="I143" s="148"/>
      <c r="J143" s="148"/>
      <c r="K143" s="148"/>
      <c r="L143" s="148"/>
      <c r="M143" s="148"/>
      <c r="N143" s="148"/>
      <c r="O143" s="148"/>
      <c r="P143" s="148"/>
      <c r="Q143" s="148"/>
      <c r="R143" s="148"/>
      <c r="S143" s="148"/>
    </row>
    <row r="144" spans="2:19">
      <c r="B144" s="147"/>
      <c r="C144" s="148"/>
      <c r="D144" s="148"/>
      <c r="E144" s="148"/>
      <c r="F144" s="148"/>
      <c r="G144" s="148"/>
      <c r="H144" s="148"/>
      <c r="I144" s="148"/>
      <c r="J144" s="148"/>
      <c r="K144" s="148"/>
      <c r="L144" s="148"/>
      <c r="M144" s="148"/>
      <c r="N144" s="148"/>
      <c r="O144" s="148"/>
      <c r="P144" s="148"/>
      <c r="Q144" s="148"/>
      <c r="R144" s="148"/>
      <c r="S144" s="148"/>
    </row>
    <row r="145" spans="2:19">
      <c r="B145" s="147"/>
      <c r="C145" s="148"/>
      <c r="D145" s="148"/>
      <c r="E145" s="148"/>
      <c r="F145" s="148"/>
      <c r="G145" s="148"/>
      <c r="H145" s="148"/>
      <c r="I145" s="148"/>
      <c r="J145" s="148"/>
      <c r="K145" s="148"/>
      <c r="L145" s="148"/>
      <c r="M145" s="148"/>
      <c r="N145" s="148"/>
      <c r="O145" s="148"/>
      <c r="P145" s="148"/>
      <c r="Q145" s="148"/>
      <c r="R145" s="148"/>
      <c r="S145" s="148"/>
    </row>
    <row r="146" spans="2:19">
      <c r="B146" s="147"/>
      <c r="C146" s="148"/>
      <c r="D146" s="148"/>
      <c r="E146" s="148"/>
      <c r="F146" s="148"/>
      <c r="G146" s="148"/>
      <c r="H146" s="148"/>
      <c r="I146" s="148"/>
      <c r="J146" s="148"/>
      <c r="K146" s="148"/>
      <c r="L146" s="148"/>
      <c r="M146" s="148"/>
      <c r="N146" s="148"/>
      <c r="O146" s="148"/>
      <c r="P146" s="148"/>
      <c r="Q146" s="148"/>
      <c r="R146" s="148"/>
      <c r="S146" s="148"/>
    </row>
    <row r="147" spans="2:19">
      <c r="B147" s="147"/>
      <c r="C147" s="148"/>
      <c r="D147" s="148"/>
      <c r="E147" s="148"/>
      <c r="F147" s="148"/>
      <c r="G147" s="148"/>
      <c r="H147" s="148"/>
      <c r="I147" s="148"/>
      <c r="J147" s="148"/>
      <c r="K147" s="148"/>
      <c r="L147" s="148"/>
      <c r="M147" s="148"/>
      <c r="N147" s="148"/>
      <c r="O147" s="148"/>
      <c r="P147" s="148"/>
      <c r="Q147" s="148"/>
      <c r="R147" s="148"/>
      <c r="S147" s="148"/>
    </row>
    <row r="148" spans="2:19">
      <c r="B148" s="147"/>
      <c r="C148" s="148"/>
      <c r="D148" s="148"/>
      <c r="E148" s="148"/>
      <c r="F148" s="148"/>
      <c r="G148" s="148"/>
      <c r="H148" s="148"/>
      <c r="I148" s="148"/>
      <c r="J148" s="148"/>
      <c r="K148" s="148"/>
      <c r="L148" s="148"/>
      <c r="M148" s="148"/>
      <c r="N148" s="148"/>
      <c r="O148" s="148"/>
      <c r="P148" s="148"/>
      <c r="Q148" s="148"/>
      <c r="R148" s="148"/>
      <c r="S148" s="148"/>
    </row>
    <row r="149" spans="2:19">
      <c r="B149" s="147"/>
      <c r="C149" s="148"/>
      <c r="D149" s="148"/>
      <c r="E149" s="148"/>
      <c r="F149" s="148"/>
      <c r="G149" s="148"/>
      <c r="H149" s="148"/>
      <c r="I149" s="148"/>
      <c r="J149" s="148"/>
      <c r="K149" s="148"/>
      <c r="L149" s="148"/>
      <c r="M149" s="148"/>
      <c r="N149" s="148"/>
      <c r="O149" s="148"/>
      <c r="P149" s="148"/>
      <c r="Q149" s="148"/>
      <c r="R149" s="148"/>
      <c r="S149" s="148"/>
    </row>
    <row r="150" spans="2:19">
      <c r="B150" s="147"/>
      <c r="C150" s="148"/>
      <c r="D150" s="148"/>
      <c r="E150" s="148"/>
      <c r="F150" s="148"/>
      <c r="G150" s="148"/>
      <c r="H150" s="148"/>
      <c r="I150" s="148"/>
      <c r="J150" s="148"/>
      <c r="K150" s="148"/>
      <c r="L150" s="148"/>
      <c r="M150" s="148"/>
      <c r="N150" s="148"/>
      <c r="O150" s="148"/>
      <c r="P150" s="148"/>
      <c r="Q150" s="148"/>
      <c r="R150" s="148"/>
      <c r="S150" s="148"/>
    </row>
    <row r="151" spans="2:19">
      <c r="B151" s="147"/>
      <c r="C151" s="148"/>
      <c r="D151" s="148"/>
      <c r="E151" s="148"/>
      <c r="F151" s="148"/>
      <c r="G151" s="148"/>
      <c r="H151" s="148"/>
      <c r="I151" s="148"/>
      <c r="J151" s="148"/>
      <c r="K151" s="148"/>
      <c r="L151" s="148"/>
      <c r="M151" s="148"/>
      <c r="N151" s="148"/>
      <c r="O151" s="148"/>
      <c r="P151" s="148"/>
      <c r="Q151" s="148"/>
      <c r="R151" s="148"/>
      <c r="S151" s="148"/>
    </row>
    <row r="152" spans="2:19">
      <c r="B152" s="147"/>
      <c r="C152" s="148"/>
      <c r="D152" s="148"/>
      <c r="E152" s="148"/>
      <c r="F152" s="148"/>
      <c r="G152" s="148"/>
      <c r="H152" s="148"/>
      <c r="I152" s="148"/>
      <c r="J152" s="148"/>
      <c r="K152" s="148"/>
      <c r="L152" s="148"/>
      <c r="M152" s="148"/>
      <c r="N152" s="148"/>
      <c r="O152" s="148"/>
      <c r="P152" s="148"/>
      <c r="Q152" s="148"/>
      <c r="R152" s="148"/>
      <c r="S152" s="148"/>
    </row>
    <row r="153" spans="2:19">
      <c r="B153" s="147"/>
      <c r="C153" s="148"/>
      <c r="D153" s="148"/>
      <c r="E153" s="148"/>
      <c r="F153" s="148"/>
      <c r="G153" s="148"/>
      <c r="H153" s="148"/>
      <c r="I153" s="148"/>
      <c r="J153" s="148"/>
      <c r="K153" s="148"/>
      <c r="L153" s="148"/>
      <c r="M153" s="148"/>
      <c r="N153" s="148"/>
      <c r="O153" s="148"/>
      <c r="P153" s="148"/>
      <c r="Q153" s="148"/>
      <c r="R153" s="148"/>
      <c r="S153" s="148"/>
    </row>
    <row r="154" spans="2:19">
      <c r="B154" s="147"/>
      <c r="C154" s="148"/>
      <c r="D154" s="148"/>
      <c r="E154" s="148"/>
      <c r="F154" s="148"/>
      <c r="G154" s="148"/>
      <c r="H154" s="148"/>
      <c r="I154" s="148"/>
      <c r="J154" s="148"/>
      <c r="K154" s="148"/>
      <c r="L154" s="148"/>
      <c r="M154" s="148"/>
      <c r="N154" s="148"/>
      <c r="O154" s="148"/>
      <c r="P154" s="148"/>
      <c r="Q154" s="148"/>
      <c r="R154" s="148"/>
      <c r="S154" s="148"/>
    </row>
    <row r="155" spans="2:19">
      <c r="C155" s="148"/>
      <c r="D155" s="148"/>
      <c r="E155" s="148"/>
      <c r="F155" s="148"/>
      <c r="G155" s="148"/>
      <c r="H155" s="148"/>
      <c r="I155" s="148"/>
      <c r="J155" s="148"/>
      <c r="K155" s="148"/>
      <c r="L155" s="148"/>
      <c r="M155" s="148"/>
      <c r="N155" s="148"/>
      <c r="O155" s="148"/>
      <c r="P155" s="148"/>
      <c r="Q155" s="148"/>
      <c r="R155" s="148"/>
      <c r="S155" s="148"/>
    </row>
    <row r="156" spans="2:19">
      <c r="C156" s="148"/>
      <c r="D156" s="148"/>
      <c r="E156" s="148"/>
      <c r="F156" s="148"/>
      <c r="G156" s="148"/>
      <c r="H156" s="148"/>
      <c r="I156" s="148"/>
      <c r="J156" s="148"/>
      <c r="K156" s="148"/>
      <c r="L156" s="148"/>
      <c r="M156" s="148"/>
      <c r="N156" s="148"/>
      <c r="O156" s="148"/>
      <c r="P156" s="148"/>
      <c r="Q156" s="148"/>
      <c r="R156" s="148"/>
      <c r="S156" s="148"/>
    </row>
    <row r="157" spans="2:19">
      <c r="C157" s="148"/>
      <c r="D157" s="148"/>
      <c r="E157" s="148"/>
      <c r="F157" s="148"/>
      <c r="G157" s="148"/>
      <c r="H157" s="148"/>
      <c r="I157" s="148"/>
      <c r="J157" s="148"/>
      <c r="K157" s="148"/>
      <c r="L157" s="148"/>
      <c r="M157" s="148"/>
      <c r="N157" s="148"/>
      <c r="O157" s="148"/>
      <c r="P157" s="148"/>
      <c r="Q157" s="148"/>
      <c r="R157" s="148"/>
      <c r="S157" s="148"/>
    </row>
    <row r="158" spans="2:19">
      <c r="C158" s="148"/>
      <c r="D158" s="148"/>
      <c r="E158" s="148"/>
      <c r="F158" s="148"/>
      <c r="G158" s="148"/>
      <c r="H158" s="148"/>
      <c r="I158" s="148"/>
      <c r="J158" s="148"/>
      <c r="K158" s="148"/>
      <c r="L158" s="148"/>
      <c r="M158" s="148"/>
      <c r="N158" s="148"/>
      <c r="O158" s="148"/>
      <c r="P158" s="148"/>
      <c r="Q158" s="148"/>
      <c r="R158" s="148"/>
      <c r="S158" s="148"/>
    </row>
    <row r="159" spans="2:19">
      <c r="C159" s="148"/>
      <c r="D159" s="148"/>
      <c r="E159" s="148"/>
      <c r="F159" s="148"/>
      <c r="G159" s="148"/>
      <c r="H159" s="148"/>
      <c r="I159" s="148"/>
      <c r="J159" s="148"/>
      <c r="K159" s="148"/>
      <c r="L159" s="148"/>
      <c r="M159" s="148"/>
      <c r="N159" s="148"/>
      <c r="O159" s="148"/>
      <c r="P159" s="148"/>
      <c r="Q159" s="148"/>
      <c r="R159" s="148"/>
      <c r="S159" s="148"/>
    </row>
    <row r="160" spans="2:19">
      <c r="C160" s="148"/>
      <c r="D160" s="148"/>
      <c r="E160" s="148"/>
      <c r="F160" s="148"/>
      <c r="G160" s="148"/>
      <c r="H160" s="148"/>
      <c r="I160" s="148"/>
      <c r="J160" s="148"/>
      <c r="K160" s="148"/>
      <c r="L160" s="148"/>
      <c r="M160" s="148"/>
      <c r="N160" s="148"/>
      <c r="O160" s="148"/>
      <c r="P160" s="148"/>
      <c r="Q160" s="148"/>
      <c r="R160" s="148"/>
      <c r="S160" s="148"/>
    </row>
    <row r="161" spans="3:19">
      <c r="C161" s="148"/>
      <c r="D161" s="148"/>
      <c r="E161" s="148"/>
      <c r="F161" s="148"/>
      <c r="G161" s="148"/>
      <c r="H161" s="148"/>
      <c r="I161" s="148"/>
      <c r="J161" s="148"/>
      <c r="K161" s="148"/>
      <c r="L161" s="148"/>
      <c r="M161" s="148"/>
      <c r="N161" s="148"/>
      <c r="O161" s="148"/>
      <c r="P161" s="148"/>
      <c r="Q161" s="148"/>
      <c r="R161" s="148"/>
      <c r="S161" s="148"/>
    </row>
  </sheetData>
  <mergeCells count="31">
    <mergeCell ref="B2:S2"/>
    <mergeCell ref="C3:C4"/>
    <mergeCell ref="D3:D4"/>
    <mergeCell ref="J3:J4"/>
    <mergeCell ref="K3:K4"/>
    <mergeCell ref="L3:L4"/>
    <mergeCell ref="M3:M4"/>
    <mergeCell ref="N3:N4"/>
    <mergeCell ref="O3:O4"/>
    <mergeCell ref="P3:P4"/>
    <mergeCell ref="B133:S133"/>
    <mergeCell ref="Q3:Q4"/>
    <mergeCell ref="R3:R4"/>
    <mergeCell ref="S3:S4"/>
    <mergeCell ref="A50:A54"/>
    <mergeCell ref="B126:S126"/>
    <mergeCell ref="B127:S127"/>
    <mergeCell ref="B128:S128"/>
    <mergeCell ref="B129:S129"/>
    <mergeCell ref="B130:S130"/>
    <mergeCell ref="B131:S131"/>
    <mergeCell ref="B132:S132"/>
    <mergeCell ref="B140:S140"/>
    <mergeCell ref="B141:S141"/>
    <mergeCell ref="B142:S142"/>
    <mergeCell ref="B134:S134"/>
    <mergeCell ref="B135:S135"/>
    <mergeCell ref="B136:S136"/>
    <mergeCell ref="B137:S137"/>
    <mergeCell ref="B138:S138"/>
    <mergeCell ref="B139:S139"/>
  </mergeCells>
  <hyperlinks>
    <hyperlink ref="A1" location="Contents!A1" display="Back to contents" xr:uid="{D95AAAF8-58AB-4482-BF54-FDBB89E6465E}"/>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13FF7-1B43-453C-9540-E9A6CDF9AACE}">
  <sheetPr codeName="Sheet25">
    <tabColor theme="6"/>
  </sheetPr>
  <dimension ref="A1:AE155"/>
  <sheetViews>
    <sheetView topLeftCell="A96" zoomScaleNormal="100" zoomScaleSheetLayoutView="100" workbookViewId="0">
      <selection activeCell="X125" sqref="X125"/>
    </sheetView>
  </sheetViews>
  <sheetFormatPr defaultColWidth="10.140625" defaultRowHeight="15"/>
  <cols>
    <col min="1" max="1" width="10.7109375" style="111" customWidth="1"/>
    <col min="2" max="2" width="8.28515625" style="111" customWidth="1"/>
    <col min="3" max="3" width="7.85546875" style="111" customWidth="1"/>
    <col min="4" max="4" width="13.140625" style="111" customWidth="1"/>
    <col min="5" max="5" width="12.5703125" style="111" customWidth="1"/>
    <col min="6" max="6" width="12.42578125" style="111" customWidth="1"/>
    <col min="7" max="7" width="10" style="111" customWidth="1"/>
    <col min="8" max="8" width="10.140625" style="111" customWidth="1"/>
    <col min="9" max="9" width="9.85546875" style="111" customWidth="1"/>
    <col min="10" max="10" width="9.5703125" style="111" customWidth="1"/>
    <col min="11" max="11" width="7.42578125" style="111" customWidth="1"/>
    <col min="12" max="12" width="11.42578125" style="111" customWidth="1"/>
    <col min="13" max="13" width="7.7109375" style="111" customWidth="1"/>
    <col min="14" max="14" width="12.140625" style="111" customWidth="1"/>
    <col min="15" max="15" width="7.7109375" style="111" customWidth="1"/>
    <col min="16" max="16" width="8.7109375" style="111" customWidth="1"/>
    <col min="17" max="16384" width="10.140625"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558" t="s">
        <v>226</v>
      </c>
      <c r="C2" s="559"/>
      <c r="D2" s="559"/>
      <c r="E2" s="559"/>
      <c r="F2" s="559"/>
      <c r="G2" s="559"/>
      <c r="H2" s="559"/>
      <c r="I2" s="559"/>
      <c r="J2" s="559"/>
      <c r="K2" s="559"/>
      <c r="L2" s="559"/>
      <c r="M2" s="559"/>
      <c r="N2" s="559"/>
      <c r="O2" s="559"/>
      <c r="P2" s="560"/>
      <c r="S2" s="111" t="s">
        <v>227</v>
      </c>
    </row>
    <row r="3" spans="1:31" s="153" customFormat="1" ht="41.25" customHeight="1">
      <c r="A3" s="151"/>
      <c r="B3" s="561" t="s">
        <v>93</v>
      </c>
      <c r="C3" s="555" t="s">
        <v>94</v>
      </c>
      <c r="D3" s="555" t="s">
        <v>95</v>
      </c>
      <c r="E3" s="152" t="s">
        <v>96</v>
      </c>
      <c r="F3" s="152"/>
      <c r="G3" s="555" t="s">
        <v>97</v>
      </c>
      <c r="H3" s="555" t="s">
        <v>98</v>
      </c>
      <c r="I3" s="555" t="s">
        <v>99</v>
      </c>
      <c r="J3" s="555" t="s">
        <v>100</v>
      </c>
      <c r="K3" s="555" t="s">
        <v>101</v>
      </c>
      <c r="L3" s="555" t="s">
        <v>102</v>
      </c>
      <c r="M3" s="555" t="s">
        <v>103</v>
      </c>
      <c r="N3" s="555" t="s">
        <v>104</v>
      </c>
      <c r="O3" s="555" t="s">
        <v>228</v>
      </c>
      <c r="P3" s="556"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562"/>
      <c r="C4" s="555"/>
      <c r="D4" s="555"/>
      <c r="E4" s="119" t="s">
        <v>18</v>
      </c>
      <c r="F4" s="119" t="s">
        <v>109</v>
      </c>
      <c r="G4" s="555"/>
      <c r="H4" s="555"/>
      <c r="I4" s="555"/>
      <c r="J4" s="555"/>
      <c r="K4" s="555"/>
      <c r="L4" s="555"/>
      <c r="M4" s="555"/>
      <c r="N4" s="555"/>
      <c r="O4" s="555"/>
      <c r="P4" s="557"/>
    </row>
    <row r="5" spans="1:31" ht="15.75">
      <c r="A5" s="110"/>
      <c r="B5" s="154" t="s">
        <v>111</v>
      </c>
      <c r="C5" s="122">
        <v>256.262</v>
      </c>
      <c r="D5" s="122">
        <v>80.113</v>
      </c>
      <c r="E5" s="122">
        <v>70.974999999999994</v>
      </c>
      <c r="F5" s="122">
        <v>11.186999999999999</v>
      </c>
      <c r="G5" s="122">
        <v>8.3000000000000004E-2</v>
      </c>
      <c r="H5" s="122">
        <v>407.43299999999999</v>
      </c>
      <c r="I5" s="122">
        <v>-0.106</v>
      </c>
      <c r="J5" s="122">
        <v>407.327</v>
      </c>
      <c r="K5" s="122">
        <v>103.92700000000001</v>
      </c>
      <c r="L5" s="122">
        <v>511.25400000000002</v>
      </c>
      <c r="M5" s="122">
        <v>113.98099999999999</v>
      </c>
      <c r="N5" s="122">
        <v>0</v>
      </c>
      <c r="O5" s="122">
        <v>397.27300000000002</v>
      </c>
      <c r="P5" s="155">
        <v>396.64400000000001</v>
      </c>
      <c r="Q5" s="156"/>
      <c r="R5" s="157"/>
      <c r="S5" s="124">
        <f>100*(C5/OBR_NOV22_1.1!C5)</f>
        <v>83.098883851846082</v>
      </c>
      <c r="T5" s="124">
        <f>100*(D5/OBR_NOV22_1.1!D5)</f>
        <v>85.664945091371806</v>
      </c>
      <c r="U5" s="124">
        <f>100*(E5/OBR_NOV22_1.1!E5)</f>
        <v>81.554212437376464</v>
      </c>
      <c r="V5" s="124">
        <f>100*(K5/OBR_NOV22_1.1!N5)</f>
        <v>75.468012490015241</v>
      </c>
      <c r="W5" s="124">
        <f>100*(M5/OBR_NOV22_1.1!P5)</f>
        <v>82.246274849370423</v>
      </c>
      <c r="X5" s="124">
        <f>100*(O5/OBR_NOV22_1.1!R5)</f>
        <v>81.475017483557252</v>
      </c>
    </row>
    <row r="6" spans="1:31" ht="15.75">
      <c r="A6" s="110"/>
      <c r="B6" s="154" t="s">
        <v>112</v>
      </c>
      <c r="C6" s="122">
        <v>257.03699999999998</v>
      </c>
      <c r="D6" s="122">
        <v>80.391000000000005</v>
      </c>
      <c r="E6" s="122">
        <v>71.775999999999996</v>
      </c>
      <c r="F6" s="122">
        <v>11.23</v>
      </c>
      <c r="G6" s="122">
        <v>0.23499999999999999</v>
      </c>
      <c r="H6" s="122">
        <v>409.43900000000002</v>
      </c>
      <c r="I6" s="122">
        <v>0.379</v>
      </c>
      <c r="J6" s="122">
        <v>409.81799999999998</v>
      </c>
      <c r="K6" s="122">
        <v>109.9</v>
      </c>
      <c r="L6" s="122">
        <v>519.71799999999996</v>
      </c>
      <c r="M6" s="122">
        <v>118.702</v>
      </c>
      <c r="N6" s="122">
        <v>0</v>
      </c>
      <c r="O6" s="122">
        <v>401.01600000000002</v>
      </c>
      <c r="P6" s="155">
        <v>396.209</v>
      </c>
      <c r="Q6" s="156"/>
      <c r="R6" s="157"/>
      <c r="S6" s="124">
        <f>100*(C6/OBR_NOV22_1.1!C6)</f>
        <v>84.338302123903674</v>
      </c>
      <c r="T6" s="124">
        <f>100*(D6/OBR_NOV22_1.1!D6)</f>
        <v>86.175070748649347</v>
      </c>
      <c r="U6" s="124">
        <f>100*(E6/OBR_NOV22_1.1!E6)</f>
        <v>81.994105417076014</v>
      </c>
      <c r="V6" s="124">
        <f>100*(K6/OBR_NOV22_1.1!N6)</f>
        <v>79.408661974884026</v>
      </c>
      <c r="W6" s="124">
        <f>100*(M6/OBR_NOV22_1.1!P6)</f>
        <v>86.115786419036553</v>
      </c>
      <c r="X6" s="124">
        <f>100*(O6/OBR_NOV22_1.1!R6)</f>
        <v>82.636344528291005</v>
      </c>
      <c r="AA6" s="124">
        <f>100*((T6/T5)-1)</f>
        <v>0.59548938802613804</v>
      </c>
    </row>
    <row r="7" spans="1:31" ht="15.75">
      <c r="A7" s="110"/>
      <c r="B7" s="154" t="s">
        <v>113</v>
      </c>
      <c r="C7" s="122">
        <v>256.69799999999998</v>
      </c>
      <c r="D7" s="122">
        <v>81.316000000000003</v>
      </c>
      <c r="E7" s="122">
        <v>68.903999999999996</v>
      </c>
      <c r="F7" s="122">
        <v>11.843999999999999</v>
      </c>
      <c r="G7" s="122">
        <v>-0.89600000000000002</v>
      </c>
      <c r="H7" s="122">
        <v>406.02199999999999</v>
      </c>
      <c r="I7" s="122">
        <v>1.6719999999999999</v>
      </c>
      <c r="J7" s="122">
        <v>407.69400000000002</v>
      </c>
      <c r="K7" s="122">
        <v>112.577</v>
      </c>
      <c r="L7" s="122">
        <v>520.27099999999996</v>
      </c>
      <c r="M7" s="122">
        <v>119.41200000000001</v>
      </c>
      <c r="N7" s="122">
        <v>0</v>
      </c>
      <c r="O7" s="122">
        <v>400.85899999999998</v>
      </c>
      <c r="P7" s="155">
        <v>396.43799999999999</v>
      </c>
      <c r="Q7" s="156"/>
      <c r="R7" s="157"/>
      <c r="S7" s="124">
        <f>100*(C7/OBR_NOV22_1.1!C7)</f>
        <v>85.659082870052131</v>
      </c>
      <c r="T7" s="124">
        <f>100*(D7/OBR_NOV22_1.1!D7)</f>
        <v>85.655297364484809</v>
      </c>
      <c r="U7" s="124">
        <f>100*(E7/OBR_NOV22_1.1!E7)</f>
        <v>82.95390245957887</v>
      </c>
      <c r="V7" s="124">
        <f>100*(K7/OBR_NOV22_1.1!N7)</f>
        <v>81.264843248081647</v>
      </c>
      <c r="W7" s="124">
        <f>100*(M7/OBR_NOV22_1.1!P7)</f>
        <v>88.080134541055671</v>
      </c>
      <c r="X7" s="124">
        <f>100*(O7/OBR_NOV22_1.1!R7)</f>
        <v>83.87312082186908</v>
      </c>
      <c r="AA7" s="124">
        <f t="shared" ref="Z7:AA70" si="0">100*((T7/T6)-1)</f>
        <v>-0.60315979975297251</v>
      </c>
    </row>
    <row r="8" spans="1:31" ht="15.75">
      <c r="A8" s="110"/>
      <c r="B8" s="154" t="s">
        <v>114</v>
      </c>
      <c r="C8" s="122">
        <v>248.97900000000001</v>
      </c>
      <c r="D8" s="122">
        <v>83.542000000000002</v>
      </c>
      <c r="E8" s="122">
        <v>67.897999999999996</v>
      </c>
      <c r="F8" s="122">
        <v>12.593999999999999</v>
      </c>
      <c r="G8" s="122">
        <v>0.38900000000000001</v>
      </c>
      <c r="H8" s="122">
        <v>400.80799999999999</v>
      </c>
      <c r="I8" s="122">
        <v>-2.3919999999999999</v>
      </c>
      <c r="J8" s="122">
        <v>398.416</v>
      </c>
      <c r="K8" s="122">
        <v>109.095</v>
      </c>
      <c r="L8" s="122">
        <v>507.51100000000002</v>
      </c>
      <c r="M8" s="122">
        <v>111.922</v>
      </c>
      <c r="N8" s="122">
        <v>0</v>
      </c>
      <c r="O8" s="122">
        <v>395.589</v>
      </c>
      <c r="P8" s="155">
        <v>384.35</v>
      </c>
      <c r="Q8" s="156"/>
      <c r="R8" s="157"/>
      <c r="S8" s="124">
        <f>100*(C8/OBR_NOV22_1.1!C8)</f>
        <v>85.089607939632543</v>
      </c>
      <c r="T8" s="124">
        <f>100*(D8/OBR_NOV22_1.1!D8)</f>
        <v>87.121836251577307</v>
      </c>
      <c r="U8" s="124">
        <f>100*(E8/OBR_NOV22_1.1!E8)</f>
        <v>83.223631795060371</v>
      </c>
      <c r="V8" s="124">
        <f>100*(K8/OBR_NOV22_1.1!N8)</f>
        <v>82.041737168640722</v>
      </c>
      <c r="W8" s="124">
        <f>100*(M8/OBR_NOV22_1.1!P8)</f>
        <v>87.278143423063725</v>
      </c>
      <c r="X8" s="124">
        <f>100*(O8/OBR_NOV22_1.1!R8)</f>
        <v>84.663242375601925</v>
      </c>
      <c r="AA8" s="124">
        <f t="shared" si="0"/>
        <v>1.7121403254862333</v>
      </c>
    </row>
    <row r="9" spans="1:31" ht="15.75">
      <c r="A9" s="110"/>
      <c r="B9" s="154" t="s">
        <v>115</v>
      </c>
      <c r="C9" s="122">
        <v>248.74100000000001</v>
      </c>
      <c r="D9" s="122">
        <v>84.361999999999995</v>
      </c>
      <c r="E9" s="122">
        <v>64.424000000000007</v>
      </c>
      <c r="F9" s="122">
        <v>12.677</v>
      </c>
      <c r="G9" s="122">
        <v>1.2270000000000001</v>
      </c>
      <c r="H9" s="122">
        <v>398.75400000000002</v>
      </c>
      <c r="I9" s="122">
        <v>-5.6870000000000003</v>
      </c>
      <c r="J9" s="122">
        <v>393.06700000000001</v>
      </c>
      <c r="K9" s="122">
        <v>102.55500000000001</v>
      </c>
      <c r="L9" s="122">
        <v>495.62299999999999</v>
      </c>
      <c r="M9" s="122">
        <v>108.547</v>
      </c>
      <c r="N9" s="122">
        <v>0</v>
      </c>
      <c r="O9" s="122">
        <v>387.07600000000002</v>
      </c>
      <c r="P9" s="155">
        <v>380.08699999999999</v>
      </c>
      <c r="Q9" s="156"/>
      <c r="R9" s="157"/>
      <c r="S9" s="124">
        <f>100*(C9/OBR_NOV22_1.1!C9)</f>
        <v>85.310610451656714</v>
      </c>
      <c r="T9" s="124">
        <f>100*(D9/OBR_NOV22_1.1!D9)</f>
        <v>88.487276846587932</v>
      </c>
      <c r="U9" s="124">
        <f>100*(E9/OBR_NOV22_1.1!E9)</f>
        <v>84.412997903563962</v>
      </c>
      <c r="V9" s="124">
        <f>100*(K9/OBR_NOV22_1.1!N9)</f>
        <v>82.445675330208772</v>
      </c>
      <c r="W9" s="124">
        <f>100*(M9/OBR_NOV22_1.1!P9)</f>
        <v>88.189366611419842</v>
      </c>
      <c r="X9" s="124">
        <f>100*(O9/OBR_NOV22_1.1!R9)</f>
        <v>84.481023874844226</v>
      </c>
      <c r="AA9" s="124">
        <f t="shared" si="0"/>
        <v>1.5672771072773539</v>
      </c>
    </row>
    <row r="10" spans="1:31" ht="15.75">
      <c r="A10" s="110"/>
      <c r="B10" s="154" t="s">
        <v>116</v>
      </c>
      <c r="C10" s="122">
        <v>248.84899999999999</v>
      </c>
      <c r="D10" s="122">
        <v>84.465999999999994</v>
      </c>
      <c r="E10" s="122">
        <v>61.695999999999998</v>
      </c>
      <c r="F10" s="122">
        <v>11.955</v>
      </c>
      <c r="G10" s="122">
        <v>0.70799999999999996</v>
      </c>
      <c r="H10" s="122">
        <v>395.71899999999999</v>
      </c>
      <c r="I10" s="122">
        <v>-4.218</v>
      </c>
      <c r="J10" s="122">
        <v>391.50099999999998</v>
      </c>
      <c r="K10" s="122">
        <v>101.19</v>
      </c>
      <c r="L10" s="122">
        <v>492.69200000000001</v>
      </c>
      <c r="M10" s="122">
        <v>105.79600000000001</v>
      </c>
      <c r="N10" s="122">
        <v>0</v>
      </c>
      <c r="O10" s="122">
        <v>386.89600000000002</v>
      </c>
      <c r="P10" s="155">
        <v>381.04399999999998</v>
      </c>
      <c r="Q10" s="156"/>
      <c r="R10" s="157"/>
      <c r="S10" s="124">
        <f>100*(C10/OBR_NOV22_1.1!C10)</f>
        <v>85.510418671138339</v>
      </c>
      <c r="T10" s="124">
        <f>100*(D10/OBR_NOV22_1.1!D10)</f>
        <v>88.697770637095843</v>
      </c>
      <c r="U10" s="124">
        <f>100*(E10/OBR_NOV22_1.1!E10)</f>
        <v>84.277245034559996</v>
      </c>
      <c r="V10" s="124">
        <f>100*(K10/OBR_NOV22_1.1!N10)</f>
        <v>81.983682662626492</v>
      </c>
      <c r="W10" s="124">
        <f>100*(M10/OBR_NOV22_1.1!P10)</f>
        <v>86.060586340415853</v>
      </c>
      <c r="X10" s="124">
        <f>100*(O10/OBR_NOV22_1.1!R10)</f>
        <v>84.684601864437568</v>
      </c>
      <c r="AA10" s="124">
        <f t="shared" si="0"/>
        <v>0.2378802896972898</v>
      </c>
    </row>
    <row r="11" spans="1:31" ht="15.75">
      <c r="A11" s="110"/>
      <c r="B11" s="154" t="s">
        <v>117</v>
      </c>
      <c r="C11" s="122">
        <v>250.14099999999999</v>
      </c>
      <c r="D11" s="122">
        <v>86.322999999999993</v>
      </c>
      <c r="E11" s="122">
        <v>62.079000000000001</v>
      </c>
      <c r="F11" s="122">
        <v>13.279</v>
      </c>
      <c r="G11" s="122">
        <v>0.42899999999999999</v>
      </c>
      <c r="H11" s="122">
        <v>398.97199999999998</v>
      </c>
      <c r="I11" s="122">
        <v>-3.0739999999999998</v>
      </c>
      <c r="J11" s="122">
        <v>395.89800000000002</v>
      </c>
      <c r="K11" s="122">
        <v>101.92700000000001</v>
      </c>
      <c r="L11" s="122">
        <v>497.82499999999999</v>
      </c>
      <c r="M11" s="122">
        <v>107.965</v>
      </c>
      <c r="N11" s="122">
        <v>0</v>
      </c>
      <c r="O11" s="122">
        <v>389.86</v>
      </c>
      <c r="P11" s="155">
        <v>390.70299999999997</v>
      </c>
      <c r="Q11" s="156"/>
      <c r="R11" s="157"/>
      <c r="S11" s="124">
        <f>100*(C11/OBR_NOV22_1.1!C11)</f>
        <v>85.538761412987725</v>
      </c>
      <c r="T11" s="124">
        <f>100*(D11/OBR_NOV22_1.1!D11)</f>
        <v>90.117863220202736</v>
      </c>
      <c r="U11" s="124">
        <f>100*(E11/OBR_NOV22_1.1!E11)</f>
        <v>83.837292530419873</v>
      </c>
      <c r="V11" s="124">
        <f>100*(K11/OBR_NOV22_1.1!N11)</f>
        <v>83.206393521579784</v>
      </c>
      <c r="W11" s="124">
        <f>100*(M11/OBR_NOV22_1.1!P11)</f>
        <v>85.602264438171957</v>
      </c>
      <c r="X11" s="124">
        <f>100*(O11/OBR_NOV22_1.1!R11)</f>
        <v>85.220702514476329</v>
      </c>
      <c r="AA11" s="124">
        <f t="shared" si="0"/>
        <v>1.6010465346611324</v>
      </c>
    </row>
    <row r="12" spans="1:31" ht="15.75">
      <c r="A12" s="110"/>
      <c r="B12" s="154" t="s">
        <v>118</v>
      </c>
      <c r="C12" s="122">
        <v>251.11699999999999</v>
      </c>
      <c r="D12" s="122">
        <v>86.12</v>
      </c>
      <c r="E12" s="122">
        <v>60.582000000000001</v>
      </c>
      <c r="F12" s="122">
        <v>12.821999999999999</v>
      </c>
      <c r="G12" s="122">
        <v>-1.2E-2</v>
      </c>
      <c r="H12" s="122">
        <v>397.80700000000002</v>
      </c>
      <c r="I12" s="122">
        <v>-5.7210000000000001</v>
      </c>
      <c r="J12" s="122">
        <v>392.08600000000001</v>
      </c>
      <c r="K12" s="122">
        <v>107.58199999999999</v>
      </c>
      <c r="L12" s="122">
        <v>499.66800000000001</v>
      </c>
      <c r="M12" s="122">
        <v>111.61799999999999</v>
      </c>
      <c r="N12" s="122">
        <v>0</v>
      </c>
      <c r="O12" s="122">
        <v>388.05</v>
      </c>
      <c r="P12" s="155">
        <v>386.988</v>
      </c>
      <c r="Q12" s="156"/>
      <c r="R12" s="157"/>
      <c r="S12" s="124">
        <f>100*(C12/OBR_NOV22_1.1!C12)</f>
        <v>85.18649184999235</v>
      </c>
      <c r="T12" s="124">
        <f>100*(D12/OBR_NOV22_1.1!D12)</f>
        <v>89.188993258008068</v>
      </c>
      <c r="U12" s="124">
        <f>100*(E12/OBR_NOV22_1.1!E12)</f>
        <v>83.083505903973006</v>
      </c>
      <c r="V12" s="124">
        <f>100*(K12/OBR_NOV22_1.1!N12)</f>
        <v>84.077996170528706</v>
      </c>
      <c r="W12" s="124">
        <f>100*(M12/OBR_NOV22_1.1!P12)</f>
        <v>87.166151251054259</v>
      </c>
      <c r="X12" s="124">
        <f>100*(O12/OBR_NOV22_1.1!R12)</f>
        <v>84.53677420479228</v>
      </c>
      <c r="AA12" s="124">
        <f t="shared" si="0"/>
        <v>-1.0307279034401651</v>
      </c>
    </row>
    <row r="13" spans="1:31" ht="15.75">
      <c r="A13" s="110"/>
      <c r="B13" s="154" t="s">
        <v>119</v>
      </c>
      <c r="C13" s="122">
        <v>249.97499999999999</v>
      </c>
      <c r="D13" s="122">
        <v>87.108000000000004</v>
      </c>
      <c r="E13" s="122">
        <v>62.645000000000003</v>
      </c>
      <c r="F13" s="122">
        <v>12.868</v>
      </c>
      <c r="G13" s="122">
        <v>-5.2999999999999999E-2</v>
      </c>
      <c r="H13" s="122">
        <v>399.67500000000001</v>
      </c>
      <c r="I13" s="122">
        <v>3.2109999999999999</v>
      </c>
      <c r="J13" s="122">
        <v>402.88600000000002</v>
      </c>
      <c r="K13" s="122">
        <v>109.599</v>
      </c>
      <c r="L13" s="122">
        <v>512.48400000000004</v>
      </c>
      <c r="M13" s="122">
        <v>115.348</v>
      </c>
      <c r="N13" s="122">
        <v>0</v>
      </c>
      <c r="O13" s="122">
        <v>397.13600000000002</v>
      </c>
      <c r="P13" s="155">
        <v>397.26</v>
      </c>
      <c r="Q13" s="156"/>
      <c r="R13" s="157"/>
      <c r="S13" s="124">
        <f>100*(C13/OBR_NOV22_1.1!C13)</f>
        <v>85.274953946919567</v>
      </c>
      <c r="T13" s="124">
        <f>100*(D13/OBR_NOV22_1.1!D13)</f>
        <v>91.233582605416956</v>
      </c>
      <c r="U13" s="124">
        <f>100*(E13/OBR_NOV22_1.1!E13)</f>
        <v>82.497102823430254</v>
      </c>
      <c r="V13" s="124">
        <f>100*(K13/OBR_NOV22_1.1!N13)</f>
        <v>85.464640242048048</v>
      </c>
      <c r="W13" s="124">
        <f>100*(M13/OBR_NOV22_1.1!P13)</f>
        <v>88.482161349462658</v>
      </c>
      <c r="X13" s="124">
        <f>100*(O13/OBR_NOV22_1.1!R13)</f>
        <v>85.702139230153378</v>
      </c>
      <c r="AA13" s="124">
        <f t="shared" si="0"/>
        <v>2.2924233952212658</v>
      </c>
    </row>
    <row r="14" spans="1:31" ht="15.75">
      <c r="A14" s="110"/>
      <c r="B14" s="154" t="s">
        <v>120</v>
      </c>
      <c r="C14" s="122">
        <v>258.21199999999999</v>
      </c>
      <c r="D14" s="122">
        <v>86.411000000000001</v>
      </c>
      <c r="E14" s="122">
        <v>63.088000000000001</v>
      </c>
      <c r="F14" s="122">
        <v>12.547000000000001</v>
      </c>
      <c r="G14" s="122">
        <v>-0.41299999999999998</v>
      </c>
      <c r="H14" s="122">
        <v>407.298</v>
      </c>
      <c r="I14" s="122">
        <v>0.69099999999999995</v>
      </c>
      <c r="J14" s="122">
        <v>407.98899999999998</v>
      </c>
      <c r="K14" s="122">
        <v>115.06699999999999</v>
      </c>
      <c r="L14" s="122">
        <v>523.05499999999995</v>
      </c>
      <c r="M14" s="122">
        <v>120.664</v>
      </c>
      <c r="N14" s="122">
        <v>0</v>
      </c>
      <c r="O14" s="122">
        <v>402.39100000000002</v>
      </c>
      <c r="P14" s="155">
        <v>402.84500000000003</v>
      </c>
      <c r="Q14" s="156"/>
      <c r="R14" s="157"/>
      <c r="S14" s="124">
        <f>100*(C14/OBR_NOV22_1.1!C14)</f>
        <v>86.078126770986813</v>
      </c>
      <c r="T14" s="124">
        <f>100*(D14/OBR_NOV22_1.1!D14)</f>
        <v>90.233281817802109</v>
      </c>
      <c r="U14" s="124">
        <f>100*(E14/OBR_NOV22_1.1!E14)</f>
        <v>83.475131323021557</v>
      </c>
      <c r="V14" s="124">
        <f>100*(K14/OBR_NOV22_1.1!N14)</f>
        <v>86.48532860321086</v>
      </c>
      <c r="W14" s="124">
        <f>100*(M14/OBR_NOV22_1.1!P14)</f>
        <v>89.900163909998511</v>
      </c>
      <c r="X14" s="124">
        <f>100*(O14/OBR_NOV22_1.1!R14)</f>
        <v>85.854219517763312</v>
      </c>
      <c r="AA14" s="124">
        <f t="shared" si="0"/>
        <v>-1.096417304953512</v>
      </c>
    </row>
    <row r="15" spans="1:31" ht="15.75">
      <c r="A15" s="110"/>
      <c r="B15" s="154" t="s">
        <v>121</v>
      </c>
      <c r="C15" s="122">
        <v>260.17899999999997</v>
      </c>
      <c r="D15" s="122">
        <v>86.135000000000005</v>
      </c>
      <c r="E15" s="122">
        <v>65.111999999999995</v>
      </c>
      <c r="F15" s="122">
        <v>12.736000000000001</v>
      </c>
      <c r="G15" s="122">
        <v>0.502</v>
      </c>
      <c r="H15" s="122">
        <v>411.928</v>
      </c>
      <c r="I15" s="122">
        <v>1.746</v>
      </c>
      <c r="J15" s="122">
        <v>413.67399999999998</v>
      </c>
      <c r="K15" s="122">
        <v>115.566</v>
      </c>
      <c r="L15" s="122">
        <v>529.24</v>
      </c>
      <c r="M15" s="122">
        <v>124.011</v>
      </c>
      <c r="N15" s="122">
        <v>0</v>
      </c>
      <c r="O15" s="122">
        <v>405.22899999999998</v>
      </c>
      <c r="P15" s="155">
        <v>404.69600000000003</v>
      </c>
      <c r="Q15" s="156"/>
      <c r="R15" s="157"/>
      <c r="S15" s="124">
        <f>100*(C15/OBR_NOV22_1.1!C15)</f>
        <v>86.713037334275398</v>
      </c>
      <c r="T15" s="124">
        <f>100*(D15/OBR_NOV22_1.1!D15)</f>
        <v>89.931925912004843</v>
      </c>
      <c r="U15" s="124">
        <f>100*(E15/OBR_NOV22_1.1!E15)</f>
        <v>83.098717376044917</v>
      </c>
      <c r="V15" s="124">
        <f>100*(K15/OBR_NOV22_1.1!N15)</f>
        <v>86.343803233615262</v>
      </c>
      <c r="W15" s="124">
        <f>100*(M15/OBR_NOV22_1.1!P15)</f>
        <v>89.829194796163776</v>
      </c>
      <c r="X15" s="124">
        <f>100*(O15/OBR_NOV22_1.1!R15)</f>
        <v>85.914761355541231</v>
      </c>
      <c r="AA15" s="124">
        <f t="shared" si="0"/>
        <v>-0.33397422738735694</v>
      </c>
    </row>
    <row r="16" spans="1:31" ht="15.75">
      <c r="A16" s="110"/>
      <c r="B16" s="154" t="s">
        <v>122</v>
      </c>
      <c r="C16" s="122">
        <v>262.21499999999997</v>
      </c>
      <c r="D16" s="122">
        <v>87.58</v>
      </c>
      <c r="E16" s="122">
        <v>66.631</v>
      </c>
      <c r="F16" s="122">
        <v>12.387</v>
      </c>
      <c r="G16" s="122">
        <v>0.40400000000000003</v>
      </c>
      <c r="H16" s="122">
        <v>416.83</v>
      </c>
      <c r="I16" s="122">
        <v>-1.7889999999999999</v>
      </c>
      <c r="J16" s="122">
        <v>415.041</v>
      </c>
      <c r="K16" s="122">
        <v>120.258</v>
      </c>
      <c r="L16" s="122">
        <v>535.29899999999998</v>
      </c>
      <c r="M16" s="122">
        <v>127.67400000000001</v>
      </c>
      <c r="N16" s="122">
        <v>0</v>
      </c>
      <c r="O16" s="122">
        <v>407.625</v>
      </c>
      <c r="P16" s="155">
        <v>408.24799999999999</v>
      </c>
      <c r="Q16" s="156"/>
      <c r="R16" s="157"/>
      <c r="S16" s="124">
        <f>100*(C16/OBR_NOV22_1.1!C16)</f>
        <v>87.441433930804493</v>
      </c>
      <c r="T16" s="124">
        <f>100*(D16/OBR_NOV22_1.1!D16)</f>
        <v>90.767763867009364</v>
      </c>
      <c r="U16" s="124">
        <f>100*(E16/OBR_NOV22_1.1!E16)</f>
        <v>83.001357798622266</v>
      </c>
      <c r="V16" s="124">
        <f>100*(K16/OBR_NOV22_1.1!N16)</f>
        <v>87.659270490130339</v>
      </c>
      <c r="W16" s="124">
        <f>100*(M16/OBR_NOV22_1.1!P16)</f>
        <v>91.884850665707091</v>
      </c>
      <c r="X16" s="124">
        <f>100*(O16/OBR_NOV22_1.1!R16)</f>
        <v>86.304180287606485</v>
      </c>
      <c r="AA16" s="124">
        <f t="shared" si="0"/>
        <v>0.92941182625441154</v>
      </c>
    </row>
    <row r="17" spans="1:27" ht="15.75">
      <c r="A17" s="110"/>
      <c r="B17" s="154" t="s">
        <v>123</v>
      </c>
      <c r="C17" s="122">
        <v>264.26900000000001</v>
      </c>
      <c r="D17" s="122">
        <v>89.676000000000002</v>
      </c>
      <c r="E17" s="122">
        <v>63.851999999999997</v>
      </c>
      <c r="F17" s="122">
        <v>12.884</v>
      </c>
      <c r="G17" s="122">
        <v>-1.2609999999999999</v>
      </c>
      <c r="H17" s="122">
        <v>416.536</v>
      </c>
      <c r="I17" s="122">
        <v>-0.77500000000000002</v>
      </c>
      <c r="J17" s="122">
        <v>415.76100000000002</v>
      </c>
      <c r="K17" s="122">
        <v>127.172</v>
      </c>
      <c r="L17" s="122">
        <v>542.93299999999999</v>
      </c>
      <c r="M17" s="122">
        <v>127.452</v>
      </c>
      <c r="N17" s="122">
        <v>0</v>
      </c>
      <c r="O17" s="122">
        <v>415.48099999999999</v>
      </c>
      <c r="P17" s="155">
        <v>417.18</v>
      </c>
      <c r="Q17" s="156"/>
      <c r="R17" s="157"/>
      <c r="S17" s="124">
        <f>100*(C17/OBR_NOV22_1.1!C17)</f>
        <v>88.946518124600317</v>
      </c>
      <c r="T17" s="124">
        <f>100*(D17/OBR_NOV22_1.1!D17)</f>
        <v>92.416138506724394</v>
      </c>
      <c r="U17" s="124">
        <f>100*(E17/OBR_NOV22_1.1!E17)</f>
        <v>83.427406710567581</v>
      </c>
      <c r="V17" s="124">
        <f>100*(K17/OBR_NOV22_1.1!N17)</f>
        <v>89.255409493195586</v>
      </c>
      <c r="W17" s="124">
        <f>100*(M17/OBR_NOV22_1.1!P17)</f>
        <v>93.669937162385636</v>
      </c>
      <c r="X17" s="124">
        <f>100*(O17/OBR_NOV22_1.1!R17)</f>
        <v>87.744926189520811</v>
      </c>
      <c r="AA17" s="124">
        <f t="shared" si="0"/>
        <v>1.8160353075682201</v>
      </c>
    </row>
    <row r="18" spans="1:27" ht="15.75">
      <c r="A18" s="110"/>
      <c r="B18" s="154" t="s">
        <v>124</v>
      </c>
      <c r="C18" s="122">
        <v>265.15600000000001</v>
      </c>
      <c r="D18" s="122">
        <v>85.438000000000002</v>
      </c>
      <c r="E18" s="122">
        <v>63.582999999999998</v>
      </c>
      <c r="F18" s="122">
        <v>11.698</v>
      </c>
      <c r="G18" s="122">
        <v>-3.4000000000000002E-2</v>
      </c>
      <c r="H18" s="122">
        <v>414.14299999999997</v>
      </c>
      <c r="I18" s="122">
        <v>5.0060000000000002</v>
      </c>
      <c r="J18" s="122">
        <v>419.149</v>
      </c>
      <c r="K18" s="122">
        <v>128.40100000000001</v>
      </c>
      <c r="L18" s="122">
        <v>547.54999999999995</v>
      </c>
      <c r="M18" s="122">
        <v>134.62799999999999</v>
      </c>
      <c r="N18" s="122">
        <v>0</v>
      </c>
      <c r="O18" s="122">
        <v>412.92200000000003</v>
      </c>
      <c r="P18" s="155">
        <v>417.74900000000002</v>
      </c>
      <c r="Q18" s="156"/>
      <c r="R18" s="157"/>
      <c r="S18" s="124">
        <f>100*(C18/OBR_NOV22_1.1!C18)</f>
        <v>89.443751054140677</v>
      </c>
      <c r="T18" s="124">
        <f>100*(D18/OBR_NOV22_1.1!D18)</f>
        <v>89.411444597932103</v>
      </c>
      <c r="U18" s="124">
        <f>100*(E18/OBR_NOV22_1.1!E18)</f>
        <v>83.908045977011497</v>
      </c>
      <c r="V18" s="124">
        <f>100*(K18/OBR_NOV22_1.1!N18)</f>
        <v>91.315170005618256</v>
      </c>
      <c r="W18" s="124">
        <f>100*(M18/OBR_NOV22_1.1!P18)</f>
        <v>96.152555083383916</v>
      </c>
      <c r="X18" s="124">
        <f>100*(O18/OBR_NOV22_1.1!R18)</f>
        <v>87.156085298233549</v>
      </c>
      <c r="AA18" s="124">
        <f t="shared" si="0"/>
        <v>-3.2512653713330231</v>
      </c>
    </row>
    <row r="19" spans="1:27" ht="15.75">
      <c r="A19" s="110"/>
      <c r="B19" s="154" t="s">
        <v>125</v>
      </c>
      <c r="C19" s="122">
        <v>268.09300000000002</v>
      </c>
      <c r="D19" s="122">
        <v>86.114000000000004</v>
      </c>
      <c r="E19" s="122">
        <v>65.882999999999996</v>
      </c>
      <c r="F19" s="122">
        <v>12.032</v>
      </c>
      <c r="G19" s="122">
        <v>1.891</v>
      </c>
      <c r="H19" s="122">
        <v>421.98099999999999</v>
      </c>
      <c r="I19" s="122">
        <v>0.71599999999999997</v>
      </c>
      <c r="J19" s="122">
        <v>422.697</v>
      </c>
      <c r="K19" s="122">
        <v>130.16200000000001</v>
      </c>
      <c r="L19" s="122">
        <v>552.85900000000004</v>
      </c>
      <c r="M19" s="122">
        <v>135.83799999999999</v>
      </c>
      <c r="N19" s="122">
        <v>0</v>
      </c>
      <c r="O19" s="122">
        <v>417.02100000000002</v>
      </c>
      <c r="P19" s="155">
        <v>416.58800000000002</v>
      </c>
      <c r="Q19" s="156"/>
      <c r="R19" s="157"/>
      <c r="S19" s="124">
        <f>100*(C19/OBR_NOV22_1.1!C19)</f>
        <v>90.191388364637049</v>
      </c>
      <c r="T19" s="124">
        <f>100*(D19/OBR_NOV22_1.1!D19)</f>
        <v>90.246381823707566</v>
      </c>
      <c r="U19" s="124">
        <f>100*(E19/OBR_NOV22_1.1!E19)</f>
        <v>84.867963416205072</v>
      </c>
      <c r="V19" s="124">
        <f>100*(K19/OBR_NOV22_1.1!N19)</f>
        <v>91.601452539128474</v>
      </c>
      <c r="W19" s="124">
        <f>100*(M19/OBR_NOV22_1.1!P19)</f>
        <v>97.460843611212738</v>
      </c>
      <c r="X19" s="124">
        <f>100*(O19/OBR_NOV22_1.1!R19)</f>
        <v>87.886221525349796</v>
      </c>
      <c r="AA19" s="124">
        <f t="shared" si="0"/>
        <v>0.93381471413422901</v>
      </c>
    </row>
    <row r="20" spans="1:27" ht="15.75">
      <c r="A20" s="110"/>
      <c r="B20" s="154" t="s">
        <v>126</v>
      </c>
      <c r="C20" s="122">
        <v>270.19299999999998</v>
      </c>
      <c r="D20" s="122">
        <v>87.322000000000003</v>
      </c>
      <c r="E20" s="122">
        <v>66.930000000000007</v>
      </c>
      <c r="F20" s="122">
        <v>11.672000000000001</v>
      </c>
      <c r="G20" s="122">
        <v>0.08</v>
      </c>
      <c r="H20" s="122">
        <v>424.52499999999998</v>
      </c>
      <c r="I20" s="122">
        <v>-1.746</v>
      </c>
      <c r="J20" s="122">
        <v>422.779</v>
      </c>
      <c r="K20" s="122">
        <v>131.71199999999999</v>
      </c>
      <c r="L20" s="122">
        <v>554.49099999999999</v>
      </c>
      <c r="M20" s="122">
        <v>135.70400000000001</v>
      </c>
      <c r="N20" s="122">
        <v>0</v>
      </c>
      <c r="O20" s="122">
        <v>418.78699999999998</v>
      </c>
      <c r="P20" s="155">
        <v>419.66899999999998</v>
      </c>
      <c r="Q20" s="156"/>
      <c r="R20" s="157"/>
      <c r="S20" s="124">
        <f>100*(C20/OBR_NOV22_1.1!C20)</f>
        <v>90.625911900744939</v>
      </c>
      <c r="T20" s="124">
        <f>100*(D20/OBR_NOV22_1.1!D20)</f>
        <v>90.774140565714106</v>
      </c>
      <c r="U20" s="124">
        <f>100*(E20/OBR_NOV22_1.1!E20)</f>
        <v>84.89991627977777</v>
      </c>
      <c r="V20" s="124">
        <f>100*(K20/OBR_NOV22_1.1!N20)</f>
        <v>91.450789793438631</v>
      </c>
      <c r="W20" s="124">
        <f>100*(M20/OBR_NOV22_1.1!P20)</f>
        <v>96.70141734303408</v>
      </c>
      <c r="X20" s="124">
        <f>100*(O20/OBR_NOV22_1.1!R20)</f>
        <v>88.295245866039224</v>
      </c>
      <c r="AA20" s="124">
        <f t="shared" si="0"/>
        <v>0.58479767425745344</v>
      </c>
    </row>
    <row r="21" spans="1:27" ht="15.75">
      <c r="A21" s="110"/>
      <c r="B21" s="154" t="s">
        <v>127</v>
      </c>
      <c r="C21" s="122">
        <v>270.23399999999998</v>
      </c>
      <c r="D21" s="122">
        <v>90.930999999999997</v>
      </c>
      <c r="E21" s="122">
        <v>67.759</v>
      </c>
      <c r="F21" s="122">
        <v>11.97</v>
      </c>
      <c r="G21" s="122">
        <v>-0.39100000000000001</v>
      </c>
      <c r="H21" s="122">
        <v>428.53300000000002</v>
      </c>
      <c r="I21" s="122">
        <v>-3.4910000000000001</v>
      </c>
      <c r="J21" s="122">
        <v>425.04199999999997</v>
      </c>
      <c r="K21" s="122">
        <v>134.62100000000001</v>
      </c>
      <c r="L21" s="122">
        <v>559.66300000000001</v>
      </c>
      <c r="M21" s="122">
        <v>135.89400000000001</v>
      </c>
      <c r="N21" s="122">
        <v>0</v>
      </c>
      <c r="O21" s="122">
        <v>423.76900000000001</v>
      </c>
      <c r="P21" s="155">
        <v>421.29399999999998</v>
      </c>
      <c r="Q21" s="156"/>
      <c r="R21" s="157"/>
      <c r="S21" s="124">
        <f>100*(C21/OBR_NOV22_1.1!C21)</f>
        <v>90.733702221386551</v>
      </c>
      <c r="T21" s="124">
        <f>100*(D21/OBR_NOV22_1.1!D21)</f>
        <v>91.723490961910912</v>
      </c>
      <c r="U21" s="124">
        <f>100*(E21/OBR_NOV22_1.1!E21)</f>
        <v>84.924862446263177</v>
      </c>
      <c r="V21" s="124">
        <f>100*(K21/OBR_NOV22_1.1!N21)</f>
        <v>90.900558417793746</v>
      </c>
      <c r="W21" s="124">
        <f>100*(M21/OBR_NOV22_1.1!P21)</f>
        <v>96.377356349555328</v>
      </c>
      <c r="X21" s="124">
        <f>100*(O21/OBR_NOV22_1.1!R21)</f>
        <v>88.609741511619632</v>
      </c>
      <c r="AA21" s="124">
        <f t="shared" si="0"/>
        <v>1.0458379338877277</v>
      </c>
    </row>
    <row r="22" spans="1:27" ht="15.75">
      <c r="A22" s="110"/>
      <c r="B22" s="154" t="s">
        <v>128</v>
      </c>
      <c r="C22" s="122">
        <v>274.16000000000003</v>
      </c>
      <c r="D22" s="122">
        <v>87.159000000000006</v>
      </c>
      <c r="E22" s="122">
        <v>65.673000000000002</v>
      </c>
      <c r="F22" s="122">
        <v>12.055</v>
      </c>
      <c r="G22" s="122">
        <v>0.156</v>
      </c>
      <c r="H22" s="122">
        <v>427.14800000000002</v>
      </c>
      <c r="I22" s="122">
        <v>6.3</v>
      </c>
      <c r="J22" s="122">
        <v>433.44799999999998</v>
      </c>
      <c r="K22" s="122">
        <v>127.886</v>
      </c>
      <c r="L22" s="122">
        <v>561.33399999999995</v>
      </c>
      <c r="M22" s="122">
        <v>136.34399999999999</v>
      </c>
      <c r="N22" s="122">
        <v>0</v>
      </c>
      <c r="O22" s="122">
        <v>424.99</v>
      </c>
      <c r="P22" s="155">
        <v>421.38499999999999</v>
      </c>
      <c r="Q22" s="156"/>
      <c r="R22" s="157"/>
      <c r="S22" s="124">
        <f>100*(C22/OBR_NOV22_1.1!C22)</f>
        <v>91.315440622980759</v>
      </c>
      <c r="T22" s="124">
        <f>100*(D22/OBR_NOV22_1.1!D22)</f>
        <v>90.991564705391085</v>
      </c>
      <c r="U22" s="124">
        <f>100*(E22/OBR_NOV22_1.1!E22)</f>
        <v>86.100294985250741</v>
      </c>
      <c r="V22" s="124">
        <f>100*(K22/OBR_NOV22_1.1!N22)</f>
        <v>90.613176130485925</v>
      </c>
      <c r="W22" s="124">
        <f>100*(M22/OBR_NOV22_1.1!P22)</f>
        <v>95.038407383139784</v>
      </c>
      <c r="X22" s="124">
        <f>100*(O22/OBR_NOV22_1.1!R22)</f>
        <v>88.914878215133044</v>
      </c>
      <c r="AA22" s="124">
        <f t="shared" si="0"/>
        <v>-0.79797034417690149</v>
      </c>
    </row>
    <row r="23" spans="1:27" ht="15.75">
      <c r="A23" s="110"/>
      <c r="B23" s="154" t="s">
        <v>129</v>
      </c>
      <c r="C23" s="122">
        <v>277.03300000000002</v>
      </c>
      <c r="D23" s="122">
        <v>88.126000000000005</v>
      </c>
      <c r="E23" s="122">
        <v>65.566000000000003</v>
      </c>
      <c r="F23" s="122">
        <v>10.958</v>
      </c>
      <c r="G23" s="122">
        <v>1.0349999999999999</v>
      </c>
      <c r="H23" s="122">
        <v>431.76</v>
      </c>
      <c r="I23" s="122">
        <v>4.9420000000000002</v>
      </c>
      <c r="J23" s="122">
        <v>436.702</v>
      </c>
      <c r="K23" s="122">
        <v>130.23599999999999</v>
      </c>
      <c r="L23" s="122">
        <v>566.93799999999999</v>
      </c>
      <c r="M23" s="122">
        <v>135.33699999999999</v>
      </c>
      <c r="N23" s="122">
        <v>0</v>
      </c>
      <c r="O23" s="122">
        <v>431.601</v>
      </c>
      <c r="P23" s="155">
        <v>428.17399999999998</v>
      </c>
      <c r="Q23" s="156"/>
      <c r="R23" s="157"/>
      <c r="S23" s="124">
        <f>100*(C23/OBR_NOV22_1.1!C23)</f>
        <v>91.22139792487809</v>
      </c>
      <c r="T23" s="124">
        <f>100*(D23/OBR_NOV22_1.1!D23)</f>
        <v>91.147540983606561</v>
      </c>
      <c r="U23" s="124">
        <f>100*(E23/OBR_NOV22_1.1!E23)</f>
        <v>86.74128168492355</v>
      </c>
      <c r="V23" s="124">
        <f>100*(K23/OBR_NOV22_1.1!N23)</f>
        <v>90.352568994463795</v>
      </c>
      <c r="W23" s="124">
        <f>100*(M23/OBR_NOV22_1.1!P23)</f>
        <v>94.751913073309382</v>
      </c>
      <c r="X23" s="124">
        <f>100*(O23/OBR_NOV22_1.1!R23)</f>
        <v>89.189792380035243</v>
      </c>
      <c r="AA23" s="124">
        <f t="shared" si="0"/>
        <v>0.17141839325489627</v>
      </c>
    </row>
    <row r="24" spans="1:27" ht="15.75">
      <c r="A24" s="110"/>
      <c r="B24" s="154" t="s">
        <v>130</v>
      </c>
      <c r="C24" s="122">
        <v>283.053</v>
      </c>
      <c r="D24" s="122">
        <v>90.055000000000007</v>
      </c>
      <c r="E24" s="122">
        <v>69.022999999999996</v>
      </c>
      <c r="F24" s="122">
        <v>11.172000000000001</v>
      </c>
      <c r="G24" s="122">
        <v>-0.44800000000000001</v>
      </c>
      <c r="H24" s="122">
        <v>441.68299999999999</v>
      </c>
      <c r="I24" s="122">
        <v>-4.0880000000000001</v>
      </c>
      <c r="J24" s="122">
        <v>437.59500000000003</v>
      </c>
      <c r="K24" s="122">
        <v>127.646</v>
      </c>
      <c r="L24" s="122">
        <v>565.24099999999999</v>
      </c>
      <c r="M24" s="122">
        <v>132.36000000000001</v>
      </c>
      <c r="N24" s="122">
        <v>0</v>
      </c>
      <c r="O24" s="122">
        <v>432.88099999999997</v>
      </c>
      <c r="P24" s="155">
        <v>426.48200000000003</v>
      </c>
      <c r="Q24" s="156"/>
      <c r="R24" s="157"/>
      <c r="S24" s="124">
        <f>100*(C24/OBR_NOV22_1.1!C24)</f>
        <v>92.035988112347425</v>
      </c>
      <c r="T24" s="124">
        <f>100*(D24/OBR_NOV22_1.1!D24)</f>
        <v>91.998937550440814</v>
      </c>
      <c r="U24" s="124">
        <f>100*(E24/OBR_NOV22_1.1!E24)</f>
        <v>86.839953197539089</v>
      </c>
      <c r="V24" s="124">
        <f>100*(K24/OBR_NOV22_1.1!N24)</f>
        <v>90.902357909429512</v>
      </c>
      <c r="W24" s="124">
        <f>100*(M24/OBR_NOV22_1.1!P24)</f>
        <v>94.932759548144162</v>
      </c>
      <c r="X24" s="124">
        <f>100*(O24/OBR_NOV22_1.1!R24)</f>
        <v>89.545159301810827</v>
      </c>
      <c r="AA24" s="124">
        <f t="shared" si="0"/>
        <v>0.93408616145485013</v>
      </c>
    </row>
    <row r="25" spans="1:27" ht="15.75">
      <c r="A25" s="110"/>
      <c r="B25" s="154" t="s">
        <v>131</v>
      </c>
      <c r="C25" s="122">
        <v>283.78199999999998</v>
      </c>
      <c r="D25" s="122">
        <v>89.429000000000002</v>
      </c>
      <c r="E25" s="122">
        <v>66.738</v>
      </c>
      <c r="F25" s="122">
        <v>10.564</v>
      </c>
      <c r="G25" s="122">
        <v>1.8979999999999999</v>
      </c>
      <c r="H25" s="122">
        <v>441.84699999999998</v>
      </c>
      <c r="I25" s="122">
        <v>-1.0329999999999999</v>
      </c>
      <c r="J25" s="122">
        <v>440.81400000000002</v>
      </c>
      <c r="K25" s="122">
        <v>133.92099999999999</v>
      </c>
      <c r="L25" s="122">
        <v>574.73500000000001</v>
      </c>
      <c r="M25" s="122">
        <v>136.71799999999999</v>
      </c>
      <c r="N25" s="122">
        <v>0</v>
      </c>
      <c r="O25" s="122">
        <v>438.017</v>
      </c>
      <c r="P25" s="155">
        <v>427.12799999999999</v>
      </c>
      <c r="Q25" s="156"/>
      <c r="R25" s="157"/>
      <c r="S25" s="124">
        <f>100*(C25/OBR_NOV22_1.1!C25)</f>
        <v>92.748308657711533</v>
      </c>
      <c r="T25" s="124">
        <f>100*(D25/OBR_NOV22_1.1!D25)</f>
        <v>91.742752210755256</v>
      </c>
      <c r="U25" s="124">
        <f>100*(E25/OBR_NOV22_1.1!E25)</f>
        <v>87.378564508104432</v>
      </c>
      <c r="V25" s="124">
        <f>100*(K25/OBR_NOV22_1.1!N25)</f>
        <v>93.306532523270718</v>
      </c>
      <c r="W25" s="124">
        <f>100*(M25/OBR_NOV22_1.1!P25)</f>
        <v>97.232060308655136</v>
      </c>
      <c r="X25" s="124">
        <f>100*(O25/OBR_NOV22_1.1!R25)</f>
        <v>90.395723911630256</v>
      </c>
      <c r="AA25" s="124">
        <f t="shared" si="0"/>
        <v>-0.27846554156681913</v>
      </c>
    </row>
    <row r="26" spans="1:27" ht="15.75">
      <c r="A26" s="110"/>
      <c r="B26" s="154" t="s">
        <v>132</v>
      </c>
      <c r="C26" s="122">
        <v>288.303</v>
      </c>
      <c r="D26" s="122">
        <v>89.088999999999999</v>
      </c>
      <c r="E26" s="122">
        <v>70.064999999999998</v>
      </c>
      <c r="F26" s="122">
        <v>11.101000000000001</v>
      </c>
      <c r="G26" s="122">
        <v>2.379</v>
      </c>
      <c r="H26" s="122">
        <v>449.83600000000001</v>
      </c>
      <c r="I26" s="122">
        <v>-0.309</v>
      </c>
      <c r="J26" s="122">
        <v>449.52699999999999</v>
      </c>
      <c r="K26" s="122">
        <v>135.101</v>
      </c>
      <c r="L26" s="122">
        <v>584.62800000000004</v>
      </c>
      <c r="M26" s="122">
        <v>142.09700000000001</v>
      </c>
      <c r="N26" s="122">
        <v>0</v>
      </c>
      <c r="O26" s="122">
        <v>442.53100000000001</v>
      </c>
      <c r="P26" s="155">
        <v>437.90499999999997</v>
      </c>
      <c r="Q26" s="156"/>
      <c r="R26" s="157"/>
      <c r="S26" s="124">
        <f>100*(C26/OBR_NOV22_1.1!C26)</f>
        <v>93.314021232522009</v>
      </c>
      <c r="T26" s="124">
        <f>100*(D26/OBR_NOV22_1.1!D26)</f>
        <v>92.10164480145562</v>
      </c>
      <c r="U26" s="124">
        <f>100*(E26/OBR_NOV22_1.1!E26)</f>
        <v>87.266001569330783</v>
      </c>
      <c r="V26" s="124">
        <f>100*(K26/OBR_NOV22_1.1!N26)</f>
        <v>93.101832390377027</v>
      </c>
      <c r="W26" s="124">
        <f>100*(M26/OBR_NOV22_1.1!P26)</f>
        <v>96.29125160940572</v>
      </c>
      <c r="X26" s="124">
        <f>100*(O26/OBR_NOV22_1.1!R26)</f>
        <v>90.711393987844488</v>
      </c>
      <c r="AA26" s="124">
        <f t="shared" si="0"/>
        <v>0.39119448899451736</v>
      </c>
    </row>
    <row r="27" spans="1:27" ht="15.75">
      <c r="A27" s="110"/>
      <c r="B27" s="154" t="s">
        <v>133</v>
      </c>
      <c r="C27" s="122">
        <v>292.07600000000002</v>
      </c>
      <c r="D27" s="122">
        <v>88.542000000000002</v>
      </c>
      <c r="E27" s="122">
        <v>72.599000000000004</v>
      </c>
      <c r="F27" s="122">
        <v>11.750999999999999</v>
      </c>
      <c r="G27" s="122">
        <v>-0.317</v>
      </c>
      <c r="H27" s="122">
        <v>452.9</v>
      </c>
      <c r="I27" s="122">
        <v>3.0950000000000002</v>
      </c>
      <c r="J27" s="122">
        <v>455.995</v>
      </c>
      <c r="K27" s="122">
        <v>135.6</v>
      </c>
      <c r="L27" s="122">
        <v>591.59500000000003</v>
      </c>
      <c r="M27" s="122">
        <v>142.05600000000001</v>
      </c>
      <c r="N27" s="122">
        <v>0</v>
      </c>
      <c r="O27" s="122">
        <v>449.53899999999999</v>
      </c>
      <c r="P27" s="155">
        <v>441.47399999999999</v>
      </c>
      <c r="Q27" s="156"/>
      <c r="R27" s="157"/>
      <c r="S27" s="124">
        <f>100*(C27/OBR_NOV22_1.1!C27)</f>
        <v>93.448471139294782</v>
      </c>
      <c r="T27" s="124">
        <f>100*(D27/OBR_NOV22_1.1!D27)</f>
        <v>91.57401565845133</v>
      </c>
      <c r="U27" s="124">
        <f>100*(E27/OBR_NOV22_1.1!E27)</f>
        <v>88.272700744127235</v>
      </c>
      <c r="V27" s="124">
        <f>100*(K27/OBR_NOV22_1.1!N27)</f>
        <v>93.661285977745095</v>
      </c>
      <c r="W27" s="124">
        <f>100*(M27/OBR_NOV22_1.1!P27)</f>
        <v>96.352919631290163</v>
      </c>
      <c r="X27" s="124">
        <f>100*(O27/OBR_NOV22_1.1!R27)</f>
        <v>91.462851399494198</v>
      </c>
      <c r="AA27" s="124">
        <f t="shared" si="0"/>
        <v>-0.57287700359934801</v>
      </c>
    </row>
    <row r="28" spans="1:27" ht="15.75">
      <c r="A28" s="110"/>
      <c r="B28" s="154" t="s">
        <v>134</v>
      </c>
      <c r="C28" s="122">
        <v>293.32499999999999</v>
      </c>
      <c r="D28" s="122">
        <v>91.805999999999997</v>
      </c>
      <c r="E28" s="122">
        <v>73.591999999999999</v>
      </c>
      <c r="F28" s="122">
        <v>12.243</v>
      </c>
      <c r="G28" s="122">
        <v>3.2549999999999999</v>
      </c>
      <c r="H28" s="122">
        <v>461.97800000000001</v>
      </c>
      <c r="I28" s="122">
        <v>1.734</v>
      </c>
      <c r="J28" s="122">
        <v>463.71199999999999</v>
      </c>
      <c r="K28" s="122">
        <v>130.94399999999999</v>
      </c>
      <c r="L28" s="122">
        <v>594.65599999999995</v>
      </c>
      <c r="M28" s="122">
        <v>142.447</v>
      </c>
      <c r="N28" s="122">
        <v>0</v>
      </c>
      <c r="O28" s="122">
        <v>452.209</v>
      </c>
      <c r="P28" s="155">
        <v>444.16800000000001</v>
      </c>
      <c r="Q28" s="156"/>
      <c r="R28" s="157"/>
      <c r="S28" s="124">
        <f>100*(C28/OBR_NOV22_1.1!C28)</f>
        <v>93.586385346508109</v>
      </c>
      <c r="T28" s="124">
        <f>100*(D28/OBR_NOV22_1.1!D28)</f>
        <v>93.273187235209846</v>
      </c>
      <c r="U28" s="124">
        <f>100*(E28/OBR_NOV22_1.1!E28)</f>
        <v>88.799864855081211</v>
      </c>
      <c r="V28" s="124">
        <f>100*(K28/OBR_NOV22_1.1!N28)</f>
        <v>92.494825844641127</v>
      </c>
      <c r="W28" s="124">
        <f>100*(M28/OBR_NOV22_1.1!P28)</f>
        <v>94.430191781185172</v>
      </c>
      <c r="X28" s="124">
        <f>100*(O28/OBR_NOV22_1.1!R28)</f>
        <v>91.418515418733747</v>
      </c>
      <c r="AA28" s="124">
        <f t="shared" si="0"/>
        <v>1.8555171623094502</v>
      </c>
    </row>
    <row r="29" spans="1:27" ht="15.75">
      <c r="A29" s="110"/>
      <c r="B29" s="154" t="s">
        <v>135</v>
      </c>
      <c r="C29" s="122">
        <v>295.66000000000003</v>
      </c>
      <c r="D29" s="122">
        <v>92.988</v>
      </c>
      <c r="E29" s="122">
        <v>75.662000000000006</v>
      </c>
      <c r="F29" s="122">
        <v>13.555999999999999</v>
      </c>
      <c r="G29" s="122">
        <v>2.3530000000000002</v>
      </c>
      <c r="H29" s="122">
        <v>466.66300000000001</v>
      </c>
      <c r="I29" s="122">
        <v>-0.318</v>
      </c>
      <c r="J29" s="122">
        <v>466.34500000000003</v>
      </c>
      <c r="K29" s="122">
        <v>130.69300000000001</v>
      </c>
      <c r="L29" s="122">
        <v>597.03700000000003</v>
      </c>
      <c r="M29" s="122">
        <v>138.20400000000001</v>
      </c>
      <c r="N29" s="122">
        <v>0</v>
      </c>
      <c r="O29" s="122">
        <v>458.83300000000003</v>
      </c>
      <c r="P29" s="155">
        <v>452.95600000000002</v>
      </c>
      <c r="Q29" s="156"/>
      <c r="R29" s="157"/>
      <c r="S29" s="124">
        <f>100*(C29/OBR_NOV22_1.1!C29)</f>
        <v>93.84720864387198</v>
      </c>
      <c r="T29" s="124">
        <f>100*(D29/OBR_NOV22_1.1!D29)</f>
        <v>93.885545818020276</v>
      </c>
      <c r="U29" s="124">
        <f>100*(E29/OBR_NOV22_1.1!E29)</f>
        <v>89.021448825197382</v>
      </c>
      <c r="V29" s="124">
        <f>100*(K29/OBR_NOV22_1.1!N29)</f>
        <v>91.709880918130338</v>
      </c>
      <c r="W29" s="124">
        <f>100*(M29/OBR_NOV22_1.1!P29)</f>
        <v>93.13126276137659</v>
      </c>
      <c r="X29" s="124">
        <f>100*(O29/OBR_NOV22_1.1!R29)</f>
        <v>91.896357657011706</v>
      </c>
      <c r="AA29" s="124">
        <f t="shared" si="0"/>
        <v>0.65652155883364482</v>
      </c>
    </row>
    <row r="30" spans="1:27" ht="15.75">
      <c r="A30" s="110"/>
      <c r="B30" s="154" t="s">
        <v>136</v>
      </c>
      <c r="C30" s="122">
        <v>299.71199999999999</v>
      </c>
      <c r="D30" s="122">
        <v>90.849000000000004</v>
      </c>
      <c r="E30" s="122">
        <v>75.52</v>
      </c>
      <c r="F30" s="122">
        <v>11.678000000000001</v>
      </c>
      <c r="G30" s="122">
        <v>-3.3460000000000001</v>
      </c>
      <c r="H30" s="122">
        <v>462.73500000000001</v>
      </c>
      <c r="I30" s="122">
        <v>4.4720000000000004</v>
      </c>
      <c r="J30" s="122">
        <v>467.20699999999999</v>
      </c>
      <c r="K30" s="122">
        <v>132.85</v>
      </c>
      <c r="L30" s="122">
        <v>600.05600000000004</v>
      </c>
      <c r="M30" s="122">
        <v>138.80099999999999</v>
      </c>
      <c r="N30" s="122">
        <v>0</v>
      </c>
      <c r="O30" s="122">
        <v>461.255</v>
      </c>
      <c r="P30" s="155">
        <v>454.37900000000002</v>
      </c>
      <c r="Q30" s="156"/>
      <c r="R30" s="157"/>
      <c r="S30" s="124">
        <f>100*(C30/OBR_NOV22_1.1!C30)</f>
        <v>94.418891843189641</v>
      </c>
      <c r="T30" s="124">
        <f>100*(D30/OBR_NOV22_1.1!D30)</f>
        <v>91.245003314384434</v>
      </c>
      <c r="U30" s="124">
        <f>100*(E30/OBR_NOV22_1.1!E30)</f>
        <v>89.288247812721679</v>
      </c>
      <c r="V30" s="124">
        <f>100*(K30/OBR_NOV22_1.1!N30)</f>
        <v>91.534836291478342</v>
      </c>
      <c r="W30" s="124">
        <f>100*(M30/OBR_NOV22_1.1!P30)</f>
        <v>92.987157413796567</v>
      </c>
      <c r="X30" s="124">
        <f>100*(O30/OBR_NOV22_1.1!R30)</f>
        <v>91.580811620560738</v>
      </c>
      <c r="AA30" s="124">
        <f t="shared" si="0"/>
        <v>-2.8125122782521217</v>
      </c>
    </row>
    <row r="31" spans="1:27" ht="15.75">
      <c r="A31" s="110"/>
      <c r="B31" s="154" t="s">
        <v>137</v>
      </c>
      <c r="C31" s="122">
        <v>303.26100000000002</v>
      </c>
      <c r="D31" s="122">
        <v>93.281000000000006</v>
      </c>
      <c r="E31" s="122">
        <v>77.453000000000003</v>
      </c>
      <c r="F31" s="122">
        <v>12.571999999999999</v>
      </c>
      <c r="G31" s="122">
        <v>2.0640000000000001</v>
      </c>
      <c r="H31" s="122">
        <v>476.05900000000003</v>
      </c>
      <c r="I31" s="122">
        <v>4.4290000000000003</v>
      </c>
      <c r="J31" s="122">
        <v>480.488</v>
      </c>
      <c r="K31" s="122">
        <v>131.501</v>
      </c>
      <c r="L31" s="122">
        <v>611.98900000000003</v>
      </c>
      <c r="M31" s="122">
        <v>142.01400000000001</v>
      </c>
      <c r="N31" s="122">
        <v>0</v>
      </c>
      <c r="O31" s="122">
        <v>469.97500000000002</v>
      </c>
      <c r="P31" s="155">
        <v>460.27699999999999</v>
      </c>
      <c r="Q31" s="156"/>
      <c r="R31" s="157"/>
      <c r="S31" s="124">
        <f>100*(C31/OBR_NOV22_1.1!C31)</f>
        <v>94.309891217136581</v>
      </c>
      <c r="T31" s="124">
        <f>100*(D31/OBR_NOV22_1.1!D31)</f>
        <v>93.539168103966958</v>
      </c>
      <c r="U31" s="124">
        <f>100*(E31/OBR_NOV22_1.1!E31)</f>
        <v>89.726717716430542</v>
      </c>
      <c r="V31" s="124">
        <f>100*(K31/OBR_NOV22_1.1!N31)</f>
        <v>90.784886329902179</v>
      </c>
      <c r="W31" s="124">
        <f>100*(M31/OBR_NOV22_1.1!P31)</f>
        <v>92.094290068415418</v>
      </c>
      <c r="X31" s="124">
        <f>100*(O31/OBR_NOV22_1.1!R31)</f>
        <v>92.608648531483695</v>
      </c>
      <c r="AA31" s="124">
        <f t="shared" si="0"/>
        <v>2.5142908721017765</v>
      </c>
    </row>
    <row r="32" spans="1:27" ht="15.75">
      <c r="A32" s="110"/>
      <c r="B32" s="154" t="s">
        <v>138</v>
      </c>
      <c r="C32" s="122">
        <v>304.572</v>
      </c>
      <c r="D32" s="122">
        <v>93.218000000000004</v>
      </c>
      <c r="E32" s="122">
        <v>79.076999999999998</v>
      </c>
      <c r="F32" s="122">
        <v>13.096</v>
      </c>
      <c r="G32" s="122">
        <v>5.0339999999999998</v>
      </c>
      <c r="H32" s="122">
        <v>481.90100000000001</v>
      </c>
      <c r="I32" s="122">
        <v>5.5860000000000003</v>
      </c>
      <c r="J32" s="122">
        <v>487.48700000000002</v>
      </c>
      <c r="K32" s="122">
        <v>133.81200000000001</v>
      </c>
      <c r="L32" s="122">
        <v>621.29899999999998</v>
      </c>
      <c r="M32" s="122">
        <v>148.535</v>
      </c>
      <c r="N32" s="122">
        <v>0</v>
      </c>
      <c r="O32" s="122">
        <v>472.76400000000001</v>
      </c>
      <c r="P32" s="155">
        <v>461.91399999999999</v>
      </c>
      <c r="Q32" s="156"/>
      <c r="R32" s="157"/>
      <c r="S32" s="124">
        <f>100*(C32/OBR_NOV22_1.1!C32)</f>
        <v>94.406387740299678</v>
      </c>
      <c r="T32" s="124">
        <f>100*(D32/OBR_NOV22_1.1!D32)</f>
        <v>93.784458127087618</v>
      </c>
      <c r="U32" s="124">
        <f>100*(E32/OBR_NOV22_1.1!E32)</f>
        <v>90.618124312431249</v>
      </c>
      <c r="V32" s="124">
        <f>100*(K32/OBR_NOV22_1.1!N32)</f>
        <v>89.812136303535112</v>
      </c>
      <c r="W32" s="124">
        <f>100*(M32/OBR_NOV22_1.1!P32)</f>
        <v>90.854874423498046</v>
      </c>
      <c r="X32" s="124">
        <f>100*(O32/OBR_NOV22_1.1!R32)</f>
        <v>92.555996922396233</v>
      </c>
      <c r="AA32" s="124">
        <f t="shared" si="0"/>
        <v>0.26223241888150284</v>
      </c>
    </row>
    <row r="33" spans="1:27" ht="15.75">
      <c r="A33" s="110"/>
      <c r="B33" s="154" t="s">
        <v>139</v>
      </c>
      <c r="C33" s="122">
        <v>305.05</v>
      </c>
      <c r="D33" s="122">
        <v>93.658000000000001</v>
      </c>
      <c r="E33" s="122">
        <v>81.869</v>
      </c>
      <c r="F33" s="122">
        <v>13.423999999999999</v>
      </c>
      <c r="G33" s="122">
        <v>3.085</v>
      </c>
      <c r="H33" s="122">
        <v>483.66199999999998</v>
      </c>
      <c r="I33" s="122">
        <v>4.4489999999999998</v>
      </c>
      <c r="J33" s="122">
        <v>488.11099999999999</v>
      </c>
      <c r="K33" s="122">
        <v>131.97300000000001</v>
      </c>
      <c r="L33" s="122">
        <v>620.08500000000004</v>
      </c>
      <c r="M33" s="122">
        <v>144.285</v>
      </c>
      <c r="N33" s="122">
        <v>0</v>
      </c>
      <c r="O33" s="122">
        <v>475.8</v>
      </c>
      <c r="P33" s="155">
        <v>465.79599999999999</v>
      </c>
      <c r="Q33" s="156"/>
      <c r="R33" s="157"/>
      <c r="S33" s="124">
        <f>100*(C33/OBR_NOV22_1.1!C33)</f>
        <v>93.659522076996993</v>
      </c>
      <c r="T33" s="124">
        <f>100*(D33/OBR_NOV22_1.1!D33)</f>
        <v>94.11445510727026</v>
      </c>
      <c r="U33" s="124">
        <f>100*(E33/OBR_NOV22_1.1!E33)</f>
        <v>89.979777108566154</v>
      </c>
      <c r="V33" s="124">
        <f>100*(K33/OBR_NOV22_1.1!N33)</f>
        <v>88.665909716950082</v>
      </c>
      <c r="W33" s="124">
        <f>100*(M33/OBR_NOV22_1.1!P33)</f>
        <v>88.505916343092693</v>
      </c>
      <c r="X33" s="124">
        <f>100*(O33/OBR_NOV22_1.1!R33)</f>
        <v>92.767525516918667</v>
      </c>
      <c r="AA33" s="124">
        <f t="shared" si="0"/>
        <v>0.35186744879995846</v>
      </c>
    </row>
    <row r="34" spans="1:27" ht="15.75">
      <c r="A34" s="110"/>
      <c r="B34" s="154" t="s">
        <v>140</v>
      </c>
      <c r="C34" s="122">
        <v>307.79700000000003</v>
      </c>
      <c r="D34" s="122">
        <v>92.703999999999994</v>
      </c>
      <c r="E34" s="122">
        <v>82.808999999999997</v>
      </c>
      <c r="F34" s="122">
        <v>13.079000000000001</v>
      </c>
      <c r="G34" s="122">
        <v>-0.48499999999999999</v>
      </c>
      <c r="H34" s="122">
        <v>482.82499999999999</v>
      </c>
      <c r="I34" s="122">
        <v>-1.982</v>
      </c>
      <c r="J34" s="122">
        <v>480.84300000000002</v>
      </c>
      <c r="K34" s="122">
        <v>135.55199999999999</v>
      </c>
      <c r="L34" s="122">
        <v>616.39599999999996</v>
      </c>
      <c r="M34" s="122">
        <v>139.62299999999999</v>
      </c>
      <c r="N34" s="122">
        <v>0</v>
      </c>
      <c r="O34" s="122">
        <v>476.77300000000002</v>
      </c>
      <c r="P34" s="155">
        <v>471.14299999999997</v>
      </c>
      <c r="Q34" s="156"/>
      <c r="R34" s="157"/>
      <c r="S34" s="124">
        <f>100*(C34/OBR_NOV22_1.1!C34)</f>
        <v>93.869739980115767</v>
      </c>
      <c r="T34" s="124">
        <f>100*(D34/OBR_NOV22_1.1!D34)</f>
        <v>92.128198757763968</v>
      </c>
      <c r="U34" s="124">
        <f>100*(E34/OBR_NOV22_1.1!E34)</f>
        <v>90.873076838662953</v>
      </c>
      <c r="V34" s="124">
        <f>100*(K34/OBR_NOV22_1.1!N34)</f>
        <v>88.219559657149546</v>
      </c>
      <c r="W34" s="124">
        <f>100*(M34/OBR_NOV22_1.1!P34)</f>
        <v>87.860729702858151</v>
      </c>
      <c r="X34" s="124">
        <f>100*(O34/OBR_NOV22_1.1!R34)</f>
        <v>92.3726268597147</v>
      </c>
      <c r="AA34" s="124">
        <f t="shared" si="0"/>
        <v>-2.1104689468184112</v>
      </c>
    </row>
    <row r="35" spans="1:27" ht="15.75">
      <c r="A35" s="110"/>
      <c r="B35" s="154" t="s">
        <v>141</v>
      </c>
      <c r="C35" s="122">
        <v>311.96499999999997</v>
      </c>
      <c r="D35" s="122">
        <v>94.433000000000007</v>
      </c>
      <c r="E35" s="122">
        <v>82.436999999999998</v>
      </c>
      <c r="F35" s="122">
        <v>12.364000000000001</v>
      </c>
      <c r="G35" s="122">
        <v>0.47699999999999998</v>
      </c>
      <c r="H35" s="122">
        <v>489.31200000000001</v>
      </c>
      <c r="I35" s="122">
        <v>-4.9000000000000002E-2</v>
      </c>
      <c r="J35" s="122">
        <v>489.26299999999998</v>
      </c>
      <c r="K35" s="122">
        <v>129.20400000000001</v>
      </c>
      <c r="L35" s="122">
        <v>618.46699999999998</v>
      </c>
      <c r="M35" s="122">
        <v>137.46</v>
      </c>
      <c r="N35" s="122">
        <v>0</v>
      </c>
      <c r="O35" s="122">
        <v>481.00700000000001</v>
      </c>
      <c r="P35" s="155">
        <v>472.60300000000001</v>
      </c>
      <c r="Q35" s="156"/>
      <c r="R35" s="157"/>
      <c r="S35" s="124">
        <f>100*(C35/OBR_NOV22_1.1!C35)</f>
        <v>93.916988539035614</v>
      </c>
      <c r="T35" s="124">
        <f>100*(D35/OBR_NOV22_1.1!D35)</f>
        <v>93.219284910465745</v>
      </c>
      <c r="U35" s="124">
        <f>100*(E35/OBR_NOV22_1.1!E35)</f>
        <v>91.151039363113668</v>
      </c>
      <c r="V35" s="124">
        <f>100*(K35/OBR_NOV22_1.1!N35)</f>
        <v>86.793314703353403</v>
      </c>
      <c r="W35" s="124">
        <f>100*(M35/OBR_NOV22_1.1!P35)</f>
        <v>86.52901926224348</v>
      </c>
      <c r="X35" s="124">
        <f>100*(O35/OBR_NOV22_1.1!R35)</f>
        <v>92.793109102659315</v>
      </c>
      <c r="AA35" s="124">
        <f t="shared" si="0"/>
        <v>1.1843129111539508</v>
      </c>
    </row>
    <row r="36" spans="1:27" ht="15.75">
      <c r="A36" s="110"/>
      <c r="B36" s="154" t="s">
        <v>142</v>
      </c>
      <c r="C36" s="122">
        <v>311.95999999999998</v>
      </c>
      <c r="D36" s="122">
        <v>93.912000000000006</v>
      </c>
      <c r="E36" s="122">
        <v>85.016999999999996</v>
      </c>
      <c r="F36" s="122">
        <v>12.29</v>
      </c>
      <c r="G36" s="122">
        <v>-2.2000000000000002</v>
      </c>
      <c r="H36" s="122">
        <v>488.68900000000002</v>
      </c>
      <c r="I36" s="122">
        <v>5.8319999999999999</v>
      </c>
      <c r="J36" s="122">
        <v>494.52100000000002</v>
      </c>
      <c r="K36" s="122">
        <v>134.04900000000001</v>
      </c>
      <c r="L36" s="122">
        <v>628.57000000000005</v>
      </c>
      <c r="M36" s="122">
        <v>141.15199999999999</v>
      </c>
      <c r="N36" s="122">
        <v>0</v>
      </c>
      <c r="O36" s="122">
        <v>487.41800000000001</v>
      </c>
      <c r="P36" s="155">
        <v>469.69</v>
      </c>
      <c r="Q36" s="156"/>
      <c r="R36" s="157"/>
      <c r="S36" s="124">
        <f>100*(C36/OBR_NOV22_1.1!C36)</f>
        <v>94.29274396841997</v>
      </c>
      <c r="T36" s="124">
        <f>100*(D36/OBR_NOV22_1.1!D36)</f>
        <v>92.959168522642912</v>
      </c>
      <c r="U36" s="124">
        <f>100*(E36/OBR_NOV22_1.1!E36)</f>
        <v>91.39942161110335</v>
      </c>
      <c r="V36" s="124">
        <f>100*(K36/OBR_NOV22_1.1!N36)</f>
        <v>87.436566434022566</v>
      </c>
      <c r="W36" s="124">
        <f>100*(M36/OBR_NOV22_1.1!P36)</f>
        <v>85.525414896904394</v>
      </c>
      <c r="X36" s="124">
        <f>100*(O36/OBR_NOV22_1.1!R36)</f>
        <v>93.340406055986875</v>
      </c>
      <c r="AA36" s="124">
        <f t="shared" si="0"/>
        <v>-0.27903709846376357</v>
      </c>
    </row>
    <row r="37" spans="1:27" ht="15.75">
      <c r="A37" s="110"/>
      <c r="B37" s="154" t="s">
        <v>143</v>
      </c>
      <c r="C37" s="122">
        <v>318.10000000000002</v>
      </c>
      <c r="D37" s="122">
        <v>95.373000000000005</v>
      </c>
      <c r="E37" s="122">
        <v>86.406000000000006</v>
      </c>
      <c r="F37" s="122">
        <v>12.387</v>
      </c>
      <c r="G37" s="122">
        <v>0.86199999999999999</v>
      </c>
      <c r="H37" s="122">
        <v>500.74099999999999</v>
      </c>
      <c r="I37" s="122">
        <v>-0.67900000000000005</v>
      </c>
      <c r="J37" s="122">
        <v>500.06200000000001</v>
      </c>
      <c r="K37" s="122">
        <v>135.37</v>
      </c>
      <c r="L37" s="122">
        <v>635.43100000000004</v>
      </c>
      <c r="M37" s="122">
        <v>143.04</v>
      </c>
      <c r="N37" s="122">
        <v>0</v>
      </c>
      <c r="O37" s="122">
        <v>492.39100000000002</v>
      </c>
      <c r="P37" s="155">
        <v>477.62700000000001</v>
      </c>
      <c r="Q37" s="156"/>
      <c r="R37" s="157"/>
      <c r="S37" s="124">
        <f>100*(C37/OBR_NOV22_1.1!C37)</f>
        <v>94.204121763491685</v>
      </c>
      <c r="T37" s="124">
        <f>100*(D37/OBR_NOV22_1.1!D37)</f>
        <v>94.121188196980171</v>
      </c>
      <c r="U37" s="124">
        <f>100*(E37/OBR_NOV22_1.1!E37)</f>
        <v>91.385601421455092</v>
      </c>
      <c r="V37" s="124">
        <f>100*(K37/OBR_NOV22_1.1!N37)</f>
        <v>88.257921502151532</v>
      </c>
      <c r="W37" s="124">
        <f>100*(M37/OBR_NOV22_1.1!P37)</f>
        <v>86.853034755786553</v>
      </c>
      <c r="X37" s="124">
        <f>100*(O37/OBR_NOV22_1.1!R37)</f>
        <v>93.949460219575585</v>
      </c>
      <c r="AA37" s="124">
        <f t="shared" si="0"/>
        <v>1.2500323451733797</v>
      </c>
    </row>
    <row r="38" spans="1:27" ht="15.75">
      <c r="A38" s="110"/>
      <c r="B38" s="154" t="s">
        <v>144</v>
      </c>
      <c r="C38" s="122">
        <v>322.41199999999998</v>
      </c>
      <c r="D38" s="122">
        <v>95.040999999999997</v>
      </c>
      <c r="E38" s="122">
        <v>88.025999999999996</v>
      </c>
      <c r="F38" s="122">
        <v>13.12</v>
      </c>
      <c r="G38" s="122">
        <v>-0.82799999999999996</v>
      </c>
      <c r="H38" s="122">
        <v>504.65100000000001</v>
      </c>
      <c r="I38" s="122">
        <v>-1.5569999999999999</v>
      </c>
      <c r="J38" s="122">
        <v>503.09399999999999</v>
      </c>
      <c r="K38" s="122">
        <v>141.15</v>
      </c>
      <c r="L38" s="122">
        <v>644.24300000000005</v>
      </c>
      <c r="M38" s="122">
        <v>148.41200000000001</v>
      </c>
      <c r="N38" s="122">
        <v>0</v>
      </c>
      <c r="O38" s="122">
        <v>495.83100000000002</v>
      </c>
      <c r="P38" s="155">
        <v>481.76100000000002</v>
      </c>
      <c r="Q38" s="156"/>
      <c r="R38" s="157"/>
      <c r="S38" s="124">
        <f>100*(C38/OBR_NOV22_1.1!C38)</f>
        <v>94.645562039852976</v>
      </c>
      <c r="T38" s="124">
        <f>100*(D38/OBR_NOV22_1.1!D38)</f>
        <v>93.821322803553798</v>
      </c>
      <c r="U38" s="124">
        <f>100*(E38/OBR_NOV22_1.1!E38)</f>
        <v>92.006187678993228</v>
      </c>
      <c r="V38" s="124">
        <f>100*(K38/OBR_NOV22_1.1!N38)</f>
        <v>89.51901367360918</v>
      </c>
      <c r="W38" s="124">
        <f>100*(M38/OBR_NOV22_1.1!P38)</f>
        <v>89.262322196493557</v>
      </c>
      <c r="X38" s="124">
        <f>100*(O38/OBR_NOV22_1.1!R38)</f>
        <v>94.014042445880847</v>
      </c>
      <c r="AA38" s="124">
        <f t="shared" si="0"/>
        <v>-0.31859499350858078</v>
      </c>
    </row>
    <row r="39" spans="1:27" ht="15.75">
      <c r="A39" s="110"/>
      <c r="B39" s="154" t="s">
        <v>145</v>
      </c>
      <c r="C39" s="122">
        <v>327.33800000000002</v>
      </c>
      <c r="D39" s="122">
        <v>95.745000000000005</v>
      </c>
      <c r="E39" s="122">
        <v>90.263000000000005</v>
      </c>
      <c r="F39" s="122">
        <v>13.458</v>
      </c>
      <c r="G39" s="122">
        <v>2.819</v>
      </c>
      <c r="H39" s="122">
        <v>516.16499999999996</v>
      </c>
      <c r="I39" s="122">
        <v>3.351</v>
      </c>
      <c r="J39" s="122">
        <v>519.51599999999996</v>
      </c>
      <c r="K39" s="122">
        <v>143.381</v>
      </c>
      <c r="L39" s="122">
        <v>662.89700000000005</v>
      </c>
      <c r="M39" s="122">
        <v>160.45099999999999</v>
      </c>
      <c r="N39" s="122">
        <v>0</v>
      </c>
      <c r="O39" s="122">
        <v>502.44600000000003</v>
      </c>
      <c r="P39" s="155">
        <v>492.20800000000003</v>
      </c>
      <c r="Q39" s="156"/>
      <c r="R39" s="157"/>
      <c r="S39" s="124">
        <f>100*(C39/OBR_NOV22_1.1!C39)</f>
        <v>95.398774794098969</v>
      </c>
      <c r="T39" s="124">
        <f>100*(D39/OBR_NOV22_1.1!D39)</f>
        <v>94.265966978113397</v>
      </c>
      <c r="U39" s="124">
        <f>100*(E39/OBR_NOV22_1.1!E39)</f>
        <v>92.674387564426382</v>
      </c>
      <c r="V39" s="124">
        <f>100*(K39/OBR_NOV22_1.1!N39)</f>
        <v>93.541273869559831</v>
      </c>
      <c r="W39" s="124">
        <f>100*(M39/OBR_NOV22_1.1!P39)</f>
        <v>93.085223646806284</v>
      </c>
      <c r="X39" s="124">
        <f>100*(O39/OBR_NOV22_1.1!R39)</f>
        <v>94.849451607422651</v>
      </c>
      <c r="AA39" s="124">
        <f t="shared" si="0"/>
        <v>0.47392656730134153</v>
      </c>
    </row>
    <row r="40" spans="1:27" ht="15.75">
      <c r="A40" s="110"/>
      <c r="B40" s="154" t="s">
        <v>146</v>
      </c>
      <c r="C40" s="122">
        <v>329.46300000000002</v>
      </c>
      <c r="D40" s="122">
        <v>96.406999999999996</v>
      </c>
      <c r="E40" s="122">
        <v>89.988</v>
      </c>
      <c r="F40" s="122">
        <v>13.384</v>
      </c>
      <c r="G40" s="122">
        <v>-1.349</v>
      </c>
      <c r="H40" s="122">
        <v>514.50900000000001</v>
      </c>
      <c r="I40" s="122">
        <v>1.377</v>
      </c>
      <c r="J40" s="122">
        <v>515.88599999999997</v>
      </c>
      <c r="K40" s="122">
        <v>152.95400000000001</v>
      </c>
      <c r="L40" s="122">
        <v>668.84</v>
      </c>
      <c r="M40" s="122">
        <v>160.047</v>
      </c>
      <c r="N40" s="122">
        <v>0</v>
      </c>
      <c r="O40" s="122">
        <v>508.79300000000001</v>
      </c>
      <c r="P40" s="155">
        <v>501.11700000000002</v>
      </c>
      <c r="Q40" s="156"/>
      <c r="R40" s="157"/>
      <c r="S40" s="124">
        <f>100*(C40/OBR_NOV22_1.1!C40)</f>
        <v>96.104066577406741</v>
      </c>
      <c r="T40" s="124">
        <f>100*(D40/OBR_NOV22_1.1!D40)</f>
        <v>95.090941371419547</v>
      </c>
      <c r="U40" s="124">
        <f>100*(E40/OBR_NOV22_1.1!E40)</f>
        <v>93.907707720242954</v>
      </c>
      <c r="V40" s="124">
        <f>100*(K40/OBR_NOV22_1.1!N40)</f>
        <v>95.717691821498533</v>
      </c>
      <c r="W40" s="124">
        <f>100*(M40/OBR_NOV22_1.1!P40)</f>
        <v>95.149400140304152</v>
      </c>
      <c r="X40" s="124">
        <f>100*(O40/OBR_NOV22_1.1!R40)</f>
        <v>95.42737535471602</v>
      </c>
      <c r="AA40" s="124">
        <f t="shared" si="0"/>
        <v>0.8751561350849979</v>
      </c>
    </row>
    <row r="41" spans="1:27" ht="15.75">
      <c r="A41" s="110"/>
      <c r="B41" s="154" t="s">
        <v>147</v>
      </c>
      <c r="C41" s="122">
        <v>331.755</v>
      </c>
      <c r="D41" s="122">
        <v>97.051000000000002</v>
      </c>
      <c r="E41" s="122">
        <v>92.105000000000004</v>
      </c>
      <c r="F41" s="122">
        <v>13.18</v>
      </c>
      <c r="G41" s="122">
        <v>-0.81200000000000006</v>
      </c>
      <c r="H41" s="122">
        <v>520.09900000000005</v>
      </c>
      <c r="I41" s="122">
        <v>1.6020000000000001</v>
      </c>
      <c r="J41" s="122">
        <v>521.70100000000002</v>
      </c>
      <c r="K41" s="122">
        <v>155.76599999999999</v>
      </c>
      <c r="L41" s="122">
        <v>677.46600000000001</v>
      </c>
      <c r="M41" s="122">
        <v>162.85</v>
      </c>
      <c r="N41" s="122">
        <v>0</v>
      </c>
      <c r="O41" s="122">
        <v>514.61599999999999</v>
      </c>
      <c r="P41" s="155">
        <v>510.161</v>
      </c>
      <c r="Q41" s="156"/>
      <c r="R41" s="157"/>
      <c r="S41" s="124">
        <f>100*(C41/OBR_NOV22_1.1!C41)</f>
        <v>95.948115049238652</v>
      </c>
      <c r="T41" s="124">
        <f>100*(D41/OBR_NOV22_1.1!D41)</f>
        <v>95.730871284980125</v>
      </c>
      <c r="U41" s="124">
        <f>100*(E41/OBR_NOV22_1.1!E41)</f>
        <v>94.225063938618931</v>
      </c>
      <c r="V41" s="124">
        <f>100*(K41/OBR_NOV22_1.1!N41)</f>
        <v>96.162536578138301</v>
      </c>
      <c r="W41" s="124">
        <f>100*(M41/OBR_NOV22_1.1!P41)</f>
        <v>96.237375677384648</v>
      </c>
      <c r="X41" s="124">
        <f>100*(O41/OBR_NOV22_1.1!R41)</f>
        <v>95.811317522909462</v>
      </c>
      <c r="AA41" s="124">
        <f t="shared" si="0"/>
        <v>0.67296621984322957</v>
      </c>
    </row>
    <row r="42" spans="1:27" ht="15.75">
      <c r="A42" s="110"/>
      <c r="B42" s="154" t="s">
        <v>148</v>
      </c>
      <c r="C42" s="122">
        <v>333.91899999999998</v>
      </c>
      <c r="D42" s="122">
        <v>96.105000000000004</v>
      </c>
      <c r="E42" s="122">
        <v>94.546999999999997</v>
      </c>
      <c r="F42" s="122">
        <v>14.162000000000001</v>
      </c>
      <c r="G42" s="122">
        <v>0.34899999999999998</v>
      </c>
      <c r="H42" s="122">
        <v>524.91999999999996</v>
      </c>
      <c r="I42" s="122">
        <v>2.48</v>
      </c>
      <c r="J42" s="122">
        <v>527.4</v>
      </c>
      <c r="K42" s="122">
        <v>159.047</v>
      </c>
      <c r="L42" s="122">
        <v>686.44600000000003</v>
      </c>
      <c r="M42" s="122">
        <v>168.22900000000001</v>
      </c>
      <c r="N42" s="122">
        <v>0</v>
      </c>
      <c r="O42" s="122">
        <v>518.21699999999998</v>
      </c>
      <c r="P42" s="155">
        <v>509.96199999999999</v>
      </c>
      <c r="Q42" s="156"/>
      <c r="R42" s="157"/>
      <c r="S42" s="124">
        <f>100*(C42/OBR_NOV22_1.1!C42)</f>
        <v>96.53014263331039</v>
      </c>
      <c r="T42" s="124">
        <f>100*(D42/OBR_NOV22_1.1!D42)</f>
        <v>94.385299836970404</v>
      </c>
      <c r="U42" s="124">
        <f>100*(E42/OBR_NOV22_1.1!E42)</f>
        <v>95.159829300696487</v>
      </c>
      <c r="V42" s="124">
        <f>100*(K42/OBR_NOV22_1.1!N42)</f>
        <v>95.675425298972556</v>
      </c>
      <c r="W42" s="124">
        <f>100*(M42/OBR_NOV22_1.1!P42)</f>
        <v>96.201771591630404</v>
      </c>
      <c r="X42" s="124">
        <f>100*(O42/OBR_NOV22_1.1!R42)</f>
        <v>95.967177413082368</v>
      </c>
      <c r="AA42" s="124">
        <f t="shared" si="0"/>
        <v>-1.4055773544608297</v>
      </c>
    </row>
    <row r="43" spans="1:27" ht="15.75">
      <c r="A43" s="110"/>
      <c r="B43" s="154" t="s">
        <v>149</v>
      </c>
      <c r="C43" s="122">
        <v>337.61900000000003</v>
      </c>
      <c r="D43" s="122">
        <v>96.798000000000002</v>
      </c>
      <c r="E43" s="122">
        <v>94.650999999999996</v>
      </c>
      <c r="F43" s="122">
        <v>13.795999999999999</v>
      </c>
      <c r="G43" s="122">
        <v>-0.21099999999999999</v>
      </c>
      <c r="H43" s="122">
        <v>528.85699999999997</v>
      </c>
      <c r="I43" s="122">
        <v>0.49199999999999999</v>
      </c>
      <c r="J43" s="122">
        <v>529.34900000000005</v>
      </c>
      <c r="K43" s="122">
        <v>163.709</v>
      </c>
      <c r="L43" s="122">
        <v>693.05799999999999</v>
      </c>
      <c r="M43" s="122">
        <v>170.66300000000001</v>
      </c>
      <c r="N43" s="122">
        <v>0</v>
      </c>
      <c r="O43" s="122">
        <v>522.39499999999998</v>
      </c>
      <c r="P43" s="155">
        <v>517.66800000000001</v>
      </c>
      <c r="Q43" s="156"/>
      <c r="R43" s="157"/>
      <c r="S43" s="124">
        <f>100*(C43/OBR_NOV22_1.1!C43)</f>
        <v>96.888048372424052</v>
      </c>
      <c r="T43" s="124">
        <f>100*(D43/OBR_NOV22_1.1!D43)</f>
        <v>94.767140185817922</v>
      </c>
      <c r="U43" s="124">
        <f>100*(E43/OBR_NOV22_1.1!E43)</f>
        <v>95.449915795205868</v>
      </c>
      <c r="V43" s="124">
        <f>100*(K43/OBR_NOV22_1.1!N43)</f>
        <v>95.622740255719819</v>
      </c>
      <c r="W43" s="124">
        <f>100*(M43/OBR_NOV22_1.1!P43)</f>
        <v>96.511923814263341</v>
      </c>
      <c r="X43" s="124">
        <f>100*(O43/OBR_NOV22_1.1!R43)</f>
        <v>96.244334721249857</v>
      </c>
      <c r="AA43" s="124">
        <f t="shared" si="0"/>
        <v>0.40455489308934833</v>
      </c>
    </row>
    <row r="44" spans="1:27" ht="15.75">
      <c r="A44" s="110"/>
      <c r="B44" s="154" t="s">
        <v>150</v>
      </c>
      <c r="C44" s="122">
        <v>341.43299999999999</v>
      </c>
      <c r="D44" s="122">
        <v>98.055999999999997</v>
      </c>
      <c r="E44" s="122">
        <v>96.912999999999997</v>
      </c>
      <c r="F44" s="122">
        <v>14.103</v>
      </c>
      <c r="G44" s="122">
        <v>1.518</v>
      </c>
      <c r="H44" s="122">
        <v>537.91999999999996</v>
      </c>
      <c r="I44" s="122">
        <v>-1.03</v>
      </c>
      <c r="J44" s="122">
        <v>536.89</v>
      </c>
      <c r="K44" s="122">
        <v>161.001</v>
      </c>
      <c r="L44" s="122">
        <v>697.89099999999996</v>
      </c>
      <c r="M44" s="122">
        <v>168.11099999999999</v>
      </c>
      <c r="N44" s="122">
        <v>0</v>
      </c>
      <c r="O44" s="122">
        <v>529.78</v>
      </c>
      <c r="P44" s="155">
        <v>524.76700000000005</v>
      </c>
      <c r="Q44" s="156"/>
      <c r="R44" s="157"/>
      <c r="S44" s="124">
        <f>100*(C44/OBR_NOV22_1.1!C44)</f>
        <v>97.40423128273595</v>
      </c>
      <c r="T44" s="124">
        <f>100*(D44/OBR_NOV22_1.1!D44)</f>
        <v>96.173877222750775</v>
      </c>
      <c r="U44" s="124">
        <f>100*(E44/OBR_NOV22_1.1!E44)</f>
        <v>96.29861483733778</v>
      </c>
      <c r="V44" s="124">
        <f>100*(K44/OBR_NOV22_1.1!N44)</f>
        <v>96.160186346532882</v>
      </c>
      <c r="W44" s="124">
        <f>100*(M44/OBR_NOV22_1.1!P44)</f>
        <v>97.142543454142</v>
      </c>
      <c r="X44" s="124">
        <f>100*(O44/OBR_NOV22_1.1!R44)</f>
        <v>96.996438935525504</v>
      </c>
      <c r="AA44" s="124">
        <f t="shared" si="0"/>
        <v>1.4844143594230585</v>
      </c>
    </row>
    <row r="45" spans="1:27" ht="15.75">
      <c r="A45" s="110"/>
      <c r="B45" s="154" t="s">
        <v>151</v>
      </c>
      <c r="C45" s="122">
        <v>345.87700000000001</v>
      </c>
      <c r="D45" s="122">
        <v>98.581999999999994</v>
      </c>
      <c r="E45" s="122">
        <v>95.840999999999994</v>
      </c>
      <c r="F45" s="122">
        <v>13.696999999999999</v>
      </c>
      <c r="G45" s="122">
        <v>0.19900000000000001</v>
      </c>
      <c r="H45" s="122">
        <v>540.49900000000002</v>
      </c>
      <c r="I45" s="122">
        <v>-1.56</v>
      </c>
      <c r="J45" s="122">
        <v>538.93899999999996</v>
      </c>
      <c r="K45" s="122">
        <v>164.21899999999999</v>
      </c>
      <c r="L45" s="122">
        <v>703.15800000000002</v>
      </c>
      <c r="M45" s="122">
        <v>171.291</v>
      </c>
      <c r="N45" s="122">
        <v>0</v>
      </c>
      <c r="O45" s="122">
        <v>531.86699999999996</v>
      </c>
      <c r="P45" s="155">
        <v>523.29200000000003</v>
      </c>
      <c r="Q45" s="156"/>
      <c r="R45" s="157"/>
      <c r="S45" s="124">
        <f>100*(C45/OBR_NOV22_1.1!C45)</f>
        <v>97.876789857943294</v>
      </c>
      <c r="T45" s="124">
        <f>100*(D45/OBR_NOV22_1.1!D45)</f>
        <v>97.001840025976833</v>
      </c>
      <c r="U45" s="124">
        <f>100*(E45/OBR_NOV22_1.1!E45)</f>
        <v>96.888363206259669</v>
      </c>
      <c r="V45" s="124">
        <f>100*(K45/OBR_NOV22_1.1!N45)</f>
        <v>96.020464844320998</v>
      </c>
      <c r="W45" s="124">
        <f>100*(M45/OBR_NOV22_1.1!P45)</f>
        <v>97.239899405630339</v>
      </c>
      <c r="X45" s="124">
        <f>100*(O45/OBR_NOV22_1.1!R45)</f>
        <v>97.232921940099033</v>
      </c>
      <c r="AA45" s="124">
        <f t="shared" si="0"/>
        <v>0.86090196957371301</v>
      </c>
    </row>
    <row r="46" spans="1:27" ht="15.75">
      <c r="A46" s="110"/>
      <c r="B46" s="154" t="s">
        <v>152</v>
      </c>
      <c r="C46" s="122">
        <v>347.34399999999999</v>
      </c>
      <c r="D46" s="122">
        <v>98.837000000000003</v>
      </c>
      <c r="E46" s="122">
        <v>95.763999999999996</v>
      </c>
      <c r="F46" s="122">
        <v>13.926</v>
      </c>
      <c r="G46" s="122">
        <v>1.3340000000000001</v>
      </c>
      <c r="H46" s="122">
        <v>543.279</v>
      </c>
      <c r="I46" s="122">
        <v>0.55400000000000005</v>
      </c>
      <c r="J46" s="122">
        <v>543.83299999999997</v>
      </c>
      <c r="K46" s="122">
        <v>167.73500000000001</v>
      </c>
      <c r="L46" s="122">
        <v>711.56799999999998</v>
      </c>
      <c r="M46" s="122">
        <v>174.815</v>
      </c>
      <c r="N46" s="122">
        <v>0</v>
      </c>
      <c r="O46" s="122">
        <v>536.75300000000004</v>
      </c>
      <c r="P46" s="155">
        <v>530.39499999999998</v>
      </c>
      <c r="Q46" s="156"/>
      <c r="R46" s="157"/>
      <c r="S46" s="124">
        <f>100*(C46/OBR_NOV22_1.1!C46)</f>
        <v>98.211604635973188</v>
      </c>
      <c r="T46" s="124">
        <f>100*(D46/OBR_NOV22_1.1!D46)</f>
        <v>97.186768668017081</v>
      </c>
      <c r="U46" s="124">
        <f>100*(E46/OBR_NOV22_1.1!E46)</f>
        <v>96.896722688225339</v>
      </c>
      <c r="V46" s="124">
        <f>100*(K46/OBR_NOV22_1.1!N46)</f>
        <v>97.73058323136982</v>
      </c>
      <c r="W46" s="124">
        <f>100*(M46/OBR_NOV22_1.1!P46)</f>
        <v>98.287979309569323</v>
      </c>
      <c r="X46" s="124">
        <f>100*(O46/OBR_NOV22_1.1!R46)</f>
        <v>97.681854661859802</v>
      </c>
      <c r="AA46" s="124">
        <f t="shared" si="0"/>
        <v>0.19064446817784741</v>
      </c>
    </row>
    <row r="47" spans="1:27" ht="15.75">
      <c r="A47" s="110"/>
      <c r="B47" s="154" t="s">
        <v>153</v>
      </c>
      <c r="C47" s="122">
        <v>351.16399999999999</v>
      </c>
      <c r="D47" s="122">
        <v>99.727999999999994</v>
      </c>
      <c r="E47" s="122">
        <v>97.066000000000003</v>
      </c>
      <c r="F47" s="122">
        <v>14.744999999999999</v>
      </c>
      <c r="G47" s="122">
        <v>1.1220000000000001</v>
      </c>
      <c r="H47" s="122">
        <v>549.08000000000004</v>
      </c>
      <c r="I47" s="122">
        <v>-1.6759999999999999</v>
      </c>
      <c r="J47" s="122">
        <v>547.404</v>
      </c>
      <c r="K47" s="122">
        <v>171.791</v>
      </c>
      <c r="L47" s="122">
        <v>719.19500000000005</v>
      </c>
      <c r="M47" s="122">
        <v>177.666</v>
      </c>
      <c r="N47" s="122">
        <v>0</v>
      </c>
      <c r="O47" s="122">
        <v>541.529</v>
      </c>
      <c r="P47" s="155">
        <v>534.42600000000004</v>
      </c>
      <c r="Q47" s="156"/>
      <c r="R47" s="157"/>
      <c r="S47" s="124">
        <f>100*(C47/OBR_NOV22_1.1!C47)</f>
        <v>98.410474279500932</v>
      </c>
      <c r="T47" s="124">
        <f>100*(D47/OBR_NOV22_1.1!D47)</f>
        <v>97.599358001976881</v>
      </c>
      <c r="U47" s="124">
        <f>100*(E47/OBR_NOV22_1.1!E47)</f>
        <v>97.715810137413811</v>
      </c>
      <c r="V47" s="124">
        <f>100*(K47/OBR_NOV22_1.1!N47)</f>
        <v>98.778145771521892</v>
      </c>
      <c r="W47" s="124">
        <f>100*(M47/OBR_NOV22_1.1!P47)</f>
        <v>99.444192567964677</v>
      </c>
      <c r="X47" s="124">
        <f>100*(O47/OBR_NOV22_1.1!R47)</f>
        <v>98.006316227637583</v>
      </c>
      <c r="AA47" s="124">
        <f t="shared" si="0"/>
        <v>0.42453241281144027</v>
      </c>
    </row>
    <row r="48" spans="1:27" ht="15.75">
      <c r="A48" s="110"/>
      <c r="B48" s="154" t="s">
        <v>154</v>
      </c>
      <c r="C48" s="122">
        <v>357.14600000000002</v>
      </c>
      <c r="D48" s="122">
        <v>101.211</v>
      </c>
      <c r="E48" s="122">
        <v>97.477999999999994</v>
      </c>
      <c r="F48" s="122">
        <v>14.773</v>
      </c>
      <c r="G48" s="122">
        <v>0.17100000000000001</v>
      </c>
      <c r="H48" s="122">
        <v>556.00599999999997</v>
      </c>
      <c r="I48" s="122">
        <v>4.2359999999999998</v>
      </c>
      <c r="J48" s="122">
        <v>560.24199999999996</v>
      </c>
      <c r="K48" s="122">
        <v>170.12</v>
      </c>
      <c r="L48" s="122">
        <v>730.36199999999997</v>
      </c>
      <c r="M48" s="122">
        <v>183.101</v>
      </c>
      <c r="N48" s="122">
        <v>0</v>
      </c>
      <c r="O48" s="122">
        <v>547.26099999999997</v>
      </c>
      <c r="P48" s="155">
        <v>539.89099999999996</v>
      </c>
      <c r="Q48" s="156"/>
      <c r="R48" s="157"/>
      <c r="S48" s="124">
        <f>100*(C48/OBR_NOV22_1.1!C48)</f>
        <v>98.921997130495967</v>
      </c>
      <c r="T48" s="124">
        <f>100*(D48/OBR_NOV22_1.1!D48)</f>
        <v>98.151614185827739</v>
      </c>
      <c r="U48" s="124">
        <f>100*(E48/OBR_NOV22_1.1!E48)</f>
        <v>98.580125806516847</v>
      </c>
      <c r="V48" s="124">
        <f>100*(K48/OBR_NOV22_1.1!N48)</f>
        <v>99.319847038561477</v>
      </c>
      <c r="W48" s="124">
        <f>100*(M48/OBR_NOV22_1.1!P48)</f>
        <v>99.261640545800518</v>
      </c>
      <c r="X48" s="124">
        <f>100*(O48/OBR_NOV22_1.1!R48)</f>
        <v>98.789636909124383</v>
      </c>
      <c r="AA48" s="124">
        <f t="shared" si="0"/>
        <v>0.56583997595525126</v>
      </c>
    </row>
    <row r="49" spans="1:27" ht="15.75">
      <c r="A49" s="110"/>
      <c r="B49" s="154" t="s">
        <v>155</v>
      </c>
      <c r="C49" s="122">
        <v>356.762</v>
      </c>
      <c r="D49" s="122">
        <v>102.89</v>
      </c>
      <c r="E49" s="122">
        <v>100.04300000000001</v>
      </c>
      <c r="F49" s="122">
        <v>15.452</v>
      </c>
      <c r="G49" s="122">
        <v>11.436999999999999</v>
      </c>
      <c r="H49" s="122">
        <v>571.13199999999995</v>
      </c>
      <c r="I49" s="122">
        <v>7.2430000000000003</v>
      </c>
      <c r="J49" s="122">
        <v>578.375</v>
      </c>
      <c r="K49" s="122">
        <v>168.285</v>
      </c>
      <c r="L49" s="122">
        <v>746.66</v>
      </c>
      <c r="M49" s="122">
        <v>195.51900000000001</v>
      </c>
      <c r="N49" s="122">
        <v>0</v>
      </c>
      <c r="O49" s="122">
        <v>551.14099999999996</v>
      </c>
      <c r="P49" s="155">
        <v>550.94899999999996</v>
      </c>
      <c r="Q49" s="156"/>
      <c r="R49" s="157"/>
      <c r="S49" s="124">
        <f>100*(C49/OBR_NOV22_1.1!C49)</f>
        <v>99.193687406509454</v>
      </c>
      <c r="T49" s="124">
        <f>100*(D49/OBR_NOV22_1.1!D49)</f>
        <v>98.33417755392658</v>
      </c>
      <c r="U49" s="124">
        <f>100*(E49/OBR_NOV22_1.1!E49)</f>
        <v>98.958415763234953</v>
      </c>
      <c r="V49" s="124">
        <f>100*(K49/OBR_NOV22_1.1!N49)</f>
        <v>98.753586958435307</v>
      </c>
      <c r="W49" s="124">
        <f>100*(M49/OBR_NOV22_1.1!P49)</f>
        <v>99.088775929088726</v>
      </c>
      <c r="X49" s="124">
        <f>100*(O49/OBR_NOV22_1.1!R49)</f>
        <v>98.866820460016712</v>
      </c>
      <c r="AA49" s="124">
        <f t="shared" si="0"/>
        <v>0.18600139143223338</v>
      </c>
    </row>
    <row r="50" spans="1:27" ht="15.75">
      <c r="A50" s="110"/>
      <c r="B50" s="154" t="s">
        <v>156</v>
      </c>
      <c r="C50" s="122">
        <v>360.54399999999998</v>
      </c>
      <c r="D50" s="122">
        <v>105.751</v>
      </c>
      <c r="E50" s="122">
        <v>99.765000000000001</v>
      </c>
      <c r="F50" s="122">
        <v>15.085000000000001</v>
      </c>
      <c r="G50" s="122">
        <v>1.81</v>
      </c>
      <c r="H50" s="122">
        <v>567.87</v>
      </c>
      <c r="I50" s="122">
        <v>0.59799999999999998</v>
      </c>
      <c r="J50" s="122">
        <v>568.46799999999996</v>
      </c>
      <c r="K50" s="122">
        <v>167.97399999999999</v>
      </c>
      <c r="L50" s="122">
        <v>736.44200000000001</v>
      </c>
      <c r="M50" s="122">
        <v>180.15299999999999</v>
      </c>
      <c r="N50" s="122">
        <v>0</v>
      </c>
      <c r="O50" s="122">
        <v>556.28899999999999</v>
      </c>
      <c r="P50" s="155">
        <v>559.34500000000003</v>
      </c>
      <c r="Q50" s="156"/>
      <c r="R50" s="157"/>
      <c r="S50" s="124">
        <f>100*(C50/OBR_NOV22_1.1!C50)</f>
        <v>99.792412827226585</v>
      </c>
      <c r="T50" s="124">
        <f>100*(D50/OBR_NOV22_1.1!D50)</f>
        <v>99.133817670494494</v>
      </c>
      <c r="U50" s="124">
        <f>100*(E50/OBR_NOV22_1.1!E50)</f>
        <v>99.798931636756507</v>
      </c>
      <c r="V50" s="124">
        <f>100*(K50/OBR_NOV22_1.1!N50)</f>
        <v>100.21119198186372</v>
      </c>
      <c r="W50" s="124">
        <f>100*(M50/OBR_NOV22_1.1!P50)</f>
        <v>100.0950095009501</v>
      </c>
      <c r="X50" s="124">
        <f>100*(O50/OBR_NOV22_1.1!R50)</f>
        <v>99.680685790876069</v>
      </c>
      <c r="AA50" s="124">
        <f t="shared" si="0"/>
        <v>0.8131863574385223</v>
      </c>
    </row>
    <row r="51" spans="1:27" ht="15.75">
      <c r="A51" s="110"/>
      <c r="B51" s="154" t="s">
        <v>157</v>
      </c>
      <c r="C51" s="122">
        <v>361.45499999999998</v>
      </c>
      <c r="D51" s="122">
        <v>107.547</v>
      </c>
      <c r="E51" s="122">
        <v>102.012</v>
      </c>
      <c r="F51" s="122">
        <v>15.535</v>
      </c>
      <c r="G51" s="122">
        <v>1.456</v>
      </c>
      <c r="H51" s="122">
        <v>572.47</v>
      </c>
      <c r="I51" s="122">
        <v>-3.53</v>
      </c>
      <c r="J51" s="122">
        <v>568.94000000000005</v>
      </c>
      <c r="K51" s="122">
        <v>178.97900000000001</v>
      </c>
      <c r="L51" s="122">
        <v>747.91899999999998</v>
      </c>
      <c r="M51" s="122">
        <v>184.73500000000001</v>
      </c>
      <c r="N51" s="122">
        <v>0</v>
      </c>
      <c r="O51" s="122">
        <v>563.18399999999997</v>
      </c>
      <c r="P51" s="155">
        <v>561.00599999999997</v>
      </c>
      <c r="Q51" s="156"/>
      <c r="R51" s="157"/>
      <c r="S51" s="124">
        <f>100*(C51/OBR_NOV22_1.1!C51)</f>
        <v>100.32307218331849</v>
      </c>
      <c r="T51" s="124">
        <f>100*(D51/OBR_NOV22_1.1!D51)</f>
        <v>100.94613240221891</v>
      </c>
      <c r="U51" s="124">
        <f>100*(E51/OBR_NOV22_1.1!E51)</f>
        <v>100.36896012278993</v>
      </c>
      <c r="V51" s="124">
        <f>100*(K51/OBR_NOV22_1.1!N51)</f>
        <v>100.9196607799355</v>
      </c>
      <c r="W51" s="124">
        <f>100*(M51/OBR_NOV22_1.1!P51)</f>
        <v>101.63733295187585</v>
      </c>
      <c r="X51" s="124">
        <f>100*(O51/OBR_NOV22_1.1!R51)</f>
        <v>100.30348365035262</v>
      </c>
      <c r="AA51" s="124">
        <f t="shared" si="0"/>
        <v>1.8281498426180542</v>
      </c>
    </row>
    <row r="52" spans="1:27" ht="15.75">
      <c r="A52" s="110"/>
      <c r="B52" s="154" t="s">
        <v>158</v>
      </c>
      <c r="C52" s="122">
        <v>361.28</v>
      </c>
      <c r="D52" s="122">
        <v>109.39100000000001</v>
      </c>
      <c r="E52" s="122">
        <v>101.545</v>
      </c>
      <c r="F52" s="122">
        <v>15.678000000000001</v>
      </c>
      <c r="G52" s="122">
        <v>-11.823</v>
      </c>
      <c r="H52" s="122">
        <v>560.39300000000003</v>
      </c>
      <c r="I52" s="122">
        <v>-1.68</v>
      </c>
      <c r="J52" s="122">
        <v>558.71299999999997</v>
      </c>
      <c r="K52" s="122">
        <v>184.416</v>
      </c>
      <c r="L52" s="122">
        <v>743.12900000000002</v>
      </c>
      <c r="M52" s="122">
        <v>175.39500000000001</v>
      </c>
      <c r="N52" s="122">
        <v>0</v>
      </c>
      <c r="O52" s="122">
        <v>567.73400000000004</v>
      </c>
      <c r="P52" s="155">
        <v>566.12800000000004</v>
      </c>
      <c r="Q52" s="156"/>
      <c r="R52" s="157"/>
      <c r="S52" s="124">
        <f>100*(C52/OBR_NOV22_1.1!C52)</f>
        <v>100.69287669247535</v>
      </c>
      <c r="T52" s="124">
        <f>100*(D52/OBR_NOV22_1.1!D52)</f>
        <v>101.53993242490627</v>
      </c>
      <c r="U52" s="124">
        <f>100*(E52/OBR_NOV22_1.1!E52)</f>
        <v>100.87318459062644</v>
      </c>
      <c r="V52" s="124">
        <f>100*(K52/OBR_NOV22_1.1!N52)</f>
        <v>100.07542992343051</v>
      </c>
      <c r="W52" s="124">
        <f>100*(M52/OBR_NOV22_1.1!P52)</f>
        <v>99.236749196578117</v>
      </c>
      <c r="X52" s="124">
        <f>100*(O52/OBR_NOV22_1.1!R52)</f>
        <v>101.13924028082852</v>
      </c>
      <c r="AA52" s="124">
        <f t="shared" si="0"/>
        <v>0.58823454505554373</v>
      </c>
    </row>
    <row r="53" spans="1:27" ht="15.75">
      <c r="A53" s="110"/>
      <c r="B53" s="154" t="s">
        <v>159</v>
      </c>
      <c r="C53" s="122">
        <v>350.31200000000001</v>
      </c>
      <c r="D53" s="122">
        <v>108.895</v>
      </c>
      <c r="E53" s="122">
        <v>98.15</v>
      </c>
      <c r="F53" s="122">
        <v>14.618</v>
      </c>
      <c r="G53" s="122">
        <v>0.84199999999999997</v>
      </c>
      <c r="H53" s="122">
        <v>558.19899999999996</v>
      </c>
      <c r="I53" s="122">
        <v>-1.323</v>
      </c>
      <c r="J53" s="122">
        <v>556.87599999999998</v>
      </c>
      <c r="K53" s="122">
        <v>168.869</v>
      </c>
      <c r="L53" s="122">
        <v>725.74599999999998</v>
      </c>
      <c r="M53" s="122">
        <v>165.839</v>
      </c>
      <c r="N53" s="122">
        <v>0</v>
      </c>
      <c r="O53" s="122">
        <v>559.90700000000004</v>
      </c>
      <c r="P53" s="155">
        <v>550.54999999999995</v>
      </c>
      <c r="Q53" s="156"/>
      <c r="R53" s="157"/>
      <c r="S53" s="124">
        <f>100*(C53/OBR_NOV22_1.1!C53)</f>
        <v>100.56871194352497</v>
      </c>
      <c r="T53" s="124">
        <f>100*(D53/OBR_NOV22_1.1!D53)</f>
        <v>104.61820767043271</v>
      </c>
      <c r="U53" s="124">
        <f>100*(E53/OBR_NOV22_1.1!E53)</f>
        <v>101.36844823134521</v>
      </c>
      <c r="V53" s="124">
        <f>100*(K53/OBR_NOV22_1.1!N53)</f>
        <v>100.72650923644953</v>
      </c>
      <c r="W53" s="124">
        <f>100*(M53/OBR_NOV22_1.1!P53)</f>
        <v>98.899716132725842</v>
      </c>
      <c r="X53" s="124">
        <f>100*(O53/OBR_NOV22_1.1!R53)</f>
        <v>102.45043594411865</v>
      </c>
      <c r="AA53" s="124">
        <f t="shared" si="0"/>
        <v>3.0315907958703647</v>
      </c>
    </row>
    <row r="54" spans="1:27" ht="15.75">
      <c r="A54" s="110"/>
      <c r="B54" s="154" t="s">
        <v>160</v>
      </c>
      <c r="C54" s="122">
        <v>271.07499999999999</v>
      </c>
      <c r="D54" s="122">
        <v>121.295</v>
      </c>
      <c r="E54" s="122">
        <v>80.263000000000005</v>
      </c>
      <c r="F54" s="122">
        <v>17.34</v>
      </c>
      <c r="G54" s="122">
        <v>-8.6720000000000006</v>
      </c>
      <c r="H54" s="122">
        <v>463.96100000000001</v>
      </c>
      <c r="I54" s="122">
        <v>-8.4809999999999999</v>
      </c>
      <c r="J54" s="122">
        <v>455.48</v>
      </c>
      <c r="K54" s="122">
        <v>145.31700000000001</v>
      </c>
      <c r="L54" s="122">
        <v>600.798</v>
      </c>
      <c r="M54" s="122">
        <v>124.94799999999999</v>
      </c>
      <c r="N54" s="122">
        <v>0</v>
      </c>
      <c r="O54" s="122">
        <v>475.85</v>
      </c>
      <c r="P54" s="155">
        <v>458.8</v>
      </c>
      <c r="Q54" s="156"/>
      <c r="R54" s="157"/>
      <c r="S54" s="124">
        <f>100*(C54/OBR_NOV22_1.1!C54)</f>
        <v>101.14059503466186</v>
      </c>
      <c r="T54" s="124">
        <f>100*(D54/OBR_NOV22_1.1!D54)</f>
        <v>142.40012209582173</v>
      </c>
      <c r="U54" s="124">
        <f>100*(E54/OBR_NOV22_1.1!E54)</f>
        <v>101.84109018931129</v>
      </c>
      <c r="V54" s="124">
        <f>100*(K54/OBR_NOV22_1.1!N54)</f>
        <v>99.17489046312599</v>
      </c>
      <c r="W54" s="124">
        <f>100*(M54/OBR_NOV22_1.1!P54)</f>
        <v>97.85031285974955</v>
      </c>
      <c r="X54" s="124">
        <f>100*(O54/OBR_NOV22_1.1!R54)</f>
        <v>110.20301347401771</v>
      </c>
      <c r="AA54" s="124">
        <f t="shared" si="0"/>
        <v>36.114090717754642</v>
      </c>
    </row>
    <row r="55" spans="1:27" ht="15.75">
      <c r="A55" s="110"/>
      <c r="B55" s="154" t="s">
        <v>161</v>
      </c>
      <c r="C55" s="122">
        <v>322.92</v>
      </c>
      <c r="D55" s="122">
        <v>121.224</v>
      </c>
      <c r="E55" s="122">
        <v>92.277000000000001</v>
      </c>
      <c r="F55" s="122">
        <v>16.75</v>
      </c>
      <c r="G55" s="122">
        <v>1.218</v>
      </c>
      <c r="H55" s="122">
        <v>537.63900000000001</v>
      </c>
      <c r="I55" s="122">
        <v>-2.6720000000000002</v>
      </c>
      <c r="J55" s="122">
        <v>534.96699999999998</v>
      </c>
      <c r="K55" s="122">
        <v>146.334</v>
      </c>
      <c r="L55" s="122">
        <v>681.30200000000002</v>
      </c>
      <c r="M55" s="122">
        <v>147.131</v>
      </c>
      <c r="N55" s="122">
        <v>0</v>
      </c>
      <c r="O55" s="122">
        <v>534.17100000000005</v>
      </c>
      <c r="P55" s="155">
        <v>525.91800000000001</v>
      </c>
      <c r="Q55" s="156"/>
      <c r="R55" s="157"/>
      <c r="S55" s="124">
        <f>100*(C55/OBR_NOV22_1.1!C55)</f>
        <v>101.17872652416671</v>
      </c>
      <c r="T55" s="124">
        <f>100*(D55/OBR_NOV22_1.1!D55)</f>
        <v>120.42557841510784</v>
      </c>
      <c r="U55" s="124">
        <f>100*(E55/OBR_NOV22_1.1!E55)</f>
        <v>101.17093707857777</v>
      </c>
      <c r="V55" s="124">
        <f>100*(K55/OBR_NOV22_1.1!N55)</f>
        <v>100.19239591107339</v>
      </c>
      <c r="W55" s="124">
        <f>100*(M55/OBR_NOV22_1.1!P55)</f>
        <v>98.131165253813379</v>
      </c>
      <c r="X55" s="124">
        <f>100*(O55/OBR_NOV22_1.1!R55)</f>
        <v>106.08966274684266</v>
      </c>
      <c r="AA55" s="124">
        <f t="shared" si="0"/>
        <v>-15.43154834230206</v>
      </c>
    </row>
    <row r="56" spans="1:27" ht="15.75">
      <c r="A56" s="110"/>
      <c r="B56" s="154" t="s">
        <v>162</v>
      </c>
      <c r="C56" s="122">
        <v>318.57600000000002</v>
      </c>
      <c r="D56" s="122">
        <v>123.7</v>
      </c>
      <c r="E56" s="122">
        <v>95.191999999999993</v>
      </c>
      <c r="F56" s="122">
        <v>17.268999999999998</v>
      </c>
      <c r="G56" s="122">
        <v>7.6180000000000003</v>
      </c>
      <c r="H56" s="122">
        <v>545.08600000000001</v>
      </c>
      <c r="I56" s="122">
        <v>9.625</v>
      </c>
      <c r="J56" s="122">
        <v>554.71100000000001</v>
      </c>
      <c r="K56" s="122">
        <v>156.26599999999999</v>
      </c>
      <c r="L56" s="122">
        <v>710.97699999999998</v>
      </c>
      <c r="M56" s="122">
        <v>171.31100000000001</v>
      </c>
      <c r="N56" s="122">
        <v>0</v>
      </c>
      <c r="O56" s="122">
        <v>539.66600000000005</v>
      </c>
      <c r="P56" s="155">
        <v>526.93399999999997</v>
      </c>
      <c r="Q56" s="156"/>
      <c r="R56" s="157"/>
      <c r="S56" s="124">
        <f>100*(C56/OBR_NOV22_1.1!C56)</f>
        <v>101.18149249180578</v>
      </c>
      <c r="T56" s="124">
        <f>100*(D56/OBR_NOV22_1.1!D56)</f>
        <v>118.33923275614657</v>
      </c>
      <c r="U56" s="124">
        <f>100*(E56/OBR_NOV22_1.1!E56)</f>
        <v>101.10030162708694</v>
      </c>
      <c r="V56" s="124">
        <f>100*(K56/OBR_NOV22_1.1!N56)</f>
        <v>100.89553780693315</v>
      </c>
      <c r="W56" s="124">
        <f>100*(M56/OBR_NOV22_1.1!P56)</f>
        <v>99.367176714887307</v>
      </c>
      <c r="X56" s="124">
        <f>100*(O56/OBR_NOV22_1.1!R56)</f>
        <v>105.89555767913804</v>
      </c>
      <c r="Z56" s="124">
        <f t="shared" si="0"/>
        <v>2.7337442702668469E-3</v>
      </c>
      <c r="AA56" s="124">
        <f t="shared" si="0"/>
        <v>-1.7324771750479862</v>
      </c>
    </row>
    <row r="57" spans="1:27" ht="15.75">
      <c r="A57" s="110"/>
      <c r="B57" s="154" t="s">
        <v>163</v>
      </c>
      <c r="C57" s="122">
        <v>309.81200000000001</v>
      </c>
      <c r="D57" s="122">
        <v>128.774</v>
      </c>
      <c r="E57" s="122">
        <v>94.94</v>
      </c>
      <c r="F57" s="122">
        <v>19.332000000000001</v>
      </c>
      <c r="G57" s="122">
        <v>8.4149999999999991</v>
      </c>
      <c r="H57" s="122">
        <v>541.94100000000003</v>
      </c>
      <c r="I57" s="122">
        <v>3.0179999999999998</v>
      </c>
      <c r="J57" s="122">
        <v>544.95899999999995</v>
      </c>
      <c r="K57" s="122">
        <v>146.852</v>
      </c>
      <c r="L57" s="122">
        <v>691.81100000000004</v>
      </c>
      <c r="M57" s="122">
        <v>151.02500000000001</v>
      </c>
      <c r="N57" s="122">
        <v>-0.621</v>
      </c>
      <c r="O57" s="122">
        <v>540.16499999999996</v>
      </c>
      <c r="P57" s="155">
        <v>535.36800000000005</v>
      </c>
      <c r="Q57" s="156"/>
      <c r="R57" s="157"/>
      <c r="S57" s="124">
        <f>100*(C57/OBR_NOV22_1.1!C57)</f>
        <v>102.21917211616504</v>
      </c>
      <c r="T57" s="124">
        <f>100*(D57/OBR_NOV22_1.1!D57)</f>
        <v>123.07089473784811</v>
      </c>
      <c r="U57" s="124">
        <f>100*(E57/OBR_NOV22_1.1!E57)</f>
        <v>102.26856539629875</v>
      </c>
      <c r="V57" s="124">
        <f>100*(K57/OBR_NOV22_1.1!N57)</f>
        <v>101.71003511493734</v>
      </c>
      <c r="W57" s="124">
        <f>100*(M57/OBR_NOV22_1.1!P57)</f>
        <v>99.931845852522386</v>
      </c>
      <c r="X57" s="124">
        <f>100*(O57/OBR_NOV22_1.1!R57)</f>
        <v>107.24730623452585</v>
      </c>
      <c r="Z57" s="124">
        <f t="shared" si="0"/>
        <v>1.0255626783161942</v>
      </c>
      <c r="AA57" s="124">
        <f t="shared" si="0"/>
        <v>3.9983882534135873</v>
      </c>
    </row>
    <row r="58" spans="1:27" ht="15.75">
      <c r="A58" s="110"/>
      <c r="B58" s="154" t="s">
        <v>164</v>
      </c>
      <c r="C58" s="122">
        <v>343.12200000000001</v>
      </c>
      <c r="D58" s="122">
        <v>126.095</v>
      </c>
      <c r="E58" s="122">
        <v>97.256</v>
      </c>
      <c r="F58" s="122">
        <v>17.047999999999998</v>
      </c>
      <c r="G58" s="122">
        <v>-0.77300000000000002</v>
      </c>
      <c r="H58" s="122">
        <v>565.70000000000005</v>
      </c>
      <c r="I58" s="122">
        <v>-2.8279999999999998</v>
      </c>
      <c r="J58" s="122">
        <v>562.87199999999996</v>
      </c>
      <c r="K58" s="122">
        <v>158.38900000000001</v>
      </c>
      <c r="L58" s="122">
        <v>721.26099999999997</v>
      </c>
      <c r="M58" s="122">
        <v>156.053</v>
      </c>
      <c r="N58" s="122">
        <v>-1.1040000000000001</v>
      </c>
      <c r="O58" s="122">
        <v>564.10400000000004</v>
      </c>
      <c r="P58" s="155">
        <v>558.70699999999999</v>
      </c>
      <c r="Q58" s="156"/>
      <c r="R58" s="157"/>
      <c r="S58" s="124">
        <f>100*(C58/OBR_NOV22_1.1!C58)</f>
        <v>102.53190656478878</v>
      </c>
      <c r="T58" s="124">
        <f>100*(D58/OBR_NOV22_1.1!D58)</f>
        <v>112.07448226824282</v>
      </c>
      <c r="U58" s="124">
        <f>100*(E58/OBR_NOV22_1.1!E58)</f>
        <v>102.07067367736111</v>
      </c>
      <c r="V58" s="124">
        <f>100*(K58/OBR_NOV22_1.1!N58)</f>
        <v>102.24516012420035</v>
      </c>
      <c r="W58" s="124">
        <f>100*(M58/OBR_NOV22_1.1!P58)</f>
        <v>99.93788024335575</v>
      </c>
      <c r="X58" s="124">
        <f>100*(O58/OBR_NOV22_1.1!R58)</f>
        <v>105.12403840419825</v>
      </c>
      <c r="Z58" s="124">
        <f t="shared" si="0"/>
        <v>0.30594500243881217</v>
      </c>
      <c r="AA58" s="124">
        <f t="shared" si="0"/>
        <v>-8.9350227712479242</v>
      </c>
    </row>
    <row r="59" spans="1:27" ht="15.75">
      <c r="A59" s="110"/>
      <c r="B59" s="154" t="s">
        <v>165</v>
      </c>
      <c r="C59" s="122">
        <v>358.04599999999999</v>
      </c>
      <c r="D59" s="122">
        <v>126.559</v>
      </c>
      <c r="E59" s="122">
        <v>99.183999999999997</v>
      </c>
      <c r="F59" s="122">
        <v>17.145</v>
      </c>
      <c r="G59" s="122">
        <v>3.4430000000000001</v>
      </c>
      <c r="H59" s="122">
        <v>587.23199999999997</v>
      </c>
      <c r="I59" s="122">
        <v>6.1870000000000003</v>
      </c>
      <c r="J59" s="122">
        <v>593.41899999999998</v>
      </c>
      <c r="K59" s="122">
        <v>154.292</v>
      </c>
      <c r="L59" s="122">
        <v>747.71</v>
      </c>
      <c r="M59" s="122">
        <v>169.06899999999999</v>
      </c>
      <c r="N59" s="122">
        <v>-1.022</v>
      </c>
      <c r="O59" s="122">
        <v>577.61900000000003</v>
      </c>
      <c r="P59" s="155">
        <v>574.53499999999997</v>
      </c>
      <c r="Q59" s="156"/>
      <c r="R59" s="157"/>
      <c r="S59" s="124">
        <f>100*(C59/OBR_NOV22_1.1!C59)</f>
        <v>104.0646862038999</v>
      </c>
      <c r="T59" s="124">
        <f>100*(D59/OBR_NOV22_1.1!D59)</f>
        <v>112.20565288318321</v>
      </c>
      <c r="U59" s="124">
        <f>100*(E59/OBR_NOV22_1.1!E59)</f>
        <v>103.41146050546332</v>
      </c>
      <c r="V59" s="124">
        <f>100*(K59/OBR_NOV22_1.1!N59)</f>
        <v>103.43713337579192</v>
      </c>
      <c r="W59" s="124">
        <f>100*(M59/OBR_NOV22_1.1!P59)</f>
        <v>103.78252622662008</v>
      </c>
      <c r="X59" s="124">
        <f>100*(O59/OBR_NOV22_1.1!R59)</f>
        <v>105.77475260216377</v>
      </c>
      <c r="Z59" s="124">
        <f t="shared" si="0"/>
        <v>1.4949294229134047</v>
      </c>
      <c r="AA59" s="124">
        <f t="shared" si="0"/>
        <v>0.11703878731863515</v>
      </c>
    </row>
    <row r="60" spans="1:27" ht="15.75">
      <c r="A60" s="110"/>
      <c r="B60" s="154" t="s">
        <v>166</v>
      </c>
      <c r="C60" s="122">
        <v>365.12799999999999</v>
      </c>
      <c r="D60" s="122">
        <v>128.12100000000001</v>
      </c>
      <c r="E60" s="122">
        <v>101.294</v>
      </c>
      <c r="F60" s="122">
        <v>17.251999999999999</v>
      </c>
      <c r="G60" s="122">
        <v>-3.1110000000000002</v>
      </c>
      <c r="H60" s="122">
        <v>591.43200000000002</v>
      </c>
      <c r="I60" s="122">
        <v>4.88</v>
      </c>
      <c r="J60" s="122">
        <v>596.31200000000001</v>
      </c>
      <c r="K60" s="122">
        <v>176.792</v>
      </c>
      <c r="L60" s="122">
        <v>773.10500000000002</v>
      </c>
      <c r="M60" s="122">
        <v>177.75</v>
      </c>
      <c r="N60" s="122">
        <v>-0.52800000000000002</v>
      </c>
      <c r="O60" s="122">
        <v>594.827</v>
      </c>
      <c r="P60" s="155">
        <v>598.15800000000002</v>
      </c>
      <c r="Q60" s="156"/>
      <c r="R60" s="157"/>
      <c r="S60" s="124">
        <f>100*(C60/OBR_NOV22_1.1!C60)</f>
        <v>105.41742213394004</v>
      </c>
      <c r="T60" s="124">
        <f>100*(D60/OBR_NOV22_1.1!D60)</f>
        <v>112.04579044487394</v>
      </c>
      <c r="U60" s="124">
        <f>100*(E60/OBR_NOV22_1.1!E60)</f>
        <v>104.36977733815544</v>
      </c>
      <c r="V60" s="124">
        <f>100*(K60/OBR_NOV22_1.1!N60)</f>
        <v>107.27604808223252</v>
      </c>
      <c r="W60" s="124">
        <f>100*(M60/OBR_NOV22_1.1!P60)</f>
        <v>107.92022100118392</v>
      </c>
      <c r="X60" s="124">
        <f>100*(O60/OBR_NOV22_1.1!R60)</f>
        <v>107.18801019212958</v>
      </c>
      <c r="Z60" s="124">
        <f t="shared" si="0"/>
        <v>1.2998991102415314</v>
      </c>
      <c r="AA60" s="124">
        <f t="shared" si="0"/>
        <v>-0.14247271345204648</v>
      </c>
    </row>
    <row r="61" spans="1:27" ht="15.75">
      <c r="A61" s="110"/>
      <c r="B61" s="154" t="s">
        <v>167</v>
      </c>
      <c r="C61" s="122">
        <v>374.678</v>
      </c>
      <c r="D61" s="122">
        <v>132.90700000000001</v>
      </c>
      <c r="E61" s="122">
        <v>105.925</v>
      </c>
      <c r="F61" s="122">
        <v>21.742999999999999</v>
      </c>
      <c r="G61" s="122">
        <v>8.3870000000000005</v>
      </c>
      <c r="H61" s="122">
        <v>621.89700000000005</v>
      </c>
      <c r="I61" s="122">
        <v>21.696999999999999</v>
      </c>
      <c r="J61" s="122">
        <v>643.59400000000005</v>
      </c>
      <c r="K61" s="122">
        <v>174.41499999999999</v>
      </c>
      <c r="L61" s="122">
        <v>818.00900000000001</v>
      </c>
      <c r="M61" s="122">
        <v>206.63800000000001</v>
      </c>
      <c r="N61" s="122">
        <v>-0.54200000000000004</v>
      </c>
      <c r="O61" s="122">
        <v>610.82899999999995</v>
      </c>
      <c r="P61" s="155">
        <v>604.74199999999996</v>
      </c>
      <c r="Q61" s="156"/>
      <c r="R61" s="157"/>
      <c r="S61" s="124">
        <f>100*(C61/OBR_NOV22_1.1!C61)</f>
        <v>107.51624890597873</v>
      </c>
      <c r="T61" s="124">
        <f>100*(D61/OBR_NOV22_1.1!D61)</f>
        <v>117.55231642815447</v>
      </c>
      <c r="U61" s="124">
        <f>100*(E61/OBR_NOV22_1.1!E61)</f>
        <v>105.49143022178843</v>
      </c>
      <c r="V61" s="124">
        <f>100*(K61/OBR_NOV22_1.1!N61)</f>
        <v>110.82059916764622</v>
      </c>
      <c r="W61" s="124">
        <f>100*(M61/OBR_NOV22_1.1!P61)</f>
        <v>112.81522124860099</v>
      </c>
      <c r="X61" s="124">
        <f>100*(O61/OBR_NOV22_1.1!R61)</f>
        <v>109.31553967958538</v>
      </c>
      <c r="Z61" s="124">
        <f t="shared" si="0"/>
        <v>1.9909676498937712</v>
      </c>
      <c r="AA61" s="124">
        <f t="shared" si="0"/>
        <v>4.914531783315601</v>
      </c>
    </row>
    <row r="62" spans="1:27" ht="15.75">
      <c r="A62" s="110"/>
      <c r="B62" s="154" t="s">
        <v>168</v>
      </c>
      <c r="C62" s="122">
        <v>386.33199999999999</v>
      </c>
      <c r="D62" s="122">
        <v>126.827</v>
      </c>
      <c r="E62" s="122">
        <v>106.98099999999999</v>
      </c>
      <c r="F62" s="122">
        <v>17.344000000000001</v>
      </c>
      <c r="G62" s="122">
        <v>2.613</v>
      </c>
      <c r="H62" s="122">
        <v>622.75300000000004</v>
      </c>
      <c r="I62" s="122">
        <v>23.585000000000001</v>
      </c>
      <c r="J62" s="122">
        <v>646.33799999999997</v>
      </c>
      <c r="K62" s="122">
        <v>189.61699999999999</v>
      </c>
      <c r="L62" s="122">
        <v>835.95500000000004</v>
      </c>
      <c r="M62" s="122">
        <v>215.83500000000001</v>
      </c>
      <c r="N62" s="122">
        <v>-0.55000000000000004</v>
      </c>
      <c r="O62" s="122">
        <v>619.57000000000005</v>
      </c>
      <c r="P62" s="155">
        <v>617.62400000000002</v>
      </c>
      <c r="Q62" s="156"/>
      <c r="R62" s="157"/>
      <c r="S62" s="124">
        <f>100*(C62/OBR_NOV22_1.1!C62)</f>
        <v>110.66196900690326</v>
      </c>
      <c r="T62" s="124">
        <f>100*(D62/OBR_NOV22_1.1!D62)</f>
        <v>113.90964612897432</v>
      </c>
      <c r="U62" s="124">
        <f>100*(E62/OBR_NOV22_1.1!E62)</f>
        <v>108.07362434209861</v>
      </c>
      <c r="V62" s="124">
        <f>100*(K62/OBR_NOV22_1.1!N62)</f>
        <v>116.34015400190201</v>
      </c>
      <c r="W62" s="124">
        <f>100*(M62/OBR_NOV22_1.1!P62)</f>
        <v>119.5794897365578</v>
      </c>
      <c r="X62" s="124">
        <f>100*(O62/OBR_NOV22_1.1!R62)</f>
        <v>110.61991933424866</v>
      </c>
      <c r="Z62" s="124">
        <f t="shared" si="0"/>
        <v>2.9258090129943293</v>
      </c>
      <c r="AA62" s="124">
        <f t="shared" si="0"/>
        <v>-3.0987652220417772</v>
      </c>
    </row>
    <row r="63" spans="1:27" ht="15.75">
      <c r="A63" s="110"/>
      <c r="B63" s="154" t="s">
        <v>169</v>
      </c>
      <c r="C63" s="122">
        <v>392.59311500000001</v>
      </c>
      <c r="D63" s="122">
        <v>128.50674214576401</v>
      </c>
      <c r="E63" s="122">
        <v>108.40539800000001</v>
      </c>
      <c r="F63" s="122">
        <v>19.3455367</v>
      </c>
      <c r="G63" s="122">
        <v>0.78471194499999997</v>
      </c>
      <c r="H63" s="122">
        <v>630.28996709076398</v>
      </c>
      <c r="I63" s="122">
        <v>7.8950835999999995</v>
      </c>
      <c r="J63" s="122">
        <v>638.185050690764</v>
      </c>
      <c r="K63" s="122">
        <v>188.744552</v>
      </c>
      <c r="L63" s="122">
        <v>826.92960300000004</v>
      </c>
      <c r="M63" s="122">
        <v>206.37401600000001</v>
      </c>
      <c r="N63" s="122">
        <v>-0.55284006799999996</v>
      </c>
      <c r="O63" s="122">
        <v>620.002747</v>
      </c>
      <c r="P63" s="155">
        <v>612.33630400000004</v>
      </c>
      <c r="Q63" s="156"/>
      <c r="R63" s="157"/>
      <c r="S63" s="124">
        <f>100*(C63/OBR_NOV22_1.1!C63)</f>
        <v>113.00749986302709</v>
      </c>
      <c r="T63" s="124">
        <f>100*(D63/OBR_NOV22_1.1!D63)</f>
        <v>113.15520217683689</v>
      </c>
      <c r="U63" s="124">
        <f>100*(E63/OBR_NOV22_1.1!E63)</f>
        <v>108.98777054095481</v>
      </c>
      <c r="V63" s="124">
        <f>100*(K63/OBR_NOV22_1.1!N63)</f>
        <v>115.74891945923909</v>
      </c>
      <c r="W63" s="124">
        <f>100*(M63/OBR_NOV22_1.1!P63)</f>
        <v>120.0794329655136</v>
      </c>
      <c r="X63" s="124">
        <f>100*(O63/OBR_NOV22_1.1!R63)</f>
        <v>111.23542618921955</v>
      </c>
      <c r="Z63" s="124">
        <f t="shared" si="0"/>
        <v>2.1195455649063222</v>
      </c>
      <c r="AA63" s="124">
        <f t="shared" si="0"/>
        <v>-0.66231787892940819</v>
      </c>
    </row>
    <row r="64" spans="1:27" ht="15.75">
      <c r="A64" s="110"/>
      <c r="B64" s="154" t="s">
        <v>170</v>
      </c>
      <c r="C64" s="122">
        <v>400.95169699999997</v>
      </c>
      <c r="D64" s="122">
        <v>130.48681222929699</v>
      </c>
      <c r="E64" s="122">
        <v>109.19523699999999</v>
      </c>
      <c r="F64" s="122">
        <v>20.528791900000002</v>
      </c>
      <c r="G64" s="122">
        <v>0.79085114000000001</v>
      </c>
      <c r="H64" s="122">
        <v>641.42459736929698</v>
      </c>
      <c r="I64" s="122">
        <v>4.3292579299999998</v>
      </c>
      <c r="J64" s="122">
        <v>645.7538552992969</v>
      </c>
      <c r="K64" s="122">
        <v>186.31709700000002</v>
      </c>
      <c r="L64" s="122">
        <v>832.07095200000003</v>
      </c>
      <c r="M64" s="122">
        <v>204.53701500000003</v>
      </c>
      <c r="N64" s="122">
        <v>-0.56114993499999999</v>
      </c>
      <c r="O64" s="122">
        <v>626.97278700000004</v>
      </c>
      <c r="P64" s="155">
        <v>614.8778440000001</v>
      </c>
      <c r="Q64" s="156"/>
      <c r="R64" s="157"/>
      <c r="S64" s="124">
        <f>100*(C64/OBR_NOV22_1.1!C64)</f>
        <v>115.92521100836177</v>
      </c>
      <c r="T64" s="124">
        <f>100*(D64/OBR_NOV22_1.1!D64)</f>
        <v>112.75636051778856</v>
      </c>
      <c r="U64" s="124">
        <f>100*(E64/OBR_NOV22_1.1!E64)</f>
        <v>109.8404363993956</v>
      </c>
      <c r="V64" s="124">
        <f>100*(K64/OBR_NOV22_1.1!N64)</f>
        <v>115.54126792307682</v>
      </c>
      <c r="W64" s="124">
        <f>100*(M64/OBR_NOV22_1.1!P64)</f>
        <v>120.1978079652219</v>
      </c>
      <c r="X64" s="124">
        <f>100*(O64/OBR_NOV22_1.1!R64)</f>
        <v>112.90743152804399</v>
      </c>
      <c r="Z64" s="124">
        <f t="shared" si="0"/>
        <v>2.5818739011757241</v>
      </c>
      <c r="AA64" s="124">
        <f t="shared" si="0"/>
        <v>-0.35247310894732653</v>
      </c>
    </row>
    <row r="65" spans="1:31" ht="15.75">
      <c r="A65" s="110"/>
      <c r="B65" s="129" t="s">
        <v>171</v>
      </c>
      <c r="C65" s="122">
        <v>403.12463199999996</v>
      </c>
      <c r="D65" s="122">
        <v>131.91419177505799</v>
      </c>
      <c r="E65" s="122">
        <v>109.157797</v>
      </c>
      <c r="F65" s="122">
        <v>21.125092100000007</v>
      </c>
      <c r="G65" s="122">
        <v>0.79411592700000011</v>
      </c>
      <c r="H65" s="122">
        <v>644.99073670205792</v>
      </c>
      <c r="I65" s="122">
        <v>2.7045026400000003</v>
      </c>
      <c r="J65" s="122">
        <v>647.69523934205779</v>
      </c>
      <c r="K65" s="122">
        <v>181.894103</v>
      </c>
      <c r="L65" s="122">
        <v>829.58934199999999</v>
      </c>
      <c r="M65" s="122">
        <v>202.23510899999999</v>
      </c>
      <c r="N65" s="122">
        <v>-0.56372736699999992</v>
      </c>
      <c r="O65" s="122">
        <v>626.79050600000005</v>
      </c>
      <c r="P65" s="155">
        <v>616.67365500000005</v>
      </c>
      <c r="Q65" s="156"/>
      <c r="R65" s="157"/>
      <c r="S65" s="124">
        <f>100*(C65/OBR_NOV22_1.1!C65)</f>
        <v>117.21313800310492</v>
      </c>
      <c r="T65" s="124">
        <f>100*(D65/OBR_NOV22_1.1!D65)</f>
        <v>112.4714242477684</v>
      </c>
      <c r="U65" s="124">
        <f>100*(E65/OBR_NOV22_1.1!E65)</f>
        <v>110.29387858274559</v>
      </c>
      <c r="V65" s="124">
        <f>100*(K65/OBR_NOV22_1.1!N65)</f>
        <v>114.6531111359659</v>
      </c>
      <c r="W65" s="124">
        <f>100*(M65/OBR_NOV22_1.1!P65)</f>
        <v>120.16068285999117</v>
      </c>
      <c r="X65" s="124">
        <f>100*(O65/OBR_NOV22_1.1!R65)</f>
        <v>113.42602950847893</v>
      </c>
      <c r="Z65" s="124">
        <f t="shared" si="0"/>
        <v>1.1109981888669962</v>
      </c>
      <c r="AA65" s="124">
        <f t="shared" si="0"/>
        <v>-0.25270083985657887</v>
      </c>
    </row>
    <row r="66" spans="1:31" ht="15.75">
      <c r="A66" s="110"/>
      <c r="B66" s="129" t="s">
        <v>172</v>
      </c>
      <c r="C66" s="122">
        <v>406.74323900000002</v>
      </c>
      <c r="D66" s="122">
        <v>133.78888078304701</v>
      </c>
      <c r="E66" s="122">
        <v>108.46341000000001</v>
      </c>
      <c r="F66" s="122">
        <v>21.634437500000001</v>
      </c>
      <c r="G66" s="122">
        <v>0.79811719800000003</v>
      </c>
      <c r="H66" s="122">
        <v>649.793646981047</v>
      </c>
      <c r="I66" s="122">
        <v>3.4660791899999999</v>
      </c>
      <c r="J66" s="122">
        <v>653.25972617104696</v>
      </c>
      <c r="K66" s="122">
        <v>180.01924600000001</v>
      </c>
      <c r="L66" s="122">
        <v>833.27897199999995</v>
      </c>
      <c r="M66" s="122">
        <v>201.05524600000001</v>
      </c>
      <c r="N66" s="122">
        <v>-0.57115543800000002</v>
      </c>
      <c r="O66" s="122">
        <v>631.65257099999997</v>
      </c>
      <c r="P66" s="155">
        <v>624.08061800000007</v>
      </c>
      <c r="Q66" s="156"/>
      <c r="R66" s="157"/>
      <c r="S66" s="124">
        <f>100*(C66/OBR_NOV22_1.1!C66)</f>
        <v>119.33185507434416</v>
      </c>
      <c r="T66" s="124">
        <f>100*(D66/OBR_NOV22_1.1!D66)</f>
        <v>112.77291504117608</v>
      </c>
      <c r="U66" s="124">
        <f>100*(E66/OBR_NOV22_1.1!E66)</f>
        <v>110.84961065561161</v>
      </c>
      <c r="V66" s="124">
        <f>100*(K66/OBR_NOV22_1.1!N66)</f>
        <v>114.89596600076639</v>
      </c>
      <c r="W66" s="124">
        <f>100*(M66/OBR_NOV22_1.1!P66)</f>
        <v>120.43857779180681</v>
      </c>
      <c r="X66" s="124">
        <f>100*(O66/OBR_NOV22_1.1!R66)</f>
        <v>114.92061125442312</v>
      </c>
      <c r="Z66" s="124">
        <f t="shared" si="0"/>
        <v>1.8075764435067976</v>
      </c>
      <c r="AA66" s="124">
        <f t="shared" si="0"/>
        <v>0.26805990537073221</v>
      </c>
    </row>
    <row r="67" spans="1:31" ht="15.75">
      <c r="A67" s="110"/>
      <c r="B67" s="129" t="s">
        <v>173</v>
      </c>
      <c r="C67" s="122">
        <v>407.36729599999995</v>
      </c>
      <c r="D67" s="122">
        <v>135.30664824184302</v>
      </c>
      <c r="E67" s="122">
        <v>108.75171400000001</v>
      </c>
      <c r="F67" s="122">
        <v>21.943767599999997</v>
      </c>
      <c r="G67" s="122">
        <v>0.80028662499999992</v>
      </c>
      <c r="H67" s="122">
        <v>652.22594486684295</v>
      </c>
      <c r="I67" s="122">
        <v>1.99775258</v>
      </c>
      <c r="J67" s="122">
        <v>654.22369744684295</v>
      </c>
      <c r="K67" s="122">
        <v>178.70588599999999</v>
      </c>
      <c r="L67" s="122">
        <v>832.92958399999998</v>
      </c>
      <c r="M67" s="122">
        <v>199.270388</v>
      </c>
      <c r="N67" s="122">
        <v>-0.57381097199999997</v>
      </c>
      <c r="O67" s="122">
        <v>633.08538499999997</v>
      </c>
      <c r="P67" s="155">
        <v>626.45083900000009</v>
      </c>
      <c r="Q67" s="156"/>
      <c r="R67" s="157"/>
      <c r="S67" s="124">
        <f>100*(C67/OBR_NOV22_1.1!C67)</f>
        <v>119.95501190469446</v>
      </c>
      <c r="T67" s="124">
        <f>100*(D67/OBR_NOV22_1.1!D67)</f>
        <v>113.14709042240469</v>
      </c>
      <c r="U67" s="124">
        <f>100*(E67/OBR_NOV22_1.1!E67)</f>
        <v>111.15092000850863</v>
      </c>
      <c r="V67" s="124">
        <f>100*(K67/OBR_NOV22_1.1!N67)</f>
        <v>114.81454284481538</v>
      </c>
      <c r="W67" s="124">
        <f>100*(M67/OBR_NOV22_1.1!P67)</f>
        <v>120.11504896402003</v>
      </c>
      <c r="X67" s="124">
        <f>100*(O67/OBR_NOV22_1.1!R67)</f>
        <v>115.4549238859391</v>
      </c>
      <c r="Z67" s="124">
        <f t="shared" si="0"/>
        <v>0.52220493007677504</v>
      </c>
      <c r="AA67" s="124">
        <f t="shared" si="0"/>
        <v>0.331795432522064</v>
      </c>
      <c r="AB67" s="124"/>
      <c r="AC67" s="124"/>
      <c r="AD67" s="124"/>
    </row>
    <row r="68" spans="1:31" ht="15.75">
      <c r="A68" s="110"/>
      <c r="B68" s="129" t="s">
        <v>174</v>
      </c>
      <c r="C68" s="122">
        <v>407.50021100000004</v>
      </c>
      <c r="D68" s="122">
        <v>136.46749415144799</v>
      </c>
      <c r="E68" s="122">
        <v>109.23927</v>
      </c>
      <c r="F68" s="122">
        <v>22.053082299999996</v>
      </c>
      <c r="G68" s="122">
        <v>0.801951525</v>
      </c>
      <c r="H68" s="122">
        <v>654.00892667644814</v>
      </c>
      <c r="I68" s="122">
        <v>1.12477863</v>
      </c>
      <c r="J68" s="122">
        <v>655.13370530644806</v>
      </c>
      <c r="K68" s="122">
        <v>177.55430799999999</v>
      </c>
      <c r="L68" s="122">
        <v>832.68801399999995</v>
      </c>
      <c r="M68" s="122">
        <v>195.52516299999999</v>
      </c>
      <c r="N68" s="122">
        <v>-0.57619546899999996</v>
      </c>
      <c r="O68" s="122">
        <v>636.58665500000006</v>
      </c>
      <c r="P68" s="155">
        <v>629.24544200000003</v>
      </c>
      <c r="Q68" s="156"/>
      <c r="R68" s="157"/>
      <c r="S68" s="124">
        <f>100*(C68/OBR_NOV22_1.1!C68)</f>
        <v>119.94302188431267</v>
      </c>
      <c r="T68" s="124">
        <f>100*(D68/OBR_NOV22_1.1!D68)</f>
        <v>113.60659189687333</v>
      </c>
      <c r="U68" s="124">
        <f>100*(E68/OBR_NOV22_1.1!E68)</f>
        <v>111.38215667480154</v>
      </c>
      <c r="V68" s="124">
        <f>100*(K68/OBR_NOV22_1.1!N68)</f>
        <v>113.99665713732941</v>
      </c>
      <c r="W68" s="124">
        <f>100*(M68/OBR_NOV22_1.1!P68)</f>
        <v>118.08308794373366</v>
      </c>
      <c r="X68" s="124">
        <f>100*(O68/OBR_NOV22_1.1!R68)</f>
        <v>115.9347021322821</v>
      </c>
      <c r="Z68" s="124">
        <f t="shared" si="0"/>
        <v>-9.9954309464855839E-3</v>
      </c>
      <c r="AA68" s="124">
        <f t="shared" si="0"/>
        <v>0.40610984582387655</v>
      </c>
      <c r="AB68" s="124"/>
      <c r="AC68" s="124"/>
      <c r="AD68" s="124"/>
    </row>
    <row r="69" spans="1:31" ht="15.75">
      <c r="A69" s="110"/>
      <c r="B69" s="129" t="s">
        <v>175</v>
      </c>
      <c r="C69" s="122">
        <v>409.72181</v>
      </c>
      <c r="D69" s="122">
        <v>137.27141851186101</v>
      </c>
      <c r="E69" s="122">
        <v>109.896069</v>
      </c>
      <c r="F69" s="122">
        <v>21.962381700000005</v>
      </c>
      <c r="G69" s="122">
        <v>0.80415784599999995</v>
      </c>
      <c r="H69" s="122">
        <v>657.69345535786113</v>
      </c>
      <c r="I69" s="122">
        <v>0.924090776</v>
      </c>
      <c r="J69" s="122">
        <v>658.6175461338612</v>
      </c>
      <c r="K69" s="122">
        <v>176.858047</v>
      </c>
      <c r="L69" s="122">
        <v>835.475593</v>
      </c>
      <c r="M69" s="122">
        <v>193.37579600000001</v>
      </c>
      <c r="N69" s="122">
        <v>-0.57823883300000001</v>
      </c>
      <c r="O69" s="122">
        <v>641.52155799999991</v>
      </c>
      <c r="P69" s="155">
        <v>633.66861199999994</v>
      </c>
      <c r="Q69" s="156"/>
      <c r="R69" s="157"/>
      <c r="S69" s="124">
        <f>100*(C69/OBR_NOV22_1.1!C69)</f>
        <v>120.06837208912775</v>
      </c>
      <c r="T69" s="124">
        <f>100*(D69/OBR_NOV22_1.1!D69)</f>
        <v>113.93404112353143</v>
      </c>
      <c r="U69" s="124">
        <f>100*(E69/OBR_NOV22_1.1!E69)</f>
        <v>111.68859005963785</v>
      </c>
      <c r="V69" s="124">
        <f>100*(K69/OBR_NOV22_1.1!N69)</f>
        <v>113.298962302604</v>
      </c>
      <c r="W69" s="124">
        <f>100*(M69/OBR_NOV22_1.1!P69)</f>
        <v>116.72736584028102</v>
      </c>
      <c r="X69" s="124">
        <f>100*(O69/OBR_NOV22_1.1!R69)</f>
        <v>116.34584163020311</v>
      </c>
      <c r="Z69" s="124">
        <f t="shared" si="0"/>
        <v>0.10450812631348505</v>
      </c>
      <c r="AA69" s="124">
        <f t="shared" si="0"/>
        <v>0.28823083343205713</v>
      </c>
      <c r="AB69" s="124"/>
      <c r="AC69" s="124"/>
      <c r="AD69" s="124"/>
    </row>
    <row r="70" spans="1:31" ht="15.75">
      <c r="A70" s="110"/>
      <c r="B70" s="129" t="s">
        <v>176</v>
      </c>
      <c r="C70" s="122">
        <v>412.07310899999999</v>
      </c>
      <c r="D70" s="122">
        <v>137.718421323081</v>
      </c>
      <c r="E70" s="122">
        <v>110.64216400000001</v>
      </c>
      <c r="F70" s="122">
        <v>21.6716658</v>
      </c>
      <c r="G70" s="122">
        <v>0.80658789200000003</v>
      </c>
      <c r="H70" s="122">
        <v>661.24028221508092</v>
      </c>
      <c r="I70" s="122">
        <v>3.01178422</v>
      </c>
      <c r="J70" s="122">
        <v>664.25206643508091</v>
      </c>
      <c r="K70" s="122">
        <v>176.76867199999998</v>
      </c>
      <c r="L70" s="122">
        <v>841.02073899999994</v>
      </c>
      <c r="M70" s="122">
        <v>192.45999799999998</v>
      </c>
      <c r="N70" s="122">
        <v>-0.57996726700000001</v>
      </c>
      <c r="O70" s="122">
        <v>647.980774</v>
      </c>
      <c r="P70" s="155">
        <v>639.76970100000005</v>
      </c>
      <c r="Q70" s="156"/>
      <c r="R70" s="157"/>
      <c r="S70" s="124">
        <f>100*(C70/OBR_NOV22_1.1!C70)</f>
        <v>120.07630795148303</v>
      </c>
      <c r="T70" s="124">
        <f>100*(D70/OBR_NOV22_1.1!D70)</f>
        <v>114.13384851871346</v>
      </c>
      <c r="U70" s="124">
        <f>100*(E70/OBR_NOV22_1.1!E70)</f>
        <v>112.02609614180466</v>
      </c>
      <c r="V70" s="124">
        <f>100*(K70/OBR_NOV22_1.1!N70)</f>
        <v>112.88632873277255</v>
      </c>
      <c r="W70" s="124">
        <f>100*(M70/OBR_NOV22_1.1!P70)</f>
        <v>115.84395573136865</v>
      </c>
      <c r="X70" s="124">
        <f>100*(O70/OBR_NOV22_1.1!R70)</f>
        <v>116.69361511442706</v>
      </c>
      <c r="Z70" s="124">
        <f t="shared" si="0"/>
        <v>6.6094527786164647E-3</v>
      </c>
      <c r="AA70" s="124">
        <f t="shared" si="0"/>
        <v>0.17537111227836633</v>
      </c>
      <c r="AB70" s="124"/>
      <c r="AC70" s="124"/>
      <c r="AD70" s="124"/>
    </row>
    <row r="71" spans="1:31" ht="15.75">
      <c r="A71" s="110"/>
      <c r="B71" s="129" t="s">
        <v>177</v>
      </c>
      <c r="C71" s="122">
        <v>415.33541700000001</v>
      </c>
      <c r="D71" s="122">
        <v>138.233432345659</v>
      </c>
      <c r="E71" s="122">
        <v>111.99697500000001</v>
      </c>
      <c r="F71" s="122">
        <v>21.488928100000003</v>
      </c>
      <c r="G71" s="122">
        <v>0.80940166299999994</v>
      </c>
      <c r="H71" s="122">
        <v>666.37522600865896</v>
      </c>
      <c r="I71" s="122">
        <v>2.9988290000000002</v>
      </c>
      <c r="J71" s="122">
        <v>669.37405500865907</v>
      </c>
      <c r="K71" s="122">
        <v>176.82460599999999</v>
      </c>
      <c r="L71" s="122">
        <v>846.19866200000001</v>
      </c>
      <c r="M71" s="122">
        <v>191.63300799999999</v>
      </c>
      <c r="N71" s="122">
        <v>-0.58139247699999996</v>
      </c>
      <c r="O71" s="122">
        <v>653.98426100000006</v>
      </c>
      <c r="P71" s="155">
        <v>645.73756700000001</v>
      </c>
      <c r="Q71" s="156"/>
      <c r="R71" s="157"/>
      <c r="S71" s="124">
        <f>100*(C71/OBR_NOV22_1.1!C71)</f>
        <v>120.09833696956211</v>
      </c>
      <c r="T71" s="124">
        <f>100*(D71/OBR_NOV22_1.1!D71)</f>
        <v>114.3890791318249</v>
      </c>
      <c r="U71" s="124">
        <f>100*(E71/OBR_NOV22_1.1!E71)</f>
        <v>112.41689722910601</v>
      </c>
      <c r="V71" s="124">
        <f>100*(K71/OBR_NOV22_1.1!N71)</f>
        <v>112.46251757382764</v>
      </c>
      <c r="W71" s="124">
        <f>100*(M71/OBR_NOV22_1.1!P71)</f>
        <v>114.96441022410183</v>
      </c>
      <c r="X71" s="124">
        <f>100*(O71/OBR_NOV22_1.1!R71)</f>
        <v>116.98037767139805</v>
      </c>
      <c r="Z71" s="124">
        <f t="shared" ref="Z71:AE85" si="1">100*((S71/S70)-1)</f>
        <v>1.8345848947975973E-2</v>
      </c>
      <c r="AA71" s="124">
        <f t="shared" si="1"/>
        <v>0.22362394366259863</v>
      </c>
      <c r="AB71" s="124"/>
      <c r="AC71" s="124"/>
      <c r="AD71" s="124"/>
    </row>
    <row r="72" spans="1:31" ht="15.75">
      <c r="A72" s="110"/>
      <c r="B72" s="129" t="s">
        <v>178</v>
      </c>
      <c r="C72" s="122">
        <v>418.654336</v>
      </c>
      <c r="D72" s="122">
        <v>138.816451579594</v>
      </c>
      <c r="E72" s="122">
        <v>113.62593099999999</v>
      </c>
      <c r="F72" s="122">
        <v>21.414168499999999</v>
      </c>
      <c r="G72" s="122">
        <v>0.81230389000000003</v>
      </c>
      <c r="H72" s="122">
        <v>671.90902246959388</v>
      </c>
      <c r="I72" s="122">
        <v>2.8458220399999998</v>
      </c>
      <c r="J72" s="122">
        <v>674.75484450959391</v>
      </c>
      <c r="K72" s="122">
        <v>176.72537299999999</v>
      </c>
      <c r="L72" s="122">
        <v>851.48021800000004</v>
      </c>
      <c r="M72" s="122">
        <v>190.77657000000002</v>
      </c>
      <c r="N72" s="122">
        <v>-0.58306518400000007</v>
      </c>
      <c r="O72" s="122">
        <v>660.12058200000001</v>
      </c>
      <c r="P72" s="155">
        <v>651.90362899999991</v>
      </c>
      <c r="Q72" s="156"/>
      <c r="R72" s="157"/>
      <c r="S72" s="124">
        <f>100*(C72/OBR_NOV22_1.1!C72)</f>
        <v>120.19004500555963</v>
      </c>
      <c r="T72" s="124">
        <f>100*(D72/OBR_NOV22_1.1!D72)</f>
        <v>114.69948259030937</v>
      </c>
      <c r="U72" s="124">
        <f>100*(E72/OBR_NOV22_1.1!E72)</f>
        <v>112.8199850899337</v>
      </c>
      <c r="V72" s="124">
        <f>100*(K72/OBR_NOV22_1.1!N72)</f>
        <v>112.05173133247219</v>
      </c>
      <c r="W72" s="124">
        <f>100*(M72/OBR_NOV22_1.1!P72)</f>
        <v>114.09417860958948</v>
      </c>
      <c r="X72" s="124">
        <f>100*(O72/OBR_NOV22_1.1!R72)</f>
        <v>117.31693842070661</v>
      </c>
      <c r="Z72" s="124">
        <f t="shared" si="1"/>
        <v>7.6360787594209611E-2</v>
      </c>
      <c r="AA72" s="124">
        <f t="shared" si="1"/>
        <v>0.27135759885501542</v>
      </c>
      <c r="AB72" s="124"/>
      <c r="AC72" s="124"/>
      <c r="AD72" s="124"/>
    </row>
    <row r="73" spans="1:31" ht="15.75">
      <c r="A73" s="110"/>
      <c r="B73" s="129" t="s">
        <v>179</v>
      </c>
      <c r="C73" s="122">
        <v>421.88601799999998</v>
      </c>
      <c r="D73" s="122">
        <v>139.46747902488698</v>
      </c>
      <c r="E73" s="122">
        <v>115.38945200000001</v>
      </c>
      <c r="F73" s="122">
        <v>21.447387200000001</v>
      </c>
      <c r="G73" s="122">
        <v>0.81524480500000007</v>
      </c>
      <c r="H73" s="122">
        <v>677.55819382988705</v>
      </c>
      <c r="I73" s="122">
        <v>2.38807283</v>
      </c>
      <c r="J73" s="122">
        <v>679.94626665988699</v>
      </c>
      <c r="K73" s="122">
        <v>176.56526000000002</v>
      </c>
      <c r="L73" s="122">
        <v>856.511526</v>
      </c>
      <c r="M73" s="122">
        <v>189.220584</v>
      </c>
      <c r="N73" s="122">
        <v>-0.58522122499999996</v>
      </c>
      <c r="O73" s="122">
        <v>666.70572100000004</v>
      </c>
      <c r="P73" s="155">
        <v>658.54108099999996</v>
      </c>
      <c r="Q73" s="156"/>
      <c r="R73" s="157"/>
      <c r="S73" s="124">
        <f>100*(C73/OBR_NOV22_1.1!C73)</f>
        <v>120.3207578792274</v>
      </c>
      <c r="T73" s="124">
        <f>100*(D73/OBR_NOV22_1.1!D73)</f>
        <v>115.0303507832482</v>
      </c>
      <c r="U73" s="124">
        <f>100*(E73/OBR_NOV22_1.1!E73)</f>
        <v>113.22844535375039</v>
      </c>
      <c r="V73" s="124">
        <f>100*(K73/OBR_NOV22_1.1!N73)</f>
        <v>111.62793070705442</v>
      </c>
      <c r="W73" s="124">
        <f>100*(M73/OBR_NOV22_1.1!P73)</f>
        <v>112.9296265486844</v>
      </c>
      <c r="X73" s="124">
        <f>100*(O73/OBR_NOV22_1.1!R73)</f>
        <v>117.75074945837393</v>
      </c>
      <c r="Z73" s="124">
        <f t="shared" si="1"/>
        <v>0.10875515826767046</v>
      </c>
      <c r="AA73" s="124">
        <f t="shared" si="1"/>
        <v>0.28846528813093464</v>
      </c>
      <c r="AB73" s="124"/>
      <c r="AC73" s="124"/>
      <c r="AD73" s="124"/>
    </row>
    <row r="74" spans="1:31" ht="15.75">
      <c r="A74" s="110"/>
      <c r="B74" s="129" t="s">
        <v>180</v>
      </c>
      <c r="C74" s="122">
        <v>422.39271200000002</v>
      </c>
      <c r="D74" s="122">
        <v>140.186514681538</v>
      </c>
      <c r="E74" s="122">
        <v>117.27239599999999</v>
      </c>
      <c r="F74" s="122">
        <v>21.588584099999999</v>
      </c>
      <c r="G74" s="122">
        <v>0.81746792899999998</v>
      </c>
      <c r="H74" s="122">
        <v>680.66909061053798</v>
      </c>
      <c r="I74" s="122">
        <v>2.5968302100000002</v>
      </c>
      <c r="J74" s="122">
        <v>683.2659208205381</v>
      </c>
      <c r="K74" s="122">
        <v>176.59657300000001</v>
      </c>
      <c r="L74" s="122">
        <v>859.86249399999997</v>
      </c>
      <c r="M74" s="122">
        <v>188.17262599999998</v>
      </c>
      <c r="N74" s="122">
        <v>-0.58523302099999996</v>
      </c>
      <c r="O74" s="122">
        <v>671.10463500000003</v>
      </c>
      <c r="P74" s="155">
        <v>663.01090399999998</v>
      </c>
      <c r="Q74" s="156"/>
      <c r="R74" s="157"/>
      <c r="S74" s="124">
        <f>100*(C74/OBR_NOV22_1.1!C74)</f>
        <v>119.86069007685654</v>
      </c>
      <c r="T74" s="124">
        <f>100*(D74/OBR_NOV22_1.1!D74)</f>
        <v>115.33506139882309</v>
      </c>
      <c r="U74" s="124">
        <f>100*(E74/OBR_NOV22_1.1!E74)</f>
        <v>113.53721199876637</v>
      </c>
      <c r="V74" s="124">
        <f>100*(K74/OBR_NOV22_1.1!N74)</f>
        <v>111.38513102820633</v>
      </c>
      <c r="W74" s="124">
        <f>100*(M74/OBR_NOV22_1.1!P74)</f>
        <v>112.1440472106998</v>
      </c>
      <c r="X74" s="124">
        <f>100*(O74/OBR_NOV22_1.1!R74)</f>
        <v>117.75312282384205</v>
      </c>
      <c r="Z74" s="124">
        <f t="shared" si="1"/>
        <v>-0.38236777300941771</v>
      </c>
      <c r="AA74" s="124">
        <f t="shared" si="1"/>
        <v>0.26489584140194644</v>
      </c>
      <c r="AB74" s="124"/>
      <c r="AC74" s="124"/>
      <c r="AD74" s="124"/>
    </row>
    <row r="75" spans="1:31" ht="15.75">
      <c r="A75" s="110"/>
      <c r="B75" s="129" t="s">
        <v>181</v>
      </c>
      <c r="C75" s="122">
        <v>422.50544100000002</v>
      </c>
      <c r="D75" s="122">
        <v>141.024028340325</v>
      </c>
      <c r="E75" s="122">
        <v>119.18112699999999</v>
      </c>
      <c r="F75" s="122">
        <v>21.693426899999999</v>
      </c>
      <c r="G75" s="122">
        <v>0.81961908300000008</v>
      </c>
      <c r="H75" s="122">
        <v>683.53021542332499</v>
      </c>
      <c r="I75" s="122">
        <v>2.9085319300000001</v>
      </c>
      <c r="J75" s="122">
        <v>686.43874735332497</v>
      </c>
      <c r="K75" s="122">
        <v>177.26993900000002</v>
      </c>
      <c r="L75" s="122">
        <v>863.70868599999994</v>
      </c>
      <c r="M75" s="122">
        <v>188.35727499999999</v>
      </c>
      <c r="N75" s="122">
        <v>-0.584645466</v>
      </c>
      <c r="O75" s="122">
        <v>674.76676599999996</v>
      </c>
      <c r="P75" s="155">
        <v>666.68050700000003</v>
      </c>
      <c r="Q75" s="156"/>
      <c r="R75" s="157"/>
      <c r="S75" s="124">
        <f>100*(C75/OBR_NOV22_1.1!C75)</f>
        <v>119.35656812967666</v>
      </c>
      <c r="T75" s="124">
        <f>100*(D75/OBR_NOV22_1.1!D75)</f>
        <v>115.67707382826664</v>
      </c>
      <c r="U75" s="124">
        <f>100*(E75/OBR_NOV22_1.1!E75)</f>
        <v>113.83598383824329</v>
      </c>
      <c r="V75" s="124">
        <f>100*(K75/OBR_NOV22_1.1!N75)</f>
        <v>111.58427745878217</v>
      </c>
      <c r="W75" s="124">
        <f>100*(M75/OBR_NOV22_1.1!P75)</f>
        <v>112.12356267711499</v>
      </c>
      <c r="X75" s="124">
        <f>100*(O75/OBR_NOV22_1.1!R75)</f>
        <v>117.63490267952734</v>
      </c>
      <c r="Z75" s="124">
        <f t="shared" si="1"/>
        <v>-0.42058989219621035</v>
      </c>
      <c r="AA75" s="124">
        <f t="shared" si="1"/>
        <v>0.29653812578369632</v>
      </c>
      <c r="AB75" s="124"/>
      <c r="AC75" s="124"/>
      <c r="AD75" s="124"/>
    </row>
    <row r="76" spans="1:31" ht="15.75">
      <c r="A76" s="110"/>
      <c r="B76" s="129" t="s">
        <v>182</v>
      </c>
      <c r="C76" s="122">
        <v>424.53646800000001</v>
      </c>
      <c r="D76" s="122">
        <v>141.98002000124902</v>
      </c>
      <c r="E76" s="122">
        <v>121.282302</v>
      </c>
      <c r="F76" s="122">
        <v>21.761915400000007</v>
      </c>
      <c r="G76" s="122">
        <v>0.82238068999999991</v>
      </c>
      <c r="H76" s="122">
        <v>688.62117069124906</v>
      </c>
      <c r="I76" s="122">
        <v>3.0767492900000004</v>
      </c>
      <c r="J76" s="122">
        <v>691.69791998124902</v>
      </c>
      <c r="K76" s="122">
        <v>177.881584</v>
      </c>
      <c r="L76" s="122">
        <v>869.57950399999993</v>
      </c>
      <c r="M76" s="122">
        <v>188.77861999999999</v>
      </c>
      <c r="N76" s="122">
        <v>-0.58541167399999994</v>
      </c>
      <c r="O76" s="122">
        <v>680.21547299999997</v>
      </c>
      <c r="P76" s="155">
        <v>672.13516299999992</v>
      </c>
      <c r="Q76" s="156"/>
      <c r="R76" s="157"/>
      <c r="S76" s="124">
        <f>100*(C76/OBR_NOV22_1.1!C76)</f>
        <v>119.35086801672907</v>
      </c>
      <c r="T76" s="124">
        <f>100*(D76/OBR_NOV22_1.1!D76)</f>
        <v>116.05504801357935</v>
      </c>
      <c r="U76" s="124">
        <f>100*(E76/OBR_NOV22_1.1!E76)</f>
        <v>114.21954001302043</v>
      </c>
      <c r="V76" s="124">
        <f>100*(K76/OBR_NOV22_1.1!N76)</f>
        <v>111.79151815204385</v>
      </c>
      <c r="W76" s="124">
        <f>100*(M76/OBR_NOV22_1.1!P76)</f>
        <v>112.29459722910424</v>
      </c>
      <c r="X76" s="124">
        <f>100*(O76/OBR_NOV22_1.1!R76)</f>
        <v>117.78906919973926</v>
      </c>
      <c r="Z76" s="124">
        <f t="shared" si="1"/>
        <v>-4.77570110879455E-3</v>
      </c>
      <c r="AA76" s="124">
        <f t="shared" si="1"/>
        <v>0.32674943513339993</v>
      </c>
      <c r="AB76" s="124"/>
      <c r="AC76" s="124"/>
      <c r="AD76" s="124"/>
    </row>
    <row r="77" spans="1:31" ht="15.75">
      <c r="A77" s="110"/>
      <c r="B77" s="129" t="s">
        <v>183</v>
      </c>
      <c r="C77" s="122">
        <v>427.722756</v>
      </c>
      <c r="D77" s="122">
        <v>143.05448966430899</v>
      </c>
      <c r="E77" s="122">
        <v>123.28274400000001</v>
      </c>
      <c r="F77" s="122">
        <v>21.794049900000005</v>
      </c>
      <c r="G77" s="122">
        <v>0.82546273199999998</v>
      </c>
      <c r="H77" s="122">
        <v>694.88545239630901</v>
      </c>
      <c r="I77" s="122">
        <v>2.8664419899999998</v>
      </c>
      <c r="J77" s="122">
        <v>697.751894386309</v>
      </c>
      <c r="K77" s="122">
        <v>178.464617</v>
      </c>
      <c r="L77" s="122">
        <v>876.21651100000008</v>
      </c>
      <c r="M77" s="122">
        <v>189.264883</v>
      </c>
      <c r="N77" s="122">
        <v>-0.58674822800000004</v>
      </c>
      <c r="O77" s="122">
        <v>686.36487899999997</v>
      </c>
      <c r="P77" s="155">
        <v>678.31124499999999</v>
      </c>
      <c r="Q77" s="156"/>
      <c r="R77" s="157"/>
      <c r="S77" s="124">
        <f>100*(C77/OBR_NOV22_1.1!C77)</f>
        <v>119.54405210741066</v>
      </c>
      <c r="T77" s="124">
        <f>100*(D77/OBR_NOV22_1.1!D77)</f>
        <v>116.46745413588351</v>
      </c>
      <c r="U77" s="124">
        <f>100*(E77/OBR_NOV22_1.1!E77)</f>
        <v>114.64760186911087</v>
      </c>
      <c r="V77" s="124">
        <f>100*(K77/OBR_NOV22_1.1!N77)</f>
        <v>112.00636960116984</v>
      </c>
      <c r="W77" s="124">
        <f>100*(M77/OBR_NOV22_1.1!P77)</f>
        <v>112.51208816357349</v>
      </c>
      <c r="X77" s="124">
        <f>100*(O77/OBR_NOV22_1.1!R77)</f>
        <v>118.05799353305646</v>
      </c>
      <c r="Z77" s="124">
        <f t="shared" si="1"/>
        <v>0.16186232567199088</v>
      </c>
      <c r="AA77" s="124">
        <f t="shared" si="1"/>
        <v>0.35535388538714408</v>
      </c>
      <c r="AB77" s="124"/>
      <c r="AC77" s="124"/>
      <c r="AD77" s="124"/>
    </row>
    <row r="78" spans="1:31" ht="15.75">
      <c r="A78" s="110"/>
      <c r="B78" s="129" t="s">
        <v>184</v>
      </c>
      <c r="C78" s="122">
        <v>431.490906</v>
      </c>
      <c r="D78" s="122">
        <v>144.247437329506</v>
      </c>
      <c r="E78" s="122">
        <v>125.04686100000001</v>
      </c>
      <c r="F78" s="122">
        <v>21.7898301</v>
      </c>
      <c r="G78" s="122">
        <v>0.82877690299999995</v>
      </c>
      <c r="H78" s="122">
        <v>701.61398123250603</v>
      </c>
      <c r="I78" s="122">
        <v>2.8163402400000002</v>
      </c>
      <c r="J78" s="122">
        <v>704.43032147250608</v>
      </c>
      <c r="K78" s="122">
        <v>178.93588800000001</v>
      </c>
      <c r="L78" s="122">
        <v>883.36620900000003</v>
      </c>
      <c r="M78" s="122">
        <v>189.50200899999999</v>
      </c>
      <c r="N78" s="122">
        <v>-0.58870296299999991</v>
      </c>
      <c r="O78" s="122">
        <v>693.27549699999997</v>
      </c>
      <c r="P78" s="155">
        <v>685.18796499999996</v>
      </c>
      <c r="Q78" s="156"/>
      <c r="R78" s="157"/>
      <c r="S78" s="124">
        <f>100*(C78/OBR_NOV22_1.1!C78)</f>
        <v>119.89188397167409</v>
      </c>
      <c r="T78" s="124">
        <f>100*(D78/OBR_NOV22_1.1!D78)</f>
        <v>116.85441677038351</v>
      </c>
      <c r="U78" s="124">
        <f>100*(E78/OBR_NOV22_1.1!E78)</f>
        <v>115.10790333002151</v>
      </c>
      <c r="V78" s="124">
        <f>100*(K78/OBR_NOV22_1.1!N78)</f>
        <v>112.1773304799538</v>
      </c>
      <c r="W78" s="124">
        <f>100*(M78/OBR_NOV22_1.1!P78)</f>
        <v>112.6155283282701</v>
      </c>
      <c r="X78" s="124">
        <f>100*(O78/OBR_NOV22_1.1!R78)</f>
        <v>118.45130041681182</v>
      </c>
      <c r="Z78" s="124">
        <f t="shared" si="1"/>
        <v>0.29096542917157464</v>
      </c>
      <c r="AA78" s="124">
        <f t="shared" si="1"/>
        <v>0.33224958626512091</v>
      </c>
      <c r="AB78" s="124"/>
      <c r="AC78" s="124"/>
      <c r="AD78" s="124"/>
    </row>
    <row r="79" spans="1:31" ht="15.75">
      <c r="A79" s="110"/>
      <c r="B79" s="129" t="s">
        <v>185</v>
      </c>
      <c r="C79" s="122">
        <v>436.364192</v>
      </c>
      <c r="D79" s="122">
        <v>145.41502377741699</v>
      </c>
      <c r="E79" s="122">
        <v>126.799424</v>
      </c>
      <c r="F79" s="122">
        <v>21.794692999999999</v>
      </c>
      <c r="G79" s="122">
        <v>0.83256462200000003</v>
      </c>
      <c r="H79" s="122">
        <v>709.41120439941687</v>
      </c>
      <c r="I79" s="122">
        <v>2.5267576899999997</v>
      </c>
      <c r="J79" s="122">
        <v>711.93796208941694</v>
      </c>
      <c r="K79" s="122">
        <v>179.42916099999999</v>
      </c>
      <c r="L79" s="122">
        <v>891.36712299999999</v>
      </c>
      <c r="M79" s="122">
        <v>189.834563</v>
      </c>
      <c r="N79" s="122">
        <v>-0.59159238700000005</v>
      </c>
      <c r="O79" s="122">
        <v>700.940967</v>
      </c>
      <c r="P79" s="155">
        <v>692.85184100000004</v>
      </c>
      <c r="Q79" s="156"/>
      <c r="R79" s="157"/>
      <c r="S79" s="124">
        <f>100*(C79/OBR_NOV22_1.1!C79)</f>
        <v>120.56349292435777</v>
      </c>
      <c r="T79" s="124">
        <f>100*(D79/OBR_NOV22_1.1!D79)</f>
        <v>117.21420406628633</v>
      </c>
      <c r="U79" s="124">
        <f>100*(E79/OBR_NOV22_1.1!E79)</f>
        <v>115.63397572125096</v>
      </c>
      <c r="V79" s="124">
        <f>100*(K79/OBR_NOV22_1.1!N79)</f>
        <v>112.41043521448488</v>
      </c>
      <c r="W79" s="124">
        <f>100*(M79/OBR_NOV22_1.1!P79)</f>
        <v>112.81002865264063</v>
      </c>
      <c r="X79" s="124">
        <f>100*(O79/OBR_NOV22_1.1!R79)</f>
        <v>119.03267350760922</v>
      </c>
      <c r="Z79" s="124">
        <f t="shared" si="1"/>
        <v>0.560178829821667</v>
      </c>
      <c r="AA79" s="124">
        <f t="shared" si="1"/>
        <v>0.30789362169321155</v>
      </c>
      <c r="AB79" s="124"/>
      <c r="AC79" s="124"/>
      <c r="AD79" s="124"/>
      <c r="AE79" s="124"/>
    </row>
    <row r="80" spans="1:31" ht="15.75">
      <c r="A80" s="110"/>
      <c r="B80" s="129" t="s">
        <v>186</v>
      </c>
      <c r="C80" s="122">
        <v>440.28752200000002</v>
      </c>
      <c r="D80" s="122">
        <v>146.55724900804299</v>
      </c>
      <c r="E80" s="122">
        <v>128.39056600000001</v>
      </c>
      <c r="F80" s="122">
        <v>21.808638299999998</v>
      </c>
      <c r="G80" s="122">
        <v>0.83608942799999997</v>
      </c>
      <c r="H80" s="122">
        <v>716.071426436043</v>
      </c>
      <c r="I80" s="122">
        <v>2.8167428399999999</v>
      </c>
      <c r="J80" s="122">
        <v>718.88816927604296</v>
      </c>
      <c r="K80" s="122">
        <v>179.85702900000001</v>
      </c>
      <c r="L80" s="122">
        <v>898.74519799999996</v>
      </c>
      <c r="M80" s="122">
        <v>190.27737299999998</v>
      </c>
      <c r="N80" s="122">
        <v>-0.59387316499999998</v>
      </c>
      <c r="O80" s="122">
        <v>707.87395100000003</v>
      </c>
      <c r="P80" s="155">
        <v>699.78643</v>
      </c>
      <c r="Q80" s="156"/>
      <c r="R80" s="157"/>
      <c r="S80" s="124">
        <f>100*(C80/OBR_NOV22_1.1!C80)</f>
        <v>120.99051994411163</v>
      </c>
      <c r="T80" s="124">
        <f>100*(D80/OBR_NOV22_1.1!D80)</f>
        <v>117.66425660336238</v>
      </c>
      <c r="U80" s="124">
        <f>100*(E80/OBR_NOV22_1.1!E80)</f>
        <v>116.12353203819123</v>
      </c>
      <c r="V80" s="124">
        <f>100*(K80/OBR_NOV22_1.1!N80)</f>
        <v>112.65145033246044</v>
      </c>
      <c r="W80" s="124">
        <f>100*(M80/OBR_NOV22_1.1!P80)</f>
        <v>113.04001078834011</v>
      </c>
      <c r="X80" s="124">
        <f>100*(O80/OBR_NOV22_1.1!R80)</f>
        <v>119.4915824845819</v>
      </c>
      <c r="Z80" s="124">
        <f t="shared" si="1"/>
        <v>0.35419264106901771</v>
      </c>
      <c r="AA80" s="124">
        <f t="shared" si="1"/>
        <v>0.38395733747553784</v>
      </c>
      <c r="AB80" s="124"/>
      <c r="AC80" s="124"/>
      <c r="AD80" s="124"/>
      <c r="AE80" s="124"/>
    </row>
    <row r="81" spans="1:31" ht="15.75">
      <c r="A81" s="110"/>
      <c r="B81" s="129" t="s">
        <v>187</v>
      </c>
      <c r="C81" s="122">
        <v>444.13710200000003</v>
      </c>
      <c r="D81" s="122">
        <v>147.67411302138203</v>
      </c>
      <c r="E81" s="122">
        <v>130.00215299999999</v>
      </c>
      <c r="F81" s="122">
        <v>21.831666300000002</v>
      </c>
      <c r="G81" s="122">
        <v>0.83969015599999997</v>
      </c>
      <c r="H81" s="122">
        <v>722.65305817738215</v>
      </c>
      <c r="I81" s="122">
        <v>3.16085102</v>
      </c>
      <c r="J81" s="122">
        <v>725.81390919738203</v>
      </c>
      <c r="K81" s="122">
        <v>180.39675200000002</v>
      </c>
      <c r="L81" s="122">
        <v>906.21066099999996</v>
      </c>
      <c r="M81" s="122">
        <v>190.73959500000001</v>
      </c>
      <c r="N81" s="122">
        <v>-0.59634360799999997</v>
      </c>
      <c r="O81" s="122">
        <v>714.87472199999991</v>
      </c>
      <c r="P81" s="155">
        <v>706.82572100000004</v>
      </c>
      <c r="Q81" s="122"/>
      <c r="R81" s="122"/>
      <c r="S81" s="124">
        <f>100*(C81/OBR_NOV22_1.1!C81)</f>
        <v>121.46645908184841</v>
      </c>
      <c r="T81" s="124">
        <f>100*(D81/OBR_NOV22_1.1!D81)</f>
        <v>118.14742085001883</v>
      </c>
      <c r="U81" s="124">
        <f>100*(E81/OBR_NOV22_1.1!E81)</f>
        <v>116.62363290024645</v>
      </c>
      <c r="V81" s="124">
        <f>100*(K81/OBR_NOV22_1.1!N81)</f>
        <v>112.92449641550971</v>
      </c>
      <c r="W81" s="124">
        <f>100*(M81/OBR_NOV22_1.1!P81)</f>
        <v>113.30531934636883</v>
      </c>
      <c r="X81" s="124">
        <f>100*(O81/OBR_NOV22_1.1!R81)</f>
        <v>119.98865358648905</v>
      </c>
      <c r="Z81" s="124">
        <f t="shared" si="1"/>
        <v>0.39336894986206072</v>
      </c>
      <c r="AA81" s="124">
        <f t="shared" si="1"/>
        <v>0.41062958336206545</v>
      </c>
      <c r="AB81" s="124"/>
      <c r="AC81" s="124"/>
      <c r="AD81" s="124"/>
      <c r="AE81" s="124"/>
    </row>
    <row r="82" spans="1:31" ht="15.75">
      <c r="A82" s="110"/>
      <c r="B82" s="129" t="s">
        <v>188</v>
      </c>
      <c r="C82" s="122">
        <v>447.74787099999998</v>
      </c>
      <c r="D82" s="122">
        <v>148.76561581743599</v>
      </c>
      <c r="E82" s="122">
        <v>131.59335200000001</v>
      </c>
      <c r="F82" s="122">
        <v>21.8637768</v>
      </c>
      <c r="G82" s="122">
        <v>0.84314526400000001</v>
      </c>
      <c r="H82" s="122">
        <v>728.94998408143601</v>
      </c>
      <c r="I82" s="122">
        <v>3.1097992899999998</v>
      </c>
      <c r="J82" s="122">
        <v>732.05978337143608</v>
      </c>
      <c r="K82" s="122">
        <v>180.99803199999999</v>
      </c>
      <c r="L82" s="122">
        <v>913.05781499999989</v>
      </c>
      <c r="M82" s="122">
        <v>191.26157500000002</v>
      </c>
      <c r="N82" s="122">
        <v>-0.59861907799999992</v>
      </c>
      <c r="O82" s="122">
        <v>721.19762100000003</v>
      </c>
      <c r="P82" s="155">
        <v>713.17884900000001</v>
      </c>
      <c r="Q82" s="122"/>
      <c r="R82" s="122"/>
      <c r="S82" s="124">
        <f>100*(C82/OBR_NOV22_1.1!C82)</f>
        <v>121.92375203291633</v>
      </c>
      <c r="T82" s="124">
        <f>100*(D82/OBR_NOV22_1.1!D82)</f>
        <v>118.60556360712431</v>
      </c>
      <c r="U82" s="124">
        <f>100*(E82/OBR_NOV22_1.1!E82)</f>
        <v>117.10350874979649</v>
      </c>
      <c r="V82" s="124">
        <f>100*(K82/OBR_NOV22_1.1!N82)</f>
        <v>113.23332930227164</v>
      </c>
      <c r="W82" s="124">
        <f>100*(M82/OBR_NOV22_1.1!P82)</f>
        <v>113.61587064441277</v>
      </c>
      <c r="X82" s="124">
        <f>100*(O82/OBR_NOV22_1.1!R82)</f>
        <v>120.44649440769908</v>
      </c>
      <c r="Z82" s="124">
        <f t="shared" si="1"/>
        <v>0.37647672824625555</v>
      </c>
      <c r="AA82" s="124">
        <f t="shared" si="1"/>
        <v>0.38777211877274453</v>
      </c>
      <c r="AB82" s="124"/>
      <c r="AC82" s="124"/>
      <c r="AD82" s="124"/>
      <c r="AE82" s="124"/>
    </row>
    <row r="83" spans="1:31" ht="15.75">
      <c r="A83" s="110"/>
      <c r="B83" s="129" t="s">
        <v>189</v>
      </c>
      <c r="C83" s="122">
        <v>452.786902</v>
      </c>
      <c r="D83" s="122">
        <v>149.85311995827701</v>
      </c>
      <c r="E83" s="122">
        <v>133.252309</v>
      </c>
      <c r="F83" s="122">
        <v>21.893318100000002</v>
      </c>
      <c r="G83" s="122">
        <v>0.84718146500000002</v>
      </c>
      <c r="H83" s="122">
        <v>736.73951242327701</v>
      </c>
      <c r="I83" s="122">
        <v>3.0431779000000003</v>
      </c>
      <c r="J83" s="122">
        <v>739.78269032327705</v>
      </c>
      <c r="K83" s="122">
        <v>181.61227</v>
      </c>
      <c r="L83" s="122">
        <v>921.39495999999997</v>
      </c>
      <c r="M83" s="122">
        <v>191.728127</v>
      </c>
      <c r="N83" s="122">
        <v>-0.60234087599999997</v>
      </c>
      <c r="O83" s="122">
        <v>729.06449199999997</v>
      </c>
      <c r="P83" s="155">
        <v>721.08703799999989</v>
      </c>
      <c r="Q83" s="122"/>
      <c r="R83" s="122"/>
      <c r="S83" s="124">
        <f>100*(C83/OBR_NOV22_1.1!C83)</f>
        <v>122.81596610997182</v>
      </c>
      <c r="T83" s="124">
        <f>100*(D83/OBR_NOV22_1.1!D83)</f>
        <v>119.05589659127142</v>
      </c>
      <c r="U83" s="124">
        <f>100*(E83/OBR_NOV22_1.1!E83)</f>
        <v>117.66409272502688</v>
      </c>
      <c r="V83" s="124">
        <f>100*(K83/OBR_NOV22_1.1!N83)</f>
        <v>113.54753471260051</v>
      </c>
      <c r="W83" s="124">
        <f>100*(M83/OBR_NOV22_1.1!P83)</f>
        <v>113.89248009115948</v>
      </c>
      <c r="X83" s="124">
        <f>100*(O83/OBR_NOV22_1.1!R83)</f>
        <v>121.19534725866419</v>
      </c>
      <c r="Z83" s="124">
        <f t="shared" si="1"/>
        <v>0.73178036451388984</v>
      </c>
      <c r="AA83" s="124">
        <f t="shared" si="1"/>
        <v>0.37968959503351662</v>
      </c>
      <c r="AB83" s="124">
        <f t="shared" si="1"/>
        <v>0.4787080944159694</v>
      </c>
      <c r="AC83" s="124">
        <f t="shared" si="1"/>
        <v>0.27748491743990744</v>
      </c>
      <c r="AD83" s="124">
        <f t="shared" si="1"/>
        <v>0.24346021834611431</v>
      </c>
      <c r="AE83" s="124">
        <f t="shared" si="1"/>
        <v>0.62173071507611866</v>
      </c>
    </row>
    <row r="84" spans="1:31" ht="15.75">
      <c r="A84" s="110"/>
      <c r="B84" s="129" t="s">
        <v>190</v>
      </c>
      <c r="C84" s="122">
        <v>456.32925799999998</v>
      </c>
      <c r="D84" s="122">
        <v>150.936625443906</v>
      </c>
      <c r="E84" s="122">
        <v>134.72622899999999</v>
      </c>
      <c r="F84" s="122">
        <v>21.9202902</v>
      </c>
      <c r="G84" s="122">
        <v>0.850725591</v>
      </c>
      <c r="H84" s="122">
        <v>742.84283803490609</v>
      </c>
      <c r="I84" s="122">
        <v>3.0144029799999998</v>
      </c>
      <c r="J84" s="122">
        <v>745.85724101490609</v>
      </c>
      <c r="K84" s="122">
        <v>182.28872700000002</v>
      </c>
      <c r="L84" s="122">
        <v>928.14596900000004</v>
      </c>
      <c r="M84" s="122">
        <v>192.196821</v>
      </c>
      <c r="N84" s="122">
        <v>-0.60477407400000005</v>
      </c>
      <c r="O84" s="122">
        <v>735.3443739999999</v>
      </c>
      <c r="P84" s="155">
        <v>727.40185499999995</v>
      </c>
      <c r="Q84" s="122"/>
      <c r="R84" s="122"/>
      <c r="S84" s="124">
        <f>100*(C84/OBR_NOV22_1.1!C84)</f>
        <v>123.32290601375604</v>
      </c>
      <c r="T84" s="124">
        <f>100*(D84/OBR_NOV22_1.1!D84)</f>
        <v>119.4389688705572</v>
      </c>
      <c r="U84" s="124">
        <f>100*(E84/OBR_NOV22_1.1!E84)</f>
        <v>118.1563315830321</v>
      </c>
      <c r="V84" s="124">
        <f>100*(K84/OBR_NOV22_1.1!N84)</f>
        <v>113.87581593291853</v>
      </c>
      <c r="W84" s="124">
        <f>100*(M84/OBR_NOV22_1.1!P84)</f>
        <v>114.16936148467084</v>
      </c>
      <c r="X84" s="124">
        <f>100*(O84/OBR_NOV22_1.1!R84)</f>
        <v>121.68492446421008</v>
      </c>
      <c r="Z84" s="124">
        <f t="shared" si="1"/>
        <v>0.41276384483290851</v>
      </c>
      <c r="AA84" s="124">
        <f t="shared" si="1"/>
        <v>0.32175834230276923</v>
      </c>
      <c r="AB84" s="124">
        <f t="shared" si="1"/>
        <v>0.4183424582685058</v>
      </c>
      <c r="AC84" s="124">
        <f t="shared" si="1"/>
        <v>0.2891134722994515</v>
      </c>
      <c r="AD84" s="124">
        <f t="shared" si="1"/>
        <v>0.24310770411684057</v>
      </c>
      <c r="AE84" s="124">
        <f t="shared" si="1"/>
        <v>0.40395709622500497</v>
      </c>
    </row>
    <row r="85" spans="1:31" ht="15.75">
      <c r="A85" s="110"/>
      <c r="B85" s="158" t="s">
        <v>191</v>
      </c>
      <c r="C85" s="131">
        <v>460.06321700000001</v>
      </c>
      <c r="D85" s="131">
        <v>152.01613227432202</v>
      </c>
      <c r="E85" s="131">
        <v>136.222601</v>
      </c>
      <c r="F85" s="172">
        <v>21.944693100000002</v>
      </c>
      <c r="G85" s="131">
        <v>0.85435395300000005</v>
      </c>
      <c r="H85" s="131">
        <v>749.15630422732215</v>
      </c>
      <c r="I85" s="131">
        <v>2.9528007699999996</v>
      </c>
      <c r="J85" s="131">
        <v>752.10910499732211</v>
      </c>
      <c r="K85" s="131">
        <v>183.008565</v>
      </c>
      <c r="L85" s="131">
        <v>935.11767000000009</v>
      </c>
      <c r="M85" s="131">
        <v>192.713483</v>
      </c>
      <c r="N85" s="131">
        <v>-0.60737102799999998</v>
      </c>
      <c r="O85" s="131">
        <v>741.79681600000004</v>
      </c>
      <c r="P85" s="159">
        <v>733.90833400000008</v>
      </c>
      <c r="Q85" s="156"/>
      <c r="R85" s="157"/>
      <c r="S85" s="124">
        <f>100*(C85/OBR_NOV22_1.1!C85)</f>
        <v>123.88716198356937</v>
      </c>
      <c r="T85" s="124">
        <f>100*(D85/OBR_NOV22_1.1!D85)</f>
        <v>119.81394732593759</v>
      </c>
      <c r="U85" s="124">
        <f>100*(E85/OBR_NOV22_1.1!E85)</f>
        <v>118.66027139760742</v>
      </c>
      <c r="V85" s="124">
        <f>100*(K85/OBR_NOV22_1.1!N85)</f>
        <v>114.22829745092331</v>
      </c>
      <c r="W85" s="124">
        <f>100*(M85/OBR_NOV22_1.1!P85)</f>
        <v>114.47375098420858</v>
      </c>
      <c r="X85" s="124">
        <f>100*(O85/OBR_NOV22_1.1!R85)</f>
        <v>122.20745039993032</v>
      </c>
      <c r="Z85" s="124">
        <f t="shared" si="1"/>
        <v>0.45754352378819529</v>
      </c>
      <c r="AA85" s="124">
        <f t="shared" si="1"/>
        <v>0.31394984310921803</v>
      </c>
      <c r="AB85" s="124">
        <f t="shared" si="1"/>
        <v>0.42650259010552638</v>
      </c>
      <c r="AC85" s="124">
        <f t="shared" si="1"/>
        <v>0.30953149719903372</v>
      </c>
      <c r="AD85" s="124">
        <f t="shared" si="1"/>
        <v>0.26661224656021609</v>
      </c>
      <c r="AE85" s="124">
        <f t="shared" si="1"/>
        <v>0.42940893296434801</v>
      </c>
    </row>
    <row r="86" spans="1:31" ht="15.75">
      <c r="A86" s="110"/>
      <c r="B86" s="129">
        <v>2008</v>
      </c>
      <c r="C86" s="122">
        <v>1018.976</v>
      </c>
      <c r="D86" s="122">
        <v>325.36200000000002</v>
      </c>
      <c r="E86" s="122">
        <v>279.553</v>
      </c>
      <c r="F86" s="122">
        <v>46.855000000000004</v>
      </c>
      <c r="G86" s="122">
        <v>-0.189</v>
      </c>
      <c r="H86" s="122">
        <v>1623.702</v>
      </c>
      <c r="I86" s="122">
        <v>-0.44700000000000001</v>
      </c>
      <c r="J86" s="122">
        <v>1623.2550000000001</v>
      </c>
      <c r="K86" s="122">
        <v>435.49900000000002</v>
      </c>
      <c r="L86" s="122">
        <v>2058.7539999999999</v>
      </c>
      <c r="M86" s="122">
        <v>464.017</v>
      </c>
      <c r="N86" s="122">
        <v>0</v>
      </c>
      <c r="O86" s="122">
        <v>1594.7370000000001</v>
      </c>
      <c r="P86" s="123">
        <v>1573.6410000000001</v>
      </c>
      <c r="Q86" s="156"/>
      <c r="R86" s="157"/>
      <c r="S86" s="124">
        <f>100*(C86/OBR_NOV22_1.1!C86)</f>
        <v>84.531948270870302</v>
      </c>
      <c r="T86" s="124">
        <f>100*(D86/OBR_NOV22_1.1!D86)</f>
        <v>86.158482332005775</v>
      </c>
      <c r="U86" s="124">
        <f>100*(E86/OBR_NOV22_1.1!E86)</f>
        <v>82.411987712771278</v>
      </c>
      <c r="V86" s="124">
        <f>100*(K86/OBR_NOV22_1.1!N86)</f>
        <v>79.526637375961897</v>
      </c>
      <c r="W86" s="124">
        <f>100*(M86/OBR_NOV22_1.1!P86)</f>
        <v>85.892013260944822</v>
      </c>
      <c r="X86" s="124">
        <f>100*(O86/OBR_NOV22_1.1!R86)</f>
        <v>83.143054663452318</v>
      </c>
      <c r="Z86" s="124"/>
      <c r="AA86" s="124"/>
      <c r="AB86" s="124"/>
      <c r="AC86" s="124"/>
      <c r="AD86" s="124"/>
      <c r="AE86" s="124"/>
    </row>
    <row r="87" spans="1:31" ht="15.75">
      <c r="A87" s="110"/>
      <c r="B87" s="129">
        <v>2009</v>
      </c>
      <c r="C87" s="122">
        <v>998.84799999999996</v>
      </c>
      <c r="D87" s="122">
        <v>341.27100000000002</v>
      </c>
      <c r="E87" s="122">
        <v>248.78100000000001</v>
      </c>
      <c r="F87" s="122">
        <v>50.733000000000004</v>
      </c>
      <c r="G87" s="122">
        <v>2.3519999999999999</v>
      </c>
      <c r="H87" s="122">
        <v>1591.252</v>
      </c>
      <c r="I87" s="122">
        <v>-18.7</v>
      </c>
      <c r="J87" s="122">
        <v>1572.5519999999999</v>
      </c>
      <c r="K87" s="122">
        <v>413.25400000000002</v>
      </c>
      <c r="L87" s="122">
        <v>1985.808</v>
      </c>
      <c r="M87" s="122">
        <v>433.92599999999999</v>
      </c>
      <c r="N87" s="122">
        <v>0</v>
      </c>
      <c r="O87" s="122">
        <v>1551.8820000000001</v>
      </c>
      <c r="P87" s="123">
        <v>1538.8219999999999</v>
      </c>
      <c r="Q87" s="156"/>
      <c r="R87" s="157"/>
      <c r="S87" s="124">
        <f>100*(C87/OBR_NOV22_1.1!C87)</f>
        <v>85.386073882588676</v>
      </c>
      <c r="T87" s="124">
        <f>100*(D87/OBR_NOV22_1.1!D87)</f>
        <v>89.124479323087371</v>
      </c>
      <c r="U87" s="124">
        <f>100*(E87/OBR_NOV22_1.1!E87)</f>
        <v>83.908732166346255</v>
      </c>
      <c r="V87" s="124">
        <f>100*(K87/OBR_NOV22_1.1!N87)</f>
        <v>82.937431764177006</v>
      </c>
      <c r="W87" s="124">
        <f>100*(M87/OBR_NOV22_1.1!P87)</f>
        <v>86.751887275286293</v>
      </c>
      <c r="X87" s="124">
        <f>100*(O87/OBR_NOV22_1.1!R87)</f>
        <v>84.730528787092908</v>
      </c>
      <c r="Z87" s="124">
        <f t="shared" ref="Z87:AE102" si="2">100*((S87/S86)-1)</f>
        <v>1.0104175157319872</v>
      </c>
      <c r="AA87" s="124">
        <f t="shared" si="2"/>
        <v>3.4424898289785677</v>
      </c>
      <c r="AB87" s="124">
        <f t="shared" si="2"/>
        <v>1.8161732232348848</v>
      </c>
      <c r="AC87" s="124">
        <f t="shared" si="2"/>
        <v>4.2888703719366372</v>
      </c>
      <c r="AD87" s="124">
        <f t="shared" si="2"/>
        <v>1.0011105592892866</v>
      </c>
      <c r="AE87" s="124">
        <f t="shared" si="2"/>
        <v>1.9093286024507883</v>
      </c>
    </row>
    <row r="88" spans="1:31" ht="15.75">
      <c r="A88" s="110"/>
      <c r="B88" s="129">
        <v>2010</v>
      </c>
      <c r="C88" s="122">
        <v>1030.5809999999999</v>
      </c>
      <c r="D88" s="122">
        <v>347.23399999999998</v>
      </c>
      <c r="E88" s="122">
        <v>257.476</v>
      </c>
      <c r="F88" s="122">
        <v>50.537999999999997</v>
      </c>
      <c r="G88" s="122">
        <v>0.44</v>
      </c>
      <c r="H88" s="122">
        <v>1635.731</v>
      </c>
      <c r="I88" s="122">
        <v>3.859</v>
      </c>
      <c r="J88" s="122">
        <v>1639.59</v>
      </c>
      <c r="K88" s="122">
        <v>460.49</v>
      </c>
      <c r="L88" s="122">
        <v>2100.078</v>
      </c>
      <c r="M88" s="122">
        <v>487.697</v>
      </c>
      <c r="N88" s="122">
        <v>0</v>
      </c>
      <c r="O88" s="122">
        <v>1612.3810000000001</v>
      </c>
      <c r="P88" s="123">
        <v>1613.049</v>
      </c>
      <c r="Q88" s="156"/>
      <c r="R88" s="157"/>
      <c r="S88" s="124">
        <f>100*(C88/OBR_NOV22_1.1!C88)</f>
        <v>86.383132095873123</v>
      </c>
      <c r="T88" s="124">
        <f>100*(D88/OBR_NOV22_1.1!D88)</f>
        <v>90.541527165013505</v>
      </c>
      <c r="U88" s="124">
        <f>100*(E88/OBR_NOV22_1.1!E88)</f>
        <v>83.01794322010673</v>
      </c>
      <c r="V88" s="124">
        <f>100*(K88/OBR_NOV22_1.1!N88)</f>
        <v>86.506399358279538</v>
      </c>
      <c r="W88" s="124">
        <f>100*(M88/OBR_NOV22_1.1!P88)</f>
        <v>90.049945991857228</v>
      </c>
      <c r="X88" s="124">
        <f>100*(O88/OBR_NOV22_1.1!R88)</f>
        <v>85.94515734588164</v>
      </c>
      <c r="Z88" s="124">
        <f t="shared" si="2"/>
        <v>1.1677058892009429</v>
      </c>
      <c r="AA88" s="124">
        <f t="shared" si="2"/>
        <v>1.5899647915912807</v>
      </c>
      <c r="AB88" s="124">
        <f t="shared" si="2"/>
        <v>-1.061616500739837</v>
      </c>
      <c r="AC88" s="124">
        <f t="shared" si="2"/>
        <v>4.3032048595988304</v>
      </c>
      <c r="AD88" s="124">
        <f t="shared" si="2"/>
        <v>3.8017140838738639</v>
      </c>
      <c r="AE88" s="124">
        <f t="shared" si="2"/>
        <v>1.4335193892638154</v>
      </c>
    </row>
    <row r="89" spans="1:31" ht="15.75">
      <c r="A89" s="110"/>
      <c r="B89" s="129">
        <v>2011</v>
      </c>
      <c r="C89" s="122">
        <v>1067.711</v>
      </c>
      <c r="D89" s="122">
        <v>348.55</v>
      </c>
      <c r="E89" s="122">
        <v>260.24799999999999</v>
      </c>
      <c r="F89" s="122">
        <v>48.286000000000001</v>
      </c>
      <c r="G89" s="122">
        <v>0.67600000000000005</v>
      </c>
      <c r="H89" s="122">
        <v>1677.1849999999999</v>
      </c>
      <c r="I89" s="122">
        <v>3.2010000000000001</v>
      </c>
      <c r="J89" s="122">
        <v>1680.386</v>
      </c>
      <c r="K89" s="122">
        <v>517.447</v>
      </c>
      <c r="L89" s="122">
        <v>2197.8330000000001</v>
      </c>
      <c r="M89" s="122">
        <v>533.62199999999996</v>
      </c>
      <c r="N89" s="122">
        <v>0</v>
      </c>
      <c r="O89" s="122">
        <v>1664.211</v>
      </c>
      <c r="P89" s="123">
        <v>1671.1859999999999</v>
      </c>
      <c r="Q89" s="156"/>
      <c r="R89" s="157"/>
      <c r="S89" s="124">
        <f>100*(C89/OBR_NOV22_1.1!C89)</f>
        <v>89.802851255309307</v>
      </c>
      <c r="T89" s="124">
        <f>100*(D89/OBR_NOV22_1.1!D89)</f>
        <v>90.718853540651054</v>
      </c>
      <c r="U89" s="124">
        <f>100*(E89/OBR_NOV22_1.1!E89)</f>
        <v>84.283479663316896</v>
      </c>
      <c r="V89" s="124">
        <f>100*(K89/OBR_NOV22_1.1!N89)</f>
        <v>90.905369675781557</v>
      </c>
      <c r="W89" s="124">
        <f>100*(M89/OBR_NOV22_1.1!P89)</f>
        <v>96.011443170981849</v>
      </c>
      <c r="X89" s="124">
        <f>100*(O89/OBR_NOV22_1.1!R89)</f>
        <v>87.770814313900161</v>
      </c>
      <c r="Z89" s="124">
        <f t="shared" si="2"/>
        <v>3.9587811607024959</v>
      </c>
      <c r="AA89" s="124">
        <f t="shared" si="2"/>
        <v>0.1958508777020862</v>
      </c>
      <c r="AB89" s="124">
        <f t="shared" si="2"/>
        <v>1.5244131498835412</v>
      </c>
      <c r="AC89" s="124">
        <f t="shared" si="2"/>
        <v>5.0851386141769872</v>
      </c>
      <c r="AD89" s="124">
        <f t="shared" si="2"/>
        <v>6.620211831846845</v>
      </c>
      <c r="AE89" s="124">
        <f t="shared" si="2"/>
        <v>2.1242115604853229</v>
      </c>
    </row>
    <row r="90" spans="1:31" ht="15.75">
      <c r="A90" s="110"/>
      <c r="B90" s="129">
        <v>2012</v>
      </c>
      <c r="C90" s="122">
        <v>1104.48</v>
      </c>
      <c r="D90" s="122">
        <v>356.27100000000002</v>
      </c>
      <c r="E90" s="122">
        <v>268.02100000000002</v>
      </c>
      <c r="F90" s="122">
        <v>46.155000000000001</v>
      </c>
      <c r="G90" s="122">
        <v>0.35199999999999998</v>
      </c>
      <c r="H90" s="122">
        <v>1729.124</v>
      </c>
      <c r="I90" s="122">
        <v>3.6629999999999998</v>
      </c>
      <c r="J90" s="122">
        <v>1732.787</v>
      </c>
      <c r="K90" s="122">
        <v>520.38900000000001</v>
      </c>
      <c r="L90" s="122">
        <v>2253.1759999999999</v>
      </c>
      <c r="M90" s="122">
        <v>539.93499999999995</v>
      </c>
      <c r="N90" s="122">
        <v>0</v>
      </c>
      <c r="O90" s="122">
        <v>1713.241</v>
      </c>
      <c r="P90" s="123">
        <v>1697.335</v>
      </c>
      <c r="Q90" s="156"/>
      <c r="R90" s="157"/>
      <c r="S90" s="124">
        <f>100*(C90/OBR_NOV22_1.1!C90)</f>
        <v>91.331798016215927</v>
      </c>
      <c r="T90" s="124">
        <f>100*(D90/OBR_NOV22_1.1!D90)</f>
        <v>91.469745517283883</v>
      </c>
      <c r="U90" s="124">
        <f>100*(E90/OBR_NOV22_1.1!E90)</f>
        <v>86.143546329061863</v>
      </c>
      <c r="V90" s="124">
        <f>100*(K90/OBR_NOV22_1.1!N90)</f>
        <v>90.692652763883913</v>
      </c>
      <c r="W90" s="124">
        <f>100*(M90/OBR_NOV22_1.1!P90)</f>
        <v>95.273343897007706</v>
      </c>
      <c r="X90" s="124">
        <f>100*(O90/OBR_NOV22_1.1!R90)</f>
        <v>89.066575307855118</v>
      </c>
      <c r="Z90" s="124">
        <f t="shared" si="2"/>
        <v>1.7025592612419649</v>
      </c>
      <c r="AA90" s="124">
        <f t="shared" si="2"/>
        <v>0.82771325620463188</v>
      </c>
      <c r="AB90" s="124">
        <f t="shared" si="2"/>
        <v>2.2069172667944947</v>
      </c>
      <c r="AC90" s="124">
        <f t="shared" si="2"/>
        <v>-0.23399818146750961</v>
      </c>
      <c r="AD90" s="124">
        <f t="shared" si="2"/>
        <v>-0.76876177421861813</v>
      </c>
      <c r="AE90" s="124">
        <f t="shared" si="2"/>
        <v>1.476300526643004</v>
      </c>
    </row>
    <row r="91" spans="1:31" ht="15.75">
      <c r="A91" s="110"/>
      <c r="B91" s="129">
        <v>2013</v>
      </c>
      <c r="C91" s="122">
        <v>1157.4860000000001</v>
      </c>
      <c r="D91" s="122">
        <v>358.86599999999999</v>
      </c>
      <c r="E91" s="122">
        <v>282.99400000000003</v>
      </c>
      <c r="F91" s="122">
        <v>45.658999999999999</v>
      </c>
      <c r="G91" s="122">
        <v>7.2149999999999999</v>
      </c>
      <c r="H91" s="122">
        <v>1806.5609999999999</v>
      </c>
      <c r="I91" s="122">
        <v>3.4870000000000001</v>
      </c>
      <c r="J91" s="122">
        <v>1810.048</v>
      </c>
      <c r="K91" s="122">
        <v>535.56600000000003</v>
      </c>
      <c r="L91" s="122">
        <v>2345.614</v>
      </c>
      <c r="M91" s="122">
        <v>563.31799999999998</v>
      </c>
      <c r="N91" s="122">
        <v>0</v>
      </c>
      <c r="O91" s="122">
        <v>1782.296</v>
      </c>
      <c r="P91" s="123">
        <v>1750.675</v>
      </c>
      <c r="S91" s="124">
        <f>100*(C91/OBR_NOV22_1.1!C91)</f>
        <v>93.277191738321079</v>
      </c>
      <c r="T91" s="124">
        <f>100*(D91/OBR_NOV22_1.1!D91)</f>
        <v>92.176932778181623</v>
      </c>
      <c r="U91" s="124">
        <f>100*(E91/OBR_NOV22_1.1!E91)</f>
        <v>87.945056481812387</v>
      </c>
      <c r="V91" s="124">
        <f>100*(K91/OBR_NOV22_1.1!N91)</f>
        <v>93.14434289590163</v>
      </c>
      <c r="W91" s="124">
        <f>100*(M91/OBR_NOV22_1.1!P91)</f>
        <v>96.053623252657459</v>
      </c>
      <c r="X91" s="124">
        <f>100*(O91/OBR_NOV22_1.1!R91)</f>
        <v>91.000466159524592</v>
      </c>
      <c r="Z91" s="124">
        <f t="shared" si="2"/>
        <v>2.1300289322671029</v>
      </c>
      <c r="AA91" s="124">
        <f t="shared" si="2"/>
        <v>0.77313789045594383</v>
      </c>
      <c r="AB91" s="124">
        <f t="shared" si="2"/>
        <v>2.0912885869231568</v>
      </c>
      <c r="AC91" s="124">
        <f t="shared" si="2"/>
        <v>2.703295203417011</v>
      </c>
      <c r="AD91" s="124">
        <f t="shared" si="2"/>
        <v>0.8189902062147203</v>
      </c>
      <c r="AE91" s="124">
        <f t="shared" si="2"/>
        <v>2.1712868660157314</v>
      </c>
    </row>
    <row r="92" spans="1:31" ht="15.75">
      <c r="A92" s="110"/>
      <c r="B92" s="160">
        <v>2014</v>
      </c>
      <c r="C92" s="122">
        <v>1203.2049999999999</v>
      </c>
      <c r="D92" s="122">
        <v>370.33600000000001</v>
      </c>
      <c r="E92" s="122">
        <v>307.71199999999999</v>
      </c>
      <c r="F92" s="122">
        <v>50.902000000000001</v>
      </c>
      <c r="G92" s="122">
        <v>6.1050000000000004</v>
      </c>
      <c r="H92" s="122">
        <v>1887.3579999999999</v>
      </c>
      <c r="I92" s="122">
        <v>14.169</v>
      </c>
      <c r="J92" s="122">
        <v>1901.527</v>
      </c>
      <c r="K92" s="122">
        <v>528.85599999999999</v>
      </c>
      <c r="L92" s="122">
        <v>2430.3809999999999</v>
      </c>
      <c r="M92" s="122">
        <v>567.55399999999997</v>
      </c>
      <c r="N92" s="122">
        <v>0</v>
      </c>
      <c r="O92" s="122">
        <v>1862.827</v>
      </c>
      <c r="P92" s="123">
        <v>1829.5260000000001</v>
      </c>
      <c r="S92" s="124">
        <f>100*(C92/OBR_NOV22_1.1!C92)</f>
        <v>94.247200481260293</v>
      </c>
      <c r="T92" s="124">
        <f>100*(D92/OBR_NOV22_1.1!D92)</f>
        <v>93.112412943454103</v>
      </c>
      <c r="U92" s="124">
        <f>100*(E92/OBR_NOV22_1.1!E92)</f>
        <v>89.67064734029222</v>
      </c>
      <c r="V92" s="124">
        <f>100*(K92/OBR_NOV22_1.1!N92)</f>
        <v>90.949520450296916</v>
      </c>
      <c r="W92" s="124">
        <f>100*(M92/OBR_NOV22_1.1!P92)</f>
        <v>92.231663895917322</v>
      </c>
      <c r="X92" s="124">
        <f>100*(O92/OBR_NOV22_1.1!R92)</f>
        <v>92.163267325508045</v>
      </c>
      <c r="Z92" s="124">
        <f t="shared" si="2"/>
        <v>1.039920611740186</v>
      </c>
      <c r="AA92" s="124">
        <f t="shared" si="2"/>
        <v>1.0148744778953001</v>
      </c>
      <c r="AB92" s="124">
        <f t="shared" si="2"/>
        <v>1.9621237708076222</v>
      </c>
      <c r="AC92" s="124">
        <f t="shared" si="2"/>
        <v>-2.3563668789393422</v>
      </c>
      <c r="AD92" s="124">
        <f t="shared" si="2"/>
        <v>-3.9789850994864984</v>
      </c>
      <c r="AE92" s="124">
        <f t="shared" si="2"/>
        <v>1.2777969334190509</v>
      </c>
    </row>
    <row r="93" spans="1:31" ht="15.75">
      <c r="A93" s="110"/>
      <c r="B93" s="160">
        <v>2015</v>
      </c>
      <c r="C93" s="122">
        <v>1236.7719999999999</v>
      </c>
      <c r="D93" s="122">
        <v>374.70699999999999</v>
      </c>
      <c r="E93" s="122">
        <v>332.13200000000001</v>
      </c>
      <c r="F93" s="122">
        <v>51.157000000000004</v>
      </c>
      <c r="G93" s="122">
        <v>0.877</v>
      </c>
      <c r="H93" s="122">
        <v>1944.4880000000001</v>
      </c>
      <c r="I93" s="122">
        <v>8.25</v>
      </c>
      <c r="J93" s="122">
        <v>1952.7380000000001</v>
      </c>
      <c r="K93" s="122">
        <v>530.77800000000002</v>
      </c>
      <c r="L93" s="122">
        <v>2483.518</v>
      </c>
      <c r="M93" s="122">
        <v>562.52</v>
      </c>
      <c r="N93" s="122">
        <v>0</v>
      </c>
      <c r="O93" s="122">
        <v>1920.998</v>
      </c>
      <c r="P93" s="123">
        <v>1879.232</v>
      </c>
      <c r="S93" s="124">
        <f>100*(C93/OBR_NOV22_1.1!C93)</f>
        <v>93.935950758461857</v>
      </c>
      <c r="T93" s="124">
        <f>100*(D93/OBR_NOV22_1.1!D93)</f>
        <v>93.102540084031745</v>
      </c>
      <c r="U93" s="124">
        <f>100*(E93/OBR_NOV22_1.1!E93)</f>
        <v>90.853436697312944</v>
      </c>
      <c r="V93" s="124">
        <f>100*(K93/OBR_NOV22_1.1!N93)</f>
        <v>87.779780706831829</v>
      </c>
      <c r="W93" s="124">
        <f>100*(M93/OBR_NOV22_1.1!P93)</f>
        <v>87.099241605480017</v>
      </c>
      <c r="X93" s="124">
        <f>100*(O93/OBR_NOV22_1.1!R93)</f>
        <v>92.819996182828064</v>
      </c>
      <c r="Z93" s="124">
        <f t="shared" si="2"/>
        <v>-0.33024824207942283</v>
      </c>
      <c r="AA93" s="124">
        <f t="shared" si="2"/>
        <v>-1.0603161394129312E-2</v>
      </c>
      <c r="AB93" s="124">
        <f t="shared" si="2"/>
        <v>1.3190373796813759</v>
      </c>
      <c r="AC93" s="124">
        <f t="shared" si="2"/>
        <v>-3.4851637785130674</v>
      </c>
      <c r="AD93" s="124">
        <f t="shared" si="2"/>
        <v>-5.5647074699088144</v>
      </c>
      <c r="AE93" s="124">
        <f t="shared" si="2"/>
        <v>0.71257115375535918</v>
      </c>
    </row>
    <row r="94" spans="1:31" ht="15.75">
      <c r="A94" s="110"/>
      <c r="B94" s="160">
        <v>2016</v>
      </c>
      <c r="C94" s="122">
        <v>1297.3130000000001</v>
      </c>
      <c r="D94" s="122">
        <v>382.56599999999997</v>
      </c>
      <c r="E94" s="122">
        <v>354.68299999999999</v>
      </c>
      <c r="F94" s="122">
        <v>52.348999999999997</v>
      </c>
      <c r="G94" s="122">
        <v>1.504</v>
      </c>
      <c r="H94" s="122">
        <v>2036.066</v>
      </c>
      <c r="I94" s="122">
        <v>2.492</v>
      </c>
      <c r="J94" s="122">
        <v>2038.558</v>
      </c>
      <c r="K94" s="122">
        <v>572.85500000000002</v>
      </c>
      <c r="L94" s="122">
        <v>2611.4110000000001</v>
      </c>
      <c r="M94" s="122">
        <v>611.95000000000005</v>
      </c>
      <c r="N94" s="122">
        <v>0</v>
      </c>
      <c r="O94" s="122">
        <v>1999.461</v>
      </c>
      <c r="P94" s="123">
        <v>1952.713</v>
      </c>
      <c r="S94" s="124">
        <f>100*(C94/OBR_NOV22_1.1!C94)</f>
        <v>95.092239941125939</v>
      </c>
      <c r="T94" s="124">
        <f>100*(D94/OBR_NOV22_1.1!D94)</f>
        <v>94.324959379461163</v>
      </c>
      <c r="U94" s="124">
        <f>100*(E94/OBR_NOV22_1.1!E94)</f>
        <v>92.498089706844979</v>
      </c>
      <c r="V94" s="124">
        <f>100*(K94/OBR_NOV22_1.1!N94)</f>
        <v>91.783975876975134</v>
      </c>
      <c r="W94" s="124">
        <f>100*(M94/OBR_NOV22_1.1!P94)</f>
        <v>91.127316155721317</v>
      </c>
      <c r="X94" s="124">
        <f>100*(O94/OBR_NOV22_1.1!R94)</f>
        <v>94.563721442334156</v>
      </c>
      <c r="Z94" s="124">
        <f t="shared" si="2"/>
        <v>1.230933602447104</v>
      </c>
      <c r="AA94" s="124">
        <f t="shared" si="2"/>
        <v>1.3129816805493189</v>
      </c>
      <c r="AB94" s="124">
        <f t="shared" si="2"/>
        <v>1.8102265245192095</v>
      </c>
      <c r="AC94" s="124">
        <f t="shared" si="2"/>
        <v>4.5616372448190168</v>
      </c>
      <c r="AD94" s="124">
        <f t="shared" si="2"/>
        <v>4.6246953199508223</v>
      </c>
      <c r="AE94" s="124">
        <f t="shared" si="2"/>
        <v>1.8786094927988106</v>
      </c>
    </row>
    <row r="95" spans="1:31" ht="15.75">
      <c r="A95" s="110"/>
      <c r="B95" s="160">
        <v>2017</v>
      </c>
      <c r="C95" s="122">
        <v>1344.7260000000001</v>
      </c>
      <c r="D95" s="122">
        <v>388.01</v>
      </c>
      <c r="E95" s="122">
        <v>378.21600000000001</v>
      </c>
      <c r="F95" s="122">
        <v>55.241</v>
      </c>
      <c r="G95" s="122">
        <v>0.84399999999999997</v>
      </c>
      <c r="H95" s="122">
        <v>2111.7959999999998</v>
      </c>
      <c r="I95" s="122">
        <v>3.544</v>
      </c>
      <c r="J95" s="122">
        <v>2115.34</v>
      </c>
      <c r="K95" s="122">
        <v>639.52300000000002</v>
      </c>
      <c r="L95" s="122">
        <v>2754.8609999999999</v>
      </c>
      <c r="M95" s="122">
        <v>669.85299999999995</v>
      </c>
      <c r="N95" s="122">
        <v>0</v>
      </c>
      <c r="O95" s="122">
        <v>2085.0079999999998</v>
      </c>
      <c r="P95" s="123">
        <v>2062.558</v>
      </c>
      <c r="S95" s="124">
        <f>100*(C95/OBR_NOV22_1.1!C95)</f>
        <v>96.695434326467165</v>
      </c>
      <c r="T95" s="124">
        <f>100*(D95/OBR_NOV22_1.1!D95)</f>
        <v>95.263699328015392</v>
      </c>
      <c r="U95" s="124">
        <f>100*(E95/OBR_NOV22_1.1!E95)</f>
        <v>95.290836392404273</v>
      </c>
      <c r="V95" s="124">
        <f>100*(K95/OBR_NOV22_1.1!N95)</f>
        <v>95.901933115493563</v>
      </c>
      <c r="W95" s="124">
        <f>100*(M95/OBR_NOV22_1.1!P95)</f>
        <v>96.524082279621013</v>
      </c>
      <c r="X95" s="124">
        <f>100*(O95/OBR_NOV22_1.1!R95)</f>
        <v>96.257513020105961</v>
      </c>
      <c r="Z95" s="124">
        <f t="shared" si="2"/>
        <v>1.6859360830429493</v>
      </c>
      <c r="AA95" s="124">
        <f t="shared" si="2"/>
        <v>0.99521903293671166</v>
      </c>
      <c r="AB95" s="124">
        <f t="shared" si="2"/>
        <v>3.0192479589690624</v>
      </c>
      <c r="AC95" s="124">
        <f t="shared" si="2"/>
        <v>4.4865753517128404</v>
      </c>
      <c r="AD95" s="124">
        <f t="shared" si="2"/>
        <v>5.9222265634132354</v>
      </c>
      <c r="AE95" s="124">
        <f t="shared" si="2"/>
        <v>1.7911642561621255</v>
      </c>
    </row>
    <row r="96" spans="1:31" ht="15.75">
      <c r="A96" s="110"/>
      <c r="B96" s="160">
        <v>2018</v>
      </c>
      <c r="C96" s="122">
        <v>1401.5309999999999</v>
      </c>
      <c r="D96" s="122">
        <v>398.358</v>
      </c>
      <c r="E96" s="122">
        <v>386.149</v>
      </c>
      <c r="F96" s="122">
        <v>57.140999999999991</v>
      </c>
      <c r="G96" s="122">
        <v>2.8260000000000001</v>
      </c>
      <c r="H96" s="122">
        <v>2188.864</v>
      </c>
      <c r="I96" s="122">
        <v>1.554</v>
      </c>
      <c r="J96" s="122">
        <v>2190.4180000000001</v>
      </c>
      <c r="K96" s="122">
        <v>673.86500000000001</v>
      </c>
      <c r="L96" s="122">
        <v>2864.2829999999999</v>
      </c>
      <c r="M96" s="122">
        <v>706.87300000000005</v>
      </c>
      <c r="N96" s="122">
        <v>0</v>
      </c>
      <c r="O96" s="122">
        <v>2157.41</v>
      </c>
      <c r="P96" s="123">
        <v>2128.0039999999999</v>
      </c>
      <c r="S96" s="124">
        <f>100*(C96/OBR_NOV22_1.1!C96)</f>
        <v>98.358367434591202</v>
      </c>
      <c r="T96" s="124">
        <f>100*(D96/OBR_NOV22_1.1!D96)</f>
        <v>97.487427347812783</v>
      </c>
      <c r="U96" s="124">
        <f>100*(E96/OBR_NOV22_1.1!E96)</f>
        <v>97.520500445744219</v>
      </c>
      <c r="V96" s="124">
        <f>100*(K96/OBR_NOV22_1.1!N96)</f>
        <v>97.965998697401773</v>
      </c>
      <c r="W96" s="124">
        <f>100*(M96/OBR_NOV22_1.1!P96)</f>
        <v>98.569028146722729</v>
      </c>
      <c r="X96" s="124">
        <f>100*(O96/OBR_NOV22_1.1!R96)</f>
        <v>97.930326985186127</v>
      </c>
      <c r="Z96" s="124">
        <f t="shared" si="2"/>
        <v>1.7197638334293774</v>
      </c>
      <c r="AA96" s="124">
        <f t="shared" si="2"/>
        <v>2.3342868642341585</v>
      </c>
      <c r="AB96" s="124">
        <f t="shared" si="2"/>
        <v>2.3398514880888177</v>
      </c>
      <c r="AC96" s="124">
        <f t="shared" si="2"/>
        <v>2.1522669198153599</v>
      </c>
      <c r="AD96" s="124">
        <f t="shared" si="2"/>
        <v>2.1185861795377736</v>
      </c>
      <c r="AE96" s="124">
        <f t="shared" si="2"/>
        <v>1.7378528829544493</v>
      </c>
    </row>
    <row r="97" spans="1:31" ht="15.75">
      <c r="A97" s="110"/>
      <c r="B97" s="160">
        <v>2019</v>
      </c>
      <c r="C97" s="122">
        <v>1440.0409999999999</v>
      </c>
      <c r="D97" s="122">
        <v>425.57900000000001</v>
      </c>
      <c r="E97" s="122">
        <v>403.36500000000001</v>
      </c>
      <c r="F97" s="122">
        <v>61.75</v>
      </c>
      <c r="G97" s="122">
        <v>2.88</v>
      </c>
      <c r="H97" s="122">
        <v>2271.8649999999998</v>
      </c>
      <c r="I97" s="122">
        <v>2.6309999999999998</v>
      </c>
      <c r="J97" s="122">
        <v>2274.4960000000001</v>
      </c>
      <c r="K97" s="122">
        <v>699.654</v>
      </c>
      <c r="L97" s="122">
        <v>2974.15</v>
      </c>
      <c r="M97" s="122">
        <v>735.80200000000002</v>
      </c>
      <c r="N97" s="122">
        <v>0</v>
      </c>
      <c r="O97" s="122">
        <v>2238.348</v>
      </c>
      <c r="P97" s="123">
        <v>2237.4279999999999</v>
      </c>
      <c r="S97" s="124">
        <f>100*(C97/OBR_NOV22_1.1!C97)</f>
        <v>100</v>
      </c>
      <c r="T97" s="124">
        <f>100*(D97/OBR_NOV22_1.1!D97)</f>
        <v>100</v>
      </c>
      <c r="U97" s="124">
        <f>100*(E97/OBR_NOV22_1.1!E97)</f>
        <v>100</v>
      </c>
      <c r="V97" s="124">
        <f>100*(K97/OBR_NOV22_1.1!N97)</f>
        <v>100</v>
      </c>
      <c r="W97" s="124">
        <f>100*(M97/OBR_NOV22_1.1!P97)</f>
        <v>100</v>
      </c>
      <c r="X97" s="124">
        <f>100*(O97/OBR_NOV22_1.1!R97)</f>
        <v>100</v>
      </c>
      <c r="Z97" s="124">
        <f t="shared" si="2"/>
        <v>1.6690319372172358</v>
      </c>
      <c r="AA97" s="124">
        <f t="shared" si="2"/>
        <v>2.5773299394012517</v>
      </c>
      <c r="AB97" s="124">
        <f t="shared" si="2"/>
        <v>2.5425418685533385</v>
      </c>
      <c r="AC97" s="124">
        <f t="shared" si="2"/>
        <v>2.0762318862086682</v>
      </c>
      <c r="AD97" s="124">
        <f t="shared" si="2"/>
        <v>1.4517459289009382</v>
      </c>
      <c r="AE97" s="124">
        <f t="shared" si="2"/>
        <v>2.1134137692881971</v>
      </c>
    </row>
    <row r="98" spans="1:31" ht="15.75">
      <c r="A98" s="110"/>
      <c r="B98" s="160">
        <v>2020</v>
      </c>
      <c r="C98" s="122">
        <v>1262.883</v>
      </c>
      <c r="D98" s="122">
        <v>475.11399999999998</v>
      </c>
      <c r="E98" s="122">
        <v>365.88200000000001</v>
      </c>
      <c r="F98" s="122">
        <v>65.977000000000004</v>
      </c>
      <c r="G98" s="122">
        <v>1.006</v>
      </c>
      <c r="H98" s="122">
        <v>2104.8850000000002</v>
      </c>
      <c r="I98" s="122">
        <v>-2.851</v>
      </c>
      <c r="J98" s="122">
        <v>2102.0340000000001</v>
      </c>
      <c r="K98" s="122">
        <v>616.78599999999994</v>
      </c>
      <c r="L98" s="122">
        <v>2718.8229999999999</v>
      </c>
      <c r="M98" s="122">
        <v>609.22900000000004</v>
      </c>
      <c r="N98" s="122">
        <v>0</v>
      </c>
      <c r="O98" s="122">
        <v>2109.5940000000001</v>
      </c>
      <c r="P98" s="123">
        <v>2062.2020000000002</v>
      </c>
      <c r="S98" s="124">
        <f>100*(C98/OBR_NOV22_1.1!C98)</f>
        <v>101.00130921980256</v>
      </c>
      <c r="T98" s="124">
        <f>100*(D98/OBR_NOV22_1.1!D98)</f>
        <v>120.44668660954217</v>
      </c>
      <c r="U98" s="124">
        <f>100*(E98/OBR_NOV22_1.1!E98)</f>
        <v>101.35179306485837</v>
      </c>
      <c r="V98" s="124">
        <f>100*(K98/OBR_NOV22_1.1!N98)</f>
        <v>100.27263460622424</v>
      </c>
      <c r="W98" s="124">
        <f>100*(M98/OBR_NOV22_1.1!P98)</f>
        <v>98.626706296785557</v>
      </c>
      <c r="X98" s="124">
        <f>100*(O98/OBR_NOV22_1.1!R98)</f>
        <v>105.93314683502733</v>
      </c>
      <c r="Z98" s="124">
        <f t="shared" si="2"/>
        <v>1.0013092198025708</v>
      </c>
      <c r="AA98" s="124">
        <f t="shared" si="2"/>
        <v>20.446686609542162</v>
      </c>
      <c r="AB98" s="124">
        <f t="shared" si="2"/>
        <v>1.3517930648583754</v>
      </c>
      <c r="AC98" s="124">
        <f t="shared" si="2"/>
        <v>0.2726346062242424</v>
      </c>
      <c r="AD98" s="124">
        <f t="shared" si="2"/>
        <v>-1.3732937032144399</v>
      </c>
      <c r="AE98" s="124">
        <f t="shared" si="2"/>
        <v>5.9331468350273253</v>
      </c>
    </row>
    <row r="99" spans="1:31" ht="15.75">
      <c r="A99" s="110"/>
      <c r="B99" s="160">
        <v>2021</v>
      </c>
      <c r="C99" s="122">
        <v>1376.1079999999999</v>
      </c>
      <c r="D99" s="122">
        <v>509.54899999999998</v>
      </c>
      <c r="E99" s="122">
        <v>392.67399999999998</v>
      </c>
      <c r="F99" s="122">
        <v>70.776999999999987</v>
      </c>
      <c r="G99" s="122">
        <v>7.9740000000000002</v>
      </c>
      <c r="H99" s="122">
        <v>2286.3049999999998</v>
      </c>
      <c r="I99" s="122">
        <v>11.257</v>
      </c>
      <c r="J99" s="122">
        <v>2297.5619999999999</v>
      </c>
      <c r="K99" s="122">
        <v>636.32500000000005</v>
      </c>
      <c r="L99" s="122">
        <v>2933.8870000000002</v>
      </c>
      <c r="M99" s="122">
        <v>653.89700000000005</v>
      </c>
      <c r="N99" s="122">
        <v>-3.2749999999999999</v>
      </c>
      <c r="O99" s="122">
        <v>2276.7150000000001</v>
      </c>
      <c r="P99" s="123">
        <v>2266.768</v>
      </c>
      <c r="S99" s="124">
        <f>100*(C99/OBR_NOV22_1.1!C99)</f>
        <v>103.61010721599806</v>
      </c>
      <c r="T99" s="124">
        <f>100*(D99/OBR_NOV22_1.1!D99)</f>
        <v>114.69018621014082</v>
      </c>
      <c r="U99" s="124">
        <f>100*(E99/OBR_NOV22_1.1!E99)</f>
        <v>103.04186500543189</v>
      </c>
      <c r="V99" s="124">
        <f>100*(K99/OBR_NOV22_1.1!N99)</f>
        <v>103.7610475165509</v>
      </c>
      <c r="W99" s="124">
        <f>100*(M99/OBR_NOV22_1.1!P99)</f>
        <v>102.99374694829027</v>
      </c>
      <c r="X99" s="124">
        <f>100*(O99/OBR_NOV22_1.1!R99)</f>
        <v>106.32430965776285</v>
      </c>
      <c r="Z99" s="124">
        <f t="shared" si="2"/>
        <v>2.5829348315853373</v>
      </c>
      <c r="AA99" s="124">
        <f t="shared" si="2"/>
        <v>-4.7792932802398047</v>
      </c>
      <c r="AB99" s="124">
        <f t="shared" si="2"/>
        <v>1.6675303805350428</v>
      </c>
      <c r="AC99" s="124">
        <f t="shared" si="2"/>
        <v>3.4789281482688006</v>
      </c>
      <c r="AD99" s="124">
        <f t="shared" si="2"/>
        <v>4.4278480094057882</v>
      </c>
      <c r="AE99" s="124">
        <f t="shared" si="2"/>
        <v>0.36925441603721243</v>
      </c>
    </row>
    <row r="100" spans="1:31" ht="15.75">
      <c r="A100" s="110"/>
      <c r="B100" s="129">
        <v>2022</v>
      </c>
      <c r="C100" s="122">
        <v>1554.5548119999999</v>
      </c>
      <c r="D100" s="122">
        <v>518.727554375061</v>
      </c>
      <c r="E100" s="122">
        <v>430.50663500000002</v>
      </c>
      <c r="F100" s="122">
        <v>78.961328600000002</v>
      </c>
      <c r="G100" s="122">
        <v>12.575563085000001</v>
      </c>
      <c r="H100" s="122">
        <v>2516.364564460061</v>
      </c>
      <c r="I100" s="122">
        <v>57.50634153</v>
      </c>
      <c r="J100" s="122">
        <v>2573.8709059900607</v>
      </c>
      <c r="K100" s="122">
        <v>739.09364900000003</v>
      </c>
      <c r="L100" s="122">
        <v>3312.964555</v>
      </c>
      <c r="M100" s="122">
        <v>833.38403100000005</v>
      </c>
      <c r="N100" s="122">
        <v>-2.2059900029999997</v>
      </c>
      <c r="O100" s="122">
        <v>2477.374534</v>
      </c>
      <c r="P100" s="123">
        <v>2449.580148</v>
      </c>
      <c r="S100" s="124">
        <f>100*(C100/OBR_NOV22_1.1!C100)</f>
        <v>111.76848071261145</v>
      </c>
      <c r="T100" s="124">
        <f>100*(D100/OBR_NOV22_1.1!D100)</f>
        <v>114.33439186435652</v>
      </c>
      <c r="U100" s="124">
        <f>100*(E100/OBR_NOV22_1.1!E100)</f>
        <v>108.0919252175205</v>
      </c>
      <c r="V100" s="124">
        <f>100*(K100/OBR_NOV22_1.1!N100)</f>
        <v>114.64332337677308</v>
      </c>
      <c r="W100" s="124">
        <f>100*(M100/OBR_NOV22_1.1!P100)</f>
        <v>118.09465223528737</v>
      </c>
      <c r="X100" s="124">
        <f>100*(O100/OBR_NOV22_1.1!R100)</f>
        <v>111.01626661100809</v>
      </c>
      <c r="Z100" s="124">
        <f t="shared" si="2"/>
        <v>7.8741096943423461</v>
      </c>
      <c r="AA100" s="124">
        <f t="shared" si="2"/>
        <v>-0.31022213629716688</v>
      </c>
      <c r="AB100" s="124">
        <f t="shared" si="2"/>
        <v>4.9009790455776248</v>
      </c>
      <c r="AC100" s="124">
        <f t="shared" si="2"/>
        <v>10.487823822794716</v>
      </c>
      <c r="AD100" s="124">
        <f t="shared" si="2"/>
        <v>14.661963210813923</v>
      </c>
      <c r="AE100" s="124">
        <f t="shared" si="2"/>
        <v>4.4128731880298311</v>
      </c>
    </row>
    <row r="101" spans="1:31" ht="15.75">
      <c r="A101" s="110"/>
      <c r="B101" s="160">
        <v>2023</v>
      </c>
      <c r="C101" s="122">
        <v>1624.7353780000001</v>
      </c>
      <c r="D101" s="122">
        <v>537.47721495139604</v>
      </c>
      <c r="E101" s="122">
        <v>435.612191</v>
      </c>
      <c r="F101" s="122">
        <v>86.756379500000008</v>
      </c>
      <c r="G101" s="122">
        <v>3.1944712750000002</v>
      </c>
      <c r="H101" s="122">
        <v>2601.0192552263961</v>
      </c>
      <c r="I101" s="122">
        <v>9.2931130399999997</v>
      </c>
      <c r="J101" s="122">
        <v>2610.3123682663959</v>
      </c>
      <c r="K101" s="122">
        <v>718.17354300000011</v>
      </c>
      <c r="L101" s="122">
        <v>3328.4859120000001</v>
      </c>
      <c r="M101" s="122">
        <v>798.08590599999991</v>
      </c>
      <c r="N101" s="122">
        <v>-2.2848892459999997</v>
      </c>
      <c r="O101" s="122">
        <v>2528.1151170000003</v>
      </c>
      <c r="P101" s="123">
        <v>2496.4505540000005</v>
      </c>
      <c r="S101" s="124">
        <f>100*(C101/OBR_NOV22_1.1!C101)</f>
        <v>119.10503209423291</v>
      </c>
      <c r="T101" s="124">
        <f>100*(D101/OBR_NOV22_1.1!D101)</f>
        <v>113.00319569584268</v>
      </c>
      <c r="U101" s="124">
        <f>100*(E101/OBR_NOV22_1.1!E101)</f>
        <v>110.91762043693126</v>
      </c>
      <c r="V101" s="124">
        <f>100*(K101/OBR_NOV22_1.1!N101)</f>
        <v>114.59077425543865</v>
      </c>
      <c r="W101" s="124">
        <f>100*(M101/OBR_NOV22_1.1!P101)</f>
        <v>119.70293027412602</v>
      </c>
      <c r="X101" s="124">
        <f>100*(O101/OBR_NOV22_1.1!R101)</f>
        <v>114.93148069125998</v>
      </c>
      <c r="Z101" s="124">
        <f t="shared" si="2"/>
        <v>6.5640611153030104</v>
      </c>
      <c r="AA101" s="124">
        <f t="shared" si="2"/>
        <v>-1.1643007382180715</v>
      </c>
      <c r="AB101" s="124">
        <f t="shared" si="2"/>
        <v>2.6141593960181897</v>
      </c>
      <c r="AC101" s="124">
        <f t="shared" si="2"/>
        <v>-4.5837053381414528E-2</v>
      </c>
      <c r="AD101" s="124">
        <f t="shared" si="2"/>
        <v>1.3618550953809372</v>
      </c>
      <c r="AE101" s="124">
        <f t="shared" si="2"/>
        <v>3.5267030677319289</v>
      </c>
    </row>
    <row r="102" spans="1:31" ht="15.75">
      <c r="A102" s="110"/>
      <c r="B102" s="129">
        <v>2024</v>
      </c>
      <c r="C102" s="122">
        <v>1655.7846720000002</v>
      </c>
      <c r="D102" s="122">
        <v>552.0397237601951</v>
      </c>
      <c r="E102" s="122">
        <v>446.16113899999999</v>
      </c>
      <c r="F102" s="122">
        <v>86.53714410000002</v>
      </c>
      <c r="G102" s="122">
        <v>3.2324512910000003</v>
      </c>
      <c r="H102" s="122">
        <v>2657.2179860511947</v>
      </c>
      <c r="I102" s="122">
        <v>9.7805260359999995</v>
      </c>
      <c r="J102" s="122">
        <v>2666.9985120871952</v>
      </c>
      <c r="K102" s="122">
        <v>707.17669799999999</v>
      </c>
      <c r="L102" s="122">
        <v>3374.1752119999996</v>
      </c>
      <c r="M102" s="122">
        <v>768.24537199999997</v>
      </c>
      <c r="N102" s="122">
        <v>-2.3226637609999998</v>
      </c>
      <c r="O102" s="122">
        <v>2603.6071749999996</v>
      </c>
      <c r="P102" s="123">
        <v>2571.0795090000001</v>
      </c>
      <c r="S102" s="124">
        <f>100*(C102/OBR_NOV22_1.1!C102)</f>
        <v>120.10860797012937</v>
      </c>
      <c r="T102" s="124">
        <f>100*(D102/OBR_NOV22_1.1!D102)</f>
        <v>114.28959092976349</v>
      </c>
      <c r="U102" s="124">
        <f>100*(E102/OBR_NOV22_1.1!E102)</f>
        <v>112.24164607872392</v>
      </c>
      <c r="V102" s="124">
        <f>100*(K102/OBR_NOV22_1.1!N102)</f>
        <v>112.6730602233205</v>
      </c>
      <c r="W102" s="124">
        <f>100*(M102/OBR_NOV22_1.1!P102)</f>
        <v>115.40405726294244</v>
      </c>
      <c r="X102" s="124">
        <f>100*(O102/OBR_NOV22_1.1!R102)</f>
        <v>116.83689603142268</v>
      </c>
      <c r="Z102" s="124">
        <f t="shared" si="2"/>
        <v>0.84259737666034784</v>
      </c>
      <c r="AA102" s="124">
        <f t="shared" si="2"/>
        <v>1.1383706681917571</v>
      </c>
      <c r="AB102" s="124">
        <f t="shared" si="2"/>
        <v>1.1937018091237483</v>
      </c>
      <c r="AC102" s="124">
        <f t="shared" si="2"/>
        <v>-1.6735326596566069</v>
      </c>
      <c r="AD102" s="124">
        <f t="shared" si="2"/>
        <v>-3.5912846923119801</v>
      </c>
      <c r="AE102" s="124">
        <f t="shared" si="2"/>
        <v>1.6578706971340784</v>
      </c>
    </row>
    <row r="103" spans="1:31" ht="15.75">
      <c r="A103" s="110"/>
      <c r="B103" s="129">
        <v>2025</v>
      </c>
      <c r="C103" s="122">
        <v>1691.320639</v>
      </c>
      <c r="D103" s="122">
        <v>562.65804204799895</v>
      </c>
      <c r="E103" s="122">
        <v>473.12527699999998</v>
      </c>
      <c r="F103" s="122">
        <v>86.491313599999998</v>
      </c>
      <c r="G103" s="122">
        <v>3.2747125070000003</v>
      </c>
      <c r="H103" s="122">
        <v>2730.3786705549992</v>
      </c>
      <c r="I103" s="122">
        <v>10.97018426</v>
      </c>
      <c r="J103" s="122">
        <v>2741.3488548149994</v>
      </c>
      <c r="K103" s="122">
        <v>708.313356</v>
      </c>
      <c r="L103" s="122">
        <v>3449.66221</v>
      </c>
      <c r="M103" s="122">
        <v>754.52910499999996</v>
      </c>
      <c r="N103" s="122">
        <v>-2.3405113860000002</v>
      </c>
      <c r="O103" s="122">
        <v>2692.7925949999999</v>
      </c>
      <c r="P103" s="123">
        <v>2660.367655</v>
      </c>
      <c r="S103" s="124">
        <f>100*(C103/OBR_NOV22_1.1!C103)</f>
        <v>119.72019418076989</v>
      </c>
      <c r="T103" s="124">
        <f>100*(D103/OBR_NOV22_1.1!D103)</f>
        <v>115.52566749469636</v>
      </c>
      <c r="U103" s="124">
        <f>100*(E103/OBR_NOV22_1.1!E103)</f>
        <v>113.71089624084925</v>
      </c>
      <c r="V103" s="124">
        <f>100*(K103/OBR_NOV22_1.1!N103)</f>
        <v>111.59736520862431</v>
      </c>
      <c r="W103" s="124">
        <f>100*(M103/OBR_NOV22_1.1!P103)</f>
        <v>112.37265076857072</v>
      </c>
      <c r="X103" s="124">
        <f>100*(O103/OBR_NOV22_1.1!R103)</f>
        <v>117.73196282043403</v>
      </c>
      <c r="Z103" s="124">
        <f t="shared" ref="Z103:AE105" si="3">100*((S103/S102)-1)</f>
        <v>-0.3233854724684404</v>
      </c>
      <c r="AA103" s="124">
        <f t="shared" si="3"/>
        <v>1.0815303081209704</v>
      </c>
      <c r="AB103" s="124">
        <f t="shared" si="3"/>
        <v>1.3090062498680943</v>
      </c>
      <c r="AC103" s="124">
        <f t="shared" si="3"/>
        <v>-0.95470471163572324</v>
      </c>
      <c r="AD103" s="124">
        <f t="shared" si="3"/>
        <v>-2.6267763597468741</v>
      </c>
      <c r="AE103" s="124">
        <f t="shared" si="3"/>
        <v>0.76608230739938499</v>
      </c>
    </row>
    <row r="104" spans="1:31" ht="15.75">
      <c r="A104" s="110"/>
      <c r="B104" s="129">
        <v>2026</v>
      </c>
      <c r="C104" s="122">
        <v>1735.8653760000002</v>
      </c>
      <c r="D104" s="122">
        <v>579.27419977927502</v>
      </c>
      <c r="E104" s="122">
        <v>503.51959499999998</v>
      </c>
      <c r="F104" s="122">
        <v>87.187211300000001</v>
      </c>
      <c r="G104" s="122">
        <v>3.3228936849999999</v>
      </c>
      <c r="H104" s="122">
        <v>2821.9820644642746</v>
      </c>
      <c r="I104" s="122">
        <v>11.026282759999999</v>
      </c>
      <c r="J104" s="122">
        <v>2833.0083472242745</v>
      </c>
      <c r="K104" s="122">
        <v>716.68669499999999</v>
      </c>
      <c r="L104" s="122">
        <v>3549.6950410000004</v>
      </c>
      <c r="M104" s="122">
        <v>758.878828</v>
      </c>
      <c r="N104" s="122">
        <v>-2.3609167430000002</v>
      </c>
      <c r="O104" s="122">
        <v>2788.4552939999999</v>
      </c>
      <c r="P104" s="123">
        <v>2756.1374810000002</v>
      </c>
      <c r="S104" s="124">
        <f>100*(C104/OBR_NOV22_1.1!C104)</f>
        <v>120.25101914130711</v>
      </c>
      <c r="T104" s="124">
        <f>100*(D104/OBR_NOV22_1.1!D104)</f>
        <v>117.05239244827801</v>
      </c>
      <c r="U104" s="124">
        <f>100*(E104/OBR_NOV22_1.1!E104)</f>
        <v>115.3839927891174</v>
      </c>
      <c r="V104" s="124">
        <f>100*(K104/OBR_NOV22_1.1!N104)</f>
        <v>112.31157590606917</v>
      </c>
      <c r="W104" s="124">
        <f>100*(M104/OBR_NOV22_1.1!P104)</f>
        <v>112.74445751103937</v>
      </c>
      <c r="X104" s="124">
        <f>100*(O104/OBR_NOV22_1.1!R104)</f>
        <v>118.76219425189139</v>
      </c>
      <c r="Z104" s="124">
        <f t="shared" si="3"/>
        <v>0.44338798827514569</v>
      </c>
      <c r="AA104" s="124">
        <f t="shared" si="3"/>
        <v>1.3215461002653361</v>
      </c>
      <c r="AB104" s="124">
        <f t="shared" si="3"/>
        <v>1.4713599167527347</v>
      </c>
      <c r="AC104" s="124">
        <f t="shared" si="3"/>
        <v>0.63998885288167884</v>
      </c>
      <c r="AD104" s="124">
        <f t="shared" si="3"/>
        <v>0.33086942412203779</v>
      </c>
      <c r="AE104" s="124">
        <f t="shared" si="3"/>
        <v>0.87506519621070034</v>
      </c>
    </row>
    <row r="105" spans="1:31" ht="15.75">
      <c r="A105" s="110"/>
      <c r="B105" s="158">
        <v>2027</v>
      </c>
      <c r="C105" s="131">
        <v>1801.001133</v>
      </c>
      <c r="D105" s="131">
        <v>597.22947424100107</v>
      </c>
      <c r="E105" s="131">
        <v>529.57404300000007</v>
      </c>
      <c r="F105" s="131">
        <v>87.509051400000004</v>
      </c>
      <c r="G105" s="131">
        <v>3.380742476</v>
      </c>
      <c r="H105" s="131">
        <v>2931.1853927170009</v>
      </c>
      <c r="I105" s="131">
        <v>12.328231189999999</v>
      </c>
      <c r="J105" s="131">
        <v>2943.5136239070011</v>
      </c>
      <c r="K105" s="131">
        <v>725.29578099999992</v>
      </c>
      <c r="L105" s="131">
        <v>3668.809405</v>
      </c>
      <c r="M105" s="131">
        <v>765.92611799999997</v>
      </c>
      <c r="N105" s="131">
        <v>-2.402077636</v>
      </c>
      <c r="O105" s="131">
        <v>2900.4812089999996</v>
      </c>
      <c r="P105" s="132">
        <v>2868.4934629999998</v>
      </c>
      <c r="S105" s="124">
        <f>100*(C105/OBR_NOV22_1.1!C105)</f>
        <v>122.38546796438411</v>
      </c>
      <c r="T105" s="124">
        <f>100*(D105/OBR_NOV22_1.1!D105)</f>
        <v>118.81392949789738</v>
      </c>
      <c r="U105" s="124">
        <f>100*(E105/OBR_NOV22_1.1!E105)</f>
        <v>117.39176958076469</v>
      </c>
      <c r="V105" s="124">
        <f>100*(K105/OBR_NOV22_1.1!N105)</f>
        <v>113.3955616963586</v>
      </c>
      <c r="W105" s="124">
        <f>100*(M105/OBR_NOV22_1.1!P105)</f>
        <v>113.74575952763632</v>
      </c>
      <c r="X105" s="124">
        <f>100*(O105/OBR_NOV22_1.1!R105)</f>
        <v>120.83229870779743</v>
      </c>
      <c r="Z105" s="124">
        <f t="shared" si="3"/>
        <v>1.7749943728699646</v>
      </c>
      <c r="AA105" s="124">
        <f t="shared" si="3"/>
        <v>1.5049133236620715</v>
      </c>
      <c r="AB105" s="124">
        <f t="shared" si="3"/>
        <v>1.7400826086134913</v>
      </c>
      <c r="AC105" s="124">
        <f t="shared" si="3"/>
        <v>0.96515945177015894</v>
      </c>
      <c r="AD105" s="124">
        <f t="shared" si="3"/>
        <v>0.8881163994238106</v>
      </c>
      <c r="AE105" s="124">
        <f t="shared" si="3"/>
        <v>1.7430668647931968</v>
      </c>
    </row>
    <row r="106" spans="1:31" ht="15.75">
      <c r="A106" s="110"/>
      <c r="B106" s="161" t="s">
        <v>196</v>
      </c>
      <c r="C106" s="122">
        <v>1011.455</v>
      </c>
      <c r="D106" s="122">
        <v>329.61099999999999</v>
      </c>
      <c r="E106" s="122">
        <v>273.00200000000001</v>
      </c>
      <c r="F106" s="122">
        <v>48.344999999999999</v>
      </c>
      <c r="G106" s="122">
        <v>0.95499999999999996</v>
      </c>
      <c r="H106" s="122">
        <v>1615.0229999999999</v>
      </c>
      <c r="I106" s="122">
        <v>-6.0279999999999996</v>
      </c>
      <c r="J106" s="122">
        <v>1608.9949999999999</v>
      </c>
      <c r="K106" s="122">
        <v>434.12700000000001</v>
      </c>
      <c r="L106" s="122">
        <v>2043.123</v>
      </c>
      <c r="M106" s="122">
        <v>458.58300000000003</v>
      </c>
      <c r="N106" s="122">
        <v>0</v>
      </c>
      <c r="O106" s="122">
        <v>1584.54</v>
      </c>
      <c r="P106" s="155">
        <v>1557.0840000000001</v>
      </c>
      <c r="S106" s="124">
        <f>100*(C106/OBR_NOV22_1.1!C106)</f>
        <v>85.094756785588686</v>
      </c>
      <c r="T106" s="124">
        <f>100*(D106/OBR_NOV22_1.1!D106)</f>
        <v>86.865234246319005</v>
      </c>
      <c r="U106" s="124">
        <f>100*(E106/OBR_NOV22_1.1!E106)</f>
        <v>83.104113775699702</v>
      </c>
      <c r="V106" s="124">
        <f>100*(K106/OBR_NOV22_1.1!N106)</f>
        <v>81.252304438559236</v>
      </c>
      <c r="W106" s="124">
        <f>100*(M106/OBR_NOV22_1.1!P106)</f>
        <v>87.393755288413914</v>
      </c>
      <c r="X106" s="124">
        <f>100*(O106/OBR_NOV22_1.1!R106)</f>
        <v>83.898288931106123</v>
      </c>
    </row>
    <row r="107" spans="1:31" ht="15.75">
      <c r="A107" s="110"/>
      <c r="B107" s="160" t="s">
        <v>197</v>
      </c>
      <c r="C107" s="122">
        <v>1000.082</v>
      </c>
      <c r="D107" s="122">
        <v>344.017</v>
      </c>
      <c r="E107" s="122">
        <v>247.00200000000001</v>
      </c>
      <c r="F107" s="122">
        <v>50.923999999999999</v>
      </c>
      <c r="G107" s="122">
        <v>1.0720000000000001</v>
      </c>
      <c r="H107" s="122">
        <v>1592.173</v>
      </c>
      <c r="I107" s="122">
        <v>-9.8019999999999996</v>
      </c>
      <c r="J107" s="122">
        <v>1582.3710000000001</v>
      </c>
      <c r="K107" s="122">
        <v>420.298</v>
      </c>
      <c r="L107" s="122">
        <v>2002.6690000000001</v>
      </c>
      <c r="M107" s="122">
        <v>440.72699999999998</v>
      </c>
      <c r="N107" s="122">
        <v>0</v>
      </c>
      <c r="O107" s="122">
        <v>1561.942</v>
      </c>
      <c r="P107" s="155">
        <v>1555.9949999999999</v>
      </c>
      <c r="S107" s="124">
        <f>100*(C107/OBR_NOV22_1.1!C107)</f>
        <v>85.377049628170738</v>
      </c>
      <c r="T107" s="124">
        <f>100*(D107/OBR_NOV22_1.1!D107)</f>
        <v>89.808774196916886</v>
      </c>
      <c r="U107" s="124">
        <f>100*(E107/OBR_NOV22_1.1!E107)</f>
        <v>83.416749407306838</v>
      </c>
      <c r="V107" s="124">
        <f>100*(K107/OBR_NOV22_1.1!N107)</f>
        <v>83.704692105472802</v>
      </c>
      <c r="W107" s="124">
        <f>100*(M107/OBR_NOV22_1.1!P107)</f>
        <v>86.847721347623803</v>
      </c>
      <c r="X107" s="124">
        <f>100*(O107/OBR_NOV22_1.1!R107)</f>
        <v>85.037892811254608</v>
      </c>
    </row>
    <row r="108" spans="1:31" ht="15.75">
      <c r="A108" s="110"/>
      <c r="B108" s="160" t="s">
        <v>198</v>
      </c>
      <c r="C108" s="122">
        <v>1044.875</v>
      </c>
      <c r="D108" s="122">
        <v>349.80200000000002</v>
      </c>
      <c r="E108" s="122">
        <v>258.68299999999999</v>
      </c>
      <c r="F108" s="122">
        <v>50.554000000000002</v>
      </c>
      <c r="G108" s="122">
        <v>-0.76800000000000002</v>
      </c>
      <c r="H108" s="122">
        <v>1652.5920000000001</v>
      </c>
      <c r="I108" s="122">
        <v>-0.127</v>
      </c>
      <c r="J108" s="122">
        <v>1652.4649999999999</v>
      </c>
      <c r="K108" s="122">
        <v>478.06299999999999</v>
      </c>
      <c r="L108" s="122">
        <v>2130.527</v>
      </c>
      <c r="M108" s="122">
        <v>499.80099999999999</v>
      </c>
      <c r="N108" s="122">
        <v>0</v>
      </c>
      <c r="O108" s="122">
        <v>1630.7260000000001</v>
      </c>
      <c r="P108" s="155">
        <v>1632.9690000000001</v>
      </c>
      <c r="S108" s="124">
        <f>100*(C108/OBR_NOV22_1.1!C108)</f>
        <v>87.290779904845834</v>
      </c>
      <c r="T108" s="124">
        <f>100*(D108/OBR_NOV22_1.1!D108)</f>
        <v>90.842325321698937</v>
      </c>
      <c r="U108" s="124">
        <f>100*(E108/OBR_NOV22_1.1!E108)</f>
        <v>83.246069928719692</v>
      </c>
      <c r="V108" s="124">
        <f>100*(K108/OBR_NOV22_1.1!N108)</f>
        <v>87.467455599649441</v>
      </c>
      <c r="W108" s="124">
        <f>100*(M108/OBR_NOV22_1.1!P108)</f>
        <v>91.323382430059539</v>
      </c>
      <c r="X108" s="124">
        <f>100*(O108/OBR_NOV22_1.1!R108)</f>
        <v>86.456679304222249</v>
      </c>
    </row>
    <row r="109" spans="1:31" ht="15.75">
      <c r="A109" s="110"/>
      <c r="B109" s="160" t="s">
        <v>199</v>
      </c>
      <c r="C109" s="122">
        <v>1073.6759999999999</v>
      </c>
      <c r="D109" s="122">
        <v>349.80500000000001</v>
      </c>
      <c r="E109" s="122">
        <v>264.15499999999997</v>
      </c>
      <c r="F109" s="122">
        <v>47.372</v>
      </c>
      <c r="G109" s="122">
        <v>1.546</v>
      </c>
      <c r="H109" s="122">
        <v>1689.182</v>
      </c>
      <c r="I109" s="122">
        <v>0.48499999999999999</v>
      </c>
      <c r="J109" s="122">
        <v>1689.6669999999999</v>
      </c>
      <c r="K109" s="122">
        <v>524.89599999999996</v>
      </c>
      <c r="L109" s="122">
        <v>2214.5630000000001</v>
      </c>
      <c r="M109" s="122">
        <v>542.06399999999996</v>
      </c>
      <c r="N109" s="122">
        <v>0</v>
      </c>
      <c r="O109" s="122">
        <v>1672.499</v>
      </c>
      <c r="P109" s="155">
        <v>1675.3</v>
      </c>
      <c r="S109" s="124">
        <f>100*(C109/OBR_NOV22_1.1!C109)</f>
        <v>90.249749510789528</v>
      </c>
      <c r="T109" s="124">
        <f>100*(D109/OBR_NOV22_1.1!D109)</f>
        <v>90.550335223007423</v>
      </c>
      <c r="U109" s="124">
        <f>100*(E109/OBR_NOV22_1.1!E109)</f>
        <v>84.657466637609431</v>
      </c>
      <c r="V109" s="124">
        <f>100*(K109/OBR_NOV22_1.1!N109)</f>
        <v>91.313098980395964</v>
      </c>
      <c r="W109" s="124">
        <f>100*(M109/OBR_NOV22_1.1!P109)</f>
        <v>96.671642350020591</v>
      </c>
      <c r="X109" s="124">
        <f>100*(O109/OBR_NOV22_1.1!R109)</f>
        <v>87.988335554305806</v>
      </c>
    </row>
    <row r="110" spans="1:31" ht="15.75">
      <c r="A110" s="110"/>
      <c r="B110" s="160" t="s">
        <v>200</v>
      </c>
      <c r="C110" s="122">
        <v>1118.028</v>
      </c>
      <c r="D110" s="122">
        <v>354.76900000000001</v>
      </c>
      <c r="E110" s="122">
        <v>267</v>
      </c>
      <c r="F110" s="122">
        <v>44.749000000000002</v>
      </c>
      <c r="G110" s="122">
        <v>2.641</v>
      </c>
      <c r="H110" s="122">
        <v>1742.4380000000001</v>
      </c>
      <c r="I110" s="122">
        <v>6.1210000000000004</v>
      </c>
      <c r="J110" s="122">
        <v>1748.559</v>
      </c>
      <c r="K110" s="122">
        <v>519.68899999999996</v>
      </c>
      <c r="L110" s="122">
        <v>2268.248</v>
      </c>
      <c r="M110" s="122">
        <v>540.75900000000001</v>
      </c>
      <c r="N110" s="122">
        <v>0</v>
      </c>
      <c r="O110" s="122">
        <v>1727.489</v>
      </c>
      <c r="P110" s="155">
        <v>1703.1690000000001</v>
      </c>
      <c r="S110" s="124">
        <f>100*(C110/OBR_NOV22_1.1!C110)</f>
        <v>91.834114615632927</v>
      </c>
      <c r="T110" s="124">
        <f>100*(D110/OBR_NOV22_1.1!D110)</f>
        <v>91.473501822926067</v>
      </c>
      <c r="U110" s="124">
        <f>100*(E110/OBR_NOV22_1.1!E110)</f>
        <v>86.766063095501167</v>
      </c>
      <c r="V110" s="124">
        <f>100*(K110/OBR_NOV22_1.1!N110)</f>
        <v>91.297641530150628</v>
      </c>
      <c r="W110" s="124">
        <f>100*(M110/OBR_NOV22_1.1!P110)</f>
        <v>95.484788021118433</v>
      </c>
      <c r="X110" s="124">
        <f>100*(O110/OBR_NOV22_1.1!R110)</f>
        <v>89.513509760273251</v>
      </c>
    </row>
    <row r="111" spans="1:31">
      <c r="B111" s="160" t="s">
        <v>201</v>
      </c>
      <c r="C111" s="122">
        <v>1169.364</v>
      </c>
      <c r="D111" s="122">
        <v>362.42500000000001</v>
      </c>
      <c r="E111" s="122">
        <v>291.91800000000001</v>
      </c>
      <c r="F111" s="122">
        <v>48.650999999999996</v>
      </c>
      <c r="G111" s="122">
        <v>7.67</v>
      </c>
      <c r="H111" s="122">
        <v>1831.377</v>
      </c>
      <c r="I111" s="122">
        <v>4.202</v>
      </c>
      <c r="J111" s="122">
        <v>1835.579</v>
      </c>
      <c r="K111" s="122">
        <v>532.33799999999997</v>
      </c>
      <c r="L111" s="122">
        <v>2367.9160000000002</v>
      </c>
      <c r="M111" s="122">
        <v>564.80399999999997</v>
      </c>
      <c r="N111" s="122">
        <v>0</v>
      </c>
      <c r="O111" s="122">
        <v>1803.1120000000001</v>
      </c>
      <c r="P111" s="155">
        <v>1776.5029999999999</v>
      </c>
      <c r="S111" s="124">
        <f>100*(C111/OBR_NOV22_1.1!C111)</f>
        <v>93.550317444063296</v>
      </c>
      <c r="T111" s="124">
        <f>100*(D111/OBR_NOV22_1.1!D111)</f>
        <v>92.718137374037141</v>
      </c>
      <c r="U111" s="124">
        <f>100*(E111/OBR_NOV22_1.1!E111)</f>
        <v>88.352905569007262</v>
      </c>
      <c r="V111" s="124">
        <f>100*(K111/OBR_NOV22_1.1!N111)</f>
        <v>92.747628771142416</v>
      </c>
      <c r="W111" s="124">
        <f>100*(M111/OBR_NOV22_1.1!P111)</f>
        <v>95.045006386211824</v>
      </c>
      <c r="X111" s="124">
        <f>100*(O111/OBR_NOV22_1.1!R111)</f>
        <v>91.375647647387922</v>
      </c>
    </row>
    <row r="112" spans="1:31">
      <c r="B112" s="160" t="s">
        <v>202</v>
      </c>
      <c r="C112" s="122">
        <v>1212.595</v>
      </c>
      <c r="D112" s="122">
        <v>371.00599999999997</v>
      </c>
      <c r="E112" s="122">
        <v>313.91899999999998</v>
      </c>
      <c r="F112" s="122">
        <v>50.77</v>
      </c>
      <c r="G112" s="122">
        <v>6.8369999999999997</v>
      </c>
      <c r="H112" s="122">
        <v>1904.357</v>
      </c>
      <c r="I112" s="122">
        <v>18.936</v>
      </c>
      <c r="J112" s="122">
        <v>1923.2929999999999</v>
      </c>
      <c r="K112" s="122">
        <v>530.13599999999997</v>
      </c>
      <c r="L112" s="122">
        <v>2453.4290000000001</v>
      </c>
      <c r="M112" s="122">
        <v>573.63499999999999</v>
      </c>
      <c r="N112" s="122">
        <v>0</v>
      </c>
      <c r="O112" s="122">
        <v>1879.7940000000001</v>
      </c>
      <c r="P112" s="155">
        <v>1842.366</v>
      </c>
      <c r="S112" s="124">
        <f>100*(C112/OBR_NOV22_1.1!C112)</f>
        <v>94.196402561941412</v>
      </c>
      <c r="T112" s="124">
        <f>100*(D112/OBR_NOV22_1.1!D112)</f>
        <v>93.170534478818482</v>
      </c>
      <c r="U112" s="124">
        <f>100*(E112/OBR_NOV22_1.1!E112)</f>
        <v>89.909236977697319</v>
      </c>
      <c r="V112" s="124">
        <f>100*(K112/OBR_NOV22_1.1!N112)</f>
        <v>90.186945301189652</v>
      </c>
      <c r="W112" s="124">
        <f>100*(M112/OBR_NOV22_1.1!P112)</f>
        <v>91.055631659901934</v>
      </c>
      <c r="X112" s="124">
        <f>100*(O112/OBR_NOV22_1.1!R112)</f>
        <v>92.381068454993212</v>
      </c>
    </row>
    <row r="113" spans="2:24">
      <c r="B113" s="160" t="s">
        <v>203</v>
      </c>
      <c r="C113" s="122">
        <v>1249.8219999999999</v>
      </c>
      <c r="D113" s="122">
        <v>376.42200000000003</v>
      </c>
      <c r="E113" s="122">
        <v>336.66899999999998</v>
      </c>
      <c r="F113" s="122">
        <v>50.120000000000005</v>
      </c>
      <c r="G113" s="122">
        <v>-1.3460000000000001</v>
      </c>
      <c r="H113" s="122">
        <v>1961.567</v>
      </c>
      <c r="I113" s="122">
        <v>3.1219999999999999</v>
      </c>
      <c r="J113" s="122">
        <v>1964.6890000000001</v>
      </c>
      <c r="K113" s="122">
        <v>534.17499999999995</v>
      </c>
      <c r="L113" s="122">
        <v>2498.864</v>
      </c>
      <c r="M113" s="122">
        <v>561.27499999999998</v>
      </c>
      <c r="N113" s="122">
        <v>0</v>
      </c>
      <c r="O113" s="122">
        <v>1937.5889999999999</v>
      </c>
      <c r="P113" s="155">
        <v>1891.0630000000001</v>
      </c>
      <c r="S113" s="124">
        <f>100*(C113/OBR_NOV22_1.1!C113)</f>
        <v>94.071875127015105</v>
      </c>
      <c r="T113" s="124">
        <f>100*(D113/OBR_NOV22_1.1!D113)</f>
        <v>93.108770610613391</v>
      </c>
      <c r="U113" s="124">
        <f>100*(E113/OBR_NOV22_1.1!E113)</f>
        <v>91.205090834222787</v>
      </c>
      <c r="V113" s="124">
        <f>100*(K113/OBR_NOV22_1.1!N113)</f>
        <v>87.683660890304921</v>
      </c>
      <c r="W113" s="124">
        <f>100*(M113/OBR_NOV22_1.1!P113)</f>
        <v>86.682460575715794</v>
      </c>
      <c r="X113" s="124">
        <f>100*(O113/OBR_NOV22_1.1!R113)</f>
        <v>93.1174133819556</v>
      </c>
    </row>
    <row r="114" spans="2:24">
      <c r="B114" s="160" t="s">
        <v>204</v>
      </c>
      <c r="C114" s="122">
        <v>1310.9680000000001</v>
      </c>
      <c r="D114" s="122">
        <v>384.24400000000003</v>
      </c>
      <c r="E114" s="122">
        <v>360.38200000000001</v>
      </c>
      <c r="F114" s="122">
        <v>53.142000000000003</v>
      </c>
      <c r="G114" s="122">
        <v>-0.17</v>
      </c>
      <c r="H114" s="122">
        <v>2055.424</v>
      </c>
      <c r="I114" s="122">
        <v>4.7729999999999997</v>
      </c>
      <c r="J114" s="122">
        <v>2060.1970000000001</v>
      </c>
      <c r="K114" s="122">
        <v>593.25099999999998</v>
      </c>
      <c r="L114" s="122">
        <v>2653.4459999999999</v>
      </c>
      <c r="M114" s="122">
        <v>631.76</v>
      </c>
      <c r="N114" s="122">
        <v>0</v>
      </c>
      <c r="O114" s="122">
        <v>2021.6859999999999</v>
      </c>
      <c r="P114" s="155">
        <v>1985.2470000000001</v>
      </c>
      <c r="S114" s="124">
        <f>100*(C114/OBR_NOV22_1.1!C114)</f>
        <v>95.526399011339564</v>
      </c>
      <c r="T114" s="124">
        <f>100*(D114/OBR_NOV22_1.1!D114)</f>
        <v>94.727240454402022</v>
      </c>
      <c r="U114" s="124">
        <f>100*(E114/OBR_NOV22_1.1!E114)</f>
        <v>93.20674101508348</v>
      </c>
      <c r="V114" s="124">
        <f>100*(K114/OBR_NOV22_1.1!N114)</f>
        <v>93.759640671622918</v>
      </c>
      <c r="W114" s="124">
        <f>100*(M114/OBR_NOV22_1.1!P114)</f>
        <v>93.447603607974457</v>
      </c>
      <c r="X114" s="124">
        <f>100*(O114/OBR_NOV22_1.1!R114)</f>
        <v>95.030031709800326</v>
      </c>
    </row>
    <row r="115" spans="2:24">
      <c r="B115" s="160" t="s">
        <v>205</v>
      </c>
      <c r="C115" s="122">
        <v>1358.848</v>
      </c>
      <c r="D115" s="122">
        <v>389.541</v>
      </c>
      <c r="E115" s="122">
        <v>381.952</v>
      </c>
      <c r="F115" s="122">
        <v>55.757999999999996</v>
      </c>
      <c r="G115" s="122">
        <v>1.855</v>
      </c>
      <c r="H115" s="122">
        <v>2132.1959999999999</v>
      </c>
      <c r="I115" s="122">
        <v>0.38200000000000001</v>
      </c>
      <c r="J115" s="122">
        <v>2132.578</v>
      </c>
      <c r="K115" s="122">
        <v>647.976</v>
      </c>
      <c r="L115" s="122">
        <v>2780.5529999999999</v>
      </c>
      <c r="M115" s="122">
        <v>678.29399999999998</v>
      </c>
      <c r="N115" s="122">
        <v>0</v>
      </c>
      <c r="O115" s="122">
        <v>2102.259</v>
      </c>
      <c r="P115" s="155">
        <v>2075.6889999999999</v>
      </c>
      <c r="S115" s="124">
        <f>100*(C115/OBR_NOV22_1.1!C115)</f>
        <v>97.178782476112019</v>
      </c>
      <c r="T115" s="124">
        <f>100*(D115/OBR_NOV22_1.1!D115)</f>
        <v>95.580921160787241</v>
      </c>
      <c r="U115" s="124">
        <f>100*(E115/OBR_NOV22_1.1!E115)</f>
        <v>95.949517177624372</v>
      </c>
      <c r="V115" s="124">
        <f>100*(K115/OBR_NOV22_1.1!N115)</f>
        <v>95.869470656641425</v>
      </c>
      <c r="W115" s="124">
        <f>100*(M115/OBR_NOV22_1.1!P115)</f>
        <v>96.773199450429516</v>
      </c>
      <c r="X115" s="124">
        <f>100*(O115/OBR_NOV22_1.1!R115)</f>
        <v>96.612854452421502</v>
      </c>
    </row>
    <row r="116" spans="2:24">
      <c r="B116" s="160" t="s">
        <v>206</v>
      </c>
      <c r="C116" s="122">
        <v>1412.4159999999999</v>
      </c>
      <c r="D116" s="122">
        <v>402.666</v>
      </c>
      <c r="E116" s="122">
        <v>390.351</v>
      </c>
      <c r="F116" s="122">
        <v>58.896000000000001</v>
      </c>
      <c r="G116" s="122">
        <v>14.064</v>
      </c>
      <c r="H116" s="122">
        <v>2219.4969999999998</v>
      </c>
      <c r="I116" s="122">
        <v>10.356999999999999</v>
      </c>
      <c r="J116" s="122">
        <v>2229.8539999999998</v>
      </c>
      <c r="K116" s="122">
        <v>677.93100000000004</v>
      </c>
      <c r="L116" s="122">
        <v>2907.7849999999999</v>
      </c>
      <c r="M116" s="122">
        <v>731.101</v>
      </c>
      <c r="N116" s="122">
        <v>0</v>
      </c>
      <c r="O116" s="122">
        <v>2176.6840000000002</v>
      </c>
      <c r="P116" s="155">
        <v>2155.6610000000001</v>
      </c>
      <c r="S116" s="124">
        <f>100*(C116/OBR_NOV22_1.1!C116)</f>
        <v>98.687190164930954</v>
      </c>
      <c r="T116" s="124">
        <f>100*(D116/OBR_NOV22_1.1!D116)</f>
        <v>97.822553804518137</v>
      </c>
      <c r="U116" s="124">
        <f>100*(E116/OBR_NOV22_1.1!E116)</f>
        <v>98.042667979424522</v>
      </c>
      <c r="V116" s="124">
        <f>100*(K116/OBR_NOV22_1.1!N116)</f>
        <v>98.645451370700201</v>
      </c>
      <c r="W116" s="124">
        <f>100*(M116/OBR_NOV22_1.1!P116)</f>
        <v>99.025056244150406</v>
      </c>
      <c r="X116" s="124">
        <f>100*(O116/OBR_NOV22_1.1!R116)</f>
        <v>98.338528819133856</v>
      </c>
    </row>
    <row r="117" spans="2:24">
      <c r="B117" s="160" t="s">
        <v>207</v>
      </c>
      <c r="C117" s="122">
        <v>1433.5909999999999</v>
      </c>
      <c r="D117" s="122">
        <v>431.584</v>
      </c>
      <c r="E117" s="122">
        <v>401.47199999999998</v>
      </c>
      <c r="F117" s="122">
        <v>60.916000000000004</v>
      </c>
      <c r="G117" s="122">
        <v>-7.7149999999999999</v>
      </c>
      <c r="H117" s="122">
        <v>2258.9319999999998</v>
      </c>
      <c r="I117" s="122">
        <v>-5.9349999999999996</v>
      </c>
      <c r="J117" s="122">
        <v>2252.9969999999998</v>
      </c>
      <c r="K117" s="122">
        <v>700.23800000000006</v>
      </c>
      <c r="L117" s="122">
        <v>2953.2359999999999</v>
      </c>
      <c r="M117" s="122">
        <v>706.12199999999996</v>
      </c>
      <c r="N117" s="122">
        <v>0</v>
      </c>
      <c r="O117" s="122">
        <v>2247.114</v>
      </c>
      <c r="P117" s="155">
        <v>2237.029</v>
      </c>
      <c r="S117" s="124">
        <f>100*(C117/OBR_NOV22_1.1!C117)</f>
        <v>100.34163686122446</v>
      </c>
      <c r="T117" s="124">
        <f>100*(D117/OBR_NOV22_1.1!D117)</f>
        <v>101.54105318633333</v>
      </c>
      <c r="U117" s="124">
        <f>100*(E117/OBR_NOV22_1.1!E117)</f>
        <v>100.59584959934251</v>
      </c>
      <c r="V117" s="124">
        <f>100*(K117/OBR_NOV22_1.1!N117)</f>
        <v>100.47955505556068</v>
      </c>
      <c r="W117" s="124">
        <f>100*(M117/OBR_NOV22_1.1!P117)</f>
        <v>99.993344369407325</v>
      </c>
      <c r="X117" s="124">
        <f>100*(O117/OBR_NOV22_1.1!R117)</f>
        <v>100.88484132881088</v>
      </c>
    </row>
    <row r="118" spans="2:24">
      <c r="B118" s="160" t="s">
        <v>208</v>
      </c>
      <c r="C118" s="122">
        <v>1222.383</v>
      </c>
      <c r="D118" s="122">
        <v>494.99299999999999</v>
      </c>
      <c r="E118" s="122">
        <v>362.67200000000003</v>
      </c>
      <c r="F118" s="122">
        <v>70.691000000000003</v>
      </c>
      <c r="G118" s="122">
        <v>8.5790000000000006</v>
      </c>
      <c r="H118" s="122">
        <v>2088.627</v>
      </c>
      <c r="I118" s="122">
        <v>1.49</v>
      </c>
      <c r="J118" s="122">
        <v>2090.1170000000002</v>
      </c>
      <c r="K118" s="122">
        <v>594.76900000000001</v>
      </c>
      <c r="L118" s="122">
        <v>2684.8879999999999</v>
      </c>
      <c r="M118" s="122">
        <v>594.41499999999996</v>
      </c>
      <c r="N118" s="122">
        <v>-0.621</v>
      </c>
      <c r="O118" s="122">
        <v>2089.8519999999999</v>
      </c>
      <c r="P118" s="155">
        <v>2047.02</v>
      </c>
      <c r="S118" s="124">
        <f>100*(C118/OBR_NOV22_1.1!C118)</f>
        <v>101.43263979129016</v>
      </c>
      <c r="T118" s="124">
        <f>100*(D118/OBR_NOV22_1.1!D118)</f>
        <v>125.31278005903708</v>
      </c>
      <c r="U118" s="124">
        <f>100*(E118/OBR_NOV22_1.1!E118)</f>
        <v>101.58566542767591</v>
      </c>
      <c r="V118" s="124">
        <f>100*(K118/OBR_NOV22_1.1!N118)</f>
        <v>100.49472746903308</v>
      </c>
      <c r="W118" s="124">
        <f>100*(M118/OBR_NOV22_1.1!P118)</f>
        <v>98.878660447537754</v>
      </c>
      <c r="X118" s="124">
        <f>100*(O118/OBR_NOV22_1.1!R118)</f>
        <v>107.24961215485887</v>
      </c>
    </row>
    <row r="119" spans="2:24">
      <c r="B119" s="160" t="s">
        <v>33</v>
      </c>
      <c r="C119" s="122">
        <v>1440.9739999999999</v>
      </c>
      <c r="D119" s="122">
        <v>513.68200000000002</v>
      </c>
      <c r="E119" s="122">
        <v>403.65899999999999</v>
      </c>
      <c r="F119" s="122">
        <v>73.187999999999988</v>
      </c>
      <c r="G119" s="122">
        <v>7.9459999999999997</v>
      </c>
      <c r="H119" s="122">
        <v>2366.261</v>
      </c>
      <c r="I119" s="122">
        <v>29.936</v>
      </c>
      <c r="J119" s="122">
        <v>2396.1970000000001</v>
      </c>
      <c r="K119" s="122">
        <v>663.88800000000003</v>
      </c>
      <c r="L119" s="122">
        <v>3060.085</v>
      </c>
      <c r="M119" s="122">
        <v>709.51</v>
      </c>
      <c r="N119" s="122">
        <v>-3.1960000000000002</v>
      </c>
      <c r="O119" s="122">
        <v>2347.3789999999999</v>
      </c>
      <c r="P119" s="155">
        <v>2336.1419999999998</v>
      </c>
      <c r="S119" s="124">
        <f>100*(C119/OBR_NOV22_1.1!C119)</f>
        <v>104.9080527301703</v>
      </c>
      <c r="T119" s="124">
        <f>100*(D119/OBR_NOV22_1.1!D119)</f>
        <v>113.46797404966966</v>
      </c>
      <c r="U119" s="124">
        <f>100*(E119/OBR_NOV22_1.1!E119)</f>
        <v>103.85942432826721</v>
      </c>
      <c r="V119" s="124">
        <f>100*(K119/OBR_NOV22_1.1!N119)</f>
        <v>106.00802858867378</v>
      </c>
      <c r="W119" s="124">
        <f>100*(M119/OBR_NOV22_1.1!P119)</f>
        <v>106.38495667441863</v>
      </c>
      <c r="X119" s="124">
        <f>100*(O119/OBR_NOV22_1.1!R119)</f>
        <v>106.87363811608601</v>
      </c>
    </row>
    <row r="120" spans="2:24">
      <c r="B120" s="160" t="s">
        <v>5</v>
      </c>
      <c r="C120" s="122">
        <v>1583.001444</v>
      </c>
      <c r="D120" s="122">
        <v>517.73474615011901</v>
      </c>
      <c r="E120" s="122">
        <v>433.73943200000002</v>
      </c>
      <c r="F120" s="122">
        <v>78.34342070000001</v>
      </c>
      <c r="G120" s="122">
        <v>4.9826790119999993</v>
      </c>
      <c r="H120" s="122">
        <v>2539.4583011621189</v>
      </c>
      <c r="I120" s="122">
        <v>38.513844169999999</v>
      </c>
      <c r="J120" s="122">
        <v>2577.9721453321185</v>
      </c>
      <c r="K120" s="122">
        <v>746.57275199999992</v>
      </c>
      <c r="L120" s="122">
        <v>3324.5448969999998</v>
      </c>
      <c r="M120" s="122">
        <v>828.98113999999987</v>
      </c>
      <c r="N120" s="122">
        <v>-2.2277173699999997</v>
      </c>
      <c r="O120" s="122">
        <v>2493.3360400000001</v>
      </c>
      <c r="P120" s="155">
        <v>2461.5118030000003</v>
      </c>
      <c r="S120" s="124">
        <f>100*(C120/OBR_NOV22_1.1!C120)</f>
        <v>114.18813425075878</v>
      </c>
      <c r="T120" s="124">
        <f>100*(D120/OBR_NOV22_1.1!D120)</f>
        <v>113.06270935236407</v>
      </c>
      <c r="U120" s="124">
        <f>100*(E120/OBR_NOV22_1.1!E120)</f>
        <v>109.29908399770973</v>
      </c>
      <c r="V120" s="124">
        <f>100*(K120/OBR_NOV22_1.1!N120)</f>
        <v>115.57712691060927</v>
      </c>
      <c r="W120" s="124">
        <f>100*(M120/OBR_NOV22_1.1!P120)</f>
        <v>119.99776450864672</v>
      </c>
      <c r="X120" s="124">
        <f>100*(O120/OBR_NOV22_1.1!R120)</f>
        <v>112.04169718278756</v>
      </c>
    </row>
    <row r="121" spans="2:24">
      <c r="B121" s="160" t="s">
        <v>6</v>
      </c>
      <c r="C121" s="122">
        <v>1631.3325559999998</v>
      </c>
      <c r="D121" s="122">
        <v>542.83444168819904</v>
      </c>
      <c r="E121" s="122">
        <v>436.35046300000005</v>
      </c>
      <c r="F121" s="122">
        <v>87.5936691</v>
      </c>
      <c r="G121" s="122">
        <v>3.204513194</v>
      </c>
      <c r="H121" s="122">
        <v>2613.7219738821991</v>
      </c>
      <c r="I121" s="122">
        <v>7.5127011759999993</v>
      </c>
      <c r="J121" s="122">
        <v>2621.2346750581992</v>
      </c>
      <c r="K121" s="122">
        <v>713.13748699999996</v>
      </c>
      <c r="L121" s="122">
        <v>3334.3721629999995</v>
      </c>
      <c r="M121" s="122">
        <v>789.22659299999998</v>
      </c>
      <c r="N121" s="122">
        <v>-2.2994007120000002</v>
      </c>
      <c r="O121" s="122">
        <v>2542.8461689999999</v>
      </c>
      <c r="P121" s="155">
        <v>2513.4455109999999</v>
      </c>
      <c r="S121" s="124">
        <f>100*(C121/OBR_NOV22_1.1!C121)</f>
        <v>119.82441904541786</v>
      </c>
      <c r="T121" s="124">
        <f>100*(D121/OBR_NOV22_1.1!D121)</f>
        <v>113.36767233218569</v>
      </c>
      <c r="U121" s="124">
        <f>100*(E121/OBR_NOV22_1.1!E121)</f>
        <v>111.26847546853296</v>
      </c>
      <c r="V121" s="124">
        <f>100*(K121/OBR_NOV22_1.1!N121)</f>
        <v>114.25186639549267</v>
      </c>
      <c r="W121" s="124">
        <f>100*(M121/OBR_NOV22_1.1!P121)</f>
        <v>118.84462316659148</v>
      </c>
      <c r="X121" s="124">
        <f>100*(O121/OBR_NOV22_1.1!R121)</f>
        <v>115.66461821664116</v>
      </c>
    </row>
    <row r="122" spans="2:24">
      <c r="B122" s="160" t="s">
        <v>7</v>
      </c>
      <c r="C122" s="122">
        <v>1667.9488800000001</v>
      </c>
      <c r="D122" s="122">
        <v>554.23578427322104</v>
      </c>
      <c r="E122" s="122">
        <v>451.65452199999999</v>
      </c>
      <c r="F122" s="122">
        <v>86.022149600000006</v>
      </c>
      <c r="G122" s="122">
        <v>3.2435382500000007</v>
      </c>
      <c r="H122" s="122">
        <v>2677.0827245232213</v>
      </c>
      <c r="I122" s="122">
        <v>11.24450809</v>
      </c>
      <c r="J122" s="122">
        <v>2688.327232613221</v>
      </c>
      <c r="K122" s="122">
        <v>706.88391100000001</v>
      </c>
      <c r="L122" s="122">
        <v>3395.2111450000002</v>
      </c>
      <c r="M122" s="122">
        <v>764.09016000000008</v>
      </c>
      <c r="N122" s="122">
        <v>-2.3296461529999997</v>
      </c>
      <c r="O122" s="122">
        <v>2628.791338</v>
      </c>
      <c r="P122" s="155">
        <v>2595.9519780000001</v>
      </c>
      <c r="S122" s="124">
        <f>100*(C122/OBR_NOV22_1.1!C122)</f>
        <v>120.17209448010983</v>
      </c>
      <c r="T122" s="124">
        <f>100*(D122/OBR_NOV22_1.1!D122)</f>
        <v>114.56378735639731</v>
      </c>
      <c r="U122" s="124">
        <f>100*(E122/OBR_NOV22_1.1!E122)</f>
        <v>112.62811951635004</v>
      </c>
      <c r="V122" s="124">
        <f>100*(K122/OBR_NOV22_1.1!N122)</f>
        <v>112.2553862102873</v>
      </c>
      <c r="W122" s="124">
        <f>100*(M122/OBR_NOV22_1.1!P122)</f>
        <v>114.45462819168257</v>
      </c>
      <c r="X122" s="124">
        <f>100*(O122/OBR_NOV22_1.1!R122)</f>
        <v>117.18826047217301</v>
      </c>
    </row>
    <row r="123" spans="2:24">
      <c r="B123" s="160" t="s">
        <v>8</v>
      </c>
      <c r="C123" s="122">
        <v>1697.1573769999998</v>
      </c>
      <c r="D123" s="122">
        <v>566.24505268742098</v>
      </c>
      <c r="E123" s="122">
        <v>481.01856899999996</v>
      </c>
      <c r="F123" s="122">
        <v>86.837976300000008</v>
      </c>
      <c r="G123" s="122">
        <v>3.2849304340000001</v>
      </c>
      <c r="H123" s="122">
        <v>2747.7059291214214</v>
      </c>
      <c r="I123" s="122">
        <v>11.44855342</v>
      </c>
      <c r="J123" s="122">
        <v>2759.1544825414212</v>
      </c>
      <c r="K123" s="122">
        <v>710.21271300000001</v>
      </c>
      <c r="L123" s="122">
        <v>3469.3671949999998</v>
      </c>
      <c r="M123" s="122">
        <v>754.57340399999998</v>
      </c>
      <c r="N123" s="122">
        <v>-2.3420383889999998</v>
      </c>
      <c r="O123" s="122">
        <v>2712.4517529999998</v>
      </c>
      <c r="P123" s="155">
        <v>2680.1378189999996</v>
      </c>
      <c r="S123" s="124">
        <f>100*(C123/OBR_NOV22_1.1!C123)</f>
        <v>119.52750224174453</v>
      </c>
      <c r="T123" s="124">
        <f>100*(D123/OBR_NOV22_1.1!D123)</f>
        <v>115.88531286887201</v>
      </c>
      <c r="U123" s="124">
        <f>100*(E123/OBR_NOV22_1.1!E123)</f>
        <v>114.06634169568592</v>
      </c>
      <c r="V123" s="124">
        <f>100*(K123/OBR_NOV22_1.1!N123)</f>
        <v>111.69224972592289</v>
      </c>
      <c r="W123" s="124">
        <f>100*(M123/OBR_NOV22_1.1!P123)</f>
        <v>112.26869672240586</v>
      </c>
      <c r="X123" s="124">
        <f>100*(O123/OBR_NOV22_1.1!R123)</f>
        <v>117.80966887025519</v>
      </c>
    </row>
    <row r="124" spans="2:24">
      <c r="B124" s="160" t="s">
        <v>9</v>
      </c>
      <c r="C124" s="122">
        <v>1752.279722</v>
      </c>
      <c r="D124" s="122">
        <v>583.89382313634803</v>
      </c>
      <c r="E124" s="122">
        <v>510.23900400000002</v>
      </c>
      <c r="F124" s="122">
        <v>87.224827699999992</v>
      </c>
      <c r="G124" s="122">
        <v>3.3371211090000004</v>
      </c>
      <c r="H124" s="122">
        <v>2849.7496702453482</v>
      </c>
      <c r="I124" s="122">
        <v>11.320691790000001</v>
      </c>
      <c r="J124" s="122">
        <v>2861.0703620353479</v>
      </c>
      <c r="K124" s="122">
        <v>718.61883</v>
      </c>
      <c r="L124" s="122">
        <v>3579.6891909999995</v>
      </c>
      <c r="M124" s="122">
        <v>760.35353999999995</v>
      </c>
      <c r="N124" s="122">
        <v>-2.3705121230000001</v>
      </c>
      <c r="O124" s="122">
        <v>2816.9651370000001</v>
      </c>
      <c r="P124" s="155">
        <v>2784.651957</v>
      </c>
      <c r="S124" s="124">
        <f>100*(C124/OBR_NOV22_1.1!C124)</f>
        <v>120.73150477135182</v>
      </c>
      <c r="T124" s="124">
        <f>100*(D124/OBR_NOV22_1.1!D124)</f>
        <v>117.47230324986675</v>
      </c>
      <c r="U124" s="124">
        <f>100*(E124/OBR_NOV22_1.1!E124)</f>
        <v>115.87765039292594</v>
      </c>
      <c r="V124" s="124">
        <f>100*(K124/OBR_NOV22_1.1!N124)</f>
        <v>112.54107448174177</v>
      </c>
      <c r="W124" s="124">
        <f>100*(M124/OBR_NOV22_1.1!P124)</f>
        <v>112.94276519873658</v>
      </c>
      <c r="X124" s="124">
        <f>100*(O124/OBR_NOV22_1.1!R124)</f>
        <v>119.24481544866812</v>
      </c>
    </row>
    <row r="125" spans="2:24" ht="15.75" thickBot="1">
      <c r="B125" s="162" t="s">
        <v>10</v>
      </c>
      <c r="C125" s="170">
        <v>1816.927248</v>
      </c>
      <c r="D125" s="170">
        <v>601.57149349394103</v>
      </c>
      <c r="E125" s="170">
        <v>535.79449099999999</v>
      </c>
      <c r="F125" s="170">
        <v>87.622078200000004</v>
      </c>
      <c r="G125" s="170">
        <v>3.3954062729999994</v>
      </c>
      <c r="H125" s="170">
        <v>2957.6886387669415</v>
      </c>
      <c r="I125" s="170">
        <v>12.120180940000001</v>
      </c>
      <c r="J125" s="170">
        <v>2969.808819706941</v>
      </c>
      <c r="K125" s="170">
        <v>727.90759400000002</v>
      </c>
      <c r="L125" s="170">
        <v>3697.716414</v>
      </c>
      <c r="M125" s="170">
        <v>767.90000600000008</v>
      </c>
      <c r="N125" s="170">
        <v>-2.413105056</v>
      </c>
      <c r="O125" s="170">
        <v>2927.4033030000001</v>
      </c>
      <c r="P125" s="173">
        <v>2895.5760760000003</v>
      </c>
      <c r="S125" s="124">
        <f>100*(C125/OBR_NOV22_1.1!C125)</f>
        <v>122.99042357947627</v>
      </c>
      <c r="T125" s="124">
        <f>100*(D125/OBR_NOV22_1.1!D125)</f>
        <v>119.23051667142622</v>
      </c>
      <c r="U125" s="124">
        <f>100*(E125/OBR_NOV22_1.1!E125)</f>
        <v>117.90063119621503</v>
      </c>
      <c r="V125" s="124">
        <f>100*(K125/OBR_NOV22_1.1!N125)</f>
        <v>113.72156486117476</v>
      </c>
      <c r="W125" s="124">
        <f>100*(M125/OBR_NOV22_1.1!P125)</f>
        <v>114.03787060841491</v>
      </c>
      <c r="X125" s="124">
        <f>100*(O125/OBR_NOV22_1.1!R125)</f>
        <v>121.38683851682637</v>
      </c>
    </row>
    <row r="126" spans="2:24">
      <c r="B126" s="592" t="s">
        <v>209</v>
      </c>
      <c r="C126" s="593"/>
      <c r="D126" s="593"/>
      <c r="E126" s="593"/>
      <c r="F126" s="593"/>
      <c r="G126" s="593"/>
      <c r="H126" s="593"/>
      <c r="I126" s="593"/>
      <c r="J126" s="593"/>
      <c r="K126" s="593"/>
      <c r="L126" s="593"/>
      <c r="M126" s="593"/>
      <c r="N126" s="593"/>
      <c r="O126" s="593"/>
      <c r="P126" s="597"/>
    </row>
    <row r="127" spans="2:24">
      <c r="B127" s="586" t="s">
        <v>236</v>
      </c>
      <c r="C127" s="587"/>
      <c r="D127" s="587"/>
      <c r="E127" s="587"/>
      <c r="F127" s="587"/>
      <c r="G127" s="587"/>
      <c r="H127" s="587"/>
      <c r="I127" s="587"/>
      <c r="J127" s="587"/>
      <c r="K127" s="587"/>
      <c r="L127" s="587"/>
      <c r="M127" s="587"/>
      <c r="N127" s="587"/>
      <c r="O127" s="587"/>
      <c r="P127" s="596"/>
    </row>
    <row r="128" spans="2:24">
      <c r="B128" s="586" t="s">
        <v>237</v>
      </c>
      <c r="C128" s="587"/>
      <c r="D128" s="587"/>
      <c r="E128" s="587"/>
      <c r="F128" s="587"/>
      <c r="G128" s="587"/>
      <c r="H128" s="587"/>
      <c r="I128" s="587"/>
      <c r="J128" s="587"/>
      <c r="K128" s="587"/>
      <c r="L128" s="587"/>
      <c r="M128" s="587"/>
      <c r="N128" s="587"/>
      <c r="O128" s="587"/>
      <c r="P128" s="596"/>
    </row>
    <row r="129" spans="2:16">
      <c r="B129" s="586" t="s">
        <v>238</v>
      </c>
      <c r="C129" s="587"/>
      <c r="D129" s="587"/>
      <c r="E129" s="587"/>
      <c r="F129" s="587"/>
      <c r="G129" s="587"/>
      <c r="H129" s="587"/>
      <c r="I129" s="587"/>
      <c r="J129" s="587"/>
      <c r="K129" s="587"/>
      <c r="L129" s="587"/>
      <c r="M129" s="587"/>
      <c r="N129" s="587"/>
      <c r="O129" s="587"/>
      <c r="P129" s="596"/>
    </row>
    <row r="130" spans="2:16">
      <c r="B130" s="141" t="s">
        <v>239</v>
      </c>
      <c r="C130" s="142"/>
      <c r="D130" s="142"/>
      <c r="E130" s="142"/>
      <c r="F130" s="142"/>
      <c r="G130" s="142"/>
      <c r="H130" s="142"/>
      <c r="I130" s="142"/>
      <c r="J130" s="142"/>
      <c r="K130" s="142"/>
      <c r="L130" s="142"/>
      <c r="M130" s="142"/>
      <c r="N130" s="142"/>
      <c r="O130" s="142"/>
      <c r="P130" s="164"/>
    </row>
    <row r="131" spans="2:16">
      <c r="B131" s="586" t="s">
        <v>240</v>
      </c>
      <c r="C131" s="587"/>
      <c r="D131" s="587"/>
      <c r="E131" s="587"/>
      <c r="F131" s="587"/>
      <c r="G131" s="587"/>
      <c r="H131" s="587"/>
      <c r="I131" s="587"/>
      <c r="J131" s="587"/>
      <c r="K131" s="587"/>
      <c r="L131" s="587"/>
      <c r="M131" s="587"/>
      <c r="N131" s="587"/>
      <c r="O131" s="587"/>
      <c r="P131" s="596"/>
    </row>
    <row r="132" spans="2:16">
      <c r="B132" s="592" t="s">
        <v>218</v>
      </c>
      <c r="C132" s="593"/>
      <c r="D132" s="593"/>
      <c r="E132" s="593"/>
      <c r="F132" s="593"/>
      <c r="G132" s="593"/>
      <c r="H132" s="593"/>
      <c r="I132" s="593"/>
      <c r="J132" s="593"/>
      <c r="K132" s="593"/>
      <c r="L132" s="593"/>
      <c r="M132" s="593"/>
      <c r="N132" s="593"/>
      <c r="O132" s="593"/>
      <c r="P132" s="597"/>
    </row>
    <row r="133" spans="2:16">
      <c r="B133" s="586" t="s">
        <v>241</v>
      </c>
      <c r="C133" s="587"/>
      <c r="D133" s="587"/>
      <c r="E133" s="587"/>
      <c r="F133" s="587"/>
      <c r="G133" s="587"/>
      <c r="H133" s="587"/>
      <c r="I133" s="587"/>
      <c r="J133" s="587"/>
      <c r="K133" s="587"/>
      <c r="L133" s="587"/>
      <c r="M133" s="587"/>
      <c r="N133" s="587"/>
      <c r="O133" s="587"/>
      <c r="P133" s="596"/>
    </row>
    <row r="134" spans="2:16">
      <c r="B134" s="586" t="s">
        <v>220</v>
      </c>
      <c r="C134" s="587"/>
      <c r="D134" s="587"/>
      <c r="E134" s="587"/>
      <c r="F134" s="587"/>
      <c r="G134" s="587"/>
      <c r="H134" s="587"/>
      <c r="I134" s="587"/>
      <c r="J134" s="587"/>
      <c r="K134" s="587"/>
      <c r="L134" s="587"/>
      <c r="M134" s="587"/>
      <c r="N134" s="587"/>
      <c r="O134" s="587"/>
      <c r="P134" s="596"/>
    </row>
    <row r="135" spans="2:16">
      <c r="B135" s="586" t="s">
        <v>242</v>
      </c>
      <c r="C135" s="587"/>
      <c r="D135" s="587"/>
      <c r="E135" s="587"/>
      <c r="F135" s="587"/>
      <c r="G135" s="587"/>
      <c r="H135" s="587"/>
      <c r="I135" s="587"/>
      <c r="J135" s="587"/>
      <c r="K135" s="587"/>
      <c r="L135" s="587"/>
      <c r="M135" s="587"/>
      <c r="N135" s="587"/>
      <c r="O135" s="587"/>
      <c r="P135" s="596"/>
    </row>
    <row r="136" spans="2:16">
      <c r="B136" s="586" t="s">
        <v>243</v>
      </c>
      <c r="C136" s="587"/>
      <c r="D136" s="587"/>
      <c r="E136" s="587"/>
      <c r="F136" s="587"/>
      <c r="G136" s="587"/>
      <c r="H136" s="587"/>
      <c r="I136" s="587"/>
      <c r="J136" s="587"/>
      <c r="K136" s="587"/>
      <c r="L136" s="587"/>
      <c r="M136" s="587"/>
      <c r="N136" s="587"/>
      <c r="O136" s="587"/>
      <c r="P136" s="596"/>
    </row>
    <row r="137" spans="2:16">
      <c r="B137" s="586" t="s">
        <v>244</v>
      </c>
      <c r="C137" s="587"/>
      <c r="D137" s="587"/>
      <c r="E137" s="587"/>
      <c r="F137" s="587"/>
      <c r="G137" s="587"/>
      <c r="H137" s="587"/>
      <c r="I137" s="587"/>
      <c r="J137" s="587"/>
      <c r="K137" s="587"/>
      <c r="L137" s="587"/>
      <c r="M137" s="587"/>
      <c r="N137" s="587"/>
      <c r="O137" s="587"/>
      <c r="P137" s="596"/>
    </row>
    <row r="138" spans="2:16">
      <c r="B138" s="586" t="s">
        <v>245</v>
      </c>
      <c r="C138" s="587"/>
      <c r="D138" s="587"/>
      <c r="E138" s="587"/>
      <c r="F138" s="587"/>
      <c r="G138" s="587"/>
      <c r="H138" s="587"/>
      <c r="I138" s="587"/>
      <c r="J138" s="587"/>
      <c r="K138" s="587"/>
      <c r="L138" s="587"/>
      <c r="M138" s="587"/>
      <c r="N138" s="587"/>
      <c r="O138" s="587"/>
      <c r="P138" s="596"/>
    </row>
    <row r="139" spans="2:16">
      <c r="B139" s="586" t="s">
        <v>246</v>
      </c>
      <c r="C139" s="587"/>
      <c r="D139" s="587"/>
      <c r="E139" s="587"/>
      <c r="F139" s="587"/>
      <c r="G139" s="587"/>
      <c r="H139" s="587"/>
      <c r="I139" s="587"/>
      <c r="J139" s="587"/>
      <c r="K139" s="587"/>
      <c r="L139" s="587"/>
      <c r="M139" s="587"/>
      <c r="N139" s="587"/>
      <c r="O139" s="587"/>
      <c r="P139" s="596"/>
    </row>
    <row r="140" spans="2:16" ht="15.75" thickBot="1">
      <c r="B140" s="589" t="s">
        <v>247</v>
      </c>
      <c r="C140" s="590"/>
      <c r="D140" s="590"/>
      <c r="E140" s="590"/>
      <c r="F140" s="590"/>
      <c r="G140" s="590"/>
      <c r="H140" s="590"/>
      <c r="I140" s="590"/>
      <c r="J140" s="590"/>
      <c r="K140" s="590"/>
      <c r="L140" s="590"/>
      <c r="M140" s="590"/>
      <c r="N140" s="590"/>
      <c r="O140" s="590"/>
      <c r="P140" s="595"/>
    </row>
    <row r="141" spans="2:16">
      <c r="C141" s="167"/>
      <c r="D141" s="167"/>
      <c r="E141" s="167"/>
      <c r="F141" s="167"/>
      <c r="G141" s="167"/>
      <c r="H141" s="167"/>
      <c r="I141" s="167"/>
      <c r="J141" s="167"/>
      <c r="K141" s="167"/>
      <c r="L141" s="167"/>
      <c r="M141" s="167"/>
      <c r="N141" s="167"/>
      <c r="O141" s="167"/>
      <c r="P141" s="167"/>
    </row>
    <row r="142" spans="2:16">
      <c r="C142" s="167"/>
      <c r="D142" s="167"/>
      <c r="E142" s="167"/>
      <c r="F142" s="167"/>
      <c r="G142" s="167"/>
      <c r="H142" s="167"/>
      <c r="I142" s="167"/>
      <c r="J142" s="167"/>
      <c r="K142" s="167"/>
      <c r="L142" s="167"/>
      <c r="M142" s="167"/>
      <c r="N142" s="167"/>
      <c r="O142" s="167"/>
      <c r="P142" s="167"/>
    </row>
    <row r="143" spans="2:16">
      <c r="C143" s="167"/>
      <c r="D143" s="167"/>
      <c r="E143" s="167"/>
      <c r="F143" s="167"/>
      <c r="G143" s="167"/>
      <c r="H143" s="167"/>
      <c r="I143" s="167"/>
      <c r="J143" s="167"/>
      <c r="K143" s="167"/>
      <c r="L143" s="167"/>
      <c r="M143" s="167"/>
      <c r="N143" s="167"/>
      <c r="O143" s="167"/>
      <c r="P143" s="167"/>
    </row>
    <row r="144" spans="2:16">
      <c r="C144" s="167"/>
      <c r="D144" s="167"/>
      <c r="E144" s="167"/>
      <c r="F144" s="167"/>
      <c r="G144" s="167"/>
      <c r="H144" s="167"/>
      <c r="I144" s="167"/>
      <c r="J144" s="167"/>
      <c r="K144" s="167"/>
      <c r="L144" s="167"/>
      <c r="M144" s="167"/>
      <c r="N144" s="167"/>
      <c r="O144" s="167"/>
      <c r="P144" s="167"/>
    </row>
    <row r="145" spans="3:16">
      <c r="C145" s="167"/>
      <c r="D145" s="167"/>
      <c r="E145" s="167"/>
      <c r="F145" s="167"/>
      <c r="G145" s="167"/>
      <c r="H145" s="167"/>
      <c r="I145" s="167"/>
      <c r="J145" s="167"/>
      <c r="K145" s="167"/>
      <c r="L145" s="167"/>
      <c r="M145" s="167"/>
      <c r="N145" s="167"/>
      <c r="O145" s="167"/>
      <c r="P145" s="167"/>
    </row>
    <row r="146" spans="3:16">
      <c r="C146" s="167"/>
      <c r="D146" s="167"/>
      <c r="E146" s="167"/>
      <c r="F146" s="167"/>
      <c r="G146" s="167"/>
      <c r="H146" s="167"/>
      <c r="I146" s="167"/>
      <c r="J146" s="167"/>
      <c r="K146" s="167"/>
      <c r="L146" s="167"/>
      <c r="M146" s="167"/>
      <c r="N146" s="167"/>
      <c r="O146" s="167"/>
      <c r="P146" s="167"/>
    </row>
    <row r="147" spans="3:16">
      <c r="C147" s="167"/>
      <c r="D147" s="167"/>
      <c r="E147" s="167"/>
      <c r="F147" s="167"/>
      <c r="G147" s="167"/>
      <c r="H147" s="167"/>
      <c r="I147" s="167"/>
      <c r="J147" s="167"/>
      <c r="K147" s="167"/>
      <c r="L147" s="167"/>
      <c r="M147" s="167"/>
      <c r="N147" s="167"/>
      <c r="O147" s="167"/>
      <c r="P147" s="167"/>
    </row>
    <row r="148" spans="3:16">
      <c r="C148" s="167"/>
      <c r="D148" s="167"/>
      <c r="E148" s="167"/>
      <c r="F148" s="167"/>
      <c r="G148" s="167"/>
      <c r="H148" s="167"/>
      <c r="I148" s="167"/>
      <c r="J148" s="167"/>
      <c r="K148" s="167"/>
      <c r="L148" s="167"/>
      <c r="M148" s="167"/>
      <c r="N148" s="167"/>
      <c r="O148" s="167"/>
      <c r="P148" s="167"/>
    </row>
    <row r="149" spans="3:16">
      <c r="C149" s="167"/>
      <c r="D149" s="167"/>
      <c r="E149" s="167"/>
      <c r="F149" s="167"/>
      <c r="G149" s="167"/>
      <c r="H149" s="167"/>
      <c r="I149" s="167"/>
      <c r="J149" s="167"/>
      <c r="K149" s="167"/>
      <c r="L149" s="167"/>
      <c r="M149" s="167"/>
      <c r="N149" s="167"/>
      <c r="O149" s="167"/>
      <c r="P149" s="167"/>
    </row>
    <row r="150" spans="3:16">
      <c r="C150" s="167"/>
      <c r="D150" s="167"/>
      <c r="E150" s="167"/>
      <c r="F150" s="167"/>
      <c r="G150" s="167"/>
      <c r="H150" s="167"/>
      <c r="I150" s="167"/>
      <c r="J150" s="167"/>
      <c r="K150" s="167"/>
      <c r="L150" s="167"/>
      <c r="M150" s="167"/>
      <c r="N150" s="167"/>
      <c r="O150" s="167"/>
      <c r="P150" s="167"/>
    </row>
    <row r="151" spans="3:16">
      <c r="C151" s="167"/>
      <c r="D151" s="167"/>
      <c r="E151" s="167"/>
      <c r="F151" s="167"/>
      <c r="G151" s="167"/>
      <c r="H151" s="167"/>
      <c r="I151" s="167"/>
      <c r="J151" s="167"/>
      <c r="K151" s="167"/>
      <c r="L151" s="167"/>
      <c r="M151" s="167"/>
      <c r="N151" s="167"/>
      <c r="O151" s="167"/>
      <c r="P151" s="167"/>
    </row>
    <row r="152" spans="3:16">
      <c r="C152" s="167"/>
      <c r="D152" s="167"/>
      <c r="E152" s="167"/>
      <c r="F152" s="167"/>
      <c r="G152" s="167"/>
      <c r="H152" s="167"/>
      <c r="I152" s="167"/>
      <c r="J152" s="167"/>
      <c r="K152" s="167"/>
      <c r="L152" s="167"/>
      <c r="M152" s="167"/>
      <c r="N152" s="167"/>
      <c r="O152" s="167"/>
      <c r="P152" s="167"/>
    </row>
    <row r="153" spans="3:16">
      <c r="C153" s="167"/>
      <c r="D153" s="167"/>
      <c r="E153" s="167"/>
      <c r="F153" s="167"/>
      <c r="G153" s="167"/>
      <c r="H153" s="167"/>
      <c r="I153" s="167"/>
      <c r="J153" s="167"/>
      <c r="K153" s="167"/>
      <c r="L153" s="167"/>
      <c r="M153" s="167"/>
      <c r="N153" s="167"/>
      <c r="O153" s="167"/>
      <c r="P153" s="167"/>
    </row>
    <row r="154" spans="3:16">
      <c r="C154" s="167"/>
      <c r="D154" s="167"/>
      <c r="E154" s="167"/>
      <c r="F154" s="167"/>
      <c r="G154" s="167"/>
      <c r="H154" s="167"/>
      <c r="I154" s="167"/>
      <c r="J154" s="167"/>
      <c r="K154" s="167"/>
      <c r="L154" s="167"/>
      <c r="M154" s="167"/>
      <c r="N154" s="167"/>
      <c r="O154" s="167"/>
      <c r="P154" s="167"/>
    </row>
    <row r="155" spans="3:16">
      <c r="C155" s="167"/>
      <c r="D155" s="167"/>
      <c r="E155" s="167"/>
      <c r="F155" s="167"/>
      <c r="G155" s="167"/>
      <c r="H155" s="167"/>
      <c r="I155" s="167"/>
      <c r="J155" s="167"/>
      <c r="K155" s="167"/>
      <c r="L155" s="167"/>
      <c r="M155" s="167"/>
      <c r="N155" s="167"/>
      <c r="O155" s="167"/>
      <c r="P155" s="167"/>
    </row>
  </sheetData>
  <mergeCells count="28">
    <mergeCell ref="B127:P127"/>
    <mergeCell ref="B2:P2"/>
    <mergeCell ref="B3:B4"/>
    <mergeCell ref="C3:C4"/>
    <mergeCell ref="D3:D4"/>
    <mergeCell ref="G3:G4"/>
    <mergeCell ref="H3:H4"/>
    <mergeCell ref="I3:I4"/>
    <mergeCell ref="J3:J4"/>
    <mergeCell ref="K3:K4"/>
    <mergeCell ref="L3:L4"/>
    <mergeCell ref="M3:M4"/>
    <mergeCell ref="N3:N4"/>
    <mergeCell ref="O3:O4"/>
    <mergeCell ref="P3:P4"/>
    <mergeCell ref="B126:P126"/>
    <mergeCell ref="B140:P140"/>
    <mergeCell ref="B128:P128"/>
    <mergeCell ref="B129:P129"/>
    <mergeCell ref="B131:P131"/>
    <mergeCell ref="B132:P132"/>
    <mergeCell ref="B133:P133"/>
    <mergeCell ref="B134:P134"/>
    <mergeCell ref="B135:P135"/>
    <mergeCell ref="B136:P136"/>
    <mergeCell ref="B137:P137"/>
    <mergeCell ref="B138:P138"/>
    <mergeCell ref="B139:P139"/>
  </mergeCells>
  <hyperlinks>
    <hyperlink ref="A1" location="Contents!A1" display="Back to contents" xr:uid="{97D11FD0-96FC-4443-80B9-B5A3658C858F}"/>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8E1E5-ED69-461E-82FA-26AFAA3E8DA7}">
  <sheetPr codeName="Sheet26"/>
  <dimension ref="A1:J48"/>
  <sheetViews>
    <sheetView showGridLines="0" workbookViewId="0">
      <selection activeCell="H15" sqref="H15"/>
    </sheetView>
  </sheetViews>
  <sheetFormatPr defaultColWidth="9.140625" defaultRowHeight="12.75"/>
  <cols>
    <col min="1" max="1" width="9.140625" style="254"/>
    <col min="2" max="2" width="39.28515625" style="254" customWidth="1"/>
    <col min="3" max="10" width="7" style="254" customWidth="1"/>
    <col min="11" max="16384" width="9.140625" style="254"/>
  </cols>
  <sheetData>
    <row r="1" spans="1:10" ht="39.950000000000003" customHeight="1">
      <c r="A1" s="253" t="s">
        <v>0</v>
      </c>
    </row>
    <row r="2" spans="1:10" ht="17.25">
      <c r="B2" s="255" t="s">
        <v>256</v>
      </c>
    </row>
    <row r="3" spans="1:10" ht="13.5" thickBot="1">
      <c r="B3" s="256"/>
      <c r="C3" s="257"/>
      <c r="D3" s="257"/>
      <c r="E3" s="257"/>
      <c r="F3" s="257"/>
      <c r="G3" s="257"/>
      <c r="H3" s="257"/>
      <c r="I3" s="257"/>
      <c r="J3" s="258"/>
    </row>
    <row r="4" spans="1:10">
      <c r="B4" s="259"/>
      <c r="C4" s="601" t="s">
        <v>2</v>
      </c>
      <c r="D4" s="601"/>
      <c r="E4" s="601"/>
      <c r="F4" s="601"/>
      <c r="G4" s="601"/>
      <c r="H4" s="601"/>
      <c r="I4" s="601"/>
      <c r="J4" s="605"/>
    </row>
    <row r="5" spans="1:10">
      <c r="B5" s="260"/>
      <c r="C5" s="606" t="s">
        <v>3</v>
      </c>
      <c r="D5" s="606"/>
      <c r="E5" s="603" t="s">
        <v>4</v>
      </c>
      <c r="F5" s="603"/>
      <c r="G5" s="603"/>
      <c r="H5" s="603"/>
      <c r="I5" s="603"/>
      <c r="J5" s="607"/>
    </row>
    <row r="6" spans="1:10">
      <c r="B6" s="261"/>
      <c r="C6" s="262" t="s">
        <v>207</v>
      </c>
      <c r="D6" s="262" t="s">
        <v>208</v>
      </c>
      <c r="E6" s="263" t="s">
        <v>33</v>
      </c>
      <c r="F6" s="262" t="s">
        <v>5</v>
      </c>
      <c r="G6" s="262" t="s">
        <v>6</v>
      </c>
      <c r="H6" s="262" t="s">
        <v>7</v>
      </c>
      <c r="I6" s="263" t="s">
        <v>8</v>
      </c>
      <c r="J6" s="264" t="s">
        <v>9</v>
      </c>
    </row>
    <row r="7" spans="1:10">
      <c r="B7" s="265" t="s">
        <v>55</v>
      </c>
      <c r="C7" s="266"/>
      <c r="D7" s="267"/>
      <c r="E7" s="268"/>
      <c r="F7" s="268"/>
      <c r="G7" s="268"/>
      <c r="H7" s="268"/>
      <c r="I7" s="268"/>
      <c r="J7" s="269"/>
    </row>
    <row r="8" spans="1:10">
      <c r="B8" s="270" t="s">
        <v>56</v>
      </c>
      <c r="C8" s="271">
        <v>321.42631599999999</v>
      </c>
      <c r="D8" s="271">
        <v>434.51770399999998</v>
      </c>
      <c r="E8" s="271">
        <v>405.02778150003741</v>
      </c>
      <c r="F8" s="271">
        <v>406.97511250458422</v>
      </c>
      <c r="G8" s="271">
        <v>408.01899650695265</v>
      </c>
      <c r="H8" s="271">
        <v>419.09821051639335</v>
      </c>
      <c r="I8" s="271">
        <v>435.39390625973334</v>
      </c>
      <c r="J8" s="272">
        <v>451.57824723492359</v>
      </c>
    </row>
    <row r="9" spans="1:10">
      <c r="B9" s="273" t="s">
        <v>57</v>
      </c>
      <c r="C9" s="271">
        <v>468.22068400000012</v>
      </c>
      <c r="D9" s="271">
        <v>555.29329600000017</v>
      </c>
      <c r="E9" s="271">
        <v>528.79131053630249</v>
      </c>
      <c r="F9" s="271">
        <v>565.99556241129471</v>
      </c>
      <c r="G9" s="271">
        <v>560.75258129633733</v>
      </c>
      <c r="H9" s="271">
        <v>578.07422728012455</v>
      </c>
      <c r="I9" s="271">
        <v>595.46970280305152</v>
      </c>
      <c r="J9" s="272">
        <v>616.12204796561446</v>
      </c>
    </row>
    <row r="10" spans="1:10" ht="12.95" customHeight="1">
      <c r="B10" s="274" t="s">
        <v>18</v>
      </c>
      <c r="C10" s="271"/>
      <c r="D10" s="271"/>
      <c r="E10" s="271"/>
      <c r="F10" s="271"/>
      <c r="G10" s="271"/>
      <c r="H10" s="271"/>
      <c r="I10" s="271"/>
      <c r="J10" s="272"/>
    </row>
    <row r="11" spans="1:10" ht="12.95" customHeight="1">
      <c r="B11" s="275" t="s">
        <v>49</v>
      </c>
      <c r="C11" s="271">
        <v>227.01303999999999</v>
      </c>
      <c r="D11" s="271">
        <v>245.35029702734622</v>
      </c>
      <c r="E11" s="271">
        <v>244.70671766231737</v>
      </c>
      <c r="F11" s="271">
        <v>250.2942624794629</v>
      </c>
      <c r="G11" s="271">
        <v>270.77337953348479</v>
      </c>
      <c r="H11" s="271">
        <v>284.61814513578372</v>
      </c>
      <c r="I11" s="271">
        <v>295.96442087651843</v>
      </c>
      <c r="J11" s="272">
        <v>306.67313919828621</v>
      </c>
    </row>
    <row r="12" spans="1:10" ht="12.95" customHeight="1">
      <c r="B12" s="275" t="s">
        <v>257</v>
      </c>
      <c r="C12" s="271">
        <v>2.1629999999999998</v>
      </c>
      <c r="D12" s="271">
        <v>78.215000000000003</v>
      </c>
      <c r="E12" s="271">
        <v>16.992128301000001</v>
      </c>
      <c r="F12" s="271">
        <v>0</v>
      </c>
      <c r="G12" s="271">
        <v>0</v>
      </c>
      <c r="H12" s="271">
        <v>0</v>
      </c>
      <c r="I12" s="271">
        <v>0</v>
      </c>
      <c r="J12" s="272">
        <v>0</v>
      </c>
    </row>
    <row r="13" spans="1:10" ht="12.95" customHeight="1">
      <c r="B13" s="276" t="s">
        <v>58</v>
      </c>
      <c r="C13" s="271">
        <v>52.038699319434436</v>
      </c>
      <c r="D13" s="271">
        <v>40.868144762372296</v>
      </c>
      <c r="E13" s="271">
        <v>43.732286023120686</v>
      </c>
      <c r="F13" s="271">
        <v>57.912336599054818</v>
      </c>
      <c r="G13" s="271">
        <v>61.338377795579532</v>
      </c>
      <c r="H13" s="271">
        <v>63.574382841059119</v>
      </c>
      <c r="I13" s="271">
        <v>62.736601511084942</v>
      </c>
      <c r="J13" s="272">
        <v>64.761688566181022</v>
      </c>
    </row>
    <row r="14" spans="1:10" ht="12.95" customHeight="1">
      <c r="B14" s="277" t="s">
        <v>258</v>
      </c>
      <c r="C14" s="271">
        <v>36.819196634065939</v>
      </c>
      <c r="D14" s="271">
        <v>23.629588693482003</v>
      </c>
      <c r="E14" s="271">
        <v>53.537964720854681</v>
      </c>
      <c r="F14" s="271">
        <v>82.964528371870387</v>
      </c>
      <c r="G14" s="271">
        <v>50.638379110216285</v>
      </c>
      <c r="H14" s="271">
        <v>46.700893476693189</v>
      </c>
      <c r="I14" s="271">
        <v>46.874756383930389</v>
      </c>
      <c r="J14" s="272">
        <v>47.258583506138642</v>
      </c>
    </row>
    <row r="15" spans="1:10" ht="12.95" customHeight="1">
      <c r="B15" s="278" t="s">
        <v>60</v>
      </c>
      <c r="C15" s="271">
        <v>29.117925</v>
      </c>
      <c r="D15" s="271">
        <v>42.016107999999996</v>
      </c>
      <c r="E15" s="271">
        <v>42.235090555996329</v>
      </c>
      <c r="F15" s="271">
        <v>38.638111866621905</v>
      </c>
      <c r="G15" s="271">
        <v>39.235891853408319</v>
      </c>
      <c r="H15" s="271">
        <v>39.884936322809779</v>
      </c>
      <c r="I15" s="271">
        <v>42.276201276453612</v>
      </c>
      <c r="J15" s="272">
        <v>43.683322595309718</v>
      </c>
    </row>
    <row r="16" spans="1:10" ht="12.95" customHeight="1">
      <c r="B16" s="276" t="s">
        <v>61</v>
      </c>
      <c r="C16" s="271">
        <v>10.892244644285389</v>
      </c>
      <c r="D16" s="271">
        <v>10.394602460185098</v>
      </c>
      <c r="E16" s="271">
        <v>8.3649977458112623</v>
      </c>
      <c r="F16" s="271">
        <v>9.362698702063172</v>
      </c>
      <c r="G16" s="271">
        <v>4.6673954611868016</v>
      </c>
      <c r="H16" s="271">
        <v>1.8717656173549895</v>
      </c>
      <c r="I16" s="271">
        <v>0.96921184760563184</v>
      </c>
      <c r="J16" s="272">
        <v>0.49819973786639488</v>
      </c>
    </row>
    <row r="17" spans="2:10" ht="12.95" customHeight="1">
      <c r="B17" s="276" t="s">
        <v>250</v>
      </c>
      <c r="C17" s="271">
        <v>5.8253129999999951</v>
      </c>
      <c r="D17" s="271">
        <v>4.0942837775000092</v>
      </c>
      <c r="E17" s="271">
        <v>3.5899111338001042</v>
      </c>
      <c r="F17" s="271">
        <v>2.5162617854728264</v>
      </c>
      <c r="G17" s="271">
        <v>4.8236660477513915</v>
      </c>
      <c r="H17" s="271">
        <v>5.3028275988050932</v>
      </c>
      <c r="I17" s="271">
        <v>5.2406051827355462</v>
      </c>
      <c r="J17" s="272">
        <v>4.9431367805064275</v>
      </c>
    </row>
    <row r="18" spans="2:10" ht="12.95" customHeight="1">
      <c r="B18" s="276" t="s">
        <v>63</v>
      </c>
      <c r="C18" s="271">
        <v>7.3187616595216562</v>
      </c>
      <c r="D18" s="271">
        <v>8.6698144828229555</v>
      </c>
      <c r="E18" s="271">
        <v>9.1207653411365399</v>
      </c>
      <c r="F18" s="271">
        <v>10.514756309915388</v>
      </c>
      <c r="G18" s="271">
        <v>12.343375425481288</v>
      </c>
      <c r="H18" s="271">
        <v>13.649230977880674</v>
      </c>
      <c r="I18" s="271">
        <v>14.724020656059546</v>
      </c>
      <c r="J18" s="272">
        <v>15.600997741632009</v>
      </c>
    </row>
    <row r="19" spans="2:10" ht="12.95" customHeight="1">
      <c r="B19" s="276" t="s">
        <v>64</v>
      </c>
      <c r="C19" s="271">
        <v>3.7759420000000001</v>
      </c>
      <c r="D19" s="271">
        <v>3.4859318374085015</v>
      </c>
      <c r="E19" s="271">
        <v>4.0415044378241323</v>
      </c>
      <c r="F19" s="271">
        <v>4.1689532339537161</v>
      </c>
      <c r="G19" s="271">
        <v>4.1184457858370624</v>
      </c>
      <c r="H19" s="271">
        <v>4.147892252559279</v>
      </c>
      <c r="I19" s="271">
        <v>4.0811600007692821</v>
      </c>
      <c r="J19" s="272">
        <v>4.2173478818330077</v>
      </c>
    </row>
    <row r="20" spans="2:10" ht="12.95" customHeight="1">
      <c r="B20" s="276" t="s">
        <v>65</v>
      </c>
      <c r="C20" s="271">
        <v>1.2886759999999999</v>
      </c>
      <c r="D20" s="271">
        <v>1.4591800000000001</v>
      </c>
      <c r="E20" s="271">
        <v>1.3894169999999999</v>
      </c>
      <c r="F20" s="271">
        <v>1.2930629999999999</v>
      </c>
      <c r="G20" s="271">
        <v>1.2780809999999998</v>
      </c>
      <c r="H20" s="271">
        <v>1.2603659999999999</v>
      </c>
      <c r="I20" s="271">
        <v>1.1618569999999999</v>
      </c>
      <c r="J20" s="272">
        <v>1.018794</v>
      </c>
    </row>
    <row r="21" spans="2:10" ht="12.95" customHeight="1">
      <c r="B21" s="276" t="s">
        <v>66</v>
      </c>
      <c r="C21" s="271">
        <v>0.56105639837000632</v>
      </c>
      <c r="D21" s="271">
        <v>0.78675520026638013</v>
      </c>
      <c r="E21" s="271">
        <v>1.0523459312853356</v>
      </c>
      <c r="F21" s="271">
        <v>0.79688501757107288</v>
      </c>
      <c r="G21" s="271">
        <v>0.83652794223446036</v>
      </c>
      <c r="H21" s="271">
        <v>0.8602352509286848</v>
      </c>
      <c r="I21" s="271">
        <v>0.88453923233128418</v>
      </c>
      <c r="J21" s="272">
        <v>0.91231660587454178</v>
      </c>
    </row>
    <row r="22" spans="2:10" ht="12.95" customHeight="1">
      <c r="B22" s="279" t="s">
        <v>67</v>
      </c>
      <c r="C22" s="271">
        <v>0.38300000000000001</v>
      </c>
      <c r="D22" s="271">
        <v>0.40699999999999997</v>
      </c>
      <c r="E22" s="271">
        <v>0.43099999999999999</v>
      </c>
      <c r="F22" s="271">
        <v>0.45500000000000002</v>
      </c>
      <c r="G22" s="271">
        <v>0.47899999999999998</v>
      </c>
      <c r="H22" s="271">
        <v>0.503</v>
      </c>
      <c r="I22" s="271">
        <v>0.52700000000000002</v>
      </c>
      <c r="J22" s="272">
        <v>0.55100000000000005</v>
      </c>
    </row>
    <row r="23" spans="2:10" ht="12.95" customHeight="1">
      <c r="B23" s="279" t="s">
        <v>70</v>
      </c>
      <c r="C23" s="271">
        <v>15.699</v>
      </c>
      <c r="D23" s="271">
        <v>19.111000000000001</v>
      </c>
      <c r="E23" s="271">
        <v>19.239957723325663</v>
      </c>
      <c r="F23" s="271">
        <v>20.097634052070148</v>
      </c>
      <c r="G23" s="271">
        <v>21.063942794656445</v>
      </c>
      <c r="H23" s="271">
        <v>21.896455603566856</v>
      </c>
      <c r="I23" s="271">
        <v>22.758662029121794</v>
      </c>
      <c r="J23" s="272">
        <v>23.651965483892482</v>
      </c>
    </row>
    <row r="24" spans="2:10" ht="12.95" customHeight="1">
      <c r="B24" s="276" t="s">
        <v>71</v>
      </c>
      <c r="C24" s="271">
        <v>45.466999999999999</v>
      </c>
      <c r="D24" s="271">
        <v>46.666981042580382</v>
      </c>
      <c r="E24" s="271">
        <v>48.514182687078836</v>
      </c>
      <c r="F24" s="271">
        <v>50.254293556979157</v>
      </c>
      <c r="G24" s="271">
        <v>52.30058490174244</v>
      </c>
      <c r="H24" s="271">
        <v>54.381459095594721</v>
      </c>
      <c r="I24" s="271">
        <v>56.369471470346745</v>
      </c>
      <c r="J24" s="272">
        <v>58.805425619734812</v>
      </c>
    </row>
    <row r="25" spans="2:10" ht="12.95" customHeight="1">
      <c r="B25" s="276" t="s">
        <v>72</v>
      </c>
      <c r="C25" s="271">
        <v>16.166</v>
      </c>
      <c r="D25" s="271">
        <v>17.460999999999999</v>
      </c>
      <c r="E25" s="271">
        <v>18.891982057407137</v>
      </c>
      <c r="F25" s="271">
        <v>20.512399963588862</v>
      </c>
      <c r="G25" s="271">
        <v>20.836465123489923</v>
      </c>
      <c r="H25" s="271">
        <v>21.25621025850981</v>
      </c>
      <c r="I25" s="271">
        <v>21.972189899547331</v>
      </c>
      <c r="J25" s="272">
        <v>23.172897336043562</v>
      </c>
    </row>
    <row r="26" spans="2:10" ht="12.95" customHeight="1">
      <c r="B26" s="276" t="s">
        <v>73</v>
      </c>
      <c r="C26" s="271">
        <v>8.9610000000000003</v>
      </c>
      <c r="D26" s="271">
        <v>10.436999999999999</v>
      </c>
      <c r="E26" s="271">
        <v>8.4465026840427591</v>
      </c>
      <c r="F26" s="271">
        <v>7.8876887580074024</v>
      </c>
      <c r="G26" s="271">
        <v>10.65026306443794</v>
      </c>
      <c r="H26" s="271">
        <v>12.917845808948027</v>
      </c>
      <c r="I26" s="271">
        <v>13.690076915436636</v>
      </c>
      <c r="J26" s="272">
        <v>15.138819271673668</v>
      </c>
    </row>
    <row r="27" spans="2:10" ht="12.95" customHeight="1">
      <c r="B27" s="276" t="s">
        <v>74</v>
      </c>
      <c r="C27" s="271">
        <v>1.7990244319530073</v>
      </c>
      <c r="D27" s="271">
        <v>2.0432640000000002</v>
      </c>
      <c r="E27" s="271">
        <v>2.0678290542337128</v>
      </c>
      <c r="F27" s="271">
        <v>5.2321808183983416</v>
      </c>
      <c r="G27" s="271">
        <v>2.6051349686574747</v>
      </c>
      <c r="H27" s="271">
        <v>2.6346652313253198</v>
      </c>
      <c r="I27" s="271">
        <v>2.6936199726872578</v>
      </c>
      <c r="J27" s="272">
        <v>2.7608173532053555</v>
      </c>
    </row>
    <row r="28" spans="2:10" ht="12.95" customHeight="1">
      <c r="B28" s="280" t="s">
        <v>75</v>
      </c>
      <c r="C28" s="281">
        <v>2.9318049123696999</v>
      </c>
      <c r="D28" s="281">
        <v>0.19734471603635756</v>
      </c>
      <c r="E28" s="281">
        <v>2.436727477067838</v>
      </c>
      <c r="F28" s="281">
        <v>3.0945078962645476</v>
      </c>
      <c r="G28" s="281">
        <v>2.7636704881730969</v>
      </c>
      <c r="H28" s="281">
        <v>2.613915808305368</v>
      </c>
      <c r="I28" s="281">
        <v>2.5453085484231672</v>
      </c>
      <c r="J28" s="282">
        <v>2.4735962874364943</v>
      </c>
    </row>
    <row r="29" spans="2:10" ht="12.95" customHeight="1">
      <c r="B29" s="283" t="s">
        <v>76</v>
      </c>
      <c r="C29" s="284">
        <v>789.64700000000016</v>
      </c>
      <c r="D29" s="284">
        <v>989.81100000000015</v>
      </c>
      <c r="E29" s="284">
        <v>933.81909203633995</v>
      </c>
      <c r="F29" s="284">
        <v>972.97067491587893</v>
      </c>
      <c r="G29" s="284">
        <v>968.77157780329003</v>
      </c>
      <c r="H29" s="284">
        <v>997.1724377965179</v>
      </c>
      <c r="I29" s="284">
        <v>1030.8636090627849</v>
      </c>
      <c r="J29" s="285">
        <v>1067.700295200538</v>
      </c>
    </row>
    <row r="30" spans="2:10" ht="12.95" customHeight="1">
      <c r="B30" s="286" t="s">
        <v>77</v>
      </c>
      <c r="C30" s="271"/>
      <c r="D30" s="271"/>
      <c r="E30" s="271"/>
      <c r="F30" s="271"/>
      <c r="G30" s="271"/>
      <c r="H30" s="271"/>
      <c r="I30" s="271"/>
      <c r="J30" s="272"/>
    </row>
    <row r="31" spans="2:10" ht="12.95" customHeight="1">
      <c r="B31" s="273" t="s">
        <v>78</v>
      </c>
      <c r="C31" s="271">
        <v>57.891052999999999</v>
      </c>
      <c r="D31" s="271">
        <v>72.625962000000001</v>
      </c>
      <c r="E31" s="271">
        <v>69.206219996000016</v>
      </c>
      <c r="F31" s="271">
        <v>85.991646950056989</v>
      </c>
      <c r="G31" s="271">
        <v>94.646378500647913</v>
      </c>
      <c r="H31" s="271">
        <v>94.861871876042841</v>
      </c>
      <c r="I31" s="271">
        <v>99.260826692141549</v>
      </c>
      <c r="J31" s="272">
        <v>102.94317084509956</v>
      </c>
    </row>
    <row r="32" spans="2:10" ht="12.95" customHeight="1">
      <c r="B32" s="273" t="s">
        <v>79</v>
      </c>
      <c r="C32" s="271">
        <v>36.349946999999986</v>
      </c>
      <c r="D32" s="271">
        <v>52.525038000000009</v>
      </c>
      <c r="E32" s="271">
        <v>24.295071313527462</v>
      </c>
      <c r="F32" s="271">
        <v>27.64695828868221</v>
      </c>
      <c r="G32" s="271">
        <v>36.871408713114981</v>
      </c>
      <c r="H32" s="271">
        <v>34.908593905860876</v>
      </c>
      <c r="I32" s="271">
        <v>35.526962982454236</v>
      </c>
      <c r="J32" s="272">
        <v>35.480859145515218</v>
      </c>
    </row>
    <row r="33" spans="2:10" ht="12.95" customHeight="1">
      <c r="B33" s="287" t="s">
        <v>18</v>
      </c>
      <c r="C33" s="271"/>
      <c r="D33" s="271"/>
      <c r="E33" s="271"/>
      <c r="F33" s="271"/>
      <c r="G33" s="271"/>
      <c r="H33" s="271"/>
      <c r="I33" s="271"/>
      <c r="J33" s="272"/>
    </row>
    <row r="34" spans="2:10" ht="12.95" customHeight="1">
      <c r="B34" s="288" t="s">
        <v>80</v>
      </c>
      <c r="C34" s="271">
        <v>14.30544367742</v>
      </c>
      <c r="D34" s="271">
        <v>12.52610781408646</v>
      </c>
      <c r="E34" s="271">
        <v>6.7645269686676057</v>
      </c>
      <c r="F34" s="271">
        <v>7.7676041286846562</v>
      </c>
      <c r="G34" s="271">
        <v>8.3112596081724845</v>
      </c>
      <c r="H34" s="271">
        <v>7.8669339101118236</v>
      </c>
      <c r="I34" s="271">
        <v>8.1552535207635266</v>
      </c>
      <c r="J34" s="272">
        <v>8.2510264017275006</v>
      </c>
    </row>
    <row r="35" spans="2:10" ht="12.95" customHeight="1">
      <c r="B35" s="289" t="s">
        <v>81</v>
      </c>
      <c r="C35" s="271">
        <v>10.396000000000001</v>
      </c>
      <c r="D35" s="271">
        <v>9.3436249624093399</v>
      </c>
      <c r="E35" s="271">
        <v>10.548381087159989</v>
      </c>
      <c r="F35" s="271">
        <v>10.210869277987531</v>
      </c>
      <c r="G35" s="271">
        <v>10.704123612435291</v>
      </c>
      <c r="H35" s="271">
        <v>10.264835001486343</v>
      </c>
      <c r="I35" s="271">
        <v>8.617737827734846</v>
      </c>
      <c r="J35" s="272">
        <v>11.954181008264356</v>
      </c>
    </row>
    <row r="36" spans="2:10" ht="12.95" customHeight="1">
      <c r="B36" s="277" t="s">
        <v>82</v>
      </c>
      <c r="C36" s="271">
        <v>10.174773348236625</v>
      </c>
      <c r="D36" s="271">
        <v>10.60889178774824</v>
      </c>
      <c r="E36" s="271">
        <v>10.524809248883098</v>
      </c>
      <c r="F36" s="271">
        <v>2.9161678845630341</v>
      </c>
      <c r="G36" s="271">
        <v>11.040205566105724</v>
      </c>
      <c r="H36" s="271">
        <v>10.023055271048554</v>
      </c>
      <c r="I36" s="271">
        <v>9.1622242367724382</v>
      </c>
      <c r="J36" s="272">
        <v>8.9003397429674074</v>
      </c>
    </row>
    <row r="37" spans="2:10" ht="12.95" customHeight="1">
      <c r="B37" s="276" t="s">
        <v>70</v>
      </c>
      <c r="C37" s="271">
        <v>0.60299999999999998</v>
      </c>
      <c r="D37" s="271">
        <v>-0.31900000000000001</v>
      </c>
      <c r="E37" s="271">
        <v>1.08273946545944</v>
      </c>
      <c r="F37" s="271">
        <v>1.3327394654594404</v>
      </c>
      <c r="G37" s="271">
        <v>1.58273946545944</v>
      </c>
      <c r="H37" s="271">
        <v>1.3327394654594404</v>
      </c>
      <c r="I37" s="271">
        <v>1.08273946545944</v>
      </c>
      <c r="J37" s="272">
        <v>1.08273946545944</v>
      </c>
    </row>
    <row r="38" spans="2:10" ht="12.95" customHeight="1">
      <c r="B38" s="276" t="s">
        <v>83</v>
      </c>
      <c r="C38" s="271">
        <v>3.8879100000000002</v>
      </c>
      <c r="D38" s="271">
        <v>4.5231359999999992</v>
      </c>
      <c r="E38" s="271">
        <v>5.1386040607530834</v>
      </c>
      <c r="F38" s="271">
        <v>5.2562101705153577</v>
      </c>
      <c r="G38" s="271">
        <v>5.1294077287516586</v>
      </c>
      <c r="H38" s="271">
        <v>4.9954993569926121</v>
      </c>
      <c r="I38" s="271">
        <v>5.1699670967762561</v>
      </c>
      <c r="J38" s="272">
        <v>5.1026313409210511</v>
      </c>
    </row>
    <row r="39" spans="2:10" ht="12.95" customHeight="1">
      <c r="B39" s="277" t="s">
        <v>84</v>
      </c>
      <c r="C39" s="271">
        <v>0</v>
      </c>
      <c r="D39" s="271">
        <v>0</v>
      </c>
      <c r="E39" s="271">
        <v>0</v>
      </c>
      <c r="F39" s="271">
        <v>1.098222</v>
      </c>
      <c r="G39" s="271">
        <v>0.71369199999999999</v>
      </c>
      <c r="H39" s="271">
        <v>0.30783450000000001</v>
      </c>
      <c r="I39" s="271">
        <v>1.4260735</v>
      </c>
      <c r="J39" s="272">
        <v>1.382531</v>
      </c>
    </row>
    <row r="40" spans="2:10" ht="12.95" customHeight="1">
      <c r="B40" s="277" t="s">
        <v>259</v>
      </c>
      <c r="C40" s="271">
        <v>0</v>
      </c>
      <c r="D40" s="271">
        <v>20.9</v>
      </c>
      <c r="E40" s="271">
        <v>-4.4172199999999977</v>
      </c>
      <c r="F40" s="271">
        <v>0</v>
      </c>
      <c r="G40" s="271">
        <v>0</v>
      </c>
      <c r="H40" s="271">
        <v>0</v>
      </c>
      <c r="I40" s="271">
        <v>0</v>
      </c>
      <c r="J40" s="272">
        <v>0</v>
      </c>
    </row>
    <row r="41" spans="2:10" ht="12.95" customHeight="1">
      <c r="B41" s="277" t="s">
        <v>85</v>
      </c>
      <c r="C41" s="271">
        <v>0.5786262368178986</v>
      </c>
      <c r="D41" s="271">
        <v>-8.8631033740000476E-2</v>
      </c>
      <c r="E41" s="271">
        <v>-0.62071681352736974</v>
      </c>
      <c r="F41" s="271">
        <v>0.90962834345398735</v>
      </c>
      <c r="G41" s="271">
        <v>1.3779807577487064</v>
      </c>
      <c r="H41" s="271">
        <v>2.0649240373039</v>
      </c>
      <c r="I41" s="271">
        <v>3.7753916743412006</v>
      </c>
      <c r="J41" s="272">
        <v>0.62939598435122657</v>
      </c>
    </row>
    <row r="42" spans="2:10" ht="12.95" customHeight="1">
      <c r="B42" s="290" t="s">
        <v>86</v>
      </c>
      <c r="C42" s="281">
        <v>-3.5958062624745408</v>
      </c>
      <c r="D42" s="281">
        <v>-4.9690915305040297</v>
      </c>
      <c r="E42" s="281">
        <v>-4.7260527038683868</v>
      </c>
      <c r="F42" s="281">
        <v>-1.8444829819817943</v>
      </c>
      <c r="G42" s="281">
        <v>-1.9880000255583279</v>
      </c>
      <c r="H42" s="281">
        <v>-1.9472276365417864</v>
      </c>
      <c r="I42" s="281">
        <v>-1.8624243393934679</v>
      </c>
      <c r="J42" s="282">
        <v>-1.8219857981757652</v>
      </c>
    </row>
    <row r="43" spans="2:10" ht="12.95" customHeight="1">
      <c r="B43" s="291" t="s">
        <v>87</v>
      </c>
      <c r="C43" s="284">
        <v>94.240999999999985</v>
      </c>
      <c r="D43" s="284">
        <v>125.15100000000001</v>
      </c>
      <c r="E43" s="284">
        <v>93.501291309527474</v>
      </c>
      <c r="F43" s="284">
        <v>113.6386052387392</v>
      </c>
      <c r="G43" s="284">
        <v>131.51778721376289</v>
      </c>
      <c r="H43" s="284">
        <v>129.77046578190371</v>
      </c>
      <c r="I43" s="284">
        <v>134.78778967459579</v>
      </c>
      <c r="J43" s="285">
        <v>138.42402999061477</v>
      </c>
    </row>
    <row r="44" spans="2:10" ht="12.95" customHeight="1">
      <c r="B44" s="270" t="s">
        <v>260</v>
      </c>
      <c r="C44" s="271">
        <v>-52.357999999999997</v>
      </c>
      <c r="D44" s="271">
        <v>-53.38398104258038</v>
      </c>
      <c r="E44" s="271">
        <v>-55.184497831868661</v>
      </c>
      <c r="F44" s="271">
        <v>-57.237156644436681</v>
      </c>
      <c r="G44" s="271">
        <v>-59.47202894715064</v>
      </c>
      <c r="H44" s="271">
        <v>-61.667068720311811</v>
      </c>
      <c r="I44" s="271">
        <v>-63.754586952867747</v>
      </c>
      <c r="J44" s="272">
        <v>-66.265199130593018</v>
      </c>
    </row>
    <row r="45" spans="2:10" ht="12.95" customHeight="1">
      <c r="B45" s="292" t="s">
        <v>89</v>
      </c>
      <c r="C45" s="281">
        <v>41.882999999999988</v>
      </c>
      <c r="D45" s="281">
        <v>71.767018957419623</v>
      </c>
      <c r="E45" s="281">
        <v>38.316793477658813</v>
      </c>
      <c r="F45" s="281">
        <v>56.401448594302522</v>
      </c>
      <c r="G45" s="281">
        <v>72.045758266612239</v>
      </c>
      <c r="H45" s="281">
        <v>68.103397061591892</v>
      </c>
      <c r="I45" s="281">
        <v>71.033202721728031</v>
      </c>
      <c r="J45" s="282">
        <v>72.158830860021752</v>
      </c>
    </row>
    <row r="46" spans="2:10" ht="12.95" customHeight="1">
      <c r="B46" s="293" t="s">
        <v>90</v>
      </c>
      <c r="C46" s="294">
        <v>883.88800000000015</v>
      </c>
      <c r="D46" s="295">
        <v>1114.9620000000002</v>
      </c>
      <c r="E46" s="295">
        <v>1027.3203833458674</v>
      </c>
      <c r="F46" s="295">
        <v>1086.6092801546181</v>
      </c>
      <c r="G46" s="295">
        <v>1100.2893650170529</v>
      </c>
      <c r="H46" s="295">
        <v>1126.9429035784217</v>
      </c>
      <c r="I46" s="295">
        <v>1165.6513987373808</v>
      </c>
      <c r="J46" s="296">
        <v>1206.1243251911528</v>
      </c>
    </row>
    <row r="47" spans="2:10">
      <c r="B47" s="297" t="s">
        <v>261</v>
      </c>
      <c r="C47" s="298"/>
      <c r="D47" s="298"/>
      <c r="E47" s="298"/>
      <c r="F47" s="298"/>
      <c r="G47" s="298"/>
      <c r="H47" s="298"/>
      <c r="I47" s="298"/>
      <c r="J47" s="299"/>
    </row>
    <row r="48" spans="2:10" ht="13.5" thickBot="1">
      <c r="B48" s="300" t="s">
        <v>262</v>
      </c>
      <c r="C48" s="300"/>
      <c r="D48" s="300"/>
      <c r="E48" s="300"/>
      <c r="F48" s="300"/>
      <c r="G48" s="300"/>
      <c r="H48" s="300"/>
      <c r="I48" s="300"/>
      <c r="J48" s="301"/>
    </row>
  </sheetData>
  <mergeCells count="3">
    <mergeCell ref="C4:J4"/>
    <mergeCell ref="C5:D5"/>
    <mergeCell ref="E5:J5"/>
  </mergeCells>
  <conditionalFormatting sqref="C46:J46 C29:J29">
    <cfRule type="cellIs" dxfId="0" priority="1" operator="greaterThan">
      <formula>1000</formula>
    </cfRule>
  </conditionalFormatting>
  <hyperlinks>
    <hyperlink ref="A1" location="Contents!A1" display="Contents!A1" xr:uid="{9B23F2CA-8C78-45AB-8A0D-3D30DDB15078}"/>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1BC4-CEC4-453D-A3BE-5584320899CD}">
  <sheetPr codeName="Sheet27">
    <tabColor theme="6"/>
  </sheetPr>
  <dimension ref="A1:V155"/>
  <sheetViews>
    <sheetView zoomScaleNormal="100" zoomScaleSheetLayoutView="85" workbookViewId="0">
      <pane xSplit="2" ySplit="4" topLeftCell="C76" activePane="bottomRight" state="frozen"/>
      <selection activeCell="U58" sqref="U58"/>
      <selection pane="topRight" activeCell="U58" sqref="U58"/>
      <selection pane="bottomLeft" activeCell="U58" sqref="U58"/>
      <selection pane="bottomRight" activeCell="U58" sqref="U58"/>
    </sheetView>
  </sheetViews>
  <sheetFormatPr defaultColWidth="10.140625" defaultRowHeight="15"/>
  <cols>
    <col min="1" max="1" width="10.7109375" style="111" customWidth="1"/>
    <col min="2" max="2" width="10.85546875" style="111" customWidth="1"/>
    <col min="3" max="3" width="10.7109375" style="111" customWidth="1"/>
    <col min="4" max="4" width="11.5703125" style="111" customWidth="1"/>
    <col min="5" max="5" width="11.140625" style="111" customWidth="1"/>
    <col min="6" max="6" width="11.28515625" style="111" customWidth="1"/>
    <col min="7" max="7" width="10.7109375" style="111" customWidth="1"/>
    <col min="8" max="8" width="12" style="111" customWidth="1"/>
    <col min="9" max="11" width="10.7109375" style="111" customWidth="1"/>
    <col min="12" max="12" width="11.85546875" style="111" customWidth="1"/>
    <col min="13" max="19" width="10.7109375" style="111" customWidth="1"/>
    <col min="20" max="20" width="10.140625" style="111"/>
    <col min="21" max="22" width="10.85546875" style="111" bestFit="1" customWidth="1"/>
    <col min="23" max="16384" width="10.140625" style="111"/>
  </cols>
  <sheetData>
    <row r="1" spans="1:22" ht="33.75" customHeight="1" thickBot="1">
      <c r="A1" s="108" t="s">
        <v>0</v>
      </c>
      <c r="B1" s="109"/>
      <c r="C1" s="109"/>
      <c r="D1" s="109"/>
      <c r="E1" s="109"/>
      <c r="F1" s="109"/>
      <c r="G1" s="109"/>
      <c r="H1" s="109"/>
      <c r="I1" s="109"/>
      <c r="J1" s="109"/>
      <c r="K1" s="109"/>
      <c r="L1" s="109"/>
      <c r="M1" s="109"/>
      <c r="N1" s="109"/>
      <c r="O1" s="109"/>
      <c r="P1" s="109"/>
      <c r="Q1" s="109"/>
      <c r="R1" s="109"/>
      <c r="S1" s="110"/>
    </row>
    <row r="2" spans="1:22" s="113" customFormat="1" ht="34.5" customHeight="1" thickBot="1">
      <c r="A2" s="112"/>
      <c r="B2" s="552" t="s">
        <v>92</v>
      </c>
      <c r="C2" s="553"/>
      <c r="D2" s="553"/>
      <c r="E2" s="553"/>
      <c r="F2" s="553"/>
      <c r="G2" s="553"/>
      <c r="H2" s="553"/>
      <c r="I2" s="553"/>
      <c r="J2" s="553"/>
      <c r="K2" s="553"/>
      <c r="L2" s="553"/>
      <c r="M2" s="553"/>
      <c r="N2" s="553"/>
      <c r="O2" s="553"/>
      <c r="P2" s="553"/>
      <c r="Q2" s="553"/>
      <c r="R2" s="553"/>
      <c r="S2" s="554"/>
    </row>
    <row r="3" spans="1:22" s="118" customFormat="1" ht="38.25" customHeight="1">
      <c r="A3" s="114"/>
      <c r="B3" s="115" t="s">
        <v>93</v>
      </c>
      <c r="C3" s="555" t="s">
        <v>263</v>
      </c>
      <c r="D3" s="555" t="s">
        <v>264</v>
      </c>
      <c r="E3" s="116" t="s">
        <v>265</v>
      </c>
      <c r="F3" s="117"/>
      <c r="G3" s="117"/>
      <c r="H3" s="117"/>
      <c r="I3" s="117"/>
      <c r="J3" s="555" t="s">
        <v>266</v>
      </c>
      <c r="K3" s="555" t="s">
        <v>98</v>
      </c>
      <c r="L3" s="555" t="s">
        <v>99</v>
      </c>
      <c r="M3" s="555" t="s">
        <v>100</v>
      </c>
      <c r="N3" s="555" t="s">
        <v>101</v>
      </c>
      <c r="O3" s="555" t="s">
        <v>267</v>
      </c>
      <c r="P3" s="548" t="s">
        <v>103</v>
      </c>
      <c r="Q3" s="548" t="s">
        <v>268</v>
      </c>
      <c r="R3" s="548" t="s">
        <v>105</v>
      </c>
      <c r="S3" s="549" t="s">
        <v>106</v>
      </c>
    </row>
    <row r="4" spans="1:22" s="118" customFormat="1" ht="30.75" customHeight="1">
      <c r="A4" s="114"/>
      <c r="B4" s="115"/>
      <c r="C4" s="555"/>
      <c r="D4" s="555"/>
      <c r="E4" s="119" t="s">
        <v>18</v>
      </c>
      <c r="F4" s="119" t="s">
        <v>107</v>
      </c>
      <c r="G4" s="119" t="s">
        <v>108</v>
      </c>
      <c r="H4" s="119" t="s">
        <v>109</v>
      </c>
      <c r="I4" s="119" t="s">
        <v>110</v>
      </c>
      <c r="J4" s="555"/>
      <c r="K4" s="555"/>
      <c r="L4" s="555"/>
      <c r="M4" s="555"/>
      <c r="N4" s="555"/>
      <c r="O4" s="555"/>
      <c r="P4" s="548"/>
      <c r="Q4" s="548"/>
      <c r="R4" s="548"/>
      <c r="S4" s="550"/>
    </row>
    <row r="5" spans="1:22">
      <c r="A5" s="120"/>
      <c r="B5" s="121" t="s">
        <v>111</v>
      </c>
      <c r="C5" s="122">
        <v>308.48</v>
      </c>
      <c r="D5" s="122">
        <v>94.613</v>
      </c>
      <c r="E5" s="122">
        <v>86.57</v>
      </c>
      <c r="F5" s="122">
        <v>47.332999999999998</v>
      </c>
      <c r="G5" s="122">
        <v>24.57</v>
      </c>
      <c r="H5" s="122">
        <v>13.532999999999999</v>
      </c>
      <c r="I5" s="122">
        <v>1.474</v>
      </c>
      <c r="J5" s="122">
        <v>0.121</v>
      </c>
      <c r="K5" s="122">
        <v>489.78399999999999</v>
      </c>
      <c r="L5" s="122">
        <v>-1.8759999999999999</v>
      </c>
      <c r="M5" s="122">
        <v>487.90800000000002</v>
      </c>
      <c r="N5" s="122">
        <v>138.447</v>
      </c>
      <c r="O5" s="122">
        <v>627.84199999999998</v>
      </c>
      <c r="P5" s="122">
        <v>138.65899999999999</v>
      </c>
      <c r="Q5" s="122">
        <v>0</v>
      </c>
      <c r="R5" s="122">
        <v>489.44900000000001</v>
      </c>
      <c r="S5" s="123">
        <v>426.89400000000001</v>
      </c>
      <c r="T5" s="124"/>
      <c r="U5" s="125"/>
      <c r="V5" s="125"/>
    </row>
    <row r="6" spans="1:22">
      <c r="A6" s="120"/>
      <c r="B6" s="121" t="s">
        <v>112</v>
      </c>
      <c r="C6" s="122">
        <v>306.40499999999997</v>
      </c>
      <c r="D6" s="122">
        <v>92.734999999999999</v>
      </c>
      <c r="E6" s="122">
        <v>87.412000000000006</v>
      </c>
      <c r="F6" s="122">
        <v>49.002000000000002</v>
      </c>
      <c r="G6" s="122">
        <v>23.69</v>
      </c>
      <c r="H6" s="122">
        <v>13.696999999999999</v>
      </c>
      <c r="I6" s="122">
        <v>1.4120000000000001</v>
      </c>
      <c r="J6" s="122">
        <v>-6.9000000000000006E-2</v>
      </c>
      <c r="K6" s="122">
        <v>486.483</v>
      </c>
      <c r="L6" s="122">
        <v>-1.444</v>
      </c>
      <c r="M6" s="122">
        <v>485.03899999999999</v>
      </c>
      <c r="N6" s="122">
        <v>139.655</v>
      </c>
      <c r="O6" s="122">
        <v>624.89099999999996</v>
      </c>
      <c r="P6" s="122">
        <v>137.917</v>
      </c>
      <c r="Q6" s="122">
        <v>0</v>
      </c>
      <c r="R6" s="122">
        <v>487.24400000000003</v>
      </c>
      <c r="S6" s="123">
        <v>425.78699999999998</v>
      </c>
      <c r="U6" s="125"/>
      <c r="V6" s="125"/>
    </row>
    <row r="7" spans="1:22">
      <c r="A7" s="120"/>
      <c r="B7" s="121" t="s">
        <v>113</v>
      </c>
      <c r="C7" s="122">
        <v>301.81200000000001</v>
      </c>
      <c r="D7" s="122">
        <v>93.406000000000006</v>
      </c>
      <c r="E7" s="122">
        <v>83.203999999999994</v>
      </c>
      <c r="F7" s="122">
        <v>47.029000000000003</v>
      </c>
      <c r="G7" s="122">
        <v>19.559000000000001</v>
      </c>
      <c r="H7" s="122">
        <v>14.167999999999999</v>
      </c>
      <c r="I7" s="122">
        <v>2.7679999999999998</v>
      </c>
      <c r="J7" s="122">
        <v>-1.5089999999999999</v>
      </c>
      <c r="K7" s="122">
        <v>476.91300000000001</v>
      </c>
      <c r="L7" s="122">
        <v>-4.1989999999999998</v>
      </c>
      <c r="M7" s="122">
        <v>472.714</v>
      </c>
      <c r="N7" s="122">
        <v>139.084</v>
      </c>
      <c r="O7" s="122">
        <v>614.76599999999996</v>
      </c>
      <c r="P7" s="122">
        <v>135.05600000000001</v>
      </c>
      <c r="Q7" s="122">
        <v>0</v>
      </c>
      <c r="R7" s="122">
        <v>479.983</v>
      </c>
      <c r="S7" s="123">
        <v>418.87700000000001</v>
      </c>
      <c r="U7" s="125"/>
      <c r="V7" s="125"/>
    </row>
    <row r="8" spans="1:22">
      <c r="A8" s="120"/>
      <c r="B8" s="121" t="s">
        <v>114</v>
      </c>
      <c r="C8" s="122">
        <v>295.02300000000002</v>
      </c>
      <c r="D8" s="122">
        <v>93.968999999999994</v>
      </c>
      <c r="E8" s="122">
        <v>81.870999999999995</v>
      </c>
      <c r="F8" s="122">
        <v>45.88</v>
      </c>
      <c r="G8" s="122">
        <v>18.38</v>
      </c>
      <c r="H8" s="122">
        <v>15.207000000000001</v>
      </c>
      <c r="I8" s="122">
        <v>2.718</v>
      </c>
      <c r="J8" s="122">
        <v>0.375</v>
      </c>
      <c r="K8" s="122">
        <v>471.238</v>
      </c>
      <c r="L8" s="122">
        <v>-5.3849999999999998</v>
      </c>
      <c r="M8" s="122">
        <v>465.85300000000001</v>
      </c>
      <c r="N8" s="122">
        <v>132.286</v>
      </c>
      <c r="O8" s="122">
        <v>599.13900000000001</v>
      </c>
      <c r="P8" s="122">
        <v>129.001</v>
      </c>
      <c r="Q8" s="122">
        <v>0</v>
      </c>
      <c r="R8" s="122">
        <v>470.358</v>
      </c>
      <c r="S8" s="123">
        <v>408.96600000000001</v>
      </c>
      <c r="U8" s="125"/>
      <c r="V8" s="125"/>
    </row>
    <row r="9" spans="1:22">
      <c r="A9" s="120"/>
      <c r="B9" s="121" t="s">
        <v>115</v>
      </c>
      <c r="C9" s="122">
        <v>293.28800000000001</v>
      </c>
      <c r="D9" s="122">
        <v>93.326999999999998</v>
      </c>
      <c r="E9" s="122">
        <v>76.200999999999993</v>
      </c>
      <c r="F9" s="122">
        <v>41.067999999999998</v>
      </c>
      <c r="G9" s="122">
        <v>17.335999999999999</v>
      </c>
      <c r="H9" s="122">
        <v>15.295</v>
      </c>
      <c r="I9" s="122">
        <v>2.6670000000000003</v>
      </c>
      <c r="J9" s="122">
        <v>1.379</v>
      </c>
      <c r="K9" s="122">
        <v>464.19499999999999</v>
      </c>
      <c r="L9" s="122">
        <v>-9.5850000000000009</v>
      </c>
      <c r="M9" s="122">
        <v>454.61</v>
      </c>
      <c r="N9" s="122">
        <v>125.51600000000001</v>
      </c>
      <c r="O9" s="122">
        <v>584.28200000000004</v>
      </c>
      <c r="P9" s="122">
        <v>122.791</v>
      </c>
      <c r="Q9" s="122">
        <v>0</v>
      </c>
      <c r="R9" s="122">
        <v>461.88099999999997</v>
      </c>
      <c r="S9" s="123">
        <v>401.79599999999999</v>
      </c>
      <c r="U9" s="125"/>
      <c r="V9" s="125"/>
    </row>
    <row r="10" spans="1:22" ht="15.75">
      <c r="A10" s="110"/>
      <c r="B10" s="121" t="s">
        <v>116</v>
      </c>
      <c r="C10" s="122">
        <v>291.90699999999998</v>
      </c>
      <c r="D10" s="122">
        <v>94.460999999999999</v>
      </c>
      <c r="E10" s="122">
        <v>73.150000000000006</v>
      </c>
      <c r="F10" s="122">
        <v>39.292999999999999</v>
      </c>
      <c r="G10" s="122">
        <v>16.919</v>
      </c>
      <c r="H10" s="122">
        <v>14.342000000000001</v>
      </c>
      <c r="I10" s="122">
        <v>2.621</v>
      </c>
      <c r="J10" s="122">
        <v>0.747</v>
      </c>
      <c r="K10" s="122">
        <v>460.26499999999999</v>
      </c>
      <c r="L10" s="122">
        <v>-7.2990000000000004</v>
      </c>
      <c r="M10" s="122">
        <v>452.96600000000001</v>
      </c>
      <c r="N10" s="122">
        <v>124.145</v>
      </c>
      <c r="O10" s="122">
        <v>582.85400000000004</v>
      </c>
      <c r="P10" s="122">
        <v>122.84699999999999</v>
      </c>
      <c r="Q10" s="122">
        <v>0</v>
      </c>
      <c r="R10" s="122">
        <v>460.43099999999998</v>
      </c>
      <c r="S10" s="123">
        <v>401.47800000000001</v>
      </c>
      <c r="U10" s="125"/>
      <c r="V10" s="125"/>
    </row>
    <row r="11" spans="1:22" ht="15.75">
      <c r="A11" s="110"/>
      <c r="B11" s="121" t="s">
        <v>117</v>
      </c>
      <c r="C11" s="122">
        <v>295.03500000000003</v>
      </c>
      <c r="D11" s="122">
        <v>95.620999999999995</v>
      </c>
      <c r="E11" s="122">
        <v>74.015000000000001</v>
      </c>
      <c r="F11" s="122">
        <v>38.505000000000003</v>
      </c>
      <c r="G11" s="122">
        <v>16.8</v>
      </c>
      <c r="H11" s="122">
        <v>16.074999999999999</v>
      </c>
      <c r="I11" s="122">
        <v>2.6640000000000001</v>
      </c>
      <c r="J11" s="122">
        <v>0.68600000000000005</v>
      </c>
      <c r="K11" s="122">
        <v>465.35700000000003</v>
      </c>
      <c r="L11" s="122">
        <v>-7.9729999999999999</v>
      </c>
      <c r="M11" s="122">
        <v>457.38400000000001</v>
      </c>
      <c r="N11" s="122">
        <v>124.78700000000001</v>
      </c>
      <c r="O11" s="122">
        <v>585.68899999999996</v>
      </c>
      <c r="P11" s="122">
        <v>125.354</v>
      </c>
      <c r="Q11" s="122">
        <v>0</v>
      </c>
      <c r="R11" s="122">
        <v>460.72199999999998</v>
      </c>
      <c r="S11" s="123">
        <v>403.20299999999997</v>
      </c>
      <c r="U11" s="125"/>
      <c r="V11" s="125"/>
    </row>
    <row r="12" spans="1:22" ht="15.75">
      <c r="A12" s="110"/>
      <c r="B12" s="121" t="s">
        <v>118</v>
      </c>
      <c r="C12" s="122">
        <v>299.26100000000002</v>
      </c>
      <c r="D12" s="122">
        <v>96.271000000000001</v>
      </c>
      <c r="E12" s="122">
        <v>72.597999999999999</v>
      </c>
      <c r="F12" s="122">
        <v>38.357999999999997</v>
      </c>
      <c r="G12" s="122">
        <v>15.769</v>
      </c>
      <c r="H12" s="122">
        <v>15.731999999999999</v>
      </c>
      <c r="I12" s="122">
        <v>2.7170000000000001</v>
      </c>
      <c r="J12" s="122">
        <v>-9.9000000000000005E-2</v>
      </c>
      <c r="K12" s="122">
        <v>468.03100000000001</v>
      </c>
      <c r="L12" s="122">
        <v>-8.0719999999999992</v>
      </c>
      <c r="M12" s="122">
        <v>459.959</v>
      </c>
      <c r="N12" s="122">
        <v>126.44799999999999</v>
      </c>
      <c r="O12" s="122">
        <v>589.43600000000004</v>
      </c>
      <c r="P12" s="122">
        <v>127.63200000000001</v>
      </c>
      <c r="Q12" s="122">
        <v>0</v>
      </c>
      <c r="R12" s="122">
        <v>462.15199999999999</v>
      </c>
      <c r="S12" s="123">
        <v>405.21800000000002</v>
      </c>
      <c r="U12" s="125"/>
      <c r="V12" s="125"/>
    </row>
    <row r="13" spans="1:22" ht="18.75" customHeight="1">
      <c r="A13" s="110"/>
      <c r="B13" s="121" t="s">
        <v>119</v>
      </c>
      <c r="C13" s="122">
        <v>294.92899999999997</v>
      </c>
      <c r="D13" s="122">
        <v>94.421999999999997</v>
      </c>
      <c r="E13" s="122">
        <v>75.257000000000005</v>
      </c>
      <c r="F13" s="122">
        <v>39.719000000000001</v>
      </c>
      <c r="G13" s="122">
        <v>16.582000000000001</v>
      </c>
      <c r="H13" s="122">
        <v>16.27</v>
      </c>
      <c r="I13" s="122">
        <v>2.6970000000000001</v>
      </c>
      <c r="J13" s="122">
        <v>-0.154</v>
      </c>
      <c r="K13" s="122">
        <v>464.45400000000001</v>
      </c>
      <c r="L13" s="122">
        <v>-0.98099999999999998</v>
      </c>
      <c r="M13" s="122">
        <v>463.47300000000001</v>
      </c>
      <c r="N13" s="122">
        <v>127.63500000000001</v>
      </c>
      <c r="O13" s="122">
        <v>594.76700000000005</v>
      </c>
      <c r="P13" s="122">
        <v>129.709</v>
      </c>
      <c r="Q13" s="122">
        <v>0</v>
      </c>
      <c r="R13" s="122">
        <v>465.38</v>
      </c>
      <c r="S13" s="123">
        <v>408.572</v>
      </c>
      <c r="U13" s="125"/>
      <c r="V13" s="125"/>
    </row>
    <row r="14" spans="1:22" ht="15.75">
      <c r="A14" s="110"/>
      <c r="B14" s="121" t="s">
        <v>120</v>
      </c>
      <c r="C14" s="122">
        <v>301.00799999999998</v>
      </c>
      <c r="D14" s="122">
        <v>94.962999999999994</v>
      </c>
      <c r="E14" s="122">
        <v>74.754000000000005</v>
      </c>
      <c r="F14" s="122">
        <v>38.850999999999999</v>
      </c>
      <c r="G14" s="122">
        <v>17.972000000000001</v>
      </c>
      <c r="H14" s="122">
        <v>15.324999999999999</v>
      </c>
      <c r="I14" s="122">
        <v>2.6760000000000002</v>
      </c>
      <c r="J14" s="122">
        <v>-0.54800000000000004</v>
      </c>
      <c r="K14" s="122">
        <v>470.17700000000002</v>
      </c>
      <c r="L14" s="122">
        <v>-1.3660000000000001</v>
      </c>
      <c r="M14" s="122">
        <v>468.81099999999998</v>
      </c>
      <c r="N14" s="122">
        <v>132.52199999999999</v>
      </c>
      <c r="O14" s="122">
        <v>603.37400000000002</v>
      </c>
      <c r="P14" s="122">
        <v>132.99299999999999</v>
      </c>
      <c r="Q14" s="122">
        <v>0</v>
      </c>
      <c r="R14" s="122">
        <v>470.65499999999997</v>
      </c>
      <c r="S14" s="123">
        <v>412.72800000000001</v>
      </c>
      <c r="U14" s="125"/>
      <c r="V14" s="125"/>
    </row>
    <row r="15" spans="1:22" ht="15.75">
      <c r="A15" s="110"/>
      <c r="B15" s="121" t="s">
        <v>121</v>
      </c>
      <c r="C15" s="122">
        <v>301.02699999999999</v>
      </c>
      <c r="D15" s="122">
        <v>94.852000000000004</v>
      </c>
      <c r="E15" s="122">
        <v>77.513000000000005</v>
      </c>
      <c r="F15" s="122">
        <v>40.472999999999999</v>
      </c>
      <c r="G15" s="122">
        <v>18.75</v>
      </c>
      <c r="H15" s="122">
        <v>15.709</v>
      </c>
      <c r="I15" s="122">
        <v>2.6589999999999998</v>
      </c>
      <c r="J15" s="122">
        <v>0.13400000000000001</v>
      </c>
      <c r="K15" s="122">
        <v>473.52600000000001</v>
      </c>
      <c r="L15" s="122">
        <v>0.26400000000000001</v>
      </c>
      <c r="M15" s="122">
        <v>473.79</v>
      </c>
      <c r="N15" s="122">
        <v>132.202</v>
      </c>
      <c r="O15" s="122">
        <v>609.88400000000001</v>
      </c>
      <c r="P15" s="122">
        <v>136.13999999999999</v>
      </c>
      <c r="Q15" s="122">
        <v>0</v>
      </c>
      <c r="R15" s="122">
        <v>473.95400000000001</v>
      </c>
      <c r="S15" s="123">
        <v>415.94</v>
      </c>
      <c r="U15" s="125"/>
      <c r="V15" s="125"/>
    </row>
    <row r="16" spans="1:22" ht="15.75">
      <c r="A16" s="110"/>
      <c r="B16" s="121" t="s">
        <v>122</v>
      </c>
      <c r="C16" s="122">
        <v>302.97800000000001</v>
      </c>
      <c r="D16" s="122">
        <v>95.664000000000001</v>
      </c>
      <c r="E16" s="122">
        <v>79.376000000000005</v>
      </c>
      <c r="F16" s="122">
        <v>43.338000000000001</v>
      </c>
      <c r="G16" s="122">
        <v>18.254999999999999</v>
      </c>
      <c r="H16" s="122">
        <v>15.215</v>
      </c>
      <c r="I16" s="122">
        <v>2.6070000000000002</v>
      </c>
      <c r="J16" s="122">
        <v>0.53800000000000003</v>
      </c>
      <c r="K16" s="122">
        <v>478.55599999999998</v>
      </c>
      <c r="L16" s="122">
        <v>-4.6100000000000003</v>
      </c>
      <c r="M16" s="122">
        <v>473.94600000000003</v>
      </c>
      <c r="N16" s="122">
        <v>136.47200000000001</v>
      </c>
      <c r="O16" s="122">
        <v>613.03099999999995</v>
      </c>
      <c r="P16" s="122">
        <v>138.64500000000001</v>
      </c>
      <c r="Q16" s="122">
        <v>0</v>
      </c>
      <c r="R16" s="122">
        <v>474.52600000000001</v>
      </c>
      <c r="S16" s="123">
        <v>415.755</v>
      </c>
      <c r="U16" s="125"/>
      <c r="V16" s="125"/>
    </row>
    <row r="17" spans="1:22" ht="18.75" customHeight="1">
      <c r="A17" s="110"/>
      <c r="B17" s="121" t="s">
        <v>123</v>
      </c>
      <c r="C17" s="122">
        <v>299.53100000000001</v>
      </c>
      <c r="D17" s="122">
        <v>96.542000000000002</v>
      </c>
      <c r="E17" s="122">
        <v>76.034999999999997</v>
      </c>
      <c r="F17" s="122">
        <v>39.732999999999997</v>
      </c>
      <c r="G17" s="122">
        <v>17.609000000000002</v>
      </c>
      <c r="H17" s="122">
        <v>16.244</v>
      </c>
      <c r="I17" s="122">
        <v>2.62</v>
      </c>
      <c r="J17" s="122">
        <v>-1.6140000000000001</v>
      </c>
      <c r="K17" s="122">
        <v>470.49400000000003</v>
      </c>
      <c r="L17" s="122">
        <v>0.156</v>
      </c>
      <c r="M17" s="122">
        <v>470.65</v>
      </c>
      <c r="N17" s="122">
        <v>141.506</v>
      </c>
      <c r="O17" s="122">
        <v>612.38300000000004</v>
      </c>
      <c r="P17" s="122">
        <v>135.92400000000001</v>
      </c>
      <c r="Q17" s="122">
        <v>0</v>
      </c>
      <c r="R17" s="122">
        <v>476.72</v>
      </c>
      <c r="S17" s="123">
        <v>420.25</v>
      </c>
      <c r="U17" s="125"/>
      <c r="V17" s="125"/>
    </row>
    <row r="18" spans="1:22" ht="15.75">
      <c r="A18" s="110"/>
      <c r="B18" s="121" t="s">
        <v>124</v>
      </c>
      <c r="C18" s="122">
        <v>298.36399999999998</v>
      </c>
      <c r="D18" s="122">
        <v>95.789000000000001</v>
      </c>
      <c r="E18" s="122">
        <v>75.572000000000003</v>
      </c>
      <c r="F18" s="122">
        <v>41.451000000000001</v>
      </c>
      <c r="G18" s="122">
        <v>17.542999999999999</v>
      </c>
      <c r="H18" s="122">
        <v>14.111000000000001</v>
      </c>
      <c r="I18" s="122">
        <v>2.532</v>
      </c>
      <c r="J18" s="122">
        <v>1.7000000000000001E-2</v>
      </c>
      <c r="K18" s="122">
        <v>469.74200000000002</v>
      </c>
      <c r="L18" s="122">
        <v>4.835</v>
      </c>
      <c r="M18" s="122">
        <v>474.577</v>
      </c>
      <c r="N18" s="122">
        <v>140.60499999999999</v>
      </c>
      <c r="O18" s="122">
        <v>615.38599999999997</v>
      </c>
      <c r="P18" s="122">
        <v>138.33600000000001</v>
      </c>
      <c r="Q18" s="122">
        <v>0</v>
      </c>
      <c r="R18" s="122">
        <v>477.202</v>
      </c>
      <c r="S18" s="123">
        <v>420.98200000000003</v>
      </c>
      <c r="U18" s="125"/>
      <c r="V18" s="125"/>
    </row>
    <row r="19" spans="1:22" ht="15.75">
      <c r="A19" s="110"/>
      <c r="B19" s="121" t="s">
        <v>125</v>
      </c>
      <c r="C19" s="122">
        <v>298.66899999999998</v>
      </c>
      <c r="D19" s="122">
        <v>95.725999999999999</v>
      </c>
      <c r="E19" s="122">
        <v>77.734999999999999</v>
      </c>
      <c r="F19" s="122">
        <v>43.475000000000001</v>
      </c>
      <c r="G19" s="122">
        <v>17.385999999999999</v>
      </c>
      <c r="H19" s="122">
        <v>14.505000000000001</v>
      </c>
      <c r="I19" s="122">
        <v>2.403</v>
      </c>
      <c r="J19" s="122">
        <v>0.86899999999999999</v>
      </c>
      <c r="K19" s="122">
        <v>472.99900000000002</v>
      </c>
      <c r="L19" s="122">
        <v>-1.3320000000000001</v>
      </c>
      <c r="M19" s="122">
        <v>471.66699999999997</v>
      </c>
      <c r="N19" s="122">
        <v>142.386</v>
      </c>
      <c r="O19" s="122">
        <v>615.76700000000005</v>
      </c>
      <c r="P19" s="122">
        <v>137.245</v>
      </c>
      <c r="Q19" s="122">
        <v>0</v>
      </c>
      <c r="R19" s="122">
        <v>478.726</v>
      </c>
      <c r="S19" s="123">
        <v>422.56200000000001</v>
      </c>
      <c r="U19" s="125"/>
      <c r="V19" s="125"/>
    </row>
    <row r="20" spans="1:22" ht="15.75">
      <c r="A20" s="110"/>
      <c r="B20" s="121" t="s">
        <v>126</v>
      </c>
      <c r="C20" s="122">
        <v>301.55399999999997</v>
      </c>
      <c r="D20" s="122">
        <v>96.353999999999999</v>
      </c>
      <c r="E20" s="122">
        <v>79.313000000000002</v>
      </c>
      <c r="F20" s="122">
        <v>44.930999999999997</v>
      </c>
      <c r="G20" s="122">
        <v>18.07</v>
      </c>
      <c r="H20" s="122">
        <v>13.933</v>
      </c>
      <c r="I20" s="122">
        <v>2.3580000000000001</v>
      </c>
      <c r="J20" s="122">
        <v>-1.7000000000000001E-2</v>
      </c>
      <c r="K20" s="122">
        <v>477.20400000000001</v>
      </c>
      <c r="L20" s="122">
        <v>-6.9569999999999999</v>
      </c>
      <c r="M20" s="122">
        <v>470.24700000000001</v>
      </c>
      <c r="N20" s="122">
        <v>143.161</v>
      </c>
      <c r="O20" s="122">
        <v>618.15800000000002</v>
      </c>
      <c r="P20" s="122">
        <v>138.95400000000001</v>
      </c>
      <c r="Q20" s="122">
        <v>0</v>
      </c>
      <c r="R20" s="122">
        <v>479.33499999999998</v>
      </c>
      <c r="S20" s="123">
        <v>423.67399999999998</v>
      </c>
      <c r="U20" s="125"/>
      <c r="V20" s="125"/>
    </row>
    <row r="21" spans="1:22" ht="18.75" customHeight="1">
      <c r="A21" s="110"/>
      <c r="B21" s="121" t="s">
        <v>127</v>
      </c>
      <c r="C21" s="122">
        <v>301.53100000000001</v>
      </c>
      <c r="D21" s="122">
        <v>98.855000000000004</v>
      </c>
      <c r="E21" s="122">
        <v>79.897000000000006</v>
      </c>
      <c r="F21" s="122">
        <v>45.390999999999998</v>
      </c>
      <c r="G21" s="122">
        <v>17.849</v>
      </c>
      <c r="H21" s="122">
        <v>14.284000000000001</v>
      </c>
      <c r="I21" s="122">
        <v>2.3149999999999999</v>
      </c>
      <c r="J21" s="122">
        <v>-1.359</v>
      </c>
      <c r="K21" s="122">
        <v>478.92399999999998</v>
      </c>
      <c r="L21" s="122">
        <v>-4.7229999999999999</v>
      </c>
      <c r="M21" s="122">
        <v>474.20100000000002</v>
      </c>
      <c r="N21" s="122">
        <v>146.54900000000001</v>
      </c>
      <c r="O21" s="122">
        <v>622.73099999999999</v>
      </c>
      <c r="P21" s="122">
        <v>140.24600000000001</v>
      </c>
      <c r="Q21" s="122">
        <v>0</v>
      </c>
      <c r="R21" s="122">
        <v>482.58300000000003</v>
      </c>
      <c r="S21" s="123">
        <v>427.55099999999999</v>
      </c>
      <c r="U21" s="125"/>
      <c r="V21" s="125"/>
    </row>
    <row r="22" spans="1:22" ht="15.75">
      <c r="A22" s="110"/>
      <c r="B22" s="121" t="s">
        <v>128</v>
      </c>
      <c r="C22" s="122">
        <v>303.33499999999998</v>
      </c>
      <c r="D22" s="122">
        <v>95.87</v>
      </c>
      <c r="E22" s="122">
        <v>76.775000000000006</v>
      </c>
      <c r="F22" s="122">
        <v>42.908999999999999</v>
      </c>
      <c r="G22" s="122">
        <v>17.318000000000001</v>
      </c>
      <c r="H22" s="122">
        <v>14.343999999999999</v>
      </c>
      <c r="I22" s="122">
        <v>2.2839999999999998</v>
      </c>
      <c r="J22" s="122">
        <v>0.53700000000000003</v>
      </c>
      <c r="K22" s="122">
        <v>476.517</v>
      </c>
      <c r="L22" s="122">
        <v>6.4630000000000001</v>
      </c>
      <c r="M22" s="122">
        <v>482.98</v>
      </c>
      <c r="N22" s="122">
        <v>139.94900000000001</v>
      </c>
      <c r="O22" s="122">
        <v>624.38900000000001</v>
      </c>
      <c r="P22" s="122">
        <v>142.036</v>
      </c>
      <c r="Q22" s="122">
        <v>0</v>
      </c>
      <c r="R22" s="122">
        <v>482.29899999999998</v>
      </c>
      <c r="S22" s="123">
        <v>427.75799999999998</v>
      </c>
      <c r="U22" s="125"/>
      <c r="V22" s="125"/>
    </row>
    <row r="23" spans="1:22" ht="15.75">
      <c r="A23" s="110"/>
      <c r="B23" s="121" t="s">
        <v>129</v>
      </c>
      <c r="C23" s="122">
        <v>305.78699999999998</v>
      </c>
      <c r="D23" s="122">
        <v>96.572000000000003</v>
      </c>
      <c r="E23" s="122">
        <v>76.38</v>
      </c>
      <c r="F23" s="122">
        <v>44.082999999999998</v>
      </c>
      <c r="G23" s="122">
        <v>17.416</v>
      </c>
      <c r="H23" s="122">
        <v>12.782999999999999</v>
      </c>
      <c r="I23" s="122">
        <v>2.2180000000000004</v>
      </c>
      <c r="J23" s="122">
        <v>-0.24299999999999999</v>
      </c>
      <c r="K23" s="122">
        <v>478.49599999999998</v>
      </c>
      <c r="L23" s="122">
        <v>7.9649999999999999</v>
      </c>
      <c r="M23" s="122">
        <v>486.46100000000001</v>
      </c>
      <c r="N23" s="122">
        <v>143.80500000000001</v>
      </c>
      <c r="O23" s="122">
        <v>628.83799999999997</v>
      </c>
      <c r="P23" s="122">
        <v>140.80199999999999</v>
      </c>
      <c r="Q23" s="122">
        <v>0</v>
      </c>
      <c r="R23" s="122">
        <v>488.20499999999998</v>
      </c>
      <c r="S23" s="123">
        <v>432.79300000000001</v>
      </c>
      <c r="U23" s="125"/>
      <c r="V23" s="125"/>
    </row>
    <row r="24" spans="1:22" ht="15.75">
      <c r="A24" s="110"/>
      <c r="B24" s="121" t="s">
        <v>130</v>
      </c>
      <c r="C24" s="122">
        <v>308.81299999999999</v>
      </c>
      <c r="D24" s="122">
        <v>97.57</v>
      </c>
      <c r="E24" s="122">
        <v>80.302999999999997</v>
      </c>
      <c r="F24" s="122">
        <v>46.914000000000001</v>
      </c>
      <c r="G24" s="122">
        <v>18.195</v>
      </c>
      <c r="H24" s="122">
        <v>12.973000000000001</v>
      </c>
      <c r="I24" s="122">
        <v>2.177</v>
      </c>
      <c r="J24" s="122">
        <v>-1.2999999999999999E-2</v>
      </c>
      <c r="K24" s="122">
        <v>486.673</v>
      </c>
      <c r="L24" s="122">
        <v>-4.1829999999999998</v>
      </c>
      <c r="M24" s="122">
        <v>482.49</v>
      </c>
      <c r="N24" s="122">
        <v>141.02600000000001</v>
      </c>
      <c r="O24" s="122">
        <v>625.51300000000003</v>
      </c>
      <c r="P24" s="122">
        <v>138.80199999999999</v>
      </c>
      <c r="Q24" s="122">
        <v>0</v>
      </c>
      <c r="R24" s="122">
        <v>487</v>
      </c>
      <c r="S24" s="123">
        <v>432.16399999999999</v>
      </c>
      <c r="U24" s="125"/>
      <c r="V24" s="125"/>
    </row>
    <row r="25" spans="1:22" ht="18.75" customHeight="1">
      <c r="A25" s="110"/>
      <c r="B25" s="121" t="s">
        <v>131</v>
      </c>
      <c r="C25" s="122">
        <v>308.41399999999999</v>
      </c>
      <c r="D25" s="122">
        <v>97.185000000000002</v>
      </c>
      <c r="E25" s="122">
        <v>77.052000000000007</v>
      </c>
      <c r="F25" s="122">
        <v>44.633000000000003</v>
      </c>
      <c r="G25" s="122">
        <v>18.117000000000001</v>
      </c>
      <c r="H25" s="122">
        <v>12.106999999999999</v>
      </c>
      <c r="I25" s="122">
        <v>2.1389999999999998</v>
      </c>
      <c r="J25" s="122">
        <v>1.002</v>
      </c>
      <c r="K25" s="122">
        <v>483.65300000000002</v>
      </c>
      <c r="L25" s="122">
        <v>-0.98799999999999999</v>
      </c>
      <c r="M25" s="122">
        <v>482.66500000000002</v>
      </c>
      <c r="N25" s="122">
        <v>143.893</v>
      </c>
      <c r="O25" s="122">
        <v>627.50699999999995</v>
      </c>
      <c r="P25" s="122">
        <v>138.6</v>
      </c>
      <c r="Q25" s="122">
        <v>0</v>
      </c>
      <c r="R25" s="122">
        <v>489.23599999999999</v>
      </c>
      <c r="S25" s="123">
        <v>435.01400000000001</v>
      </c>
      <c r="U25" s="125"/>
      <c r="V25" s="125"/>
    </row>
    <row r="26" spans="1:22" ht="15.75">
      <c r="A26" s="110"/>
      <c r="B26" s="121" t="s">
        <v>132</v>
      </c>
      <c r="C26" s="122">
        <v>310.709</v>
      </c>
      <c r="D26" s="122">
        <v>96.56</v>
      </c>
      <c r="E26" s="122">
        <v>80.775000000000006</v>
      </c>
      <c r="F26" s="122">
        <v>45.753</v>
      </c>
      <c r="G26" s="122">
        <v>19.812000000000001</v>
      </c>
      <c r="H26" s="122">
        <v>13.073</v>
      </c>
      <c r="I26" s="122">
        <v>2.1160000000000001</v>
      </c>
      <c r="J26" s="122">
        <v>3.1509999999999998</v>
      </c>
      <c r="K26" s="122">
        <v>491.19499999999999</v>
      </c>
      <c r="L26" s="122">
        <v>0.20100000000000001</v>
      </c>
      <c r="M26" s="122">
        <v>491.39600000000002</v>
      </c>
      <c r="N26" s="122">
        <v>146.119</v>
      </c>
      <c r="O26" s="122">
        <v>638.07799999999997</v>
      </c>
      <c r="P26" s="122">
        <v>145.59399999999999</v>
      </c>
      <c r="Q26" s="122">
        <v>0</v>
      </c>
      <c r="R26" s="122">
        <v>492.45100000000002</v>
      </c>
      <c r="S26" s="123">
        <v>437.28</v>
      </c>
      <c r="U26" s="125"/>
      <c r="V26" s="125"/>
    </row>
    <row r="27" spans="1:22" ht="15.75">
      <c r="A27" s="110"/>
      <c r="B27" s="121" t="s">
        <v>133</v>
      </c>
      <c r="C27" s="122">
        <v>314.267</v>
      </c>
      <c r="D27" s="122">
        <v>96.515000000000001</v>
      </c>
      <c r="E27" s="122">
        <v>82.709000000000003</v>
      </c>
      <c r="F27" s="122">
        <v>47.243000000000002</v>
      </c>
      <c r="G27" s="122">
        <v>19.905999999999999</v>
      </c>
      <c r="H27" s="122">
        <v>13.395</v>
      </c>
      <c r="I27" s="122">
        <v>2.1080000000000001</v>
      </c>
      <c r="J27" s="122">
        <v>-2.4510000000000001</v>
      </c>
      <c r="K27" s="122">
        <v>491.04</v>
      </c>
      <c r="L27" s="122">
        <v>3.488</v>
      </c>
      <c r="M27" s="122">
        <v>494.52800000000002</v>
      </c>
      <c r="N27" s="122">
        <v>144.80199999999999</v>
      </c>
      <c r="O27" s="122">
        <v>641.798</v>
      </c>
      <c r="P27" s="122">
        <v>145.58199999999999</v>
      </c>
      <c r="Q27" s="122">
        <v>0</v>
      </c>
      <c r="R27" s="122">
        <v>496.22899999999998</v>
      </c>
      <c r="S27" s="123">
        <v>439.92599999999999</v>
      </c>
      <c r="U27" s="125"/>
      <c r="V27" s="125"/>
    </row>
    <row r="28" spans="1:22" ht="15.75">
      <c r="A28" s="110"/>
      <c r="B28" s="121" t="s">
        <v>134</v>
      </c>
      <c r="C28" s="122">
        <v>314.447</v>
      </c>
      <c r="D28" s="122">
        <v>98.105000000000004</v>
      </c>
      <c r="E28" s="122">
        <v>83.102000000000004</v>
      </c>
      <c r="F28" s="122">
        <v>47.552</v>
      </c>
      <c r="G28" s="122">
        <v>19.667999999999999</v>
      </c>
      <c r="H28" s="122">
        <v>13.747999999999999</v>
      </c>
      <c r="I28" s="122">
        <v>2.0960000000000001</v>
      </c>
      <c r="J28" s="122">
        <v>5.2709999999999999</v>
      </c>
      <c r="K28" s="122">
        <v>500.92500000000001</v>
      </c>
      <c r="L28" s="122">
        <v>4.258</v>
      </c>
      <c r="M28" s="122">
        <v>505.18299999999999</v>
      </c>
      <c r="N28" s="122">
        <v>141.47800000000001</v>
      </c>
      <c r="O28" s="122">
        <v>648.60599999999999</v>
      </c>
      <c r="P28" s="122">
        <v>149.57400000000001</v>
      </c>
      <c r="Q28" s="122">
        <v>0</v>
      </c>
      <c r="R28" s="122">
        <v>498.839</v>
      </c>
      <c r="S28" s="123">
        <v>441.87400000000002</v>
      </c>
      <c r="U28" s="125"/>
      <c r="V28" s="125"/>
    </row>
    <row r="29" spans="1:22" ht="18.75" customHeight="1">
      <c r="A29" s="110"/>
      <c r="B29" s="121" t="s">
        <v>135</v>
      </c>
      <c r="C29" s="122">
        <v>316.447</v>
      </c>
      <c r="D29" s="122">
        <v>98.525999999999996</v>
      </c>
      <c r="E29" s="122">
        <v>85.608999999999995</v>
      </c>
      <c r="F29" s="122">
        <v>47.627000000000002</v>
      </c>
      <c r="G29" s="122">
        <v>20.236999999999998</v>
      </c>
      <c r="H29" s="122">
        <v>15.547000000000001</v>
      </c>
      <c r="I29" s="122">
        <v>2.1879999999999997</v>
      </c>
      <c r="J29" s="122">
        <v>1.393</v>
      </c>
      <c r="K29" s="122">
        <v>501.97500000000002</v>
      </c>
      <c r="L29" s="122">
        <v>-0.77500000000000002</v>
      </c>
      <c r="M29" s="122">
        <v>501.2</v>
      </c>
      <c r="N29" s="122">
        <v>142.06800000000001</v>
      </c>
      <c r="O29" s="122">
        <v>650.47199999999998</v>
      </c>
      <c r="P29" s="122">
        <v>146.96199999999999</v>
      </c>
      <c r="Q29" s="122">
        <v>0</v>
      </c>
      <c r="R29" s="122">
        <v>503.49200000000002</v>
      </c>
      <c r="S29" s="123">
        <v>446.40699999999998</v>
      </c>
      <c r="U29" s="125"/>
      <c r="V29" s="125"/>
    </row>
    <row r="30" spans="1:22" ht="15.75">
      <c r="A30" s="110"/>
      <c r="B30" s="121" t="s">
        <v>136</v>
      </c>
      <c r="C30" s="122">
        <v>318.471</v>
      </c>
      <c r="D30" s="122">
        <v>99.302999999999997</v>
      </c>
      <c r="E30" s="122">
        <v>85.364999999999995</v>
      </c>
      <c r="F30" s="122">
        <v>49.2</v>
      </c>
      <c r="G30" s="122">
        <v>20.606999999999999</v>
      </c>
      <c r="H30" s="122">
        <v>13.03</v>
      </c>
      <c r="I30" s="122">
        <v>2.4330000000000003</v>
      </c>
      <c r="J30" s="122">
        <v>-3.5449999999999999</v>
      </c>
      <c r="K30" s="122">
        <v>499.59399999999999</v>
      </c>
      <c r="L30" s="122">
        <v>4.4370000000000003</v>
      </c>
      <c r="M30" s="122">
        <v>504.03100000000001</v>
      </c>
      <c r="N30" s="122">
        <v>145.01599999999999</v>
      </c>
      <c r="O30" s="122">
        <v>654.726</v>
      </c>
      <c r="P30" s="122">
        <v>147.22399999999999</v>
      </c>
      <c r="Q30" s="122">
        <v>0</v>
      </c>
      <c r="R30" s="122">
        <v>507.55099999999999</v>
      </c>
      <c r="S30" s="123">
        <v>450.57</v>
      </c>
      <c r="U30" s="125"/>
      <c r="V30" s="125"/>
    </row>
    <row r="31" spans="1:22" ht="15.75">
      <c r="A31" s="110"/>
      <c r="B31" s="121" t="s">
        <v>137</v>
      </c>
      <c r="C31" s="122">
        <v>322.33199999999999</v>
      </c>
      <c r="D31" s="122">
        <v>99.233000000000004</v>
      </c>
      <c r="E31" s="122">
        <v>86.795000000000002</v>
      </c>
      <c r="F31" s="122">
        <v>49.344000000000001</v>
      </c>
      <c r="G31" s="122">
        <v>20.98</v>
      </c>
      <c r="H31" s="122">
        <v>13.855</v>
      </c>
      <c r="I31" s="122">
        <v>2.5679999999999996</v>
      </c>
      <c r="J31" s="122">
        <v>0.745</v>
      </c>
      <c r="K31" s="122">
        <v>509.10500000000002</v>
      </c>
      <c r="L31" s="122">
        <v>4.4569999999999999</v>
      </c>
      <c r="M31" s="122">
        <v>513.56200000000001</v>
      </c>
      <c r="N31" s="122">
        <v>144.83600000000001</v>
      </c>
      <c r="O31" s="122">
        <v>662.31500000000005</v>
      </c>
      <c r="P31" s="122">
        <v>151.30000000000001</v>
      </c>
      <c r="Q31" s="122">
        <v>0</v>
      </c>
      <c r="R31" s="122">
        <v>510.988</v>
      </c>
      <c r="S31" s="123">
        <v>453.88499999999999</v>
      </c>
      <c r="U31" s="125"/>
      <c r="V31" s="125"/>
    </row>
    <row r="32" spans="1:22" ht="15.75">
      <c r="A32" s="110"/>
      <c r="B32" s="121" t="s">
        <v>138</v>
      </c>
      <c r="C32" s="122">
        <v>323.39299999999997</v>
      </c>
      <c r="D32" s="122">
        <v>98.905000000000001</v>
      </c>
      <c r="E32" s="122">
        <v>87.945999999999998</v>
      </c>
      <c r="F32" s="122">
        <v>50.244999999999997</v>
      </c>
      <c r="G32" s="122">
        <v>20.885999999999999</v>
      </c>
      <c r="H32" s="122">
        <v>14.147</v>
      </c>
      <c r="I32" s="122">
        <v>2.621</v>
      </c>
      <c r="J32" s="122">
        <v>7.42</v>
      </c>
      <c r="K32" s="122">
        <v>517.66399999999999</v>
      </c>
      <c r="L32" s="122">
        <v>6.15</v>
      </c>
      <c r="M32" s="122">
        <v>523.81399999999996</v>
      </c>
      <c r="N32" s="122">
        <v>149.08799999999999</v>
      </c>
      <c r="O32" s="122">
        <v>675.27</v>
      </c>
      <c r="P32" s="122">
        <v>161.078</v>
      </c>
      <c r="Q32" s="122">
        <v>0</v>
      </c>
      <c r="R32" s="122">
        <v>513.85199999999998</v>
      </c>
      <c r="S32" s="123">
        <v>455.94099999999997</v>
      </c>
      <c r="U32" s="125"/>
      <c r="V32" s="125"/>
    </row>
    <row r="33" spans="1:22" ht="18.75" customHeight="1">
      <c r="A33" s="110"/>
      <c r="B33" s="121" t="s">
        <v>139</v>
      </c>
      <c r="C33" s="122">
        <v>327.53500000000003</v>
      </c>
      <c r="D33" s="122">
        <v>98.894000000000005</v>
      </c>
      <c r="E33" s="122">
        <v>91.302000000000007</v>
      </c>
      <c r="F33" s="122">
        <v>52.978999999999999</v>
      </c>
      <c r="G33" s="122">
        <v>20.635999999999999</v>
      </c>
      <c r="H33" s="122">
        <v>14.999000000000001</v>
      </c>
      <c r="I33" s="122">
        <v>2.6640000000000001</v>
      </c>
      <c r="J33" s="122">
        <v>2.4500000000000002</v>
      </c>
      <c r="K33" s="122">
        <v>520.18100000000004</v>
      </c>
      <c r="L33" s="122">
        <v>5.2229999999999999</v>
      </c>
      <c r="M33" s="122">
        <v>525.404</v>
      </c>
      <c r="N33" s="122">
        <v>147.68100000000001</v>
      </c>
      <c r="O33" s="122">
        <v>678.16899999999998</v>
      </c>
      <c r="P33" s="122">
        <v>160.78299999999999</v>
      </c>
      <c r="Q33" s="122">
        <v>0</v>
      </c>
      <c r="R33" s="122">
        <v>517.16499999999996</v>
      </c>
      <c r="S33" s="123">
        <v>457.71300000000002</v>
      </c>
      <c r="U33" s="125"/>
      <c r="V33" s="125"/>
    </row>
    <row r="34" spans="1:22" ht="15.75">
      <c r="A34" s="110"/>
      <c r="B34" s="121" t="s">
        <v>140</v>
      </c>
      <c r="C34" s="122">
        <v>330.73500000000001</v>
      </c>
      <c r="D34" s="122">
        <v>100.541</v>
      </c>
      <c r="E34" s="122">
        <v>91.747</v>
      </c>
      <c r="F34" s="122">
        <v>52.790999999999997</v>
      </c>
      <c r="G34" s="122">
        <v>22.387</v>
      </c>
      <c r="H34" s="122">
        <v>14.282999999999999</v>
      </c>
      <c r="I34" s="122">
        <v>2.2319999999999998</v>
      </c>
      <c r="J34" s="122">
        <v>-3.1E-2</v>
      </c>
      <c r="K34" s="122">
        <v>522.99199999999996</v>
      </c>
      <c r="L34" s="122">
        <v>-5.1449999999999996</v>
      </c>
      <c r="M34" s="122">
        <v>517.84699999999998</v>
      </c>
      <c r="N34" s="122">
        <v>153.23099999999999</v>
      </c>
      <c r="O34" s="122">
        <v>678.14599999999996</v>
      </c>
      <c r="P34" s="122">
        <v>157.05500000000001</v>
      </c>
      <c r="Q34" s="122">
        <v>0</v>
      </c>
      <c r="R34" s="122">
        <v>520.98400000000004</v>
      </c>
      <c r="S34" s="123">
        <v>461.30700000000002</v>
      </c>
      <c r="U34" s="125"/>
      <c r="V34" s="125"/>
    </row>
    <row r="35" spans="1:22" ht="15.75">
      <c r="A35" s="110"/>
      <c r="B35" s="121" t="s">
        <v>141</v>
      </c>
      <c r="C35" s="122">
        <v>335.70499999999998</v>
      </c>
      <c r="D35" s="122">
        <v>101.004</v>
      </c>
      <c r="E35" s="122">
        <v>90.930999999999997</v>
      </c>
      <c r="F35" s="122">
        <v>52.924999999999997</v>
      </c>
      <c r="G35" s="122">
        <v>22.190999999999999</v>
      </c>
      <c r="H35" s="122">
        <v>13.404999999999999</v>
      </c>
      <c r="I35" s="122">
        <v>2.3680000000000003</v>
      </c>
      <c r="J35" s="122">
        <v>-0.315</v>
      </c>
      <c r="K35" s="122">
        <v>527.32500000000005</v>
      </c>
      <c r="L35" s="122">
        <v>-0.16500000000000001</v>
      </c>
      <c r="M35" s="122">
        <v>527.16</v>
      </c>
      <c r="N35" s="122">
        <v>148.83199999999999</v>
      </c>
      <c r="O35" s="122">
        <v>680.70600000000002</v>
      </c>
      <c r="P35" s="122">
        <v>156.88900000000001</v>
      </c>
      <c r="Q35" s="122">
        <v>0</v>
      </c>
      <c r="R35" s="122">
        <v>523.78300000000002</v>
      </c>
      <c r="S35" s="123">
        <v>463.91699999999997</v>
      </c>
      <c r="U35" s="125"/>
      <c r="V35" s="125"/>
    </row>
    <row r="36" spans="1:22" ht="15.75">
      <c r="A36" s="110"/>
      <c r="B36" s="121" t="s">
        <v>142</v>
      </c>
      <c r="C36" s="122">
        <v>332.74799999999999</v>
      </c>
      <c r="D36" s="122">
        <v>100.621</v>
      </c>
      <c r="E36" s="122">
        <v>93.653999999999996</v>
      </c>
      <c r="F36" s="122">
        <v>55.972999999999999</v>
      </c>
      <c r="G36" s="122">
        <v>22.154</v>
      </c>
      <c r="H36" s="122">
        <v>13.179</v>
      </c>
      <c r="I36" s="122">
        <v>2.3409999999999997</v>
      </c>
      <c r="J36" s="122">
        <v>-1.758</v>
      </c>
      <c r="K36" s="122">
        <v>525.26499999999999</v>
      </c>
      <c r="L36" s="122">
        <v>11.869</v>
      </c>
      <c r="M36" s="122">
        <v>537.13400000000001</v>
      </c>
      <c r="N36" s="122">
        <v>153.137</v>
      </c>
      <c r="O36" s="122">
        <v>689.48599999999999</v>
      </c>
      <c r="P36" s="122">
        <v>162.12700000000001</v>
      </c>
      <c r="Q36" s="122">
        <v>0</v>
      </c>
      <c r="R36" s="122">
        <v>527.34400000000005</v>
      </c>
      <c r="S36" s="123">
        <v>466.947</v>
      </c>
      <c r="U36" s="125"/>
      <c r="V36" s="125"/>
    </row>
    <row r="37" spans="1:22" ht="18.75" customHeight="1">
      <c r="A37" s="110"/>
      <c r="B37" s="121" t="s">
        <v>143</v>
      </c>
      <c r="C37" s="122">
        <v>340.74700000000001</v>
      </c>
      <c r="D37" s="122">
        <v>100.964</v>
      </c>
      <c r="E37" s="122">
        <v>94.742999999999995</v>
      </c>
      <c r="F37" s="122">
        <v>56.261000000000003</v>
      </c>
      <c r="G37" s="122">
        <v>22.599</v>
      </c>
      <c r="H37" s="122">
        <v>13.493</v>
      </c>
      <c r="I37" s="122">
        <v>2.387</v>
      </c>
      <c r="J37" s="122">
        <v>0.94599999999999995</v>
      </c>
      <c r="K37" s="122">
        <v>537.4</v>
      </c>
      <c r="L37" s="122">
        <v>0.61599999999999999</v>
      </c>
      <c r="M37" s="122">
        <v>538.01599999999996</v>
      </c>
      <c r="N37" s="122">
        <v>152.47</v>
      </c>
      <c r="O37" s="122">
        <v>691.87599999999998</v>
      </c>
      <c r="P37" s="122">
        <v>162.16</v>
      </c>
      <c r="Q37" s="122">
        <v>0</v>
      </c>
      <c r="R37" s="122">
        <v>529.673</v>
      </c>
      <c r="S37" s="123">
        <v>466.62400000000002</v>
      </c>
      <c r="U37" s="125"/>
      <c r="V37" s="125"/>
    </row>
    <row r="38" spans="1:22" ht="15.75">
      <c r="A38" s="110"/>
      <c r="B38" s="121" t="s">
        <v>144</v>
      </c>
      <c r="C38" s="122">
        <v>342.53399999999999</v>
      </c>
      <c r="D38" s="122">
        <v>100.756</v>
      </c>
      <c r="E38" s="122">
        <v>95.882999999999996</v>
      </c>
      <c r="F38" s="122">
        <v>56.948999999999998</v>
      </c>
      <c r="G38" s="122">
        <v>22.228000000000002</v>
      </c>
      <c r="H38" s="122">
        <v>14.218</v>
      </c>
      <c r="I38" s="122">
        <v>2.4870000000000001</v>
      </c>
      <c r="J38" s="122">
        <v>-0.95699999999999996</v>
      </c>
      <c r="K38" s="122">
        <v>538.21600000000001</v>
      </c>
      <c r="L38" s="122">
        <v>0.94499999999999995</v>
      </c>
      <c r="M38" s="122">
        <v>539.16099999999994</v>
      </c>
      <c r="N38" s="122">
        <v>157.875</v>
      </c>
      <c r="O38" s="122">
        <v>696.17899999999997</v>
      </c>
      <c r="P38" s="122">
        <v>163.405</v>
      </c>
      <c r="Q38" s="122">
        <v>0</v>
      </c>
      <c r="R38" s="122">
        <v>532.73099999999999</v>
      </c>
      <c r="S38" s="123">
        <v>471.21800000000002</v>
      </c>
      <c r="U38" s="125"/>
      <c r="V38" s="125"/>
    </row>
    <row r="39" spans="1:22" ht="15.75">
      <c r="A39" s="110"/>
      <c r="B39" s="121" t="s">
        <v>145</v>
      </c>
      <c r="C39" s="122">
        <v>345.72699999999998</v>
      </c>
      <c r="D39" s="122">
        <v>100.90900000000001</v>
      </c>
      <c r="E39" s="122">
        <v>97.731999999999999</v>
      </c>
      <c r="F39" s="122">
        <v>57.527000000000001</v>
      </c>
      <c r="G39" s="122">
        <v>23.513000000000002</v>
      </c>
      <c r="H39" s="122">
        <v>14.305</v>
      </c>
      <c r="I39" s="122">
        <v>2.3769999999999998</v>
      </c>
      <c r="J39" s="122">
        <v>2.4079999999999999</v>
      </c>
      <c r="K39" s="122">
        <v>546.77599999999995</v>
      </c>
      <c r="L39" s="122">
        <v>3.8119999999999998</v>
      </c>
      <c r="M39" s="122">
        <v>550.58799999999997</v>
      </c>
      <c r="N39" s="122">
        <v>152.55500000000001</v>
      </c>
      <c r="O39" s="122">
        <v>702.08500000000004</v>
      </c>
      <c r="P39" s="122">
        <v>167.053</v>
      </c>
      <c r="Q39" s="122">
        <v>0</v>
      </c>
      <c r="R39" s="122">
        <v>535.10299999999995</v>
      </c>
      <c r="S39" s="123">
        <v>474.40899999999999</v>
      </c>
      <c r="U39" s="125"/>
      <c r="V39" s="125"/>
    </row>
    <row r="40" spans="1:22" ht="15.75">
      <c r="A40" s="110"/>
      <c r="B40" s="121" t="s">
        <v>146</v>
      </c>
      <c r="C40" s="122">
        <v>346.58600000000001</v>
      </c>
      <c r="D40" s="122">
        <v>100.536</v>
      </c>
      <c r="E40" s="122">
        <v>96.635999999999996</v>
      </c>
      <c r="F40" s="122">
        <v>55.78</v>
      </c>
      <c r="G40" s="122">
        <v>24.245000000000001</v>
      </c>
      <c r="H40" s="122">
        <v>14.115</v>
      </c>
      <c r="I40" s="122">
        <v>2.468</v>
      </c>
      <c r="J40" s="122">
        <v>-0.86099999999999999</v>
      </c>
      <c r="K40" s="122">
        <v>542.89700000000005</v>
      </c>
      <c r="L40" s="122">
        <v>2.8220000000000001</v>
      </c>
      <c r="M40" s="122">
        <v>545.71900000000005</v>
      </c>
      <c r="N40" s="122">
        <v>160.12700000000001</v>
      </c>
      <c r="O40" s="122">
        <v>705.8</v>
      </c>
      <c r="P40" s="122">
        <v>166.73099999999999</v>
      </c>
      <c r="Q40" s="122">
        <v>0</v>
      </c>
      <c r="R40" s="122">
        <v>539.05899999999997</v>
      </c>
      <c r="S40" s="123">
        <v>478.04</v>
      </c>
      <c r="U40" s="125"/>
      <c r="V40" s="125"/>
    </row>
    <row r="41" spans="1:22" ht="18.75" customHeight="1">
      <c r="A41" s="110"/>
      <c r="B41" s="121" t="s">
        <v>147</v>
      </c>
      <c r="C41" s="122">
        <v>348.65100000000001</v>
      </c>
      <c r="D41" s="122">
        <v>100.729</v>
      </c>
      <c r="E41" s="122">
        <v>98.146000000000001</v>
      </c>
      <c r="F41" s="122">
        <v>56.935000000000002</v>
      </c>
      <c r="G41" s="122">
        <v>24.529</v>
      </c>
      <c r="H41" s="122">
        <v>14.176</v>
      </c>
      <c r="I41" s="122">
        <v>2.4690000000000003</v>
      </c>
      <c r="J41" s="122">
        <v>-0.67500000000000004</v>
      </c>
      <c r="K41" s="122">
        <v>546.851</v>
      </c>
      <c r="L41" s="122">
        <v>4.0439999999999996</v>
      </c>
      <c r="M41" s="122">
        <v>550.89499999999998</v>
      </c>
      <c r="N41" s="122">
        <v>161.84800000000001</v>
      </c>
      <c r="O41" s="122">
        <v>710.77700000000004</v>
      </c>
      <c r="P41" s="122">
        <v>168.21199999999999</v>
      </c>
      <c r="Q41" s="122">
        <v>0</v>
      </c>
      <c r="R41" s="122">
        <v>542.56200000000001</v>
      </c>
      <c r="S41" s="123">
        <v>481.62799999999999</v>
      </c>
      <c r="U41" s="125"/>
      <c r="V41" s="125"/>
    </row>
    <row r="42" spans="1:22" ht="15.75">
      <c r="A42" s="110"/>
      <c r="B42" s="121" t="s">
        <v>148</v>
      </c>
      <c r="C42" s="122">
        <v>348.00599999999997</v>
      </c>
      <c r="D42" s="122">
        <v>101.526</v>
      </c>
      <c r="E42" s="122">
        <v>99.820999999999998</v>
      </c>
      <c r="F42" s="122">
        <v>57.274999999999999</v>
      </c>
      <c r="G42" s="122">
        <v>24.994</v>
      </c>
      <c r="H42" s="122">
        <v>14.919</v>
      </c>
      <c r="I42" s="122">
        <v>2.609</v>
      </c>
      <c r="J42" s="122">
        <v>5.7000000000000002E-2</v>
      </c>
      <c r="K42" s="122">
        <v>549.41</v>
      </c>
      <c r="L42" s="122">
        <v>4.266</v>
      </c>
      <c r="M42" s="122">
        <v>553.67600000000004</v>
      </c>
      <c r="N42" s="122">
        <v>165.35300000000001</v>
      </c>
      <c r="O42" s="122">
        <v>715.18299999999999</v>
      </c>
      <c r="P42" s="122">
        <v>170.99199999999999</v>
      </c>
      <c r="Q42" s="122">
        <v>0</v>
      </c>
      <c r="R42" s="122">
        <v>544.24800000000005</v>
      </c>
      <c r="S42" s="123">
        <v>482.77300000000002</v>
      </c>
      <c r="U42" s="125"/>
      <c r="V42" s="125"/>
    </row>
    <row r="43" spans="1:22" ht="15.75">
      <c r="A43" s="110"/>
      <c r="B43" s="121" t="s">
        <v>149</v>
      </c>
      <c r="C43" s="122">
        <v>349.73099999999999</v>
      </c>
      <c r="D43" s="122">
        <v>101.723</v>
      </c>
      <c r="E43" s="122">
        <v>99.366</v>
      </c>
      <c r="F43" s="122">
        <v>56.988</v>
      </c>
      <c r="G43" s="122">
        <v>25.312000000000001</v>
      </c>
      <c r="H43" s="122">
        <v>14.552</v>
      </c>
      <c r="I43" s="122">
        <v>2.4989999999999997</v>
      </c>
      <c r="J43" s="122">
        <v>-0.70699999999999996</v>
      </c>
      <c r="K43" s="122">
        <v>550.11300000000006</v>
      </c>
      <c r="L43" s="122">
        <v>4.5289999999999999</v>
      </c>
      <c r="M43" s="122">
        <v>554.64200000000005</v>
      </c>
      <c r="N43" s="122">
        <v>166.29400000000001</v>
      </c>
      <c r="O43" s="122">
        <v>717.71299999999997</v>
      </c>
      <c r="P43" s="122">
        <v>171.19300000000001</v>
      </c>
      <c r="Q43" s="122">
        <v>0</v>
      </c>
      <c r="R43" s="122">
        <v>546.57899999999995</v>
      </c>
      <c r="S43" s="123">
        <v>484.101</v>
      </c>
      <c r="U43" s="125"/>
      <c r="V43" s="125"/>
    </row>
    <row r="44" spans="1:22" ht="15.75">
      <c r="A44" s="110"/>
      <c r="B44" s="121" t="s">
        <v>150</v>
      </c>
      <c r="C44" s="122">
        <v>351.61700000000002</v>
      </c>
      <c r="D44" s="122">
        <v>101.40900000000001</v>
      </c>
      <c r="E44" s="122">
        <v>100.355</v>
      </c>
      <c r="F44" s="122">
        <v>57.095999999999997</v>
      </c>
      <c r="G44" s="122">
        <v>26.638000000000002</v>
      </c>
      <c r="H44" s="122">
        <v>14.589</v>
      </c>
      <c r="I44" s="122">
        <v>2.0289999999999999</v>
      </c>
      <c r="J44" s="122">
        <v>1.8779999999999999</v>
      </c>
      <c r="K44" s="122">
        <v>555.25900000000001</v>
      </c>
      <c r="L44" s="122">
        <v>-0.14899999999999999</v>
      </c>
      <c r="M44" s="122">
        <v>555.11</v>
      </c>
      <c r="N44" s="122">
        <v>164.756</v>
      </c>
      <c r="O44" s="122">
        <v>717.01400000000001</v>
      </c>
      <c r="P44" s="122">
        <v>168.22399999999999</v>
      </c>
      <c r="Q44" s="122">
        <v>0</v>
      </c>
      <c r="R44" s="122">
        <v>548.78099999999995</v>
      </c>
      <c r="S44" s="123">
        <v>485.17700000000002</v>
      </c>
      <c r="U44" s="125"/>
      <c r="V44" s="125"/>
    </row>
    <row r="45" spans="1:22" ht="18.75" customHeight="1">
      <c r="A45" s="110"/>
      <c r="B45" s="121" t="s">
        <v>151</v>
      </c>
      <c r="C45" s="122">
        <v>354.95499999999998</v>
      </c>
      <c r="D45" s="122">
        <v>101.268</v>
      </c>
      <c r="E45" s="122">
        <v>99.066000000000003</v>
      </c>
      <c r="F45" s="122">
        <v>57.012</v>
      </c>
      <c r="G45" s="122">
        <v>26.353999999999999</v>
      </c>
      <c r="H45" s="122">
        <v>14.337999999999999</v>
      </c>
      <c r="I45" s="122">
        <v>1.3840000000000001</v>
      </c>
      <c r="J45" s="122">
        <v>0.432</v>
      </c>
      <c r="K45" s="122">
        <v>555.721</v>
      </c>
      <c r="L45" s="122">
        <v>-2.0739999999999998</v>
      </c>
      <c r="M45" s="122">
        <v>553.64700000000005</v>
      </c>
      <c r="N45" s="122">
        <v>168.405</v>
      </c>
      <c r="O45" s="122">
        <v>723.13499999999999</v>
      </c>
      <c r="P45" s="122">
        <v>173.047</v>
      </c>
      <c r="Q45" s="122">
        <v>0</v>
      </c>
      <c r="R45" s="122">
        <v>550.08000000000004</v>
      </c>
      <c r="S45" s="123">
        <v>488.39400000000001</v>
      </c>
      <c r="U45" s="125"/>
      <c r="V45" s="125"/>
    </row>
    <row r="46" spans="1:22" ht="15.75">
      <c r="A46" s="110"/>
      <c r="B46" s="121" t="s">
        <v>152</v>
      </c>
      <c r="C46" s="122">
        <v>355.661</v>
      </c>
      <c r="D46" s="122">
        <v>101.45099999999999</v>
      </c>
      <c r="E46" s="122">
        <v>99.382999999999996</v>
      </c>
      <c r="F46" s="122">
        <v>56.085000000000001</v>
      </c>
      <c r="G46" s="122">
        <v>27.303000000000001</v>
      </c>
      <c r="H46" s="122">
        <v>14.616</v>
      </c>
      <c r="I46" s="122">
        <v>1.413</v>
      </c>
      <c r="J46" s="122">
        <v>0.9</v>
      </c>
      <c r="K46" s="122">
        <v>557.39499999999998</v>
      </c>
      <c r="L46" s="122">
        <v>2.7469999999999999</v>
      </c>
      <c r="M46" s="122">
        <v>560.14200000000005</v>
      </c>
      <c r="N46" s="122">
        <v>167.50899999999999</v>
      </c>
      <c r="O46" s="122">
        <v>726.81</v>
      </c>
      <c r="P46" s="122">
        <v>173.74</v>
      </c>
      <c r="Q46" s="122">
        <v>0</v>
      </c>
      <c r="R46" s="122">
        <v>553.08699999999999</v>
      </c>
      <c r="S46" s="123">
        <v>489.75</v>
      </c>
      <c r="U46" s="125"/>
      <c r="V46" s="125"/>
    </row>
    <row r="47" spans="1:22" ht="15.75">
      <c r="A47" s="110"/>
      <c r="B47" s="121" t="s">
        <v>153</v>
      </c>
      <c r="C47" s="122">
        <v>358.89299999999997</v>
      </c>
      <c r="D47" s="122">
        <v>101.715</v>
      </c>
      <c r="E47" s="122">
        <v>99.855999999999995</v>
      </c>
      <c r="F47" s="122">
        <v>55.463000000000001</v>
      </c>
      <c r="G47" s="122">
        <v>27.858000000000001</v>
      </c>
      <c r="H47" s="122">
        <v>15.228</v>
      </c>
      <c r="I47" s="122">
        <v>1.2959999999999998</v>
      </c>
      <c r="J47" s="122">
        <v>0.72399999999999998</v>
      </c>
      <c r="K47" s="122">
        <v>561.18799999999999</v>
      </c>
      <c r="L47" s="122">
        <v>0.21199999999999999</v>
      </c>
      <c r="M47" s="122">
        <v>561.4</v>
      </c>
      <c r="N47" s="122">
        <v>169.535</v>
      </c>
      <c r="O47" s="122">
        <v>729.78099999999995</v>
      </c>
      <c r="P47" s="122">
        <v>173.23699999999999</v>
      </c>
      <c r="Q47" s="122">
        <v>0</v>
      </c>
      <c r="R47" s="122">
        <v>556.58100000000002</v>
      </c>
      <c r="S47" s="123">
        <v>492.02199999999999</v>
      </c>
      <c r="U47" s="125"/>
      <c r="V47" s="125"/>
    </row>
    <row r="48" spans="1:22" ht="15.75">
      <c r="A48" s="110"/>
      <c r="B48" s="121" t="s">
        <v>154</v>
      </c>
      <c r="C48" s="122">
        <v>361.464</v>
      </c>
      <c r="D48" s="122">
        <v>102.46899999999999</v>
      </c>
      <c r="E48" s="122">
        <v>99.131</v>
      </c>
      <c r="F48" s="122">
        <v>55.203000000000003</v>
      </c>
      <c r="G48" s="122">
        <v>27.716999999999999</v>
      </c>
      <c r="H48" s="122">
        <v>14.949</v>
      </c>
      <c r="I48" s="122">
        <v>1.2589999999999999</v>
      </c>
      <c r="J48" s="122">
        <v>1.02</v>
      </c>
      <c r="K48" s="122">
        <v>564.08399999999995</v>
      </c>
      <c r="L48" s="122">
        <v>0.91300000000000003</v>
      </c>
      <c r="M48" s="122">
        <v>564.99699999999996</v>
      </c>
      <c r="N48" s="122">
        <v>171.08</v>
      </c>
      <c r="O48" s="122">
        <v>737.88199999999995</v>
      </c>
      <c r="P48" s="122">
        <v>179.44399999999999</v>
      </c>
      <c r="Q48" s="122">
        <v>0</v>
      </c>
      <c r="R48" s="122">
        <v>558.44799999999998</v>
      </c>
      <c r="S48" s="123">
        <v>493.13499999999999</v>
      </c>
      <c r="U48" s="125"/>
      <c r="V48" s="125"/>
    </row>
    <row r="49" spans="1:22" ht="18.75" customHeight="1">
      <c r="A49" s="110"/>
      <c r="B49" s="121" t="s">
        <v>155</v>
      </c>
      <c r="C49" s="122">
        <v>361.06200000000001</v>
      </c>
      <c r="D49" s="122">
        <v>105.596</v>
      </c>
      <c r="E49" s="122">
        <v>100.878</v>
      </c>
      <c r="F49" s="122">
        <v>56.124000000000002</v>
      </c>
      <c r="G49" s="122">
        <v>27.315999999999999</v>
      </c>
      <c r="H49" s="122">
        <v>16.184000000000001</v>
      </c>
      <c r="I49" s="122">
        <v>1.2538725300000002</v>
      </c>
      <c r="J49" s="122">
        <v>12.372999999999999</v>
      </c>
      <c r="K49" s="122">
        <v>579.90899999999999</v>
      </c>
      <c r="L49" s="122">
        <v>6.9710000000000001</v>
      </c>
      <c r="M49" s="122">
        <v>586.88</v>
      </c>
      <c r="N49" s="122">
        <v>169.947</v>
      </c>
      <c r="O49" s="122">
        <v>756.20399999999995</v>
      </c>
      <c r="P49" s="122">
        <v>194.08600000000001</v>
      </c>
      <c r="Q49" s="122">
        <v>0</v>
      </c>
      <c r="R49" s="122">
        <v>562.03300000000002</v>
      </c>
      <c r="S49" s="123">
        <v>497.03199999999998</v>
      </c>
      <c r="U49" s="125"/>
      <c r="V49" s="125"/>
    </row>
    <row r="50" spans="1:22" ht="15.75" customHeight="1">
      <c r="A50" s="551"/>
      <c r="B50" s="121" t="s">
        <v>156</v>
      </c>
      <c r="C50" s="122">
        <v>364.20600000000002</v>
      </c>
      <c r="D50" s="122">
        <v>105.19499999999999</v>
      </c>
      <c r="E50" s="122">
        <v>99.274000000000001</v>
      </c>
      <c r="F50" s="122">
        <v>56.19</v>
      </c>
      <c r="G50" s="122">
        <v>26.609000000000002</v>
      </c>
      <c r="H50" s="122">
        <v>15.138999999999999</v>
      </c>
      <c r="I50" s="122">
        <v>1.2751526099999999</v>
      </c>
      <c r="J50" s="122">
        <v>0.112</v>
      </c>
      <c r="K50" s="122">
        <v>568.78700000000003</v>
      </c>
      <c r="L50" s="122">
        <v>0.68200000000000005</v>
      </c>
      <c r="M50" s="122">
        <v>569.46900000000005</v>
      </c>
      <c r="N50" s="122">
        <v>167.00700000000001</v>
      </c>
      <c r="O50" s="122">
        <v>738.00800000000004</v>
      </c>
      <c r="P50" s="122">
        <v>175.25899999999999</v>
      </c>
      <c r="Q50" s="122">
        <v>0</v>
      </c>
      <c r="R50" s="122">
        <v>562.779</v>
      </c>
      <c r="S50" s="123">
        <v>499.38400000000001</v>
      </c>
      <c r="U50" s="125"/>
      <c r="V50" s="125"/>
    </row>
    <row r="51" spans="1:22">
      <c r="A51" s="551"/>
      <c r="B51" s="121" t="s">
        <v>157</v>
      </c>
      <c r="C51" s="122">
        <v>363.08300000000003</v>
      </c>
      <c r="D51" s="122">
        <v>105.255</v>
      </c>
      <c r="E51" s="122">
        <v>100.453</v>
      </c>
      <c r="F51" s="122">
        <v>56.853000000000002</v>
      </c>
      <c r="G51" s="122">
        <v>26.731999999999999</v>
      </c>
      <c r="H51" s="122">
        <v>15.565</v>
      </c>
      <c r="I51" s="122">
        <v>1.2647080800000001</v>
      </c>
      <c r="J51" s="122">
        <v>-1.0589999999999999</v>
      </c>
      <c r="K51" s="122">
        <v>567.73199999999997</v>
      </c>
      <c r="L51" s="122">
        <v>-0.51800000000000002</v>
      </c>
      <c r="M51" s="122">
        <v>567.21400000000006</v>
      </c>
      <c r="N51" s="122">
        <v>175.7</v>
      </c>
      <c r="O51" s="122">
        <v>741.55700000000002</v>
      </c>
      <c r="P51" s="122">
        <v>176.21799999999999</v>
      </c>
      <c r="Q51" s="122">
        <v>0</v>
      </c>
      <c r="R51" s="122">
        <v>565.36199999999997</v>
      </c>
      <c r="S51" s="123">
        <v>501.28100000000001</v>
      </c>
      <c r="U51" s="125"/>
      <c r="V51" s="125"/>
    </row>
    <row r="52" spans="1:22">
      <c r="A52" s="551"/>
      <c r="B52" s="121" t="s">
        <v>158</v>
      </c>
      <c r="C52" s="122">
        <v>360.726</v>
      </c>
      <c r="D52" s="122">
        <v>107.96</v>
      </c>
      <c r="E52" s="122">
        <v>99.004000000000005</v>
      </c>
      <c r="F52" s="122">
        <v>56.698</v>
      </c>
      <c r="G52" s="122">
        <v>25.707999999999998</v>
      </c>
      <c r="H52" s="122">
        <v>15.22</v>
      </c>
      <c r="I52" s="122">
        <v>1.3035016800000001</v>
      </c>
      <c r="J52" s="122">
        <v>-14.656000000000001</v>
      </c>
      <c r="K52" s="122">
        <v>553.03399999999999</v>
      </c>
      <c r="L52" s="122">
        <v>-0.626</v>
      </c>
      <c r="M52" s="122">
        <v>552.40800000000002</v>
      </c>
      <c r="N52" s="122">
        <v>186.596</v>
      </c>
      <c r="O52" s="122">
        <v>739.452</v>
      </c>
      <c r="P52" s="122">
        <v>174.375</v>
      </c>
      <c r="Q52" s="122">
        <v>0</v>
      </c>
      <c r="R52" s="122">
        <v>565.10900000000004</v>
      </c>
      <c r="S52" s="123">
        <v>501.46300000000002</v>
      </c>
      <c r="U52" s="125"/>
      <c r="V52" s="125"/>
    </row>
    <row r="53" spans="1:22">
      <c r="A53" s="551"/>
      <c r="B53" s="127" t="s">
        <v>159</v>
      </c>
      <c r="C53" s="122">
        <v>350.76499999999999</v>
      </c>
      <c r="D53" s="122">
        <v>105.648</v>
      </c>
      <c r="E53" s="122">
        <v>96.566999999999993</v>
      </c>
      <c r="F53" s="122">
        <v>55.234000000000002</v>
      </c>
      <c r="G53" s="122">
        <v>25.344999999999999</v>
      </c>
      <c r="H53" s="122">
        <v>14.648999999999999</v>
      </c>
      <c r="I53" s="122">
        <v>1.2803483500000001</v>
      </c>
      <c r="J53" s="122">
        <v>0.77200000000000002</v>
      </c>
      <c r="K53" s="122">
        <v>553.75199999999995</v>
      </c>
      <c r="L53" s="122">
        <v>-1.7969999999999999</v>
      </c>
      <c r="M53" s="122">
        <v>551.95500000000004</v>
      </c>
      <c r="N53" s="122">
        <v>161.16999999999999</v>
      </c>
      <c r="O53" s="122">
        <v>713.125</v>
      </c>
      <c r="P53" s="122">
        <v>163.72200000000001</v>
      </c>
      <c r="Q53" s="122">
        <v>0.80200000000000005</v>
      </c>
      <c r="R53" s="122">
        <v>550.20500000000004</v>
      </c>
      <c r="S53" s="123">
        <v>488.31900000000002</v>
      </c>
      <c r="U53" s="125"/>
      <c r="V53" s="125"/>
    </row>
    <row r="54" spans="1:22">
      <c r="A54" s="551"/>
      <c r="B54" s="127" t="s">
        <v>160</v>
      </c>
      <c r="C54" s="122">
        <v>280.61399999999998</v>
      </c>
      <c r="D54" s="122">
        <v>86.757999999999996</v>
      </c>
      <c r="E54" s="122">
        <v>78.83</v>
      </c>
      <c r="F54" s="122">
        <v>44.94</v>
      </c>
      <c r="G54" s="122">
        <v>16.375</v>
      </c>
      <c r="H54" s="122">
        <v>16.449000000000002</v>
      </c>
      <c r="I54" s="122">
        <v>0.82826728999999999</v>
      </c>
      <c r="J54" s="122">
        <v>-7.0940000000000003</v>
      </c>
      <c r="K54" s="122">
        <v>439.108</v>
      </c>
      <c r="L54" s="122">
        <v>-7.944</v>
      </c>
      <c r="M54" s="122">
        <v>431.16399999999999</v>
      </c>
      <c r="N54" s="122">
        <v>142.87700000000001</v>
      </c>
      <c r="O54" s="122">
        <v>574.04100000000005</v>
      </c>
      <c r="P54" s="122">
        <v>127.715</v>
      </c>
      <c r="Q54" s="122">
        <v>-3.133</v>
      </c>
      <c r="R54" s="122">
        <v>443.19299999999998</v>
      </c>
      <c r="S54" s="123">
        <v>392.24900000000002</v>
      </c>
      <c r="U54" s="125"/>
      <c r="V54" s="125"/>
    </row>
    <row r="55" spans="1:22" ht="15.75">
      <c r="A55" s="128"/>
      <c r="B55" s="127" t="s">
        <v>161</v>
      </c>
      <c r="C55" s="122">
        <v>335.36</v>
      </c>
      <c r="D55" s="122">
        <v>102.47499999999999</v>
      </c>
      <c r="E55" s="122">
        <v>91.552999999999997</v>
      </c>
      <c r="F55" s="122">
        <v>48.807000000000002</v>
      </c>
      <c r="G55" s="122">
        <v>25.414999999999999</v>
      </c>
      <c r="H55" s="122">
        <v>16.204000000000001</v>
      </c>
      <c r="I55" s="122">
        <v>1.3138825300000001</v>
      </c>
      <c r="J55" s="122">
        <v>-0.58599999999999997</v>
      </c>
      <c r="K55" s="122">
        <v>528.80200000000002</v>
      </c>
      <c r="L55" s="122">
        <v>-4.0179999999999998</v>
      </c>
      <c r="M55" s="122">
        <v>524.78399999999999</v>
      </c>
      <c r="N55" s="122">
        <v>143.89099999999999</v>
      </c>
      <c r="O55" s="122">
        <v>668.67499999999995</v>
      </c>
      <c r="P55" s="122">
        <v>146.637</v>
      </c>
      <c r="Q55" s="122">
        <v>-0.96499999999999997</v>
      </c>
      <c r="R55" s="122">
        <v>521.07299999999998</v>
      </c>
      <c r="S55" s="123">
        <v>462.31299999999999</v>
      </c>
      <c r="U55" s="125"/>
      <c r="V55" s="125"/>
    </row>
    <row r="56" spans="1:22" ht="15.75">
      <c r="A56" s="128"/>
      <c r="B56" s="127" t="s">
        <v>162</v>
      </c>
      <c r="C56" s="122">
        <v>330.55799999999999</v>
      </c>
      <c r="D56" s="122">
        <v>106.312</v>
      </c>
      <c r="E56" s="122">
        <v>94.971999999999994</v>
      </c>
      <c r="F56" s="122">
        <v>51.232999999999997</v>
      </c>
      <c r="G56" s="122">
        <v>26.062999999999999</v>
      </c>
      <c r="H56" s="122">
        <v>16.460999999999999</v>
      </c>
      <c r="I56" s="122">
        <v>1.3410186100000003</v>
      </c>
      <c r="J56" s="122">
        <v>6.1820000000000004</v>
      </c>
      <c r="K56" s="122">
        <v>538.024</v>
      </c>
      <c r="L56" s="122">
        <v>4.282</v>
      </c>
      <c r="M56" s="122">
        <v>542.30600000000004</v>
      </c>
      <c r="N56" s="122">
        <v>153.86600000000001</v>
      </c>
      <c r="O56" s="122">
        <v>696.17200000000003</v>
      </c>
      <c r="P56" s="122">
        <v>167.21100000000001</v>
      </c>
      <c r="Q56" s="122">
        <v>-5.8999999999999997E-2</v>
      </c>
      <c r="R56" s="122">
        <v>528.90200000000004</v>
      </c>
      <c r="S56" s="123">
        <v>469.45299999999997</v>
      </c>
      <c r="U56" s="125"/>
      <c r="V56" s="125"/>
    </row>
    <row r="57" spans="1:22" ht="15.75">
      <c r="A57" s="128"/>
      <c r="B57" s="127" t="s">
        <v>163</v>
      </c>
      <c r="C57" s="122">
        <v>317.7</v>
      </c>
      <c r="D57" s="122">
        <v>108.09699999999999</v>
      </c>
      <c r="E57" s="122">
        <v>93.346000000000004</v>
      </c>
      <c r="F57" s="122">
        <v>46.844000000000001</v>
      </c>
      <c r="G57" s="122">
        <v>25.736000000000001</v>
      </c>
      <c r="H57" s="122">
        <v>19.466999999999999</v>
      </c>
      <c r="I57" s="122">
        <v>1.29537371</v>
      </c>
      <c r="J57" s="122">
        <v>6.7460000000000004</v>
      </c>
      <c r="K57" s="122">
        <v>525.88900000000001</v>
      </c>
      <c r="L57" s="122">
        <v>2.774</v>
      </c>
      <c r="M57" s="122">
        <v>528.66300000000001</v>
      </c>
      <c r="N57" s="122">
        <v>143.07400000000001</v>
      </c>
      <c r="O57" s="122">
        <v>671.07799999999997</v>
      </c>
      <c r="P57" s="122">
        <v>148.892</v>
      </c>
      <c r="Q57" s="122">
        <v>-0.13300000000000001</v>
      </c>
      <c r="R57" s="122">
        <v>522.71199999999999</v>
      </c>
      <c r="S57" s="123">
        <v>464.221</v>
      </c>
      <c r="U57" s="125"/>
      <c r="V57" s="125"/>
    </row>
    <row r="58" spans="1:22" ht="15.75">
      <c r="A58" s="110"/>
      <c r="B58" s="127" t="s">
        <v>164</v>
      </c>
      <c r="C58" s="122">
        <v>345.053</v>
      </c>
      <c r="D58" s="122">
        <v>116.428</v>
      </c>
      <c r="E58" s="122">
        <v>95.328999999999994</v>
      </c>
      <c r="F58" s="122">
        <v>50.764000000000003</v>
      </c>
      <c r="G58" s="122">
        <v>26.242999999999999</v>
      </c>
      <c r="H58" s="122">
        <v>16.876000000000001</v>
      </c>
      <c r="I58" s="122">
        <v>1.4705516399999998</v>
      </c>
      <c r="J58" s="122">
        <v>-0.63800000000000001</v>
      </c>
      <c r="K58" s="122">
        <v>556.17200000000003</v>
      </c>
      <c r="L58" s="122">
        <v>-2.0859999999999999</v>
      </c>
      <c r="M58" s="122">
        <v>554.08600000000001</v>
      </c>
      <c r="N58" s="122">
        <v>153.136</v>
      </c>
      <c r="O58" s="122">
        <v>706.65499999999997</v>
      </c>
      <c r="P58" s="122">
        <v>155.24199999999999</v>
      </c>
      <c r="Q58" s="122">
        <v>0.25700000000000001</v>
      </c>
      <c r="R58" s="122">
        <v>552.23699999999997</v>
      </c>
      <c r="S58" s="123">
        <v>491.40600000000001</v>
      </c>
      <c r="U58" s="125"/>
      <c r="V58" s="125"/>
    </row>
    <row r="59" spans="1:22" ht="15.75">
      <c r="A59" s="110"/>
      <c r="B59" s="127" t="s">
        <v>165</v>
      </c>
      <c r="C59" s="122">
        <v>355.11500000000001</v>
      </c>
      <c r="D59" s="122">
        <v>116.40900000000001</v>
      </c>
      <c r="E59" s="122">
        <v>95.097999999999999</v>
      </c>
      <c r="F59" s="122">
        <v>50.368000000000002</v>
      </c>
      <c r="G59" s="122">
        <v>26.224</v>
      </c>
      <c r="H59" s="122">
        <v>17.039000000000001</v>
      </c>
      <c r="I59" s="122">
        <v>1.47781915</v>
      </c>
      <c r="J59" s="122">
        <v>3.0579999999999998</v>
      </c>
      <c r="K59" s="122">
        <v>569.67999999999995</v>
      </c>
      <c r="L59" s="122">
        <v>2.7250000000000001</v>
      </c>
      <c r="M59" s="122">
        <v>572.40499999999997</v>
      </c>
      <c r="N59" s="122">
        <v>145.874</v>
      </c>
      <c r="O59" s="122">
        <v>714.29499999999996</v>
      </c>
      <c r="P59" s="122">
        <v>160.828</v>
      </c>
      <c r="Q59" s="122">
        <v>0.247</v>
      </c>
      <c r="R59" s="122">
        <v>557.69799999999998</v>
      </c>
      <c r="S59" s="123">
        <v>495.48700000000002</v>
      </c>
      <c r="U59" s="125"/>
      <c r="V59" s="125"/>
    </row>
    <row r="60" spans="1:22" ht="15.75">
      <c r="A60" s="110"/>
      <c r="B60" s="127" t="s">
        <v>166</v>
      </c>
      <c r="C60" s="122">
        <v>358.983</v>
      </c>
      <c r="D60" s="122">
        <v>118.62</v>
      </c>
      <c r="E60" s="122">
        <v>97.177999999999997</v>
      </c>
      <c r="F60" s="122">
        <v>50.829000000000001</v>
      </c>
      <c r="G60" s="122">
        <v>26.760999999999999</v>
      </c>
      <c r="H60" s="122">
        <v>17.943999999999999</v>
      </c>
      <c r="I60" s="122">
        <v>1.5490651299999998</v>
      </c>
      <c r="J60" s="122">
        <v>-5.26</v>
      </c>
      <c r="K60" s="122">
        <v>569.52099999999996</v>
      </c>
      <c r="L60" s="122">
        <v>-1.2609999999999999</v>
      </c>
      <c r="M60" s="122">
        <v>568.26</v>
      </c>
      <c r="N60" s="122">
        <v>152.95500000000001</v>
      </c>
      <c r="O60" s="122">
        <v>721.21500000000003</v>
      </c>
      <c r="P60" s="122">
        <v>158.393</v>
      </c>
      <c r="Q60" s="122">
        <v>0.248</v>
      </c>
      <c r="R60" s="122">
        <v>563.07000000000005</v>
      </c>
      <c r="S60" s="123">
        <v>500.46600000000001</v>
      </c>
      <c r="U60" s="125"/>
      <c r="V60" s="125"/>
    </row>
    <row r="61" spans="1:22" ht="15.75">
      <c r="A61" s="110"/>
      <c r="B61" s="127" t="s">
        <v>167</v>
      </c>
      <c r="C61" s="122">
        <v>361.13689799999997</v>
      </c>
      <c r="D61" s="122">
        <v>117.86083199999999</v>
      </c>
      <c r="E61" s="122">
        <v>97.831538291494979</v>
      </c>
      <c r="F61" s="122">
        <v>52.465287199999999</v>
      </c>
      <c r="G61" s="122">
        <v>26.857642288855939</v>
      </c>
      <c r="H61" s="122">
        <v>16.980313300000006</v>
      </c>
      <c r="I61" s="122">
        <v>1.5282955374208449</v>
      </c>
      <c r="J61" s="122">
        <v>-0.8075</v>
      </c>
      <c r="K61" s="122">
        <v>576.02176829149494</v>
      </c>
      <c r="L61" s="122">
        <v>-1.28310163</v>
      </c>
      <c r="M61" s="122">
        <v>574.7386666614949</v>
      </c>
      <c r="N61" s="122">
        <v>154.37705</v>
      </c>
      <c r="O61" s="122">
        <v>729.1157169999999</v>
      </c>
      <c r="P61" s="122">
        <v>163.61068499999999</v>
      </c>
      <c r="Q61" s="122">
        <v>0.248</v>
      </c>
      <c r="R61" s="122">
        <v>565.75303166274387</v>
      </c>
      <c r="S61" s="123">
        <v>502.89597800000001</v>
      </c>
      <c r="U61" s="125"/>
      <c r="V61" s="125"/>
    </row>
    <row r="62" spans="1:22" ht="15.75">
      <c r="A62" s="110"/>
      <c r="B62" s="127" t="s">
        <v>168</v>
      </c>
      <c r="C62" s="122">
        <v>362.94258200000002</v>
      </c>
      <c r="D62" s="122">
        <v>117.471891</v>
      </c>
      <c r="E62" s="122">
        <v>99.637029604132465</v>
      </c>
      <c r="F62" s="122">
        <v>54.1376183</v>
      </c>
      <c r="G62" s="122">
        <v>26.644015530793968</v>
      </c>
      <c r="H62" s="122">
        <v>17.397090800000004</v>
      </c>
      <c r="I62" s="122">
        <v>1.4583050311789125</v>
      </c>
      <c r="J62" s="122">
        <v>-0.8075</v>
      </c>
      <c r="K62" s="122">
        <v>579.24400260413256</v>
      </c>
      <c r="L62" s="122">
        <v>-0.88264269900000003</v>
      </c>
      <c r="M62" s="122">
        <v>578.36135990513253</v>
      </c>
      <c r="N62" s="122">
        <v>158.85215415364556</v>
      </c>
      <c r="O62" s="122">
        <v>737.21351399999992</v>
      </c>
      <c r="P62" s="122">
        <v>168.15496648641323</v>
      </c>
      <c r="Q62" s="122">
        <v>0.248</v>
      </c>
      <c r="R62" s="122">
        <v>569.30654757285106</v>
      </c>
      <c r="S62" s="123">
        <v>506.10578800000002</v>
      </c>
      <c r="U62" s="125"/>
      <c r="V62" s="125"/>
    </row>
    <row r="63" spans="1:22" ht="15.75">
      <c r="A63" s="110"/>
      <c r="B63" s="127" t="s">
        <v>169</v>
      </c>
      <c r="C63" s="122">
        <v>364.03783099999998</v>
      </c>
      <c r="D63" s="122">
        <v>117.918284</v>
      </c>
      <c r="E63" s="122">
        <v>102.12808701898524</v>
      </c>
      <c r="F63" s="122">
        <v>55.915310099999999</v>
      </c>
      <c r="G63" s="122">
        <v>26.917384662290623</v>
      </c>
      <c r="H63" s="122">
        <v>17.828386200000001</v>
      </c>
      <c r="I63" s="122">
        <v>1.4670060163088212</v>
      </c>
      <c r="J63" s="122">
        <v>-0.8075</v>
      </c>
      <c r="K63" s="122">
        <v>583.27670201898525</v>
      </c>
      <c r="L63" s="122">
        <v>-1.55142738</v>
      </c>
      <c r="M63" s="122">
        <v>581.7252746389853</v>
      </c>
      <c r="N63" s="122">
        <v>160.60649502848511</v>
      </c>
      <c r="O63" s="122">
        <v>742.33177000000001</v>
      </c>
      <c r="P63" s="122">
        <v>171.31044972155826</v>
      </c>
      <c r="Q63" s="122">
        <v>0.248</v>
      </c>
      <c r="R63" s="122">
        <v>571.26931994919153</v>
      </c>
      <c r="S63" s="123">
        <v>507.89408299999997</v>
      </c>
      <c r="U63" s="125"/>
      <c r="V63" s="125"/>
    </row>
    <row r="64" spans="1:22" ht="15.75">
      <c r="A64" s="110"/>
      <c r="B64" s="127" t="s">
        <v>170</v>
      </c>
      <c r="C64" s="122">
        <v>363.52943599999998</v>
      </c>
      <c r="D64" s="122">
        <v>118.36637399999999</v>
      </c>
      <c r="E64" s="122">
        <v>104.388930236763</v>
      </c>
      <c r="F64" s="122">
        <v>57.3020098</v>
      </c>
      <c r="G64" s="122">
        <v>27.264521444087563</v>
      </c>
      <c r="H64" s="122">
        <v>18.340025000000001</v>
      </c>
      <c r="I64" s="122">
        <v>1.4823739668284308</v>
      </c>
      <c r="J64" s="122">
        <v>-0.8075</v>
      </c>
      <c r="K64" s="122">
        <v>585.47724023676301</v>
      </c>
      <c r="L64" s="122">
        <v>-1.2907144699999999</v>
      </c>
      <c r="M64" s="122">
        <v>584.186525766763</v>
      </c>
      <c r="N64" s="122">
        <v>161.62636201717322</v>
      </c>
      <c r="O64" s="122">
        <v>745.81288800000004</v>
      </c>
      <c r="P64" s="122">
        <v>173.57174765788284</v>
      </c>
      <c r="Q64" s="122">
        <v>0.248</v>
      </c>
      <c r="R64" s="122">
        <v>572.48914012911791</v>
      </c>
      <c r="S64" s="123">
        <v>509.02365500000002</v>
      </c>
      <c r="U64" s="125"/>
      <c r="V64" s="125"/>
    </row>
    <row r="65" spans="1:22" ht="15.75">
      <c r="A65" s="110"/>
      <c r="B65" s="129" t="s">
        <v>171</v>
      </c>
      <c r="C65" s="122">
        <v>364.25649499999997</v>
      </c>
      <c r="D65" s="122">
        <v>118.78065600000001</v>
      </c>
      <c r="E65" s="122">
        <v>105.98832659433803</v>
      </c>
      <c r="F65" s="122">
        <v>58.004914499999998</v>
      </c>
      <c r="G65" s="122">
        <v>27.581801109734005</v>
      </c>
      <c r="H65" s="122">
        <v>18.9045065</v>
      </c>
      <c r="I65" s="122">
        <v>1.4971045588772964</v>
      </c>
      <c r="J65" s="122">
        <v>-0.8075</v>
      </c>
      <c r="K65" s="122">
        <v>588.21797759433798</v>
      </c>
      <c r="L65" s="122">
        <v>-1.74053243</v>
      </c>
      <c r="M65" s="122">
        <v>586.47744516433795</v>
      </c>
      <c r="N65" s="122">
        <v>162.46168315527726</v>
      </c>
      <c r="O65" s="122">
        <v>748.93912799999998</v>
      </c>
      <c r="P65" s="122">
        <v>174.33546334757756</v>
      </c>
      <c r="Q65" s="122">
        <v>0.248</v>
      </c>
      <c r="R65" s="122">
        <v>574.85166497470607</v>
      </c>
      <c r="S65" s="123">
        <v>511.19544300000001</v>
      </c>
      <c r="U65" s="125"/>
      <c r="V65" s="125"/>
    </row>
    <row r="66" spans="1:22" ht="15.75">
      <c r="A66" s="110"/>
      <c r="B66" s="129" t="s">
        <v>172</v>
      </c>
      <c r="C66" s="122">
        <v>365.898483</v>
      </c>
      <c r="D66" s="122">
        <v>119.17263199999999</v>
      </c>
      <c r="E66" s="122">
        <v>106.12980751542976</v>
      </c>
      <c r="F66" s="122">
        <v>57.834446000000007</v>
      </c>
      <c r="G66" s="122">
        <v>27.677939952318592</v>
      </c>
      <c r="H66" s="122">
        <v>19.0395416</v>
      </c>
      <c r="I66" s="122">
        <v>1.5778799776027894</v>
      </c>
      <c r="J66" s="122">
        <v>-0.8075</v>
      </c>
      <c r="K66" s="122">
        <v>590.39342251542973</v>
      </c>
      <c r="L66" s="122">
        <v>-0.98845410200000006</v>
      </c>
      <c r="M66" s="122">
        <v>589.40496841342986</v>
      </c>
      <c r="N66" s="122">
        <v>163.12506362457373</v>
      </c>
      <c r="O66" s="122">
        <v>752.53003200000001</v>
      </c>
      <c r="P66" s="122">
        <v>174.59696654259892</v>
      </c>
      <c r="Q66" s="122">
        <v>0.248</v>
      </c>
      <c r="R66" s="122">
        <v>578.18106549538663</v>
      </c>
      <c r="S66" s="123">
        <v>514.23438299999998</v>
      </c>
      <c r="U66" s="125"/>
      <c r="V66" s="125"/>
    </row>
    <row r="67" spans="1:22" ht="15.75">
      <c r="A67" s="110"/>
      <c r="B67" s="129" t="s">
        <v>173</v>
      </c>
      <c r="C67" s="122">
        <v>367.54502600000001</v>
      </c>
      <c r="D67" s="122">
        <v>119.553985</v>
      </c>
      <c r="E67" s="122">
        <v>106.23141866667416</v>
      </c>
      <c r="F67" s="122">
        <v>57.887644000000002</v>
      </c>
      <c r="G67" s="122">
        <v>27.684563105787397</v>
      </c>
      <c r="H67" s="122">
        <v>19.0835477</v>
      </c>
      <c r="I67" s="122">
        <v>1.5756639556651892</v>
      </c>
      <c r="J67" s="122">
        <v>-0.8075</v>
      </c>
      <c r="K67" s="122">
        <v>592.52292966667414</v>
      </c>
      <c r="L67" s="122">
        <v>-0.80738799800000005</v>
      </c>
      <c r="M67" s="122">
        <v>591.71554166867406</v>
      </c>
      <c r="N67" s="122">
        <v>163.62702220205247</v>
      </c>
      <c r="O67" s="122">
        <v>755.34256400000004</v>
      </c>
      <c r="P67" s="122">
        <v>174.22481357481792</v>
      </c>
      <c r="Q67" s="122">
        <v>0.248</v>
      </c>
      <c r="R67" s="122">
        <v>581.36575029595758</v>
      </c>
      <c r="S67" s="123">
        <v>517.13888199999997</v>
      </c>
      <c r="U67" s="125"/>
      <c r="V67" s="125"/>
    </row>
    <row r="68" spans="1:22" ht="15.75">
      <c r="A68" s="110"/>
      <c r="B68" s="129" t="s">
        <v>174</v>
      </c>
      <c r="C68" s="122">
        <v>368.64766100000003</v>
      </c>
      <c r="D68" s="122">
        <v>119.94851300000001</v>
      </c>
      <c r="E68" s="122">
        <v>106.76026553887723</v>
      </c>
      <c r="F68" s="122">
        <v>58.461017300000002</v>
      </c>
      <c r="G68" s="122">
        <v>27.690754528458267</v>
      </c>
      <c r="H68" s="122">
        <v>19.034327099999999</v>
      </c>
      <c r="I68" s="122">
        <v>1.5741666791658382</v>
      </c>
      <c r="J68" s="122">
        <v>-0.8075</v>
      </c>
      <c r="K68" s="122">
        <v>594.54893953887722</v>
      </c>
      <c r="L68" s="122">
        <v>-0.98277700100000009</v>
      </c>
      <c r="M68" s="122">
        <v>593.56616253787718</v>
      </c>
      <c r="N68" s="122">
        <v>164.09471701651793</v>
      </c>
      <c r="O68" s="122">
        <v>757.66088000000002</v>
      </c>
      <c r="P68" s="122">
        <v>173.35410433703899</v>
      </c>
      <c r="Q68" s="122">
        <v>0.248</v>
      </c>
      <c r="R68" s="122">
        <v>584.55477521777391</v>
      </c>
      <c r="S68" s="123">
        <v>520.04093699999999</v>
      </c>
      <c r="U68" s="125"/>
      <c r="V68" s="125"/>
    </row>
    <row r="69" spans="1:22" ht="15.75">
      <c r="A69" s="110"/>
      <c r="B69" s="129" t="s">
        <v>175</v>
      </c>
      <c r="C69" s="122">
        <v>370.12225100000001</v>
      </c>
      <c r="D69" s="122">
        <v>120.36833299999999</v>
      </c>
      <c r="E69" s="122">
        <v>107.15243577072459</v>
      </c>
      <c r="F69" s="122">
        <v>58.943087599999998</v>
      </c>
      <c r="G69" s="122">
        <v>27.743801591974684</v>
      </c>
      <c r="H69" s="122">
        <v>18.8897051</v>
      </c>
      <c r="I69" s="122">
        <v>1.5758414363930575</v>
      </c>
      <c r="J69" s="122">
        <v>-0.8075</v>
      </c>
      <c r="K69" s="122">
        <v>596.83551977072455</v>
      </c>
      <c r="L69" s="122">
        <v>-0.93191548400000002</v>
      </c>
      <c r="M69" s="122">
        <v>595.90360428672454</v>
      </c>
      <c r="N69" s="122">
        <v>164.43112946603523</v>
      </c>
      <c r="O69" s="122">
        <v>760.33473400000003</v>
      </c>
      <c r="P69" s="122">
        <v>173.02507392040383</v>
      </c>
      <c r="Q69" s="122">
        <v>0.248</v>
      </c>
      <c r="R69" s="122">
        <v>587.55765983240349</v>
      </c>
      <c r="S69" s="123">
        <v>522.76663900000005</v>
      </c>
      <c r="U69" s="125"/>
      <c r="V69" s="125"/>
    </row>
    <row r="70" spans="1:22" ht="15.75">
      <c r="A70" s="110"/>
      <c r="B70" s="129" t="s">
        <v>176</v>
      </c>
      <c r="C70" s="122">
        <v>371.51344699999999</v>
      </c>
      <c r="D70" s="122">
        <v>120.801659</v>
      </c>
      <c r="E70" s="122">
        <v>107.72606007289711</v>
      </c>
      <c r="F70" s="122">
        <v>59.6736729</v>
      </c>
      <c r="G70" s="122">
        <v>27.824470891492485</v>
      </c>
      <c r="H70" s="122">
        <v>18.647535899999998</v>
      </c>
      <c r="I70" s="122">
        <v>1.5803803631607443</v>
      </c>
      <c r="J70" s="122">
        <v>-0.8075</v>
      </c>
      <c r="K70" s="122">
        <v>599.23366607289711</v>
      </c>
      <c r="L70" s="122">
        <v>-0.835174313</v>
      </c>
      <c r="M70" s="122">
        <v>598.39849175989707</v>
      </c>
      <c r="N70" s="122">
        <v>164.60553087071966</v>
      </c>
      <c r="O70" s="122">
        <v>763.00402300000007</v>
      </c>
      <c r="P70" s="122">
        <v>172.59406966445755</v>
      </c>
      <c r="Q70" s="122">
        <v>0.248</v>
      </c>
      <c r="R70" s="122">
        <v>590.65795296649912</v>
      </c>
      <c r="S70" s="123">
        <v>525.59110600000008</v>
      </c>
      <c r="U70" s="125"/>
      <c r="V70" s="125"/>
    </row>
    <row r="71" spans="1:22" ht="15.75">
      <c r="A71" s="110"/>
      <c r="B71" s="129" t="s">
        <v>177</v>
      </c>
      <c r="C71" s="122">
        <v>372.84639299999998</v>
      </c>
      <c r="D71" s="122">
        <v>121.260705</v>
      </c>
      <c r="E71" s="122">
        <v>108.53767623457416</v>
      </c>
      <c r="F71" s="122">
        <v>60.504798799999996</v>
      </c>
      <c r="G71" s="122">
        <v>27.932930994396891</v>
      </c>
      <c r="H71" s="122">
        <v>18.5129856</v>
      </c>
      <c r="I71" s="122">
        <v>1.5869608626702552</v>
      </c>
      <c r="J71" s="122">
        <v>-0.8075</v>
      </c>
      <c r="K71" s="122">
        <v>601.83727423457412</v>
      </c>
      <c r="L71" s="122">
        <v>-0.95222984099999997</v>
      </c>
      <c r="M71" s="122">
        <v>600.88504439357416</v>
      </c>
      <c r="N71" s="122">
        <v>164.58495919539931</v>
      </c>
      <c r="O71" s="122">
        <v>765.4700039999999</v>
      </c>
      <c r="P71" s="122">
        <v>172.1856853031972</v>
      </c>
      <c r="Q71" s="122">
        <v>0.248</v>
      </c>
      <c r="R71" s="122">
        <v>593.53231828556932</v>
      </c>
      <c r="S71" s="123">
        <v>528.1924570000001</v>
      </c>
      <c r="U71" s="125"/>
      <c r="V71" s="125"/>
    </row>
    <row r="72" spans="1:22" ht="15.75">
      <c r="A72" s="110"/>
      <c r="B72" s="129" t="s">
        <v>178</v>
      </c>
      <c r="C72" s="122">
        <v>373.82074800000004</v>
      </c>
      <c r="D72" s="122">
        <v>121.733622</v>
      </c>
      <c r="E72" s="122">
        <v>109.48729859254453</v>
      </c>
      <c r="F72" s="122">
        <v>61.371250500000002</v>
      </c>
      <c r="G72" s="122">
        <v>28.034321773685949</v>
      </c>
      <c r="H72" s="122">
        <v>18.488709599999996</v>
      </c>
      <c r="I72" s="122">
        <v>1.5930167515675324</v>
      </c>
      <c r="J72" s="122">
        <v>-0.8075</v>
      </c>
      <c r="K72" s="122">
        <v>604.23416859254451</v>
      </c>
      <c r="L72" s="122">
        <v>-0.71256464000000008</v>
      </c>
      <c r="M72" s="122">
        <v>603.52160395254452</v>
      </c>
      <c r="N72" s="122">
        <v>164.4169477398313</v>
      </c>
      <c r="O72" s="122">
        <v>767.93855200000007</v>
      </c>
      <c r="P72" s="122">
        <v>171.86257925578911</v>
      </c>
      <c r="Q72" s="122">
        <v>0.248</v>
      </c>
      <c r="R72" s="122">
        <v>596.32397243703997</v>
      </c>
      <c r="S72" s="123">
        <v>530.71237499999995</v>
      </c>
      <c r="U72" s="125"/>
      <c r="V72" s="125"/>
    </row>
    <row r="73" spans="1:22" ht="15.75">
      <c r="A73" s="110"/>
      <c r="B73" s="129" t="s">
        <v>179</v>
      </c>
      <c r="C73" s="122">
        <v>374.79779599999995</v>
      </c>
      <c r="D73" s="122">
        <v>122.220556</v>
      </c>
      <c r="E73" s="122">
        <v>110.487773560029</v>
      </c>
      <c r="F73" s="122">
        <v>62.177838300000005</v>
      </c>
      <c r="G73" s="122">
        <v>28.133685595188641</v>
      </c>
      <c r="H73" s="122">
        <v>18.577330499999999</v>
      </c>
      <c r="I73" s="122">
        <v>1.5989192064385784</v>
      </c>
      <c r="J73" s="122">
        <v>-0.8075</v>
      </c>
      <c r="K73" s="122">
        <v>606.69862556002897</v>
      </c>
      <c r="L73" s="122">
        <v>-0.48544592599999997</v>
      </c>
      <c r="M73" s="122">
        <v>606.21317963402896</v>
      </c>
      <c r="N73" s="122">
        <v>164.24555640075181</v>
      </c>
      <c r="O73" s="122">
        <v>770.45873600000004</v>
      </c>
      <c r="P73" s="122">
        <v>171.74481858239301</v>
      </c>
      <c r="Q73" s="122">
        <v>0.248</v>
      </c>
      <c r="R73" s="122">
        <v>598.96191745283841</v>
      </c>
      <c r="S73" s="123">
        <v>533.08613100000002</v>
      </c>
      <c r="U73" s="125"/>
      <c r="V73" s="125"/>
    </row>
    <row r="74" spans="1:22" ht="15.75">
      <c r="A74" s="110"/>
      <c r="B74" s="129" t="s">
        <v>180</v>
      </c>
      <c r="C74" s="122">
        <v>375.75676600000003</v>
      </c>
      <c r="D74" s="122">
        <v>122.721661</v>
      </c>
      <c r="E74" s="122">
        <v>111.6351991771547</v>
      </c>
      <c r="F74" s="122">
        <v>63.011621599999998</v>
      </c>
      <c r="G74" s="122">
        <v>28.237030879152861</v>
      </c>
      <c r="H74" s="122">
        <v>18.781436200000002</v>
      </c>
      <c r="I74" s="122">
        <v>1.6051105120724101</v>
      </c>
      <c r="J74" s="122">
        <v>-0.8075</v>
      </c>
      <c r="K74" s="122">
        <v>609.30612617715474</v>
      </c>
      <c r="L74" s="122">
        <v>-0.581864716</v>
      </c>
      <c r="M74" s="122">
        <v>608.7242614611547</v>
      </c>
      <c r="N74" s="122">
        <v>164.07932419200819</v>
      </c>
      <c r="O74" s="122">
        <v>772.803586</v>
      </c>
      <c r="P74" s="122">
        <v>171.73733363504491</v>
      </c>
      <c r="Q74" s="122">
        <v>0.248</v>
      </c>
      <c r="R74" s="122">
        <v>601.31425201809554</v>
      </c>
      <c r="S74" s="123">
        <v>535.19525999999996</v>
      </c>
      <c r="U74" s="125"/>
      <c r="V74" s="125"/>
    </row>
    <row r="75" spans="1:22" ht="15.75">
      <c r="A75" s="110"/>
      <c r="B75" s="129" t="s">
        <v>181</v>
      </c>
      <c r="C75" s="122">
        <v>376.80888500000003</v>
      </c>
      <c r="D75" s="122">
        <v>123.249364</v>
      </c>
      <c r="E75" s="122">
        <v>112.71119768299815</v>
      </c>
      <c r="F75" s="122">
        <v>63.819769299999997</v>
      </c>
      <c r="G75" s="122">
        <v>28.33964988657501</v>
      </c>
      <c r="H75" s="122">
        <v>18.940534299999999</v>
      </c>
      <c r="I75" s="122">
        <v>1.611244107899088</v>
      </c>
      <c r="J75" s="122">
        <v>-0.8075</v>
      </c>
      <c r="K75" s="122">
        <v>611.96194668299825</v>
      </c>
      <c r="L75" s="122">
        <v>-0.65622767999999998</v>
      </c>
      <c r="M75" s="122">
        <v>611.30571900299822</v>
      </c>
      <c r="N75" s="122">
        <v>163.91854190938724</v>
      </c>
      <c r="O75" s="122">
        <v>775.22426100000007</v>
      </c>
      <c r="P75" s="122">
        <v>171.73733363504491</v>
      </c>
      <c r="Q75" s="122">
        <v>0.248</v>
      </c>
      <c r="R75" s="122">
        <v>603.73492727707526</v>
      </c>
      <c r="S75" s="123">
        <v>537.39623800000004</v>
      </c>
      <c r="U75" s="125"/>
      <c r="V75" s="125"/>
    </row>
    <row r="76" spans="1:22" ht="15.75">
      <c r="A76" s="110"/>
      <c r="B76" s="129" t="s">
        <v>182</v>
      </c>
      <c r="C76" s="122">
        <v>377.92357799999996</v>
      </c>
      <c r="D76" s="122">
        <v>123.816311</v>
      </c>
      <c r="E76" s="122">
        <v>113.64056509412758</v>
      </c>
      <c r="F76" s="122">
        <v>64.526738899999998</v>
      </c>
      <c r="G76" s="122">
        <v>28.442762520453062</v>
      </c>
      <c r="H76" s="122">
        <v>19.0536539</v>
      </c>
      <c r="I76" s="122">
        <v>1.617409779467412</v>
      </c>
      <c r="J76" s="122">
        <v>-0.8075</v>
      </c>
      <c r="K76" s="122">
        <v>614.57295409412757</v>
      </c>
      <c r="L76" s="122">
        <v>-0.65968200700000001</v>
      </c>
      <c r="M76" s="122">
        <v>613.91327208712755</v>
      </c>
      <c r="N76" s="122">
        <v>163.76350254975117</v>
      </c>
      <c r="O76" s="122">
        <v>777.67677500000002</v>
      </c>
      <c r="P76" s="122">
        <v>171.73379560860138</v>
      </c>
      <c r="Q76" s="122">
        <v>0.248</v>
      </c>
      <c r="R76" s="122">
        <v>606.19097902834653</v>
      </c>
      <c r="S76" s="123">
        <v>539.62785299999996</v>
      </c>
      <c r="U76" s="125"/>
      <c r="V76" s="125"/>
    </row>
    <row r="77" spans="1:22" ht="15.75">
      <c r="A77" s="110"/>
      <c r="B77" s="129" t="s">
        <v>183</v>
      </c>
      <c r="C77" s="122">
        <v>378.981764</v>
      </c>
      <c r="D77" s="122">
        <v>124.460156</v>
      </c>
      <c r="E77" s="122">
        <v>114.4974674334849</v>
      </c>
      <c r="F77" s="122">
        <v>65.206973500000004</v>
      </c>
      <c r="G77" s="122">
        <v>28.54700551893864</v>
      </c>
      <c r="H77" s="122">
        <v>19.119833999999997</v>
      </c>
      <c r="I77" s="122">
        <v>1.6236543880219001</v>
      </c>
      <c r="J77" s="122">
        <v>-0.8075</v>
      </c>
      <c r="K77" s="122">
        <v>617.13188743348485</v>
      </c>
      <c r="L77" s="122">
        <v>-0.64232919899999996</v>
      </c>
      <c r="M77" s="122">
        <v>616.48955823448489</v>
      </c>
      <c r="N77" s="122">
        <v>163.61450268670382</v>
      </c>
      <c r="O77" s="122">
        <v>780.104061</v>
      </c>
      <c r="P77" s="122">
        <v>171.73689482821737</v>
      </c>
      <c r="Q77" s="122">
        <v>0.248</v>
      </c>
      <c r="R77" s="122">
        <v>608.61516609267437</v>
      </c>
      <c r="S77" s="123">
        <v>541.82981999999993</v>
      </c>
      <c r="U77" s="125"/>
      <c r="V77" s="125"/>
    </row>
    <row r="78" spans="1:22" ht="15.75">
      <c r="A78" s="110"/>
      <c r="B78" s="129" t="s">
        <v>184</v>
      </c>
      <c r="C78" s="122">
        <v>380.198351</v>
      </c>
      <c r="D78" s="122">
        <v>125.13224000000001</v>
      </c>
      <c r="E78" s="122">
        <v>115.27719761561983</v>
      </c>
      <c r="F78" s="122">
        <v>65.86215709999999</v>
      </c>
      <c r="G78" s="122">
        <v>28.647306171502166</v>
      </c>
      <c r="H78" s="122">
        <v>19.138129799999998</v>
      </c>
      <c r="I78" s="122">
        <v>1.6296044980097344</v>
      </c>
      <c r="J78" s="122">
        <v>-0.8075</v>
      </c>
      <c r="K78" s="122">
        <v>619.80028861561993</v>
      </c>
      <c r="L78" s="122">
        <v>-0.50145809699999999</v>
      </c>
      <c r="M78" s="122">
        <v>619.29883051861987</v>
      </c>
      <c r="N78" s="122">
        <v>163.45965159382683</v>
      </c>
      <c r="O78" s="122">
        <v>782.75848199999996</v>
      </c>
      <c r="P78" s="122">
        <v>171.82879617414432</v>
      </c>
      <c r="Q78" s="122">
        <v>0.248</v>
      </c>
      <c r="R78" s="122">
        <v>611.17768593794381</v>
      </c>
      <c r="S78" s="123">
        <v>544.15927399999998</v>
      </c>
      <c r="U78" s="125"/>
      <c r="V78" s="125"/>
    </row>
    <row r="79" spans="1:22" ht="15.75">
      <c r="A79" s="110"/>
      <c r="B79" s="129" t="s">
        <v>185</v>
      </c>
      <c r="C79" s="122">
        <v>381.386123</v>
      </c>
      <c r="D79" s="122">
        <v>125.82046799999999</v>
      </c>
      <c r="E79" s="122">
        <v>116.09761581775392</v>
      </c>
      <c r="F79" s="122">
        <v>66.543587900000006</v>
      </c>
      <c r="G79" s="122">
        <v>28.750722769463295</v>
      </c>
      <c r="H79" s="122">
        <v>19.1675255</v>
      </c>
      <c r="I79" s="122">
        <v>1.6357796868119179</v>
      </c>
      <c r="J79" s="122">
        <v>-0.8075</v>
      </c>
      <c r="K79" s="122">
        <v>622.49670681775399</v>
      </c>
      <c r="L79" s="122">
        <v>-0.37914722299999998</v>
      </c>
      <c r="M79" s="122">
        <v>622.11755959475397</v>
      </c>
      <c r="N79" s="122">
        <v>163.29880563163098</v>
      </c>
      <c r="O79" s="122">
        <v>785.41636500000004</v>
      </c>
      <c r="P79" s="122">
        <v>171.88574548438257</v>
      </c>
      <c r="Q79" s="122">
        <v>0.248</v>
      </c>
      <c r="R79" s="122">
        <v>613.77861974214773</v>
      </c>
      <c r="S79" s="123">
        <v>546.53077700000006</v>
      </c>
      <c r="U79" s="125"/>
      <c r="V79" s="125"/>
    </row>
    <row r="80" spans="1:22" ht="15.75">
      <c r="A80" s="110"/>
      <c r="B80" s="129" t="s">
        <v>186</v>
      </c>
      <c r="C80" s="122">
        <v>382.638553</v>
      </c>
      <c r="D80" s="122">
        <v>126.52506200000001</v>
      </c>
      <c r="E80" s="122">
        <v>116.94632771465467</v>
      </c>
      <c r="F80" s="122">
        <v>67.247185000000002</v>
      </c>
      <c r="G80" s="122">
        <v>28.849249358134973</v>
      </c>
      <c r="H80" s="122">
        <v>19.208302800000002</v>
      </c>
      <c r="I80" s="122">
        <v>1.6415905888251772</v>
      </c>
      <c r="J80" s="122">
        <v>-0.8075</v>
      </c>
      <c r="K80" s="122">
        <v>625.3024427146546</v>
      </c>
      <c r="L80" s="122">
        <v>-0.17636922499999999</v>
      </c>
      <c r="M80" s="122">
        <v>625.12607348965457</v>
      </c>
      <c r="N80" s="122">
        <v>163.13182006010445</v>
      </c>
      <c r="O80" s="122">
        <v>788.25789399999996</v>
      </c>
      <c r="P80" s="122">
        <v>172.00133806608451</v>
      </c>
      <c r="Q80" s="122">
        <v>0.248</v>
      </c>
      <c r="R80" s="122">
        <v>616.50455548390175</v>
      </c>
      <c r="S80" s="123">
        <v>549.01755800000001</v>
      </c>
      <c r="U80" s="125"/>
      <c r="V80" s="125"/>
    </row>
    <row r="81" spans="1:22" ht="15.75">
      <c r="A81" s="110"/>
      <c r="B81" s="158" t="s">
        <v>187</v>
      </c>
      <c r="C81" s="131">
        <v>383.79125400000004</v>
      </c>
      <c r="D81" s="131">
        <v>127.233603</v>
      </c>
      <c r="E81" s="131">
        <v>117.83351401236871</v>
      </c>
      <c r="F81" s="131">
        <v>67.980978899999997</v>
      </c>
      <c r="G81" s="131">
        <v>28.9446602639395</v>
      </c>
      <c r="H81" s="131">
        <v>19.2607395</v>
      </c>
      <c r="I81" s="131">
        <v>1.6471352877765097</v>
      </c>
      <c r="J81" s="131">
        <v>-0.8075</v>
      </c>
      <c r="K81" s="131">
        <v>628.0508710123687</v>
      </c>
      <c r="L81" s="131">
        <v>2.33286477E-2</v>
      </c>
      <c r="M81" s="131">
        <v>628.07419966006876</v>
      </c>
      <c r="N81" s="131">
        <v>162.95854848844584</v>
      </c>
      <c r="O81" s="131">
        <v>791.03274799999997</v>
      </c>
      <c r="P81" s="131">
        <v>172.01076775419699</v>
      </c>
      <c r="Q81" s="131">
        <v>0.248</v>
      </c>
      <c r="R81" s="131">
        <v>619.26998039427338</v>
      </c>
      <c r="S81" s="132">
        <v>551.54324999999994</v>
      </c>
      <c r="U81" s="125"/>
      <c r="V81" s="125"/>
    </row>
    <row r="82" spans="1:22" ht="15.75">
      <c r="A82" s="110"/>
      <c r="B82" s="129">
        <v>2008</v>
      </c>
      <c r="C82" s="122">
        <v>1211.72</v>
      </c>
      <c r="D82" s="122">
        <v>374.72300000000001</v>
      </c>
      <c r="E82" s="122">
        <v>339.05700000000002</v>
      </c>
      <c r="F82" s="122">
        <v>189.244</v>
      </c>
      <c r="G82" s="122">
        <v>86.198999999999998</v>
      </c>
      <c r="H82" s="122">
        <v>56.604999999999997</v>
      </c>
      <c r="I82" s="122">
        <v>8.3719999999999999</v>
      </c>
      <c r="J82" s="122">
        <v>-1.0820000000000001</v>
      </c>
      <c r="K82" s="122">
        <v>1924.4179999999999</v>
      </c>
      <c r="L82" s="122">
        <v>-12.904</v>
      </c>
      <c r="M82" s="122">
        <v>1911.5139999999999</v>
      </c>
      <c r="N82" s="122">
        <v>549.47199999999998</v>
      </c>
      <c r="O82" s="122">
        <v>2466.6379999999999</v>
      </c>
      <c r="P82" s="122">
        <v>540.63300000000004</v>
      </c>
      <c r="Q82" s="122">
        <v>0</v>
      </c>
      <c r="R82" s="122">
        <v>1927.0340000000001</v>
      </c>
      <c r="S82" s="123">
        <v>1680.5239999999999</v>
      </c>
      <c r="U82" s="125"/>
      <c r="V82" s="125"/>
    </row>
    <row r="83" spans="1:22" ht="15.75">
      <c r="A83" s="110"/>
      <c r="B83" s="129">
        <v>2009</v>
      </c>
      <c r="C83" s="122">
        <v>1179.491</v>
      </c>
      <c r="D83" s="122">
        <v>379.68</v>
      </c>
      <c r="E83" s="122">
        <v>295.964</v>
      </c>
      <c r="F83" s="122">
        <v>157.22399999999999</v>
      </c>
      <c r="G83" s="122">
        <v>66.823999999999998</v>
      </c>
      <c r="H83" s="122">
        <v>61.444000000000003</v>
      </c>
      <c r="I83" s="122">
        <v>10.669</v>
      </c>
      <c r="J83" s="122">
        <v>2.7130000000000001</v>
      </c>
      <c r="K83" s="122">
        <v>1857.848</v>
      </c>
      <c r="L83" s="122">
        <v>-32.929000000000002</v>
      </c>
      <c r="M83" s="122">
        <v>1824.9190000000001</v>
      </c>
      <c r="N83" s="122">
        <v>500.89600000000002</v>
      </c>
      <c r="O83" s="122">
        <v>2342.261</v>
      </c>
      <c r="P83" s="122">
        <v>498.62400000000002</v>
      </c>
      <c r="Q83" s="122">
        <v>0</v>
      </c>
      <c r="R83" s="122">
        <v>1845.1859999999999</v>
      </c>
      <c r="S83" s="123">
        <v>1611.6949999999999</v>
      </c>
      <c r="U83" s="125"/>
      <c r="V83" s="125"/>
    </row>
    <row r="84" spans="1:22" ht="15.75">
      <c r="A84" s="110"/>
      <c r="B84" s="129">
        <v>2010</v>
      </c>
      <c r="C84" s="122">
        <v>1199.942</v>
      </c>
      <c r="D84" s="122">
        <v>379.90100000000001</v>
      </c>
      <c r="E84" s="122">
        <v>306.89999999999998</v>
      </c>
      <c r="F84" s="122">
        <v>162.381</v>
      </c>
      <c r="G84" s="122">
        <v>71.558999999999997</v>
      </c>
      <c r="H84" s="122">
        <v>62.518999999999998</v>
      </c>
      <c r="I84" s="122">
        <v>10.639000000000001</v>
      </c>
      <c r="J84" s="122">
        <v>-0.03</v>
      </c>
      <c r="K84" s="122">
        <v>1886.713</v>
      </c>
      <c r="L84" s="122">
        <v>-6.6929999999999996</v>
      </c>
      <c r="M84" s="122">
        <v>1880.02</v>
      </c>
      <c r="N84" s="122">
        <v>528.83100000000002</v>
      </c>
      <c r="O84" s="122">
        <v>2421.056</v>
      </c>
      <c r="P84" s="122">
        <v>537.48699999999997</v>
      </c>
      <c r="Q84" s="122">
        <v>0</v>
      </c>
      <c r="R84" s="122">
        <v>1884.5150000000001</v>
      </c>
      <c r="S84" s="123">
        <v>1652.9949999999999</v>
      </c>
      <c r="U84" s="125"/>
      <c r="V84" s="125"/>
    </row>
    <row r="85" spans="1:22" ht="15.75">
      <c r="A85" s="110"/>
      <c r="B85" s="129">
        <v>2011</v>
      </c>
      <c r="C85" s="122">
        <v>1198.1179999999999</v>
      </c>
      <c r="D85" s="122">
        <v>384.411</v>
      </c>
      <c r="E85" s="122">
        <v>308.65499999999997</v>
      </c>
      <c r="F85" s="122">
        <v>169.59</v>
      </c>
      <c r="G85" s="122">
        <v>70.608000000000004</v>
      </c>
      <c r="H85" s="122">
        <v>58.792999999999999</v>
      </c>
      <c r="I85" s="122">
        <v>9.9130000000000003</v>
      </c>
      <c r="J85" s="122">
        <v>-0.745</v>
      </c>
      <c r="K85" s="122">
        <v>1890.4390000000001</v>
      </c>
      <c r="L85" s="122">
        <v>-3.298</v>
      </c>
      <c r="M85" s="122">
        <v>1887.1410000000001</v>
      </c>
      <c r="N85" s="122">
        <v>567.65800000000002</v>
      </c>
      <c r="O85" s="122">
        <v>2461.694</v>
      </c>
      <c r="P85" s="122">
        <v>550.45899999999995</v>
      </c>
      <c r="Q85" s="122">
        <v>0</v>
      </c>
      <c r="R85" s="122">
        <v>1911.9829999999999</v>
      </c>
      <c r="S85" s="123">
        <v>1687.4680000000001</v>
      </c>
      <c r="U85" s="125"/>
      <c r="V85" s="125"/>
    </row>
    <row r="86" spans="1:22" ht="15.75">
      <c r="A86" s="110"/>
      <c r="B86" s="129">
        <v>2012</v>
      </c>
      <c r="C86" s="122">
        <v>1219.4659999999999</v>
      </c>
      <c r="D86" s="122">
        <v>388.86700000000002</v>
      </c>
      <c r="E86" s="122">
        <v>313.35500000000002</v>
      </c>
      <c r="F86" s="122">
        <v>179.297</v>
      </c>
      <c r="G86" s="122">
        <v>70.778000000000006</v>
      </c>
      <c r="H86" s="122">
        <v>54.384</v>
      </c>
      <c r="I86" s="122">
        <v>8.9939999999999998</v>
      </c>
      <c r="J86" s="122">
        <v>-1.0780000000000001</v>
      </c>
      <c r="K86" s="122">
        <v>1920.61</v>
      </c>
      <c r="L86" s="122">
        <v>5.5220000000000002</v>
      </c>
      <c r="M86" s="122">
        <v>1926.1320000000001</v>
      </c>
      <c r="N86" s="122">
        <v>571.32899999999995</v>
      </c>
      <c r="O86" s="122">
        <v>2501.471</v>
      </c>
      <c r="P86" s="122">
        <v>561.88599999999997</v>
      </c>
      <c r="Q86" s="122">
        <v>0</v>
      </c>
      <c r="R86" s="122">
        <v>1940.087</v>
      </c>
      <c r="S86" s="123">
        <v>1720.2660000000001</v>
      </c>
      <c r="U86" s="125"/>
      <c r="V86" s="125"/>
    </row>
    <row r="87" spans="1:22" ht="15.75">
      <c r="A87" s="110"/>
      <c r="B87" s="129">
        <v>2013</v>
      </c>
      <c r="C87" s="122">
        <v>1247.837</v>
      </c>
      <c r="D87" s="122">
        <v>388.36500000000001</v>
      </c>
      <c r="E87" s="122">
        <v>323.63799999999998</v>
      </c>
      <c r="F87" s="122">
        <v>185.18100000000001</v>
      </c>
      <c r="G87" s="122">
        <v>77.503</v>
      </c>
      <c r="H87" s="122">
        <v>52.323</v>
      </c>
      <c r="I87" s="122">
        <v>8.4589999999999996</v>
      </c>
      <c r="J87" s="122">
        <v>6.9729999999999999</v>
      </c>
      <c r="K87" s="122">
        <v>1966.8130000000001</v>
      </c>
      <c r="L87" s="122">
        <v>6.9589999999999996</v>
      </c>
      <c r="M87" s="122">
        <v>1973.7719999999999</v>
      </c>
      <c r="N87" s="122">
        <v>576.29200000000003</v>
      </c>
      <c r="O87" s="122">
        <v>2555.989</v>
      </c>
      <c r="P87" s="122">
        <v>579.35</v>
      </c>
      <c r="Q87" s="122">
        <v>0</v>
      </c>
      <c r="R87" s="122">
        <v>1976.7550000000001</v>
      </c>
      <c r="S87" s="123">
        <v>1754.0940000000001</v>
      </c>
    </row>
    <row r="88" spans="1:22" ht="15.75">
      <c r="A88" s="110"/>
      <c r="B88" s="129">
        <v>2014</v>
      </c>
      <c r="C88" s="122">
        <v>1280.643</v>
      </c>
      <c r="D88" s="122">
        <v>395.96699999999998</v>
      </c>
      <c r="E88" s="122">
        <v>345.71499999999997</v>
      </c>
      <c r="F88" s="122">
        <v>196.416</v>
      </c>
      <c r="G88" s="122">
        <v>82.71</v>
      </c>
      <c r="H88" s="122">
        <v>56.579000000000001</v>
      </c>
      <c r="I88" s="122">
        <v>9.8099999999999987</v>
      </c>
      <c r="J88" s="122">
        <v>6.0129999999999999</v>
      </c>
      <c r="K88" s="122">
        <v>2028.338</v>
      </c>
      <c r="L88" s="122">
        <v>14.269</v>
      </c>
      <c r="M88" s="122">
        <v>2042.607</v>
      </c>
      <c r="N88" s="122">
        <v>581.00800000000004</v>
      </c>
      <c r="O88" s="122">
        <v>2642.7829999999999</v>
      </c>
      <c r="P88" s="122">
        <v>606.56399999999996</v>
      </c>
      <c r="Q88" s="122">
        <v>0</v>
      </c>
      <c r="R88" s="122">
        <v>2035.883</v>
      </c>
      <c r="S88" s="123">
        <v>1806.8030000000001</v>
      </c>
    </row>
    <row r="89" spans="1:22" ht="15.75">
      <c r="A89" s="110"/>
      <c r="B89" s="129">
        <v>2015</v>
      </c>
      <c r="C89" s="122">
        <v>1326.723</v>
      </c>
      <c r="D89" s="122">
        <v>401.06</v>
      </c>
      <c r="E89" s="122">
        <v>367.63400000000001</v>
      </c>
      <c r="F89" s="122">
        <v>214.66800000000001</v>
      </c>
      <c r="G89" s="122">
        <v>87.367999999999995</v>
      </c>
      <c r="H89" s="122">
        <v>55.866</v>
      </c>
      <c r="I89" s="122">
        <v>9.6050000000000004</v>
      </c>
      <c r="J89" s="122">
        <v>0.34599999999999997</v>
      </c>
      <c r="K89" s="122">
        <v>2095.7629999999999</v>
      </c>
      <c r="L89" s="122">
        <v>11.782</v>
      </c>
      <c r="M89" s="122">
        <v>2107.5450000000001</v>
      </c>
      <c r="N89" s="122">
        <v>602.88099999999997</v>
      </c>
      <c r="O89" s="122">
        <v>2726.5070000000001</v>
      </c>
      <c r="P89" s="122">
        <v>636.85400000000004</v>
      </c>
      <c r="Q89" s="122">
        <v>0</v>
      </c>
      <c r="R89" s="122">
        <v>2089.2759999999998</v>
      </c>
      <c r="S89" s="123">
        <v>1849.884</v>
      </c>
    </row>
    <row r="90" spans="1:22" ht="15.75">
      <c r="A90" s="110"/>
      <c r="B90" s="129">
        <v>2016</v>
      </c>
      <c r="C90" s="122">
        <v>1375.5940000000001</v>
      </c>
      <c r="D90" s="122">
        <v>403.16500000000002</v>
      </c>
      <c r="E90" s="122">
        <v>384.99400000000003</v>
      </c>
      <c r="F90" s="122">
        <v>226.517</v>
      </c>
      <c r="G90" s="122">
        <v>92.584999999999994</v>
      </c>
      <c r="H90" s="122">
        <v>56.131</v>
      </c>
      <c r="I90" s="122">
        <v>9.7189999999999994</v>
      </c>
      <c r="J90" s="122">
        <v>1.536</v>
      </c>
      <c r="K90" s="122">
        <v>2165.2890000000002</v>
      </c>
      <c r="L90" s="122">
        <v>8.1950000000000003</v>
      </c>
      <c r="M90" s="122">
        <v>2173.4839999999999</v>
      </c>
      <c r="N90" s="122">
        <v>623.02700000000004</v>
      </c>
      <c r="O90" s="122">
        <v>2795.94</v>
      </c>
      <c r="P90" s="122">
        <v>659.34900000000005</v>
      </c>
      <c r="Q90" s="122">
        <v>0</v>
      </c>
      <c r="R90" s="122">
        <v>2136.5659999999998</v>
      </c>
      <c r="S90" s="123">
        <v>1890.2909999999999</v>
      </c>
    </row>
    <row r="91" spans="1:22" ht="15.75">
      <c r="A91" s="110"/>
      <c r="B91" s="129">
        <v>2017</v>
      </c>
      <c r="C91" s="122">
        <v>1398.0050000000001</v>
      </c>
      <c r="D91" s="122">
        <v>405.387</v>
      </c>
      <c r="E91" s="122">
        <v>397.68799999999999</v>
      </c>
      <c r="F91" s="122">
        <v>228.29400000000001</v>
      </c>
      <c r="G91" s="122">
        <v>101.473</v>
      </c>
      <c r="H91" s="122">
        <v>58.235999999999997</v>
      </c>
      <c r="I91" s="122">
        <v>9.6059999999999999</v>
      </c>
      <c r="J91" s="122">
        <v>0.55300000000000005</v>
      </c>
      <c r="K91" s="122">
        <v>2201.6329999999998</v>
      </c>
      <c r="L91" s="122">
        <v>12.69</v>
      </c>
      <c r="M91" s="122">
        <v>2214.3229999999999</v>
      </c>
      <c r="N91" s="122">
        <v>658.25099999999998</v>
      </c>
      <c r="O91" s="122">
        <v>2860.6869999999999</v>
      </c>
      <c r="P91" s="122">
        <v>678.62099999999998</v>
      </c>
      <c r="Q91" s="122">
        <v>0</v>
      </c>
      <c r="R91" s="122">
        <v>2182.17</v>
      </c>
      <c r="S91" s="123">
        <v>1933.6790000000001</v>
      </c>
    </row>
    <row r="92" spans="1:22" ht="15.75">
      <c r="A92" s="110"/>
      <c r="B92" s="129">
        <v>2018</v>
      </c>
      <c r="C92" s="122">
        <v>1430.973</v>
      </c>
      <c r="D92" s="122">
        <v>406.90300000000002</v>
      </c>
      <c r="E92" s="122">
        <v>397.43599999999998</v>
      </c>
      <c r="F92" s="122">
        <v>223.76300000000001</v>
      </c>
      <c r="G92" s="122">
        <v>109.232</v>
      </c>
      <c r="H92" s="122">
        <v>59.131</v>
      </c>
      <c r="I92" s="122">
        <v>5.3519999999999994</v>
      </c>
      <c r="J92" s="122">
        <v>3.0760000000000001</v>
      </c>
      <c r="K92" s="122">
        <v>2238.3879999999999</v>
      </c>
      <c r="L92" s="122">
        <v>1.798</v>
      </c>
      <c r="M92" s="122">
        <v>2240.1860000000001</v>
      </c>
      <c r="N92" s="122">
        <v>676.529</v>
      </c>
      <c r="O92" s="122">
        <v>2917.6080000000002</v>
      </c>
      <c r="P92" s="122">
        <v>699.46799999999996</v>
      </c>
      <c r="Q92" s="122">
        <v>0</v>
      </c>
      <c r="R92" s="122">
        <v>2218.1959999999999</v>
      </c>
      <c r="S92" s="123">
        <v>1963.3009999999999</v>
      </c>
    </row>
    <row r="93" spans="1:22" ht="15.75">
      <c r="A93" s="110"/>
      <c r="B93" s="129">
        <v>2019</v>
      </c>
      <c r="C93" s="122">
        <v>1449.077</v>
      </c>
      <c r="D93" s="122">
        <v>424.00599999999997</v>
      </c>
      <c r="E93" s="122">
        <v>399.60899999999998</v>
      </c>
      <c r="F93" s="122">
        <v>225.86500000000001</v>
      </c>
      <c r="G93" s="122">
        <v>106.36499999999999</v>
      </c>
      <c r="H93" s="122">
        <v>62.107999999999997</v>
      </c>
      <c r="I93" s="122">
        <v>5.0972349000000001</v>
      </c>
      <c r="J93" s="122">
        <v>-3.23</v>
      </c>
      <c r="K93" s="122">
        <v>2269.462</v>
      </c>
      <c r="L93" s="122">
        <v>6.5090000000000003</v>
      </c>
      <c r="M93" s="122">
        <v>2275.971</v>
      </c>
      <c r="N93" s="122">
        <v>699.25</v>
      </c>
      <c r="O93" s="122">
        <v>2975.221</v>
      </c>
      <c r="P93" s="122">
        <v>719.93799999999999</v>
      </c>
      <c r="Q93" s="122">
        <v>0</v>
      </c>
      <c r="R93" s="122">
        <v>2255.2829999999999</v>
      </c>
      <c r="S93" s="123">
        <v>1999.16</v>
      </c>
    </row>
    <row r="94" spans="1:22" ht="15.75">
      <c r="A94" s="110"/>
      <c r="B94" s="129">
        <v>2020</v>
      </c>
      <c r="C94" s="122">
        <v>1297.297</v>
      </c>
      <c r="D94" s="122">
        <v>401.19299999999998</v>
      </c>
      <c r="E94" s="122">
        <v>361.92200000000003</v>
      </c>
      <c r="F94" s="122">
        <v>200.214</v>
      </c>
      <c r="G94" s="122">
        <v>93.197999999999993</v>
      </c>
      <c r="H94" s="122">
        <v>63.762999999999998</v>
      </c>
      <c r="I94" s="122">
        <v>4.7635167799999998</v>
      </c>
      <c r="J94" s="122">
        <v>-0.72599999999999998</v>
      </c>
      <c r="K94" s="122">
        <v>2059.6860000000001</v>
      </c>
      <c r="L94" s="122">
        <v>-9.4770000000000003</v>
      </c>
      <c r="M94" s="122">
        <v>2050.2089999999998</v>
      </c>
      <c r="N94" s="122">
        <v>601.80399999999997</v>
      </c>
      <c r="O94" s="122">
        <v>2652.0129999999999</v>
      </c>
      <c r="P94" s="122">
        <v>605.28499999999997</v>
      </c>
      <c r="Q94" s="122">
        <v>-3.355</v>
      </c>
      <c r="R94" s="122">
        <v>2043.373</v>
      </c>
      <c r="S94" s="123">
        <v>1812.3340000000001</v>
      </c>
    </row>
    <row r="95" spans="1:22" ht="15.75">
      <c r="A95" s="110"/>
      <c r="B95" s="129">
        <v>2021</v>
      </c>
      <c r="C95" s="122">
        <v>1376.8510000000001</v>
      </c>
      <c r="D95" s="122">
        <v>459.55399999999997</v>
      </c>
      <c r="E95" s="122">
        <v>380.95100000000002</v>
      </c>
      <c r="F95" s="122">
        <v>198.80500000000001</v>
      </c>
      <c r="G95" s="122">
        <v>104.964</v>
      </c>
      <c r="H95" s="122">
        <v>71.325999999999993</v>
      </c>
      <c r="I95" s="122">
        <v>5.7928096299999989</v>
      </c>
      <c r="J95" s="122">
        <v>3.9060000000000001</v>
      </c>
      <c r="K95" s="122">
        <v>2221.2620000000002</v>
      </c>
      <c r="L95" s="122">
        <v>2.1520000000000001</v>
      </c>
      <c r="M95" s="122">
        <v>2223.4140000000002</v>
      </c>
      <c r="N95" s="122">
        <v>595.03899999999999</v>
      </c>
      <c r="O95" s="122">
        <v>2813.2429999999999</v>
      </c>
      <c r="P95" s="122">
        <v>623.35500000000002</v>
      </c>
      <c r="Q95" s="122">
        <v>0.61899999999999999</v>
      </c>
      <c r="R95" s="122">
        <v>2195.7170000000001</v>
      </c>
      <c r="S95" s="123">
        <v>1951.58</v>
      </c>
    </row>
    <row r="96" spans="1:22" ht="15.75">
      <c r="A96" s="110"/>
      <c r="B96" s="129">
        <v>2022</v>
      </c>
      <c r="C96" s="122">
        <v>1451.646747</v>
      </c>
      <c r="D96" s="122">
        <v>471.61738099999997</v>
      </c>
      <c r="E96" s="122">
        <v>403.98558515137563</v>
      </c>
      <c r="F96" s="122">
        <v>219.8202254</v>
      </c>
      <c r="G96" s="122">
        <v>107.68356392602809</v>
      </c>
      <c r="H96" s="122">
        <v>70.545815300000015</v>
      </c>
      <c r="I96" s="122">
        <v>5.9359805517370088</v>
      </c>
      <c r="J96" s="122">
        <v>-3.23</v>
      </c>
      <c r="K96" s="122">
        <v>2324.019713151376</v>
      </c>
      <c r="L96" s="122">
        <v>-5.0078861789999998</v>
      </c>
      <c r="M96" s="122">
        <v>2319.0118269723757</v>
      </c>
      <c r="N96" s="122">
        <v>635.46206119930389</v>
      </c>
      <c r="O96" s="122">
        <v>2954.4738890000003</v>
      </c>
      <c r="P96" s="122">
        <v>676.64784886585437</v>
      </c>
      <c r="Q96" s="122">
        <v>0.99199999999999999</v>
      </c>
      <c r="R96" s="122">
        <v>2278.8180393139046</v>
      </c>
      <c r="S96" s="123">
        <v>2025.919504</v>
      </c>
    </row>
    <row r="97" spans="1:19" ht="15.75">
      <c r="A97" s="110"/>
      <c r="B97" s="129">
        <v>2023</v>
      </c>
      <c r="C97" s="122">
        <v>1466.347665</v>
      </c>
      <c r="D97" s="122">
        <v>477.45578599999999</v>
      </c>
      <c r="E97" s="122">
        <v>425.10981831531922</v>
      </c>
      <c r="F97" s="122">
        <v>232.18802180000003</v>
      </c>
      <c r="G97" s="122">
        <v>110.63505869629824</v>
      </c>
      <c r="H97" s="122">
        <v>76.061922899999985</v>
      </c>
      <c r="I97" s="122">
        <v>6.2248151713111142</v>
      </c>
      <c r="J97" s="122">
        <v>-3.23</v>
      </c>
      <c r="K97" s="122">
        <v>2365.6832693153192</v>
      </c>
      <c r="L97" s="122">
        <v>-4.5191515310000003</v>
      </c>
      <c r="M97" s="122">
        <v>2361.1641177843189</v>
      </c>
      <c r="N97" s="122">
        <v>653.30848599842147</v>
      </c>
      <c r="O97" s="122">
        <v>3014.4726040000005</v>
      </c>
      <c r="P97" s="122">
        <v>696.51134780203347</v>
      </c>
      <c r="Q97" s="122">
        <v>0.99199999999999999</v>
      </c>
      <c r="R97" s="122">
        <v>2318.953255983824</v>
      </c>
      <c r="S97" s="123">
        <v>2062.609645</v>
      </c>
    </row>
    <row r="98" spans="1:19" ht="15.75">
      <c r="A98" s="110"/>
      <c r="B98" s="129">
        <v>2024</v>
      </c>
      <c r="C98" s="122">
        <v>1488.3028390000002</v>
      </c>
      <c r="D98" s="122">
        <v>484.16431900000003</v>
      </c>
      <c r="E98" s="122">
        <v>432.90347067074049</v>
      </c>
      <c r="F98" s="122">
        <v>240.49280979999997</v>
      </c>
      <c r="G98" s="122">
        <v>111.53552525155001</v>
      </c>
      <c r="H98" s="122">
        <v>74.538936199999995</v>
      </c>
      <c r="I98" s="122">
        <v>6.33619941379159</v>
      </c>
      <c r="J98" s="122">
        <v>-3.23</v>
      </c>
      <c r="K98" s="122">
        <v>2402.1406286707411</v>
      </c>
      <c r="L98" s="122">
        <v>-3.4318842780000001</v>
      </c>
      <c r="M98" s="122">
        <v>2398.7087443927412</v>
      </c>
      <c r="N98" s="122">
        <v>658.03856727198547</v>
      </c>
      <c r="O98" s="122">
        <v>3056.7473130000003</v>
      </c>
      <c r="P98" s="122">
        <v>689.66740814384775</v>
      </c>
      <c r="Q98" s="122">
        <v>0.99199999999999999</v>
      </c>
      <c r="R98" s="122">
        <v>2368.0719035215116</v>
      </c>
      <c r="S98" s="123">
        <v>2107.262577</v>
      </c>
    </row>
    <row r="99" spans="1:19" ht="15.75">
      <c r="A99" s="110"/>
      <c r="B99" s="129">
        <v>2025</v>
      </c>
      <c r="C99" s="122">
        <v>1505.2870249999999</v>
      </c>
      <c r="D99" s="122">
        <v>492.00789199999997</v>
      </c>
      <c r="E99" s="122">
        <v>448.47473551430937</v>
      </c>
      <c r="F99" s="122">
        <v>253.53596809999999</v>
      </c>
      <c r="G99" s="122">
        <v>113.15312888136958</v>
      </c>
      <c r="H99" s="122">
        <v>75.3529549</v>
      </c>
      <c r="I99" s="122">
        <v>6.4326836058774894</v>
      </c>
      <c r="J99" s="122">
        <v>-3.23</v>
      </c>
      <c r="K99" s="122">
        <v>2442.5396525143092</v>
      </c>
      <c r="L99" s="122">
        <v>-2.3832203289999998</v>
      </c>
      <c r="M99" s="122">
        <v>2440.1564321853089</v>
      </c>
      <c r="N99" s="122">
        <v>656.00692505189841</v>
      </c>
      <c r="O99" s="122">
        <v>3096.1633579999998</v>
      </c>
      <c r="P99" s="122">
        <v>686.95328146108409</v>
      </c>
      <c r="Q99" s="122">
        <v>0.99199999999999999</v>
      </c>
      <c r="R99" s="122">
        <v>2410.2020757763557</v>
      </c>
      <c r="S99" s="123">
        <v>2145.3054820000002</v>
      </c>
    </row>
    <row r="100" spans="1:19" ht="15.75">
      <c r="A100" s="110"/>
      <c r="B100" s="158">
        <v>2026</v>
      </c>
      <c r="C100" s="131">
        <v>1523.2047909999999</v>
      </c>
      <c r="D100" s="131">
        <v>501.937926</v>
      </c>
      <c r="E100" s="131">
        <v>462.81860858151333</v>
      </c>
      <c r="F100" s="131">
        <v>264.85990350000003</v>
      </c>
      <c r="G100" s="131">
        <v>114.79428381803906</v>
      </c>
      <c r="H100" s="131">
        <v>76.633792100000008</v>
      </c>
      <c r="I100" s="131">
        <v>6.5306291616687293</v>
      </c>
      <c r="J100" s="131">
        <v>-3.23</v>
      </c>
      <c r="K100" s="131">
        <v>2484.7313255815134</v>
      </c>
      <c r="L100" s="131">
        <v>-1.6993037439999998</v>
      </c>
      <c r="M100" s="131">
        <v>2483.0320218375136</v>
      </c>
      <c r="N100" s="131">
        <v>653.50477997226608</v>
      </c>
      <c r="O100" s="131">
        <v>3136.5368019999996</v>
      </c>
      <c r="P100" s="131">
        <v>687.45277455282871</v>
      </c>
      <c r="Q100" s="131">
        <v>0.99199999999999999</v>
      </c>
      <c r="R100" s="131">
        <v>2450.0760272566677</v>
      </c>
      <c r="S100" s="132">
        <v>2181.537429</v>
      </c>
    </row>
    <row r="101" spans="1:19" ht="15.75">
      <c r="A101" s="110"/>
      <c r="B101" s="129" t="s">
        <v>196</v>
      </c>
      <c r="C101" s="122">
        <v>1196.528</v>
      </c>
      <c r="D101" s="122">
        <v>373.43700000000001</v>
      </c>
      <c r="E101" s="122">
        <v>328.68799999999999</v>
      </c>
      <c r="F101" s="122">
        <v>182.97900000000001</v>
      </c>
      <c r="G101" s="122">
        <v>78.965000000000003</v>
      </c>
      <c r="H101" s="122">
        <v>58.366999999999997</v>
      </c>
      <c r="I101" s="302">
        <v>9.5649999999999995</v>
      </c>
      <c r="J101" s="122">
        <v>0.17599999999999999</v>
      </c>
      <c r="K101" s="122">
        <v>1898.829</v>
      </c>
      <c r="L101" s="122">
        <v>-20.613</v>
      </c>
      <c r="M101" s="122">
        <v>1878.2159999999999</v>
      </c>
      <c r="N101" s="122">
        <v>536.54100000000005</v>
      </c>
      <c r="O101" s="122">
        <v>2423.078</v>
      </c>
      <c r="P101" s="122">
        <v>524.76499999999999</v>
      </c>
      <c r="Q101" s="122">
        <v>0</v>
      </c>
      <c r="R101" s="122">
        <v>1899.4659999999999</v>
      </c>
      <c r="S101" s="123">
        <v>1655.4259999999999</v>
      </c>
    </row>
    <row r="102" spans="1:19" ht="15.75">
      <c r="A102" s="110"/>
      <c r="B102" s="129" t="s">
        <v>197</v>
      </c>
      <c r="C102" s="122">
        <v>1181.1320000000001</v>
      </c>
      <c r="D102" s="122">
        <v>380.77499999999998</v>
      </c>
      <c r="E102" s="122">
        <v>295.02</v>
      </c>
      <c r="F102" s="122">
        <v>155.875</v>
      </c>
      <c r="G102" s="122">
        <v>66.069999999999993</v>
      </c>
      <c r="H102" s="122">
        <v>62.418999999999997</v>
      </c>
      <c r="I102" s="122">
        <v>10.699</v>
      </c>
      <c r="J102" s="122">
        <v>1.18</v>
      </c>
      <c r="K102" s="122">
        <v>1858.107</v>
      </c>
      <c r="L102" s="122">
        <v>-24.324999999999999</v>
      </c>
      <c r="M102" s="122">
        <v>1833.7819999999999</v>
      </c>
      <c r="N102" s="122">
        <v>503.01499999999999</v>
      </c>
      <c r="O102" s="122">
        <v>2352.7460000000001</v>
      </c>
      <c r="P102" s="122">
        <v>505.54199999999997</v>
      </c>
      <c r="Q102" s="122">
        <v>0</v>
      </c>
      <c r="R102" s="122">
        <v>1848.6849999999999</v>
      </c>
      <c r="S102" s="123">
        <v>1618.471</v>
      </c>
    </row>
    <row r="103" spans="1:19" ht="15.75">
      <c r="A103" s="110"/>
      <c r="B103" s="129" t="s">
        <v>198</v>
      </c>
      <c r="C103" s="122">
        <v>1204.5440000000001</v>
      </c>
      <c r="D103" s="122">
        <v>382.02100000000002</v>
      </c>
      <c r="E103" s="122">
        <v>307.678</v>
      </c>
      <c r="F103" s="122">
        <v>162.39500000000001</v>
      </c>
      <c r="G103" s="122">
        <v>72.585999999999999</v>
      </c>
      <c r="H103" s="122">
        <v>62.493000000000002</v>
      </c>
      <c r="I103" s="122">
        <v>10.561999999999999</v>
      </c>
      <c r="J103" s="122">
        <v>-1.49</v>
      </c>
      <c r="K103" s="122">
        <v>1892.7529999999999</v>
      </c>
      <c r="L103" s="122">
        <v>-5.556</v>
      </c>
      <c r="M103" s="122">
        <v>1887.1969999999999</v>
      </c>
      <c r="N103" s="122">
        <v>542.702</v>
      </c>
      <c r="O103" s="122">
        <v>2438.672</v>
      </c>
      <c r="P103" s="122">
        <v>543.702</v>
      </c>
      <c r="Q103" s="122">
        <v>0</v>
      </c>
      <c r="R103" s="122">
        <v>1895.855</v>
      </c>
      <c r="S103" s="123">
        <v>1664.673</v>
      </c>
    </row>
    <row r="104" spans="1:19" ht="15.75">
      <c r="A104" s="110"/>
      <c r="B104" s="129" t="s">
        <v>199</v>
      </c>
      <c r="C104" s="122">
        <v>1200.1179999999999</v>
      </c>
      <c r="D104" s="122">
        <v>386.72399999999999</v>
      </c>
      <c r="E104" s="122">
        <v>312.517</v>
      </c>
      <c r="F104" s="122">
        <v>175.24799999999999</v>
      </c>
      <c r="G104" s="122">
        <v>70.847999999999999</v>
      </c>
      <c r="H104" s="122">
        <v>56.832999999999998</v>
      </c>
      <c r="I104" s="122">
        <v>9.6080000000000005</v>
      </c>
      <c r="J104" s="122">
        <v>-0.49</v>
      </c>
      <c r="K104" s="122">
        <v>1898.8689999999999</v>
      </c>
      <c r="L104" s="122">
        <v>-8.1769999999999996</v>
      </c>
      <c r="M104" s="122">
        <v>1890.692</v>
      </c>
      <c r="N104" s="122">
        <v>572.70100000000002</v>
      </c>
      <c r="O104" s="122">
        <v>2472.0419999999999</v>
      </c>
      <c r="P104" s="122">
        <v>554.78099999999995</v>
      </c>
      <c r="Q104" s="122">
        <v>0</v>
      </c>
      <c r="R104" s="122">
        <v>1917.846</v>
      </c>
      <c r="S104" s="123">
        <v>1694.769</v>
      </c>
    </row>
    <row r="105" spans="1:19" ht="15.75">
      <c r="A105" s="110"/>
      <c r="B105" s="127" t="s">
        <v>200</v>
      </c>
      <c r="C105" s="122">
        <v>1226.3489999999999</v>
      </c>
      <c r="D105" s="122">
        <v>387.197</v>
      </c>
      <c r="E105" s="122">
        <v>310.51</v>
      </c>
      <c r="F105" s="122">
        <v>178.53899999999999</v>
      </c>
      <c r="G105" s="122">
        <v>71.046000000000006</v>
      </c>
      <c r="H105" s="122">
        <v>52.207000000000001</v>
      </c>
      <c r="I105" s="122">
        <v>8.8179999999999996</v>
      </c>
      <c r="J105" s="122">
        <v>1.2829999999999999</v>
      </c>
      <c r="K105" s="122">
        <v>1925.3389999999999</v>
      </c>
      <c r="L105" s="122">
        <v>9.2569999999999997</v>
      </c>
      <c r="M105" s="122">
        <v>1934.596</v>
      </c>
      <c r="N105" s="122">
        <v>568.673</v>
      </c>
      <c r="O105" s="122">
        <v>2506.2469999999998</v>
      </c>
      <c r="P105" s="122">
        <v>560.24</v>
      </c>
      <c r="Q105" s="122">
        <v>0</v>
      </c>
      <c r="R105" s="122">
        <v>1946.74</v>
      </c>
      <c r="S105" s="123">
        <v>1727.729</v>
      </c>
    </row>
    <row r="106" spans="1:19" ht="15.75">
      <c r="A106" s="110"/>
      <c r="B106" s="127" t="s">
        <v>201</v>
      </c>
      <c r="C106" s="122">
        <v>1255.8699999999999</v>
      </c>
      <c r="D106" s="122">
        <v>389.70600000000002</v>
      </c>
      <c r="E106" s="122">
        <v>332.19499999999999</v>
      </c>
      <c r="F106" s="122">
        <v>188.17500000000001</v>
      </c>
      <c r="G106" s="122">
        <v>79.623000000000005</v>
      </c>
      <c r="H106" s="122">
        <v>55.762999999999998</v>
      </c>
      <c r="I106" s="122">
        <v>8.5080000000000009</v>
      </c>
      <c r="J106" s="122">
        <v>7.3639999999999999</v>
      </c>
      <c r="K106" s="122">
        <v>1985.135</v>
      </c>
      <c r="L106" s="122">
        <v>7.1719999999999997</v>
      </c>
      <c r="M106" s="122">
        <v>1992.307</v>
      </c>
      <c r="N106" s="122">
        <v>574.46699999999998</v>
      </c>
      <c r="O106" s="122">
        <v>2578.9540000000002</v>
      </c>
      <c r="P106" s="122">
        <v>587.71199999999999</v>
      </c>
      <c r="Q106" s="122">
        <v>0</v>
      </c>
      <c r="R106" s="122">
        <v>1991.011</v>
      </c>
      <c r="S106" s="123">
        <v>1765.4870000000001</v>
      </c>
    </row>
    <row r="107" spans="1:19" ht="15.75">
      <c r="A107" s="110"/>
      <c r="B107" s="127" t="s">
        <v>202</v>
      </c>
      <c r="C107" s="122">
        <v>1291.731</v>
      </c>
      <c r="D107" s="122">
        <v>396.33499999999998</v>
      </c>
      <c r="E107" s="122">
        <v>351.40800000000002</v>
      </c>
      <c r="F107" s="122">
        <v>201.768</v>
      </c>
      <c r="G107" s="122">
        <v>83.108999999999995</v>
      </c>
      <c r="H107" s="122">
        <v>56.030999999999999</v>
      </c>
      <c r="I107" s="122">
        <v>10.286</v>
      </c>
      <c r="J107" s="122">
        <v>7.07</v>
      </c>
      <c r="K107" s="122">
        <v>2046.5440000000001</v>
      </c>
      <c r="L107" s="122">
        <v>20.266999999999999</v>
      </c>
      <c r="M107" s="122">
        <v>2066.8110000000001</v>
      </c>
      <c r="N107" s="122">
        <v>586.62099999999998</v>
      </c>
      <c r="O107" s="122">
        <v>2670.48</v>
      </c>
      <c r="P107" s="122">
        <v>620.38499999999999</v>
      </c>
      <c r="Q107" s="122">
        <v>0</v>
      </c>
      <c r="R107" s="122">
        <v>2049.556</v>
      </c>
      <c r="S107" s="123">
        <v>1818.1089999999999</v>
      </c>
    </row>
    <row r="108" spans="1:19" ht="15.75">
      <c r="A108" s="110"/>
      <c r="B108" s="127" t="s">
        <v>203</v>
      </c>
      <c r="C108" s="122">
        <v>1339.9349999999999</v>
      </c>
      <c r="D108" s="122">
        <v>403.13</v>
      </c>
      <c r="E108" s="122">
        <v>371.07499999999999</v>
      </c>
      <c r="F108" s="122">
        <v>217.95</v>
      </c>
      <c r="G108" s="122">
        <v>89.331000000000003</v>
      </c>
      <c r="H108" s="122">
        <v>54.36</v>
      </c>
      <c r="I108" s="122">
        <v>9.3279999999999994</v>
      </c>
      <c r="J108" s="122">
        <v>-1.1579999999999999</v>
      </c>
      <c r="K108" s="122">
        <v>2112.982</v>
      </c>
      <c r="L108" s="122">
        <v>7.1749999999999998</v>
      </c>
      <c r="M108" s="122">
        <v>2120.1570000000002</v>
      </c>
      <c r="N108" s="122">
        <v>607.66999999999996</v>
      </c>
      <c r="O108" s="122">
        <v>2740.2139999999999</v>
      </c>
      <c r="P108" s="122">
        <v>638.23099999999999</v>
      </c>
      <c r="Q108" s="122">
        <v>0</v>
      </c>
      <c r="R108" s="122">
        <v>2101.7840000000001</v>
      </c>
      <c r="S108" s="123">
        <v>1858.7950000000001</v>
      </c>
    </row>
    <row r="109" spans="1:19">
      <c r="B109" s="127" t="s">
        <v>204</v>
      </c>
      <c r="C109" s="122">
        <v>1383.498</v>
      </c>
      <c r="D109" s="122">
        <v>402.93</v>
      </c>
      <c r="E109" s="122">
        <v>388.39699999999999</v>
      </c>
      <c r="F109" s="122">
        <v>227.191</v>
      </c>
      <c r="G109" s="122">
        <v>94.515000000000001</v>
      </c>
      <c r="H109" s="122">
        <v>56.814</v>
      </c>
      <c r="I109" s="122">
        <v>9.8009999999999984</v>
      </c>
      <c r="J109" s="122">
        <v>-8.5000000000000006E-2</v>
      </c>
      <c r="K109" s="122">
        <v>2174.7399999999998</v>
      </c>
      <c r="L109" s="122">
        <v>11.622999999999999</v>
      </c>
      <c r="M109" s="122">
        <v>2186.3629999999998</v>
      </c>
      <c r="N109" s="122">
        <v>632.40499999999997</v>
      </c>
      <c r="O109" s="122">
        <v>2814.8409999999999</v>
      </c>
      <c r="P109" s="122">
        <v>665.40099999999995</v>
      </c>
      <c r="Q109" s="122">
        <v>0</v>
      </c>
      <c r="R109" s="122">
        <v>2149.4549999999999</v>
      </c>
      <c r="S109" s="123">
        <v>1905.2950000000001</v>
      </c>
    </row>
    <row r="110" spans="1:19">
      <c r="B110" s="127" t="s">
        <v>205</v>
      </c>
      <c r="C110" s="122">
        <v>1404.309</v>
      </c>
      <c r="D110" s="122">
        <v>405.92599999999999</v>
      </c>
      <c r="E110" s="122">
        <v>398.608</v>
      </c>
      <c r="F110" s="122">
        <v>228.37100000000001</v>
      </c>
      <c r="G110" s="122">
        <v>103.298</v>
      </c>
      <c r="H110" s="122">
        <v>58.398000000000003</v>
      </c>
      <c r="I110" s="122">
        <v>8.5210000000000008</v>
      </c>
      <c r="J110" s="122">
        <v>1.66</v>
      </c>
      <c r="K110" s="122">
        <v>2210.5030000000002</v>
      </c>
      <c r="L110" s="122">
        <v>6.5720000000000001</v>
      </c>
      <c r="M110" s="122">
        <v>2217.0749999999998</v>
      </c>
      <c r="N110" s="122">
        <v>664.80799999999999</v>
      </c>
      <c r="O110" s="122">
        <v>2873.0450000000001</v>
      </c>
      <c r="P110" s="122">
        <v>683.45600000000002</v>
      </c>
      <c r="Q110" s="122">
        <v>0</v>
      </c>
      <c r="R110" s="122">
        <v>2189.6880000000001</v>
      </c>
      <c r="S110" s="123">
        <v>1940.4449999999999</v>
      </c>
    </row>
    <row r="111" spans="1:19">
      <c r="B111" s="127" t="s">
        <v>206</v>
      </c>
      <c r="C111" s="122">
        <v>1437.08</v>
      </c>
      <c r="D111" s="122">
        <v>411.23099999999999</v>
      </c>
      <c r="E111" s="122">
        <v>399.24799999999999</v>
      </c>
      <c r="F111" s="122">
        <v>222.875</v>
      </c>
      <c r="G111" s="122">
        <v>110.194</v>
      </c>
      <c r="H111" s="122">
        <v>60.976999999999997</v>
      </c>
      <c r="I111" s="122">
        <v>5.2218725300000006</v>
      </c>
      <c r="J111" s="122">
        <v>15.016999999999999</v>
      </c>
      <c r="K111" s="122">
        <v>2262.576</v>
      </c>
      <c r="L111" s="122">
        <v>10.843</v>
      </c>
      <c r="M111" s="122">
        <v>2273.4189999999999</v>
      </c>
      <c r="N111" s="122">
        <v>678.07100000000003</v>
      </c>
      <c r="O111" s="122">
        <v>2950.6770000000001</v>
      </c>
      <c r="P111" s="122">
        <v>720.50699999999995</v>
      </c>
      <c r="Q111" s="122">
        <v>0</v>
      </c>
      <c r="R111" s="122">
        <v>2230.1489999999999</v>
      </c>
      <c r="S111" s="123">
        <v>1971.9390000000001</v>
      </c>
    </row>
    <row r="112" spans="1:19">
      <c r="B112" s="127" t="s">
        <v>207</v>
      </c>
      <c r="C112" s="122">
        <v>1438.78</v>
      </c>
      <c r="D112" s="122">
        <v>424.05799999999999</v>
      </c>
      <c r="E112" s="122">
        <v>395.298</v>
      </c>
      <c r="F112" s="122">
        <v>224.97499999999999</v>
      </c>
      <c r="G112" s="122">
        <v>104.39400000000001</v>
      </c>
      <c r="H112" s="122">
        <v>60.573</v>
      </c>
      <c r="I112" s="122">
        <v>5.1237107200000009</v>
      </c>
      <c r="J112" s="122">
        <v>-14.831</v>
      </c>
      <c r="K112" s="122">
        <v>2243.3049999999998</v>
      </c>
      <c r="L112" s="122">
        <v>-2.2589999999999999</v>
      </c>
      <c r="M112" s="122">
        <v>2241.0459999999998</v>
      </c>
      <c r="N112" s="122">
        <v>690.47299999999996</v>
      </c>
      <c r="O112" s="122">
        <v>2932.1419999999998</v>
      </c>
      <c r="P112" s="122">
        <v>689.57399999999996</v>
      </c>
      <c r="Q112" s="122">
        <v>0.80200000000000005</v>
      </c>
      <c r="R112" s="122">
        <v>2243.4549999999999</v>
      </c>
      <c r="S112" s="123">
        <v>1990.4469999999999</v>
      </c>
    </row>
    <row r="113" spans="2:19">
      <c r="B113" s="127" t="s">
        <v>208</v>
      </c>
      <c r="C113" s="122">
        <v>1264.232</v>
      </c>
      <c r="D113" s="122">
        <v>403.642</v>
      </c>
      <c r="E113" s="122">
        <v>358.70100000000002</v>
      </c>
      <c r="F113" s="122">
        <v>191.82400000000001</v>
      </c>
      <c r="G113" s="122">
        <v>93.588999999999999</v>
      </c>
      <c r="H113" s="122">
        <v>68.581000000000003</v>
      </c>
      <c r="I113" s="122">
        <v>4.7785421400000008</v>
      </c>
      <c r="J113" s="122">
        <v>5.2480000000000002</v>
      </c>
      <c r="K113" s="122">
        <v>2031.8230000000001</v>
      </c>
      <c r="L113" s="122">
        <v>-4.9059999999999997</v>
      </c>
      <c r="M113" s="122">
        <v>2026.9169999999999</v>
      </c>
      <c r="N113" s="122">
        <v>583.70799999999997</v>
      </c>
      <c r="O113" s="122">
        <v>2609.9659999999999</v>
      </c>
      <c r="P113" s="122">
        <v>590.45500000000004</v>
      </c>
      <c r="Q113" s="122">
        <v>-4.29</v>
      </c>
      <c r="R113" s="122">
        <v>2015.88</v>
      </c>
      <c r="S113" s="123">
        <v>1788.2360000000001</v>
      </c>
    </row>
    <row r="114" spans="2:19">
      <c r="B114" s="127" t="s">
        <v>33</v>
      </c>
      <c r="C114" s="122">
        <v>1420.287898</v>
      </c>
      <c r="D114" s="122">
        <v>469.31783200000001</v>
      </c>
      <c r="E114" s="122">
        <v>385.43653829149497</v>
      </c>
      <c r="F114" s="122">
        <v>204.42628719999999</v>
      </c>
      <c r="G114" s="122">
        <v>106.08564228885595</v>
      </c>
      <c r="H114" s="122">
        <v>68.839313300000015</v>
      </c>
      <c r="I114" s="122">
        <v>6.0257314574208447</v>
      </c>
      <c r="J114" s="122">
        <v>-3.6475</v>
      </c>
      <c r="K114" s="122">
        <v>2271.394768291495</v>
      </c>
      <c r="L114" s="122">
        <v>-1.9051016299999999</v>
      </c>
      <c r="M114" s="122">
        <v>2269.489666661495</v>
      </c>
      <c r="N114" s="122">
        <v>606.34205000000009</v>
      </c>
      <c r="O114" s="122">
        <v>2871.2807170000001</v>
      </c>
      <c r="P114" s="122">
        <v>638.07368500000007</v>
      </c>
      <c r="Q114" s="122">
        <v>1</v>
      </c>
      <c r="R114" s="122">
        <v>2238.7580316627441</v>
      </c>
      <c r="S114" s="123">
        <v>1990.2549780000002</v>
      </c>
    </row>
    <row r="115" spans="2:19">
      <c r="B115" s="127" t="s">
        <v>5</v>
      </c>
      <c r="C115" s="122">
        <v>1454.7663440000001</v>
      </c>
      <c r="D115" s="122">
        <v>472.53720500000003</v>
      </c>
      <c r="E115" s="122">
        <v>412.14237345421873</v>
      </c>
      <c r="F115" s="122">
        <v>225.35985269999998</v>
      </c>
      <c r="G115" s="122">
        <v>108.40772274690616</v>
      </c>
      <c r="H115" s="122">
        <v>72.470008500000006</v>
      </c>
      <c r="I115" s="122">
        <v>5.9047895731934608</v>
      </c>
      <c r="J115" s="122">
        <v>-3.23</v>
      </c>
      <c r="K115" s="122">
        <v>2336.2159224542188</v>
      </c>
      <c r="L115" s="122">
        <v>-5.4653169789999998</v>
      </c>
      <c r="M115" s="122">
        <v>2330.7506054752189</v>
      </c>
      <c r="N115" s="122">
        <v>643.54669435458118</v>
      </c>
      <c r="O115" s="122">
        <v>2974.2973000000002</v>
      </c>
      <c r="P115" s="122">
        <v>687.372627213432</v>
      </c>
      <c r="Q115" s="122">
        <v>0.99199999999999999</v>
      </c>
      <c r="R115" s="122">
        <v>2287.9166726258668</v>
      </c>
      <c r="S115" s="123">
        <v>2034.218969</v>
      </c>
    </row>
    <row r="116" spans="2:19">
      <c r="B116" s="127" t="s">
        <v>6</v>
      </c>
      <c r="C116" s="122">
        <v>1472.2134210000002</v>
      </c>
      <c r="D116" s="122">
        <v>479.04346299999997</v>
      </c>
      <c r="E116" s="122">
        <v>426.27392749170576</v>
      </c>
      <c r="F116" s="122">
        <v>233.1261949</v>
      </c>
      <c r="G116" s="122">
        <v>110.79705917853894</v>
      </c>
      <c r="H116" s="122">
        <v>76.047121500000003</v>
      </c>
      <c r="I116" s="122">
        <v>6.3035520488268748</v>
      </c>
      <c r="J116" s="122">
        <v>-3.23</v>
      </c>
      <c r="K116" s="122">
        <v>2374.3008114917061</v>
      </c>
      <c r="L116" s="122">
        <v>-3.7105345850000004</v>
      </c>
      <c r="M116" s="122">
        <v>2370.5902769067061</v>
      </c>
      <c r="N116" s="122">
        <v>655.27793230917928</v>
      </c>
      <c r="O116" s="122">
        <v>3025.8682100000001</v>
      </c>
      <c r="P116" s="122">
        <v>695.20095837485962</v>
      </c>
      <c r="Q116" s="122">
        <v>0.99199999999999999</v>
      </c>
      <c r="R116" s="122">
        <v>2331.6592508415215</v>
      </c>
      <c r="S116" s="123">
        <v>2074.1808409999999</v>
      </c>
    </row>
    <row r="117" spans="2:19">
      <c r="B117" s="127" t="s">
        <v>7</v>
      </c>
      <c r="C117" s="122">
        <v>1492.978384</v>
      </c>
      <c r="D117" s="122">
        <v>486.01654200000002</v>
      </c>
      <c r="E117" s="122">
        <v>436.23880846004477</v>
      </c>
      <c r="F117" s="122">
        <v>243.72756049999998</v>
      </c>
      <c r="G117" s="122">
        <v>111.92540925476396</v>
      </c>
      <c r="H117" s="122">
        <v>74.226561599999997</v>
      </c>
      <c r="I117" s="122">
        <v>6.3592771838371105</v>
      </c>
      <c r="J117" s="122">
        <v>-3.23</v>
      </c>
      <c r="K117" s="122">
        <v>2412.0037344600446</v>
      </c>
      <c r="L117" s="122">
        <v>-2.9854147199999996</v>
      </c>
      <c r="M117" s="122">
        <v>2409.0183197400447</v>
      </c>
      <c r="N117" s="122">
        <v>657.85299420670208</v>
      </c>
      <c r="O117" s="122">
        <v>3066.8713149999999</v>
      </c>
      <c r="P117" s="122">
        <v>688.38715280583688</v>
      </c>
      <c r="Q117" s="122">
        <v>0.99199999999999999</v>
      </c>
      <c r="R117" s="122">
        <v>2379.4761611419467</v>
      </c>
      <c r="S117" s="123">
        <v>2117.582069</v>
      </c>
    </row>
    <row r="118" spans="2:19">
      <c r="B118" s="127" t="s">
        <v>8</v>
      </c>
      <c r="C118" s="122">
        <v>1509.4709929999999</v>
      </c>
      <c r="D118" s="122">
        <v>494.24749200000002</v>
      </c>
      <c r="E118" s="122">
        <v>452.48442938776532</v>
      </c>
      <c r="F118" s="122">
        <v>256.56510329999998</v>
      </c>
      <c r="G118" s="122">
        <v>113.56644880511958</v>
      </c>
      <c r="H118" s="122">
        <v>75.89545840000001</v>
      </c>
      <c r="I118" s="122">
        <v>6.45741878746081</v>
      </c>
      <c r="J118" s="122">
        <v>-3.23</v>
      </c>
      <c r="K118" s="122">
        <v>2452.9729143877653</v>
      </c>
      <c r="L118" s="122">
        <v>-2.5401036020000003</v>
      </c>
      <c r="M118" s="122">
        <v>2450.4328107857655</v>
      </c>
      <c r="N118" s="122">
        <v>655.37587133785041</v>
      </c>
      <c r="O118" s="122">
        <v>3105.8086830000002</v>
      </c>
      <c r="P118" s="122">
        <v>686.94535770690845</v>
      </c>
      <c r="Q118" s="122">
        <v>0.99199999999999999</v>
      </c>
      <c r="R118" s="122">
        <v>2419.8553244161917</v>
      </c>
      <c r="S118" s="123">
        <v>2154.0491710000001</v>
      </c>
    </row>
    <row r="119" spans="2:19">
      <c r="B119" s="127" t="s">
        <v>9</v>
      </c>
      <c r="C119" s="122">
        <v>1528.014281</v>
      </c>
      <c r="D119" s="122">
        <v>504.71137300000004</v>
      </c>
      <c r="E119" s="122">
        <v>466.15465516039717</v>
      </c>
      <c r="F119" s="122">
        <v>267.63390889999999</v>
      </c>
      <c r="G119" s="122">
        <v>115.19193856303994</v>
      </c>
      <c r="H119" s="122">
        <v>76.774697599999996</v>
      </c>
      <c r="I119" s="122">
        <v>6.554110061423339</v>
      </c>
      <c r="J119" s="122">
        <v>-3.23</v>
      </c>
      <c r="K119" s="122">
        <v>2495.6503091603972</v>
      </c>
      <c r="L119" s="122">
        <v>-1.0336458973</v>
      </c>
      <c r="M119" s="122">
        <v>2494.6166632630975</v>
      </c>
      <c r="N119" s="122">
        <v>652.84882577400811</v>
      </c>
      <c r="O119" s="122">
        <v>3147.4654890000002</v>
      </c>
      <c r="P119" s="122">
        <v>687.72664747880845</v>
      </c>
      <c r="Q119" s="122">
        <v>0.99199999999999999</v>
      </c>
      <c r="R119" s="122">
        <v>2460.730841558267</v>
      </c>
      <c r="S119" s="123">
        <v>2191.2508590000002</v>
      </c>
    </row>
    <row r="120" spans="2:19">
      <c r="B120" s="608" t="s">
        <v>209</v>
      </c>
      <c r="C120" s="609"/>
      <c r="D120" s="609"/>
      <c r="E120" s="609"/>
      <c r="F120" s="609"/>
      <c r="G120" s="609"/>
      <c r="H120" s="609"/>
      <c r="I120" s="609"/>
      <c r="J120" s="609"/>
      <c r="K120" s="609"/>
      <c r="L120" s="609"/>
      <c r="M120" s="609"/>
      <c r="N120" s="609"/>
      <c r="O120" s="609"/>
      <c r="P120" s="609"/>
      <c r="Q120" s="609"/>
      <c r="R120" s="609"/>
      <c r="S120" s="610"/>
    </row>
    <row r="121" spans="2:19">
      <c r="B121" s="592" t="s">
        <v>210</v>
      </c>
      <c r="C121" s="593"/>
      <c r="D121" s="593"/>
      <c r="E121" s="593"/>
      <c r="F121" s="593"/>
      <c r="G121" s="593"/>
      <c r="H121" s="593"/>
      <c r="I121" s="593"/>
      <c r="J121" s="593"/>
      <c r="K121" s="593"/>
      <c r="L121" s="593"/>
      <c r="M121" s="593"/>
      <c r="N121" s="593"/>
      <c r="O121" s="593"/>
      <c r="P121" s="593"/>
      <c r="Q121" s="593"/>
      <c r="R121" s="593"/>
      <c r="S121" s="594"/>
    </row>
    <row r="122" spans="2:19">
      <c r="B122" s="592" t="s">
        <v>211</v>
      </c>
      <c r="C122" s="593"/>
      <c r="D122" s="593"/>
      <c r="E122" s="593"/>
      <c r="F122" s="593"/>
      <c r="G122" s="593"/>
      <c r="H122" s="593"/>
      <c r="I122" s="593"/>
      <c r="J122" s="593"/>
      <c r="K122" s="593"/>
      <c r="L122" s="593"/>
      <c r="M122" s="593"/>
      <c r="N122" s="593"/>
      <c r="O122" s="593"/>
      <c r="P122" s="593"/>
      <c r="Q122" s="593"/>
      <c r="R122" s="593"/>
      <c r="S122" s="594"/>
    </row>
    <row r="123" spans="2:19">
      <c r="B123" s="586" t="s">
        <v>212</v>
      </c>
      <c r="C123" s="587"/>
      <c r="D123" s="587"/>
      <c r="E123" s="587"/>
      <c r="F123" s="587"/>
      <c r="G123" s="587"/>
      <c r="H123" s="587"/>
      <c r="I123" s="587"/>
      <c r="J123" s="587"/>
      <c r="K123" s="587"/>
      <c r="L123" s="587"/>
      <c r="M123" s="587"/>
      <c r="N123" s="587"/>
      <c r="O123" s="587"/>
      <c r="P123" s="587"/>
      <c r="Q123" s="587"/>
      <c r="R123" s="587"/>
      <c r="S123" s="588"/>
    </row>
    <row r="124" spans="2:19">
      <c r="B124" s="586" t="s">
        <v>213</v>
      </c>
      <c r="C124" s="587"/>
      <c r="D124" s="587"/>
      <c r="E124" s="587"/>
      <c r="F124" s="587"/>
      <c r="G124" s="587"/>
      <c r="H124" s="587"/>
      <c r="I124" s="587"/>
      <c r="J124" s="587"/>
      <c r="K124" s="587"/>
      <c r="L124" s="587"/>
      <c r="M124" s="587"/>
      <c r="N124" s="587"/>
      <c r="O124" s="587"/>
      <c r="P124" s="587"/>
      <c r="Q124" s="587"/>
      <c r="R124" s="587"/>
      <c r="S124" s="588"/>
    </row>
    <row r="125" spans="2:19">
      <c r="B125" s="586" t="s">
        <v>214</v>
      </c>
      <c r="C125" s="587"/>
      <c r="D125" s="587"/>
      <c r="E125" s="587"/>
      <c r="F125" s="587"/>
      <c r="G125" s="587"/>
      <c r="H125" s="587"/>
      <c r="I125" s="587"/>
      <c r="J125" s="587"/>
      <c r="K125" s="587"/>
      <c r="L125" s="587"/>
      <c r="M125" s="587"/>
      <c r="N125" s="587"/>
      <c r="O125" s="587"/>
      <c r="P125" s="587"/>
      <c r="Q125" s="587"/>
      <c r="R125" s="587"/>
      <c r="S125" s="588"/>
    </row>
    <row r="126" spans="2:19">
      <c r="B126" s="586" t="s">
        <v>215</v>
      </c>
      <c r="C126" s="587"/>
      <c r="D126" s="587"/>
      <c r="E126" s="587"/>
      <c r="F126" s="587"/>
      <c r="G126" s="587"/>
      <c r="H126" s="587"/>
      <c r="I126" s="587"/>
      <c r="J126" s="587"/>
      <c r="K126" s="587"/>
      <c r="L126" s="587"/>
      <c r="M126" s="587"/>
      <c r="N126" s="587"/>
      <c r="O126" s="587"/>
      <c r="P126" s="587"/>
      <c r="Q126" s="587"/>
      <c r="R126" s="587"/>
      <c r="S126" s="588"/>
    </row>
    <row r="127" spans="2:19">
      <c r="B127" s="586" t="s">
        <v>216</v>
      </c>
      <c r="C127" s="587"/>
      <c r="D127" s="587"/>
      <c r="E127" s="587"/>
      <c r="F127" s="587"/>
      <c r="G127" s="587"/>
      <c r="H127" s="587"/>
      <c r="I127" s="587"/>
      <c r="J127" s="587"/>
      <c r="K127" s="587"/>
      <c r="L127" s="587"/>
      <c r="M127" s="587"/>
      <c r="N127" s="587"/>
      <c r="O127" s="587"/>
      <c r="P127" s="587"/>
      <c r="Q127" s="587"/>
      <c r="R127" s="587"/>
      <c r="S127" s="588"/>
    </row>
    <row r="128" spans="2:19">
      <c r="B128" s="586" t="s">
        <v>217</v>
      </c>
      <c r="C128" s="587"/>
      <c r="D128" s="587"/>
      <c r="E128" s="587"/>
      <c r="F128" s="587"/>
      <c r="G128" s="587"/>
      <c r="H128" s="587"/>
      <c r="I128" s="587"/>
      <c r="J128" s="587"/>
      <c r="K128" s="587"/>
      <c r="L128" s="587"/>
      <c r="M128" s="587"/>
      <c r="N128" s="587"/>
      <c r="O128" s="587"/>
      <c r="P128" s="587"/>
      <c r="Q128" s="587"/>
      <c r="R128" s="587"/>
      <c r="S128" s="588"/>
    </row>
    <row r="129" spans="2:19">
      <c r="B129" s="592" t="s">
        <v>218</v>
      </c>
      <c r="C129" s="593"/>
      <c r="D129" s="593"/>
      <c r="E129" s="593"/>
      <c r="F129" s="593"/>
      <c r="G129" s="593"/>
      <c r="H129" s="593"/>
      <c r="I129" s="593"/>
      <c r="J129" s="593"/>
      <c r="K129" s="593"/>
      <c r="L129" s="593"/>
      <c r="M129" s="593"/>
      <c r="N129" s="593"/>
      <c r="O129" s="593"/>
      <c r="P129" s="593"/>
      <c r="Q129" s="593"/>
      <c r="R129" s="593"/>
      <c r="S129" s="594"/>
    </row>
    <row r="130" spans="2:19">
      <c r="B130" s="586" t="s">
        <v>219</v>
      </c>
      <c r="C130" s="587"/>
      <c r="D130" s="587"/>
      <c r="E130" s="587"/>
      <c r="F130" s="587"/>
      <c r="G130" s="587"/>
      <c r="H130" s="587"/>
      <c r="I130" s="587"/>
      <c r="J130" s="587"/>
      <c r="K130" s="587"/>
      <c r="L130" s="587"/>
      <c r="M130" s="587"/>
      <c r="N130" s="587"/>
      <c r="O130" s="587"/>
      <c r="P130" s="587"/>
      <c r="Q130" s="587"/>
      <c r="R130" s="587"/>
      <c r="S130" s="588"/>
    </row>
    <row r="131" spans="2:19">
      <c r="B131" s="586" t="s">
        <v>220</v>
      </c>
      <c r="C131" s="587"/>
      <c r="D131" s="587"/>
      <c r="E131" s="587"/>
      <c r="F131" s="587"/>
      <c r="G131" s="587"/>
      <c r="H131" s="587"/>
      <c r="I131" s="587"/>
      <c r="J131" s="587"/>
      <c r="K131" s="587"/>
      <c r="L131" s="587"/>
      <c r="M131" s="587"/>
      <c r="N131" s="587"/>
      <c r="O131" s="587"/>
      <c r="P131" s="587"/>
      <c r="Q131" s="587"/>
      <c r="R131" s="587"/>
      <c r="S131" s="588"/>
    </row>
    <row r="132" spans="2:19">
      <c r="B132" s="586" t="s">
        <v>221</v>
      </c>
      <c r="C132" s="587"/>
      <c r="D132" s="587"/>
      <c r="E132" s="587"/>
      <c r="F132" s="587"/>
      <c r="G132" s="587"/>
      <c r="H132" s="587"/>
      <c r="I132" s="587"/>
      <c r="J132" s="587"/>
      <c r="K132" s="587"/>
      <c r="L132" s="587"/>
      <c r="M132" s="587"/>
      <c r="N132" s="587"/>
      <c r="O132" s="587"/>
      <c r="P132" s="587"/>
      <c r="Q132" s="587"/>
      <c r="R132" s="587"/>
      <c r="S132" s="588"/>
    </row>
    <row r="133" spans="2:19">
      <c r="B133" s="586" t="s">
        <v>222</v>
      </c>
      <c r="C133" s="587"/>
      <c r="D133" s="587"/>
      <c r="E133" s="587"/>
      <c r="F133" s="587"/>
      <c r="G133" s="587"/>
      <c r="H133" s="587"/>
      <c r="I133" s="587"/>
      <c r="J133" s="587"/>
      <c r="K133" s="587"/>
      <c r="L133" s="587"/>
      <c r="M133" s="587"/>
      <c r="N133" s="587"/>
      <c r="O133" s="587"/>
      <c r="P133" s="587"/>
      <c r="Q133" s="587"/>
      <c r="R133" s="587"/>
      <c r="S133" s="588"/>
    </row>
    <row r="134" spans="2:19">
      <c r="B134" s="586" t="s">
        <v>223</v>
      </c>
      <c r="C134" s="587"/>
      <c r="D134" s="587"/>
      <c r="E134" s="587"/>
      <c r="F134" s="587"/>
      <c r="G134" s="587"/>
      <c r="H134" s="587"/>
      <c r="I134" s="587"/>
      <c r="J134" s="587"/>
      <c r="K134" s="587"/>
      <c r="L134" s="587"/>
      <c r="M134" s="587"/>
      <c r="N134" s="587"/>
      <c r="O134" s="587"/>
      <c r="P134" s="587"/>
      <c r="Q134" s="587"/>
      <c r="R134" s="587"/>
      <c r="S134" s="588"/>
    </row>
    <row r="135" spans="2:19">
      <c r="B135" s="586" t="s">
        <v>224</v>
      </c>
      <c r="C135" s="587"/>
      <c r="D135" s="587"/>
      <c r="E135" s="587"/>
      <c r="F135" s="587"/>
      <c r="G135" s="587"/>
      <c r="H135" s="587"/>
      <c r="I135" s="587"/>
      <c r="J135" s="587"/>
      <c r="K135" s="587"/>
      <c r="L135" s="587"/>
      <c r="M135" s="587"/>
      <c r="N135" s="587"/>
      <c r="O135" s="587"/>
      <c r="P135" s="587"/>
      <c r="Q135" s="587"/>
      <c r="R135" s="587"/>
      <c r="S135" s="588"/>
    </row>
    <row r="136" spans="2:19" ht="15.75" thickBot="1">
      <c r="B136" s="589" t="s">
        <v>225</v>
      </c>
      <c r="C136" s="590"/>
      <c r="D136" s="590"/>
      <c r="E136" s="590"/>
      <c r="F136" s="590"/>
      <c r="G136" s="590"/>
      <c r="H136" s="590"/>
      <c r="I136" s="590"/>
      <c r="J136" s="590"/>
      <c r="K136" s="590"/>
      <c r="L136" s="590"/>
      <c r="M136" s="590"/>
      <c r="N136" s="590"/>
      <c r="O136" s="590"/>
      <c r="P136" s="590"/>
      <c r="Q136" s="590"/>
      <c r="R136" s="590"/>
      <c r="S136" s="591"/>
    </row>
    <row r="137" spans="2:19">
      <c r="B137" s="147"/>
      <c r="C137" s="148"/>
      <c r="D137" s="148"/>
      <c r="E137" s="148"/>
      <c r="F137" s="148"/>
      <c r="G137" s="148"/>
      <c r="H137" s="148"/>
      <c r="I137" s="148"/>
      <c r="J137" s="148"/>
      <c r="K137" s="148"/>
      <c r="L137" s="148"/>
      <c r="M137" s="148"/>
      <c r="N137" s="148"/>
      <c r="O137" s="148"/>
      <c r="P137" s="148"/>
      <c r="Q137" s="148"/>
      <c r="R137" s="148"/>
      <c r="S137" s="148"/>
    </row>
    <row r="138" spans="2:19">
      <c r="B138" s="147"/>
      <c r="C138" s="148"/>
      <c r="D138" s="148"/>
      <c r="E138" s="148"/>
      <c r="F138" s="148"/>
      <c r="G138" s="148"/>
      <c r="H138" s="148"/>
      <c r="I138" s="148"/>
      <c r="J138" s="148"/>
      <c r="K138" s="148"/>
      <c r="L138" s="148"/>
      <c r="M138" s="148"/>
      <c r="N138" s="148"/>
      <c r="O138" s="148"/>
      <c r="P138" s="148"/>
      <c r="Q138" s="148"/>
      <c r="R138" s="148"/>
      <c r="S138" s="148"/>
    </row>
    <row r="139" spans="2:19">
      <c r="B139" s="147"/>
      <c r="C139" s="148"/>
      <c r="D139" s="148"/>
      <c r="E139" s="148"/>
      <c r="F139" s="148"/>
      <c r="G139" s="148"/>
      <c r="H139" s="148"/>
      <c r="I139" s="148"/>
      <c r="J139" s="148"/>
      <c r="K139" s="148"/>
      <c r="L139" s="148"/>
      <c r="M139" s="148"/>
      <c r="N139" s="148"/>
      <c r="O139" s="148"/>
      <c r="P139" s="148"/>
      <c r="Q139" s="148"/>
      <c r="R139" s="148"/>
      <c r="S139" s="148"/>
    </row>
    <row r="140" spans="2:19">
      <c r="B140" s="147"/>
      <c r="C140" s="148"/>
      <c r="D140" s="148"/>
      <c r="E140" s="148"/>
      <c r="F140" s="148"/>
      <c r="G140" s="148"/>
      <c r="H140" s="148"/>
      <c r="I140" s="148"/>
      <c r="J140" s="148"/>
      <c r="K140" s="148"/>
      <c r="L140" s="148"/>
      <c r="M140" s="148"/>
      <c r="N140" s="148"/>
      <c r="O140" s="148"/>
      <c r="P140" s="148"/>
      <c r="Q140" s="148"/>
      <c r="R140" s="148"/>
      <c r="S140" s="148"/>
    </row>
    <row r="141" spans="2:19">
      <c r="B141" s="147"/>
      <c r="C141" s="148"/>
      <c r="D141" s="148"/>
      <c r="E141" s="148"/>
      <c r="F141" s="148"/>
      <c r="G141" s="148"/>
      <c r="H141" s="148"/>
      <c r="I141" s="148"/>
      <c r="J141" s="148"/>
      <c r="K141" s="148"/>
      <c r="L141" s="148"/>
      <c r="M141" s="148"/>
      <c r="N141" s="148"/>
      <c r="O141" s="148"/>
      <c r="P141" s="148"/>
      <c r="Q141" s="148"/>
      <c r="R141" s="148"/>
      <c r="S141" s="148"/>
    </row>
    <row r="142" spans="2:19">
      <c r="B142" s="147"/>
      <c r="C142" s="148"/>
      <c r="D142" s="148"/>
      <c r="E142" s="148"/>
      <c r="F142" s="148"/>
      <c r="G142" s="148"/>
      <c r="H142" s="148"/>
      <c r="I142" s="148"/>
      <c r="J142" s="148"/>
      <c r="K142" s="148"/>
      <c r="L142" s="148"/>
      <c r="M142" s="148"/>
      <c r="N142" s="148"/>
      <c r="O142" s="148"/>
      <c r="P142" s="148"/>
      <c r="Q142" s="148"/>
      <c r="R142" s="148"/>
      <c r="S142" s="148"/>
    </row>
    <row r="143" spans="2:19">
      <c r="B143" s="147"/>
      <c r="C143" s="148"/>
      <c r="D143" s="148"/>
      <c r="E143" s="148"/>
      <c r="F143" s="148"/>
      <c r="G143" s="148"/>
      <c r="H143" s="148"/>
      <c r="I143" s="148"/>
      <c r="J143" s="148"/>
      <c r="K143" s="148"/>
      <c r="L143" s="148"/>
      <c r="M143" s="148"/>
      <c r="N143" s="148"/>
      <c r="O143" s="148"/>
      <c r="P143" s="148"/>
      <c r="Q143" s="148"/>
      <c r="R143" s="148"/>
      <c r="S143" s="148"/>
    </row>
    <row r="144" spans="2:19">
      <c r="B144" s="147"/>
      <c r="C144" s="148"/>
      <c r="D144" s="148"/>
      <c r="E144" s="148"/>
      <c r="F144" s="148"/>
      <c r="G144" s="148"/>
      <c r="H144" s="148"/>
      <c r="I144" s="148"/>
      <c r="J144" s="148"/>
      <c r="K144" s="148"/>
      <c r="L144" s="148"/>
      <c r="M144" s="148"/>
      <c r="N144" s="148"/>
      <c r="O144" s="148"/>
      <c r="P144" s="148"/>
      <c r="Q144" s="148"/>
      <c r="R144" s="148"/>
      <c r="S144" s="148"/>
    </row>
    <row r="145" spans="2:19">
      <c r="B145" s="147"/>
      <c r="C145" s="148"/>
      <c r="D145" s="148"/>
      <c r="E145" s="148"/>
      <c r="F145" s="148"/>
      <c r="G145" s="148"/>
      <c r="H145" s="148"/>
      <c r="I145" s="148"/>
      <c r="J145" s="148"/>
      <c r="K145" s="148"/>
      <c r="L145" s="148"/>
      <c r="M145" s="148"/>
      <c r="N145" s="148"/>
      <c r="O145" s="148"/>
      <c r="P145" s="148"/>
      <c r="Q145" s="148"/>
      <c r="R145" s="148"/>
      <c r="S145" s="148"/>
    </row>
    <row r="146" spans="2:19">
      <c r="B146" s="147"/>
      <c r="C146" s="148"/>
      <c r="D146" s="148"/>
      <c r="E146" s="148"/>
      <c r="F146" s="148"/>
      <c r="G146" s="148"/>
      <c r="H146" s="148"/>
      <c r="I146" s="148"/>
      <c r="J146" s="148"/>
      <c r="K146" s="148"/>
      <c r="L146" s="148"/>
      <c r="M146" s="148"/>
      <c r="N146" s="148"/>
      <c r="O146" s="148"/>
      <c r="P146" s="148"/>
      <c r="Q146" s="148"/>
      <c r="R146" s="148"/>
      <c r="S146" s="148"/>
    </row>
    <row r="147" spans="2:19">
      <c r="B147" s="147"/>
      <c r="C147" s="148"/>
      <c r="D147" s="148"/>
      <c r="E147" s="148"/>
      <c r="F147" s="148"/>
      <c r="G147" s="148"/>
      <c r="H147" s="148"/>
      <c r="I147" s="148"/>
      <c r="J147" s="148"/>
      <c r="K147" s="148"/>
      <c r="L147" s="148"/>
      <c r="M147" s="148"/>
      <c r="N147" s="148"/>
      <c r="O147" s="148"/>
      <c r="P147" s="148"/>
      <c r="Q147" s="148"/>
      <c r="R147" s="148"/>
      <c r="S147" s="148"/>
    </row>
    <row r="148" spans="2:19">
      <c r="B148" s="147"/>
      <c r="C148" s="148"/>
      <c r="D148" s="148"/>
      <c r="E148" s="148"/>
      <c r="F148" s="148"/>
      <c r="G148" s="148"/>
      <c r="H148" s="148"/>
      <c r="I148" s="148"/>
      <c r="J148" s="148"/>
      <c r="K148" s="148"/>
      <c r="L148" s="148"/>
      <c r="M148" s="148"/>
      <c r="N148" s="148"/>
      <c r="O148" s="148"/>
      <c r="P148" s="148"/>
      <c r="Q148" s="148"/>
      <c r="R148" s="148"/>
      <c r="S148" s="148"/>
    </row>
    <row r="149" spans="2:19">
      <c r="C149" s="148"/>
      <c r="D149" s="148"/>
      <c r="E149" s="148"/>
      <c r="F149" s="148"/>
      <c r="G149" s="148"/>
      <c r="H149" s="148"/>
      <c r="I149" s="148"/>
      <c r="J149" s="148"/>
      <c r="K149" s="148"/>
      <c r="L149" s="148"/>
      <c r="M149" s="148"/>
      <c r="N149" s="148"/>
      <c r="O149" s="148"/>
      <c r="P149" s="148"/>
      <c r="Q149" s="148"/>
      <c r="R149" s="148"/>
      <c r="S149" s="148"/>
    </row>
    <row r="150" spans="2:19">
      <c r="C150" s="148"/>
      <c r="D150" s="148"/>
      <c r="E150" s="148"/>
      <c r="F150" s="148"/>
      <c r="G150" s="148"/>
      <c r="H150" s="148"/>
      <c r="I150" s="148"/>
      <c r="J150" s="148"/>
      <c r="K150" s="148"/>
      <c r="L150" s="148"/>
      <c r="M150" s="148"/>
      <c r="N150" s="148"/>
      <c r="O150" s="148"/>
      <c r="P150" s="148"/>
      <c r="Q150" s="148"/>
      <c r="R150" s="148"/>
      <c r="S150" s="148"/>
    </row>
    <row r="151" spans="2:19">
      <c r="C151" s="148"/>
      <c r="D151" s="148"/>
      <c r="E151" s="148"/>
      <c r="F151" s="148"/>
      <c r="G151" s="148"/>
      <c r="H151" s="148"/>
      <c r="I151" s="148"/>
      <c r="J151" s="148"/>
      <c r="K151" s="148"/>
      <c r="L151" s="148"/>
      <c r="M151" s="148"/>
      <c r="N151" s="148"/>
      <c r="O151" s="148"/>
      <c r="P151" s="148"/>
      <c r="Q151" s="148"/>
      <c r="R151" s="148"/>
      <c r="S151" s="148"/>
    </row>
    <row r="152" spans="2:19">
      <c r="C152" s="148"/>
      <c r="D152" s="148"/>
      <c r="E152" s="148"/>
      <c r="F152" s="148"/>
      <c r="G152" s="148"/>
      <c r="H152" s="148"/>
      <c r="I152" s="148"/>
      <c r="J152" s="148"/>
      <c r="K152" s="148"/>
      <c r="L152" s="148"/>
      <c r="M152" s="148"/>
      <c r="N152" s="148"/>
      <c r="O152" s="148"/>
      <c r="P152" s="148"/>
      <c r="Q152" s="148"/>
      <c r="R152" s="148"/>
      <c r="S152" s="148"/>
    </row>
    <row r="153" spans="2:19">
      <c r="C153" s="148"/>
      <c r="D153" s="148"/>
      <c r="E153" s="148"/>
      <c r="F153" s="148"/>
      <c r="G153" s="148"/>
      <c r="H153" s="148"/>
      <c r="I153" s="148"/>
      <c r="J153" s="148"/>
      <c r="K153" s="148"/>
      <c r="L153" s="148"/>
      <c r="M153" s="148"/>
      <c r="N153" s="148"/>
      <c r="O153" s="148"/>
      <c r="P153" s="148"/>
      <c r="Q153" s="148"/>
      <c r="R153" s="148"/>
      <c r="S153" s="148"/>
    </row>
    <row r="154" spans="2:19">
      <c r="C154" s="148"/>
      <c r="D154" s="148"/>
      <c r="E154" s="148"/>
      <c r="F154" s="148"/>
      <c r="G154" s="148"/>
      <c r="H154" s="148"/>
      <c r="I154" s="148"/>
      <c r="J154" s="148"/>
      <c r="K154" s="148"/>
      <c r="L154" s="148"/>
      <c r="M154" s="148"/>
      <c r="N154" s="148"/>
      <c r="O154" s="148"/>
      <c r="P154" s="148"/>
      <c r="Q154" s="148"/>
      <c r="R154" s="148"/>
      <c r="S154" s="148"/>
    </row>
    <row r="155" spans="2:19">
      <c r="C155" s="148"/>
      <c r="D155" s="148"/>
      <c r="E155" s="148"/>
      <c r="F155" s="148"/>
      <c r="G155" s="148"/>
      <c r="H155" s="148"/>
      <c r="I155" s="148"/>
      <c r="J155" s="148"/>
      <c r="K155" s="148"/>
      <c r="L155" s="148"/>
      <c r="M155" s="148"/>
      <c r="N155" s="148"/>
      <c r="O155" s="148"/>
      <c r="P155" s="148"/>
      <c r="Q155" s="148"/>
      <c r="R155" s="148"/>
      <c r="S155" s="148"/>
    </row>
  </sheetData>
  <mergeCells count="31">
    <mergeCell ref="B2:S2"/>
    <mergeCell ref="C3:C4"/>
    <mergeCell ref="D3:D4"/>
    <mergeCell ref="J3:J4"/>
    <mergeCell ref="K3:K4"/>
    <mergeCell ref="L3:L4"/>
    <mergeCell ref="M3:M4"/>
    <mergeCell ref="N3:N4"/>
    <mergeCell ref="O3:O4"/>
    <mergeCell ref="P3:P4"/>
    <mergeCell ref="B127:S127"/>
    <mergeCell ref="Q3:Q4"/>
    <mergeCell ref="R3:R4"/>
    <mergeCell ref="S3:S4"/>
    <mergeCell ref="A50:A54"/>
    <mergeCell ref="B120:S120"/>
    <mergeCell ref="B121:S121"/>
    <mergeCell ref="B122:S122"/>
    <mergeCell ref="B123:S123"/>
    <mergeCell ref="B124:S124"/>
    <mergeCell ref="B125:S125"/>
    <mergeCell ref="B126:S126"/>
    <mergeCell ref="B134:S134"/>
    <mergeCell ref="B135:S135"/>
    <mergeCell ref="B136:S136"/>
    <mergeCell ref="B128:S128"/>
    <mergeCell ref="B129:S129"/>
    <mergeCell ref="B130:S130"/>
    <mergeCell ref="B131:S131"/>
    <mergeCell ref="B132:S132"/>
    <mergeCell ref="B133:S133"/>
  </mergeCells>
  <hyperlinks>
    <hyperlink ref="A1" location="Contents!A1" display="Back to contents" xr:uid="{813AEB6D-92D8-41E5-8B6B-CA5026C863E1}"/>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3864-58A6-4B56-9012-AFAED8D21BFE}">
  <sheetPr codeName="Sheet28">
    <tabColor theme="6"/>
  </sheetPr>
  <dimension ref="A1:AE149"/>
  <sheetViews>
    <sheetView zoomScaleNormal="100" zoomScaleSheetLayoutView="100" workbookViewId="0">
      <pane xSplit="2" ySplit="4" topLeftCell="C88" activePane="bottomRight" state="frozen"/>
      <selection activeCell="U58" sqref="U58"/>
      <selection pane="topRight" activeCell="U58" sqref="U58"/>
      <selection pane="bottomLeft" activeCell="U58" sqref="U58"/>
      <selection pane="bottomRight" activeCell="P76" sqref="P76"/>
    </sheetView>
  </sheetViews>
  <sheetFormatPr defaultColWidth="10.140625" defaultRowHeight="15"/>
  <cols>
    <col min="1" max="1" width="10.7109375" style="111" customWidth="1"/>
    <col min="2" max="2" width="8.28515625" style="111" customWidth="1"/>
    <col min="3" max="3" width="7.85546875" style="111" customWidth="1"/>
    <col min="4" max="4" width="13.140625" style="111" customWidth="1"/>
    <col min="5" max="5" width="12.5703125" style="111" customWidth="1"/>
    <col min="6" max="6" width="12.42578125" style="111" customWidth="1"/>
    <col min="7" max="7" width="10" style="111" customWidth="1"/>
    <col min="8" max="8" width="10.140625" style="111" customWidth="1"/>
    <col min="9" max="9" width="9.85546875" style="111" customWidth="1"/>
    <col min="10" max="10" width="9.5703125" style="111" customWidth="1"/>
    <col min="11" max="11" width="7.42578125" style="111" customWidth="1"/>
    <col min="12" max="12" width="11.42578125" style="111" customWidth="1"/>
    <col min="13" max="13" width="7.7109375" style="111" customWidth="1"/>
    <col min="14" max="14" width="12.140625" style="111" customWidth="1"/>
    <col min="15" max="15" width="7.7109375" style="111" customWidth="1"/>
    <col min="16" max="16" width="8.7109375" style="111" customWidth="1"/>
    <col min="17" max="16384" width="10.140625" style="111"/>
  </cols>
  <sheetData>
    <row r="1" spans="1:31" ht="33.75" customHeight="1" thickBot="1">
      <c r="A1" s="108" t="s">
        <v>0</v>
      </c>
      <c r="B1" s="149"/>
      <c r="C1" s="149"/>
      <c r="D1" s="149"/>
      <c r="E1" s="149"/>
      <c r="F1" s="149"/>
      <c r="G1" s="149"/>
      <c r="H1" s="149"/>
      <c r="I1" s="149"/>
      <c r="J1" s="149"/>
      <c r="K1" s="149"/>
      <c r="L1" s="149"/>
      <c r="M1" s="149"/>
      <c r="N1" s="149"/>
      <c r="O1" s="149"/>
      <c r="P1" s="149"/>
      <c r="Q1" s="150"/>
    </row>
    <row r="2" spans="1:31" ht="19.5" thickBot="1">
      <c r="A2" s="110"/>
      <c r="B2" s="558" t="s">
        <v>226</v>
      </c>
      <c r="C2" s="559"/>
      <c r="D2" s="559"/>
      <c r="E2" s="559"/>
      <c r="F2" s="559"/>
      <c r="G2" s="559"/>
      <c r="H2" s="559"/>
      <c r="I2" s="559"/>
      <c r="J2" s="559"/>
      <c r="K2" s="559"/>
      <c r="L2" s="559"/>
      <c r="M2" s="559"/>
      <c r="N2" s="559"/>
      <c r="O2" s="559"/>
      <c r="P2" s="560"/>
      <c r="S2" s="111" t="s">
        <v>227</v>
      </c>
    </row>
    <row r="3" spans="1:31" s="153" customFormat="1" ht="41.25" customHeight="1">
      <c r="A3" s="151"/>
      <c r="B3" s="561" t="s">
        <v>93</v>
      </c>
      <c r="C3" s="555" t="s">
        <v>269</v>
      </c>
      <c r="D3" s="555" t="s">
        <v>95</v>
      </c>
      <c r="E3" s="152" t="s">
        <v>265</v>
      </c>
      <c r="F3" s="152"/>
      <c r="G3" s="555" t="s">
        <v>270</v>
      </c>
      <c r="H3" s="555" t="s">
        <v>98</v>
      </c>
      <c r="I3" s="555" t="s">
        <v>271</v>
      </c>
      <c r="J3" s="555" t="s">
        <v>100</v>
      </c>
      <c r="K3" s="555" t="s">
        <v>101</v>
      </c>
      <c r="L3" s="555" t="s">
        <v>102</v>
      </c>
      <c r="M3" s="555" t="s">
        <v>103</v>
      </c>
      <c r="N3" s="555" t="s">
        <v>104</v>
      </c>
      <c r="O3" s="555" t="s">
        <v>228</v>
      </c>
      <c r="P3" s="556" t="s">
        <v>229</v>
      </c>
      <c r="S3" s="153" t="s">
        <v>230</v>
      </c>
      <c r="T3" s="153" t="s">
        <v>231</v>
      </c>
      <c r="U3" s="153" t="s">
        <v>232</v>
      </c>
      <c r="V3" s="153" t="s">
        <v>233</v>
      </c>
      <c r="W3" s="153" t="s">
        <v>234</v>
      </c>
      <c r="X3" s="153" t="s">
        <v>235</v>
      </c>
      <c r="Z3" s="153" t="s">
        <v>230</v>
      </c>
      <c r="AA3" s="153" t="s">
        <v>231</v>
      </c>
      <c r="AB3" s="153" t="s">
        <v>232</v>
      </c>
      <c r="AC3" s="153" t="s">
        <v>233</v>
      </c>
      <c r="AD3" s="153" t="s">
        <v>234</v>
      </c>
      <c r="AE3" s="153" t="s">
        <v>235</v>
      </c>
    </row>
    <row r="4" spans="1:31" s="153" customFormat="1" ht="33" customHeight="1">
      <c r="A4" s="151"/>
      <c r="B4" s="562"/>
      <c r="C4" s="555"/>
      <c r="D4" s="555"/>
      <c r="E4" s="119" t="s">
        <v>18</v>
      </c>
      <c r="F4" s="119" t="s">
        <v>109</v>
      </c>
      <c r="G4" s="555"/>
      <c r="H4" s="555"/>
      <c r="I4" s="555"/>
      <c r="J4" s="555"/>
      <c r="K4" s="555"/>
      <c r="L4" s="555"/>
      <c r="M4" s="555"/>
      <c r="N4" s="555"/>
      <c r="O4" s="555"/>
      <c r="P4" s="557"/>
    </row>
    <row r="5" spans="1:31" ht="15.75">
      <c r="A5" s="110"/>
      <c r="B5" s="154" t="s">
        <v>111</v>
      </c>
      <c r="C5" s="122">
        <v>257.83100000000002</v>
      </c>
      <c r="D5" s="122">
        <v>79.664000000000001</v>
      </c>
      <c r="E5" s="122">
        <v>70.694999999999993</v>
      </c>
      <c r="F5" s="122">
        <v>11.111000000000001</v>
      </c>
      <c r="G5" s="122">
        <v>8.3000000000000004E-2</v>
      </c>
      <c r="H5" s="122">
        <v>408.27300000000002</v>
      </c>
      <c r="I5" s="122">
        <v>4.319</v>
      </c>
      <c r="J5" s="122">
        <v>412.59199999999998</v>
      </c>
      <c r="K5" s="122">
        <v>103.35299999999999</v>
      </c>
      <c r="L5" s="122">
        <v>515.94500000000005</v>
      </c>
      <c r="M5" s="122">
        <v>114.04</v>
      </c>
      <c r="N5" s="122">
        <v>0</v>
      </c>
      <c r="O5" s="122">
        <v>401.90499999999997</v>
      </c>
      <c r="P5" s="155">
        <v>402.71699999999998</v>
      </c>
      <c r="Q5" s="156"/>
      <c r="R5" s="157"/>
      <c r="S5" s="124">
        <f>100*(C5/OBR_MAR22_1.1!C5)</f>
        <v>83.581107365145229</v>
      </c>
      <c r="T5" s="124">
        <f>100*(D5/OBR_MAR22_1.1!D5)</f>
        <v>84.199845687167723</v>
      </c>
      <c r="U5" s="124">
        <f>100*(E5/OBR_MAR22_1.1!E5)</f>
        <v>81.66223865080282</v>
      </c>
      <c r="V5" s="124">
        <f>100*(K5/OBR_MAR22_1.1!N5)</f>
        <v>74.651671758868005</v>
      </c>
      <c r="W5" s="124">
        <f>100*(M5/OBR_MAR22_1.1!P5)</f>
        <v>82.24493181113381</v>
      </c>
      <c r="X5" s="124">
        <f>100*(O5/OBR_MAR22_1.1!R5)</f>
        <v>82.113764661895303</v>
      </c>
    </row>
    <row r="6" spans="1:31" ht="15.75">
      <c r="A6" s="110"/>
      <c r="B6" s="154" t="s">
        <v>112</v>
      </c>
      <c r="C6" s="122">
        <v>257.863</v>
      </c>
      <c r="D6" s="122">
        <v>80.593999999999994</v>
      </c>
      <c r="E6" s="122">
        <v>71.828999999999994</v>
      </c>
      <c r="F6" s="122">
        <v>11.295999999999999</v>
      </c>
      <c r="G6" s="122">
        <v>0.23499999999999999</v>
      </c>
      <c r="H6" s="122">
        <v>410.52100000000002</v>
      </c>
      <c r="I6" s="122">
        <v>0.63400000000000001</v>
      </c>
      <c r="J6" s="122">
        <v>411.15499999999997</v>
      </c>
      <c r="K6" s="122">
        <v>109.429</v>
      </c>
      <c r="L6" s="122">
        <v>520.58399999999995</v>
      </c>
      <c r="M6" s="122">
        <v>119.36199999999999</v>
      </c>
      <c r="N6" s="122">
        <v>0</v>
      </c>
      <c r="O6" s="122">
        <v>401.22199999999998</v>
      </c>
      <c r="P6" s="155">
        <v>398.142</v>
      </c>
      <c r="Q6" s="156"/>
      <c r="R6" s="157"/>
      <c r="S6" s="124">
        <f>100*(C6/OBR_MAR22_1.1!C6)</f>
        <v>84.157569230267143</v>
      </c>
      <c r="T6" s="124">
        <f>100*(D6/OBR_MAR22_1.1!D6)</f>
        <v>86.907855717905861</v>
      </c>
      <c r="U6" s="124">
        <f>100*(E6/OBR_MAR22_1.1!E6)</f>
        <v>82.1729282020775</v>
      </c>
      <c r="V6" s="124">
        <f>100*(K6/OBR_MAR22_1.1!N6)</f>
        <v>78.356664637857577</v>
      </c>
      <c r="W6" s="124">
        <f>100*(M6/OBR_MAR22_1.1!P6)</f>
        <v>86.546256081556294</v>
      </c>
      <c r="X6" s="124">
        <f>100*(O6/OBR_MAR22_1.1!R6)</f>
        <v>82.345190500036935</v>
      </c>
      <c r="AA6" s="124">
        <f>100*((T6/T5)-1)</f>
        <v>3.2161698262480831</v>
      </c>
    </row>
    <row r="7" spans="1:31" ht="15.75">
      <c r="A7" s="110"/>
      <c r="B7" s="154" t="s">
        <v>113</v>
      </c>
      <c r="C7" s="122">
        <v>257.64400000000001</v>
      </c>
      <c r="D7" s="122">
        <v>81.52</v>
      </c>
      <c r="E7" s="122">
        <v>68.971999999999994</v>
      </c>
      <c r="F7" s="122">
        <v>11.864000000000001</v>
      </c>
      <c r="G7" s="122">
        <v>-0.89600000000000002</v>
      </c>
      <c r="H7" s="122">
        <v>407.24</v>
      </c>
      <c r="I7" s="122">
        <v>-0.114</v>
      </c>
      <c r="J7" s="122">
        <v>407.12599999999998</v>
      </c>
      <c r="K7" s="122">
        <v>112.11</v>
      </c>
      <c r="L7" s="122">
        <v>519.23599999999999</v>
      </c>
      <c r="M7" s="122">
        <v>119.628</v>
      </c>
      <c r="N7" s="122">
        <v>0</v>
      </c>
      <c r="O7" s="122">
        <v>399.608</v>
      </c>
      <c r="P7" s="155">
        <v>396.505</v>
      </c>
      <c r="Q7" s="156"/>
      <c r="R7" s="157"/>
      <c r="S7" s="124">
        <f>100*(C7/OBR_MAR22_1.1!C7)</f>
        <v>85.365724358209746</v>
      </c>
      <c r="T7" s="124">
        <f>100*(D7/OBR_MAR22_1.1!D7)</f>
        <v>87.274907393529304</v>
      </c>
      <c r="U7" s="124">
        <f>100*(E7/OBR_MAR22_1.1!E7)</f>
        <v>82.895053122446043</v>
      </c>
      <c r="V7" s="124">
        <f>100*(K7/OBR_MAR22_1.1!N7)</f>
        <v>80.605964740732219</v>
      </c>
      <c r="W7" s="124">
        <f>100*(M7/OBR_MAR22_1.1!P7)</f>
        <v>88.576590451368304</v>
      </c>
      <c r="X7" s="124">
        <f>100*(O7/OBR_MAR22_1.1!R7)</f>
        <v>83.254615267624061</v>
      </c>
      <c r="AA7" s="124">
        <f t="shared" ref="Z7:AA70" si="0">100*((T7/T6)-1)</f>
        <v>0.42234579669628847</v>
      </c>
    </row>
    <row r="8" spans="1:31" ht="15.75">
      <c r="A8" s="110"/>
      <c r="B8" s="154" t="s">
        <v>114</v>
      </c>
      <c r="C8" s="122">
        <v>253.71899999999999</v>
      </c>
      <c r="D8" s="122">
        <v>84.114000000000004</v>
      </c>
      <c r="E8" s="122">
        <v>68.228999999999999</v>
      </c>
      <c r="F8" s="122">
        <v>12.584</v>
      </c>
      <c r="G8" s="122">
        <v>0.38900000000000001</v>
      </c>
      <c r="H8" s="122">
        <v>406.45100000000002</v>
      </c>
      <c r="I8" s="122">
        <v>-5.6050000000000004</v>
      </c>
      <c r="J8" s="122">
        <v>400.846</v>
      </c>
      <c r="K8" s="122">
        <v>108.044</v>
      </c>
      <c r="L8" s="122">
        <v>508.89</v>
      </c>
      <c r="M8" s="122">
        <v>112.873</v>
      </c>
      <c r="N8" s="122">
        <v>0</v>
      </c>
      <c r="O8" s="122">
        <v>396.017</v>
      </c>
      <c r="P8" s="155">
        <v>386.08</v>
      </c>
      <c r="Q8" s="156"/>
      <c r="R8" s="157"/>
      <c r="S8" s="124">
        <f>100*(C8/OBR_MAR22_1.1!C8)</f>
        <v>85.999735613833479</v>
      </c>
      <c r="T8" s="124">
        <f>100*(D8/OBR_MAR22_1.1!D8)</f>
        <v>89.512498802796685</v>
      </c>
      <c r="U8" s="124">
        <f>100*(E8/OBR_MAR22_1.1!E8)</f>
        <v>83.337201206776527</v>
      </c>
      <c r="V8" s="124">
        <f>100*(K8/OBR_MAR22_1.1!N8)</f>
        <v>81.674553618674679</v>
      </c>
      <c r="W8" s="124">
        <f>100*(M8/OBR_MAR22_1.1!P8)</f>
        <v>87.497771335105938</v>
      </c>
      <c r="X8" s="124">
        <f>100*(O8/OBR_MAR22_1.1!R8)</f>
        <v>84.194804808252428</v>
      </c>
      <c r="AA8" s="124">
        <f t="shared" si="0"/>
        <v>2.5638427769139938</v>
      </c>
    </row>
    <row r="9" spans="1:31" ht="15.75">
      <c r="A9" s="110"/>
      <c r="B9" s="154" t="s">
        <v>115</v>
      </c>
      <c r="C9" s="122">
        <v>251.536</v>
      </c>
      <c r="D9" s="122">
        <v>84.016999999999996</v>
      </c>
      <c r="E9" s="122">
        <v>64.347999999999999</v>
      </c>
      <c r="F9" s="122">
        <v>12.659000000000001</v>
      </c>
      <c r="G9" s="122">
        <v>1.2290000000000001</v>
      </c>
      <c r="H9" s="122">
        <v>401.13</v>
      </c>
      <c r="I9" s="122">
        <v>-8.8840000000000003</v>
      </c>
      <c r="J9" s="122">
        <v>392.24599999999998</v>
      </c>
      <c r="K9" s="122">
        <v>102.819</v>
      </c>
      <c r="L9" s="122">
        <v>495.065</v>
      </c>
      <c r="M9" s="122">
        <v>107.904</v>
      </c>
      <c r="N9" s="122">
        <v>0</v>
      </c>
      <c r="O9" s="122">
        <v>387.161</v>
      </c>
      <c r="P9" s="155">
        <v>380.755</v>
      </c>
      <c r="Q9" s="156"/>
      <c r="R9" s="157"/>
      <c r="S9" s="124">
        <f>100*(C9/OBR_MAR22_1.1!C9)</f>
        <v>85.764163552549036</v>
      </c>
      <c r="T9" s="124">
        <f>100*(D9/OBR_MAR22_1.1!D9)</f>
        <v>90.024323079066079</v>
      </c>
      <c r="U9" s="124">
        <f>100*(E9/OBR_MAR22_1.1!E9)</f>
        <v>84.445086022493157</v>
      </c>
      <c r="V9" s="124">
        <f>100*(K9/OBR_MAR22_1.1!N9)</f>
        <v>81.917046432327354</v>
      </c>
      <c r="W9" s="124">
        <f>100*(M9/OBR_MAR22_1.1!P9)</f>
        <v>87.87614727463739</v>
      </c>
      <c r="X9" s="124">
        <f>100*(O9/OBR_MAR22_1.1!R9)</f>
        <v>83.822672939566687</v>
      </c>
      <c r="AA9" s="124">
        <f t="shared" si="0"/>
        <v>0.57179084833391958</v>
      </c>
    </row>
    <row r="10" spans="1:31" ht="15.75">
      <c r="A10" s="110"/>
      <c r="B10" s="154" t="s">
        <v>116</v>
      </c>
      <c r="C10" s="122">
        <v>249.28899999999999</v>
      </c>
      <c r="D10" s="122">
        <v>84.619</v>
      </c>
      <c r="E10" s="122">
        <v>61.514000000000003</v>
      </c>
      <c r="F10" s="122">
        <v>11.961</v>
      </c>
      <c r="G10" s="122">
        <v>0.70799999999999996</v>
      </c>
      <c r="H10" s="122">
        <v>396.13</v>
      </c>
      <c r="I10" s="122">
        <v>-1.9930000000000001</v>
      </c>
      <c r="J10" s="122">
        <v>394.137</v>
      </c>
      <c r="K10" s="122">
        <v>100.586</v>
      </c>
      <c r="L10" s="122">
        <v>494.72300000000001</v>
      </c>
      <c r="M10" s="122">
        <v>106.21599999999999</v>
      </c>
      <c r="N10" s="122">
        <v>0</v>
      </c>
      <c r="O10" s="122">
        <v>388.50700000000001</v>
      </c>
      <c r="P10" s="155">
        <v>382.92700000000002</v>
      </c>
      <c r="Q10" s="156"/>
      <c r="R10" s="157"/>
      <c r="S10" s="124">
        <f>100*(C10/OBR_MAR22_1.1!C10)</f>
        <v>85.400144566591422</v>
      </c>
      <c r="T10" s="124">
        <f>100*(D10/OBR_MAR22_1.1!D10)</f>
        <v>89.580885233059149</v>
      </c>
      <c r="U10" s="124">
        <f>100*(E10/OBR_MAR22_1.1!E10)</f>
        <v>84.092959671907039</v>
      </c>
      <c r="V10" s="124">
        <f>100*(K10/OBR_MAR22_1.1!N10)</f>
        <v>81.02299730154256</v>
      </c>
      <c r="W10" s="124">
        <f>100*(M10/OBR_MAR22_1.1!P10)</f>
        <v>86.462021864595798</v>
      </c>
      <c r="X10" s="124">
        <f>100*(O10/OBR_MAR22_1.1!R10)</f>
        <v>84.378984038867927</v>
      </c>
      <c r="AA10" s="124">
        <f t="shared" si="0"/>
        <v>-0.49257559606137313</v>
      </c>
    </row>
    <row r="11" spans="1:31" ht="15.75">
      <c r="A11" s="110"/>
      <c r="B11" s="154" t="s">
        <v>117</v>
      </c>
      <c r="C11" s="122">
        <v>251.249</v>
      </c>
      <c r="D11" s="122">
        <v>86.564999999999998</v>
      </c>
      <c r="E11" s="122">
        <v>62.212000000000003</v>
      </c>
      <c r="F11" s="122">
        <v>13.311</v>
      </c>
      <c r="G11" s="122">
        <v>0.42899999999999999</v>
      </c>
      <c r="H11" s="122">
        <v>400.45499999999998</v>
      </c>
      <c r="I11" s="122">
        <v>-3.1360000000000001</v>
      </c>
      <c r="J11" s="122">
        <v>397.31900000000002</v>
      </c>
      <c r="K11" s="122">
        <v>102.09</v>
      </c>
      <c r="L11" s="122">
        <v>499.40899999999999</v>
      </c>
      <c r="M11" s="122">
        <v>107.726</v>
      </c>
      <c r="N11" s="122">
        <v>0</v>
      </c>
      <c r="O11" s="122">
        <v>391.68299999999999</v>
      </c>
      <c r="P11" s="155">
        <v>392.54300000000001</v>
      </c>
      <c r="Q11" s="156"/>
      <c r="R11" s="157"/>
      <c r="S11" s="124">
        <f>100*(C11/OBR_MAR22_1.1!C11)</f>
        <v>85.159048926398555</v>
      </c>
      <c r="T11" s="124">
        <f>100*(D11/OBR_MAR22_1.1!D11)</f>
        <v>90.529277041654026</v>
      </c>
      <c r="U11" s="124">
        <f>100*(E11/OBR_MAR22_1.1!E11)</f>
        <v>84.053232452881176</v>
      </c>
      <c r="V11" s="124">
        <f>100*(K11/OBR_MAR22_1.1!N11)</f>
        <v>81.811406636909282</v>
      </c>
      <c r="W11" s="124">
        <f>100*(M11/OBR_MAR22_1.1!P11)</f>
        <v>85.937425211800175</v>
      </c>
      <c r="X11" s="124">
        <f>100*(O11/OBR_MAR22_1.1!R11)</f>
        <v>85.015041608605628</v>
      </c>
      <c r="AA11" s="124">
        <f t="shared" si="0"/>
        <v>1.0586988576050338</v>
      </c>
    </row>
    <row r="12" spans="1:31" ht="15.75">
      <c r="A12" s="110"/>
      <c r="B12" s="154" t="s">
        <v>118</v>
      </c>
      <c r="C12" s="122">
        <v>253.739</v>
      </c>
      <c r="D12" s="122">
        <v>86.650999999999996</v>
      </c>
      <c r="E12" s="122">
        <v>60.442999999999998</v>
      </c>
      <c r="F12" s="122">
        <v>12.801</v>
      </c>
      <c r="G12" s="122">
        <v>-1.2E-2</v>
      </c>
      <c r="H12" s="122">
        <v>400.82100000000003</v>
      </c>
      <c r="I12" s="122">
        <v>-4.45</v>
      </c>
      <c r="J12" s="122">
        <v>396.37099999999998</v>
      </c>
      <c r="K12" s="122">
        <v>104.81</v>
      </c>
      <c r="L12" s="122">
        <v>501.18099999999998</v>
      </c>
      <c r="M12" s="122">
        <v>111.41200000000001</v>
      </c>
      <c r="N12" s="122">
        <v>0</v>
      </c>
      <c r="O12" s="122">
        <v>389.76900000000001</v>
      </c>
      <c r="P12" s="155">
        <v>388.78</v>
      </c>
      <c r="Q12" s="156"/>
      <c r="R12" s="157"/>
      <c r="S12" s="124">
        <f>100*(C12/OBR_MAR22_1.1!C12)</f>
        <v>84.788529076625423</v>
      </c>
      <c r="T12" s="124">
        <f>100*(D12/OBR_MAR22_1.1!D12)</f>
        <v>90.007375014282601</v>
      </c>
      <c r="U12" s="124">
        <f>100*(E12/OBR_MAR22_1.1!E12)</f>
        <v>83.257114521061183</v>
      </c>
      <c r="V12" s="124">
        <f>100*(K12/OBR_MAR22_1.1!N12)</f>
        <v>82.887827407313679</v>
      </c>
      <c r="W12" s="124">
        <f>100*(M12/OBR_MAR22_1.1!P12)</f>
        <v>87.291588316409673</v>
      </c>
      <c r="X12" s="124">
        <f>100*(O12/OBR_MAR22_1.1!R12)</f>
        <v>84.337836902144744</v>
      </c>
      <c r="AA12" s="124">
        <f t="shared" si="0"/>
        <v>-0.57650082318816409</v>
      </c>
    </row>
    <row r="13" spans="1:31" ht="15.75">
      <c r="A13" s="110"/>
      <c r="B13" s="154" t="s">
        <v>119</v>
      </c>
      <c r="C13" s="122">
        <v>252.71600000000001</v>
      </c>
      <c r="D13" s="122">
        <v>86.602999999999994</v>
      </c>
      <c r="E13" s="122">
        <v>62.335000000000001</v>
      </c>
      <c r="F13" s="122">
        <v>12.83</v>
      </c>
      <c r="G13" s="122">
        <v>-5.5E-2</v>
      </c>
      <c r="H13" s="122">
        <v>401.59899999999999</v>
      </c>
      <c r="I13" s="122">
        <v>1.0720000000000001</v>
      </c>
      <c r="J13" s="122">
        <v>402.67099999999999</v>
      </c>
      <c r="K13" s="122">
        <v>107.828</v>
      </c>
      <c r="L13" s="122">
        <v>510.49900000000002</v>
      </c>
      <c r="M13" s="122">
        <v>114.33199999999999</v>
      </c>
      <c r="N13" s="122">
        <v>0</v>
      </c>
      <c r="O13" s="122">
        <v>396.16699999999997</v>
      </c>
      <c r="P13" s="155">
        <v>396.45600000000002</v>
      </c>
      <c r="Q13" s="156"/>
      <c r="R13" s="157"/>
      <c r="S13" s="124">
        <f>100*(C13/OBR_MAR22_1.1!C13)</f>
        <v>85.687063666170516</v>
      </c>
      <c r="T13" s="124">
        <f>100*(D13/OBR_MAR22_1.1!D13)</f>
        <v>91.719090889835002</v>
      </c>
      <c r="U13" s="124">
        <f>100*(E13/OBR_MAR22_1.1!E13)</f>
        <v>82.829504232164439</v>
      </c>
      <c r="V13" s="124">
        <f>100*(K13/OBR_MAR22_1.1!N13)</f>
        <v>84.481529361068681</v>
      </c>
      <c r="W13" s="124">
        <f>100*(M13/OBR_MAR22_1.1!P13)</f>
        <v>88.145001503365222</v>
      </c>
      <c r="X13" s="124">
        <f>100*(O13/OBR_MAR22_1.1!R13)</f>
        <v>85.12763762946409</v>
      </c>
      <c r="AA13" s="124">
        <f t="shared" si="0"/>
        <v>1.9017506901859882</v>
      </c>
    </row>
    <row r="14" spans="1:31" ht="15.75">
      <c r="A14" s="110"/>
      <c r="B14" s="154" t="s">
        <v>120</v>
      </c>
      <c r="C14" s="122">
        <v>258.947</v>
      </c>
      <c r="D14" s="122">
        <v>86.772000000000006</v>
      </c>
      <c r="E14" s="122">
        <v>62.304000000000002</v>
      </c>
      <c r="F14" s="122">
        <v>12.622999999999999</v>
      </c>
      <c r="G14" s="122">
        <v>-0.41299999999999998</v>
      </c>
      <c r="H14" s="122">
        <v>407.61</v>
      </c>
      <c r="I14" s="122">
        <v>1.179</v>
      </c>
      <c r="J14" s="122">
        <v>408.78899999999999</v>
      </c>
      <c r="K14" s="122">
        <v>114.003</v>
      </c>
      <c r="L14" s="122">
        <v>522.79200000000003</v>
      </c>
      <c r="M14" s="122">
        <v>119.932</v>
      </c>
      <c r="N14" s="122">
        <v>0</v>
      </c>
      <c r="O14" s="122">
        <v>402.86</v>
      </c>
      <c r="P14" s="155">
        <v>403.51799999999997</v>
      </c>
      <c r="Q14" s="156"/>
      <c r="R14" s="157"/>
      <c r="S14" s="124">
        <f>100*(C14/OBR_MAR22_1.1!C14)</f>
        <v>86.026617232764579</v>
      </c>
      <c r="T14" s="124">
        <f>100*(D14/OBR_MAR22_1.1!D14)</f>
        <v>91.374535345345038</v>
      </c>
      <c r="U14" s="124">
        <f>100*(E14/OBR_MAR22_1.1!E14)</f>
        <v>83.345372822858977</v>
      </c>
      <c r="V14" s="124">
        <f>100*(K14/OBR_MAR22_1.1!N14)</f>
        <v>86.025716484810076</v>
      </c>
      <c r="W14" s="124">
        <f>100*(M14/OBR_MAR22_1.1!P14)</f>
        <v>90.179182362981507</v>
      </c>
      <c r="X14" s="124">
        <f>100*(O14/OBR_MAR22_1.1!R14)</f>
        <v>85.595606123381245</v>
      </c>
      <c r="AA14" s="124">
        <f t="shared" si="0"/>
        <v>-0.3756639333721834</v>
      </c>
    </row>
    <row r="15" spans="1:31" ht="15.75">
      <c r="A15" s="110"/>
      <c r="B15" s="154" t="s">
        <v>121</v>
      </c>
      <c r="C15" s="122">
        <v>260.947</v>
      </c>
      <c r="D15" s="122">
        <v>86.472999999999999</v>
      </c>
      <c r="E15" s="122">
        <v>64.582999999999998</v>
      </c>
      <c r="F15" s="122">
        <v>12.781000000000001</v>
      </c>
      <c r="G15" s="122">
        <v>0.502</v>
      </c>
      <c r="H15" s="122">
        <v>412.505</v>
      </c>
      <c r="I15" s="122">
        <v>1.9410000000000001</v>
      </c>
      <c r="J15" s="122">
        <v>414.44600000000003</v>
      </c>
      <c r="K15" s="122">
        <v>113.789</v>
      </c>
      <c r="L15" s="122">
        <v>528.23500000000001</v>
      </c>
      <c r="M15" s="122">
        <v>122.956</v>
      </c>
      <c r="N15" s="122">
        <v>0</v>
      </c>
      <c r="O15" s="122">
        <v>405.279</v>
      </c>
      <c r="P15" s="155">
        <v>404.642</v>
      </c>
      <c r="Q15" s="156"/>
      <c r="R15" s="157"/>
      <c r="S15" s="124">
        <f>100*(C15/OBR_MAR22_1.1!C15)</f>
        <v>86.685579698831006</v>
      </c>
      <c r="T15" s="124">
        <f>100*(D15/OBR_MAR22_1.1!D15)</f>
        <v>91.166237928562381</v>
      </c>
      <c r="U15" s="124">
        <f>100*(E15/OBR_MAR22_1.1!E15)</f>
        <v>83.318927147704244</v>
      </c>
      <c r="V15" s="124">
        <f>100*(K15/OBR_MAR22_1.1!N15)</f>
        <v>86.072071526905802</v>
      </c>
      <c r="W15" s="124">
        <f>100*(M15/OBR_MAR22_1.1!P15)</f>
        <v>90.315851329513748</v>
      </c>
      <c r="X15" s="124">
        <f>100*(O15/OBR_MAR22_1.1!R15)</f>
        <v>85.510197192132566</v>
      </c>
      <c r="AA15" s="124">
        <f t="shared" si="0"/>
        <v>-0.22796002846461327</v>
      </c>
    </row>
    <row r="16" spans="1:31" ht="15.75">
      <c r="A16" s="110"/>
      <c r="B16" s="154" t="s">
        <v>122</v>
      </c>
      <c r="C16" s="122">
        <v>262.94299999999998</v>
      </c>
      <c r="D16" s="122">
        <v>87.93</v>
      </c>
      <c r="E16" s="122">
        <v>65.989000000000004</v>
      </c>
      <c r="F16" s="122">
        <v>12.3</v>
      </c>
      <c r="G16" s="122">
        <v>0.40400000000000003</v>
      </c>
      <c r="H16" s="122">
        <v>417.26600000000002</v>
      </c>
      <c r="I16" s="122">
        <v>-0.76</v>
      </c>
      <c r="J16" s="122">
        <v>416.50599999999997</v>
      </c>
      <c r="K16" s="122">
        <v>118.857</v>
      </c>
      <c r="L16" s="122">
        <v>535.36300000000006</v>
      </c>
      <c r="M16" s="122">
        <v>127.474</v>
      </c>
      <c r="N16" s="122">
        <v>0</v>
      </c>
      <c r="O16" s="122">
        <v>407.88900000000001</v>
      </c>
      <c r="P16" s="155">
        <v>408.24400000000003</v>
      </c>
      <c r="Q16" s="156"/>
      <c r="R16" s="157"/>
      <c r="S16" s="124">
        <f>100*(C16/OBR_MAR22_1.1!C16)</f>
        <v>86.786169292819935</v>
      </c>
      <c r="T16" s="124">
        <f>100*(D16/OBR_MAR22_1.1!D16)</f>
        <v>91.915454089312604</v>
      </c>
      <c r="U16" s="124">
        <f>100*(E16/OBR_MAR22_1.1!E16)</f>
        <v>83.134700665188461</v>
      </c>
      <c r="V16" s="124">
        <f>100*(K16/OBR_MAR22_1.1!N16)</f>
        <v>87.092590421478391</v>
      </c>
      <c r="W16" s="124">
        <f>100*(M16/OBR_MAR22_1.1!P16)</f>
        <v>91.942731436402312</v>
      </c>
      <c r="X16" s="124">
        <f>100*(O16/OBR_MAR22_1.1!R16)</f>
        <v>85.957144603246178</v>
      </c>
      <c r="AA16" s="124">
        <f t="shared" si="0"/>
        <v>0.82181318191203445</v>
      </c>
    </row>
    <row r="17" spans="1:27" ht="15.75">
      <c r="A17" s="110"/>
      <c r="B17" s="154" t="s">
        <v>123</v>
      </c>
      <c r="C17" s="122">
        <v>266.05200000000002</v>
      </c>
      <c r="D17" s="122">
        <v>89.010999999999996</v>
      </c>
      <c r="E17" s="122">
        <v>63.344999999999999</v>
      </c>
      <c r="F17" s="122">
        <v>12.988</v>
      </c>
      <c r="G17" s="122">
        <v>-1.2609999999999999</v>
      </c>
      <c r="H17" s="122">
        <v>417.14699999999999</v>
      </c>
      <c r="I17" s="122">
        <v>1.2230000000000001</v>
      </c>
      <c r="J17" s="122">
        <v>418.37</v>
      </c>
      <c r="K17" s="122">
        <v>125.172</v>
      </c>
      <c r="L17" s="122">
        <v>543.54200000000003</v>
      </c>
      <c r="M17" s="122">
        <v>126.663</v>
      </c>
      <c r="N17" s="122">
        <v>0</v>
      </c>
      <c r="O17" s="122">
        <v>416.87900000000002</v>
      </c>
      <c r="P17" s="155">
        <v>418.57299999999998</v>
      </c>
      <c r="Q17" s="156"/>
      <c r="R17" s="157"/>
      <c r="S17" s="124">
        <f>100*(C17/OBR_MAR22_1.1!C17)</f>
        <v>88.822859737389464</v>
      </c>
      <c r="T17" s="124">
        <f>100*(D17/OBR_MAR22_1.1!D17)</f>
        <v>92.199250067328208</v>
      </c>
      <c r="U17" s="124">
        <f>100*(E17/OBR_MAR22_1.1!E17)</f>
        <v>83.310317616886962</v>
      </c>
      <c r="V17" s="124">
        <f>100*(K17/OBR_MAR22_1.1!N17)</f>
        <v>88.457026557177784</v>
      </c>
      <c r="W17" s="124">
        <f>100*(M17/OBR_MAR22_1.1!P17)</f>
        <v>93.186633707071593</v>
      </c>
      <c r="X17" s="124">
        <f>100*(O17/OBR_MAR22_1.1!R17)</f>
        <v>87.447348548414155</v>
      </c>
      <c r="AA17" s="124">
        <f t="shared" si="0"/>
        <v>0.30875763039786008</v>
      </c>
    </row>
    <row r="18" spans="1:27" ht="15.75">
      <c r="A18" s="110"/>
      <c r="B18" s="154" t="s">
        <v>124</v>
      </c>
      <c r="C18" s="122">
        <v>265.93</v>
      </c>
      <c r="D18" s="122">
        <v>86.096999999999994</v>
      </c>
      <c r="E18" s="122">
        <v>63.584000000000003</v>
      </c>
      <c r="F18" s="122">
        <v>11.692</v>
      </c>
      <c r="G18" s="122">
        <v>-3.4000000000000002E-2</v>
      </c>
      <c r="H18" s="122">
        <v>415.577</v>
      </c>
      <c r="I18" s="122">
        <v>3.718</v>
      </c>
      <c r="J18" s="122">
        <v>419.29500000000002</v>
      </c>
      <c r="K18" s="122">
        <v>127.76300000000001</v>
      </c>
      <c r="L18" s="122">
        <v>547.05799999999999</v>
      </c>
      <c r="M18" s="122">
        <v>133.607</v>
      </c>
      <c r="N18" s="122">
        <v>0</v>
      </c>
      <c r="O18" s="122">
        <v>413.45100000000002</v>
      </c>
      <c r="P18" s="155">
        <v>418.02800000000002</v>
      </c>
      <c r="Q18" s="156"/>
      <c r="R18" s="157"/>
      <c r="S18" s="124">
        <f>100*(C18/OBR_MAR22_1.1!C18)</f>
        <v>89.129385582711066</v>
      </c>
      <c r="T18" s="124">
        <f>100*(D18/OBR_MAR22_1.1!D18)</f>
        <v>89.881927987555983</v>
      </c>
      <c r="U18" s="124">
        <f>100*(E18/OBR_MAR22_1.1!E18)</f>
        <v>84.136981950987149</v>
      </c>
      <c r="V18" s="124">
        <f>100*(K18/OBR_MAR22_1.1!N18)</f>
        <v>90.866612140393315</v>
      </c>
      <c r="W18" s="124">
        <f>100*(M18/OBR_MAR22_1.1!P18)</f>
        <v>96.581511681702509</v>
      </c>
      <c r="X18" s="124">
        <f>100*(O18/OBR_MAR22_1.1!R18)</f>
        <v>86.640667893261138</v>
      </c>
      <c r="AA18" s="124">
        <f t="shared" si="0"/>
        <v>-2.5133849549535459</v>
      </c>
    </row>
    <row r="19" spans="1:27" ht="15.75">
      <c r="A19" s="110"/>
      <c r="B19" s="154" t="s">
        <v>125</v>
      </c>
      <c r="C19" s="122">
        <v>268.34199999999998</v>
      </c>
      <c r="D19" s="122">
        <v>86.631</v>
      </c>
      <c r="E19" s="122">
        <v>65.966999999999999</v>
      </c>
      <c r="F19" s="122">
        <v>11.996</v>
      </c>
      <c r="G19" s="122">
        <v>1.891</v>
      </c>
      <c r="H19" s="122">
        <v>422.83100000000002</v>
      </c>
      <c r="I19" s="122">
        <v>3.2000000000000001E-2</v>
      </c>
      <c r="J19" s="122">
        <v>422.863</v>
      </c>
      <c r="K19" s="122">
        <v>129.21199999999999</v>
      </c>
      <c r="L19" s="122">
        <v>552.07500000000005</v>
      </c>
      <c r="M19" s="122">
        <v>134.614</v>
      </c>
      <c r="N19" s="122">
        <v>0</v>
      </c>
      <c r="O19" s="122">
        <v>417.46100000000001</v>
      </c>
      <c r="P19" s="155">
        <v>416.56299999999999</v>
      </c>
      <c r="Q19" s="156"/>
      <c r="R19" s="157"/>
      <c r="S19" s="124">
        <f>100*(C19/OBR_MAR22_1.1!C19)</f>
        <v>89.845949864230974</v>
      </c>
      <c r="T19" s="124">
        <f>100*(D19/OBR_MAR22_1.1!D19)</f>
        <v>90.498924012285059</v>
      </c>
      <c r="U19" s="124">
        <f>100*(E19/OBR_MAR22_1.1!E19)</f>
        <v>84.861388049141311</v>
      </c>
      <c r="V19" s="124">
        <f>100*(K19/OBR_MAR22_1.1!N19)</f>
        <v>90.747685867992629</v>
      </c>
      <c r="W19" s="124">
        <f>100*(M19/OBR_MAR22_1.1!P19)</f>
        <v>98.082990272869679</v>
      </c>
      <c r="X19" s="124">
        <f>100*(O19/OBR_MAR22_1.1!R19)</f>
        <v>87.202491613156582</v>
      </c>
      <c r="AA19" s="124">
        <f t="shared" si="0"/>
        <v>0.68645170229826302</v>
      </c>
    </row>
    <row r="20" spans="1:27" ht="15.75">
      <c r="A20" s="110"/>
      <c r="B20" s="154" t="s">
        <v>126</v>
      </c>
      <c r="C20" s="122">
        <v>272.36799999999999</v>
      </c>
      <c r="D20" s="122">
        <v>87.510999999999996</v>
      </c>
      <c r="E20" s="122">
        <v>67.328000000000003</v>
      </c>
      <c r="F20" s="122">
        <v>11.612</v>
      </c>
      <c r="G20" s="122">
        <v>0.08</v>
      </c>
      <c r="H20" s="122">
        <v>427.28699999999998</v>
      </c>
      <c r="I20" s="122">
        <v>-1.538</v>
      </c>
      <c r="J20" s="122">
        <v>425.74900000000002</v>
      </c>
      <c r="K20" s="122">
        <v>130.62299999999999</v>
      </c>
      <c r="L20" s="122">
        <v>556.37199999999996</v>
      </c>
      <c r="M20" s="122">
        <v>134.654</v>
      </c>
      <c r="N20" s="122">
        <v>0</v>
      </c>
      <c r="O20" s="122">
        <v>421.71800000000002</v>
      </c>
      <c r="P20" s="155">
        <v>422.13799999999998</v>
      </c>
      <c r="Q20" s="156"/>
      <c r="R20" s="157"/>
      <c r="S20" s="124">
        <f>100*(C20/OBR_MAR22_1.1!C20)</f>
        <v>90.32146812842808</v>
      </c>
      <c r="T20" s="124">
        <f>100*(D20/OBR_MAR22_1.1!D20)</f>
        <v>90.822384125204962</v>
      </c>
      <c r="U20" s="124">
        <f>100*(E20/OBR_MAR22_1.1!E20)</f>
        <v>84.888984151400152</v>
      </c>
      <c r="V20" s="124">
        <f>100*(K20/OBR_MAR22_1.1!N20)</f>
        <v>91.242028206005827</v>
      </c>
      <c r="W20" s="124">
        <f>100*(M20/OBR_MAR22_1.1!P20)</f>
        <v>96.905450724700245</v>
      </c>
      <c r="X20" s="124">
        <f>100*(O20/OBR_MAR22_1.1!R20)</f>
        <v>87.979805355336055</v>
      </c>
      <c r="AA20" s="124">
        <f t="shared" si="0"/>
        <v>0.35741873889683085</v>
      </c>
    </row>
    <row r="21" spans="1:27" ht="15.75">
      <c r="A21" s="110"/>
      <c r="B21" s="154" t="s">
        <v>127</v>
      </c>
      <c r="C21" s="122">
        <v>273.81799999999998</v>
      </c>
      <c r="D21" s="122">
        <v>90.239000000000004</v>
      </c>
      <c r="E21" s="122">
        <v>67.983999999999995</v>
      </c>
      <c r="F21" s="122">
        <v>12.005000000000001</v>
      </c>
      <c r="G21" s="122">
        <v>-0.39100000000000001</v>
      </c>
      <c r="H21" s="122">
        <v>431.65</v>
      </c>
      <c r="I21" s="122">
        <v>-4.82</v>
      </c>
      <c r="J21" s="122">
        <v>426.83</v>
      </c>
      <c r="K21" s="122">
        <v>132.148</v>
      </c>
      <c r="L21" s="122">
        <v>558.97799999999995</v>
      </c>
      <c r="M21" s="122">
        <v>134.83000000000001</v>
      </c>
      <c r="N21" s="122">
        <v>0</v>
      </c>
      <c r="O21" s="122">
        <v>424.14800000000002</v>
      </c>
      <c r="P21" s="155">
        <v>421.34800000000001</v>
      </c>
      <c r="Q21" s="156"/>
      <c r="R21" s="157"/>
      <c r="S21" s="124">
        <f>100*(C21/OBR_MAR22_1.1!C21)</f>
        <v>90.809236861218238</v>
      </c>
      <c r="T21" s="124">
        <f>100*(D21/OBR_MAR22_1.1!D21)</f>
        <v>91.28420413737291</v>
      </c>
      <c r="U21" s="124">
        <f>100*(E21/OBR_MAR22_1.1!E21)</f>
        <v>85.089552799228997</v>
      </c>
      <c r="V21" s="124">
        <f>100*(K21/OBR_MAR22_1.1!N21)</f>
        <v>90.173252632225385</v>
      </c>
      <c r="W21" s="124">
        <f>100*(M21/OBR_MAR22_1.1!P21)</f>
        <v>96.138214280621199</v>
      </c>
      <c r="X21" s="124">
        <f>100*(O21/OBR_MAR22_1.1!R21)</f>
        <v>87.891202135176755</v>
      </c>
      <c r="AA21" s="124">
        <f t="shared" si="0"/>
        <v>0.50848699537693332</v>
      </c>
    </row>
    <row r="22" spans="1:27" ht="15.75">
      <c r="A22" s="110"/>
      <c r="B22" s="154" t="s">
        <v>128</v>
      </c>
      <c r="C22" s="122">
        <v>276.72300000000001</v>
      </c>
      <c r="D22" s="122">
        <v>87.951999999999998</v>
      </c>
      <c r="E22" s="122">
        <v>66.048000000000002</v>
      </c>
      <c r="F22" s="122">
        <v>12.082000000000001</v>
      </c>
      <c r="G22" s="122">
        <v>0.156</v>
      </c>
      <c r="H22" s="122">
        <v>430.87900000000002</v>
      </c>
      <c r="I22" s="122">
        <v>4.1900000000000004</v>
      </c>
      <c r="J22" s="122">
        <v>435.06900000000002</v>
      </c>
      <c r="K22" s="122">
        <v>126.65</v>
      </c>
      <c r="L22" s="122">
        <v>561.71900000000005</v>
      </c>
      <c r="M22" s="122">
        <v>135.66499999999999</v>
      </c>
      <c r="N22" s="122">
        <v>0</v>
      </c>
      <c r="O22" s="122">
        <v>426.05399999999997</v>
      </c>
      <c r="P22" s="155">
        <v>421.95</v>
      </c>
      <c r="Q22" s="156"/>
      <c r="R22" s="157"/>
      <c r="S22" s="124">
        <f>100*(C22/OBR_MAR22_1.1!C22)</f>
        <v>91.226861390871491</v>
      </c>
      <c r="T22" s="124">
        <f>100*(D22/OBR_MAR22_1.1!D22)</f>
        <v>91.740899134244273</v>
      </c>
      <c r="U22" s="124">
        <f>100*(E22/OBR_MAR22_1.1!E22)</f>
        <v>86.028003907521978</v>
      </c>
      <c r="V22" s="124">
        <f>100*(K22/OBR_MAR22_1.1!N22)</f>
        <v>90.497252570579278</v>
      </c>
      <c r="W22" s="124">
        <f>100*(M22/OBR_MAR22_1.1!P22)</f>
        <v>95.514517446281218</v>
      </c>
      <c r="X22" s="124">
        <f>100*(O22/OBR_MAR22_1.1!R22)</f>
        <v>88.338147083033547</v>
      </c>
      <c r="AA22" s="124">
        <f t="shared" si="0"/>
        <v>0.50030013537072371</v>
      </c>
    </row>
    <row r="23" spans="1:27" ht="15.75">
      <c r="A23" s="110"/>
      <c r="B23" s="154" t="s">
        <v>129</v>
      </c>
      <c r="C23" s="122">
        <v>278.19</v>
      </c>
      <c r="D23" s="122">
        <v>88.596000000000004</v>
      </c>
      <c r="E23" s="122">
        <v>66.028000000000006</v>
      </c>
      <c r="F23" s="122">
        <v>10.943</v>
      </c>
      <c r="G23" s="122">
        <v>1.0349999999999999</v>
      </c>
      <c r="H23" s="122">
        <v>433.84899999999999</v>
      </c>
      <c r="I23" s="122">
        <v>5.8920000000000003</v>
      </c>
      <c r="J23" s="122">
        <v>439.74099999999999</v>
      </c>
      <c r="K23" s="122">
        <v>129.125</v>
      </c>
      <c r="L23" s="122">
        <v>568.86599999999999</v>
      </c>
      <c r="M23" s="122">
        <v>134.09100000000001</v>
      </c>
      <c r="N23" s="122">
        <v>0</v>
      </c>
      <c r="O23" s="122">
        <v>434.77499999999998</v>
      </c>
      <c r="P23" s="155">
        <v>431.005</v>
      </c>
      <c r="Q23" s="156"/>
      <c r="R23" s="157"/>
      <c r="S23" s="124">
        <f>100*(C23/OBR_MAR22_1.1!C23)</f>
        <v>90.975090504174489</v>
      </c>
      <c r="T23" s="124">
        <f>100*(D23/OBR_MAR22_1.1!D23)</f>
        <v>91.74087727291554</v>
      </c>
      <c r="U23" s="124">
        <f>100*(E23/OBR_MAR22_1.1!E23)</f>
        <v>86.446713799423947</v>
      </c>
      <c r="V23" s="124">
        <f>100*(K23/OBR_MAR22_1.1!N23)</f>
        <v>89.791731859114762</v>
      </c>
      <c r="W23" s="124">
        <f>100*(M23/OBR_MAR22_1.1!P23)</f>
        <v>95.23373247539098</v>
      </c>
      <c r="X23" s="124">
        <f>100*(O23/OBR_MAR22_1.1!R23)</f>
        <v>89.05582695793774</v>
      </c>
      <c r="AA23" s="124">
        <f t="shared" si="0"/>
        <v>-2.3829424977694913E-5</v>
      </c>
    </row>
    <row r="24" spans="1:27" ht="15.75">
      <c r="A24" s="110"/>
      <c r="B24" s="154" t="s">
        <v>130</v>
      </c>
      <c r="C24" s="122">
        <v>282.827</v>
      </c>
      <c r="D24" s="122">
        <v>90.150999999999996</v>
      </c>
      <c r="E24" s="122">
        <v>69.647000000000006</v>
      </c>
      <c r="F24" s="122">
        <v>11.124000000000001</v>
      </c>
      <c r="G24" s="122">
        <v>-0.44800000000000001</v>
      </c>
      <c r="H24" s="122">
        <v>442.17700000000002</v>
      </c>
      <c r="I24" s="122">
        <v>-1.258</v>
      </c>
      <c r="J24" s="122">
        <v>440.91899999999998</v>
      </c>
      <c r="K24" s="122">
        <v>127.39700000000001</v>
      </c>
      <c r="L24" s="122">
        <v>568.31600000000003</v>
      </c>
      <c r="M24" s="122">
        <v>131.93799999999999</v>
      </c>
      <c r="N24" s="122">
        <v>0</v>
      </c>
      <c r="O24" s="122">
        <v>436.37799999999999</v>
      </c>
      <c r="P24" s="155">
        <v>429.29899999999998</v>
      </c>
      <c r="Q24" s="156"/>
      <c r="R24" s="157"/>
      <c r="S24" s="124">
        <f>100*(C24/OBR_MAR22_1.1!C24)</f>
        <v>91.5851988096356</v>
      </c>
      <c r="T24" s="124">
        <f>100*(D24/OBR_MAR22_1.1!D24)</f>
        <v>92.396228348877727</v>
      </c>
      <c r="U24" s="124">
        <f>100*(E24/OBR_MAR22_1.1!E24)</f>
        <v>86.730259143494024</v>
      </c>
      <c r="V24" s="124">
        <f>100*(K24/OBR_MAR22_1.1!N24)</f>
        <v>90.335824599719189</v>
      </c>
      <c r="W24" s="124">
        <f>100*(M24/OBR_MAR22_1.1!P24)</f>
        <v>95.054826299332859</v>
      </c>
      <c r="X24" s="124">
        <f>100*(O24/OBR_MAR22_1.1!R24)</f>
        <v>89.605338809034905</v>
      </c>
      <c r="AA24" s="124">
        <f t="shared" si="0"/>
        <v>0.71435012989096158</v>
      </c>
    </row>
    <row r="25" spans="1:27" ht="15.75">
      <c r="A25" s="110"/>
      <c r="B25" s="154" t="s">
        <v>131</v>
      </c>
      <c r="C25" s="122">
        <v>285.839</v>
      </c>
      <c r="D25" s="122">
        <v>88.695999999999998</v>
      </c>
      <c r="E25" s="122">
        <v>67.123999999999995</v>
      </c>
      <c r="F25" s="122">
        <v>10.568</v>
      </c>
      <c r="G25" s="122">
        <v>1.8979999999999999</v>
      </c>
      <c r="H25" s="122">
        <v>443.55700000000002</v>
      </c>
      <c r="I25" s="122">
        <v>-2.8820000000000001</v>
      </c>
      <c r="J25" s="122">
        <v>440.67500000000001</v>
      </c>
      <c r="K25" s="122">
        <v>133.12899999999999</v>
      </c>
      <c r="L25" s="122">
        <v>573.80399999999997</v>
      </c>
      <c r="M25" s="122">
        <v>134.63399999999999</v>
      </c>
      <c r="N25" s="122">
        <v>0</v>
      </c>
      <c r="O25" s="122">
        <v>439.17</v>
      </c>
      <c r="P25" s="155">
        <v>426.596</v>
      </c>
      <c r="Q25" s="156"/>
      <c r="R25" s="157"/>
      <c r="S25" s="124">
        <f>100*(C25/OBR_MAR22_1.1!C25)</f>
        <v>92.680293371896212</v>
      </c>
      <c r="T25" s="124">
        <f>100*(D25/OBR_MAR22_1.1!D25)</f>
        <v>91.265112928949932</v>
      </c>
      <c r="U25" s="124">
        <f>100*(E25/OBR_MAR22_1.1!E25)</f>
        <v>87.115194933291789</v>
      </c>
      <c r="V25" s="124">
        <f>100*(K25/OBR_MAR22_1.1!N25)</f>
        <v>92.519441529469802</v>
      </c>
      <c r="W25" s="124">
        <f>100*(M25/OBR_MAR22_1.1!P25)</f>
        <v>97.13852813852813</v>
      </c>
      <c r="X25" s="124">
        <f>100*(O25/OBR_MAR22_1.1!R25)</f>
        <v>89.766493062652799</v>
      </c>
      <c r="AA25" s="124">
        <f t="shared" si="0"/>
        <v>-1.2242008576982544</v>
      </c>
    </row>
    <row r="26" spans="1:27" ht="15.75">
      <c r="A26" s="110"/>
      <c r="B26" s="154" t="s">
        <v>132</v>
      </c>
      <c r="C26" s="122">
        <v>288.755</v>
      </c>
      <c r="D26" s="122">
        <v>90.040999999999997</v>
      </c>
      <c r="E26" s="122">
        <v>70.540999999999997</v>
      </c>
      <c r="F26" s="122">
        <v>11.167999999999999</v>
      </c>
      <c r="G26" s="122">
        <v>2.379</v>
      </c>
      <c r="H26" s="122">
        <v>451.71600000000001</v>
      </c>
      <c r="I26" s="122">
        <v>-2.431</v>
      </c>
      <c r="J26" s="122">
        <v>449.28500000000003</v>
      </c>
      <c r="K26" s="122">
        <v>135.08500000000001</v>
      </c>
      <c r="L26" s="122">
        <v>584.37</v>
      </c>
      <c r="M26" s="122">
        <v>140.73699999999999</v>
      </c>
      <c r="N26" s="122">
        <v>0</v>
      </c>
      <c r="O26" s="122">
        <v>443.63299999999998</v>
      </c>
      <c r="P26" s="155">
        <v>437.99700000000001</v>
      </c>
      <c r="Q26" s="156"/>
      <c r="R26" s="157"/>
      <c r="S26" s="124">
        <f>100*(C26/OBR_MAR22_1.1!C26)</f>
        <v>92.934224628189071</v>
      </c>
      <c r="T26" s="124">
        <f>100*(D26/OBR_MAR22_1.1!D26)</f>
        <v>93.248757249378627</v>
      </c>
      <c r="U26" s="124">
        <f>100*(E26/OBR_MAR22_1.1!E26)</f>
        <v>87.330238316310727</v>
      </c>
      <c r="V26" s="124">
        <f>100*(K26/OBR_MAR22_1.1!N26)</f>
        <v>92.448620644816899</v>
      </c>
      <c r="W26" s="124">
        <f>100*(M26/OBR_MAR22_1.1!P26)</f>
        <v>96.664010879569219</v>
      </c>
      <c r="X26" s="124">
        <f>100*(O26/OBR_MAR22_1.1!R26)</f>
        <v>90.086729441101738</v>
      </c>
      <c r="AA26" s="124">
        <f t="shared" si="0"/>
        <v>2.1734968124928145</v>
      </c>
    </row>
    <row r="27" spans="1:27" ht="15.75">
      <c r="A27" s="110"/>
      <c r="B27" s="154" t="s">
        <v>133</v>
      </c>
      <c r="C27" s="122">
        <v>293.49900000000002</v>
      </c>
      <c r="D27" s="122">
        <v>89.05</v>
      </c>
      <c r="E27" s="122">
        <v>72.900000000000006</v>
      </c>
      <c r="F27" s="122">
        <v>11.728</v>
      </c>
      <c r="G27" s="122">
        <v>-0.317</v>
      </c>
      <c r="H27" s="122">
        <v>455.13200000000001</v>
      </c>
      <c r="I27" s="122">
        <v>3.3170000000000002</v>
      </c>
      <c r="J27" s="122">
        <v>458.44900000000001</v>
      </c>
      <c r="K27" s="122">
        <v>135.09</v>
      </c>
      <c r="L27" s="122">
        <v>593.53899999999999</v>
      </c>
      <c r="M27" s="122">
        <v>140.58600000000001</v>
      </c>
      <c r="N27" s="122">
        <v>0</v>
      </c>
      <c r="O27" s="122">
        <v>452.95299999999997</v>
      </c>
      <c r="P27" s="155">
        <v>443.95400000000001</v>
      </c>
      <c r="Q27" s="156"/>
      <c r="R27" s="157"/>
      <c r="S27" s="124">
        <f>100*(C27/OBR_MAR22_1.1!C27)</f>
        <v>93.391606500205242</v>
      </c>
      <c r="T27" s="124">
        <f>100*(D27/OBR_MAR22_1.1!D27)</f>
        <v>92.265450966171059</v>
      </c>
      <c r="U27" s="124">
        <f>100*(E27/OBR_MAR22_1.1!E27)</f>
        <v>88.140347483345224</v>
      </c>
      <c r="V27" s="124">
        <f>100*(K27/OBR_MAR22_1.1!N27)</f>
        <v>93.29291031891826</v>
      </c>
      <c r="W27" s="124">
        <f>100*(M27/OBR_MAR22_1.1!P27)</f>
        <v>96.56825706474703</v>
      </c>
      <c r="X27" s="124">
        <f>100*(O27/OBR_MAR22_1.1!R27)</f>
        <v>91.279026417238811</v>
      </c>
      <c r="AA27" s="124">
        <f t="shared" si="0"/>
        <v>-1.0544980032043516</v>
      </c>
    </row>
    <row r="28" spans="1:27" ht="15.75">
      <c r="A28" s="110"/>
      <c r="B28" s="154" t="s">
        <v>134</v>
      </c>
      <c r="C28" s="122">
        <v>293.89800000000002</v>
      </c>
      <c r="D28" s="122">
        <v>91.872</v>
      </c>
      <c r="E28" s="122">
        <v>73.64</v>
      </c>
      <c r="F28" s="122">
        <v>12.195</v>
      </c>
      <c r="G28" s="122">
        <v>3.2549999999999999</v>
      </c>
      <c r="H28" s="122">
        <v>462.66500000000002</v>
      </c>
      <c r="I28" s="122">
        <v>5.516</v>
      </c>
      <c r="J28" s="122">
        <v>468.18099999999998</v>
      </c>
      <c r="K28" s="122">
        <v>130.58799999999999</v>
      </c>
      <c r="L28" s="122">
        <v>598.76900000000001</v>
      </c>
      <c r="M28" s="122">
        <v>141.37</v>
      </c>
      <c r="N28" s="122">
        <v>0</v>
      </c>
      <c r="O28" s="122">
        <v>457.399</v>
      </c>
      <c r="P28" s="155">
        <v>448.25400000000002</v>
      </c>
      <c r="Q28" s="156"/>
      <c r="R28" s="157"/>
      <c r="S28" s="124">
        <f>100*(C28/OBR_MAR22_1.1!C28)</f>
        <v>93.465035443174855</v>
      </c>
      <c r="T28" s="124">
        <f>100*(D28/OBR_MAR22_1.1!D28)</f>
        <v>93.646603129300232</v>
      </c>
      <c r="U28" s="124">
        <f>100*(E28/OBR_MAR22_1.1!E28)</f>
        <v>88.613992443021829</v>
      </c>
      <c r="V28" s="124">
        <f>100*(K28/OBR_MAR22_1.1!N28)</f>
        <v>92.302690170909955</v>
      </c>
      <c r="W28" s="124">
        <f>100*(M28/OBR_MAR22_1.1!P28)</f>
        <v>94.515089520906031</v>
      </c>
      <c r="X28" s="124">
        <f>100*(O28/OBR_MAR22_1.1!R28)</f>
        <v>91.69271047371997</v>
      </c>
      <c r="AA28" s="124">
        <f t="shared" si="0"/>
        <v>1.4969331951085074</v>
      </c>
    </row>
    <row r="29" spans="1:27" ht="15.75">
      <c r="A29" s="110"/>
      <c r="B29" s="154" t="s">
        <v>135</v>
      </c>
      <c r="C29" s="122">
        <v>297.13099999999997</v>
      </c>
      <c r="D29" s="122">
        <v>92.328999999999994</v>
      </c>
      <c r="E29" s="122">
        <v>75.801000000000002</v>
      </c>
      <c r="F29" s="122">
        <v>13.696999999999999</v>
      </c>
      <c r="G29" s="122">
        <v>2.351</v>
      </c>
      <c r="H29" s="122">
        <v>467.61200000000002</v>
      </c>
      <c r="I29" s="122">
        <v>2.4929999999999999</v>
      </c>
      <c r="J29" s="122">
        <v>470.10500000000002</v>
      </c>
      <c r="K29" s="122">
        <v>129.434</v>
      </c>
      <c r="L29" s="122">
        <v>599.53899999999999</v>
      </c>
      <c r="M29" s="122">
        <v>136.934</v>
      </c>
      <c r="N29" s="122">
        <v>0</v>
      </c>
      <c r="O29" s="122">
        <v>462.60500000000002</v>
      </c>
      <c r="P29" s="155">
        <v>454.98700000000002</v>
      </c>
      <c r="Q29" s="156"/>
      <c r="R29" s="157"/>
      <c r="S29" s="124">
        <f>100*(C29/OBR_MAR22_1.1!C29)</f>
        <v>93.895976261427649</v>
      </c>
      <c r="T29" s="124">
        <f>100*(D29/OBR_MAR22_1.1!D29)</f>
        <v>93.71028966973185</v>
      </c>
      <c r="U29" s="124">
        <f>100*(E29/OBR_MAR22_1.1!E29)</f>
        <v>88.543260638484284</v>
      </c>
      <c r="V29" s="124">
        <f>100*(K29/OBR_MAR22_1.1!N29)</f>
        <v>91.107075484979021</v>
      </c>
      <c r="W29" s="124">
        <f>100*(M29/OBR_MAR22_1.1!P29)</f>
        <v>93.17646738612703</v>
      </c>
      <c r="X29" s="124">
        <f>100*(O29/OBR_MAR22_1.1!R29)</f>
        <v>91.879314864982959</v>
      </c>
      <c r="AA29" s="124">
        <f t="shared" si="0"/>
        <v>6.8007315058382645E-2</v>
      </c>
    </row>
    <row r="30" spans="1:27" ht="15.75">
      <c r="A30" s="110"/>
      <c r="B30" s="154" t="s">
        <v>136</v>
      </c>
      <c r="C30" s="122">
        <v>301.31400000000002</v>
      </c>
      <c r="D30" s="122">
        <v>91.617999999999995</v>
      </c>
      <c r="E30" s="122">
        <v>76.105999999999995</v>
      </c>
      <c r="F30" s="122">
        <v>11.638</v>
      </c>
      <c r="G30" s="122">
        <v>-3.3460000000000001</v>
      </c>
      <c r="H30" s="122">
        <v>465.69200000000001</v>
      </c>
      <c r="I30" s="122">
        <v>5.74</v>
      </c>
      <c r="J30" s="122">
        <v>471.43200000000002</v>
      </c>
      <c r="K30" s="122">
        <v>132.636</v>
      </c>
      <c r="L30" s="122">
        <v>604.06799999999998</v>
      </c>
      <c r="M30" s="122">
        <v>137.44</v>
      </c>
      <c r="N30" s="122">
        <v>0</v>
      </c>
      <c r="O30" s="122">
        <v>466.62799999999999</v>
      </c>
      <c r="P30" s="155">
        <v>458.56400000000002</v>
      </c>
      <c r="Q30" s="156"/>
      <c r="R30" s="157"/>
      <c r="S30" s="124">
        <f>100*(C30/OBR_MAR22_1.1!C30)</f>
        <v>94.612696289458071</v>
      </c>
      <c r="T30" s="124">
        <f>100*(D30/OBR_MAR22_1.1!D30)</f>
        <v>92.261059585309596</v>
      </c>
      <c r="U30" s="124">
        <f>100*(E30/OBR_MAR22_1.1!E30)</f>
        <v>89.153634393486797</v>
      </c>
      <c r="V30" s="124">
        <f>100*(K30/OBR_MAR22_1.1!N30)</f>
        <v>91.463010978098964</v>
      </c>
      <c r="W30" s="124">
        <f>100*(M30/OBR_MAR22_1.1!P30)</f>
        <v>93.354344400369513</v>
      </c>
      <c r="X30" s="124">
        <f>100*(O30/OBR_MAR22_1.1!R30)</f>
        <v>91.937164935149369</v>
      </c>
      <c r="AA30" s="124">
        <f t="shared" si="0"/>
        <v>-1.5465004851973552</v>
      </c>
    </row>
    <row r="31" spans="1:27" ht="15.75">
      <c r="A31" s="110"/>
      <c r="B31" s="154" t="s">
        <v>137</v>
      </c>
      <c r="C31" s="122">
        <v>304.12099999999998</v>
      </c>
      <c r="D31" s="122">
        <v>93.634</v>
      </c>
      <c r="E31" s="122">
        <v>77.853999999999999</v>
      </c>
      <c r="F31" s="122">
        <v>12.539</v>
      </c>
      <c r="G31" s="122">
        <v>2.0640000000000001</v>
      </c>
      <c r="H31" s="122">
        <v>477.673</v>
      </c>
      <c r="I31" s="122">
        <v>3.76</v>
      </c>
      <c r="J31" s="122">
        <v>481.43299999999999</v>
      </c>
      <c r="K31" s="122">
        <v>130.96299999999999</v>
      </c>
      <c r="L31" s="122">
        <v>612.39599999999996</v>
      </c>
      <c r="M31" s="122">
        <v>139.471</v>
      </c>
      <c r="N31" s="122">
        <v>0</v>
      </c>
      <c r="O31" s="122">
        <v>472.92500000000001</v>
      </c>
      <c r="P31" s="155">
        <v>461.87599999999998</v>
      </c>
      <c r="Q31" s="156"/>
      <c r="R31" s="157"/>
      <c r="S31" s="124">
        <f>100*(C31/OBR_MAR22_1.1!C31)</f>
        <v>94.35023516126229</v>
      </c>
      <c r="T31" s="124">
        <f>100*(D31/OBR_MAR22_1.1!D31)</f>
        <v>94.35772374109419</v>
      </c>
      <c r="U31" s="124">
        <f>100*(E31/OBR_MAR22_1.1!E31)</f>
        <v>89.698715363788239</v>
      </c>
      <c r="V31" s="124">
        <f>100*(K31/OBR_MAR22_1.1!N31)</f>
        <v>90.421580270098573</v>
      </c>
      <c r="W31" s="124">
        <f>100*(M31/OBR_MAR22_1.1!P31)</f>
        <v>92.18175809649702</v>
      </c>
      <c r="X31" s="124">
        <f>100*(O31/OBR_MAR22_1.1!R31)</f>
        <v>92.551097090342637</v>
      </c>
      <c r="AA31" s="124">
        <f t="shared" si="0"/>
        <v>2.2725342253910652</v>
      </c>
    </row>
    <row r="32" spans="1:27" ht="15.75">
      <c r="A32" s="110"/>
      <c r="B32" s="154" t="s">
        <v>138</v>
      </c>
      <c r="C32" s="122">
        <v>306.346</v>
      </c>
      <c r="D32" s="122">
        <v>93.251999999999995</v>
      </c>
      <c r="E32" s="122">
        <v>79.472999999999999</v>
      </c>
      <c r="F32" s="122">
        <v>13.031000000000001</v>
      </c>
      <c r="G32" s="122">
        <v>5.0339999999999998</v>
      </c>
      <c r="H32" s="122">
        <v>484.10500000000002</v>
      </c>
      <c r="I32" s="122">
        <v>2.1859999999999999</v>
      </c>
      <c r="J32" s="122">
        <v>486.291</v>
      </c>
      <c r="K32" s="122">
        <v>134.35300000000001</v>
      </c>
      <c r="L32" s="122">
        <v>620.64400000000001</v>
      </c>
      <c r="M32" s="122">
        <v>146.63999999999999</v>
      </c>
      <c r="N32" s="122">
        <v>0</v>
      </c>
      <c r="O32" s="122">
        <v>474.00400000000002</v>
      </c>
      <c r="P32" s="155">
        <v>461.88299999999998</v>
      </c>
      <c r="Q32" s="156"/>
      <c r="R32" s="157"/>
      <c r="S32" s="124">
        <f>100*(C32/OBR_MAR22_1.1!C32)</f>
        <v>94.728704702946573</v>
      </c>
      <c r="T32" s="124">
        <f>100*(D32/OBR_MAR22_1.1!D32)</f>
        <v>94.284414336990025</v>
      </c>
      <c r="U32" s="124">
        <f>100*(E32/OBR_MAR22_1.1!E32)</f>
        <v>90.365678939349152</v>
      </c>
      <c r="V32" s="124">
        <f>100*(K32/OBR_MAR22_1.1!N32)</f>
        <v>90.116575445374565</v>
      </c>
      <c r="W32" s="124">
        <f>100*(M32/OBR_MAR22_1.1!P32)</f>
        <v>91.036640633730244</v>
      </c>
      <c r="X32" s="124">
        <f>100*(O32/OBR_MAR22_1.1!R32)</f>
        <v>92.245237928430768</v>
      </c>
      <c r="AA32" s="124">
        <f t="shared" si="0"/>
        <v>-7.7693061254124895E-2</v>
      </c>
    </row>
    <row r="33" spans="1:27" ht="15.75">
      <c r="A33" s="110"/>
      <c r="B33" s="154" t="s">
        <v>139</v>
      </c>
      <c r="C33" s="122">
        <v>307.88799999999998</v>
      </c>
      <c r="D33" s="122">
        <v>93.168999999999997</v>
      </c>
      <c r="E33" s="122">
        <v>82.013999999999996</v>
      </c>
      <c r="F33" s="122">
        <v>13.525</v>
      </c>
      <c r="G33" s="122">
        <v>3.0870000000000002</v>
      </c>
      <c r="H33" s="122">
        <v>486.15800000000002</v>
      </c>
      <c r="I33" s="122">
        <v>3.8620000000000001</v>
      </c>
      <c r="J33" s="122">
        <v>490.02</v>
      </c>
      <c r="K33" s="122">
        <v>130.40100000000001</v>
      </c>
      <c r="L33" s="122">
        <v>620.42100000000005</v>
      </c>
      <c r="M33" s="122">
        <v>142.51599999999999</v>
      </c>
      <c r="N33" s="122">
        <v>0</v>
      </c>
      <c r="O33" s="122">
        <v>477.90499999999997</v>
      </c>
      <c r="P33" s="155">
        <v>467.09699999999998</v>
      </c>
      <c r="Q33" s="156"/>
      <c r="R33" s="157"/>
      <c r="S33" s="124">
        <f>100*(C33/OBR_MAR22_1.1!C33)</f>
        <v>94.001557085502299</v>
      </c>
      <c r="T33" s="124">
        <f>100*(D33/OBR_MAR22_1.1!D33)</f>
        <v>94.210973365421552</v>
      </c>
      <c r="U33" s="124">
        <f>100*(E33/OBR_MAR22_1.1!E33)</f>
        <v>89.827166984293868</v>
      </c>
      <c r="V33" s="124">
        <f>100*(K33/OBR_MAR22_1.1!N33)</f>
        <v>88.299104150161497</v>
      </c>
      <c r="W33" s="124">
        <f>100*(M33/OBR_MAR22_1.1!P33)</f>
        <v>88.638724243234662</v>
      </c>
      <c r="X33" s="124">
        <f>100*(O33/OBR_MAR22_1.1!R33)</f>
        <v>92.408612338421975</v>
      </c>
      <c r="AA33" s="124">
        <f t="shared" si="0"/>
        <v>-7.7893013479390927E-2</v>
      </c>
    </row>
    <row r="34" spans="1:27" ht="15.75">
      <c r="A34" s="110"/>
      <c r="B34" s="154" t="s">
        <v>140</v>
      </c>
      <c r="C34" s="122">
        <v>310.81200000000001</v>
      </c>
      <c r="D34" s="122">
        <v>93.307000000000002</v>
      </c>
      <c r="E34" s="122">
        <v>83.197999999999993</v>
      </c>
      <c r="F34" s="122">
        <v>13.096</v>
      </c>
      <c r="G34" s="122">
        <v>-0.48499999999999999</v>
      </c>
      <c r="H34" s="122">
        <v>486.83199999999999</v>
      </c>
      <c r="I34" s="122">
        <v>1.978</v>
      </c>
      <c r="J34" s="122">
        <v>488.81</v>
      </c>
      <c r="K34" s="122">
        <v>134.10900000000001</v>
      </c>
      <c r="L34" s="122">
        <v>622.91899999999998</v>
      </c>
      <c r="M34" s="122">
        <v>138.50200000000001</v>
      </c>
      <c r="N34" s="122">
        <v>0</v>
      </c>
      <c r="O34" s="122">
        <v>484.41699999999997</v>
      </c>
      <c r="P34" s="155">
        <v>477.48899999999998</v>
      </c>
      <c r="Q34" s="156"/>
      <c r="R34" s="157"/>
      <c r="S34" s="124">
        <f>100*(C34/OBR_MAR22_1.1!C34)</f>
        <v>93.976144042813729</v>
      </c>
      <c r="T34" s="124">
        <f>100*(D34/OBR_MAR22_1.1!D34)</f>
        <v>92.804925353835756</v>
      </c>
      <c r="U34" s="124">
        <f>100*(E34/OBR_MAR22_1.1!E34)</f>
        <v>90.681984152070356</v>
      </c>
      <c r="V34" s="124">
        <f>100*(K34/OBR_MAR22_1.1!N34)</f>
        <v>87.52080192650314</v>
      </c>
      <c r="W34" s="124">
        <f>100*(M34/OBR_MAR22_1.1!P34)</f>
        <v>88.186940880583236</v>
      </c>
      <c r="X34" s="124">
        <f>100*(O34/OBR_MAR22_1.1!R34)</f>
        <v>92.981166408181423</v>
      </c>
      <c r="AA34" s="124">
        <f t="shared" si="0"/>
        <v>-1.4924461146708201</v>
      </c>
    </row>
    <row r="35" spans="1:27" ht="15.75">
      <c r="A35" s="110"/>
      <c r="B35" s="154" t="s">
        <v>141</v>
      </c>
      <c r="C35" s="122">
        <v>314.27</v>
      </c>
      <c r="D35" s="122">
        <v>94.775999999999996</v>
      </c>
      <c r="E35" s="122">
        <v>82.664000000000001</v>
      </c>
      <c r="F35" s="122">
        <v>12.331</v>
      </c>
      <c r="G35" s="122">
        <v>0.47699999999999998</v>
      </c>
      <c r="H35" s="122">
        <v>492.18700000000001</v>
      </c>
      <c r="I35" s="122">
        <v>1.196</v>
      </c>
      <c r="J35" s="122">
        <v>493.38299999999998</v>
      </c>
      <c r="K35" s="122">
        <v>127.96599999999999</v>
      </c>
      <c r="L35" s="122">
        <v>621.34900000000005</v>
      </c>
      <c r="M35" s="122">
        <v>135.923</v>
      </c>
      <c r="N35" s="122">
        <v>0</v>
      </c>
      <c r="O35" s="122">
        <v>485.42599999999999</v>
      </c>
      <c r="P35" s="155">
        <v>476.06</v>
      </c>
      <c r="Q35" s="156"/>
      <c r="R35" s="157"/>
      <c r="S35" s="124">
        <f>100*(C35/OBR_MAR22_1.1!C35)</f>
        <v>93.614929774653348</v>
      </c>
      <c r="T35" s="124">
        <f>100*(D35/OBR_MAR22_1.1!D35)</f>
        <v>93.833907568017111</v>
      </c>
      <c r="U35" s="124">
        <f>100*(E35/OBR_MAR22_1.1!E35)</f>
        <v>90.908491053656064</v>
      </c>
      <c r="V35" s="124">
        <f>100*(K35/OBR_MAR22_1.1!N35)</f>
        <v>85.980165555794457</v>
      </c>
      <c r="W35" s="124">
        <f>100*(M35/OBR_MAR22_1.1!P35)</f>
        <v>86.636411730586588</v>
      </c>
      <c r="X35" s="124">
        <f>100*(O35/OBR_MAR22_1.1!R35)</f>
        <v>92.676929186323349</v>
      </c>
      <c r="AA35" s="124">
        <f t="shared" si="0"/>
        <v>1.1087581938762137</v>
      </c>
    </row>
    <row r="36" spans="1:27" ht="15.75">
      <c r="A36" s="110"/>
      <c r="B36" s="154" t="s">
        <v>142</v>
      </c>
      <c r="C36" s="122">
        <v>314.45499999999998</v>
      </c>
      <c r="D36" s="122">
        <v>94.105000000000004</v>
      </c>
      <c r="E36" s="122">
        <v>85.35</v>
      </c>
      <c r="F36" s="122">
        <v>12.206</v>
      </c>
      <c r="G36" s="122">
        <v>-2.2000000000000002</v>
      </c>
      <c r="H36" s="122">
        <v>491.71</v>
      </c>
      <c r="I36" s="122">
        <v>1.2210000000000001</v>
      </c>
      <c r="J36" s="122">
        <v>492.93099999999998</v>
      </c>
      <c r="K36" s="122">
        <v>133.607</v>
      </c>
      <c r="L36" s="122">
        <v>626.53800000000001</v>
      </c>
      <c r="M36" s="122">
        <v>139.07400000000001</v>
      </c>
      <c r="N36" s="122">
        <v>0</v>
      </c>
      <c r="O36" s="122">
        <v>487.464</v>
      </c>
      <c r="P36" s="155">
        <v>468.41899999999998</v>
      </c>
      <c r="Q36" s="156"/>
      <c r="R36" s="157"/>
      <c r="S36" s="124">
        <f>100*(C36/OBR_MAR22_1.1!C36)</f>
        <v>94.502446295695236</v>
      </c>
      <c r="T36" s="124">
        <f>100*(D36/OBR_MAR22_1.1!D36)</f>
        <v>93.524214627165321</v>
      </c>
      <c r="U36" s="124">
        <f>100*(E36/OBR_MAR22_1.1!E36)</f>
        <v>91.133320520212692</v>
      </c>
      <c r="V36" s="124">
        <f>100*(K36/OBR_MAR22_1.1!N36)</f>
        <v>87.246713726924256</v>
      </c>
      <c r="W36" s="124">
        <f>100*(M36/OBR_MAR22_1.1!P36)</f>
        <v>85.78090015851771</v>
      </c>
      <c r="X36" s="124">
        <f>100*(O36/OBR_MAR22_1.1!R36)</f>
        <v>92.437573955520492</v>
      </c>
      <c r="AA36" s="124">
        <f t="shared" si="0"/>
        <v>-0.33004374311844664</v>
      </c>
    </row>
    <row r="37" spans="1:27" ht="15.75">
      <c r="A37" s="110"/>
      <c r="B37" s="154" t="s">
        <v>143</v>
      </c>
      <c r="C37" s="122">
        <v>321.19499999999999</v>
      </c>
      <c r="D37" s="122">
        <v>95.111000000000004</v>
      </c>
      <c r="E37" s="122">
        <v>86.295000000000002</v>
      </c>
      <c r="F37" s="122">
        <v>12.504</v>
      </c>
      <c r="G37" s="122">
        <v>0.86199999999999999</v>
      </c>
      <c r="H37" s="122">
        <v>503.46300000000002</v>
      </c>
      <c r="I37" s="122">
        <v>-1.772</v>
      </c>
      <c r="J37" s="122">
        <v>501.69099999999997</v>
      </c>
      <c r="K37" s="122">
        <v>133.625</v>
      </c>
      <c r="L37" s="122">
        <v>635.31600000000003</v>
      </c>
      <c r="M37" s="122">
        <v>140.93799999999999</v>
      </c>
      <c r="N37" s="122">
        <v>0</v>
      </c>
      <c r="O37" s="122">
        <v>494.37799999999999</v>
      </c>
      <c r="P37" s="155">
        <v>478.82299999999998</v>
      </c>
      <c r="Q37" s="156"/>
      <c r="R37" s="157"/>
      <c r="S37" s="124">
        <f>100*(C37/OBR_MAR22_1.1!C37)</f>
        <v>94.262018447704605</v>
      </c>
      <c r="T37" s="124">
        <f>100*(D37/OBR_MAR22_1.1!D37)</f>
        <v>94.202884196347213</v>
      </c>
      <c r="U37" s="124">
        <f>100*(E37/OBR_MAR22_1.1!E37)</f>
        <v>91.083246255660057</v>
      </c>
      <c r="V37" s="124">
        <f>100*(K37/OBR_MAR22_1.1!N37)</f>
        <v>87.640191513084545</v>
      </c>
      <c r="W37" s="124">
        <f>100*(M37/OBR_MAR22_1.1!P37)</f>
        <v>86.9129255056734</v>
      </c>
      <c r="X37" s="124">
        <f>100*(O37/OBR_MAR22_1.1!R37)</f>
        <v>93.336454756047587</v>
      </c>
      <c r="AA37" s="124">
        <f t="shared" si="0"/>
        <v>0.72566187472133947</v>
      </c>
    </row>
    <row r="38" spans="1:27" ht="15.75">
      <c r="A38" s="110"/>
      <c r="B38" s="154" t="s">
        <v>144</v>
      </c>
      <c r="C38" s="122">
        <v>324.51900000000001</v>
      </c>
      <c r="D38" s="122">
        <v>95.206000000000003</v>
      </c>
      <c r="E38" s="122">
        <v>88.251999999999995</v>
      </c>
      <c r="F38" s="122">
        <v>13.179</v>
      </c>
      <c r="G38" s="122">
        <v>-0.83</v>
      </c>
      <c r="H38" s="122">
        <v>507.14699999999999</v>
      </c>
      <c r="I38" s="122">
        <v>0.90500000000000003</v>
      </c>
      <c r="J38" s="122">
        <v>508.05200000000002</v>
      </c>
      <c r="K38" s="122">
        <v>140.57499999999999</v>
      </c>
      <c r="L38" s="122">
        <v>648.62699999999995</v>
      </c>
      <c r="M38" s="122">
        <v>146.34299999999999</v>
      </c>
      <c r="N38" s="122">
        <v>0</v>
      </c>
      <c r="O38" s="122">
        <v>502.28399999999999</v>
      </c>
      <c r="P38" s="155">
        <v>487.49</v>
      </c>
      <c r="Q38" s="156"/>
      <c r="R38" s="157"/>
      <c r="S38" s="124">
        <f>100*(C38/OBR_MAR22_1.1!C38)</f>
        <v>94.740668079665085</v>
      </c>
      <c r="T38" s="124">
        <f>100*(D38/OBR_MAR22_1.1!D38)</f>
        <v>94.491643177577515</v>
      </c>
      <c r="U38" s="124">
        <f>100*(E38/OBR_MAR22_1.1!E38)</f>
        <v>92.04134205229289</v>
      </c>
      <c r="V38" s="124">
        <f>100*(K38/OBR_MAR22_1.1!N38)</f>
        <v>89.041963578780667</v>
      </c>
      <c r="W38" s="124">
        <f>100*(M38/OBR_MAR22_1.1!P38)</f>
        <v>89.558459043480909</v>
      </c>
      <c r="X38" s="124">
        <f>100*(O38/OBR_MAR22_1.1!R38)</f>
        <v>94.284732820128738</v>
      </c>
      <c r="AA38" s="124">
        <f t="shared" si="0"/>
        <v>0.30652881139863197</v>
      </c>
    </row>
    <row r="39" spans="1:27" ht="15.75">
      <c r="A39" s="110"/>
      <c r="B39" s="154" t="s">
        <v>145</v>
      </c>
      <c r="C39" s="122">
        <v>329.88600000000002</v>
      </c>
      <c r="D39" s="122">
        <v>95.766000000000005</v>
      </c>
      <c r="E39" s="122">
        <v>90.471000000000004</v>
      </c>
      <c r="F39" s="122">
        <v>13.404999999999999</v>
      </c>
      <c r="G39" s="122">
        <v>2.819</v>
      </c>
      <c r="H39" s="122">
        <v>518.94200000000001</v>
      </c>
      <c r="I39" s="122">
        <v>1.137</v>
      </c>
      <c r="J39" s="122">
        <v>520.07899999999995</v>
      </c>
      <c r="K39" s="122">
        <v>142.34299999999999</v>
      </c>
      <c r="L39" s="122">
        <v>662.42200000000003</v>
      </c>
      <c r="M39" s="122">
        <v>155.86699999999999</v>
      </c>
      <c r="N39" s="122">
        <v>0</v>
      </c>
      <c r="O39" s="122">
        <v>506.55500000000001</v>
      </c>
      <c r="P39" s="155">
        <v>495.33100000000002</v>
      </c>
      <c r="Q39" s="156"/>
      <c r="R39" s="157"/>
      <c r="S39" s="124">
        <f>100*(C39/OBR_MAR22_1.1!C39)</f>
        <v>95.418061071307719</v>
      </c>
      <c r="T39" s="124">
        <f>100*(D39/OBR_MAR22_1.1!D39)</f>
        <v>94.903328741737596</v>
      </c>
      <c r="U39" s="124">
        <f>100*(E39/OBR_MAR22_1.1!E39)</f>
        <v>92.570498915401316</v>
      </c>
      <c r="V39" s="124">
        <f>100*(K39/OBR_MAR22_1.1!N39)</f>
        <v>93.306020779391034</v>
      </c>
      <c r="W39" s="124">
        <f>100*(M39/OBR_MAR22_1.1!P39)</f>
        <v>93.303921509939954</v>
      </c>
      <c r="X39" s="124">
        <f>100*(O39/OBR_MAR22_1.1!R39)</f>
        <v>94.664952354967184</v>
      </c>
      <c r="AA39" s="124">
        <f t="shared" si="0"/>
        <v>0.43568462809606689</v>
      </c>
    </row>
    <row r="40" spans="1:27" ht="15.75">
      <c r="A40" s="110"/>
      <c r="B40" s="154" t="s">
        <v>146</v>
      </c>
      <c r="C40" s="122">
        <v>332.25700000000001</v>
      </c>
      <c r="D40" s="122">
        <v>96.554000000000002</v>
      </c>
      <c r="E40" s="122">
        <v>90.167000000000002</v>
      </c>
      <c r="F40" s="122">
        <v>13.263</v>
      </c>
      <c r="G40" s="122">
        <v>-1.349</v>
      </c>
      <c r="H40" s="122">
        <v>517.62900000000002</v>
      </c>
      <c r="I40" s="122">
        <v>2.214</v>
      </c>
      <c r="J40" s="122">
        <v>519.84299999999996</v>
      </c>
      <c r="K40" s="122">
        <v>152.56800000000001</v>
      </c>
      <c r="L40" s="122">
        <v>672.41099999999994</v>
      </c>
      <c r="M40" s="122">
        <v>158.99</v>
      </c>
      <c r="N40" s="122">
        <v>0</v>
      </c>
      <c r="O40" s="122">
        <v>513.42100000000005</v>
      </c>
      <c r="P40" s="155">
        <v>504.45600000000002</v>
      </c>
      <c r="Q40" s="156"/>
      <c r="R40" s="157"/>
      <c r="S40" s="124">
        <f>100*(C40/OBR_MAR22_1.1!C40)</f>
        <v>95.865672589198638</v>
      </c>
      <c r="T40" s="124">
        <f>100*(D40/OBR_MAR22_1.1!D40)</f>
        <v>96.039229728654419</v>
      </c>
      <c r="U40" s="124">
        <f>100*(E40/OBR_MAR22_1.1!E40)</f>
        <v>93.305807359576136</v>
      </c>
      <c r="V40" s="124">
        <f>100*(K40/OBR_MAR22_1.1!N40)</f>
        <v>95.279371998476208</v>
      </c>
      <c r="W40" s="124">
        <f>100*(M40/OBR_MAR22_1.1!P40)</f>
        <v>95.357192123840207</v>
      </c>
      <c r="X40" s="124">
        <f>100*(O40/OBR_MAR22_1.1!R40)</f>
        <v>95.243934337428755</v>
      </c>
      <c r="AA40" s="124">
        <f t="shared" si="0"/>
        <v>1.1969032087462139</v>
      </c>
    </row>
    <row r="41" spans="1:27" ht="15.75">
      <c r="A41" s="110"/>
      <c r="B41" s="154" t="s">
        <v>147</v>
      </c>
      <c r="C41" s="122">
        <v>335.00200000000001</v>
      </c>
      <c r="D41" s="122">
        <v>96.984999999999999</v>
      </c>
      <c r="E41" s="122">
        <v>92.164000000000001</v>
      </c>
      <c r="F41" s="122">
        <v>13.41</v>
      </c>
      <c r="G41" s="122">
        <v>-0.81399999999999995</v>
      </c>
      <c r="H41" s="122">
        <v>523.33699999999999</v>
      </c>
      <c r="I41" s="122">
        <v>1.5920000000000001</v>
      </c>
      <c r="J41" s="122">
        <v>524.92899999999997</v>
      </c>
      <c r="K41" s="122">
        <v>155.16900000000001</v>
      </c>
      <c r="L41" s="122">
        <v>680.09799999999996</v>
      </c>
      <c r="M41" s="122">
        <v>161.70500000000001</v>
      </c>
      <c r="N41" s="122">
        <v>0</v>
      </c>
      <c r="O41" s="122">
        <v>518.39300000000003</v>
      </c>
      <c r="P41" s="155">
        <v>513.14800000000002</v>
      </c>
      <c r="Q41" s="156"/>
      <c r="R41" s="157"/>
      <c r="S41" s="124">
        <f>100*(C41/OBR_MAR22_1.1!C41)</f>
        <v>96.085196944795797</v>
      </c>
      <c r="T41" s="124">
        <f>100*(D41/OBR_MAR22_1.1!D41)</f>
        <v>96.283096228494287</v>
      </c>
      <c r="U41" s="124">
        <f>100*(E41/OBR_MAR22_1.1!E41)</f>
        <v>93.904998675442712</v>
      </c>
      <c r="V41" s="124">
        <f>100*(K41/OBR_MAR22_1.1!N41)</f>
        <v>95.873288517621475</v>
      </c>
      <c r="W41" s="124">
        <f>100*(M41/OBR_MAR22_1.1!P41)</f>
        <v>96.13166718188954</v>
      </c>
      <c r="X41" s="124">
        <f>100*(O41/OBR_MAR22_1.1!R41)</f>
        <v>95.545393890467821</v>
      </c>
      <c r="AA41" s="124">
        <f t="shared" si="0"/>
        <v>0.25392383979847555</v>
      </c>
    </row>
    <row r="42" spans="1:27" ht="15.75">
      <c r="A42" s="110"/>
      <c r="B42" s="154" t="s">
        <v>148</v>
      </c>
      <c r="C42" s="122">
        <v>337.274</v>
      </c>
      <c r="D42" s="122">
        <v>95.956000000000003</v>
      </c>
      <c r="E42" s="122">
        <v>94.61</v>
      </c>
      <c r="F42" s="122">
        <v>14.135999999999999</v>
      </c>
      <c r="G42" s="122">
        <v>0.34899999999999998</v>
      </c>
      <c r="H42" s="122">
        <v>528.18899999999996</v>
      </c>
      <c r="I42" s="122">
        <v>0.04</v>
      </c>
      <c r="J42" s="122">
        <v>528.22900000000004</v>
      </c>
      <c r="K42" s="122">
        <v>157.91</v>
      </c>
      <c r="L42" s="122">
        <v>686.13900000000001</v>
      </c>
      <c r="M42" s="122">
        <v>165.065</v>
      </c>
      <c r="N42" s="122">
        <v>0</v>
      </c>
      <c r="O42" s="122">
        <v>521.07399999999996</v>
      </c>
      <c r="P42" s="155">
        <v>511.35</v>
      </c>
      <c r="Q42" s="156"/>
      <c r="R42" s="157"/>
      <c r="S42" s="124">
        <f>100*(C42/OBR_MAR22_1.1!C42)</f>
        <v>96.916145123934655</v>
      </c>
      <c r="T42" s="124">
        <f>100*(D42/OBR_MAR22_1.1!D42)</f>
        <v>94.51372062328862</v>
      </c>
      <c r="U42" s="124">
        <f>100*(E42/OBR_MAR22_1.1!E42)</f>
        <v>94.77965558349446</v>
      </c>
      <c r="V42" s="124">
        <f>100*(K42/OBR_MAR22_1.1!N42)</f>
        <v>95.498720918277854</v>
      </c>
      <c r="W42" s="124">
        <f>100*(M42/OBR_MAR22_1.1!P42)</f>
        <v>96.533755965191361</v>
      </c>
      <c r="X42" s="124">
        <f>100*(O42/OBR_MAR22_1.1!R42)</f>
        <v>95.742014669782876</v>
      </c>
      <c r="AA42" s="124">
        <f t="shared" si="0"/>
        <v>-1.8376804179693895</v>
      </c>
    </row>
    <row r="43" spans="1:27" ht="15.75">
      <c r="A43" s="110"/>
      <c r="B43" s="154" t="s">
        <v>149</v>
      </c>
      <c r="C43" s="122">
        <v>338.53300000000002</v>
      </c>
      <c r="D43" s="122">
        <v>97.040999999999997</v>
      </c>
      <c r="E43" s="122">
        <v>94.784000000000006</v>
      </c>
      <c r="F43" s="122">
        <v>13.776999999999999</v>
      </c>
      <c r="G43" s="122">
        <v>-0.21099999999999999</v>
      </c>
      <c r="H43" s="122">
        <v>530.14700000000005</v>
      </c>
      <c r="I43" s="122">
        <v>2.02</v>
      </c>
      <c r="J43" s="122">
        <v>532.16700000000003</v>
      </c>
      <c r="K43" s="122">
        <v>158.602</v>
      </c>
      <c r="L43" s="122">
        <v>690.76900000000001</v>
      </c>
      <c r="M43" s="122">
        <v>165.75</v>
      </c>
      <c r="N43" s="122">
        <v>0</v>
      </c>
      <c r="O43" s="122">
        <v>525.01900000000001</v>
      </c>
      <c r="P43" s="155">
        <v>519.04899999999998</v>
      </c>
      <c r="Q43" s="156"/>
      <c r="R43" s="157"/>
      <c r="S43" s="124">
        <f>100*(C43/OBR_MAR22_1.1!C43)</f>
        <v>96.798110547821054</v>
      </c>
      <c r="T43" s="124">
        <f>100*(D43/OBR_MAR22_1.1!D43)</f>
        <v>95.397304444422588</v>
      </c>
      <c r="U43" s="124">
        <f>100*(E43/OBR_MAR22_1.1!E43)</f>
        <v>95.388764768633138</v>
      </c>
      <c r="V43" s="124">
        <f>100*(K43/OBR_MAR22_1.1!N43)</f>
        <v>95.3744572864926</v>
      </c>
      <c r="W43" s="124">
        <f>100*(M43/OBR_MAR22_1.1!P43)</f>
        <v>96.820547569117892</v>
      </c>
      <c r="X43" s="124">
        <f>100*(O43/OBR_MAR22_1.1!R43)</f>
        <v>96.055464992251814</v>
      </c>
      <c r="AA43" s="124">
        <f t="shared" si="0"/>
        <v>0.93487359857067354</v>
      </c>
    </row>
    <row r="44" spans="1:27" ht="15.75">
      <c r="A44" s="110"/>
      <c r="B44" s="154" t="s">
        <v>150</v>
      </c>
      <c r="C44" s="122">
        <v>341.94799999999998</v>
      </c>
      <c r="D44" s="122">
        <v>98.611000000000004</v>
      </c>
      <c r="E44" s="122">
        <v>96.325000000000003</v>
      </c>
      <c r="F44" s="122">
        <v>13.917999999999999</v>
      </c>
      <c r="G44" s="122">
        <v>1.518</v>
      </c>
      <c r="H44" s="122">
        <v>538.40200000000004</v>
      </c>
      <c r="I44" s="122">
        <v>-8.8999999999999996E-2</v>
      </c>
      <c r="J44" s="122">
        <v>538.31299999999999</v>
      </c>
      <c r="K44" s="122">
        <v>158.41999999999999</v>
      </c>
      <c r="L44" s="122">
        <v>696.73299999999995</v>
      </c>
      <c r="M44" s="122">
        <v>164.07599999999999</v>
      </c>
      <c r="N44" s="122">
        <v>0</v>
      </c>
      <c r="O44" s="122">
        <v>532.65700000000004</v>
      </c>
      <c r="P44" s="155">
        <v>526.399</v>
      </c>
      <c r="Q44" s="156"/>
      <c r="R44" s="157"/>
      <c r="S44" s="124">
        <f>100*(C44/OBR_MAR22_1.1!C44)</f>
        <v>97.250132957166443</v>
      </c>
      <c r="T44" s="124">
        <f>100*(D44/OBR_MAR22_1.1!D44)</f>
        <v>97.240876056365806</v>
      </c>
      <c r="U44" s="124">
        <f>100*(E44/OBR_MAR22_1.1!E44)</f>
        <v>95.984255891584866</v>
      </c>
      <c r="V44" s="124">
        <f>100*(K44/OBR_MAR22_1.1!N44)</f>
        <v>96.154313044744939</v>
      </c>
      <c r="W44" s="124">
        <f>100*(M44/OBR_MAR22_1.1!P44)</f>
        <v>97.534240060871227</v>
      </c>
      <c r="X44" s="124">
        <f>100*(O44/OBR_MAR22_1.1!R44)</f>
        <v>97.061851631160707</v>
      </c>
      <c r="AA44" s="124">
        <f t="shared" si="0"/>
        <v>1.9325196059572836</v>
      </c>
    </row>
    <row r="45" spans="1:27" ht="15.75">
      <c r="A45" s="110"/>
      <c r="B45" s="154" t="s">
        <v>151</v>
      </c>
      <c r="C45" s="122">
        <v>348.43200000000002</v>
      </c>
      <c r="D45" s="122">
        <v>99.025000000000006</v>
      </c>
      <c r="E45" s="122">
        <v>95.614999999999995</v>
      </c>
      <c r="F45" s="122">
        <v>13.928000000000001</v>
      </c>
      <c r="G45" s="122">
        <v>-0.03</v>
      </c>
      <c r="H45" s="122">
        <v>543.04200000000003</v>
      </c>
      <c r="I45" s="122">
        <v>-0.87</v>
      </c>
      <c r="J45" s="122">
        <v>542.17200000000003</v>
      </c>
      <c r="K45" s="122">
        <v>161.67699999999999</v>
      </c>
      <c r="L45" s="122">
        <v>703.84900000000005</v>
      </c>
      <c r="M45" s="122">
        <v>167.965</v>
      </c>
      <c r="N45" s="122">
        <v>0</v>
      </c>
      <c r="O45" s="122">
        <v>535.88400000000001</v>
      </c>
      <c r="P45" s="155">
        <v>526.76199999999994</v>
      </c>
      <c r="Q45" s="156"/>
      <c r="R45" s="157"/>
      <c r="S45" s="124">
        <f>100*(C45/OBR_MAR22_1.1!C45)</f>
        <v>98.162302263667229</v>
      </c>
      <c r="T45" s="124">
        <f>100*(D45/OBR_MAR22_1.1!D45)</f>
        <v>97.785085120669919</v>
      </c>
      <c r="U45" s="124">
        <f>100*(E45/OBR_MAR22_1.1!E45)</f>
        <v>96.516463771626988</v>
      </c>
      <c r="V45" s="124">
        <f>100*(K45/OBR_MAR22_1.1!N45)</f>
        <v>96.004869214096971</v>
      </c>
      <c r="W45" s="124">
        <f>100*(M45/OBR_MAR22_1.1!P45)</f>
        <v>97.063225597669998</v>
      </c>
      <c r="X45" s="124">
        <f>100*(O45/OBR_MAR22_1.1!R45)</f>
        <v>97.41928446771378</v>
      </c>
      <c r="AA45" s="124">
        <f t="shared" si="0"/>
        <v>0.55965051568298563</v>
      </c>
    </row>
    <row r="46" spans="1:27" ht="15.75">
      <c r="A46" s="110"/>
      <c r="B46" s="154" t="s">
        <v>152</v>
      </c>
      <c r="C46" s="122">
        <v>350.43200000000002</v>
      </c>
      <c r="D46" s="122">
        <v>98.096999999999994</v>
      </c>
      <c r="E46" s="122">
        <v>96.15</v>
      </c>
      <c r="F46" s="122">
        <v>13.999000000000001</v>
      </c>
      <c r="G46" s="122">
        <v>1.4550000000000001</v>
      </c>
      <c r="H46" s="122">
        <v>546.13400000000001</v>
      </c>
      <c r="I46" s="122">
        <v>2.2639999999999998</v>
      </c>
      <c r="J46" s="122">
        <v>548.39800000000002</v>
      </c>
      <c r="K46" s="122">
        <v>163.988</v>
      </c>
      <c r="L46" s="122">
        <v>712.38599999999997</v>
      </c>
      <c r="M46" s="122">
        <v>171.482</v>
      </c>
      <c r="N46" s="122">
        <v>0</v>
      </c>
      <c r="O46" s="122">
        <v>540.904</v>
      </c>
      <c r="P46" s="155">
        <v>534.20899999999995</v>
      </c>
      <c r="Q46" s="156"/>
      <c r="R46" s="157"/>
      <c r="S46" s="124">
        <f>100*(C46/OBR_MAR22_1.1!C46)</f>
        <v>98.529779762189278</v>
      </c>
      <c r="T46" s="124">
        <f>100*(D46/OBR_MAR22_1.1!D46)</f>
        <v>96.693970488215982</v>
      </c>
      <c r="U46" s="124">
        <f>100*(E46/OBR_MAR22_1.1!E46)</f>
        <v>96.746928549148265</v>
      </c>
      <c r="V46" s="124">
        <f>100*(K46/OBR_MAR22_1.1!N46)</f>
        <v>97.898023389788023</v>
      </c>
      <c r="W46" s="124">
        <f>100*(M46/OBR_MAR22_1.1!P46)</f>
        <v>98.700356855070794</v>
      </c>
      <c r="X46" s="124">
        <f>100*(O46/OBR_MAR22_1.1!R46)</f>
        <v>97.797272400182976</v>
      </c>
      <c r="AA46" s="124">
        <f t="shared" si="0"/>
        <v>-1.1158293016848786</v>
      </c>
    </row>
    <row r="47" spans="1:27" ht="15.75">
      <c r="A47" s="110"/>
      <c r="B47" s="154" t="s">
        <v>153</v>
      </c>
      <c r="C47" s="122">
        <v>354.39600000000002</v>
      </c>
      <c r="D47" s="122">
        <v>100.038</v>
      </c>
      <c r="E47" s="122">
        <v>97.242999999999995</v>
      </c>
      <c r="F47" s="122">
        <v>14.726000000000001</v>
      </c>
      <c r="G47" s="122">
        <v>0.68300000000000005</v>
      </c>
      <c r="H47" s="122">
        <v>552.36</v>
      </c>
      <c r="I47" s="122">
        <v>-0.16</v>
      </c>
      <c r="J47" s="122">
        <v>552.20000000000005</v>
      </c>
      <c r="K47" s="122">
        <v>167.64699999999999</v>
      </c>
      <c r="L47" s="122">
        <v>719.84699999999998</v>
      </c>
      <c r="M47" s="122">
        <v>173.04499999999999</v>
      </c>
      <c r="N47" s="122">
        <v>0</v>
      </c>
      <c r="O47" s="122">
        <v>546.80200000000002</v>
      </c>
      <c r="P47" s="155">
        <v>539.28200000000004</v>
      </c>
      <c r="Q47" s="156"/>
      <c r="R47" s="157"/>
      <c r="S47" s="124">
        <f>100*(C47/OBR_MAR22_1.1!C47)</f>
        <v>98.746980297748919</v>
      </c>
      <c r="T47" s="124">
        <f>100*(D47/OBR_MAR22_1.1!D47)</f>
        <v>98.351275623064438</v>
      </c>
      <c r="U47" s="124">
        <f>100*(E47/OBR_MAR22_1.1!E47)</f>
        <v>97.383231853869574</v>
      </c>
      <c r="V47" s="124">
        <f>100*(K47/OBR_MAR22_1.1!N47)</f>
        <v>98.886365647211477</v>
      </c>
      <c r="W47" s="124">
        <f>100*(M47/OBR_MAR22_1.1!P47)</f>
        <v>99.889169172867227</v>
      </c>
      <c r="X47" s="124">
        <f>100*(O47/OBR_MAR22_1.1!R47)</f>
        <v>98.24302302809474</v>
      </c>
      <c r="AA47" s="124">
        <f t="shared" si="0"/>
        <v>1.7139694713957709</v>
      </c>
    </row>
    <row r="48" spans="1:27" ht="15.75">
      <c r="A48" s="110"/>
      <c r="B48" s="154" t="s">
        <v>154</v>
      </c>
      <c r="C48" s="122">
        <v>359.04899999999998</v>
      </c>
      <c r="D48" s="122">
        <v>101.884</v>
      </c>
      <c r="E48" s="122">
        <v>97.456000000000003</v>
      </c>
      <c r="F48" s="122">
        <v>14.531000000000001</v>
      </c>
      <c r="G48" s="122">
        <v>0.71799999999999997</v>
      </c>
      <c r="H48" s="122">
        <v>559.10699999999997</v>
      </c>
      <c r="I48" s="122">
        <v>0.80100000000000005</v>
      </c>
      <c r="J48" s="122">
        <v>559.90800000000002</v>
      </c>
      <c r="K48" s="122">
        <v>170.01300000000001</v>
      </c>
      <c r="L48" s="122">
        <v>729.92100000000005</v>
      </c>
      <c r="M48" s="122">
        <v>179.131</v>
      </c>
      <c r="N48" s="122">
        <v>0</v>
      </c>
      <c r="O48" s="122">
        <v>550.79</v>
      </c>
      <c r="P48" s="155">
        <v>543.59699999999998</v>
      </c>
      <c r="Q48" s="156"/>
      <c r="R48" s="157"/>
      <c r="S48" s="124">
        <f>100*(C48/OBR_MAR22_1.1!C48)</f>
        <v>99.331883673062876</v>
      </c>
      <c r="T48" s="124">
        <f>100*(D48/OBR_MAR22_1.1!D48)</f>
        <v>99.429095628921928</v>
      </c>
      <c r="U48" s="124">
        <f>100*(E48/OBR_MAR22_1.1!E48)</f>
        <v>98.310316651703303</v>
      </c>
      <c r="V48" s="124">
        <f>100*(K48/OBR_MAR22_1.1!N48)</f>
        <v>99.376315174187511</v>
      </c>
      <c r="W48" s="124">
        <f>100*(M48/OBR_MAR22_1.1!P48)</f>
        <v>99.825572323398944</v>
      </c>
      <c r="X48" s="124">
        <f>100*(O48/OBR_MAR22_1.1!R48)</f>
        <v>98.628699538721605</v>
      </c>
      <c r="AA48" s="124">
        <f t="shared" si="0"/>
        <v>1.0958881814489896</v>
      </c>
    </row>
    <row r="49" spans="1:27" ht="15.75">
      <c r="A49" s="110"/>
      <c r="B49" s="154" t="s">
        <v>155</v>
      </c>
      <c r="C49" s="122">
        <v>359.54</v>
      </c>
      <c r="D49" s="122">
        <v>103.663</v>
      </c>
      <c r="E49" s="122">
        <v>99.813000000000002</v>
      </c>
      <c r="F49" s="122">
        <v>16.024000000000001</v>
      </c>
      <c r="G49" s="122">
        <v>10.952</v>
      </c>
      <c r="H49" s="122">
        <v>573.96799999999996</v>
      </c>
      <c r="I49" s="122">
        <v>6.4329999999999998</v>
      </c>
      <c r="J49" s="122">
        <v>580.40099999999995</v>
      </c>
      <c r="K49" s="122">
        <v>168.55199999999999</v>
      </c>
      <c r="L49" s="122">
        <v>748.95299999999997</v>
      </c>
      <c r="M49" s="122">
        <v>191.70400000000001</v>
      </c>
      <c r="N49" s="122">
        <v>0</v>
      </c>
      <c r="O49" s="122">
        <v>557.24900000000002</v>
      </c>
      <c r="P49" s="155">
        <v>554.96199999999999</v>
      </c>
      <c r="Q49" s="156"/>
      <c r="R49" s="157"/>
      <c r="S49" s="124">
        <f>100*(C49/OBR_MAR22_1.1!C49)</f>
        <v>99.578465748264847</v>
      </c>
      <c r="T49" s="124">
        <f>100*(D49/OBR_MAR22_1.1!D49)</f>
        <v>98.169438236296827</v>
      </c>
      <c r="U49" s="124">
        <f>100*(E49/OBR_MAR22_1.1!E49)</f>
        <v>98.944269315410693</v>
      </c>
      <c r="V49" s="124">
        <f>100*(K49/OBR_MAR22_1.1!N49)</f>
        <v>99.17915585447227</v>
      </c>
      <c r="W49" s="124">
        <f>100*(M49/OBR_MAR22_1.1!P49)</f>
        <v>98.772709005286316</v>
      </c>
      <c r="X49" s="124">
        <f>100*(O49/OBR_MAR22_1.1!R49)</f>
        <v>99.148804429633145</v>
      </c>
      <c r="AA49" s="124">
        <f t="shared" si="0"/>
        <v>-1.2668901237181673</v>
      </c>
    </row>
    <row r="50" spans="1:27" ht="15.75">
      <c r="A50" s="110"/>
      <c r="B50" s="154" t="s">
        <v>156</v>
      </c>
      <c r="C50" s="122">
        <v>363.72800000000001</v>
      </c>
      <c r="D50" s="122">
        <v>103.41</v>
      </c>
      <c r="E50" s="122">
        <v>99.301000000000002</v>
      </c>
      <c r="F50" s="122">
        <v>15.069000000000001</v>
      </c>
      <c r="G50" s="122">
        <v>0.56699999999999995</v>
      </c>
      <c r="H50" s="122">
        <v>567.00599999999997</v>
      </c>
      <c r="I50" s="122">
        <v>2.871</v>
      </c>
      <c r="J50" s="122">
        <v>569.87699999999995</v>
      </c>
      <c r="K50" s="122">
        <v>167.33600000000001</v>
      </c>
      <c r="L50" s="122">
        <v>737.21299999999997</v>
      </c>
      <c r="M50" s="122">
        <v>175.73699999999999</v>
      </c>
      <c r="N50" s="122">
        <v>0</v>
      </c>
      <c r="O50" s="122">
        <v>561.476</v>
      </c>
      <c r="P50" s="155">
        <v>560.16499999999996</v>
      </c>
      <c r="Q50" s="156"/>
      <c r="R50" s="157"/>
      <c r="S50" s="124">
        <f>100*(C50/OBR_MAR22_1.1!C50)</f>
        <v>99.868755594361431</v>
      </c>
      <c r="T50" s="124">
        <f>100*(D50/OBR_MAR22_1.1!D50)</f>
        <v>98.303151290460576</v>
      </c>
      <c r="U50" s="124">
        <f>100*(E50/OBR_MAR22_1.1!E50)</f>
        <v>100.0271974535125</v>
      </c>
      <c r="V50" s="124">
        <f>100*(K50/OBR_MAR22_1.1!N50)</f>
        <v>100.19699773063404</v>
      </c>
      <c r="W50" s="124">
        <f>100*(M50/OBR_MAR22_1.1!P50)</f>
        <v>100.27273920312226</v>
      </c>
      <c r="X50" s="124">
        <f>100*(O50/OBR_MAR22_1.1!R50)</f>
        <v>99.768470394240012</v>
      </c>
      <c r="AA50" s="124">
        <f t="shared" si="0"/>
        <v>0.13620639637552667</v>
      </c>
    </row>
    <row r="51" spans="1:27" ht="15.75">
      <c r="A51" s="110"/>
      <c r="B51" s="154" t="s">
        <v>157</v>
      </c>
      <c r="C51" s="122">
        <v>363.97699999999998</v>
      </c>
      <c r="D51" s="122">
        <v>107.36499999999999</v>
      </c>
      <c r="E51" s="122">
        <v>100.917</v>
      </c>
      <c r="F51" s="122">
        <v>15.561999999999999</v>
      </c>
      <c r="G51" s="122">
        <v>-7.9000000000000001E-2</v>
      </c>
      <c r="H51" s="122">
        <v>572.17999999999995</v>
      </c>
      <c r="I51" s="122">
        <v>-1.9890000000000001</v>
      </c>
      <c r="J51" s="122">
        <v>570.19100000000003</v>
      </c>
      <c r="K51" s="122">
        <v>177.029</v>
      </c>
      <c r="L51" s="122">
        <v>747.22</v>
      </c>
      <c r="M51" s="122">
        <v>178.78100000000001</v>
      </c>
      <c r="N51" s="122">
        <v>0</v>
      </c>
      <c r="O51" s="122">
        <v>568.43899999999996</v>
      </c>
      <c r="P51" s="155">
        <v>562.61599999999999</v>
      </c>
      <c r="Q51" s="156"/>
      <c r="R51" s="157"/>
      <c r="S51" s="124">
        <f>100*(C51/OBR_MAR22_1.1!C51)</f>
        <v>100.24622469242568</v>
      </c>
      <c r="T51" s="124">
        <f>100*(D51/OBR_MAR22_1.1!D51)</f>
        <v>102.00465536079047</v>
      </c>
      <c r="U51" s="124">
        <f>100*(E51/OBR_MAR22_1.1!E51)</f>
        <v>100.46190755875881</v>
      </c>
      <c r="V51" s="124">
        <f>100*(K51/OBR_MAR22_1.1!N51)</f>
        <v>100.7564029595902</v>
      </c>
      <c r="W51" s="124">
        <f>100*(M51/OBR_MAR22_1.1!P51)</f>
        <v>101.45444846723946</v>
      </c>
      <c r="X51" s="124">
        <f>100*(O51/OBR_MAR22_1.1!R51)</f>
        <v>100.54425306263953</v>
      </c>
      <c r="AA51" s="124">
        <f t="shared" si="0"/>
        <v>3.7653971635078998</v>
      </c>
    </row>
    <row r="52" spans="1:27" ht="15.75">
      <c r="A52" s="110"/>
      <c r="B52" s="154" t="s">
        <v>158</v>
      </c>
      <c r="C52" s="122">
        <v>361.83199999999999</v>
      </c>
      <c r="D52" s="122">
        <v>109.568</v>
      </c>
      <c r="E52" s="122">
        <v>99.578000000000003</v>
      </c>
      <c r="F52" s="122">
        <v>15.452999999999999</v>
      </c>
      <c r="G52" s="122">
        <v>-14.67</v>
      </c>
      <c r="H52" s="122">
        <v>556.30799999999999</v>
      </c>
      <c r="I52" s="122">
        <v>-0.80600000000000005</v>
      </c>
      <c r="J52" s="122">
        <v>555.50199999999995</v>
      </c>
      <c r="K52" s="122">
        <v>186.333</v>
      </c>
      <c r="L52" s="122">
        <v>741.83500000000004</v>
      </c>
      <c r="M52" s="122">
        <v>173.71600000000001</v>
      </c>
      <c r="N52" s="122">
        <v>0</v>
      </c>
      <c r="O52" s="122">
        <v>568.11900000000003</v>
      </c>
      <c r="P52" s="155">
        <v>564.48199999999997</v>
      </c>
      <c r="Q52" s="156"/>
      <c r="R52" s="157"/>
      <c r="S52" s="124">
        <f>100*(C52/OBR_MAR22_1.1!C52)</f>
        <v>100.30660390434845</v>
      </c>
      <c r="T52" s="124">
        <f>100*(D52/OBR_MAR22_1.1!D52)</f>
        <v>101.48944053353095</v>
      </c>
      <c r="U52" s="124">
        <f>100*(E52/OBR_MAR22_1.1!E52)</f>
        <v>100.57977455456344</v>
      </c>
      <c r="V52" s="124">
        <f>100*(K52/OBR_MAR22_1.1!N52)</f>
        <v>99.859053784647045</v>
      </c>
      <c r="W52" s="124">
        <f>100*(M52/OBR_MAR22_1.1!P52)</f>
        <v>99.622078853046602</v>
      </c>
      <c r="X52" s="124">
        <f>100*(O52/OBR_MAR22_1.1!R52)</f>
        <v>100.53264060561769</v>
      </c>
      <c r="AA52" s="124">
        <f t="shared" si="0"/>
        <v>-0.50508952305872157</v>
      </c>
    </row>
    <row r="53" spans="1:27" ht="15.75">
      <c r="A53" s="110"/>
      <c r="B53" s="154" t="s">
        <v>159</v>
      </c>
      <c r="C53" s="122">
        <v>355.37900000000002</v>
      </c>
      <c r="D53" s="122">
        <v>108.23099999999999</v>
      </c>
      <c r="E53" s="122">
        <v>98.036000000000001</v>
      </c>
      <c r="F53" s="122">
        <v>15.596</v>
      </c>
      <c r="G53" s="122">
        <v>0.80800000000000005</v>
      </c>
      <c r="H53" s="122">
        <v>562.45399999999995</v>
      </c>
      <c r="I53" s="122">
        <v>-2.1859999999999999</v>
      </c>
      <c r="J53" s="122">
        <v>560.26800000000003</v>
      </c>
      <c r="K53" s="122">
        <v>163.32499999999999</v>
      </c>
      <c r="L53" s="122">
        <v>723.59299999999996</v>
      </c>
      <c r="M53" s="122">
        <v>162.19399999999999</v>
      </c>
      <c r="N53" s="122">
        <v>0.81899999999999995</v>
      </c>
      <c r="O53" s="122">
        <v>562.21799999999996</v>
      </c>
      <c r="P53" s="155">
        <v>552.63800000000003</v>
      </c>
      <c r="Q53" s="156"/>
      <c r="R53" s="157"/>
      <c r="S53" s="124">
        <f>100*(C53/OBR_MAR22_1.1!C53)</f>
        <v>101.31541060254017</v>
      </c>
      <c r="T53" s="124">
        <f>100*(D53/OBR_MAR22_1.1!D53)</f>
        <v>102.44491140390733</v>
      </c>
      <c r="U53" s="124">
        <f>100*(E53/OBR_MAR22_1.1!E53)</f>
        <v>101.52122360640799</v>
      </c>
      <c r="V53" s="124">
        <f>100*(K53/OBR_MAR22_1.1!N53)</f>
        <v>101.33709747471613</v>
      </c>
      <c r="W53" s="124">
        <f>100*(M53/OBR_MAR22_1.1!P53)</f>
        <v>99.06671064365203</v>
      </c>
      <c r="X53" s="124">
        <f>100*(O53/OBR_MAR22_1.1!R53)</f>
        <v>102.18336801737533</v>
      </c>
      <c r="AA53" s="124">
        <f t="shared" si="0"/>
        <v>0.94144855401059324</v>
      </c>
    </row>
    <row r="54" spans="1:27" ht="15.75">
      <c r="A54" s="110"/>
      <c r="B54" s="154" t="s">
        <v>160</v>
      </c>
      <c r="C54" s="122">
        <v>285.233</v>
      </c>
      <c r="D54" s="122">
        <v>123.43899999999999</v>
      </c>
      <c r="E54" s="122">
        <v>79.872</v>
      </c>
      <c r="F54" s="122">
        <v>16.282</v>
      </c>
      <c r="G54" s="122">
        <v>-8.2970000000000006</v>
      </c>
      <c r="H54" s="122">
        <v>480.24700000000001</v>
      </c>
      <c r="I54" s="122">
        <v>-4.5179999999999998</v>
      </c>
      <c r="J54" s="122">
        <v>475.72899999999998</v>
      </c>
      <c r="K54" s="122">
        <v>142.19399999999999</v>
      </c>
      <c r="L54" s="122">
        <v>617.923</v>
      </c>
      <c r="M54" s="122">
        <v>125.887</v>
      </c>
      <c r="N54" s="122">
        <v>-3.4540000000000002</v>
      </c>
      <c r="O54" s="122">
        <v>488.58199999999999</v>
      </c>
      <c r="P54" s="155">
        <v>473.40300000000002</v>
      </c>
      <c r="Q54" s="156"/>
      <c r="R54" s="157"/>
      <c r="S54" s="124">
        <f>100*(C54/OBR_MAR22_1.1!C54)</f>
        <v>101.64603334117331</v>
      </c>
      <c r="T54" s="124">
        <f>100*(D54/OBR_MAR22_1.1!D54)</f>
        <v>142.27967449687637</v>
      </c>
      <c r="U54" s="124">
        <f>100*(E54/OBR_MAR22_1.1!E54)</f>
        <v>101.32183178992769</v>
      </c>
      <c r="V54" s="124">
        <f>100*(K54/OBR_MAR22_1.1!N54)</f>
        <v>99.521966446663896</v>
      </c>
      <c r="W54" s="124">
        <f>100*(M54/OBR_MAR22_1.1!P54)</f>
        <v>98.568688094585596</v>
      </c>
      <c r="X54" s="124">
        <f>100*(O54/OBR_MAR22_1.1!R54)</f>
        <v>110.24136211537639</v>
      </c>
      <c r="AA54" s="124">
        <f t="shared" si="0"/>
        <v>38.884081744102829</v>
      </c>
    </row>
    <row r="55" spans="1:27" ht="15.75">
      <c r="A55" s="110"/>
      <c r="B55" s="154" t="s">
        <v>161</v>
      </c>
      <c r="C55" s="122">
        <v>338.928</v>
      </c>
      <c r="D55" s="122">
        <v>123.715</v>
      </c>
      <c r="E55" s="122">
        <v>93.325999999999993</v>
      </c>
      <c r="F55" s="122">
        <v>16.45</v>
      </c>
      <c r="G55" s="122">
        <v>-0.54200000000000004</v>
      </c>
      <c r="H55" s="122">
        <v>555.42700000000002</v>
      </c>
      <c r="I55" s="122">
        <v>-6.6139999999999999</v>
      </c>
      <c r="J55" s="122">
        <v>548.81299999999999</v>
      </c>
      <c r="K55" s="122">
        <v>144.39400000000001</v>
      </c>
      <c r="L55" s="122">
        <v>693.20699999999999</v>
      </c>
      <c r="M55" s="122">
        <v>145.69200000000001</v>
      </c>
      <c r="N55" s="122">
        <v>-1.012</v>
      </c>
      <c r="O55" s="122">
        <v>546.50300000000004</v>
      </c>
      <c r="P55" s="155">
        <v>544.51400000000001</v>
      </c>
      <c r="Q55" s="156"/>
      <c r="R55" s="157"/>
      <c r="S55" s="124">
        <f>100*(C55/OBR_MAR22_1.1!C55)</f>
        <v>101.06393129770991</v>
      </c>
      <c r="T55" s="124">
        <f>100*(D55/OBR_MAR22_1.1!D55)</f>
        <v>120.72700658697244</v>
      </c>
      <c r="U55" s="124">
        <f>100*(E55/OBR_MAR22_1.1!E55)</f>
        <v>101.93658318132665</v>
      </c>
      <c r="V55" s="124">
        <f>100*(K55/OBR_MAR22_1.1!N55)</f>
        <v>100.34957016074668</v>
      </c>
      <c r="W55" s="124">
        <f>100*(M55/OBR_MAR22_1.1!P55)</f>
        <v>99.355551463818827</v>
      </c>
      <c r="X55" s="124">
        <f>100*(O55/OBR_MAR22_1.1!R55)</f>
        <v>104.88031427458341</v>
      </c>
      <c r="AA55" s="124">
        <f t="shared" si="0"/>
        <v>-15.148100377736739</v>
      </c>
    </row>
    <row r="56" spans="1:27" ht="15.75">
      <c r="A56" s="110"/>
      <c r="B56" s="154" t="s">
        <v>162</v>
      </c>
      <c r="C56" s="122">
        <v>333.42500000000001</v>
      </c>
      <c r="D56" s="122">
        <v>125.67100000000001</v>
      </c>
      <c r="E56" s="122">
        <v>97.001999999999995</v>
      </c>
      <c r="F56" s="122">
        <v>16.923999999999999</v>
      </c>
      <c r="G56" s="122">
        <v>8.7309999999999999</v>
      </c>
      <c r="H56" s="122">
        <v>564.82899999999995</v>
      </c>
      <c r="I56" s="122">
        <v>3.8570000000000002</v>
      </c>
      <c r="J56" s="122">
        <v>568.68600000000004</v>
      </c>
      <c r="K56" s="122">
        <v>155.429</v>
      </c>
      <c r="L56" s="122">
        <v>724.11500000000001</v>
      </c>
      <c r="M56" s="122">
        <v>168.71</v>
      </c>
      <c r="N56" s="122">
        <v>-6.2E-2</v>
      </c>
      <c r="O56" s="122">
        <v>555.34299999999996</v>
      </c>
      <c r="P56" s="155">
        <v>550.62599999999998</v>
      </c>
      <c r="Q56" s="156"/>
      <c r="R56" s="157"/>
      <c r="S56" s="124">
        <f>100*(C56/OBR_MAR22_1.1!C56)</f>
        <v>100.86732131728775</v>
      </c>
      <c r="T56" s="124">
        <f>100*(D56/OBR_MAR22_1.1!D56)</f>
        <v>118.209609451426</v>
      </c>
      <c r="U56" s="124">
        <f>100*(E56/OBR_MAR22_1.1!E56)</f>
        <v>102.13747209703914</v>
      </c>
      <c r="V56" s="124">
        <f>100*(K56/OBR_MAR22_1.1!N56)</f>
        <v>101.01581895935423</v>
      </c>
      <c r="W56" s="124">
        <f>100*(M56/OBR_MAR22_1.1!P56)</f>
        <v>100.89647212204937</v>
      </c>
      <c r="X56" s="124">
        <f>100*(O56/OBR_MAR22_1.1!R56)</f>
        <v>104.99922480913287</v>
      </c>
      <c r="Z56" s="124">
        <f t="shared" si="0"/>
        <v>-0.19454020628091317</v>
      </c>
      <c r="AA56" s="124">
        <f t="shared" si="0"/>
        <v>-2.0851980072353449</v>
      </c>
    </row>
    <row r="57" spans="1:27" ht="15.75">
      <c r="A57" s="110"/>
      <c r="B57" s="154" t="s">
        <v>163</v>
      </c>
      <c r="C57" s="122">
        <v>325.09899999999999</v>
      </c>
      <c r="D57" s="122">
        <v>131.24799999999999</v>
      </c>
      <c r="E57" s="122">
        <v>96.629000000000005</v>
      </c>
      <c r="F57" s="122">
        <v>20.545000000000002</v>
      </c>
      <c r="G57" s="122">
        <v>8.4039999999999999</v>
      </c>
      <c r="H57" s="122">
        <v>561.38</v>
      </c>
      <c r="I57" s="122">
        <v>0.82799999999999996</v>
      </c>
      <c r="J57" s="122">
        <v>562.20799999999997</v>
      </c>
      <c r="K57" s="122">
        <v>146.006</v>
      </c>
      <c r="L57" s="122">
        <v>708.21400000000006</v>
      </c>
      <c r="M57" s="122">
        <v>151.756</v>
      </c>
      <c r="N57" s="122">
        <v>-0.14199999999999999</v>
      </c>
      <c r="O57" s="122">
        <v>556.31600000000003</v>
      </c>
      <c r="P57" s="155">
        <v>557.77499999999998</v>
      </c>
      <c r="Q57" s="156"/>
      <c r="R57" s="157"/>
      <c r="S57" s="124">
        <f>100*(C57/OBR_MAR22_1.1!C57)</f>
        <v>102.32892666037141</v>
      </c>
      <c r="T57" s="124">
        <f>100*(D57/OBR_MAR22_1.1!D57)</f>
        <v>121.41687558396626</v>
      </c>
      <c r="U57" s="124">
        <f>100*(E57/OBR_MAR22_1.1!E57)</f>
        <v>103.51702268977783</v>
      </c>
      <c r="V57" s="124">
        <f>100*(K57/OBR_MAR22_1.1!N57)</f>
        <v>102.04928917902623</v>
      </c>
      <c r="W57" s="124">
        <f>100*(M57/OBR_MAR22_1.1!P57)</f>
        <v>101.92354189613948</v>
      </c>
      <c r="X57" s="124">
        <f>100*(O57/OBR_MAR22_1.1!R57)</f>
        <v>106.42877913650348</v>
      </c>
      <c r="Z57" s="124">
        <f t="shared" si="0"/>
        <v>1.4490375316759341</v>
      </c>
      <c r="AA57" s="124">
        <f t="shared" si="0"/>
        <v>2.7132025453972641</v>
      </c>
    </row>
    <row r="58" spans="1:27" ht="15.75">
      <c r="A58" s="110"/>
      <c r="B58" s="154" t="s">
        <v>164</v>
      </c>
      <c r="C58" s="122">
        <v>355.64800000000002</v>
      </c>
      <c r="D58" s="122">
        <v>127.26600000000001</v>
      </c>
      <c r="E58" s="122">
        <v>98.162999999999997</v>
      </c>
      <c r="F58" s="122">
        <v>17.343</v>
      </c>
      <c r="G58" s="122">
        <v>-0.61899999999999999</v>
      </c>
      <c r="H58" s="122">
        <v>580.45799999999997</v>
      </c>
      <c r="I58" s="122">
        <v>-1.4610000000000001</v>
      </c>
      <c r="J58" s="122">
        <v>578.99699999999996</v>
      </c>
      <c r="K58" s="122">
        <v>158.01499999999999</v>
      </c>
      <c r="L58" s="122">
        <v>737.01199999999994</v>
      </c>
      <c r="M58" s="122">
        <v>158.70099999999999</v>
      </c>
      <c r="N58" s="122">
        <v>0.26900000000000002</v>
      </c>
      <c r="O58" s="122">
        <v>578.58000000000004</v>
      </c>
      <c r="P58" s="155">
        <v>572.54700000000003</v>
      </c>
      <c r="Q58" s="156"/>
      <c r="R58" s="157"/>
      <c r="S58" s="124">
        <f>100*(C58/OBR_MAR22_1.1!C58)</f>
        <v>103.07054278618068</v>
      </c>
      <c r="T58" s="124">
        <f>100*(D58/OBR_MAR22_1.1!D58)</f>
        <v>109.30875734359434</v>
      </c>
      <c r="U58" s="124">
        <f>100*(E58/OBR_MAR22_1.1!E58)</f>
        <v>102.9728624028365</v>
      </c>
      <c r="V58" s="124">
        <f>100*(K58/OBR_MAR22_1.1!N58)</f>
        <v>103.18605683836589</v>
      </c>
      <c r="W58" s="124">
        <f>100*(M58/OBR_MAR22_1.1!P58)</f>
        <v>102.22813413895724</v>
      </c>
      <c r="X58" s="124">
        <f>100*(O58/OBR_MAR22_1.1!R58)</f>
        <v>104.77023451887506</v>
      </c>
      <c r="Z58" s="124">
        <f t="shared" si="0"/>
        <v>0.72473752047716999</v>
      </c>
      <c r="AA58" s="124">
        <f t="shared" si="0"/>
        <v>-9.9723520162553587</v>
      </c>
    </row>
    <row r="59" spans="1:27" ht="15.75">
      <c r="A59" s="110"/>
      <c r="B59" s="154" t="s">
        <v>165</v>
      </c>
      <c r="C59" s="122">
        <v>369.197</v>
      </c>
      <c r="D59" s="122">
        <v>129.09299999999999</v>
      </c>
      <c r="E59" s="122">
        <v>98.77</v>
      </c>
      <c r="F59" s="122">
        <v>17.568999999999999</v>
      </c>
      <c r="G59" s="122">
        <v>3.6349999999999998</v>
      </c>
      <c r="H59" s="122">
        <v>600.69500000000005</v>
      </c>
      <c r="I59" s="122">
        <v>1.73</v>
      </c>
      <c r="J59" s="122">
        <v>602.42499999999995</v>
      </c>
      <c r="K59" s="122">
        <v>151.29900000000001</v>
      </c>
      <c r="L59" s="122">
        <v>753.72400000000005</v>
      </c>
      <c r="M59" s="122">
        <v>167.08799999999999</v>
      </c>
      <c r="N59" s="122">
        <v>0.26</v>
      </c>
      <c r="O59" s="122">
        <v>586.89599999999996</v>
      </c>
      <c r="P59" s="155">
        <v>580.08000000000004</v>
      </c>
      <c r="Q59" s="156"/>
      <c r="R59" s="157"/>
      <c r="S59" s="124">
        <f>100*(C59/OBR_MAR22_1.1!C59)</f>
        <v>103.96547597257226</v>
      </c>
      <c r="T59" s="124">
        <f>100*(D59/OBR_MAR22_1.1!D59)</f>
        <v>110.89606473726256</v>
      </c>
      <c r="U59" s="124">
        <f>100*(E59/OBR_MAR22_1.1!E59)</f>
        <v>103.86127994279586</v>
      </c>
      <c r="V59" s="124">
        <f>100*(K59/OBR_MAR22_1.1!N59)</f>
        <v>103.71896294062</v>
      </c>
      <c r="W59" s="124">
        <f>100*(M59/OBR_MAR22_1.1!P59)</f>
        <v>103.89235705225457</v>
      </c>
      <c r="X59" s="124">
        <f>100*(O59/OBR_MAR22_1.1!R59)</f>
        <v>105.23545001057919</v>
      </c>
      <c r="Z59" s="124">
        <f t="shared" si="0"/>
        <v>0.86827250754670793</v>
      </c>
      <c r="AA59" s="124">
        <f t="shared" si="0"/>
        <v>1.4521319537818655</v>
      </c>
    </row>
    <row r="60" spans="1:27" ht="15.75">
      <c r="A60" s="110"/>
      <c r="B60" s="154" t="s">
        <v>166</v>
      </c>
      <c r="C60" s="122">
        <v>374.67700000000002</v>
      </c>
      <c r="D60" s="122">
        <v>133.46100000000001</v>
      </c>
      <c r="E60" s="122">
        <v>100.97799999999999</v>
      </c>
      <c r="F60" s="122">
        <v>18.631</v>
      </c>
      <c r="G60" s="122">
        <v>-5.81</v>
      </c>
      <c r="H60" s="122">
        <v>603.30600000000004</v>
      </c>
      <c r="I60" s="122">
        <v>-1.157</v>
      </c>
      <c r="J60" s="122">
        <v>602.149</v>
      </c>
      <c r="K60" s="122">
        <v>163.64699999999999</v>
      </c>
      <c r="L60" s="122">
        <v>765.79600000000005</v>
      </c>
      <c r="M60" s="122">
        <v>170.18299999999999</v>
      </c>
      <c r="N60" s="122">
        <v>0.26200000000000001</v>
      </c>
      <c r="O60" s="122">
        <v>595.875</v>
      </c>
      <c r="P60" s="155">
        <v>587.77204299999994</v>
      </c>
      <c r="Q60" s="156"/>
      <c r="R60" s="157"/>
      <c r="S60" s="124">
        <f>100*(C60/OBR_MAR22_1.1!C60)</f>
        <v>104.3717947646546</v>
      </c>
      <c r="T60" s="124">
        <f>100*(D60/OBR_MAR22_1.1!D60)</f>
        <v>112.51138088012141</v>
      </c>
      <c r="U60" s="124">
        <f>100*(E60/OBR_MAR22_1.1!E60)</f>
        <v>103.91035007923604</v>
      </c>
      <c r="V60" s="124">
        <f>100*(K60/OBR_MAR22_1.1!N60)</f>
        <v>106.99029126213591</v>
      </c>
      <c r="W60" s="124">
        <f>100*(M60/OBR_MAR22_1.1!P60)</f>
        <v>107.44351076120789</v>
      </c>
      <c r="X60" s="124">
        <f>100*(O60/OBR_MAR22_1.1!R60)</f>
        <v>105.82609622249453</v>
      </c>
      <c r="Z60" s="124">
        <f t="shared" si="0"/>
        <v>0.39082088383795011</v>
      </c>
      <c r="AA60" s="124">
        <f t="shared" si="0"/>
        <v>1.4566036645988101</v>
      </c>
    </row>
    <row r="61" spans="1:27" ht="15.75">
      <c r="A61" s="110"/>
      <c r="B61" s="154" t="s">
        <v>167</v>
      </c>
      <c r="C61" s="122">
        <v>381.765446</v>
      </c>
      <c r="D61" s="122">
        <v>131.05897999999999</v>
      </c>
      <c r="E61" s="122">
        <v>102.873915</v>
      </c>
      <c r="F61" s="122">
        <v>17.6621661</v>
      </c>
      <c r="G61" s="122">
        <v>-0.84911969700000001</v>
      </c>
      <c r="H61" s="122">
        <v>614.84922130300004</v>
      </c>
      <c r="I61" s="122">
        <v>-1.18306187</v>
      </c>
      <c r="J61" s="122">
        <v>613.66615943300008</v>
      </c>
      <c r="K61" s="122">
        <v>168.89099900000002</v>
      </c>
      <c r="L61" s="122">
        <v>782.55715800000007</v>
      </c>
      <c r="M61" s="122">
        <v>181.16326199999997</v>
      </c>
      <c r="N61" s="122">
        <v>0.26373891999999999</v>
      </c>
      <c r="O61" s="122">
        <v>601.65763500000003</v>
      </c>
      <c r="P61" s="155">
        <v>592.308988</v>
      </c>
      <c r="Q61" s="156"/>
      <c r="R61" s="157"/>
      <c r="S61" s="124">
        <f>100*(C61/OBR_MAR22_1.1!C61)</f>
        <v>105.71211308349888</v>
      </c>
      <c r="T61" s="124">
        <f>100*(D61/OBR_MAR22_1.1!D61)</f>
        <v>111.19807808585638</v>
      </c>
      <c r="U61" s="124">
        <f>100*(E61/OBR_MAR22_1.1!E61)</f>
        <v>105.15414231091916</v>
      </c>
      <c r="V61" s="124">
        <f>100*(K61/OBR_MAR22_1.1!N61)</f>
        <v>109.40162349261114</v>
      </c>
      <c r="W61" s="124">
        <f>100*(M61/OBR_MAR22_1.1!P61)</f>
        <v>110.72825836527728</v>
      </c>
      <c r="X61" s="124">
        <f>100*(O61/OBR_MAR22_1.1!R61)</f>
        <v>106.34633865447134</v>
      </c>
      <c r="Z61" s="124">
        <f t="shared" si="0"/>
        <v>1.2841767470479271</v>
      </c>
      <c r="AA61" s="124">
        <f t="shared" si="0"/>
        <v>-1.1672621773830327</v>
      </c>
    </row>
    <row r="62" spans="1:27" ht="15.75">
      <c r="A62" s="110"/>
      <c r="B62" s="154" t="s">
        <v>168</v>
      </c>
      <c r="C62" s="122">
        <v>394.63301200000001</v>
      </c>
      <c r="D62" s="122">
        <v>131.13003</v>
      </c>
      <c r="E62" s="122">
        <v>105.798447</v>
      </c>
      <c r="F62" s="122">
        <v>18.1401553</v>
      </c>
      <c r="G62" s="122">
        <v>-0.85743469400000005</v>
      </c>
      <c r="H62" s="122">
        <v>630.70405430599999</v>
      </c>
      <c r="I62" s="122">
        <v>-0.82916254100000009</v>
      </c>
      <c r="J62" s="122">
        <v>629.87489176499992</v>
      </c>
      <c r="K62" s="122">
        <v>176.95027400000001</v>
      </c>
      <c r="L62" s="122">
        <v>806.82516500000008</v>
      </c>
      <c r="M62" s="122">
        <v>190.30614199999999</v>
      </c>
      <c r="N62" s="122">
        <v>0.26868363299999998</v>
      </c>
      <c r="O62" s="122">
        <v>616.78770700000007</v>
      </c>
      <c r="P62" s="155">
        <v>607.92937199999994</v>
      </c>
      <c r="Q62" s="156"/>
      <c r="R62" s="157"/>
      <c r="S62" s="124">
        <f>100*(C62/OBR_MAR22_1.1!C62)</f>
        <v>108.73152712623839</v>
      </c>
      <c r="T62" s="124">
        <f>100*(D62/OBR_MAR22_1.1!D62)</f>
        <v>111.62672949565442</v>
      </c>
      <c r="U62" s="124">
        <f>100*(E62/OBR_MAR22_1.1!E62)</f>
        <v>106.18386298783437</v>
      </c>
      <c r="V62" s="124">
        <f>100*(K62/OBR_MAR22_1.1!N62)</f>
        <v>111.39305912644377</v>
      </c>
      <c r="W62" s="124">
        <f>100*(M62/OBR_MAR22_1.1!P62)</f>
        <v>113.17307242030022</v>
      </c>
      <c r="X62" s="124">
        <f>100*(O62/OBR_MAR22_1.1!R62)</f>
        <v>108.34017448588594</v>
      </c>
      <c r="Z62" s="124">
        <f t="shared" si="0"/>
        <v>2.8562611744924249</v>
      </c>
      <c r="AA62" s="124">
        <f t="shared" si="0"/>
        <v>0.38548454899289819</v>
      </c>
    </row>
    <row r="63" spans="1:27" ht="15.75">
      <c r="A63" s="110"/>
      <c r="B63" s="154" t="s">
        <v>169</v>
      </c>
      <c r="C63" s="122">
        <v>398.789447</v>
      </c>
      <c r="D63" s="122">
        <v>131.33716000000001</v>
      </c>
      <c r="E63" s="122">
        <v>108.965189</v>
      </c>
      <c r="F63" s="122">
        <v>18.713795399999999</v>
      </c>
      <c r="G63" s="122">
        <v>-0.86155917199999998</v>
      </c>
      <c r="H63" s="122">
        <v>638.23023682799999</v>
      </c>
      <c r="I63" s="122">
        <v>-1.46490568</v>
      </c>
      <c r="J63" s="122">
        <v>636.76533114799997</v>
      </c>
      <c r="K63" s="122">
        <v>178.48959299999999</v>
      </c>
      <c r="L63" s="122">
        <v>815.25492399999996</v>
      </c>
      <c r="M63" s="122">
        <v>193.33784499999999</v>
      </c>
      <c r="N63" s="122">
        <v>0.27010451299999999</v>
      </c>
      <c r="O63" s="122">
        <v>622.187184</v>
      </c>
      <c r="P63" s="155">
        <v>613.56013600000006</v>
      </c>
      <c r="Q63" s="156"/>
      <c r="R63" s="157"/>
      <c r="S63" s="124">
        <f>100*(C63/OBR_MAR22_1.1!C63)</f>
        <v>109.54615510825852</v>
      </c>
      <c r="T63" s="124">
        <f>100*(D63/OBR_MAR22_1.1!D63)</f>
        <v>111.3798094280273</v>
      </c>
      <c r="U63" s="124">
        <f>100*(E63/OBR_MAR22_1.1!E63)</f>
        <v>106.69463433672635</v>
      </c>
      <c r="V63" s="124">
        <f>100*(K63/OBR_MAR22_1.1!N63)</f>
        <v>111.13472899607399</v>
      </c>
      <c r="W63" s="124">
        <f>100*(M63/OBR_MAR22_1.1!P63)</f>
        <v>112.85817375078067</v>
      </c>
      <c r="X63" s="124">
        <f>100*(O63/OBR_MAR22_1.1!R63)</f>
        <v>108.91311020436684</v>
      </c>
      <c r="Z63" s="124">
        <f t="shared" si="0"/>
        <v>0.74921046687252968</v>
      </c>
      <c r="AA63" s="124">
        <f t="shared" si="0"/>
        <v>-0.22120156054264983</v>
      </c>
    </row>
    <row r="64" spans="1:27" ht="15.75">
      <c r="A64" s="110"/>
      <c r="B64" s="154" t="s">
        <v>170</v>
      </c>
      <c r="C64" s="122">
        <v>408.31189699999999</v>
      </c>
      <c r="D64" s="122">
        <v>132.16416000000001</v>
      </c>
      <c r="E64" s="122">
        <v>112.22595800000001</v>
      </c>
      <c r="F64" s="122">
        <v>19.364114000000001</v>
      </c>
      <c r="G64" s="122">
        <v>-0.86812328599999999</v>
      </c>
      <c r="H64" s="122">
        <v>651.83389171400006</v>
      </c>
      <c r="I64" s="122">
        <v>-1.23802119</v>
      </c>
      <c r="J64" s="122">
        <v>650.59587052400002</v>
      </c>
      <c r="K64" s="122">
        <v>180.03295699999998</v>
      </c>
      <c r="L64" s="122">
        <v>830.628827</v>
      </c>
      <c r="M64" s="122">
        <v>197.557928</v>
      </c>
      <c r="N64" s="122">
        <v>0.274362628</v>
      </c>
      <c r="O64" s="122">
        <v>633.34526100000005</v>
      </c>
      <c r="P64" s="155">
        <v>624.88921300000004</v>
      </c>
      <c r="Q64" s="156"/>
      <c r="R64" s="157"/>
      <c r="S64" s="124">
        <f>100*(C64/OBR_MAR22_1.1!C64)</f>
        <v>112.31879913020305</v>
      </c>
      <c r="T64" s="124">
        <f>100*(D64/OBR_MAR22_1.1!D64)</f>
        <v>111.65684605663431</v>
      </c>
      <c r="U64" s="124">
        <f>100*(E64/OBR_MAR22_1.1!E64)</f>
        <v>107.50752761376322</v>
      </c>
      <c r="V64" s="124">
        <f>100*(K64/OBR_MAR22_1.1!N64)</f>
        <v>111.3883618693781</v>
      </c>
      <c r="W64" s="124">
        <f>100*(M64/OBR_MAR22_1.1!P64)</f>
        <v>113.81917314642411</v>
      </c>
      <c r="X64" s="124">
        <f>100*(O64/OBR_MAR22_1.1!R64)</f>
        <v>110.63009175285958</v>
      </c>
      <c r="Z64" s="124">
        <f t="shared" si="0"/>
        <v>2.5310281490066755</v>
      </c>
      <c r="AA64" s="124">
        <f t="shared" si="0"/>
        <v>0.24873146221895404</v>
      </c>
    </row>
    <row r="65" spans="1:31" ht="15.75">
      <c r="A65" s="110"/>
      <c r="B65" s="129" t="s">
        <v>171</v>
      </c>
      <c r="C65" s="122">
        <v>412.05529999999999</v>
      </c>
      <c r="D65" s="122">
        <v>133.09466</v>
      </c>
      <c r="E65" s="122">
        <v>114.51378699999999</v>
      </c>
      <c r="F65" s="122">
        <v>20.071934399999996</v>
      </c>
      <c r="G65" s="122">
        <v>-0.87245346800000001</v>
      </c>
      <c r="H65" s="122">
        <v>658.79129353199994</v>
      </c>
      <c r="I65" s="122">
        <v>-1.68066201</v>
      </c>
      <c r="J65" s="122">
        <v>657.11063152199995</v>
      </c>
      <c r="K65" s="122">
        <v>181.48647800000001</v>
      </c>
      <c r="L65" s="122">
        <v>838.59710900000005</v>
      </c>
      <c r="M65" s="122">
        <v>198.61048499999998</v>
      </c>
      <c r="N65" s="122">
        <v>0.27621940499999997</v>
      </c>
      <c r="O65" s="122">
        <v>640.26284299999998</v>
      </c>
      <c r="P65" s="155">
        <v>631.95963500000005</v>
      </c>
      <c r="Q65" s="156"/>
      <c r="R65" s="157"/>
      <c r="S65" s="124">
        <f>100*(C65/OBR_MAR22_1.1!C65)</f>
        <v>113.12229312479386</v>
      </c>
      <c r="T65" s="124">
        <f>100*(D65/OBR_MAR22_1.1!D65)</f>
        <v>112.05078712479917</v>
      </c>
      <c r="U65" s="124">
        <f>100*(E65/OBR_MAR22_1.1!E65)</f>
        <v>108.04377300746759</v>
      </c>
      <c r="V65" s="124">
        <f>100*(K65/OBR_MAR22_1.1!N65)</f>
        <v>111.71032730624813</v>
      </c>
      <c r="W65" s="124">
        <f>100*(M65/OBR_MAR22_1.1!P65)</f>
        <v>113.92431647944437</v>
      </c>
      <c r="X65" s="124">
        <f>100*(O65/OBR_MAR22_1.1!R65)</f>
        <v>111.37879247999953</v>
      </c>
      <c r="Z65" s="124">
        <f t="shared" si="0"/>
        <v>0.71536911079272958</v>
      </c>
      <c r="AA65" s="124">
        <f t="shared" si="0"/>
        <v>0.35281407462024461</v>
      </c>
    </row>
    <row r="66" spans="1:31" ht="15.75">
      <c r="A66" s="110"/>
      <c r="B66" s="129" t="s">
        <v>172</v>
      </c>
      <c r="C66" s="122">
        <v>412.80942700000003</v>
      </c>
      <c r="D66" s="122">
        <v>133.6121</v>
      </c>
      <c r="E66" s="122">
        <v>115.110806</v>
      </c>
      <c r="F66" s="122">
        <v>20.317880799999998</v>
      </c>
      <c r="G66" s="122">
        <v>-0.87583288700000006</v>
      </c>
      <c r="H66" s="122">
        <v>660.65650011299988</v>
      </c>
      <c r="I66" s="122">
        <v>-0.95564896199999994</v>
      </c>
      <c r="J66" s="122">
        <v>659.70085115099994</v>
      </c>
      <c r="K66" s="122">
        <v>182.55726199999998</v>
      </c>
      <c r="L66" s="122">
        <v>842.25811299999998</v>
      </c>
      <c r="M66" s="122">
        <v>197.842883</v>
      </c>
      <c r="N66" s="122">
        <v>0.27652852300000003</v>
      </c>
      <c r="O66" s="122">
        <v>644.69175899999993</v>
      </c>
      <c r="P66" s="155">
        <v>636.23120200000005</v>
      </c>
      <c r="Q66" s="156"/>
      <c r="R66" s="157"/>
      <c r="S66" s="124">
        <f>100*(C66/OBR_MAR22_1.1!C66)</f>
        <v>112.82075389200234</v>
      </c>
      <c r="T66" s="124">
        <f>100*(D66/OBR_MAR22_1.1!D66)</f>
        <v>112.11642955070423</v>
      </c>
      <c r="U66" s="124">
        <f>100*(E66/OBR_MAR22_1.1!E66)</f>
        <v>108.46227718189776</v>
      </c>
      <c r="V66" s="124">
        <f>100*(K66/OBR_MAR22_1.1!N66)</f>
        <v>111.91245412792527</v>
      </c>
      <c r="W66" s="124">
        <f>100*(M66/OBR_MAR22_1.1!P66)</f>
        <v>113.31404371892648</v>
      </c>
      <c r="X66" s="124">
        <f>100*(O66/OBR_MAR22_1.1!R66)</f>
        <v>111.50343680791879</v>
      </c>
      <c r="Z66" s="124">
        <f t="shared" si="0"/>
        <v>-0.26656039624202155</v>
      </c>
      <c r="AA66" s="124">
        <f t="shared" si="0"/>
        <v>5.858274411936204E-2</v>
      </c>
    </row>
    <row r="67" spans="1:31" ht="15.75">
      <c r="A67" s="110"/>
      <c r="B67" s="129" t="s">
        <v>173</v>
      </c>
      <c r="C67" s="122">
        <v>416.79335399999997</v>
      </c>
      <c r="D67" s="122">
        <v>134.27086</v>
      </c>
      <c r="E67" s="122">
        <v>115.78233999999999</v>
      </c>
      <c r="F67" s="122">
        <v>20.470148300000002</v>
      </c>
      <c r="G67" s="122">
        <v>-0.88009969899999996</v>
      </c>
      <c r="H67" s="122">
        <v>665.96645430099989</v>
      </c>
      <c r="I67" s="122">
        <v>-0.78551395200000007</v>
      </c>
      <c r="J67" s="122">
        <v>665.18094034899991</v>
      </c>
      <c r="K67" s="122">
        <v>183.001936</v>
      </c>
      <c r="L67" s="122">
        <v>848.18287699999996</v>
      </c>
      <c r="M67" s="122">
        <v>196.158805</v>
      </c>
      <c r="N67" s="122">
        <v>0.27826024900000002</v>
      </c>
      <c r="O67" s="122">
        <v>652.30233200000009</v>
      </c>
      <c r="P67" s="155">
        <v>643.76182200000005</v>
      </c>
      <c r="Q67" s="156"/>
      <c r="R67" s="157"/>
      <c r="S67" s="124">
        <f>100*(C67/OBR_MAR22_1.1!C67)</f>
        <v>113.3992639040638</v>
      </c>
      <c r="T67" s="124">
        <f>100*(D67/OBR_MAR22_1.1!D67)</f>
        <v>112.30981551974197</v>
      </c>
      <c r="U67" s="124">
        <f>100*(E67/OBR_MAR22_1.1!E67)</f>
        <v>108.99067474877096</v>
      </c>
      <c r="V67" s="124">
        <f>100*(K67/OBR_MAR22_1.1!N67)</f>
        <v>111.84090105485309</v>
      </c>
      <c r="W67" s="124">
        <f>100*(M67/OBR_MAR22_1.1!P67)</f>
        <v>112.58947619178419</v>
      </c>
      <c r="X67" s="124">
        <f>100*(O67/OBR_MAR22_1.1!R67)</f>
        <v>112.20171323610491</v>
      </c>
      <c r="Z67" s="124">
        <f t="shared" si="0"/>
        <v>0.51276914229383408</v>
      </c>
      <c r="AA67" s="124">
        <f t="shared" si="0"/>
        <v>0.17248673527396896</v>
      </c>
      <c r="AB67" s="124"/>
      <c r="AC67" s="124"/>
      <c r="AD67" s="124"/>
    </row>
    <row r="68" spans="1:31" ht="15.75">
      <c r="A68" s="110"/>
      <c r="B68" s="129" t="s">
        <v>174</v>
      </c>
      <c r="C68" s="122">
        <v>420.19988799999999</v>
      </c>
      <c r="D68" s="122">
        <v>135.07748000000001</v>
      </c>
      <c r="E68" s="122">
        <v>116.902213</v>
      </c>
      <c r="F68" s="122">
        <v>20.524862400000007</v>
      </c>
      <c r="G68" s="122">
        <v>-0.88421039900000009</v>
      </c>
      <c r="H68" s="122">
        <v>671.29537060100006</v>
      </c>
      <c r="I68" s="122">
        <v>-0.96117427799999999</v>
      </c>
      <c r="J68" s="122">
        <v>670.33419632300001</v>
      </c>
      <c r="K68" s="122">
        <v>183.76209700000001</v>
      </c>
      <c r="L68" s="122">
        <v>854.09629399999994</v>
      </c>
      <c r="M68" s="122">
        <v>195.02438599999999</v>
      </c>
      <c r="N68" s="122">
        <v>0.279732908</v>
      </c>
      <c r="O68" s="122">
        <v>659.35164099999997</v>
      </c>
      <c r="P68" s="155">
        <v>650.69830300000001</v>
      </c>
      <c r="Q68" s="156"/>
      <c r="R68" s="157"/>
      <c r="S68" s="124">
        <f>100*(C68/OBR_MAR22_1.1!C68)</f>
        <v>113.9841459620708</v>
      </c>
      <c r="T68" s="124">
        <f>100*(D68/OBR_MAR22_1.1!D68)</f>
        <v>112.61288416305753</v>
      </c>
      <c r="U68" s="124">
        <f>100*(E68/OBR_MAR22_1.1!E68)</f>
        <v>109.49973982354844</v>
      </c>
      <c r="V68" s="124">
        <f>100*(K68/OBR_MAR22_1.1!N68)</f>
        <v>111.98538279663343</v>
      </c>
      <c r="W68" s="124">
        <f>100*(M68/OBR_MAR22_1.1!P68)</f>
        <v>112.50058759545097</v>
      </c>
      <c r="X68" s="124">
        <f>100*(O68/OBR_MAR22_1.1!R68)</f>
        <v>112.79552728901423</v>
      </c>
      <c r="Z68" s="124">
        <f t="shared" si="0"/>
        <v>0.51577235854176617</v>
      </c>
      <c r="AA68" s="124">
        <f t="shared" si="0"/>
        <v>0.26985053969952322</v>
      </c>
      <c r="AB68" s="124"/>
      <c r="AC68" s="124"/>
      <c r="AD68" s="124"/>
    </row>
    <row r="69" spans="1:31" ht="15.75">
      <c r="A69" s="110"/>
      <c r="B69" s="129" t="s">
        <v>175</v>
      </c>
      <c r="C69" s="122">
        <v>423.890647</v>
      </c>
      <c r="D69" s="122">
        <v>136.03855999999999</v>
      </c>
      <c r="E69" s="122">
        <v>117.83770799999999</v>
      </c>
      <c r="F69" s="122">
        <v>20.478108499999998</v>
      </c>
      <c r="G69" s="122">
        <v>-0.88802413499999999</v>
      </c>
      <c r="H69" s="122">
        <v>676.87889086500002</v>
      </c>
      <c r="I69" s="122">
        <v>-0.91591206800000002</v>
      </c>
      <c r="J69" s="122">
        <v>675.96297879700001</v>
      </c>
      <c r="K69" s="122">
        <v>184.50337999999999</v>
      </c>
      <c r="L69" s="122">
        <v>860.46635900000001</v>
      </c>
      <c r="M69" s="122">
        <v>194.75858300000002</v>
      </c>
      <c r="N69" s="122">
        <v>0.28110473800000002</v>
      </c>
      <c r="O69" s="122">
        <v>665.98887999999999</v>
      </c>
      <c r="P69" s="155">
        <v>657.18385599999999</v>
      </c>
      <c r="Q69" s="156"/>
      <c r="R69" s="157"/>
      <c r="S69" s="124">
        <f>100*(C69/OBR_MAR22_1.1!C69)</f>
        <v>114.5271990145764</v>
      </c>
      <c r="T69" s="124">
        <f>100*(D69/OBR_MAR22_1.1!D69)</f>
        <v>113.01856278096001</v>
      </c>
      <c r="U69" s="124">
        <f>100*(E69/OBR_MAR22_1.1!E69)</f>
        <v>109.97202924265652</v>
      </c>
      <c r="V69" s="124">
        <f>100*(K69/OBR_MAR22_1.1!N69)</f>
        <v>112.20708669893973</v>
      </c>
      <c r="W69" s="124">
        <f>100*(M69/OBR_MAR22_1.1!P69)</f>
        <v>112.56090148506117</v>
      </c>
      <c r="X69" s="124">
        <f>100*(O69/OBR_MAR22_1.1!R69)</f>
        <v>113.34868482354028</v>
      </c>
      <c r="Z69" s="124">
        <f t="shared" si="0"/>
        <v>0.47642858392455967</v>
      </c>
      <c r="AA69" s="124">
        <f t="shared" si="0"/>
        <v>0.36024174402200515</v>
      </c>
      <c r="AB69" s="124"/>
      <c r="AC69" s="124"/>
      <c r="AD69" s="124"/>
    </row>
    <row r="70" spans="1:31" ht="15.75">
      <c r="A70" s="110"/>
      <c r="B70" s="129" t="s">
        <v>176</v>
      </c>
      <c r="C70" s="122">
        <v>426.84785199999999</v>
      </c>
      <c r="D70" s="122">
        <v>137.16075000000001</v>
      </c>
      <c r="E70" s="122">
        <v>118.91074</v>
      </c>
      <c r="F70" s="122">
        <v>20.325933899999999</v>
      </c>
      <c r="G70" s="122">
        <v>-0.89133885299999993</v>
      </c>
      <c r="H70" s="122">
        <v>682.02800314699994</v>
      </c>
      <c r="I70" s="122">
        <v>-0.82381579599999999</v>
      </c>
      <c r="J70" s="122">
        <v>681.20418735099997</v>
      </c>
      <c r="K70" s="122">
        <v>185.258836</v>
      </c>
      <c r="L70" s="122">
        <v>866.46302400000002</v>
      </c>
      <c r="M70" s="122">
        <v>194.82394200000002</v>
      </c>
      <c r="N70" s="122">
        <v>0.282120062</v>
      </c>
      <c r="O70" s="122">
        <v>671.92120199999999</v>
      </c>
      <c r="P70" s="155">
        <v>663.02167399999996</v>
      </c>
      <c r="Q70" s="156"/>
      <c r="R70" s="157"/>
      <c r="S70" s="124">
        <f>100*(C70/OBR_MAR22_1.1!C70)</f>
        <v>114.89432090462127</v>
      </c>
      <c r="T70" s="124">
        <f>100*(D70/OBR_MAR22_1.1!D70)</f>
        <v>113.54210789439571</v>
      </c>
      <c r="U70" s="124">
        <f>100*(E70/OBR_MAR22_1.1!E70)</f>
        <v>110.38252018084978</v>
      </c>
      <c r="V70" s="124">
        <f>100*(K70/OBR_MAR22_1.1!N70)</f>
        <v>112.5471513745801</v>
      </c>
      <c r="W70" s="124">
        <f>100*(M70/OBR_MAR22_1.1!P70)</f>
        <v>112.87985872212172</v>
      </c>
      <c r="X70" s="124">
        <f>100*(O70/OBR_MAR22_1.1!R70)</f>
        <v>113.75808936887539</v>
      </c>
      <c r="Z70" s="124">
        <f t="shared" si="0"/>
        <v>0.32055432526394423</v>
      </c>
      <c r="AA70" s="124">
        <f t="shared" si="0"/>
        <v>0.46323816243387661</v>
      </c>
      <c r="AB70" s="124"/>
      <c r="AC70" s="124"/>
      <c r="AD70" s="124"/>
    </row>
    <row r="71" spans="1:31" ht="15.75">
      <c r="A71" s="110"/>
      <c r="B71" s="129" t="s">
        <v>177</v>
      </c>
      <c r="C71" s="122">
        <v>430.03190999999998</v>
      </c>
      <c r="D71" s="122">
        <v>138.29911999999999</v>
      </c>
      <c r="E71" s="122">
        <v>120.276905</v>
      </c>
      <c r="F71" s="122">
        <v>20.2910346</v>
      </c>
      <c r="G71" s="122">
        <v>-0.894837667</v>
      </c>
      <c r="H71" s="122">
        <v>687.71309733300006</v>
      </c>
      <c r="I71" s="122">
        <v>-0.94373999200000003</v>
      </c>
      <c r="J71" s="122">
        <v>686.76935734100005</v>
      </c>
      <c r="K71" s="122">
        <v>185.462964</v>
      </c>
      <c r="L71" s="122">
        <v>872.23232099999996</v>
      </c>
      <c r="M71" s="122">
        <v>194.101157</v>
      </c>
      <c r="N71" s="122">
        <v>0.28346700499999999</v>
      </c>
      <c r="O71" s="122">
        <v>678.4146310000001</v>
      </c>
      <c r="P71" s="155">
        <v>669.36799399999995</v>
      </c>
      <c r="Q71" s="156"/>
      <c r="R71" s="157"/>
      <c r="S71" s="124">
        <f>100*(C71/OBR_MAR22_1.1!C71)</f>
        <v>115.33755403662977</v>
      </c>
      <c r="T71" s="124">
        <f>100*(D71/OBR_MAR22_1.1!D71)</f>
        <v>114.05106048162924</v>
      </c>
      <c r="U71" s="124">
        <f>100*(E71/OBR_MAR22_1.1!E71)</f>
        <v>110.81580993134101</v>
      </c>
      <c r="V71" s="124">
        <f>100*(K71/OBR_MAR22_1.1!N71)</f>
        <v>112.68524469469523</v>
      </c>
      <c r="W71" s="124">
        <f>100*(M71/OBR_MAR22_1.1!P71)</f>
        <v>112.72781280175086</v>
      </c>
      <c r="X71" s="124">
        <f>100*(O71/OBR_MAR22_1.1!R71)</f>
        <v>114.30121159360205</v>
      </c>
      <c r="Z71" s="124">
        <f t="shared" ref="Z71:AE86" si="1">100*((S71/S70)-1)</f>
        <v>0.38577462186006883</v>
      </c>
      <c r="AA71" s="124">
        <f t="shared" si="1"/>
        <v>0.44825007802999917</v>
      </c>
      <c r="AB71" s="124"/>
      <c r="AC71" s="124"/>
      <c r="AD71" s="124"/>
    </row>
    <row r="72" spans="1:31" ht="15.75">
      <c r="A72" s="110"/>
      <c r="B72" s="129" t="s">
        <v>178</v>
      </c>
      <c r="C72" s="122">
        <v>433.13856099999998</v>
      </c>
      <c r="D72" s="122">
        <v>139.45447000000001</v>
      </c>
      <c r="E72" s="122">
        <v>121.823429</v>
      </c>
      <c r="F72" s="122">
        <v>20.378313600000002</v>
      </c>
      <c r="G72" s="122">
        <v>-0.898482475</v>
      </c>
      <c r="H72" s="122">
        <v>693.51797752499999</v>
      </c>
      <c r="I72" s="122">
        <v>-0.70932995700000001</v>
      </c>
      <c r="J72" s="122">
        <v>692.80864756799997</v>
      </c>
      <c r="K72" s="122">
        <v>185.78550000000001</v>
      </c>
      <c r="L72" s="122">
        <v>878.59414700000002</v>
      </c>
      <c r="M72" s="122">
        <v>194.30082300000001</v>
      </c>
      <c r="N72" s="122">
        <v>0.28470321300000001</v>
      </c>
      <c r="O72" s="122">
        <v>684.57802800000002</v>
      </c>
      <c r="P72" s="155">
        <v>675.44028099999991</v>
      </c>
      <c r="Q72" s="156"/>
      <c r="R72" s="157"/>
      <c r="S72" s="124">
        <f>100*(C72/OBR_MAR22_1.1!C72)</f>
        <v>115.86798306871933</v>
      </c>
      <c r="T72" s="124">
        <f>100*(D72/OBR_MAR22_1.1!D72)</f>
        <v>114.55706953334554</v>
      </c>
      <c r="U72" s="124">
        <f>100*(E72/OBR_MAR22_1.1!E72)</f>
        <v>111.26717945006956</v>
      </c>
      <c r="V72" s="124">
        <f>100*(K72/OBR_MAR22_1.1!N72)</f>
        <v>112.99656303922008</v>
      </c>
      <c r="W72" s="124">
        <f>100*(M72/OBR_MAR22_1.1!P72)</f>
        <v>113.05592167962013</v>
      </c>
      <c r="X72" s="124">
        <f>100*(O72/OBR_MAR22_1.1!R72)</f>
        <v>114.79968266281261</v>
      </c>
      <c r="Z72" s="124">
        <f t="shared" si="1"/>
        <v>0.45989273530206987</v>
      </c>
      <c r="AA72" s="124">
        <f t="shared" si="1"/>
        <v>0.44366887039846148</v>
      </c>
      <c r="AB72" s="124"/>
      <c r="AC72" s="124"/>
      <c r="AD72" s="124"/>
    </row>
    <row r="73" spans="1:31" ht="15.75">
      <c r="A73" s="110"/>
      <c r="B73" s="129" t="s">
        <v>179</v>
      </c>
      <c r="C73" s="122">
        <v>436.477643</v>
      </c>
      <c r="D73" s="122">
        <v>140.62765999999999</v>
      </c>
      <c r="E73" s="122">
        <v>123.457033</v>
      </c>
      <c r="F73" s="122">
        <v>20.592718000000001</v>
      </c>
      <c r="G73" s="122">
        <v>-0.90228584599999995</v>
      </c>
      <c r="H73" s="122">
        <v>699.66005015399992</v>
      </c>
      <c r="I73" s="122">
        <v>-0.48550802700000001</v>
      </c>
      <c r="J73" s="122">
        <v>699.17454212699988</v>
      </c>
      <c r="K73" s="122">
        <v>186.279876</v>
      </c>
      <c r="L73" s="122">
        <v>885.45441799999992</v>
      </c>
      <c r="M73" s="122">
        <v>194.94534400000001</v>
      </c>
      <c r="N73" s="122">
        <v>0.28602350100000001</v>
      </c>
      <c r="O73" s="122">
        <v>690.79509800000005</v>
      </c>
      <c r="P73" s="155">
        <v>681.51388800000007</v>
      </c>
      <c r="Q73" s="156"/>
      <c r="R73" s="157"/>
      <c r="S73" s="124">
        <f>100*(C73/OBR_MAR22_1.1!C73)</f>
        <v>116.45683289983917</v>
      </c>
      <c r="T73" s="124">
        <f>100*(D73/OBR_MAR22_1.1!D73)</f>
        <v>115.06056313473161</v>
      </c>
      <c r="U73" s="124">
        <f>100*(E73/OBR_MAR22_1.1!E73)</f>
        <v>111.73818516030163</v>
      </c>
      <c r="V73" s="124">
        <f>100*(K73/OBR_MAR22_1.1!N73)</f>
        <v>113.41547380769647</v>
      </c>
      <c r="W73" s="124">
        <f>100*(M73/OBR_MAR22_1.1!P73)</f>
        <v>113.50871927846649</v>
      </c>
      <c r="X73" s="124">
        <f>100*(O73/OBR_MAR22_1.1!R73)</f>
        <v>115.33205665857587</v>
      </c>
      <c r="Z73" s="124">
        <f t="shared" si="1"/>
        <v>0.50820754407248092</v>
      </c>
      <c r="AA73" s="124">
        <f t="shared" si="1"/>
        <v>0.43951333901703915</v>
      </c>
      <c r="AB73" s="124"/>
      <c r="AC73" s="124"/>
      <c r="AD73" s="124"/>
    </row>
    <row r="74" spans="1:31" ht="15.75">
      <c r="A74" s="110"/>
      <c r="B74" s="129" t="s">
        <v>180</v>
      </c>
      <c r="C74" s="122">
        <v>440.15246100000002</v>
      </c>
      <c r="D74" s="122">
        <v>141.81950000000001</v>
      </c>
      <c r="E74" s="122">
        <v>125.294273</v>
      </c>
      <c r="F74" s="122">
        <v>20.939245900000007</v>
      </c>
      <c r="G74" s="122">
        <v>-0.90630129699999995</v>
      </c>
      <c r="H74" s="122">
        <v>706.35993270300003</v>
      </c>
      <c r="I74" s="122">
        <v>-0.58491556600000005</v>
      </c>
      <c r="J74" s="122">
        <v>705.77501713699996</v>
      </c>
      <c r="K74" s="122">
        <v>186.873649</v>
      </c>
      <c r="L74" s="122">
        <v>892.64866700000005</v>
      </c>
      <c r="M74" s="122">
        <v>195.86649299999999</v>
      </c>
      <c r="N74" s="122">
        <v>0.28749239899999995</v>
      </c>
      <c r="O74" s="122">
        <v>697.06966599999998</v>
      </c>
      <c r="P74" s="155">
        <v>687.73009100000002</v>
      </c>
      <c r="Q74" s="156"/>
      <c r="R74" s="157"/>
      <c r="S74" s="124">
        <f>100*(C74/OBR_MAR22_1.1!C74)</f>
        <v>117.13760092346548</v>
      </c>
      <c r="T74" s="124">
        <f>100*(D74/OBR_MAR22_1.1!D74)</f>
        <v>115.56191371953481</v>
      </c>
      <c r="U74" s="124">
        <f>100*(E74/OBR_MAR22_1.1!E74)</f>
        <v>112.23545434014017</v>
      </c>
      <c r="V74" s="124">
        <f>100*(K74/OBR_MAR22_1.1!N74)</f>
        <v>113.89225907666317</v>
      </c>
      <c r="W74" s="124">
        <f>100*(M74/OBR_MAR22_1.1!P74)</f>
        <v>114.05003725994223</v>
      </c>
      <c r="X74" s="124">
        <f>100*(O74/OBR_MAR22_1.1!R74)</f>
        <v>115.92435463828367</v>
      </c>
      <c r="Z74" s="124">
        <f t="shared" si="1"/>
        <v>0.58456683620429217</v>
      </c>
      <c r="AA74" s="124">
        <f t="shared" si="1"/>
        <v>0.43572756046408312</v>
      </c>
      <c r="AB74" s="124"/>
      <c r="AC74" s="124"/>
      <c r="AD74" s="124"/>
    </row>
    <row r="75" spans="1:31" ht="15.75">
      <c r="A75" s="110"/>
      <c r="B75" s="129" t="s">
        <v>181</v>
      </c>
      <c r="C75" s="122">
        <v>443.34101600000002</v>
      </c>
      <c r="D75" s="122">
        <v>143.09931</v>
      </c>
      <c r="E75" s="122">
        <v>127.04667500000001</v>
      </c>
      <c r="F75" s="122">
        <v>21.2362523</v>
      </c>
      <c r="G75" s="122">
        <v>-0.91020406399999998</v>
      </c>
      <c r="H75" s="122">
        <v>712.57679693600005</v>
      </c>
      <c r="I75" s="122">
        <v>-0.66303168700000004</v>
      </c>
      <c r="J75" s="122">
        <v>711.91376524899999</v>
      </c>
      <c r="K75" s="122">
        <v>187.051964</v>
      </c>
      <c r="L75" s="122">
        <v>898.96572900000001</v>
      </c>
      <c r="M75" s="122">
        <v>195.799509</v>
      </c>
      <c r="N75" s="122">
        <v>0.28896271800000001</v>
      </c>
      <c r="O75" s="122">
        <v>703.45518299999992</v>
      </c>
      <c r="P75" s="155">
        <v>693.98222799999996</v>
      </c>
      <c r="Q75" s="156"/>
      <c r="R75" s="157"/>
      <c r="S75" s="124">
        <f>100*(C75/OBR_MAR22_1.1!C75)</f>
        <v>117.65673094465382</v>
      </c>
      <c r="T75" s="124">
        <f>100*(D75/OBR_MAR22_1.1!D75)</f>
        <v>116.10551596842318</v>
      </c>
      <c r="U75" s="124">
        <f>100*(E75/OBR_MAR22_1.1!E75)</f>
        <v>112.71876939620552</v>
      </c>
      <c r="V75" s="124">
        <f>100*(K75/OBR_MAR22_1.1!N75)</f>
        <v>114.11275492152726</v>
      </c>
      <c r="W75" s="124">
        <f>100*(M75/OBR_MAR22_1.1!P75)</f>
        <v>114.01103351009809</v>
      </c>
      <c r="X75" s="124">
        <f>100*(O75/OBR_MAR22_1.1!R75)</f>
        <v>116.51722489746888</v>
      </c>
      <c r="Z75" s="124">
        <f t="shared" si="1"/>
        <v>0.44317965972986428</v>
      </c>
      <c r="AA75" s="124">
        <f t="shared" si="1"/>
        <v>0.47039914050546194</v>
      </c>
      <c r="AB75" s="124"/>
      <c r="AC75" s="124"/>
      <c r="AD75" s="124"/>
    </row>
    <row r="76" spans="1:31" ht="15.75">
      <c r="A76" s="110"/>
      <c r="B76" s="129" t="s">
        <v>182</v>
      </c>
      <c r="C76" s="122">
        <v>446.84063700000002</v>
      </c>
      <c r="D76" s="122">
        <v>144.47053</v>
      </c>
      <c r="E76" s="122">
        <v>128.66830999999999</v>
      </c>
      <c r="F76" s="122">
        <v>21.481754000000002</v>
      </c>
      <c r="G76" s="122">
        <v>-0.91428320499999993</v>
      </c>
      <c r="H76" s="122">
        <v>719.06519379499991</v>
      </c>
      <c r="I76" s="122">
        <v>-0.66966313099999997</v>
      </c>
      <c r="J76" s="122">
        <v>718.39553066399992</v>
      </c>
      <c r="K76" s="122">
        <v>187.55514600000001</v>
      </c>
      <c r="L76" s="122">
        <v>905.95067700000004</v>
      </c>
      <c r="M76" s="122">
        <v>196.595136</v>
      </c>
      <c r="N76" s="122">
        <v>0.290324635</v>
      </c>
      <c r="O76" s="122">
        <v>709.64586499999996</v>
      </c>
      <c r="P76" s="155">
        <v>700.09500600000001</v>
      </c>
      <c r="Q76" s="156"/>
      <c r="R76" s="157"/>
      <c r="S76" s="124">
        <f>100*(C76/OBR_MAR22_1.1!C76)</f>
        <v>118.23571298851327</v>
      </c>
      <c r="T76" s="124">
        <f>100*(D76/OBR_MAR22_1.1!D76)</f>
        <v>116.68133934308543</v>
      </c>
      <c r="U76" s="124">
        <f>100*(E76/OBR_MAR22_1.1!E76)</f>
        <v>113.22392659120011</v>
      </c>
      <c r="V76" s="124">
        <f>100*(K76/OBR_MAR22_1.1!N76)</f>
        <v>114.52804994997037</v>
      </c>
      <c r="W76" s="124">
        <f>100*(M76/OBR_MAR22_1.1!P76)</f>
        <v>114.47667321582999</v>
      </c>
      <c r="X76" s="124">
        <f>100*(O76/OBR_MAR22_1.1!R76)</f>
        <v>117.0663849431543</v>
      </c>
      <c r="Z76" s="124">
        <f t="shared" si="1"/>
        <v>0.49209428071887995</v>
      </c>
      <c r="AA76" s="124">
        <f t="shared" si="1"/>
        <v>0.49594833618313849</v>
      </c>
      <c r="AB76" s="124"/>
      <c r="AC76" s="124"/>
      <c r="AD76" s="124"/>
    </row>
    <row r="77" spans="1:31" ht="15.75">
      <c r="A77" s="110"/>
      <c r="B77" s="129" t="s">
        <v>183</v>
      </c>
      <c r="C77" s="122">
        <v>450.33708000000001</v>
      </c>
      <c r="D77" s="122">
        <v>145.93664999999999</v>
      </c>
      <c r="E77" s="122">
        <v>130.23268400000001</v>
      </c>
      <c r="F77" s="122">
        <v>21.673746899999994</v>
      </c>
      <c r="G77" s="122">
        <v>-0.91847352000000004</v>
      </c>
      <c r="H77" s="122">
        <v>725.58794048000004</v>
      </c>
      <c r="I77" s="122">
        <v>-0.65520057700000001</v>
      </c>
      <c r="J77" s="122">
        <v>724.93273990299997</v>
      </c>
      <c r="K77" s="122">
        <v>188.12654599999999</v>
      </c>
      <c r="L77" s="122">
        <v>913.05928500000005</v>
      </c>
      <c r="M77" s="122">
        <v>197.42535100000001</v>
      </c>
      <c r="N77" s="122">
        <v>0.29172714399999999</v>
      </c>
      <c r="O77" s="122">
        <v>715.92566099999999</v>
      </c>
      <c r="P77" s="155">
        <v>706.22781399999997</v>
      </c>
      <c r="Q77" s="156"/>
      <c r="R77" s="157"/>
      <c r="S77" s="124">
        <f>100*(C77/OBR_MAR22_1.1!C77)</f>
        <v>118.82816609613967</v>
      </c>
      <c r="T77" s="124">
        <f>100*(D77/OBR_MAR22_1.1!D77)</f>
        <v>117.25571836821416</v>
      </c>
      <c r="U77" s="124">
        <f>100*(E77/OBR_MAR22_1.1!E77)</f>
        <v>113.74285119070969</v>
      </c>
      <c r="V77" s="124">
        <f>100*(K77/OBR_MAR22_1.1!N77)</f>
        <v>114.98158348482892</v>
      </c>
      <c r="W77" s="124">
        <f>100*(M77/OBR_MAR22_1.1!P77)</f>
        <v>114.95802995476186</v>
      </c>
      <c r="X77" s="124">
        <f>100*(O77/OBR_MAR22_1.1!R77)</f>
        <v>117.6319127234804</v>
      </c>
      <c r="Z77" s="124">
        <f t="shared" si="1"/>
        <v>0.5010779676052346</v>
      </c>
      <c r="AA77" s="124">
        <f t="shared" si="1"/>
        <v>0.49226296883673193</v>
      </c>
      <c r="AB77" s="124"/>
      <c r="AC77" s="124"/>
      <c r="AD77" s="124"/>
    </row>
    <row r="78" spans="1:31" ht="15.75">
      <c r="A78" s="110"/>
      <c r="B78" s="129" t="s">
        <v>184</v>
      </c>
      <c r="C78" s="122">
        <v>454.06903899999998</v>
      </c>
      <c r="D78" s="122">
        <v>147.50118000000001</v>
      </c>
      <c r="E78" s="122">
        <v>131.73296100000002</v>
      </c>
      <c r="F78" s="122">
        <v>21.8102087</v>
      </c>
      <c r="G78" s="122">
        <v>-0.92277022899999994</v>
      </c>
      <c r="H78" s="122">
        <v>732.38040977100002</v>
      </c>
      <c r="I78" s="122">
        <v>-0.51401200800000002</v>
      </c>
      <c r="J78" s="122">
        <v>731.86639776300001</v>
      </c>
      <c r="K78" s="122">
        <v>188.78269899999998</v>
      </c>
      <c r="L78" s="122">
        <v>920.64909699999998</v>
      </c>
      <c r="M78" s="122">
        <v>198.50336999999999</v>
      </c>
      <c r="N78" s="122">
        <v>0.29314689499999996</v>
      </c>
      <c r="O78" s="122">
        <v>722.43887399999994</v>
      </c>
      <c r="P78" s="155">
        <v>712.57951200000002</v>
      </c>
      <c r="Q78" s="156"/>
      <c r="R78" s="157"/>
      <c r="S78" s="124">
        <f>100*(C78/OBR_MAR22_1.1!C78)</f>
        <v>119.42951299123334</v>
      </c>
      <c r="T78" s="124">
        <f>100*(D78/OBR_MAR22_1.1!D78)</f>
        <v>117.8762403677901</v>
      </c>
      <c r="U78" s="124">
        <f>100*(E78/OBR_MAR22_1.1!E78)</f>
        <v>114.2749509224281</v>
      </c>
      <c r="V78" s="124">
        <f>100*(K78/OBR_MAR22_1.1!N78)</f>
        <v>115.49192547473255</v>
      </c>
      <c r="W78" s="124">
        <f>100*(M78/OBR_MAR22_1.1!P78)</f>
        <v>115.52392522078874</v>
      </c>
      <c r="X78" s="124">
        <f>100*(O78/OBR_MAR22_1.1!R78)</f>
        <v>118.20439303036876</v>
      </c>
      <c r="Z78" s="124">
        <f t="shared" si="1"/>
        <v>0.50606427318515834</v>
      </c>
      <c r="AA78" s="124">
        <f t="shared" si="1"/>
        <v>0.52920404071665761</v>
      </c>
      <c r="AB78" s="124"/>
      <c r="AC78" s="124"/>
      <c r="AD78" s="124"/>
    </row>
    <row r="79" spans="1:31" ht="15.75">
      <c r="A79" s="110"/>
      <c r="B79" s="129" t="s">
        <v>185</v>
      </c>
      <c r="C79" s="122">
        <v>457.87244599999997</v>
      </c>
      <c r="D79" s="122">
        <v>149.05744000000001</v>
      </c>
      <c r="E79" s="122">
        <v>133.29610300000002</v>
      </c>
      <c r="F79" s="122">
        <v>21.960829099999998</v>
      </c>
      <c r="G79" s="122">
        <v>-0.92712156200000007</v>
      </c>
      <c r="H79" s="122">
        <v>739.29886743799989</v>
      </c>
      <c r="I79" s="122">
        <v>-0.390881478</v>
      </c>
      <c r="J79" s="122">
        <v>738.90798595999991</v>
      </c>
      <c r="K79" s="122">
        <v>189.00219899999999</v>
      </c>
      <c r="L79" s="122">
        <v>927.91018500000007</v>
      </c>
      <c r="M79" s="122">
        <v>198.52530199999998</v>
      </c>
      <c r="N79" s="122">
        <v>0.29483035600000002</v>
      </c>
      <c r="O79" s="122">
        <v>729.67971299999999</v>
      </c>
      <c r="P79" s="155">
        <v>719.62857099999997</v>
      </c>
      <c r="Q79" s="156"/>
      <c r="R79" s="157"/>
      <c r="S79" s="124">
        <f>100*(C79/OBR_MAR22_1.1!C79)</f>
        <v>120.05482590670977</v>
      </c>
      <c r="T79" s="124">
        <f>100*(D79/OBR_MAR22_1.1!D79)</f>
        <v>118.46835603886008</v>
      </c>
      <c r="U79" s="124">
        <f>100*(E79/OBR_MAR22_1.1!E79)</f>
        <v>114.81381599536351</v>
      </c>
      <c r="V79" s="124">
        <f>100*(K79/OBR_MAR22_1.1!N79)</f>
        <v>115.74009881391947</v>
      </c>
      <c r="W79" s="124">
        <f>100*(M79/OBR_MAR22_1.1!P79)</f>
        <v>115.49840938848408</v>
      </c>
      <c r="X79" s="124">
        <f>100*(O79/OBR_MAR22_1.1!R79)</f>
        <v>118.88320797269594</v>
      </c>
      <c r="Z79" s="124">
        <f t="shared" si="1"/>
        <v>0.5235832415412478</v>
      </c>
      <c r="AA79" s="124">
        <f t="shared" si="1"/>
        <v>0.50231977981525233</v>
      </c>
      <c r="AB79" s="124"/>
      <c r="AC79" s="124"/>
      <c r="AD79" s="124"/>
      <c r="AE79" s="124"/>
    </row>
    <row r="80" spans="1:31" ht="15.75">
      <c r="A80" s="110"/>
      <c r="B80" s="129" t="s">
        <v>186</v>
      </c>
      <c r="C80" s="122">
        <v>461.50975300000005</v>
      </c>
      <c r="D80" s="122">
        <v>150.60498999999999</v>
      </c>
      <c r="E80" s="122">
        <v>134.88511199999999</v>
      </c>
      <c r="F80" s="122">
        <v>22.126168799999999</v>
      </c>
      <c r="G80" s="122">
        <v>-0.93136509599999995</v>
      </c>
      <c r="H80" s="122">
        <v>746.06848990399999</v>
      </c>
      <c r="I80" s="122">
        <v>-0.18265517399999998</v>
      </c>
      <c r="J80" s="122">
        <v>745.88583473000006</v>
      </c>
      <c r="K80" s="122">
        <v>189.528133</v>
      </c>
      <c r="L80" s="122">
        <v>935.41396699999996</v>
      </c>
      <c r="M80" s="122">
        <v>199.48669000000001</v>
      </c>
      <c r="N80" s="122">
        <v>0.29615906400000003</v>
      </c>
      <c r="O80" s="122">
        <v>736.22343599999999</v>
      </c>
      <c r="P80" s="155">
        <v>726.07488000000001</v>
      </c>
      <c r="Q80" s="156"/>
      <c r="R80" s="157"/>
      <c r="S80" s="124">
        <f>100*(C80/OBR_MAR22_1.1!C80)</f>
        <v>120.61245511766296</v>
      </c>
      <c r="T80" s="124">
        <f>100*(D80/OBR_MAR22_1.1!D80)</f>
        <v>119.03174566316355</v>
      </c>
      <c r="U80" s="124">
        <f>100*(E80/OBR_MAR22_1.1!E80)</f>
        <v>115.3393309870451</v>
      </c>
      <c r="V80" s="124">
        <f>100*(K80/OBR_MAR22_1.1!N80)</f>
        <v>116.18097127229383</v>
      </c>
      <c r="W80" s="124">
        <f>100*(M80/OBR_MAR22_1.1!P80)</f>
        <v>115.97973146194676</v>
      </c>
      <c r="X80" s="124">
        <f>100*(O80/OBR_MAR22_1.1!R80)</f>
        <v>119.41897743515122</v>
      </c>
      <c r="Z80" s="124">
        <f t="shared" si="1"/>
        <v>0.46447879686777327</v>
      </c>
      <c r="AA80" s="124">
        <f t="shared" si="1"/>
        <v>0.47556127487635713</v>
      </c>
      <c r="AB80" s="124"/>
      <c r="AC80" s="124"/>
      <c r="AD80" s="124"/>
      <c r="AE80" s="124"/>
    </row>
    <row r="81" spans="1:31" ht="15.75">
      <c r="A81" s="110"/>
      <c r="B81" s="158" t="s">
        <v>187</v>
      </c>
      <c r="C81" s="131">
        <v>465.173879</v>
      </c>
      <c r="D81" s="131">
        <v>152.14338000000001</v>
      </c>
      <c r="E81" s="131">
        <v>136.53506200000001</v>
      </c>
      <c r="F81" s="131">
        <v>22.306793300000002</v>
      </c>
      <c r="G81" s="131">
        <v>-0.93565963200000002</v>
      </c>
      <c r="H81" s="131">
        <v>752.91666136800006</v>
      </c>
      <c r="I81" s="131">
        <v>2.4274373099999996E-2</v>
      </c>
      <c r="J81" s="131">
        <v>752.94093574110013</v>
      </c>
      <c r="K81" s="131">
        <v>190.10444799999999</v>
      </c>
      <c r="L81" s="131">
        <v>943.04538300000002</v>
      </c>
      <c r="M81" s="131">
        <v>200.35118900000001</v>
      </c>
      <c r="N81" s="131">
        <v>0.29754704400000004</v>
      </c>
      <c r="O81" s="131">
        <v>742.99174100000005</v>
      </c>
      <c r="P81" s="132">
        <v>732.77839199999994</v>
      </c>
      <c r="Q81" s="156"/>
      <c r="R81" s="157"/>
      <c r="S81" s="124">
        <f>100*(C81/OBR_MAR22_1.1!C81)</f>
        <v>121.20491911991303</v>
      </c>
      <c r="T81" s="124">
        <f>100*(D81/OBR_MAR22_1.1!D81)</f>
        <v>119.57798601364766</v>
      </c>
      <c r="U81" s="124">
        <f>100*(E81/OBR_MAR22_1.1!E81)</f>
        <v>115.87116207505129</v>
      </c>
      <c r="V81" s="124">
        <f>100*(K81/OBR_MAR22_1.1!N81)</f>
        <v>116.65816231388368</v>
      </c>
      <c r="W81" s="124">
        <f>100*(M81/OBR_MAR22_1.1!P81)</f>
        <v>116.47595764836154</v>
      </c>
      <c r="X81" s="124">
        <f>100*(O81/OBR_MAR22_1.1!R81)</f>
        <v>119.97864655524819</v>
      </c>
      <c r="Z81" s="124">
        <f t="shared" si="1"/>
        <v>0.49121295281826516</v>
      </c>
      <c r="AA81" s="124">
        <f t="shared" si="1"/>
        <v>0.45890308290517101</v>
      </c>
      <c r="AB81" s="124"/>
      <c r="AC81" s="124"/>
      <c r="AD81" s="124"/>
      <c r="AE81" s="124"/>
    </row>
    <row r="82" spans="1:31" ht="15.75">
      <c r="A82" s="110"/>
      <c r="B82" s="129">
        <v>2008</v>
      </c>
      <c r="C82" s="122">
        <v>1027.057</v>
      </c>
      <c r="D82" s="122">
        <v>325.892</v>
      </c>
      <c r="E82" s="122">
        <v>279.72500000000002</v>
      </c>
      <c r="F82" s="122">
        <f ca="1">SUM(OFFSET(F$5,(ROW(F82)-ROW(F$82))*4,0):OFFSET(F$8,(ROW(F82)-ROW(F$82))*4,0))</f>
        <v>46.855000000000004</v>
      </c>
      <c r="G82" s="122">
        <v>-0.189</v>
      </c>
      <c r="H82" s="122">
        <v>1632.4849999999999</v>
      </c>
      <c r="I82" s="122">
        <v>-0.76600000000000001</v>
      </c>
      <c r="J82" s="122">
        <v>1631.7190000000001</v>
      </c>
      <c r="K82" s="122">
        <v>432.93599999999998</v>
      </c>
      <c r="L82" s="122">
        <v>2064.6550000000002</v>
      </c>
      <c r="M82" s="122">
        <v>465.90300000000002</v>
      </c>
      <c r="N82" s="122">
        <v>0</v>
      </c>
      <c r="O82" s="122">
        <v>1598.752</v>
      </c>
      <c r="P82" s="123">
        <v>1583.444</v>
      </c>
      <c r="Q82" s="156"/>
      <c r="R82" s="157"/>
      <c r="S82" s="124">
        <f>100*(C82/OBR_MAR22_1.1!C82)</f>
        <v>84.760258145446144</v>
      </c>
      <c r="T82" s="124">
        <f>100*(D82/OBR_MAR22_1.1!D82)</f>
        <v>86.968774267925909</v>
      </c>
      <c r="U82" s="124">
        <f>100*(E82/OBR_MAR22_1.1!E82)</f>
        <v>82.50087743358786</v>
      </c>
      <c r="V82" s="124">
        <f>100*(K82/OBR_MAR22_1.1!N82)</f>
        <v>78.791275988585411</v>
      </c>
      <c r="W82" s="124">
        <f>100*(M82/OBR_MAR22_1.1!P82)</f>
        <v>86.177314370376948</v>
      </c>
      <c r="X82" s="124">
        <f>100*(O82/OBR_MAR22_1.1!R82)</f>
        <v>82.964389834325701</v>
      </c>
      <c r="Z82" s="124"/>
      <c r="AA82" s="124"/>
      <c r="AB82" s="124"/>
      <c r="AC82" s="124"/>
      <c r="AD82" s="124"/>
      <c r="AE82" s="124"/>
    </row>
    <row r="83" spans="1:31" ht="15.75">
      <c r="A83" s="110"/>
      <c r="B83" s="129">
        <v>2009</v>
      </c>
      <c r="C83" s="122">
        <v>1005.813</v>
      </c>
      <c r="D83" s="122">
        <v>341.85199999999998</v>
      </c>
      <c r="E83" s="122">
        <v>248.517</v>
      </c>
      <c r="F83" s="122">
        <f ca="1">SUM(OFFSET(F$5,(ROW(F83)-ROW(F$82))*4,0):OFFSET(F$8,(ROW(F83)-ROW(F$82))*4,0))</f>
        <v>50.731999999999999</v>
      </c>
      <c r="G83" s="122">
        <v>2.3540000000000001</v>
      </c>
      <c r="H83" s="122">
        <v>1598.5360000000001</v>
      </c>
      <c r="I83" s="122">
        <v>-18.463000000000001</v>
      </c>
      <c r="J83" s="122">
        <v>1580.0730000000001</v>
      </c>
      <c r="K83" s="122">
        <v>410.30500000000001</v>
      </c>
      <c r="L83" s="122">
        <v>1990.3779999999999</v>
      </c>
      <c r="M83" s="122">
        <v>433.25799999999998</v>
      </c>
      <c r="N83" s="122">
        <v>0</v>
      </c>
      <c r="O83" s="122">
        <v>1557.12</v>
      </c>
      <c r="P83" s="123">
        <v>1545.0050000000001</v>
      </c>
      <c r="Q83" s="156"/>
      <c r="R83" s="157"/>
      <c r="S83" s="124">
        <f>100*(C83/OBR_MAR22_1.1!C83)</f>
        <v>85.275173782589263</v>
      </c>
      <c r="T83" s="124">
        <f>100*(D83/OBR_MAR22_1.1!D83)</f>
        <v>90.036873156342182</v>
      </c>
      <c r="U83" s="124">
        <f>100*(E83/OBR_MAR22_1.1!E83)</f>
        <v>83.968658350339908</v>
      </c>
      <c r="V83" s="124">
        <f>100*(K83/OBR_MAR22_1.1!N83)</f>
        <v>81.914209736152813</v>
      </c>
      <c r="W83" s="124">
        <f>100*(M83/OBR_MAR22_1.1!P83)</f>
        <v>86.890723270440233</v>
      </c>
      <c r="X83" s="124">
        <f>100*(O83/OBR_MAR22_1.1!R83)</f>
        <v>84.388240535100522</v>
      </c>
      <c r="Z83" s="124">
        <f t="shared" si="1"/>
        <v>0.60749654190475066</v>
      </c>
      <c r="AA83" s="124">
        <f t="shared" si="1"/>
        <v>3.5278166379168807</v>
      </c>
      <c r="AB83" s="124">
        <f t="shared" si="1"/>
        <v>1.7791094621188552</v>
      </c>
      <c r="AC83" s="124">
        <f t="shared" si="1"/>
        <v>3.9635527009612481</v>
      </c>
      <c r="AD83" s="124">
        <f t="shared" si="1"/>
        <v>0.82783839955509197</v>
      </c>
      <c r="AE83" s="124">
        <f t="shared" si="1"/>
        <v>1.7162190954675305</v>
      </c>
    </row>
    <row r="84" spans="1:31" ht="15.75">
      <c r="A84" s="110"/>
      <c r="B84" s="129">
        <v>2010</v>
      </c>
      <c r="C84" s="122">
        <v>1035.5530000000001</v>
      </c>
      <c r="D84" s="122">
        <v>347.77800000000002</v>
      </c>
      <c r="E84" s="122">
        <v>255.21100000000001</v>
      </c>
      <c r="F84" s="122">
        <f ca="1">SUM(OFFSET(F$5,(ROW(F84)-ROW(F$82))*4,0):OFFSET(F$8,(ROW(F84)-ROW(F$82))*4,0))</f>
        <v>50.534000000000006</v>
      </c>
      <c r="G84" s="122">
        <v>0.438</v>
      </c>
      <c r="H84" s="122">
        <v>1638.98</v>
      </c>
      <c r="I84" s="122">
        <v>3.4319999999999999</v>
      </c>
      <c r="J84" s="122">
        <v>1642.412</v>
      </c>
      <c r="K84" s="122">
        <v>454.47699999999998</v>
      </c>
      <c r="L84" s="122">
        <v>2096.8890000000001</v>
      </c>
      <c r="M84" s="122">
        <v>484.69400000000002</v>
      </c>
      <c r="N84" s="122">
        <v>0</v>
      </c>
      <c r="O84" s="122">
        <v>1612.1949999999999</v>
      </c>
      <c r="P84" s="123">
        <v>1612.86</v>
      </c>
      <c r="Q84" s="156"/>
      <c r="R84" s="157"/>
      <c r="S84" s="124">
        <f>100*(C84/OBR_MAR22_1.1!C84)</f>
        <v>86.300254512301436</v>
      </c>
      <c r="T84" s="124">
        <f>100*(D84/OBR_MAR22_1.1!D84)</f>
        <v>91.544376034809076</v>
      </c>
      <c r="U84" s="124">
        <f>100*(E84/OBR_MAR22_1.1!E84)</f>
        <v>83.157706093189972</v>
      </c>
      <c r="V84" s="124">
        <f>100*(K84/OBR_MAR22_1.1!N84)</f>
        <v>85.939931660587206</v>
      </c>
      <c r="W84" s="124">
        <f>100*(M84/OBR_MAR22_1.1!P84)</f>
        <v>90.177808951658378</v>
      </c>
      <c r="X84" s="124">
        <f>100*(O84/OBR_MAR22_1.1!R84)</f>
        <v>85.549597641833557</v>
      </c>
      <c r="Z84" s="124">
        <f t="shared" si="1"/>
        <v>1.2020857703856969</v>
      </c>
      <c r="AA84" s="124">
        <f t="shared" si="1"/>
        <v>1.6743172276198814</v>
      </c>
      <c r="AB84" s="124">
        <f t="shared" si="1"/>
        <v>-0.96577970052400541</v>
      </c>
      <c r="AC84" s="124">
        <f t="shared" si="1"/>
        <v>4.9145587040408723</v>
      </c>
      <c r="AD84" s="124">
        <f t="shared" si="1"/>
        <v>3.7830110712594234</v>
      </c>
      <c r="AE84" s="124">
        <f t="shared" si="1"/>
        <v>1.3762072764747169</v>
      </c>
    </row>
    <row r="85" spans="1:31" ht="15.75">
      <c r="A85" s="110"/>
      <c r="B85" s="129">
        <v>2011</v>
      </c>
      <c r="C85" s="122">
        <v>1072.692</v>
      </c>
      <c r="D85" s="122">
        <v>349.25</v>
      </c>
      <c r="E85" s="122">
        <v>260.22399999999999</v>
      </c>
      <c r="F85" s="122">
        <f ca="1">SUM(OFFSET(F$5,(ROW(F85)-ROW(F$82))*4,0):OFFSET(F$8,(ROW(F85)-ROW(F$82))*4,0))</f>
        <v>48.288000000000004</v>
      </c>
      <c r="G85" s="122">
        <v>0.67600000000000005</v>
      </c>
      <c r="H85" s="122">
        <v>1682.8420000000001</v>
      </c>
      <c r="I85" s="122">
        <v>3.4350000000000001</v>
      </c>
      <c r="J85" s="122">
        <v>1686.277</v>
      </c>
      <c r="K85" s="122">
        <v>512.77</v>
      </c>
      <c r="L85" s="122">
        <v>2199.047</v>
      </c>
      <c r="M85" s="122">
        <v>529.53800000000001</v>
      </c>
      <c r="N85" s="122">
        <v>0</v>
      </c>
      <c r="O85" s="122">
        <v>1669.509</v>
      </c>
      <c r="P85" s="123">
        <v>1675.3019999999999</v>
      </c>
      <c r="Q85" s="156"/>
      <c r="R85" s="157"/>
      <c r="S85" s="124">
        <f>100*(C85/OBR_MAR22_1.1!C85)</f>
        <v>89.531415102686054</v>
      </c>
      <c r="T85" s="124">
        <f>100*(D85/OBR_MAR22_1.1!D85)</f>
        <v>90.853279432690542</v>
      </c>
      <c r="U85" s="124">
        <f>100*(E85/OBR_MAR22_1.1!E85)</f>
        <v>84.309018159433677</v>
      </c>
      <c r="V85" s="124">
        <f>100*(K85/OBR_MAR22_1.1!N85)</f>
        <v>90.330797769079268</v>
      </c>
      <c r="W85" s="124">
        <f>100*(M85/OBR_MAR22_1.1!P85)</f>
        <v>96.199353630333974</v>
      </c>
      <c r="X85" s="124">
        <f>100*(O85/OBR_MAR22_1.1!R85)</f>
        <v>87.31819268267553</v>
      </c>
      <c r="Z85" s="124">
        <f t="shared" si="1"/>
        <v>3.7440916120635936</v>
      </c>
      <c r="AA85" s="124">
        <f t="shared" si="1"/>
        <v>-0.75493070361389858</v>
      </c>
      <c r="AB85" s="124">
        <f t="shared" si="1"/>
        <v>1.3844923343045323</v>
      </c>
      <c r="AC85" s="124">
        <f t="shared" si="1"/>
        <v>5.1092269026154602</v>
      </c>
      <c r="AD85" s="124">
        <f t="shared" si="1"/>
        <v>6.6774129341549804</v>
      </c>
      <c r="AE85" s="124">
        <f t="shared" si="1"/>
        <v>2.0673329736119461</v>
      </c>
    </row>
    <row r="86" spans="1:31" ht="15.75">
      <c r="A86" s="110"/>
      <c r="B86" s="129">
        <v>2012</v>
      </c>
      <c r="C86" s="122">
        <v>1111.558</v>
      </c>
      <c r="D86" s="122">
        <v>356.93799999999999</v>
      </c>
      <c r="E86" s="122">
        <v>269.70699999999999</v>
      </c>
      <c r="F86" s="122">
        <f ca="1">SUM(OFFSET(F$5,(ROW(F86)-ROW(F$82))*4,0):OFFSET(F$8,(ROW(F86)-ROW(F$82))*4,0))</f>
        <v>46.154000000000003</v>
      </c>
      <c r="G86" s="122">
        <v>0.35199999999999998</v>
      </c>
      <c r="H86" s="122">
        <v>1738.5550000000001</v>
      </c>
      <c r="I86" s="122">
        <v>4.0039999999999996</v>
      </c>
      <c r="J86" s="122">
        <v>1742.559</v>
      </c>
      <c r="K86" s="122">
        <v>515.32000000000005</v>
      </c>
      <c r="L86" s="122">
        <v>2257.8789999999999</v>
      </c>
      <c r="M86" s="122">
        <v>536.524</v>
      </c>
      <c r="N86" s="122">
        <v>0</v>
      </c>
      <c r="O86" s="122">
        <v>1721.355</v>
      </c>
      <c r="P86" s="123">
        <v>1703.6020000000001</v>
      </c>
      <c r="Q86" s="156"/>
      <c r="R86" s="157"/>
      <c r="S86" s="124">
        <f>100*(C86/OBR_MAR22_1.1!C86)</f>
        <v>91.151208807789644</v>
      </c>
      <c r="T86" s="124">
        <f>100*(D86/OBR_MAR22_1.1!D86)</f>
        <v>91.789223564869218</v>
      </c>
      <c r="U86" s="124">
        <f>100*(E86/OBR_MAR22_1.1!E86)</f>
        <v>86.070750426832177</v>
      </c>
      <c r="V86" s="124">
        <f>100*(K86/OBR_MAR22_1.1!N86)</f>
        <v>90.196716777898573</v>
      </c>
      <c r="W86" s="124">
        <f>100*(M86/OBR_MAR22_1.1!P86)</f>
        <v>95.48627301623462</v>
      </c>
      <c r="X86" s="124">
        <f>100*(O86/OBR_MAR22_1.1!R86)</f>
        <v>88.725660241009805</v>
      </c>
      <c r="Z86" s="124">
        <f t="shared" si="1"/>
        <v>1.8091903308417479</v>
      </c>
      <c r="AA86" s="124">
        <f t="shared" si="1"/>
        <v>1.030170994402102</v>
      </c>
      <c r="AB86" s="124">
        <f t="shared" si="1"/>
        <v>2.0896130756344</v>
      </c>
      <c r="AC86" s="124">
        <f t="shared" si="1"/>
        <v>-0.14843330789955367</v>
      </c>
      <c r="AD86" s="124">
        <f t="shared" si="1"/>
        <v>-0.74125302009774297</v>
      </c>
      <c r="AE86" s="124">
        <f t="shared" si="1"/>
        <v>1.6118835205959581</v>
      </c>
    </row>
    <row r="87" spans="1:31" ht="15.75">
      <c r="A87" s="110"/>
      <c r="B87" s="129">
        <v>2013</v>
      </c>
      <c r="C87" s="122">
        <v>1161.991</v>
      </c>
      <c r="D87" s="122">
        <v>359.65899999999999</v>
      </c>
      <c r="E87" s="122">
        <v>284.20499999999998</v>
      </c>
      <c r="F87" s="122">
        <f ca="1">SUM(OFFSET(F$5,(ROW(F87)-ROW(F$82))*4,0):OFFSET(F$8,(ROW(F87)-ROW(F$82))*4,0))</f>
        <v>45.658999999999999</v>
      </c>
      <c r="G87" s="122">
        <v>7.2149999999999999</v>
      </c>
      <c r="H87" s="122">
        <v>1813.07</v>
      </c>
      <c r="I87" s="122">
        <v>3.52</v>
      </c>
      <c r="J87" s="122">
        <v>1816.59</v>
      </c>
      <c r="K87" s="122">
        <v>533.89200000000005</v>
      </c>
      <c r="L87" s="122">
        <v>2350.482</v>
      </c>
      <c r="M87" s="122">
        <v>557.327</v>
      </c>
      <c r="N87" s="122">
        <v>0</v>
      </c>
      <c r="O87" s="122">
        <v>1793.155</v>
      </c>
      <c r="P87" s="123">
        <v>1756.8009999999999</v>
      </c>
      <c r="S87" s="124">
        <f>100*(C87/OBR_MAR22_1.1!C87)</f>
        <v>93.120415567097297</v>
      </c>
      <c r="T87" s="124">
        <f>100*(D87/OBR_MAR22_1.1!D87)</f>
        <v>92.608499736073028</v>
      </c>
      <c r="U87" s="124">
        <f>100*(E87/OBR_MAR22_1.1!E87)</f>
        <v>87.815707673388161</v>
      </c>
      <c r="V87" s="124">
        <f>100*(K87/OBR_MAR22_1.1!N87)</f>
        <v>92.642618672478534</v>
      </c>
      <c r="W87" s="124">
        <f>100*(M87/OBR_MAR22_1.1!P87)</f>
        <v>96.198670924311728</v>
      </c>
      <c r="X87" s="124">
        <f>100*(O87/OBR_MAR22_1.1!R87)</f>
        <v>90.712050810545563</v>
      </c>
      <c r="Z87" s="124">
        <f t="shared" ref="Z87:AE100" si="2">100*((S87/S86)-1)</f>
        <v>2.1603737186416394</v>
      </c>
      <c r="AA87" s="124">
        <f t="shared" si="2"/>
        <v>0.89256248106817093</v>
      </c>
      <c r="AB87" s="124">
        <f t="shared" si="2"/>
        <v>2.0273521932858696</v>
      </c>
      <c r="AC87" s="124">
        <f t="shared" si="2"/>
        <v>2.7117416043011655</v>
      </c>
      <c r="AD87" s="124">
        <f t="shared" si="2"/>
        <v>0.74607363506165036</v>
      </c>
      <c r="AE87" s="124">
        <f t="shared" si="2"/>
        <v>2.2388005500776575</v>
      </c>
    </row>
    <row r="88" spans="1:31" ht="15.75">
      <c r="A88" s="110"/>
      <c r="B88" s="160">
        <v>2014</v>
      </c>
      <c r="C88" s="122">
        <v>1208.912</v>
      </c>
      <c r="D88" s="122">
        <v>370.83300000000003</v>
      </c>
      <c r="E88" s="122">
        <v>309.23399999999998</v>
      </c>
      <c r="F88" s="122">
        <f ca="1">SUM(OFFSET(F$5,(ROW(F88)-ROW(F$82))*4,0):OFFSET(F$8,(ROW(F88)-ROW(F$82))*4,0))</f>
        <v>50.905000000000001</v>
      </c>
      <c r="G88" s="122">
        <v>6.1029999999999998</v>
      </c>
      <c r="H88" s="122">
        <v>1895.0820000000001</v>
      </c>
      <c r="I88" s="122">
        <v>14.179</v>
      </c>
      <c r="J88" s="122">
        <v>1909.261</v>
      </c>
      <c r="K88" s="122">
        <v>527.38599999999997</v>
      </c>
      <c r="L88" s="122">
        <v>2436.6469999999999</v>
      </c>
      <c r="M88" s="122">
        <v>560.48500000000001</v>
      </c>
      <c r="N88" s="122">
        <v>0</v>
      </c>
      <c r="O88" s="122">
        <v>1876.162</v>
      </c>
      <c r="P88" s="123">
        <v>1837.31</v>
      </c>
      <c r="S88" s="124">
        <f>100*(C88/OBR_MAR22_1.1!C88)</f>
        <v>94.398829338074691</v>
      </c>
      <c r="T88" s="124">
        <f>100*(D88/OBR_MAR22_1.1!D88)</f>
        <v>93.652501344809053</v>
      </c>
      <c r="U88" s="124">
        <f>100*(E88/OBR_MAR22_1.1!E88)</f>
        <v>89.447666430441259</v>
      </c>
      <c r="V88" s="124">
        <f>100*(K88/OBR_MAR22_1.1!N88)</f>
        <v>90.770867182551697</v>
      </c>
      <c r="W88" s="124">
        <f>100*(M88/OBR_MAR22_1.1!P88)</f>
        <v>92.40327483991797</v>
      </c>
      <c r="X88" s="124">
        <f>100*(O88/OBR_MAR22_1.1!R88)</f>
        <v>92.15470633626785</v>
      </c>
      <c r="Z88" s="124">
        <f t="shared" si="2"/>
        <v>1.3728608954244326</v>
      </c>
      <c r="AA88" s="124">
        <f t="shared" si="2"/>
        <v>1.1273280656865614</v>
      </c>
      <c r="AB88" s="124">
        <f t="shared" si="2"/>
        <v>1.8583904864979628</v>
      </c>
      <c r="AC88" s="124">
        <f t="shared" si="2"/>
        <v>-2.0204000240365394</v>
      </c>
      <c r="AD88" s="124">
        <f t="shared" si="2"/>
        <v>-3.9453726833502123</v>
      </c>
      <c r="AE88" s="124">
        <f t="shared" si="2"/>
        <v>1.590368107469331</v>
      </c>
    </row>
    <row r="89" spans="1:31" ht="15.75">
      <c r="A89" s="110"/>
      <c r="B89" s="160">
        <v>2015</v>
      </c>
      <c r="C89" s="122">
        <v>1247.425</v>
      </c>
      <c r="D89" s="122">
        <v>375.35700000000003</v>
      </c>
      <c r="E89" s="122">
        <v>333.226</v>
      </c>
      <c r="F89" s="122">
        <f ca="1">SUM(OFFSET(F$5,(ROW(F89)-ROW(F$82))*4,0):OFFSET(F$8,(ROW(F89)-ROW(F$82))*4,0))</f>
        <v>51.158000000000001</v>
      </c>
      <c r="G89" s="122">
        <v>0.879</v>
      </c>
      <c r="H89" s="122">
        <v>1956.8869999999999</v>
      </c>
      <c r="I89" s="122">
        <v>8.2569999999999997</v>
      </c>
      <c r="J89" s="122">
        <v>1965.144</v>
      </c>
      <c r="K89" s="122">
        <v>526.08299999999997</v>
      </c>
      <c r="L89" s="122">
        <v>2491.2269999999999</v>
      </c>
      <c r="M89" s="122">
        <v>556.01499999999999</v>
      </c>
      <c r="N89" s="122">
        <v>0</v>
      </c>
      <c r="O89" s="122">
        <v>1935.212</v>
      </c>
      <c r="P89" s="123">
        <v>1889.0650000000001</v>
      </c>
      <c r="S89" s="124">
        <f>100*(C89/OBR_MAR22_1.1!C89)</f>
        <v>94.023017615583655</v>
      </c>
      <c r="T89" s="124">
        <f>100*(D89/OBR_MAR22_1.1!D89)</f>
        <v>93.591233231935377</v>
      </c>
      <c r="U89" s="124">
        <f>100*(E89/OBR_MAR22_1.1!E89)</f>
        <v>90.640691557364121</v>
      </c>
      <c r="V89" s="124">
        <f>100*(K89/OBR_MAR22_1.1!N89)</f>
        <v>87.261499367205133</v>
      </c>
      <c r="W89" s="124">
        <f>100*(M89/OBR_MAR22_1.1!P89)</f>
        <v>87.306509812296056</v>
      </c>
      <c r="X89" s="124">
        <f>100*(O89/OBR_MAR22_1.1!R89)</f>
        <v>92.625962295072554</v>
      </c>
      <c r="Z89" s="124">
        <f t="shared" si="2"/>
        <v>-0.39811057523301274</v>
      </c>
      <c r="AA89" s="124">
        <f t="shared" si="2"/>
        <v>-6.5420690311412955E-2</v>
      </c>
      <c r="AB89" s="124">
        <f t="shared" si="2"/>
        <v>1.333768866793883</v>
      </c>
      <c r="AC89" s="124">
        <f t="shared" si="2"/>
        <v>-3.866182977285848</v>
      </c>
      <c r="AD89" s="124">
        <f t="shared" si="2"/>
        <v>-5.5157839767602361</v>
      </c>
      <c r="AE89" s="124">
        <f t="shared" si="2"/>
        <v>0.51137481474372581</v>
      </c>
    </row>
    <row r="90" spans="1:31" ht="15.75">
      <c r="A90" s="110"/>
      <c r="B90" s="160">
        <v>2016</v>
      </c>
      <c r="C90" s="122">
        <v>1307.857</v>
      </c>
      <c r="D90" s="122">
        <v>382.637</v>
      </c>
      <c r="E90" s="122">
        <v>355.185</v>
      </c>
      <c r="F90" s="122">
        <f ca="1">SUM(OFFSET(F$5,(ROW(F90)-ROW(F$82))*4,0):OFFSET(F$8,(ROW(F90)-ROW(F$82))*4,0))</f>
        <v>52.350999999999999</v>
      </c>
      <c r="G90" s="122">
        <v>1.502</v>
      </c>
      <c r="H90" s="122">
        <v>2047.181</v>
      </c>
      <c r="I90" s="122">
        <v>2.484</v>
      </c>
      <c r="J90" s="122">
        <v>2049.665</v>
      </c>
      <c r="K90" s="122">
        <v>569.11099999999999</v>
      </c>
      <c r="L90" s="122">
        <v>2618.7759999999998</v>
      </c>
      <c r="M90" s="122">
        <v>602.13800000000003</v>
      </c>
      <c r="N90" s="122">
        <v>0</v>
      </c>
      <c r="O90" s="122">
        <v>2016.6379999999999</v>
      </c>
      <c r="P90" s="123">
        <v>1966.1</v>
      </c>
      <c r="S90" s="124">
        <f>100*(C90/OBR_MAR22_1.1!C90)</f>
        <v>95.075799981680632</v>
      </c>
      <c r="T90" s="124">
        <f>100*(D90/OBR_MAR22_1.1!D90)</f>
        <v>94.908288169856007</v>
      </c>
      <c r="U90" s="124">
        <f>100*(E90/OBR_MAR22_1.1!E90)</f>
        <v>92.257281931666455</v>
      </c>
      <c r="V90" s="124">
        <f>100*(K90/OBR_MAR22_1.1!N90)</f>
        <v>91.34612143614963</v>
      </c>
      <c r="W90" s="124">
        <f>100*(M90/OBR_MAR22_1.1!P90)</f>
        <v>91.323108096015915</v>
      </c>
      <c r="X90" s="124">
        <f>100*(O90/OBR_MAR22_1.1!R90)</f>
        <v>94.386880629945438</v>
      </c>
      <c r="Z90" s="124">
        <f t="shared" si="2"/>
        <v>1.1197070598194525</v>
      </c>
      <c r="AA90" s="124">
        <f t="shared" si="2"/>
        <v>1.4072417815638172</v>
      </c>
      <c r="AB90" s="124">
        <f t="shared" si="2"/>
        <v>1.7835150488445306</v>
      </c>
      <c r="AC90" s="124">
        <f t="shared" si="2"/>
        <v>4.6808983326724674</v>
      </c>
      <c r="AD90" s="124">
        <f t="shared" si="2"/>
        <v>4.6005713575715257</v>
      </c>
      <c r="AE90" s="124">
        <f t="shared" si="2"/>
        <v>1.9011066565367996</v>
      </c>
    </row>
    <row r="91" spans="1:31" ht="15.75">
      <c r="A91" s="110"/>
      <c r="B91" s="160">
        <v>2017</v>
      </c>
      <c r="C91" s="122">
        <v>1352.7570000000001</v>
      </c>
      <c r="D91" s="122">
        <v>388.59300000000002</v>
      </c>
      <c r="E91" s="122">
        <v>377.88299999999998</v>
      </c>
      <c r="F91" s="122">
        <f ca="1">SUM(OFFSET(F$5,(ROW(F91)-ROW(F$82))*4,0):OFFSET(F$8,(ROW(F91)-ROW(F$82))*4,0))</f>
        <v>55.241</v>
      </c>
      <c r="G91" s="122">
        <v>0.84199999999999997</v>
      </c>
      <c r="H91" s="122">
        <v>2120.0749999999998</v>
      </c>
      <c r="I91" s="122">
        <v>3.5630000000000002</v>
      </c>
      <c r="J91" s="122">
        <v>2123.6379999999999</v>
      </c>
      <c r="K91" s="122">
        <v>630.101</v>
      </c>
      <c r="L91" s="122">
        <v>2753.739</v>
      </c>
      <c r="M91" s="122">
        <v>656.596</v>
      </c>
      <c r="N91" s="122">
        <v>0</v>
      </c>
      <c r="O91" s="122">
        <v>2097.143</v>
      </c>
      <c r="P91" s="123">
        <v>2069.9459999999999</v>
      </c>
      <c r="S91" s="124">
        <f>100*(C91/OBR_MAR22_1.1!C91)</f>
        <v>96.763387827654398</v>
      </c>
      <c r="T91" s="124">
        <f>100*(D91/OBR_MAR22_1.1!D91)</f>
        <v>95.857291921053218</v>
      </c>
      <c r="U91" s="124">
        <f>100*(E91/OBR_MAR22_1.1!E91)</f>
        <v>95.019965400012069</v>
      </c>
      <c r="V91" s="124">
        <f>100*(K91/OBR_MAR22_1.1!N91)</f>
        <v>95.723515801723053</v>
      </c>
      <c r="W91" s="124">
        <f>100*(M91/OBR_MAR22_1.1!P91)</f>
        <v>96.754447622457889</v>
      </c>
      <c r="X91" s="124">
        <f>100*(O91/OBR_MAR22_1.1!R91)</f>
        <v>96.103557468024945</v>
      </c>
      <c r="Z91" s="124">
        <f t="shared" si="2"/>
        <v>1.7749920024853205</v>
      </c>
      <c r="AA91" s="124">
        <f t="shared" si="2"/>
        <v>0.99991662424550043</v>
      </c>
      <c r="AB91" s="124">
        <f t="shared" si="2"/>
        <v>2.9945424474914439</v>
      </c>
      <c r="AC91" s="124">
        <f t="shared" si="2"/>
        <v>4.7920965846734775</v>
      </c>
      <c r="AD91" s="124">
        <f t="shared" si="2"/>
        <v>5.9473879499715832</v>
      </c>
      <c r="AE91" s="124">
        <f t="shared" si="2"/>
        <v>1.8187663652218022</v>
      </c>
    </row>
    <row r="92" spans="1:31" ht="15.75">
      <c r="A92" s="110"/>
      <c r="B92" s="160">
        <v>2018</v>
      </c>
      <c r="C92" s="122">
        <v>1412.309</v>
      </c>
      <c r="D92" s="122">
        <v>399.04399999999998</v>
      </c>
      <c r="E92" s="122">
        <v>386.464</v>
      </c>
      <c r="F92" s="122">
        <f ca="1">SUM(OFFSET(F$5,(ROW(F92)-ROW(F$82))*4,0):OFFSET(F$8,(ROW(F92)-ROW(F$82))*4,0))</f>
        <v>57.183999999999997</v>
      </c>
      <c r="G92" s="122">
        <v>2.8260000000000001</v>
      </c>
      <c r="H92" s="122">
        <v>2200.643</v>
      </c>
      <c r="I92" s="122">
        <v>2.0350000000000001</v>
      </c>
      <c r="J92" s="122">
        <v>2202.6779999999999</v>
      </c>
      <c r="K92" s="122">
        <v>663.32500000000005</v>
      </c>
      <c r="L92" s="122">
        <v>2866.0030000000002</v>
      </c>
      <c r="M92" s="122">
        <v>691.62300000000005</v>
      </c>
      <c r="N92" s="122">
        <v>0</v>
      </c>
      <c r="O92" s="122">
        <v>2174.38</v>
      </c>
      <c r="P92" s="123">
        <v>2143.85</v>
      </c>
      <c r="S92" s="124">
        <f>100*(C92/OBR_MAR22_1.1!C92)</f>
        <v>98.695712637485116</v>
      </c>
      <c r="T92" s="124">
        <f>100*(D92/OBR_MAR22_1.1!D92)</f>
        <v>98.068581455531159</v>
      </c>
      <c r="U92" s="124">
        <f>100*(E92/OBR_MAR22_1.1!E92)</f>
        <v>97.239303938244149</v>
      </c>
      <c r="V92" s="124">
        <f>100*(K92/OBR_MAR22_1.1!N92)</f>
        <v>98.048272875220434</v>
      </c>
      <c r="W92" s="124">
        <f>100*(M92/OBR_MAR22_1.1!P92)</f>
        <v>98.878433323611674</v>
      </c>
      <c r="X92" s="124">
        <f>100*(O92/OBR_MAR22_1.1!R92)</f>
        <v>98.024701153550012</v>
      </c>
      <c r="Z92" s="124">
        <f t="shared" si="2"/>
        <v>1.9969586154552355</v>
      </c>
      <c r="AA92" s="124">
        <f t="shared" si="2"/>
        <v>2.3068558376332371</v>
      </c>
      <c r="AB92" s="124">
        <f t="shared" si="2"/>
        <v>2.3356549635533685</v>
      </c>
      <c r="AC92" s="124">
        <f t="shared" si="2"/>
        <v>2.4286164732109983</v>
      </c>
      <c r="AD92" s="124">
        <f t="shared" si="2"/>
        <v>2.1952331426062344</v>
      </c>
      <c r="AE92" s="124">
        <f t="shared" si="2"/>
        <v>1.9990349328787849</v>
      </c>
    </row>
    <row r="93" spans="1:31" ht="15.75">
      <c r="A93" s="110"/>
      <c r="B93" s="160">
        <v>2019</v>
      </c>
      <c r="C93" s="122">
        <v>1449.077</v>
      </c>
      <c r="D93" s="122">
        <v>424.00599999999997</v>
      </c>
      <c r="E93" s="122">
        <v>399.60899999999998</v>
      </c>
      <c r="F93" s="122">
        <f ca="1">SUM(OFFSET(F$5,(ROW(F93)-ROW(F$82))*4,0):OFFSET(F$8,(ROW(F93)-ROW(F$82))*4,0))</f>
        <v>62.108000000000004</v>
      </c>
      <c r="G93" s="122">
        <v>-3.23</v>
      </c>
      <c r="H93" s="122">
        <v>2269.462</v>
      </c>
      <c r="I93" s="122">
        <v>6.5090000000000003</v>
      </c>
      <c r="J93" s="122">
        <v>2275.971</v>
      </c>
      <c r="K93" s="122">
        <v>699.25</v>
      </c>
      <c r="L93" s="122">
        <v>2975.221</v>
      </c>
      <c r="M93" s="122">
        <v>719.93799999999999</v>
      </c>
      <c r="N93" s="122">
        <v>0</v>
      </c>
      <c r="O93" s="122">
        <v>2255.2829999999999</v>
      </c>
      <c r="P93" s="123">
        <v>2242.2249999999999</v>
      </c>
      <c r="S93" s="124">
        <f>100*(C93/OBR_MAR22_1.1!C93)</f>
        <v>100</v>
      </c>
      <c r="T93" s="124">
        <f>100*(D93/OBR_MAR22_1.1!D93)</f>
        <v>100</v>
      </c>
      <c r="U93" s="124">
        <f>100*(E93/OBR_MAR22_1.1!E93)</f>
        <v>100</v>
      </c>
      <c r="V93" s="124">
        <f>100*(K93/OBR_MAR22_1.1!N93)</f>
        <v>100</v>
      </c>
      <c r="W93" s="124">
        <f>100*(M93/OBR_MAR22_1.1!P93)</f>
        <v>100</v>
      </c>
      <c r="X93" s="124">
        <f>100*(O93/OBR_MAR22_1.1!R93)</f>
        <v>100</v>
      </c>
      <c r="Z93" s="124">
        <f t="shared" si="2"/>
        <v>1.3215238308330601</v>
      </c>
      <c r="AA93" s="124">
        <f t="shared" si="2"/>
        <v>1.9694570022353641</v>
      </c>
      <c r="AB93" s="124">
        <f t="shared" si="2"/>
        <v>2.8390742734122565</v>
      </c>
      <c r="AC93" s="124">
        <f t="shared" si="2"/>
        <v>1.9905777710775174</v>
      </c>
      <c r="AD93" s="124">
        <f t="shared" si="2"/>
        <v>1.134288477971368</v>
      </c>
      <c r="AE93" s="124">
        <f t="shared" si="2"/>
        <v>2.015103155842124</v>
      </c>
    </row>
    <row r="94" spans="1:31" ht="15.75">
      <c r="A94" s="110"/>
      <c r="B94" s="160">
        <v>2020</v>
      </c>
      <c r="C94" s="122">
        <v>1312.9649999999999</v>
      </c>
      <c r="D94" s="122">
        <v>481.05599999999998</v>
      </c>
      <c r="E94" s="122">
        <v>368.23599999999999</v>
      </c>
      <c r="F94" s="122">
        <f ca="1">SUM(OFFSET(F$5,(ROW(F94)-ROW(F$82))*4,0):OFFSET(F$8,(ROW(F94)-ROW(F$82))*4,0))</f>
        <v>65.25200000000001</v>
      </c>
      <c r="G94" s="122">
        <v>0.7</v>
      </c>
      <c r="H94" s="122">
        <v>2162.9569999999999</v>
      </c>
      <c r="I94" s="122">
        <v>-9.4610000000000003</v>
      </c>
      <c r="J94" s="122">
        <v>2153.4960000000001</v>
      </c>
      <c r="K94" s="122">
        <v>605.34199999999998</v>
      </c>
      <c r="L94" s="122">
        <v>2758.8380000000002</v>
      </c>
      <c r="M94" s="122">
        <v>602.48299999999995</v>
      </c>
      <c r="N94" s="122">
        <v>-3.7090000000000001</v>
      </c>
      <c r="O94" s="122">
        <v>2152.6460000000002</v>
      </c>
      <c r="P94" s="123">
        <v>2121.181</v>
      </c>
      <c r="S94" s="124">
        <f>100*(C94/OBR_MAR22_1.1!C94)</f>
        <v>101.20774194344084</v>
      </c>
      <c r="T94" s="124">
        <f>100*(D94/OBR_MAR22_1.1!D94)</f>
        <v>119.90637922396452</v>
      </c>
      <c r="U94" s="124">
        <f>100*(E94/OBR_MAR22_1.1!E94)</f>
        <v>101.74457479788461</v>
      </c>
      <c r="V94" s="124">
        <f>100*(K94/OBR_MAR22_1.1!N94)</f>
        <v>100.58789905018909</v>
      </c>
      <c r="W94" s="124">
        <f>100*(M94/OBR_MAR22_1.1!P94)</f>
        <v>99.537077575026629</v>
      </c>
      <c r="X94" s="124">
        <f>100*(O94/OBR_MAR22_1.1!R94)</f>
        <v>105.34767758994565</v>
      </c>
      <c r="Z94" s="124">
        <f t="shared" si="2"/>
        <v>1.2077419434408432</v>
      </c>
      <c r="AA94" s="124">
        <f t="shared" si="2"/>
        <v>19.906379223964521</v>
      </c>
      <c r="AB94" s="124">
        <f t="shared" si="2"/>
        <v>1.7445747978846127</v>
      </c>
      <c r="AC94" s="124">
        <f t="shared" si="2"/>
        <v>0.58789905018910016</v>
      </c>
      <c r="AD94" s="124">
        <f t="shared" si="2"/>
        <v>-0.46292242497336655</v>
      </c>
      <c r="AE94" s="124">
        <f t="shared" si="2"/>
        <v>5.3476775899456541</v>
      </c>
    </row>
    <row r="95" spans="1:31" ht="15.75">
      <c r="A95" s="110"/>
      <c r="B95" s="160">
        <v>2021</v>
      </c>
      <c r="C95" s="122">
        <v>1424.6210000000001</v>
      </c>
      <c r="D95" s="122">
        <v>521.06799999999998</v>
      </c>
      <c r="E95" s="122">
        <v>394.54</v>
      </c>
      <c r="F95" s="122">
        <f ca="1">SUM(OFFSET(F$5,(ROW(F95)-ROW(F$82))*4,0):OFFSET(F$8,(ROW(F95)-ROW(F$82))*4,0))</f>
        <v>74.088000000000008</v>
      </c>
      <c r="G95" s="122">
        <v>5.61</v>
      </c>
      <c r="H95" s="122">
        <v>2345.8389999999999</v>
      </c>
      <c r="I95" s="122">
        <v>-0.06</v>
      </c>
      <c r="J95" s="122">
        <v>2345.779</v>
      </c>
      <c r="K95" s="122">
        <v>618.96699999999998</v>
      </c>
      <c r="L95" s="122">
        <v>2964.7460000000001</v>
      </c>
      <c r="M95" s="122">
        <v>647.72799999999995</v>
      </c>
      <c r="N95" s="122">
        <v>0.64900000000000002</v>
      </c>
      <c r="O95" s="122">
        <v>2317.6669999999999</v>
      </c>
      <c r="P95" s="123">
        <v>2298.174043</v>
      </c>
      <c r="S95" s="124">
        <f>100*(C95/OBR_MAR22_1.1!C95)</f>
        <v>103.4695112252524</v>
      </c>
      <c r="T95" s="124">
        <f>100*(D95/OBR_MAR22_1.1!D95)</f>
        <v>113.38558689512006</v>
      </c>
      <c r="U95" s="124">
        <f>100*(E95/OBR_MAR22_1.1!E95)</f>
        <v>103.56712543082969</v>
      </c>
      <c r="V95" s="124">
        <f>100*(K95/OBR_MAR22_1.1!N95)</f>
        <v>104.02124902737468</v>
      </c>
      <c r="W95" s="124">
        <f>100*(M95/OBR_MAR22_1.1!P95)</f>
        <v>103.90997104378724</v>
      </c>
      <c r="X95" s="124">
        <f>100*(O95/OBR_MAR22_1.1!R95)</f>
        <v>105.55399443553061</v>
      </c>
      <c r="Z95" s="124">
        <f t="shared" si="2"/>
        <v>2.2347789194580914</v>
      </c>
      <c r="AA95" s="124">
        <f t="shared" si="2"/>
        <v>-5.4382363732831447</v>
      </c>
      <c r="AB95" s="124">
        <f t="shared" si="2"/>
        <v>1.79130006348307</v>
      </c>
      <c r="AC95" s="124">
        <f t="shared" si="2"/>
        <v>3.413283316984761</v>
      </c>
      <c r="AD95" s="124">
        <f t="shared" si="2"/>
        <v>4.3932307189394004</v>
      </c>
      <c r="AE95" s="124">
        <f t="shared" si="2"/>
        <v>0.19584375308967505</v>
      </c>
    </row>
    <row r="96" spans="1:31" ht="15.75">
      <c r="A96" s="110"/>
      <c r="B96" s="129">
        <v>2022</v>
      </c>
      <c r="C96" s="122">
        <v>1583.499802</v>
      </c>
      <c r="D96" s="122">
        <v>525.69033000000013</v>
      </c>
      <c r="E96" s="122">
        <v>429.86350899999996</v>
      </c>
      <c r="F96" s="122">
        <f ca="1">SUM(OFFSET(F$5,(ROW(F96)-ROW(F$82))*4,0):OFFSET(F$8,(ROW(F96)-ROW(F$82))*4,0))</f>
        <v>73.880230799999993</v>
      </c>
      <c r="G96" s="122">
        <v>-3.4362368489999997</v>
      </c>
      <c r="H96" s="122">
        <v>2535.6174041510003</v>
      </c>
      <c r="I96" s="122">
        <v>-4.7151512810000007</v>
      </c>
      <c r="J96" s="122">
        <v>2530.9022528699998</v>
      </c>
      <c r="K96" s="122">
        <v>704.36382300000014</v>
      </c>
      <c r="L96" s="122">
        <v>3235.2660740000001</v>
      </c>
      <c r="M96" s="122">
        <v>762.3651769999999</v>
      </c>
      <c r="N96" s="122">
        <v>1.0768896939999999</v>
      </c>
      <c r="O96" s="122">
        <v>2473.9777869999998</v>
      </c>
      <c r="P96" s="123">
        <v>2438.6877089999998</v>
      </c>
      <c r="S96" s="124">
        <f>100*(C96/OBR_MAR22_1.1!C96)</f>
        <v>109.08299868907432</v>
      </c>
      <c r="T96" s="124">
        <f>100*(D96/OBR_MAR22_1.1!D96)</f>
        <v>111.46542752206162</v>
      </c>
      <c r="U96" s="124">
        <f>100*(E96/OBR_MAR22_1.1!E96)</f>
        <v>106.40565525102281</v>
      </c>
      <c r="V96" s="124">
        <f>100*(K96/OBR_MAR22_1.1!N96)</f>
        <v>110.84278134097548</v>
      </c>
      <c r="W96" s="124">
        <f>100*(M96/OBR_MAR22_1.1!P96)</f>
        <v>112.66793772829078</v>
      </c>
      <c r="X96" s="124">
        <f>100*(O96/OBR_MAR22_1.1!R96)</f>
        <v>108.56407770691744</v>
      </c>
      <c r="Z96" s="124">
        <f t="shared" si="2"/>
        <v>5.4252575443227702</v>
      </c>
      <c r="AA96" s="124">
        <f t="shared" si="2"/>
        <v>-1.6934774742001002</v>
      </c>
      <c r="AB96" s="124">
        <f t="shared" si="2"/>
        <v>2.7407633536077114</v>
      </c>
      <c r="AC96" s="124">
        <f t="shared" si="2"/>
        <v>6.5578258071152584</v>
      </c>
      <c r="AD96" s="124">
        <f t="shared" si="2"/>
        <v>8.4284179819595693</v>
      </c>
      <c r="AE96" s="124">
        <f t="shared" si="2"/>
        <v>2.8517000114337776</v>
      </c>
    </row>
    <row r="97" spans="1:31" ht="15.75">
      <c r="A97" s="110"/>
      <c r="B97" s="160">
        <v>2023</v>
      </c>
      <c r="C97" s="122">
        <v>1661.8579690000001</v>
      </c>
      <c r="D97" s="122">
        <v>536.05509999999992</v>
      </c>
      <c r="E97" s="122">
        <v>462.30914599999994</v>
      </c>
      <c r="F97" s="122">
        <f ca="1">SUM(OFFSET(F$5,(ROW(F97)-ROW(F$82))*4,0):OFFSET(F$8,(ROW(F97)-ROW(F$82))*4,0))</f>
        <v>81.384825899999996</v>
      </c>
      <c r="G97" s="122">
        <v>-3.512596453</v>
      </c>
      <c r="H97" s="122">
        <v>2656.709618547</v>
      </c>
      <c r="I97" s="122">
        <v>-4.3829992020000006</v>
      </c>
      <c r="J97" s="122">
        <v>2652.3266193449995</v>
      </c>
      <c r="K97" s="122">
        <v>730.807773</v>
      </c>
      <c r="L97" s="122">
        <v>3383.1343930000003</v>
      </c>
      <c r="M97" s="122">
        <v>787.63655899999992</v>
      </c>
      <c r="N97" s="122">
        <v>1.1107410849999999</v>
      </c>
      <c r="O97" s="122">
        <v>2596.6085749999997</v>
      </c>
      <c r="P97" s="123">
        <v>2562.6509619999997</v>
      </c>
      <c r="S97" s="124">
        <f>100*(C97/OBR_MAR22_1.1!C97)</f>
        <v>113.33314797483584</v>
      </c>
      <c r="T97" s="124">
        <f>100*(D97/OBR_MAR22_1.1!D97)</f>
        <v>112.27324408212323</v>
      </c>
      <c r="U97" s="124">
        <f>100*(E97/OBR_MAR22_1.1!E97)</f>
        <v>108.75052188446249</v>
      </c>
      <c r="V97" s="124">
        <f>100*(K97/OBR_MAR22_1.1!N97)</f>
        <v>111.86258691912441</v>
      </c>
      <c r="W97" s="124">
        <f>100*(M97/OBR_MAR22_1.1!P97)</f>
        <v>113.08309067548265</v>
      </c>
      <c r="X97" s="124">
        <f>100*(O97/OBR_MAR22_1.1!R97)</f>
        <v>111.97330383006705</v>
      </c>
      <c r="Z97" s="124">
        <f t="shared" si="2"/>
        <v>3.8962527037563088</v>
      </c>
      <c r="AA97" s="124">
        <f t="shared" si="2"/>
        <v>0.72472387001047966</v>
      </c>
      <c r="AB97" s="124">
        <f t="shared" si="2"/>
        <v>2.2037048951090821</v>
      </c>
      <c r="AC97" s="124">
        <f t="shared" si="2"/>
        <v>0.92004690410265599</v>
      </c>
      <c r="AD97" s="124">
        <f t="shared" si="2"/>
        <v>0.36847479022208418</v>
      </c>
      <c r="AE97" s="124">
        <f t="shared" si="2"/>
        <v>3.1402893067016491</v>
      </c>
    </row>
    <row r="98" spans="1:31" ht="15.75">
      <c r="A98" s="110"/>
      <c r="B98" s="129">
        <v>2024</v>
      </c>
      <c r="C98" s="122">
        <v>1713.90897</v>
      </c>
      <c r="D98" s="122">
        <v>550.9529</v>
      </c>
      <c r="E98" s="122">
        <v>478.84878200000003</v>
      </c>
      <c r="F98" s="122">
        <f ca="1">SUM(OFFSET(F$5,(ROW(F98)-ROW(F$82))*4,0):OFFSET(F$8,(ROW(F98)-ROW(F$82))*4,0))</f>
        <v>81.473390600000002</v>
      </c>
      <c r="G98" s="122">
        <v>-3.5726831299999993</v>
      </c>
      <c r="H98" s="122">
        <v>2740.1379688699999</v>
      </c>
      <c r="I98" s="122">
        <v>-3.3927978130000001</v>
      </c>
      <c r="J98" s="122">
        <v>2736.7451710569999</v>
      </c>
      <c r="K98" s="122">
        <v>741.01068000000009</v>
      </c>
      <c r="L98" s="122">
        <v>3477.7558509999999</v>
      </c>
      <c r="M98" s="122">
        <v>777.98450500000001</v>
      </c>
      <c r="N98" s="122">
        <v>1.1313950179999999</v>
      </c>
      <c r="O98" s="122">
        <v>2700.9027409999999</v>
      </c>
      <c r="P98" s="123">
        <v>2665.0138049999996</v>
      </c>
      <c r="S98" s="124">
        <f>100*(C98/OBR_MAR22_1.1!C98)</f>
        <v>115.15861725773404</v>
      </c>
      <c r="T98" s="124">
        <f>100*(D98/OBR_MAR22_1.1!D98)</f>
        <v>113.79461029634443</v>
      </c>
      <c r="U98" s="124">
        <f>100*(E98/OBR_MAR22_1.1!E98)</f>
        <v>110.61329244093882</v>
      </c>
      <c r="V98" s="124">
        <f>100*(K98/OBR_MAR22_1.1!N98)</f>
        <v>112.60900452567546</v>
      </c>
      <c r="W98" s="124">
        <f>100*(M98/OBR_MAR22_1.1!P98)</f>
        <v>112.8057518469441</v>
      </c>
      <c r="X98" s="124">
        <f>100*(O98/OBR_MAR22_1.1!R98)</f>
        <v>114.05492953924001</v>
      </c>
      <c r="Z98" s="124">
        <f t="shared" si="2"/>
        <v>1.610710825136108</v>
      </c>
      <c r="AA98" s="124">
        <f t="shared" si="2"/>
        <v>1.3550567872683716</v>
      </c>
      <c r="AB98" s="124">
        <f t="shared" si="2"/>
        <v>1.7128842457007742</v>
      </c>
      <c r="AC98" s="124">
        <f t="shared" si="2"/>
        <v>0.66726295816017522</v>
      </c>
      <c r="AD98" s="124">
        <f t="shared" si="2"/>
        <v>-0.24525225379136151</v>
      </c>
      <c r="AE98" s="124">
        <f t="shared" si="2"/>
        <v>1.8590375008779469</v>
      </c>
    </row>
    <row r="99" spans="1:31" ht="15.75">
      <c r="A99" s="110"/>
      <c r="B99" s="129">
        <v>2025</v>
      </c>
      <c r="C99" s="122">
        <v>1766.8117570000002</v>
      </c>
      <c r="D99" s="122">
        <v>570.01700000000005</v>
      </c>
      <c r="E99" s="122">
        <v>504.46629099999996</v>
      </c>
      <c r="F99" s="122">
        <f ca="1">SUM(OFFSET(F$5,(ROW(F99)-ROW(F$82))*4,0):OFFSET(F$8,(ROW(F99)-ROW(F$82))*4,0))</f>
        <v>84.249970200000007</v>
      </c>
      <c r="G99" s="122">
        <v>-3.633074412</v>
      </c>
      <c r="H99" s="122">
        <v>2837.6619735879999</v>
      </c>
      <c r="I99" s="122">
        <v>-2.4031184110000003</v>
      </c>
      <c r="J99" s="122">
        <v>2835.258855177</v>
      </c>
      <c r="K99" s="122">
        <v>747.76063499999998</v>
      </c>
      <c r="L99" s="122">
        <v>3583.0194910000005</v>
      </c>
      <c r="M99" s="122">
        <v>783.20648200000005</v>
      </c>
      <c r="N99" s="122">
        <v>1.1528032530000001</v>
      </c>
      <c r="O99" s="122">
        <v>2800.9658119999999</v>
      </c>
      <c r="P99" s="123">
        <v>2763.3212130000002</v>
      </c>
      <c r="S99" s="124">
        <f>100*(C99/OBR_MAR22_1.1!C99)</f>
        <v>117.37374518324839</v>
      </c>
      <c r="T99" s="124">
        <f>100*(D99/OBR_MAR22_1.1!D99)</f>
        <v>115.85525542748816</v>
      </c>
      <c r="U99" s="124">
        <f>100*(E99/OBR_MAR22_1.1!E99)</f>
        <v>112.48488511208545</v>
      </c>
      <c r="V99" s="124">
        <f>100*(K99/OBR_MAR22_1.1!N99)</f>
        <v>113.98669837835061</v>
      </c>
      <c r="W99" s="124">
        <f>100*(M99/OBR_MAR22_1.1!P99)</f>
        <v>114.011607941401</v>
      </c>
      <c r="X99" s="124">
        <f>100*(O99/OBR_MAR22_1.1!R99)</f>
        <v>116.21290348021023</v>
      </c>
      <c r="Z99" s="124">
        <f t="shared" si="2"/>
        <v>1.923545087864964</v>
      </c>
      <c r="AA99" s="124">
        <f t="shared" si="2"/>
        <v>1.8108459845131319</v>
      </c>
      <c r="AB99" s="124">
        <f t="shared" si="2"/>
        <v>1.6920142505892244</v>
      </c>
      <c r="AC99" s="124">
        <f t="shared" si="2"/>
        <v>1.2234313396856544</v>
      </c>
      <c r="AD99" s="124">
        <f t="shared" si="2"/>
        <v>1.068966852056441</v>
      </c>
      <c r="AE99" s="124">
        <f t="shared" si="2"/>
        <v>1.8920479366284493</v>
      </c>
    </row>
    <row r="100" spans="1:31" ht="15.75">
      <c r="A100" s="110"/>
      <c r="B100" s="158">
        <v>2026</v>
      </c>
      <c r="C100" s="131">
        <v>1823.7883179999999</v>
      </c>
      <c r="D100" s="131">
        <v>593.10026000000005</v>
      </c>
      <c r="E100" s="131">
        <v>530.14685999999995</v>
      </c>
      <c r="F100" s="131">
        <f ca="1">SUM(OFFSET(F$5,(ROW(F100)-ROW(F$82))*4,0):OFFSET(F$8,(ROW(F100)-ROW(F$82))*4,0))</f>
        <v>87.570953499999987</v>
      </c>
      <c r="G100" s="131">
        <v>-3.6997304070000001</v>
      </c>
      <c r="H100" s="131">
        <v>2943.3357075929998</v>
      </c>
      <c r="I100" s="131">
        <v>-1.742749237</v>
      </c>
      <c r="J100" s="131">
        <v>2941.5929583560005</v>
      </c>
      <c r="K100" s="131">
        <v>755.4395770000001</v>
      </c>
      <c r="L100" s="131">
        <v>3697.0325339999999</v>
      </c>
      <c r="M100" s="131">
        <v>793.94071299999996</v>
      </c>
      <c r="N100" s="131">
        <v>1.1758634589999999</v>
      </c>
      <c r="O100" s="131">
        <v>2904.2676839999995</v>
      </c>
      <c r="P100" s="132">
        <v>2864.510777</v>
      </c>
      <c r="S100" s="124">
        <f>100*(C100/OBR_MAR22_1.1!C100)</f>
        <v>119.73362536515289</v>
      </c>
      <c r="T100" s="124">
        <f>100*(D100/OBR_MAR22_1.1!D100)</f>
        <v>118.16207329190742</v>
      </c>
      <c r="U100" s="124">
        <f>100*(E100/OBR_MAR22_1.1!E100)</f>
        <v>114.54743827713412</v>
      </c>
      <c r="V100" s="124">
        <f>100*(K100/OBR_MAR22_1.1!N100)</f>
        <v>115.59817160511972</v>
      </c>
      <c r="W100" s="124">
        <f>100*(M100/OBR_MAR22_1.1!P100)</f>
        <v>115.49021873050684</v>
      </c>
      <c r="X100" s="124">
        <f>100*(O100/OBR_MAR22_1.1!R100)</f>
        <v>118.53785971090403</v>
      </c>
      <c r="Z100" s="124">
        <f t="shared" si="2"/>
        <v>2.0105690401376997</v>
      </c>
      <c r="AA100" s="124">
        <f t="shared" si="2"/>
        <v>1.9911206064044729</v>
      </c>
      <c r="AB100" s="124">
        <f t="shared" si="2"/>
        <v>1.8336269472946976</v>
      </c>
      <c r="AC100" s="124">
        <f t="shared" si="2"/>
        <v>1.4137379621438129</v>
      </c>
      <c r="AD100" s="124">
        <f t="shared" si="2"/>
        <v>1.2968949528944451</v>
      </c>
      <c r="AE100" s="124">
        <f t="shared" si="2"/>
        <v>2.0006007603877718</v>
      </c>
    </row>
    <row r="101" spans="1:31" ht="15.75">
      <c r="A101" s="110"/>
      <c r="B101" s="161" t="s">
        <v>196</v>
      </c>
      <c r="C101" s="122">
        <v>1020.7619999999999</v>
      </c>
      <c r="D101" s="122">
        <v>330.245</v>
      </c>
      <c r="E101" s="122">
        <v>273.37799999999999</v>
      </c>
      <c r="F101" s="122">
        <f ca="1">SUM(OFFSET(F$6,(ROW(F101)-ROW(F$101))*4,0):OFFSET(F$9,(ROW(F101)-ROW(F$101))*4,0))</f>
        <v>48.402999999999999</v>
      </c>
      <c r="G101" s="122">
        <v>0.95699999999999996</v>
      </c>
      <c r="H101" s="122">
        <v>1625.3420000000001</v>
      </c>
      <c r="I101" s="122">
        <v>-13.968999999999999</v>
      </c>
      <c r="J101" s="122">
        <v>1611.373</v>
      </c>
      <c r="K101" s="122">
        <v>432.40199999999999</v>
      </c>
      <c r="L101" s="122">
        <v>2043.7750000000001</v>
      </c>
      <c r="M101" s="122">
        <v>459.767</v>
      </c>
      <c r="N101" s="122">
        <v>0</v>
      </c>
      <c r="O101" s="122">
        <v>1584.008</v>
      </c>
      <c r="P101" s="155">
        <v>1561.482</v>
      </c>
      <c r="S101" s="124">
        <f>100*(C101/OBR_MAR22_1.1!C101)</f>
        <v>85.310331225011026</v>
      </c>
      <c r="T101" s="124">
        <f>100*(D101/OBR_MAR22_1.1!D101)</f>
        <v>88.433925936637237</v>
      </c>
      <c r="U101" s="124">
        <f>100*(E101/OBR_MAR22_1.1!E101)</f>
        <v>83.172491846371017</v>
      </c>
      <c r="V101" s="124">
        <f>100*(K101/OBR_MAR22_1.1!N101)</f>
        <v>80.590672474237749</v>
      </c>
      <c r="W101" s="124">
        <f>100*(M101/OBR_MAR22_1.1!P101)</f>
        <v>87.613884310119772</v>
      </c>
      <c r="X101" s="124">
        <f>100*(O101/OBR_MAR22_1.1!R101)</f>
        <v>83.392279724933232</v>
      </c>
    </row>
    <row r="102" spans="1:31" ht="15.75">
      <c r="A102" s="110"/>
      <c r="B102" s="160" t="s">
        <v>197</v>
      </c>
      <c r="C102" s="122">
        <v>1006.9930000000001</v>
      </c>
      <c r="D102" s="122">
        <v>344.43799999999999</v>
      </c>
      <c r="E102" s="122">
        <v>246.50399999999999</v>
      </c>
      <c r="F102" s="122">
        <f ca="1">SUM(OFFSET(F$6,(ROW(F102)-ROW(F$101))*4,0):OFFSET(F$9,(ROW(F102)-ROW(F$101))*4,0))</f>
        <v>50.902999999999999</v>
      </c>
      <c r="G102" s="122">
        <v>1.07</v>
      </c>
      <c r="H102" s="122">
        <v>1599.0050000000001</v>
      </c>
      <c r="I102" s="122">
        <v>-8.5069999999999997</v>
      </c>
      <c r="J102" s="122">
        <v>1590.498</v>
      </c>
      <c r="K102" s="122">
        <v>415.31400000000002</v>
      </c>
      <c r="L102" s="122">
        <v>2005.8119999999999</v>
      </c>
      <c r="M102" s="122">
        <v>439.68599999999998</v>
      </c>
      <c r="N102" s="122">
        <v>0</v>
      </c>
      <c r="O102" s="122">
        <v>1566.126</v>
      </c>
      <c r="P102" s="155">
        <v>1560.7059999999999</v>
      </c>
      <c r="S102" s="124">
        <f>100*(C102/OBR_MAR22_1.1!C102)</f>
        <v>85.256601294351526</v>
      </c>
      <c r="T102" s="124">
        <f>100*(D102/OBR_MAR22_1.1!D102)</f>
        <v>90.457094084433066</v>
      </c>
      <c r="U102" s="124">
        <f>100*(E102/OBR_MAR22_1.1!E102)</f>
        <v>83.555013219442756</v>
      </c>
      <c r="V102" s="124">
        <f>100*(K102/OBR_MAR22_1.1!N102)</f>
        <v>82.564933451288738</v>
      </c>
      <c r="W102" s="124">
        <f>100*(M102/OBR_MAR22_1.1!P102)</f>
        <v>86.973189171226124</v>
      </c>
      <c r="X102" s="124">
        <f>100*(O102/OBR_MAR22_1.1!R102)</f>
        <v>84.715676278003016</v>
      </c>
    </row>
    <row r="103" spans="1:31" ht="15.75">
      <c r="A103" s="110"/>
      <c r="B103" s="160" t="s">
        <v>198</v>
      </c>
      <c r="C103" s="122">
        <v>1048.8889999999999</v>
      </c>
      <c r="D103" s="122">
        <v>350.18599999999998</v>
      </c>
      <c r="E103" s="122">
        <v>256.221</v>
      </c>
      <c r="F103" s="122">
        <f ca="1">SUM(OFFSET(F$6,(ROW(F103)-ROW(F$101))*4,0):OFFSET(F$9,(ROW(F103)-ROW(F$101))*4,0))</f>
        <v>50.692</v>
      </c>
      <c r="G103" s="122">
        <v>-0.76800000000000002</v>
      </c>
      <c r="H103" s="122">
        <v>1654.528</v>
      </c>
      <c r="I103" s="122">
        <v>3.5830000000000002</v>
      </c>
      <c r="J103" s="122">
        <v>1658.1110000000001</v>
      </c>
      <c r="K103" s="122">
        <v>471.82100000000003</v>
      </c>
      <c r="L103" s="122">
        <v>2129.9319999999998</v>
      </c>
      <c r="M103" s="122">
        <v>497.02499999999998</v>
      </c>
      <c r="N103" s="122">
        <v>0</v>
      </c>
      <c r="O103" s="122">
        <v>1632.9069999999999</v>
      </c>
      <c r="P103" s="155">
        <v>1634.9770000000001</v>
      </c>
      <c r="S103" s="124">
        <f>100*(C103/OBR_MAR22_1.1!C103)</f>
        <v>87.077682508899628</v>
      </c>
      <c r="T103" s="124">
        <f>100*(D103/OBR_MAR22_1.1!D103)</f>
        <v>91.666688480476196</v>
      </c>
      <c r="U103" s="124">
        <f>100*(E103/OBR_MAR22_1.1!E103)</f>
        <v>83.275697319925385</v>
      </c>
      <c r="V103" s="124">
        <f>100*(K103/OBR_MAR22_1.1!N103)</f>
        <v>86.93924105678623</v>
      </c>
      <c r="W103" s="124">
        <f>100*(M103/OBR_MAR22_1.1!P103)</f>
        <v>91.414966286679103</v>
      </c>
      <c r="X103" s="124">
        <f>100*(O103/OBR_MAR22_1.1!R103)</f>
        <v>86.130373894628008</v>
      </c>
    </row>
    <row r="104" spans="1:31" ht="15.75">
      <c r="A104" s="110"/>
      <c r="B104" s="160" t="s">
        <v>199</v>
      </c>
      <c r="C104" s="122">
        <v>1080.4580000000001</v>
      </c>
      <c r="D104" s="122">
        <v>350.47800000000001</v>
      </c>
      <c r="E104" s="122">
        <v>264.863</v>
      </c>
      <c r="F104" s="122">
        <f ca="1">SUM(OFFSET(F$6,(ROW(F104)-ROW(F$101))*4,0):OFFSET(F$9,(ROW(F104)-ROW(F$101))*4,0))</f>
        <v>47.305000000000007</v>
      </c>
      <c r="G104" s="122">
        <v>1.546</v>
      </c>
      <c r="H104" s="122">
        <v>1697.345</v>
      </c>
      <c r="I104" s="122">
        <v>-2.6080000000000001</v>
      </c>
      <c r="J104" s="122">
        <v>1694.7370000000001</v>
      </c>
      <c r="K104" s="122">
        <v>519.74599999999998</v>
      </c>
      <c r="L104" s="122">
        <v>2214.4830000000002</v>
      </c>
      <c r="M104" s="122">
        <v>537.70500000000004</v>
      </c>
      <c r="N104" s="122">
        <v>0</v>
      </c>
      <c r="O104" s="122">
        <v>1676.778</v>
      </c>
      <c r="P104" s="155">
        <v>1678.077</v>
      </c>
      <c r="S104" s="124">
        <f>100*(C104/OBR_MAR22_1.1!C104)</f>
        <v>90.029313784144577</v>
      </c>
      <c r="T104" s="124">
        <f>100*(D104/OBR_MAR22_1.1!D104)</f>
        <v>90.627424209513762</v>
      </c>
      <c r="U104" s="124">
        <f>100*(E104/OBR_MAR22_1.1!E104)</f>
        <v>84.751549515706344</v>
      </c>
      <c r="V104" s="124">
        <f>100*(K104/OBR_MAR22_1.1!N104)</f>
        <v>90.753464722429328</v>
      </c>
      <c r="W104" s="124">
        <f>100*(M104/OBR_MAR22_1.1!P104)</f>
        <v>96.922028692402961</v>
      </c>
      <c r="X104" s="124">
        <f>100*(O104/OBR_MAR22_1.1!R104)</f>
        <v>87.430273337900957</v>
      </c>
    </row>
    <row r="105" spans="1:31" ht="15.75">
      <c r="A105" s="110"/>
      <c r="B105" s="160" t="s">
        <v>200</v>
      </c>
      <c r="C105" s="122">
        <v>1123.579</v>
      </c>
      <c r="D105" s="122">
        <v>355.39499999999998</v>
      </c>
      <c r="E105" s="122">
        <v>268.84699999999998</v>
      </c>
      <c r="F105" s="122">
        <f ca="1">SUM(OFFSET(F$6,(ROW(F105)-ROW(F$101))*4,0):OFFSET(F$9,(ROW(F105)-ROW(F$101))*4,0))</f>
        <v>44.716999999999999</v>
      </c>
      <c r="G105" s="122">
        <v>2.641</v>
      </c>
      <c r="H105" s="122">
        <v>1750.462</v>
      </c>
      <c r="I105" s="122">
        <v>5.9420000000000002</v>
      </c>
      <c r="J105" s="122">
        <v>1756.404</v>
      </c>
      <c r="K105" s="122">
        <v>516.30100000000004</v>
      </c>
      <c r="L105" s="122">
        <v>2272.7049999999999</v>
      </c>
      <c r="M105" s="122">
        <v>536.32799999999997</v>
      </c>
      <c r="N105" s="122">
        <v>0</v>
      </c>
      <c r="O105" s="122">
        <v>1736.377</v>
      </c>
      <c r="P105" s="155">
        <v>1708.85</v>
      </c>
      <c r="S105" s="124">
        <f>100*(C105/OBR_MAR22_1.1!C105)</f>
        <v>91.619840681567808</v>
      </c>
      <c r="T105" s="124">
        <f>100*(D105/OBR_MAR22_1.1!D105)</f>
        <v>91.78660991691568</v>
      </c>
      <c r="U105" s="124">
        <f>100*(E105/OBR_MAR22_1.1!E105)</f>
        <v>86.582396702199603</v>
      </c>
      <c r="V105" s="124">
        <f>100*(K105/OBR_MAR22_1.1!N105)</f>
        <v>90.790489437690908</v>
      </c>
      <c r="W105" s="124">
        <f>100*(M105/OBR_MAR22_1.1!P105)</f>
        <v>95.731829216050258</v>
      </c>
      <c r="X105" s="124">
        <f>100*(O105/OBR_MAR22_1.1!R105)</f>
        <v>89.194088578854902</v>
      </c>
    </row>
    <row r="106" spans="1:31">
      <c r="B106" s="160" t="s">
        <v>201</v>
      </c>
      <c r="C106" s="122">
        <v>1173.2829999999999</v>
      </c>
      <c r="D106" s="122">
        <v>363.29199999999997</v>
      </c>
      <c r="E106" s="122">
        <v>292.88200000000001</v>
      </c>
      <c r="F106" s="122">
        <f ca="1">SUM(OFFSET(F$6,(ROW(F106)-ROW(F$101))*4,0):OFFSET(F$9,(ROW(F106)-ROW(F$101))*4,0))</f>
        <v>48.787999999999997</v>
      </c>
      <c r="G106" s="122">
        <v>7.6680000000000001</v>
      </c>
      <c r="H106" s="122">
        <v>1837.125</v>
      </c>
      <c r="I106" s="122">
        <v>8.8949999999999996</v>
      </c>
      <c r="J106" s="122">
        <v>1846.02</v>
      </c>
      <c r="K106" s="122">
        <v>530.197</v>
      </c>
      <c r="L106" s="122">
        <v>2376.2170000000001</v>
      </c>
      <c r="M106" s="122">
        <v>559.62699999999995</v>
      </c>
      <c r="N106" s="122">
        <v>0</v>
      </c>
      <c r="O106" s="122">
        <v>1816.59</v>
      </c>
      <c r="P106" s="155">
        <v>1785.192</v>
      </c>
      <c r="S106" s="124">
        <f>100*(C106/OBR_MAR22_1.1!C106)</f>
        <v>93.423921265736098</v>
      </c>
      <c r="T106" s="124">
        <f>100*(D106/OBR_MAR22_1.1!D106)</f>
        <v>93.222069970695841</v>
      </c>
      <c r="U106" s="124">
        <f>100*(E106/OBR_MAR22_1.1!E106)</f>
        <v>88.165685817065281</v>
      </c>
      <c r="V106" s="124">
        <f>100*(K106/OBR_MAR22_1.1!N106)</f>
        <v>92.293726184445759</v>
      </c>
      <c r="W106" s="124">
        <f>100*(M106/OBR_MAR22_1.1!P106)</f>
        <v>95.221298867472498</v>
      </c>
      <c r="X106" s="124">
        <f>100*(O106/OBR_MAR22_1.1!R106)</f>
        <v>91.239576275570542</v>
      </c>
    </row>
    <row r="107" spans="1:31">
      <c r="B107" s="160" t="s">
        <v>202</v>
      </c>
      <c r="C107" s="122">
        <v>1219.6690000000001</v>
      </c>
      <c r="D107" s="122">
        <v>371.673</v>
      </c>
      <c r="E107" s="122">
        <v>315.447</v>
      </c>
      <c r="F107" s="122">
        <f ca="1">SUM(OFFSET(F$6,(ROW(F107)-ROW(F$101))*4,0):OFFSET(F$9,(ROW(F107)-ROW(F$101))*4,0))</f>
        <v>50.732999999999997</v>
      </c>
      <c r="G107" s="122">
        <v>6.8390000000000004</v>
      </c>
      <c r="H107" s="122">
        <v>1913.6279999999999</v>
      </c>
      <c r="I107" s="122">
        <v>15.548</v>
      </c>
      <c r="J107" s="122">
        <v>1929.1759999999999</v>
      </c>
      <c r="K107" s="122">
        <v>528.35299999999995</v>
      </c>
      <c r="L107" s="122">
        <v>2457.529</v>
      </c>
      <c r="M107" s="122">
        <v>566.06700000000001</v>
      </c>
      <c r="N107" s="122">
        <v>0</v>
      </c>
      <c r="O107" s="122">
        <v>1891.462</v>
      </c>
      <c r="P107" s="155">
        <v>1849.42</v>
      </c>
      <c r="S107" s="124">
        <f>100*(C107/OBR_MAR22_1.1!C107)</f>
        <v>94.421284307646104</v>
      </c>
      <c r="T107" s="124">
        <f>100*(D107/OBR_MAR22_1.1!D107)</f>
        <v>93.777486217467555</v>
      </c>
      <c r="U107" s="124">
        <f>100*(E107/OBR_MAR22_1.1!E107)</f>
        <v>89.766596093429854</v>
      </c>
      <c r="V107" s="124">
        <f>100*(K107/OBR_MAR22_1.1!N107)</f>
        <v>90.067181365822222</v>
      </c>
      <c r="W107" s="124">
        <f>100*(M107/OBR_MAR22_1.1!P107)</f>
        <v>91.244469160279507</v>
      </c>
      <c r="X107" s="124">
        <f>100*(O107/OBR_MAR22_1.1!R107)</f>
        <v>92.286426913926718</v>
      </c>
    </row>
    <row r="108" spans="1:31">
      <c r="B108" s="160" t="s">
        <v>203</v>
      </c>
      <c r="C108" s="122">
        <v>1260.732</v>
      </c>
      <c r="D108" s="122">
        <v>377.29899999999998</v>
      </c>
      <c r="E108" s="122">
        <v>337.50700000000001</v>
      </c>
      <c r="F108" s="122">
        <f ca="1">SUM(OFFSET(F$6,(ROW(F108)-ROW(F$101))*4,0):OFFSET(F$9,(ROW(F108)-ROW(F$101))*4,0))</f>
        <v>50.136999999999993</v>
      </c>
      <c r="G108" s="122">
        <v>-1.3460000000000001</v>
      </c>
      <c r="H108" s="122">
        <v>1974.192</v>
      </c>
      <c r="I108" s="122">
        <v>2.6230000000000002</v>
      </c>
      <c r="J108" s="122">
        <v>1976.8150000000001</v>
      </c>
      <c r="K108" s="122">
        <v>529.30700000000002</v>
      </c>
      <c r="L108" s="122">
        <v>2506.1219999999998</v>
      </c>
      <c r="M108" s="122">
        <v>554.43700000000001</v>
      </c>
      <c r="N108" s="122">
        <v>0</v>
      </c>
      <c r="O108" s="122">
        <v>1951.6849999999999</v>
      </c>
      <c r="P108" s="155">
        <v>1900.7909999999999</v>
      </c>
      <c r="S108" s="124">
        <f>100*(C108/OBR_MAR22_1.1!C108)</f>
        <v>94.089041632616514</v>
      </c>
      <c r="T108" s="124">
        <f>100*(D108/OBR_MAR22_1.1!D108)</f>
        <v>93.592389551757492</v>
      </c>
      <c r="U108" s="124">
        <f>100*(E108/OBR_MAR22_1.1!E108)</f>
        <v>90.953850299804628</v>
      </c>
      <c r="V108" s="124">
        <f>100*(K108/OBR_MAR22_1.1!N108)</f>
        <v>87.104349400167862</v>
      </c>
      <c r="W108" s="124">
        <f>100*(M108/OBR_MAR22_1.1!P108)</f>
        <v>86.870897841063822</v>
      </c>
      <c r="X108" s="124">
        <f>100*(O108/OBR_MAR22_1.1!R108)</f>
        <v>92.858495449579976</v>
      </c>
    </row>
    <row r="109" spans="1:31">
      <c r="B109" s="160" t="s">
        <v>204</v>
      </c>
      <c r="C109" s="122">
        <v>1321.664</v>
      </c>
      <c r="D109" s="122">
        <v>384.51100000000002</v>
      </c>
      <c r="E109" s="122">
        <v>361.05399999999997</v>
      </c>
      <c r="F109" s="122">
        <f ca="1">SUM(OFFSET(F$6,(ROW(F109)-ROW(F$101))*4,0):OFFSET(F$9,(ROW(F109)-ROW(F$101))*4,0))</f>
        <v>53.257000000000005</v>
      </c>
      <c r="G109" s="122">
        <v>-0.17399999999999999</v>
      </c>
      <c r="H109" s="122">
        <v>2067.0549999999998</v>
      </c>
      <c r="I109" s="122">
        <v>5.8479999999999999</v>
      </c>
      <c r="J109" s="122">
        <v>2072.9029999999998</v>
      </c>
      <c r="K109" s="122">
        <v>590.65499999999997</v>
      </c>
      <c r="L109" s="122">
        <v>2663.558</v>
      </c>
      <c r="M109" s="122">
        <v>622.90499999999997</v>
      </c>
      <c r="N109" s="122">
        <v>0</v>
      </c>
      <c r="O109" s="122">
        <v>2040.653</v>
      </c>
      <c r="P109" s="155">
        <v>2000.425</v>
      </c>
      <c r="S109" s="124">
        <f>100*(C109/OBR_MAR22_1.1!C109)</f>
        <v>95.530604308788298</v>
      </c>
      <c r="T109" s="124">
        <f>100*(D109/OBR_MAR22_1.1!D109)</f>
        <v>95.428734519643612</v>
      </c>
      <c r="U109" s="124">
        <f>100*(E109/OBR_MAR22_1.1!E109)</f>
        <v>92.960038311315472</v>
      </c>
      <c r="V109" s="124">
        <f>100*(K109/OBR_MAR22_1.1!N109)</f>
        <v>93.398217914153108</v>
      </c>
      <c r="W109" s="124">
        <f>100*(M109/OBR_MAR22_1.1!P109)</f>
        <v>93.613475182634232</v>
      </c>
      <c r="X109" s="124">
        <f>100*(O109/OBR_MAR22_1.1!R109)</f>
        <v>94.93815874256498</v>
      </c>
    </row>
    <row r="110" spans="1:31">
      <c r="B110" s="160" t="s">
        <v>205</v>
      </c>
      <c r="C110" s="122">
        <v>1366.1869999999999</v>
      </c>
      <c r="D110" s="122">
        <v>390.63299999999998</v>
      </c>
      <c r="E110" s="122">
        <v>381.334</v>
      </c>
      <c r="F110" s="122">
        <f ca="1">SUM(OFFSET(F$6,(ROW(F110)-ROW(F$101))*4,0):OFFSET(F$9,(ROW(F110)-ROW(F$101))*4,0))</f>
        <v>55.759</v>
      </c>
      <c r="G110" s="122">
        <v>1.6259999999999999</v>
      </c>
      <c r="H110" s="122">
        <v>2139.7800000000002</v>
      </c>
      <c r="I110" s="122">
        <v>1.101</v>
      </c>
      <c r="J110" s="122">
        <v>2140.8809999999999</v>
      </c>
      <c r="K110" s="122">
        <v>636.60900000000004</v>
      </c>
      <c r="L110" s="122">
        <v>2777.49</v>
      </c>
      <c r="M110" s="122">
        <v>662.85599999999999</v>
      </c>
      <c r="N110" s="122">
        <v>0</v>
      </c>
      <c r="O110" s="122">
        <v>2114.634</v>
      </c>
      <c r="P110" s="155">
        <v>2083.56</v>
      </c>
      <c r="S110" s="124">
        <f>100*(C110/OBR_MAR22_1.1!C110)</f>
        <v>97.28535528861525</v>
      </c>
      <c r="T110" s="124">
        <f>100*(D110/OBR_MAR22_1.1!D110)</f>
        <v>96.232564556101352</v>
      </c>
      <c r="U110" s="124">
        <f>100*(E110/OBR_MAR22_1.1!E110)</f>
        <v>95.666419138602336</v>
      </c>
      <c r="V110" s="124">
        <f>100*(K110/OBR_MAR22_1.1!N110)</f>
        <v>95.758324207891604</v>
      </c>
      <c r="W110" s="124">
        <f>100*(M110/OBR_MAR22_1.1!P110)</f>
        <v>96.985906920123597</v>
      </c>
      <c r="X110" s="124">
        <f>100*(O110/OBR_MAR22_1.1!R110)</f>
        <v>96.572388395059022</v>
      </c>
    </row>
    <row r="111" spans="1:31">
      <c r="B111" s="160" t="s">
        <v>206</v>
      </c>
      <c r="C111" s="122">
        <v>1423.4169999999999</v>
      </c>
      <c r="D111" s="122">
        <v>403.68200000000002</v>
      </c>
      <c r="E111" s="122">
        <v>390.66199999999998</v>
      </c>
      <c r="F111" s="122">
        <f ca="1">SUM(OFFSET(F$6,(ROW(F111)-ROW(F$101))*4,0):OFFSET(F$9,(ROW(F111)-ROW(F$101))*4,0))</f>
        <v>59.28</v>
      </c>
      <c r="G111" s="122">
        <v>13.808</v>
      </c>
      <c r="H111" s="122">
        <v>2231.569</v>
      </c>
      <c r="I111" s="122">
        <v>9.3379999999999992</v>
      </c>
      <c r="J111" s="122">
        <v>2240.9070000000002</v>
      </c>
      <c r="K111" s="122">
        <v>670.2</v>
      </c>
      <c r="L111" s="122">
        <v>2911.107</v>
      </c>
      <c r="M111" s="122">
        <v>715.36199999999997</v>
      </c>
      <c r="N111" s="122">
        <v>0</v>
      </c>
      <c r="O111" s="122">
        <v>2195.7449999999999</v>
      </c>
      <c r="P111" s="155">
        <v>2172.0500000000002</v>
      </c>
      <c r="S111" s="124">
        <f>100*(C111/OBR_MAR22_1.1!C111)</f>
        <v>99.0492526512094</v>
      </c>
      <c r="T111" s="124">
        <f>100*(D111/OBR_MAR22_1.1!D111)</f>
        <v>98.164292088874632</v>
      </c>
      <c r="U111" s="124">
        <f>100*(E111/OBR_MAR22_1.1!E111)</f>
        <v>97.849456979120745</v>
      </c>
      <c r="V111" s="124">
        <f>100*(K111/OBR_MAR22_1.1!N111)</f>
        <v>98.839207103680877</v>
      </c>
      <c r="W111" s="124">
        <f>100*(M111/OBR_MAR22_1.1!P111)</f>
        <v>99.285919498353252</v>
      </c>
      <c r="X111" s="124">
        <f>100*(O111/OBR_MAR22_1.1!R111)</f>
        <v>98.457322806682427</v>
      </c>
    </row>
    <row r="112" spans="1:31">
      <c r="B112" s="160" t="s">
        <v>207</v>
      </c>
      <c r="C112" s="122">
        <v>1444.9159999999999</v>
      </c>
      <c r="D112" s="122">
        <v>428.57400000000001</v>
      </c>
      <c r="E112" s="122">
        <v>397.83199999999999</v>
      </c>
      <c r="F112" s="122">
        <f ca="1">SUM(OFFSET(F$6,(ROW(F112)-ROW(F$101))*4,0):OFFSET(F$9,(ROW(F112)-ROW(F$101))*4,0))</f>
        <v>61.680000000000007</v>
      </c>
      <c r="G112" s="122">
        <v>-13.374000000000001</v>
      </c>
      <c r="H112" s="122">
        <v>2257.9479999999999</v>
      </c>
      <c r="I112" s="122">
        <v>-2.11</v>
      </c>
      <c r="J112" s="122">
        <v>2255.8380000000002</v>
      </c>
      <c r="K112" s="122">
        <v>694.02300000000002</v>
      </c>
      <c r="L112" s="122">
        <v>2949.8609999999999</v>
      </c>
      <c r="M112" s="122">
        <v>690.428</v>
      </c>
      <c r="N112" s="122">
        <v>0.81899999999999995</v>
      </c>
      <c r="O112" s="122">
        <v>2260.252</v>
      </c>
      <c r="P112" s="155">
        <v>2239.9009999999998</v>
      </c>
      <c r="S112" s="124">
        <f>100*(C112/OBR_MAR22_1.1!C112)</f>
        <v>100.42647242802929</v>
      </c>
      <c r="T112" s="124">
        <f>100*(D112/OBR_MAR22_1.1!D112)</f>
        <v>101.06494866268294</v>
      </c>
      <c r="U112" s="124">
        <f>100*(E112/OBR_MAR22_1.1!E112)</f>
        <v>100.64103537078356</v>
      </c>
      <c r="V112" s="124">
        <f>100*(K112/OBR_MAR22_1.1!N112)</f>
        <v>100.51414030671728</v>
      </c>
      <c r="W112" s="124">
        <f>100*(M112/OBR_MAR22_1.1!P112)</f>
        <v>100.12384457650667</v>
      </c>
      <c r="X112" s="124">
        <f>100*(O112/OBR_MAR22_1.1!R112)</f>
        <v>100.74871125117286</v>
      </c>
    </row>
    <row r="113" spans="2:24">
      <c r="B113" s="160" t="s">
        <v>208</v>
      </c>
      <c r="C113" s="122">
        <v>1282.6849999999999</v>
      </c>
      <c r="D113" s="122">
        <v>504.07299999999998</v>
      </c>
      <c r="E113" s="122">
        <v>366.82900000000001</v>
      </c>
      <c r="F113" s="122">
        <f ca="1">SUM(OFFSET(F$6,(ROW(F113)-ROW(F$101))*4,0):OFFSET(F$9,(ROW(F113)-ROW(F$101))*4,0))</f>
        <v>70.200999999999993</v>
      </c>
      <c r="G113" s="122">
        <v>8.2959999999999994</v>
      </c>
      <c r="H113" s="122">
        <v>2161.8829999999998</v>
      </c>
      <c r="I113" s="122">
        <v>-6.4470000000000001</v>
      </c>
      <c r="J113" s="122">
        <v>2155.4360000000001</v>
      </c>
      <c r="K113" s="122">
        <v>588.02300000000002</v>
      </c>
      <c r="L113" s="122">
        <v>2743.4589999999998</v>
      </c>
      <c r="M113" s="122">
        <v>592.04499999999996</v>
      </c>
      <c r="N113" s="122">
        <v>-4.67</v>
      </c>
      <c r="O113" s="122">
        <v>2146.7440000000001</v>
      </c>
      <c r="P113" s="155">
        <v>2126.3180000000002</v>
      </c>
      <c r="S113" s="124">
        <f>100*(C113/OBR_MAR22_1.1!C113)</f>
        <v>101.45962133532453</v>
      </c>
      <c r="T113" s="124">
        <f>100*(D113/OBR_MAR22_1.1!D113)</f>
        <v>124.88120661378153</v>
      </c>
      <c r="U113" s="124">
        <f>100*(E113/OBR_MAR22_1.1!E113)</f>
        <v>102.26595409547228</v>
      </c>
      <c r="V113" s="124">
        <f>100*(K113/OBR_MAR22_1.1!N113)</f>
        <v>100.7392394827551</v>
      </c>
      <c r="W113" s="124">
        <f>100*(M113/OBR_MAR22_1.1!P113)</f>
        <v>100.26928385736423</v>
      </c>
      <c r="X113" s="124">
        <f>100*(O113/OBR_MAR22_1.1!R113)</f>
        <v>106.49165624937993</v>
      </c>
    </row>
    <row r="114" spans="2:24">
      <c r="B114" s="160" t="s">
        <v>33</v>
      </c>
      <c r="C114" s="122">
        <v>1481.287446</v>
      </c>
      <c r="D114" s="122">
        <v>520.87897999999996</v>
      </c>
      <c r="E114" s="122">
        <v>400.78491499999996</v>
      </c>
      <c r="F114" s="122">
        <f ca="1">SUM(OFFSET(F$6,(ROW(F114)-ROW(F$101))*4,0):OFFSET(F$9,(ROW(F114)-ROW(F$101))*4,0))</f>
        <v>71.2051661</v>
      </c>
      <c r="G114" s="122">
        <v>-3.6431196969999999</v>
      </c>
      <c r="H114" s="122">
        <v>2399.3082213030002</v>
      </c>
      <c r="I114" s="122">
        <v>-2.0710618699999999</v>
      </c>
      <c r="J114" s="122">
        <v>2397.2371594329998</v>
      </c>
      <c r="K114" s="122">
        <v>641.85199900000009</v>
      </c>
      <c r="L114" s="122">
        <v>3039.0891579999998</v>
      </c>
      <c r="M114" s="122">
        <v>677.13526200000001</v>
      </c>
      <c r="N114" s="122">
        <v>1.0547389199999999</v>
      </c>
      <c r="O114" s="122">
        <v>2363.0086349999997</v>
      </c>
      <c r="P114" s="155">
        <v>2332.7080310000001</v>
      </c>
      <c r="S114" s="124">
        <f>100*(C114/OBR_MAR22_1.1!C114)</f>
        <v>104.29487205276462</v>
      </c>
      <c r="T114" s="124">
        <f>100*(D114/OBR_MAR22_1.1!D114)</f>
        <v>110.98640292022826</v>
      </c>
      <c r="U114" s="124">
        <f>100*(E114/OBR_MAR22_1.1!E114)</f>
        <v>103.98207621325652</v>
      </c>
      <c r="V114" s="124">
        <f>100*(K114/OBR_MAR22_1.1!N114)</f>
        <v>105.85642196512678</v>
      </c>
      <c r="W114" s="124">
        <f>100*(M114/OBR_MAR22_1.1!P114)</f>
        <v>106.12179720277916</v>
      </c>
      <c r="X114" s="124">
        <f>100*(O114/OBR_MAR22_1.1!R114)</f>
        <v>105.54997912145841</v>
      </c>
    </row>
    <row r="115" spans="2:24">
      <c r="B115" s="160" t="s">
        <v>5</v>
      </c>
      <c r="C115" s="122">
        <v>1613.7896560000002</v>
      </c>
      <c r="D115" s="122">
        <v>527.72600999999997</v>
      </c>
      <c r="E115" s="122">
        <v>441.50338099999999</v>
      </c>
      <c r="F115" s="122">
        <f ca="1">SUM(OFFSET(F$6,(ROW(F115)-ROW(F$101))*4,0):OFFSET(F$9,(ROW(F115)-ROW(F$101))*4,0))</f>
        <v>76.289999099999989</v>
      </c>
      <c r="G115" s="122">
        <v>-3.45957062</v>
      </c>
      <c r="H115" s="122">
        <v>2579.55947638</v>
      </c>
      <c r="I115" s="122">
        <v>-5.2127514210000001</v>
      </c>
      <c r="J115" s="122">
        <v>2574.3467249589994</v>
      </c>
      <c r="K115" s="122">
        <v>716.95930199999998</v>
      </c>
      <c r="L115" s="122">
        <v>3291.3060250000003</v>
      </c>
      <c r="M115" s="122">
        <v>779.81240000000003</v>
      </c>
      <c r="N115" s="122">
        <v>1.0893701790000001</v>
      </c>
      <c r="O115" s="122">
        <v>2512.5829950000002</v>
      </c>
      <c r="P115" s="155">
        <v>2478.3383559999997</v>
      </c>
      <c r="S115" s="124">
        <f>100*(C115/OBR_MAR22_1.1!C115)</f>
        <v>110.93119267268395</v>
      </c>
      <c r="T115" s="124">
        <f>100*(D115/OBR_MAR22_1.1!D115)</f>
        <v>111.67925073751599</v>
      </c>
      <c r="U115" s="124">
        <f>100*(E115/OBR_MAR22_1.1!E115)</f>
        <v>107.12399632673117</v>
      </c>
      <c r="V115" s="124">
        <f>100*(K115/OBR_MAR22_1.1!N115)</f>
        <v>111.40750287266179</v>
      </c>
      <c r="W115" s="124">
        <f>100*(M115/OBR_MAR22_1.1!P115)</f>
        <v>113.44827668819362</v>
      </c>
      <c r="X115" s="124">
        <f>100*(O115/OBR_MAR22_1.1!R115)</f>
        <v>109.81968989789657</v>
      </c>
    </row>
    <row r="116" spans="2:24">
      <c r="B116" s="160" t="s">
        <v>6</v>
      </c>
      <c r="C116" s="122">
        <v>1673.6933160000001</v>
      </c>
      <c r="D116" s="122">
        <v>538.99900000000002</v>
      </c>
      <c r="E116" s="122">
        <v>465.63306699999998</v>
      </c>
      <c r="F116" s="122">
        <f ca="1">SUM(OFFSET(F$6,(ROW(F116)-ROW(F$101))*4,0):OFFSET(F$9,(ROW(F116)-ROW(F$101))*4,0))</f>
        <v>81.790999999999997</v>
      </c>
      <c r="G116" s="122">
        <v>-3.52816712</v>
      </c>
      <c r="H116" s="122">
        <v>2674.7972158799998</v>
      </c>
      <c r="I116" s="122">
        <v>-3.6182492600000002</v>
      </c>
      <c r="J116" s="122">
        <v>2671.1789666199998</v>
      </c>
      <c r="K116" s="122">
        <v>733.82467499999996</v>
      </c>
      <c r="L116" s="122">
        <v>3405.003643</v>
      </c>
      <c r="M116" s="122">
        <v>783.78465700000004</v>
      </c>
      <c r="N116" s="122">
        <v>1.115626418</v>
      </c>
      <c r="O116" s="122">
        <v>2622.3346119999997</v>
      </c>
      <c r="P116" s="155">
        <v>2587.8751830000001</v>
      </c>
      <c r="S116" s="124">
        <f>100*(C116/OBR_MAR22_1.1!C116)</f>
        <v>113.68550864474152</v>
      </c>
      <c r="T116" s="124">
        <f>100*(D116/OBR_MAR22_1.1!D116)</f>
        <v>112.51567793546951</v>
      </c>
      <c r="U116" s="124">
        <f>100*(E116/OBR_MAR22_1.1!E116)</f>
        <v>109.23329741039815</v>
      </c>
      <c r="V116" s="124">
        <f>100*(K116/OBR_MAR22_1.1!N116)</f>
        <v>111.98678283183203</v>
      </c>
      <c r="W116" s="124">
        <f>100*(M116/OBR_MAR22_1.1!P116)</f>
        <v>112.74217153443209</v>
      </c>
      <c r="X116" s="124">
        <f>100*(O116/OBR_MAR22_1.1!R116)</f>
        <v>112.46645971333807</v>
      </c>
    </row>
    <row r="117" spans="2:24">
      <c r="B117" s="160" t="s">
        <v>7</v>
      </c>
      <c r="C117" s="122">
        <v>1726.4959659999997</v>
      </c>
      <c r="D117" s="122">
        <v>555.54200000000003</v>
      </c>
      <c r="E117" s="122">
        <v>484.46810700000003</v>
      </c>
      <c r="F117" s="122">
        <f ca="1">SUM(OFFSET(F$6,(ROW(F117)-ROW(F$101))*4,0):OFFSET(F$9,(ROW(F117)-ROW(F$101))*4,0))</f>
        <v>81.588000100000002</v>
      </c>
      <c r="G117" s="122">
        <v>-3.5869448409999993</v>
      </c>
      <c r="H117" s="122">
        <v>2762.9191281590001</v>
      </c>
      <c r="I117" s="122">
        <v>-2.962393772</v>
      </c>
      <c r="J117" s="122">
        <v>2759.9567343869999</v>
      </c>
      <c r="K117" s="122">
        <v>742.78717599999993</v>
      </c>
      <c r="L117" s="122">
        <v>3502.7439100000001</v>
      </c>
      <c r="M117" s="122">
        <v>778.17126600000006</v>
      </c>
      <c r="N117" s="122">
        <v>1.1363137809999999</v>
      </c>
      <c r="O117" s="122">
        <v>2725.7089589999996</v>
      </c>
      <c r="P117" s="155">
        <v>2689.3438370000003</v>
      </c>
      <c r="S117" s="124">
        <f>100*(C117/OBR_MAR22_1.1!C117)</f>
        <v>115.64105579173606</v>
      </c>
      <c r="T117" s="124">
        <f>100*(D117/OBR_MAR22_1.1!D117)</f>
        <v>114.30516288887962</v>
      </c>
      <c r="U117" s="124">
        <f>100*(E117/OBR_MAR22_1.1!E117)</f>
        <v>111.05571022216209</v>
      </c>
      <c r="V117" s="124">
        <f>100*(K117/OBR_MAR22_1.1!N117)</f>
        <v>112.91081480836294</v>
      </c>
      <c r="W117" s="124">
        <f>100*(M117/OBR_MAR22_1.1!P117)</f>
        <v>113.04267705000115</v>
      </c>
      <c r="X117" s="124">
        <f>100*(O117/OBR_MAR22_1.1!R117)</f>
        <v>114.55079918480422</v>
      </c>
    </row>
    <row r="118" spans="2:24">
      <c r="B118" s="160" t="s">
        <v>8</v>
      </c>
      <c r="C118" s="122">
        <v>1780.6711940000002</v>
      </c>
      <c r="D118" s="122">
        <v>575.32599000000005</v>
      </c>
      <c r="E118" s="122">
        <v>511.24194200000005</v>
      </c>
      <c r="F118" s="122">
        <f ca="1">SUM(OFFSET(F$6,(ROW(F118)-ROW(F$101))*4,0):OFFSET(F$9,(ROW(F118)-ROW(F$101))*4,0))</f>
        <v>85.3309991</v>
      </c>
      <c r="G118" s="122">
        <v>-3.6492620860000002</v>
      </c>
      <c r="H118" s="122">
        <v>2863.589863914</v>
      </c>
      <c r="I118" s="122">
        <v>-2.5728109610000001</v>
      </c>
      <c r="J118" s="122">
        <v>2861.0170529530001</v>
      </c>
      <c r="K118" s="122">
        <v>749.607305</v>
      </c>
      <c r="L118" s="122">
        <v>3610.6243580000005</v>
      </c>
      <c r="M118" s="122">
        <v>785.68648900000005</v>
      </c>
      <c r="N118" s="122">
        <v>1.1585068959999998</v>
      </c>
      <c r="O118" s="122">
        <v>2826.0963749999996</v>
      </c>
      <c r="P118" s="155">
        <v>2788.0351390000005</v>
      </c>
      <c r="S118" s="124">
        <f>100*(C118/OBR_MAR22_1.1!C118)</f>
        <v>117.96657254479619</v>
      </c>
      <c r="T118" s="124">
        <f>100*(D118/OBR_MAR22_1.1!D118)</f>
        <v>116.40443286255461</v>
      </c>
      <c r="U118" s="124">
        <f>100*(E118/OBR_MAR22_1.1!E118)</f>
        <v>112.98553249483891</v>
      </c>
      <c r="V118" s="124">
        <f>100*(K118/OBR_MAR22_1.1!N118)</f>
        <v>114.37822748490731</v>
      </c>
      <c r="W118" s="124">
        <f>100*(M118/OBR_MAR22_1.1!P118)</f>
        <v>114.37394258295875</v>
      </c>
      <c r="X118" s="124">
        <f>100*(O118/OBR_MAR22_1.1!R118)</f>
        <v>116.78782390355576</v>
      </c>
    </row>
    <row r="119" spans="2:24">
      <c r="B119" s="303" t="s">
        <v>9</v>
      </c>
      <c r="C119" s="122">
        <v>1838.6251169999998</v>
      </c>
      <c r="D119" s="122">
        <v>599.30699000000004</v>
      </c>
      <c r="E119" s="122">
        <v>536.44923800000004</v>
      </c>
      <c r="F119" s="122">
        <f ca="1">SUM(OFFSET(F$6,(ROW(F119)-ROW(F$101))*4,0):OFFSET(F$9,(ROW(F119)-ROW(F$101))*4,0))</f>
        <v>88.203999900000014</v>
      </c>
      <c r="G119" s="122">
        <v>-3.7169165189999998</v>
      </c>
      <c r="H119" s="122">
        <v>2970.6644284810004</v>
      </c>
      <c r="I119" s="122">
        <v>-1.0632742868999998</v>
      </c>
      <c r="J119" s="122">
        <v>2969.6011541941002</v>
      </c>
      <c r="K119" s="122">
        <v>757.41747899999996</v>
      </c>
      <c r="L119" s="122">
        <v>3727.0186319999998</v>
      </c>
      <c r="M119" s="122">
        <v>796.86655099999996</v>
      </c>
      <c r="N119" s="122">
        <v>1.1816833590000002</v>
      </c>
      <c r="O119" s="122">
        <v>2931.333764</v>
      </c>
      <c r="P119" s="155">
        <v>2891.0613549999998</v>
      </c>
      <c r="S119" s="124">
        <f>100*(C119/OBR_MAR22_1.1!C119)</f>
        <v>120.32774430594473</v>
      </c>
      <c r="T119" s="124">
        <f>100*(D119/OBR_MAR22_1.1!D119)</f>
        <v>118.74251741896056</v>
      </c>
      <c r="U119" s="124">
        <f>100*(E119/OBR_MAR22_1.1!E119)</f>
        <v>115.07966981803828</v>
      </c>
      <c r="V119" s="124">
        <f>100*(K119/OBR_MAR22_1.1!N119)</f>
        <v>116.01728441527284</v>
      </c>
      <c r="W119" s="124">
        <f>100*(M119/OBR_MAR22_1.1!P119)</f>
        <v>115.86966332063709</v>
      </c>
      <c r="X119" s="124">
        <f>100*(O119/OBR_MAR22_1.1!R119)</f>
        <v>119.12451839485712</v>
      </c>
    </row>
    <row r="120" spans="2:24">
      <c r="B120" s="608" t="s">
        <v>209</v>
      </c>
      <c r="C120" s="609"/>
      <c r="D120" s="609"/>
      <c r="E120" s="609"/>
      <c r="F120" s="609"/>
      <c r="G120" s="609"/>
      <c r="H120" s="609"/>
      <c r="I120" s="609"/>
      <c r="J120" s="609"/>
      <c r="K120" s="609"/>
      <c r="L120" s="609"/>
      <c r="M120" s="609"/>
      <c r="N120" s="609"/>
      <c r="O120" s="609"/>
      <c r="P120" s="611"/>
    </row>
    <row r="121" spans="2:24">
      <c r="B121" s="586" t="s">
        <v>236</v>
      </c>
      <c r="C121" s="587"/>
      <c r="D121" s="587"/>
      <c r="E121" s="587"/>
      <c r="F121" s="587"/>
      <c r="G121" s="587"/>
      <c r="H121" s="587"/>
      <c r="I121" s="587"/>
      <c r="J121" s="587"/>
      <c r="K121" s="587"/>
      <c r="L121" s="587"/>
      <c r="M121" s="587"/>
      <c r="N121" s="587"/>
      <c r="O121" s="587"/>
      <c r="P121" s="596"/>
    </row>
    <row r="122" spans="2:24">
      <c r="B122" s="586" t="s">
        <v>237</v>
      </c>
      <c r="C122" s="587"/>
      <c r="D122" s="587"/>
      <c r="E122" s="587"/>
      <c r="F122" s="587"/>
      <c r="G122" s="587"/>
      <c r="H122" s="587"/>
      <c r="I122" s="587"/>
      <c r="J122" s="587"/>
      <c r="K122" s="587"/>
      <c r="L122" s="587"/>
      <c r="M122" s="587"/>
      <c r="N122" s="587"/>
      <c r="O122" s="587"/>
      <c r="P122" s="596"/>
    </row>
    <row r="123" spans="2:24">
      <c r="B123" s="586" t="s">
        <v>238</v>
      </c>
      <c r="C123" s="587"/>
      <c r="D123" s="587"/>
      <c r="E123" s="587"/>
      <c r="F123" s="587"/>
      <c r="G123" s="587"/>
      <c r="H123" s="587"/>
      <c r="I123" s="587"/>
      <c r="J123" s="587"/>
      <c r="K123" s="587"/>
      <c r="L123" s="587"/>
      <c r="M123" s="587"/>
      <c r="N123" s="587"/>
      <c r="O123" s="587"/>
      <c r="P123" s="596"/>
    </row>
    <row r="124" spans="2:24">
      <c r="B124" s="141" t="s">
        <v>239</v>
      </c>
      <c r="C124" s="142"/>
      <c r="D124" s="142"/>
      <c r="E124" s="142"/>
      <c r="F124" s="142"/>
      <c r="G124" s="142"/>
      <c r="H124" s="142"/>
      <c r="I124" s="142"/>
      <c r="J124" s="142"/>
      <c r="K124" s="142"/>
      <c r="L124" s="142"/>
      <c r="M124" s="142"/>
      <c r="N124" s="142"/>
      <c r="O124" s="142"/>
      <c r="P124" s="164"/>
    </row>
    <row r="125" spans="2:24">
      <c r="B125" s="586" t="s">
        <v>240</v>
      </c>
      <c r="C125" s="587"/>
      <c r="D125" s="587"/>
      <c r="E125" s="587"/>
      <c r="F125" s="587"/>
      <c r="G125" s="587"/>
      <c r="H125" s="587"/>
      <c r="I125" s="587"/>
      <c r="J125" s="587"/>
      <c r="K125" s="587"/>
      <c r="L125" s="587"/>
      <c r="M125" s="587"/>
      <c r="N125" s="587"/>
      <c r="O125" s="587"/>
      <c r="P125" s="596"/>
    </row>
    <row r="126" spans="2:24">
      <c r="B126" s="592" t="s">
        <v>218</v>
      </c>
      <c r="C126" s="593"/>
      <c r="D126" s="593"/>
      <c r="E126" s="593"/>
      <c r="F126" s="593"/>
      <c r="G126" s="593"/>
      <c r="H126" s="593"/>
      <c r="I126" s="593"/>
      <c r="J126" s="593"/>
      <c r="K126" s="593"/>
      <c r="L126" s="593"/>
      <c r="M126" s="593"/>
      <c r="N126" s="593"/>
      <c r="O126" s="593"/>
      <c r="P126" s="597"/>
    </row>
    <row r="127" spans="2:24">
      <c r="B127" s="586" t="s">
        <v>241</v>
      </c>
      <c r="C127" s="587"/>
      <c r="D127" s="587"/>
      <c r="E127" s="587"/>
      <c r="F127" s="587"/>
      <c r="G127" s="587"/>
      <c r="H127" s="587"/>
      <c r="I127" s="587"/>
      <c r="J127" s="587"/>
      <c r="K127" s="587"/>
      <c r="L127" s="587"/>
      <c r="M127" s="587"/>
      <c r="N127" s="587"/>
      <c r="O127" s="587"/>
      <c r="P127" s="596"/>
    </row>
    <row r="128" spans="2:24">
      <c r="B128" s="586" t="s">
        <v>220</v>
      </c>
      <c r="C128" s="587"/>
      <c r="D128" s="587"/>
      <c r="E128" s="587"/>
      <c r="F128" s="587"/>
      <c r="G128" s="587"/>
      <c r="H128" s="587"/>
      <c r="I128" s="587"/>
      <c r="J128" s="587"/>
      <c r="K128" s="587"/>
      <c r="L128" s="587"/>
      <c r="M128" s="587"/>
      <c r="N128" s="587"/>
      <c r="O128" s="587"/>
      <c r="P128" s="596"/>
    </row>
    <row r="129" spans="2:16">
      <c r="B129" s="586" t="s">
        <v>242</v>
      </c>
      <c r="C129" s="587"/>
      <c r="D129" s="587"/>
      <c r="E129" s="587"/>
      <c r="F129" s="587"/>
      <c r="G129" s="587"/>
      <c r="H129" s="587"/>
      <c r="I129" s="587"/>
      <c r="J129" s="587"/>
      <c r="K129" s="587"/>
      <c r="L129" s="587"/>
      <c r="M129" s="587"/>
      <c r="N129" s="587"/>
      <c r="O129" s="587"/>
      <c r="P129" s="596"/>
    </row>
    <row r="130" spans="2:16">
      <c r="B130" s="586" t="s">
        <v>243</v>
      </c>
      <c r="C130" s="587"/>
      <c r="D130" s="587"/>
      <c r="E130" s="587"/>
      <c r="F130" s="587"/>
      <c r="G130" s="587"/>
      <c r="H130" s="587"/>
      <c r="I130" s="587"/>
      <c r="J130" s="587"/>
      <c r="K130" s="587"/>
      <c r="L130" s="587"/>
      <c r="M130" s="587"/>
      <c r="N130" s="587"/>
      <c r="O130" s="587"/>
      <c r="P130" s="596"/>
    </row>
    <row r="131" spans="2:16">
      <c r="B131" s="586" t="s">
        <v>244</v>
      </c>
      <c r="C131" s="587"/>
      <c r="D131" s="587"/>
      <c r="E131" s="587"/>
      <c r="F131" s="587"/>
      <c r="G131" s="587"/>
      <c r="H131" s="587"/>
      <c r="I131" s="587"/>
      <c r="J131" s="587"/>
      <c r="K131" s="587"/>
      <c r="L131" s="587"/>
      <c r="M131" s="587"/>
      <c r="N131" s="587"/>
      <c r="O131" s="587"/>
      <c r="P131" s="596"/>
    </row>
    <row r="132" spans="2:16">
      <c r="B132" s="586" t="s">
        <v>245</v>
      </c>
      <c r="C132" s="587"/>
      <c r="D132" s="587"/>
      <c r="E132" s="587"/>
      <c r="F132" s="587"/>
      <c r="G132" s="587"/>
      <c r="H132" s="587"/>
      <c r="I132" s="587"/>
      <c r="J132" s="587"/>
      <c r="K132" s="587"/>
      <c r="L132" s="587"/>
      <c r="M132" s="587"/>
      <c r="N132" s="587"/>
      <c r="O132" s="587"/>
      <c r="P132" s="596"/>
    </row>
    <row r="133" spans="2:16">
      <c r="B133" s="586" t="s">
        <v>246</v>
      </c>
      <c r="C133" s="587"/>
      <c r="D133" s="587"/>
      <c r="E133" s="587"/>
      <c r="F133" s="587"/>
      <c r="G133" s="587"/>
      <c r="H133" s="587"/>
      <c r="I133" s="587"/>
      <c r="J133" s="587"/>
      <c r="K133" s="587"/>
      <c r="L133" s="587"/>
      <c r="M133" s="587"/>
      <c r="N133" s="587"/>
      <c r="O133" s="587"/>
      <c r="P133" s="596"/>
    </row>
    <row r="134" spans="2:16" ht="15.75" thickBot="1">
      <c r="B134" s="589" t="s">
        <v>247</v>
      </c>
      <c r="C134" s="590"/>
      <c r="D134" s="590"/>
      <c r="E134" s="590"/>
      <c r="F134" s="590"/>
      <c r="G134" s="590"/>
      <c r="H134" s="590"/>
      <c r="I134" s="590"/>
      <c r="J134" s="590"/>
      <c r="K134" s="590"/>
      <c r="L134" s="590"/>
      <c r="M134" s="590"/>
      <c r="N134" s="590"/>
      <c r="O134" s="590"/>
      <c r="P134" s="595"/>
    </row>
    <row r="135" spans="2:16">
      <c r="C135" s="167"/>
      <c r="D135" s="167"/>
      <c r="E135" s="167"/>
      <c r="F135" s="167"/>
      <c r="G135" s="167"/>
      <c r="H135" s="167"/>
      <c r="I135" s="167"/>
      <c r="J135" s="167"/>
      <c r="K135" s="167"/>
      <c r="L135" s="167"/>
      <c r="M135" s="167"/>
      <c r="N135" s="167"/>
      <c r="O135" s="167"/>
      <c r="P135" s="167"/>
    </row>
    <row r="136" spans="2:16">
      <c r="C136" s="167"/>
      <c r="D136" s="167"/>
      <c r="E136" s="167"/>
      <c r="F136" s="167"/>
      <c r="G136" s="167"/>
      <c r="H136" s="167"/>
      <c r="I136" s="167"/>
      <c r="J136" s="167"/>
      <c r="K136" s="167"/>
      <c r="L136" s="167"/>
      <c r="M136" s="167"/>
      <c r="N136" s="167"/>
      <c r="O136" s="167"/>
      <c r="P136" s="167"/>
    </row>
    <row r="137" spans="2:16">
      <c r="C137" s="167"/>
      <c r="D137" s="167"/>
      <c r="E137" s="167"/>
      <c r="F137" s="167"/>
      <c r="G137" s="167"/>
      <c r="H137" s="167"/>
      <c r="I137" s="167"/>
      <c r="J137" s="167"/>
      <c r="K137" s="167"/>
      <c r="L137" s="167"/>
      <c r="M137" s="167"/>
      <c r="N137" s="167"/>
      <c r="O137" s="167"/>
      <c r="P137" s="167"/>
    </row>
    <row r="138" spans="2:16">
      <c r="C138" s="167"/>
      <c r="D138" s="167"/>
      <c r="E138" s="167"/>
      <c r="F138" s="167"/>
      <c r="G138" s="167"/>
      <c r="H138" s="167"/>
      <c r="I138" s="167"/>
      <c r="J138" s="167"/>
      <c r="K138" s="167"/>
      <c r="L138" s="167"/>
      <c r="M138" s="167"/>
      <c r="N138" s="167"/>
      <c r="O138" s="167"/>
      <c r="P138" s="167"/>
    </row>
    <row r="139" spans="2:16">
      <c r="C139" s="167"/>
      <c r="D139" s="167"/>
      <c r="E139" s="167"/>
      <c r="F139" s="167"/>
      <c r="G139" s="167"/>
      <c r="H139" s="167"/>
      <c r="I139" s="167"/>
      <c r="J139" s="167"/>
      <c r="K139" s="167"/>
      <c r="L139" s="167"/>
      <c r="M139" s="167"/>
      <c r="N139" s="167"/>
      <c r="O139" s="167"/>
      <c r="P139" s="167"/>
    </row>
    <row r="140" spans="2:16">
      <c r="C140" s="167"/>
      <c r="D140" s="167"/>
      <c r="E140" s="167"/>
      <c r="F140" s="167"/>
      <c r="G140" s="167"/>
      <c r="H140" s="167"/>
      <c r="I140" s="167"/>
      <c r="J140" s="167"/>
      <c r="K140" s="167"/>
      <c r="L140" s="167"/>
      <c r="M140" s="167"/>
      <c r="N140" s="167"/>
      <c r="O140" s="167"/>
      <c r="P140" s="167"/>
    </row>
    <row r="141" spans="2:16">
      <c r="C141" s="167"/>
      <c r="D141" s="167"/>
      <c r="E141" s="167"/>
      <c r="F141" s="167"/>
      <c r="G141" s="167"/>
      <c r="H141" s="167"/>
      <c r="I141" s="167"/>
      <c r="J141" s="167"/>
      <c r="K141" s="167"/>
      <c r="L141" s="167"/>
      <c r="M141" s="167"/>
      <c r="N141" s="167"/>
      <c r="O141" s="167"/>
      <c r="P141" s="167"/>
    </row>
    <row r="142" spans="2:16">
      <c r="C142" s="167"/>
      <c r="D142" s="167"/>
      <c r="E142" s="167"/>
      <c r="F142" s="167"/>
      <c r="G142" s="167"/>
      <c r="H142" s="167"/>
      <c r="I142" s="167"/>
      <c r="J142" s="167"/>
      <c r="K142" s="167"/>
      <c r="L142" s="167"/>
      <c r="M142" s="167"/>
      <c r="N142" s="167"/>
      <c r="O142" s="167"/>
      <c r="P142" s="167"/>
    </row>
    <row r="143" spans="2:16">
      <c r="C143" s="167"/>
      <c r="D143" s="167"/>
      <c r="E143" s="167"/>
      <c r="F143" s="167"/>
      <c r="G143" s="167"/>
      <c r="H143" s="167"/>
      <c r="I143" s="167"/>
      <c r="J143" s="167"/>
      <c r="K143" s="167"/>
      <c r="L143" s="167"/>
      <c r="M143" s="167"/>
      <c r="N143" s="167"/>
      <c r="O143" s="167"/>
      <c r="P143" s="167"/>
    </row>
    <row r="144" spans="2:16">
      <c r="C144" s="167"/>
      <c r="D144" s="167"/>
      <c r="E144" s="167"/>
      <c r="F144" s="167"/>
      <c r="G144" s="167"/>
      <c r="H144" s="167"/>
      <c r="I144" s="167"/>
      <c r="J144" s="167"/>
      <c r="K144" s="167"/>
      <c r="L144" s="167"/>
      <c r="M144" s="167"/>
      <c r="N144" s="167"/>
      <c r="O144" s="167"/>
      <c r="P144" s="167"/>
    </row>
    <row r="145" spans="3:16">
      <c r="C145" s="167"/>
      <c r="D145" s="167"/>
      <c r="E145" s="167"/>
      <c r="F145" s="167"/>
      <c r="G145" s="167"/>
      <c r="H145" s="167"/>
      <c r="I145" s="167"/>
      <c r="J145" s="167"/>
      <c r="K145" s="167"/>
      <c r="L145" s="167"/>
      <c r="M145" s="167"/>
      <c r="N145" s="167"/>
      <c r="O145" s="167"/>
      <c r="P145" s="167"/>
    </row>
    <row r="146" spans="3:16">
      <c r="C146" s="167"/>
      <c r="D146" s="167"/>
      <c r="E146" s="167"/>
      <c r="F146" s="167"/>
      <c r="G146" s="167"/>
      <c r="H146" s="167"/>
      <c r="I146" s="167"/>
      <c r="J146" s="167"/>
      <c r="K146" s="167"/>
      <c r="L146" s="167"/>
      <c r="M146" s="167"/>
      <c r="N146" s="167"/>
      <c r="O146" s="167"/>
      <c r="P146" s="167"/>
    </row>
    <row r="147" spans="3:16">
      <c r="C147" s="167"/>
      <c r="D147" s="167"/>
      <c r="E147" s="167"/>
      <c r="F147" s="167"/>
      <c r="G147" s="167"/>
      <c r="H147" s="167"/>
      <c r="I147" s="167"/>
      <c r="J147" s="167"/>
      <c r="K147" s="167"/>
      <c r="L147" s="167"/>
      <c r="M147" s="167"/>
      <c r="N147" s="167"/>
      <c r="O147" s="167"/>
      <c r="P147" s="167"/>
    </row>
    <row r="148" spans="3:16">
      <c r="C148" s="167"/>
      <c r="D148" s="167"/>
      <c r="E148" s="167"/>
      <c r="F148" s="167"/>
      <c r="G148" s="167"/>
      <c r="H148" s="167"/>
      <c r="I148" s="167"/>
      <c r="J148" s="167"/>
      <c r="K148" s="167"/>
      <c r="L148" s="167"/>
      <c r="M148" s="167"/>
      <c r="N148" s="167"/>
      <c r="O148" s="167"/>
      <c r="P148" s="167"/>
    </row>
    <row r="149" spans="3:16">
      <c r="C149" s="167"/>
      <c r="D149" s="167"/>
      <c r="E149" s="167"/>
      <c r="F149" s="167"/>
      <c r="G149" s="167"/>
      <c r="H149" s="167"/>
      <c r="I149" s="167"/>
      <c r="J149" s="167"/>
      <c r="K149" s="167"/>
      <c r="L149" s="167"/>
      <c r="M149" s="167"/>
      <c r="N149" s="167"/>
      <c r="O149" s="167"/>
      <c r="P149" s="167"/>
    </row>
  </sheetData>
  <mergeCells count="28">
    <mergeCell ref="B121:P121"/>
    <mergeCell ref="B2:P2"/>
    <mergeCell ref="B3:B4"/>
    <mergeCell ref="C3:C4"/>
    <mergeCell ref="D3:D4"/>
    <mergeCell ref="G3:G4"/>
    <mergeCell ref="H3:H4"/>
    <mergeCell ref="I3:I4"/>
    <mergeCell ref="J3:J4"/>
    <mergeCell ref="K3:K4"/>
    <mergeCell ref="L3:L4"/>
    <mergeCell ref="M3:M4"/>
    <mergeCell ref="N3:N4"/>
    <mergeCell ref="O3:O4"/>
    <mergeCell ref="P3:P4"/>
    <mergeCell ref="B120:P120"/>
    <mergeCell ref="B134:P134"/>
    <mergeCell ref="B122:P122"/>
    <mergeCell ref="B123:P123"/>
    <mergeCell ref="B125:P125"/>
    <mergeCell ref="B126:P126"/>
    <mergeCell ref="B127:P127"/>
    <mergeCell ref="B128:P128"/>
    <mergeCell ref="B129:P129"/>
    <mergeCell ref="B130:P130"/>
    <mergeCell ref="B131:P131"/>
    <mergeCell ref="B132:P132"/>
    <mergeCell ref="B133:P133"/>
  </mergeCells>
  <hyperlinks>
    <hyperlink ref="A1" location="Contents!A1" display="Back to contents" xr:uid="{4887B17C-D1C7-4EF5-8EA6-F6AAE83A21E1}"/>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446B7-D68A-43E6-B0A3-DB02C16ED372}">
  <sheetPr codeName="Sheet7">
    <tabColor theme="8"/>
  </sheetPr>
  <dimension ref="A1:J22"/>
  <sheetViews>
    <sheetView workbookViewId="0">
      <selection activeCell="H22" sqref="H22"/>
    </sheetView>
  </sheetViews>
  <sheetFormatPr defaultColWidth="8.85546875" defaultRowHeight="12"/>
  <cols>
    <col min="1" max="1" width="51.28515625" style="415" bestFit="1" customWidth="1"/>
    <col min="2" max="2" width="10.42578125" style="415" customWidth="1"/>
    <col min="3" max="16384" width="8.85546875" style="415"/>
  </cols>
  <sheetData>
    <row r="1" spans="1:10">
      <c r="A1" s="414" t="s">
        <v>708</v>
      </c>
    </row>
    <row r="2" spans="1:10">
      <c r="A2" s="416" t="s">
        <v>709</v>
      </c>
      <c r="B2" s="416" t="s">
        <v>710</v>
      </c>
      <c r="C2" s="416" t="s">
        <v>6</v>
      </c>
      <c r="D2" s="416" t="s">
        <v>7</v>
      </c>
      <c r="E2" s="416" t="s">
        <v>8</v>
      </c>
      <c r="F2" s="416" t="s">
        <v>9</v>
      </c>
      <c r="G2" s="416" t="s">
        <v>10</v>
      </c>
      <c r="H2" s="415" t="s">
        <v>11</v>
      </c>
    </row>
    <row r="3" spans="1:10">
      <c r="A3" s="416" t="s">
        <v>711</v>
      </c>
      <c r="B3" s="415" t="s">
        <v>6</v>
      </c>
      <c r="C3" s="417">
        <v>5877.324376460876</v>
      </c>
      <c r="D3" s="417">
        <v>384.7301214844947</v>
      </c>
      <c r="E3" s="417">
        <v>332.12973991878414</v>
      </c>
      <c r="F3" s="417">
        <v>351.28212149459159</v>
      </c>
      <c r="G3" s="417">
        <v>406.41954012822623</v>
      </c>
      <c r="H3" s="417">
        <f>G3*G3/F3</f>
        <v>470.21135574809489</v>
      </c>
    </row>
    <row r="4" spans="1:10">
      <c r="A4" s="416"/>
      <c r="B4" s="415" t="s">
        <v>7</v>
      </c>
      <c r="C4" s="417">
        <v>0</v>
      </c>
      <c r="D4" s="417">
        <v>5915.2499753706279</v>
      </c>
      <c r="E4" s="417">
        <v>340.15109460314363</v>
      </c>
      <c r="F4" s="417">
        <v>359.856772051387</v>
      </c>
      <c r="G4" s="417">
        <v>427.83805649501971</v>
      </c>
      <c r="H4" s="417">
        <f>G4*G3/F3</f>
        <v>494.99173322641496</v>
      </c>
    </row>
    <row r="5" spans="1:10">
      <c r="A5" s="416"/>
      <c r="B5" s="415" t="s">
        <v>8</v>
      </c>
      <c r="C5" s="417">
        <v>0</v>
      </c>
      <c r="D5" s="417">
        <v>0</v>
      </c>
      <c r="E5" s="417">
        <v>6220.0790723925365</v>
      </c>
      <c r="F5" s="417">
        <v>359.6783699959758</v>
      </c>
      <c r="G5" s="417">
        <v>428.22950186381092</v>
      </c>
      <c r="H5" s="417">
        <f>G5*G4/F4</f>
        <v>509.1272196069184</v>
      </c>
    </row>
    <row r="6" spans="1:10">
      <c r="A6" s="416"/>
      <c r="B6" s="415" t="s">
        <v>9</v>
      </c>
      <c r="C6" s="417">
        <v>0</v>
      </c>
      <c r="D6" s="417">
        <v>0</v>
      </c>
      <c r="E6" s="417">
        <v>0</v>
      </c>
      <c r="F6" s="417">
        <v>6269.6520189564353</v>
      </c>
      <c r="G6" s="417">
        <v>423.64764231597007</v>
      </c>
      <c r="H6" s="417">
        <f>G6*H5/G5</f>
        <v>503.67979152905679</v>
      </c>
    </row>
    <row r="7" spans="1:10">
      <c r="A7" s="416"/>
      <c r="B7" s="415" t="s">
        <v>10</v>
      </c>
      <c r="C7" s="417">
        <v>0</v>
      </c>
      <c r="D7" s="417">
        <v>0</v>
      </c>
      <c r="E7" s="417">
        <v>0</v>
      </c>
      <c r="F7" s="417">
        <v>0</v>
      </c>
      <c r="G7" s="417">
        <v>6621.2917512374643</v>
      </c>
      <c r="H7" s="417">
        <f>G6*G7/F6</f>
        <v>447.40834595232161</v>
      </c>
      <c r="J7" s="418">
        <f>G7*G7/F6</f>
        <v>6992.6535511778811</v>
      </c>
    </row>
    <row r="8" spans="1:10">
      <c r="A8" s="416" t="s">
        <v>712</v>
      </c>
      <c r="B8" s="419" t="s">
        <v>6</v>
      </c>
      <c r="C8" s="420">
        <v>1107.9584805355864</v>
      </c>
      <c r="D8" s="420">
        <v>2095.2355866798057</v>
      </c>
      <c r="E8" s="420">
        <v>2095.2355866800331</v>
      </c>
      <c r="F8" s="420">
        <v>2095.2355866800472</v>
      </c>
      <c r="G8" s="420">
        <v>2095.2355866799621</v>
      </c>
      <c r="H8" s="417">
        <f>G8*G8/F8</f>
        <v>2095.2355866798771</v>
      </c>
    </row>
    <row r="9" spans="1:10">
      <c r="A9" s="416"/>
      <c r="B9" s="415" t="s">
        <v>7</v>
      </c>
      <c r="C9" s="417">
        <v>0</v>
      </c>
      <c r="D9" s="417">
        <v>1247.0635883345126</v>
      </c>
      <c r="E9" s="417">
        <v>2340.4324304356264</v>
      </c>
      <c r="F9" s="417">
        <v>2340.4324304355982</v>
      </c>
      <c r="G9" s="417">
        <v>2340.4324304355414</v>
      </c>
      <c r="H9" s="417">
        <f>G9*G8/F8</f>
        <v>2340.4324304354463</v>
      </c>
    </row>
    <row r="10" spans="1:10">
      <c r="A10" s="416"/>
      <c r="B10" s="415" t="s">
        <v>8</v>
      </c>
      <c r="C10" s="417">
        <v>0</v>
      </c>
      <c r="D10" s="417">
        <v>0</v>
      </c>
      <c r="E10" s="417">
        <v>1079.597472619625</v>
      </c>
      <c r="F10" s="417">
        <v>2010.0000391394701</v>
      </c>
      <c r="G10" s="417">
        <v>2010.0000391394133</v>
      </c>
      <c r="H10" s="417">
        <f>G10*G9/F9</f>
        <v>2010.0000391393644</v>
      </c>
    </row>
    <row r="11" spans="1:10">
      <c r="A11" s="416"/>
      <c r="B11" s="415" t="s">
        <v>9</v>
      </c>
      <c r="C11" s="417">
        <v>0</v>
      </c>
      <c r="D11" s="417">
        <v>0</v>
      </c>
      <c r="E11" s="417">
        <v>0</v>
      </c>
      <c r="F11" s="417">
        <v>794.14728275595792</v>
      </c>
      <c r="G11" s="417">
        <v>1521.7845922579868</v>
      </c>
      <c r="H11" s="417">
        <f>G11*H10/G10</f>
        <v>1521.7845922579497</v>
      </c>
    </row>
    <row r="12" spans="1:10">
      <c r="A12" s="416"/>
      <c r="B12" s="415" t="s">
        <v>10</v>
      </c>
      <c r="C12" s="417">
        <v>0</v>
      </c>
      <c r="D12" s="417">
        <v>0</v>
      </c>
      <c r="E12" s="417">
        <v>0</v>
      </c>
      <c r="F12" s="417">
        <v>0</v>
      </c>
      <c r="G12" s="417">
        <v>893.22992597475093</v>
      </c>
      <c r="H12" s="417">
        <f>G11*G12/F11</f>
        <v>1711.6516900679658</v>
      </c>
      <c r="J12" s="418">
        <f>G12*G12/F11</f>
        <v>1004.6747221598715</v>
      </c>
    </row>
    <row r="13" spans="1:10">
      <c r="A13" s="416" t="s">
        <v>713</v>
      </c>
      <c r="B13" s="419" t="s">
        <v>6</v>
      </c>
      <c r="C13" s="420">
        <v>10801.029942553165</v>
      </c>
      <c r="D13" s="420">
        <v>296.03494813628117</v>
      </c>
      <c r="E13" s="420">
        <v>0</v>
      </c>
      <c r="F13" s="420">
        <v>0</v>
      </c>
      <c r="G13" s="420">
        <v>0</v>
      </c>
      <c r="H13" s="417">
        <v>0</v>
      </c>
    </row>
    <row r="14" spans="1:10">
      <c r="A14" s="416"/>
      <c r="B14" s="415" t="s">
        <v>7</v>
      </c>
      <c r="C14" s="417">
        <v>0</v>
      </c>
      <c r="D14" s="417">
        <v>9955.2238533679756</v>
      </c>
      <c r="E14" s="417">
        <v>297.54751199405405</v>
      </c>
      <c r="F14" s="417">
        <v>0</v>
      </c>
      <c r="G14" s="417">
        <v>0</v>
      </c>
      <c r="H14" s="417">
        <v>0</v>
      </c>
    </row>
    <row r="15" spans="1:10">
      <c r="A15" s="416"/>
      <c r="B15" s="415" t="s">
        <v>8</v>
      </c>
      <c r="C15" s="417">
        <v>0</v>
      </c>
      <c r="D15" s="417">
        <v>0</v>
      </c>
      <c r="E15" s="417">
        <v>9077.8710356465981</v>
      </c>
      <c r="F15" s="417">
        <v>298.03182083902868</v>
      </c>
      <c r="G15" s="417">
        <v>0</v>
      </c>
      <c r="H15" s="417">
        <v>0</v>
      </c>
    </row>
    <row r="16" spans="1:10">
      <c r="A16" s="416"/>
      <c r="B16" s="415" t="s">
        <v>9</v>
      </c>
      <c r="C16" s="417">
        <v>0</v>
      </c>
      <c r="D16" s="417">
        <v>0</v>
      </c>
      <c r="E16" s="417">
        <v>0</v>
      </c>
      <c r="F16" s="417">
        <v>8382.9842435958235</v>
      </c>
      <c r="G16" s="417">
        <v>298.23015981313006</v>
      </c>
      <c r="H16" s="417">
        <v>0</v>
      </c>
    </row>
    <row r="17" spans="1:10">
      <c r="A17" s="416"/>
      <c r="B17" s="415" t="s">
        <v>10</v>
      </c>
      <c r="C17" s="417">
        <v>0</v>
      </c>
      <c r="D17" s="417">
        <v>0</v>
      </c>
      <c r="E17" s="417">
        <v>0</v>
      </c>
      <c r="F17" s="417">
        <v>0</v>
      </c>
      <c r="G17" s="417">
        <v>7560.5135831943298</v>
      </c>
      <c r="H17" s="417">
        <f>G16*G17/F16</f>
        <v>268.97022691029372</v>
      </c>
      <c r="J17" s="418">
        <f>G17*G17/F16</f>
        <v>6818.737096557752</v>
      </c>
    </row>
    <row r="18" spans="1:10">
      <c r="A18" s="416" t="s">
        <v>714</v>
      </c>
      <c r="B18" s="419" t="s">
        <v>6</v>
      </c>
      <c r="C18" s="420">
        <v>16.739095948167915</v>
      </c>
      <c r="D18" s="420">
        <v>30.148592632954774</v>
      </c>
      <c r="E18" s="420">
        <v>30.24273275958933</v>
      </c>
      <c r="F18" s="420">
        <v>31.831503096000802</v>
      </c>
      <c r="G18" s="420">
        <v>32.585731871364487</v>
      </c>
      <c r="H18" s="417">
        <f>G18*G18/F18</f>
        <v>33.357831654700085</v>
      </c>
    </row>
    <row r="19" spans="1:10">
      <c r="A19" s="416"/>
      <c r="B19" s="415" t="s">
        <v>7</v>
      </c>
      <c r="C19" s="417">
        <v>0</v>
      </c>
      <c r="D19" s="417">
        <v>16.484801098513913</v>
      </c>
      <c r="E19" s="417">
        <v>30.936868505676784</v>
      </c>
      <c r="F19" s="417">
        <v>32.455939373335241</v>
      </c>
      <c r="G19" s="417">
        <v>33.177931210147449</v>
      </c>
      <c r="H19" s="417">
        <f>G19*G18/F18</f>
        <v>33.964062809093967</v>
      </c>
    </row>
    <row r="20" spans="1:10">
      <c r="A20" s="416"/>
      <c r="B20" s="415" t="s">
        <v>8</v>
      </c>
      <c r="C20" s="417">
        <v>0</v>
      </c>
      <c r="D20" s="417">
        <v>0</v>
      </c>
      <c r="E20" s="417">
        <v>14.791271540715911</v>
      </c>
      <c r="F20" s="417">
        <v>33.110969243537625</v>
      </c>
      <c r="G20" s="417">
        <v>33.802119015732046</v>
      </c>
      <c r="H20" s="417">
        <f>G20*G19/F19</f>
        <v>34.554057011289288</v>
      </c>
    </row>
    <row r="21" spans="1:10">
      <c r="A21" s="416"/>
      <c r="B21" s="415" t="s">
        <v>9</v>
      </c>
      <c r="C21" s="417">
        <v>0</v>
      </c>
      <c r="D21" s="417">
        <v>0</v>
      </c>
      <c r="E21" s="417">
        <v>0</v>
      </c>
      <c r="F21" s="417">
        <v>14.233420420268317</v>
      </c>
      <c r="G21" s="417">
        <v>35.180677395189264</v>
      </c>
      <c r="H21" s="417">
        <f>G21*H20/G20</f>
        <v>35.963281823940392</v>
      </c>
    </row>
    <row r="22" spans="1:10">
      <c r="A22" s="416"/>
      <c r="B22" s="415" t="s">
        <v>10</v>
      </c>
      <c r="C22" s="417">
        <v>0</v>
      </c>
      <c r="D22" s="417">
        <v>0</v>
      </c>
      <c r="E22" s="417">
        <v>0</v>
      </c>
      <c r="F22" s="417">
        <v>0</v>
      </c>
      <c r="G22" s="417">
        <v>13.247590725484315</v>
      </c>
      <c r="H22" s="417">
        <f>G21*G22/F21</f>
        <v>32.744006838517819</v>
      </c>
      <c r="J22" s="418">
        <f>G22*G22/F21</f>
        <v>12.330041188134151</v>
      </c>
    </row>
  </sheetData>
  <hyperlinks>
    <hyperlink ref="A1" location="Notes!A1" display="Back to contents" xr:uid="{22CE3577-5DBA-4785-B803-A913217496D6}"/>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B6F34-EB03-4AA6-9BA5-14C292E710F9}">
  <sheetPr codeName="Sheet6"/>
  <dimension ref="A1:M332"/>
  <sheetViews>
    <sheetView workbookViewId="0">
      <pane xSplit="1" ySplit="6" topLeftCell="B307" activePane="bottomRight" state="frozen"/>
      <selection activeCell="H22" sqref="H22"/>
      <selection pane="topRight" activeCell="H22" sqref="H22"/>
      <selection pane="bottomLeft" activeCell="H22" sqref="H22"/>
      <selection pane="bottomRight" activeCell="L333" sqref="L333"/>
    </sheetView>
  </sheetViews>
  <sheetFormatPr defaultRowHeight="15"/>
  <cols>
    <col min="1" max="1" width="16.5703125" customWidth="1"/>
    <col min="2" max="14" width="17.7109375" customWidth="1"/>
  </cols>
  <sheetData>
    <row r="1" spans="1:13">
      <c r="A1" s="410" t="s">
        <v>363</v>
      </c>
      <c r="B1" t="s">
        <v>364</v>
      </c>
      <c r="C1" t="s">
        <v>365</v>
      </c>
      <c r="D1" t="s">
        <v>366</v>
      </c>
      <c r="E1" t="s">
        <v>367</v>
      </c>
      <c r="F1" t="s">
        <v>368</v>
      </c>
      <c r="G1" t="s">
        <v>369</v>
      </c>
      <c r="H1" t="s">
        <v>370</v>
      </c>
      <c r="I1" t="s">
        <v>371</v>
      </c>
      <c r="J1" t="s">
        <v>372</v>
      </c>
      <c r="K1" t="s">
        <v>373</v>
      </c>
      <c r="L1" t="s">
        <v>374</v>
      </c>
      <c r="M1" t="s">
        <v>375</v>
      </c>
    </row>
    <row r="2" spans="1:13" s="411" customFormat="1" ht="60">
      <c r="A2" s="411" t="s">
        <v>376</v>
      </c>
      <c r="B2" s="411" t="s">
        <v>377</v>
      </c>
      <c r="C2" s="411" t="s">
        <v>378</v>
      </c>
      <c r="D2" s="411" t="s">
        <v>379</v>
      </c>
      <c r="E2" s="411" t="s">
        <v>380</v>
      </c>
      <c r="F2" s="411" t="s">
        <v>381</v>
      </c>
      <c r="G2" s="411" t="s">
        <v>382</v>
      </c>
      <c r="H2" s="411" t="s">
        <v>383</v>
      </c>
      <c r="I2" s="411" t="s">
        <v>384</v>
      </c>
      <c r="J2" s="411" t="s">
        <v>385</v>
      </c>
      <c r="K2" s="411" t="s">
        <v>386</v>
      </c>
      <c r="L2" s="411" t="s">
        <v>387</v>
      </c>
      <c r="M2" s="411" t="s">
        <v>388</v>
      </c>
    </row>
    <row r="3" spans="1:13">
      <c r="A3" t="s">
        <v>389</v>
      </c>
      <c r="B3" t="s">
        <v>390</v>
      </c>
      <c r="C3" t="s">
        <v>391</v>
      </c>
      <c r="D3" t="s">
        <v>390</v>
      </c>
      <c r="E3" t="s">
        <v>391</v>
      </c>
      <c r="F3" t="s">
        <v>391</v>
      </c>
      <c r="G3" t="s">
        <v>391</v>
      </c>
      <c r="H3" t="s">
        <v>392</v>
      </c>
      <c r="I3" t="s">
        <v>392</v>
      </c>
      <c r="J3" t="s">
        <v>392</v>
      </c>
      <c r="K3" t="s">
        <v>392</v>
      </c>
      <c r="L3" t="s">
        <v>392</v>
      </c>
      <c r="M3" t="s">
        <v>393</v>
      </c>
    </row>
    <row r="4" spans="1:13">
      <c r="A4" t="s">
        <v>394</v>
      </c>
      <c r="B4" t="s">
        <v>726</v>
      </c>
      <c r="C4" t="s">
        <v>726</v>
      </c>
      <c r="D4" t="s">
        <v>726</v>
      </c>
      <c r="E4" t="s">
        <v>726</v>
      </c>
      <c r="F4" t="s">
        <v>726</v>
      </c>
      <c r="G4" t="s">
        <v>726</v>
      </c>
      <c r="H4" t="s">
        <v>715</v>
      </c>
      <c r="I4" t="s">
        <v>715</v>
      </c>
      <c r="J4" t="s">
        <v>715</v>
      </c>
      <c r="K4" t="s">
        <v>715</v>
      </c>
      <c r="L4" t="s">
        <v>715</v>
      </c>
      <c r="M4" t="s">
        <v>715</v>
      </c>
    </row>
    <row r="5" spans="1:13">
      <c r="A5" t="s">
        <v>395</v>
      </c>
      <c r="B5" t="s">
        <v>396</v>
      </c>
      <c r="C5" t="s">
        <v>396</v>
      </c>
      <c r="D5" t="s">
        <v>396</v>
      </c>
      <c r="E5" t="s">
        <v>396</v>
      </c>
      <c r="F5" t="s">
        <v>396</v>
      </c>
      <c r="G5" t="s">
        <v>396</v>
      </c>
      <c r="H5" t="s">
        <v>397</v>
      </c>
      <c r="I5" t="s">
        <v>397</v>
      </c>
      <c r="J5" t="s">
        <v>397</v>
      </c>
      <c r="K5" t="s">
        <v>397</v>
      </c>
      <c r="L5" t="s">
        <v>397</v>
      </c>
      <c r="M5" t="s">
        <v>397</v>
      </c>
    </row>
    <row r="6" spans="1:13">
      <c r="A6" t="s">
        <v>398</v>
      </c>
      <c r="B6" t="s">
        <v>725</v>
      </c>
      <c r="C6" t="s">
        <v>725</v>
      </c>
      <c r="D6" t="s">
        <v>725</v>
      </c>
      <c r="E6" t="s">
        <v>725</v>
      </c>
      <c r="F6" t="s">
        <v>725</v>
      </c>
      <c r="G6" t="s">
        <v>725</v>
      </c>
      <c r="H6" t="s">
        <v>716</v>
      </c>
      <c r="I6" t="s">
        <v>716</v>
      </c>
      <c r="J6" t="s">
        <v>716</v>
      </c>
      <c r="K6" t="s">
        <v>716</v>
      </c>
      <c r="L6" t="s">
        <v>716</v>
      </c>
      <c r="M6" t="s">
        <v>716</v>
      </c>
    </row>
    <row r="7" spans="1:13">
      <c r="A7" t="s">
        <v>399</v>
      </c>
      <c r="B7" s="408" t="e">
        <v>#N/A</v>
      </c>
      <c r="C7" s="408" t="e">
        <v>#N/A</v>
      </c>
      <c r="D7" s="408">
        <v>3.67</v>
      </c>
      <c r="E7" s="408">
        <v>4</v>
      </c>
      <c r="F7" s="408" t="e">
        <v>#N/A</v>
      </c>
      <c r="G7" s="408" t="e">
        <v>#N/A</v>
      </c>
      <c r="H7" s="412" t="e">
        <v>#N/A</v>
      </c>
      <c r="I7" s="412" t="e">
        <v>#N/A</v>
      </c>
      <c r="J7" s="412" t="e">
        <v>#N/A</v>
      </c>
      <c r="K7" s="412" t="e">
        <v>#N/A</v>
      </c>
      <c r="L7" s="412" t="e">
        <v>#N/A</v>
      </c>
      <c r="M7" s="412" t="e">
        <v>#N/A</v>
      </c>
    </row>
    <row r="8" spans="1:13">
      <c r="A8" t="s">
        <v>400</v>
      </c>
      <c r="B8" s="408">
        <v>3.57</v>
      </c>
      <c r="C8" s="408">
        <v>3.61</v>
      </c>
      <c r="D8" s="408">
        <v>3.65</v>
      </c>
      <c r="E8" s="408">
        <v>3.98</v>
      </c>
      <c r="F8" s="408">
        <v>4.03</v>
      </c>
      <c r="G8" s="408">
        <v>3.95</v>
      </c>
      <c r="H8" s="412">
        <v>4.6062333000000004</v>
      </c>
      <c r="I8" s="412">
        <v>4.0860817000000003</v>
      </c>
      <c r="J8" s="412">
        <v>3.7383644</v>
      </c>
      <c r="K8" s="412">
        <v>3.5202418</v>
      </c>
      <c r="L8" s="412">
        <v>3.3603768000000001</v>
      </c>
      <c r="M8" s="412">
        <v>3.2670637</v>
      </c>
    </row>
    <row r="9" spans="1:13">
      <c r="A9" t="s">
        <v>401</v>
      </c>
      <c r="B9" s="408">
        <v>3.44</v>
      </c>
      <c r="C9" s="408">
        <v>3.49</v>
      </c>
      <c r="D9" s="408">
        <v>3.5</v>
      </c>
      <c r="E9" s="408">
        <v>3.86</v>
      </c>
      <c r="F9" s="408">
        <v>3.91</v>
      </c>
      <c r="G9" s="408">
        <v>3.83</v>
      </c>
      <c r="H9" s="412">
        <v>4.4897159000000002</v>
      </c>
      <c r="I9" s="412">
        <v>3.8946255000000001</v>
      </c>
      <c r="J9" s="412">
        <v>3.5485093999999999</v>
      </c>
      <c r="K9" s="412">
        <v>3.3581344999999998</v>
      </c>
      <c r="L9" s="412">
        <v>3.2157631000000002</v>
      </c>
      <c r="M9" s="412">
        <v>3.1344240999999999</v>
      </c>
    </row>
    <row r="10" spans="1:13">
      <c r="A10" t="s">
        <v>402</v>
      </c>
      <c r="B10" s="408">
        <v>3.5</v>
      </c>
      <c r="C10" s="408">
        <v>3.54</v>
      </c>
      <c r="D10" s="408">
        <v>3.55</v>
      </c>
      <c r="E10" s="408">
        <v>3.92</v>
      </c>
      <c r="F10" s="408">
        <v>3.97</v>
      </c>
      <c r="G10" s="408">
        <v>3.9</v>
      </c>
      <c r="H10" s="412">
        <v>4.6093365999999998</v>
      </c>
      <c r="I10" s="412">
        <v>4.0251200999999996</v>
      </c>
      <c r="J10" s="412">
        <v>3.6258403000000001</v>
      </c>
      <c r="K10" s="412">
        <v>3.4044061000000001</v>
      </c>
      <c r="L10" s="412">
        <v>3.2485979999999999</v>
      </c>
      <c r="M10" s="412">
        <v>3.1579104</v>
      </c>
    </row>
    <row r="11" spans="1:13">
      <c r="A11" t="s">
        <v>403</v>
      </c>
      <c r="B11" s="408">
        <v>3.41</v>
      </c>
      <c r="C11" s="408">
        <v>3.44</v>
      </c>
      <c r="D11" s="408">
        <v>3.47</v>
      </c>
      <c r="E11" s="408">
        <v>3.87</v>
      </c>
      <c r="F11" s="408">
        <v>3.92</v>
      </c>
      <c r="G11" s="408">
        <v>3.87</v>
      </c>
      <c r="H11" s="412">
        <v>4.5135822000000001</v>
      </c>
      <c r="I11" s="412">
        <v>3.9067508000000002</v>
      </c>
      <c r="J11" s="412">
        <v>3.5489763000000001</v>
      </c>
      <c r="K11" s="412">
        <v>3.3517725</v>
      </c>
      <c r="L11" s="412">
        <v>3.2136095999999998</v>
      </c>
      <c r="M11" s="412">
        <v>3.1364836</v>
      </c>
    </row>
    <row r="12" spans="1:13">
      <c r="A12" t="s">
        <v>404</v>
      </c>
      <c r="B12" s="408">
        <v>3.44</v>
      </c>
      <c r="C12" s="408">
        <v>3.44</v>
      </c>
      <c r="D12" s="408">
        <v>3.53</v>
      </c>
      <c r="E12" s="408">
        <v>3.92</v>
      </c>
      <c r="F12" s="408">
        <v>3.99</v>
      </c>
      <c r="G12" s="408">
        <v>3.95</v>
      </c>
      <c r="H12" s="412">
        <v>4.4073146000000003</v>
      </c>
      <c r="I12" s="412">
        <v>3.8168853</v>
      </c>
      <c r="J12" s="412">
        <v>3.4943471000000002</v>
      </c>
      <c r="K12" s="412">
        <v>3.344989</v>
      </c>
      <c r="L12" s="412">
        <v>3.2567799000000002</v>
      </c>
      <c r="M12" s="412">
        <v>3.2227345000000001</v>
      </c>
    </row>
    <row r="13" spans="1:13">
      <c r="A13" t="s">
        <v>405</v>
      </c>
      <c r="B13" s="408">
        <v>3.46</v>
      </c>
      <c r="C13" s="408">
        <v>3.46</v>
      </c>
      <c r="D13" s="408">
        <v>3.56</v>
      </c>
      <c r="E13" s="408">
        <v>3.9</v>
      </c>
      <c r="F13" s="408">
        <v>3.97</v>
      </c>
      <c r="G13" s="408">
        <v>3.9</v>
      </c>
      <c r="H13" s="412">
        <v>4.4532427999999999</v>
      </c>
      <c r="I13" s="412">
        <v>3.8421403000000001</v>
      </c>
      <c r="J13" s="412">
        <v>3.5138981999999999</v>
      </c>
      <c r="K13" s="412">
        <v>3.3666806</v>
      </c>
      <c r="L13" s="412">
        <v>3.2777326000000002</v>
      </c>
      <c r="M13" s="412">
        <v>3.2400696</v>
      </c>
    </row>
    <row r="14" spans="1:13">
      <c r="A14" t="s">
        <v>406</v>
      </c>
      <c r="B14" s="408">
        <v>3.52</v>
      </c>
      <c r="C14" s="408">
        <v>3.33</v>
      </c>
      <c r="D14" s="408">
        <v>3.41</v>
      </c>
      <c r="E14" s="408">
        <v>3.75</v>
      </c>
      <c r="F14" s="408">
        <v>3.82</v>
      </c>
      <c r="G14" s="408">
        <v>3.75</v>
      </c>
      <c r="H14" s="412">
        <v>4.3232654000000004</v>
      </c>
      <c r="I14" s="412">
        <v>3.6598017999999999</v>
      </c>
      <c r="J14" s="412">
        <v>3.2991484</v>
      </c>
      <c r="K14" s="412">
        <v>3.1085172000000001</v>
      </c>
      <c r="L14" s="412">
        <v>2.9904796</v>
      </c>
      <c r="M14" s="412">
        <v>2.9381602</v>
      </c>
    </row>
    <row r="15" spans="1:13">
      <c r="A15" t="s">
        <v>407</v>
      </c>
      <c r="B15" s="408">
        <v>3.41</v>
      </c>
      <c r="C15" s="408">
        <v>3.22</v>
      </c>
      <c r="D15" s="408">
        <v>3.32</v>
      </c>
      <c r="E15" s="408">
        <v>3.67</v>
      </c>
      <c r="F15" s="408">
        <v>3.74</v>
      </c>
      <c r="G15" s="408">
        <v>3.68</v>
      </c>
      <c r="H15" s="412">
        <v>4.2304326999999997</v>
      </c>
      <c r="I15" s="412">
        <v>3.5443186</v>
      </c>
      <c r="J15" s="412">
        <v>3.2434023000000001</v>
      </c>
      <c r="K15" s="412">
        <v>3.1144552999999999</v>
      </c>
      <c r="L15" s="412">
        <v>3.0281772999999998</v>
      </c>
      <c r="M15" s="412">
        <v>2.9867674000000002</v>
      </c>
    </row>
    <row r="16" spans="1:13">
      <c r="A16" t="s">
        <v>408</v>
      </c>
      <c r="B16" s="408">
        <v>3.48</v>
      </c>
      <c r="C16" s="408">
        <v>3.3</v>
      </c>
      <c r="D16" s="408">
        <v>3.37</v>
      </c>
      <c r="E16" s="408">
        <v>3.71</v>
      </c>
      <c r="F16" s="408">
        <v>3.79</v>
      </c>
      <c r="G16" s="408">
        <v>3.73</v>
      </c>
      <c r="H16" s="412">
        <v>4.2881922000000001</v>
      </c>
      <c r="I16" s="412">
        <v>3.5435797</v>
      </c>
      <c r="J16" s="412">
        <v>3.2706631000000002</v>
      </c>
      <c r="K16" s="412">
        <v>3.1708116999999998</v>
      </c>
      <c r="L16" s="412">
        <v>3.0875292999999999</v>
      </c>
      <c r="M16" s="412">
        <v>3.0353737999999999</v>
      </c>
    </row>
    <row r="17" spans="1:13">
      <c r="A17" t="s">
        <v>409</v>
      </c>
      <c r="B17" s="408">
        <v>3.5</v>
      </c>
      <c r="C17" s="408">
        <v>3.32</v>
      </c>
      <c r="D17" s="408">
        <v>3.39</v>
      </c>
      <c r="E17" s="408">
        <v>3.73</v>
      </c>
      <c r="F17" s="408">
        <v>3.79</v>
      </c>
      <c r="G17" s="408">
        <v>3.73</v>
      </c>
      <c r="H17" s="412">
        <v>4.2747052999999999</v>
      </c>
      <c r="I17" s="412">
        <v>3.5420780000000001</v>
      </c>
      <c r="J17" s="412">
        <v>3.2860174999999998</v>
      </c>
      <c r="K17" s="412">
        <v>3.1890703999999999</v>
      </c>
      <c r="L17" s="412">
        <v>3.1073268000000001</v>
      </c>
      <c r="M17" s="412">
        <v>3.0597314999999998</v>
      </c>
    </row>
    <row r="18" spans="1:13">
      <c r="A18" t="s">
        <v>410</v>
      </c>
      <c r="B18" s="408">
        <v>3.46</v>
      </c>
      <c r="C18" s="408">
        <v>3.28</v>
      </c>
      <c r="D18" s="408">
        <v>3.33</v>
      </c>
      <c r="E18" s="408">
        <v>3.67</v>
      </c>
      <c r="F18" s="408">
        <v>3.73</v>
      </c>
      <c r="G18" s="408">
        <v>3.67</v>
      </c>
      <c r="H18" s="412">
        <v>4.2581274999999996</v>
      </c>
      <c r="I18" s="412">
        <v>3.5272779999999999</v>
      </c>
      <c r="J18" s="412">
        <v>3.2329675999999998</v>
      </c>
      <c r="K18" s="412">
        <v>3.1110107999999999</v>
      </c>
      <c r="L18" s="412">
        <v>3.0186674999999998</v>
      </c>
      <c r="M18" s="412">
        <v>2.9668798999999999</v>
      </c>
    </row>
    <row r="19" spans="1:13">
      <c r="A19" t="s">
        <v>411</v>
      </c>
      <c r="B19" s="408">
        <v>3.48</v>
      </c>
      <c r="C19" s="408">
        <v>3.26</v>
      </c>
      <c r="D19" s="408">
        <v>3.31</v>
      </c>
      <c r="E19" s="408">
        <v>3.65</v>
      </c>
      <c r="F19" s="408">
        <v>3.72</v>
      </c>
      <c r="G19" s="408">
        <v>3.67</v>
      </c>
      <c r="H19" s="412">
        <v>4.2900137000000003</v>
      </c>
      <c r="I19" s="412">
        <v>3.5371655</v>
      </c>
      <c r="J19" s="412">
        <v>3.2330215999999998</v>
      </c>
      <c r="K19" s="412">
        <v>3.0933058</v>
      </c>
      <c r="L19" s="412">
        <v>2.9859518999999999</v>
      </c>
      <c r="M19" s="412">
        <v>2.9234030999999998</v>
      </c>
    </row>
    <row r="20" spans="1:13">
      <c r="A20" t="s">
        <v>412</v>
      </c>
      <c r="B20" s="408">
        <v>3.49</v>
      </c>
      <c r="C20" s="408">
        <v>3.28</v>
      </c>
      <c r="D20" s="408">
        <v>3.32</v>
      </c>
      <c r="E20" s="408">
        <v>3.64</v>
      </c>
      <c r="F20" s="408">
        <v>3.71</v>
      </c>
      <c r="G20" s="408">
        <v>3.66</v>
      </c>
      <c r="H20" s="412">
        <v>4.2796181000000004</v>
      </c>
      <c r="I20" s="412">
        <v>3.5336702999999998</v>
      </c>
      <c r="J20" s="412">
        <v>3.2422078000000001</v>
      </c>
      <c r="K20" s="412">
        <v>3.1178094000000001</v>
      </c>
      <c r="L20" s="412">
        <v>3.0257177</v>
      </c>
      <c r="M20" s="412">
        <v>2.9732905999999999</v>
      </c>
    </row>
    <row r="21" spans="1:13">
      <c r="A21" t="s">
        <v>413</v>
      </c>
      <c r="B21" s="408">
        <v>3.48</v>
      </c>
      <c r="C21" s="408">
        <v>3.28</v>
      </c>
      <c r="D21" s="408">
        <v>3.37</v>
      </c>
      <c r="E21" s="408">
        <v>3.7</v>
      </c>
      <c r="F21" s="408">
        <v>3.76</v>
      </c>
      <c r="G21" s="408">
        <v>3.71</v>
      </c>
      <c r="H21" s="412">
        <v>4.2535461999999997</v>
      </c>
      <c r="I21" s="412">
        <v>3.5067360000000001</v>
      </c>
      <c r="J21" s="412">
        <v>3.2901536999999998</v>
      </c>
      <c r="K21" s="412">
        <v>3.2092816000000002</v>
      </c>
      <c r="L21" s="412">
        <v>3.1222392000000001</v>
      </c>
      <c r="M21" s="412">
        <v>3.0606909</v>
      </c>
    </row>
    <row r="22" spans="1:13">
      <c r="A22" t="s">
        <v>414</v>
      </c>
      <c r="B22" s="408">
        <v>3.45</v>
      </c>
      <c r="C22" s="408">
        <v>3.26</v>
      </c>
      <c r="D22" s="408">
        <v>3.36</v>
      </c>
      <c r="E22" s="408">
        <v>3.69</v>
      </c>
      <c r="F22" s="408">
        <v>3.76</v>
      </c>
      <c r="G22" s="408">
        <v>3.71</v>
      </c>
      <c r="H22" s="412">
        <v>4.2283518000000004</v>
      </c>
      <c r="I22" s="412">
        <v>3.5295250999999999</v>
      </c>
      <c r="J22" s="412">
        <v>3.3009659</v>
      </c>
      <c r="K22" s="412">
        <v>3.1859329000000001</v>
      </c>
      <c r="L22" s="412">
        <v>3.0872190000000002</v>
      </c>
      <c r="M22" s="412">
        <v>3.0326498000000002</v>
      </c>
    </row>
    <row r="23" spans="1:13">
      <c r="A23" t="s">
        <v>415</v>
      </c>
      <c r="B23" s="408">
        <v>3.36</v>
      </c>
      <c r="C23" s="408">
        <v>3.18</v>
      </c>
      <c r="D23" s="408">
        <v>3.28</v>
      </c>
      <c r="E23" s="408">
        <v>3.62</v>
      </c>
      <c r="F23" s="408">
        <v>3.7</v>
      </c>
      <c r="G23" s="408">
        <v>3.63</v>
      </c>
      <c r="H23" s="412">
        <v>4.1803933999999998</v>
      </c>
      <c r="I23" s="412">
        <v>3.4376931000000002</v>
      </c>
      <c r="J23" s="412">
        <v>3.2146013999999998</v>
      </c>
      <c r="K23" s="412">
        <v>3.1195656999999999</v>
      </c>
      <c r="L23" s="412">
        <v>3.0376873</v>
      </c>
      <c r="M23" s="412">
        <v>2.9893017</v>
      </c>
    </row>
    <row r="24" spans="1:13">
      <c r="A24" t="s">
        <v>416</v>
      </c>
      <c r="B24" s="408">
        <v>3.41</v>
      </c>
      <c r="C24" s="408">
        <v>3.14</v>
      </c>
      <c r="D24" s="408">
        <v>3.24</v>
      </c>
      <c r="E24" s="408">
        <v>3.59</v>
      </c>
      <c r="F24" s="408">
        <v>3.66</v>
      </c>
      <c r="G24" s="408">
        <v>3.59</v>
      </c>
      <c r="H24" s="412">
        <v>4.0842596000000002</v>
      </c>
      <c r="I24" s="412">
        <v>3.3545126000000001</v>
      </c>
      <c r="J24" s="412">
        <v>3.1566445000000001</v>
      </c>
      <c r="K24" s="412">
        <v>3.0774143</v>
      </c>
      <c r="L24" s="412">
        <v>3.0045476999999998</v>
      </c>
      <c r="M24" s="412">
        <v>2.9612232000000001</v>
      </c>
    </row>
    <row r="25" spans="1:13">
      <c r="A25" t="s">
        <v>417</v>
      </c>
      <c r="B25" s="408">
        <v>3.43</v>
      </c>
      <c r="C25" s="408">
        <v>3.17</v>
      </c>
      <c r="D25" s="408">
        <v>3.3</v>
      </c>
      <c r="E25" s="408">
        <v>3.65</v>
      </c>
      <c r="F25" s="408">
        <v>3.72</v>
      </c>
      <c r="G25" s="408">
        <v>3.64</v>
      </c>
      <c r="H25" s="412">
        <v>4.1220695999999997</v>
      </c>
      <c r="I25" s="412">
        <v>3.4117448000000001</v>
      </c>
      <c r="J25" s="412">
        <v>3.2192973</v>
      </c>
      <c r="K25" s="412">
        <v>3.1489913999999999</v>
      </c>
      <c r="L25" s="412">
        <v>3.0750635000000002</v>
      </c>
      <c r="M25" s="412">
        <v>3.0197927</v>
      </c>
    </row>
    <row r="26" spans="1:13">
      <c r="A26" t="s">
        <v>418</v>
      </c>
      <c r="B26" s="408">
        <v>3.48</v>
      </c>
      <c r="C26" s="408">
        <v>3.21</v>
      </c>
      <c r="D26" s="408">
        <v>3.33</v>
      </c>
      <c r="E26" s="408">
        <v>3.69</v>
      </c>
      <c r="F26" s="408">
        <v>3.76</v>
      </c>
      <c r="G26" s="408">
        <v>3.69</v>
      </c>
      <c r="H26" s="412">
        <v>4.1482315999999999</v>
      </c>
      <c r="I26" s="412">
        <v>3.4598236</v>
      </c>
      <c r="J26" s="412">
        <v>3.2541361000000002</v>
      </c>
      <c r="K26" s="412">
        <v>3.1688494</v>
      </c>
      <c r="L26" s="412">
        <v>3.0929921</v>
      </c>
      <c r="M26" s="412">
        <v>3.0450726000000001</v>
      </c>
    </row>
    <row r="27" spans="1:13">
      <c r="A27" t="s">
        <v>419</v>
      </c>
      <c r="B27" s="408">
        <v>3.47</v>
      </c>
      <c r="C27" s="408">
        <v>3.23</v>
      </c>
      <c r="D27" s="408">
        <v>3.35</v>
      </c>
      <c r="E27" s="408">
        <v>3.7</v>
      </c>
      <c r="F27" s="408">
        <v>3.77</v>
      </c>
      <c r="G27" s="408">
        <v>3.7</v>
      </c>
      <c r="H27" s="412">
        <v>4.1627422999999997</v>
      </c>
      <c r="I27" s="412">
        <v>3.5201679000000001</v>
      </c>
      <c r="J27" s="412">
        <v>3.2903999000000002</v>
      </c>
      <c r="K27" s="412">
        <v>3.1713130999999999</v>
      </c>
      <c r="L27" s="412">
        <v>3.0838505999999999</v>
      </c>
      <c r="M27" s="412">
        <v>3.0433115000000002</v>
      </c>
    </row>
    <row r="28" spans="1:13">
      <c r="A28" t="s">
        <v>420</v>
      </c>
      <c r="B28" s="408">
        <v>3.46</v>
      </c>
      <c r="C28" s="408">
        <v>3.22</v>
      </c>
      <c r="D28" s="408">
        <v>3.34</v>
      </c>
      <c r="E28" s="408">
        <v>3.7</v>
      </c>
      <c r="F28" s="408">
        <v>3.78</v>
      </c>
      <c r="G28" s="408">
        <v>3.72</v>
      </c>
      <c r="H28" s="412">
        <v>4.1364599999999996</v>
      </c>
      <c r="I28" s="412">
        <v>3.4850465000000002</v>
      </c>
      <c r="J28" s="412">
        <v>3.2681635999999998</v>
      </c>
      <c r="K28" s="412">
        <v>3.1628976999999998</v>
      </c>
      <c r="L28" s="412">
        <v>3.0868622000000001</v>
      </c>
      <c r="M28" s="412">
        <v>3.0520801999999998</v>
      </c>
    </row>
    <row r="29" spans="1:13">
      <c r="A29" t="s">
        <v>421</v>
      </c>
      <c r="B29" s="408">
        <v>3.41</v>
      </c>
      <c r="C29" s="408">
        <v>3.16</v>
      </c>
      <c r="D29" s="408">
        <v>3.3</v>
      </c>
      <c r="E29" s="408">
        <v>3.67</v>
      </c>
      <c r="F29" s="408">
        <v>3.75</v>
      </c>
      <c r="G29" s="408">
        <v>3.7</v>
      </c>
      <c r="H29" s="412">
        <v>4.1033394000000003</v>
      </c>
      <c r="I29" s="412">
        <v>3.4228839</v>
      </c>
      <c r="J29" s="412">
        <v>3.2333896000000002</v>
      </c>
      <c r="K29" s="412">
        <v>3.1497986</v>
      </c>
      <c r="L29" s="412">
        <v>3.0680955999999999</v>
      </c>
      <c r="M29" s="412">
        <v>3.019587</v>
      </c>
    </row>
    <row r="30" spans="1:13">
      <c r="A30" t="s">
        <v>422</v>
      </c>
      <c r="B30" s="408">
        <v>3.15</v>
      </c>
      <c r="C30" s="408">
        <v>2.85</v>
      </c>
      <c r="D30" s="408">
        <v>2.99</v>
      </c>
      <c r="E30" s="408">
        <v>3.42</v>
      </c>
      <c r="F30" s="408">
        <v>3.53</v>
      </c>
      <c r="G30" s="408">
        <v>3.51</v>
      </c>
      <c r="H30" s="412">
        <v>3.8397945</v>
      </c>
      <c r="I30" s="412">
        <v>3.0848648999999999</v>
      </c>
      <c r="J30" s="412">
        <v>2.8670154999999999</v>
      </c>
      <c r="K30" s="412">
        <v>2.7791983999999998</v>
      </c>
      <c r="L30" s="412">
        <v>2.7299332999999999</v>
      </c>
      <c r="M30" s="412">
        <v>2.7294752999999998</v>
      </c>
    </row>
    <row r="31" spans="1:13">
      <c r="A31" t="s">
        <v>423</v>
      </c>
      <c r="B31" s="408">
        <v>3.22</v>
      </c>
      <c r="C31" s="408">
        <v>2.9</v>
      </c>
      <c r="D31" s="408">
        <v>3.05</v>
      </c>
      <c r="E31" s="408">
        <v>3.47</v>
      </c>
      <c r="F31" s="408">
        <v>3.59</v>
      </c>
      <c r="G31" s="408">
        <v>3.58</v>
      </c>
      <c r="H31" s="412">
        <v>3.8570690000000001</v>
      </c>
      <c r="I31" s="412">
        <v>3.1314918999999999</v>
      </c>
      <c r="J31" s="412">
        <v>2.9502625</v>
      </c>
      <c r="K31" s="412">
        <v>2.8781367000000002</v>
      </c>
      <c r="L31" s="412">
        <v>2.8316121999999999</v>
      </c>
      <c r="M31" s="412">
        <v>2.8229133000000002</v>
      </c>
    </row>
    <row r="32" spans="1:13">
      <c r="A32" t="s">
        <v>424</v>
      </c>
      <c r="B32" s="408">
        <v>3.45</v>
      </c>
      <c r="C32" s="408">
        <v>3.14</v>
      </c>
      <c r="D32" s="408">
        <v>3.26</v>
      </c>
      <c r="E32" s="408">
        <v>3.65</v>
      </c>
      <c r="F32" s="408">
        <v>3.75</v>
      </c>
      <c r="G32" s="408">
        <v>3.72</v>
      </c>
      <c r="H32" s="412">
        <v>3.9946628999999998</v>
      </c>
      <c r="I32" s="412">
        <v>3.3656776000000002</v>
      </c>
      <c r="J32" s="412">
        <v>3.2148829999999999</v>
      </c>
      <c r="K32" s="412">
        <v>3.1096015000000001</v>
      </c>
      <c r="L32" s="412">
        <v>3.0294004999999999</v>
      </c>
      <c r="M32" s="412">
        <v>3.0012514000000001</v>
      </c>
    </row>
    <row r="33" spans="1:13">
      <c r="A33" t="s">
        <v>425</v>
      </c>
      <c r="B33" s="408">
        <v>3.48</v>
      </c>
      <c r="C33" s="408">
        <v>3.18</v>
      </c>
      <c r="D33" s="408">
        <v>3.29</v>
      </c>
      <c r="E33" s="408">
        <v>3.66</v>
      </c>
      <c r="F33" s="408">
        <v>3.76</v>
      </c>
      <c r="G33" s="408">
        <v>3.72</v>
      </c>
      <c r="H33" s="412">
        <v>4.0212912000000003</v>
      </c>
      <c r="I33" s="412">
        <v>3.4108681999999999</v>
      </c>
      <c r="J33" s="412">
        <v>3.2856323000000001</v>
      </c>
      <c r="K33" s="412">
        <v>3.2072824</v>
      </c>
      <c r="L33" s="412">
        <v>3.0885927999999998</v>
      </c>
      <c r="M33" s="412">
        <v>3.0059884000000001</v>
      </c>
    </row>
    <row r="34" spans="1:13">
      <c r="A34" t="s">
        <v>426</v>
      </c>
      <c r="B34" s="408">
        <v>3.44</v>
      </c>
      <c r="C34" s="408">
        <v>3.16</v>
      </c>
      <c r="D34" s="408">
        <v>3.29</v>
      </c>
      <c r="E34" s="408">
        <v>3.68</v>
      </c>
      <c r="F34" s="408">
        <v>3.77</v>
      </c>
      <c r="G34" s="408">
        <v>3.75</v>
      </c>
      <c r="H34" s="412">
        <v>4.0571777000000004</v>
      </c>
      <c r="I34" s="412">
        <v>3.4237962999999998</v>
      </c>
      <c r="J34" s="412">
        <v>3.244049</v>
      </c>
      <c r="K34" s="412">
        <v>3.153969</v>
      </c>
      <c r="L34" s="412">
        <v>3.0748858999999999</v>
      </c>
      <c r="M34" s="412">
        <v>3.0315243999999999</v>
      </c>
    </row>
    <row r="35" spans="1:13">
      <c r="A35" t="s">
        <v>427</v>
      </c>
      <c r="B35" s="408">
        <v>3.5</v>
      </c>
      <c r="C35" s="408">
        <v>3.22</v>
      </c>
      <c r="D35" s="408">
        <v>3.29</v>
      </c>
      <c r="E35" s="408">
        <v>3.68</v>
      </c>
      <c r="F35" s="408">
        <v>3.77</v>
      </c>
      <c r="G35" s="408">
        <v>3.74</v>
      </c>
      <c r="H35" s="412">
        <v>4.0939996000000001</v>
      </c>
      <c r="I35" s="412">
        <v>3.4792706999999998</v>
      </c>
      <c r="J35" s="412">
        <v>3.2466203</v>
      </c>
      <c r="K35" s="412">
        <v>3.1264767999999998</v>
      </c>
      <c r="L35" s="412">
        <v>3.0423714999999998</v>
      </c>
      <c r="M35" s="412">
        <v>2.9977743000000001</v>
      </c>
    </row>
    <row r="36" spans="1:13">
      <c r="A36" t="s">
        <v>428</v>
      </c>
      <c r="B36" s="408">
        <v>3.61</v>
      </c>
      <c r="C36" s="408">
        <v>3.33</v>
      </c>
      <c r="D36" s="408">
        <v>3.39</v>
      </c>
      <c r="E36" s="408">
        <v>3.76</v>
      </c>
      <c r="F36" s="408">
        <v>3.84</v>
      </c>
      <c r="G36" s="408">
        <v>3.81</v>
      </c>
      <c r="H36" s="412">
        <v>4.2551585000000003</v>
      </c>
      <c r="I36" s="412">
        <v>3.6210263</v>
      </c>
      <c r="J36" s="412">
        <v>3.3864607000000002</v>
      </c>
      <c r="K36" s="412">
        <v>3.2545529000000002</v>
      </c>
      <c r="L36" s="412">
        <v>3.1391751999999999</v>
      </c>
      <c r="M36" s="412">
        <v>3.0643753999999999</v>
      </c>
    </row>
    <row r="37" spans="1:13">
      <c r="A37" t="s">
        <v>429</v>
      </c>
      <c r="B37" s="408">
        <v>3.63</v>
      </c>
      <c r="C37" s="408">
        <v>3.35</v>
      </c>
      <c r="D37" s="408">
        <v>3.4</v>
      </c>
      <c r="E37" s="408">
        <v>3.76</v>
      </c>
      <c r="F37" s="408">
        <v>3.85</v>
      </c>
      <c r="G37" s="408">
        <v>3.81</v>
      </c>
      <c r="H37" s="412">
        <v>4.2708177000000003</v>
      </c>
      <c r="I37" s="412">
        <v>3.6588851</v>
      </c>
      <c r="J37" s="412">
        <v>3.3958086999999999</v>
      </c>
      <c r="K37" s="412">
        <v>3.2369316000000001</v>
      </c>
      <c r="L37" s="412">
        <v>3.1268804000000001</v>
      </c>
      <c r="M37" s="412">
        <v>3.0712714999999999</v>
      </c>
    </row>
    <row r="38" spans="1:13">
      <c r="A38" t="s">
        <v>430</v>
      </c>
      <c r="B38" s="408">
        <v>3.81</v>
      </c>
      <c r="C38" s="408">
        <v>3.51</v>
      </c>
      <c r="D38" s="408">
        <v>3.53</v>
      </c>
      <c r="E38" s="408">
        <v>3.86</v>
      </c>
      <c r="F38" s="408">
        <v>3.94</v>
      </c>
      <c r="G38" s="408">
        <v>3.9</v>
      </c>
      <c r="H38" s="412">
        <v>4.4664415000000002</v>
      </c>
      <c r="I38" s="412">
        <v>3.8739927999999999</v>
      </c>
      <c r="J38" s="412">
        <v>3.5266236000000002</v>
      </c>
      <c r="K38" s="412">
        <v>3.3216654999999999</v>
      </c>
      <c r="L38" s="412">
        <v>3.2003984999999999</v>
      </c>
      <c r="M38" s="412">
        <v>3.1447853000000001</v>
      </c>
    </row>
    <row r="39" spans="1:13">
      <c r="A39" t="s">
        <v>431</v>
      </c>
      <c r="B39" s="408">
        <v>3.77</v>
      </c>
      <c r="C39" s="408">
        <v>3.42</v>
      </c>
      <c r="D39" s="408">
        <v>3.48</v>
      </c>
      <c r="E39" s="408">
        <v>3.83</v>
      </c>
      <c r="F39" s="408">
        <v>3.91</v>
      </c>
      <c r="G39" s="408">
        <v>3.87</v>
      </c>
      <c r="H39" s="412">
        <v>4.2940383000000004</v>
      </c>
      <c r="I39" s="412">
        <v>3.7579399000000002</v>
      </c>
      <c r="J39" s="412">
        <v>3.447514</v>
      </c>
      <c r="K39" s="412">
        <v>3.2912059</v>
      </c>
      <c r="L39" s="412">
        <v>3.1983560999999998</v>
      </c>
      <c r="M39" s="412">
        <v>3.1542579000000002</v>
      </c>
    </row>
    <row r="40" spans="1:13">
      <c r="A40" t="s">
        <v>432</v>
      </c>
      <c r="B40" s="408">
        <v>3.79</v>
      </c>
      <c r="C40" s="408">
        <v>3.41</v>
      </c>
      <c r="D40" s="408">
        <v>3.5</v>
      </c>
      <c r="E40" s="408">
        <v>3.85</v>
      </c>
      <c r="F40" s="408">
        <v>3.93</v>
      </c>
      <c r="G40" s="408">
        <v>3.89</v>
      </c>
      <c r="H40" s="412">
        <v>4.2509537999999996</v>
      </c>
      <c r="I40" s="412">
        <v>3.7297177000000001</v>
      </c>
      <c r="J40" s="412">
        <v>3.4680314999999999</v>
      </c>
      <c r="K40" s="412">
        <v>3.3216730000000001</v>
      </c>
      <c r="L40" s="412">
        <v>3.2221481999999999</v>
      </c>
      <c r="M40" s="412">
        <v>3.1721575</v>
      </c>
    </row>
    <row r="41" spans="1:13">
      <c r="A41" t="s">
        <v>433</v>
      </c>
      <c r="B41" s="408">
        <v>3.79</v>
      </c>
      <c r="C41" s="408">
        <v>3.42</v>
      </c>
      <c r="D41" s="408">
        <v>3.51</v>
      </c>
      <c r="E41" s="408">
        <v>3.88</v>
      </c>
      <c r="F41" s="408">
        <v>3.96</v>
      </c>
      <c r="G41" s="408">
        <v>3.93</v>
      </c>
      <c r="H41" s="412">
        <v>4.2754490000000001</v>
      </c>
      <c r="I41" s="412">
        <v>3.7225801999999999</v>
      </c>
      <c r="J41" s="412">
        <v>3.4616631</v>
      </c>
      <c r="K41" s="412">
        <v>3.3185446000000001</v>
      </c>
      <c r="L41" s="412">
        <v>3.2205143000000001</v>
      </c>
      <c r="M41" s="412">
        <v>3.1719300000000001</v>
      </c>
    </row>
    <row r="42" spans="1:13">
      <c r="A42" t="s">
        <v>434</v>
      </c>
      <c r="B42" s="408">
        <v>3.75</v>
      </c>
      <c r="C42" s="408">
        <v>3.39</v>
      </c>
      <c r="D42" s="408">
        <v>3.48</v>
      </c>
      <c r="E42" s="408">
        <v>3.85</v>
      </c>
      <c r="F42" s="408">
        <v>3.92</v>
      </c>
      <c r="G42" s="408">
        <v>3.9</v>
      </c>
      <c r="H42" s="412">
        <v>4.2136309000000001</v>
      </c>
      <c r="I42" s="412">
        <v>3.6861139999999999</v>
      </c>
      <c r="J42" s="412">
        <v>3.4230754999999999</v>
      </c>
      <c r="K42" s="412">
        <v>3.2525553999999999</v>
      </c>
      <c r="L42" s="412">
        <v>3.1428988000000002</v>
      </c>
      <c r="M42" s="412">
        <v>3.1038408999999998</v>
      </c>
    </row>
    <row r="43" spans="1:13">
      <c r="A43" t="s">
        <v>435</v>
      </c>
      <c r="B43" s="408">
        <v>3.93</v>
      </c>
      <c r="C43" s="408">
        <v>3.57</v>
      </c>
      <c r="D43" s="408">
        <v>3.63</v>
      </c>
      <c r="E43" s="408">
        <v>3.98</v>
      </c>
      <c r="F43" s="408">
        <v>4.05</v>
      </c>
      <c r="G43" s="408">
        <v>4.0199999999999996</v>
      </c>
      <c r="H43" s="412">
        <v>4.4353154999999997</v>
      </c>
      <c r="I43" s="412">
        <v>3.9045033</v>
      </c>
      <c r="J43" s="412">
        <v>3.5826961000000002</v>
      </c>
      <c r="K43" s="412">
        <v>3.3918382</v>
      </c>
      <c r="L43" s="412">
        <v>3.2914756999999999</v>
      </c>
      <c r="M43" s="412">
        <v>3.2638992</v>
      </c>
    </row>
    <row r="44" spans="1:13">
      <c r="A44" t="s">
        <v>436</v>
      </c>
      <c r="B44" s="408">
        <v>3.92</v>
      </c>
      <c r="C44" s="408">
        <v>3.57</v>
      </c>
      <c r="D44" s="408">
        <v>3.61</v>
      </c>
      <c r="E44" s="408">
        <v>3.95</v>
      </c>
      <c r="F44" s="408">
        <v>4.0199999999999996</v>
      </c>
      <c r="G44" s="408">
        <v>4</v>
      </c>
      <c r="H44" s="412">
        <v>4.4209446999999997</v>
      </c>
      <c r="I44" s="412">
        <v>3.8701346999999999</v>
      </c>
      <c r="J44" s="412">
        <v>3.5939000000000001</v>
      </c>
      <c r="K44" s="412">
        <v>3.4335939999999998</v>
      </c>
      <c r="L44" s="412">
        <v>3.3240281</v>
      </c>
      <c r="M44" s="412">
        <v>3.2708381000000002</v>
      </c>
    </row>
    <row r="45" spans="1:13">
      <c r="A45" t="s">
        <v>437</v>
      </c>
      <c r="B45" s="408">
        <v>3.9</v>
      </c>
      <c r="C45" s="408">
        <v>3.56</v>
      </c>
      <c r="D45" s="408">
        <v>3.58</v>
      </c>
      <c r="E45" s="408">
        <v>3.94</v>
      </c>
      <c r="F45" s="408">
        <v>4.01</v>
      </c>
      <c r="G45" s="408">
        <v>3.98</v>
      </c>
      <c r="H45" s="412">
        <v>4.4606338000000001</v>
      </c>
      <c r="I45" s="412">
        <v>3.8873525999999998</v>
      </c>
      <c r="J45" s="412">
        <v>3.5864658</v>
      </c>
      <c r="K45" s="412">
        <v>3.4097032</v>
      </c>
      <c r="L45" s="412">
        <v>3.2963018000000002</v>
      </c>
      <c r="M45" s="412">
        <v>3.2415053999999999</v>
      </c>
    </row>
    <row r="46" spans="1:13">
      <c r="A46" t="s">
        <v>438</v>
      </c>
      <c r="B46" s="408">
        <v>3.62</v>
      </c>
      <c r="C46" s="408">
        <v>3.64</v>
      </c>
      <c r="D46" s="408">
        <v>3.75</v>
      </c>
      <c r="E46" s="408">
        <v>4.0599999999999996</v>
      </c>
      <c r="F46" s="408">
        <v>4.18</v>
      </c>
      <c r="G46" s="408">
        <v>4.21</v>
      </c>
      <c r="H46" s="412">
        <v>4.6697154999999997</v>
      </c>
      <c r="I46" s="412">
        <v>4.0498830999999997</v>
      </c>
      <c r="J46" s="412">
        <v>3.6647851999999999</v>
      </c>
      <c r="K46" s="412">
        <v>3.4467577</v>
      </c>
      <c r="L46" s="412">
        <v>3.3191109000000001</v>
      </c>
      <c r="M46" s="412">
        <v>3.2581763000000001</v>
      </c>
    </row>
    <row r="47" spans="1:13">
      <c r="A47" t="s">
        <v>439</v>
      </c>
      <c r="B47" s="408">
        <v>3.68</v>
      </c>
      <c r="C47" s="408">
        <v>3.7</v>
      </c>
      <c r="D47" s="408">
        <v>3.8</v>
      </c>
      <c r="E47" s="408">
        <v>4.12</v>
      </c>
      <c r="F47" s="408">
        <v>4.16</v>
      </c>
      <c r="G47" s="408">
        <v>4.1399999999999997</v>
      </c>
      <c r="H47" s="412">
        <v>4.6798807</v>
      </c>
      <c r="I47" s="412">
        <v>4.1166081999999999</v>
      </c>
      <c r="J47" s="412">
        <v>3.7334276000000002</v>
      </c>
      <c r="K47" s="412">
        <v>3.5020701999999999</v>
      </c>
      <c r="L47" s="412">
        <v>3.3653352999999999</v>
      </c>
      <c r="M47" s="412">
        <v>3.30905</v>
      </c>
    </row>
    <row r="48" spans="1:13">
      <c r="A48" t="s">
        <v>440</v>
      </c>
      <c r="B48" s="408">
        <v>3.66</v>
      </c>
      <c r="C48" s="408">
        <v>3.68</v>
      </c>
      <c r="D48" s="408">
        <v>3.84</v>
      </c>
      <c r="E48" s="408">
        <v>4.09</v>
      </c>
      <c r="F48" s="408">
        <v>4.16</v>
      </c>
      <c r="G48" s="408">
        <v>4.1100000000000003</v>
      </c>
      <c r="H48" s="412">
        <v>4.7669841999999996</v>
      </c>
      <c r="I48" s="412">
        <v>4.1740630999999997</v>
      </c>
      <c r="J48" s="412">
        <v>3.6879368000000001</v>
      </c>
      <c r="K48" s="412">
        <v>3.4473258000000002</v>
      </c>
      <c r="L48" s="412">
        <v>3.3197681999999999</v>
      </c>
      <c r="M48" s="412">
        <v>3.2635036999999998</v>
      </c>
    </row>
    <row r="49" spans="1:13">
      <c r="A49" t="s">
        <v>441</v>
      </c>
      <c r="B49" s="408">
        <v>3.68</v>
      </c>
      <c r="C49" s="408">
        <v>3.68</v>
      </c>
      <c r="D49" s="408">
        <v>3.83</v>
      </c>
      <c r="E49" s="408">
        <v>4.1500000000000004</v>
      </c>
      <c r="F49" s="408">
        <v>4.08</v>
      </c>
      <c r="G49" s="408">
        <v>4.22</v>
      </c>
      <c r="H49" s="412">
        <v>4.6863276999999997</v>
      </c>
      <c r="I49" s="412">
        <v>4.1246600999999998</v>
      </c>
      <c r="J49" s="412">
        <v>3.6793745000000002</v>
      </c>
      <c r="K49" s="412">
        <v>3.4858634999999998</v>
      </c>
      <c r="L49" s="412">
        <v>3.4032684999999998</v>
      </c>
      <c r="M49" s="412">
        <v>3.3767580000000001</v>
      </c>
    </row>
    <row r="50" spans="1:13">
      <c r="A50" t="s">
        <v>442</v>
      </c>
      <c r="B50" s="408">
        <v>3.69</v>
      </c>
      <c r="C50" s="408">
        <v>3.69</v>
      </c>
      <c r="D50" s="408">
        <v>3.91</v>
      </c>
      <c r="E50" s="408">
        <v>4.18</v>
      </c>
      <c r="F50" s="408">
        <v>4.28</v>
      </c>
      <c r="G50" s="408">
        <v>4.25</v>
      </c>
      <c r="H50" s="412">
        <v>4.6910743000000004</v>
      </c>
      <c r="I50" s="412">
        <v>4.1805251999999999</v>
      </c>
      <c r="J50" s="412">
        <v>3.7736364999999998</v>
      </c>
      <c r="K50" s="412">
        <v>3.5428044000000001</v>
      </c>
      <c r="L50" s="412">
        <v>3.4218296000000001</v>
      </c>
      <c r="M50" s="412">
        <v>3.3830355000000001</v>
      </c>
    </row>
    <row r="51" spans="1:13">
      <c r="A51" t="s">
        <v>443</v>
      </c>
      <c r="B51" s="408">
        <v>3.69</v>
      </c>
      <c r="C51" s="408">
        <v>3.65</v>
      </c>
      <c r="D51" s="408">
        <v>3.8</v>
      </c>
      <c r="E51" s="408">
        <v>4.1500000000000004</v>
      </c>
      <c r="F51" s="408">
        <v>4.18</v>
      </c>
      <c r="G51" s="408">
        <v>4.21</v>
      </c>
      <c r="H51" s="412">
        <v>4.6958317000000003</v>
      </c>
      <c r="I51" s="412">
        <v>4.1541942000000001</v>
      </c>
      <c r="J51" s="412">
        <v>3.7513043000000001</v>
      </c>
      <c r="K51" s="412">
        <v>3.5189998999999998</v>
      </c>
      <c r="L51" s="412">
        <v>3.3817111999999998</v>
      </c>
      <c r="M51" s="412">
        <v>3.3260890000000001</v>
      </c>
    </row>
    <row r="52" spans="1:13">
      <c r="A52" t="s">
        <v>444</v>
      </c>
      <c r="B52" s="408">
        <v>3.76</v>
      </c>
      <c r="C52" s="408">
        <v>3.7</v>
      </c>
      <c r="D52" s="408">
        <v>3.88</v>
      </c>
      <c r="E52" s="408">
        <v>4.1500000000000004</v>
      </c>
      <c r="F52" s="408">
        <v>4.21</v>
      </c>
      <c r="G52" s="408">
        <v>4.21</v>
      </c>
      <c r="H52" s="412">
        <v>4.7462105000000001</v>
      </c>
      <c r="I52" s="412">
        <v>4.2219103000000002</v>
      </c>
      <c r="J52" s="412">
        <v>3.761946</v>
      </c>
      <c r="K52" s="412">
        <v>3.4906239999999999</v>
      </c>
      <c r="L52" s="412">
        <v>3.3574088999999998</v>
      </c>
      <c r="M52" s="412">
        <v>3.3207776</v>
      </c>
    </row>
    <row r="53" spans="1:13">
      <c r="A53" t="s">
        <v>445</v>
      </c>
      <c r="B53" s="408">
        <v>3.79</v>
      </c>
      <c r="C53" s="408">
        <v>3.69</v>
      </c>
      <c r="D53" s="408">
        <v>3.85</v>
      </c>
      <c r="E53" s="408">
        <v>4.0999999999999996</v>
      </c>
      <c r="F53" s="408">
        <v>4.1399999999999997</v>
      </c>
      <c r="G53" s="408">
        <v>4.13</v>
      </c>
      <c r="H53" s="412">
        <v>4.8349627000000002</v>
      </c>
      <c r="I53" s="412">
        <v>4.2094202000000003</v>
      </c>
      <c r="J53" s="412">
        <v>3.7261481999999999</v>
      </c>
      <c r="K53" s="412">
        <v>3.4618867</v>
      </c>
      <c r="L53" s="412">
        <v>3.3124714000000002</v>
      </c>
      <c r="M53" s="412">
        <v>3.2446068000000001</v>
      </c>
    </row>
    <row r="54" spans="1:13">
      <c r="A54" t="s">
        <v>446</v>
      </c>
      <c r="B54" s="408">
        <v>3.79</v>
      </c>
      <c r="C54" s="408">
        <v>3.67</v>
      </c>
      <c r="D54" s="408">
        <v>3.79</v>
      </c>
      <c r="E54" s="408">
        <v>4.05</v>
      </c>
      <c r="F54" s="408">
        <v>4.1500000000000004</v>
      </c>
      <c r="G54" s="408">
        <v>4.08</v>
      </c>
      <c r="H54" s="412">
        <v>4.8102381999999997</v>
      </c>
      <c r="I54" s="412">
        <v>4.1823765000000002</v>
      </c>
      <c r="J54" s="412">
        <v>3.7062979999999999</v>
      </c>
      <c r="K54" s="412">
        <v>3.4390187999999999</v>
      </c>
      <c r="L54" s="412">
        <v>3.2758422</v>
      </c>
      <c r="M54" s="412">
        <v>3.1937999000000001</v>
      </c>
    </row>
    <row r="55" spans="1:13">
      <c r="A55" t="s">
        <v>447</v>
      </c>
      <c r="B55" s="408">
        <v>3.8</v>
      </c>
      <c r="C55" s="408">
        <v>3.67</v>
      </c>
      <c r="D55" s="408">
        <v>3.83</v>
      </c>
      <c r="E55" s="408">
        <v>4.0599999999999996</v>
      </c>
      <c r="F55" s="408">
        <v>4.12</v>
      </c>
      <c r="G55" s="408">
        <v>4.0999999999999996</v>
      </c>
      <c r="H55" s="412">
        <v>4.7815310000000002</v>
      </c>
      <c r="I55" s="412">
        <v>4.1818369999999998</v>
      </c>
      <c r="J55" s="412">
        <v>3.7500509000000002</v>
      </c>
      <c r="K55" s="412">
        <v>3.4729209999999999</v>
      </c>
      <c r="L55" s="412">
        <v>3.2926402000000001</v>
      </c>
      <c r="M55" s="412">
        <v>3.2083113999999999</v>
      </c>
    </row>
    <row r="56" spans="1:13">
      <c r="A56" t="s">
        <v>448</v>
      </c>
      <c r="B56" s="408">
        <v>3.61</v>
      </c>
      <c r="C56" s="408">
        <v>3.49</v>
      </c>
      <c r="D56" s="408">
        <v>3.62</v>
      </c>
      <c r="E56" s="408">
        <v>3.91</v>
      </c>
      <c r="F56" s="408">
        <v>4.01</v>
      </c>
      <c r="G56" s="408">
        <v>3.98</v>
      </c>
      <c r="H56" s="412">
        <v>4.5646414000000002</v>
      </c>
      <c r="I56" s="412">
        <v>4.0391048999999999</v>
      </c>
      <c r="J56" s="412">
        <v>3.5990294999999999</v>
      </c>
      <c r="K56" s="412">
        <v>3.3218226</v>
      </c>
      <c r="L56" s="412">
        <v>3.1633225999999999</v>
      </c>
      <c r="M56" s="412">
        <v>3.0968849999999999</v>
      </c>
    </row>
    <row r="57" spans="1:13">
      <c r="A57" t="s">
        <v>449</v>
      </c>
      <c r="B57" s="408">
        <v>3.36</v>
      </c>
      <c r="C57" s="408">
        <v>3.27</v>
      </c>
      <c r="D57" s="408">
        <v>3.38</v>
      </c>
      <c r="E57" s="408">
        <v>3.7</v>
      </c>
      <c r="F57" s="408">
        <v>3.67</v>
      </c>
      <c r="G57" s="408">
        <v>3.83</v>
      </c>
      <c r="H57" s="412">
        <v>4.1852448000000004</v>
      </c>
      <c r="I57" s="412">
        <v>3.9171496000000001</v>
      </c>
      <c r="J57" s="412">
        <v>3.4921673000000002</v>
      </c>
      <c r="K57" s="412">
        <v>3.1717401000000001</v>
      </c>
      <c r="L57" s="412">
        <v>2.9963038000000002</v>
      </c>
      <c r="M57" s="412">
        <v>2.9309945000000002</v>
      </c>
    </row>
    <row r="58" spans="1:13">
      <c r="A58" t="s">
        <v>450</v>
      </c>
      <c r="B58" s="408">
        <v>3.47</v>
      </c>
      <c r="C58" s="408">
        <v>3.39</v>
      </c>
      <c r="D58" s="408">
        <v>3.5</v>
      </c>
      <c r="E58" s="408">
        <v>3.78</v>
      </c>
      <c r="F58" s="408">
        <v>3.77</v>
      </c>
      <c r="G58" s="408">
        <v>3.89</v>
      </c>
      <c r="H58" s="412">
        <v>4.2771669000000001</v>
      </c>
      <c r="I58" s="412">
        <v>3.9986628</v>
      </c>
      <c r="J58" s="412">
        <v>3.6183333000000002</v>
      </c>
      <c r="K58" s="412">
        <v>3.3201624000000001</v>
      </c>
      <c r="L58" s="412">
        <v>3.1301785</v>
      </c>
      <c r="M58" s="412">
        <v>3.0374314999999998</v>
      </c>
    </row>
    <row r="59" spans="1:13">
      <c r="A59" t="s">
        <v>451</v>
      </c>
      <c r="B59" s="408">
        <v>3.31</v>
      </c>
      <c r="C59" s="408">
        <v>3.24</v>
      </c>
      <c r="D59" s="408">
        <v>3.33</v>
      </c>
      <c r="E59" s="408">
        <v>3.66</v>
      </c>
      <c r="F59" s="408">
        <v>3.75</v>
      </c>
      <c r="G59" s="408">
        <v>3.78</v>
      </c>
      <c r="H59" s="412">
        <v>4.0083925000000002</v>
      </c>
      <c r="I59" s="412">
        <v>3.8365016000000001</v>
      </c>
      <c r="J59" s="412">
        <v>3.5541889000000002</v>
      </c>
      <c r="K59" s="412">
        <v>3.2744922999999999</v>
      </c>
      <c r="L59" s="412">
        <v>3.0728654999999998</v>
      </c>
      <c r="M59" s="412">
        <v>2.9634149999999999</v>
      </c>
    </row>
    <row r="60" spans="1:13">
      <c r="A60" t="s">
        <v>452</v>
      </c>
      <c r="B60" s="408">
        <v>3.42</v>
      </c>
      <c r="C60" s="408">
        <v>3.33</v>
      </c>
      <c r="D60" s="408">
        <v>3.41</v>
      </c>
      <c r="E60" s="408">
        <v>3.74</v>
      </c>
      <c r="F60" s="408">
        <v>3.75</v>
      </c>
      <c r="G60" s="408">
        <v>3.85</v>
      </c>
      <c r="H60" s="412">
        <v>4.1441407000000003</v>
      </c>
      <c r="I60" s="412">
        <v>3.8796157999999998</v>
      </c>
      <c r="J60" s="412">
        <v>3.5792079999999999</v>
      </c>
      <c r="K60" s="412">
        <v>3.3021389999999999</v>
      </c>
      <c r="L60" s="412">
        <v>3.120063</v>
      </c>
      <c r="M60" s="412">
        <v>3.0140834000000001</v>
      </c>
    </row>
    <row r="61" spans="1:13">
      <c r="A61" t="s">
        <v>453</v>
      </c>
      <c r="B61" s="408">
        <v>3.24</v>
      </c>
      <c r="C61" s="408">
        <v>3.17</v>
      </c>
      <c r="D61" s="408">
        <v>3.28</v>
      </c>
      <c r="E61" s="408">
        <v>3.62</v>
      </c>
      <c r="F61" s="408">
        <v>3.75</v>
      </c>
      <c r="G61" s="408">
        <v>3.76</v>
      </c>
      <c r="H61" s="412">
        <v>3.9788190999999999</v>
      </c>
      <c r="I61" s="412">
        <v>3.6671041</v>
      </c>
      <c r="J61" s="412">
        <v>3.3872195</v>
      </c>
      <c r="K61" s="412">
        <v>3.1321750000000002</v>
      </c>
      <c r="L61" s="412">
        <v>2.9520952</v>
      </c>
      <c r="M61" s="412">
        <v>2.8618548000000001</v>
      </c>
    </row>
    <row r="62" spans="1:13">
      <c r="A62" t="s">
        <v>454</v>
      </c>
      <c r="B62" s="408">
        <v>3.23</v>
      </c>
      <c r="C62" s="408">
        <v>3.17</v>
      </c>
      <c r="D62" s="408">
        <v>3.31</v>
      </c>
      <c r="E62" s="408">
        <v>3.68</v>
      </c>
      <c r="F62" s="408">
        <v>3.8</v>
      </c>
      <c r="G62" s="408">
        <v>3.83</v>
      </c>
      <c r="H62" s="412">
        <v>3.9070372</v>
      </c>
      <c r="I62" s="412">
        <v>3.6164193999999998</v>
      </c>
      <c r="J62" s="412">
        <v>3.3562691</v>
      </c>
      <c r="K62" s="412">
        <v>3.1267181000000002</v>
      </c>
      <c r="L62" s="412">
        <v>2.9790662000000001</v>
      </c>
      <c r="M62" s="412">
        <v>2.9150095999999999</v>
      </c>
    </row>
    <row r="63" spans="1:13">
      <c r="A63" t="s">
        <v>455</v>
      </c>
      <c r="B63" s="408">
        <v>3.29</v>
      </c>
      <c r="C63" s="408">
        <v>3.22</v>
      </c>
      <c r="D63" s="408">
        <v>3.36</v>
      </c>
      <c r="E63" s="408">
        <v>3.71</v>
      </c>
      <c r="F63" s="408">
        <v>3.83</v>
      </c>
      <c r="G63" s="408">
        <v>3.84</v>
      </c>
      <c r="H63" s="412">
        <v>4.0315178999999999</v>
      </c>
      <c r="I63" s="412">
        <v>3.6236320000000002</v>
      </c>
      <c r="J63" s="412">
        <v>3.3581188000000002</v>
      </c>
      <c r="K63" s="412">
        <v>3.1507459</v>
      </c>
      <c r="L63" s="412">
        <v>3.0116269999999998</v>
      </c>
      <c r="M63" s="412">
        <v>2.9458500000000001</v>
      </c>
    </row>
    <row r="64" spans="1:13">
      <c r="A64" t="s">
        <v>456</v>
      </c>
      <c r="B64" s="408">
        <v>3.48</v>
      </c>
      <c r="C64" s="408">
        <v>3.36</v>
      </c>
      <c r="D64" s="408">
        <v>3.44</v>
      </c>
      <c r="E64" s="408">
        <v>3.75</v>
      </c>
      <c r="F64" s="408">
        <v>3.8</v>
      </c>
      <c r="G64" s="408">
        <v>3.87</v>
      </c>
      <c r="H64" s="412">
        <v>4.3780559999999999</v>
      </c>
      <c r="I64" s="412">
        <v>3.8390800999999999</v>
      </c>
      <c r="J64" s="412">
        <v>3.4610683999999998</v>
      </c>
      <c r="K64" s="412">
        <v>3.1861608000000001</v>
      </c>
      <c r="L64" s="412">
        <v>3.0063567999999998</v>
      </c>
      <c r="M64" s="412">
        <v>2.9184871999999999</v>
      </c>
    </row>
    <row r="65" spans="1:13">
      <c r="A65" t="s">
        <v>457</v>
      </c>
      <c r="B65" s="408">
        <v>3.28</v>
      </c>
      <c r="C65" s="408">
        <v>3.2</v>
      </c>
      <c r="D65" s="408">
        <v>3.36</v>
      </c>
      <c r="E65" s="408">
        <v>3.68</v>
      </c>
      <c r="F65" s="408">
        <v>3.76</v>
      </c>
      <c r="G65" s="408">
        <v>3.82</v>
      </c>
      <c r="H65" s="412">
        <v>4.1037030000000003</v>
      </c>
      <c r="I65" s="412">
        <v>3.5313691999999999</v>
      </c>
      <c r="J65" s="412">
        <v>3.3194059</v>
      </c>
      <c r="K65" s="412">
        <v>3.1341535999999999</v>
      </c>
      <c r="L65" s="412">
        <v>2.9768903999999998</v>
      </c>
      <c r="M65" s="412">
        <v>2.8910019999999998</v>
      </c>
    </row>
    <row r="66" spans="1:13">
      <c r="A66" t="s">
        <v>458</v>
      </c>
      <c r="B66" s="408">
        <v>3.21</v>
      </c>
      <c r="C66" s="408">
        <v>3.12</v>
      </c>
      <c r="D66" s="408">
        <v>3.28</v>
      </c>
      <c r="E66" s="408">
        <v>3.62</v>
      </c>
      <c r="F66" s="408">
        <v>3.73</v>
      </c>
      <c r="G66" s="408">
        <v>3.76</v>
      </c>
      <c r="H66" s="412">
        <v>4.0108097999999996</v>
      </c>
      <c r="I66" s="412">
        <v>3.4677891000000001</v>
      </c>
      <c r="J66" s="412">
        <v>3.2404362</v>
      </c>
      <c r="K66" s="412">
        <v>3.0584582999999999</v>
      </c>
      <c r="L66" s="412">
        <v>2.9180659000000002</v>
      </c>
      <c r="M66" s="412">
        <v>2.8482489000000002</v>
      </c>
    </row>
    <row r="67" spans="1:13">
      <c r="A67" t="s">
        <v>459</v>
      </c>
      <c r="B67" s="408">
        <v>3.34</v>
      </c>
      <c r="C67" s="408">
        <v>3.23</v>
      </c>
      <c r="D67" s="408">
        <v>3.38</v>
      </c>
      <c r="E67" s="408">
        <v>3.71</v>
      </c>
      <c r="F67" s="408">
        <v>3.65</v>
      </c>
      <c r="G67" s="408">
        <v>3.83</v>
      </c>
      <c r="H67" s="412">
        <v>4.1882336999999996</v>
      </c>
      <c r="I67" s="412">
        <v>3.6427990000000001</v>
      </c>
      <c r="J67" s="412">
        <v>3.3467386000000001</v>
      </c>
      <c r="K67" s="412">
        <v>3.1359137000000001</v>
      </c>
      <c r="L67" s="412">
        <v>2.9941963999999999</v>
      </c>
      <c r="M67" s="412">
        <v>2.9274132000000002</v>
      </c>
    </row>
    <row r="68" spans="1:13">
      <c r="A68" t="s">
        <v>460</v>
      </c>
      <c r="B68" s="408">
        <v>3.38</v>
      </c>
      <c r="C68" s="408">
        <v>3.29</v>
      </c>
      <c r="D68" s="408">
        <v>3.46</v>
      </c>
      <c r="E68" s="408">
        <v>3.78</v>
      </c>
      <c r="F68" s="408">
        <v>3.84</v>
      </c>
      <c r="G68" s="408">
        <v>3.87</v>
      </c>
      <c r="H68" s="412">
        <v>4.2411579000000001</v>
      </c>
      <c r="I68" s="412">
        <v>3.6759674000000002</v>
      </c>
      <c r="J68" s="412">
        <v>3.3983411000000001</v>
      </c>
      <c r="K68" s="412">
        <v>3.2186197000000001</v>
      </c>
      <c r="L68" s="412">
        <v>3.0872511999999999</v>
      </c>
      <c r="M68" s="412">
        <v>3.0175169999999998</v>
      </c>
    </row>
    <row r="69" spans="1:13">
      <c r="A69" t="s">
        <v>461</v>
      </c>
      <c r="B69" s="408">
        <v>3.4</v>
      </c>
      <c r="C69" s="408">
        <v>3.31</v>
      </c>
      <c r="D69" s="408">
        <v>3.46</v>
      </c>
      <c r="E69" s="408">
        <v>3.76</v>
      </c>
      <c r="F69" s="408">
        <v>3.81</v>
      </c>
      <c r="G69" s="408">
        <v>3.82</v>
      </c>
      <c r="H69" s="412">
        <v>4.3004432000000001</v>
      </c>
      <c r="I69" s="412">
        <v>3.7218548</v>
      </c>
      <c r="J69" s="412">
        <v>3.4424608999999999</v>
      </c>
      <c r="K69" s="412">
        <v>3.2411856999999999</v>
      </c>
      <c r="L69" s="412">
        <v>3.088965</v>
      </c>
      <c r="M69" s="412">
        <v>3.0039267000000001</v>
      </c>
    </row>
    <row r="70" spans="1:13">
      <c r="A70" t="s">
        <v>462</v>
      </c>
      <c r="B70" s="408">
        <v>3.45</v>
      </c>
      <c r="C70" s="408">
        <v>3.35</v>
      </c>
      <c r="D70" s="408">
        <v>3.5</v>
      </c>
      <c r="E70" s="408">
        <v>3.8</v>
      </c>
      <c r="F70" s="408">
        <v>3.83</v>
      </c>
      <c r="G70" s="408">
        <v>3.84</v>
      </c>
      <c r="H70" s="412">
        <v>4.3500435</v>
      </c>
      <c r="I70" s="412">
        <v>3.7960663000000001</v>
      </c>
      <c r="J70" s="412">
        <v>3.5095413999999998</v>
      </c>
      <c r="K70" s="412">
        <v>3.2765635</v>
      </c>
      <c r="L70" s="412">
        <v>3.0986489000000002</v>
      </c>
      <c r="M70" s="412">
        <v>2.9999416000000001</v>
      </c>
    </row>
    <row r="71" spans="1:13">
      <c r="A71" t="s">
        <v>463</v>
      </c>
      <c r="B71" s="408">
        <v>3.42</v>
      </c>
      <c r="C71" s="408">
        <v>3.33</v>
      </c>
      <c r="D71" s="408">
        <v>3.47</v>
      </c>
      <c r="E71" s="408">
        <v>3.76</v>
      </c>
      <c r="F71" s="408">
        <v>3.8</v>
      </c>
      <c r="G71" s="408">
        <v>3.82</v>
      </c>
      <c r="H71" s="412">
        <v>4.3208979999999997</v>
      </c>
      <c r="I71" s="412">
        <v>3.7376738</v>
      </c>
      <c r="J71" s="412">
        <v>3.4732064</v>
      </c>
      <c r="K71" s="412">
        <v>3.2380645000000001</v>
      </c>
      <c r="L71" s="412">
        <v>3.0533755</v>
      </c>
      <c r="M71" s="412">
        <v>2.9506646999999999</v>
      </c>
    </row>
    <row r="72" spans="1:13">
      <c r="A72" t="s">
        <v>464</v>
      </c>
      <c r="B72" s="408">
        <v>3.39</v>
      </c>
      <c r="C72" s="408">
        <v>3.3</v>
      </c>
      <c r="D72" s="408">
        <v>3.43</v>
      </c>
      <c r="E72" s="408">
        <v>3.71</v>
      </c>
      <c r="F72" s="408">
        <v>3.75</v>
      </c>
      <c r="G72" s="408">
        <v>3.75</v>
      </c>
      <c r="H72" s="412">
        <v>4.2285463999999999</v>
      </c>
      <c r="I72" s="412">
        <v>3.6398259999999998</v>
      </c>
      <c r="J72" s="412">
        <v>3.3562908</v>
      </c>
      <c r="K72" s="412">
        <v>3.1542583</v>
      </c>
      <c r="L72" s="412">
        <v>3.0131049000000001</v>
      </c>
      <c r="M72" s="412">
        <v>2.9391957999999998</v>
      </c>
    </row>
    <row r="73" spans="1:13">
      <c r="A73" t="s">
        <v>465</v>
      </c>
      <c r="B73" s="408">
        <v>3.34</v>
      </c>
      <c r="C73" s="408">
        <v>3.26</v>
      </c>
      <c r="D73" s="408">
        <v>3.42</v>
      </c>
      <c r="E73" s="408">
        <v>3.71</v>
      </c>
      <c r="F73" s="408">
        <v>3.75</v>
      </c>
      <c r="G73" s="408">
        <v>3.74</v>
      </c>
      <c r="H73" s="412">
        <v>4.1347871999999999</v>
      </c>
      <c r="I73" s="412">
        <v>3.5639834000000001</v>
      </c>
      <c r="J73" s="412">
        <v>3.3407684</v>
      </c>
      <c r="K73" s="412">
        <v>3.1727213000000001</v>
      </c>
      <c r="L73" s="412">
        <v>3.0433631999999999</v>
      </c>
      <c r="M73" s="412">
        <v>2.9711321000000002</v>
      </c>
    </row>
    <row r="74" spans="1:13">
      <c r="A74" t="s">
        <v>466</v>
      </c>
      <c r="B74" s="408">
        <v>3.32</v>
      </c>
      <c r="C74" s="408">
        <v>3.25</v>
      </c>
      <c r="D74" s="408">
        <v>3.42</v>
      </c>
      <c r="E74" s="408">
        <v>3.7</v>
      </c>
      <c r="F74" s="408">
        <v>3.76</v>
      </c>
      <c r="G74" s="408">
        <v>3.76</v>
      </c>
      <c r="H74" s="412">
        <v>4.1306269999999996</v>
      </c>
      <c r="I74" s="412">
        <v>3.5184342000000002</v>
      </c>
      <c r="J74" s="412">
        <v>3.3188675999999999</v>
      </c>
      <c r="K74" s="412">
        <v>3.1837705999999999</v>
      </c>
      <c r="L74" s="412">
        <v>3.0586878</v>
      </c>
      <c r="M74" s="412">
        <v>2.9766507999999998</v>
      </c>
    </row>
    <row r="75" spans="1:13">
      <c r="A75" t="s">
        <v>467</v>
      </c>
      <c r="B75" s="408">
        <v>3.33</v>
      </c>
      <c r="C75" s="408">
        <v>3.24</v>
      </c>
      <c r="D75" s="408">
        <v>3.41</v>
      </c>
      <c r="E75" s="408">
        <v>3.69</v>
      </c>
      <c r="F75" s="408">
        <v>3.74</v>
      </c>
      <c r="G75" s="408">
        <v>3.75</v>
      </c>
      <c r="H75" s="412">
        <v>4.1583189999999997</v>
      </c>
      <c r="I75" s="412">
        <v>3.5211394999999999</v>
      </c>
      <c r="J75" s="412">
        <v>3.3365395000000002</v>
      </c>
      <c r="K75" s="412">
        <v>3.1897340999999999</v>
      </c>
      <c r="L75" s="412">
        <v>3.0491198000000002</v>
      </c>
      <c r="M75" s="412">
        <v>2.9571299999999998</v>
      </c>
    </row>
    <row r="76" spans="1:13">
      <c r="A76" t="s">
        <v>468</v>
      </c>
      <c r="B76" s="408" t="e">
        <v>#N/A</v>
      </c>
      <c r="C76" s="408" t="e">
        <v>#N/A</v>
      </c>
      <c r="D76" s="408" t="e">
        <v>#N/A</v>
      </c>
      <c r="E76" s="408" t="e">
        <v>#N/A</v>
      </c>
      <c r="F76" s="408" t="e">
        <v>#N/A</v>
      </c>
      <c r="G76" s="408" t="e">
        <v>#N/A</v>
      </c>
      <c r="H76" s="412" t="e">
        <v>#N/A</v>
      </c>
      <c r="I76" s="412" t="e">
        <v>#N/A</v>
      </c>
      <c r="J76" s="412" t="e">
        <v>#N/A</v>
      </c>
      <c r="K76" s="412" t="e">
        <v>#N/A</v>
      </c>
      <c r="L76" s="412" t="e">
        <v>#N/A</v>
      </c>
      <c r="M76" s="412" t="e">
        <v>#N/A</v>
      </c>
    </row>
    <row r="77" spans="1:13">
      <c r="A77" t="s">
        <v>469</v>
      </c>
      <c r="B77" s="408">
        <v>3.36</v>
      </c>
      <c r="C77" s="408">
        <v>3.26</v>
      </c>
      <c r="D77" s="408" t="e">
        <v>#N/A</v>
      </c>
      <c r="E77" s="408">
        <v>3.72</v>
      </c>
      <c r="F77" s="408" t="e">
        <v>#N/A</v>
      </c>
      <c r="G77" s="408">
        <v>3.77</v>
      </c>
      <c r="H77" s="412" t="e">
        <v>#N/A</v>
      </c>
      <c r="I77" s="412" t="e">
        <v>#N/A</v>
      </c>
      <c r="J77" s="412" t="e">
        <v>#N/A</v>
      </c>
      <c r="K77" s="412" t="e">
        <v>#N/A</v>
      </c>
      <c r="L77" s="412" t="e">
        <v>#N/A</v>
      </c>
      <c r="M77" s="412" t="e">
        <v>#N/A</v>
      </c>
    </row>
    <row r="78" spans="1:13">
      <c r="A78" t="s">
        <v>470</v>
      </c>
      <c r="B78" s="408">
        <v>3.48</v>
      </c>
      <c r="C78" s="408">
        <v>3.38</v>
      </c>
      <c r="D78" s="408">
        <v>3.54</v>
      </c>
      <c r="E78" s="408">
        <v>3.82</v>
      </c>
      <c r="F78" s="408">
        <v>3.86</v>
      </c>
      <c r="G78" s="408">
        <v>3.85</v>
      </c>
      <c r="H78" s="412">
        <v>4.3065134</v>
      </c>
      <c r="I78" s="412">
        <v>3.6673912</v>
      </c>
      <c r="J78" s="412">
        <v>3.4384934</v>
      </c>
      <c r="K78" s="412">
        <v>3.2872515999999998</v>
      </c>
      <c r="L78" s="412">
        <v>3.1669497999999998</v>
      </c>
      <c r="M78" s="412">
        <v>3.0930363999999999</v>
      </c>
    </row>
    <row r="79" spans="1:13">
      <c r="A79" t="s">
        <v>471</v>
      </c>
      <c r="B79" s="408">
        <v>3.52</v>
      </c>
      <c r="C79" s="408">
        <v>3.41</v>
      </c>
      <c r="D79" s="408">
        <v>3.57</v>
      </c>
      <c r="E79" s="408">
        <v>3.85</v>
      </c>
      <c r="F79" s="408">
        <v>3.9</v>
      </c>
      <c r="G79" s="408">
        <v>3.89</v>
      </c>
      <c r="H79" s="412">
        <v>4.3314896000000003</v>
      </c>
      <c r="I79" s="412">
        <v>3.6943975999999998</v>
      </c>
      <c r="J79" s="412">
        <v>3.4697311000000002</v>
      </c>
      <c r="K79" s="412">
        <v>3.3318164000000001</v>
      </c>
      <c r="L79" s="412">
        <v>3.2106007999999999</v>
      </c>
      <c r="M79" s="412">
        <v>3.1320329999999998</v>
      </c>
    </row>
    <row r="80" spans="1:13">
      <c r="A80" t="s">
        <v>472</v>
      </c>
      <c r="B80" s="408">
        <v>3.5</v>
      </c>
      <c r="C80" s="408">
        <v>3.39</v>
      </c>
      <c r="D80" s="408">
        <v>3.56</v>
      </c>
      <c r="E80" s="408">
        <v>3.85</v>
      </c>
      <c r="F80" s="408">
        <v>3.92</v>
      </c>
      <c r="G80" s="408">
        <v>3.93</v>
      </c>
      <c r="H80" s="412">
        <v>4.3058687999999998</v>
      </c>
      <c r="I80" s="412">
        <v>3.6497701999999999</v>
      </c>
      <c r="J80" s="412">
        <v>3.4739347999999999</v>
      </c>
      <c r="K80" s="412">
        <v>3.3542760999999999</v>
      </c>
      <c r="L80" s="412">
        <v>3.2218246000000001</v>
      </c>
      <c r="M80" s="412">
        <v>3.1336309999999998</v>
      </c>
    </row>
    <row r="81" spans="1:13">
      <c r="A81" t="s">
        <v>473</v>
      </c>
      <c r="B81" s="408">
        <v>3.6</v>
      </c>
      <c r="C81" s="408">
        <v>3.49</v>
      </c>
      <c r="D81" s="408">
        <v>3.65</v>
      </c>
      <c r="E81" s="408">
        <v>3.93</v>
      </c>
      <c r="F81" s="408">
        <v>4</v>
      </c>
      <c r="G81" s="408">
        <v>4.01</v>
      </c>
      <c r="H81" s="412">
        <v>4.3803025</v>
      </c>
      <c r="I81" s="412">
        <v>3.7827095000000002</v>
      </c>
      <c r="J81" s="412">
        <v>3.5514809999999999</v>
      </c>
      <c r="K81" s="412">
        <v>3.3722344999999998</v>
      </c>
      <c r="L81" s="412">
        <v>3.2280544999999998</v>
      </c>
      <c r="M81" s="412">
        <v>3.1483612000000001</v>
      </c>
    </row>
    <row r="82" spans="1:13">
      <c r="A82" t="s">
        <v>474</v>
      </c>
      <c r="B82" s="408">
        <v>3.62</v>
      </c>
      <c r="C82" s="408">
        <v>3.51</v>
      </c>
      <c r="D82" s="408">
        <v>3.7</v>
      </c>
      <c r="E82" s="408">
        <v>3.97</v>
      </c>
      <c r="F82" s="408">
        <v>4.04</v>
      </c>
      <c r="G82" s="408">
        <v>4.05</v>
      </c>
      <c r="H82" s="412">
        <v>4.4128214999999997</v>
      </c>
      <c r="I82" s="412">
        <v>3.7984260999999999</v>
      </c>
      <c r="J82" s="412">
        <v>3.5516660999999998</v>
      </c>
      <c r="K82" s="412">
        <v>3.3793774000000001</v>
      </c>
      <c r="L82" s="412">
        <v>3.2660483999999999</v>
      </c>
      <c r="M82" s="412">
        <v>3.2154802999999998</v>
      </c>
    </row>
    <row r="83" spans="1:13">
      <c r="A83" t="s">
        <v>475</v>
      </c>
      <c r="B83" s="408">
        <v>3.69</v>
      </c>
      <c r="C83" s="408">
        <v>3.58</v>
      </c>
      <c r="D83" s="408">
        <v>3.75</v>
      </c>
      <c r="E83" s="408">
        <v>4.0199999999999996</v>
      </c>
      <c r="F83" s="408">
        <v>4.08</v>
      </c>
      <c r="G83" s="408">
        <v>4.0999999999999996</v>
      </c>
      <c r="H83" s="412">
        <v>4.5153119000000004</v>
      </c>
      <c r="I83" s="412">
        <v>3.8540431000000002</v>
      </c>
      <c r="J83" s="412">
        <v>3.5681877000000002</v>
      </c>
      <c r="K83" s="412">
        <v>3.4200533000000002</v>
      </c>
      <c r="L83" s="412">
        <v>3.3183639</v>
      </c>
      <c r="M83" s="412">
        <v>3.2650511</v>
      </c>
    </row>
    <row r="84" spans="1:13">
      <c r="A84" t="s">
        <v>476</v>
      </c>
      <c r="B84" s="408">
        <v>3.82</v>
      </c>
      <c r="C84" s="408">
        <v>3.71</v>
      </c>
      <c r="D84" s="408">
        <v>3.85</v>
      </c>
      <c r="E84" s="408">
        <v>4.12</v>
      </c>
      <c r="F84" s="408">
        <v>4.17</v>
      </c>
      <c r="G84" s="408">
        <v>4.18</v>
      </c>
      <c r="H84" s="412">
        <v>4.7060497999999997</v>
      </c>
      <c r="I84" s="412">
        <v>4.0208501999999999</v>
      </c>
      <c r="J84" s="412">
        <v>3.6986267000000002</v>
      </c>
      <c r="K84" s="412">
        <v>3.5281427000000001</v>
      </c>
      <c r="L84" s="412">
        <v>3.4031273</v>
      </c>
      <c r="M84" s="412">
        <v>3.3287483999999998</v>
      </c>
    </row>
    <row r="85" spans="1:13">
      <c r="A85" t="s">
        <v>477</v>
      </c>
      <c r="B85" s="408">
        <v>3.71</v>
      </c>
      <c r="C85" s="408">
        <v>3.61</v>
      </c>
      <c r="D85" s="408">
        <v>3.75</v>
      </c>
      <c r="E85" s="408">
        <v>4.0199999999999996</v>
      </c>
      <c r="F85" s="408">
        <v>4.07</v>
      </c>
      <c r="G85" s="408">
        <v>4.09</v>
      </c>
      <c r="H85" s="412">
        <v>4.6234792999999996</v>
      </c>
      <c r="I85" s="412">
        <v>3.9015580000000001</v>
      </c>
      <c r="J85" s="412">
        <v>3.6169639</v>
      </c>
      <c r="K85" s="412">
        <v>3.433208</v>
      </c>
      <c r="L85" s="412">
        <v>3.2895766000000002</v>
      </c>
      <c r="M85" s="412">
        <v>3.2097178</v>
      </c>
    </row>
    <row r="86" spans="1:13">
      <c r="A86" t="s">
        <v>478</v>
      </c>
      <c r="B86" s="408">
        <v>3.74</v>
      </c>
      <c r="C86" s="408">
        <v>3.61</v>
      </c>
      <c r="D86" s="408">
        <v>3.75</v>
      </c>
      <c r="E86" s="408">
        <v>4.0199999999999996</v>
      </c>
      <c r="F86" s="408">
        <v>4.07</v>
      </c>
      <c r="G86" s="408">
        <v>4.09</v>
      </c>
      <c r="H86" s="412">
        <v>4.5902956000000001</v>
      </c>
      <c r="I86" s="412">
        <v>3.9119530999999998</v>
      </c>
      <c r="J86" s="412">
        <v>3.6309767000000002</v>
      </c>
      <c r="K86" s="412">
        <v>3.4424543000000001</v>
      </c>
      <c r="L86" s="412">
        <v>3.3030200000000001</v>
      </c>
      <c r="M86" s="412">
        <v>3.2276620999999999</v>
      </c>
    </row>
    <row r="87" spans="1:13">
      <c r="A87" t="s">
        <v>479</v>
      </c>
      <c r="B87" s="408">
        <v>3.81</v>
      </c>
      <c r="C87" s="408">
        <v>3.66</v>
      </c>
      <c r="D87" s="408">
        <v>3.78</v>
      </c>
      <c r="E87" s="408">
        <v>4.0599999999999996</v>
      </c>
      <c r="F87" s="408">
        <v>4.1100000000000003</v>
      </c>
      <c r="G87" s="408">
        <v>4.12</v>
      </c>
      <c r="H87" s="412">
        <v>4.6552072999999998</v>
      </c>
      <c r="I87" s="412">
        <v>3.9766732</v>
      </c>
      <c r="J87" s="412">
        <v>3.6810599000000002</v>
      </c>
      <c r="K87" s="412">
        <v>3.4826581999999999</v>
      </c>
      <c r="L87" s="412">
        <v>3.3436555000000001</v>
      </c>
      <c r="M87" s="412">
        <v>3.2782026000000002</v>
      </c>
    </row>
    <row r="88" spans="1:13">
      <c r="A88" t="s">
        <v>480</v>
      </c>
      <c r="B88" s="408">
        <v>3.73</v>
      </c>
      <c r="C88" s="408">
        <v>3.55</v>
      </c>
      <c r="D88" s="408">
        <v>3.69</v>
      </c>
      <c r="E88" s="408">
        <v>3.96</v>
      </c>
      <c r="F88" s="408">
        <v>4.01</v>
      </c>
      <c r="G88" s="408">
        <v>4.04</v>
      </c>
      <c r="H88" s="412">
        <v>4.5693726999999997</v>
      </c>
      <c r="I88" s="412">
        <v>3.8898784000000002</v>
      </c>
      <c r="J88" s="412">
        <v>3.5795324000000002</v>
      </c>
      <c r="K88" s="412">
        <v>3.3871226000000001</v>
      </c>
      <c r="L88" s="412">
        <v>3.2624867000000002</v>
      </c>
      <c r="M88" s="412">
        <v>3.2031146000000001</v>
      </c>
    </row>
    <row r="89" spans="1:13">
      <c r="A89" t="s">
        <v>481</v>
      </c>
      <c r="B89" s="408">
        <v>3.77</v>
      </c>
      <c r="C89" s="408">
        <v>3.61</v>
      </c>
      <c r="D89" s="408">
        <v>3.74</v>
      </c>
      <c r="E89" s="408">
        <v>4.0199999999999996</v>
      </c>
      <c r="F89" s="408">
        <v>4.08</v>
      </c>
      <c r="G89" s="408">
        <v>4.0999999999999996</v>
      </c>
      <c r="H89" s="412">
        <v>4.5760281000000003</v>
      </c>
      <c r="I89" s="412">
        <v>3.8704626000000002</v>
      </c>
      <c r="J89" s="412">
        <v>3.5882627999999999</v>
      </c>
      <c r="K89" s="412">
        <v>3.4396677000000002</v>
      </c>
      <c r="L89" s="412">
        <v>3.3302423999999999</v>
      </c>
      <c r="M89" s="412">
        <v>3.2688646000000001</v>
      </c>
    </row>
    <row r="90" spans="1:13">
      <c r="A90" t="s">
        <v>482</v>
      </c>
      <c r="B90" s="408">
        <v>3.81</v>
      </c>
      <c r="C90" s="408">
        <v>3.66</v>
      </c>
      <c r="D90" s="408">
        <v>3.8</v>
      </c>
      <c r="E90" s="408">
        <v>4.07</v>
      </c>
      <c r="F90" s="408">
        <v>4.13</v>
      </c>
      <c r="G90" s="408">
        <v>4.1500000000000004</v>
      </c>
      <c r="H90" s="412">
        <v>4.6164668000000004</v>
      </c>
      <c r="I90" s="412">
        <v>3.923616</v>
      </c>
      <c r="J90" s="412">
        <v>3.6697688999999998</v>
      </c>
      <c r="K90" s="412">
        <v>3.5123397999999999</v>
      </c>
      <c r="L90" s="412">
        <v>3.3869729999999998</v>
      </c>
      <c r="M90" s="412">
        <v>3.3157380999999999</v>
      </c>
    </row>
    <row r="91" spans="1:13">
      <c r="A91" t="s">
        <v>483</v>
      </c>
      <c r="B91" s="408">
        <v>3.78</v>
      </c>
      <c r="C91" s="408">
        <v>3.61</v>
      </c>
      <c r="D91" s="408">
        <v>3.72</v>
      </c>
      <c r="E91" s="408">
        <v>4</v>
      </c>
      <c r="F91" s="408">
        <v>4.07</v>
      </c>
      <c r="G91" s="408">
        <v>4.09</v>
      </c>
      <c r="H91" s="412">
        <v>4.5760379000000002</v>
      </c>
      <c r="I91" s="412">
        <v>3.9026073000000001</v>
      </c>
      <c r="J91" s="412">
        <v>3.6412626000000001</v>
      </c>
      <c r="K91" s="412">
        <v>3.4556032000000001</v>
      </c>
      <c r="L91" s="412">
        <v>3.3150556999999998</v>
      </c>
      <c r="M91" s="412">
        <v>3.2404901000000002</v>
      </c>
    </row>
    <row r="92" spans="1:13">
      <c r="A92" t="s">
        <v>484</v>
      </c>
      <c r="B92" s="408">
        <v>3.78</v>
      </c>
      <c r="C92" s="408">
        <v>3.61</v>
      </c>
      <c r="D92" s="408" t="e">
        <v>#N/A</v>
      </c>
      <c r="E92" s="408">
        <v>4</v>
      </c>
      <c r="F92" s="408">
        <v>4.07</v>
      </c>
      <c r="G92" s="408">
        <v>4.09</v>
      </c>
      <c r="H92" s="412" t="e">
        <v>#N/A</v>
      </c>
      <c r="I92" s="412" t="e">
        <v>#N/A</v>
      </c>
      <c r="J92" s="412" t="e">
        <v>#N/A</v>
      </c>
      <c r="K92" s="412" t="e">
        <v>#N/A</v>
      </c>
      <c r="L92" s="412" t="e">
        <v>#N/A</v>
      </c>
      <c r="M92" s="412" t="e">
        <v>#N/A</v>
      </c>
    </row>
    <row r="93" spans="1:13">
      <c r="A93" t="s">
        <v>485</v>
      </c>
      <c r="B93" s="408">
        <v>3.73</v>
      </c>
      <c r="C93" s="408">
        <v>3.54</v>
      </c>
      <c r="D93" s="408">
        <v>3.66</v>
      </c>
      <c r="E93" s="408">
        <v>3.94</v>
      </c>
      <c r="F93" s="408">
        <v>4.0199999999999996</v>
      </c>
      <c r="G93" s="408">
        <v>4.05</v>
      </c>
      <c r="H93" s="412">
        <v>4.5135791999999997</v>
      </c>
      <c r="I93" s="412">
        <v>3.8599019999999999</v>
      </c>
      <c r="J93" s="412">
        <v>3.5429317</v>
      </c>
      <c r="K93" s="412">
        <v>3.3629254</v>
      </c>
      <c r="L93" s="412">
        <v>3.2533834000000001</v>
      </c>
      <c r="M93" s="412">
        <v>3.2035776999999999</v>
      </c>
    </row>
    <row r="94" spans="1:13">
      <c r="A94" t="s">
        <v>486</v>
      </c>
      <c r="B94" s="408">
        <v>3.76</v>
      </c>
      <c r="C94" s="408">
        <v>3.57</v>
      </c>
      <c r="D94" s="408">
        <v>3.69</v>
      </c>
      <c r="E94" s="408">
        <v>3.97</v>
      </c>
      <c r="F94" s="408">
        <v>4.05</v>
      </c>
      <c r="G94" s="408">
        <v>4.09</v>
      </c>
      <c r="H94" s="412">
        <v>4.5638912999999999</v>
      </c>
      <c r="I94" s="412">
        <v>3.8852997</v>
      </c>
      <c r="J94" s="412">
        <v>3.5623418999999998</v>
      </c>
      <c r="K94" s="412">
        <v>3.3931168999999999</v>
      </c>
      <c r="L94" s="412">
        <v>3.2826789999999999</v>
      </c>
      <c r="M94" s="412">
        <v>3.2256626000000002</v>
      </c>
    </row>
    <row r="95" spans="1:13">
      <c r="A95" t="s">
        <v>487</v>
      </c>
      <c r="B95" s="408">
        <v>3.68</v>
      </c>
      <c r="C95" s="408">
        <v>3.48</v>
      </c>
      <c r="D95" s="408">
        <v>3.66</v>
      </c>
      <c r="E95" s="408">
        <v>3.93</v>
      </c>
      <c r="F95" s="408">
        <v>4.03</v>
      </c>
      <c r="G95" s="408">
        <v>4.08</v>
      </c>
      <c r="H95" s="412">
        <v>4.3394884999999999</v>
      </c>
      <c r="I95" s="412">
        <v>3.7166109000000001</v>
      </c>
      <c r="J95" s="412">
        <v>3.5325495999999998</v>
      </c>
      <c r="K95" s="412">
        <v>3.399807</v>
      </c>
      <c r="L95" s="412">
        <v>3.2973940000000002</v>
      </c>
      <c r="M95" s="412">
        <v>3.2467831</v>
      </c>
    </row>
    <row r="96" spans="1:13">
      <c r="A96" t="s">
        <v>488</v>
      </c>
      <c r="B96" s="408">
        <v>3.77</v>
      </c>
      <c r="C96" s="408">
        <v>3.58</v>
      </c>
      <c r="D96" s="408">
        <v>3.77</v>
      </c>
      <c r="E96" s="408">
        <v>4.04</v>
      </c>
      <c r="F96" s="408">
        <v>4.13</v>
      </c>
      <c r="G96" s="408">
        <v>4.17</v>
      </c>
      <c r="H96" s="412">
        <v>4.5183825000000004</v>
      </c>
      <c r="I96" s="412">
        <v>3.8892196000000001</v>
      </c>
      <c r="J96" s="412">
        <v>3.6410288</v>
      </c>
      <c r="K96" s="412">
        <v>3.4875020999999999</v>
      </c>
      <c r="L96" s="412">
        <v>3.3792268999999999</v>
      </c>
      <c r="M96" s="412">
        <v>3.3266600999999998</v>
      </c>
    </row>
    <row r="97" spans="1:13">
      <c r="A97" t="s">
        <v>489</v>
      </c>
      <c r="B97" s="408">
        <v>3.78</v>
      </c>
      <c r="C97" s="408">
        <v>3.59</v>
      </c>
      <c r="D97" s="408" t="e">
        <v>#N/A</v>
      </c>
      <c r="E97" s="408">
        <v>4.05</v>
      </c>
      <c r="F97" s="408">
        <v>4.13</v>
      </c>
      <c r="G97" s="408">
        <v>4.18</v>
      </c>
      <c r="H97" s="412" t="e">
        <v>#N/A</v>
      </c>
      <c r="I97" s="412" t="e">
        <v>#N/A</v>
      </c>
      <c r="J97" s="412" t="e">
        <v>#N/A</v>
      </c>
      <c r="K97" s="412" t="e">
        <v>#N/A</v>
      </c>
      <c r="L97" s="412" t="e">
        <v>#N/A</v>
      </c>
      <c r="M97" s="412" t="e">
        <v>#N/A</v>
      </c>
    </row>
    <row r="98" spans="1:13">
      <c r="A98" t="s">
        <v>490</v>
      </c>
      <c r="B98" s="408">
        <v>3.87</v>
      </c>
      <c r="C98" s="408">
        <v>3.68</v>
      </c>
      <c r="D98" s="408">
        <v>3.86</v>
      </c>
      <c r="E98" s="408">
        <v>4.12</v>
      </c>
      <c r="F98" s="408">
        <v>4.2</v>
      </c>
      <c r="G98" s="408">
        <v>4.24</v>
      </c>
      <c r="H98" s="412">
        <v>4.5946064</v>
      </c>
      <c r="I98" s="412">
        <v>3.9952234</v>
      </c>
      <c r="J98" s="412">
        <v>3.6955483999999998</v>
      </c>
      <c r="K98" s="412">
        <v>3.5394296999999999</v>
      </c>
      <c r="L98" s="412">
        <v>3.4530753999999999</v>
      </c>
      <c r="M98" s="412">
        <v>3.4208425</v>
      </c>
    </row>
    <row r="99" spans="1:13">
      <c r="A99" t="s">
        <v>491</v>
      </c>
      <c r="B99" s="408">
        <v>3.83</v>
      </c>
      <c r="C99" s="408">
        <v>3.63</v>
      </c>
      <c r="D99" s="408">
        <v>3.8</v>
      </c>
      <c r="E99" s="408">
        <v>4.07</v>
      </c>
      <c r="F99" s="408">
        <v>4.1500000000000004</v>
      </c>
      <c r="G99" s="408">
        <v>4.1900000000000004</v>
      </c>
      <c r="H99" s="412">
        <v>4.5229109999999997</v>
      </c>
      <c r="I99" s="412">
        <v>3.9083299</v>
      </c>
      <c r="J99" s="412">
        <v>3.6306262</v>
      </c>
      <c r="K99" s="412">
        <v>3.4949506000000001</v>
      </c>
      <c r="L99" s="412">
        <v>3.4084392999999999</v>
      </c>
      <c r="M99" s="412">
        <v>3.3692975999999999</v>
      </c>
    </row>
    <row r="100" spans="1:13">
      <c r="A100" t="s">
        <v>492</v>
      </c>
      <c r="B100" s="408">
        <v>3.73</v>
      </c>
      <c r="C100" s="408">
        <v>3.54</v>
      </c>
      <c r="D100" s="408">
        <v>3.71</v>
      </c>
      <c r="E100" s="408">
        <v>4</v>
      </c>
      <c r="F100" s="408">
        <v>4.09</v>
      </c>
      <c r="G100" s="408">
        <v>4.1399999999999997</v>
      </c>
      <c r="H100" s="412">
        <v>4.4338141000000002</v>
      </c>
      <c r="I100" s="412">
        <v>3.7703180000000001</v>
      </c>
      <c r="J100" s="412">
        <v>3.5397911</v>
      </c>
      <c r="K100" s="412">
        <v>3.4121446999999998</v>
      </c>
      <c r="L100" s="412">
        <v>3.3229286</v>
      </c>
      <c r="M100" s="412">
        <v>3.2851298</v>
      </c>
    </row>
    <row r="101" spans="1:13">
      <c r="A101" t="s">
        <v>493</v>
      </c>
      <c r="B101" s="408">
        <v>3.8</v>
      </c>
      <c r="C101" s="408">
        <v>3.6</v>
      </c>
      <c r="D101" s="408">
        <v>3.78</v>
      </c>
      <c r="E101" s="408">
        <v>4.08</v>
      </c>
      <c r="F101" s="408">
        <v>4.17</v>
      </c>
      <c r="G101" s="408">
        <v>4.21</v>
      </c>
      <c r="H101" s="412">
        <v>4.5270185999999999</v>
      </c>
      <c r="I101" s="412">
        <v>3.8812399000000002</v>
      </c>
      <c r="J101" s="412">
        <v>3.6114849000000002</v>
      </c>
      <c r="K101" s="412">
        <v>3.4586385000000002</v>
      </c>
      <c r="L101" s="412">
        <v>3.3624505999999998</v>
      </c>
      <c r="M101" s="412">
        <v>3.326638</v>
      </c>
    </row>
    <row r="102" spans="1:13">
      <c r="A102" t="s">
        <v>494</v>
      </c>
      <c r="B102" s="408">
        <v>3.83</v>
      </c>
      <c r="C102" s="408">
        <v>3.63</v>
      </c>
      <c r="D102" s="408">
        <v>3.82</v>
      </c>
      <c r="E102" s="408">
        <v>4.12</v>
      </c>
      <c r="F102" s="408">
        <v>4.2</v>
      </c>
      <c r="G102" s="408">
        <v>4.25</v>
      </c>
      <c r="H102" s="412">
        <v>4.5353364000000003</v>
      </c>
      <c r="I102" s="412">
        <v>3.9048074000000002</v>
      </c>
      <c r="J102" s="412">
        <v>3.6110427999999999</v>
      </c>
      <c r="K102" s="412">
        <v>3.4642354000000002</v>
      </c>
      <c r="L102" s="412">
        <v>3.3918382999999999</v>
      </c>
      <c r="M102" s="412">
        <v>3.3734823</v>
      </c>
    </row>
    <row r="103" spans="1:13">
      <c r="A103" t="s">
        <v>495</v>
      </c>
      <c r="B103" s="408">
        <v>3.8</v>
      </c>
      <c r="C103" s="408">
        <v>3.6</v>
      </c>
      <c r="D103" s="408">
        <v>3.8</v>
      </c>
      <c r="E103" s="408">
        <v>4.1100000000000003</v>
      </c>
      <c r="F103" s="408">
        <v>4.2</v>
      </c>
      <c r="G103" s="408">
        <v>4.25</v>
      </c>
      <c r="H103" s="412">
        <v>4.5174840999999999</v>
      </c>
      <c r="I103" s="412">
        <v>3.9128926000000002</v>
      </c>
      <c r="J103" s="412">
        <v>3.626163</v>
      </c>
      <c r="K103" s="412">
        <v>3.4685627999999999</v>
      </c>
      <c r="L103" s="412">
        <v>3.3739270000000001</v>
      </c>
      <c r="M103" s="412">
        <v>3.3432491</v>
      </c>
    </row>
    <row r="104" spans="1:13">
      <c r="A104" t="s">
        <v>496</v>
      </c>
      <c r="B104" s="408">
        <v>3.87</v>
      </c>
      <c r="C104" s="408">
        <v>3.68</v>
      </c>
      <c r="D104" s="408">
        <v>3.84</v>
      </c>
      <c r="E104" s="408">
        <v>4.1399999999999997</v>
      </c>
      <c r="F104" s="408">
        <v>4.22</v>
      </c>
      <c r="G104" s="408">
        <v>4.2699999999999996</v>
      </c>
      <c r="H104" s="412">
        <v>4.5673363</v>
      </c>
      <c r="I104" s="412">
        <v>3.9473767999999998</v>
      </c>
      <c r="J104" s="412">
        <v>3.6443283000000002</v>
      </c>
      <c r="K104" s="412">
        <v>3.5106299000000001</v>
      </c>
      <c r="L104" s="412">
        <v>3.4332676000000002</v>
      </c>
      <c r="M104" s="412">
        <v>3.3955166999999999</v>
      </c>
    </row>
    <row r="105" spans="1:13">
      <c r="A105" t="s">
        <v>497</v>
      </c>
      <c r="B105" s="408">
        <v>3.97</v>
      </c>
      <c r="C105" s="408">
        <v>3.8</v>
      </c>
      <c r="D105" s="408">
        <v>3.97</v>
      </c>
      <c r="E105" s="408">
        <v>4.2699999999999996</v>
      </c>
      <c r="F105" s="408">
        <v>4.34</v>
      </c>
      <c r="G105" s="408">
        <v>4.3899999999999997</v>
      </c>
      <c r="H105" s="412">
        <v>4.6497411</v>
      </c>
      <c r="I105" s="412">
        <v>4.0487713999999997</v>
      </c>
      <c r="J105" s="412">
        <v>3.7636571999999999</v>
      </c>
      <c r="K105" s="412">
        <v>3.6119387000000001</v>
      </c>
      <c r="L105" s="412">
        <v>3.5221426</v>
      </c>
      <c r="M105" s="412">
        <v>3.4901165000000001</v>
      </c>
    </row>
    <row r="106" spans="1:13">
      <c r="A106" t="s">
        <v>498</v>
      </c>
      <c r="B106" s="408">
        <v>3.96</v>
      </c>
      <c r="C106" s="408">
        <v>3.83</v>
      </c>
      <c r="D106" s="408">
        <v>4.01</v>
      </c>
      <c r="E106" s="408">
        <v>4.3</v>
      </c>
      <c r="F106" s="408">
        <v>4.37</v>
      </c>
      <c r="G106" s="408">
        <v>4.42</v>
      </c>
      <c r="H106" s="412">
        <v>4.6826153000000001</v>
      </c>
      <c r="I106" s="412">
        <v>4.1248969999999998</v>
      </c>
      <c r="J106" s="412">
        <v>3.8251438000000002</v>
      </c>
      <c r="K106" s="412">
        <v>3.6561314</v>
      </c>
      <c r="L106" s="412">
        <v>3.5560651000000001</v>
      </c>
      <c r="M106" s="412">
        <v>3.5200303000000002</v>
      </c>
    </row>
    <row r="107" spans="1:13">
      <c r="A107" t="s">
        <v>499</v>
      </c>
      <c r="B107" s="408">
        <v>4.04</v>
      </c>
      <c r="C107" s="408">
        <v>3.89</v>
      </c>
      <c r="D107" s="408">
        <v>4.05</v>
      </c>
      <c r="E107" s="408">
        <v>4.33</v>
      </c>
      <c r="F107" s="408">
        <v>4.3899999999999997</v>
      </c>
      <c r="G107" s="408">
        <v>4.4400000000000004</v>
      </c>
      <c r="H107" s="412">
        <v>4.7735364000000002</v>
      </c>
      <c r="I107" s="412">
        <v>4.2331399000000003</v>
      </c>
      <c r="J107" s="412">
        <v>3.8755177000000001</v>
      </c>
      <c r="K107" s="412">
        <v>3.6706257999999998</v>
      </c>
      <c r="L107" s="412">
        <v>3.5662862</v>
      </c>
      <c r="M107" s="412">
        <v>3.5370018999999999</v>
      </c>
    </row>
    <row r="108" spans="1:13">
      <c r="A108" t="s">
        <v>500</v>
      </c>
      <c r="B108" s="408">
        <v>4.13</v>
      </c>
      <c r="C108" s="408">
        <v>3.99</v>
      </c>
      <c r="D108" s="408">
        <v>4.16</v>
      </c>
      <c r="E108" s="408">
        <v>4.4400000000000004</v>
      </c>
      <c r="F108" s="408">
        <v>4.49</v>
      </c>
      <c r="G108" s="408">
        <v>4.53</v>
      </c>
      <c r="H108" s="412">
        <v>4.8562105000000004</v>
      </c>
      <c r="I108" s="412">
        <v>4.3127449999999996</v>
      </c>
      <c r="J108" s="412">
        <v>3.9574775999999998</v>
      </c>
      <c r="K108" s="412">
        <v>3.7741902000000001</v>
      </c>
      <c r="L108" s="412">
        <v>3.681057</v>
      </c>
      <c r="M108" s="412">
        <v>3.6482820999999999</v>
      </c>
    </row>
    <row r="109" spans="1:13">
      <c r="A109" t="s">
        <v>501</v>
      </c>
      <c r="B109" s="408">
        <v>4.38</v>
      </c>
      <c r="C109" s="408">
        <v>4.1399999999999997</v>
      </c>
      <c r="D109" s="408">
        <v>4.22</v>
      </c>
      <c r="E109" s="408">
        <v>4.4800000000000004</v>
      </c>
      <c r="F109" s="408">
        <v>4.5199999999999996</v>
      </c>
      <c r="G109" s="408">
        <v>4.54</v>
      </c>
      <c r="H109" s="412">
        <v>5.2414671999999998</v>
      </c>
      <c r="I109" s="412">
        <v>4.5354891000000004</v>
      </c>
      <c r="J109" s="412">
        <v>4.0321081000000003</v>
      </c>
      <c r="K109" s="412">
        <v>3.7892328000000002</v>
      </c>
      <c r="L109" s="412">
        <v>3.6667592</v>
      </c>
      <c r="M109" s="412">
        <v>3.6159159999999999</v>
      </c>
    </row>
    <row r="110" spans="1:13">
      <c r="A110" t="s">
        <v>502</v>
      </c>
      <c r="B110" s="408">
        <v>4.55</v>
      </c>
      <c r="C110" s="408">
        <v>4.33</v>
      </c>
      <c r="D110" s="408">
        <v>4.38</v>
      </c>
      <c r="E110" s="408">
        <v>4.63</v>
      </c>
      <c r="F110" s="408">
        <v>4.6399999999999997</v>
      </c>
      <c r="G110" s="408">
        <v>4.6500000000000004</v>
      </c>
      <c r="H110" s="412">
        <v>5.4517829999999998</v>
      </c>
      <c r="I110" s="412">
        <v>4.7479874999999998</v>
      </c>
      <c r="J110" s="412">
        <v>4.2694175000000003</v>
      </c>
      <c r="K110" s="412">
        <v>3.9921853999999999</v>
      </c>
      <c r="L110" s="412">
        <v>3.8305104999999999</v>
      </c>
      <c r="M110" s="412">
        <v>3.7548130999999998</v>
      </c>
    </row>
    <row r="111" spans="1:13">
      <c r="A111" t="s">
        <v>503</v>
      </c>
      <c r="B111" s="408">
        <v>4.4800000000000004</v>
      </c>
      <c r="C111" s="408">
        <v>4.2699999999999996</v>
      </c>
      <c r="D111" s="408">
        <v>4.33</v>
      </c>
      <c r="E111" s="408">
        <v>4.58</v>
      </c>
      <c r="F111" s="408">
        <v>4.62</v>
      </c>
      <c r="G111" s="408">
        <v>4.6399999999999997</v>
      </c>
      <c r="H111" s="412">
        <v>5.4063841999999998</v>
      </c>
      <c r="I111" s="412">
        <v>4.7099696</v>
      </c>
      <c r="J111" s="412">
        <v>4.2365225999999998</v>
      </c>
      <c r="K111" s="412">
        <v>3.9606423999999998</v>
      </c>
      <c r="L111" s="412">
        <v>3.7931963</v>
      </c>
      <c r="M111" s="412">
        <v>3.711878</v>
      </c>
    </row>
    <row r="112" spans="1:13">
      <c r="A112" t="s">
        <v>504</v>
      </c>
      <c r="B112" s="408">
        <v>4.51</v>
      </c>
      <c r="C112" s="408">
        <v>4.3</v>
      </c>
      <c r="D112" s="408" t="e">
        <v>#N/A</v>
      </c>
      <c r="E112" s="408">
        <v>4.6100000000000003</v>
      </c>
      <c r="F112" s="408">
        <v>4.6500000000000004</v>
      </c>
      <c r="G112" s="408" t="e">
        <v>#N/A</v>
      </c>
      <c r="H112" s="412" t="e">
        <v>#N/A</v>
      </c>
      <c r="I112" s="412" t="e">
        <v>#N/A</v>
      </c>
      <c r="J112" s="412" t="e">
        <v>#N/A</v>
      </c>
      <c r="K112" s="412" t="e">
        <v>#N/A</v>
      </c>
      <c r="L112" s="412" t="e">
        <v>#N/A</v>
      </c>
      <c r="M112" s="412" t="e">
        <v>#N/A</v>
      </c>
    </row>
    <row r="113" spans="1:13">
      <c r="A113" t="s">
        <v>505</v>
      </c>
      <c r="B113" s="408">
        <v>4.4400000000000004</v>
      </c>
      <c r="C113" s="408">
        <v>4.21</v>
      </c>
      <c r="D113" s="408">
        <v>4.24</v>
      </c>
      <c r="E113" s="408">
        <v>4.5</v>
      </c>
      <c r="F113" s="408">
        <v>4.5599999999999996</v>
      </c>
      <c r="G113" s="408">
        <v>4.58</v>
      </c>
      <c r="H113" s="412">
        <v>5.3864830000000001</v>
      </c>
      <c r="I113" s="412">
        <v>4.6259905000000003</v>
      </c>
      <c r="J113" s="412">
        <v>4.1694718999999996</v>
      </c>
      <c r="K113" s="412">
        <v>3.9210042000000001</v>
      </c>
      <c r="L113" s="412">
        <v>3.7500349000000002</v>
      </c>
      <c r="M113" s="412">
        <v>3.6494754</v>
      </c>
    </row>
    <row r="114" spans="1:13">
      <c r="A114" t="s">
        <v>506</v>
      </c>
      <c r="B114" s="408">
        <v>4.32</v>
      </c>
      <c r="C114" s="408">
        <v>4.0999999999999996</v>
      </c>
      <c r="D114" s="408">
        <v>4.18</v>
      </c>
      <c r="E114" s="408">
        <v>4.4400000000000004</v>
      </c>
      <c r="F114" s="408">
        <v>4.4800000000000004</v>
      </c>
      <c r="G114" s="408">
        <v>4.51</v>
      </c>
      <c r="H114" s="412">
        <v>5.2091129</v>
      </c>
      <c r="I114" s="412">
        <v>4.4849553999999996</v>
      </c>
      <c r="J114" s="412">
        <v>4.0309973000000001</v>
      </c>
      <c r="K114" s="412">
        <v>3.7974953</v>
      </c>
      <c r="L114" s="412">
        <v>3.6610336999999999</v>
      </c>
      <c r="M114" s="412">
        <v>3.5942775999999999</v>
      </c>
    </row>
    <row r="115" spans="1:13">
      <c r="A115" t="s">
        <v>507</v>
      </c>
      <c r="B115" s="408">
        <v>4.29</v>
      </c>
      <c r="C115" s="408">
        <v>4.0599999999999996</v>
      </c>
      <c r="D115" s="408">
        <v>4.13</v>
      </c>
      <c r="E115" s="408">
        <v>4.38</v>
      </c>
      <c r="F115" s="408">
        <v>4.43</v>
      </c>
      <c r="G115" s="408">
        <v>4.47</v>
      </c>
      <c r="H115" s="412">
        <v>5.1909581999999999</v>
      </c>
      <c r="I115" s="412">
        <v>4.4676735000000001</v>
      </c>
      <c r="J115" s="412">
        <v>4.0246924000000002</v>
      </c>
      <c r="K115" s="412">
        <v>3.7582531000000001</v>
      </c>
      <c r="L115" s="412">
        <v>3.5904924999999999</v>
      </c>
      <c r="M115" s="412">
        <v>3.5079275000000001</v>
      </c>
    </row>
    <row r="116" spans="1:13">
      <c r="A116" t="s">
        <v>508</v>
      </c>
      <c r="B116" s="408">
        <v>4.3600000000000003</v>
      </c>
      <c r="C116" s="408">
        <v>4.0999999999999996</v>
      </c>
      <c r="D116" s="408">
        <v>4.1500000000000004</v>
      </c>
      <c r="E116" s="408">
        <v>4.4000000000000004</v>
      </c>
      <c r="F116" s="408">
        <v>4.4400000000000004</v>
      </c>
      <c r="G116" s="408">
        <v>4.47</v>
      </c>
      <c r="H116" s="412">
        <v>5.2337043999999997</v>
      </c>
      <c r="I116" s="412">
        <v>4.5496112000000002</v>
      </c>
      <c r="J116" s="412">
        <v>4.1029780000000002</v>
      </c>
      <c r="K116" s="412">
        <v>3.7975028000000002</v>
      </c>
      <c r="L116" s="412">
        <v>3.5939947000000001</v>
      </c>
      <c r="M116" s="412">
        <v>3.4984058999999998</v>
      </c>
    </row>
    <row r="117" spans="1:13">
      <c r="A117" t="s">
        <v>509</v>
      </c>
      <c r="B117" s="408">
        <v>4.46</v>
      </c>
      <c r="C117" s="408">
        <v>4.18</v>
      </c>
      <c r="D117" s="408">
        <v>4.22</v>
      </c>
      <c r="E117" s="408">
        <v>4.46</v>
      </c>
      <c r="F117" s="408">
        <v>4.49</v>
      </c>
      <c r="G117" s="408">
        <v>4.5199999999999996</v>
      </c>
      <c r="H117" s="412">
        <v>5.3102871</v>
      </c>
      <c r="I117" s="412">
        <v>4.6923402999999997</v>
      </c>
      <c r="J117" s="412">
        <v>4.1769056000000004</v>
      </c>
      <c r="K117" s="412">
        <v>3.8429261000000001</v>
      </c>
      <c r="L117" s="412">
        <v>3.6559775000000001</v>
      </c>
      <c r="M117" s="412">
        <v>3.5796025</v>
      </c>
    </row>
    <row r="118" spans="1:13">
      <c r="A118" t="s">
        <v>510</v>
      </c>
      <c r="B118" s="408">
        <v>4.46</v>
      </c>
      <c r="C118" s="408">
        <v>4.17</v>
      </c>
      <c r="D118" s="408">
        <v>4.1900000000000004</v>
      </c>
      <c r="E118" s="408">
        <v>4.42</v>
      </c>
      <c r="F118" s="408">
        <v>4.4400000000000004</v>
      </c>
      <c r="G118" s="408">
        <v>4.46</v>
      </c>
      <c r="H118" s="412">
        <v>5.3074165999999998</v>
      </c>
      <c r="I118" s="412">
        <v>4.6596846999999997</v>
      </c>
      <c r="J118" s="412">
        <v>4.1289911999999998</v>
      </c>
      <c r="K118" s="412">
        <v>3.8090042</v>
      </c>
      <c r="L118" s="412">
        <v>3.6327208</v>
      </c>
      <c r="M118" s="412">
        <v>3.5528236999999998</v>
      </c>
    </row>
    <row r="119" spans="1:13">
      <c r="A119" t="s">
        <v>511</v>
      </c>
      <c r="B119" s="408">
        <v>4.58</v>
      </c>
      <c r="C119" s="408">
        <v>4.26</v>
      </c>
      <c r="D119" s="408">
        <v>4.26</v>
      </c>
      <c r="E119" s="408">
        <v>4.49</v>
      </c>
      <c r="F119" s="408">
        <v>4.5</v>
      </c>
      <c r="G119" s="408">
        <v>4.5</v>
      </c>
      <c r="H119" s="412">
        <v>5.4151055000000001</v>
      </c>
      <c r="I119" s="412">
        <v>4.7245384000000001</v>
      </c>
      <c r="J119" s="412">
        <v>4.1830673000000003</v>
      </c>
      <c r="K119" s="412">
        <v>3.8865175999999999</v>
      </c>
      <c r="L119" s="412">
        <v>3.7136600999999998</v>
      </c>
      <c r="M119" s="412">
        <v>3.6254428000000001</v>
      </c>
    </row>
    <row r="120" spans="1:13">
      <c r="A120" t="s">
        <v>512</v>
      </c>
      <c r="B120" s="408">
        <v>4.51</v>
      </c>
      <c r="C120" s="408">
        <v>4.22</v>
      </c>
      <c r="D120" s="408">
        <v>4.25</v>
      </c>
      <c r="E120" s="408">
        <v>4.4800000000000004</v>
      </c>
      <c r="F120" s="408">
        <v>4.49</v>
      </c>
      <c r="G120" s="408">
        <v>4.5</v>
      </c>
      <c r="H120" s="412">
        <v>5.3251165</v>
      </c>
      <c r="I120" s="412">
        <v>4.6479397000000002</v>
      </c>
      <c r="J120" s="412">
        <v>4.1920966000000002</v>
      </c>
      <c r="K120" s="412">
        <v>3.9131029000000002</v>
      </c>
      <c r="L120" s="412">
        <v>3.7269789000000002</v>
      </c>
      <c r="M120" s="412">
        <v>3.6262308000000001</v>
      </c>
    </row>
    <row r="121" spans="1:13">
      <c r="A121" t="s">
        <v>513</v>
      </c>
      <c r="B121" s="408">
        <v>4.5199999999999996</v>
      </c>
      <c r="C121" s="408">
        <v>4.25</v>
      </c>
      <c r="D121" s="408">
        <v>4.24</v>
      </c>
      <c r="E121" s="408">
        <v>4.47</v>
      </c>
      <c r="F121" s="408">
        <v>4.49</v>
      </c>
      <c r="G121" s="408">
        <v>4.4800000000000004</v>
      </c>
      <c r="H121" s="412">
        <v>5.3744136999999998</v>
      </c>
      <c r="I121" s="412">
        <v>4.7061926999999999</v>
      </c>
      <c r="J121" s="412">
        <v>4.2026966999999997</v>
      </c>
      <c r="K121" s="412">
        <v>3.8886843999999998</v>
      </c>
      <c r="L121" s="412">
        <v>3.6900835999999999</v>
      </c>
      <c r="M121" s="412">
        <v>3.5866481000000001</v>
      </c>
    </row>
    <row r="122" spans="1:13">
      <c r="A122" t="s">
        <v>514</v>
      </c>
      <c r="B122" s="408">
        <v>4.6399999999999997</v>
      </c>
      <c r="C122" s="408">
        <v>4.34</v>
      </c>
      <c r="D122" s="408">
        <v>4.34</v>
      </c>
      <c r="E122" s="408">
        <v>4.5599999999999996</v>
      </c>
      <c r="F122" s="408">
        <v>4.58</v>
      </c>
      <c r="G122" s="408">
        <v>4.57</v>
      </c>
      <c r="H122" s="412">
        <v>5.4651259999999997</v>
      </c>
      <c r="I122" s="412">
        <v>4.8411834999999996</v>
      </c>
      <c r="J122" s="412">
        <v>4.2912996000000003</v>
      </c>
      <c r="K122" s="412">
        <v>3.9517400999999999</v>
      </c>
      <c r="L122" s="412">
        <v>3.7602025000000001</v>
      </c>
      <c r="M122" s="412">
        <v>3.6758565000000001</v>
      </c>
    </row>
    <row r="123" spans="1:13">
      <c r="A123" t="s">
        <v>515</v>
      </c>
      <c r="B123" s="408">
        <v>4.88</v>
      </c>
      <c r="C123" s="408">
        <v>4.5199999999999996</v>
      </c>
      <c r="D123" s="408">
        <v>4.43</v>
      </c>
      <c r="E123" s="408">
        <v>4.63</v>
      </c>
      <c r="F123" s="408">
        <v>4.63</v>
      </c>
      <c r="G123" s="408">
        <v>4.6100000000000003</v>
      </c>
      <c r="H123" s="412">
        <v>5.8054702999999996</v>
      </c>
      <c r="I123" s="412">
        <v>5.1618599999999999</v>
      </c>
      <c r="J123" s="412">
        <v>4.456664</v>
      </c>
      <c r="K123" s="412">
        <v>4.0174300000000001</v>
      </c>
      <c r="L123" s="412">
        <v>3.7845463000000001</v>
      </c>
      <c r="M123" s="412">
        <v>3.6721841</v>
      </c>
    </row>
    <row r="124" spans="1:13">
      <c r="A124" t="s">
        <v>516</v>
      </c>
      <c r="B124" s="408">
        <v>4.8</v>
      </c>
      <c r="C124" s="408">
        <v>4.45</v>
      </c>
      <c r="D124" s="408">
        <v>4.37</v>
      </c>
      <c r="E124" s="408">
        <v>4.57</v>
      </c>
      <c r="F124" s="408">
        <v>4.57</v>
      </c>
      <c r="G124" s="408">
        <v>4.54</v>
      </c>
      <c r="H124" s="412">
        <v>5.690747</v>
      </c>
      <c r="I124" s="412">
        <v>5.0011995000000002</v>
      </c>
      <c r="J124" s="412">
        <v>4.3708992999999996</v>
      </c>
      <c r="K124" s="412">
        <v>4.0101449999999996</v>
      </c>
      <c r="L124" s="412">
        <v>3.7864244999999999</v>
      </c>
      <c r="M124" s="412">
        <v>3.6553173000000001</v>
      </c>
    </row>
    <row r="125" spans="1:13">
      <c r="A125" t="s">
        <v>517</v>
      </c>
      <c r="B125" s="408">
        <v>4.8899999999999997</v>
      </c>
      <c r="C125" s="408">
        <v>4.51</v>
      </c>
      <c r="D125" s="408">
        <v>4.37</v>
      </c>
      <c r="E125" s="408">
        <v>4.55</v>
      </c>
      <c r="F125" s="408">
        <v>4.53</v>
      </c>
      <c r="G125" s="408">
        <v>4.49</v>
      </c>
      <c r="H125" s="412">
        <v>5.7559858000000004</v>
      </c>
      <c r="I125" s="412">
        <v>5.0657861999999998</v>
      </c>
      <c r="J125" s="412">
        <v>4.4425121000000001</v>
      </c>
      <c r="K125" s="412">
        <v>4.0356337</v>
      </c>
      <c r="L125" s="412">
        <v>3.7603844</v>
      </c>
      <c r="M125" s="412">
        <v>3.5928772000000002</v>
      </c>
    </row>
    <row r="126" spans="1:13">
      <c r="A126" t="s">
        <v>518</v>
      </c>
      <c r="B126" s="408">
        <v>4.92</v>
      </c>
      <c r="C126" s="408">
        <v>4.5599999999999996</v>
      </c>
      <c r="D126" s="408">
        <v>4.4000000000000004</v>
      </c>
      <c r="E126" s="408">
        <v>4.57</v>
      </c>
      <c r="F126" s="408">
        <v>4.55</v>
      </c>
      <c r="G126" s="408">
        <v>4.51</v>
      </c>
      <c r="H126" s="412">
        <v>5.7882603000000001</v>
      </c>
      <c r="I126" s="412">
        <v>5.1586436000000004</v>
      </c>
      <c r="J126" s="412">
        <v>4.5238183999999997</v>
      </c>
      <c r="K126" s="412">
        <v>4.0864396000000003</v>
      </c>
      <c r="L126" s="412">
        <v>3.7902480000000001</v>
      </c>
      <c r="M126" s="412">
        <v>3.6121455999999998</v>
      </c>
    </row>
    <row r="127" spans="1:13">
      <c r="A127" t="s">
        <v>519</v>
      </c>
      <c r="B127" s="408">
        <v>5.08</v>
      </c>
      <c r="C127" s="408">
        <v>4.68</v>
      </c>
      <c r="D127" s="408">
        <v>4.49</v>
      </c>
      <c r="E127" s="408">
        <v>4.6399999999999997</v>
      </c>
      <c r="F127" s="408">
        <v>4.6100000000000003</v>
      </c>
      <c r="G127" s="408">
        <v>4.55</v>
      </c>
      <c r="H127" s="412">
        <v>5.9309282999999997</v>
      </c>
      <c r="I127" s="412">
        <v>5.3328777000000001</v>
      </c>
      <c r="J127" s="412">
        <v>4.6222744999999996</v>
      </c>
      <c r="K127" s="412">
        <v>4.1434265999999997</v>
      </c>
      <c r="L127" s="412">
        <v>3.8440702</v>
      </c>
      <c r="M127" s="412">
        <v>3.6774344999999999</v>
      </c>
    </row>
    <row r="128" spans="1:13">
      <c r="A128" t="s">
        <v>520</v>
      </c>
      <c r="B128" s="408">
        <v>4.9400000000000004</v>
      </c>
      <c r="C128" s="408">
        <v>4.5</v>
      </c>
      <c r="D128" s="408">
        <v>4.33</v>
      </c>
      <c r="E128" s="408">
        <v>4.49</v>
      </c>
      <c r="F128" s="408">
        <v>4.49</v>
      </c>
      <c r="G128" s="408">
        <v>4.4400000000000004</v>
      </c>
      <c r="H128" s="412">
        <v>5.8194007000000001</v>
      </c>
      <c r="I128" s="412">
        <v>5.1136191000000002</v>
      </c>
      <c r="J128" s="412">
        <v>4.3983746999999997</v>
      </c>
      <c r="K128" s="412">
        <v>3.9663572</v>
      </c>
      <c r="L128" s="412">
        <v>3.7117897000000002</v>
      </c>
      <c r="M128" s="412">
        <v>3.5663507999999999</v>
      </c>
    </row>
    <row r="129" spans="1:13">
      <c r="A129" t="s">
        <v>521</v>
      </c>
      <c r="B129" s="408">
        <v>5.05</v>
      </c>
      <c r="C129" s="408">
        <v>4.58</v>
      </c>
      <c r="D129" s="408">
        <v>4.4000000000000004</v>
      </c>
      <c r="E129" s="408">
        <v>4.57</v>
      </c>
      <c r="F129" s="408">
        <v>4.5599999999999996</v>
      </c>
      <c r="G129" s="408">
        <v>4.51</v>
      </c>
      <c r="H129" s="412">
        <v>5.9746489</v>
      </c>
      <c r="I129" s="412">
        <v>5.1791304</v>
      </c>
      <c r="J129" s="412">
        <v>4.4608822999999997</v>
      </c>
      <c r="K129" s="412">
        <v>4.0389159000000001</v>
      </c>
      <c r="L129" s="412">
        <v>3.7678151</v>
      </c>
      <c r="M129" s="412">
        <v>3.6013760000000001</v>
      </c>
    </row>
    <row r="130" spans="1:13">
      <c r="A130" t="s">
        <v>522</v>
      </c>
      <c r="B130" s="408">
        <v>5.07</v>
      </c>
      <c r="C130" s="408">
        <v>4.55</v>
      </c>
      <c r="D130" s="408">
        <v>4.3600000000000003</v>
      </c>
      <c r="E130" s="408">
        <v>4.53</v>
      </c>
      <c r="F130" s="408">
        <v>4.53</v>
      </c>
      <c r="G130" s="408">
        <v>4.4800000000000004</v>
      </c>
      <c r="H130" s="412">
        <v>5.9995367000000002</v>
      </c>
      <c r="I130" s="412">
        <v>5.0904805</v>
      </c>
      <c r="J130" s="412">
        <v>4.3905842000000002</v>
      </c>
      <c r="K130" s="412">
        <v>3.9787552000000002</v>
      </c>
      <c r="L130" s="412">
        <v>3.7125178000000001</v>
      </c>
      <c r="M130" s="412">
        <v>3.5543814999999999</v>
      </c>
    </row>
    <row r="131" spans="1:13">
      <c r="A131" t="s">
        <v>523</v>
      </c>
      <c r="B131" s="408">
        <v>5.18</v>
      </c>
      <c r="C131" s="408">
        <v>4.58</v>
      </c>
      <c r="D131" s="408">
        <v>4.33</v>
      </c>
      <c r="E131" s="408">
        <v>4.5</v>
      </c>
      <c r="F131" s="408">
        <v>4.5</v>
      </c>
      <c r="G131" s="408">
        <v>4.46</v>
      </c>
      <c r="H131" s="412">
        <v>6.0535540000000001</v>
      </c>
      <c r="I131" s="412">
        <v>5.1889381999999999</v>
      </c>
      <c r="J131" s="412">
        <v>4.4389628999999999</v>
      </c>
      <c r="K131" s="412">
        <v>3.9466481</v>
      </c>
      <c r="L131" s="412">
        <v>3.639926</v>
      </c>
      <c r="M131" s="412">
        <v>3.4718553999999999</v>
      </c>
    </row>
    <row r="132" spans="1:13">
      <c r="A132" t="s">
        <v>524</v>
      </c>
      <c r="B132" s="408">
        <v>5.14</v>
      </c>
      <c r="C132" s="408">
        <v>4.54</v>
      </c>
      <c r="D132" s="408">
        <v>4.29</v>
      </c>
      <c r="E132" s="408">
        <v>4.45</v>
      </c>
      <c r="F132" s="408">
        <v>4.4400000000000004</v>
      </c>
      <c r="G132" s="408">
        <v>4.37</v>
      </c>
      <c r="H132" s="412">
        <v>6.0863386999999998</v>
      </c>
      <c r="I132" s="412">
        <v>5.1987366000000002</v>
      </c>
      <c r="J132" s="412">
        <v>4.3638979999999998</v>
      </c>
      <c r="K132" s="412">
        <v>3.8473666</v>
      </c>
      <c r="L132" s="412">
        <v>3.5453636999999998</v>
      </c>
      <c r="M132" s="412">
        <v>3.3866594000000001</v>
      </c>
    </row>
    <row r="133" spans="1:13">
      <c r="A133" t="s">
        <v>525</v>
      </c>
      <c r="B133" s="408">
        <v>5.26</v>
      </c>
      <c r="C133" s="408">
        <v>4.67</v>
      </c>
      <c r="D133" s="408">
        <v>4.37</v>
      </c>
      <c r="E133" s="408">
        <v>4.5</v>
      </c>
      <c r="F133" s="408">
        <v>4.47</v>
      </c>
      <c r="G133" s="408">
        <v>4.37</v>
      </c>
      <c r="H133" s="412">
        <v>6.2034694000000004</v>
      </c>
      <c r="I133" s="412">
        <v>5.3945366000000003</v>
      </c>
      <c r="J133" s="412">
        <v>4.5186335</v>
      </c>
      <c r="K133" s="412">
        <v>3.9566473000000002</v>
      </c>
      <c r="L133" s="412">
        <v>3.6208585000000002</v>
      </c>
      <c r="M133" s="412">
        <v>3.4321416999999999</v>
      </c>
    </row>
    <row r="134" spans="1:13">
      <c r="A134" t="s">
        <v>526</v>
      </c>
      <c r="B134" s="408">
        <v>5.13</v>
      </c>
      <c r="C134" s="408">
        <v>4.5599999999999996</v>
      </c>
      <c r="D134" s="408">
        <v>4.3099999999999996</v>
      </c>
      <c r="E134" s="408">
        <v>4.45</v>
      </c>
      <c r="F134" s="408">
        <v>4.4400000000000004</v>
      </c>
      <c r="G134" s="408">
        <v>4.37</v>
      </c>
      <c r="H134" s="412">
        <v>6.0657265000000002</v>
      </c>
      <c r="I134" s="412">
        <v>5.1630726999999998</v>
      </c>
      <c r="J134" s="412">
        <v>4.3854718999999998</v>
      </c>
      <c r="K134" s="412">
        <v>3.9446492000000002</v>
      </c>
      <c r="L134" s="412">
        <v>3.6506886000000001</v>
      </c>
      <c r="M134" s="412">
        <v>3.4635560999999999</v>
      </c>
    </row>
    <row r="135" spans="1:13">
      <c r="A135" t="s">
        <v>527</v>
      </c>
      <c r="B135" s="408">
        <v>5.22</v>
      </c>
      <c r="C135" s="408">
        <v>4.63</v>
      </c>
      <c r="D135" s="408">
        <v>4.3899999999999997</v>
      </c>
      <c r="E135" s="408">
        <v>4.53</v>
      </c>
      <c r="F135" s="408">
        <v>4.5199999999999996</v>
      </c>
      <c r="G135" s="408">
        <v>4.4400000000000004</v>
      </c>
      <c r="H135" s="412">
        <v>6.1683577999999999</v>
      </c>
      <c r="I135" s="412">
        <v>5.3011939999999997</v>
      </c>
      <c r="J135" s="412">
        <v>4.5123788999999999</v>
      </c>
      <c r="K135" s="412">
        <v>4.0260847000000002</v>
      </c>
      <c r="L135" s="412">
        <v>3.7105467999999999</v>
      </c>
      <c r="M135" s="412">
        <v>3.519936</v>
      </c>
    </row>
    <row r="136" spans="1:13">
      <c r="A136" t="s">
        <v>528</v>
      </c>
      <c r="B136" s="408">
        <v>5.27</v>
      </c>
      <c r="C136" s="408">
        <v>4.66</v>
      </c>
      <c r="D136" s="408">
        <v>4.3899999999999997</v>
      </c>
      <c r="E136" s="408">
        <v>4.53</v>
      </c>
      <c r="F136" s="408">
        <v>4.51</v>
      </c>
      <c r="G136" s="408">
        <v>4.42</v>
      </c>
      <c r="H136" s="412">
        <v>6.1652158000000004</v>
      </c>
      <c r="I136" s="412">
        <v>5.3759193999999999</v>
      </c>
      <c r="J136" s="412">
        <v>4.5832689999999996</v>
      </c>
      <c r="K136" s="412">
        <v>4.057328</v>
      </c>
      <c r="L136" s="412">
        <v>3.7060431</v>
      </c>
      <c r="M136" s="412">
        <v>3.4939065</v>
      </c>
    </row>
    <row r="137" spans="1:13">
      <c r="A137" t="s">
        <v>529</v>
      </c>
      <c r="B137" s="408">
        <v>5.35</v>
      </c>
      <c r="C137" s="408">
        <v>4.7300000000000004</v>
      </c>
      <c r="D137" s="408">
        <v>4.45</v>
      </c>
      <c r="E137" s="408">
        <v>4.58</v>
      </c>
      <c r="F137" s="408">
        <v>4.5599999999999996</v>
      </c>
      <c r="G137" s="408">
        <v>4.45</v>
      </c>
      <c r="H137" s="412">
        <v>6.2526181999999997</v>
      </c>
      <c r="I137" s="412">
        <v>5.5040256999999997</v>
      </c>
      <c r="J137" s="412">
        <v>4.6405827000000004</v>
      </c>
      <c r="K137" s="412">
        <v>4.0867703000000004</v>
      </c>
      <c r="L137" s="412">
        <v>3.7474289000000001</v>
      </c>
      <c r="M137" s="412">
        <v>3.5525829</v>
      </c>
    </row>
    <row r="138" spans="1:13">
      <c r="A138" t="s">
        <v>530</v>
      </c>
      <c r="B138" s="408">
        <v>5.31</v>
      </c>
      <c r="C138" s="408">
        <v>4.6900000000000004</v>
      </c>
      <c r="D138" s="408">
        <v>4.42</v>
      </c>
      <c r="E138" s="408">
        <v>4.63</v>
      </c>
      <c r="F138" s="408">
        <v>4.53</v>
      </c>
      <c r="G138" s="408">
        <v>4.42</v>
      </c>
      <c r="H138" s="412">
        <v>6.2551136999999999</v>
      </c>
      <c r="I138" s="412">
        <v>5.4782931000000001</v>
      </c>
      <c r="J138" s="412">
        <v>4.6143565999999998</v>
      </c>
      <c r="K138" s="412">
        <v>4.0726985000000004</v>
      </c>
      <c r="L138" s="412">
        <v>3.7340306000000001</v>
      </c>
      <c r="M138" s="412">
        <v>3.5287723</v>
      </c>
    </row>
    <row r="139" spans="1:13">
      <c r="A139" t="s">
        <v>531</v>
      </c>
      <c r="B139" s="408">
        <v>5.38</v>
      </c>
      <c r="C139" s="408">
        <v>4.79</v>
      </c>
      <c r="D139" s="408">
        <v>4.51</v>
      </c>
      <c r="E139" s="408">
        <v>4.6399999999999997</v>
      </c>
      <c r="F139" s="408">
        <v>4.6100000000000003</v>
      </c>
      <c r="G139" s="408">
        <v>4.5</v>
      </c>
      <c r="H139" s="412">
        <v>6.4028561000000002</v>
      </c>
      <c r="I139" s="412">
        <v>5.6215697000000002</v>
      </c>
      <c r="J139" s="412">
        <v>4.7226108</v>
      </c>
      <c r="K139" s="412">
        <v>4.1595918000000003</v>
      </c>
      <c r="L139" s="412">
        <v>3.8067410000000002</v>
      </c>
      <c r="M139" s="412">
        <v>3.5946136000000002</v>
      </c>
    </row>
    <row r="140" spans="1:13">
      <c r="A140" t="s">
        <v>532</v>
      </c>
      <c r="B140" s="408">
        <v>5.49</v>
      </c>
      <c r="C140" s="408">
        <v>4.9000000000000004</v>
      </c>
      <c r="D140" s="408">
        <v>4.6500000000000004</v>
      </c>
      <c r="E140" s="408">
        <v>4.79</v>
      </c>
      <c r="F140" s="408">
        <v>4.7699999999999996</v>
      </c>
      <c r="G140" s="408">
        <v>4.6500000000000004</v>
      </c>
      <c r="H140" s="412">
        <v>6.5123705000000003</v>
      </c>
      <c r="I140" s="412">
        <v>5.674811</v>
      </c>
      <c r="J140" s="412">
        <v>4.8446290999999997</v>
      </c>
      <c r="K140" s="412">
        <v>4.3104386000000003</v>
      </c>
      <c r="L140" s="412">
        <v>3.9618004</v>
      </c>
      <c r="M140" s="412">
        <v>3.7518286999999999</v>
      </c>
    </row>
    <row r="141" spans="1:13">
      <c r="A141" t="s">
        <v>533</v>
      </c>
      <c r="B141" s="408">
        <v>5.38</v>
      </c>
      <c r="C141" s="408">
        <v>4.84</v>
      </c>
      <c r="D141" s="408">
        <v>4.6399999999999997</v>
      </c>
      <c r="E141" s="408">
        <v>4.8</v>
      </c>
      <c r="F141" s="408">
        <v>4.78</v>
      </c>
      <c r="G141" s="408">
        <v>4.68</v>
      </c>
      <c r="H141" s="412">
        <v>6.3755696999999998</v>
      </c>
      <c r="I141" s="412">
        <v>5.5842175000000003</v>
      </c>
      <c r="J141" s="412">
        <v>4.7946232999999996</v>
      </c>
      <c r="K141" s="412">
        <v>4.2867807999999998</v>
      </c>
      <c r="L141" s="412">
        <v>3.9558184000000001</v>
      </c>
      <c r="M141" s="412">
        <v>3.7581264000000001</v>
      </c>
    </row>
    <row r="142" spans="1:13">
      <c r="A142" t="s">
        <v>534</v>
      </c>
      <c r="B142" s="408">
        <v>5.38</v>
      </c>
      <c r="C142" s="408">
        <v>4.8499999999999996</v>
      </c>
      <c r="D142" s="408">
        <v>4.6399999999999997</v>
      </c>
      <c r="E142" s="408">
        <v>4.8099999999999996</v>
      </c>
      <c r="F142" s="408">
        <v>4.78</v>
      </c>
      <c r="G142" s="408">
        <v>4.68</v>
      </c>
      <c r="H142" s="412">
        <v>6.4018185000000001</v>
      </c>
      <c r="I142" s="412">
        <v>5.6271509000000002</v>
      </c>
      <c r="J142" s="412">
        <v>4.8070658999999996</v>
      </c>
      <c r="K142" s="412">
        <v>4.2865755999999999</v>
      </c>
      <c r="L142" s="412">
        <v>3.9602065</v>
      </c>
      <c r="M142" s="412">
        <v>3.7687952</v>
      </c>
    </row>
    <row r="143" spans="1:13">
      <c r="A143" t="s">
        <v>535</v>
      </c>
      <c r="B143" s="408">
        <v>5.41</v>
      </c>
      <c r="C143" s="408">
        <v>4.87</v>
      </c>
      <c r="D143" s="408">
        <v>4.6500000000000004</v>
      </c>
      <c r="E143" s="408">
        <v>4.8099999999999996</v>
      </c>
      <c r="F143" s="408">
        <v>4.78</v>
      </c>
      <c r="G143" s="408">
        <v>4.68</v>
      </c>
      <c r="H143" s="412">
        <v>6.4628185</v>
      </c>
      <c r="I143" s="412">
        <v>5.6607213999999999</v>
      </c>
      <c r="J143" s="412">
        <v>4.7878160000000003</v>
      </c>
      <c r="K143" s="412">
        <v>4.2770802000000003</v>
      </c>
      <c r="L143" s="412">
        <v>3.9681896000000001</v>
      </c>
      <c r="M143" s="412">
        <v>3.7841222000000001</v>
      </c>
    </row>
    <row r="144" spans="1:13">
      <c r="A144" t="s">
        <v>536</v>
      </c>
      <c r="B144" s="408">
        <v>5.22</v>
      </c>
      <c r="C144" s="408">
        <v>4.6900000000000004</v>
      </c>
      <c r="D144" s="408">
        <v>4.51</v>
      </c>
      <c r="E144" s="408">
        <v>4.6900000000000004</v>
      </c>
      <c r="F144" s="408">
        <v>4.68</v>
      </c>
      <c r="G144" s="408">
        <v>4.5999999999999996</v>
      </c>
      <c r="H144" s="412">
        <v>6.1904250000000003</v>
      </c>
      <c r="I144" s="412">
        <v>5.3508760999999998</v>
      </c>
      <c r="J144" s="412">
        <v>4.5866327</v>
      </c>
      <c r="K144" s="412">
        <v>4.1700201999999997</v>
      </c>
      <c r="L144" s="412">
        <v>3.8950049</v>
      </c>
      <c r="M144" s="412">
        <v>3.7204470999999999</v>
      </c>
    </row>
    <row r="145" spans="1:13">
      <c r="A145" t="s">
        <v>537</v>
      </c>
      <c r="B145" s="408">
        <v>5.1100000000000003</v>
      </c>
      <c r="C145" s="408">
        <v>4.54</v>
      </c>
      <c r="D145" s="408">
        <v>4.41</v>
      </c>
      <c r="E145" s="408">
        <v>4.58</v>
      </c>
      <c r="F145" s="408">
        <v>4.58</v>
      </c>
      <c r="G145" s="408">
        <v>4.5199999999999996</v>
      </c>
      <c r="H145" s="412">
        <v>6.0425877000000003</v>
      </c>
      <c r="I145" s="412">
        <v>5.1655414999999998</v>
      </c>
      <c r="J145" s="412">
        <v>4.4558457000000002</v>
      </c>
      <c r="K145" s="412">
        <v>4.0502538000000001</v>
      </c>
      <c r="L145" s="412">
        <v>3.7884384</v>
      </c>
      <c r="M145" s="412">
        <v>3.6311271999999999</v>
      </c>
    </row>
    <row r="146" spans="1:13">
      <c r="A146" t="s">
        <v>538</v>
      </c>
      <c r="B146" s="408">
        <v>5.19</v>
      </c>
      <c r="C146" s="408">
        <v>4.59</v>
      </c>
      <c r="D146" s="408">
        <v>4.4400000000000004</v>
      </c>
      <c r="E146" s="408">
        <v>4.62</v>
      </c>
      <c r="F146" s="408">
        <v>4.6100000000000003</v>
      </c>
      <c r="G146" s="408">
        <v>4.55</v>
      </c>
      <c r="H146" s="412">
        <v>6.1758743000000003</v>
      </c>
      <c r="I146" s="412">
        <v>5.2900955999999999</v>
      </c>
      <c r="J146" s="412">
        <v>4.5430052999999999</v>
      </c>
      <c r="K146" s="412">
        <v>4.1010396</v>
      </c>
      <c r="L146" s="412">
        <v>3.8110403000000002</v>
      </c>
      <c r="M146" s="412">
        <v>3.6361956000000002</v>
      </c>
    </row>
    <row r="147" spans="1:13">
      <c r="A147" t="s">
        <v>539</v>
      </c>
      <c r="B147" s="408">
        <v>5.15</v>
      </c>
      <c r="C147" s="408">
        <v>4.55</v>
      </c>
      <c r="D147" s="408">
        <v>4.43</v>
      </c>
      <c r="E147" s="408">
        <v>4.6100000000000003</v>
      </c>
      <c r="F147" s="408">
        <v>4.5999999999999996</v>
      </c>
      <c r="G147" s="408">
        <v>4.55</v>
      </c>
      <c r="H147" s="412">
        <v>6.0784741999999996</v>
      </c>
      <c r="I147" s="412">
        <v>5.2087098000000003</v>
      </c>
      <c r="J147" s="412">
        <v>4.4606621000000004</v>
      </c>
      <c r="K147" s="412">
        <v>4.0330895</v>
      </c>
      <c r="L147" s="412">
        <v>3.7794151999999999</v>
      </c>
      <c r="M147" s="412">
        <v>3.6383128999999998</v>
      </c>
    </row>
    <row r="148" spans="1:13">
      <c r="A148" t="s">
        <v>540</v>
      </c>
      <c r="B148" s="408">
        <v>5.09</v>
      </c>
      <c r="C148" s="408">
        <v>4.4800000000000004</v>
      </c>
      <c r="D148" s="408">
        <v>4.3499999999999996</v>
      </c>
      <c r="E148" s="408">
        <v>4.54</v>
      </c>
      <c r="F148" s="408">
        <v>4.54</v>
      </c>
      <c r="G148" s="408">
        <v>4.49</v>
      </c>
      <c r="H148" s="412">
        <v>5.9826554999999999</v>
      </c>
      <c r="I148" s="412">
        <v>5.1123637000000004</v>
      </c>
      <c r="J148" s="412">
        <v>4.3857122999999998</v>
      </c>
      <c r="K148" s="412">
        <v>3.9813806999999999</v>
      </c>
      <c r="L148" s="412">
        <v>3.7346517000000001</v>
      </c>
      <c r="M148" s="412">
        <v>3.5884619999999998</v>
      </c>
    </row>
    <row r="149" spans="1:13">
      <c r="A149" t="s">
        <v>541</v>
      </c>
      <c r="B149" s="408">
        <v>4.8499999999999996</v>
      </c>
      <c r="C149" s="408">
        <v>4.2699999999999996</v>
      </c>
      <c r="D149" s="408">
        <v>4.18</v>
      </c>
      <c r="E149" s="408">
        <v>4.38</v>
      </c>
      <c r="F149" s="408">
        <v>4.38</v>
      </c>
      <c r="G149" s="408">
        <v>4.34</v>
      </c>
      <c r="H149" s="412">
        <v>5.6908557999999996</v>
      </c>
      <c r="I149" s="412">
        <v>4.7934479999999997</v>
      </c>
      <c r="J149" s="412">
        <v>4.1451288000000002</v>
      </c>
      <c r="K149" s="412">
        <v>3.8172394000000001</v>
      </c>
      <c r="L149" s="412">
        <v>3.6007981999999998</v>
      </c>
      <c r="M149" s="412">
        <v>3.4630546</v>
      </c>
    </row>
    <row r="150" spans="1:13">
      <c r="A150" t="s">
        <v>542</v>
      </c>
      <c r="B150" s="408">
        <v>4.9800000000000004</v>
      </c>
      <c r="C150" s="408">
        <v>4.3899999999999997</v>
      </c>
      <c r="D150" s="408">
        <v>4.28</v>
      </c>
      <c r="E150" s="408">
        <v>4.47</v>
      </c>
      <c r="F150" s="408">
        <v>4.47</v>
      </c>
      <c r="G150" s="408">
        <v>4.42</v>
      </c>
      <c r="H150" s="412">
        <v>5.7702</v>
      </c>
      <c r="I150" s="412">
        <v>4.9341302000000002</v>
      </c>
      <c r="J150" s="412">
        <v>4.2822031000000003</v>
      </c>
      <c r="K150" s="412">
        <v>3.9070860999999999</v>
      </c>
      <c r="L150" s="412">
        <v>3.6708216</v>
      </c>
      <c r="M150" s="412">
        <v>3.5318773000000001</v>
      </c>
    </row>
    <row r="151" spans="1:13">
      <c r="A151" t="s">
        <v>543</v>
      </c>
      <c r="B151" s="408">
        <v>4.93</v>
      </c>
      <c r="C151" s="408">
        <v>4.3600000000000003</v>
      </c>
      <c r="D151" s="408">
        <v>4.2699999999999996</v>
      </c>
      <c r="E151" s="408">
        <v>4.46</v>
      </c>
      <c r="F151" s="408">
        <v>4.46</v>
      </c>
      <c r="G151" s="408">
        <v>4.42</v>
      </c>
      <c r="H151" s="412">
        <v>5.7543407999999996</v>
      </c>
      <c r="I151" s="412">
        <v>4.9232687000000004</v>
      </c>
      <c r="J151" s="412">
        <v>4.2723674999999997</v>
      </c>
      <c r="K151" s="412">
        <v>3.9085865000000002</v>
      </c>
      <c r="L151" s="412">
        <v>3.6708270000000001</v>
      </c>
      <c r="M151" s="412">
        <v>3.5252631000000001</v>
      </c>
    </row>
    <row r="152" spans="1:13">
      <c r="A152" t="s">
        <v>544</v>
      </c>
      <c r="B152" s="408">
        <v>4.9400000000000004</v>
      </c>
      <c r="C152" s="408">
        <v>4.34</v>
      </c>
      <c r="D152" s="408">
        <v>4.26</v>
      </c>
      <c r="E152" s="408">
        <v>4.45</v>
      </c>
      <c r="F152" s="408">
        <v>4.46</v>
      </c>
      <c r="G152" s="408">
        <v>4.43</v>
      </c>
      <c r="H152" s="412">
        <v>5.7232051000000004</v>
      </c>
      <c r="I152" s="412">
        <v>4.9206567000000003</v>
      </c>
      <c r="J152" s="412">
        <v>4.2296754999999999</v>
      </c>
      <c r="K152" s="412">
        <v>3.8461889999999999</v>
      </c>
      <c r="L152" s="412">
        <v>3.6313944</v>
      </c>
      <c r="M152" s="412">
        <v>3.5198100000000001</v>
      </c>
    </row>
    <row r="153" spans="1:13">
      <c r="A153" t="s">
        <v>545</v>
      </c>
      <c r="B153" s="408">
        <v>4.97</v>
      </c>
      <c r="C153" s="408">
        <v>4.3600000000000003</v>
      </c>
      <c r="D153" s="408">
        <v>4.2699999999999996</v>
      </c>
      <c r="E153" s="408">
        <v>4.46</v>
      </c>
      <c r="F153" s="408">
        <v>4.4800000000000004</v>
      </c>
      <c r="G153" s="408">
        <v>4.4400000000000004</v>
      </c>
      <c r="H153" s="412">
        <v>5.7649575999999998</v>
      </c>
      <c r="I153" s="412">
        <v>4.9287124000000002</v>
      </c>
      <c r="J153" s="412">
        <v>4.2243637999999999</v>
      </c>
      <c r="K153" s="412">
        <v>3.8562476999999999</v>
      </c>
      <c r="L153" s="412">
        <v>3.6403292</v>
      </c>
      <c r="M153" s="412">
        <v>3.5194698999999998</v>
      </c>
    </row>
    <row r="154" spans="1:13">
      <c r="A154" t="s">
        <v>546</v>
      </c>
      <c r="B154" s="408">
        <v>5.03</v>
      </c>
      <c r="C154" s="408">
        <v>4.4400000000000004</v>
      </c>
      <c r="D154" s="408">
        <v>4.29</v>
      </c>
      <c r="E154" s="408">
        <v>4.46</v>
      </c>
      <c r="F154" s="408">
        <v>4.46</v>
      </c>
      <c r="G154" s="408">
        <v>4.42</v>
      </c>
      <c r="H154" s="412">
        <v>5.8657557999999996</v>
      </c>
      <c r="I154" s="412">
        <v>5.0748585999999998</v>
      </c>
      <c r="J154" s="412">
        <v>4.3202638000000002</v>
      </c>
      <c r="K154" s="412">
        <v>3.8897319000000001</v>
      </c>
      <c r="L154" s="412">
        <v>3.6426973</v>
      </c>
      <c r="M154" s="412">
        <v>3.5048954000000001</v>
      </c>
    </row>
    <row r="155" spans="1:13">
      <c r="A155" t="s">
        <v>547</v>
      </c>
      <c r="B155" s="408">
        <v>5.0199999999999996</v>
      </c>
      <c r="C155" s="408">
        <v>4.42</v>
      </c>
      <c r="D155" s="408">
        <v>4.3099999999999996</v>
      </c>
      <c r="E155" s="408">
        <v>4.49</v>
      </c>
      <c r="F155" s="408">
        <v>4.5</v>
      </c>
      <c r="G155" s="408">
        <v>4.45</v>
      </c>
      <c r="H155" s="412">
        <v>5.7688950999999999</v>
      </c>
      <c r="I155" s="412">
        <v>4.9932685000000001</v>
      </c>
      <c r="J155" s="412">
        <v>4.3373457999999996</v>
      </c>
      <c r="K155" s="412">
        <v>3.9480477</v>
      </c>
      <c r="L155" s="412">
        <v>3.7037949000000001</v>
      </c>
      <c r="M155" s="412">
        <v>3.5625224000000002</v>
      </c>
    </row>
    <row r="156" spans="1:13">
      <c r="A156" t="s">
        <v>548</v>
      </c>
      <c r="B156" s="408">
        <v>4.9800000000000004</v>
      </c>
      <c r="C156" s="408">
        <v>4.41</v>
      </c>
      <c r="D156" s="408">
        <v>4.33</v>
      </c>
      <c r="E156" s="408">
        <v>4.5199999999999996</v>
      </c>
      <c r="F156" s="408">
        <v>4.5199999999999996</v>
      </c>
      <c r="G156" s="408">
        <v>4.49</v>
      </c>
      <c r="H156" s="412">
        <v>5.7262063000000003</v>
      </c>
      <c r="I156" s="412">
        <v>4.9776541999999999</v>
      </c>
      <c r="J156" s="412">
        <v>4.3367294000000003</v>
      </c>
      <c r="K156" s="412">
        <v>3.9673894000000001</v>
      </c>
      <c r="L156" s="412">
        <v>3.7418879</v>
      </c>
      <c r="M156" s="412">
        <v>3.6128361</v>
      </c>
    </row>
    <row r="157" spans="1:13">
      <c r="A157" t="s">
        <v>549</v>
      </c>
      <c r="B157" s="408">
        <v>4.97</v>
      </c>
      <c r="C157" s="408">
        <v>4.37</v>
      </c>
      <c r="D157" s="408">
        <v>4.3</v>
      </c>
      <c r="E157" s="408">
        <v>4.49</v>
      </c>
      <c r="F157" s="408">
        <v>4.49</v>
      </c>
      <c r="G157" s="408">
        <v>4.45</v>
      </c>
      <c r="H157" s="412">
        <v>5.7410024000000002</v>
      </c>
      <c r="I157" s="412">
        <v>4.9655737999999996</v>
      </c>
      <c r="J157" s="412">
        <v>4.2707541000000004</v>
      </c>
      <c r="K157" s="412">
        <v>3.8878111999999998</v>
      </c>
      <c r="L157" s="412">
        <v>3.6682744</v>
      </c>
      <c r="M157" s="412">
        <v>3.5511659999999998</v>
      </c>
    </row>
    <row r="158" spans="1:13">
      <c r="A158" t="s">
        <v>550</v>
      </c>
      <c r="B158" s="408">
        <v>5.0599999999999996</v>
      </c>
      <c r="C158" s="408">
        <v>4.49</v>
      </c>
      <c r="D158" s="408">
        <v>4.41</v>
      </c>
      <c r="E158" s="408">
        <v>4.5999999999999996</v>
      </c>
      <c r="F158" s="408">
        <v>4.59</v>
      </c>
      <c r="G158" s="408">
        <v>4.54</v>
      </c>
      <c r="H158" s="412">
        <v>5.8073503999999998</v>
      </c>
      <c r="I158" s="412">
        <v>5.0868612000000004</v>
      </c>
      <c r="J158" s="412">
        <v>4.3915996000000002</v>
      </c>
      <c r="K158" s="412">
        <v>4.0125795999999996</v>
      </c>
      <c r="L158" s="412">
        <v>3.7964604</v>
      </c>
      <c r="M158" s="412">
        <v>3.6756597000000002</v>
      </c>
    </row>
    <row r="159" spans="1:13">
      <c r="A159" t="s">
        <v>551</v>
      </c>
      <c r="B159" s="408">
        <v>4.99</v>
      </c>
      <c r="C159" s="408">
        <v>4.4400000000000004</v>
      </c>
      <c r="D159" s="408">
        <v>4.4000000000000004</v>
      </c>
      <c r="E159" s="408">
        <v>4.5999999999999996</v>
      </c>
      <c r="F159" s="408">
        <v>4.5999999999999996</v>
      </c>
      <c r="G159" s="408">
        <v>4.54</v>
      </c>
      <c r="H159" s="412">
        <v>5.6994856</v>
      </c>
      <c r="I159" s="412">
        <v>4.9632021999999996</v>
      </c>
      <c r="J159" s="412">
        <v>4.3362506999999999</v>
      </c>
      <c r="K159" s="412">
        <v>4.0136592000000002</v>
      </c>
      <c r="L159" s="412">
        <v>3.8149316999999998</v>
      </c>
      <c r="M159" s="412">
        <v>3.6969197</v>
      </c>
    </row>
    <row r="160" spans="1:13">
      <c r="A160" t="s">
        <v>552</v>
      </c>
      <c r="B160" s="408">
        <v>4.95</v>
      </c>
      <c r="C160" s="408">
        <v>4.45</v>
      </c>
      <c r="D160" s="408">
        <v>4.46</v>
      </c>
      <c r="E160" s="408">
        <v>4.68</v>
      </c>
      <c r="F160" s="408">
        <v>4.6900000000000004</v>
      </c>
      <c r="G160" s="408">
        <v>4.6399999999999997</v>
      </c>
      <c r="H160" s="412">
        <v>5.6398124000000003</v>
      </c>
      <c r="I160" s="412">
        <v>4.9312239</v>
      </c>
      <c r="J160" s="412">
        <v>4.3867105999999998</v>
      </c>
      <c r="K160" s="412">
        <v>4.0877958000000003</v>
      </c>
      <c r="L160" s="412">
        <v>3.8988385999999999</v>
      </c>
      <c r="M160" s="412">
        <v>3.7915184000000002</v>
      </c>
    </row>
    <row r="161" spans="1:13">
      <c r="A161" t="s">
        <v>553</v>
      </c>
      <c r="B161" s="408">
        <v>4.8899999999999997</v>
      </c>
      <c r="C161" s="408">
        <v>4.4000000000000004</v>
      </c>
      <c r="D161" s="408">
        <v>4.38</v>
      </c>
      <c r="E161" s="408">
        <v>4.6100000000000003</v>
      </c>
      <c r="F161" s="408">
        <v>4.6100000000000003</v>
      </c>
      <c r="G161" s="408">
        <v>4.57</v>
      </c>
      <c r="H161" s="412">
        <v>5.6756713999999997</v>
      </c>
      <c r="I161" s="412">
        <v>4.9447035000000001</v>
      </c>
      <c r="J161" s="412">
        <v>4.3403821999999996</v>
      </c>
      <c r="K161" s="412">
        <v>3.9994542000000002</v>
      </c>
      <c r="L161" s="412">
        <v>3.7890063999999999</v>
      </c>
      <c r="M161" s="412">
        <v>3.6724543000000001</v>
      </c>
    </row>
    <row r="162" spans="1:13">
      <c r="A162" t="s">
        <v>554</v>
      </c>
      <c r="B162" s="408">
        <v>4.9400000000000004</v>
      </c>
      <c r="C162" s="408">
        <v>4.45</v>
      </c>
      <c r="D162" s="408">
        <v>4.45</v>
      </c>
      <c r="E162" s="408">
        <v>4.68</v>
      </c>
      <c r="F162" s="408">
        <v>4.6900000000000004</v>
      </c>
      <c r="G162" s="408">
        <v>4.6500000000000004</v>
      </c>
      <c r="H162" s="412">
        <v>5.6860815000000002</v>
      </c>
      <c r="I162" s="412">
        <v>4.9915102999999998</v>
      </c>
      <c r="J162" s="412">
        <v>4.3970387000000004</v>
      </c>
      <c r="K162" s="412">
        <v>4.0675651999999998</v>
      </c>
      <c r="L162" s="412">
        <v>3.8757302999999999</v>
      </c>
      <c r="M162" s="412">
        <v>3.7743253999999999</v>
      </c>
    </row>
    <row r="163" spans="1:13">
      <c r="A163" t="s">
        <v>555</v>
      </c>
      <c r="B163" s="408">
        <v>4.8499999999999996</v>
      </c>
      <c r="C163" s="408">
        <v>4.42</v>
      </c>
      <c r="D163" s="408">
        <v>4.3899999999999997</v>
      </c>
      <c r="E163" s="408">
        <v>4.6100000000000003</v>
      </c>
      <c r="F163" s="408">
        <v>4.6100000000000003</v>
      </c>
      <c r="G163" s="408">
        <v>4.57</v>
      </c>
      <c r="H163" s="412">
        <v>5.6595975999999997</v>
      </c>
      <c r="I163" s="412">
        <v>4.9665875000000002</v>
      </c>
      <c r="J163" s="412">
        <v>4.3581772000000001</v>
      </c>
      <c r="K163" s="412">
        <v>4.0213074999999998</v>
      </c>
      <c r="L163" s="412">
        <v>3.8194897999999999</v>
      </c>
      <c r="M163" s="412">
        <v>3.7050923999999998</v>
      </c>
    </row>
    <row r="164" spans="1:13">
      <c r="A164" t="s">
        <v>556</v>
      </c>
      <c r="B164" s="408">
        <v>4.92</v>
      </c>
      <c r="C164" s="408">
        <v>4.41</v>
      </c>
      <c r="D164" s="408">
        <v>4.37</v>
      </c>
      <c r="E164" s="408">
        <v>4.58</v>
      </c>
      <c r="F164" s="408">
        <v>4.5999999999999996</v>
      </c>
      <c r="G164" s="408">
        <v>4.57</v>
      </c>
      <c r="H164" s="412">
        <v>5.6200855000000001</v>
      </c>
      <c r="I164" s="412">
        <v>4.9138649000000001</v>
      </c>
      <c r="J164" s="412">
        <v>4.3428266999999998</v>
      </c>
      <c r="K164" s="412">
        <v>4.0239434000000003</v>
      </c>
      <c r="L164" s="412">
        <v>3.8157469000000002</v>
      </c>
      <c r="M164" s="412">
        <v>3.6925699000000001</v>
      </c>
    </row>
    <row r="165" spans="1:13">
      <c r="A165" t="s">
        <v>557</v>
      </c>
      <c r="B165" s="408">
        <v>4.9000000000000004</v>
      </c>
      <c r="C165" s="408">
        <v>4.4000000000000004</v>
      </c>
      <c r="D165" s="408">
        <v>4.37</v>
      </c>
      <c r="E165" s="408">
        <v>4.59</v>
      </c>
      <c r="F165" s="408">
        <v>4.62</v>
      </c>
      <c r="G165" s="408">
        <v>4.58</v>
      </c>
      <c r="H165" s="412">
        <v>5.5575432999999999</v>
      </c>
      <c r="I165" s="412">
        <v>4.8613375000000003</v>
      </c>
      <c r="J165" s="412">
        <v>4.3383618999999998</v>
      </c>
      <c r="K165" s="412">
        <v>4.0221431000000001</v>
      </c>
      <c r="L165" s="412">
        <v>3.8150236999999998</v>
      </c>
      <c r="M165" s="412">
        <v>3.6961876</v>
      </c>
    </row>
    <row r="166" spans="1:13">
      <c r="A166" t="s">
        <v>558</v>
      </c>
      <c r="B166" s="408">
        <v>5.03</v>
      </c>
      <c r="C166" s="408">
        <v>4.53</v>
      </c>
      <c r="D166" s="408">
        <v>4.53</v>
      </c>
      <c r="E166" s="408">
        <v>4.75</v>
      </c>
      <c r="F166" s="408">
        <v>4.7699999999999996</v>
      </c>
      <c r="G166" s="408">
        <v>4.7300000000000004</v>
      </c>
      <c r="H166" s="412">
        <v>5.7159215999999997</v>
      </c>
      <c r="I166" s="412">
        <v>5.0628055999999999</v>
      </c>
      <c r="J166" s="412">
        <v>4.4973767999999996</v>
      </c>
      <c r="K166" s="412">
        <v>4.1672412000000003</v>
      </c>
      <c r="L166" s="412">
        <v>3.9615909</v>
      </c>
      <c r="M166" s="412">
        <v>3.8470043999999999</v>
      </c>
    </row>
    <row r="167" spans="1:13">
      <c r="A167" t="s">
        <v>559</v>
      </c>
      <c r="B167" s="408">
        <v>5.0599999999999996</v>
      </c>
      <c r="C167" s="408">
        <v>4.5599999999999996</v>
      </c>
      <c r="D167" s="408">
        <v>4.5599999999999996</v>
      </c>
      <c r="E167" s="408">
        <v>4.7699999999999996</v>
      </c>
      <c r="F167" s="408">
        <v>4.79</v>
      </c>
      <c r="G167" s="408">
        <v>4.75</v>
      </c>
      <c r="H167" s="412">
        <v>5.8098438000000003</v>
      </c>
      <c r="I167" s="412">
        <v>5.1294940000000002</v>
      </c>
      <c r="J167" s="412">
        <v>4.5042866999999998</v>
      </c>
      <c r="K167" s="412">
        <v>4.1579151999999997</v>
      </c>
      <c r="L167" s="412">
        <v>3.9589625000000002</v>
      </c>
      <c r="M167" s="412">
        <v>3.8546249000000001</v>
      </c>
    </row>
    <row r="168" spans="1:13">
      <c r="A168" t="s">
        <v>560</v>
      </c>
      <c r="B168" s="408">
        <v>5.12</v>
      </c>
      <c r="C168" s="408">
        <v>4.6100000000000003</v>
      </c>
      <c r="D168" s="408">
        <v>4.5999999999999996</v>
      </c>
      <c r="E168" s="408">
        <v>4.82</v>
      </c>
      <c r="F168" s="408">
        <v>4.84</v>
      </c>
      <c r="G168" s="408">
        <v>4.79</v>
      </c>
      <c r="H168" s="412">
        <v>5.8841152000000001</v>
      </c>
      <c r="I168" s="412">
        <v>5.1495009999999999</v>
      </c>
      <c r="J168" s="412">
        <v>4.5053035000000001</v>
      </c>
      <c r="K168" s="412">
        <v>4.1738530999999996</v>
      </c>
      <c r="L168" s="412">
        <v>3.9859615000000002</v>
      </c>
      <c r="M168" s="412">
        <v>3.8822869999999998</v>
      </c>
    </row>
    <row r="169" spans="1:13">
      <c r="A169" t="s">
        <v>561</v>
      </c>
      <c r="B169" s="408">
        <v>5.17</v>
      </c>
      <c r="C169" s="408">
        <v>4.6500000000000004</v>
      </c>
      <c r="D169" s="408">
        <v>4.6399999999999997</v>
      </c>
      <c r="E169" s="408">
        <v>4.8499999999999996</v>
      </c>
      <c r="F169" s="408">
        <v>4.88</v>
      </c>
      <c r="G169" s="408">
        <v>4.83</v>
      </c>
      <c r="H169" s="412">
        <v>5.9337514999999996</v>
      </c>
      <c r="I169" s="412">
        <v>5.1984323999999997</v>
      </c>
      <c r="J169" s="412">
        <v>4.5636964000000004</v>
      </c>
      <c r="K169" s="412">
        <v>4.2370045999999997</v>
      </c>
      <c r="L169" s="412">
        <v>4.0429487999999996</v>
      </c>
      <c r="M169" s="412">
        <v>3.9294500000000001</v>
      </c>
    </row>
    <row r="170" spans="1:13">
      <c r="A170" t="s">
        <v>562</v>
      </c>
      <c r="B170" s="408">
        <v>5.27</v>
      </c>
      <c r="C170" s="408">
        <v>4.75</v>
      </c>
      <c r="D170" s="408">
        <v>4.75</v>
      </c>
      <c r="E170" s="408">
        <v>4.96</v>
      </c>
      <c r="F170" s="408">
        <v>4.9800000000000004</v>
      </c>
      <c r="G170" s="408">
        <v>4.93</v>
      </c>
      <c r="H170" s="412">
        <v>6.0219005000000001</v>
      </c>
      <c r="I170" s="412">
        <v>5.3206065999999996</v>
      </c>
      <c r="J170" s="412">
        <v>4.7246369000000001</v>
      </c>
      <c r="K170" s="412">
        <v>4.3715273000000003</v>
      </c>
      <c r="L170" s="412">
        <v>4.1453964000000001</v>
      </c>
      <c r="M170" s="412">
        <v>4.0139015000000002</v>
      </c>
    </row>
    <row r="171" spans="1:13">
      <c r="A171" t="s">
        <v>563</v>
      </c>
      <c r="B171" s="408">
        <v>5.19</v>
      </c>
      <c r="C171" s="408">
        <v>4.6900000000000004</v>
      </c>
      <c r="D171" s="408">
        <v>4.67</v>
      </c>
      <c r="E171" s="408">
        <v>4.8899999999999997</v>
      </c>
      <c r="F171" s="408">
        <v>4.91</v>
      </c>
      <c r="G171" s="408">
        <v>4.8600000000000003</v>
      </c>
      <c r="H171" s="412">
        <v>5.9122396999999998</v>
      </c>
      <c r="I171" s="412">
        <v>5.2354816</v>
      </c>
      <c r="J171" s="412">
        <v>4.6580690999999996</v>
      </c>
      <c r="K171" s="412">
        <v>4.3148137000000002</v>
      </c>
      <c r="L171" s="412">
        <v>4.0913095999999998</v>
      </c>
      <c r="M171" s="412">
        <v>3.9620902</v>
      </c>
    </row>
    <row r="172" spans="1:13">
      <c r="A172" t="s">
        <v>564</v>
      </c>
      <c r="B172" s="408">
        <v>5.23</v>
      </c>
      <c r="C172" s="408">
        <v>4.74</v>
      </c>
      <c r="D172" s="408">
        <v>4.7300000000000004</v>
      </c>
      <c r="E172" s="408">
        <v>4.95</v>
      </c>
      <c r="F172" s="408">
        <v>4.96</v>
      </c>
      <c r="G172" s="408">
        <v>4.92</v>
      </c>
      <c r="H172" s="412">
        <v>5.9930870000000001</v>
      </c>
      <c r="I172" s="412">
        <v>5.3348868999999999</v>
      </c>
      <c r="J172" s="412">
        <v>4.7033484000000003</v>
      </c>
      <c r="K172" s="412">
        <v>4.3367481000000003</v>
      </c>
      <c r="L172" s="412">
        <v>4.1215419000000004</v>
      </c>
      <c r="M172" s="412">
        <v>4.0055817999999999</v>
      </c>
    </row>
    <row r="173" spans="1:13">
      <c r="A173" t="s">
        <v>565</v>
      </c>
      <c r="B173" s="408">
        <v>5.14</v>
      </c>
      <c r="C173" s="408">
        <v>4.68</v>
      </c>
      <c r="D173" s="408">
        <v>4.6500000000000004</v>
      </c>
      <c r="E173" s="408">
        <v>4.8600000000000003</v>
      </c>
      <c r="F173" s="408">
        <v>4.87</v>
      </c>
      <c r="G173" s="408">
        <v>4.84</v>
      </c>
      <c r="H173" s="412">
        <v>5.9197837</v>
      </c>
      <c r="I173" s="412">
        <v>5.2579728000000001</v>
      </c>
      <c r="J173" s="412">
        <v>4.6307038</v>
      </c>
      <c r="K173" s="412">
        <v>4.2708301000000004</v>
      </c>
      <c r="L173" s="412">
        <v>4.0572089</v>
      </c>
      <c r="M173" s="412">
        <v>3.9373613999999999</v>
      </c>
    </row>
    <row r="174" spans="1:13">
      <c r="A174" t="s">
        <v>566</v>
      </c>
      <c r="B174" s="408">
        <v>4.95</v>
      </c>
      <c r="C174" s="408">
        <v>4.4800000000000004</v>
      </c>
      <c r="D174" s="408">
        <v>4.46</v>
      </c>
      <c r="E174" s="408">
        <v>4.6900000000000004</v>
      </c>
      <c r="F174" s="408">
        <v>4.71</v>
      </c>
      <c r="G174" s="408">
        <v>4.68</v>
      </c>
      <c r="H174" s="412">
        <v>5.7126738000000001</v>
      </c>
      <c r="I174" s="412">
        <v>4.9678490999999996</v>
      </c>
      <c r="J174" s="412">
        <v>4.4029467000000002</v>
      </c>
      <c r="K174" s="412">
        <v>4.0986719999999996</v>
      </c>
      <c r="L174" s="412">
        <v>3.9010066999999999</v>
      </c>
      <c r="M174" s="412">
        <v>3.7814958999999999</v>
      </c>
    </row>
    <row r="175" spans="1:13">
      <c r="A175" t="s">
        <v>567</v>
      </c>
      <c r="B175" s="408">
        <v>4.97</v>
      </c>
      <c r="C175" s="408">
        <v>4.4800000000000004</v>
      </c>
      <c r="D175" s="408">
        <v>4.4400000000000004</v>
      </c>
      <c r="E175" s="408">
        <v>4.66</v>
      </c>
      <c r="F175" s="408">
        <v>4.68</v>
      </c>
      <c r="G175" s="408">
        <v>4.6500000000000004</v>
      </c>
      <c r="H175" s="412">
        <v>5.6714181999999997</v>
      </c>
      <c r="I175" s="412">
        <v>4.9250594000000003</v>
      </c>
      <c r="J175" s="412">
        <v>4.4097572999999999</v>
      </c>
      <c r="K175" s="412">
        <v>4.0974364000000003</v>
      </c>
      <c r="L175" s="412">
        <v>3.8783639000000001</v>
      </c>
      <c r="M175" s="412">
        <v>3.7446632000000002</v>
      </c>
    </row>
    <row r="176" spans="1:13">
      <c r="A176" t="s">
        <v>568</v>
      </c>
      <c r="B176" s="408">
        <v>5.01</v>
      </c>
      <c r="C176" s="408">
        <v>4.78</v>
      </c>
      <c r="D176" s="408">
        <v>4.4400000000000004</v>
      </c>
      <c r="E176" s="408">
        <v>4.6500000000000004</v>
      </c>
      <c r="F176" s="408">
        <v>4.66</v>
      </c>
      <c r="G176" s="408">
        <v>4.63</v>
      </c>
      <c r="H176" s="412">
        <v>5.7424679000000003</v>
      </c>
      <c r="I176" s="412">
        <v>4.9701605000000004</v>
      </c>
      <c r="J176" s="412">
        <v>4.4045610000000002</v>
      </c>
      <c r="K176" s="412">
        <v>4.1007230000000003</v>
      </c>
      <c r="L176" s="412">
        <v>3.8850771000000002</v>
      </c>
      <c r="M176" s="412">
        <v>3.7451473000000002</v>
      </c>
    </row>
    <row r="177" spans="1:13">
      <c r="A177" t="s">
        <v>569</v>
      </c>
      <c r="B177" s="408">
        <v>5.27</v>
      </c>
      <c r="C177" s="408" t="e">
        <v>#N/A</v>
      </c>
      <c r="D177" s="408">
        <v>4.4400000000000004</v>
      </c>
      <c r="E177" s="408">
        <v>4.66</v>
      </c>
      <c r="F177" s="408">
        <v>4.67</v>
      </c>
      <c r="G177" s="408" t="e">
        <v>#N/A</v>
      </c>
      <c r="H177" s="412" t="e">
        <v>#N/A</v>
      </c>
      <c r="I177" s="412" t="e">
        <v>#N/A</v>
      </c>
      <c r="J177" s="412" t="e">
        <v>#N/A</v>
      </c>
      <c r="K177" s="412" t="e">
        <v>#N/A</v>
      </c>
      <c r="L177" s="412" t="e">
        <v>#N/A</v>
      </c>
      <c r="M177" s="412" t="e">
        <v>#N/A</v>
      </c>
    </row>
    <row r="178" spans="1:13">
      <c r="A178" t="s">
        <v>570</v>
      </c>
      <c r="B178" s="408">
        <v>5.22</v>
      </c>
      <c r="C178" s="408">
        <v>4.75</v>
      </c>
      <c r="D178" s="408">
        <v>4.42</v>
      </c>
      <c r="E178" s="408">
        <v>4.6399999999999997</v>
      </c>
      <c r="F178" s="408">
        <v>4.66</v>
      </c>
      <c r="G178" s="408">
        <v>4.63</v>
      </c>
      <c r="H178" s="412">
        <v>5.6076630999999999</v>
      </c>
      <c r="I178" s="412">
        <v>4.8876676999999997</v>
      </c>
      <c r="J178" s="412">
        <v>4.3556799000000002</v>
      </c>
      <c r="K178" s="412">
        <v>4.0488356999999997</v>
      </c>
      <c r="L178" s="412">
        <v>3.8639215999999998</v>
      </c>
      <c r="M178" s="412">
        <v>3.7611810000000001</v>
      </c>
    </row>
    <row r="179" spans="1:13">
      <c r="A179" t="s">
        <v>571</v>
      </c>
      <c r="B179" s="408">
        <v>5.22</v>
      </c>
      <c r="C179" s="408">
        <v>4.74</v>
      </c>
      <c r="D179" s="408">
        <v>4.43</v>
      </c>
      <c r="E179" s="408">
        <v>4.6500000000000004</v>
      </c>
      <c r="F179" s="408">
        <v>4.68</v>
      </c>
      <c r="G179" s="408">
        <v>4.66</v>
      </c>
      <c r="H179" s="412">
        <v>5.6971778999999998</v>
      </c>
      <c r="I179" s="412">
        <v>4.8856830999999996</v>
      </c>
      <c r="J179" s="412">
        <v>4.3353606999999998</v>
      </c>
      <c r="K179" s="412">
        <v>4.0457583000000001</v>
      </c>
      <c r="L179" s="412">
        <v>3.8633533</v>
      </c>
      <c r="M179" s="412">
        <v>3.7587484</v>
      </c>
    </row>
    <row r="180" spans="1:13">
      <c r="A180" t="s">
        <v>572</v>
      </c>
      <c r="B180" s="408">
        <v>5.14</v>
      </c>
      <c r="C180" s="408">
        <v>4.67</v>
      </c>
      <c r="D180" s="408">
        <v>4.3600000000000003</v>
      </c>
      <c r="E180" s="408">
        <v>4.58</v>
      </c>
      <c r="F180" s="408">
        <v>4.62</v>
      </c>
      <c r="G180" s="408">
        <v>4.6100000000000003</v>
      </c>
      <c r="H180" s="412">
        <v>5.5942670999999997</v>
      </c>
      <c r="I180" s="412">
        <v>4.8119056999999996</v>
      </c>
      <c r="J180" s="412">
        <v>4.2734098999999999</v>
      </c>
      <c r="K180" s="412">
        <v>3.9754311000000002</v>
      </c>
      <c r="L180" s="412">
        <v>3.7970394999999999</v>
      </c>
      <c r="M180" s="412">
        <v>3.7003180000000002</v>
      </c>
    </row>
    <row r="181" spans="1:13">
      <c r="A181" t="s">
        <v>573</v>
      </c>
      <c r="B181" s="408">
        <v>5.14</v>
      </c>
      <c r="C181" s="408">
        <v>4.68</v>
      </c>
      <c r="D181" s="408">
        <v>4.4000000000000004</v>
      </c>
      <c r="E181" s="408">
        <v>4.63</v>
      </c>
      <c r="F181" s="408">
        <v>4.68</v>
      </c>
      <c r="G181" s="408">
        <v>4.67</v>
      </c>
      <c r="H181" s="412">
        <v>5.5274239999999999</v>
      </c>
      <c r="I181" s="412">
        <v>4.8202685000000001</v>
      </c>
      <c r="J181" s="412">
        <v>4.3437855000000001</v>
      </c>
      <c r="K181" s="412">
        <v>4.0493259999999998</v>
      </c>
      <c r="L181" s="412">
        <v>3.8608804000000001</v>
      </c>
      <c r="M181" s="412">
        <v>3.7588716</v>
      </c>
    </row>
    <row r="182" spans="1:13">
      <c r="A182" t="s">
        <v>574</v>
      </c>
      <c r="B182" s="408">
        <v>5.2</v>
      </c>
      <c r="C182" s="408">
        <v>4.74</v>
      </c>
      <c r="D182" s="408">
        <v>4.47</v>
      </c>
      <c r="E182" s="408">
        <v>4.71</v>
      </c>
      <c r="F182" s="408">
        <v>4.76</v>
      </c>
      <c r="G182" s="408">
        <v>4.76</v>
      </c>
      <c r="H182" s="412">
        <v>5.5848461</v>
      </c>
      <c r="I182" s="412">
        <v>4.8827135000000004</v>
      </c>
      <c r="J182" s="412">
        <v>4.3783592000000002</v>
      </c>
      <c r="K182" s="412">
        <v>4.0830780999999998</v>
      </c>
      <c r="L182" s="412">
        <v>3.9015316000000002</v>
      </c>
      <c r="M182" s="412">
        <v>3.8130837</v>
      </c>
    </row>
    <row r="183" spans="1:13">
      <c r="A183" t="s">
        <v>575</v>
      </c>
      <c r="B183" s="408">
        <v>5.26</v>
      </c>
      <c r="C183" s="408">
        <v>4.8</v>
      </c>
      <c r="D183" s="408">
        <v>4.5199999999999996</v>
      </c>
      <c r="E183" s="408">
        <v>4.76</v>
      </c>
      <c r="F183" s="408">
        <v>4.8</v>
      </c>
      <c r="G183" s="408">
        <v>4.79</v>
      </c>
      <c r="H183" s="412">
        <v>5.6458062</v>
      </c>
      <c r="I183" s="412">
        <v>4.9633351000000001</v>
      </c>
      <c r="J183" s="412">
        <v>4.4281698</v>
      </c>
      <c r="K183" s="412">
        <v>4.1204571000000003</v>
      </c>
      <c r="L183" s="412">
        <v>3.9409171999999999</v>
      </c>
      <c r="M183" s="412">
        <v>3.8517665999999999</v>
      </c>
    </row>
    <row r="184" spans="1:13">
      <c r="A184" t="s">
        <v>576</v>
      </c>
      <c r="B184" s="408">
        <v>5.22</v>
      </c>
      <c r="C184" s="408">
        <v>4.8</v>
      </c>
      <c r="D184" s="408">
        <v>4.53</v>
      </c>
      <c r="E184" s="408">
        <v>4.75</v>
      </c>
      <c r="F184" s="408">
        <v>4.79</v>
      </c>
      <c r="G184" s="408">
        <v>4.78</v>
      </c>
      <c r="H184" s="412">
        <v>5.6324828</v>
      </c>
      <c r="I184" s="412">
        <v>4.9591339999999997</v>
      </c>
      <c r="J184" s="412">
        <v>4.4414787000000002</v>
      </c>
      <c r="K184" s="412">
        <v>4.1452426999999998</v>
      </c>
      <c r="L184" s="412">
        <v>3.9633419999999999</v>
      </c>
      <c r="M184" s="412">
        <v>3.8672819999999999</v>
      </c>
    </row>
    <row r="185" spans="1:13">
      <c r="A185" t="s">
        <v>577</v>
      </c>
      <c r="B185" s="408">
        <v>5.14</v>
      </c>
      <c r="C185" s="408">
        <v>4.72</v>
      </c>
      <c r="D185" s="408">
        <v>4.46</v>
      </c>
      <c r="E185" s="408">
        <v>4.6900000000000004</v>
      </c>
      <c r="F185" s="408">
        <v>4.7300000000000004</v>
      </c>
      <c r="G185" s="408">
        <v>4.71</v>
      </c>
      <c r="H185" s="412">
        <v>5.5037675999999998</v>
      </c>
      <c r="I185" s="412">
        <v>4.7982363000000001</v>
      </c>
      <c r="J185" s="412">
        <v>4.3436627999999997</v>
      </c>
      <c r="K185" s="412">
        <v>4.0855893999999999</v>
      </c>
      <c r="L185" s="412">
        <v>3.9198601000000002</v>
      </c>
      <c r="M185" s="412">
        <v>3.8307259</v>
      </c>
    </row>
    <row r="186" spans="1:13">
      <c r="A186" t="s">
        <v>578</v>
      </c>
      <c r="B186" s="408">
        <v>5.08</v>
      </c>
      <c r="C186" s="408">
        <v>4.66</v>
      </c>
      <c r="D186" s="408">
        <v>4.42</v>
      </c>
      <c r="E186" s="408">
        <v>4.66</v>
      </c>
      <c r="F186" s="408">
        <v>4.71</v>
      </c>
      <c r="G186" s="408">
        <v>4.7</v>
      </c>
      <c r="H186" s="412">
        <v>5.4251103000000001</v>
      </c>
      <c r="I186" s="412">
        <v>4.7470501000000001</v>
      </c>
      <c r="J186" s="412">
        <v>4.3092744999999999</v>
      </c>
      <c r="K186" s="412">
        <v>4.0524678999999999</v>
      </c>
      <c r="L186" s="412">
        <v>3.8801825000000001</v>
      </c>
      <c r="M186" s="412">
        <v>3.7849308000000002</v>
      </c>
    </row>
    <row r="187" spans="1:13">
      <c r="A187" t="s">
        <v>579</v>
      </c>
      <c r="B187" s="408">
        <v>5.08</v>
      </c>
      <c r="C187" s="408">
        <v>4.7</v>
      </c>
      <c r="D187" s="408">
        <v>4.47</v>
      </c>
      <c r="E187" s="408">
        <v>4.7</v>
      </c>
      <c r="F187" s="408">
        <v>4.7699999999999996</v>
      </c>
      <c r="G187" s="408">
        <v>4.7699999999999996</v>
      </c>
      <c r="H187" s="412">
        <v>5.4492228999999996</v>
      </c>
      <c r="I187" s="412">
        <v>4.7580713000000001</v>
      </c>
      <c r="J187" s="412">
        <v>4.3209378999999997</v>
      </c>
      <c r="K187" s="412">
        <v>4.0749048999999999</v>
      </c>
      <c r="L187" s="412">
        <v>3.9126530000000002</v>
      </c>
      <c r="M187" s="412">
        <v>3.8304524</v>
      </c>
    </row>
    <row r="188" spans="1:13">
      <c r="A188" t="s">
        <v>580</v>
      </c>
      <c r="B188" s="408">
        <v>5.04</v>
      </c>
      <c r="C188" s="408">
        <v>4.6500000000000004</v>
      </c>
      <c r="D188" s="408">
        <v>4.42</v>
      </c>
      <c r="E188" s="408">
        <v>4.66</v>
      </c>
      <c r="F188" s="408">
        <v>4.7300000000000004</v>
      </c>
      <c r="G188" s="408">
        <v>4.74</v>
      </c>
      <c r="H188" s="412">
        <v>5.4300347000000002</v>
      </c>
      <c r="I188" s="412">
        <v>4.7073600999999998</v>
      </c>
      <c r="J188" s="412">
        <v>4.2642483000000002</v>
      </c>
      <c r="K188" s="412">
        <v>4.0263970000000002</v>
      </c>
      <c r="L188" s="412">
        <v>3.8734196999999999</v>
      </c>
      <c r="M188" s="412">
        <v>3.7934619000000001</v>
      </c>
    </row>
    <row r="189" spans="1:13">
      <c r="A189" t="s">
        <v>581</v>
      </c>
      <c r="B189" s="408">
        <v>4.97</v>
      </c>
      <c r="C189" s="408">
        <v>4.55</v>
      </c>
      <c r="D189" s="408">
        <v>4.34</v>
      </c>
      <c r="E189" s="408">
        <v>4.58</v>
      </c>
      <c r="F189" s="408">
        <v>4.6399999999999997</v>
      </c>
      <c r="G189" s="408">
        <v>4.6500000000000004</v>
      </c>
      <c r="H189" s="412">
        <v>5.3638699000000001</v>
      </c>
      <c r="I189" s="412">
        <v>4.5642858999999998</v>
      </c>
      <c r="J189" s="412">
        <v>4.1354953999999999</v>
      </c>
      <c r="K189" s="412">
        <v>3.9296327</v>
      </c>
      <c r="L189" s="412">
        <v>3.7966204000000001</v>
      </c>
      <c r="M189" s="412">
        <v>3.7245694</v>
      </c>
    </row>
    <row r="190" spans="1:13">
      <c r="A190" t="s">
        <v>582</v>
      </c>
      <c r="B190" s="408">
        <v>4.95</v>
      </c>
      <c r="C190" s="408">
        <v>4.5</v>
      </c>
      <c r="D190" s="408">
        <v>4.3</v>
      </c>
      <c r="E190" s="408">
        <v>4.54</v>
      </c>
      <c r="F190" s="408">
        <v>4.6100000000000003</v>
      </c>
      <c r="G190" s="408">
        <v>4.62</v>
      </c>
      <c r="H190" s="412">
        <v>5.3271138999999996</v>
      </c>
      <c r="I190" s="412">
        <v>4.4912631000000003</v>
      </c>
      <c r="J190" s="412">
        <v>4.0630332999999998</v>
      </c>
      <c r="K190" s="412">
        <v>3.8612918000000001</v>
      </c>
      <c r="L190" s="412">
        <v>3.7401206999999999</v>
      </c>
      <c r="M190" s="412">
        <v>3.6800356000000001</v>
      </c>
    </row>
    <row r="191" spans="1:13">
      <c r="A191" t="s">
        <v>583</v>
      </c>
      <c r="B191" s="408">
        <v>5.03</v>
      </c>
      <c r="C191" s="408">
        <v>4.54</v>
      </c>
      <c r="D191" s="408">
        <v>4.37</v>
      </c>
      <c r="E191" s="408">
        <v>4.62</v>
      </c>
      <c r="F191" s="408">
        <v>4.6900000000000004</v>
      </c>
      <c r="G191" s="408">
        <v>4.7</v>
      </c>
      <c r="H191" s="412">
        <v>5.3634392999999996</v>
      </c>
      <c r="I191" s="412">
        <v>4.5171830000000002</v>
      </c>
      <c r="J191" s="412">
        <v>4.0987333000000001</v>
      </c>
      <c r="K191" s="412">
        <v>3.9245926</v>
      </c>
      <c r="L191" s="412">
        <v>3.8196728000000002</v>
      </c>
      <c r="M191" s="412">
        <v>3.7683599000000001</v>
      </c>
    </row>
    <row r="192" spans="1:13">
      <c r="A192" t="s">
        <v>584</v>
      </c>
      <c r="B192" s="408">
        <v>5.0199999999999996</v>
      </c>
      <c r="C192" s="408">
        <v>4.5599999999999996</v>
      </c>
      <c r="D192" s="408">
        <v>4.38</v>
      </c>
      <c r="E192" s="408">
        <v>4.63</v>
      </c>
      <c r="F192" s="408">
        <v>4.71</v>
      </c>
      <c r="G192" s="408">
        <v>4.72</v>
      </c>
      <c r="H192" s="412">
        <v>5.3841041000000001</v>
      </c>
      <c r="I192" s="412">
        <v>4.6183969999999999</v>
      </c>
      <c r="J192" s="412">
        <v>4.1806497</v>
      </c>
      <c r="K192" s="412">
        <v>3.9548904999999999</v>
      </c>
      <c r="L192" s="412">
        <v>3.8196146999999998</v>
      </c>
      <c r="M192" s="412">
        <v>3.7594110000000001</v>
      </c>
    </row>
    <row r="193" spans="1:13">
      <c r="A193" t="s">
        <v>585</v>
      </c>
      <c r="B193" s="408">
        <v>5.01</v>
      </c>
      <c r="C193" s="408">
        <v>4.55</v>
      </c>
      <c r="D193" s="408">
        <v>4.3600000000000003</v>
      </c>
      <c r="E193" s="408">
        <v>4.62</v>
      </c>
      <c r="F193" s="408">
        <v>4.71</v>
      </c>
      <c r="G193" s="408">
        <v>4.7300000000000004</v>
      </c>
      <c r="H193" s="412">
        <v>5.3507309999999997</v>
      </c>
      <c r="I193" s="412">
        <v>4.5846836</v>
      </c>
      <c r="J193" s="412">
        <v>4.146185</v>
      </c>
      <c r="K193" s="412">
        <v>3.9342831999999999</v>
      </c>
      <c r="L193" s="412">
        <v>3.8138312000000001</v>
      </c>
      <c r="M193" s="412">
        <v>3.7614087999999999</v>
      </c>
    </row>
    <row r="194" spans="1:13">
      <c r="A194" t="s">
        <v>586</v>
      </c>
      <c r="B194" s="408">
        <v>4.84</v>
      </c>
      <c r="C194" s="408">
        <v>4.38</v>
      </c>
      <c r="D194" s="408">
        <v>4.21</v>
      </c>
      <c r="E194" s="408">
        <v>4.5</v>
      </c>
      <c r="F194" s="408">
        <v>4.59</v>
      </c>
      <c r="G194" s="408">
        <v>4.63</v>
      </c>
      <c r="H194" s="412">
        <v>5.1851466000000004</v>
      </c>
      <c r="I194" s="412">
        <v>4.383432</v>
      </c>
      <c r="J194" s="412">
        <v>3.9488523</v>
      </c>
      <c r="K194" s="412">
        <v>3.7642506</v>
      </c>
      <c r="L194" s="412">
        <v>3.67238</v>
      </c>
      <c r="M194" s="412">
        <v>3.6411074999999999</v>
      </c>
    </row>
    <row r="195" spans="1:13">
      <c r="A195" t="s">
        <v>587</v>
      </c>
      <c r="B195" s="408">
        <v>4.8499999999999996</v>
      </c>
      <c r="C195" s="408">
        <v>4.42</v>
      </c>
      <c r="D195" s="408">
        <v>4.3</v>
      </c>
      <c r="E195" s="408">
        <v>4.59</v>
      </c>
      <c r="F195" s="408">
        <v>4.67</v>
      </c>
      <c r="G195" s="408">
        <v>4.7</v>
      </c>
      <c r="H195" s="412">
        <v>5.2004261999999999</v>
      </c>
      <c r="I195" s="412">
        <v>4.4077121999999997</v>
      </c>
      <c r="J195" s="412">
        <v>4.0097047000000003</v>
      </c>
      <c r="K195" s="412">
        <v>3.8368321999999999</v>
      </c>
      <c r="L195" s="412">
        <v>3.7509899999999998</v>
      </c>
      <c r="M195" s="412">
        <v>3.7250219000000002</v>
      </c>
    </row>
    <row r="196" spans="1:13">
      <c r="A196" t="s">
        <v>588</v>
      </c>
      <c r="B196" s="408">
        <v>4.79</v>
      </c>
      <c r="C196" s="408">
        <v>4.3600000000000003</v>
      </c>
      <c r="D196" s="408">
        <v>4.25</v>
      </c>
      <c r="E196" s="408">
        <v>4.54</v>
      </c>
      <c r="F196" s="408">
        <v>4.6399999999999997</v>
      </c>
      <c r="G196" s="408">
        <v>4.68</v>
      </c>
      <c r="H196" s="412">
        <v>5.1267164999999997</v>
      </c>
      <c r="I196" s="412">
        <v>4.3202182000000002</v>
      </c>
      <c r="J196" s="412">
        <v>3.9496671000000001</v>
      </c>
      <c r="K196" s="412">
        <v>3.8174047999999998</v>
      </c>
      <c r="L196" s="412">
        <v>3.7447092</v>
      </c>
      <c r="M196" s="412">
        <v>3.7166921999999998</v>
      </c>
    </row>
    <row r="197" spans="1:13">
      <c r="A197" t="s">
        <v>589</v>
      </c>
      <c r="B197" s="408">
        <v>4.8099999999999996</v>
      </c>
      <c r="C197" s="408">
        <v>4.4000000000000004</v>
      </c>
      <c r="D197" s="408">
        <v>4.33</v>
      </c>
      <c r="E197" s="408">
        <v>4.6399999999999997</v>
      </c>
      <c r="F197" s="408">
        <v>4.75</v>
      </c>
      <c r="G197" s="408">
        <v>4.8</v>
      </c>
      <c r="H197" s="412">
        <v>5.0987552999999997</v>
      </c>
      <c r="I197" s="412">
        <v>4.4001975</v>
      </c>
      <c r="J197" s="412">
        <v>4.0444348000000003</v>
      </c>
      <c r="K197" s="412">
        <v>3.8786881000000002</v>
      </c>
      <c r="L197" s="412">
        <v>3.8044554000000002</v>
      </c>
      <c r="M197" s="412">
        <v>3.7975210000000001</v>
      </c>
    </row>
    <row r="198" spans="1:13">
      <c r="A198" t="s">
        <v>590</v>
      </c>
      <c r="B198" s="408">
        <v>4.8099999999999996</v>
      </c>
      <c r="C198" s="408">
        <v>4.41</v>
      </c>
      <c r="D198" s="408">
        <v>4.33</v>
      </c>
      <c r="E198" s="408">
        <v>4.6500000000000004</v>
      </c>
      <c r="F198" s="408">
        <v>4.75</v>
      </c>
      <c r="G198" s="408">
        <v>4.8099999999999996</v>
      </c>
      <c r="H198" s="412">
        <v>5.1629825</v>
      </c>
      <c r="I198" s="412">
        <v>4.4193337000000001</v>
      </c>
      <c r="J198" s="412">
        <v>4.0154813999999996</v>
      </c>
      <c r="K198" s="412">
        <v>3.8484140999999998</v>
      </c>
      <c r="L198" s="412">
        <v>3.7898635000000001</v>
      </c>
      <c r="M198" s="412">
        <v>3.8014009999999998</v>
      </c>
    </row>
    <row r="199" spans="1:13">
      <c r="A199" t="s">
        <v>591</v>
      </c>
      <c r="B199" s="408">
        <v>4.88</v>
      </c>
      <c r="C199" s="408">
        <v>4.4800000000000004</v>
      </c>
      <c r="D199" s="408">
        <v>4.38</v>
      </c>
      <c r="E199" s="408">
        <v>4.68</v>
      </c>
      <c r="F199" s="408">
        <v>4.76</v>
      </c>
      <c r="G199" s="408">
        <v>4.8099999999999996</v>
      </c>
      <c r="H199" s="412">
        <v>5.2276809999999996</v>
      </c>
      <c r="I199" s="412">
        <v>4.5124157</v>
      </c>
      <c r="J199" s="412">
        <v>4.1024944000000003</v>
      </c>
      <c r="K199" s="412">
        <v>3.9253643999999999</v>
      </c>
      <c r="L199" s="412">
        <v>3.8503664</v>
      </c>
      <c r="M199" s="412">
        <v>3.8398694</v>
      </c>
    </row>
    <row r="200" spans="1:13">
      <c r="A200" t="s">
        <v>592</v>
      </c>
      <c r="B200" s="408">
        <v>4.93</v>
      </c>
      <c r="C200" s="408">
        <v>4.58</v>
      </c>
      <c r="D200" s="408">
        <v>4.49</v>
      </c>
      <c r="E200" s="408">
        <v>4.78</v>
      </c>
      <c r="F200" s="408">
        <v>4.8600000000000003</v>
      </c>
      <c r="G200" s="408">
        <v>4.9000000000000004</v>
      </c>
      <c r="H200" s="412">
        <v>5.2496622000000004</v>
      </c>
      <c r="I200" s="412">
        <v>4.6400002999999996</v>
      </c>
      <c r="J200" s="412">
        <v>4.2529687000000003</v>
      </c>
      <c r="K200" s="412">
        <v>4.0495308000000003</v>
      </c>
      <c r="L200" s="412">
        <v>3.9471314999999998</v>
      </c>
      <c r="M200" s="412">
        <v>3.9169651000000001</v>
      </c>
    </row>
    <row r="201" spans="1:13">
      <c r="A201" t="s">
        <v>593</v>
      </c>
      <c r="B201" s="408">
        <v>4.91</v>
      </c>
      <c r="C201" s="408">
        <v>4.53</v>
      </c>
      <c r="D201" s="408">
        <v>4.46</v>
      </c>
      <c r="E201" s="408">
        <v>4.76</v>
      </c>
      <c r="F201" s="408">
        <v>4.8600000000000003</v>
      </c>
      <c r="G201" s="408">
        <v>4.92</v>
      </c>
      <c r="H201" s="412">
        <v>5.1569861000000001</v>
      </c>
      <c r="I201" s="412">
        <v>4.5061014999999998</v>
      </c>
      <c r="J201" s="412">
        <v>4.1760261999999999</v>
      </c>
      <c r="K201" s="412">
        <v>4.0272492</v>
      </c>
      <c r="L201" s="412">
        <v>3.9513503000000001</v>
      </c>
      <c r="M201" s="412">
        <v>3.9318871999999998</v>
      </c>
    </row>
    <row r="202" spans="1:13">
      <c r="A202" t="s">
        <v>594</v>
      </c>
      <c r="B202" s="408">
        <v>4.97</v>
      </c>
      <c r="C202" s="408">
        <v>4.6100000000000003</v>
      </c>
      <c r="D202" s="408">
        <v>4.5599999999999996</v>
      </c>
      <c r="E202" s="408">
        <v>4.87</v>
      </c>
      <c r="F202" s="408">
        <v>4.95</v>
      </c>
      <c r="G202" s="408">
        <v>5.01</v>
      </c>
      <c r="H202" s="412">
        <v>5.2300027</v>
      </c>
      <c r="I202" s="412">
        <v>4.6270876000000003</v>
      </c>
      <c r="J202" s="412">
        <v>4.2707563000000004</v>
      </c>
      <c r="K202" s="412">
        <v>4.1136511999999996</v>
      </c>
      <c r="L202" s="412">
        <v>4.0390480999999996</v>
      </c>
      <c r="M202" s="412">
        <v>4.0262795000000002</v>
      </c>
    </row>
    <row r="203" spans="1:13">
      <c r="A203" t="s">
        <v>595</v>
      </c>
      <c r="B203" s="408">
        <v>4.99</v>
      </c>
      <c r="C203" s="408">
        <v>4.6399999999999997</v>
      </c>
      <c r="D203" s="408">
        <v>4.5999999999999996</v>
      </c>
      <c r="E203" s="408">
        <v>4.92</v>
      </c>
      <c r="F203" s="408">
        <v>5</v>
      </c>
      <c r="G203" s="408">
        <v>5.05</v>
      </c>
      <c r="H203" s="412">
        <v>5.2494854999999996</v>
      </c>
      <c r="I203" s="412">
        <v>4.6893028000000001</v>
      </c>
      <c r="J203" s="412">
        <v>4.2908279</v>
      </c>
      <c r="K203" s="412">
        <v>4.1202934999999998</v>
      </c>
      <c r="L203" s="412">
        <v>4.0743236999999999</v>
      </c>
      <c r="M203" s="412">
        <v>4.0926045000000002</v>
      </c>
    </row>
    <row r="204" spans="1:13">
      <c r="A204" t="s">
        <v>596</v>
      </c>
      <c r="B204" s="408">
        <v>4.92</v>
      </c>
      <c r="C204" s="408">
        <v>4.6100000000000003</v>
      </c>
      <c r="D204" s="408">
        <v>4.58</v>
      </c>
      <c r="E204" s="408">
        <v>4.88</v>
      </c>
      <c r="F204" s="408">
        <v>4.96</v>
      </c>
      <c r="G204" s="408">
        <v>5</v>
      </c>
      <c r="H204" s="412">
        <v>5.2112803000000003</v>
      </c>
      <c r="I204" s="412">
        <v>4.6228819000000003</v>
      </c>
      <c r="J204" s="412">
        <v>4.2778684</v>
      </c>
      <c r="K204" s="412">
        <v>4.1377952000000002</v>
      </c>
      <c r="L204" s="412">
        <v>4.0789209</v>
      </c>
      <c r="M204" s="412">
        <v>4.0742158999999996</v>
      </c>
    </row>
    <row r="205" spans="1:13">
      <c r="A205" t="s">
        <v>597</v>
      </c>
      <c r="B205" s="408">
        <v>4.8600000000000003</v>
      </c>
      <c r="C205" s="408">
        <v>4.54</v>
      </c>
      <c r="D205" s="408">
        <v>4.53</v>
      </c>
      <c r="E205" s="408">
        <v>4.84</v>
      </c>
      <c r="F205" s="408">
        <v>4.93</v>
      </c>
      <c r="G205" s="408">
        <v>4.9800000000000004</v>
      </c>
      <c r="H205" s="412">
        <v>5.1558656999999997</v>
      </c>
      <c r="I205" s="412">
        <v>4.5359211999999998</v>
      </c>
      <c r="J205" s="412">
        <v>4.2166607000000003</v>
      </c>
      <c r="K205" s="412">
        <v>4.0913462999999997</v>
      </c>
      <c r="L205" s="412">
        <v>4.0374401999999998</v>
      </c>
      <c r="M205" s="412">
        <v>4.0334484000000002</v>
      </c>
    </row>
    <row r="206" spans="1:13">
      <c r="A206" t="s">
        <v>598</v>
      </c>
      <c r="B206" s="408">
        <v>4.8899999999999997</v>
      </c>
      <c r="C206" s="408">
        <v>4.58</v>
      </c>
      <c r="D206" s="408">
        <v>4.59</v>
      </c>
      <c r="E206" s="408">
        <v>4.9000000000000004</v>
      </c>
      <c r="F206" s="408">
        <v>5.01</v>
      </c>
      <c r="G206" s="408">
        <v>5.05</v>
      </c>
      <c r="H206" s="412">
        <v>5.1672247000000002</v>
      </c>
      <c r="I206" s="412">
        <v>4.6082216000000003</v>
      </c>
      <c r="J206" s="412">
        <v>4.2943702999999998</v>
      </c>
      <c r="K206" s="412">
        <v>4.1529341999999998</v>
      </c>
      <c r="L206" s="412">
        <v>4.0935604999999997</v>
      </c>
      <c r="M206" s="412">
        <v>4.0925294000000001</v>
      </c>
    </row>
    <row r="207" spans="1:13">
      <c r="A207" t="s">
        <v>599</v>
      </c>
      <c r="B207" s="408">
        <v>4.83</v>
      </c>
      <c r="C207" s="408">
        <v>4.47</v>
      </c>
      <c r="D207" s="408">
        <v>4.4800000000000004</v>
      </c>
      <c r="E207" s="408">
        <v>4.8099999999999996</v>
      </c>
      <c r="F207" s="408">
        <v>4.92</v>
      </c>
      <c r="G207" s="408">
        <v>4.97</v>
      </c>
      <c r="H207" s="412">
        <v>5.1144448999999996</v>
      </c>
      <c r="I207" s="412">
        <v>4.5044044000000003</v>
      </c>
      <c r="J207" s="412">
        <v>4.1753363999999999</v>
      </c>
      <c r="K207" s="412">
        <v>4.035666</v>
      </c>
      <c r="L207" s="412">
        <v>3.9836075000000002</v>
      </c>
      <c r="M207" s="412">
        <v>3.9949808999999998</v>
      </c>
    </row>
    <row r="208" spans="1:13">
      <c r="A208" t="s">
        <v>600</v>
      </c>
      <c r="B208" s="408">
        <v>4.79</v>
      </c>
      <c r="C208" s="408">
        <v>4.42</v>
      </c>
      <c r="D208" s="408">
        <v>4.42</v>
      </c>
      <c r="E208" s="408">
        <v>4.75</v>
      </c>
      <c r="F208" s="408">
        <v>4.8600000000000003</v>
      </c>
      <c r="G208" s="408">
        <v>4.91</v>
      </c>
      <c r="H208" s="412">
        <v>5.0951348999999997</v>
      </c>
      <c r="I208" s="412">
        <v>4.4605652999999998</v>
      </c>
      <c r="J208" s="412">
        <v>4.1036755999999999</v>
      </c>
      <c r="K208" s="412">
        <v>3.9508502000000001</v>
      </c>
      <c r="L208" s="412">
        <v>3.9049076</v>
      </c>
      <c r="M208" s="412">
        <v>3.9260910999999998</v>
      </c>
    </row>
    <row r="209" spans="1:13">
      <c r="A209" t="s">
        <v>601</v>
      </c>
      <c r="B209" s="408">
        <v>4.78</v>
      </c>
      <c r="C209" s="408">
        <v>4.38</v>
      </c>
      <c r="D209" s="408">
        <v>4.33</v>
      </c>
      <c r="E209" s="408">
        <v>4.6399999999999997</v>
      </c>
      <c r="F209" s="408">
        <v>4.7300000000000004</v>
      </c>
      <c r="G209" s="408">
        <v>4.76</v>
      </c>
      <c r="H209" s="412">
        <v>5.0942322999999998</v>
      </c>
      <c r="I209" s="412">
        <v>4.4439149000000002</v>
      </c>
      <c r="J209" s="412">
        <v>4.0447994999999999</v>
      </c>
      <c r="K209" s="412">
        <v>3.8728446999999999</v>
      </c>
      <c r="L209" s="412">
        <v>3.8024955</v>
      </c>
      <c r="M209" s="412">
        <v>3.793774</v>
      </c>
    </row>
    <row r="210" spans="1:13">
      <c r="A210" t="s">
        <v>602</v>
      </c>
      <c r="B210" s="408">
        <v>4.8499999999999996</v>
      </c>
      <c r="C210" s="408">
        <v>4.47</v>
      </c>
      <c r="D210" s="408">
        <v>4.43</v>
      </c>
      <c r="E210" s="408">
        <v>4.7300000000000004</v>
      </c>
      <c r="F210" s="408">
        <v>4.83</v>
      </c>
      <c r="G210" s="408">
        <v>4.87</v>
      </c>
      <c r="H210" s="412">
        <v>5.1331102</v>
      </c>
      <c r="I210" s="412">
        <v>4.473179</v>
      </c>
      <c r="J210" s="412">
        <v>4.1355903999999999</v>
      </c>
      <c r="K210" s="412">
        <v>4.0027194000000001</v>
      </c>
      <c r="L210" s="412">
        <v>3.9332262999999998</v>
      </c>
      <c r="M210" s="412">
        <v>3.9184961</v>
      </c>
    </row>
    <row r="211" spans="1:13">
      <c r="A211" t="s">
        <v>603</v>
      </c>
      <c r="B211" s="408">
        <v>4.84</v>
      </c>
      <c r="C211" s="408">
        <v>4.45</v>
      </c>
      <c r="D211" s="408">
        <v>4.38</v>
      </c>
      <c r="E211" s="408">
        <v>4.6900000000000004</v>
      </c>
      <c r="F211" s="408">
        <v>4.78</v>
      </c>
      <c r="G211" s="408">
        <v>4.82</v>
      </c>
      <c r="H211" s="412">
        <v>5.0925162000000004</v>
      </c>
      <c r="I211" s="412">
        <v>4.4627904000000003</v>
      </c>
      <c r="J211" s="412">
        <v>4.1082463999999996</v>
      </c>
      <c r="K211" s="412">
        <v>3.9416820000000001</v>
      </c>
      <c r="L211" s="412">
        <v>3.86137</v>
      </c>
      <c r="M211" s="412">
        <v>3.8457322999999999</v>
      </c>
    </row>
    <row r="212" spans="1:13">
      <c r="A212" t="s">
        <v>604</v>
      </c>
      <c r="B212" s="408">
        <v>4.91</v>
      </c>
      <c r="C212" s="408">
        <v>4.54</v>
      </c>
      <c r="D212" s="408">
        <v>4.49</v>
      </c>
      <c r="E212" s="408">
        <v>4.8</v>
      </c>
      <c r="F212" s="408">
        <v>4.9000000000000004</v>
      </c>
      <c r="G212" s="408">
        <v>4.93</v>
      </c>
      <c r="H212" s="412">
        <v>5.1731192000000004</v>
      </c>
      <c r="I212" s="412">
        <v>4.5807117999999996</v>
      </c>
      <c r="J212" s="412">
        <v>4.1929409</v>
      </c>
      <c r="K212" s="412">
        <v>4.0088404000000004</v>
      </c>
      <c r="L212" s="412">
        <v>3.9376470000000001</v>
      </c>
      <c r="M212" s="412">
        <v>3.9440892999999999</v>
      </c>
    </row>
    <row r="213" spans="1:13">
      <c r="A213" t="s">
        <v>605</v>
      </c>
      <c r="B213" s="408">
        <v>4.87</v>
      </c>
      <c r="C213" s="408">
        <v>4.55</v>
      </c>
      <c r="D213" s="408">
        <v>4.5199999999999996</v>
      </c>
      <c r="E213" s="408">
        <v>4.83</v>
      </c>
      <c r="F213" s="408">
        <v>4.91</v>
      </c>
      <c r="G213" s="408">
        <v>4.9400000000000004</v>
      </c>
      <c r="H213" s="412">
        <v>5.1588867</v>
      </c>
      <c r="I213" s="412">
        <v>4.6125303000000004</v>
      </c>
      <c r="J213" s="412">
        <v>4.2206663000000004</v>
      </c>
      <c r="K213" s="412">
        <v>4.0276719999999999</v>
      </c>
      <c r="L213" s="412">
        <v>3.9559619000000001</v>
      </c>
      <c r="M213" s="412">
        <v>3.9634024000000001</v>
      </c>
    </row>
    <row r="214" spans="1:13">
      <c r="A214" t="s">
        <v>606</v>
      </c>
      <c r="B214" s="408">
        <v>5.01</v>
      </c>
      <c r="C214" s="408">
        <v>4.7</v>
      </c>
      <c r="D214" s="408">
        <v>4.66</v>
      </c>
      <c r="E214" s="408">
        <v>4.95</v>
      </c>
      <c r="F214" s="408">
        <v>5.03</v>
      </c>
      <c r="G214" s="408">
        <v>5.04</v>
      </c>
      <c r="H214" s="412">
        <v>5.2574888</v>
      </c>
      <c r="I214" s="412">
        <v>4.7276607999999998</v>
      </c>
      <c r="J214" s="412">
        <v>4.3491480999999999</v>
      </c>
      <c r="K214" s="412">
        <v>4.1936970999999996</v>
      </c>
      <c r="L214" s="412">
        <v>4.1275801000000003</v>
      </c>
      <c r="M214" s="412">
        <v>4.1164543</v>
      </c>
    </row>
    <row r="215" spans="1:13">
      <c r="A215" t="s">
        <v>607</v>
      </c>
      <c r="B215" s="408">
        <v>4.99</v>
      </c>
      <c r="C215" s="408">
        <v>4.7300000000000004</v>
      </c>
      <c r="D215" s="408">
        <v>4.7</v>
      </c>
      <c r="E215" s="408">
        <v>5</v>
      </c>
      <c r="F215" s="408">
        <v>5.08</v>
      </c>
      <c r="G215" s="408">
        <v>5.0999999999999996</v>
      </c>
      <c r="H215" s="412">
        <v>5.2475610000000001</v>
      </c>
      <c r="I215" s="412">
        <v>4.7693181999999998</v>
      </c>
      <c r="J215" s="412">
        <v>4.4475724000000003</v>
      </c>
      <c r="K215" s="412">
        <v>4.2962452999999998</v>
      </c>
      <c r="L215" s="412">
        <v>4.2103910999999998</v>
      </c>
      <c r="M215" s="412">
        <v>4.1767702</v>
      </c>
    </row>
    <row r="216" spans="1:13">
      <c r="A216" t="s">
        <v>608</v>
      </c>
      <c r="B216" s="408">
        <v>4.87</v>
      </c>
      <c r="C216" s="408">
        <v>4.63</v>
      </c>
      <c r="D216" s="408">
        <v>4.6500000000000004</v>
      </c>
      <c r="E216" s="408">
        <v>4.97</v>
      </c>
      <c r="F216" s="408">
        <v>5.08</v>
      </c>
      <c r="G216" s="408">
        <v>5.1100000000000003</v>
      </c>
      <c r="H216" s="412">
        <v>5.1022854000000004</v>
      </c>
      <c r="I216" s="412">
        <v>4.6547026000000002</v>
      </c>
      <c r="J216" s="412">
        <v>4.3844253999999996</v>
      </c>
      <c r="K216" s="412">
        <v>4.2311173000000002</v>
      </c>
      <c r="L216" s="412">
        <v>4.1479986999999996</v>
      </c>
      <c r="M216" s="412">
        <v>4.1262487999999999</v>
      </c>
    </row>
    <row r="217" spans="1:13">
      <c r="A217" t="s">
        <v>609</v>
      </c>
      <c r="B217" s="408">
        <v>4.8099999999999996</v>
      </c>
      <c r="C217" s="408">
        <v>4.5599999999999996</v>
      </c>
      <c r="D217" s="408">
        <v>4.58</v>
      </c>
      <c r="E217" s="408">
        <v>4.91</v>
      </c>
      <c r="F217" s="408">
        <v>5.01</v>
      </c>
      <c r="G217" s="408">
        <v>5.03</v>
      </c>
      <c r="H217" s="412">
        <v>5.0796473999999998</v>
      </c>
      <c r="I217" s="412">
        <v>4.5941121000000003</v>
      </c>
      <c r="J217" s="412">
        <v>4.3145582999999998</v>
      </c>
      <c r="K217" s="412">
        <v>4.1759674999999996</v>
      </c>
      <c r="L217" s="412">
        <v>4.1103117999999998</v>
      </c>
      <c r="M217" s="412">
        <v>4.1051333999999997</v>
      </c>
    </row>
    <row r="218" spans="1:13">
      <c r="A218" t="s">
        <v>610</v>
      </c>
      <c r="B218" s="408">
        <v>4.78</v>
      </c>
      <c r="C218" s="408">
        <v>4.51</v>
      </c>
      <c r="D218" s="408">
        <v>4.54</v>
      </c>
      <c r="E218" s="408">
        <v>4.8600000000000003</v>
      </c>
      <c r="F218" s="408">
        <v>4.97</v>
      </c>
      <c r="G218" s="408">
        <v>4.99</v>
      </c>
      <c r="H218" s="412">
        <v>5.0230458999999996</v>
      </c>
      <c r="I218" s="412">
        <v>4.4869563000000001</v>
      </c>
      <c r="J218" s="412">
        <v>4.1968603</v>
      </c>
      <c r="K218" s="412">
        <v>4.0775430000000004</v>
      </c>
      <c r="L218" s="412">
        <v>4.0400257999999996</v>
      </c>
      <c r="M218" s="412">
        <v>4.0591577000000001</v>
      </c>
    </row>
    <row r="219" spans="1:13">
      <c r="A219" t="s">
        <v>611</v>
      </c>
      <c r="B219" s="408">
        <v>4.8600000000000003</v>
      </c>
      <c r="C219" s="408">
        <v>4.59</v>
      </c>
      <c r="D219" s="408">
        <v>4.63</v>
      </c>
      <c r="E219" s="408">
        <v>4.95</v>
      </c>
      <c r="F219" s="408">
        <v>5.05</v>
      </c>
      <c r="G219" s="408">
        <v>5.07</v>
      </c>
      <c r="H219" s="412">
        <v>5.0546315999999996</v>
      </c>
      <c r="I219" s="412">
        <v>4.5413094000000003</v>
      </c>
      <c r="J219" s="412">
        <v>4.2543395000000004</v>
      </c>
      <c r="K219" s="412">
        <v>4.1595694999999999</v>
      </c>
      <c r="L219" s="412">
        <v>4.1313620999999996</v>
      </c>
      <c r="M219" s="412">
        <v>4.1462342000000003</v>
      </c>
    </row>
    <row r="220" spans="1:13">
      <c r="A220" t="s">
        <v>612</v>
      </c>
      <c r="B220" s="408">
        <v>4.8</v>
      </c>
      <c r="C220" s="408">
        <v>4.53</v>
      </c>
      <c r="D220" s="408">
        <v>4.58</v>
      </c>
      <c r="E220" s="408">
        <v>4.91</v>
      </c>
      <c r="F220" s="408">
        <v>5.0199999999999996</v>
      </c>
      <c r="G220" s="408">
        <v>5.05</v>
      </c>
      <c r="H220" s="412">
        <v>4.9832638999999999</v>
      </c>
      <c r="I220" s="412">
        <v>4.4461906999999998</v>
      </c>
      <c r="J220" s="412">
        <v>4.2096606999999997</v>
      </c>
      <c r="K220" s="412">
        <v>4.1268782000000002</v>
      </c>
      <c r="L220" s="412">
        <v>4.1013104</v>
      </c>
      <c r="M220" s="412">
        <v>4.1189726999999996</v>
      </c>
    </row>
    <row r="221" spans="1:13">
      <c r="A221" t="s">
        <v>613</v>
      </c>
      <c r="B221" s="408">
        <v>4.7699999999999996</v>
      </c>
      <c r="C221" s="408">
        <v>4.49</v>
      </c>
      <c r="D221" s="408">
        <v>4.5599999999999996</v>
      </c>
      <c r="E221" s="408">
        <v>4.8899999999999997</v>
      </c>
      <c r="F221" s="408">
        <v>5.01</v>
      </c>
      <c r="G221" s="408">
        <v>5.04</v>
      </c>
      <c r="H221" s="412">
        <v>4.9415838000000001</v>
      </c>
      <c r="I221" s="412">
        <v>4.4116790000000004</v>
      </c>
      <c r="J221" s="412">
        <v>4.1762239000000001</v>
      </c>
      <c r="K221" s="412">
        <v>4.0927752999999996</v>
      </c>
      <c r="L221" s="412">
        <v>4.0765427000000001</v>
      </c>
      <c r="M221" s="412">
        <v>4.1047682999999999</v>
      </c>
    </row>
    <row r="222" spans="1:13">
      <c r="A222" t="s">
        <v>614</v>
      </c>
      <c r="B222" s="408">
        <v>4.7699999999999996</v>
      </c>
      <c r="C222" s="408">
        <v>4.5</v>
      </c>
      <c r="D222" s="408">
        <v>4.5599999999999996</v>
      </c>
      <c r="E222" s="408">
        <v>4.88</v>
      </c>
      <c r="F222" s="408">
        <v>4.99</v>
      </c>
      <c r="G222" s="408">
        <v>5.03</v>
      </c>
      <c r="H222" s="412">
        <v>4.9375365000000002</v>
      </c>
      <c r="I222" s="412">
        <v>4.4188802999999997</v>
      </c>
      <c r="J222" s="412">
        <v>4.1646932000000003</v>
      </c>
      <c r="K222" s="412">
        <v>4.0722984999999996</v>
      </c>
      <c r="L222" s="412">
        <v>4.0566009000000003</v>
      </c>
      <c r="M222" s="412">
        <v>4.0926558000000002</v>
      </c>
    </row>
    <row r="223" spans="1:13">
      <c r="A223" t="s">
        <v>615</v>
      </c>
      <c r="B223" s="408">
        <v>4.78</v>
      </c>
      <c r="C223" s="408">
        <v>4.47</v>
      </c>
      <c r="D223" s="408">
        <v>4.5199999999999996</v>
      </c>
      <c r="E223" s="408">
        <v>4.84</v>
      </c>
      <c r="F223" s="408">
        <v>4.95</v>
      </c>
      <c r="G223" s="408">
        <v>4.9800000000000004</v>
      </c>
      <c r="H223" s="412">
        <v>4.9410103000000003</v>
      </c>
      <c r="I223" s="412">
        <v>4.3831961000000002</v>
      </c>
      <c r="J223" s="412">
        <v>4.1247875000000001</v>
      </c>
      <c r="K223" s="412">
        <v>4.0278232999999997</v>
      </c>
      <c r="L223" s="412">
        <v>4.0099891999999997</v>
      </c>
      <c r="M223" s="412">
        <v>4.0454752999999997</v>
      </c>
    </row>
    <row r="224" spans="1:13">
      <c r="A224" t="s">
        <v>616</v>
      </c>
      <c r="B224" s="408">
        <v>4.78</v>
      </c>
      <c r="C224" s="408">
        <v>4.45</v>
      </c>
      <c r="D224" s="408">
        <v>4.49</v>
      </c>
      <c r="E224" s="408">
        <v>4.8099999999999996</v>
      </c>
      <c r="F224" s="408">
        <v>4.92</v>
      </c>
      <c r="G224" s="408">
        <v>4.96</v>
      </c>
      <c r="H224" s="412">
        <v>4.9344292999999997</v>
      </c>
      <c r="I224" s="412">
        <v>4.3294997000000004</v>
      </c>
      <c r="J224" s="412">
        <v>4.0746472000000002</v>
      </c>
      <c r="K224" s="412">
        <v>3.9933386999999998</v>
      </c>
      <c r="L224" s="412">
        <v>3.9836714999999998</v>
      </c>
      <c r="M224" s="412">
        <v>4.0209821000000003</v>
      </c>
    </row>
    <row r="225" spans="1:13">
      <c r="A225" t="s">
        <v>617</v>
      </c>
      <c r="B225" s="408">
        <v>4.72</v>
      </c>
      <c r="C225" s="408">
        <v>4.33</v>
      </c>
      <c r="D225" s="408">
        <v>4.37</v>
      </c>
      <c r="E225" s="408">
        <v>4.7</v>
      </c>
      <c r="F225" s="408">
        <v>4.82</v>
      </c>
      <c r="G225" s="408">
        <v>4.8600000000000003</v>
      </c>
      <c r="H225" s="412">
        <v>4.8787165000000003</v>
      </c>
      <c r="I225" s="412">
        <v>4.1962647000000004</v>
      </c>
      <c r="J225" s="412">
        <v>3.9373700999999999</v>
      </c>
      <c r="K225" s="412">
        <v>3.8629856</v>
      </c>
      <c r="L225" s="412">
        <v>3.8621259999999999</v>
      </c>
      <c r="M225" s="412">
        <v>3.9048604999999998</v>
      </c>
    </row>
    <row r="226" spans="1:13">
      <c r="A226" t="s">
        <v>618</v>
      </c>
      <c r="B226" s="408">
        <v>4.67</v>
      </c>
      <c r="C226" s="408">
        <v>4.26</v>
      </c>
      <c r="D226" s="408">
        <v>4.29</v>
      </c>
      <c r="E226" s="408">
        <v>4.6100000000000003</v>
      </c>
      <c r="F226" s="408">
        <v>4.74</v>
      </c>
      <c r="G226" s="408">
        <v>4.7699999999999996</v>
      </c>
      <c r="H226" s="412">
        <v>4.8134598999999998</v>
      </c>
      <c r="I226" s="412">
        <v>4.0608447999999999</v>
      </c>
      <c r="J226" s="412">
        <v>3.8129780000000002</v>
      </c>
      <c r="K226" s="412">
        <v>3.7736255999999999</v>
      </c>
      <c r="L226" s="412">
        <v>3.7865742</v>
      </c>
      <c r="M226" s="412">
        <v>3.8301786</v>
      </c>
    </row>
    <row r="227" spans="1:13">
      <c r="A227" t="s">
        <v>619</v>
      </c>
      <c r="B227" s="408">
        <v>4.7300000000000004</v>
      </c>
      <c r="C227" s="408">
        <v>4.33</v>
      </c>
      <c r="D227" s="408">
        <v>4.38</v>
      </c>
      <c r="E227" s="408">
        <v>4.7</v>
      </c>
      <c r="F227" s="408">
        <v>4.82</v>
      </c>
      <c r="G227" s="408">
        <v>4.8499999999999996</v>
      </c>
      <c r="H227" s="412">
        <v>4.7904559000000004</v>
      </c>
      <c r="I227" s="412">
        <v>4.1494149</v>
      </c>
      <c r="J227" s="412">
        <v>3.9143384000000001</v>
      </c>
      <c r="K227" s="412">
        <v>3.8549243</v>
      </c>
      <c r="L227" s="412">
        <v>3.8532666999999998</v>
      </c>
      <c r="M227" s="412">
        <v>3.8965340999999998</v>
      </c>
    </row>
    <row r="228" spans="1:13">
      <c r="A228" t="s">
        <v>620</v>
      </c>
      <c r="B228" s="408">
        <v>4.6399999999999997</v>
      </c>
      <c r="C228" s="408">
        <v>4.25</v>
      </c>
      <c r="D228" s="408">
        <v>4.28</v>
      </c>
      <c r="E228" s="408">
        <v>4.5999999999999996</v>
      </c>
      <c r="F228" s="408">
        <v>4.71</v>
      </c>
      <c r="G228" s="408">
        <v>4.75</v>
      </c>
      <c r="H228" s="412">
        <v>4.7382198999999998</v>
      </c>
      <c r="I228" s="412">
        <v>4.0975029999999997</v>
      </c>
      <c r="J228" s="412">
        <v>3.8430393</v>
      </c>
      <c r="K228" s="412">
        <v>3.7562769</v>
      </c>
      <c r="L228" s="412">
        <v>3.7421747999999999</v>
      </c>
      <c r="M228" s="412">
        <v>3.7778075000000002</v>
      </c>
    </row>
    <row r="229" spans="1:13">
      <c r="A229" t="s">
        <v>621</v>
      </c>
      <c r="B229" s="408">
        <v>4.63</v>
      </c>
      <c r="C229" s="408">
        <v>4.24</v>
      </c>
      <c r="D229" s="408">
        <v>4.24</v>
      </c>
      <c r="E229" s="408">
        <v>4.55</v>
      </c>
      <c r="F229" s="408">
        <v>4.6500000000000004</v>
      </c>
      <c r="G229" s="408">
        <v>4.68</v>
      </c>
      <c r="H229" s="412">
        <v>4.7627680999999997</v>
      </c>
      <c r="I229" s="412">
        <v>4.0809734999999998</v>
      </c>
      <c r="J229" s="412">
        <v>3.8125855999999998</v>
      </c>
      <c r="K229" s="412">
        <v>3.7237458000000001</v>
      </c>
      <c r="L229" s="412">
        <v>3.6947823999999998</v>
      </c>
      <c r="M229" s="412">
        <v>3.7113906000000001</v>
      </c>
    </row>
    <row r="230" spans="1:13">
      <c r="A230" t="s">
        <v>622</v>
      </c>
      <c r="B230" s="408">
        <v>4.62</v>
      </c>
      <c r="C230" s="408">
        <v>4.26</v>
      </c>
      <c r="D230" s="408">
        <v>4.28</v>
      </c>
      <c r="E230" s="408">
        <v>4.5999999999999996</v>
      </c>
      <c r="F230" s="408">
        <v>4.71</v>
      </c>
      <c r="G230" s="408">
        <v>4.74</v>
      </c>
      <c r="H230" s="412">
        <v>4.7606278</v>
      </c>
      <c r="I230" s="412">
        <v>4.0750082000000001</v>
      </c>
      <c r="J230" s="412">
        <v>3.8239485000000002</v>
      </c>
      <c r="K230" s="412">
        <v>3.7554694999999998</v>
      </c>
      <c r="L230" s="412">
        <v>3.7489151000000001</v>
      </c>
      <c r="M230" s="412">
        <v>3.7811281999999999</v>
      </c>
    </row>
    <row r="231" spans="1:13">
      <c r="A231" t="s">
        <v>623</v>
      </c>
      <c r="B231" s="408">
        <v>4.66</v>
      </c>
      <c r="C231" s="408">
        <v>4.33</v>
      </c>
      <c r="D231" s="408">
        <v>4.33</v>
      </c>
      <c r="E231" s="408">
        <v>4.6399999999999997</v>
      </c>
      <c r="F231" s="408">
        <v>4.74</v>
      </c>
      <c r="G231" s="408">
        <v>4.7699999999999996</v>
      </c>
      <c r="H231" s="412">
        <v>4.8030727000000004</v>
      </c>
      <c r="I231" s="412">
        <v>4.1813482000000004</v>
      </c>
      <c r="J231" s="412">
        <v>3.9254484999999999</v>
      </c>
      <c r="K231" s="412">
        <v>3.8330999000000001</v>
      </c>
      <c r="L231" s="412">
        <v>3.7987331000000002</v>
      </c>
      <c r="M231" s="412">
        <v>3.8106768999999998</v>
      </c>
    </row>
    <row r="232" spans="1:13">
      <c r="A232" t="s">
        <v>624</v>
      </c>
      <c r="B232" s="408">
        <v>4.66</v>
      </c>
      <c r="C232" s="408">
        <v>4.32</v>
      </c>
      <c r="D232" s="408">
        <v>4.32</v>
      </c>
      <c r="E232" s="408">
        <v>4.63</v>
      </c>
      <c r="F232" s="408">
        <v>4.71</v>
      </c>
      <c r="G232" s="408">
        <v>4.74</v>
      </c>
      <c r="H232" s="412">
        <v>4.7892900999999997</v>
      </c>
      <c r="I232" s="412">
        <v>4.2150401000000004</v>
      </c>
      <c r="J232" s="412">
        <v>3.9392681000000001</v>
      </c>
      <c r="K232" s="412">
        <v>3.8075736</v>
      </c>
      <c r="L232" s="412">
        <v>3.7554026</v>
      </c>
      <c r="M232" s="412">
        <v>3.7679421</v>
      </c>
    </row>
    <row r="233" spans="1:13">
      <c r="A233" t="s">
        <v>625</v>
      </c>
      <c r="B233" s="408">
        <v>4.5599999999999996</v>
      </c>
      <c r="C233" s="408">
        <v>4.18</v>
      </c>
      <c r="D233" s="408">
        <v>4.16</v>
      </c>
      <c r="E233" s="408">
        <v>4.46</v>
      </c>
      <c r="F233" s="408">
        <v>4.55</v>
      </c>
      <c r="G233" s="408">
        <v>4.58</v>
      </c>
      <c r="H233" s="412">
        <v>4.6610369</v>
      </c>
      <c r="I233" s="412">
        <v>4.0232048000000002</v>
      </c>
      <c r="J233" s="412">
        <v>3.7622477999999999</v>
      </c>
      <c r="K233" s="412">
        <v>3.6493193000000002</v>
      </c>
      <c r="L233" s="412">
        <v>3.607351</v>
      </c>
      <c r="M233" s="412">
        <v>3.6236288999999999</v>
      </c>
    </row>
    <row r="234" spans="1:13">
      <c r="A234" t="s">
        <v>626</v>
      </c>
      <c r="B234" s="408">
        <v>4.6100000000000003</v>
      </c>
      <c r="C234" s="408">
        <v>4.2300000000000004</v>
      </c>
      <c r="D234" s="408">
        <v>4.2300000000000004</v>
      </c>
      <c r="E234" s="408">
        <v>4.54</v>
      </c>
      <c r="F234" s="408">
        <v>4.62</v>
      </c>
      <c r="G234" s="408">
        <v>4.6500000000000004</v>
      </c>
      <c r="H234" s="412">
        <v>4.6868654000000003</v>
      </c>
      <c r="I234" s="412">
        <v>4.0777538</v>
      </c>
      <c r="J234" s="412">
        <v>3.8153915999999999</v>
      </c>
      <c r="K234" s="412">
        <v>3.7238687000000001</v>
      </c>
      <c r="L234" s="412">
        <v>3.6966511</v>
      </c>
      <c r="M234" s="412">
        <v>3.7154303999999998</v>
      </c>
    </row>
    <row r="235" spans="1:13">
      <c r="A235" t="s">
        <v>627</v>
      </c>
      <c r="B235" s="408">
        <v>4.5199999999999996</v>
      </c>
      <c r="C235" s="408">
        <v>4.13</v>
      </c>
      <c r="D235" s="408">
        <v>4.13</v>
      </c>
      <c r="E235" s="408">
        <v>4.45</v>
      </c>
      <c r="F235" s="408">
        <v>4.55</v>
      </c>
      <c r="G235" s="408">
        <v>4.57</v>
      </c>
      <c r="H235" s="412">
        <v>4.6295425999999997</v>
      </c>
      <c r="I235" s="412">
        <v>3.9434524</v>
      </c>
      <c r="J235" s="412">
        <v>3.7024298999999998</v>
      </c>
      <c r="K235" s="412">
        <v>3.6204767000000002</v>
      </c>
      <c r="L235" s="412">
        <v>3.5960169999999998</v>
      </c>
      <c r="M235" s="412">
        <v>3.6170553999999999</v>
      </c>
    </row>
    <row r="236" spans="1:13">
      <c r="A236" t="s">
        <v>628</v>
      </c>
      <c r="B236" s="408">
        <v>4.5199999999999996</v>
      </c>
      <c r="C236" s="408">
        <v>4.1100000000000003</v>
      </c>
      <c r="D236" s="408">
        <v>4.0999999999999996</v>
      </c>
      <c r="E236" s="408">
        <v>4.42</v>
      </c>
      <c r="F236" s="408">
        <v>4.51</v>
      </c>
      <c r="G236" s="408">
        <v>4.53</v>
      </c>
      <c r="H236" s="412">
        <v>4.6214515</v>
      </c>
      <c r="I236" s="412">
        <v>3.9487133000000001</v>
      </c>
      <c r="J236" s="412">
        <v>3.6692569000000002</v>
      </c>
      <c r="K236" s="412">
        <v>3.5596858999999998</v>
      </c>
      <c r="L236" s="412">
        <v>3.5308948999999998</v>
      </c>
      <c r="M236" s="412">
        <v>3.5569823999999999</v>
      </c>
    </row>
    <row r="237" spans="1:13">
      <c r="A237" t="s">
        <v>629</v>
      </c>
      <c r="B237" s="408">
        <v>4.53</v>
      </c>
      <c r="C237" s="408">
        <v>4.13</v>
      </c>
      <c r="D237" s="408">
        <v>4.13</v>
      </c>
      <c r="E237" s="408">
        <v>4.45</v>
      </c>
      <c r="F237" s="408">
        <v>4.54</v>
      </c>
      <c r="G237" s="408">
        <v>4.5599999999999996</v>
      </c>
      <c r="H237" s="412">
        <v>4.6355421000000003</v>
      </c>
      <c r="I237" s="412">
        <v>4.0055396999999999</v>
      </c>
      <c r="J237" s="412">
        <v>3.7201555000000002</v>
      </c>
      <c r="K237" s="412">
        <v>3.5958087999999999</v>
      </c>
      <c r="L237" s="412">
        <v>3.5574207000000002</v>
      </c>
      <c r="M237" s="412">
        <v>3.5863499999999999</v>
      </c>
    </row>
    <row r="238" spans="1:13">
      <c r="A238" t="s">
        <v>630</v>
      </c>
      <c r="B238" s="408">
        <v>4.58</v>
      </c>
      <c r="C238" s="408">
        <v>4.16</v>
      </c>
      <c r="D238" s="408">
        <v>4.1399999999999997</v>
      </c>
      <c r="E238" s="408">
        <v>4.45</v>
      </c>
      <c r="F238" s="408">
        <v>4.55</v>
      </c>
      <c r="G238" s="408">
        <v>4.57</v>
      </c>
      <c r="H238" s="412">
        <v>4.6635508000000003</v>
      </c>
      <c r="I238" s="412">
        <v>4.0347502000000004</v>
      </c>
      <c r="J238" s="412">
        <v>3.7422851000000001</v>
      </c>
      <c r="K238" s="412">
        <v>3.5989591999999999</v>
      </c>
      <c r="L238" s="412">
        <v>3.5508209000000002</v>
      </c>
      <c r="M238" s="412">
        <v>3.5737681000000001</v>
      </c>
    </row>
    <row r="239" spans="1:13">
      <c r="A239" t="s">
        <v>631</v>
      </c>
      <c r="B239" s="408">
        <v>4.6100000000000003</v>
      </c>
      <c r="C239" s="408">
        <v>4.21</v>
      </c>
      <c r="D239" s="408">
        <v>4.17</v>
      </c>
      <c r="E239" s="408">
        <v>4.49</v>
      </c>
      <c r="F239" s="408">
        <v>4.6100000000000003</v>
      </c>
      <c r="G239" s="408">
        <v>4.6399999999999997</v>
      </c>
      <c r="H239" s="412">
        <v>4.7581251</v>
      </c>
      <c r="I239" s="412">
        <v>4.0863763000000004</v>
      </c>
      <c r="J239" s="412">
        <v>3.7753852999999999</v>
      </c>
      <c r="K239" s="412">
        <v>3.6482522999999998</v>
      </c>
      <c r="L239" s="412">
        <v>3.5991572000000001</v>
      </c>
      <c r="M239" s="412">
        <v>3.6097462</v>
      </c>
    </row>
    <row r="240" spans="1:13">
      <c r="A240" t="s">
        <v>632</v>
      </c>
      <c r="B240" s="408">
        <v>4.7</v>
      </c>
      <c r="C240" s="408">
        <v>4.3</v>
      </c>
      <c r="D240" s="408">
        <v>4.25</v>
      </c>
      <c r="E240" s="408">
        <v>4.5599999999999996</v>
      </c>
      <c r="F240" s="408">
        <v>4.6900000000000004</v>
      </c>
      <c r="G240" s="408">
        <v>4.71</v>
      </c>
      <c r="H240" s="412">
        <v>4.8256671000000004</v>
      </c>
      <c r="I240" s="412">
        <v>4.1764032000000002</v>
      </c>
      <c r="J240" s="412">
        <v>3.8702478999999999</v>
      </c>
      <c r="K240" s="412">
        <v>3.7275372999999998</v>
      </c>
      <c r="L240" s="412">
        <v>3.6706406999999999</v>
      </c>
      <c r="M240" s="412">
        <v>3.6754522999999999</v>
      </c>
    </row>
    <row r="241" spans="1:13">
      <c r="A241" t="s">
        <v>633</v>
      </c>
      <c r="B241" s="408">
        <v>4.7</v>
      </c>
      <c r="C241" s="408">
        <v>4.32</v>
      </c>
      <c r="D241" s="408">
        <v>4.28</v>
      </c>
      <c r="E241" s="408">
        <v>4.59</v>
      </c>
      <c r="F241" s="408">
        <v>4.71</v>
      </c>
      <c r="G241" s="408">
        <v>4.74</v>
      </c>
      <c r="H241" s="412">
        <v>4.8564534000000004</v>
      </c>
      <c r="I241" s="412">
        <v>4.2047670000000004</v>
      </c>
      <c r="J241" s="412">
        <v>3.8877359999999999</v>
      </c>
      <c r="K241" s="412">
        <v>3.7503625999999999</v>
      </c>
      <c r="L241" s="412">
        <v>3.6936553000000001</v>
      </c>
      <c r="M241" s="412">
        <v>3.6944007999999999</v>
      </c>
    </row>
    <row r="242" spans="1:13">
      <c r="A242" t="s">
        <v>634</v>
      </c>
      <c r="B242" s="408">
        <v>4.63</v>
      </c>
      <c r="C242" s="408">
        <v>4.24</v>
      </c>
      <c r="D242" s="408">
        <v>4.21</v>
      </c>
      <c r="E242" s="408">
        <v>4.5199999999999996</v>
      </c>
      <c r="F242" s="408">
        <v>4.63</v>
      </c>
      <c r="G242" s="408">
        <v>4.66</v>
      </c>
      <c r="H242" s="412">
        <v>4.7574465999999997</v>
      </c>
      <c r="I242" s="412">
        <v>4.1151628999999996</v>
      </c>
      <c r="J242" s="412">
        <v>3.8145194</v>
      </c>
      <c r="K242" s="412">
        <v>3.6668333</v>
      </c>
      <c r="L242" s="412">
        <v>3.6063963000000001</v>
      </c>
      <c r="M242" s="412">
        <v>3.6173223000000001</v>
      </c>
    </row>
    <row r="243" spans="1:13">
      <c r="A243" t="s">
        <v>635</v>
      </c>
      <c r="B243" s="408">
        <v>4.62</v>
      </c>
      <c r="C243" s="408">
        <v>4.22</v>
      </c>
      <c r="D243" s="408">
        <v>4.18</v>
      </c>
      <c r="E243" s="408">
        <v>4.5</v>
      </c>
      <c r="F243" s="408">
        <v>4.62</v>
      </c>
      <c r="G243" s="408">
        <v>4.6500000000000004</v>
      </c>
      <c r="H243" s="412">
        <v>4.6965782999999997</v>
      </c>
      <c r="I243" s="412">
        <v>4.0415868000000001</v>
      </c>
      <c r="J243" s="412">
        <v>3.7591389999999998</v>
      </c>
      <c r="K243" s="412">
        <v>3.6305347000000001</v>
      </c>
      <c r="L243" s="412">
        <v>3.5875400000000002</v>
      </c>
      <c r="M243" s="412">
        <v>3.6101101999999998</v>
      </c>
    </row>
    <row r="244" spans="1:13">
      <c r="A244" t="s">
        <v>636</v>
      </c>
      <c r="B244" s="408">
        <v>4.54</v>
      </c>
      <c r="C244" s="408">
        <v>4.0999999999999996</v>
      </c>
      <c r="D244" s="408">
        <v>4.09</v>
      </c>
      <c r="E244" s="408">
        <v>4.42</v>
      </c>
      <c r="F244" s="408">
        <v>4.55</v>
      </c>
      <c r="G244" s="408">
        <v>4.59</v>
      </c>
      <c r="H244" s="412">
        <v>4.6234111000000002</v>
      </c>
      <c r="I244" s="412">
        <v>3.9132506</v>
      </c>
      <c r="J244" s="412">
        <v>3.6200722999999999</v>
      </c>
      <c r="K244" s="412">
        <v>3.5074822999999999</v>
      </c>
      <c r="L244" s="412">
        <v>3.4810922999999998</v>
      </c>
      <c r="M244" s="412">
        <v>3.5150087000000001</v>
      </c>
    </row>
    <row r="245" spans="1:13">
      <c r="A245" t="s">
        <v>637</v>
      </c>
      <c r="B245" s="408">
        <v>4.63</v>
      </c>
      <c r="C245" s="408">
        <v>4.22</v>
      </c>
      <c r="D245" s="408">
        <v>4.22</v>
      </c>
      <c r="E245" s="408">
        <v>4.55</v>
      </c>
      <c r="F245" s="408">
        <v>4.68</v>
      </c>
      <c r="G245" s="408">
        <v>4.74</v>
      </c>
      <c r="H245" s="412">
        <v>4.7052079999999998</v>
      </c>
      <c r="I245" s="412">
        <v>3.9961864999999999</v>
      </c>
      <c r="J245" s="412">
        <v>3.7336412999999999</v>
      </c>
      <c r="K245" s="412">
        <v>3.6603845000000002</v>
      </c>
      <c r="L245" s="412">
        <v>3.6469657</v>
      </c>
      <c r="M245" s="412">
        <v>3.6797137000000002</v>
      </c>
    </row>
    <row r="246" spans="1:13">
      <c r="A246" t="s">
        <v>638</v>
      </c>
      <c r="B246" s="408">
        <v>4.51</v>
      </c>
      <c r="C246" s="408">
        <v>4.0999999999999996</v>
      </c>
      <c r="D246" s="408">
        <v>4.1399999999999997</v>
      </c>
      <c r="E246" s="408">
        <v>4.47</v>
      </c>
      <c r="F246" s="408">
        <v>4.6100000000000003</v>
      </c>
      <c r="G246" s="408">
        <v>4.67</v>
      </c>
      <c r="H246" s="412">
        <v>4.5714785999999998</v>
      </c>
      <c r="I246" s="412">
        <v>3.8942021000000002</v>
      </c>
      <c r="J246" s="412">
        <v>3.651322</v>
      </c>
      <c r="K246" s="412">
        <v>3.5729663</v>
      </c>
      <c r="L246" s="412">
        <v>3.5576428</v>
      </c>
      <c r="M246" s="412">
        <v>3.5918022999999999</v>
      </c>
    </row>
    <row r="247" spans="1:13">
      <c r="A247" t="s">
        <v>639</v>
      </c>
      <c r="B247" s="408">
        <v>4.59</v>
      </c>
      <c r="C247" s="408">
        <v>4.18</v>
      </c>
      <c r="D247" s="408">
        <v>4.1900000000000004</v>
      </c>
      <c r="E247" s="408">
        <v>4.53</v>
      </c>
      <c r="F247" s="408">
        <v>4.66</v>
      </c>
      <c r="G247" s="408">
        <v>4.72</v>
      </c>
      <c r="H247" s="412">
        <v>4.6486014000000004</v>
      </c>
      <c r="I247" s="412">
        <v>4.0336211000000004</v>
      </c>
      <c r="J247" s="412">
        <v>3.7391600999999999</v>
      </c>
      <c r="K247" s="412">
        <v>3.6194731999999998</v>
      </c>
      <c r="L247" s="412">
        <v>3.5979844000000001</v>
      </c>
      <c r="M247" s="412">
        <v>3.6424946999999999</v>
      </c>
    </row>
    <row r="248" spans="1:13">
      <c r="A248" t="s">
        <v>640</v>
      </c>
      <c r="B248" s="408">
        <v>4.49</v>
      </c>
      <c r="C248" s="408">
        <v>4.0599999999999996</v>
      </c>
      <c r="D248" s="408">
        <v>4.03</v>
      </c>
      <c r="E248" s="408">
        <v>4.37</v>
      </c>
      <c r="F248" s="408">
        <v>4.51</v>
      </c>
      <c r="G248" s="408">
        <v>4.57</v>
      </c>
      <c r="H248" s="412">
        <v>4.5273738000000003</v>
      </c>
      <c r="I248" s="412">
        <v>3.8903818000000001</v>
      </c>
      <c r="J248" s="412">
        <v>3.5870894999999998</v>
      </c>
      <c r="K248" s="412">
        <v>3.4609629000000002</v>
      </c>
      <c r="L248" s="412">
        <v>3.432194</v>
      </c>
      <c r="M248" s="412">
        <v>3.4684045999999999</v>
      </c>
    </row>
    <row r="249" spans="1:13">
      <c r="A249" t="s">
        <v>641</v>
      </c>
      <c r="B249" s="408">
        <v>4.47</v>
      </c>
      <c r="C249" s="408">
        <v>4.01</v>
      </c>
      <c r="D249" s="408">
        <v>3.95</v>
      </c>
      <c r="E249" s="408">
        <v>4.28</v>
      </c>
      <c r="F249" s="408">
        <v>4.41</v>
      </c>
      <c r="G249" s="408">
        <v>4.45</v>
      </c>
      <c r="H249" s="412">
        <v>4.5070663</v>
      </c>
      <c r="I249" s="412">
        <v>3.8066428999999999</v>
      </c>
      <c r="J249" s="412">
        <v>3.5150606</v>
      </c>
      <c r="K249" s="412">
        <v>3.4001136000000001</v>
      </c>
      <c r="L249" s="412">
        <v>3.3640780000000001</v>
      </c>
      <c r="M249" s="412">
        <v>3.3840705999999998</v>
      </c>
    </row>
    <row r="250" spans="1:13">
      <c r="A250" t="s">
        <v>642</v>
      </c>
      <c r="B250" s="408">
        <v>4.5</v>
      </c>
      <c r="C250" s="408">
        <v>4.0199999999999996</v>
      </c>
      <c r="D250" s="408">
        <v>3.97</v>
      </c>
      <c r="E250" s="408">
        <v>4.29</v>
      </c>
      <c r="F250" s="408">
        <v>4.41</v>
      </c>
      <c r="G250" s="408">
        <v>4.46</v>
      </c>
      <c r="H250" s="412">
        <v>4.5123918999999999</v>
      </c>
      <c r="I250" s="412">
        <v>3.7815759</v>
      </c>
      <c r="J250" s="412">
        <v>3.5194177999999998</v>
      </c>
      <c r="K250" s="412">
        <v>3.4251737000000002</v>
      </c>
      <c r="L250" s="412">
        <v>3.3862136999999999</v>
      </c>
      <c r="M250" s="412">
        <v>3.3976259</v>
      </c>
    </row>
    <row r="251" spans="1:13">
      <c r="A251" t="s">
        <v>643</v>
      </c>
      <c r="B251" s="408">
        <v>4.57</v>
      </c>
      <c r="C251" s="408">
        <v>4.09</v>
      </c>
      <c r="D251" s="408">
        <v>4.0199999999999996</v>
      </c>
      <c r="E251" s="408">
        <v>4.3600000000000003</v>
      </c>
      <c r="F251" s="408">
        <v>4.47</v>
      </c>
      <c r="G251" s="408">
        <v>4.5199999999999996</v>
      </c>
      <c r="H251" s="412">
        <v>4.5281437999999996</v>
      </c>
      <c r="I251" s="412">
        <v>3.8656437000000001</v>
      </c>
      <c r="J251" s="412">
        <v>3.5981367</v>
      </c>
      <c r="K251" s="412">
        <v>3.4776530999999999</v>
      </c>
      <c r="L251" s="412">
        <v>3.4315427999999999</v>
      </c>
      <c r="M251" s="412">
        <v>3.4466462</v>
      </c>
    </row>
    <row r="252" spans="1:13">
      <c r="A252" t="s">
        <v>644</v>
      </c>
      <c r="B252" s="408">
        <v>4.5999999999999996</v>
      </c>
      <c r="C252" s="408">
        <v>4.1399999999999997</v>
      </c>
      <c r="D252" s="408">
        <v>4.08</v>
      </c>
      <c r="E252" s="408">
        <v>4.4000000000000004</v>
      </c>
      <c r="F252" s="408">
        <v>4.5199999999999996</v>
      </c>
      <c r="G252" s="408">
        <v>4.55</v>
      </c>
      <c r="H252" s="412">
        <v>4.5877283999999996</v>
      </c>
      <c r="I252" s="412">
        <v>3.938177</v>
      </c>
      <c r="J252" s="412">
        <v>3.6488117999999998</v>
      </c>
      <c r="K252" s="412">
        <v>3.5227553</v>
      </c>
      <c r="L252" s="412">
        <v>3.4820025000000001</v>
      </c>
      <c r="M252" s="412">
        <v>3.5073484000000001</v>
      </c>
    </row>
    <row r="253" spans="1:13">
      <c r="A253" t="s">
        <v>645</v>
      </c>
      <c r="B253" s="408">
        <v>4.51</v>
      </c>
      <c r="C253" s="408">
        <v>4.07</v>
      </c>
      <c r="D253" s="408">
        <v>3.99</v>
      </c>
      <c r="E253" s="408">
        <v>4.3099999999999996</v>
      </c>
      <c r="F253" s="408">
        <v>4.45</v>
      </c>
      <c r="G253" s="408">
        <v>4.49</v>
      </c>
      <c r="H253" s="412">
        <v>4.4446076999999997</v>
      </c>
      <c r="I253" s="412">
        <v>3.7875467</v>
      </c>
      <c r="J253" s="412">
        <v>3.5385738</v>
      </c>
      <c r="K253" s="412">
        <v>3.4360852</v>
      </c>
      <c r="L253" s="412">
        <v>3.4066283999999998</v>
      </c>
      <c r="M253" s="412">
        <v>3.4346599000000002</v>
      </c>
    </row>
    <row r="254" spans="1:13">
      <c r="A254" t="s">
        <v>646</v>
      </c>
      <c r="B254" s="408">
        <v>4.3600000000000003</v>
      </c>
      <c r="C254" s="408">
        <v>3.88</v>
      </c>
      <c r="D254" s="408">
        <v>3.83</v>
      </c>
      <c r="E254" s="408">
        <v>4.1500000000000004</v>
      </c>
      <c r="F254" s="408">
        <v>4.28</v>
      </c>
      <c r="G254" s="408">
        <v>4.33</v>
      </c>
      <c r="H254" s="412">
        <v>4.3120944000000003</v>
      </c>
      <c r="I254" s="412">
        <v>3.6098905000000001</v>
      </c>
      <c r="J254" s="412">
        <v>3.3397242</v>
      </c>
      <c r="K254" s="412">
        <v>3.2442962999999998</v>
      </c>
      <c r="L254" s="412">
        <v>3.2263104999999999</v>
      </c>
      <c r="M254" s="412">
        <v>3.2601711999999998</v>
      </c>
    </row>
    <row r="255" spans="1:13">
      <c r="A255" t="s">
        <v>647</v>
      </c>
      <c r="B255" s="408">
        <v>4.34</v>
      </c>
      <c r="C255" s="408">
        <v>3.81</v>
      </c>
      <c r="D255" s="408">
        <v>3.79</v>
      </c>
      <c r="E255" s="408">
        <v>4.12</v>
      </c>
      <c r="F255" s="408">
        <v>4.25</v>
      </c>
      <c r="G255" s="408">
        <v>4.29</v>
      </c>
      <c r="H255" s="412">
        <v>4.2421042</v>
      </c>
      <c r="I255" s="412">
        <v>3.4801103000000002</v>
      </c>
      <c r="J255" s="412">
        <v>3.2544976000000001</v>
      </c>
      <c r="K255" s="412">
        <v>3.1941248999999998</v>
      </c>
      <c r="L255" s="412">
        <v>3.1952923000000002</v>
      </c>
      <c r="M255" s="412">
        <v>3.2438356000000002</v>
      </c>
    </row>
    <row r="256" spans="1:13">
      <c r="A256" t="s">
        <v>648</v>
      </c>
      <c r="B256" s="408">
        <v>4.29</v>
      </c>
      <c r="C256" s="408">
        <v>3.74</v>
      </c>
      <c r="D256" s="408">
        <v>3.7</v>
      </c>
      <c r="E256" s="408">
        <v>4.0199999999999996</v>
      </c>
      <c r="F256" s="408">
        <v>4.13</v>
      </c>
      <c r="G256" s="408">
        <v>4.17</v>
      </c>
      <c r="H256" s="412">
        <v>4.1672197000000004</v>
      </c>
      <c r="I256" s="412">
        <v>3.4072117999999998</v>
      </c>
      <c r="J256" s="412">
        <v>3.1745977999999999</v>
      </c>
      <c r="K256" s="412">
        <v>3.0847715</v>
      </c>
      <c r="L256" s="412">
        <v>3.0729931000000001</v>
      </c>
      <c r="M256" s="412">
        <v>3.1170843000000001</v>
      </c>
    </row>
    <row r="257" spans="1:13">
      <c r="A257" t="s">
        <v>649</v>
      </c>
      <c r="B257" s="408">
        <v>4.33</v>
      </c>
      <c r="C257" s="408">
        <v>3.76</v>
      </c>
      <c r="D257" s="408">
        <v>3.71</v>
      </c>
      <c r="E257" s="408">
        <v>4.03</v>
      </c>
      <c r="F257" s="408">
        <v>4.16</v>
      </c>
      <c r="G257" s="408">
        <v>4.18</v>
      </c>
      <c r="H257" s="412">
        <v>4.1843611000000003</v>
      </c>
      <c r="I257" s="412">
        <v>3.3946979000000002</v>
      </c>
      <c r="J257" s="412">
        <v>3.1467887000000001</v>
      </c>
      <c r="K257" s="412">
        <v>3.0714947000000001</v>
      </c>
      <c r="L257" s="412">
        <v>3.0630828000000001</v>
      </c>
      <c r="M257" s="412">
        <v>3.1081718999999999</v>
      </c>
    </row>
    <row r="258" spans="1:13">
      <c r="A258" t="s">
        <v>650</v>
      </c>
      <c r="B258" s="408">
        <v>4.3099999999999996</v>
      </c>
      <c r="C258" s="408">
        <v>3.7</v>
      </c>
      <c r="D258" s="408">
        <v>3.68</v>
      </c>
      <c r="E258" s="408">
        <v>4</v>
      </c>
      <c r="F258" s="408">
        <v>4.1399999999999997</v>
      </c>
      <c r="G258" s="408">
        <v>4.17</v>
      </c>
      <c r="H258" s="412">
        <v>4.1088531000000001</v>
      </c>
      <c r="I258" s="412">
        <v>3.3259281999999999</v>
      </c>
      <c r="J258" s="412">
        <v>3.0741554999999998</v>
      </c>
      <c r="K258" s="412">
        <v>2.9896851</v>
      </c>
      <c r="L258" s="412">
        <v>2.9967706999999999</v>
      </c>
      <c r="M258" s="412">
        <v>3.0597460999999999</v>
      </c>
    </row>
    <row r="259" spans="1:13">
      <c r="A259" t="s">
        <v>651</v>
      </c>
      <c r="B259" s="408">
        <v>4.09</v>
      </c>
      <c r="C259" s="408">
        <v>3.5</v>
      </c>
      <c r="D259" s="408">
        <v>3.52</v>
      </c>
      <c r="E259" s="408">
        <v>3.86</v>
      </c>
      <c r="F259" s="408">
        <v>4.01</v>
      </c>
      <c r="G259" s="408">
        <v>4.0599999999999996</v>
      </c>
      <c r="H259" s="412">
        <v>3.9085144000000001</v>
      </c>
      <c r="I259" s="412">
        <v>3.1292886000000002</v>
      </c>
      <c r="J259" s="412">
        <v>2.9030300000000002</v>
      </c>
      <c r="K259" s="412">
        <v>2.8575900999999999</v>
      </c>
      <c r="L259" s="412">
        <v>2.8805073000000001</v>
      </c>
      <c r="M259" s="412">
        <v>2.9484119999999998</v>
      </c>
    </row>
    <row r="260" spans="1:13">
      <c r="A260" t="s">
        <v>652</v>
      </c>
      <c r="B260" s="408">
        <v>4.07</v>
      </c>
      <c r="C260" s="408">
        <v>3.5</v>
      </c>
      <c r="D260" s="408">
        <v>3.54</v>
      </c>
      <c r="E260" s="408">
        <v>3.88</v>
      </c>
      <c r="F260" s="408">
        <v>4.05</v>
      </c>
      <c r="G260" s="408">
        <v>4.0999999999999996</v>
      </c>
      <c r="H260" s="412">
        <v>3.9011111999999999</v>
      </c>
      <c r="I260" s="412">
        <v>3.0500425999999998</v>
      </c>
      <c r="J260" s="412">
        <v>2.8929071999999998</v>
      </c>
      <c r="K260" s="412">
        <v>2.8807214000000001</v>
      </c>
      <c r="L260" s="412">
        <v>2.9047201999999999</v>
      </c>
      <c r="M260" s="412">
        <v>2.9699466999999999</v>
      </c>
    </row>
    <row r="261" spans="1:13">
      <c r="A261" t="s">
        <v>653</v>
      </c>
      <c r="B261" s="408">
        <v>4.03</v>
      </c>
      <c r="C261" s="408">
        <v>3.46</v>
      </c>
      <c r="D261" s="408">
        <v>3.51</v>
      </c>
      <c r="E261" s="408">
        <v>3.86</v>
      </c>
      <c r="F261" s="408">
        <v>4.0199999999999996</v>
      </c>
      <c r="G261" s="408">
        <v>4.07</v>
      </c>
      <c r="H261" s="412">
        <v>3.8305880999999999</v>
      </c>
      <c r="I261" s="412">
        <v>3.0408284000000001</v>
      </c>
      <c r="J261" s="412">
        <v>2.8657268</v>
      </c>
      <c r="K261" s="412">
        <v>2.8184912</v>
      </c>
      <c r="L261" s="412">
        <v>2.8310146</v>
      </c>
      <c r="M261" s="412">
        <v>2.9072496000000001</v>
      </c>
    </row>
    <row r="262" spans="1:13">
      <c r="A262" t="s">
        <v>654</v>
      </c>
      <c r="B262" s="408" t="e">
        <v>#N/A</v>
      </c>
      <c r="C262" s="408" t="e">
        <v>#N/A</v>
      </c>
      <c r="D262" s="408">
        <v>3.5</v>
      </c>
      <c r="E262" s="408">
        <v>3.85</v>
      </c>
      <c r="F262" s="408">
        <v>4.01</v>
      </c>
      <c r="G262" s="408">
        <v>4.07</v>
      </c>
      <c r="H262" s="412" t="e">
        <v>#N/A</v>
      </c>
      <c r="I262" s="412" t="e">
        <v>#N/A</v>
      </c>
      <c r="J262" s="412" t="e">
        <v>#N/A</v>
      </c>
      <c r="K262" s="412" t="e">
        <v>#N/A</v>
      </c>
      <c r="L262" s="412" t="e">
        <v>#N/A</v>
      </c>
      <c r="M262" s="412" t="e">
        <v>#N/A</v>
      </c>
    </row>
    <row r="263" spans="1:13">
      <c r="A263" t="s">
        <v>655</v>
      </c>
      <c r="B263" s="408" t="e">
        <v>#N/A</v>
      </c>
      <c r="C263" s="408" t="e">
        <v>#N/A</v>
      </c>
      <c r="D263" s="408" t="e">
        <v>#N/A</v>
      </c>
      <c r="E263" s="408" t="e">
        <v>#N/A</v>
      </c>
      <c r="F263" s="408" t="e">
        <v>#N/A</v>
      </c>
      <c r="G263" s="408" t="e">
        <v>#N/A</v>
      </c>
      <c r="H263" s="412" t="e">
        <v>#N/A</v>
      </c>
      <c r="I263" s="412" t="e">
        <v>#N/A</v>
      </c>
      <c r="J263" s="412" t="e">
        <v>#N/A</v>
      </c>
      <c r="K263" s="412" t="e">
        <v>#N/A</v>
      </c>
      <c r="L263" s="412" t="e">
        <v>#N/A</v>
      </c>
      <c r="M263" s="412" t="e">
        <v>#N/A</v>
      </c>
    </row>
    <row r="264" spans="1:13">
      <c r="A264" t="s">
        <v>656</v>
      </c>
      <c r="B264" s="408">
        <v>3.98</v>
      </c>
      <c r="C264" s="408">
        <v>3.4</v>
      </c>
      <c r="D264" s="408">
        <v>3.45</v>
      </c>
      <c r="E264" s="408">
        <v>3.78</v>
      </c>
      <c r="F264" s="408">
        <v>3.97</v>
      </c>
      <c r="G264" s="408">
        <v>4.03</v>
      </c>
      <c r="H264" s="412">
        <v>3.7896519999999998</v>
      </c>
      <c r="I264" s="412">
        <v>2.9998963999999999</v>
      </c>
      <c r="J264" s="412">
        <v>2.7642487</v>
      </c>
      <c r="K264" s="412">
        <v>2.7172193</v>
      </c>
      <c r="L264" s="412">
        <v>2.7553030000000001</v>
      </c>
      <c r="M264" s="412">
        <v>2.8427077999999999</v>
      </c>
    </row>
    <row r="265" spans="1:13">
      <c r="A265" t="s">
        <v>657</v>
      </c>
      <c r="B265" s="408">
        <v>4</v>
      </c>
      <c r="C265" s="408">
        <v>3.45</v>
      </c>
      <c r="D265" s="408">
        <v>3.5</v>
      </c>
      <c r="E265" s="408">
        <v>3.87</v>
      </c>
      <c r="F265" s="408">
        <v>4.05</v>
      </c>
      <c r="G265" s="408">
        <v>4.13</v>
      </c>
      <c r="H265" s="412">
        <v>3.7600845000000001</v>
      </c>
      <c r="I265" s="412">
        <v>3.0043413000000001</v>
      </c>
      <c r="J265" s="412">
        <v>2.8192727</v>
      </c>
      <c r="K265" s="412">
        <v>2.7968103000000002</v>
      </c>
      <c r="L265" s="412">
        <v>2.8361326</v>
      </c>
      <c r="M265" s="412">
        <v>2.9188304999999999</v>
      </c>
    </row>
    <row r="266" spans="1:13">
      <c r="A266" t="s">
        <v>658</v>
      </c>
      <c r="B266" s="408">
        <v>3.98</v>
      </c>
      <c r="C266" s="408">
        <v>3.46</v>
      </c>
      <c r="D266" s="408">
        <v>3.54</v>
      </c>
      <c r="E266" s="408">
        <v>3.92</v>
      </c>
      <c r="F266" s="408">
        <v>4.09</v>
      </c>
      <c r="G266" s="408">
        <v>4.1399999999999997</v>
      </c>
      <c r="H266" s="412">
        <v>3.7439483999999998</v>
      </c>
      <c r="I266" s="412">
        <v>3.0335242999999998</v>
      </c>
      <c r="J266" s="412">
        <v>2.8890318000000001</v>
      </c>
      <c r="K266" s="412">
        <v>2.8459767999999999</v>
      </c>
      <c r="L266" s="412">
        <v>2.8717766999999998</v>
      </c>
      <c r="M266" s="412">
        <v>2.9648184</v>
      </c>
    </row>
    <row r="267" spans="1:13">
      <c r="A267" t="s">
        <v>659</v>
      </c>
      <c r="B267" s="408" t="e">
        <v>#N/A</v>
      </c>
      <c r="C267" s="408">
        <v>3.46</v>
      </c>
      <c r="D267" s="408" t="e">
        <v>#N/A</v>
      </c>
      <c r="E267" s="408">
        <v>3.92</v>
      </c>
      <c r="F267" s="408">
        <v>4.09</v>
      </c>
      <c r="G267" s="408" t="e">
        <v>#N/A</v>
      </c>
      <c r="H267" s="412" t="e">
        <v>#N/A</v>
      </c>
      <c r="I267" s="412" t="e">
        <v>#N/A</v>
      </c>
      <c r="J267" s="412" t="e">
        <v>#N/A</v>
      </c>
      <c r="K267" s="412" t="e">
        <v>#N/A</v>
      </c>
      <c r="L267" s="412" t="e">
        <v>#N/A</v>
      </c>
      <c r="M267" s="412" t="e">
        <v>#N/A</v>
      </c>
    </row>
    <row r="268" spans="1:13">
      <c r="A268" t="s">
        <v>660</v>
      </c>
      <c r="B268" s="408">
        <v>4.0599999999999996</v>
      </c>
      <c r="C268" s="408">
        <v>3.55</v>
      </c>
      <c r="D268" s="408">
        <v>3.65</v>
      </c>
      <c r="E268" s="408">
        <v>4.04</v>
      </c>
      <c r="F268" s="408">
        <v>4.22</v>
      </c>
      <c r="G268" s="408">
        <v>4.28</v>
      </c>
      <c r="H268" s="412">
        <v>3.8133507999999998</v>
      </c>
      <c r="I268" s="412">
        <v>3.1224959999999999</v>
      </c>
      <c r="J268" s="412">
        <v>2.9397964999999999</v>
      </c>
      <c r="K268" s="412">
        <v>2.9139371999999999</v>
      </c>
      <c r="L268" s="412">
        <v>2.9766149999999998</v>
      </c>
      <c r="M268" s="412">
        <v>3.0953135999999999</v>
      </c>
    </row>
    <row r="269" spans="1:13">
      <c r="A269" t="s">
        <v>661</v>
      </c>
      <c r="B269" s="408">
        <v>4.07</v>
      </c>
      <c r="C269" s="408">
        <v>3.55</v>
      </c>
      <c r="D269" s="408">
        <v>3.61</v>
      </c>
      <c r="E269" s="408">
        <v>3.99</v>
      </c>
      <c r="F269" s="408">
        <v>4.1900000000000004</v>
      </c>
      <c r="G269" s="408">
        <v>4.26</v>
      </c>
      <c r="H269" s="412">
        <v>3.8103908999999998</v>
      </c>
      <c r="I269" s="412">
        <v>3.0582151999999998</v>
      </c>
      <c r="J269" s="412">
        <v>2.9010167</v>
      </c>
      <c r="K269" s="412">
        <v>2.8980372000000001</v>
      </c>
      <c r="L269" s="412">
        <v>2.9573434999999999</v>
      </c>
      <c r="M269" s="412">
        <v>3.0660859999999999</v>
      </c>
    </row>
    <row r="270" spans="1:13">
      <c r="A270" t="s">
        <v>662</v>
      </c>
      <c r="B270" s="408">
        <v>4.22</v>
      </c>
      <c r="C270" s="408">
        <v>3.7</v>
      </c>
      <c r="D270" s="408">
        <v>3.74</v>
      </c>
      <c r="E270" s="408">
        <v>4.12</v>
      </c>
      <c r="F270" s="408">
        <v>4.3</v>
      </c>
      <c r="G270" s="408">
        <v>4.38</v>
      </c>
      <c r="H270" s="412">
        <v>3.9458215999999999</v>
      </c>
      <c r="I270" s="412">
        <v>3.2268181999999999</v>
      </c>
      <c r="J270" s="412">
        <v>3.0787962000000002</v>
      </c>
      <c r="K270" s="412">
        <v>3.0719349999999999</v>
      </c>
      <c r="L270" s="412">
        <v>3.1227581999999998</v>
      </c>
      <c r="M270" s="412">
        <v>3.2155847999999998</v>
      </c>
    </row>
    <row r="271" spans="1:13">
      <c r="A271" t="s">
        <v>663</v>
      </c>
      <c r="B271" s="408">
        <v>4.24</v>
      </c>
      <c r="C271" s="408">
        <v>3.78</v>
      </c>
      <c r="D271" s="408">
        <v>3.81</v>
      </c>
      <c r="E271" s="408">
        <v>4.17</v>
      </c>
      <c r="F271" s="408">
        <v>4.3499999999999996</v>
      </c>
      <c r="G271" s="408">
        <v>4.42</v>
      </c>
      <c r="H271" s="412">
        <v>4.0318584</v>
      </c>
      <c r="I271" s="412">
        <v>3.3301964000000002</v>
      </c>
      <c r="J271" s="412">
        <v>3.1663868000000002</v>
      </c>
      <c r="K271" s="412">
        <v>3.1551931999999998</v>
      </c>
      <c r="L271" s="412">
        <v>3.1965007000000001</v>
      </c>
      <c r="M271" s="412">
        <v>3.2772655999999998</v>
      </c>
    </row>
    <row r="272" spans="1:13">
      <c r="A272" t="s">
        <v>664</v>
      </c>
      <c r="B272" s="408">
        <v>4.1900000000000004</v>
      </c>
      <c r="C272" s="408">
        <v>3.72</v>
      </c>
      <c r="D272" s="408">
        <v>3.77</v>
      </c>
      <c r="E272" s="408">
        <v>4.12</v>
      </c>
      <c r="F272" s="408">
        <v>4.3099999999999996</v>
      </c>
      <c r="G272" s="408">
        <v>4.38</v>
      </c>
      <c r="H272" s="412">
        <v>3.9915986000000001</v>
      </c>
      <c r="I272" s="412">
        <v>3.3028127999999999</v>
      </c>
      <c r="J272" s="412">
        <v>3.1397409000000001</v>
      </c>
      <c r="K272" s="412">
        <v>3.1224812000000002</v>
      </c>
      <c r="L272" s="412">
        <v>3.1630677999999999</v>
      </c>
      <c r="M272" s="412">
        <v>3.2511538999999998</v>
      </c>
    </row>
    <row r="273" spans="1:13">
      <c r="A273" t="s">
        <v>665</v>
      </c>
      <c r="B273" s="408">
        <v>4.21</v>
      </c>
      <c r="C273" s="408">
        <v>3.73</v>
      </c>
      <c r="D273" s="408">
        <v>3.79</v>
      </c>
      <c r="E273" s="408">
        <v>4.1500000000000004</v>
      </c>
      <c r="F273" s="408">
        <v>4.32</v>
      </c>
      <c r="G273" s="408">
        <v>4.4000000000000004</v>
      </c>
      <c r="H273" s="412">
        <v>4.0132623000000001</v>
      </c>
      <c r="I273" s="412">
        <v>3.3161052999999998</v>
      </c>
      <c r="J273" s="412">
        <v>3.1342281999999999</v>
      </c>
      <c r="K273" s="412">
        <v>3.1158538999999998</v>
      </c>
      <c r="L273" s="412">
        <v>3.1673711999999998</v>
      </c>
      <c r="M273" s="412">
        <v>3.2636286999999999</v>
      </c>
    </row>
    <row r="274" spans="1:13">
      <c r="A274" t="s">
        <v>666</v>
      </c>
      <c r="B274" s="408">
        <v>4.22</v>
      </c>
      <c r="C274" s="408">
        <v>3.75</v>
      </c>
      <c r="D274" s="408">
        <v>3.82</v>
      </c>
      <c r="E274" s="408">
        <v>4.18</v>
      </c>
      <c r="F274" s="408">
        <v>4.34</v>
      </c>
      <c r="G274" s="408">
        <v>4.42</v>
      </c>
      <c r="H274" s="412">
        <v>4.0516977000000001</v>
      </c>
      <c r="I274" s="412">
        <v>3.367845</v>
      </c>
      <c r="J274" s="412">
        <v>3.1564854000000002</v>
      </c>
      <c r="K274" s="412">
        <v>3.1247780999999999</v>
      </c>
      <c r="L274" s="412">
        <v>3.1751377000000001</v>
      </c>
      <c r="M274" s="412">
        <v>3.2731349000000001</v>
      </c>
    </row>
    <row r="275" spans="1:13">
      <c r="A275" t="s">
        <v>667</v>
      </c>
      <c r="B275" s="408">
        <v>4.25</v>
      </c>
      <c r="C275" s="408">
        <v>3.76</v>
      </c>
      <c r="D275" s="408">
        <v>3.85</v>
      </c>
      <c r="E275" s="408">
        <v>4.2</v>
      </c>
      <c r="F275" s="408">
        <v>4.3600000000000003</v>
      </c>
      <c r="G275" s="408">
        <v>4.4400000000000004</v>
      </c>
      <c r="H275" s="412">
        <v>4.0309257000000001</v>
      </c>
      <c r="I275" s="412">
        <v>3.3363711999999999</v>
      </c>
      <c r="J275" s="412">
        <v>3.180615</v>
      </c>
      <c r="K275" s="412">
        <v>3.1794606999999999</v>
      </c>
      <c r="L275" s="412">
        <v>3.2379587999999999</v>
      </c>
      <c r="M275" s="412">
        <v>3.3335096000000002</v>
      </c>
    </row>
    <row r="276" spans="1:13">
      <c r="A276" t="s">
        <v>668</v>
      </c>
      <c r="B276" s="408">
        <v>4.18</v>
      </c>
      <c r="C276" s="408">
        <v>3.67</v>
      </c>
      <c r="D276" s="408">
        <v>3.8</v>
      </c>
      <c r="E276" s="408">
        <v>4.16</v>
      </c>
      <c r="F276" s="408">
        <v>4.34</v>
      </c>
      <c r="G276" s="408">
        <v>4.43</v>
      </c>
      <c r="H276" s="412">
        <v>3.9063379999999999</v>
      </c>
      <c r="I276" s="412">
        <v>3.2413816</v>
      </c>
      <c r="J276" s="412">
        <v>3.0985542000000001</v>
      </c>
      <c r="K276" s="412">
        <v>3.1066479</v>
      </c>
      <c r="L276" s="412">
        <v>3.1735850999999999</v>
      </c>
      <c r="M276" s="412">
        <v>3.2788018999999999</v>
      </c>
    </row>
    <row r="277" spans="1:13">
      <c r="A277" t="s">
        <v>669</v>
      </c>
      <c r="B277" s="408">
        <v>4.16</v>
      </c>
      <c r="C277" s="408">
        <v>3.68</v>
      </c>
      <c r="D277" s="408">
        <v>3.8</v>
      </c>
      <c r="E277" s="408">
        <v>4.18</v>
      </c>
      <c r="F277" s="408">
        <v>4.3600000000000003</v>
      </c>
      <c r="G277" s="408">
        <v>4.46</v>
      </c>
      <c r="H277" s="412">
        <v>3.8821870000000001</v>
      </c>
      <c r="I277" s="412">
        <v>3.2212367999999998</v>
      </c>
      <c r="J277" s="412">
        <v>3.0832033000000001</v>
      </c>
      <c r="K277" s="412">
        <v>3.0955376999999999</v>
      </c>
      <c r="L277" s="412">
        <v>3.1690067000000002</v>
      </c>
      <c r="M277" s="412">
        <v>3.2852853999999998</v>
      </c>
    </row>
    <row r="278" spans="1:13">
      <c r="A278" t="s">
        <v>670</v>
      </c>
      <c r="B278" s="408">
        <v>4.1900000000000004</v>
      </c>
      <c r="C278" s="408">
        <v>3.7</v>
      </c>
      <c r="D278" s="408">
        <v>3.83</v>
      </c>
      <c r="E278" s="408">
        <v>4.22</v>
      </c>
      <c r="F278" s="408">
        <v>4.41</v>
      </c>
      <c r="G278" s="408">
        <v>4.51</v>
      </c>
      <c r="H278" s="412">
        <v>3.8892679999999999</v>
      </c>
      <c r="I278" s="412">
        <v>3.2276975999999999</v>
      </c>
      <c r="J278" s="412">
        <v>3.1136786000000001</v>
      </c>
      <c r="K278" s="412">
        <v>3.1338846</v>
      </c>
      <c r="L278" s="412">
        <v>3.2156825000000002</v>
      </c>
      <c r="M278" s="412">
        <v>3.3398984999999999</v>
      </c>
    </row>
    <row r="279" spans="1:13">
      <c r="A279" t="s">
        <v>671</v>
      </c>
      <c r="B279" s="408">
        <v>4.38</v>
      </c>
      <c r="C279" s="408">
        <v>3.91</v>
      </c>
      <c r="D279" s="408">
        <v>3.98</v>
      </c>
      <c r="E279" s="408">
        <v>4.37</v>
      </c>
      <c r="F279" s="408">
        <v>4.54</v>
      </c>
      <c r="G279" s="408">
        <v>4.6399999999999997</v>
      </c>
      <c r="H279" s="412">
        <v>4.1724997000000004</v>
      </c>
      <c r="I279" s="412">
        <v>3.5121133000000002</v>
      </c>
      <c r="J279" s="412">
        <v>3.3242843999999998</v>
      </c>
      <c r="K279" s="412">
        <v>3.3045952000000001</v>
      </c>
      <c r="L279" s="412">
        <v>3.3656448000000001</v>
      </c>
      <c r="M279" s="412">
        <v>3.4747675</v>
      </c>
    </row>
    <row r="280" spans="1:13">
      <c r="A280" t="s">
        <v>672</v>
      </c>
      <c r="B280" s="408">
        <v>4.3099999999999996</v>
      </c>
      <c r="C280" s="408">
        <v>3.84</v>
      </c>
      <c r="D280" s="408">
        <v>3.94</v>
      </c>
      <c r="E280" s="408">
        <v>4.33</v>
      </c>
      <c r="F280" s="408">
        <v>4.51</v>
      </c>
      <c r="G280" s="408">
        <v>4.6100000000000003</v>
      </c>
      <c r="H280" s="412">
        <v>4.1179306000000002</v>
      </c>
      <c r="I280" s="412">
        <v>3.4239054000000002</v>
      </c>
      <c r="J280" s="412">
        <v>3.2622235000000002</v>
      </c>
      <c r="K280" s="412">
        <v>3.2576651999999999</v>
      </c>
      <c r="L280" s="412">
        <v>3.3228304</v>
      </c>
      <c r="M280" s="412">
        <v>3.4345602</v>
      </c>
    </row>
    <row r="281" spans="1:13">
      <c r="A281" t="s">
        <v>673</v>
      </c>
      <c r="B281" s="408">
        <v>4.29</v>
      </c>
      <c r="C281" s="408">
        <v>3.84</v>
      </c>
      <c r="D281" s="408">
        <v>3.92</v>
      </c>
      <c r="E281" s="408">
        <v>4.29</v>
      </c>
      <c r="F281" s="408">
        <v>4.46</v>
      </c>
      <c r="G281" s="408">
        <v>4.5599999999999996</v>
      </c>
      <c r="H281" s="412">
        <v>4.1495841000000002</v>
      </c>
      <c r="I281" s="412">
        <v>3.4724444999999999</v>
      </c>
      <c r="J281" s="412">
        <v>3.2869698000000001</v>
      </c>
      <c r="K281" s="412">
        <v>3.2554135999999998</v>
      </c>
      <c r="L281" s="412">
        <v>3.2984133999999998</v>
      </c>
      <c r="M281" s="412">
        <v>3.3935567</v>
      </c>
    </row>
    <row r="282" spans="1:13">
      <c r="A282" t="s">
        <v>674</v>
      </c>
      <c r="B282" s="408">
        <v>4.3099999999999996</v>
      </c>
      <c r="C282" s="408">
        <v>3.85</v>
      </c>
      <c r="D282" s="408">
        <v>3.91</v>
      </c>
      <c r="E282" s="408">
        <v>4.2699999999999996</v>
      </c>
      <c r="F282" s="408">
        <v>4.4400000000000004</v>
      </c>
      <c r="G282" s="408">
        <v>4.54</v>
      </c>
      <c r="H282" s="412">
        <v>4.1228927000000004</v>
      </c>
      <c r="I282" s="412">
        <v>3.4913457999999999</v>
      </c>
      <c r="J282" s="412">
        <v>3.2940466000000002</v>
      </c>
      <c r="K282" s="412">
        <v>3.2473597000000001</v>
      </c>
      <c r="L282" s="412">
        <v>3.2848663999999999</v>
      </c>
      <c r="M282" s="412">
        <v>3.3810345000000002</v>
      </c>
    </row>
    <row r="283" spans="1:13">
      <c r="A283" t="s">
        <v>675</v>
      </c>
      <c r="B283" s="408">
        <v>4.38</v>
      </c>
      <c r="C283" s="408">
        <v>3.94</v>
      </c>
      <c r="D283" s="408">
        <v>4</v>
      </c>
      <c r="E283" s="408">
        <v>4.34</v>
      </c>
      <c r="F283" s="408">
        <v>4.51</v>
      </c>
      <c r="G283" s="408">
        <v>4.59</v>
      </c>
      <c r="H283" s="412">
        <v>4.2025817999999999</v>
      </c>
      <c r="I283" s="412">
        <v>3.5704832999999998</v>
      </c>
      <c r="J283" s="412">
        <v>3.3760902000000002</v>
      </c>
      <c r="K283" s="412">
        <v>3.3337292999999999</v>
      </c>
      <c r="L283" s="412">
        <v>3.3717084000000002</v>
      </c>
      <c r="M283" s="412">
        <v>3.4630551999999999</v>
      </c>
    </row>
    <row r="284" spans="1:13">
      <c r="A284" t="s">
        <v>676</v>
      </c>
      <c r="B284" s="408">
        <v>4.38</v>
      </c>
      <c r="C284" s="408">
        <v>3.95</v>
      </c>
      <c r="D284" s="408">
        <v>4</v>
      </c>
      <c r="E284" s="408">
        <v>4.34</v>
      </c>
      <c r="F284" s="408">
        <v>4.51</v>
      </c>
      <c r="G284" s="408">
        <v>4.59</v>
      </c>
      <c r="H284" s="412">
        <v>4.2413794999999999</v>
      </c>
      <c r="I284" s="412">
        <v>3.5977218</v>
      </c>
      <c r="J284" s="412">
        <v>3.3956214</v>
      </c>
      <c r="K284" s="412">
        <v>3.3450975000000001</v>
      </c>
      <c r="L284" s="412">
        <v>3.3736587</v>
      </c>
      <c r="M284" s="412">
        <v>3.4577190999999998</v>
      </c>
    </row>
    <row r="285" spans="1:13">
      <c r="A285" t="s">
        <v>677</v>
      </c>
      <c r="B285" s="408">
        <v>4.37</v>
      </c>
      <c r="C285" s="408">
        <v>3.92</v>
      </c>
      <c r="D285" s="408">
        <v>3.99</v>
      </c>
      <c r="E285" s="408">
        <v>4.34</v>
      </c>
      <c r="F285" s="408">
        <v>4.51</v>
      </c>
      <c r="G285" s="408">
        <v>4.5999999999999996</v>
      </c>
      <c r="H285" s="412">
        <v>4.1762113999999997</v>
      </c>
      <c r="I285" s="412">
        <v>3.5261338000000002</v>
      </c>
      <c r="J285" s="412">
        <v>3.3725459999999998</v>
      </c>
      <c r="K285" s="412">
        <v>3.3486961000000002</v>
      </c>
      <c r="L285" s="412">
        <v>3.3895436999999999</v>
      </c>
      <c r="M285" s="412">
        <v>3.4778424999999999</v>
      </c>
    </row>
    <row r="286" spans="1:13">
      <c r="A286" t="s">
        <v>678</v>
      </c>
      <c r="B286" s="408">
        <v>4.34</v>
      </c>
      <c r="C286" s="408">
        <v>3.89</v>
      </c>
      <c r="D286" s="408">
        <v>3.97</v>
      </c>
      <c r="E286" s="408">
        <v>4.33</v>
      </c>
      <c r="F286" s="408">
        <v>4.5</v>
      </c>
      <c r="G286" s="408">
        <v>4.59</v>
      </c>
      <c r="H286" s="412">
        <v>4.1361011000000003</v>
      </c>
      <c r="I286" s="412">
        <v>3.4827398999999999</v>
      </c>
      <c r="J286" s="412">
        <v>3.3349198000000002</v>
      </c>
      <c r="K286" s="412">
        <v>3.3284473999999999</v>
      </c>
      <c r="L286" s="412">
        <v>3.3763003</v>
      </c>
      <c r="M286" s="412">
        <v>3.4670204999999998</v>
      </c>
    </row>
    <row r="287" spans="1:13">
      <c r="A287" t="s">
        <v>679</v>
      </c>
      <c r="B287" s="408">
        <v>4.2699999999999996</v>
      </c>
      <c r="C287" s="408">
        <v>3.81</v>
      </c>
      <c r="D287" s="408">
        <v>3.88</v>
      </c>
      <c r="E287" s="408">
        <v>4.25</v>
      </c>
      <c r="F287" s="408">
        <v>4.43</v>
      </c>
      <c r="G287" s="408">
        <v>4.51</v>
      </c>
      <c r="H287" s="412">
        <v>4.0609840999999998</v>
      </c>
      <c r="I287" s="412">
        <v>3.4125505</v>
      </c>
      <c r="J287" s="412">
        <v>3.2642552</v>
      </c>
      <c r="K287" s="412">
        <v>3.2506235000000001</v>
      </c>
      <c r="L287" s="412">
        <v>3.2913975999999998</v>
      </c>
      <c r="M287" s="412">
        <v>3.3833080999999998</v>
      </c>
    </row>
    <row r="288" spans="1:13">
      <c r="A288" t="s">
        <v>680</v>
      </c>
      <c r="B288" s="408">
        <v>4.33</v>
      </c>
      <c r="C288" s="408">
        <v>3.86</v>
      </c>
      <c r="D288" s="408">
        <v>3.9</v>
      </c>
      <c r="E288" s="408">
        <v>4.2699999999999996</v>
      </c>
      <c r="F288" s="408">
        <v>4.45</v>
      </c>
      <c r="G288" s="408">
        <v>4.53</v>
      </c>
      <c r="H288" s="412">
        <v>4.1444716000000001</v>
      </c>
      <c r="I288" s="412">
        <v>3.4983825</v>
      </c>
      <c r="J288" s="412">
        <v>3.2994998999999998</v>
      </c>
      <c r="K288" s="412">
        <v>3.2551629000000002</v>
      </c>
      <c r="L288" s="412">
        <v>3.2980624000000001</v>
      </c>
      <c r="M288" s="412">
        <v>3.3986548000000001</v>
      </c>
    </row>
    <row r="289" spans="1:13">
      <c r="A289" t="s">
        <v>681</v>
      </c>
      <c r="B289" s="408">
        <v>4.22</v>
      </c>
      <c r="C289" s="408">
        <v>3.74</v>
      </c>
      <c r="D289" s="408">
        <v>3.79</v>
      </c>
      <c r="E289" s="408">
        <v>4.16</v>
      </c>
      <c r="F289" s="408">
        <v>4.3499999999999996</v>
      </c>
      <c r="G289" s="408">
        <v>4.45</v>
      </c>
      <c r="H289" s="412">
        <v>4.0272195999999996</v>
      </c>
      <c r="I289" s="412">
        <v>3.3484124</v>
      </c>
      <c r="J289" s="412">
        <v>3.1736841999999998</v>
      </c>
      <c r="K289" s="412">
        <v>3.1499939000000001</v>
      </c>
      <c r="L289" s="412">
        <v>3.1941967</v>
      </c>
      <c r="M289" s="412">
        <v>3.2908241999999999</v>
      </c>
    </row>
    <row r="290" spans="1:13">
      <c r="A290" t="s">
        <v>682</v>
      </c>
      <c r="B290" s="408">
        <v>4.24</v>
      </c>
      <c r="C290" s="408">
        <v>3.71</v>
      </c>
      <c r="D290" s="408">
        <v>3.76</v>
      </c>
      <c r="E290" s="408">
        <v>4.1399999999999997</v>
      </c>
      <c r="F290" s="408">
        <v>4.33</v>
      </c>
      <c r="G290" s="408">
        <v>4.43</v>
      </c>
      <c r="H290" s="412">
        <v>4.0357456999999997</v>
      </c>
      <c r="I290" s="412">
        <v>3.2908331</v>
      </c>
      <c r="J290" s="412">
        <v>3.1267147999999998</v>
      </c>
      <c r="K290" s="412">
        <v>3.1156765000000002</v>
      </c>
      <c r="L290" s="412">
        <v>3.1671778000000002</v>
      </c>
      <c r="M290" s="412">
        <v>3.2647526</v>
      </c>
    </row>
    <row r="291" spans="1:13">
      <c r="A291" t="s">
        <v>683</v>
      </c>
      <c r="B291" s="408">
        <v>4.43</v>
      </c>
      <c r="C291" s="408">
        <v>3.91</v>
      </c>
      <c r="D291" s="408">
        <v>3.92</v>
      </c>
      <c r="E291" s="408">
        <v>4.28</v>
      </c>
      <c r="F291" s="408">
        <v>4.46</v>
      </c>
      <c r="G291" s="408">
        <v>4.55</v>
      </c>
      <c r="H291" s="412">
        <v>4.2314125000000002</v>
      </c>
      <c r="I291" s="412">
        <v>3.5046886000000002</v>
      </c>
      <c r="J291" s="412">
        <v>3.3004235999999998</v>
      </c>
      <c r="K291" s="412">
        <v>3.2740174999999998</v>
      </c>
      <c r="L291" s="412">
        <v>3.3153328000000002</v>
      </c>
      <c r="M291" s="412">
        <v>3.4043849000000002</v>
      </c>
    </row>
    <row r="292" spans="1:13">
      <c r="A292" t="s">
        <v>684</v>
      </c>
      <c r="B292" s="408">
        <v>4.49</v>
      </c>
      <c r="C292" s="408">
        <v>3.98</v>
      </c>
      <c r="D292" s="408">
        <v>4</v>
      </c>
      <c r="E292" s="408">
        <v>4.3499999999999996</v>
      </c>
      <c r="F292" s="408">
        <v>4.5199999999999996</v>
      </c>
      <c r="G292" s="408">
        <v>4.6100000000000003</v>
      </c>
      <c r="H292" s="412">
        <v>4.2995466999999996</v>
      </c>
      <c r="I292" s="412">
        <v>3.6350742</v>
      </c>
      <c r="J292" s="412">
        <v>3.4230266999999999</v>
      </c>
      <c r="K292" s="412">
        <v>3.3576258999999999</v>
      </c>
      <c r="L292" s="412">
        <v>3.3761608000000001</v>
      </c>
      <c r="M292" s="412">
        <v>3.4611282999999999</v>
      </c>
    </row>
    <row r="293" spans="1:13">
      <c r="A293" t="s">
        <v>685</v>
      </c>
      <c r="B293" s="408">
        <v>4.43</v>
      </c>
      <c r="C293" s="408">
        <v>3.94</v>
      </c>
      <c r="D293" s="408">
        <v>3.94</v>
      </c>
      <c r="E293" s="408">
        <v>4.29</v>
      </c>
      <c r="F293" s="408">
        <v>4.45</v>
      </c>
      <c r="G293" s="408">
        <v>4.54</v>
      </c>
      <c r="H293" s="412">
        <v>4.2673702000000002</v>
      </c>
      <c r="I293" s="412">
        <v>3.5957927000000001</v>
      </c>
      <c r="J293" s="412">
        <v>3.3766193000000002</v>
      </c>
      <c r="K293" s="412">
        <v>3.3052161</v>
      </c>
      <c r="L293" s="412">
        <v>3.3236645999999999</v>
      </c>
      <c r="M293" s="412">
        <v>3.4014300999999998</v>
      </c>
    </row>
    <row r="294" spans="1:13">
      <c r="A294" t="s">
        <v>686</v>
      </c>
      <c r="B294" s="408">
        <v>4.4800000000000004</v>
      </c>
      <c r="C294" s="408">
        <v>3.98</v>
      </c>
      <c r="D294" s="408">
        <v>4</v>
      </c>
      <c r="E294" s="408">
        <v>4.33</v>
      </c>
      <c r="F294" s="408">
        <v>4.49</v>
      </c>
      <c r="G294" s="408">
        <v>4.58</v>
      </c>
      <c r="H294" s="412">
        <v>4.2922424000000001</v>
      </c>
      <c r="I294" s="412">
        <v>3.6234413000000001</v>
      </c>
      <c r="J294" s="412">
        <v>3.3971393000000001</v>
      </c>
      <c r="K294" s="412">
        <v>3.3400918000000002</v>
      </c>
      <c r="L294" s="412">
        <v>3.3722968999999998</v>
      </c>
      <c r="M294" s="412">
        <v>3.4597630000000001</v>
      </c>
    </row>
    <row r="295" spans="1:13">
      <c r="A295" t="s">
        <v>687</v>
      </c>
      <c r="B295" s="408">
        <v>4.55</v>
      </c>
      <c r="C295" s="408">
        <v>4.0599999999999996</v>
      </c>
      <c r="D295" s="408">
        <v>4.0599999999999996</v>
      </c>
      <c r="E295" s="408">
        <v>4.38</v>
      </c>
      <c r="F295" s="408">
        <v>4.54</v>
      </c>
      <c r="G295" s="408">
        <v>4.62</v>
      </c>
      <c r="H295" s="412">
        <v>4.3165858000000004</v>
      </c>
      <c r="I295" s="412">
        <v>3.7049528999999999</v>
      </c>
      <c r="J295" s="412">
        <v>3.492197</v>
      </c>
      <c r="K295" s="412">
        <v>3.4251138999999999</v>
      </c>
      <c r="L295" s="412">
        <v>3.4407334000000001</v>
      </c>
      <c r="M295" s="412">
        <v>3.5096235</v>
      </c>
    </row>
    <row r="296" spans="1:13">
      <c r="A296" t="s">
        <v>688</v>
      </c>
      <c r="B296" s="408">
        <v>4.57</v>
      </c>
      <c r="C296" s="408">
        <v>4.08</v>
      </c>
      <c r="D296" s="408">
        <v>4.0599999999999996</v>
      </c>
      <c r="E296" s="408">
        <v>4.38</v>
      </c>
      <c r="F296" s="408">
        <v>4.5199999999999996</v>
      </c>
      <c r="G296" s="408">
        <v>4.59</v>
      </c>
      <c r="H296" s="412">
        <v>4.4001298000000002</v>
      </c>
      <c r="I296" s="412">
        <v>3.7510338999999999</v>
      </c>
      <c r="J296" s="412">
        <v>3.5239403</v>
      </c>
      <c r="K296" s="412">
        <v>3.4549601000000001</v>
      </c>
      <c r="L296" s="412">
        <v>3.4555104999999999</v>
      </c>
      <c r="M296" s="412">
        <v>3.5079091999999998</v>
      </c>
    </row>
    <row r="297" spans="1:13">
      <c r="A297" t="s">
        <v>689</v>
      </c>
      <c r="B297" s="408">
        <v>4.55</v>
      </c>
      <c r="C297" s="408">
        <v>4.0599999999999996</v>
      </c>
      <c r="D297" s="408">
        <v>4.0599999999999996</v>
      </c>
      <c r="E297" s="408">
        <v>4.37</v>
      </c>
      <c r="F297" s="408">
        <v>4.5199999999999996</v>
      </c>
      <c r="G297" s="408">
        <v>4.59</v>
      </c>
      <c r="H297" s="412">
        <v>4.3545467000000002</v>
      </c>
      <c r="I297" s="412">
        <v>3.7385228000000001</v>
      </c>
      <c r="J297" s="412">
        <v>3.5187691000000001</v>
      </c>
      <c r="K297" s="412">
        <v>3.4426787000000001</v>
      </c>
      <c r="L297" s="412">
        <v>3.4487836999999999</v>
      </c>
      <c r="M297" s="412">
        <v>3.5164127000000001</v>
      </c>
    </row>
    <row r="298" spans="1:13">
      <c r="A298" t="s">
        <v>690</v>
      </c>
      <c r="B298" s="408">
        <v>4.68</v>
      </c>
      <c r="C298" s="408">
        <v>4.2</v>
      </c>
      <c r="D298" s="408">
        <v>4.16</v>
      </c>
      <c r="E298" s="408">
        <v>4.47</v>
      </c>
      <c r="F298" s="408">
        <v>4.5999999999999996</v>
      </c>
      <c r="G298" s="408">
        <v>4.67</v>
      </c>
      <c r="H298" s="412">
        <v>4.5397856000000001</v>
      </c>
      <c r="I298" s="412">
        <v>3.912166</v>
      </c>
      <c r="J298" s="412">
        <v>3.6341963000000002</v>
      </c>
      <c r="K298" s="412">
        <v>3.5295795000000001</v>
      </c>
      <c r="L298" s="412">
        <v>3.5237191999999999</v>
      </c>
      <c r="M298" s="412">
        <v>3.5806898</v>
      </c>
    </row>
    <row r="299" spans="1:13">
      <c r="A299" t="s">
        <v>691</v>
      </c>
      <c r="B299" s="408">
        <v>4.54</v>
      </c>
      <c r="C299" s="408">
        <v>4.04</v>
      </c>
      <c r="D299" s="408">
        <v>4.03</v>
      </c>
      <c r="E299" s="408">
        <v>4.34</v>
      </c>
      <c r="F299" s="408">
        <v>4.49</v>
      </c>
      <c r="G299" s="408">
        <v>4.5599999999999996</v>
      </c>
      <c r="H299" s="412">
        <v>4.3721217000000001</v>
      </c>
      <c r="I299" s="412">
        <v>3.6981709999999999</v>
      </c>
      <c r="J299" s="412">
        <v>3.4520179999999998</v>
      </c>
      <c r="K299" s="412">
        <v>3.3878629</v>
      </c>
      <c r="L299" s="412">
        <v>3.4121462999999999</v>
      </c>
      <c r="M299" s="412">
        <v>3.4918809999999998</v>
      </c>
    </row>
    <row r="300" spans="1:13">
      <c r="A300" t="s">
        <v>692</v>
      </c>
      <c r="B300" s="408">
        <v>4.57</v>
      </c>
      <c r="C300" s="408">
        <v>4.0599999999999996</v>
      </c>
      <c r="D300" s="408">
        <v>4.05</v>
      </c>
      <c r="E300" s="408">
        <v>4.37</v>
      </c>
      <c r="F300" s="408">
        <v>4.5199999999999996</v>
      </c>
      <c r="G300" s="408">
        <v>4.59</v>
      </c>
      <c r="H300" s="412">
        <v>4.3508426</v>
      </c>
      <c r="I300" s="412">
        <v>3.7116723</v>
      </c>
      <c r="J300" s="412">
        <v>3.4753775</v>
      </c>
      <c r="K300" s="412">
        <v>3.4045353</v>
      </c>
      <c r="L300" s="412">
        <v>3.4305374</v>
      </c>
      <c r="M300" s="412">
        <v>3.5101486999999998</v>
      </c>
    </row>
    <row r="301" spans="1:13">
      <c r="A301" t="s">
        <v>693</v>
      </c>
      <c r="B301" s="408">
        <v>4.63</v>
      </c>
      <c r="C301" s="408">
        <v>4.13</v>
      </c>
      <c r="D301" s="408">
        <v>4.1100000000000003</v>
      </c>
      <c r="E301" s="408">
        <v>4.43</v>
      </c>
      <c r="F301" s="408">
        <v>4.58</v>
      </c>
      <c r="G301" s="408">
        <v>4.6500000000000004</v>
      </c>
      <c r="H301" s="412">
        <v>4.4997816999999998</v>
      </c>
      <c r="I301" s="412">
        <v>3.8341097999999998</v>
      </c>
      <c r="J301" s="412">
        <v>3.5549936</v>
      </c>
      <c r="K301" s="412">
        <v>3.4750358000000001</v>
      </c>
      <c r="L301" s="412">
        <v>3.4889630999999999</v>
      </c>
      <c r="M301" s="412">
        <v>3.5572596000000001</v>
      </c>
    </row>
    <row r="302" spans="1:13">
      <c r="A302" t="s">
        <v>694</v>
      </c>
      <c r="B302" s="408">
        <v>4.63</v>
      </c>
      <c r="C302" s="408">
        <v>4.1500000000000004</v>
      </c>
      <c r="D302" s="408">
        <v>4.12</v>
      </c>
      <c r="E302" s="408">
        <v>4.4400000000000004</v>
      </c>
      <c r="F302" s="408">
        <v>4.59</v>
      </c>
      <c r="G302" s="408">
        <v>4.66</v>
      </c>
      <c r="H302" s="412">
        <v>4.4448220999999997</v>
      </c>
      <c r="I302" s="412">
        <v>3.8216572000000002</v>
      </c>
      <c r="J302" s="412">
        <v>3.5799148000000001</v>
      </c>
      <c r="K302" s="412">
        <v>3.4777494999999998</v>
      </c>
      <c r="L302" s="412">
        <v>3.4772801000000002</v>
      </c>
      <c r="M302" s="412">
        <v>3.5581922000000001</v>
      </c>
    </row>
    <row r="303" spans="1:13">
      <c r="A303" t="s">
        <v>695</v>
      </c>
      <c r="B303" s="408">
        <v>4.55</v>
      </c>
      <c r="C303" s="408">
        <v>4.07</v>
      </c>
      <c r="D303" s="408">
        <v>4.05</v>
      </c>
      <c r="E303" s="408">
        <v>4.37</v>
      </c>
      <c r="F303" s="408">
        <v>4.53</v>
      </c>
      <c r="G303" s="408">
        <v>4.5999999999999996</v>
      </c>
      <c r="H303" s="412">
        <v>4.3330007000000004</v>
      </c>
      <c r="I303" s="412">
        <v>3.7488513000000001</v>
      </c>
      <c r="J303" s="412">
        <v>3.5051998000000002</v>
      </c>
      <c r="K303" s="412">
        <v>3.4277603999999999</v>
      </c>
      <c r="L303" s="412">
        <v>3.4364615000000001</v>
      </c>
      <c r="M303" s="412">
        <v>3.5029268</v>
      </c>
    </row>
    <row r="304" spans="1:13">
      <c r="A304" t="s">
        <v>696</v>
      </c>
      <c r="B304" s="408">
        <v>4.6100000000000003</v>
      </c>
      <c r="C304" s="408">
        <v>4.1399999999999997</v>
      </c>
      <c r="D304" s="408">
        <v>4.0999999999999996</v>
      </c>
      <c r="E304" s="408">
        <v>4.42</v>
      </c>
      <c r="F304" s="408">
        <v>4.57</v>
      </c>
      <c r="G304" s="408">
        <v>4.63</v>
      </c>
      <c r="H304" s="412">
        <v>4.4481289999999998</v>
      </c>
      <c r="I304" s="412">
        <v>3.8564750000000001</v>
      </c>
      <c r="J304" s="412">
        <v>3.5894548999999998</v>
      </c>
      <c r="K304" s="412">
        <v>3.4903111999999998</v>
      </c>
      <c r="L304" s="412">
        <v>3.4828828000000001</v>
      </c>
      <c r="M304" s="412">
        <v>3.5351891000000002</v>
      </c>
    </row>
    <row r="305" spans="1:13">
      <c r="A305" t="s">
        <v>697</v>
      </c>
      <c r="B305" s="408">
        <v>4.6100000000000003</v>
      </c>
      <c r="C305" s="408">
        <v>4.16</v>
      </c>
      <c r="D305" s="408">
        <v>4.1100000000000003</v>
      </c>
      <c r="E305" s="408">
        <v>4.43</v>
      </c>
      <c r="F305" s="408">
        <v>4.58</v>
      </c>
      <c r="G305" s="408">
        <v>4.6399999999999997</v>
      </c>
      <c r="H305" s="412">
        <v>4.4865227000000001</v>
      </c>
      <c r="I305" s="412">
        <v>3.9099208999999999</v>
      </c>
      <c r="J305" s="412">
        <v>3.6383454</v>
      </c>
      <c r="K305" s="412">
        <v>3.5170995999999999</v>
      </c>
      <c r="L305" s="412">
        <v>3.4939846000000001</v>
      </c>
      <c r="M305" s="412">
        <v>3.5372710999999999</v>
      </c>
    </row>
    <row r="306" spans="1:13">
      <c r="A306" t="s">
        <v>717</v>
      </c>
      <c r="B306" s="408">
        <v>4.25</v>
      </c>
      <c r="C306" s="408">
        <v>3.99</v>
      </c>
      <c r="D306" s="408">
        <v>4.1100000000000003</v>
      </c>
      <c r="E306" s="408">
        <v>4.41</v>
      </c>
      <c r="F306" s="408">
        <v>4.57</v>
      </c>
      <c r="G306" s="408">
        <v>4.62</v>
      </c>
      <c r="H306" s="412">
        <v>4.4239810999999998</v>
      </c>
      <c r="I306" s="412">
        <v>3.8130500999999999</v>
      </c>
      <c r="J306" s="412">
        <v>3.5576300999999999</v>
      </c>
      <c r="K306" s="412">
        <v>3.4571179000000001</v>
      </c>
      <c r="L306" s="412">
        <v>3.4340229</v>
      </c>
      <c r="M306" s="412">
        <v>3.4690291000000002</v>
      </c>
    </row>
    <row r="307" spans="1:13">
      <c r="A307" t="s">
        <v>718</v>
      </c>
      <c r="B307" s="408">
        <v>4.3</v>
      </c>
      <c r="C307" s="408">
        <v>4.04</v>
      </c>
      <c r="D307" s="408">
        <v>4.1500000000000004</v>
      </c>
      <c r="E307" s="408">
        <v>4.46</v>
      </c>
      <c r="F307" s="408">
        <v>4.62</v>
      </c>
      <c r="G307" s="408">
        <v>4.63</v>
      </c>
      <c r="H307" s="412">
        <v>4.4559274000000002</v>
      </c>
      <c r="I307" s="412">
        <v>3.9090227999999998</v>
      </c>
      <c r="J307" s="412">
        <v>3.6443957</v>
      </c>
      <c r="K307" s="412">
        <v>3.5121666</v>
      </c>
      <c r="L307" s="412">
        <v>3.4776123000000001</v>
      </c>
      <c r="M307" s="412">
        <v>3.5223420000000001</v>
      </c>
    </row>
    <row r="308" spans="1:13">
      <c r="A308" t="s">
        <v>719</v>
      </c>
      <c r="B308" s="408">
        <v>4.3499999999999996</v>
      </c>
      <c r="C308" s="408">
        <v>4.09</v>
      </c>
      <c r="D308" s="408">
        <v>4.1900000000000004</v>
      </c>
      <c r="E308" s="408">
        <v>4.49</v>
      </c>
      <c r="F308" s="408">
        <v>4.63</v>
      </c>
      <c r="G308" s="408">
        <v>4.66</v>
      </c>
      <c r="H308" s="412">
        <v>4.5037868999999997</v>
      </c>
      <c r="I308" s="412">
        <v>3.9527733999999999</v>
      </c>
      <c r="J308" s="412">
        <v>3.6714603000000001</v>
      </c>
      <c r="K308" s="412">
        <v>3.5417124000000002</v>
      </c>
      <c r="L308" s="412">
        <v>3.5102112999999999</v>
      </c>
      <c r="M308" s="412">
        <v>3.5494533000000001</v>
      </c>
    </row>
    <row r="309" spans="1:13">
      <c r="A309" t="s">
        <v>720</v>
      </c>
      <c r="B309" s="408">
        <v>4.3499999999999996</v>
      </c>
      <c r="C309" s="408">
        <v>4.09</v>
      </c>
      <c r="D309" s="408">
        <v>4.18</v>
      </c>
      <c r="E309" s="408">
        <v>4.47</v>
      </c>
      <c r="F309" s="408">
        <v>4.62</v>
      </c>
      <c r="G309" s="408">
        <v>4.6500000000000004</v>
      </c>
      <c r="H309" s="412">
        <v>4.5059494999999998</v>
      </c>
      <c r="I309" s="412">
        <v>3.9338182000000002</v>
      </c>
      <c r="J309" s="412">
        <v>3.6442804</v>
      </c>
      <c r="K309" s="412">
        <v>3.5241174000000002</v>
      </c>
      <c r="L309" s="412">
        <v>3.4957625999999999</v>
      </c>
      <c r="M309" s="412">
        <v>3.5308212999999999</v>
      </c>
    </row>
    <row r="310" spans="1:13">
      <c r="A310" t="s">
        <v>721</v>
      </c>
      <c r="B310" s="408">
        <v>4.3</v>
      </c>
      <c r="C310" s="408">
        <v>4.05</v>
      </c>
      <c r="D310" s="408">
        <v>4.12</v>
      </c>
      <c r="E310" s="408">
        <v>4.41</v>
      </c>
      <c r="F310" s="408">
        <v>4.55</v>
      </c>
      <c r="G310" s="408">
        <v>4.58</v>
      </c>
      <c r="H310" s="412">
        <v>4.4344144999999999</v>
      </c>
      <c r="I310" s="412">
        <v>3.9079271000000002</v>
      </c>
      <c r="J310" s="412">
        <v>3.6051999000000001</v>
      </c>
      <c r="K310" s="412">
        <v>3.4731127000000002</v>
      </c>
      <c r="L310" s="412">
        <v>3.4398100999999999</v>
      </c>
      <c r="M310" s="412">
        <v>3.4682754999999998</v>
      </c>
    </row>
    <row r="311" spans="1:13">
      <c r="A311" t="s">
        <v>722</v>
      </c>
      <c r="B311" s="408">
        <v>4.28</v>
      </c>
      <c r="C311" s="408">
        <v>4.04</v>
      </c>
      <c r="D311" s="408">
        <v>4.0999999999999996</v>
      </c>
      <c r="E311" s="408">
        <v>4.38</v>
      </c>
      <c r="F311" s="408">
        <v>4.5199999999999996</v>
      </c>
      <c r="G311" s="408">
        <v>4.54</v>
      </c>
      <c r="H311" s="412">
        <v>4.4272610999999999</v>
      </c>
      <c r="I311" s="412">
        <v>3.855362</v>
      </c>
      <c r="J311" s="412">
        <v>3.5793938999999999</v>
      </c>
      <c r="K311" s="412">
        <v>3.4601096999999998</v>
      </c>
      <c r="L311" s="412">
        <v>3.4210924</v>
      </c>
      <c r="M311" s="412">
        <v>3.4431278000000001</v>
      </c>
    </row>
    <row r="312" spans="1:13">
      <c r="A312" t="s">
        <v>723</v>
      </c>
      <c r="B312" s="408">
        <v>4.3</v>
      </c>
      <c r="C312" s="408">
        <v>4.07</v>
      </c>
      <c r="D312" s="408">
        <v>4.13</v>
      </c>
      <c r="E312" s="408">
        <v>4.4000000000000004</v>
      </c>
      <c r="F312" s="408">
        <v>4.53</v>
      </c>
      <c r="G312" s="408">
        <v>4.5599999999999996</v>
      </c>
      <c r="H312" s="412">
        <v>4.4975999</v>
      </c>
      <c r="I312" s="412">
        <v>3.9305433999999999</v>
      </c>
      <c r="J312" s="412">
        <v>3.6091027000000002</v>
      </c>
      <c r="K312" s="412">
        <v>3.4671590000000001</v>
      </c>
      <c r="L312" s="412">
        <v>3.4261419000000002</v>
      </c>
      <c r="M312" s="412">
        <v>3.4572742000000001</v>
      </c>
    </row>
    <row r="313" spans="1:13">
      <c r="A313" t="s">
        <v>727</v>
      </c>
      <c r="B313" s="408">
        <v>4.2300000000000004</v>
      </c>
      <c r="C313" s="408">
        <v>3.98</v>
      </c>
      <c r="D313" s="408">
        <v>4.01</v>
      </c>
      <c r="E313" s="408">
        <v>4.28</v>
      </c>
      <c r="F313" s="408">
        <v>4.42</v>
      </c>
      <c r="G313" s="408">
        <v>4.45</v>
      </c>
      <c r="H313" s="408">
        <f t="shared" ref="H313:M313" si="0">H312</f>
        <v>4.4975999</v>
      </c>
      <c r="I313" s="408">
        <f t="shared" si="0"/>
        <v>3.9305433999999999</v>
      </c>
      <c r="J313" s="408">
        <f t="shared" si="0"/>
        <v>3.6091027000000002</v>
      </c>
      <c r="K313" s="408">
        <f t="shared" si="0"/>
        <v>3.4671590000000001</v>
      </c>
      <c r="L313" s="408">
        <f t="shared" si="0"/>
        <v>3.4261419000000002</v>
      </c>
      <c r="M313" s="408">
        <f t="shared" si="0"/>
        <v>3.4572742000000001</v>
      </c>
    </row>
    <row r="314" spans="1:13">
      <c r="B314" s="408"/>
      <c r="C314" s="408"/>
      <c r="D314" s="408"/>
      <c r="E314" s="408"/>
      <c r="F314" s="408"/>
      <c r="G314" s="408"/>
      <c r="H314" s="412"/>
      <c r="I314" s="412"/>
      <c r="J314" s="412"/>
      <c r="K314" s="412"/>
      <c r="L314" s="412"/>
      <c r="M314" s="412"/>
    </row>
    <row r="315" spans="1:13">
      <c r="B315" s="408"/>
      <c r="C315" s="408"/>
      <c r="D315" s="408"/>
      <c r="E315" s="408"/>
      <c r="F315" s="408"/>
      <c r="G315" s="408"/>
      <c r="H315" s="412"/>
      <c r="I315" s="412"/>
      <c r="J315" s="412"/>
      <c r="K315" s="412"/>
      <c r="L315" s="412"/>
      <c r="M315" s="412"/>
    </row>
    <row r="316" spans="1:13">
      <c r="B316" s="408"/>
      <c r="C316" s="408"/>
      <c r="D316" s="408"/>
      <c r="E316" s="408"/>
      <c r="F316" s="408"/>
      <c r="G316" s="408"/>
    </row>
    <row r="318" spans="1:13">
      <c r="A318" t="s">
        <v>698</v>
      </c>
      <c r="B318" s="408">
        <f t="shared" ref="B318:M318" si="1">AVERAGE(B199:B209)</f>
        <v>4.8863636363636367</v>
      </c>
      <c r="C318" s="408">
        <f t="shared" si="1"/>
        <v>4.5309090909090912</v>
      </c>
      <c r="D318" s="408">
        <f t="shared" si="1"/>
        <v>4.4927272727272731</v>
      </c>
      <c r="E318" s="408">
        <f t="shared" si="1"/>
        <v>4.8027272727272727</v>
      </c>
      <c r="F318" s="408">
        <f t="shared" si="1"/>
        <v>4.8945454545454545</v>
      </c>
      <c r="G318" s="408">
        <f t="shared" si="1"/>
        <v>4.9418181818181814</v>
      </c>
      <c r="H318" s="408">
        <f t="shared" si="1"/>
        <v>5.1774545727272727</v>
      </c>
      <c r="I318" s="408">
        <f t="shared" si="1"/>
        <v>4.5591651999999998</v>
      </c>
      <c r="J318" s="408">
        <f t="shared" si="1"/>
        <v>4.2005258545454547</v>
      </c>
      <c r="K318" s="408">
        <f t="shared" si="1"/>
        <v>4.0434114272727264</v>
      </c>
      <c r="L318" s="408">
        <f t="shared" si="1"/>
        <v>3.9784683818181819</v>
      </c>
      <c r="M318" s="408">
        <f t="shared" si="1"/>
        <v>3.9747859454545451</v>
      </c>
    </row>
    <row r="319" spans="1:13">
      <c r="A319" t="s">
        <v>724</v>
      </c>
      <c r="B319" s="408">
        <f t="shared" ref="B319:M319" si="2">AVERAGE(B273:B283)</f>
        <v>4.2618181818181817</v>
      </c>
      <c r="C319" s="408">
        <f t="shared" si="2"/>
        <v>3.7881818181818177</v>
      </c>
      <c r="D319" s="408">
        <f t="shared" si="2"/>
        <v>3.8763636363636365</v>
      </c>
      <c r="E319" s="408">
        <f t="shared" si="2"/>
        <v>4.2445454545454542</v>
      </c>
      <c r="F319" s="408">
        <f t="shared" si="2"/>
        <v>4.417272727272727</v>
      </c>
      <c r="G319" s="408">
        <f t="shared" si="2"/>
        <v>4.5090909090909097</v>
      </c>
      <c r="H319" s="408">
        <f t="shared" si="2"/>
        <v>4.049015236363636</v>
      </c>
      <c r="I319" s="408">
        <f t="shared" si="2"/>
        <v>3.3800845272727269</v>
      </c>
      <c r="J319" s="408">
        <f t="shared" si="2"/>
        <v>3.2100344727272727</v>
      </c>
      <c r="K319" s="408">
        <f t="shared" si="2"/>
        <v>3.1959023545454546</v>
      </c>
      <c r="L319" s="408">
        <f t="shared" si="2"/>
        <v>3.252927763636364</v>
      </c>
      <c r="M319" s="408">
        <f t="shared" si="2"/>
        <v>3.3564757363636364</v>
      </c>
    </row>
    <row r="320" spans="1:13">
      <c r="A320" t="s">
        <v>699</v>
      </c>
      <c r="B320" s="408">
        <f t="shared" ref="B320:M320" si="3">AVERAGE(B284:B294)</f>
        <v>4.3618181818181823</v>
      </c>
      <c r="C320" s="408">
        <f t="shared" si="3"/>
        <v>3.8809090909090909</v>
      </c>
      <c r="D320" s="408">
        <f t="shared" si="3"/>
        <v>3.9227272727272724</v>
      </c>
      <c r="E320" s="408">
        <f t="shared" si="3"/>
        <v>4.28</v>
      </c>
      <c r="F320" s="408">
        <f t="shared" si="3"/>
        <v>4.454545454545455</v>
      </c>
      <c r="G320" s="408">
        <f t="shared" si="3"/>
        <v>4.543636363636363</v>
      </c>
      <c r="H320" s="408">
        <f t="shared" si="3"/>
        <v>4.1738804363636364</v>
      </c>
      <c r="I320" s="408">
        <f t="shared" si="3"/>
        <v>3.5014337090909096</v>
      </c>
      <c r="J320" s="408">
        <f t="shared" si="3"/>
        <v>3.3149500181818179</v>
      </c>
      <c r="K320" s="408">
        <f t="shared" si="3"/>
        <v>3.279149918181818</v>
      </c>
      <c r="L320" s="408">
        <f t="shared" si="3"/>
        <v>3.3161629363636367</v>
      </c>
      <c r="M320" s="408">
        <f t="shared" si="3"/>
        <v>3.4060752818181821</v>
      </c>
    </row>
    <row r="321" spans="1:13">
      <c r="A321" t="s">
        <v>728</v>
      </c>
      <c r="B321" s="408">
        <f>AVERAGE(B304:B313)</f>
        <v>4.3579999999999997</v>
      </c>
      <c r="C321" s="408">
        <f t="shared" ref="C321:M321" si="4">AVERAGE(C304:C313)</f>
        <v>4.0649999999999995</v>
      </c>
      <c r="D321" s="408">
        <f t="shared" si="4"/>
        <v>4.12</v>
      </c>
      <c r="E321" s="408">
        <f t="shared" si="4"/>
        <v>4.415</v>
      </c>
      <c r="F321" s="408">
        <f t="shared" si="4"/>
        <v>4.5609999999999999</v>
      </c>
      <c r="G321" s="408">
        <f t="shared" si="4"/>
        <v>4.5960000000000001</v>
      </c>
      <c r="H321" s="408">
        <f t="shared" si="4"/>
        <v>4.4681171999999991</v>
      </c>
      <c r="I321" s="408">
        <f t="shared" si="4"/>
        <v>3.8999436299999992</v>
      </c>
      <c r="J321" s="408">
        <f t="shared" si="4"/>
        <v>3.6148365999999994</v>
      </c>
      <c r="K321" s="408">
        <f t="shared" si="4"/>
        <v>3.4910065500000003</v>
      </c>
      <c r="L321" s="408">
        <f t="shared" si="4"/>
        <v>3.4607662800000001</v>
      </c>
      <c r="M321" s="408">
        <f t="shared" si="4"/>
        <v>3.4970057599999995</v>
      </c>
    </row>
    <row r="322" spans="1:13">
      <c r="A322" t="s">
        <v>362</v>
      </c>
      <c r="B322" s="408">
        <f>B319-B318</f>
        <v>-0.62454545454545496</v>
      </c>
      <c r="C322" s="408">
        <f t="shared" ref="C322:M322" si="5">C319-C318</f>
        <v>-0.74272727272727357</v>
      </c>
      <c r="D322" s="408">
        <f t="shared" si="5"/>
        <v>-0.61636363636363667</v>
      </c>
      <c r="E322" s="408">
        <f t="shared" si="5"/>
        <v>-0.55818181818181856</v>
      </c>
      <c r="F322" s="408">
        <f t="shared" si="5"/>
        <v>-0.47727272727272751</v>
      </c>
      <c r="G322" s="408">
        <f t="shared" si="5"/>
        <v>-0.43272727272727174</v>
      </c>
      <c r="H322" s="408">
        <f t="shared" si="5"/>
        <v>-1.1284393363636367</v>
      </c>
      <c r="I322" s="408">
        <f t="shared" si="5"/>
        <v>-1.1790806727272729</v>
      </c>
      <c r="J322" s="408">
        <f t="shared" si="5"/>
        <v>-0.99049138181818197</v>
      </c>
      <c r="K322" s="408">
        <f t="shared" si="5"/>
        <v>-0.84750907272727183</v>
      </c>
      <c r="L322" s="408">
        <f t="shared" si="5"/>
        <v>-0.72554061818181781</v>
      </c>
      <c r="M322" s="408">
        <f t="shared" si="5"/>
        <v>-0.61831020909090872</v>
      </c>
    </row>
    <row r="324" spans="1:13">
      <c r="A324" s="306" t="s">
        <v>348</v>
      </c>
      <c r="B324" t="s">
        <v>700</v>
      </c>
    </row>
    <row r="325" spans="1:13">
      <c r="A325" s="413">
        <v>45576</v>
      </c>
      <c r="B325" t="s">
        <v>701</v>
      </c>
    </row>
    <row r="326" spans="1:13">
      <c r="A326" s="413">
        <v>45590</v>
      </c>
      <c r="B326" t="s">
        <v>702</v>
      </c>
    </row>
    <row r="327" spans="1:13">
      <c r="A327" s="413">
        <v>45618</v>
      </c>
      <c r="B327" t="s">
        <v>703</v>
      </c>
      <c r="C327">
        <f>A327-A325</f>
        <v>42</v>
      </c>
      <c r="D327">
        <f>C327/7</f>
        <v>6</v>
      </c>
    </row>
    <row r="329" spans="1:13">
      <c r="A329" s="306" t="s">
        <v>704</v>
      </c>
      <c r="B329" t="s">
        <v>705</v>
      </c>
    </row>
    <row r="330" spans="1:13">
      <c r="A330" s="413">
        <f>A332-C327</f>
        <v>45315</v>
      </c>
      <c r="B330" t="s">
        <v>701</v>
      </c>
    </row>
    <row r="331" spans="1:13">
      <c r="A331" s="413">
        <v>45336</v>
      </c>
      <c r="B331" t="s">
        <v>706</v>
      </c>
    </row>
    <row r="332" spans="1:13">
      <c r="A332" s="413">
        <v>45357</v>
      </c>
      <c r="B332" t="s">
        <v>707</v>
      </c>
    </row>
  </sheetData>
  <pageMargins left="0.7" right="0.7"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2B081-18E6-4F6A-8731-03822013E844}">
  <dimension ref="A1:A2"/>
  <sheetViews>
    <sheetView workbookViewId="0">
      <selection activeCell="A2" sqref="A2"/>
    </sheetView>
  </sheetViews>
  <sheetFormatPr defaultRowHeight="15"/>
  <cols>
    <col min="1" max="16" width="9.140625" style="529"/>
    <col min="17" max="17" width="15.5703125" style="529" customWidth="1"/>
    <col min="18" max="18" width="17" style="529" customWidth="1"/>
    <col min="19" max="20" width="16.140625" style="529" customWidth="1"/>
    <col min="21" max="21" width="16.42578125" style="529" customWidth="1"/>
    <col min="22" max="22" width="15.42578125" style="529" customWidth="1"/>
    <col min="23" max="16384" width="9.140625" style="529"/>
  </cols>
  <sheetData>
    <row r="1" spans="1:1">
      <c r="A1" s="531"/>
    </row>
    <row r="2" spans="1:1">
      <c r="A2" s="530"/>
    </row>
  </sheetData>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1E82-3726-4502-8054-D5C5A583AAA6}">
  <dimension ref="A1:C318"/>
  <sheetViews>
    <sheetView workbookViewId="0">
      <pane xSplit="2" ySplit="6" topLeftCell="C288" activePane="bottomRight" state="frozen"/>
      <selection pane="topRight" activeCell="C1" sqref="C1"/>
      <selection pane="bottomLeft" activeCell="A7" sqref="A7"/>
      <selection pane="bottomRight" activeCell="C316" sqref="C316"/>
    </sheetView>
  </sheetViews>
  <sheetFormatPr defaultColWidth="9.140625" defaultRowHeight="15"/>
  <cols>
    <col min="1" max="1" width="9" style="534" customWidth="1"/>
    <col min="2" max="2" width="9.140625" style="534"/>
    <col min="3" max="3" width="17.5703125" style="534" bestFit="1" customWidth="1"/>
    <col min="4" max="16384" width="9.140625" style="534"/>
  </cols>
  <sheetData>
    <row r="1" spans="1:3">
      <c r="C1" s="535" t="str">
        <f>[3]GMWQ!LR2</f>
        <v>JAN029A.db</v>
      </c>
    </row>
    <row r="2" spans="1:3">
      <c r="C2" s="534" t="s">
        <v>1100</v>
      </c>
    </row>
    <row r="3" spans="1:3">
      <c r="C3" s="534" t="s">
        <v>1098</v>
      </c>
    </row>
    <row r="4" spans="1:3">
      <c r="C4" s="534" t="s">
        <v>1097</v>
      </c>
    </row>
    <row r="5" spans="1:3">
      <c r="C5" s="534" t="s">
        <v>1101</v>
      </c>
    </row>
    <row r="6" spans="1:3">
      <c r="B6" s="534">
        <f>B318+5</f>
        <v>2289</v>
      </c>
      <c r="C6" s="536" t="str" cm="1">
        <f t="array" ref="C6">_xlfn.CONCAT(INDEX(GMW!$A$2:$LR$60,MATCH(1,(GMW!$LQ$2:$LQ$60=C$3)*(GMW!$LP$2:$LP$60=C$4),0),$B6-1966),"0",(INDEX(GMW!$A$2:$LR$60,MATCH(1,(GMW!$LQ$2:$LQ$60=C$3)*(GMW!$LP$2:$LP$60=C$4),0),$B6-1965)))</f>
        <v>202102</v>
      </c>
    </row>
    <row r="7" spans="1:3">
      <c r="A7" s="534">
        <v>197301</v>
      </c>
      <c r="B7" s="534">
        <v>1973</v>
      </c>
      <c r="C7" s="534" cm="1">
        <f t="array" ref="C7">INDEX(GMW!$A$2:$LR$60,MATCH(1,(GMW!$LQ$2:$LQ$60=C$3)*(GMW!$LP$2:$LP$60=C$4),0),$B7-1966)</f>
        <v>56191.5</v>
      </c>
    </row>
    <row r="8" spans="1:3">
      <c r="A8" s="534">
        <f>+A7+1</f>
        <v>197302</v>
      </c>
      <c r="B8" s="534">
        <f>+B7+1</f>
        <v>1974</v>
      </c>
      <c r="C8" s="534" cm="1">
        <f t="array" ref="C8">INDEX(GMW!$A$2:$LR$60,MATCH(1,(GMW!$LQ$2:$LQ$60=C$3)*(GMW!$LP$2:$LP$60=C$4),0),$B8-1966)</f>
        <v>56223</v>
      </c>
    </row>
    <row r="9" spans="1:3">
      <c r="A9" s="534">
        <f>+A8+1</f>
        <v>197303</v>
      </c>
      <c r="B9" s="534">
        <f t="shared" ref="B9:B47" si="0">+B8+1</f>
        <v>1975</v>
      </c>
      <c r="C9" s="534" cm="1">
        <f t="array" ref="C9">INDEX(GMW!$A$2:$LR$60,MATCH(1,(GMW!$LQ$2:$LQ$60=C$3)*(GMW!$LP$2:$LP$60=C$4),0),$B9-1966)</f>
        <v>56226.25</v>
      </c>
    </row>
    <row r="10" spans="1:3">
      <c r="A10" s="534">
        <f>+A9+1</f>
        <v>197304</v>
      </c>
      <c r="B10" s="534">
        <f t="shared" si="0"/>
        <v>1976</v>
      </c>
      <c r="C10" s="534" cm="1">
        <f t="array" ref="C10">INDEX(GMW!$A$2:$LR$60,MATCH(1,(GMW!$LQ$2:$LQ$60=C$3)*(GMW!$LP$2:$LP$60=C$4),0),$B10-1966)</f>
        <v>56229.5</v>
      </c>
    </row>
    <row r="11" spans="1:3">
      <c r="A11" s="534">
        <f>+A7+100</f>
        <v>197401</v>
      </c>
      <c r="B11" s="534">
        <f t="shared" si="0"/>
        <v>1977</v>
      </c>
      <c r="C11" s="534" cm="1">
        <f t="array" ref="C11">INDEX(GMW!$A$2:$LR$60,MATCH(1,(GMW!$LQ$2:$LQ$60=C$3)*(GMW!$LP$2:$LP$60=C$4),0),$B11-1966)</f>
        <v>56232.75</v>
      </c>
    </row>
    <row r="12" spans="1:3">
      <c r="A12" s="534">
        <f t="shared" ref="A12:A75" si="1">+A8+100</f>
        <v>197402</v>
      </c>
      <c r="B12" s="534">
        <f t="shared" si="0"/>
        <v>1978</v>
      </c>
      <c r="C12" s="534" cm="1">
        <f t="array" ref="C12">INDEX(GMW!$A$2:$LR$60,MATCH(1,(GMW!$LQ$2:$LQ$60=C$3)*(GMW!$LP$2:$LP$60=C$4),0),$B12-1966)</f>
        <v>56236</v>
      </c>
    </row>
    <row r="13" spans="1:3">
      <c r="A13" s="534">
        <f t="shared" si="1"/>
        <v>197403</v>
      </c>
      <c r="B13" s="534">
        <f t="shared" si="0"/>
        <v>1979</v>
      </c>
      <c r="C13" s="534" cm="1">
        <f t="array" ref="C13">INDEX(GMW!$A$2:$LR$60,MATCH(1,(GMW!$LQ$2:$LQ$60=C$3)*(GMW!$LP$2:$LP$60=C$4),0),$B13-1966)</f>
        <v>56233.5</v>
      </c>
    </row>
    <row r="14" spans="1:3">
      <c r="A14" s="534">
        <f t="shared" si="1"/>
        <v>197404</v>
      </c>
      <c r="B14" s="534">
        <f t="shared" si="0"/>
        <v>1980</v>
      </c>
      <c r="C14" s="534" cm="1">
        <f t="array" ref="C14">INDEX(GMW!$A$2:$LR$60,MATCH(1,(GMW!$LQ$2:$LQ$60=C$3)*(GMW!$LP$2:$LP$60=C$4),0),$B14-1966)</f>
        <v>56231</v>
      </c>
    </row>
    <row r="15" spans="1:3">
      <c r="A15" s="534">
        <f t="shared" si="1"/>
        <v>197501</v>
      </c>
      <c r="B15" s="534">
        <f t="shared" si="0"/>
        <v>1981</v>
      </c>
      <c r="C15" s="534" cm="1">
        <f t="array" ref="C15">INDEX(GMW!$A$2:$LR$60,MATCH(1,(GMW!$LQ$2:$LQ$60=C$3)*(GMW!$LP$2:$LP$60=C$4),0),$B15-1966)</f>
        <v>56228.5</v>
      </c>
    </row>
    <row r="16" spans="1:3">
      <c r="A16" s="534">
        <f t="shared" si="1"/>
        <v>197502</v>
      </c>
      <c r="B16" s="534">
        <f t="shared" si="0"/>
        <v>1982</v>
      </c>
      <c r="C16" s="534" cm="1">
        <f t="array" ref="C16">INDEX(GMW!$A$2:$LR$60,MATCH(1,(GMW!$LQ$2:$LQ$60=C$3)*(GMW!$LP$2:$LP$60=C$4),0),$B16-1966)</f>
        <v>56226</v>
      </c>
    </row>
    <row r="17" spans="1:3">
      <c r="A17" s="534">
        <f t="shared" si="1"/>
        <v>197503</v>
      </c>
      <c r="B17" s="534">
        <f t="shared" si="0"/>
        <v>1983</v>
      </c>
      <c r="C17" s="534" cm="1">
        <f t="array" ref="C17">INDEX(GMW!$A$2:$LR$60,MATCH(1,(GMW!$LQ$2:$LQ$60=C$3)*(GMW!$LP$2:$LP$60=C$4),0),$B17-1966)</f>
        <v>56223.5</v>
      </c>
    </row>
    <row r="18" spans="1:3">
      <c r="A18" s="534">
        <f t="shared" si="1"/>
        <v>197504</v>
      </c>
      <c r="B18" s="534">
        <f t="shared" si="0"/>
        <v>1984</v>
      </c>
      <c r="C18" s="534" cm="1">
        <f t="array" ref="C18">INDEX(GMW!$A$2:$LR$60,MATCH(1,(GMW!$LQ$2:$LQ$60=C$3)*(GMW!$LP$2:$LP$60=C$4),0),$B18-1966)</f>
        <v>56221</v>
      </c>
    </row>
    <row r="19" spans="1:3">
      <c r="A19" s="534">
        <f t="shared" si="1"/>
        <v>197601</v>
      </c>
      <c r="B19" s="534">
        <f t="shared" si="0"/>
        <v>1985</v>
      </c>
      <c r="C19" s="534" cm="1">
        <f t="array" ref="C19">INDEX(GMW!$A$2:$LR$60,MATCH(1,(GMW!$LQ$2:$LQ$60=C$3)*(GMW!$LP$2:$LP$60=C$4),0),$B19-1966)</f>
        <v>56218.5</v>
      </c>
    </row>
    <row r="20" spans="1:3">
      <c r="A20" s="534">
        <f t="shared" si="1"/>
        <v>197602</v>
      </c>
      <c r="B20" s="534">
        <f t="shared" si="0"/>
        <v>1986</v>
      </c>
      <c r="C20" s="534" cm="1">
        <f t="array" ref="C20">INDEX(GMW!$A$2:$LR$60,MATCH(1,(GMW!$LQ$2:$LQ$60=C$3)*(GMW!$LP$2:$LP$60=C$4),0),$B20-1966)</f>
        <v>56216</v>
      </c>
    </row>
    <row r="21" spans="1:3">
      <c r="A21" s="534">
        <f t="shared" si="1"/>
        <v>197603</v>
      </c>
      <c r="B21" s="534">
        <f t="shared" si="0"/>
        <v>1987</v>
      </c>
      <c r="C21" s="534" cm="1">
        <f t="array" ref="C21">INDEX(GMW!$A$2:$LR$60,MATCH(1,(GMW!$LQ$2:$LQ$60=C$3)*(GMW!$LP$2:$LP$60=C$4),0),$B21-1966)</f>
        <v>56209.5</v>
      </c>
    </row>
    <row r="22" spans="1:3">
      <c r="A22" s="534">
        <f t="shared" si="1"/>
        <v>197604</v>
      </c>
      <c r="B22" s="534">
        <f t="shared" si="0"/>
        <v>1988</v>
      </c>
      <c r="C22" s="534" cm="1">
        <f t="array" ref="C22">INDEX(GMW!$A$2:$LR$60,MATCH(1,(GMW!$LQ$2:$LQ$60=C$3)*(GMW!$LP$2:$LP$60=C$4),0),$B22-1966)</f>
        <v>56203</v>
      </c>
    </row>
    <row r="23" spans="1:3">
      <c r="A23" s="534">
        <f t="shared" si="1"/>
        <v>197701</v>
      </c>
      <c r="B23" s="534">
        <f t="shared" si="0"/>
        <v>1989</v>
      </c>
      <c r="C23" s="534" cm="1">
        <f t="array" ref="C23">INDEX(GMW!$A$2:$LR$60,MATCH(1,(GMW!$LQ$2:$LQ$60=C$3)*(GMW!$LP$2:$LP$60=C$4),0),$B23-1966)</f>
        <v>56196.5</v>
      </c>
    </row>
    <row r="24" spans="1:3">
      <c r="A24" s="534">
        <f t="shared" si="1"/>
        <v>197702</v>
      </c>
      <c r="B24" s="534">
        <f t="shared" si="0"/>
        <v>1990</v>
      </c>
      <c r="C24" s="534" cm="1">
        <f t="array" ref="C24">INDEX(GMW!$A$2:$LR$60,MATCH(1,(GMW!$LQ$2:$LQ$60=C$3)*(GMW!$LP$2:$LP$60=C$4),0),$B24-1966)</f>
        <v>56190</v>
      </c>
    </row>
    <row r="25" spans="1:3">
      <c r="A25" s="534">
        <f t="shared" si="1"/>
        <v>197703</v>
      </c>
      <c r="B25" s="534">
        <f t="shared" si="0"/>
        <v>1991</v>
      </c>
      <c r="C25" s="534" cm="1">
        <f t="array" ref="C25">INDEX(GMW!$A$2:$LR$60,MATCH(1,(GMW!$LQ$2:$LQ$60=C$3)*(GMW!$LP$2:$LP$60=C$4),0),$B25-1966)</f>
        <v>56187</v>
      </c>
    </row>
    <row r="26" spans="1:3">
      <c r="A26" s="534">
        <f t="shared" si="1"/>
        <v>197704</v>
      </c>
      <c r="B26" s="534">
        <f t="shared" si="0"/>
        <v>1992</v>
      </c>
      <c r="C26" s="534" cm="1">
        <f t="array" ref="C26">INDEX(GMW!$A$2:$LR$60,MATCH(1,(GMW!$LQ$2:$LQ$60=C$3)*(GMW!$LP$2:$LP$60=C$4),0),$B26-1966)</f>
        <v>56184</v>
      </c>
    </row>
    <row r="27" spans="1:3">
      <c r="A27" s="534">
        <f t="shared" si="1"/>
        <v>197801</v>
      </c>
      <c r="B27" s="534">
        <f t="shared" si="0"/>
        <v>1993</v>
      </c>
      <c r="C27" s="534" cm="1">
        <f t="array" ref="C27">INDEX(GMW!$A$2:$LR$60,MATCH(1,(GMW!$LQ$2:$LQ$60=C$3)*(GMW!$LP$2:$LP$60=C$4),0),$B27-1966)</f>
        <v>56181</v>
      </c>
    </row>
    <row r="28" spans="1:3">
      <c r="A28" s="534">
        <f t="shared" si="1"/>
        <v>197802</v>
      </c>
      <c r="B28" s="534">
        <f t="shared" si="0"/>
        <v>1994</v>
      </c>
      <c r="C28" s="534" cm="1">
        <f t="array" ref="C28">INDEX(GMW!$A$2:$LR$60,MATCH(1,(GMW!$LQ$2:$LQ$60=C$3)*(GMW!$LP$2:$LP$60=C$4),0),$B28-1966)</f>
        <v>56178</v>
      </c>
    </row>
    <row r="29" spans="1:3">
      <c r="A29" s="534">
        <f t="shared" si="1"/>
        <v>197803</v>
      </c>
      <c r="B29" s="534">
        <f t="shared" si="0"/>
        <v>1995</v>
      </c>
      <c r="C29" s="534" cm="1">
        <f t="array" ref="C29">INDEX(GMW!$A$2:$LR$60,MATCH(1,(GMW!$LQ$2:$LQ$60=C$3)*(GMW!$LP$2:$LP$60=C$4),0),$B29-1966)</f>
        <v>56193.5</v>
      </c>
    </row>
    <row r="30" spans="1:3">
      <c r="A30" s="534">
        <f t="shared" si="1"/>
        <v>197804</v>
      </c>
      <c r="B30" s="534">
        <f t="shared" si="0"/>
        <v>1996</v>
      </c>
      <c r="C30" s="534" cm="1">
        <f t="array" ref="C30">INDEX(GMW!$A$2:$LR$60,MATCH(1,(GMW!$LQ$2:$LQ$60=C$3)*(GMW!$LP$2:$LP$60=C$4),0),$B30-1966)</f>
        <v>56209</v>
      </c>
    </row>
    <row r="31" spans="1:3">
      <c r="A31" s="534">
        <f t="shared" si="1"/>
        <v>197901</v>
      </c>
      <c r="B31" s="534">
        <f t="shared" si="0"/>
        <v>1997</v>
      </c>
      <c r="C31" s="534" cm="1">
        <f t="array" ref="C31">INDEX(GMW!$A$2:$LR$60,MATCH(1,(GMW!$LQ$2:$LQ$60=C$3)*(GMW!$LP$2:$LP$60=C$4),0),$B31-1966)</f>
        <v>56224.5</v>
      </c>
    </row>
    <row r="32" spans="1:3">
      <c r="A32" s="534">
        <f t="shared" si="1"/>
        <v>197902</v>
      </c>
      <c r="B32" s="534">
        <f t="shared" si="0"/>
        <v>1998</v>
      </c>
      <c r="C32" s="534" cm="1">
        <f t="array" ref="C32">INDEX(GMW!$A$2:$LR$60,MATCH(1,(GMW!$LQ$2:$LQ$60=C$3)*(GMW!$LP$2:$LP$60=C$4),0),$B32-1966)</f>
        <v>56240</v>
      </c>
    </row>
    <row r="33" spans="1:3">
      <c r="A33" s="534">
        <f t="shared" si="1"/>
        <v>197903</v>
      </c>
      <c r="B33" s="534">
        <f t="shared" si="0"/>
        <v>1999</v>
      </c>
      <c r="C33" s="534" cm="1">
        <f t="array" ref="C33">INDEX(GMW!$A$2:$LR$60,MATCH(1,(GMW!$LQ$2:$LQ$60=C$3)*(GMW!$LP$2:$LP$60=C$4),0),$B33-1966)</f>
        <v>56262.5</v>
      </c>
    </row>
    <row r="34" spans="1:3">
      <c r="A34" s="534">
        <f t="shared" si="1"/>
        <v>197904</v>
      </c>
      <c r="B34" s="534">
        <f t="shared" si="0"/>
        <v>2000</v>
      </c>
      <c r="C34" s="534" cm="1">
        <f t="array" ref="C34">INDEX(GMW!$A$2:$LR$60,MATCH(1,(GMW!$LQ$2:$LQ$60=C$3)*(GMW!$LP$2:$LP$60=C$4),0),$B34-1966)</f>
        <v>56285</v>
      </c>
    </row>
    <row r="35" spans="1:3">
      <c r="A35" s="534">
        <f t="shared" si="1"/>
        <v>198001</v>
      </c>
      <c r="B35" s="534">
        <f t="shared" si="0"/>
        <v>2001</v>
      </c>
      <c r="C35" s="534" cm="1">
        <f t="array" ref="C35">INDEX(GMW!$A$2:$LR$60,MATCH(1,(GMW!$LQ$2:$LQ$60=C$3)*(GMW!$LP$2:$LP$60=C$4),0),$B35-1966)</f>
        <v>56307.5</v>
      </c>
    </row>
    <row r="36" spans="1:3">
      <c r="A36" s="534">
        <f t="shared" si="1"/>
        <v>198002</v>
      </c>
      <c r="B36" s="534">
        <f t="shared" si="0"/>
        <v>2002</v>
      </c>
      <c r="C36" s="534" cm="1">
        <f t="array" ref="C36">INDEX(GMW!$A$2:$LR$60,MATCH(1,(GMW!$LQ$2:$LQ$60=C$3)*(GMW!$LP$2:$LP$60=C$4),0),$B36-1966)</f>
        <v>56330</v>
      </c>
    </row>
    <row r="37" spans="1:3">
      <c r="A37" s="534">
        <f t="shared" si="1"/>
        <v>198003</v>
      </c>
      <c r="B37" s="534">
        <f t="shared" si="0"/>
        <v>2003</v>
      </c>
      <c r="C37" s="534" cm="1">
        <f t="array" ref="C37">INDEX(GMW!$A$2:$LR$60,MATCH(1,(GMW!$LQ$2:$LQ$60=C$3)*(GMW!$LP$2:$LP$60=C$4),0),$B37-1966)</f>
        <v>56337</v>
      </c>
    </row>
    <row r="38" spans="1:3">
      <c r="A38" s="534">
        <f t="shared" si="1"/>
        <v>198004</v>
      </c>
      <c r="B38" s="534">
        <f t="shared" si="0"/>
        <v>2004</v>
      </c>
      <c r="C38" s="534" cm="1">
        <f t="array" ref="C38">INDEX(GMW!$A$2:$LR$60,MATCH(1,(GMW!$LQ$2:$LQ$60=C$3)*(GMW!$LP$2:$LP$60=C$4),0),$B38-1966)</f>
        <v>56344</v>
      </c>
    </row>
    <row r="39" spans="1:3">
      <c r="A39" s="534">
        <f t="shared" si="1"/>
        <v>198101</v>
      </c>
      <c r="B39" s="534">
        <f t="shared" si="0"/>
        <v>2005</v>
      </c>
      <c r="C39" s="534" cm="1">
        <f t="array" ref="C39">INDEX(GMW!$A$2:$LR$60,MATCH(1,(GMW!$LQ$2:$LQ$60=C$3)*(GMW!$LP$2:$LP$60=C$4),0),$B39-1966)</f>
        <v>56351</v>
      </c>
    </row>
    <row r="40" spans="1:3">
      <c r="A40" s="534">
        <f t="shared" si="1"/>
        <v>198102</v>
      </c>
      <c r="B40" s="534">
        <f t="shared" si="0"/>
        <v>2006</v>
      </c>
      <c r="C40" s="534" cm="1">
        <f t="array" ref="C40">INDEX(GMW!$A$2:$LR$60,MATCH(1,(GMW!$LQ$2:$LQ$60=C$3)*(GMW!$LP$2:$LP$60=C$4),0),$B40-1966)</f>
        <v>56358</v>
      </c>
    </row>
    <row r="41" spans="1:3">
      <c r="A41" s="534">
        <f t="shared" si="1"/>
        <v>198103</v>
      </c>
      <c r="B41" s="534">
        <f t="shared" si="0"/>
        <v>2007</v>
      </c>
      <c r="C41" s="534" cm="1">
        <f t="array" ref="C41">INDEX(GMW!$A$2:$LR$60,MATCH(1,(GMW!$LQ$2:$LQ$60=C$3)*(GMW!$LP$2:$LP$60=C$4),0),$B41-1966)</f>
        <v>56341.25</v>
      </c>
    </row>
    <row r="42" spans="1:3">
      <c r="A42" s="534">
        <f t="shared" si="1"/>
        <v>198104</v>
      </c>
      <c r="B42" s="534">
        <f t="shared" si="0"/>
        <v>2008</v>
      </c>
      <c r="C42" s="534" cm="1">
        <f t="array" ref="C42">INDEX(GMW!$A$2:$LR$60,MATCH(1,(GMW!$LQ$2:$LQ$60=C$3)*(GMW!$LP$2:$LP$60=C$4),0),$B42-1966)</f>
        <v>56324.5</v>
      </c>
    </row>
    <row r="43" spans="1:3">
      <c r="A43" s="534">
        <f t="shared" si="1"/>
        <v>198201</v>
      </c>
      <c r="B43" s="534">
        <f t="shared" si="0"/>
        <v>2009</v>
      </c>
      <c r="C43" s="534" cm="1">
        <f t="array" ref="C43">INDEX(GMW!$A$2:$LR$60,MATCH(1,(GMW!$LQ$2:$LQ$60=C$3)*(GMW!$LP$2:$LP$60=C$4),0),$B43-1966)</f>
        <v>56307.75</v>
      </c>
    </row>
    <row r="44" spans="1:3">
      <c r="A44" s="534">
        <f t="shared" si="1"/>
        <v>198202</v>
      </c>
      <c r="B44" s="534">
        <f t="shared" si="0"/>
        <v>2010</v>
      </c>
      <c r="C44" s="534" cm="1">
        <f t="array" ref="C44">INDEX(GMW!$A$2:$LR$60,MATCH(1,(GMW!$LQ$2:$LQ$60=C$3)*(GMW!$LP$2:$LP$60=C$4),0),$B44-1966)</f>
        <v>56291</v>
      </c>
    </row>
    <row r="45" spans="1:3">
      <c r="A45" s="534">
        <f t="shared" si="1"/>
        <v>198203</v>
      </c>
      <c r="B45" s="534">
        <f t="shared" si="0"/>
        <v>2011</v>
      </c>
      <c r="C45" s="534" cm="1">
        <f t="array" ref="C45">INDEX(GMW!$A$2:$LR$60,MATCH(1,(GMW!$LQ$2:$LQ$60=C$3)*(GMW!$LP$2:$LP$60=C$4),0),$B45-1966)</f>
        <v>56297.25</v>
      </c>
    </row>
    <row r="46" spans="1:3">
      <c r="A46" s="534">
        <f t="shared" si="1"/>
        <v>198204</v>
      </c>
      <c r="B46" s="534">
        <f t="shared" si="0"/>
        <v>2012</v>
      </c>
      <c r="C46" s="534" cm="1">
        <f t="array" ref="C46">INDEX(GMW!$A$2:$LR$60,MATCH(1,(GMW!$LQ$2:$LQ$60=C$3)*(GMW!$LP$2:$LP$60=C$4),0),$B46-1966)</f>
        <v>56303.5</v>
      </c>
    </row>
    <row r="47" spans="1:3">
      <c r="A47" s="534">
        <f t="shared" si="1"/>
        <v>198301</v>
      </c>
      <c r="B47" s="534">
        <f t="shared" si="0"/>
        <v>2013</v>
      </c>
      <c r="C47" s="534" cm="1">
        <f t="array" ref="C47">INDEX(GMW!$A$2:$LR$60,MATCH(1,(GMW!$LQ$2:$LQ$60=C$3)*(GMW!$LP$2:$LP$60=C$4),0),$B47-1966)</f>
        <v>56309.75</v>
      </c>
    </row>
    <row r="48" spans="1:3">
      <c r="A48" s="534">
        <f t="shared" si="1"/>
        <v>198302</v>
      </c>
      <c r="B48" s="534">
        <f>+B47+1</f>
        <v>2014</v>
      </c>
      <c r="C48" s="534" cm="1">
        <f t="array" ref="C48">INDEX(GMW!$A$2:$LR$60,MATCH(1,(GMW!$LQ$2:$LQ$60=C$3)*(GMW!$LP$2:$LP$60=C$4),0),$B48-1966)</f>
        <v>56316</v>
      </c>
    </row>
    <row r="49" spans="1:3">
      <c r="A49" s="534">
        <f t="shared" si="1"/>
        <v>198303</v>
      </c>
      <c r="B49" s="534">
        <f t="shared" ref="B49:B112" si="2">+B48+1</f>
        <v>2015</v>
      </c>
      <c r="C49" s="534" cm="1">
        <f t="array" ref="C49">INDEX(GMW!$A$2:$LR$60,MATCH(1,(GMW!$LQ$2:$LQ$60=C$3)*(GMW!$LP$2:$LP$60=C$4),0),$B49-1966)</f>
        <v>56339.25</v>
      </c>
    </row>
    <row r="50" spans="1:3">
      <c r="A50" s="534">
        <f t="shared" si="1"/>
        <v>198304</v>
      </c>
      <c r="B50" s="534">
        <f t="shared" si="2"/>
        <v>2016</v>
      </c>
      <c r="C50" s="534" cm="1">
        <f t="array" ref="C50">INDEX(GMW!$A$2:$LR$60,MATCH(1,(GMW!$LQ$2:$LQ$60=C$3)*(GMW!$LP$2:$LP$60=C$4),0),$B50-1966)</f>
        <v>56362.5</v>
      </c>
    </row>
    <row r="51" spans="1:3">
      <c r="A51" s="534">
        <f t="shared" si="1"/>
        <v>198401</v>
      </c>
      <c r="B51" s="534">
        <f t="shared" si="2"/>
        <v>2017</v>
      </c>
      <c r="C51" s="534" cm="1">
        <f t="array" ref="C51">INDEX(GMW!$A$2:$LR$60,MATCH(1,(GMW!$LQ$2:$LQ$60=C$3)*(GMW!$LP$2:$LP$60=C$4),0),$B51-1966)</f>
        <v>56385.75</v>
      </c>
    </row>
    <row r="52" spans="1:3">
      <c r="A52" s="534">
        <f t="shared" si="1"/>
        <v>198402</v>
      </c>
      <c r="B52" s="534">
        <f t="shared" si="2"/>
        <v>2018</v>
      </c>
      <c r="C52" s="534" cm="1">
        <f t="array" ref="C52">INDEX(GMW!$A$2:$LR$60,MATCH(1,(GMW!$LQ$2:$LQ$60=C$3)*(GMW!$LP$2:$LP$60=C$4),0),$B52-1966)</f>
        <v>56409</v>
      </c>
    </row>
    <row r="53" spans="1:3">
      <c r="A53" s="534">
        <f t="shared" si="1"/>
        <v>198403</v>
      </c>
      <c r="B53" s="534">
        <f t="shared" si="2"/>
        <v>2019</v>
      </c>
      <c r="C53" s="534" cm="1">
        <f t="array" ref="C53">INDEX(GMW!$A$2:$LR$60,MATCH(1,(GMW!$LQ$2:$LQ$60=C$3)*(GMW!$LP$2:$LP$60=C$4),0),$B53-1966)</f>
        <v>56445.25</v>
      </c>
    </row>
    <row r="54" spans="1:3">
      <c r="A54" s="534">
        <f t="shared" si="1"/>
        <v>198404</v>
      </c>
      <c r="B54" s="534">
        <f t="shared" si="2"/>
        <v>2020</v>
      </c>
      <c r="C54" s="534" cm="1">
        <f t="array" ref="C54">INDEX(GMW!$A$2:$LR$60,MATCH(1,(GMW!$LQ$2:$LQ$60=C$3)*(GMW!$LP$2:$LP$60=C$4),0),$B54-1966)</f>
        <v>56481.5</v>
      </c>
    </row>
    <row r="55" spans="1:3">
      <c r="A55" s="534">
        <f t="shared" si="1"/>
        <v>198501</v>
      </c>
      <c r="B55" s="534">
        <f t="shared" si="2"/>
        <v>2021</v>
      </c>
      <c r="C55" s="534" cm="1">
        <f t="array" ref="C55">INDEX(GMW!$A$2:$LR$60,MATCH(1,(GMW!$LQ$2:$LQ$60=C$3)*(GMW!$LP$2:$LP$60=C$4),0),$B55-1966)</f>
        <v>56517.75</v>
      </c>
    </row>
    <row r="56" spans="1:3">
      <c r="A56" s="534">
        <f t="shared" si="1"/>
        <v>198502</v>
      </c>
      <c r="B56" s="534">
        <f t="shared" si="2"/>
        <v>2022</v>
      </c>
      <c r="C56" s="534" cm="1">
        <f t="array" ref="C56">INDEX(GMW!$A$2:$LR$60,MATCH(1,(GMW!$LQ$2:$LQ$60=C$3)*(GMW!$LP$2:$LP$60=C$4),0),$B56-1966)</f>
        <v>56554</v>
      </c>
    </row>
    <row r="57" spans="1:3">
      <c r="A57" s="534">
        <f t="shared" si="1"/>
        <v>198503</v>
      </c>
      <c r="B57" s="534">
        <f t="shared" si="2"/>
        <v>2023</v>
      </c>
      <c r="C57" s="534" cm="1">
        <f t="array" ref="C57">INDEX(GMW!$A$2:$LR$60,MATCH(1,(GMW!$LQ$2:$LQ$60=C$3)*(GMW!$LP$2:$LP$60=C$4),0),$B57-1966)</f>
        <v>56586.5</v>
      </c>
    </row>
    <row r="58" spans="1:3">
      <c r="A58" s="534">
        <f t="shared" si="1"/>
        <v>198504</v>
      </c>
      <c r="B58" s="534">
        <f t="shared" si="2"/>
        <v>2024</v>
      </c>
      <c r="C58" s="534" cm="1">
        <f t="array" ref="C58">INDEX(GMW!$A$2:$LR$60,MATCH(1,(GMW!$LQ$2:$LQ$60=C$3)*(GMW!$LP$2:$LP$60=C$4),0),$B58-1966)</f>
        <v>56619</v>
      </c>
    </row>
    <row r="59" spans="1:3">
      <c r="A59" s="534">
        <f t="shared" si="1"/>
        <v>198601</v>
      </c>
      <c r="B59" s="534">
        <f t="shared" si="2"/>
        <v>2025</v>
      </c>
      <c r="C59" s="534" cm="1">
        <f t="array" ref="C59">INDEX(GMW!$A$2:$LR$60,MATCH(1,(GMW!$LQ$2:$LQ$60=C$3)*(GMW!$LP$2:$LP$60=C$4),0),$B59-1966)</f>
        <v>56651.5</v>
      </c>
    </row>
    <row r="60" spans="1:3">
      <c r="A60" s="534">
        <f t="shared" si="1"/>
        <v>198602</v>
      </c>
      <c r="B60" s="534">
        <f t="shared" si="2"/>
        <v>2026</v>
      </c>
      <c r="C60" s="534" cm="1">
        <f t="array" ref="C60">INDEX(GMW!$A$2:$LR$60,MATCH(1,(GMW!$LQ$2:$LQ$60=C$3)*(GMW!$LP$2:$LP$60=C$4),0),$B60-1966)</f>
        <v>56684</v>
      </c>
    </row>
    <row r="61" spans="1:3">
      <c r="A61" s="534">
        <f t="shared" si="1"/>
        <v>198603</v>
      </c>
      <c r="B61" s="534">
        <f t="shared" si="2"/>
        <v>2027</v>
      </c>
      <c r="C61" s="534" cm="1">
        <f t="array" ref="C61">INDEX(GMW!$A$2:$LR$60,MATCH(1,(GMW!$LQ$2:$LQ$60=C$3)*(GMW!$LP$2:$LP$60=C$4),0),$B61-1966)</f>
        <v>56714</v>
      </c>
    </row>
    <row r="62" spans="1:3">
      <c r="A62" s="534">
        <f t="shared" si="1"/>
        <v>198604</v>
      </c>
      <c r="B62" s="534">
        <f t="shared" si="2"/>
        <v>2028</v>
      </c>
      <c r="C62" s="534" cm="1">
        <f t="array" ref="C62">INDEX(GMW!$A$2:$LR$60,MATCH(1,(GMW!$LQ$2:$LQ$60=C$3)*(GMW!$LP$2:$LP$60=C$4),0),$B62-1966)</f>
        <v>56744</v>
      </c>
    </row>
    <row r="63" spans="1:3">
      <c r="A63" s="534">
        <f t="shared" si="1"/>
        <v>198701</v>
      </c>
      <c r="B63" s="534">
        <f t="shared" si="2"/>
        <v>2029</v>
      </c>
      <c r="C63" s="534" cm="1">
        <f t="array" ref="C63">INDEX(GMW!$A$2:$LR$60,MATCH(1,(GMW!$LQ$2:$LQ$60=C$3)*(GMW!$LP$2:$LP$60=C$4),0),$B63-1966)</f>
        <v>56774</v>
      </c>
    </row>
    <row r="64" spans="1:3">
      <c r="A64" s="534">
        <f t="shared" si="1"/>
        <v>198702</v>
      </c>
      <c r="B64" s="534">
        <f t="shared" si="2"/>
        <v>2030</v>
      </c>
      <c r="C64" s="534" cm="1">
        <f t="array" ref="C64">INDEX(GMW!$A$2:$LR$60,MATCH(1,(GMW!$LQ$2:$LQ$60=C$3)*(GMW!$LP$2:$LP$60=C$4),0),$B64-1966)</f>
        <v>56804</v>
      </c>
    </row>
    <row r="65" spans="1:3">
      <c r="A65" s="534">
        <f t="shared" si="1"/>
        <v>198703</v>
      </c>
      <c r="B65" s="534">
        <f t="shared" si="2"/>
        <v>2031</v>
      </c>
      <c r="C65" s="534" cm="1">
        <f t="array" ref="C65">INDEX(GMW!$A$2:$LR$60,MATCH(1,(GMW!$LQ$2:$LQ$60=C$3)*(GMW!$LP$2:$LP$60=C$4),0),$B65-1966)</f>
        <v>56832</v>
      </c>
    </row>
    <row r="66" spans="1:3">
      <c r="A66" s="534">
        <f t="shared" si="1"/>
        <v>198704</v>
      </c>
      <c r="B66" s="534">
        <f t="shared" si="2"/>
        <v>2032</v>
      </c>
      <c r="C66" s="534" cm="1">
        <f t="array" ref="C66">INDEX(GMW!$A$2:$LR$60,MATCH(1,(GMW!$LQ$2:$LQ$60=C$3)*(GMW!$LP$2:$LP$60=C$4),0),$B66-1966)</f>
        <v>56860</v>
      </c>
    </row>
    <row r="67" spans="1:3">
      <c r="A67" s="534">
        <f t="shared" si="1"/>
        <v>198801</v>
      </c>
      <c r="B67" s="534">
        <f t="shared" si="2"/>
        <v>2033</v>
      </c>
      <c r="C67" s="534" cm="1">
        <f t="array" ref="C67">INDEX(GMW!$A$2:$LR$60,MATCH(1,(GMW!$LQ$2:$LQ$60=C$3)*(GMW!$LP$2:$LP$60=C$4),0),$B67-1966)</f>
        <v>56888</v>
      </c>
    </row>
    <row r="68" spans="1:3">
      <c r="A68" s="534">
        <f t="shared" si="1"/>
        <v>198802</v>
      </c>
      <c r="B68" s="534">
        <f t="shared" si="2"/>
        <v>2034</v>
      </c>
      <c r="C68" s="534" cm="1">
        <f t="array" ref="C68">INDEX(GMW!$A$2:$LR$60,MATCH(1,(GMW!$LQ$2:$LQ$60=C$3)*(GMW!$LP$2:$LP$60=C$4),0),$B68-1966)</f>
        <v>56916</v>
      </c>
    </row>
    <row r="69" spans="1:3">
      <c r="A69" s="534">
        <f t="shared" si="1"/>
        <v>198803</v>
      </c>
      <c r="B69" s="534">
        <f t="shared" si="2"/>
        <v>2035</v>
      </c>
      <c r="C69" s="534" cm="1">
        <f t="array" ref="C69">INDEX(GMW!$A$2:$LR$60,MATCH(1,(GMW!$LQ$2:$LQ$60=C$3)*(GMW!$LP$2:$LP$60=C$4),0),$B69-1966)</f>
        <v>56956.25</v>
      </c>
    </row>
    <row r="70" spans="1:3">
      <c r="A70" s="534">
        <f t="shared" si="1"/>
        <v>198804</v>
      </c>
      <c r="B70" s="534">
        <f t="shared" si="2"/>
        <v>2036</v>
      </c>
      <c r="C70" s="534" cm="1">
        <f t="array" ref="C70">INDEX(GMW!$A$2:$LR$60,MATCH(1,(GMW!$LQ$2:$LQ$60=C$3)*(GMW!$LP$2:$LP$60=C$4),0),$B70-1966)</f>
        <v>56996.5</v>
      </c>
    </row>
    <row r="71" spans="1:3">
      <c r="A71" s="534">
        <f t="shared" si="1"/>
        <v>198901</v>
      </c>
      <c r="B71" s="534">
        <f t="shared" si="2"/>
        <v>2037</v>
      </c>
      <c r="C71" s="534" cm="1">
        <f t="array" ref="C71">INDEX(GMW!$A$2:$LR$60,MATCH(1,(GMW!$LQ$2:$LQ$60=C$3)*(GMW!$LP$2:$LP$60=C$4),0),$B71-1966)</f>
        <v>57036.75</v>
      </c>
    </row>
    <row r="72" spans="1:3">
      <c r="A72" s="534">
        <f t="shared" si="1"/>
        <v>198902</v>
      </c>
      <c r="B72" s="534">
        <f t="shared" si="2"/>
        <v>2038</v>
      </c>
      <c r="C72" s="534" cm="1">
        <f t="array" ref="C72">INDEX(GMW!$A$2:$LR$60,MATCH(1,(GMW!$LQ$2:$LQ$60=C$3)*(GMW!$LP$2:$LP$60=C$4),0),$B72-1966)</f>
        <v>57077</v>
      </c>
    </row>
    <row r="73" spans="1:3">
      <c r="A73" s="534">
        <f t="shared" si="1"/>
        <v>198903</v>
      </c>
      <c r="B73" s="534">
        <f t="shared" si="2"/>
        <v>2039</v>
      </c>
      <c r="C73" s="534" cm="1">
        <f t="array" ref="C73">INDEX(GMW!$A$2:$LR$60,MATCH(1,(GMW!$LQ$2:$LQ$60=C$3)*(GMW!$LP$2:$LP$60=C$4),0),$B73-1966)</f>
        <v>57117.25</v>
      </c>
    </row>
    <row r="74" spans="1:3">
      <c r="A74" s="534">
        <f t="shared" si="1"/>
        <v>198904</v>
      </c>
      <c r="B74" s="534">
        <f t="shared" si="2"/>
        <v>2040</v>
      </c>
      <c r="C74" s="534" cm="1">
        <f t="array" ref="C74">INDEX(GMW!$A$2:$LR$60,MATCH(1,(GMW!$LQ$2:$LQ$60=C$3)*(GMW!$LP$2:$LP$60=C$4),0),$B74-1966)</f>
        <v>57157.5</v>
      </c>
    </row>
    <row r="75" spans="1:3">
      <c r="A75" s="534">
        <f t="shared" si="1"/>
        <v>199001</v>
      </c>
      <c r="B75" s="534">
        <f t="shared" si="2"/>
        <v>2041</v>
      </c>
      <c r="C75" s="534" cm="1">
        <f t="array" ref="C75">INDEX(GMW!$A$2:$LR$60,MATCH(1,(GMW!$LQ$2:$LQ$60=C$3)*(GMW!$LP$2:$LP$60=C$4),0),$B75-1966)</f>
        <v>57197.75</v>
      </c>
    </row>
    <row r="76" spans="1:3">
      <c r="A76" s="534">
        <f t="shared" ref="A76:A139" si="3">+A72+100</f>
        <v>199002</v>
      </c>
      <c r="B76" s="534">
        <f t="shared" si="2"/>
        <v>2042</v>
      </c>
      <c r="C76" s="534" cm="1">
        <f t="array" ref="C76">INDEX(GMW!$A$2:$LR$60,MATCH(1,(GMW!$LQ$2:$LQ$60=C$3)*(GMW!$LP$2:$LP$60=C$4),0),$B76-1966)</f>
        <v>57238</v>
      </c>
    </row>
    <row r="77" spans="1:3">
      <c r="A77" s="534">
        <f t="shared" si="3"/>
        <v>199003</v>
      </c>
      <c r="B77" s="534">
        <f t="shared" si="2"/>
        <v>2043</v>
      </c>
      <c r="C77" s="534" cm="1">
        <f t="array" ref="C77">INDEX(GMW!$A$2:$LR$60,MATCH(1,(GMW!$LQ$2:$LQ$60=C$3)*(GMW!$LP$2:$LP$60=C$4),0),$B77-1966)</f>
        <v>57288.25</v>
      </c>
    </row>
    <row r="78" spans="1:3">
      <c r="A78" s="534">
        <f t="shared" si="3"/>
        <v>199004</v>
      </c>
      <c r="B78" s="534">
        <f t="shared" si="2"/>
        <v>2044</v>
      </c>
      <c r="C78" s="534" cm="1">
        <f t="array" ref="C78">INDEX(GMW!$A$2:$LR$60,MATCH(1,(GMW!$LQ$2:$LQ$60=C$3)*(GMW!$LP$2:$LP$60=C$4),0),$B78-1966)</f>
        <v>57338.5</v>
      </c>
    </row>
    <row r="79" spans="1:3">
      <c r="A79" s="534">
        <f t="shared" si="3"/>
        <v>199101</v>
      </c>
      <c r="B79" s="534">
        <f t="shared" si="2"/>
        <v>2045</v>
      </c>
      <c r="C79" s="534" cm="1">
        <f t="array" ref="C79">INDEX(GMW!$A$2:$LR$60,MATCH(1,(GMW!$LQ$2:$LQ$60=C$3)*(GMW!$LP$2:$LP$60=C$4),0),$B79-1966)</f>
        <v>57388.75</v>
      </c>
    </row>
    <row r="80" spans="1:3">
      <c r="A80" s="534">
        <f t="shared" si="3"/>
        <v>199102</v>
      </c>
      <c r="B80" s="534">
        <f t="shared" si="2"/>
        <v>2046</v>
      </c>
      <c r="C80" s="534" cm="1">
        <f t="array" ref="C80">INDEX(GMW!$A$2:$LR$60,MATCH(1,(GMW!$LQ$2:$LQ$60=C$3)*(GMW!$LP$2:$LP$60=C$4),0),$B80-1966)</f>
        <v>57439</v>
      </c>
    </row>
    <row r="81" spans="1:3">
      <c r="A81" s="534">
        <f t="shared" si="3"/>
        <v>199103</v>
      </c>
      <c r="B81" s="534">
        <f t="shared" si="2"/>
        <v>2047</v>
      </c>
      <c r="C81" s="534" cm="1">
        <f t="array" ref="C81">INDEX(GMW!$A$2:$LR$60,MATCH(1,(GMW!$LQ$2:$LQ$60=C$3)*(GMW!$LP$2:$LP$60=C$4),0),$B81-1966)</f>
        <v>57475.5</v>
      </c>
    </row>
    <row r="82" spans="1:3">
      <c r="A82" s="534">
        <f t="shared" si="3"/>
        <v>199104</v>
      </c>
      <c r="B82" s="534">
        <f t="shared" si="2"/>
        <v>2048</v>
      </c>
      <c r="C82" s="534" cm="1">
        <f t="array" ref="C82">INDEX(GMW!$A$2:$LR$60,MATCH(1,(GMW!$LQ$2:$LQ$60=C$3)*(GMW!$LP$2:$LP$60=C$4),0),$B82-1966)</f>
        <v>57512</v>
      </c>
    </row>
    <row r="83" spans="1:3">
      <c r="A83" s="534">
        <f t="shared" si="3"/>
        <v>199201</v>
      </c>
      <c r="B83" s="534">
        <f t="shared" si="2"/>
        <v>2049</v>
      </c>
      <c r="C83" s="534" cm="1">
        <f t="array" ref="C83">INDEX(GMW!$A$2:$LR$60,MATCH(1,(GMW!$LQ$2:$LQ$60=C$3)*(GMW!$LP$2:$LP$60=C$4),0),$B83-1966)</f>
        <v>57548.5</v>
      </c>
    </row>
    <row r="84" spans="1:3">
      <c r="A84" s="534">
        <f t="shared" si="3"/>
        <v>199202</v>
      </c>
      <c r="B84" s="534">
        <f t="shared" si="2"/>
        <v>2050</v>
      </c>
      <c r="C84" s="534" cm="1">
        <f t="array" ref="C84">INDEX(GMW!$A$2:$LR$60,MATCH(1,(GMW!$LQ$2:$LQ$60=C$3)*(GMW!$LP$2:$LP$60=C$4),0),$B84-1966)</f>
        <v>57585</v>
      </c>
    </row>
    <row r="85" spans="1:3">
      <c r="A85" s="534">
        <f t="shared" si="3"/>
        <v>199203</v>
      </c>
      <c r="B85" s="534">
        <f t="shared" si="2"/>
        <v>2051</v>
      </c>
      <c r="C85" s="534" cm="1">
        <f t="array" ref="C85">INDEX(GMW!$A$2:$LR$60,MATCH(1,(GMW!$LQ$2:$LQ$60=C$3)*(GMW!$LP$2:$LP$60=C$4),0),$B85-1966)</f>
        <v>57617.25</v>
      </c>
    </row>
    <row r="86" spans="1:3">
      <c r="A86" s="534">
        <f t="shared" si="3"/>
        <v>199204</v>
      </c>
      <c r="B86" s="534">
        <f t="shared" si="2"/>
        <v>2052</v>
      </c>
      <c r="C86" s="534" cm="1">
        <f t="array" ref="C86">INDEX(GMW!$A$2:$LR$60,MATCH(1,(GMW!$LQ$2:$LQ$60=C$3)*(GMW!$LP$2:$LP$60=C$4),0),$B86-1966)</f>
        <v>57649.5</v>
      </c>
    </row>
    <row r="87" spans="1:3">
      <c r="A87" s="534">
        <f t="shared" si="3"/>
        <v>199301</v>
      </c>
      <c r="B87" s="534">
        <f t="shared" si="2"/>
        <v>2053</v>
      </c>
      <c r="C87" s="534" cm="1">
        <f t="array" ref="C87">INDEX(GMW!$A$2:$LR$60,MATCH(1,(GMW!$LQ$2:$LQ$60=C$3)*(GMW!$LP$2:$LP$60=C$4),0),$B87-1966)</f>
        <v>57681.75</v>
      </c>
    </row>
    <row r="88" spans="1:3">
      <c r="A88" s="534">
        <f t="shared" si="3"/>
        <v>199302</v>
      </c>
      <c r="B88" s="534">
        <f t="shared" si="2"/>
        <v>2054</v>
      </c>
      <c r="C88" s="534" cm="1">
        <f t="array" ref="C88">INDEX(GMW!$A$2:$LR$60,MATCH(1,(GMW!$LQ$2:$LQ$60=C$3)*(GMW!$LP$2:$LP$60=C$4),0),$B88-1966)</f>
        <v>57714</v>
      </c>
    </row>
    <row r="89" spans="1:3">
      <c r="A89" s="534">
        <f t="shared" si="3"/>
        <v>199303</v>
      </c>
      <c r="B89" s="534">
        <f t="shared" si="2"/>
        <v>2055</v>
      </c>
      <c r="C89" s="534" cm="1">
        <f t="array" ref="C89">INDEX(GMW!$A$2:$LR$60,MATCH(1,(GMW!$LQ$2:$LQ$60=C$3)*(GMW!$LP$2:$LP$60=C$4),0),$B89-1966)</f>
        <v>57751</v>
      </c>
    </row>
    <row r="90" spans="1:3">
      <c r="A90" s="534">
        <f t="shared" si="3"/>
        <v>199304</v>
      </c>
      <c r="B90" s="534">
        <f t="shared" si="2"/>
        <v>2056</v>
      </c>
      <c r="C90" s="534" cm="1">
        <f t="array" ref="C90">INDEX(GMW!$A$2:$LR$60,MATCH(1,(GMW!$LQ$2:$LQ$60=C$3)*(GMW!$LP$2:$LP$60=C$4),0),$B90-1966)</f>
        <v>57788</v>
      </c>
    </row>
    <row r="91" spans="1:3">
      <c r="A91" s="534">
        <f t="shared" si="3"/>
        <v>199401</v>
      </c>
      <c r="B91" s="534">
        <f t="shared" si="2"/>
        <v>2057</v>
      </c>
      <c r="C91" s="534" cm="1">
        <f t="array" ref="C91">INDEX(GMW!$A$2:$LR$60,MATCH(1,(GMW!$LQ$2:$LQ$60=C$3)*(GMW!$LP$2:$LP$60=C$4),0),$B91-1966)</f>
        <v>57825</v>
      </c>
    </row>
    <row r="92" spans="1:3">
      <c r="A92" s="534">
        <f t="shared" si="3"/>
        <v>199402</v>
      </c>
      <c r="B92" s="534">
        <f t="shared" si="2"/>
        <v>2058</v>
      </c>
      <c r="C92" s="534" cm="1">
        <f t="array" ref="C92">INDEX(GMW!$A$2:$LR$60,MATCH(1,(GMW!$LQ$2:$LQ$60=C$3)*(GMW!$LP$2:$LP$60=C$4),0),$B92-1966)</f>
        <v>57862</v>
      </c>
    </row>
    <row r="93" spans="1:3">
      <c r="A93" s="534">
        <f t="shared" si="3"/>
        <v>199403</v>
      </c>
      <c r="B93" s="534">
        <f t="shared" si="2"/>
        <v>2059</v>
      </c>
      <c r="C93" s="534" cm="1">
        <f t="array" ref="C93">INDEX(GMW!$A$2:$LR$60,MATCH(1,(GMW!$LQ$2:$LQ$60=C$3)*(GMW!$LP$2:$LP$60=C$4),0),$B93-1966)</f>
        <v>57902.75</v>
      </c>
    </row>
    <row r="94" spans="1:3">
      <c r="A94" s="534">
        <f t="shared" si="3"/>
        <v>199404</v>
      </c>
      <c r="B94" s="534">
        <f t="shared" si="2"/>
        <v>2060</v>
      </c>
      <c r="C94" s="534" cm="1">
        <f t="array" ref="C94">INDEX(GMW!$A$2:$LR$60,MATCH(1,(GMW!$LQ$2:$LQ$60=C$3)*(GMW!$LP$2:$LP$60=C$4),0),$B94-1966)</f>
        <v>57943.5</v>
      </c>
    </row>
    <row r="95" spans="1:3">
      <c r="A95" s="534">
        <f t="shared" si="3"/>
        <v>199501</v>
      </c>
      <c r="B95" s="534">
        <f t="shared" si="2"/>
        <v>2061</v>
      </c>
      <c r="C95" s="534" cm="1">
        <f t="array" ref="C95">INDEX(GMW!$A$2:$LR$60,MATCH(1,(GMW!$LQ$2:$LQ$60=C$3)*(GMW!$LP$2:$LP$60=C$4),0),$B95-1966)</f>
        <v>57984.25</v>
      </c>
    </row>
    <row r="96" spans="1:3">
      <c r="A96" s="534">
        <f t="shared" si="3"/>
        <v>199502</v>
      </c>
      <c r="B96" s="534">
        <f t="shared" si="2"/>
        <v>2062</v>
      </c>
      <c r="C96" s="534" cm="1">
        <f t="array" ref="C96">INDEX(GMW!$A$2:$LR$60,MATCH(1,(GMW!$LQ$2:$LQ$60=C$3)*(GMW!$LP$2:$LP$60=C$4),0),$B96-1966)</f>
        <v>58025</v>
      </c>
    </row>
    <row r="97" spans="1:3">
      <c r="A97" s="534">
        <f t="shared" si="3"/>
        <v>199503</v>
      </c>
      <c r="B97" s="534">
        <f t="shared" si="2"/>
        <v>2063</v>
      </c>
      <c r="C97" s="534" cm="1">
        <f t="array" ref="C97">INDEX(GMW!$A$2:$LR$60,MATCH(1,(GMW!$LQ$2:$LQ$60=C$3)*(GMW!$LP$2:$LP$60=C$4),0),$B97-1966)</f>
        <v>58059.75</v>
      </c>
    </row>
    <row r="98" spans="1:3">
      <c r="A98" s="534">
        <f t="shared" si="3"/>
        <v>199504</v>
      </c>
      <c r="B98" s="534">
        <f t="shared" si="2"/>
        <v>2064</v>
      </c>
      <c r="C98" s="534" cm="1">
        <f t="array" ref="C98">INDEX(GMW!$A$2:$LR$60,MATCH(1,(GMW!$LQ$2:$LQ$60=C$3)*(GMW!$LP$2:$LP$60=C$4),0),$B98-1966)</f>
        <v>58094.5</v>
      </c>
    </row>
    <row r="99" spans="1:3">
      <c r="A99" s="534">
        <f t="shared" si="3"/>
        <v>199601</v>
      </c>
      <c r="B99" s="534">
        <f t="shared" si="2"/>
        <v>2065</v>
      </c>
      <c r="C99" s="534" cm="1">
        <f t="array" ref="C99">INDEX(GMW!$A$2:$LR$60,MATCH(1,(GMW!$LQ$2:$LQ$60=C$3)*(GMW!$LP$2:$LP$60=C$4),0),$B99-1966)</f>
        <v>58129.25</v>
      </c>
    </row>
    <row r="100" spans="1:3">
      <c r="A100" s="534">
        <f t="shared" si="3"/>
        <v>199602</v>
      </c>
      <c r="B100" s="534">
        <f t="shared" si="2"/>
        <v>2066</v>
      </c>
      <c r="C100" s="534" cm="1">
        <f t="array" ref="C100">INDEX(GMW!$A$2:$LR$60,MATCH(1,(GMW!$LQ$2:$LQ$60=C$3)*(GMW!$LP$2:$LP$60=C$4),0),$B100-1966)</f>
        <v>58164</v>
      </c>
    </row>
    <row r="101" spans="1:3">
      <c r="A101" s="534">
        <f t="shared" si="3"/>
        <v>199603</v>
      </c>
      <c r="B101" s="534">
        <f t="shared" si="2"/>
        <v>2067</v>
      </c>
      <c r="C101" s="534" cm="1">
        <f t="array" ref="C101">INDEX(GMW!$A$2:$LR$60,MATCH(1,(GMW!$LQ$2:$LQ$60=C$3)*(GMW!$LP$2:$LP$60=C$4),0),$B101-1966)</f>
        <v>58201.5</v>
      </c>
    </row>
    <row r="102" spans="1:3">
      <c r="A102" s="534">
        <f t="shared" si="3"/>
        <v>199604</v>
      </c>
      <c r="B102" s="534">
        <f t="shared" si="2"/>
        <v>2068</v>
      </c>
      <c r="C102" s="534" cm="1">
        <f t="array" ref="C102">INDEX(GMW!$A$2:$LR$60,MATCH(1,(GMW!$LQ$2:$LQ$60=C$3)*(GMW!$LP$2:$LP$60=C$4),0),$B102-1966)</f>
        <v>58239</v>
      </c>
    </row>
    <row r="103" spans="1:3">
      <c r="A103" s="534">
        <f t="shared" si="3"/>
        <v>199701</v>
      </c>
      <c r="B103" s="534">
        <f t="shared" si="2"/>
        <v>2069</v>
      </c>
      <c r="C103" s="534" cm="1">
        <f t="array" ref="C103">INDEX(GMW!$A$2:$LR$60,MATCH(1,(GMW!$LQ$2:$LQ$60=C$3)*(GMW!$LP$2:$LP$60=C$4),0),$B103-1966)</f>
        <v>58276.5</v>
      </c>
    </row>
    <row r="104" spans="1:3">
      <c r="A104" s="534">
        <f t="shared" si="3"/>
        <v>199702</v>
      </c>
      <c r="B104" s="534">
        <f t="shared" si="2"/>
        <v>2070</v>
      </c>
      <c r="C104" s="534" cm="1">
        <f t="array" ref="C104">INDEX(GMW!$A$2:$LR$60,MATCH(1,(GMW!$LQ$2:$LQ$60=C$3)*(GMW!$LP$2:$LP$60=C$4),0),$B104-1966)</f>
        <v>58314</v>
      </c>
    </row>
    <row r="105" spans="1:3">
      <c r="A105" s="534">
        <f t="shared" si="3"/>
        <v>199703</v>
      </c>
      <c r="B105" s="534">
        <f t="shared" si="2"/>
        <v>2071</v>
      </c>
      <c r="C105" s="534" cm="1">
        <f t="array" ref="C105">INDEX(GMW!$A$2:$LR$60,MATCH(1,(GMW!$LQ$2:$LQ$60=C$3)*(GMW!$LP$2:$LP$60=C$4),0),$B105-1966)</f>
        <v>58354.25</v>
      </c>
    </row>
    <row r="106" spans="1:3">
      <c r="A106" s="534">
        <f t="shared" si="3"/>
        <v>199704</v>
      </c>
      <c r="B106" s="534">
        <f t="shared" si="2"/>
        <v>2072</v>
      </c>
      <c r="C106" s="534" cm="1">
        <f t="array" ref="C106">INDEX(GMW!$A$2:$LR$60,MATCH(1,(GMW!$LQ$2:$LQ$60=C$3)*(GMW!$LP$2:$LP$60=C$4),0),$B106-1966)</f>
        <v>58394.5</v>
      </c>
    </row>
    <row r="107" spans="1:3">
      <c r="A107" s="534">
        <f t="shared" si="3"/>
        <v>199801</v>
      </c>
      <c r="B107" s="534">
        <f t="shared" si="2"/>
        <v>2073</v>
      </c>
      <c r="C107" s="534" cm="1">
        <f t="array" ref="C107">INDEX(GMW!$A$2:$LR$60,MATCH(1,(GMW!$LQ$2:$LQ$60=C$3)*(GMW!$LP$2:$LP$60=C$4),0),$B107-1966)</f>
        <v>58434.75</v>
      </c>
    </row>
    <row r="108" spans="1:3">
      <c r="A108" s="534">
        <f t="shared" si="3"/>
        <v>199802</v>
      </c>
      <c r="B108" s="534">
        <f t="shared" si="2"/>
        <v>2074</v>
      </c>
      <c r="C108" s="534" cm="1">
        <f t="array" ref="C108">INDEX(GMW!$A$2:$LR$60,MATCH(1,(GMW!$LQ$2:$LQ$60=C$3)*(GMW!$LP$2:$LP$60=C$4),0),$B108-1966)</f>
        <v>58475</v>
      </c>
    </row>
    <row r="109" spans="1:3">
      <c r="A109" s="534">
        <f t="shared" si="3"/>
        <v>199803</v>
      </c>
      <c r="B109" s="534">
        <f t="shared" si="2"/>
        <v>2075</v>
      </c>
      <c r="C109" s="534" cm="1">
        <f t="array" ref="C109">INDEX(GMW!$A$2:$LR$60,MATCH(1,(GMW!$LQ$2:$LQ$60=C$3)*(GMW!$LP$2:$LP$60=C$4),0),$B109-1966)</f>
        <v>58527.25</v>
      </c>
    </row>
    <row r="110" spans="1:3">
      <c r="A110" s="534">
        <f t="shared" si="3"/>
        <v>199804</v>
      </c>
      <c r="B110" s="534">
        <f t="shared" si="2"/>
        <v>2076</v>
      </c>
      <c r="C110" s="534" cm="1">
        <f t="array" ref="C110">INDEX(GMW!$A$2:$LR$60,MATCH(1,(GMW!$LQ$2:$LQ$60=C$3)*(GMW!$LP$2:$LP$60=C$4),0),$B110-1966)</f>
        <v>58579.5</v>
      </c>
    </row>
    <row r="111" spans="1:3">
      <c r="A111" s="534">
        <f t="shared" si="3"/>
        <v>199901</v>
      </c>
      <c r="B111" s="534">
        <f t="shared" si="2"/>
        <v>2077</v>
      </c>
      <c r="C111" s="534" cm="1">
        <f t="array" ref="C111">INDEX(GMW!$A$2:$LR$60,MATCH(1,(GMW!$LQ$2:$LQ$60=C$3)*(GMW!$LP$2:$LP$60=C$4),0),$B111-1966)</f>
        <v>58631.75</v>
      </c>
    </row>
    <row r="112" spans="1:3">
      <c r="A112" s="534">
        <f t="shared" si="3"/>
        <v>199902</v>
      </c>
      <c r="B112" s="534">
        <f t="shared" si="2"/>
        <v>2078</v>
      </c>
      <c r="C112" s="534" cm="1">
        <f t="array" ref="C112">INDEX(GMW!$A$2:$LR$60,MATCH(1,(GMW!$LQ$2:$LQ$60=C$3)*(GMW!$LP$2:$LP$60=C$4),0),$B112-1966)</f>
        <v>58684</v>
      </c>
    </row>
    <row r="113" spans="1:3">
      <c r="A113" s="534">
        <f t="shared" si="3"/>
        <v>199903</v>
      </c>
      <c r="B113" s="534">
        <f t="shared" ref="B113:B176" si="4">+B112+1</f>
        <v>2079</v>
      </c>
      <c r="C113" s="534" cm="1">
        <f t="array" ref="C113">INDEX(GMW!$A$2:$LR$60,MATCH(1,(GMW!$LQ$2:$LQ$60=C$3)*(GMW!$LP$2:$LP$60=C$4),0),$B113-1966)</f>
        <v>58734.5</v>
      </c>
    </row>
    <row r="114" spans="1:3">
      <c r="A114" s="534">
        <f t="shared" si="3"/>
        <v>199904</v>
      </c>
      <c r="B114" s="534">
        <f t="shared" si="4"/>
        <v>2080</v>
      </c>
      <c r="C114" s="534" cm="1">
        <f t="array" ref="C114">INDEX(GMW!$A$2:$LR$60,MATCH(1,(GMW!$LQ$2:$LQ$60=C$3)*(GMW!$LP$2:$LP$60=C$4),0),$B114-1966)</f>
        <v>58785</v>
      </c>
    </row>
    <row r="115" spans="1:3">
      <c r="A115" s="534">
        <f t="shared" si="3"/>
        <v>200001</v>
      </c>
      <c r="B115" s="534">
        <f t="shared" si="4"/>
        <v>2081</v>
      </c>
      <c r="C115" s="534" cm="1">
        <f t="array" ref="C115">INDEX(GMW!$A$2:$LR$60,MATCH(1,(GMW!$LQ$2:$LQ$60=C$3)*(GMW!$LP$2:$LP$60=C$4),0),$B115-1966)</f>
        <v>58835.5</v>
      </c>
    </row>
    <row r="116" spans="1:3">
      <c r="A116" s="534">
        <f t="shared" si="3"/>
        <v>200002</v>
      </c>
      <c r="B116" s="534">
        <f t="shared" si="4"/>
        <v>2082</v>
      </c>
      <c r="C116" s="534" cm="1">
        <f t="array" ref="C116">INDEX(GMW!$A$2:$LR$60,MATCH(1,(GMW!$LQ$2:$LQ$60=C$3)*(GMW!$LP$2:$LP$60=C$4),0),$B116-1966)</f>
        <v>58886</v>
      </c>
    </row>
    <row r="117" spans="1:3">
      <c r="A117" s="534">
        <f t="shared" si="3"/>
        <v>200003</v>
      </c>
      <c r="B117" s="534">
        <f t="shared" si="4"/>
        <v>2083</v>
      </c>
      <c r="C117" s="534" cm="1">
        <f t="array" ref="C117">INDEX(GMW!$A$2:$LR$60,MATCH(1,(GMW!$LQ$2:$LQ$60=C$3)*(GMW!$LP$2:$LP$60=C$4),0),$B117-1966)</f>
        <v>58942.75</v>
      </c>
    </row>
    <row r="118" spans="1:3">
      <c r="A118" s="534">
        <f t="shared" si="3"/>
        <v>200004</v>
      </c>
      <c r="B118" s="534">
        <f t="shared" si="4"/>
        <v>2084</v>
      </c>
      <c r="C118" s="534" cm="1">
        <f t="array" ref="C118">INDEX(GMW!$A$2:$LR$60,MATCH(1,(GMW!$LQ$2:$LQ$60=C$3)*(GMW!$LP$2:$LP$60=C$4),0),$B118-1966)</f>
        <v>58999.5</v>
      </c>
    </row>
    <row r="119" spans="1:3">
      <c r="A119" s="534">
        <f t="shared" si="3"/>
        <v>200101</v>
      </c>
      <c r="B119" s="534">
        <f t="shared" si="4"/>
        <v>2085</v>
      </c>
      <c r="C119" s="534" cm="1">
        <f t="array" ref="C119">INDEX(GMW!$A$2:$LR$60,MATCH(1,(GMW!$LQ$2:$LQ$60=C$3)*(GMW!$LP$2:$LP$60=C$4),0),$B119-1966)</f>
        <v>59056.25</v>
      </c>
    </row>
    <row r="120" spans="1:3">
      <c r="A120" s="534">
        <f t="shared" si="3"/>
        <v>200102</v>
      </c>
      <c r="B120" s="534">
        <f t="shared" si="4"/>
        <v>2086</v>
      </c>
      <c r="C120" s="534" cm="1">
        <f t="array" ref="C120">INDEX(GMW!$A$2:$LR$60,MATCH(1,(GMW!$LQ$2:$LQ$60=C$3)*(GMW!$LP$2:$LP$60=C$4),0),$B120-1966)</f>
        <v>59113</v>
      </c>
    </row>
    <row r="121" spans="1:3">
      <c r="A121" s="534">
        <f t="shared" si="3"/>
        <v>200103</v>
      </c>
      <c r="B121" s="534">
        <f t="shared" si="4"/>
        <v>2087</v>
      </c>
      <c r="C121" s="534" cm="1">
        <f t="array" ref="C121">INDEX(GMW!$A$2:$LR$60,MATCH(1,(GMW!$LQ$2:$LQ$60=C$3)*(GMW!$LP$2:$LP$60=C$4),0),$B121-1966)</f>
        <v>59176.25</v>
      </c>
    </row>
    <row r="122" spans="1:3">
      <c r="A122" s="534">
        <f t="shared" si="3"/>
        <v>200104</v>
      </c>
      <c r="B122" s="534">
        <f t="shared" si="4"/>
        <v>2088</v>
      </c>
      <c r="C122" s="534" cm="1">
        <f t="array" ref="C122">INDEX(GMW!$A$2:$LR$60,MATCH(1,(GMW!$LQ$2:$LQ$60=C$3)*(GMW!$LP$2:$LP$60=C$4),0),$B122-1966)</f>
        <v>59239.5</v>
      </c>
    </row>
    <row r="123" spans="1:3">
      <c r="A123" s="534">
        <f t="shared" si="3"/>
        <v>200201</v>
      </c>
      <c r="B123" s="534">
        <f t="shared" si="4"/>
        <v>2089</v>
      </c>
      <c r="C123" s="534" cm="1">
        <f t="array" ref="C123">INDEX(GMW!$A$2:$LR$60,MATCH(1,(GMW!$LQ$2:$LQ$60=C$3)*(GMW!$LP$2:$LP$60=C$4),0),$B123-1966)</f>
        <v>59302.75</v>
      </c>
    </row>
    <row r="124" spans="1:3">
      <c r="A124" s="534">
        <f t="shared" si="3"/>
        <v>200202</v>
      </c>
      <c r="B124" s="534">
        <f t="shared" si="4"/>
        <v>2090</v>
      </c>
      <c r="C124" s="534" cm="1">
        <f t="array" ref="C124">INDEX(GMW!$A$2:$LR$60,MATCH(1,(GMW!$LQ$2:$LQ$60=C$3)*(GMW!$LP$2:$LP$60=C$4),0),$B124-1966)</f>
        <v>59366</v>
      </c>
    </row>
    <row r="125" spans="1:3">
      <c r="A125" s="534">
        <f t="shared" si="3"/>
        <v>200203</v>
      </c>
      <c r="B125" s="534">
        <f t="shared" si="4"/>
        <v>2091</v>
      </c>
      <c r="C125" s="534" cm="1">
        <f t="array" ref="C125">INDEX(GMW!$A$2:$LR$60,MATCH(1,(GMW!$LQ$2:$LQ$60=C$3)*(GMW!$LP$2:$LP$60=C$4),0),$B125-1966)</f>
        <v>59433.75</v>
      </c>
    </row>
    <row r="126" spans="1:3">
      <c r="A126" s="534">
        <f t="shared" si="3"/>
        <v>200204</v>
      </c>
      <c r="B126" s="534">
        <f t="shared" si="4"/>
        <v>2092</v>
      </c>
      <c r="C126" s="534" cm="1">
        <f t="array" ref="C126">INDEX(GMW!$A$2:$LR$60,MATCH(1,(GMW!$LQ$2:$LQ$60=C$3)*(GMW!$LP$2:$LP$60=C$4),0),$B126-1966)</f>
        <v>59501.5</v>
      </c>
    </row>
    <row r="127" spans="1:3">
      <c r="A127" s="534">
        <f t="shared" si="3"/>
        <v>200301</v>
      </c>
      <c r="B127" s="534">
        <f t="shared" si="4"/>
        <v>2093</v>
      </c>
      <c r="C127" s="534" cm="1">
        <f t="array" ref="C127">INDEX(GMW!$A$2:$LR$60,MATCH(1,(GMW!$LQ$2:$LQ$60=C$3)*(GMW!$LP$2:$LP$60=C$4),0),$B127-1966)</f>
        <v>59569.25</v>
      </c>
    </row>
    <row r="128" spans="1:3">
      <c r="A128" s="534">
        <f t="shared" si="3"/>
        <v>200302</v>
      </c>
      <c r="B128" s="534">
        <f t="shared" si="4"/>
        <v>2094</v>
      </c>
      <c r="C128" s="534" cm="1">
        <f t="array" ref="C128">INDEX(GMW!$A$2:$LR$60,MATCH(1,(GMW!$LQ$2:$LQ$60=C$3)*(GMW!$LP$2:$LP$60=C$4),0),$B128-1966)</f>
        <v>59637</v>
      </c>
    </row>
    <row r="129" spans="1:3">
      <c r="A129" s="534">
        <f t="shared" si="3"/>
        <v>200303</v>
      </c>
      <c r="B129" s="534">
        <f t="shared" si="4"/>
        <v>2095</v>
      </c>
      <c r="C129" s="534" cm="1">
        <f t="array" ref="C129">INDEX(GMW!$A$2:$LR$60,MATCH(1,(GMW!$LQ$2:$LQ$60=C$3)*(GMW!$LP$2:$LP$60=C$4),0),$B129-1966)</f>
        <v>59715.25</v>
      </c>
    </row>
    <row r="130" spans="1:3">
      <c r="A130" s="534">
        <f t="shared" si="3"/>
        <v>200304</v>
      </c>
      <c r="B130" s="534">
        <f t="shared" si="4"/>
        <v>2096</v>
      </c>
      <c r="C130" s="534" cm="1">
        <f t="array" ref="C130">INDEX(GMW!$A$2:$LR$60,MATCH(1,(GMW!$LQ$2:$LQ$60=C$3)*(GMW!$LP$2:$LP$60=C$4),0),$B130-1966)</f>
        <v>59793.5</v>
      </c>
    </row>
    <row r="131" spans="1:3">
      <c r="A131" s="534">
        <f t="shared" si="3"/>
        <v>200401</v>
      </c>
      <c r="B131" s="534">
        <f t="shared" si="4"/>
        <v>2097</v>
      </c>
      <c r="C131" s="534" cm="1">
        <f t="array" ref="C131">INDEX(GMW!$A$2:$LR$60,MATCH(1,(GMW!$LQ$2:$LQ$60=C$3)*(GMW!$LP$2:$LP$60=C$4),0),$B131-1966)</f>
        <v>59871.75</v>
      </c>
    </row>
    <row r="132" spans="1:3">
      <c r="A132" s="534">
        <f t="shared" si="3"/>
        <v>200402</v>
      </c>
      <c r="B132" s="534">
        <f t="shared" si="4"/>
        <v>2098</v>
      </c>
      <c r="C132" s="534" cm="1">
        <f t="array" ref="C132">INDEX(GMW!$A$2:$LR$60,MATCH(1,(GMW!$LQ$2:$LQ$60=C$3)*(GMW!$LP$2:$LP$60=C$4),0),$B132-1966)</f>
        <v>59950</v>
      </c>
    </row>
    <row r="133" spans="1:3">
      <c r="A133" s="534">
        <f t="shared" si="3"/>
        <v>200403</v>
      </c>
      <c r="B133" s="534">
        <f t="shared" si="4"/>
        <v>2099</v>
      </c>
      <c r="C133" s="534" cm="1">
        <f t="array" ref="C133">INDEX(GMW!$A$2:$LR$60,MATCH(1,(GMW!$LQ$2:$LQ$60=C$3)*(GMW!$LP$2:$LP$60=C$4),0),$B133-1966)</f>
        <v>60065.75</v>
      </c>
    </row>
    <row r="134" spans="1:3">
      <c r="A134" s="534">
        <f t="shared" si="3"/>
        <v>200404</v>
      </c>
      <c r="B134" s="534">
        <f t="shared" si="4"/>
        <v>2100</v>
      </c>
      <c r="C134" s="534" cm="1">
        <f t="array" ref="C134">INDEX(GMW!$A$2:$LR$60,MATCH(1,(GMW!$LQ$2:$LQ$60=C$3)*(GMW!$LP$2:$LP$60=C$4),0),$B134-1966)</f>
        <v>60181.5</v>
      </c>
    </row>
    <row r="135" spans="1:3">
      <c r="A135" s="534">
        <f t="shared" si="3"/>
        <v>200501</v>
      </c>
      <c r="B135" s="534">
        <f t="shared" si="4"/>
        <v>2101</v>
      </c>
      <c r="C135" s="534" cm="1">
        <f t="array" ref="C135">INDEX(GMW!$A$2:$LR$60,MATCH(1,(GMW!$LQ$2:$LQ$60=C$3)*(GMW!$LP$2:$LP$60=C$4),0),$B135-1966)</f>
        <v>60297.25</v>
      </c>
    </row>
    <row r="136" spans="1:3">
      <c r="A136" s="534">
        <f t="shared" si="3"/>
        <v>200502</v>
      </c>
      <c r="B136" s="534">
        <f t="shared" si="4"/>
        <v>2102</v>
      </c>
      <c r="C136" s="534" cm="1">
        <f t="array" ref="C136">INDEX(GMW!$A$2:$LR$60,MATCH(1,(GMW!$LQ$2:$LQ$60=C$3)*(GMW!$LP$2:$LP$60=C$4),0),$B136-1966)</f>
        <v>60413</v>
      </c>
    </row>
    <row r="137" spans="1:3">
      <c r="A137" s="534">
        <f t="shared" si="3"/>
        <v>200503</v>
      </c>
      <c r="B137" s="534">
        <f t="shared" si="4"/>
        <v>2103</v>
      </c>
      <c r="C137" s="534" cm="1">
        <f t="array" ref="C137">INDEX(GMW!$A$2:$LR$60,MATCH(1,(GMW!$LQ$2:$LQ$60=C$3)*(GMW!$LP$2:$LP$60=C$4),0),$B137-1966)</f>
        <v>60516.5</v>
      </c>
    </row>
    <row r="138" spans="1:3">
      <c r="A138" s="534">
        <f t="shared" si="3"/>
        <v>200504</v>
      </c>
      <c r="B138" s="534">
        <f t="shared" si="4"/>
        <v>2104</v>
      </c>
      <c r="C138" s="534" cm="1">
        <f t="array" ref="C138">INDEX(GMW!$A$2:$LR$60,MATCH(1,(GMW!$LQ$2:$LQ$60=C$3)*(GMW!$LP$2:$LP$60=C$4),0),$B138-1966)</f>
        <v>60620</v>
      </c>
    </row>
    <row r="139" spans="1:3">
      <c r="A139" s="534">
        <f t="shared" si="3"/>
        <v>200601</v>
      </c>
      <c r="B139" s="534">
        <f t="shared" si="4"/>
        <v>2105</v>
      </c>
      <c r="C139" s="534" cm="1">
        <f t="array" ref="C139">INDEX(GMW!$A$2:$LR$60,MATCH(1,(GMW!$LQ$2:$LQ$60=C$3)*(GMW!$LP$2:$LP$60=C$4),0),$B139-1966)</f>
        <v>60723.5</v>
      </c>
    </row>
    <row r="140" spans="1:3">
      <c r="A140" s="534">
        <f t="shared" ref="A140:A203" si="5">+A136+100</f>
        <v>200602</v>
      </c>
      <c r="B140" s="534">
        <f t="shared" si="4"/>
        <v>2106</v>
      </c>
      <c r="C140" s="534" cm="1">
        <f t="array" ref="C140">INDEX(GMW!$A$2:$LR$60,MATCH(1,(GMW!$LQ$2:$LQ$60=C$3)*(GMW!$LP$2:$LP$60=C$4),0),$B140-1966)</f>
        <v>60827</v>
      </c>
    </row>
    <row r="141" spans="1:3">
      <c r="A141" s="534">
        <f t="shared" si="5"/>
        <v>200603</v>
      </c>
      <c r="B141" s="534">
        <f t="shared" si="4"/>
        <v>2107</v>
      </c>
      <c r="C141" s="534" cm="1">
        <f t="array" ref="C141">INDEX(GMW!$A$2:$LR$60,MATCH(1,(GMW!$LQ$2:$LQ$60=C$3)*(GMW!$LP$2:$LP$60=C$4),0),$B141-1966)</f>
        <v>60950</v>
      </c>
    </row>
    <row r="142" spans="1:3">
      <c r="A142" s="534">
        <f t="shared" si="5"/>
        <v>200604</v>
      </c>
      <c r="B142" s="534">
        <f t="shared" si="4"/>
        <v>2108</v>
      </c>
      <c r="C142" s="534" cm="1">
        <f t="array" ref="C142">INDEX(GMW!$A$2:$LR$60,MATCH(1,(GMW!$LQ$2:$LQ$60=C$3)*(GMW!$LP$2:$LP$60=C$4),0),$B142-1966)</f>
        <v>61073</v>
      </c>
    </row>
    <row r="143" spans="1:3">
      <c r="A143" s="534">
        <f t="shared" si="5"/>
        <v>200701</v>
      </c>
      <c r="B143" s="534">
        <f t="shared" si="4"/>
        <v>2109</v>
      </c>
      <c r="C143" s="534" cm="1">
        <f t="array" ref="C143">INDEX(GMW!$A$2:$LR$60,MATCH(1,(GMW!$LQ$2:$LQ$60=C$3)*(GMW!$LP$2:$LP$60=C$4),0),$B143-1966)</f>
        <v>61196</v>
      </c>
    </row>
    <row r="144" spans="1:3">
      <c r="A144" s="534">
        <f t="shared" si="5"/>
        <v>200702</v>
      </c>
      <c r="B144" s="534">
        <f t="shared" si="4"/>
        <v>2110</v>
      </c>
      <c r="C144" s="534" cm="1">
        <f t="array" ref="C144">INDEX(GMW!$A$2:$LR$60,MATCH(1,(GMW!$LQ$2:$LQ$60=C$3)*(GMW!$LP$2:$LP$60=C$4),0),$B144-1966)</f>
        <v>61319</v>
      </c>
    </row>
    <row r="145" spans="1:3">
      <c r="A145" s="534">
        <f t="shared" si="5"/>
        <v>200703</v>
      </c>
      <c r="B145" s="534">
        <f t="shared" si="4"/>
        <v>2111</v>
      </c>
      <c r="C145" s="534" cm="1">
        <f t="array" ref="C145">INDEX(GMW!$A$2:$LR$60,MATCH(1,(GMW!$LQ$2:$LQ$60=C$3)*(GMW!$LP$2:$LP$60=C$4),0),$B145-1966)</f>
        <v>61445.25</v>
      </c>
    </row>
    <row r="146" spans="1:3">
      <c r="A146" s="534">
        <f t="shared" si="5"/>
        <v>200704</v>
      </c>
      <c r="B146" s="534">
        <f t="shared" si="4"/>
        <v>2112</v>
      </c>
      <c r="C146" s="534" cm="1">
        <f t="array" ref="C146">INDEX(GMW!$A$2:$LR$60,MATCH(1,(GMW!$LQ$2:$LQ$60=C$3)*(GMW!$LP$2:$LP$60=C$4),0),$B146-1966)</f>
        <v>61571.5</v>
      </c>
    </row>
    <row r="147" spans="1:3">
      <c r="A147" s="534">
        <f t="shared" si="5"/>
        <v>200801</v>
      </c>
      <c r="B147" s="534">
        <f t="shared" si="4"/>
        <v>2113</v>
      </c>
      <c r="C147" s="534" cm="1">
        <f t="array" ref="C147">INDEX(GMW!$A$2:$LR$60,MATCH(1,(GMW!$LQ$2:$LQ$60=C$3)*(GMW!$LP$2:$LP$60=C$4),0),$B147-1966)</f>
        <v>61697.75</v>
      </c>
    </row>
    <row r="148" spans="1:3">
      <c r="A148" s="534">
        <f t="shared" si="5"/>
        <v>200802</v>
      </c>
      <c r="B148" s="534">
        <f t="shared" si="4"/>
        <v>2114</v>
      </c>
      <c r="C148" s="534" cm="1">
        <f t="array" ref="C148">INDEX(GMW!$A$2:$LR$60,MATCH(1,(GMW!$LQ$2:$LQ$60=C$3)*(GMW!$LP$2:$LP$60=C$4),0),$B148-1966)</f>
        <v>61824</v>
      </c>
    </row>
    <row r="149" spans="1:3">
      <c r="A149" s="534">
        <f t="shared" si="5"/>
        <v>200803</v>
      </c>
      <c r="B149" s="534">
        <f t="shared" si="4"/>
        <v>2115</v>
      </c>
      <c r="C149" s="534" cm="1">
        <f t="array" ref="C149">INDEX(GMW!$A$2:$LR$60,MATCH(1,(GMW!$LQ$2:$LQ$60=C$3)*(GMW!$LP$2:$LP$60=C$4),0),$B149-1966)</f>
        <v>61933.25</v>
      </c>
    </row>
    <row r="150" spans="1:3">
      <c r="A150" s="534">
        <f t="shared" si="5"/>
        <v>200804</v>
      </c>
      <c r="B150" s="534">
        <f t="shared" si="4"/>
        <v>2116</v>
      </c>
      <c r="C150" s="534" cm="1">
        <f t="array" ref="C150">INDEX(GMW!$A$2:$LR$60,MATCH(1,(GMW!$LQ$2:$LQ$60=C$3)*(GMW!$LP$2:$LP$60=C$4),0),$B150-1966)</f>
        <v>62042.5</v>
      </c>
    </row>
    <row r="151" spans="1:3">
      <c r="A151" s="534">
        <f t="shared" si="5"/>
        <v>200901</v>
      </c>
      <c r="B151" s="534">
        <f t="shared" si="4"/>
        <v>2117</v>
      </c>
      <c r="C151" s="534" cm="1">
        <f t="array" ref="C151">INDEX(GMW!$A$2:$LR$60,MATCH(1,(GMW!$LQ$2:$LQ$60=C$3)*(GMW!$LP$2:$LP$60=C$4),0),$B151-1966)</f>
        <v>62151.75</v>
      </c>
    </row>
    <row r="152" spans="1:3">
      <c r="A152" s="534">
        <f t="shared" si="5"/>
        <v>200902</v>
      </c>
      <c r="B152" s="534">
        <f t="shared" si="4"/>
        <v>2118</v>
      </c>
      <c r="C152" s="534" cm="1">
        <f t="array" ref="C152">INDEX(GMW!$A$2:$LR$60,MATCH(1,(GMW!$LQ$2:$LQ$60=C$3)*(GMW!$LP$2:$LP$60=C$4),0),$B152-1966)</f>
        <v>62261</v>
      </c>
    </row>
    <row r="153" spans="1:3">
      <c r="A153" s="534">
        <f t="shared" si="5"/>
        <v>200903</v>
      </c>
      <c r="B153" s="534">
        <f t="shared" si="4"/>
        <v>2119</v>
      </c>
      <c r="C153" s="534" cm="1">
        <f t="array" ref="C153">INDEX(GMW!$A$2:$LR$60,MATCH(1,(GMW!$LQ$2:$LQ$60=C$3)*(GMW!$LP$2:$LP$60=C$4),0),$B153-1966)</f>
        <v>62385.75</v>
      </c>
    </row>
    <row r="154" spans="1:3">
      <c r="A154" s="534">
        <f t="shared" si="5"/>
        <v>200904</v>
      </c>
      <c r="B154" s="534">
        <f t="shared" si="4"/>
        <v>2120</v>
      </c>
      <c r="C154" s="534" cm="1">
        <f t="array" ref="C154">INDEX(GMW!$A$2:$LR$60,MATCH(1,(GMW!$LQ$2:$LQ$60=C$3)*(GMW!$LP$2:$LP$60=C$4),0),$B154-1966)</f>
        <v>62510.5</v>
      </c>
    </row>
    <row r="155" spans="1:3">
      <c r="A155" s="534">
        <f t="shared" si="5"/>
        <v>201001</v>
      </c>
      <c r="B155" s="534">
        <f t="shared" si="4"/>
        <v>2121</v>
      </c>
      <c r="C155" s="534" cm="1">
        <f t="array" ref="C155">INDEX(GMW!$A$2:$LR$60,MATCH(1,(GMW!$LQ$2:$LQ$60=C$3)*(GMW!$LP$2:$LP$60=C$4),0),$B155-1966)</f>
        <v>62635.25</v>
      </c>
    </row>
    <row r="156" spans="1:3">
      <c r="A156" s="534">
        <f t="shared" si="5"/>
        <v>201002</v>
      </c>
      <c r="B156" s="534">
        <f t="shared" si="4"/>
        <v>2122</v>
      </c>
      <c r="C156" s="534" cm="1">
        <f t="array" ref="C156">INDEX(GMW!$A$2:$LR$60,MATCH(1,(GMW!$LQ$2:$LQ$60=C$3)*(GMW!$LP$2:$LP$60=C$4),0),$B156-1966)</f>
        <v>62760</v>
      </c>
    </row>
    <row r="157" spans="1:3">
      <c r="A157" s="534">
        <f t="shared" si="5"/>
        <v>201003</v>
      </c>
      <c r="B157" s="534">
        <f t="shared" si="4"/>
        <v>2123</v>
      </c>
      <c r="C157" s="534" cm="1">
        <f t="array" ref="C157">INDEX(GMW!$A$2:$LR$60,MATCH(1,(GMW!$LQ$2:$LQ$60=C$3)*(GMW!$LP$2:$LP$60=C$4),0),$B157-1966)</f>
        <v>62891.25</v>
      </c>
    </row>
    <row r="158" spans="1:3">
      <c r="A158" s="534">
        <f t="shared" si="5"/>
        <v>201004</v>
      </c>
      <c r="B158" s="534">
        <f t="shared" si="4"/>
        <v>2124</v>
      </c>
      <c r="C158" s="534" cm="1">
        <f t="array" ref="C158">INDEX(GMW!$A$2:$LR$60,MATCH(1,(GMW!$LQ$2:$LQ$60=C$3)*(GMW!$LP$2:$LP$60=C$4),0),$B158-1966)</f>
        <v>63022.5</v>
      </c>
    </row>
    <row r="159" spans="1:3">
      <c r="A159" s="534">
        <f t="shared" si="5"/>
        <v>201101</v>
      </c>
      <c r="B159" s="534">
        <f t="shared" si="4"/>
        <v>2125</v>
      </c>
      <c r="C159" s="534" cm="1">
        <f t="array" ref="C159">INDEX(GMW!$A$2:$LR$60,MATCH(1,(GMW!$LQ$2:$LQ$60=C$3)*(GMW!$LP$2:$LP$60=C$4),0),$B159-1966)</f>
        <v>63153.75</v>
      </c>
    </row>
    <row r="160" spans="1:3">
      <c r="A160" s="534">
        <f t="shared" si="5"/>
        <v>201102</v>
      </c>
      <c r="B160" s="534">
        <f t="shared" si="4"/>
        <v>2126</v>
      </c>
      <c r="C160" s="534" cm="1">
        <f t="array" ref="C160">INDEX(GMW!$A$2:$LR$60,MATCH(1,(GMW!$LQ$2:$LQ$60=C$3)*(GMW!$LP$2:$LP$60=C$4),0),$B160-1966)</f>
        <v>63285</v>
      </c>
    </row>
    <row r="161" spans="1:3">
      <c r="A161" s="534">
        <f t="shared" si="5"/>
        <v>201103</v>
      </c>
      <c r="B161" s="534">
        <f t="shared" si="4"/>
        <v>2127</v>
      </c>
      <c r="C161" s="534" cm="1">
        <f t="array" ref="C161">INDEX(GMW!$A$2:$LR$60,MATCH(1,(GMW!$LQ$2:$LQ$60=C$3)*(GMW!$LP$2:$LP$60=C$4),0),$B161-1966)</f>
        <v>63390</v>
      </c>
    </row>
    <row r="162" spans="1:3">
      <c r="A162" s="534">
        <f t="shared" si="5"/>
        <v>201104</v>
      </c>
      <c r="B162" s="534">
        <f t="shared" si="4"/>
        <v>2128</v>
      </c>
      <c r="C162" s="534" cm="1">
        <f t="array" ref="C162">INDEX(GMW!$A$2:$LR$60,MATCH(1,(GMW!$LQ$2:$LQ$60=C$3)*(GMW!$LP$2:$LP$60=C$4),0),$B162-1966)</f>
        <v>63495</v>
      </c>
    </row>
    <row r="163" spans="1:3">
      <c r="A163" s="534">
        <f t="shared" si="5"/>
        <v>201201</v>
      </c>
      <c r="B163" s="534">
        <f t="shared" si="4"/>
        <v>2129</v>
      </c>
      <c r="C163" s="534" cm="1">
        <f t="array" ref="C163">INDEX(GMW!$A$2:$LR$60,MATCH(1,(GMW!$LQ$2:$LQ$60=C$3)*(GMW!$LP$2:$LP$60=C$4),0),$B163-1966)</f>
        <v>63600</v>
      </c>
    </row>
    <row r="164" spans="1:3">
      <c r="A164" s="534">
        <f t="shared" si="5"/>
        <v>201202</v>
      </c>
      <c r="B164" s="534">
        <f t="shared" si="4"/>
        <v>2130</v>
      </c>
      <c r="C164" s="534" cm="1">
        <f t="array" ref="C164">INDEX(GMW!$A$2:$LR$60,MATCH(1,(GMW!$LQ$2:$LQ$60=C$3)*(GMW!$LP$2:$LP$60=C$4),0),$B164-1966)</f>
        <v>63705</v>
      </c>
    </row>
    <row r="165" spans="1:3">
      <c r="A165" s="534">
        <f t="shared" si="5"/>
        <v>201203</v>
      </c>
      <c r="B165" s="534">
        <f t="shared" si="4"/>
        <v>2131</v>
      </c>
      <c r="C165" s="534" cm="1">
        <f t="array" ref="C165">INDEX(GMW!$A$2:$LR$60,MATCH(1,(GMW!$LQ$2:$LQ$60=C$3)*(GMW!$LP$2:$LP$60=C$4),0),$B165-1966)</f>
        <v>63805.25</v>
      </c>
    </row>
    <row r="166" spans="1:3">
      <c r="A166" s="534">
        <f t="shared" si="5"/>
        <v>201204</v>
      </c>
      <c r="B166" s="534">
        <f t="shared" si="4"/>
        <v>2132</v>
      </c>
      <c r="C166" s="534" cm="1">
        <f t="array" ref="C166">INDEX(GMW!$A$2:$LR$60,MATCH(1,(GMW!$LQ$2:$LQ$60=C$3)*(GMW!$LP$2:$LP$60=C$4),0),$B166-1966)</f>
        <v>63905.5</v>
      </c>
    </row>
    <row r="167" spans="1:3">
      <c r="A167" s="534">
        <f t="shared" si="5"/>
        <v>201301</v>
      </c>
      <c r="B167" s="534">
        <f t="shared" si="4"/>
        <v>2133</v>
      </c>
      <c r="C167" s="534" cm="1">
        <f t="array" ref="C167">INDEX(GMW!$A$2:$LR$60,MATCH(1,(GMW!$LQ$2:$LQ$60=C$3)*(GMW!$LP$2:$LP$60=C$4),0),$B167-1966)</f>
        <v>64005.75</v>
      </c>
    </row>
    <row r="168" spans="1:3">
      <c r="A168" s="534">
        <f t="shared" si="5"/>
        <v>201302</v>
      </c>
      <c r="B168" s="534">
        <f t="shared" si="4"/>
        <v>2134</v>
      </c>
      <c r="C168" s="534" cm="1">
        <f t="array" ref="C168">INDEX(GMW!$A$2:$LR$60,MATCH(1,(GMW!$LQ$2:$LQ$60=C$3)*(GMW!$LP$2:$LP$60=C$4),0),$B168-1966)</f>
        <v>64106</v>
      </c>
    </row>
    <row r="169" spans="1:3">
      <c r="A169" s="534">
        <f t="shared" si="5"/>
        <v>201303</v>
      </c>
      <c r="B169" s="534">
        <f t="shared" si="4"/>
        <v>2135</v>
      </c>
      <c r="C169" s="534" cm="1">
        <f t="array" ref="C169">INDEX(GMW!$A$2:$LR$60,MATCH(1,(GMW!$LQ$2:$LQ$60=C$3)*(GMW!$LP$2:$LP$60=C$4),0),$B169-1966)</f>
        <v>64228.75</v>
      </c>
    </row>
    <row r="170" spans="1:3">
      <c r="A170" s="534">
        <f t="shared" si="5"/>
        <v>201304</v>
      </c>
      <c r="B170" s="534">
        <f t="shared" si="4"/>
        <v>2136</v>
      </c>
      <c r="C170" s="534" cm="1">
        <f t="array" ref="C170">INDEX(GMW!$A$2:$LR$60,MATCH(1,(GMW!$LQ$2:$LQ$60=C$3)*(GMW!$LP$2:$LP$60=C$4),0),$B170-1966)</f>
        <v>64351.5</v>
      </c>
    </row>
    <row r="171" spans="1:3">
      <c r="A171" s="534">
        <f t="shared" si="5"/>
        <v>201401</v>
      </c>
      <c r="B171" s="534">
        <f t="shared" si="4"/>
        <v>2137</v>
      </c>
      <c r="C171" s="534" cm="1">
        <f t="array" ref="C171">INDEX(GMW!$A$2:$LR$60,MATCH(1,(GMW!$LQ$2:$LQ$60=C$3)*(GMW!$LP$2:$LP$60=C$4),0),$B171-1966)</f>
        <v>64474.25</v>
      </c>
    </row>
    <row r="172" spans="1:3">
      <c r="A172" s="534">
        <f t="shared" si="5"/>
        <v>201402</v>
      </c>
      <c r="B172" s="534">
        <f t="shared" si="4"/>
        <v>2138</v>
      </c>
      <c r="C172" s="534" cm="1">
        <f t="array" ref="C172">INDEX(GMW!$A$2:$LR$60,MATCH(1,(GMW!$LQ$2:$LQ$60=C$3)*(GMW!$LP$2:$LP$60=C$4),0),$B172-1966)</f>
        <v>64597</v>
      </c>
    </row>
    <row r="173" spans="1:3">
      <c r="A173" s="534">
        <f t="shared" si="5"/>
        <v>201403</v>
      </c>
      <c r="B173" s="534">
        <f t="shared" si="4"/>
        <v>2139</v>
      </c>
      <c r="C173" s="534" cm="1">
        <f t="array" ref="C173">INDEX(GMW!$A$2:$LR$60,MATCH(1,(GMW!$LQ$2:$LQ$60=C$3)*(GMW!$LP$2:$LP$60=C$4),0),$B173-1966)</f>
        <v>64725.25</v>
      </c>
    </row>
    <row r="174" spans="1:3">
      <c r="A174" s="534">
        <f t="shared" si="5"/>
        <v>201404</v>
      </c>
      <c r="B174" s="534">
        <f t="shared" si="4"/>
        <v>2140</v>
      </c>
      <c r="C174" s="534" cm="1">
        <f t="array" ref="C174">INDEX(GMW!$A$2:$LR$60,MATCH(1,(GMW!$LQ$2:$LQ$60=C$3)*(GMW!$LP$2:$LP$60=C$4),0),$B174-1966)</f>
        <v>64853.5</v>
      </c>
    </row>
    <row r="175" spans="1:3">
      <c r="A175" s="534">
        <f t="shared" si="5"/>
        <v>201501</v>
      </c>
      <c r="B175" s="534">
        <f t="shared" si="4"/>
        <v>2141</v>
      </c>
      <c r="C175" s="534" cm="1">
        <f t="array" ref="C175">INDEX(GMW!$A$2:$LR$60,MATCH(1,(GMW!$LQ$2:$LQ$60=C$3)*(GMW!$LP$2:$LP$60=C$4),0),$B175-1966)</f>
        <v>64981.75</v>
      </c>
    </row>
    <row r="176" spans="1:3">
      <c r="A176" s="534">
        <f t="shared" si="5"/>
        <v>201502</v>
      </c>
      <c r="B176" s="534">
        <f t="shared" si="4"/>
        <v>2142</v>
      </c>
      <c r="C176" s="534" cm="1">
        <f t="array" ref="C176">INDEX(GMW!$A$2:$LR$60,MATCH(1,(GMW!$LQ$2:$LQ$60=C$3)*(GMW!$LP$2:$LP$60=C$4),0),$B176-1966)</f>
        <v>65110</v>
      </c>
    </row>
    <row r="177" spans="1:3">
      <c r="A177" s="534">
        <f t="shared" si="5"/>
        <v>201503</v>
      </c>
      <c r="B177" s="534">
        <f t="shared" ref="B177:B240" si="6">+B176+1</f>
        <v>2143</v>
      </c>
      <c r="C177" s="534" cm="1">
        <f t="array" ref="C177">INDEX(GMW!$A$2:$LR$60,MATCH(1,(GMW!$LQ$2:$LQ$60=C$3)*(GMW!$LP$2:$LP$60=C$4),0),$B177-1966)</f>
        <v>65244.5</v>
      </c>
    </row>
    <row r="178" spans="1:3">
      <c r="A178" s="534">
        <f t="shared" si="5"/>
        <v>201504</v>
      </c>
      <c r="B178" s="534">
        <f t="shared" si="6"/>
        <v>2144</v>
      </c>
      <c r="C178" s="534" cm="1">
        <f t="array" ref="C178">INDEX(GMW!$A$2:$LR$60,MATCH(1,(GMW!$LQ$2:$LQ$60=C$3)*(GMW!$LP$2:$LP$60=C$4),0),$B178-1966)</f>
        <v>65379</v>
      </c>
    </row>
    <row r="179" spans="1:3">
      <c r="A179" s="534">
        <f t="shared" si="5"/>
        <v>201601</v>
      </c>
      <c r="B179" s="534">
        <f t="shared" si="6"/>
        <v>2145</v>
      </c>
      <c r="C179" s="534" cm="1">
        <f t="array" ref="C179">INDEX(GMW!$A$2:$LR$60,MATCH(1,(GMW!$LQ$2:$LQ$60=C$3)*(GMW!$LP$2:$LP$60=C$4),0),$B179-1966)</f>
        <v>65513.5</v>
      </c>
    </row>
    <row r="180" spans="1:3">
      <c r="A180" s="534">
        <f t="shared" si="5"/>
        <v>201602</v>
      </c>
      <c r="B180" s="534">
        <f t="shared" si="6"/>
        <v>2146</v>
      </c>
      <c r="C180" s="534" cm="1">
        <f t="array" ref="C180">INDEX(GMW!$A$2:$LR$60,MATCH(1,(GMW!$LQ$2:$LQ$60=C$3)*(GMW!$LP$2:$LP$60=C$4),0),$B180-1966)</f>
        <v>65648</v>
      </c>
    </row>
    <row r="181" spans="1:3">
      <c r="A181" s="534">
        <f t="shared" si="5"/>
        <v>201603</v>
      </c>
      <c r="B181" s="534">
        <f t="shared" si="6"/>
        <v>2147</v>
      </c>
      <c r="C181" s="534" cm="1">
        <f t="array" ref="C181">INDEX(GMW!$A$2:$LR$60,MATCH(1,(GMW!$LQ$2:$LQ$60=C$3)*(GMW!$LP$2:$LP$60=C$4),0),$B181-1966)</f>
        <v>65746</v>
      </c>
    </row>
    <row r="182" spans="1:3">
      <c r="A182" s="534">
        <f t="shared" si="5"/>
        <v>201604</v>
      </c>
      <c r="B182" s="534">
        <f t="shared" si="6"/>
        <v>2148</v>
      </c>
      <c r="C182" s="534" cm="1">
        <f t="array" ref="C182">INDEX(GMW!$A$2:$LR$60,MATCH(1,(GMW!$LQ$2:$LQ$60=C$3)*(GMW!$LP$2:$LP$60=C$4),0),$B182-1966)</f>
        <v>65844</v>
      </c>
    </row>
    <row r="183" spans="1:3">
      <c r="A183" s="534">
        <f t="shared" si="5"/>
        <v>201701</v>
      </c>
      <c r="B183" s="534">
        <f t="shared" si="6"/>
        <v>2149</v>
      </c>
      <c r="C183" s="534" cm="1">
        <f t="array" ref="C183">INDEX(GMW!$A$2:$LR$60,MATCH(1,(GMW!$LQ$2:$LQ$60=C$3)*(GMW!$LP$2:$LP$60=C$4),0),$B183-1966)</f>
        <v>65942</v>
      </c>
    </row>
    <row r="184" spans="1:3">
      <c r="A184" s="534">
        <f t="shared" si="5"/>
        <v>201702</v>
      </c>
      <c r="B184" s="534">
        <f t="shared" si="6"/>
        <v>2150</v>
      </c>
      <c r="C184" s="534" cm="1">
        <f t="array" ref="C184">INDEX(GMW!$A$2:$LR$60,MATCH(1,(GMW!$LQ$2:$LQ$60=C$3)*(GMW!$LP$2:$LP$60=C$4),0),$B184-1966)</f>
        <v>66040</v>
      </c>
    </row>
    <row r="185" spans="1:3">
      <c r="A185" s="534">
        <f t="shared" si="5"/>
        <v>201703</v>
      </c>
      <c r="B185" s="534">
        <f t="shared" si="6"/>
        <v>2151</v>
      </c>
      <c r="C185" s="534" cm="1">
        <f t="array" ref="C185">INDEX(GMW!$A$2:$LR$60,MATCH(1,(GMW!$LQ$2:$LQ$60=C$3)*(GMW!$LP$2:$LP$60=C$4),0),$B185-1966)</f>
        <v>66139</v>
      </c>
    </row>
    <row r="186" spans="1:3">
      <c r="A186" s="534">
        <f t="shared" si="5"/>
        <v>201704</v>
      </c>
      <c r="B186" s="534">
        <f t="shared" si="6"/>
        <v>2152</v>
      </c>
      <c r="C186" s="534" cm="1">
        <f t="array" ref="C186">INDEX(GMW!$A$2:$LR$60,MATCH(1,(GMW!$LQ$2:$LQ$60=C$3)*(GMW!$LP$2:$LP$60=C$4),0),$B186-1966)</f>
        <v>66238</v>
      </c>
    </row>
    <row r="187" spans="1:3">
      <c r="A187" s="534">
        <f t="shared" si="5"/>
        <v>201801</v>
      </c>
      <c r="B187" s="534">
        <f t="shared" si="6"/>
        <v>2153</v>
      </c>
      <c r="C187" s="534" cm="1">
        <f t="array" ref="C187">INDEX(GMW!$A$2:$LR$60,MATCH(1,(GMW!$LQ$2:$LQ$60=C$3)*(GMW!$LP$2:$LP$60=C$4),0),$B187-1966)</f>
        <v>66337</v>
      </c>
    </row>
    <row r="188" spans="1:3">
      <c r="A188" s="534">
        <f t="shared" si="5"/>
        <v>201802</v>
      </c>
      <c r="B188" s="534">
        <f t="shared" si="6"/>
        <v>2154</v>
      </c>
      <c r="C188" s="534" cm="1">
        <f t="array" ref="C188">INDEX(GMW!$A$2:$LR$60,MATCH(1,(GMW!$LQ$2:$LQ$60=C$3)*(GMW!$LP$2:$LP$60=C$4),0),$B188-1966)</f>
        <v>66436</v>
      </c>
    </row>
    <row r="189" spans="1:3">
      <c r="A189" s="534">
        <f t="shared" si="5"/>
        <v>201803</v>
      </c>
      <c r="B189" s="534">
        <f t="shared" si="6"/>
        <v>2155</v>
      </c>
      <c r="C189" s="534" cm="1">
        <f t="array" ref="C189">INDEX(GMW!$A$2:$LR$60,MATCH(1,(GMW!$LQ$2:$LQ$60=C$3)*(GMW!$LP$2:$LP$60=C$4),0),$B189-1966)</f>
        <v>66526.25</v>
      </c>
    </row>
    <row r="190" spans="1:3">
      <c r="A190" s="534">
        <f t="shared" si="5"/>
        <v>201804</v>
      </c>
      <c r="B190" s="534">
        <f t="shared" si="6"/>
        <v>2156</v>
      </c>
      <c r="C190" s="534" cm="1">
        <f t="array" ref="C190">INDEX(GMW!$A$2:$LR$60,MATCH(1,(GMW!$LQ$2:$LQ$60=C$3)*(GMW!$LP$2:$LP$60=C$4),0),$B190-1966)</f>
        <v>66616.5</v>
      </c>
    </row>
    <row r="191" spans="1:3">
      <c r="A191" s="534">
        <f t="shared" si="5"/>
        <v>201901</v>
      </c>
      <c r="B191" s="534">
        <f t="shared" si="6"/>
        <v>2157</v>
      </c>
      <c r="C191" s="534" cm="1">
        <f t="array" ref="C191">INDEX(GMW!$A$2:$LR$60,MATCH(1,(GMW!$LQ$2:$LQ$60=C$3)*(GMW!$LP$2:$LP$60=C$4),0),$B191-1966)</f>
        <v>66706.75</v>
      </c>
    </row>
    <row r="192" spans="1:3">
      <c r="A192" s="534">
        <f t="shared" si="5"/>
        <v>201902</v>
      </c>
      <c r="B192" s="534">
        <f t="shared" si="6"/>
        <v>2158</v>
      </c>
      <c r="C192" s="534" cm="1">
        <f t="array" ref="C192">INDEX(GMW!$A$2:$LR$60,MATCH(1,(GMW!$LQ$2:$LQ$60=C$3)*(GMW!$LP$2:$LP$60=C$4),0),$B192-1966)</f>
        <v>66797</v>
      </c>
    </row>
    <row r="193" spans="1:3">
      <c r="A193" s="534">
        <f t="shared" si="5"/>
        <v>201903</v>
      </c>
      <c r="B193" s="534">
        <f t="shared" si="6"/>
        <v>2159</v>
      </c>
      <c r="C193" s="534" cm="1">
        <f t="array" ref="C193">INDEX(GMW!$A$2:$LR$60,MATCH(1,(GMW!$LQ$2:$LQ$60=C$3)*(GMW!$LP$2:$LP$60=C$4),0),$B193-1966)</f>
        <v>66868</v>
      </c>
    </row>
    <row r="194" spans="1:3">
      <c r="A194" s="534">
        <f t="shared" si="5"/>
        <v>201904</v>
      </c>
      <c r="B194" s="534">
        <f t="shared" si="6"/>
        <v>2160</v>
      </c>
      <c r="C194" s="534" cm="1">
        <f t="array" ref="C194">INDEX(GMW!$A$2:$LR$60,MATCH(1,(GMW!$LQ$2:$LQ$60=C$3)*(GMW!$LP$2:$LP$60=C$4),0),$B194-1966)</f>
        <v>66939</v>
      </c>
    </row>
    <row r="195" spans="1:3">
      <c r="A195" s="534">
        <f t="shared" si="5"/>
        <v>202001</v>
      </c>
      <c r="B195" s="534">
        <f t="shared" si="6"/>
        <v>2161</v>
      </c>
      <c r="C195" s="534" cm="1">
        <f t="array" ref="C195">INDEX(GMW!$A$2:$LR$60,MATCH(1,(GMW!$LQ$2:$LQ$60=C$3)*(GMW!$LP$2:$LP$60=C$4),0),$B195-1966)</f>
        <v>67010</v>
      </c>
    </row>
    <row r="196" spans="1:3">
      <c r="A196" s="534">
        <f t="shared" si="5"/>
        <v>202002</v>
      </c>
      <c r="B196" s="534">
        <f t="shared" si="6"/>
        <v>2162</v>
      </c>
      <c r="C196" s="534" cm="1">
        <f t="array" ref="C196">INDEX(GMW!$A$2:$LR$60,MATCH(1,(GMW!$LQ$2:$LQ$60=C$3)*(GMW!$LP$2:$LP$60=C$4),0),$B196-1966)</f>
        <v>67081</v>
      </c>
    </row>
    <row r="197" spans="1:3">
      <c r="A197" s="534">
        <f t="shared" si="5"/>
        <v>202003</v>
      </c>
      <c r="B197" s="534">
        <f t="shared" si="6"/>
        <v>2163</v>
      </c>
      <c r="C197" s="534" cm="1">
        <f t="array" ref="C197">INDEX(GMW!$A$2:$LR$60,MATCH(1,(GMW!$LQ$2:$LQ$60=C$3)*(GMW!$LP$2:$LP$60=C$4),0),$B197-1966)</f>
        <v>67067.25</v>
      </c>
    </row>
    <row r="198" spans="1:3">
      <c r="A198" s="534">
        <f t="shared" si="5"/>
        <v>202004</v>
      </c>
      <c r="B198" s="534">
        <f t="shared" si="6"/>
        <v>2164</v>
      </c>
      <c r="C198" s="534" cm="1">
        <f t="array" ref="C198">INDEX(GMW!$A$2:$LR$60,MATCH(1,(GMW!$LQ$2:$LQ$60=C$3)*(GMW!$LP$2:$LP$60=C$4),0),$B198-1966)</f>
        <v>67053.5</v>
      </c>
    </row>
    <row r="199" spans="1:3">
      <c r="A199" s="534">
        <f t="shared" si="5"/>
        <v>202101</v>
      </c>
      <c r="B199" s="534">
        <f t="shared" si="6"/>
        <v>2165</v>
      </c>
      <c r="C199" s="534" cm="1">
        <f t="array" ref="C199">INDEX(GMW!$A$2:$LR$60,MATCH(1,(GMW!$LQ$2:$LQ$60=C$3)*(GMW!$LP$2:$LP$60=C$4),0),$B199-1966)</f>
        <v>67039.75</v>
      </c>
    </row>
    <row r="200" spans="1:3">
      <c r="A200" s="534">
        <f t="shared" si="5"/>
        <v>202102</v>
      </c>
      <c r="B200" s="534">
        <f t="shared" si="6"/>
        <v>2166</v>
      </c>
      <c r="C200" s="534" cm="1">
        <f t="array" ref="C200">INDEX(GMW!$A$2:$LR$60,MATCH(1,(GMW!$LQ$2:$LQ$60=C$3)*(GMW!$LP$2:$LP$60=C$4),0),$B200-1966)</f>
        <v>67026</v>
      </c>
    </row>
    <row r="201" spans="1:3">
      <c r="A201" s="534">
        <f t="shared" si="5"/>
        <v>202103</v>
      </c>
      <c r="B201" s="534">
        <f t="shared" si="6"/>
        <v>2167</v>
      </c>
      <c r="C201" s="534" cm="1">
        <f t="array" ref="C201">INDEX(GMW!$A$2:$LR$60,MATCH(1,(GMW!$LQ$2:$LQ$60=C$3)*(GMW!$LP$2:$LP$60=C$4),0),$B201-1966)</f>
        <v>67185.16</v>
      </c>
    </row>
    <row r="202" spans="1:3">
      <c r="A202" s="534">
        <f t="shared" si="5"/>
        <v>202104</v>
      </c>
      <c r="B202" s="534">
        <f t="shared" si="6"/>
        <v>2168</v>
      </c>
      <c r="C202" s="534" cm="1">
        <f t="array" ref="C202">INDEX(GMW!$A$2:$LR$60,MATCH(1,(GMW!$LQ$2:$LQ$60=C$3)*(GMW!$LP$2:$LP$60=C$4),0),$B202-1966)</f>
        <v>67344.02</v>
      </c>
    </row>
    <row r="203" spans="1:3">
      <c r="A203" s="534">
        <f t="shared" si="5"/>
        <v>202201</v>
      </c>
      <c r="B203" s="534">
        <f t="shared" si="6"/>
        <v>2169</v>
      </c>
      <c r="C203" s="534" cm="1">
        <f t="array" ref="C203">INDEX(GMW!$A$2:$LR$60,MATCH(1,(GMW!$LQ$2:$LQ$60=C$3)*(GMW!$LP$2:$LP$60=C$4),0),$B203-1966)</f>
        <v>67502.880000000005</v>
      </c>
    </row>
    <row r="204" spans="1:3">
      <c r="A204" s="534">
        <f t="shared" ref="A204:A267" si="7">+A200+100</f>
        <v>202202</v>
      </c>
      <c r="B204" s="534">
        <f t="shared" si="6"/>
        <v>2170</v>
      </c>
      <c r="C204" s="534" cm="1">
        <f t="array" ref="C204">INDEX(GMW!$A$2:$LR$60,MATCH(1,(GMW!$LQ$2:$LQ$60=C$3)*(GMW!$LP$2:$LP$60=C$4),0),$B204-1966)</f>
        <v>67661.75</v>
      </c>
    </row>
    <row r="205" spans="1:3">
      <c r="A205" s="534">
        <f t="shared" si="7"/>
        <v>202203</v>
      </c>
      <c r="B205" s="534">
        <f t="shared" si="6"/>
        <v>2171</v>
      </c>
      <c r="C205" s="534" cm="1">
        <f t="array" ref="C205">INDEX(GMW!$A$2:$LR$60,MATCH(1,(GMW!$LQ$2:$LQ$60=C$3)*(GMW!$LP$2:$LP$60=C$4),0),$B205-1966)</f>
        <v>67833.87</v>
      </c>
    </row>
    <row r="206" spans="1:3">
      <c r="A206" s="534">
        <f t="shared" si="7"/>
        <v>202204</v>
      </c>
      <c r="B206" s="534">
        <f t="shared" si="6"/>
        <v>2172</v>
      </c>
      <c r="C206" s="534" cm="1">
        <f t="array" ref="C206">INDEX(GMW!$A$2:$LR$60,MATCH(1,(GMW!$LQ$2:$LQ$60=C$3)*(GMW!$LP$2:$LP$60=C$4),0),$B206-1966)</f>
        <v>68005.990000000005</v>
      </c>
    </row>
    <row r="207" spans="1:3">
      <c r="A207" s="534">
        <f t="shared" si="7"/>
        <v>202301</v>
      </c>
      <c r="B207" s="534">
        <f t="shared" si="6"/>
        <v>2173</v>
      </c>
      <c r="C207" s="534" cm="1">
        <f t="array" ref="C207">INDEX(GMW!$A$2:$LR$60,MATCH(1,(GMW!$LQ$2:$LQ$60=C$3)*(GMW!$LP$2:$LP$60=C$4),0),$B207-1966)</f>
        <v>68178.12</v>
      </c>
    </row>
    <row r="208" spans="1:3">
      <c r="A208" s="534">
        <f t="shared" si="7"/>
        <v>202302</v>
      </c>
      <c r="B208" s="534">
        <f t="shared" si="6"/>
        <v>2174</v>
      </c>
      <c r="C208" s="534" cm="1">
        <f t="array" ref="C208">INDEX(GMW!$A$2:$LR$60,MATCH(1,(GMW!$LQ$2:$LQ$60=C$3)*(GMW!$LP$2:$LP$60=C$4),0),$B208-1966)</f>
        <v>68350.23</v>
      </c>
    </row>
    <row r="209" spans="1:3">
      <c r="A209" s="534">
        <f t="shared" si="7"/>
        <v>202303</v>
      </c>
      <c r="B209" s="534">
        <f t="shared" si="6"/>
        <v>2175</v>
      </c>
      <c r="C209" s="534" cm="1">
        <f t="array" ref="C209">INDEX(GMW!$A$2:$LR$60,MATCH(1,(GMW!$LQ$2:$LQ$60=C$3)*(GMW!$LP$2:$LP$60=C$4),0),$B209-1966)</f>
        <v>68515.88</v>
      </c>
    </row>
    <row r="210" spans="1:3">
      <c r="A210" s="534">
        <f t="shared" si="7"/>
        <v>202304</v>
      </c>
      <c r="B210" s="534">
        <f t="shared" si="6"/>
        <v>2176</v>
      </c>
      <c r="C210" s="534" cm="1">
        <f t="array" ref="C210">INDEX(GMW!$A$2:$LR$60,MATCH(1,(GMW!$LQ$2:$LQ$60=C$3)*(GMW!$LP$2:$LP$60=C$4),0),$B210-1966)</f>
        <v>68681.53</v>
      </c>
    </row>
    <row r="211" spans="1:3">
      <c r="A211" s="534">
        <f t="shared" si="7"/>
        <v>202401</v>
      </c>
      <c r="B211" s="534">
        <f t="shared" si="6"/>
        <v>2177</v>
      </c>
      <c r="C211" s="534" cm="1">
        <f t="array" ref="C211">INDEX(GMW!$A$2:$LR$60,MATCH(1,(GMW!$LQ$2:$LQ$60=C$3)*(GMW!$LP$2:$LP$60=C$4),0),$B211-1966)</f>
        <v>68847.179999999993</v>
      </c>
    </row>
    <row r="212" spans="1:3">
      <c r="A212" s="534">
        <f t="shared" si="7"/>
        <v>202402</v>
      </c>
      <c r="B212" s="534">
        <f t="shared" si="6"/>
        <v>2178</v>
      </c>
      <c r="C212" s="534" cm="1">
        <f t="array" ref="C212">INDEX(GMW!$A$2:$LR$60,MATCH(1,(GMW!$LQ$2:$LQ$60=C$3)*(GMW!$LP$2:$LP$60=C$4),0),$B212-1966)</f>
        <v>69012.83</v>
      </c>
    </row>
    <row r="213" spans="1:3">
      <c r="A213" s="534">
        <f t="shared" si="7"/>
        <v>202403</v>
      </c>
      <c r="B213" s="534">
        <f t="shared" si="6"/>
        <v>2179</v>
      </c>
      <c r="C213" s="534" cm="1">
        <f t="array" ref="C213">INDEX(GMW!$A$2:$LR$60,MATCH(1,(GMW!$LQ$2:$LQ$60=C$3)*(GMW!$LP$2:$LP$60=C$4),0),$B213-1966)</f>
        <v>69157.8</v>
      </c>
    </row>
    <row r="214" spans="1:3">
      <c r="A214" s="534">
        <f t="shared" si="7"/>
        <v>202404</v>
      </c>
      <c r="B214" s="534">
        <f t="shared" si="6"/>
        <v>2180</v>
      </c>
      <c r="C214" s="534" cm="1">
        <f t="array" ref="C214">INDEX(GMW!$A$2:$LR$60,MATCH(1,(GMW!$LQ$2:$LQ$60=C$3)*(GMW!$LP$2:$LP$60=C$4),0),$B214-1966)</f>
        <v>69302.78</v>
      </c>
    </row>
    <row r="215" spans="1:3">
      <c r="A215" s="534">
        <f t="shared" si="7"/>
        <v>202501</v>
      </c>
      <c r="B215" s="534">
        <f t="shared" si="6"/>
        <v>2181</v>
      </c>
      <c r="C215" s="534" cm="1">
        <f t="array" ref="C215">INDEX(GMW!$A$2:$LR$60,MATCH(1,(GMW!$LQ$2:$LQ$60=C$3)*(GMW!$LP$2:$LP$60=C$4),0),$B215-1966)</f>
        <v>69447.77</v>
      </c>
    </row>
    <row r="216" spans="1:3">
      <c r="A216" s="534">
        <f t="shared" si="7"/>
        <v>202502</v>
      </c>
      <c r="B216" s="534">
        <f t="shared" si="6"/>
        <v>2182</v>
      </c>
      <c r="C216" s="534" cm="1">
        <f t="array" ref="C216">INDEX(GMW!$A$2:$LR$60,MATCH(1,(GMW!$LQ$2:$LQ$60=C$3)*(GMW!$LP$2:$LP$60=C$4),0),$B216-1966)</f>
        <v>69592.740000000005</v>
      </c>
    </row>
    <row r="217" spans="1:3">
      <c r="A217" s="534">
        <f t="shared" si="7"/>
        <v>202503</v>
      </c>
      <c r="B217" s="534">
        <f t="shared" si="6"/>
        <v>2183</v>
      </c>
      <c r="C217" s="534" cm="1">
        <f t="array" ref="C217">INDEX(GMW!$A$2:$LR$60,MATCH(1,(GMW!$LQ$2:$LQ$60=C$3)*(GMW!$LP$2:$LP$60=C$4),0),$B217-1966)</f>
        <v>69715.78</v>
      </c>
    </row>
    <row r="218" spans="1:3">
      <c r="A218" s="534">
        <f t="shared" si="7"/>
        <v>202504</v>
      </c>
      <c r="B218" s="534">
        <f t="shared" si="6"/>
        <v>2184</v>
      </c>
      <c r="C218" s="534" cm="1">
        <f t="array" ref="C218">INDEX(GMW!$A$2:$LR$60,MATCH(1,(GMW!$LQ$2:$LQ$60=C$3)*(GMW!$LP$2:$LP$60=C$4),0),$B218-1966)</f>
        <v>69838.820000000007</v>
      </c>
    </row>
    <row r="219" spans="1:3">
      <c r="A219" s="534">
        <f t="shared" si="7"/>
        <v>202601</v>
      </c>
      <c r="B219" s="534">
        <f t="shared" si="6"/>
        <v>2185</v>
      </c>
      <c r="C219" s="534" cm="1">
        <f t="array" ref="C219">INDEX(GMW!$A$2:$LR$60,MATCH(1,(GMW!$LQ$2:$LQ$60=C$3)*(GMW!$LP$2:$LP$60=C$4),0),$B219-1966)</f>
        <v>69961.86</v>
      </c>
    </row>
    <row r="220" spans="1:3">
      <c r="A220" s="534">
        <f t="shared" si="7"/>
        <v>202602</v>
      </c>
      <c r="B220" s="534">
        <f t="shared" si="6"/>
        <v>2186</v>
      </c>
      <c r="C220" s="534" cm="1">
        <f t="array" ref="C220">INDEX(GMW!$A$2:$LR$60,MATCH(1,(GMW!$LQ$2:$LQ$60=C$3)*(GMW!$LP$2:$LP$60=C$4),0),$B220-1966)</f>
        <v>70084.899999999994</v>
      </c>
    </row>
    <row r="221" spans="1:3">
      <c r="A221" s="534">
        <f t="shared" si="7"/>
        <v>202603</v>
      </c>
      <c r="B221" s="534">
        <f t="shared" si="6"/>
        <v>2187</v>
      </c>
      <c r="C221" s="534" cm="1">
        <f t="array" ref="C221">INDEX(GMW!$A$2:$LR$60,MATCH(1,(GMW!$LQ$2:$LQ$60=C$3)*(GMW!$LP$2:$LP$60=C$4),0),$B221-1966)</f>
        <v>70185.539999999994</v>
      </c>
    </row>
    <row r="222" spans="1:3">
      <c r="A222" s="534">
        <f t="shared" si="7"/>
        <v>202604</v>
      </c>
      <c r="B222" s="534">
        <f t="shared" si="6"/>
        <v>2188</v>
      </c>
      <c r="C222" s="534" cm="1">
        <f t="array" ref="C222">INDEX(GMW!$A$2:$LR$60,MATCH(1,(GMW!$LQ$2:$LQ$60=C$3)*(GMW!$LP$2:$LP$60=C$4),0),$B222-1966)</f>
        <v>70286.179999999993</v>
      </c>
    </row>
    <row r="223" spans="1:3">
      <c r="A223" s="534">
        <f t="shared" si="7"/>
        <v>202701</v>
      </c>
      <c r="B223" s="534">
        <f t="shared" si="6"/>
        <v>2189</v>
      </c>
      <c r="C223" s="534" cm="1">
        <f t="array" ref="C223">INDEX(GMW!$A$2:$LR$60,MATCH(1,(GMW!$LQ$2:$LQ$60=C$3)*(GMW!$LP$2:$LP$60=C$4),0),$B223-1966)</f>
        <v>70386.820000000007</v>
      </c>
    </row>
    <row r="224" spans="1:3">
      <c r="A224" s="534">
        <f t="shared" si="7"/>
        <v>202702</v>
      </c>
      <c r="B224" s="534">
        <f t="shared" si="6"/>
        <v>2190</v>
      </c>
      <c r="C224" s="534" cm="1">
        <f t="array" ref="C224">INDEX(GMW!$A$2:$LR$60,MATCH(1,(GMW!$LQ$2:$LQ$60=C$3)*(GMW!$LP$2:$LP$60=C$4),0),$B224-1966)</f>
        <v>70487.47</v>
      </c>
    </row>
    <row r="225" spans="1:3">
      <c r="A225" s="534">
        <f t="shared" si="7"/>
        <v>202703</v>
      </c>
      <c r="B225" s="534">
        <f t="shared" si="6"/>
        <v>2191</v>
      </c>
      <c r="C225" s="534" cm="1">
        <f t="array" ref="C225">INDEX(GMW!$A$2:$LR$60,MATCH(1,(GMW!$LQ$2:$LQ$60=C$3)*(GMW!$LP$2:$LP$60=C$4),0),$B225-1966)</f>
        <v>70565.240000000005</v>
      </c>
    </row>
    <row r="226" spans="1:3">
      <c r="A226" s="534">
        <f t="shared" si="7"/>
        <v>202704</v>
      </c>
      <c r="B226" s="534">
        <f t="shared" si="6"/>
        <v>2192</v>
      </c>
      <c r="C226" s="534" cm="1">
        <f t="array" ref="C226">INDEX(GMW!$A$2:$LR$60,MATCH(1,(GMW!$LQ$2:$LQ$60=C$3)*(GMW!$LP$2:$LP$60=C$4),0),$B226-1966)</f>
        <v>70643.02</v>
      </c>
    </row>
    <row r="227" spans="1:3">
      <c r="A227" s="534">
        <f t="shared" si="7"/>
        <v>202801</v>
      </c>
      <c r="B227" s="534">
        <f t="shared" si="6"/>
        <v>2193</v>
      </c>
      <c r="C227" s="534" cm="1">
        <f t="array" ref="C227">INDEX(GMW!$A$2:$LR$60,MATCH(1,(GMW!$LQ$2:$LQ$60=C$3)*(GMW!$LP$2:$LP$60=C$4),0),$B227-1966)</f>
        <v>70720.800000000003</v>
      </c>
    </row>
    <row r="228" spans="1:3">
      <c r="A228" s="534">
        <f t="shared" si="7"/>
        <v>202802</v>
      </c>
      <c r="B228" s="534">
        <f t="shared" si="6"/>
        <v>2194</v>
      </c>
      <c r="C228" s="534" cm="1">
        <f t="array" ref="C228">INDEX(GMW!$A$2:$LR$60,MATCH(1,(GMW!$LQ$2:$LQ$60=C$3)*(GMW!$LP$2:$LP$60=C$4),0),$B228-1966)</f>
        <v>70798.59</v>
      </c>
    </row>
    <row r="229" spans="1:3">
      <c r="A229" s="534">
        <f t="shared" si="7"/>
        <v>202803</v>
      </c>
      <c r="B229" s="534">
        <f t="shared" si="6"/>
        <v>2195</v>
      </c>
      <c r="C229" s="534" cm="1">
        <f t="array" ref="C229">INDEX(GMW!$A$2:$LR$60,MATCH(1,(GMW!$LQ$2:$LQ$60=C$3)*(GMW!$LP$2:$LP$60=C$4),0),$B229-1966)</f>
        <v>70874.13</v>
      </c>
    </row>
    <row r="230" spans="1:3">
      <c r="A230" s="534">
        <f t="shared" si="7"/>
        <v>202804</v>
      </c>
      <c r="B230" s="534">
        <f t="shared" si="6"/>
        <v>2196</v>
      </c>
      <c r="C230" s="534" cm="1">
        <f t="array" ref="C230">INDEX(GMW!$A$2:$LR$60,MATCH(1,(GMW!$LQ$2:$LQ$60=C$3)*(GMW!$LP$2:$LP$60=C$4),0),$B230-1966)</f>
        <v>70949.679999999993</v>
      </c>
    </row>
    <row r="231" spans="1:3">
      <c r="A231" s="534">
        <f t="shared" si="7"/>
        <v>202901</v>
      </c>
      <c r="B231" s="534">
        <f t="shared" si="6"/>
        <v>2197</v>
      </c>
      <c r="C231" s="534" cm="1">
        <f t="array" ref="C231">INDEX(GMW!$A$2:$LR$60,MATCH(1,(GMW!$LQ$2:$LQ$60=C$3)*(GMW!$LP$2:$LP$60=C$4),0),$B231-1966)</f>
        <v>71025.23</v>
      </c>
    </row>
    <row r="232" spans="1:3">
      <c r="A232" s="534">
        <f t="shared" si="7"/>
        <v>202902</v>
      </c>
      <c r="B232" s="534">
        <f t="shared" si="6"/>
        <v>2198</v>
      </c>
      <c r="C232" s="534" cm="1">
        <f t="array" ref="C232">INDEX(GMW!$A$2:$LR$60,MATCH(1,(GMW!$LQ$2:$LQ$60=C$3)*(GMW!$LP$2:$LP$60=C$4),0),$B232-1966)</f>
        <v>71100.77</v>
      </c>
    </row>
    <row r="233" spans="1:3">
      <c r="A233" s="534">
        <f t="shared" si="7"/>
        <v>202903</v>
      </c>
      <c r="B233" s="534">
        <f t="shared" si="6"/>
        <v>2199</v>
      </c>
      <c r="C233" s="534" cm="1">
        <f t="array" ref="C233">INDEX(GMW!$A$2:$LR$60,MATCH(1,(GMW!$LQ$2:$LQ$60=C$3)*(GMW!$LP$2:$LP$60=C$4),0),$B233-1966)</f>
        <v>71174.05</v>
      </c>
    </row>
    <row r="234" spans="1:3">
      <c r="A234" s="534">
        <f t="shared" si="7"/>
        <v>202904</v>
      </c>
      <c r="B234" s="534">
        <f t="shared" si="6"/>
        <v>2200</v>
      </c>
      <c r="C234" s="534" cm="1">
        <f t="array" ref="C234">INDEX(GMW!$A$2:$LR$60,MATCH(1,(GMW!$LQ$2:$LQ$60=C$3)*(GMW!$LP$2:$LP$60=C$4),0),$B234-1966)</f>
        <v>71247.34</v>
      </c>
    </row>
    <row r="235" spans="1:3">
      <c r="A235" s="534">
        <f t="shared" si="7"/>
        <v>203001</v>
      </c>
      <c r="B235" s="534">
        <f t="shared" si="6"/>
        <v>2201</v>
      </c>
      <c r="C235" s="534" cm="1">
        <f t="array" ref="C235">INDEX(GMW!$A$2:$LR$60,MATCH(1,(GMW!$LQ$2:$LQ$60=C$3)*(GMW!$LP$2:$LP$60=C$4),0),$B235-1966)</f>
        <v>71320.62</v>
      </c>
    </row>
    <row r="236" spans="1:3">
      <c r="A236" s="534">
        <f t="shared" si="7"/>
        <v>203002</v>
      </c>
      <c r="B236" s="534">
        <f t="shared" si="6"/>
        <v>2202</v>
      </c>
      <c r="C236" s="534" cm="1">
        <f t="array" ref="C236">INDEX(GMW!$A$2:$LR$60,MATCH(1,(GMW!$LQ$2:$LQ$60=C$3)*(GMW!$LP$2:$LP$60=C$4),0),$B236-1966)</f>
        <v>71393.899999999994</v>
      </c>
    </row>
    <row r="237" spans="1:3">
      <c r="A237" s="534">
        <f t="shared" si="7"/>
        <v>203003</v>
      </c>
      <c r="B237" s="534">
        <f t="shared" si="6"/>
        <v>2203</v>
      </c>
      <c r="C237" s="534" cm="1">
        <f t="array" ref="C237">INDEX(GMW!$A$2:$LR$60,MATCH(1,(GMW!$LQ$2:$LQ$60=C$3)*(GMW!$LP$2:$LP$60=C$4),0),$B237-1966)</f>
        <v>71464.95</v>
      </c>
    </row>
    <row r="238" spans="1:3">
      <c r="A238" s="534">
        <f t="shared" si="7"/>
        <v>203004</v>
      </c>
      <c r="B238" s="534">
        <f t="shared" si="6"/>
        <v>2204</v>
      </c>
      <c r="C238" s="534" cm="1">
        <f t="array" ref="C238">INDEX(GMW!$A$2:$LR$60,MATCH(1,(GMW!$LQ$2:$LQ$60=C$3)*(GMW!$LP$2:$LP$60=C$4),0),$B238-1966)</f>
        <v>71535.98</v>
      </c>
    </row>
    <row r="239" spans="1:3">
      <c r="A239" s="534">
        <f t="shared" si="7"/>
        <v>203101</v>
      </c>
      <c r="B239" s="534">
        <f t="shared" si="6"/>
        <v>2205</v>
      </c>
      <c r="C239" s="534" cm="1">
        <f t="array" ref="C239">INDEX(GMW!$A$2:$LR$60,MATCH(1,(GMW!$LQ$2:$LQ$60=C$3)*(GMW!$LP$2:$LP$60=C$4),0),$B239-1966)</f>
        <v>71607.02</v>
      </c>
    </row>
    <row r="240" spans="1:3">
      <c r="A240" s="534">
        <f t="shared" si="7"/>
        <v>203102</v>
      </c>
      <c r="B240" s="534">
        <f t="shared" si="6"/>
        <v>2206</v>
      </c>
      <c r="C240" s="534" cm="1">
        <f t="array" ref="C240">INDEX(GMW!$A$2:$LR$60,MATCH(1,(GMW!$LQ$2:$LQ$60=C$3)*(GMW!$LP$2:$LP$60=C$4),0),$B240-1966)</f>
        <v>71678.070000000007</v>
      </c>
    </row>
    <row r="241" spans="1:3">
      <c r="A241" s="534">
        <f t="shared" si="7"/>
        <v>203103</v>
      </c>
      <c r="B241" s="534">
        <f t="shared" ref="B241:B304" si="8">+B240+1</f>
        <v>2207</v>
      </c>
      <c r="C241" s="534" cm="1">
        <f t="array" ref="C241">INDEX(GMW!$A$2:$LR$60,MATCH(1,(GMW!$LQ$2:$LQ$60=C$3)*(GMW!$LP$2:$LP$60=C$4),0),$B241-1966)</f>
        <v>71746.95</v>
      </c>
    </row>
    <row r="242" spans="1:3">
      <c r="A242" s="534">
        <f t="shared" si="7"/>
        <v>203104</v>
      </c>
      <c r="B242" s="534">
        <f t="shared" si="8"/>
        <v>2208</v>
      </c>
      <c r="C242" s="534" cm="1">
        <f t="array" ref="C242">INDEX(GMW!$A$2:$LR$60,MATCH(1,(GMW!$LQ$2:$LQ$60=C$3)*(GMW!$LP$2:$LP$60=C$4),0),$B242-1966)</f>
        <v>71815.839999999997</v>
      </c>
    </row>
    <row r="243" spans="1:3">
      <c r="A243" s="534">
        <f t="shared" si="7"/>
        <v>203201</v>
      </c>
      <c r="B243" s="534">
        <f t="shared" si="8"/>
        <v>2209</v>
      </c>
      <c r="C243" s="534" cm="1">
        <f t="array" ref="C243">INDEX(GMW!$A$2:$LR$60,MATCH(1,(GMW!$LQ$2:$LQ$60=C$3)*(GMW!$LP$2:$LP$60=C$4),0),$B243-1966)</f>
        <v>71884.710000000006</v>
      </c>
    </row>
    <row r="244" spans="1:3">
      <c r="A244" s="534">
        <f t="shared" si="7"/>
        <v>203202</v>
      </c>
      <c r="B244" s="534">
        <f t="shared" si="8"/>
        <v>2210</v>
      </c>
      <c r="C244" s="534" cm="1">
        <f t="array" ref="C244">INDEX(GMW!$A$2:$LR$60,MATCH(1,(GMW!$LQ$2:$LQ$60=C$3)*(GMW!$LP$2:$LP$60=C$4),0),$B244-1966)</f>
        <v>71953.59</v>
      </c>
    </row>
    <row r="245" spans="1:3">
      <c r="A245" s="534">
        <f t="shared" si="7"/>
        <v>203203</v>
      </c>
      <c r="B245" s="534">
        <f t="shared" si="8"/>
        <v>2211</v>
      </c>
      <c r="C245" s="534" cm="1">
        <f t="array" ref="C245">INDEX(GMW!$A$2:$LR$60,MATCH(1,(GMW!$LQ$2:$LQ$60=C$3)*(GMW!$LP$2:$LP$60=C$4),0),$B245-1966)</f>
        <v>72020.33</v>
      </c>
    </row>
    <row r="246" spans="1:3">
      <c r="A246" s="534">
        <f t="shared" si="7"/>
        <v>203204</v>
      </c>
      <c r="B246" s="534">
        <f t="shared" si="8"/>
        <v>2212</v>
      </c>
      <c r="C246" s="534" cm="1">
        <f t="array" ref="C246">INDEX(GMW!$A$2:$LR$60,MATCH(1,(GMW!$LQ$2:$LQ$60=C$3)*(GMW!$LP$2:$LP$60=C$4),0),$B246-1966)</f>
        <v>72087.070000000007</v>
      </c>
    </row>
    <row r="247" spans="1:3">
      <c r="A247" s="534">
        <f t="shared" si="7"/>
        <v>203301</v>
      </c>
      <c r="B247" s="534">
        <f t="shared" si="8"/>
        <v>2213</v>
      </c>
      <c r="C247" s="534" cm="1">
        <f t="array" ref="C247">INDEX(GMW!$A$2:$LR$60,MATCH(1,(GMW!$LQ$2:$LQ$60=C$3)*(GMW!$LP$2:$LP$60=C$4),0),$B247-1966)</f>
        <v>72153.8</v>
      </c>
    </row>
    <row r="248" spans="1:3">
      <c r="A248" s="534">
        <f t="shared" si="7"/>
        <v>203302</v>
      </c>
      <c r="B248" s="534">
        <f t="shared" si="8"/>
        <v>2214</v>
      </c>
      <c r="C248" s="534" cm="1">
        <f t="array" ref="C248">INDEX(GMW!$A$2:$LR$60,MATCH(1,(GMW!$LQ$2:$LQ$60=C$3)*(GMW!$LP$2:$LP$60=C$4),0),$B248-1966)</f>
        <v>72220.539999999994</v>
      </c>
    </row>
    <row r="249" spans="1:3">
      <c r="A249" s="534">
        <f t="shared" si="7"/>
        <v>203303</v>
      </c>
      <c r="B249" s="534">
        <f t="shared" si="8"/>
        <v>2215</v>
      </c>
      <c r="C249" s="534" cm="1">
        <f t="array" ref="C249">INDEX(GMW!$A$2:$LR$60,MATCH(1,(GMW!$LQ$2:$LQ$60=C$3)*(GMW!$LP$2:$LP$60=C$4),0),$B249-1966)</f>
        <v>72285.2</v>
      </c>
    </row>
    <row r="250" spans="1:3">
      <c r="A250" s="534">
        <f t="shared" si="7"/>
        <v>203304</v>
      </c>
      <c r="B250" s="534">
        <f t="shared" si="8"/>
        <v>2216</v>
      </c>
      <c r="C250" s="534" cm="1">
        <f t="array" ref="C250">INDEX(GMW!$A$2:$LR$60,MATCH(1,(GMW!$LQ$2:$LQ$60=C$3)*(GMW!$LP$2:$LP$60=C$4),0),$B250-1966)</f>
        <v>72349.88</v>
      </c>
    </row>
    <row r="251" spans="1:3">
      <c r="A251" s="534">
        <f t="shared" si="7"/>
        <v>203401</v>
      </c>
      <c r="B251" s="534">
        <f t="shared" si="8"/>
        <v>2217</v>
      </c>
      <c r="C251" s="534" cm="1">
        <f t="array" ref="C251">INDEX(GMW!$A$2:$LR$60,MATCH(1,(GMW!$LQ$2:$LQ$60=C$3)*(GMW!$LP$2:$LP$60=C$4),0),$B251-1966)</f>
        <v>72414.539999999994</v>
      </c>
    </row>
    <row r="252" spans="1:3">
      <c r="A252" s="534">
        <f t="shared" si="7"/>
        <v>203402</v>
      </c>
      <c r="B252" s="534">
        <f t="shared" si="8"/>
        <v>2218</v>
      </c>
      <c r="C252" s="534" cm="1">
        <f t="array" ref="C252">INDEX(GMW!$A$2:$LR$60,MATCH(1,(GMW!$LQ$2:$LQ$60=C$3)*(GMW!$LP$2:$LP$60=C$4),0),$B252-1966)</f>
        <v>72479.199999999997</v>
      </c>
    </row>
    <row r="253" spans="1:3">
      <c r="A253" s="534">
        <f t="shared" si="7"/>
        <v>203403</v>
      </c>
      <c r="B253" s="534">
        <f t="shared" si="8"/>
        <v>2219</v>
      </c>
      <c r="C253" s="534" cm="1">
        <f t="array" ref="C253">INDEX(GMW!$A$2:$LR$60,MATCH(1,(GMW!$LQ$2:$LQ$60=C$3)*(GMW!$LP$2:$LP$60=C$4),0),$B253-1966)</f>
        <v>72541.95</v>
      </c>
    </row>
    <row r="254" spans="1:3">
      <c r="A254" s="534">
        <f t="shared" si="7"/>
        <v>203404</v>
      </c>
      <c r="B254" s="534">
        <f t="shared" si="8"/>
        <v>2220</v>
      </c>
      <c r="C254" s="534" cm="1">
        <f t="array" ref="C254">INDEX(GMW!$A$2:$LR$60,MATCH(1,(GMW!$LQ$2:$LQ$60=C$3)*(GMW!$LP$2:$LP$60=C$4),0),$B254-1966)</f>
        <v>72604.7</v>
      </c>
    </row>
    <row r="255" spans="1:3">
      <c r="A255" s="534">
        <f t="shared" si="7"/>
        <v>203501</v>
      </c>
      <c r="B255" s="534">
        <f t="shared" si="8"/>
        <v>2221</v>
      </c>
      <c r="C255" s="534" cm="1">
        <f t="array" ref="C255">INDEX(GMW!$A$2:$LR$60,MATCH(1,(GMW!$LQ$2:$LQ$60=C$3)*(GMW!$LP$2:$LP$60=C$4),0),$B255-1966)</f>
        <v>72667.45</v>
      </c>
    </row>
    <row r="256" spans="1:3">
      <c r="A256" s="534">
        <f t="shared" si="7"/>
        <v>203502</v>
      </c>
      <c r="B256" s="534">
        <f t="shared" si="8"/>
        <v>2222</v>
      </c>
      <c r="C256" s="534" cm="1">
        <f t="array" ref="C256">INDEX(GMW!$A$2:$LR$60,MATCH(1,(GMW!$LQ$2:$LQ$60=C$3)*(GMW!$LP$2:$LP$60=C$4),0),$B256-1966)</f>
        <v>72730.2</v>
      </c>
    </row>
    <row r="257" spans="1:3">
      <c r="A257" s="534">
        <f t="shared" si="7"/>
        <v>203503</v>
      </c>
      <c r="B257" s="534">
        <f t="shared" si="8"/>
        <v>2223</v>
      </c>
      <c r="C257" s="534" cm="1">
        <f t="array" ref="C257">INDEX(GMW!$A$2:$LR$60,MATCH(1,(GMW!$LQ$2:$LQ$60=C$3)*(GMW!$LP$2:$LP$60=C$4),0),$B257-1966)</f>
        <v>72791.5</v>
      </c>
    </row>
    <row r="258" spans="1:3">
      <c r="A258" s="534">
        <f t="shared" si="7"/>
        <v>203504</v>
      </c>
      <c r="B258" s="534">
        <f t="shared" si="8"/>
        <v>2224</v>
      </c>
      <c r="C258" s="534" cm="1">
        <f t="array" ref="C258">INDEX(GMW!$A$2:$LR$60,MATCH(1,(GMW!$LQ$2:$LQ$60=C$3)*(GMW!$LP$2:$LP$60=C$4),0),$B258-1966)</f>
        <v>72852.800000000003</v>
      </c>
    </row>
    <row r="259" spans="1:3">
      <c r="A259" s="534">
        <f t="shared" si="7"/>
        <v>203601</v>
      </c>
      <c r="B259" s="534">
        <f t="shared" si="8"/>
        <v>2225</v>
      </c>
      <c r="C259" s="534" cm="1">
        <f t="array" ref="C259">INDEX(GMW!$A$2:$LR$60,MATCH(1,(GMW!$LQ$2:$LQ$60=C$3)*(GMW!$LP$2:$LP$60=C$4),0),$B259-1966)</f>
        <v>72914.09</v>
      </c>
    </row>
    <row r="260" spans="1:3">
      <c r="A260" s="534">
        <f t="shared" si="7"/>
        <v>203602</v>
      </c>
      <c r="B260" s="534">
        <f t="shared" si="8"/>
        <v>2226</v>
      </c>
      <c r="C260" s="534" cm="1">
        <f t="array" ref="C260">INDEX(GMW!$A$2:$LR$60,MATCH(1,(GMW!$LQ$2:$LQ$60=C$3)*(GMW!$LP$2:$LP$60=C$4),0),$B260-1966)</f>
        <v>72975.38</v>
      </c>
    </row>
    <row r="261" spans="1:3">
      <c r="A261" s="534">
        <f t="shared" si="7"/>
        <v>203603</v>
      </c>
      <c r="B261" s="534">
        <f t="shared" si="8"/>
        <v>2227</v>
      </c>
      <c r="C261" s="534" cm="1">
        <f t="array" ref="C261">INDEX(GMW!$A$2:$LR$60,MATCH(1,(GMW!$LQ$2:$LQ$60=C$3)*(GMW!$LP$2:$LP$60=C$4),0),$B261-1966)</f>
        <v>73035.710000000006</v>
      </c>
    </row>
    <row r="262" spans="1:3">
      <c r="A262" s="534">
        <f t="shared" si="7"/>
        <v>203604</v>
      </c>
      <c r="B262" s="534">
        <f t="shared" si="8"/>
        <v>2228</v>
      </c>
      <c r="C262" s="534" cm="1">
        <f t="array" ref="C262">INDEX(GMW!$A$2:$LR$60,MATCH(1,(GMW!$LQ$2:$LQ$60=C$3)*(GMW!$LP$2:$LP$60=C$4),0),$B262-1966)</f>
        <v>73096.05</v>
      </c>
    </row>
    <row r="263" spans="1:3">
      <c r="A263" s="534">
        <f t="shared" si="7"/>
        <v>203701</v>
      </c>
      <c r="B263" s="534">
        <f t="shared" si="8"/>
        <v>2229</v>
      </c>
      <c r="C263" s="534" cm="1">
        <f t="array" ref="C263">INDEX(GMW!$A$2:$LR$60,MATCH(1,(GMW!$LQ$2:$LQ$60=C$3)*(GMW!$LP$2:$LP$60=C$4),0),$B263-1966)</f>
        <v>73156.38</v>
      </c>
    </row>
    <row r="264" spans="1:3">
      <c r="A264" s="534">
        <f t="shared" si="7"/>
        <v>203702</v>
      </c>
      <c r="B264" s="534">
        <f t="shared" si="8"/>
        <v>2230</v>
      </c>
      <c r="C264" s="534" cm="1">
        <f t="array" ref="C264">INDEX(GMW!$A$2:$LR$60,MATCH(1,(GMW!$LQ$2:$LQ$60=C$3)*(GMW!$LP$2:$LP$60=C$4),0),$B264-1966)</f>
        <v>73216.7</v>
      </c>
    </row>
    <row r="265" spans="1:3">
      <c r="A265" s="534">
        <f t="shared" si="7"/>
        <v>203703</v>
      </c>
      <c r="B265" s="534">
        <f t="shared" si="8"/>
        <v>2231</v>
      </c>
      <c r="C265" s="534" cm="1">
        <f t="array" ref="C265">INDEX(GMW!$A$2:$LR$60,MATCH(1,(GMW!$LQ$2:$LQ$60=C$3)*(GMW!$LP$2:$LP$60=C$4),0),$B265-1966)</f>
        <v>73276.27</v>
      </c>
    </row>
    <row r="266" spans="1:3">
      <c r="A266" s="534">
        <f t="shared" si="7"/>
        <v>203704</v>
      </c>
      <c r="B266" s="534">
        <f t="shared" si="8"/>
        <v>2232</v>
      </c>
      <c r="C266" s="534" cm="1">
        <f t="array" ref="C266">INDEX(GMW!$A$2:$LR$60,MATCH(1,(GMW!$LQ$2:$LQ$60=C$3)*(GMW!$LP$2:$LP$60=C$4),0),$B266-1966)</f>
        <v>73335.839999999997</v>
      </c>
    </row>
    <row r="267" spans="1:3">
      <c r="A267" s="534">
        <f t="shared" si="7"/>
        <v>203801</v>
      </c>
      <c r="B267" s="534">
        <f t="shared" si="8"/>
        <v>2233</v>
      </c>
      <c r="C267" s="534" cm="1">
        <f t="array" ref="C267">INDEX(GMW!$A$2:$LR$60,MATCH(1,(GMW!$LQ$2:$LQ$60=C$3)*(GMW!$LP$2:$LP$60=C$4),0),$B267-1966)</f>
        <v>73395.41</v>
      </c>
    </row>
    <row r="268" spans="1:3">
      <c r="A268" s="534">
        <f t="shared" ref="A268:A318" si="9">+A264+100</f>
        <v>203802</v>
      </c>
      <c r="B268" s="534">
        <f t="shared" si="8"/>
        <v>2234</v>
      </c>
      <c r="C268" s="534" cm="1">
        <f t="array" ref="C268">INDEX(GMW!$A$2:$LR$60,MATCH(1,(GMW!$LQ$2:$LQ$60=C$3)*(GMW!$LP$2:$LP$60=C$4),0),$B268-1966)</f>
        <v>73454.98</v>
      </c>
    </row>
    <row r="269" spans="1:3">
      <c r="A269" s="534">
        <f t="shared" si="9"/>
        <v>203803</v>
      </c>
      <c r="B269" s="534">
        <f t="shared" si="8"/>
        <v>2235</v>
      </c>
      <c r="C269" s="534" cm="1">
        <f t="array" ref="C269">INDEX(GMW!$A$2:$LR$60,MATCH(1,(GMW!$LQ$2:$LQ$60=C$3)*(GMW!$LP$2:$LP$60=C$4),0),$B269-1966)</f>
        <v>73513.94</v>
      </c>
    </row>
    <row r="270" spans="1:3">
      <c r="A270" s="534">
        <f t="shared" si="9"/>
        <v>203804</v>
      </c>
      <c r="B270" s="534">
        <f t="shared" si="8"/>
        <v>2236</v>
      </c>
      <c r="C270" s="534" cm="1">
        <f t="array" ref="C270">INDEX(GMW!$A$2:$LR$60,MATCH(1,(GMW!$LQ$2:$LQ$60=C$3)*(GMW!$LP$2:$LP$60=C$4),0),$B270-1966)</f>
        <v>73572.88</v>
      </c>
    </row>
    <row r="271" spans="1:3">
      <c r="A271" s="534">
        <f t="shared" si="9"/>
        <v>203901</v>
      </c>
      <c r="B271" s="534">
        <f t="shared" si="8"/>
        <v>2237</v>
      </c>
      <c r="C271" s="534" cm="1">
        <f t="array" ref="C271">INDEX(GMW!$A$2:$LR$60,MATCH(1,(GMW!$LQ$2:$LQ$60=C$3)*(GMW!$LP$2:$LP$60=C$4),0),$B271-1966)</f>
        <v>73631.839999999997</v>
      </c>
    </row>
    <row r="272" spans="1:3">
      <c r="A272" s="534">
        <f t="shared" si="9"/>
        <v>203902</v>
      </c>
      <c r="B272" s="534">
        <f t="shared" si="8"/>
        <v>2238</v>
      </c>
      <c r="C272" s="534" cm="1">
        <f t="array" ref="C272">INDEX(GMW!$A$2:$LR$60,MATCH(1,(GMW!$LQ$2:$LQ$60=C$3)*(GMW!$LP$2:$LP$60=C$4),0),$B272-1966)</f>
        <v>73690.78</v>
      </c>
    </row>
    <row r="273" spans="1:3">
      <c r="A273" s="534">
        <f t="shared" si="9"/>
        <v>203903</v>
      </c>
      <c r="B273" s="534">
        <f t="shared" si="8"/>
        <v>2239</v>
      </c>
      <c r="C273" s="534" cm="1">
        <f t="array" ref="C273">INDEX(GMW!$A$2:$LR$60,MATCH(1,(GMW!$LQ$2:$LQ$60=C$3)*(GMW!$LP$2:$LP$60=C$4),0),$B273-1966)</f>
        <v>73749.2</v>
      </c>
    </row>
    <row r="274" spans="1:3">
      <c r="A274" s="534">
        <f t="shared" si="9"/>
        <v>203904</v>
      </c>
      <c r="B274" s="534">
        <f t="shared" si="8"/>
        <v>2240</v>
      </c>
      <c r="C274" s="534" cm="1">
        <f t="array" ref="C274">INDEX(GMW!$A$2:$LR$60,MATCH(1,(GMW!$LQ$2:$LQ$60=C$3)*(GMW!$LP$2:$LP$60=C$4),0),$B274-1966)</f>
        <v>73807.600000000006</v>
      </c>
    </row>
    <row r="275" spans="1:3">
      <c r="A275" s="534">
        <f t="shared" si="9"/>
        <v>204001</v>
      </c>
      <c r="B275" s="534">
        <f t="shared" si="8"/>
        <v>2241</v>
      </c>
      <c r="C275" s="534" cm="1">
        <f t="array" ref="C275">INDEX(GMW!$A$2:$LR$60,MATCH(1,(GMW!$LQ$2:$LQ$60=C$3)*(GMW!$LP$2:$LP$60=C$4),0),$B275-1966)</f>
        <v>73866.009999999995</v>
      </c>
    </row>
    <row r="276" spans="1:3">
      <c r="A276" s="534">
        <f t="shared" si="9"/>
        <v>204002</v>
      </c>
      <c r="B276" s="534">
        <f t="shared" si="8"/>
        <v>2242</v>
      </c>
      <c r="C276" s="534" cm="1">
        <f t="array" ref="C276">INDEX(GMW!$A$2:$LR$60,MATCH(1,(GMW!$LQ$2:$LQ$60=C$3)*(GMW!$LP$2:$LP$60=C$4),0),$B276-1966)</f>
        <v>73924.41</v>
      </c>
    </row>
    <row r="277" spans="1:3">
      <c r="A277" s="534">
        <f t="shared" si="9"/>
        <v>204003</v>
      </c>
      <c r="B277" s="534">
        <f t="shared" si="8"/>
        <v>2243</v>
      </c>
      <c r="C277" s="534" cm="1">
        <f t="array" ref="C277">INDEX(GMW!$A$2:$LR$60,MATCH(1,(GMW!$LQ$2:$LQ$60=C$3)*(GMW!$LP$2:$LP$60=C$4),0),$B277-1966)</f>
        <v>73982.179999999993</v>
      </c>
    </row>
    <row r="278" spans="1:3">
      <c r="A278" s="534">
        <f t="shared" si="9"/>
        <v>204004</v>
      </c>
      <c r="B278" s="534">
        <f t="shared" si="8"/>
        <v>2244</v>
      </c>
      <c r="C278" s="534" cm="1">
        <f t="array" ref="C278">INDEX(GMW!$A$2:$LR$60,MATCH(1,(GMW!$LQ$2:$LQ$60=C$3)*(GMW!$LP$2:$LP$60=C$4),0),$B278-1966)</f>
        <v>74039.95</v>
      </c>
    </row>
    <row r="279" spans="1:3">
      <c r="A279" s="534">
        <f t="shared" si="9"/>
        <v>204101</v>
      </c>
      <c r="B279" s="534">
        <f t="shared" si="8"/>
        <v>2245</v>
      </c>
      <c r="C279" s="534" cm="1">
        <f t="array" ref="C279">INDEX(GMW!$A$2:$LR$60,MATCH(1,(GMW!$LQ$2:$LQ$60=C$3)*(GMW!$LP$2:$LP$60=C$4),0),$B279-1966)</f>
        <v>74097.710000000006</v>
      </c>
    </row>
    <row r="280" spans="1:3">
      <c r="A280" s="534">
        <f t="shared" si="9"/>
        <v>204102</v>
      </c>
      <c r="B280" s="534">
        <f t="shared" si="8"/>
        <v>2246</v>
      </c>
      <c r="C280" s="534" cm="1">
        <f t="array" ref="C280">INDEX(GMW!$A$2:$LR$60,MATCH(1,(GMW!$LQ$2:$LQ$60=C$3)*(GMW!$LP$2:$LP$60=C$4),0),$B280-1966)</f>
        <v>74155.48</v>
      </c>
    </row>
    <row r="281" spans="1:3">
      <c r="A281" s="534">
        <f t="shared" si="9"/>
        <v>204103</v>
      </c>
      <c r="B281" s="534">
        <f t="shared" si="8"/>
        <v>2247</v>
      </c>
      <c r="C281" s="534" cm="1">
        <f t="array" ref="C281">INDEX(GMW!$A$2:$LR$60,MATCH(1,(GMW!$LQ$2:$LQ$60=C$3)*(GMW!$LP$2:$LP$60=C$4),0),$B281-1966)</f>
        <v>74212.47</v>
      </c>
    </row>
    <row r="282" spans="1:3">
      <c r="A282" s="534">
        <f t="shared" si="9"/>
        <v>204104</v>
      </c>
      <c r="B282" s="534">
        <f t="shared" si="8"/>
        <v>2248</v>
      </c>
      <c r="C282" s="534" cm="1">
        <f t="array" ref="C282">INDEX(GMW!$A$2:$LR$60,MATCH(1,(GMW!$LQ$2:$LQ$60=C$3)*(GMW!$LP$2:$LP$60=C$4),0),$B282-1966)</f>
        <v>74269.460000000006</v>
      </c>
    </row>
    <row r="283" spans="1:3">
      <c r="A283" s="534">
        <f t="shared" si="9"/>
        <v>204201</v>
      </c>
      <c r="B283" s="534">
        <f t="shared" si="8"/>
        <v>2249</v>
      </c>
      <c r="C283" s="534" cm="1">
        <f t="array" ref="C283">INDEX(GMW!$A$2:$LR$60,MATCH(1,(GMW!$LQ$2:$LQ$60=C$3)*(GMW!$LP$2:$LP$60=C$4),0),$B283-1966)</f>
        <v>74326.460000000006</v>
      </c>
    </row>
    <row r="284" spans="1:3">
      <c r="A284" s="534">
        <f t="shared" si="9"/>
        <v>204202</v>
      </c>
      <c r="B284" s="534">
        <f t="shared" si="8"/>
        <v>2250</v>
      </c>
      <c r="C284" s="534" cm="1">
        <f t="array" ref="C284">INDEX(GMW!$A$2:$LR$60,MATCH(1,(GMW!$LQ$2:$LQ$60=C$3)*(GMW!$LP$2:$LP$60=C$4),0),$B284-1966)</f>
        <v>74383.45</v>
      </c>
    </row>
    <row r="285" spans="1:3">
      <c r="A285" s="534">
        <f t="shared" si="9"/>
        <v>204203</v>
      </c>
      <c r="B285" s="534">
        <f t="shared" si="8"/>
        <v>2251</v>
      </c>
      <c r="C285" s="534" cm="1">
        <f t="array" ref="C285">INDEX(GMW!$A$2:$LR$60,MATCH(1,(GMW!$LQ$2:$LQ$60=C$3)*(GMW!$LP$2:$LP$60=C$4),0),$B285-1966)</f>
        <v>74439.66</v>
      </c>
    </row>
    <row r="286" spans="1:3">
      <c r="A286" s="534">
        <f t="shared" si="9"/>
        <v>204204</v>
      </c>
      <c r="B286" s="534">
        <f t="shared" si="8"/>
        <v>2252</v>
      </c>
      <c r="C286" s="534" cm="1">
        <f t="array" ref="C286">INDEX(GMW!$A$2:$LR$60,MATCH(1,(GMW!$LQ$2:$LQ$60=C$3)*(GMW!$LP$2:$LP$60=C$4),0),$B286-1966)</f>
        <v>74495.88</v>
      </c>
    </row>
    <row r="287" spans="1:3">
      <c r="A287" s="534">
        <f t="shared" si="9"/>
        <v>204301</v>
      </c>
      <c r="B287" s="534">
        <f t="shared" si="8"/>
        <v>2253</v>
      </c>
      <c r="C287" s="534" cm="1">
        <f t="array" ref="C287">INDEX(GMW!$A$2:$LR$60,MATCH(1,(GMW!$LQ$2:$LQ$60=C$3)*(GMW!$LP$2:$LP$60=C$4),0),$B287-1966)</f>
        <v>74552.09</v>
      </c>
    </row>
    <row r="288" spans="1:3">
      <c r="A288" s="534">
        <f t="shared" si="9"/>
        <v>204302</v>
      </c>
      <c r="B288" s="534">
        <f t="shared" si="8"/>
        <v>2254</v>
      </c>
      <c r="C288" s="534" cm="1">
        <f t="array" ref="C288">INDEX(GMW!$A$2:$LR$60,MATCH(1,(GMW!$LQ$2:$LQ$60=C$3)*(GMW!$LP$2:$LP$60=C$4),0),$B288-1966)</f>
        <v>74608.31</v>
      </c>
    </row>
    <row r="289" spans="1:3">
      <c r="A289" s="534">
        <f t="shared" si="9"/>
        <v>204303</v>
      </c>
      <c r="B289" s="534">
        <f t="shared" si="8"/>
        <v>2255</v>
      </c>
      <c r="C289" s="534" cm="1">
        <f t="array" ref="C289">INDEX(GMW!$A$2:$LR$60,MATCH(1,(GMW!$LQ$2:$LQ$60=C$3)*(GMW!$LP$2:$LP$60=C$4),0),$B289-1966)</f>
        <v>74663.7</v>
      </c>
    </row>
    <row r="290" spans="1:3">
      <c r="A290" s="534">
        <f t="shared" si="9"/>
        <v>204304</v>
      </c>
      <c r="B290" s="534">
        <f t="shared" si="8"/>
        <v>2256</v>
      </c>
      <c r="C290" s="534" cm="1">
        <f t="array" ref="C290">INDEX(GMW!$A$2:$LR$60,MATCH(1,(GMW!$LQ$2:$LQ$60=C$3)*(GMW!$LP$2:$LP$60=C$4),0),$B290-1966)</f>
        <v>74719.09</v>
      </c>
    </row>
    <row r="291" spans="1:3">
      <c r="A291" s="534">
        <f t="shared" si="9"/>
        <v>204401</v>
      </c>
      <c r="B291" s="534">
        <f t="shared" si="8"/>
        <v>2257</v>
      </c>
      <c r="C291" s="534" cm="1">
        <f t="array" ref="C291">INDEX(GMW!$A$2:$LR$60,MATCH(1,(GMW!$LQ$2:$LQ$60=C$3)*(GMW!$LP$2:$LP$60=C$4),0),$B291-1966)</f>
        <v>74774.48</v>
      </c>
    </row>
    <row r="292" spans="1:3">
      <c r="A292" s="534">
        <f t="shared" si="9"/>
        <v>204402</v>
      </c>
      <c r="B292" s="534">
        <f t="shared" si="8"/>
        <v>2258</v>
      </c>
      <c r="C292" s="534" cm="1">
        <f t="array" ref="C292">INDEX(GMW!$A$2:$LR$60,MATCH(1,(GMW!$LQ$2:$LQ$60=C$3)*(GMW!$LP$2:$LP$60=C$4),0),$B292-1966)</f>
        <v>74829.88</v>
      </c>
    </row>
    <row r="293" spans="1:3">
      <c r="A293" s="534">
        <f t="shared" si="9"/>
        <v>204403</v>
      </c>
      <c r="B293" s="534">
        <f t="shared" si="8"/>
        <v>2259</v>
      </c>
      <c r="C293" s="534" cm="1">
        <f t="array" ref="C293">INDEX(GMW!$A$2:$LR$60,MATCH(1,(GMW!$LQ$2:$LQ$60=C$3)*(GMW!$LP$2:$LP$60=C$4),0),$B293-1966)</f>
        <v>74884.09</v>
      </c>
    </row>
    <row r="294" spans="1:3">
      <c r="A294" s="534">
        <f t="shared" si="9"/>
        <v>204404</v>
      </c>
      <c r="B294" s="534">
        <f t="shared" si="8"/>
        <v>2260</v>
      </c>
      <c r="C294" s="534" cm="1">
        <f t="array" ref="C294">INDEX(GMW!$A$2:$LR$60,MATCH(1,(GMW!$LQ$2:$LQ$60=C$3)*(GMW!$LP$2:$LP$60=C$4),0),$B294-1966)</f>
        <v>74938.3</v>
      </c>
    </row>
    <row r="295" spans="1:3">
      <c r="A295" s="534">
        <f t="shared" si="9"/>
        <v>204501</v>
      </c>
      <c r="B295" s="534">
        <f t="shared" si="8"/>
        <v>2261</v>
      </c>
      <c r="C295" s="534" cm="1">
        <f t="array" ref="C295">INDEX(GMW!$A$2:$LR$60,MATCH(1,(GMW!$LQ$2:$LQ$60=C$3)*(GMW!$LP$2:$LP$60=C$4),0),$B295-1966)</f>
        <v>74992.509999999995</v>
      </c>
    </row>
    <row r="296" spans="1:3">
      <c r="A296" s="534">
        <f t="shared" si="9"/>
        <v>204502</v>
      </c>
      <c r="B296" s="534">
        <f t="shared" si="8"/>
        <v>2262</v>
      </c>
      <c r="C296" s="534" cm="1">
        <f t="array" ref="C296">INDEX(GMW!$A$2:$LR$60,MATCH(1,(GMW!$LQ$2:$LQ$60=C$3)*(GMW!$LP$2:$LP$60=C$4),0),$B296-1966)</f>
        <v>75046.720000000001</v>
      </c>
    </row>
    <row r="297" spans="1:3">
      <c r="A297" s="534">
        <f t="shared" si="9"/>
        <v>204503</v>
      </c>
      <c r="B297" s="534">
        <f t="shared" si="8"/>
        <v>2263</v>
      </c>
      <c r="C297" s="534" cm="1">
        <f t="array" ref="C297">INDEX(GMW!$A$2:$LR$60,MATCH(1,(GMW!$LQ$2:$LQ$60=C$3)*(GMW!$LP$2:$LP$60=C$4),0),$B297-1966)</f>
        <v>75099.33</v>
      </c>
    </row>
    <row r="298" spans="1:3">
      <c r="A298" s="534">
        <f t="shared" si="9"/>
        <v>204504</v>
      </c>
      <c r="B298" s="534">
        <f t="shared" si="8"/>
        <v>2264</v>
      </c>
      <c r="C298" s="534" cm="1">
        <f t="array" ref="C298">INDEX(GMW!$A$2:$LR$60,MATCH(1,(GMW!$LQ$2:$LQ$60=C$3)*(GMW!$LP$2:$LP$60=C$4),0),$B298-1966)</f>
        <v>75151.95</v>
      </c>
    </row>
    <row r="299" spans="1:3">
      <c r="A299" s="534">
        <f t="shared" si="9"/>
        <v>204601</v>
      </c>
      <c r="B299" s="534">
        <f t="shared" si="8"/>
        <v>2265</v>
      </c>
      <c r="C299" s="534" cm="1">
        <f t="array" ref="C299">INDEX(GMW!$A$2:$LR$60,MATCH(1,(GMW!$LQ$2:$LQ$60=C$3)*(GMW!$LP$2:$LP$60=C$4),0),$B299-1966)</f>
        <v>75204.55</v>
      </c>
    </row>
    <row r="300" spans="1:3">
      <c r="A300" s="534">
        <f t="shared" si="9"/>
        <v>204602</v>
      </c>
      <c r="B300" s="534">
        <f t="shared" si="8"/>
        <v>2266</v>
      </c>
      <c r="C300" s="534" cm="1">
        <f t="array" ref="C300">INDEX(GMW!$A$2:$LR$60,MATCH(1,(GMW!$LQ$2:$LQ$60=C$3)*(GMW!$LP$2:$LP$60=C$4),0),$B300-1966)</f>
        <v>75257.17</v>
      </c>
    </row>
    <row r="301" spans="1:3">
      <c r="A301" s="534">
        <f t="shared" si="9"/>
        <v>204603</v>
      </c>
      <c r="B301" s="534">
        <f t="shared" si="8"/>
        <v>2267</v>
      </c>
      <c r="C301" s="534" cm="1">
        <f t="array" ref="C301">INDEX(GMW!$A$2:$LR$60,MATCH(1,(GMW!$LQ$2:$LQ$60=C$3)*(GMW!$LP$2:$LP$60=C$4),0),$B301-1966)</f>
        <v>75308.06</v>
      </c>
    </row>
    <row r="302" spans="1:3">
      <c r="A302" s="534">
        <f t="shared" si="9"/>
        <v>204604</v>
      </c>
      <c r="B302" s="534">
        <f t="shared" si="8"/>
        <v>2268</v>
      </c>
      <c r="C302" s="534" cm="1">
        <f t="array" ref="C302">INDEX(GMW!$A$2:$LR$60,MATCH(1,(GMW!$LQ$2:$LQ$60=C$3)*(GMW!$LP$2:$LP$60=C$4),0),$B302-1966)</f>
        <v>75358.95</v>
      </c>
    </row>
    <row r="303" spans="1:3">
      <c r="A303" s="534">
        <f t="shared" si="9"/>
        <v>204701</v>
      </c>
      <c r="B303" s="534">
        <f t="shared" si="8"/>
        <v>2269</v>
      </c>
      <c r="C303" s="534" cm="1">
        <f t="array" ref="C303">INDEX(GMW!$A$2:$LR$60,MATCH(1,(GMW!$LQ$2:$LQ$60=C$3)*(GMW!$LP$2:$LP$60=C$4),0),$B303-1966)</f>
        <v>75409.850000000006</v>
      </c>
    </row>
    <row r="304" spans="1:3">
      <c r="A304" s="534">
        <f t="shared" si="9"/>
        <v>204702</v>
      </c>
      <c r="B304" s="534">
        <f t="shared" si="8"/>
        <v>2270</v>
      </c>
      <c r="C304" s="534" cm="1">
        <f t="array" ref="C304">INDEX(GMW!$A$2:$LR$60,MATCH(1,(GMW!$LQ$2:$LQ$60=C$3)*(GMW!$LP$2:$LP$60=C$4),0),$B304-1966)</f>
        <v>75460.740000000005</v>
      </c>
    </row>
    <row r="305" spans="1:3">
      <c r="A305" s="534">
        <f t="shared" si="9"/>
        <v>204703</v>
      </c>
      <c r="B305" s="534">
        <f t="shared" ref="B305:B318" si="10">+B304+1</f>
        <v>2271</v>
      </c>
      <c r="C305" s="534" cm="1">
        <f t="array" ref="C305">INDEX(GMW!$A$2:$LR$60,MATCH(1,(GMW!$LQ$2:$LQ$60=C$3)*(GMW!$LP$2:$LP$60=C$4),0),$B305-1966)</f>
        <v>75509.81</v>
      </c>
    </row>
    <row r="306" spans="1:3">
      <c r="A306" s="534">
        <f t="shared" si="9"/>
        <v>204704</v>
      </c>
      <c r="B306" s="534">
        <f t="shared" si="10"/>
        <v>2272</v>
      </c>
      <c r="C306" s="534" cm="1">
        <f t="array" ref="C306">INDEX(GMW!$A$2:$LR$60,MATCH(1,(GMW!$LQ$2:$LQ$60=C$3)*(GMW!$LP$2:$LP$60=C$4),0),$B306-1966)</f>
        <v>75558.880000000005</v>
      </c>
    </row>
    <row r="307" spans="1:3">
      <c r="A307" s="534">
        <f t="shared" si="9"/>
        <v>204801</v>
      </c>
      <c r="B307" s="534">
        <f t="shared" si="10"/>
        <v>2273</v>
      </c>
      <c r="C307" s="534" cm="1">
        <f t="array" ref="C307">INDEX(GMW!$A$2:$LR$60,MATCH(1,(GMW!$LQ$2:$LQ$60=C$3)*(GMW!$LP$2:$LP$60=C$4),0),$B307-1966)</f>
        <v>75607.95</v>
      </c>
    </row>
    <row r="308" spans="1:3">
      <c r="A308" s="534">
        <f t="shared" si="9"/>
        <v>204802</v>
      </c>
      <c r="B308" s="534">
        <f t="shared" si="10"/>
        <v>2274</v>
      </c>
      <c r="C308" s="534" cm="1">
        <f t="array" ref="C308">INDEX(GMW!$A$2:$LR$60,MATCH(1,(GMW!$LQ$2:$LQ$60=C$3)*(GMW!$LP$2:$LP$60=C$4),0),$B308-1966)</f>
        <v>75657.02</v>
      </c>
    </row>
    <row r="309" spans="1:3">
      <c r="A309" s="534">
        <f t="shared" si="9"/>
        <v>204803</v>
      </c>
      <c r="B309" s="534">
        <f t="shared" si="10"/>
        <v>2275</v>
      </c>
      <c r="C309" s="534" cm="1">
        <f t="array" ref="C309">INDEX(GMW!$A$2:$LR$60,MATCH(1,(GMW!$LQ$2:$LQ$60=C$3)*(GMW!$LP$2:$LP$60=C$4),0),$B309-1966)</f>
        <v>75704.13</v>
      </c>
    </row>
    <row r="310" spans="1:3">
      <c r="A310" s="534">
        <f t="shared" si="9"/>
        <v>204804</v>
      </c>
      <c r="B310" s="534">
        <f t="shared" si="10"/>
        <v>2276</v>
      </c>
      <c r="C310" s="534" cm="1">
        <f t="array" ref="C310">INDEX(GMW!$A$2:$LR$60,MATCH(1,(GMW!$LQ$2:$LQ$60=C$3)*(GMW!$LP$2:$LP$60=C$4),0),$B310-1966)</f>
        <v>75751.25</v>
      </c>
    </row>
    <row r="311" spans="1:3">
      <c r="A311" s="534">
        <f t="shared" si="9"/>
        <v>204901</v>
      </c>
      <c r="B311" s="534">
        <f t="shared" si="10"/>
        <v>2277</v>
      </c>
      <c r="C311" s="534" cm="1">
        <f t="array" ref="C311">INDEX(GMW!$A$2:$LR$60,MATCH(1,(GMW!$LQ$2:$LQ$60=C$3)*(GMW!$LP$2:$LP$60=C$4),0),$B311-1966)</f>
        <v>75798.37</v>
      </c>
    </row>
    <row r="312" spans="1:3">
      <c r="A312" s="534">
        <f t="shared" si="9"/>
        <v>204902</v>
      </c>
      <c r="B312" s="534">
        <f t="shared" si="10"/>
        <v>2278</v>
      </c>
      <c r="C312" s="534" cm="1">
        <f t="array" ref="C312">INDEX(GMW!$A$2:$LR$60,MATCH(1,(GMW!$LQ$2:$LQ$60=C$3)*(GMW!$LP$2:$LP$60=C$4),0),$B312-1966)</f>
        <v>75845.48</v>
      </c>
    </row>
    <row r="313" spans="1:3">
      <c r="A313" s="534">
        <f t="shared" si="9"/>
        <v>204903</v>
      </c>
      <c r="B313" s="534">
        <f t="shared" si="10"/>
        <v>2279</v>
      </c>
      <c r="C313" s="534" cm="1">
        <f t="array" ref="C313">INDEX(GMW!$A$2:$LR$60,MATCH(1,(GMW!$LQ$2:$LQ$60=C$3)*(GMW!$LP$2:$LP$60=C$4),0),$B313-1966)</f>
        <v>75890.61</v>
      </c>
    </row>
    <row r="314" spans="1:3">
      <c r="A314" s="534">
        <f t="shared" si="9"/>
        <v>204904</v>
      </c>
      <c r="B314" s="534">
        <f t="shared" si="10"/>
        <v>2280</v>
      </c>
      <c r="C314" s="534" cm="1">
        <f t="array" ref="C314">INDEX(GMW!$A$2:$LR$60,MATCH(1,(GMW!$LQ$2:$LQ$60=C$3)*(GMW!$LP$2:$LP$60=C$4),0),$B314-1966)</f>
        <v>75935.73</v>
      </c>
    </row>
    <row r="315" spans="1:3">
      <c r="A315" s="534">
        <f t="shared" si="9"/>
        <v>205001</v>
      </c>
      <c r="B315" s="534">
        <f t="shared" si="10"/>
        <v>2281</v>
      </c>
      <c r="C315" s="534" cm="1">
        <f t="array" ref="C315">INDEX(GMW!$A$2:$LR$60,MATCH(1,(GMW!$LQ$2:$LQ$60=C$3)*(GMW!$LP$2:$LP$60=C$4),0),$B315-1966)</f>
        <v>75980.86</v>
      </c>
    </row>
    <row r="316" spans="1:3">
      <c r="A316" s="534">
        <f t="shared" si="9"/>
        <v>205002</v>
      </c>
      <c r="B316" s="534">
        <f t="shared" si="10"/>
        <v>2282</v>
      </c>
      <c r="C316" s="534" cm="1">
        <f t="array" ref="C316">INDEX(GMW!$A$2:$LR$60,MATCH(1,(GMW!$LQ$2:$LQ$60=C$3)*(GMW!$LP$2:$LP$60=C$4),0),$B316-1966)</f>
        <v>76025.98</v>
      </c>
    </row>
    <row r="317" spans="1:3">
      <c r="A317" s="534">
        <f t="shared" si="9"/>
        <v>205003</v>
      </c>
      <c r="B317" s="534">
        <f t="shared" si="10"/>
        <v>2283</v>
      </c>
      <c r="C317" s="534" cm="1">
        <f t="array" ref="C317">INDEX(GMW!$A$2:$LR$60,MATCH(1,(GMW!$LQ$2:$LQ$60=C$3)*(GMW!$LP$2:$LP$60=C$4),0),$B317-1966)</f>
        <v>76069.16</v>
      </c>
    </row>
    <row r="318" spans="1:3">
      <c r="A318" s="534">
        <f t="shared" si="9"/>
        <v>205004</v>
      </c>
      <c r="B318" s="534">
        <f t="shared" si="10"/>
        <v>2284</v>
      </c>
      <c r="C318" s="534" cm="1">
        <f t="array" ref="C318">INDEX(GMW!$A$2:$LR$60,MATCH(1,(GMW!$LQ$2:$LQ$60=C$3)*(GMW!$LP$2:$LP$60=C$4),0),$B318-1966)</f>
        <v>76112.34</v>
      </c>
    </row>
  </sheetData>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DDB31-3462-424A-BBB4-8EF9FD03E6E7}">
  <dimension ref="A1:LR2"/>
  <sheetViews>
    <sheetView workbookViewId="0">
      <pane xSplit="6" ySplit="1" topLeftCell="G2" activePane="bottomRight" state="frozen"/>
      <selection pane="topRight" activeCell="G1" sqref="G1"/>
      <selection pane="bottomLeft" activeCell="A2" sqref="A2"/>
      <selection pane="bottomRight" activeCell="G2" sqref="G2"/>
    </sheetView>
  </sheetViews>
  <sheetFormatPr defaultRowHeight="15"/>
  <cols>
    <col min="1" max="1" width="15.7109375" customWidth="1"/>
    <col min="2" max="3" width="20.7109375" customWidth="1"/>
    <col min="4" max="5" width="10.7109375" customWidth="1"/>
    <col min="6" max="6" width="15.7109375" customWidth="1"/>
    <col min="7" max="319" width="10.7109375" customWidth="1"/>
    <col min="320" max="320" width="20.7109375" customWidth="1"/>
    <col min="321" max="322" width="15.7109375" customWidth="1"/>
    <col min="323" max="324" width="20.7109375" customWidth="1"/>
    <col min="325" max="325" width="18.7109375" customWidth="1"/>
    <col min="326" max="327" width="22.7109375" customWidth="1"/>
    <col min="328" max="328" width="13.7109375" customWidth="1"/>
    <col min="329" max="329" width="14.7109375" customWidth="1"/>
    <col min="330" max="330" width="10.7109375" customWidth="1"/>
  </cols>
  <sheetData>
    <row r="1" spans="1:330" ht="30">
      <c r="A1" s="531" t="s">
        <v>758</v>
      </c>
      <c r="B1" s="531" t="s">
        <v>759</v>
      </c>
      <c r="C1" s="531" t="s">
        <v>760</v>
      </c>
      <c r="D1" s="531" t="s">
        <v>761</v>
      </c>
      <c r="E1" s="531" t="s">
        <v>762</v>
      </c>
      <c r="F1" s="531" t="s">
        <v>763</v>
      </c>
      <c r="G1" s="531" t="s">
        <v>764</v>
      </c>
      <c r="H1" s="531" t="s">
        <v>765</v>
      </c>
      <c r="I1" s="531" t="s">
        <v>766</v>
      </c>
      <c r="J1" s="531" t="s">
        <v>767</v>
      </c>
      <c r="K1" s="531" t="s">
        <v>768</v>
      </c>
      <c r="L1" s="531" t="s">
        <v>769</v>
      </c>
      <c r="M1" s="531" t="s">
        <v>770</v>
      </c>
      <c r="N1" s="531" t="s">
        <v>771</v>
      </c>
      <c r="O1" s="531" t="s">
        <v>772</v>
      </c>
      <c r="P1" s="531" t="s">
        <v>773</v>
      </c>
      <c r="Q1" s="531" t="s">
        <v>774</v>
      </c>
      <c r="R1" s="531" t="s">
        <v>775</v>
      </c>
      <c r="S1" s="531" t="s">
        <v>776</v>
      </c>
      <c r="T1" s="531" t="s">
        <v>777</v>
      </c>
      <c r="U1" s="531" t="s">
        <v>778</v>
      </c>
      <c r="V1" s="531" t="s">
        <v>779</v>
      </c>
      <c r="W1" s="531" t="s">
        <v>780</v>
      </c>
      <c r="X1" s="531" t="s">
        <v>781</v>
      </c>
      <c r="Y1" s="531" t="s">
        <v>782</v>
      </c>
      <c r="Z1" s="531" t="s">
        <v>783</v>
      </c>
      <c r="AA1" s="531" t="s">
        <v>784</v>
      </c>
      <c r="AB1" s="531" t="s">
        <v>785</v>
      </c>
      <c r="AC1" s="531" t="s">
        <v>786</v>
      </c>
      <c r="AD1" s="531" t="s">
        <v>787</v>
      </c>
      <c r="AE1" s="531" t="s">
        <v>788</v>
      </c>
      <c r="AF1" s="531" t="s">
        <v>789</v>
      </c>
      <c r="AG1" s="531" t="s">
        <v>790</v>
      </c>
      <c r="AH1" s="531" t="s">
        <v>791</v>
      </c>
      <c r="AI1" s="531" t="s">
        <v>792</v>
      </c>
      <c r="AJ1" s="531" t="s">
        <v>793</v>
      </c>
      <c r="AK1" s="531" t="s">
        <v>794</v>
      </c>
      <c r="AL1" s="531" t="s">
        <v>795</v>
      </c>
      <c r="AM1" s="531" t="s">
        <v>796</v>
      </c>
      <c r="AN1" s="531" t="s">
        <v>797</v>
      </c>
      <c r="AO1" s="531" t="s">
        <v>798</v>
      </c>
      <c r="AP1" s="531" t="s">
        <v>799</v>
      </c>
      <c r="AQ1" s="531" t="s">
        <v>800</v>
      </c>
      <c r="AR1" s="531" t="s">
        <v>801</v>
      </c>
      <c r="AS1" s="531" t="s">
        <v>802</v>
      </c>
      <c r="AT1" s="531" t="s">
        <v>803</v>
      </c>
      <c r="AU1" s="531" t="s">
        <v>804</v>
      </c>
      <c r="AV1" s="531" t="s">
        <v>805</v>
      </c>
      <c r="AW1" s="531" t="s">
        <v>806</v>
      </c>
      <c r="AX1" s="531" t="s">
        <v>807</v>
      </c>
      <c r="AY1" s="531" t="s">
        <v>808</v>
      </c>
      <c r="AZ1" s="531" t="s">
        <v>809</v>
      </c>
      <c r="BA1" s="531" t="s">
        <v>810</v>
      </c>
      <c r="BB1" s="531" t="s">
        <v>811</v>
      </c>
      <c r="BC1" s="531" t="s">
        <v>812</v>
      </c>
      <c r="BD1" s="531" t="s">
        <v>813</v>
      </c>
      <c r="BE1" s="531" t="s">
        <v>814</v>
      </c>
      <c r="BF1" s="531" t="s">
        <v>815</v>
      </c>
      <c r="BG1" s="531" t="s">
        <v>816</v>
      </c>
      <c r="BH1" s="531" t="s">
        <v>817</v>
      </c>
      <c r="BI1" s="531" t="s">
        <v>818</v>
      </c>
      <c r="BJ1" s="531" t="s">
        <v>819</v>
      </c>
      <c r="BK1" s="531" t="s">
        <v>820</v>
      </c>
      <c r="BL1" s="531" t="s">
        <v>821</v>
      </c>
      <c r="BM1" s="531" t="s">
        <v>822</v>
      </c>
      <c r="BN1" s="531" t="s">
        <v>823</v>
      </c>
      <c r="BO1" s="531" t="s">
        <v>824</v>
      </c>
      <c r="BP1" s="531" t="s">
        <v>825</v>
      </c>
      <c r="BQ1" s="531" t="s">
        <v>826</v>
      </c>
      <c r="BR1" s="531" t="s">
        <v>827</v>
      </c>
      <c r="BS1" s="531" t="s">
        <v>828</v>
      </c>
      <c r="BT1" s="531" t="s">
        <v>829</v>
      </c>
      <c r="BU1" s="531" t="s">
        <v>830</v>
      </c>
      <c r="BV1" s="531" t="s">
        <v>831</v>
      </c>
      <c r="BW1" s="531" t="s">
        <v>832</v>
      </c>
      <c r="BX1" s="531" t="s">
        <v>833</v>
      </c>
      <c r="BY1" s="531" t="s">
        <v>834</v>
      </c>
      <c r="BZ1" s="531" t="s">
        <v>835</v>
      </c>
      <c r="CA1" s="531" t="s">
        <v>836</v>
      </c>
      <c r="CB1" s="531" t="s">
        <v>837</v>
      </c>
      <c r="CC1" s="531" t="s">
        <v>838</v>
      </c>
      <c r="CD1" s="531" t="s">
        <v>839</v>
      </c>
      <c r="CE1" s="531" t="s">
        <v>840</v>
      </c>
      <c r="CF1" s="531" t="s">
        <v>841</v>
      </c>
      <c r="CG1" s="531" t="s">
        <v>842</v>
      </c>
      <c r="CH1" s="531" t="s">
        <v>843</v>
      </c>
      <c r="CI1" s="531" t="s">
        <v>844</v>
      </c>
      <c r="CJ1" s="531" t="s">
        <v>845</v>
      </c>
      <c r="CK1" s="531" t="s">
        <v>846</v>
      </c>
      <c r="CL1" s="531" t="s">
        <v>847</v>
      </c>
      <c r="CM1" s="531" t="s">
        <v>848</v>
      </c>
      <c r="CN1" s="531" t="s">
        <v>849</v>
      </c>
      <c r="CO1" s="531" t="s">
        <v>850</v>
      </c>
      <c r="CP1" s="531" t="s">
        <v>851</v>
      </c>
      <c r="CQ1" s="531" t="s">
        <v>852</v>
      </c>
      <c r="CR1" s="531" t="s">
        <v>853</v>
      </c>
      <c r="CS1" s="531" t="s">
        <v>854</v>
      </c>
      <c r="CT1" s="531" t="s">
        <v>855</v>
      </c>
      <c r="CU1" s="531" t="s">
        <v>856</v>
      </c>
      <c r="CV1" s="531" t="s">
        <v>857</v>
      </c>
      <c r="CW1" s="531" t="s">
        <v>858</v>
      </c>
      <c r="CX1" s="531" t="s">
        <v>859</v>
      </c>
      <c r="CY1" s="531" t="s">
        <v>860</v>
      </c>
      <c r="CZ1" s="531" t="s">
        <v>861</v>
      </c>
      <c r="DA1" s="531" t="s">
        <v>862</v>
      </c>
      <c r="DB1" s="531" t="s">
        <v>863</v>
      </c>
      <c r="DC1" s="531" t="s">
        <v>864</v>
      </c>
      <c r="DD1" s="531" t="s">
        <v>865</v>
      </c>
      <c r="DE1" s="531" t="s">
        <v>866</v>
      </c>
      <c r="DF1" s="531" t="s">
        <v>867</v>
      </c>
      <c r="DG1" s="531" t="s">
        <v>868</v>
      </c>
      <c r="DH1" s="531" t="s">
        <v>869</v>
      </c>
      <c r="DI1" s="531" t="s">
        <v>870</v>
      </c>
      <c r="DJ1" s="531" t="s">
        <v>871</v>
      </c>
      <c r="DK1" s="531" t="s">
        <v>872</v>
      </c>
      <c r="DL1" s="531" t="s">
        <v>873</v>
      </c>
      <c r="DM1" s="531" t="s">
        <v>874</v>
      </c>
      <c r="DN1" s="531" t="s">
        <v>875</v>
      </c>
      <c r="DO1" s="531" t="s">
        <v>876</v>
      </c>
      <c r="DP1" s="531" t="s">
        <v>877</v>
      </c>
      <c r="DQ1" s="531" t="s">
        <v>878</v>
      </c>
      <c r="DR1" s="531" t="s">
        <v>879</v>
      </c>
      <c r="DS1" s="531" t="s">
        <v>880</v>
      </c>
      <c r="DT1" s="531" t="s">
        <v>881</v>
      </c>
      <c r="DU1" s="531" t="s">
        <v>882</v>
      </c>
      <c r="DV1" s="531" t="s">
        <v>883</v>
      </c>
      <c r="DW1" s="531" t="s">
        <v>884</v>
      </c>
      <c r="DX1" s="531" t="s">
        <v>885</v>
      </c>
      <c r="DY1" s="531" t="s">
        <v>886</v>
      </c>
      <c r="DZ1" s="531" t="s">
        <v>887</v>
      </c>
      <c r="EA1" s="531" t="s">
        <v>888</v>
      </c>
      <c r="EB1" s="531" t="s">
        <v>889</v>
      </c>
      <c r="EC1" s="531" t="s">
        <v>890</v>
      </c>
      <c r="ED1" s="531" t="s">
        <v>891</v>
      </c>
      <c r="EE1" s="531" t="s">
        <v>892</v>
      </c>
      <c r="EF1" s="531" t="s">
        <v>893</v>
      </c>
      <c r="EG1" s="531" t="s">
        <v>894</v>
      </c>
      <c r="EH1" s="531" t="s">
        <v>895</v>
      </c>
      <c r="EI1" s="531" t="s">
        <v>896</v>
      </c>
      <c r="EJ1" s="531" t="s">
        <v>897</v>
      </c>
      <c r="EK1" s="531" t="s">
        <v>898</v>
      </c>
      <c r="EL1" s="531" t="s">
        <v>899</v>
      </c>
      <c r="EM1" s="531" t="s">
        <v>900</v>
      </c>
      <c r="EN1" s="531" t="s">
        <v>901</v>
      </c>
      <c r="EO1" s="531" t="s">
        <v>902</v>
      </c>
      <c r="EP1" s="531" t="s">
        <v>903</v>
      </c>
      <c r="EQ1" s="531" t="s">
        <v>904</v>
      </c>
      <c r="ER1" s="531" t="s">
        <v>905</v>
      </c>
      <c r="ES1" s="531" t="s">
        <v>906</v>
      </c>
      <c r="ET1" s="531" t="s">
        <v>907</v>
      </c>
      <c r="EU1" s="531" t="s">
        <v>908</v>
      </c>
      <c r="EV1" s="531" t="s">
        <v>909</v>
      </c>
      <c r="EW1" s="531" t="s">
        <v>910</v>
      </c>
      <c r="EX1" s="531" t="s">
        <v>911</v>
      </c>
      <c r="EY1" s="531" t="s">
        <v>912</v>
      </c>
      <c r="EZ1" s="531" t="s">
        <v>913</v>
      </c>
      <c r="FA1" s="531" t="s">
        <v>914</v>
      </c>
      <c r="FB1" s="531" t="s">
        <v>915</v>
      </c>
      <c r="FC1" s="531" t="s">
        <v>916</v>
      </c>
      <c r="FD1" s="531" t="s">
        <v>917</v>
      </c>
      <c r="FE1" s="531" t="s">
        <v>918</v>
      </c>
      <c r="FF1" s="531" t="s">
        <v>919</v>
      </c>
      <c r="FG1" s="531" t="s">
        <v>920</v>
      </c>
      <c r="FH1" s="531" t="s">
        <v>921</v>
      </c>
      <c r="FI1" s="531" t="s">
        <v>922</v>
      </c>
      <c r="FJ1" s="531" t="s">
        <v>923</v>
      </c>
      <c r="FK1" s="531" t="s">
        <v>924</v>
      </c>
      <c r="FL1" s="531" t="s">
        <v>925</v>
      </c>
      <c r="FM1" s="531" t="s">
        <v>926</v>
      </c>
      <c r="FN1" s="531" t="s">
        <v>927</v>
      </c>
      <c r="FO1" s="531" t="s">
        <v>928</v>
      </c>
      <c r="FP1" s="531" t="s">
        <v>929</v>
      </c>
      <c r="FQ1" s="531" t="s">
        <v>930</v>
      </c>
      <c r="FR1" s="531" t="s">
        <v>931</v>
      </c>
      <c r="FS1" s="531" t="s">
        <v>932</v>
      </c>
      <c r="FT1" s="531" t="s">
        <v>933</v>
      </c>
      <c r="FU1" s="531" t="s">
        <v>934</v>
      </c>
      <c r="FV1" s="531" t="s">
        <v>935</v>
      </c>
      <c r="FW1" s="531" t="s">
        <v>936</v>
      </c>
      <c r="FX1" s="531" t="s">
        <v>937</v>
      </c>
      <c r="FY1" s="531" t="s">
        <v>938</v>
      </c>
      <c r="FZ1" s="531" t="s">
        <v>939</v>
      </c>
      <c r="GA1" s="531" t="s">
        <v>940</v>
      </c>
      <c r="GB1" s="531" t="s">
        <v>941</v>
      </c>
      <c r="GC1" s="531" t="s">
        <v>942</v>
      </c>
      <c r="GD1" s="531" t="s">
        <v>943</v>
      </c>
      <c r="GE1" s="531" t="s">
        <v>944</v>
      </c>
      <c r="GF1" s="531" t="s">
        <v>945</v>
      </c>
      <c r="GG1" s="531" t="s">
        <v>946</v>
      </c>
      <c r="GH1" s="531" t="s">
        <v>947</v>
      </c>
      <c r="GI1" s="531" t="s">
        <v>948</v>
      </c>
      <c r="GJ1" s="531" t="s">
        <v>949</v>
      </c>
      <c r="GK1" s="531" t="s">
        <v>950</v>
      </c>
      <c r="GL1" s="531" t="s">
        <v>951</v>
      </c>
      <c r="GM1" s="531" t="s">
        <v>952</v>
      </c>
      <c r="GN1" s="531" t="s">
        <v>953</v>
      </c>
      <c r="GO1" s="531" t="s">
        <v>954</v>
      </c>
      <c r="GP1" s="531" t="s">
        <v>955</v>
      </c>
      <c r="GQ1" s="531" t="s">
        <v>956</v>
      </c>
      <c r="GR1" s="531" t="s">
        <v>957</v>
      </c>
      <c r="GS1" s="531" t="s">
        <v>958</v>
      </c>
      <c r="GT1" s="531" t="s">
        <v>959</v>
      </c>
      <c r="GU1" s="531" t="s">
        <v>960</v>
      </c>
      <c r="GV1" s="531" t="s">
        <v>961</v>
      </c>
      <c r="GW1" s="531" t="s">
        <v>962</v>
      </c>
      <c r="GX1" s="531" t="s">
        <v>963</v>
      </c>
      <c r="GY1" s="531" t="s">
        <v>964</v>
      </c>
      <c r="GZ1" s="531" t="s">
        <v>965</v>
      </c>
      <c r="HA1" s="531" t="s">
        <v>966</v>
      </c>
      <c r="HB1" s="531" t="s">
        <v>967</v>
      </c>
      <c r="HC1" s="531" t="s">
        <v>968</v>
      </c>
      <c r="HD1" s="531" t="s">
        <v>969</v>
      </c>
      <c r="HE1" s="531" t="s">
        <v>970</v>
      </c>
      <c r="HF1" s="531" t="s">
        <v>971</v>
      </c>
      <c r="HG1" s="531" t="s">
        <v>972</v>
      </c>
      <c r="HH1" s="531" t="s">
        <v>973</v>
      </c>
      <c r="HI1" s="531" t="s">
        <v>974</v>
      </c>
      <c r="HJ1" s="531" t="s">
        <v>975</v>
      </c>
      <c r="HK1" s="531" t="s">
        <v>976</v>
      </c>
      <c r="HL1" s="531" t="s">
        <v>977</v>
      </c>
      <c r="HM1" s="531" t="s">
        <v>978</v>
      </c>
      <c r="HN1" s="531" t="s">
        <v>979</v>
      </c>
      <c r="HO1" s="531" t="s">
        <v>980</v>
      </c>
      <c r="HP1" s="531" t="s">
        <v>981</v>
      </c>
      <c r="HQ1" s="531" t="s">
        <v>982</v>
      </c>
      <c r="HR1" s="531" t="s">
        <v>983</v>
      </c>
      <c r="HS1" s="531" t="s">
        <v>984</v>
      </c>
      <c r="HT1" s="531" t="s">
        <v>985</v>
      </c>
      <c r="HU1" s="531" t="s">
        <v>986</v>
      </c>
      <c r="HV1" s="531" t="s">
        <v>987</v>
      </c>
      <c r="HW1" s="531" t="s">
        <v>988</v>
      </c>
      <c r="HX1" s="531" t="s">
        <v>989</v>
      </c>
      <c r="HY1" s="531" t="s">
        <v>990</v>
      </c>
      <c r="HZ1" s="531" t="s">
        <v>991</v>
      </c>
      <c r="IA1" s="531" t="s">
        <v>992</v>
      </c>
      <c r="IB1" s="531" t="s">
        <v>993</v>
      </c>
      <c r="IC1" s="531" t="s">
        <v>994</v>
      </c>
      <c r="ID1" s="531" t="s">
        <v>995</v>
      </c>
      <c r="IE1" s="531" t="s">
        <v>996</v>
      </c>
      <c r="IF1" s="531" t="s">
        <v>997</v>
      </c>
      <c r="IG1" s="531" t="s">
        <v>998</v>
      </c>
      <c r="IH1" s="531" t="s">
        <v>999</v>
      </c>
      <c r="II1" s="531" t="s">
        <v>1000</v>
      </c>
      <c r="IJ1" s="531" t="s">
        <v>1001</v>
      </c>
      <c r="IK1" s="531" t="s">
        <v>1002</v>
      </c>
      <c r="IL1" s="531" t="s">
        <v>1003</v>
      </c>
      <c r="IM1" s="531" t="s">
        <v>1004</v>
      </c>
      <c r="IN1" s="531" t="s">
        <v>1005</v>
      </c>
      <c r="IO1" s="531" t="s">
        <v>1006</v>
      </c>
      <c r="IP1" s="531" t="s">
        <v>1007</v>
      </c>
      <c r="IQ1" s="531" t="s">
        <v>1008</v>
      </c>
      <c r="IR1" s="531" t="s">
        <v>1009</v>
      </c>
      <c r="IS1" s="531" t="s">
        <v>1010</v>
      </c>
      <c r="IT1" s="531" t="s">
        <v>1011</v>
      </c>
      <c r="IU1" s="531" t="s">
        <v>1012</v>
      </c>
      <c r="IV1" s="531" t="s">
        <v>1013</v>
      </c>
      <c r="IW1" s="531" t="s">
        <v>1014</v>
      </c>
      <c r="IX1" s="531" t="s">
        <v>1015</v>
      </c>
      <c r="IY1" s="531" t="s">
        <v>1016</v>
      </c>
      <c r="IZ1" s="531" t="s">
        <v>1017</v>
      </c>
      <c r="JA1" s="531" t="s">
        <v>1018</v>
      </c>
      <c r="JB1" s="531" t="s">
        <v>1019</v>
      </c>
      <c r="JC1" s="531" t="s">
        <v>1020</v>
      </c>
      <c r="JD1" s="531" t="s">
        <v>1021</v>
      </c>
      <c r="JE1" s="531" t="s">
        <v>1022</v>
      </c>
      <c r="JF1" s="531" t="s">
        <v>1023</v>
      </c>
      <c r="JG1" s="531" t="s">
        <v>1024</v>
      </c>
      <c r="JH1" s="531" t="s">
        <v>1025</v>
      </c>
      <c r="JI1" s="531" t="s">
        <v>1026</v>
      </c>
      <c r="JJ1" s="531" t="s">
        <v>1027</v>
      </c>
      <c r="JK1" s="531" t="s">
        <v>1028</v>
      </c>
      <c r="JL1" s="531" t="s">
        <v>1029</v>
      </c>
      <c r="JM1" s="531" t="s">
        <v>1030</v>
      </c>
      <c r="JN1" s="531" t="s">
        <v>1031</v>
      </c>
      <c r="JO1" s="531" t="s">
        <v>1032</v>
      </c>
      <c r="JP1" s="531" t="s">
        <v>1033</v>
      </c>
      <c r="JQ1" s="531" t="s">
        <v>1034</v>
      </c>
      <c r="JR1" s="531" t="s">
        <v>1035</v>
      </c>
      <c r="JS1" s="531" t="s">
        <v>1036</v>
      </c>
      <c r="JT1" s="531" t="s">
        <v>1037</v>
      </c>
      <c r="JU1" s="531" t="s">
        <v>1038</v>
      </c>
      <c r="JV1" s="531" t="s">
        <v>1039</v>
      </c>
      <c r="JW1" s="531" t="s">
        <v>1040</v>
      </c>
      <c r="JX1" s="531" t="s">
        <v>1041</v>
      </c>
      <c r="JY1" s="531" t="s">
        <v>1042</v>
      </c>
      <c r="JZ1" s="531" t="s">
        <v>1043</v>
      </c>
      <c r="KA1" s="531" t="s">
        <v>1044</v>
      </c>
      <c r="KB1" s="531" t="s">
        <v>1045</v>
      </c>
      <c r="KC1" s="531" t="s">
        <v>1046</v>
      </c>
      <c r="KD1" s="531" t="s">
        <v>1047</v>
      </c>
      <c r="KE1" s="531" t="s">
        <v>1048</v>
      </c>
      <c r="KF1" s="531" t="s">
        <v>1049</v>
      </c>
      <c r="KG1" s="531" t="s">
        <v>1050</v>
      </c>
      <c r="KH1" s="531" t="s">
        <v>1051</v>
      </c>
      <c r="KI1" s="531" t="s">
        <v>1052</v>
      </c>
      <c r="KJ1" s="531" t="s">
        <v>1053</v>
      </c>
      <c r="KK1" s="531" t="s">
        <v>1054</v>
      </c>
      <c r="KL1" s="531" t="s">
        <v>1055</v>
      </c>
      <c r="KM1" s="531" t="s">
        <v>1056</v>
      </c>
      <c r="KN1" s="531" t="s">
        <v>1057</v>
      </c>
      <c r="KO1" s="531" t="s">
        <v>1058</v>
      </c>
      <c r="KP1" s="531" t="s">
        <v>1059</v>
      </c>
      <c r="KQ1" s="531" t="s">
        <v>1060</v>
      </c>
      <c r="KR1" s="531" t="s">
        <v>1061</v>
      </c>
      <c r="KS1" s="531" t="s">
        <v>1062</v>
      </c>
      <c r="KT1" s="531" t="s">
        <v>1063</v>
      </c>
      <c r="KU1" s="531" t="s">
        <v>1064</v>
      </c>
      <c r="KV1" s="531" t="s">
        <v>1065</v>
      </c>
      <c r="KW1" s="531" t="s">
        <v>1066</v>
      </c>
      <c r="KX1" s="531" t="s">
        <v>1067</v>
      </c>
      <c r="KY1" s="531" t="s">
        <v>1068</v>
      </c>
      <c r="KZ1" s="531" t="s">
        <v>1069</v>
      </c>
      <c r="LA1" s="531" t="s">
        <v>1070</v>
      </c>
      <c r="LB1" s="531" t="s">
        <v>1071</v>
      </c>
      <c r="LC1" s="531" t="s">
        <v>1072</v>
      </c>
      <c r="LD1" s="531" t="s">
        <v>1073</v>
      </c>
      <c r="LE1" s="531" t="s">
        <v>1074</v>
      </c>
      <c r="LF1" s="531" t="s">
        <v>1075</v>
      </c>
      <c r="LG1" s="531" t="s">
        <v>1076</v>
      </c>
      <c r="LH1" s="531" t="s">
        <v>1077</v>
      </c>
      <c r="LI1" s="531" t="s">
        <v>1078</v>
      </c>
      <c r="LJ1" s="531" t="s">
        <v>1079</v>
      </c>
      <c r="LK1" s="531" t="s">
        <v>1080</v>
      </c>
      <c r="LL1" s="531" t="s">
        <v>1081</v>
      </c>
      <c r="LM1" s="531" t="s">
        <v>1082</v>
      </c>
      <c r="LN1" s="531" t="s">
        <v>1083</v>
      </c>
      <c r="LO1" s="531" t="s">
        <v>1084</v>
      </c>
      <c r="LP1" s="531" t="s">
        <v>1085</v>
      </c>
      <c r="LQ1" s="531" t="s">
        <v>1086</v>
      </c>
      <c r="LR1" s="531" t="s">
        <v>1087</v>
      </c>
    </row>
    <row r="2" spans="1:330">
      <c r="A2" t="s">
        <v>1088</v>
      </c>
      <c r="B2" t="s">
        <v>1089</v>
      </c>
      <c r="C2" s="410" t="s">
        <v>1090</v>
      </c>
      <c r="D2" t="s">
        <v>1091</v>
      </c>
      <c r="E2" t="s">
        <v>1092</v>
      </c>
      <c r="F2" t="s">
        <v>1093</v>
      </c>
      <c r="G2" s="532">
        <v>56191.5</v>
      </c>
      <c r="H2" s="532">
        <v>56223</v>
      </c>
      <c r="I2" s="532">
        <v>56226.25</v>
      </c>
      <c r="J2" s="532">
        <v>56229.5</v>
      </c>
      <c r="K2" s="532">
        <v>56232.75</v>
      </c>
      <c r="L2" s="532">
        <v>56236</v>
      </c>
      <c r="M2" s="532">
        <v>56233.5</v>
      </c>
      <c r="N2" s="532">
        <v>56231</v>
      </c>
      <c r="O2" s="532">
        <v>56228.5</v>
      </c>
      <c r="P2" s="532">
        <v>56226</v>
      </c>
      <c r="Q2" s="532">
        <v>56223.5</v>
      </c>
      <c r="R2" s="532">
        <v>56221</v>
      </c>
      <c r="S2" s="532">
        <v>56218.5</v>
      </c>
      <c r="T2" s="532">
        <v>56216</v>
      </c>
      <c r="U2" s="532">
        <v>56209.5</v>
      </c>
      <c r="V2" s="532">
        <v>56203</v>
      </c>
      <c r="W2" s="532">
        <v>56196.5</v>
      </c>
      <c r="X2" s="532">
        <v>56190</v>
      </c>
      <c r="Y2" s="532">
        <v>56187</v>
      </c>
      <c r="Z2" s="532">
        <v>56184</v>
      </c>
      <c r="AA2" s="532">
        <v>56181</v>
      </c>
      <c r="AB2" s="532">
        <v>56178</v>
      </c>
      <c r="AC2" s="532">
        <v>56193.5</v>
      </c>
      <c r="AD2" s="532">
        <v>56209</v>
      </c>
      <c r="AE2" s="532">
        <v>56224.5</v>
      </c>
      <c r="AF2" s="532">
        <v>56240</v>
      </c>
      <c r="AG2" s="532">
        <v>56262.5</v>
      </c>
      <c r="AH2" s="532">
        <v>56285</v>
      </c>
      <c r="AI2" s="532">
        <v>56307.5</v>
      </c>
      <c r="AJ2" s="532">
        <v>56330</v>
      </c>
      <c r="AK2" s="532">
        <v>56337</v>
      </c>
      <c r="AL2" s="532">
        <v>56344</v>
      </c>
      <c r="AM2" s="532">
        <v>56351</v>
      </c>
      <c r="AN2" s="532">
        <v>56358</v>
      </c>
      <c r="AO2" s="532">
        <v>56341.25</v>
      </c>
      <c r="AP2" s="532">
        <v>56324.5</v>
      </c>
      <c r="AQ2" s="532">
        <v>56307.75</v>
      </c>
      <c r="AR2" s="532">
        <v>56291</v>
      </c>
      <c r="AS2" s="532">
        <v>56297.25</v>
      </c>
      <c r="AT2" s="532">
        <v>56303.5</v>
      </c>
      <c r="AU2" s="532">
        <v>56309.75</v>
      </c>
      <c r="AV2" s="532">
        <v>56316</v>
      </c>
      <c r="AW2" s="532">
        <v>56339.25</v>
      </c>
      <c r="AX2" s="532">
        <v>56362.5</v>
      </c>
      <c r="AY2" s="532">
        <v>56385.75</v>
      </c>
      <c r="AZ2" s="532">
        <v>56409</v>
      </c>
      <c r="BA2" s="532">
        <v>56445.25</v>
      </c>
      <c r="BB2" s="532">
        <v>56481.5</v>
      </c>
      <c r="BC2" s="532">
        <v>56517.75</v>
      </c>
      <c r="BD2" s="532">
        <v>56554</v>
      </c>
      <c r="BE2" s="532">
        <v>56586.5</v>
      </c>
      <c r="BF2" s="532">
        <v>56619</v>
      </c>
      <c r="BG2" s="532">
        <v>56651.5</v>
      </c>
      <c r="BH2" s="532">
        <v>56684</v>
      </c>
      <c r="BI2" s="532">
        <v>56714</v>
      </c>
      <c r="BJ2" s="532">
        <v>56744</v>
      </c>
      <c r="BK2" s="532">
        <v>56774</v>
      </c>
      <c r="BL2" s="532">
        <v>56804</v>
      </c>
      <c r="BM2" s="532">
        <v>56832</v>
      </c>
      <c r="BN2" s="532">
        <v>56860</v>
      </c>
      <c r="BO2" s="532">
        <v>56888</v>
      </c>
      <c r="BP2" s="532">
        <v>56916</v>
      </c>
      <c r="BQ2" s="532">
        <v>56956.25</v>
      </c>
      <c r="BR2" s="532">
        <v>56996.5</v>
      </c>
      <c r="BS2" s="532">
        <v>57036.75</v>
      </c>
      <c r="BT2" s="532">
        <v>57077</v>
      </c>
      <c r="BU2" s="532">
        <v>57117.25</v>
      </c>
      <c r="BV2" s="532">
        <v>57157.5</v>
      </c>
      <c r="BW2" s="532">
        <v>57197.75</v>
      </c>
      <c r="BX2" s="532">
        <v>57238</v>
      </c>
      <c r="BY2" s="532">
        <v>57288.25</v>
      </c>
      <c r="BZ2" s="532">
        <v>57338.5</v>
      </c>
      <c r="CA2" s="532">
        <v>57388.75</v>
      </c>
      <c r="CB2" s="532">
        <v>57439</v>
      </c>
      <c r="CC2" s="532">
        <v>57475.5</v>
      </c>
      <c r="CD2" s="532">
        <v>57512</v>
      </c>
      <c r="CE2" s="532">
        <v>57548.5</v>
      </c>
      <c r="CF2" s="532">
        <v>57585</v>
      </c>
      <c r="CG2" s="532">
        <v>57617.25</v>
      </c>
      <c r="CH2" s="532">
        <v>57649.5</v>
      </c>
      <c r="CI2" s="532">
        <v>57681.75</v>
      </c>
      <c r="CJ2" s="532">
        <v>57714</v>
      </c>
      <c r="CK2" s="532">
        <v>57751</v>
      </c>
      <c r="CL2" s="532">
        <v>57788</v>
      </c>
      <c r="CM2" s="532">
        <v>57825</v>
      </c>
      <c r="CN2" s="532">
        <v>57862</v>
      </c>
      <c r="CO2" s="532">
        <v>57902.75</v>
      </c>
      <c r="CP2" s="532">
        <v>57943.5</v>
      </c>
      <c r="CQ2" s="532">
        <v>57984.25</v>
      </c>
      <c r="CR2" s="532">
        <v>58025</v>
      </c>
      <c r="CS2" s="532">
        <v>58059.75</v>
      </c>
      <c r="CT2" s="532">
        <v>58094.5</v>
      </c>
      <c r="CU2" s="532">
        <v>58129.25</v>
      </c>
      <c r="CV2" s="532">
        <v>58164</v>
      </c>
      <c r="CW2" s="532">
        <v>58201.5</v>
      </c>
      <c r="CX2" s="532">
        <v>58239</v>
      </c>
      <c r="CY2" s="532">
        <v>58276.5</v>
      </c>
      <c r="CZ2" s="532">
        <v>58314</v>
      </c>
      <c r="DA2" s="532">
        <v>58354.25</v>
      </c>
      <c r="DB2" s="532">
        <v>58394.5</v>
      </c>
      <c r="DC2" s="532">
        <v>58434.75</v>
      </c>
      <c r="DD2" s="532">
        <v>58475</v>
      </c>
      <c r="DE2" s="532">
        <v>58527.25</v>
      </c>
      <c r="DF2" s="532">
        <v>58579.5</v>
      </c>
      <c r="DG2" s="532">
        <v>58631.75</v>
      </c>
      <c r="DH2" s="532">
        <v>58684</v>
      </c>
      <c r="DI2" s="532">
        <v>58734.5</v>
      </c>
      <c r="DJ2" s="532">
        <v>58785</v>
      </c>
      <c r="DK2" s="532">
        <v>58835.5</v>
      </c>
      <c r="DL2" s="532">
        <v>58886</v>
      </c>
      <c r="DM2" s="532">
        <v>58942.75</v>
      </c>
      <c r="DN2" s="532">
        <v>58999.5</v>
      </c>
      <c r="DO2" s="532">
        <v>59056.25</v>
      </c>
      <c r="DP2" s="532">
        <v>59113</v>
      </c>
      <c r="DQ2" s="532">
        <v>59176.25</v>
      </c>
      <c r="DR2" s="532">
        <v>59239.5</v>
      </c>
      <c r="DS2" s="532">
        <v>59302.75</v>
      </c>
      <c r="DT2" s="532">
        <v>59366</v>
      </c>
      <c r="DU2" s="532">
        <v>59433.75</v>
      </c>
      <c r="DV2" s="532">
        <v>59501.5</v>
      </c>
      <c r="DW2" s="532">
        <v>59569.25</v>
      </c>
      <c r="DX2" s="532">
        <v>59637</v>
      </c>
      <c r="DY2" s="532">
        <v>59715.25</v>
      </c>
      <c r="DZ2" s="532">
        <v>59793.5</v>
      </c>
      <c r="EA2" s="532">
        <v>59871.75</v>
      </c>
      <c r="EB2" s="532">
        <v>59950</v>
      </c>
      <c r="EC2" s="532">
        <v>60065.75</v>
      </c>
      <c r="ED2" s="532">
        <v>60181.5</v>
      </c>
      <c r="EE2" s="532">
        <v>60297.25</v>
      </c>
      <c r="EF2" s="532">
        <v>60413</v>
      </c>
      <c r="EG2" s="532">
        <v>60516.5</v>
      </c>
      <c r="EH2" s="532">
        <v>60620</v>
      </c>
      <c r="EI2" s="532">
        <v>60723.5</v>
      </c>
      <c r="EJ2" s="532">
        <v>60827</v>
      </c>
      <c r="EK2" s="532">
        <v>60950</v>
      </c>
      <c r="EL2" s="532">
        <v>61073</v>
      </c>
      <c r="EM2" s="532">
        <v>61196</v>
      </c>
      <c r="EN2" s="532">
        <v>61319</v>
      </c>
      <c r="EO2" s="532">
        <v>61445.25</v>
      </c>
      <c r="EP2" s="532">
        <v>61571.5</v>
      </c>
      <c r="EQ2" s="532">
        <v>61697.75</v>
      </c>
      <c r="ER2" s="532">
        <v>61824</v>
      </c>
      <c r="ES2" s="532">
        <v>61933.25</v>
      </c>
      <c r="ET2" s="532">
        <v>62042.5</v>
      </c>
      <c r="EU2" s="532">
        <v>62151.75</v>
      </c>
      <c r="EV2" s="532">
        <v>62261</v>
      </c>
      <c r="EW2" s="532">
        <v>62385.75</v>
      </c>
      <c r="EX2" s="532">
        <v>62510.5</v>
      </c>
      <c r="EY2" s="532">
        <v>62635.25</v>
      </c>
      <c r="EZ2" s="532">
        <v>62760</v>
      </c>
      <c r="FA2" s="532">
        <v>62891.25</v>
      </c>
      <c r="FB2" s="532">
        <v>63022.5</v>
      </c>
      <c r="FC2" s="532">
        <v>63153.75</v>
      </c>
      <c r="FD2" s="532">
        <v>63285</v>
      </c>
      <c r="FE2" s="532">
        <v>63390</v>
      </c>
      <c r="FF2" s="532">
        <v>63495</v>
      </c>
      <c r="FG2" s="532">
        <v>63600</v>
      </c>
      <c r="FH2" s="532">
        <v>63705</v>
      </c>
      <c r="FI2" s="532">
        <v>63805.25</v>
      </c>
      <c r="FJ2" s="532">
        <v>63905.5</v>
      </c>
      <c r="FK2" s="532">
        <v>64005.75</v>
      </c>
      <c r="FL2" s="532">
        <v>64106</v>
      </c>
      <c r="FM2" s="532">
        <v>64228.75</v>
      </c>
      <c r="FN2" s="532">
        <v>64351.5</v>
      </c>
      <c r="FO2" s="532">
        <v>64474.25</v>
      </c>
      <c r="FP2" s="532">
        <v>64597</v>
      </c>
      <c r="FQ2" s="532">
        <v>64725.25</v>
      </c>
      <c r="FR2" s="532">
        <v>64853.5</v>
      </c>
      <c r="FS2" s="532">
        <v>64981.75</v>
      </c>
      <c r="FT2" s="532">
        <v>65110</v>
      </c>
      <c r="FU2" s="532">
        <v>65244.5</v>
      </c>
      <c r="FV2" s="532">
        <v>65379</v>
      </c>
      <c r="FW2" s="532">
        <v>65513.5</v>
      </c>
      <c r="FX2" s="532">
        <v>65648</v>
      </c>
      <c r="FY2" s="532">
        <v>65746</v>
      </c>
      <c r="FZ2" s="532">
        <v>65844</v>
      </c>
      <c r="GA2" s="532">
        <v>65942</v>
      </c>
      <c r="GB2" s="532">
        <v>66040</v>
      </c>
      <c r="GC2" s="532">
        <v>66139</v>
      </c>
      <c r="GD2" s="532">
        <v>66238</v>
      </c>
      <c r="GE2" s="532">
        <v>66337</v>
      </c>
      <c r="GF2" s="532">
        <v>66436</v>
      </c>
      <c r="GG2" s="532">
        <v>66526.25</v>
      </c>
      <c r="GH2" s="532">
        <v>66616.5</v>
      </c>
      <c r="GI2" s="532">
        <v>66706.75</v>
      </c>
      <c r="GJ2" s="532">
        <v>66797</v>
      </c>
      <c r="GK2" s="532">
        <v>66868</v>
      </c>
      <c r="GL2" s="532">
        <v>66939</v>
      </c>
      <c r="GM2" s="532">
        <v>67010</v>
      </c>
      <c r="GN2" s="532">
        <v>67081</v>
      </c>
      <c r="GO2" s="532">
        <v>67067.25</v>
      </c>
      <c r="GP2" s="532">
        <v>67053.5</v>
      </c>
      <c r="GQ2" s="532">
        <v>67039.75</v>
      </c>
      <c r="GR2" s="532">
        <v>67026</v>
      </c>
      <c r="GS2" s="533">
        <v>67185.16</v>
      </c>
      <c r="GT2" s="533">
        <v>67344.02</v>
      </c>
      <c r="GU2" s="533">
        <v>67502.880000000005</v>
      </c>
      <c r="GV2" s="533">
        <v>67661.75</v>
      </c>
      <c r="GW2" s="533">
        <v>67833.87</v>
      </c>
      <c r="GX2" s="533">
        <v>68005.990000000005</v>
      </c>
      <c r="GY2" s="533">
        <v>68178.12</v>
      </c>
      <c r="GZ2" s="533">
        <v>68350.23</v>
      </c>
      <c r="HA2" s="533">
        <v>68515.88</v>
      </c>
      <c r="HB2" s="533">
        <v>68681.53</v>
      </c>
      <c r="HC2" s="533">
        <v>68847.179999999993</v>
      </c>
      <c r="HD2" s="533">
        <v>69012.83</v>
      </c>
      <c r="HE2" s="533">
        <v>69157.8</v>
      </c>
      <c r="HF2" s="533">
        <v>69302.78</v>
      </c>
      <c r="HG2" s="533">
        <v>69447.77</v>
      </c>
      <c r="HH2" s="533">
        <v>69592.740000000005</v>
      </c>
      <c r="HI2" s="533">
        <v>69715.78</v>
      </c>
      <c r="HJ2" s="533">
        <v>69838.820000000007</v>
      </c>
      <c r="HK2" s="533">
        <v>69961.86</v>
      </c>
      <c r="HL2" s="533">
        <v>70084.899999999994</v>
      </c>
      <c r="HM2" s="533">
        <v>70185.539999999994</v>
      </c>
      <c r="HN2" s="533">
        <v>70286.179999999993</v>
      </c>
      <c r="HO2" s="533">
        <v>70386.820000000007</v>
      </c>
      <c r="HP2" s="533">
        <v>70487.47</v>
      </c>
      <c r="HQ2" s="533">
        <v>70565.240000000005</v>
      </c>
      <c r="HR2" s="533">
        <v>70643.02</v>
      </c>
      <c r="HS2" s="533">
        <v>70720.800000000003</v>
      </c>
      <c r="HT2" s="533">
        <v>70798.59</v>
      </c>
      <c r="HU2" s="533">
        <v>70874.13</v>
      </c>
      <c r="HV2" s="533">
        <v>70949.679999999993</v>
      </c>
      <c r="HW2" s="533">
        <v>71025.23</v>
      </c>
      <c r="HX2" s="533">
        <v>71100.77</v>
      </c>
      <c r="HY2" s="533">
        <v>71174.05</v>
      </c>
      <c r="HZ2" s="533">
        <v>71247.34</v>
      </c>
      <c r="IA2" s="533">
        <v>71320.62</v>
      </c>
      <c r="IB2" s="533">
        <v>71393.899999999994</v>
      </c>
      <c r="IC2" s="533">
        <v>71464.95</v>
      </c>
      <c r="ID2" s="533">
        <v>71535.98</v>
      </c>
      <c r="IE2" s="533">
        <v>71607.02</v>
      </c>
      <c r="IF2" s="533">
        <v>71678.070000000007</v>
      </c>
      <c r="IG2" s="533">
        <v>71746.95</v>
      </c>
      <c r="IH2" s="533">
        <v>71815.839999999997</v>
      </c>
      <c r="II2" s="533">
        <v>71884.710000000006</v>
      </c>
      <c r="IJ2" s="533">
        <v>71953.59</v>
      </c>
      <c r="IK2" s="533">
        <v>72020.33</v>
      </c>
      <c r="IL2" s="533">
        <v>72087.070000000007</v>
      </c>
      <c r="IM2" s="533">
        <v>72153.8</v>
      </c>
      <c r="IN2" s="533">
        <v>72220.539999999994</v>
      </c>
      <c r="IO2" s="533">
        <v>72285.2</v>
      </c>
      <c r="IP2" s="533">
        <v>72349.88</v>
      </c>
      <c r="IQ2" s="533">
        <v>72414.539999999994</v>
      </c>
      <c r="IR2" s="533">
        <v>72479.199999999997</v>
      </c>
      <c r="IS2" s="533">
        <v>72541.95</v>
      </c>
      <c r="IT2" s="533">
        <v>72604.7</v>
      </c>
      <c r="IU2" s="533">
        <v>72667.45</v>
      </c>
      <c r="IV2" s="533">
        <v>72730.2</v>
      </c>
      <c r="IW2" s="533">
        <v>72791.5</v>
      </c>
      <c r="IX2" s="533">
        <v>72852.800000000003</v>
      </c>
      <c r="IY2" s="533">
        <v>72914.09</v>
      </c>
      <c r="IZ2" s="533">
        <v>72975.38</v>
      </c>
      <c r="JA2" s="533">
        <v>73035.710000000006</v>
      </c>
      <c r="JB2" s="533">
        <v>73096.05</v>
      </c>
      <c r="JC2" s="533">
        <v>73156.38</v>
      </c>
      <c r="JD2" s="533">
        <v>73216.7</v>
      </c>
      <c r="JE2" s="533">
        <v>73276.27</v>
      </c>
      <c r="JF2" s="533">
        <v>73335.839999999997</v>
      </c>
      <c r="JG2" s="533">
        <v>73395.41</v>
      </c>
      <c r="JH2" s="533">
        <v>73454.98</v>
      </c>
      <c r="JI2" s="533">
        <v>73513.94</v>
      </c>
      <c r="JJ2" s="533">
        <v>73572.88</v>
      </c>
      <c r="JK2" s="533">
        <v>73631.839999999997</v>
      </c>
      <c r="JL2" s="533">
        <v>73690.78</v>
      </c>
      <c r="JM2" s="533">
        <v>73749.2</v>
      </c>
      <c r="JN2" s="533">
        <v>73807.600000000006</v>
      </c>
      <c r="JO2" s="533">
        <v>73866.009999999995</v>
      </c>
      <c r="JP2" s="533">
        <v>73924.41</v>
      </c>
      <c r="JQ2" s="533">
        <v>73982.179999999993</v>
      </c>
      <c r="JR2" s="533">
        <v>74039.95</v>
      </c>
      <c r="JS2" s="533">
        <v>74097.710000000006</v>
      </c>
      <c r="JT2" s="533">
        <v>74155.48</v>
      </c>
      <c r="JU2" s="533">
        <v>74212.47</v>
      </c>
      <c r="JV2" s="533">
        <v>74269.460000000006</v>
      </c>
      <c r="JW2" s="533">
        <v>74326.460000000006</v>
      </c>
      <c r="JX2" s="533">
        <v>74383.45</v>
      </c>
      <c r="JY2" s="533">
        <v>74439.66</v>
      </c>
      <c r="JZ2" s="533">
        <v>74495.88</v>
      </c>
      <c r="KA2" s="533">
        <v>74552.09</v>
      </c>
      <c r="KB2" s="533">
        <v>74608.31</v>
      </c>
      <c r="KC2" s="533">
        <v>74663.7</v>
      </c>
      <c r="KD2" s="533">
        <v>74719.09</v>
      </c>
      <c r="KE2" s="533">
        <v>74774.48</v>
      </c>
      <c r="KF2" s="533">
        <v>74829.88</v>
      </c>
      <c r="KG2" s="533">
        <v>74884.09</v>
      </c>
      <c r="KH2" s="533">
        <v>74938.3</v>
      </c>
      <c r="KI2" s="533">
        <v>74992.509999999995</v>
      </c>
      <c r="KJ2" s="533">
        <v>75046.720000000001</v>
      </c>
      <c r="KK2" s="533">
        <v>75099.33</v>
      </c>
      <c r="KL2" s="533">
        <v>75151.95</v>
      </c>
      <c r="KM2" s="533">
        <v>75204.55</v>
      </c>
      <c r="KN2" s="533">
        <v>75257.17</v>
      </c>
      <c r="KO2" s="533">
        <v>75308.06</v>
      </c>
      <c r="KP2" s="533">
        <v>75358.95</v>
      </c>
      <c r="KQ2" s="533">
        <v>75409.850000000006</v>
      </c>
      <c r="KR2" s="533">
        <v>75460.740000000005</v>
      </c>
      <c r="KS2" s="533">
        <v>75509.81</v>
      </c>
      <c r="KT2" s="533">
        <v>75558.880000000005</v>
      </c>
      <c r="KU2" s="533">
        <v>75607.95</v>
      </c>
      <c r="KV2" s="533">
        <v>75657.02</v>
      </c>
      <c r="KW2" s="533">
        <v>75704.13</v>
      </c>
      <c r="KX2" s="533">
        <v>75751.25</v>
      </c>
      <c r="KY2" s="533">
        <v>75798.37</v>
      </c>
      <c r="KZ2" s="533">
        <v>75845.48</v>
      </c>
      <c r="LA2" s="533">
        <v>75890.61</v>
      </c>
      <c r="LB2" s="533">
        <v>75935.73</v>
      </c>
      <c r="LC2" s="533">
        <v>75980.86</v>
      </c>
      <c r="LD2" s="533">
        <v>76025.98</v>
      </c>
      <c r="LE2" s="533">
        <v>76069.16</v>
      </c>
      <c r="LF2" s="533">
        <v>76112.34</v>
      </c>
      <c r="LG2" t="s">
        <v>1094</v>
      </c>
      <c r="LH2" t="b">
        <v>0</v>
      </c>
      <c r="LI2" t="s">
        <v>1091</v>
      </c>
      <c r="LJ2" t="s">
        <v>1091</v>
      </c>
      <c r="LK2">
        <v>2021</v>
      </c>
      <c r="LL2">
        <v>2</v>
      </c>
      <c r="LM2" t="s">
        <v>1091</v>
      </c>
      <c r="LN2" t="s">
        <v>1095</v>
      </c>
      <c r="LO2" t="s">
        <v>1096</v>
      </c>
      <c r="LP2" t="s">
        <v>1097</v>
      </c>
      <c r="LQ2" t="s">
        <v>1098</v>
      </c>
      <c r="LR2" s="410" t="s">
        <v>1099</v>
      </c>
    </row>
  </sheetData>
  <pageMargins left="0.7" right="0.7" top="0.75" bottom="0.75" header="0.3" footer="0.3"/>
  <customProperties>
    <customPr name="Commands" r:id="rId1"/>
    <customPr name="PostPullCommands" r:id="rId2"/>
    <customPr name="WorksheetId" r:id="rId3"/>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33</vt:i4>
      </vt:variant>
      <vt:variant>
        <vt:lpstr>Charts</vt:lpstr>
      </vt:variant>
      <vt:variant>
        <vt:i4>9</vt:i4>
      </vt:variant>
      <vt:variant>
        <vt:lpstr>Named Ranges</vt:lpstr>
      </vt:variant>
      <vt:variant>
        <vt:i4>1</vt:i4>
      </vt:variant>
    </vt:vector>
  </HeadingPairs>
  <TitlesOfParts>
    <vt:vector size="43" baseType="lpstr">
      <vt:lpstr>Chart Data</vt:lpstr>
      <vt:lpstr>OBR_MAR24_C1.5</vt:lpstr>
      <vt:lpstr>OBR_MAR24_T3.8</vt:lpstr>
      <vt:lpstr>OBR_MAR24_T4.12</vt:lpstr>
      <vt:lpstr>OBR_MAR24_TA.7</vt:lpstr>
      <vt:lpstr>OBR_MAR24_C4.10</vt:lpstr>
      <vt:lpstr>OBR_MAR24_1.1</vt:lpstr>
      <vt:lpstr>OBR_MAR24_1.2</vt:lpstr>
      <vt:lpstr>OBR - Nov23 - T4.13</vt:lpstr>
      <vt:lpstr>OBR_NOV23_T3.2</vt:lpstr>
      <vt:lpstr>OBR_NOV23_T3.A</vt:lpstr>
      <vt:lpstr>OBR_NOV23_TA.7</vt:lpstr>
      <vt:lpstr>OBR_NOV23_T4.7</vt:lpstr>
      <vt:lpstr>OBR_NOV23_T4.8</vt:lpstr>
      <vt:lpstr>OBR_NOV23_1.1</vt:lpstr>
      <vt:lpstr>OBR_NOV23_1.2</vt:lpstr>
      <vt:lpstr>OBR_MAR23_T4.7</vt:lpstr>
      <vt:lpstr>OBR_MAR23_T4.8</vt:lpstr>
      <vt:lpstr>OBR_MAR23_TA.7</vt:lpstr>
      <vt:lpstr>OBR_MAR23_1.1</vt:lpstr>
      <vt:lpstr>OBR_MAR23_1.2</vt:lpstr>
      <vt:lpstr>OBR_NOV22_T.4</vt:lpstr>
      <vt:lpstr>OBR_NOV22_TA.8</vt:lpstr>
      <vt:lpstr>OBR_NOV22_1.1</vt:lpstr>
      <vt:lpstr>OBR_NOV22_1.2</vt:lpstr>
      <vt:lpstr>OBR_MAR22_T3.16</vt:lpstr>
      <vt:lpstr>OBR_MAR22_1.1</vt:lpstr>
      <vt:lpstr>OBR_MAR22_1.2</vt:lpstr>
      <vt:lpstr>OBR RR Oct23 - Debt interest</vt:lpstr>
      <vt:lpstr>HAVERD</vt:lpstr>
      <vt:lpstr>$template-default</vt:lpstr>
      <vt:lpstr>Data</vt:lpstr>
      <vt:lpstr>GMW</vt:lpstr>
      <vt:lpstr>Chart - Changes to PSNBX</vt:lpstr>
      <vt:lpstr>Chart - Income tax &amp; NICs</vt:lpstr>
      <vt:lpstr>Chart - Real current DEL</vt:lpstr>
      <vt:lpstr>Chart - Real capital DEL</vt:lpstr>
      <vt:lpstr>Chart - Real DEL per head index</vt:lpstr>
      <vt:lpstr>Chart - Real DEL index</vt:lpstr>
      <vt:lpstr>Chart - Real current DEL index</vt:lpstr>
      <vt:lpstr>Chart - Real capital DEL index</vt:lpstr>
      <vt:lpstr>Chart - fin mkt assump</vt:lpstr>
      <vt:lpstr>'$template-default'!Annual_Data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2023-11-27T10:40:18Z</dcterms:created>
  <dcterms:modified xsi:type="dcterms:W3CDTF">2024-05-16T08:45:21Z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2023-11-27T10:46:05Z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dd86b45a-b3c2-44f9-aa16-b1445dcf7652</vt:lpwstr>
  </property>
  <property fmtid="{D5CDD505-2E9C-101B-9397-08002B2CF9AE}" pid="8" name="MSIP_Label_231f5784-19ed-4d1e-9a93-4ea41014d730_ContentBits">
    <vt:lpwstr>0</vt:lpwstr>
  </property>
</Properties>
</file>